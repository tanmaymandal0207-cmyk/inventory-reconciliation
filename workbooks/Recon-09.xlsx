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395c196768cf077/Desktop/New folder/"/>
    </mc:Choice>
  </mc:AlternateContent>
  <xr:revisionPtr revIDLastSave="294" documentId="8_{E9294715-25DF-4E66-978E-8E90F7EFA917}" xr6:coauthVersionLast="47" xr6:coauthVersionMax="47" xr10:uidLastSave="{76C74FC9-21EC-4170-8D7A-74466957689C}"/>
  <bookViews>
    <workbookView xWindow="-120" yWindow="-120" windowWidth="29040" windowHeight="15720" xr2:uid="{00000000-000D-0000-FFFF-FFFF00000000}"/>
  </bookViews>
  <sheets>
    <sheet name="Recon" sheetId="6" r:id="rId1"/>
    <sheet name="CHALLAN" sheetId="4" r:id="rId2"/>
    <sheet name="Stock" sheetId="5" r:id="rId3"/>
    <sheet name="SAMPLE" sheetId="10" state="hidden" r:id="rId4"/>
    <sheet name="Part Summary" sheetId="27" r:id="rId5"/>
    <sheet name="Pivot Data" sheetId="29" state="hidden" r:id="rId6"/>
    <sheet name="Pivot Summary" sheetId="30" r:id="rId7"/>
  </sheets>
  <calcPr calcId="191029" fullCalcOnLoad="1"/>
  <customWorkbookViews>
    <customWorkbookView name="ChallanNotInStock filter view" guid="{0008F4A7-F247-463F-AD14-2E1A29FD5429}" maximized="1" windowWidth="0" windowHeight="0" activeSheetId="0"/>
    <customWorkbookView name="CondenserDetail filter view" guid="{1B967FAD-6C99-4552-B884-06D500F295FD}" maximized="1" windowWidth="0" windowHeight="0" activeSheetId="0"/>
    <customWorkbookView name="OilRecords filter view" guid="{143D81EE-B435-49C2-98FD-0B6A2E75F543}" maximized="1" windowWidth="0" windowHeight="0" activeSheetId="0"/>
    <customWorkbookView name="MasterInvoice filter view" guid="{D927E159-7B62-4DFD-9669-16D0E934DAA1}" maximized="1" windowWidth="0" windowHeight="0" activeSheetId="0"/>
  </customWorkbookViews>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uNpuoKGtamgsxvMO1IeFjPIwrxikN1/GinNwvat9rWE="/>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Analyst</author>
  </authors>
  <commentList>
    <comment ref="D7" authorId="0" shapeId="0" xr:uid="{00000000-0006-0000-0500-00006E000000}">
      <text>
        <r>
          <rPr>
            <sz val="11"/>
            <color theme="1"/>
            <rFont val="Calibri"/>
            <scheme val="minor"/>
          </rPr>
          <t>225 IF 1 SAVED UNDER DESCRIPTION INNOVA INCLUDED</t>
        </r>
      </text>
    </comment>
    <comment ref="D9" authorId="0" shapeId="0" xr:uid="{00000000-0006-0000-0500-00008F000000}">
      <text>
        <r>
          <rPr>
            <sz val="11"/>
            <color theme="1"/>
            <rFont val="Calibri"/>
            <scheme val="minor"/>
          </rPr>
          <t>25 UNKNOWN , NO PART NUMBER</t>
        </r>
      </text>
    </comment>
    <comment ref="D10" authorId="0" shapeId="0" xr:uid="{00000000-0006-0000-0500-00009F000000}">
      <text>
        <r>
          <rPr>
            <sz val="11"/>
            <color theme="1"/>
            <rFont val="Calibri"/>
            <scheme val="minor"/>
          </rPr>
          <t>+10 SAVED UNDER QUALIS FLARE IN DESCRIPTION</t>
        </r>
      </text>
    </comment>
    <comment ref="D22" authorId="0" shapeId="0" xr:uid="{00000000-0006-0000-0500-000056000000}">
      <text>
        <r>
          <rPr>
            <sz val="11"/>
            <color theme="1"/>
            <rFont val="Calibri"/>
            <scheme val="minor"/>
          </rPr>
          <t>5 PCS UNCOUNTED SAVED AS OPEL ASTRA NO PART NUMBER</t>
        </r>
      </text>
    </comment>
    <comment ref="D29" authorId="0" shapeId="0" xr:uid="{00000000-0006-0000-0500-0000C6000000}">
      <text>
        <r>
          <rPr>
            <sz val="11"/>
            <color theme="1"/>
            <rFont val="Calibri"/>
            <scheme val="minor"/>
          </rPr>
          <t>5 PCS UNDER NO DESCRIPTION</t>
        </r>
      </text>
    </comment>
    <comment ref="D30" authorId="0" shapeId="0" xr:uid="{00000000-0006-0000-0500-0000D5000000}">
      <text>
        <r>
          <rPr>
            <sz val="11"/>
            <color theme="1"/>
            <rFont val="Calibri"/>
            <scheme val="minor"/>
          </rPr>
          <t>30 PCS UNDER NO PART NUMBER ONLY DESCRIPTION</t>
        </r>
      </text>
    </comment>
    <comment ref="D31" authorId="1" shapeId="0" xr:uid="{9E8F9E36-7910-4B78-9EE3-AE7801ED3EDA}">
      <text>
        <r>
          <rPr>
            <b/>
            <sz val="9"/>
            <color indexed="81"/>
            <rFont val="Tahoma"/>
            <charset val="1"/>
          </rPr>
          <t>Analyst:</t>
        </r>
        <r>
          <rPr>
            <sz val="9"/>
            <color indexed="81"/>
            <rFont val="Tahoma"/>
            <charset val="1"/>
          </rPr>
          <t xml:space="preserve">
10 PCS UNDER NO PART NUMBER</t>
        </r>
      </text>
    </comment>
    <comment ref="D37" authorId="1" shapeId="0" xr:uid="{87F1446D-3E5B-4F4A-8B59-4BF7ED884C93}">
      <text>
        <r>
          <rPr>
            <b/>
            <sz val="9"/>
            <color indexed="81"/>
            <rFont val="Tahoma"/>
            <charset val="1"/>
          </rPr>
          <t>Analyst:</t>
        </r>
        <r>
          <rPr>
            <sz val="9"/>
            <color indexed="81"/>
            <rFont val="Tahoma"/>
            <charset val="1"/>
          </rPr>
          <t xml:space="preserve">
35PCS UNDER NO PART NUMBER</t>
        </r>
      </text>
    </comment>
    <comment ref="K37" authorId="1" shapeId="0" xr:uid="{B836E232-9F6A-45CA-B915-A2FEBDD83D8D}">
      <text>
        <r>
          <rPr>
            <b/>
            <sz val="9"/>
            <color indexed="81"/>
            <rFont val="Tahoma"/>
            <charset val="1"/>
          </rPr>
          <t>Analyst:</t>
        </r>
        <r>
          <rPr>
            <sz val="9"/>
            <color indexed="81"/>
            <rFont val="Tahoma"/>
            <charset val="1"/>
          </rPr>
          <t xml:space="preserve">
Sharing Parts with 
PC-7157</t>
        </r>
      </text>
    </comment>
    <comment ref="D71" authorId="1" shapeId="0" xr:uid="{AB6D97D6-9875-43EE-813D-7324F60EA7C1}">
      <text>
        <r>
          <rPr>
            <b/>
            <sz val="9"/>
            <color indexed="81"/>
            <rFont val="Tahoma"/>
            <charset val="1"/>
          </rPr>
          <t>Analyst:</t>
        </r>
        <r>
          <rPr>
            <sz val="9"/>
            <color indexed="81"/>
            <rFont val="Tahoma"/>
            <charset val="1"/>
          </rPr>
          <t xml:space="preserve">
SAVED UNDER PC-PF-141420-F</t>
        </r>
      </text>
    </comment>
    <comment ref="R71" authorId="1" shapeId="0" xr:uid="{D1D67327-037F-474B-8D2E-B3FF120E02E4}">
      <text>
        <r>
          <rPr>
            <b/>
            <sz val="9"/>
            <color indexed="81"/>
            <rFont val="Tahoma"/>
            <charset val="1"/>
          </rPr>
          <t>Analyst:</t>
        </r>
        <r>
          <rPr>
            <sz val="9"/>
            <color indexed="81"/>
            <rFont val="Tahoma"/>
            <charset val="1"/>
          </rPr>
          <t xml:space="preserve">
Parts Under Single seal</t>
        </r>
      </text>
    </comment>
    <comment ref="K78" authorId="1" shapeId="0" xr:uid="{62CB18B9-517A-4D1F-BE79-CA447B796434}">
      <text>
        <r>
          <rPr>
            <b/>
            <sz val="9"/>
            <color indexed="81"/>
            <rFont val="Tahoma"/>
            <charset val="1"/>
          </rPr>
          <t>Analyst:</t>
        </r>
        <r>
          <rPr>
            <sz val="9"/>
            <color indexed="81"/>
            <rFont val="Tahoma"/>
            <charset val="1"/>
          </rPr>
          <t xml:space="preserve">
Fragmented - Different names</t>
        </r>
      </text>
    </comment>
    <comment ref="R79" authorId="1" shapeId="0" xr:uid="{65FDBF0D-280D-446F-97AB-D5931F2946BB}">
      <text>
        <r>
          <rPr>
            <b/>
            <sz val="9"/>
            <color indexed="81"/>
            <rFont val="Tahoma"/>
            <charset val="1"/>
          </rPr>
          <t>Analyst:</t>
        </r>
        <r>
          <rPr>
            <sz val="9"/>
            <color indexed="81"/>
            <rFont val="Tahoma"/>
            <charset val="1"/>
          </rPr>
          <t xml:space="preserve">
Under 507-AA</t>
        </r>
      </text>
    </comment>
  </commentList>
  <extLst>
    <ext xmlns:r="http://schemas.openxmlformats.org/officeDocument/2006/relationships" uri="GoogleSheetsCustomDataVersion2">
      <go:sheetsCustomData xmlns:go="http://customooxmlschemas.google.com/" r:id="rId1" roundtripDataSignature="AMtx7mjnpesAoDKa2besDcGzbPPvBbnS6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A131" authorId="0" shapeId="0" xr:uid="{66E017A4-A7AC-4921-98B6-C2D0A8CB4591}">
      <text>
        <r>
          <rPr>
            <b/>
            <sz val="9"/>
            <color indexed="81"/>
            <rFont val="Tahoma"/>
            <charset val="1"/>
          </rPr>
          <t>Analyst:</t>
        </r>
        <r>
          <rPr>
            <sz val="9"/>
            <color indexed="81"/>
            <rFont val="Tahoma"/>
            <charset val="1"/>
          </rPr>
          <t xml:space="preserve">
Given to r80 
Recon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<sst xmlns="http://schemas.openxmlformats.org/spreadsheetml/2006/main" count="24827" uniqueCount="2457">
  <si>
    <t>Date</t>
  </si>
  <si>
    <t>Part Number</t>
  </si>
  <si>
    <t>G &amp; G ENTERPRISES</t>
  </si>
  <si>
    <t>INNOVA</t>
  </si>
  <si>
    <t>PC-86046</t>
  </si>
  <si>
    <t>1 LTR</t>
  </si>
  <si>
    <t>Description</t>
  </si>
  <si>
    <t>Qty in PCs</t>
  </si>
  <si>
    <t>(Importer &amp; Exporter)</t>
  </si>
  <si>
    <t>Address line (redacted)</t>
  </si>
  <si>
    <t>New Delhi-XXXXXX</t>
  </si>
  <si>
    <t>M-XXXXXXXXXX</t>
  </si>
  <si>
    <t>250G</t>
  </si>
  <si>
    <t>4 LTR</t>
  </si>
  <si>
    <t>DELIVERY CHALLAN</t>
  </si>
  <si>
    <t>SKODA</t>
  </si>
  <si>
    <t>PC-86004</t>
  </si>
  <si>
    <t>DELIVERY FROM MUNDKA</t>
  </si>
  <si>
    <t>Dated.:</t>
  </si>
  <si>
    <t>02.04.09</t>
  </si>
  <si>
    <t>To,</t>
  </si>
  <si>
    <t>Challan # :</t>
  </si>
  <si>
    <t>GG/001/09-10</t>
  </si>
  <si>
    <t>Dealer-001</t>
  </si>
  <si>
    <t>INDICA/BEHR-R134A</t>
  </si>
  <si>
    <t>PC-86233</t>
  </si>
  <si>
    <t>Address line (redacted)</t>
  </si>
  <si>
    <t>Through: Transporter-001</t>
  </si>
  <si>
    <t>Address line (redacted)</t>
  </si>
  <si>
    <t>Address line (redacted)</t>
  </si>
  <si>
    <t>Dear Sir,</t>
  </si>
  <si>
    <t>According to instructions we are sending followng goods. Please acknowledge the</t>
  </si>
  <si>
    <t>same and after your acknowledgement we will issue you sales invoice.</t>
  </si>
  <si>
    <t>S.No.</t>
  </si>
  <si>
    <t>INDICA BEHR R134A</t>
  </si>
  <si>
    <t>QUALIS-FLARE</t>
  </si>
  <si>
    <t>PC-86234</t>
  </si>
  <si>
    <t>Nos of ctn</t>
  </si>
  <si>
    <t>Nos of PCs/ctn</t>
  </si>
  <si>
    <t>QUALIS FLARE</t>
  </si>
  <si>
    <t>Qualis-PAD</t>
  </si>
  <si>
    <t>PC-86235</t>
  </si>
  <si>
    <t>Opening &amp; Revd qty</t>
  </si>
  <si>
    <t>Price</t>
  </si>
  <si>
    <t>Amount</t>
  </si>
  <si>
    <t>QUALIS PAD</t>
  </si>
  <si>
    <t>Qualis-O Ring</t>
  </si>
  <si>
    <t>PC-86244</t>
  </si>
  <si>
    <t>CHALLN NO</t>
  </si>
  <si>
    <t>Condensers</t>
  </si>
  <si>
    <t>DRIER</t>
  </si>
  <si>
    <t>COOLING COIL</t>
  </si>
  <si>
    <t>QUALIS O RING</t>
  </si>
  <si>
    <t>Ford Ikon</t>
  </si>
  <si>
    <t>PC-86034</t>
  </si>
  <si>
    <t>1-</t>
  </si>
  <si>
    <t>ESTEEM R12</t>
  </si>
  <si>
    <t>PC-8005</t>
  </si>
  <si>
    <t>PC8005</t>
  </si>
  <si>
    <t>2-</t>
  </si>
  <si>
    <t>ESTEEM R134A</t>
  </si>
  <si>
    <t>PC-8006</t>
  </si>
  <si>
    <t>Blowers</t>
  </si>
  <si>
    <t>FORD IKON</t>
  </si>
  <si>
    <t>PC8006</t>
  </si>
  <si>
    <t>BOLERO- R134A</t>
  </si>
  <si>
    <t>PC-86236</t>
  </si>
  <si>
    <t>3-</t>
  </si>
  <si>
    <t>SANTRO</t>
  </si>
  <si>
    <t>PC-8026</t>
  </si>
  <si>
    <t>SWITCHES</t>
  </si>
  <si>
    <t>PC8026</t>
  </si>
  <si>
    <t>R.Drier</t>
  </si>
  <si>
    <t>SEAL</t>
  </si>
  <si>
    <t>FAN</t>
  </si>
  <si>
    <t>BOLERO R134A</t>
  </si>
  <si>
    <t>Indigo</t>
  </si>
  <si>
    <t>PC-86237</t>
  </si>
  <si>
    <t>OIL</t>
  </si>
  <si>
    <t>compressor</t>
  </si>
  <si>
    <t>INDIGO</t>
  </si>
  <si>
    <t>SAFARI</t>
  </si>
  <si>
    <t>PC-86238</t>
  </si>
  <si>
    <t>Santro-ZING</t>
  </si>
  <si>
    <t>PC-86239</t>
  </si>
  <si>
    <t>TOTAL</t>
  </si>
  <si>
    <t>Maruti Car-800 MPFI</t>
  </si>
  <si>
    <t>PC-86092</t>
  </si>
  <si>
    <t>BUTANE</t>
  </si>
  <si>
    <t>WICK</t>
  </si>
  <si>
    <t>INSULATION TAPE</t>
  </si>
  <si>
    <t>PC-86125</t>
  </si>
  <si>
    <t>ITEM NOS</t>
  </si>
  <si>
    <t>Honda City-TYPE-3</t>
  </si>
  <si>
    <t>PC-86240</t>
  </si>
  <si>
    <t>Sumo VECTA</t>
  </si>
  <si>
    <t>PC-86241</t>
  </si>
  <si>
    <t>for</t>
  </si>
  <si>
    <t>G &amp; G Enterprises</t>
  </si>
  <si>
    <t>Auth. Sign</t>
  </si>
  <si>
    <t>03.04.09</t>
  </si>
  <si>
    <t>GG/002/09-10</t>
  </si>
  <si>
    <t>Dealer-002</t>
  </si>
  <si>
    <t>Address line (redacted)</t>
  </si>
  <si>
    <t>Address line (redacted)</t>
  </si>
  <si>
    <t>SUMO VECTA</t>
  </si>
  <si>
    <t>BELANO</t>
  </si>
  <si>
    <t>PC-86242</t>
  </si>
  <si>
    <t>UNIVERSAL</t>
  </si>
  <si>
    <t>PC-6001</t>
  </si>
  <si>
    <t>PC6001</t>
  </si>
  <si>
    <t>BE NO</t>
  </si>
  <si>
    <t>BE DT</t>
  </si>
  <si>
    <t>ESTEEM-R12</t>
  </si>
  <si>
    <t>PC-86040</t>
  </si>
  <si>
    <t>GG/003/09-10</t>
  </si>
  <si>
    <t>EMX</t>
  </si>
  <si>
    <t>Esteem-134a</t>
  </si>
  <si>
    <t>ACCENT CRD-I</t>
  </si>
  <si>
    <t>OPEL-ASTRA</t>
  </si>
  <si>
    <t>ZEN-R134A</t>
  </si>
  <si>
    <t>ZEN-R12</t>
  </si>
  <si>
    <t>ZEN DEISAL</t>
  </si>
  <si>
    <t>ZEN DELPHI R12</t>
  </si>
  <si>
    <t>ZEN DELPHI R134A</t>
  </si>
  <si>
    <t>SCORPIO</t>
  </si>
  <si>
    <t>LANCER</t>
  </si>
  <si>
    <t>TRAVERA</t>
  </si>
  <si>
    <t>ACCENT-PETROL</t>
  </si>
  <si>
    <t>SX4</t>
  </si>
  <si>
    <t>I-10</t>
  </si>
  <si>
    <t>SWIFT</t>
  </si>
  <si>
    <t>INDICA-134A-SUBROS</t>
  </si>
  <si>
    <t>WAGON-R / ALTO</t>
  </si>
  <si>
    <t>COROLLA</t>
  </si>
  <si>
    <t>OPEL CORSA</t>
  </si>
  <si>
    <t>PALIO</t>
  </si>
  <si>
    <t>CIELO</t>
  </si>
  <si>
    <t>OPTRA</t>
  </si>
  <si>
    <t>GETZ</t>
  </si>
  <si>
    <t>HONDA CRV</t>
  </si>
  <si>
    <t>VARNA-PETROL</t>
  </si>
  <si>
    <t>PC-86090</t>
  </si>
  <si>
    <t>ELANTRA</t>
  </si>
  <si>
    <t>AMBASDOR</t>
  </si>
  <si>
    <t>MATIZ</t>
  </si>
  <si>
    <t>LOGAN</t>
  </si>
  <si>
    <t>VOLVO</t>
  </si>
  <si>
    <t>VISTA</t>
  </si>
  <si>
    <t>INDICA DICOR</t>
  </si>
  <si>
    <t>ENDEAVOUR</t>
  </si>
  <si>
    <t>FEISTA</t>
  </si>
  <si>
    <t>H.CITY-T-5</t>
  </si>
  <si>
    <t>FUSION</t>
  </si>
  <si>
    <t>PALIO STILE</t>
  </si>
  <si>
    <t>ZEN ESTILO</t>
  </si>
  <si>
    <t>A-STAR</t>
  </si>
  <si>
    <t>I-20</t>
  </si>
  <si>
    <t>SPARK</t>
  </si>
  <si>
    <t>ACCORD</t>
  </si>
  <si>
    <t>Cooling Coil</t>
  </si>
  <si>
    <t>Address line (redacted)</t>
  </si>
  <si>
    <t>FABIA</t>
  </si>
  <si>
    <t>LAURA</t>
  </si>
  <si>
    <t>PF/UNI 25X28X26MM</t>
  </si>
  <si>
    <t>PF/UNI 25X28X20MM</t>
  </si>
  <si>
    <t>PF/UNI 14X15X20MM</t>
  </si>
  <si>
    <t>PF/UNI 14X14X20MM</t>
  </si>
  <si>
    <t>PF/UNI 14X18X16MM</t>
  </si>
  <si>
    <t>PF/UNI 14X18X20MM</t>
  </si>
  <si>
    <t>PF/UNI 14X21X16MM</t>
  </si>
  <si>
    <t>PF/UNI 14X21X20MM</t>
  </si>
  <si>
    <t>PF/UNI 14X23X16MM</t>
  </si>
  <si>
    <t>PF/UNI 14X23X20MM</t>
  </si>
  <si>
    <t>SP/UNI 14X15X22MM (O)</t>
  </si>
  <si>
    <t>SP/UNI 14X15X22MM (F)</t>
  </si>
  <si>
    <t>SP/UNI 14X15X26MM (F)</t>
  </si>
  <si>
    <t>SP/UNI 14X18X22MM (F)</t>
  </si>
  <si>
    <t>SP/UNI 14X18X26MM (F)</t>
  </si>
  <si>
    <t>SP/UNI 14X21X22MM (F)</t>
  </si>
  <si>
    <t>SP/UNI 14X21X26MM (F)</t>
  </si>
  <si>
    <t>SP/UNI 14X23X22MM (F)</t>
  </si>
  <si>
    <t>SP/UNI 14X23X26MM (F)</t>
  </si>
  <si>
    <t>SP/UNI 14X23X44MM (F)</t>
  </si>
  <si>
    <t>SP/UNI 14X25X26MM (F)</t>
  </si>
  <si>
    <t>SP/UNI 14X25X44MM (F)</t>
  </si>
  <si>
    <t>SP/UNI 14X28X44MM (F)</t>
  </si>
  <si>
    <t>A6</t>
  </si>
  <si>
    <t>Accent</t>
  </si>
  <si>
    <t>Address line (redacted)</t>
  </si>
  <si>
    <t>AVEO</t>
  </si>
  <si>
    <t>Baleno</t>
  </si>
  <si>
    <t>BOlero R134a</t>
  </si>
  <si>
    <t>CAMERY</t>
  </si>
  <si>
    <t>Cielo</t>
  </si>
  <si>
    <t>CIVIC</t>
  </si>
  <si>
    <t>CITY</t>
  </si>
  <si>
    <t>Corrolla</t>
  </si>
  <si>
    <t>Esteem R-12</t>
  </si>
  <si>
    <t>Esteem R-134a</t>
  </si>
  <si>
    <t>ESTILO</t>
  </si>
  <si>
    <t>Part</t>
  </si>
  <si>
    <t>FIESTA</t>
  </si>
  <si>
    <t>Getz</t>
  </si>
  <si>
    <t>PC-86064B</t>
  </si>
  <si>
    <t>SENTRO</t>
  </si>
  <si>
    <t>Innova</t>
  </si>
  <si>
    <t>Lancer HCC</t>
  </si>
  <si>
    <t>Lancer MMC-2000</t>
  </si>
  <si>
    <t>Logan</t>
  </si>
  <si>
    <t>Opel</t>
  </si>
  <si>
    <t>Challan (pcs) &lt;=283</t>
  </si>
  <si>
    <t>Opel Corsa</t>
  </si>
  <si>
    <t>Optra</t>
  </si>
  <si>
    <t>Santro Xing</t>
  </si>
  <si>
    <t>Scorpio</t>
  </si>
  <si>
    <t>Palio</t>
  </si>
  <si>
    <t>Skoda</t>
  </si>
  <si>
    <t>SONATA</t>
  </si>
  <si>
    <t>Spark</t>
  </si>
  <si>
    <t>Sk-Coil</t>
  </si>
  <si>
    <t>Honda City-III</t>
  </si>
  <si>
    <t>Honda CRV</t>
  </si>
  <si>
    <t>Swift</t>
  </si>
  <si>
    <t>INDICA</t>
  </si>
  <si>
    <t>Indica Behr</t>
  </si>
  <si>
    <t>QUALIS</t>
  </si>
  <si>
    <t>Safari</t>
  </si>
  <si>
    <t>Tavera</t>
  </si>
  <si>
    <t>Varna</t>
  </si>
  <si>
    <t>MITSUBISHI PAJERO</t>
  </si>
  <si>
    <t>Wagan R / Alto</t>
  </si>
  <si>
    <t xml:space="preserve">Zen Delphi R-12 </t>
  </si>
  <si>
    <t xml:space="preserve">Zen Delphi R-134a </t>
  </si>
  <si>
    <t>Zen R-134-SUBROS</t>
  </si>
  <si>
    <t>848L MICROBUS COIL</t>
  </si>
  <si>
    <t>MICROBUS-Tubefin</t>
  </si>
  <si>
    <t>MICROBUS-PF</t>
  </si>
  <si>
    <t>MiniBus</t>
  </si>
  <si>
    <t>SK</t>
  </si>
  <si>
    <t>Concord-Elec,</t>
  </si>
  <si>
    <t>Concord-Normal</t>
  </si>
  <si>
    <t>CONCORD WHEEL</t>
  </si>
  <si>
    <t>CONCORD MOTOR</t>
  </si>
  <si>
    <t>Santro-3 Speed</t>
  </si>
  <si>
    <t>Santro-4 Speed</t>
  </si>
  <si>
    <t>OPEL-BIG</t>
  </si>
  <si>
    <t>ESTEEM-R12 / Accent</t>
  </si>
  <si>
    <t>ESTEEM-R134/Lancer</t>
  </si>
  <si>
    <t>OPEL-SMALL-2pin</t>
  </si>
  <si>
    <t>HONDA CITY</t>
  </si>
  <si>
    <t>LENCER</t>
  </si>
  <si>
    <t>TOYOTA QUALIS</t>
  </si>
  <si>
    <t>INDICA R-134A-4 pin</t>
  </si>
  <si>
    <t>skoda-3PIN</t>
  </si>
  <si>
    <t>esteem r12 ordanary</t>
  </si>
  <si>
    <t>THERMO-STAT</t>
  </si>
  <si>
    <t>Pancil Thermostat White</t>
  </si>
  <si>
    <t>Pancil Thermostat Oringe</t>
  </si>
  <si>
    <t>WAGON-R HPLP-2PIN</t>
  </si>
  <si>
    <t>LANCER BLOWER SWITCH</t>
  </si>
  <si>
    <t>CONCORD A/C SWITCH</t>
  </si>
  <si>
    <t>CONCORD RESISTANCE</t>
  </si>
  <si>
    <t>Stock Sold (&lt;=283)</t>
  </si>
  <si>
    <t>Gap</t>
  </si>
  <si>
    <t>PC-86243</t>
  </si>
  <si>
    <t>Matiz</t>
  </si>
  <si>
    <t>Matiz-NEW</t>
  </si>
  <si>
    <t>Honda City</t>
  </si>
  <si>
    <t>Esteem-R12</t>
  </si>
  <si>
    <t>Esteem-R134A</t>
  </si>
  <si>
    <t>Universal</t>
  </si>
  <si>
    <t>BUS-UNI</t>
  </si>
  <si>
    <t>Toyota Qualis</t>
  </si>
  <si>
    <t>Daewoo Cielo</t>
  </si>
  <si>
    <t>Ford</t>
  </si>
  <si>
    <t>Maruti 'O'Ring</t>
  </si>
  <si>
    <t>Maruti 'F'Ring</t>
  </si>
  <si>
    <t>Lancer</t>
  </si>
  <si>
    <t>Santro/santro xing</t>
  </si>
  <si>
    <t>Ambasdor/ Balero</t>
  </si>
  <si>
    <t>Balero</t>
  </si>
  <si>
    <t>Scorpio-3hole</t>
  </si>
  <si>
    <t>Scorpio-4hole</t>
  </si>
  <si>
    <t>Travera</t>
  </si>
  <si>
    <t>Sonata</t>
  </si>
  <si>
    <t>JIVAN'S</t>
  </si>
  <si>
    <t>WR</t>
  </si>
  <si>
    <t>507 single seal</t>
  </si>
  <si>
    <t>Santro Large-matiz</t>
  </si>
  <si>
    <t>TM-16</t>
  </si>
  <si>
    <t xml:space="preserve">Clelo </t>
  </si>
  <si>
    <t>TQ</t>
  </si>
  <si>
    <t>ND</t>
  </si>
  <si>
    <t>Santro small-SWIFT</t>
  </si>
  <si>
    <t>H.CITY</t>
  </si>
  <si>
    <t>507-AA</t>
  </si>
  <si>
    <t>OPEL ASTRA</t>
  </si>
  <si>
    <t>PC-86245</t>
  </si>
  <si>
    <t>508-AA</t>
  </si>
  <si>
    <t>SANTRO SMALL</t>
  </si>
  <si>
    <t>BOLERO</t>
  </si>
  <si>
    <t>GASKET 505/507</t>
  </si>
  <si>
    <t>O-RINGS</t>
  </si>
  <si>
    <t>10" Straight -80w</t>
  </si>
  <si>
    <t>10" 'S' 80w</t>
  </si>
  <si>
    <t>12" Straight -80w</t>
  </si>
  <si>
    <t>12" 'S' 80w</t>
  </si>
  <si>
    <t>12" 'S' 100w BEHR</t>
  </si>
  <si>
    <t>14" Straight -80w</t>
  </si>
  <si>
    <t>14" 'S' 100w JPI</t>
  </si>
  <si>
    <t>15" 'S' Scorpio</t>
  </si>
  <si>
    <t>16" 'S' Scorpio</t>
  </si>
  <si>
    <t>1 LITR</t>
  </si>
  <si>
    <t>Stock Sold</t>
  </si>
  <si>
    <t>ZEN R134A</t>
  </si>
  <si>
    <t>PC-86043</t>
  </si>
  <si>
    <t>COMP BACK PLATE</t>
  </si>
  <si>
    <t>HCC</t>
  </si>
  <si>
    <t>HOSE</t>
  </si>
  <si>
    <t>ZEN R12</t>
  </si>
  <si>
    <t>PC-86279</t>
  </si>
  <si>
    <t>PC-86270 R12</t>
  </si>
  <si>
    <t>PC-86270 R134</t>
  </si>
  <si>
    <t>PC-86093</t>
  </si>
  <si>
    <t>PC-86246B</t>
  </si>
  <si>
    <t>PC-86247</t>
  </si>
  <si>
    <t>PC-86248</t>
  </si>
  <si>
    <t>PC-86025</t>
  </si>
  <si>
    <t>PC-86207</t>
  </si>
  <si>
    <t>PC-86036</t>
  </si>
  <si>
    <t>PC-86037</t>
  </si>
  <si>
    <t>PC-86110</t>
  </si>
  <si>
    <t>PC-86038</t>
  </si>
  <si>
    <t>PC-86039</t>
  </si>
  <si>
    <t>PC-86186</t>
  </si>
  <si>
    <t>PC-86027B</t>
  </si>
  <si>
    <t>PC-86101</t>
  </si>
  <si>
    <t>PC-86027</t>
  </si>
  <si>
    <t>PC-86066</t>
  </si>
  <si>
    <t>PC-86041</t>
  </si>
  <si>
    <t>PC-86042</t>
  </si>
  <si>
    <t>PC-86087</t>
  </si>
  <si>
    <t>PC-86255B</t>
  </si>
  <si>
    <t>PC-86276</t>
  </si>
  <si>
    <t>PC-86277</t>
  </si>
  <si>
    <t>PC-86272</t>
  </si>
  <si>
    <t>PC-86278</t>
  </si>
  <si>
    <t>PC-86271</t>
  </si>
  <si>
    <t>PC-86269</t>
  </si>
  <si>
    <t>PC-86275</t>
  </si>
  <si>
    <t>PC-86274</t>
  </si>
  <si>
    <t>PC-86268</t>
  </si>
  <si>
    <t>PC-86013</t>
  </si>
  <si>
    <t>PC-086101</t>
  </si>
  <si>
    <t>PC-086102</t>
  </si>
  <si>
    <t>"F"</t>
  </si>
  <si>
    <t>"O"</t>
  </si>
  <si>
    <t>PC-A6</t>
  </si>
  <si>
    <t>PC-055R</t>
  </si>
  <si>
    <t>PC-510</t>
  </si>
  <si>
    <t>PC-614</t>
  </si>
  <si>
    <t>PC-142R</t>
  </si>
  <si>
    <t>PC-8095</t>
  </si>
  <si>
    <t>PC-533</t>
  </si>
  <si>
    <t>PC-043R</t>
  </si>
  <si>
    <t>PC-523</t>
  </si>
  <si>
    <t>PC-114R</t>
  </si>
  <si>
    <t>PC-036R12</t>
  </si>
  <si>
    <t>PC-036R-134</t>
  </si>
  <si>
    <t>PC-408</t>
  </si>
  <si>
    <t>PC-053</t>
  </si>
  <si>
    <t>PC-205</t>
  </si>
  <si>
    <t>PC-024R (origin PC-207)</t>
  </si>
  <si>
    <t>PC-135R</t>
  </si>
  <si>
    <t>PC-144R</t>
  </si>
  <si>
    <t>PC-7157</t>
  </si>
  <si>
    <t>PC-209</t>
  </si>
  <si>
    <t>PC-206</t>
  </si>
  <si>
    <t>PC-051R</t>
  </si>
  <si>
    <t>PC-407R</t>
  </si>
  <si>
    <t>PC-8084</t>
  </si>
  <si>
    <t xml:space="preserve"> PC-052R</t>
  </si>
  <si>
    <t>PC-8096</t>
  </si>
  <si>
    <t>PC-210</t>
  </si>
  <si>
    <t>PC-250R</t>
  </si>
  <si>
    <t>PC-7159</t>
  </si>
  <si>
    <t>PC-054</t>
  </si>
  <si>
    <t>PC-143R</t>
  </si>
  <si>
    <t>PC-079R</t>
  </si>
  <si>
    <t>PC-249R</t>
  </si>
  <si>
    <t>PC-7029</t>
  </si>
  <si>
    <t>NA</t>
  </si>
  <si>
    <t>PC-113R</t>
  </si>
  <si>
    <t>PC-211</t>
  </si>
  <si>
    <t>PC-8904R</t>
  </si>
  <si>
    <t>PC-8083</t>
  </si>
  <si>
    <t>PC-8905</t>
  </si>
  <si>
    <t>PC-012</t>
  </si>
  <si>
    <t>PC-207 (ORIGIN PC-203)</t>
  </si>
  <si>
    <t>PC-208</t>
  </si>
  <si>
    <t>PC-050R</t>
  </si>
  <si>
    <t>PC-204</t>
  </si>
  <si>
    <t>PC-8082</t>
  </si>
  <si>
    <t>PC-1054B</t>
  </si>
  <si>
    <t>PC-1091</t>
  </si>
  <si>
    <t>PC-1046</t>
  </si>
  <si>
    <t>PC-2126</t>
  </si>
  <si>
    <t>PC-1042A</t>
  </si>
  <si>
    <t>PC-1087</t>
  </si>
  <si>
    <t>PC-1045B</t>
  </si>
  <si>
    <t>PC-1525</t>
  </si>
  <si>
    <t>PC-1044A</t>
  </si>
  <si>
    <t>PC-1065</t>
  </si>
  <si>
    <t>PC-1066</t>
  </si>
  <si>
    <t>PC-1191</t>
  </si>
  <si>
    <t>PC-1052</t>
  </si>
  <si>
    <t>PC-1802B</t>
  </si>
  <si>
    <t>PC-1100</t>
  </si>
  <si>
    <t>PC-1229A</t>
  </si>
  <si>
    <t>PC-8002</t>
  </si>
  <si>
    <t>PC-1047B / 1801-A</t>
  </si>
  <si>
    <t>PC-8115</t>
  </si>
  <si>
    <t>PC-8797</t>
  </si>
  <si>
    <t>PC-8020</t>
  </si>
  <si>
    <t>PC-6002</t>
  </si>
  <si>
    <t>PC-61020</t>
  </si>
  <si>
    <t>PC-8008</t>
  </si>
  <si>
    <t>PC-8263</t>
  </si>
  <si>
    <t>PC-8321</t>
  </si>
  <si>
    <t>PC-6142</t>
  </si>
  <si>
    <t>PC-8031</t>
  </si>
  <si>
    <t>PC-8051</t>
  </si>
  <si>
    <t>PC-8047</t>
  </si>
  <si>
    <t>PC-8017</t>
  </si>
  <si>
    <t>PC-8120</t>
  </si>
  <si>
    <t>PC-8121</t>
  </si>
  <si>
    <t>PC-8115A</t>
  </si>
  <si>
    <t>PC-8115B</t>
  </si>
  <si>
    <t>PC-8122</t>
  </si>
  <si>
    <t>PC-6066</t>
  </si>
  <si>
    <t>Santro</t>
  </si>
  <si>
    <t>PC-8053</t>
  </si>
  <si>
    <t>F.DRIER</t>
  </si>
  <si>
    <t>PC-7038A</t>
  </si>
  <si>
    <t>PC-7053A</t>
  </si>
  <si>
    <t xml:space="preserve">PC-7058A </t>
  </si>
  <si>
    <t>PC-7046A</t>
  </si>
  <si>
    <t>PC-7059A</t>
  </si>
  <si>
    <t>PC-7032A</t>
  </si>
  <si>
    <t>PC-7031A</t>
  </si>
  <si>
    <t>PC-7034A</t>
  </si>
  <si>
    <t>PC-7061A</t>
  </si>
  <si>
    <t>PC-7001A-AA</t>
  </si>
  <si>
    <t>PC-7004A-AA</t>
  </si>
  <si>
    <t>PC-7001A-507-AA (507)</t>
  </si>
  <si>
    <t>PC-7004A-508 PART NO./508</t>
  </si>
  <si>
    <t>PC-7217</t>
  </si>
  <si>
    <t>PC-7237</t>
  </si>
  <si>
    <t>PC-7210</t>
  </si>
  <si>
    <t>PC-7085A</t>
  </si>
  <si>
    <t>TST-8801</t>
  </si>
  <si>
    <t>TS-8805</t>
  </si>
  <si>
    <t>TST-8801-A</t>
  </si>
  <si>
    <t>TS-8805-B</t>
  </si>
  <si>
    <t>TS-8805-CB</t>
  </si>
  <si>
    <t>TST-8801-B</t>
  </si>
  <si>
    <t>TS-8805-A</t>
  </si>
  <si>
    <t>CTNS</t>
  </si>
  <si>
    <t>SM-5</t>
  </si>
  <si>
    <t>SM-7</t>
  </si>
  <si>
    <t>SM-8</t>
  </si>
  <si>
    <t>SM-10</t>
  </si>
  <si>
    <t>505/507</t>
  </si>
  <si>
    <t>508/510</t>
  </si>
  <si>
    <t>ELANTRA-2006</t>
  </si>
  <si>
    <t>ELANTRA-2000</t>
  </si>
  <si>
    <t>8MM-LID</t>
  </si>
  <si>
    <t>11MM-DIS</t>
  </si>
  <si>
    <t>15MM-SUC</t>
  </si>
  <si>
    <t>PCS</t>
  </si>
  <si>
    <t>PC8115</t>
  </si>
  <si>
    <t>MICROBUS</t>
  </si>
  <si>
    <t>Packing:</t>
  </si>
  <si>
    <t>PC8321</t>
  </si>
  <si>
    <t>4-</t>
  </si>
  <si>
    <t>5-</t>
  </si>
  <si>
    <t>Skoda pipe sets for replacement</t>
  </si>
  <si>
    <t>54 sets</t>
  </si>
  <si>
    <t>6-</t>
  </si>
  <si>
    <t>7-</t>
  </si>
  <si>
    <t>24 PCS</t>
  </si>
  <si>
    <t>24PCS</t>
  </si>
  <si>
    <t>DIESAL</t>
  </si>
  <si>
    <t>ACCENT PETROL</t>
  </si>
  <si>
    <t>Opening-1.4.09</t>
  </si>
  <si>
    <t>goods rtn Dealer-026-bom</t>
  </si>
  <si>
    <t>25.04.09</t>
  </si>
  <si>
    <t>goods rtn Dealer-026-bom-2.5.09</t>
  </si>
  <si>
    <t>04.05.09</t>
  </si>
  <si>
    <t xml:space="preserve">  </t>
  </si>
  <si>
    <t>goods rtn Dealer-026-bom-3.6.09</t>
  </si>
  <si>
    <t>GG/004/09-10</t>
  </si>
  <si>
    <t>Dealer-004</t>
  </si>
  <si>
    <t>Address line (redacted)</t>
  </si>
  <si>
    <t>18.6.09</t>
  </si>
  <si>
    <t>22.06.09</t>
  </si>
  <si>
    <t>03.07.09</t>
  </si>
  <si>
    <t>DHL</t>
  </si>
  <si>
    <t>05.07.09</t>
  </si>
  <si>
    <t>Replacement of Skoda coil pipe set</t>
  </si>
  <si>
    <t>40sets</t>
  </si>
  <si>
    <t>NOT FOR COMMERCIAL USE</t>
  </si>
  <si>
    <t>29.07.09</t>
  </si>
  <si>
    <t>PFMICROBUS;PARALLFLOWMICROBUS;MULTIFLOWMICROBUS;848L</t>
  </si>
  <si>
    <t>15.10.09</t>
  </si>
  <si>
    <t>17.10.09</t>
  </si>
  <si>
    <t>27.10.09</t>
  </si>
  <si>
    <t>24.01.10</t>
  </si>
  <si>
    <t>05.02.10</t>
  </si>
  <si>
    <t>25.02.10</t>
  </si>
  <si>
    <t>16.02.10</t>
  </si>
  <si>
    <t>04.04.09</t>
  </si>
  <si>
    <t>GG/005/09-10</t>
  </si>
  <si>
    <t>24.03.10</t>
  </si>
  <si>
    <t>16.03.10</t>
  </si>
  <si>
    <t>Uni Condenser-25x28x26mm</t>
  </si>
  <si>
    <t>Total pur qty</t>
  </si>
  <si>
    <t>08.04.09</t>
  </si>
  <si>
    <t>GG/006/09-10</t>
  </si>
  <si>
    <t>VARNA PETROL</t>
  </si>
  <si>
    <t>TOKODEN FAN</t>
  </si>
  <si>
    <t>12"-Straight</t>
  </si>
  <si>
    <t>PF MICROBUS</t>
  </si>
  <si>
    <t>(without Grill, Switch, Wire)</t>
  </si>
  <si>
    <t>(with Grill, Switch, Wire)</t>
  </si>
  <si>
    <t>GG/007/09-10</t>
  </si>
  <si>
    <t>MINIBUS</t>
  </si>
  <si>
    <t>Address line (redacted)</t>
  </si>
  <si>
    <t>SOLD QTY</t>
  </si>
  <si>
    <t>ROW CLASS (added by recon - not ledger data)</t>
  </si>
  <si>
    <t>SANTRO XING 4 SPEED-TAKAI</t>
  </si>
  <si>
    <t>DATED-NO-NUMBER</t>
  </si>
  <si>
    <t>CHALLAN</t>
  </si>
  <si>
    <t>09.04.09</t>
  </si>
  <si>
    <t>10.04.09</t>
  </si>
  <si>
    <t>GG/009/09-10</t>
  </si>
  <si>
    <t>GG/008/09-10</t>
  </si>
  <si>
    <t>17.4.09</t>
  </si>
  <si>
    <t>TOKAI INNOVA A/C SWITCH</t>
  </si>
  <si>
    <t>17.04.09</t>
  </si>
  <si>
    <t>18.4.09</t>
  </si>
  <si>
    <t>GG/013/09-10</t>
  </si>
  <si>
    <t>21.4.09</t>
  </si>
  <si>
    <t>GG/014/09-10</t>
  </si>
  <si>
    <t>22.04.09</t>
  </si>
  <si>
    <t>MF UNIVERSAL COND.</t>
  </si>
  <si>
    <t>25X28X26mm</t>
  </si>
  <si>
    <t>25.4.09</t>
  </si>
  <si>
    <t>GG/019/09-10</t>
  </si>
  <si>
    <t>25X28X20mm</t>
  </si>
  <si>
    <t>26.4.09</t>
  </si>
  <si>
    <t>GG/021/09-10</t>
  </si>
  <si>
    <t>12" STRAIGHT</t>
  </si>
  <si>
    <t>COMPANY-A SONATA DRIER</t>
  </si>
  <si>
    <t>GG/020/09-10</t>
  </si>
  <si>
    <t>27.4.09</t>
  </si>
  <si>
    <t>28.4.09</t>
  </si>
  <si>
    <t>29.04.09</t>
  </si>
  <si>
    <t>30.04.09</t>
  </si>
  <si>
    <t>SK;SKBLOWER;UNICLASK;UNICLASKBLOWER</t>
  </si>
  <si>
    <t>A STAR</t>
  </si>
  <si>
    <t>GG/010/09-10</t>
  </si>
  <si>
    <t>CONDENSER</t>
  </si>
  <si>
    <t>GG/029/09-10</t>
  </si>
  <si>
    <t>GG/030/09-10</t>
  </si>
  <si>
    <t>05.05.09</t>
  </si>
  <si>
    <t>09.05.09</t>
  </si>
  <si>
    <t>GG/033/09-10</t>
  </si>
  <si>
    <t>034/09-10</t>
  </si>
  <si>
    <t>11.05.09</t>
  </si>
  <si>
    <t>035/09-10</t>
  </si>
  <si>
    <t>GG/011/09-10</t>
  </si>
  <si>
    <t>036/09-10</t>
  </si>
  <si>
    <t>037/09-10</t>
  </si>
  <si>
    <t>LESS 3 PCS SHORT</t>
  </si>
  <si>
    <t>13.05.09</t>
  </si>
  <si>
    <t>038/09-10</t>
  </si>
  <si>
    <t>CONCORD;UNICLACONCORD;UNICALCONCORD;CONCORDSUPERIOR;CONCORDBEIGE</t>
  </si>
  <si>
    <t>GG/012/09-10</t>
  </si>
  <si>
    <t>COMPANY-A COOLING COIL</t>
  </si>
  <si>
    <t>039/09-10</t>
  </si>
  <si>
    <t>ESTEEM R-134A</t>
  </si>
  <si>
    <t>PC-036R134A</t>
  </si>
  <si>
    <t>PC-050R12</t>
  </si>
  <si>
    <t>VARNA</t>
  </si>
  <si>
    <t>PC-207</t>
  </si>
  <si>
    <t>16.05.09</t>
  </si>
  <si>
    <t>040/09-10</t>
  </si>
  <si>
    <t>FORD FEISTA</t>
  </si>
  <si>
    <t>041/09-10</t>
  </si>
  <si>
    <t>18.05.09</t>
  </si>
  <si>
    <t>042/09-10</t>
  </si>
  <si>
    <t>20.05.09</t>
  </si>
  <si>
    <t>043/09-10</t>
  </si>
  <si>
    <t>18.05.06</t>
  </si>
  <si>
    <t>044/09-10</t>
  </si>
  <si>
    <t>21.05.09</t>
  </si>
  <si>
    <t>045/09-10</t>
  </si>
  <si>
    <t>18.04.09</t>
  </si>
  <si>
    <t>046/09-10</t>
  </si>
  <si>
    <t>047/09-10</t>
  </si>
  <si>
    <t>048/09-10</t>
  </si>
  <si>
    <t>25.05.09</t>
  </si>
  <si>
    <t>049/09-10</t>
  </si>
  <si>
    <t>050/09-10</t>
  </si>
  <si>
    <t>051/09-10</t>
  </si>
  <si>
    <t>052/09-10</t>
  </si>
  <si>
    <t>MARUTI 800 MPFI</t>
  </si>
  <si>
    <t>053/09-10</t>
  </si>
  <si>
    <t>27.05.09</t>
  </si>
  <si>
    <t>054/09-10</t>
  </si>
  <si>
    <t>055/09-10</t>
  </si>
  <si>
    <t>21.04.09</t>
  </si>
  <si>
    <t>14X21X20</t>
  </si>
  <si>
    <t>056/09-10</t>
  </si>
  <si>
    <t>057/09-10</t>
  </si>
  <si>
    <t>31.05.09</t>
  </si>
  <si>
    <t>058/09-10</t>
  </si>
  <si>
    <t>01.06.09</t>
  </si>
  <si>
    <t>059/09-10</t>
  </si>
  <si>
    <t>04.06.09</t>
  </si>
  <si>
    <t>060/09-10</t>
  </si>
  <si>
    <t>05.06.09</t>
  </si>
  <si>
    <t>061/09-10</t>
  </si>
  <si>
    <t>062/09-10</t>
  </si>
  <si>
    <t>GG/015/09-10</t>
  </si>
  <si>
    <t>063/09-10</t>
  </si>
  <si>
    <t>064/09-10</t>
  </si>
  <si>
    <t>405;405SUPERKING;SUPERKING;SK405;FSK405;405BLOWER;F405SUPERKINGBLOWER;BLOWERSUPERKING;FORMULA405SUPERKINGBLOWER;FSUPERKING405</t>
  </si>
  <si>
    <t>06.06.09</t>
  </si>
  <si>
    <t>065/09-10</t>
  </si>
  <si>
    <t>GD/003/09-10</t>
  </si>
  <si>
    <t>14X21X22</t>
  </si>
  <si>
    <t>10.06.09</t>
  </si>
  <si>
    <t>066/09-10</t>
  </si>
  <si>
    <t>14X21X26</t>
  </si>
  <si>
    <t>13.06.09</t>
  </si>
  <si>
    <t>067/09-10</t>
  </si>
  <si>
    <t>MARUTI (F)</t>
  </si>
  <si>
    <t>PC8047</t>
  </si>
  <si>
    <t>MARUTI (O)</t>
  </si>
  <si>
    <t>068/09-10</t>
  </si>
  <si>
    <t>15.6.09</t>
  </si>
  <si>
    <t>069/09-10</t>
  </si>
  <si>
    <t>HONDA CITY T-3</t>
  </si>
  <si>
    <t>not for sale</t>
  </si>
  <si>
    <t>070/09-10</t>
  </si>
  <si>
    <t>14X23X22</t>
  </si>
  <si>
    <t>17.6.09</t>
  </si>
  <si>
    <t>071/09-10</t>
  </si>
  <si>
    <t>404;404BLOWER;BAZEL404;F404BAZEL;F404BAZELBLOWER;BAZELBLOWER404</t>
  </si>
  <si>
    <t>14X23X26</t>
  </si>
  <si>
    <t>072/09-10</t>
  </si>
  <si>
    <t>14X23X44</t>
  </si>
  <si>
    <t>073/09-10</t>
  </si>
  <si>
    <t>074/09-10</t>
  </si>
  <si>
    <t>19.6.09</t>
  </si>
  <si>
    <t>076/09-10</t>
  </si>
  <si>
    <t>14X25X44</t>
  </si>
  <si>
    <t>GG/016/09-10</t>
  </si>
  <si>
    <t>19.06.09</t>
  </si>
  <si>
    <t>075/09-10</t>
  </si>
  <si>
    <t>14X28X44</t>
  </si>
  <si>
    <t>BLOWER</t>
  </si>
  <si>
    <t xml:space="preserve">  'F' SK-405</t>
  </si>
  <si>
    <t>MODEL 405</t>
  </si>
  <si>
    <t>COMP. OIL</t>
  </si>
  <si>
    <t>077/09-10</t>
  </si>
  <si>
    <t>SK BLOWER</t>
  </si>
  <si>
    <t>short goods</t>
  </si>
  <si>
    <t>GG/017/09-10</t>
  </si>
  <si>
    <t>ADJUSTMENT</t>
  </si>
  <si>
    <t>23.06.09</t>
  </si>
  <si>
    <t>078/09-10</t>
  </si>
  <si>
    <t>ACCENT</t>
  </si>
  <si>
    <t>CONCORDWHEEL</t>
  </si>
  <si>
    <t>CANCELL</t>
  </si>
  <si>
    <t>079/09-10</t>
  </si>
  <si>
    <t>SANTRO A/C SWITCH</t>
  </si>
  <si>
    <t>TOKAI</t>
  </si>
  <si>
    <t>404 BLOWER</t>
  </si>
  <si>
    <t>080/09-10</t>
  </si>
  <si>
    <t>405 BLOWER</t>
  </si>
  <si>
    <t>COMPANYA A-6</t>
  </si>
  <si>
    <t>081/09-10</t>
  </si>
  <si>
    <t>BALENO</t>
  </si>
  <si>
    <t>GG/018/09-10</t>
  </si>
  <si>
    <t>MULTIFLOW MICROBUS</t>
  </si>
  <si>
    <t>082/09-10</t>
  </si>
  <si>
    <t>(WTIHOUT GRILL &amp; SWITCH)</t>
  </si>
  <si>
    <t>(WTIH GRILL+SWITCH)</t>
  </si>
  <si>
    <t>"F" SUPERKING 405</t>
  </si>
  <si>
    <t>083/09-10</t>
  </si>
  <si>
    <t>A-6</t>
  </si>
  <si>
    <t>084/09-10</t>
  </si>
  <si>
    <t>24.06.09</t>
  </si>
  <si>
    <t>085/09-10</t>
  </si>
  <si>
    <t>CONCORDMOTOR</t>
  </si>
  <si>
    <t>086/09-10</t>
  </si>
  <si>
    <t>GG/0/09-10</t>
  </si>
  <si>
    <t>Dealer-005</t>
  </si>
  <si>
    <t>Address line (redacted)</t>
  </si>
  <si>
    <t>Address line (redacted)</t>
  </si>
  <si>
    <t>Through: Transporter-002</t>
  </si>
  <si>
    <t>087/09-10</t>
  </si>
  <si>
    <t xml:space="preserve">According to instructions we are sending followng goods. Please acknowledge the same and after your </t>
  </si>
  <si>
    <t>acknowledgement we will issue you sales invoice.</t>
  </si>
  <si>
    <t>25.06.09</t>
  </si>
  <si>
    <t>088/09-10</t>
  </si>
  <si>
    <t>089/09-10</t>
  </si>
  <si>
    <t>ESTEEM R 12</t>
  </si>
  <si>
    <t>26.06.09</t>
  </si>
  <si>
    <t>090/09-10</t>
  </si>
  <si>
    <t>Comp. Oil 1 Liter</t>
  </si>
  <si>
    <t>CANCEL</t>
  </si>
  <si>
    <t>091/09-10</t>
  </si>
  <si>
    <t>ESTEEM R 134A</t>
  </si>
  <si>
    <t>27.06.09</t>
  </si>
  <si>
    <t>092/09-10</t>
  </si>
  <si>
    <t>29.6.09</t>
  </si>
  <si>
    <t>093/09-10</t>
  </si>
  <si>
    <t>01.07.09</t>
  </si>
  <si>
    <t>094/09-10</t>
  </si>
  <si>
    <t>Dealer-006</t>
  </si>
  <si>
    <t>Address line (redacted)</t>
  </si>
  <si>
    <t>Address line (redacted)</t>
  </si>
  <si>
    <t>095/09-10</t>
  </si>
  <si>
    <t>Switches</t>
  </si>
  <si>
    <t>02.07.09</t>
  </si>
  <si>
    <t>096/09-10</t>
  </si>
  <si>
    <t>Match Key(s)</t>
  </si>
  <si>
    <t>Stock col idx</t>
  </si>
  <si>
    <t>Guard</t>
  </si>
  <si>
    <t>097/09-10</t>
  </si>
  <si>
    <t>098/09-10</t>
  </si>
  <si>
    <t>099/09-10</t>
  </si>
  <si>
    <t>100/09-10</t>
  </si>
  <si>
    <t>cancell</t>
  </si>
  <si>
    <t>101/09-10</t>
  </si>
  <si>
    <t>102/09-10</t>
  </si>
  <si>
    <t>26.04.09</t>
  </si>
  <si>
    <t>Dealer-007</t>
  </si>
  <si>
    <t>Address line (redacted)</t>
  </si>
  <si>
    <t>103/09-10</t>
  </si>
  <si>
    <t>According to instructions we are sending followng goods. Please acknowledge/ receipt the goods</t>
  </si>
  <si>
    <t>and after your acknowledgement we will issue you sales invoice.</t>
  </si>
  <si>
    <t>104/09-10</t>
  </si>
  <si>
    <t>Nos of PC, PER PACK</t>
  </si>
  <si>
    <t>COMP.OIL 1LITR</t>
  </si>
  <si>
    <t>30.06.09</t>
  </si>
  <si>
    <t>gd/005/09-10</t>
  </si>
  <si>
    <t>gd/006/09-10</t>
  </si>
  <si>
    <t>LANCER HCC</t>
  </si>
  <si>
    <t>F' 405 SUPERKING BLOWER</t>
  </si>
  <si>
    <t>06.07.09</t>
  </si>
  <si>
    <t>105/09-10</t>
  </si>
  <si>
    <t>08.07.09</t>
  </si>
  <si>
    <t>106/09-10</t>
  </si>
  <si>
    <t>F' 404 BAZEL BLOWER</t>
  </si>
  <si>
    <t>09.07.09</t>
  </si>
  <si>
    <t>107/09-10</t>
  </si>
  <si>
    <t>DRIER ESTEEM R12</t>
  </si>
  <si>
    <t>DRIER BALERO/AMBASDER</t>
  </si>
  <si>
    <t>PC8120</t>
  </si>
  <si>
    <t>108/09-10</t>
  </si>
  <si>
    <t>DRIER MARUTI (O)</t>
  </si>
  <si>
    <t>14.07.09</t>
  </si>
  <si>
    <t>109/09-10</t>
  </si>
  <si>
    <t>DRIER FORD IKON</t>
  </si>
  <si>
    <t>PC-052R</t>
  </si>
  <si>
    <t>8-</t>
  </si>
  <si>
    <t>COMPANY-A A-6</t>
  </si>
  <si>
    <t>17.07.09</t>
  </si>
  <si>
    <t>110/09-10</t>
  </si>
  <si>
    <t>9-</t>
  </si>
  <si>
    <t>SCORPIO COOLING COIL</t>
  </si>
  <si>
    <t>10-</t>
  </si>
  <si>
    <t>111/09-10</t>
  </si>
  <si>
    <t>OPEL</t>
  </si>
  <si>
    <t>11-</t>
  </si>
  <si>
    <t>TOKODEN 12" (STRAIGHT) FAN</t>
  </si>
  <si>
    <t>12-</t>
  </si>
  <si>
    <t>TOKODEN 14" JPI FAN</t>
  </si>
  <si>
    <t>20.07.09</t>
  </si>
  <si>
    <t>112/09-10</t>
  </si>
  <si>
    <t>13-</t>
  </si>
  <si>
    <t>SKODA PIPE SET FOR REPLACEMENT</t>
  </si>
  <si>
    <t>sample</t>
  </si>
  <si>
    <t>113/09-10</t>
  </si>
  <si>
    <t>6SET</t>
  </si>
  <si>
    <t>CORSA</t>
  </si>
  <si>
    <t>31.07.09</t>
  </si>
  <si>
    <t>114/09-10</t>
  </si>
  <si>
    <t>3SPEEDACSANTROSWITCH;SANTROACSWITCH</t>
  </si>
  <si>
    <t>115/09-10</t>
  </si>
  <si>
    <t>116/09-10</t>
  </si>
  <si>
    <t>27.04.09</t>
  </si>
  <si>
    <t>GG/022/09-10</t>
  </si>
  <si>
    <t>01.08.09</t>
  </si>
  <si>
    <t>117/09-10</t>
  </si>
  <si>
    <t>sim</t>
  </si>
  <si>
    <t>03.08.09</t>
  </si>
  <si>
    <t>118/09-10</t>
  </si>
  <si>
    <t>119/09-10</t>
  </si>
  <si>
    <t>SANTRO XING</t>
  </si>
  <si>
    <t>05.08.09</t>
  </si>
  <si>
    <t>120/09-10</t>
  </si>
  <si>
    <t>GG/023/09-10</t>
  </si>
  <si>
    <t>07.08.09</t>
  </si>
  <si>
    <t>gd/002/09-10</t>
  </si>
  <si>
    <t>10.8.019</t>
  </si>
  <si>
    <t>121/09-10</t>
  </si>
  <si>
    <t>122/09-10</t>
  </si>
  <si>
    <t>GG/024/09-10</t>
  </si>
  <si>
    <t>10.08.09</t>
  </si>
  <si>
    <t>gd/003/09-10</t>
  </si>
  <si>
    <t>123/09-10</t>
  </si>
  <si>
    <t>11.08.09</t>
  </si>
  <si>
    <t>124/09-10</t>
  </si>
  <si>
    <t>12.08.09</t>
  </si>
  <si>
    <t>125/09-10</t>
  </si>
  <si>
    <t>25.08.09</t>
  </si>
  <si>
    <t>126/09-10</t>
  </si>
  <si>
    <t>GG/025/09-10</t>
  </si>
  <si>
    <t>127/09-10</t>
  </si>
  <si>
    <t>128/09-10</t>
  </si>
  <si>
    <t>27.08.09</t>
  </si>
  <si>
    <t>129/09-10</t>
  </si>
  <si>
    <t>130/09-10</t>
  </si>
  <si>
    <t>SK COIL</t>
  </si>
  <si>
    <t>GG/026/09-10</t>
  </si>
  <si>
    <t>GD/008/09-10</t>
  </si>
  <si>
    <t>05.09.09</t>
  </si>
  <si>
    <t>131/09-10</t>
  </si>
  <si>
    <t>132/09-10</t>
  </si>
  <si>
    <t>133/09-10</t>
  </si>
  <si>
    <t>09.09.09</t>
  </si>
  <si>
    <t>134/09-10</t>
  </si>
  <si>
    <t>11.09.09</t>
  </si>
  <si>
    <t>135/09-10</t>
  </si>
  <si>
    <t>GG/027/09-10</t>
  </si>
  <si>
    <t>136/09-10</t>
  </si>
  <si>
    <t>137/09-10</t>
  </si>
  <si>
    <t>PC86093</t>
  </si>
  <si>
    <t>14.09.09</t>
  </si>
  <si>
    <t>GD/007/09-10</t>
  </si>
  <si>
    <t>TOKAISANTROXINGACSWITCH;SANTROXINGACSWITCH;SANTROXING</t>
  </si>
  <si>
    <t>15.09.09</t>
  </si>
  <si>
    <t>138/09-10</t>
  </si>
  <si>
    <t>GG/028/09-10</t>
  </si>
  <si>
    <t>139/09-10</t>
  </si>
  <si>
    <t>CONDENSOR</t>
  </si>
  <si>
    <t>Indica Behr R134 a</t>
  </si>
  <si>
    <t xml:space="preserve">indigo </t>
  </si>
  <si>
    <t>INDICA BEHR</t>
  </si>
  <si>
    <t>19.09.09</t>
  </si>
  <si>
    <t>140/09-10</t>
  </si>
  <si>
    <t>141/09-10</t>
  </si>
  <si>
    <t>22.09.09</t>
  </si>
  <si>
    <t>142/09-10</t>
  </si>
  <si>
    <t>23.09.09</t>
  </si>
  <si>
    <t>143/09-10</t>
  </si>
  <si>
    <t>25.09.09</t>
  </si>
  <si>
    <t>144/09-10</t>
  </si>
  <si>
    <t>26.09.09</t>
  </si>
  <si>
    <t>145/09-10</t>
  </si>
  <si>
    <t>146/09-10</t>
  </si>
  <si>
    <t>TOKODEN 12"X10</t>
  </si>
  <si>
    <t>STRAIGHT</t>
  </si>
  <si>
    <t>30.09.09</t>
  </si>
  <si>
    <t>147/09-10</t>
  </si>
  <si>
    <t>148/09-10</t>
  </si>
  <si>
    <t>149/09-10</t>
  </si>
  <si>
    <t>01.10.09</t>
  </si>
  <si>
    <t>150/09-10</t>
  </si>
  <si>
    <t xml:space="preserve">151/09-10 to 159/09-10 </t>
  </si>
  <si>
    <t>COMPANY-A</t>
  </si>
  <si>
    <t>is not made due to mistake</t>
  </si>
  <si>
    <t>160/09-10</t>
  </si>
  <si>
    <t>14" STRAIGHT</t>
  </si>
  <si>
    <t>TOKODEN</t>
  </si>
  <si>
    <t>161/09-10</t>
  </si>
  <si>
    <t>INNOVA;INNOVAACSWITCH;INNOVAACSWTICH;TOKAIINNOVAACSWITCH</t>
  </si>
  <si>
    <t>07.10.09</t>
  </si>
  <si>
    <t>162/09-10</t>
  </si>
  <si>
    <t>163/09-10</t>
  </si>
  <si>
    <t>GG/031/09-10</t>
  </si>
  <si>
    <t>164/09-10</t>
  </si>
  <si>
    <t>Zen Delphi R-12</t>
  </si>
  <si>
    <t>165/09-10</t>
  </si>
  <si>
    <t>05.10.09</t>
  </si>
  <si>
    <t>166/09-10</t>
  </si>
  <si>
    <t>GG/032/09-10</t>
  </si>
  <si>
    <t>GD/009/09-10</t>
  </si>
  <si>
    <t>ZEN DELPHI R 12</t>
  </si>
  <si>
    <t>Zen Delphi R-134a</t>
  </si>
  <si>
    <t>"F" 404 BAZEL</t>
  </si>
  <si>
    <t>06.10.09</t>
  </si>
  <si>
    <t>167/09-10</t>
  </si>
  <si>
    <t>08.10.09</t>
  </si>
  <si>
    <t>168/09-10</t>
  </si>
  <si>
    <t>ZEN DELPHI R 134A</t>
  </si>
  <si>
    <t>PAYMENT WITHIN 15 DAYS.</t>
  </si>
  <si>
    <t>GD/006/09-10</t>
  </si>
  <si>
    <t>09.10.09</t>
  </si>
  <si>
    <t>169/09-10</t>
  </si>
  <si>
    <t>10.10.09</t>
  </si>
  <si>
    <t>170/09-10</t>
  </si>
  <si>
    <t>BAZEL BLOWER-404</t>
  </si>
  <si>
    <t>171/09-10</t>
  </si>
  <si>
    <t>COMPANY-A FLAIR DRIER</t>
  </si>
  <si>
    <t>INNOVA A/C SWITCH</t>
  </si>
  <si>
    <t>16.10.09</t>
  </si>
  <si>
    <t>172/09-10</t>
  </si>
  <si>
    <t xml:space="preserve">TOKODEN FAN 12" </t>
  </si>
  <si>
    <t>STREIGHT</t>
  </si>
  <si>
    <t>173/09-10</t>
  </si>
  <si>
    <t>26.10.09</t>
  </si>
  <si>
    <t>174/09-10</t>
  </si>
  <si>
    <t>GG/034/09-10</t>
  </si>
  <si>
    <t>UNICLA CONCORD</t>
  </si>
  <si>
    <t>GD/010/09-10</t>
  </si>
  <si>
    <t>PC1054B</t>
  </si>
  <si>
    <t>175/09-10</t>
  </si>
  <si>
    <t>28.10.09</t>
  </si>
  <si>
    <t>176/09-10</t>
  </si>
  <si>
    <t>GG/035/09-10</t>
  </si>
  <si>
    <t>177/09-10</t>
  </si>
  <si>
    <t>178/09-10</t>
  </si>
  <si>
    <t>BLOWER SUPERKING</t>
  </si>
  <si>
    <t>29.10.09</t>
  </si>
  <si>
    <t>179/09-10</t>
  </si>
  <si>
    <t>CONDENSER-SCORPIO</t>
  </si>
  <si>
    <t>180/09-10</t>
  </si>
  <si>
    <t>30.10.09</t>
  </si>
  <si>
    <t>181/09-10</t>
  </si>
  <si>
    <t>182/09-10</t>
  </si>
  <si>
    <t>GG/036/09-10</t>
  </si>
  <si>
    <t>Dealer-001</t>
  </si>
  <si>
    <t>Address line (redacted)</t>
  </si>
  <si>
    <t>04.11.09</t>
  </si>
  <si>
    <t>183/09-10</t>
  </si>
  <si>
    <t>184/09-10</t>
  </si>
  <si>
    <t>Through:</t>
  </si>
  <si>
    <t>Dealer-008</t>
  </si>
  <si>
    <t>Address line (redacted)</t>
  </si>
  <si>
    <t>Address line (redacted)</t>
  </si>
  <si>
    <t>05.11.09</t>
  </si>
  <si>
    <t>185/09-10</t>
  </si>
  <si>
    <t>Comp. Oil</t>
  </si>
  <si>
    <t>1ltr</t>
  </si>
  <si>
    <t>06.11.09</t>
  </si>
  <si>
    <t>186/09-10</t>
  </si>
  <si>
    <t>11.11.09</t>
  </si>
  <si>
    <t>187/09-10</t>
  </si>
  <si>
    <t>188/09-10</t>
  </si>
  <si>
    <t>189/09-10</t>
  </si>
  <si>
    <t>190/09-10</t>
  </si>
  <si>
    <t>GG/037/09-10</t>
  </si>
  <si>
    <t>12.11.09</t>
  </si>
  <si>
    <t>191/09-10</t>
  </si>
  <si>
    <t>PC1091</t>
  </si>
  <si>
    <t>DYE</t>
  </si>
  <si>
    <t>192/09-10</t>
  </si>
  <si>
    <t>13.11.09</t>
  </si>
  <si>
    <t>193/09-10</t>
  </si>
  <si>
    <t>194/09-10</t>
  </si>
  <si>
    <t>195/09-10</t>
  </si>
  <si>
    <t>196/09-10</t>
  </si>
  <si>
    <t>16.11.09</t>
  </si>
  <si>
    <t>197/09-10</t>
  </si>
  <si>
    <t>198/09-10</t>
  </si>
  <si>
    <t>199/09-10</t>
  </si>
  <si>
    <t>17.11.09</t>
  </si>
  <si>
    <t>200/09-10</t>
  </si>
  <si>
    <t>201/09-10</t>
  </si>
  <si>
    <t>SHORT/EXCESS/SAMPLE</t>
  </si>
  <si>
    <t>SUPERKING COIL</t>
  </si>
  <si>
    <t>20.11.09</t>
  </si>
  <si>
    <t>202/09-10</t>
  </si>
  <si>
    <t>PC1046</t>
  </si>
  <si>
    <t>203/09-10</t>
  </si>
  <si>
    <t>21.11.09</t>
  </si>
  <si>
    <t>204/09-10</t>
  </si>
  <si>
    <t>23.11.09</t>
  </si>
  <si>
    <t>205/09-10</t>
  </si>
  <si>
    <t>24.11.09</t>
  </si>
  <si>
    <t>GD/015/09-10</t>
  </si>
  <si>
    <t>206/09-10</t>
  </si>
  <si>
    <t>OPEL BIG</t>
  </si>
  <si>
    <t>25.11.09</t>
  </si>
  <si>
    <t>207/09-10</t>
  </si>
  <si>
    <t>26.11.09</t>
  </si>
  <si>
    <t>208/09-10</t>
  </si>
  <si>
    <t>209/09-10</t>
  </si>
  <si>
    <t>GG/038/09-10</t>
  </si>
  <si>
    <t>29.11.09</t>
  </si>
  <si>
    <t>210/09-10</t>
  </si>
  <si>
    <t>211/09-10</t>
  </si>
  <si>
    <t>PC2126</t>
  </si>
  <si>
    <t>01.12.09</t>
  </si>
  <si>
    <t>212/09-10</t>
  </si>
  <si>
    <t>COMPANY-A MATIZ DRIER</t>
  </si>
  <si>
    <t>03.12.09</t>
  </si>
  <si>
    <t>PC8096NEW</t>
  </si>
  <si>
    <t>213/09-10</t>
  </si>
  <si>
    <t>214/09-10</t>
  </si>
  <si>
    <t>GG/039/09-10</t>
  </si>
  <si>
    <t>04.12.09</t>
  </si>
  <si>
    <t>215/09-10</t>
  </si>
  <si>
    <t>05.12.09</t>
  </si>
  <si>
    <t>216/09-10</t>
  </si>
  <si>
    <t>07.12.09</t>
  </si>
  <si>
    <t>217/09-10</t>
  </si>
  <si>
    <t>GG/040/09-10</t>
  </si>
  <si>
    <t>08.12.09</t>
  </si>
  <si>
    <t>218/09-10</t>
  </si>
  <si>
    <t>PC1042A</t>
  </si>
  <si>
    <t>219/09-10</t>
  </si>
  <si>
    <t>GG/041/09-10</t>
  </si>
  <si>
    <t>09.12.09</t>
  </si>
  <si>
    <t>220/09-10</t>
  </si>
  <si>
    <t>10.12.09</t>
  </si>
  <si>
    <t>221/09-10</t>
  </si>
  <si>
    <t>222/09-10</t>
  </si>
  <si>
    <t>11.12.09</t>
  </si>
  <si>
    <t>223/09-10</t>
  </si>
  <si>
    <t>224/09-10</t>
  </si>
  <si>
    <t>THERMOSTAT</t>
  </si>
  <si>
    <t>PC1087</t>
  </si>
  <si>
    <t>225/09-10</t>
  </si>
  <si>
    <t>14.12.09</t>
  </si>
  <si>
    <t>GD/017/09-10</t>
  </si>
  <si>
    <t>226/09-10</t>
  </si>
  <si>
    <t>19.12.09</t>
  </si>
  <si>
    <t>227/09-10</t>
  </si>
  <si>
    <t>22.12.09</t>
  </si>
  <si>
    <t>228/09-10</t>
  </si>
  <si>
    <t>24.12.09</t>
  </si>
  <si>
    <t>229/09-10</t>
  </si>
  <si>
    <t>230/09-10</t>
  </si>
  <si>
    <t>26.12.09</t>
  </si>
  <si>
    <t>231/09-10</t>
  </si>
  <si>
    <t>GG/042/09-10</t>
  </si>
  <si>
    <t>232/09-10</t>
  </si>
  <si>
    <t>29.12.09</t>
  </si>
  <si>
    <t>233/09-10</t>
  </si>
  <si>
    <t>COMPPRESSOR OIL</t>
  </si>
  <si>
    <t>UNICLA-1 LTR</t>
  </si>
  <si>
    <t>234/09-10</t>
  </si>
  <si>
    <t>SHOHAN</t>
  </si>
  <si>
    <t>235/09-10</t>
  </si>
  <si>
    <t>INDIGO COOLING COIL</t>
  </si>
  <si>
    <t>PC-</t>
  </si>
  <si>
    <t>12.01.10</t>
  </si>
  <si>
    <t>236/09-10</t>
  </si>
  <si>
    <t>13.01.10</t>
  </si>
  <si>
    <t>237/09-10</t>
  </si>
  <si>
    <t>238/09-10</t>
  </si>
  <si>
    <t>239/09-10</t>
  </si>
  <si>
    <t>GG/043/09-10</t>
  </si>
  <si>
    <t>15.01.10</t>
  </si>
  <si>
    <t>240/09-10</t>
  </si>
  <si>
    <t>PC1045B</t>
  </si>
  <si>
    <t>241/09-10</t>
  </si>
  <si>
    <t>CONCORD</t>
  </si>
  <si>
    <t>UNICLA</t>
  </si>
  <si>
    <t>16.01.10</t>
  </si>
  <si>
    <t>242/09-10</t>
  </si>
  <si>
    <t>(4-BEIGE, 2-GREY)</t>
  </si>
  <si>
    <t>COMPANY-A SANTRO COIL</t>
  </si>
  <si>
    <t>19.01.10</t>
  </si>
  <si>
    <t>243/09-10</t>
  </si>
  <si>
    <t>20.01.10</t>
  </si>
  <si>
    <t>GD/021/09-10</t>
  </si>
  <si>
    <t>21.01.10</t>
  </si>
  <si>
    <t>GD/012/09-10</t>
  </si>
  <si>
    <t>GG/044/09-10</t>
  </si>
  <si>
    <t>244/09-10</t>
  </si>
  <si>
    <t>245/09-10</t>
  </si>
  <si>
    <t>COMPANY-A SANTRO XING</t>
  </si>
  <si>
    <t>246/09-10</t>
  </si>
  <si>
    <t>247/09-10</t>
  </si>
  <si>
    <t>248/09-10</t>
  </si>
  <si>
    <t>249/09-10</t>
  </si>
  <si>
    <t>25.01.10</t>
  </si>
  <si>
    <t>250/09-10</t>
  </si>
  <si>
    <t>GG/045/09-10</t>
  </si>
  <si>
    <t>27.01.10</t>
  </si>
  <si>
    <t>251/09-10</t>
  </si>
  <si>
    <t>252/09-10</t>
  </si>
  <si>
    <t>COMPANY-A PF CONDENSER</t>
  </si>
  <si>
    <t>28.01.10</t>
  </si>
  <si>
    <t>253/09-10</t>
  </si>
  <si>
    <t>30.01.10</t>
  </si>
  <si>
    <t>254/09-10</t>
  </si>
  <si>
    <t>PC1525</t>
  </si>
  <si>
    <t>255/09-10</t>
  </si>
  <si>
    <t>256/09-10</t>
  </si>
  <si>
    <t>257/09-10</t>
  </si>
  <si>
    <t>01.02.10</t>
  </si>
  <si>
    <t>258/09-10</t>
  </si>
  <si>
    <t>259/09-10</t>
  </si>
  <si>
    <t>02.02.10</t>
  </si>
  <si>
    <t>260/09-10</t>
  </si>
  <si>
    <t>GG/046/09-10</t>
  </si>
  <si>
    <t>03.02.10</t>
  </si>
  <si>
    <t>261/09-10</t>
  </si>
  <si>
    <t>262/09-10</t>
  </si>
  <si>
    <t>263/09-10</t>
  </si>
  <si>
    <t>COMPANY-A TRAVERA CONDENSER</t>
  </si>
  <si>
    <t>06.02.10</t>
  </si>
  <si>
    <t>264/09-10</t>
  </si>
  <si>
    <t>TOKODDEN 12" FAN</t>
  </si>
  <si>
    <t>07.02.10</t>
  </si>
  <si>
    <t>265/09-10</t>
  </si>
  <si>
    <t>266/09-10</t>
  </si>
  <si>
    <t>08.02.10</t>
  </si>
  <si>
    <t>267/09-10</t>
  </si>
  <si>
    <t>268/09-10</t>
  </si>
  <si>
    <t>BUS UNI</t>
  </si>
  <si>
    <t>269/09-10</t>
  </si>
  <si>
    <t>270/09-10</t>
  </si>
  <si>
    <t>PC1044A</t>
  </si>
  <si>
    <t>22.05.09</t>
  </si>
  <si>
    <t>GG/047/09-10</t>
  </si>
  <si>
    <t>271/09-10</t>
  </si>
  <si>
    <t xml:space="preserve">COMPANY-A </t>
  </si>
  <si>
    <t>272/09-10</t>
  </si>
  <si>
    <t>10.02.10</t>
  </si>
  <si>
    <t>273/09-10</t>
  </si>
  <si>
    <t>12.02.10</t>
  </si>
  <si>
    <t>27409-10</t>
  </si>
  <si>
    <t>CHALLAN-MALFORMED</t>
  </si>
  <si>
    <t>275/09-10</t>
  </si>
  <si>
    <t>13.02.10</t>
  </si>
  <si>
    <t>276/09-10</t>
  </si>
  <si>
    <t>GG/048/09-10</t>
  </si>
  <si>
    <t>15.02.10</t>
  </si>
  <si>
    <t>277/09-10</t>
  </si>
  <si>
    <t>278/09-10</t>
  </si>
  <si>
    <t>279/09-10</t>
  </si>
  <si>
    <t>280/09-10</t>
  </si>
  <si>
    <t>281/09-10</t>
  </si>
  <si>
    <t>18.02.10</t>
  </si>
  <si>
    <t>282/09-10</t>
  </si>
  <si>
    <t>24.02.10</t>
  </si>
  <si>
    <t>283/09-10</t>
  </si>
  <si>
    <t>GG/049/09-10</t>
  </si>
  <si>
    <t>27.02.10</t>
  </si>
  <si>
    <t>GD/022/09-10</t>
  </si>
  <si>
    <t>PC1065</t>
  </si>
  <si>
    <t>CONCORD SUPERIOR</t>
  </si>
  <si>
    <t>BEIGE</t>
  </si>
  <si>
    <t>GREY</t>
  </si>
  <si>
    <t>GG/050/09-10</t>
  </si>
  <si>
    <t>Total Sold qty</t>
  </si>
  <si>
    <t>COMPANY-A QUALIS (F) PF CONDENSER</t>
  </si>
  <si>
    <t>COMPANY-A INDICA BEHR R134A CONDENSER</t>
  </si>
  <si>
    <t>PC1066</t>
  </si>
  <si>
    <t>GG/051/09-10</t>
  </si>
  <si>
    <t>Bal qty</t>
  </si>
  <si>
    <t>DRIER- HONDA CITY</t>
  </si>
  <si>
    <t>FORMULA 405 SUPERKING BLOWER</t>
  </si>
  <si>
    <t>BLUE STICKER</t>
  </si>
  <si>
    <t>PC-7038D</t>
  </si>
  <si>
    <t>BALANCE QTY AS ON 17.11.09</t>
  </si>
  <si>
    <t>507 SINGLE SEAL</t>
  </si>
  <si>
    <t>PC-7058A</t>
  </si>
  <si>
    <t>1 pc damage</t>
  </si>
  <si>
    <t>OK</t>
  </si>
  <si>
    <t>PC1191</t>
  </si>
  <si>
    <t>ROLLS</t>
  </si>
  <si>
    <t>BALANCE QTY AS ON 26.12.09</t>
  </si>
  <si>
    <t>GG/052/09-10</t>
  </si>
  <si>
    <t>7 damage</t>
  </si>
  <si>
    <t>COMPANY-A SEAL</t>
  </si>
  <si>
    <t>BALANCE QTY AS ON 05.01.10</t>
  </si>
  <si>
    <t>COMPANY-A-ND/SUBROS</t>
  </si>
  <si>
    <t>COMPANY-A QUALIS</t>
  </si>
  <si>
    <t>PC7032A</t>
  </si>
  <si>
    <t>COMPANY-A SANTRO SMALL</t>
  </si>
  <si>
    <t>PC7034A</t>
  </si>
  <si>
    <t>COMPANY-A 507 SINGLE</t>
  </si>
  <si>
    <t>26.05.09</t>
  </si>
  <si>
    <t>GG/053/09-10</t>
  </si>
  <si>
    <t>Dealer-009</t>
  </si>
  <si>
    <t>ATTN: Contact-001</t>
  </si>
  <si>
    <t>Address line (redacted)</t>
  </si>
  <si>
    <t>Address line (redacted)</t>
  </si>
  <si>
    <t>QUALIS (F)</t>
  </si>
  <si>
    <t>ctns</t>
  </si>
  <si>
    <t>QUALIS (O)</t>
  </si>
  <si>
    <t>14*28*20</t>
  </si>
  <si>
    <t>PC1052</t>
  </si>
  <si>
    <t>MICROBUS COOLING COIL</t>
  </si>
  <si>
    <t>SEASON COOLING COIL</t>
  </si>
  <si>
    <t>FAN 12" (S)</t>
  </si>
  <si>
    <t>14*30*20</t>
  </si>
  <si>
    <t>FAN 12" (STRAIGHT)</t>
  </si>
  <si>
    <t>FAN 14" (STRAIGHT)</t>
  </si>
  <si>
    <t>COMPANY-A UNIVERSAL (F)</t>
  </si>
  <si>
    <t>UNIVERSAL (O)</t>
  </si>
  <si>
    <t>(BEIGE-8, GREY-2)</t>
  </si>
  <si>
    <t>PAYMENT TERMS: WITHIN 15 DAYS.</t>
  </si>
  <si>
    <t>GG/054/09-10</t>
  </si>
  <si>
    <t>Dealer-010</t>
  </si>
  <si>
    <t>Address line (redacted)</t>
  </si>
  <si>
    <t>TRANSIT MARCH-2010</t>
  </si>
  <si>
    <t>Address line (redacted)</t>
  </si>
  <si>
    <t>Address line (redacted)</t>
  </si>
  <si>
    <t>SONATA D</t>
  </si>
  <si>
    <t>FAN 14" STRAIGHT</t>
  </si>
  <si>
    <t>284/09-10</t>
  </si>
  <si>
    <t>285/09-10</t>
  </si>
  <si>
    <t>GG/055/09-10</t>
  </si>
  <si>
    <t>286/09-10</t>
  </si>
  <si>
    <t>COMPANY-A A6</t>
  </si>
  <si>
    <t>26.02.10</t>
  </si>
  <si>
    <t>287/09-10</t>
  </si>
  <si>
    <t>PC1802B</t>
  </si>
  <si>
    <t>288/09-10</t>
  </si>
  <si>
    <t>289/09-10</t>
  </si>
  <si>
    <t>GG/056/09-10</t>
  </si>
  <si>
    <t>290/09-10</t>
  </si>
  <si>
    <t>291/09-10</t>
  </si>
  <si>
    <t>GD/022</t>
  </si>
  <si>
    <t>(BEIGE-15, GREY-5)</t>
  </si>
  <si>
    <t>COMPANY-A DRIER</t>
  </si>
  <si>
    <t>PC8122</t>
  </si>
  <si>
    <t>28.02.10</t>
  </si>
  <si>
    <t>292/09-10</t>
  </si>
  <si>
    <t>UNIVERSAL (F)</t>
  </si>
  <si>
    <t>293/09-10</t>
  </si>
  <si>
    <t>01.03.10</t>
  </si>
  <si>
    <t>294/09-10</t>
  </si>
  <si>
    <t>GG/057/09-10</t>
  </si>
  <si>
    <t>295/09-10</t>
  </si>
  <si>
    <t>10" STRAIGHT</t>
  </si>
  <si>
    <t>03.03.10</t>
  </si>
  <si>
    <t>296/09-10</t>
  </si>
  <si>
    <t>297/09-10</t>
  </si>
  <si>
    <t>298/09-10</t>
  </si>
  <si>
    <t>04.03.10</t>
  </si>
  <si>
    <t>299/09-10</t>
  </si>
  <si>
    <t>GG/058/09-10</t>
  </si>
  <si>
    <t>300/09-10</t>
  </si>
  <si>
    <t>301/09-10</t>
  </si>
  <si>
    <t>PC1100</t>
  </si>
  <si>
    <t>COMPANY-A DRIER H.CITY -T3</t>
  </si>
  <si>
    <t>08.03.10</t>
  </si>
  <si>
    <t>302/09-10</t>
  </si>
  <si>
    <t>303/09-10</t>
  </si>
  <si>
    <t>304/09-10</t>
  </si>
  <si>
    <t>305/09-10</t>
  </si>
  <si>
    <t>GG/059/09-10</t>
  </si>
  <si>
    <t>306/09-10</t>
  </si>
  <si>
    <t>307/09-10</t>
  </si>
  <si>
    <t>308/09-10</t>
  </si>
  <si>
    <t>(BEIGE-4, GREY-6)</t>
  </si>
  <si>
    <t>10.03.10</t>
  </si>
  <si>
    <t>309/09-10</t>
  </si>
  <si>
    <t>310/09-10</t>
  </si>
  <si>
    <t xml:space="preserve">QUALIS </t>
  </si>
  <si>
    <t>PC8008</t>
  </si>
  <si>
    <t>311/09-10</t>
  </si>
  <si>
    <t>GD/024</t>
  </si>
  <si>
    <t>11.03.10</t>
  </si>
  <si>
    <t>312/09-10</t>
  </si>
  <si>
    <t>GG/060/09-10</t>
  </si>
  <si>
    <t>313/09-10</t>
  </si>
  <si>
    <t>According to instructions we are sending followng goods. Please acknowledge/ receipt the</t>
  </si>
  <si>
    <t>goods and after your acknowledgement we will issue you sales invoice.</t>
  </si>
  <si>
    <t>314/09-10</t>
  </si>
  <si>
    <t>15.03.10</t>
  </si>
  <si>
    <t>315/09-10</t>
  </si>
  <si>
    <t>PAGE-2</t>
  </si>
  <si>
    <t>316/09-10</t>
  </si>
  <si>
    <t>Company-A Thermostate</t>
  </si>
  <si>
    <t>317/09-10</t>
  </si>
  <si>
    <t>PC1229A;THERMOSTATE</t>
  </si>
  <si>
    <t>318/09-10</t>
  </si>
  <si>
    <t>Company-A O ring</t>
  </si>
  <si>
    <t>Lencer Blower Switch</t>
  </si>
  <si>
    <t>PC-926</t>
  </si>
  <si>
    <t>Unicla SK Blower</t>
  </si>
  <si>
    <t>COOLING COIL COMPANY-A</t>
  </si>
  <si>
    <t>CRV</t>
  </si>
  <si>
    <t>319/09-10</t>
  </si>
  <si>
    <t>Corolla</t>
  </si>
  <si>
    <t>FORD FIESTA</t>
  </si>
  <si>
    <t>320/09-10</t>
  </si>
  <si>
    <t>Cont On Page - 2</t>
  </si>
  <si>
    <t>SAMPLE</t>
  </si>
  <si>
    <t>321/09-10</t>
  </si>
  <si>
    <t>18.03.10</t>
  </si>
  <si>
    <t>322/09-10</t>
  </si>
  <si>
    <t>PAGE - 2</t>
  </si>
  <si>
    <t>Nos of PC/CTN</t>
  </si>
  <si>
    <t>22.03.10</t>
  </si>
  <si>
    <t>323/09-10</t>
  </si>
  <si>
    <t>PC8002</t>
  </si>
  <si>
    <t>324/09-10</t>
  </si>
  <si>
    <t>Sienna/Palio</t>
  </si>
  <si>
    <t>BATTI</t>
  </si>
  <si>
    <t>325/09-10</t>
  </si>
  <si>
    <t>Tata Safari</t>
  </si>
  <si>
    <t>25.03.10</t>
  </si>
  <si>
    <t>326/09-10</t>
  </si>
  <si>
    <t>GG/061/09-10</t>
  </si>
  <si>
    <t>327/09-10</t>
  </si>
  <si>
    <t xml:space="preserve">According to instructions we are sending followng goods. Please acknowledge/ receipt the goods and after </t>
  </si>
  <si>
    <t>after acknowledgement we will issue you sales invoice.</t>
  </si>
  <si>
    <t>328/09-10</t>
  </si>
  <si>
    <t>Elantra</t>
  </si>
  <si>
    <t>329/09-10</t>
  </si>
  <si>
    <t>GG/062/09-10</t>
  </si>
  <si>
    <t>your acknowledgement we will issue you sales invoice.</t>
  </si>
  <si>
    <t>MISC</t>
  </si>
  <si>
    <t>330/09-10</t>
  </si>
  <si>
    <t>Seal AA-507</t>
  </si>
  <si>
    <t>Seal AA-508</t>
  </si>
  <si>
    <t>Seal WR/Alto</t>
  </si>
  <si>
    <t>WR/ALTO</t>
  </si>
  <si>
    <t>331/09-10</t>
  </si>
  <si>
    <t>SKODA AGAINST REPLACEMENT</t>
  </si>
  <si>
    <t>332/09-10</t>
  </si>
  <si>
    <t>GG/063/09-10</t>
  </si>
  <si>
    <t>31.03.10</t>
  </si>
  <si>
    <t>333/09-10</t>
  </si>
  <si>
    <t>334/09-10</t>
  </si>
  <si>
    <t>14" (STRAIGHT) FAN</t>
  </si>
  <si>
    <t>12" (STRAIGHT) FAN</t>
  </si>
  <si>
    <t>SWITCH</t>
  </si>
  <si>
    <t>Lancer Blower Switch</t>
  </si>
  <si>
    <t>PC1047B;PC1801A</t>
  </si>
  <si>
    <t>GG/064/09-10</t>
  </si>
  <si>
    <t>AMBASDOR CONDENSER</t>
  </si>
  <si>
    <t>PC-024R</t>
  </si>
  <si>
    <t>GG/065/09-10</t>
  </si>
  <si>
    <t>PC926;LANCERBLOWERSWITCH</t>
  </si>
  <si>
    <t>Company-A Pf Condensor</t>
  </si>
  <si>
    <t xml:space="preserve">Scorpio </t>
  </si>
  <si>
    <t xml:space="preserve">Honda City Type -3 </t>
  </si>
  <si>
    <t>GG/066/09-10</t>
  </si>
  <si>
    <t>COMPANY-A CONDENSER</t>
  </si>
  <si>
    <t>COMPANY-A HPLP</t>
  </si>
  <si>
    <t>4 Boxes</t>
  </si>
  <si>
    <t>GG/067/09-10</t>
  </si>
  <si>
    <t>Challan No</t>
  </si>
  <si>
    <t>GG/260/09-10</t>
  </si>
  <si>
    <t>ESTEEM R134A /WR</t>
  </si>
  <si>
    <t>PC-1047B</t>
  </si>
  <si>
    <t>12 Boxes</t>
  </si>
  <si>
    <t>SDN COMPRESSOR</t>
  </si>
  <si>
    <t>GG/068/09-10</t>
  </si>
  <si>
    <t>GG/098/09-10</t>
  </si>
  <si>
    <t>18.06.09</t>
  </si>
  <si>
    <t>GG/074/09-10</t>
  </si>
  <si>
    <t>RECEIVER DRIER</t>
  </si>
  <si>
    <t>Company-A Maruti O-ring</t>
  </si>
  <si>
    <t>CONCORDDIGITALSWITCHWITHOUTRESISTANCEWIRE</t>
  </si>
  <si>
    <t>GG/075/09-10</t>
  </si>
  <si>
    <t>GG/077/09-10</t>
  </si>
  <si>
    <t>GG/228/09-10</t>
  </si>
  <si>
    <t>GG/078/09-10</t>
  </si>
  <si>
    <t>29.06.09</t>
  </si>
  <si>
    <t>GG/093/09-10</t>
  </si>
  <si>
    <t>GG/254/09-10</t>
  </si>
  <si>
    <t>GG/256/09-10</t>
  </si>
  <si>
    <t>15.06.09</t>
  </si>
  <si>
    <t>GG/069/09-10</t>
  </si>
  <si>
    <t>Universal Flair</t>
  </si>
  <si>
    <t>UNDER SCHEME</t>
  </si>
  <si>
    <t>GG/300/09-10</t>
  </si>
  <si>
    <t>Universal - O Ring</t>
  </si>
  <si>
    <t>Blue Sticker</t>
  </si>
  <si>
    <t>R134A</t>
  </si>
  <si>
    <t>Deliery through Contact-007-EMS</t>
  </si>
  <si>
    <t>GG/301/09-10</t>
  </si>
  <si>
    <t>GG/307/09-10</t>
  </si>
  <si>
    <t>GG/308/09-10</t>
  </si>
  <si>
    <t>GG/230/09-10</t>
  </si>
  <si>
    <t>GG/280/09-10</t>
  </si>
  <si>
    <t>SND Condenser</t>
  </si>
  <si>
    <t>510 R134A</t>
  </si>
  <si>
    <t>17.06.09</t>
  </si>
  <si>
    <t>GG/070/09-10</t>
  </si>
  <si>
    <t>Concord plates</t>
  </si>
  <si>
    <t>NOT FOR COMMERCAL USE</t>
  </si>
  <si>
    <t>GG/246/09-10</t>
  </si>
  <si>
    <t>HCC COMPRESSOR</t>
  </si>
  <si>
    <t>ORDER PLACED ON 27.5.09</t>
  </si>
  <si>
    <t>ATOZ</t>
  </si>
  <si>
    <t>GG/247/09-10</t>
  </si>
  <si>
    <t>GG/071/09-10</t>
  </si>
  <si>
    <t>GG/248/09-10</t>
  </si>
  <si>
    <t>COMPANY-A RECEIVER DRIER</t>
  </si>
  <si>
    <t>GG/259/09-10</t>
  </si>
  <si>
    <t>KEROSENE HEATER PARTS</t>
  </si>
  <si>
    <t>BURNER NET</t>
  </si>
  <si>
    <t>GG/313/09-10</t>
  </si>
  <si>
    <t>COCORD MOTOR</t>
  </si>
  <si>
    <t>GG/131/09-10</t>
  </si>
  <si>
    <t>GG/170/09-10</t>
  </si>
  <si>
    <t>BLOWERS</t>
  </si>
  <si>
    <t>concord</t>
  </si>
  <si>
    <t>GG/189/09-10</t>
  </si>
  <si>
    <t>GG/193/09-10</t>
  </si>
  <si>
    <t>GG/109/09-10</t>
  </si>
  <si>
    <t>CONCORDRESISTANCE</t>
  </si>
  <si>
    <t>GG/138/09-10</t>
  </si>
  <si>
    <t>GG/173/09-10</t>
  </si>
  <si>
    <t>GG/199/09-10</t>
  </si>
  <si>
    <t>Less price diff of 13 c/s of uni.drier which is delivered</t>
  </si>
  <si>
    <t>directly to Transporter-005 on 17.6.09</t>
  </si>
  <si>
    <t>GG/111/09-10</t>
  </si>
  <si>
    <t>GG/140/09-10</t>
  </si>
  <si>
    <t>GG/085/09-10</t>
  </si>
  <si>
    <t>GG/072/09-10</t>
  </si>
  <si>
    <t>GG/206/09-10</t>
  </si>
  <si>
    <t>GG/088/09-10</t>
  </si>
  <si>
    <t>GG/231/09-10</t>
  </si>
  <si>
    <t>CONCORD PLATES</t>
  </si>
  <si>
    <t>NOT FOR SALE</t>
  </si>
  <si>
    <t>GG/092/09-10</t>
  </si>
  <si>
    <t>OF CHALLAN NO: GG/049/09-10</t>
  </si>
  <si>
    <t>GG/178/09-10</t>
  </si>
  <si>
    <t>GG/179/09-10</t>
  </si>
  <si>
    <t>GG/118/09-10</t>
  </si>
  <si>
    <t>CONCORD BEIGE</t>
  </si>
  <si>
    <t>GG/128/09-10</t>
  </si>
  <si>
    <t>GG/289/09-10</t>
  </si>
  <si>
    <t>CONCORD DIGITAL SWITCH          (Without Resistance &amp; wire)</t>
  </si>
  <si>
    <t>GG/096/09-10</t>
  </si>
  <si>
    <t>(BEIGE-15, GREY-10)</t>
  </si>
  <si>
    <t>CONCORD PLATE</t>
  </si>
  <si>
    <t>GG/073/09-10</t>
  </si>
  <si>
    <t>GG/110/09-10</t>
  </si>
  <si>
    <t>(BEIGE-10, GREY-20)</t>
  </si>
  <si>
    <t>GG/227/09-10</t>
  </si>
  <si>
    <t>COMPRESSOR OIL</t>
  </si>
  <si>
    <t>ND-8</t>
  </si>
  <si>
    <t>ND-9</t>
  </si>
  <si>
    <t>F' SK-405</t>
  </si>
  <si>
    <t>1L</t>
  </si>
  <si>
    <t>GG/232/09-10</t>
  </si>
  <si>
    <t xml:space="preserve">CONCORD PLATE </t>
  </si>
  <si>
    <t>Drier</t>
  </si>
  <si>
    <t>Stock col / guard</t>
  </si>
  <si>
    <t>GG/125/09-10</t>
  </si>
  <si>
    <t>GG/218/09-10</t>
  </si>
  <si>
    <t>CONORD PLATE</t>
  </si>
  <si>
    <t>Dealer-011</t>
  </si>
  <si>
    <t>ATTN: Contact-002</t>
  </si>
  <si>
    <t>Address line (redacted)</t>
  </si>
  <si>
    <t>Address line (redacted)</t>
  </si>
  <si>
    <t>Address line (redacted)</t>
  </si>
  <si>
    <t>CONTROLLER AXI WITH BRASS CAP</t>
  </si>
  <si>
    <t>GG/253/09-10</t>
  </si>
  <si>
    <t>GG/144/09-10</t>
  </si>
  <si>
    <t>BRIDGESTONE HOSE</t>
  </si>
  <si>
    <t>DISCHARGE</t>
  </si>
  <si>
    <t>11MM</t>
  </si>
  <si>
    <t>GG/291/09-10</t>
  </si>
  <si>
    <t>Tokai Santro Xing A/C Switch</t>
  </si>
  <si>
    <t>ESTEEM R134</t>
  </si>
  <si>
    <t>PC-036R-134A</t>
  </si>
  <si>
    <t>GG/316/09-10</t>
  </si>
  <si>
    <t>FUJIKING EXPENSION VALVE</t>
  </si>
  <si>
    <t>FLARE</t>
  </si>
  <si>
    <t>FK-1011</t>
  </si>
  <si>
    <t>GG/317/09-10</t>
  </si>
  <si>
    <t>Zen R12</t>
  </si>
  <si>
    <t>Zen R134</t>
  </si>
  <si>
    <t>GG/318/09-10</t>
  </si>
  <si>
    <t>GG/319/09-10</t>
  </si>
  <si>
    <t>GG/076/09-10</t>
  </si>
  <si>
    <t>HCC CONDENSER</t>
  </si>
  <si>
    <t>GATZ 1.3-1.6  A/T With drier</t>
  </si>
  <si>
    <t>250g</t>
  </si>
  <si>
    <t>GG/192/09-10</t>
  </si>
  <si>
    <t>HAIR DYE</t>
  </si>
  <si>
    <t>GG/236/09-10</t>
  </si>
  <si>
    <t>HYN. ELENTRA</t>
  </si>
  <si>
    <t>GG/321/09-10</t>
  </si>
  <si>
    <t>PC-86266</t>
  </si>
  <si>
    <t>IGENITER</t>
  </si>
  <si>
    <t>KNOB</t>
  </si>
  <si>
    <t>LACETTI /OPTERA With drier</t>
  </si>
  <si>
    <t>Address line (redacted)</t>
  </si>
  <si>
    <t>GG/142/09-10</t>
  </si>
  <si>
    <t>BRIDGSTONE HOSE</t>
  </si>
  <si>
    <t>LIQUID</t>
  </si>
  <si>
    <t>8MM</t>
  </si>
  <si>
    <t>GG/0237/09-10</t>
  </si>
  <si>
    <t>(24+1)</t>
  </si>
  <si>
    <t>GG/297/09-10</t>
  </si>
  <si>
    <t>MICRO BUS</t>
  </si>
  <si>
    <t>GG/214/09-10</t>
  </si>
  <si>
    <t>Address line (redacted)</t>
  </si>
  <si>
    <t>O RING</t>
  </si>
  <si>
    <t>PC8797</t>
  </si>
  <si>
    <t>ORING</t>
  </si>
  <si>
    <t>GG/217/09-10</t>
  </si>
  <si>
    <t>indigo</t>
  </si>
  <si>
    <t>GG/285/09-10</t>
  </si>
  <si>
    <t>PF MICRO BUS</t>
  </si>
  <si>
    <t>848L</t>
  </si>
  <si>
    <t>GG/126/09-10</t>
  </si>
  <si>
    <t>Dealer-012</t>
  </si>
  <si>
    <t>Address line (redacted)</t>
  </si>
  <si>
    <t>GG/079/09-10</t>
  </si>
  <si>
    <t>ND SUBROS</t>
  </si>
  <si>
    <t>PC</t>
  </si>
  <si>
    <t>O-RING</t>
  </si>
  <si>
    <t>FK-1012</t>
  </si>
  <si>
    <t>TOKODEN FAN 12"</t>
  </si>
  <si>
    <t>GG/081/09-10</t>
  </si>
  <si>
    <t>Dealer-013</t>
  </si>
  <si>
    <t>ATTN: Contact-003</t>
  </si>
  <si>
    <t>Address line (redacted)</t>
  </si>
  <si>
    <t>GG/080/09-10</t>
  </si>
  <si>
    <t>PARALL FLOW MICROBUS</t>
  </si>
  <si>
    <t>Address line (redacted)</t>
  </si>
  <si>
    <t>PC8096OLD</t>
  </si>
  <si>
    <t>GG/288/09-10</t>
  </si>
  <si>
    <t>SAMPLE HFC R134A 340G</t>
  </si>
  <si>
    <t>31.12.09</t>
  </si>
  <si>
    <t>GG/235/09-10</t>
  </si>
  <si>
    <t>SHOHAN HAIR COLOR</t>
  </si>
  <si>
    <t>BS</t>
  </si>
  <si>
    <t>REP A/C</t>
  </si>
  <si>
    <t>GG/245/09-10</t>
  </si>
  <si>
    <t>SUKUKI  Aerio/NEW BLAENO  02-05</t>
  </si>
  <si>
    <t>GG/082/09-10</t>
  </si>
  <si>
    <t>GG/083/09-10</t>
  </si>
  <si>
    <t>SUPERKING</t>
  </si>
  <si>
    <t>OPAL CORSA</t>
  </si>
  <si>
    <t>ZEN R134A SUBROS</t>
  </si>
  <si>
    <t>TOYOTA   CAMRY 2002  With r/drier</t>
  </si>
  <si>
    <t>INDICA SUBROS R134A</t>
  </si>
  <si>
    <t>GG/309/09-10</t>
  </si>
  <si>
    <t>UNI FLARE</t>
  </si>
  <si>
    <t>UNICAL CONCORD</t>
  </si>
  <si>
    <t>VERNA PETROL</t>
  </si>
  <si>
    <t>GG/328/09-10</t>
  </si>
  <si>
    <t>PC-1801-A</t>
  </si>
  <si>
    <t>GG/305/09-10</t>
  </si>
  <si>
    <t>GG/306/09-10</t>
  </si>
  <si>
    <t>PC-1801A</t>
  </si>
  <si>
    <t>GG/242/09-10</t>
  </si>
  <si>
    <t>GG/281/09-10</t>
  </si>
  <si>
    <t>GG/284/09-10</t>
  </si>
  <si>
    <t>GG/084/09-10</t>
  </si>
  <si>
    <t>GG/286/09-10</t>
  </si>
  <si>
    <t>COMPANY-A MISC</t>
  </si>
  <si>
    <t>WR SEAL</t>
  </si>
  <si>
    <t>MARUTI MPFI 800</t>
  </si>
  <si>
    <t>FK-1089D</t>
  </si>
  <si>
    <t>14-</t>
  </si>
  <si>
    <t>15-</t>
  </si>
  <si>
    <t>16-</t>
  </si>
  <si>
    <t>GG/264/09-10</t>
  </si>
  <si>
    <t>Company-A samples of condensors</t>
  </si>
  <si>
    <t>ZEN DELHI R-134A</t>
  </si>
  <si>
    <t>PC-86270</t>
  </si>
  <si>
    <t>ZEN DELPHI R134</t>
  </si>
  <si>
    <t>PC-86270 R134A</t>
  </si>
  <si>
    <t>PC8020;HONDACITY</t>
  </si>
  <si>
    <t>GG/287/09-10</t>
  </si>
  <si>
    <t>PC-86270-R134A</t>
  </si>
  <si>
    <t>GG/290/09-10</t>
  </si>
  <si>
    <t>GG/086/09-10</t>
  </si>
  <si>
    <t>ZEN R - 134A</t>
  </si>
  <si>
    <t>GG/087/09-10</t>
  </si>
  <si>
    <t xml:space="preserve">CONCORD </t>
  </si>
  <si>
    <t>GG/089/09-10</t>
  </si>
  <si>
    <t>PC8006;ESTEEMR134A</t>
  </si>
  <si>
    <t>GG/090/09-10</t>
  </si>
  <si>
    <t>PC8053</t>
  </si>
  <si>
    <t>SCORPIO 3 HOLE</t>
  </si>
  <si>
    <t>PC8115A</t>
  </si>
  <si>
    <t>SCORPIO 4 HOLE</t>
  </si>
  <si>
    <t>PC8115B</t>
  </si>
  <si>
    <t>GG/091/09-10</t>
  </si>
  <si>
    <t>HPLP SWITCH</t>
  </si>
  <si>
    <t>8 Boxes</t>
  </si>
  <si>
    <t>PC-86064</t>
  </si>
  <si>
    <t>GG/094/09-10</t>
  </si>
  <si>
    <t>Transporter-005</t>
  </si>
  <si>
    <t>PC6002</t>
  </si>
  <si>
    <t>PC-86251</t>
  </si>
  <si>
    <t>PC-86134</t>
  </si>
  <si>
    <t>PC-86026B</t>
  </si>
  <si>
    <t>Contact-007</t>
  </si>
  <si>
    <t xml:space="preserve">PC-86276               </t>
  </si>
  <si>
    <t xml:space="preserve">PC-86270        </t>
  </si>
  <si>
    <t>INDIGO DICOR</t>
  </si>
  <si>
    <t>PC-86273</t>
  </si>
  <si>
    <t>ENDEVAOUR</t>
  </si>
  <si>
    <t>HONDA CITY TYPE 5</t>
  </si>
  <si>
    <t>PALIO STYLE</t>
  </si>
  <si>
    <t>PC-86015</t>
  </si>
  <si>
    <t>GG/095/09-10</t>
  </si>
  <si>
    <t>Honda City Type -3</t>
  </si>
  <si>
    <t>PF UNIVERSAL CONDENSER</t>
  </si>
  <si>
    <t>25X28X26MM</t>
  </si>
  <si>
    <t>PC61020</t>
  </si>
  <si>
    <t>`</t>
  </si>
  <si>
    <t>PC8017</t>
  </si>
  <si>
    <t>GG/097/09-10</t>
  </si>
  <si>
    <t>UNI SP CONDENSER</t>
  </si>
  <si>
    <t>14X15X22MM-F</t>
  </si>
  <si>
    <t>14X15X22MM-O</t>
  </si>
  <si>
    <t>14X23X22MM</t>
  </si>
  <si>
    <t>UNI PF CONDENSER</t>
  </si>
  <si>
    <t>14X18X20MM</t>
  </si>
  <si>
    <t>PC8263</t>
  </si>
  <si>
    <t>14X21X20MM</t>
  </si>
  <si>
    <t>14X23X20MM</t>
  </si>
  <si>
    <t>10"X10 STRAIGHT</t>
  </si>
  <si>
    <t>10"X6- S"</t>
  </si>
  <si>
    <t>12"X10- STRAIGHT</t>
  </si>
  <si>
    <t>12"X10- "S"</t>
  </si>
  <si>
    <t>14"- JPI</t>
  </si>
  <si>
    <t>REPLACEMENT A/C</t>
  </si>
  <si>
    <t>16"-S</t>
  </si>
  <si>
    <t>GG/099/09-10</t>
  </si>
  <si>
    <t>PC6142</t>
  </si>
  <si>
    <t>25x28x26MM</t>
  </si>
  <si>
    <t>GG/100/09-10</t>
  </si>
  <si>
    <t>Source Row</t>
  </si>
  <si>
    <t>PC8031</t>
  </si>
  <si>
    <t>GG/101/09-10</t>
  </si>
  <si>
    <t>PC8051;MARUTIO</t>
  </si>
  <si>
    <t xml:space="preserve">cancell </t>
  </si>
  <si>
    <t>GG/102/09-10</t>
  </si>
  <si>
    <t>14X21X16MM</t>
  </si>
  <si>
    <t>14X23X16MM</t>
  </si>
  <si>
    <t>14"-STRAIGHT</t>
  </si>
  <si>
    <t>EXCHANGED</t>
  </si>
  <si>
    <t>GG/103/09-10</t>
  </si>
  <si>
    <t>BLOWER SWITCH</t>
  </si>
  <si>
    <t>GG/104/09-10</t>
  </si>
  <si>
    <t>GG/105/09-10</t>
  </si>
  <si>
    <t>GG/106/09-10</t>
  </si>
  <si>
    <t>Maruti -800 MPFI</t>
  </si>
  <si>
    <t>GG/107/09-10</t>
  </si>
  <si>
    <t>HPLP</t>
  </si>
  <si>
    <t>GG/108/09-10</t>
  </si>
  <si>
    <t>BY COURIER CONSIGNMENT</t>
  </si>
  <si>
    <t>UNICLA SK</t>
  </si>
  <si>
    <t>12" (S)</t>
  </si>
  <si>
    <t>CONDENSER H.CITY T 3</t>
  </si>
  <si>
    <t>COIL SKODA</t>
  </si>
  <si>
    <t>COIL CEILO</t>
  </si>
  <si>
    <t>PF UNI CONDENSER</t>
  </si>
  <si>
    <t>14X18X16MM</t>
  </si>
  <si>
    <t>GG/112/09-10</t>
  </si>
  <si>
    <t>SKODA COIL</t>
  </si>
  <si>
    <t>REP OF EMX SLIP NO.06/27.6.09</t>
  </si>
  <si>
    <t>24.07.09</t>
  </si>
  <si>
    <t>GG/113/09-10</t>
  </si>
  <si>
    <t>SAMPLES OF CONDENSER</t>
  </si>
  <si>
    <t>GG/114/09-10</t>
  </si>
  <si>
    <t>GG/115/09-10</t>
  </si>
  <si>
    <t>14" 'S' JPI</t>
  </si>
  <si>
    <t>GG/116/09-10</t>
  </si>
  <si>
    <t>GG/117/09-10</t>
  </si>
  <si>
    <t>BS HOSE</t>
  </si>
  <si>
    <t>8MM LID</t>
  </si>
  <si>
    <t>2 ROLLS</t>
  </si>
  <si>
    <t>11MM DIS</t>
  </si>
  <si>
    <t>9 ROLLS</t>
  </si>
  <si>
    <t>15MM SUC</t>
  </si>
  <si>
    <t>4 ROLLS</t>
  </si>
  <si>
    <t>GG/119/09-10</t>
  </si>
  <si>
    <t>FAN FRAMES</t>
  </si>
  <si>
    <t>14" FAN FRAME</t>
  </si>
  <si>
    <t>GG/120/09-10</t>
  </si>
  <si>
    <t>NDX-8MM (LID)</t>
  </si>
  <si>
    <t>1 ROLL</t>
  </si>
  <si>
    <t>NDX-11MM (DIS)</t>
  </si>
  <si>
    <t>6 ROLLS</t>
  </si>
  <si>
    <t>NDX-11MM (SUC)</t>
  </si>
  <si>
    <t>3 ROLLS</t>
  </si>
  <si>
    <t>A/C SWITCH</t>
  </si>
  <si>
    <t>GG/121/09-10</t>
  </si>
  <si>
    <t>NDX-15MM (SUC)</t>
  </si>
  <si>
    <t>GG/122/09-10</t>
  </si>
  <si>
    <t>3 ROLL</t>
  </si>
  <si>
    <t>17 ROLLS</t>
  </si>
  <si>
    <t>10 ROLLS</t>
  </si>
  <si>
    <t>GG/123/09-10</t>
  </si>
  <si>
    <t>2 ROLL</t>
  </si>
  <si>
    <t>5 ROLLS</t>
  </si>
  <si>
    <t>GG/124/09-10</t>
  </si>
  <si>
    <t>SEAL 507 SINGLE</t>
  </si>
  <si>
    <t>SEAL ND</t>
  </si>
  <si>
    <t>HPLP ESTEEM R12</t>
  </si>
  <si>
    <t>8 ROLLS</t>
  </si>
  <si>
    <t>GG/127/09-10</t>
  </si>
  <si>
    <t>GG/129/09-10</t>
  </si>
  <si>
    <t>HONDA CITY-T3</t>
  </si>
  <si>
    <t>GG/130/09-10</t>
  </si>
  <si>
    <t>507-SINGLE</t>
  </si>
  <si>
    <t>LANCER MMC</t>
  </si>
  <si>
    <t>THERMOSTATE</t>
  </si>
  <si>
    <t>PC8121</t>
  </si>
  <si>
    <t>GG/132/09-10</t>
  </si>
  <si>
    <t>GG/133/09-10</t>
  </si>
  <si>
    <t>GG/134/09-10</t>
  </si>
  <si>
    <t>COMPANY-A THERMOSTATE</t>
  </si>
  <si>
    <t>GG/135/09-10</t>
  </si>
  <si>
    <t xml:space="preserve">ESTEEM </t>
  </si>
  <si>
    <t>4 BOX</t>
  </si>
  <si>
    <t>ZEN DELPHI R 134</t>
  </si>
  <si>
    <t>GG/136/09-10</t>
  </si>
  <si>
    <t>UNICLA OIL</t>
  </si>
  <si>
    <t>GG/137/09-10</t>
  </si>
  <si>
    <t>MARUTI "F"</t>
  </si>
  <si>
    <t>ZEN DELPHI/SANTRO LARGE/MARTIZ</t>
  </si>
  <si>
    <t>COMPANY-A UNI.SERP.COND</t>
  </si>
  <si>
    <t>14X23X44MM</t>
  </si>
  <si>
    <t>REPLACEMENT OF COOLING COIL</t>
  </si>
  <si>
    <t>IKON</t>
  </si>
  <si>
    <t>GG/139/09-10</t>
  </si>
  <si>
    <t>SANTRO SINGLE</t>
  </si>
  <si>
    <t>SK-405</t>
  </si>
  <si>
    <t>MARUTI 'F'</t>
  </si>
  <si>
    <t>MARUTI 'O'</t>
  </si>
  <si>
    <t>FOR EXCHANGE</t>
  </si>
  <si>
    <t>COMPANY-A UNI.SERP. CONDENSER</t>
  </si>
  <si>
    <t>14X21X26MM</t>
  </si>
  <si>
    <t>PALIO/SEINNA</t>
  </si>
  <si>
    <t>16"X10</t>
  </si>
  <si>
    <t>COMPANYA SWITCH</t>
  </si>
  <si>
    <t>GG/141/09-10</t>
  </si>
  <si>
    <t>GG/143/09-10</t>
  </si>
  <si>
    <t>LESS</t>
  </si>
  <si>
    <t>5 PCS SKODA COIL RETURNED</t>
  </si>
  <si>
    <t>GG/145/09-10</t>
  </si>
  <si>
    <t>COMPANY-A UNI SP CONDENSER</t>
  </si>
  <si>
    <t>GG/146/09-10</t>
  </si>
  <si>
    <t>GG/147/09-10</t>
  </si>
  <si>
    <t>GG/148/09-10</t>
  </si>
  <si>
    <t>GG/149/09-10</t>
  </si>
  <si>
    <t>GG/150/09-10</t>
  </si>
  <si>
    <t>BALERO-R134A</t>
  </si>
  <si>
    <t>GG/160/09-10</t>
  </si>
  <si>
    <t>(BEIGE)</t>
  </si>
  <si>
    <t>PLATES</t>
  </si>
  <si>
    <t>GG/161/09-10</t>
  </si>
  <si>
    <t>GG/162/09-10</t>
  </si>
  <si>
    <t>INDICA BEHR R 134A</t>
  </si>
  <si>
    <t>Maruti 800 MPFI</t>
  </si>
  <si>
    <t>14X15X20MM</t>
  </si>
  <si>
    <t>COMPANY-A SP CONDENSER</t>
  </si>
  <si>
    <t>14X15X22MM</t>
  </si>
  <si>
    <t>UNIVERSAL-FLARE</t>
  </si>
  <si>
    <t>AMB/BOLERO</t>
  </si>
  <si>
    <t>AA-507</t>
  </si>
  <si>
    <t>EXCHANGE</t>
  </si>
  <si>
    <t>AA-508</t>
  </si>
  <si>
    <t>GG/163/09-10</t>
  </si>
  <si>
    <t>25X28X20MM</t>
  </si>
  <si>
    <t>GG/164/09-10</t>
  </si>
  <si>
    <t>AA-507 SEAL</t>
  </si>
  <si>
    <t>GG/165/09-10</t>
  </si>
  <si>
    <t>GG/166/09-10</t>
  </si>
  <si>
    <t>COMPANY-A UNI PF CONDENSER</t>
  </si>
  <si>
    <t>GG/167/09-10</t>
  </si>
  <si>
    <t>Sumo Vecta</t>
  </si>
  <si>
    <t>UNICLA OIL R134A</t>
  </si>
  <si>
    <t>1 LITER</t>
  </si>
  <si>
    <t>GG/168/09-10</t>
  </si>
  <si>
    <t>7 ROLLS</t>
  </si>
  <si>
    <t>GG/169/09-10</t>
  </si>
  <si>
    <t>Qualis Pad</t>
  </si>
  <si>
    <t>LANCER BLOWER</t>
  </si>
  <si>
    <t>GG/171/09-10</t>
  </si>
  <si>
    <t>COMPANY-A  CONDENSER</t>
  </si>
  <si>
    <t>INDICA BEHR-R134A</t>
  </si>
  <si>
    <t>ESTEEM R-12</t>
  </si>
  <si>
    <t>tavera</t>
  </si>
  <si>
    <t>indica behr</t>
  </si>
  <si>
    <t>lancer</t>
  </si>
  <si>
    <t>ikon</t>
  </si>
  <si>
    <t>honda city type 3</t>
  </si>
  <si>
    <t>honda crv</t>
  </si>
  <si>
    <t xml:space="preserve">SKODA COIL </t>
  </si>
  <si>
    <t>PC6066;SONATA</t>
  </si>
  <si>
    <t>elantra</t>
  </si>
  <si>
    <t>zen -134a</t>
  </si>
  <si>
    <t>santro 144r</t>
  </si>
  <si>
    <t>CONDENSORS</t>
  </si>
  <si>
    <t>indica behr 134a</t>
  </si>
  <si>
    <t>GG/174/09-10</t>
  </si>
  <si>
    <t>GG/175/09-10</t>
  </si>
  <si>
    <t>Superfine Butane Gas</t>
  </si>
  <si>
    <t>Butane Gas</t>
  </si>
  <si>
    <t>GG/176/09-10</t>
  </si>
  <si>
    <t>GG/177/09-10</t>
  </si>
  <si>
    <t>AA</t>
  </si>
  <si>
    <t>COMP.OIL</t>
  </si>
  <si>
    <t>UNICLA COMP OIL</t>
  </si>
  <si>
    <t>SAMPLE ONLY</t>
  </si>
  <si>
    <t>COMPANY-A UNI.PF. CONDENSER</t>
  </si>
  <si>
    <t>BRIGESTONE HOSE</t>
  </si>
  <si>
    <t>15MM</t>
  </si>
  <si>
    <t>COMPANY-A SP UNI CONDENSER</t>
  </si>
  <si>
    <t>14X25X44MM</t>
  </si>
  <si>
    <t>14X28X44MM</t>
  </si>
  <si>
    <t>GG/180/09-10</t>
  </si>
  <si>
    <t>INDICA R134A SUBROS</t>
  </si>
  <si>
    <t>GG/181/09-10</t>
  </si>
  <si>
    <t>GG/182/09-10</t>
  </si>
  <si>
    <t>WAGON R/ALTO</t>
  </si>
  <si>
    <t>14X21X22MM</t>
  </si>
  <si>
    <t>PAYMENT TERM: WITHIN 15 DAYS.</t>
  </si>
  <si>
    <t>COMPANY-A COMP SEAL</t>
  </si>
  <si>
    <t>507 SINGLE</t>
  </si>
  <si>
    <t>COMP OIL</t>
  </si>
  <si>
    <t>GG/183/09-10</t>
  </si>
  <si>
    <t>16" 'S'</t>
  </si>
  <si>
    <t>GG/184/09-10</t>
  </si>
  <si>
    <t>GG/185/09-10</t>
  </si>
  <si>
    <t>PC-036R</t>
  </si>
  <si>
    <t>PC-86246</t>
  </si>
  <si>
    <t>INDICA SUBROS</t>
  </si>
  <si>
    <t>COMPANY-A UNI.SP CONDENSER</t>
  </si>
  <si>
    <t>FLAIR</t>
  </si>
  <si>
    <t>UNIVERSALO;UNIVERSALORING</t>
  </si>
  <si>
    <t>GG/186/09-10</t>
  </si>
  <si>
    <t>ZEN DELHI R12</t>
  </si>
  <si>
    <t>GG/187/09-10</t>
  </si>
  <si>
    <t>DIS</t>
  </si>
  <si>
    <t>GG/188/09-10</t>
  </si>
  <si>
    <t>ZEN R134</t>
  </si>
  <si>
    <t>14X18X22MM</t>
  </si>
  <si>
    <t>PAYMENT TERMS: WITHIN 10 DAYS.</t>
  </si>
  <si>
    <t>AA 507</t>
  </si>
  <si>
    <t>Seal</t>
  </si>
  <si>
    <t>GG/190/09-10</t>
  </si>
  <si>
    <t>FREE</t>
  </si>
  <si>
    <t>GG/191/09-10</t>
  </si>
  <si>
    <t>GG/194/09-10</t>
  </si>
  <si>
    <t>GG/195/09-10</t>
  </si>
  <si>
    <t>14" JPI 'S'</t>
  </si>
  <si>
    <t>12" BEHR 'S'</t>
  </si>
  <si>
    <t>16" JPI 'S'</t>
  </si>
  <si>
    <t>TS-8805-E</t>
  </si>
  <si>
    <t>GG/196/09-10</t>
  </si>
  <si>
    <t>NO COMMERCIAL VALVE</t>
  </si>
  <si>
    <t>GG/197/09-10</t>
  </si>
  <si>
    <t>GG/198/09-10</t>
  </si>
  <si>
    <t>COMPANY-A PF UNI. CONDENSER</t>
  </si>
  <si>
    <t>COMPANY-A UNI.PF CONDENSER</t>
  </si>
  <si>
    <t>GG/302/09-10</t>
  </si>
  <si>
    <t>GG/323/09-10</t>
  </si>
  <si>
    <t>GG/200/09-10</t>
  </si>
  <si>
    <t>COMPANY-A PF UNI CONDENSER</t>
  </si>
  <si>
    <t>GG/201/09-10</t>
  </si>
  <si>
    <t>PC7038A;PC7038D;SEALWRALTO;WRSEAL</t>
  </si>
  <si>
    <t>GG/202/09-10</t>
  </si>
  <si>
    <t>GG/203/09-10</t>
  </si>
  <si>
    <t>GG/204/09-10</t>
  </si>
  <si>
    <t>PC-7159R</t>
  </si>
  <si>
    <t>LID</t>
  </si>
  <si>
    <t>Dealer-014</t>
  </si>
  <si>
    <t>SUC</t>
  </si>
  <si>
    <t>Address line (redacted)</t>
  </si>
  <si>
    <t>Address line (redacted)</t>
  </si>
  <si>
    <t>GG/205/09-10</t>
  </si>
  <si>
    <t>GG/207/09-10</t>
  </si>
  <si>
    <t>ESTEEM RA134A</t>
  </si>
  <si>
    <t>GG/208/09-10</t>
  </si>
  <si>
    <t>Bridgstone NDX 8MM</t>
  </si>
  <si>
    <t>Bridgstone NDX 11MM</t>
  </si>
  <si>
    <t>Bridgstone NDX 15MM</t>
  </si>
  <si>
    <t>PC7053A;SEAL507SINGLE</t>
  </si>
  <si>
    <t>GG/209/09-10</t>
  </si>
  <si>
    <t>CORROLA</t>
  </si>
  <si>
    <t>GG/210/09-10</t>
  </si>
  <si>
    <t>GG/266/09-10</t>
  </si>
  <si>
    <t>GG/265/09-10</t>
  </si>
  <si>
    <t>LIQ</t>
  </si>
  <si>
    <t>GG/268/09-10</t>
  </si>
  <si>
    <t>COMPANY-A UNI. SP CONDENSOR</t>
  </si>
  <si>
    <t>GG/211/09-10</t>
  </si>
  <si>
    <t>COMPANY-A PF CONDENSOR</t>
  </si>
  <si>
    <t>GG/326/09-10</t>
  </si>
  <si>
    <t>GG/212/09-10</t>
  </si>
  <si>
    <t>GG/213/09-10</t>
  </si>
  <si>
    <t>GG/327/09-10</t>
  </si>
  <si>
    <t>MARUTI MPFI</t>
  </si>
  <si>
    <t>COMPANY-A SP UNI. CONDENSOR</t>
  </si>
  <si>
    <t>GG/215/09-10</t>
  </si>
  <si>
    <t>TOKEI A/C SWITCH</t>
  </si>
  <si>
    <t>05.12.09/21.11.09</t>
  </si>
  <si>
    <t>GG/216/09-10</t>
  </si>
  <si>
    <t>GG/329/09-10</t>
  </si>
  <si>
    <t>GG/244/09-10</t>
  </si>
  <si>
    <t>GG/261/09-10</t>
  </si>
  <si>
    <t>PC7058A</t>
  </si>
  <si>
    <t>GG/275/09-10</t>
  </si>
  <si>
    <t>GG/219/09-10</t>
  </si>
  <si>
    <t>GG/292/09-10</t>
  </si>
  <si>
    <t>JPI 14"</t>
  </si>
  <si>
    <t>GG/298/09-10</t>
  </si>
  <si>
    <t>GG/220/09-10</t>
  </si>
  <si>
    <t>GG/221/09-10</t>
  </si>
  <si>
    <t>SUMO VICTA</t>
  </si>
  <si>
    <t>SCORPIO 15"</t>
  </si>
  <si>
    <t>GG/222/09-10</t>
  </si>
  <si>
    <t>GG/223/09-10</t>
  </si>
  <si>
    <t>GG/224/09-10</t>
  </si>
  <si>
    <t>GG/225/09-10</t>
  </si>
  <si>
    <t>GG/226/09-10</t>
  </si>
  <si>
    <t>PC7046A</t>
  </si>
  <si>
    <t>800 MPFI</t>
  </si>
  <si>
    <t>MARUTI O RING</t>
  </si>
  <si>
    <t>GG/229/09-10</t>
  </si>
  <si>
    <t>GG/274/09-10</t>
  </si>
  <si>
    <t>COMPANY-A UNI SP CONDENSOR</t>
  </si>
  <si>
    <t>FAN 10" STRAIGHT</t>
  </si>
  <si>
    <t>FAN 12" STRAIGHT</t>
  </si>
  <si>
    <t>GG/233/09-10</t>
  </si>
  <si>
    <t>COMPANY-A UNI. SP CONDENSER</t>
  </si>
  <si>
    <t>GG/234/09-10</t>
  </si>
  <si>
    <t>405 SUPERKING</t>
  </si>
  <si>
    <t>GG/330/09-10</t>
  </si>
  <si>
    <t>PC7059A</t>
  </si>
  <si>
    <t>GG/276/09-10</t>
  </si>
  <si>
    <t>14 X 18 X 26MM FLARE</t>
  </si>
  <si>
    <t>14 X 21 X 22 MM FLARE</t>
  </si>
  <si>
    <t>14 X 21X 26 MM FLARE</t>
  </si>
  <si>
    <t>14 X 23 X 22 MM FLARE</t>
  </si>
  <si>
    <t>14 X 23 X 26 MMFLARE</t>
  </si>
  <si>
    <t>14 X 23 X 20MM FLARE</t>
  </si>
  <si>
    <t>12" X 10 BLADE STRAIGHT</t>
  </si>
  <si>
    <t>14" X 10 BLADE STRAIGHT</t>
  </si>
  <si>
    <t>10" X 6 BALDE ' S' TYPE</t>
  </si>
  <si>
    <t>JPI 14" X 10 BLADE ' S'</t>
  </si>
  <si>
    <t>SCORPIO S BLADE 15",12V</t>
  </si>
  <si>
    <t>JPI 16" X 10 S BLADE</t>
  </si>
  <si>
    <t xml:space="preserve">LANCER </t>
  </si>
  <si>
    <t>TOKAI A/C SWITCH</t>
  </si>
  <si>
    <t>3 SPEED A/C SANTRO SWITCH</t>
  </si>
  <si>
    <t>3.02.10</t>
  </si>
  <si>
    <t>GG/263/09-10</t>
  </si>
  <si>
    <t>(23+1)</t>
  </si>
  <si>
    <t>GG/238/09-10</t>
  </si>
  <si>
    <t>(19+1)</t>
  </si>
  <si>
    <t>GG/239/09-10</t>
  </si>
  <si>
    <t>GG/240/09-10</t>
  </si>
  <si>
    <t>AGAINST SKODA REPLACEMET</t>
  </si>
  <si>
    <t>PC7031A;NDSUBROS;SEALND</t>
  </si>
  <si>
    <t>GG/241/09-10</t>
  </si>
  <si>
    <t>GG/243/09-10</t>
  </si>
  <si>
    <t>10" 80W (S)</t>
  </si>
  <si>
    <t>GG/262/09-10</t>
  </si>
  <si>
    <t>GG/332/09-10</t>
  </si>
  <si>
    <t>COMPANY-A O RING</t>
  </si>
  <si>
    <t>HCC COOLING COIL</t>
  </si>
  <si>
    <t>HYUNDAI GETZ RHD</t>
  </si>
  <si>
    <t>GM TAVERA  RHD</t>
  </si>
  <si>
    <t>FORD  FIESTA  RHD</t>
  </si>
  <si>
    <t>NEW ATOZ XING  RHD</t>
  </si>
  <si>
    <t>VERNA 2000 / ACCENT HCC  RHD</t>
  </si>
  <si>
    <t>MITSUBISHI  LANCER  VISTEON RHD</t>
  </si>
  <si>
    <t>EF  SONATA/SORENTO  RHD</t>
  </si>
  <si>
    <t>ELANTRA 2000/AVANTE XD HALLA</t>
  </si>
  <si>
    <t>HY VERNA 2006 / NEW VERNA RHD</t>
  </si>
  <si>
    <t>HYUNDAI 05-99 SONATA,</t>
  </si>
  <si>
    <t>i-30 / ELANTRA 2006 1.6 Diesel V.S-16 TYPE</t>
  </si>
  <si>
    <t>ELANTRA 2000 diesel HS18 X 120mm x 6pk</t>
  </si>
  <si>
    <t>KALOS/AVEO 1,500cc 360/20mm W/Drier</t>
  </si>
  <si>
    <t>GG/277/09-10</t>
  </si>
  <si>
    <t>FORD  Feista 2005</t>
  </si>
  <si>
    <t>HONDA CRV 2000 With drier</t>
  </si>
  <si>
    <t>EF SONATA 1998-2001 nut type</t>
  </si>
  <si>
    <t>GG/324/09-10</t>
  </si>
  <si>
    <t>Suzuki  SX4  with drier</t>
  </si>
  <si>
    <t>ATTN: Contact-004</t>
  </si>
  <si>
    <t>SUZUKI  SWIFT 2006  with  Drier</t>
  </si>
  <si>
    <t>ATOZ 1998 / SANTRO</t>
  </si>
  <si>
    <t>ATOZ NEW / SANTRO XING</t>
  </si>
  <si>
    <t>Chevrolet  Tavera</t>
  </si>
  <si>
    <t>FORD  IKON</t>
  </si>
  <si>
    <t>HONDA   CITY III  2004 DENSO  w/drier</t>
  </si>
  <si>
    <t>SUZUKI  BALENO</t>
  </si>
  <si>
    <t>TYT INNOVA</t>
  </si>
  <si>
    <t>LESS 10 PCS SKODA CONDENSER RETURNED</t>
  </si>
  <si>
    <t>PC7061A</t>
  </si>
  <si>
    <t>GG/273/09-10</t>
  </si>
  <si>
    <t>507;AA507;SEAL507;SEALAA507;AA507SEAL</t>
  </si>
  <si>
    <t>GG/272/09-10</t>
  </si>
  <si>
    <t>GG/249/09-10</t>
  </si>
  <si>
    <t>10" (S)</t>
  </si>
  <si>
    <t>10" (Straight)</t>
  </si>
  <si>
    <t>508;AA508;SEAL508;SEALAA508;AA508SEAL</t>
  </si>
  <si>
    <t>12" (Straight)</t>
  </si>
  <si>
    <t>GG/250/09-10</t>
  </si>
  <si>
    <t>GG/251/09-10</t>
  </si>
  <si>
    <t>Company-A PF Uni Condensor</t>
  </si>
  <si>
    <t>14x18x16 mm</t>
  </si>
  <si>
    <t>Tokoden Fan</t>
  </si>
  <si>
    <t>12"(s) Behr</t>
  </si>
  <si>
    <t>14"(s) JPI</t>
  </si>
  <si>
    <t>14" (Straight) 80w</t>
  </si>
  <si>
    <t>GG/252/09-10</t>
  </si>
  <si>
    <t>COMPANY-A DIRER</t>
  </si>
  <si>
    <t>GG/325/09-10</t>
  </si>
  <si>
    <t>ACCENT CRDI</t>
  </si>
  <si>
    <t>PAYMENT TERMS: WITHIN 30 DAYS.</t>
  </si>
  <si>
    <t>14x18x26mm flare</t>
  </si>
  <si>
    <t>14x21x22mm flare</t>
  </si>
  <si>
    <t>14x21x26mm flare</t>
  </si>
  <si>
    <t>14x23x22mm flare</t>
  </si>
  <si>
    <t>14x23x26mm flare</t>
  </si>
  <si>
    <t>14x21x16mm flare</t>
  </si>
  <si>
    <t>14x23x16mm flare</t>
  </si>
  <si>
    <t>SK C.COIL</t>
  </si>
  <si>
    <t>SKODA WITH DRIER</t>
  </si>
  <si>
    <t>GG/255/09-10</t>
  </si>
  <si>
    <t>STK CLEARED</t>
  </si>
  <si>
    <t>GG/257/09-10</t>
  </si>
  <si>
    <t>GG/258/09-10</t>
  </si>
  <si>
    <t>WICK BASE</t>
  </si>
  <si>
    <t>GG/303/09-10</t>
  </si>
  <si>
    <t>Company-A Cooling Coil</t>
  </si>
  <si>
    <t>GG/320/09-10</t>
  </si>
  <si>
    <t>GG/311/09-10</t>
  </si>
  <si>
    <t>Company-A Condensors</t>
  </si>
  <si>
    <t>Accent Crdi</t>
  </si>
  <si>
    <t>PC-86064 B</t>
  </si>
  <si>
    <t>Accent Petrol</t>
  </si>
  <si>
    <t>Ambassdor</t>
  </si>
  <si>
    <t>Balero R-134a</t>
  </si>
  <si>
    <t>PC7217</t>
  </si>
  <si>
    <t>Qualis O Ring</t>
  </si>
  <si>
    <t>Santro  Xing</t>
  </si>
  <si>
    <t>Skoda(with Drier)</t>
  </si>
  <si>
    <t>Wagon R</t>
  </si>
  <si>
    <t>Zen R-134a</t>
  </si>
  <si>
    <t>SCHEME &amp; BALANCE QTY OF ITEM # 15 WILL BE</t>
  </si>
  <si>
    <t>SENT NEXT TIME WHEN STOCKS AVAILABLE.</t>
  </si>
  <si>
    <t>Ambasdor</t>
  </si>
  <si>
    <t>Bolero</t>
  </si>
  <si>
    <t>GG/331/09-10</t>
  </si>
  <si>
    <t>Corsa</t>
  </si>
  <si>
    <t>PC7237</t>
  </si>
  <si>
    <t>Company-A SP UNI Condensors</t>
  </si>
  <si>
    <t>Company-A Drier</t>
  </si>
  <si>
    <t>Qualis</t>
  </si>
  <si>
    <t>Ambassador</t>
  </si>
  <si>
    <t>Qualis Flare</t>
  </si>
  <si>
    <t>Zen R134 a</t>
  </si>
  <si>
    <t>Opal Corsa</t>
  </si>
  <si>
    <t>PC7210</t>
  </si>
  <si>
    <t>Zen R134a-Subros</t>
  </si>
  <si>
    <t>14X15X22 (O)</t>
  </si>
  <si>
    <t>PC-S-141522-O</t>
  </si>
  <si>
    <t>14X15X22 (F)</t>
  </si>
  <si>
    <t>PC-S-141522-F</t>
  </si>
  <si>
    <t>14X15X26 (F)</t>
  </si>
  <si>
    <t>PC-S-141526-F</t>
  </si>
  <si>
    <t>14X23X44 (F)</t>
  </si>
  <si>
    <t>PC-S-142344-F</t>
  </si>
  <si>
    <t>Company-A UNI PF CONDENSER</t>
  </si>
  <si>
    <t>PC-252820</t>
  </si>
  <si>
    <t>14X14X20 (F)</t>
  </si>
  <si>
    <t>PC-PFC-141420-F</t>
  </si>
  <si>
    <t>14X14X20 (O)</t>
  </si>
  <si>
    <t>PC-PFC-141420-O</t>
  </si>
  <si>
    <t>ORING;COMPANYAORING</t>
  </si>
  <si>
    <t>14X23X20 (F)</t>
  </si>
  <si>
    <t>PC-PFC-142320-F</t>
  </si>
  <si>
    <t>Accent petrol</t>
  </si>
  <si>
    <t>GG/299/09-10</t>
  </si>
  <si>
    <t>INDIGO WITH BRACKET</t>
  </si>
  <si>
    <t>PC-024-R</t>
  </si>
  <si>
    <t>14X15X20 (F)</t>
  </si>
  <si>
    <t>PC-PFC-141520-F</t>
  </si>
  <si>
    <t>14X15X20 (O)</t>
  </si>
  <si>
    <t>PC-PFC-141520-O</t>
  </si>
  <si>
    <t>GG/267/09-10</t>
  </si>
  <si>
    <t>P/Mtr</t>
  </si>
  <si>
    <t xml:space="preserve">UNIVERSAL </t>
  </si>
  <si>
    <t xml:space="preserve">LANCER BLOWER </t>
  </si>
  <si>
    <t>14X21X20 (F)</t>
  </si>
  <si>
    <t>PC-PFC-142120-F</t>
  </si>
  <si>
    <t>GG/269/09-10</t>
  </si>
  <si>
    <t>GG/270/09-10</t>
  </si>
  <si>
    <t>GG/172/09-10</t>
  </si>
  <si>
    <t xml:space="preserve">              CONDENSOR</t>
  </si>
  <si>
    <t>14X21X16 (F)</t>
  </si>
  <si>
    <t>GG/271/09-10</t>
  </si>
  <si>
    <t>Company-A CONDENSER</t>
  </si>
  <si>
    <r>
      <rPr>
        <sz val="10"/>
        <color theme="1"/>
        <rFont val="Arial"/>
      </rPr>
      <t xml:space="preserve">         </t>
    </r>
    <r>
      <rPr>
        <b/>
        <sz val="10"/>
        <color theme="1"/>
        <rFont val="Arial"/>
      </rPr>
      <t>COOLING COIL</t>
    </r>
  </si>
  <si>
    <t>OLD BALANCE B/F</t>
  </si>
  <si>
    <t>LESS GOODS RETURN</t>
  </si>
  <si>
    <t>1 PCS H.CITY PC-86240</t>
  </si>
  <si>
    <t>LESS 1 PCS H.CITY PC-86240 SHORT RECEIVED</t>
  </si>
  <si>
    <t>5 PCS ZEN-R134A PC-86245</t>
  </si>
  <si>
    <t>ZEN DIESAL</t>
  </si>
  <si>
    <t>DUE BALANCE AMOUNT</t>
  </si>
  <si>
    <t>Company-A Condenser</t>
  </si>
  <si>
    <t>Dealer-015</t>
  </si>
  <si>
    <t>Address line (redacted)</t>
  </si>
  <si>
    <t>Address line (redacted)</t>
  </si>
  <si>
    <t>Goods Deliver at:</t>
  </si>
  <si>
    <t>Address line (redacted)</t>
  </si>
  <si>
    <t>Address line (redacted)</t>
  </si>
  <si>
    <t>SX-4</t>
  </si>
  <si>
    <t>TO,</t>
  </si>
  <si>
    <t>Dealer-016</t>
  </si>
  <si>
    <t>Dealer-017</t>
  </si>
  <si>
    <t>Address line (redacted)</t>
  </si>
  <si>
    <t>Address line (redacted)</t>
  </si>
  <si>
    <t>Company-A PF UNI Condenser</t>
  </si>
  <si>
    <t>14x14x20mm- O</t>
  </si>
  <si>
    <t>NEW DESIGN</t>
  </si>
  <si>
    <t>14x14x20mm- F</t>
  </si>
  <si>
    <t>14X21X16MM-F</t>
  </si>
  <si>
    <t>17-</t>
  </si>
  <si>
    <t>18-</t>
  </si>
  <si>
    <t>19-</t>
  </si>
  <si>
    <t>PC-204R</t>
  </si>
  <si>
    <t>Dealer-018</t>
  </si>
  <si>
    <t>Address line (redacted)</t>
  </si>
  <si>
    <t>GG/278/09-10</t>
  </si>
  <si>
    <t>GG/279/09-10</t>
  </si>
  <si>
    <t>ZEN SUBROS R134A</t>
  </si>
  <si>
    <t>ESTEEM R 12 / ACCENT 2 PIN</t>
  </si>
  <si>
    <t>INDICA R134A</t>
  </si>
  <si>
    <t>SAMPLE OF CONDENSER</t>
  </si>
  <si>
    <t>GG/282/09-10</t>
  </si>
  <si>
    <t>GG/283/09-10</t>
  </si>
  <si>
    <t>UNIVERSAL - F</t>
  </si>
  <si>
    <t>UNIVERSAL - 0</t>
  </si>
  <si>
    <t>PC-8905R</t>
  </si>
  <si>
    <t>CEILO</t>
  </si>
  <si>
    <t>Santro Large/Matiz/Zen Delphi</t>
  </si>
  <si>
    <t>ND OIL-ND9</t>
  </si>
  <si>
    <t>UNICLA INS. TAPE</t>
  </si>
  <si>
    <t>505/507 COMP BACK PLATE</t>
  </si>
  <si>
    <t>508/510 COMP BACK PLATE</t>
  </si>
  <si>
    <t>PC-1229-A</t>
  </si>
  <si>
    <t>SEA-NAIR BLOWER</t>
  </si>
  <si>
    <t>BAZEL 404</t>
  </si>
  <si>
    <t xml:space="preserve">SANTRO </t>
  </si>
  <si>
    <t>COMPANY-A UNIVERSAL CONDENER</t>
  </si>
  <si>
    <t>SP</t>
  </si>
  <si>
    <t>14X18X26MM</t>
  </si>
  <si>
    <t>UNIVERSAL FLARE</t>
  </si>
  <si>
    <t>UNIVERSAL O RING</t>
  </si>
  <si>
    <t>BUS UNIVERSAL</t>
  </si>
  <si>
    <t>UNICLA INSULATION TAPE</t>
  </si>
  <si>
    <t xml:space="preserve">SKODA </t>
  </si>
  <si>
    <t xml:space="preserve">UNICLA </t>
  </si>
  <si>
    <t>LESS 14X15X22 DIFF OF 20 PCS AS SPECIAL</t>
  </si>
  <si>
    <t>GRAND TOTAL</t>
  </si>
  <si>
    <t>ANY COMP OF HCC</t>
  </si>
  <si>
    <t>Dealer-019</t>
  </si>
  <si>
    <t>Address line (redacted)</t>
  </si>
  <si>
    <t>GG/304/09-10</t>
  </si>
  <si>
    <t xml:space="preserve">14" JPI 'S' </t>
  </si>
  <si>
    <t xml:space="preserve">12" BEHR 'S' </t>
  </si>
  <si>
    <t xml:space="preserve">16" JPI 'S' </t>
  </si>
  <si>
    <t>ESTEEM R12 ORDANRY 2PIN</t>
  </si>
  <si>
    <t>PC-1054 B</t>
  </si>
  <si>
    <t xml:space="preserve">PC-024R </t>
  </si>
  <si>
    <t>ND OIL</t>
  </si>
  <si>
    <t>FREE SCHEME</t>
  </si>
  <si>
    <t xml:space="preserve">PC-055R </t>
  </si>
  <si>
    <t xml:space="preserve">PC-7159R </t>
  </si>
  <si>
    <t>GG/293/09-10</t>
  </si>
  <si>
    <t>GG/333/09-10</t>
  </si>
  <si>
    <t>GG/294/09-10</t>
  </si>
  <si>
    <t>GG/295/09-10</t>
  </si>
  <si>
    <t>GG/296/09-10</t>
  </si>
  <si>
    <t>PLUS VAT OF INV # GD/014/09-10 DT.23.11.09</t>
  </si>
  <si>
    <t>PC-050</t>
  </si>
  <si>
    <t xml:space="preserve">Bridgstone NDX 8MM </t>
  </si>
  <si>
    <t xml:space="preserve">Bridgstone NDX 11MM </t>
  </si>
  <si>
    <t xml:space="preserve">Bridgstone NDX 15MM </t>
  </si>
  <si>
    <t>SANTRO XING A/C SWITCH</t>
  </si>
  <si>
    <t>FREIGHT PAID FOR THIS CONSIGNMENT ONLY</t>
  </si>
  <si>
    <t>PAYMENT TERMS: WITHIN 7 DAYS FROM THE DATE OF DISPATCH.</t>
  </si>
  <si>
    <t>CONCORD PARTS</t>
  </si>
  <si>
    <t>LOGAN BEHR</t>
  </si>
  <si>
    <t>SEAL-507</t>
  </si>
  <si>
    <t>SEAL-508</t>
  </si>
  <si>
    <t>ESTEEM MPFI</t>
  </si>
  <si>
    <t>OPEL- SMALL 2 PIN</t>
  </si>
  <si>
    <t>SKODA-3PIN</t>
  </si>
  <si>
    <t>OPAL ASTRA</t>
  </si>
  <si>
    <t>UNI. FLARE</t>
  </si>
  <si>
    <t>EST. R134A</t>
  </si>
  <si>
    <t>EST. R12</t>
  </si>
  <si>
    <t>UNI BUS</t>
  </si>
  <si>
    <t>GG/310/09-10</t>
  </si>
  <si>
    <t>WAGON- R</t>
  </si>
  <si>
    <t>1LTR</t>
  </si>
  <si>
    <t>ZEN SUBROS R 134A</t>
  </si>
  <si>
    <t>Company-A Condensor</t>
  </si>
  <si>
    <t>ND- SEAL</t>
  </si>
  <si>
    <t>OPEL SMALL</t>
  </si>
  <si>
    <t>GG/312/09-10</t>
  </si>
  <si>
    <t>QUALIS FLARE`</t>
  </si>
  <si>
    <t>507 SINGLE SMALL SEAL</t>
  </si>
  <si>
    <t>INDICA R 134A</t>
  </si>
  <si>
    <t>PC-036R 134A</t>
  </si>
  <si>
    <t>GG/314/09-10</t>
  </si>
  <si>
    <t>GG/315/09-10</t>
  </si>
  <si>
    <t>UNI.FLARE</t>
  </si>
  <si>
    <t>UNI.O RING</t>
  </si>
  <si>
    <t>TRAVERA / ACCENT</t>
  </si>
  <si>
    <t>FK-C906</t>
  </si>
  <si>
    <t>FK-1080</t>
  </si>
  <si>
    <t>VAT OF INV.# GD/013/09-10 DT.21.11.09</t>
  </si>
  <si>
    <t>FK-1181</t>
  </si>
  <si>
    <t>FK-1034</t>
  </si>
  <si>
    <t>FK-1031B</t>
  </si>
  <si>
    <t>FK-1023B</t>
  </si>
  <si>
    <t>FK-1015</t>
  </si>
  <si>
    <t>INNOVA / WR</t>
  </si>
  <si>
    <t>FK-1082B</t>
  </si>
  <si>
    <t>INNOVA A/C SWTICH</t>
  </si>
  <si>
    <t>(ONE PCS FREE MICROBUS SCHEME ON 206/09-10 , 214/09-10, 217/09-10)</t>
  </si>
  <si>
    <t>PC-86270R12</t>
  </si>
  <si>
    <t>SKODA FABIA</t>
  </si>
  <si>
    <t>GG/322/09-10</t>
  </si>
  <si>
    <t>INDICA/BEHR-R134A WITH BRACKET</t>
  </si>
  <si>
    <t>INDIGO (WITH BRAKET)</t>
  </si>
  <si>
    <t>OPTRA- (DAEWOO LECETTI)</t>
  </si>
  <si>
    <t>Qualis - PAD</t>
  </si>
  <si>
    <t>WAGON R / ALTO</t>
  </si>
  <si>
    <t>ZEN-DIESEL</t>
  </si>
  <si>
    <t xml:space="preserve">14" STRAIGHT </t>
  </si>
  <si>
    <t>14x15x26mm flare</t>
  </si>
  <si>
    <t>14x18x22mm flare</t>
  </si>
  <si>
    <t>14x23x44mm flare</t>
  </si>
  <si>
    <t>14x25x44mm flare</t>
  </si>
  <si>
    <t>14x21x20mm flare</t>
  </si>
  <si>
    <t>COMPANY-A SAMPLE OF COOLING COIL</t>
  </si>
  <si>
    <t>SCORPIO PF NEW</t>
  </si>
  <si>
    <t>Esteem-134a /Esteem Pad</t>
  </si>
  <si>
    <t>14x23x20mm flare</t>
  </si>
  <si>
    <t>25x28x20mm</t>
  </si>
  <si>
    <t>GG/334/09-10</t>
  </si>
  <si>
    <t>VAT OF INV.# GD/018/09-10 DT.15.12.09</t>
  </si>
  <si>
    <t>Dealer-020</t>
  </si>
  <si>
    <t>Address line (redacted)</t>
  </si>
  <si>
    <t>Address line (redacted)</t>
  </si>
  <si>
    <t>Address line (redacted)</t>
  </si>
  <si>
    <t>Nos of PCs/DZ/ctn</t>
  </si>
  <si>
    <t>Delivery At:</t>
  </si>
  <si>
    <t>ATTN: Contact-005</t>
  </si>
  <si>
    <t>Address line (redacted)</t>
  </si>
  <si>
    <t>CONT ON PAGE 2</t>
  </si>
  <si>
    <t>PAGE -2</t>
  </si>
  <si>
    <t xml:space="preserve">ZEN DELPHI R 12 </t>
  </si>
  <si>
    <t>CONT ON PAGE 3</t>
  </si>
  <si>
    <t>PAGE-3</t>
  </si>
  <si>
    <t xml:space="preserve">JPI 14" X 10 BLADE ' S' </t>
  </si>
  <si>
    <t>TOTAL PAGE 1</t>
  </si>
  <si>
    <t>TOTAL PAGE 2</t>
  </si>
  <si>
    <t>TOTAL PAGE 3</t>
  </si>
  <si>
    <t>G.TOTAL</t>
  </si>
  <si>
    <t>ONE PCS FREE OF ZEN R134A IS WITH CHALLAN NO. GG/236/09-10 DT.12.01.10</t>
  </si>
  <si>
    <t xml:space="preserve">ELANTRA 2000/AVANTE XD HALLA </t>
  </si>
  <si>
    <t xml:space="preserve">HYUNDAI 05-99 SONATA, </t>
  </si>
  <si>
    <t xml:space="preserve">ATOZ 1998 / SANTRO </t>
  </si>
  <si>
    <t>CONT ON PAGE NO-2</t>
  </si>
  <si>
    <t>PAGE NO-2</t>
  </si>
  <si>
    <t xml:space="preserve">HONDA   CITY III  2004 DENSO  w/drier </t>
  </si>
  <si>
    <t xml:space="preserve">SUZUKI  BALENO </t>
  </si>
  <si>
    <t>GRAND</t>
  </si>
  <si>
    <t xml:space="preserve">14x18x16 mm </t>
  </si>
  <si>
    <t xml:space="preserve">12"(s) Behr </t>
  </si>
  <si>
    <t>PAGE NO-1</t>
  </si>
  <si>
    <t>Dealer-021</t>
  </si>
  <si>
    <t>ATTN: Contact-006</t>
  </si>
  <si>
    <t>Address line (redacted)</t>
  </si>
  <si>
    <t>20-</t>
  </si>
  <si>
    <t>21-</t>
  </si>
  <si>
    <t>22-</t>
  </si>
  <si>
    <t>23-</t>
  </si>
  <si>
    <t>24-</t>
  </si>
  <si>
    <t>25-</t>
  </si>
  <si>
    <t>26-</t>
  </si>
  <si>
    <t>27-</t>
  </si>
  <si>
    <t>28-</t>
  </si>
  <si>
    <t>29-</t>
  </si>
  <si>
    <t>30-</t>
  </si>
  <si>
    <t>31-</t>
  </si>
  <si>
    <t>32-</t>
  </si>
  <si>
    <t>33-</t>
  </si>
  <si>
    <t>THR. CAPITAL LR # 2550 DT.01.02.10</t>
  </si>
  <si>
    <t>ATTN: Contact-007</t>
  </si>
  <si>
    <t>Scheme of WR (Item No.36) is supplied in</t>
  </si>
  <si>
    <t>challan No.GG/268/09-10 DT.07.02.10</t>
  </si>
  <si>
    <t>REMARKS:</t>
  </si>
  <si>
    <t>SCHEME &amp; BALANCE QTY OF ITEM # 8,9 WILL BE</t>
  </si>
  <si>
    <t>SCHEME &amp; BALANCE QTY OF ITEM # 36 WILL BE</t>
  </si>
  <si>
    <t>Address line (redacted)</t>
  </si>
  <si>
    <t>name:balero so stk changed accordingly</t>
  </si>
  <si>
    <t>CONT ONPAGE 2</t>
  </si>
  <si>
    <t>PAGE 2</t>
  </si>
  <si>
    <t>LESS RTN ONE PCS ENDEVAOUR COND TO Transporter-005</t>
  </si>
  <si>
    <t>Address line (redacted)</t>
  </si>
  <si>
    <t xml:space="preserve">OF </t>
  </si>
  <si>
    <t>THIS PAGE</t>
  </si>
  <si>
    <t>CONT. ON PAGE 2</t>
  </si>
  <si>
    <t>(Scheme of Challan No.GG/261/09-10 DT.03.02.10)</t>
  </si>
  <si>
    <t>(Scheme of Item No. 25 will be adjusted in next coming stocks)</t>
  </si>
  <si>
    <t>(Scheme of Item No. 30 will be adjusted in next coming stocks)</t>
  </si>
  <si>
    <t>LESS PREVIOUS 2009 COMMITMENT OF 14X15X22</t>
  </si>
  <si>
    <t>SCHEME &amp; BALANCE QTY OF ITEM # 30, 25 WILL BE</t>
  </si>
  <si>
    <t>Dealer-022</t>
  </si>
  <si>
    <t>THROUGH:</t>
  </si>
  <si>
    <t>Dealer-023</t>
  </si>
  <si>
    <t>Address line (redacted)</t>
  </si>
  <si>
    <t>Dealer-023 LR NO. 2822 DT.10.02.10</t>
  </si>
  <si>
    <t>CONT ON PAGE -2</t>
  </si>
  <si>
    <t>Dealer-023 LR NO. 2732 DT.13.02.10</t>
  </si>
  <si>
    <t>PAYMENT IMM AFTER DELIVERY OF GOODS FROM DELHI.</t>
  </si>
  <si>
    <t>Dealer-024</t>
  </si>
  <si>
    <t>ATTN: Contact-008</t>
  </si>
  <si>
    <t>Address line (redacted)</t>
  </si>
  <si>
    <t>PLUS 2% CST OF INV # GD/013/09-10 DT.15.02.10</t>
  </si>
  <si>
    <t>LESS CHQ</t>
  </si>
  <si>
    <t>LESS DEPOSIT</t>
  </si>
  <si>
    <t>BAL</t>
  </si>
  <si>
    <t>Dealer-025</t>
  </si>
  <si>
    <t>Contact-009</t>
  </si>
  <si>
    <t>Address line (redacted)</t>
  </si>
  <si>
    <t>PAYMENT RECEIVED IN ADVANCE</t>
  </si>
  <si>
    <t>Dealer-026</t>
  </si>
  <si>
    <t>NET AFTER DEDUCT SCHEME</t>
  </si>
  <si>
    <t>CAPITAL LR #2851 DT.16.02.10</t>
  </si>
  <si>
    <t>CAPITAL LR # 2974 DT.24.02.10</t>
  </si>
  <si>
    <t xml:space="preserve">COMPANY-A SEAL, ORING </t>
  </si>
  <si>
    <t>CONT ON PAGE-2</t>
  </si>
  <si>
    <t xml:space="preserve">UNICLA OIL </t>
  </si>
  <si>
    <t>CONT ON PAGE-3</t>
  </si>
  <si>
    <t>CONT ON PAGE-4</t>
  </si>
  <si>
    <t>PAGE-4</t>
  </si>
  <si>
    <t>Address line (redacted)</t>
  </si>
  <si>
    <t>CAPITAL LR NO.2993 DT.27.02.10</t>
  </si>
  <si>
    <t>H24-427108</t>
  </si>
  <si>
    <t>SCHEME OF 404 ADJUSTED IN CHALLAN # GG/293/09-10 DT.28.02.10</t>
  </si>
  <si>
    <r>
      <rPr>
        <sz val="10"/>
        <color theme="1"/>
        <rFont val="Arial"/>
      </rPr>
      <t>CONCORD DIGITAL SWITCH</t>
    </r>
    <r>
      <rPr>
        <b/>
        <sz val="10"/>
        <color theme="1"/>
        <rFont val="Arial"/>
      </rPr>
      <t xml:space="preserve">          (Without Resistance &amp; wire)</t>
    </r>
  </si>
  <si>
    <t>HFC 340G FREE SAMPLE</t>
  </si>
  <si>
    <t>BALANCE QTY OF CHALLAN # GG/288/09-10 DT.26.02.10</t>
  </si>
  <si>
    <t>AUTH. SIGN</t>
  </si>
  <si>
    <t>1 PCS FREE MICROBUS SCHEME GIVEN IN GG/097/10-11 DT.05.07.10</t>
  </si>
  <si>
    <t>25X4</t>
  </si>
  <si>
    <t>Dear Sir</t>
  </si>
  <si>
    <t>Dealer-027</t>
  </si>
  <si>
    <t>EXCESS PAYMENT Rs.[x] ADJUSTED IN CHALLAN NO.GG/331/09-10</t>
  </si>
  <si>
    <t>ACTUAL</t>
  </si>
  <si>
    <t>RECEIVED</t>
  </si>
  <si>
    <t>RECEIVED EXCESS</t>
  </si>
  <si>
    <t>CAPITAL LR # 3072 DT.08.03.10</t>
  </si>
  <si>
    <t>Through: Transporter-003</t>
  </si>
  <si>
    <t>Address line (redacted)</t>
  </si>
  <si>
    <t>Address line (redacted)</t>
  </si>
  <si>
    <t>Address line (redacted)</t>
  </si>
  <si>
    <t>OM SAI PERCEL (SANOJ) LR # 14025 DT.08.03.10</t>
  </si>
  <si>
    <t>CAPITAL LR # 3049 DT.11.03.10 / 27 CTNS</t>
  </si>
  <si>
    <t>ATTN: Contact-006</t>
  </si>
  <si>
    <t>12*25</t>
  </si>
  <si>
    <t>3*25</t>
  </si>
  <si>
    <t>2*25</t>
  </si>
  <si>
    <t>1*25</t>
  </si>
  <si>
    <t xml:space="preserve">HONDA CITY </t>
  </si>
  <si>
    <t>25X6</t>
  </si>
  <si>
    <t>25X3</t>
  </si>
  <si>
    <t>25X8</t>
  </si>
  <si>
    <t>COND ON PAGE 2</t>
  </si>
  <si>
    <t xml:space="preserve"> PAGE 2</t>
  </si>
  <si>
    <t>8*25</t>
  </si>
  <si>
    <t>EST. R12  </t>
  </si>
  <si>
    <t>CAPITAL LR NO: 3209 DT.18.03.10</t>
  </si>
  <si>
    <t>CAPITAL LR NO: 3210 DT.18.03.10</t>
  </si>
  <si>
    <t>CAPITAL LR # 3175 DT.16.03.10</t>
  </si>
  <si>
    <t>ONE PCS SAMPLE OF HIGH QUALITY COROLLA COIL</t>
  </si>
  <si>
    <t>PRICE LIST DT. 5/3/10 APPLICABLE</t>
  </si>
  <si>
    <r>
      <rPr>
        <sz val="9"/>
        <color theme="1"/>
        <rFont val="Arial"/>
      </rPr>
      <t xml:space="preserve">INDIGO </t>
    </r>
    <r>
      <rPr>
        <b/>
        <sz val="9"/>
        <color theme="1"/>
        <rFont val="Arial"/>
      </rPr>
      <t>(WITH BRAKET)</t>
    </r>
  </si>
  <si>
    <t xml:space="preserve">PC-86186                    </t>
  </si>
  <si>
    <r>
      <rPr>
        <sz val="9"/>
        <color theme="1"/>
        <rFont val="Arial"/>
      </rPr>
      <t xml:space="preserve">INDIGO </t>
    </r>
    <r>
      <rPr>
        <b/>
        <sz val="9"/>
        <color theme="1"/>
        <rFont val="Arial"/>
      </rPr>
      <t>(WITH BRAKET)</t>
    </r>
  </si>
  <si>
    <t>CM</t>
  </si>
  <si>
    <t>Address line (redacted)</t>
  </si>
  <si>
    <t>25*4</t>
  </si>
  <si>
    <r>
      <rPr>
        <sz val="9"/>
        <color theme="1"/>
        <rFont val="Arial"/>
      </rPr>
      <t xml:space="preserve">INDIGO </t>
    </r>
    <r>
      <rPr>
        <b/>
        <sz val="9"/>
        <color theme="1"/>
        <rFont val="Arial"/>
      </rPr>
      <t>(WITH BRAKET)</t>
    </r>
  </si>
  <si>
    <t>Address line (redacted)</t>
  </si>
  <si>
    <t>LESS EXCESS PAYMENT OF CHALLAN # GG/304/09-10</t>
  </si>
  <si>
    <t>CAPITAL LR # 3299 DT.27.03.10/24CTNS</t>
  </si>
  <si>
    <t>PART-WISE CHALLAN QUANTITY SUMMARY</t>
  </si>
  <si>
    <t>Grouped from CHALLAN columns B and C; totals sum numeric quantities from column F.</t>
  </si>
  <si>
    <t>Part Name</t>
  </si>
  <si>
    <t>Total Qty</t>
  </si>
  <si>
    <t>Total Qty (D×E)</t>
  </si>
  <si>
    <t>Challan (pcs)</t>
  </si>
  <si>
    <t>Total Available</t>
  </si>
  <si>
    <t>Cartons / Units</t>
  </si>
  <si>
    <t>Pcs per Unit</t>
  </si>
  <si>
    <t>Sum of Total Qty</t>
  </si>
  <si>
    <t>PART QUANTITY PIVOT — DOUBLE-CLICK A TOTAL FOR DETAILS</t>
  </si>
  <si>
    <t>Source: all valid CHALLAN lines; quantity = cartons/units × pcs per unit</t>
  </si>
  <si>
    <t>MANUAL CHALLAN FILL — from Pivot Data (line level), matched on part code</t>
  </si>
  <si>
    <t>Filled 105 blank Challan cells: Condensers 24 (815 pcs), Cooling Coil 34 (4,033), Blowers 47 (49,220). Total 54,068. A further 62 rows matched nothing in the challan book and were left blank, not zeroed - blank means unmatched, not nil despatch.</t>
  </si>
  <si>
    <t>RULE: matched on the part code, split on ; / , and brackets so compound and multi-key cells work (the Blowers block uses semicolon lists such as PFMICROBUS;PARALLFLOWMICROBUS;MULTIFLOWMICROBUS;848L). Where a row has no code, the part name was matched exactly. Spelling variants of the same item ARE folded in - that is the point of matching on code: ESTEEM R12 / EST. R12 / DRIER ESTEEM R12 all carry PC-8005 and all belong to the Esteem-R12 row.</t>
  </si>
  <si>
    <t>SIX ROWS DELIBERATELY LEFT BLANK - each would be wrong if filled:</t>
  </si>
  <si>
    <t xml:space="preserve">  Cooling Coil r32 Scorpio [PC-7159]: code reaches 226 but 110 of that is on lines named INDIGO. Recon has a separate Indigo row at r22 carrying PC-7157. Either the challan mis-coded those lines or the two share 7159 - needs a decision, not a guess.</t>
  </si>
  <si>
    <t xml:space="preserve">  Blowers r44 Matiz and r45 Matiz-NEW BOTH carry code PC-8096. Filling both would book the same 462 pcs twice. The code cannot separate them; something else must.</t>
  </si>
  <si>
    <t xml:space="preserve">  Blowers r63 Scorpio-3hole [PC-8115A] and r64 Scorpio-4hole [PC-8115B] each pick up a generic "SCORPIO" line of 50 alongside their own 3-hole / 4-hole lines. The generic 50s cannot be allocated between the two rows on the evidence.</t>
  </si>
  <si>
    <t xml:space="preserve">  Blowers r81 "507" [PC-7001A-507-AA (507)]: the bare token 507 matches "COMP BACK PLATE | 505/507" (50 pcs), a different part. Bracketed fragments in a code cell are not safe match keys on their own.</t>
  </si>
  <si>
    <t>Three Blowers rows (r41 Drier, r68 JIVAN'S, r69 Seal) are sub-headers, not items - skipped.</t>
  </si>
  <si>
    <t>Block Start</t>
  </si>
  <si>
    <t>Block End</t>
  </si>
  <si>
    <t>Status</t>
  </si>
  <si>
    <t>-</t>
  </si>
  <si>
    <t>Cancelled</t>
  </si>
  <si>
    <t>Cancelled Qty</t>
  </si>
  <si>
    <t>Net Qty (excl. Cancelled)</t>
  </si>
  <si>
    <t>CANCELLED CHALLANS — now modelled; Recon figures are NET of cancellation</t>
  </si>
  <si>
    <t>Pivot Data now carries a Cancelled column (I) driven off a challan status index at K:N. 353 challan blocks, 4 cancelled. Totals: 1,60,422 gross, 994 cancelled, 1,59,428 net. Part Summary gained Cancelled Qty (D) and Net Qty (E) and ties to those figures exactly.</t>
  </si>
  <si>
    <t>SCOPE RULE — this book differs from Recon-11/14/15. There are only 6 CANCELL markers and they come in two shapes. Four are STANDALONE (a marker on a row with no S.No., sitting after the product lines) and those void the whole challan: GG/079 240, GG/101 750, GG/321 4, GG/0 nil = 994 units. Two are NUMBERED LINE SLOTS - "8 CANCELL" at CHALLAN row 14251 and "64 CANCELL" at row 14352 - sitting between live lines of otherwise normal challans and carrying no quantity of their own. Those are voided line items, NOT block cancellations; treating them as block-level would have discarded 1,621 units of live product on GG/291.</t>
  </si>
  <si>
    <t>IMPACT ON THE FILLS: only 5 of the 105 filled cells changed, each from 1 to 0 - Condensers r33 I-10, r61 ACCORD, r62 I-10, r64 LAURA and Cooling Coil r5 ACCORD. Their only matching challan line was on a cancelled challan, so the active quantity is nil. A 0 here means matched-but-all-cancelled, which is different from a blank (unmatched).</t>
  </si>
  <si>
    <t>A GROUPING INCONSISTENCY FOUND AND FIXED: my first Cancelled Qty column used EXACT() and came to 874, not 994. The 120 difference was two cancelled lines whose part number is written "250g" lowercase while Part Summary's rows use "250G". The pre-existing Total Qty column uses SUMPRODUCT with = comparison, which is CASE-INSENSITIVE, so it already groups both spellings together. Mixing a case-sensitive Cancelled column with a case-insensitive Total column would have understated cancellation and overstated Net. Cancelled Qty now mirrors the Total Qty formula exactly.</t>
  </si>
  <si>
    <t>Checked: no wildcard characters (* ? ~) appear in any part name or number in this workbook, so the = comparison carries no wildcard risk.</t>
  </si>
  <si>
    <t>THE SIX ROWS YOU FILLED BY HAND contain no cancelled quantity - r32 Scorpio, r44 Matiz, r63/r64 Scorpio-3hole/4hole, r71 507 single seal and r79 507-AA all show zero cancelled against their codes, so no adjustment is needed to your figures.</t>
  </si>
  <si>
    <t>SECOND FILL PASS — remaining blank Challan cells</t>
  </si>
  <si>
    <t>FILLED 15: the 14 dimension condensers (Condensers r77-r90) and 4 LTR oil (Cooling Coil r67 = 120). All net of cancelled challans.</t>
  </si>
  <si>
    <t>DIMENSION RULE: a size is read as AxBxC from the description or a 6-digit code (e.g. PC-S-141522-F). Family is taken from the code prefix where present - PC-S- is SP/UNI, PC-PFC- is PF/UNI - and the two families use different third dimensions (PF 16/20, SP 22/26/44), so size alone separates them in this book. Type F or O comes from FLARE / FLAIR / (F) / -F or O RING / ORING / (O) / -O. An untyped line is given to the flare row ONLY where that size has no O-ring row. Five rows tie exactly to stock: r83, r85, r86, r88 (nil) and r90.</t>
  </si>
  <si>
    <t>HELD OUT: an untyped "14X15X22MM" line of 150 pcs. That size exists as BOTH an O-ring row (r78) and a flare row (r79), so it cannot be assigned on the evidence. Not counted in either.</t>
  </si>
  <si>
    <t>NOT FILLED - UNIT BASIS UNCLEAR. Oils: 1 LITR totals 8,132 pcs in the challan against stock 5,924; 250G totals 9,144 against stock 2,029, which is 4.5 times. The stock column's code reads CTNS (cartons), so the two sides may be in different units. Hose: 8MM 2,166 / 11MM 10,502 / 15MM 6,400 in the challan against stock 40 / 216 / 120 - roughly 50 times, and not a clean factor, so it is not simply metres-to-rolls. Writing any of these would put a number in a column whose unit I cannot vouch for. Needs the stock unit confirmed first.</t>
  </si>
  <si>
    <t>NOT FILLED - GENUINELY ABSENT from this challan book after a loose search: fan blades TS-8805-B (r59) and TST-8801-B (r61) - the only fan lines are TOKODEN 12" STRAIGHT, a different blade type from the 'S' pattern; SM-5 / SM-7 / SM-8 / SM-10 compressors (r68-r71) and 508/510 (r73) - the 507/508 hits are seals, not compressors; HCC SANTRO / SONATA / ELANTRA (r74-r77) - the only HCC lines are Lancer and Verna/Accent.</t>
  </si>
  <si>
    <t>ALSO NIL: CAMERY [PC-533] and CIVIC [PC-523] have stock 0 and no challan line; the one near-miss is "TOYOTA CAMRY 2002 With r/drier" (2 pcs), which is a different item.</t>
  </si>
  <si>
    <t>Rows left blank are UNMATCHED, not nil despatch.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</si>
</sst>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d/m/yyyy"/>
    <numFmt numFmtId="166" formatCode="&quot;US$&quot;#,##0.00"/>
    <numFmt numFmtId="167" formatCode="#,##0.####"/>
  </numFmts>
  <fonts count="141" x14ac:knownFonts="1">
    <font>
      <sz val="11"/>
      <color theme="1"/>
      <name val="Calibri"/>
      <scheme val="minor"/>
    </font>
    <font>
      <b/>
      <sz val="20"/>
      <color rgb="FFFF0000"/>
      <name val="Merriweather"/>
    </font>
    <font>
      <sz val="11"/>
      <color theme="1"/>
      <name val="Calibri"/>
      <scheme val="minor"/>
    </font>
    <font>
      <sz val="12"/>
      <color theme="1"/>
      <name val="Times New Roman"/>
    </font>
    <font>
      <sz val="11"/>
      <color theme="1"/>
      <name val="Calibri"/>
    </font>
    <font>
      <b/>
      <sz val="8"/>
      <color theme="1"/>
      <name val="Arial"/>
    </font>
    <font>
      <b/>
      <sz val="9"/>
      <color theme="1"/>
      <name val="Calibri"/>
    </font>
    <font>
      <b/>
      <sz val="12"/>
      <color theme="1"/>
      <name val="Calibri"/>
    </font>
    <font>
      <sz val="10"/>
      <color theme="1"/>
      <name val="Times New Roman"/>
    </font>
    <font>
      <b/>
      <u/>
      <sz val="10"/>
      <color theme="1"/>
      <name val="Times New Roman"/>
    </font>
    <font>
      <b/>
      <sz val="10"/>
      <color theme="1"/>
      <name val="Times New Roman"/>
    </font>
    <font>
      <sz val="11"/>
      <color theme="1"/>
      <name val="Palatino Linotype"/>
    </font>
    <font>
      <b/>
      <sz val="10"/>
      <color theme="1"/>
      <name val="Palatino Linotype"/>
    </font>
    <font>
      <sz val="10"/>
      <color theme="1"/>
      <name val="Palatino Linotype"/>
    </font>
    <font>
      <b/>
      <sz val="11"/>
      <color theme="1"/>
      <name val="Palatino Linotype"/>
    </font>
    <font>
      <sz val="11"/>
      <color theme="1"/>
      <name val="Times New Roman"/>
    </font>
    <font>
      <u/>
      <sz val="10"/>
      <color theme="10"/>
      <name val="Arial"/>
    </font>
    <font>
      <b/>
      <sz val="11"/>
      <color theme="1"/>
      <name val="Century Gothic"/>
    </font>
    <font>
      <b/>
      <sz val="11"/>
      <color theme="1"/>
      <name val="Times New Roman"/>
    </font>
    <font>
      <b/>
      <sz val="8"/>
      <color theme="1"/>
      <name val="Century Gothic"/>
    </font>
    <font>
      <b/>
      <u/>
      <sz val="8"/>
      <color theme="1"/>
      <name val="Century Gothic"/>
    </font>
    <font>
      <sz val="11"/>
      <color rgb="FF000000"/>
      <name val="Arial"/>
    </font>
    <font>
      <b/>
      <sz val="11"/>
      <color rgb="FF000000"/>
      <name val="Arial"/>
    </font>
    <font>
      <sz val="11"/>
      <color theme="1"/>
      <name val="Arial"/>
    </font>
    <font>
      <sz val="11"/>
      <color rgb="FF000000"/>
      <name val="Times New Roman"/>
    </font>
    <font>
      <sz val="11"/>
      <color theme="1"/>
      <name val="Century Gothic"/>
    </font>
    <font>
      <b/>
      <sz val="8"/>
      <color rgb="FFFF0000"/>
      <name val="Arial"/>
    </font>
    <font>
      <sz val="11"/>
      <name val="Calibri"/>
    </font>
    <font>
      <b/>
      <sz val="11"/>
      <color rgb="FFFF0000"/>
      <name val="Arial"/>
    </font>
    <font>
      <b/>
      <u/>
      <sz val="11"/>
      <color theme="1"/>
      <name val="Century Gothic"/>
    </font>
    <font>
      <sz val="9"/>
      <color theme="1"/>
      <name val="Century Gothic"/>
    </font>
    <font>
      <b/>
      <sz val="11"/>
      <color theme="1"/>
      <name val="Arial"/>
    </font>
    <font>
      <b/>
      <sz val="8"/>
      <color rgb="FF92D050"/>
      <name val="Arial"/>
    </font>
    <font>
      <sz val="8"/>
      <color theme="1"/>
      <name val="Century Gothic"/>
    </font>
    <font>
      <b/>
      <u/>
      <sz val="11"/>
      <color theme="1"/>
      <name val="Palatino Linotype"/>
    </font>
    <font>
      <i/>
      <sz val="11"/>
      <color theme="1"/>
      <name val="Palatino Linotype"/>
    </font>
    <font>
      <b/>
      <sz val="12"/>
      <color rgb="FFFFFFFF"/>
      <name val="Calibri"/>
    </font>
    <font>
      <b/>
      <i/>
      <sz val="12"/>
      <color theme="1"/>
      <name val="Calibri"/>
    </font>
    <font>
      <u/>
      <sz val="10"/>
      <color theme="10"/>
      <name val="Palatino Linotype"/>
    </font>
    <font>
      <b/>
      <sz val="11"/>
      <color theme="1"/>
      <name val="Calibri"/>
    </font>
    <font>
      <b/>
      <sz val="8"/>
      <color rgb="FF333333"/>
      <name val="Arial"/>
    </font>
    <font>
      <b/>
      <u/>
      <sz val="10"/>
      <color theme="1"/>
      <name val="Palatino Linotype"/>
    </font>
    <font>
      <sz val="10"/>
      <color rgb="FF000000"/>
      <name val="Palatino Linotype"/>
    </font>
    <font>
      <b/>
      <sz val="10"/>
      <color rgb="FF000000"/>
      <name val="Palatino Linotype"/>
    </font>
    <font>
      <sz val="11"/>
      <color rgb="FF0000FF"/>
      <name val="Calibri"/>
    </font>
    <font>
      <sz val="10"/>
      <color rgb="FFFF0000"/>
      <name val="Palatino Linotype"/>
    </font>
    <font>
      <b/>
      <sz val="10"/>
      <color rgb="FFFF0000"/>
      <name val="Palatino Linotype"/>
    </font>
    <font>
      <sz val="11"/>
      <color rgb="FF008000"/>
      <name val="Calibri"/>
    </font>
    <font>
      <b/>
      <u/>
      <sz val="10"/>
      <color theme="1"/>
      <name val="Palatino Linotype"/>
    </font>
    <font>
      <i/>
      <sz val="10"/>
      <color theme="1"/>
      <name val="Palatino Linotype"/>
    </font>
    <font>
      <b/>
      <u/>
      <sz val="10"/>
      <color theme="1"/>
      <name val="Palatino Linotype"/>
    </font>
    <font>
      <b/>
      <u/>
      <sz val="10"/>
      <color theme="1"/>
      <name val="Palatino Linotype"/>
    </font>
    <font>
      <sz val="10"/>
      <color theme="1"/>
      <name val="Merriweather"/>
    </font>
    <font>
      <b/>
      <u/>
      <sz val="10"/>
      <color theme="1"/>
      <name val="Merriweather"/>
    </font>
    <font>
      <b/>
      <sz val="10"/>
      <color theme="1"/>
      <name val="Merriweather"/>
    </font>
    <font>
      <u/>
      <sz val="10"/>
      <color theme="10"/>
      <name val="Merriweather"/>
    </font>
    <font>
      <b/>
      <u/>
      <sz val="10"/>
      <color theme="1"/>
      <name val="Merriweather"/>
    </font>
    <font>
      <sz val="10"/>
      <color rgb="FF000000"/>
      <name val="Merriweather"/>
    </font>
    <font>
      <b/>
      <sz val="10"/>
      <color rgb="FF000000"/>
      <name val="Merriweather"/>
    </font>
    <font>
      <b/>
      <sz val="10"/>
      <color rgb="FFFF0000"/>
      <name val="Merriweather"/>
    </font>
    <font>
      <i/>
      <sz val="10"/>
      <color theme="1"/>
      <name val="Merriweather"/>
    </font>
    <font>
      <sz val="10"/>
      <color theme="1"/>
      <name val="Calibri"/>
    </font>
    <font>
      <b/>
      <sz val="10"/>
      <color theme="1"/>
      <name val="Calibri"/>
    </font>
    <font>
      <b/>
      <u/>
      <sz val="10"/>
      <color theme="1"/>
      <name val="Calibri"/>
    </font>
    <font>
      <b/>
      <u/>
      <sz val="10"/>
      <color theme="1"/>
      <name val="Calibri"/>
    </font>
    <font>
      <sz val="10"/>
      <color rgb="FF000000"/>
      <name val="Calibri"/>
    </font>
    <font>
      <b/>
      <sz val="10"/>
      <color rgb="FF000000"/>
      <name val="Calibri"/>
    </font>
    <font>
      <sz val="48"/>
      <color rgb="FFFF0000"/>
      <name val="Calibri"/>
    </font>
    <font>
      <b/>
      <sz val="10"/>
      <color rgb="FFFF0000"/>
      <name val="Calibri"/>
    </font>
    <font>
      <i/>
      <sz val="10"/>
      <color theme="1"/>
      <name val="Calibri"/>
    </font>
    <font>
      <b/>
      <u/>
      <sz val="11"/>
      <color theme="1"/>
      <name val="Calibri"/>
    </font>
    <font>
      <u/>
      <sz val="10"/>
      <color theme="1"/>
      <name val="Calibri"/>
    </font>
    <font>
      <sz val="10"/>
      <color rgb="FFFF0000"/>
      <name val="Calibri"/>
    </font>
    <font>
      <sz val="9"/>
      <color theme="1"/>
      <name val="Calibri"/>
    </font>
    <font>
      <sz val="9"/>
      <color theme="1"/>
      <name val="Arial"/>
    </font>
    <font>
      <b/>
      <u/>
      <sz val="9"/>
      <color theme="1"/>
      <name val="Arial"/>
    </font>
    <font>
      <b/>
      <sz val="9"/>
      <color theme="1"/>
      <name val="Arial"/>
    </font>
    <font>
      <b/>
      <u/>
      <sz val="9"/>
      <color theme="1"/>
      <name val="Arial"/>
    </font>
    <font>
      <sz val="9"/>
      <color rgb="FF000000"/>
      <name val="Arial"/>
    </font>
    <font>
      <b/>
      <sz val="9"/>
      <color rgb="FFFF0000"/>
      <name val="Arial"/>
    </font>
    <font>
      <i/>
      <sz val="9"/>
      <color theme="1"/>
      <name val="Arial"/>
    </font>
    <font>
      <u/>
      <sz val="9"/>
      <color theme="10"/>
      <name val="Arial"/>
    </font>
    <font>
      <b/>
      <i/>
      <sz val="11"/>
      <color theme="1"/>
      <name val="Calibri"/>
    </font>
    <font>
      <sz val="9"/>
      <color theme="1"/>
      <name val="Palatino Linotype"/>
    </font>
    <font>
      <b/>
      <sz val="9"/>
      <color theme="1"/>
      <name val="Palatino Linotype"/>
    </font>
    <font>
      <u/>
      <sz val="9"/>
      <color theme="10"/>
      <name val="Palatino Linotype"/>
    </font>
    <font>
      <b/>
      <u/>
      <sz val="9"/>
      <color theme="1"/>
      <name val="Palatino Linotype"/>
    </font>
    <font>
      <sz val="9"/>
      <color rgb="FF000000"/>
      <name val="Palatino Linotype"/>
    </font>
    <font>
      <b/>
      <sz val="9"/>
      <color rgb="FFFF0000"/>
      <name val="Palatino Linotype"/>
    </font>
    <font>
      <b/>
      <u/>
      <sz val="9"/>
      <color theme="1"/>
      <name val="Palatino Linotype"/>
    </font>
    <font>
      <i/>
      <sz val="9"/>
      <color theme="1"/>
      <name val="Palatino Linotype"/>
    </font>
    <font>
      <b/>
      <i/>
      <sz val="10"/>
      <color theme="1"/>
      <name val="Arial"/>
    </font>
    <font>
      <b/>
      <u/>
      <sz val="9"/>
      <color theme="1"/>
      <name val="Calibri"/>
    </font>
    <font>
      <b/>
      <u/>
      <sz val="9"/>
      <color theme="1"/>
      <name val="Calibri"/>
    </font>
    <font>
      <sz val="9"/>
      <color rgb="FF000000"/>
      <name val="Calibri"/>
    </font>
    <font>
      <b/>
      <sz val="9"/>
      <color rgb="FF000000"/>
      <name val="Calibri"/>
    </font>
    <font>
      <b/>
      <sz val="9"/>
      <color rgb="FFFF0000"/>
      <name val="Calibri"/>
    </font>
    <font>
      <i/>
      <sz val="9"/>
      <color theme="1"/>
      <name val="Calibri"/>
    </font>
    <font>
      <b/>
      <sz val="9"/>
      <color rgb="FF000000"/>
      <name val="Arial"/>
    </font>
    <font>
      <u/>
      <sz val="9"/>
      <color theme="1"/>
      <name val="Arial"/>
    </font>
    <font>
      <b/>
      <u/>
      <sz val="9"/>
      <color theme="1"/>
      <name val="Arial"/>
    </font>
    <font>
      <u/>
      <sz val="9"/>
      <color theme="1"/>
      <name val="Arial"/>
    </font>
    <font>
      <sz val="14"/>
      <color rgb="FFFF0000"/>
      <name val="Arial"/>
    </font>
    <font>
      <b/>
      <sz val="11"/>
      <color rgb="FFFF0000"/>
      <name val="Calibri"/>
    </font>
    <font>
      <sz val="28"/>
      <color rgb="FFFF0000"/>
      <name val="Arial"/>
    </font>
    <font>
      <sz val="8"/>
      <color theme="1"/>
      <name val="Arial"/>
    </font>
    <font>
      <sz val="10"/>
      <color theme="1"/>
      <name val="Arial"/>
    </font>
    <font>
      <b/>
      <sz val="10"/>
      <color theme="1"/>
      <name val="Arial"/>
    </font>
    <font>
      <b/>
      <u/>
      <sz val="10"/>
      <color theme="1"/>
      <name val="Arial"/>
    </font>
    <font>
      <b/>
      <sz val="10"/>
      <color rgb="FF000000"/>
      <name val="Arial"/>
    </font>
    <font>
      <sz val="10"/>
      <color rgb="FF000000"/>
      <name val="Arial"/>
    </font>
    <font>
      <b/>
      <sz val="10"/>
      <color rgb="FFFF0000"/>
      <name val="Arial"/>
    </font>
    <font>
      <b/>
      <u/>
      <sz val="10"/>
      <color theme="1"/>
      <name val="Arial"/>
    </font>
    <font>
      <i/>
      <sz val="10"/>
      <color theme="1"/>
      <name val="Arial"/>
    </font>
    <font>
      <i/>
      <sz val="8"/>
      <color theme="1"/>
      <name val="Arial"/>
    </font>
    <font>
      <sz val="10"/>
      <color theme="1"/>
      <name val="Century Gothic"/>
    </font>
    <font>
      <b/>
      <u/>
      <sz val="9"/>
      <color theme="1"/>
      <name val="Arial"/>
    </font>
    <font>
      <b/>
      <u/>
      <sz val="10"/>
      <color theme="1"/>
      <name val="Merriweather"/>
    </font>
    <font>
      <sz val="11"/>
      <color rgb="FFFF0000"/>
      <name val="Calibri"/>
    </font>
    <font>
      <b/>
      <sz val="10"/>
      <color rgb="FF000000"/>
      <name val="Bell MT"/>
    </font>
    <font>
      <u/>
      <sz val="9"/>
      <color theme="1"/>
      <name val="Arial"/>
    </font>
    <font>
      <b/>
      <u/>
      <sz val="9"/>
      <color theme="1"/>
      <name val="Arial"/>
    </font>
    <font>
      <sz val="9"/>
      <color rgb="FFFF0000"/>
      <name val="Arial"/>
    </font>
    <font>
      <b/>
      <i/>
      <sz val="9"/>
      <color theme="1"/>
      <name val="Arial"/>
    </font>
    <font>
      <sz val="10"/>
      <color theme="1"/>
      <name val="Cambria"/>
    </font>
    <font>
      <sz val="10"/>
      <color theme="1"/>
      <name val="SimSun"/>
    </font>
    <font>
      <sz val="10"/>
      <color rgb="FF000000"/>
      <name val="Cambria"/>
    </font>
    <font>
      <sz val="12"/>
      <color rgb="FF000000"/>
      <name val="Calibri"/>
    </font>
    <font>
      <sz val="12"/>
      <color theme="1"/>
      <name val="SimSun"/>
    </font>
    <font>
      <sz val="12"/>
      <color theme="1"/>
      <name val="Cambria"/>
    </font>
    <font>
      <sz val="11"/>
      <color theme="1"/>
      <name val="Cambria"/>
    </font>
    <font>
      <sz val="11"/>
      <color rgb="FF000000"/>
      <name val="Cambria"/>
    </font>
    <font>
      <b/>
      <sz val="16"/>
      <color rgb="FFFF0000"/>
      <name val="Cambria"/>
    </font>
    <font>
      <b/>
      <sz val="10"/>
      <color rgb="FFFF0000"/>
      <name val="Cambria"/>
    </font>
    <font>
      <b/>
      <sz val="11"/>
      <color theme="1"/>
      <name val="Calibri"/>
      <scheme val="minor"/>
    </font>
    <font>
      <i/>
      <sz val="11"/>
      <color rgb="FF666666"/>
      <name val="Calibri"/>
      <scheme val="minor"/>
    </font>
    <font>
      <sz val="9"/>
      <color indexed="81"/>
      <name val="Tahoma"/>
      <charset val="1"/>
    </font>
    <font>
      <b/>
      <sz val="9"/>
      <color indexed="81"/>
      <name val="Tahoma"/>
      <charset val="1"/>
    </font>
    <font>
      <b/>
      <sz val="14"/>
      <color rgb="FFFFFFFF"/>
      <name val="Calibri"/>
      <scheme val="minor"/>
    </font>
    <font>
      <i/>
      <sz val="11"/>
      <color theme="1"/>
      <name val="Calibri"/>
      <scheme val="minor"/>
    </font>
    <font>
      <b/>
      <i/>
      <sz val="11"/>
      <color theme="1"/>
      <name val="Calibri"/>
      <scheme val="minor"/>
    </font>
  </fonts>
  <fills count="37">
    <fill>
      <patternFill patternType="none"/>
    </fill>
    <fill>
      <patternFill patternType="gray125"/>
    </fill>
    <fill>
      <patternFill patternType="solid">
        <fgColor rgb="FFFFFF00"/>
        <bgColor rgb="FFFFFF00"/>
      </patternFill>
    </fill>
    <fill>
      <patternFill patternType="solid">
        <fgColor rgb="FF92D050"/>
        <bgColor rgb="FF92D050"/>
      </patternFill>
    </fill>
    <fill>
      <patternFill patternType="solid">
        <fgColor rgb="FF00B0F0"/>
        <bgColor rgb="FF00B0F0"/>
      </patternFill>
    </fill>
    <fill>
      <patternFill patternType="solid">
        <fgColor rgb="FFC6D9F0"/>
        <bgColor rgb="FFC6D9F0"/>
      </patternFill>
    </fill>
    <fill>
      <patternFill patternType="solid">
        <fgColor rgb="FFCCC0D9"/>
        <bgColor rgb="FFCCC0D9"/>
      </patternFill>
    </fill>
    <fill>
      <patternFill patternType="solid">
        <fgColor rgb="FFC00000"/>
        <bgColor rgb="FFC00000"/>
      </patternFill>
    </fill>
    <fill>
      <patternFill patternType="solid">
        <fgColor rgb="FFFBD4B4"/>
        <bgColor rgb="FFFBD4B4"/>
      </patternFill>
    </fill>
    <fill>
      <patternFill patternType="solid">
        <fgColor rgb="FFE5B8B7"/>
        <bgColor rgb="FFE5B8B7"/>
      </patternFill>
    </fill>
    <fill>
      <patternFill patternType="solid">
        <fgColor rgb="FF002060"/>
        <bgColor rgb="FF002060"/>
      </patternFill>
    </fill>
    <fill>
      <patternFill patternType="solid">
        <fgColor rgb="FF31859B"/>
        <bgColor rgb="FF31859B"/>
      </patternFill>
    </fill>
    <fill>
      <patternFill patternType="solid">
        <fgColor rgb="FF938953"/>
        <bgColor rgb="FF938953"/>
      </patternFill>
    </fill>
    <fill>
      <patternFill patternType="solid">
        <fgColor rgb="FF1D1B10"/>
        <bgColor rgb="FF1D1B10"/>
      </patternFill>
    </fill>
    <fill>
      <patternFill patternType="solid">
        <fgColor rgb="FF1F3864"/>
        <bgColor rgb="FF1F3864"/>
      </patternFill>
    </fill>
    <fill>
      <patternFill patternType="solid">
        <fgColor rgb="FFD9E1F2"/>
        <bgColor rgb="FFD9E1F2"/>
      </patternFill>
    </fill>
    <fill>
      <patternFill patternType="solid">
        <fgColor theme="4"/>
        <bgColor theme="4"/>
      </patternFill>
    </fill>
    <fill>
      <patternFill patternType="solid">
        <fgColor rgb="FFF2F2F2"/>
        <bgColor rgb="FFF2F2F2"/>
      </patternFill>
    </fill>
    <fill>
      <patternFill patternType="solid">
        <fgColor rgb="FFFF0000"/>
        <bgColor rgb="FFFF0000"/>
      </patternFill>
    </fill>
    <fill>
      <patternFill patternType="solid">
        <fgColor theme="6"/>
        <bgColor theme="6"/>
      </patternFill>
    </fill>
    <fill>
      <patternFill patternType="solid">
        <fgColor theme="5"/>
        <bgColor theme="5"/>
      </patternFill>
    </fill>
    <fill>
      <patternFill patternType="solid">
        <fgColor rgb="FF99FFCC"/>
        <bgColor rgb="FF99FFCC"/>
      </patternFill>
    </fill>
    <fill>
      <patternFill patternType="solid">
        <fgColor theme="0"/>
        <bgColor theme="0"/>
      </patternFill>
    </fill>
    <fill>
      <patternFill patternType="solid">
        <fgColor rgb="FFFF3399"/>
        <bgColor rgb="FFFF3399"/>
      </patternFill>
    </fill>
    <fill>
      <patternFill patternType="solid">
        <fgColor theme="8"/>
        <bgColor theme="8"/>
      </patternFill>
    </fill>
    <fill>
      <patternFill patternType="solid">
        <fgColor rgb="FF548DD4"/>
        <bgColor rgb="FF548DD4"/>
      </patternFill>
    </fill>
    <fill>
      <patternFill patternType="solid">
        <fgColor rgb="FFBFBFBF"/>
        <bgColor rgb="FFBFBFBF"/>
      </patternFill>
    </fill>
    <fill>
      <patternFill patternType="solid">
        <fgColor rgb="FF00B050"/>
        <bgColor rgb="FF00B050"/>
      </patternFill>
    </fill>
    <fill>
      <patternFill patternType="solid">
        <fgColor theme="9"/>
        <bgColor theme="9"/>
      </patternFill>
    </fill>
    <fill>
      <patternFill patternType="solid">
        <fgColor rgb="FF92CDDC"/>
        <bgColor rgb="FF92CDDC"/>
      </patternFill>
    </fill>
    <fill>
      <patternFill patternType="solid">
        <fgColor rgb="FFDDD9C3"/>
        <bgColor rgb="FFDDD9C3"/>
      </patternFill>
    </fill>
    <fill>
      <patternFill patternType="solid">
        <fgColor rgb="FFD8D8D8"/>
        <bgColor rgb="FFD8D8D8"/>
      </patternFill>
    </fill>
    <fill>
      <patternFill patternType="solid">
        <fgColor rgb="FFF2DBDB"/>
        <bgColor rgb="FFF2DBDB"/>
      </patternFill>
    </fill>
    <fill>
      <patternFill patternType="solid">
        <fgColor rgb="FF1F4E78"/>
        <bgColor indexed="64"/>
      </patternFill>
    </fill>
    <fill>
      <patternFill patternType="solid">
        <fgColor rgb="FFD9EAF7"/>
        <bgColor indexed="64"/>
      </patternFill>
    </fill>
    <fill>
      <patternFill patternType="solid">
        <fgColor rgb="FFFFFF00"/>
        <bgColor indexed="64"/>
      </patternFill>
    </fill>
    <fill>
      <patternFill patternType="solid">
        <fgColor rgb="FFDDEBF7"/>
        <bgColor indexed="64"/>
      </patternFill>
    </fill>
  </fills>
  <borders count="116">
    <border>
      <left/>
      <right/>
      <top/>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bottom/>
      <diagonal/>
    </border>
    <border>
      <left style="thin">
        <color rgb="FF000000"/>
      </left>
      <right/>
      <top style="medium">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diagonal/>
    </border>
    <border>
      <left style="thin">
        <color rgb="FF000000"/>
      </left>
      <right style="medium">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medium">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right/>
      <top/>
      <bottom/>
      <diagonal/>
    </border>
    <border>
      <left style="medium">
        <color rgb="FF000000"/>
      </left>
      <right/>
      <top/>
      <bottom/>
      <diagonal/>
    </border>
    <border>
      <left/>
      <right/>
      <top/>
      <bottom/>
      <diagonal/>
    </border>
    <border>
      <left/>
      <right/>
      <top style="thin">
        <color rgb="FF000000"/>
      </top>
      <bottom style="thin">
        <color rgb="FF000000"/>
      </bottom>
      <diagonal/>
    </border>
    <border>
      <left/>
      <right style="medium">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right/>
      <top/>
      <bottom/>
      <diagonal/>
    </border>
    <border>
      <left style="thin">
        <color rgb="FF000000"/>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thin">
        <color rgb="FF000000"/>
      </left>
      <right/>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medium">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style="medium">
        <color rgb="FF000000"/>
      </bottom>
      <diagonal/>
    </border>
    <border>
      <left/>
      <right style="medium">
        <color rgb="FF000000"/>
      </right>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diagonal/>
    </border>
    <border>
      <left/>
      <right style="thin">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thin">
        <color rgb="FF999999"/>
      </left>
      <right/>
      <top style="thin">
        <color rgb="FF999999"/>
      </top>
      <bottom/>
      <diagonal/>
    </border>
    <border>
      <left style="thin">
        <color rgb="FF999999"/>
      </left>
      <right/>
      <top style="thin">
        <color rgb="FF999999"/>
      </top>
      <bottom style="thin">
        <color rgb="FF999999"/>
      </bottom>
      <diagonal/>
    </border>
    <border>
      <left/>
      <right/>
      <top/>
      <bottom style="thin">
        <color auto="1"/>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348">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applyAlignment="1">
      <alignment horizontal="center"/>
    </xf>
    <xf numFmtId="164" fontId="4" fillId="0" borderId="0" xfId="0" applyNumberFormat="1" applyFont="1" applyAlignment="1">
      <alignment horizontal="center"/>
    </xf>
    <xf numFmtId="0" fontId="5" fillId="0" borderId="0" xfId="0" applyFont="1" applyAlignment="1">
      <alignment horizontal="center"/>
    </xf>
    <xf numFmtId="0" fontId="6" fillId="0" borderId="0" xfId="0" applyFont="1"/>
    <xf numFmtId="0" fontId="6" fillId="0" borderId="0" xfId="0" applyFont="1" applyAlignment="1">
      <alignment horizontal="center"/>
    </xf>
    <xf numFmtId="0" fontId="4" fillId="0" borderId="6" xfId="0" applyFont="1" applyBorder="1"/>
    <xf numFmtId="0" fontId="4" fillId="0" borderId="7" xfId="0" applyFont="1" applyBorder="1"/>
    <xf numFmtId="0" fontId="4" fillId="0" borderId="6" xfId="0" applyFont="1" applyBorder="1" applyAlignment="1">
      <alignment horizontal="center"/>
    </xf>
    <xf numFmtId="0" fontId="6" fillId="0" borderId="6" xfId="0" applyFont="1" applyBorder="1"/>
    <xf numFmtId="0" fontId="6" fillId="0" borderId="6" xfId="0" applyFont="1" applyBorder="1" applyAlignment="1">
      <alignment horizontal="center"/>
    </xf>
    <xf numFmtId="0" fontId="7" fillId="0" borderId="0" xfId="0" applyFont="1" applyAlignment="1">
      <alignment horizontal="center"/>
    </xf>
    <xf numFmtId="0" fontId="8" fillId="0" borderId="0" xfId="0" applyFont="1"/>
    <xf numFmtId="0" fontId="3" fillId="0" borderId="0" xfId="0" applyFont="1" applyAlignment="1">
      <alignment horizontal="center"/>
    </xf>
    <xf numFmtId="0" fontId="9" fillId="0" borderId="0" xfId="0" applyFont="1" applyAlignment="1">
      <alignment horizontal="center"/>
    </xf>
    <xf numFmtId="0" fontId="10" fillId="0" borderId="0" xfId="0" applyFont="1"/>
    <xf numFmtId="2" fontId="3" fillId="0" borderId="0" xfId="0" applyNumberFormat="1" applyFont="1" applyAlignment="1">
      <alignment horizontal="center"/>
    </xf>
    <xf numFmtId="0" fontId="11" fillId="0" borderId="0" xfId="0" applyFont="1"/>
    <xf numFmtId="0" fontId="11" fillId="0" borderId="0" xfId="0" applyFont="1" applyAlignment="1">
      <alignment horizontal="center"/>
    </xf>
    <xf numFmtId="0" fontId="12" fillId="0" borderId="0" xfId="0" applyFont="1" applyAlignment="1">
      <alignment horizontal="right"/>
    </xf>
    <xf numFmtId="165" fontId="13" fillId="0" borderId="0" xfId="0" applyNumberFormat="1" applyFont="1"/>
    <xf numFmtId="165" fontId="13" fillId="0" borderId="0" xfId="0" applyNumberFormat="1" applyFont="1" applyAlignment="1">
      <alignment horizontal="center"/>
    </xf>
    <xf numFmtId="0" fontId="13" fillId="0" borderId="0" xfId="0" applyFont="1"/>
    <xf numFmtId="0" fontId="13" fillId="0" borderId="0" xfId="0" applyFont="1" applyAlignment="1">
      <alignment horizontal="center"/>
    </xf>
    <xf numFmtId="0" fontId="14" fillId="0" borderId="0" xfId="0" applyFont="1" applyAlignment="1">
      <alignment horizontal="right"/>
    </xf>
    <xf numFmtId="0" fontId="15" fillId="0" borderId="0" xfId="0" applyFont="1"/>
    <xf numFmtId="2" fontId="15" fillId="0" borderId="0" xfId="0" applyNumberFormat="1" applyFont="1" applyAlignment="1">
      <alignment horizontal="center"/>
    </xf>
    <xf numFmtId="0" fontId="14" fillId="0" borderId="0" xfId="0" applyFont="1" applyAlignment="1">
      <alignment horizontal="center"/>
    </xf>
    <xf numFmtId="0" fontId="16" fillId="0" borderId="0" xfId="0" applyFont="1"/>
    <xf numFmtId="0" fontId="17" fillId="0" borderId="9" xfId="0" applyFont="1" applyBorder="1" applyAlignment="1">
      <alignment horizontal="left" vertical="center"/>
    </xf>
    <xf numFmtId="0" fontId="17" fillId="0" borderId="10" xfId="0" applyFont="1" applyBorder="1" applyAlignment="1">
      <alignment horizontal="center" vertical="center"/>
    </xf>
    <xf numFmtId="0" fontId="17" fillId="0" borderId="10" xfId="0" applyFont="1" applyBorder="1" applyAlignment="1">
      <alignment horizontal="center"/>
    </xf>
    <xf numFmtId="0" fontId="17" fillId="0" borderId="10" xfId="0" applyFont="1" applyBorder="1" applyAlignment="1">
      <alignment horizontal="left"/>
    </xf>
    <xf numFmtId="0" fontId="5" fillId="0" borderId="0" xfId="0" applyFont="1"/>
    <xf numFmtId="0" fontId="17" fillId="0" borderId="11" xfId="0" applyFont="1" applyBorder="1" applyAlignment="1">
      <alignment horizontal="left" vertical="center"/>
    </xf>
    <xf numFmtId="0" fontId="18" fillId="0" borderId="9" xfId="0" applyFont="1" applyBorder="1" applyAlignment="1">
      <alignment horizontal="center" vertical="center"/>
    </xf>
    <xf numFmtId="2" fontId="18" fillId="0" borderId="12" xfId="0" applyNumberFormat="1" applyFont="1" applyBorder="1" applyAlignment="1">
      <alignment horizontal="center" vertical="center"/>
    </xf>
    <xf numFmtId="0" fontId="19" fillId="0" borderId="13" xfId="0" applyFont="1" applyBorder="1"/>
    <xf numFmtId="0" fontId="17" fillId="0" borderId="14" xfId="0" applyFont="1" applyBorder="1" applyAlignment="1">
      <alignment horizontal="center"/>
    </xf>
    <xf numFmtId="0" fontId="19" fillId="0" borderId="0" xfId="0" applyFont="1"/>
    <xf numFmtId="0" fontId="19" fillId="0" borderId="15" xfId="0" applyFont="1" applyBorder="1" applyAlignment="1">
      <alignment horizontal="center"/>
    </xf>
    <xf numFmtId="0" fontId="20" fillId="0" borderId="16" xfId="0" applyFont="1" applyBorder="1" applyAlignment="1">
      <alignment horizontal="left"/>
    </xf>
    <xf numFmtId="0" fontId="5" fillId="0" borderId="7" xfId="0" applyFont="1" applyBorder="1"/>
    <xf numFmtId="0" fontId="19" fillId="0" borderId="17" xfId="0" applyFont="1" applyBorder="1" applyAlignment="1">
      <alignment horizontal="center"/>
    </xf>
    <xf numFmtId="0" fontId="5" fillId="2" borderId="7" xfId="0" applyFont="1" applyFill="1" applyBorder="1"/>
    <xf numFmtId="2" fontId="3" fillId="0" borderId="18" xfId="0" applyNumberFormat="1" applyFont="1" applyBorder="1" applyAlignment="1">
      <alignment horizontal="center"/>
    </xf>
    <xf numFmtId="0" fontId="21" fillId="0" borderId="13" xfId="0" applyFont="1" applyBorder="1" applyAlignment="1">
      <alignment horizontal="center" vertical="top" wrapText="1"/>
    </xf>
    <xf numFmtId="0" fontId="22" fillId="0" borderId="16" xfId="0" applyFont="1" applyBorder="1" applyAlignment="1">
      <alignment horizontal="center" vertical="top" wrapText="1"/>
    </xf>
    <xf numFmtId="0" fontId="22" fillId="0" borderId="19" xfId="0" applyFont="1" applyBorder="1" applyAlignment="1">
      <alignment horizontal="center" vertical="top" wrapText="1"/>
    </xf>
    <xf numFmtId="0" fontId="23" fillId="0" borderId="15" xfId="0" applyFont="1" applyBorder="1" applyAlignment="1">
      <alignment horizontal="center"/>
    </xf>
    <xf numFmtId="0" fontId="23" fillId="0" borderId="0" xfId="0" applyFont="1" applyAlignment="1">
      <alignment horizontal="center"/>
    </xf>
    <xf numFmtId="2" fontId="23" fillId="0" borderId="20" xfId="0" applyNumberFormat="1" applyFont="1" applyBorder="1" applyAlignment="1">
      <alignment horizontal="center"/>
    </xf>
    <xf numFmtId="0" fontId="21" fillId="0" borderId="16" xfId="0" applyFont="1" applyBorder="1" applyAlignment="1">
      <alignment horizontal="left" vertical="top" wrapText="1"/>
    </xf>
    <xf numFmtId="0" fontId="23" fillId="0" borderId="0" xfId="0" applyFont="1"/>
    <xf numFmtId="0" fontId="5" fillId="3" borderId="7" xfId="0" applyFont="1" applyFill="1" applyBorder="1"/>
    <xf numFmtId="0" fontId="5" fillId="4" borderId="7" xfId="0" applyFont="1" applyFill="1" applyBorder="1"/>
    <xf numFmtId="0" fontId="5" fillId="5" borderId="7" xfId="0" applyFont="1" applyFill="1" applyBorder="1"/>
    <xf numFmtId="0" fontId="5" fillId="6" borderId="7" xfId="0" applyFont="1" applyFill="1" applyBorder="1"/>
    <xf numFmtId="0" fontId="5" fillId="6" borderId="1" xfId="0" applyFont="1" applyFill="1" applyBorder="1"/>
    <xf numFmtId="0" fontId="24" fillId="0" borderId="13" xfId="0" applyFont="1" applyBorder="1" applyAlignment="1">
      <alignment horizontal="center" vertical="top" wrapText="1"/>
    </xf>
    <xf numFmtId="0" fontId="25" fillId="0" borderId="0" xfId="0" applyFont="1"/>
    <xf numFmtId="0" fontId="5" fillId="7" borderId="1" xfId="0" applyFont="1" applyFill="1" applyBorder="1"/>
    <xf numFmtId="0" fontId="25" fillId="0" borderId="15" xfId="0" applyFont="1" applyBorder="1" applyAlignment="1">
      <alignment horizontal="center"/>
    </xf>
    <xf numFmtId="0" fontId="5" fillId="8" borderId="1" xfId="0" applyFont="1" applyFill="1" applyBorder="1"/>
    <xf numFmtId="2" fontId="15" fillId="0" borderId="20" xfId="0" applyNumberFormat="1" applyFont="1" applyBorder="1" applyAlignment="1">
      <alignment horizontal="center"/>
    </xf>
    <xf numFmtId="0" fontId="5" fillId="9" borderId="1" xfId="0" applyFont="1" applyFill="1" applyBorder="1"/>
    <xf numFmtId="0" fontId="28" fillId="0" borderId="16" xfId="0" applyFont="1" applyBorder="1" applyAlignment="1">
      <alignment horizontal="left" vertical="top" wrapText="1"/>
    </xf>
    <xf numFmtId="0" fontId="26" fillId="10" borderId="1" xfId="0" applyFont="1" applyFill="1" applyBorder="1" applyAlignment="1">
      <alignment horizontal="center" vertical="center"/>
    </xf>
    <xf numFmtId="0" fontId="17" fillId="0" borderId="13" xfId="0" applyFont="1" applyBorder="1" applyAlignment="1">
      <alignment horizontal="center"/>
    </xf>
    <xf numFmtId="0" fontId="29" fillId="0" borderId="16" xfId="0" applyFont="1" applyBorder="1" applyAlignment="1">
      <alignment horizontal="left"/>
    </xf>
    <xf numFmtId="0" fontId="17" fillId="0" borderId="0" xfId="0" applyFont="1"/>
    <xf numFmtId="0" fontId="25" fillId="0" borderId="16" xfId="0" applyFont="1" applyBorder="1" applyAlignment="1">
      <alignment horizontal="center"/>
    </xf>
    <xf numFmtId="0" fontId="30" fillId="0" borderId="27" xfId="0" applyFont="1" applyBorder="1" applyAlignment="1">
      <alignment horizontal="center"/>
    </xf>
    <xf numFmtId="0" fontId="5" fillId="0" borderId="0" xfId="0" applyFont="1" applyAlignment="1">
      <alignment horizontal="center" vertical="center"/>
    </xf>
    <xf numFmtId="0" fontId="31" fillId="0" borderId="28" xfId="0" applyFont="1" applyBorder="1"/>
    <xf numFmtId="0" fontId="31" fillId="0" borderId="29" xfId="0" applyFont="1" applyBorder="1"/>
    <xf numFmtId="0" fontId="31" fillId="0" borderId="30" xfId="0" applyFont="1" applyBorder="1" applyAlignment="1">
      <alignment horizontal="right" vertical="center"/>
    </xf>
    <xf numFmtId="0" fontId="5" fillId="4" borderId="1" xfId="0" applyFont="1" applyFill="1" applyBorder="1"/>
    <xf numFmtId="0" fontId="31" fillId="0" borderId="31" xfId="0" applyFont="1" applyBorder="1" applyAlignment="1">
      <alignment horizontal="center"/>
    </xf>
    <xf numFmtId="0" fontId="31" fillId="0" borderId="12" xfId="0" applyFont="1" applyBorder="1" applyAlignment="1">
      <alignment horizontal="center"/>
    </xf>
    <xf numFmtId="2" fontId="31" fillId="0" borderId="33" xfId="0" applyNumberFormat="1" applyFont="1" applyBorder="1" applyAlignment="1">
      <alignment horizontal="center"/>
    </xf>
    <xf numFmtId="2" fontId="23" fillId="0" borderId="12" xfId="0" applyNumberFormat="1" applyFont="1" applyBorder="1" applyAlignment="1">
      <alignment horizontal="center"/>
    </xf>
    <xf numFmtId="0" fontId="5" fillId="2" borderId="7" xfId="0" applyFont="1" applyFill="1" applyBorder="1" applyAlignment="1">
      <alignment horizontal="center"/>
    </xf>
    <xf numFmtId="0" fontId="33" fillId="0" borderId="34" xfId="0" applyFont="1" applyBorder="1"/>
    <xf numFmtId="0" fontId="33" fillId="0" borderId="35" xfId="0" applyFont="1" applyBorder="1"/>
    <xf numFmtId="0" fontId="33" fillId="0" borderId="35" xfId="0" applyFont="1" applyBorder="1" applyAlignment="1">
      <alignment horizontal="center"/>
    </xf>
    <xf numFmtId="0" fontId="33" fillId="0" borderId="36" xfId="0" applyFont="1" applyBorder="1"/>
    <xf numFmtId="0" fontId="5" fillId="3" borderId="7" xfId="0" applyFont="1" applyFill="1" applyBorder="1" applyAlignment="1">
      <alignment horizontal="center"/>
    </xf>
    <xf numFmtId="2" fontId="33" fillId="0" borderId="35" xfId="0" applyNumberFormat="1" applyFont="1" applyBorder="1"/>
    <xf numFmtId="2" fontId="3" fillId="0" borderId="37" xfId="0" applyNumberFormat="1" applyFont="1" applyBorder="1" applyAlignment="1">
      <alignment horizontal="center"/>
    </xf>
    <xf numFmtId="0" fontId="34" fillId="0" borderId="0" xfId="0" applyFont="1" applyAlignment="1">
      <alignment horizontal="center"/>
    </xf>
    <xf numFmtId="0" fontId="5" fillId="4" borderId="7" xfId="0" applyFont="1" applyFill="1" applyBorder="1" applyAlignment="1">
      <alignment horizontal="center"/>
    </xf>
    <xf numFmtId="0" fontId="35" fillId="0" borderId="0" xfId="0" applyFont="1"/>
    <xf numFmtId="0" fontId="35" fillId="0" borderId="0" xfId="0" applyFont="1" applyAlignment="1">
      <alignment horizontal="center"/>
    </xf>
    <xf numFmtId="0" fontId="5" fillId="5" borderId="7" xfId="0" applyFont="1" applyFill="1" applyBorder="1" applyAlignment="1">
      <alignment horizontal="center"/>
    </xf>
    <xf numFmtId="2" fontId="11" fillId="0" borderId="0" xfId="0" applyNumberFormat="1" applyFont="1" applyAlignment="1">
      <alignment horizontal="center"/>
    </xf>
    <xf numFmtId="0" fontId="5" fillId="5" borderId="1" xfId="0" applyFont="1" applyFill="1" applyBorder="1" applyAlignment="1">
      <alignment horizontal="center"/>
    </xf>
    <xf numFmtId="0" fontId="26" fillId="10" borderId="40" xfId="0" applyFont="1" applyFill="1" applyBorder="1" applyAlignment="1">
      <alignment horizontal="center" vertical="center"/>
    </xf>
    <xf numFmtId="0" fontId="5" fillId="0" borderId="7" xfId="0" applyFont="1" applyBorder="1" applyAlignment="1">
      <alignment horizontal="left"/>
    </xf>
    <xf numFmtId="0" fontId="5" fillId="0" borderId="7" xfId="0" applyFont="1" applyBorder="1" applyAlignment="1">
      <alignment horizontal="center"/>
    </xf>
    <xf numFmtId="0" fontId="37" fillId="0" borderId="0" xfId="0" applyFont="1" applyAlignment="1">
      <alignment horizontal="center"/>
    </xf>
    <xf numFmtId="0" fontId="5" fillId="0" borderId="7" xfId="0" applyFont="1" applyBorder="1" applyAlignment="1">
      <alignment horizontal="left" vertical="center"/>
    </xf>
    <xf numFmtId="0" fontId="4" fillId="0" borderId="45" xfId="0" applyFont="1" applyBorder="1"/>
    <xf numFmtId="2" fontId="13" fillId="0" borderId="0" xfId="0" applyNumberFormat="1" applyFont="1" applyAlignment="1">
      <alignment horizontal="center"/>
    </xf>
    <xf numFmtId="0" fontId="4" fillId="0" borderId="46" xfId="0" applyFont="1" applyBorder="1"/>
    <xf numFmtId="16" fontId="5" fillId="0" borderId="7" xfId="0" applyNumberFormat="1" applyFont="1" applyBorder="1" applyAlignment="1">
      <alignment horizontal="left" vertical="center"/>
    </xf>
    <xf numFmtId="0" fontId="12" fillId="0" borderId="0" xfId="0" applyFont="1" applyAlignment="1">
      <alignment horizontal="center"/>
    </xf>
    <xf numFmtId="0" fontId="36" fillId="14" borderId="47" xfId="0" applyFont="1" applyFill="1" applyBorder="1"/>
    <xf numFmtId="0" fontId="5" fillId="4" borderId="7" xfId="0" applyFont="1" applyFill="1" applyBorder="1" applyAlignment="1">
      <alignment horizontal="left"/>
    </xf>
    <xf numFmtId="0" fontId="4" fillId="0" borderId="0" xfId="0" applyFont="1" applyAlignment="1">
      <alignment wrapText="1"/>
    </xf>
    <xf numFmtId="0" fontId="5" fillId="0" borderId="7" xfId="0" applyFont="1" applyBorder="1" applyAlignment="1">
      <alignment horizontal="left" vertical="center" wrapText="1"/>
    </xf>
    <xf numFmtId="0" fontId="38" fillId="0" borderId="0" xfId="0" applyFont="1"/>
    <xf numFmtId="0" fontId="5" fillId="0" borderId="7" xfId="0" applyFont="1" applyBorder="1" applyAlignment="1">
      <alignment horizontal="center" vertical="center"/>
    </xf>
    <xf numFmtId="0" fontId="5" fillId="16" borderId="7" xfId="0" applyFont="1" applyFill="1" applyBorder="1" applyAlignment="1">
      <alignment horizontal="left"/>
    </xf>
    <xf numFmtId="0" fontId="39" fillId="15" borderId="1" xfId="0" applyFont="1" applyFill="1" applyBorder="1" applyAlignment="1">
      <alignment horizontal="center" wrapText="1"/>
    </xf>
    <xf numFmtId="0" fontId="12" fillId="0" borderId="9" xfId="0" applyFont="1" applyBorder="1" applyAlignment="1">
      <alignment horizontal="left" vertical="center"/>
    </xf>
    <xf numFmtId="0" fontId="5" fillId="0" borderId="0" xfId="0" applyFont="1" applyAlignment="1">
      <alignment horizontal="left"/>
    </xf>
    <xf numFmtId="0" fontId="39" fillId="15" borderId="50" xfId="0" applyFont="1" applyFill="1" applyBorder="1" applyAlignment="1">
      <alignment horizontal="center" wrapText="1"/>
    </xf>
    <xf numFmtId="0" fontId="12" fillId="0" borderId="10" xfId="0" applyFont="1" applyBorder="1" applyAlignment="1">
      <alignment horizontal="center" vertical="center"/>
    </xf>
    <xf numFmtId="0" fontId="40" fillId="0" borderId="51" xfId="0" applyFont="1" applyBorder="1" applyAlignment="1">
      <alignment horizontal="left" wrapText="1"/>
    </xf>
    <xf numFmtId="0" fontId="12" fillId="0" borderId="10" xfId="0" applyFont="1" applyBorder="1" applyAlignment="1">
      <alignment horizontal="center"/>
    </xf>
    <xf numFmtId="0" fontId="5" fillId="2" borderId="7" xfId="0" applyFont="1" applyFill="1" applyBorder="1" applyAlignment="1">
      <alignment horizontal="left" vertical="center"/>
    </xf>
    <xf numFmtId="0" fontId="12" fillId="0" borderId="10" xfId="0" applyFont="1" applyBorder="1" applyAlignment="1">
      <alignment horizontal="left"/>
    </xf>
    <xf numFmtId="0" fontId="39" fillId="15" borderId="1" xfId="0" applyFont="1" applyFill="1" applyBorder="1" applyAlignment="1">
      <alignment horizontal="center" vertical="center" wrapText="1"/>
    </xf>
    <xf numFmtId="0" fontId="12" fillId="0" borderId="11" xfId="0" applyFont="1" applyBorder="1" applyAlignment="1">
      <alignment horizontal="left" vertical="center"/>
    </xf>
    <xf numFmtId="0" fontId="5" fillId="0" borderId="8" xfId="0" applyFont="1" applyBorder="1" applyAlignment="1">
      <alignment horizontal="left"/>
    </xf>
    <xf numFmtId="0" fontId="12" fillId="0" borderId="9" xfId="0" applyFont="1" applyBorder="1" applyAlignment="1">
      <alignment horizontal="center" vertical="center"/>
    </xf>
    <xf numFmtId="2" fontId="12" fillId="0" borderId="12" xfId="0" applyNumberFormat="1" applyFont="1" applyBorder="1" applyAlignment="1">
      <alignment horizontal="center" vertical="center"/>
    </xf>
    <xf numFmtId="0" fontId="4" fillId="0" borderId="13" xfId="0" applyFont="1" applyBorder="1" applyAlignment="1">
      <alignment horizontal="left"/>
    </xf>
    <xf numFmtId="0" fontId="5" fillId="0" borderId="5" xfId="0" applyFont="1" applyBorder="1" applyAlignment="1">
      <alignment horizontal="center" vertical="center"/>
    </xf>
    <xf numFmtId="0" fontId="12" fillId="0" borderId="13" xfId="0" applyFont="1" applyBorder="1"/>
    <xf numFmtId="0" fontId="5" fillId="0" borderId="22" xfId="0" applyFont="1" applyBorder="1" applyAlignment="1">
      <alignment horizontal="left" vertical="center"/>
    </xf>
    <xf numFmtId="0" fontId="12" fillId="0" borderId="14" xfId="0" applyFont="1" applyBorder="1" applyAlignment="1">
      <alignment horizontal="center"/>
    </xf>
    <xf numFmtId="0" fontId="12" fillId="0" borderId="0" xfId="0" applyFont="1"/>
    <xf numFmtId="0" fontId="5" fillId="0" borderId="22" xfId="0" applyFont="1" applyBorder="1" applyAlignment="1">
      <alignment horizontal="left"/>
    </xf>
    <xf numFmtId="0" fontId="12" fillId="0" borderId="15" xfId="0" applyFont="1" applyBorder="1" applyAlignment="1">
      <alignment horizontal="center"/>
    </xf>
    <xf numFmtId="0" fontId="41" fillId="0" borderId="16" xfId="0" applyFont="1" applyBorder="1" applyAlignment="1">
      <alignment horizontal="left"/>
    </xf>
    <xf numFmtId="0" fontId="5" fillId="0" borderId="22" xfId="0" applyFont="1" applyBorder="1" applyAlignment="1">
      <alignment horizontal="center" vertical="center"/>
    </xf>
    <xf numFmtId="0" fontId="12" fillId="0" borderId="17" xfId="0" applyFont="1" applyBorder="1" applyAlignment="1">
      <alignment horizontal="center"/>
    </xf>
    <xf numFmtId="164" fontId="39" fillId="0" borderId="57" xfId="0" applyNumberFormat="1" applyFont="1" applyBorder="1" applyAlignment="1">
      <alignment horizontal="center"/>
    </xf>
    <xf numFmtId="2" fontId="13" fillId="0" borderId="18" xfId="0" applyNumberFormat="1" applyFont="1" applyBorder="1" applyAlignment="1">
      <alignment horizontal="center"/>
    </xf>
    <xf numFmtId="0" fontId="5" fillId="4" borderId="7" xfId="0" applyFont="1" applyFill="1" applyBorder="1" applyAlignment="1">
      <alignment horizontal="left" vertical="center"/>
    </xf>
    <xf numFmtId="0" fontId="42" fillId="0" borderId="13" xfId="0" applyFont="1" applyBorder="1" applyAlignment="1">
      <alignment horizontal="center" vertical="top" wrapText="1"/>
    </xf>
    <xf numFmtId="0" fontId="5" fillId="4" borderId="58" xfId="0" applyFont="1" applyFill="1" applyBorder="1" applyAlignment="1">
      <alignment horizontal="left" vertical="center"/>
    </xf>
    <xf numFmtId="0" fontId="43" fillId="0" borderId="16" xfId="0" applyFont="1" applyBorder="1" applyAlignment="1">
      <alignment horizontal="center" vertical="top" wrapText="1"/>
    </xf>
    <xf numFmtId="0" fontId="43" fillId="0" borderId="19" xfId="0" applyFont="1" applyBorder="1" applyAlignment="1">
      <alignment horizontal="center" vertical="top" wrapText="1"/>
    </xf>
    <xf numFmtId="0" fontId="13" fillId="0" borderId="15" xfId="0" applyFont="1" applyBorder="1" applyAlignment="1">
      <alignment horizontal="center"/>
    </xf>
    <xf numFmtId="0" fontId="40" fillId="0" borderId="57" xfId="0" applyFont="1" applyBorder="1" applyAlignment="1">
      <alignment horizontal="left" wrapText="1"/>
    </xf>
    <xf numFmtId="2" fontId="13" fillId="0" borderId="20" xfId="0" applyNumberFormat="1" applyFont="1" applyBorder="1" applyAlignment="1">
      <alignment horizontal="center"/>
    </xf>
    <xf numFmtId="0" fontId="40" fillId="0" borderId="57" xfId="0" applyFont="1" applyBorder="1" applyAlignment="1">
      <alignment horizontal="left" vertical="top" wrapText="1"/>
    </xf>
    <xf numFmtId="0" fontId="13" fillId="0" borderId="7" xfId="0" applyFont="1" applyBorder="1" applyAlignment="1">
      <alignment horizontal="left" vertical="center"/>
    </xf>
    <xf numFmtId="0" fontId="13" fillId="0" borderId="7" xfId="0" applyFont="1" applyBorder="1" applyAlignment="1">
      <alignment horizontal="center" vertical="center"/>
    </xf>
    <xf numFmtId="0" fontId="5" fillId="2" borderId="58" xfId="0" applyFont="1" applyFill="1" applyBorder="1" applyAlignment="1">
      <alignment horizontal="left" vertical="center"/>
    </xf>
    <xf numFmtId="0" fontId="5" fillId="0" borderId="22" xfId="0" applyFont="1" applyBorder="1"/>
    <xf numFmtId="0" fontId="13" fillId="0" borderId="16" xfId="0" applyFont="1" applyBorder="1" applyAlignment="1">
      <alignment horizontal="left" vertical="center"/>
    </xf>
    <xf numFmtId="0" fontId="13" fillId="0" borderId="0" xfId="0" applyFont="1" applyAlignment="1">
      <alignment horizontal="center" vertical="center"/>
    </xf>
    <xf numFmtId="0" fontId="4" fillId="0" borderId="13" xfId="0" applyFont="1" applyBorder="1"/>
    <xf numFmtId="0" fontId="5" fillId="0" borderId="7" xfId="0" applyFont="1" applyBorder="1" applyAlignment="1">
      <alignment vertical="center"/>
    </xf>
    <xf numFmtId="0" fontId="42" fillId="0" borderId="16" xfId="0" applyFont="1" applyBorder="1" applyAlignment="1">
      <alignment horizontal="left" vertical="top" wrapText="1"/>
    </xf>
    <xf numFmtId="0" fontId="43" fillId="0" borderId="29" xfId="0" applyFont="1" applyBorder="1" applyAlignment="1">
      <alignment horizontal="center" vertical="top" wrapText="1"/>
    </xf>
    <xf numFmtId="0" fontId="43" fillId="0" borderId="59" xfId="0" applyFont="1" applyBorder="1" applyAlignment="1">
      <alignment horizontal="center" vertical="top" wrapText="1"/>
    </xf>
    <xf numFmtId="0" fontId="13" fillId="0" borderId="7" xfId="0" applyFont="1" applyBorder="1"/>
    <xf numFmtId="0" fontId="45" fillId="0" borderId="0" xfId="0" applyFont="1"/>
    <xf numFmtId="0" fontId="45" fillId="0" borderId="13" xfId="0" applyFont="1" applyBorder="1" applyAlignment="1">
      <alignment horizontal="center" vertical="top" wrapText="1"/>
    </xf>
    <xf numFmtId="0" fontId="45" fillId="0" borderId="7" xfId="0" applyFont="1" applyBorder="1"/>
    <xf numFmtId="0" fontId="45" fillId="0" borderId="15" xfId="0" applyFont="1" applyBorder="1" applyAlignment="1">
      <alignment horizontal="center"/>
    </xf>
    <xf numFmtId="2" fontId="45" fillId="0" borderId="20" xfId="0" applyNumberFormat="1" applyFont="1" applyBorder="1" applyAlignment="1">
      <alignment horizontal="center"/>
    </xf>
    <xf numFmtId="0" fontId="40" fillId="0" borderId="7" xfId="0" applyFont="1" applyBorder="1" applyAlignment="1">
      <alignment horizontal="center" wrapText="1"/>
    </xf>
    <xf numFmtId="0" fontId="13" fillId="0" borderId="16" xfId="0" applyFont="1" applyBorder="1" applyAlignment="1">
      <alignment horizontal="left" vertical="top" wrapText="1"/>
    </xf>
    <xf numFmtId="0" fontId="40" fillId="0" borderId="7" xfId="0" applyFont="1" applyBorder="1" applyAlignment="1">
      <alignment horizontal="center" vertical="top" wrapText="1"/>
    </xf>
    <xf numFmtId="0" fontId="46" fillId="0" borderId="7" xfId="0" applyFont="1" applyBorder="1" applyAlignment="1">
      <alignment horizontal="left" vertical="top" wrapText="1"/>
    </xf>
    <xf numFmtId="0" fontId="46" fillId="0" borderId="16" xfId="0" applyFont="1" applyBorder="1" applyAlignment="1">
      <alignment horizontal="left" vertical="top" wrapText="1"/>
    </xf>
    <xf numFmtId="164" fontId="47" fillId="0" borderId="0" xfId="0" applyNumberFormat="1" applyFont="1" applyAlignment="1">
      <alignment horizontal="center"/>
    </xf>
    <xf numFmtId="164" fontId="39" fillId="0" borderId="0" xfId="0" applyNumberFormat="1" applyFont="1" applyAlignment="1">
      <alignment horizontal="center"/>
    </xf>
    <xf numFmtId="0" fontId="12" fillId="0" borderId="13" xfId="0" applyFont="1" applyBorder="1" applyAlignment="1">
      <alignment horizontal="center"/>
    </xf>
    <xf numFmtId="0" fontId="5" fillId="2" borderId="1" xfId="0" applyFont="1" applyFill="1" applyBorder="1" applyAlignment="1">
      <alignment horizontal="left"/>
    </xf>
    <xf numFmtId="0" fontId="13" fillId="0" borderId="16" xfId="0" applyFont="1" applyBorder="1" applyAlignment="1">
      <alignment horizontal="center"/>
    </xf>
    <xf numFmtId="0" fontId="5" fillId="2" borderId="1" xfId="0" applyFont="1" applyFill="1" applyBorder="1" applyAlignment="1">
      <alignment horizontal="center"/>
    </xf>
    <xf numFmtId="0" fontId="13" fillId="0" borderId="27" xfId="0" applyFont="1" applyBorder="1" applyAlignment="1">
      <alignment horizontal="center"/>
    </xf>
    <xf numFmtId="0" fontId="5" fillId="2" borderId="1" xfId="0" applyFont="1" applyFill="1" applyBorder="1"/>
    <xf numFmtId="0" fontId="12" fillId="0" borderId="28" xfId="0" applyFont="1" applyBorder="1"/>
    <xf numFmtId="0" fontId="12" fillId="0" borderId="29" xfId="0" applyFont="1" applyBorder="1"/>
    <xf numFmtId="0" fontId="12" fillId="0" borderId="30" xfId="0" applyFont="1" applyBorder="1" applyAlignment="1">
      <alignment horizontal="right" vertical="center"/>
    </xf>
    <xf numFmtId="0" fontId="12" fillId="0" borderId="31" xfId="0" applyFont="1" applyBorder="1" applyAlignment="1">
      <alignment horizontal="center"/>
    </xf>
    <xf numFmtId="0" fontId="12" fillId="0" borderId="12" xfId="0" applyFont="1" applyBorder="1" applyAlignment="1">
      <alignment horizontal="center"/>
    </xf>
    <xf numFmtId="2" fontId="12" fillId="0" borderId="33" xfId="0" applyNumberFormat="1" applyFont="1" applyBorder="1" applyAlignment="1">
      <alignment horizontal="center"/>
    </xf>
    <xf numFmtId="2" fontId="13" fillId="0" borderId="12" xfId="0" applyNumberFormat="1" applyFont="1" applyBorder="1" applyAlignment="1">
      <alignment horizontal="center"/>
    </xf>
    <xf numFmtId="0" fontId="13" fillId="0" borderId="34" xfId="0" applyFont="1" applyBorder="1"/>
    <xf numFmtId="0" fontId="13" fillId="0" borderId="35" xfId="0" applyFont="1" applyBorder="1"/>
    <xf numFmtId="0" fontId="13" fillId="0" borderId="35" xfId="0" applyFont="1" applyBorder="1" applyAlignment="1">
      <alignment horizontal="center"/>
    </xf>
    <xf numFmtId="0" fontId="13" fillId="0" borderId="36" xfId="0" applyFont="1" applyBorder="1"/>
    <xf numFmtId="2" fontId="13" fillId="0" borderId="35" xfId="0" applyNumberFormat="1" applyFont="1" applyBorder="1"/>
    <xf numFmtId="2" fontId="13" fillId="0" borderId="37" xfId="0" applyNumberFormat="1" applyFont="1" applyBorder="1" applyAlignment="1">
      <alignment horizontal="center"/>
    </xf>
    <xf numFmtId="0" fontId="48" fillId="0" borderId="0" xfId="0" applyFont="1" applyAlignment="1">
      <alignment horizontal="center"/>
    </xf>
    <xf numFmtId="0" fontId="49" fillId="0" borderId="0" xfId="0" applyFont="1"/>
    <xf numFmtId="0" fontId="49" fillId="0" borderId="0" xfId="0" applyFont="1" applyAlignment="1">
      <alignment horizontal="center"/>
    </xf>
    <xf numFmtId="0" fontId="46" fillId="0" borderId="16" xfId="0" applyFont="1" applyBorder="1" applyAlignment="1">
      <alignment horizontal="center" vertical="top" wrapText="1"/>
    </xf>
    <xf numFmtId="0" fontId="46" fillId="0" borderId="19" xfId="0" applyFont="1" applyBorder="1" applyAlignment="1">
      <alignment horizontal="center" vertical="top" wrapText="1"/>
    </xf>
    <xf numFmtId="0" fontId="5" fillId="18" borderId="1" xfId="0" applyFont="1" applyFill="1" applyBorder="1"/>
    <xf numFmtId="16" fontId="5" fillId="0" borderId="0" xfId="0" applyNumberFormat="1" applyFont="1"/>
    <xf numFmtId="0" fontId="5" fillId="19" borderId="7" xfId="0" applyFont="1" applyFill="1" applyBorder="1"/>
    <xf numFmtId="0" fontId="5" fillId="19" borderId="7" xfId="0" applyFont="1" applyFill="1" applyBorder="1" applyAlignment="1">
      <alignment horizontal="center"/>
    </xf>
    <xf numFmtId="0" fontId="42" fillId="0" borderId="16" xfId="0" applyFont="1" applyBorder="1" applyAlignment="1">
      <alignment horizontal="center" vertical="top" wrapText="1"/>
    </xf>
    <xf numFmtId="0" fontId="42" fillId="0" borderId="19" xfId="0" applyFont="1" applyBorder="1" applyAlignment="1">
      <alignment horizontal="center" vertical="top" wrapText="1"/>
    </xf>
    <xf numFmtId="0" fontId="42" fillId="0" borderId="60" xfId="0" applyFont="1" applyBorder="1" applyAlignment="1">
      <alignment horizontal="center" vertical="top" wrapText="1"/>
    </xf>
    <xf numFmtId="0" fontId="42" fillId="0" borderId="7" xfId="0" applyFont="1" applyBorder="1" applyAlignment="1">
      <alignment horizontal="center" vertical="top" wrapText="1"/>
    </xf>
    <xf numFmtId="0" fontId="13" fillId="0" borderId="7" xfId="0" applyFont="1" applyBorder="1" applyAlignment="1">
      <alignment horizontal="center"/>
    </xf>
    <xf numFmtId="2" fontId="13" fillId="0" borderId="61" xfId="0" applyNumberFormat="1" applyFont="1" applyBorder="1" applyAlignment="1">
      <alignment horizontal="center"/>
    </xf>
    <xf numFmtId="0" fontId="43" fillId="0" borderId="7" xfId="0" applyFont="1" applyBorder="1" applyAlignment="1">
      <alignment horizontal="center" vertical="top" wrapText="1"/>
    </xf>
    <xf numFmtId="0" fontId="5" fillId="20" borderId="1" xfId="0" applyFont="1" applyFill="1" applyBorder="1"/>
    <xf numFmtId="0" fontId="42" fillId="0" borderId="16" xfId="0" applyFont="1" applyBorder="1" applyAlignment="1">
      <alignment horizontal="left" vertical="top"/>
    </xf>
    <xf numFmtId="0" fontId="13" fillId="0" borderId="15" xfId="0" applyFont="1" applyBorder="1" applyAlignment="1">
      <alignment horizontal="center" vertical="center"/>
    </xf>
    <xf numFmtId="2" fontId="13" fillId="0" borderId="20" xfId="0" applyNumberFormat="1" applyFont="1" applyBorder="1" applyAlignment="1">
      <alignment horizontal="center" vertical="center"/>
    </xf>
    <xf numFmtId="0" fontId="49" fillId="0" borderId="0" xfId="0" applyFont="1" applyAlignment="1">
      <alignment horizontal="right"/>
    </xf>
    <xf numFmtId="0" fontId="12" fillId="0" borderId="16" xfId="0" applyFont="1" applyBorder="1" applyAlignment="1">
      <alignment horizontal="center" wrapText="1"/>
    </xf>
    <xf numFmtId="0" fontId="12" fillId="0" borderId="19" xfId="0" applyFont="1" applyBorder="1" applyAlignment="1">
      <alignment horizontal="center" wrapText="1"/>
    </xf>
    <xf numFmtId="0" fontId="50" fillId="0" borderId="0" xfId="0" applyFont="1" applyAlignment="1">
      <alignment horizontal="left"/>
    </xf>
    <xf numFmtId="0" fontId="12" fillId="0" borderId="16" xfId="0" applyFont="1" applyBorder="1" applyAlignment="1">
      <alignment horizontal="center"/>
    </xf>
    <xf numFmtId="0" fontId="46" fillId="0" borderId="7" xfId="0" applyFont="1" applyBorder="1" applyAlignment="1">
      <alignment horizontal="center" vertical="center"/>
    </xf>
    <xf numFmtId="0" fontId="46" fillId="0" borderId="7" xfId="0" applyFont="1" applyBorder="1" applyAlignment="1">
      <alignment horizontal="center"/>
    </xf>
    <xf numFmtId="0" fontId="42" fillId="0" borderId="7" xfId="0" applyFont="1" applyBorder="1" applyAlignment="1">
      <alignment horizontal="left" vertical="top" wrapText="1"/>
    </xf>
    <xf numFmtId="0" fontId="5" fillId="21" borderId="1" xfId="0" applyFont="1" applyFill="1" applyBorder="1"/>
    <xf numFmtId="0" fontId="42" fillId="0" borderId="16" xfId="0" applyFont="1" applyBorder="1" applyAlignment="1">
      <alignment horizontal="center" vertical="top"/>
    </xf>
    <xf numFmtId="0" fontId="42" fillId="0" borderId="19" xfId="0" applyFont="1" applyBorder="1" applyAlignment="1">
      <alignment horizontal="center" vertical="top"/>
    </xf>
    <xf numFmtId="0" fontId="12" fillId="0" borderId="60" xfId="0" applyFont="1" applyBorder="1"/>
    <xf numFmtId="0" fontId="12" fillId="0" borderId="7" xfId="0" applyFont="1" applyBorder="1" applyAlignment="1">
      <alignment horizontal="center" wrapText="1"/>
    </xf>
    <xf numFmtId="0" fontId="12" fillId="0" borderId="7" xfId="0" applyFont="1" applyBorder="1" applyAlignment="1">
      <alignment horizontal="center"/>
    </xf>
    <xf numFmtId="0" fontId="51" fillId="0" borderId="7" xfId="0" applyFont="1" applyBorder="1" applyAlignment="1">
      <alignment horizontal="left"/>
    </xf>
    <xf numFmtId="0" fontId="12" fillId="0" borderId="7" xfId="0" applyFont="1" applyBorder="1"/>
    <xf numFmtId="0" fontId="42" fillId="0" borderId="7" xfId="0" applyFont="1" applyBorder="1" applyAlignment="1">
      <alignment horizontal="left" vertical="top"/>
    </xf>
    <xf numFmtId="0" fontId="52" fillId="0" borderId="0" xfId="0" applyFont="1"/>
    <xf numFmtId="0" fontId="52" fillId="0" borderId="0" xfId="0" applyFont="1" applyAlignment="1">
      <alignment horizontal="center"/>
    </xf>
    <xf numFmtId="0" fontId="53" fillId="0" borderId="0" xfId="0" applyFont="1" applyAlignment="1">
      <alignment horizontal="center"/>
    </xf>
    <xf numFmtId="0" fontId="54" fillId="0" borderId="0" xfId="0" applyFont="1"/>
    <xf numFmtId="2" fontId="52" fillId="0" borderId="0" xfId="0" applyNumberFormat="1" applyFont="1" applyAlignment="1">
      <alignment horizontal="center"/>
    </xf>
    <xf numFmtId="0" fontId="54" fillId="0" borderId="0" xfId="0" applyFont="1" applyAlignment="1">
      <alignment horizontal="right"/>
    </xf>
    <xf numFmtId="165" fontId="52" fillId="0" borderId="0" xfId="0" applyNumberFormat="1" applyFont="1"/>
    <xf numFmtId="165" fontId="52" fillId="0" borderId="0" xfId="0" applyNumberFormat="1" applyFont="1" applyAlignment="1">
      <alignment horizontal="center"/>
    </xf>
    <xf numFmtId="0" fontId="54" fillId="0" borderId="0" xfId="0" applyFont="1" applyAlignment="1">
      <alignment horizontal="center"/>
    </xf>
    <xf numFmtId="0" fontId="55" fillId="0" borderId="0" xfId="0" applyFont="1"/>
    <xf numFmtId="0" fontId="54" fillId="0" borderId="9" xfId="0" applyFont="1" applyBorder="1" applyAlignment="1">
      <alignment horizontal="left" vertical="center"/>
    </xf>
    <xf numFmtId="0" fontId="54" fillId="0" borderId="10" xfId="0" applyFont="1" applyBorder="1" applyAlignment="1">
      <alignment horizontal="center" vertical="center"/>
    </xf>
    <xf numFmtId="0" fontId="54" fillId="0" borderId="10" xfId="0" applyFont="1" applyBorder="1" applyAlignment="1">
      <alignment horizontal="center"/>
    </xf>
    <xf numFmtId="0" fontId="54" fillId="0" borderId="10" xfId="0" applyFont="1" applyBorder="1" applyAlignment="1">
      <alignment horizontal="left"/>
    </xf>
    <xf numFmtId="0" fontId="54" fillId="0" borderId="11" xfId="0" applyFont="1" applyBorder="1" applyAlignment="1">
      <alignment horizontal="left" vertical="center"/>
    </xf>
    <xf numFmtId="0" fontId="54" fillId="0" borderId="9" xfId="0" applyFont="1" applyBorder="1" applyAlignment="1">
      <alignment horizontal="center" vertical="center"/>
    </xf>
    <xf numFmtId="2" fontId="54" fillId="0" borderId="12" xfId="0" applyNumberFormat="1" applyFont="1" applyBorder="1" applyAlignment="1">
      <alignment horizontal="center" vertical="center"/>
    </xf>
    <xf numFmtId="0" fontId="54" fillId="0" borderId="13" xfId="0" applyFont="1" applyBorder="1"/>
    <xf numFmtId="0" fontId="54" fillId="0" borderId="14" xfId="0" applyFont="1" applyBorder="1" applyAlignment="1">
      <alignment horizontal="center"/>
    </xf>
    <xf numFmtId="0" fontId="54" fillId="0" borderId="15" xfId="0" applyFont="1" applyBorder="1" applyAlignment="1">
      <alignment horizontal="center"/>
    </xf>
    <xf numFmtId="0" fontId="56" fillId="0" borderId="16" xfId="0" applyFont="1" applyBorder="1" applyAlignment="1">
      <alignment horizontal="left"/>
    </xf>
    <xf numFmtId="0" fontId="54" fillId="0" borderId="17" xfId="0" applyFont="1" applyBorder="1" applyAlignment="1">
      <alignment horizontal="center"/>
    </xf>
    <xf numFmtId="2" fontId="52" fillId="0" borderId="18" xfId="0" applyNumberFormat="1" applyFont="1" applyBorder="1" applyAlignment="1">
      <alignment horizontal="center"/>
    </xf>
    <xf numFmtId="0" fontId="57" fillId="0" borderId="13" xfId="0" applyFont="1" applyBorder="1" applyAlignment="1">
      <alignment horizontal="center" vertical="top" wrapText="1"/>
    </xf>
    <xf numFmtId="0" fontId="58" fillId="0" borderId="16" xfId="0" applyFont="1" applyBorder="1" applyAlignment="1">
      <alignment horizontal="center" vertical="top" wrapText="1"/>
    </xf>
    <xf numFmtId="0" fontId="58" fillId="0" borderId="19" xfId="0" applyFont="1" applyBorder="1" applyAlignment="1">
      <alignment horizontal="center" vertical="top" wrapText="1"/>
    </xf>
    <xf numFmtId="0" fontId="52" fillId="0" borderId="15" xfId="0" applyFont="1" applyBorder="1" applyAlignment="1">
      <alignment horizontal="center"/>
    </xf>
    <xf numFmtId="2" fontId="52" fillId="0" borderId="20" xfId="0" applyNumberFormat="1" applyFont="1" applyBorder="1" applyAlignment="1">
      <alignment horizontal="center"/>
    </xf>
    <xf numFmtId="0" fontId="57" fillId="0" borderId="16" xfId="0" applyFont="1" applyBorder="1" applyAlignment="1">
      <alignment horizontal="left" vertical="top" wrapText="1"/>
    </xf>
    <xf numFmtId="0" fontId="57" fillId="0" borderId="0" xfId="0" applyFont="1" applyAlignment="1">
      <alignment horizontal="left" vertical="top" wrapText="1"/>
    </xf>
    <xf numFmtId="0" fontId="58" fillId="0" borderId="0" xfId="0" applyFont="1" applyAlignment="1">
      <alignment horizontal="center" vertical="top" wrapText="1"/>
    </xf>
    <xf numFmtId="0" fontId="59" fillId="0" borderId="16" xfId="0" applyFont="1" applyBorder="1" applyAlignment="1">
      <alignment horizontal="left" vertical="top" wrapText="1"/>
    </xf>
    <xf numFmtId="0" fontId="54" fillId="0" borderId="13" xfId="0" applyFont="1" applyBorder="1" applyAlignment="1">
      <alignment horizontal="center"/>
    </xf>
    <xf numFmtId="0" fontId="52" fillId="0" borderId="16" xfId="0" applyFont="1" applyBorder="1" applyAlignment="1">
      <alignment horizontal="center"/>
    </xf>
    <xf numFmtId="0" fontId="52" fillId="0" borderId="27" xfId="0" applyFont="1" applyBorder="1" applyAlignment="1">
      <alignment horizontal="center"/>
    </xf>
    <xf numFmtId="0" fontId="54" fillId="0" borderId="28" xfId="0" applyFont="1" applyBorder="1"/>
    <xf numFmtId="0" fontId="54" fillId="0" borderId="29" xfId="0" applyFont="1" applyBorder="1"/>
    <xf numFmtId="0" fontId="54" fillId="0" borderId="30" xfId="0" applyFont="1" applyBorder="1" applyAlignment="1">
      <alignment horizontal="right" vertical="center"/>
    </xf>
    <xf numFmtId="0" fontId="54" fillId="0" borderId="31" xfId="0" applyFont="1" applyBorder="1" applyAlignment="1">
      <alignment horizontal="center"/>
    </xf>
    <xf numFmtId="0" fontId="54" fillId="0" borderId="12" xfId="0" applyFont="1" applyBorder="1" applyAlignment="1">
      <alignment horizontal="center"/>
    </xf>
    <xf numFmtId="2" fontId="54" fillId="0" borderId="33" xfId="0" applyNumberFormat="1" applyFont="1" applyBorder="1" applyAlignment="1">
      <alignment horizontal="center"/>
    </xf>
    <xf numFmtId="2" fontId="52" fillId="0" borderId="12" xfId="0" applyNumberFormat="1" applyFont="1" applyBorder="1" applyAlignment="1">
      <alignment horizontal="center"/>
    </xf>
    <xf numFmtId="0" fontId="52" fillId="0" borderId="34" xfId="0" applyFont="1" applyBorder="1"/>
    <xf numFmtId="0" fontId="52" fillId="0" borderId="35" xfId="0" applyFont="1" applyBorder="1"/>
    <xf numFmtId="0" fontId="52" fillId="0" borderId="35" xfId="0" applyFont="1" applyBorder="1" applyAlignment="1">
      <alignment horizontal="center"/>
    </xf>
    <xf numFmtId="0" fontId="52" fillId="0" borderId="36" xfId="0" applyFont="1" applyBorder="1"/>
    <xf numFmtId="2" fontId="52" fillId="0" borderId="35" xfId="0" applyNumberFormat="1" applyFont="1" applyBorder="1"/>
    <xf numFmtId="2" fontId="52" fillId="0" borderId="37" xfId="0" applyNumberFormat="1" applyFont="1" applyBorder="1" applyAlignment="1">
      <alignment horizontal="center"/>
    </xf>
    <xf numFmtId="0" fontId="60" fillId="0" borderId="0" xfId="0" applyFont="1"/>
    <xf numFmtId="0" fontId="60" fillId="0" borderId="0" xfId="0" applyFont="1" applyAlignment="1">
      <alignment horizontal="center"/>
    </xf>
    <xf numFmtId="0" fontId="57" fillId="0" borderId="60" xfId="0" applyFont="1" applyBorder="1" applyAlignment="1">
      <alignment horizontal="center" vertical="top" wrapText="1"/>
    </xf>
    <xf numFmtId="0" fontId="57" fillId="0" borderId="7" xfId="0" applyFont="1" applyBorder="1" applyAlignment="1">
      <alignment horizontal="left" vertical="top" wrapText="1"/>
    </xf>
    <xf numFmtId="0" fontId="52" fillId="0" borderId="7" xfId="0" applyFont="1" applyBorder="1" applyAlignment="1">
      <alignment horizontal="center"/>
    </xf>
    <xf numFmtId="0" fontId="26" fillId="0" borderId="0" xfId="0" applyFont="1"/>
    <xf numFmtId="2" fontId="52" fillId="0" borderId="61" xfId="0" applyNumberFormat="1" applyFont="1" applyBorder="1" applyAlignment="1">
      <alignment horizontal="center"/>
    </xf>
    <xf numFmtId="0" fontId="13" fillId="0" borderId="7" xfId="0" applyFont="1" applyBorder="1" applyAlignment="1">
      <alignment horizontal="left" vertical="top" wrapText="1"/>
    </xf>
    <xf numFmtId="0" fontId="12" fillId="0" borderId="7" xfId="0" applyFont="1" applyBorder="1" applyAlignment="1">
      <alignment horizontal="left" vertical="center"/>
    </xf>
    <xf numFmtId="0" fontId="4" fillId="0" borderId="0" xfId="0" applyFont="1"/>
    <xf numFmtId="0" fontId="13" fillId="0" borderId="60" xfId="0" applyFont="1" applyBorder="1" applyAlignment="1">
      <alignment horizontal="center" vertical="top" wrapText="1"/>
    </xf>
    <xf numFmtId="0" fontId="39" fillId="0" borderId="0" xfId="0" applyFont="1" applyAlignment="1">
      <alignment horizontal="center"/>
    </xf>
    <xf numFmtId="0" fontId="61" fillId="0" borderId="0" xfId="0" applyFont="1"/>
    <xf numFmtId="0" fontId="61" fillId="0" borderId="0" xfId="0" applyFont="1" applyAlignment="1">
      <alignment horizontal="center"/>
    </xf>
    <xf numFmtId="0" fontId="62" fillId="0" borderId="0" xfId="0" applyFont="1" applyAlignment="1">
      <alignment horizontal="center"/>
    </xf>
    <xf numFmtId="0" fontId="63" fillId="0" borderId="0" xfId="0" applyFont="1" applyAlignment="1">
      <alignment horizontal="center"/>
    </xf>
    <xf numFmtId="0" fontId="62" fillId="0" borderId="0" xfId="0" applyFont="1"/>
    <xf numFmtId="2" fontId="61" fillId="0" borderId="0" xfId="0" applyNumberFormat="1" applyFont="1" applyAlignment="1">
      <alignment horizontal="center"/>
    </xf>
    <xf numFmtId="0" fontId="62" fillId="0" borderId="0" xfId="0" applyFont="1" applyAlignment="1">
      <alignment horizontal="right"/>
    </xf>
    <xf numFmtId="165" fontId="61" fillId="0" borderId="0" xfId="0" applyNumberFormat="1" applyFont="1"/>
    <xf numFmtId="165" fontId="61" fillId="0" borderId="0" xfId="0" applyNumberFormat="1" applyFont="1" applyAlignment="1">
      <alignment horizontal="center"/>
    </xf>
    <xf numFmtId="0" fontId="62" fillId="0" borderId="9" xfId="0" applyFont="1" applyBorder="1" applyAlignment="1">
      <alignment horizontal="left" vertical="center"/>
    </xf>
    <xf numFmtId="0" fontId="62" fillId="0" borderId="10" xfId="0" applyFont="1" applyBorder="1" applyAlignment="1">
      <alignment horizontal="center" vertical="center"/>
    </xf>
    <xf numFmtId="0" fontId="62" fillId="0" borderId="10" xfId="0" applyFont="1" applyBorder="1" applyAlignment="1">
      <alignment horizontal="center"/>
    </xf>
    <xf numFmtId="0" fontId="62" fillId="0" borderId="10" xfId="0" applyFont="1" applyBorder="1" applyAlignment="1">
      <alignment horizontal="left"/>
    </xf>
    <xf numFmtId="0" fontId="62" fillId="0" borderId="11" xfId="0" applyFont="1" applyBorder="1" applyAlignment="1">
      <alignment horizontal="left" vertical="center"/>
    </xf>
    <xf numFmtId="0" fontId="62" fillId="0" borderId="9" xfId="0" applyFont="1" applyBorder="1" applyAlignment="1">
      <alignment horizontal="center" vertical="center"/>
    </xf>
    <xf numFmtId="2" fontId="62" fillId="0" borderId="12" xfId="0" applyNumberFormat="1" applyFont="1" applyBorder="1" applyAlignment="1">
      <alignment horizontal="center" vertical="center"/>
    </xf>
    <xf numFmtId="0" fontId="62" fillId="0" borderId="13" xfId="0" applyFont="1" applyBorder="1"/>
    <xf numFmtId="0" fontId="62" fillId="0" borderId="14" xfId="0" applyFont="1" applyBorder="1" applyAlignment="1">
      <alignment horizontal="center"/>
    </xf>
    <xf numFmtId="0" fontId="62" fillId="0" borderId="15" xfId="0" applyFont="1" applyBorder="1" applyAlignment="1">
      <alignment horizontal="center"/>
    </xf>
    <xf numFmtId="0" fontId="64" fillId="0" borderId="16" xfId="0" applyFont="1" applyBorder="1" applyAlignment="1">
      <alignment horizontal="left"/>
    </xf>
    <xf numFmtId="0" fontId="62" fillId="0" borderId="17" xfId="0" applyFont="1" applyBorder="1" applyAlignment="1">
      <alignment horizontal="center"/>
    </xf>
    <xf numFmtId="2" fontId="61" fillId="0" borderId="18" xfId="0" applyNumberFormat="1" applyFont="1" applyBorder="1" applyAlignment="1">
      <alignment horizontal="center"/>
    </xf>
    <xf numFmtId="0" fontId="65" fillId="0" borderId="13" xfId="0" applyFont="1" applyBorder="1" applyAlignment="1">
      <alignment horizontal="center" vertical="top" wrapText="1"/>
    </xf>
    <xf numFmtId="0" fontId="66" fillId="0" borderId="16" xfId="0" applyFont="1" applyBorder="1" applyAlignment="1">
      <alignment horizontal="center" vertical="top" wrapText="1"/>
    </xf>
    <xf numFmtId="0" fontId="66" fillId="0" borderId="19" xfId="0" applyFont="1" applyBorder="1" applyAlignment="1">
      <alignment horizontal="center" vertical="top" wrapText="1"/>
    </xf>
    <xf numFmtId="0" fontId="61" fillId="0" borderId="15" xfId="0" applyFont="1" applyBorder="1" applyAlignment="1">
      <alignment horizontal="center"/>
    </xf>
    <xf numFmtId="2" fontId="61" fillId="0" borderId="20" xfId="0" applyNumberFormat="1" applyFont="1" applyBorder="1" applyAlignment="1">
      <alignment horizontal="center"/>
    </xf>
    <xf numFmtId="0" fontId="65" fillId="0" borderId="16" xfId="0" applyFont="1" applyBorder="1" applyAlignment="1">
      <alignment horizontal="left" vertical="top" wrapText="1"/>
    </xf>
    <xf numFmtId="0" fontId="67" fillId="0" borderId="16" xfId="0" applyFont="1" applyBorder="1" applyAlignment="1">
      <alignment horizontal="center" vertical="center" wrapText="1"/>
    </xf>
    <xf numFmtId="0" fontId="67" fillId="0" borderId="0" xfId="0" applyFont="1" applyAlignment="1">
      <alignment horizontal="center" vertical="center" wrapText="1"/>
    </xf>
    <xf numFmtId="0" fontId="67" fillId="0" borderId="19" xfId="0" applyFont="1" applyBorder="1" applyAlignment="1">
      <alignment horizontal="center" vertical="center" wrapText="1"/>
    </xf>
    <xf numFmtId="0" fontId="68" fillId="0" borderId="16" xfId="0" applyFont="1" applyBorder="1" applyAlignment="1">
      <alignment horizontal="left" vertical="top" wrapText="1"/>
    </xf>
    <xf numFmtId="0" fontId="62" fillId="0" borderId="13" xfId="0" applyFont="1" applyBorder="1" applyAlignment="1">
      <alignment horizontal="center"/>
    </xf>
    <xf numFmtId="0" fontId="61" fillId="0" borderId="16" xfId="0" applyFont="1" applyBorder="1" applyAlignment="1">
      <alignment horizontal="center"/>
    </xf>
    <xf numFmtId="0" fontId="61" fillId="0" borderId="27" xfId="0" applyFont="1" applyBorder="1" applyAlignment="1">
      <alignment horizontal="center"/>
    </xf>
    <xf numFmtId="0" fontId="62" fillId="0" borderId="28" xfId="0" applyFont="1" applyBorder="1"/>
    <xf numFmtId="0" fontId="62" fillId="0" borderId="29" xfId="0" applyFont="1" applyBorder="1"/>
    <xf numFmtId="0" fontId="62" fillId="0" borderId="30" xfId="0" applyFont="1" applyBorder="1" applyAlignment="1">
      <alignment horizontal="right" vertical="center"/>
    </xf>
    <xf numFmtId="0" fontId="62" fillId="0" borderId="31" xfId="0" applyFont="1" applyBorder="1" applyAlignment="1">
      <alignment horizontal="center"/>
    </xf>
    <xf numFmtId="0" fontId="62" fillId="0" borderId="12" xfId="0" applyFont="1" applyBorder="1" applyAlignment="1">
      <alignment horizontal="center"/>
    </xf>
    <xf numFmtId="2" fontId="62" fillId="0" borderId="33" xfId="0" applyNumberFormat="1" applyFont="1" applyBorder="1" applyAlignment="1">
      <alignment horizontal="center"/>
    </xf>
    <xf numFmtId="2" fontId="61" fillId="0" borderId="12" xfId="0" applyNumberFormat="1" applyFont="1" applyBorder="1" applyAlignment="1">
      <alignment horizontal="center"/>
    </xf>
    <xf numFmtId="0" fontId="61" fillId="0" borderId="34" xfId="0" applyFont="1" applyBorder="1"/>
    <xf numFmtId="0" fontId="61" fillId="0" borderId="35" xfId="0" applyFont="1" applyBorder="1"/>
    <xf numFmtId="0" fontId="61" fillId="0" borderId="35" xfId="0" applyFont="1" applyBorder="1" applyAlignment="1">
      <alignment horizontal="center"/>
    </xf>
    <xf numFmtId="0" fontId="61" fillId="0" borderId="36" xfId="0" applyFont="1" applyBorder="1"/>
    <xf numFmtId="2" fontId="61" fillId="0" borderId="35" xfId="0" applyNumberFormat="1" applyFont="1" applyBorder="1"/>
    <xf numFmtId="2" fontId="61" fillId="0" borderId="37" xfId="0" applyNumberFormat="1" applyFont="1" applyBorder="1" applyAlignment="1">
      <alignment horizontal="center"/>
    </xf>
    <xf numFmtId="0" fontId="69" fillId="0" borderId="0" xfId="0" applyFont="1"/>
    <xf numFmtId="0" fontId="69" fillId="0" borderId="0" xfId="0" applyFont="1" applyAlignment="1">
      <alignment horizontal="center"/>
    </xf>
    <xf numFmtId="0" fontId="39" fillId="15" borderId="62" xfId="0" applyFont="1" applyFill="1" applyBorder="1" applyAlignment="1">
      <alignment horizontal="center" vertical="center" wrapText="1"/>
    </xf>
    <xf numFmtId="0" fontId="39" fillId="17" borderId="62" xfId="0" applyFont="1" applyFill="1" applyBorder="1" applyAlignment="1">
      <alignment horizontal="center" vertical="center" wrapText="1"/>
    </xf>
    <xf numFmtId="0" fontId="39" fillId="17" borderId="63" xfId="0" applyFont="1" applyFill="1" applyBorder="1" applyAlignment="1">
      <alignment horizontal="center" vertical="center" wrapText="1"/>
    </xf>
    <xf numFmtId="0" fontId="39" fillId="17" borderId="1" xfId="0" applyFont="1" applyFill="1" applyBorder="1" applyAlignment="1">
      <alignment horizontal="center"/>
    </xf>
    <xf numFmtId="0" fontId="70" fillId="0" borderId="0" xfId="0" applyFont="1" applyAlignment="1">
      <alignment horizontal="center"/>
    </xf>
    <xf numFmtId="0" fontId="26" fillId="0" borderId="0" xfId="0" applyFont="1" applyAlignment="1">
      <alignment horizontal="center"/>
    </xf>
    <xf numFmtId="2" fontId="4" fillId="0" borderId="0" xfId="0" applyNumberFormat="1" applyFont="1" applyAlignment="1">
      <alignment horizontal="center"/>
    </xf>
    <xf numFmtId="0" fontId="71" fillId="0" borderId="0" xfId="0" applyFont="1"/>
    <xf numFmtId="0" fontId="5" fillId="3" borderId="1" xfId="0" applyFont="1" applyFill="1" applyBorder="1"/>
    <xf numFmtId="0" fontId="65" fillId="0" borderId="60" xfId="0" applyFont="1" applyBorder="1" applyAlignment="1">
      <alignment horizontal="center" vertical="top" wrapText="1"/>
    </xf>
    <xf numFmtId="0" fontId="61" fillId="0" borderId="7" xfId="0" applyFont="1" applyBorder="1" applyAlignment="1">
      <alignment horizontal="left" vertical="center"/>
    </xf>
    <xf numFmtId="0" fontId="62" fillId="0" borderId="7" xfId="0" applyFont="1" applyBorder="1" applyAlignment="1">
      <alignment horizontal="center" vertical="center"/>
    </xf>
    <xf numFmtId="0" fontId="61" fillId="0" borderId="7" xfId="0" applyFont="1" applyBorder="1" applyAlignment="1">
      <alignment horizontal="center"/>
    </xf>
    <xf numFmtId="2" fontId="61" fillId="0" borderId="61" xfId="0" applyNumberFormat="1" applyFont="1" applyBorder="1" applyAlignment="1">
      <alignment horizontal="center"/>
    </xf>
    <xf numFmtId="0" fontId="5" fillId="18" borderId="1" xfId="0" applyFont="1" applyFill="1" applyBorder="1" applyAlignment="1">
      <alignment horizontal="center"/>
    </xf>
    <xf numFmtId="0" fontId="61" fillId="0" borderId="7" xfId="0" applyFont="1" applyBorder="1" applyAlignment="1">
      <alignment horizontal="center" vertical="center"/>
    </xf>
    <xf numFmtId="0" fontId="61" fillId="0" borderId="7" xfId="0" quotePrefix="1" applyFont="1" applyBorder="1" applyAlignment="1">
      <alignment horizontal="left"/>
    </xf>
    <xf numFmtId="0" fontId="61" fillId="0" borderId="7" xfId="0" applyFont="1" applyBorder="1" applyAlignment="1">
      <alignment horizontal="left"/>
    </xf>
    <xf numFmtId="0" fontId="61" fillId="0" borderId="60" xfId="0" applyFont="1" applyBorder="1" applyAlignment="1">
      <alignment horizontal="center" vertical="top" wrapText="1"/>
    </xf>
    <xf numFmtId="0" fontId="61" fillId="0" borderId="7" xfId="0" applyFont="1" applyBorder="1" applyAlignment="1">
      <alignment vertical="center"/>
    </xf>
    <xf numFmtId="0" fontId="72" fillId="0" borderId="0" xfId="0" applyFont="1"/>
    <xf numFmtId="0" fontId="72" fillId="0" borderId="60" xfId="0" applyFont="1" applyBorder="1" applyAlignment="1">
      <alignment horizontal="center" vertical="top" wrapText="1"/>
    </xf>
    <xf numFmtId="0" fontId="72" fillId="0" borderId="7" xfId="0" applyFont="1" applyBorder="1" applyAlignment="1">
      <alignment horizontal="left" vertical="center"/>
    </xf>
    <xf numFmtId="0" fontId="72" fillId="0" borderId="7" xfId="0" applyFont="1" applyBorder="1" applyAlignment="1">
      <alignment horizontal="center" vertical="center"/>
    </xf>
    <xf numFmtId="0" fontId="72" fillId="0" borderId="7" xfId="0" applyFont="1" applyBorder="1" applyAlignment="1">
      <alignment horizontal="center"/>
    </xf>
    <xf numFmtId="2" fontId="72" fillId="0" borderId="61" xfId="0" applyNumberFormat="1" applyFont="1" applyBorder="1" applyAlignment="1">
      <alignment horizontal="center"/>
    </xf>
    <xf numFmtId="0" fontId="44" fillId="0" borderId="0" xfId="0" applyFont="1" applyAlignment="1">
      <alignment wrapText="1"/>
    </xf>
    <xf numFmtId="1" fontId="4" fillId="0" borderId="0" xfId="0" applyNumberFormat="1" applyFont="1"/>
    <xf numFmtId="0" fontId="57" fillId="0" borderId="16" xfId="0" applyFont="1" applyBorder="1" applyAlignment="1">
      <alignment horizontal="center" vertical="top" wrapText="1"/>
    </xf>
    <xf numFmtId="0" fontId="57" fillId="0" borderId="0" xfId="0" applyFont="1" applyAlignment="1">
      <alignment horizontal="center" vertical="top" wrapText="1"/>
    </xf>
    <xf numFmtId="0" fontId="45" fillId="0" borderId="16" xfId="0" applyFont="1" applyBorder="1"/>
    <xf numFmtId="0" fontId="13" fillId="0" borderId="16" xfId="0" applyFont="1" applyBorder="1"/>
    <xf numFmtId="0" fontId="13" fillId="0" borderId="19" xfId="0" applyFont="1" applyBorder="1" applyAlignment="1">
      <alignment horizontal="left" vertical="center"/>
    </xf>
    <xf numFmtId="0" fontId="13" fillId="0" borderId="19" xfId="0" applyFont="1" applyBorder="1" applyAlignment="1">
      <alignment horizontal="center"/>
    </xf>
    <xf numFmtId="0" fontId="13" fillId="0" borderId="19" xfId="0" applyFont="1" applyBorder="1"/>
    <xf numFmtId="0" fontId="46" fillId="22" borderId="64" xfId="0" applyFont="1" applyFill="1" applyBorder="1" applyAlignment="1">
      <alignment horizontal="left" vertical="top" wrapText="1"/>
    </xf>
    <xf numFmtId="0" fontId="13" fillId="22" borderId="65" xfId="0" applyFont="1" applyFill="1" applyBorder="1"/>
    <xf numFmtId="0" fontId="12" fillId="0" borderId="8" xfId="0" applyFont="1" applyBorder="1" applyAlignment="1">
      <alignment horizontal="center" vertical="top" wrapText="1"/>
    </xf>
    <xf numFmtId="0" fontId="12" fillId="0" borderId="5" xfId="0" applyFont="1" applyBorder="1" applyAlignment="1">
      <alignment horizontal="center" vertical="top" wrapText="1"/>
    </xf>
    <xf numFmtId="0" fontId="12" fillId="0" borderId="16" xfId="0" applyFont="1" applyBorder="1" applyAlignment="1">
      <alignment horizontal="center" vertical="top" wrapText="1"/>
    </xf>
    <xf numFmtId="0" fontId="12" fillId="0" borderId="19" xfId="0" applyFont="1" applyBorder="1" applyAlignment="1">
      <alignment horizontal="center" vertical="top" wrapText="1"/>
    </xf>
    <xf numFmtId="0" fontId="13" fillId="0" borderId="8" xfId="0" applyFont="1" applyBorder="1" applyAlignment="1">
      <alignment horizontal="left" vertical="top" wrapText="1"/>
    </xf>
    <xf numFmtId="0" fontId="13" fillId="0" borderId="5" xfId="0" applyFont="1" applyBorder="1"/>
    <xf numFmtId="0" fontId="52" fillId="2" borderId="1" xfId="0" applyFont="1" applyFill="1" applyBorder="1"/>
    <xf numFmtId="0" fontId="52" fillId="2" borderId="1" xfId="0" applyFont="1" applyFill="1" applyBorder="1" applyAlignment="1">
      <alignment horizontal="center"/>
    </xf>
    <xf numFmtId="0" fontId="73" fillId="0" borderId="0" xfId="0" applyFont="1"/>
    <xf numFmtId="0" fontId="73" fillId="0" borderId="0" xfId="0" applyFont="1" applyAlignment="1">
      <alignment horizontal="center"/>
    </xf>
    <xf numFmtId="0" fontId="74" fillId="0" borderId="0" xfId="0" applyFont="1"/>
    <xf numFmtId="0" fontId="74" fillId="0" borderId="0" xfId="0" applyFont="1" applyAlignment="1">
      <alignment horizontal="center"/>
    </xf>
    <xf numFmtId="0" fontId="75" fillId="0" borderId="0" xfId="0" applyFont="1" applyAlignment="1">
      <alignment horizontal="center"/>
    </xf>
    <xf numFmtId="0" fontId="76" fillId="0" borderId="0" xfId="0" applyFont="1"/>
    <xf numFmtId="2" fontId="74" fillId="0" borderId="0" xfId="0" applyNumberFormat="1" applyFont="1" applyAlignment="1">
      <alignment horizontal="center"/>
    </xf>
    <xf numFmtId="0" fontId="76" fillId="0" borderId="0" xfId="0" applyFont="1" applyAlignment="1">
      <alignment horizontal="right"/>
    </xf>
    <xf numFmtId="165" fontId="74" fillId="0" borderId="0" xfId="0" applyNumberFormat="1" applyFont="1"/>
    <xf numFmtId="165" fontId="74" fillId="0" borderId="0" xfId="0" applyNumberFormat="1" applyFont="1" applyAlignment="1">
      <alignment horizontal="center"/>
    </xf>
    <xf numFmtId="0" fontId="76" fillId="0" borderId="0" xfId="0" applyFont="1" applyAlignment="1">
      <alignment horizontal="center"/>
    </xf>
    <xf numFmtId="0" fontId="76" fillId="0" borderId="9" xfId="0" applyFont="1" applyBorder="1" applyAlignment="1">
      <alignment horizontal="left" vertical="center"/>
    </xf>
    <xf numFmtId="0" fontId="76" fillId="0" borderId="10" xfId="0" applyFont="1" applyBorder="1" applyAlignment="1">
      <alignment horizontal="center" vertical="center"/>
    </xf>
    <xf numFmtId="0" fontId="76" fillId="0" borderId="10" xfId="0" applyFont="1" applyBorder="1" applyAlignment="1">
      <alignment horizontal="center"/>
    </xf>
    <xf numFmtId="0" fontId="76" fillId="0" borderId="10" xfId="0" applyFont="1" applyBorder="1" applyAlignment="1">
      <alignment horizontal="left"/>
    </xf>
    <xf numFmtId="0" fontId="76" fillId="0" borderId="11" xfId="0" applyFont="1" applyBorder="1" applyAlignment="1">
      <alignment horizontal="left" vertical="center"/>
    </xf>
    <xf numFmtId="0" fontId="76" fillId="0" borderId="9" xfId="0" applyFont="1" applyBorder="1" applyAlignment="1">
      <alignment horizontal="center" vertical="center"/>
    </xf>
    <xf numFmtId="2" fontId="76" fillId="0" borderId="12" xfId="0" applyNumberFormat="1" applyFont="1" applyBorder="1" applyAlignment="1">
      <alignment horizontal="center" vertical="center"/>
    </xf>
    <xf numFmtId="0" fontId="76" fillId="0" borderId="13" xfId="0" applyFont="1" applyBorder="1"/>
    <xf numFmtId="0" fontId="76" fillId="0" borderId="14" xfId="0" applyFont="1" applyBorder="1" applyAlignment="1">
      <alignment horizontal="center"/>
    </xf>
    <xf numFmtId="0" fontId="76" fillId="0" borderId="15" xfId="0" applyFont="1" applyBorder="1" applyAlignment="1">
      <alignment horizontal="center"/>
    </xf>
    <xf numFmtId="0" fontId="77" fillId="0" borderId="16" xfId="0" applyFont="1" applyBorder="1" applyAlignment="1">
      <alignment horizontal="left"/>
    </xf>
    <xf numFmtId="0" fontId="76" fillId="0" borderId="17" xfId="0" applyFont="1" applyBorder="1" applyAlignment="1">
      <alignment horizontal="center"/>
    </xf>
    <xf numFmtId="2" fontId="74" fillId="0" borderId="18" xfId="0" applyNumberFormat="1" applyFont="1" applyBorder="1" applyAlignment="1">
      <alignment horizontal="center"/>
    </xf>
    <xf numFmtId="0" fontId="78" fillId="0" borderId="60" xfId="0" applyFont="1" applyBorder="1" applyAlignment="1">
      <alignment horizontal="center" vertical="top" wrapText="1"/>
    </xf>
    <xf numFmtId="0" fontId="76" fillId="0" borderId="8" xfId="0" applyFont="1" applyBorder="1" applyAlignment="1">
      <alignment horizontal="center" vertical="top" wrapText="1"/>
    </xf>
    <xf numFmtId="0" fontId="76" fillId="0" borderId="5" xfId="0" applyFont="1" applyBorder="1" applyAlignment="1">
      <alignment horizontal="center" vertical="top" wrapText="1"/>
    </xf>
    <xf numFmtId="0" fontId="74" fillId="0" borderId="7" xfId="0" applyFont="1" applyBorder="1" applyAlignment="1">
      <alignment horizontal="center"/>
    </xf>
    <xf numFmtId="2" fontId="74" fillId="0" borderId="61" xfId="0" applyNumberFormat="1" applyFont="1" applyBorder="1" applyAlignment="1">
      <alignment horizontal="center"/>
    </xf>
    <xf numFmtId="0" fontId="74" fillId="0" borderId="7" xfId="0" applyFont="1" applyBorder="1" applyAlignment="1">
      <alignment horizontal="left" vertical="top" wrapText="1"/>
    </xf>
    <xf numFmtId="0" fontId="74" fillId="0" borderId="7" xfId="0" applyFont="1" applyBorder="1"/>
    <xf numFmtId="0" fontId="79" fillId="0" borderId="7" xfId="0" applyFont="1" applyBorder="1" applyAlignment="1">
      <alignment horizontal="left" vertical="top" wrapText="1"/>
    </xf>
    <xf numFmtId="0" fontId="78" fillId="0" borderId="7" xfId="0" applyFont="1" applyBorder="1" applyAlignment="1">
      <alignment horizontal="center" vertical="top" wrapText="1"/>
    </xf>
    <xf numFmtId="0" fontId="5" fillId="23" borderId="1" xfId="0" applyFont="1" applyFill="1" applyBorder="1"/>
    <xf numFmtId="0" fontId="76" fillId="0" borderId="7" xfId="0" applyFont="1" applyBorder="1" applyAlignment="1">
      <alignment horizontal="center" vertical="top" wrapText="1"/>
    </xf>
    <xf numFmtId="0" fontId="5" fillId="23" borderId="1" xfId="0" applyFont="1" applyFill="1" applyBorder="1" applyAlignment="1">
      <alignment horizontal="center"/>
    </xf>
    <xf numFmtId="2" fontId="74" fillId="0" borderId="7" xfId="0" applyNumberFormat="1" applyFont="1" applyBorder="1" applyAlignment="1">
      <alignment horizontal="center"/>
    </xf>
    <xf numFmtId="0" fontId="78" fillId="0" borderId="13" xfId="0" applyFont="1" applyBorder="1" applyAlignment="1">
      <alignment horizontal="center" vertical="top" wrapText="1"/>
    </xf>
    <xf numFmtId="0" fontId="79" fillId="0" borderId="16" xfId="0" applyFont="1" applyBorder="1" applyAlignment="1">
      <alignment horizontal="left" vertical="top" wrapText="1"/>
    </xf>
    <xf numFmtId="0" fontId="74" fillId="0" borderId="15" xfId="0" applyFont="1" applyBorder="1" applyAlignment="1">
      <alignment horizontal="center"/>
    </xf>
    <xf numFmtId="0" fontId="74" fillId="0" borderId="16" xfId="0" applyFont="1" applyBorder="1" applyAlignment="1">
      <alignment horizontal="center"/>
    </xf>
    <xf numFmtId="2" fontId="74" fillId="0" borderId="20" xfId="0" applyNumberFormat="1" applyFont="1" applyBorder="1" applyAlignment="1">
      <alignment horizontal="center"/>
    </xf>
    <xf numFmtId="0" fontId="76" fillId="0" borderId="13" xfId="0" applyFont="1" applyBorder="1" applyAlignment="1">
      <alignment horizontal="center"/>
    </xf>
    <xf numFmtId="0" fontId="74" fillId="0" borderId="27" xfId="0" applyFont="1" applyBorder="1" applyAlignment="1">
      <alignment horizontal="center"/>
    </xf>
    <xf numFmtId="0" fontId="76" fillId="0" borderId="28" xfId="0" applyFont="1" applyBorder="1"/>
    <xf numFmtId="0" fontId="76" fillId="0" borderId="29" xfId="0" applyFont="1" applyBorder="1"/>
    <xf numFmtId="0" fontId="76" fillId="0" borderId="30" xfId="0" applyFont="1" applyBorder="1" applyAlignment="1">
      <alignment horizontal="right" vertical="center"/>
    </xf>
    <xf numFmtId="0" fontId="76" fillId="0" borderId="31" xfId="0" applyFont="1" applyBorder="1" applyAlignment="1">
      <alignment horizontal="center"/>
    </xf>
    <xf numFmtId="0" fontId="76" fillId="0" borderId="12" xfId="0" applyFont="1" applyBorder="1" applyAlignment="1">
      <alignment horizontal="center"/>
    </xf>
    <xf numFmtId="2" fontId="76" fillId="0" borderId="33" xfId="0" applyNumberFormat="1" applyFont="1" applyBorder="1" applyAlignment="1">
      <alignment horizontal="center"/>
    </xf>
    <xf numFmtId="2" fontId="74" fillId="0" borderId="12" xfId="0" applyNumberFormat="1" applyFont="1" applyBorder="1" applyAlignment="1">
      <alignment horizontal="center"/>
    </xf>
    <xf numFmtId="0" fontId="74" fillId="0" borderId="34" xfId="0" applyFont="1" applyBorder="1"/>
    <xf numFmtId="0" fontId="74" fillId="0" borderId="35" xfId="0" applyFont="1" applyBorder="1"/>
    <xf numFmtId="0" fontId="74" fillId="0" borderId="35" xfId="0" applyFont="1" applyBorder="1" applyAlignment="1">
      <alignment horizontal="center"/>
    </xf>
    <xf numFmtId="0" fontId="74" fillId="0" borderId="36" xfId="0" applyFont="1" applyBorder="1"/>
    <xf numFmtId="2" fontId="74" fillId="0" borderId="35" xfId="0" applyNumberFormat="1" applyFont="1" applyBorder="1"/>
    <xf numFmtId="2" fontId="74" fillId="0" borderId="37" xfId="0" applyNumberFormat="1" applyFont="1" applyBorder="1" applyAlignment="1">
      <alignment horizontal="center"/>
    </xf>
    <xf numFmtId="0" fontId="80" fillId="0" borderId="0" xfId="0" applyFont="1"/>
    <xf numFmtId="0" fontId="80" fillId="0" borderId="0" xfId="0" applyFont="1" applyAlignment="1">
      <alignment horizontal="center"/>
    </xf>
    <xf numFmtId="0" fontId="81" fillId="0" borderId="0" xfId="0" applyFont="1"/>
    <xf numFmtId="0" fontId="78" fillId="0" borderId="16" xfId="0" applyFont="1" applyBorder="1" applyAlignment="1">
      <alignment horizontal="left" vertical="top" wrapText="1"/>
    </xf>
    <xf numFmtId="0" fontId="78" fillId="0" borderId="0" xfId="0" applyFont="1" applyAlignment="1">
      <alignment horizontal="left" vertical="top" wrapText="1"/>
    </xf>
    <xf numFmtId="0" fontId="78" fillId="0" borderId="16" xfId="0" applyFont="1" applyBorder="1" applyAlignment="1">
      <alignment horizontal="center" vertical="top" wrapText="1"/>
    </xf>
    <xf numFmtId="0" fontId="78" fillId="0" borderId="0" xfId="0" applyFont="1" applyAlignment="1">
      <alignment horizontal="center" vertical="top" wrapText="1"/>
    </xf>
    <xf numFmtId="0" fontId="82" fillId="0" borderId="0" xfId="0" applyFont="1" applyAlignment="1">
      <alignment horizontal="center"/>
    </xf>
    <xf numFmtId="0" fontId="83" fillId="0" borderId="0" xfId="0" applyFont="1"/>
    <xf numFmtId="0" fontId="83" fillId="0" borderId="0" xfId="0" applyFont="1" applyAlignment="1">
      <alignment horizontal="center"/>
    </xf>
    <xf numFmtId="0" fontId="84" fillId="0" borderId="0" xfId="0" applyFont="1" applyAlignment="1">
      <alignment horizontal="right"/>
    </xf>
    <xf numFmtId="165" fontId="83" fillId="0" borderId="0" xfId="0" applyNumberFormat="1" applyFont="1"/>
    <xf numFmtId="165" fontId="83" fillId="0" borderId="0" xfId="0" applyNumberFormat="1" applyFont="1" applyAlignment="1">
      <alignment horizontal="center"/>
    </xf>
    <xf numFmtId="2" fontId="83" fillId="0" borderId="0" xfId="0" applyNumberFormat="1" applyFont="1" applyAlignment="1">
      <alignment horizontal="center"/>
    </xf>
    <xf numFmtId="0" fontId="84" fillId="0" borderId="0" xfId="0" applyFont="1" applyAlignment="1">
      <alignment horizontal="center"/>
    </xf>
    <xf numFmtId="0" fontId="85" fillId="0" borderId="0" xfId="0" applyFont="1"/>
    <xf numFmtId="0" fontId="84" fillId="0" borderId="9" xfId="0" applyFont="1" applyBorder="1" applyAlignment="1">
      <alignment horizontal="left" vertical="center"/>
    </xf>
    <xf numFmtId="0" fontId="84" fillId="0" borderId="10" xfId="0" applyFont="1" applyBorder="1" applyAlignment="1">
      <alignment horizontal="center" vertical="center"/>
    </xf>
    <xf numFmtId="0" fontId="84" fillId="0" borderId="10" xfId="0" applyFont="1" applyBorder="1" applyAlignment="1">
      <alignment horizontal="center"/>
    </xf>
    <xf numFmtId="0" fontId="84" fillId="0" borderId="10" xfId="0" applyFont="1" applyBorder="1" applyAlignment="1">
      <alignment horizontal="left"/>
    </xf>
    <xf numFmtId="0" fontId="84" fillId="0" borderId="11" xfId="0" applyFont="1" applyBorder="1" applyAlignment="1">
      <alignment horizontal="left" vertical="center"/>
    </xf>
    <xf numFmtId="0" fontId="84" fillId="0" borderId="9" xfId="0" applyFont="1" applyBorder="1" applyAlignment="1">
      <alignment horizontal="center" vertical="center"/>
    </xf>
    <xf numFmtId="2" fontId="84" fillId="0" borderId="12" xfId="0" applyNumberFormat="1" applyFont="1" applyBorder="1" applyAlignment="1">
      <alignment horizontal="center" vertical="center"/>
    </xf>
    <xf numFmtId="0" fontId="84" fillId="0" borderId="13" xfId="0" applyFont="1" applyBorder="1"/>
    <xf numFmtId="0" fontId="84" fillId="0" borderId="14" xfId="0" applyFont="1" applyBorder="1" applyAlignment="1">
      <alignment horizontal="center"/>
    </xf>
    <xf numFmtId="0" fontId="84" fillId="0" borderId="0" xfId="0" applyFont="1"/>
    <xf numFmtId="0" fontId="84" fillId="0" borderId="15" xfId="0" applyFont="1" applyBorder="1" applyAlignment="1">
      <alignment horizontal="center"/>
    </xf>
    <xf numFmtId="0" fontId="86" fillId="0" borderId="16" xfId="0" applyFont="1" applyBorder="1" applyAlignment="1">
      <alignment horizontal="left"/>
    </xf>
    <xf numFmtId="0" fontId="84" fillId="0" borderId="17" xfId="0" applyFont="1" applyBorder="1" applyAlignment="1">
      <alignment horizontal="center"/>
    </xf>
    <xf numFmtId="2" fontId="83" fillId="0" borderId="18" xfId="0" applyNumberFormat="1" applyFont="1" applyBorder="1" applyAlignment="1">
      <alignment horizontal="center"/>
    </xf>
    <xf numFmtId="0" fontId="87" fillId="0" borderId="13" xfId="0" applyFont="1" applyBorder="1" applyAlignment="1">
      <alignment horizontal="center" vertical="top" wrapText="1"/>
    </xf>
    <xf numFmtId="0" fontId="87" fillId="0" borderId="16" xfId="0" applyFont="1" applyBorder="1" applyAlignment="1">
      <alignment horizontal="left" vertical="top" wrapText="1"/>
    </xf>
    <xf numFmtId="0" fontId="83" fillId="0" borderId="0" xfId="0" applyFont="1" applyAlignment="1">
      <alignment horizontal="center" vertical="center"/>
    </xf>
    <xf numFmtId="0" fontId="83" fillId="0" borderId="15" xfId="0" applyFont="1" applyBorder="1" applyAlignment="1">
      <alignment horizontal="center"/>
    </xf>
    <xf numFmtId="2" fontId="83" fillId="0" borderId="20" xfId="0" applyNumberFormat="1" applyFont="1" applyBorder="1" applyAlignment="1">
      <alignment horizontal="center"/>
    </xf>
    <xf numFmtId="0" fontId="87" fillId="0" borderId="16" xfId="0" applyFont="1" applyBorder="1" applyAlignment="1">
      <alignment horizontal="center" vertical="top" wrapText="1"/>
    </xf>
    <xf numFmtId="0" fontId="87" fillId="0" borderId="19" xfId="0" applyFont="1" applyBorder="1" applyAlignment="1">
      <alignment horizontal="center" vertical="top" wrapText="1"/>
    </xf>
    <xf numFmtId="0" fontId="88" fillId="0" borderId="16" xfId="0" applyFont="1" applyBorder="1" applyAlignment="1">
      <alignment horizontal="left" vertical="top" wrapText="1"/>
    </xf>
    <xf numFmtId="0" fontId="84" fillId="0" borderId="13" xfId="0" applyFont="1" applyBorder="1" applyAlignment="1">
      <alignment horizontal="center"/>
    </xf>
    <xf numFmtId="0" fontId="83" fillId="0" borderId="16" xfId="0" applyFont="1" applyBorder="1" applyAlignment="1">
      <alignment horizontal="center"/>
    </xf>
    <xf numFmtId="0" fontId="83" fillId="0" borderId="27" xfId="0" applyFont="1" applyBorder="1" applyAlignment="1">
      <alignment horizontal="center"/>
    </xf>
    <xf numFmtId="0" fontId="84" fillId="0" borderId="28" xfId="0" applyFont="1" applyBorder="1"/>
    <xf numFmtId="0" fontId="84" fillId="0" borderId="29" xfId="0" applyFont="1" applyBorder="1"/>
    <xf numFmtId="0" fontId="84" fillId="0" borderId="30" xfId="0" applyFont="1" applyBorder="1" applyAlignment="1">
      <alignment horizontal="right" vertical="center"/>
    </xf>
    <xf numFmtId="0" fontId="84" fillId="0" borderId="31" xfId="0" applyFont="1" applyBorder="1" applyAlignment="1">
      <alignment horizontal="center"/>
    </xf>
    <xf numFmtId="0" fontId="84" fillId="0" borderId="12" xfId="0" applyFont="1" applyBorder="1" applyAlignment="1">
      <alignment horizontal="center"/>
    </xf>
    <xf numFmtId="2" fontId="84" fillId="0" borderId="33" xfId="0" applyNumberFormat="1" applyFont="1" applyBorder="1" applyAlignment="1">
      <alignment horizontal="center"/>
    </xf>
    <xf numFmtId="2" fontId="83" fillId="0" borderId="12" xfId="0" applyNumberFormat="1" applyFont="1" applyBorder="1" applyAlignment="1">
      <alignment horizontal="center"/>
    </xf>
    <xf numFmtId="0" fontId="83" fillId="0" borderId="34" xfId="0" applyFont="1" applyBorder="1"/>
    <xf numFmtId="0" fontId="83" fillId="0" borderId="35" xfId="0" applyFont="1" applyBorder="1"/>
    <xf numFmtId="0" fontId="83" fillId="0" borderId="35" xfId="0" applyFont="1" applyBorder="1" applyAlignment="1">
      <alignment horizontal="center"/>
    </xf>
    <xf numFmtId="0" fontId="83" fillId="0" borderId="36" xfId="0" applyFont="1" applyBorder="1"/>
    <xf numFmtId="2" fontId="83" fillId="0" borderId="35" xfId="0" applyNumberFormat="1" applyFont="1" applyBorder="1"/>
    <xf numFmtId="2" fontId="83" fillId="0" borderId="37" xfId="0" applyNumberFormat="1" applyFont="1" applyBorder="1" applyAlignment="1">
      <alignment horizontal="center"/>
    </xf>
    <xf numFmtId="0" fontId="89" fillId="0" borderId="0" xfId="0" applyFont="1" applyAlignment="1">
      <alignment horizontal="center"/>
    </xf>
    <xf numFmtId="0" fontId="90" fillId="0" borderId="0" xfId="0" applyFont="1"/>
    <xf numFmtId="0" fontId="90" fillId="0" borderId="0" xfId="0" applyFont="1" applyAlignment="1">
      <alignment horizontal="center"/>
    </xf>
    <xf numFmtId="0" fontId="74" fillId="0" borderId="13" xfId="0" applyFont="1" applyBorder="1" applyAlignment="1">
      <alignment horizontal="center" vertical="top" wrapText="1"/>
    </xf>
    <xf numFmtId="0" fontId="74" fillId="0" borderId="16" xfId="0" applyFont="1" applyBorder="1" applyAlignment="1">
      <alignment horizontal="left" vertical="top" wrapText="1"/>
    </xf>
    <xf numFmtId="0" fontId="76" fillId="0" borderId="16" xfId="0" applyFont="1" applyBorder="1" applyAlignment="1">
      <alignment horizontal="center" vertical="top" wrapText="1"/>
    </xf>
    <xf numFmtId="0" fontId="76" fillId="0" borderId="19" xfId="0" applyFont="1" applyBorder="1" applyAlignment="1">
      <alignment horizontal="center" vertical="top" wrapText="1"/>
    </xf>
    <xf numFmtId="0" fontId="91" fillId="0" borderId="0" xfId="0" applyFont="1" applyAlignment="1">
      <alignment horizontal="center"/>
    </xf>
    <xf numFmtId="0" fontId="78" fillId="0" borderId="19" xfId="0" applyFont="1" applyBorder="1" applyAlignment="1">
      <alignment horizontal="center" vertical="top" wrapText="1"/>
    </xf>
    <xf numFmtId="0" fontId="5" fillId="24" borderId="7" xfId="0" applyFont="1" applyFill="1" applyBorder="1" applyAlignment="1">
      <alignment horizontal="left"/>
    </xf>
    <xf numFmtId="0" fontId="5" fillId="24" borderId="7" xfId="0" applyFont="1" applyFill="1" applyBorder="1" applyAlignment="1">
      <alignment horizontal="center"/>
    </xf>
    <xf numFmtId="0" fontId="92" fillId="0" borderId="0" xfId="0" applyFont="1" applyAlignment="1">
      <alignment horizontal="center"/>
    </xf>
    <xf numFmtId="2" fontId="73" fillId="0" borderId="0" xfId="0" applyNumberFormat="1" applyFont="1" applyAlignment="1">
      <alignment horizontal="center"/>
    </xf>
    <xf numFmtId="0" fontId="6" fillId="0" borderId="0" xfId="0" applyFont="1" applyAlignment="1">
      <alignment horizontal="right"/>
    </xf>
    <xf numFmtId="165" fontId="73" fillId="0" borderId="0" xfId="0" applyNumberFormat="1" applyFont="1"/>
    <xf numFmtId="165" fontId="73" fillId="0" borderId="0" xfId="0" applyNumberFormat="1" applyFont="1" applyAlignment="1">
      <alignment horizontal="center"/>
    </xf>
    <xf numFmtId="0" fontId="6" fillId="0" borderId="9" xfId="0" applyFont="1" applyBorder="1" applyAlignment="1">
      <alignment horizontal="left" vertical="center"/>
    </xf>
    <xf numFmtId="0" fontId="6" fillId="0" borderId="10" xfId="0" applyFont="1" applyBorder="1" applyAlignment="1">
      <alignment horizontal="center" vertical="center"/>
    </xf>
    <xf numFmtId="0" fontId="6" fillId="0" borderId="10" xfId="0" applyFont="1" applyBorder="1" applyAlignment="1">
      <alignment horizontal="center"/>
    </xf>
    <xf numFmtId="0" fontId="6" fillId="0" borderId="10" xfId="0" applyFont="1" applyBorder="1" applyAlignment="1">
      <alignment horizontal="left"/>
    </xf>
    <xf numFmtId="0" fontId="6" fillId="0" borderId="11" xfId="0" applyFont="1" applyBorder="1" applyAlignment="1">
      <alignment horizontal="left" vertical="center"/>
    </xf>
    <xf numFmtId="0" fontId="6" fillId="0" borderId="9" xfId="0" applyFont="1" applyBorder="1" applyAlignment="1">
      <alignment horizontal="center" vertical="center"/>
    </xf>
    <xf numFmtId="0" fontId="5" fillId="25" borderId="7" xfId="0" applyFont="1" applyFill="1" applyBorder="1" applyAlignment="1">
      <alignment horizontal="center"/>
    </xf>
    <xf numFmtId="2" fontId="6" fillId="0" borderId="12" xfId="0" applyNumberFormat="1" applyFont="1" applyBorder="1" applyAlignment="1">
      <alignment horizontal="center" vertical="center"/>
    </xf>
    <xf numFmtId="0" fontId="6" fillId="0" borderId="13" xfId="0" applyFont="1" applyBorder="1"/>
    <xf numFmtId="0" fontId="6" fillId="0" borderId="14" xfId="0" applyFont="1" applyBorder="1" applyAlignment="1">
      <alignment horizontal="center"/>
    </xf>
    <xf numFmtId="0" fontId="6" fillId="0" borderId="15" xfId="0" applyFont="1" applyBorder="1" applyAlignment="1">
      <alignment horizontal="center"/>
    </xf>
    <xf numFmtId="0" fontId="93" fillId="0" borderId="16" xfId="0" applyFont="1" applyBorder="1" applyAlignment="1">
      <alignment horizontal="left"/>
    </xf>
    <xf numFmtId="0" fontId="6" fillId="0" borderId="17" xfId="0" applyFont="1" applyBorder="1" applyAlignment="1">
      <alignment horizontal="center"/>
    </xf>
    <xf numFmtId="2" fontId="73" fillId="0" borderId="18" xfId="0" applyNumberFormat="1" applyFont="1" applyBorder="1" applyAlignment="1">
      <alignment horizontal="center"/>
    </xf>
    <xf numFmtId="0" fontId="94" fillId="0" borderId="13" xfId="0" applyFont="1" applyBorder="1" applyAlignment="1">
      <alignment horizontal="center" vertical="top" wrapText="1"/>
    </xf>
    <xf numFmtId="0" fontId="95" fillId="0" borderId="16" xfId="0" applyFont="1" applyBorder="1" applyAlignment="1">
      <alignment horizontal="center" vertical="top" wrapText="1"/>
    </xf>
    <xf numFmtId="0" fontId="95" fillId="0" borderId="19" xfId="0" applyFont="1" applyBorder="1" applyAlignment="1">
      <alignment horizontal="center" vertical="top" wrapText="1"/>
    </xf>
    <xf numFmtId="0" fontId="73" fillId="0" borderId="15" xfId="0" applyFont="1" applyBorder="1" applyAlignment="1">
      <alignment horizontal="center"/>
    </xf>
    <xf numFmtId="2" fontId="73" fillId="0" borderId="20" xfId="0" applyNumberFormat="1" applyFont="1" applyBorder="1" applyAlignment="1">
      <alignment horizontal="center"/>
    </xf>
    <xf numFmtId="0" fontId="94" fillId="0" borderId="16" xfId="0" applyFont="1" applyBorder="1" applyAlignment="1">
      <alignment horizontal="left" vertical="top" wrapText="1"/>
    </xf>
    <xf numFmtId="0" fontId="96" fillId="0" borderId="16" xfId="0" applyFont="1" applyBorder="1" applyAlignment="1">
      <alignment horizontal="left" vertical="top" wrapText="1"/>
    </xf>
    <xf numFmtId="0" fontId="6" fillId="0" borderId="13" xfId="0" applyFont="1" applyBorder="1" applyAlignment="1">
      <alignment horizontal="center"/>
    </xf>
    <xf numFmtId="0" fontId="73" fillId="0" borderId="16" xfId="0" applyFont="1" applyBorder="1" applyAlignment="1">
      <alignment horizontal="center"/>
    </xf>
    <xf numFmtId="0" fontId="73" fillId="0" borderId="27" xfId="0" applyFont="1" applyBorder="1" applyAlignment="1">
      <alignment horizontal="center"/>
    </xf>
    <xf numFmtId="0" fontId="6" fillId="0" borderId="28" xfId="0" applyFont="1" applyBorder="1"/>
    <xf numFmtId="0" fontId="6" fillId="0" borderId="29" xfId="0" applyFont="1" applyBorder="1"/>
    <xf numFmtId="0" fontId="6" fillId="0" borderId="30" xfId="0" applyFont="1" applyBorder="1" applyAlignment="1">
      <alignment horizontal="right" vertical="center"/>
    </xf>
    <xf numFmtId="0" fontId="6" fillId="0" borderId="31" xfId="0" applyFont="1" applyBorder="1" applyAlignment="1">
      <alignment horizontal="center"/>
    </xf>
    <xf numFmtId="0" fontId="6" fillId="0" borderId="12" xfId="0" applyFont="1" applyBorder="1" applyAlignment="1">
      <alignment horizontal="center"/>
    </xf>
    <xf numFmtId="2" fontId="6" fillId="0" borderId="33" xfId="0" applyNumberFormat="1" applyFont="1" applyBorder="1" applyAlignment="1">
      <alignment horizontal="center"/>
    </xf>
    <xf numFmtId="0" fontId="5" fillId="26" borderId="1" xfId="0" applyFont="1" applyFill="1" applyBorder="1"/>
    <xf numFmtId="2" fontId="73" fillId="0" borderId="12" xfId="0" applyNumberFormat="1" applyFont="1" applyBorder="1" applyAlignment="1">
      <alignment horizontal="center"/>
    </xf>
    <xf numFmtId="0" fontId="73" fillId="0" borderId="34" xfId="0" applyFont="1" applyBorder="1"/>
    <xf numFmtId="0" fontId="73" fillId="0" borderId="35" xfId="0" applyFont="1" applyBorder="1"/>
    <xf numFmtId="0" fontId="73" fillId="0" borderId="35" xfId="0" applyFont="1" applyBorder="1" applyAlignment="1">
      <alignment horizontal="center"/>
    </xf>
    <xf numFmtId="0" fontId="73" fillId="0" borderId="36" xfId="0" applyFont="1" applyBorder="1"/>
    <xf numFmtId="2" fontId="73" fillId="0" borderId="35" xfId="0" applyNumberFormat="1" applyFont="1" applyBorder="1"/>
    <xf numFmtId="2" fontId="73" fillId="0" borderId="37" xfId="0" applyNumberFormat="1" applyFont="1" applyBorder="1" applyAlignment="1">
      <alignment horizontal="center"/>
    </xf>
    <xf numFmtId="0" fontId="97" fillId="0" borderId="0" xfId="0" applyFont="1"/>
    <xf numFmtId="0" fontId="97" fillId="0" borderId="0" xfId="0" applyFont="1" applyAlignment="1">
      <alignment horizontal="center"/>
    </xf>
    <xf numFmtId="0" fontId="26" fillId="26" borderId="1" xfId="0" applyFont="1" applyFill="1" applyBorder="1"/>
    <xf numFmtId="0" fontId="98" fillId="0" borderId="13" xfId="0" applyFont="1" applyBorder="1" applyAlignment="1">
      <alignment horizontal="center" vertical="top" wrapText="1"/>
    </xf>
    <xf numFmtId="0" fontId="98" fillId="0" borderId="16" xfId="0" applyFont="1" applyBorder="1" applyAlignment="1">
      <alignment horizontal="center" vertical="top" wrapText="1"/>
    </xf>
    <xf numFmtId="0" fontId="98" fillId="0" borderId="19" xfId="0" applyFont="1" applyBorder="1" applyAlignment="1">
      <alignment horizontal="center" vertical="top" wrapText="1"/>
    </xf>
    <xf numFmtId="2" fontId="76" fillId="0" borderId="20" xfId="0" applyNumberFormat="1" applyFont="1" applyBorder="1" applyAlignment="1">
      <alignment horizontal="center"/>
    </xf>
    <xf numFmtId="0" fontId="98" fillId="0" borderId="0" xfId="0" applyFont="1" applyAlignment="1">
      <alignment horizontal="center" vertical="top" wrapText="1"/>
    </xf>
    <xf numFmtId="0" fontId="40" fillId="2" borderId="1" xfId="0" applyFont="1" applyFill="1" applyBorder="1" applyAlignment="1">
      <alignment horizontal="left" vertical="top" wrapText="1"/>
    </xf>
    <xf numFmtId="0" fontId="99" fillId="0" borderId="16" xfId="0" applyFont="1" applyBorder="1" applyAlignment="1">
      <alignment horizontal="left"/>
    </xf>
    <xf numFmtId="0" fontId="40" fillId="0" borderId="0" xfId="0" applyFont="1" applyAlignment="1">
      <alignment horizontal="left" vertical="top" wrapText="1"/>
    </xf>
    <xf numFmtId="0" fontId="5" fillId="27" borderId="1" xfId="0" applyFont="1" applyFill="1" applyBorder="1"/>
    <xf numFmtId="0" fontId="76" fillId="0" borderId="45" xfId="0" applyFont="1" applyBorder="1" applyAlignment="1">
      <alignment horizontal="left"/>
    </xf>
    <xf numFmtId="0" fontId="100" fillId="0" borderId="0" xfId="0" applyFont="1" applyAlignment="1">
      <alignment horizontal="center" vertical="center"/>
    </xf>
    <xf numFmtId="0" fontId="74" fillId="0" borderId="0" xfId="0" applyFont="1" applyAlignment="1">
      <alignment horizontal="center" vertical="center"/>
    </xf>
    <xf numFmtId="2" fontId="74" fillId="0" borderId="0" xfId="0" applyNumberFormat="1" applyFont="1" applyAlignment="1">
      <alignment horizontal="center" vertical="center"/>
    </xf>
    <xf numFmtId="0" fontId="101" fillId="0" borderId="0" xfId="0" applyFont="1"/>
    <xf numFmtId="0" fontId="5" fillId="28" borderId="1" xfId="0" applyFont="1" applyFill="1" applyBorder="1"/>
    <xf numFmtId="0" fontId="78" fillId="0" borderId="13" xfId="0" applyFont="1" applyBorder="1" applyAlignment="1">
      <alignment horizontal="center" vertical="center" wrapText="1"/>
    </xf>
    <xf numFmtId="0" fontId="78" fillId="0" borderId="16" xfId="0" applyFont="1" applyBorder="1" applyAlignment="1">
      <alignment horizontal="center" vertical="center" wrapText="1"/>
    </xf>
    <xf numFmtId="0" fontId="76" fillId="0" borderId="0" xfId="0" applyFont="1" applyAlignment="1">
      <alignment horizontal="center" vertical="center"/>
    </xf>
    <xf numFmtId="0" fontId="76" fillId="0" borderId="0" xfId="0" applyFont="1" applyAlignment="1">
      <alignment vertical="top"/>
    </xf>
    <xf numFmtId="0" fontId="26" fillId="3" borderId="1" xfId="0" applyFont="1" applyFill="1" applyBorder="1"/>
    <xf numFmtId="0" fontId="78" fillId="0" borderId="19" xfId="0" applyFont="1" applyBorder="1" applyAlignment="1">
      <alignment horizontal="left" vertical="top" wrapText="1"/>
    </xf>
    <xf numFmtId="0" fontId="76" fillId="0" borderId="60" xfId="0" applyFont="1" applyBorder="1" applyAlignment="1">
      <alignment horizontal="center" vertical="top" wrapText="1"/>
    </xf>
    <xf numFmtId="0" fontId="76" fillId="0" borderId="7" xfId="0" applyFont="1" applyBorder="1" applyAlignment="1">
      <alignment horizontal="center"/>
    </xf>
    <xf numFmtId="0" fontId="76" fillId="0" borderId="7" xfId="0" applyFont="1" applyBorder="1" applyAlignment="1">
      <alignment horizontal="left"/>
    </xf>
    <xf numFmtId="2" fontId="76" fillId="0" borderId="61" xfId="0" applyNumberFormat="1" applyFont="1" applyBorder="1" applyAlignment="1">
      <alignment horizontal="center"/>
    </xf>
    <xf numFmtId="0" fontId="74" fillId="0" borderId="60" xfId="0" applyFont="1" applyBorder="1" applyAlignment="1">
      <alignment horizontal="center" vertical="top" wrapText="1"/>
    </xf>
    <xf numFmtId="0" fontId="74" fillId="0" borderId="7" xfId="0" applyFont="1" applyBorder="1" applyAlignment="1">
      <alignment horizontal="left"/>
    </xf>
    <xf numFmtId="0" fontId="76" fillId="0" borderId="60" xfId="0" applyFont="1" applyBorder="1" applyAlignment="1">
      <alignment horizontal="center" vertical="center"/>
    </xf>
    <xf numFmtId="0" fontId="76" fillId="0" borderId="7" xfId="0" applyFont="1" applyBorder="1" applyAlignment="1">
      <alignment horizontal="center" vertical="center"/>
    </xf>
    <xf numFmtId="0" fontId="74" fillId="0" borderId="7" xfId="0" applyFont="1" applyBorder="1" applyAlignment="1">
      <alignment horizontal="left" vertical="center"/>
    </xf>
    <xf numFmtId="2" fontId="76" fillId="0" borderId="61" xfId="0" applyNumberFormat="1" applyFont="1" applyBorder="1" applyAlignment="1">
      <alignment horizontal="center" vertical="center"/>
    </xf>
    <xf numFmtId="0" fontId="76" fillId="0" borderId="60" xfId="0" applyFont="1" applyBorder="1" applyAlignment="1">
      <alignment horizontal="left" vertical="center"/>
    </xf>
    <xf numFmtId="0" fontId="74" fillId="0" borderId="7" xfId="0" applyFont="1" applyBorder="1" applyAlignment="1">
      <alignment horizontal="center" vertical="center"/>
    </xf>
    <xf numFmtId="2" fontId="74" fillId="0" borderId="61" xfId="0" applyNumberFormat="1" applyFont="1" applyBorder="1" applyAlignment="1">
      <alignment horizontal="center" vertical="center"/>
    </xf>
    <xf numFmtId="0" fontId="74" fillId="0" borderId="7" xfId="0" applyFont="1" applyBorder="1" applyAlignment="1">
      <alignment horizontal="left" vertical="center" wrapText="1"/>
    </xf>
    <xf numFmtId="0" fontId="74" fillId="0" borderId="7" xfId="0" applyFont="1" applyBorder="1" applyAlignment="1">
      <alignment vertical="center"/>
    </xf>
    <xf numFmtId="0" fontId="74" fillId="0" borderId="22" xfId="0" applyFont="1" applyBorder="1" applyAlignment="1">
      <alignment horizontal="center" vertical="center"/>
    </xf>
    <xf numFmtId="0" fontId="74" fillId="0" borderId="22" xfId="0" applyFont="1" applyBorder="1" applyAlignment="1">
      <alignment horizontal="center"/>
    </xf>
    <xf numFmtId="0" fontId="76" fillId="0" borderId="66" xfId="0" applyFont="1" applyBorder="1" applyAlignment="1">
      <alignment horizontal="center"/>
    </xf>
    <xf numFmtId="0" fontId="76" fillId="2" borderId="3" xfId="0" applyFont="1" applyFill="1" applyBorder="1"/>
    <xf numFmtId="0" fontId="76" fillId="0" borderId="67" xfId="0" applyFont="1" applyBorder="1" applyAlignment="1">
      <alignment horizontal="right" vertical="center"/>
    </xf>
    <xf numFmtId="0" fontId="74" fillId="0" borderId="68" xfId="0" applyFont="1" applyBorder="1" applyAlignment="1">
      <alignment horizontal="center"/>
    </xf>
    <xf numFmtId="0" fontId="74" fillId="0" borderId="9" xfId="0" applyFont="1" applyBorder="1" applyAlignment="1">
      <alignment horizontal="center"/>
    </xf>
    <xf numFmtId="0" fontId="74" fillId="0" borderId="10" xfId="0" applyFont="1" applyBorder="1" applyAlignment="1">
      <alignment horizontal="center"/>
    </xf>
    <xf numFmtId="0" fontId="76" fillId="0" borderId="69" xfId="0" applyFont="1" applyBorder="1"/>
    <xf numFmtId="0" fontId="76" fillId="0" borderId="70" xfId="0" applyFont="1" applyBorder="1"/>
    <xf numFmtId="0" fontId="76" fillId="0" borderId="70" xfId="0" applyFont="1" applyBorder="1" applyAlignment="1">
      <alignment horizontal="right" vertical="center"/>
    </xf>
    <xf numFmtId="0" fontId="76" fillId="0" borderId="27" xfId="0" applyFont="1" applyBorder="1" applyAlignment="1">
      <alignment horizontal="center"/>
    </xf>
    <xf numFmtId="2" fontId="76" fillId="0" borderId="27" xfId="0" applyNumberFormat="1" applyFont="1" applyBorder="1" applyAlignment="1">
      <alignment horizontal="center"/>
    </xf>
    <xf numFmtId="0" fontId="76" fillId="0" borderId="0" xfId="0" applyFont="1" applyAlignment="1">
      <alignment horizontal="right" vertical="center"/>
    </xf>
    <xf numFmtId="2" fontId="76" fillId="0" borderId="0" xfId="0" applyNumberFormat="1" applyFont="1" applyAlignment="1">
      <alignment horizontal="center"/>
    </xf>
    <xf numFmtId="0" fontId="76" fillId="2" borderId="1" xfId="0" applyFont="1" applyFill="1" applyBorder="1"/>
    <xf numFmtId="0" fontId="74" fillId="2" borderId="1" xfId="0" applyFont="1" applyFill="1" applyBorder="1" applyAlignment="1">
      <alignment horizontal="center"/>
    </xf>
    <xf numFmtId="0" fontId="76" fillId="0" borderId="10" xfId="0" applyFont="1" applyBorder="1" applyAlignment="1">
      <alignment horizontal="left" vertical="center"/>
    </xf>
    <xf numFmtId="0" fontId="76" fillId="0" borderId="66" xfId="0" applyFont="1" applyBorder="1" applyAlignment="1">
      <alignment horizontal="left" vertical="center"/>
    </xf>
    <xf numFmtId="0" fontId="76" fillId="0" borderId="67" xfId="0" applyFont="1" applyBorder="1" applyAlignment="1">
      <alignment horizontal="center" vertical="center"/>
    </xf>
    <xf numFmtId="0" fontId="76" fillId="0" borderId="67" xfId="0" applyFont="1" applyBorder="1" applyAlignment="1">
      <alignment horizontal="center"/>
    </xf>
    <xf numFmtId="0" fontId="76" fillId="0" borderId="67" xfId="0" applyFont="1" applyBorder="1" applyAlignment="1">
      <alignment horizontal="left"/>
    </xf>
    <xf numFmtId="0" fontId="76" fillId="0" borderId="67" xfId="0" applyFont="1" applyBorder="1" applyAlignment="1">
      <alignment horizontal="left" vertical="center"/>
    </xf>
    <xf numFmtId="2" fontId="76" fillId="0" borderId="71" xfId="0" applyNumberFormat="1" applyFont="1" applyBorder="1" applyAlignment="1">
      <alignment horizontal="center" vertical="center"/>
    </xf>
    <xf numFmtId="0" fontId="76" fillId="0" borderId="7" xfId="0" applyFont="1" applyBorder="1" applyAlignment="1">
      <alignment horizontal="left" vertical="center"/>
    </xf>
    <xf numFmtId="0" fontId="74" fillId="29" borderId="7" xfId="0" applyFont="1" applyFill="1" applyBorder="1" applyAlignment="1">
      <alignment horizontal="center" vertical="center"/>
    </xf>
    <xf numFmtId="0" fontId="74" fillId="29" borderId="7" xfId="0" applyFont="1" applyFill="1" applyBorder="1" applyAlignment="1">
      <alignment horizontal="center"/>
    </xf>
    <xf numFmtId="0" fontId="74" fillId="2" borderId="7" xfId="0" applyFont="1" applyFill="1" applyBorder="1" applyAlignment="1">
      <alignment horizontal="center"/>
    </xf>
    <xf numFmtId="0" fontId="76" fillId="0" borderId="13" xfId="0" applyFont="1" applyBorder="1" applyAlignment="1">
      <alignment horizontal="center" vertical="top" wrapText="1"/>
    </xf>
    <xf numFmtId="0" fontId="76" fillId="0" borderId="16" xfId="0" applyFont="1" applyBorder="1" applyAlignment="1">
      <alignment horizontal="center"/>
    </xf>
    <xf numFmtId="0" fontId="76" fillId="0" borderId="0" xfId="0" applyFont="1" applyAlignment="1">
      <alignment horizontal="left"/>
    </xf>
    <xf numFmtId="2" fontId="76" fillId="0" borderId="12" xfId="0" applyNumberFormat="1" applyFont="1" applyBorder="1" applyAlignment="1">
      <alignment horizontal="center"/>
    </xf>
    <xf numFmtId="0" fontId="76" fillId="0" borderId="8" xfId="0" applyFont="1" applyBorder="1" applyAlignment="1">
      <alignment horizontal="center"/>
    </xf>
    <xf numFmtId="0" fontId="76" fillId="0" borderId="5" xfId="0" applyFont="1" applyBorder="1" applyAlignment="1">
      <alignment horizontal="center"/>
    </xf>
    <xf numFmtId="0" fontId="74" fillId="0" borderId="67" xfId="0" applyFont="1" applyBorder="1" applyAlignment="1">
      <alignment horizontal="center" vertical="center"/>
    </xf>
    <xf numFmtId="0" fontId="76" fillId="0" borderId="7" xfId="0" applyFont="1" applyBorder="1"/>
    <xf numFmtId="0" fontId="74" fillId="0" borderId="8" xfId="0" applyFont="1" applyBorder="1" applyAlignment="1">
      <alignment horizontal="left"/>
    </xf>
    <xf numFmtId="0" fontId="76" fillId="0" borderId="13" xfId="0" applyFont="1" applyBorder="1" applyAlignment="1">
      <alignment horizontal="left" vertical="center"/>
    </xf>
    <xf numFmtId="0" fontId="74" fillId="0" borderId="16" xfId="0" applyFont="1" applyBorder="1" applyAlignment="1">
      <alignment horizontal="left"/>
    </xf>
    <xf numFmtId="0" fontId="74" fillId="0" borderId="0" xfId="0" applyFont="1" applyAlignment="1">
      <alignment horizontal="left" vertical="center"/>
    </xf>
    <xf numFmtId="0" fontId="74" fillId="0" borderId="16" xfId="0" applyFont="1" applyBorder="1" applyAlignment="1">
      <alignment horizontal="center" vertical="center"/>
    </xf>
    <xf numFmtId="0" fontId="74" fillId="0" borderId="15" xfId="0" applyFont="1" applyBorder="1" applyAlignment="1">
      <alignment horizontal="center" vertical="center"/>
    </xf>
    <xf numFmtId="2" fontId="76" fillId="0" borderId="20" xfId="0" applyNumberFormat="1" applyFont="1" applyBorder="1" applyAlignment="1">
      <alignment horizontal="center" vertical="center"/>
    </xf>
    <xf numFmtId="0" fontId="5" fillId="30" borderId="1" xfId="0" applyFont="1" applyFill="1" applyBorder="1"/>
    <xf numFmtId="0" fontId="76" fillId="22" borderId="3" xfId="0" applyFont="1" applyFill="1" applyBorder="1"/>
    <xf numFmtId="0" fontId="80" fillId="0" borderId="0" xfId="0" applyFont="1" applyAlignment="1">
      <alignment horizontal="right"/>
    </xf>
    <xf numFmtId="0" fontId="4" fillId="0" borderId="0" xfId="0" applyFont="1" applyAlignment="1">
      <alignment horizontal="center" vertical="center"/>
    </xf>
    <xf numFmtId="0" fontId="4" fillId="0" borderId="34" xfId="0" applyFont="1" applyBorder="1"/>
    <xf numFmtId="0" fontId="4" fillId="0" borderId="35" xfId="0" applyFont="1" applyBorder="1"/>
    <xf numFmtId="164" fontId="4" fillId="0" borderId="35" xfId="0" applyNumberFormat="1" applyFont="1" applyBorder="1" applyAlignment="1">
      <alignment horizontal="center"/>
    </xf>
    <xf numFmtId="0" fontId="76" fillId="2" borderId="1" xfId="0" applyFont="1" applyFill="1" applyBorder="1" applyAlignment="1">
      <alignment horizontal="center"/>
    </xf>
    <xf numFmtId="164" fontId="47" fillId="0" borderId="35" xfId="0" applyNumberFormat="1" applyFont="1" applyBorder="1" applyAlignment="1">
      <alignment horizontal="center"/>
    </xf>
    <xf numFmtId="0" fontId="78" fillId="0" borderId="7" xfId="0" applyFont="1" applyBorder="1" applyAlignment="1">
      <alignment horizontal="left" vertical="top" wrapText="1"/>
    </xf>
    <xf numFmtId="0" fontId="74" fillId="0" borderId="73" xfId="0" applyFont="1" applyBorder="1" applyAlignment="1">
      <alignment horizontal="center" vertical="center"/>
    </xf>
    <xf numFmtId="0" fontId="74" fillId="0" borderId="74" xfId="0" applyFont="1" applyBorder="1" applyAlignment="1">
      <alignment horizontal="center" vertical="center"/>
    </xf>
    <xf numFmtId="2" fontId="76" fillId="0" borderId="75" xfId="0" applyNumberFormat="1" applyFont="1" applyBorder="1" applyAlignment="1">
      <alignment horizontal="center" vertical="center"/>
    </xf>
    <xf numFmtId="0" fontId="74" fillId="0" borderId="8" xfId="0" applyFont="1" applyBorder="1" applyAlignment="1">
      <alignment horizontal="left" vertical="top"/>
    </xf>
    <xf numFmtId="0" fontId="74" fillId="0" borderId="5" xfId="0" applyFont="1" applyBorder="1" applyAlignment="1">
      <alignment horizontal="left" vertical="top"/>
    </xf>
    <xf numFmtId="0" fontId="76" fillId="0" borderId="76" xfId="0" applyFont="1" applyBorder="1" applyAlignment="1">
      <alignment horizontal="center"/>
    </xf>
    <xf numFmtId="0" fontId="76" fillId="0" borderId="51" xfId="0" applyFont="1" applyBorder="1" applyAlignment="1">
      <alignment horizontal="center"/>
    </xf>
    <xf numFmtId="2" fontId="76" fillId="0" borderId="68" xfId="0" applyNumberFormat="1" applyFont="1" applyBorder="1" applyAlignment="1">
      <alignment horizontal="center"/>
    </xf>
    <xf numFmtId="2" fontId="74" fillId="0" borderId="77" xfId="0" applyNumberFormat="1" applyFont="1" applyBorder="1" applyAlignment="1">
      <alignment horizontal="center"/>
    </xf>
    <xf numFmtId="0" fontId="98" fillId="0" borderId="7" xfId="0" applyFont="1" applyBorder="1" applyAlignment="1">
      <alignment horizontal="center" vertical="top" wrapText="1"/>
    </xf>
    <xf numFmtId="1" fontId="4" fillId="0" borderId="57" xfId="0" applyNumberFormat="1" applyFont="1" applyBorder="1"/>
    <xf numFmtId="0" fontId="74" fillId="0" borderId="60" xfId="0" applyFont="1" applyBorder="1" applyAlignment="1">
      <alignment horizontal="center" vertical="center"/>
    </xf>
    <xf numFmtId="0" fontId="4" fillId="0" borderId="13" xfId="0" applyFont="1" applyBorder="1" applyAlignment="1">
      <alignment wrapText="1"/>
    </xf>
    <xf numFmtId="0" fontId="74" fillId="0" borderId="0" xfId="0" applyFont="1" applyAlignment="1">
      <alignment horizontal="left"/>
    </xf>
    <xf numFmtId="0" fontId="76" fillId="0" borderId="9" xfId="0" applyFont="1" applyBorder="1" applyAlignment="1">
      <alignment horizontal="center"/>
    </xf>
    <xf numFmtId="0" fontId="74" fillId="0" borderId="10" xfId="0" applyFont="1" applyBorder="1" applyAlignment="1">
      <alignment horizontal="left" vertical="center"/>
    </xf>
    <xf numFmtId="2" fontId="76" fillId="0" borderId="10" xfId="0" applyNumberFormat="1" applyFont="1" applyBorder="1" applyAlignment="1">
      <alignment horizontal="center"/>
    </xf>
    <xf numFmtId="0" fontId="102" fillId="0" borderId="26" xfId="0" applyFont="1" applyBorder="1" applyAlignment="1">
      <alignment horizontal="center" vertical="center"/>
    </xf>
    <xf numFmtId="0" fontId="102" fillId="0" borderId="21" xfId="0" applyFont="1" applyBorder="1" applyAlignment="1">
      <alignment horizontal="center" vertical="center"/>
    </xf>
    <xf numFmtId="0" fontId="102" fillId="0" borderId="16" xfId="0" applyFont="1" applyBorder="1" applyAlignment="1">
      <alignment horizontal="center" vertical="center"/>
    </xf>
    <xf numFmtId="0" fontId="102" fillId="0" borderId="19" xfId="0" applyFont="1" applyBorder="1" applyAlignment="1">
      <alignment horizontal="center" vertical="center"/>
    </xf>
    <xf numFmtId="0" fontId="102" fillId="0" borderId="29" xfId="0" applyFont="1" applyBorder="1" applyAlignment="1">
      <alignment horizontal="center" vertical="center"/>
    </xf>
    <xf numFmtId="0" fontId="102" fillId="0" borderId="59" xfId="0" applyFont="1" applyBorder="1" applyAlignment="1">
      <alignment horizontal="center" vertical="center"/>
    </xf>
    <xf numFmtId="0" fontId="74" fillId="0" borderId="5" xfId="0" applyFont="1" applyBorder="1" applyAlignment="1">
      <alignment horizontal="left"/>
    </xf>
    <xf numFmtId="0" fontId="4" fillId="0" borderId="0" xfId="0" applyFont="1" applyAlignment="1">
      <alignment horizontal="center" textRotation="45"/>
    </xf>
    <xf numFmtId="0" fontId="78" fillId="0" borderId="7" xfId="0" applyFont="1" applyBorder="1" applyAlignment="1">
      <alignment horizontal="left"/>
    </xf>
    <xf numFmtId="0" fontId="74" fillId="0" borderId="15" xfId="0" applyFont="1" applyBorder="1" applyAlignment="1">
      <alignment horizontal="left"/>
    </xf>
    <xf numFmtId="0" fontId="8" fillId="0" borderId="7" xfId="0" applyFont="1" applyBorder="1" applyAlignment="1">
      <alignment horizontal="left" wrapText="1"/>
    </xf>
    <xf numFmtId="2" fontId="74" fillId="0" borderId="20" xfId="0" applyNumberFormat="1" applyFont="1" applyBorder="1" applyAlignment="1">
      <alignment horizontal="center" vertical="center"/>
    </xf>
    <xf numFmtId="0" fontId="39" fillId="0" borderId="0" xfId="0" applyFont="1"/>
    <xf numFmtId="0" fontId="76" fillId="0" borderId="15" xfId="0" applyFont="1" applyBorder="1" applyAlignment="1">
      <alignment horizontal="left"/>
    </xf>
    <xf numFmtId="0" fontId="103" fillId="0" borderId="0" xfId="0" applyFont="1"/>
    <xf numFmtId="0" fontId="79" fillId="0" borderId="60" xfId="0" applyFont="1" applyBorder="1" applyAlignment="1">
      <alignment horizontal="center" vertical="top" wrapText="1"/>
    </xf>
    <xf numFmtId="0" fontId="79" fillId="0" borderId="7" xfId="0" applyFont="1" applyBorder="1"/>
    <xf numFmtId="0" fontId="79" fillId="0" borderId="7" xfId="0" applyFont="1" applyBorder="1" applyAlignment="1">
      <alignment horizontal="center"/>
    </xf>
    <xf numFmtId="0" fontId="79" fillId="0" borderId="7" xfId="0" applyFont="1" applyBorder="1" applyAlignment="1">
      <alignment horizontal="left"/>
    </xf>
    <xf numFmtId="2" fontId="79" fillId="0" borderId="61" xfId="0" applyNumberFormat="1" applyFont="1" applyBorder="1" applyAlignment="1">
      <alignment horizontal="center"/>
    </xf>
    <xf numFmtId="0" fontId="4" fillId="0" borderId="31" xfId="0" applyFont="1" applyBorder="1" applyAlignment="1">
      <alignment horizontal="left"/>
    </xf>
    <xf numFmtId="0" fontId="4" fillId="0" borderId="33" xfId="0" applyFont="1" applyBorder="1" applyAlignment="1">
      <alignment horizontal="center"/>
    </xf>
    <xf numFmtId="164" fontId="39" fillId="0" borderId="51" xfId="0" applyNumberFormat="1" applyFont="1" applyBorder="1" applyAlignment="1">
      <alignment horizontal="center"/>
    </xf>
    <xf numFmtId="0" fontId="39" fillId="15" borderId="63" xfId="0" applyFont="1" applyFill="1" applyBorder="1" applyAlignment="1">
      <alignment horizontal="center" vertical="center" wrapText="1"/>
    </xf>
    <xf numFmtId="0" fontId="36" fillId="14" borderId="1" xfId="0" applyFont="1" applyFill="1" applyBorder="1"/>
    <xf numFmtId="0" fontId="74" fillId="0" borderId="0" xfId="0" applyFont="1" applyAlignment="1">
      <alignment textRotation="45"/>
    </xf>
    <xf numFmtId="0" fontId="76" fillId="0" borderId="8" xfId="0" applyFont="1" applyBorder="1"/>
    <xf numFmtId="0" fontId="76" fillId="0" borderId="5" xfId="0" applyFont="1" applyBorder="1"/>
    <xf numFmtId="0" fontId="104" fillId="0" borderId="16" xfId="0" applyFont="1" applyBorder="1" applyAlignment="1">
      <alignment horizontal="left" vertical="top" textRotation="45" wrapText="1"/>
    </xf>
    <xf numFmtId="0" fontId="74" fillId="0" borderId="0" xfId="0" applyFont="1" applyAlignment="1">
      <alignment textRotation="255"/>
    </xf>
    <xf numFmtId="0" fontId="74" fillId="0" borderId="15" xfId="0" applyFont="1" applyBorder="1" applyAlignment="1">
      <alignment horizontal="center" textRotation="255"/>
    </xf>
    <xf numFmtId="0" fontId="74" fillId="0" borderId="0" xfId="0" applyFont="1" applyAlignment="1">
      <alignment horizontal="center" textRotation="255"/>
    </xf>
    <xf numFmtId="2" fontId="74" fillId="0" borderId="20" xfId="0" applyNumberFormat="1" applyFont="1" applyBorder="1" applyAlignment="1">
      <alignment horizontal="center" textRotation="255"/>
    </xf>
    <xf numFmtId="0" fontId="74" fillId="2" borderId="60" xfId="0" applyFont="1" applyFill="1" applyBorder="1" applyAlignment="1">
      <alignment horizontal="center" vertical="top" wrapText="1"/>
    </xf>
    <xf numFmtId="0" fontId="74" fillId="2" borderId="7" xfId="0" applyFont="1" applyFill="1" applyBorder="1" applyAlignment="1">
      <alignment horizontal="left" vertical="top" wrapText="1"/>
    </xf>
    <xf numFmtId="0" fontId="74" fillId="2" borderId="7" xfId="0" applyFont="1" applyFill="1" applyBorder="1"/>
    <xf numFmtId="2" fontId="74" fillId="2" borderId="61" xfId="0" applyNumberFormat="1" applyFont="1" applyFill="1" applyBorder="1" applyAlignment="1">
      <alignment horizontal="center" vertical="center"/>
    </xf>
    <xf numFmtId="0" fontId="78" fillId="0" borderId="8" xfId="0" applyFont="1" applyBorder="1" applyAlignment="1">
      <alignment horizontal="left" vertical="top" wrapText="1"/>
    </xf>
    <xf numFmtId="0" fontId="74" fillId="0" borderId="5" xfId="0" applyFont="1" applyBorder="1"/>
    <xf numFmtId="0" fontId="74" fillId="0" borderId="8" xfId="0" applyFont="1" applyBorder="1"/>
    <xf numFmtId="0" fontId="74" fillId="2" borderId="60" xfId="0" applyFont="1" applyFill="1" applyBorder="1" applyAlignment="1">
      <alignment horizontal="center" vertical="center"/>
    </xf>
    <xf numFmtId="0" fontId="78" fillId="2" borderId="7" xfId="0" applyFont="1" applyFill="1" applyBorder="1" applyAlignment="1">
      <alignment horizontal="left" vertical="top" wrapText="1"/>
    </xf>
    <xf numFmtId="0" fontId="79" fillId="2" borderId="7" xfId="0" applyFont="1" applyFill="1" applyBorder="1" applyAlignment="1">
      <alignment wrapText="1"/>
    </xf>
    <xf numFmtId="0" fontId="76" fillId="2" borderId="7" xfId="0" applyFont="1" applyFill="1" applyBorder="1" applyAlignment="1">
      <alignment horizontal="left"/>
    </xf>
    <xf numFmtId="2" fontId="74" fillId="2" borderId="61" xfId="0" applyNumberFormat="1" applyFont="1" applyFill="1" applyBorder="1" applyAlignment="1">
      <alignment horizontal="center"/>
    </xf>
    <xf numFmtId="0" fontId="76" fillId="2" borderId="7" xfId="0" applyFont="1" applyFill="1" applyBorder="1" applyAlignment="1">
      <alignment horizontal="center"/>
    </xf>
    <xf numFmtId="0" fontId="98" fillId="0" borderId="8" xfId="0" applyFont="1" applyBorder="1" applyAlignment="1">
      <alignment horizontal="center" vertical="top" wrapText="1"/>
    </xf>
    <xf numFmtId="0" fontId="98" fillId="0" borderId="5" xfId="0" applyFont="1" applyBorder="1" applyAlignment="1">
      <alignment horizontal="center" vertical="top" wrapText="1"/>
    </xf>
    <xf numFmtId="0" fontId="13" fillId="0" borderId="15" xfId="0" applyFont="1" applyBorder="1" applyAlignment="1">
      <alignment horizontal="left"/>
    </xf>
    <xf numFmtId="0" fontId="5" fillId="0" borderId="15" xfId="0" applyFont="1" applyBorder="1" applyAlignment="1">
      <alignment horizontal="left"/>
    </xf>
    <xf numFmtId="0" fontId="105" fillId="0" borderId="15" xfId="0" applyFont="1" applyBorder="1" applyAlignment="1">
      <alignment horizontal="center"/>
    </xf>
    <xf numFmtId="0" fontId="74" fillId="0" borderId="16" xfId="0" applyFont="1" applyBorder="1" applyAlignment="1">
      <alignment horizontal="left" vertical="center"/>
    </xf>
    <xf numFmtId="0" fontId="74" fillId="0" borderId="13" xfId="0" applyFont="1" applyBorder="1" applyAlignment="1">
      <alignment horizontal="center" vertical="center" wrapText="1"/>
    </xf>
    <xf numFmtId="0" fontId="74" fillId="0" borderId="16" xfId="0" applyFont="1" applyBorder="1" applyAlignment="1">
      <alignment horizontal="center" vertical="center" wrapText="1"/>
    </xf>
    <xf numFmtId="0" fontId="76" fillId="0" borderId="16" xfId="0" applyFont="1" applyBorder="1" applyAlignment="1">
      <alignment horizontal="center" wrapText="1"/>
    </xf>
    <xf numFmtId="0" fontId="76" fillId="0" borderId="57" xfId="0" applyFont="1" applyBorder="1" applyAlignment="1">
      <alignment horizontal="center" wrapText="1"/>
    </xf>
    <xf numFmtId="0" fontId="74" fillId="0" borderId="16" xfId="0" applyFont="1" applyBorder="1" applyAlignment="1">
      <alignment horizontal="left" vertical="center" wrapText="1"/>
    </xf>
    <xf numFmtId="0" fontId="74" fillId="0" borderId="16" xfId="0" applyFont="1" applyBorder="1" applyAlignment="1">
      <alignment horizontal="center" wrapText="1"/>
    </xf>
    <xf numFmtId="0" fontId="106" fillId="0" borderId="0" xfId="0" applyFont="1"/>
    <xf numFmtId="0" fontId="106" fillId="0" borderId="0" xfId="0" applyFont="1" applyAlignment="1">
      <alignment horizontal="center"/>
    </xf>
    <xf numFmtId="2" fontId="106" fillId="0" borderId="0" xfId="0" applyNumberFormat="1" applyFont="1" applyAlignment="1">
      <alignment horizontal="center"/>
    </xf>
    <xf numFmtId="0" fontId="107" fillId="0" borderId="9" xfId="0" applyFont="1" applyBorder="1" applyAlignment="1">
      <alignment horizontal="left" vertical="center"/>
    </xf>
    <xf numFmtId="0" fontId="107" fillId="0" borderId="10" xfId="0" applyFont="1" applyBorder="1" applyAlignment="1">
      <alignment horizontal="center" vertical="center"/>
    </xf>
    <xf numFmtId="0" fontId="107" fillId="0" borderId="10" xfId="0" applyFont="1" applyBorder="1" applyAlignment="1">
      <alignment horizontal="center"/>
    </xf>
    <xf numFmtId="0" fontId="107" fillId="0" borderId="10" xfId="0" applyFont="1" applyBorder="1" applyAlignment="1">
      <alignment horizontal="left"/>
    </xf>
    <xf numFmtId="0" fontId="107" fillId="0" borderId="11" xfId="0" applyFont="1" applyBorder="1" applyAlignment="1">
      <alignment horizontal="left" vertical="center"/>
    </xf>
    <xf numFmtId="0" fontId="107" fillId="0" borderId="9" xfId="0" applyFont="1" applyBorder="1" applyAlignment="1">
      <alignment horizontal="center" vertical="center"/>
    </xf>
    <xf numFmtId="2" fontId="107" fillId="0" borderId="12" xfId="0" applyNumberFormat="1" applyFont="1" applyBorder="1" applyAlignment="1">
      <alignment horizontal="center" vertical="center"/>
    </xf>
    <xf numFmtId="0" fontId="107" fillId="0" borderId="13" xfId="0" applyFont="1" applyBorder="1"/>
    <xf numFmtId="0" fontId="107" fillId="0" borderId="14" xfId="0" applyFont="1" applyBorder="1" applyAlignment="1">
      <alignment horizontal="center"/>
    </xf>
    <xf numFmtId="0" fontId="107" fillId="0" borderId="0" xfId="0" applyFont="1"/>
    <xf numFmtId="0" fontId="107" fillId="0" borderId="15" xfId="0" applyFont="1" applyBorder="1" applyAlignment="1">
      <alignment horizontal="center"/>
    </xf>
    <xf numFmtId="0" fontId="108" fillId="0" borderId="16" xfId="0" applyFont="1" applyBorder="1" applyAlignment="1">
      <alignment horizontal="left"/>
    </xf>
    <xf numFmtId="0" fontId="107" fillId="0" borderId="17" xfId="0" applyFont="1" applyBorder="1" applyAlignment="1">
      <alignment horizontal="center"/>
    </xf>
    <xf numFmtId="2" fontId="106" fillId="0" borderId="18" xfId="0" applyNumberFormat="1" applyFont="1" applyBorder="1" applyAlignment="1">
      <alignment horizontal="center"/>
    </xf>
    <xf numFmtId="0" fontId="74" fillId="0" borderId="13" xfId="0" applyFont="1" applyBorder="1" applyAlignment="1">
      <alignment horizontal="center" vertical="center"/>
    </xf>
    <xf numFmtId="0" fontId="76" fillId="0" borderId="16" xfId="0" applyFont="1" applyBorder="1" applyAlignment="1">
      <alignment horizontal="center" vertical="center"/>
    </xf>
    <xf numFmtId="0" fontId="31" fillId="0" borderId="0" xfId="0" applyFont="1"/>
    <xf numFmtId="0" fontId="109" fillId="0" borderId="13" xfId="0" applyFont="1" applyBorder="1" applyAlignment="1">
      <alignment horizontal="center" vertical="top" wrapText="1"/>
    </xf>
    <xf numFmtId="0" fontId="109" fillId="2" borderId="64" xfId="0" applyFont="1" applyFill="1" applyBorder="1" applyAlignment="1">
      <alignment horizontal="right" wrapText="1"/>
    </xf>
    <xf numFmtId="0" fontId="107" fillId="2" borderId="1" xfId="0" applyFont="1" applyFill="1" applyBorder="1"/>
    <xf numFmtId="0" fontId="107" fillId="2" borderId="81" xfId="0" applyFont="1" applyFill="1" applyBorder="1" applyAlignment="1">
      <alignment horizontal="center"/>
    </xf>
    <xf numFmtId="0" fontId="107" fillId="2" borderId="1" xfId="0" applyFont="1" applyFill="1" applyBorder="1" applyAlignment="1">
      <alignment horizontal="center"/>
    </xf>
    <xf numFmtId="2" fontId="107" fillId="2" borderId="82" xfId="0" applyNumberFormat="1" applyFont="1" applyFill="1" applyBorder="1" applyAlignment="1">
      <alignment horizontal="center"/>
    </xf>
    <xf numFmtId="0" fontId="110" fillId="0" borderId="13" xfId="0" applyFont="1" applyBorder="1" applyAlignment="1">
      <alignment horizontal="center" vertical="top" wrapText="1"/>
    </xf>
    <xf numFmtId="0" fontId="111" fillId="0" borderId="16" xfId="0" applyFont="1" applyBorder="1" applyAlignment="1">
      <alignment horizontal="left" vertical="top" wrapText="1"/>
    </xf>
    <xf numFmtId="0" fontId="106" fillId="0" borderId="15" xfId="0" applyFont="1" applyBorder="1" applyAlignment="1">
      <alignment horizontal="center"/>
    </xf>
    <xf numFmtId="2" fontId="106" fillId="0" borderId="20" xfId="0" applyNumberFormat="1" applyFont="1" applyBorder="1" applyAlignment="1">
      <alignment horizontal="center"/>
    </xf>
    <xf numFmtId="0" fontId="107" fillId="0" borderId="13" xfId="0" applyFont="1" applyBorder="1" applyAlignment="1">
      <alignment horizontal="center"/>
    </xf>
    <xf numFmtId="0" fontId="106" fillId="0" borderId="16" xfId="0" applyFont="1" applyBorder="1" applyAlignment="1">
      <alignment horizontal="center"/>
    </xf>
    <xf numFmtId="0" fontId="106" fillId="0" borderId="27" xfId="0" applyFont="1" applyBorder="1" applyAlignment="1">
      <alignment horizontal="center"/>
    </xf>
    <xf numFmtId="0" fontId="107" fillId="0" borderId="28" xfId="0" applyFont="1" applyBorder="1"/>
    <xf numFmtId="0" fontId="107" fillId="0" borderId="29" xfId="0" applyFont="1" applyBorder="1"/>
    <xf numFmtId="0" fontId="107" fillId="0" borderId="30" xfId="0" applyFont="1" applyBorder="1" applyAlignment="1">
      <alignment horizontal="right" vertical="center"/>
    </xf>
    <xf numFmtId="0" fontId="107" fillId="0" borderId="31" xfId="0" applyFont="1" applyBorder="1" applyAlignment="1">
      <alignment horizontal="center"/>
    </xf>
    <xf numFmtId="0" fontId="107" fillId="0" borderId="12" xfId="0" applyFont="1" applyBorder="1" applyAlignment="1">
      <alignment horizontal="center"/>
    </xf>
    <xf numFmtId="2" fontId="107" fillId="0" borderId="33" xfId="0" applyNumberFormat="1" applyFont="1" applyBorder="1" applyAlignment="1">
      <alignment horizontal="center"/>
    </xf>
    <xf numFmtId="2" fontId="106" fillId="0" borderId="12" xfId="0" applyNumberFormat="1" applyFont="1" applyBorder="1" applyAlignment="1">
      <alignment horizontal="center"/>
    </xf>
    <xf numFmtId="0" fontId="106" fillId="0" borderId="34" xfId="0" applyFont="1" applyBorder="1"/>
    <xf numFmtId="0" fontId="106" fillId="0" borderId="35" xfId="0" applyFont="1" applyBorder="1"/>
    <xf numFmtId="0" fontId="106" fillId="0" borderId="35" xfId="0" applyFont="1" applyBorder="1" applyAlignment="1">
      <alignment horizontal="center"/>
    </xf>
    <xf numFmtId="0" fontId="106" fillId="0" borderId="36" xfId="0" applyFont="1" applyBorder="1"/>
    <xf numFmtId="2" fontId="106" fillId="0" borderId="35" xfId="0" applyNumberFormat="1" applyFont="1" applyBorder="1"/>
    <xf numFmtId="2" fontId="106" fillId="0" borderId="37" xfId="0" applyNumberFormat="1" applyFont="1" applyBorder="1" applyAlignment="1">
      <alignment horizontal="center"/>
    </xf>
    <xf numFmtId="0" fontId="112" fillId="0" borderId="0" xfId="0" applyFont="1" applyAlignment="1">
      <alignment horizontal="center"/>
    </xf>
    <xf numFmtId="0" fontId="113" fillId="0" borderId="0" xfId="0" applyFont="1"/>
    <xf numFmtId="0" fontId="114" fillId="0" borderId="0" xfId="0" applyFont="1" applyAlignment="1">
      <alignment horizontal="center"/>
    </xf>
    <xf numFmtId="0" fontId="114" fillId="0" borderId="0" xfId="0" applyFont="1"/>
    <xf numFmtId="0" fontId="105" fillId="0" borderId="0" xfId="0" applyFont="1" applyAlignment="1">
      <alignment horizontal="center"/>
    </xf>
    <xf numFmtId="0" fontId="105" fillId="0" borderId="0" xfId="0" applyFont="1"/>
    <xf numFmtId="0" fontId="110" fillId="0" borderId="16" xfId="0" applyFont="1" applyBorder="1" applyAlignment="1">
      <alignment horizontal="left" vertical="top" wrapText="1"/>
    </xf>
    <xf numFmtId="0" fontId="98" fillId="0" borderId="16" xfId="0" applyFont="1" applyBorder="1" applyAlignment="1">
      <alignment horizontal="center" vertical="center" wrapText="1"/>
    </xf>
    <xf numFmtId="0" fontId="98" fillId="0" borderId="19" xfId="0" applyFont="1" applyBorder="1" applyAlignment="1">
      <alignment horizontal="center" vertical="center" wrapText="1"/>
    </xf>
    <xf numFmtId="0" fontId="74" fillId="0" borderId="0" xfId="0" applyFont="1" applyAlignment="1">
      <alignment vertical="top"/>
    </xf>
    <xf numFmtId="0" fontId="36" fillId="14" borderId="83" xfId="0" applyFont="1" applyFill="1" applyBorder="1"/>
    <xf numFmtId="0" fontId="74" fillId="0" borderId="0" xfId="0" applyFont="1" applyAlignment="1">
      <alignment horizontal="left" vertical="top" wrapText="1"/>
    </xf>
    <xf numFmtId="0" fontId="44" fillId="0" borderId="35" xfId="0" applyFont="1" applyBorder="1" applyAlignment="1">
      <alignment wrapText="1"/>
    </xf>
    <xf numFmtId="1" fontId="4" fillId="0" borderId="51" xfId="0" applyNumberFormat="1" applyFont="1" applyBorder="1"/>
    <xf numFmtId="0" fontId="98" fillId="0" borderId="60" xfId="0" applyFont="1" applyBorder="1" applyAlignment="1">
      <alignment horizontal="center" vertical="top" wrapText="1"/>
    </xf>
    <xf numFmtId="0" fontId="4" fillId="0" borderId="34" xfId="0" applyFont="1" applyBorder="1" applyAlignment="1">
      <alignment horizontal="left"/>
    </xf>
    <xf numFmtId="0" fontId="4" fillId="0" borderId="35" xfId="0" applyFont="1" applyBorder="1" applyAlignment="1">
      <alignment horizontal="center"/>
    </xf>
    <xf numFmtId="0" fontId="107" fillId="0" borderId="0" xfId="0" applyFont="1" applyAlignment="1">
      <alignment horizontal="center"/>
    </xf>
    <xf numFmtId="0" fontId="107" fillId="0" borderId="0" xfId="0" applyFont="1" applyAlignment="1">
      <alignment horizontal="right"/>
    </xf>
    <xf numFmtId="165" fontId="106" fillId="0" borderId="0" xfId="0" applyNumberFormat="1" applyFont="1"/>
    <xf numFmtId="165" fontId="106" fillId="0" borderId="0" xfId="0" applyNumberFormat="1" applyFont="1" applyAlignment="1">
      <alignment horizontal="center"/>
    </xf>
    <xf numFmtId="0" fontId="109" fillId="0" borderId="16" xfId="0" applyFont="1" applyBorder="1" applyAlignment="1">
      <alignment horizontal="center" vertical="top" wrapText="1"/>
    </xf>
    <xf numFmtId="0" fontId="109" fillId="0" borderId="19" xfId="0" applyFont="1" applyBorder="1" applyAlignment="1">
      <alignment horizontal="center" vertical="top" wrapText="1"/>
    </xf>
    <xf numFmtId="0" fontId="109" fillId="0" borderId="16" xfId="0" applyFont="1" applyBorder="1" applyAlignment="1">
      <alignment horizontal="left" vertical="top" wrapText="1"/>
    </xf>
    <xf numFmtId="0" fontId="106" fillId="22" borderId="64" xfId="0" applyFont="1" applyFill="1" applyBorder="1" applyAlignment="1">
      <alignment horizontal="left" vertical="top" wrapText="1"/>
    </xf>
    <xf numFmtId="0" fontId="106" fillId="18" borderId="81" xfId="0" applyFont="1" applyFill="1" applyBorder="1" applyAlignment="1">
      <alignment horizontal="center"/>
    </xf>
    <xf numFmtId="0" fontId="106" fillId="18" borderId="1" xfId="0" applyFont="1" applyFill="1" applyBorder="1" applyAlignment="1">
      <alignment horizontal="center"/>
    </xf>
    <xf numFmtId="0" fontId="107" fillId="22" borderId="64" xfId="0" applyFont="1" applyFill="1" applyBorder="1" applyAlignment="1">
      <alignment horizontal="left" vertical="top" wrapText="1"/>
    </xf>
    <xf numFmtId="2" fontId="107" fillId="0" borderId="20" xfId="0" applyNumberFormat="1" applyFont="1" applyBorder="1" applyAlignment="1">
      <alignment horizontal="center"/>
    </xf>
    <xf numFmtId="0" fontId="106" fillId="0" borderId="13" xfId="0" applyFont="1" applyBorder="1" applyAlignment="1">
      <alignment horizontal="center"/>
    </xf>
    <xf numFmtId="0" fontId="107" fillId="0" borderId="84" xfId="0" applyFont="1" applyBorder="1" applyAlignment="1">
      <alignment horizontal="right" vertical="center"/>
    </xf>
    <xf numFmtId="0" fontId="107" fillId="0" borderId="0" xfId="0" applyFont="1" applyAlignment="1">
      <alignment horizontal="right" vertical="center"/>
    </xf>
    <xf numFmtId="2" fontId="107" fillId="0" borderId="0" xfId="0" applyNumberFormat="1" applyFont="1" applyAlignment="1">
      <alignment horizontal="center"/>
    </xf>
    <xf numFmtId="2" fontId="106" fillId="0" borderId="57" xfId="0" applyNumberFormat="1" applyFont="1" applyBorder="1" applyAlignment="1">
      <alignment horizontal="center"/>
    </xf>
    <xf numFmtId="0" fontId="107" fillId="0" borderId="0" xfId="0" applyFont="1" applyAlignment="1">
      <alignment horizontal="left" vertical="center"/>
    </xf>
    <xf numFmtId="0" fontId="107" fillId="0" borderId="35" xfId="0" applyFont="1" applyBorder="1" applyAlignment="1">
      <alignment horizontal="center"/>
    </xf>
    <xf numFmtId="2" fontId="107" fillId="0" borderId="35" xfId="0" applyNumberFormat="1" applyFont="1" applyBorder="1" applyAlignment="1">
      <alignment horizontal="center"/>
    </xf>
    <xf numFmtId="2" fontId="106" fillId="0" borderId="51" xfId="0" applyNumberFormat="1" applyFont="1" applyBorder="1" applyAlignment="1">
      <alignment horizontal="center"/>
    </xf>
    <xf numFmtId="0" fontId="113" fillId="0" borderId="0" xfId="0" applyFont="1" applyAlignment="1">
      <alignment horizontal="center"/>
    </xf>
    <xf numFmtId="0" fontId="33" fillId="0" borderId="0" xfId="0" applyFont="1"/>
    <xf numFmtId="0" fontId="78" fillId="0" borderId="8" xfId="0" applyFont="1" applyBorder="1" applyAlignment="1">
      <alignment vertical="top" wrapText="1"/>
    </xf>
    <xf numFmtId="0" fontId="78" fillId="0" borderId="5" xfId="0" applyFont="1" applyBorder="1" applyAlignment="1">
      <alignment vertical="top" wrapText="1"/>
    </xf>
    <xf numFmtId="0" fontId="94" fillId="0" borderId="60" xfId="0" applyFont="1" applyBorder="1" applyAlignment="1">
      <alignment horizontal="center" vertical="top" wrapText="1"/>
    </xf>
    <xf numFmtId="0" fontId="73" fillId="0" borderId="7" xfId="0" applyFont="1" applyBorder="1" applyAlignment="1">
      <alignment horizontal="center"/>
    </xf>
    <xf numFmtId="2" fontId="73" fillId="0" borderId="61" xfId="0" applyNumberFormat="1" applyFont="1" applyBorder="1" applyAlignment="1">
      <alignment horizontal="center"/>
    </xf>
    <xf numFmtId="0" fontId="94" fillId="0" borderId="7" xfId="0" applyFont="1" applyBorder="1" applyAlignment="1">
      <alignment horizontal="left" vertical="top" wrapText="1"/>
    </xf>
    <xf numFmtId="0" fontId="73" fillId="0" borderId="7" xfId="0" applyFont="1" applyBorder="1"/>
    <xf numFmtId="0" fontId="74" fillId="0" borderId="0" xfId="0" applyFont="1" applyAlignment="1">
      <alignment vertical="center"/>
    </xf>
    <xf numFmtId="0" fontId="76" fillId="31" borderId="85" xfId="0" applyFont="1" applyFill="1" applyBorder="1" applyAlignment="1">
      <alignment horizontal="center" vertical="top" wrapText="1"/>
    </xf>
    <xf numFmtId="0" fontId="76" fillId="31" borderId="64" xfId="0" applyFont="1" applyFill="1" applyBorder="1" applyAlignment="1">
      <alignment horizontal="left" vertical="center" wrapText="1"/>
    </xf>
    <xf numFmtId="0" fontId="76" fillId="31" borderId="1" xfId="0" applyFont="1" applyFill="1" applyBorder="1" applyAlignment="1">
      <alignment horizontal="left" vertical="center"/>
    </xf>
    <xf numFmtId="0" fontId="76" fillId="31" borderId="64" xfId="0" applyFont="1" applyFill="1" applyBorder="1" applyAlignment="1">
      <alignment horizontal="center"/>
    </xf>
    <xf numFmtId="2" fontId="76" fillId="31" borderId="82" xfId="0" applyNumberFormat="1" applyFont="1" applyFill="1" applyBorder="1" applyAlignment="1">
      <alignment horizontal="center"/>
    </xf>
    <xf numFmtId="0" fontId="74" fillId="0" borderId="76" xfId="0" applyFont="1" applyBorder="1" applyAlignment="1">
      <alignment horizontal="center"/>
    </xf>
    <xf numFmtId="0" fontId="76" fillId="2" borderId="1" xfId="0" applyFont="1" applyFill="1" applyBorder="1" applyAlignment="1">
      <alignment horizontal="left" vertical="center"/>
    </xf>
    <xf numFmtId="0" fontId="76" fillId="2" borderId="83" xfId="0" applyFont="1" applyFill="1" applyBorder="1" applyAlignment="1">
      <alignment horizontal="center"/>
    </xf>
    <xf numFmtId="2" fontId="76" fillId="0" borderId="35" xfId="0" applyNumberFormat="1" applyFont="1" applyBorder="1" applyAlignment="1">
      <alignment horizontal="center"/>
    </xf>
    <xf numFmtId="2" fontId="74" fillId="2" borderId="86" xfId="0" applyNumberFormat="1" applyFont="1" applyFill="1" applyBorder="1" applyAlignment="1">
      <alignment horizontal="center"/>
    </xf>
    <xf numFmtId="0" fontId="76" fillId="0" borderId="33" xfId="0" applyFont="1" applyBorder="1" applyAlignment="1">
      <alignment horizontal="center"/>
    </xf>
    <xf numFmtId="0" fontId="78" fillId="0" borderId="19" xfId="0" applyFont="1" applyBorder="1" applyAlignment="1">
      <alignment vertical="top" wrapText="1"/>
    </xf>
    <xf numFmtId="0" fontId="78" fillId="0" borderId="16" xfId="0" applyFont="1" applyBorder="1" applyAlignment="1">
      <alignment vertical="top" wrapText="1"/>
    </xf>
    <xf numFmtId="0" fontId="39" fillId="2" borderId="1" xfId="0" applyFont="1" applyFill="1" applyBorder="1"/>
    <xf numFmtId="0" fontId="76" fillId="2" borderId="60" xfId="0" applyFont="1" applyFill="1" applyBorder="1" applyAlignment="1">
      <alignment horizontal="center" vertical="top" wrapText="1"/>
    </xf>
    <xf numFmtId="2" fontId="76" fillId="2" borderId="61" xfId="0" applyNumberFormat="1" applyFont="1" applyFill="1" applyBorder="1" applyAlignment="1">
      <alignment horizontal="center" vertical="center"/>
    </xf>
    <xf numFmtId="0" fontId="76" fillId="2" borderId="81" xfId="0" applyFont="1" applyFill="1" applyBorder="1" applyAlignment="1">
      <alignment horizontal="left"/>
    </xf>
    <xf numFmtId="2" fontId="74" fillId="2" borderId="82" xfId="0" applyNumberFormat="1" applyFont="1" applyFill="1" applyBorder="1" applyAlignment="1">
      <alignment horizontal="center"/>
    </xf>
    <xf numFmtId="0" fontId="74" fillId="0" borderId="0" xfId="0" applyFont="1" applyAlignment="1">
      <alignment horizontal="left" vertical="center" wrapText="1"/>
    </xf>
    <xf numFmtId="0" fontId="76" fillId="0" borderId="16" xfId="0" applyFont="1" applyBorder="1" applyAlignment="1">
      <alignment horizontal="left"/>
    </xf>
    <xf numFmtId="2" fontId="76" fillId="0" borderId="45" xfId="0" applyNumberFormat="1" applyFont="1" applyBorder="1" applyAlignment="1">
      <alignment horizontal="left"/>
    </xf>
    <xf numFmtId="0" fontId="76" fillId="0" borderId="8" xfId="0" applyFont="1" applyBorder="1" applyAlignment="1">
      <alignment horizontal="center" vertical="center"/>
    </xf>
    <xf numFmtId="0" fontId="76" fillId="0" borderId="5" xfId="0" applyFont="1" applyBorder="1" applyAlignment="1">
      <alignment horizontal="center" vertical="center"/>
    </xf>
    <xf numFmtId="0" fontId="115" fillId="0" borderId="16" xfId="0" applyFont="1" applyBorder="1"/>
    <xf numFmtId="0" fontId="115" fillId="0" borderId="0" xfId="0" applyFont="1"/>
    <xf numFmtId="0" fontId="115" fillId="0" borderId="15" xfId="0" applyFont="1" applyBorder="1" applyAlignment="1">
      <alignment horizontal="center"/>
    </xf>
    <xf numFmtId="0" fontId="78" fillId="0" borderId="19" xfId="0" applyFont="1" applyBorder="1" applyAlignment="1">
      <alignment vertical="top"/>
    </xf>
    <xf numFmtId="0" fontId="74" fillId="2" borderId="81" xfId="0" applyFont="1" applyFill="1" applyBorder="1" applyAlignment="1">
      <alignment horizontal="center"/>
    </xf>
    <xf numFmtId="0" fontId="74" fillId="0" borderId="67" xfId="0" applyFont="1" applyBorder="1" applyAlignment="1">
      <alignment horizontal="center"/>
    </xf>
    <xf numFmtId="2" fontId="74" fillId="0" borderId="71" xfId="0" applyNumberFormat="1" applyFont="1" applyBorder="1" applyAlignment="1">
      <alignment horizontal="center"/>
    </xf>
    <xf numFmtId="0" fontId="74" fillId="2" borderId="1" xfId="0" applyFont="1" applyFill="1" applyBorder="1" applyAlignment="1">
      <alignment horizontal="center" vertical="center"/>
    </xf>
    <xf numFmtId="0" fontId="76" fillId="2" borderId="81" xfId="0" applyFont="1" applyFill="1" applyBorder="1" applyAlignment="1">
      <alignment horizontal="center"/>
    </xf>
    <xf numFmtId="0" fontId="78" fillId="0" borderId="7" xfId="0" applyFont="1" applyBorder="1" applyAlignment="1">
      <alignment horizontal="left" vertical="top"/>
    </xf>
    <xf numFmtId="0" fontId="78" fillId="0" borderId="7" xfId="0" applyFont="1" applyBorder="1" applyAlignment="1">
      <alignment vertical="top"/>
    </xf>
    <xf numFmtId="0" fontId="76" fillId="2" borderId="64" xfId="0" applyFont="1" applyFill="1" applyBorder="1" applyAlignment="1">
      <alignment horizontal="left"/>
    </xf>
    <xf numFmtId="165" fontId="76" fillId="0" borderId="0" xfId="0" applyNumberFormat="1" applyFont="1"/>
    <xf numFmtId="0" fontId="76" fillId="2" borderId="64" xfId="0" applyFont="1" applyFill="1" applyBorder="1" applyAlignment="1">
      <alignment horizontal="center"/>
    </xf>
    <xf numFmtId="2" fontId="76" fillId="2" borderId="82" xfId="0" applyNumberFormat="1" applyFont="1" applyFill="1" applyBorder="1" applyAlignment="1">
      <alignment horizontal="center"/>
    </xf>
    <xf numFmtId="0" fontId="76" fillId="2" borderId="64" xfId="0" applyFont="1" applyFill="1" applyBorder="1" applyAlignment="1">
      <alignment horizontal="left" vertical="center" wrapText="1"/>
    </xf>
    <xf numFmtId="0" fontId="76" fillId="2" borderId="1" xfId="0" applyFont="1" applyFill="1" applyBorder="1" applyAlignment="1">
      <alignment horizontal="left" vertical="center" wrapText="1"/>
    </xf>
    <xf numFmtId="0" fontId="76" fillId="2" borderId="65" xfId="0" applyFont="1" applyFill="1" applyBorder="1" applyAlignment="1">
      <alignment horizontal="left" vertical="center" wrapText="1"/>
    </xf>
    <xf numFmtId="0" fontId="74" fillId="0" borderId="61" xfId="0" applyFont="1" applyBorder="1" applyAlignment="1">
      <alignment horizontal="center"/>
    </xf>
    <xf numFmtId="0" fontId="74" fillId="0" borderId="8" xfId="0" applyFont="1" applyBorder="1" applyAlignment="1">
      <alignment horizontal="center"/>
    </xf>
    <xf numFmtId="0" fontId="74" fillId="0" borderId="87" xfId="0" applyFont="1" applyBorder="1" applyAlignment="1">
      <alignment horizontal="center"/>
    </xf>
    <xf numFmtId="0" fontId="76" fillId="0" borderId="19" xfId="0" applyFont="1" applyBorder="1" applyAlignment="1">
      <alignment horizontal="center"/>
    </xf>
    <xf numFmtId="0" fontId="76" fillId="0" borderId="16" xfId="0" applyFont="1" applyBorder="1" applyAlignment="1">
      <alignment vertical="center" wrapText="1"/>
    </xf>
    <xf numFmtId="0" fontId="76" fillId="0" borderId="0" xfId="0" applyFont="1" applyAlignment="1">
      <alignment vertical="center" wrapText="1"/>
    </xf>
    <xf numFmtId="0" fontId="76" fillId="0" borderId="27" xfId="0" applyFont="1" applyBorder="1" applyAlignment="1">
      <alignment horizontal="center" vertical="center" wrapText="1"/>
    </xf>
    <xf numFmtId="0" fontId="76" fillId="0" borderId="76" xfId="0" applyFont="1" applyBorder="1" applyAlignment="1">
      <alignment vertical="center" wrapText="1"/>
    </xf>
    <xf numFmtId="0" fontId="76" fillId="0" borderId="27" xfId="0" applyFont="1" applyBorder="1" applyAlignment="1">
      <alignment vertical="center" wrapText="1"/>
    </xf>
    <xf numFmtId="0" fontId="74" fillId="0" borderId="10" xfId="0" applyFont="1" applyBorder="1" applyAlignment="1">
      <alignment horizontal="center" vertical="center"/>
    </xf>
    <xf numFmtId="0" fontId="78" fillId="2" borderId="64" xfId="0" applyFont="1" applyFill="1" applyBorder="1" applyAlignment="1">
      <alignment horizontal="left" vertical="top" wrapText="1"/>
    </xf>
    <xf numFmtId="0" fontId="74" fillId="2" borderId="1" xfId="0" applyFont="1" applyFill="1" applyBorder="1" applyAlignment="1">
      <alignment vertical="center"/>
    </xf>
    <xf numFmtId="0" fontId="115" fillId="0" borderId="13" xfId="0" applyFont="1" applyBorder="1" applyAlignment="1">
      <alignment horizontal="left"/>
    </xf>
    <xf numFmtId="0" fontId="115" fillId="0" borderId="0" xfId="0" applyFont="1" applyAlignment="1">
      <alignment horizontal="left"/>
    </xf>
    <xf numFmtId="0" fontId="76" fillId="0" borderId="8" xfId="0" applyFont="1" applyBorder="1" applyAlignment="1">
      <alignment vertical="top" wrapText="1"/>
    </xf>
    <xf numFmtId="0" fontId="76" fillId="0" borderId="5" xfId="0" applyFont="1" applyBorder="1" applyAlignment="1">
      <alignment vertical="top" wrapText="1"/>
    </xf>
    <xf numFmtId="0" fontId="76" fillId="0" borderId="88" xfId="0" applyFont="1" applyBorder="1" applyAlignment="1">
      <alignment horizontal="left" vertical="center"/>
    </xf>
    <xf numFmtId="0" fontId="76" fillId="0" borderId="89" xfId="0" applyFont="1" applyBorder="1" applyAlignment="1">
      <alignment horizontal="center" vertical="center"/>
    </xf>
    <xf numFmtId="0" fontId="76" fillId="0" borderId="89" xfId="0" applyFont="1" applyBorder="1" applyAlignment="1">
      <alignment horizontal="center"/>
    </xf>
    <xf numFmtId="0" fontId="76" fillId="0" borderId="89" xfId="0" applyFont="1" applyBorder="1" applyAlignment="1">
      <alignment horizontal="left"/>
    </xf>
    <xf numFmtId="0" fontId="76" fillId="0" borderId="89" xfId="0" applyFont="1" applyBorder="1" applyAlignment="1">
      <alignment horizontal="left" vertical="center"/>
    </xf>
    <xf numFmtId="2" fontId="76" fillId="0" borderId="90" xfId="0" applyNumberFormat="1" applyFont="1" applyBorder="1" applyAlignment="1">
      <alignment horizontal="center" vertical="center"/>
    </xf>
    <xf numFmtId="0" fontId="76" fillId="0" borderId="60" xfId="0" applyFont="1" applyBorder="1"/>
    <xf numFmtId="0" fontId="116" fillId="0" borderId="7" xfId="0" applyFont="1" applyBorder="1" applyAlignment="1">
      <alignment horizontal="left"/>
    </xf>
    <xf numFmtId="0" fontId="4" fillId="0" borderId="7" xfId="0" applyFont="1" applyBorder="1" applyAlignment="1">
      <alignment horizontal="center"/>
    </xf>
    <xf numFmtId="0" fontId="78" fillId="0" borderId="69" xfId="0" applyFont="1" applyBorder="1" applyAlignment="1">
      <alignment horizontal="center" vertical="top" wrapText="1"/>
    </xf>
    <xf numFmtId="0" fontId="4" fillId="0" borderId="70" xfId="0" applyFont="1" applyBorder="1"/>
    <xf numFmtId="0" fontId="76" fillId="0" borderId="22" xfId="0" applyFont="1" applyBorder="1" applyAlignment="1">
      <alignment horizontal="center" vertical="top" wrapText="1"/>
    </xf>
    <xf numFmtId="0" fontId="76" fillId="2" borderId="7" xfId="0" applyFont="1" applyFill="1" applyBorder="1" applyAlignment="1">
      <alignment horizontal="center" vertical="top" wrapText="1"/>
    </xf>
    <xf numFmtId="2" fontId="76" fillId="2" borderId="7" xfId="0" applyNumberFormat="1" applyFont="1" applyFill="1" applyBorder="1" applyAlignment="1">
      <alignment horizontal="center"/>
    </xf>
    <xf numFmtId="0" fontId="76" fillId="0" borderId="0" xfId="0" applyFont="1" applyAlignment="1">
      <alignment horizontal="center" vertical="top" wrapText="1"/>
    </xf>
    <xf numFmtId="0" fontId="78" fillId="0" borderId="88" xfId="0" applyFont="1" applyBorder="1" applyAlignment="1">
      <alignment horizontal="center" vertical="top" wrapText="1"/>
    </xf>
    <xf numFmtId="0" fontId="4" fillId="0" borderId="89" xfId="0" applyFont="1" applyBorder="1"/>
    <xf numFmtId="0" fontId="76" fillId="0" borderId="89" xfId="0" applyFont="1" applyBorder="1" applyAlignment="1">
      <alignment horizontal="center" vertical="top" wrapText="1"/>
    </xf>
    <xf numFmtId="0" fontId="74" fillId="0" borderId="89" xfId="0" applyFont="1" applyBorder="1" applyAlignment="1">
      <alignment horizontal="center"/>
    </xf>
    <xf numFmtId="2" fontId="74" fillId="0" borderId="90" xfId="0" applyNumberFormat="1" applyFont="1" applyBorder="1" applyAlignment="1">
      <alignment horizontal="center"/>
    </xf>
    <xf numFmtId="0" fontId="76" fillId="0" borderId="70" xfId="0" applyFont="1" applyBorder="1" applyAlignment="1">
      <alignment horizontal="center" vertical="top" wrapText="1"/>
    </xf>
    <xf numFmtId="0" fontId="74" fillId="0" borderId="70" xfId="0" applyFont="1" applyBorder="1" applyAlignment="1">
      <alignment horizontal="center"/>
    </xf>
    <xf numFmtId="2" fontId="74" fillId="0" borderId="91" xfId="0" applyNumberFormat="1" applyFont="1" applyBorder="1" applyAlignment="1">
      <alignment horizontal="center"/>
    </xf>
    <xf numFmtId="0" fontId="76" fillId="0" borderId="60" xfId="0" applyFont="1" applyBorder="1" applyAlignment="1">
      <alignment horizontal="center"/>
    </xf>
    <xf numFmtId="0" fontId="76" fillId="0" borderId="22" xfId="0" applyFont="1" applyBorder="1"/>
    <xf numFmtId="0" fontId="76" fillId="0" borderId="9" xfId="0" applyFont="1" applyBorder="1" applyAlignment="1">
      <alignment horizontal="right" vertical="center"/>
    </xf>
    <xf numFmtId="0" fontId="76" fillId="2" borderId="92" xfId="0" applyFont="1" applyFill="1" applyBorder="1"/>
    <xf numFmtId="0" fontId="76" fillId="2" borderId="92" xfId="0" applyFont="1" applyFill="1" applyBorder="1" applyAlignment="1">
      <alignment horizontal="center"/>
    </xf>
    <xf numFmtId="2" fontId="76" fillId="2" borderId="92" xfId="0" applyNumberFormat="1" applyFont="1" applyFill="1" applyBorder="1"/>
    <xf numFmtId="2" fontId="76" fillId="2" borderId="86" xfId="0" applyNumberFormat="1" applyFont="1" applyFill="1" applyBorder="1" applyAlignment="1">
      <alignment horizontal="center"/>
    </xf>
    <xf numFmtId="0" fontId="54" fillId="0" borderId="88" xfId="0" applyFont="1" applyBorder="1" applyAlignment="1">
      <alignment horizontal="left" vertical="center"/>
    </xf>
    <xf numFmtId="0" fontId="54" fillId="0" borderId="89" xfId="0" applyFont="1" applyBorder="1" applyAlignment="1">
      <alignment horizontal="center" vertical="center"/>
    </xf>
    <xf numFmtId="0" fontId="54" fillId="0" borderId="89" xfId="0" applyFont="1" applyBorder="1" applyAlignment="1">
      <alignment horizontal="center"/>
    </xf>
    <xf numFmtId="0" fontId="54" fillId="0" borderId="89" xfId="0" applyFont="1" applyBorder="1" applyAlignment="1">
      <alignment horizontal="left"/>
    </xf>
    <xf numFmtId="0" fontId="54" fillId="0" borderId="89" xfId="0" applyFont="1" applyBorder="1" applyAlignment="1">
      <alignment horizontal="left" vertical="center"/>
    </xf>
    <xf numFmtId="2" fontId="54" fillId="0" borderId="90" xfId="0" applyNumberFormat="1" applyFont="1" applyBorder="1" applyAlignment="1">
      <alignment horizontal="center" vertical="center"/>
    </xf>
    <xf numFmtId="0" fontId="54" fillId="0" borderId="60" xfId="0" applyFont="1" applyBorder="1"/>
    <xf numFmtId="0" fontId="54" fillId="0" borderId="7" xfId="0" applyFont="1" applyBorder="1" applyAlignment="1">
      <alignment horizontal="center"/>
    </xf>
    <xf numFmtId="0" fontId="54" fillId="0" borderId="7" xfId="0" applyFont="1" applyBorder="1"/>
    <xf numFmtId="0" fontId="117" fillId="0" borderId="7" xfId="0" applyFont="1" applyBorder="1" applyAlignment="1">
      <alignment horizontal="left"/>
    </xf>
    <xf numFmtId="0" fontId="57" fillId="0" borderId="7" xfId="0" applyFont="1" applyBorder="1" applyAlignment="1">
      <alignment horizontal="center" vertical="top" wrapText="1"/>
    </xf>
    <xf numFmtId="0" fontId="54" fillId="2" borderId="7" xfId="0" applyFont="1" applyFill="1" applyBorder="1" applyAlignment="1">
      <alignment horizontal="center"/>
    </xf>
    <xf numFmtId="0" fontId="106" fillId="0" borderId="7" xfId="0" applyFont="1" applyBorder="1" applyAlignment="1">
      <alignment horizontal="left" vertical="center"/>
    </xf>
    <xf numFmtId="0" fontId="52" fillId="0" borderId="7" xfId="0" applyFont="1" applyBorder="1" applyAlignment="1">
      <alignment horizontal="center" vertical="center"/>
    </xf>
    <xf numFmtId="0" fontId="23" fillId="0" borderId="7" xfId="0" applyFont="1" applyBorder="1" applyAlignment="1">
      <alignment horizontal="center" vertical="center"/>
    </xf>
    <xf numFmtId="0" fontId="59" fillId="0" borderId="7" xfId="0" applyFont="1" applyBorder="1" applyAlignment="1">
      <alignment horizontal="left" vertical="top" wrapText="1"/>
    </xf>
    <xf numFmtId="0" fontId="52" fillId="0" borderId="7" xfId="0" applyFont="1" applyBorder="1"/>
    <xf numFmtId="0" fontId="54" fillId="0" borderId="60" xfId="0" applyFont="1" applyBorder="1" applyAlignment="1">
      <alignment horizontal="center"/>
    </xf>
    <xf numFmtId="0" fontId="54" fillId="0" borderId="22" xfId="0" applyFont="1" applyBorder="1"/>
    <xf numFmtId="0" fontId="52" fillId="0" borderId="22" xfId="0" applyFont="1" applyBorder="1" applyAlignment="1">
      <alignment horizontal="center"/>
    </xf>
    <xf numFmtId="2" fontId="52" fillId="0" borderId="93" xfId="0" applyNumberFormat="1" applyFont="1" applyBorder="1" applyAlignment="1">
      <alignment horizontal="center"/>
    </xf>
    <xf numFmtId="0" fontId="54" fillId="0" borderId="8" xfId="0" applyFont="1" applyBorder="1"/>
    <xf numFmtId="0" fontId="54" fillId="0" borderId="9" xfId="0" applyFont="1" applyBorder="1" applyAlignment="1">
      <alignment horizontal="right" vertical="center"/>
    </xf>
    <xf numFmtId="2" fontId="54" fillId="0" borderId="10" xfId="0" applyNumberFormat="1" applyFont="1" applyBorder="1" applyAlignment="1">
      <alignment horizontal="center"/>
    </xf>
    <xf numFmtId="0" fontId="52" fillId="0" borderId="69" xfId="0" applyFont="1" applyBorder="1"/>
    <xf numFmtId="0" fontId="52" fillId="0" borderId="70" xfId="0" applyFont="1" applyBorder="1"/>
    <xf numFmtId="0" fontId="52" fillId="0" borderId="27" xfId="0" applyFont="1" applyBorder="1"/>
    <xf numFmtId="2" fontId="52" fillId="0" borderId="27" xfId="0" applyNumberFormat="1" applyFont="1" applyBorder="1"/>
    <xf numFmtId="0" fontId="4" fillId="0" borderId="22" xfId="0" applyFont="1" applyBorder="1" applyAlignment="1">
      <alignment horizontal="center" vertical="center"/>
    </xf>
    <xf numFmtId="0" fontId="4" fillId="0" borderId="67" xfId="0" applyFont="1" applyBorder="1" applyAlignment="1">
      <alignment horizontal="center" vertical="center"/>
    </xf>
    <xf numFmtId="2" fontId="74" fillId="0" borderId="93" xfId="0" applyNumberFormat="1" applyFont="1" applyBorder="1" applyAlignment="1">
      <alignment horizontal="center"/>
    </xf>
    <xf numFmtId="0" fontId="74" fillId="0" borderId="69" xfId="0" applyFont="1" applyBorder="1"/>
    <xf numFmtId="0" fontId="74" fillId="0" borderId="70" xfId="0" applyFont="1" applyBorder="1"/>
    <xf numFmtId="0" fontId="76" fillId="0" borderId="27" xfId="0" applyFont="1" applyBorder="1"/>
    <xf numFmtId="0" fontId="74" fillId="0" borderId="27" xfId="0" applyFont="1" applyBorder="1"/>
    <xf numFmtId="2" fontId="74" fillId="0" borderId="27" xfId="0" applyNumberFormat="1" applyFont="1" applyBorder="1"/>
    <xf numFmtId="0" fontId="4" fillId="2" borderId="7" xfId="0" applyFont="1" applyFill="1" applyBorder="1"/>
    <xf numFmtId="0" fontId="74" fillId="2" borderId="3" xfId="0" applyFont="1" applyFill="1" applyBorder="1" applyAlignment="1">
      <alignment horizontal="center" vertical="center"/>
    </xf>
    <xf numFmtId="0" fontId="4" fillId="2" borderId="7" xfId="0" applyFont="1" applyFill="1" applyBorder="1" applyAlignment="1">
      <alignment horizontal="center"/>
    </xf>
    <xf numFmtId="0" fontId="74" fillId="2" borderId="58" xfId="0" applyFont="1" applyFill="1" applyBorder="1" applyAlignment="1">
      <alignment horizontal="center"/>
    </xf>
    <xf numFmtId="0" fontId="76" fillId="0" borderId="31" xfId="0" applyFont="1" applyBorder="1" applyAlignment="1">
      <alignment horizontal="left" vertical="center"/>
    </xf>
    <xf numFmtId="0" fontId="76" fillId="0" borderId="31" xfId="0" applyFont="1" applyBorder="1" applyAlignment="1">
      <alignment horizontal="center" vertical="center"/>
    </xf>
    <xf numFmtId="0" fontId="76" fillId="0" borderId="77" xfId="0" applyFont="1" applyBorder="1" applyAlignment="1">
      <alignment horizontal="center" vertical="center"/>
    </xf>
    <xf numFmtId="0" fontId="76" fillId="0" borderId="94" xfId="0" applyFont="1" applyBorder="1" applyAlignment="1">
      <alignment horizontal="left"/>
    </xf>
    <xf numFmtId="0" fontId="78" fillId="0" borderId="7" xfId="0" applyFont="1" applyBorder="1" applyAlignment="1">
      <alignment vertical="top" wrapText="1"/>
    </xf>
    <xf numFmtId="0" fontId="118" fillId="0" borderId="0" xfId="0" applyFont="1"/>
    <xf numFmtId="0" fontId="4" fillId="0" borderId="0" xfId="0" applyFont="1" applyAlignment="1">
      <alignment horizontal="left"/>
    </xf>
    <xf numFmtId="0" fontId="76" fillId="0" borderId="88" xfId="0" applyFont="1" applyBorder="1" applyAlignment="1">
      <alignment horizontal="center" vertical="center"/>
    </xf>
    <xf numFmtId="0" fontId="76" fillId="0" borderId="95" xfId="0" applyFont="1" applyBorder="1" applyAlignment="1">
      <alignment horizontal="center" vertical="center"/>
    </xf>
    <xf numFmtId="0" fontId="76" fillId="0" borderId="96" xfId="0" applyFont="1" applyBorder="1" applyAlignment="1">
      <alignment horizontal="center" vertical="center"/>
    </xf>
    <xf numFmtId="0" fontId="4" fillId="0" borderId="67" xfId="0" applyFont="1" applyBorder="1" applyAlignment="1">
      <alignment horizontal="center"/>
    </xf>
    <xf numFmtId="0" fontId="109" fillId="0" borderId="60" xfId="0" applyFont="1" applyBorder="1" applyAlignment="1">
      <alignment horizontal="center" vertical="top" wrapText="1"/>
    </xf>
    <xf numFmtId="0" fontId="107" fillId="2" borderId="7" xfId="0" applyFont="1" applyFill="1" applyBorder="1" applyAlignment="1">
      <alignment horizontal="center" vertical="top" wrapText="1"/>
    </xf>
    <xf numFmtId="0" fontId="62" fillId="0" borderId="7" xfId="0" applyFont="1" applyBorder="1" applyAlignment="1">
      <alignment horizontal="center"/>
    </xf>
    <xf numFmtId="0" fontId="62" fillId="0" borderId="7" xfId="0" applyFont="1" applyBorder="1"/>
    <xf numFmtId="0" fontId="107" fillId="0" borderId="7" xfId="0" applyFont="1" applyBorder="1" applyAlignment="1">
      <alignment horizontal="center"/>
    </xf>
    <xf numFmtId="2" fontId="107" fillId="0" borderId="61" xfId="0" applyNumberFormat="1" applyFont="1" applyBorder="1" applyAlignment="1">
      <alignment horizontal="center"/>
    </xf>
    <xf numFmtId="0" fontId="98" fillId="0" borderId="7" xfId="0" applyFont="1" applyBorder="1" applyAlignment="1">
      <alignment vertical="center"/>
    </xf>
    <xf numFmtId="0" fontId="98" fillId="0" borderId="7" xfId="0" applyFont="1" applyBorder="1" applyAlignment="1">
      <alignment horizontal="left" vertical="center"/>
    </xf>
    <xf numFmtId="0" fontId="98" fillId="0" borderId="7" xfId="0" applyFont="1" applyBorder="1" applyAlignment="1">
      <alignment horizontal="left"/>
    </xf>
    <xf numFmtId="3" fontId="98" fillId="0" borderId="7" xfId="0" applyNumberFormat="1" applyFont="1" applyBorder="1" applyAlignment="1">
      <alignment horizontal="left" vertical="center"/>
    </xf>
    <xf numFmtId="0" fontId="62" fillId="0" borderId="67" xfId="0" applyFont="1" applyBorder="1" applyAlignment="1">
      <alignment horizontal="center"/>
    </xf>
    <xf numFmtId="166" fontId="98" fillId="0" borderId="7" xfId="0" applyNumberFormat="1" applyFont="1" applyBorder="1" applyAlignment="1">
      <alignment horizontal="left"/>
    </xf>
    <xf numFmtId="0" fontId="119" fillId="0" borderId="70" xfId="0" applyFont="1" applyBorder="1" applyAlignment="1">
      <alignment horizontal="left"/>
    </xf>
    <xf numFmtId="0" fontId="4" fillId="0" borderId="70" xfId="0" applyFont="1" applyBorder="1" applyAlignment="1">
      <alignment horizontal="center"/>
    </xf>
    <xf numFmtId="0" fontId="119" fillId="0" borderId="0" xfId="0" applyFont="1" applyAlignment="1">
      <alignment horizontal="left"/>
    </xf>
    <xf numFmtId="0" fontId="119" fillId="0" borderId="7" xfId="0" applyFont="1" applyBorder="1" applyAlignment="1">
      <alignment horizontal="left"/>
    </xf>
    <xf numFmtId="2" fontId="4" fillId="0" borderId="0" xfId="0" applyNumberFormat="1" applyFont="1"/>
    <xf numFmtId="2" fontId="76" fillId="0" borderId="67" xfId="0" applyNumberFormat="1" applyFont="1" applyBorder="1" applyAlignment="1">
      <alignment horizontal="center"/>
    </xf>
    <xf numFmtId="0" fontId="76" fillId="0" borderId="7" xfId="0" applyFont="1" applyBorder="1" applyAlignment="1">
      <alignment horizontal="right" vertical="center"/>
    </xf>
    <xf numFmtId="2" fontId="76" fillId="0" borderId="7" xfId="0" applyNumberFormat="1" applyFont="1" applyBorder="1" applyAlignment="1">
      <alignment horizontal="center"/>
    </xf>
    <xf numFmtId="2" fontId="76" fillId="2" borderId="61" xfId="0" applyNumberFormat="1" applyFont="1" applyFill="1" applyBorder="1" applyAlignment="1">
      <alignment horizontal="center"/>
    </xf>
    <xf numFmtId="0" fontId="76" fillId="0" borderId="22" xfId="0" applyFont="1" applyBorder="1" applyAlignment="1">
      <alignment horizontal="center"/>
    </xf>
    <xf numFmtId="2" fontId="76" fillId="0" borderId="22" xfId="0" applyNumberFormat="1" applyFont="1" applyBorder="1" applyAlignment="1">
      <alignment horizontal="center"/>
    </xf>
    <xf numFmtId="0" fontId="76" fillId="0" borderId="8" xfId="0" applyFont="1" applyBorder="1" applyAlignment="1">
      <alignment horizontal="right" vertical="center"/>
    </xf>
    <xf numFmtId="2" fontId="74" fillId="0" borderId="70" xfId="0" applyNumberFormat="1" applyFont="1" applyBorder="1"/>
    <xf numFmtId="0" fontId="74" fillId="0" borderId="22" xfId="0" applyFont="1" applyBorder="1"/>
    <xf numFmtId="0" fontId="98" fillId="2" borderId="97" xfId="0" applyFont="1" applyFill="1" applyBorder="1" applyAlignment="1">
      <alignment horizontal="center"/>
    </xf>
    <xf numFmtId="0" fontId="98" fillId="2" borderId="98" xfId="0" applyFont="1" applyFill="1" applyBorder="1" applyAlignment="1">
      <alignment horizontal="center"/>
    </xf>
    <xf numFmtId="0" fontId="76" fillId="0" borderId="7" xfId="0" applyFont="1" applyBorder="1" applyAlignment="1">
      <alignment horizontal="left" vertical="top" wrapText="1"/>
    </xf>
    <xf numFmtId="0" fontId="4" fillId="0" borderId="7" xfId="0" applyFont="1" applyBorder="1" applyAlignment="1">
      <alignment horizontal="center" vertical="center"/>
    </xf>
    <xf numFmtId="0" fontId="4" fillId="0" borderId="7" xfId="0" applyFont="1" applyBorder="1" applyAlignment="1">
      <alignment horizontal="left"/>
    </xf>
    <xf numFmtId="0" fontId="120" fillId="0" borderId="7" xfId="0" applyFont="1" applyBorder="1" applyAlignment="1">
      <alignment horizontal="left"/>
    </xf>
    <xf numFmtId="0" fontId="106" fillId="0" borderId="7" xfId="0" applyFont="1" applyBorder="1" applyAlignment="1">
      <alignment vertical="center"/>
    </xf>
    <xf numFmtId="0" fontId="110" fillId="0" borderId="60" xfId="0" applyFont="1" applyBorder="1" applyAlignment="1">
      <alignment horizontal="center" vertical="top" wrapText="1"/>
    </xf>
    <xf numFmtId="0" fontId="106" fillId="0" borderId="67" xfId="0" applyFont="1" applyBorder="1" applyAlignment="1">
      <alignment horizontal="center" vertical="center"/>
    </xf>
    <xf numFmtId="0" fontId="106" fillId="0" borderId="67" xfId="0" applyFont="1" applyBorder="1" applyAlignment="1">
      <alignment horizontal="center"/>
    </xf>
    <xf numFmtId="0" fontId="106" fillId="0" borderId="22" xfId="0" applyFont="1" applyBorder="1" applyAlignment="1">
      <alignment horizontal="center"/>
    </xf>
    <xf numFmtId="2" fontId="106" fillId="0" borderId="61" xfId="0" applyNumberFormat="1" applyFont="1" applyBorder="1" applyAlignment="1">
      <alignment horizontal="center"/>
    </xf>
    <xf numFmtId="0" fontId="106" fillId="0" borderId="7" xfId="0" applyFont="1" applyBorder="1"/>
    <xf numFmtId="0" fontId="106" fillId="0" borderId="7" xfId="0" applyFont="1" applyBorder="1" applyAlignment="1">
      <alignment horizontal="left"/>
    </xf>
    <xf numFmtId="0" fontId="106" fillId="0" borderId="7" xfId="0" applyFont="1" applyBorder="1" applyAlignment="1">
      <alignment horizontal="center"/>
    </xf>
    <xf numFmtId="0" fontId="74" fillId="0" borderId="7" xfId="0" applyFont="1" applyBorder="1" applyAlignment="1">
      <alignment horizontal="center" vertical="top" wrapText="1"/>
    </xf>
    <xf numFmtId="0" fontId="121" fillId="0" borderId="0" xfId="0" applyFont="1" applyAlignment="1">
      <alignment horizontal="left"/>
    </xf>
    <xf numFmtId="0" fontId="76" fillId="2" borderId="7" xfId="0" applyFont="1" applyFill="1" applyBorder="1"/>
    <xf numFmtId="0" fontId="79" fillId="0" borderId="8" xfId="0" applyFont="1" applyBorder="1" applyAlignment="1">
      <alignment horizontal="center"/>
    </xf>
    <xf numFmtId="0" fontId="79" fillId="0" borderId="56" xfId="0" applyFont="1" applyBorder="1" applyAlignment="1">
      <alignment horizontal="center"/>
    </xf>
    <xf numFmtId="0" fontId="79" fillId="0" borderId="87" xfId="0" applyFont="1" applyBorder="1" applyAlignment="1">
      <alignment horizontal="center"/>
    </xf>
    <xf numFmtId="0" fontId="98" fillId="2" borderId="64" xfId="0" applyFont="1" applyFill="1" applyBorder="1" applyAlignment="1">
      <alignment horizontal="center" vertical="top" wrapText="1"/>
    </xf>
    <xf numFmtId="0" fontId="98" fillId="2" borderId="65" xfId="0" applyFont="1" applyFill="1" applyBorder="1" applyAlignment="1">
      <alignment horizontal="center" vertical="top" wrapText="1"/>
    </xf>
    <xf numFmtId="0" fontId="74" fillId="2" borderId="64" xfId="0" applyFont="1" applyFill="1" applyBorder="1" applyAlignment="1">
      <alignment horizontal="left" vertical="center" wrapText="1"/>
    </xf>
    <xf numFmtId="0" fontId="33" fillId="0" borderId="16" xfId="0" applyFont="1" applyBorder="1" applyAlignment="1">
      <alignment horizontal="center"/>
    </xf>
    <xf numFmtId="0" fontId="33" fillId="0" borderId="19" xfId="0" applyFont="1" applyBorder="1"/>
    <xf numFmtId="0" fontId="33" fillId="0" borderId="16" xfId="0" applyFont="1" applyBorder="1"/>
    <xf numFmtId="0" fontId="74" fillId="0" borderId="19" xfId="0" applyFont="1" applyBorder="1"/>
    <xf numFmtId="0" fontId="98" fillId="0" borderId="19" xfId="0" applyFont="1" applyBorder="1" applyAlignment="1">
      <alignment vertical="top" wrapText="1"/>
    </xf>
    <xf numFmtId="0" fontId="74" fillId="0" borderId="19" xfId="0" applyFont="1" applyBorder="1" applyAlignment="1">
      <alignment horizontal="center" vertical="center"/>
    </xf>
    <xf numFmtId="0" fontId="33" fillId="0" borderId="0" xfId="0" applyFont="1" applyAlignment="1">
      <alignment horizontal="center"/>
    </xf>
    <xf numFmtId="0" fontId="23" fillId="0" borderId="7" xfId="0" applyFont="1" applyBorder="1"/>
    <xf numFmtId="0" fontId="23" fillId="0" borderId="7" xfId="0" applyFont="1" applyBorder="1" applyAlignment="1">
      <alignment vertical="center"/>
    </xf>
    <xf numFmtId="0" fontId="23" fillId="0" borderId="7" xfId="0" applyFont="1" applyBorder="1" applyAlignment="1">
      <alignment horizontal="left" vertical="center" wrapText="1"/>
    </xf>
    <xf numFmtId="0" fontId="23" fillId="8" borderId="7" xfId="0" applyFont="1" applyFill="1" applyBorder="1" applyAlignment="1">
      <alignment horizontal="left" vertical="center"/>
    </xf>
    <xf numFmtId="0" fontId="23" fillId="8" borderId="7" xfId="0" applyFont="1" applyFill="1" applyBorder="1" applyAlignment="1">
      <alignment horizontal="center" vertical="center"/>
    </xf>
    <xf numFmtId="0" fontId="74" fillId="8" borderId="3" xfId="0" applyFont="1" applyFill="1" applyBorder="1" applyAlignment="1">
      <alignment horizontal="center"/>
    </xf>
    <xf numFmtId="0" fontId="74" fillId="8" borderId="7" xfId="0" applyFont="1" applyFill="1" applyBorder="1" applyAlignment="1">
      <alignment horizontal="center"/>
    </xf>
    <xf numFmtId="0" fontId="23" fillId="8" borderId="7" xfId="0" applyFont="1" applyFill="1" applyBorder="1" applyAlignment="1">
      <alignment vertical="center"/>
    </xf>
    <xf numFmtId="0" fontId="23" fillId="0" borderId="7" xfId="0" applyFont="1" applyBorder="1" applyAlignment="1">
      <alignment horizontal="center"/>
    </xf>
    <xf numFmtId="0" fontId="23" fillId="0" borderId="7" xfId="0" applyFont="1" applyBorder="1" applyAlignment="1">
      <alignment horizontal="left" vertical="center"/>
    </xf>
    <xf numFmtId="0" fontId="23" fillId="0" borderId="99" xfId="0" applyFont="1" applyBorder="1"/>
    <xf numFmtId="0" fontId="23" fillId="0" borderId="100" xfId="0" applyFont="1" applyBorder="1" applyAlignment="1">
      <alignment horizontal="center" vertical="center"/>
    </xf>
    <xf numFmtId="0" fontId="23" fillId="0" borderId="70" xfId="0" applyFont="1" applyBorder="1" applyAlignment="1">
      <alignment vertical="center"/>
    </xf>
    <xf numFmtId="0" fontId="23" fillId="0" borderId="0" xfId="0" applyFont="1" applyAlignment="1">
      <alignment horizontal="center" vertical="center"/>
    </xf>
    <xf numFmtId="0" fontId="23" fillId="0" borderId="0" xfId="0" applyFont="1" applyAlignment="1">
      <alignment vertical="center"/>
    </xf>
    <xf numFmtId="0" fontId="23" fillId="0" borderId="8" xfId="0" applyFont="1" applyBorder="1"/>
    <xf numFmtId="0" fontId="23" fillId="0" borderId="5" xfId="0" applyFont="1" applyBorder="1" applyAlignment="1">
      <alignment horizontal="center" vertical="center"/>
    </xf>
    <xf numFmtId="0" fontId="76" fillId="2" borderId="97" xfId="0" applyFont="1" applyFill="1" applyBorder="1" applyAlignment="1">
      <alignment horizontal="center" vertical="top" wrapText="1"/>
    </xf>
    <xf numFmtId="0" fontId="76" fillId="2" borderId="98" xfId="0" applyFont="1" applyFill="1" applyBorder="1" applyAlignment="1">
      <alignment horizontal="center" vertical="top" wrapText="1"/>
    </xf>
    <xf numFmtId="0" fontId="23" fillId="0" borderId="7" xfId="0" applyFont="1" applyBorder="1" applyAlignment="1">
      <alignment horizontal="left" vertical="top" wrapText="1"/>
    </xf>
    <xf numFmtId="0" fontId="23" fillId="0" borderId="7" xfId="0" applyFont="1" applyBorder="1" applyAlignment="1">
      <alignment horizontal="center" vertical="top" wrapText="1"/>
    </xf>
    <xf numFmtId="0" fontId="79" fillId="0" borderId="7" xfId="0" applyFont="1" applyBorder="1" applyAlignment="1">
      <alignment horizontal="center" vertical="top" wrapText="1"/>
    </xf>
    <xf numFmtId="0" fontId="122" fillId="0" borderId="7" xfId="0" applyFont="1" applyBorder="1"/>
    <xf numFmtId="0" fontId="123" fillId="0" borderId="0" xfId="0" applyFont="1"/>
    <xf numFmtId="0" fontId="119" fillId="0" borderId="7" xfId="0" applyFont="1" applyBorder="1" applyAlignment="1">
      <alignment horizontal="center"/>
    </xf>
    <xf numFmtId="0" fontId="98" fillId="2" borderId="7" xfId="0" applyFont="1" applyFill="1" applyBorder="1" applyAlignment="1">
      <alignment horizontal="center"/>
    </xf>
    <xf numFmtId="0" fontId="4" fillId="18" borderId="1" xfId="0" applyFont="1" applyFill="1" applyBorder="1"/>
    <xf numFmtId="0" fontId="78" fillId="0" borderId="7" xfId="0" applyFont="1" applyBorder="1" applyAlignment="1">
      <alignment horizontal="left" vertical="center"/>
    </xf>
    <xf numFmtId="0" fontId="74" fillId="0" borderId="7" xfId="0" applyFont="1" applyBorder="1" applyAlignment="1">
      <alignment vertical="top" wrapText="1"/>
    </xf>
    <xf numFmtId="0" fontId="78" fillId="0" borderId="7" xfId="0" applyFont="1" applyBorder="1" applyAlignment="1">
      <alignment vertical="center"/>
    </xf>
    <xf numFmtId="0" fontId="98" fillId="2" borderId="58" xfId="0" applyFont="1" applyFill="1" applyBorder="1" applyAlignment="1">
      <alignment horizontal="center"/>
    </xf>
    <xf numFmtId="0" fontId="74" fillId="0" borderId="59" xfId="0" applyFont="1" applyBorder="1" applyAlignment="1">
      <alignment horizontal="center" vertical="center"/>
    </xf>
    <xf numFmtId="2" fontId="74" fillId="0" borderId="94" xfId="0" applyNumberFormat="1" applyFont="1" applyBorder="1" applyAlignment="1">
      <alignment horizontal="center"/>
    </xf>
    <xf numFmtId="0" fontId="119" fillId="0" borderId="8" xfId="0" applyFont="1" applyBorder="1" applyAlignment="1">
      <alignment horizontal="center"/>
    </xf>
    <xf numFmtId="0" fontId="119" fillId="0" borderId="5" xfId="0" applyFont="1" applyBorder="1" applyAlignment="1">
      <alignment horizontal="center"/>
    </xf>
    <xf numFmtId="0" fontId="74" fillId="0" borderId="8" xfId="0" applyFont="1" applyBorder="1" applyAlignment="1">
      <alignment horizontal="left" vertical="top" wrapText="1"/>
    </xf>
    <xf numFmtId="0" fontId="78" fillId="0" borderId="8" xfId="0" applyFont="1" applyBorder="1" applyAlignment="1">
      <alignment vertical="center"/>
    </xf>
    <xf numFmtId="0" fontId="123" fillId="2" borderId="1" xfId="0" applyFont="1" applyFill="1" applyBorder="1" applyAlignment="1">
      <alignment horizontal="center" vertical="center"/>
    </xf>
    <xf numFmtId="0" fontId="74" fillId="0" borderId="7" xfId="0" applyFont="1" applyBorder="1" applyAlignment="1">
      <alignment horizontal="left" wrapText="1"/>
    </xf>
    <xf numFmtId="0" fontId="79" fillId="0" borderId="67" xfId="0" applyFont="1" applyBorder="1" applyAlignment="1">
      <alignment horizontal="center" vertical="center"/>
    </xf>
    <xf numFmtId="0" fontId="76" fillId="2" borderId="101" xfId="0" applyFont="1" applyFill="1" applyBorder="1" applyAlignment="1">
      <alignment horizontal="center"/>
    </xf>
    <xf numFmtId="0" fontId="78" fillId="0" borderId="5" xfId="0" applyFont="1" applyBorder="1" applyAlignment="1">
      <alignment horizontal="center" vertical="top" wrapText="1"/>
    </xf>
    <xf numFmtId="0" fontId="79" fillId="0" borderId="7" xfId="0" applyFont="1" applyBorder="1" applyAlignment="1">
      <alignment vertical="center"/>
    </xf>
    <xf numFmtId="0" fontId="98" fillId="0" borderId="69" xfId="0" applyFont="1" applyBorder="1" applyAlignment="1">
      <alignment horizontal="center" vertical="top" wrapText="1"/>
    </xf>
    <xf numFmtId="0" fontId="76" fillId="0" borderId="70" xfId="0" applyFont="1" applyBorder="1" applyAlignment="1">
      <alignment horizontal="left" vertical="top" wrapText="1"/>
    </xf>
    <xf numFmtId="0" fontId="76" fillId="0" borderId="27" xfId="0" applyFont="1" applyBorder="1" applyAlignment="1">
      <alignment horizontal="center" vertical="center"/>
    </xf>
    <xf numFmtId="0" fontId="76" fillId="0" borderId="70" xfId="0" applyFont="1" applyBorder="1" applyAlignment="1">
      <alignment horizontal="center"/>
    </xf>
    <xf numFmtId="2" fontId="76" fillId="0" borderId="91" xfId="0" applyNumberFormat="1" applyFont="1" applyBorder="1" applyAlignment="1">
      <alignment horizontal="center"/>
    </xf>
    <xf numFmtId="0" fontId="79" fillId="0" borderId="8" xfId="0" applyFont="1" applyBorder="1" applyAlignment="1">
      <alignment horizontal="center" vertical="top" wrapText="1"/>
    </xf>
    <xf numFmtId="0" fontId="79" fillId="0" borderId="56" xfId="0" applyFont="1" applyBorder="1" applyAlignment="1">
      <alignment horizontal="center" vertical="top" wrapText="1"/>
    </xf>
    <xf numFmtId="0" fontId="79" fillId="0" borderId="5" xfId="0" applyFont="1" applyBorder="1" applyAlignment="1">
      <alignment horizontal="center" vertical="top" wrapText="1"/>
    </xf>
    <xf numFmtId="0" fontId="79" fillId="0" borderId="102" xfId="0" applyFont="1" applyBorder="1"/>
    <xf numFmtId="0" fontId="79" fillId="0" borderId="26" xfId="0" applyFont="1" applyBorder="1"/>
    <xf numFmtId="0" fontId="79" fillId="0" borderId="36" xfId="0" applyFont="1" applyBorder="1" applyAlignment="1">
      <alignment horizontal="left" vertical="center"/>
    </xf>
    <xf numFmtId="0" fontId="79" fillId="0" borderId="27" xfId="0" applyFont="1" applyBorder="1" applyAlignment="1">
      <alignment horizontal="left"/>
    </xf>
    <xf numFmtId="0" fontId="79" fillId="0" borderId="27" xfId="0" applyFont="1" applyBorder="1" applyAlignment="1">
      <alignment horizontal="center"/>
    </xf>
    <xf numFmtId="0" fontId="122" fillId="0" borderId="27" xfId="0" applyFont="1" applyBorder="1" applyAlignment="1">
      <alignment horizontal="center"/>
    </xf>
    <xf numFmtId="2" fontId="79" fillId="0" borderId="27" xfId="0" applyNumberFormat="1" applyFont="1" applyBorder="1" applyAlignment="1">
      <alignment horizontal="center"/>
    </xf>
    <xf numFmtId="2" fontId="122" fillId="0" borderId="37" xfId="0" applyNumberFormat="1" applyFont="1" applyBorder="1" applyAlignment="1">
      <alignment horizontal="center"/>
    </xf>
    <xf numFmtId="0" fontId="76" fillId="0" borderId="102" xfId="0" applyFont="1" applyBorder="1"/>
    <xf numFmtId="0" fontId="76" fillId="0" borderId="26" xfId="0" applyFont="1" applyBorder="1"/>
    <xf numFmtId="0" fontId="76" fillId="26" borderId="103" xfId="0" applyFont="1" applyFill="1" applyBorder="1" applyAlignment="1">
      <alignment horizontal="center" vertical="center" wrapText="1"/>
    </xf>
    <xf numFmtId="0" fontId="76" fillId="26" borderId="104" xfId="0" applyFont="1" applyFill="1" applyBorder="1" applyAlignment="1">
      <alignment horizontal="center" vertical="center" wrapText="1"/>
    </xf>
    <xf numFmtId="0" fontId="76" fillId="26" borderId="4" xfId="0" applyFont="1" applyFill="1" applyBorder="1" applyAlignment="1">
      <alignment horizontal="center" vertical="center" wrapText="1"/>
    </xf>
    <xf numFmtId="0" fontId="76" fillId="26" borderId="2" xfId="0" applyFont="1" applyFill="1" applyBorder="1" applyAlignment="1">
      <alignment horizontal="center" vertical="center" wrapText="1"/>
    </xf>
    <xf numFmtId="0" fontId="4" fillId="0" borderId="22" xfId="0" applyFont="1" applyBorder="1" applyAlignment="1">
      <alignment horizontal="center"/>
    </xf>
    <xf numFmtId="0" fontId="4" fillId="0" borderId="15" xfId="0" applyFont="1" applyBorder="1" applyAlignment="1">
      <alignment horizontal="center"/>
    </xf>
    <xf numFmtId="0" fontId="76" fillId="2" borderId="103" xfId="0" applyFont="1" applyFill="1" applyBorder="1" applyAlignment="1">
      <alignment horizontal="center" vertical="center" wrapText="1"/>
    </xf>
    <xf numFmtId="0" fontId="76" fillId="2" borderId="104" xfId="0" applyFont="1" applyFill="1" applyBorder="1" applyAlignment="1">
      <alignment horizontal="center" vertical="center" wrapText="1"/>
    </xf>
    <xf numFmtId="0" fontId="76" fillId="2" borderId="4" xfId="0" applyFont="1" applyFill="1" applyBorder="1" applyAlignment="1">
      <alignment horizontal="center" vertical="center" wrapText="1"/>
    </xf>
    <xf numFmtId="0" fontId="76" fillId="2" borderId="2" xfId="0" applyFont="1" applyFill="1" applyBorder="1" applyAlignment="1">
      <alignment horizontal="center" vertical="center" wrapText="1"/>
    </xf>
    <xf numFmtId="0" fontId="78" fillId="0" borderId="66" xfId="0" applyFont="1" applyBorder="1" applyAlignment="1">
      <alignment horizontal="center" vertical="top" wrapText="1"/>
    </xf>
    <xf numFmtId="0" fontId="74" fillId="0" borderId="29" xfId="0" applyFont="1" applyBorder="1" applyAlignment="1">
      <alignment horizontal="left"/>
    </xf>
    <xf numFmtId="0" fontId="74" fillId="0" borderId="19" xfId="0" applyFont="1" applyBorder="1" applyAlignment="1">
      <alignment horizontal="center"/>
    </xf>
    <xf numFmtId="0" fontId="74" fillId="0" borderId="8" xfId="0" applyFont="1" applyBorder="1" applyAlignment="1">
      <alignment vertical="top" wrapText="1"/>
    </xf>
    <xf numFmtId="0" fontId="74" fillId="0" borderId="22" xfId="0" applyFont="1" applyBorder="1" applyAlignment="1">
      <alignment horizontal="center" vertical="top" wrapText="1"/>
    </xf>
    <xf numFmtId="0" fontId="74" fillId="0" borderId="9" xfId="0" applyFont="1" applyBorder="1" applyAlignment="1">
      <alignment horizontal="center" vertical="top" wrapText="1"/>
    </xf>
    <xf numFmtId="0" fontId="78" fillId="0" borderId="70" xfId="0" applyFont="1" applyBorder="1" applyAlignment="1">
      <alignment vertical="center"/>
    </xf>
    <xf numFmtId="0" fontId="74" fillId="0" borderId="27" xfId="0" applyFont="1" applyBorder="1" applyAlignment="1">
      <alignment horizontal="center" vertical="top" wrapText="1"/>
    </xf>
    <xf numFmtId="0" fontId="74" fillId="0" borderId="27" xfId="0" applyFont="1" applyBorder="1" applyAlignment="1">
      <alignment horizontal="center" vertical="center"/>
    </xf>
    <xf numFmtId="0" fontId="78" fillId="0" borderId="0" xfId="0" applyFont="1" applyAlignment="1">
      <alignment vertical="center"/>
    </xf>
    <xf numFmtId="0" fontId="74" fillId="2" borderId="1" xfId="0" applyFont="1" applyFill="1" applyBorder="1" applyAlignment="1">
      <alignment horizontal="center" vertical="top" wrapText="1"/>
    </xf>
    <xf numFmtId="0" fontId="76" fillId="2" borderId="1" xfId="0" applyFont="1" applyFill="1" applyBorder="1" applyAlignment="1">
      <alignment horizontal="center" vertical="center"/>
    </xf>
    <xf numFmtId="0" fontId="74" fillId="0" borderId="0" xfId="0" applyFont="1" applyAlignment="1">
      <alignment horizontal="center" vertical="top" wrapText="1"/>
    </xf>
    <xf numFmtId="0" fontId="76" fillId="2" borderId="1" xfId="0" applyFont="1" applyFill="1" applyBorder="1" applyAlignment="1">
      <alignment horizontal="center" vertical="top" wrapText="1"/>
    </xf>
    <xf numFmtId="0" fontId="115" fillId="0" borderId="7" xfId="0" applyFont="1" applyBorder="1" applyAlignment="1">
      <alignment wrapText="1"/>
    </xf>
    <xf numFmtId="0" fontId="115" fillId="0" borderId="7" xfId="0" applyFont="1" applyBorder="1" applyAlignment="1">
      <alignment horizontal="center" wrapText="1"/>
    </xf>
    <xf numFmtId="0" fontId="76" fillId="2" borderId="97" xfId="0" applyFont="1" applyFill="1" applyBorder="1" applyAlignment="1">
      <alignment vertical="center"/>
    </xf>
    <xf numFmtId="0" fontId="76" fillId="2" borderId="105" xfId="0" applyFont="1" applyFill="1" applyBorder="1" applyAlignment="1">
      <alignment vertical="center"/>
    </xf>
    <xf numFmtId="0" fontId="76" fillId="2" borderId="98" xfId="0" applyFont="1" applyFill="1" applyBorder="1" applyAlignment="1">
      <alignment vertical="center"/>
    </xf>
    <xf numFmtId="0" fontId="76" fillId="0" borderId="106" xfId="0" applyFont="1" applyBorder="1" applyAlignment="1">
      <alignment horizontal="right" vertical="center"/>
    </xf>
    <xf numFmtId="0" fontId="76" fillId="0" borderId="36" xfId="0" applyFont="1" applyBorder="1" applyAlignment="1">
      <alignment horizontal="right" vertical="center"/>
    </xf>
    <xf numFmtId="0" fontId="74" fillId="32" borderId="92" xfId="0" applyFont="1" applyFill="1" applyBorder="1" applyAlignment="1">
      <alignment horizontal="center"/>
    </xf>
    <xf numFmtId="0" fontId="76" fillId="32" borderId="92" xfId="0" applyFont="1" applyFill="1" applyBorder="1" applyAlignment="1">
      <alignment horizontal="center"/>
    </xf>
    <xf numFmtId="2" fontId="76" fillId="32" borderId="92" xfId="0" applyNumberFormat="1" applyFont="1" applyFill="1" applyBorder="1" applyAlignment="1">
      <alignment horizontal="center"/>
    </xf>
    <xf numFmtId="2" fontId="74" fillId="32" borderId="86" xfId="0" applyNumberFormat="1" applyFont="1" applyFill="1" applyBorder="1" applyAlignment="1">
      <alignment horizontal="center"/>
    </xf>
    <xf numFmtId="0" fontId="76" fillId="31" borderId="92" xfId="0" applyFont="1" applyFill="1" applyBorder="1" applyAlignment="1">
      <alignment horizontal="center"/>
    </xf>
    <xf numFmtId="0" fontId="76" fillId="31" borderId="92" xfId="0" applyFont="1" applyFill="1" applyBorder="1"/>
    <xf numFmtId="2" fontId="76" fillId="31" borderId="92" xfId="0" applyNumberFormat="1" applyFont="1" applyFill="1" applyBorder="1"/>
    <xf numFmtId="2" fontId="76" fillId="31" borderId="86" xfId="0" applyNumberFormat="1" applyFont="1" applyFill="1" applyBorder="1" applyAlignment="1">
      <alignment horizontal="center"/>
    </xf>
    <xf numFmtId="0" fontId="74" fillId="0" borderId="29" xfId="0" applyFont="1" applyBorder="1" applyAlignment="1">
      <alignment horizontal="left" vertical="top" wrapText="1"/>
    </xf>
    <xf numFmtId="0" fontId="76" fillId="0" borderId="19" xfId="0" applyFont="1" applyBorder="1"/>
    <xf numFmtId="0" fontId="76" fillId="2" borderId="107" xfId="0" applyFont="1" applyFill="1" applyBorder="1" applyAlignment="1">
      <alignment horizontal="center"/>
    </xf>
    <xf numFmtId="0" fontId="76" fillId="2" borderId="108" xfId="0" applyFont="1" applyFill="1" applyBorder="1" applyAlignment="1">
      <alignment horizontal="center"/>
    </xf>
    <xf numFmtId="0" fontId="76" fillId="2" borderId="109" xfId="0" applyFont="1" applyFill="1" applyBorder="1" applyAlignment="1">
      <alignment horizontal="center"/>
    </xf>
    <xf numFmtId="0" fontId="123" fillId="0" borderId="0" xfId="0" applyFont="1" applyAlignment="1">
      <alignment horizontal="center"/>
    </xf>
    <xf numFmtId="0" fontId="76" fillId="2" borderId="7" xfId="0" applyFont="1" applyFill="1" applyBorder="1" applyAlignment="1">
      <alignment horizontal="left" vertical="top" wrapText="1"/>
    </xf>
    <xf numFmtId="0" fontId="106" fillId="0" borderId="7" xfId="0" applyFont="1" applyBorder="1" applyAlignment="1">
      <alignment horizontal="left" vertical="top" wrapText="1"/>
    </xf>
    <xf numFmtId="0" fontId="106" fillId="0" borderId="7" xfId="0" applyFont="1" applyBorder="1" applyAlignment="1">
      <alignment horizontal="center" vertical="top" wrapText="1"/>
    </xf>
    <xf numFmtId="3" fontId="78" fillId="0" borderId="7" xfId="0" applyNumberFormat="1" applyFont="1" applyBorder="1" applyAlignment="1">
      <alignment horizontal="left" vertical="center"/>
    </xf>
    <xf numFmtId="3" fontId="78" fillId="0" borderId="70" xfId="0" applyNumberFormat="1" applyFont="1" applyBorder="1" applyAlignment="1">
      <alignment horizontal="left" vertical="center"/>
    </xf>
    <xf numFmtId="0" fontId="74" fillId="0" borderId="70" xfId="0" applyFont="1" applyBorder="1" applyAlignment="1">
      <alignment horizontal="center" vertical="top" wrapText="1"/>
    </xf>
    <xf numFmtId="0" fontId="4" fillId="0" borderId="70" xfId="0" applyFont="1" applyBorder="1" applyAlignment="1">
      <alignment horizontal="center" vertical="center"/>
    </xf>
    <xf numFmtId="0" fontId="74" fillId="0" borderId="70" xfId="0" applyFont="1" applyBorder="1" applyAlignment="1">
      <alignment horizontal="center" vertical="center"/>
    </xf>
    <xf numFmtId="3" fontId="78" fillId="0" borderId="0" xfId="0" applyNumberFormat="1" applyFont="1" applyAlignment="1">
      <alignment horizontal="left" vertical="center"/>
    </xf>
    <xf numFmtId="0" fontId="74" fillId="0" borderId="70" xfId="0" applyFont="1" applyBorder="1" applyAlignment="1">
      <alignment horizontal="left" vertical="center"/>
    </xf>
    <xf numFmtId="0" fontId="4" fillId="0" borderId="27" xfId="0" applyFont="1" applyBorder="1" applyAlignment="1">
      <alignment horizontal="center" vertical="center"/>
    </xf>
    <xf numFmtId="0" fontId="76" fillId="0" borderId="66" xfId="0" applyFont="1" applyBorder="1" applyAlignment="1">
      <alignment horizontal="center" vertical="center"/>
    </xf>
    <xf numFmtId="0" fontId="106" fillId="0" borderId="7" xfId="0" applyFont="1" applyBorder="1" applyAlignment="1">
      <alignment horizontal="center" vertical="center"/>
    </xf>
    <xf numFmtId="2" fontId="4" fillId="0" borderId="77" xfId="0" applyNumberFormat="1" applyFont="1" applyBorder="1"/>
    <xf numFmtId="0" fontId="74" fillId="0" borderId="22" xfId="0" applyFont="1" applyBorder="1" applyAlignment="1">
      <alignment vertical="center"/>
    </xf>
    <xf numFmtId="0" fontId="74" fillId="22" borderId="7" xfId="0" applyFont="1" applyFill="1" applyBorder="1" applyAlignment="1">
      <alignment horizontal="center"/>
    </xf>
    <xf numFmtId="0" fontId="62" fillId="0" borderId="88" xfId="0" applyFont="1" applyBorder="1" applyAlignment="1">
      <alignment horizontal="left" vertical="center"/>
    </xf>
    <xf numFmtId="0" fontId="62" fillId="0" borderId="89" xfId="0" applyFont="1" applyBorder="1" applyAlignment="1">
      <alignment horizontal="center" vertical="center"/>
    </xf>
    <xf numFmtId="0" fontId="62" fillId="0" borderId="89" xfId="0" applyFont="1" applyBorder="1" applyAlignment="1">
      <alignment horizontal="center"/>
    </xf>
    <xf numFmtId="0" fontId="62" fillId="0" borderId="89" xfId="0" applyFont="1" applyBorder="1" applyAlignment="1">
      <alignment horizontal="left"/>
    </xf>
    <xf numFmtId="0" fontId="62" fillId="0" borderId="89" xfId="0" applyFont="1" applyBorder="1" applyAlignment="1">
      <alignment horizontal="left" vertical="center"/>
    </xf>
    <xf numFmtId="2" fontId="62" fillId="0" borderId="90" xfId="0" applyNumberFormat="1" applyFont="1" applyBorder="1" applyAlignment="1">
      <alignment horizontal="center" vertical="center"/>
    </xf>
    <xf numFmtId="0" fontId="65" fillId="0" borderId="7" xfId="0" applyFont="1" applyBorder="1" applyAlignment="1">
      <alignment horizontal="left" vertical="top" wrapText="1"/>
    </xf>
    <xf numFmtId="0" fontId="61" fillId="0" borderId="7" xfId="0" applyFont="1" applyBorder="1"/>
    <xf numFmtId="0" fontId="61" fillId="2" borderId="7" xfId="0" applyFont="1" applyFill="1" applyBorder="1" applyAlignment="1">
      <alignment horizontal="center"/>
    </xf>
    <xf numFmtId="0" fontId="61" fillId="0" borderId="7" xfId="0" applyFont="1" applyBorder="1" applyAlignment="1">
      <alignment horizontal="left" vertical="top" wrapText="1"/>
    </xf>
    <xf numFmtId="0" fontId="68" fillId="0" borderId="26" xfId="0" applyFont="1" applyBorder="1" applyAlignment="1">
      <alignment horizontal="center" vertical="top" wrapText="1"/>
    </xf>
    <xf numFmtId="0" fontId="61" fillId="0" borderId="22" xfId="0" applyFont="1" applyBorder="1" applyAlignment="1">
      <alignment horizontal="center"/>
    </xf>
    <xf numFmtId="2" fontId="61" fillId="0" borderId="93" xfId="0" applyNumberFormat="1" applyFont="1" applyBorder="1" applyAlignment="1">
      <alignment horizontal="center"/>
    </xf>
    <xf numFmtId="0" fontId="68" fillId="0" borderId="29" xfId="0" applyFont="1" applyBorder="1" applyAlignment="1">
      <alignment horizontal="center" vertical="top" wrapText="1"/>
    </xf>
    <xf numFmtId="0" fontId="61" fillId="2" borderId="81" xfId="0" applyFont="1" applyFill="1" applyBorder="1" applyAlignment="1">
      <alignment horizontal="center"/>
    </xf>
    <xf numFmtId="0" fontId="4" fillId="0" borderId="15" xfId="0" applyFont="1" applyBorder="1" applyAlignment="1">
      <alignment horizontal="center" vertical="center"/>
    </xf>
    <xf numFmtId="3" fontId="98" fillId="31" borderId="103" xfId="0" applyNumberFormat="1" applyFont="1" applyFill="1" applyBorder="1" applyAlignment="1">
      <alignment horizontal="left" vertical="center"/>
    </xf>
    <xf numFmtId="3" fontId="98" fillId="31" borderId="104" xfId="0" applyNumberFormat="1" applyFont="1" applyFill="1" applyBorder="1" applyAlignment="1">
      <alignment horizontal="left" vertical="center"/>
    </xf>
    <xf numFmtId="3" fontId="98" fillId="31" borderId="4" xfId="0" applyNumberFormat="1" applyFont="1" applyFill="1" applyBorder="1" applyAlignment="1">
      <alignment horizontal="left" vertical="center"/>
    </xf>
    <xf numFmtId="3" fontId="98" fillId="31" borderId="2" xfId="0" applyNumberFormat="1" applyFont="1" applyFill="1" applyBorder="1" applyAlignment="1">
      <alignment horizontal="left" vertical="center"/>
    </xf>
    <xf numFmtId="3" fontId="74" fillId="0" borderId="7" xfId="0" applyNumberFormat="1" applyFont="1" applyBorder="1" applyAlignment="1">
      <alignment horizontal="left" vertical="center"/>
    </xf>
    <xf numFmtId="0" fontId="76" fillId="31" borderId="103" xfId="0" applyFont="1" applyFill="1" applyBorder="1" applyAlignment="1">
      <alignment horizontal="left" vertical="center"/>
    </xf>
    <xf numFmtId="0" fontId="76" fillId="31" borderId="104" xfId="0" applyFont="1" applyFill="1" applyBorder="1" applyAlignment="1">
      <alignment horizontal="left" vertical="center"/>
    </xf>
    <xf numFmtId="0" fontId="76" fillId="31" borderId="64" xfId="0" applyFont="1" applyFill="1" applyBorder="1" applyAlignment="1">
      <alignment horizontal="left" vertical="center"/>
    </xf>
    <xf numFmtId="0" fontId="76" fillId="31" borderId="65" xfId="0" applyFont="1" applyFill="1" applyBorder="1" applyAlignment="1">
      <alignment horizontal="left" vertical="center"/>
    </xf>
    <xf numFmtId="0" fontId="76" fillId="31" borderId="4" xfId="0" applyFont="1" applyFill="1" applyBorder="1" applyAlignment="1">
      <alignment horizontal="left" vertical="center"/>
    </xf>
    <xf numFmtId="0" fontId="76" fillId="31" borderId="2" xfId="0" applyFont="1" applyFill="1" applyBorder="1" applyAlignment="1">
      <alignment horizontal="left" vertical="center"/>
    </xf>
    <xf numFmtId="0" fontId="111" fillId="2" borderId="58" xfId="0" applyFont="1" applyFill="1" applyBorder="1" applyAlignment="1">
      <alignment horizontal="left" vertical="center"/>
    </xf>
    <xf numFmtId="0" fontId="111" fillId="2" borderId="3" xfId="0" applyFont="1" applyFill="1" applyBorder="1" applyAlignment="1">
      <alignment horizontal="left" vertical="center"/>
    </xf>
    <xf numFmtId="0" fontId="76" fillId="2" borderId="3" xfId="0" applyFont="1" applyFill="1" applyBorder="1" applyAlignment="1">
      <alignment horizontal="center" vertical="top" wrapText="1"/>
    </xf>
    <xf numFmtId="0" fontId="107" fillId="0" borderId="7" xfId="0" applyFont="1" applyBorder="1" applyAlignment="1">
      <alignment horizontal="center" vertical="top" wrapText="1"/>
    </xf>
    <xf numFmtId="0" fontId="68" fillId="0" borderId="26" xfId="0" applyFont="1" applyBorder="1" applyAlignment="1">
      <alignment vertical="top" wrapText="1"/>
    </xf>
    <xf numFmtId="0" fontId="68" fillId="0" borderId="29" xfId="0" applyFont="1" applyBorder="1" applyAlignment="1">
      <alignment vertical="top" wrapText="1"/>
    </xf>
    <xf numFmtId="0" fontId="68" fillId="0" borderId="7" xfId="0" applyFont="1" applyBorder="1" applyAlignment="1">
      <alignment vertical="top" wrapText="1"/>
    </xf>
    <xf numFmtId="3" fontId="110" fillId="0" borderId="7" xfId="0" applyNumberFormat="1" applyFont="1" applyBorder="1" applyAlignment="1">
      <alignment horizontal="left" vertical="center"/>
    </xf>
    <xf numFmtId="0" fontId="107" fillId="2" borderId="7" xfId="0" applyFont="1" applyFill="1" applyBorder="1" applyAlignment="1">
      <alignment horizontal="center"/>
    </xf>
    <xf numFmtId="0" fontId="111" fillId="0" borderId="22" xfId="0" applyFont="1" applyBorder="1" applyAlignment="1">
      <alignment horizontal="left" vertical="center"/>
    </xf>
    <xf numFmtId="0" fontId="111" fillId="0" borderId="67" xfId="0" applyFont="1" applyBorder="1" applyAlignment="1">
      <alignment horizontal="left" vertical="center"/>
    </xf>
    <xf numFmtId="2" fontId="76" fillId="0" borderId="93" xfId="0" applyNumberFormat="1" applyFont="1" applyBorder="1" applyAlignment="1">
      <alignment horizontal="center"/>
    </xf>
    <xf numFmtId="0" fontId="107" fillId="0" borderId="60" xfId="0" applyFont="1" applyBorder="1"/>
    <xf numFmtId="0" fontId="107" fillId="0" borderId="8" xfId="0" applyFont="1" applyBorder="1"/>
    <xf numFmtId="0" fontId="107" fillId="0" borderId="9" xfId="0" applyFont="1" applyBorder="1" applyAlignment="1">
      <alignment horizontal="right" vertical="center"/>
    </xf>
    <xf numFmtId="2" fontId="107" fillId="0" borderId="10" xfId="0" applyNumberFormat="1" applyFont="1" applyBorder="1" applyAlignment="1">
      <alignment horizontal="center"/>
    </xf>
    <xf numFmtId="2" fontId="107" fillId="0" borderId="12" xfId="0" applyNumberFormat="1" applyFont="1" applyBorder="1" applyAlignment="1">
      <alignment horizontal="center"/>
    </xf>
    <xf numFmtId="0" fontId="79" fillId="0" borderId="22" xfId="0" applyFont="1" applyBorder="1" applyAlignment="1">
      <alignment horizontal="left" vertical="center"/>
    </xf>
    <xf numFmtId="0" fontId="79" fillId="0" borderId="15" xfId="0" applyFont="1" applyBorder="1" applyAlignment="1">
      <alignment horizontal="left" vertical="center"/>
    </xf>
    <xf numFmtId="0" fontId="79" fillId="0" borderId="67" xfId="0" applyFont="1" applyBorder="1" applyAlignment="1">
      <alignment horizontal="left" vertical="center"/>
    </xf>
    <xf numFmtId="3" fontId="79" fillId="0" borderId="22" xfId="0" applyNumberFormat="1" applyFont="1" applyBorder="1" applyAlignment="1">
      <alignment horizontal="left" vertical="center"/>
    </xf>
    <xf numFmtId="3" fontId="79" fillId="0" borderId="67" xfId="0" applyNumberFormat="1" applyFont="1" applyBorder="1" applyAlignment="1">
      <alignment horizontal="left" vertical="center"/>
    </xf>
    <xf numFmtId="0" fontId="106" fillId="0" borderId="66" xfId="0" applyFont="1" applyBorder="1" applyAlignment="1">
      <alignment wrapText="1"/>
    </xf>
    <xf numFmtId="0" fontId="107" fillId="2" borderId="97" xfId="0" applyFont="1" applyFill="1" applyBorder="1" applyAlignment="1">
      <alignment horizontal="center" wrapText="1"/>
    </xf>
    <xf numFmtId="0" fontId="107" fillId="2" borderId="98" xfId="0" applyFont="1" applyFill="1" applyBorder="1" applyAlignment="1">
      <alignment horizontal="center" wrapText="1"/>
    </xf>
    <xf numFmtId="0" fontId="106" fillId="0" borderId="59" xfId="0" applyFont="1" applyBorder="1" applyAlignment="1">
      <alignment horizontal="center" wrapText="1"/>
    </xf>
    <xf numFmtId="0" fontId="106" fillId="0" borderId="84" xfId="0" applyFont="1" applyBorder="1" applyAlignment="1">
      <alignment horizontal="center" wrapText="1"/>
    </xf>
    <xf numFmtId="0" fontId="106" fillId="0" borderId="66" xfId="0" applyFont="1" applyBorder="1" applyAlignment="1">
      <alignment horizontal="center" wrapText="1"/>
    </xf>
    <xf numFmtId="0" fontId="106" fillId="0" borderId="59" xfId="0" applyFont="1" applyBorder="1" applyAlignment="1">
      <alignment wrapText="1"/>
    </xf>
    <xf numFmtId="2" fontId="106" fillId="0" borderId="84" xfId="0" applyNumberFormat="1" applyFont="1" applyBorder="1" applyAlignment="1">
      <alignment horizontal="center" wrapText="1"/>
    </xf>
    <xf numFmtId="0" fontId="106" fillId="0" borderId="19" xfId="0" applyFont="1" applyBorder="1" applyAlignment="1">
      <alignment horizontal="center" wrapText="1"/>
    </xf>
    <xf numFmtId="0" fontId="106" fillId="0" borderId="21" xfId="0" applyFont="1" applyBorder="1" applyAlignment="1">
      <alignment horizontal="center" wrapText="1"/>
    </xf>
    <xf numFmtId="0" fontId="106" fillId="0" borderId="5" xfId="0" applyFont="1" applyBorder="1" applyAlignment="1">
      <alignment horizontal="center" wrapText="1"/>
    </xf>
    <xf numFmtId="0" fontId="106" fillId="0" borderId="30" xfId="0" applyFont="1" applyBorder="1" applyAlignment="1">
      <alignment wrapText="1"/>
    </xf>
    <xf numFmtId="0" fontId="106" fillId="0" borderId="67" xfId="0" applyFont="1" applyBorder="1" applyAlignment="1">
      <alignment wrapText="1"/>
    </xf>
    <xf numFmtId="0" fontId="110" fillId="0" borderId="7" xfId="0" applyFont="1" applyBorder="1" applyAlignment="1">
      <alignment horizontal="left"/>
    </xf>
    <xf numFmtId="0" fontId="109" fillId="0" borderId="7" xfId="0" applyFont="1" applyBorder="1" applyAlignment="1">
      <alignment horizontal="center"/>
    </xf>
    <xf numFmtId="0" fontId="111" fillId="0" borderId="26" xfId="0" applyFont="1" applyBorder="1" applyAlignment="1">
      <alignment horizontal="center" vertical="center"/>
    </xf>
    <xf numFmtId="0" fontId="111" fillId="0" borderId="21" xfId="0" applyFont="1" applyBorder="1" applyAlignment="1">
      <alignment horizontal="center" vertical="center"/>
    </xf>
    <xf numFmtId="0" fontId="111" fillId="0" borderId="16" xfId="0" applyFont="1" applyBorder="1" applyAlignment="1">
      <alignment horizontal="center" vertical="center"/>
    </xf>
    <xf numFmtId="0" fontId="111" fillId="0" borderId="19" xfId="0" applyFont="1" applyBorder="1" applyAlignment="1">
      <alignment horizontal="center" vertical="center"/>
    </xf>
    <xf numFmtId="0" fontId="111" fillId="0" borderId="29" xfId="0" applyFont="1" applyBorder="1" applyAlignment="1">
      <alignment horizontal="center" vertical="center"/>
    </xf>
    <xf numFmtId="0" fontId="111" fillId="0" borderId="59" xfId="0" applyFont="1" applyBorder="1" applyAlignment="1">
      <alignment horizontal="center" vertical="center"/>
    </xf>
    <xf numFmtId="0" fontId="73" fillId="2" borderId="1" xfId="0" applyFont="1" applyFill="1" applyBorder="1"/>
    <xf numFmtId="0" fontId="106" fillId="0" borderId="22" xfId="0" applyFont="1" applyBorder="1" applyAlignment="1">
      <alignment horizontal="center" vertical="center"/>
    </xf>
    <xf numFmtId="0" fontId="106" fillId="0" borderId="15" xfId="0" applyFont="1" applyBorder="1" applyAlignment="1">
      <alignment horizontal="center" vertical="center"/>
    </xf>
    <xf numFmtId="0" fontId="106" fillId="0" borderId="27" xfId="0" applyFont="1" applyBorder="1" applyAlignment="1">
      <alignment horizontal="center" vertical="center"/>
    </xf>
    <xf numFmtId="0" fontId="107" fillId="2" borderId="97" xfId="0" applyFont="1" applyFill="1" applyBorder="1" applyAlignment="1">
      <alignment horizontal="center" vertical="top" wrapText="1"/>
    </xf>
    <xf numFmtId="0" fontId="107" fillId="2" borderId="98" xfId="0" applyFont="1" applyFill="1" applyBorder="1" applyAlignment="1">
      <alignment horizontal="center" vertical="top" wrapText="1"/>
    </xf>
    <xf numFmtId="0" fontId="110" fillId="0" borderId="69" xfId="0" applyFont="1" applyBorder="1" applyAlignment="1">
      <alignment horizontal="center" vertical="top" wrapText="1"/>
    </xf>
    <xf numFmtId="0" fontId="106" fillId="0" borderId="70" xfId="0" applyFont="1" applyBorder="1"/>
    <xf numFmtId="0" fontId="106" fillId="0" borderId="70" xfId="0" applyFont="1" applyBorder="1" applyAlignment="1">
      <alignment horizontal="center"/>
    </xf>
    <xf numFmtId="0" fontId="106" fillId="0" borderId="70" xfId="0" applyFont="1" applyBorder="1" applyAlignment="1">
      <alignment horizontal="center" vertical="center"/>
    </xf>
    <xf numFmtId="0" fontId="107" fillId="0" borderId="70" xfId="0" applyFont="1" applyBorder="1" applyAlignment="1">
      <alignment horizontal="center"/>
    </xf>
    <xf numFmtId="2" fontId="106" fillId="0" borderId="91" xfId="0" applyNumberFormat="1" applyFont="1" applyBorder="1" applyAlignment="1">
      <alignment horizontal="center"/>
    </xf>
    <xf numFmtId="0" fontId="110" fillId="0" borderId="0" xfId="0" applyFont="1" applyAlignment="1">
      <alignment horizontal="center" vertical="top" wrapText="1"/>
    </xf>
    <xf numFmtId="0" fontId="107" fillId="2" borderId="1" xfId="0" applyFont="1" applyFill="1" applyBorder="1" applyAlignment="1">
      <alignment horizontal="center" vertical="center"/>
    </xf>
    <xf numFmtId="0" fontId="106" fillId="0" borderId="0" xfId="0" applyFont="1" applyAlignment="1">
      <alignment horizontal="center" vertical="center"/>
    </xf>
    <xf numFmtId="0" fontId="74" fillId="2" borderId="1" xfId="0" applyFont="1" applyFill="1" applyBorder="1"/>
    <xf numFmtId="0" fontId="106" fillId="0" borderId="60" xfId="0" applyFont="1" applyBorder="1" applyAlignment="1">
      <alignment horizontal="center" wrapText="1"/>
    </xf>
    <xf numFmtId="0" fontId="107" fillId="2" borderId="7" xfId="0" applyFont="1" applyFill="1" applyBorder="1" applyAlignment="1">
      <alignment horizontal="center" wrapText="1"/>
    </xf>
    <xf numFmtId="0" fontId="106" fillId="0" borderId="7" xfId="0" applyFont="1" applyBorder="1" applyAlignment="1">
      <alignment horizontal="center" wrapText="1"/>
    </xf>
    <xf numFmtId="2" fontId="106" fillId="0" borderId="61" xfId="0" applyNumberFormat="1" applyFont="1" applyBorder="1" applyAlignment="1">
      <alignment horizontal="center" wrapText="1"/>
    </xf>
    <xf numFmtId="0" fontId="65" fillId="0" borderId="60" xfId="0" applyFont="1" applyBorder="1" applyAlignment="1">
      <alignment horizontal="center" vertical="center" wrapText="1"/>
    </xf>
    <xf numFmtId="0" fontId="124" fillId="0" borderId="7" xfId="0" applyFont="1" applyBorder="1" applyAlignment="1">
      <alignment horizontal="center" vertical="center"/>
    </xf>
    <xf numFmtId="0" fontId="8" fillId="0" borderId="7" xfId="0" applyFont="1" applyBorder="1" applyAlignment="1">
      <alignment horizontal="center" vertical="center"/>
    </xf>
    <xf numFmtId="0" fontId="125" fillId="0" borderId="7" xfId="0" applyFont="1" applyBorder="1" applyAlignment="1">
      <alignment horizontal="center" vertical="center"/>
    </xf>
    <xf numFmtId="0" fontId="126" fillId="0" borderId="7" xfId="0" applyFont="1" applyBorder="1" applyAlignment="1">
      <alignment horizontal="center" vertical="center" wrapText="1"/>
    </xf>
    <xf numFmtId="0" fontId="61" fillId="0" borderId="22" xfId="0" applyFont="1" applyBorder="1" applyAlignment="1">
      <alignment horizontal="center" vertical="center"/>
    </xf>
    <xf numFmtId="0" fontId="125" fillId="0" borderId="22" xfId="0" applyFont="1" applyBorder="1" applyAlignment="1">
      <alignment horizontal="center" vertical="center"/>
    </xf>
    <xf numFmtId="2" fontId="106" fillId="0" borderId="93" xfId="0" applyNumberFormat="1" applyFont="1" applyBorder="1" applyAlignment="1">
      <alignment horizontal="center"/>
    </xf>
    <xf numFmtId="0" fontId="107" fillId="0" borderId="22" xfId="0" applyFont="1" applyBorder="1" applyAlignment="1">
      <alignment horizontal="center" wrapText="1"/>
    </xf>
    <xf numFmtId="0" fontId="127" fillId="0" borderId="60" xfId="0" applyFont="1" applyBorder="1" applyAlignment="1">
      <alignment horizontal="center" vertical="center" wrapText="1"/>
    </xf>
    <xf numFmtId="0" fontId="3" fillId="0" borderId="22" xfId="0" applyFont="1" applyBorder="1" applyAlignment="1">
      <alignment horizontal="center" vertical="center"/>
    </xf>
    <xf numFmtId="0" fontId="76" fillId="2" borderId="58" xfId="0" applyFont="1" applyFill="1" applyBorder="1" applyAlignment="1">
      <alignment horizontal="center"/>
    </xf>
    <xf numFmtId="0" fontId="128" fillId="0" borderId="22" xfId="0" applyFont="1" applyBorder="1" applyAlignment="1">
      <alignment horizontal="center" vertical="center"/>
    </xf>
    <xf numFmtId="0" fontId="8" fillId="0" borderId="22" xfId="0" applyFont="1" applyBorder="1" applyAlignment="1">
      <alignment horizontal="center" vertical="center"/>
    </xf>
    <xf numFmtId="0" fontId="129" fillId="0" borderId="7" xfId="0" applyFont="1" applyBorder="1" applyAlignment="1">
      <alignment horizontal="center" vertical="center"/>
    </xf>
    <xf numFmtId="0" fontId="98" fillId="2" borderId="7" xfId="0" applyFont="1" applyFill="1" applyBorder="1" applyAlignment="1">
      <alignment horizontal="center" vertical="top" wrapText="1"/>
    </xf>
    <xf numFmtId="0" fontId="111" fillId="0" borderId="26" xfId="0" applyFont="1" applyBorder="1" applyAlignment="1">
      <alignment horizontal="center" vertical="center" wrapText="1"/>
    </xf>
    <xf numFmtId="0" fontId="111" fillId="0" borderId="21" xfId="0" applyFont="1" applyBorder="1" applyAlignment="1">
      <alignment horizontal="center" vertical="center" wrapText="1"/>
    </xf>
    <xf numFmtId="0" fontId="111" fillId="0" borderId="16" xfId="0" applyFont="1" applyBorder="1" applyAlignment="1">
      <alignment horizontal="center" vertical="center" wrapText="1"/>
    </xf>
    <xf numFmtId="0" fontId="111" fillId="0" borderId="19" xfId="0" applyFont="1" applyBorder="1" applyAlignment="1">
      <alignment horizontal="center" vertical="center" wrapText="1"/>
    </xf>
    <xf numFmtId="0" fontId="111" fillId="0" borderId="29" xfId="0" applyFont="1" applyBorder="1" applyAlignment="1">
      <alignment horizontal="center" vertical="center" wrapText="1"/>
    </xf>
    <xf numFmtId="0" fontId="111" fillId="0" borderId="59" xfId="0" applyFont="1" applyBorder="1" applyAlignment="1">
      <alignment horizontal="center" vertical="center" wrapText="1"/>
    </xf>
    <xf numFmtId="0" fontId="130" fillId="0" borderId="0" xfId="0" applyFont="1"/>
    <xf numFmtId="0" fontId="131" fillId="0" borderId="60" xfId="0" applyFont="1" applyBorder="1" applyAlignment="1">
      <alignment horizontal="center" vertical="center" wrapText="1"/>
    </xf>
    <xf numFmtId="0" fontId="130" fillId="0" borderId="7" xfId="0" applyFont="1" applyBorder="1" applyAlignment="1">
      <alignment horizontal="center" vertical="center"/>
    </xf>
    <xf numFmtId="0" fontId="130" fillId="0" borderId="7" xfId="0" applyFont="1" applyBorder="1" applyAlignment="1">
      <alignment horizontal="center"/>
    </xf>
    <xf numFmtId="2" fontId="130" fillId="0" borderId="61" xfId="0" applyNumberFormat="1" applyFont="1" applyBorder="1" applyAlignment="1">
      <alignment horizontal="center"/>
    </xf>
    <xf numFmtId="0" fontId="132" fillId="0" borderId="110" xfId="0" applyFont="1" applyBorder="1" applyAlignment="1">
      <alignment horizontal="center" vertical="center" textRotation="45"/>
    </xf>
    <xf numFmtId="0" fontId="132" fillId="0" borderId="56" xfId="0" applyFont="1" applyBorder="1" applyAlignment="1">
      <alignment horizontal="center" vertical="center" textRotation="45"/>
    </xf>
    <xf numFmtId="0" fontId="132" fillId="0" borderId="87" xfId="0" applyFont="1" applyBorder="1" applyAlignment="1">
      <alignment horizontal="center" vertical="center" textRotation="45"/>
    </xf>
    <xf numFmtId="0" fontId="107" fillId="2" borderId="1" xfId="0" applyFont="1" applyFill="1" applyBorder="1" applyAlignment="1">
      <alignment horizontal="center" wrapText="1"/>
    </xf>
    <xf numFmtId="0" fontId="106" fillId="0" borderId="0" xfId="0" applyFont="1" applyAlignment="1">
      <alignment horizontal="center" wrapText="1"/>
    </xf>
    <xf numFmtId="0" fontId="106" fillId="0" borderId="0" xfId="0" applyFont="1" applyAlignment="1">
      <alignment wrapText="1"/>
    </xf>
    <xf numFmtId="0" fontId="124" fillId="0" borderId="7" xfId="0" applyFont="1" applyBorder="1" applyAlignment="1">
      <alignment horizontal="left" vertical="center"/>
    </xf>
    <xf numFmtId="0" fontId="133" fillId="0" borderId="22" xfId="0" applyFont="1" applyBorder="1" applyAlignment="1">
      <alignment horizontal="left" vertical="center"/>
    </xf>
    <xf numFmtId="0" fontId="133" fillId="0" borderId="15" xfId="0" applyFont="1" applyBorder="1" applyAlignment="1">
      <alignment horizontal="left" vertical="center"/>
    </xf>
    <xf numFmtId="0" fontId="133" fillId="0" borderId="67" xfId="0" applyFont="1" applyBorder="1" applyAlignment="1">
      <alignment horizontal="left" vertical="center"/>
    </xf>
    <xf numFmtId="0" fontId="6" fillId="2" borderId="1" xfId="0" applyFont="1" applyFill="1" applyBorder="1" applyAlignment="1">
      <alignment horizontal="center" vertical="center"/>
    </xf>
    <xf numFmtId="0" fontId="119" fillId="0" borderId="95" xfId="0" applyFont="1" applyBorder="1" applyAlignment="1">
      <alignment horizontal="center"/>
    </xf>
    <xf numFmtId="0" fontId="119" fillId="0" borderId="96" xfId="0" applyFont="1" applyBorder="1" applyAlignment="1">
      <alignment horizontal="center"/>
    </xf>
    <xf numFmtId="0" fontId="107" fillId="2" borderId="97" xfId="0" applyFont="1" applyFill="1" applyBorder="1" applyAlignment="1">
      <alignment horizontal="center"/>
    </xf>
    <xf numFmtId="0" fontId="107" fillId="2" borderId="98" xfId="0" applyFont="1" applyFill="1" applyBorder="1" applyAlignment="1">
      <alignment horizontal="center"/>
    </xf>
    <xf numFmtId="0" fontId="74" fillId="0" borderId="60" xfId="0" applyFont="1" applyBorder="1" applyAlignment="1">
      <alignment horizontal="center"/>
    </xf>
    <xf numFmtId="0" fontId="74" fillId="0" borderId="7" xfId="0" applyFont="1" applyBorder="1" applyAlignment="1">
      <alignment horizontal="center" vertical="center" wrapText="1"/>
    </xf>
    <xf numFmtId="0" fontId="74" fillId="0" borderId="8" xfId="0" applyFont="1" applyBorder="1" applyAlignment="1">
      <alignment horizontal="left" vertical="center"/>
    </xf>
    <xf numFmtId="0" fontId="74" fillId="0" borderId="5" xfId="0" applyFont="1" applyBorder="1" applyAlignment="1">
      <alignment horizontal="center" vertical="center"/>
    </xf>
    <xf numFmtId="0" fontId="105" fillId="0" borderId="7" xfId="0" applyFont="1" applyBorder="1" applyAlignment="1">
      <alignment horizontal="left" vertical="center" wrapText="1"/>
    </xf>
    <xf numFmtId="0" fontId="105" fillId="0" borderId="7" xfId="0" applyFont="1" applyBorder="1" applyAlignment="1">
      <alignment horizontal="left" vertical="center"/>
    </xf>
    <xf numFmtId="0" fontId="105" fillId="0" borderId="7" xfId="0" applyFont="1" applyBorder="1" applyAlignment="1">
      <alignment horizontal="left"/>
    </xf>
    <xf numFmtId="0" fontId="74" fillId="0" borderId="22" xfId="0" applyFont="1" applyBorder="1" applyAlignment="1">
      <alignment horizontal="left" vertical="center"/>
    </xf>
    <xf numFmtId="0" fontId="105" fillId="0" borderId="22" xfId="0" applyFont="1" applyBorder="1" applyAlignment="1">
      <alignment horizontal="left" vertical="center"/>
    </xf>
    <xf numFmtId="0" fontId="76" fillId="0" borderId="15" xfId="0" applyFont="1" applyBorder="1" applyAlignment="1">
      <alignment horizontal="center" vertical="center"/>
    </xf>
    <xf numFmtId="0" fontId="107" fillId="0" borderId="15" xfId="0" applyFont="1" applyBorder="1" applyAlignment="1">
      <alignment horizontal="center" vertical="center"/>
    </xf>
    <xf numFmtId="0" fontId="76" fillId="2" borderId="60" xfId="0" applyFont="1" applyFill="1" applyBorder="1" applyAlignment="1">
      <alignment horizontal="center"/>
    </xf>
    <xf numFmtId="0" fontId="76" fillId="2" borderId="7" xfId="0" applyFont="1" applyFill="1" applyBorder="1" applyAlignment="1">
      <alignment horizontal="left" vertical="center"/>
    </xf>
    <xf numFmtId="0" fontId="76" fillId="2" borderId="81" xfId="0" applyFont="1" applyFill="1" applyBorder="1" applyAlignment="1">
      <alignment horizontal="center" vertical="center"/>
    </xf>
    <xf numFmtId="0" fontId="107" fillId="2" borderId="81" xfId="0" applyFont="1" applyFill="1" applyBorder="1" applyAlignment="1">
      <alignment horizontal="center" vertical="center"/>
    </xf>
    <xf numFmtId="0" fontId="79" fillId="0" borderId="26" xfId="0" applyFont="1" applyBorder="1" applyAlignment="1">
      <alignment horizontal="center" vertical="center"/>
    </xf>
    <xf numFmtId="0" fontId="79" fillId="0" borderId="21" xfId="0" applyFont="1" applyBorder="1" applyAlignment="1">
      <alignment horizontal="center" vertical="center"/>
    </xf>
    <xf numFmtId="0" fontId="79" fillId="0" borderId="16" xfId="0" applyFont="1" applyBorder="1" applyAlignment="1">
      <alignment horizontal="center" vertical="center"/>
    </xf>
    <xf numFmtId="0" fontId="79" fillId="0" borderId="19" xfId="0" applyFont="1" applyBorder="1" applyAlignment="1">
      <alignment horizontal="center" vertical="center"/>
    </xf>
    <xf numFmtId="0" fontId="79" fillId="0" borderId="29" xfId="0" applyFont="1" applyBorder="1" applyAlignment="1">
      <alignment horizontal="center" vertical="center"/>
    </xf>
    <xf numFmtId="0" fontId="79" fillId="0" borderId="59" xfId="0" applyFont="1" applyBorder="1" applyAlignment="1">
      <alignment horizontal="center" vertical="center"/>
    </xf>
    <xf numFmtId="0" fontId="6" fillId="0" borderId="0" xfId="0" applyFont="1" applyAlignment="1">
      <alignment vertical="center"/>
    </xf>
    <xf numFmtId="0" fontId="0" fillId="0" borderId="111" xfId="0" applyBorder="1"/>
    <xf numFmtId="0" fontId="0" fillId="0" borderId="111" xfId="0" pivotButton="1" applyBorder="1"/>
    <xf numFmtId="0" fontId="0" fillId="0" borderId="112" xfId="0" applyBorder="1"/>
    <xf numFmtId="0" fontId="4" fillId="0" borderId="72" xfId="0" applyFont="1" applyBorder="1"/>
    <xf numFmtId="0" fontId="39" fillId="17" borderId="72" xfId="0" applyFont="1" applyFill="1" applyBorder="1" applyAlignment="1">
      <alignment horizontal="center" vertical="center" wrapText="1"/>
    </xf>
    <xf numFmtId="164" fontId="47" fillId="0" borderId="72" xfId="0" applyNumberFormat="1" applyFont="1" applyBorder="1" applyAlignment="1">
      <alignment horizontal="center"/>
    </xf>
    <xf numFmtId="0" fontId="4" fillId="0" borderId="80" xfId="0" applyFont="1" applyBorder="1"/>
    <xf numFmtId="0" fontId="4" fillId="0" borderId="83" xfId="0" applyFont="1" applyBorder="1"/>
    <xf numFmtId="0" fontId="39" fillId="15" borderId="72" xfId="0" applyFont="1" applyFill="1" applyBorder="1" applyAlignment="1">
      <alignment horizontal="center" wrapText="1"/>
    </xf>
    <xf numFmtId="164" fontId="39" fillId="0" borderId="72" xfId="0" applyNumberFormat="1" applyFont="1" applyBorder="1" applyAlignment="1">
      <alignment horizontal="center"/>
    </xf>
    <xf numFmtId="164" fontId="47" fillId="0" borderId="83" xfId="0" applyNumberFormat="1" applyFont="1" applyBorder="1" applyAlignment="1">
      <alignment horizontal="center"/>
    </xf>
    <xf numFmtId="3" fontId="0" fillId="0" borderId="0" xfId="0" applyNumberFormat="1"/>
    <xf numFmtId="0" fontId="0" fillId="0" borderId="0" xfId="0" quotePrefix="1"/>
    <xf numFmtId="0" fontId="134" fillId="34" borderId="113" xfId="0" applyFont="1" applyFill="1" applyBorder="1"/>
    <xf numFmtId="0" fontId="135" fillId="0" borderId="0" xfId="0" applyFont="1"/>
    <xf numFmtId="167" fontId="0" fillId="0" borderId="0" xfId="0" applyNumberFormat="1"/>
    <xf numFmtId="1" fontId="0" fillId="0" borderId="0" xfId="0" applyNumberFormat="1"/>
    <xf numFmtId="0" fontId="0" fillId="35" borderId="0" xfId="0" applyFill="1"/>
    <xf numFmtId="3" fontId="0" fillId="0" borderId="114" xfId="0" applyNumberFormat="1" applyBorder="1"/>
    <xf numFmtId="3" fontId="0" fillId="0" borderId="115" xfId="0" applyNumberFormat="1" applyBorder="1"/>
    <xf numFmtId="0" fontId="2" fillId="35" borderId="0" xfId="0" applyFont="1" applyFill="1"/>
    <xf numFmtId="164" fontId="4" fillId="35" borderId="0" xfId="0" applyNumberFormat="1" applyFont="1" applyFill="1" applyAlignment="1">
      <alignment horizontal="center"/>
    </xf>
    <xf numFmtId="0" fontId="44" fillId="0" borderId="0" xfId="0" applyFont="1" applyAlignment="1">
      <alignment horizontal="left" vertical="center"/>
    </xf>
    <xf numFmtId="0" fontId="134" fillId="0" borderId="0" xfId="0" applyFont="1"/>
    <xf numFmtId="0" fontId="139" fillId="0" borderId="0" xfId="0" applyFont="1"/>
    <xf numFmtId="0" fontId="134" fillId="36" borderId="0" xfId="0" applyFont="1" applyFill="1"/>
    <xf numFmtId="0" fontId="134" fillId="36" borderId="113" xfId="0" applyFont="1" applyFill="1" applyBorder="1"/>
    <xf numFmtId="0" fontId="140" fillId="0" borderId="0" xfId="0" applyFont="1"/>
    <xf numFmtId="0" fontId="36" fillId="14" borderId="42" xfId="0" applyFont="1" applyFill="1" applyBorder="1" applyAlignment="1">
      <alignment horizontal="center"/>
    </xf>
    <xf numFmtId="0" fontId="27" fillId="0" borderId="44" xfId="0" applyFont="1" applyBorder="1"/>
    <xf numFmtId="0" fontId="36" fillId="14" borderId="80" xfId="0" applyFont="1" applyFill="1" applyBorder="1" applyAlignment="1">
      <alignment horizontal="center"/>
    </xf>
    <xf numFmtId="0" fontId="27" fillId="0" borderId="43" xfId="0" applyFont="1" applyBorder="1"/>
    <xf numFmtId="0" fontId="39" fillId="15" borderId="48" xfId="0" applyFont="1" applyFill="1" applyBorder="1" applyAlignment="1">
      <alignment horizontal="center" wrapText="1"/>
    </xf>
    <xf numFmtId="0" fontId="27" fillId="0" borderId="49" xfId="0" applyFont="1" applyBorder="1"/>
    <xf numFmtId="0" fontId="39" fillId="15" borderId="52" xfId="0" applyFont="1" applyFill="1" applyBorder="1" applyAlignment="1">
      <alignment horizontal="center" wrapText="1"/>
    </xf>
    <xf numFmtId="0" fontId="27" fillId="0" borderId="53" xfId="0" applyFont="1" applyBorder="1"/>
    <xf numFmtId="0" fontId="4" fillId="0" borderId="54" xfId="0" applyFont="1" applyBorder="1" applyAlignment="1">
      <alignment horizontal="center"/>
    </xf>
    <xf numFmtId="0" fontId="27" fillId="0" borderId="55" xfId="0" applyFont="1" applyBorder="1"/>
    <xf numFmtId="0" fontId="4" fillId="0" borderId="22" xfId="0" applyFont="1" applyBorder="1" applyAlignment="1">
      <alignment horizontal="center" vertical="center"/>
    </xf>
    <xf numFmtId="0" fontId="27" fillId="0" borderId="15" xfId="0" applyFont="1" applyBorder="1"/>
    <xf numFmtId="0" fontId="27" fillId="0" borderId="67" xfId="0" applyFont="1" applyBorder="1"/>
    <xf numFmtId="0" fontId="74" fillId="0" borderId="22" xfId="0" applyFont="1" applyBorder="1" applyAlignment="1">
      <alignment horizontal="center" vertical="center"/>
    </xf>
    <xf numFmtId="0" fontId="5" fillId="0" borderId="8" xfId="0" applyFont="1" applyBorder="1" applyAlignment="1">
      <alignment horizontal="center" vertical="center"/>
    </xf>
    <xf numFmtId="0" fontId="27" fillId="0" borderId="56" xfId="0" applyFont="1" applyBorder="1"/>
    <xf numFmtId="0" fontId="27" fillId="0" borderId="5" xfId="0" applyFont="1" applyBorder="1"/>
    <xf numFmtId="0" fontId="26" fillId="10" borderId="23" xfId="0" applyFont="1" applyFill="1" applyBorder="1" applyAlignment="1">
      <alignment horizontal="center" vertical="center"/>
    </xf>
    <xf numFmtId="0" fontId="27" fillId="0" borderId="24" xfId="0" applyFont="1" applyBorder="1"/>
    <xf numFmtId="0" fontId="27" fillId="0" borderId="38" xfId="0" applyFont="1" applyBorder="1"/>
    <xf numFmtId="0" fontId="27" fillId="0" borderId="39" xfId="0" applyFont="1" applyBorder="1"/>
    <xf numFmtId="0" fontId="5" fillId="0" borderId="25" xfId="0" applyFont="1" applyBorder="1" applyAlignment="1">
      <alignment horizontal="center" vertical="center"/>
    </xf>
    <xf numFmtId="0" fontId="27" fillId="0" borderId="25" xfId="0" applyFont="1" applyBorder="1"/>
    <xf numFmtId="0" fontId="27" fillId="0" borderId="30" xfId="0" applyFont="1" applyBorder="1"/>
    <xf numFmtId="0" fontId="5" fillId="11" borderId="32" xfId="0" applyFont="1" applyFill="1" applyBorder="1" applyAlignment="1">
      <alignment horizontal="center" vertical="center"/>
    </xf>
    <xf numFmtId="0" fontId="27" fillId="0" borderId="41" xfId="0" applyFont="1" applyBorder="1"/>
    <xf numFmtId="0" fontId="5" fillId="12" borderId="32" xfId="0" applyFont="1" applyFill="1" applyBorder="1" applyAlignment="1">
      <alignment horizontal="center" vertical="center"/>
    </xf>
    <xf numFmtId="0" fontId="32" fillId="13" borderId="32" xfId="0" applyFont="1" applyFill="1" applyBorder="1" applyAlignment="1">
      <alignment horizontal="left" vertical="center"/>
    </xf>
    <xf numFmtId="0" fontId="98" fillId="2" borderId="78" xfId="0" applyFont="1" applyFill="1" applyBorder="1" applyAlignment="1">
      <alignment horizontal="center"/>
    </xf>
    <xf numFmtId="0" fontId="27" fillId="0" borderId="79" xfId="0" applyFont="1" applyBorder="1"/>
    <xf numFmtId="0" fontId="0" fillId="0" borderId="72" xfId="0" applyBorder="1"/>
    <xf numFmtId="0" fontId="138" fillId="33" borderId="72" xfId="0" applyFont="1" applyFill="1" applyBorder="1"/>
    <xf numFmtId="0" fontId="139" fillId="0" borderId="72" xfId="0" applyFont="1" applyBorder="1"/>
    <xf numFmtId="0" fontId="4" fillId="35" borderId="13" xfId="0" applyFont="1" applyFill="1" applyBorder="1" applyAlignment="1">
      <alignment horizontal="left"/>
    </xf>
    <xf numFmtId="0" fontId="4" fillId="35" borderId="0" xfId="0" applyFont="1" applyFill="1" applyAlignment="1">
      <alignment horizontal="center"/>
    </xf>
  </cellXfs>
  <cellStyles count="1">
    <cellStyle name="Normal" xfId="0" builtinId="0"/>
  </cellStyles>
  <dxfs count="37">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numFmt numFmtId="3" formatCode="#,##0"/>
    </dxf>
    <dxf>
      <numFmt numFmtId="3" formatCode="#,##0"/>
    </dxf>
    <dxf>
      <numFmt numFmtId="3" formatCode="#,##0"/>
    </dxf>
    <dxf>
      <numFmt numFmtId="1" formatCode="0"/>
    </dxf>
    <dxf>
      <numFmt numFmtId="1" formatCode="0"/>
    </dxf>
    <dxf>
      <border outline="0">
        <bottom style="thin">
          <color auto="1"/>
        </bottom>
      </border>
    </dxf>
    <dxf>
      <font>
        <b/>
        <i val="0"/>
        <strike val="0"/>
        <condense val="0"/>
        <extend val="0"/>
        <outline val="0"/>
        <shadow val="0"/>
        <u val="none"/>
        <vertAlign val="baseline"/>
        <sz val="11"/>
        <color theme="1"/>
        <name val="Calibri"/>
        <scheme val="minor"/>
      </font>
      <fill>
        <patternFill patternType="solid">
          <fgColor indexed="64"/>
          <bgColor rgb="FFD9EAF7"/>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4">
    <tableStyle name="Challan Not in Stock-style" pivot="0" count="4" xr9:uid="{00000000-0011-0000-FFFF-FFFF00000000}">
      <tableStyleElement type="wholeTable" size="0" dxfId="36"/>
      <tableStyleElement type="headerRow" dxfId="35"/>
      <tableStyleElement type="firstRowStripe" dxfId="34"/>
      <tableStyleElement type="secondRowStripe" dxfId="33"/>
    </tableStyle>
    <tableStyle name="Master Invoice-style" pivot="0" count="4" xr9:uid="{00000000-0011-0000-FFFF-FFFF01000000}">
      <tableStyleElement type="wholeTable" size="0" dxfId="32"/>
      <tableStyleElement type="headerRow" dxfId="31"/>
      <tableStyleElement type="firstRowStripe" dxfId="30"/>
      <tableStyleElement type="secondRowStripe" dxfId="29"/>
    </tableStyle>
    <tableStyle name="Oil Records-style" pivot="0" count="4" xr9:uid="{00000000-0011-0000-FFFF-FFFF02000000}">
      <tableStyleElement type="wholeTable" size="0" dxfId="28"/>
      <tableStyleElement type="headerRow" dxfId="27"/>
      <tableStyleElement type="firstRowStripe" dxfId="26"/>
      <tableStyleElement type="secondRowStripe" dxfId="25"/>
    </tableStyle>
    <tableStyle name="CONDENSER_RECON_DETAIL-style" pivot="0" count="4" xr9:uid="{00000000-0011-0000-FFFF-FFFF03000000}">
      <tableStyleElement type="wholeTable" size="0" dxfId="24"/>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34" Type="http://schemas.openxmlformats.org/officeDocument/2006/relationships/sharedStrings" Target="sharedStrings.xml"/><Relationship Id="rId7" Type="http://schemas.openxmlformats.org/officeDocument/2006/relationships/worksheet" Target="worksheets/sheet7.xml"/><Relationship Id="rId33"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32" Type="http://schemas.openxmlformats.org/officeDocument/2006/relationships/theme" Target="theme/theme1.xml"/><Relationship Id="rId5" Type="http://schemas.openxmlformats.org/officeDocument/2006/relationships/worksheet" Target="worksheets/sheet5.xml"/><Relationship Id="rId36" Type="http://schemas.microsoft.com/office/2017/10/relationships/person" Target="persons/person.xml"/><Relationship Id="rId31" Type="http://customschemas.google.com/relationships/workbookmetadata" Target="metadata"/><Relationship Id="rId4" Type="http://schemas.openxmlformats.org/officeDocument/2006/relationships/worksheet" Target="worksheets/sheet4.xml"/><Relationship Id="rId35"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lyst" refreshedDate="46285.876519791665" createdVersion="8" refreshedVersion="8" minRefreshableVersion="3" recordCount="1911" xr:uid="{ACF96639-AB53-42C5-96B2-1155A4C23239}">
  <cacheSource type="worksheet">
    <worksheetSource name="PivotSource"/>
  </cacheSource>
  <cacheFields count="8">
    <cacheField name="Source Row" numFmtId="0">
      <sharedItems containsSemiMixedTypes="0" containsString="0" containsNumber="1" containsInteger="1" minValue="28" maxValue="16494"/>
    </cacheField>
    <cacheField name="Date" numFmtId="0">
      <sharedItems/>
    </cacheField>
    <cacheField name="Challan No" numFmtId="0">
      <sharedItems/>
    </cacheField>
    <cacheField name="Part Name" numFmtId="0">
      <sharedItems containsMixedTypes="1" containsNumber="1" containsInteger="1" minValue="404" maxValue="510" count="480">
        <s v="ESTEEM R12"/>
        <s v="ESTEEM R134A"/>
        <s v="SANTRO"/>
        <s v="UNIVERSAL"/>
        <s v="Indica Behr"/>
        <s v="Ford Ikon"/>
        <s v="Skoda"/>
        <s v="ZEN DELPHI R134A"/>
        <s v="Scorpio"/>
        <s v="Uni Condenser-25x28x26mm"/>
        <s v="TOKODEN FAN"/>
        <s v="PF MICROBUS"/>
        <s v="SANTRO XING 4 SPEED-TAKAI"/>
        <s v="TOKAI INNOVA A/C SWITCH"/>
        <s v="MF UNIVERSAL COND."/>
        <s v="COMPANY-A SONATA DRIER"/>
        <s v="SAFARI"/>
        <s v="QUALIS PAD"/>
        <s v="ESTEEM R-134A"/>
        <s v="SWIFT"/>
        <s v="ZEN DELPHI R12"/>
        <s v="VARNA"/>
        <s v="TRAVERA"/>
        <s v="FORD FEISTA"/>
        <s v="ZEN R134A"/>
        <s v="MARUTI 800 MPFI"/>
        <s v="MARUTI (F)"/>
        <s v="MARUTI (O)"/>
        <s v="INNOVA"/>
        <s v="HONDA CITY T-3"/>
        <s v="ACCENT PETROL"/>
        <s v="F' SK-405"/>
        <s v="COMP. OIL"/>
        <s v="SK BLOWER"/>
        <s v="SANTRO A/C SWITCH"/>
        <s v="404 BLOWER"/>
        <s v="405 BLOWER"/>
        <s v="COMPANYA A-6"/>
        <s v="MULTIFLOW MICROBUS"/>
        <s v="&quot;F&quot; SUPERKING 405"/>
        <s v="Comp. Oil 1 Liter"/>
        <s v="COMP.OIL 1LITR"/>
        <s v="F' 405 SUPERKING BLOWER"/>
        <s v="F' 404 BAZEL BLOWER"/>
        <s v="DRIER ESTEEM R12"/>
        <s v="DRIER BALERO/AMBASDER"/>
        <s v="DRIER MARUTI (O)"/>
        <s v="DRIER FORD IKON"/>
        <s v="COMPANY-A A-6"/>
        <s v="SCORPIO COOLING COIL"/>
        <s v="TOKODEN 12&quot; (STRAIGHT) FAN"/>
        <s v="TOKODEN 14&quot; JPI FAN"/>
        <s v="SKODA PIPE SET FOR REPLACEMENT"/>
        <s v="INDICA BEHR R134A"/>
        <s v="Indica Behr R134 a"/>
        <s v="indigo"/>
        <s v="SANTRO XING"/>
        <s v="TOKODEN 12&quot;X10"/>
        <s v="COMPANY-A"/>
        <s v="14&quot; STRAIGHT"/>
        <s v="&quot;F&quot; 404 BAZEL"/>
        <s v="BAZEL BLOWER-404"/>
        <s v="COMPANY-A FLAIR DRIER"/>
        <s v="INNOVA A/C SWITCH"/>
        <s v="TOKODEN FAN 12&quot;"/>
        <s v="UNICLA CONCORD"/>
        <s v="BLOWER SUPERKING"/>
        <s v="CONDENSER-SCORPIO"/>
        <s v="SUPERKING COIL"/>
        <s v="COMPANY-A MATIZ DRIER"/>
        <s v="COMPPRESSOR OIL"/>
        <s v="INDIGO COOLING COIL"/>
        <s v="CONCORD"/>
        <s v="COMPANY-A SANTRO COIL"/>
        <s v="COMPANY-A SANTRO XING"/>
        <s v="COMPANY-A TRAVERA CONDENSER"/>
        <s v="TOKODDEN 12&quot; FAN"/>
        <s v="CONCORD SUPERIOR"/>
        <s v="COMPANY-A QUALIS (F) PF CONDENSER"/>
        <s v="COMPANY-A INDICA BEHR R134A CONDENSER"/>
        <s v="DRIER- HONDA CITY"/>
        <s v="FORMULA 405 SUPERKING BLOWER"/>
        <s v="MICROBUS"/>
        <s v="QUALIS (F)"/>
        <s v="QUALIS (O)"/>
        <s v="A6"/>
        <s v="MICROBUS COOLING COIL"/>
        <s v="COROLLA"/>
        <s v="FAN 12&quot; (S)"/>
        <s v="FAN 12&quot; (STRAIGHT)"/>
        <s v="FAN 14&quot; (STRAIGHT)"/>
        <s v="COMPANY-A UNIVERSAL (F)"/>
        <s v="UNIVERSAL (O)"/>
        <s v="FAN 14&quot; STRAIGHT"/>
        <s v="COMPANY-A A6"/>
        <s v="AMBASDOR"/>
        <s v="UNIVERSAL (F)"/>
        <s v="COMPANY-A DRIER H.CITY -T3"/>
        <s v="QUALIS"/>
        <s v="MATIZ"/>
        <s v="Company-A Thermostate"/>
        <s v="Company-A O ring"/>
        <s v="Lencer Blower Switch"/>
        <s v="Unicla SK Blower"/>
        <s v="CRV"/>
        <s v="Baleno"/>
        <s v="Cielo"/>
        <s v="Esteem R-12"/>
        <s v="FORD FIESTA"/>
        <s v="Lancer HCC"/>
        <s v="Lancer MMC-2000"/>
        <s v="Opel"/>
        <s v="Optra"/>
        <s v="Sienna/Palio"/>
        <s v="Spark"/>
        <s v="Tata Safari"/>
        <s v="Tavera"/>
        <s v="Wagan R / Alto"/>
        <s v="Elantra"/>
        <s v="Seal AA-507"/>
        <s v="Seal WR/Alto"/>
        <s v="WR/ALTO"/>
        <s v="SKODA AGAINST REPLACEMENT"/>
        <s v="SK COIL"/>
        <s v="SK"/>
        <s v="14&quot; (STRAIGHT) FAN"/>
        <s v="12&quot; (STRAIGHT) FAN"/>
        <s v="Lancer Blower Switch"/>
        <s v="AMBASDOR CONDENSER"/>
        <s v="Accent"/>
        <s v="Getz"/>
        <s v="Honda City Type -3"/>
        <s v="Company-A Maruti O-ring"/>
        <s v="Universal Flair"/>
        <s v="Universal - O Ring"/>
        <s v="Concord plates"/>
        <s v="ND-8"/>
        <s v="ND-9"/>
        <s v="UNICLA"/>
        <s v="CONCORD PLATE"/>
        <n v="505"/>
        <n v="507"/>
        <s v="Tokai Santro Xing A/C Switch"/>
        <s v="Esteem-R134A"/>
        <s v="Zen R12"/>
        <s v="Zen R134"/>
        <s v="O RING"/>
        <n v="508"/>
        <n v="510"/>
        <s v="PARALL FLOW MICROBUS"/>
        <s v="BOLERO"/>
        <s v="OPAL CORSA"/>
        <s v="ZEN R134A SUBROS"/>
        <s v="ESTEEM R134"/>
        <s v="INDICA SUBROS R134A"/>
        <s v="HONDA CRV"/>
        <s v="SUPERKING"/>
        <s v="MARUTI MPFI 800"/>
        <s v="VARNA PETROL"/>
        <s v="SCORPIO 3 HOLE"/>
        <s v="SCORPIO 4 HOLE"/>
        <s v="ACCENT CRD-I"/>
        <s v="25X28X26mm"/>
        <s v="HONDA CITY"/>
        <s v="LANCER"/>
        <s v="14X15X22MM-F"/>
        <s v="14X15X22MM-O"/>
        <s v="14X23X22MM"/>
        <s v="14X18X20MM"/>
        <s v="14X21X20MM"/>
        <s v="14X23X20MM"/>
        <s v="10&quot;X10 STRAIGHT"/>
        <s v="10&quot;X6- S&quot;"/>
        <s v="12&quot;X10- STRAIGHT"/>
        <s v="12&quot;X10- &quot;S&quot;"/>
        <s v="14&quot;- JPI"/>
        <s v="16&quot;-S"/>
        <s v="O-RING"/>
        <s v="14X21X16MM"/>
        <s v="14X23X16MM"/>
        <s v="14&quot;-STRAIGHT"/>
        <s v="Maruti -800 MPFI"/>
        <n v="405"/>
        <s v="UNICLA SK"/>
        <s v="12&quot; (S)"/>
        <s v="CONDENSER H.CITY T 3"/>
        <s v="COIL SKODA"/>
        <s v="COIL CEILO"/>
        <s v="14X18X16MM"/>
        <s v="SKODA COIL"/>
        <s v="AVEO"/>
        <s v="LOGAN"/>
        <s v="14&quot; 'S' JPI"/>
        <s v="ESTEEM R 12"/>
        <s v="BS HOSE"/>
        <s v="CONCORD BEIGE"/>
        <s v="NDX-8MM (LID)"/>
        <s v="10&quot; STRAIGHT"/>
        <s v="12&quot; STRAIGHT"/>
        <s v="SEAL 507 SINGLE"/>
        <s v="HPLP ESTEEM R12"/>
        <s v="CONDENSER"/>
        <s v="HONDA CITY-T3"/>
        <s v="507-SINGLE"/>
        <s v="LANCER MMC"/>
        <s v="THERMOSTATE"/>
        <s v="H.CITY"/>
        <s v="PALIO"/>
        <s v="ZEN DELPHI R 12"/>
        <s v="ZEN DELPHI R 134"/>
        <s v="OIL"/>
        <s v="MARUTI &quot;F&quot;"/>
        <s v="ZEN DELPHI/SANTRO LARGE/MARTIZ"/>
        <s v="14X23X44MM"/>
        <s v="IKON"/>
        <s v="SANTRO SINGLE"/>
        <s v="SK-405"/>
        <s v="MARUTI 'F'"/>
        <s v="MARUTI 'O'"/>
        <s v="14X21X26MM"/>
        <s v="PALIO/SEINNA"/>
        <s v="16&quot;X10"/>
        <s v="LIQUID"/>
        <s v="DISCHARGE"/>
        <s v="BALERO-R134A"/>
        <s v="14X23X44"/>
        <s v="14X25X44"/>
        <s v="14X28X44"/>
        <s v="INDICA BEHR R 134A"/>
        <s v="14X15X20MM"/>
        <s v="14X15X22MM"/>
        <s v="UNIVERSAL-FLARE"/>
        <s v="AMB/BOLERO"/>
        <s v="AA-507"/>
        <s v="25X28X20MM"/>
        <s v="Sumo Vecta"/>
        <s v="UNICLA OIL R134A"/>
        <s v="LANCER BLOWER"/>
        <s v="INDICA BEHR-R134A"/>
        <s v="honda city type 3"/>
        <s v="zen -134a"/>
        <s v="santro 144r"/>
        <s v="indica behr 134a"/>
        <s v="Butane Gas"/>
        <s v="BATTI"/>
        <s v="UNICLA COMP OIL"/>
        <s v="ZEN-R134A"/>
        <s v="8MM"/>
        <s v="11MM"/>
        <s v="15MM"/>
        <s v="14X25X44MM"/>
        <s v="14X28X44MM"/>
        <s v="INDICA R134A SUBROS"/>
        <s v="WAGON R/ALTO"/>
        <s v="14X21X22MM"/>
        <s v="507 SINGLE"/>
        <s v="16&quot; 'S'"/>
        <s v="INDICA SUBROS"/>
        <s v="ZEN DELHI R12"/>
        <s v="14X18X22MM"/>
        <s v="AA 507"/>
        <s v="SONATA"/>
        <s v="ZEN DELPHI R134"/>
        <s v="HAIR DYE"/>
        <s v="14&quot; JPI 'S'"/>
        <s v="12&quot; BEHR 'S'"/>
        <s v="16&quot; JPI 'S'"/>
        <s v="LID"/>
        <s v="DIS"/>
        <s v="SUC"/>
        <s v="MICRO BUS"/>
        <s v="BOLERO R134A"/>
        <s v="ESTEEM RA134A"/>
        <s v="Bridgstone NDX 8MM"/>
        <s v="Bridgstone NDX 11MM"/>
        <s v="Bridgstone NDX 15MM"/>
        <s v="CORROLA"/>
        <s v="LIQ"/>
        <s v="MARUTI MPFI"/>
        <s v="CONORD PLATE"/>
        <s v="JPI 14&quot;"/>
        <s v="OPEL CORSA"/>
        <s v="SUMO VICTA"/>
        <s v="CORSA"/>
        <s v="SCORPIO 15&quot;"/>
        <s v="800 MPFI"/>
        <s v="MARUTI O RING"/>
        <s v="UNICAL CONCORD"/>
        <s v="FAN 10&quot; STRAIGHT"/>
        <s v="FAN 12&quot; STRAIGHT"/>
        <s v="405 SUPERKING"/>
        <s v="SHOHAN HAIR COLOR"/>
        <s v="HYN. ELENTRA"/>
        <s v="OPEL ASTRA"/>
        <s v="SX4"/>
        <s v="VERNA PETROL"/>
        <s v="ZEN R - 134A"/>
        <s v="ESTEEM R 134A"/>
        <s v="ZEN DELPHI R 134A"/>
        <s v="14 X 18 X 26MM FLARE"/>
        <s v="14 X 21 X 22 MM FLARE"/>
        <s v="14 X 21X 26 MM FLARE"/>
        <s v="14 X 23 X 22 MM FLARE"/>
        <s v="14 X 23 X 26 MMFLARE"/>
        <s v="14 X 23 X 20MM FLARE"/>
        <s v="12&quot; X 10 BLADE STRAIGHT"/>
        <s v="14&quot; X 10 BLADE STRAIGHT"/>
        <s v="10&quot; X 6 BALDE ' S' TYPE"/>
        <s v="JPI 14&quot; X 10 BLADE ' S'"/>
        <s v="SCORPIO S BLADE 15&quot;,12V"/>
        <s v="JPI 16&quot; X 10 S BLADE"/>
        <s v="3 SPEED A/C SANTRO SWITCH"/>
        <s v="WR"/>
        <s v="10&quot; 80W (S)"/>
        <s v="HYUNDAI GETZ RHD"/>
        <s v="GM TAVERA  RHD"/>
        <s v="FORD  FIESTA  RHD"/>
        <s v="NEW ATOZ XING  RHD"/>
        <s v="VERNA 2000 / ACCENT HCC  RHD"/>
        <s v="MITSUBISHI  LANCER  VISTEON RHD"/>
        <s v="EF  SONATA/SORENTO  RHD"/>
        <s v="ELANTRA 2000/AVANTE XD HALLA"/>
        <s v="HY VERNA 2006 / NEW VERNA RHD"/>
        <s v="ATOZ"/>
        <s v="HYUNDAI 05-99 SONATA,"/>
        <s v="i-30 / ELANTRA 2006 1.6 Diesel V.S-16 TYPE"/>
        <s v="ELANTRA 2000 diesel HS18 X 120mm x 6pk"/>
        <s v="KALOS/AVEO 1,500cc 360/20mm W/Drier"/>
        <s v="LACETTI /OPTERA With drier"/>
        <s v="FORD  Feista 2005"/>
        <s v="HONDA CRV 2000 With drier"/>
        <s v="GATZ 1.3-1.6  A/T With drier"/>
        <s v="EF SONATA 1998-2001 nut type"/>
        <s v="Suzuki  SX4  with drier"/>
        <s v="TOYOTA   CAMRY 2002  With r/drier"/>
        <s v="SUZUKI  SWIFT 2006  with  Drier"/>
        <s v="ATOZ 1998 / SANTRO"/>
        <s v="ATOZ NEW / SANTRO XING"/>
        <s v="Chevrolet  Tavera"/>
        <s v="FORD  IKON"/>
        <s v="HONDA   CITY III  2004 DENSO  w/drier"/>
        <s v="SUZUKI  BALENO"/>
        <s v="SUKUKI  Aerio/NEW BLAENO  02-05"/>
        <s v="TYT INNOVA"/>
        <s v="10&quot; (S)"/>
        <s v="12&quot; (Straight)"/>
        <s v="14x18x16 mm"/>
        <s v="12&quot;(s) Behr"/>
        <s v="14&quot;(s) JPI"/>
        <s v="14&quot; (Straight) 80w"/>
        <s v="ACCENT CRDI"/>
        <s v="QUALIS FLARE"/>
        <s v="QUALIS O RING"/>
        <s v="14x18x26mm flare"/>
        <s v="14x21x22mm flare"/>
        <s v="14x21x26mm flare"/>
        <s v="14x23x22mm flare"/>
        <s v="14x23x26mm flare"/>
        <s v="14x21x16mm flare"/>
        <s v="14x23x16mm flare"/>
        <s v="SK C.COIL"/>
        <s v="SKODA WITH DRIER"/>
        <s v="MINIBUS"/>
        <s v="Corrolla"/>
        <s v="Zen Delphi R-12"/>
        <s v="Zen Delphi R-134a"/>
        <s v="Ambassdor"/>
        <s v="Balero R-134a"/>
        <s v="Santro  Xing"/>
        <s v="Skoda(with Drier)"/>
        <s v="Wagon R"/>
        <s v="Zen R-134a"/>
        <s v="14X21X22"/>
        <s v="14X23X22"/>
        <s v="14X23X26"/>
        <s v="Ambassador"/>
        <s v="Zen R134 a"/>
        <s v="Zen R134a-Subros"/>
        <s v="VISTA"/>
        <s v="ZEN DELHI R-134A"/>
        <s v="INDIGO DICOR"/>
        <s v="ENDEVAOUR"/>
        <s v="FIESTA"/>
        <s v="HONDA CITY TYPE 5"/>
        <s v="FUSION"/>
        <s v="PALIO STYLE"/>
        <s v="ESTILO"/>
        <s v="A STAR"/>
        <s v="I-20"/>
        <s v="14X15X22 (O)"/>
        <s v="14X15X22 (F)"/>
        <s v="14X15X26 (F)"/>
        <s v="14X23X44 (F)"/>
        <s v="14X14X20 (F)"/>
        <s v="14X14X20 (O)"/>
        <s v="14X23X20 (F)"/>
        <s v="INDIGO WITH BRACKET"/>
        <s v="14X15X20 (F)"/>
        <s v="14X15X20 (O)"/>
        <s v="14X21X20 (F)"/>
        <s v="14X21X16 (F)"/>
        <s v="VOLVO"/>
        <s v="ZEN DIESAL"/>
        <s v="14X21X26"/>
        <s v="14X21X20"/>
        <s v="SX-4"/>
        <s v="ZEN DEISAL"/>
        <s v="14x14x20mm- O"/>
        <s v="14X21X16MM-F"/>
        <s v="ZEN SUBROS R134A"/>
        <s v="510 R134A"/>
        <s v="ESTEEM R 12 / ACCENT 2 PIN"/>
        <s v="INDICA R134A"/>
        <s v="UNIVERSAL - F"/>
        <s v="UNIVERSAL - 0"/>
        <s v="BUS UNI"/>
        <s v="ORING"/>
        <s v="CEILO"/>
        <s v="ND"/>
        <s v="Santro Large/Matiz/Zen Delphi"/>
        <s v="UNICLA OIL"/>
        <s v="ND OIL-ND9"/>
        <s v="UNICLA INS. TAPE"/>
        <s v="505/507 COMP BACK PLATE"/>
        <s v="THERMOSTAT"/>
        <s v="CONCORD WHEEL"/>
        <s v="CONCORD MOTOR"/>
        <s v="BAZEL 404"/>
        <s v="14X18X26MM"/>
        <s v="UNIVERSAL FLARE"/>
        <s v="UNIVERSAL O RING"/>
        <s v="BUS UNIVERSAL"/>
        <s v="UNICLA INSULATION TAPE"/>
        <s v="WR SEAL"/>
        <n v="404"/>
        <s v="CONCORD DIGITAL SWITCH          (Without Resistance &amp; wire)"/>
        <s v="ND OIL"/>
        <s v="ESTEEM-R12"/>
        <s v="SANTRO XING A/C SWITCH"/>
        <s v="SANTRO SMALL"/>
        <s v="CONCORD RESISTANCE"/>
        <s v="LOGAN BEHR"/>
        <s v="COMP BACK PLATE"/>
        <s v="SEAL-507"/>
        <s v="OPAL ASTRA"/>
        <s v="TQ"/>
        <s v="UNI FLARE"/>
        <s v="UNI. FLARE"/>
        <s v="EST. R134A"/>
        <s v="EST. R12"/>
        <s v="UNI BUS"/>
        <s v="WAGON- R"/>
        <s v="ZEN SUBROS R 134A"/>
        <s v="507 SINGLE SEAL"/>
        <s v="ND- SEAL"/>
        <s v="QUALIS FLARE`"/>
        <s v="507 SINGLE SMALL SEAL"/>
        <s v="COCORD MOTOR"/>
        <s v="UNI.FLARE"/>
        <s v="UNI.O RING"/>
        <s v="SKODA FABIA"/>
        <s v="ACCORD"/>
        <s v="LAURA"/>
        <s v="I-10"/>
        <s v="INDICA/BEHR-R134A WITH BRACKET"/>
        <s v="INDICA-134A-SUBROS"/>
        <s v="INDIGO (WITH BRAKET)"/>
        <s v="OPTRA- (DAEWOO LECETTI)"/>
        <s v="Qualis - PAD"/>
        <s v="WAGON R / ALTO"/>
        <s v="ZEN-DIESEL"/>
        <s v="ZEN-R12"/>
        <s v="14x15x26mm flare"/>
        <s v="14x18x22mm flare"/>
        <s v="14x23x44mm flare"/>
        <s v="14x25x44mm flare"/>
        <s v="Honda City-TYPE-3"/>
        <s v="14x21x20mm flare"/>
        <s v="Esteem-134a /Esteem Pad"/>
        <s v="14x23x20mm flare"/>
      </sharedItems>
    </cacheField>
    <cacheField name="Part Number" numFmtId="0">
      <sharedItems containsBlank="1" containsMixedTypes="1" containsNumber="1" containsInteger="1" minValue="405" maxValue="405" count="222">
        <s v="PC-8005"/>
        <s v="PC-8006"/>
        <s v="PC-8026"/>
        <s v="PC-6001"/>
        <s v="PC-8115"/>
        <s v="PC-8321"/>
        <s v="PC-143R"/>
        <s v="PC-204"/>
        <s v="PC-7159"/>
        <m/>
        <s v="12&quot;-Straight"/>
        <s v="25X28X26mm"/>
        <s v="25X28X20mm"/>
        <s v="12&quot; STRAIGHT"/>
        <s v="PC-6066"/>
        <s v="PC-86238"/>
        <s v="PC-86235"/>
        <s v="PC-036R134A"/>
        <s v="PC-211"/>
        <s v="PC-050R12"/>
        <s v="PC-207"/>
        <s v="PC-012"/>
        <s v="PC-205"/>
        <s v="PC-86247"/>
        <s v="PC-86245"/>
        <s v="PC-86092"/>
        <s v="PC-8047"/>
        <s v="PC-8051"/>
        <s v="PC-86046"/>
        <s v="PC-86240"/>
        <s v="PC-86248"/>
        <s v="MODEL 405"/>
        <s v="1 LTR"/>
        <s v="TOKAI"/>
        <s v="A-6"/>
        <s v="PC-8120"/>
        <s v="PC-86233"/>
        <s v="PC-86093"/>
        <s v="PC-7157"/>
        <s v="PC-86239"/>
        <s v="STRAIGHT"/>
        <s v="A6"/>
        <s v="TOKODEN"/>
        <s v="STREIGHT"/>
        <n v="405"/>
        <s v="PC86093"/>
        <s v="1ltr"/>
        <s v="PC-8096"/>
        <s v="UNICLA-1 LTR"/>
        <s v="PC-"/>
        <s v="UNICLA"/>
        <s v="PC-144R"/>
        <s v="PC-86125"/>
        <s v="PC-86090"/>
        <s v="BEIGE"/>
        <s v="GREY"/>
        <s v="PC-86234"/>
        <s v="PC-8020"/>
        <s v="PC-86244"/>
        <s v="BLUE STICKER"/>
        <s v="PC-8122"/>
        <s v="PC-8008"/>
        <s v="PC-1229A"/>
        <s v="PC-926"/>
        <s v="PC-113R"/>
        <s v="PC-142R"/>
        <s v="PC-043R"/>
        <s v="PC-114R"/>
        <s v="PC-036R12"/>
        <s v="PC-053"/>
        <s v="PC-209"/>
        <s v="PC-206"/>
        <s v="PC-051R"/>
        <s v="PC-052R"/>
        <s v="PC-210"/>
        <s v="PC-054"/>
        <s v="PC-249R"/>
        <s v="PC-8083"/>
        <s v="PC-208"/>
        <s v="PC-135R"/>
        <s v="PC-7038D"/>
        <s v="PC-86037"/>
        <s v="PC-86041"/>
        <s v="PC-250R"/>
        <s v="PC-055R"/>
        <s v="PC-024R"/>
        <s v="250G"/>
        <s v="1L"/>
        <s v="PC-036R-134A"/>
        <s v="PC-050R"/>
        <s v="PC-8095"/>
        <s v="PC-8082"/>
        <s v="PC-86237"/>
        <s v="PC-86036"/>
        <s v="PC-86101"/>
        <s v="PC-86186"/>
        <s v="PC-86066"/>
        <s v="PC-86027"/>
        <s v="PC-86027B"/>
        <s v="PC-86110"/>
        <s v="PC-86004"/>
        <s v="PC-8053"/>
        <s v="PC-8115A"/>
        <s v="PC-8115B"/>
        <s v="PC-86064"/>
        <s v="PC-8017"/>
        <s v="EXCHANGED"/>
        <s v="REP OF EMX SLIP NO.06/27.6.09"/>
        <s v="PC-1046"/>
        <s v="1 ROLL"/>
        <s v="3 ROLL"/>
        <s v="2 ROLL"/>
        <s v="PC-7053A"/>
        <s v="PC-86246B"/>
        <s v="PC-8084"/>
        <s v="PC-7058A"/>
        <s v="8MM"/>
        <s v="PC-86064B"/>
        <s v="11MM"/>
        <s v="PC-7032A"/>
        <s v="PC-86236"/>
        <s v="PC-86034"/>
        <s v="(BEIGE)"/>
        <s v="PLATES"/>
        <s v="O RING"/>
        <s v="FLARE"/>
        <s v="PC-86241"/>
        <s v="1 LITER"/>
        <s v="AA"/>
        <s v="PC-86207"/>
        <s v="PC-036R"/>
        <s v="PC-86246"/>
        <s v="FLAIR"/>
        <s v="DIS"/>
        <s v="PC-7034A"/>
        <s v="TS-8805-A"/>
        <s v="TS-8805-CB"/>
        <s v="TS-8805-E"/>
        <s v="PC-7159R"/>
        <s v="15MM"/>
        <s v="LID"/>
        <s v="SUC"/>
        <s v="PC-86039"/>
        <s v="PC-86038"/>
        <s v="PC-86042"/>
        <s v="PC-7029"/>
        <s v="BS"/>
        <s v="REP A/C"/>
        <s v="(24+1)"/>
        <s v="(23+1)"/>
        <s v="PC-1047B"/>
        <s v="PC-036R-134"/>
        <s v="STK CLEARED"/>
        <s v="PC-86064 B"/>
        <s v="PC-86242"/>
        <s v="PC-86276"/>
        <s v="PC-86270"/>
        <s v="PC-86273"/>
        <s v="PC-86277"/>
        <s v="PC-86272"/>
        <s v="PC-86278"/>
        <s v="PC-86271"/>
        <s v="PC-86269"/>
        <s v="PC-86275"/>
        <s v="PC-86274"/>
        <s v="PC-86268"/>
        <s v="PC-86015"/>
        <s v="PC-S-141522-O"/>
        <s v="PC-S-141522-F"/>
        <s v="PC-S-141526-F"/>
        <s v="PC-S-142344-F"/>
        <s v="PC-252820"/>
        <s v="PC-PFC-141420-F"/>
        <s v="PC-PFC-141420-O"/>
        <s v="PC-PFC-142320-F"/>
        <s v="PC-86087"/>
        <s v="PC-024-R"/>
        <s v="PC-PFC-141520-F"/>
        <s v="PC-PFC-141520-O"/>
        <s v="PC-PFC-142120-F"/>
        <s v="PC-86255B"/>
        <s v="PC-86025"/>
        <s v="PC-86279"/>
        <s v="NEW DESIGN"/>
        <s v="PC-204R"/>
        <s v="PC-1054B"/>
        <s v="PC-1045B"/>
        <s v="PC-1065"/>
        <s v="PC-1066"/>
        <s v="PC-6002"/>
        <s v="PC-61020"/>
        <s v="PC-8031"/>
        <s v="PC-8797"/>
        <s v="PC-407R"/>
        <s v="PC-8905R"/>
        <s v="PC-7059A"/>
        <s v="PC-7031A"/>
        <s v="PC-7237"/>
        <s v="4 LTR"/>
        <s v="PC-1229-A"/>
        <s v="PC-86040"/>
        <s v="PC-86043"/>
        <s v="PC-86270 R134A"/>
        <s v="SP"/>
        <s v="848L"/>
        <s v="PC-A6"/>
        <s v="PC-86243"/>
        <s v="PC-86270-R134A"/>
        <s v="PC-8904R"/>
        <s v="PC-050"/>
        <s v="R134A"/>
        <s v="PC-7217"/>
        <s v="505/507"/>
        <s v="PC-7210"/>
        <s v="PC-1801A"/>
        <s v="PC-7061A"/>
        <s v="PC-036R 134A"/>
        <s v="PC-86270R12"/>
        <s v="PC-86134"/>
        <s v="PC-86251"/>
        <s v="PC-86026B"/>
        <s v="PC-86266"/>
      </sharedItems>
    </cacheField>
    <cacheField name="Cartons / Units" numFmtId="0">
      <sharedItems containsSemiMixedTypes="0" containsString="0" containsNumber="1" minValue="0" maxValue="350"/>
    </cacheField>
    <cacheField name="Pcs per Unit" numFmtId="0">
      <sharedItems containsSemiMixedTypes="0" containsString="0" containsNumber="1" containsInteger="1" minValue="0" maxValue="500"/>
    </cacheField>
    <cacheField name="Total Qty" numFmtId="3">
      <sharedItems containsSemiMixedTypes="0" containsString="0" containsNumber="1" containsInteger="1" minValue="0" maxValue="98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1">
  <r>
    <n v="28"/>
    <s v="02.04.09"/>
    <s v="GG/001/09-10"/>
    <x v="0"/>
    <x v="0"/>
    <n v="8"/>
    <n v="25"/>
    <n v="200"/>
  </r>
  <r>
    <n v="30"/>
    <s v="02.04.09"/>
    <s v="GG/001/09-10"/>
    <x v="1"/>
    <x v="1"/>
    <n v="12"/>
    <n v="25"/>
    <n v="300"/>
  </r>
  <r>
    <n v="32"/>
    <s v="02.04.09"/>
    <s v="GG/001/09-10"/>
    <x v="2"/>
    <x v="2"/>
    <n v="12"/>
    <n v="25"/>
    <n v="300"/>
  </r>
  <r>
    <n v="66"/>
    <s v="03.04.09"/>
    <s v="GG/002/09-10"/>
    <x v="3"/>
    <x v="3"/>
    <n v="8"/>
    <n v="25"/>
    <n v="200"/>
  </r>
  <r>
    <n v="107"/>
    <s v="03.04.09"/>
    <s v="GG/003/09-10"/>
    <x v="2"/>
    <x v="2"/>
    <n v="4"/>
    <n v="25"/>
    <n v="100"/>
  </r>
  <r>
    <n v="108"/>
    <s v="03.04.09"/>
    <s v="GG/003/09-10"/>
    <x v="4"/>
    <x v="4"/>
    <n v="4"/>
    <n v="25"/>
    <n v="100"/>
  </r>
  <r>
    <n v="109"/>
    <s v="03.04.09"/>
    <s v="GG/003/09-10"/>
    <x v="5"/>
    <x v="5"/>
    <n v="1"/>
    <n v="20"/>
    <n v="20"/>
  </r>
  <r>
    <n v="112"/>
    <s v="03.04.09"/>
    <s v="GG/003/09-10"/>
    <x v="6"/>
    <x v="6"/>
    <n v="9"/>
    <n v="1"/>
    <n v="9"/>
  </r>
  <r>
    <n v="114"/>
    <s v="03.04.09"/>
    <s v="GG/003/09-10"/>
    <x v="7"/>
    <x v="7"/>
    <n v="19"/>
    <n v="1"/>
    <n v="19"/>
  </r>
  <r>
    <n v="115"/>
    <s v="03.04.09"/>
    <s v="GG/003/09-10"/>
    <x v="8"/>
    <x v="8"/>
    <n v="3"/>
    <n v="4"/>
    <n v="12"/>
  </r>
  <r>
    <n v="198"/>
    <s v="04.04.09"/>
    <s v="GG/005/09-10"/>
    <x v="9"/>
    <x v="9"/>
    <n v="14"/>
    <n v="5"/>
    <n v="70"/>
  </r>
  <r>
    <n v="240"/>
    <s v="08.04.09"/>
    <s v="GG/006/09-10"/>
    <x v="10"/>
    <x v="10"/>
    <n v="10"/>
    <n v="10"/>
    <n v="100"/>
  </r>
  <r>
    <n v="242"/>
    <s v="08.04.09"/>
    <s v="GG/006/09-10"/>
    <x v="11"/>
    <x v="9"/>
    <n v="5"/>
    <n v="1"/>
    <n v="5"/>
  </r>
  <r>
    <n v="245"/>
    <s v="08.04.09"/>
    <s v="GG/006/09-10"/>
    <x v="11"/>
    <x v="9"/>
    <n v="5"/>
    <n v="1"/>
    <n v="5"/>
  </r>
  <r>
    <n v="283"/>
    <s v="08.04.09"/>
    <s v="GG/007/09-10"/>
    <x v="12"/>
    <x v="9"/>
    <n v="1"/>
    <n v="200"/>
    <n v="200"/>
  </r>
  <r>
    <n v="327"/>
    <s v="09.04.09"/>
    <s v="GG/008/09-10"/>
    <x v="13"/>
    <x v="9"/>
    <n v="1"/>
    <n v="50"/>
    <n v="50"/>
  </r>
  <r>
    <n v="371"/>
    <s v="10.04.09"/>
    <s v="GG/009/09-10"/>
    <x v="14"/>
    <x v="11"/>
    <n v="2"/>
    <n v="5"/>
    <n v="10"/>
  </r>
  <r>
    <n v="373"/>
    <s v="10.04.09"/>
    <s v="GG/009/09-10"/>
    <x v="14"/>
    <x v="12"/>
    <n v="3"/>
    <n v="5"/>
    <n v="15"/>
  </r>
  <r>
    <n v="375"/>
    <s v="10.04.09"/>
    <s v="GG/009/09-10"/>
    <x v="10"/>
    <x v="13"/>
    <n v="5"/>
    <n v="10"/>
    <n v="50"/>
  </r>
  <r>
    <n v="377"/>
    <s v="10.04.09"/>
    <s v="GG/009/09-10"/>
    <x v="15"/>
    <x v="14"/>
    <n v="1"/>
    <n v="25"/>
    <n v="25"/>
  </r>
  <r>
    <n v="418"/>
    <s v="10.04.09"/>
    <s v="GG/010/09-10"/>
    <x v="14"/>
    <x v="11"/>
    <n v="2"/>
    <n v="5"/>
    <n v="10"/>
  </r>
  <r>
    <n v="420"/>
    <s v="10.04.09"/>
    <s v="GG/010/09-10"/>
    <x v="16"/>
    <x v="15"/>
    <n v="2"/>
    <n v="5"/>
    <n v="10"/>
  </r>
  <r>
    <n v="422"/>
    <s v="10.04.09"/>
    <s v="GG/010/09-10"/>
    <x v="17"/>
    <x v="16"/>
    <n v="3"/>
    <n v="5"/>
    <n v="15"/>
  </r>
  <r>
    <n v="460"/>
    <s v="17.04.09"/>
    <s v="GG/011/09-10"/>
    <x v="1"/>
    <x v="1"/>
    <n v="18"/>
    <n v="25"/>
    <n v="450"/>
  </r>
  <r>
    <n v="506"/>
    <s v="17.04.09"/>
    <s v="GG/012/09-10"/>
    <x v="18"/>
    <x v="17"/>
    <n v="4"/>
    <n v="1"/>
    <n v="4"/>
  </r>
  <r>
    <n v="507"/>
    <s v="17.04.09"/>
    <s v="GG/012/09-10"/>
    <x v="19"/>
    <x v="18"/>
    <n v="4"/>
    <n v="1"/>
    <n v="4"/>
  </r>
  <r>
    <n v="508"/>
    <s v="17.04.09"/>
    <s v="GG/012/09-10"/>
    <x v="20"/>
    <x v="19"/>
    <n v="7"/>
    <n v="1"/>
    <n v="7"/>
  </r>
  <r>
    <n v="509"/>
    <s v="17.04.09"/>
    <s v="GG/012/09-10"/>
    <x v="21"/>
    <x v="20"/>
    <n v="11"/>
    <n v="1"/>
    <n v="11"/>
  </r>
  <r>
    <n v="510"/>
    <s v="17.04.09"/>
    <s v="GG/012/09-10"/>
    <x v="22"/>
    <x v="21"/>
    <n v="5"/>
    <n v="1"/>
    <n v="5"/>
  </r>
  <r>
    <n v="511"/>
    <s v="17.04.09"/>
    <s v="GG/012/09-10"/>
    <x v="23"/>
    <x v="22"/>
    <n v="4"/>
    <n v="1"/>
    <n v="4"/>
  </r>
  <r>
    <n v="550"/>
    <s v="18.04.09"/>
    <s v="GG/013/09-10"/>
    <x v="22"/>
    <x v="23"/>
    <n v="3"/>
    <n v="5"/>
    <n v="15"/>
  </r>
  <r>
    <n v="552"/>
    <s v="18.04.09"/>
    <s v="GG/013/09-10"/>
    <x v="24"/>
    <x v="24"/>
    <n v="3"/>
    <n v="5"/>
    <n v="15"/>
  </r>
  <r>
    <n v="554"/>
    <s v="18.04.09"/>
    <s v="GG/013/09-10"/>
    <x v="25"/>
    <x v="25"/>
    <n v="2"/>
    <n v="5"/>
    <n v="10"/>
  </r>
  <r>
    <n v="594"/>
    <s v="21.04.09"/>
    <s v="GG/014/09-10"/>
    <x v="24"/>
    <x v="24"/>
    <n v="3"/>
    <n v="5"/>
    <n v="15"/>
  </r>
  <r>
    <n v="596"/>
    <s v="21.04.09"/>
    <s v="GG/014/09-10"/>
    <x v="25"/>
    <x v="25"/>
    <n v="9"/>
    <n v="5"/>
    <n v="45"/>
  </r>
  <r>
    <n v="637"/>
    <s v="22.04.09"/>
    <s v="GG/015/09-10"/>
    <x v="3"/>
    <x v="3"/>
    <n v="8"/>
    <n v="25"/>
    <n v="200"/>
  </r>
  <r>
    <n v="638"/>
    <s v="22.04.09"/>
    <s v="GG/015/09-10"/>
    <x v="0"/>
    <x v="0"/>
    <n v="4"/>
    <n v="25"/>
    <n v="100"/>
  </r>
  <r>
    <n v="639"/>
    <s v="22.04.09"/>
    <s v="GG/015/09-10"/>
    <x v="26"/>
    <x v="26"/>
    <n v="1"/>
    <n v="25"/>
    <n v="25"/>
  </r>
  <r>
    <n v="640"/>
    <s v="22.04.09"/>
    <s v="GG/015/09-10"/>
    <x v="27"/>
    <x v="27"/>
    <n v="1"/>
    <n v="25"/>
    <n v="25"/>
  </r>
  <r>
    <n v="643"/>
    <s v="22.04.09"/>
    <s v="GG/015/09-10"/>
    <x v="28"/>
    <x v="28"/>
    <n v="2"/>
    <n v="5"/>
    <n v="10"/>
  </r>
  <r>
    <n v="644"/>
    <s v="22.04.09"/>
    <s v="GG/015/09-10"/>
    <x v="29"/>
    <x v="29"/>
    <n v="1"/>
    <n v="5"/>
    <n v="5"/>
  </r>
  <r>
    <n v="684"/>
    <s v="25.04.09"/>
    <s v="GG/016/09-10"/>
    <x v="30"/>
    <x v="30"/>
    <n v="1"/>
    <n v="5"/>
    <n v="5"/>
  </r>
  <r>
    <n v="685"/>
    <s v="25.04.09"/>
    <s v="GG/016/09-10"/>
    <x v="22"/>
    <x v="23"/>
    <n v="2"/>
    <n v="5"/>
    <n v="10"/>
  </r>
  <r>
    <n v="688"/>
    <s v="25.04.09"/>
    <s v="GG/016/09-10"/>
    <x v="31"/>
    <x v="31"/>
    <n v="1"/>
    <n v="1"/>
    <n v="1"/>
  </r>
  <r>
    <n v="690"/>
    <s v="25.04.09"/>
    <s v="GG/016/09-10"/>
    <x v="32"/>
    <x v="32"/>
    <n v="20"/>
    <n v="24"/>
    <n v="480"/>
  </r>
  <r>
    <n v="692"/>
    <s v="25.04.09"/>
    <s v="GG/016/09-10"/>
    <x v="33"/>
    <x v="9"/>
    <n v="25"/>
    <n v="1"/>
    <n v="25"/>
  </r>
  <r>
    <n v="726"/>
    <s v="25.04.09"/>
    <s v="GG/017/09-10"/>
    <x v="32"/>
    <x v="32"/>
    <n v="20"/>
    <n v="24"/>
    <n v="480"/>
  </r>
  <r>
    <n v="728"/>
    <s v="25.04.09"/>
    <s v="GG/017/09-10"/>
    <x v="34"/>
    <x v="33"/>
    <n v="1"/>
    <n v="200"/>
    <n v="200"/>
  </r>
  <r>
    <n v="730"/>
    <s v="25.04.09"/>
    <s v="GG/017/09-10"/>
    <x v="35"/>
    <x v="9"/>
    <n v="50"/>
    <n v="1"/>
    <n v="50"/>
  </r>
  <r>
    <n v="732"/>
    <s v="25.04.09"/>
    <s v="GG/017/09-10"/>
    <x v="36"/>
    <x v="9"/>
    <n v="25"/>
    <n v="1"/>
    <n v="25"/>
  </r>
  <r>
    <n v="734"/>
    <s v="25.04.09"/>
    <s v="GG/017/09-10"/>
    <x v="37"/>
    <x v="9"/>
    <n v="6"/>
    <n v="8"/>
    <n v="48"/>
  </r>
  <r>
    <n v="736"/>
    <s v="25.04.09"/>
    <s v="GG/017/09-10"/>
    <x v="33"/>
    <x v="9"/>
    <n v="5"/>
    <n v="1"/>
    <n v="5"/>
  </r>
  <r>
    <n v="770"/>
    <s v="25.04.09"/>
    <s v="GG/018/09-10"/>
    <x v="38"/>
    <x v="9"/>
    <n v="40"/>
    <n v="1"/>
    <n v="40"/>
  </r>
  <r>
    <n v="773"/>
    <s v="25.04.09"/>
    <s v="GG/018/09-10"/>
    <x v="38"/>
    <x v="9"/>
    <n v="20"/>
    <n v="1"/>
    <n v="20"/>
  </r>
  <r>
    <n v="776"/>
    <s v="25.04.09"/>
    <s v="GG/018/09-10"/>
    <x v="39"/>
    <x v="9"/>
    <n v="5"/>
    <n v="1"/>
    <n v="5"/>
  </r>
  <r>
    <n v="778"/>
    <s v="25.04.09"/>
    <s v="GG/018/09-10"/>
    <x v="37"/>
    <x v="34"/>
    <n v="1"/>
    <n v="8"/>
    <n v="8"/>
  </r>
  <r>
    <n v="818"/>
    <s v="25.4.09"/>
    <s v="GG/0/09-10"/>
    <x v="40"/>
    <x v="9"/>
    <n v="0"/>
    <n v="24"/>
    <n v="0"/>
  </r>
  <r>
    <n v="869"/>
    <s v="25.4.09"/>
    <s v="GG/019/09-10"/>
    <x v="40"/>
    <x v="9"/>
    <n v="40"/>
    <n v="24"/>
    <n v="960"/>
  </r>
  <r>
    <n v="915"/>
    <s v="26.4.09"/>
    <s v="GG/020/09-10"/>
    <x v="40"/>
    <x v="9"/>
    <n v="20"/>
    <n v="24"/>
    <n v="480"/>
  </r>
  <r>
    <n v="956"/>
    <s v="26.04.09"/>
    <s v="GG/021/09-10"/>
    <x v="41"/>
    <x v="9"/>
    <n v="10"/>
    <n v="24"/>
    <n v="240"/>
  </r>
  <r>
    <n v="958"/>
    <s v="26.04.09"/>
    <s v="GG/021/09-10"/>
    <x v="42"/>
    <x v="9"/>
    <n v="2"/>
    <n v="1"/>
    <n v="2"/>
  </r>
  <r>
    <n v="960"/>
    <s v="26.04.09"/>
    <s v="GG/021/09-10"/>
    <x v="43"/>
    <x v="9"/>
    <n v="2"/>
    <n v="1"/>
    <n v="2"/>
  </r>
  <r>
    <n v="962"/>
    <s v="26.04.09"/>
    <s v="GG/021/09-10"/>
    <x v="44"/>
    <x v="0"/>
    <n v="8"/>
    <n v="25"/>
    <n v="200"/>
  </r>
  <r>
    <n v="964"/>
    <s v="26.04.09"/>
    <s v="GG/021/09-10"/>
    <x v="45"/>
    <x v="35"/>
    <n v="1"/>
    <n v="25"/>
    <n v="25"/>
  </r>
  <r>
    <n v="966"/>
    <s v="26.04.09"/>
    <s v="GG/021/09-10"/>
    <x v="46"/>
    <x v="27"/>
    <n v="1"/>
    <n v="25"/>
    <n v="25"/>
  </r>
  <r>
    <n v="968"/>
    <s v="26.04.09"/>
    <s v="GG/021/09-10"/>
    <x v="47"/>
    <x v="5"/>
    <n v="1"/>
    <n v="10"/>
    <n v="10"/>
  </r>
  <r>
    <n v="970"/>
    <s v="26.04.09"/>
    <s v="GG/021/09-10"/>
    <x v="48"/>
    <x v="34"/>
    <n v="1"/>
    <n v="8"/>
    <n v="8"/>
  </r>
  <r>
    <n v="972"/>
    <s v="26.04.09"/>
    <s v="GG/021/09-10"/>
    <x v="49"/>
    <x v="8"/>
    <n v="1"/>
    <n v="4"/>
    <n v="4"/>
  </r>
  <r>
    <n v="974"/>
    <s v="26.04.09"/>
    <s v="GG/021/09-10"/>
    <x v="33"/>
    <x v="9"/>
    <n v="5"/>
    <n v="1"/>
    <n v="5"/>
  </r>
  <r>
    <n v="976"/>
    <s v="26.04.09"/>
    <s v="GG/021/09-10"/>
    <x v="50"/>
    <x v="9"/>
    <n v="1"/>
    <n v="1"/>
    <n v="1"/>
  </r>
  <r>
    <n v="978"/>
    <s v="26.04.09"/>
    <s v="GG/021/09-10"/>
    <x v="51"/>
    <x v="9"/>
    <n v="3"/>
    <n v="5"/>
    <n v="15"/>
  </r>
  <r>
    <n v="980"/>
    <s v="26.04.09"/>
    <s v="GG/021/09-10"/>
    <x v="52"/>
    <x v="9"/>
    <n v="0"/>
    <n v="0"/>
    <n v="0"/>
  </r>
  <r>
    <n v="1009"/>
    <s v="27.04.09"/>
    <s v="GG/022/09-10"/>
    <x v="33"/>
    <x v="9"/>
    <n v="5"/>
    <n v="1"/>
    <n v="5"/>
  </r>
  <r>
    <n v="1054"/>
    <s v="27.04.09"/>
    <s v="GG/023/09-10"/>
    <x v="32"/>
    <x v="32"/>
    <n v="6"/>
    <n v="24"/>
    <n v="144"/>
  </r>
  <r>
    <n v="1095"/>
    <s v="28.4.09"/>
    <s v="GG/024/09-10"/>
    <x v="41"/>
    <x v="9"/>
    <n v="10"/>
    <n v="24"/>
    <n v="240"/>
  </r>
  <r>
    <n v="1097"/>
    <s v="28.4.09"/>
    <s v="GG/024/09-10"/>
    <x v="42"/>
    <x v="9"/>
    <n v="8"/>
    <n v="1"/>
    <n v="8"/>
  </r>
  <r>
    <n v="1099"/>
    <s v="28.4.09"/>
    <s v="GG/024/09-10"/>
    <x v="43"/>
    <x v="9"/>
    <n v="25"/>
    <n v="1"/>
    <n v="25"/>
  </r>
  <r>
    <n v="1101"/>
    <s v="28.4.09"/>
    <s v="GG/024/09-10"/>
    <x v="52"/>
    <x v="9"/>
    <n v="0"/>
    <n v="0"/>
    <n v="0"/>
  </r>
  <r>
    <n v="1142"/>
    <s v="29.04.09"/>
    <s v="GG/025/09-10"/>
    <x v="32"/>
    <x v="32"/>
    <n v="26"/>
    <n v="24"/>
    <n v="624"/>
  </r>
  <r>
    <n v="1186"/>
    <s v="30.04.09"/>
    <s v="GG/026/09-10"/>
    <x v="53"/>
    <x v="36"/>
    <n v="5"/>
    <n v="5"/>
    <n v="25"/>
  </r>
  <r>
    <n v="1228"/>
    <s v="30.04.09"/>
    <s v="GG/027/09-10"/>
    <x v="8"/>
    <x v="37"/>
    <n v="5"/>
    <n v="5"/>
    <n v="25"/>
  </r>
  <r>
    <n v="1272"/>
    <s v="30.04.09"/>
    <s v="GG/028/09-10"/>
    <x v="54"/>
    <x v="36"/>
    <n v="4"/>
    <n v="5"/>
    <n v="20"/>
  </r>
  <r>
    <n v="1275"/>
    <s v="30.04.09"/>
    <s v="GG/028/09-10"/>
    <x v="55"/>
    <x v="38"/>
    <n v="2"/>
    <n v="6"/>
    <n v="12"/>
  </r>
  <r>
    <n v="1316"/>
    <s v="04.05.09"/>
    <s v="GG/029/09-10"/>
    <x v="56"/>
    <x v="39"/>
    <n v="5"/>
    <n v="5"/>
    <n v="25"/>
  </r>
  <r>
    <n v="1318"/>
    <s v="04.05.09"/>
    <s v="GG/029/09-10"/>
    <x v="0"/>
    <x v="0"/>
    <n v="10"/>
    <n v="25"/>
    <n v="250"/>
  </r>
  <r>
    <n v="1320"/>
    <s v="04.05.09"/>
    <s v="GG/029/09-10"/>
    <x v="57"/>
    <x v="40"/>
    <n v="10"/>
    <n v="10"/>
    <n v="100"/>
  </r>
  <r>
    <n v="1360"/>
    <s v="04.05.09"/>
    <s v="GG/030/09-10"/>
    <x v="54"/>
    <x v="36"/>
    <n v="4"/>
    <n v="5"/>
    <n v="20"/>
  </r>
  <r>
    <n v="1363"/>
    <s v="04.05.09"/>
    <s v="GG/030/09-10"/>
    <x v="58"/>
    <x v="41"/>
    <n v="4"/>
    <n v="8"/>
    <n v="32"/>
  </r>
  <r>
    <n v="1366"/>
    <s v="04.05.09"/>
    <s v="GG/030/09-10"/>
    <x v="59"/>
    <x v="42"/>
    <n v="4"/>
    <n v="10"/>
    <n v="40"/>
  </r>
  <r>
    <n v="1404"/>
    <s v="05.05.09"/>
    <s v="GG/031/09-10"/>
    <x v="27"/>
    <x v="27"/>
    <n v="4"/>
    <n v="25"/>
    <n v="100"/>
  </r>
  <r>
    <n v="1448"/>
    <s v="05.05.09"/>
    <s v="GG/032/09-10"/>
    <x v="60"/>
    <x v="9"/>
    <n v="35"/>
    <n v="1"/>
    <n v="35"/>
  </r>
  <r>
    <n v="1492"/>
    <s v="09.05.09"/>
    <s v="GG/033/09-10"/>
    <x v="61"/>
    <x v="9"/>
    <n v="10"/>
    <n v="1"/>
    <n v="10"/>
  </r>
  <r>
    <n v="1494"/>
    <s v="09.05.09"/>
    <s v="GG/033/09-10"/>
    <x v="62"/>
    <x v="3"/>
    <n v="10"/>
    <n v="25"/>
    <n v="250"/>
  </r>
  <r>
    <n v="1496"/>
    <s v="09.05.09"/>
    <s v="GG/033/09-10"/>
    <x v="63"/>
    <x v="9"/>
    <n v="1"/>
    <n v="50"/>
    <n v="50"/>
  </r>
  <r>
    <n v="1498"/>
    <s v="09.05.09"/>
    <s v="GG/033/09-10"/>
    <x v="64"/>
    <x v="43"/>
    <n v="5"/>
    <n v="10"/>
    <n v="50"/>
  </r>
  <r>
    <n v="1535"/>
    <s v="09.05.09"/>
    <s v="GG/034/09-10"/>
    <x v="65"/>
    <x v="9"/>
    <n v="1"/>
    <n v="1"/>
    <n v="1"/>
  </r>
  <r>
    <n v="1579"/>
    <s v="11.05.09"/>
    <s v="GG/035/09-10"/>
    <x v="66"/>
    <x v="44"/>
    <n v="10"/>
    <n v="1"/>
    <n v="10"/>
  </r>
  <r>
    <n v="1581"/>
    <s v="11.05.09"/>
    <s v="GG/035/09-10"/>
    <x v="62"/>
    <x v="35"/>
    <n v="1"/>
    <n v="25"/>
    <n v="25"/>
  </r>
  <r>
    <n v="1583"/>
    <s v="11.05.09"/>
    <s v="GG/035/09-10"/>
    <x v="67"/>
    <x v="45"/>
    <n v="2"/>
    <n v="5"/>
    <n v="10"/>
  </r>
  <r>
    <n v="1625"/>
    <s v="11.05.09"/>
    <s v="GG/036/09-10"/>
    <x v="32"/>
    <x v="46"/>
    <n v="5"/>
    <n v="24"/>
    <n v="120"/>
  </r>
  <r>
    <n v="1665"/>
    <s v="11.05.09"/>
    <s v="GG/037/09-10"/>
    <x v="60"/>
    <x v="9"/>
    <n v="28"/>
    <n v="1"/>
    <n v="28"/>
  </r>
  <r>
    <n v="1668"/>
    <s v="11.05.09"/>
    <s v="GG/037/09-10"/>
    <x v="68"/>
    <x v="38"/>
    <n v="2"/>
    <n v="6"/>
    <n v="12"/>
  </r>
  <r>
    <n v="1717"/>
    <s v="13.05.09"/>
    <s v="GG/038/09-10"/>
    <x v="69"/>
    <x v="47"/>
    <n v="2"/>
    <n v="25"/>
    <n v="50"/>
  </r>
  <r>
    <n v="1769"/>
    <s v="11.05.09"/>
    <s v="GG/039/09-10"/>
    <x v="68"/>
    <x v="38"/>
    <n v="15"/>
    <n v="6"/>
    <n v="90"/>
  </r>
  <r>
    <n v="1815"/>
    <s v="16.05.09"/>
    <s v="GG/040/09-10"/>
    <x v="68"/>
    <x v="38"/>
    <n v="2"/>
    <n v="6"/>
    <n v="12"/>
  </r>
  <r>
    <n v="1860"/>
    <s v="16.05.09"/>
    <s v="GG/041/09-10"/>
    <x v="11"/>
    <x v="9"/>
    <n v="55"/>
    <n v="1"/>
    <n v="55"/>
  </r>
  <r>
    <n v="1908"/>
    <s v="18.05.09"/>
    <s v="GG/042/09-10"/>
    <x v="70"/>
    <x v="48"/>
    <n v="15"/>
    <n v="24"/>
    <n v="360"/>
  </r>
  <r>
    <n v="1910"/>
    <s v="18.05.09"/>
    <s v="GG/042/09-10"/>
    <x v="71"/>
    <x v="49"/>
    <n v="6"/>
    <n v="6"/>
    <n v="36"/>
  </r>
  <r>
    <n v="1912"/>
    <s v="18.05.09"/>
    <s v="GG/042/09-10"/>
    <x v="71"/>
    <x v="49"/>
    <n v="1"/>
    <n v="2"/>
    <n v="2"/>
  </r>
  <r>
    <n v="1914"/>
    <s v="18.05.09"/>
    <s v="GG/042/09-10"/>
    <x v="63"/>
    <x v="9"/>
    <n v="1"/>
    <n v="50"/>
    <n v="50"/>
  </r>
  <r>
    <n v="1952"/>
    <s v="20.05.09"/>
    <s v="GG/043/09-10"/>
    <x v="42"/>
    <x v="9"/>
    <n v="10"/>
    <n v="1"/>
    <n v="10"/>
  </r>
  <r>
    <n v="1954"/>
    <s v="20.05.09"/>
    <s v="GG/043/09-10"/>
    <x v="72"/>
    <x v="50"/>
    <n v="6"/>
    <n v="1"/>
    <n v="6"/>
  </r>
  <r>
    <n v="1957"/>
    <s v="20.05.09"/>
    <s v="GG/043/09-10"/>
    <x v="73"/>
    <x v="51"/>
    <n v="12"/>
    <n v="1"/>
    <n v="12"/>
  </r>
  <r>
    <n v="1959"/>
    <s v="20.05.09"/>
    <s v="GG/043/09-10"/>
    <x v="58"/>
    <x v="41"/>
    <n v="3"/>
    <n v="8"/>
    <n v="24"/>
  </r>
  <r>
    <n v="1999"/>
    <s v="18.05.09"/>
    <s v="GG/044/09-10"/>
    <x v="74"/>
    <x v="39"/>
    <n v="4"/>
    <n v="5"/>
    <n v="20"/>
  </r>
  <r>
    <n v="2046"/>
    <s v="21.05.09"/>
    <s v="GG/045/09-10"/>
    <x v="17"/>
    <x v="16"/>
    <n v="4"/>
    <n v="5"/>
    <n v="20"/>
  </r>
  <r>
    <n v="2047"/>
    <s v="21.05.09"/>
    <s v="GG/045/09-10"/>
    <x v="2"/>
    <x v="52"/>
    <n v="4"/>
    <n v="5"/>
    <n v="20"/>
  </r>
  <r>
    <n v="2048"/>
    <s v="21.05.09"/>
    <s v="GG/045/09-10"/>
    <x v="56"/>
    <x v="39"/>
    <n v="2"/>
    <n v="5"/>
    <n v="10"/>
  </r>
  <r>
    <n v="2049"/>
    <s v="21.05.09"/>
    <s v="GG/045/09-10"/>
    <x v="16"/>
    <x v="15"/>
    <n v="1"/>
    <n v="5"/>
    <n v="5"/>
  </r>
  <r>
    <n v="2050"/>
    <s v="21.05.09"/>
    <s v="GG/045/09-10"/>
    <x v="1"/>
    <x v="53"/>
    <n v="1"/>
    <n v="5"/>
    <n v="5"/>
  </r>
  <r>
    <n v="2097"/>
    <s v="21.05.09"/>
    <s v="GG/046/09-10"/>
    <x v="75"/>
    <x v="47"/>
    <n v="5"/>
    <n v="5"/>
    <n v="25"/>
  </r>
  <r>
    <n v="2099"/>
    <s v="21.05.09"/>
    <s v="GG/046/09-10"/>
    <x v="76"/>
    <x v="40"/>
    <n v="5"/>
    <n v="10"/>
    <n v="50"/>
  </r>
  <r>
    <n v="2148"/>
    <s v="22.05.09"/>
    <s v="GG/047/09-10"/>
    <x v="58"/>
    <x v="41"/>
    <n v="4"/>
    <n v="8"/>
    <n v="32"/>
  </r>
  <r>
    <n v="2195"/>
    <s v="22.05.09"/>
    <s v="GG/048/09-10"/>
    <x v="56"/>
    <x v="39"/>
    <n v="2"/>
    <n v="5"/>
    <n v="10"/>
  </r>
  <r>
    <n v="2241"/>
    <s v="25.05.09"/>
    <s v="GG/049/09-10"/>
    <x v="53"/>
    <x v="36"/>
    <n v="4"/>
    <n v="5"/>
    <n v="20"/>
  </r>
  <r>
    <n v="2242"/>
    <s v="25.05.09"/>
    <s v="GG/049/09-10"/>
    <x v="8"/>
    <x v="37"/>
    <n v="2"/>
    <n v="5"/>
    <n v="10"/>
  </r>
  <r>
    <n v="2245"/>
    <s v="25.05.09"/>
    <s v="GG/049/09-10"/>
    <x v="77"/>
    <x v="54"/>
    <n v="15"/>
    <n v="1"/>
    <n v="15"/>
  </r>
  <r>
    <n v="2246"/>
    <s v="25.05.09"/>
    <s v="GG/049/09-10"/>
    <x v="77"/>
    <x v="55"/>
    <n v="5"/>
    <n v="1"/>
    <n v="5"/>
  </r>
  <r>
    <n v="2292"/>
    <s v="25.05.09"/>
    <s v="GG/050/09-10"/>
    <x v="78"/>
    <x v="56"/>
    <n v="3"/>
    <n v="5"/>
    <n v="15"/>
  </r>
  <r>
    <n v="2294"/>
    <s v="25.05.09"/>
    <s v="GG/050/09-10"/>
    <x v="79"/>
    <x v="36"/>
    <n v="2"/>
    <n v="5"/>
    <n v="10"/>
  </r>
  <r>
    <n v="2341"/>
    <s v="25.05.09"/>
    <s v="GG/051/09-10"/>
    <x v="80"/>
    <x v="57"/>
    <n v="2"/>
    <n v="25"/>
    <n v="50"/>
  </r>
  <r>
    <n v="2343"/>
    <s v="25.05.09"/>
    <s v="GG/051/09-10"/>
    <x v="81"/>
    <x v="9"/>
    <n v="1"/>
    <n v="1"/>
    <n v="1"/>
  </r>
  <r>
    <n v="2390"/>
    <s v="25.05.09"/>
    <s v="GG/052/09-10"/>
    <x v="17"/>
    <x v="16"/>
    <n v="4"/>
    <n v="5"/>
    <n v="20"/>
  </r>
  <r>
    <n v="2392"/>
    <s v="25.05.09"/>
    <s v="GG/052/09-10"/>
    <x v="1"/>
    <x v="53"/>
    <n v="2"/>
    <n v="5"/>
    <n v="10"/>
  </r>
  <r>
    <n v="2394"/>
    <s v="25.05.09"/>
    <s v="GG/052/09-10"/>
    <x v="82"/>
    <x v="9"/>
    <n v="3"/>
    <n v="1"/>
    <n v="3"/>
  </r>
  <r>
    <n v="2443"/>
    <s v="26.05.09"/>
    <s v="GG/053/09-10"/>
    <x v="83"/>
    <x v="56"/>
    <n v="1"/>
    <n v="5"/>
    <n v="5"/>
  </r>
  <r>
    <n v="2444"/>
    <s v="26.05.09"/>
    <s v="GG/053/09-10"/>
    <x v="84"/>
    <x v="58"/>
    <n v="3"/>
    <n v="5"/>
    <n v="15"/>
  </r>
  <r>
    <n v="2445"/>
    <s v="26.05.09"/>
    <s v="GG/053/09-10"/>
    <x v="53"/>
    <x v="36"/>
    <n v="6"/>
    <n v="5"/>
    <n v="30"/>
  </r>
  <r>
    <n v="2447"/>
    <s v="26.05.09"/>
    <s v="GG/053/09-10"/>
    <x v="85"/>
    <x v="34"/>
    <n v="4"/>
    <n v="8"/>
    <n v="32"/>
  </r>
  <r>
    <n v="2448"/>
    <s v="26.05.09"/>
    <s v="GG/053/09-10"/>
    <x v="86"/>
    <x v="9"/>
    <n v="1"/>
    <n v="5"/>
    <n v="5"/>
  </r>
  <r>
    <n v="2450"/>
    <s v="26.05.09"/>
    <s v="GG/053/09-10"/>
    <x v="87"/>
    <x v="9"/>
    <n v="5"/>
    <n v="1"/>
    <n v="5"/>
  </r>
  <r>
    <n v="2452"/>
    <s v="26.05.09"/>
    <s v="GG/053/09-10"/>
    <x v="88"/>
    <x v="9"/>
    <n v="5"/>
    <n v="10"/>
    <n v="50"/>
  </r>
  <r>
    <n v="2453"/>
    <s v="26.05.09"/>
    <s v="GG/053/09-10"/>
    <x v="89"/>
    <x v="9"/>
    <n v="5"/>
    <n v="10"/>
    <n v="50"/>
  </r>
  <r>
    <n v="2454"/>
    <s v="26.05.09"/>
    <s v="GG/053/09-10"/>
    <x v="90"/>
    <x v="9"/>
    <n v="5"/>
    <n v="10"/>
    <n v="50"/>
  </r>
  <r>
    <n v="2456"/>
    <s v="26.05.09"/>
    <s v="GG/053/09-10"/>
    <x v="91"/>
    <x v="3"/>
    <n v="24"/>
    <n v="25"/>
    <n v="600"/>
  </r>
  <r>
    <n v="2457"/>
    <s v="26.05.09"/>
    <s v="GG/053/09-10"/>
    <x v="92"/>
    <x v="59"/>
    <n v="15"/>
    <n v="20"/>
    <n v="300"/>
  </r>
  <r>
    <n v="2459"/>
    <s v="26.05.09"/>
    <s v="GG/053/09-10"/>
    <x v="65"/>
    <x v="9"/>
    <n v="10"/>
    <n v="1"/>
    <n v="10"/>
  </r>
  <r>
    <n v="2489"/>
    <s v="27.05.09"/>
    <s v="GG/054/09-10"/>
    <x v="93"/>
    <x v="42"/>
    <n v="5"/>
    <n v="10"/>
    <n v="50"/>
  </r>
  <r>
    <n v="2542"/>
    <s v="27.05.09"/>
    <s v="GG/055/09-10"/>
    <x v="94"/>
    <x v="34"/>
    <n v="4"/>
    <n v="8"/>
    <n v="32"/>
  </r>
  <r>
    <n v="2589"/>
    <s v="27.05.09"/>
    <s v="GG/056/09-10"/>
    <x v="53"/>
    <x v="36"/>
    <n v="2"/>
    <n v="5"/>
    <n v="10"/>
  </r>
  <r>
    <n v="2590"/>
    <s v="27.05.09"/>
    <s v="GG/056/09-10"/>
    <x v="1"/>
    <x v="53"/>
    <n v="3"/>
    <n v="5"/>
    <n v="15"/>
  </r>
  <r>
    <n v="2591"/>
    <s v="27.05.09"/>
    <s v="GG/056/09-10"/>
    <x v="16"/>
    <x v="15"/>
    <n v="2"/>
    <n v="5"/>
    <n v="10"/>
  </r>
  <r>
    <n v="2594"/>
    <s v="27.05.09"/>
    <s v="GG/056/09-10"/>
    <x v="65"/>
    <x v="9"/>
    <n v="20"/>
    <n v="1"/>
    <n v="20"/>
  </r>
  <r>
    <n v="2598"/>
    <s v="27.05.09"/>
    <s v="GG/056/09-10"/>
    <x v="95"/>
    <x v="35"/>
    <n v="2"/>
    <n v="25"/>
    <n v="50"/>
  </r>
  <r>
    <n v="2599"/>
    <s v="27.05.09"/>
    <s v="GG/056/09-10"/>
    <x v="22"/>
    <x v="60"/>
    <n v="3"/>
    <n v="25"/>
    <n v="75"/>
  </r>
  <r>
    <n v="2600"/>
    <s v="27.05.09"/>
    <s v="GG/056/09-10"/>
    <x v="27"/>
    <x v="27"/>
    <n v="2"/>
    <n v="25"/>
    <n v="50"/>
  </r>
  <r>
    <n v="2601"/>
    <s v="27.05.09"/>
    <s v="GG/056/09-10"/>
    <x v="26"/>
    <x v="26"/>
    <n v="1"/>
    <n v="25"/>
    <n v="25"/>
  </r>
  <r>
    <n v="2602"/>
    <s v="27.05.09"/>
    <s v="GG/056/09-10"/>
    <x v="96"/>
    <x v="3"/>
    <n v="52"/>
    <n v="25"/>
    <n v="1300"/>
  </r>
  <r>
    <n v="2603"/>
    <s v="27.05.09"/>
    <s v="GG/056/09-10"/>
    <x v="92"/>
    <x v="59"/>
    <n v="20"/>
    <n v="20"/>
    <n v="400"/>
  </r>
  <r>
    <n v="2606"/>
    <s v="27.05.09"/>
    <s v="GG/056/09-10"/>
    <x v="94"/>
    <x v="34"/>
    <n v="1"/>
    <n v="8"/>
    <n v="8"/>
  </r>
  <r>
    <n v="2607"/>
    <s v="27.05.09"/>
    <s v="GG/056/09-10"/>
    <x v="94"/>
    <x v="34"/>
    <n v="1"/>
    <n v="2"/>
    <n v="2"/>
  </r>
  <r>
    <n v="2637"/>
    <s v="27.05.09"/>
    <s v="GG/057/09-10"/>
    <x v="91"/>
    <x v="3"/>
    <n v="40"/>
    <n v="25"/>
    <n v="1000"/>
  </r>
  <r>
    <n v="2639"/>
    <s v="27.05.09"/>
    <s v="GG/057/09-10"/>
    <x v="94"/>
    <x v="41"/>
    <n v="2"/>
    <n v="8"/>
    <n v="16"/>
  </r>
  <r>
    <n v="2684"/>
    <s v="31.05.09"/>
    <s v="GG/058/09-10"/>
    <x v="97"/>
    <x v="57"/>
    <n v="4"/>
    <n v="25"/>
    <n v="100"/>
  </r>
  <r>
    <n v="2733"/>
    <s v="01.06.09"/>
    <s v="GG/059/09-10"/>
    <x v="30"/>
    <x v="30"/>
    <n v="1"/>
    <n v="5"/>
    <n v="5"/>
  </r>
  <r>
    <n v="2734"/>
    <s v="01.06.09"/>
    <s v="GG/059/09-10"/>
    <x v="84"/>
    <x v="58"/>
    <n v="3"/>
    <n v="5"/>
    <n v="15"/>
  </r>
  <r>
    <n v="2735"/>
    <s v="01.06.09"/>
    <s v="GG/059/09-10"/>
    <x v="83"/>
    <x v="56"/>
    <n v="1"/>
    <n v="5"/>
    <n v="5"/>
  </r>
  <r>
    <n v="2738"/>
    <s v="01.06.09"/>
    <s v="GG/059/09-10"/>
    <x v="65"/>
    <x v="9"/>
    <n v="10"/>
    <n v="1"/>
    <n v="10"/>
  </r>
  <r>
    <n v="2742"/>
    <s v="01.06.09"/>
    <s v="GG/059/09-10"/>
    <x v="95"/>
    <x v="35"/>
    <n v="6"/>
    <n v="25"/>
    <n v="150"/>
  </r>
  <r>
    <n v="2743"/>
    <s v="01.06.09"/>
    <s v="GG/059/09-10"/>
    <x v="27"/>
    <x v="27"/>
    <n v="8"/>
    <n v="25"/>
    <n v="200"/>
  </r>
  <r>
    <n v="2744"/>
    <s v="01.06.09"/>
    <s v="GG/059/09-10"/>
    <x v="92"/>
    <x v="59"/>
    <n v="10"/>
    <n v="20"/>
    <n v="200"/>
  </r>
  <r>
    <n v="2745"/>
    <s v="01.06.09"/>
    <s v="GG/059/09-10"/>
    <x v="92"/>
    <x v="59"/>
    <n v="1"/>
    <n v="5"/>
    <n v="5"/>
  </r>
  <r>
    <n v="2746"/>
    <s v="01.06.09"/>
    <s v="GG/059/09-10"/>
    <x v="98"/>
    <x v="61"/>
    <n v="4"/>
    <n v="25"/>
    <n v="100"/>
  </r>
  <r>
    <n v="2747"/>
    <s v="01.06.09"/>
    <s v="GG/059/09-10"/>
    <x v="99"/>
    <x v="47"/>
    <n v="2"/>
    <n v="25"/>
    <n v="50"/>
  </r>
  <r>
    <n v="2750"/>
    <s v="01.06.09"/>
    <s v="GG/059/09-10"/>
    <x v="93"/>
    <x v="9"/>
    <n v="2"/>
    <n v="10"/>
    <n v="20"/>
  </r>
  <r>
    <n v="2779"/>
    <s v="04.06.09"/>
    <s v="GG/060/09-10"/>
    <x v="100"/>
    <x v="62"/>
    <n v="3"/>
    <n v="200"/>
    <n v="600"/>
  </r>
  <r>
    <n v="2780"/>
    <s v="04.06.09"/>
    <s v="GG/060/09-10"/>
    <x v="101"/>
    <x v="9"/>
    <n v="5"/>
    <n v="100"/>
    <n v="500"/>
  </r>
  <r>
    <n v="2781"/>
    <s v="04.06.09"/>
    <s v="GG/060/09-10"/>
    <x v="102"/>
    <x v="63"/>
    <n v="1"/>
    <n v="50"/>
    <n v="50"/>
  </r>
  <r>
    <n v="2782"/>
    <s v="04.06.09"/>
    <s v="GG/060/09-10"/>
    <x v="103"/>
    <x v="9"/>
    <n v="7"/>
    <n v="2"/>
    <n v="14"/>
  </r>
  <r>
    <n v="2786"/>
    <s v="04.06.09"/>
    <s v="GG/060/09-10"/>
    <x v="104"/>
    <x v="64"/>
    <n v="1"/>
    <n v="6"/>
    <n v="6"/>
  </r>
  <r>
    <n v="2787"/>
    <s v="04.06.09"/>
    <s v="GG/060/09-10"/>
    <x v="105"/>
    <x v="65"/>
    <n v="1"/>
    <n v="6"/>
    <n v="6"/>
  </r>
  <r>
    <n v="2788"/>
    <s v="04.06.09"/>
    <s v="GG/060/09-10"/>
    <x v="106"/>
    <x v="66"/>
    <n v="2"/>
    <n v="6"/>
    <n v="12"/>
  </r>
  <r>
    <n v="2789"/>
    <s v="04.06.09"/>
    <s v="GG/060/09-10"/>
    <x v="87"/>
    <x v="67"/>
    <n v="1"/>
    <n v="6"/>
    <n v="6"/>
  </r>
  <r>
    <n v="2790"/>
    <s v="04.06.09"/>
    <s v="GG/060/09-10"/>
    <x v="107"/>
    <x v="68"/>
    <n v="4"/>
    <n v="6"/>
    <n v="24"/>
  </r>
  <r>
    <n v="2791"/>
    <s v="04.06.09"/>
    <s v="GG/060/09-10"/>
    <x v="5"/>
    <x v="69"/>
    <n v="4"/>
    <n v="6"/>
    <n v="24"/>
  </r>
  <r>
    <n v="2792"/>
    <s v="04.06.09"/>
    <s v="GG/060/09-10"/>
    <x v="108"/>
    <x v="22"/>
    <n v="4"/>
    <n v="6"/>
    <n v="24"/>
  </r>
  <r>
    <n v="2793"/>
    <s v="04.06.09"/>
    <s v="GG/060/09-10"/>
    <x v="55"/>
    <x v="38"/>
    <n v="1"/>
    <n v="6"/>
    <n v="6"/>
  </r>
  <r>
    <n v="2794"/>
    <s v="04.06.09"/>
    <s v="GG/060/09-10"/>
    <x v="28"/>
    <x v="70"/>
    <n v="4"/>
    <n v="6"/>
    <n v="24"/>
  </r>
  <r>
    <n v="2795"/>
    <s v="04.06.09"/>
    <s v="GG/060/09-10"/>
    <x v="109"/>
    <x v="71"/>
    <n v="1"/>
    <n v="6"/>
    <n v="6"/>
  </r>
  <r>
    <n v="2796"/>
    <s v="04.06.09"/>
    <s v="GG/060/09-10"/>
    <x v="110"/>
    <x v="72"/>
    <n v="1"/>
    <n v="6"/>
    <n v="6"/>
  </r>
  <r>
    <n v="2830"/>
    <s v="04.06.09"/>
    <s v="GG/060/09-10"/>
    <x v="111"/>
    <x v="73"/>
    <n v="1"/>
    <n v="6"/>
    <n v="6"/>
  </r>
  <r>
    <n v="2831"/>
    <s v="04.06.09"/>
    <s v="GG/060/09-10"/>
    <x v="111"/>
    <x v="73"/>
    <n v="1"/>
    <n v="1"/>
    <n v="1"/>
  </r>
  <r>
    <n v="2832"/>
    <s v="04.06.09"/>
    <s v="GG/060/09-10"/>
    <x v="112"/>
    <x v="74"/>
    <n v="2"/>
    <n v="6"/>
    <n v="12"/>
  </r>
  <r>
    <n v="2833"/>
    <s v="04.06.09"/>
    <s v="GG/060/09-10"/>
    <x v="8"/>
    <x v="8"/>
    <n v="2"/>
    <n v="4"/>
    <n v="8"/>
  </r>
  <r>
    <n v="2834"/>
    <s v="04.06.09"/>
    <s v="GG/060/09-10"/>
    <x v="113"/>
    <x v="75"/>
    <n v="4"/>
    <n v="6"/>
    <n v="24"/>
  </r>
  <r>
    <n v="2835"/>
    <s v="04.06.09"/>
    <s v="GG/060/09-10"/>
    <x v="6"/>
    <x v="6"/>
    <n v="3"/>
    <n v="6"/>
    <n v="18"/>
  </r>
  <r>
    <n v="2836"/>
    <s v="04.06.09"/>
    <s v="GG/060/09-10"/>
    <x v="6"/>
    <x v="6"/>
    <n v="1"/>
    <n v="4"/>
    <n v="4"/>
  </r>
  <r>
    <n v="2837"/>
    <s v="04.06.09"/>
    <s v="GG/060/09-10"/>
    <x v="114"/>
    <x v="76"/>
    <n v="1"/>
    <n v="6"/>
    <n v="6"/>
  </r>
  <r>
    <n v="2838"/>
    <s v="04.06.09"/>
    <s v="GG/060/09-10"/>
    <x v="115"/>
    <x v="77"/>
    <n v="3"/>
    <n v="8"/>
    <n v="24"/>
  </r>
  <r>
    <n v="2839"/>
    <s v="04.06.09"/>
    <s v="GG/060/09-10"/>
    <x v="115"/>
    <x v="77"/>
    <n v="1"/>
    <n v="6"/>
    <n v="6"/>
  </r>
  <r>
    <n v="2840"/>
    <s v="04.06.09"/>
    <s v="GG/060/09-10"/>
    <x v="116"/>
    <x v="21"/>
    <n v="7"/>
    <n v="6"/>
    <n v="42"/>
  </r>
  <r>
    <n v="2841"/>
    <s v="04.06.09"/>
    <s v="GG/060/09-10"/>
    <x v="117"/>
    <x v="78"/>
    <n v="12"/>
    <n v="6"/>
    <n v="72"/>
  </r>
  <r>
    <n v="2880"/>
    <s v="05.06.09"/>
    <s v="GG/061/09-10"/>
    <x v="100"/>
    <x v="62"/>
    <n v="5"/>
    <n v="200"/>
    <n v="1000"/>
  </r>
  <r>
    <n v="2881"/>
    <s v="05.06.09"/>
    <s v="GG/061/09-10"/>
    <x v="103"/>
    <x v="9"/>
    <n v="5"/>
    <n v="2"/>
    <n v="10"/>
  </r>
  <r>
    <n v="2884"/>
    <s v="05.06.09"/>
    <s v="GG/061/09-10"/>
    <x v="105"/>
    <x v="65"/>
    <n v="2"/>
    <n v="6"/>
    <n v="12"/>
  </r>
  <r>
    <n v="2885"/>
    <s v="05.06.09"/>
    <s v="GG/061/09-10"/>
    <x v="106"/>
    <x v="66"/>
    <n v="1"/>
    <n v="6"/>
    <n v="6"/>
  </r>
  <r>
    <n v="2886"/>
    <s v="05.06.09"/>
    <s v="GG/061/09-10"/>
    <x v="118"/>
    <x v="79"/>
    <n v="1"/>
    <n v="6"/>
    <n v="6"/>
  </r>
  <r>
    <n v="2887"/>
    <s v="05.06.09"/>
    <s v="GG/061/09-10"/>
    <x v="112"/>
    <x v="74"/>
    <n v="2"/>
    <n v="6"/>
    <n v="12"/>
  </r>
  <r>
    <n v="2888"/>
    <s v="05.06.09"/>
    <s v="GG/061/09-10"/>
    <x v="113"/>
    <x v="75"/>
    <n v="2"/>
    <n v="6"/>
    <n v="12"/>
  </r>
  <r>
    <n v="2889"/>
    <s v="05.06.09"/>
    <s v="GG/061/09-10"/>
    <x v="114"/>
    <x v="76"/>
    <n v="1"/>
    <n v="6"/>
    <n v="6"/>
  </r>
  <r>
    <n v="2922"/>
    <s v="05.06.09"/>
    <s v="GG/062/09-10"/>
    <x v="100"/>
    <x v="62"/>
    <n v="2"/>
    <n v="200"/>
    <n v="400"/>
  </r>
  <r>
    <n v="2923"/>
    <s v="05.06.09"/>
    <s v="GG/062/09-10"/>
    <x v="101"/>
    <x v="9"/>
    <n v="1"/>
    <n v="100"/>
    <n v="100"/>
  </r>
  <r>
    <n v="2924"/>
    <s v="05.06.09"/>
    <s v="GG/062/09-10"/>
    <x v="119"/>
    <x v="9"/>
    <n v="1"/>
    <n v="250"/>
    <n v="250"/>
  </r>
  <r>
    <n v="2926"/>
    <s v="05.06.09"/>
    <s v="GG/062/09-10"/>
    <x v="120"/>
    <x v="80"/>
    <n v="1"/>
    <n v="200"/>
    <n v="200"/>
  </r>
  <r>
    <n v="2929"/>
    <s v="05.06.09"/>
    <s v="GG/062/09-10"/>
    <x v="121"/>
    <x v="81"/>
    <n v="10"/>
    <n v="5"/>
    <n v="50"/>
  </r>
  <r>
    <n v="2930"/>
    <s v="05.06.09"/>
    <s v="GG/062/09-10"/>
    <x v="95"/>
    <x v="82"/>
    <n v="2"/>
    <n v="5"/>
    <n v="10"/>
  </r>
  <r>
    <n v="2933"/>
    <s v="05.06.09"/>
    <s v="GG/062/09-10"/>
    <x v="104"/>
    <x v="64"/>
    <n v="1"/>
    <n v="6"/>
    <n v="6"/>
  </r>
  <r>
    <n v="2934"/>
    <s v="05.06.09"/>
    <s v="GG/062/09-10"/>
    <x v="122"/>
    <x v="9"/>
    <n v="6"/>
    <n v="6"/>
    <n v="36"/>
  </r>
  <r>
    <n v="2935"/>
    <s v="05.06.09"/>
    <s v="GG/062/09-10"/>
    <x v="8"/>
    <x v="8"/>
    <n v="3"/>
    <n v="4"/>
    <n v="12"/>
  </r>
  <r>
    <n v="2936"/>
    <s v="05.06.09"/>
    <s v="GG/062/09-10"/>
    <x v="107"/>
    <x v="68"/>
    <n v="4"/>
    <n v="6"/>
    <n v="24"/>
  </r>
  <r>
    <n v="2937"/>
    <s v="05.06.09"/>
    <s v="GG/062/09-10"/>
    <x v="123"/>
    <x v="38"/>
    <n v="9"/>
    <n v="6"/>
    <n v="54"/>
  </r>
  <r>
    <n v="2938"/>
    <s v="05.06.09"/>
    <s v="GG/062/09-10"/>
    <x v="114"/>
    <x v="76"/>
    <n v="1"/>
    <n v="6"/>
    <n v="6"/>
  </r>
  <r>
    <n v="2967"/>
    <s v="05.06.09"/>
    <s v="GG/063/09-10"/>
    <x v="82"/>
    <x v="9"/>
    <n v="10"/>
    <n v="1"/>
    <n v="10"/>
  </r>
  <r>
    <n v="2968"/>
    <s v="05.06.09"/>
    <s v="GG/063/09-10"/>
    <x v="124"/>
    <x v="9"/>
    <n v="25"/>
    <n v="2"/>
    <n v="50"/>
  </r>
  <r>
    <n v="2970"/>
    <s v="05.06.09"/>
    <s v="GG/063/09-10"/>
    <x v="125"/>
    <x v="9"/>
    <n v="5"/>
    <n v="10"/>
    <n v="50"/>
  </r>
  <r>
    <n v="2971"/>
    <s v="05.06.09"/>
    <s v="GG/063/09-10"/>
    <x v="126"/>
    <x v="9"/>
    <n v="5"/>
    <n v="10"/>
    <n v="50"/>
  </r>
  <r>
    <n v="2974"/>
    <s v="05.06.09"/>
    <s v="GG/063/09-10"/>
    <x v="95"/>
    <x v="82"/>
    <n v="5"/>
    <n v="5"/>
    <n v="25"/>
  </r>
  <r>
    <n v="2977"/>
    <s v="05.06.09"/>
    <s v="GG/063/09-10"/>
    <x v="114"/>
    <x v="76"/>
    <n v="5"/>
    <n v="6"/>
    <n v="30"/>
  </r>
  <r>
    <n v="2978"/>
    <s v="05.06.09"/>
    <s v="GG/063/09-10"/>
    <x v="56"/>
    <x v="83"/>
    <n v="5"/>
    <n v="6"/>
    <n v="30"/>
  </r>
  <r>
    <n v="2981"/>
    <s v="05.06.09"/>
    <s v="GG/063/09-10"/>
    <x v="127"/>
    <x v="63"/>
    <n v="1"/>
    <n v="25"/>
    <n v="25"/>
  </r>
  <r>
    <n v="3013"/>
    <s v="05.06.09"/>
    <s v="GG/064/09-10"/>
    <x v="100"/>
    <x v="62"/>
    <n v="2"/>
    <n v="200"/>
    <n v="400"/>
  </r>
  <r>
    <n v="3014"/>
    <s v="05.06.09"/>
    <s v="GG/064/09-10"/>
    <x v="101"/>
    <x v="9"/>
    <n v="3"/>
    <n v="100"/>
    <n v="300"/>
  </r>
  <r>
    <n v="3015"/>
    <s v="05.06.09"/>
    <s v="GG/064/09-10"/>
    <x v="102"/>
    <x v="63"/>
    <n v="1"/>
    <n v="25"/>
    <n v="25"/>
  </r>
  <r>
    <n v="3016"/>
    <s v="05.06.09"/>
    <s v="GG/064/09-10"/>
    <x v="103"/>
    <x v="9"/>
    <n v="10"/>
    <n v="2"/>
    <n v="20"/>
  </r>
  <r>
    <n v="3017"/>
    <s v="05.06.09"/>
    <s v="GG/064/09-10"/>
    <x v="119"/>
    <x v="9"/>
    <n v="1"/>
    <n v="250"/>
    <n v="250"/>
  </r>
  <r>
    <n v="3019"/>
    <s v="05.06.09"/>
    <s v="GG/064/09-10"/>
    <x v="128"/>
    <x v="82"/>
    <n v="8"/>
    <n v="5"/>
    <n v="40"/>
  </r>
  <r>
    <n v="3021"/>
    <s v="05.06.09"/>
    <s v="GG/064/09-10"/>
    <x v="129"/>
    <x v="84"/>
    <n v="4"/>
    <n v="6"/>
    <n v="24"/>
  </r>
  <r>
    <n v="3022"/>
    <s v="05.06.09"/>
    <s v="GG/064/09-10"/>
    <x v="104"/>
    <x v="64"/>
    <n v="1"/>
    <n v="6"/>
    <n v="6"/>
  </r>
  <r>
    <n v="3023"/>
    <s v="05.06.09"/>
    <s v="GG/064/09-10"/>
    <x v="130"/>
    <x v="85"/>
    <n v="1"/>
    <n v="6"/>
    <n v="6"/>
  </r>
  <r>
    <n v="3024"/>
    <s v="05.06.09"/>
    <s v="GG/064/09-10"/>
    <x v="107"/>
    <x v="68"/>
    <n v="4"/>
    <n v="6"/>
    <n v="24"/>
  </r>
  <r>
    <n v="3025"/>
    <s v="05.06.09"/>
    <s v="GG/064/09-10"/>
    <x v="5"/>
    <x v="69"/>
    <n v="4"/>
    <n v="6"/>
    <n v="24"/>
  </r>
  <r>
    <n v="3026"/>
    <s v="05.06.09"/>
    <s v="GG/064/09-10"/>
    <x v="28"/>
    <x v="70"/>
    <n v="1"/>
    <n v="6"/>
    <n v="6"/>
  </r>
  <r>
    <n v="3027"/>
    <s v="05.06.09"/>
    <s v="GG/064/09-10"/>
    <x v="109"/>
    <x v="71"/>
    <n v="3"/>
    <n v="6"/>
    <n v="18"/>
  </r>
  <r>
    <n v="3028"/>
    <s v="05.06.09"/>
    <s v="GG/064/09-10"/>
    <x v="110"/>
    <x v="72"/>
    <n v="3"/>
    <n v="6"/>
    <n v="18"/>
  </r>
  <r>
    <n v="3060"/>
    <s v="05.06.09"/>
    <s v="GG/064/09-10"/>
    <x v="111"/>
    <x v="73"/>
    <n v="3"/>
    <n v="6"/>
    <n v="18"/>
  </r>
  <r>
    <n v="3061"/>
    <s v="05.06.09"/>
    <s v="GG/064/09-10"/>
    <x v="112"/>
    <x v="74"/>
    <n v="2"/>
    <n v="6"/>
    <n v="12"/>
  </r>
  <r>
    <n v="3062"/>
    <s v="05.06.09"/>
    <s v="GG/064/09-10"/>
    <x v="56"/>
    <x v="83"/>
    <n v="1"/>
    <n v="6"/>
    <n v="6"/>
  </r>
  <r>
    <n v="3063"/>
    <s v="05.06.09"/>
    <s v="GG/064/09-10"/>
    <x v="113"/>
    <x v="75"/>
    <n v="5"/>
    <n v="6"/>
    <n v="30"/>
  </r>
  <r>
    <n v="3064"/>
    <s v="05.06.09"/>
    <s v="GG/064/09-10"/>
    <x v="6"/>
    <x v="6"/>
    <n v="4"/>
    <n v="6"/>
    <n v="24"/>
  </r>
  <r>
    <n v="3065"/>
    <s v="05.06.09"/>
    <s v="GG/064/09-10"/>
    <x v="114"/>
    <x v="76"/>
    <n v="2"/>
    <n v="6"/>
    <n v="12"/>
  </r>
  <r>
    <n v="3066"/>
    <s v="05.06.09"/>
    <s v="GG/064/09-10"/>
    <x v="115"/>
    <x v="77"/>
    <n v="3"/>
    <n v="8"/>
    <n v="24"/>
  </r>
  <r>
    <n v="3067"/>
    <s v="05.06.09"/>
    <s v="GG/064/09-10"/>
    <x v="116"/>
    <x v="21"/>
    <n v="4"/>
    <n v="6"/>
    <n v="24"/>
  </r>
  <r>
    <n v="3068"/>
    <s v="05.06.09"/>
    <s v="GG/064/09-10"/>
    <x v="117"/>
    <x v="78"/>
    <n v="4"/>
    <n v="6"/>
    <n v="24"/>
  </r>
  <r>
    <n v="3069"/>
    <s v="05.06.09"/>
    <s v="GG/064/09-10"/>
    <x v="117"/>
    <x v="78"/>
    <n v="1"/>
    <n v="4"/>
    <n v="4"/>
  </r>
  <r>
    <n v="3070"/>
    <s v="05.06.09"/>
    <s v="GG/064/09-10"/>
    <x v="85"/>
    <x v="41"/>
    <n v="1"/>
    <n v="8"/>
    <n v="8"/>
  </r>
  <r>
    <n v="3106"/>
    <s v="06.06.09"/>
    <s v="GG/065/09-10"/>
    <x v="8"/>
    <x v="37"/>
    <n v="2"/>
    <n v="5"/>
    <n v="10"/>
  </r>
  <r>
    <n v="3107"/>
    <s v="06.06.09"/>
    <s v="GG/065/09-10"/>
    <x v="131"/>
    <x v="29"/>
    <n v="2"/>
    <n v="5"/>
    <n v="10"/>
  </r>
  <r>
    <n v="3152"/>
    <s v="10.06.09"/>
    <s v="GG/066/09-10"/>
    <x v="56"/>
    <x v="39"/>
    <n v="3"/>
    <n v="5"/>
    <n v="15"/>
  </r>
  <r>
    <n v="3244"/>
    <s v="13.06.09"/>
    <s v="GG/068/09-10"/>
    <x v="132"/>
    <x v="27"/>
    <n v="2"/>
    <n v="25"/>
    <n v="50"/>
  </r>
  <r>
    <n v="3297"/>
    <s v="15.06.09"/>
    <s v="GG/069/09-10"/>
    <x v="133"/>
    <x v="3"/>
    <n v="8"/>
    <n v="25"/>
    <n v="200"/>
  </r>
  <r>
    <n v="3298"/>
    <s v="15.06.09"/>
    <s v="GG/069/09-10"/>
    <x v="134"/>
    <x v="59"/>
    <n v="5"/>
    <n v="20"/>
    <n v="100"/>
  </r>
  <r>
    <n v="3388"/>
    <s v="17.06.09"/>
    <s v="GG/070/09-10"/>
    <x v="135"/>
    <x v="9"/>
    <n v="5"/>
    <n v="10"/>
    <n v="50"/>
  </r>
  <r>
    <n v="3434"/>
    <s v="17.06.09"/>
    <s v="GG/071/09-10"/>
    <x v="133"/>
    <x v="3"/>
    <n v="97"/>
    <n v="25"/>
    <n v="2425"/>
  </r>
  <r>
    <n v="3435"/>
    <s v="17.06.09"/>
    <s v="GG/071/09-10"/>
    <x v="133"/>
    <x v="3"/>
    <n v="1"/>
    <n v="23"/>
    <n v="23"/>
  </r>
  <r>
    <n v="3436"/>
    <s v="17.06.09"/>
    <s v="GG/071/09-10"/>
    <x v="134"/>
    <x v="59"/>
    <n v="20"/>
    <n v="20"/>
    <n v="400"/>
  </r>
  <r>
    <n v="3480"/>
    <s v="17.06.09"/>
    <s v="GG/072/09-10"/>
    <x v="124"/>
    <x v="9"/>
    <n v="5"/>
    <n v="2"/>
    <n v="10"/>
  </r>
  <r>
    <n v="3481"/>
    <s v="17.06.09"/>
    <s v="GG/072/09-10"/>
    <x v="135"/>
    <x v="9"/>
    <n v="2"/>
    <n v="10"/>
    <n v="20"/>
  </r>
  <r>
    <n v="3526"/>
    <s v="18.06.09"/>
    <s v="GG/073/09-10"/>
    <x v="136"/>
    <x v="86"/>
    <n v="5"/>
    <n v="24"/>
    <n v="120"/>
  </r>
  <r>
    <n v="3527"/>
    <s v="18.06.09"/>
    <s v="GG/073/09-10"/>
    <x v="137"/>
    <x v="86"/>
    <n v="5"/>
    <n v="24"/>
    <n v="120"/>
  </r>
  <r>
    <n v="3528"/>
    <s v="18.06.09"/>
    <s v="GG/073/09-10"/>
    <x v="138"/>
    <x v="87"/>
    <n v="5"/>
    <n v="24"/>
    <n v="120"/>
  </r>
  <r>
    <n v="3531"/>
    <s v="18.06.09"/>
    <s v="GG/073/09-10"/>
    <x v="26"/>
    <x v="3"/>
    <n v="4"/>
    <n v="25"/>
    <n v="100"/>
  </r>
  <r>
    <n v="3532"/>
    <s v="18.06.09"/>
    <s v="GG/073/09-10"/>
    <x v="27"/>
    <x v="9"/>
    <n v="6"/>
    <n v="25"/>
    <n v="150"/>
  </r>
  <r>
    <n v="3534"/>
    <s v="18.06.09"/>
    <s v="GG/073/09-10"/>
    <x v="65"/>
    <x v="9"/>
    <n v="30"/>
    <n v="1"/>
    <n v="30"/>
  </r>
  <r>
    <n v="3536"/>
    <s v="18.06.09"/>
    <s v="GG/073/09-10"/>
    <x v="139"/>
    <x v="9"/>
    <n v="3"/>
    <n v="10"/>
    <n v="30"/>
  </r>
  <r>
    <n v="3572"/>
    <s v="18.06.09"/>
    <s v="GG/074/09-10"/>
    <x v="140"/>
    <x v="9"/>
    <n v="2"/>
    <n v="4"/>
    <n v="8"/>
  </r>
  <r>
    <n v="3574"/>
    <s v="18.06.09"/>
    <s v="GG/074/09-10"/>
    <x v="136"/>
    <x v="86"/>
    <n v="15"/>
    <n v="24"/>
    <n v="360"/>
  </r>
  <r>
    <n v="3575"/>
    <s v="18.06.09"/>
    <s v="GG/074/09-10"/>
    <x v="137"/>
    <x v="86"/>
    <n v="35"/>
    <n v="24"/>
    <n v="840"/>
  </r>
  <r>
    <n v="3619"/>
    <s v="19.06.09"/>
    <s v="GG/075/09-10"/>
    <x v="140"/>
    <x v="9"/>
    <n v="6"/>
    <n v="4"/>
    <n v="24"/>
  </r>
  <r>
    <n v="3620"/>
    <s v="19.06.09"/>
    <s v="GG/075/09-10"/>
    <x v="141"/>
    <x v="9"/>
    <n v="19"/>
    <n v="4"/>
    <n v="76"/>
  </r>
  <r>
    <n v="3622"/>
    <s v="19.06.09"/>
    <s v="GG/075/09-10"/>
    <x v="101"/>
    <x v="9"/>
    <n v="1"/>
    <n v="100"/>
    <n v="100"/>
  </r>
  <r>
    <n v="3623"/>
    <s v="19.06.09"/>
    <s v="GG/075/09-10"/>
    <x v="142"/>
    <x v="9"/>
    <n v="1"/>
    <n v="200"/>
    <n v="200"/>
  </r>
  <r>
    <n v="3626"/>
    <s v="19.06.09"/>
    <s v="GG/075/09-10"/>
    <x v="55"/>
    <x v="38"/>
    <n v="1"/>
    <n v="6"/>
    <n v="6"/>
  </r>
  <r>
    <n v="3627"/>
    <s v="19.06.09"/>
    <s v="GG/075/09-10"/>
    <x v="8"/>
    <x v="8"/>
    <n v="1"/>
    <n v="4"/>
    <n v="4"/>
  </r>
  <r>
    <n v="3628"/>
    <s v="19.06.09"/>
    <s v="GG/075/09-10"/>
    <x v="113"/>
    <x v="75"/>
    <n v="1"/>
    <n v="6"/>
    <n v="6"/>
  </r>
  <r>
    <n v="3629"/>
    <s v="19.06.09"/>
    <s v="GG/075/09-10"/>
    <x v="6"/>
    <x v="6"/>
    <n v="1"/>
    <n v="6"/>
    <n v="6"/>
  </r>
  <r>
    <n v="3630"/>
    <s v="19.06.09"/>
    <s v="GG/075/09-10"/>
    <x v="143"/>
    <x v="88"/>
    <n v="1"/>
    <n v="6"/>
    <n v="6"/>
  </r>
  <r>
    <n v="3631"/>
    <s v="19.06.09"/>
    <s v="GG/075/09-10"/>
    <x v="116"/>
    <x v="21"/>
    <n v="1"/>
    <n v="6"/>
    <n v="6"/>
  </r>
  <r>
    <n v="3632"/>
    <s v="19.06.09"/>
    <s v="GG/075/09-10"/>
    <x v="144"/>
    <x v="89"/>
    <n v="1"/>
    <n v="6"/>
    <n v="6"/>
  </r>
  <r>
    <n v="3633"/>
    <s v="19.06.09"/>
    <s v="GG/075/09-10"/>
    <x v="145"/>
    <x v="7"/>
    <n v="1"/>
    <n v="6"/>
    <n v="6"/>
  </r>
  <r>
    <n v="3662"/>
    <s v="19.06.09"/>
    <s v="GG/076/09-10"/>
    <x v="136"/>
    <x v="86"/>
    <n v="1"/>
    <n v="24"/>
    <n v="24"/>
  </r>
  <r>
    <n v="3663"/>
    <s v="19.06.09"/>
    <s v="GG/076/09-10"/>
    <x v="137"/>
    <x v="86"/>
    <n v="1"/>
    <n v="24"/>
    <n v="24"/>
  </r>
  <r>
    <n v="3664"/>
    <s v="19.06.09"/>
    <s v="GG/076/09-10"/>
    <x v="138"/>
    <x v="32"/>
    <n v="10"/>
    <n v="24"/>
    <n v="240"/>
  </r>
  <r>
    <n v="3665"/>
    <s v="19.06.09"/>
    <s v="GG/076/09-10"/>
    <x v="138"/>
    <x v="32"/>
    <n v="1"/>
    <n v="20"/>
    <n v="20"/>
  </r>
  <r>
    <n v="3708"/>
    <s v="19.06.09"/>
    <s v="GG/077/09-10"/>
    <x v="140"/>
    <x v="9"/>
    <n v="6"/>
    <n v="4"/>
    <n v="24"/>
  </r>
  <r>
    <n v="3709"/>
    <s v="19.06.09"/>
    <s v="GG/077/09-10"/>
    <x v="141"/>
    <x v="9"/>
    <n v="31"/>
    <n v="4"/>
    <n v="124"/>
  </r>
  <r>
    <n v="3711"/>
    <s v="19.06.09"/>
    <s v="GG/077/09-10"/>
    <x v="136"/>
    <x v="86"/>
    <n v="21"/>
    <n v="24"/>
    <n v="504"/>
  </r>
  <r>
    <n v="3712"/>
    <s v="19.06.09"/>
    <s v="GG/077/09-10"/>
    <x v="137"/>
    <x v="86"/>
    <n v="21"/>
    <n v="24"/>
    <n v="504"/>
  </r>
  <r>
    <n v="3752"/>
    <s v="23.06.09"/>
    <s v="GG/078/09-10"/>
    <x v="146"/>
    <x v="9"/>
    <n v="3"/>
    <n v="100"/>
    <n v="300"/>
  </r>
  <r>
    <n v="3754"/>
    <s v="23.06.09"/>
    <s v="GG/078/09-10"/>
    <x v="140"/>
    <x v="9"/>
    <n v="1"/>
    <n v="4"/>
    <n v="4"/>
  </r>
  <r>
    <n v="3755"/>
    <s v="23.06.09"/>
    <s v="GG/078/09-10"/>
    <x v="141"/>
    <x v="9"/>
    <n v="6"/>
    <n v="4"/>
    <n v="24"/>
  </r>
  <r>
    <n v="3756"/>
    <s v="23.06.09"/>
    <s v="GG/078/09-10"/>
    <x v="147"/>
    <x v="9"/>
    <n v="1"/>
    <n v="4"/>
    <n v="4"/>
  </r>
  <r>
    <n v="3757"/>
    <s v="23.06.09"/>
    <s v="GG/078/09-10"/>
    <x v="148"/>
    <x v="9"/>
    <n v="1"/>
    <n v="4"/>
    <n v="4"/>
  </r>
  <r>
    <n v="3799"/>
    <s v="23.06.09"/>
    <s v="GG/079/09-10"/>
    <x v="136"/>
    <x v="86"/>
    <n v="2"/>
    <n v="24"/>
    <n v="48"/>
  </r>
  <r>
    <n v="3800"/>
    <s v="23.06.09"/>
    <s v="GG/079/09-10"/>
    <x v="137"/>
    <x v="86"/>
    <n v="3"/>
    <n v="24"/>
    <n v="72"/>
  </r>
  <r>
    <n v="3801"/>
    <s v="23.06.09"/>
    <s v="GG/079/09-10"/>
    <x v="138"/>
    <x v="32"/>
    <n v="5"/>
    <n v="24"/>
    <n v="120"/>
  </r>
  <r>
    <n v="3836"/>
    <s v="23.06.09"/>
    <s v="GG/080/09-10"/>
    <x v="141"/>
    <x v="9"/>
    <n v="12"/>
    <n v="4"/>
    <n v="48"/>
  </r>
  <r>
    <n v="3882"/>
    <s v="23.06.09"/>
    <s v="GG/081/09-10"/>
    <x v="149"/>
    <x v="9"/>
    <n v="77"/>
    <n v="1"/>
    <n v="77"/>
  </r>
  <r>
    <n v="3928"/>
    <s v="23.06.09"/>
    <s v="GG/082/09-10"/>
    <x v="150"/>
    <x v="90"/>
    <n v="1"/>
    <n v="6"/>
    <n v="6"/>
  </r>
  <r>
    <n v="3929"/>
    <s v="23.06.09"/>
    <s v="GG/082/09-10"/>
    <x v="151"/>
    <x v="47"/>
    <n v="1"/>
    <n v="6"/>
    <n v="6"/>
  </r>
  <r>
    <n v="3930"/>
    <s v="23.06.09"/>
    <s v="GG/082/09-10"/>
    <x v="152"/>
    <x v="91"/>
    <n v="1"/>
    <n v="8"/>
    <n v="8"/>
  </r>
  <r>
    <n v="3932"/>
    <s v="23.06.09"/>
    <s v="GG/082/09-10"/>
    <x v="0"/>
    <x v="0"/>
    <n v="10"/>
    <n v="25"/>
    <n v="250"/>
  </r>
  <r>
    <n v="3933"/>
    <s v="23.06.09"/>
    <s v="GG/082/09-10"/>
    <x v="153"/>
    <x v="1"/>
    <n v="10"/>
    <n v="25"/>
    <n v="250"/>
  </r>
  <r>
    <n v="3935"/>
    <s v="23.06.09"/>
    <s v="GG/082/09-10"/>
    <x v="55"/>
    <x v="92"/>
    <n v="2"/>
    <n v="5"/>
    <n v="10"/>
  </r>
  <r>
    <n v="3936"/>
    <s v="23.06.09"/>
    <s v="GG/082/09-10"/>
    <x v="154"/>
    <x v="93"/>
    <n v="4"/>
    <n v="5"/>
    <n v="20"/>
  </r>
  <r>
    <n v="3937"/>
    <s v="23.06.09"/>
    <s v="GG/082/09-10"/>
    <x v="24"/>
    <x v="24"/>
    <n v="5"/>
    <n v="5"/>
    <n v="25"/>
  </r>
  <r>
    <n v="3974"/>
    <s v="23.06.09"/>
    <s v="GG/083/09-10"/>
    <x v="155"/>
    <x v="94"/>
    <n v="2"/>
    <n v="5"/>
    <n v="10"/>
  </r>
  <r>
    <n v="3975"/>
    <s v="23.06.09"/>
    <s v="GG/083/09-10"/>
    <x v="95"/>
    <x v="82"/>
    <n v="1"/>
    <n v="5"/>
    <n v="5"/>
  </r>
  <r>
    <n v="3977"/>
    <s v="23.06.09"/>
    <s v="GG/083/09-10"/>
    <x v="153"/>
    <x v="1"/>
    <n v="7"/>
    <n v="25"/>
    <n v="175"/>
  </r>
  <r>
    <n v="3980"/>
    <s v="23.06.09"/>
    <s v="GG/083/09-10"/>
    <x v="156"/>
    <x v="9"/>
    <n v="5"/>
    <n v="2"/>
    <n v="10"/>
  </r>
  <r>
    <n v="4020"/>
    <s v="23.06.09"/>
    <s v="GG/084/09-10"/>
    <x v="0"/>
    <x v="0"/>
    <n v="8"/>
    <n v="25"/>
    <n v="200"/>
  </r>
  <r>
    <n v="4021"/>
    <s v="23.06.09"/>
    <s v="GG/084/09-10"/>
    <x v="153"/>
    <x v="1"/>
    <n v="16"/>
    <n v="25"/>
    <n v="400"/>
  </r>
  <r>
    <n v="4022"/>
    <s v="23.06.09"/>
    <s v="GG/084/09-10"/>
    <x v="2"/>
    <x v="2"/>
    <n v="12"/>
    <n v="25"/>
    <n v="300"/>
  </r>
  <r>
    <n v="4024"/>
    <s v="23.06.09"/>
    <s v="GG/084/09-10"/>
    <x v="55"/>
    <x v="92"/>
    <n v="2"/>
    <n v="5"/>
    <n v="10"/>
  </r>
  <r>
    <n v="4025"/>
    <s v="23.06.09"/>
    <s v="GG/084/09-10"/>
    <x v="157"/>
    <x v="25"/>
    <n v="4"/>
    <n v="5"/>
    <n v="20"/>
  </r>
  <r>
    <n v="4026"/>
    <s v="23.06.09"/>
    <s v="GG/084/09-10"/>
    <x v="24"/>
    <x v="24"/>
    <n v="2"/>
    <n v="5"/>
    <n v="10"/>
  </r>
  <r>
    <n v="4027"/>
    <s v="23.06.09"/>
    <s v="GG/084/09-10"/>
    <x v="155"/>
    <x v="94"/>
    <n v="2"/>
    <n v="5"/>
    <n v="10"/>
  </r>
  <r>
    <n v="4028"/>
    <s v="23.06.09"/>
    <s v="GG/084/09-10"/>
    <x v="112"/>
    <x v="95"/>
    <n v="3"/>
    <n v="5"/>
    <n v="15"/>
  </r>
  <r>
    <n v="4029"/>
    <s v="23.06.09"/>
    <s v="GG/084/09-10"/>
    <x v="118"/>
    <x v="96"/>
    <n v="1"/>
    <n v="5"/>
    <n v="5"/>
  </r>
  <r>
    <n v="4030"/>
    <s v="23.06.09"/>
    <s v="GG/084/09-10"/>
    <x v="28"/>
    <x v="28"/>
    <n v="4"/>
    <n v="5"/>
    <n v="20"/>
  </r>
  <r>
    <n v="4032"/>
    <s v="23.06.09"/>
    <s v="GG/084/09-10"/>
    <x v="136"/>
    <x v="86"/>
    <n v="5"/>
    <n v="24"/>
    <n v="120"/>
  </r>
  <r>
    <n v="4033"/>
    <s v="23.06.09"/>
    <s v="GG/084/09-10"/>
    <x v="138"/>
    <x v="32"/>
    <n v="5"/>
    <n v="24"/>
    <n v="120"/>
  </r>
  <r>
    <n v="4035"/>
    <s v="23.06.09"/>
    <s v="GG/084/09-10"/>
    <x v="151"/>
    <x v="47"/>
    <n v="2"/>
    <n v="6"/>
    <n v="12"/>
  </r>
  <r>
    <n v="4036"/>
    <s v="23.06.09"/>
    <s v="GG/084/09-10"/>
    <x v="151"/>
    <x v="47"/>
    <n v="1"/>
    <n v="4"/>
    <n v="4"/>
  </r>
  <r>
    <n v="4037"/>
    <s v="23.06.09"/>
    <s v="GG/084/09-10"/>
    <x v="152"/>
    <x v="91"/>
    <n v="2"/>
    <n v="8"/>
    <n v="16"/>
  </r>
  <r>
    <n v="4038"/>
    <s v="23.06.09"/>
    <s v="GG/084/09-10"/>
    <x v="152"/>
    <x v="91"/>
    <n v="1"/>
    <n v="1"/>
    <n v="1"/>
  </r>
  <r>
    <n v="4066"/>
    <s v="24.06.09"/>
    <s v="GG/085/09-10"/>
    <x v="0"/>
    <x v="0"/>
    <n v="11"/>
    <n v="25"/>
    <n v="275"/>
  </r>
  <r>
    <n v="4067"/>
    <s v="24.06.09"/>
    <s v="GG/085/09-10"/>
    <x v="2"/>
    <x v="2"/>
    <n v="18"/>
    <n v="25"/>
    <n v="450"/>
  </r>
  <r>
    <n v="4069"/>
    <s v="24.06.09"/>
    <s v="GG/085/09-10"/>
    <x v="157"/>
    <x v="25"/>
    <n v="31"/>
    <n v="5"/>
    <n v="155"/>
  </r>
  <r>
    <n v="4070"/>
    <s v="24.06.09"/>
    <s v="GG/085/09-10"/>
    <x v="24"/>
    <x v="24"/>
    <n v="5"/>
    <n v="5"/>
    <n v="25"/>
  </r>
  <r>
    <n v="4072"/>
    <s v="24.06.09"/>
    <s v="GG/085/09-10"/>
    <x v="72"/>
    <x v="55"/>
    <n v="10"/>
    <n v="1"/>
    <n v="10"/>
  </r>
  <r>
    <n v="4073"/>
    <s v="24.06.09"/>
    <s v="GG/085/09-10"/>
    <x v="72"/>
    <x v="54"/>
    <n v="10"/>
    <n v="1"/>
    <n v="10"/>
  </r>
  <r>
    <n v="4074"/>
    <s v="24.06.09"/>
    <s v="GG/085/09-10"/>
    <x v="139"/>
    <x v="9"/>
    <n v="2"/>
    <n v="10"/>
    <n v="20"/>
  </r>
  <r>
    <n v="4112"/>
    <s v="24.06.09"/>
    <s v="GG/086/09-10"/>
    <x v="2"/>
    <x v="2"/>
    <n v="10"/>
    <n v="25"/>
    <n v="250"/>
  </r>
  <r>
    <n v="4158"/>
    <s v="24.06.09"/>
    <s v="GG/087/09-10"/>
    <x v="141"/>
    <x v="9"/>
    <n v="1"/>
    <n v="4"/>
    <n v="4"/>
  </r>
  <r>
    <n v="4203"/>
    <s v="25.06.09"/>
    <s v="GG/088/09-10"/>
    <x v="141"/>
    <x v="9"/>
    <n v="4"/>
    <n v="4"/>
    <n v="16"/>
  </r>
  <r>
    <n v="4205"/>
    <s v="25.06.09"/>
    <s v="GG/088/09-10"/>
    <x v="72"/>
    <x v="55"/>
    <n v="10"/>
    <n v="1"/>
    <n v="10"/>
  </r>
  <r>
    <n v="4206"/>
    <s v="25.06.09"/>
    <s v="GG/088/09-10"/>
    <x v="72"/>
    <x v="54"/>
    <n v="10"/>
    <n v="1"/>
    <n v="10"/>
  </r>
  <r>
    <n v="4207"/>
    <s v="25.06.09"/>
    <s v="GG/088/09-10"/>
    <x v="139"/>
    <x v="9"/>
    <n v="2"/>
    <n v="10"/>
    <n v="20"/>
  </r>
  <r>
    <n v="4249"/>
    <s v="26.06.09"/>
    <s v="GG/089/09-10"/>
    <x v="158"/>
    <x v="97"/>
    <n v="2"/>
    <n v="5"/>
    <n v="10"/>
  </r>
  <r>
    <n v="4250"/>
    <s v="26.06.09"/>
    <s v="GG/089/09-10"/>
    <x v="16"/>
    <x v="15"/>
    <n v="2"/>
    <n v="5"/>
    <n v="10"/>
  </r>
  <r>
    <n v="4251"/>
    <s v="26.06.09"/>
    <s v="GG/089/09-10"/>
    <x v="130"/>
    <x v="98"/>
    <n v="4"/>
    <n v="5"/>
    <n v="20"/>
  </r>
  <r>
    <n v="4252"/>
    <s v="26.06.09"/>
    <s v="GG/089/09-10"/>
    <x v="87"/>
    <x v="99"/>
    <n v="2"/>
    <n v="5"/>
    <n v="10"/>
  </r>
  <r>
    <n v="4253"/>
    <s v="26.06.09"/>
    <s v="GG/089/09-10"/>
    <x v="104"/>
    <x v="94"/>
    <n v="1"/>
    <n v="5"/>
    <n v="5"/>
  </r>
  <r>
    <n v="4254"/>
    <s v="26.06.09"/>
    <s v="GG/089/09-10"/>
    <x v="118"/>
    <x v="96"/>
    <n v="1"/>
    <n v="5"/>
    <n v="5"/>
  </r>
  <r>
    <n v="4255"/>
    <s v="26.06.09"/>
    <s v="GG/089/09-10"/>
    <x v="6"/>
    <x v="100"/>
    <n v="2"/>
    <n v="5"/>
    <n v="10"/>
  </r>
  <r>
    <n v="4257"/>
    <s v="26.06.09"/>
    <s v="GG/089/09-10"/>
    <x v="124"/>
    <x v="9"/>
    <n v="1"/>
    <n v="2"/>
    <n v="2"/>
  </r>
  <r>
    <n v="4259"/>
    <s v="26.06.09"/>
    <s v="GG/089/09-10"/>
    <x v="146"/>
    <x v="9"/>
    <n v="1"/>
    <n v="100"/>
    <n v="100"/>
  </r>
  <r>
    <n v="4294"/>
    <s v="26.06.09"/>
    <s v="GG/090/09-10"/>
    <x v="6"/>
    <x v="101"/>
    <n v="1"/>
    <n v="25"/>
    <n v="25"/>
  </r>
  <r>
    <n v="4295"/>
    <s v="26.06.09"/>
    <s v="GG/090/09-10"/>
    <x v="98"/>
    <x v="61"/>
    <n v="2"/>
    <n v="25"/>
    <n v="50"/>
  </r>
  <r>
    <n v="4296"/>
    <s v="26.06.09"/>
    <s v="GG/090/09-10"/>
    <x v="22"/>
    <x v="60"/>
    <n v="2"/>
    <n v="25"/>
    <n v="50"/>
  </r>
  <r>
    <n v="4297"/>
    <s v="26.06.09"/>
    <s v="GG/090/09-10"/>
    <x v="159"/>
    <x v="102"/>
    <n v="2"/>
    <n v="25"/>
    <n v="50"/>
  </r>
  <r>
    <n v="4298"/>
    <s v="26.06.09"/>
    <s v="GG/090/09-10"/>
    <x v="160"/>
    <x v="103"/>
    <n v="2"/>
    <n v="25"/>
    <n v="50"/>
  </r>
  <r>
    <n v="4299"/>
    <s v="26.06.09"/>
    <s v="GG/090/09-10"/>
    <x v="26"/>
    <x v="26"/>
    <n v="2"/>
    <n v="25"/>
    <n v="50"/>
  </r>
  <r>
    <n v="4386"/>
    <s v="27.06.09"/>
    <s v="GG/092/09-10"/>
    <x v="87"/>
    <x v="99"/>
    <n v="1"/>
    <n v="5"/>
    <n v="5"/>
  </r>
  <r>
    <n v="4387"/>
    <s v="27.06.09"/>
    <s v="GG/092/09-10"/>
    <x v="161"/>
    <x v="104"/>
    <n v="1"/>
    <n v="5"/>
    <n v="5"/>
  </r>
  <r>
    <n v="4389"/>
    <s v="27.06.09"/>
    <s v="GG/092/09-10"/>
    <x v="72"/>
    <x v="55"/>
    <n v="10"/>
    <n v="1"/>
    <n v="10"/>
  </r>
  <r>
    <n v="4390"/>
    <s v="27.06.09"/>
    <s v="GG/092/09-10"/>
    <x v="72"/>
    <x v="54"/>
    <n v="10"/>
    <n v="1"/>
    <n v="10"/>
  </r>
  <r>
    <n v="4391"/>
    <s v="27.06.09"/>
    <s v="GG/092/09-10"/>
    <x v="139"/>
    <x v="9"/>
    <n v="2"/>
    <n v="10"/>
    <n v="20"/>
  </r>
  <r>
    <n v="4432"/>
    <s v="29.06.09"/>
    <s v="GG/093/09-10"/>
    <x v="140"/>
    <x v="9"/>
    <n v="3"/>
    <n v="4"/>
    <n v="12"/>
  </r>
  <r>
    <n v="4433"/>
    <s v="29.06.09"/>
    <s v="GG/093/09-10"/>
    <x v="141"/>
    <x v="9"/>
    <n v="5"/>
    <n v="4"/>
    <n v="20"/>
  </r>
  <r>
    <n v="4435"/>
    <s v="29.06.09"/>
    <s v="GG/093/09-10"/>
    <x v="124"/>
    <x v="9"/>
    <n v="5"/>
    <n v="2"/>
    <n v="10"/>
  </r>
  <r>
    <n v="4478"/>
    <s v="01.07.09"/>
    <s v="GG/094/09-10"/>
    <x v="141"/>
    <x v="9"/>
    <n v="13"/>
    <n v="4"/>
    <n v="52"/>
  </r>
  <r>
    <n v="4524"/>
    <s v="01.07.09"/>
    <s v="GG/095/09-10"/>
    <x v="162"/>
    <x v="94"/>
    <n v="4"/>
    <n v="5"/>
    <n v="20"/>
  </r>
  <r>
    <n v="4570"/>
    <s v="02.07.09"/>
    <s v="GG/096/09-10"/>
    <x v="124"/>
    <x v="9"/>
    <n v="3"/>
    <n v="6"/>
    <n v="18"/>
  </r>
  <r>
    <n v="4572"/>
    <s v="02.07.09"/>
    <s v="GG/096/09-10"/>
    <x v="8"/>
    <x v="102"/>
    <n v="1"/>
    <n v="25"/>
    <n v="25"/>
  </r>
  <r>
    <n v="4573"/>
    <s v="02.07.09"/>
    <s v="GG/096/09-10"/>
    <x v="8"/>
    <x v="103"/>
    <n v="1"/>
    <n v="25"/>
    <n v="25"/>
  </r>
  <r>
    <n v="4574"/>
    <s v="02.07.09"/>
    <s v="GG/096/09-10"/>
    <x v="163"/>
    <x v="57"/>
    <n v="2"/>
    <n v="25"/>
    <n v="50"/>
  </r>
  <r>
    <n v="4575"/>
    <s v="02.07.09"/>
    <s v="GG/096/09-10"/>
    <x v="164"/>
    <x v="105"/>
    <n v="2"/>
    <n v="25"/>
    <n v="50"/>
  </r>
  <r>
    <n v="4576"/>
    <s v="02.07.09"/>
    <s v="GG/096/09-10"/>
    <x v="99"/>
    <x v="47"/>
    <n v="1"/>
    <n v="25"/>
    <n v="25"/>
  </r>
  <r>
    <n v="4577"/>
    <s v="02.07.09"/>
    <s v="GG/096/09-10"/>
    <x v="98"/>
    <x v="61"/>
    <n v="1"/>
    <n v="25"/>
    <n v="25"/>
  </r>
  <r>
    <n v="4579"/>
    <s v="02.07.09"/>
    <s v="GG/096/09-10"/>
    <x v="65"/>
    <x v="9"/>
    <n v="25"/>
    <n v="1"/>
    <n v="25"/>
  </r>
  <r>
    <n v="4581"/>
    <s v="02.07.09"/>
    <s v="GG/096/09-10"/>
    <x v="139"/>
    <x v="9"/>
    <n v="3"/>
    <n v="10"/>
    <n v="30"/>
  </r>
  <r>
    <n v="4616"/>
    <s v="03.07.09"/>
    <s v="GG/097/09-10"/>
    <x v="165"/>
    <x v="9"/>
    <n v="5"/>
    <n v="10"/>
    <n v="50"/>
  </r>
  <r>
    <n v="4617"/>
    <s v="03.07.09"/>
    <s v="GG/097/09-10"/>
    <x v="166"/>
    <x v="9"/>
    <n v="2"/>
    <n v="10"/>
    <n v="20"/>
  </r>
  <r>
    <n v="4618"/>
    <s v="03.07.09"/>
    <s v="GG/097/09-10"/>
    <x v="167"/>
    <x v="9"/>
    <n v="1"/>
    <n v="10"/>
    <n v="10"/>
  </r>
  <r>
    <n v="4620"/>
    <s v="03.07.09"/>
    <s v="GG/097/09-10"/>
    <x v="168"/>
    <x v="9"/>
    <n v="3"/>
    <n v="10"/>
    <n v="30"/>
  </r>
  <r>
    <n v="4621"/>
    <s v="03.07.09"/>
    <s v="GG/097/09-10"/>
    <x v="169"/>
    <x v="9"/>
    <n v="1"/>
    <n v="10"/>
    <n v="10"/>
  </r>
  <r>
    <n v="4622"/>
    <s v="03.07.09"/>
    <s v="GG/097/09-10"/>
    <x v="170"/>
    <x v="9"/>
    <n v="2"/>
    <n v="10"/>
    <n v="20"/>
  </r>
  <r>
    <n v="4624"/>
    <s v="03.07.09"/>
    <s v="GG/097/09-10"/>
    <x v="171"/>
    <x v="9"/>
    <n v="3"/>
    <n v="10"/>
    <n v="30"/>
  </r>
  <r>
    <n v="4625"/>
    <s v="03.07.09"/>
    <s v="GG/097/09-10"/>
    <x v="172"/>
    <x v="9"/>
    <n v="3"/>
    <n v="10"/>
    <n v="30"/>
  </r>
  <r>
    <n v="4626"/>
    <s v="03.07.09"/>
    <s v="GG/097/09-10"/>
    <x v="173"/>
    <x v="9"/>
    <n v="3"/>
    <n v="10"/>
    <n v="30"/>
  </r>
  <r>
    <n v="4627"/>
    <s v="03.07.09"/>
    <s v="GG/097/09-10"/>
    <x v="174"/>
    <x v="9"/>
    <n v="3"/>
    <n v="10"/>
    <n v="30"/>
  </r>
  <r>
    <n v="4628"/>
    <s v="03.07.09"/>
    <s v="GG/097/09-10"/>
    <x v="175"/>
    <x v="9"/>
    <n v="2"/>
    <n v="5"/>
    <n v="10"/>
  </r>
  <r>
    <n v="4630"/>
    <s v="03.07.09"/>
    <s v="GG/097/09-10"/>
    <x v="30"/>
    <x v="30"/>
    <n v="1"/>
    <n v="1"/>
    <n v="1"/>
  </r>
  <r>
    <n v="4665"/>
    <s v="03.07.09"/>
    <s v="GG/098/09-10"/>
    <x v="140"/>
    <x v="9"/>
    <n v="7"/>
    <n v="4"/>
    <n v="28"/>
  </r>
  <r>
    <n v="4667"/>
    <s v="03.07.09"/>
    <s v="GG/098/09-10"/>
    <x v="8"/>
    <x v="9"/>
    <n v="10"/>
    <n v="5"/>
    <n v="50"/>
  </r>
  <r>
    <n v="4668"/>
    <s v="03.07.09"/>
    <s v="GG/098/09-10"/>
    <x v="176"/>
    <x v="9"/>
    <n v="1"/>
    <n v="5"/>
    <n v="5"/>
  </r>
  <r>
    <n v="4710"/>
    <s v="03.07.09"/>
    <s v="GG/099/09-10"/>
    <x v="165"/>
    <x v="9"/>
    <n v="5"/>
    <n v="10"/>
    <n v="50"/>
  </r>
  <r>
    <n v="4711"/>
    <s v="03.07.09"/>
    <s v="GG/099/09-10"/>
    <x v="166"/>
    <x v="9"/>
    <n v="13"/>
    <n v="10"/>
    <n v="130"/>
  </r>
  <r>
    <n v="4713"/>
    <s v="03.07.09"/>
    <s v="GG/099/09-10"/>
    <x v="162"/>
    <x v="9"/>
    <n v="8"/>
    <n v="5"/>
    <n v="40"/>
  </r>
  <r>
    <n v="4715"/>
    <s v="03.07.09"/>
    <s v="GG/099/09-10"/>
    <x v="171"/>
    <x v="9"/>
    <n v="20"/>
    <n v="10"/>
    <n v="200"/>
  </r>
  <r>
    <n v="4716"/>
    <s v="03.07.09"/>
    <s v="GG/099/09-10"/>
    <x v="173"/>
    <x v="9"/>
    <n v="20"/>
    <n v="10"/>
    <n v="200"/>
  </r>
  <r>
    <n v="4717"/>
    <s v="03.07.09"/>
    <s v="GG/099/09-10"/>
    <x v="8"/>
    <x v="9"/>
    <n v="5"/>
    <n v="5"/>
    <n v="25"/>
  </r>
  <r>
    <n v="4757"/>
    <s v="03.07.09"/>
    <s v="GG/100/09-10"/>
    <x v="171"/>
    <x v="9"/>
    <n v="40"/>
    <n v="10"/>
    <n v="400"/>
  </r>
  <r>
    <n v="4758"/>
    <s v="03.07.09"/>
    <s v="GG/100/09-10"/>
    <x v="172"/>
    <x v="9"/>
    <n v="40"/>
    <n v="10"/>
    <n v="400"/>
  </r>
  <r>
    <n v="4759"/>
    <s v="03.07.09"/>
    <s v="GG/100/09-10"/>
    <x v="8"/>
    <x v="9"/>
    <n v="20"/>
    <n v="5"/>
    <n v="100"/>
  </r>
  <r>
    <n v="4803"/>
    <s v="03.07.09"/>
    <s v="GG/101/09-10"/>
    <x v="165"/>
    <x v="9"/>
    <n v="12"/>
    <n v="10"/>
    <n v="120"/>
  </r>
  <r>
    <n v="4804"/>
    <s v="03.07.09"/>
    <s v="GG/101/09-10"/>
    <x v="166"/>
    <x v="9"/>
    <n v="3"/>
    <n v="10"/>
    <n v="30"/>
  </r>
  <r>
    <n v="4806"/>
    <s v="03.07.09"/>
    <s v="GG/101/09-10"/>
    <x v="168"/>
    <x v="9"/>
    <n v="2"/>
    <n v="10"/>
    <n v="20"/>
  </r>
  <r>
    <n v="4807"/>
    <s v="03.07.09"/>
    <s v="GG/101/09-10"/>
    <x v="169"/>
    <x v="9"/>
    <n v="2"/>
    <n v="10"/>
    <n v="20"/>
  </r>
  <r>
    <n v="4808"/>
    <s v="03.07.09"/>
    <s v="GG/101/09-10"/>
    <x v="170"/>
    <x v="9"/>
    <n v="2"/>
    <n v="10"/>
    <n v="20"/>
  </r>
  <r>
    <n v="4810"/>
    <s v="03.07.09"/>
    <s v="GG/101/09-10"/>
    <x v="171"/>
    <x v="9"/>
    <n v="20"/>
    <n v="10"/>
    <n v="200"/>
  </r>
  <r>
    <n v="4811"/>
    <s v="03.07.09"/>
    <s v="GG/101/09-10"/>
    <x v="172"/>
    <x v="9"/>
    <n v="10"/>
    <n v="10"/>
    <n v="100"/>
  </r>
  <r>
    <n v="4812"/>
    <s v="03.07.09"/>
    <s v="GG/101/09-10"/>
    <x v="173"/>
    <x v="9"/>
    <n v="5"/>
    <n v="10"/>
    <n v="50"/>
  </r>
  <r>
    <n v="4813"/>
    <s v="03.07.09"/>
    <s v="GG/101/09-10"/>
    <x v="174"/>
    <x v="9"/>
    <n v="5"/>
    <n v="10"/>
    <n v="50"/>
  </r>
  <r>
    <n v="4814"/>
    <s v="03.07.09"/>
    <s v="GG/101/09-10"/>
    <x v="175"/>
    <x v="9"/>
    <n v="8"/>
    <n v="5"/>
    <n v="40"/>
  </r>
  <r>
    <n v="4816"/>
    <s v="03.07.09"/>
    <s v="GG/101/09-10"/>
    <x v="177"/>
    <x v="9"/>
    <n v="1"/>
    <n v="100"/>
    <n v="100"/>
  </r>
  <r>
    <n v="4850"/>
    <s v="03.07.09"/>
    <s v="GG/102/09-10"/>
    <x v="165"/>
    <x v="9"/>
    <n v="12"/>
    <n v="10"/>
    <n v="120"/>
  </r>
  <r>
    <n v="4851"/>
    <s v="03.07.09"/>
    <s v="GG/102/09-10"/>
    <x v="166"/>
    <x v="9"/>
    <n v="3"/>
    <n v="10"/>
    <n v="30"/>
  </r>
  <r>
    <n v="4853"/>
    <s v="03.07.09"/>
    <s v="GG/102/09-10"/>
    <x v="168"/>
    <x v="9"/>
    <n v="2"/>
    <n v="10"/>
    <n v="20"/>
  </r>
  <r>
    <n v="4854"/>
    <s v="03.07.09"/>
    <s v="GG/102/09-10"/>
    <x v="178"/>
    <x v="9"/>
    <n v="2"/>
    <n v="10"/>
    <n v="20"/>
  </r>
  <r>
    <n v="4855"/>
    <s v="03.07.09"/>
    <s v="GG/102/09-10"/>
    <x v="179"/>
    <x v="9"/>
    <n v="2"/>
    <n v="10"/>
    <n v="20"/>
  </r>
  <r>
    <n v="4857"/>
    <s v="03.07.09"/>
    <s v="GG/102/09-10"/>
    <x v="171"/>
    <x v="9"/>
    <n v="20"/>
    <n v="10"/>
    <n v="200"/>
  </r>
  <r>
    <n v="4858"/>
    <s v="03.07.09"/>
    <s v="GG/102/09-10"/>
    <x v="172"/>
    <x v="9"/>
    <n v="10"/>
    <n v="10"/>
    <n v="100"/>
  </r>
  <r>
    <n v="4859"/>
    <s v="03.07.09"/>
    <s v="GG/102/09-10"/>
    <x v="173"/>
    <x v="9"/>
    <n v="5"/>
    <n v="10"/>
    <n v="50"/>
  </r>
  <r>
    <n v="4860"/>
    <s v="03.07.09"/>
    <s v="GG/102/09-10"/>
    <x v="174"/>
    <x v="9"/>
    <n v="5"/>
    <n v="10"/>
    <n v="50"/>
  </r>
  <r>
    <n v="4861"/>
    <s v="03.07.09"/>
    <s v="GG/102/09-10"/>
    <x v="180"/>
    <x v="106"/>
    <n v="4"/>
    <n v="10"/>
    <n v="40"/>
  </r>
  <r>
    <n v="4863"/>
    <s v="03.07.09"/>
    <s v="GG/102/09-10"/>
    <x v="177"/>
    <x v="9"/>
    <n v="1"/>
    <n v="100"/>
    <n v="100"/>
  </r>
  <r>
    <n v="4896"/>
    <s v="03.07.09"/>
    <s v="GG/103/09-10"/>
    <x v="164"/>
    <x v="63"/>
    <n v="1"/>
    <n v="250"/>
    <n v="250"/>
  </r>
  <r>
    <n v="4943"/>
    <s v="03.07.09"/>
    <s v="GG/104/09-10"/>
    <x v="164"/>
    <x v="63"/>
    <n v="1"/>
    <n v="250"/>
    <n v="250"/>
  </r>
  <r>
    <n v="4988"/>
    <s v="06.07.09"/>
    <s v="GG/105/09-10"/>
    <x v="141"/>
    <x v="9"/>
    <n v="3"/>
    <n v="4"/>
    <n v="12"/>
  </r>
  <r>
    <n v="5035"/>
    <s v="08.07.09"/>
    <s v="GG/106/09-10"/>
    <x v="168"/>
    <x v="9"/>
    <n v="4"/>
    <n v="10"/>
    <n v="40"/>
  </r>
  <r>
    <n v="5037"/>
    <s v="08.07.09"/>
    <s v="GG/106/09-10"/>
    <x v="181"/>
    <x v="25"/>
    <n v="5"/>
    <n v="5"/>
    <n v="25"/>
  </r>
  <r>
    <n v="5085"/>
    <s v="09.07.09"/>
    <s v="GG/107/09-10"/>
    <x v="147"/>
    <x v="9"/>
    <n v="3"/>
    <n v="4"/>
    <n v="12"/>
  </r>
  <r>
    <n v="5086"/>
    <s v="09.07.09"/>
    <s v="GG/107/09-10"/>
    <x v="141"/>
    <x v="9"/>
    <n v="6"/>
    <n v="4"/>
    <n v="24"/>
  </r>
  <r>
    <n v="5088"/>
    <s v="09.07.09"/>
    <s v="GG/107/09-10"/>
    <x v="8"/>
    <x v="9"/>
    <n v="3"/>
    <n v="5"/>
    <n v="15"/>
  </r>
  <r>
    <n v="5126"/>
    <s v="08.07.09"/>
    <s v="GG/108/09-10"/>
    <x v="8"/>
    <x v="9"/>
    <n v="6"/>
    <n v="5"/>
    <n v="30"/>
  </r>
  <r>
    <n v="5127"/>
    <s v="08.07.09"/>
    <s v="GG/108/09-10"/>
    <x v="59"/>
    <x v="9"/>
    <n v="8"/>
    <n v="5"/>
    <n v="40"/>
  </r>
  <r>
    <n v="5172"/>
    <s v="14.07.09"/>
    <s v="GG/109/09-10"/>
    <x v="124"/>
    <x v="9"/>
    <n v="5"/>
    <n v="2"/>
    <n v="10"/>
  </r>
  <r>
    <n v="5173"/>
    <s v="14.07.09"/>
    <s v="GG/109/09-10"/>
    <x v="72"/>
    <x v="54"/>
    <n v="10"/>
    <n v="1"/>
    <n v="10"/>
  </r>
  <r>
    <n v="5175"/>
    <s v="14.07.09"/>
    <s v="GG/109/09-10"/>
    <x v="155"/>
    <x v="94"/>
    <n v="1"/>
    <n v="5"/>
    <n v="5"/>
  </r>
  <r>
    <n v="5176"/>
    <s v="14.07.09"/>
    <s v="GG/109/09-10"/>
    <x v="95"/>
    <x v="82"/>
    <n v="2"/>
    <n v="5"/>
    <n v="10"/>
  </r>
  <r>
    <n v="5219"/>
    <s v="17.07.09"/>
    <s v="GG/110/09-10"/>
    <x v="182"/>
    <x v="9"/>
    <n v="5"/>
    <n v="1"/>
    <n v="5"/>
  </r>
  <r>
    <n v="5220"/>
    <s v="17.07.09"/>
    <s v="GG/110/09-10"/>
    <x v="183"/>
    <x v="9"/>
    <n v="3"/>
    <n v="2"/>
    <n v="6"/>
  </r>
  <r>
    <n v="5221"/>
    <s v="17.07.09"/>
    <s v="GG/110/09-10"/>
    <x v="65"/>
    <x v="54"/>
    <n v="10"/>
    <n v="1"/>
    <n v="10"/>
  </r>
  <r>
    <n v="5222"/>
    <s v="17.07.09"/>
    <s v="GG/110/09-10"/>
    <x v="139"/>
    <x v="9"/>
    <n v="1"/>
    <n v="10"/>
    <n v="10"/>
  </r>
  <r>
    <n v="5224"/>
    <s v="17.07.09"/>
    <s v="GG/110/09-10"/>
    <x v="8"/>
    <x v="9"/>
    <n v="2"/>
    <n v="5"/>
    <n v="10"/>
  </r>
  <r>
    <n v="5225"/>
    <s v="17.07.09"/>
    <s v="GG/110/09-10"/>
    <x v="184"/>
    <x v="9"/>
    <n v="3"/>
    <n v="10"/>
    <n v="30"/>
  </r>
  <r>
    <n v="5227"/>
    <s v="17.07.09"/>
    <s v="GG/110/09-10"/>
    <x v="5"/>
    <x v="5"/>
    <n v="1"/>
    <n v="20"/>
    <n v="20"/>
  </r>
  <r>
    <n v="5230"/>
    <s v="17.07.09"/>
    <s v="GG/110/09-10"/>
    <x v="185"/>
    <x v="29"/>
    <n v="2"/>
    <n v="1"/>
    <n v="2"/>
  </r>
  <r>
    <n v="5231"/>
    <s v="17.07.09"/>
    <s v="GG/110/09-10"/>
    <x v="186"/>
    <x v="6"/>
    <n v="1"/>
    <n v="1"/>
    <n v="1"/>
  </r>
  <r>
    <n v="5232"/>
    <s v="17.07.09"/>
    <s v="GG/110/09-10"/>
    <x v="187"/>
    <x v="66"/>
    <n v="1"/>
    <n v="1"/>
    <n v="1"/>
  </r>
  <r>
    <n v="5261"/>
    <s v="17.07.09"/>
    <s v="GG/111/09-10"/>
    <x v="72"/>
    <x v="54"/>
    <n v="10"/>
    <n v="1"/>
    <n v="10"/>
  </r>
  <r>
    <n v="5263"/>
    <s v="17.07.09"/>
    <s v="GG/111/09-10"/>
    <x v="188"/>
    <x v="9"/>
    <n v="4"/>
    <n v="10"/>
    <n v="40"/>
  </r>
  <r>
    <n v="5265"/>
    <s v="17.07.09"/>
    <s v="GG/111/09-10"/>
    <x v="112"/>
    <x v="74"/>
    <n v="2"/>
    <n v="6"/>
    <n v="12"/>
  </r>
  <r>
    <n v="5308"/>
    <s v="20.07.09"/>
    <s v="GG/112/09-10"/>
    <x v="124"/>
    <x v="9"/>
    <n v="8"/>
    <n v="2"/>
    <n v="16"/>
  </r>
  <r>
    <n v="5310"/>
    <s v="20.07.09"/>
    <s v="GG/112/09-10"/>
    <x v="5"/>
    <x v="5"/>
    <n v="1"/>
    <n v="20"/>
    <n v="20"/>
  </r>
  <r>
    <n v="5311"/>
    <s v="20.07.09"/>
    <s v="GG/112/09-10"/>
    <x v="98"/>
    <x v="61"/>
    <n v="2"/>
    <n v="25"/>
    <n v="50"/>
  </r>
  <r>
    <n v="5313"/>
    <s v="20.07.09"/>
    <s v="GG/112/09-10"/>
    <x v="189"/>
    <x v="107"/>
    <n v="2"/>
    <n v="6"/>
    <n v="12"/>
  </r>
  <r>
    <n v="5354"/>
    <s v="24.07.09"/>
    <s v="GG/113/09-10"/>
    <x v="190"/>
    <x v="9"/>
    <n v="1"/>
    <n v="1"/>
    <n v="1"/>
  </r>
  <r>
    <n v="5355"/>
    <s v="24.07.09"/>
    <s v="GG/113/09-10"/>
    <x v="191"/>
    <x v="9"/>
    <n v="1"/>
    <n v="1"/>
    <n v="1"/>
  </r>
  <r>
    <n v="5409"/>
    <s v="31.07.09"/>
    <s v="GG/114/09-10"/>
    <x v="63"/>
    <x v="9"/>
    <n v="1"/>
    <n v="50"/>
    <n v="50"/>
  </r>
  <r>
    <n v="5476"/>
    <s v="31.07.09"/>
    <s v="GG/115/09-10"/>
    <x v="192"/>
    <x v="9"/>
    <n v="10"/>
    <n v="5"/>
    <n v="50"/>
  </r>
  <r>
    <n v="5525"/>
    <s v="31.07.09"/>
    <s v="GG/116/09-10"/>
    <x v="193"/>
    <x v="108"/>
    <n v="1"/>
    <n v="100"/>
    <n v="100"/>
  </r>
  <r>
    <n v="5567"/>
    <s v="01.08.09"/>
    <s v="GG/117/09-10"/>
    <x v="194"/>
    <x v="9"/>
    <n v="15"/>
    <n v="1"/>
    <n v="15"/>
  </r>
  <r>
    <n v="5598"/>
    <s v="03.08.09"/>
    <s v="GG/118/09-10"/>
    <x v="195"/>
    <x v="9"/>
    <n v="10"/>
    <n v="1"/>
    <n v="10"/>
  </r>
  <r>
    <n v="5688"/>
    <s v="05.08.09"/>
    <s v="GG/120/09-10"/>
    <x v="196"/>
    <x v="109"/>
    <n v="10"/>
    <n v="1"/>
    <n v="10"/>
  </r>
  <r>
    <n v="5692"/>
    <s v="05.08.09"/>
    <s v="GG/120/09-10"/>
    <x v="56"/>
    <x v="33"/>
    <n v="0"/>
    <n v="0"/>
    <n v="0"/>
  </r>
  <r>
    <n v="5734"/>
    <s v="10.08.09"/>
    <s v="GG/121/09-10"/>
    <x v="196"/>
    <x v="109"/>
    <n v="10"/>
    <n v="1"/>
    <n v="10"/>
  </r>
  <r>
    <n v="5780"/>
    <s v="10.08.09"/>
    <s v="GG/122/09-10"/>
    <x v="196"/>
    <x v="110"/>
    <n v="30"/>
    <n v="1"/>
    <n v="30"/>
  </r>
  <r>
    <n v="5826"/>
    <s v="10.08.09"/>
    <s v="GG/123/09-10"/>
    <x v="196"/>
    <x v="111"/>
    <n v="16"/>
    <n v="1"/>
    <n v="16"/>
  </r>
  <r>
    <n v="5872"/>
    <s v="11.08.09"/>
    <s v="GG/124/09-10"/>
    <x v="197"/>
    <x v="9"/>
    <n v="2"/>
    <n v="10"/>
    <n v="20"/>
  </r>
  <r>
    <n v="5873"/>
    <s v="11.08.09"/>
    <s v="GG/124/09-10"/>
    <x v="198"/>
    <x v="9"/>
    <n v="3"/>
    <n v="10"/>
    <n v="30"/>
  </r>
  <r>
    <n v="5875"/>
    <s v="11.08.09"/>
    <s v="GG/124/09-10"/>
    <x v="124"/>
    <x v="9"/>
    <n v="3"/>
    <n v="2"/>
    <n v="6"/>
  </r>
  <r>
    <n v="5877"/>
    <s v="11.08.09"/>
    <s v="GG/124/09-10"/>
    <x v="199"/>
    <x v="112"/>
    <n v="1"/>
    <n v="100"/>
    <n v="100"/>
  </r>
  <r>
    <n v="5879"/>
    <s v="11.08.09"/>
    <s v="GG/124/09-10"/>
    <x v="200"/>
    <x v="108"/>
    <n v="1"/>
    <n v="100"/>
    <n v="100"/>
  </r>
  <r>
    <n v="5916"/>
    <s v="12.08.09"/>
    <s v="GG/125/09-10"/>
    <x v="194"/>
    <x v="9"/>
    <n v="15"/>
    <n v="1"/>
    <n v="15"/>
  </r>
  <r>
    <n v="5921"/>
    <s v="12.08.09"/>
    <s v="GG/125/09-10"/>
    <x v="201"/>
    <x v="9"/>
    <n v="1"/>
    <n v="5"/>
    <n v="5"/>
  </r>
  <r>
    <n v="5964"/>
    <s v="25.08.09"/>
    <s v="GG/126/09-10"/>
    <x v="82"/>
    <x v="9"/>
    <n v="5"/>
    <n v="1"/>
    <n v="5"/>
  </r>
  <r>
    <n v="5967"/>
    <s v="25.08.09"/>
    <s v="GG/126/09-10"/>
    <x v="59"/>
    <x v="9"/>
    <n v="5"/>
    <n v="10"/>
    <n v="50"/>
  </r>
  <r>
    <n v="6008"/>
    <s v="25.08.09"/>
    <s v="GG/127/09-10"/>
    <x v="1"/>
    <x v="53"/>
    <n v="2"/>
    <n v="5"/>
    <n v="10"/>
  </r>
  <r>
    <n v="6054"/>
    <s v="25.08.09"/>
    <s v="GG/128/09-10"/>
    <x v="195"/>
    <x v="9"/>
    <n v="10"/>
    <n v="1"/>
    <n v="10"/>
  </r>
  <r>
    <n v="6055"/>
    <s v="25.08.09"/>
    <s v="GG/128/09-10"/>
    <x v="139"/>
    <x v="9"/>
    <n v="1"/>
    <n v="10"/>
    <n v="10"/>
  </r>
  <r>
    <n v="6098"/>
    <s v="27.08.09"/>
    <s v="GG/129/09-10"/>
    <x v="202"/>
    <x v="29"/>
    <n v="2"/>
    <n v="5"/>
    <n v="10"/>
  </r>
  <r>
    <n v="6144"/>
    <s v="27.08.09"/>
    <s v="GG/130/09-10"/>
    <x v="203"/>
    <x v="112"/>
    <n v="1"/>
    <n v="300"/>
    <n v="300"/>
  </r>
  <r>
    <n v="6146"/>
    <s v="27.08.09"/>
    <s v="GG/130/09-10"/>
    <x v="112"/>
    <x v="74"/>
    <n v="1"/>
    <n v="6"/>
    <n v="6"/>
  </r>
  <r>
    <n v="6147"/>
    <s v="27.08.09"/>
    <s v="GG/130/09-10"/>
    <x v="204"/>
    <x v="72"/>
    <n v="1"/>
    <n v="6"/>
    <n v="6"/>
  </r>
  <r>
    <n v="6149"/>
    <s v="27.08.09"/>
    <s v="GG/130/09-10"/>
    <x v="205"/>
    <x v="62"/>
    <n v="1"/>
    <n v="200"/>
    <n v="200"/>
  </r>
  <r>
    <n v="6151"/>
    <s v="27.08.09"/>
    <s v="GG/130/09-10"/>
    <x v="99"/>
    <x v="47"/>
    <n v="1"/>
    <n v="25"/>
    <n v="25"/>
  </r>
  <r>
    <n v="6152"/>
    <s v="27.08.09"/>
    <s v="GG/130/09-10"/>
    <x v="163"/>
    <x v="57"/>
    <n v="1"/>
    <n v="25"/>
    <n v="25"/>
  </r>
  <r>
    <n v="6154"/>
    <s v="27.08.09"/>
    <s v="GG/130/09-10"/>
    <x v="124"/>
    <x v="9"/>
    <n v="2"/>
    <n v="2"/>
    <n v="4"/>
  </r>
  <r>
    <n v="6190"/>
    <s v="05.09.09"/>
    <s v="GG/131/09-10"/>
    <x v="124"/>
    <x v="112"/>
    <n v="4"/>
    <n v="2"/>
    <n v="8"/>
  </r>
  <r>
    <n v="6191"/>
    <s v="05.09.09"/>
    <s v="GG/131/09-10"/>
    <x v="72"/>
    <x v="54"/>
    <n v="20"/>
    <n v="1"/>
    <n v="20"/>
  </r>
  <r>
    <n v="6192"/>
    <s v="05.09.09"/>
    <s v="GG/131/09-10"/>
    <x v="139"/>
    <x v="9"/>
    <n v="2"/>
    <n v="10"/>
    <n v="20"/>
  </r>
  <r>
    <n v="6194"/>
    <s v="05.09.09"/>
    <s v="GG/131/09-10"/>
    <x v="99"/>
    <x v="47"/>
    <n v="1"/>
    <n v="25"/>
    <n v="25"/>
  </r>
  <r>
    <n v="6195"/>
    <s v="05.09.09"/>
    <s v="GG/131/09-10"/>
    <x v="164"/>
    <x v="105"/>
    <n v="1"/>
    <n v="25"/>
    <n v="25"/>
  </r>
  <r>
    <n v="6196"/>
    <s v="05.09.09"/>
    <s v="GG/131/09-10"/>
    <x v="206"/>
    <x v="57"/>
    <n v="1"/>
    <n v="25"/>
    <n v="25"/>
  </r>
  <r>
    <n v="6198"/>
    <s v="05.09.09"/>
    <s v="GG/131/09-10"/>
    <x v="207"/>
    <x v="75"/>
    <n v="1"/>
    <n v="6"/>
    <n v="6"/>
  </r>
  <r>
    <n v="6200"/>
    <s v="05.09.09"/>
    <s v="GG/131/09-10"/>
    <x v="24"/>
    <x v="24"/>
    <n v="2"/>
    <n v="5"/>
    <n v="10"/>
  </r>
  <r>
    <n v="6201"/>
    <s v="05.09.09"/>
    <s v="GG/131/09-10"/>
    <x v="164"/>
    <x v="113"/>
    <n v="1"/>
    <n v="5"/>
    <n v="5"/>
  </r>
  <r>
    <n v="6240"/>
    <s v="05.09.09"/>
    <s v="GG/132/09-10"/>
    <x v="112"/>
    <x v="95"/>
    <n v="1"/>
    <n v="5"/>
    <n v="5"/>
  </r>
  <r>
    <n v="6282"/>
    <s v="05.09.09"/>
    <s v="GG/133/09-10"/>
    <x v="55"/>
    <x v="38"/>
    <n v="5"/>
    <n v="6"/>
    <n v="30"/>
  </r>
  <r>
    <n v="6326"/>
    <s v="09.09.09"/>
    <s v="GG/134/09-10"/>
    <x v="205"/>
    <x v="62"/>
    <n v="4"/>
    <n v="200"/>
    <n v="800"/>
  </r>
  <r>
    <n v="6383"/>
    <s v="11.09.09"/>
    <s v="GG/135/09-10"/>
    <x v="22"/>
    <x v="60"/>
    <n v="1"/>
    <n v="25"/>
    <n v="25"/>
  </r>
  <r>
    <n v="6385"/>
    <s v="11.09.09"/>
    <s v="GG/135/09-10"/>
    <x v="23"/>
    <x v="22"/>
    <n v="1"/>
    <n v="6"/>
    <n v="6"/>
  </r>
  <r>
    <n v="6386"/>
    <s v="11.09.09"/>
    <s v="GG/135/09-10"/>
    <x v="5"/>
    <x v="69"/>
    <n v="1"/>
    <n v="6"/>
    <n v="6"/>
  </r>
  <r>
    <n v="6387"/>
    <s v="11.09.09"/>
    <s v="GG/135/09-10"/>
    <x v="55"/>
    <x v="38"/>
    <n v="1"/>
    <n v="6"/>
    <n v="6"/>
  </r>
  <r>
    <n v="6388"/>
    <s v="11.09.09"/>
    <s v="GG/135/09-10"/>
    <x v="99"/>
    <x v="114"/>
    <n v="1"/>
    <n v="6"/>
    <n v="6"/>
  </r>
  <r>
    <n v="6389"/>
    <s v="11.09.09"/>
    <s v="GG/135/09-10"/>
    <x v="8"/>
    <x v="8"/>
    <n v="2"/>
    <n v="4"/>
    <n v="8"/>
  </r>
  <r>
    <n v="6390"/>
    <s v="11.09.09"/>
    <s v="GG/135/09-10"/>
    <x v="207"/>
    <x v="75"/>
    <n v="1"/>
    <n v="6"/>
    <n v="6"/>
  </r>
  <r>
    <n v="6391"/>
    <s v="11.09.09"/>
    <s v="GG/135/09-10"/>
    <x v="22"/>
    <x v="21"/>
    <n v="1"/>
    <n v="6"/>
    <n v="6"/>
  </r>
  <r>
    <n v="6392"/>
    <s v="11.09.09"/>
    <s v="GG/135/09-10"/>
    <x v="208"/>
    <x v="89"/>
    <n v="1"/>
    <n v="6"/>
    <n v="6"/>
  </r>
  <r>
    <n v="6393"/>
    <s v="11.09.09"/>
    <s v="GG/135/09-10"/>
    <x v="209"/>
    <x v="7"/>
    <n v="1"/>
    <n v="6"/>
    <n v="6"/>
  </r>
  <r>
    <n v="6426"/>
    <s v="11.09.09"/>
    <s v="GG/136/09-10"/>
    <x v="1"/>
    <x v="1"/>
    <n v="4"/>
    <n v="25"/>
    <n v="100"/>
  </r>
  <r>
    <n v="6427"/>
    <s v="11.09.09"/>
    <s v="GG/136/09-10"/>
    <x v="164"/>
    <x v="105"/>
    <n v="1"/>
    <n v="25"/>
    <n v="25"/>
  </r>
  <r>
    <n v="6428"/>
    <s v="11.09.09"/>
    <s v="GG/136/09-10"/>
    <x v="6"/>
    <x v="101"/>
    <n v="2"/>
    <n v="25"/>
    <n v="50"/>
  </r>
  <r>
    <n v="6430"/>
    <s v="11.09.09"/>
    <s v="GG/136/09-10"/>
    <x v="210"/>
    <x v="32"/>
    <n v="5"/>
    <n v="24"/>
    <n v="120"/>
  </r>
  <r>
    <n v="6471"/>
    <s v="11.09.09"/>
    <s v="GG/137/09-10"/>
    <x v="211"/>
    <x v="26"/>
    <n v="4"/>
    <n v="25"/>
    <n v="100"/>
  </r>
  <r>
    <n v="6516"/>
    <s v="15.09.09"/>
    <s v="GG/138/09-10"/>
    <x v="212"/>
    <x v="115"/>
    <n v="1"/>
    <n v="300"/>
    <n v="300"/>
  </r>
  <r>
    <n v="6518"/>
    <s v="15.09.09"/>
    <s v="GG/138/09-10"/>
    <x v="213"/>
    <x v="9"/>
    <n v="5"/>
    <n v="5"/>
    <n v="25"/>
  </r>
  <r>
    <n v="6520"/>
    <s v="15.09.09"/>
    <s v="GG/138/09-10"/>
    <x v="72"/>
    <x v="54"/>
    <n v="10"/>
    <n v="1"/>
    <n v="10"/>
  </r>
  <r>
    <n v="6521"/>
    <s v="15.09.09"/>
    <s v="GG/138/09-10"/>
    <x v="135"/>
    <x v="9"/>
    <n v="1"/>
    <n v="10"/>
    <n v="10"/>
  </r>
  <r>
    <n v="6523"/>
    <s v="15.09.09"/>
    <s v="GG/138/09-10"/>
    <x v="214"/>
    <x v="69"/>
    <n v="1"/>
    <n v="6"/>
    <n v="6"/>
  </r>
  <r>
    <n v="6524"/>
    <s v="15.09.09"/>
    <s v="GG/138/09-10"/>
    <x v="214"/>
    <x v="69"/>
    <n v="4"/>
    <n v="1"/>
    <n v="4"/>
  </r>
  <r>
    <n v="6559"/>
    <s v="15.09.09"/>
    <s v="GG/139/09-10"/>
    <x v="0"/>
    <x v="108"/>
    <n v="1"/>
    <n v="200"/>
    <n v="200"/>
  </r>
  <r>
    <n v="6604"/>
    <s v="19.09.09"/>
    <s v="GG/140/09-10"/>
    <x v="215"/>
    <x v="112"/>
    <n v="1"/>
    <n v="48"/>
    <n v="48"/>
  </r>
  <r>
    <n v="6606"/>
    <s v="19.09.09"/>
    <s v="GG/140/09-10"/>
    <x v="72"/>
    <x v="54"/>
    <n v="20"/>
    <n v="1"/>
    <n v="20"/>
  </r>
  <r>
    <n v="6607"/>
    <s v="19.09.09"/>
    <s v="GG/140/09-10"/>
    <x v="135"/>
    <x v="9"/>
    <n v="2"/>
    <n v="10"/>
    <n v="20"/>
  </r>
  <r>
    <n v="6608"/>
    <s v="19.09.09"/>
    <s v="GG/140/09-10"/>
    <x v="216"/>
    <x v="9"/>
    <n v="1"/>
    <n v="1"/>
    <n v="1"/>
  </r>
  <r>
    <n v="6610"/>
    <s v="19.09.09"/>
    <s v="GG/140/09-10"/>
    <x v="217"/>
    <x v="26"/>
    <n v="1"/>
    <n v="25"/>
    <n v="25"/>
  </r>
  <r>
    <n v="6611"/>
    <s v="19.09.09"/>
    <s v="GG/140/09-10"/>
    <x v="218"/>
    <x v="27"/>
    <n v="2"/>
    <n v="25"/>
    <n v="50"/>
  </r>
  <r>
    <n v="6612"/>
    <s v="19.09.09"/>
    <s v="GG/140/09-10"/>
    <x v="6"/>
    <x v="101"/>
    <n v="1"/>
    <n v="25"/>
    <n v="25"/>
  </r>
  <r>
    <n v="6613"/>
    <s v="19.09.09"/>
    <s v="GG/140/09-10"/>
    <x v="206"/>
    <x v="57"/>
    <n v="1"/>
    <n v="25"/>
    <n v="25"/>
  </r>
  <r>
    <n v="6614"/>
    <s v="19.09.09"/>
    <s v="GG/140/09-10"/>
    <x v="99"/>
    <x v="47"/>
    <n v="1"/>
    <n v="25"/>
    <n v="25"/>
  </r>
  <r>
    <n v="6616"/>
    <s v="19.09.09"/>
    <s v="GG/140/09-10"/>
    <x v="219"/>
    <x v="9"/>
    <n v="3"/>
    <n v="10"/>
    <n v="30"/>
  </r>
  <r>
    <n v="6618"/>
    <s v="19.09.09"/>
    <s v="GG/140/09-10"/>
    <x v="220"/>
    <x v="75"/>
    <n v="1"/>
    <n v="6"/>
    <n v="6"/>
  </r>
  <r>
    <n v="6619"/>
    <s v="19.09.09"/>
    <s v="GG/140/09-10"/>
    <x v="129"/>
    <x v="84"/>
    <n v="1"/>
    <n v="6"/>
    <n v="6"/>
  </r>
  <r>
    <n v="6621"/>
    <s v="19.09.09"/>
    <s v="GG/140/09-10"/>
    <x v="221"/>
    <x v="9"/>
    <n v="1"/>
    <n v="5"/>
    <n v="5"/>
  </r>
  <r>
    <n v="6623"/>
    <s v="19.09.09"/>
    <s v="GG/140/09-10"/>
    <x v="205"/>
    <x v="62"/>
    <n v="2"/>
    <n v="200"/>
    <n v="400"/>
  </r>
  <r>
    <n v="6650"/>
    <s v="19.09.09"/>
    <s v="GG/141/09-10"/>
    <x v="124"/>
    <x v="9"/>
    <n v="3"/>
    <n v="2"/>
    <n v="6"/>
  </r>
  <r>
    <n v="6697"/>
    <s v="22.09.09"/>
    <s v="GG/142/09-10"/>
    <x v="197"/>
    <x v="9"/>
    <n v="5"/>
    <n v="10"/>
    <n v="50"/>
  </r>
  <r>
    <n v="6698"/>
    <s v="22.09.09"/>
    <s v="GG/142/09-10"/>
    <x v="198"/>
    <x v="9"/>
    <n v="5"/>
    <n v="10"/>
    <n v="50"/>
  </r>
  <r>
    <n v="6700"/>
    <s v="22.09.09"/>
    <s v="GG/142/09-10"/>
    <x v="222"/>
    <x v="116"/>
    <n v="4"/>
    <n v="100"/>
    <n v="400"/>
  </r>
  <r>
    <n v="6702"/>
    <s v="22.09.09"/>
    <s v="GG/142/09-10"/>
    <x v="5"/>
    <x v="69"/>
    <n v="1"/>
    <n v="6"/>
    <n v="6"/>
  </r>
  <r>
    <n v="6703"/>
    <s v="22.09.09"/>
    <s v="GG/142/09-10"/>
    <x v="23"/>
    <x v="22"/>
    <n v="1"/>
    <n v="6"/>
    <n v="6"/>
  </r>
  <r>
    <n v="6742"/>
    <s v="23.09.09"/>
    <s v="GG/143/09-10"/>
    <x v="161"/>
    <x v="117"/>
    <n v="1"/>
    <n v="5"/>
    <n v="5"/>
  </r>
  <r>
    <n v="6744"/>
    <s v="23.09.09"/>
    <s v="GG/143/09-10"/>
    <x v="124"/>
    <x v="9"/>
    <n v="3"/>
    <n v="2"/>
    <n v="6"/>
  </r>
  <r>
    <n v="6746"/>
    <s v="23.09.09"/>
    <s v="GG/143/09-10"/>
    <x v="197"/>
    <x v="9"/>
    <n v="3"/>
    <n v="10"/>
    <n v="30"/>
  </r>
  <r>
    <n v="6747"/>
    <s v="23.09.09"/>
    <s v="GG/143/09-10"/>
    <x v="198"/>
    <x v="9"/>
    <n v="3"/>
    <n v="10"/>
    <n v="30"/>
  </r>
  <r>
    <n v="6749"/>
    <s v="23.09.09"/>
    <s v="GG/143/09-10"/>
    <x v="112"/>
    <x v="74"/>
    <n v="1"/>
    <n v="6"/>
    <n v="6"/>
  </r>
  <r>
    <n v="6789"/>
    <s v="25.09.09"/>
    <s v="GG/144/09-10"/>
    <x v="223"/>
    <x v="118"/>
    <n v="2"/>
    <n v="1"/>
    <n v="2"/>
  </r>
  <r>
    <n v="6834"/>
    <s v="26.09.09"/>
    <s v="GG/145/09-10"/>
    <x v="213"/>
    <x v="9"/>
    <n v="2"/>
    <n v="5"/>
    <n v="10"/>
  </r>
  <r>
    <n v="6879"/>
    <s v="26.09.09"/>
    <s v="GG/146/09-10"/>
    <x v="197"/>
    <x v="9"/>
    <n v="2"/>
    <n v="10"/>
    <n v="20"/>
  </r>
  <r>
    <n v="6881"/>
    <s v="26.09.09"/>
    <s v="GG/146/09-10"/>
    <x v="28"/>
    <x v="28"/>
    <n v="1"/>
    <n v="5"/>
    <n v="5"/>
  </r>
  <r>
    <n v="6925"/>
    <s v="30.09.09"/>
    <s v="GG/147/09-10"/>
    <x v="124"/>
    <x v="9"/>
    <n v="10"/>
    <n v="2"/>
    <n v="20"/>
  </r>
  <r>
    <n v="6927"/>
    <s v="30.09.09"/>
    <s v="GG/147/09-10"/>
    <x v="28"/>
    <x v="28"/>
    <n v="6"/>
    <n v="5"/>
    <n v="30"/>
  </r>
  <r>
    <n v="6971"/>
    <s v="30.09.09"/>
    <s v="GG/148/09-10"/>
    <x v="28"/>
    <x v="28"/>
    <n v="5"/>
    <n v="5"/>
    <n v="25"/>
  </r>
  <r>
    <n v="6973"/>
    <s v="30.09.09"/>
    <s v="GG/148/09-10"/>
    <x v="164"/>
    <x v="105"/>
    <n v="2"/>
    <n v="25"/>
    <n v="50"/>
  </r>
  <r>
    <n v="6975"/>
    <s v="30.09.09"/>
    <s v="GG/148/09-10"/>
    <x v="98"/>
    <x v="119"/>
    <n v="1"/>
    <n v="249"/>
    <n v="249"/>
  </r>
  <r>
    <n v="7017"/>
    <s v="30.09.09"/>
    <s v="GG/149/09-10"/>
    <x v="55"/>
    <x v="38"/>
    <n v="1"/>
    <n v="6"/>
    <n v="6"/>
  </r>
  <r>
    <n v="7062"/>
    <s v="01.10.09"/>
    <s v="GG/150/09-10"/>
    <x v="224"/>
    <x v="120"/>
    <n v="1"/>
    <n v="5"/>
    <n v="5"/>
  </r>
  <r>
    <n v="7107"/>
    <s v="01.10.09"/>
    <s v="GG/160/09-10"/>
    <x v="5"/>
    <x v="121"/>
    <n v="2"/>
    <n v="5"/>
    <n v="10"/>
  </r>
  <r>
    <n v="7108"/>
    <s v="01.10.09"/>
    <s v="GG/160/09-10"/>
    <x v="225"/>
    <x v="9"/>
    <n v="2"/>
    <n v="5"/>
    <n v="10"/>
  </r>
  <r>
    <n v="7109"/>
    <s v="01.10.09"/>
    <s v="GG/160/09-10"/>
    <x v="226"/>
    <x v="9"/>
    <n v="1"/>
    <n v="5"/>
    <n v="5"/>
  </r>
  <r>
    <n v="7111"/>
    <s v="01.10.09"/>
    <s v="GG/160/09-10"/>
    <x v="207"/>
    <x v="75"/>
    <n v="2"/>
    <n v="6"/>
    <n v="12"/>
  </r>
  <r>
    <n v="7112"/>
    <s v="01.10.09"/>
    <s v="GG/160/09-10"/>
    <x v="105"/>
    <x v="65"/>
    <n v="1"/>
    <n v="6"/>
    <n v="6"/>
  </r>
  <r>
    <n v="7113"/>
    <s v="01.10.09"/>
    <s v="GG/160/09-10"/>
    <x v="55"/>
    <x v="38"/>
    <n v="2"/>
    <n v="6"/>
    <n v="12"/>
  </r>
  <r>
    <n v="7114"/>
    <s v="01.10.09"/>
    <s v="GG/160/09-10"/>
    <x v="204"/>
    <x v="72"/>
    <n v="1"/>
    <n v="6"/>
    <n v="6"/>
  </r>
  <r>
    <n v="7115"/>
    <s v="01.10.09"/>
    <s v="GG/160/09-10"/>
    <x v="129"/>
    <x v="84"/>
    <n v="1"/>
    <n v="6"/>
    <n v="6"/>
  </r>
  <r>
    <n v="7117"/>
    <s v="01.10.09"/>
    <s v="GG/160/09-10"/>
    <x v="1"/>
    <x v="1"/>
    <n v="4"/>
    <n v="25"/>
    <n v="100"/>
  </r>
  <r>
    <n v="7118"/>
    <s v="01.10.09"/>
    <s v="GG/160/09-10"/>
    <x v="164"/>
    <x v="105"/>
    <n v="2"/>
    <n v="25"/>
    <n v="50"/>
  </r>
  <r>
    <n v="7120"/>
    <s v="01.10.09"/>
    <s v="GG/160/09-10"/>
    <x v="65"/>
    <x v="122"/>
    <n v="20"/>
    <n v="1"/>
    <n v="20"/>
  </r>
  <r>
    <n v="7121"/>
    <s v="01.10.09"/>
    <s v="GG/160/09-10"/>
    <x v="65"/>
    <x v="123"/>
    <n v="2"/>
    <n v="10"/>
    <n v="20"/>
  </r>
  <r>
    <n v="7154"/>
    <s v="01.10.09"/>
    <s v="GG/161/09-10"/>
    <x v="227"/>
    <x v="9"/>
    <n v="3"/>
    <n v="5"/>
    <n v="15"/>
  </r>
  <r>
    <n v="7199"/>
    <s v="07.10.09"/>
    <s v="GG/162/09-10"/>
    <x v="228"/>
    <x v="36"/>
    <n v="13"/>
    <n v="5"/>
    <n v="65"/>
  </r>
  <r>
    <n v="7200"/>
    <s v="07.10.09"/>
    <s v="GG/162/09-10"/>
    <x v="17"/>
    <x v="16"/>
    <n v="4"/>
    <n v="5"/>
    <n v="20"/>
  </r>
  <r>
    <n v="7201"/>
    <s v="07.10.09"/>
    <s v="GG/162/09-10"/>
    <x v="25"/>
    <x v="25"/>
    <n v="2"/>
    <n v="5"/>
    <n v="10"/>
  </r>
  <r>
    <n v="7202"/>
    <s v="07.10.09"/>
    <s v="GG/162/09-10"/>
    <x v="229"/>
    <x v="124"/>
    <n v="5"/>
    <n v="10"/>
    <n v="50"/>
  </r>
  <r>
    <n v="7203"/>
    <s v="07.10.09"/>
    <s v="GG/162/09-10"/>
    <x v="229"/>
    <x v="125"/>
    <n v="3"/>
    <n v="10"/>
    <n v="30"/>
  </r>
  <r>
    <n v="7205"/>
    <s v="07.10.09"/>
    <s v="GG/162/09-10"/>
    <x v="230"/>
    <x v="124"/>
    <n v="5"/>
    <n v="10"/>
    <n v="50"/>
  </r>
  <r>
    <n v="7207"/>
    <s v="07.10.09"/>
    <s v="GG/162/09-10"/>
    <x v="231"/>
    <x v="3"/>
    <n v="24"/>
    <n v="25"/>
    <n v="600"/>
  </r>
  <r>
    <n v="7208"/>
    <s v="07.10.09"/>
    <s v="GG/162/09-10"/>
    <x v="98"/>
    <x v="61"/>
    <n v="3"/>
    <n v="25"/>
    <n v="75"/>
  </r>
  <r>
    <n v="7209"/>
    <s v="07.10.09"/>
    <s v="GG/162/09-10"/>
    <x v="2"/>
    <x v="2"/>
    <n v="4"/>
    <n v="25"/>
    <n v="100"/>
  </r>
  <r>
    <n v="7210"/>
    <s v="07.10.09"/>
    <s v="GG/162/09-10"/>
    <x v="232"/>
    <x v="35"/>
    <n v="4"/>
    <n v="25"/>
    <n v="100"/>
  </r>
  <r>
    <n v="7212"/>
    <s v="07.10.09"/>
    <s v="GG/162/09-10"/>
    <x v="233"/>
    <x v="9"/>
    <n v="1"/>
    <n v="300"/>
    <n v="300"/>
  </r>
  <r>
    <n v="7215"/>
    <s v="07.10.09"/>
    <s v="GG/162/09-10"/>
    <x v="146"/>
    <x v="9"/>
    <n v="2"/>
    <n v="100"/>
    <n v="200"/>
  </r>
  <r>
    <n v="7216"/>
    <s v="07.10.09"/>
    <s v="GG/162/09-10"/>
    <x v="127"/>
    <x v="9"/>
    <n v="1"/>
    <n v="150"/>
    <n v="150"/>
  </r>
  <r>
    <n v="7245"/>
    <s v="07.10.09"/>
    <s v="GG/163/09-10"/>
    <x v="234"/>
    <x v="9"/>
    <n v="20"/>
    <n v="5"/>
    <n v="100"/>
  </r>
  <r>
    <n v="7247"/>
    <s v="07.10.09"/>
    <s v="GG/163/09-10"/>
    <x v="230"/>
    <x v="124"/>
    <n v="5"/>
    <n v="10"/>
    <n v="50"/>
  </r>
  <r>
    <n v="7248"/>
    <s v="07.10.09"/>
    <s v="GG/163/09-10"/>
    <x v="230"/>
    <x v="125"/>
    <n v="5"/>
    <n v="10"/>
    <n v="50"/>
  </r>
  <r>
    <n v="7250"/>
    <s v="07.10.09"/>
    <s v="GG/163/09-10"/>
    <x v="231"/>
    <x v="3"/>
    <n v="16"/>
    <n v="25"/>
    <n v="400"/>
  </r>
  <r>
    <n v="7251"/>
    <s v="07.10.09"/>
    <s v="GG/163/09-10"/>
    <x v="2"/>
    <x v="2"/>
    <n v="8"/>
    <n v="25"/>
    <n v="200"/>
  </r>
  <r>
    <n v="7253"/>
    <s v="07.10.09"/>
    <s v="GG/163/09-10"/>
    <x v="127"/>
    <x v="63"/>
    <n v="1"/>
    <n v="100"/>
    <n v="100"/>
  </r>
  <r>
    <n v="7291"/>
    <s v="07.10.09"/>
    <s v="GG/164/09-10"/>
    <x v="231"/>
    <x v="3"/>
    <n v="8"/>
    <n v="25"/>
    <n v="200"/>
  </r>
  <r>
    <n v="7293"/>
    <s v="07.10.09"/>
    <s v="GG/164/09-10"/>
    <x v="127"/>
    <x v="63"/>
    <n v="1"/>
    <n v="100"/>
    <n v="100"/>
  </r>
  <r>
    <n v="7337"/>
    <s v="07.10.09"/>
    <s v="GG/165/09-10"/>
    <x v="228"/>
    <x v="36"/>
    <n v="5"/>
    <n v="5"/>
    <n v="25"/>
  </r>
  <r>
    <n v="7338"/>
    <s v="07.10.09"/>
    <s v="GG/165/09-10"/>
    <x v="28"/>
    <x v="16"/>
    <n v="4"/>
    <n v="5"/>
    <n v="20"/>
  </r>
  <r>
    <n v="7339"/>
    <s v="07.10.09"/>
    <s v="GG/165/09-10"/>
    <x v="22"/>
    <x v="9"/>
    <n v="6"/>
    <n v="5"/>
    <n v="30"/>
  </r>
  <r>
    <n v="7341"/>
    <s v="07.10.09"/>
    <s v="GG/165/09-10"/>
    <x v="231"/>
    <x v="3"/>
    <n v="8"/>
    <n v="25"/>
    <n v="200"/>
  </r>
  <r>
    <n v="7383"/>
    <s v="05.10.09"/>
    <s v="GG/166/09-10"/>
    <x v="213"/>
    <x v="9"/>
    <n v="11"/>
    <n v="5"/>
    <n v="55"/>
  </r>
  <r>
    <n v="7429"/>
    <s v="06.10.09"/>
    <s v="GG/167/09-10"/>
    <x v="118"/>
    <x v="96"/>
    <n v="1"/>
    <n v="5"/>
    <n v="5"/>
  </r>
  <r>
    <n v="7430"/>
    <s v="06.10.09"/>
    <s v="GG/167/09-10"/>
    <x v="1"/>
    <x v="53"/>
    <n v="1"/>
    <n v="5"/>
    <n v="5"/>
  </r>
  <r>
    <n v="7431"/>
    <s v="06.10.09"/>
    <s v="GG/167/09-10"/>
    <x v="235"/>
    <x v="126"/>
    <n v="1"/>
    <n v="5"/>
    <n v="5"/>
  </r>
  <r>
    <n v="7433"/>
    <s v="06.10.09"/>
    <s v="GG/167/09-10"/>
    <x v="114"/>
    <x v="76"/>
    <n v="1"/>
    <n v="6"/>
    <n v="6"/>
  </r>
  <r>
    <n v="7434"/>
    <s v="06.10.09"/>
    <s v="GG/167/09-10"/>
    <x v="55"/>
    <x v="38"/>
    <n v="2"/>
    <n v="6"/>
    <n v="12"/>
  </r>
  <r>
    <n v="7435"/>
    <s v="06.10.09"/>
    <s v="GG/167/09-10"/>
    <x v="204"/>
    <x v="72"/>
    <n v="1"/>
    <n v="6"/>
    <n v="6"/>
  </r>
  <r>
    <n v="7436"/>
    <s v="06.10.09"/>
    <s v="GG/167/09-10"/>
    <x v="129"/>
    <x v="84"/>
    <n v="1"/>
    <n v="6"/>
    <n v="6"/>
  </r>
  <r>
    <n v="7437"/>
    <s v="06.10.09"/>
    <s v="GG/167/09-10"/>
    <x v="130"/>
    <x v="85"/>
    <n v="1"/>
    <n v="6"/>
    <n v="6"/>
  </r>
  <r>
    <n v="7439"/>
    <s v="06.10.09"/>
    <s v="GG/167/09-10"/>
    <x v="22"/>
    <x v="60"/>
    <n v="1"/>
    <n v="25"/>
    <n v="25"/>
  </r>
  <r>
    <n v="7441"/>
    <s v="06.10.09"/>
    <s v="GG/167/09-10"/>
    <x v="65"/>
    <x v="122"/>
    <n v="5"/>
    <n v="1"/>
    <n v="5"/>
  </r>
  <r>
    <n v="7444"/>
    <s v="06.10.09"/>
    <s v="GG/167/09-10"/>
    <x v="236"/>
    <x v="127"/>
    <n v="2"/>
    <n v="24"/>
    <n v="48"/>
  </r>
  <r>
    <n v="7474"/>
    <s v="08.10.09"/>
    <s v="GG/168/09-10"/>
    <x v="194"/>
    <x v="9"/>
    <n v="7"/>
    <n v="100"/>
    <n v="700"/>
  </r>
  <r>
    <n v="7521"/>
    <s v="09.10.09"/>
    <s v="GG/169/09-10"/>
    <x v="17"/>
    <x v="16"/>
    <n v="5"/>
    <n v="5"/>
    <n v="25"/>
  </r>
  <r>
    <n v="7523"/>
    <s v="09.10.09"/>
    <s v="GG/169/09-10"/>
    <x v="3"/>
    <x v="3"/>
    <n v="24"/>
    <n v="25"/>
    <n v="600"/>
  </r>
  <r>
    <n v="7524"/>
    <s v="09.10.09"/>
    <s v="GG/169/09-10"/>
    <x v="2"/>
    <x v="2"/>
    <n v="8"/>
    <n v="25"/>
    <n v="200"/>
  </r>
  <r>
    <n v="7525"/>
    <s v="09.10.09"/>
    <s v="GG/169/09-10"/>
    <x v="232"/>
    <x v="35"/>
    <n v="2"/>
    <n v="25"/>
    <n v="50"/>
  </r>
  <r>
    <n v="7527"/>
    <s v="09.10.09"/>
    <s v="GG/169/09-10"/>
    <x v="237"/>
    <x v="63"/>
    <n v="1"/>
    <n v="150"/>
    <n v="150"/>
  </r>
  <r>
    <n v="7567"/>
    <s v="10.10.09"/>
    <s v="GG/170/09-10"/>
    <x v="72"/>
    <x v="9"/>
    <n v="10"/>
    <n v="1"/>
    <n v="10"/>
  </r>
  <r>
    <n v="7615"/>
    <s v="10.10.09"/>
    <s v="GG/171/09-10"/>
    <x v="238"/>
    <x v="36"/>
    <n v="5"/>
    <n v="5"/>
    <n v="25"/>
  </r>
  <r>
    <n v="7618"/>
    <s v="10.10.09"/>
    <s v="GG/171/09-10"/>
    <x v="107"/>
    <x v="0"/>
    <n v="1"/>
    <n v="25"/>
    <n v="25"/>
  </r>
  <r>
    <n v="7681"/>
    <s v="10.10.09"/>
    <s v="GG/171/09-10"/>
    <x v="116"/>
    <x v="60"/>
    <n v="1"/>
    <n v="25"/>
    <n v="25"/>
  </r>
  <r>
    <n v="7682"/>
    <s v="10.10.09"/>
    <s v="GG/171/09-10"/>
    <x v="4"/>
    <x v="4"/>
    <n v="1"/>
    <n v="25"/>
    <n v="25"/>
  </r>
  <r>
    <n v="7683"/>
    <s v="10.10.09"/>
    <s v="GG/171/09-10"/>
    <x v="164"/>
    <x v="105"/>
    <n v="1"/>
    <n v="25"/>
    <n v="25"/>
  </r>
  <r>
    <n v="7685"/>
    <s v="10.10.09"/>
    <s v="GG/171/09-10"/>
    <x v="214"/>
    <x v="121"/>
    <n v="1"/>
    <n v="5"/>
    <n v="5"/>
  </r>
  <r>
    <n v="7686"/>
    <s v="10.10.09"/>
    <s v="GG/171/09-10"/>
    <x v="239"/>
    <x v="29"/>
    <n v="1"/>
    <n v="5"/>
    <n v="5"/>
  </r>
  <r>
    <n v="7687"/>
    <s v="10.10.09"/>
    <s v="GG/171/09-10"/>
    <x v="155"/>
    <x v="94"/>
    <n v="1"/>
    <n v="5"/>
    <n v="5"/>
  </r>
  <r>
    <n v="7688"/>
    <s v="10.10.09"/>
    <s v="GG/171/09-10"/>
    <x v="118"/>
    <x v="96"/>
    <n v="1"/>
    <n v="5"/>
    <n v="5"/>
  </r>
  <r>
    <n v="7689"/>
    <s v="10.10.09"/>
    <s v="GG/171/09-10"/>
    <x v="240"/>
    <x v="24"/>
    <n v="1"/>
    <n v="5"/>
    <n v="5"/>
  </r>
  <r>
    <n v="7691"/>
    <s v="10.10.09"/>
    <s v="GG/171/09-10"/>
    <x v="55"/>
    <x v="38"/>
    <n v="2"/>
    <n v="6"/>
    <n v="12"/>
  </r>
  <r>
    <n v="7692"/>
    <s v="10.10.09"/>
    <s v="GG/171/09-10"/>
    <x v="241"/>
    <x v="51"/>
    <n v="1"/>
    <n v="6"/>
    <n v="6"/>
  </r>
  <r>
    <n v="7734"/>
    <s v="16.10.09"/>
    <s v="GG/173/09-10"/>
    <x v="72"/>
    <x v="9"/>
    <n v="5"/>
    <n v="1"/>
    <n v="5"/>
  </r>
  <r>
    <n v="7736"/>
    <s v="16.10.09"/>
    <s v="GG/173/09-10"/>
    <x v="242"/>
    <x v="36"/>
    <n v="5"/>
    <n v="5"/>
    <n v="25"/>
  </r>
  <r>
    <n v="7779"/>
    <s v="26.10.09"/>
    <s v="GG/174/09-10"/>
    <x v="238"/>
    <x v="36"/>
    <n v="2"/>
    <n v="5"/>
    <n v="10"/>
  </r>
  <r>
    <n v="7780"/>
    <s v="26.10.09"/>
    <s v="GG/174/09-10"/>
    <x v="154"/>
    <x v="93"/>
    <n v="5"/>
    <n v="5"/>
    <n v="25"/>
  </r>
  <r>
    <n v="7829"/>
    <s v="27.10.09"/>
    <s v="GG/175/09-10"/>
    <x v="243"/>
    <x v="9"/>
    <n v="350"/>
    <n v="28"/>
    <n v="9800"/>
  </r>
  <r>
    <n v="7875"/>
    <s v="28.10.09"/>
    <s v="GG/176/09-10"/>
    <x v="243"/>
    <x v="9"/>
    <n v="328"/>
    <n v="28"/>
    <n v="9184"/>
  </r>
  <r>
    <n v="7918"/>
    <s v="28.10.09"/>
    <s v="GG/177/09-10"/>
    <x v="244"/>
    <x v="9"/>
    <n v="28"/>
    <n v="300"/>
    <n v="8400"/>
  </r>
  <r>
    <n v="7959"/>
    <s v="28.10.09"/>
    <s v="GG/178/09-10"/>
    <x v="141"/>
    <x v="128"/>
    <n v="1"/>
    <n v="100"/>
    <n v="100"/>
  </r>
  <r>
    <n v="7961"/>
    <s v="28.10.09"/>
    <s v="GG/178/09-10"/>
    <x v="245"/>
    <x v="32"/>
    <n v="2"/>
    <n v="24"/>
    <n v="48"/>
  </r>
  <r>
    <n v="7962"/>
    <s v="28.10.09"/>
    <s v="GG/178/09-10"/>
    <x v="136"/>
    <x v="86"/>
    <n v="2"/>
    <n v="24"/>
    <n v="48"/>
  </r>
  <r>
    <n v="7964"/>
    <s v="28.10.09"/>
    <s v="GG/178/09-10"/>
    <x v="72"/>
    <x v="54"/>
    <n v="20"/>
    <n v="1"/>
    <n v="20"/>
  </r>
  <r>
    <n v="7965"/>
    <s v="28.10.09"/>
    <s v="GG/178/09-10"/>
    <x v="135"/>
    <x v="9"/>
    <n v="2"/>
    <n v="10"/>
    <n v="20"/>
  </r>
  <r>
    <n v="7967"/>
    <s v="28.10.09"/>
    <s v="GG/178/09-10"/>
    <x v="22"/>
    <x v="21"/>
    <n v="1"/>
    <n v="6"/>
    <n v="6"/>
  </r>
  <r>
    <n v="7968"/>
    <s v="28.10.09"/>
    <s v="GG/178/09-10"/>
    <x v="2"/>
    <x v="51"/>
    <n v="6"/>
    <n v="1"/>
    <n v="6"/>
  </r>
  <r>
    <n v="7969"/>
    <s v="28.10.09"/>
    <s v="GG/178/09-10"/>
    <x v="204"/>
    <x v="72"/>
    <n v="1"/>
    <n v="6"/>
    <n v="6"/>
  </r>
  <r>
    <n v="7971"/>
    <s v="28.10.09"/>
    <s v="GG/178/09-10"/>
    <x v="8"/>
    <x v="37"/>
    <n v="2"/>
    <n v="5"/>
    <n v="10"/>
  </r>
  <r>
    <n v="7972"/>
    <s v="28.10.09"/>
    <s v="GG/178/09-10"/>
    <x v="19"/>
    <x v="129"/>
    <n v="2"/>
    <n v="5"/>
    <n v="10"/>
  </r>
  <r>
    <n v="7973"/>
    <s v="28.10.09"/>
    <s v="GG/178/09-10"/>
    <x v="22"/>
    <x v="23"/>
    <n v="2"/>
    <n v="5"/>
    <n v="10"/>
  </r>
  <r>
    <n v="7974"/>
    <s v="28.10.09"/>
    <s v="GG/178/09-10"/>
    <x v="246"/>
    <x v="24"/>
    <n v="1"/>
    <n v="5"/>
    <n v="5"/>
  </r>
  <r>
    <n v="7975"/>
    <s v="28.10.09"/>
    <s v="GG/178/09-10"/>
    <x v="25"/>
    <x v="25"/>
    <n v="2"/>
    <n v="5"/>
    <n v="10"/>
  </r>
  <r>
    <n v="7976"/>
    <s v="28.10.09"/>
    <s v="GG/178/09-10"/>
    <x v="130"/>
    <x v="98"/>
    <n v="1"/>
    <n v="5"/>
    <n v="5"/>
  </r>
  <r>
    <n v="7977"/>
    <s v="28.10.09"/>
    <s v="GG/178/09-10"/>
    <x v="29"/>
    <x v="29"/>
    <n v="1"/>
    <n v="5"/>
    <n v="5"/>
  </r>
  <r>
    <n v="7978"/>
    <s v="28.10.09"/>
    <s v="GG/178/09-10"/>
    <x v="5"/>
    <x v="121"/>
    <n v="1"/>
    <n v="5"/>
    <n v="5"/>
  </r>
  <r>
    <n v="7980"/>
    <s v="28.10.09"/>
    <s v="GG/178/09-10"/>
    <x v="170"/>
    <x v="9"/>
    <n v="2"/>
    <n v="10"/>
    <n v="20"/>
  </r>
  <r>
    <n v="7982"/>
    <s v="28.10.09"/>
    <s v="GG/178/09-10"/>
    <x v="247"/>
    <x v="9"/>
    <n v="1"/>
    <n v="100"/>
    <n v="100"/>
  </r>
  <r>
    <n v="7983"/>
    <s v="28.10.09"/>
    <s v="GG/178/09-10"/>
    <x v="248"/>
    <x v="9"/>
    <n v="2"/>
    <n v="100"/>
    <n v="200"/>
  </r>
  <r>
    <n v="7984"/>
    <s v="28.10.09"/>
    <s v="GG/178/09-10"/>
    <x v="249"/>
    <x v="9"/>
    <n v="3"/>
    <n v="100"/>
    <n v="300"/>
  </r>
  <r>
    <n v="8008"/>
    <s v="29.10.09"/>
    <s v="GG/179/09-10"/>
    <x v="55"/>
    <x v="38"/>
    <n v="2"/>
    <n v="6"/>
    <n v="12"/>
  </r>
  <r>
    <n v="8010"/>
    <s v="29.10.09"/>
    <s v="GG/179/09-10"/>
    <x v="250"/>
    <x v="9"/>
    <n v="2"/>
    <n v="5"/>
    <n v="10"/>
  </r>
  <r>
    <n v="8011"/>
    <s v="29.10.09"/>
    <s v="GG/179/09-10"/>
    <x v="251"/>
    <x v="9"/>
    <n v="1"/>
    <n v="5"/>
    <n v="5"/>
  </r>
  <r>
    <n v="8013"/>
    <s v="29.10.09"/>
    <s v="GG/179/09-10"/>
    <x v="5"/>
    <x v="121"/>
    <n v="1"/>
    <n v="5"/>
    <n v="5"/>
  </r>
  <r>
    <n v="8015"/>
    <s v="29.10.09"/>
    <s v="GG/179/09-10"/>
    <x v="72"/>
    <x v="54"/>
    <n v="10"/>
    <n v="1"/>
    <n v="10"/>
  </r>
  <r>
    <n v="8016"/>
    <s v="29.10.09"/>
    <s v="GG/179/09-10"/>
    <x v="135"/>
    <x v="9"/>
    <n v="1"/>
    <n v="10"/>
    <n v="10"/>
  </r>
  <r>
    <n v="8054"/>
    <s v="29.10.09"/>
    <s v="GG/180/09-10"/>
    <x v="252"/>
    <x v="93"/>
    <n v="2"/>
    <n v="5"/>
    <n v="10"/>
  </r>
  <r>
    <n v="8055"/>
    <s v="29.10.09"/>
    <s v="GG/180/09-10"/>
    <x v="2"/>
    <x v="52"/>
    <n v="2"/>
    <n v="5"/>
    <n v="10"/>
  </r>
  <r>
    <n v="8101"/>
    <s v="30.10.09"/>
    <s v="GG/181/09-10"/>
    <x v="124"/>
    <x v="9"/>
    <n v="3"/>
    <n v="2"/>
    <n v="6"/>
  </r>
  <r>
    <n v="8103"/>
    <s v="30.10.09"/>
    <s v="GG/181/09-10"/>
    <x v="22"/>
    <x v="21"/>
    <n v="2"/>
    <n v="6"/>
    <n v="12"/>
  </r>
  <r>
    <n v="8104"/>
    <s v="30.10.09"/>
    <s v="GG/181/09-10"/>
    <x v="22"/>
    <x v="21"/>
    <n v="1"/>
    <n v="4"/>
    <n v="4"/>
  </r>
  <r>
    <n v="8106"/>
    <s v="30.10.09"/>
    <s v="GG/181/09-10"/>
    <x v="198"/>
    <x v="9"/>
    <n v="2"/>
    <n v="10"/>
    <n v="20"/>
  </r>
  <r>
    <n v="8147"/>
    <s v="30.10.09"/>
    <s v="GG/182/09-10"/>
    <x v="16"/>
    <x v="15"/>
    <n v="2"/>
    <n v="5"/>
    <n v="10"/>
  </r>
  <r>
    <n v="8148"/>
    <s v="30.10.09"/>
    <s v="GG/182/09-10"/>
    <x v="55"/>
    <x v="92"/>
    <n v="4"/>
    <n v="5"/>
    <n v="20"/>
  </r>
  <r>
    <n v="8149"/>
    <s v="30.10.09"/>
    <s v="GG/182/09-10"/>
    <x v="25"/>
    <x v="25"/>
    <n v="2"/>
    <n v="5"/>
    <n v="10"/>
  </r>
  <r>
    <n v="8150"/>
    <s v="30.10.09"/>
    <s v="GG/182/09-10"/>
    <x v="29"/>
    <x v="29"/>
    <n v="2"/>
    <n v="5"/>
    <n v="10"/>
  </r>
  <r>
    <n v="8151"/>
    <s v="30.10.09"/>
    <s v="GG/182/09-10"/>
    <x v="8"/>
    <x v="37"/>
    <n v="2"/>
    <n v="5"/>
    <n v="10"/>
  </r>
  <r>
    <n v="8152"/>
    <s v="30.10.09"/>
    <s v="GG/182/09-10"/>
    <x v="17"/>
    <x v="16"/>
    <n v="1"/>
    <n v="5"/>
    <n v="5"/>
  </r>
  <r>
    <n v="8153"/>
    <s v="30.10.09"/>
    <s v="GG/182/09-10"/>
    <x v="253"/>
    <x v="81"/>
    <n v="2"/>
    <n v="5"/>
    <n v="10"/>
  </r>
  <r>
    <n v="8155"/>
    <s v="30.10.09"/>
    <s v="GG/182/09-10"/>
    <x v="254"/>
    <x v="9"/>
    <n v="2"/>
    <n v="10"/>
    <n v="20"/>
  </r>
  <r>
    <n v="8156"/>
    <s v="30.10.09"/>
    <s v="GG/182/09-10"/>
    <x v="219"/>
    <x v="9"/>
    <n v="2"/>
    <n v="10"/>
    <n v="20"/>
  </r>
  <r>
    <n v="8158"/>
    <s v="30.10.09"/>
    <s v="GG/182/09-10"/>
    <x v="56"/>
    <x v="83"/>
    <n v="2"/>
    <n v="6"/>
    <n v="12"/>
  </r>
  <r>
    <n v="8160"/>
    <s v="30.10.09"/>
    <s v="GG/182/09-10"/>
    <x v="255"/>
    <x v="112"/>
    <n v="1"/>
    <n v="25"/>
    <n v="25"/>
  </r>
  <r>
    <n v="8162"/>
    <s v="30.10.09"/>
    <s v="GG/182/09-10"/>
    <x v="138"/>
    <x v="32"/>
    <n v="5"/>
    <n v="24"/>
    <n v="120"/>
  </r>
  <r>
    <n v="8193"/>
    <s v="04.11.09"/>
    <s v="GG/183/09-10"/>
    <x v="55"/>
    <x v="92"/>
    <n v="1"/>
    <n v="5"/>
    <n v="5"/>
  </r>
  <r>
    <n v="8195"/>
    <s v="04.11.09"/>
    <s v="GG/183/09-10"/>
    <x v="256"/>
    <x v="9"/>
    <n v="1"/>
    <n v="5"/>
    <n v="5"/>
  </r>
  <r>
    <n v="8239"/>
    <s v="04.11.09"/>
    <s v="GG/184/09-10"/>
    <x v="254"/>
    <x v="9"/>
    <n v="5"/>
    <n v="10"/>
    <n v="50"/>
  </r>
  <r>
    <n v="8282"/>
    <s v="05.11.09"/>
    <s v="GG/185/09-10"/>
    <x v="147"/>
    <x v="9"/>
    <n v="1"/>
    <n v="4"/>
    <n v="4"/>
  </r>
  <r>
    <n v="8284"/>
    <s v="05.11.09"/>
    <s v="GG/185/09-10"/>
    <x v="0"/>
    <x v="130"/>
    <n v="1"/>
    <n v="6"/>
    <n v="6"/>
  </r>
  <r>
    <n v="8285"/>
    <s v="05.11.09"/>
    <s v="GG/185/09-10"/>
    <x v="204"/>
    <x v="72"/>
    <n v="2"/>
    <n v="6"/>
    <n v="12"/>
  </r>
  <r>
    <n v="8286"/>
    <s v="05.11.09"/>
    <s v="GG/185/09-10"/>
    <x v="87"/>
    <x v="67"/>
    <n v="1"/>
    <n v="6"/>
    <n v="6"/>
  </r>
  <r>
    <n v="8289"/>
    <s v="05.11.09"/>
    <s v="GG/185/09-10"/>
    <x v="84"/>
    <x v="58"/>
    <n v="1"/>
    <n v="5"/>
    <n v="5"/>
  </r>
  <r>
    <n v="8290"/>
    <s v="05.11.09"/>
    <s v="GG/185/09-10"/>
    <x v="19"/>
    <x v="129"/>
    <n v="2"/>
    <n v="5"/>
    <n v="10"/>
  </r>
  <r>
    <n v="8291"/>
    <s v="05.11.09"/>
    <s v="GG/185/09-10"/>
    <x v="164"/>
    <x v="131"/>
    <n v="1"/>
    <n v="5"/>
    <n v="5"/>
  </r>
  <r>
    <n v="8292"/>
    <s v="05.11.09"/>
    <s v="GG/185/09-10"/>
    <x v="55"/>
    <x v="92"/>
    <n v="2"/>
    <n v="5"/>
    <n v="10"/>
  </r>
  <r>
    <n v="8293"/>
    <s v="05.11.09"/>
    <s v="GG/185/09-10"/>
    <x v="257"/>
    <x v="93"/>
    <n v="1"/>
    <n v="5"/>
    <n v="5"/>
  </r>
  <r>
    <n v="8295"/>
    <s v="05.11.09"/>
    <s v="GG/185/09-10"/>
    <x v="251"/>
    <x v="9"/>
    <n v="1"/>
    <n v="5"/>
    <n v="5"/>
  </r>
  <r>
    <n v="8297"/>
    <s v="05.11.09"/>
    <s v="GG/185/09-10"/>
    <x v="229"/>
    <x v="132"/>
    <n v="1"/>
    <n v="10"/>
    <n v="10"/>
  </r>
  <r>
    <n v="8298"/>
    <s v="05.11.09"/>
    <s v="GG/185/09-10"/>
    <x v="178"/>
    <x v="9"/>
    <n v="1"/>
    <n v="10"/>
    <n v="10"/>
  </r>
  <r>
    <n v="8300"/>
    <s v="05.11.09"/>
    <s v="GG/185/09-10"/>
    <x v="98"/>
    <x v="61"/>
    <n v="1"/>
    <n v="25"/>
    <n v="25"/>
  </r>
  <r>
    <n v="8329"/>
    <s v="06.11.09"/>
    <s v="GG/186/09-10"/>
    <x v="214"/>
    <x v="69"/>
    <n v="5"/>
    <n v="6"/>
    <n v="30"/>
  </r>
  <r>
    <n v="8330"/>
    <s v="06.11.09"/>
    <s v="GG/186/09-10"/>
    <x v="214"/>
    <x v="69"/>
    <n v="2"/>
    <n v="1"/>
    <n v="2"/>
  </r>
  <r>
    <n v="8331"/>
    <s v="06.11.09"/>
    <s v="GG/186/09-10"/>
    <x v="258"/>
    <x v="89"/>
    <n v="2"/>
    <n v="6"/>
    <n v="12"/>
  </r>
  <r>
    <n v="8333"/>
    <s v="06.11.09"/>
    <s v="GG/186/09-10"/>
    <x v="226"/>
    <x v="9"/>
    <n v="2"/>
    <n v="5"/>
    <n v="10"/>
  </r>
  <r>
    <n v="8334"/>
    <s v="06.11.09"/>
    <s v="GG/186/09-10"/>
    <x v="227"/>
    <x v="9"/>
    <n v="2"/>
    <n v="5"/>
    <n v="10"/>
  </r>
  <r>
    <n v="8336"/>
    <s v="06.11.09"/>
    <s v="GG/186/09-10"/>
    <x v="98"/>
    <x v="61"/>
    <n v="2"/>
    <n v="25"/>
    <n v="50"/>
  </r>
  <r>
    <n v="8377"/>
    <s v="11.11.09"/>
    <s v="GG/187/09-10"/>
    <x v="248"/>
    <x v="133"/>
    <n v="7"/>
    <n v="100"/>
    <n v="700"/>
  </r>
  <r>
    <n v="8426"/>
    <s v="11.11.09"/>
    <s v="GG/188/09-10"/>
    <x v="2"/>
    <x v="51"/>
    <n v="2"/>
    <n v="6"/>
    <n v="12"/>
  </r>
  <r>
    <n v="8427"/>
    <s v="11.11.09"/>
    <s v="GG/188/09-10"/>
    <x v="87"/>
    <x v="67"/>
    <n v="1"/>
    <n v="6"/>
    <n v="6"/>
  </r>
  <r>
    <n v="8428"/>
    <s v="11.11.09"/>
    <s v="GG/188/09-10"/>
    <x v="204"/>
    <x v="72"/>
    <n v="1"/>
    <n v="6"/>
    <n v="6"/>
  </r>
  <r>
    <n v="8430"/>
    <s v="11.11.09"/>
    <s v="GG/188/09-10"/>
    <x v="87"/>
    <x v="9"/>
    <n v="19"/>
    <n v="1"/>
    <n v="19"/>
  </r>
  <r>
    <n v="8431"/>
    <s v="11.11.09"/>
    <s v="GG/188/09-10"/>
    <x v="2"/>
    <x v="9"/>
    <n v="9"/>
    <n v="1"/>
    <n v="9"/>
  </r>
  <r>
    <n v="8469"/>
    <s v="11.11.09"/>
    <s v="GG/189/09-10"/>
    <x v="145"/>
    <x v="24"/>
    <n v="4"/>
    <n v="5"/>
    <n v="20"/>
  </r>
  <r>
    <n v="8470"/>
    <s v="11.11.09"/>
    <s v="GG/189/09-10"/>
    <x v="154"/>
    <x v="93"/>
    <n v="8"/>
    <n v="5"/>
    <n v="40"/>
  </r>
  <r>
    <n v="8472"/>
    <s v="11.11.09"/>
    <s v="GG/189/09-10"/>
    <x v="254"/>
    <x v="9"/>
    <n v="2"/>
    <n v="10"/>
    <n v="20"/>
  </r>
  <r>
    <n v="8473"/>
    <s v="11.11.09"/>
    <s v="GG/189/09-10"/>
    <x v="230"/>
    <x v="9"/>
    <n v="10"/>
    <n v="10"/>
    <n v="100"/>
  </r>
  <r>
    <n v="8474"/>
    <s v="11.11.09"/>
    <s v="GG/189/09-10"/>
    <x v="259"/>
    <x v="9"/>
    <n v="5"/>
    <n v="10"/>
    <n v="50"/>
  </r>
  <r>
    <n v="8476"/>
    <s v="11.11.09"/>
    <s v="GG/189/09-10"/>
    <x v="72"/>
    <x v="9"/>
    <n v="50"/>
    <n v="1"/>
    <n v="50"/>
  </r>
  <r>
    <n v="8478"/>
    <s v="11.11.09"/>
    <s v="GG/189/09-10"/>
    <x v="260"/>
    <x v="128"/>
    <n v="1"/>
    <n v="250"/>
    <n v="250"/>
  </r>
  <r>
    <n v="8481"/>
    <s v="11.11.09"/>
    <s v="GG/189/09-10"/>
    <x v="261"/>
    <x v="14"/>
    <n v="1"/>
    <n v="25"/>
    <n v="25"/>
  </r>
  <r>
    <n v="8482"/>
    <s v="11.11.09"/>
    <s v="GG/189/09-10"/>
    <x v="163"/>
    <x v="57"/>
    <n v="2"/>
    <n v="25"/>
    <n v="50"/>
  </r>
  <r>
    <n v="8512"/>
    <s v="11.11.09"/>
    <s v="GG/190/09-10"/>
    <x v="20"/>
    <x v="89"/>
    <n v="1"/>
    <n v="6"/>
    <n v="6"/>
  </r>
  <r>
    <n v="8513"/>
    <s v="11.11.09"/>
    <s v="GG/190/09-10"/>
    <x v="262"/>
    <x v="7"/>
    <n v="2"/>
    <n v="6"/>
    <n v="12"/>
  </r>
  <r>
    <n v="8515"/>
    <s v="11.11.09"/>
    <s v="GG/190/09-10"/>
    <x v="19"/>
    <x v="129"/>
    <n v="2"/>
    <n v="5"/>
    <n v="10"/>
  </r>
  <r>
    <n v="8516"/>
    <s v="11.11.09"/>
    <s v="GG/190/09-10"/>
    <x v="161"/>
    <x v="104"/>
    <n v="2"/>
    <n v="5"/>
    <n v="10"/>
  </r>
  <r>
    <n v="8517"/>
    <s v="11.11.09"/>
    <s v="GG/190/09-10"/>
    <x v="6"/>
    <x v="100"/>
    <n v="1"/>
    <n v="5"/>
    <n v="5"/>
  </r>
  <r>
    <n v="8519"/>
    <s v="11.11.09"/>
    <s v="GG/190/09-10"/>
    <x v="230"/>
    <x v="9"/>
    <n v="5"/>
    <n v="10"/>
    <n v="50"/>
  </r>
  <r>
    <n v="8520"/>
    <s v="11.11.09"/>
    <s v="GG/190/09-10"/>
    <x v="250"/>
    <x v="9"/>
    <n v="2"/>
    <n v="5"/>
    <n v="10"/>
  </r>
  <r>
    <n v="8522"/>
    <s v="11.11.09"/>
    <s v="GG/190/09-10"/>
    <x v="146"/>
    <x v="9"/>
    <n v="1"/>
    <n v="100"/>
    <n v="100"/>
  </r>
  <r>
    <n v="8523"/>
    <s v="11.11.09"/>
    <s v="GG/190/09-10"/>
    <x v="205"/>
    <x v="9"/>
    <n v="1"/>
    <n v="200"/>
    <n v="200"/>
  </r>
  <r>
    <n v="8525"/>
    <s v="11.11.09"/>
    <s v="GG/190/09-10"/>
    <x v="136"/>
    <x v="86"/>
    <n v="4"/>
    <n v="24"/>
    <n v="96"/>
  </r>
  <r>
    <n v="8526"/>
    <s v="11.11.09"/>
    <s v="GG/190/09-10"/>
    <x v="138"/>
    <x v="32"/>
    <n v="12"/>
    <n v="24"/>
    <n v="288"/>
  </r>
  <r>
    <n v="8527"/>
    <s v="11.11.09"/>
    <s v="GG/190/09-10"/>
    <x v="138"/>
    <x v="32"/>
    <n v="1"/>
    <n v="24"/>
    <n v="24"/>
  </r>
  <r>
    <n v="8560"/>
    <s v="12.11.09"/>
    <s v="GG/191/09-10"/>
    <x v="19"/>
    <x v="129"/>
    <n v="4"/>
    <n v="5"/>
    <n v="20"/>
  </r>
  <r>
    <n v="8561"/>
    <s v="12.11.09"/>
    <s v="GG/191/09-10"/>
    <x v="22"/>
    <x v="23"/>
    <n v="4"/>
    <n v="5"/>
    <n v="20"/>
  </r>
  <r>
    <n v="8606"/>
    <s v="12.11.09"/>
    <s v="GG/192/09-10"/>
    <x v="263"/>
    <x v="9"/>
    <n v="1"/>
    <n v="40"/>
    <n v="40"/>
  </r>
  <r>
    <n v="8652"/>
    <s v="13.11.09"/>
    <s v="GG/193/09-10"/>
    <x v="72"/>
    <x v="54"/>
    <n v="10"/>
    <n v="1"/>
    <n v="10"/>
  </r>
  <r>
    <n v="8653"/>
    <s v="13.11.09"/>
    <s v="GG/193/09-10"/>
    <x v="139"/>
    <x v="9"/>
    <n v="1"/>
    <n v="10"/>
    <n v="10"/>
  </r>
  <r>
    <n v="8655"/>
    <s v="13.11.09"/>
    <s v="GG/193/09-10"/>
    <x v="114"/>
    <x v="76"/>
    <n v="1"/>
    <n v="6"/>
    <n v="6"/>
  </r>
  <r>
    <n v="8656"/>
    <s v="13.11.09"/>
    <s v="GG/193/09-10"/>
    <x v="114"/>
    <x v="76"/>
    <n v="1"/>
    <n v="4"/>
    <n v="4"/>
  </r>
  <r>
    <n v="8658"/>
    <s v="13.11.09"/>
    <s v="GG/193/09-10"/>
    <x v="25"/>
    <x v="25"/>
    <n v="4"/>
    <n v="5"/>
    <n v="20"/>
  </r>
  <r>
    <n v="8699"/>
    <s v="13.11.09"/>
    <s v="GG/194/09-10"/>
    <x v="19"/>
    <x v="134"/>
    <n v="1"/>
    <n v="50"/>
    <n v="50"/>
  </r>
  <r>
    <n v="8744"/>
    <s v="13.11.09"/>
    <s v="GG/195/09-10"/>
    <x v="2"/>
    <x v="52"/>
    <n v="2"/>
    <n v="5"/>
    <n v="10"/>
  </r>
  <r>
    <n v="8746"/>
    <s v="13.11.09"/>
    <s v="GG/195/09-10"/>
    <x v="264"/>
    <x v="135"/>
    <n v="4"/>
    <n v="5"/>
    <n v="20"/>
  </r>
  <r>
    <n v="8747"/>
    <s v="13.11.09"/>
    <s v="GG/195/09-10"/>
    <x v="265"/>
    <x v="136"/>
    <n v="1"/>
    <n v="10"/>
    <n v="10"/>
  </r>
  <r>
    <n v="8748"/>
    <s v="13.11.09"/>
    <s v="GG/195/09-10"/>
    <x v="266"/>
    <x v="137"/>
    <n v="2"/>
    <n v="5"/>
    <n v="10"/>
  </r>
  <r>
    <n v="8793"/>
    <s v="13.11.09"/>
    <s v="GG/196/09-10"/>
    <x v="0"/>
    <x v="68"/>
    <n v="3"/>
    <n v="6"/>
    <n v="18"/>
  </r>
  <r>
    <n v="8794"/>
    <s v="13.11.09"/>
    <s v="GG/196/09-10"/>
    <x v="0"/>
    <x v="68"/>
    <n v="1"/>
    <n v="4"/>
    <n v="4"/>
  </r>
  <r>
    <n v="8839"/>
    <s v="16.11.09"/>
    <s v="GG/197/09-10"/>
    <x v="5"/>
    <x v="121"/>
    <n v="2"/>
    <n v="5"/>
    <n v="10"/>
  </r>
  <r>
    <n v="8882"/>
    <s v="16.11.09"/>
    <s v="GG/198/09-10"/>
    <x v="168"/>
    <x v="9"/>
    <n v="2"/>
    <n v="10"/>
    <n v="20"/>
  </r>
  <r>
    <n v="8884"/>
    <s v="16.11.09"/>
    <s v="GG/198/09-10"/>
    <x v="204"/>
    <x v="72"/>
    <n v="1"/>
    <n v="4"/>
    <n v="4"/>
  </r>
  <r>
    <n v="8925"/>
    <s v="16.11.09"/>
    <s v="GG/199/09-10"/>
    <x v="204"/>
    <x v="72"/>
    <n v="1"/>
    <n v="5"/>
    <n v="5"/>
  </r>
  <r>
    <n v="8927"/>
    <s v="16.11.09"/>
    <s v="GG/199/09-10"/>
    <x v="5"/>
    <x v="121"/>
    <n v="2"/>
    <n v="5"/>
    <n v="10"/>
  </r>
  <r>
    <n v="8929"/>
    <s v="16.11.09"/>
    <s v="GG/199/09-10"/>
    <x v="178"/>
    <x v="9"/>
    <n v="3"/>
    <n v="10"/>
    <n v="30"/>
  </r>
  <r>
    <n v="8931"/>
    <s v="16.11.09"/>
    <s v="GG/199/09-10"/>
    <x v="72"/>
    <x v="54"/>
    <n v="5"/>
    <n v="1"/>
    <n v="5"/>
  </r>
  <r>
    <n v="8933"/>
    <s v="16.11.09"/>
    <s v="GG/199/09-10"/>
    <x v="1"/>
    <x v="1"/>
    <n v="4"/>
    <n v="25"/>
    <n v="100"/>
  </r>
  <r>
    <n v="8973"/>
    <s v="17.11.09"/>
    <s v="GG/200/09-10"/>
    <x v="170"/>
    <x v="9"/>
    <n v="2"/>
    <n v="10"/>
    <n v="20"/>
  </r>
  <r>
    <n v="8974"/>
    <s v="17.11.09"/>
    <s v="GG/200/09-10"/>
    <x v="179"/>
    <x v="9"/>
    <n v="2"/>
    <n v="10"/>
    <n v="20"/>
  </r>
  <r>
    <n v="9017"/>
    <s v="17.11.09"/>
    <s v="GG/201/09-10"/>
    <x v="130"/>
    <x v="85"/>
    <n v="1"/>
    <n v="6"/>
    <n v="6"/>
  </r>
  <r>
    <n v="9019"/>
    <s v="17.11.09"/>
    <s v="GG/201/09-10"/>
    <x v="164"/>
    <x v="131"/>
    <n v="1"/>
    <n v="5"/>
    <n v="5"/>
  </r>
  <r>
    <n v="9020"/>
    <s v="17.11.09"/>
    <s v="GG/201/09-10"/>
    <x v="235"/>
    <x v="126"/>
    <n v="1"/>
    <n v="5"/>
    <n v="5"/>
  </r>
  <r>
    <n v="9022"/>
    <s v="17.11.09"/>
    <s v="GG/201/09-10"/>
    <x v="136"/>
    <x v="9"/>
    <n v="2"/>
    <n v="24"/>
    <n v="48"/>
  </r>
  <r>
    <n v="9024"/>
    <s v="17.11.09"/>
    <s v="GG/201/09-10"/>
    <x v="1"/>
    <x v="1"/>
    <n v="2"/>
    <n v="25"/>
    <n v="50"/>
  </r>
  <r>
    <n v="9066"/>
    <s v="20.11.09"/>
    <s v="GG/202/09-10"/>
    <x v="138"/>
    <x v="32"/>
    <n v="12"/>
    <n v="24"/>
    <n v="288"/>
  </r>
  <r>
    <n v="9067"/>
    <s v="20.11.09"/>
    <s v="GG/202/09-10"/>
    <x v="138"/>
    <x v="32"/>
    <n v="1"/>
    <n v="24"/>
    <n v="24"/>
  </r>
  <r>
    <n v="9111"/>
    <s v="20.11.09"/>
    <s v="GG/203/09-10"/>
    <x v="229"/>
    <x v="132"/>
    <n v="2"/>
    <n v="10"/>
    <n v="20"/>
  </r>
  <r>
    <n v="9113"/>
    <s v="20.11.09"/>
    <s v="GG/203/09-10"/>
    <x v="259"/>
    <x v="132"/>
    <n v="2"/>
    <n v="10"/>
    <n v="20"/>
  </r>
  <r>
    <n v="9155"/>
    <s v="21.11.09"/>
    <s v="GG/204/09-10"/>
    <x v="129"/>
    <x v="84"/>
    <n v="1"/>
    <n v="6"/>
    <n v="6"/>
  </r>
  <r>
    <n v="9156"/>
    <s v="21.11.09"/>
    <s v="GG/204/09-10"/>
    <x v="129"/>
    <x v="84"/>
    <n v="1"/>
    <n v="2"/>
    <n v="2"/>
  </r>
  <r>
    <n v="9157"/>
    <s v="21.11.09"/>
    <s v="GG/204/09-10"/>
    <x v="8"/>
    <x v="138"/>
    <n v="1"/>
    <n v="4"/>
    <n v="4"/>
  </r>
  <r>
    <n v="9159"/>
    <s v="21.11.09"/>
    <s v="GG/204/09-10"/>
    <x v="55"/>
    <x v="92"/>
    <n v="1"/>
    <n v="5"/>
    <n v="5"/>
  </r>
  <r>
    <n v="9161"/>
    <s v="21.11.09"/>
    <s v="GG/204/09-10"/>
    <x v="138"/>
    <x v="32"/>
    <n v="12"/>
    <n v="24"/>
    <n v="288"/>
  </r>
  <r>
    <n v="9162"/>
    <s v="21.11.09"/>
    <s v="GG/204/09-10"/>
    <x v="138"/>
    <x v="32"/>
    <n v="1"/>
    <n v="24"/>
    <n v="24"/>
  </r>
  <r>
    <n v="9163"/>
    <s v="21.11.09"/>
    <s v="GG/204/09-10"/>
    <x v="138"/>
    <x v="32"/>
    <n v="1"/>
    <n v="24"/>
    <n v="24"/>
  </r>
  <r>
    <n v="9166"/>
    <s v="21.11.09"/>
    <s v="GG/204/09-10"/>
    <x v="267"/>
    <x v="116"/>
    <n v="2"/>
    <n v="100"/>
    <n v="200"/>
  </r>
  <r>
    <n v="9167"/>
    <s v="21.11.09"/>
    <s v="GG/204/09-10"/>
    <x v="268"/>
    <x v="118"/>
    <n v="14"/>
    <n v="100"/>
    <n v="1400"/>
  </r>
  <r>
    <n v="9168"/>
    <s v="21.11.09"/>
    <s v="GG/204/09-10"/>
    <x v="269"/>
    <x v="139"/>
    <n v="8"/>
    <n v="100"/>
    <n v="800"/>
  </r>
  <r>
    <n v="9169"/>
    <s v="21.11.09"/>
    <s v="GG/204/09-10"/>
    <x v="268"/>
    <x v="118"/>
    <n v="2"/>
    <n v="100"/>
    <n v="200"/>
  </r>
  <r>
    <n v="9201"/>
    <s v="23.11.09"/>
    <s v="GG/205/09-10"/>
    <x v="267"/>
    <x v="116"/>
    <n v="2"/>
    <n v="100"/>
    <n v="200"/>
  </r>
  <r>
    <n v="9202"/>
    <s v="23.11.09"/>
    <s v="GG/205/09-10"/>
    <x v="268"/>
    <x v="118"/>
    <n v="14"/>
    <n v="100"/>
    <n v="1400"/>
  </r>
  <r>
    <n v="9203"/>
    <s v="23.11.09"/>
    <s v="GG/205/09-10"/>
    <x v="269"/>
    <x v="139"/>
    <n v="8"/>
    <n v="100"/>
    <n v="800"/>
  </r>
  <r>
    <n v="9204"/>
    <s v="23.11.09"/>
    <s v="GG/205/09-10"/>
    <x v="268"/>
    <x v="118"/>
    <n v="2"/>
    <n v="100"/>
    <n v="200"/>
  </r>
  <r>
    <n v="9247"/>
    <s v="24.11.09"/>
    <s v="GG/206/09-10"/>
    <x v="72"/>
    <x v="54"/>
    <n v="20"/>
    <n v="1"/>
    <n v="20"/>
  </r>
  <r>
    <n v="9248"/>
    <s v="24.11.09"/>
    <s v="GG/206/09-10"/>
    <x v="270"/>
    <x v="9"/>
    <n v="5"/>
    <n v="1"/>
    <n v="5"/>
  </r>
  <r>
    <n v="9250"/>
    <s v="24.11.09"/>
    <s v="GG/206/09-10"/>
    <x v="229"/>
    <x v="9"/>
    <n v="3"/>
    <n v="10"/>
    <n v="30"/>
  </r>
  <r>
    <n v="9251"/>
    <s v="24.11.09"/>
    <s v="GG/206/09-10"/>
    <x v="229"/>
    <x v="9"/>
    <n v="1"/>
    <n v="9"/>
    <n v="9"/>
  </r>
  <r>
    <n v="9252"/>
    <s v="24.11.09"/>
    <s v="GG/206/09-10"/>
    <x v="170"/>
    <x v="9"/>
    <n v="1"/>
    <n v="10"/>
    <n v="10"/>
  </r>
  <r>
    <n v="9296"/>
    <s v="25.11.09"/>
    <s v="GG/207/09-10"/>
    <x v="17"/>
    <x v="16"/>
    <n v="10"/>
    <n v="5"/>
    <n v="50"/>
  </r>
  <r>
    <n v="9297"/>
    <s v="25.11.09"/>
    <s v="GG/207/09-10"/>
    <x v="271"/>
    <x v="120"/>
    <n v="4"/>
    <n v="5"/>
    <n v="20"/>
  </r>
  <r>
    <n v="9298"/>
    <s v="25.11.09"/>
    <s v="GG/207/09-10"/>
    <x v="2"/>
    <x v="52"/>
    <n v="7"/>
    <n v="5"/>
    <n v="35"/>
  </r>
  <r>
    <n v="9299"/>
    <s v="25.11.09"/>
    <s v="GG/207/09-10"/>
    <x v="272"/>
    <x v="53"/>
    <n v="5"/>
    <n v="5"/>
    <n v="25"/>
  </r>
  <r>
    <n v="9300"/>
    <s v="25.11.09"/>
    <s v="GG/207/09-10"/>
    <x v="8"/>
    <x v="37"/>
    <n v="2"/>
    <n v="5"/>
    <n v="10"/>
  </r>
  <r>
    <n v="9301"/>
    <s v="25.11.09"/>
    <s v="GG/207/09-10"/>
    <x v="22"/>
    <x v="23"/>
    <n v="8"/>
    <n v="5"/>
    <n v="40"/>
  </r>
  <r>
    <n v="9302"/>
    <s v="25.11.09"/>
    <s v="GG/207/09-10"/>
    <x v="95"/>
    <x v="82"/>
    <n v="4"/>
    <n v="5"/>
    <n v="20"/>
  </r>
  <r>
    <n v="9304"/>
    <s v="25.11.09"/>
    <s v="GG/207/09-10"/>
    <x v="98"/>
    <x v="61"/>
    <n v="2"/>
    <n v="25"/>
    <n v="50"/>
  </r>
  <r>
    <n v="9341"/>
    <s v="26.11.09"/>
    <s v="GG/208/09-10"/>
    <x v="273"/>
    <x v="140"/>
    <n v="2"/>
    <n v="100"/>
    <n v="200"/>
  </r>
  <r>
    <n v="9343"/>
    <s v="26.11.09"/>
    <s v="GG/208/09-10"/>
    <x v="274"/>
    <x v="133"/>
    <n v="14"/>
    <n v="100"/>
    <n v="1400"/>
  </r>
  <r>
    <n v="9345"/>
    <s v="26.11.09"/>
    <s v="GG/208/09-10"/>
    <x v="275"/>
    <x v="141"/>
    <n v="8"/>
    <n v="100"/>
    <n v="800"/>
  </r>
  <r>
    <n v="9347"/>
    <s v="26.11.09"/>
    <s v="GG/208/09-10"/>
    <x v="273"/>
    <x v="140"/>
    <n v="1"/>
    <n v="100"/>
    <n v="100"/>
  </r>
  <r>
    <n v="9349"/>
    <s v="26.11.09"/>
    <s v="GG/208/09-10"/>
    <x v="275"/>
    <x v="141"/>
    <n v="1"/>
    <n v="100"/>
    <n v="100"/>
  </r>
  <r>
    <n v="9388"/>
    <s v="26.11.09"/>
    <s v="GG/209/09-10"/>
    <x v="5"/>
    <x v="121"/>
    <n v="1"/>
    <n v="5"/>
    <n v="5"/>
  </r>
  <r>
    <n v="9389"/>
    <s v="26.11.09"/>
    <s v="GG/209/09-10"/>
    <x v="19"/>
    <x v="129"/>
    <n v="1"/>
    <n v="5"/>
    <n v="5"/>
  </r>
  <r>
    <n v="9390"/>
    <s v="26.11.09"/>
    <s v="GG/209/09-10"/>
    <x v="55"/>
    <x v="92"/>
    <n v="1"/>
    <n v="5"/>
    <n v="5"/>
  </r>
  <r>
    <n v="9391"/>
    <s v="26.11.09"/>
    <s v="GG/209/09-10"/>
    <x v="276"/>
    <x v="99"/>
    <n v="1"/>
    <n v="5"/>
    <n v="5"/>
  </r>
  <r>
    <n v="9431"/>
    <s v="29.11.09"/>
    <s v="GG/210/09-10"/>
    <x v="267"/>
    <x v="116"/>
    <n v="2"/>
    <n v="100"/>
    <n v="200"/>
  </r>
  <r>
    <n v="9432"/>
    <s v="29.11.09"/>
    <s v="GG/210/09-10"/>
    <x v="268"/>
    <x v="118"/>
    <n v="14"/>
    <n v="100"/>
    <n v="1400"/>
  </r>
  <r>
    <n v="9433"/>
    <s v="29.11.09"/>
    <s v="GG/210/09-10"/>
    <x v="269"/>
    <x v="139"/>
    <n v="8"/>
    <n v="100"/>
    <n v="800"/>
  </r>
  <r>
    <n v="9434"/>
    <s v="29.11.09"/>
    <s v="GG/210/09-10"/>
    <x v="269"/>
    <x v="139"/>
    <n v="1"/>
    <n v="100"/>
    <n v="100"/>
  </r>
  <r>
    <n v="9435"/>
    <s v="29.11.09"/>
    <s v="GG/210/09-10"/>
    <x v="277"/>
    <x v="116"/>
    <n v="1"/>
    <n v="100"/>
    <n v="100"/>
  </r>
  <r>
    <n v="9437"/>
    <s v="29.11.09"/>
    <s v="GG/210/09-10"/>
    <x v="167"/>
    <x v="9"/>
    <n v="2"/>
    <n v="10"/>
    <n v="20"/>
  </r>
  <r>
    <n v="9438"/>
    <s v="29.11.09"/>
    <s v="GG/210/09-10"/>
    <x v="250"/>
    <x v="9"/>
    <n v="3"/>
    <n v="5"/>
    <n v="15"/>
  </r>
  <r>
    <n v="9477"/>
    <s v="29.11.09"/>
    <s v="GG/211/09-10"/>
    <x v="161"/>
    <x v="104"/>
    <n v="2"/>
    <n v="5"/>
    <n v="10"/>
  </r>
  <r>
    <n v="9529"/>
    <s v="01.12.09"/>
    <s v="GG/212/09-10"/>
    <x v="243"/>
    <x v="9"/>
    <n v="113"/>
    <n v="28"/>
    <n v="3164"/>
  </r>
  <r>
    <n v="9575"/>
    <s v="03.12.09"/>
    <s v="GG/213/09-10"/>
    <x v="243"/>
    <x v="9"/>
    <n v="117"/>
    <n v="28"/>
    <n v="3276"/>
  </r>
  <r>
    <n v="9615"/>
    <s v="03.12.09"/>
    <s v="GG/214/09-10"/>
    <x v="161"/>
    <x v="117"/>
    <n v="1"/>
    <n v="5"/>
    <n v="5"/>
  </r>
  <r>
    <n v="9616"/>
    <s v="03.12.09"/>
    <s v="GG/214/09-10"/>
    <x v="278"/>
    <x v="25"/>
    <n v="1"/>
    <n v="5"/>
    <n v="5"/>
  </r>
  <r>
    <n v="9617"/>
    <s v="03.12.09"/>
    <s v="GG/214/09-10"/>
    <x v="8"/>
    <x v="37"/>
    <n v="1"/>
    <n v="5"/>
    <n v="5"/>
  </r>
  <r>
    <n v="9619"/>
    <s v="03.12.09"/>
    <s v="GG/214/09-10"/>
    <x v="251"/>
    <x v="9"/>
    <n v="3"/>
    <n v="5"/>
    <n v="15"/>
  </r>
  <r>
    <n v="9621"/>
    <s v="03.12.09"/>
    <s v="GG/214/09-10"/>
    <x v="270"/>
    <x v="9"/>
    <n v="5"/>
    <n v="1"/>
    <n v="5"/>
  </r>
  <r>
    <n v="9664"/>
    <s v="04.12.09"/>
    <s v="GG/215/09-10"/>
    <x v="28"/>
    <x v="9"/>
    <n v="1"/>
    <n v="50"/>
    <n v="50"/>
  </r>
  <r>
    <n v="9707"/>
    <s v="05.12.09/21.11.09"/>
    <s v="GG/216/09-10"/>
    <x v="267"/>
    <x v="116"/>
    <n v="2"/>
    <n v="100"/>
    <n v="200"/>
  </r>
  <r>
    <n v="9708"/>
    <s v="05.12.09/21.11.09"/>
    <s v="GG/216/09-10"/>
    <x v="268"/>
    <x v="118"/>
    <n v="14"/>
    <n v="100"/>
    <n v="1400"/>
  </r>
  <r>
    <n v="9709"/>
    <s v="05.12.09/21.11.09"/>
    <s v="GG/216/09-10"/>
    <x v="269"/>
    <x v="139"/>
    <n v="8"/>
    <n v="100"/>
    <n v="800"/>
  </r>
  <r>
    <n v="9710"/>
    <s v="05.12.09/21.11.09"/>
    <s v="GG/216/09-10"/>
    <x v="269"/>
    <x v="139"/>
    <n v="1"/>
    <n v="100"/>
    <n v="100"/>
  </r>
  <r>
    <n v="9711"/>
    <s v="05.12.09/21.11.09"/>
    <s v="GG/216/09-10"/>
    <x v="277"/>
    <x v="116"/>
    <n v="1"/>
    <n v="100"/>
    <n v="100"/>
  </r>
  <r>
    <n v="9753"/>
    <s v="07.12.09"/>
    <s v="GG/217/09-10"/>
    <x v="267"/>
    <x v="116"/>
    <n v="3"/>
    <n v="100"/>
    <n v="300"/>
  </r>
  <r>
    <n v="9754"/>
    <s v="07.12.09"/>
    <s v="GG/217/09-10"/>
    <x v="268"/>
    <x v="118"/>
    <n v="22"/>
    <n v="100"/>
    <n v="2200"/>
  </r>
  <r>
    <n v="9755"/>
    <s v="07.12.09"/>
    <s v="GG/217/09-10"/>
    <x v="269"/>
    <x v="139"/>
    <n v="15"/>
    <n v="100"/>
    <n v="1500"/>
  </r>
  <r>
    <n v="9756"/>
    <s v="07.12.09"/>
    <s v="GG/217/09-10"/>
    <x v="269"/>
    <x v="139"/>
    <n v="3"/>
    <n v="100"/>
    <n v="300"/>
  </r>
  <r>
    <n v="9758"/>
    <s v="07.12.09"/>
    <s v="GG/217/09-10"/>
    <x v="251"/>
    <x v="9"/>
    <n v="4"/>
    <n v="5"/>
    <n v="20"/>
  </r>
  <r>
    <n v="9760"/>
    <s v="07.12.09"/>
    <s v="GG/217/09-10"/>
    <x v="82"/>
    <x v="9"/>
    <n v="13"/>
    <n v="1"/>
    <n v="13"/>
  </r>
  <r>
    <n v="9761"/>
    <s v="07.12.09"/>
    <s v="GG/217/09-10"/>
    <x v="82"/>
    <x v="9"/>
    <n v="1"/>
    <n v="1"/>
    <n v="1"/>
  </r>
  <r>
    <n v="9801"/>
    <s v="08.12.09"/>
    <s v="GG/218/09-10"/>
    <x v="65"/>
    <x v="9"/>
    <n v="20"/>
    <n v="1"/>
    <n v="20"/>
  </r>
  <r>
    <n v="9802"/>
    <s v="08.12.09"/>
    <s v="GG/218/09-10"/>
    <x v="279"/>
    <x v="9"/>
    <n v="2"/>
    <n v="10"/>
    <n v="20"/>
  </r>
  <r>
    <n v="9847"/>
    <s v="08.12.09"/>
    <s v="GG/219/09-10"/>
    <x v="25"/>
    <x v="25"/>
    <n v="2"/>
    <n v="5"/>
    <n v="10"/>
  </r>
  <r>
    <n v="9848"/>
    <s v="08.12.09"/>
    <s v="GG/219/09-10"/>
    <x v="207"/>
    <x v="142"/>
    <n v="1"/>
    <n v="5"/>
    <n v="5"/>
  </r>
  <r>
    <n v="9849"/>
    <s v="08.12.09"/>
    <s v="GG/219/09-10"/>
    <x v="56"/>
    <x v="39"/>
    <n v="2"/>
    <n v="5"/>
    <n v="10"/>
  </r>
  <r>
    <n v="9850"/>
    <s v="08.12.09"/>
    <s v="GG/219/09-10"/>
    <x v="121"/>
    <x v="81"/>
    <n v="4"/>
    <n v="5"/>
    <n v="20"/>
  </r>
  <r>
    <n v="9852"/>
    <s v="08.12.09"/>
    <s v="GG/219/09-10"/>
    <x v="280"/>
    <x v="9"/>
    <n v="1"/>
    <n v="5"/>
    <n v="5"/>
  </r>
  <r>
    <n v="9853"/>
    <s v="08.12.09"/>
    <s v="GG/219/09-10"/>
    <x v="59"/>
    <x v="9"/>
    <n v="1"/>
    <n v="10"/>
    <n v="10"/>
  </r>
  <r>
    <n v="9893"/>
    <s v="09.12.09"/>
    <s v="GG/220/09-10"/>
    <x v="124"/>
    <x v="9"/>
    <n v="5"/>
    <n v="2"/>
    <n v="10"/>
  </r>
  <r>
    <n v="9894"/>
    <s v="09.12.09"/>
    <s v="GG/220/09-10"/>
    <x v="124"/>
    <x v="9"/>
    <n v="1"/>
    <n v="1"/>
    <n v="1"/>
  </r>
  <r>
    <n v="9896"/>
    <s v="09.12.09"/>
    <s v="GG/220/09-10"/>
    <x v="55"/>
    <x v="92"/>
    <n v="1"/>
    <n v="5"/>
    <n v="5"/>
  </r>
  <r>
    <n v="9897"/>
    <s v="09.12.09"/>
    <s v="GG/220/09-10"/>
    <x v="281"/>
    <x v="143"/>
    <n v="1"/>
    <n v="5"/>
    <n v="5"/>
  </r>
  <r>
    <n v="9898"/>
    <s v="09.12.09"/>
    <s v="GG/220/09-10"/>
    <x v="99"/>
    <x v="144"/>
    <n v="1"/>
    <n v="5"/>
    <n v="5"/>
  </r>
  <r>
    <n v="9900"/>
    <s v="09.12.09"/>
    <s v="GG/220/09-10"/>
    <x v="168"/>
    <x v="9"/>
    <n v="2"/>
    <n v="10"/>
    <n v="20"/>
  </r>
  <r>
    <n v="9936"/>
    <s v="10.12.09"/>
    <s v="GG/221/09-10"/>
    <x v="24"/>
    <x v="24"/>
    <n v="1"/>
    <n v="5"/>
    <n v="5"/>
  </r>
  <r>
    <n v="9937"/>
    <s v="10.12.09"/>
    <s v="GG/221/09-10"/>
    <x v="282"/>
    <x v="126"/>
    <n v="1"/>
    <n v="5"/>
    <n v="5"/>
  </r>
  <r>
    <n v="9938"/>
    <s v="10.12.09"/>
    <s v="GG/221/09-10"/>
    <x v="19"/>
    <x v="129"/>
    <n v="1"/>
    <n v="5"/>
    <n v="5"/>
  </r>
  <r>
    <n v="9939"/>
    <s v="10.12.09"/>
    <s v="GG/221/09-10"/>
    <x v="283"/>
    <x v="143"/>
    <n v="1"/>
    <n v="5"/>
    <n v="5"/>
  </r>
  <r>
    <n v="9940"/>
    <s v="10.12.09"/>
    <s v="GG/221/09-10"/>
    <x v="121"/>
    <x v="81"/>
    <n v="2"/>
    <n v="5"/>
    <n v="10"/>
  </r>
  <r>
    <n v="9941"/>
    <s v="10.12.09"/>
    <s v="GG/221/09-10"/>
    <x v="29"/>
    <x v="29"/>
    <n v="1"/>
    <n v="5"/>
    <n v="5"/>
  </r>
  <r>
    <n v="9942"/>
    <s v="10.12.09"/>
    <s v="GG/221/09-10"/>
    <x v="161"/>
    <x v="104"/>
    <n v="1"/>
    <n v="5"/>
    <n v="5"/>
  </r>
  <r>
    <n v="9943"/>
    <s v="10.12.09"/>
    <s v="GG/221/09-10"/>
    <x v="164"/>
    <x v="131"/>
    <n v="1"/>
    <n v="5"/>
    <n v="5"/>
  </r>
  <r>
    <n v="9944"/>
    <s v="10.12.09"/>
    <s v="GG/221/09-10"/>
    <x v="84"/>
    <x v="58"/>
    <n v="1"/>
    <n v="5"/>
    <n v="5"/>
  </r>
  <r>
    <n v="9945"/>
    <s v="10.12.09"/>
    <s v="GG/221/09-10"/>
    <x v="150"/>
    <x v="120"/>
    <n v="1"/>
    <n v="5"/>
    <n v="5"/>
  </r>
  <r>
    <n v="9947"/>
    <s v="10.12.09"/>
    <s v="GG/221/09-10"/>
    <x v="124"/>
    <x v="9"/>
    <n v="10"/>
    <n v="1"/>
    <n v="10"/>
  </r>
  <r>
    <n v="9948"/>
    <s v="10.12.09"/>
    <s v="GG/221/09-10"/>
    <x v="124"/>
    <x v="9"/>
    <n v="1"/>
    <n v="1"/>
    <n v="1"/>
  </r>
  <r>
    <n v="9950"/>
    <s v="10.12.09"/>
    <s v="GG/221/09-10"/>
    <x v="284"/>
    <x v="9"/>
    <n v="3"/>
    <n v="5"/>
    <n v="15"/>
  </r>
  <r>
    <n v="9952"/>
    <s v="10.12.09"/>
    <s v="GG/221/09-10"/>
    <x v="147"/>
    <x v="9"/>
    <n v="3"/>
    <n v="4"/>
    <n v="12"/>
  </r>
  <r>
    <n v="9985"/>
    <s v="10.12.09"/>
    <s v="GG/222/09-10"/>
    <x v="124"/>
    <x v="9"/>
    <n v="10"/>
    <n v="1"/>
    <n v="10"/>
  </r>
  <r>
    <n v="9986"/>
    <s v="10.12.09"/>
    <s v="GG/222/09-10"/>
    <x v="124"/>
    <x v="9"/>
    <n v="1"/>
    <n v="1"/>
    <n v="1"/>
  </r>
  <r>
    <n v="10028"/>
    <s v="11.12.09"/>
    <s v="GG/223/09-10"/>
    <x v="147"/>
    <x v="9"/>
    <n v="3"/>
    <n v="4"/>
    <n v="12"/>
  </r>
  <r>
    <n v="10029"/>
    <s v="11.12.09"/>
    <s v="GG/223/09-10"/>
    <x v="141"/>
    <x v="9"/>
    <n v="5"/>
    <n v="4"/>
    <n v="20"/>
  </r>
  <r>
    <n v="10074"/>
    <s v="11.12.09"/>
    <s v="GG/224/09-10"/>
    <x v="147"/>
    <x v="9"/>
    <n v="13"/>
    <n v="4"/>
    <n v="52"/>
  </r>
  <r>
    <n v="10123"/>
    <s v="11.12.09"/>
    <s v="GG/225/09-10"/>
    <x v="124"/>
    <x v="9"/>
    <n v="10"/>
    <n v="1"/>
    <n v="10"/>
  </r>
  <r>
    <n v="10124"/>
    <s v="11.12.09"/>
    <s v="GG/225/09-10"/>
    <x v="124"/>
    <x v="9"/>
    <n v="1"/>
    <n v="1"/>
    <n v="1"/>
  </r>
  <r>
    <n v="10166"/>
    <s v="14.12.09"/>
    <s v="GG/226/09-10"/>
    <x v="16"/>
    <x v="15"/>
    <n v="3"/>
    <n v="5"/>
    <n v="15"/>
  </r>
  <r>
    <n v="10167"/>
    <s v="14.12.09"/>
    <s v="GG/226/09-10"/>
    <x v="29"/>
    <x v="29"/>
    <n v="1"/>
    <n v="5"/>
    <n v="5"/>
  </r>
  <r>
    <n v="10168"/>
    <s v="14.12.09"/>
    <s v="GG/226/09-10"/>
    <x v="285"/>
    <x v="25"/>
    <n v="1"/>
    <n v="5"/>
    <n v="5"/>
  </r>
  <r>
    <n v="10169"/>
    <s v="14.12.09"/>
    <s v="GG/226/09-10"/>
    <x v="121"/>
    <x v="81"/>
    <n v="2"/>
    <n v="5"/>
    <n v="10"/>
  </r>
  <r>
    <n v="10170"/>
    <s v="14.12.09"/>
    <s v="GG/226/09-10"/>
    <x v="19"/>
    <x v="129"/>
    <n v="1"/>
    <n v="5"/>
    <n v="5"/>
  </r>
  <r>
    <n v="10172"/>
    <s v="14.12.09"/>
    <s v="GG/226/09-10"/>
    <x v="254"/>
    <x v="9"/>
    <n v="2"/>
    <n v="10"/>
    <n v="20"/>
  </r>
  <r>
    <n v="10174"/>
    <s v="14.12.09"/>
    <s v="GG/226/09-10"/>
    <x v="286"/>
    <x v="27"/>
    <n v="2"/>
    <n v="25"/>
    <n v="50"/>
  </r>
  <r>
    <n v="10212"/>
    <s v="19.12.09"/>
    <s v="GG/227/09-10"/>
    <x v="287"/>
    <x v="54"/>
    <n v="25"/>
    <n v="1"/>
    <n v="25"/>
  </r>
  <r>
    <n v="10213"/>
    <s v="19.12.09"/>
    <s v="GG/227/09-10"/>
    <x v="139"/>
    <x v="9"/>
    <n v="2.5"/>
    <n v="10"/>
    <n v="25"/>
  </r>
  <r>
    <n v="10258"/>
    <s v="22.12.09"/>
    <s v="GG/228/09-10"/>
    <x v="141"/>
    <x v="9"/>
    <n v="12"/>
    <n v="4"/>
    <n v="48"/>
  </r>
  <r>
    <n v="10259"/>
    <s v="22.12.09"/>
    <s v="GG/228/09-10"/>
    <x v="147"/>
    <x v="9"/>
    <n v="4"/>
    <n v="4"/>
    <n v="16"/>
  </r>
  <r>
    <n v="10260"/>
    <s v="22.12.09"/>
    <s v="GG/228/09-10"/>
    <x v="140"/>
    <x v="9"/>
    <n v="2"/>
    <n v="4"/>
    <n v="8"/>
  </r>
  <r>
    <n v="10261"/>
    <s v="22.12.09"/>
    <s v="GG/228/09-10"/>
    <x v="140"/>
    <x v="9"/>
    <n v="1"/>
    <n v="3"/>
    <n v="3"/>
  </r>
  <r>
    <n v="10306"/>
    <s v="24.12.09"/>
    <s v="GG/229/09-10"/>
    <x v="19"/>
    <x v="129"/>
    <n v="7"/>
    <n v="5"/>
    <n v="35"/>
  </r>
  <r>
    <n v="10350"/>
    <s v="24.12.09"/>
    <s v="GG/230/09-10"/>
    <x v="148"/>
    <x v="9"/>
    <n v="1"/>
    <n v="4"/>
    <n v="4"/>
  </r>
  <r>
    <n v="10352"/>
    <s v="24.12.09"/>
    <s v="GG/230/09-10"/>
    <x v="226"/>
    <x v="9"/>
    <n v="3"/>
    <n v="5"/>
    <n v="15"/>
  </r>
  <r>
    <n v="10354"/>
    <s v="24.12.09"/>
    <s v="GG/230/09-10"/>
    <x v="105"/>
    <x v="65"/>
    <n v="1"/>
    <n v="6"/>
    <n v="6"/>
  </r>
  <r>
    <n v="10355"/>
    <s v="24.12.09"/>
    <s v="GG/230/09-10"/>
    <x v="124"/>
    <x v="145"/>
    <n v="1"/>
    <n v="6"/>
    <n v="6"/>
  </r>
  <r>
    <n v="10396"/>
    <s v="26.12.09"/>
    <s v="GG/231/09-10"/>
    <x v="72"/>
    <x v="54"/>
    <n v="70"/>
    <n v="1"/>
    <n v="70"/>
  </r>
  <r>
    <n v="10397"/>
    <s v="26.12.09"/>
    <s v="GG/231/09-10"/>
    <x v="139"/>
    <x v="9"/>
    <n v="5"/>
    <n v="10"/>
    <n v="50"/>
  </r>
  <r>
    <n v="10399"/>
    <s v="26.12.09"/>
    <s v="GG/231/09-10"/>
    <x v="226"/>
    <x v="9"/>
    <n v="7"/>
    <n v="5"/>
    <n v="35"/>
  </r>
  <r>
    <n v="10443"/>
    <s v="26.12.09"/>
    <s v="GG/232/09-10"/>
    <x v="287"/>
    <x v="54"/>
    <n v="25"/>
    <n v="1"/>
    <n v="25"/>
  </r>
  <r>
    <n v="10444"/>
    <s v="26.12.09"/>
    <s v="GG/232/09-10"/>
    <x v="139"/>
    <x v="9"/>
    <n v="2.5"/>
    <n v="10"/>
    <n v="25"/>
  </r>
  <r>
    <n v="10446"/>
    <s v="26.12.09"/>
    <s v="GG/232/09-10"/>
    <x v="288"/>
    <x v="9"/>
    <n v="4"/>
    <n v="10"/>
    <n v="40"/>
  </r>
  <r>
    <n v="10447"/>
    <s v="26.12.09"/>
    <s v="GG/232/09-10"/>
    <x v="289"/>
    <x v="9"/>
    <n v="3"/>
    <n v="10"/>
    <n v="30"/>
  </r>
  <r>
    <n v="10449"/>
    <s v="26.12.09"/>
    <s v="GG/232/09-10"/>
    <x v="259"/>
    <x v="9"/>
    <n v="1"/>
    <n v="10"/>
    <n v="10"/>
  </r>
  <r>
    <n v="10491"/>
    <s v="29.12.09"/>
    <s v="GG/233/09-10"/>
    <x v="251"/>
    <x v="9"/>
    <n v="6"/>
    <n v="5"/>
    <n v="30"/>
  </r>
  <r>
    <n v="10537"/>
    <s v="29.12.09"/>
    <s v="GG/234/09-10"/>
    <x v="290"/>
    <x v="9"/>
    <n v="10"/>
    <n v="1"/>
    <n v="10"/>
  </r>
  <r>
    <n v="10538"/>
    <s v="29.12.09"/>
    <s v="GG/234/09-10"/>
    <x v="290"/>
    <x v="9"/>
    <n v="1"/>
    <n v="1"/>
    <n v="1"/>
  </r>
  <r>
    <n v="10583"/>
    <s v="31.12.09"/>
    <s v="GG/235/09-10"/>
    <x v="291"/>
    <x v="146"/>
    <n v="7"/>
    <n v="40"/>
    <n v="280"/>
  </r>
  <r>
    <n v="10584"/>
    <s v="31.12.09"/>
    <s v="GG/235/09-10"/>
    <x v="291"/>
    <x v="147"/>
    <n v="2"/>
    <n v="40"/>
    <n v="80"/>
  </r>
  <r>
    <n v="10585"/>
    <s v="31.12.09"/>
    <s v="GG/235/09-10"/>
    <x v="291"/>
    <x v="147"/>
    <n v="1"/>
    <n v="25"/>
    <n v="25"/>
  </r>
  <r>
    <n v="10641"/>
    <s v="12.01.10"/>
    <s v="GG/236/09-10"/>
    <x v="30"/>
    <x v="9"/>
    <n v="1"/>
    <n v="5"/>
    <n v="5"/>
  </r>
  <r>
    <n v="10642"/>
    <s v="12.01.10"/>
    <s v="GG/236/09-10"/>
    <x v="95"/>
    <x v="9"/>
    <n v="1"/>
    <n v="5"/>
    <n v="5"/>
  </r>
  <r>
    <n v="10643"/>
    <s v="12.01.10"/>
    <s v="GG/236/09-10"/>
    <x v="87"/>
    <x v="9"/>
    <n v="1"/>
    <n v="5"/>
    <n v="5"/>
  </r>
  <r>
    <n v="10644"/>
    <s v="12.01.10"/>
    <s v="GG/236/09-10"/>
    <x v="5"/>
    <x v="9"/>
    <n v="1"/>
    <n v="5"/>
    <n v="5"/>
  </r>
  <r>
    <n v="10645"/>
    <s v="12.01.10"/>
    <s v="GG/236/09-10"/>
    <x v="130"/>
    <x v="9"/>
    <n v="1"/>
    <n v="5"/>
    <n v="5"/>
  </r>
  <r>
    <n v="10646"/>
    <s v="12.01.10"/>
    <s v="GG/236/09-10"/>
    <x v="155"/>
    <x v="9"/>
    <n v="1"/>
    <n v="5"/>
    <n v="5"/>
  </r>
  <r>
    <n v="10647"/>
    <s v="12.01.10"/>
    <s v="GG/236/09-10"/>
    <x v="292"/>
    <x v="9"/>
    <n v="1"/>
    <n v="5"/>
    <n v="5"/>
  </r>
  <r>
    <n v="10648"/>
    <s v="12.01.10"/>
    <s v="GG/236/09-10"/>
    <x v="99"/>
    <x v="9"/>
    <n v="1"/>
    <n v="5"/>
    <n v="5"/>
  </r>
  <r>
    <n v="10649"/>
    <s v="12.01.10"/>
    <s v="GG/236/09-10"/>
    <x v="281"/>
    <x v="9"/>
    <n v="1"/>
    <n v="5"/>
    <n v="5"/>
  </r>
  <r>
    <n v="10650"/>
    <s v="12.01.10"/>
    <s v="GG/236/09-10"/>
    <x v="293"/>
    <x v="9"/>
    <n v="1"/>
    <n v="5"/>
    <n v="5"/>
  </r>
  <r>
    <n v="10651"/>
    <s v="12.01.10"/>
    <s v="GG/236/09-10"/>
    <x v="112"/>
    <x v="9"/>
    <n v="1"/>
    <n v="5"/>
    <n v="5"/>
  </r>
  <r>
    <n v="10652"/>
    <s v="12.01.10"/>
    <s v="GG/236/09-10"/>
    <x v="207"/>
    <x v="9"/>
    <n v="1"/>
    <n v="5"/>
    <n v="5"/>
  </r>
  <r>
    <n v="10653"/>
    <s v="12.01.10"/>
    <s v="GG/236/09-10"/>
    <x v="8"/>
    <x v="9"/>
    <n v="1"/>
    <n v="5"/>
    <n v="5"/>
  </r>
  <r>
    <n v="10654"/>
    <s v="12.01.10"/>
    <s v="GG/236/09-10"/>
    <x v="294"/>
    <x v="9"/>
    <n v="1"/>
    <n v="5"/>
    <n v="5"/>
  </r>
  <r>
    <n v="10655"/>
    <s v="12.01.10"/>
    <s v="GG/236/09-10"/>
    <x v="295"/>
    <x v="9"/>
    <n v="1"/>
    <n v="5"/>
    <n v="5"/>
  </r>
  <r>
    <n v="10656"/>
    <s v="12.01.10"/>
    <s v="GG/236/09-10"/>
    <x v="296"/>
    <x v="9"/>
    <n v="2"/>
    <n v="5"/>
    <n v="10"/>
  </r>
  <r>
    <n v="10658"/>
    <s v="12.01.10"/>
    <s v="GG/236/09-10"/>
    <x v="106"/>
    <x v="9"/>
    <n v="1"/>
    <n v="6"/>
    <n v="6"/>
  </r>
  <r>
    <n v="10659"/>
    <s v="12.01.10"/>
    <s v="GG/236/09-10"/>
    <x v="87"/>
    <x v="9"/>
    <n v="1"/>
    <n v="6"/>
    <n v="6"/>
  </r>
  <r>
    <n v="10660"/>
    <s v="12.01.10"/>
    <s v="GG/236/09-10"/>
    <x v="297"/>
    <x v="9"/>
    <n v="1"/>
    <n v="6"/>
    <n v="6"/>
  </r>
  <r>
    <n v="10683"/>
    <s v="12.01.10"/>
    <s v="GG/236/09-10"/>
    <x v="108"/>
    <x v="9"/>
    <n v="1"/>
    <n v="6"/>
    <n v="6"/>
  </r>
  <r>
    <n v="10684"/>
    <s v="12.01.10"/>
    <s v="GG/236/09-10"/>
    <x v="130"/>
    <x v="9"/>
    <n v="1"/>
    <n v="6"/>
    <n v="6"/>
  </r>
  <r>
    <n v="10685"/>
    <s v="12.01.10"/>
    <s v="GG/236/09-10"/>
    <x v="155"/>
    <x v="9"/>
    <n v="1"/>
    <n v="6"/>
    <n v="6"/>
  </r>
  <r>
    <n v="10686"/>
    <s v="12.01.10"/>
    <s v="GG/236/09-10"/>
    <x v="109"/>
    <x v="9"/>
    <n v="1"/>
    <n v="6"/>
    <n v="6"/>
  </r>
  <r>
    <n v="10687"/>
    <s v="12.01.10"/>
    <s v="GG/236/09-10"/>
    <x v="99"/>
    <x v="9"/>
    <n v="1"/>
    <n v="8"/>
    <n v="8"/>
  </r>
  <r>
    <n v="10688"/>
    <s v="12.01.10"/>
    <s v="GG/236/09-10"/>
    <x v="151"/>
    <x v="9"/>
    <n v="1"/>
    <n v="6"/>
    <n v="6"/>
  </r>
  <r>
    <n v="10689"/>
    <s v="12.01.10"/>
    <s v="GG/236/09-10"/>
    <x v="112"/>
    <x v="9"/>
    <n v="1"/>
    <n v="6"/>
    <n v="6"/>
  </r>
  <r>
    <n v="10690"/>
    <s v="12.01.10"/>
    <s v="GG/236/09-10"/>
    <x v="2"/>
    <x v="9"/>
    <n v="1"/>
    <n v="6"/>
    <n v="6"/>
  </r>
  <r>
    <n v="10691"/>
    <s v="12.01.10"/>
    <s v="GG/236/09-10"/>
    <x v="56"/>
    <x v="9"/>
    <n v="1"/>
    <n v="6"/>
    <n v="6"/>
  </r>
  <r>
    <n v="10692"/>
    <s v="12.01.10"/>
    <s v="GG/236/09-10"/>
    <x v="8"/>
    <x v="9"/>
    <n v="2"/>
    <n v="4"/>
    <n v="8"/>
  </r>
  <r>
    <n v="10693"/>
    <s v="12.01.10"/>
    <s v="GG/236/09-10"/>
    <x v="114"/>
    <x v="9"/>
    <n v="1"/>
    <n v="6"/>
    <n v="6"/>
  </r>
  <r>
    <n v="10694"/>
    <s v="12.01.10"/>
    <s v="GG/236/09-10"/>
    <x v="208"/>
    <x v="9"/>
    <n v="1"/>
    <n v="6"/>
    <n v="6"/>
  </r>
  <r>
    <n v="10695"/>
    <s v="12.01.10"/>
    <s v="GG/236/09-10"/>
    <x v="298"/>
    <x v="9"/>
    <n v="1"/>
    <n v="6"/>
    <n v="6"/>
  </r>
  <r>
    <n v="10697"/>
    <s v="12.01.10"/>
    <s v="GG/236/09-10"/>
    <x v="299"/>
    <x v="9"/>
    <n v="1"/>
    <n v="10"/>
    <n v="10"/>
  </r>
  <r>
    <n v="10698"/>
    <s v="12.01.10"/>
    <s v="GG/236/09-10"/>
    <x v="300"/>
    <x v="9"/>
    <n v="1"/>
    <n v="10"/>
    <n v="10"/>
  </r>
  <r>
    <n v="10699"/>
    <s v="12.01.10"/>
    <s v="GG/236/09-10"/>
    <x v="301"/>
    <x v="9"/>
    <n v="1"/>
    <n v="10"/>
    <n v="10"/>
  </r>
  <r>
    <n v="10700"/>
    <s v="12.01.10"/>
    <s v="GG/236/09-10"/>
    <x v="302"/>
    <x v="9"/>
    <n v="1"/>
    <n v="10"/>
    <n v="10"/>
  </r>
  <r>
    <n v="10701"/>
    <s v="12.01.10"/>
    <s v="GG/236/09-10"/>
    <x v="303"/>
    <x v="9"/>
    <n v="1"/>
    <n v="10"/>
    <n v="10"/>
  </r>
  <r>
    <n v="10703"/>
    <s v="12.01.10"/>
    <s v="GG/236/09-10"/>
    <x v="304"/>
    <x v="9"/>
    <n v="1"/>
    <n v="10"/>
    <n v="10"/>
  </r>
  <r>
    <n v="10730"/>
    <s v="12.01.10"/>
    <s v="GG/236/09-10"/>
    <x v="305"/>
    <x v="9"/>
    <n v="2"/>
    <n v="10"/>
    <n v="20"/>
  </r>
  <r>
    <n v="10731"/>
    <s v="12.01.10"/>
    <s v="GG/236/09-10"/>
    <x v="306"/>
    <x v="9"/>
    <n v="1"/>
    <n v="10"/>
    <n v="10"/>
  </r>
  <r>
    <n v="10732"/>
    <s v="12.01.10"/>
    <s v="GG/236/09-10"/>
    <x v="307"/>
    <x v="9"/>
    <n v="2"/>
    <n v="10"/>
    <n v="20"/>
  </r>
  <r>
    <n v="10733"/>
    <s v="12.01.10"/>
    <s v="GG/236/09-10"/>
    <x v="308"/>
    <x v="9"/>
    <n v="2"/>
    <n v="5"/>
    <n v="10"/>
  </r>
  <r>
    <n v="10734"/>
    <s v="12.01.10"/>
    <s v="GG/236/09-10"/>
    <x v="309"/>
    <x v="9"/>
    <n v="1"/>
    <n v="5"/>
    <n v="5"/>
  </r>
  <r>
    <n v="10735"/>
    <s v="12.01.10"/>
    <s v="GG/236/09-10"/>
    <x v="310"/>
    <x v="9"/>
    <n v="1"/>
    <n v="5"/>
    <n v="5"/>
  </r>
  <r>
    <n v="10737"/>
    <s v="12.01.10"/>
    <s v="GG/236/09-10"/>
    <x v="297"/>
    <x v="9"/>
    <n v="1"/>
    <n v="25"/>
    <n v="25"/>
  </r>
  <r>
    <n v="10738"/>
    <s v="12.01.10"/>
    <s v="GG/236/09-10"/>
    <x v="163"/>
    <x v="9"/>
    <n v="1"/>
    <n v="25"/>
    <n v="25"/>
  </r>
  <r>
    <n v="10739"/>
    <s v="12.01.10"/>
    <s v="GG/236/09-10"/>
    <x v="261"/>
    <x v="9"/>
    <n v="1"/>
    <n v="24"/>
    <n v="24"/>
  </r>
  <r>
    <n v="10741"/>
    <s v="12.01.10"/>
    <s v="GG/236/09-10"/>
    <x v="311"/>
    <x v="9"/>
    <n v="1"/>
    <n v="100"/>
    <n v="100"/>
  </r>
  <r>
    <n v="10774"/>
    <s v="13.01.10"/>
    <s v="GG/0237/09-10"/>
    <x v="290"/>
    <x v="9"/>
    <n v="10"/>
    <n v="1"/>
    <n v="10"/>
  </r>
  <r>
    <n v="10775"/>
    <s v="13.01.10"/>
    <s v="GG/0237/09-10"/>
    <x v="290"/>
    <x v="9"/>
    <n v="1"/>
    <n v="1"/>
    <n v="1"/>
  </r>
  <r>
    <n v="10777"/>
    <s v="13.01.10"/>
    <s v="GG/0237/09-10"/>
    <x v="121"/>
    <x v="81"/>
    <n v="4"/>
    <n v="5"/>
    <n v="20"/>
  </r>
  <r>
    <n v="10778"/>
    <s v="13.01.10"/>
    <s v="GG/0237/09-10"/>
    <x v="121"/>
    <x v="148"/>
    <n v="1"/>
    <n v="5"/>
    <n v="5"/>
  </r>
  <r>
    <n v="10780"/>
    <s v="13.01.10"/>
    <s v="GG/0237/09-10"/>
    <x v="25"/>
    <x v="25"/>
    <n v="4"/>
    <n v="5"/>
    <n v="20"/>
  </r>
  <r>
    <n v="10781"/>
    <s v="13.01.10"/>
    <s v="GG/0237/09-10"/>
    <x v="25"/>
    <x v="148"/>
    <n v="1"/>
    <n v="5"/>
    <n v="5"/>
  </r>
  <r>
    <n v="10784"/>
    <s v="13.01.10"/>
    <s v="GG/0237/09-10"/>
    <x v="87"/>
    <x v="67"/>
    <n v="1"/>
    <n v="6"/>
    <n v="6"/>
  </r>
  <r>
    <n v="10785"/>
    <s v="13.01.10"/>
    <s v="GG/0237/09-10"/>
    <x v="108"/>
    <x v="22"/>
    <n v="3"/>
    <n v="6"/>
    <n v="18"/>
  </r>
  <r>
    <n v="10786"/>
    <s v="13.01.10"/>
    <s v="GG/0237/09-10"/>
    <x v="108"/>
    <x v="149"/>
    <n v="1"/>
    <n v="6"/>
    <n v="6"/>
  </r>
  <r>
    <n v="10821"/>
    <s v="13.01.10"/>
    <s v="GG/238/09-10"/>
    <x v="259"/>
    <x v="9"/>
    <n v="1"/>
    <n v="10"/>
    <n v="10"/>
  </r>
  <r>
    <n v="10822"/>
    <s v="13.01.10"/>
    <s v="GG/238/09-10"/>
    <x v="259"/>
    <x v="9"/>
    <n v="1"/>
    <n v="9"/>
    <n v="9"/>
  </r>
  <r>
    <n v="10864"/>
    <s v="13.01.10"/>
    <s v="GG/239/09-10"/>
    <x v="259"/>
    <x v="9"/>
    <n v="5"/>
    <n v="10"/>
    <n v="50"/>
  </r>
  <r>
    <n v="10865"/>
    <s v="13.01.10"/>
    <s v="GG/239/09-10"/>
    <x v="259"/>
    <x v="9"/>
    <n v="1"/>
    <n v="7"/>
    <n v="7"/>
  </r>
  <r>
    <n v="10910"/>
    <s v="15.01.10"/>
    <s v="GG/240/09-10"/>
    <x v="290"/>
    <x v="9"/>
    <n v="50"/>
    <n v="1"/>
    <n v="50"/>
  </r>
  <r>
    <n v="10911"/>
    <s v="15.01.10"/>
    <s v="GG/240/09-10"/>
    <x v="290"/>
    <x v="9"/>
    <n v="5"/>
    <n v="1"/>
    <n v="5"/>
  </r>
  <r>
    <n v="10912"/>
    <s v="15.01.10"/>
    <s v="GG/240/09-10"/>
    <x v="290"/>
    <x v="9"/>
    <n v="6"/>
    <n v="1"/>
    <n v="6"/>
  </r>
  <r>
    <n v="10915"/>
    <s v="15.01.10"/>
    <s v="GG/240/09-10"/>
    <x v="24"/>
    <x v="24"/>
    <n v="3"/>
    <n v="5"/>
    <n v="15"/>
  </r>
  <r>
    <n v="10916"/>
    <s v="15.01.10"/>
    <s v="GG/240/09-10"/>
    <x v="24"/>
    <x v="24"/>
    <n v="1"/>
    <n v="5"/>
    <n v="5"/>
  </r>
  <r>
    <n v="10954"/>
    <s v="15.01.10"/>
    <s v="GG/241/09-10"/>
    <x v="259"/>
    <x v="9"/>
    <n v="3"/>
    <n v="10"/>
    <n v="30"/>
  </r>
  <r>
    <n v="10955"/>
    <s v="15.01.10"/>
    <s v="GG/241/09-10"/>
    <x v="259"/>
    <x v="9"/>
    <n v="1"/>
    <n v="10"/>
    <n v="10"/>
  </r>
  <r>
    <n v="10990"/>
    <s v="16.01.10"/>
    <s v="GG/242/09-10"/>
    <x v="312"/>
    <x v="150"/>
    <n v="8"/>
    <n v="25"/>
    <n v="200"/>
  </r>
  <r>
    <n v="11038"/>
    <s v="19.01.10"/>
    <s v="GG/243/09-10"/>
    <x v="313"/>
    <x v="9"/>
    <n v="40"/>
    <n v="10"/>
    <n v="400"/>
  </r>
  <r>
    <n v="11079"/>
    <s v="21.01.10"/>
    <s v="GG/244/09-10"/>
    <x v="164"/>
    <x v="131"/>
    <n v="1"/>
    <n v="5"/>
    <n v="5"/>
  </r>
  <r>
    <n v="11080"/>
    <s v="21.01.10"/>
    <s v="GG/244/09-10"/>
    <x v="16"/>
    <x v="15"/>
    <n v="2"/>
    <n v="5"/>
    <n v="10"/>
  </r>
  <r>
    <n v="11081"/>
    <s v="21.01.10"/>
    <s v="GG/244/09-10"/>
    <x v="6"/>
    <x v="100"/>
    <n v="1"/>
    <n v="5"/>
    <n v="5"/>
  </r>
  <r>
    <n v="11083"/>
    <s v="21.01.10"/>
    <s v="GG/244/09-10"/>
    <x v="27"/>
    <x v="27"/>
    <n v="3"/>
    <n v="25"/>
    <n v="75"/>
  </r>
  <r>
    <n v="11084"/>
    <s v="21.01.10"/>
    <s v="GG/244/09-10"/>
    <x v="27"/>
    <x v="27"/>
    <n v="1"/>
    <n v="24"/>
    <n v="24"/>
  </r>
  <r>
    <n v="11085"/>
    <s v="21.01.10"/>
    <s v="GG/244/09-10"/>
    <x v="26"/>
    <x v="26"/>
    <n v="21"/>
    <n v="25"/>
    <n v="525"/>
  </r>
  <r>
    <n v="11086"/>
    <s v="21.01.10"/>
    <s v="GG/244/09-10"/>
    <x v="26"/>
    <x v="26"/>
    <n v="1"/>
    <n v="24"/>
    <n v="24"/>
  </r>
  <r>
    <n v="11088"/>
    <s v="21.01.10"/>
    <s v="GG/244/09-10"/>
    <x v="101"/>
    <x v="9"/>
    <n v="2"/>
    <n v="100"/>
    <n v="200"/>
  </r>
  <r>
    <n v="11148"/>
    <s v="24.01.10"/>
    <s v="GG/245/09-10"/>
    <x v="314"/>
    <x v="9"/>
    <n v="9"/>
    <n v="1"/>
    <n v="9"/>
  </r>
  <r>
    <n v="11149"/>
    <s v="24.01.10"/>
    <s v="GG/245/09-10"/>
    <x v="315"/>
    <x v="9"/>
    <n v="30"/>
    <n v="1"/>
    <n v="30"/>
  </r>
  <r>
    <n v="11150"/>
    <s v="24.01.10"/>
    <s v="GG/245/09-10"/>
    <x v="316"/>
    <x v="9"/>
    <n v="30"/>
    <n v="1"/>
    <n v="30"/>
  </r>
  <r>
    <n v="11151"/>
    <s v="24.01.10"/>
    <s v="GG/245/09-10"/>
    <x v="317"/>
    <x v="9"/>
    <n v="10"/>
    <n v="1"/>
    <n v="10"/>
  </r>
  <r>
    <n v="11152"/>
    <s v="24.01.10"/>
    <s v="GG/245/09-10"/>
    <x v="318"/>
    <x v="9"/>
    <n v="12"/>
    <n v="1"/>
    <n v="12"/>
  </r>
  <r>
    <n v="11153"/>
    <s v="24.01.10"/>
    <s v="GG/245/09-10"/>
    <x v="319"/>
    <x v="9"/>
    <n v="8"/>
    <n v="1"/>
    <n v="8"/>
  </r>
  <r>
    <n v="11154"/>
    <s v="24.01.10"/>
    <s v="GG/245/09-10"/>
    <x v="320"/>
    <x v="9"/>
    <n v="10"/>
    <n v="1"/>
    <n v="10"/>
  </r>
  <r>
    <n v="11155"/>
    <s v="24.01.10"/>
    <s v="GG/245/09-10"/>
    <x v="321"/>
    <x v="9"/>
    <n v="10"/>
    <n v="1"/>
    <n v="10"/>
  </r>
  <r>
    <n v="11156"/>
    <s v="24.01.10"/>
    <s v="GG/245/09-10"/>
    <x v="322"/>
    <x v="9"/>
    <n v="5"/>
    <n v="1"/>
    <n v="5"/>
  </r>
  <r>
    <n v="11158"/>
    <s v="24.01.10"/>
    <s v="GG/245/09-10"/>
    <x v="323"/>
    <x v="9"/>
    <n v="50"/>
    <n v="1"/>
    <n v="50"/>
  </r>
  <r>
    <n v="11159"/>
    <s v="24.01.10"/>
    <s v="GG/245/09-10"/>
    <x v="324"/>
    <x v="9"/>
    <n v="15"/>
    <n v="1"/>
    <n v="15"/>
  </r>
  <r>
    <n v="11160"/>
    <s v="24.01.10"/>
    <s v="GG/245/09-10"/>
    <x v="325"/>
    <x v="9"/>
    <n v="1"/>
    <n v="1"/>
    <n v="1"/>
  </r>
  <r>
    <n v="11161"/>
    <s v="24.01.10"/>
    <s v="GG/245/09-10"/>
    <x v="326"/>
    <x v="9"/>
    <n v="1"/>
    <n v="1"/>
    <n v="1"/>
  </r>
  <r>
    <n v="11163"/>
    <s v="24.01.10"/>
    <s v="GG/245/09-10"/>
    <x v="327"/>
    <x v="9"/>
    <n v="5"/>
    <n v="1"/>
    <n v="5"/>
  </r>
  <r>
    <n v="11164"/>
    <s v="24.01.10"/>
    <s v="GG/245/09-10"/>
    <x v="328"/>
    <x v="9"/>
    <n v="5"/>
    <n v="1"/>
    <n v="5"/>
  </r>
  <r>
    <n v="11165"/>
    <s v="24.01.10"/>
    <s v="GG/245/09-10"/>
    <x v="329"/>
    <x v="9"/>
    <n v="3"/>
    <n v="1"/>
    <n v="3"/>
  </r>
  <r>
    <n v="11166"/>
    <s v="24.01.10"/>
    <s v="GG/245/09-10"/>
    <x v="330"/>
    <x v="9"/>
    <n v="2"/>
    <n v="1"/>
    <n v="2"/>
  </r>
  <r>
    <n v="11167"/>
    <s v="24.01.10"/>
    <s v="GG/245/09-10"/>
    <x v="331"/>
    <x v="9"/>
    <n v="4"/>
    <n v="1"/>
    <n v="4"/>
  </r>
  <r>
    <n v="11168"/>
    <s v="24.01.10"/>
    <s v="GG/245/09-10"/>
    <x v="332"/>
    <x v="9"/>
    <n v="3"/>
    <n v="1"/>
    <n v="3"/>
  </r>
  <r>
    <n v="11169"/>
    <s v="24.01.10"/>
    <s v="GG/245/09-10"/>
    <x v="333"/>
    <x v="9"/>
    <n v="3"/>
    <n v="1"/>
    <n v="3"/>
  </r>
  <r>
    <n v="11170"/>
    <s v="24.01.10"/>
    <s v="GG/245/09-10"/>
    <x v="334"/>
    <x v="9"/>
    <n v="0"/>
    <n v="1"/>
    <n v="0"/>
  </r>
  <r>
    <n v="11171"/>
    <s v="24.01.10"/>
    <s v="GG/245/09-10"/>
    <x v="335"/>
    <x v="9"/>
    <n v="8"/>
    <n v="1"/>
    <n v="8"/>
  </r>
  <r>
    <n v="11172"/>
    <s v="24.01.10"/>
    <s v="GG/245/09-10"/>
    <x v="336"/>
    <x v="9"/>
    <n v="50"/>
    <n v="1"/>
    <n v="50"/>
  </r>
  <r>
    <n v="11173"/>
    <s v="24.01.10"/>
    <s v="GG/245/09-10"/>
    <x v="337"/>
    <x v="9"/>
    <n v="30"/>
    <n v="1"/>
    <n v="30"/>
  </r>
  <r>
    <n v="11174"/>
    <s v="24.01.10"/>
    <s v="GG/245/09-10"/>
    <x v="6"/>
    <x v="9"/>
    <n v="15"/>
    <n v="1"/>
    <n v="15"/>
  </r>
  <r>
    <n v="11175"/>
    <s v="24.01.10"/>
    <s v="GG/245/09-10"/>
    <x v="338"/>
    <x v="9"/>
    <n v="5"/>
    <n v="1"/>
    <n v="5"/>
  </r>
  <r>
    <n v="11199"/>
    <s v="24.01.10"/>
    <s v="GG/245/09-10"/>
    <x v="339"/>
    <x v="9"/>
    <n v="7"/>
    <n v="1"/>
    <n v="7"/>
  </r>
  <r>
    <n v="11200"/>
    <s v="24.01.10"/>
    <s v="GG/245/09-10"/>
    <x v="340"/>
    <x v="9"/>
    <n v="11"/>
    <n v="1"/>
    <n v="11"/>
  </r>
  <r>
    <n v="11201"/>
    <s v="24.01.10"/>
    <s v="GG/245/09-10"/>
    <x v="341"/>
    <x v="9"/>
    <n v="3"/>
    <n v="1"/>
    <n v="3"/>
  </r>
  <r>
    <n v="11202"/>
    <s v="24.01.10"/>
    <s v="GG/245/09-10"/>
    <x v="342"/>
    <x v="9"/>
    <n v="3"/>
    <n v="1"/>
    <n v="3"/>
  </r>
  <r>
    <n v="11203"/>
    <s v="24.01.10"/>
    <s v="GG/245/09-10"/>
    <x v="343"/>
    <x v="9"/>
    <n v="6"/>
    <n v="1"/>
    <n v="6"/>
  </r>
  <r>
    <n v="11247"/>
    <s v="24.01.10"/>
    <s v="GG/246/09-10"/>
    <x v="314"/>
    <x v="9"/>
    <n v="2"/>
    <n v="1"/>
    <n v="2"/>
  </r>
  <r>
    <n v="11248"/>
    <s v="24.01.10"/>
    <s v="GG/246/09-10"/>
    <x v="315"/>
    <x v="9"/>
    <n v="15"/>
    <n v="1"/>
    <n v="15"/>
  </r>
  <r>
    <n v="11249"/>
    <s v="24.01.10"/>
    <s v="GG/246/09-10"/>
    <x v="316"/>
    <x v="9"/>
    <n v="15"/>
    <n v="1"/>
    <n v="15"/>
  </r>
  <r>
    <n v="11250"/>
    <s v="24.01.10"/>
    <s v="GG/246/09-10"/>
    <x v="317"/>
    <x v="9"/>
    <n v="0"/>
    <n v="1"/>
    <n v="0"/>
  </r>
  <r>
    <n v="11251"/>
    <s v="24.01.10"/>
    <s v="GG/246/09-10"/>
    <x v="318"/>
    <x v="9"/>
    <n v="5"/>
    <n v="1"/>
    <n v="5"/>
  </r>
  <r>
    <n v="11252"/>
    <s v="24.01.10"/>
    <s v="GG/246/09-10"/>
    <x v="319"/>
    <x v="9"/>
    <n v="4"/>
    <n v="1"/>
    <n v="4"/>
  </r>
  <r>
    <n v="11253"/>
    <s v="24.01.10"/>
    <s v="GG/246/09-10"/>
    <x v="320"/>
    <x v="9"/>
    <n v="5"/>
    <n v="1"/>
    <n v="5"/>
  </r>
  <r>
    <n v="11254"/>
    <s v="24.01.10"/>
    <s v="GG/246/09-10"/>
    <x v="321"/>
    <x v="9"/>
    <n v="10"/>
    <n v="1"/>
    <n v="10"/>
  </r>
  <r>
    <n v="11255"/>
    <s v="24.01.10"/>
    <s v="GG/246/09-10"/>
    <x v="322"/>
    <x v="9"/>
    <n v="5"/>
    <n v="1"/>
    <n v="5"/>
  </r>
  <r>
    <n v="11257"/>
    <s v="24.01.10"/>
    <s v="GG/246/09-10"/>
    <x v="323"/>
    <x v="9"/>
    <n v="40"/>
    <n v="1"/>
    <n v="40"/>
  </r>
  <r>
    <n v="11258"/>
    <s v="24.01.10"/>
    <s v="GG/246/09-10"/>
    <x v="324"/>
    <x v="9"/>
    <n v="5"/>
    <n v="1"/>
    <n v="5"/>
  </r>
  <r>
    <n v="11259"/>
    <s v="24.01.10"/>
    <s v="GG/246/09-10"/>
    <x v="325"/>
    <x v="9"/>
    <n v="1"/>
    <n v="1"/>
    <n v="1"/>
  </r>
  <r>
    <n v="11260"/>
    <s v="24.01.10"/>
    <s v="GG/246/09-10"/>
    <x v="326"/>
    <x v="9"/>
    <n v="1"/>
    <n v="1"/>
    <n v="1"/>
  </r>
  <r>
    <n v="11262"/>
    <s v="24.01.10"/>
    <s v="GG/246/09-10"/>
    <x v="327"/>
    <x v="9"/>
    <n v="2"/>
    <n v="1"/>
    <n v="2"/>
  </r>
  <r>
    <n v="11263"/>
    <s v="24.01.10"/>
    <s v="GG/246/09-10"/>
    <x v="328"/>
    <x v="9"/>
    <n v="2"/>
    <n v="1"/>
    <n v="2"/>
  </r>
  <r>
    <n v="11264"/>
    <s v="24.01.10"/>
    <s v="GG/246/09-10"/>
    <x v="329"/>
    <x v="9"/>
    <n v="2"/>
    <n v="1"/>
    <n v="2"/>
  </r>
  <r>
    <n v="11265"/>
    <s v="24.01.10"/>
    <s v="GG/246/09-10"/>
    <x v="330"/>
    <x v="9"/>
    <n v="1"/>
    <n v="1"/>
    <n v="1"/>
  </r>
  <r>
    <n v="11266"/>
    <s v="24.01.10"/>
    <s v="GG/246/09-10"/>
    <x v="331"/>
    <x v="9"/>
    <n v="2"/>
    <n v="1"/>
    <n v="2"/>
  </r>
  <r>
    <n v="11267"/>
    <s v="24.01.10"/>
    <s v="GG/246/09-10"/>
    <x v="332"/>
    <x v="9"/>
    <n v="2"/>
    <n v="1"/>
    <n v="2"/>
  </r>
  <r>
    <n v="11268"/>
    <s v="24.01.10"/>
    <s v="GG/246/09-10"/>
    <x v="333"/>
    <x v="9"/>
    <n v="3"/>
    <n v="1"/>
    <n v="3"/>
  </r>
  <r>
    <n v="11269"/>
    <s v="24.01.10"/>
    <s v="GG/246/09-10"/>
    <x v="334"/>
    <x v="9"/>
    <n v="1"/>
    <n v="1"/>
    <n v="1"/>
  </r>
  <r>
    <n v="11270"/>
    <s v="24.01.10"/>
    <s v="GG/246/09-10"/>
    <x v="335"/>
    <x v="9"/>
    <n v="5"/>
    <n v="1"/>
    <n v="5"/>
  </r>
  <r>
    <n v="11292"/>
    <s v="24.01.10"/>
    <s v="GG/246/09-10"/>
    <x v="336"/>
    <x v="9"/>
    <n v="50"/>
    <n v="1"/>
    <n v="50"/>
  </r>
  <r>
    <n v="11293"/>
    <s v="24.01.10"/>
    <s v="GG/246/09-10"/>
    <x v="337"/>
    <x v="9"/>
    <n v="30"/>
    <n v="1"/>
    <n v="30"/>
  </r>
  <r>
    <n v="11294"/>
    <s v="24.01.10"/>
    <s v="GG/246/09-10"/>
    <x v="6"/>
    <x v="9"/>
    <n v="8"/>
    <n v="1"/>
    <n v="8"/>
  </r>
  <r>
    <n v="11295"/>
    <s v="24.01.10"/>
    <s v="GG/246/09-10"/>
    <x v="338"/>
    <x v="9"/>
    <n v="5"/>
    <n v="1"/>
    <n v="5"/>
  </r>
  <r>
    <n v="11296"/>
    <s v="24.01.10"/>
    <s v="GG/246/09-10"/>
    <x v="339"/>
    <x v="9"/>
    <n v="5"/>
    <n v="1"/>
    <n v="5"/>
  </r>
  <r>
    <n v="11297"/>
    <s v="24.01.10"/>
    <s v="GG/246/09-10"/>
    <x v="340"/>
    <x v="9"/>
    <n v="5"/>
    <n v="1"/>
    <n v="5"/>
  </r>
  <r>
    <n v="11298"/>
    <s v="24.01.10"/>
    <s v="GG/246/09-10"/>
    <x v="341"/>
    <x v="9"/>
    <n v="2"/>
    <n v="1"/>
    <n v="2"/>
  </r>
  <r>
    <n v="11299"/>
    <s v="24.01.10"/>
    <s v="GG/246/09-10"/>
    <x v="342"/>
    <x v="9"/>
    <n v="2"/>
    <n v="1"/>
    <n v="2"/>
  </r>
  <r>
    <n v="11300"/>
    <s v="24.01.10"/>
    <s v="GG/246/09-10"/>
    <x v="343"/>
    <x v="9"/>
    <n v="4"/>
    <n v="1"/>
    <n v="4"/>
  </r>
  <r>
    <n v="11337"/>
    <s v="24.01.10"/>
    <s v="GG/247/09-10"/>
    <x v="314"/>
    <x v="9"/>
    <n v="9"/>
    <n v="1"/>
    <n v="9"/>
  </r>
  <r>
    <n v="11338"/>
    <s v="24.01.10"/>
    <s v="GG/247/09-10"/>
    <x v="315"/>
    <x v="9"/>
    <n v="35"/>
    <n v="1"/>
    <n v="35"/>
  </r>
  <r>
    <n v="11339"/>
    <s v="24.01.10"/>
    <s v="GG/247/09-10"/>
    <x v="316"/>
    <x v="9"/>
    <n v="35"/>
    <n v="1"/>
    <n v="35"/>
  </r>
  <r>
    <n v="11340"/>
    <s v="24.01.10"/>
    <s v="GG/247/09-10"/>
    <x v="317"/>
    <x v="9"/>
    <n v="10"/>
    <n v="1"/>
    <n v="10"/>
  </r>
  <r>
    <n v="11341"/>
    <s v="24.01.10"/>
    <s v="GG/247/09-10"/>
    <x v="318"/>
    <x v="9"/>
    <n v="13"/>
    <n v="1"/>
    <n v="13"/>
  </r>
  <r>
    <n v="11342"/>
    <s v="24.01.10"/>
    <s v="GG/247/09-10"/>
    <x v="319"/>
    <x v="9"/>
    <n v="8"/>
    <n v="1"/>
    <n v="8"/>
  </r>
  <r>
    <n v="11343"/>
    <s v="24.01.10"/>
    <s v="GG/247/09-10"/>
    <x v="320"/>
    <x v="9"/>
    <n v="10"/>
    <n v="1"/>
    <n v="10"/>
  </r>
  <r>
    <n v="11344"/>
    <s v="24.01.10"/>
    <s v="GG/247/09-10"/>
    <x v="321"/>
    <x v="9"/>
    <n v="10"/>
    <n v="1"/>
    <n v="10"/>
  </r>
  <r>
    <n v="11345"/>
    <s v="24.01.10"/>
    <s v="GG/247/09-10"/>
    <x v="322"/>
    <x v="9"/>
    <n v="5"/>
    <n v="1"/>
    <n v="5"/>
  </r>
  <r>
    <n v="11347"/>
    <s v="24.01.10"/>
    <s v="GG/247/09-10"/>
    <x v="323"/>
    <x v="9"/>
    <n v="60"/>
    <n v="1"/>
    <n v="60"/>
  </r>
  <r>
    <n v="11348"/>
    <s v="24.01.10"/>
    <s v="GG/247/09-10"/>
    <x v="324"/>
    <x v="9"/>
    <n v="5"/>
    <n v="1"/>
    <n v="5"/>
  </r>
  <r>
    <n v="11349"/>
    <s v="24.01.10"/>
    <s v="GG/247/09-10"/>
    <x v="325"/>
    <x v="9"/>
    <n v="2"/>
    <n v="1"/>
    <n v="2"/>
  </r>
  <r>
    <n v="11350"/>
    <s v="24.01.10"/>
    <s v="GG/247/09-10"/>
    <x v="326"/>
    <x v="9"/>
    <n v="2"/>
    <n v="1"/>
    <n v="2"/>
  </r>
  <r>
    <n v="11352"/>
    <s v="24.01.10"/>
    <s v="GG/247/09-10"/>
    <x v="327"/>
    <x v="9"/>
    <n v="3"/>
    <n v="1"/>
    <n v="3"/>
  </r>
  <r>
    <n v="11353"/>
    <s v="24.01.10"/>
    <s v="GG/247/09-10"/>
    <x v="328"/>
    <x v="9"/>
    <n v="3"/>
    <n v="1"/>
    <n v="3"/>
  </r>
  <r>
    <n v="11354"/>
    <s v="24.01.10"/>
    <s v="GG/247/09-10"/>
    <x v="329"/>
    <x v="9"/>
    <n v="3"/>
    <n v="1"/>
    <n v="3"/>
  </r>
  <r>
    <n v="11355"/>
    <s v="24.01.10"/>
    <s v="GG/247/09-10"/>
    <x v="330"/>
    <x v="9"/>
    <n v="2"/>
    <n v="1"/>
    <n v="2"/>
  </r>
  <r>
    <n v="11356"/>
    <s v="24.01.10"/>
    <s v="GG/247/09-10"/>
    <x v="331"/>
    <x v="9"/>
    <n v="4"/>
    <n v="1"/>
    <n v="4"/>
  </r>
  <r>
    <n v="11357"/>
    <s v="24.01.10"/>
    <s v="GG/247/09-10"/>
    <x v="332"/>
    <x v="9"/>
    <n v="3"/>
    <n v="1"/>
    <n v="3"/>
  </r>
  <r>
    <n v="11358"/>
    <s v="24.01.10"/>
    <s v="GG/247/09-10"/>
    <x v="333"/>
    <x v="9"/>
    <n v="2"/>
    <n v="1"/>
    <n v="2"/>
  </r>
  <r>
    <n v="11359"/>
    <s v="24.01.10"/>
    <s v="GG/247/09-10"/>
    <x v="334"/>
    <x v="9"/>
    <n v="1"/>
    <n v="1"/>
    <n v="1"/>
  </r>
  <r>
    <n v="11360"/>
    <s v="24.01.10"/>
    <s v="GG/247/09-10"/>
    <x v="335"/>
    <x v="9"/>
    <n v="9"/>
    <n v="1"/>
    <n v="9"/>
  </r>
  <r>
    <n v="11361"/>
    <s v="24.01.10"/>
    <s v="GG/247/09-10"/>
    <x v="336"/>
    <x v="9"/>
    <n v="80"/>
    <n v="1"/>
    <n v="80"/>
  </r>
  <r>
    <n v="11362"/>
    <s v="24.01.10"/>
    <s v="GG/247/09-10"/>
    <x v="337"/>
    <x v="9"/>
    <n v="30"/>
    <n v="1"/>
    <n v="30"/>
  </r>
  <r>
    <n v="11363"/>
    <s v="24.01.10"/>
    <s v="GG/247/09-10"/>
    <x v="338"/>
    <x v="9"/>
    <n v="8"/>
    <n v="1"/>
    <n v="8"/>
  </r>
  <r>
    <n v="11386"/>
    <s v="24.01.10"/>
    <s v="GG/247/09-10"/>
    <x v="339"/>
    <x v="9"/>
    <n v="8"/>
    <n v="1"/>
    <n v="8"/>
  </r>
  <r>
    <n v="11387"/>
    <s v="24.01.10"/>
    <s v="GG/247/09-10"/>
    <x v="340"/>
    <x v="9"/>
    <n v="11"/>
    <n v="1"/>
    <n v="11"/>
  </r>
  <r>
    <n v="11388"/>
    <s v="24.01.10"/>
    <s v="GG/247/09-10"/>
    <x v="341"/>
    <x v="9"/>
    <n v="4"/>
    <n v="1"/>
    <n v="4"/>
  </r>
  <r>
    <n v="11389"/>
    <s v="24.01.10"/>
    <s v="GG/247/09-10"/>
    <x v="342"/>
    <x v="9"/>
    <n v="4"/>
    <n v="1"/>
    <n v="4"/>
  </r>
  <r>
    <n v="11390"/>
    <s v="24.01.10"/>
    <s v="GG/247/09-10"/>
    <x v="343"/>
    <x v="9"/>
    <n v="8"/>
    <n v="1"/>
    <n v="8"/>
  </r>
  <r>
    <n v="11432"/>
    <s v="24.01.10"/>
    <s v="GG/248/09-10"/>
    <x v="315"/>
    <x v="9"/>
    <n v="20"/>
    <n v="1"/>
    <n v="20"/>
  </r>
  <r>
    <n v="11433"/>
    <s v="24.01.10"/>
    <s v="GG/248/09-10"/>
    <x v="316"/>
    <x v="9"/>
    <n v="20"/>
    <n v="1"/>
    <n v="20"/>
  </r>
  <r>
    <n v="11434"/>
    <s v="24.01.10"/>
    <s v="GG/248/09-10"/>
    <x v="320"/>
    <x v="9"/>
    <n v="5"/>
    <n v="1"/>
    <n v="5"/>
  </r>
  <r>
    <n v="11435"/>
    <s v="24.01.10"/>
    <s v="GG/248/09-10"/>
    <x v="322"/>
    <x v="9"/>
    <n v="5"/>
    <n v="1"/>
    <n v="5"/>
  </r>
  <r>
    <n v="11437"/>
    <s v="24.01.10"/>
    <s v="GG/248/09-10"/>
    <x v="323"/>
    <x v="9"/>
    <n v="50"/>
    <n v="1"/>
    <n v="50"/>
  </r>
  <r>
    <n v="11438"/>
    <s v="24.01.10"/>
    <s v="GG/248/09-10"/>
    <x v="324"/>
    <x v="9"/>
    <n v="5"/>
    <n v="1"/>
    <n v="5"/>
  </r>
  <r>
    <n v="11439"/>
    <s v="24.01.10"/>
    <s v="GG/248/09-10"/>
    <x v="325"/>
    <x v="9"/>
    <n v="1"/>
    <n v="1"/>
    <n v="1"/>
  </r>
  <r>
    <n v="11440"/>
    <s v="24.01.10"/>
    <s v="GG/248/09-10"/>
    <x v="326"/>
    <x v="9"/>
    <n v="1"/>
    <n v="1"/>
    <n v="1"/>
  </r>
  <r>
    <n v="11442"/>
    <s v="24.01.10"/>
    <s v="GG/248/09-10"/>
    <x v="329"/>
    <x v="9"/>
    <n v="2"/>
    <n v="1"/>
    <n v="2"/>
  </r>
  <r>
    <n v="11443"/>
    <s v="24.01.10"/>
    <s v="GG/248/09-10"/>
    <x v="330"/>
    <x v="9"/>
    <n v="2"/>
    <n v="1"/>
    <n v="2"/>
  </r>
  <r>
    <n v="11444"/>
    <s v="24.01.10"/>
    <s v="GG/248/09-10"/>
    <x v="332"/>
    <x v="9"/>
    <n v="2"/>
    <n v="1"/>
    <n v="2"/>
  </r>
  <r>
    <n v="11445"/>
    <s v="24.01.10"/>
    <s v="GG/248/09-10"/>
    <x v="335"/>
    <x v="9"/>
    <n v="3"/>
    <n v="1"/>
    <n v="3"/>
  </r>
  <r>
    <n v="11446"/>
    <s v="24.01.10"/>
    <s v="GG/248/09-10"/>
    <x v="336"/>
    <x v="9"/>
    <n v="20"/>
    <n v="1"/>
    <n v="20"/>
  </r>
  <r>
    <n v="11447"/>
    <s v="24.01.10"/>
    <s v="GG/248/09-10"/>
    <x v="337"/>
    <x v="9"/>
    <n v="20"/>
    <n v="1"/>
    <n v="20"/>
  </r>
  <r>
    <n v="11448"/>
    <s v="24.01.10"/>
    <s v="GG/248/09-10"/>
    <x v="6"/>
    <x v="9"/>
    <n v="2"/>
    <n v="1"/>
    <n v="2"/>
  </r>
  <r>
    <n v="11449"/>
    <s v="24.01.10"/>
    <s v="GG/248/09-10"/>
    <x v="338"/>
    <x v="9"/>
    <n v="2"/>
    <n v="1"/>
    <n v="2"/>
  </r>
  <r>
    <n v="11450"/>
    <s v="24.01.10"/>
    <s v="GG/248/09-10"/>
    <x v="340"/>
    <x v="9"/>
    <n v="3"/>
    <n v="1"/>
    <n v="3"/>
  </r>
  <r>
    <n v="11451"/>
    <s v="24.01.10"/>
    <s v="GG/248/09-10"/>
    <x v="341"/>
    <x v="9"/>
    <n v="1"/>
    <n v="1"/>
    <n v="1"/>
  </r>
  <r>
    <n v="11452"/>
    <s v="24.01.10"/>
    <s v="GG/248/09-10"/>
    <x v="342"/>
    <x v="9"/>
    <n v="1"/>
    <n v="1"/>
    <n v="1"/>
  </r>
  <r>
    <n v="11453"/>
    <s v="24.01.10"/>
    <s v="GG/248/09-10"/>
    <x v="343"/>
    <x v="9"/>
    <n v="5"/>
    <n v="1"/>
    <n v="5"/>
  </r>
  <r>
    <n v="11479"/>
    <s v="24.01.10"/>
    <s v="GG/249/09-10"/>
    <x v="344"/>
    <x v="9"/>
    <n v="1"/>
    <n v="10"/>
    <n v="10"/>
  </r>
  <r>
    <n v="11481"/>
    <s v="24.01.10"/>
    <s v="GG/249/09-10"/>
    <x v="344"/>
    <x v="9"/>
    <n v="6"/>
    <n v="10"/>
    <n v="60"/>
  </r>
  <r>
    <n v="11482"/>
    <s v="24.01.10"/>
    <s v="GG/249/09-10"/>
    <x v="184"/>
    <x v="9"/>
    <n v="17"/>
    <n v="10"/>
    <n v="170"/>
  </r>
  <r>
    <n v="11483"/>
    <s v="24.01.10"/>
    <s v="GG/249/09-10"/>
    <x v="184"/>
    <x v="9"/>
    <n v="1"/>
    <n v="9"/>
    <n v="9"/>
  </r>
  <r>
    <n v="11484"/>
    <s v="24.01.10"/>
    <s v="GG/249/09-10"/>
    <x v="345"/>
    <x v="9"/>
    <n v="4"/>
    <n v="10"/>
    <n v="40"/>
  </r>
  <r>
    <n v="11485"/>
    <s v="24.01.10"/>
    <s v="GG/249/09-10"/>
    <x v="345"/>
    <x v="9"/>
    <n v="1"/>
    <n v="7"/>
    <n v="7"/>
  </r>
  <r>
    <n v="11524"/>
    <s v="25.01.10"/>
    <s v="GG/250/09-10"/>
    <x v="6"/>
    <x v="9"/>
    <n v="5"/>
    <n v="1"/>
    <n v="5"/>
  </r>
  <r>
    <n v="11571"/>
    <s v="27.01.10"/>
    <s v="GG/251/09-10"/>
    <x v="346"/>
    <x v="9"/>
    <n v="2"/>
    <n v="10"/>
    <n v="20"/>
  </r>
  <r>
    <n v="11574"/>
    <s v="27.01.10"/>
    <s v="GG/251/09-10"/>
    <x v="347"/>
    <x v="9"/>
    <n v="14"/>
    <n v="10"/>
    <n v="140"/>
  </r>
  <r>
    <n v="11576"/>
    <s v="27.01.10"/>
    <s v="GG/251/09-10"/>
    <x v="348"/>
    <x v="9"/>
    <n v="20"/>
    <n v="5"/>
    <n v="100"/>
  </r>
  <r>
    <n v="11577"/>
    <s v="27.01.10"/>
    <s v="GG/251/09-10"/>
    <x v="348"/>
    <x v="9"/>
    <n v="1"/>
    <n v="5"/>
    <n v="5"/>
  </r>
  <r>
    <n v="11578"/>
    <s v="27.01.10"/>
    <s v="GG/251/09-10"/>
    <x v="349"/>
    <x v="9"/>
    <n v="3"/>
    <n v="10"/>
    <n v="30"/>
  </r>
  <r>
    <n v="11617"/>
    <s v="27.01.10"/>
    <s v="GG/252/09-10"/>
    <x v="346"/>
    <x v="9"/>
    <n v="4"/>
    <n v="10"/>
    <n v="40"/>
  </r>
  <r>
    <n v="11665"/>
    <s v="28.01.10"/>
    <s v="GG/253/09-10"/>
    <x v="1"/>
    <x v="9"/>
    <n v="4"/>
    <n v="25"/>
    <n v="100"/>
  </r>
  <r>
    <n v="11666"/>
    <s v="28.01.10"/>
    <s v="GG/253/09-10"/>
    <x v="8"/>
    <x v="9"/>
    <n v="1"/>
    <n v="25"/>
    <n v="25"/>
  </r>
  <r>
    <n v="11667"/>
    <s v="28.01.10"/>
    <s v="GG/253/09-10"/>
    <x v="8"/>
    <x v="9"/>
    <n v="1"/>
    <n v="25"/>
    <n v="25"/>
  </r>
  <r>
    <n v="11669"/>
    <s v="28.01.10"/>
    <s v="GG/253/09-10"/>
    <x v="350"/>
    <x v="9"/>
    <n v="1"/>
    <n v="5"/>
    <n v="5"/>
  </r>
  <r>
    <n v="11670"/>
    <s v="28.01.10"/>
    <s v="GG/253/09-10"/>
    <x v="30"/>
    <x v="9"/>
    <n v="1"/>
    <n v="5"/>
    <n v="5"/>
  </r>
  <r>
    <n v="11671"/>
    <s v="28.01.10"/>
    <s v="GG/253/09-10"/>
    <x v="95"/>
    <x v="9"/>
    <n v="1"/>
    <n v="5"/>
    <n v="5"/>
  </r>
  <r>
    <n v="11672"/>
    <s v="28.01.10"/>
    <s v="GG/253/09-10"/>
    <x v="5"/>
    <x v="9"/>
    <n v="1"/>
    <n v="5"/>
    <n v="5"/>
  </r>
  <r>
    <n v="11673"/>
    <s v="28.01.10"/>
    <s v="GG/253/09-10"/>
    <x v="130"/>
    <x v="9"/>
    <n v="1"/>
    <n v="5"/>
    <n v="5"/>
  </r>
  <r>
    <n v="11674"/>
    <s v="28.01.10"/>
    <s v="GG/253/09-10"/>
    <x v="104"/>
    <x v="9"/>
    <n v="1"/>
    <n v="5"/>
    <n v="5"/>
  </r>
  <r>
    <n v="11675"/>
    <s v="28.01.10"/>
    <s v="GG/253/09-10"/>
    <x v="164"/>
    <x v="9"/>
    <n v="1"/>
    <n v="5"/>
    <n v="5"/>
  </r>
  <r>
    <n v="11676"/>
    <s v="28.01.10"/>
    <s v="GG/253/09-10"/>
    <x v="25"/>
    <x v="9"/>
    <n v="1"/>
    <n v="5"/>
    <n v="5"/>
  </r>
  <r>
    <n v="11677"/>
    <s v="28.01.10"/>
    <s v="GG/253/09-10"/>
    <x v="112"/>
    <x v="9"/>
    <n v="1"/>
    <n v="5"/>
    <n v="5"/>
  </r>
  <r>
    <n v="11678"/>
    <s v="28.01.10"/>
    <s v="GG/253/09-10"/>
    <x v="351"/>
    <x v="9"/>
    <n v="1"/>
    <n v="5"/>
    <n v="5"/>
  </r>
  <r>
    <n v="11679"/>
    <s v="28.01.10"/>
    <s v="GG/253/09-10"/>
    <x v="352"/>
    <x v="9"/>
    <n v="1"/>
    <n v="5"/>
    <n v="5"/>
  </r>
  <r>
    <n v="11680"/>
    <s v="28.01.10"/>
    <s v="GG/253/09-10"/>
    <x v="56"/>
    <x v="9"/>
    <n v="3"/>
    <n v="5"/>
    <n v="15"/>
  </r>
  <r>
    <n v="11681"/>
    <s v="28.01.10"/>
    <s v="GG/253/09-10"/>
    <x v="8"/>
    <x v="9"/>
    <n v="1"/>
    <n v="5"/>
    <n v="5"/>
  </r>
  <r>
    <n v="11682"/>
    <s v="28.01.10"/>
    <s v="GG/253/09-10"/>
    <x v="294"/>
    <x v="9"/>
    <n v="1"/>
    <n v="5"/>
    <n v="5"/>
  </r>
  <r>
    <n v="11683"/>
    <s v="28.01.10"/>
    <s v="GG/253/09-10"/>
    <x v="121"/>
    <x v="9"/>
    <n v="4"/>
    <n v="5"/>
    <n v="20"/>
  </r>
  <r>
    <n v="11684"/>
    <s v="28.01.10"/>
    <s v="GG/253/09-10"/>
    <x v="121"/>
    <x v="9"/>
    <n v="1"/>
    <n v="5"/>
    <n v="5"/>
  </r>
  <r>
    <n v="11686"/>
    <s v="28.01.10"/>
    <s v="GG/253/09-10"/>
    <x v="246"/>
    <x v="9"/>
    <n v="1"/>
    <n v="5"/>
    <n v="5"/>
  </r>
  <r>
    <n v="11712"/>
    <s v="28.01.10"/>
    <s v="GG/253/09-10"/>
    <x v="353"/>
    <x v="9"/>
    <n v="1"/>
    <n v="10"/>
    <n v="10"/>
  </r>
  <r>
    <n v="11713"/>
    <s v="28.01.10"/>
    <s v="GG/253/09-10"/>
    <x v="354"/>
    <x v="9"/>
    <n v="2"/>
    <n v="10"/>
    <n v="20"/>
  </r>
  <r>
    <n v="11714"/>
    <s v="28.01.10"/>
    <s v="GG/253/09-10"/>
    <x v="355"/>
    <x v="9"/>
    <n v="1"/>
    <n v="10"/>
    <n v="10"/>
  </r>
  <r>
    <n v="11715"/>
    <s v="28.01.10"/>
    <s v="GG/253/09-10"/>
    <x v="356"/>
    <x v="9"/>
    <n v="1"/>
    <n v="10"/>
    <n v="10"/>
  </r>
  <r>
    <n v="11716"/>
    <s v="28.01.10"/>
    <s v="GG/253/09-10"/>
    <x v="357"/>
    <x v="9"/>
    <n v="1"/>
    <n v="10"/>
    <n v="10"/>
  </r>
  <r>
    <n v="11719"/>
    <s v="28.01.10"/>
    <s v="GG/253/09-10"/>
    <x v="358"/>
    <x v="9"/>
    <n v="1"/>
    <n v="10"/>
    <n v="10"/>
  </r>
  <r>
    <n v="11720"/>
    <s v="28.01.10"/>
    <s v="GG/253/09-10"/>
    <x v="359"/>
    <x v="9"/>
    <n v="1"/>
    <n v="10"/>
    <n v="10"/>
  </r>
  <r>
    <n v="11722"/>
    <s v="28.01.10"/>
    <s v="GG/253/09-10"/>
    <x v="150"/>
    <x v="90"/>
    <n v="1"/>
    <n v="6"/>
    <n v="6"/>
  </r>
  <r>
    <n v="11723"/>
    <s v="28.01.10"/>
    <s v="GG/253/09-10"/>
    <x v="18"/>
    <x v="151"/>
    <n v="2"/>
    <n v="6"/>
    <n v="12"/>
  </r>
  <r>
    <n v="11724"/>
    <s v="28.01.10"/>
    <s v="GG/253/09-10"/>
    <x v="108"/>
    <x v="22"/>
    <n v="2"/>
    <n v="6"/>
    <n v="12"/>
  </r>
  <r>
    <n v="11725"/>
    <s v="28.01.10"/>
    <s v="GG/253/09-10"/>
    <x v="112"/>
    <x v="74"/>
    <n v="1"/>
    <n v="6"/>
    <n v="6"/>
  </r>
  <r>
    <n v="11755"/>
    <s v="30.01.10"/>
    <s v="GG/254/09-10"/>
    <x v="140"/>
    <x v="9"/>
    <n v="3"/>
    <n v="4"/>
    <n v="12"/>
  </r>
  <r>
    <n v="11756"/>
    <s v="30.01.10"/>
    <s v="GG/254/09-10"/>
    <x v="141"/>
    <x v="9"/>
    <n v="21"/>
    <n v="4"/>
    <n v="84"/>
  </r>
  <r>
    <n v="11757"/>
    <s v="30.01.10"/>
    <s v="GG/254/09-10"/>
    <x v="147"/>
    <x v="9"/>
    <n v="1"/>
    <n v="4"/>
    <n v="4"/>
  </r>
  <r>
    <n v="11758"/>
    <s v="30.01.10"/>
    <s v="GG/254/09-10"/>
    <x v="147"/>
    <x v="9"/>
    <n v="1"/>
    <n v="3"/>
    <n v="3"/>
  </r>
  <r>
    <n v="11759"/>
    <s v="30.01.10"/>
    <s v="GG/254/09-10"/>
    <x v="141"/>
    <x v="9"/>
    <n v="1"/>
    <n v="1"/>
    <n v="1"/>
  </r>
  <r>
    <n v="11760"/>
    <s v="30.01.10"/>
    <s v="GG/254/09-10"/>
    <x v="148"/>
    <x v="9"/>
    <n v="6"/>
    <n v="4"/>
    <n v="24"/>
  </r>
  <r>
    <n v="11761"/>
    <s v="30.01.10"/>
    <s v="GG/254/09-10"/>
    <x v="148"/>
    <x v="9"/>
    <n v="1"/>
    <n v="1"/>
    <n v="1"/>
  </r>
  <r>
    <n v="11763"/>
    <s v="30.01.10"/>
    <s v="GG/254/09-10"/>
    <x v="360"/>
    <x v="145"/>
    <n v="7"/>
    <n v="6"/>
    <n v="42"/>
  </r>
  <r>
    <n v="11764"/>
    <s v="30.01.10"/>
    <s v="GG/254/09-10"/>
    <x v="360"/>
    <x v="145"/>
    <n v="1"/>
    <n v="6"/>
    <n v="6"/>
  </r>
  <r>
    <n v="11767"/>
    <s v="30.01.10"/>
    <s v="GG/254/09-10"/>
    <x v="361"/>
    <x v="100"/>
    <n v="1"/>
    <n v="5"/>
    <n v="5"/>
  </r>
  <r>
    <n v="11802"/>
    <s v="30.01.10"/>
    <s v="GG/255/09-10"/>
    <x v="141"/>
    <x v="9"/>
    <n v="16"/>
    <n v="4"/>
    <n v="64"/>
  </r>
  <r>
    <n v="11803"/>
    <s v="30.01.10"/>
    <s v="GG/255/09-10"/>
    <x v="147"/>
    <x v="9"/>
    <n v="34"/>
    <n v="4"/>
    <n v="136"/>
  </r>
  <r>
    <n v="11804"/>
    <s v="30.01.10"/>
    <s v="GG/255/09-10"/>
    <x v="147"/>
    <x v="9"/>
    <n v="2"/>
    <n v="4"/>
    <n v="8"/>
  </r>
  <r>
    <n v="11847"/>
    <s v="30.01.10"/>
    <s v="GG/256/09-10"/>
    <x v="140"/>
    <x v="9"/>
    <n v="1"/>
    <n v="4"/>
    <n v="4"/>
  </r>
  <r>
    <n v="11848"/>
    <s v="30.01.10"/>
    <s v="GG/256/09-10"/>
    <x v="140"/>
    <x v="9"/>
    <n v="1"/>
    <n v="2"/>
    <n v="2"/>
  </r>
  <r>
    <n v="11850"/>
    <s v="30.01.10"/>
    <s v="GG/256/09-10"/>
    <x v="141"/>
    <x v="9"/>
    <n v="11"/>
    <n v="4"/>
    <n v="44"/>
  </r>
  <r>
    <n v="11851"/>
    <s v="30.01.10"/>
    <s v="GG/256/09-10"/>
    <x v="141"/>
    <x v="9"/>
    <n v="2"/>
    <n v="1"/>
    <n v="2"/>
  </r>
  <r>
    <n v="11853"/>
    <s v="30.01.10"/>
    <s v="GG/256/09-10"/>
    <x v="124"/>
    <x v="152"/>
    <n v="1"/>
    <n v="2"/>
    <n v="2"/>
  </r>
  <r>
    <n v="11939"/>
    <s v="01.02.10"/>
    <s v="GG/258/09-10"/>
    <x v="170"/>
    <x v="9"/>
    <n v="2"/>
    <n v="10"/>
    <n v="20"/>
  </r>
  <r>
    <n v="11941"/>
    <s v="01.02.10"/>
    <s v="GG/258/09-10"/>
    <x v="362"/>
    <x v="9"/>
    <n v="2"/>
    <n v="2"/>
    <n v="4"/>
  </r>
  <r>
    <n v="12029"/>
    <s v="02.02.10"/>
    <s v="GG/260/09-10"/>
    <x v="140"/>
    <x v="9"/>
    <n v="3"/>
    <n v="4"/>
    <n v="12"/>
  </r>
  <r>
    <n v="12030"/>
    <s v="02.02.10"/>
    <s v="GG/260/09-10"/>
    <x v="141"/>
    <x v="9"/>
    <n v="43"/>
    <n v="4"/>
    <n v="172"/>
  </r>
  <r>
    <n v="12031"/>
    <s v="02.02.10"/>
    <s v="GG/260/09-10"/>
    <x v="147"/>
    <x v="9"/>
    <n v="4"/>
    <n v="4"/>
    <n v="16"/>
  </r>
  <r>
    <n v="12032"/>
    <s v="02.02.10"/>
    <s v="GG/260/09-10"/>
    <x v="141"/>
    <x v="9"/>
    <n v="2"/>
    <n v="4"/>
    <n v="8"/>
  </r>
  <r>
    <n v="12075"/>
    <s v="03.02.10"/>
    <s v="GG/261/09-10"/>
    <x v="105"/>
    <x v="65"/>
    <n v="4"/>
    <n v="6"/>
    <n v="24"/>
  </r>
  <r>
    <n v="12077"/>
    <s v="03.02.10"/>
    <s v="GG/261/09-10"/>
    <x v="363"/>
    <x v="67"/>
    <n v="1"/>
    <n v="6"/>
    <n v="6"/>
  </r>
  <r>
    <n v="12078"/>
    <s v="03.02.10"/>
    <s v="GG/261/09-10"/>
    <x v="118"/>
    <x v="79"/>
    <n v="2"/>
    <n v="6"/>
    <n v="12"/>
  </r>
  <r>
    <n v="12079"/>
    <s v="03.02.10"/>
    <s v="GG/261/09-10"/>
    <x v="18"/>
    <x v="151"/>
    <n v="7"/>
    <n v="6"/>
    <n v="42"/>
  </r>
  <r>
    <n v="12080"/>
    <s v="03.02.10"/>
    <s v="GG/261/09-10"/>
    <x v="18"/>
    <x v="151"/>
    <n v="1"/>
    <n v="6"/>
    <n v="6"/>
  </r>
  <r>
    <n v="12082"/>
    <s v="03.02.10"/>
    <s v="GG/261/09-10"/>
    <x v="108"/>
    <x v="22"/>
    <n v="3"/>
    <n v="6"/>
    <n v="18"/>
  </r>
  <r>
    <n v="12083"/>
    <s v="03.02.10"/>
    <s v="GG/261/09-10"/>
    <x v="108"/>
    <x v="22"/>
    <n v="1"/>
    <n v="4"/>
    <n v="4"/>
  </r>
  <r>
    <n v="12084"/>
    <s v="03.02.10"/>
    <s v="GG/261/09-10"/>
    <x v="130"/>
    <x v="85"/>
    <n v="2"/>
    <n v="6"/>
    <n v="12"/>
  </r>
  <r>
    <n v="12085"/>
    <s v="03.02.10"/>
    <s v="GG/261/09-10"/>
    <x v="28"/>
    <x v="70"/>
    <n v="2"/>
    <n v="6"/>
    <n v="12"/>
  </r>
  <r>
    <n v="12086"/>
    <s v="03.02.10"/>
    <s v="GG/261/09-10"/>
    <x v="109"/>
    <x v="71"/>
    <n v="2"/>
    <n v="6"/>
    <n v="12"/>
  </r>
  <r>
    <n v="12087"/>
    <s v="03.02.10"/>
    <s v="GG/261/09-10"/>
    <x v="99"/>
    <x v="114"/>
    <n v="1"/>
    <n v="8"/>
    <n v="8"/>
  </r>
  <r>
    <n v="12088"/>
    <s v="03.02.10"/>
    <s v="GG/261/09-10"/>
    <x v="151"/>
    <x v="47"/>
    <n v="2"/>
    <n v="6"/>
    <n v="12"/>
  </r>
  <r>
    <n v="12089"/>
    <s v="03.02.10"/>
    <s v="GG/261/09-10"/>
    <x v="112"/>
    <x v="74"/>
    <n v="1"/>
    <n v="3"/>
    <n v="3"/>
  </r>
  <r>
    <n v="12090"/>
    <s v="03.02.10"/>
    <s v="GG/261/09-10"/>
    <x v="2"/>
    <x v="51"/>
    <n v="2"/>
    <n v="6"/>
    <n v="12"/>
  </r>
  <r>
    <n v="12091"/>
    <s v="03.02.10"/>
    <s v="GG/261/09-10"/>
    <x v="2"/>
    <x v="51"/>
    <n v="11"/>
    <n v="1"/>
    <n v="11"/>
  </r>
  <r>
    <n v="12092"/>
    <s v="03.02.10"/>
    <s v="GG/261/09-10"/>
    <x v="2"/>
    <x v="51"/>
    <n v="1"/>
    <n v="1"/>
    <n v="1"/>
  </r>
  <r>
    <n v="12093"/>
    <s v="03.02.10"/>
    <s v="GG/261/09-10"/>
    <x v="8"/>
    <x v="8"/>
    <n v="2"/>
    <n v="4"/>
    <n v="8"/>
  </r>
  <r>
    <n v="12094"/>
    <s v="03.02.10"/>
    <s v="GG/261/09-10"/>
    <x v="114"/>
    <x v="76"/>
    <n v="1"/>
    <n v="6"/>
    <n v="6"/>
  </r>
  <r>
    <n v="12095"/>
    <s v="03.02.10"/>
    <s v="GG/261/09-10"/>
    <x v="114"/>
    <x v="76"/>
    <n v="1"/>
    <n v="4"/>
    <n v="4"/>
  </r>
  <r>
    <n v="12096"/>
    <s v="03.02.10"/>
    <s v="GG/261/09-10"/>
    <x v="364"/>
    <x v="89"/>
    <n v="1"/>
    <n v="6"/>
    <n v="6"/>
  </r>
  <r>
    <n v="12097"/>
    <s v="03.02.10"/>
    <s v="GG/261/09-10"/>
    <x v="365"/>
    <x v="7"/>
    <n v="2"/>
    <n v="6"/>
    <n v="12"/>
  </r>
  <r>
    <n v="12121"/>
    <s v="03.02.10"/>
    <s v="GG/261/09-10"/>
    <x v="350"/>
    <x v="153"/>
    <n v="2"/>
    <n v="5"/>
    <n v="10"/>
  </r>
  <r>
    <n v="12122"/>
    <s v="03.02.10"/>
    <s v="GG/261/09-10"/>
    <x v="30"/>
    <x v="30"/>
    <n v="2"/>
    <n v="5"/>
    <n v="10"/>
  </r>
  <r>
    <n v="12123"/>
    <s v="03.02.10"/>
    <s v="GG/261/09-10"/>
    <x v="366"/>
    <x v="82"/>
    <n v="4"/>
    <n v="5"/>
    <n v="20"/>
  </r>
  <r>
    <n v="12124"/>
    <s v="03.02.10"/>
    <s v="GG/261/09-10"/>
    <x v="367"/>
    <x v="120"/>
    <n v="2"/>
    <n v="5"/>
    <n v="10"/>
  </r>
  <r>
    <n v="12125"/>
    <s v="03.02.10"/>
    <s v="GG/261/09-10"/>
    <x v="5"/>
    <x v="121"/>
    <n v="3"/>
    <n v="5"/>
    <n v="15"/>
  </r>
  <r>
    <n v="12126"/>
    <s v="03.02.10"/>
    <s v="GG/261/09-10"/>
    <x v="164"/>
    <x v="113"/>
    <n v="3"/>
    <n v="5"/>
    <n v="15"/>
  </r>
  <r>
    <n v="12127"/>
    <s v="03.02.10"/>
    <s v="GG/261/09-10"/>
    <x v="99"/>
    <x v="144"/>
    <n v="1"/>
    <n v="5"/>
    <n v="5"/>
  </r>
  <r>
    <n v="12128"/>
    <s v="03.02.10"/>
    <s v="GG/261/09-10"/>
    <x v="352"/>
    <x v="58"/>
    <n v="5"/>
    <n v="5"/>
    <n v="25"/>
  </r>
  <r>
    <n v="12130"/>
    <s v="03.02.10"/>
    <s v="GG/261/09-10"/>
    <x v="368"/>
    <x v="39"/>
    <n v="5"/>
    <n v="5"/>
    <n v="25"/>
  </r>
  <r>
    <n v="12132"/>
    <s v="03.02.10"/>
    <s v="GG/261/09-10"/>
    <x v="369"/>
    <x v="100"/>
    <n v="2"/>
    <n v="5"/>
    <n v="10"/>
  </r>
  <r>
    <n v="12133"/>
    <s v="03.02.10"/>
    <s v="GG/261/09-10"/>
    <x v="370"/>
    <x v="81"/>
    <n v="4"/>
    <n v="5"/>
    <n v="20"/>
  </r>
  <r>
    <n v="12134"/>
    <s v="03.02.10"/>
    <s v="GG/261/09-10"/>
    <x v="371"/>
    <x v="24"/>
    <n v="4"/>
    <n v="5"/>
    <n v="20"/>
  </r>
  <r>
    <n v="12185"/>
    <s v="03.02.10"/>
    <s v="GG/262/09-10"/>
    <x v="95"/>
    <x v="82"/>
    <n v="3"/>
    <n v="5"/>
    <n v="15"/>
  </r>
  <r>
    <n v="12186"/>
    <s v="03.02.10"/>
    <s v="GG/262/09-10"/>
    <x v="150"/>
    <x v="120"/>
    <n v="2"/>
    <n v="5"/>
    <n v="10"/>
  </r>
  <r>
    <n v="12187"/>
    <s v="03.02.10"/>
    <s v="GG/262/09-10"/>
    <x v="56"/>
    <x v="39"/>
    <n v="5"/>
    <n v="5"/>
    <n v="25"/>
  </r>
  <r>
    <n v="12189"/>
    <s v="03.02.10"/>
    <s v="GG/262/09-10"/>
    <x v="87"/>
    <x v="99"/>
    <n v="2"/>
    <n v="5"/>
    <n v="10"/>
  </r>
  <r>
    <n v="12190"/>
    <s v="03.02.10"/>
    <s v="GG/262/09-10"/>
    <x v="105"/>
    <x v="154"/>
    <n v="4"/>
    <n v="5"/>
    <n v="20"/>
  </r>
  <r>
    <n v="12191"/>
    <s v="03.02.10"/>
    <s v="GG/262/09-10"/>
    <x v="5"/>
    <x v="121"/>
    <n v="2"/>
    <n v="5"/>
    <n v="10"/>
  </r>
  <r>
    <n v="12192"/>
    <s v="03.02.10"/>
    <s v="GG/262/09-10"/>
    <x v="283"/>
    <x v="143"/>
    <n v="1"/>
    <n v="5"/>
    <n v="5"/>
  </r>
  <r>
    <n v="12193"/>
    <s v="03.02.10"/>
    <s v="GG/262/09-10"/>
    <x v="16"/>
    <x v="15"/>
    <n v="2"/>
    <n v="5"/>
    <n v="10"/>
  </r>
  <r>
    <n v="12195"/>
    <s v="03.02.10"/>
    <s v="GG/262/09-10"/>
    <x v="8"/>
    <x v="8"/>
    <n v="6"/>
    <n v="4"/>
    <n v="24"/>
  </r>
  <r>
    <n v="12197"/>
    <s v="03.02.10"/>
    <s v="GG/262/09-10"/>
    <x v="105"/>
    <x v="65"/>
    <n v="4"/>
    <n v="6"/>
    <n v="24"/>
  </r>
  <r>
    <n v="12199"/>
    <s v="03.02.10"/>
    <s v="GG/262/09-10"/>
    <x v="150"/>
    <x v="90"/>
    <n v="4"/>
    <n v="6"/>
    <n v="24"/>
  </r>
  <r>
    <n v="12202"/>
    <s v="03.02.10"/>
    <s v="GG/262/09-10"/>
    <x v="372"/>
    <x v="9"/>
    <n v="6"/>
    <n v="10"/>
    <n v="60"/>
  </r>
  <r>
    <n v="12203"/>
    <s v="03.02.10"/>
    <s v="GG/262/09-10"/>
    <x v="373"/>
    <x v="9"/>
    <n v="3"/>
    <n v="10"/>
    <n v="30"/>
  </r>
  <r>
    <n v="12204"/>
    <s v="03.02.10"/>
    <s v="GG/262/09-10"/>
    <x v="374"/>
    <x v="9"/>
    <n v="8"/>
    <n v="10"/>
    <n v="80"/>
  </r>
  <r>
    <n v="12206"/>
    <s v="03.02.10"/>
    <s v="GG/262/09-10"/>
    <x v="5"/>
    <x v="5"/>
    <n v="1"/>
    <n v="20"/>
    <n v="20"/>
  </r>
  <r>
    <n v="12207"/>
    <s v="03.02.10"/>
    <s v="GG/262/09-10"/>
    <x v="98"/>
    <x v="61"/>
    <n v="4"/>
    <n v="25"/>
    <n v="100"/>
  </r>
  <r>
    <n v="12233"/>
    <s v="3.02.10"/>
    <s v="GG/263/09-10"/>
    <x v="375"/>
    <x v="82"/>
    <n v="2"/>
    <n v="5"/>
    <n v="10"/>
  </r>
  <r>
    <n v="12234"/>
    <s v="3.02.10"/>
    <s v="GG/263/09-10"/>
    <x v="118"/>
    <x v="96"/>
    <n v="1"/>
    <n v="5"/>
    <n v="5"/>
  </r>
  <r>
    <n v="12235"/>
    <s v="3.02.10"/>
    <s v="GG/263/09-10"/>
    <x v="352"/>
    <x v="58"/>
    <n v="5"/>
    <n v="5"/>
    <n v="25"/>
  </r>
  <r>
    <n v="12237"/>
    <s v="3.02.10"/>
    <s v="GG/263/09-10"/>
    <x v="351"/>
    <x v="120"/>
    <n v="2"/>
    <n v="5"/>
    <n v="10"/>
  </r>
  <r>
    <n v="12238"/>
    <s v="3.02.10"/>
    <s v="GG/263/09-10"/>
    <x v="56"/>
    <x v="39"/>
    <n v="5"/>
    <n v="5"/>
    <n v="25"/>
  </r>
  <r>
    <n v="12240"/>
    <s v="3.02.10"/>
    <s v="GG/263/09-10"/>
    <x v="376"/>
    <x v="24"/>
    <n v="5"/>
    <n v="5"/>
    <n v="25"/>
  </r>
  <r>
    <n v="12243"/>
    <s v="3.02.10"/>
    <s v="GG/263/09-10"/>
    <x v="18"/>
    <x v="151"/>
    <n v="4"/>
    <n v="6"/>
    <n v="24"/>
  </r>
  <r>
    <n v="12245"/>
    <s v="3.02.10"/>
    <s v="GG/263/09-10"/>
    <x v="28"/>
    <x v="70"/>
    <n v="8"/>
    <n v="6"/>
    <n v="48"/>
  </r>
  <r>
    <n v="12247"/>
    <s v="3.02.10"/>
    <s v="GG/263/09-10"/>
    <x v="151"/>
    <x v="47"/>
    <n v="1"/>
    <n v="6"/>
    <n v="6"/>
  </r>
  <r>
    <n v="12248"/>
    <s v="3.02.10"/>
    <s v="GG/263/09-10"/>
    <x v="8"/>
    <x v="8"/>
    <n v="2"/>
    <n v="4"/>
    <n v="8"/>
  </r>
  <r>
    <n v="12249"/>
    <s v="3.02.10"/>
    <s v="GG/263/09-10"/>
    <x v="377"/>
    <x v="91"/>
    <n v="3"/>
    <n v="8"/>
    <n v="24"/>
  </r>
  <r>
    <n v="12300"/>
    <s v="06.02.10"/>
    <s v="GG/264/09-10"/>
    <x v="1"/>
    <x v="53"/>
    <n v="5"/>
    <n v="5"/>
    <n v="25"/>
  </r>
  <r>
    <n v="12302"/>
    <s v="06.02.10"/>
    <s v="GG/264/09-10"/>
    <x v="1"/>
    <x v="53"/>
    <n v="1"/>
    <n v="1"/>
    <n v="1"/>
  </r>
  <r>
    <n v="12303"/>
    <s v="06.02.10"/>
    <s v="GG/264/09-10"/>
    <x v="29"/>
    <x v="29"/>
    <n v="4"/>
    <n v="5"/>
    <n v="20"/>
  </r>
  <r>
    <n v="12304"/>
    <s v="06.02.10"/>
    <s v="GG/264/09-10"/>
    <x v="29"/>
    <x v="29"/>
    <n v="2"/>
    <n v="1"/>
    <n v="2"/>
  </r>
  <r>
    <n v="12305"/>
    <s v="06.02.10"/>
    <s v="GG/264/09-10"/>
    <x v="53"/>
    <x v="36"/>
    <n v="10"/>
    <n v="5"/>
    <n v="50"/>
  </r>
  <r>
    <n v="12307"/>
    <s v="06.02.10"/>
    <s v="GG/264/09-10"/>
    <x v="154"/>
    <x v="93"/>
    <n v="10"/>
    <n v="5"/>
    <n v="50"/>
  </r>
  <r>
    <n v="12309"/>
    <s v="06.02.10"/>
    <s v="GG/264/09-10"/>
    <x v="28"/>
    <x v="28"/>
    <n v="15"/>
    <n v="5"/>
    <n v="75"/>
  </r>
  <r>
    <n v="12310"/>
    <s v="06.02.10"/>
    <s v="GG/264/09-10"/>
    <x v="2"/>
    <x v="52"/>
    <n v="5"/>
    <n v="5"/>
    <n v="25"/>
  </r>
  <r>
    <n v="12312"/>
    <s v="06.02.10"/>
    <s v="GG/264/09-10"/>
    <x v="8"/>
    <x v="37"/>
    <n v="7"/>
    <n v="5"/>
    <n v="35"/>
  </r>
  <r>
    <n v="12313"/>
    <s v="06.02.10"/>
    <s v="GG/264/09-10"/>
    <x v="22"/>
    <x v="23"/>
    <n v="10"/>
    <n v="5"/>
    <n v="50"/>
  </r>
  <r>
    <n v="12315"/>
    <s v="06.02.10"/>
    <s v="GG/264/09-10"/>
    <x v="378"/>
    <x v="155"/>
    <n v="1"/>
    <n v="1"/>
    <n v="1"/>
  </r>
  <r>
    <n v="12316"/>
    <s v="06.02.10"/>
    <s v="GG/264/09-10"/>
    <x v="379"/>
    <x v="156"/>
    <n v="1"/>
    <n v="1"/>
    <n v="1"/>
  </r>
  <r>
    <n v="12317"/>
    <s v="06.02.10"/>
    <s v="GG/264/09-10"/>
    <x v="380"/>
    <x v="157"/>
    <n v="1"/>
    <n v="1"/>
    <n v="1"/>
  </r>
  <r>
    <n v="12318"/>
    <s v="06.02.10"/>
    <s v="GG/264/09-10"/>
    <x v="381"/>
    <x v="158"/>
    <n v="1"/>
    <n v="1"/>
    <n v="1"/>
  </r>
  <r>
    <n v="12319"/>
    <s v="06.02.10"/>
    <s v="GG/264/09-10"/>
    <x v="382"/>
    <x v="159"/>
    <n v="1"/>
    <n v="1"/>
    <n v="1"/>
  </r>
  <r>
    <n v="12320"/>
    <s v="06.02.10"/>
    <s v="GG/264/09-10"/>
    <x v="383"/>
    <x v="160"/>
    <n v="1"/>
    <n v="1"/>
    <n v="1"/>
  </r>
  <r>
    <n v="12321"/>
    <s v="06.02.10"/>
    <s v="GG/264/09-10"/>
    <x v="384"/>
    <x v="161"/>
    <n v="1"/>
    <n v="1"/>
    <n v="1"/>
  </r>
  <r>
    <n v="12322"/>
    <s v="06.02.10"/>
    <s v="GG/264/09-10"/>
    <x v="385"/>
    <x v="162"/>
    <n v="1"/>
    <n v="1"/>
    <n v="1"/>
  </r>
  <r>
    <n v="12323"/>
    <s v="06.02.10"/>
    <s v="GG/264/09-10"/>
    <x v="386"/>
    <x v="163"/>
    <n v="1"/>
    <n v="1"/>
    <n v="1"/>
  </r>
  <r>
    <n v="12324"/>
    <s v="06.02.10"/>
    <s v="GG/264/09-10"/>
    <x v="387"/>
    <x v="164"/>
    <n v="1"/>
    <n v="1"/>
    <n v="1"/>
  </r>
  <r>
    <n v="12325"/>
    <s v="06.02.10"/>
    <s v="GG/264/09-10"/>
    <x v="388"/>
    <x v="165"/>
    <n v="1"/>
    <n v="1"/>
    <n v="1"/>
  </r>
  <r>
    <n v="12326"/>
    <s v="06.02.10"/>
    <s v="GG/264/09-10"/>
    <x v="114"/>
    <x v="166"/>
    <n v="1"/>
    <n v="1"/>
    <n v="1"/>
  </r>
  <r>
    <n v="12328"/>
    <s v="06.02.10"/>
    <s v="GG/264/09-10"/>
    <x v="207"/>
    <x v="75"/>
    <n v="4"/>
    <n v="6"/>
    <n v="24"/>
  </r>
  <r>
    <n v="12347"/>
    <s v="06.02.10"/>
    <s v="GG/264/09-10"/>
    <x v="389"/>
    <x v="167"/>
    <n v="12"/>
    <n v="10"/>
    <n v="120"/>
  </r>
  <r>
    <n v="12349"/>
    <s v="06.02.10"/>
    <s v="GG/264/09-10"/>
    <x v="390"/>
    <x v="168"/>
    <n v="18"/>
    <n v="10"/>
    <n v="180"/>
  </r>
  <r>
    <n v="12351"/>
    <s v="06.02.10"/>
    <s v="GG/264/09-10"/>
    <x v="391"/>
    <x v="169"/>
    <n v="3"/>
    <n v="10"/>
    <n v="30"/>
  </r>
  <r>
    <n v="12353"/>
    <s v="06.02.10"/>
    <s v="GG/264/09-10"/>
    <x v="392"/>
    <x v="170"/>
    <n v="10"/>
    <n v="5"/>
    <n v="50"/>
  </r>
  <r>
    <n v="12355"/>
    <s v="06.02.10"/>
    <s v="GG/264/09-10"/>
    <x v="234"/>
    <x v="171"/>
    <n v="40"/>
    <n v="5"/>
    <n v="200"/>
  </r>
  <r>
    <n v="12356"/>
    <s v="06.02.10"/>
    <s v="GG/264/09-10"/>
    <x v="393"/>
    <x v="172"/>
    <n v="6"/>
    <n v="10"/>
    <n v="60"/>
  </r>
  <r>
    <n v="12358"/>
    <s v="06.02.10"/>
    <s v="GG/264/09-10"/>
    <x v="394"/>
    <x v="173"/>
    <n v="6"/>
    <n v="10"/>
    <n v="60"/>
  </r>
  <r>
    <n v="12423"/>
    <s v="07.02.10"/>
    <s v="GG/265/09-10"/>
    <x v="161"/>
    <x v="117"/>
    <n v="2"/>
    <n v="5"/>
    <n v="10"/>
  </r>
  <r>
    <n v="12424"/>
    <s v="07.02.10"/>
    <s v="GG/265/09-10"/>
    <x v="155"/>
    <x v="94"/>
    <n v="1"/>
    <n v="5"/>
    <n v="5"/>
  </r>
  <r>
    <n v="12425"/>
    <s v="07.02.10"/>
    <s v="GG/265/09-10"/>
    <x v="55"/>
    <x v="92"/>
    <n v="2"/>
    <n v="5"/>
    <n v="10"/>
  </r>
  <r>
    <n v="12426"/>
    <s v="07.02.10"/>
    <s v="GG/265/09-10"/>
    <x v="1"/>
    <x v="53"/>
    <n v="10"/>
    <n v="5"/>
    <n v="50"/>
  </r>
  <r>
    <n v="12428"/>
    <s v="07.02.10"/>
    <s v="GG/265/09-10"/>
    <x v="53"/>
    <x v="36"/>
    <n v="5"/>
    <n v="5"/>
    <n v="25"/>
  </r>
  <r>
    <n v="12430"/>
    <s v="07.02.10"/>
    <s v="GG/265/09-10"/>
    <x v="154"/>
    <x v="93"/>
    <n v="10"/>
    <n v="5"/>
    <n v="50"/>
  </r>
  <r>
    <n v="12432"/>
    <s v="07.02.10"/>
    <s v="GG/265/09-10"/>
    <x v="28"/>
    <x v="28"/>
    <n v="6"/>
    <n v="5"/>
    <n v="30"/>
  </r>
  <r>
    <n v="12433"/>
    <s v="07.02.10"/>
    <s v="GG/265/09-10"/>
    <x v="25"/>
    <x v="25"/>
    <n v="5"/>
    <n v="5"/>
    <n v="25"/>
  </r>
  <r>
    <n v="12435"/>
    <s v="07.02.10"/>
    <s v="GG/265/09-10"/>
    <x v="2"/>
    <x v="52"/>
    <n v="10"/>
    <n v="5"/>
    <n v="50"/>
  </r>
  <r>
    <n v="12437"/>
    <s v="07.02.10"/>
    <s v="GG/265/09-10"/>
    <x v="22"/>
    <x v="23"/>
    <n v="10"/>
    <n v="5"/>
    <n v="50"/>
  </r>
  <r>
    <n v="12439"/>
    <s v="07.02.10"/>
    <s v="GG/265/09-10"/>
    <x v="253"/>
    <x v="81"/>
    <n v="5"/>
    <n v="5"/>
    <n v="25"/>
  </r>
  <r>
    <n v="12441"/>
    <s v="07.02.10"/>
    <s v="GG/265/09-10"/>
    <x v="164"/>
    <x v="131"/>
    <n v="2"/>
    <n v="5"/>
    <n v="10"/>
  </r>
  <r>
    <n v="12443"/>
    <s v="07.02.10"/>
    <s v="GG/265/09-10"/>
    <x v="207"/>
    <x v="75"/>
    <n v="4"/>
    <n v="6"/>
    <n v="24"/>
  </r>
  <r>
    <n v="12445"/>
    <s v="07.02.10"/>
    <s v="GG/265/09-10"/>
    <x v="5"/>
    <x v="69"/>
    <n v="4"/>
    <n v="6"/>
    <n v="24"/>
  </r>
  <r>
    <n v="12469"/>
    <s v="07.02.10"/>
    <s v="GG/265/09-10"/>
    <x v="389"/>
    <x v="167"/>
    <n v="6"/>
    <n v="10"/>
    <n v="60"/>
  </r>
  <r>
    <n v="12471"/>
    <s v="07.02.10"/>
    <s v="GG/265/09-10"/>
    <x v="390"/>
    <x v="168"/>
    <n v="15"/>
    <n v="10"/>
    <n v="150"/>
  </r>
  <r>
    <n v="12474"/>
    <s v="07.02.10"/>
    <s v="GG/265/09-10"/>
    <x v="393"/>
    <x v="172"/>
    <n v="6"/>
    <n v="10"/>
    <n v="60"/>
  </r>
  <r>
    <n v="12476"/>
    <s v="07.02.10"/>
    <s v="GG/265/09-10"/>
    <x v="394"/>
    <x v="172"/>
    <n v="6"/>
    <n v="10"/>
    <n v="60"/>
  </r>
  <r>
    <n v="12478"/>
    <s v="07.02.10"/>
    <s v="GG/265/09-10"/>
    <x v="395"/>
    <x v="174"/>
    <n v="3"/>
    <n v="10"/>
    <n v="30"/>
  </r>
  <r>
    <n v="12514"/>
    <s v="06.02.10"/>
    <s v="GG/266/09-10"/>
    <x v="30"/>
    <x v="30"/>
    <n v="5"/>
    <n v="5"/>
    <n v="25"/>
  </r>
  <r>
    <n v="12515"/>
    <s v="06.02.10"/>
    <s v="GG/266/09-10"/>
    <x v="375"/>
    <x v="82"/>
    <n v="3"/>
    <n v="5"/>
    <n v="15"/>
  </r>
  <r>
    <n v="12516"/>
    <s v="06.02.10"/>
    <s v="GG/266/09-10"/>
    <x v="87"/>
    <x v="99"/>
    <n v="2"/>
    <n v="5"/>
    <n v="10"/>
  </r>
  <r>
    <n v="12517"/>
    <s v="06.02.10"/>
    <s v="GG/266/09-10"/>
    <x v="118"/>
    <x v="96"/>
    <n v="2"/>
    <n v="5"/>
    <n v="10"/>
  </r>
  <r>
    <n v="12518"/>
    <s v="06.02.10"/>
    <s v="GG/266/09-10"/>
    <x v="18"/>
    <x v="53"/>
    <n v="5"/>
    <n v="5"/>
    <n v="25"/>
  </r>
  <r>
    <n v="12520"/>
    <s v="06.02.10"/>
    <s v="GG/266/09-10"/>
    <x v="130"/>
    <x v="98"/>
    <n v="2"/>
    <n v="5"/>
    <n v="10"/>
  </r>
  <r>
    <n v="12521"/>
    <s v="06.02.10"/>
    <s v="GG/266/09-10"/>
    <x v="29"/>
    <x v="29"/>
    <n v="2"/>
    <n v="5"/>
    <n v="10"/>
  </r>
  <r>
    <n v="12522"/>
    <s v="06.02.10"/>
    <s v="GG/266/09-10"/>
    <x v="53"/>
    <x v="36"/>
    <n v="30"/>
    <n v="5"/>
    <n v="150"/>
  </r>
  <r>
    <n v="12524"/>
    <s v="06.02.10"/>
    <s v="GG/266/09-10"/>
    <x v="154"/>
    <x v="93"/>
    <n v="10"/>
    <n v="5"/>
    <n v="50"/>
  </r>
  <r>
    <n v="12526"/>
    <s v="06.02.10"/>
    <s v="GG/266/09-10"/>
    <x v="396"/>
    <x v="92"/>
    <n v="4"/>
    <n v="5"/>
    <n v="20"/>
  </r>
  <r>
    <n v="12527"/>
    <s v="06.02.10"/>
    <s v="GG/266/09-10"/>
    <x v="28"/>
    <x v="28"/>
    <n v="5"/>
    <n v="5"/>
    <n v="25"/>
  </r>
  <r>
    <n v="12528"/>
    <s v="06.02.10"/>
    <s v="GG/266/09-10"/>
    <x v="164"/>
    <x v="131"/>
    <n v="2"/>
    <n v="5"/>
    <n v="10"/>
  </r>
  <r>
    <n v="12529"/>
    <s v="06.02.10"/>
    <s v="GG/266/09-10"/>
    <x v="191"/>
    <x v="175"/>
    <n v="1"/>
    <n v="5"/>
    <n v="5"/>
  </r>
  <r>
    <n v="12530"/>
    <s v="06.02.10"/>
    <s v="GG/266/09-10"/>
    <x v="351"/>
    <x v="56"/>
    <n v="3"/>
    <n v="5"/>
    <n v="15"/>
  </r>
  <r>
    <n v="12531"/>
    <s v="06.02.10"/>
    <s v="GG/266/09-10"/>
    <x v="8"/>
    <x v="37"/>
    <n v="3"/>
    <n v="5"/>
    <n v="15"/>
  </r>
  <r>
    <n v="12532"/>
    <s v="06.02.10"/>
    <s v="GG/266/09-10"/>
    <x v="22"/>
    <x v="23"/>
    <n v="5"/>
    <n v="5"/>
    <n v="25"/>
  </r>
  <r>
    <n v="12535"/>
    <s v="06.02.10"/>
    <s v="GG/266/09-10"/>
    <x v="118"/>
    <x v="79"/>
    <n v="4"/>
    <n v="6"/>
    <n v="24"/>
  </r>
  <r>
    <n v="12537"/>
    <s v="06.02.10"/>
    <s v="GG/266/09-10"/>
    <x v="130"/>
    <x v="176"/>
    <n v="4"/>
    <n v="6"/>
    <n v="24"/>
  </r>
  <r>
    <n v="12539"/>
    <s v="06.02.10"/>
    <s v="GG/266/09-10"/>
    <x v="109"/>
    <x v="71"/>
    <n v="4"/>
    <n v="6"/>
    <n v="24"/>
  </r>
  <r>
    <n v="12541"/>
    <s v="06.02.10"/>
    <s v="GG/266/09-10"/>
    <x v="204"/>
    <x v="72"/>
    <n v="4"/>
    <n v="6"/>
    <n v="24"/>
  </r>
  <r>
    <n v="12560"/>
    <s v="06.02.10"/>
    <s v="GG/266/09-10"/>
    <x v="389"/>
    <x v="167"/>
    <n v="6"/>
    <n v="10"/>
    <n v="60"/>
  </r>
  <r>
    <n v="12562"/>
    <s v="06.02.10"/>
    <s v="GG/266/09-10"/>
    <x v="390"/>
    <x v="168"/>
    <n v="6"/>
    <n v="10"/>
    <n v="60"/>
  </r>
  <r>
    <n v="12565"/>
    <s v="06.02.10"/>
    <s v="GG/266/09-10"/>
    <x v="397"/>
    <x v="177"/>
    <n v="31"/>
    <n v="10"/>
    <n v="310"/>
  </r>
  <r>
    <n v="12567"/>
    <s v="06.02.10"/>
    <s v="GG/266/09-10"/>
    <x v="398"/>
    <x v="178"/>
    <n v="15"/>
    <n v="10"/>
    <n v="150"/>
  </r>
  <r>
    <n v="12607"/>
    <s v="08.02.10"/>
    <s v="GG/267/09-10"/>
    <x v="28"/>
    <x v="9"/>
    <n v="1"/>
    <n v="101"/>
    <n v="101"/>
  </r>
  <r>
    <n v="12654"/>
    <s v="07.02.10"/>
    <s v="GG/268/09-10"/>
    <x v="29"/>
    <x v="29"/>
    <n v="3"/>
    <n v="5"/>
    <n v="15"/>
  </r>
  <r>
    <n v="12655"/>
    <s v="07.02.10"/>
    <s v="GG/268/09-10"/>
    <x v="53"/>
    <x v="36"/>
    <n v="10"/>
    <n v="5"/>
    <n v="50"/>
  </r>
  <r>
    <n v="12657"/>
    <s v="07.02.10"/>
    <s v="GG/268/09-10"/>
    <x v="154"/>
    <x v="93"/>
    <n v="5"/>
    <n v="5"/>
    <n v="25"/>
  </r>
  <r>
    <n v="12659"/>
    <s v="07.02.10"/>
    <s v="GG/268/09-10"/>
    <x v="28"/>
    <x v="28"/>
    <n v="4"/>
    <n v="5"/>
    <n v="20"/>
  </r>
  <r>
    <n v="12660"/>
    <s v="07.02.10"/>
    <s v="GG/268/09-10"/>
    <x v="2"/>
    <x v="52"/>
    <n v="5"/>
    <n v="5"/>
    <n v="25"/>
  </r>
  <r>
    <n v="12662"/>
    <s v="07.02.10"/>
    <s v="GG/268/09-10"/>
    <x v="22"/>
    <x v="23"/>
    <n v="5"/>
    <n v="5"/>
    <n v="25"/>
  </r>
  <r>
    <n v="12664"/>
    <s v="07.02.10"/>
    <s v="GG/268/09-10"/>
    <x v="312"/>
    <x v="81"/>
    <n v="1"/>
    <n v="5"/>
    <n v="5"/>
  </r>
  <r>
    <n v="12668"/>
    <s v="07.02.10"/>
    <s v="GG/268/09-10"/>
    <x v="204"/>
    <x v="72"/>
    <n v="4"/>
    <n v="6"/>
    <n v="24"/>
  </r>
  <r>
    <n v="12670"/>
    <s v="07.02.10"/>
    <s v="GG/268/09-10"/>
    <x v="207"/>
    <x v="75"/>
    <n v="4"/>
    <n v="6"/>
    <n v="24"/>
  </r>
  <r>
    <n v="12672"/>
    <s v="07.02.10"/>
    <s v="GG/268/09-10"/>
    <x v="214"/>
    <x v="69"/>
    <n v="4"/>
    <n v="6"/>
    <n v="24"/>
  </r>
  <r>
    <n v="12674"/>
    <s v="07.02.10"/>
    <s v="GG/268/09-10"/>
    <x v="124"/>
    <x v="9"/>
    <n v="4"/>
    <n v="6"/>
    <n v="24"/>
  </r>
  <r>
    <n v="12700"/>
    <s v="07.02.10"/>
    <s v="GG/268/09-10"/>
    <x v="389"/>
    <x v="167"/>
    <n v="6"/>
    <n v="10"/>
    <n v="60"/>
  </r>
  <r>
    <n v="12702"/>
    <s v="07.02.10"/>
    <s v="GG/268/09-10"/>
    <x v="390"/>
    <x v="168"/>
    <n v="6"/>
    <n v="10"/>
    <n v="60"/>
  </r>
  <r>
    <n v="12704"/>
    <s v="07.02.10"/>
    <s v="GG/268/09-10"/>
    <x v="391"/>
    <x v="169"/>
    <n v="2"/>
    <n v="10"/>
    <n v="20"/>
  </r>
  <r>
    <n v="12707"/>
    <s v="07.02.10"/>
    <s v="GG/268/09-10"/>
    <x v="397"/>
    <x v="177"/>
    <n v="4"/>
    <n v="10"/>
    <n v="40"/>
  </r>
  <r>
    <n v="12709"/>
    <s v="07.02.10"/>
    <s v="GG/268/09-10"/>
    <x v="398"/>
    <x v="178"/>
    <n v="2"/>
    <n v="10"/>
    <n v="20"/>
  </r>
  <r>
    <n v="12711"/>
    <s v="07.02.10"/>
    <s v="GG/268/09-10"/>
    <x v="399"/>
    <x v="179"/>
    <n v="2"/>
    <n v="10"/>
    <n v="20"/>
  </r>
  <r>
    <n v="12745"/>
    <s v="08.02.10"/>
    <s v="GG/269/09-10"/>
    <x v="204"/>
    <x v="72"/>
    <n v="4"/>
    <n v="6"/>
    <n v="24"/>
  </r>
  <r>
    <n v="12748"/>
    <s v="08.02.10"/>
    <s v="GG/269/09-10"/>
    <x v="395"/>
    <x v="174"/>
    <n v="2"/>
    <n v="10"/>
    <n v="20"/>
  </r>
  <r>
    <n v="12793"/>
    <s v="08.02.10"/>
    <s v="GG/270/09-10"/>
    <x v="124"/>
    <x v="145"/>
    <n v="3"/>
    <n v="6"/>
    <n v="18"/>
  </r>
  <r>
    <n v="12795"/>
    <s v="08.02.10"/>
    <s v="GG/270/09-10"/>
    <x v="130"/>
    <x v="85"/>
    <n v="1"/>
    <n v="6"/>
    <n v="6"/>
  </r>
  <r>
    <n v="12796"/>
    <s v="08.02.10"/>
    <s v="GG/270/09-10"/>
    <x v="56"/>
    <x v="83"/>
    <n v="1"/>
    <n v="6"/>
    <n v="6"/>
  </r>
  <r>
    <n v="12797"/>
    <s v="08.02.10"/>
    <s v="GG/270/09-10"/>
    <x v="114"/>
    <x v="76"/>
    <n v="1"/>
    <n v="6"/>
    <n v="6"/>
  </r>
  <r>
    <n v="12799"/>
    <s v="08.02.10"/>
    <s v="GG/270/09-10"/>
    <x v="397"/>
    <x v="177"/>
    <n v="3"/>
    <n v="10"/>
    <n v="30"/>
  </r>
  <r>
    <n v="12803"/>
    <s v="08.02.10"/>
    <s v="GG/270/09-10"/>
    <x v="400"/>
    <x v="9"/>
    <n v="5"/>
    <n v="10"/>
    <n v="50"/>
  </r>
  <r>
    <n v="12839"/>
    <s v="07.02.10"/>
    <s v="GG/271/09-10"/>
    <x v="401"/>
    <x v="180"/>
    <n v="5"/>
    <n v="5"/>
    <n v="25"/>
  </r>
  <r>
    <n v="12881"/>
    <s v="06.02.10"/>
    <s v="GG/272/09-10"/>
    <x v="25"/>
    <x v="25"/>
    <n v="5"/>
    <n v="5"/>
    <n v="25"/>
  </r>
  <r>
    <n v="12931"/>
    <s v="10.02.10"/>
    <s v="GG/273/09-10"/>
    <x v="118"/>
    <x v="96"/>
    <n v="1"/>
    <n v="5"/>
    <n v="5"/>
  </r>
  <r>
    <n v="12932"/>
    <s v="10.02.10"/>
    <s v="GG/273/09-10"/>
    <x v="29"/>
    <x v="29"/>
    <n v="1"/>
    <n v="5"/>
    <n v="5"/>
  </r>
  <r>
    <n v="12933"/>
    <s v="10.02.10"/>
    <s v="GG/273/09-10"/>
    <x v="164"/>
    <x v="113"/>
    <n v="1"/>
    <n v="5"/>
    <n v="5"/>
  </r>
  <r>
    <n v="12934"/>
    <s v="10.02.10"/>
    <s v="GG/273/09-10"/>
    <x v="191"/>
    <x v="175"/>
    <n v="1"/>
    <n v="5"/>
    <n v="5"/>
  </r>
  <r>
    <n v="12935"/>
    <s v="10.02.10"/>
    <s v="GG/273/09-10"/>
    <x v="99"/>
    <x v="144"/>
    <n v="1"/>
    <n v="5"/>
    <n v="5"/>
  </r>
  <r>
    <n v="12936"/>
    <s v="10.02.10"/>
    <s v="GG/273/09-10"/>
    <x v="207"/>
    <x v="142"/>
    <n v="1"/>
    <n v="5"/>
    <n v="5"/>
  </r>
  <r>
    <n v="12937"/>
    <s v="10.02.10"/>
    <s v="GG/273/09-10"/>
    <x v="16"/>
    <x v="15"/>
    <n v="1"/>
    <n v="5"/>
    <n v="5"/>
  </r>
  <r>
    <n v="12938"/>
    <s v="10.02.10"/>
    <s v="GG/273/09-10"/>
    <x v="56"/>
    <x v="39"/>
    <n v="2"/>
    <n v="5"/>
    <n v="10"/>
  </r>
  <r>
    <n v="12939"/>
    <s v="10.02.10"/>
    <s v="GG/273/09-10"/>
    <x v="282"/>
    <x v="126"/>
    <n v="1"/>
    <n v="5"/>
    <n v="5"/>
  </r>
  <r>
    <n v="12940"/>
    <s v="10.02.10"/>
    <s v="GG/273/09-10"/>
    <x v="294"/>
    <x v="181"/>
    <n v="1"/>
    <n v="5"/>
    <n v="5"/>
  </r>
  <r>
    <n v="12941"/>
    <s v="10.02.10"/>
    <s v="GG/273/09-10"/>
    <x v="402"/>
    <x v="182"/>
    <n v="1"/>
    <n v="5"/>
    <n v="5"/>
  </r>
  <r>
    <n v="12942"/>
    <s v="10.02.10"/>
    <s v="GG/273/09-10"/>
    <x v="246"/>
    <x v="24"/>
    <n v="2"/>
    <n v="5"/>
    <n v="10"/>
  </r>
  <r>
    <n v="12944"/>
    <s v="10.02.10"/>
    <s v="GG/273/09-10"/>
    <x v="403"/>
    <x v="9"/>
    <n v="1"/>
    <n v="10"/>
    <n v="10"/>
  </r>
  <r>
    <n v="12945"/>
    <s v="10.02.10"/>
    <s v="GG/273/09-10"/>
    <x v="373"/>
    <x v="9"/>
    <n v="2"/>
    <n v="10"/>
    <n v="20"/>
  </r>
  <r>
    <n v="12947"/>
    <s v="10.02.10"/>
    <s v="GG/273/09-10"/>
    <x v="404"/>
    <x v="9"/>
    <n v="3"/>
    <n v="10"/>
    <n v="30"/>
  </r>
  <r>
    <n v="12978"/>
    <s v="10.02.10"/>
    <s v="GG/273/09-10"/>
    <x v="28"/>
    <x v="70"/>
    <n v="1"/>
    <n v="6"/>
    <n v="6"/>
  </r>
  <r>
    <n v="12979"/>
    <s v="10.02.10"/>
    <s v="GG/273/09-10"/>
    <x v="281"/>
    <x v="47"/>
    <n v="1"/>
    <n v="6"/>
    <n v="6"/>
  </r>
  <r>
    <n v="12980"/>
    <s v="10.02.10"/>
    <s v="GG/273/09-10"/>
    <x v="8"/>
    <x v="8"/>
    <n v="1"/>
    <n v="4"/>
    <n v="4"/>
  </r>
  <r>
    <n v="12981"/>
    <s v="10.02.10"/>
    <s v="GG/273/09-10"/>
    <x v="152"/>
    <x v="91"/>
    <n v="1"/>
    <n v="8"/>
    <n v="8"/>
  </r>
  <r>
    <n v="13023"/>
    <s v="12.02.10"/>
    <s v="GG/274/09-10"/>
    <x v="53"/>
    <x v="36"/>
    <n v="5"/>
    <n v="5"/>
    <n v="25"/>
  </r>
  <r>
    <n v="13068"/>
    <s v="12.02.10"/>
    <s v="GG/275/09-10"/>
    <x v="164"/>
    <x v="131"/>
    <n v="2"/>
    <n v="5"/>
    <n v="10"/>
  </r>
  <r>
    <n v="13069"/>
    <s v="12.02.10"/>
    <s v="GG/275/09-10"/>
    <x v="16"/>
    <x v="15"/>
    <n v="3"/>
    <n v="5"/>
    <n v="15"/>
  </r>
  <r>
    <n v="13070"/>
    <s v="12.02.10"/>
    <s v="GG/275/09-10"/>
    <x v="6"/>
    <x v="100"/>
    <n v="2"/>
    <n v="5"/>
    <n v="10"/>
  </r>
  <r>
    <n v="13071"/>
    <s v="12.02.10"/>
    <s v="GG/275/09-10"/>
    <x v="24"/>
    <x v="24"/>
    <n v="2"/>
    <n v="5"/>
    <n v="10"/>
  </r>
  <r>
    <n v="13073"/>
    <s v="12.02.10"/>
    <s v="GG/275/09-10"/>
    <x v="105"/>
    <x v="65"/>
    <n v="4"/>
    <n v="6"/>
    <n v="24"/>
  </r>
  <r>
    <n v="13075"/>
    <s v="12.02.10"/>
    <s v="GG/275/09-10"/>
    <x v="28"/>
    <x v="70"/>
    <n v="1"/>
    <n v="4"/>
    <n v="4"/>
  </r>
  <r>
    <n v="13076"/>
    <s v="12.02.10"/>
    <s v="GG/275/09-10"/>
    <x v="109"/>
    <x v="71"/>
    <n v="1"/>
    <n v="6"/>
    <n v="6"/>
  </r>
  <r>
    <n v="13077"/>
    <s v="12.02.10"/>
    <s v="GG/275/09-10"/>
    <x v="109"/>
    <x v="71"/>
    <n v="1"/>
    <n v="5"/>
    <n v="5"/>
  </r>
  <r>
    <n v="13078"/>
    <s v="12.02.10"/>
    <s v="GG/275/09-10"/>
    <x v="2"/>
    <x v="51"/>
    <n v="4"/>
    <n v="6"/>
    <n v="24"/>
  </r>
  <r>
    <n v="13080"/>
    <s v="12.02.10"/>
    <s v="GG/275/09-10"/>
    <x v="207"/>
    <x v="75"/>
    <n v="4"/>
    <n v="6"/>
    <n v="24"/>
  </r>
  <r>
    <n v="13082"/>
    <s v="12.02.10"/>
    <s v="GG/275/09-10"/>
    <x v="207"/>
    <x v="75"/>
    <n v="1"/>
    <n v="6"/>
    <n v="6"/>
  </r>
  <r>
    <n v="13083"/>
    <s v="12.02.10"/>
    <s v="GG/275/09-10"/>
    <x v="1"/>
    <x v="17"/>
    <n v="1"/>
    <n v="4"/>
    <n v="4"/>
  </r>
  <r>
    <n v="13126"/>
    <s v="13.02.10"/>
    <s v="GG/276/09-10"/>
    <x v="405"/>
    <x v="181"/>
    <n v="1"/>
    <n v="5"/>
    <n v="5"/>
  </r>
  <r>
    <n v="13127"/>
    <s v="13.02.10"/>
    <s v="GG/276/09-10"/>
    <x v="56"/>
    <x v="39"/>
    <n v="2"/>
    <n v="5"/>
    <n v="10"/>
  </r>
  <r>
    <n v="13128"/>
    <s v="13.02.10"/>
    <s v="GG/276/09-10"/>
    <x v="30"/>
    <x v="30"/>
    <n v="2"/>
    <n v="5"/>
    <n v="10"/>
  </r>
  <r>
    <n v="13129"/>
    <s v="13.02.10"/>
    <s v="GG/276/09-10"/>
    <x v="406"/>
    <x v="182"/>
    <n v="2"/>
    <n v="5"/>
    <n v="10"/>
  </r>
  <r>
    <n v="13130"/>
    <s v="13.02.10"/>
    <s v="GG/276/09-10"/>
    <x v="84"/>
    <x v="58"/>
    <n v="1"/>
    <n v="5"/>
    <n v="5"/>
  </r>
  <r>
    <n v="13131"/>
    <s v="13.02.10"/>
    <s v="GG/276/09-10"/>
    <x v="83"/>
    <x v="56"/>
    <n v="1"/>
    <n v="5"/>
    <n v="5"/>
  </r>
  <r>
    <n v="13132"/>
    <s v="13.02.10"/>
    <s v="GG/276/09-10"/>
    <x v="191"/>
    <x v="175"/>
    <n v="1"/>
    <n v="5"/>
    <n v="5"/>
  </r>
  <r>
    <n v="13133"/>
    <s v="13.02.10"/>
    <s v="GG/276/09-10"/>
    <x v="87"/>
    <x v="99"/>
    <n v="1"/>
    <n v="5"/>
    <n v="5"/>
  </r>
  <r>
    <n v="13134"/>
    <s v="13.02.10"/>
    <s v="GG/276/09-10"/>
    <x v="105"/>
    <x v="154"/>
    <n v="1"/>
    <n v="5"/>
    <n v="5"/>
  </r>
  <r>
    <n v="13135"/>
    <s v="13.02.10"/>
    <s v="GG/276/09-10"/>
    <x v="150"/>
    <x v="120"/>
    <n v="1"/>
    <n v="5"/>
    <n v="5"/>
  </r>
  <r>
    <n v="13136"/>
    <s v="13.02.10"/>
    <s v="GG/276/09-10"/>
    <x v="235"/>
    <x v="126"/>
    <n v="1"/>
    <n v="5"/>
    <n v="5"/>
  </r>
  <r>
    <n v="13138"/>
    <s v="13.02.10"/>
    <s v="GG/276/09-10"/>
    <x v="6"/>
    <x v="9"/>
    <n v="10"/>
    <n v="1"/>
    <n v="10"/>
  </r>
  <r>
    <n v="13173"/>
    <s v="15.02.10"/>
    <s v="GG/277/09-10"/>
    <x v="164"/>
    <x v="113"/>
    <n v="4"/>
    <n v="5"/>
    <n v="20"/>
  </r>
  <r>
    <n v="13174"/>
    <s v="15.02.10"/>
    <s v="GG/277/09-10"/>
    <x v="30"/>
    <x v="30"/>
    <n v="4"/>
    <n v="5"/>
    <n v="20"/>
  </r>
  <r>
    <n v="13175"/>
    <s v="15.02.10"/>
    <s v="GG/277/09-10"/>
    <x v="161"/>
    <x v="117"/>
    <n v="2"/>
    <n v="5"/>
    <n v="10"/>
  </r>
  <r>
    <n v="13176"/>
    <s v="15.02.10"/>
    <s v="GG/277/09-10"/>
    <x v="105"/>
    <x v="154"/>
    <n v="1"/>
    <n v="5"/>
    <n v="5"/>
  </r>
  <r>
    <n v="13177"/>
    <s v="15.02.10"/>
    <s v="GG/277/09-10"/>
    <x v="150"/>
    <x v="120"/>
    <n v="3"/>
    <n v="5"/>
    <n v="15"/>
  </r>
  <r>
    <n v="13178"/>
    <s v="15.02.10"/>
    <s v="GG/277/09-10"/>
    <x v="235"/>
    <x v="126"/>
    <n v="6"/>
    <n v="5"/>
    <n v="30"/>
  </r>
  <r>
    <n v="13180"/>
    <s v="15.02.10"/>
    <s v="GG/277/09-10"/>
    <x v="407"/>
    <x v="183"/>
    <n v="1"/>
    <n v="8"/>
    <n v="8"/>
  </r>
  <r>
    <n v="13182"/>
    <s v="15.02.10"/>
    <s v="GG/277/09-10"/>
    <x v="408"/>
    <x v="9"/>
    <n v="2"/>
    <n v="10"/>
    <n v="20"/>
  </r>
  <r>
    <n v="13184"/>
    <s v="15.02.10"/>
    <s v="GG/277/09-10"/>
    <x v="408"/>
    <x v="9"/>
    <n v="1"/>
    <n v="10"/>
    <n v="10"/>
  </r>
  <r>
    <n v="13186"/>
    <s v="15.02.10"/>
    <s v="GG/277/09-10"/>
    <x v="56"/>
    <x v="83"/>
    <n v="2"/>
    <n v="6"/>
    <n v="12"/>
  </r>
  <r>
    <n v="13187"/>
    <s v="15.02.10"/>
    <s v="GG/277/09-10"/>
    <x v="56"/>
    <x v="83"/>
    <n v="1"/>
    <n v="3"/>
    <n v="3"/>
  </r>
  <r>
    <n v="13188"/>
    <s v="15.02.10"/>
    <s v="GG/277/09-10"/>
    <x v="2"/>
    <x v="51"/>
    <n v="3"/>
    <n v="6"/>
    <n v="18"/>
  </r>
  <r>
    <n v="13189"/>
    <s v="15.02.10"/>
    <s v="GG/277/09-10"/>
    <x v="2"/>
    <x v="51"/>
    <n v="2"/>
    <n v="1"/>
    <n v="2"/>
  </r>
  <r>
    <n v="13190"/>
    <s v="15.02.10"/>
    <s v="GG/277/09-10"/>
    <x v="20"/>
    <x v="89"/>
    <n v="4"/>
    <n v="6"/>
    <n v="24"/>
  </r>
  <r>
    <n v="13192"/>
    <s v="15.02.10"/>
    <s v="GG/277/09-10"/>
    <x v="7"/>
    <x v="184"/>
    <n v="4"/>
    <n v="6"/>
    <n v="24"/>
  </r>
  <r>
    <n v="13194"/>
    <s v="15.02.10"/>
    <s v="GG/277/09-10"/>
    <x v="150"/>
    <x v="90"/>
    <n v="3"/>
    <n v="6"/>
    <n v="18"/>
  </r>
  <r>
    <n v="13219"/>
    <s v="15.02.10"/>
    <s v="GG/277/09-10"/>
    <x v="1"/>
    <x v="1"/>
    <n v="2"/>
    <n v="25"/>
    <n v="50"/>
  </r>
  <r>
    <n v="13220"/>
    <s v="15.02.10"/>
    <s v="GG/277/09-10"/>
    <x v="1"/>
    <x v="1"/>
    <n v="1"/>
    <n v="24"/>
    <n v="24"/>
  </r>
  <r>
    <n v="13221"/>
    <s v="15.02.10"/>
    <s v="GG/277/09-10"/>
    <x v="150"/>
    <x v="35"/>
    <n v="10"/>
    <n v="25"/>
    <n v="250"/>
  </r>
  <r>
    <n v="13222"/>
    <s v="15.02.10"/>
    <s v="GG/277/09-10"/>
    <x v="150"/>
    <x v="35"/>
    <n v="1"/>
    <n v="21"/>
    <n v="21"/>
  </r>
  <r>
    <n v="13223"/>
    <s v="15.02.10"/>
    <s v="GG/277/09-10"/>
    <x v="163"/>
    <x v="57"/>
    <n v="3"/>
    <n v="25"/>
    <n v="75"/>
  </r>
  <r>
    <n v="13224"/>
    <s v="15.02.10"/>
    <s v="GG/277/09-10"/>
    <x v="99"/>
    <x v="47"/>
    <n v="4"/>
    <n v="25"/>
    <n v="100"/>
  </r>
  <r>
    <n v="13225"/>
    <s v="15.02.10"/>
    <s v="GG/277/09-10"/>
    <x v="99"/>
    <x v="47"/>
    <n v="1"/>
    <n v="18"/>
    <n v="18"/>
  </r>
  <r>
    <n v="13226"/>
    <s v="15.02.10"/>
    <s v="GG/277/09-10"/>
    <x v="22"/>
    <x v="60"/>
    <n v="8"/>
    <n v="25"/>
    <n v="200"/>
  </r>
  <r>
    <n v="13227"/>
    <s v="15.02.10"/>
    <s v="GG/277/09-10"/>
    <x v="22"/>
    <x v="60"/>
    <n v="1"/>
    <n v="24"/>
    <n v="24"/>
  </r>
  <r>
    <n v="13288"/>
    <s v="15.02.10"/>
    <s v="GG/278/09-10"/>
    <x v="22"/>
    <x v="60"/>
    <n v="1"/>
    <n v="25"/>
    <n v="25"/>
  </r>
  <r>
    <n v="13289"/>
    <s v="15.02.10"/>
    <s v="GG/278/09-10"/>
    <x v="5"/>
    <x v="5"/>
    <n v="2"/>
    <n v="20"/>
    <n v="40"/>
  </r>
  <r>
    <n v="13290"/>
    <s v="15.02.10"/>
    <s v="GG/278/09-10"/>
    <x v="1"/>
    <x v="1"/>
    <n v="3"/>
    <n v="25"/>
    <n v="75"/>
  </r>
  <r>
    <n v="13291"/>
    <s v="15.02.10"/>
    <s v="GG/278/09-10"/>
    <x v="163"/>
    <x v="57"/>
    <n v="2"/>
    <n v="25"/>
    <n v="50"/>
  </r>
  <r>
    <n v="13292"/>
    <s v="15.02.10"/>
    <s v="GG/278/09-10"/>
    <x v="4"/>
    <x v="4"/>
    <n v="1"/>
    <n v="25"/>
    <n v="25"/>
  </r>
  <r>
    <n v="13293"/>
    <s v="15.02.10"/>
    <s v="GG/278/09-10"/>
    <x v="8"/>
    <x v="102"/>
    <n v="1"/>
    <n v="25"/>
    <n v="25"/>
  </r>
  <r>
    <n v="13294"/>
    <s v="15.02.10"/>
    <s v="GG/278/09-10"/>
    <x v="8"/>
    <x v="103"/>
    <n v="1"/>
    <n v="25"/>
    <n v="25"/>
  </r>
  <r>
    <n v="13296"/>
    <s v="15.02.10"/>
    <s v="GG/278/09-10"/>
    <x v="137"/>
    <x v="9"/>
    <n v="22"/>
    <n v="24"/>
    <n v="528"/>
  </r>
  <r>
    <n v="13297"/>
    <s v="15.02.10"/>
    <s v="GG/278/09-10"/>
    <x v="137"/>
    <x v="9"/>
    <n v="2"/>
    <n v="24"/>
    <n v="48"/>
  </r>
  <r>
    <n v="13333"/>
    <s v="15.02.10"/>
    <s v="GG/279/09-10"/>
    <x v="105"/>
    <x v="65"/>
    <n v="4"/>
    <n v="6"/>
    <n v="24"/>
  </r>
  <r>
    <n v="13335"/>
    <s v="15.02.10"/>
    <s v="GG/279/09-10"/>
    <x v="87"/>
    <x v="67"/>
    <n v="2"/>
    <n v="6"/>
    <n v="12"/>
  </r>
  <r>
    <n v="13336"/>
    <s v="15.02.10"/>
    <s v="GG/279/09-10"/>
    <x v="130"/>
    <x v="85"/>
    <n v="1"/>
    <n v="6"/>
    <n v="6"/>
  </r>
  <r>
    <n v="13337"/>
    <s v="15.02.10"/>
    <s v="GG/279/09-10"/>
    <x v="130"/>
    <x v="85"/>
    <n v="1"/>
    <n v="3"/>
    <n v="3"/>
  </r>
  <r>
    <n v="13338"/>
    <s v="15.02.10"/>
    <s v="GG/279/09-10"/>
    <x v="155"/>
    <x v="64"/>
    <n v="1"/>
    <n v="1"/>
    <n v="1"/>
  </r>
  <r>
    <n v="13339"/>
    <s v="15.02.10"/>
    <s v="GG/279/09-10"/>
    <x v="114"/>
    <x v="76"/>
    <n v="2"/>
    <n v="1"/>
    <n v="2"/>
  </r>
  <r>
    <n v="13340"/>
    <s v="15.02.10"/>
    <s v="GG/279/09-10"/>
    <x v="409"/>
    <x v="91"/>
    <n v="3"/>
    <n v="8"/>
    <n v="24"/>
  </r>
  <r>
    <n v="13342"/>
    <s v="15.02.10"/>
    <s v="GG/279/09-10"/>
    <x v="5"/>
    <x v="69"/>
    <n v="4"/>
    <n v="6"/>
    <n v="24"/>
  </r>
  <r>
    <n v="13344"/>
    <s v="15.02.10"/>
    <s v="GG/279/09-10"/>
    <x v="204"/>
    <x v="72"/>
    <n v="2"/>
    <n v="6"/>
    <n v="12"/>
  </r>
  <r>
    <n v="13345"/>
    <s v="15.02.10"/>
    <s v="GG/279/09-10"/>
    <x v="8"/>
    <x v="8"/>
    <n v="6"/>
    <n v="4"/>
    <n v="24"/>
  </r>
  <r>
    <n v="13402"/>
    <s v="15.02.10"/>
    <s v="GG/280/09-10"/>
    <x v="204"/>
    <x v="72"/>
    <n v="1"/>
    <n v="6"/>
    <n v="6"/>
  </r>
  <r>
    <n v="13404"/>
    <s v="15.02.10"/>
    <s v="GG/280/09-10"/>
    <x v="410"/>
    <x v="9"/>
    <n v="10"/>
    <n v="4"/>
    <n v="40"/>
  </r>
  <r>
    <n v="13448"/>
    <s v="16.02.10"/>
    <s v="GG/281/09-10"/>
    <x v="22"/>
    <x v="60"/>
    <n v="2"/>
    <n v="25"/>
    <n v="50"/>
  </r>
  <r>
    <n v="13449"/>
    <s v="16.02.10"/>
    <s v="GG/281/09-10"/>
    <x v="99"/>
    <x v="47"/>
    <n v="1"/>
    <n v="25"/>
    <n v="25"/>
  </r>
  <r>
    <n v="13451"/>
    <s v="16.02.10"/>
    <s v="GG/281/09-10"/>
    <x v="2"/>
    <x v="185"/>
    <n v="4"/>
    <n v="25"/>
    <n v="100"/>
  </r>
  <r>
    <n v="13453"/>
    <s v="16.02.10"/>
    <s v="GG/281/09-10"/>
    <x v="411"/>
    <x v="108"/>
    <n v="4"/>
    <n v="25"/>
    <n v="100"/>
  </r>
  <r>
    <n v="13455"/>
    <s v="16.02.10"/>
    <s v="GG/281/09-10"/>
    <x v="163"/>
    <x v="186"/>
    <n v="4"/>
    <n v="25"/>
    <n v="100"/>
  </r>
  <r>
    <n v="13457"/>
    <s v="16.02.10"/>
    <s v="GG/281/09-10"/>
    <x v="98"/>
    <x v="187"/>
    <n v="4"/>
    <n v="25"/>
    <n v="100"/>
  </r>
  <r>
    <n v="13459"/>
    <s v="16.02.10"/>
    <s v="GG/281/09-10"/>
    <x v="412"/>
    <x v="188"/>
    <n v="4"/>
    <n v="25"/>
    <n v="100"/>
  </r>
  <r>
    <n v="13461"/>
    <s v="16.02.10"/>
    <s v="GG/281/09-10"/>
    <x v="312"/>
    <x v="150"/>
    <n v="8"/>
    <n v="25"/>
    <n v="200"/>
  </r>
  <r>
    <n v="13464"/>
    <s v="16.02.10"/>
    <s v="GG/281/09-10"/>
    <x v="381"/>
    <x v="158"/>
    <n v="1"/>
    <n v="1"/>
    <n v="1"/>
  </r>
  <r>
    <n v="13466"/>
    <s v="16.02.10"/>
    <s v="GG/281/09-10"/>
    <x v="5"/>
    <x v="69"/>
    <n v="4"/>
    <n v="6"/>
    <n v="24"/>
  </r>
  <r>
    <n v="13468"/>
    <s v="16.02.10"/>
    <s v="GG/281/09-10"/>
    <x v="5"/>
    <x v="69"/>
    <n v="1"/>
    <n v="6"/>
    <n v="6"/>
  </r>
  <r>
    <n v="13491"/>
    <s v="18.02.10"/>
    <s v="GG/282/09-10"/>
    <x v="137"/>
    <x v="86"/>
    <n v="44"/>
    <n v="24"/>
    <n v="1056"/>
  </r>
  <r>
    <n v="13558"/>
    <s v="24.02.10"/>
    <s v="GG/283/09-10"/>
    <x v="204"/>
    <x v="72"/>
    <n v="2"/>
    <n v="6"/>
    <n v="12"/>
  </r>
  <r>
    <n v="13560"/>
    <s v="24.02.10"/>
    <s v="GG/283/09-10"/>
    <x v="87"/>
    <x v="99"/>
    <n v="1"/>
    <n v="5"/>
    <n v="5"/>
  </r>
  <r>
    <n v="13561"/>
    <s v="24.02.10"/>
    <s v="GG/283/09-10"/>
    <x v="130"/>
    <x v="98"/>
    <n v="2"/>
    <n v="5"/>
    <n v="10"/>
  </r>
  <r>
    <n v="13603"/>
    <s v="25.02.10"/>
    <s v="GG/284/09-10"/>
    <x v="0"/>
    <x v="0"/>
    <n v="8"/>
    <n v="25"/>
    <n v="200"/>
  </r>
  <r>
    <n v="13604"/>
    <s v="25.02.10"/>
    <s v="GG/284/09-10"/>
    <x v="153"/>
    <x v="1"/>
    <n v="8"/>
    <n v="25"/>
    <n v="200"/>
  </r>
  <r>
    <n v="13605"/>
    <s v="25.02.10"/>
    <s v="GG/284/09-10"/>
    <x v="2"/>
    <x v="2"/>
    <n v="10"/>
    <n v="25"/>
    <n v="250"/>
  </r>
  <r>
    <n v="13606"/>
    <s v="25.02.10"/>
    <s v="GG/284/09-10"/>
    <x v="413"/>
    <x v="3"/>
    <n v="12"/>
    <n v="25"/>
    <n v="300"/>
  </r>
  <r>
    <n v="13607"/>
    <s v="25.02.10"/>
    <s v="GG/284/09-10"/>
    <x v="414"/>
    <x v="189"/>
    <n v="4"/>
    <n v="25"/>
    <n v="100"/>
  </r>
  <r>
    <n v="13608"/>
    <s v="25.02.10"/>
    <s v="GG/284/09-10"/>
    <x v="415"/>
    <x v="190"/>
    <n v="2"/>
    <n v="25"/>
    <n v="50"/>
  </r>
  <r>
    <n v="13609"/>
    <s v="25.02.10"/>
    <s v="GG/284/09-10"/>
    <x v="112"/>
    <x v="191"/>
    <n v="1"/>
    <n v="25"/>
    <n v="25"/>
  </r>
  <r>
    <n v="13610"/>
    <s v="25.02.10"/>
    <s v="GG/284/09-10"/>
    <x v="190"/>
    <x v="192"/>
    <n v="1"/>
    <n v="25"/>
    <n v="25"/>
  </r>
  <r>
    <n v="13612"/>
    <s v="25.02.10"/>
    <s v="GG/284/09-10"/>
    <x v="85"/>
    <x v="41"/>
    <n v="27"/>
    <n v="8"/>
    <n v="216"/>
  </r>
  <r>
    <n v="13614"/>
    <s v="25.02.10"/>
    <s v="GG/284/09-10"/>
    <x v="0"/>
    <x v="68"/>
    <n v="8"/>
    <n v="6"/>
    <n v="48"/>
  </r>
  <r>
    <n v="13616"/>
    <s v="25.02.10"/>
    <s v="GG/284/09-10"/>
    <x v="0"/>
    <x v="17"/>
    <n v="2"/>
    <n v="6"/>
    <n v="12"/>
  </r>
  <r>
    <n v="13617"/>
    <s v="25.02.10"/>
    <s v="GG/284/09-10"/>
    <x v="104"/>
    <x v="64"/>
    <n v="1"/>
    <n v="6"/>
    <n v="6"/>
  </r>
  <r>
    <n v="13618"/>
    <s v="25.02.10"/>
    <s v="GG/284/09-10"/>
    <x v="191"/>
    <x v="193"/>
    <n v="2"/>
    <n v="6"/>
    <n v="12"/>
  </r>
  <r>
    <n v="13619"/>
    <s v="25.02.10"/>
    <s v="GG/284/09-10"/>
    <x v="6"/>
    <x v="6"/>
    <n v="4"/>
    <n v="6"/>
    <n v="24"/>
  </r>
  <r>
    <n v="13621"/>
    <s v="25.02.10"/>
    <s v="GG/284/09-10"/>
    <x v="235"/>
    <x v="194"/>
    <n v="2"/>
    <n v="6"/>
    <n v="12"/>
  </r>
  <r>
    <n v="13622"/>
    <s v="25.02.10"/>
    <s v="GG/284/09-10"/>
    <x v="22"/>
    <x v="21"/>
    <n v="2"/>
    <n v="6"/>
    <n v="12"/>
  </r>
  <r>
    <n v="13623"/>
    <s v="25.02.10"/>
    <s v="GG/284/09-10"/>
    <x v="312"/>
    <x v="78"/>
    <n v="4"/>
    <n v="6"/>
    <n v="24"/>
  </r>
  <r>
    <n v="13625"/>
    <s v="25.02.10"/>
    <s v="GG/284/09-10"/>
    <x v="55"/>
    <x v="8"/>
    <n v="3"/>
    <n v="5"/>
    <n v="15"/>
  </r>
  <r>
    <n v="13627"/>
    <s v="25.02.10"/>
    <s v="GG/284/09-10"/>
    <x v="141"/>
    <x v="128"/>
    <n v="1"/>
    <n v="300"/>
    <n v="300"/>
  </r>
  <r>
    <n v="13630"/>
    <s v="25.02.10"/>
    <s v="GG/284/09-10"/>
    <x v="416"/>
    <x v="9"/>
    <n v="1"/>
    <n v="100"/>
    <n v="100"/>
  </r>
  <r>
    <n v="13649"/>
    <s v="25.02.10"/>
    <s v="GG/284/09-10"/>
    <x v="255"/>
    <x v="112"/>
    <n v="1"/>
    <n v="500"/>
    <n v="500"/>
  </r>
  <r>
    <n v="13651"/>
    <s v="25.02.10"/>
    <s v="GG/284/09-10"/>
    <x v="312"/>
    <x v="80"/>
    <n v="1"/>
    <n v="100"/>
    <n v="100"/>
  </r>
  <r>
    <n v="13653"/>
    <s v="25.02.10"/>
    <s v="GG/284/09-10"/>
    <x v="417"/>
    <x v="195"/>
    <n v="1"/>
    <n v="30"/>
    <n v="30"/>
  </r>
  <r>
    <n v="13654"/>
    <s v="25.02.10"/>
    <s v="GG/284/09-10"/>
    <x v="418"/>
    <x v="196"/>
    <n v="1"/>
    <n v="435"/>
    <n v="435"/>
  </r>
  <r>
    <n v="13656"/>
    <s v="25.02.10"/>
    <s v="GG/284/09-10"/>
    <x v="419"/>
    <x v="115"/>
    <n v="1"/>
    <n v="50"/>
    <n v="50"/>
  </r>
  <r>
    <n v="13658"/>
    <s v="25.02.10"/>
    <s v="GG/284/09-10"/>
    <x v="150"/>
    <x v="197"/>
    <n v="1"/>
    <n v="25"/>
    <n v="25"/>
  </r>
  <r>
    <n v="13661"/>
    <s v="25.02.10"/>
    <s v="GG/284/09-10"/>
    <x v="420"/>
    <x v="32"/>
    <n v="24"/>
    <n v="24"/>
    <n v="576"/>
  </r>
  <r>
    <n v="13663"/>
    <s v="25.02.10"/>
    <s v="GG/284/09-10"/>
    <x v="421"/>
    <x v="86"/>
    <n v="22"/>
    <n v="24"/>
    <n v="528"/>
  </r>
  <r>
    <n v="13665"/>
    <s v="25.02.10"/>
    <s v="GG/284/09-10"/>
    <x v="420"/>
    <x v="198"/>
    <n v="4"/>
    <n v="6"/>
    <n v="24"/>
  </r>
  <r>
    <n v="13667"/>
    <s v="25.02.10"/>
    <s v="GG/284/09-10"/>
    <x v="422"/>
    <x v="9"/>
    <n v="10"/>
    <n v="10"/>
    <n v="100"/>
  </r>
  <r>
    <n v="13669"/>
    <s v="25.02.10"/>
    <s v="GG/284/09-10"/>
    <x v="423"/>
    <x v="125"/>
    <n v="1"/>
    <n v="50"/>
    <n v="50"/>
  </r>
  <r>
    <n v="13671"/>
    <s v="25.02.10"/>
    <s v="GG/284/09-10"/>
    <x v="424"/>
    <x v="199"/>
    <n v="2"/>
    <n v="100"/>
    <n v="200"/>
  </r>
  <r>
    <n v="13672"/>
    <s v="25.02.10"/>
    <s v="GG/284/09-10"/>
    <x v="425"/>
    <x v="9"/>
    <n v="1"/>
    <n v="24"/>
    <n v="24"/>
  </r>
  <r>
    <n v="13673"/>
    <s v="25.02.10"/>
    <s v="GG/284/09-10"/>
    <x v="426"/>
    <x v="9"/>
    <n v="1"/>
    <n v="15"/>
    <n v="15"/>
  </r>
  <r>
    <n v="13694"/>
    <s v="25.02.10"/>
    <s v="GG/284/09-10"/>
    <x v="63"/>
    <x v="9"/>
    <n v="1"/>
    <n v="200"/>
    <n v="200"/>
  </r>
  <r>
    <n v="13697"/>
    <s v="25.02.10"/>
    <s v="GG/284/09-10"/>
    <x v="427"/>
    <x v="9"/>
    <n v="100"/>
    <n v="1"/>
    <n v="100"/>
  </r>
  <r>
    <n v="13698"/>
    <s v="25.02.10"/>
    <s v="GG/284/09-10"/>
    <x v="427"/>
    <x v="9"/>
    <n v="5"/>
    <n v="1"/>
    <n v="5"/>
  </r>
  <r>
    <n v="13700"/>
    <s v="25.02.10"/>
    <s v="GG/284/09-10"/>
    <x v="0"/>
    <x v="200"/>
    <n v="7.5"/>
    <n v="10"/>
    <n v="75"/>
  </r>
  <r>
    <n v="13702"/>
    <s v="25.02.10"/>
    <s v="GG/284/09-10"/>
    <x v="144"/>
    <x v="201"/>
    <n v="2.5"/>
    <n v="10"/>
    <n v="25"/>
  </r>
  <r>
    <n v="13704"/>
    <s v="25.02.10"/>
    <s v="GG/284/09-10"/>
    <x v="20"/>
    <x v="156"/>
    <n v="2"/>
    <n v="5"/>
    <n v="10"/>
  </r>
  <r>
    <n v="13705"/>
    <s v="25.02.10"/>
    <s v="GG/284/09-10"/>
    <x v="262"/>
    <x v="202"/>
    <n v="2"/>
    <n v="5"/>
    <n v="10"/>
  </r>
  <r>
    <n v="13706"/>
    <s v="25.02.10"/>
    <s v="GG/284/09-10"/>
    <x v="402"/>
    <x v="182"/>
    <n v="2"/>
    <n v="5"/>
    <n v="10"/>
  </r>
  <r>
    <n v="13707"/>
    <s v="25.02.10"/>
    <s v="GG/284/09-10"/>
    <x v="405"/>
    <x v="181"/>
    <n v="2"/>
    <n v="5"/>
    <n v="10"/>
  </r>
  <r>
    <n v="13708"/>
    <s v="25.02.10"/>
    <s v="GG/284/09-10"/>
    <x v="351"/>
    <x v="56"/>
    <n v="2"/>
    <n v="5"/>
    <n v="10"/>
  </r>
  <r>
    <n v="13709"/>
    <s v="25.02.10"/>
    <s v="GG/284/09-10"/>
    <x v="235"/>
    <x v="126"/>
    <n v="2"/>
    <n v="5"/>
    <n v="10"/>
  </r>
  <r>
    <n v="13710"/>
    <s v="25.02.10"/>
    <s v="GG/284/09-10"/>
    <x v="207"/>
    <x v="142"/>
    <n v="2"/>
    <n v="5"/>
    <n v="10"/>
  </r>
  <r>
    <n v="13711"/>
    <s v="25.02.10"/>
    <s v="GG/284/09-10"/>
    <x v="112"/>
    <x v="95"/>
    <n v="2"/>
    <n v="5"/>
    <n v="10"/>
  </r>
  <r>
    <n v="13712"/>
    <s v="25.02.10"/>
    <s v="GG/284/09-10"/>
    <x v="99"/>
    <x v="144"/>
    <n v="2"/>
    <n v="5"/>
    <n v="10"/>
  </r>
  <r>
    <n v="13713"/>
    <s v="25.02.10"/>
    <s v="GG/284/09-10"/>
    <x v="191"/>
    <x v="175"/>
    <n v="2"/>
    <n v="5"/>
    <n v="10"/>
  </r>
  <r>
    <n v="13714"/>
    <s v="25.02.10"/>
    <s v="GG/284/09-10"/>
    <x v="104"/>
    <x v="94"/>
    <n v="2"/>
    <n v="5"/>
    <n v="10"/>
  </r>
  <r>
    <n v="13715"/>
    <s v="25.02.10"/>
    <s v="GG/284/09-10"/>
    <x v="87"/>
    <x v="99"/>
    <n v="2"/>
    <n v="5"/>
    <n v="10"/>
  </r>
  <r>
    <n v="13716"/>
    <s v="25.02.10"/>
    <s v="GG/284/09-10"/>
    <x v="150"/>
    <x v="120"/>
    <n v="2"/>
    <n v="5"/>
    <n v="10"/>
  </r>
  <r>
    <n v="13717"/>
    <s v="25.02.10"/>
    <s v="GG/284/09-10"/>
    <x v="105"/>
    <x v="154"/>
    <n v="2"/>
    <n v="5"/>
    <n v="10"/>
  </r>
  <r>
    <n v="13718"/>
    <s v="25.02.10"/>
    <s v="GG/284/09-10"/>
    <x v="161"/>
    <x v="104"/>
    <n v="2"/>
    <n v="5"/>
    <n v="10"/>
  </r>
  <r>
    <n v="13719"/>
    <s v="25.02.10"/>
    <s v="GG/284/09-10"/>
    <x v="30"/>
    <x v="30"/>
    <n v="2"/>
    <n v="5"/>
    <n v="10"/>
  </r>
  <r>
    <n v="13741"/>
    <s v="25.02.10"/>
    <s v="GG/284/09-10"/>
    <x v="219"/>
    <x v="203"/>
    <n v="12"/>
    <n v="10"/>
    <n v="120"/>
  </r>
  <r>
    <n v="13742"/>
    <s v="25.02.10"/>
    <s v="GG/284/09-10"/>
    <x v="428"/>
    <x v="203"/>
    <n v="18"/>
    <n v="10"/>
    <n v="180"/>
  </r>
  <r>
    <n v="13786"/>
    <s v="25.02.10"/>
    <s v="GG/285/09-10"/>
    <x v="82"/>
    <x v="204"/>
    <n v="98"/>
    <n v="1"/>
    <n v="98"/>
  </r>
  <r>
    <n v="13789"/>
    <s v="25.02.10"/>
    <s v="GG/285/09-10"/>
    <x v="85"/>
    <x v="205"/>
    <n v="6"/>
    <n v="8"/>
    <n v="48"/>
  </r>
  <r>
    <n v="13835"/>
    <s v="27.02.10"/>
    <s v="GG/286/09-10"/>
    <x v="55"/>
    <x v="8"/>
    <n v="9"/>
    <n v="5"/>
    <n v="45"/>
  </r>
  <r>
    <n v="13836"/>
    <s v="27.02.10"/>
    <s v="GG/286/09-10"/>
    <x v="22"/>
    <x v="21"/>
    <n v="2"/>
    <n v="6"/>
    <n v="12"/>
  </r>
  <r>
    <n v="13837"/>
    <s v="27.02.10"/>
    <s v="GG/286/09-10"/>
    <x v="0"/>
    <x v="130"/>
    <n v="3"/>
    <n v="6"/>
    <n v="18"/>
  </r>
  <r>
    <n v="13838"/>
    <s v="27.02.10"/>
    <s v="GG/286/09-10"/>
    <x v="1"/>
    <x v="151"/>
    <n v="2"/>
    <n v="6"/>
    <n v="12"/>
  </r>
  <r>
    <n v="13839"/>
    <s v="27.02.10"/>
    <s v="GG/286/09-10"/>
    <x v="214"/>
    <x v="69"/>
    <n v="5"/>
    <n v="6"/>
    <n v="30"/>
  </r>
  <r>
    <n v="13840"/>
    <s v="27.02.10"/>
    <s v="GG/286/09-10"/>
    <x v="6"/>
    <x v="6"/>
    <n v="8"/>
    <n v="6"/>
    <n v="48"/>
  </r>
  <r>
    <n v="13841"/>
    <s v="27.02.10"/>
    <s v="GG/286/09-10"/>
    <x v="283"/>
    <x v="47"/>
    <n v="1"/>
    <n v="6"/>
    <n v="6"/>
  </r>
  <r>
    <n v="13843"/>
    <s v="27.02.10"/>
    <s v="GG/286/09-10"/>
    <x v="293"/>
    <x v="206"/>
    <n v="1"/>
    <n v="5"/>
    <n v="5"/>
  </r>
  <r>
    <n v="13844"/>
    <s v="27.02.10"/>
    <s v="GG/286/09-10"/>
    <x v="144"/>
    <x v="201"/>
    <n v="2"/>
    <n v="10"/>
    <n v="20"/>
  </r>
  <r>
    <n v="13846"/>
    <s v="27.02.10"/>
    <s v="GG/286/09-10"/>
    <x v="429"/>
    <x v="3"/>
    <n v="8"/>
    <n v="25"/>
    <n v="200"/>
  </r>
  <r>
    <n v="13847"/>
    <s v="27.02.10"/>
    <s v="GG/286/09-10"/>
    <x v="430"/>
    <x v="189"/>
    <n v="2"/>
    <n v="25"/>
    <n v="50"/>
  </r>
  <r>
    <n v="13848"/>
    <s v="27.02.10"/>
    <s v="GG/286/09-10"/>
    <x v="0"/>
    <x v="0"/>
    <n v="8"/>
    <n v="25"/>
    <n v="200"/>
  </r>
  <r>
    <n v="13849"/>
    <s v="27.02.10"/>
    <s v="GG/286/09-10"/>
    <x v="1"/>
    <x v="1"/>
    <n v="4"/>
    <n v="25"/>
    <n v="100"/>
  </r>
  <r>
    <n v="13850"/>
    <s v="27.02.10"/>
    <s v="GG/286/09-10"/>
    <x v="2"/>
    <x v="2"/>
    <n v="8"/>
    <n v="25"/>
    <n v="200"/>
  </r>
  <r>
    <n v="13851"/>
    <s v="27.02.10"/>
    <s v="GG/286/09-10"/>
    <x v="431"/>
    <x v="190"/>
    <n v="1"/>
    <n v="25"/>
    <n v="25"/>
  </r>
  <r>
    <n v="13852"/>
    <s v="27.02.10"/>
    <s v="GG/286/09-10"/>
    <x v="112"/>
    <x v="191"/>
    <n v="1"/>
    <n v="25"/>
    <n v="25"/>
  </r>
  <r>
    <n v="13854"/>
    <s v="27.02.10"/>
    <s v="GG/286/09-10"/>
    <x v="424"/>
    <x v="199"/>
    <n v="5"/>
    <n v="100"/>
    <n v="500"/>
  </r>
  <r>
    <n v="13855"/>
    <s v="27.02.10"/>
    <s v="GG/286/09-10"/>
    <x v="432"/>
    <x v="9"/>
    <n v="10"/>
    <n v="10"/>
    <n v="100"/>
  </r>
  <r>
    <n v="13856"/>
    <s v="27.02.10"/>
    <s v="GG/286/09-10"/>
    <x v="432"/>
    <x v="9"/>
    <n v="1"/>
    <n v="10"/>
    <n v="10"/>
  </r>
  <r>
    <n v="13857"/>
    <s v="27.02.10"/>
    <s v="GG/286/09-10"/>
    <x v="433"/>
    <x v="80"/>
    <n v="1"/>
    <n v="50"/>
    <n v="50"/>
  </r>
  <r>
    <n v="13882"/>
    <s v="26.02.10"/>
    <s v="GG/287/09-10"/>
    <x v="55"/>
    <x v="38"/>
    <n v="6"/>
    <n v="5"/>
    <n v="30"/>
  </r>
  <r>
    <n v="13883"/>
    <s v="26.02.10"/>
    <s v="GG/287/09-10"/>
    <x v="0"/>
    <x v="130"/>
    <n v="3"/>
    <n v="6"/>
    <n v="18"/>
  </r>
  <r>
    <n v="13884"/>
    <s v="26.02.10"/>
    <s v="GG/287/09-10"/>
    <x v="1"/>
    <x v="151"/>
    <n v="2"/>
    <n v="6"/>
    <n v="12"/>
  </r>
  <r>
    <n v="13886"/>
    <s v="26.02.10"/>
    <s v="GG/287/09-10"/>
    <x v="144"/>
    <x v="201"/>
    <n v="3"/>
    <n v="5"/>
    <n v="15"/>
  </r>
  <r>
    <n v="13887"/>
    <s v="26.02.10"/>
    <s v="GG/287/09-10"/>
    <x v="20"/>
    <x v="156"/>
    <n v="4"/>
    <n v="5"/>
    <n v="20"/>
  </r>
  <r>
    <n v="13888"/>
    <s v="26.02.10"/>
    <s v="GG/287/09-10"/>
    <x v="262"/>
    <x v="207"/>
    <n v="4"/>
    <n v="5"/>
    <n v="20"/>
  </r>
  <r>
    <n v="13890"/>
    <s v="26.02.10"/>
    <s v="GG/287/09-10"/>
    <x v="2"/>
    <x v="2"/>
    <n v="4"/>
    <n v="25"/>
    <n v="100"/>
  </r>
  <r>
    <n v="13892"/>
    <s v="26.02.10"/>
    <s v="GG/287/09-10"/>
    <x v="137"/>
    <x v="86"/>
    <n v="22"/>
    <n v="24"/>
    <n v="528"/>
  </r>
  <r>
    <n v="13893"/>
    <s v="26.02.10"/>
    <s v="GG/287/09-10"/>
    <x v="137"/>
    <x v="86"/>
    <n v="2"/>
    <n v="24"/>
    <n v="48"/>
  </r>
  <r>
    <n v="13926"/>
    <s v="26.02.10"/>
    <s v="GG/288/09-10"/>
    <x v="0"/>
    <x v="0"/>
    <n v="10"/>
    <n v="25"/>
    <n v="250"/>
  </r>
  <r>
    <n v="13927"/>
    <s v="26.02.10"/>
    <s v="GG/288/09-10"/>
    <x v="153"/>
    <x v="1"/>
    <n v="8"/>
    <n v="25"/>
    <n v="200"/>
  </r>
  <r>
    <n v="13928"/>
    <s v="26.02.10"/>
    <s v="GG/288/09-10"/>
    <x v="2"/>
    <x v="2"/>
    <n v="10"/>
    <n v="25"/>
    <n v="250"/>
  </r>
  <r>
    <n v="13929"/>
    <s v="26.02.10"/>
    <s v="GG/288/09-10"/>
    <x v="413"/>
    <x v="3"/>
    <n v="16"/>
    <n v="25"/>
    <n v="400"/>
  </r>
  <r>
    <n v="13930"/>
    <s v="26.02.10"/>
    <s v="GG/288/09-10"/>
    <x v="415"/>
    <x v="190"/>
    <n v="2"/>
    <n v="25"/>
    <n v="50"/>
  </r>
  <r>
    <n v="13931"/>
    <s v="26.02.10"/>
    <s v="GG/288/09-10"/>
    <x v="112"/>
    <x v="191"/>
    <n v="2"/>
    <n v="25"/>
    <n v="50"/>
  </r>
  <r>
    <n v="13932"/>
    <s v="26.02.10"/>
    <s v="GG/288/09-10"/>
    <x v="190"/>
    <x v="192"/>
    <n v="1"/>
    <n v="25"/>
    <n v="25"/>
  </r>
  <r>
    <n v="13934"/>
    <s v="26.02.10"/>
    <s v="GG/288/09-10"/>
    <x v="98"/>
    <x v="208"/>
    <n v="4"/>
    <n v="6"/>
    <n v="24"/>
  </r>
  <r>
    <n v="13936"/>
    <s v="26.02.10"/>
    <s v="GG/288/09-10"/>
    <x v="207"/>
    <x v="75"/>
    <n v="4"/>
    <n v="6"/>
    <n v="24"/>
  </r>
  <r>
    <n v="13938"/>
    <s v="26.02.10"/>
    <s v="GG/288/09-10"/>
    <x v="312"/>
    <x v="78"/>
    <n v="8"/>
    <n v="6"/>
    <n v="48"/>
  </r>
  <r>
    <n v="13940"/>
    <s v="26.02.10"/>
    <s v="GG/288/09-10"/>
    <x v="191"/>
    <x v="193"/>
    <n v="2"/>
    <n v="6"/>
    <n v="12"/>
  </r>
  <r>
    <n v="13941"/>
    <s v="26.02.10"/>
    <s v="GG/288/09-10"/>
    <x v="99"/>
    <x v="114"/>
    <n v="1"/>
    <n v="6"/>
    <n v="6"/>
  </r>
  <r>
    <n v="13942"/>
    <s v="26.02.10"/>
    <s v="GG/288/09-10"/>
    <x v="55"/>
    <x v="8"/>
    <n v="3"/>
    <n v="5"/>
    <n v="15"/>
  </r>
  <r>
    <n v="13944"/>
    <s v="26.02.10"/>
    <s v="GG/288/09-10"/>
    <x v="141"/>
    <x v="128"/>
    <n v="1"/>
    <n v="300"/>
    <n v="300"/>
  </r>
  <r>
    <n v="13947"/>
    <s v="26.02.10"/>
    <s v="GG/288/09-10"/>
    <x v="416"/>
    <x v="9"/>
    <n v="3"/>
    <n v="100"/>
    <n v="300"/>
  </r>
  <r>
    <n v="13972"/>
    <s v="26.02.10"/>
    <s v="GG/288/09-10"/>
    <x v="255"/>
    <x v="112"/>
    <n v="1"/>
    <n v="500"/>
    <n v="500"/>
  </r>
  <r>
    <n v="13974"/>
    <s v="26.02.10"/>
    <s v="GG/288/09-10"/>
    <x v="312"/>
    <x v="80"/>
    <n v="1"/>
    <n v="134"/>
    <n v="134"/>
  </r>
  <r>
    <n v="13976"/>
    <s v="26.02.10"/>
    <s v="GG/288/09-10"/>
    <x v="418"/>
    <x v="196"/>
    <n v="1"/>
    <n v="435"/>
    <n v="435"/>
  </r>
  <r>
    <n v="13983"/>
    <s v="26.02.10"/>
    <s v="GG/288/09-10"/>
    <x v="420"/>
    <x v="32"/>
    <n v="24"/>
    <n v="24"/>
    <n v="576"/>
  </r>
  <r>
    <n v="13985"/>
    <s v="26.02.10"/>
    <s v="GG/288/09-10"/>
    <x v="420"/>
    <x v="198"/>
    <n v="8"/>
    <n v="6"/>
    <n v="48"/>
  </r>
  <r>
    <n v="13987"/>
    <s v="26.02.10"/>
    <s v="GG/288/09-10"/>
    <x v="422"/>
    <x v="9"/>
    <n v="10"/>
    <n v="10"/>
    <n v="100"/>
  </r>
  <r>
    <n v="13989"/>
    <s v="26.02.10"/>
    <s v="GG/288/09-10"/>
    <x v="423"/>
    <x v="125"/>
    <n v="1"/>
    <n v="50"/>
    <n v="50"/>
  </r>
  <r>
    <n v="13991"/>
    <s v="26.02.10"/>
    <s v="GG/288/09-10"/>
    <x v="424"/>
    <x v="62"/>
    <n v="2"/>
    <n v="100"/>
    <n v="200"/>
  </r>
  <r>
    <n v="13992"/>
    <s v="26.02.10"/>
    <s v="GG/288/09-10"/>
    <x v="425"/>
    <x v="9"/>
    <n v="1"/>
    <n v="25"/>
    <n v="25"/>
  </r>
  <r>
    <n v="13993"/>
    <s v="26.02.10"/>
    <s v="GG/288/09-10"/>
    <x v="426"/>
    <x v="9"/>
    <n v="1"/>
    <n v="10"/>
    <n v="10"/>
  </r>
  <r>
    <n v="14016"/>
    <s v="26.02.10"/>
    <s v="GG/288/09-10"/>
    <x v="434"/>
    <x v="9"/>
    <n v="90"/>
    <n v="1"/>
    <n v="90"/>
  </r>
  <r>
    <n v="14020"/>
    <s v="26.02.10"/>
    <s v="GG/288/09-10"/>
    <x v="144"/>
    <x v="201"/>
    <n v="2.5"/>
    <n v="10"/>
    <n v="25"/>
  </r>
  <r>
    <n v="14022"/>
    <s v="26.02.10"/>
    <s v="GG/288/09-10"/>
    <x v="20"/>
    <x v="156"/>
    <n v="2"/>
    <n v="5"/>
    <n v="10"/>
  </r>
  <r>
    <n v="14023"/>
    <s v="26.02.10"/>
    <s v="GG/288/09-10"/>
    <x v="262"/>
    <x v="202"/>
    <n v="5"/>
    <n v="5"/>
    <n v="25"/>
  </r>
  <r>
    <n v="14064"/>
    <s v="27.02.10"/>
    <s v="GG/289/09-10"/>
    <x v="0"/>
    <x v="0"/>
    <n v="10"/>
    <n v="25"/>
    <n v="250"/>
  </r>
  <r>
    <n v="14065"/>
    <s v="27.02.10"/>
    <s v="GG/289/09-10"/>
    <x v="153"/>
    <x v="1"/>
    <n v="8"/>
    <n v="25"/>
    <n v="200"/>
  </r>
  <r>
    <n v="14066"/>
    <s v="27.02.10"/>
    <s v="GG/289/09-10"/>
    <x v="2"/>
    <x v="2"/>
    <n v="10"/>
    <n v="25"/>
    <n v="250"/>
  </r>
  <r>
    <n v="14067"/>
    <s v="27.02.10"/>
    <s v="GG/289/09-10"/>
    <x v="413"/>
    <x v="3"/>
    <n v="16"/>
    <n v="25"/>
    <n v="400"/>
  </r>
  <r>
    <n v="14069"/>
    <s v="27.02.10"/>
    <s v="GG/289/09-10"/>
    <x v="0"/>
    <x v="68"/>
    <n v="4"/>
    <n v="6"/>
    <n v="24"/>
  </r>
  <r>
    <n v="14071"/>
    <s v="27.02.10"/>
    <s v="GG/289/09-10"/>
    <x v="1"/>
    <x v="17"/>
    <n v="3"/>
    <n v="6"/>
    <n v="18"/>
  </r>
  <r>
    <n v="14072"/>
    <s v="27.02.10"/>
    <s v="GG/289/09-10"/>
    <x v="204"/>
    <x v="72"/>
    <n v="3"/>
    <n v="6"/>
    <n v="18"/>
  </r>
  <r>
    <n v="14073"/>
    <s v="27.02.10"/>
    <s v="GG/289/09-10"/>
    <x v="214"/>
    <x v="69"/>
    <n v="5"/>
    <n v="6"/>
    <n v="30"/>
  </r>
  <r>
    <n v="14074"/>
    <s v="27.02.10"/>
    <s v="GG/289/09-10"/>
    <x v="6"/>
    <x v="6"/>
    <n v="4"/>
    <n v="6"/>
    <n v="24"/>
  </r>
  <r>
    <n v="14076"/>
    <s v="27.02.10"/>
    <s v="GG/289/09-10"/>
    <x v="283"/>
    <x v="47"/>
    <n v="2"/>
    <n v="6"/>
    <n v="12"/>
  </r>
  <r>
    <n v="14077"/>
    <s v="27.02.10"/>
    <s v="GG/289/09-10"/>
    <x v="235"/>
    <x v="194"/>
    <n v="4"/>
    <n v="6"/>
    <n v="24"/>
  </r>
  <r>
    <n v="14079"/>
    <s v="27.02.10"/>
    <s v="GG/289/09-10"/>
    <x v="312"/>
    <x v="78"/>
    <n v="8"/>
    <n v="6"/>
    <n v="48"/>
  </r>
  <r>
    <n v="14081"/>
    <s v="27.02.10"/>
    <s v="GG/289/09-10"/>
    <x v="55"/>
    <x v="8"/>
    <n v="3"/>
    <n v="5"/>
    <n v="15"/>
  </r>
  <r>
    <n v="14083"/>
    <s v="27.02.10"/>
    <s v="GG/289/09-10"/>
    <x v="416"/>
    <x v="9"/>
    <n v="1"/>
    <n v="100"/>
    <n v="100"/>
  </r>
  <r>
    <n v="14108"/>
    <s v="27.02.10"/>
    <s v="GG/289/09-10"/>
    <x v="435"/>
    <x v="9"/>
    <n v="1"/>
    <n v="50"/>
    <n v="50"/>
  </r>
  <r>
    <n v="14109"/>
    <s v="27.02.10"/>
    <s v="GG/289/09-10"/>
    <x v="422"/>
    <x v="9"/>
    <n v="10"/>
    <n v="10"/>
    <n v="100"/>
  </r>
  <r>
    <n v="14111"/>
    <s v="27.02.10"/>
    <s v="GG/289/09-10"/>
    <x v="423"/>
    <x v="125"/>
    <n v="1"/>
    <n v="50"/>
    <n v="50"/>
  </r>
  <r>
    <n v="14113"/>
    <s v="27.02.10"/>
    <s v="GG/289/09-10"/>
    <x v="424"/>
    <x v="62"/>
    <n v="3"/>
    <n v="100"/>
    <n v="300"/>
  </r>
  <r>
    <n v="14114"/>
    <s v="27.02.10"/>
    <s v="GG/289/09-10"/>
    <x v="425"/>
    <x v="9"/>
    <n v="1"/>
    <n v="25"/>
    <n v="25"/>
  </r>
  <r>
    <n v="14115"/>
    <s v="27.02.10"/>
    <s v="GG/289/09-10"/>
    <x v="426"/>
    <x v="9"/>
    <n v="1"/>
    <n v="10"/>
    <n v="10"/>
  </r>
  <r>
    <n v="14117"/>
    <s v="27.02.10"/>
    <s v="GG/289/09-10"/>
    <x v="434"/>
    <x v="9"/>
    <n v="75"/>
    <n v="1"/>
    <n v="75"/>
  </r>
  <r>
    <n v="14120"/>
    <s v="27.02.10"/>
    <s v="GG/289/09-10"/>
    <x v="144"/>
    <x v="201"/>
    <n v="2.5"/>
    <n v="10"/>
    <n v="25"/>
  </r>
  <r>
    <n v="14122"/>
    <s v="27.02.10"/>
    <s v="GG/289/09-10"/>
    <x v="20"/>
    <x v="156"/>
    <n v="5"/>
    <n v="5"/>
    <n v="25"/>
  </r>
  <r>
    <n v="14124"/>
    <s v="27.02.10"/>
    <s v="GG/289/09-10"/>
    <x v="262"/>
    <x v="202"/>
    <n v="5"/>
    <n v="5"/>
    <n v="25"/>
  </r>
  <r>
    <n v="14154"/>
    <s v="27.02.10"/>
    <s v="GG/290/09-10"/>
    <x v="0"/>
    <x v="0"/>
    <n v="2"/>
    <n v="25"/>
    <n v="50"/>
  </r>
  <r>
    <n v="14155"/>
    <s v="27.02.10"/>
    <s v="GG/290/09-10"/>
    <x v="153"/>
    <x v="1"/>
    <n v="2"/>
    <n v="25"/>
    <n v="50"/>
  </r>
  <r>
    <n v="14156"/>
    <s v="27.02.10"/>
    <s v="GG/290/09-10"/>
    <x v="2"/>
    <x v="2"/>
    <n v="2"/>
    <n v="25"/>
    <n v="50"/>
  </r>
  <r>
    <n v="14157"/>
    <s v="27.02.10"/>
    <s v="GG/290/09-10"/>
    <x v="413"/>
    <x v="3"/>
    <n v="4"/>
    <n v="25"/>
    <n v="100"/>
  </r>
  <r>
    <n v="14158"/>
    <s v="27.02.10"/>
    <s v="GG/290/09-10"/>
    <x v="414"/>
    <x v="189"/>
    <n v="1"/>
    <n v="25"/>
    <n v="25"/>
  </r>
  <r>
    <n v="14160"/>
    <s v="27.02.10"/>
    <s v="GG/290/09-10"/>
    <x v="0"/>
    <x v="68"/>
    <n v="2"/>
    <n v="6"/>
    <n v="12"/>
  </r>
  <r>
    <n v="14161"/>
    <s v="27.02.10"/>
    <s v="GG/290/09-10"/>
    <x v="214"/>
    <x v="69"/>
    <n v="2"/>
    <n v="6"/>
    <n v="12"/>
  </r>
  <r>
    <n v="14162"/>
    <s v="27.02.10"/>
    <s v="GG/290/09-10"/>
    <x v="6"/>
    <x v="6"/>
    <n v="4"/>
    <n v="6"/>
    <n v="24"/>
  </r>
  <r>
    <n v="14164"/>
    <s v="27.02.10"/>
    <s v="GG/290/09-10"/>
    <x v="55"/>
    <x v="8"/>
    <n v="1"/>
    <n v="5"/>
    <n v="5"/>
  </r>
  <r>
    <n v="14166"/>
    <s v="27.02.10"/>
    <s v="GG/290/09-10"/>
    <x v="416"/>
    <x v="9"/>
    <n v="2"/>
    <n v="100"/>
    <n v="200"/>
  </r>
  <r>
    <n v="14169"/>
    <s v="27.02.10"/>
    <s v="GG/290/09-10"/>
    <x v="420"/>
    <x v="32"/>
    <n v="24"/>
    <n v="24"/>
    <n v="576"/>
  </r>
  <r>
    <n v="14171"/>
    <s v="27.02.10"/>
    <s v="GG/290/09-10"/>
    <x v="420"/>
    <x v="198"/>
    <n v="8"/>
    <n v="6"/>
    <n v="48"/>
  </r>
  <r>
    <n v="14173"/>
    <s v="27.02.10"/>
    <s v="GG/290/09-10"/>
    <x v="422"/>
    <x v="9"/>
    <n v="10"/>
    <n v="10"/>
    <n v="100"/>
  </r>
  <r>
    <n v="14175"/>
    <s v="27.02.10"/>
    <s v="GG/290/09-10"/>
    <x v="424"/>
    <x v="62"/>
    <n v="2"/>
    <n v="100"/>
    <n v="200"/>
  </r>
  <r>
    <n v="14199"/>
    <s v="27.02.10"/>
    <s v="GG/290/09-10"/>
    <x v="20"/>
    <x v="156"/>
    <n v="2"/>
    <n v="5"/>
    <n v="10"/>
  </r>
  <r>
    <n v="14200"/>
    <s v="27.02.10"/>
    <s v="GG/290/09-10"/>
    <x v="262"/>
    <x v="202"/>
    <n v="4"/>
    <n v="5"/>
    <n v="20"/>
  </r>
  <r>
    <n v="14244"/>
    <s v="27.02.10"/>
    <s v="GG/291/09-10"/>
    <x v="0"/>
    <x v="0"/>
    <n v="8"/>
    <n v="25"/>
    <n v="200"/>
  </r>
  <r>
    <n v="14245"/>
    <s v="27.02.10"/>
    <s v="GG/291/09-10"/>
    <x v="153"/>
    <x v="1"/>
    <n v="8"/>
    <n v="25"/>
    <n v="200"/>
  </r>
  <r>
    <n v="14246"/>
    <s v="27.02.10"/>
    <s v="GG/291/09-10"/>
    <x v="2"/>
    <x v="2"/>
    <n v="10"/>
    <n v="25"/>
    <n v="250"/>
  </r>
  <r>
    <n v="14247"/>
    <s v="27.02.10"/>
    <s v="GG/291/09-10"/>
    <x v="413"/>
    <x v="3"/>
    <n v="12"/>
    <n v="25"/>
    <n v="300"/>
  </r>
  <r>
    <n v="14248"/>
    <s v="27.02.10"/>
    <s v="GG/291/09-10"/>
    <x v="414"/>
    <x v="189"/>
    <n v="4"/>
    <n v="25"/>
    <n v="100"/>
  </r>
  <r>
    <n v="14249"/>
    <s v="27.02.10"/>
    <s v="GG/291/09-10"/>
    <x v="415"/>
    <x v="190"/>
    <n v="2"/>
    <n v="25"/>
    <n v="50"/>
  </r>
  <r>
    <n v="14250"/>
    <s v="27.02.10"/>
    <s v="GG/291/09-10"/>
    <x v="112"/>
    <x v="191"/>
    <n v="1"/>
    <n v="25"/>
    <n v="25"/>
  </r>
  <r>
    <n v="14253"/>
    <s v="27.02.10"/>
    <s v="GG/291/09-10"/>
    <x v="85"/>
    <x v="41"/>
    <n v="6"/>
    <n v="8"/>
    <n v="48"/>
  </r>
  <r>
    <n v="14255"/>
    <s v="27.02.10"/>
    <s v="GG/291/09-10"/>
    <x v="0"/>
    <x v="68"/>
    <n v="4"/>
    <n v="6"/>
    <n v="24"/>
  </r>
  <r>
    <n v="14257"/>
    <s v="27.02.10"/>
    <s v="GG/291/09-10"/>
    <x v="153"/>
    <x v="17"/>
    <n v="2"/>
    <n v="6"/>
    <n v="12"/>
  </r>
  <r>
    <n v="14258"/>
    <s v="27.02.10"/>
    <s v="GG/291/09-10"/>
    <x v="104"/>
    <x v="64"/>
    <n v="1"/>
    <n v="6"/>
    <n v="6"/>
  </r>
  <r>
    <n v="14259"/>
    <s v="27.02.10"/>
    <s v="GG/291/09-10"/>
    <x v="191"/>
    <x v="193"/>
    <n v="2"/>
    <n v="6"/>
    <n v="12"/>
  </r>
  <r>
    <n v="14260"/>
    <s v="27.02.10"/>
    <s v="GG/291/09-10"/>
    <x v="6"/>
    <x v="6"/>
    <n v="4"/>
    <n v="6"/>
    <n v="24"/>
  </r>
  <r>
    <n v="14262"/>
    <s v="27.02.10"/>
    <s v="GG/291/09-10"/>
    <x v="235"/>
    <x v="194"/>
    <n v="1"/>
    <n v="6"/>
    <n v="6"/>
  </r>
  <r>
    <n v="14263"/>
    <s v="27.02.10"/>
    <s v="GG/291/09-10"/>
    <x v="22"/>
    <x v="21"/>
    <n v="2"/>
    <n v="6"/>
    <n v="12"/>
  </r>
  <r>
    <n v="14264"/>
    <s v="27.02.10"/>
    <s v="GG/291/09-10"/>
    <x v="312"/>
    <x v="78"/>
    <n v="4"/>
    <n v="6"/>
    <n v="24"/>
  </r>
  <r>
    <n v="14266"/>
    <s v="27.02.10"/>
    <s v="GG/291/09-10"/>
    <x v="55"/>
    <x v="8"/>
    <n v="2"/>
    <n v="5"/>
    <n v="10"/>
  </r>
  <r>
    <n v="14267"/>
    <s v="27.02.10"/>
    <s v="GG/291/09-10"/>
    <x v="20"/>
    <x v="89"/>
    <n v="3"/>
    <n v="6"/>
    <n v="18"/>
  </r>
  <r>
    <n v="14268"/>
    <s v="27.02.10"/>
    <s v="GG/291/09-10"/>
    <x v="262"/>
    <x v="7"/>
    <n v="4"/>
    <n v="6"/>
    <n v="24"/>
  </r>
  <r>
    <n v="14270"/>
    <s v="27.02.10"/>
    <s v="GG/291/09-10"/>
    <x v="204"/>
    <x v="72"/>
    <n v="1"/>
    <n v="6"/>
    <n v="6"/>
  </r>
  <r>
    <n v="14271"/>
    <s v="27.02.10"/>
    <s v="GG/291/09-10"/>
    <x v="214"/>
    <x v="69"/>
    <n v="2"/>
    <n v="6"/>
    <n v="12"/>
  </r>
  <r>
    <n v="14290"/>
    <s v="27.02.10"/>
    <s v="GG/291/09-10"/>
    <x v="207"/>
    <x v="75"/>
    <n v="4"/>
    <n v="6"/>
    <n v="24"/>
  </r>
  <r>
    <n v="14292"/>
    <s v="27.02.10"/>
    <s v="GG/291/09-10"/>
    <x v="118"/>
    <x v="79"/>
    <n v="1"/>
    <n v="6"/>
    <n v="6"/>
  </r>
  <r>
    <n v="14293"/>
    <s v="27.02.10"/>
    <s v="GG/291/09-10"/>
    <x v="16"/>
    <x v="77"/>
    <n v="2"/>
    <n v="6"/>
    <n v="12"/>
  </r>
  <r>
    <n v="14294"/>
    <s v="27.02.10"/>
    <s v="GG/291/09-10"/>
    <x v="99"/>
    <x v="114"/>
    <n v="1"/>
    <n v="6"/>
    <n v="6"/>
  </r>
  <r>
    <n v="14295"/>
    <s v="27.02.10"/>
    <s v="GG/291/09-10"/>
    <x v="150"/>
    <x v="90"/>
    <n v="1"/>
    <n v="6"/>
    <n v="6"/>
  </r>
  <r>
    <n v="14296"/>
    <s v="27.02.10"/>
    <s v="GG/291/09-10"/>
    <x v="283"/>
    <x v="47"/>
    <n v="1"/>
    <n v="6"/>
    <n v="6"/>
  </r>
  <r>
    <n v="14298"/>
    <s v="27.02.10"/>
    <s v="GG/291/09-10"/>
    <x v="141"/>
    <x v="128"/>
    <n v="1"/>
    <n v="300"/>
    <n v="300"/>
  </r>
  <r>
    <n v="14301"/>
    <s v="27.02.10"/>
    <s v="GG/291/09-10"/>
    <x v="416"/>
    <x v="9"/>
    <n v="2"/>
    <n v="100"/>
    <n v="200"/>
  </r>
  <r>
    <n v="14304"/>
    <s v="27.02.10"/>
    <s v="GG/291/09-10"/>
    <x v="420"/>
    <x v="32"/>
    <n v="21"/>
    <n v="24"/>
    <n v="504"/>
  </r>
  <r>
    <n v="14306"/>
    <s v="27.02.10"/>
    <s v="GG/291/09-10"/>
    <x v="436"/>
    <x v="86"/>
    <n v="22"/>
    <n v="24"/>
    <n v="528"/>
  </r>
  <r>
    <n v="14308"/>
    <s v="27.02.10"/>
    <s v="GG/291/09-10"/>
    <x v="424"/>
    <x v="199"/>
    <n v="1"/>
    <n v="100"/>
    <n v="100"/>
  </r>
  <r>
    <n v="14309"/>
    <s v="27.02.10"/>
    <s v="GG/291/09-10"/>
    <x v="63"/>
    <x v="9"/>
    <n v="1"/>
    <n v="90"/>
    <n v="90"/>
  </r>
  <r>
    <n v="14335"/>
    <s v="27.02.10"/>
    <s v="GG/291/09-10"/>
    <x v="427"/>
    <x v="9"/>
    <n v="69"/>
    <n v="1"/>
    <n v="69"/>
  </r>
  <r>
    <n v="14338"/>
    <s v="27.02.10"/>
    <s v="GG/291/09-10"/>
    <x v="144"/>
    <x v="201"/>
    <n v="2.5"/>
    <n v="10"/>
    <n v="25"/>
  </r>
  <r>
    <n v="14340"/>
    <s v="27.02.10"/>
    <s v="GG/291/09-10"/>
    <x v="20"/>
    <x v="156"/>
    <n v="2"/>
    <n v="5"/>
    <n v="10"/>
  </r>
  <r>
    <n v="14341"/>
    <s v="27.02.10"/>
    <s v="GG/291/09-10"/>
    <x v="262"/>
    <x v="202"/>
    <n v="5"/>
    <n v="5"/>
    <n v="25"/>
  </r>
  <r>
    <n v="14343"/>
    <s v="27.02.10"/>
    <s v="GG/291/09-10"/>
    <x v="405"/>
    <x v="181"/>
    <n v="3"/>
    <n v="5"/>
    <n v="15"/>
  </r>
  <r>
    <n v="14344"/>
    <s v="27.02.10"/>
    <s v="GG/291/09-10"/>
    <x v="235"/>
    <x v="126"/>
    <n v="3"/>
    <n v="5"/>
    <n v="15"/>
  </r>
  <r>
    <n v="14345"/>
    <s v="27.02.10"/>
    <s v="GG/291/09-10"/>
    <x v="99"/>
    <x v="144"/>
    <n v="1"/>
    <n v="5"/>
    <n v="5"/>
  </r>
  <r>
    <n v="14346"/>
    <s v="27.02.10"/>
    <s v="GG/291/09-10"/>
    <x v="104"/>
    <x v="94"/>
    <n v="3"/>
    <n v="5"/>
    <n v="15"/>
  </r>
  <r>
    <n v="14347"/>
    <s v="27.02.10"/>
    <s v="GG/291/09-10"/>
    <x v="87"/>
    <x v="99"/>
    <n v="2"/>
    <n v="5"/>
    <n v="10"/>
  </r>
  <r>
    <n v="14348"/>
    <s v="27.02.10"/>
    <s v="GG/291/09-10"/>
    <x v="161"/>
    <x v="104"/>
    <n v="1"/>
    <n v="5"/>
    <n v="5"/>
  </r>
  <r>
    <n v="14349"/>
    <s v="27.02.10"/>
    <s v="GG/291/09-10"/>
    <x v="30"/>
    <x v="30"/>
    <n v="1"/>
    <n v="4"/>
    <n v="4"/>
  </r>
  <r>
    <n v="14350"/>
    <s v="27.02.10"/>
    <s v="GG/291/09-10"/>
    <x v="361"/>
    <x v="100"/>
    <n v="3"/>
    <n v="5"/>
    <n v="15"/>
  </r>
  <r>
    <n v="14351"/>
    <s v="27.02.10"/>
    <s v="GG/291/09-10"/>
    <x v="283"/>
    <x v="143"/>
    <n v="5"/>
    <n v="5"/>
    <n v="25"/>
  </r>
  <r>
    <n v="14353"/>
    <s v="27.02.10"/>
    <s v="GG/291/09-10"/>
    <x v="130"/>
    <x v="98"/>
    <n v="3"/>
    <n v="5"/>
    <n v="15"/>
  </r>
  <r>
    <n v="14354"/>
    <s v="27.02.10"/>
    <s v="GG/291/09-10"/>
    <x v="118"/>
    <x v="96"/>
    <n v="1"/>
    <n v="5"/>
    <n v="5"/>
  </r>
  <r>
    <n v="14385"/>
    <s v="28.02.10"/>
    <s v="GG/292/09-10"/>
    <x v="0"/>
    <x v="0"/>
    <n v="4"/>
    <n v="25"/>
    <n v="100"/>
  </r>
  <r>
    <n v="14386"/>
    <s v="28.02.10"/>
    <s v="GG/292/09-10"/>
    <x v="2"/>
    <x v="2"/>
    <n v="2"/>
    <n v="25"/>
    <n v="50"/>
  </r>
  <r>
    <n v="14387"/>
    <s v="28.02.10"/>
    <s v="GG/292/09-10"/>
    <x v="413"/>
    <x v="3"/>
    <n v="10"/>
    <n v="25"/>
    <n v="250"/>
  </r>
  <r>
    <n v="14388"/>
    <s v="28.02.10"/>
    <s v="GG/292/09-10"/>
    <x v="414"/>
    <x v="189"/>
    <n v="2"/>
    <n v="25"/>
    <n v="50"/>
  </r>
  <r>
    <n v="14390"/>
    <s v="28.02.10"/>
    <s v="GG/292/09-10"/>
    <x v="0"/>
    <x v="68"/>
    <n v="2"/>
    <n v="6"/>
    <n v="12"/>
  </r>
  <r>
    <n v="14391"/>
    <s v="28.02.10"/>
    <s v="GG/292/09-10"/>
    <x v="22"/>
    <x v="21"/>
    <n v="2"/>
    <n v="6"/>
    <n v="12"/>
  </r>
  <r>
    <n v="14392"/>
    <s v="28.02.10"/>
    <s v="GG/292/09-10"/>
    <x v="214"/>
    <x v="69"/>
    <n v="2"/>
    <n v="6"/>
    <n v="12"/>
  </r>
  <r>
    <n v="14393"/>
    <s v="28.02.10"/>
    <s v="GG/292/09-10"/>
    <x v="6"/>
    <x v="6"/>
    <n v="4"/>
    <n v="6"/>
    <n v="24"/>
  </r>
  <r>
    <n v="14395"/>
    <s v="28.02.10"/>
    <s v="GG/292/09-10"/>
    <x v="191"/>
    <x v="193"/>
    <n v="1"/>
    <n v="6"/>
    <n v="6"/>
  </r>
  <r>
    <n v="14396"/>
    <s v="28.02.10"/>
    <s v="GG/292/09-10"/>
    <x v="16"/>
    <x v="77"/>
    <n v="1"/>
    <n v="6"/>
    <n v="6"/>
  </r>
  <r>
    <n v="14398"/>
    <s v="28.02.10"/>
    <s v="GG/292/09-10"/>
    <x v="137"/>
    <x v="86"/>
    <n v="22"/>
    <n v="24"/>
    <n v="528"/>
  </r>
  <r>
    <n v="14400"/>
    <s v="28.02.10"/>
    <s v="GG/292/09-10"/>
    <x v="127"/>
    <x v="9"/>
    <n v="1"/>
    <n v="100"/>
    <n v="100"/>
  </r>
  <r>
    <n v="14401"/>
    <s v="28.02.10"/>
    <s v="GG/292/09-10"/>
    <x v="424"/>
    <x v="62"/>
    <n v="2"/>
    <n v="100"/>
    <n v="200"/>
  </r>
  <r>
    <n v="14430"/>
    <s v="28.02.10"/>
    <s v="GG/292/09-10"/>
    <x v="144"/>
    <x v="201"/>
    <n v="1"/>
    <n v="10"/>
    <n v="10"/>
  </r>
  <r>
    <n v="14431"/>
    <s v="28.02.10"/>
    <s v="GG/292/09-10"/>
    <x v="144"/>
    <x v="201"/>
    <n v="1"/>
    <n v="5"/>
    <n v="5"/>
  </r>
  <r>
    <n v="14432"/>
    <s v="28.02.10"/>
    <s v="GG/292/09-10"/>
    <x v="361"/>
    <x v="100"/>
    <n v="3"/>
    <n v="5"/>
    <n v="15"/>
  </r>
  <r>
    <n v="14433"/>
    <s v="28.02.10"/>
    <s v="GG/292/09-10"/>
    <x v="105"/>
    <x v="154"/>
    <n v="3"/>
    <n v="5"/>
    <n v="15"/>
  </r>
  <r>
    <n v="14434"/>
    <s v="28.02.10"/>
    <s v="GG/292/09-10"/>
    <x v="405"/>
    <x v="181"/>
    <n v="1"/>
    <n v="5"/>
    <n v="5"/>
  </r>
  <r>
    <n v="14435"/>
    <s v="28.02.10"/>
    <s v="GG/292/09-10"/>
    <x v="104"/>
    <x v="94"/>
    <n v="1"/>
    <n v="5"/>
    <n v="5"/>
  </r>
  <r>
    <n v="14436"/>
    <s v="28.02.10"/>
    <s v="GG/292/09-10"/>
    <x v="130"/>
    <x v="98"/>
    <n v="2"/>
    <n v="5"/>
    <n v="10"/>
  </r>
  <r>
    <n v="14437"/>
    <s v="28.02.10"/>
    <s v="GG/292/09-10"/>
    <x v="158"/>
    <x v="97"/>
    <n v="2"/>
    <n v="5"/>
    <n v="10"/>
  </r>
  <r>
    <n v="14438"/>
    <s v="28.02.10"/>
    <s v="GG/292/09-10"/>
    <x v="118"/>
    <x v="96"/>
    <n v="2"/>
    <n v="5"/>
    <n v="10"/>
  </r>
  <r>
    <n v="14439"/>
    <s v="28.02.10"/>
    <s v="GG/292/09-10"/>
    <x v="406"/>
    <x v="182"/>
    <n v="3"/>
    <n v="5"/>
    <n v="15"/>
  </r>
  <r>
    <n v="14477"/>
    <s v="28.02.10"/>
    <s v="GG/293/09-10"/>
    <x v="434"/>
    <x v="9"/>
    <n v="110"/>
    <n v="1"/>
    <n v="110"/>
  </r>
  <r>
    <n v="14478"/>
    <s v="28.02.10"/>
    <s v="GG/293/09-10"/>
    <x v="434"/>
    <x v="9"/>
    <n v="10"/>
    <n v="1"/>
    <n v="10"/>
  </r>
  <r>
    <n v="14519"/>
    <s v="01.03.10"/>
    <s v="GG/294/09-10"/>
    <x v="137"/>
    <x v="86"/>
    <n v="110"/>
    <n v="24"/>
    <n v="2640"/>
  </r>
  <r>
    <n v="14522"/>
    <s v="01.03.10"/>
    <s v="GG/294/09-10"/>
    <x v="8"/>
    <x v="9"/>
    <n v="39"/>
    <n v="5"/>
    <n v="195"/>
  </r>
  <r>
    <n v="14563"/>
    <s v="01.03.10"/>
    <s v="GG/295/09-10"/>
    <x v="8"/>
    <x v="9"/>
    <n v="10"/>
    <n v="5"/>
    <n v="50"/>
  </r>
  <r>
    <n v="14608"/>
    <s v="03.03.10"/>
    <s v="GG/296/09-10"/>
    <x v="3"/>
    <x v="3"/>
    <n v="60"/>
    <n v="25"/>
    <n v="1500"/>
  </r>
  <r>
    <n v="14609"/>
    <s v="03.03.10"/>
    <s v="GG/296/09-10"/>
    <x v="0"/>
    <x v="0"/>
    <n v="20"/>
    <n v="25"/>
    <n v="500"/>
  </r>
  <r>
    <n v="14610"/>
    <s v="03.03.10"/>
    <s v="GG/296/09-10"/>
    <x v="2"/>
    <x v="2"/>
    <n v="8"/>
    <n v="25"/>
    <n v="200"/>
  </r>
  <r>
    <n v="14654"/>
    <s v="03.03.10"/>
    <s v="GG/297/09-10"/>
    <x v="312"/>
    <x v="78"/>
    <n v="2"/>
    <n v="6"/>
    <n v="12"/>
  </r>
  <r>
    <n v="14655"/>
    <s v="03.03.10"/>
    <s v="GG/297/09-10"/>
    <x v="22"/>
    <x v="21"/>
    <n v="1"/>
    <n v="6"/>
    <n v="6"/>
  </r>
  <r>
    <n v="14656"/>
    <s v="03.03.10"/>
    <s v="GG/297/09-10"/>
    <x v="6"/>
    <x v="6"/>
    <n v="1"/>
    <n v="6"/>
    <n v="6"/>
  </r>
  <r>
    <n v="14657"/>
    <s v="03.03.10"/>
    <s v="GG/297/09-10"/>
    <x v="191"/>
    <x v="193"/>
    <n v="1"/>
    <n v="6"/>
    <n v="6"/>
  </r>
  <r>
    <n v="14658"/>
    <s v="03.03.10"/>
    <s v="GG/297/09-10"/>
    <x v="207"/>
    <x v="75"/>
    <n v="3"/>
    <n v="6"/>
    <n v="18"/>
  </r>
  <r>
    <n v="14659"/>
    <s v="03.03.10"/>
    <s v="GG/297/09-10"/>
    <x v="437"/>
    <x v="68"/>
    <n v="1"/>
    <n v="6"/>
    <n v="6"/>
  </r>
  <r>
    <n v="14660"/>
    <s v="03.03.10"/>
    <s v="GG/297/09-10"/>
    <x v="214"/>
    <x v="69"/>
    <n v="1"/>
    <n v="6"/>
    <n v="6"/>
  </r>
  <r>
    <n v="14674"/>
    <s v="03.03.10"/>
    <s v="GG/297/09-10"/>
    <x v="270"/>
    <x v="9"/>
    <n v="10"/>
    <n v="2"/>
    <n v="20"/>
  </r>
  <r>
    <n v="14702"/>
    <s v="03.03.10"/>
    <s v="GG/298/09-10"/>
    <x v="0"/>
    <x v="0"/>
    <n v="4"/>
    <n v="25"/>
    <n v="100"/>
  </r>
  <r>
    <n v="14703"/>
    <s v="03.03.10"/>
    <s v="GG/298/09-10"/>
    <x v="2"/>
    <x v="2"/>
    <n v="2"/>
    <n v="25"/>
    <n v="50"/>
  </r>
  <r>
    <n v="14704"/>
    <s v="03.03.10"/>
    <s v="GG/298/09-10"/>
    <x v="413"/>
    <x v="3"/>
    <n v="8"/>
    <n v="25"/>
    <n v="200"/>
  </r>
  <r>
    <n v="14706"/>
    <s v="03.03.10"/>
    <s v="GG/298/09-10"/>
    <x v="85"/>
    <x v="41"/>
    <n v="6"/>
    <n v="8"/>
    <n v="48"/>
  </r>
  <r>
    <n v="14708"/>
    <s v="03.03.10"/>
    <s v="GG/298/09-10"/>
    <x v="214"/>
    <x v="69"/>
    <n v="2"/>
    <n v="6"/>
    <n v="12"/>
  </r>
  <r>
    <n v="14709"/>
    <s v="03.03.10"/>
    <s v="GG/298/09-10"/>
    <x v="118"/>
    <x v="79"/>
    <n v="1"/>
    <n v="6"/>
    <n v="6"/>
  </r>
  <r>
    <n v="14710"/>
    <s v="03.03.10"/>
    <s v="GG/298/09-10"/>
    <x v="191"/>
    <x v="193"/>
    <n v="2"/>
    <n v="6"/>
    <n v="12"/>
  </r>
  <r>
    <n v="14711"/>
    <s v="03.03.10"/>
    <s v="GG/298/09-10"/>
    <x v="6"/>
    <x v="6"/>
    <n v="3"/>
    <n v="6"/>
    <n v="18"/>
  </r>
  <r>
    <n v="14712"/>
    <s v="03.03.10"/>
    <s v="GG/298/09-10"/>
    <x v="20"/>
    <x v="209"/>
    <n v="1"/>
    <n v="6"/>
    <n v="6"/>
  </r>
  <r>
    <n v="14713"/>
    <s v="03.03.10"/>
    <s v="GG/298/09-10"/>
    <x v="7"/>
    <x v="7"/>
    <n v="1"/>
    <n v="6"/>
    <n v="6"/>
  </r>
  <r>
    <n v="14714"/>
    <s v="03.03.10"/>
    <s v="GG/298/09-10"/>
    <x v="409"/>
    <x v="91"/>
    <n v="2"/>
    <n v="6"/>
    <n v="12"/>
  </r>
  <r>
    <n v="14716"/>
    <s v="03.03.10"/>
    <s v="GG/298/09-10"/>
    <x v="416"/>
    <x v="9"/>
    <n v="5"/>
    <n v="100"/>
    <n v="500"/>
  </r>
  <r>
    <n v="14748"/>
    <s v="03.03.10"/>
    <s v="GG/298/09-10"/>
    <x v="144"/>
    <x v="201"/>
    <n v="2"/>
    <n v="10"/>
    <n v="20"/>
  </r>
  <r>
    <n v="14749"/>
    <s v="03.03.10"/>
    <s v="GG/298/09-10"/>
    <x v="361"/>
    <x v="100"/>
    <n v="2"/>
    <n v="5"/>
    <n v="10"/>
  </r>
  <r>
    <n v="14750"/>
    <s v="03.03.10"/>
    <s v="GG/298/09-10"/>
    <x v="130"/>
    <x v="98"/>
    <n v="2"/>
    <n v="5"/>
    <n v="10"/>
  </r>
  <r>
    <n v="14751"/>
    <s v="03.03.10"/>
    <s v="GG/298/09-10"/>
    <x v="99"/>
    <x v="144"/>
    <n v="2"/>
    <n v="5"/>
    <n v="10"/>
  </r>
  <r>
    <n v="14752"/>
    <s v="03.03.10"/>
    <s v="GG/298/09-10"/>
    <x v="104"/>
    <x v="94"/>
    <n v="2"/>
    <n v="5"/>
    <n v="10"/>
  </r>
  <r>
    <n v="14753"/>
    <s v="03.03.10"/>
    <s v="GG/298/09-10"/>
    <x v="87"/>
    <x v="99"/>
    <n v="2"/>
    <n v="5"/>
    <n v="10"/>
  </r>
  <r>
    <n v="14755"/>
    <s v="03.03.10"/>
    <s v="GG/298/09-10"/>
    <x v="34"/>
    <x v="33"/>
    <n v="1"/>
    <n v="200"/>
    <n v="200"/>
  </r>
  <r>
    <n v="14757"/>
    <s v="03.03.10"/>
    <s v="GG/298/09-10"/>
    <x v="438"/>
    <x v="33"/>
    <n v="1"/>
    <n v="100"/>
    <n v="100"/>
  </r>
  <r>
    <n v="14759"/>
    <s v="03.03.10"/>
    <s v="GG/298/09-10"/>
    <x v="424"/>
    <x v="62"/>
    <n v="1"/>
    <n v="100"/>
    <n v="100"/>
  </r>
  <r>
    <n v="14760"/>
    <s v="03.03.10"/>
    <s v="GG/298/09-10"/>
    <x v="422"/>
    <x v="9"/>
    <n v="10"/>
    <n v="10"/>
    <n v="100"/>
  </r>
  <r>
    <n v="14820"/>
    <s v="04.03.10"/>
    <s v="GG/299/09-10"/>
    <x v="0"/>
    <x v="0"/>
    <n v="4"/>
    <n v="25"/>
    <n v="100"/>
  </r>
  <r>
    <n v="14821"/>
    <s v="04.03.10"/>
    <s v="GG/299/09-10"/>
    <x v="2"/>
    <x v="2"/>
    <n v="2"/>
    <n v="25"/>
    <n v="50"/>
  </r>
  <r>
    <n v="14822"/>
    <s v="04.03.10"/>
    <s v="GG/299/09-10"/>
    <x v="413"/>
    <x v="3"/>
    <n v="6"/>
    <n v="25"/>
    <n v="150"/>
  </r>
  <r>
    <n v="14823"/>
    <s v="04.03.10"/>
    <s v="GG/299/09-10"/>
    <x v="112"/>
    <x v="191"/>
    <n v="1"/>
    <n v="25"/>
    <n v="25"/>
  </r>
  <r>
    <n v="14824"/>
    <s v="04.03.10"/>
    <s v="GG/299/09-10"/>
    <x v="4"/>
    <x v="4"/>
    <n v="4"/>
    <n v="25"/>
    <n v="100"/>
  </r>
  <r>
    <n v="14825"/>
    <s v="04.03.10"/>
    <s v="GG/299/09-10"/>
    <x v="5"/>
    <x v="5"/>
    <n v="1"/>
    <n v="20"/>
    <n v="20"/>
  </r>
  <r>
    <n v="14826"/>
    <s v="04.03.10"/>
    <s v="GG/299/09-10"/>
    <x v="160"/>
    <x v="103"/>
    <n v="2"/>
    <n v="25"/>
    <n v="50"/>
  </r>
  <r>
    <n v="14828"/>
    <s v="04.03.10"/>
    <s v="GG/299/09-10"/>
    <x v="0"/>
    <x v="68"/>
    <n v="2"/>
    <n v="6"/>
    <n v="12"/>
  </r>
  <r>
    <n v="14829"/>
    <s v="04.03.10"/>
    <s v="GG/299/09-10"/>
    <x v="214"/>
    <x v="69"/>
    <n v="1"/>
    <n v="6"/>
    <n v="6"/>
  </r>
  <r>
    <n v="14830"/>
    <s v="04.03.10"/>
    <s v="GG/299/09-10"/>
    <x v="204"/>
    <x v="72"/>
    <n v="1"/>
    <n v="6"/>
    <n v="6"/>
  </r>
  <r>
    <n v="14831"/>
    <s v="04.03.10"/>
    <s v="GG/299/09-10"/>
    <x v="191"/>
    <x v="193"/>
    <n v="1"/>
    <n v="6"/>
    <n v="6"/>
  </r>
  <r>
    <n v="14832"/>
    <s v="04.03.10"/>
    <s v="GG/299/09-10"/>
    <x v="99"/>
    <x v="114"/>
    <n v="1"/>
    <n v="6"/>
    <n v="6"/>
  </r>
  <r>
    <n v="14833"/>
    <s v="04.03.10"/>
    <s v="GG/299/09-10"/>
    <x v="283"/>
    <x v="47"/>
    <n v="1"/>
    <n v="6"/>
    <n v="6"/>
  </r>
  <r>
    <n v="14834"/>
    <s v="04.03.10"/>
    <s v="GG/299/09-10"/>
    <x v="8"/>
    <x v="9"/>
    <n v="1"/>
    <n v="4"/>
    <n v="4"/>
  </r>
  <r>
    <n v="14835"/>
    <s v="04.03.10"/>
    <s v="GG/299/09-10"/>
    <x v="207"/>
    <x v="75"/>
    <n v="1"/>
    <n v="6"/>
    <n v="6"/>
  </r>
  <r>
    <n v="14836"/>
    <s v="04.03.10"/>
    <s v="GG/299/09-10"/>
    <x v="6"/>
    <x v="6"/>
    <n v="2"/>
    <n v="6"/>
    <n v="12"/>
  </r>
  <r>
    <n v="14837"/>
    <s v="04.03.10"/>
    <s v="GG/299/09-10"/>
    <x v="22"/>
    <x v="21"/>
    <n v="1"/>
    <n v="6"/>
    <n v="6"/>
  </r>
  <r>
    <n v="14838"/>
    <s v="04.03.10"/>
    <s v="GG/299/09-10"/>
    <x v="312"/>
    <x v="78"/>
    <n v="2"/>
    <n v="6"/>
    <n v="12"/>
  </r>
  <r>
    <n v="14839"/>
    <s v="04.03.10"/>
    <s v="GG/299/09-10"/>
    <x v="20"/>
    <x v="89"/>
    <n v="1"/>
    <n v="6"/>
    <n v="6"/>
  </r>
  <r>
    <n v="14840"/>
    <s v="04.03.10"/>
    <s v="GG/299/09-10"/>
    <x v="262"/>
    <x v="7"/>
    <n v="1"/>
    <n v="4"/>
    <n v="4"/>
  </r>
  <r>
    <n v="14841"/>
    <s v="04.03.10"/>
    <s v="GG/299/09-10"/>
    <x v="262"/>
    <x v="7"/>
    <n v="5"/>
    <n v="1"/>
    <n v="5"/>
  </r>
  <r>
    <n v="14843"/>
    <s v="04.03.10"/>
    <s v="GG/299/09-10"/>
    <x v="416"/>
    <x v="9"/>
    <n v="1"/>
    <n v="100"/>
    <n v="100"/>
  </r>
  <r>
    <n v="14865"/>
    <s v="04.03.10"/>
    <s v="GG/299/09-10"/>
    <x v="421"/>
    <x v="86"/>
    <n v="22"/>
    <n v="24"/>
    <n v="528"/>
  </r>
  <r>
    <n v="14867"/>
    <s v="04.03.10"/>
    <s v="GG/299/09-10"/>
    <x v="424"/>
    <x v="199"/>
    <n v="1"/>
    <n v="100"/>
    <n v="100"/>
  </r>
  <r>
    <n v="14872"/>
    <s v="04.03.10"/>
    <s v="GG/299/09-10"/>
    <x v="144"/>
    <x v="201"/>
    <n v="1"/>
    <n v="10"/>
    <n v="10"/>
  </r>
  <r>
    <n v="14873"/>
    <s v="04.03.10"/>
    <s v="GG/299/09-10"/>
    <x v="402"/>
    <x v="182"/>
    <n v="2"/>
    <n v="5"/>
    <n v="10"/>
  </r>
  <r>
    <n v="14874"/>
    <s v="04.03.10"/>
    <s v="GG/299/09-10"/>
    <x v="130"/>
    <x v="98"/>
    <n v="1"/>
    <n v="5"/>
    <n v="5"/>
  </r>
  <r>
    <n v="14875"/>
    <s v="04.03.10"/>
    <s v="GG/299/09-10"/>
    <x v="99"/>
    <x v="144"/>
    <n v="1"/>
    <n v="5"/>
    <n v="5"/>
  </r>
  <r>
    <n v="14876"/>
    <s v="04.03.10"/>
    <s v="GG/299/09-10"/>
    <x v="87"/>
    <x v="99"/>
    <n v="1"/>
    <n v="5"/>
    <n v="5"/>
  </r>
  <r>
    <n v="14913"/>
    <s v="04.03.10"/>
    <s v="GG/300/09-10"/>
    <x v="148"/>
    <x v="210"/>
    <n v="2"/>
    <n v="4"/>
    <n v="8"/>
  </r>
  <r>
    <n v="14956"/>
    <s v="04.03.10"/>
    <s v="GG/301/09-10"/>
    <x v="148"/>
    <x v="210"/>
    <n v="10"/>
    <n v="4"/>
    <n v="40"/>
  </r>
  <r>
    <n v="14997"/>
    <s v="08.03.10"/>
    <s v="GG/302/09-10"/>
    <x v="191"/>
    <x v="193"/>
    <n v="1"/>
    <n v="6"/>
    <n v="6"/>
  </r>
  <r>
    <n v="14998"/>
    <s v="08.03.10"/>
    <s v="GG/302/09-10"/>
    <x v="22"/>
    <x v="21"/>
    <n v="2"/>
    <n v="6"/>
    <n v="12"/>
  </r>
  <r>
    <n v="14999"/>
    <s v="08.03.10"/>
    <s v="GG/302/09-10"/>
    <x v="312"/>
    <x v="78"/>
    <n v="12"/>
    <n v="6"/>
    <n v="72"/>
  </r>
  <r>
    <n v="15000"/>
    <s v="08.03.10"/>
    <s v="GG/302/09-10"/>
    <x v="8"/>
    <x v="9"/>
    <n v="2"/>
    <n v="4"/>
    <n v="8"/>
  </r>
  <r>
    <n v="15002"/>
    <s v="08.03.10"/>
    <s v="GG/302/09-10"/>
    <x v="439"/>
    <x v="211"/>
    <n v="2"/>
    <n v="450"/>
    <n v="900"/>
  </r>
  <r>
    <n v="15005"/>
    <s v="08.03.10"/>
    <s v="GG/302/09-10"/>
    <x v="440"/>
    <x v="9"/>
    <n v="2"/>
    <n v="25"/>
    <n v="50"/>
  </r>
  <r>
    <n v="15048"/>
    <s v="08.03.10"/>
    <s v="GG/303/09-10"/>
    <x v="235"/>
    <x v="126"/>
    <n v="4"/>
    <n v="5"/>
    <n v="20"/>
  </r>
  <r>
    <n v="15094"/>
    <s v="08.03.10"/>
    <s v="GG/304/09-10"/>
    <x v="130"/>
    <x v="98"/>
    <n v="2"/>
    <n v="5"/>
    <n v="10"/>
  </r>
  <r>
    <n v="15096"/>
    <s v="08.03.10"/>
    <s v="GG/304/09-10"/>
    <x v="85"/>
    <x v="9"/>
    <n v="5"/>
    <n v="8"/>
    <n v="40"/>
  </r>
  <r>
    <n v="15097"/>
    <s v="08.03.10"/>
    <s v="GG/304/09-10"/>
    <x v="5"/>
    <x v="69"/>
    <n v="4"/>
    <n v="6"/>
    <n v="24"/>
  </r>
  <r>
    <n v="15098"/>
    <s v="08.03.10"/>
    <s v="GG/304/09-10"/>
    <x v="441"/>
    <x v="193"/>
    <n v="2"/>
    <n v="6"/>
    <n v="12"/>
  </r>
  <r>
    <n v="15100"/>
    <s v="08.03.10"/>
    <s v="GG/304/09-10"/>
    <x v="442"/>
    <x v="212"/>
    <n v="1"/>
    <n v="50"/>
    <n v="50"/>
  </r>
  <r>
    <n v="15102"/>
    <s v="08.03.10"/>
    <s v="GG/304/09-10"/>
    <x v="146"/>
    <x v="9"/>
    <n v="1"/>
    <n v="100"/>
    <n v="100"/>
  </r>
  <r>
    <n v="15104"/>
    <s v="08.03.10"/>
    <s v="GG/304/09-10"/>
    <x v="422"/>
    <x v="9"/>
    <n v="10"/>
    <n v="10"/>
    <n v="100"/>
  </r>
  <r>
    <n v="15105"/>
    <s v="08.03.10"/>
    <s v="GG/304/09-10"/>
    <x v="422"/>
    <x v="9"/>
    <n v="1"/>
    <n v="10"/>
    <n v="10"/>
  </r>
  <r>
    <n v="15106"/>
    <s v="08.03.10"/>
    <s v="GG/304/09-10"/>
    <x v="443"/>
    <x v="128"/>
    <n v="1"/>
    <n v="250"/>
    <n v="250"/>
  </r>
  <r>
    <n v="15145"/>
    <s v="08.03.10"/>
    <s v="GG/305/09-10"/>
    <x v="439"/>
    <x v="211"/>
    <n v="2"/>
    <n v="450"/>
    <n v="900"/>
  </r>
  <r>
    <n v="15191"/>
    <s v="08.03.10"/>
    <s v="GG/306/09-10"/>
    <x v="444"/>
    <x v="213"/>
    <n v="1"/>
    <n v="5"/>
    <n v="5"/>
  </r>
  <r>
    <n v="15195"/>
    <s v="08.03.10"/>
    <s v="GG/306/09-10"/>
    <x v="445"/>
    <x v="119"/>
    <n v="1"/>
    <n v="2"/>
    <n v="2"/>
  </r>
  <r>
    <n v="15197"/>
    <s v="08.03.10"/>
    <s v="GG/306/09-10"/>
    <x v="163"/>
    <x v="186"/>
    <n v="4"/>
    <n v="25"/>
    <n v="100"/>
  </r>
  <r>
    <n v="15199"/>
    <s v="08.03.10"/>
    <s v="GG/306/09-10"/>
    <x v="312"/>
    <x v="214"/>
    <n v="4"/>
    <n v="25"/>
    <n v="100"/>
  </r>
  <r>
    <n v="15242"/>
    <s v="08.03.10"/>
    <s v="GG/307/09-10"/>
    <x v="148"/>
    <x v="9"/>
    <n v="2"/>
    <n v="4"/>
    <n v="8"/>
  </r>
  <r>
    <n v="15244"/>
    <s v="08.03.10"/>
    <s v="GG/307/09-10"/>
    <x v="446"/>
    <x v="3"/>
    <n v="8"/>
    <n v="25"/>
    <n v="200"/>
  </r>
  <r>
    <n v="15245"/>
    <s v="08.03.10"/>
    <s v="GG/307/09-10"/>
    <x v="0"/>
    <x v="0"/>
    <n v="8"/>
    <n v="25"/>
    <n v="200"/>
  </r>
  <r>
    <n v="15286"/>
    <s v="08.03.10"/>
    <s v="GG/308/09-10"/>
    <x v="148"/>
    <x v="9"/>
    <n v="3"/>
    <n v="4"/>
    <n v="12"/>
  </r>
  <r>
    <n v="15326"/>
    <s v="10.03.10"/>
    <s v="GG/309/09-10"/>
    <x v="144"/>
    <x v="201"/>
    <n v="2"/>
    <n v="10"/>
    <n v="20"/>
  </r>
  <r>
    <n v="15328"/>
    <s v="10.03.10"/>
    <s v="GG/309/09-10"/>
    <x v="447"/>
    <x v="3"/>
    <n v="30"/>
    <n v="25"/>
    <n v="750"/>
  </r>
  <r>
    <n v="15329"/>
    <s v="10.03.10"/>
    <s v="GG/309/09-10"/>
    <x v="448"/>
    <x v="1"/>
    <n v="2"/>
    <n v="25"/>
    <n v="50"/>
  </r>
  <r>
    <n v="15330"/>
    <s v="10.03.10"/>
    <s v="GG/309/09-10"/>
    <x v="449"/>
    <x v="0"/>
    <n v="22"/>
    <n v="25"/>
    <n v="550"/>
  </r>
  <r>
    <n v="15331"/>
    <s v="10.03.10"/>
    <s v="GG/309/09-10"/>
    <x v="2"/>
    <x v="2"/>
    <n v="12"/>
    <n v="25"/>
    <n v="300"/>
  </r>
  <r>
    <n v="15332"/>
    <s v="10.03.10"/>
    <s v="GG/309/09-10"/>
    <x v="447"/>
    <x v="189"/>
    <n v="2"/>
    <n v="25"/>
    <n v="50"/>
  </r>
  <r>
    <n v="15333"/>
    <s v="10.03.10"/>
    <s v="GG/309/09-10"/>
    <x v="450"/>
    <x v="190"/>
    <n v="1"/>
    <n v="25"/>
    <n v="25"/>
  </r>
  <r>
    <n v="15334"/>
    <s v="10.03.10"/>
    <s v="GG/309/09-10"/>
    <x v="446"/>
    <x v="9"/>
    <n v="1"/>
    <n v="1"/>
    <n v="1"/>
  </r>
  <r>
    <n v="15373"/>
    <s v="10.03.10"/>
    <s v="GG/310/09-10"/>
    <x v="0"/>
    <x v="130"/>
    <n v="4"/>
    <n v="6"/>
    <n v="24"/>
  </r>
  <r>
    <n v="15374"/>
    <s v="10.03.10"/>
    <s v="GG/310/09-10"/>
    <x v="153"/>
    <x v="151"/>
    <n v="2"/>
    <n v="6"/>
    <n v="12"/>
  </r>
  <r>
    <n v="15375"/>
    <s v="10.03.10"/>
    <s v="GG/310/09-10"/>
    <x v="55"/>
    <x v="38"/>
    <n v="2"/>
    <n v="5"/>
    <n v="10"/>
  </r>
  <r>
    <n v="15376"/>
    <s v="10.03.10"/>
    <s v="GG/310/09-10"/>
    <x v="6"/>
    <x v="6"/>
    <n v="4"/>
    <n v="6"/>
    <n v="24"/>
  </r>
  <r>
    <n v="15377"/>
    <s v="10.03.10"/>
    <s v="GG/310/09-10"/>
    <x v="22"/>
    <x v="21"/>
    <n v="4"/>
    <n v="6"/>
    <n v="24"/>
  </r>
  <r>
    <n v="15378"/>
    <s v="10.03.10"/>
    <s v="GG/310/09-10"/>
    <x v="451"/>
    <x v="78"/>
    <n v="3"/>
    <n v="6"/>
    <n v="18"/>
  </r>
  <r>
    <n v="15379"/>
    <s v="10.03.10"/>
    <s v="GG/310/09-10"/>
    <x v="204"/>
    <x v="72"/>
    <n v="3"/>
    <n v="6"/>
    <n v="18"/>
  </r>
  <r>
    <n v="15381"/>
    <s v="10.03.10"/>
    <s v="GG/310/09-10"/>
    <x v="424"/>
    <x v="62"/>
    <n v="1"/>
    <n v="100"/>
    <n v="100"/>
  </r>
  <r>
    <n v="15382"/>
    <s v="10.03.10"/>
    <s v="GG/310/09-10"/>
    <x v="420"/>
    <x v="46"/>
    <n v="4"/>
    <n v="24"/>
    <n v="96"/>
  </r>
  <r>
    <n v="15419"/>
    <s v="10.03.10"/>
    <s v="GG/311/09-10"/>
    <x v="0"/>
    <x v="130"/>
    <n v="1"/>
    <n v="6"/>
    <n v="6"/>
  </r>
  <r>
    <n v="15420"/>
    <s v="10.03.10"/>
    <s v="GG/311/09-10"/>
    <x v="153"/>
    <x v="151"/>
    <n v="3"/>
    <n v="6"/>
    <n v="18"/>
  </r>
  <r>
    <n v="15421"/>
    <s v="10.03.10"/>
    <s v="GG/311/09-10"/>
    <x v="452"/>
    <x v="91"/>
    <n v="1"/>
    <n v="8"/>
    <n v="8"/>
  </r>
  <r>
    <n v="15422"/>
    <s v="10.03.10"/>
    <s v="GG/311/09-10"/>
    <x v="6"/>
    <x v="6"/>
    <n v="2"/>
    <n v="6"/>
    <n v="12"/>
  </r>
  <r>
    <n v="15424"/>
    <s v="10.03.10"/>
    <s v="GG/311/09-10"/>
    <x v="0"/>
    <x v="200"/>
    <n v="1"/>
    <n v="10"/>
    <n v="10"/>
  </r>
  <r>
    <n v="15425"/>
    <s v="10.03.10"/>
    <s v="GG/311/09-10"/>
    <x v="0"/>
    <x v="200"/>
    <n v="5"/>
    <n v="1"/>
    <n v="5"/>
  </r>
  <r>
    <n v="15427"/>
    <s v="10.03.10"/>
    <s v="GG/311/09-10"/>
    <x v="443"/>
    <x v="128"/>
    <n v="1"/>
    <n v="250"/>
    <n v="250"/>
  </r>
  <r>
    <n v="15430"/>
    <s v="10.03.10"/>
    <s v="GG/311/09-10"/>
    <x v="453"/>
    <x v="112"/>
    <n v="1"/>
    <n v="400"/>
    <n v="400"/>
  </r>
  <r>
    <n v="15431"/>
    <s v="10.03.10"/>
    <s v="GG/311/09-10"/>
    <x v="453"/>
    <x v="112"/>
    <n v="1"/>
    <n v="50"/>
    <n v="50"/>
  </r>
  <r>
    <n v="15433"/>
    <s v="10.03.10"/>
    <s v="GG/311/09-10"/>
    <x v="454"/>
    <x v="196"/>
    <n v="1"/>
    <n v="400"/>
    <n v="400"/>
  </r>
  <r>
    <n v="15434"/>
    <s v="10.03.10"/>
    <s v="GG/311/09-10"/>
    <x v="454"/>
    <x v="196"/>
    <n v="1"/>
    <n v="35"/>
    <n v="35"/>
  </r>
  <r>
    <n v="15463"/>
    <s v="11.03.10"/>
    <s v="GG/312/09-10"/>
    <x v="150"/>
    <x v="90"/>
    <n v="2"/>
    <n v="6"/>
    <n v="12"/>
  </r>
  <r>
    <n v="15464"/>
    <s v="11.03.10"/>
    <s v="GG/312/09-10"/>
    <x v="55"/>
    <x v="8"/>
    <n v="1"/>
    <n v="5"/>
    <n v="5"/>
  </r>
  <r>
    <n v="15465"/>
    <s v="11.03.10"/>
    <s v="GG/312/09-10"/>
    <x v="281"/>
    <x v="47"/>
    <n v="1"/>
    <n v="6"/>
    <n v="6"/>
  </r>
  <r>
    <n v="15466"/>
    <s v="11.03.10"/>
    <s v="GG/312/09-10"/>
    <x v="6"/>
    <x v="6"/>
    <n v="3"/>
    <n v="6"/>
    <n v="18"/>
  </r>
  <r>
    <n v="15467"/>
    <s v="11.03.10"/>
    <s v="GG/312/09-10"/>
    <x v="312"/>
    <x v="78"/>
    <n v="6"/>
    <n v="4"/>
    <n v="24"/>
  </r>
  <r>
    <n v="15510"/>
    <s v="10.03.10"/>
    <s v="GG/313/09-10"/>
    <x v="0"/>
    <x v="200"/>
    <n v="1"/>
    <n v="10"/>
    <n v="10"/>
  </r>
  <r>
    <n v="15511"/>
    <s v="10.03.10"/>
    <s v="GG/313/09-10"/>
    <x v="455"/>
    <x v="56"/>
    <n v="1"/>
    <n v="5"/>
    <n v="5"/>
  </r>
  <r>
    <n v="15512"/>
    <s v="10.03.10"/>
    <s v="GG/313/09-10"/>
    <x v="112"/>
    <x v="95"/>
    <n v="1"/>
    <n v="5"/>
    <n v="5"/>
  </r>
  <r>
    <n v="15514"/>
    <s v="10.03.10"/>
    <s v="GG/313/09-10"/>
    <x v="146"/>
    <x v="9"/>
    <n v="2"/>
    <n v="100"/>
    <n v="200"/>
  </r>
  <r>
    <n v="15517"/>
    <s v="10.03.10"/>
    <s v="GG/313/09-10"/>
    <x v="443"/>
    <x v="128"/>
    <n v="1"/>
    <n v="250"/>
    <n v="250"/>
  </r>
  <r>
    <n v="15520"/>
    <s v="10.03.10"/>
    <s v="GG/313/09-10"/>
    <x v="456"/>
    <x v="112"/>
    <n v="1"/>
    <n v="475"/>
    <n v="475"/>
  </r>
  <r>
    <n v="15522"/>
    <s v="10.03.10"/>
    <s v="GG/313/09-10"/>
    <x v="163"/>
    <x v="215"/>
    <n v="1"/>
    <n v="99"/>
    <n v="99"/>
  </r>
  <r>
    <n v="15525"/>
    <s v="10.03.10"/>
    <s v="GG/313/09-10"/>
    <x v="425"/>
    <x v="9"/>
    <n v="1"/>
    <n v="25"/>
    <n v="25"/>
  </r>
  <r>
    <n v="15526"/>
    <s v="10.03.10"/>
    <s v="GG/313/09-10"/>
    <x v="457"/>
    <x v="9"/>
    <n v="1"/>
    <n v="15"/>
    <n v="15"/>
  </r>
  <r>
    <n v="15556"/>
    <s v="10.03.10"/>
    <s v="GG/313/09-10"/>
    <x v="1"/>
    <x v="216"/>
    <n v="1"/>
    <n v="6"/>
    <n v="6"/>
  </r>
  <r>
    <n v="15557"/>
    <s v="10.03.10"/>
    <s v="GG/313/09-10"/>
    <x v="118"/>
    <x v="79"/>
    <n v="1"/>
    <n v="6"/>
    <n v="6"/>
  </r>
  <r>
    <n v="15558"/>
    <s v="10.03.10"/>
    <s v="GG/313/09-10"/>
    <x v="204"/>
    <x v="72"/>
    <n v="2"/>
    <n v="6"/>
    <n v="12"/>
  </r>
  <r>
    <n v="15559"/>
    <s v="10.03.10"/>
    <s v="GG/313/09-10"/>
    <x v="283"/>
    <x v="47"/>
    <n v="2"/>
    <n v="6"/>
    <n v="12"/>
  </r>
  <r>
    <n v="15560"/>
    <s v="10.03.10"/>
    <s v="GG/313/09-10"/>
    <x v="8"/>
    <x v="49"/>
    <n v="3"/>
    <n v="4"/>
    <n v="12"/>
  </r>
  <r>
    <n v="15561"/>
    <s v="10.03.10"/>
    <s v="GG/313/09-10"/>
    <x v="207"/>
    <x v="75"/>
    <n v="3"/>
    <n v="6"/>
    <n v="18"/>
  </r>
  <r>
    <n v="15562"/>
    <s v="10.03.10"/>
    <s v="GG/313/09-10"/>
    <x v="22"/>
    <x v="21"/>
    <n v="2"/>
    <n v="6"/>
    <n v="12"/>
  </r>
  <r>
    <n v="15563"/>
    <s v="10.03.10"/>
    <s v="GG/313/09-10"/>
    <x v="312"/>
    <x v="78"/>
    <n v="1"/>
    <n v="6"/>
    <n v="6"/>
  </r>
  <r>
    <n v="15564"/>
    <s v="10.03.10"/>
    <s v="GG/313/09-10"/>
    <x v="87"/>
    <x v="67"/>
    <n v="2"/>
    <n v="1"/>
    <n v="2"/>
  </r>
  <r>
    <n v="15565"/>
    <s v="10.03.10"/>
    <s v="GG/313/09-10"/>
    <x v="7"/>
    <x v="72"/>
    <n v="1"/>
    <n v="4"/>
    <n v="4"/>
  </r>
  <r>
    <n v="15599"/>
    <s v="11.03.10"/>
    <s v="GG/314/09-10"/>
    <x v="146"/>
    <x v="9"/>
    <n v="2"/>
    <n v="100"/>
    <n v="200"/>
  </r>
  <r>
    <n v="15649"/>
    <s v="15.03.10"/>
    <s v="GG/315/09-10"/>
    <x v="449"/>
    <x v="0"/>
    <n v="2"/>
    <n v="25"/>
    <n v="50"/>
  </r>
  <r>
    <n v="15650"/>
    <s v="15.03.10"/>
    <s v="GG/315/09-10"/>
    <x v="458"/>
    <x v="3"/>
    <n v="6"/>
    <n v="25"/>
    <n v="150"/>
  </r>
  <r>
    <n v="15651"/>
    <s v="15.03.10"/>
    <s v="GG/315/09-10"/>
    <x v="459"/>
    <x v="189"/>
    <n v="1"/>
    <n v="25"/>
    <n v="25"/>
  </r>
  <r>
    <n v="15743"/>
    <s v="15.03.10"/>
    <s v="GG/317/09-10"/>
    <x v="351"/>
    <x v="56"/>
    <n v="7"/>
    <n v="5"/>
    <n v="35"/>
  </r>
  <r>
    <n v="15865"/>
    <s v="15.03.10"/>
    <s v="GG/320/09-10"/>
    <x v="105"/>
    <x v="154"/>
    <n v="1"/>
    <n v="5"/>
    <n v="5"/>
  </r>
  <r>
    <n v="15866"/>
    <s v="15.03.10"/>
    <s v="GG/320/09-10"/>
    <x v="112"/>
    <x v="95"/>
    <n v="1"/>
    <n v="5"/>
    <n v="5"/>
  </r>
  <r>
    <n v="15867"/>
    <s v="15.03.10"/>
    <s v="GG/320/09-10"/>
    <x v="294"/>
    <x v="181"/>
    <n v="1"/>
    <n v="5"/>
    <n v="5"/>
  </r>
  <r>
    <n v="15868"/>
    <s v="15.03.10"/>
    <s v="GG/320/09-10"/>
    <x v="20"/>
    <x v="217"/>
    <n v="1"/>
    <n v="5"/>
    <n v="5"/>
  </r>
  <r>
    <n v="15870"/>
    <s v="15.03.10"/>
    <s v="GG/320/09-10"/>
    <x v="98"/>
    <x v="208"/>
    <n v="1"/>
    <n v="6"/>
    <n v="6"/>
  </r>
  <r>
    <n v="15871"/>
    <s v="15.03.10"/>
    <s v="GG/320/09-10"/>
    <x v="16"/>
    <x v="77"/>
    <n v="1"/>
    <n v="6"/>
    <n v="6"/>
  </r>
  <r>
    <n v="15872"/>
    <s v="15.03.10"/>
    <s v="GG/320/09-10"/>
    <x v="207"/>
    <x v="75"/>
    <n v="1"/>
    <n v="6"/>
    <n v="6"/>
  </r>
  <r>
    <n v="15873"/>
    <s v="15.03.10"/>
    <s v="GG/320/09-10"/>
    <x v="235"/>
    <x v="194"/>
    <n v="1"/>
    <n v="6"/>
    <n v="6"/>
  </r>
  <r>
    <n v="15875"/>
    <s v="15.03.10"/>
    <s v="GG/320/09-10"/>
    <x v="446"/>
    <x v="3"/>
    <n v="10"/>
    <n v="25"/>
    <n v="250"/>
  </r>
  <r>
    <n v="15902"/>
    <s v="15.03.10"/>
    <s v="GG/321/09-10"/>
    <x v="460"/>
    <x v="218"/>
    <n v="1"/>
    <n v="1"/>
    <n v="1"/>
  </r>
  <r>
    <n v="15903"/>
    <s v="15.03.10"/>
    <s v="GG/321/09-10"/>
    <x v="461"/>
    <x v="219"/>
    <n v="1"/>
    <n v="1"/>
    <n v="1"/>
  </r>
  <r>
    <n v="15904"/>
    <s v="15.03.10"/>
    <s v="GG/321/09-10"/>
    <x v="462"/>
    <x v="220"/>
    <n v="1"/>
    <n v="1"/>
    <n v="1"/>
  </r>
  <r>
    <n v="15905"/>
    <s v="15.03.10"/>
    <s v="GG/321/09-10"/>
    <x v="463"/>
    <x v="221"/>
    <n v="1"/>
    <n v="1"/>
    <n v="1"/>
  </r>
  <r>
    <n v="15951"/>
    <s v="18.03.10"/>
    <s v="GG/322/09-10"/>
    <x v="449"/>
    <x v="0"/>
    <n v="10"/>
    <n v="25"/>
    <n v="250"/>
  </r>
  <r>
    <n v="15952"/>
    <s v="18.03.10"/>
    <s v="GG/322/09-10"/>
    <x v="458"/>
    <x v="3"/>
    <n v="26"/>
    <n v="25"/>
    <n v="650"/>
  </r>
  <r>
    <n v="15953"/>
    <s v="18.03.10"/>
    <s v="GG/322/09-10"/>
    <x v="459"/>
    <x v="189"/>
    <n v="4"/>
    <n v="25"/>
    <n v="100"/>
  </r>
  <r>
    <n v="15995"/>
    <s v="22.03.10"/>
    <s v="GG/323/09-10"/>
    <x v="440"/>
    <x v="9"/>
    <n v="2"/>
    <n v="25"/>
    <n v="50"/>
  </r>
  <r>
    <n v="16041"/>
    <s v="22.03.10"/>
    <s v="GG/324/09-10"/>
    <x v="150"/>
    <x v="120"/>
    <n v="1"/>
    <n v="5"/>
    <n v="5"/>
  </r>
  <r>
    <n v="16080"/>
    <s v="24.03.10"/>
    <s v="GG/325/09-10"/>
    <x v="162"/>
    <x v="9"/>
    <n v="38"/>
    <n v="5"/>
    <n v="190"/>
  </r>
  <r>
    <n v="16081"/>
    <s v="24.03.10"/>
    <s v="GG/325/09-10"/>
    <x v="162"/>
    <x v="9"/>
    <n v="1"/>
    <n v="2"/>
    <n v="2"/>
  </r>
  <r>
    <n v="16082"/>
    <s v="24.03.10"/>
    <s v="GG/325/09-10"/>
    <x v="29"/>
    <x v="29"/>
    <n v="2"/>
    <n v="5"/>
    <n v="10"/>
  </r>
  <r>
    <n v="16083"/>
    <s v="24.03.10"/>
    <s v="GG/325/09-10"/>
    <x v="2"/>
    <x v="52"/>
    <n v="10"/>
    <n v="5"/>
    <n v="50"/>
  </r>
  <r>
    <n v="16126"/>
    <s v="25.03.10"/>
    <s v="GG/326/09-10"/>
    <x v="5"/>
    <x v="121"/>
    <n v="5"/>
    <n v="5"/>
    <n v="25"/>
  </r>
  <r>
    <n v="16127"/>
    <s v="25.03.10"/>
    <s v="GG/326/09-10"/>
    <x v="464"/>
    <x v="36"/>
    <n v="9"/>
    <n v="5"/>
    <n v="45"/>
  </r>
  <r>
    <n v="16128"/>
    <s v="25.03.10"/>
    <s v="GG/326/09-10"/>
    <x v="465"/>
    <x v="93"/>
    <n v="18"/>
    <n v="5"/>
    <n v="90"/>
  </r>
  <r>
    <n v="16129"/>
    <s v="25.03.10"/>
    <s v="GG/326/09-10"/>
    <x v="466"/>
    <x v="92"/>
    <n v="12"/>
    <n v="5"/>
    <n v="60"/>
  </r>
  <r>
    <n v="16130"/>
    <s v="25.03.10"/>
    <s v="GG/326/09-10"/>
    <x v="467"/>
    <x v="95"/>
    <n v="2"/>
    <n v="5"/>
    <n v="10"/>
  </r>
  <r>
    <n v="16131"/>
    <s v="25.03.10"/>
    <s v="GG/326/09-10"/>
    <x v="8"/>
    <x v="37"/>
    <n v="4"/>
    <n v="5"/>
    <n v="20"/>
  </r>
  <r>
    <n v="16132"/>
    <s v="25.03.10"/>
    <s v="GG/326/09-10"/>
    <x v="468"/>
    <x v="16"/>
    <n v="2"/>
    <n v="5"/>
    <n v="10"/>
  </r>
  <r>
    <n v="16133"/>
    <s v="25.03.10"/>
    <s v="GG/326/09-10"/>
    <x v="469"/>
    <x v="81"/>
    <n v="14"/>
    <n v="5"/>
    <n v="70"/>
  </r>
  <r>
    <n v="16134"/>
    <s v="25.03.10"/>
    <s v="GG/326/09-10"/>
    <x v="470"/>
    <x v="182"/>
    <n v="4"/>
    <n v="5"/>
    <n v="20"/>
  </r>
  <r>
    <n v="16135"/>
    <s v="25.03.10"/>
    <s v="GG/326/09-10"/>
    <x v="471"/>
    <x v="201"/>
    <n v="5"/>
    <n v="10"/>
    <n v="50"/>
  </r>
  <r>
    <n v="16136"/>
    <s v="25.03.10"/>
    <s v="GG/326/09-10"/>
    <x v="246"/>
    <x v="24"/>
    <n v="8"/>
    <n v="5"/>
    <n v="40"/>
  </r>
  <r>
    <n v="16137"/>
    <s v="25.03.10"/>
    <s v="GG/326/09-10"/>
    <x v="28"/>
    <x v="28"/>
    <n v="8"/>
    <n v="5"/>
    <n v="40"/>
  </r>
  <r>
    <n v="16139"/>
    <s v="25.03.10"/>
    <s v="GG/326/09-10"/>
    <x v="472"/>
    <x v="9"/>
    <n v="5"/>
    <n v="10"/>
    <n v="50"/>
  </r>
  <r>
    <n v="16140"/>
    <s v="25.03.10"/>
    <s v="GG/326/09-10"/>
    <x v="473"/>
    <x v="9"/>
    <n v="13"/>
    <n v="10"/>
    <n v="130"/>
  </r>
  <r>
    <n v="16141"/>
    <s v="25.03.10"/>
    <s v="GG/326/09-10"/>
    <x v="474"/>
    <x v="9"/>
    <n v="3"/>
    <n v="5"/>
    <n v="15"/>
  </r>
  <r>
    <n v="16142"/>
    <s v="25.03.10"/>
    <s v="GG/326/09-10"/>
    <x v="475"/>
    <x v="9"/>
    <n v="4"/>
    <n v="5"/>
    <n v="20"/>
  </r>
  <r>
    <n v="16171"/>
    <s v="25.03.10"/>
    <s v="GG/327/09-10"/>
    <x v="476"/>
    <x v="29"/>
    <n v="2"/>
    <n v="5"/>
    <n v="10"/>
  </r>
  <r>
    <n v="16172"/>
    <s v="25.03.10"/>
    <s v="GG/327/09-10"/>
    <x v="464"/>
    <x v="36"/>
    <n v="9"/>
    <n v="5"/>
    <n v="45"/>
  </r>
  <r>
    <n v="16173"/>
    <s v="25.03.10"/>
    <s v="GG/327/09-10"/>
    <x v="465"/>
    <x v="93"/>
    <n v="10"/>
    <n v="5"/>
    <n v="50"/>
  </r>
  <r>
    <n v="16174"/>
    <s v="25.03.10"/>
    <s v="GG/327/09-10"/>
    <x v="466"/>
    <x v="92"/>
    <n v="4"/>
    <n v="5"/>
    <n v="20"/>
  </r>
  <r>
    <n v="16175"/>
    <s v="25.03.10"/>
    <s v="GG/327/09-10"/>
    <x v="468"/>
    <x v="16"/>
    <n v="2"/>
    <n v="5"/>
    <n v="10"/>
  </r>
  <r>
    <n v="16176"/>
    <s v="25.03.10"/>
    <s v="GG/327/09-10"/>
    <x v="469"/>
    <x v="81"/>
    <n v="20"/>
    <n v="5"/>
    <n v="100"/>
  </r>
  <r>
    <n v="16177"/>
    <s v="25.03.10"/>
    <s v="GG/327/09-10"/>
    <x v="471"/>
    <x v="201"/>
    <n v="5"/>
    <n v="10"/>
    <n v="50"/>
  </r>
  <r>
    <n v="16178"/>
    <s v="25.03.10"/>
    <s v="GG/327/09-10"/>
    <x v="28"/>
    <x v="28"/>
    <n v="4"/>
    <n v="5"/>
    <n v="20"/>
  </r>
  <r>
    <n v="16180"/>
    <s v="25.03.10"/>
    <s v="GG/327/09-10"/>
    <x v="477"/>
    <x v="9"/>
    <n v="3"/>
    <n v="10"/>
    <n v="30"/>
  </r>
  <r>
    <n v="16182"/>
    <s v="25.03.10"/>
    <s v="GG/327/09-10"/>
    <x v="378"/>
    <x v="9"/>
    <n v="1"/>
    <n v="1"/>
    <n v="1"/>
  </r>
  <r>
    <n v="16213"/>
    <s v="25.03.10"/>
    <s v="GG/328/09-10"/>
    <x v="478"/>
    <x v="53"/>
    <n v="2"/>
    <n v="5"/>
    <n v="10"/>
  </r>
  <r>
    <n v="16214"/>
    <s v="25.03.10"/>
    <s v="GG/328/09-10"/>
    <x v="5"/>
    <x v="121"/>
    <n v="4"/>
    <n v="5"/>
    <n v="20"/>
  </r>
  <r>
    <n v="16215"/>
    <s v="25.03.10"/>
    <s v="GG/328/09-10"/>
    <x v="476"/>
    <x v="29"/>
    <n v="1"/>
    <n v="5"/>
    <n v="5"/>
  </r>
  <r>
    <n v="16216"/>
    <s v="25.03.10"/>
    <s v="GG/328/09-10"/>
    <x v="2"/>
    <x v="52"/>
    <n v="10"/>
    <n v="5"/>
    <n v="50"/>
  </r>
  <r>
    <n v="16217"/>
    <s v="25.03.10"/>
    <s v="GG/328/09-10"/>
    <x v="464"/>
    <x v="36"/>
    <n v="9"/>
    <n v="5"/>
    <n v="45"/>
  </r>
  <r>
    <n v="16218"/>
    <s v="25.03.10"/>
    <s v="GG/328/09-10"/>
    <x v="465"/>
    <x v="93"/>
    <n v="8"/>
    <n v="5"/>
    <n v="40"/>
  </r>
  <r>
    <n v="16219"/>
    <s v="25.03.10"/>
    <s v="GG/328/09-10"/>
    <x v="467"/>
    <x v="95"/>
    <n v="2"/>
    <n v="5"/>
    <n v="10"/>
  </r>
  <r>
    <n v="16220"/>
    <s v="25.03.10"/>
    <s v="GG/328/09-10"/>
    <x v="8"/>
    <x v="37"/>
    <n v="1"/>
    <n v="5"/>
    <n v="5"/>
  </r>
  <r>
    <n v="16221"/>
    <s v="25.03.10"/>
    <s v="GG/328/09-10"/>
    <x v="468"/>
    <x v="16"/>
    <n v="2"/>
    <n v="5"/>
    <n v="10"/>
  </r>
  <r>
    <n v="16222"/>
    <s v="25.03.10"/>
    <s v="GG/328/09-10"/>
    <x v="22"/>
    <x v="23"/>
    <n v="4"/>
    <n v="5"/>
    <n v="20"/>
  </r>
  <r>
    <n v="16223"/>
    <s v="25.03.10"/>
    <s v="GG/328/09-10"/>
    <x v="469"/>
    <x v="81"/>
    <n v="8"/>
    <n v="5"/>
    <n v="40"/>
  </r>
  <r>
    <n v="16224"/>
    <s v="25.03.10"/>
    <s v="GG/328/09-10"/>
    <x v="471"/>
    <x v="201"/>
    <n v="4"/>
    <n v="10"/>
    <n v="40"/>
  </r>
  <r>
    <n v="16225"/>
    <s v="25.03.10"/>
    <s v="GG/328/09-10"/>
    <x v="246"/>
    <x v="24"/>
    <n v="6"/>
    <n v="5"/>
    <n v="30"/>
  </r>
  <r>
    <n v="16226"/>
    <s v="25.03.10"/>
    <s v="GG/328/09-10"/>
    <x v="28"/>
    <x v="28"/>
    <n v="4"/>
    <n v="5"/>
    <n v="20"/>
  </r>
  <r>
    <n v="16227"/>
    <s v="25.03.10"/>
    <s v="GG/328/09-10"/>
    <x v="161"/>
    <x v="117"/>
    <n v="2"/>
    <n v="5"/>
    <n v="10"/>
  </r>
  <r>
    <n v="16229"/>
    <s v="25.03.10"/>
    <s v="GG/328/09-10"/>
    <x v="473"/>
    <x v="9"/>
    <n v="10"/>
    <n v="10"/>
    <n v="100"/>
  </r>
  <r>
    <n v="16230"/>
    <s v="25.03.10"/>
    <s v="GG/328/09-10"/>
    <x v="474"/>
    <x v="9"/>
    <n v="5"/>
    <n v="5"/>
    <n v="25"/>
  </r>
  <r>
    <n v="16231"/>
    <s v="25.03.10"/>
    <s v="GG/328/09-10"/>
    <x v="475"/>
    <x v="9"/>
    <n v="3"/>
    <n v="5"/>
    <n v="15"/>
  </r>
  <r>
    <n v="16233"/>
    <s v="25.03.10"/>
    <s v="GG/328/09-10"/>
    <x v="477"/>
    <x v="9"/>
    <n v="5"/>
    <n v="10"/>
    <n v="50"/>
  </r>
  <r>
    <n v="16234"/>
    <s v="25.03.10"/>
    <s v="GG/328/09-10"/>
    <x v="479"/>
    <x v="9"/>
    <n v="2"/>
    <n v="10"/>
    <n v="20"/>
  </r>
  <r>
    <n v="16236"/>
    <s v="25.03.10"/>
    <s v="GG/328/09-10"/>
    <x v="118"/>
    <x v="79"/>
    <n v="1"/>
    <n v="6"/>
    <n v="6"/>
  </r>
  <r>
    <n v="16237"/>
    <s v="25.03.10"/>
    <s v="GG/328/09-10"/>
    <x v="8"/>
    <x v="9"/>
    <n v="2"/>
    <n v="4"/>
    <n v="8"/>
  </r>
  <r>
    <n v="16238"/>
    <s v="25.03.10"/>
    <s v="GG/328/09-10"/>
    <x v="207"/>
    <x v="75"/>
    <n v="3"/>
    <n v="6"/>
    <n v="18"/>
  </r>
  <r>
    <n v="16239"/>
    <s v="25.03.10"/>
    <s v="GG/328/09-10"/>
    <x v="155"/>
    <x v="64"/>
    <n v="1"/>
    <n v="6"/>
    <n v="6"/>
  </r>
  <r>
    <n v="16240"/>
    <s v="25.03.10"/>
    <s v="GG/328/09-10"/>
    <x v="16"/>
    <x v="77"/>
    <n v="1"/>
    <n v="6"/>
    <n v="6"/>
  </r>
  <r>
    <n v="16262"/>
    <s v="25.03.10"/>
    <s v="GG/329/09-10"/>
    <x v="2"/>
    <x v="52"/>
    <n v="10"/>
    <n v="5"/>
    <n v="50"/>
  </r>
  <r>
    <n v="16263"/>
    <s v="25.03.10"/>
    <s v="GG/329/09-10"/>
    <x v="464"/>
    <x v="36"/>
    <n v="9"/>
    <n v="5"/>
    <n v="45"/>
  </r>
  <r>
    <n v="16264"/>
    <s v="25.03.10"/>
    <s v="GG/329/09-10"/>
    <x v="465"/>
    <x v="93"/>
    <n v="18"/>
    <n v="5"/>
    <n v="90"/>
  </r>
  <r>
    <n v="16265"/>
    <s v="25.03.10"/>
    <s v="GG/329/09-10"/>
    <x v="468"/>
    <x v="16"/>
    <n v="2"/>
    <n v="5"/>
    <n v="10"/>
  </r>
  <r>
    <n v="16266"/>
    <s v="25.03.10"/>
    <s v="GG/329/09-10"/>
    <x v="28"/>
    <x v="28"/>
    <n v="4"/>
    <n v="5"/>
    <n v="20"/>
  </r>
  <r>
    <n v="16267"/>
    <s v="25.03.10"/>
    <s v="GG/329/09-10"/>
    <x v="121"/>
    <x v="81"/>
    <n v="6"/>
    <n v="5"/>
    <n v="30"/>
  </r>
  <r>
    <n v="16312"/>
    <s v="25.03.10"/>
    <s v="GG/330/09-10"/>
    <x v="437"/>
    <x v="200"/>
    <n v="1"/>
    <n v="10"/>
    <n v="10"/>
  </r>
  <r>
    <n v="16313"/>
    <s v="25.03.10"/>
    <s v="GG/330/09-10"/>
    <x v="2"/>
    <x v="52"/>
    <n v="10"/>
    <n v="5"/>
    <n v="50"/>
  </r>
  <r>
    <n v="16314"/>
    <s v="25.03.10"/>
    <s v="GG/330/09-10"/>
    <x v="464"/>
    <x v="36"/>
    <n v="4"/>
    <n v="5"/>
    <n v="20"/>
  </r>
  <r>
    <n v="16315"/>
    <s v="25.03.10"/>
    <s v="GG/330/09-10"/>
    <x v="465"/>
    <x v="93"/>
    <n v="5"/>
    <n v="5"/>
    <n v="25"/>
  </r>
  <r>
    <n v="16316"/>
    <s v="25.03.10"/>
    <s v="GG/330/09-10"/>
    <x v="466"/>
    <x v="92"/>
    <n v="4"/>
    <n v="5"/>
    <n v="20"/>
  </r>
  <r>
    <n v="16317"/>
    <s v="25.03.10"/>
    <s v="GG/330/09-10"/>
    <x v="467"/>
    <x v="95"/>
    <n v="1"/>
    <n v="5"/>
    <n v="5"/>
  </r>
  <r>
    <n v="16318"/>
    <s v="25.03.10"/>
    <s v="GG/330/09-10"/>
    <x v="468"/>
    <x v="16"/>
    <n v="2"/>
    <n v="5"/>
    <n v="10"/>
  </r>
  <r>
    <n v="16319"/>
    <s v="25.03.10"/>
    <s v="GG/330/09-10"/>
    <x v="22"/>
    <x v="23"/>
    <n v="6"/>
    <n v="5"/>
    <n v="30"/>
  </r>
  <r>
    <n v="16320"/>
    <s v="25.03.10"/>
    <s v="GG/330/09-10"/>
    <x v="469"/>
    <x v="81"/>
    <n v="8"/>
    <n v="5"/>
    <n v="40"/>
  </r>
  <r>
    <n v="16321"/>
    <s v="25.03.10"/>
    <s v="GG/330/09-10"/>
    <x v="470"/>
    <x v="182"/>
    <n v="6"/>
    <n v="5"/>
    <n v="30"/>
  </r>
  <r>
    <n v="16322"/>
    <s v="25.03.10"/>
    <s v="GG/330/09-10"/>
    <x v="471"/>
    <x v="201"/>
    <n v="3"/>
    <n v="10"/>
    <n v="30"/>
  </r>
  <r>
    <n v="16323"/>
    <s v="25.03.10"/>
    <s v="GG/330/09-10"/>
    <x v="246"/>
    <x v="24"/>
    <n v="6"/>
    <n v="5"/>
    <n v="30"/>
  </r>
  <r>
    <n v="16325"/>
    <s v="25.03.10"/>
    <s v="GG/330/09-10"/>
    <x v="473"/>
    <x v="9"/>
    <n v="5"/>
    <n v="10"/>
    <n v="50"/>
  </r>
  <r>
    <n v="16326"/>
    <s v="25.03.10"/>
    <s v="GG/330/09-10"/>
    <x v="474"/>
    <x v="9"/>
    <n v="2"/>
    <n v="5"/>
    <n v="10"/>
  </r>
  <r>
    <n v="16328"/>
    <s v="25.03.10"/>
    <s v="GG/330/09-10"/>
    <x v="479"/>
    <x v="9"/>
    <n v="2"/>
    <n v="10"/>
    <n v="20"/>
  </r>
  <r>
    <n v="16355"/>
    <s v="25.03.10"/>
    <s v="GG/331/09-10"/>
    <x v="478"/>
    <x v="53"/>
    <n v="8"/>
    <n v="5"/>
    <n v="40"/>
  </r>
  <r>
    <n v="16357"/>
    <s v="25.03.10"/>
    <s v="GG/331/09-10"/>
    <x v="207"/>
    <x v="75"/>
    <n v="5"/>
    <n v="6"/>
    <n v="30"/>
  </r>
  <r>
    <n v="16358"/>
    <s v="25.03.10"/>
    <s v="GG/331/09-10"/>
    <x v="98"/>
    <x v="208"/>
    <n v="1"/>
    <n v="6"/>
    <n v="6"/>
  </r>
  <r>
    <n v="16359"/>
    <s v="25.03.10"/>
    <s v="GG/331/09-10"/>
    <x v="16"/>
    <x v="77"/>
    <n v="4"/>
    <n v="6"/>
    <n v="24"/>
  </r>
  <r>
    <n v="16360"/>
    <s v="25.03.10"/>
    <s v="GG/331/09-10"/>
    <x v="235"/>
    <x v="194"/>
    <n v="1"/>
    <n v="6"/>
    <n v="6"/>
  </r>
  <r>
    <n v="16402"/>
    <s v="25.03.10"/>
    <s v="GG/332/09-10"/>
    <x v="5"/>
    <x v="121"/>
    <n v="1"/>
    <n v="5"/>
    <n v="5"/>
  </r>
  <r>
    <n v="16403"/>
    <s v="25.03.10"/>
    <s v="GG/332/09-10"/>
    <x v="465"/>
    <x v="93"/>
    <n v="6"/>
    <n v="5"/>
    <n v="30"/>
  </r>
  <r>
    <n v="16404"/>
    <s v="25.03.10"/>
    <s v="GG/332/09-10"/>
    <x v="469"/>
    <x v="81"/>
    <n v="4"/>
    <n v="5"/>
    <n v="20"/>
  </r>
  <r>
    <n v="16405"/>
    <s v="25.03.10"/>
    <s v="GG/332/09-10"/>
    <x v="471"/>
    <x v="201"/>
    <n v="3"/>
    <n v="10"/>
    <n v="30"/>
  </r>
  <r>
    <n v="16407"/>
    <s v="25.03.10"/>
    <s v="GG/332/09-10"/>
    <x v="473"/>
    <x v="9"/>
    <n v="2"/>
    <n v="10"/>
    <n v="20"/>
  </r>
  <r>
    <n v="16409"/>
    <s v="25.03.10"/>
    <s v="GG/332/09-10"/>
    <x v="477"/>
    <x v="9"/>
    <n v="2"/>
    <n v="10"/>
    <n v="20"/>
  </r>
  <r>
    <n v="16410"/>
    <s v="25.03.10"/>
    <s v="GG/332/09-10"/>
    <x v="479"/>
    <x v="9"/>
    <n v="1"/>
    <n v="10"/>
    <n v="10"/>
  </r>
  <r>
    <n v="16412"/>
    <s v="25.03.10"/>
    <s v="GG/332/09-10"/>
    <x v="362"/>
    <x v="9"/>
    <n v="5"/>
    <n v="2"/>
    <n v="10"/>
  </r>
  <r>
    <n v="16445"/>
    <s v="31.03.10"/>
    <s v="GG/333/09-10"/>
    <x v="234"/>
    <x v="9"/>
    <n v="10"/>
    <n v="5"/>
    <n v="50"/>
  </r>
  <r>
    <n v="16490"/>
    <s v="25.03.10"/>
    <s v="GG/334/09-10"/>
    <x v="8"/>
    <x v="9"/>
    <n v="3"/>
    <n v="4"/>
    <n v="12"/>
  </r>
  <r>
    <n v="16491"/>
    <s v="25.03.10"/>
    <s v="GG/334/09-10"/>
    <x v="98"/>
    <x v="208"/>
    <n v="2"/>
    <n v="6"/>
    <n v="12"/>
  </r>
  <r>
    <n v="16492"/>
    <s v="25.03.10"/>
    <s v="GG/334/09-10"/>
    <x v="104"/>
    <x v="64"/>
    <n v="1"/>
    <n v="6"/>
    <n v="6"/>
  </r>
  <r>
    <n v="16494"/>
    <s v="25.03.10"/>
    <s v="GG/334/09-10"/>
    <x v="5"/>
    <x v="5"/>
    <n v="1"/>
    <n v="20"/>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6DDD4A-0231-44B5-B27E-C5621043CCAC}" name="PartQuantityPivot"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4:C8" firstHeaderRow="1" firstDataRow="1" firstDataCol="2"/>
  <pivotFields count="8">
    <pivotField compact="0" outline="0" showAll="0" defaultSubtotal="0"/>
    <pivotField compact="0" outline="0" showAll="0" defaultSubtotal="0"/>
    <pivotField compact="0" outline="0" showAll="0" defaultSubtotal="0"/>
    <pivotField axis="axisRow" compact="0" outline="0" showAll="0" defaultSubtotal="0">
      <items count="480">
        <item x="434"/>
        <item x="182"/>
        <item x="140"/>
        <item x="141"/>
        <item x="147"/>
        <item x="148"/>
        <item x="60"/>
        <item x="39"/>
        <item x="344"/>
        <item x="313"/>
        <item x="197"/>
        <item x="307"/>
        <item x="171"/>
        <item x="172"/>
        <item x="248"/>
        <item x="184"/>
        <item x="345"/>
        <item x="126"/>
        <item x="265"/>
        <item x="198"/>
        <item x="305"/>
        <item x="347"/>
        <item x="174"/>
        <item x="173"/>
        <item x="299"/>
        <item x="300"/>
        <item x="301"/>
        <item x="304"/>
        <item x="302"/>
        <item x="303"/>
        <item x="349"/>
        <item x="125"/>
        <item x="175"/>
        <item x="264"/>
        <item x="192"/>
        <item x="59"/>
        <item x="306"/>
        <item x="348"/>
        <item x="180"/>
        <item x="393"/>
        <item x="394"/>
        <item x="407"/>
        <item x="397"/>
        <item x="398"/>
        <item x="229"/>
        <item x="390"/>
        <item x="389"/>
        <item x="230"/>
        <item x="165"/>
        <item x="166"/>
        <item x="391"/>
        <item x="472"/>
        <item x="346"/>
        <item x="188"/>
        <item x="168"/>
        <item x="259"/>
        <item x="473"/>
        <item x="428"/>
        <item x="353"/>
        <item x="400"/>
        <item x="178"/>
        <item x="358"/>
        <item x="408"/>
        <item x="404"/>
        <item x="399"/>
        <item x="169"/>
        <item x="477"/>
        <item x="372"/>
        <item x="254"/>
        <item x="354"/>
        <item x="403"/>
        <item x="219"/>
        <item x="355"/>
        <item x="179"/>
        <item x="359"/>
        <item x="395"/>
        <item x="170"/>
        <item x="479"/>
        <item x="373"/>
        <item x="167"/>
        <item x="356"/>
        <item x="374"/>
        <item x="357"/>
        <item x="225"/>
        <item x="392"/>
        <item x="213"/>
        <item x="474"/>
        <item x="226"/>
        <item x="250"/>
        <item x="475"/>
        <item x="227"/>
        <item x="251"/>
        <item x="249"/>
        <item x="266"/>
        <item x="256"/>
        <item x="176"/>
        <item x="221"/>
        <item x="234"/>
        <item x="162"/>
        <item x="311"/>
        <item x="35"/>
        <item x="36"/>
        <item x="290"/>
        <item x="423"/>
        <item x="255"/>
        <item x="453"/>
        <item x="456"/>
        <item x="203"/>
        <item x="410"/>
        <item x="285"/>
        <item x="247"/>
        <item x="387"/>
        <item x="85"/>
        <item x="260"/>
        <item x="233"/>
        <item x="129"/>
        <item x="350"/>
        <item x="161"/>
        <item x="30"/>
        <item x="461"/>
        <item x="58"/>
        <item x="94"/>
        <item x="48"/>
        <item x="97"/>
        <item x="62"/>
        <item x="79"/>
        <item x="132"/>
        <item x="69"/>
        <item x="101"/>
        <item x="78"/>
        <item x="73"/>
        <item x="74"/>
        <item x="15"/>
        <item x="100"/>
        <item x="75"/>
        <item x="91"/>
        <item x="37"/>
        <item x="232"/>
        <item x="95"/>
        <item x="128"/>
        <item x="375"/>
        <item x="366"/>
        <item x="323"/>
        <item x="336"/>
        <item x="337"/>
        <item x="190"/>
        <item x="105"/>
        <item x="367"/>
        <item x="224"/>
        <item x="244"/>
        <item x="427"/>
        <item x="61"/>
        <item x="66"/>
        <item x="150"/>
        <item x="271"/>
        <item x="274"/>
        <item x="275"/>
        <item x="273"/>
        <item x="194"/>
        <item x="415"/>
        <item x="431"/>
        <item x="243"/>
        <item x="417"/>
        <item x="338"/>
        <item x="106"/>
        <item x="457"/>
        <item x="187"/>
        <item x="186"/>
        <item x="442"/>
        <item x="32"/>
        <item x="40"/>
        <item x="41"/>
        <item x="70"/>
        <item x="72"/>
        <item x="195"/>
        <item x="435"/>
        <item x="426"/>
        <item x="139"/>
        <item x="135"/>
        <item x="440"/>
        <item x="77"/>
        <item x="425"/>
        <item x="201"/>
        <item x="185"/>
        <item x="67"/>
        <item x="279"/>
        <item x="87"/>
        <item x="276"/>
        <item x="363"/>
        <item x="283"/>
        <item x="104"/>
        <item x="268"/>
        <item x="223"/>
        <item x="45"/>
        <item x="44"/>
        <item x="47"/>
        <item x="80"/>
        <item x="46"/>
        <item x="320"/>
        <item x="332"/>
        <item x="118"/>
        <item x="326"/>
        <item x="321"/>
        <item x="381"/>
        <item x="449"/>
        <item x="448"/>
        <item x="193"/>
        <item x="411"/>
        <item x="297"/>
        <item x="0"/>
        <item x="107"/>
        <item x="153"/>
        <item x="1"/>
        <item x="18"/>
        <item x="272"/>
        <item x="478"/>
        <item x="437"/>
        <item x="143"/>
        <item x="386"/>
        <item x="43"/>
        <item x="42"/>
        <item x="31"/>
        <item x="288"/>
        <item x="88"/>
        <item x="89"/>
        <item x="289"/>
        <item x="90"/>
        <item x="93"/>
        <item x="382"/>
        <item x="329"/>
        <item x="316"/>
        <item x="339"/>
        <item x="23"/>
        <item x="108"/>
        <item x="5"/>
        <item x="81"/>
        <item x="384"/>
        <item x="331"/>
        <item x="130"/>
        <item x="315"/>
        <item x="206"/>
        <item x="263"/>
        <item x="340"/>
        <item x="163"/>
        <item x="29"/>
        <item x="239"/>
        <item x="131"/>
        <item x="383"/>
        <item x="202"/>
        <item x="476"/>
        <item x="155"/>
        <item x="330"/>
        <item x="200"/>
        <item x="322"/>
        <item x="292"/>
        <item x="324"/>
        <item x="314"/>
        <item x="463"/>
        <item x="388"/>
        <item x="325"/>
        <item x="214"/>
        <item x="4"/>
        <item x="242"/>
        <item x="228"/>
        <item x="54"/>
        <item x="53"/>
        <item x="238"/>
        <item x="412"/>
        <item x="252"/>
        <item x="257"/>
        <item x="154"/>
        <item x="464"/>
        <item x="465"/>
        <item x="55"/>
        <item x="466"/>
        <item x="71"/>
        <item x="380"/>
        <item x="396"/>
        <item x="28"/>
        <item x="63"/>
        <item x="280"/>
        <item x="308"/>
        <item x="310"/>
        <item x="327"/>
        <item x="328"/>
        <item x="164"/>
        <item x="237"/>
        <item x="127"/>
        <item x="109"/>
        <item x="204"/>
        <item x="110"/>
        <item x="462"/>
        <item x="102"/>
        <item x="267"/>
        <item x="277"/>
        <item x="222"/>
        <item x="191"/>
        <item x="441"/>
        <item x="211"/>
        <item x="26"/>
        <item x="27"/>
        <item x="25"/>
        <item x="181"/>
        <item x="217"/>
        <item x="278"/>
        <item x="157"/>
        <item x="218"/>
        <item x="286"/>
        <item x="99"/>
        <item x="14"/>
        <item x="270"/>
        <item x="82"/>
        <item x="86"/>
        <item x="362"/>
        <item x="319"/>
        <item x="38"/>
        <item x="418"/>
        <item x="436"/>
        <item x="421"/>
        <item x="454"/>
        <item x="136"/>
        <item x="137"/>
        <item x="196"/>
        <item x="317"/>
        <item x="146"/>
        <item x="210"/>
        <item x="444"/>
        <item x="151"/>
        <item x="111"/>
        <item x="293"/>
        <item x="281"/>
        <item x="112"/>
        <item x="467"/>
        <item x="416"/>
        <item x="177"/>
        <item x="207"/>
        <item x="385"/>
        <item x="220"/>
        <item x="149"/>
        <item x="11"/>
        <item x="98"/>
        <item x="468"/>
        <item x="83"/>
        <item x="84"/>
        <item x="351"/>
        <item x="455"/>
        <item x="352"/>
        <item x="17"/>
        <item x="16"/>
        <item x="2"/>
        <item x="368"/>
        <item x="241"/>
        <item x="34"/>
        <item x="419"/>
        <item x="215"/>
        <item x="439"/>
        <item x="56"/>
        <item x="12"/>
        <item x="438"/>
        <item x="8"/>
        <item x="284"/>
        <item x="159"/>
        <item x="160"/>
        <item x="49"/>
        <item x="309"/>
        <item x="199"/>
        <item x="119"/>
        <item x="120"/>
        <item x="443"/>
        <item x="291"/>
        <item x="113"/>
        <item x="124"/>
        <item x="33"/>
        <item x="360"/>
        <item x="123"/>
        <item x="216"/>
        <item x="6"/>
        <item x="122"/>
        <item x="189"/>
        <item x="460"/>
        <item x="52"/>
        <item x="361"/>
        <item x="369"/>
        <item x="261"/>
        <item x="114"/>
        <item x="269"/>
        <item x="342"/>
        <item x="235"/>
        <item x="282"/>
        <item x="156"/>
        <item x="68"/>
        <item x="341"/>
        <item x="335"/>
        <item x="333"/>
        <item x="19"/>
        <item x="294"/>
        <item x="405"/>
        <item x="115"/>
        <item x="116"/>
        <item x="424"/>
        <item x="205"/>
        <item x="13"/>
        <item x="142"/>
        <item x="76"/>
        <item x="50"/>
        <item x="57"/>
        <item x="51"/>
        <item x="10"/>
        <item x="64"/>
        <item x="334"/>
        <item x="445"/>
        <item x="22"/>
        <item x="343"/>
        <item x="450"/>
        <item x="9"/>
        <item x="446"/>
        <item x="447"/>
        <item x="458"/>
        <item x="459"/>
        <item x="287"/>
        <item x="138"/>
        <item x="245"/>
        <item x="65"/>
        <item x="422"/>
        <item x="432"/>
        <item x="420"/>
        <item x="236"/>
        <item x="183"/>
        <item x="103"/>
        <item x="3"/>
        <item x="414"/>
        <item x="413"/>
        <item x="134"/>
        <item x="96"/>
        <item x="92"/>
        <item x="133"/>
        <item x="429"/>
        <item x="430"/>
        <item x="231"/>
        <item x="21"/>
        <item x="158"/>
        <item x="318"/>
        <item x="295"/>
        <item x="378"/>
        <item x="401"/>
        <item x="117"/>
        <item x="370"/>
        <item x="451"/>
        <item x="469"/>
        <item x="253"/>
        <item x="312"/>
        <item x="433"/>
        <item x="121"/>
        <item x="240"/>
        <item x="406"/>
        <item x="258"/>
        <item x="379"/>
        <item x="208"/>
        <item x="209"/>
        <item x="298"/>
        <item x="20"/>
        <item x="364"/>
        <item x="262"/>
        <item x="7"/>
        <item x="365"/>
        <item x="212"/>
        <item x="402"/>
        <item x="296"/>
        <item x="144"/>
        <item x="145"/>
        <item x="376"/>
        <item x="24"/>
        <item x="371"/>
        <item x="152"/>
        <item x="377"/>
        <item x="452"/>
        <item x="409"/>
        <item x="470"/>
        <item x="471"/>
        <item x="246"/>
      </items>
    </pivotField>
    <pivotField axis="axisRow" compact="0" outline="0" showAll="0" defaultSubtotal="0">
      <items count="222">
        <item h="1" x="44"/>
        <item h="1" x="149"/>
        <item h="1" x="148"/>
        <item h="1" x="122"/>
        <item h="1" x="127"/>
        <item h="1" x="32"/>
        <item h="1" x="109"/>
        <item h="1" x="118"/>
        <item h="1" x="13"/>
        <item h="1" x="10"/>
        <item h="1" x="139"/>
        <item h="1" x="87"/>
        <item h="1" x="46"/>
        <item h="1" x="111"/>
        <item x="86"/>
        <item h="1" x="12"/>
        <item h="1" x="11"/>
        <item h="1" x="110"/>
        <item h="1" x="198"/>
        <item h="1" x="212"/>
        <item h="1" x="204"/>
        <item h="1" x="116"/>
        <item h="1" x="41"/>
        <item h="1" x="34"/>
        <item h="1" x="128"/>
        <item h="1" x="49"/>
        <item h="1" x="21"/>
        <item h="1" x="85"/>
        <item h="1" x="176"/>
        <item h="1" x="130"/>
        <item h="1" x="216"/>
        <item h="1" x="68"/>
        <item h="1" x="151"/>
        <item h="1" x="17"/>
        <item h="1" x="88"/>
        <item h="1" x="66"/>
        <item h="1" x="209"/>
        <item h="1" x="89"/>
        <item h="1" x="19"/>
        <item h="1" x="72"/>
        <item h="1" x="73"/>
        <item h="1" x="69"/>
        <item h="1" x="75"/>
        <item h="1" x="84"/>
        <item h="1" x="186"/>
        <item h="1" x="108"/>
        <item h="1" x="150"/>
        <item h="1" x="185"/>
        <item h="1" x="187"/>
        <item h="1" x="188"/>
        <item h="1" x="64"/>
        <item h="1" x="67"/>
        <item h="1" x="62"/>
        <item h="1" x="199"/>
        <item h="1" x="79"/>
        <item h="1" x="65"/>
        <item h="1" x="6"/>
        <item h="1" x="51"/>
        <item h="1" x="214"/>
        <item h="1" x="7"/>
        <item h="1" x="184"/>
        <item h="1" x="22"/>
        <item h="1" x="71"/>
        <item h="1" x="20"/>
        <item h="1" x="78"/>
        <item h="1" x="70"/>
        <item h="1" x="74"/>
        <item h="1" x="18"/>
        <item h="1" x="76"/>
        <item h="1" x="83"/>
        <item h="1" x="171"/>
        <item h="1" x="193"/>
        <item h="1" x="3"/>
        <item h="1" x="189"/>
        <item h="1" x="14"/>
        <item h="1" x="190"/>
        <item h="1" x="145"/>
        <item h="1" x="196"/>
        <item h="1" x="119"/>
        <item h="1" x="134"/>
        <item h="1" x="80"/>
        <item h="1" x="112"/>
        <item h="1" x="115"/>
        <item h="1" x="195"/>
        <item h="1" x="215"/>
        <item h="1" x="38"/>
        <item h="1" x="8"/>
        <item h="1" x="138"/>
        <item h="1" x="213"/>
        <item h="1" x="211"/>
        <item h="1" x="197"/>
        <item h="1" x="0"/>
        <item h="1" x="1"/>
        <item h="1" x="61"/>
        <item h="1" x="105"/>
        <item h="1" x="57"/>
        <item h="1" x="2"/>
        <item h="1" x="191"/>
        <item h="1" x="26"/>
        <item h="1" x="27"/>
        <item h="1" x="101"/>
        <item h="1" x="91"/>
        <item h="1" x="77"/>
        <item h="1" x="114"/>
        <item h="1" x="90"/>
        <item h="1" x="47"/>
        <item h="1" x="4"/>
        <item h="1" x="102"/>
        <item h="1" x="103"/>
        <item h="1" x="35"/>
        <item h="1" x="60"/>
        <item h="1" x="5"/>
        <item h="1" x="100"/>
        <item h="1" x="166"/>
        <item h="1" x="181"/>
        <item h="1" x="220"/>
        <item h="1" x="97"/>
        <item h="1" x="98"/>
        <item h="1" x="121"/>
        <item h="1" x="93"/>
        <item h="1" x="81"/>
        <item h="1" x="143"/>
        <item h="1" x="142"/>
        <item h="1" x="200"/>
        <item h="1" x="82"/>
        <item h="1" x="144"/>
        <item h="1" x="201"/>
        <item h="1" x="28"/>
        <item h="1" x="104"/>
        <item h="1" x="153"/>
        <item h="1" x="117"/>
        <item h="1" x="96"/>
        <item h="1" x="175"/>
        <item h="1" x="53"/>
        <item h="1" x="25"/>
        <item h="1" x="45"/>
        <item h="1" x="37"/>
        <item h="1" x="94"/>
        <item h="1" x="99"/>
        <item h="1" x="52"/>
        <item h="1" x="218"/>
        <item h="1" x="95"/>
        <item h="1" x="129"/>
        <item h="1" x="36"/>
        <item h="1" x="56"/>
        <item h="1" x="16"/>
        <item h="1" x="120"/>
        <item h="1" x="92"/>
        <item h="1" x="15"/>
        <item h="1" x="39"/>
        <item h="1" x="29"/>
        <item h="1" x="126"/>
        <item h="1" x="154"/>
        <item h="1" x="206"/>
        <item h="1" x="58"/>
        <item h="1" x="24"/>
        <item h="1" x="131"/>
        <item h="1" x="113"/>
        <item h="1" x="23"/>
        <item h="1" x="30"/>
        <item h="1" x="219"/>
        <item h="1" x="180"/>
        <item h="1" x="221"/>
        <item h="1" x="165"/>
        <item h="1" x="162"/>
        <item h="1" x="156"/>
        <item h="1" x="202"/>
        <item h="1" x="217"/>
        <item h="1" x="207"/>
        <item h="1" x="161"/>
        <item h="1" x="159"/>
        <item h="1" x="157"/>
        <item h="1" x="164"/>
        <item h="1" x="163"/>
        <item h="1" x="155"/>
        <item h="1" x="158"/>
        <item h="1" x="160"/>
        <item h="1" x="182"/>
        <item h="1" x="192"/>
        <item h="1" x="208"/>
        <item h="1" x="194"/>
        <item h="1" x="63"/>
        <item h="1" x="205"/>
        <item h="1" x="172"/>
        <item h="1" x="173"/>
        <item h="1" x="177"/>
        <item h="1" x="178"/>
        <item h="1" x="179"/>
        <item h="1" x="174"/>
        <item h="1" x="168"/>
        <item h="1" x="167"/>
        <item h="1" x="169"/>
        <item h="1" x="170"/>
        <item h="1" x="54"/>
        <item h="1" x="59"/>
        <item h="1" x="146"/>
        <item h="1" x="133"/>
        <item h="1" x="106"/>
        <item h="1" x="132"/>
        <item h="1" x="125"/>
        <item h="1" x="55"/>
        <item h="1" x="140"/>
        <item h="1" x="31"/>
        <item h="1" x="183"/>
        <item h="1" x="124"/>
        <item h="1" x="123"/>
        <item h="1" x="210"/>
        <item h="1" x="147"/>
        <item h="1" x="107"/>
        <item h="1" x="203"/>
        <item h="1" x="152"/>
        <item h="1" x="40"/>
        <item h="1" x="43"/>
        <item h="1" x="141"/>
        <item h="1" x="33"/>
        <item h="1" x="42"/>
        <item h="1" x="135"/>
        <item h="1" x="136"/>
        <item h="1" x="137"/>
        <item h="1" x="50"/>
        <item h="1" x="48"/>
        <item h="1" x="9"/>
      </items>
    </pivotField>
    <pivotField compact="0" outline="0" showAll="0" defaultSubtotal="0"/>
    <pivotField compact="0" outline="0" showAll="0" defaultSubtotal="0"/>
    <pivotField dataField="1" compact="0" numFmtId="3" outline="0" showAll="0" defaultSubtotal="0"/>
  </pivotFields>
  <rowFields count="2">
    <field x="3"/>
    <field x="4"/>
  </rowFields>
  <rowItems count="4">
    <i>
      <x v="317"/>
      <x v="14"/>
    </i>
    <i>
      <x v="318"/>
      <x v="14"/>
    </i>
    <i>
      <x v="320"/>
      <x v="14"/>
    </i>
    <i>
      <x v="321"/>
      <x v="14"/>
    </i>
  </rowItems>
  <colItems count="1">
    <i/>
  </colItems>
  <dataFields count="1">
    <dataField name="Sum of Total Qty" fld="7" baseField="0" baseItem="0" numFmtId="3"/>
  </dataFields>
  <formats count="2">
    <format dxfId="15">
      <pivotArea outline="0" collapsedLevelsAreSubtotals="1" fieldPosition="0"/>
    </format>
    <format dxfId="1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B9E4A03-9C45-42B6-9CF1-C29E5E45343C}" name="Table5" displayName="Table5" ref="A4:E741" totalsRowCount="1" headerRowDxfId="20" headerRowBorderDxfId="19">
  <autoFilter ref="A4:E740" xr:uid="{4B9E4A03-9C45-42B6-9CF1-C29E5E45343C}">
    <filterColumn colId="0">
      <filters>
        <filter val="8MM"/>
        <filter val="Bridgstone NDX 8MM"/>
        <filter val="NDX-8MM (LID)"/>
      </filters>
    </filterColumn>
  </autoFilter>
  <tableColumns count="5">
    <tableColumn id="1" xr3:uid="{7A9B88DB-EDED-43ED-B674-D9713DE771A4}" name="Part Name"/>
    <tableColumn id="2" xr3:uid="{79E612A3-E6D4-4D93-83DD-232C65D8165F}" name="Part Number"/>
    <tableColumn id="3" xr3:uid="{8438337A-3C0B-4E47-B883-A620778327B9}" name="Total Qty (D×E)" totalsRowFunction="custom" dataDxfId="18" totalsRowDxfId="17">
      <calculatedColumnFormula array="1">SUMPRODUCT((CHALLAN!$B$1:$B$16504=A5)*IF(B5="",--(CHALLAN!$C$1:$C$16504=""),--(CHALLAN!$C$1:$C$16504=B5))*IFERROR(CHALLAN!$D$1:$D$16504*CHALLAN!$E$1:$E$16504,0))</calculatedColumnFormula>
      <totalsRowFormula>SUM(Table5[Total Qty (D×E)])</totalsRowFormula>
    </tableColumn>
    <tableColumn id="4" xr3:uid="{7BD5AFA2-C445-4C09-9333-FD8D9873132D}" name="Cancelled Qty"/>
    <tableColumn id="5" xr3:uid="{A0D4CD4E-A7C4-49E5-9E64-2423C7DE7EAF}" name="Net Qty (excl. Cancelle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4EEE2A-BCB4-4F2E-8852-73D3DC933678}" name="PivotSource" displayName="PivotSource" ref="A1:I1912" totalsRowShown="0">
  <autoFilter ref="A1:I1912" xr:uid="{FE4EEE2A-BCB4-4F2E-8852-73D3DC933678}"/>
  <tableColumns count="9">
    <tableColumn id="1" xr3:uid="{E2C7B258-1785-49A4-AFB7-E488B48D6805}" name="Source Row"/>
    <tableColumn id="2" xr3:uid="{7BCBA326-298F-4CAF-89A2-714A2D730848}" name="Date"/>
    <tableColumn id="3" xr3:uid="{6C2D42ED-40B9-4FF2-9266-0C6BC067ECC5}" name="Challan No"/>
    <tableColumn id="4" xr3:uid="{9396E9B9-BCF6-4B30-93E1-EC8BD92892B2}" name="Part Name"/>
    <tableColumn id="5" xr3:uid="{0E7C7A56-5684-4580-9FD9-FD45618D1D6E}" name="Part Number"/>
    <tableColumn id="6" xr3:uid="{5815FAC9-E6C2-4BEB-9E32-0D2C8CF2F976}" name="Cartons / Units"/>
    <tableColumn id="7" xr3:uid="{871664DD-C539-4F1D-A26B-38F9A4A70A71}" name="Pcs per Unit"/>
    <tableColumn id="8" xr3:uid="{3275D12A-3F65-4D0A-AD8F-7A546E195A27}" name="Total Qty" dataDxfId="16"/>
    <tableColumn id="9" xr3:uid="{57DCDA9E-036E-451C-A12A-14A0CA2A601E}" name="Cancelle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 dockstate="right" visibility="0" width="350" row="1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D575A33-B372-487C-AC83-BDC05AC24067}">
  <we:reference id="wa200009404" version="1.0.0.8" store="en-US" storeType="OMEX"/>
  <we:alternateReferences>
    <we:reference id="wa200009404" version="1.0.0.8" store="" storeType="OMEX"/>
  </we:alternateReferences>
  <we:properties>
    <we:property name="claude.fileId" value="&quot;01df827d-a010-42fa-8282-7eb5bc100313&quot;"/>
  </we:properties>
  <we:bindings/>
  <we:snapshot xmlns:r="http://schemas.openxmlformats.org/officeDocument/2006/relationships"/>
</we:webextension>
</file>

<file path=xl/webextensions/webextension2.xml><?xml version="1.0" encoding="utf-8"?>
<we:webextension xmlns:we="http://schemas.microsoft.com/office/webextensions/webextension/2010/11" id="{18A693F8-99D1-4AA3-9684-8472FD5B211F}">
  <we:reference id="wa200005502" version="1.0.0.13" store="en-GB" storeType="OMEX"/>
  <we:alternateReferences>
    <we:reference id="wa200005502" version="1.0.0.13" store="wa200005502" storeType="OMEX"/>
  </we:alternateReferences>
  <we:properties>
    <we:property name="docId" value="&quot;tyv-eEdwA5hh0ZIiRbw3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BA1000"/>
  <sheetViews>
    <sheetView tabSelected="1" topLeftCell="A61" workbookViewId="0">
      <pane xSplit="1" topLeftCell="G1" activePane="topRight" state="frozen"/>
      <selection pane="topRight" activeCell="I83" sqref="I83"/>
    </sheetView>
  </sheetViews>
  <sheetFormatPr defaultColWidth="14.42578125" defaultRowHeight="15" customHeight="1" outlineLevelCol="2" x14ac:dyDescent="0.25"/>
  <cols>
    <col min="1" max="1" width="8.7109375" customWidth="1"/>
    <col min="2" max="2" width="32.42578125" customWidth="1"/>
    <col min="3" max="3" width="21" customWidth="1"/>
    <col min="4" max="6" width="15.28515625" customWidth="1"/>
    <col min="7" max="8" width="18.140625" customWidth="1"/>
    <col min="9" max="9" width="28.5703125" customWidth="1"/>
    <col min="10" max="10" width="21" customWidth="1"/>
    <col min="11" max="13" width="15.28515625" customWidth="1"/>
    <col min="14" max="14" width="18.140625" customWidth="1"/>
    <col min="15" max="15" width="14.85546875" customWidth="1"/>
    <col min="16" max="16" width="28.140625" customWidth="1"/>
    <col min="17" max="17" width="31.7109375" customWidth="1"/>
    <col min="18" max="20" width="14.85546875" customWidth="1"/>
    <col min="21" max="21" width="18.140625" customWidth="1"/>
    <col min="22" max="22" width="22.85546875" hidden="1" customWidth="1" outlineLevel="2"/>
    <col min="23" max="24" width="13.28515625" hidden="1" customWidth="1" outlineLevel="2"/>
    <col min="25" max="25" width="8.7109375" customWidth="1" collapsed="1"/>
    <col min="26" max="53" width="8.7109375" customWidth="1"/>
  </cols>
  <sheetData>
    <row r="1" spans="2:24" ht="15.75" x14ac:dyDescent="0.25">
      <c r="B1" s="1313" t="s">
        <v>49</v>
      </c>
      <c r="C1" s="1316"/>
      <c r="D1" s="1314"/>
      <c r="E1" s="105"/>
      <c r="F1" s="107"/>
      <c r="G1" s="1288"/>
      <c r="I1" s="1313" t="s">
        <v>160</v>
      </c>
      <c r="J1" s="1316"/>
      <c r="K1" s="1316"/>
      <c r="L1" s="1314"/>
      <c r="M1" s="107"/>
      <c r="N1" s="1288"/>
      <c r="P1" s="110" t="s">
        <v>62</v>
      </c>
      <c r="Q1" s="105"/>
      <c r="R1" s="105"/>
      <c r="S1" s="105"/>
      <c r="T1" s="105"/>
      <c r="U1" s="1288"/>
      <c r="V1" s="112"/>
    </row>
    <row r="2" spans="2:24" x14ac:dyDescent="0.25">
      <c r="B2" s="1317" t="s">
        <v>201</v>
      </c>
      <c r="C2" s="1318"/>
      <c r="D2" s="117" t="s">
        <v>2419</v>
      </c>
      <c r="E2" s="117" t="s">
        <v>314</v>
      </c>
      <c r="F2" s="120" t="s">
        <v>264</v>
      </c>
      <c r="G2" s="1293" t="s">
        <v>2420</v>
      </c>
      <c r="I2" s="1319" t="s">
        <v>201</v>
      </c>
      <c r="J2" s="1320"/>
      <c r="K2" s="117" t="s">
        <v>2419</v>
      </c>
      <c r="L2" s="117" t="s">
        <v>314</v>
      </c>
      <c r="M2" s="120" t="s">
        <v>264</v>
      </c>
      <c r="N2" s="1293" t="s">
        <v>2420</v>
      </c>
      <c r="P2" s="1321" t="s">
        <v>201</v>
      </c>
      <c r="Q2" s="1322"/>
      <c r="R2" s="126" t="s">
        <v>2419</v>
      </c>
      <c r="S2" s="126" t="s">
        <v>314</v>
      </c>
      <c r="T2" s="126" t="s">
        <v>264</v>
      </c>
      <c r="U2" s="1289" t="s">
        <v>2420</v>
      </c>
      <c r="V2" s="112"/>
    </row>
    <row r="3" spans="2:24" x14ac:dyDescent="0.25">
      <c r="B3" s="131" t="s">
        <v>3</v>
      </c>
      <c r="C3" s="4" t="s">
        <v>4</v>
      </c>
      <c r="D3" s="5">
        <v>340</v>
      </c>
      <c r="E3" s="5">
        <f>IF(AND(B3="",C3=""),"",IF(C3&lt;&gt;"",IF(COUNTIFS(Stock!$D$4:$IP$4,B3,Stock!$D$5:$IP$5,C3)&gt;0,SUMIFS(Stock!$D$340:$IP$340,Stock!$D$4:$IP$4,B3,Stock!$D$5:$IP$5,C3),IF(COUNTIF(Stock!$D$5:$IP$5,C3)&gt;0,SUMIF(Stock!$D$5:$IP$5,C3,Stock!$D$340:$IP$340),SUMIF(Stock!$D$4:$IP$4,B3,Stock!$D$340:$IP$340))),SUMIF(Stock!$D$4:$IP$4,B3,Stock!$D$340:$IP$340)))</f>
        <v>265</v>
      </c>
      <c r="F3" s="142">
        <f>D3-E3</f>
        <v>75</v>
      </c>
      <c r="G3" s="1294">
        <f>IF(AND(B3="",C3=""),"",IF(C3&lt;&gt;"",IF(COUNTIFS(Stock!$D$4:$IP$4,B3,Stock!$D$5:$IP$5,C3)&gt;0,SUMIFS(Stock!$D$32:$IP$32,Stock!$D$4:$IP$4,B3,Stock!$D$5:$IP$5,C3),IF(COUNTIF(Stock!$D$5:$IP$5,C3)&gt;0,SUMIF(Stock!$D$5:$IP$5,C3,Stock!$D$32:$IP$32),SUMIF(Stock!$D$4:$IP$4,B3,Stock!$D$32:$IP$32))),SUMIF(Stock!$D$4:$IP$4,B3,Stock!$D$32:$IP$32)))</f>
        <v>360</v>
      </c>
      <c r="I3" s="131" t="s">
        <v>187</v>
      </c>
      <c r="J3" s="4" t="s">
        <v>358</v>
      </c>
      <c r="K3" s="5">
        <v>602</v>
      </c>
      <c r="L3" s="5">
        <f>IF(AND(I3="",J3=""),"",IF(J3&lt;&gt;"",IF(COUNTIFS(Stock!$D$4:$IP$4,I3,Stock!$D$5:$IP$5,J3)&gt;0,SUMIFS(Stock!$D$340:$IP$340,Stock!$D$4:$IP$4,I3,Stock!$D$5:$IP$5,J3),IF(COUNTIF(Stock!$D$5:$IP$5,J3)&gt;0,SUMIF(Stock!$D$5:$IP$5,J3,Stock!$D$340:$IP$340),SUMIF(Stock!$D$4:$IP$4,I3,Stock!$D$340:$IP$340))),SUMIF(Stock!$D$4:$IP$4,I3,Stock!$D$340:$IP$340)))</f>
        <v>250</v>
      </c>
      <c r="M3" s="142">
        <f>K3-L3</f>
        <v>352</v>
      </c>
      <c r="N3" s="1294">
        <f>IF(AND(I3="",J3=""),"",IF(J3&lt;&gt;"",IF(COUNTIFS(Stock!$D$4:$IP$4,I3,Stock!$D$5:$IP$5,J3)&gt;0,SUMIFS(Stock!$D$32:$IP$32,Stock!$D$4:$IP$4,I3,Stock!$D$5:$IP$5,J3),IF(COUNTIF(Stock!$D$5:$IP$5,J3)&gt;0,SUMIF(Stock!$D$5:$IP$5,J3,Stock!$D$32:$IP$32),SUMIF(Stock!$D$4:$IP$4,I3,Stock!$D$32:$IP$32))),SUMIF(Stock!$D$4:$IP$4,I3,Stock!$D$32:$IP$32)))</f>
        <v>650</v>
      </c>
      <c r="P3" s="159" t="s">
        <v>236</v>
      </c>
      <c r="Q3" s="1307" t="s">
        <v>482</v>
      </c>
      <c r="R3" s="5">
        <v>62</v>
      </c>
      <c r="S3" s="175">
        <f>IF(AND(P3="",Q3=""),"",IF(Q3&lt;&gt;"",IF(COUNTIFS(Stock!$D$4:$IP$4,P3,Stock!$D$5:$IP$5,Q3)&gt;0,SUMIFS(Stock!$D$340:$IP$340,Stock!$D$4:$IP$4,P3,Stock!$D$5:$IP$5,Q3),IF(COUNTIF(Stock!$D$5:$IP$5,Q3)&gt;0,SUMIF(Stock!$D$5:$IP$5,Q3,Stock!$D$340:$IP$340),SUMIF(Stock!$D$4:$IP$4,P3,Stock!$D$340:$IP$340))),SUMIF(Stock!$D$4:$IP$4,P3,Stock!$D$340:$IP$340)))</f>
        <v>42</v>
      </c>
      <c r="T3" s="176">
        <f>R3-S3</f>
        <v>20</v>
      </c>
      <c r="U3" s="1290">
        <f>IF(AND(P3="",Q3=""),"",IF(Q3&lt;&gt;"",IF(COUNTIFS(Stock!$D$4:$IP$4,P3,Stock!$D$5:$IP$5,Q3)&gt;0,SUMIFS(Stock!$D$32:$IP$32,Stock!$D$4:$IP$4,P3,Stock!$D$5:$IP$5,Q3),IF(COUNTIF(Stock!$D$5:$IP$5,Q3)&gt;0,SUMIF(Stock!$D$5:$IP$5,Q3,Stock!$D$32:$IP$32),SUMIF(Stock!$D$4:$IP$4,P3,Stock!$D$32:$IP$32))),SUMIF(Stock!$D$4:$IP$4,P3,Stock!$D$32:$IP$32)))</f>
        <v>62</v>
      </c>
      <c r="V3" s="112"/>
    </row>
    <row r="4" spans="2:24" x14ac:dyDescent="0.25">
      <c r="B4" s="131" t="s">
        <v>15</v>
      </c>
      <c r="C4" s="4" t="s">
        <v>16</v>
      </c>
      <c r="D4" s="5">
        <v>85</v>
      </c>
      <c r="E4" s="5">
        <f>IF(AND(B4="",C4=""),"",IF(C4&lt;&gt;"",IF(COUNTIFS(Stock!$D$4:$IP$4,B4,Stock!$D$5:$IP$5,C4)&gt;0,SUMIFS(Stock!$D$340:$IP$340,Stock!$D$4:$IP$4,B4,Stock!$D$5:$IP$5,C4),IF(COUNTIF(Stock!$D$5:$IP$5,C4)&gt;0,SUMIF(Stock!$D$5:$IP$5,C4,Stock!$D$340:$IP$340),SUMIF(Stock!$D$4:$IP$4,B4,Stock!$D$340:$IP$340))),SUMIF(Stock!$D$4:$IP$4,B4,Stock!$D$340:$IP$340)))</f>
        <v>45</v>
      </c>
      <c r="F4" s="142">
        <f t="shared" ref="F4:F67" si="0">D4-E4</f>
        <v>40</v>
      </c>
      <c r="G4" s="1294">
        <f>IF(AND(B4="",C4=""),"",IF(C4&lt;&gt;"",IF(COUNTIFS(Stock!$D$4:$IP$4,B4,Stock!$D$5:$IP$5,C4)&gt;0,SUMIFS(Stock!$D$32:$IP$32,Stock!$D$4:$IP$4,B4,Stock!$D$5:$IP$5,C4),IF(COUNTIF(Stock!$D$5:$IP$5,C4)&gt;0,SUMIF(Stock!$D$5:$IP$5,C4,Stock!$D$32:$IP$32),SUMIF(Stock!$D$4:$IP$4,B4,Stock!$D$32:$IP$32))),SUMIF(Stock!$D$4:$IP$4,B4,Stock!$D$32:$IP$32)))</f>
        <v>94</v>
      </c>
      <c r="I4" s="131" t="s">
        <v>188</v>
      </c>
      <c r="J4" s="4" t="s">
        <v>359</v>
      </c>
      <c r="K4" s="5">
        <v>50</v>
      </c>
      <c r="L4" s="5">
        <f>IF(AND(I4="",J4=""),"",IF(J4&lt;&gt;"",IF(COUNTIFS(Stock!$D$4:$IP$4,I4,Stock!$D$5:$IP$5,J4)&gt;0,SUMIFS(Stock!$D$340:$IP$340,Stock!$D$4:$IP$4,I4,Stock!$D$5:$IP$5,J4),IF(COUNTIF(Stock!$D$5:$IP$5,J4)&gt;0,SUMIF(Stock!$D$5:$IP$5,J4,Stock!$D$340:$IP$340),SUMIF(Stock!$D$4:$IP$4,I4,Stock!$D$340:$IP$340))),SUMIF(Stock!$D$4:$IP$4,I4,Stock!$D$340:$IP$340)))</f>
        <v>50</v>
      </c>
      <c r="M4" s="142">
        <f t="shared" ref="M4:M67" si="1">K4-L4</f>
        <v>0</v>
      </c>
      <c r="N4" s="1294">
        <f>IF(AND(I4="",J4=""),"",IF(J4&lt;&gt;"",IF(COUNTIFS(Stock!$D$4:$IP$4,I4,Stock!$D$5:$IP$5,J4)&gt;0,SUMIFS(Stock!$D$32:$IP$32,Stock!$D$4:$IP$4,I4,Stock!$D$5:$IP$5,J4),IF(COUNTIF(Stock!$D$5:$IP$5,J4)&gt;0,SUMIF(Stock!$D$5:$IP$5,J4,Stock!$D$32:$IP$32),SUMIF(Stock!$D$4:$IP$4,I4,Stock!$D$32:$IP$32))),SUMIF(Stock!$D$4:$IP$4,I4,Stock!$D$32:$IP$32)))</f>
        <v>50</v>
      </c>
      <c r="P4" s="159" t="s">
        <v>237</v>
      </c>
      <c r="Q4" s="1307" t="s">
        <v>514</v>
      </c>
      <c r="R4" s="5">
        <v>300</v>
      </c>
      <c r="S4" s="175">
        <f>IF(AND(P4="",Q4=""),"",IF(Q4&lt;&gt;"",IF(COUNTIFS(Stock!$D$4:$IP$4,P4,Stock!$D$5:$IP$5,Q4)&gt;0,SUMIFS(Stock!$D$340:$IP$340,Stock!$D$4:$IP$4,P4,Stock!$D$5:$IP$5,Q4),IF(COUNTIF(Stock!$D$5:$IP$5,Q4)&gt;0,SUMIF(Stock!$D$5:$IP$5,Q4,Stock!$D$340:$IP$340),SUMIF(Stock!$D$4:$IP$4,P4,Stock!$D$340:$IP$340))),SUMIF(Stock!$D$4:$IP$4,P4,Stock!$D$340:$IP$340)))</f>
        <v>202</v>
      </c>
      <c r="T4" s="176">
        <f t="shared" ref="T4:T38" si="2">R4-S4</f>
        <v>98</v>
      </c>
      <c r="U4" s="1290">
        <f>IF(AND(P4="",Q4=""),"",IF(Q4&lt;&gt;"",IF(COUNTIFS(Stock!$D$4:$IP$4,P4,Stock!$D$5:$IP$5,Q4)&gt;0,SUMIFS(Stock!$D$32:$IP$32,Stock!$D$4:$IP$4,P4,Stock!$D$5:$IP$5,Q4),IF(COUNTIF(Stock!$D$5:$IP$5,Q4)&gt;0,SUMIF(Stock!$D$5:$IP$5,Q4,Stock!$D$32:$IP$32),SUMIF(Stock!$D$4:$IP$4,P4,Stock!$D$32:$IP$32))),SUMIF(Stock!$D$4:$IP$4,P4,Stock!$D$32:$IP$32)))</f>
        <v>300</v>
      </c>
      <c r="V4" s="112"/>
    </row>
    <row r="5" spans="2:24" x14ac:dyDescent="0.25">
      <c r="B5" s="131" t="s">
        <v>24</v>
      </c>
      <c r="C5" s="4" t="s">
        <v>25</v>
      </c>
      <c r="D5" s="5">
        <v>785</v>
      </c>
      <c r="E5" s="5">
        <f>IF(AND(B5="",C5=""),"",IF(C5&lt;&gt;"",IF(COUNTIFS(Stock!$D$4:$IP$4,B5,Stock!$D$5:$IP$5,C5)&gt;0,SUMIFS(Stock!$D$340:$IP$340,Stock!$D$4:$IP$4,B5,Stock!$D$5:$IP$5,C5),IF(COUNTIF(Stock!$D$5:$IP$5,C5)&gt;0,SUMIF(Stock!$D$5:$IP$5,C5,Stock!$D$340:$IP$340),SUMIF(Stock!$D$4:$IP$4,B5,Stock!$D$340:$IP$340))),SUMIF(Stock!$D$4:$IP$4,B5,Stock!$D$340:$IP$340)))</f>
        <v>585</v>
      </c>
      <c r="F5" s="142">
        <f t="shared" si="0"/>
        <v>200</v>
      </c>
      <c r="G5" s="1294">
        <f>IF(AND(B5="",C5=""),"",IF(C5&lt;&gt;"",IF(COUNTIFS(Stock!$D$4:$IP$4,B5,Stock!$D$5:$IP$5,C5)&gt;0,SUMIFS(Stock!$D$32:$IP$32,Stock!$D$4:$IP$4,B5,Stock!$D$5:$IP$5,C5),IF(COUNTIF(Stock!$D$5:$IP$5,C5)&gt;0,SUMIF(Stock!$D$5:$IP$5,C5,Stock!$D$32:$IP$32),SUMIF(Stock!$D$4:$IP$4,B5,Stock!$D$32:$IP$32))),SUMIF(Stock!$D$4:$IP$4,B5,Stock!$D$32:$IP$32)))</f>
        <v>785</v>
      </c>
      <c r="I5" s="131" t="s">
        <v>159</v>
      </c>
      <c r="J5" s="4" t="s">
        <v>360</v>
      </c>
      <c r="K5" s="5">
        <v>0</v>
      </c>
      <c r="L5" s="5">
        <f>IF(AND(I5="",J5=""),"",IF(J5&lt;&gt;"",IF(COUNTIFS(Stock!$D$4:$IP$4,I5,Stock!$D$5:$IP$5,J5)&gt;0,SUMIFS(Stock!$D$340:$IP$340,Stock!$D$4:$IP$4,I5,Stock!$D$5:$IP$5,J5),IF(COUNTIF(Stock!$D$5:$IP$5,J5)&gt;0,SUMIF(Stock!$D$5:$IP$5,J5,Stock!$D$340:$IP$340),SUMIF(Stock!$D$4:$IP$4,I5,Stock!$D$340:$IP$340))),SUMIF(Stock!$D$4:$IP$4,I5,Stock!$D$340:$IP$340)))</f>
        <v>0</v>
      </c>
      <c r="M5" s="142">
        <f t="shared" si="1"/>
        <v>0</v>
      </c>
      <c r="N5" s="1294">
        <f>IF(AND(I5="",J5=""),"",IF(J5&lt;&gt;"",IF(COUNTIFS(Stock!$D$4:$IP$4,I5,Stock!$D$5:$IP$5,J5)&gt;0,SUMIFS(Stock!$D$32:$IP$32,Stock!$D$4:$IP$4,I5,Stock!$D$5:$IP$5,J5),IF(COUNTIF(Stock!$D$5:$IP$5,J5)&gt;0,SUMIF(Stock!$D$5:$IP$5,J5,Stock!$D$32:$IP$32),SUMIF(Stock!$D$4:$IP$4,I5,Stock!$D$32:$IP$32))),SUMIF(Stock!$D$4:$IP$4,I5,Stock!$D$32:$IP$32)))</f>
        <v>0</v>
      </c>
      <c r="P5" s="159" t="s">
        <v>238</v>
      </c>
      <c r="Q5" s="1307" t="s">
        <v>537</v>
      </c>
      <c r="R5" s="5">
        <v>14</v>
      </c>
      <c r="S5" s="175">
        <f>IF(AND(P5="",Q5=""),"",IF(Q5&lt;&gt;"",IF(COUNTIFS(Stock!$D$4:$IP$4,P5,Stock!$D$5:$IP$5,Q5)&gt;0,SUMIFS(Stock!$D$340:$IP$340,Stock!$D$4:$IP$4,P5,Stock!$D$5:$IP$5,Q5),IF(COUNTIF(Stock!$D$5:$IP$5,Q5)&gt;0,SUMIF(Stock!$D$5:$IP$5,Q5,Stock!$D$340:$IP$340),SUMIF(Stock!$D$4:$IP$4,P5,Stock!$D$340:$IP$340))),SUMIF(Stock!$D$4:$IP$4,P5,Stock!$D$340:$IP$340)))</f>
        <v>4</v>
      </c>
      <c r="T5" s="176">
        <f t="shared" si="2"/>
        <v>10</v>
      </c>
      <c r="U5" s="1290">
        <f>IF(AND(P5="",Q5=""),"",IF(Q5&lt;&gt;"",IF(COUNTIFS(Stock!$D$4:$IP$4,P5,Stock!$D$5:$IP$5,Q5)&gt;0,SUMIFS(Stock!$D$32:$IP$32,Stock!$D$4:$IP$4,P5,Stock!$D$5:$IP$5,Q5),IF(COUNTIF(Stock!$D$5:$IP$5,Q5)&gt;0,SUMIF(Stock!$D$5:$IP$5,Q5,Stock!$D$32:$IP$32),SUMIF(Stock!$D$4:$IP$4,P5,Stock!$D$32:$IP$32))),SUMIF(Stock!$D$4:$IP$4,P5,Stock!$D$32:$IP$32)))</f>
        <v>80</v>
      </c>
      <c r="V5" s="112"/>
    </row>
    <row r="6" spans="2:24" x14ac:dyDescent="0.25">
      <c r="B6" s="131" t="s">
        <v>35</v>
      </c>
      <c r="C6" s="4" t="s">
        <v>36</v>
      </c>
      <c r="D6" s="5">
        <v>95</v>
      </c>
      <c r="E6" s="5">
        <f>IF(AND(B6="",C6=""),"",IF(C6&lt;&gt;"",IF(COUNTIFS(Stock!$D$4:$IP$4,B6,Stock!$D$5:$IP$5,C6)&gt;0,SUMIFS(Stock!$D$340:$IP$340,Stock!$D$4:$IP$4,B6,Stock!$D$5:$IP$5,C6),IF(COUNTIF(Stock!$D$5:$IP$5,C6)&gt;0,SUMIF(Stock!$D$5:$IP$5,C6,Stock!$D$340:$IP$340),SUMIF(Stock!$D$4:$IP$4,B6,Stock!$D$340:$IP$340))),SUMIF(Stock!$D$4:$IP$4,B6,Stock!$D$340:$IP$340)))</f>
        <v>50</v>
      </c>
      <c r="F6" s="142">
        <f t="shared" si="0"/>
        <v>45</v>
      </c>
      <c r="G6" s="1294">
        <f>IF(AND(B6="",C6=""),"",IF(C6&lt;&gt;"",IF(COUNTIFS(Stock!$D$4:$IP$4,B6,Stock!$D$5:$IP$5,C6)&gt;0,SUMIFS(Stock!$D$32:$IP$32,Stock!$D$4:$IP$4,B6,Stock!$D$5:$IP$5,C6),IF(COUNTIF(Stock!$D$5:$IP$5,C6)&gt;0,SUMIF(Stock!$D$5:$IP$5,C6,Stock!$D$32:$IP$32),SUMIF(Stock!$D$4:$IP$4,B6,Stock!$D$32:$IP$32))),SUMIF(Stock!$D$4:$IP$4,B6,Stock!$D$32:$IP$32)))</f>
        <v>100</v>
      </c>
      <c r="I6" s="131" t="s">
        <v>190</v>
      </c>
      <c r="J6" s="4" t="s">
        <v>361</v>
      </c>
      <c r="K6" s="5">
        <v>51</v>
      </c>
      <c r="L6" s="5">
        <f>IF(AND(I6="",J6=""),"",IF(J6&lt;&gt;"",IF(COUNTIFS(Stock!$D$4:$IP$4,I6,Stock!$D$5:$IP$5,J6)&gt;0,SUMIFS(Stock!$D$340:$IP$340,Stock!$D$4:$IP$4,I6,Stock!$D$5:$IP$5,J6),IF(COUNTIF(Stock!$D$5:$IP$5,J6)&gt;0,SUMIF(Stock!$D$5:$IP$5,J6,Stock!$D$340:$IP$340),SUMIF(Stock!$D$4:$IP$4,I6,Stock!$D$340:$IP$340))),SUMIF(Stock!$D$4:$IP$4,I6,Stock!$D$340:$IP$340)))</f>
        <v>0</v>
      </c>
      <c r="M6" s="142">
        <f t="shared" si="1"/>
        <v>51</v>
      </c>
      <c r="N6" s="1294">
        <f>IF(AND(I6="",J6=""),"",IF(J6&lt;&gt;"",IF(COUNTIFS(Stock!$D$4:$IP$4,I6,Stock!$D$5:$IP$5,J6)&gt;0,SUMIFS(Stock!$D$32:$IP$32,Stock!$D$4:$IP$4,I6,Stock!$D$5:$IP$5,J6),IF(COUNTIF(Stock!$D$5:$IP$5,J6)&gt;0,SUMIF(Stock!$D$5:$IP$5,J6,Stock!$D$32:$IP$32),SUMIF(Stock!$D$4:$IP$4,I6,Stock!$D$32:$IP$32))),SUMIF(Stock!$D$4:$IP$4,I6,Stock!$D$32:$IP$32)))</f>
        <v>0</v>
      </c>
      <c r="P6" s="159" t="s">
        <v>239</v>
      </c>
      <c r="Q6" s="1307" t="s">
        <v>570</v>
      </c>
      <c r="R6" s="5">
        <v>312</v>
      </c>
      <c r="S6" s="175">
        <f>IF(AND(P6="",Q6=""),"",IF(Q6&lt;&gt;"",IF(COUNTIFS(Stock!$D$4:$IP$4,P6,Stock!$D$5:$IP$5,Q6)&gt;0,SUMIFS(Stock!$D$340:$IP$340,Stock!$D$4:$IP$4,P6,Stock!$D$5:$IP$5,Q6),IF(COUNTIF(Stock!$D$5:$IP$5,Q6)&gt;0,SUMIF(Stock!$D$5:$IP$5,Q6,Stock!$D$340:$IP$340),SUMIF(Stock!$D$4:$IP$4,P6,Stock!$D$340:$IP$340))),SUMIF(Stock!$D$4:$IP$4,P6,Stock!$D$340:$IP$340)))</f>
        <v>350</v>
      </c>
      <c r="T6" s="176">
        <f t="shared" si="2"/>
        <v>-38</v>
      </c>
      <c r="U6" s="1290">
        <f>IF(AND(P6="",Q6=""),"",IF(Q6&lt;&gt;"",IF(COUNTIFS(Stock!$D$4:$IP$4,P6,Stock!$D$5:$IP$5,Q6)&gt;0,SUMIFS(Stock!$D$32:$IP$32,Stock!$D$4:$IP$4,P6,Stock!$D$5:$IP$5,Q6),IF(COUNTIF(Stock!$D$5:$IP$5,Q6)&gt;0,SUMIF(Stock!$D$5:$IP$5,Q6,Stock!$D$32:$IP$32),SUMIF(Stock!$D$4:$IP$4,P6,Stock!$D$32:$IP$32))),SUMIF(Stock!$D$4:$IP$4,P6,Stock!$D$32:$IP$32)))</f>
        <v>350</v>
      </c>
      <c r="V6" s="112"/>
    </row>
    <row r="7" spans="2:24" x14ac:dyDescent="0.25">
      <c r="B7" s="131" t="s">
        <v>40</v>
      </c>
      <c r="C7" s="4" t="s">
        <v>41</v>
      </c>
      <c r="D7" s="5">
        <v>205</v>
      </c>
      <c r="E7" s="5">
        <f>IF(AND(B7="",C7=""),"",IF(C7&lt;&gt;"",IF(COUNTIFS(Stock!$D$4:$IP$4,B7,Stock!$D$5:$IP$5,C7)&gt;0,SUMIFS(Stock!$D$340:$IP$340,Stock!$D$4:$IP$4,B7,Stock!$D$5:$IP$5,C7),IF(COUNTIF(Stock!$D$5:$IP$5,C7)&gt;0,SUMIF(Stock!$D$5:$IP$5,C7,Stock!$D$340:$IP$340),SUMIF(Stock!$D$4:$IP$4,B7,Stock!$D$340:$IP$340))),SUMIF(Stock!$D$4:$IP$4,B7,Stock!$D$340:$IP$340)))</f>
        <v>155</v>
      </c>
      <c r="F7" s="142">
        <f t="shared" si="0"/>
        <v>50</v>
      </c>
      <c r="G7" s="1294">
        <f>IF(AND(B7="",C7=""),"",IF(C7&lt;&gt;"",IF(COUNTIFS(Stock!$D$4:$IP$4,B7,Stock!$D$5:$IP$5,C7)&gt;0,SUMIFS(Stock!$D$32:$IP$32,Stock!$D$4:$IP$4,B7,Stock!$D$5:$IP$5,C7),IF(COUNTIF(Stock!$D$5:$IP$5,C7)&gt;0,SUMIF(Stock!$D$5:$IP$5,C7,Stock!$D$32:$IP$32),SUMIF(Stock!$D$4:$IP$4,B7,Stock!$D$32:$IP$32))),SUMIF(Stock!$D$4:$IP$4,B7,Stock!$D$32:$IP$32)))</f>
        <v>205</v>
      </c>
      <c r="I7" s="131" t="s">
        <v>191</v>
      </c>
      <c r="J7" s="4" t="s">
        <v>362</v>
      </c>
      <c r="K7" s="5">
        <v>126</v>
      </c>
      <c r="L7" s="5">
        <f>IF(AND(I7="",J7=""),"",IF(J7&lt;&gt;"",IF(COUNTIFS(Stock!$D$4:$IP$4,I7,Stock!$D$5:$IP$5,J7)&gt;0,SUMIFS(Stock!$D$340:$IP$340,Stock!$D$4:$IP$4,I7,Stock!$D$5:$IP$5,J7),IF(COUNTIF(Stock!$D$5:$IP$5,J7)&gt;0,SUMIF(Stock!$D$5:$IP$5,J7,Stock!$D$340:$IP$340),SUMIF(Stock!$D$4:$IP$4,I7,Stock!$D$340:$IP$340))),SUMIF(Stock!$D$4:$IP$4,I7,Stock!$D$340:$IP$340)))</f>
        <v>126</v>
      </c>
      <c r="M7" s="142">
        <f t="shared" si="1"/>
        <v>0</v>
      </c>
      <c r="N7" s="1294">
        <f>IF(AND(I7="",J7=""),"",IF(J7&lt;&gt;"",IF(COUNTIFS(Stock!$D$4:$IP$4,I7,Stock!$D$5:$IP$5,J7)&gt;0,SUMIFS(Stock!$D$32:$IP$32,Stock!$D$4:$IP$4,I7,Stock!$D$5:$IP$5,J7),IF(COUNTIF(Stock!$D$5:$IP$5,J7)&gt;0,SUMIF(Stock!$D$5:$IP$5,J7,Stock!$D$32:$IP$32),SUMIF(Stock!$D$4:$IP$4,I7,Stock!$D$32:$IP$32))),SUMIF(Stock!$D$4:$IP$4,I7,Stock!$D$32:$IP$32)))</f>
        <v>129</v>
      </c>
      <c r="P7" s="159" t="s">
        <v>240</v>
      </c>
      <c r="Q7" s="1307" t="s">
        <v>588</v>
      </c>
      <c r="R7" s="5">
        <v>597</v>
      </c>
      <c r="S7" s="175">
        <f>IF(AND(P7="",Q7=""),"",IF(Q7&lt;&gt;"",IF(COUNTIFS(Stock!$D$4:$IP$4,P7,Stock!$D$5:$IP$5,Q7)&gt;0,SUMIFS(Stock!$D$340:$IP$340,Stock!$D$4:$IP$4,P7,Stock!$D$5:$IP$5,Q7),IF(COUNTIF(Stock!$D$5:$IP$5,Q7)&gt;0,SUMIF(Stock!$D$5:$IP$5,Q7,Stock!$D$340:$IP$340),SUMIF(Stock!$D$4:$IP$4,P7,Stock!$D$340:$IP$340))),SUMIF(Stock!$D$4:$IP$4,P7,Stock!$D$340:$IP$340)))</f>
        <v>577</v>
      </c>
      <c r="T7" s="176">
        <f t="shared" si="2"/>
        <v>20</v>
      </c>
      <c r="U7" s="1290">
        <f>IF(AND(P7="",Q7=""),"",IF(Q7&lt;&gt;"",IF(COUNTIFS(Stock!$D$4:$IP$4,P7,Stock!$D$5:$IP$5,Q7)&gt;0,SUMIFS(Stock!$D$32:$IP$32,Stock!$D$4:$IP$4,P7,Stock!$D$5:$IP$5,Q7),IF(COUNTIF(Stock!$D$5:$IP$5,Q7)&gt;0,SUMIF(Stock!$D$5:$IP$5,Q7,Stock!$D$32:$IP$32),SUMIF(Stock!$D$4:$IP$4,P7,Stock!$D$32:$IP$32))),SUMIF(Stock!$D$4:$IP$4,P7,Stock!$D$32:$IP$32)))</f>
        <v>579</v>
      </c>
      <c r="V7" s="112"/>
    </row>
    <row r="8" spans="2:24" x14ac:dyDescent="0.25">
      <c r="B8" s="131" t="s">
        <v>46</v>
      </c>
      <c r="C8" s="4" t="s">
        <v>47</v>
      </c>
      <c r="D8" s="5">
        <v>100</v>
      </c>
      <c r="E8" s="5">
        <f>IF(AND(B8="",C8=""),"",IF(C8&lt;&gt;"",IF(COUNTIFS(Stock!$D$4:$IP$4,B8,Stock!$D$5:$IP$5,C8)&gt;0,SUMIFS(Stock!$D$340:$IP$340,Stock!$D$4:$IP$4,B8,Stock!$D$5:$IP$5,C8),IF(COUNTIF(Stock!$D$5:$IP$5,C8)&gt;0,SUMIF(Stock!$D$5:$IP$5,C8,Stock!$D$340:$IP$340),SUMIF(Stock!$D$4:$IP$4,B8,Stock!$D$340:$IP$340))),SUMIF(Stock!$D$4:$IP$4,B8,Stock!$D$340:$IP$340)))</f>
        <v>100</v>
      </c>
      <c r="F8" s="142">
        <f t="shared" si="0"/>
        <v>0</v>
      </c>
      <c r="G8" s="1294">
        <f>IF(AND(B8="",C8=""),"",IF(C8&lt;&gt;"",IF(COUNTIFS(Stock!$D$4:$IP$4,B8,Stock!$D$5:$IP$5,C8)&gt;0,SUMIFS(Stock!$D$32:$IP$32,Stock!$D$4:$IP$4,B8,Stock!$D$5:$IP$5,C8),IF(COUNTIF(Stock!$D$5:$IP$5,C8)&gt;0,SUMIF(Stock!$D$5:$IP$5,C8,Stock!$D$32:$IP$32),SUMIF(Stock!$D$4:$IP$4,B8,Stock!$D$32:$IP$32))),SUMIF(Stock!$D$4:$IP$4,B8,Stock!$D$32:$IP$32)))</f>
        <v>100</v>
      </c>
      <c r="I8" s="131" t="s">
        <v>192</v>
      </c>
      <c r="J8" s="4" t="s">
        <v>363</v>
      </c>
      <c r="K8" s="5">
        <v>72</v>
      </c>
      <c r="L8" s="5">
        <f>IF(AND(I8="",J8=""),"",IF(J8&lt;&gt;"",IF(COUNTIFS(Stock!$D$4:$IP$4,I8,Stock!$D$5:$IP$5,J8)&gt;0,SUMIFS(Stock!$D$340:$IP$340,Stock!$D$4:$IP$4,I8,Stock!$D$5:$IP$5,J8),IF(COUNTIF(Stock!$D$5:$IP$5,J8)&gt;0,SUMIF(Stock!$D$5:$IP$5,J8,Stock!$D$340:$IP$340),SUMIF(Stock!$D$4:$IP$4,I8,Stock!$D$340:$IP$340))),SUMIF(Stock!$D$4:$IP$4,I8,Stock!$D$340:$IP$340)))</f>
        <v>54</v>
      </c>
      <c r="M8" s="142">
        <f t="shared" si="1"/>
        <v>18</v>
      </c>
      <c r="N8" s="1294">
        <f>IF(AND(I8="",J8=""),"",IF(J8&lt;&gt;"",IF(COUNTIFS(Stock!$D$4:$IP$4,I8,Stock!$D$5:$IP$5,J8)&gt;0,SUMIFS(Stock!$D$32:$IP$32,Stock!$D$4:$IP$4,I8,Stock!$D$5:$IP$5,J8),IF(COUNTIF(Stock!$D$5:$IP$5,J8)&gt;0,SUMIF(Stock!$D$5:$IP$5,J8,Stock!$D$32:$IP$32),SUMIF(Stock!$D$4:$IP$4,I8,Stock!$D$32:$IP$32))),SUMIF(Stock!$D$4:$IP$4,I8,Stock!$D$32:$IP$32)))</f>
        <v>84</v>
      </c>
      <c r="P8" s="159" t="s">
        <v>241</v>
      </c>
      <c r="Q8" s="1307"/>
      <c r="R8" s="5"/>
      <c r="S8" s="175">
        <f>IF(AND(P8="",Q8=""),"",IF(Q8&lt;&gt;"",IF(COUNTIFS(Stock!$D$4:$IP$4,P8,Stock!$D$5:$IP$5,Q8)&gt;0,SUMIFS(Stock!$D$340:$IP$340,Stock!$D$4:$IP$4,P8,Stock!$D$5:$IP$5,Q8),IF(COUNTIF(Stock!$D$5:$IP$5,Q8)&gt;0,SUMIF(Stock!$D$5:$IP$5,Q8,Stock!$D$340:$IP$340),SUMIF(Stock!$D$4:$IP$4,P8,Stock!$D$340:$IP$340))),SUMIF(Stock!$D$4:$IP$4,P8,Stock!$D$340:$IP$340)))</f>
        <v>0</v>
      </c>
      <c r="T8" s="176">
        <f t="shared" si="2"/>
        <v>0</v>
      </c>
      <c r="U8" s="1290">
        <f>IF(AND(P8="",Q8=""),"",IF(Q8&lt;&gt;"",IF(COUNTIFS(Stock!$D$4:$IP$4,P8,Stock!$D$5:$IP$5,Q8)&gt;0,SUMIFS(Stock!$D$32:$IP$32,Stock!$D$4:$IP$4,P8,Stock!$D$5:$IP$5,Q8),IF(COUNTIF(Stock!$D$5:$IP$5,Q8)&gt;0,SUMIF(Stock!$D$5:$IP$5,Q8,Stock!$D$32:$IP$32),SUMIF(Stock!$D$4:$IP$4,P8,Stock!$D$32:$IP$32))),SUMIF(Stock!$D$4:$IP$4,P8,Stock!$D$32:$IP$32)))</f>
        <v>0</v>
      </c>
      <c r="V8" s="112"/>
    </row>
    <row r="9" spans="2:24" x14ac:dyDescent="0.25">
      <c r="B9" s="131" t="s">
        <v>53</v>
      </c>
      <c r="C9" s="4" t="s">
        <v>54</v>
      </c>
      <c r="D9" s="5">
        <v>125</v>
      </c>
      <c r="E9" s="5">
        <f>IF(AND(B9="",C9=""),"",IF(C9&lt;&gt;"",IF(COUNTIFS(Stock!$D$4:$IP$4,B9,Stock!$D$5:$IP$5,C9)&gt;0,SUMIFS(Stock!$D$340:$IP$340,Stock!$D$4:$IP$4,B9,Stock!$D$5:$IP$5,C9),IF(COUNTIF(Stock!$D$5:$IP$5,C9)&gt;0,SUMIF(Stock!$D$5:$IP$5,C9,Stock!$D$340:$IP$340),SUMIF(Stock!$D$4:$IP$4,B9,Stock!$D$340:$IP$340))),SUMIF(Stock!$D$4:$IP$4,B9,Stock!$D$340:$IP$340)))</f>
        <v>85</v>
      </c>
      <c r="F9" s="142">
        <f t="shared" si="0"/>
        <v>40</v>
      </c>
      <c r="G9" s="1294">
        <f>IF(AND(B9="",C9=""),"",IF(C9&lt;&gt;"",IF(COUNTIFS(Stock!$D$4:$IP$4,B9,Stock!$D$5:$IP$5,C9)&gt;0,SUMIFS(Stock!$D$32:$IP$32,Stock!$D$4:$IP$4,B9,Stock!$D$5:$IP$5,C9),IF(COUNTIF(Stock!$D$5:$IP$5,C9)&gt;0,SUMIF(Stock!$D$5:$IP$5,C9,Stock!$D$32:$IP$32),SUMIF(Stock!$D$4:$IP$4,B9,Stock!$D$32:$IP$32))),SUMIF(Stock!$D$4:$IP$4,B9,Stock!$D$32:$IP$32)))</f>
        <v>135</v>
      </c>
      <c r="I9" s="131" t="s">
        <v>193</v>
      </c>
      <c r="J9" s="4" t="s">
        <v>364</v>
      </c>
      <c r="K9" s="5"/>
      <c r="L9" s="5">
        <f>IF(AND(I9="",J9=""),"",IF(J9&lt;&gt;"",IF(COUNTIFS(Stock!$D$4:$IP$4,I9,Stock!$D$5:$IP$5,J9)&gt;0,SUMIFS(Stock!$D$340:$IP$340,Stock!$D$4:$IP$4,I9,Stock!$D$5:$IP$5,J9),IF(COUNTIF(Stock!$D$5:$IP$5,J9)&gt;0,SUMIF(Stock!$D$5:$IP$5,J9,Stock!$D$340:$IP$340),SUMIF(Stock!$D$4:$IP$4,I9,Stock!$D$340:$IP$340))),SUMIF(Stock!$D$4:$IP$4,I9,Stock!$D$340:$IP$340)))</f>
        <v>0</v>
      </c>
      <c r="M9" s="142">
        <f t="shared" si="1"/>
        <v>0</v>
      </c>
      <c r="N9" s="1294">
        <f>IF(AND(I9="",J9=""),"",IF(J9&lt;&gt;"",IF(COUNTIFS(Stock!$D$4:$IP$4,I9,Stock!$D$5:$IP$5,J9)&gt;0,SUMIFS(Stock!$D$32:$IP$32,Stock!$D$4:$IP$4,I9,Stock!$D$5:$IP$5,J9),IF(COUNTIF(Stock!$D$5:$IP$5,J9)&gt;0,SUMIF(Stock!$D$5:$IP$5,J9,Stock!$D$32:$IP$32),SUMIF(Stock!$D$4:$IP$4,I9,Stock!$D$32:$IP$32))),SUMIF(Stock!$D$4:$IP$4,I9,Stock!$D$32:$IP$32)))</f>
        <v>0</v>
      </c>
      <c r="P9" s="159">
        <v>405</v>
      </c>
      <c r="Q9" s="1307" t="s">
        <v>639</v>
      </c>
      <c r="R9" s="5">
        <v>10</v>
      </c>
      <c r="S9" s="175">
        <f>IF(AND(P9="",Q9=""),"",IF(Q9&lt;&gt;"",IF(COUNTIFS(Stock!$D$4:$IP$4,P9,Stock!$D$5:$IP$5,Q9)&gt;0,SUMIFS(Stock!$D$340:$IP$340,Stock!$D$4:$IP$4,P9,Stock!$D$5:$IP$5,Q9),IF(COUNTIF(Stock!$D$5:$IP$5,Q9)&gt;0,SUMIF(Stock!$D$5:$IP$5,Q9,Stock!$D$340:$IP$340),SUMIF(Stock!$D$4:$IP$4,P9,Stock!$D$340:$IP$340))),SUMIF(Stock!$D$4:$IP$4,P9,Stock!$D$340:$IP$340)))</f>
        <v>151</v>
      </c>
      <c r="T9" s="176">
        <f t="shared" si="2"/>
        <v>-141</v>
      </c>
      <c r="U9" s="1290">
        <f>IF(AND(P9="",Q9=""),"",IF(Q9&lt;&gt;"",IF(COUNTIFS(Stock!$D$4:$IP$4,P9,Stock!$D$5:$IP$5,Q9)&gt;0,SUMIFS(Stock!$D$32:$IP$32,Stock!$D$4:$IP$4,P9,Stock!$D$5:$IP$5,Q9),IF(COUNTIF(Stock!$D$5:$IP$5,Q9)&gt;0,SUMIF(Stock!$D$5:$IP$5,Q9,Stock!$D$32:$IP$32),SUMIF(Stock!$D$4:$IP$4,P9,Stock!$D$32:$IP$32))),SUMIF(Stock!$D$4:$IP$4,P9,Stock!$D$32:$IP$32)))</f>
        <v>151</v>
      </c>
      <c r="V9" s="112"/>
    </row>
    <row r="10" spans="2:24" x14ac:dyDescent="0.25">
      <c r="B10" s="131" t="s">
        <v>65</v>
      </c>
      <c r="C10" s="4" t="s">
        <v>66</v>
      </c>
      <c r="D10" s="5">
        <v>95</v>
      </c>
      <c r="E10" s="5">
        <f>IF(AND(B10="",C10=""),"",IF(C10&lt;&gt;"",IF(COUNTIFS(Stock!$D$4:$IP$4,B10,Stock!$D$5:$IP$5,C10)&gt;0,SUMIFS(Stock!$D$340:$IP$340,Stock!$D$4:$IP$4,B10,Stock!$D$5:$IP$5,C10),IF(COUNTIF(Stock!$D$5:$IP$5,C10)&gt;0,SUMIF(Stock!$D$5:$IP$5,C10,Stock!$D$340:$IP$340),SUMIF(Stock!$D$4:$IP$4,B10,Stock!$D$340:$IP$340))),SUMIF(Stock!$D$4:$IP$4,B10,Stock!$D$340:$IP$340)))</f>
        <v>80</v>
      </c>
      <c r="F10" s="142">
        <f t="shared" si="0"/>
        <v>15</v>
      </c>
      <c r="G10" s="1294">
        <f>IF(AND(B10="",C10=""),"",IF(C10&lt;&gt;"",IF(COUNTIFS(Stock!$D$4:$IP$4,B10,Stock!$D$5:$IP$5,C10)&gt;0,SUMIFS(Stock!$D$32:$IP$32,Stock!$D$4:$IP$4,B10,Stock!$D$5:$IP$5,C10),IF(COUNTIF(Stock!$D$5:$IP$5,C10)&gt;0,SUMIF(Stock!$D$5:$IP$5,C10,Stock!$D$32:$IP$32),SUMIF(Stock!$D$4:$IP$4,B10,Stock!$D$32:$IP$32))),SUMIF(Stock!$D$4:$IP$4,B10,Stock!$D$32:$IP$32)))</f>
        <v>80</v>
      </c>
      <c r="I10" s="131" t="s">
        <v>194</v>
      </c>
      <c r="J10" s="4" t="s">
        <v>365</v>
      </c>
      <c r="K10" s="5">
        <v>25</v>
      </c>
      <c r="L10" s="5">
        <f>IF(AND(I10="",J10=""),"",IF(J10&lt;&gt;"",IF(COUNTIFS(Stock!$D$4:$IP$4,I10,Stock!$D$5:$IP$5,J10)&gt;0,SUMIFS(Stock!$D$340:$IP$340,Stock!$D$4:$IP$4,I10,Stock!$D$5:$IP$5,J10),IF(COUNTIF(Stock!$D$5:$IP$5,J10)&gt;0,SUMIF(Stock!$D$5:$IP$5,J10,Stock!$D$340:$IP$340),SUMIF(Stock!$D$4:$IP$4,I10,Stock!$D$340:$IP$340))),SUMIF(Stock!$D$4:$IP$4,I10,Stock!$D$340:$IP$340)))</f>
        <v>25</v>
      </c>
      <c r="M10" s="142">
        <f t="shared" si="1"/>
        <v>0</v>
      </c>
      <c r="N10" s="1294">
        <f>IF(AND(I10="",J10=""),"",IF(J10&lt;&gt;"",IF(COUNTIFS(Stock!$D$4:$IP$4,I10,Stock!$D$5:$IP$5,J10)&gt;0,SUMIFS(Stock!$D$32:$IP$32,Stock!$D$4:$IP$4,I10,Stock!$D$5:$IP$5,J10),IF(COUNTIF(Stock!$D$5:$IP$5,J10)&gt;0,SUMIF(Stock!$D$5:$IP$5,J10,Stock!$D$32:$IP$32),SUMIF(Stock!$D$4:$IP$4,I10,Stock!$D$32:$IP$32))),SUMIF(Stock!$D$4:$IP$4,I10,Stock!$D$32:$IP$32)))</f>
        <v>25</v>
      </c>
      <c r="P10" s="159">
        <v>404</v>
      </c>
      <c r="Q10" s="1307" t="s">
        <v>661</v>
      </c>
      <c r="R10" s="5">
        <v>285</v>
      </c>
      <c r="S10" s="175">
        <f>IF(AND(P10="",Q10=""),"",IF(Q10&lt;&gt;"",IF(COUNTIFS(Stock!$D$4:$IP$4,P10,Stock!$D$5:$IP$5,Q10)&gt;0,SUMIFS(Stock!$D$340:$IP$340,Stock!$D$4:$IP$4,P10,Stock!$D$5:$IP$5,Q10),IF(COUNTIF(Stock!$D$5:$IP$5,Q10)&gt;0,SUMIF(Stock!$D$5:$IP$5,Q10,Stock!$D$340:$IP$340),SUMIF(Stock!$D$4:$IP$4,P10,Stock!$D$340:$IP$340))),SUMIF(Stock!$D$4:$IP$4,P10,Stock!$D$340:$IP$340)))</f>
        <v>150</v>
      </c>
      <c r="T10" s="176">
        <f t="shared" si="2"/>
        <v>135</v>
      </c>
      <c r="U10" s="1290">
        <f>IF(AND(P10="",Q10=""),"",IF(Q10&lt;&gt;"",IF(COUNTIFS(Stock!$D$4:$IP$4,P10,Stock!$D$5:$IP$5,Q10)&gt;0,SUMIFS(Stock!$D$32:$IP$32,Stock!$D$4:$IP$4,P10,Stock!$D$5:$IP$5,Q10),IF(COUNTIF(Stock!$D$5:$IP$5,Q10)&gt;0,SUMIF(Stock!$D$5:$IP$5,Q10,Stock!$D$32:$IP$32),SUMIF(Stock!$D$4:$IP$4,P10,Stock!$D$32:$IP$32))),SUMIF(Stock!$D$4:$IP$4,P10,Stock!$D$32:$IP$32)))</f>
        <v>609</v>
      </c>
      <c r="V10" s="112"/>
    </row>
    <row r="11" spans="2:24" x14ac:dyDescent="0.25">
      <c r="B11" s="131" t="s">
        <v>76</v>
      </c>
      <c r="C11" s="4" t="s">
        <v>77</v>
      </c>
      <c r="D11" s="5">
        <v>200</v>
      </c>
      <c r="E11" s="5">
        <f>IF(AND(B11="",C11=""),"",IF(C11&lt;&gt;"",IF(COUNTIFS(Stock!$D$4:$IP$4,B11,Stock!$D$5:$IP$5,C11)&gt;0,SUMIFS(Stock!$D$340:$IP$340,Stock!$D$4:$IP$4,B11,Stock!$D$5:$IP$5,C11),IF(COUNTIF(Stock!$D$5:$IP$5,C11)&gt;0,SUMIF(Stock!$D$5:$IP$5,C11,Stock!$D$340:$IP$340),SUMIF(Stock!$D$4:$IP$4,B11,Stock!$D$340:$IP$340))),SUMIF(Stock!$D$4:$IP$4,B11,Stock!$D$340:$IP$340)))</f>
        <v>100</v>
      </c>
      <c r="F11" s="142">
        <f t="shared" si="0"/>
        <v>100</v>
      </c>
      <c r="G11" s="1294">
        <f>IF(AND(B11="",C11=""),"",IF(C11&lt;&gt;"",IF(COUNTIFS(Stock!$D$4:$IP$4,B11,Stock!$D$5:$IP$5,C11)&gt;0,SUMIFS(Stock!$D$32:$IP$32,Stock!$D$4:$IP$4,B11,Stock!$D$5:$IP$5,C11),IF(COUNTIF(Stock!$D$5:$IP$5,C11)&gt;0,SUMIF(Stock!$D$5:$IP$5,C11,Stock!$D$32:$IP$32),SUMIF(Stock!$D$4:$IP$4,B11,Stock!$D$32:$IP$32))),SUMIF(Stock!$D$4:$IP$4,B11,Stock!$D$32:$IP$32)))</f>
        <v>200</v>
      </c>
      <c r="I11" s="131" t="s">
        <v>195</v>
      </c>
      <c r="J11" s="4" t="s">
        <v>366</v>
      </c>
      <c r="K11" s="5"/>
      <c r="L11" s="5">
        <f>IF(AND(I11="",J11=""),"",IF(J11&lt;&gt;"",IF(COUNTIFS(Stock!$D$4:$IP$4,I11,Stock!$D$5:$IP$5,J11)&gt;0,SUMIFS(Stock!$D$340:$IP$340,Stock!$D$4:$IP$4,I11,Stock!$D$5:$IP$5,J11),IF(COUNTIF(Stock!$D$5:$IP$5,J11)&gt;0,SUMIF(Stock!$D$5:$IP$5,J11,Stock!$D$340:$IP$340),SUMIF(Stock!$D$4:$IP$4,I11,Stock!$D$340:$IP$340))),SUMIF(Stock!$D$4:$IP$4,I11,Stock!$D$340:$IP$340)))</f>
        <v>0</v>
      </c>
      <c r="M11" s="142">
        <f t="shared" si="1"/>
        <v>0</v>
      </c>
      <c r="N11" s="1294">
        <f>IF(AND(I11="",J11=""),"",IF(J11&lt;&gt;"",IF(COUNTIFS(Stock!$D$4:$IP$4,I11,Stock!$D$5:$IP$5,J11)&gt;0,SUMIFS(Stock!$D$32:$IP$32,Stock!$D$4:$IP$4,I11,Stock!$D$5:$IP$5,J11),IF(COUNTIF(Stock!$D$5:$IP$5,J11)&gt;0,SUMIF(Stock!$D$5:$IP$5,J11,Stock!$D$32:$IP$32),SUMIF(Stock!$D$4:$IP$4,I11,Stock!$D$32:$IP$32))),SUMIF(Stock!$D$4:$IP$4,I11,Stock!$D$32:$IP$32)))</f>
        <v>0</v>
      </c>
      <c r="P11" s="159" t="s">
        <v>242</v>
      </c>
      <c r="Q11" s="1307" t="s">
        <v>686</v>
      </c>
      <c r="R11" s="5">
        <v>99</v>
      </c>
      <c r="S11" s="175">
        <f>IF(AND(P11="",Q11=""),"",IF(Q11&lt;&gt;"",IF(COUNTIFS(Stock!$D$4:$IP$4,P11,Stock!$D$5:$IP$5,Q11)&gt;0,SUMIFS(Stock!$D$340:$IP$340,Stock!$D$4:$IP$4,P11,Stock!$D$5:$IP$5,Q11),IF(COUNTIF(Stock!$D$5:$IP$5,Q11)&gt;0,SUMIF(Stock!$D$5:$IP$5,Q11,Stock!$D$340:$IP$340),SUMIF(Stock!$D$4:$IP$4,P11,Stock!$D$340:$IP$340))),SUMIF(Stock!$D$4:$IP$4,P11,Stock!$D$340:$IP$340)))</f>
        <v>0</v>
      </c>
      <c r="T11" s="176">
        <f t="shared" si="2"/>
        <v>99</v>
      </c>
      <c r="U11" s="1290">
        <f>IF(AND(P11="",Q11=""),"",IF(Q11&lt;&gt;"",IF(COUNTIFS(Stock!$D$4:$IP$4,P11,Stock!$D$5:$IP$5,Q11)&gt;0,SUMIFS(Stock!$D$32:$IP$32,Stock!$D$4:$IP$4,P11,Stock!$D$5:$IP$5,Q11),IF(COUNTIF(Stock!$D$5:$IP$5,Q11)&gt;0,SUMIF(Stock!$D$5:$IP$5,Q11,Stock!$D$32:$IP$32),SUMIF(Stock!$D$4:$IP$4,P11,Stock!$D$32:$IP$32))),SUMIF(Stock!$D$4:$IP$4,P11,Stock!$D$32:$IP$32)))</f>
        <v>100</v>
      </c>
      <c r="V11" s="112"/>
    </row>
    <row r="12" spans="2:24" x14ac:dyDescent="0.25">
      <c r="B12" s="131" t="s">
        <v>81</v>
      </c>
      <c r="C12" s="4" t="s">
        <v>82</v>
      </c>
      <c r="D12" s="5">
        <v>100</v>
      </c>
      <c r="E12" s="5">
        <f>IF(AND(B12="",C12=""),"",IF(C12&lt;&gt;"",IF(COUNTIFS(Stock!$D$4:$IP$4,B12,Stock!$D$5:$IP$5,C12)&gt;0,SUMIFS(Stock!$D$340:$IP$340,Stock!$D$4:$IP$4,B12,Stock!$D$5:$IP$5,C12),IF(COUNTIF(Stock!$D$5:$IP$5,C12)&gt;0,SUMIF(Stock!$D$5:$IP$5,C12,Stock!$D$340:$IP$340),SUMIF(Stock!$D$4:$IP$4,B12,Stock!$D$340:$IP$340))),SUMIF(Stock!$D$4:$IP$4,B12,Stock!$D$340:$IP$340)))</f>
        <v>100</v>
      </c>
      <c r="F12" s="142">
        <f t="shared" si="0"/>
        <v>0</v>
      </c>
      <c r="G12" s="1294">
        <f>IF(AND(B12="",C12=""),"",IF(C12&lt;&gt;"",IF(COUNTIFS(Stock!$D$4:$IP$4,B12,Stock!$D$5:$IP$5,C12)&gt;0,SUMIFS(Stock!$D$32:$IP$32,Stock!$D$4:$IP$4,B12,Stock!$D$5:$IP$5,C12),IF(COUNTIF(Stock!$D$5:$IP$5,C12)&gt;0,SUMIF(Stock!$D$5:$IP$5,C12,Stock!$D$32:$IP$32),SUMIF(Stock!$D$4:$IP$4,B12,Stock!$D$32:$IP$32))),SUMIF(Stock!$D$4:$IP$4,B12,Stock!$D$32:$IP$32)))</f>
        <v>100</v>
      </c>
      <c r="I12" s="131" t="s">
        <v>196</v>
      </c>
      <c r="J12" s="4"/>
      <c r="K12" s="5"/>
      <c r="L12" s="5">
        <f>IF(AND(I12="",J12=""),"",IF(J12&lt;&gt;"",IF(COUNTIFS(Stock!$D$4:$IP$4,I12,Stock!$D$5:$IP$5,J12)&gt;0,SUMIFS(Stock!$D$340:$IP$340,Stock!$D$4:$IP$4,I12,Stock!$D$5:$IP$5,J12),IF(COUNTIF(Stock!$D$5:$IP$5,J12)&gt;0,SUMIF(Stock!$D$5:$IP$5,J12,Stock!$D$340:$IP$340),SUMIF(Stock!$D$4:$IP$4,I12,Stock!$D$340:$IP$340))),SUMIF(Stock!$D$4:$IP$4,I12,Stock!$D$340:$IP$340)))</f>
        <v>0</v>
      </c>
      <c r="M12" s="142">
        <f t="shared" si="1"/>
        <v>0</v>
      </c>
      <c r="N12" s="1294">
        <f>IF(AND(I12="",J12=""),"",IF(J12&lt;&gt;"",IF(COUNTIFS(Stock!$D$4:$IP$4,I12,Stock!$D$5:$IP$5,J12)&gt;0,SUMIFS(Stock!$D$32:$IP$32,Stock!$D$4:$IP$4,I12,Stock!$D$5:$IP$5,J12),IF(COUNTIF(Stock!$D$5:$IP$5,J12)&gt;0,SUMIF(Stock!$D$5:$IP$5,J12,Stock!$D$32:$IP$32),SUMIF(Stock!$D$4:$IP$4,I12,Stock!$D$32:$IP$32))),SUMIF(Stock!$D$4:$IP$4,I12,Stock!$D$32:$IP$32)))</f>
        <v>0</v>
      </c>
      <c r="P12" s="159" t="s">
        <v>243</v>
      </c>
      <c r="Q12" s="1307" t="s">
        <v>708</v>
      </c>
      <c r="R12" s="5">
        <v>35</v>
      </c>
      <c r="S12" s="175">
        <f>IF(AND(P12="",Q12=""),"",IF(Q12&lt;&gt;"",IF(COUNTIFS(Stock!$D$4:$IP$4,P12,Stock!$D$5:$IP$5,Q12)&gt;0,SUMIFS(Stock!$D$340:$IP$340,Stock!$D$4:$IP$4,P12,Stock!$D$5:$IP$5,Q12),IF(COUNTIF(Stock!$D$5:$IP$5,Q12)&gt;0,SUMIF(Stock!$D$5:$IP$5,Q12,Stock!$D$340:$IP$340),SUMIF(Stock!$D$4:$IP$4,P12,Stock!$D$340:$IP$340))),SUMIF(Stock!$D$4:$IP$4,P12,Stock!$D$340:$IP$340)))</f>
        <v>0</v>
      </c>
      <c r="T12" s="176">
        <f t="shared" si="2"/>
        <v>35</v>
      </c>
      <c r="U12" s="1290">
        <f>IF(AND(P12="",Q12=""),"",IF(Q12&lt;&gt;"",IF(COUNTIFS(Stock!$D$4:$IP$4,P12,Stock!$D$5:$IP$5,Q12)&gt;0,SUMIFS(Stock!$D$32:$IP$32,Stock!$D$4:$IP$4,P12,Stock!$D$5:$IP$5,Q12),IF(COUNTIF(Stock!$D$5:$IP$5,Q12)&gt;0,SUMIF(Stock!$D$5:$IP$5,Q12,Stock!$D$32:$IP$32),SUMIF(Stock!$D$4:$IP$4,P12,Stock!$D$32:$IP$32))),SUMIF(Stock!$D$4:$IP$4,P12,Stock!$D$32:$IP$32)))</f>
        <v>50</v>
      </c>
      <c r="V12" s="112"/>
    </row>
    <row r="13" spans="2:24" ht="30" x14ac:dyDescent="0.25">
      <c r="B13" s="131" t="s">
        <v>83</v>
      </c>
      <c r="C13" s="4" t="s">
        <v>84</v>
      </c>
      <c r="D13" s="5">
        <v>185</v>
      </c>
      <c r="E13" s="5">
        <f>IF(AND(B13="",C13=""),"",IF(C13&lt;&gt;"",IF(COUNTIFS(Stock!$D$4:$IP$4,B13,Stock!$D$5:$IP$5,C13)&gt;0,SUMIFS(Stock!$D$340:$IP$340,Stock!$D$4:$IP$4,B13,Stock!$D$5:$IP$5,C13),IF(COUNTIF(Stock!$D$5:$IP$5,C13)&gt;0,SUMIF(Stock!$D$5:$IP$5,C13,Stock!$D$340:$IP$340),SUMIF(Stock!$D$4:$IP$4,B13,Stock!$D$340:$IP$340))),SUMIF(Stock!$D$4:$IP$4,B13,Stock!$D$340:$IP$340)))</f>
        <v>200</v>
      </c>
      <c r="F13" s="142">
        <f t="shared" si="0"/>
        <v>-15</v>
      </c>
      <c r="G13" s="1294">
        <f>IF(AND(B13="",C13=""),"",IF(C13&lt;&gt;"",IF(COUNTIFS(Stock!$D$4:$IP$4,B13,Stock!$D$5:$IP$5,C13)&gt;0,SUMIFS(Stock!$D$32:$IP$32,Stock!$D$4:$IP$4,B13,Stock!$D$5:$IP$5,C13),IF(COUNTIF(Stock!$D$5:$IP$5,C13)&gt;0,SUMIF(Stock!$D$5:$IP$5,C13,Stock!$D$32:$IP$32),SUMIF(Stock!$D$4:$IP$4,B13,Stock!$D$32:$IP$32))),SUMIF(Stock!$D$4:$IP$4,B13,Stock!$D$32:$IP$32)))</f>
        <v>200</v>
      </c>
      <c r="I13" s="131" t="s">
        <v>197</v>
      </c>
      <c r="J13" s="4" t="s">
        <v>367</v>
      </c>
      <c r="K13" s="5">
        <v>44</v>
      </c>
      <c r="L13" s="5">
        <f>IF(AND(I13="",J13=""),"",IF(J13&lt;&gt;"",IF(COUNTIFS(Stock!$D$4:$IP$4,I13,Stock!$D$5:$IP$5,J13)&gt;0,SUMIFS(Stock!$D$340:$IP$340,Stock!$D$4:$IP$4,I13,Stock!$D$5:$IP$5,J13),IF(COUNTIF(Stock!$D$5:$IP$5,J13)&gt;0,SUMIF(Stock!$D$5:$IP$5,J13,Stock!$D$340:$IP$340),SUMIF(Stock!$D$4:$IP$4,I13,Stock!$D$340:$IP$340))),SUMIF(Stock!$D$4:$IP$4,I13,Stock!$D$340:$IP$340)))</f>
        <v>48</v>
      </c>
      <c r="M13" s="142">
        <f t="shared" si="1"/>
        <v>-4</v>
      </c>
      <c r="N13" s="1294">
        <f>IF(AND(I13="",J13=""),"",IF(J13&lt;&gt;"",IF(COUNTIFS(Stock!$D$4:$IP$4,I13,Stock!$D$5:$IP$5,J13)&gt;0,SUMIFS(Stock!$D$32:$IP$32,Stock!$D$4:$IP$4,I13,Stock!$D$5:$IP$5,J13),IF(COUNTIF(Stock!$D$5:$IP$5,J13)&gt;0,SUMIF(Stock!$D$5:$IP$5,J13,Stock!$D$32:$IP$32),SUMIF(Stock!$D$4:$IP$4,I13,Stock!$D$32:$IP$32))),SUMIF(Stock!$D$4:$IP$4,I13,Stock!$D$32:$IP$32)))</f>
        <v>50</v>
      </c>
      <c r="P13" s="110" t="s">
        <v>738</v>
      </c>
      <c r="Q13" s="105"/>
      <c r="R13" s="343" t="s">
        <v>211</v>
      </c>
      <c r="S13" s="343">
        <f>IF(AND(P13="",Q13=""),"",IF(Q13&lt;&gt;"",IF(COUNTIFS(Stock!$D$4:$IP$4,P13,Stock!$D$5:$IP$5,Q13)&gt;0,SUMIFS(Stock!$D$340:$IP$340,Stock!$D$4:$IP$4,P13,Stock!$D$5:$IP$5,Q13),IF(COUNTIF(Stock!$D$5:$IP$5,Q13)&gt;0,SUMIF(Stock!$D$5:$IP$5,Q13,Stock!$D$340:$IP$340),SUMIF(Stock!$D$4:$IP$4,P13,Stock!$D$340:$IP$340))),SUMIF(Stock!$D$4:$IP$4,P13,Stock!$D$340:$IP$340)))</f>
        <v>0</v>
      </c>
      <c r="T13" s="343" t="s">
        <v>264</v>
      </c>
      <c r="U13" s="1289">
        <f>IF(AND(P13="",Q13=""),"",IF(Q13&lt;&gt;"",IF(COUNTIFS(Stock!$D$4:$IP$4,P13,Stock!$D$5:$IP$5,Q13)&gt;0,SUMIFS(Stock!$D$32:$IP$32,Stock!$D$4:$IP$4,P13,Stock!$D$5:$IP$5,Q13),IF(COUNTIF(Stock!$D$5:$IP$5,Q13)&gt;0,SUMIF(Stock!$D$5:$IP$5,Q13,Stock!$D$32:$IP$32),SUMIF(Stock!$D$4:$IP$4,P13,Stock!$D$32:$IP$32))),SUMIF(Stock!$D$4:$IP$4,P13,Stock!$D$32:$IP$32)))</f>
        <v>0</v>
      </c>
      <c r="V13" s="117" t="s">
        <v>741</v>
      </c>
      <c r="W13" s="346" t="s">
        <v>742</v>
      </c>
      <c r="X13" s="346" t="s">
        <v>743</v>
      </c>
    </row>
    <row r="14" spans="2:24" ht="30" x14ac:dyDescent="0.25">
      <c r="B14" s="131" t="s">
        <v>86</v>
      </c>
      <c r="C14" s="4" t="s">
        <v>87</v>
      </c>
      <c r="D14" s="5">
        <v>400</v>
      </c>
      <c r="E14" s="5">
        <f>IF(AND(B14="",C14=""),"",IF(C14&lt;&gt;"",IF(COUNTIFS(Stock!$D$4:$IP$4,B14,Stock!$D$5:$IP$5,C14)&gt;0,SUMIFS(Stock!$D$340:$IP$340,Stock!$D$4:$IP$4,B14,Stock!$D$5:$IP$5,C14),IF(COUNTIF(Stock!$D$5:$IP$5,C14)&gt;0,SUMIF(Stock!$D$5:$IP$5,C14,Stock!$D$340:$IP$340),SUMIF(Stock!$D$4:$IP$4,B14,Stock!$D$340:$IP$340))),SUMIF(Stock!$D$4:$IP$4,B14,Stock!$D$340:$IP$340)))</f>
        <v>405</v>
      </c>
      <c r="F14" s="142">
        <f t="shared" si="0"/>
        <v>-5</v>
      </c>
      <c r="G14" s="1294">
        <f>IF(AND(B14="",C14=""),"",IF(C14&lt;&gt;"",IF(COUNTIFS(Stock!$D$4:$IP$4,B14,Stock!$D$5:$IP$5,C14)&gt;0,SUMIFS(Stock!$D$32:$IP$32,Stock!$D$4:$IP$4,B14,Stock!$D$5:$IP$5,C14),IF(COUNTIF(Stock!$D$5:$IP$5,C14)&gt;0,SUMIF(Stock!$D$5:$IP$5,C14,Stock!$D$32:$IP$32),SUMIF(Stock!$D$4:$IP$4,B14,Stock!$D$32:$IP$32))),SUMIF(Stock!$D$4:$IP$4,B14,Stock!$D$32:$IP$32)))</f>
        <v>405</v>
      </c>
      <c r="I14" s="131" t="s">
        <v>198</v>
      </c>
      <c r="J14" s="4" t="s">
        <v>368</v>
      </c>
      <c r="K14" s="5">
        <v>232</v>
      </c>
      <c r="L14" s="5">
        <f>IF(AND(I14="",J14=""),"",IF(J14&lt;&gt;"",IF(COUNTIFS(Stock!$D$4:$IP$4,I14,Stock!$D$5:$IP$5,J14)&gt;0,SUMIFS(Stock!$D$340:$IP$340,Stock!$D$4:$IP$4,I14,Stock!$D$5:$IP$5,J14),IF(COUNTIF(Stock!$D$5:$IP$5,J14)&gt;0,SUMIF(Stock!$D$5:$IP$5,J14,Stock!$D$340:$IP$340),SUMIF(Stock!$D$4:$IP$4,I14,Stock!$D$340:$IP$340))),SUMIF(Stock!$D$4:$IP$4,I14,Stock!$D$340:$IP$340)))</f>
        <v>100</v>
      </c>
      <c r="M14" s="142">
        <f t="shared" si="1"/>
        <v>132</v>
      </c>
      <c r="N14" s="1294">
        <f>IF(AND(I14="",J14=""),"",IF(J14&lt;&gt;"",IF(COUNTIFS(Stock!$D$4:$IP$4,I14,Stock!$D$5:$IP$5,J14)&gt;0,SUMIFS(Stock!$D$32:$IP$32,Stock!$D$4:$IP$4,I14,Stock!$D$5:$IP$5,J14),IF(COUNTIF(Stock!$D$5:$IP$5,J14)&gt;0,SUMIF(Stock!$D$5:$IP$5,J14,Stock!$D$32:$IP$32),SUMIF(Stock!$D$4:$IP$4,I14,Stock!$D$32:$IP$32))),SUMIF(Stock!$D$4:$IP$4,I14,Stock!$D$32:$IP$32)))</f>
        <v>304</v>
      </c>
      <c r="P14" s="159" t="s">
        <v>244</v>
      </c>
      <c r="R14" s="1306">
        <v>500</v>
      </c>
      <c r="S14" s="175">
        <f>IF(AND(P14="",Q14=""),"",IF(Q14&lt;&gt;"",IF(COUNTIFS(Stock!$D$4:$IP$4,P14,Stock!$D$5:$IP$5,Q14)&gt;0,SUMIFS(Stock!$D$340:$IP$340,Stock!$D$4:$IP$4,P14,Stock!$D$5:$IP$5,Q14),IF(COUNTIF(Stock!$D$5:$IP$5,Q14)&gt;0,SUMIF(Stock!$D$5:$IP$5,Q14,Stock!$D$340:$IP$340),SUMIF(Stock!$D$4:$IP$4,P14,Stock!$D$340:$IP$340))),SUMIF(Stock!$D$4:$IP$4,P14,Stock!$D$340:$IP$340)))</f>
        <v>300</v>
      </c>
      <c r="T14" s="176">
        <f t="shared" si="2"/>
        <v>200</v>
      </c>
      <c r="U14" s="1290">
        <f>IF(AND(P14="",Q14=""),"",IF(Q14&lt;&gt;"",IF(COUNTIFS(Stock!$D$4:$IP$4,P14,Stock!$D$5:$IP$5,Q14)&gt;0,SUMIFS(Stock!$D$32:$IP$32,Stock!$D$4:$IP$4,P14,Stock!$D$5:$IP$5,Q14),IF(COUNTIF(Stock!$D$5:$IP$5,Q14)&gt;0,SUMIF(Stock!$D$5:$IP$5,Q14,Stock!$D$32:$IP$32),SUMIF(Stock!$D$4:$IP$4,P14,Stock!$D$32:$IP$32))),SUMIF(Stock!$D$4:$IP$4,P14,Stock!$D$32:$IP$32)))</f>
        <v>1799</v>
      </c>
      <c r="V14" s="369" t="s">
        <v>804</v>
      </c>
      <c r="W14" s="370"/>
      <c r="X14" s="2" t="str">
        <f t="array" ref="X14">IF(NOT(ISNUMBER($W14)),"CHECK",IF(OR(AND(TRIM($Q14&amp;"")&lt;&gt;"",INDEX(Stock!$EW$5:$FU$5,$W14)=$Q14),INDEX(Stock!$EW$4:$FU$4,$W14)=$P14),"OK","CHECK"))</f>
        <v>CHECK</v>
      </c>
    </row>
    <row r="15" spans="2:24" ht="45" x14ac:dyDescent="0.25">
      <c r="B15" s="131" t="s">
        <v>68</v>
      </c>
      <c r="C15" s="4" t="s">
        <v>91</v>
      </c>
      <c r="D15" s="5">
        <v>375</v>
      </c>
      <c r="E15" s="5">
        <f>IF(AND(B15="",C15=""),"",IF(C15&lt;&gt;"",IF(COUNTIFS(Stock!$D$4:$IP$4,B15,Stock!$D$5:$IP$5,C15)&gt;0,SUMIFS(Stock!$D$340:$IP$340,Stock!$D$4:$IP$4,B15,Stock!$D$5:$IP$5,C15),IF(COUNTIF(Stock!$D$5:$IP$5,C15)&gt;0,SUMIF(Stock!$D$5:$IP$5,C15,Stock!$D$340:$IP$340),SUMIF(Stock!$D$4:$IP$4,B15,Stock!$D$340:$IP$340))),SUMIF(Stock!$D$4:$IP$4,B15,Stock!$D$340:$IP$340)))</f>
        <v>175</v>
      </c>
      <c r="F15" s="142">
        <f t="shared" si="0"/>
        <v>200</v>
      </c>
      <c r="G15" s="1294">
        <f>IF(AND(B15="",C15=""),"",IF(C15&lt;&gt;"",IF(COUNTIFS(Stock!$D$4:$IP$4,B15,Stock!$D$5:$IP$5,C15)&gt;0,SUMIFS(Stock!$D$32:$IP$32,Stock!$D$4:$IP$4,B15,Stock!$D$5:$IP$5,C15),IF(COUNTIF(Stock!$D$5:$IP$5,C15)&gt;0,SUMIF(Stock!$D$5:$IP$5,C15,Stock!$D$32:$IP$32),SUMIF(Stock!$D$4:$IP$4,B15,Stock!$D$32:$IP$32))),SUMIF(Stock!$D$4:$IP$4,B15,Stock!$D$32:$IP$32)))</f>
        <v>375</v>
      </c>
      <c r="I15" s="131" t="s">
        <v>199</v>
      </c>
      <c r="J15" s="4" t="s">
        <v>369</v>
      </c>
      <c r="K15" s="5">
        <v>131</v>
      </c>
      <c r="L15" s="5">
        <f>IF(AND(I15="",J15=""),"",IF(J15&lt;&gt;"",IF(COUNTIFS(Stock!$D$4:$IP$4,I15,Stock!$D$5:$IP$5,J15)&gt;0,SUMIFS(Stock!$D$340:$IP$340,Stock!$D$4:$IP$4,I15,Stock!$D$5:$IP$5,J15),IF(COUNTIF(Stock!$D$5:$IP$5,J15)&gt;0,SUMIF(Stock!$D$5:$IP$5,J15,Stock!$D$340:$IP$340),SUMIF(Stock!$D$4:$IP$4,I15,Stock!$D$340:$IP$340))),SUMIF(Stock!$D$4:$IP$4,I15,Stock!$D$340:$IP$340)))</f>
        <v>104</v>
      </c>
      <c r="M15" s="142">
        <f t="shared" si="1"/>
        <v>27</v>
      </c>
      <c r="N15" s="1294">
        <f>IF(AND(I15="",J15=""),"",IF(J15&lt;&gt;"",IF(COUNTIFS(Stock!$D$4:$IP$4,I15,Stock!$D$5:$IP$5,J15)&gt;0,SUMIFS(Stock!$D$32:$IP$32,Stock!$D$4:$IP$4,I15,Stock!$D$5:$IP$5,J15),IF(COUNTIF(Stock!$D$5:$IP$5,J15)&gt;0,SUMIF(Stock!$D$5:$IP$5,J15,Stock!$D$32:$IP$32),SUMIF(Stock!$D$4:$IP$4,I15,Stock!$D$32:$IP$32))),SUMIF(Stock!$D$4:$IP$4,I15,Stock!$D$32:$IP$32)))</f>
        <v>206</v>
      </c>
      <c r="P15" s="159" t="s">
        <v>245</v>
      </c>
      <c r="R15" s="1306">
        <v>500</v>
      </c>
      <c r="S15" s="175">
        <f>IF(AND(P15="",Q15=""),"",IF(Q15&lt;&gt;"",IF(COUNTIFS(Stock!$D$4:$IP$4,P15,Stock!$D$5:$IP$5,Q15)&gt;0,SUMIFS(Stock!$D$340:$IP$340,Stock!$D$4:$IP$4,P15,Stock!$D$5:$IP$5,Q15),IF(COUNTIF(Stock!$D$5:$IP$5,Q15)&gt;0,SUMIF(Stock!$D$5:$IP$5,Q15,Stock!$D$340:$IP$340),SUMIF(Stock!$D$4:$IP$4,P15,Stock!$D$340:$IP$340))),SUMIF(Stock!$D$4:$IP$4,P15,Stock!$D$340:$IP$340)))</f>
        <v>400</v>
      </c>
      <c r="T15" s="176">
        <f t="shared" si="2"/>
        <v>100</v>
      </c>
      <c r="U15" s="1290">
        <f>IF(AND(P15="",Q15=""),"",IF(Q15&lt;&gt;"",IF(COUNTIFS(Stock!$D$4:$IP$4,P15,Stock!$D$5:$IP$5,Q15)&gt;0,SUMIFS(Stock!$D$32:$IP$32,Stock!$D$4:$IP$4,P15,Stock!$D$5:$IP$5,Q15),IF(COUNTIF(Stock!$D$5:$IP$5,Q15)&gt;0,SUMIF(Stock!$D$5:$IP$5,Q15,Stock!$D$32:$IP$32),SUMIF(Stock!$D$4:$IP$4,P15,Stock!$D$32:$IP$32))),SUMIF(Stock!$D$4:$IP$4,P15,Stock!$D$32:$IP$32)))</f>
        <v>2149</v>
      </c>
      <c r="V15" s="369" t="s">
        <v>857</v>
      </c>
      <c r="W15" s="370"/>
      <c r="X15" s="2" t="str">
        <f t="array" ref="X15">IF(NOT(ISNUMBER($W15)),"CHECK",IF(OR(AND(TRIM($Q15&amp;"")&lt;&gt;"",INDEX(Stock!$EW$5:$FU$5,$W15)=$Q15),INDEX(Stock!$EW$4:$FU$4,$W15)=$P15),"OK","CHECK"))</f>
        <v>CHECK</v>
      </c>
    </row>
    <row r="16" spans="2:24" ht="29.25" customHeight="1" x14ac:dyDescent="0.25">
      <c r="B16" s="131" t="s">
        <v>93</v>
      </c>
      <c r="C16" s="4" t="s">
        <v>94</v>
      </c>
      <c r="D16" s="5">
        <v>134</v>
      </c>
      <c r="E16" s="5">
        <f>IF(AND(B16="",C16=""),"",IF(C16&lt;&gt;"",IF(COUNTIFS(Stock!$D$4:$IP$4,B16,Stock!$D$5:$IP$5,C16)&gt;0,SUMIFS(Stock!$D$340:$IP$340,Stock!$D$4:$IP$4,B16,Stock!$D$5:$IP$5,C16),IF(COUNTIF(Stock!$D$5:$IP$5,C16)&gt;0,SUMIF(Stock!$D$5:$IP$5,C16,Stock!$D$340:$IP$340),SUMIF(Stock!$D$4:$IP$4,B16,Stock!$D$340:$IP$340))),SUMIF(Stock!$D$4:$IP$4,B16,Stock!$D$340:$IP$340)))</f>
        <v>107</v>
      </c>
      <c r="F16" s="142">
        <f t="shared" si="0"/>
        <v>27</v>
      </c>
      <c r="G16" s="1294">
        <f>IF(AND(B16="",C16=""),"",IF(C16&lt;&gt;"",IF(COUNTIFS(Stock!$D$4:$IP$4,B16,Stock!$D$5:$IP$5,C16)&gt;0,SUMIFS(Stock!$D$32:$IP$32,Stock!$D$4:$IP$4,B16,Stock!$D$5:$IP$5,C16),IF(COUNTIF(Stock!$D$5:$IP$5,C16)&gt;0,SUMIF(Stock!$D$5:$IP$5,C16,Stock!$D$32:$IP$32),SUMIF(Stock!$D$4:$IP$4,B16,Stock!$D$32:$IP$32))),SUMIF(Stock!$D$4:$IP$4,B16,Stock!$D$32:$IP$32)))</f>
        <v>132</v>
      </c>
      <c r="I16" s="131" t="s">
        <v>200</v>
      </c>
      <c r="J16" s="4" t="s">
        <v>370</v>
      </c>
      <c r="K16" s="5">
        <v>1</v>
      </c>
      <c r="L16" s="5">
        <f>IF(AND(I16="",J16=""),"",IF(J16&lt;&gt;"",IF(COUNTIFS(Stock!$D$4:$IP$4,I16,Stock!$D$5:$IP$5,J16)&gt;0,SUMIFS(Stock!$D$340:$IP$340,Stock!$D$4:$IP$4,I16,Stock!$D$5:$IP$5,J16),IF(COUNTIF(Stock!$D$5:$IP$5,J16)&gt;0,SUMIF(Stock!$D$5:$IP$5,J16,Stock!$D$340:$IP$340),SUMIF(Stock!$D$4:$IP$4,I16,Stock!$D$340:$IP$340))),SUMIF(Stock!$D$4:$IP$4,I16,Stock!$D$340:$IP$340)))</f>
        <v>0</v>
      </c>
      <c r="M16" s="142">
        <f t="shared" si="1"/>
        <v>1</v>
      </c>
      <c r="N16" s="1294">
        <f>IF(AND(I16="",J16=""),"",IF(J16&lt;&gt;"",IF(COUNTIFS(Stock!$D$4:$IP$4,I16,Stock!$D$5:$IP$5,J16)&gt;0,SUMIFS(Stock!$D$32:$IP$32,Stock!$D$4:$IP$4,I16,Stock!$D$5:$IP$5,J16),IF(COUNTIF(Stock!$D$5:$IP$5,J16)&gt;0,SUMIF(Stock!$D$5:$IP$5,J16,Stock!$D$32:$IP$32),SUMIF(Stock!$D$4:$IP$4,I16,Stock!$D$32:$IP$32))),SUMIF(Stock!$D$4:$IP$4,I16,Stock!$D$32:$IP$32)))</f>
        <v>0</v>
      </c>
      <c r="P16" s="159" t="s">
        <v>206</v>
      </c>
      <c r="R16" s="1306">
        <v>664</v>
      </c>
      <c r="S16" s="175">
        <f>IF(AND(P16="",Q16=""),"",IF(Q16&lt;&gt;"",IF(COUNTIFS(Stock!$D$4:$IP$4,P16,Stock!$D$5:$IP$5,Q16)&gt;0,SUMIFS(Stock!$D$340:$IP$340,Stock!$D$4:$IP$4,P16,Stock!$D$5:$IP$5,Q16),IF(COUNTIF(Stock!$D$5:$IP$5,Q16)&gt;0,SUMIF(Stock!$D$5:$IP$5,Q16,Stock!$D$340:$IP$340),SUMIF(Stock!$D$4:$IP$4,P16,Stock!$D$340:$IP$340))),SUMIF(Stock!$D$4:$IP$4,P16,Stock!$D$340:$IP$340)))</f>
        <v>741</v>
      </c>
      <c r="T16" s="176">
        <f t="shared" si="2"/>
        <v>-77</v>
      </c>
      <c r="U16" s="1290">
        <f>IF(AND(P16="",Q16=""),"",IF(Q16&lt;&gt;"",IF(COUNTIFS(Stock!$D$4:$IP$4,P16,Stock!$D$5:$IP$5,Q16)&gt;0,SUMIFS(Stock!$D$32:$IP$32,Stock!$D$4:$IP$4,P16,Stock!$D$5:$IP$5,Q16),IF(COUNTIF(Stock!$D$5:$IP$5,Q16)&gt;0,SUMIF(Stock!$D$5:$IP$5,Q16,Stock!$D$32:$IP$32),SUMIF(Stock!$D$4:$IP$4,P16,Stock!$D$32:$IP$32))),SUMIF(Stock!$D$4:$IP$4,P16,Stock!$D$32:$IP$32)))</f>
        <v>1507</v>
      </c>
      <c r="V16" s="369" t="s">
        <v>893</v>
      </c>
      <c r="W16" s="370"/>
      <c r="X16" s="2" t="str">
        <f t="array" ref="X16">IF(NOT(ISNUMBER($W16)),"CHECK",IF(OR(AND(TRIM($Q16&amp;"")&lt;&gt;"",INDEX(Stock!$EW$5:$FU$5,$W16)=$Q16),INDEX(Stock!$EW$4:$FU$4,$W16)=$P16),"OK","CHECK"))</f>
        <v>CHECK</v>
      </c>
    </row>
    <row r="17" spans="2:24" x14ac:dyDescent="0.25">
      <c r="B17" s="131" t="s">
        <v>95</v>
      </c>
      <c r="C17" s="4" t="s">
        <v>96</v>
      </c>
      <c r="D17" s="5">
        <v>100</v>
      </c>
      <c r="E17" s="5">
        <f>IF(AND(B17="",C17=""),"",IF(C17&lt;&gt;"",IF(COUNTIFS(Stock!$D$4:$IP$4,B17,Stock!$D$5:$IP$5,C17)&gt;0,SUMIFS(Stock!$D$340:$IP$340,Stock!$D$4:$IP$4,B17,Stock!$D$5:$IP$5,C17),IF(COUNTIF(Stock!$D$5:$IP$5,C17)&gt;0,SUMIF(Stock!$D$5:$IP$5,C17,Stock!$D$340:$IP$340),SUMIF(Stock!$D$4:$IP$4,B17,Stock!$D$340:$IP$340))),SUMIF(Stock!$D$4:$IP$4,B17,Stock!$D$340:$IP$340)))</f>
        <v>55</v>
      </c>
      <c r="F17" s="142">
        <f t="shared" si="0"/>
        <v>45</v>
      </c>
      <c r="G17" s="1294">
        <f>IF(AND(B17="",C17=""),"",IF(C17&lt;&gt;"",IF(COUNTIFS(Stock!$D$4:$IP$4,B17,Stock!$D$5:$IP$5,C17)&gt;0,SUMIFS(Stock!$D$32:$IP$32,Stock!$D$4:$IP$4,B17,Stock!$D$5:$IP$5,C17),IF(COUNTIF(Stock!$D$5:$IP$5,C17)&gt;0,SUMIF(Stock!$D$5:$IP$5,C17,Stock!$D$32:$IP$32),SUMIF(Stock!$D$4:$IP$4,B17,Stock!$D$32:$IP$32))),SUMIF(Stock!$D$4:$IP$4,B17,Stock!$D$32:$IP$32)))</f>
        <v>100</v>
      </c>
      <c r="I17" s="131" t="s">
        <v>63</v>
      </c>
      <c r="J17" s="4" t="s">
        <v>371</v>
      </c>
      <c r="K17" s="5">
        <v>348</v>
      </c>
      <c r="L17" s="5">
        <f>IF(AND(I17="",J17=""),"",IF(J17&lt;&gt;"",IF(COUNTIFS(Stock!$D$4:$IP$4,I17,Stock!$D$5:$IP$5,J17)&gt;0,SUMIFS(Stock!$D$340:$IP$340,Stock!$D$4:$IP$4,I17,Stock!$D$5:$IP$5,J17),IF(COUNTIF(Stock!$D$5:$IP$5,J17)&gt;0,SUMIF(Stock!$D$5:$IP$5,J17,Stock!$D$340:$IP$340),SUMIF(Stock!$D$4:$IP$4,I17,Stock!$D$340:$IP$340))),SUMIF(Stock!$D$4:$IP$4,I17,Stock!$D$340:$IP$340)))</f>
        <v>202</v>
      </c>
      <c r="M17" s="142">
        <f t="shared" si="1"/>
        <v>146</v>
      </c>
      <c r="N17" s="1294">
        <f>IF(AND(I17="",J17=""),"",IF(J17&lt;&gt;"",IF(COUNTIFS(Stock!$D$4:$IP$4,I17,Stock!$D$5:$IP$5,J17)&gt;0,SUMIFS(Stock!$D$32:$IP$32,Stock!$D$4:$IP$4,I17,Stock!$D$5:$IP$5,J17),IF(COUNTIF(Stock!$D$5:$IP$5,J17)&gt;0,SUMIF(Stock!$D$5:$IP$5,J17,Stock!$D$32:$IP$32),SUMIF(Stock!$D$4:$IP$4,I17,Stock!$D$32:$IP$32))),SUMIF(Stock!$D$4:$IP$4,I17,Stock!$D$32:$IP$32)))</f>
        <v>346</v>
      </c>
      <c r="P17" s="159" t="s">
        <v>68</v>
      </c>
      <c r="Q17" s="2" t="s">
        <v>404</v>
      </c>
      <c r="R17" s="5">
        <v>100</v>
      </c>
      <c r="S17" s="175">
        <f>IF(AND(P17="",Q17=""),"",IF(Q17&lt;&gt;"",IF(COUNTIFS(Stock!$D$4:$IP$4,P17,Stock!$D$5:$IP$5,Q17)&gt;0,SUMIFS(Stock!$D$340:$IP$340,Stock!$D$4:$IP$4,P17,Stock!$D$5:$IP$5,Q17),IF(COUNTIF(Stock!$D$5:$IP$5,Q17)&gt;0,SUMIF(Stock!$D$5:$IP$5,Q17,Stock!$D$340:$IP$340),SUMIF(Stock!$D$4:$IP$4,P17,Stock!$D$340:$IP$340))),SUMIF(Stock!$D$4:$IP$4,P17,Stock!$D$340:$IP$340)))</f>
        <v>100</v>
      </c>
      <c r="T17" s="176">
        <f t="shared" si="2"/>
        <v>0</v>
      </c>
      <c r="U17" s="1290">
        <f>IF(AND(P17="",Q17=""),"",IF(Q17&lt;&gt;"",IF(COUNTIFS(Stock!$D$4:$IP$4,P17,Stock!$D$5:$IP$5,Q17)&gt;0,SUMIFS(Stock!$D$32:$IP$32,Stock!$D$4:$IP$4,P17,Stock!$D$5:$IP$5,Q17),IF(COUNTIF(Stock!$D$5:$IP$5,Q17)&gt;0,SUMIF(Stock!$D$5:$IP$5,Q17,Stock!$D$32:$IP$32),SUMIF(Stock!$D$4:$IP$4,P17,Stock!$D$32:$IP$32))),SUMIF(Stock!$D$4:$IP$4,P17,Stock!$D$32:$IP$32)))</f>
        <v>848</v>
      </c>
      <c r="V17" s="369" t="s">
        <v>933</v>
      </c>
      <c r="W17" s="370"/>
      <c r="X17" s="2" t="str">
        <f t="array" ref="X17">IF(NOT(ISNUMBER($W17)),"CHECK",IF(OR(AND(TRIM($Q17&amp;"")&lt;&gt;"",INDEX(Stock!$EW$5:$FU$5,$W17)=$Q17),INDEX(Stock!$EW$4:$FU$4,$W17)=$P17),"OK","CHECK"))</f>
        <v>CHECK</v>
      </c>
    </row>
    <row r="18" spans="2:24" x14ac:dyDescent="0.25">
      <c r="B18" s="131" t="s">
        <v>106</v>
      </c>
      <c r="C18" s="4" t="s">
        <v>107</v>
      </c>
      <c r="D18" s="5">
        <v>60</v>
      </c>
      <c r="E18" s="5">
        <f>IF(AND(B18="",C18=""),"",IF(C18&lt;&gt;"",IF(COUNTIFS(Stock!$D$4:$IP$4,B18,Stock!$D$5:$IP$5,C18)&gt;0,SUMIFS(Stock!$D$340:$IP$340,Stock!$D$4:$IP$4,B18,Stock!$D$5:$IP$5,C18),IF(COUNTIF(Stock!$D$5:$IP$5,C18)&gt;0,SUMIF(Stock!$D$5:$IP$5,C18,Stock!$D$340:$IP$340),SUMIF(Stock!$D$4:$IP$4,B18,Stock!$D$340:$IP$340))),SUMIF(Stock!$D$4:$IP$4,B18,Stock!$D$340:$IP$340)))</f>
        <v>30</v>
      </c>
      <c r="F18" s="142">
        <f t="shared" si="0"/>
        <v>30</v>
      </c>
      <c r="G18" s="1294">
        <f>IF(AND(B18="",C18=""),"",IF(C18&lt;&gt;"",IF(COUNTIFS(Stock!$D$4:$IP$4,B18,Stock!$D$5:$IP$5,C18)&gt;0,SUMIFS(Stock!$D$32:$IP$32,Stock!$D$4:$IP$4,B18,Stock!$D$5:$IP$5,C18),IF(COUNTIF(Stock!$D$5:$IP$5,C18)&gt;0,SUMIF(Stock!$D$5:$IP$5,C18,Stock!$D$32:$IP$32),SUMIF(Stock!$D$4:$IP$4,B18,Stock!$D$32:$IP$32))),SUMIF(Stock!$D$4:$IP$4,B18,Stock!$D$32:$IP$32)))</f>
        <v>100</v>
      </c>
      <c r="I18" s="131" t="s">
        <v>202</v>
      </c>
      <c r="J18" s="4" t="s">
        <v>372</v>
      </c>
      <c r="K18" s="5">
        <v>92</v>
      </c>
      <c r="L18" s="5">
        <f>IF(AND(I18="",J18=""),"",IF(J18&lt;&gt;"",IF(COUNTIFS(Stock!$D$4:$IP$4,I18,Stock!$D$5:$IP$5,J18)&gt;0,SUMIFS(Stock!$D$340:$IP$340,Stock!$D$4:$IP$4,I18,Stock!$D$5:$IP$5,J18),IF(COUNTIF(Stock!$D$5:$IP$5,J18)&gt;0,SUMIF(Stock!$D$5:$IP$5,J18,Stock!$D$340:$IP$340),SUMIF(Stock!$D$4:$IP$4,I18,Stock!$D$340:$IP$340))),SUMIF(Stock!$D$4:$IP$4,I18,Stock!$D$340:$IP$340)))</f>
        <v>104</v>
      </c>
      <c r="M18" s="142">
        <f t="shared" si="1"/>
        <v>-12</v>
      </c>
      <c r="N18" s="1294">
        <f>IF(AND(I18="",J18=""),"",IF(J18&lt;&gt;"",IF(COUNTIFS(Stock!$D$4:$IP$4,I18,Stock!$D$5:$IP$5,J18)&gt;0,SUMIFS(Stock!$D$32:$IP$32,Stock!$D$4:$IP$4,I18,Stock!$D$5:$IP$5,J18),IF(COUNTIF(Stock!$D$5:$IP$5,J18)&gt;0,SUMIF(Stock!$D$5:$IP$5,J18,Stock!$D$32:$IP$32),SUMIF(Stock!$D$4:$IP$4,I18,Stock!$D$32:$IP$32))),SUMIF(Stock!$D$4:$IP$4,I18,Stock!$D$32:$IP$32)))</f>
        <v>104</v>
      </c>
      <c r="P18" s="159" t="s">
        <v>246</v>
      </c>
      <c r="Q18" s="2" t="s">
        <v>405</v>
      </c>
      <c r="R18" s="5"/>
      <c r="S18" s="175">
        <f>IF(AND(P18="",Q18=""),"",IF(Q18&lt;&gt;"",IF(COUNTIFS(Stock!$D$4:$IP$4,P18,Stock!$D$5:$IP$5,Q18)&gt;0,SUMIFS(Stock!$D$340:$IP$340,Stock!$D$4:$IP$4,P18,Stock!$D$5:$IP$5,Q18),IF(COUNTIF(Stock!$D$5:$IP$5,Q18)&gt;0,SUMIF(Stock!$D$5:$IP$5,Q18,Stock!$D$340:$IP$340),SUMIF(Stock!$D$4:$IP$4,P18,Stock!$D$340:$IP$340))),SUMIF(Stock!$D$4:$IP$4,P18,Stock!$D$340:$IP$340)))</f>
        <v>0</v>
      </c>
      <c r="T18" s="176">
        <f t="shared" si="2"/>
        <v>0</v>
      </c>
      <c r="U18" s="1290">
        <f>IF(AND(P18="",Q18=""),"",IF(Q18&lt;&gt;"",IF(COUNTIFS(Stock!$D$4:$IP$4,P18,Stock!$D$5:$IP$5,Q18)&gt;0,SUMIFS(Stock!$D$32:$IP$32,Stock!$D$4:$IP$4,P18,Stock!$D$5:$IP$5,Q18),IF(COUNTIF(Stock!$D$5:$IP$5,Q18)&gt;0,SUMIF(Stock!$D$5:$IP$5,Q18,Stock!$D$32:$IP$32),SUMIF(Stock!$D$4:$IP$4,P18,Stock!$D$32:$IP$32))),SUMIF(Stock!$D$4:$IP$4,P18,Stock!$D$32:$IP$32)))</f>
        <v>199</v>
      </c>
      <c r="V18" s="369" t="s">
        <v>972</v>
      </c>
      <c r="W18" s="370"/>
      <c r="X18" s="2" t="str">
        <f t="array" ref="X18">IF(NOT(ISNUMBER($W18)),"CHECK",IF(OR(AND(TRIM($Q18&amp;"")&lt;&gt;"",INDEX(Stock!$EW$5:$FU$5,$W18)=$Q18),INDEX(Stock!$EW$4:$FU$4,$W18)=$P18),"OK","CHECK"))</f>
        <v>CHECK</v>
      </c>
    </row>
    <row r="19" spans="2:24" x14ac:dyDescent="0.25">
      <c r="B19" s="131" t="s">
        <v>113</v>
      </c>
      <c r="C19" s="4" t="s">
        <v>114</v>
      </c>
      <c r="D19" s="5">
        <v>110</v>
      </c>
      <c r="E19" s="5">
        <f>IF(AND(B19="",C19=""),"",IF(C19&lt;&gt;"",IF(COUNTIFS(Stock!$D$4:$IP$4,B19,Stock!$D$5:$IP$5,C19)&gt;0,SUMIFS(Stock!$D$340:$IP$340,Stock!$D$4:$IP$4,B19,Stock!$D$5:$IP$5,C19),IF(COUNTIF(Stock!$D$5:$IP$5,C19)&gt;0,SUMIF(Stock!$D$5:$IP$5,C19,Stock!$D$340:$IP$340),SUMIF(Stock!$D$4:$IP$4,B19,Stock!$D$340:$IP$340))),SUMIF(Stock!$D$4:$IP$4,B19,Stock!$D$340:$IP$340)))</f>
        <v>0</v>
      </c>
      <c r="F19" s="142">
        <f t="shared" si="0"/>
        <v>110</v>
      </c>
      <c r="G19" s="1294">
        <f>IF(AND(B19="",C19=""),"",IF(C19&lt;&gt;"",IF(COUNTIFS(Stock!$D$4:$IP$4,B19,Stock!$D$5:$IP$5,C19)&gt;0,SUMIFS(Stock!$D$32:$IP$32,Stock!$D$4:$IP$4,B19,Stock!$D$5:$IP$5,C19),IF(COUNTIF(Stock!$D$5:$IP$5,C19)&gt;0,SUMIF(Stock!$D$5:$IP$5,C19,Stock!$D$32:$IP$32),SUMIF(Stock!$D$4:$IP$4,B19,Stock!$D$32:$IP$32))),SUMIF(Stock!$D$4:$IP$4,B19,Stock!$D$32:$IP$32)))</f>
        <v>200</v>
      </c>
      <c r="I19" s="131" t="s">
        <v>203</v>
      </c>
      <c r="J19" s="4" t="s">
        <v>373</v>
      </c>
      <c r="K19" s="5">
        <v>45</v>
      </c>
      <c r="L19" s="5">
        <f>IF(AND(I19="",J19=""),"",IF(J19&lt;&gt;"",IF(COUNTIFS(Stock!$D$4:$IP$4,I19,Stock!$D$5:$IP$5,J19)&gt;0,SUMIFS(Stock!$D$340:$IP$340,Stock!$D$4:$IP$4,I19,Stock!$D$5:$IP$5,J19),IF(COUNTIF(Stock!$D$5:$IP$5,J19)&gt;0,SUMIF(Stock!$D$5:$IP$5,J19,Stock!$D$340:$IP$340),SUMIF(Stock!$D$4:$IP$4,I19,Stock!$D$340:$IP$340))),SUMIF(Stock!$D$4:$IP$4,I19,Stock!$D$340:$IP$340)))</f>
        <v>75</v>
      </c>
      <c r="M19" s="142">
        <f t="shared" si="1"/>
        <v>-30</v>
      </c>
      <c r="N19" s="1294">
        <f>IF(AND(I19="",J19=""),"",IF(J19&lt;&gt;"",IF(COUNTIFS(Stock!$D$4:$IP$4,I19,Stock!$D$5:$IP$5,J19)&gt;0,SUMIFS(Stock!$D$32:$IP$32,Stock!$D$4:$IP$4,I19,Stock!$D$5:$IP$5,J19),IF(COUNTIF(Stock!$D$5:$IP$5,J19)&gt;0,SUMIF(Stock!$D$5:$IP$5,J19,Stock!$D$32:$IP$32),SUMIF(Stock!$D$4:$IP$4,I19,Stock!$D$32:$IP$32))),SUMIF(Stock!$D$4:$IP$4,I19,Stock!$D$32:$IP$32)))</f>
        <v>75</v>
      </c>
      <c r="P19" s="159" t="s">
        <v>247</v>
      </c>
      <c r="Q19" s="2" t="s">
        <v>406</v>
      </c>
      <c r="R19" s="5">
        <v>500</v>
      </c>
      <c r="S19" s="175">
        <f>IF(AND(P19="",Q19=""),"",IF(Q19&lt;&gt;"",IF(COUNTIFS(Stock!$D$4:$IP$4,P19,Stock!$D$5:$IP$5,Q19)&gt;0,SUMIFS(Stock!$D$340:$IP$340,Stock!$D$4:$IP$4,P19,Stock!$D$5:$IP$5,Q19),IF(COUNTIF(Stock!$D$5:$IP$5,Q19)&gt;0,SUMIF(Stock!$D$5:$IP$5,Q19,Stock!$D$340:$IP$340),SUMIF(Stock!$D$4:$IP$4,P19,Stock!$D$340:$IP$340))),SUMIF(Stock!$D$4:$IP$4,P19,Stock!$D$340:$IP$340)))</f>
        <v>500</v>
      </c>
      <c r="T19" s="176">
        <f t="shared" si="2"/>
        <v>0</v>
      </c>
      <c r="U19" s="1290">
        <f>IF(AND(P19="",Q19=""),"",IF(Q19&lt;&gt;"",IF(COUNTIFS(Stock!$D$4:$IP$4,P19,Stock!$D$5:$IP$5,Q19)&gt;0,SUMIFS(Stock!$D$32:$IP$32,Stock!$D$4:$IP$4,P19,Stock!$D$5:$IP$5,Q19),IF(COUNTIF(Stock!$D$5:$IP$5,Q19)&gt;0,SUMIF(Stock!$D$5:$IP$5,Q19,Stock!$D$32:$IP$32),SUMIF(Stock!$D$4:$IP$4,P19,Stock!$D$32:$IP$32))),SUMIF(Stock!$D$4:$IP$4,P19,Stock!$D$32:$IP$32)))</f>
        <v>750</v>
      </c>
      <c r="V19" s="369" t="s">
        <v>991</v>
      </c>
      <c r="W19" s="370"/>
      <c r="X19" s="2" t="str">
        <f t="array" ref="X19">IF(NOT(ISNUMBER($W19)),"CHECK",IF(OR(AND(TRIM($Q19&amp;"")&lt;&gt;"",INDEX(Stock!$EW$5:$FU$5,$W19)=$Q19),INDEX(Stock!$EW$4:$FU$4,$W19)=$P19),"OK","CHECK"))</f>
        <v>CHECK</v>
      </c>
    </row>
    <row r="20" spans="2:24" x14ac:dyDescent="0.25">
      <c r="B20" s="131" t="s">
        <v>117</v>
      </c>
      <c r="C20" s="4" t="s">
        <v>142</v>
      </c>
      <c r="D20" s="5">
        <v>221</v>
      </c>
      <c r="E20" s="5">
        <f>IF(AND(B20="",C20=""),"",IF(C20&lt;&gt;"",IF(COUNTIFS(Stock!$D$4:$IP$4,B20,Stock!$D$5:$IP$5,C20)&gt;0,SUMIFS(Stock!$D$340:$IP$340,Stock!$D$4:$IP$4,B20,Stock!$D$5:$IP$5,C20),IF(COUNTIF(Stock!$D$5:$IP$5,C20)&gt;0,SUMIF(Stock!$D$5:$IP$5,C20,Stock!$D$340:$IP$340),SUMIF(Stock!$D$4:$IP$4,B20,Stock!$D$340:$IP$340))),SUMIF(Stock!$D$4:$IP$4,B20,Stock!$D$340:$IP$340)))</f>
        <v>171</v>
      </c>
      <c r="F20" s="142">
        <f t="shared" si="0"/>
        <v>50</v>
      </c>
      <c r="G20" s="1294">
        <f>IF(AND(B20="",C20=""),"",IF(C20&lt;&gt;"",IF(COUNTIFS(Stock!$D$4:$IP$4,B20,Stock!$D$5:$IP$5,C20)&gt;0,SUMIFS(Stock!$D$32:$IP$32,Stock!$D$4:$IP$4,B20,Stock!$D$5:$IP$5,C20),IF(COUNTIF(Stock!$D$5:$IP$5,C20)&gt;0,SUMIF(Stock!$D$5:$IP$5,C20,Stock!$D$32:$IP$32),SUMIF(Stock!$D$4:$IP$4,B20,Stock!$D$32:$IP$32))),SUMIF(Stock!$D$4:$IP$4,B20,Stock!$D$32:$IP$32)))</f>
        <v>221</v>
      </c>
      <c r="I20" s="131" t="s">
        <v>143</v>
      </c>
      <c r="J20" s="4" t="s">
        <v>374</v>
      </c>
      <c r="K20" s="5">
        <v>66</v>
      </c>
      <c r="L20" s="5">
        <f>IF(AND(I20="",J20=""),"",IF(J20&lt;&gt;"",IF(COUNTIFS(Stock!$D$4:$IP$4,I20,Stock!$D$5:$IP$5,J20)&gt;0,SUMIFS(Stock!$D$340:$IP$340,Stock!$D$4:$IP$4,I20,Stock!$D$5:$IP$5,J20),IF(COUNTIF(Stock!$D$5:$IP$5,J20)&gt;0,SUMIF(Stock!$D$5:$IP$5,J20,Stock!$D$340:$IP$340),SUMIF(Stock!$D$4:$IP$4,I20,Stock!$D$340:$IP$340))),SUMIF(Stock!$D$4:$IP$4,I20,Stock!$D$340:$IP$340)))</f>
        <v>42</v>
      </c>
      <c r="M20" s="142">
        <f t="shared" si="1"/>
        <v>24</v>
      </c>
      <c r="N20" s="1294">
        <f>IF(AND(I20="",J20=""),"",IF(J20&lt;&gt;"",IF(COUNTIFS(Stock!$D$4:$IP$4,I20,Stock!$D$5:$IP$5,J20)&gt;0,SUMIFS(Stock!$D$32:$IP$32,Stock!$D$4:$IP$4,I20,Stock!$D$5:$IP$5,J20),IF(COUNTIF(Stock!$D$5:$IP$5,J20)&gt;0,SUMIF(Stock!$D$5:$IP$5,J20,Stock!$D$32:$IP$32),SUMIF(Stock!$D$4:$IP$4,I20,Stock!$D$32:$IP$32))),SUMIF(Stock!$D$4:$IP$4,I20,Stock!$D$32:$IP$32)))</f>
        <v>80</v>
      </c>
      <c r="P20" s="159" t="s">
        <v>218</v>
      </c>
      <c r="Q20" s="2" t="s">
        <v>407</v>
      </c>
      <c r="R20" s="1306">
        <v>49</v>
      </c>
      <c r="S20" s="175">
        <f>IF(AND(P20="",Q20=""),"",IF(Q20&lt;&gt;"",IF(COUNTIFS(Stock!$D$4:$IP$4,P20,Stock!$D$5:$IP$5,Q20)&gt;0,SUMIFS(Stock!$D$340:$IP$340,Stock!$D$4:$IP$4,P20,Stock!$D$5:$IP$5,Q20),IF(COUNTIF(Stock!$D$5:$IP$5,Q20)&gt;0,SUMIF(Stock!$D$5:$IP$5,Q20,Stock!$D$340:$IP$340),SUMIF(Stock!$D$4:$IP$4,P20,Stock!$D$340:$IP$340))),SUMIF(Stock!$D$4:$IP$4,P20,Stock!$D$340:$IP$340)))</f>
        <v>100</v>
      </c>
      <c r="T20" s="176">
        <f t="shared" si="2"/>
        <v>-51</v>
      </c>
      <c r="U20" s="1290">
        <f>IF(AND(P20="",Q20=""),"",IF(Q20&lt;&gt;"",IF(COUNTIFS(Stock!$D$4:$IP$4,P20,Stock!$D$5:$IP$5,Q20)&gt;0,SUMIFS(Stock!$D$32:$IP$32,Stock!$D$4:$IP$4,P20,Stock!$D$5:$IP$5,Q20),IF(COUNTIF(Stock!$D$5:$IP$5,Q20)&gt;0,SUMIF(Stock!$D$5:$IP$5,Q20,Stock!$D$32:$IP$32),SUMIF(Stock!$D$4:$IP$4,P20,Stock!$D$32:$IP$32))),SUMIF(Stock!$D$4:$IP$4,P20,Stock!$D$32:$IP$32)))</f>
        <v>200</v>
      </c>
      <c r="V20" s="369" t="s">
        <v>1010</v>
      </c>
      <c r="W20" s="370"/>
      <c r="X20" s="2" t="str">
        <f t="array" ref="X20">IF(NOT(ISNUMBER($W20)),"CHECK",IF(OR(AND(TRIM($Q20&amp;"")&lt;&gt;"",INDEX(Stock!$EW$5:$FU$5,$W20)=$Q20),INDEX(Stock!$EW$4:$FU$4,$W20)=$P20),"OK","CHECK"))</f>
        <v>CHECK</v>
      </c>
    </row>
    <row r="21" spans="2:24" ht="15.75" customHeight="1" x14ac:dyDescent="0.25">
      <c r="B21" s="131" t="s">
        <v>118</v>
      </c>
      <c r="C21" s="4" t="s">
        <v>204</v>
      </c>
      <c r="D21" s="5">
        <v>100</v>
      </c>
      <c r="E21" s="5">
        <f>IF(AND(B21="",C21=""),"",IF(C21&lt;&gt;"",IF(COUNTIFS(Stock!$D$4:$IP$4,B21,Stock!$D$5:$IP$5,C21)&gt;0,SUMIFS(Stock!$D$340:$IP$340,Stock!$D$4:$IP$4,B21,Stock!$D$5:$IP$5,C21),IF(COUNTIF(Stock!$D$5:$IP$5,C21)&gt;0,SUMIF(Stock!$D$5:$IP$5,C21,Stock!$D$340:$IP$340),SUMIF(Stock!$D$4:$IP$4,B21,Stock!$D$340:$IP$340))),SUMIF(Stock!$D$4:$IP$4,B21,Stock!$D$340:$IP$340)))</f>
        <v>75</v>
      </c>
      <c r="F21" s="142">
        <f t="shared" si="0"/>
        <v>25</v>
      </c>
      <c r="G21" s="1294">
        <f>IF(AND(B21="",C21=""),"",IF(C21&lt;&gt;"",IF(COUNTIFS(Stock!$D$4:$IP$4,B21,Stock!$D$5:$IP$5,C21)&gt;0,SUMIFS(Stock!$D$32:$IP$32,Stock!$D$4:$IP$4,B21,Stock!$D$5:$IP$5,C21),IF(COUNTIF(Stock!$D$5:$IP$5,C21)&gt;0,SUMIF(Stock!$D$5:$IP$5,C21,Stock!$D$32:$IP$32),SUMIF(Stock!$D$4:$IP$4,B21,Stock!$D$32:$IP$32))),SUMIF(Stock!$D$4:$IP$4,B21,Stock!$D$32:$IP$32)))</f>
        <v>100</v>
      </c>
      <c r="I21" s="131" t="s">
        <v>205</v>
      </c>
      <c r="J21" s="4" t="s">
        <v>375</v>
      </c>
      <c r="K21" s="5">
        <v>104</v>
      </c>
      <c r="L21" s="5">
        <f>IF(AND(I21="",J21=""),"",IF(J21&lt;&gt;"",IF(COUNTIFS(Stock!$D$4:$IP$4,I21,Stock!$D$5:$IP$5,J21)&gt;0,SUMIFS(Stock!$D$340:$IP$340,Stock!$D$4:$IP$4,I21,Stock!$D$5:$IP$5,J21),IF(COUNTIF(Stock!$D$5:$IP$5,J21)&gt;0,SUMIF(Stock!$D$5:$IP$5,J21,Stock!$D$340:$IP$340),SUMIF(Stock!$D$4:$IP$4,I21,Stock!$D$340:$IP$340))),SUMIF(Stock!$D$4:$IP$4,I21,Stock!$D$340:$IP$340)))</f>
        <v>110</v>
      </c>
      <c r="M21" s="142">
        <f t="shared" si="1"/>
        <v>-6</v>
      </c>
      <c r="N21" s="1294">
        <f>IF(AND(I21="",J21=""),"",IF(J21&lt;&gt;"",IF(COUNTIFS(Stock!$D$4:$IP$4,I21,Stock!$D$5:$IP$5,J21)&gt;0,SUMIFS(Stock!$D$32:$IP$32,Stock!$D$4:$IP$4,I21,Stock!$D$5:$IP$5,J21),IF(COUNTIF(Stock!$D$5:$IP$5,J21)&gt;0,SUMIF(Stock!$D$5:$IP$5,J21,Stock!$D$32:$IP$32),SUMIF(Stock!$D$4:$IP$4,I21,Stock!$D$32:$IP$32))),SUMIF(Stock!$D$4:$IP$4,I21,Stock!$D$32:$IP$32)))</f>
        <v>110</v>
      </c>
      <c r="P21" s="159" t="s">
        <v>248</v>
      </c>
      <c r="Q21" s="2" t="s">
        <v>408</v>
      </c>
      <c r="R21" s="5"/>
      <c r="S21" s="175">
        <f>IF(AND(P21="",Q21=""),"",IF(Q21&lt;&gt;"",IF(COUNTIFS(Stock!$D$4:$IP$4,P21,Stock!$D$5:$IP$5,Q21)&gt;0,SUMIFS(Stock!$D$340:$IP$340,Stock!$D$4:$IP$4,P21,Stock!$D$5:$IP$5,Q21),IF(COUNTIF(Stock!$D$5:$IP$5,Q21)&gt;0,SUMIF(Stock!$D$5:$IP$5,Q21,Stock!$D$340:$IP$340),SUMIF(Stock!$D$4:$IP$4,P21,Stock!$D$340:$IP$340))),SUMIF(Stock!$D$4:$IP$4,P21,Stock!$D$340:$IP$340)))</f>
        <v>0</v>
      </c>
      <c r="T21" s="176">
        <f t="shared" si="2"/>
        <v>0</v>
      </c>
      <c r="U21" s="1290">
        <f>IF(AND(P21="",Q21=""),"",IF(Q21&lt;&gt;"",IF(COUNTIFS(Stock!$D$4:$IP$4,P21,Stock!$D$5:$IP$5,Q21)&gt;0,SUMIFS(Stock!$D$32:$IP$32,Stock!$D$4:$IP$4,P21,Stock!$D$5:$IP$5,Q21),IF(COUNTIF(Stock!$D$5:$IP$5,Q21)&gt;0,SUMIF(Stock!$D$5:$IP$5,Q21,Stock!$D$32:$IP$32),SUMIF(Stock!$D$4:$IP$4,P21,Stock!$D$32:$IP$32))),SUMIF(Stock!$D$4:$IP$4,P21,Stock!$D$32:$IP$32)))</f>
        <v>200</v>
      </c>
      <c r="V21" s="369" t="s">
        <v>1028</v>
      </c>
      <c r="W21" s="370"/>
      <c r="X21" s="2" t="str">
        <f t="array" ref="X21">IF(NOT(ISNUMBER($W21)),"CHECK",IF(OR(AND(TRIM($Q21&amp;"")&lt;&gt;"",INDEX(Stock!$EW$5:$FU$5,$W21)=$Q21),INDEX(Stock!$EW$4:$FU$4,$W21)=$P21),"OK","CHECK"))</f>
        <v>CHECK</v>
      </c>
    </row>
    <row r="22" spans="2:24" ht="15.75" customHeight="1" x14ac:dyDescent="0.25">
      <c r="B22" s="131" t="s">
        <v>119</v>
      </c>
      <c r="C22" s="4" t="s">
        <v>265</v>
      </c>
      <c r="D22" s="5">
        <v>5</v>
      </c>
      <c r="E22" s="5">
        <f>IF(AND(B22="",C22=""),"",IF(C22&lt;&gt;"",IF(COUNTIFS(Stock!$D$4:$IP$4,B22,Stock!$D$5:$IP$5,C22)&gt;0,SUMIFS(Stock!$D$340:$IP$340,Stock!$D$4:$IP$4,B22,Stock!$D$5:$IP$5,C22),IF(COUNTIF(Stock!$D$5:$IP$5,C22)&gt;0,SUMIF(Stock!$D$5:$IP$5,C22,Stock!$D$340:$IP$340),SUMIF(Stock!$D$4:$IP$4,B22,Stock!$D$340:$IP$340))),SUMIF(Stock!$D$4:$IP$4,B22,Stock!$D$340:$IP$340)))</f>
        <v>5</v>
      </c>
      <c r="F22" s="142">
        <f t="shared" si="0"/>
        <v>0</v>
      </c>
      <c r="G22" s="1294">
        <f>IF(AND(B22="",C22=""),"",IF(C22&lt;&gt;"",IF(COUNTIFS(Stock!$D$4:$IP$4,B22,Stock!$D$5:$IP$5,C22)&gt;0,SUMIFS(Stock!$D$32:$IP$32,Stock!$D$4:$IP$4,B22,Stock!$D$5:$IP$5,C22),IF(COUNTIF(Stock!$D$5:$IP$5,C22)&gt;0,SUMIF(Stock!$D$5:$IP$5,C22,Stock!$D$32:$IP$32),SUMIF(Stock!$D$4:$IP$4,B22,Stock!$D$32:$IP$32))),SUMIF(Stock!$D$4:$IP$4,B22,Stock!$D$32:$IP$32)))</f>
        <v>10</v>
      </c>
      <c r="I22" s="1346" t="s">
        <v>76</v>
      </c>
      <c r="J22" s="1347" t="s">
        <v>376</v>
      </c>
      <c r="K22" s="5">
        <v>322</v>
      </c>
      <c r="L22" s="5">
        <f>IF(AND(I22="",J22=""),"",IF(J22&lt;&gt;"",IF(COUNTIFS(Stock!$D$4:$IP$4,I22,Stock!$D$5:$IP$5,J22)&gt;0,SUMIFS(Stock!$D$340:$IP$340,Stock!$D$4:$IP$4,I22,Stock!$D$5:$IP$5,J22),IF(COUNTIF(Stock!$D$5:$IP$5,J22)&gt;0,SUMIF(Stock!$D$5:$IP$5,J22,Stock!$D$340:$IP$340),SUMIF(Stock!$D$4:$IP$4,I22,Stock!$D$340:$IP$340))),SUMIF(Stock!$D$4:$IP$4,I22,Stock!$D$340:$IP$340)))</f>
        <v>150</v>
      </c>
      <c r="M22" s="142">
        <f t="shared" si="1"/>
        <v>172</v>
      </c>
      <c r="N22" s="1294">
        <f>IF(AND(I22="",J22=""),"",IF(J22&lt;&gt;"",IF(COUNTIFS(Stock!$D$4:$IP$4,I22,Stock!$D$5:$IP$5,J22)&gt;0,SUMIFS(Stock!$D$32:$IP$32,Stock!$D$4:$IP$4,I22,Stock!$D$5:$IP$5,J22),IF(COUNTIF(Stock!$D$5:$IP$5,J22)&gt;0,SUMIF(Stock!$D$5:$IP$5,J22,Stock!$D$32:$IP$32),SUMIF(Stock!$D$4:$IP$4,I22,Stock!$D$32:$IP$32))),SUMIF(Stock!$D$4:$IP$4,I22,Stock!$D$32:$IP$32)))</f>
        <v>300</v>
      </c>
      <c r="P22" s="159" t="s">
        <v>249</v>
      </c>
      <c r="Q22" s="2" t="s">
        <v>409</v>
      </c>
      <c r="R22" s="5"/>
      <c r="S22" s="175">
        <f>IF(AND(P22="",Q22=""),"",IF(Q22&lt;&gt;"",IF(COUNTIFS(Stock!$D$4:$IP$4,P22,Stock!$D$5:$IP$5,Q22)&gt;0,SUMIFS(Stock!$D$340:$IP$340,Stock!$D$4:$IP$4,P22,Stock!$D$5:$IP$5,Q22),IF(COUNTIF(Stock!$D$5:$IP$5,Q22)&gt;0,SUMIF(Stock!$D$5:$IP$5,Q22,Stock!$D$340:$IP$340),SUMIF(Stock!$D$4:$IP$4,P22,Stock!$D$340:$IP$340))),SUMIF(Stock!$D$4:$IP$4,P22,Stock!$D$340:$IP$340)))</f>
        <v>0</v>
      </c>
      <c r="T22" s="176">
        <f t="shared" si="2"/>
        <v>0</v>
      </c>
      <c r="U22" s="1290">
        <f>IF(AND(P22="",Q22=""),"",IF(Q22&lt;&gt;"",IF(COUNTIFS(Stock!$D$4:$IP$4,P22,Stock!$D$5:$IP$5,Q22)&gt;0,SUMIFS(Stock!$D$32:$IP$32,Stock!$D$4:$IP$4,P22,Stock!$D$5:$IP$5,Q22),IF(COUNTIF(Stock!$D$5:$IP$5,Q22)&gt;0,SUMIF(Stock!$D$5:$IP$5,Q22,Stock!$D$32:$IP$32),SUMIF(Stock!$D$4:$IP$4,P22,Stock!$D$32:$IP$32))),SUMIF(Stock!$D$4:$IP$4,P22,Stock!$D$32:$IP$32)))</f>
        <v>224</v>
      </c>
      <c r="V22" s="369" t="s">
        <v>1040</v>
      </c>
      <c r="W22" s="370"/>
      <c r="X22" s="2" t="str">
        <f t="array" ref="X22">IF(NOT(ISNUMBER($W22)),"CHECK",IF(OR(AND(TRIM($Q22&amp;"")&lt;&gt;"",INDEX(Stock!$EW$5:$FU$5,$W22)=$Q22),INDEX(Stock!$EW$4:$FU$4,$W22)=$P22),"OK","CHECK"))</f>
        <v>CHECK</v>
      </c>
    </row>
    <row r="23" spans="2:24" ht="15.75" customHeight="1" x14ac:dyDescent="0.25">
      <c r="B23" s="131" t="s">
        <v>120</v>
      </c>
      <c r="C23" s="4" t="s">
        <v>298</v>
      </c>
      <c r="D23" s="5">
        <v>330</v>
      </c>
      <c r="E23" s="5">
        <f>IF(AND(B23="",C23=""),"",IF(C23&lt;&gt;"",IF(COUNTIFS(Stock!$D$4:$IP$4,B23,Stock!$D$5:$IP$5,C23)&gt;0,SUMIFS(Stock!$D$340:$IP$340,Stock!$D$4:$IP$4,B23,Stock!$D$5:$IP$5,C23),IF(COUNTIF(Stock!$D$5:$IP$5,C23)&gt;0,SUMIF(Stock!$D$5:$IP$5,C23,Stock!$D$340:$IP$340),SUMIF(Stock!$D$4:$IP$4,B23,Stock!$D$340:$IP$340))),SUMIF(Stock!$D$4:$IP$4,B23,Stock!$D$340:$IP$340)))</f>
        <v>230</v>
      </c>
      <c r="F23" s="142">
        <f t="shared" si="0"/>
        <v>100</v>
      </c>
      <c r="G23" s="1294">
        <f>IF(AND(B23="",C23=""),"",IF(C23&lt;&gt;"",IF(COUNTIFS(Stock!$D$4:$IP$4,B23,Stock!$D$5:$IP$5,C23)&gt;0,SUMIFS(Stock!$D$32:$IP$32,Stock!$D$4:$IP$4,B23,Stock!$D$5:$IP$5,C23),IF(COUNTIF(Stock!$D$5:$IP$5,C23)&gt;0,SUMIF(Stock!$D$5:$IP$5,C23,Stock!$D$32:$IP$32),SUMIF(Stock!$D$4:$IP$4,B23,Stock!$D$32:$IP$32))),SUMIF(Stock!$D$4:$IP$4,B23,Stock!$D$32:$IP$32)))</f>
        <v>330</v>
      </c>
      <c r="I23" s="131" t="s">
        <v>206</v>
      </c>
      <c r="J23" s="4" t="s">
        <v>377</v>
      </c>
      <c r="K23" s="5">
        <v>100</v>
      </c>
      <c r="L23" s="5">
        <f>IF(AND(I23="",J23=""),"",IF(J23&lt;&gt;"",IF(COUNTIFS(Stock!$D$4:$IP$4,I23,Stock!$D$5:$IP$5,J23)&gt;0,SUMIFS(Stock!$D$340:$IP$340,Stock!$D$4:$IP$4,I23,Stock!$D$5:$IP$5,J23),IF(COUNTIF(Stock!$D$5:$IP$5,J23)&gt;0,SUMIF(Stock!$D$5:$IP$5,J23,Stock!$D$340:$IP$340),SUMIF(Stock!$D$4:$IP$4,I23,Stock!$D$340:$IP$340))),SUMIF(Stock!$D$4:$IP$4,I23,Stock!$D$340:$IP$340)))</f>
        <v>100</v>
      </c>
      <c r="M23" s="142">
        <f t="shared" si="1"/>
        <v>0</v>
      </c>
      <c r="N23" s="1294">
        <f>IF(AND(I23="",J23=""),"",IF(J23&lt;&gt;"",IF(COUNTIFS(Stock!$D$4:$IP$4,I23,Stock!$D$5:$IP$5,J23)&gt;0,SUMIFS(Stock!$D$32:$IP$32,Stock!$D$4:$IP$4,I23,Stock!$D$5:$IP$5,J23),IF(COUNTIF(Stock!$D$5:$IP$5,J23)&gt;0,SUMIF(Stock!$D$5:$IP$5,J23,Stock!$D$32:$IP$32),SUMIF(Stock!$D$4:$IP$4,I23,Stock!$D$32:$IP$32))),SUMIF(Stock!$D$4:$IP$4,I23,Stock!$D$32:$IP$32)))</f>
        <v>100</v>
      </c>
      <c r="P23" s="159" t="s">
        <v>250</v>
      </c>
      <c r="Q23" s="2" t="s">
        <v>410</v>
      </c>
      <c r="R23" s="5">
        <v>200</v>
      </c>
      <c r="S23" s="175">
        <f>IF(AND(P23="",Q23=""),"",IF(Q23&lt;&gt;"",IF(COUNTIFS(Stock!$D$4:$IP$4,P23,Stock!$D$5:$IP$5,Q23)&gt;0,SUMIFS(Stock!$D$340:$IP$340,Stock!$D$4:$IP$4,P23,Stock!$D$5:$IP$5,Q23),IF(COUNTIF(Stock!$D$5:$IP$5,Q23)&gt;0,SUMIF(Stock!$D$5:$IP$5,Q23,Stock!$D$340:$IP$340),SUMIF(Stock!$D$4:$IP$4,P23,Stock!$D$340:$IP$340))),SUMIF(Stock!$D$4:$IP$4,P23,Stock!$D$340:$IP$340)))</f>
        <v>300</v>
      </c>
      <c r="T23" s="176">
        <f t="shared" si="2"/>
        <v>-100</v>
      </c>
      <c r="U23" s="1290">
        <f>IF(AND(P23="",Q23=""),"",IF(Q23&lt;&gt;"",IF(COUNTIFS(Stock!$D$4:$IP$4,P23,Stock!$D$5:$IP$5,Q23)&gt;0,SUMIFS(Stock!$D$32:$IP$32,Stock!$D$4:$IP$4,P23,Stock!$D$5:$IP$5,Q23),IF(COUNTIF(Stock!$D$5:$IP$5,Q23)&gt;0,SUMIF(Stock!$D$5:$IP$5,Q23,Stock!$D$32:$IP$32),SUMIF(Stock!$D$4:$IP$4,P23,Stock!$D$32:$IP$32))),SUMIF(Stock!$D$4:$IP$4,P23,Stock!$D$32:$IP$32)))</f>
        <v>400</v>
      </c>
      <c r="V23" s="369" t="s">
        <v>1074</v>
      </c>
      <c r="W23" s="370"/>
      <c r="X23" s="2" t="str">
        <f t="array" ref="X23">IF(NOT(ISNUMBER($W23)),"CHECK",IF(OR(AND(TRIM($Q23&amp;"")&lt;&gt;"",INDEX(Stock!$EW$5:$FU$5,$W23)=$Q23),INDEX(Stock!$EW$4:$FU$4,$W23)=$P23),"OK","CHECK"))</f>
        <v>CHECK</v>
      </c>
    </row>
    <row r="24" spans="2:24" ht="15.75" customHeight="1" x14ac:dyDescent="0.25">
      <c r="B24" s="131" t="s">
        <v>121</v>
      </c>
      <c r="C24" s="4" t="s">
        <v>316</v>
      </c>
      <c r="D24" s="5">
        <v>400</v>
      </c>
      <c r="E24" s="5">
        <f>IF(AND(B24="",C24=""),"",IF(C24&lt;&gt;"",IF(COUNTIFS(Stock!$D$4:$IP$4,B24,Stock!$D$5:$IP$5,C24)&gt;0,SUMIFS(Stock!$D$340:$IP$340,Stock!$D$4:$IP$4,B24,Stock!$D$5:$IP$5,C24),IF(COUNTIF(Stock!$D$5:$IP$5,C24)&gt;0,SUMIF(Stock!$D$5:$IP$5,C24,Stock!$D$340:$IP$340),SUMIF(Stock!$D$4:$IP$4,B24,Stock!$D$340:$IP$340))),SUMIF(Stock!$D$4:$IP$4,B24,Stock!$D$340:$IP$340)))</f>
        <v>0</v>
      </c>
      <c r="F24" s="142">
        <f t="shared" si="0"/>
        <v>400</v>
      </c>
      <c r="G24" s="1294">
        <f>IF(AND(B24="",C24=""),"",IF(C24&lt;&gt;"",IF(COUNTIFS(Stock!$D$4:$IP$4,B24,Stock!$D$5:$IP$5,C24)&gt;0,SUMIFS(Stock!$D$32:$IP$32,Stock!$D$4:$IP$4,B24,Stock!$D$5:$IP$5,C24),IF(COUNTIF(Stock!$D$5:$IP$5,C24)&gt;0,SUMIF(Stock!$D$5:$IP$5,C24,Stock!$D$32:$IP$32),SUMIF(Stock!$D$4:$IP$4,B24,Stock!$D$32:$IP$32))),SUMIF(Stock!$D$4:$IP$4,B24,Stock!$D$32:$IP$32)))</f>
        <v>400</v>
      </c>
      <c r="I24" s="131" t="s">
        <v>207</v>
      </c>
      <c r="J24" s="4" t="s">
        <v>378</v>
      </c>
      <c r="K24" s="5">
        <v>71</v>
      </c>
      <c r="L24" s="5">
        <f>IF(AND(I24="",J24=""),"",IF(J24&lt;&gt;"",IF(COUNTIFS(Stock!$D$4:$IP$4,I24,Stock!$D$5:$IP$5,J24)&gt;0,SUMIFS(Stock!$D$340:$IP$340,Stock!$D$4:$IP$4,I24,Stock!$D$5:$IP$5,J24),IF(COUNTIF(Stock!$D$5:$IP$5,J24)&gt;0,SUMIF(Stock!$D$5:$IP$5,J24,Stock!$D$340:$IP$340),SUMIF(Stock!$D$4:$IP$4,I24,Stock!$D$340:$IP$340))),SUMIF(Stock!$D$4:$IP$4,I24,Stock!$D$340:$IP$340)))</f>
        <v>77</v>
      </c>
      <c r="M24" s="142">
        <f t="shared" si="1"/>
        <v>-6</v>
      </c>
      <c r="N24" s="1294">
        <f>IF(AND(I24="",J24=""),"",IF(J24&lt;&gt;"",IF(COUNTIFS(Stock!$D$4:$IP$4,I24,Stock!$D$5:$IP$5,J24)&gt;0,SUMIFS(Stock!$D$32:$IP$32,Stock!$D$4:$IP$4,I24,Stock!$D$5:$IP$5,J24),IF(COUNTIF(Stock!$D$5:$IP$5,J24)&gt;0,SUMIF(Stock!$D$5:$IP$5,J24,Stock!$D$32:$IP$32),SUMIF(Stock!$D$4:$IP$4,I24,Stock!$D$32:$IP$32))),SUMIF(Stock!$D$4:$IP$4,I24,Stock!$D$32:$IP$32)))</f>
        <v>76</v>
      </c>
      <c r="P24" s="159" t="s">
        <v>131</v>
      </c>
      <c r="Q24" s="2" t="s">
        <v>411</v>
      </c>
      <c r="R24" s="5">
        <v>154</v>
      </c>
      <c r="S24" s="175">
        <f>IF(AND(P24="",Q24=""),"",IF(Q24&lt;&gt;"",IF(COUNTIFS(Stock!$D$4:$IP$4,P24,Stock!$D$5:$IP$5,Q24)&gt;0,SUMIFS(Stock!$D$340:$IP$340,Stock!$D$4:$IP$4,P24,Stock!$D$5:$IP$5,Q24),IF(COUNTIF(Stock!$D$5:$IP$5,Q24)&gt;0,SUMIF(Stock!$D$5:$IP$5,Q24,Stock!$D$340:$IP$340),SUMIF(Stock!$D$4:$IP$4,P24,Stock!$D$340:$IP$340))),SUMIF(Stock!$D$4:$IP$4,P24,Stock!$D$340:$IP$340)))</f>
        <v>0</v>
      </c>
      <c r="T24" s="176">
        <f t="shared" si="2"/>
        <v>154</v>
      </c>
      <c r="U24" s="1290">
        <f>IF(AND(P24="",Q24=""),"",IF(Q24&lt;&gt;"",IF(COUNTIFS(Stock!$D$4:$IP$4,P24,Stock!$D$5:$IP$5,Q24)&gt;0,SUMIFS(Stock!$D$32:$IP$32,Stock!$D$4:$IP$4,P24,Stock!$D$5:$IP$5,Q24),IF(COUNTIF(Stock!$D$5:$IP$5,Q24)&gt;0,SUMIF(Stock!$D$5:$IP$5,Q24,Stock!$D$32:$IP$32),SUMIF(Stock!$D$4:$IP$4,P24,Stock!$D$32:$IP$32))),SUMIF(Stock!$D$4:$IP$4,P24,Stock!$D$32:$IP$32)))</f>
        <v>222</v>
      </c>
      <c r="V24" s="369" t="s">
        <v>1107</v>
      </c>
      <c r="W24" s="370"/>
      <c r="X24" s="2" t="str">
        <f t="array" ref="X24">IF(NOT(ISNUMBER($W24)),"CHECK",IF(OR(AND(TRIM($Q24&amp;"")&lt;&gt;"",INDEX(Stock!$EW$5:$FU$5,$W24)=$Q24),INDEX(Stock!$EW$4:$FU$4,$W24)=$P24),"OK","CHECK"))</f>
        <v>CHECK</v>
      </c>
    </row>
    <row r="25" spans="2:24" ht="15.75" customHeight="1" x14ac:dyDescent="0.25">
      <c r="B25" s="131" t="s">
        <v>122</v>
      </c>
      <c r="C25" s="4" t="s">
        <v>321</v>
      </c>
      <c r="D25" s="5">
        <v>100</v>
      </c>
      <c r="E25" s="5">
        <f>IF(AND(B25="",C25=""),"",IF(C25&lt;&gt;"",IF(COUNTIFS(Stock!$D$4:$IP$4,B25,Stock!$D$5:$IP$5,C25)&gt;0,SUMIFS(Stock!$D$340:$IP$340,Stock!$D$4:$IP$4,B25,Stock!$D$5:$IP$5,C25),IF(COUNTIF(Stock!$D$5:$IP$5,C25)&gt;0,SUMIF(Stock!$D$5:$IP$5,C25,Stock!$D$340:$IP$340),SUMIF(Stock!$D$4:$IP$4,B25,Stock!$D$340:$IP$340))),SUMIF(Stock!$D$4:$IP$4,B25,Stock!$D$340:$IP$340)))</f>
        <v>15</v>
      </c>
      <c r="F25" s="142">
        <f t="shared" si="0"/>
        <v>85</v>
      </c>
      <c r="G25" s="1294">
        <f>IF(AND(B25="",C25=""),"",IF(C25&lt;&gt;"",IF(COUNTIFS(Stock!$D$4:$IP$4,B25,Stock!$D$5:$IP$5,C25)&gt;0,SUMIFS(Stock!$D$32:$IP$32,Stock!$D$4:$IP$4,B25,Stock!$D$5:$IP$5,C25),IF(COUNTIF(Stock!$D$5:$IP$5,C25)&gt;0,SUMIF(Stock!$D$5:$IP$5,C25,Stock!$D$32:$IP$32),SUMIF(Stock!$D$4:$IP$4,B25,Stock!$D$32:$IP$32))),SUMIF(Stock!$D$4:$IP$4,B25,Stock!$D$32:$IP$32)))</f>
        <v>100</v>
      </c>
      <c r="I25" s="131" t="s">
        <v>208</v>
      </c>
      <c r="J25" s="4" t="s">
        <v>379</v>
      </c>
      <c r="K25" s="5">
        <v>241</v>
      </c>
      <c r="L25" s="5">
        <f>IF(AND(I25="",J25=""),"",IF(J25&lt;&gt;"",IF(COUNTIFS(Stock!$D$4:$IP$4,I25,Stock!$D$5:$IP$5,J25)&gt;0,SUMIFS(Stock!$D$340:$IP$340,Stock!$D$4:$IP$4,I25,Stock!$D$5:$IP$5,J25),IF(COUNTIF(Stock!$D$5:$IP$5,J25)&gt;0,SUMIF(Stock!$D$5:$IP$5,J25,Stock!$D$340:$IP$340),SUMIF(Stock!$D$4:$IP$4,I25,Stock!$D$340:$IP$340))),SUMIF(Stock!$D$4:$IP$4,I25,Stock!$D$340:$IP$340)))</f>
        <v>177</v>
      </c>
      <c r="M25" s="142">
        <f t="shared" si="1"/>
        <v>64</v>
      </c>
      <c r="N25" s="1294">
        <f>IF(AND(I25="",J25=""),"",IF(J25&lt;&gt;"",IF(COUNTIFS(Stock!$D$4:$IP$4,I25,Stock!$D$5:$IP$5,J25)&gt;0,SUMIFS(Stock!$D$32:$IP$32,Stock!$D$4:$IP$4,I25,Stock!$D$5:$IP$5,J25),IF(COUNTIF(Stock!$D$5:$IP$5,J25)&gt;0,SUMIF(Stock!$D$5:$IP$5,J25,Stock!$D$32:$IP$32),SUMIF(Stock!$D$4:$IP$4,I25,Stock!$D$32:$IP$32))),SUMIF(Stock!$D$4:$IP$4,I25,Stock!$D$32:$IP$32)))</f>
        <v>237</v>
      </c>
      <c r="P25" s="159" t="s">
        <v>251</v>
      </c>
      <c r="Q25" s="2" t="s">
        <v>412</v>
      </c>
      <c r="R25" s="5"/>
      <c r="S25" s="175">
        <f>IF(AND(P25="",Q25=""),"",IF(Q25&lt;&gt;"",IF(COUNTIFS(Stock!$D$4:$IP$4,P25,Stock!$D$5:$IP$5,Q25)&gt;0,SUMIFS(Stock!$D$340:$IP$340,Stock!$D$4:$IP$4,P25,Stock!$D$5:$IP$5,Q25),IF(COUNTIF(Stock!$D$5:$IP$5,Q25)&gt;0,SUMIF(Stock!$D$5:$IP$5,Q25,Stock!$D$340:$IP$340),SUMIF(Stock!$D$4:$IP$4,P25,Stock!$D$340:$IP$340))),SUMIF(Stock!$D$4:$IP$4,P25,Stock!$D$340:$IP$340)))</f>
        <v>100</v>
      </c>
      <c r="T25" s="176">
        <f t="shared" si="2"/>
        <v>-100</v>
      </c>
      <c r="U25" s="1290">
        <f>IF(AND(P25="",Q25=""),"",IF(Q25&lt;&gt;"",IF(COUNTIFS(Stock!$D$4:$IP$4,P25,Stock!$D$5:$IP$5,Q25)&gt;0,SUMIFS(Stock!$D$32:$IP$32,Stock!$D$4:$IP$4,P25,Stock!$D$5:$IP$5,Q25),IF(COUNTIF(Stock!$D$5:$IP$5,Q25)&gt;0,SUMIF(Stock!$D$5:$IP$5,Q25,Stock!$D$32:$IP$32),SUMIF(Stock!$D$4:$IP$4,P25,Stock!$D$32:$IP$32))),SUMIF(Stock!$D$4:$IP$4,P25,Stock!$D$32:$IP$32)))</f>
        <v>200</v>
      </c>
      <c r="V25" s="369" t="s">
        <v>1134</v>
      </c>
      <c r="W25" s="370"/>
      <c r="X25" s="2" t="str">
        <f t="array" ref="X25">IF(NOT(ISNUMBER($W25)),"CHECK",IF(OR(AND(TRIM($Q25&amp;"")&lt;&gt;"",INDEX(Stock!$EW$5:$FU$5,$W25)=$Q25),INDEX(Stock!$EW$4:$FU$4,$W25)=$P25),"OK","CHECK"))</f>
        <v>CHECK</v>
      </c>
    </row>
    <row r="26" spans="2:24" ht="15.75" customHeight="1" x14ac:dyDescent="0.25">
      <c r="B26" s="131" t="s">
        <v>123</v>
      </c>
      <c r="C26" s="4" t="s">
        <v>322</v>
      </c>
      <c r="D26" s="5">
        <v>97</v>
      </c>
      <c r="E26" s="5">
        <f>IF(AND(B26="",C26=""),"",IF(C26&lt;&gt;"",IF(COUNTIFS(Stock!$D$4:$IP$4,B26,Stock!$D$5:$IP$5,C26)&gt;0,SUMIFS(Stock!$D$340:$IP$340,Stock!$D$4:$IP$4,B26,Stock!$D$5:$IP$5,C26),IF(COUNTIF(Stock!$D$5:$IP$5,C26)&gt;0,SUMIF(Stock!$D$5:$IP$5,C26,Stock!$D$340:$IP$340),SUMIF(Stock!$D$4:$IP$4,B26,Stock!$D$340:$IP$340))),SUMIF(Stock!$D$4:$IP$4,B26,Stock!$D$340:$IP$340)))</f>
        <v>0</v>
      </c>
      <c r="F26" s="142">
        <f t="shared" si="0"/>
        <v>97</v>
      </c>
      <c r="G26" s="1294">
        <f>IF(AND(B26="",C26=""),"",IF(C26&lt;&gt;"",IF(COUNTIFS(Stock!$D$4:$IP$4,B26,Stock!$D$5:$IP$5,C26)&gt;0,SUMIFS(Stock!$D$32:$IP$32,Stock!$D$4:$IP$4,B26,Stock!$D$5:$IP$5,C26),IF(COUNTIF(Stock!$D$5:$IP$5,C26)&gt;0,SUMIF(Stock!$D$5:$IP$5,C26,Stock!$D$32:$IP$32),SUMIF(Stock!$D$4:$IP$4,B26,Stock!$D$32:$IP$32))),SUMIF(Stock!$D$4:$IP$4,B26,Stock!$D$32:$IP$32)))</f>
        <v>150</v>
      </c>
      <c r="I26" s="131" t="s">
        <v>209</v>
      </c>
      <c r="J26" s="4" t="s">
        <v>380</v>
      </c>
      <c r="K26" s="5">
        <v>84</v>
      </c>
      <c r="L26" s="5">
        <f>IF(AND(I26="",J26=""),"",IF(J26&lt;&gt;"",IF(COUNTIFS(Stock!$D$4:$IP$4,I26,Stock!$D$5:$IP$5,J26)&gt;0,SUMIFS(Stock!$D$340:$IP$340,Stock!$D$4:$IP$4,I26,Stock!$D$5:$IP$5,J26),IF(COUNTIF(Stock!$D$5:$IP$5,J26)&gt;0,SUMIF(Stock!$D$5:$IP$5,J26,Stock!$D$340:$IP$340),SUMIF(Stock!$D$4:$IP$4,I26,Stock!$D$340:$IP$340))),SUMIF(Stock!$D$4:$IP$4,I26,Stock!$D$340:$IP$340)))</f>
        <v>0</v>
      </c>
      <c r="M26" s="142">
        <f t="shared" si="1"/>
        <v>84</v>
      </c>
      <c r="N26" s="1294">
        <f>IF(AND(I26="",J26=""),"",IF(J26&lt;&gt;"",IF(COUNTIFS(Stock!$D$4:$IP$4,I26,Stock!$D$5:$IP$5,J26)&gt;0,SUMIFS(Stock!$D$32:$IP$32,Stock!$D$4:$IP$4,I26,Stock!$D$5:$IP$5,J26),IF(COUNTIF(Stock!$D$5:$IP$5,J26)&gt;0,SUMIF(Stock!$D$5:$IP$5,J26,Stock!$D$32:$IP$32),SUMIF(Stock!$D$4:$IP$4,I26,Stock!$D$32:$IP$32))),SUMIF(Stock!$D$4:$IP$4,I26,Stock!$D$32:$IP$32)))</f>
        <v>84</v>
      </c>
      <c r="P26" s="159" t="s">
        <v>252</v>
      </c>
      <c r="Q26" s="2" t="s">
        <v>413</v>
      </c>
      <c r="R26" s="5">
        <v>100</v>
      </c>
      <c r="S26" s="175">
        <f>IF(AND(P26="",Q26=""),"",IF(Q26&lt;&gt;"",IF(COUNTIFS(Stock!$D$4:$IP$4,P26,Stock!$D$5:$IP$5,Q26)&gt;0,SUMIFS(Stock!$D$340:$IP$340,Stock!$D$4:$IP$4,P26,Stock!$D$5:$IP$5,Q26),IF(COUNTIF(Stock!$D$5:$IP$5,Q26)&gt;0,SUMIF(Stock!$D$5:$IP$5,Q26,Stock!$D$340:$IP$340),SUMIF(Stock!$D$4:$IP$4,P26,Stock!$D$340:$IP$340))),SUMIF(Stock!$D$4:$IP$4,P26,Stock!$D$340:$IP$340)))</f>
        <v>100</v>
      </c>
      <c r="T26" s="176">
        <f t="shared" si="2"/>
        <v>0</v>
      </c>
      <c r="U26" s="1290">
        <f>IF(AND(P26="",Q26=""),"",IF(Q26&lt;&gt;"",IF(COUNTIFS(Stock!$D$4:$IP$4,P26,Stock!$D$5:$IP$5,Q26)&gt;0,SUMIFS(Stock!$D$32:$IP$32,Stock!$D$4:$IP$4,P26,Stock!$D$5:$IP$5,Q26),IF(COUNTIF(Stock!$D$5:$IP$5,Q26)&gt;0,SUMIF(Stock!$D$5:$IP$5,Q26,Stock!$D$32:$IP$32),SUMIF(Stock!$D$4:$IP$4,P26,Stock!$D$32:$IP$32))),SUMIF(Stock!$D$4:$IP$4,P26,Stock!$D$32:$IP$32)))</f>
        <v>300</v>
      </c>
      <c r="V26" s="369" t="s">
        <v>1162</v>
      </c>
      <c r="W26" s="370"/>
      <c r="X26" s="2" t="str">
        <f t="array" ref="X26">IF(NOT(ISNUMBER($W26)),"CHECK",IF(OR(AND(TRIM($Q26&amp;"")&lt;&gt;"",INDEX(Stock!$EW$5:$FU$5,$W26)=$Q26),INDEX(Stock!$EW$4:$FU$4,$W26)=$P26),"OK","CHECK"))</f>
        <v>CHECK</v>
      </c>
    </row>
    <row r="27" spans="2:24" ht="15.75" customHeight="1" x14ac:dyDescent="0.25">
      <c r="B27" s="131" t="s">
        <v>124</v>
      </c>
      <c r="C27" s="4" t="s">
        <v>323</v>
      </c>
      <c r="D27" s="5">
        <v>126</v>
      </c>
      <c r="E27" s="5">
        <f>IF(AND(B27="",C27=""),"",IF(C27&lt;&gt;"",IF(COUNTIFS(Stock!$D$4:$IP$4,B27,Stock!$D$5:$IP$5,C27)&gt;0,SUMIFS(Stock!$D$340:$IP$340,Stock!$D$4:$IP$4,B27,Stock!$D$5:$IP$5,C27),IF(COUNTIF(Stock!$D$5:$IP$5,C27)&gt;0,SUMIF(Stock!$D$5:$IP$5,C27,Stock!$D$340:$IP$340),SUMIF(Stock!$D$4:$IP$4,B27,Stock!$D$340:$IP$340))),SUMIF(Stock!$D$4:$IP$4,B27,Stock!$D$340:$IP$340)))</f>
        <v>1</v>
      </c>
      <c r="F27" s="142">
        <f t="shared" si="0"/>
        <v>125</v>
      </c>
      <c r="G27" s="1294">
        <f>IF(AND(B27="",C27=""),"",IF(C27&lt;&gt;"",IF(COUNTIFS(Stock!$D$4:$IP$4,B27,Stock!$D$5:$IP$5,C27)&gt;0,SUMIFS(Stock!$D$32:$IP$32,Stock!$D$4:$IP$4,B27,Stock!$D$5:$IP$5,C27),IF(COUNTIF(Stock!$D$5:$IP$5,C27)&gt;0,SUMIF(Stock!$D$5:$IP$5,C27,Stock!$D$32:$IP$32),SUMIF(Stock!$D$4:$IP$4,B27,Stock!$D$32:$IP$32))),SUMIF(Stock!$D$4:$IP$4,B27,Stock!$D$32:$IP$32)))</f>
        <v>151</v>
      </c>
      <c r="I27" s="131" t="s">
        <v>145</v>
      </c>
      <c r="J27" s="4" t="s">
        <v>381</v>
      </c>
      <c r="K27" s="5">
        <v>32</v>
      </c>
      <c r="L27" s="5">
        <f>IF(AND(I27="",J27=""),"",IF(J27&lt;&gt;"",IF(COUNTIFS(Stock!$D$4:$IP$4,I27,Stock!$D$5:$IP$5,J27)&gt;0,SUMIFS(Stock!$D$340:$IP$340,Stock!$D$4:$IP$4,I27,Stock!$D$5:$IP$5,J27),IF(COUNTIF(Stock!$D$5:$IP$5,J27)&gt;0,SUMIF(Stock!$D$5:$IP$5,J27,Stock!$D$340:$IP$340),SUMIF(Stock!$D$4:$IP$4,I27,Stock!$D$340:$IP$340))),SUMIF(Stock!$D$4:$IP$4,I27,Stock!$D$340:$IP$340)))</f>
        <v>22</v>
      </c>
      <c r="M27" s="142">
        <f t="shared" si="1"/>
        <v>10</v>
      </c>
      <c r="N27" s="1294">
        <f>IF(AND(I27="",J27=""),"",IF(J27&lt;&gt;"",IF(COUNTIFS(Stock!$D$4:$IP$4,I27,Stock!$D$5:$IP$5,J27)&gt;0,SUMIFS(Stock!$D$32:$IP$32,Stock!$D$4:$IP$4,I27,Stock!$D$5:$IP$5,J27),IF(COUNTIF(Stock!$D$5:$IP$5,J27)&gt;0,SUMIF(Stock!$D$5:$IP$5,J27,Stock!$D$32:$IP$32),SUMIF(Stock!$D$4:$IP$4,I27,Stock!$D$32:$IP$32))),SUMIF(Stock!$D$4:$IP$4,I27,Stock!$D$32:$IP$32)))</f>
        <v>42</v>
      </c>
      <c r="P27" s="159" t="s">
        <v>253</v>
      </c>
      <c r="Q27" s="2" t="s">
        <v>414</v>
      </c>
      <c r="R27" s="5">
        <v>100</v>
      </c>
      <c r="S27" s="175">
        <f>IF(AND(P27="",Q27=""),"",IF(Q27&lt;&gt;"",IF(COUNTIFS(Stock!$D$4:$IP$4,P27,Stock!$D$5:$IP$5,Q27)&gt;0,SUMIFS(Stock!$D$340:$IP$340,Stock!$D$4:$IP$4,P27,Stock!$D$5:$IP$5,Q27),IF(COUNTIF(Stock!$D$5:$IP$5,Q27)&gt;0,SUMIF(Stock!$D$5:$IP$5,Q27,Stock!$D$340:$IP$340),SUMIF(Stock!$D$4:$IP$4,P27,Stock!$D$340:$IP$340))),SUMIF(Stock!$D$4:$IP$4,P27,Stock!$D$340:$IP$340)))</f>
        <v>100</v>
      </c>
      <c r="T27" s="176">
        <f t="shared" si="2"/>
        <v>0</v>
      </c>
      <c r="U27" s="1290">
        <f>IF(AND(P27="",Q27=""),"",IF(Q27&lt;&gt;"",IF(COUNTIFS(Stock!$D$4:$IP$4,P27,Stock!$D$5:$IP$5,Q27)&gt;0,SUMIFS(Stock!$D$32:$IP$32,Stock!$D$4:$IP$4,P27,Stock!$D$5:$IP$5,Q27),IF(COUNTIF(Stock!$D$5:$IP$5,Q27)&gt;0,SUMIF(Stock!$D$5:$IP$5,Q27,Stock!$D$32:$IP$32),SUMIF(Stock!$D$4:$IP$4,P27,Stock!$D$32:$IP$32))),SUMIF(Stock!$D$4:$IP$4,P27,Stock!$D$32:$IP$32)))</f>
        <v>300</v>
      </c>
      <c r="V27" s="369" t="s">
        <v>1170</v>
      </c>
      <c r="W27" s="370"/>
      <c r="X27" s="2" t="str">
        <f t="array" ref="X27">IF(NOT(ISNUMBER($W27)),"CHECK",IF(OR(AND(TRIM($Q27&amp;"")&lt;&gt;"",INDEX(Stock!$EW$5:$FU$5,$W27)=$Q27),INDEX(Stock!$EW$4:$FU$4,$W27)=$P27),"OK","CHECK"))</f>
        <v>CHECK</v>
      </c>
    </row>
    <row r="28" spans="2:24" ht="15.75" customHeight="1" x14ac:dyDescent="0.25">
      <c r="B28" s="131" t="s">
        <v>125</v>
      </c>
      <c r="C28" s="4" t="s">
        <v>324</v>
      </c>
      <c r="D28" s="5">
        <v>165</v>
      </c>
      <c r="E28" s="5">
        <f>IF(AND(B28="",C28=""),"",IF(C28&lt;&gt;"",IF(COUNTIFS(Stock!$D$4:$IP$4,B28,Stock!$D$5:$IP$5,C28)&gt;0,SUMIFS(Stock!$D$340:$IP$340,Stock!$D$4:$IP$4,B28,Stock!$D$5:$IP$5,C28),IF(COUNTIF(Stock!$D$5:$IP$5,C28)&gt;0,SUMIF(Stock!$D$5:$IP$5,C28,Stock!$D$340:$IP$340),SUMIF(Stock!$D$4:$IP$4,B28,Stock!$D$340:$IP$340))),SUMIF(Stock!$D$4:$IP$4,B28,Stock!$D$340:$IP$340)))</f>
        <v>150</v>
      </c>
      <c r="F28" s="142">
        <f t="shared" si="0"/>
        <v>15</v>
      </c>
      <c r="G28" s="1294">
        <f>IF(AND(B28="",C28=""),"",IF(C28&lt;&gt;"",IF(COUNTIFS(Stock!$D$4:$IP$4,B28,Stock!$D$5:$IP$5,C28)&gt;0,SUMIFS(Stock!$D$32:$IP$32,Stock!$D$4:$IP$4,B28,Stock!$D$5:$IP$5,C28),IF(COUNTIF(Stock!$D$5:$IP$5,C28)&gt;0,SUMIF(Stock!$D$5:$IP$5,C28,Stock!$D$32:$IP$32),SUMIF(Stock!$D$4:$IP$4,B28,Stock!$D$32:$IP$32))),SUMIF(Stock!$D$4:$IP$4,B28,Stock!$D$32:$IP$32)))</f>
        <v>175</v>
      </c>
      <c r="I28" s="131" t="s">
        <v>210</v>
      </c>
      <c r="J28" s="4" t="s">
        <v>382</v>
      </c>
      <c r="K28" s="5">
        <v>25</v>
      </c>
      <c r="L28" s="5">
        <f>IF(AND(I28="",J28=""),"",IF(J28&lt;&gt;"",IF(COUNTIFS(Stock!$D$4:$IP$4,I28,Stock!$D$5:$IP$5,J28)&gt;0,SUMIFS(Stock!$D$340:$IP$340,Stock!$D$4:$IP$4,I28,Stock!$D$5:$IP$5,J28),IF(COUNTIF(Stock!$D$5:$IP$5,J28)&gt;0,SUMIF(Stock!$D$5:$IP$5,J28,Stock!$D$340:$IP$340),SUMIF(Stock!$D$4:$IP$4,I28,Stock!$D$340:$IP$340))),SUMIF(Stock!$D$4:$IP$4,I28,Stock!$D$340:$IP$340)))</f>
        <v>25</v>
      </c>
      <c r="M28" s="142">
        <f t="shared" si="1"/>
        <v>0</v>
      </c>
      <c r="N28" s="1294">
        <f>IF(AND(I28="",J28=""),"",IF(J28&lt;&gt;"",IF(COUNTIFS(Stock!$D$4:$IP$4,I28,Stock!$D$5:$IP$5,J28)&gt;0,SUMIFS(Stock!$D$32:$IP$32,Stock!$D$4:$IP$4,I28,Stock!$D$5:$IP$5,J28),IF(COUNTIF(Stock!$D$5:$IP$5,J28)&gt;0,SUMIF(Stock!$D$5:$IP$5,J28,Stock!$D$32:$IP$32),SUMIF(Stock!$D$4:$IP$4,I28,Stock!$D$32:$IP$32))),SUMIF(Stock!$D$4:$IP$4,I28,Stock!$D$32:$IP$32)))</f>
        <v>25</v>
      </c>
      <c r="P28" s="159" t="s">
        <v>254</v>
      </c>
      <c r="Q28" s="2" t="s">
        <v>415</v>
      </c>
      <c r="R28" s="5"/>
      <c r="S28" s="175">
        <f>IF(AND(P28="",Q28=""),"",IF(Q28&lt;&gt;"",IF(COUNTIFS(Stock!$D$4:$IP$4,P28,Stock!$D$5:$IP$5,Q28)&gt;0,SUMIFS(Stock!$D$340:$IP$340,Stock!$D$4:$IP$4,P28,Stock!$D$5:$IP$5,Q28),IF(COUNTIF(Stock!$D$5:$IP$5,Q28)&gt;0,SUMIF(Stock!$D$5:$IP$5,Q28,Stock!$D$340:$IP$340),SUMIF(Stock!$D$4:$IP$4,P28,Stock!$D$340:$IP$340))),SUMIF(Stock!$D$4:$IP$4,P28,Stock!$D$340:$IP$340)))</f>
        <v>0</v>
      </c>
      <c r="T28" s="176">
        <f t="shared" si="2"/>
        <v>0</v>
      </c>
      <c r="U28" s="1290">
        <f>IF(AND(P28="",Q28=""),"",IF(Q28&lt;&gt;"",IF(COUNTIFS(Stock!$D$4:$IP$4,P28,Stock!$D$5:$IP$5,Q28)&gt;0,SUMIFS(Stock!$D$32:$IP$32,Stock!$D$4:$IP$4,P28,Stock!$D$5:$IP$5,Q28),IF(COUNTIF(Stock!$D$5:$IP$5,Q28)&gt;0,SUMIF(Stock!$D$5:$IP$5,Q28,Stock!$D$32:$IP$32),SUMIF(Stock!$D$4:$IP$4,P28,Stock!$D$32:$IP$32))),SUMIF(Stock!$D$4:$IP$4,P28,Stock!$D$32:$IP$32)))</f>
        <v>150</v>
      </c>
      <c r="V28" s="369" t="s">
        <v>1182</v>
      </c>
      <c r="W28" s="370"/>
      <c r="X28" s="2" t="str">
        <f t="array" ref="X28">IF(NOT(ISNUMBER($W28)),"CHECK",IF(OR(AND(TRIM($Q28&amp;"")&lt;&gt;"",INDEX(Stock!$EW$5:$FU$5,$W28)=$Q28),INDEX(Stock!$EW$4:$FU$4,$W28)=$P28),"OK","CHECK"))</f>
        <v>CHECK</v>
      </c>
    </row>
    <row r="29" spans="2:24" ht="15.75" customHeight="1" x14ac:dyDescent="0.25">
      <c r="B29" s="131" t="s">
        <v>126</v>
      </c>
      <c r="C29" s="4" t="s">
        <v>325</v>
      </c>
      <c r="D29" s="5">
        <v>100</v>
      </c>
      <c r="E29" s="5">
        <f>IF(AND(B29="",C29=""),"",IF(C29&lt;&gt;"",IF(COUNTIFS(Stock!$D$4:$IP$4,B29,Stock!$D$5:$IP$5,C29)&gt;0,SUMIFS(Stock!$D$340:$IP$340,Stock!$D$4:$IP$4,B29,Stock!$D$5:$IP$5,C29),IF(COUNTIF(Stock!$D$5:$IP$5,C29)&gt;0,SUMIF(Stock!$D$5:$IP$5,C29,Stock!$D$340:$IP$340),SUMIF(Stock!$D$4:$IP$4,B29,Stock!$D$340:$IP$340))),SUMIF(Stock!$D$4:$IP$4,B29,Stock!$D$340:$IP$340)))</f>
        <v>100</v>
      </c>
      <c r="F29" s="142">
        <f t="shared" si="0"/>
        <v>0</v>
      </c>
      <c r="G29" s="1294">
        <f>IF(AND(B29="",C29=""),"",IF(C29&lt;&gt;"",IF(COUNTIFS(Stock!$D$4:$IP$4,B29,Stock!$D$5:$IP$5,C29)&gt;0,SUMIFS(Stock!$D$32:$IP$32,Stock!$D$4:$IP$4,B29,Stock!$D$5:$IP$5,C29),IF(COUNTIF(Stock!$D$5:$IP$5,C29)&gt;0,SUMIF(Stock!$D$5:$IP$5,C29,Stock!$D$32:$IP$32),SUMIF(Stock!$D$4:$IP$4,B29,Stock!$D$32:$IP$32))),SUMIF(Stock!$D$4:$IP$4,B29,Stock!$D$32:$IP$32)))</f>
        <v>100</v>
      </c>
      <c r="I29" s="131" t="s">
        <v>212</v>
      </c>
      <c r="J29" s="4" t="s">
        <v>383</v>
      </c>
      <c r="K29" s="5">
        <v>100</v>
      </c>
      <c r="L29" s="5">
        <f>IF(AND(I29="",J29=""),"",IF(J29&lt;&gt;"",IF(COUNTIFS(Stock!$D$4:$IP$4,I29,Stock!$D$5:$IP$5,J29)&gt;0,SUMIFS(Stock!$D$340:$IP$340,Stock!$D$4:$IP$4,I29,Stock!$D$5:$IP$5,J29),IF(COUNTIF(Stock!$D$5:$IP$5,J29)&gt;0,SUMIF(Stock!$D$5:$IP$5,J29,Stock!$D$340:$IP$340),SUMIF(Stock!$D$4:$IP$4,I29,Stock!$D$340:$IP$340))),SUMIF(Stock!$D$4:$IP$4,I29,Stock!$D$340:$IP$340)))</f>
        <v>52</v>
      </c>
      <c r="M29" s="142">
        <f t="shared" si="1"/>
        <v>48</v>
      </c>
      <c r="N29" s="1294">
        <f>IF(AND(I29="",J29=""),"",IF(J29&lt;&gt;"",IF(COUNTIFS(Stock!$D$4:$IP$4,I29,Stock!$D$5:$IP$5,J29)&gt;0,SUMIFS(Stock!$D$32:$IP$32,Stock!$D$4:$IP$4,I29,Stock!$D$5:$IP$5,J29),IF(COUNTIF(Stock!$D$5:$IP$5,J29)&gt;0,SUMIF(Stock!$D$5:$IP$5,J29,Stock!$D$32:$IP$32),SUMIF(Stock!$D$4:$IP$4,I29,Stock!$D$32:$IP$32))),SUMIF(Stock!$D$4:$IP$4,I29,Stock!$D$32:$IP$32)))</f>
        <v>100</v>
      </c>
      <c r="P29" s="159" t="s">
        <v>255</v>
      </c>
      <c r="Q29" s="2" t="s">
        <v>416</v>
      </c>
      <c r="R29" s="5"/>
      <c r="S29" s="175">
        <f>IF(AND(P29="",Q29=""),"",IF(Q29&lt;&gt;"",IF(COUNTIFS(Stock!$D$4:$IP$4,P29,Stock!$D$5:$IP$5,Q29)&gt;0,SUMIFS(Stock!$D$340:$IP$340,Stock!$D$4:$IP$4,P29,Stock!$D$5:$IP$5,Q29),IF(COUNTIF(Stock!$D$5:$IP$5,Q29)&gt;0,SUMIF(Stock!$D$5:$IP$5,Q29,Stock!$D$340:$IP$340),SUMIF(Stock!$D$4:$IP$4,P29,Stock!$D$340:$IP$340))),SUMIF(Stock!$D$4:$IP$4,P29,Stock!$D$340:$IP$340)))</f>
        <v>0</v>
      </c>
      <c r="T29" s="176">
        <f t="shared" si="2"/>
        <v>0</v>
      </c>
      <c r="U29" s="1290">
        <f>IF(AND(P29="",Q29=""),"",IF(Q29&lt;&gt;"",IF(COUNTIFS(Stock!$D$4:$IP$4,P29,Stock!$D$5:$IP$5,Q29)&gt;0,SUMIFS(Stock!$D$32:$IP$32,Stock!$D$4:$IP$4,P29,Stock!$D$5:$IP$5,Q29),IF(COUNTIF(Stock!$D$5:$IP$5,Q29)&gt;0,SUMIF(Stock!$D$5:$IP$5,Q29,Stock!$D$32:$IP$32),SUMIF(Stock!$D$4:$IP$4,P29,Stock!$D$32:$IP$32))),SUMIF(Stock!$D$4:$IP$4,P29,Stock!$D$32:$IP$32)))</f>
        <v>200</v>
      </c>
      <c r="V29" s="369" t="s">
        <v>1205</v>
      </c>
      <c r="W29" s="370"/>
      <c r="X29" s="2" t="str">
        <f t="array" ref="X29">IF(NOT(ISNUMBER($W29)),"CHECK",IF(OR(AND(TRIM($Q29&amp;"")&lt;&gt;"",INDEX(Stock!$EW$5:$FU$5,$W29)=$Q29),INDEX(Stock!$EW$4:$FU$4,$W29)=$P29),"OK","CHECK"))</f>
        <v>CHECK</v>
      </c>
    </row>
    <row r="30" spans="2:24" ht="15.75" customHeight="1" x14ac:dyDescent="0.25">
      <c r="B30" s="131" t="s">
        <v>127</v>
      </c>
      <c r="C30" s="4" t="s">
        <v>326</v>
      </c>
      <c r="D30" s="5">
        <v>325</v>
      </c>
      <c r="E30" s="5">
        <f>IF(AND(B30="",C30=""),"",IF(C30&lt;&gt;"",IF(COUNTIFS(Stock!$D$4:$IP$4,B30,Stock!$D$5:$IP$5,C30)&gt;0,SUMIFS(Stock!$D$340:$IP$340,Stock!$D$4:$IP$4,B30,Stock!$D$5:$IP$5,C30),IF(COUNTIF(Stock!$D$5:$IP$5,C30)&gt;0,SUMIF(Stock!$D$5:$IP$5,C30,Stock!$D$340:$IP$340),SUMIF(Stock!$D$4:$IP$4,B30,Stock!$D$340:$IP$340))),SUMIF(Stock!$D$4:$IP$4,B30,Stock!$D$340:$IP$340)))</f>
        <v>300</v>
      </c>
      <c r="F30" s="142">
        <f t="shared" si="0"/>
        <v>25</v>
      </c>
      <c r="G30" s="1294">
        <f>IF(AND(B30="",C30=""),"",IF(C30&lt;&gt;"",IF(COUNTIFS(Stock!$D$4:$IP$4,B30,Stock!$D$5:$IP$5,C30)&gt;0,SUMIFS(Stock!$D$32:$IP$32,Stock!$D$4:$IP$4,B30,Stock!$D$5:$IP$5,C30),IF(COUNTIF(Stock!$D$5:$IP$5,C30)&gt;0,SUMIF(Stock!$D$5:$IP$5,C30,Stock!$D$32:$IP$32),SUMIF(Stock!$D$4:$IP$4,B30,Stock!$D$32:$IP$32))),SUMIF(Stock!$D$4:$IP$4,B30,Stock!$D$32:$IP$32)))</f>
        <v>350</v>
      </c>
      <c r="I30" s="131" t="s">
        <v>213</v>
      </c>
      <c r="J30" s="4" t="s">
        <v>384</v>
      </c>
      <c r="K30" s="5">
        <v>75</v>
      </c>
      <c r="L30" s="5">
        <f>IF(AND(I30="",J30=""),"",IF(J30&lt;&gt;"",IF(COUNTIFS(Stock!$D$4:$IP$4,I30,Stock!$D$5:$IP$5,J30)&gt;0,SUMIFS(Stock!$D$340:$IP$340,Stock!$D$4:$IP$4,I30,Stock!$D$5:$IP$5,J30),IF(COUNTIF(Stock!$D$5:$IP$5,J30)&gt;0,SUMIF(Stock!$D$5:$IP$5,J30,Stock!$D$340:$IP$340),SUMIF(Stock!$D$4:$IP$4,I30,Stock!$D$340:$IP$340))),SUMIF(Stock!$D$4:$IP$4,I30,Stock!$D$340:$IP$340)))</f>
        <v>75</v>
      </c>
      <c r="M30" s="142">
        <f t="shared" si="1"/>
        <v>0</v>
      </c>
      <c r="N30" s="1294">
        <f>IF(AND(I30="",J30=""),"",IF(J30&lt;&gt;"",IF(COUNTIFS(Stock!$D$4:$IP$4,I30,Stock!$D$5:$IP$5,J30)&gt;0,SUMIFS(Stock!$D$32:$IP$32,Stock!$D$4:$IP$4,I30,Stock!$D$5:$IP$5,J30),IF(COUNTIF(Stock!$D$5:$IP$5,J30)&gt;0,SUMIF(Stock!$D$5:$IP$5,J30,Stock!$D$32:$IP$32),SUMIF(Stock!$D$4:$IP$4,I30,Stock!$D$32:$IP$32))),SUMIF(Stock!$D$4:$IP$4,I30,Stock!$D$32:$IP$32)))</f>
        <v>75</v>
      </c>
      <c r="P30" s="159" t="s">
        <v>1222</v>
      </c>
      <c r="Q30" s="2" t="s">
        <v>417</v>
      </c>
      <c r="R30" s="5"/>
      <c r="S30" s="175">
        <f>IF(AND(P30="",Q30=""),"",IF(Q30&lt;&gt;"",IF(COUNTIFS(Stock!$D$4:$IP$4,P30,Stock!$D$5:$IP$5,Q30)&gt;0,SUMIFS(Stock!$D$340:$IP$340,Stock!$D$4:$IP$4,P30,Stock!$D$5:$IP$5,Q30),IF(COUNTIF(Stock!$D$5:$IP$5,Q30)&gt;0,SUMIF(Stock!$D$5:$IP$5,Q30,Stock!$D$340:$IP$340),SUMIF(Stock!$D$4:$IP$4,P30,Stock!$D$340:$IP$340))),SUMIF(Stock!$D$4:$IP$4,P30,Stock!$D$340:$IP$340)))</f>
        <v>0</v>
      </c>
      <c r="T30" s="176">
        <f t="shared" si="2"/>
        <v>0</v>
      </c>
      <c r="U30" s="1290">
        <f>IF(AND(P30="",Q30=""),"",IF(Q30&lt;&gt;"",IF(COUNTIFS(Stock!$D$4:$IP$4,P30,Stock!$D$5:$IP$5,Q30)&gt;0,SUMIFS(Stock!$D$32:$IP$32,Stock!$D$4:$IP$4,P30,Stock!$D$5:$IP$5,Q30),IF(COUNTIF(Stock!$D$5:$IP$5,Q30)&gt;0,SUMIF(Stock!$D$5:$IP$5,Q30,Stock!$D$32:$IP$32),SUMIF(Stock!$D$4:$IP$4,P30,Stock!$D$32:$IP$32))),SUMIF(Stock!$D$4:$IP$4,P30,Stock!$D$32:$IP$32)))</f>
        <v>200</v>
      </c>
      <c r="V30" s="369" t="s">
        <v>1231</v>
      </c>
      <c r="W30" s="370"/>
      <c r="X30" s="2" t="str">
        <f t="array" ref="X30">IF(NOT(ISNUMBER($W30)),"CHECK",IF(OR(AND(TRIM($Q30&amp;"")&lt;&gt;"",INDEX(Stock!$EW$5:$FU$5,$W30)=$Q30),INDEX(Stock!$EW$4:$FU$4,$W30)=$P30),"OK","CHECK"))</f>
        <v>CHECK</v>
      </c>
    </row>
    <row r="31" spans="2:24" ht="15.75" customHeight="1" x14ac:dyDescent="0.25">
      <c r="B31" s="131" t="s">
        <v>128</v>
      </c>
      <c r="C31" s="4" t="s">
        <v>327</v>
      </c>
      <c r="D31" s="5">
        <v>100</v>
      </c>
      <c r="E31" s="5">
        <f>IF(AND(B31="",C31=""),"",IF(C31&lt;&gt;"",IF(COUNTIFS(Stock!$D$4:$IP$4,B31,Stock!$D$5:$IP$5,C31)&gt;0,SUMIFS(Stock!$D$340:$IP$340,Stock!$D$4:$IP$4,B31,Stock!$D$5:$IP$5,C31),IF(COUNTIF(Stock!$D$5:$IP$5,C31)&gt;0,SUMIF(Stock!$D$5:$IP$5,C31,Stock!$D$340:$IP$340),SUMIF(Stock!$D$4:$IP$4,B31,Stock!$D$340:$IP$340))),SUMIF(Stock!$D$4:$IP$4,B31,Stock!$D$340:$IP$340)))</f>
        <v>85</v>
      </c>
      <c r="F31" s="142">
        <f t="shared" si="0"/>
        <v>15</v>
      </c>
      <c r="G31" s="1294">
        <f>IF(AND(B31="",C31=""),"",IF(C31&lt;&gt;"",IF(COUNTIFS(Stock!$D$4:$IP$4,B31,Stock!$D$5:$IP$5,C31)&gt;0,SUMIFS(Stock!$D$32:$IP$32,Stock!$D$4:$IP$4,B31,Stock!$D$5:$IP$5,C31),IF(COUNTIF(Stock!$D$5:$IP$5,C31)&gt;0,SUMIF(Stock!$D$5:$IP$5,C31,Stock!$D$32:$IP$32),SUMIF(Stock!$D$4:$IP$4,B31,Stock!$D$32:$IP$32))),SUMIF(Stock!$D$4:$IP$4,B31,Stock!$D$32:$IP$32)))</f>
        <v>100</v>
      </c>
      <c r="I31" s="131" t="s">
        <v>214</v>
      </c>
      <c r="J31" s="4" t="s">
        <v>385</v>
      </c>
      <c r="K31" s="5">
        <v>69</v>
      </c>
      <c r="L31" s="5">
        <f>IF(AND(I31="",J31=""),"",IF(J31&lt;&gt;"",IF(COUNTIFS(Stock!$D$4:$IP$4,I31,Stock!$D$5:$IP$5,J31)&gt;0,SUMIFS(Stock!$D$340:$IP$340,Stock!$D$4:$IP$4,I31,Stock!$D$5:$IP$5,J31),IF(COUNTIF(Stock!$D$5:$IP$5,J31)&gt;0,SUMIF(Stock!$D$5:$IP$5,J31,Stock!$D$340:$IP$340),SUMIF(Stock!$D$4:$IP$4,I31,Stock!$D$340:$IP$340))),SUMIF(Stock!$D$4:$IP$4,I31,Stock!$D$340:$IP$340)))</f>
        <v>75</v>
      </c>
      <c r="M31" s="142">
        <f t="shared" si="1"/>
        <v>-6</v>
      </c>
      <c r="N31" s="1294">
        <f>IF(AND(I31="",J31=""),"",IF(J31&lt;&gt;"",IF(COUNTIFS(Stock!$D$4:$IP$4,I31,Stock!$D$5:$IP$5,J31)&gt;0,SUMIFS(Stock!$D$32:$IP$32,Stock!$D$4:$IP$4,I31,Stock!$D$5:$IP$5,J31),IF(COUNTIF(Stock!$D$5:$IP$5,J31)&gt;0,SUMIF(Stock!$D$5:$IP$5,J31,Stock!$D$32:$IP$32),SUMIF(Stock!$D$4:$IP$4,I31,Stock!$D$32:$IP$32))),SUMIF(Stock!$D$4:$IP$4,I31,Stock!$D$32:$IP$32)))</f>
        <v>75</v>
      </c>
      <c r="P31" s="159" t="s">
        <v>136</v>
      </c>
      <c r="Q31" s="2" t="s">
        <v>418</v>
      </c>
      <c r="R31" s="5">
        <v>295</v>
      </c>
      <c r="S31" s="175">
        <f>IF(AND(P31="",Q31=""),"",IF(Q31&lt;&gt;"",IF(COUNTIFS(Stock!$D$4:$IP$4,P31,Stock!$D$5:$IP$5,Q31)&gt;0,SUMIFS(Stock!$D$340:$IP$340,Stock!$D$4:$IP$4,P31,Stock!$D$5:$IP$5,Q31),IF(COUNTIF(Stock!$D$5:$IP$5,Q31)&gt;0,SUMIF(Stock!$D$5:$IP$5,Q31,Stock!$D$340:$IP$340),SUMIF(Stock!$D$4:$IP$4,P31,Stock!$D$340:$IP$340))),SUMIF(Stock!$D$4:$IP$4,P31,Stock!$D$340:$IP$340)))</f>
        <v>0</v>
      </c>
      <c r="T31" s="176">
        <f t="shared" si="2"/>
        <v>295</v>
      </c>
      <c r="U31" s="1290">
        <f>IF(AND(P31="",Q31=""),"",IF(Q31&lt;&gt;"",IF(COUNTIFS(Stock!$D$4:$IP$4,P31,Stock!$D$5:$IP$5,Q31)&gt;0,SUMIFS(Stock!$D$32:$IP$32,Stock!$D$4:$IP$4,P31,Stock!$D$5:$IP$5,Q31),IF(COUNTIF(Stock!$D$5:$IP$5,Q31)&gt;0,SUMIF(Stock!$D$5:$IP$5,Q31,Stock!$D$32:$IP$32),SUMIF(Stock!$D$4:$IP$4,P31,Stock!$D$32:$IP$32))),SUMIF(Stock!$D$4:$IP$4,P31,Stock!$D$32:$IP$32)))</f>
        <v>300</v>
      </c>
      <c r="V31" s="369" t="s">
        <v>1259</v>
      </c>
      <c r="W31" s="370"/>
      <c r="X31" s="2" t="str">
        <f t="array" ref="X31">IF(NOT(ISNUMBER($W31)),"CHECK",IF(OR(AND(TRIM($Q31&amp;"")&lt;&gt;"",INDEX(Stock!$EW$5:$FU$5,$W31)=$Q31),INDEX(Stock!$EW$4:$FU$4,$W31)=$P31),"OK","CHECK"))</f>
        <v>CHECK</v>
      </c>
    </row>
    <row r="32" spans="2:24" ht="15.75" customHeight="1" x14ac:dyDescent="0.25">
      <c r="B32" s="131" t="s">
        <v>129</v>
      </c>
      <c r="C32" s="4" t="s">
        <v>328</v>
      </c>
      <c r="D32" s="5">
        <v>55</v>
      </c>
      <c r="E32" s="5">
        <f>IF(AND(B32="",C32=""),"",IF(C32&lt;&gt;"",IF(COUNTIFS(Stock!$D$4:$IP$4,B32,Stock!$D$5:$IP$5,C32)&gt;0,SUMIFS(Stock!$D$340:$IP$340,Stock!$D$4:$IP$4,B32,Stock!$D$5:$IP$5,C32),IF(COUNTIF(Stock!$D$5:$IP$5,C32)&gt;0,SUMIF(Stock!$D$5:$IP$5,C32,Stock!$D$340:$IP$340),SUMIF(Stock!$D$4:$IP$4,B32,Stock!$D$340:$IP$340))),SUMIF(Stock!$D$4:$IP$4,B32,Stock!$D$340:$IP$340)))</f>
        <v>20</v>
      </c>
      <c r="F32" s="142">
        <f t="shared" si="0"/>
        <v>35</v>
      </c>
      <c r="G32" s="1294">
        <f>IF(AND(B32="",C32=""),"",IF(C32&lt;&gt;"",IF(COUNTIFS(Stock!$D$4:$IP$4,B32,Stock!$D$5:$IP$5,C32)&gt;0,SUMIFS(Stock!$D$32:$IP$32,Stock!$D$4:$IP$4,B32,Stock!$D$5:$IP$5,C32),IF(COUNTIF(Stock!$D$5:$IP$5,C32)&gt;0,SUMIF(Stock!$D$5:$IP$5,C32,Stock!$D$32:$IP$32),SUMIF(Stock!$D$4:$IP$4,B32,Stock!$D$32:$IP$32))),SUMIF(Stock!$D$4:$IP$4,B32,Stock!$D$32:$IP$32)))</f>
        <v>100</v>
      </c>
      <c r="I32" s="131" t="s">
        <v>215</v>
      </c>
      <c r="J32" s="4" t="s">
        <v>386</v>
      </c>
      <c r="K32" s="5">
        <v>230</v>
      </c>
      <c r="L32" s="5">
        <f>IF(AND(I32="",J32=""),"",IF(J32&lt;&gt;"",IF(COUNTIFS(Stock!$D$4:$IP$4,I32,Stock!$D$5:$IP$5,J32)&gt;0,SUMIFS(Stock!$D$340:$IP$340,Stock!$D$4:$IP$4,I32,Stock!$D$5:$IP$5,J32),IF(COUNTIF(Stock!$D$5:$IP$5,J32)&gt;0,SUMIF(Stock!$D$5:$IP$5,J32,Stock!$D$340:$IP$340),SUMIF(Stock!$D$4:$IP$4,I32,Stock!$D$340:$IP$340))),SUMIF(Stock!$D$4:$IP$4,I32,Stock!$D$340:$IP$340)))</f>
        <v>128</v>
      </c>
      <c r="M32" s="142">
        <f t="shared" si="1"/>
        <v>102</v>
      </c>
      <c r="N32" s="1294">
        <f>IF(AND(I32="",J32=""),"",IF(J32&lt;&gt;"",IF(COUNTIFS(Stock!$D$4:$IP$4,I32,Stock!$D$5:$IP$5,J32)&gt;0,SUMIFS(Stock!$D$32:$IP$32,Stock!$D$4:$IP$4,I32,Stock!$D$5:$IP$5,J32),IF(COUNTIF(Stock!$D$5:$IP$5,J32)&gt;0,SUMIF(Stock!$D$5:$IP$5,J32,Stock!$D$32:$IP$32),SUMIF(Stock!$D$4:$IP$4,I32,Stock!$D$32:$IP$32))),SUMIF(Stock!$D$4:$IP$4,I32,Stock!$D$32:$IP$32)))</f>
        <v>220</v>
      </c>
      <c r="P32" s="159" t="s">
        <v>256</v>
      </c>
      <c r="Q32" s="2" t="s">
        <v>419</v>
      </c>
      <c r="R32" s="5">
        <v>4900</v>
      </c>
      <c r="S32" s="175">
        <f>IF(AND(P32="",Q32=""),"",IF(Q32&lt;&gt;"",IF(COUNTIFS(Stock!$D$4:$IP$4,P32,Stock!$D$5:$IP$5,Q32)&gt;0,SUMIFS(Stock!$D$340:$IP$340,Stock!$D$4:$IP$4,P32,Stock!$D$5:$IP$5,Q32),IF(COUNTIF(Stock!$D$5:$IP$5,Q32)&gt;0,SUMIF(Stock!$D$5:$IP$5,Q32,Stock!$D$340:$IP$340),SUMIF(Stock!$D$4:$IP$4,P32,Stock!$D$340:$IP$340))),SUMIF(Stock!$D$4:$IP$4,P32,Stock!$D$340:$IP$340)))</f>
        <v>4000</v>
      </c>
      <c r="T32" s="176">
        <f t="shared" si="2"/>
        <v>900</v>
      </c>
      <c r="U32" s="1290">
        <f>IF(AND(P32="",Q32=""),"",IF(Q32&lt;&gt;"",IF(COUNTIFS(Stock!$D$4:$IP$4,P32,Stock!$D$5:$IP$5,Q32)&gt;0,SUMIFS(Stock!$D$32:$IP$32,Stock!$D$4:$IP$4,P32,Stock!$D$5:$IP$5,Q32),IF(COUNTIF(Stock!$D$5:$IP$5,Q32)&gt;0,SUMIF(Stock!$D$5:$IP$5,Q32,Stock!$D$32:$IP$32),SUMIF(Stock!$D$4:$IP$4,P32,Stock!$D$32:$IP$32))),SUMIF(Stock!$D$4:$IP$4,P32,Stock!$D$32:$IP$32)))</f>
        <v>6000</v>
      </c>
      <c r="V32" s="369" t="s">
        <v>1291</v>
      </c>
      <c r="W32" s="370"/>
      <c r="X32" s="2" t="str">
        <f t="array" ref="X32">IF(NOT(ISNUMBER($W32)),"CHECK",IF(OR(AND(TRIM($Q32&amp;"")&lt;&gt;"",INDEX(Stock!$EW$5:$FU$5,$W32)=$Q32),INDEX(Stock!$EW$4:$FU$4,$W32)=$P32),"OK","CHECK"))</f>
        <v>CHECK</v>
      </c>
    </row>
    <row r="33" spans="2:24" ht="15.75" customHeight="1" x14ac:dyDescent="0.25">
      <c r="B33" s="131" t="s">
        <v>130</v>
      </c>
      <c r="C33" s="4"/>
      <c r="D33" s="5">
        <v>0</v>
      </c>
      <c r="E33" s="5">
        <f>IF(AND(B33="",C33=""),"",IF(C33&lt;&gt;"",IF(COUNTIFS(Stock!$D$4:$IP$4,B33,Stock!$D$5:$IP$5,C33)&gt;0,SUMIFS(Stock!$D$340:$IP$340,Stock!$D$4:$IP$4,B33,Stock!$D$5:$IP$5,C33),IF(COUNTIF(Stock!$D$5:$IP$5,C33)&gt;0,SUMIF(Stock!$D$5:$IP$5,C33,Stock!$D$340:$IP$340),SUMIF(Stock!$D$4:$IP$4,B33,Stock!$D$340:$IP$340))),SUMIF(Stock!$D$4:$IP$4,B33,Stock!$D$340:$IP$340)))</f>
        <v>0</v>
      </c>
      <c r="F33" s="142">
        <f t="shared" si="0"/>
        <v>0</v>
      </c>
      <c r="G33" s="1294">
        <f>IF(AND(B33="",C33=""),"",IF(C33&lt;&gt;"",IF(COUNTIFS(Stock!$D$4:$IP$4,B33,Stock!$D$5:$IP$5,C33)&gt;0,SUMIFS(Stock!$D$32:$IP$32,Stock!$D$4:$IP$4,B33,Stock!$D$5:$IP$5,C33),IF(COUNTIF(Stock!$D$5:$IP$5,C33)&gt;0,SUMIF(Stock!$D$5:$IP$5,C33,Stock!$D$32:$IP$32),SUMIF(Stock!$D$4:$IP$4,B33,Stock!$D$32:$IP$32))),SUMIF(Stock!$D$4:$IP$4,B33,Stock!$D$32:$IP$32)))</f>
        <v>0</v>
      </c>
      <c r="I33" s="131" t="s">
        <v>216</v>
      </c>
      <c r="J33" s="4" t="s">
        <v>387</v>
      </c>
      <c r="K33" s="5">
        <v>348</v>
      </c>
      <c r="L33" s="5">
        <f>IF(AND(I33="",J33=""),"",IF(J33&lt;&gt;"",IF(COUNTIFS(Stock!$D$4:$IP$4,I33,Stock!$D$5:$IP$5,J33)&gt;0,SUMIFS(Stock!$D$340:$IP$340,Stock!$D$4:$IP$4,I33,Stock!$D$5:$IP$5,J33),IF(COUNTIF(Stock!$D$5:$IP$5,J33)&gt;0,SUMIF(Stock!$D$5:$IP$5,J33,Stock!$D$340:$IP$340),SUMIF(Stock!$D$4:$IP$4,I33,Stock!$D$340:$IP$340))),SUMIF(Stock!$D$4:$IP$4,I33,Stock!$D$340:$IP$340)))</f>
        <v>202</v>
      </c>
      <c r="M33" s="142">
        <f t="shared" si="1"/>
        <v>146</v>
      </c>
      <c r="N33" s="1294">
        <f>IF(AND(I33="",J33=""),"",IF(J33&lt;&gt;"",IF(COUNTIFS(Stock!$D$4:$IP$4,I33,Stock!$D$5:$IP$5,J33)&gt;0,SUMIFS(Stock!$D$32:$IP$32,Stock!$D$4:$IP$4,I33,Stock!$D$5:$IP$5,J33),IF(COUNTIF(Stock!$D$5:$IP$5,J33)&gt;0,SUMIF(Stock!$D$5:$IP$5,J33,Stock!$D$32:$IP$32),SUMIF(Stock!$D$4:$IP$4,I33,Stock!$D$32:$IP$32))),SUMIF(Stock!$D$4:$IP$4,I33,Stock!$D$32:$IP$32)))</f>
        <v>412</v>
      </c>
      <c r="P33" s="159" t="s">
        <v>257</v>
      </c>
      <c r="Q33" s="2" t="s">
        <v>420</v>
      </c>
      <c r="R33" s="5"/>
      <c r="S33" s="175">
        <f>IF(AND(P33="",Q33=""),"",IF(Q33&lt;&gt;"",IF(COUNTIFS(Stock!$D$4:$IP$4,P33,Stock!$D$5:$IP$5,Q33)&gt;0,SUMIFS(Stock!$D$340:$IP$340,Stock!$D$4:$IP$4,P33,Stock!$D$5:$IP$5,Q33),IF(COUNTIF(Stock!$D$5:$IP$5,Q33)&gt;0,SUMIF(Stock!$D$5:$IP$5,Q33,Stock!$D$340:$IP$340),SUMIF(Stock!$D$4:$IP$4,P33,Stock!$D$340:$IP$340))),SUMIF(Stock!$D$4:$IP$4,P33,Stock!$D$340:$IP$340)))</f>
        <v>0</v>
      </c>
      <c r="T33" s="176">
        <f t="shared" si="2"/>
        <v>0</v>
      </c>
      <c r="U33" s="1290">
        <f>IF(AND(P33="",Q33=""),"",IF(Q33&lt;&gt;"",IF(COUNTIFS(Stock!$D$4:$IP$4,P33,Stock!$D$5:$IP$5,Q33)&gt;0,SUMIFS(Stock!$D$32:$IP$32,Stock!$D$4:$IP$4,P33,Stock!$D$5:$IP$5,Q33),IF(COUNTIF(Stock!$D$5:$IP$5,Q33)&gt;0,SUMIF(Stock!$D$5:$IP$5,Q33,Stock!$D$32:$IP$32),SUMIF(Stock!$D$4:$IP$4,P33,Stock!$D$32:$IP$32))),SUMIF(Stock!$D$4:$IP$4,P33,Stock!$D$32:$IP$32)))</f>
        <v>250</v>
      </c>
      <c r="V33" s="369" t="s">
        <v>1312</v>
      </c>
      <c r="W33" s="370"/>
      <c r="X33" s="2" t="str">
        <f t="array" ref="X33">IF(NOT(ISNUMBER($W33)),"CHECK",IF(OR(AND(TRIM($Q33&amp;"")&lt;&gt;"",INDEX(Stock!$EW$5:$FU$5,$W33)=$Q33),INDEX(Stock!$EW$4:$FU$4,$W33)=$P33),"OK","CHECK"))</f>
        <v>CHECK</v>
      </c>
    </row>
    <row r="34" spans="2:24" ht="15.75" customHeight="1" x14ac:dyDescent="0.25">
      <c r="B34" s="131" t="s">
        <v>131</v>
      </c>
      <c r="C34" s="4" t="s">
        <v>329</v>
      </c>
      <c r="D34" s="5">
        <v>100</v>
      </c>
      <c r="E34" s="5">
        <f>IF(AND(B34="",C34=""),"",IF(C34&lt;&gt;"",IF(COUNTIFS(Stock!$D$4:$IP$4,B34,Stock!$D$5:$IP$5,C34)&gt;0,SUMIFS(Stock!$D$340:$IP$340,Stock!$D$4:$IP$4,B34,Stock!$D$5:$IP$5,C34),IF(COUNTIF(Stock!$D$5:$IP$5,C34)&gt;0,SUMIF(Stock!$D$5:$IP$5,C34,Stock!$D$340:$IP$340),SUMIF(Stock!$D$4:$IP$4,B34,Stock!$D$340:$IP$340))),SUMIF(Stock!$D$4:$IP$4,B34,Stock!$D$340:$IP$340)))</f>
        <v>100</v>
      </c>
      <c r="F34" s="142">
        <f t="shared" si="0"/>
        <v>0</v>
      </c>
      <c r="G34" s="1294">
        <f>IF(AND(B34="",C34=""),"",IF(C34&lt;&gt;"",IF(COUNTIFS(Stock!$D$4:$IP$4,B34,Stock!$D$5:$IP$5,C34)&gt;0,SUMIFS(Stock!$D$32:$IP$32,Stock!$D$4:$IP$4,B34,Stock!$D$5:$IP$5,C34),IF(COUNTIF(Stock!$D$5:$IP$5,C34)&gt;0,SUMIF(Stock!$D$5:$IP$5,C34,Stock!$D$32:$IP$32),SUMIF(Stock!$D$4:$IP$4,B34,Stock!$D$32:$IP$32))),SUMIF(Stock!$D$4:$IP$4,B34,Stock!$D$32:$IP$32)))</f>
        <v>100</v>
      </c>
      <c r="I34" s="131" t="s">
        <v>217</v>
      </c>
      <c r="J34" s="4" t="s">
        <v>388</v>
      </c>
      <c r="K34" s="5">
        <v>320</v>
      </c>
      <c r="L34" s="5">
        <f>IF(AND(I34="",J34=""),"",IF(J34&lt;&gt;"",IF(COUNTIFS(Stock!$D$4:$IP$4,I34,Stock!$D$5:$IP$5,J34)&gt;0,SUMIFS(Stock!$D$340:$IP$340,Stock!$D$4:$IP$4,I34,Stock!$D$5:$IP$5,J34),IF(COUNTIF(Stock!$D$5:$IP$5,J34)&gt;0,SUMIF(Stock!$D$5:$IP$5,J34,Stock!$D$340:$IP$340),SUMIF(Stock!$D$4:$IP$4,I34,Stock!$D$340:$IP$340))),SUMIF(Stock!$D$4:$IP$4,I34,Stock!$D$340:$IP$340)))</f>
        <v>109</v>
      </c>
      <c r="M34" s="142">
        <f t="shared" si="1"/>
        <v>211</v>
      </c>
      <c r="N34" s="1294">
        <f>IF(AND(I34="",J34=""),"",IF(J34&lt;&gt;"",IF(COUNTIFS(Stock!$D$4:$IP$4,I34,Stock!$D$5:$IP$5,J34)&gt;0,SUMIFS(Stock!$D$32:$IP$32,Stock!$D$4:$IP$4,I34,Stock!$D$5:$IP$5,J34),IF(COUNTIF(Stock!$D$5:$IP$5,J34)&gt;0,SUMIF(Stock!$D$5:$IP$5,J34,Stock!$D$32:$IP$32),SUMIF(Stock!$D$4:$IP$4,I34,Stock!$D$32:$IP$32))),SUMIF(Stock!$D$4:$IP$4,I34,Stock!$D$32:$IP$32)))</f>
        <v>367</v>
      </c>
      <c r="P34" s="159" t="s">
        <v>258</v>
      </c>
      <c r="Q34" s="2" t="s">
        <v>61</v>
      </c>
      <c r="R34" s="5">
        <v>3074</v>
      </c>
      <c r="S34" s="175">
        <f>IF(AND(P34="",Q34=""),"",IF(Q34&lt;&gt;"",IF(COUNTIFS(Stock!$D$4:$IP$4,P34,Stock!$D$5:$IP$5,Q34)&gt;0,SUMIFS(Stock!$D$340:$IP$340,Stock!$D$4:$IP$4,P34,Stock!$D$5:$IP$5,Q34),IF(COUNTIF(Stock!$D$5:$IP$5,Q34)&gt;0,SUMIF(Stock!$D$5:$IP$5,Q34,Stock!$D$340:$IP$340),SUMIF(Stock!$D$4:$IP$4,P34,Stock!$D$340:$IP$340))),SUMIF(Stock!$D$4:$IP$4,P34,Stock!$D$340:$IP$340)))</f>
        <v>0</v>
      </c>
      <c r="T34" s="176">
        <f t="shared" si="2"/>
        <v>3074</v>
      </c>
      <c r="U34" s="1290">
        <f>IF(AND(P34="",Q34=""),"",IF(Q34&lt;&gt;"",IF(COUNTIFS(Stock!$D$4:$IP$4,P34,Stock!$D$5:$IP$5,Q34)&gt;0,SUMIFS(Stock!$D$32:$IP$32,Stock!$D$4:$IP$4,P34,Stock!$D$5:$IP$5,Q34),IF(COUNTIF(Stock!$D$5:$IP$5,Q34)&gt;0,SUMIF(Stock!$D$5:$IP$5,Q34,Stock!$D$32:$IP$32),SUMIF(Stock!$D$4:$IP$4,P34,Stock!$D$32:$IP$32))),SUMIF(Stock!$D$4:$IP$4,P34,Stock!$D$32:$IP$32)))</f>
        <v>250</v>
      </c>
      <c r="V34" s="369" t="s">
        <v>64</v>
      </c>
      <c r="W34" s="370"/>
      <c r="X34" s="2" t="str">
        <f t="array" ref="X34">IF(NOT(ISNUMBER($W34)),"CHECK",IF(OR(AND(TRIM($Q34&amp;"")&lt;&gt;"",INDEX(Stock!$EW$5:$FU$5,$W34)=$Q34),INDEX(Stock!$EW$4:$FU$4,$W34)=$P34),"OK","CHECK"))</f>
        <v>CHECK</v>
      </c>
    </row>
    <row r="35" spans="2:24" ht="15.75" customHeight="1" x14ac:dyDescent="0.25">
      <c r="B35" s="131" t="s">
        <v>132</v>
      </c>
      <c r="C35" s="4" t="s">
        <v>330</v>
      </c>
      <c r="D35" s="5">
        <v>600</v>
      </c>
      <c r="E35" s="5">
        <f>IF(AND(B35="",C35=""),"",IF(C35&lt;&gt;"",IF(COUNTIFS(Stock!$D$4:$IP$4,B35,Stock!$D$5:$IP$5,C35)&gt;0,SUMIFS(Stock!$D$340:$IP$340,Stock!$D$4:$IP$4,B35,Stock!$D$5:$IP$5,C35),IF(COUNTIF(Stock!$D$5:$IP$5,C35)&gt;0,SUMIF(Stock!$D$5:$IP$5,C35,Stock!$D$340:$IP$340),SUMIF(Stock!$D$4:$IP$4,B35,Stock!$D$340:$IP$340))),SUMIF(Stock!$D$4:$IP$4,B35,Stock!$D$340:$IP$340)))</f>
        <v>275</v>
      </c>
      <c r="F35" s="142">
        <f t="shared" si="0"/>
        <v>325</v>
      </c>
      <c r="G35" s="1294">
        <f>IF(AND(B35="",C35=""),"",IF(C35&lt;&gt;"",IF(COUNTIFS(Stock!$D$4:$IP$4,B35,Stock!$D$5:$IP$5,C35)&gt;0,SUMIFS(Stock!$D$32:$IP$32,Stock!$D$4:$IP$4,B35,Stock!$D$5:$IP$5,C35),IF(COUNTIF(Stock!$D$5:$IP$5,C35)&gt;0,SUMIF(Stock!$D$5:$IP$5,C35,Stock!$D$32:$IP$32),SUMIF(Stock!$D$4:$IP$4,B35,Stock!$D$32:$IP$32))),SUMIF(Stock!$D$4:$IP$4,B35,Stock!$D$32:$IP$32)))</f>
        <v>600</v>
      </c>
      <c r="I35" s="131" t="s">
        <v>218</v>
      </c>
      <c r="J35" s="4" t="s">
        <v>389</v>
      </c>
      <c r="K35" s="5">
        <v>49</v>
      </c>
      <c r="L35" s="5">
        <f>IF(AND(I35="",J35=""),"",IF(J35&lt;&gt;"",IF(COUNTIFS(Stock!$D$4:$IP$4,I35,Stock!$D$5:$IP$5,J35)&gt;0,SUMIFS(Stock!$D$340:$IP$340,Stock!$D$4:$IP$4,I35,Stock!$D$5:$IP$5,J35),IF(COUNTIF(Stock!$D$5:$IP$5,J35)&gt;0,SUMIF(Stock!$D$5:$IP$5,J35,Stock!$D$340:$IP$340),SUMIF(Stock!$D$4:$IP$4,I35,Stock!$D$340:$IP$340))),SUMIF(Stock!$D$4:$IP$4,I35,Stock!$D$340:$IP$340)))</f>
        <v>0</v>
      </c>
      <c r="M35" s="142">
        <f t="shared" si="1"/>
        <v>49</v>
      </c>
      <c r="N35" s="1294">
        <f>IF(AND(I35="",J35=""),"",IF(J35&lt;&gt;"",IF(COUNTIFS(Stock!$D$4:$IP$4,I35,Stock!$D$5:$IP$5,J35)&gt;0,SUMIFS(Stock!$D$32:$IP$32,Stock!$D$4:$IP$4,I35,Stock!$D$5:$IP$5,J35),IF(COUNTIF(Stock!$D$5:$IP$5,J35)&gt;0,SUMIF(Stock!$D$5:$IP$5,J35,Stock!$D$32:$IP$32),SUMIF(Stock!$D$4:$IP$4,I35,Stock!$D$32:$IP$32))),SUMIF(Stock!$D$4:$IP$4,I35,Stock!$D$32:$IP$32)))</f>
        <v>0</v>
      </c>
      <c r="P35" s="159" t="s">
        <v>259</v>
      </c>
      <c r="Q35" s="2" t="s">
        <v>421</v>
      </c>
      <c r="R35" s="5">
        <v>400</v>
      </c>
      <c r="S35" s="175">
        <f>IF(AND(P35="",Q35=""),"",IF(Q35&lt;&gt;"",IF(COUNTIFS(Stock!$D$4:$IP$4,P35,Stock!$D$5:$IP$5,Q35)&gt;0,SUMIFS(Stock!$D$340:$IP$340,Stock!$D$4:$IP$4,P35,Stock!$D$5:$IP$5,Q35),IF(COUNTIF(Stock!$D$5:$IP$5,Q35)&gt;0,SUMIF(Stock!$D$5:$IP$5,Q35,Stock!$D$340:$IP$340),SUMIF(Stock!$D$4:$IP$4,P35,Stock!$D$340:$IP$340))),SUMIF(Stock!$D$4:$IP$4,P35,Stock!$D$340:$IP$340)))</f>
        <v>700</v>
      </c>
      <c r="T35" s="176">
        <f t="shared" si="2"/>
        <v>-300</v>
      </c>
      <c r="U35" s="1290">
        <f>IF(AND(P35="",Q35=""),"",IF(Q35&lt;&gt;"",IF(COUNTIFS(Stock!$D$4:$IP$4,P35,Stock!$D$5:$IP$5,Q35)&gt;0,SUMIFS(Stock!$D$32:$IP$32,Stock!$D$4:$IP$4,P35,Stock!$D$5:$IP$5,Q35),IF(COUNTIF(Stock!$D$5:$IP$5,Q35)&gt;0,SUMIF(Stock!$D$5:$IP$5,Q35,Stock!$D$32:$IP$32),SUMIF(Stock!$D$4:$IP$4,P35,Stock!$D$32:$IP$32))),SUMIF(Stock!$D$4:$IP$4,P35,Stock!$D$32:$IP$32)))</f>
        <v>1000</v>
      </c>
      <c r="V35" s="369" t="s">
        <v>1346</v>
      </c>
      <c r="W35" s="370"/>
      <c r="X35" s="2" t="str">
        <f t="array" ref="X35">IF(NOT(ISNUMBER($W35)),"CHECK",IF(OR(AND(TRIM($Q35&amp;"")&lt;&gt;"",INDEX(Stock!$EW$5:$FU$5,$W35)=$Q35),INDEX(Stock!$EW$4:$FU$4,$W35)=$P35),"OK","CHECK"))</f>
        <v>CHECK</v>
      </c>
    </row>
    <row r="36" spans="2:24" ht="15.75" customHeight="1" x14ac:dyDescent="0.25">
      <c r="B36" s="131" t="s">
        <v>133</v>
      </c>
      <c r="C36" s="4" t="s">
        <v>331</v>
      </c>
      <c r="D36" s="5">
        <v>470</v>
      </c>
      <c r="E36" s="5">
        <f>IF(AND(B36="",C36=""),"",IF(C36&lt;&gt;"",IF(COUNTIFS(Stock!$D$4:$IP$4,B36,Stock!$D$5:$IP$5,C36)&gt;0,SUMIFS(Stock!$D$340:$IP$340,Stock!$D$4:$IP$4,B36,Stock!$D$5:$IP$5,C36),IF(COUNTIF(Stock!$D$5:$IP$5,C36)&gt;0,SUMIF(Stock!$D$5:$IP$5,C36,Stock!$D$340:$IP$340),SUMIF(Stock!$D$4:$IP$4,B36,Stock!$D$340:$IP$340))),SUMIF(Stock!$D$4:$IP$4,B36,Stock!$D$340:$IP$340)))</f>
        <v>199</v>
      </c>
      <c r="F36" s="142">
        <f t="shared" si="0"/>
        <v>271</v>
      </c>
      <c r="G36" s="1294">
        <f>IF(AND(B36="",C36=""),"",IF(C36&lt;&gt;"",IF(COUNTIFS(Stock!$D$4:$IP$4,B36,Stock!$D$5:$IP$5,C36)&gt;0,SUMIFS(Stock!$D$32:$IP$32,Stock!$D$4:$IP$4,B36,Stock!$D$5:$IP$5,C36),IF(COUNTIF(Stock!$D$5:$IP$5,C36)&gt;0,SUMIF(Stock!$D$5:$IP$5,C36,Stock!$D$32:$IP$32),SUMIF(Stock!$D$4:$IP$4,B36,Stock!$D$32:$IP$32))),SUMIF(Stock!$D$4:$IP$4,B36,Stock!$D$32:$IP$32)))</f>
        <v>500</v>
      </c>
      <c r="I36" s="131" t="s">
        <v>219</v>
      </c>
      <c r="J36" s="4" t="s">
        <v>390</v>
      </c>
      <c r="K36" s="5">
        <v>94</v>
      </c>
      <c r="L36" s="5">
        <f>IF(AND(I36="",J36=""),"",IF(J36&lt;&gt;"",IF(COUNTIFS(Stock!$D$4:$IP$4,I36,Stock!$D$5:$IP$5,J36)&gt;0,SUMIFS(Stock!$D$340:$IP$340,Stock!$D$4:$IP$4,I36,Stock!$D$5:$IP$5,J36),IF(COUNTIF(Stock!$D$5:$IP$5,J36)&gt;0,SUMIF(Stock!$D$5:$IP$5,J36,Stock!$D$340:$IP$340),SUMIF(Stock!$D$4:$IP$4,I36,Stock!$D$340:$IP$340))),SUMIF(Stock!$D$4:$IP$4,I36,Stock!$D$340:$IP$340)))</f>
        <v>100</v>
      </c>
      <c r="M36" s="142">
        <f t="shared" si="1"/>
        <v>-6</v>
      </c>
      <c r="N36" s="1294">
        <f>IF(AND(I36="",J36=""),"",IF(J36&lt;&gt;"",IF(COUNTIFS(Stock!$D$4:$IP$4,I36,Stock!$D$5:$IP$5,J36)&gt;0,SUMIFS(Stock!$D$32:$IP$32,Stock!$D$4:$IP$4,I36,Stock!$D$5:$IP$5,J36),IF(COUNTIF(Stock!$D$5:$IP$5,J36)&gt;0,SUMIF(Stock!$D$5:$IP$5,J36,Stock!$D$32:$IP$32),SUMIF(Stock!$D$4:$IP$4,I36,Stock!$D$32:$IP$32))),SUMIF(Stock!$D$4:$IP$4,I36,Stock!$D$32:$IP$32)))</f>
        <v>100</v>
      </c>
      <c r="P36" s="159" t="s">
        <v>260</v>
      </c>
      <c r="Q36" s="2" t="s">
        <v>1295</v>
      </c>
      <c r="R36" s="5">
        <v>950</v>
      </c>
      <c r="S36" s="175">
        <f>IF(AND(P36="",Q36=""),"",IF(Q36&lt;&gt;"",IF(COUNTIFS(Stock!$D$4:$IP$4,P36,Stock!$D$5:$IP$5,Q36)&gt;0,SUMIFS(Stock!$D$340:$IP$340,Stock!$D$4:$IP$4,P36,Stock!$D$5:$IP$5,Q36),IF(COUNTIF(Stock!$D$5:$IP$5,Q36)&gt;0,SUMIF(Stock!$D$5:$IP$5,Q36,Stock!$D$340:$IP$340),SUMIF(Stock!$D$4:$IP$4,P36,Stock!$D$340:$IP$340))),SUMIF(Stock!$D$4:$IP$4,P36,Stock!$D$340:$IP$340)))</f>
        <v>1100</v>
      </c>
      <c r="T36" s="176">
        <f t="shared" si="2"/>
        <v>-150</v>
      </c>
      <c r="U36" s="1290">
        <f>IF(AND(P36="",Q36=""),"",IF(Q36&lt;&gt;"",IF(COUNTIFS(Stock!$D$4:$IP$4,P36,Stock!$D$5:$IP$5,Q36)&gt;0,SUMIFS(Stock!$D$32:$IP$32,Stock!$D$4:$IP$4,P36,Stock!$D$5:$IP$5,Q36),IF(COUNTIF(Stock!$D$5:$IP$5,Q36)&gt;0,SUMIF(Stock!$D$5:$IP$5,Q36,Stock!$D$32:$IP$32),SUMIF(Stock!$D$4:$IP$4,P36,Stock!$D$32:$IP$32))),SUMIF(Stock!$D$4:$IP$4,P36,Stock!$D$32:$IP$32)))</f>
        <v>1600</v>
      </c>
      <c r="V36" s="369" t="s">
        <v>1351</v>
      </c>
      <c r="W36" s="370"/>
      <c r="X36" s="2" t="str">
        <f t="array" ref="X36">IF(NOT(ISNUMBER($W36)),"CHECK",IF(OR(AND(TRIM($Q36&amp;"")&lt;&gt;"",INDEX(Stock!$EW$5:$FU$5,$W36)=$Q36),INDEX(Stock!$EW$4:$FU$4,$W36)=$P36),"OK","CHECK"))</f>
        <v>CHECK</v>
      </c>
    </row>
    <row r="37" spans="2:24" ht="15.75" customHeight="1" x14ac:dyDescent="0.25">
      <c r="B37" s="131" t="s">
        <v>134</v>
      </c>
      <c r="C37" s="4" t="s">
        <v>332</v>
      </c>
      <c r="D37" s="5">
        <v>120</v>
      </c>
      <c r="E37" s="5">
        <f>IF(AND(B37="",C37=""),"",IF(C37&lt;&gt;"",IF(COUNTIFS(Stock!$D$4:$IP$4,B37,Stock!$D$5:$IP$5,C37)&gt;0,SUMIFS(Stock!$D$340:$IP$340,Stock!$D$4:$IP$4,B37,Stock!$D$5:$IP$5,C37),IF(COUNTIF(Stock!$D$5:$IP$5,C37)&gt;0,SUMIF(Stock!$D$5:$IP$5,C37,Stock!$D$340:$IP$340),SUMIF(Stock!$D$4:$IP$4,B37,Stock!$D$340:$IP$340))),SUMIF(Stock!$D$4:$IP$4,B37,Stock!$D$340:$IP$340)))</f>
        <v>55</v>
      </c>
      <c r="F37" s="142">
        <f t="shared" si="0"/>
        <v>65</v>
      </c>
      <c r="G37" s="1294">
        <f>IF(AND(B37="",C37=""),"",IF(C37&lt;&gt;"",IF(COUNTIFS(Stock!$D$4:$IP$4,B37,Stock!$D$5:$IP$5,C37)&gt;0,SUMIFS(Stock!$D$32:$IP$32,Stock!$D$4:$IP$4,B37,Stock!$D$5:$IP$5,C37),IF(COUNTIF(Stock!$D$5:$IP$5,C37)&gt;0,SUMIF(Stock!$D$5:$IP$5,C37,Stock!$D$32:$IP$32),SUMIF(Stock!$D$4:$IP$4,B37,Stock!$D$32:$IP$32))),SUMIF(Stock!$D$4:$IP$4,B37,Stock!$D$32:$IP$32)))</f>
        <v>100</v>
      </c>
      <c r="I37" s="1346" t="s">
        <v>220</v>
      </c>
      <c r="J37" s="1347" t="s">
        <v>391</v>
      </c>
      <c r="K37" s="5">
        <v>72</v>
      </c>
      <c r="L37" s="5">
        <f>IF(AND(I37="",J37=""),"",IF(J37&lt;&gt;"",IF(COUNTIFS(Stock!$D$4:$IP$4,I37,Stock!$D$5:$IP$5,J37)&gt;0,SUMIFS(Stock!$D$340:$IP$340,Stock!$D$4:$IP$4,I37,Stock!$D$5:$IP$5,J37),IF(COUNTIF(Stock!$D$5:$IP$5,J37)&gt;0,SUMIF(Stock!$D$5:$IP$5,J37,Stock!$D$340:$IP$340),SUMIF(Stock!$D$4:$IP$4,I37,Stock!$D$340:$IP$340))),SUMIF(Stock!$D$4:$IP$4,I37,Stock!$D$340:$IP$340)))</f>
        <v>281</v>
      </c>
      <c r="M37" s="142">
        <f t="shared" si="1"/>
        <v>-209</v>
      </c>
      <c r="N37" s="1294">
        <f>IF(AND(I37="",J37=""),"",IF(J37&lt;&gt;"",IF(COUNTIFS(Stock!$D$4:$IP$4,I37,Stock!$D$5:$IP$5,J37)&gt;0,SUMIFS(Stock!$D$32:$IP$32,Stock!$D$4:$IP$4,I37,Stock!$D$5:$IP$5,J37),IF(COUNTIF(Stock!$D$5:$IP$5,J37)&gt;0,SUMIF(Stock!$D$5:$IP$5,J37,Stock!$D$32:$IP$32),SUMIF(Stock!$D$4:$IP$4,I37,Stock!$D$32:$IP$32))),SUMIF(Stock!$D$4:$IP$4,I37,Stock!$D$32:$IP$32)))</f>
        <v>281</v>
      </c>
      <c r="P37" s="159" t="s">
        <v>261</v>
      </c>
      <c r="R37" s="5"/>
      <c r="S37" s="175">
        <f>IF(AND(P37="",Q37=""),"",IF(Q37&lt;&gt;"",IF(COUNTIFS(Stock!$D$4:$IP$4,P37,Stock!$D$5:$IP$5,Q37)&gt;0,SUMIFS(Stock!$D$340:$IP$340,Stock!$D$4:$IP$4,P37,Stock!$D$5:$IP$5,Q37),IF(COUNTIF(Stock!$D$5:$IP$5,Q37)&gt;0,SUMIF(Stock!$D$5:$IP$5,Q37,Stock!$D$340:$IP$340),SUMIF(Stock!$D$4:$IP$4,P37,Stock!$D$340:$IP$340))),SUMIF(Stock!$D$4:$IP$4,P37,Stock!$D$340:$IP$340)))</f>
        <v>0</v>
      </c>
      <c r="T37" s="176">
        <f t="shared" si="2"/>
        <v>0</v>
      </c>
      <c r="U37" s="1290">
        <f>IF(AND(P37="",Q37=""),"",IF(Q37&lt;&gt;"",IF(COUNTIFS(Stock!$D$4:$IP$4,P37,Stock!$D$5:$IP$5,Q37)&gt;0,SUMIFS(Stock!$D$32:$IP$32,Stock!$D$4:$IP$4,P37,Stock!$D$5:$IP$5,Q37),IF(COUNTIF(Stock!$D$5:$IP$5,Q37)&gt;0,SUMIF(Stock!$D$5:$IP$5,Q37,Stock!$D$32:$IP$32),SUMIF(Stock!$D$4:$IP$4,P37,Stock!$D$32:$IP$32))),SUMIF(Stock!$D$4:$IP$4,P37,Stock!$D$32:$IP$32)))</f>
        <v>100</v>
      </c>
      <c r="V37" s="369" t="s">
        <v>1372</v>
      </c>
      <c r="W37" s="370"/>
      <c r="X37" s="2" t="str">
        <f t="array" ref="X37">IF(NOT(ISNUMBER($W37)),"CHECK",IF(OR(AND(TRIM($Q37&amp;"")&lt;&gt;"",INDEX(Stock!$EW$5:$FU$5,$W37)=$Q37),INDEX(Stock!$EW$4:$FU$4,$W37)=$P37),"OK","CHECK"))</f>
        <v>CHECK</v>
      </c>
    </row>
    <row r="38" spans="2:24" ht="15.75" customHeight="1" x14ac:dyDescent="0.25">
      <c r="B38" s="131" t="s">
        <v>135</v>
      </c>
      <c r="C38" s="4" t="s">
        <v>333</v>
      </c>
      <c r="D38" s="5">
        <v>40</v>
      </c>
      <c r="E38" s="5">
        <f>IF(AND(B38="",C38=""),"",IF(C38&lt;&gt;"",IF(COUNTIFS(Stock!$D$4:$IP$4,B38,Stock!$D$5:$IP$5,C38)&gt;0,SUMIFS(Stock!$D$340:$IP$340,Stock!$D$4:$IP$4,B38,Stock!$D$5:$IP$5,C38),IF(COUNTIF(Stock!$D$5:$IP$5,C38)&gt;0,SUMIF(Stock!$D$5:$IP$5,C38,Stock!$D$340:$IP$340),SUMIF(Stock!$D$4:$IP$4,B38,Stock!$D$340:$IP$340))),SUMIF(Stock!$D$4:$IP$4,B38,Stock!$D$340:$IP$340)))</f>
        <v>20</v>
      </c>
      <c r="F38" s="142">
        <f t="shared" si="0"/>
        <v>20</v>
      </c>
      <c r="G38" s="1294">
        <f>IF(AND(B38="",C38=""),"",IF(C38&lt;&gt;"",IF(COUNTIFS(Stock!$D$4:$IP$4,B38,Stock!$D$5:$IP$5,C38)&gt;0,SUMIFS(Stock!$D$32:$IP$32,Stock!$D$4:$IP$4,B38,Stock!$D$5:$IP$5,C38),IF(COUNTIF(Stock!$D$5:$IP$5,C38)&gt;0,SUMIF(Stock!$D$5:$IP$5,C38,Stock!$D$32:$IP$32),SUMIF(Stock!$D$4:$IP$4,B38,Stock!$D$32:$IP$32))),SUMIF(Stock!$D$4:$IP$4,B38,Stock!$D$32:$IP$32)))</f>
        <v>100</v>
      </c>
      <c r="I38" s="131" t="s">
        <v>221</v>
      </c>
      <c r="J38" s="4" t="s">
        <v>392</v>
      </c>
      <c r="K38" s="5"/>
      <c r="L38" s="5">
        <f>IF(AND(I38="",J38=""),"",IF(J38&lt;&gt;"",IF(COUNTIFS(Stock!$D$4:$IP$4,I38,Stock!$D$5:$IP$5,J38)&gt;0,SUMIFS(Stock!$D$340:$IP$340,Stock!$D$4:$IP$4,I38,Stock!$D$5:$IP$5,J38),IF(COUNTIF(Stock!$D$5:$IP$5,J38)&gt;0,SUMIF(Stock!$D$5:$IP$5,J38,Stock!$D$340:$IP$340),SUMIF(Stock!$D$4:$IP$4,I38,Stock!$D$340:$IP$340))),SUMIF(Stock!$D$4:$IP$4,I38,Stock!$D$340:$IP$340)))</f>
        <v>0</v>
      </c>
      <c r="M38" s="142">
        <f t="shared" si="1"/>
        <v>0</v>
      </c>
      <c r="N38" s="1294">
        <f>IF(AND(I38="",J38=""),"",IF(J38&lt;&gt;"",IF(COUNTIFS(Stock!$D$4:$IP$4,I38,Stock!$D$5:$IP$5,J38)&gt;0,SUMIFS(Stock!$D$32:$IP$32,Stock!$D$4:$IP$4,I38,Stock!$D$5:$IP$5,J38),IF(COUNTIF(Stock!$D$5:$IP$5,J38)&gt;0,SUMIF(Stock!$D$5:$IP$5,J38,Stock!$D$32:$IP$32),SUMIF(Stock!$D$4:$IP$4,I38,Stock!$D$32:$IP$32))),SUMIF(Stock!$D$4:$IP$4,I38,Stock!$D$32:$IP$32)))</f>
        <v>0</v>
      </c>
      <c r="P38" s="639" t="s">
        <v>262</v>
      </c>
      <c r="Q38" s="640"/>
      <c r="R38" s="641">
        <v>100</v>
      </c>
      <c r="S38" s="643">
        <f>IF(AND(P38="",Q38=""),"",IF(Q38&lt;&gt;"",IF(COUNTIFS(Stock!$D$4:$IP$4,P38,Stock!$D$5:$IP$5,Q38)&gt;0,SUMIFS(Stock!$D$340:$IP$340,Stock!$D$4:$IP$4,P38,Stock!$D$5:$IP$5,Q38),IF(COUNTIF(Stock!$D$5:$IP$5,Q38)&gt;0,SUMIF(Stock!$D$5:$IP$5,Q38,Stock!$D$340:$IP$340),SUMIF(Stock!$D$4:$IP$4,P38,Stock!$D$340:$IP$340))),SUMIF(Stock!$D$4:$IP$4,P38,Stock!$D$340:$IP$340)))</f>
        <v>0</v>
      </c>
      <c r="T38" s="176">
        <f t="shared" si="2"/>
        <v>100</v>
      </c>
      <c r="U38" s="1290">
        <f>IF(AND(P38="",Q38=""),"",IF(Q38&lt;&gt;"",IF(COUNTIFS(Stock!$D$4:$IP$4,P38,Stock!$D$5:$IP$5,Q38)&gt;0,SUMIFS(Stock!$D$32:$IP$32,Stock!$D$4:$IP$4,P38,Stock!$D$5:$IP$5,Q38),IF(COUNTIF(Stock!$D$5:$IP$5,Q38)&gt;0,SUMIF(Stock!$D$5:$IP$5,Q38,Stock!$D$32:$IP$32),SUMIF(Stock!$D$4:$IP$4,P38,Stock!$D$32:$IP$32))),SUMIF(Stock!$D$4:$IP$4,P38,Stock!$D$32:$IP$32)))</f>
        <v>0</v>
      </c>
      <c r="V38" s="369" t="s">
        <v>1421</v>
      </c>
      <c r="W38" s="370"/>
      <c r="X38" s="2" t="str">
        <f t="array" ref="X38">IF(NOT(ISNUMBER($W38)),"CHECK",IF(OR(AND(TRIM($Q38&amp;"")&lt;&gt;"",INDEX(Stock!$EW$5:$FU$5,$W38)=$Q38),INDEX(Stock!$EW$4:$FU$4,$W38)=$P38),"OK","CHECK"))</f>
        <v>CHECK</v>
      </c>
    </row>
    <row r="39" spans="2:24" ht="15.75" customHeight="1" x14ac:dyDescent="0.25">
      <c r="B39" s="131" t="s">
        <v>136</v>
      </c>
      <c r="C39" s="4" t="s">
        <v>334</v>
      </c>
      <c r="D39" s="5">
        <v>20</v>
      </c>
      <c r="E39" s="5">
        <f>IF(AND(B39="",C39=""),"",IF(C39&lt;&gt;"",IF(COUNTIFS(Stock!$D$4:$IP$4,B39,Stock!$D$5:$IP$5,C39)&gt;0,SUMIFS(Stock!$D$340:$IP$340,Stock!$D$4:$IP$4,B39,Stock!$D$5:$IP$5,C39),IF(COUNTIF(Stock!$D$5:$IP$5,C39)&gt;0,SUMIF(Stock!$D$5:$IP$5,C39,Stock!$D$340:$IP$340),SUMIF(Stock!$D$4:$IP$4,B39,Stock!$D$340:$IP$340))),SUMIF(Stock!$D$4:$IP$4,B39,Stock!$D$340:$IP$340)))</f>
        <v>15</v>
      </c>
      <c r="F39" s="142">
        <f t="shared" si="0"/>
        <v>5</v>
      </c>
      <c r="G39" s="1294">
        <f>IF(AND(B39="",C39=""),"",IF(C39&lt;&gt;"",IF(COUNTIFS(Stock!$D$4:$IP$4,B39,Stock!$D$5:$IP$5,C39)&gt;0,SUMIFS(Stock!$D$32:$IP$32,Stock!$D$4:$IP$4,B39,Stock!$D$5:$IP$5,C39),IF(COUNTIF(Stock!$D$5:$IP$5,C39)&gt;0,SUMIF(Stock!$D$5:$IP$5,C39,Stock!$D$32:$IP$32),SUMIF(Stock!$D$4:$IP$4,B39,Stock!$D$32:$IP$32))),SUMIF(Stock!$D$4:$IP$4,B39,Stock!$D$32:$IP$32)))</f>
        <v>200</v>
      </c>
      <c r="I39" s="131" t="s">
        <v>222</v>
      </c>
      <c r="J39" s="4" t="s">
        <v>393</v>
      </c>
      <c r="K39" s="5">
        <v>43</v>
      </c>
      <c r="L39" s="5">
        <f>IF(AND(I39="",J39=""),"",IF(J39&lt;&gt;"",IF(COUNTIFS(Stock!$D$4:$IP$4,I39,Stock!$D$5:$IP$5,J39)&gt;0,SUMIFS(Stock!$D$340:$IP$340,Stock!$D$4:$IP$4,I39,Stock!$D$5:$IP$5,J39),IF(COUNTIF(Stock!$D$5:$IP$5,J39)&gt;0,SUMIF(Stock!$D$5:$IP$5,J39,Stock!$D$340:$IP$340),SUMIF(Stock!$D$4:$IP$4,I39,Stock!$D$340:$IP$340))),SUMIF(Stock!$D$4:$IP$4,I39,Stock!$D$340:$IP$340)))</f>
        <v>25</v>
      </c>
      <c r="M39" s="142">
        <f t="shared" si="1"/>
        <v>18</v>
      </c>
      <c r="N39" s="1294">
        <f>IF(AND(I39="",J39=""),"",IF(J39&lt;&gt;"",IF(COUNTIFS(Stock!$D$4:$IP$4,I39,Stock!$D$5:$IP$5,J39)&gt;0,SUMIFS(Stock!$D$32:$IP$32,Stock!$D$4:$IP$4,I39,Stock!$D$5:$IP$5,J39),IF(COUNTIF(Stock!$D$5:$IP$5,J39)&gt;0,SUMIF(Stock!$D$5:$IP$5,J39,Stock!$D$32:$IP$32),SUMIF(Stock!$D$4:$IP$4,I39,Stock!$D$32:$IP$32))),SUMIF(Stock!$D$4:$IP$4,I39,Stock!$D$32:$IP$32)))</f>
        <v>79</v>
      </c>
      <c r="V39" s="112"/>
    </row>
    <row r="40" spans="2:24" ht="15.75" customHeight="1" x14ac:dyDescent="0.25">
      <c r="B40" s="131" t="s">
        <v>137</v>
      </c>
      <c r="C40" s="4"/>
      <c r="D40" s="5">
        <v>24</v>
      </c>
      <c r="E40" s="5">
        <f>IF(AND(B40="",C40=""),"",IF(C40&lt;&gt;"",IF(COUNTIFS(Stock!$D$4:$IP$4,B40,Stock!$D$5:$IP$5,C40)&gt;0,SUMIFS(Stock!$D$340:$IP$340,Stock!$D$4:$IP$4,B40,Stock!$D$5:$IP$5,C40),IF(COUNTIF(Stock!$D$5:$IP$5,C40)&gt;0,SUMIF(Stock!$D$5:$IP$5,C40,Stock!$D$340:$IP$340),SUMIF(Stock!$D$4:$IP$4,B40,Stock!$D$340:$IP$340))),SUMIF(Stock!$D$4:$IP$4,B40,Stock!$D$340:$IP$340)))</f>
        <v>25</v>
      </c>
      <c r="F40" s="142">
        <f t="shared" si="0"/>
        <v>-1</v>
      </c>
      <c r="G40" s="1294">
        <f>IF(AND(B40="",C40=""),"",IF(C40&lt;&gt;"",IF(COUNTIFS(Stock!$D$4:$IP$4,B40,Stock!$D$5:$IP$5,C40)&gt;0,SUMIFS(Stock!$D$32:$IP$32,Stock!$D$4:$IP$4,B40,Stock!$D$5:$IP$5,C40),IF(COUNTIF(Stock!$D$5:$IP$5,C40)&gt;0,SUMIF(Stock!$D$5:$IP$5,C40,Stock!$D$32:$IP$32),SUMIF(Stock!$D$4:$IP$4,B40,Stock!$D$32:$IP$32))),SUMIF(Stock!$D$4:$IP$4,B40,Stock!$D$32:$IP$32)))</f>
        <v>25</v>
      </c>
      <c r="I40" s="131" t="s">
        <v>223</v>
      </c>
      <c r="J40" s="4" t="s">
        <v>394</v>
      </c>
      <c r="K40" s="5">
        <v>4</v>
      </c>
      <c r="L40" s="5">
        <f>IF(AND(I40="",J40=""),"",IF(J40&lt;&gt;"",IF(COUNTIFS(Stock!$D$4:$IP$4,I40,Stock!$D$5:$IP$5,J40)&gt;0,SUMIFS(Stock!$D$340:$IP$340,Stock!$D$4:$IP$4,I40,Stock!$D$5:$IP$5,J40),IF(COUNTIF(Stock!$D$5:$IP$5,J40)&gt;0,SUMIF(Stock!$D$5:$IP$5,J40,Stock!$D$340:$IP$340),SUMIF(Stock!$D$4:$IP$4,I40,Stock!$D$340:$IP$340))),SUMIF(Stock!$D$4:$IP$4,I40,Stock!$D$340:$IP$340)))</f>
        <v>4</v>
      </c>
      <c r="M40" s="142">
        <f t="shared" si="1"/>
        <v>0</v>
      </c>
      <c r="N40" s="1294">
        <f>IF(AND(I40="",J40=""),"",IF(J40&lt;&gt;"",IF(COUNTIFS(Stock!$D$4:$IP$4,I40,Stock!$D$5:$IP$5,J40)&gt;0,SUMIFS(Stock!$D$32:$IP$32,Stock!$D$4:$IP$4,I40,Stock!$D$5:$IP$5,J40),IF(COUNTIF(Stock!$D$5:$IP$5,J40)&gt;0,SUMIF(Stock!$D$5:$IP$5,J40,Stock!$D$32:$IP$32),SUMIF(Stock!$D$4:$IP$4,I40,Stock!$D$32:$IP$32))),SUMIF(Stock!$D$4:$IP$4,I40,Stock!$D$32:$IP$32)))</f>
        <v>4</v>
      </c>
      <c r="V40" s="112"/>
    </row>
    <row r="41" spans="2:24" ht="15.75" customHeight="1" x14ac:dyDescent="0.25">
      <c r="B41" s="131" t="s">
        <v>138</v>
      </c>
      <c r="C41" s="4" t="s">
        <v>335</v>
      </c>
      <c r="D41" s="5">
        <v>75</v>
      </c>
      <c r="E41" s="5">
        <f>IF(AND(B41="",C41=""),"",IF(C41&lt;&gt;"",IF(COUNTIFS(Stock!$D$4:$IP$4,B41,Stock!$D$5:$IP$5,C41)&gt;0,SUMIFS(Stock!$D$340:$IP$340,Stock!$D$4:$IP$4,B41,Stock!$D$5:$IP$5,C41),IF(COUNTIF(Stock!$D$5:$IP$5,C41)&gt;0,SUMIF(Stock!$D$5:$IP$5,C41,Stock!$D$340:$IP$340),SUMIF(Stock!$D$4:$IP$4,B41,Stock!$D$340:$IP$340))),SUMIF(Stock!$D$4:$IP$4,B41,Stock!$D$340:$IP$340)))</f>
        <v>30</v>
      </c>
      <c r="F41" s="142">
        <f t="shared" si="0"/>
        <v>45</v>
      </c>
      <c r="G41" s="1294">
        <f>IF(AND(B41="",C41=""),"",IF(C41&lt;&gt;"",IF(COUNTIFS(Stock!$D$4:$IP$4,B41,Stock!$D$5:$IP$5,C41)&gt;0,SUMIFS(Stock!$D$32:$IP$32,Stock!$D$4:$IP$4,B41,Stock!$D$5:$IP$5,C41),IF(COUNTIF(Stock!$D$5:$IP$5,C41)&gt;0,SUMIF(Stock!$D$5:$IP$5,C41,Stock!$D$32:$IP$32),SUMIF(Stock!$D$4:$IP$4,B41,Stock!$D$32:$IP$32))),SUMIF(Stock!$D$4:$IP$4,B41,Stock!$D$32:$IP$32)))</f>
        <v>75</v>
      </c>
      <c r="I41" s="131" t="s">
        <v>224</v>
      </c>
      <c r="J41" s="4"/>
      <c r="K41" s="5"/>
      <c r="L41" s="5">
        <f>IF(AND(I41="",J41=""),"",IF(J41&lt;&gt;"",IF(COUNTIFS(Stock!$D$4:$IP$4,I41,Stock!$D$5:$IP$5,J41)&gt;0,SUMIFS(Stock!$D$340:$IP$340,Stock!$D$4:$IP$4,I41,Stock!$D$5:$IP$5,J41),IF(COUNTIF(Stock!$D$5:$IP$5,J41)&gt;0,SUMIF(Stock!$D$5:$IP$5,J41,Stock!$D$340:$IP$340),SUMIF(Stock!$D$4:$IP$4,I41,Stock!$D$340:$IP$340))),SUMIF(Stock!$D$4:$IP$4,I41,Stock!$D$340:$IP$340)))</f>
        <v>0</v>
      </c>
      <c r="M41" s="142">
        <f t="shared" si="1"/>
        <v>0</v>
      </c>
      <c r="N41" s="1294">
        <f>IF(AND(I41="",J41=""),"",IF(J41&lt;&gt;"",IF(COUNTIFS(Stock!$D$4:$IP$4,I41,Stock!$D$5:$IP$5,J41)&gt;0,SUMIFS(Stock!$D$32:$IP$32,Stock!$D$4:$IP$4,I41,Stock!$D$5:$IP$5,J41),IF(COUNTIF(Stock!$D$5:$IP$5,J41)&gt;0,SUMIF(Stock!$D$5:$IP$5,J41,Stock!$D$32:$IP$32),SUMIF(Stock!$D$4:$IP$4,I41,Stock!$D$32:$IP$32))),SUMIF(Stock!$D$4:$IP$4,I41,Stock!$D$32:$IP$32)))</f>
        <v>0</v>
      </c>
      <c r="P41" s="1313" t="s">
        <v>1459</v>
      </c>
      <c r="Q41" s="1314"/>
      <c r="R41" s="343" t="s">
        <v>211</v>
      </c>
      <c r="S41" s="343" t="s">
        <v>263</v>
      </c>
      <c r="T41" s="343" t="s">
        <v>264</v>
      </c>
      <c r="U41" s="1291"/>
      <c r="V41" s="344" t="s">
        <v>741</v>
      </c>
      <c r="W41" s="345" t="s">
        <v>1460</v>
      </c>
    </row>
    <row r="42" spans="2:24" ht="15.75" customHeight="1" x14ac:dyDescent="0.25">
      <c r="B42" s="131" t="s">
        <v>139</v>
      </c>
      <c r="C42" s="4" t="s">
        <v>336</v>
      </c>
      <c r="D42" s="5">
        <v>95</v>
      </c>
      <c r="E42" s="5">
        <f>IF(AND(B42="",C42=""),"",IF(C42&lt;&gt;"",IF(COUNTIFS(Stock!$D$4:$IP$4,B42,Stock!$D$5:$IP$5,C42)&gt;0,SUMIFS(Stock!$D$340:$IP$340,Stock!$D$4:$IP$4,B42,Stock!$D$5:$IP$5,C42),IF(COUNTIF(Stock!$D$5:$IP$5,C42)&gt;0,SUMIF(Stock!$D$5:$IP$5,C42,Stock!$D$340:$IP$340),SUMIF(Stock!$D$4:$IP$4,B42,Stock!$D$340:$IP$340))),SUMIF(Stock!$D$4:$IP$4,B42,Stock!$D$340:$IP$340)))</f>
        <v>55</v>
      </c>
      <c r="F42" s="142">
        <f t="shared" si="0"/>
        <v>40</v>
      </c>
      <c r="G42" s="1294">
        <f>IF(AND(B42="",C42=""),"",IF(C42&lt;&gt;"",IF(COUNTIFS(Stock!$D$4:$IP$4,B42,Stock!$D$5:$IP$5,C42)&gt;0,SUMIFS(Stock!$D$32:$IP$32,Stock!$D$4:$IP$4,B42,Stock!$D$5:$IP$5,C42),IF(COUNTIF(Stock!$D$5:$IP$5,C42)&gt;0,SUMIF(Stock!$D$5:$IP$5,C42,Stock!$D$32:$IP$32),SUMIF(Stock!$D$4:$IP$4,B42,Stock!$D$32:$IP$32))),SUMIF(Stock!$D$4:$IP$4,B42,Stock!$D$32:$IP$32)))</f>
        <v>100</v>
      </c>
      <c r="I42" s="131" t="s">
        <v>225</v>
      </c>
      <c r="J42" s="4"/>
      <c r="K42" s="5">
        <v>250</v>
      </c>
      <c r="L42" s="5">
        <f>IF(AND(I42="",J42=""),"",IF(J42&lt;&gt;"",IF(COUNTIFS(Stock!$D$4:$IP$4,I42,Stock!$D$5:$IP$5,J42)&gt;0,SUMIFS(Stock!$D$340:$IP$340,Stock!$D$4:$IP$4,I42,Stock!$D$5:$IP$5,J42),IF(COUNTIF(Stock!$D$5:$IP$5,J42)&gt;0,SUMIF(Stock!$D$5:$IP$5,J42,Stock!$D$340:$IP$340),SUMIF(Stock!$D$4:$IP$4,I42,Stock!$D$340:$IP$340))),SUMIF(Stock!$D$4:$IP$4,I42,Stock!$D$340:$IP$340)))</f>
        <v>150</v>
      </c>
      <c r="M42" s="142">
        <f t="shared" si="1"/>
        <v>100</v>
      </c>
      <c r="N42" s="1294">
        <f>IF(AND(I42="",J42=""),"",IF(J42&lt;&gt;"",IF(COUNTIFS(Stock!$D$4:$IP$4,I42,Stock!$D$5:$IP$5,J42)&gt;0,SUMIFS(Stock!$D$32:$IP$32,Stock!$D$4:$IP$4,I42,Stock!$D$5:$IP$5,J42),IF(COUNTIF(Stock!$D$5:$IP$5,J42)&gt;0,SUMIF(Stock!$D$5:$IP$5,J42,Stock!$D$32:$IP$32),SUMIF(Stock!$D$4:$IP$4,I42,Stock!$D$32:$IP$32))),SUMIF(Stock!$D$4:$IP$4,I42,Stock!$D$32:$IP$32)))</f>
        <v>624</v>
      </c>
      <c r="P42" s="159" t="s">
        <v>225</v>
      </c>
      <c r="Q42" s="2" t="s">
        <v>422</v>
      </c>
      <c r="R42" s="5">
        <v>250</v>
      </c>
      <c r="S42" s="175">
        <f>IF(AND(P42="",Q42=""),"",IF(Q42&lt;&gt;"",IF(COUNTIFS(Stock!$D$4:$IP$4,P42,Stock!$D$5:$IP$5,Q42)&gt;0,SUMIFS(Stock!$D$340:$IP$340,Stock!$D$4:$IP$4,P42,Stock!$D$5:$IP$5,Q42),IF(COUNTIF(Stock!$D$5:$IP$5,Q42)&gt;0,SUMIF(Stock!$D$5:$IP$5,Q42,Stock!$D$340:$IP$340),SUMIF(Stock!$D$4:$IP$4,P42,Stock!$D$340:$IP$340))),SUMIF(Stock!$D$4:$IP$4,P42,Stock!$D$340:$IP$340)))</f>
        <v>150</v>
      </c>
      <c r="T42" s="176">
        <f t="shared" ref="T42:T87" si="3">R42-S42</f>
        <v>100</v>
      </c>
      <c r="U42">
        <f>IF(AND(P42="",Q42=""),"",IF(Q42&lt;&gt;"",IF(COUNTIFS(Stock!$D$4:$IP$4,P42,Stock!$D$5:$IP$5,Q42)&gt;0,SUMIFS(Stock!$D$32:$IP$32,Stock!$D$4:$IP$4,P42,Stock!$D$5:$IP$5,Q42),IF(COUNTIF(Stock!$D$5:$IP$5,Q42)&gt;0,SUMIF(Stock!$D$5:$IP$5,Q42,Stock!$D$32:$IP$32),SUMIF(Stock!$D$4:$IP$4,P42,Stock!$D$32:$IP$32))),SUMIF(Stock!$D$4:$IP$4,P42,Stock!$D$32:$IP$32)))</f>
        <v>624</v>
      </c>
      <c r="V42" s="369" t="s">
        <v>481</v>
      </c>
      <c r="W42" s="655"/>
    </row>
    <row r="43" spans="2:24" ht="15.75" customHeight="1" x14ac:dyDescent="0.25">
      <c r="B43" s="131" t="s">
        <v>140</v>
      </c>
      <c r="C43" s="4" t="s">
        <v>337</v>
      </c>
      <c r="D43" s="5">
        <v>100</v>
      </c>
      <c r="E43" s="5">
        <f>IF(AND(B43="",C43=""),"",IF(C43&lt;&gt;"",IF(COUNTIFS(Stock!$D$4:$IP$4,B43,Stock!$D$5:$IP$5,C43)&gt;0,SUMIFS(Stock!$D$340:$IP$340,Stock!$D$4:$IP$4,B43,Stock!$D$5:$IP$5,C43),IF(COUNTIF(Stock!$D$5:$IP$5,C43)&gt;0,SUMIF(Stock!$D$5:$IP$5,C43,Stock!$D$340:$IP$340),SUMIF(Stock!$D$4:$IP$4,B43,Stock!$D$340:$IP$340))),SUMIF(Stock!$D$4:$IP$4,B43,Stock!$D$340:$IP$340)))</f>
        <v>50</v>
      </c>
      <c r="F43" s="142">
        <f t="shared" si="0"/>
        <v>50</v>
      </c>
      <c r="G43" s="1294">
        <f>IF(AND(B43="",C43=""),"",IF(C43&lt;&gt;"",IF(COUNTIFS(Stock!$D$4:$IP$4,B43,Stock!$D$5:$IP$5,C43)&gt;0,SUMIFS(Stock!$D$32:$IP$32,Stock!$D$4:$IP$4,B43,Stock!$D$5:$IP$5,C43),IF(COUNTIF(Stock!$D$5:$IP$5,C43)&gt;0,SUMIF(Stock!$D$5:$IP$5,C43,Stock!$D$32:$IP$32),SUMIF(Stock!$D$4:$IP$4,B43,Stock!$D$32:$IP$32))),SUMIF(Stock!$D$4:$IP$4,B43,Stock!$D$32:$IP$32)))</f>
        <v>100</v>
      </c>
      <c r="I43" s="131" t="s">
        <v>226</v>
      </c>
      <c r="J43" s="4" t="s">
        <v>395</v>
      </c>
      <c r="K43" s="5">
        <v>48</v>
      </c>
      <c r="L43" s="5">
        <f>IF(AND(I43="",J43=""),"",IF(J43&lt;&gt;"",IF(COUNTIFS(Stock!$D$4:$IP$4,I43,Stock!$D$5:$IP$5,J43)&gt;0,SUMIFS(Stock!$D$340:$IP$340,Stock!$D$4:$IP$4,I43,Stock!$D$5:$IP$5,J43),IF(COUNTIF(Stock!$D$5:$IP$5,J43)&gt;0,SUMIF(Stock!$D$5:$IP$5,J43,Stock!$D$340:$IP$340),SUMIF(Stock!$D$4:$IP$4,I43,Stock!$D$340:$IP$340))),SUMIF(Stock!$D$4:$IP$4,I43,Stock!$D$340:$IP$340)))</f>
        <v>0</v>
      </c>
      <c r="M43" s="142">
        <f t="shared" si="1"/>
        <v>48</v>
      </c>
      <c r="N43" s="1294">
        <f>IF(AND(I43="",J43=""),"",IF(J43&lt;&gt;"",IF(COUNTIFS(Stock!$D$4:$IP$4,I43,Stock!$D$5:$IP$5,J43)&gt;0,SUMIFS(Stock!$D$32:$IP$32,Stock!$D$4:$IP$4,I43,Stock!$D$5:$IP$5,J43),IF(COUNTIF(Stock!$D$5:$IP$5,J43)&gt;0,SUMIF(Stock!$D$5:$IP$5,J43,Stock!$D$32:$IP$32),SUMIF(Stock!$D$4:$IP$4,I43,Stock!$D$32:$IP$32))),SUMIF(Stock!$D$4:$IP$4,I43,Stock!$D$32:$IP$32)))</f>
        <v>102</v>
      </c>
      <c r="P43" s="657" t="s">
        <v>190</v>
      </c>
      <c r="Q43" s="112" t="s">
        <v>423</v>
      </c>
      <c r="R43" s="5">
        <v>50</v>
      </c>
      <c r="S43" s="175">
        <f>IF(AND(P43="",Q43=""),"",IF(Q43&lt;&gt;"",IF(COUNTIFS(Stock!$D$4:$IP$4,P43,Stock!$D$5:$IP$5,Q43)&gt;0,SUMIFS(Stock!$D$340:$IP$340,Stock!$D$4:$IP$4,P43,Stock!$D$5:$IP$5,Q43),IF(COUNTIF(Stock!$D$5:$IP$5,Q43)&gt;0,SUMIF(Stock!$D$5:$IP$5,Q43,Stock!$D$340:$IP$340),SUMIF(Stock!$D$4:$IP$4,P43,Stock!$D$340:$IP$340))),SUMIF(Stock!$D$4:$IP$4,P43,Stock!$D$340:$IP$340)))</f>
        <v>0</v>
      </c>
      <c r="T43" s="176">
        <f t="shared" si="3"/>
        <v>50</v>
      </c>
      <c r="U43">
        <f>IF(AND(P43="",Q43=""),"",IF(Q43&lt;&gt;"",IF(COUNTIFS(Stock!$D$4:$IP$4,P43,Stock!$D$5:$IP$5,Q43)&gt;0,SUMIFS(Stock!$D$32:$IP$32,Stock!$D$4:$IP$4,P43,Stock!$D$5:$IP$5,Q43),IF(COUNTIF(Stock!$D$5:$IP$5,Q43)&gt;0,SUMIF(Stock!$D$5:$IP$5,Q43,Stock!$D$32:$IP$32),SUMIF(Stock!$D$4:$IP$4,P43,Stock!$D$32:$IP$32))),SUMIF(Stock!$D$4:$IP$4,P43,Stock!$D$32:$IP$32)))</f>
        <v>50</v>
      </c>
      <c r="V43" s="369" t="s">
        <v>1513</v>
      </c>
      <c r="W43" s="655"/>
    </row>
    <row r="44" spans="2:24" ht="15.75" customHeight="1" x14ac:dyDescent="0.25">
      <c r="B44" s="131" t="s">
        <v>141</v>
      </c>
      <c r="C44" s="4" t="s">
        <v>338</v>
      </c>
      <c r="D44" s="5">
        <v>20</v>
      </c>
      <c r="E44" s="5">
        <f>IF(AND(B44="",C44=""),"",IF(C44&lt;&gt;"",IF(COUNTIFS(Stock!$D$4:$IP$4,B44,Stock!$D$5:$IP$5,C44)&gt;0,SUMIFS(Stock!$D$340:$IP$340,Stock!$D$4:$IP$4,B44,Stock!$D$5:$IP$5,C44),IF(COUNTIF(Stock!$D$5:$IP$5,C44)&gt;0,SUMIF(Stock!$D$5:$IP$5,C44,Stock!$D$340:$IP$340),SUMIF(Stock!$D$4:$IP$4,B44,Stock!$D$340:$IP$340))),SUMIF(Stock!$D$4:$IP$4,B44,Stock!$D$340:$IP$340)))</f>
        <v>15</v>
      </c>
      <c r="F44" s="142">
        <f t="shared" si="0"/>
        <v>5</v>
      </c>
      <c r="G44" s="1294">
        <f>IF(AND(B44="",C44=""),"",IF(C44&lt;&gt;"",IF(COUNTIFS(Stock!$D$4:$IP$4,B44,Stock!$D$5:$IP$5,C44)&gt;0,SUMIFS(Stock!$D$32:$IP$32,Stock!$D$4:$IP$4,B44,Stock!$D$5:$IP$5,C44),IF(COUNTIF(Stock!$D$5:$IP$5,C44)&gt;0,SUMIF(Stock!$D$5:$IP$5,C44,Stock!$D$32:$IP$32),SUMIF(Stock!$D$4:$IP$4,B44,Stock!$D$32:$IP$32))),SUMIF(Stock!$D$4:$IP$4,B44,Stock!$D$32:$IP$32)))</f>
        <v>100</v>
      </c>
      <c r="I44" s="131" t="s">
        <v>227</v>
      </c>
      <c r="J44" s="4" t="s">
        <v>396</v>
      </c>
      <c r="K44" s="5">
        <v>108</v>
      </c>
      <c r="L44" s="5">
        <f>IF(AND(I44="",J44=""),"",IF(J44&lt;&gt;"",IF(COUNTIFS(Stock!$D$4:$IP$4,I44,Stock!$D$5:$IP$5,J44)&gt;0,SUMIFS(Stock!$D$340:$IP$340,Stock!$D$4:$IP$4,I44,Stock!$D$5:$IP$5,J44),IF(COUNTIF(Stock!$D$5:$IP$5,J44)&gt;0,SUMIF(Stock!$D$5:$IP$5,J44,Stock!$D$340:$IP$340),SUMIF(Stock!$D$4:$IP$4,I44,Stock!$D$340:$IP$340))),SUMIF(Stock!$D$4:$IP$4,I44,Stock!$D$340:$IP$340)))</f>
        <v>54</v>
      </c>
      <c r="M44" s="142">
        <f t="shared" si="1"/>
        <v>54</v>
      </c>
      <c r="N44" s="1294">
        <f>IF(AND(I44="",J44=""),"",IF(J44&lt;&gt;"",IF(COUNTIFS(Stock!$D$4:$IP$4,I44,Stock!$D$5:$IP$5,J44)&gt;0,SUMIFS(Stock!$D$32:$IP$32,Stock!$D$4:$IP$4,I44,Stock!$D$5:$IP$5,J44),IF(COUNTIF(Stock!$D$5:$IP$5,J44)&gt;0,SUMIF(Stock!$D$5:$IP$5,J44,Stock!$D$32:$IP$32),SUMIF(Stock!$D$4:$IP$4,I44,Stock!$D$32:$IP$32))),SUMIF(Stock!$D$4:$IP$4,I44,Stock!$D$32:$IP$32)))</f>
        <v>108</v>
      </c>
      <c r="P44" s="159" t="s">
        <v>266</v>
      </c>
      <c r="Q44" s="2" t="s">
        <v>383</v>
      </c>
      <c r="R44" s="5">
        <v>343</v>
      </c>
      <c r="S44" s="175">
        <f>IF(AND(P44="",Q44=""),"",IF(Q44&lt;&gt;"",IF(COUNTIFS(Stock!$D$4:$IP$4,P44,Stock!$D$5:$IP$5,Q44)&gt;0,SUMIFS(Stock!$D$340:$IP$340,Stock!$D$4:$IP$4,P44,Stock!$D$5:$IP$5,Q44),IF(COUNTIF(Stock!$D$5:$IP$5,Q44)&gt;0,SUMIF(Stock!$D$5:$IP$5,Q44,Stock!$D$340:$IP$340),SUMIF(Stock!$D$4:$IP$4,P44,Stock!$D$340:$IP$340))),SUMIF(Stock!$D$4:$IP$4,P44,Stock!$D$340:$IP$340)))</f>
        <v>25</v>
      </c>
      <c r="T44" s="176">
        <f t="shared" si="3"/>
        <v>318</v>
      </c>
      <c r="U44">
        <f>IF(AND(P44="",Q44=""),"",IF(Q44&lt;&gt;"",IF(COUNTIFS(Stock!$D$4:$IP$4,P44,Stock!$D$5:$IP$5,Q44)&gt;0,SUMIFS(Stock!$D$32:$IP$32,Stock!$D$4:$IP$4,P44,Stock!$D$5:$IP$5,Q44),IF(COUNTIF(Stock!$D$5:$IP$5,Q44)&gt;0,SUMIF(Stock!$D$5:$IP$5,Q44,Stock!$D$32:$IP$32),SUMIF(Stock!$D$4:$IP$4,P44,Stock!$D$32:$IP$32))),SUMIF(Stock!$D$4:$IP$4,P44,Stock!$D$32:$IP$32)))</f>
        <v>243</v>
      </c>
      <c r="V44" s="369" t="s">
        <v>1536</v>
      </c>
      <c r="W44" s="655"/>
    </row>
    <row r="45" spans="2:24" ht="15.75" customHeight="1" x14ac:dyDescent="0.25">
      <c r="B45" s="131" t="s">
        <v>143</v>
      </c>
      <c r="C45" s="4" t="s">
        <v>339</v>
      </c>
      <c r="D45" s="5">
        <v>55</v>
      </c>
      <c r="E45" s="5">
        <f>IF(AND(B45="",C45=""),"",IF(C45&lt;&gt;"",IF(COUNTIFS(Stock!$D$4:$IP$4,B45,Stock!$D$5:$IP$5,C45)&gt;0,SUMIFS(Stock!$D$340:$IP$340,Stock!$D$4:$IP$4,B45,Stock!$D$5:$IP$5,C45),IF(COUNTIF(Stock!$D$5:$IP$5,C45)&gt;0,SUMIF(Stock!$D$5:$IP$5,C45,Stock!$D$340:$IP$340),SUMIF(Stock!$D$4:$IP$4,B45,Stock!$D$340:$IP$340))),SUMIF(Stock!$D$4:$IP$4,B45,Stock!$D$340:$IP$340)))</f>
        <v>50</v>
      </c>
      <c r="F45" s="142">
        <f t="shared" si="0"/>
        <v>5</v>
      </c>
      <c r="G45" s="1294">
        <f>IF(AND(B45="",C45=""),"",IF(C45&lt;&gt;"",IF(COUNTIFS(Stock!$D$4:$IP$4,B45,Stock!$D$5:$IP$5,C45)&gt;0,SUMIFS(Stock!$D$32:$IP$32,Stock!$D$4:$IP$4,B45,Stock!$D$5:$IP$5,C45),IF(COUNTIF(Stock!$D$5:$IP$5,C45)&gt;0,SUMIF(Stock!$D$5:$IP$5,C45,Stock!$D$32:$IP$32),SUMIF(Stock!$D$4:$IP$4,B45,Stock!$D$32:$IP$32))),SUMIF(Stock!$D$4:$IP$4,B45,Stock!$D$32:$IP$32)))</f>
        <v>100</v>
      </c>
      <c r="I45" s="131" t="s">
        <v>105</v>
      </c>
      <c r="J45" s="4" t="s">
        <v>397</v>
      </c>
      <c r="K45" s="5">
        <v>144</v>
      </c>
      <c r="L45" s="5">
        <f>IF(AND(I45="",J45=""),"",IF(J45&lt;&gt;"",IF(COUNTIFS(Stock!$D$4:$IP$4,I45,Stock!$D$5:$IP$5,J45)&gt;0,SUMIFS(Stock!$D$340:$IP$340,Stock!$D$4:$IP$4,I45,Stock!$D$5:$IP$5,J45),IF(COUNTIF(Stock!$D$5:$IP$5,J45)&gt;0,SUMIF(Stock!$D$5:$IP$5,J45,Stock!$D$340:$IP$340),SUMIF(Stock!$D$4:$IP$4,I45,Stock!$D$340:$IP$340))),SUMIF(Stock!$D$4:$IP$4,I45,Stock!$D$340:$IP$340)))</f>
        <v>0</v>
      </c>
      <c r="M45" s="142">
        <f t="shared" si="1"/>
        <v>144</v>
      </c>
      <c r="N45" s="1294">
        <f>IF(AND(I45="",J45=""),"",IF(J45&lt;&gt;"",IF(COUNTIFS(Stock!$D$4:$IP$4,I45,Stock!$D$5:$IP$5,J45)&gt;0,SUMIFS(Stock!$D$32:$IP$32,Stock!$D$4:$IP$4,I45,Stock!$D$5:$IP$5,J45),IF(COUNTIF(Stock!$D$5:$IP$5,J45)&gt;0,SUMIF(Stock!$D$5:$IP$5,J45,Stock!$D$32:$IP$32),SUMIF(Stock!$D$4:$IP$4,I45,Stock!$D$32:$IP$32))),SUMIF(Stock!$D$4:$IP$4,I45,Stock!$D$32:$IP$32)))</f>
        <v>54</v>
      </c>
      <c r="P45" s="159" t="s">
        <v>267</v>
      </c>
      <c r="Q45" s="2" t="s">
        <v>383</v>
      </c>
      <c r="R45" s="5"/>
      <c r="S45" s="175">
        <f>IF(AND(P45="",Q45=""),"",IF(Q45&lt;&gt;"",IF(COUNTIFS(Stock!$D$4:$IP$4,P45,Stock!$D$5:$IP$5,Q45)&gt;0,SUMIFS(Stock!$D$340:$IP$340,Stock!$D$4:$IP$4,P45,Stock!$D$5:$IP$5,Q45),IF(COUNTIF(Stock!$D$5:$IP$5,Q45)&gt;0,SUMIF(Stock!$D$5:$IP$5,Q45,Stock!$D$340:$IP$340),SUMIF(Stock!$D$4:$IP$4,P45,Stock!$D$340:$IP$340))),SUMIF(Stock!$D$4:$IP$4,P45,Stock!$D$340:$IP$340)))</f>
        <v>318</v>
      </c>
      <c r="T45" s="176">
        <f t="shared" si="3"/>
        <v>-318</v>
      </c>
      <c r="U45">
        <f>IF(AND(P45="",Q45=""),"",IF(Q45&lt;&gt;"",IF(COUNTIFS(Stock!$D$4:$IP$4,P45,Stock!$D$5:$IP$5,Q45)&gt;0,SUMIFS(Stock!$D$32:$IP$32,Stock!$D$4:$IP$4,P45,Stock!$D$5:$IP$5,Q45),IF(COUNTIF(Stock!$D$5:$IP$5,Q45)&gt;0,SUMIF(Stock!$D$5:$IP$5,Q45,Stock!$D$32:$IP$32),SUMIF(Stock!$D$4:$IP$4,P45,Stock!$D$32:$IP$32))),SUMIF(Stock!$D$4:$IP$4,P45,Stock!$D$32:$IP$32)))</f>
        <v>100</v>
      </c>
      <c r="V45" s="369" t="s">
        <v>1015</v>
      </c>
      <c r="W45" s="655"/>
    </row>
    <row r="46" spans="2:24" ht="15.75" customHeight="1" x14ac:dyDescent="0.25">
      <c r="B46" s="131" t="s">
        <v>144</v>
      </c>
      <c r="C46" s="4" t="s">
        <v>340</v>
      </c>
      <c r="D46" s="5">
        <v>170</v>
      </c>
      <c r="E46" s="5">
        <f>IF(AND(B46="",C46=""),"",IF(C46&lt;&gt;"",IF(COUNTIFS(Stock!$D$4:$IP$4,B46,Stock!$D$5:$IP$5,C46)&gt;0,SUMIFS(Stock!$D$340:$IP$340,Stock!$D$4:$IP$4,B46,Stock!$D$5:$IP$5,C46),IF(COUNTIF(Stock!$D$5:$IP$5,C46)&gt;0,SUMIF(Stock!$D$5:$IP$5,C46,Stock!$D$340:$IP$340),SUMIF(Stock!$D$4:$IP$4,B46,Stock!$D$340:$IP$340))),SUMIF(Stock!$D$4:$IP$4,B46,Stock!$D$340:$IP$340)))</f>
        <v>200</v>
      </c>
      <c r="F46" s="142">
        <f t="shared" si="0"/>
        <v>-30</v>
      </c>
      <c r="G46" s="1294">
        <f>IF(AND(B46="",C46=""),"",IF(C46&lt;&gt;"",IF(COUNTIFS(Stock!$D$4:$IP$4,B46,Stock!$D$5:$IP$5,C46)&gt;0,SUMIFS(Stock!$D$32:$IP$32,Stock!$D$4:$IP$4,B46,Stock!$D$5:$IP$5,C46),IF(COUNTIF(Stock!$D$5:$IP$5,C46)&gt;0,SUMIF(Stock!$D$5:$IP$5,C46,Stock!$D$32:$IP$32),SUMIF(Stock!$D$4:$IP$4,B46,Stock!$D$32:$IP$32))),SUMIF(Stock!$D$4:$IP$4,B46,Stock!$D$32:$IP$32)))</f>
        <v>200</v>
      </c>
      <c r="I46" s="131" t="s">
        <v>228</v>
      </c>
      <c r="J46" s="4" t="s">
        <v>398</v>
      </c>
      <c r="K46" s="5">
        <v>213</v>
      </c>
      <c r="L46" s="5">
        <f>IF(AND(I46="",J46=""),"",IF(J46&lt;&gt;"",IF(COUNTIFS(Stock!$D$4:$IP$4,I46,Stock!$D$5:$IP$5,J46)&gt;0,SUMIFS(Stock!$D$340:$IP$340,Stock!$D$4:$IP$4,I46,Stock!$D$5:$IP$5,J46),IF(COUNTIF(Stock!$D$5:$IP$5,J46)&gt;0,SUMIF(Stock!$D$5:$IP$5,J46,Stock!$D$340:$IP$340),SUMIF(Stock!$D$4:$IP$4,I46,Stock!$D$340:$IP$340))),SUMIF(Stock!$D$4:$IP$4,I46,Stock!$D$340:$IP$340)))</f>
        <v>106</v>
      </c>
      <c r="M46" s="142">
        <f t="shared" si="1"/>
        <v>107</v>
      </c>
      <c r="N46" s="1294">
        <f>IF(AND(I46="",J46=""),"",IF(J46&lt;&gt;"",IF(COUNTIFS(Stock!$D$4:$IP$4,I46,Stock!$D$5:$IP$5,J46)&gt;0,SUMIFS(Stock!$D$32:$IP$32,Stock!$D$4:$IP$4,I46,Stock!$D$5:$IP$5,J46),IF(COUNTIF(Stock!$D$5:$IP$5,J46)&gt;0,SUMIF(Stock!$D$5:$IP$5,J46,Stock!$D$32:$IP$32),SUMIF(Stock!$D$4:$IP$4,I46,Stock!$D$32:$IP$32))),SUMIF(Stock!$D$4:$IP$4,I46,Stock!$D$32:$IP$32)))</f>
        <v>214</v>
      </c>
      <c r="P46" s="159" t="s">
        <v>268</v>
      </c>
      <c r="Q46" s="2" t="s">
        <v>424</v>
      </c>
      <c r="R46" s="5">
        <v>450</v>
      </c>
      <c r="S46" s="175">
        <f>IF(AND(P46="",Q46=""),"",IF(Q46&lt;&gt;"",IF(COUNTIFS(Stock!$D$4:$IP$4,P46,Stock!$D$5:$IP$5,Q46)&gt;0,SUMIFS(Stock!$D$340:$IP$340,Stock!$D$4:$IP$4,P46,Stock!$D$5:$IP$5,Q46),IF(COUNTIF(Stock!$D$5:$IP$5,Q46)&gt;0,SUMIF(Stock!$D$5:$IP$5,Q46,Stock!$D$340:$IP$340),SUMIF(Stock!$D$4:$IP$4,P46,Stock!$D$340:$IP$340))),SUMIF(Stock!$D$4:$IP$4,P46,Stock!$D$340:$IP$340)))</f>
        <v>475</v>
      </c>
      <c r="T46" s="176">
        <f t="shared" si="3"/>
        <v>-25</v>
      </c>
      <c r="U46">
        <f>IF(AND(P46="",Q46=""),"",IF(Q46&lt;&gt;"",IF(COUNTIFS(Stock!$D$4:$IP$4,P46,Stock!$D$5:$IP$5,Q46)&gt;0,SUMIFS(Stock!$D$32:$IP$32,Stock!$D$4:$IP$4,P46,Stock!$D$5:$IP$5,Q46),IF(COUNTIF(Stock!$D$5:$IP$5,Q46)&gt;0,SUMIF(Stock!$D$5:$IP$5,Q46,Stock!$D$32:$IP$32),SUMIF(Stock!$D$4:$IP$4,P46,Stock!$D$32:$IP$32))),SUMIF(Stock!$D$4:$IP$4,P46,Stock!$D$32:$IP$32)))</f>
        <v>475</v>
      </c>
      <c r="V46" s="369" t="s">
        <v>1580</v>
      </c>
      <c r="W46" s="655"/>
    </row>
    <row r="47" spans="2:24" ht="15.75" customHeight="1" x14ac:dyDescent="0.25">
      <c r="B47" s="131" t="s">
        <v>145</v>
      </c>
      <c r="C47" s="4" t="s">
        <v>341</v>
      </c>
      <c r="D47" s="5">
        <v>45</v>
      </c>
      <c r="E47" s="5">
        <f>IF(AND(B47="",C47=""),"",IF(C47&lt;&gt;"",IF(COUNTIFS(Stock!$D$4:$IP$4,B47,Stock!$D$5:$IP$5,C47)&gt;0,SUMIFS(Stock!$D$340:$IP$340,Stock!$D$4:$IP$4,B47,Stock!$D$5:$IP$5,C47),IF(COUNTIF(Stock!$D$5:$IP$5,C47)&gt;0,SUMIF(Stock!$D$5:$IP$5,C47,Stock!$D$340:$IP$340),SUMIF(Stock!$D$4:$IP$4,B47,Stock!$D$340:$IP$340))),SUMIF(Stock!$D$4:$IP$4,B47,Stock!$D$340:$IP$340)))</f>
        <v>20</v>
      </c>
      <c r="F47" s="142">
        <f t="shared" si="0"/>
        <v>25</v>
      </c>
      <c r="G47" s="1294">
        <f>IF(AND(B47="",C47=""),"",IF(C47&lt;&gt;"",IF(COUNTIFS(Stock!$D$4:$IP$4,B47,Stock!$D$5:$IP$5,C47)&gt;0,SUMIFS(Stock!$D$32:$IP$32,Stock!$D$4:$IP$4,B47,Stock!$D$5:$IP$5,C47),IF(COUNTIF(Stock!$D$5:$IP$5,C47)&gt;0,SUMIF(Stock!$D$5:$IP$5,C47,Stock!$D$32:$IP$32),SUMIF(Stock!$D$4:$IP$4,B47,Stock!$D$32:$IP$32))),SUMIF(Stock!$D$4:$IP$4,B47,Stock!$D$32:$IP$32)))</f>
        <v>50</v>
      </c>
      <c r="I47" s="131" t="s">
        <v>229</v>
      </c>
      <c r="J47" s="4" t="s">
        <v>399</v>
      </c>
      <c r="K47" s="5">
        <v>11</v>
      </c>
      <c r="L47" s="5">
        <f>IF(AND(I47="",J47=""),"",IF(J47&lt;&gt;"",IF(COUNTIFS(Stock!$D$4:$IP$4,I47,Stock!$D$5:$IP$5,J47)&gt;0,SUMIFS(Stock!$D$340:$IP$340,Stock!$D$4:$IP$4,I47,Stock!$D$5:$IP$5,J47),IF(COUNTIF(Stock!$D$5:$IP$5,J47)&gt;0,SUMIF(Stock!$D$5:$IP$5,J47,Stock!$D$340:$IP$340),SUMIF(Stock!$D$4:$IP$4,I47,Stock!$D$340:$IP$340))),SUMIF(Stock!$D$4:$IP$4,I47,Stock!$D$340:$IP$340)))</f>
        <v>11</v>
      </c>
      <c r="M47" s="142">
        <f t="shared" si="1"/>
        <v>0</v>
      </c>
      <c r="N47" s="1294">
        <f>IF(AND(I47="",J47=""),"",IF(J47&lt;&gt;"",IF(COUNTIFS(Stock!$D$4:$IP$4,I47,Stock!$D$5:$IP$5,J47)&gt;0,SUMIFS(Stock!$D$32:$IP$32,Stock!$D$4:$IP$4,I47,Stock!$D$5:$IP$5,J47),IF(COUNTIF(Stock!$D$5:$IP$5,J47)&gt;0,SUMIF(Stock!$D$5:$IP$5,J47,Stock!$D$32:$IP$32),SUMIF(Stock!$D$4:$IP$4,I47,Stock!$D$32:$IP$32))),SUMIF(Stock!$D$4:$IP$4,I47,Stock!$D$32:$IP$32)))</f>
        <v>11</v>
      </c>
      <c r="P47" s="159" t="s">
        <v>269</v>
      </c>
      <c r="Q47" s="2" t="s">
        <v>57</v>
      </c>
      <c r="R47" s="5">
        <v>4500</v>
      </c>
      <c r="S47" s="175">
        <f>IF(AND(P47="",Q47=""),"",IF(Q47&lt;&gt;"",IF(COUNTIFS(Stock!$D$4:$IP$4,P47,Stock!$D$5:$IP$5,Q47)&gt;0,SUMIFS(Stock!$D$340:$IP$340,Stock!$D$4:$IP$4,P47,Stock!$D$5:$IP$5,Q47),IF(COUNTIF(Stock!$D$5:$IP$5,Q47)&gt;0,SUMIF(Stock!$D$5:$IP$5,Q47,Stock!$D$340:$IP$340),SUMIF(Stock!$D$4:$IP$4,P47,Stock!$D$340:$IP$340))),SUMIF(Stock!$D$4:$IP$4,P47,Stock!$D$340:$IP$340)))</f>
        <v>1500</v>
      </c>
      <c r="T47" s="176">
        <f t="shared" si="3"/>
        <v>3000</v>
      </c>
      <c r="U47">
        <f>IF(AND(P47="",Q47=""),"",IF(Q47&lt;&gt;"",IF(COUNTIFS(Stock!$D$4:$IP$4,P47,Stock!$D$5:$IP$5,Q47)&gt;0,SUMIFS(Stock!$D$32:$IP$32,Stock!$D$4:$IP$4,P47,Stock!$D$5:$IP$5,Q47),IF(COUNTIF(Stock!$D$5:$IP$5,Q47)&gt;0,SUMIF(Stock!$D$5:$IP$5,Q47,Stock!$D$32:$IP$32),SUMIF(Stock!$D$4:$IP$4,P47,Stock!$D$32:$IP$32))),SUMIF(Stock!$D$4:$IP$4,P47,Stock!$D$32:$IP$32)))</f>
        <v>4450</v>
      </c>
      <c r="V47" s="369" t="s">
        <v>58</v>
      </c>
      <c r="W47" s="655"/>
    </row>
    <row r="48" spans="2:24" ht="15.75" customHeight="1" x14ac:dyDescent="0.25">
      <c r="B48" s="131" t="s">
        <v>146</v>
      </c>
      <c r="C48" s="4" t="s">
        <v>342</v>
      </c>
      <c r="D48" s="5">
        <v>25</v>
      </c>
      <c r="E48" s="5">
        <f>IF(AND(B48="",C48=""),"",IF(C48&lt;&gt;"",IF(COUNTIFS(Stock!$D$4:$IP$4,B48,Stock!$D$5:$IP$5,C48)&gt;0,SUMIFS(Stock!$D$340:$IP$340,Stock!$D$4:$IP$4,B48,Stock!$D$5:$IP$5,C48),IF(COUNTIF(Stock!$D$5:$IP$5,C48)&gt;0,SUMIF(Stock!$D$5:$IP$5,C48,Stock!$D$340:$IP$340),SUMIF(Stock!$D$4:$IP$4,B48,Stock!$D$340:$IP$340))),SUMIF(Stock!$D$4:$IP$4,B48,Stock!$D$340:$IP$340)))</f>
        <v>15</v>
      </c>
      <c r="F48" s="142">
        <f t="shared" si="0"/>
        <v>10</v>
      </c>
      <c r="G48" s="1294">
        <f>IF(AND(B48="",C48=""),"",IF(C48&lt;&gt;"",IF(COUNTIFS(Stock!$D$4:$IP$4,B48,Stock!$D$5:$IP$5,C48)&gt;0,SUMIFS(Stock!$D$32:$IP$32,Stock!$D$4:$IP$4,B48,Stock!$D$5:$IP$5,C48),IF(COUNTIF(Stock!$D$5:$IP$5,C48)&gt;0,SUMIF(Stock!$D$5:$IP$5,C48,Stock!$D$32:$IP$32),SUMIF(Stock!$D$4:$IP$4,B48,Stock!$D$32:$IP$32))),SUMIF(Stock!$D$4:$IP$4,B48,Stock!$D$32:$IP$32)))</f>
        <v>25</v>
      </c>
      <c r="I48" s="131" t="s">
        <v>230</v>
      </c>
      <c r="J48" s="4"/>
      <c r="K48" s="5"/>
      <c r="L48" s="5">
        <f>IF(AND(I48="",J48=""),"",IF(J48&lt;&gt;"",IF(COUNTIFS(Stock!$D$4:$IP$4,I48,Stock!$D$5:$IP$5,J48)&gt;0,SUMIFS(Stock!$D$340:$IP$340,Stock!$D$4:$IP$4,I48,Stock!$D$5:$IP$5,J48),IF(COUNTIF(Stock!$D$5:$IP$5,J48)&gt;0,SUMIF(Stock!$D$5:$IP$5,J48,Stock!$D$340:$IP$340),SUMIF(Stock!$D$4:$IP$4,I48,Stock!$D$340:$IP$340))),SUMIF(Stock!$D$4:$IP$4,I48,Stock!$D$340:$IP$340)))</f>
        <v>0</v>
      </c>
      <c r="M48" s="142">
        <f t="shared" si="1"/>
        <v>0</v>
      </c>
      <c r="N48" s="1294">
        <f>IF(AND(I48="",J48=""),"",IF(J48&lt;&gt;"",IF(COUNTIFS(Stock!$D$4:$IP$4,I48,Stock!$D$5:$IP$5,J48)&gt;0,SUMIFS(Stock!$D$32:$IP$32,Stock!$D$4:$IP$4,I48,Stock!$D$5:$IP$5,J48),IF(COUNTIF(Stock!$D$5:$IP$5,J48)&gt;0,SUMIF(Stock!$D$5:$IP$5,J48,Stock!$D$32:$IP$32),SUMIF(Stock!$D$4:$IP$4,I48,Stock!$D$32:$IP$32))),SUMIF(Stock!$D$4:$IP$4,I48,Stock!$D$32:$IP$32)))</f>
        <v>0</v>
      </c>
      <c r="P48" s="159" t="s">
        <v>270</v>
      </c>
      <c r="Q48" s="2" t="s">
        <v>61</v>
      </c>
      <c r="R48" s="5">
        <v>3074</v>
      </c>
      <c r="S48" s="175">
        <f>IF(AND(P48="",Q48=""),"",IF(Q48&lt;&gt;"",IF(COUNTIFS(Stock!$D$4:$IP$4,P48,Stock!$D$5:$IP$5,Q48)&gt;0,SUMIFS(Stock!$D$340:$IP$340,Stock!$D$4:$IP$4,P48,Stock!$D$5:$IP$5,Q48),IF(COUNTIF(Stock!$D$5:$IP$5,Q48)&gt;0,SUMIF(Stock!$D$5:$IP$5,Q48,Stock!$D$340:$IP$340),SUMIF(Stock!$D$4:$IP$4,P48,Stock!$D$340:$IP$340))),SUMIF(Stock!$D$4:$IP$4,P48,Stock!$D$340:$IP$340)))</f>
        <v>2196</v>
      </c>
      <c r="T48" s="176">
        <f t="shared" si="3"/>
        <v>878</v>
      </c>
      <c r="U48">
        <f>IF(AND(P48="",Q48=""),"",IF(Q48&lt;&gt;"",IF(COUNTIFS(Stock!$D$4:$IP$4,P48,Stock!$D$5:$IP$5,Q48)&gt;0,SUMIFS(Stock!$D$32:$IP$32,Stock!$D$4:$IP$4,P48,Stock!$D$5:$IP$5,Q48),IF(COUNTIF(Stock!$D$5:$IP$5,Q48)&gt;0,SUMIF(Stock!$D$5:$IP$5,Q48,Stock!$D$32:$IP$32),SUMIF(Stock!$D$4:$IP$4,P48,Stock!$D$32:$IP$32))),SUMIF(Stock!$D$4:$IP$4,P48,Stock!$D$32:$IP$32)))</f>
        <v>3247</v>
      </c>
      <c r="V48" s="369" t="s">
        <v>1589</v>
      </c>
      <c r="W48" s="655"/>
    </row>
    <row r="49" spans="2:53" ht="15.75" customHeight="1" x14ac:dyDescent="0.25">
      <c r="B49" s="131" t="s">
        <v>147</v>
      </c>
      <c r="C49" s="4" t="s">
        <v>343</v>
      </c>
      <c r="D49" s="5">
        <v>25</v>
      </c>
      <c r="E49" s="5">
        <f>IF(AND(B49="",C49=""),"",IF(C49&lt;&gt;"",IF(COUNTIFS(Stock!$D$4:$IP$4,B49,Stock!$D$5:$IP$5,C49)&gt;0,SUMIFS(Stock!$D$340:$IP$340,Stock!$D$4:$IP$4,B49,Stock!$D$5:$IP$5,C49),IF(COUNTIF(Stock!$D$5:$IP$5,C49)&gt;0,SUMIF(Stock!$D$5:$IP$5,C49,Stock!$D$340:$IP$340),SUMIF(Stock!$D$4:$IP$4,B49,Stock!$D$340:$IP$340))),SUMIF(Stock!$D$4:$IP$4,B49,Stock!$D$340:$IP$340)))</f>
        <v>25</v>
      </c>
      <c r="F49" s="142">
        <f t="shared" si="0"/>
        <v>0</v>
      </c>
      <c r="G49" s="1294">
        <f>IF(AND(B49="",C49=""),"",IF(C49&lt;&gt;"",IF(COUNTIFS(Stock!$D$4:$IP$4,B49,Stock!$D$5:$IP$5,C49)&gt;0,SUMIFS(Stock!$D$32:$IP$32,Stock!$D$4:$IP$4,B49,Stock!$D$5:$IP$5,C49),IF(COUNTIF(Stock!$D$5:$IP$5,C49)&gt;0,SUMIF(Stock!$D$5:$IP$5,C49,Stock!$D$32:$IP$32),SUMIF(Stock!$D$4:$IP$4,B49,Stock!$D$32:$IP$32))),SUMIF(Stock!$D$4:$IP$4,B49,Stock!$D$32:$IP$32)))</f>
        <v>25</v>
      </c>
      <c r="I49" s="131" t="s">
        <v>231</v>
      </c>
      <c r="J49" s="4" t="s">
        <v>400</v>
      </c>
      <c r="K49" s="5">
        <v>388</v>
      </c>
      <c r="L49" s="5">
        <f>IF(AND(I49="",J49=""),"",IF(J49&lt;&gt;"",IF(COUNTIFS(Stock!$D$4:$IP$4,I49,Stock!$D$5:$IP$5,J49)&gt;0,SUMIFS(Stock!$D$340:$IP$340,Stock!$D$4:$IP$4,I49,Stock!$D$5:$IP$5,J49),IF(COUNTIF(Stock!$D$5:$IP$5,J49)&gt;0,SUMIF(Stock!$D$5:$IP$5,J49,Stock!$D$340:$IP$340),SUMIF(Stock!$D$4:$IP$4,I49,Stock!$D$340:$IP$340))),SUMIF(Stock!$D$4:$IP$4,I49,Stock!$D$340:$IP$340)))</f>
        <v>100</v>
      </c>
      <c r="M49" s="142">
        <f t="shared" si="1"/>
        <v>288</v>
      </c>
      <c r="N49" s="1294">
        <f>IF(AND(I49="",J49=""),"",IF(J49&lt;&gt;"",IF(COUNTIFS(Stock!$D$4:$IP$4,I49,Stock!$D$5:$IP$5,J49)&gt;0,SUMIFS(Stock!$D$32:$IP$32,Stock!$D$4:$IP$4,I49,Stock!$D$5:$IP$5,J49),IF(COUNTIF(Stock!$D$5:$IP$5,J49)&gt;0,SUMIF(Stock!$D$5:$IP$5,J49,Stock!$D$32:$IP$32),SUMIF(Stock!$D$4:$IP$4,I49,Stock!$D$32:$IP$32))),SUMIF(Stock!$D$4:$IP$4,I49,Stock!$D$32:$IP$32)))</f>
        <v>400</v>
      </c>
      <c r="P49" s="159" t="s">
        <v>271</v>
      </c>
      <c r="Q49" s="2" t="s">
        <v>109</v>
      </c>
      <c r="R49" s="5">
        <v>14098</v>
      </c>
      <c r="S49" s="175">
        <f>IF(AND(P49="",Q49=""),"",IF(Q49&lt;&gt;"",IF(COUNTIFS(Stock!$D$4:$IP$4,P49,Stock!$D$5:$IP$5,Q49)&gt;0,SUMIFS(Stock!$D$340:$IP$340,Stock!$D$4:$IP$4,P49,Stock!$D$5:$IP$5,Q49),IF(COUNTIF(Stock!$D$5:$IP$5,Q49)&gt;0,SUMIF(Stock!$D$5:$IP$5,Q49,Stock!$D$340:$IP$340),SUMIF(Stock!$D$4:$IP$4,P49,Stock!$D$340:$IP$340))),SUMIF(Stock!$D$4:$IP$4,P49,Stock!$D$340:$IP$340)))</f>
        <v>8200</v>
      </c>
      <c r="T49" s="176">
        <f t="shared" si="3"/>
        <v>5898</v>
      </c>
      <c r="U49">
        <f>IF(AND(P49="",Q49=""),"",IF(Q49&lt;&gt;"",IF(COUNTIFS(Stock!$D$4:$IP$4,P49,Stock!$D$5:$IP$5,Q49)&gt;0,SUMIFS(Stock!$D$32:$IP$32,Stock!$D$4:$IP$4,P49,Stock!$D$5:$IP$5,Q49),IF(COUNTIF(Stock!$D$5:$IP$5,Q49)&gt;0,SUMIF(Stock!$D$5:$IP$5,Q49,Stock!$D$32:$IP$32),SUMIF(Stock!$D$4:$IP$4,P49,Stock!$D$32:$IP$32))),SUMIF(Stock!$D$4:$IP$4,P49,Stock!$D$32:$IP$32)))</f>
        <v>14200</v>
      </c>
      <c r="V49" s="369" t="s">
        <v>110</v>
      </c>
      <c r="W49" s="655"/>
    </row>
    <row r="50" spans="2:53" ht="15.75" customHeight="1" x14ac:dyDescent="0.25">
      <c r="B50" s="131" t="s">
        <v>148</v>
      </c>
      <c r="C50" s="4" t="s">
        <v>344</v>
      </c>
      <c r="D50" s="5">
        <v>1</v>
      </c>
      <c r="E50" s="5">
        <f>IF(AND(B50="",C50=""),"",IF(C50&lt;&gt;"",IF(COUNTIFS(Stock!$D$4:$IP$4,B50,Stock!$D$5:$IP$5,C50)&gt;0,SUMIFS(Stock!$D$340:$IP$340,Stock!$D$4:$IP$4,B50,Stock!$D$5:$IP$5,C50),IF(COUNTIF(Stock!$D$5:$IP$5,C50)&gt;0,SUMIF(Stock!$D$5:$IP$5,C50,Stock!$D$340:$IP$340),SUMIF(Stock!$D$4:$IP$4,B50,Stock!$D$340:$IP$340))),SUMIF(Stock!$D$4:$IP$4,B50,Stock!$D$340:$IP$340)))</f>
        <v>1</v>
      </c>
      <c r="F50" s="142">
        <f t="shared" si="0"/>
        <v>0</v>
      </c>
      <c r="G50" s="1294">
        <f>IF(AND(B50="",C50=""),"",IF(C50&lt;&gt;"",IF(COUNTIFS(Stock!$D$4:$IP$4,B50,Stock!$D$5:$IP$5,C50)&gt;0,SUMIFS(Stock!$D$32:$IP$32,Stock!$D$4:$IP$4,B50,Stock!$D$5:$IP$5,C50),IF(COUNTIF(Stock!$D$5:$IP$5,C50)&gt;0,SUMIF(Stock!$D$5:$IP$5,C50,Stock!$D$32:$IP$32),SUMIF(Stock!$D$4:$IP$4,B50,Stock!$D$32:$IP$32))),SUMIF(Stock!$D$4:$IP$4,B50,Stock!$D$32:$IP$32)))</f>
        <v>0</v>
      </c>
      <c r="I50" s="131" t="s">
        <v>232</v>
      </c>
      <c r="J50" s="4" t="s">
        <v>401</v>
      </c>
      <c r="K50" s="5">
        <v>84</v>
      </c>
      <c r="L50" s="5">
        <f>IF(AND(I50="",J50=""),"",IF(J50&lt;&gt;"",IF(COUNTIFS(Stock!$D$4:$IP$4,I50,Stock!$D$5:$IP$5,J50)&gt;0,SUMIFS(Stock!$D$340:$IP$340,Stock!$D$4:$IP$4,I50,Stock!$D$5:$IP$5,J50),IF(COUNTIF(Stock!$D$5:$IP$5,J50)&gt;0,SUMIF(Stock!$D$5:$IP$5,J50,Stock!$D$340:$IP$340),SUMIF(Stock!$D$4:$IP$4,I50,Stock!$D$340:$IP$340))),SUMIF(Stock!$D$4:$IP$4,I50,Stock!$D$340:$IP$340)))</f>
        <v>73</v>
      </c>
      <c r="M50" s="142">
        <f t="shared" si="1"/>
        <v>11</v>
      </c>
      <c r="N50" s="1294">
        <f>IF(AND(I50="",J50=""),"",IF(J50&lt;&gt;"",IF(COUNTIFS(Stock!$D$4:$IP$4,I50,Stock!$D$5:$IP$5,J50)&gt;0,SUMIFS(Stock!$D$32:$IP$32,Stock!$D$4:$IP$4,I50,Stock!$D$5:$IP$5,J50),IF(COUNTIF(Stock!$D$5:$IP$5,J50)&gt;0,SUMIF(Stock!$D$5:$IP$5,J50,Stock!$D$32:$IP$32),SUMIF(Stock!$D$4:$IP$4,I50,Stock!$D$32:$IP$32))),SUMIF(Stock!$D$4:$IP$4,I50,Stock!$D$32:$IP$32)))</f>
        <v>107</v>
      </c>
      <c r="P50" s="159" t="s">
        <v>271</v>
      </c>
      <c r="Q50" s="2" t="s">
        <v>425</v>
      </c>
      <c r="R50" s="5">
        <v>500</v>
      </c>
      <c r="S50" s="175">
        <f>IF(AND(P50="",Q50=""),"",IF(Q50&lt;&gt;"",IF(COUNTIFS(Stock!$D$4:$IP$4,P50,Stock!$D$5:$IP$5,Q50)&gt;0,SUMIFS(Stock!$D$340:$IP$340,Stock!$D$4:$IP$4,P50,Stock!$D$5:$IP$5,Q50),IF(COUNTIF(Stock!$D$5:$IP$5,Q50)&gt;0,SUMIF(Stock!$D$5:$IP$5,Q50,Stock!$D$340:$IP$340),SUMIF(Stock!$D$4:$IP$4,P50,Stock!$D$340:$IP$340))),SUMIF(Stock!$D$4:$IP$4,P50,Stock!$D$340:$IP$340)))</f>
        <v>0</v>
      </c>
      <c r="T50" s="176">
        <f t="shared" si="3"/>
        <v>500</v>
      </c>
      <c r="U50">
        <f>IF(AND(P50="",Q50=""),"",IF(Q50&lt;&gt;"",IF(COUNTIFS(Stock!$D$4:$IP$4,P50,Stock!$D$5:$IP$5,Q50)&gt;0,SUMIFS(Stock!$D$32:$IP$32,Stock!$D$4:$IP$4,P50,Stock!$D$5:$IP$5,Q50),IF(COUNTIF(Stock!$D$5:$IP$5,Q50)&gt;0,SUMIF(Stock!$D$5:$IP$5,Q50,Stock!$D$32:$IP$32),SUMIF(Stock!$D$4:$IP$4,P50,Stock!$D$32:$IP$32))),SUMIF(Stock!$D$4:$IP$4,P50,Stock!$D$32:$IP$32)))</f>
        <v>500</v>
      </c>
      <c r="V50" s="369" t="s">
        <v>1602</v>
      </c>
      <c r="W50" s="655"/>
    </row>
    <row r="51" spans="2:53" ht="15.75" customHeight="1" x14ac:dyDescent="0.25">
      <c r="B51" s="131" t="s">
        <v>149</v>
      </c>
      <c r="C51" s="4"/>
      <c r="D51" s="5"/>
      <c r="E51" s="5">
        <f>IF(AND(B51="",C51=""),"",IF(C51&lt;&gt;"",IF(COUNTIFS(Stock!$D$4:$IP$4,B51,Stock!$D$5:$IP$5,C51)&gt;0,SUMIFS(Stock!$D$340:$IP$340,Stock!$D$4:$IP$4,B51,Stock!$D$5:$IP$5,C51),IF(COUNTIF(Stock!$D$5:$IP$5,C51)&gt;0,SUMIF(Stock!$D$5:$IP$5,C51,Stock!$D$340:$IP$340),SUMIF(Stock!$D$4:$IP$4,B51,Stock!$D$340:$IP$340))),SUMIF(Stock!$D$4:$IP$4,B51,Stock!$D$340:$IP$340)))</f>
        <v>1</v>
      </c>
      <c r="F51" s="142">
        <f t="shared" si="0"/>
        <v>-1</v>
      </c>
      <c r="G51" s="1294">
        <f>IF(AND(B51="",C51=""),"",IF(C51&lt;&gt;"",IF(COUNTIFS(Stock!$D$4:$IP$4,B51,Stock!$D$5:$IP$5,C51)&gt;0,SUMIFS(Stock!$D$32:$IP$32,Stock!$D$4:$IP$4,B51,Stock!$D$5:$IP$5,C51),IF(COUNTIF(Stock!$D$5:$IP$5,C51)&gt;0,SUMIF(Stock!$D$5:$IP$5,C51,Stock!$D$32:$IP$32),SUMIF(Stock!$D$4:$IP$4,B51,Stock!$D$32:$IP$32))),SUMIF(Stock!$D$4:$IP$4,B51,Stock!$D$32:$IP$32)))</f>
        <v>0</v>
      </c>
      <c r="I51" s="131" t="s">
        <v>233</v>
      </c>
      <c r="J51" s="4" t="s">
        <v>402</v>
      </c>
      <c r="K51" s="5">
        <v>94</v>
      </c>
      <c r="L51" s="5">
        <f>IF(AND(I51="",J51=""),"",IF(J51&lt;&gt;"",IF(COUNTIFS(Stock!$D$4:$IP$4,I51,Stock!$D$5:$IP$5,J51)&gt;0,SUMIFS(Stock!$D$340:$IP$340,Stock!$D$4:$IP$4,I51,Stock!$D$5:$IP$5,J51),IF(COUNTIF(Stock!$D$5:$IP$5,J51)&gt;0,SUMIF(Stock!$D$5:$IP$5,J51,Stock!$D$340:$IP$340),SUMIF(Stock!$D$4:$IP$4,I51,Stock!$D$340:$IP$340))),SUMIF(Stock!$D$4:$IP$4,I51,Stock!$D$340:$IP$340)))</f>
        <v>85</v>
      </c>
      <c r="M51" s="142">
        <f t="shared" si="1"/>
        <v>9</v>
      </c>
      <c r="N51" s="1294">
        <f>IF(AND(I51="",J51=""),"",IF(J51&lt;&gt;"",IF(COUNTIFS(Stock!$D$4:$IP$4,I51,Stock!$D$5:$IP$5,J51)&gt;0,SUMIFS(Stock!$D$32:$IP$32,Stock!$D$4:$IP$4,I51,Stock!$D$5:$IP$5,J51),IF(COUNTIF(Stock!$D$5:$IP$5,J51)&gt;0,SUMIF(Stock!$D$5:$IP$5,J51,Stock!$D$32:$IP$32),SUMIF(Stock!$D$4:$IP$4,I51,Stock!$D$32:$IP$32))),SUMIF(Stock!$D$4:$IP$4,I51,Stock!$D$32:$IP$32)))</f>
        <v>125</v>
      </c>
      <c r="P51" s="159" t="s">
        <v>272</v>
      </c>
      <c r="Q51" s="2" t="s">
        <v>426</v>
      </c>
      <c r="R51" s="5">
        <v>200</v>
      </c>
      <c r="S51" s="175">
        <f>IF(AND(P51="",Q51=""),"",IF(Q51&lt;&gt;"",IF(COUNTIFS(Stock!$D$4:$IP$4,P51,Stock!$D$5:$IP$5,Q51)&gt;0,SUMIFS(Stock!$D$340:$IP$340,Stock!$D$4:$IP$4,P51,Stock!$D$5:$IP$5,Q51),IF(COUNTIF(Stock!$D$5:$IP$5,Q51)&gt;0,SUMIF(Stock!$D$5:$IP$5,Q51,Stock!$D$340:$IP$340),SUMIF(Stock!$D$4:$IP$4,P51,Stock!$D$340:$IP$340))),SUMIF(Stock!$D$4:$IP$4,P51,Stock!$D$340:$IP$340)))</f>
        <v>0</v>
      </c>
      <c r="T51" s="176">
        <f t="shared" si="3"/>
        <v>200</v>
      </c>
      <c r="U51">
        <f>IF(AND(P51="",Q51=""),"",IF(Q51&lt;&gt;"",IF(COUNTIFS(Stock!$D$4:$IP$4,P51,Stock!$D$5:$IP$5,Q51)&gt;0,SUMIFS(Stock!$D$32:$IP$32,Stock!$D$4:$IP$4,P51,Stock!$D$5:$IP$5,Q51),IF(COUNTIF(Stock!$D$5:$IP$5,Q51)&gt;0,SUMIF(Stock!$D$5:$IP$5,Q51,Stock!$D$32:$IP$32),SUMIF(Stock!$D$4:$IP$4,P51,Stock!$D$32:$IP$32))),SUMIF(Stock!$D$4:$IP$4,P51,Stock!$D$32:$IP$32)))</f>
        <v>200</v>
      </c>
      <c r="V51" s="369" t="s">
        <v>1619</v>
      </c>
      <c r="W51" s="655"/>
    </row>
    <row r="52" spans="2:53" ht="15.75" customHeight="1" x14ac:dyDescent="0.25">
      <c r="B52" s="131" t="s">
        <v>150</v>
      </c>
      <c r="C52" s="4" t="s">
        <v>345</v>
      </c>
      <c r="D52" s="5">
        <v>2</v>
      </c>
      <c r="E52" s="5">
        <f>IF(AND(B52="",C52=""),"",IF(C52&lt;&gt;"",IF(COUNTIFS(Stock!$D$4:$IP$4,B52,Stock!$D$5:$IP$5,C52)&gt;0,SUMIFS(Stock!$D$340:$IP$340,Stock!$D$4:$IP$4,B52,Stock!$D$5:$IP$5,C52),IF(COUNTIF(Stock!$D$5:$IP$5,C52)&gt;0,SUMIF(Stock!$D$5:$IP$5,C52,Stock!$D$340:$IP$340),SUMIF(Stock!$D$4:$IP$4,B52,Stock!$D$340:$IP$340))),SUMIF(Stock!$D$4:$IP$4,B52,Stock!$D$340:$IP$340)))</f>
        <v>1</v>
      </c>
      <c r="F52" s="142">
        <f t="shared" si="0"/>
        <v>1</v>
      </c>
      <c r="G52" s="1294">
        <f>IF(AND(B52="",C52=""),"",IF(C52&lt;&gt;"",IF(COUNTIFS(Stock!$D$4:$IP$4,B52,Stock!$D$5:$IP$5,C52)&gt;0,SUMIFS(Stock!$D$32:$IP$32,Stock!$D$4:$IP$4,B52,Stock!$D$5:$IP$5,C52),IF(COUNTIF(Stock!$D$5:$IP$5,C52)&gt;0,SUMIF(Stock!$D$5:$IP$5,C52,Stock!$D$32:$IP$32),SUMIF(Stock!$D$4:$IP$4,B52,Stock!$D$32:$IP$32))),SUMIF(Stock!$D$4:$IP$4,B52,Stock!$D$32:$IP$32)))</f>
        <v>0</v>
      </c>
      <c r="I52" s="131" t="s">
        <v>234</v>
      </c>
      <c r="J52" s="4" t="s">
        <v>403</v>
      </c>
      <c r="K52" s="5">
        <v>101</v>
      </c>
      <c r="L52" s="5">
        <f>IF(AND(I52="",J52=""),"",IF(J52&lt;&gt;"",IF(COUNTIFS(Stock!$D$4:$IP$4,I52,Stock!$D$5:$IP$5,J52)&gt;0,SUMIFS(Stock!$D$340:$IP$340,Stock!$D$4:$IP$4,I52,Stock!$D$5:$IP$5,J52),IF(COUNTIF(Stock!$D$5:$IP$5,J52)&gt;0,SUMIF(Stock!$D$5:$IP$5,J52,Stock!$D$340:$IP$340),SUMIF(Stock!$D$4:$IP$4,I52,Stock!$D$340:$IP$340))),SUMIF(Stock!$D$4:$IP$4,I52,Stock!$D$340:$IP$340)))</f>
        <v>81</v>
      </c>
      <c r="M52" s="142">
        <f t="shared" si="1"/>
        <v>20</v>
      </c>
      <c r="N52" s="1294">
        <f>IF(AND(I52="",J52=""),"",IF(J52&lt;&gt;"",IF(COUNTIFS(Stock!$D$4:$IP$4,I52,Stock!$D$5:$IP$5,J52)&gt;0,SUMIFS(Stock!$D$32:$IP$32,Stock!$D$4:$IP$4,I52,Stock!$D$5:$IP$5,J52),IF(COUNTIF(Stock!$D$5:$IP$5,J52)&gt;0,SUMIF(Stock!$D$5:$IP$5,J52,Stock!$D$32:$IP$32),SUMIF(Stock!$D$4:$IP$4,I52,Stock!$D$32:$IP$32))),SUMIF(Stock!$D$4:$IP$4,I52,Stock!$D$32:$IP$32)))</f>
        <v>105</v>
      </c>
      <c r="P52" s="159" t="s">
        <v>273</v>
      </c>
      <c r="Q52" s="2" t="s">
        <v>427</v>
      </c>
      <c r="R52" s="5">
        <v>525</v>
      </c>
      <c r="S52" s="175">
        <f>IF(AND(P52="",Q52=""),"",IF(Q52&lt;&gt;"",IF(COUNTIFS(Stock!$D$4:$IP$4,P52,Stock!$D$5:$IP$5,Q52)&gt;0,SUMIFS(Stock!$D$340:$IP$340,Stock!$D$4:$IP$4,P52,Stock!$D$5:$IP$5,Q52),IF(COUNTIF(Stock!$D$5:$IP$5,Q52)&gt;0,SUMIF(Stock!$D$5:$IP$5,Q52,Stock!$D$340:$IP$340),SUMIF(Stock!$D$4:$IP$4,P52,Stock!$D$340:$IP$340))),SUMIF(Stock!$D$4:$IP$4,P52,Stock!$D$340:$IP$340)))</f>
        <v>524</v>
      </c>
      <c r="T52" s="176">
        <f t="shared" si="3"/>
        <v>1</v>
      </c>
      <c r="U52">
        <f>IF(AND(P52="",Q52=""),"",IF(Q52&lt;&gt;"",IF(COUNTIFS(Stock!$D$4:$IP$4,P52,Stock!$D$5:$IP$5,Q52)&gt;0,SUMIFS(Stock!$D$32:$IP$32,Stock!$D$4:$IP$4,P52,Stock!$D$5:$IP$5,Q52),IF(COUNTIF(Stock!$D$5:$IP$5,Q52)&gt;0,SUMIF(Stock!$D$5:$IP$5,Q52,Stock!$D$32:$IP$32),SUMIF(Stock!$D$4:$IP$4,P52,Stock!$D$32:$IP$32))),SUMIF(Stock!$D$4:$IP$4,P52,Stock!$D$32:$IP$32)))</f>
        <v>525</v>
      </c>
      <c r="V52" s="369" t="s">
        <v>1275</v>
      </c>
      <c r="W52" s="655"/>
    </row>
    <row r="53" spans="2:53" ht="15.75" customHeight="1" x14ac:dyDescent="0.25">
      <c r="B53" s="131" t="s">
        <v>151</v>
      </c>
      <c r="C53" s="4" t="s">
        <v>346</v>
      </c>
      <c r="D53" s="5">
        <v>1</v>
      </c>
      <c r="E53" s="5">
        <f>IF(AND(B53="",C53=""),"",IF(C53&lt;&gt;"",IF(COUNTIFS(Stock!$D$4:$IP$4,B53,Stock!$D$5:$IP$5,C53)&gt;0,SUMIFS(Stock!$D$340:$IP$340,Stock!$D$4:$IP$4,B53,Stock!$D$5:$IP$5,C53),IF(COUNTIF(Stock!$D$5:$IP$5,C53)&gt;0,SUMIF(Stock!$D$5:$IP$5,C53,Stock!$D$340:$IP$340),SUMIF(Stock!$D$4:$IP$4,B53,Stock!$D$340:$IP$340))),SUMIF(Stock!$D$4:$IP$4,B53,Stock!$D$340:$IP$340)))</f>
        <v>1</v>
      </c>
      <c r="F53" s="142">
        <f t="shared" si="0"/>
        <v>0</v>
      </c>
      <c r="G53" s="1294">
        <f>IF(AND(B53="",C53=""),"",IF(C53&lt;&gt;"",IF(COUNTIFS(Stock!$D$4:$IP$4,B53,Stock!$D$5:$IP$5,C53)&gt;0,SUMIFS(Stock!$D$32:$IP$32,Stock!$D$4:$IP$4,B53,Stock!$D$5:$IP$5,C53),IF(COUNTIF(Stock!$D$5:$IP$5,C53)&gt;0,SUMIF(Stock!$D$5:$IP$5,C53,Stock!$D$32:$IP$32),SUMIF(Stock!$D$4:$IP$4,B53,Stock!$D$32:$IP$32))),SUMIF(Stock!$D$4:$IP$4,B53,Stock!$D$32:$IP$32)))</f>
        <v>0</v>
      </c>
      <c r="I53" s="131" t="s">
        <v>235</v>
      </c>
      <c r="J53" s="4"/>
      <c r="K53" s="5">
        <v>5</v>
      </c>
      <c r="L53" s="5">
        <f>IF(AND(I53="",J53=""),"",IF(J53&lt;&gt;"",IF(COUNTIFS(Stock!$D$4:$IP$4,I53,Stock!$D$5:$IP$5,J53)&gt;0,SUMIFS(Stock!$D$340:$IP$340,Stock!$D$4:$IP$4,I53,Stock!$D$5:$IP$5,J53),IF(COUNTIF(Stock!$D$5:$IP$5,J53)&gt;0,SUMIF(Stock!$D$5:$IP$5,J53,Stock!$D$340:$IP$340),SUMIF(Stock!$D$4:$IP$4,I53,Stock!$D$340:$IP$340))),SUMIF(Stock!$D$4:$IP$4,I53,Stock!$D$340:$IP$340)))</f>
        <v>5</v>
      </c>
      <c r="M53" s="142">
        <f t="shared" si="1"/>
        <v>0</v>
      </c>
      <c r="N53" s="1294">
        <f>IF(AND(I53="",J53=""),"",IF(J53&lt;&gt;"",IF(COUNTIFS(Stock!$D$4:$IP$4,I53,Stock!$D$5:$IP$5,J53)&gt;0,SUMIFS(Stock!$D$32:$IP$32,Stock!$D$4:$IP$4,I53,Stock!$D$5:$IP$5,J53),IF(COUNTIF(Stock!$D$5:$IP$5,J53)&gt;0,SUMIF(Stock!$D$5:$IP$5,J53,Stock!$D$32:$IP$32),SUMIF(Stock!$D$4:$IP$4,I53,Stock!$D$32:$IP$32))),SUMIF(Stock!$D$4:$IP$4,I53,Stock!$D$32:$IP$32)))</f>
        <v>5</v>
      </c>
      <c r="P53" s="159" t="s">
        <v>274</v>
      </c>
      <c r="Q53" s="2" t="s">
        <v>428</v>
      </c>
      <c r="R53" s="5"/>
      <c r="S53" s="175">
        <f>IF(AND(P53="",Q53=""),"",IF(Q53&lt;&gt;"",IF(COUNTIFS(Stock!$D$4:$IP$4,P53,Stock!$D$5:$IP$5,Q53)&gt;0,SUMIFS(Stock!$D$340:$IP$340,Stock!$D$4:$IP$4,P53,Stock!$D$5:$IP$5,Q53),IF(COUNTIF(Stock!$D$5:$IP$5,Q53)&gt;0,SUMIF(Stock!$D$5:$IP$5,Q53,Stock!$D$340:$IP$340),SUMIF(Stock!$D$4:$IP$4,P53,Stock!$D$340:$IP$340))),SUMIF(Stock!$D$4:$IP$4,P53,Stock!$D$340:$IP$340)))</f>
        <v>0</v>
      </c>
      <c r="T53" s="176">
        <f t="shared" si="3"/>
        <v>0</v>
      </c>
      <c r="U53">
        <f>IF(AND(P53="",Q53=""),"",IF(Q53&lt;&gt;"",IF(COUNTIFS(Stock!$D$4:$IP$4,P53,Stock!$D$5:$IP$5,Q53)&gt;0,SUMIFS(Stock!$D$32:$IP$32,Stock!$D$4:$IP$4,P53,Stock!$D$5:$IP$5,Q53),IF(COUNTIF(Stock!$D$5:$IP$5,Q53)&gt;0,SUMIF(Stock!$D$5:$IP$5,Q53,Stock!$D$32:$IP$32),SUMIF(Stock!$D$4:$IP$4,P53,Stock!$D$32:$IP$32))),SUMIF(Stock!$D$4:$IP$4,P53,Stock!$D$32:$IP$32)))</f>
        <v>80</v>
      </c>
      <c r="V53" s="369" t="s">
        <v>1629</v>
      </c>
      <c r="W53" s="655"/>
    </row>
    <row r="54" spans="2:53" ht="15.75" customHeight="1" x14ac:dyDescent="0.25">
      <c r="B54" s="131" t="s">
        <v>152</v>
      </c>
      <c r="C54" s="4" t="s">
        <v>347</v>
      </c>
      <c r="D54" s="5">
        <v>1</v>
      </c>
      <c r="E54" s="5">
        <f>IF(AND(B54="",C54=""),"",IF(C54&lt;&gt;"",IF(COUNTIFS(Stock!$D$4:$IP$4,B54,Stock!$D$5:$IP$5,C54)&gt;0,SUMIFS(Stock!$D$340:$IP$340,Stock!$D$4:$IP$4,B54,Stock!$D$5:$IP$5,C54),IF(COUNTIF(Stock!$D$5:$IP$5,C54)&gt;0,SUMIF(Stock!$D$5:$IP$5,C54,Stock!$D$340:$IP$340),SUMIF(Stock!$D$4:$IP$4,B54,Stock!$D$340:$IP$340))),SUMIF(Stock!$D$4:$IP$4,B54,Stock!$D$340:$IP$340)))</f>
        <v>1</v>
      </c>
      <c r="F54" s="142">
        <f t="shared" si="0"/>
        <v>0</v>
      </c>
      <c r="G54" s="1294">
        <f>IF(AND(B54="",C54=""),"",IF(C54&lt;&gt;"",IF(COUNTIFS(Stock!$D$4:$IP$4,B54,Stock!$D$5:$IP$5,C54)&gt;0,SUMIFS(Stock!$D$32:$IP$32,Stock!$D$4:$IP$4,B54,Stock!$D$5:$IP$5,C54),IF(COUNTIF(Stock!$D$5:$IP$5,C54)&gt;0,SUMIF(Stock!$D$5:$IP$5,C54,Stock!$D$32:$IP$32),SUMIF(Stock!$D$4:$IP$4,B54,Stock!$D$32:$IP$32))),SUMIF(Stock!$D$4:$IP$4,B54,Stock!$D$32:$IP$32)))</f>
        <v>0</v>
      </c>
      <c r="I54" s="131"/>
      <c r="J54" s="4"/>
      <c r="K54" s="5"/>
      <c r="L54" s="5" t="str">
        <f>IF(AND(I54="",J54=""),"",IF(J54&lt;&gt;"",IF(COUNTIFS(Stock!$D$4:$IP$4,I54,Stock!$D$5:$IP$5,J54)&gt;0,SUMIFS(Stock!$D$340:$IP$340,Stock!$D$4:$IP$4,I54,Stock!$D$5:$IP$5,J54),IF(COUNTIF(Stock!$D$5:$IP$5,J54)&gt;0,SUMIF(Stock!$D$5:$IP$5,J54,Stock!$D$340:$IP$340),SUMIF(Stock!$D$4:$IP$4,I54,Stock!$D$340:$IP$340))),SUMIF(Stock!$D$4:$IP$4,I54,Stock!$D$340:$IP$340)))</f>
        <v/>
      </c>
      <c r="M54" s="142"/>
      <c r="N54" s="1294" t="str">
        <f>IF(AND(I54="",J54=""),"",IF(J54&lt;&gt;"",IF(COUNTIFS(Stock!$D$4:$IP$4,I54,Stock!$D$5:$IP$5,J54)&gt;0,SUMIFS(Stock!$D$32:$IP$32,Stock!$D$4:$IP$4,I54,Stock!$D$5:$IP$5,J54),IF(COUNTIF(Stock!$D$5:$IP$5,J54)&gt;0,SUMIF(Stock!$D$5:$IP$5,J54,Stock!$D$32:$IP$32),SUMIF(Stock!$D$4:$IP$4,I54,Stock!$D$32:$IP$32))),SUMIF(Stock!$D$4:$IP$4,I54,Stock!$D$32:$IP$32)))</f>
        <v/>
      </c>
      <c r="P54" s="159" t="s">
        <v>275</v>
      </c>
      <c r="Q54" s="2" t="s">
        <v>429</v>
      </c>
      <c r="R54" s="5">
        <v>170</v>
      </c>
      <c r="S54" s="175">
        <f>IF(AND(P54="",Q54=""),"",IF(Q54&lt;&gt;"",IF(COUNTIFS(Stock!$D$4:$IP$4,P54,Stock!$D$5:$IP$5,Q54)&gt;0,SUMIFS(Stock!$D$340:$IP$340,Stock!$D$4:$IP$4,P54,Stock!$D$5:$IP$5,Q54),IF(COUNTIF(Stock!$D$5:$IP$5,Q54)&gt;0,SUMIF(Stock!$D$5:$IP$5,Q54,Stock!$D$340:$IP$340),SUMIF(Stock!$D$4:$IP$4,P54,Stock!$D$340:$IP$340))),SUMIF(Stock!$D$4:$IP$4,P54,Stock!$D$340:$IP$340)))</f>
        <v>130</v>
      </c>
      <c r="T54" s="176">
        <f t="shared" si="3"/>
        <v>40</v>
      </c>
      <c r="U54">
        <f>IF(AND(P54="",Q54=""),"",IF(Q54&lt;&gt;"",IF(COUNTIFS(Stock!$D$4:$IP$4,P54,Stock!$D$5:$IP$5,Q54)&gt;0,SUMIFS(Stock!$D$32:$IP$32,Stock!$D$4:$IP$4,P54,Stock!$D$5:$IP$5,Q54),IF(COUNTIF(Stock!$D$5:$IP$5,Q54)&gt;0,SUMIF(Stock!$D$5:$IP$5,Q54,Stock!$D$32:$IP$32),SUMIF(Stock!$D$4:$IP$4,P54,Stock!$D$32:$IP$32))),SUMIF(Stock!$D$4:$IP$4,P54,Stock!$D$32:$IP$32)))</f>
        <v>260</v>
      </c>
      <c r="V54" s="369" t="s">
        <v>484</v>
      </c>
      <c r="W54" s="655"/>
    </row>
    <row r="55" spans="2:53" ht="15.75" customHeight="1" x14ac:dyDescent="0.25">
      <c r="B55" s="131" t="s">
        <v>153</v>
      </c>
      <c r="C55" s="4" t="s">
        <v>348</v>
      </c>
      <c r="D55" s="5">
        <v>1</v>
      </c>
      <c r="E55" s="5">
        <f>IF(AND(B55="",C55=""),"",IF(C55&lt;&gt;"",IF(COUNTIFS(Stock!$D$4:$IP$4,B55,Stock!$D$5:$IP$5,C55)&gt;0,SUMIFS(Stock!$D$340:$IP$340,Stock!$D$4:$IP$4,B55,Stock!$D$5:$IP$5,C55),IF(COUNTIF(Stock!$D$5:$IP$5,C55)&gt;0,SUMIF(Stock!$D$5:$IP$5,C55,Stock!$D$340:$IP$340),SUMIF(Stock!$D$4:$IP$4,B55,Stock!$D$340:$IP$340))),SUMIF(Stock!$D$4:$IP$4,B55,Stock!$D$340:$IP$340)))</f>
        <v>1</v>
      </c>
      <c r="F55" s="142">
        <f t="shared" si="0"/>
        <v>0</v>
      </c>
      <c r="G55" s="1294">
        <f>IF(AND(B55="",C55=""),"",IF(C55&lt;&gt;"",IF(COUNTIFS(Stock!$D$4:$IP$4,B55,Stock!$D$5:$IP$5,C55)&gt;0,SUMIFS(Stock!$D$32:$IP$32,Stock!$D$4:$IP$4,B55,Stock!$D$5:$IP$5,C55),IF(COUNTIF(Stock!$D$5:$IP$5,C55)&gt;0,SUMIF(Stock!$D$5:$IP$5,C55,Stock!$D$32:$IP$32),SUMIF(Stock!$D$4:$IP$4,B55,Stock!$D$32:$IP$32))),SUMIF(Stock!$D$4:$IP$4,B55,Stock!$D$32:$IP$32)))</f>
        <v>0</v>
      </c>
      <c r="H55" s="105"/>
      <c r="I55" s="682"/>
      <c r="J55" s="683"/>
      <c r="K55" s="641"/>
      <c r="L55" s="641"/>
      <c r="M55" s="142">
        <f t="shared" si="1"/>
        <v>0</v>
      </c>
      <c r="N55" s="142"/>
      <c r="O55" s="685" t="s">
        <v>264</v>
      </c>
      <c r="P55" s="2" t="s">
        <v>210</v>
      </c>
      <c r="Q55" s="2" t="s">
        <v>430</v>
      </c>
      <c r="R55" s="5">
        <v>25</v>
      </c>
      <c r="S55" s="175">
        <f>IF(AND(P55="",Q55=""),"",IF(Q55&lt;&gt;"",IF(COUNTIFS(Stock!$D$4:$IP$4,P55,Stock!$D$5:$IP$5,Q55)&gt;0,SUMIFS(Stock!$D$340:$IP$340,Stock!$D$4:$IP$4,P55,Stock!$D$5:$IP$5,Q55),IF(COUNTIF(Stock!$D$5:$IP$5,Q55)&gt;0,SUMIF(Stock!$D$5:$IP$5,Q55,Stock!$D$340:$IP$340),SUMIF(Stock!$D$4:$IP$4,P55,Stock!$D$340:$IP$340))),SUMIF(Stock!$D$4:$IP$4,P55,Stock!$D$340:$IP$340)))</f>
        <v>0</v>
      </c>
      <c r="T55" s="176">
        <f t="shared" si="3"/>
        <v>25</v>
      </c>
      <c r="U55">
        <f>IF(AND(P55="",Q55=""),"",IF(Q55&lt;&gt;"",IF(COUNTIFS(Stock!$D$4:$IP$4,P55,Stock!$D$5:$IP$5,Q55)&gt;0,SUMIFS(Stock!$D$32:$IP$32,Stock!$D$4:$IP$4,P55,Stock!$D$5:$IP$5,Q55),IF(COUNTIF(Stock!$D$5:$IP$5,Q55)&gt;0,SUMIF(Stock!$D$5:$IP$5,Q55,Stock!$D$32:$IP$32),SUMIF(Stock!$D$4:$IP$4,P55,Stock!$D$32:$IP$32))),SUMIF(Stock!$D$4:$IP$4,P55,Stock!$D$32:$IP$32)))</f>
        <v>110</v>
      </c>
      <c r="V55" s="369" t="s">
        <v>1640</v>
      </c>
      <c r="W55" s="655"/>
    </row>
    <row r="56" spans="2:53" ht="15.75" customHeight="1" x14ac:dyDescent="0.25">
      <c r="B56" s="131" t="s">
        <v>154</v>
      </c>
      <c r="C56" s="4" t="s">
        <v>349</v>
      </c>
      <c r="D56" s="5">
        <v>1</v>
      </c>
      <c r="E56" s="5">
        <f>IF(AND(B56="",C56=""),"",IF(C56&lt;&gt;"",IF(COUNTIFS(Stock!$D$4:$IP$4,B56,Stock!$D$5:$IP$5,C56)&gt;0,SUMIFS(Stock!$D$340:$IP$340,Stock!$D$4:$IP$4,B56,Stock!$D$5:$IP$5,C56),IF(COUNTIF(Stock!$D$5:$IP$5,C56)&gt;0,SUMIF(Stock!$D$5:$IP$5,C56,Stock!$D$340:$IP$340),SUMIF(Stock!$D$4:$IP$4,B56,Stock!$D$340:$IP$340))),SUMIF(Stock!$D$4:$IP$4,B56,Stock!$D$340:$IP$340)))</f>
        <v>1</v>
      </c>
      <c r="F56" s="142">
        <f t="shared" si="0"/>
        <v>0</v>
      </c>
      <c r="G56" s="1294">
        <f>IF(AND(B56="",C56=""),"",IF(C56&lt;&gt;"",IF(COUNTIFS(Stock!$D$4:$IP$4,B56,Stock!$D$5:$IP$5,C56)&gt;0,SUMIFS(Stock!$D$32:$IP$32,Stock!$D$4:$IP$4,B56,Stock!$D$5:$IP$5,C56),IF(COUNTIF(Stock!$D$5:$IP$5,C56)&gt;0,SUMIF(Stock!$D$5:$IP$5,C56,Stock!$D$32:$IP$32),SUMIF(Stock!$D$4:$IP$4,B56,Stock!$D$32:$IP$32))),SUMIF(Stock!$D$4:$IP$4,B56,Stock!$D$32:$IP$32)))</f>
        <v>0</v>
      </c>
      <c r="H56" s="686" t="s">
        <v>74</v>
      </c>
      <c r="I56" s="2" t="s">
        <v>304</v>
      </c>
      <c r="J56" s="2" t="s">
        <v>461</v>
      </c>
      <c r="K56" s="5">
        <v>1150</v>
      </c>
      <c r="L56" s="5">
        <f>IF(AND(I56="",J56=""),"",IF(J56&lt;&gt;"",IF(COUNTIFS(Stock!$D$4:$IP$4,I56,Stock!$D$5:$IP$5,J56)&gt;0,SUMIFS(Stock!$D$340:$IP$340,Stock!$D$4:$IP$4,I56,Stock!$D$5:$IP$5,J56),IF(COUNTIF(Stock!$D$5:$IP$5,J56)&gt;0,SUMIF(Stock!$D$5:$IP$5,J56,Stock!$D$340:$IP$340),SUMIF(Stock!$D$4:$IP$4,I56,Stock!$D$340:$IP$340))),SUMIF(Stock!$D$4:$IP$4,I56,Stock!$D$340:$IP$340)))</f>
        <v>995</v>
      </c>
      <c r="M56" s="142">
        <f t="shared" si="1"/>
        <v>155</v>
      </c>
      <c r="N56" s="175">
        <f>IF(AND(I56="",J56=""),"",IF(J56&lt;&gt;"",IF(COUNTIFS(Stock!$D$4:$IP$4,I56,Stock!$D$5:$IP$5,J56)&gt;0,SUMIFS(Stock!$D$32:$IP$32,Stock!$D$4:$IP$4,I56,Stock!$D$5:$IP$5,J56),IF(COUNTIF(Stock!$D$5:$IP$5,J56)&gt;0,SUMIF(Stock!$D$5:$IP$5,J56,Stock!$D$32:$IP$32),SUMIF(Stock!$D$4:$IP$4,I56,Stock!$D$32:$IP$32))),SUMIF(Stock!$D$4:$IP$4,I56,Stock!$D$32:$IP$32)))</f>
        <v>1000</v>
      </c>
      <c r="O56" s="142"/>
      <c r="P56" s="2" t="s">
        <v>138</v>
      </c>
      <c r="Q56" s="2" t="s">
        <v>431</v>
      </c>
      <c r="R56" s="5">
        <v>150</v>
      </c>
      <c r="S56" s="175">
        <f>IF(AND(P56="",Q56=""),"",IF(Q56&lt;&gt;"",IF(COUNTIFS(Stock!$D$4:$IP$4,P56,Stock!$D$5:$IP$5,Q56)&gt;0,SUMIFS(Stock!$D$340:$IP$340,Stock!$D$4:$IP$4,P56,Stock!$D$5:$IP$5,Q56),IF(COUNTIF(Stock!$D$5:$IP$5,Q56)&gt;0,SUMIF(Stock!$D$5:$IP$5,Q56,Stock!$D$340:$IP$340),SUMIF(Stock!$D$4:$IP$4,P56,Stock!$D$340:$IP$340))),SUMIF(Stock!$D$4:$IP$4,P56,Stock!$D$340:$IP$340)))</f>
        <v>0</v>
      </c>
      <c r="T56" s="176">
        <f t="shared" si="3"/>
        <v>150</v>
      </c>
      <c r="U56">
        <f>IF(AND(P56="",Q56=""),"",IF(Q56&lt;&gt;"",IF(COUNTIFS(Stock!$D$4:$IP$4,P56,Stock!$D$5:$IP$5,Q56)&gt;0,SUMIFS(Stock!$D$32:$IP$32,Stock!$D$4:$IP$4,P56,Stock!$D$5:$IP$5,Q56),IF(COUNTIF(Stock!$D$5:$IP$5,Q56)&gt;0,SUMIF(Stock!$D$5:$IP$5,Q56,Stock!$D$32:$IP$32),SUMIF(Stock!$D$4:$IP$4,P56,Stock!$D$32:$IP$32))),SUMIF(Stock!$D$4:$IP$4,P56,Stock!$D$32:$IP$32)))</f>
        <v>200</v>
      </c>
      <c r="V56" s="369" t="s">
        <v>1644</v>
      </c>
      <c r="W56" s="655"/>
    </row>
    <row r="57" spans="2:53" ht="15.75" customHeight="1" x14ac:dyDescent="0.25">
      <c r="B57" s="131" t="s">
        <v>155</v>
      </c>
      <c r="C57" s="4" t="s">
        <v>350</v>
      </c>
      <c r="D57" s="5">
        <v>1</v>
      </c>
      <c r="E57" s="5">
        <f>IF(AND(B57="",C57=""),"",IF(C57&lt;&gt;"",IF(COUNTIFS(Stock!$D$4:$IP$4,B57,Stock!$D$5:$IP$5,C57)&gt;0,SUMIFS(Stock!$D$340:$IP$340,Stock!$D$4:$IP$4,B57,Stock!$D$5:$IP$5,C57),IF(COUNTIF(Stock!$D$5:$IP$5,C57)&gt;0,SUMIF(Stock!$D$5:$IP$5,C57,Stock!$D$340:$IP$340),SUMIF(Stock!$D$4:$IP$4,B57,Stock!$D$340:$IP$340))),SUMIF(Stock!$D$4:$IP$4,B57,Stock!$D$340:$IP$340)))</f>
        <v>1</v>
      </c>
      <c r="F57" s="142">
        <f t="shared" si="0"/>
        <v>0</v>
      </c>
      <c r="G57" s="1294">
        <f>IF(AND(B57="",C57=""),"",IF(C57&lt;&gt;"",IF(COUNTIFS(Stock!$D$4:$IP$4,B57,Stock!$D$5:$IP$5,C57)&gt;0,SUMIFS(Stock!$D$32:$IP$32,Stock!$D$4:$IP$4,B57,Stock!$D$5:$IP$5,C57),IF(COUNTIF(Stock!$D$5:$IP$5,C57)&gt;0,SUMIF(Stock!$D$5:$IP$5,C57,Stock!$D$32:$IP$32),SUMIF(Stock!$D$4:$IP$4,B57,Stock!$D$32:$IP$32))),SUMIF(Stock!$D$4:$IP$4,B57,Stock!$D$32:$IP$32)))</f>
        <v>0</v>
      </c>
      <c r="I57" s="2" t="s">
        <v>305</v>
      </c>
      <c r="J57" s="2" t="s">
        <v>462</v>
      </c>
      <c r="K57" s="5">
        <v>1050</v>
      </c>
      <c r="L57" s="5">
        <f>IF(AND(I57="",J57=""),"",IF(J57&lt;&gt;"",IF(COUNTIFS(Stock!$D$4:$IP$4,I57,Stock!$D$5:$IP$5,J57)&gt;0,SUMIFS(Stock!$D$340:$IP$340,Stock!$D$4:$IP$4,I57,Stock!$D$5:$IP$5,J57),IF(COUNTIF(Stock!$D$5:$IP$5,J57)&gt;0,SUMIF(Stock!$D$5:$IP$5,J57,Stock!$D$340:$IP$340),SUMIF(Stock!$D$4:$IP$4,I57,Stock!$D$340:$IP$340))),SUMIF(Stock!$D$4:$IP$4,I57,Stock!$D$340:$IP$340)))</f>
        <v>1015</v>
      </c>
      <c r="M57" s="142">
        <f t="shared" si="1"/>
        <v>35</v>
      </c>
      <c r="N57" s="175">
        <f>IF(AND(I57="",J57=""),"",IF(J57&lt;&gt;"",IF(COUNTIFS(Stock!$D$4:$IP$4,I57,Stock!$D$5:$IP$5,J57)&gt;0,SUMIFS(Stock!$D$32:$IP$32,Stock!$D$4:$IP$4,I57,Stock!$D$5:$IP$5,J57),IF(COUNTIF(Stock!$D$5:$IP$5,J57)&gt;0,SUMIF(Stock!$D$5:$IP$5,J57,Stock!$D$32:$IP$32),SUMIF(Stock!$D$4:$IP$4,I57,Stock!$D$32:$IP$32))),SUMIF(Stock!$D$4:$IP$4,I57,Stock!$D$32:$IP$32)))</f>
        <v>1000</v>
      </c>
      <c r="O57" s="142"/>
      <c r="P57" s="2" t="s">
        <v>276</v>
      </c>
      <c r="Q57" s="2" t="s">
        <v>432</v>
      </c>
      <c r="R57" s="5">
        <v>649</v>
      </c>
      <c r="S57" s="175">
        <f>IF(AND(P57="",Q57=""),"",IF(Q57&lt;&gt;"",IF(COUNTIFS(Stock!$D$4:$IP$4,P57,Stock!$D$5:$IP$5,Q57)&gt;0,SUMIFS(Stock!$D$340:$IP$340,Stock!$D$4:$IP$4,P57,Stock!$D$5:$IP$5,Q57),IF(COUNTIF(Stock!$D$5:$IP$5,Q57)&gt;0,SUMIF(Stock!$D$5:$IP$5,Q57,Stock!$D$340:$IP$340),SUMIF(Stock!$D$4:$IP$4,P57,Stock!$D$340:$IP$340))),SUMIF(Stock!$D$4:$IP$4,P57,Stock!$D$340:$IP$340)))</f>
        <v>799</v>
      </c>
      <c r="T57" s="176">
        <f t="shared" si="3"/>
        <v>-150</v>
      </c>
      <c r="U57">
        <f>IF(AND(P57="",Q57=""),"",IF(Q57&lt;&gt;"",IF(COUNTIFS(Stock!$D$4:$IP$4,P57,Stock!$D$5:$IP$5,Q57)&gt;0,SUMIFS(Stock!$D$32:$IP$32,Stock!$D$4:$IP$4,P57,Stock!$D$5:$IP$5,Q57),IF(COUNTIF(Stock!$D$5:$IP$5,Q57)&gt;0,SUMIF(Stock!$D$5:$IP$5,Q57,Stock!$D$32:$IP$32),SUMIF(Stock!$D$4:$IP$4,P57,Stock!$D$32:$IP$32))),SUMIF(Stock!$D$4:$IP$4,P57,Stock!$D$32:$IP$32)))</f>
        <v>750</v>
      </c>
      <c r="V57" s="369" t="s">
        <v>1646</v>
      </c>
      <c r="W57" s="655"/>
    </row>
    <row r="58" spans="2:53" ht="15.75" customHeight="1" x14ac:dyDescent="0.25">
      <c r="B58" s="131" t="s">
        <v>156</v>
      </c>
      <c r="C58" s="4" t="s">
        <v>351</v>
      </c>
      <c r="D58" s="5">
        <v>1</v>
      </c>
      <c r="E58" s="5">
        <f>IF(AND(B58="",C58=""),"",IF(C58&lt;&gt;"",IF(COUNTIFS(Stock!$D$4:$IP$4,B58,Stock!$D$5:$IP$5,C58)&gt;0,SUMIFS(Stock!$D$340:$IP$340,Stock!$D$4:$IP$4,B58,Stock!$D$5:$IP$5,C58),IF(COUNTIF(Stock!$D$5:$IP$5,C58)&gt;0,SUMIF(Stock!$D$5:$IP$5,C58,Stock!$D$340:$IP$340),SUMIF(Stock!$D$4:$IP$4,B58,Stock!$D$340:$IP$340))),SUMIF(Stock!$D$4:$IP$4,B58,Stock!$D$340:$IP$340)))</f>
        <v>1</v>
      </c>
      <c r="F58" s="142">
        <f t="shared" si="0"/>
        <v>0</v>
      </c>
      <c r="G58" s="1294">
        <f>IF(AND(B58="",C58=""),"",IF(C58&lt;&gt;"",IF(COUNTIFS(Stock!$D$4:$IP$4,B58,Stock!$D$5:$IP$5,C58)&gt;0,SUMIFS(Stock!$D$32:$IP$32,Stock!$D$4:$IP$4,B58,Stock!$D$5:$IP$5,C58),IF(COUNTIF(Stock!$D$5:$IP$5,C58)&gt;0,SUMIF(Stock!$D$5:$IP$5,C58,Stock!$D$32:$IP$32),SUMIF(Stock!$D$4:$IP$4,B58,Stock!$D$32:$IP$32))),SUMIF(Stock!$D$4:$IP$4,B58,Stock!$D$32:$IP$32)))</f>
        <v>0</v>
      </c>
      <c r="I58" s="1305" t="s">
        <v>306</v>
      </c>
      <c r="J58" s="2" t="s">
        <v>463</v>
      </c>
      <c r="K58" s="5">
        <v>658</v>
      </c>
      <c r="L58" s="5">
        <f>IF(AND(I58="",J58=""),"",IF(J58&lt;&gt;"",IF(COUNTIFS(Stock!$D$4:$IP$4,I58,Stock!$D$5:$IP$5,J58)&gt;0,SUMIFS(Stock!$D$340:$IP$340,Stock!$D$4:$IP$4,I58,Stock!$D$5:$IP$5,J58),IF(COUNTIF(Stock!$D$5:$IP$5,J58)&gt;0,SUMIF(Stock!$D$5:$IP$5,J58,Stock!$D$340:$IP$340),SUMIF(Stock!$D$4:$IP$4,I58,Stock!$D$340:$IP$340))),SUMIF(Stock!$D$4:$IP$4,I58,Stock!$D$340:$IP$340)))</f>
        <v>1188</v>
      </c>
      <c r="M58" s="142">
        <f t="shared" si="1"/>
        <v>-530</v>
      </c>
      <c r="N58" s="175">
        <f>IF(AND(I58="",J58=""),"",IF(J58&lt;&gt;"",IF(COUNTIFS(Stock!$D$4:$IP$4,I58,Stock!$D$5:$IP$5,J58)&gt;0,SUMIFS(Stock!$D$32:$IP$32,Stock!$D$4:$IP$4,I58,Stock!$D$5:$IP$5,J58),IF(COUNTIF(Stock!$D$5:$IP$5,J58)&gt;0,SUMIF(Stock!$D$5:$IP$5,J58,Stock!$D$32:$IP$32),SUMIF(Stock!$D$4:$IP$4,I58,Stock!$D$32:$IP$32))),SUMIF(Stock!$D$4:$IP$4,I58,Stock!$D$32:$IP$32)))</f>
        <v>1199</v>
      </c>
      <c r="O58" s="142"/>
      <c r="P58" s="2" t="s">
        <v>277</v>
      </c>
      <c r="Q58" s="2" t="s">
        <v>433</v>
      </c>
      <c r="R58" s="5">
        <v>774</v>
      </c>
      <c r="S58" s="175">
        <f>IF(AND(P58="",Q58=""),"",IF(Q58&lt;&gt;"",IF(COUNTIFS(Stock!$D$4:$IP$4,P58,Stock!$D$5:$IP$5,Q58)&gt;0,SUMIFS(Stock!$D$340:$IP$340,Stock!$D$4:$IP$4,P58,Stock!$D$5:$IP$5,Q58),IF(COUNTIF(Stock!$D$5:$IP$5,Q58)&gt;0,SUMIF(Stock!$D$5:$IP$5,Q58,Stock!$D$340:$IP$340),SUMIF(Stock!$D$4:$IP$4,P58,Stock!$D$340:$IP$340))),SUMIF(Stock!$D$4:$IP$4,P58,Stock!$D$340:$IP$340)))</f>
        <v>874</v>
      </c>
      <c r="T58" s="176">
        <f t="shared" si="3"/>
        <v>-100</v>
      </c>
      <c r="U58">
        <f>IF(AND(P58="",Q58=""),"",IF(Q58&lt;&gt;"",IF(COUNTIFS(Stock!$D$4:$IP$4,P58,Stock!$D$5:$IP$5,Q58)&gt;0,SUMIFS(Stock!$D$32:$IP$32,Stock!$D$4:$IP$4,P58,Stock!$D$5:$IP$5,Q58),IF(COUNTIF(Stock!$D$5:$IP$5,Q58)&gt;0,SUMIF(Stock!$D$5:$IP$5,Q58,Stock!$D$32:$IP$32),SUMIF(Stock!$D$4:$IP$4,P58,Stock!$D$32:$IP$32))),SUMIF(Stock!$D$4:$IP$4,P58,Stock!$D$32:$IP$32)))</f>
        <v>850</v>
      </c>
      <c r="V58" s="369" t="s">
        <v>650</v>
      </c>
      <c r="W58" s="655"/>
    </row>
    <row r="59" spans="2:53" ht="15.75" customHeight="1" x14ac:dyDescent="0.25">
      <c r="B59" s="131" t="s">
        <v>157</v>
      </c>
      <c r="C59" s="4" t="s">
        <v>352</v>
      </c>
      <c r="D59" s="5">
        <v>1</v>
      </c>
      <c r="E59" s="5">
        <f>IF(AND(B59="",C59=""),"",IF(C59&lt;&gt;"",IF(COUNTIFS(Stock!$D$4:$IP$4,B59,Stock!$D$5:$IP$5,C59)&gt;0,SUMIFS(Stock!$D$340:$IP$340,Stock!$D$4:$IP$4,B59,Stock!$D$5:$IP$5,C59),IF(COUNTIF(Stock!$D$5:$IP$5,C59)&gt;0,SUMIF(Stock!$D$5:$IP$5,C59,Stock!$D$340:$IP$340),SUMIF(Stock!$D$4:$IP$4,B59,Stock!$D$340:$IP$340))),SUMIF(Stock!$D$4:$IP$4,B59,Stock!$D$340:$IP$340)))</f>
        <v>1</v>
      </c>
      <c r="F59" s="142">
        <f t="shared" si="0"/>
        <v>0</v>
      </c>
      <c r="G59" s="1294">
        <f>IF(AND(B59="",C59=""),"",IF(C59&lt;&gt;"",IF(COUNTIFS(Stock!$D$4:$IP$4,B59,Stock!$D$5:$IP$5,C59)&gt;0,SUMIFS(Stock!$D$32:$IP$32,Stock!$D$4:$IP$4,B59,Stock!$D$5:$IP$5,C59),IF(COUNTIF(Stock!$D$5:$IP$5,C59)&gt;0,SUMIF(Stock!$D$5:$IP$5,C59,Stock!$D$32:$IP$32),SUMIF(Stock!$D$4:$IP$4,B59,Stock!$D$32:$IP$32))),SUMIF(Stock!$D$4:$IP$4,B59,Stock!$D$32:$IP$32)))</f>
        <v>0</v>
      </c>
      <c r="I59" s="2" t="s">
        <v>307</v>
      </c>
      <c r="J59" s="2" t="s">
        <v>464</v>
      </c>
      <c r="K59" s="5">
        <v>489</v>
      </c>
      <c r="L59" s="5">
        <f>IF(AND(I59="",J59=""),"",IF(J59&lt;&gt;"",IF(COUNTIFS(Stock!$D$4:$IP$4,I59,Stock!$D$5:$IP$5,J59)&gt;0,SUMIFS(Stock!$D$340:$IP$340,Stock!$D$4:$IP$4,I59,Stock!$D$5:$IP$5,J59),IF(COUNTIF(Stock!$D$5:$IP$5,J59)&gt;0,SUMIF(Stock!$D$5:$IP$5,J59,Stock!$D$340:$IP$340),SUMIF(Stock!$D$4:$IP$4,I59,Stock!$D$340:$IP$340))),SUMIF(Stock!$D$4:$IP$4,I59,Stock!$D$340:$IP$340)))</f>
        <v>579</v>
      </c>
      <c r="M59" s="142">
        <f t="shared" si="1"/>
        <v>-90</v>
      </c>
      <c r="N59" s="175">
        <f>IF(AND(I59="",J59=""),"",IF(J59&lt;&gt;"",IF(COUNTIFS(Stock!$D$4:$IP$4,I59,Stock!$D$5:$IP$5,J59)&gt;0,SUMIFS(Stock!$D$32:$IP$32,Stock!$D$4:$IP$4,I59,Stock!$D$5:$IP$5,J59),IF(COUNTIF(Stock!$D$5:$IP$5,J59)&gt;0,SUMIF(Stock!$D$5:$IP$5,J59,Stock!$D$32:$IP$32),SUMIF(Stock!$D$4:$IP$4,I59,Stock!$D$32:$IP$32))),SUMIF(Stock!$D$4:$IP$4,I59,Stock!$D$32:$IP$32)))</f>
        <v>589</v>
      </c>
      <c r="O59" s="142"/>
      <c r="P59" s="2" t="s">
        <v>278</v>
      </c>
      <c r="Q59" s="2" t="s">
        <v>434</v>
      </c>
      <c r="R59" s="5">
        <v>225</v>
      </c>
      <c r="S59" s="175">
        <f>IF(AND(P59="",Q59=""),"",IF(Q59&lt;&gt;"",IF(COUNTIFS(Stock!$D$4:$IP$4,P59,Stock!$D$5:$IP$5,Q59)&gt;0,SUMIFS(Stock!$D$340:$IP$340,Stock!$D$4:$IP$4,P59,Stock!$D$5:$IP$5,Q59),IF(COUNTIF(Stock!$D$5:$IP$5,Q59)&gt;0,SUMIF(Stock!$D$5:$IP$5,Q59,Stock!$D$340:$IP$340),SUMIF(Stock!$D$4:$IP$4,P59,Stock!$D$340:$IP$340))),SUMIF(Stock!$D$4:$IP$4,P59,Stock!$D$340:$IP$340)))</f>
        <v>225</v>
      </c>
      <c r="T59" s="176">
        <f t="shared" si="3"/>
        <v>0</v>
      </c>
      <c r="U59">
        <f>IF(AND(P59="",Q59=""),"",IF(Q59&lt;&gt;"",IF(COUNTIFS(Stock!$D$4:$IP$4,P59,Stock!$D$5:$IP$5,Q59)&gt;0,SUMIFS(Stock!$D$32:$IP$32,Stock!$D$4:$IP$4,P59,Stock!$D$5:$IP$5,Q59),IF(COUNTIF(Stock!$D$5:$IP$5,Q59)&gt;0,SUMIF(Stock!$D$5:$IP$5,Q59,Stock!$D$32:$IP$32),SUMIF(Stock!$D$4:$IP$4,P59,Stock!$D$32:$IP$32))),SUMIF(Stock!$D$4:$IP$4,P59,Stock!$D$32:$IP$32)))</f>
        <v>300</v>
      </c>
      <c r="V59" s="369" t="s">
        <v>1621</v>
      </c>
      <c r="W59" s="655"/>
    </row>
    <row r="60" spans="2:53" ht="15.75" customHeight="1" x14ac:dyDescent="0.25">
      <c r="B60" s="131" t="s">
        <v>158</v>
      </c>
      <c r="C60" s="4" t="s">
        <v>353</v>
      </c>
      <c r="D60" s="5">
        <v>101</v>
      </c>
      <c r="E60" s="5">
        <f>IF(AND(B60="",C60=""),"",IF(C60&lt;&gt;"",IF(COUNTIFS(Stock!$D$4:$IP$4,B60,Stock!$D$5:$IP$5,C60)&gt;0,SUMIFS(Stock!$D$340:$IP$340,Stock!$D$4:$IP$4,B60,Stock!$D$5:$IP$5,C60),IF(COUNTIF(Stock!$D$5:$IP$5,C60)&gt;0,SUMIF(Stock!$D$5:$IP$5,C60,Stock!$D$340:$IP$340),SUMIF(Stock!$D$4:$IP$4,B60,Stock!$D$340:$IP$340))),SUMIF(Stock!$D$4:$IP$4,B60,Stock!$D$340:$IP$340)))</f>
        <v>1</v>
      </c>
      <c r="F60" s="142">
        <f t="shared" si="0"/>
        <v>100</v>
      </c>
      <c r="G60" s="1294">
        <f>IF(AND(B60="",C60=""),"",IF(C60&lt;&gt;"",IF(COUNTIFS(Stock!$D$4:$IP$4,B60,Stock!$D$5:$IP$5,C60)&gt;0,SUMIFS(Stock!$D$32:$IP$32,Stock!$D$4:$IP$4,B60,Stock!$D$5:$IP$5,C60),IF(COUNTIF(Stock!$D$5:$IP$5,C60)&gt;0,SUMIF(Stock!$D$5:$IP$5,C60,Stock!$D$32:$IP$32),SUMIF(Stock!$D$4:$IP$4,B60,Stock!$D$32:$IP$32))),SUMIF(Stock!$D$4:$IP$4,B60,Stock!$D$32:$IP$32)))</f>
        <v>0</v>
      </c>
      <c r="I60" s="2" t="s">
        <v>308</v>
      </c>
      <c r="J60" s="2" t="s">
        <v>465</v>
      </c>
      <c r="K60" s="5">
        <v>10</v>
      </c>
      <c r="L60" s="5">
        <f>IF(AND(I60="",J60=""),"",IF(J60&lt;&gt;"",IF(COUNTIFS(Stock!$D$4:$IP$4,I60,Stock!$D$5:$IP$5,J60)&gt;0,SUMIFS(Stock!$D$340:$IP$340,Stock!$D$4:$IP$4,I60,Stock!$D$5:$IP$5,J60),IF(COUNTIF(Stock!$D$5:$IP$5,J60)&gt;0,SUMIF(Stock!$D$5:$IP$5,J60,Stock!$D$340:$IP$340),SUMIF(Stock!$D$4:$IP$4,I60,Stock!$D$340:$IP$340))),SUMIF(Stock!$D$4:$IP$4,I60,Stock!$D$340:$IP$340)))</f>
        <v>200</v>
      </c>
      <c r="M60" s="142">
        <f t="shared" si="1"/>
        <v>-190</v>
      </c>
      <c r="N60" s="175">
        <f>IF(AND(I60="",J60=""),"",IF(J60&lt;&gt;"",IF(COUNTIFS(Stock!$D$4:$IP$4,I60,Stock!$D$5:$IP$5,J60)&gt;0,SUMIFS(Stock!$D$32:$IP$32,Stock!$D$4:$IP$4,I60,Stock!$D$5:$IP$5,J60),IF(COUNTIF(Stock!$D$5:$IP$5,J60)&gt;0,SUMIF(Stock!$D$5:$IP$5,J60,Stock!$D$32:$IP$32),SUMIF(Stock!$D$4:$IP$4,I60,Stock!$D$32:$IP$32))),SUMIF(Stock!$D$4:$IP$4,I60,Stock!$D$32:$IP$32)))</f>
        <v>200</v>
      </c>
      <c r="O60" s="142"/>
      <c r="P60" s="2" t="s">
        <v>279</v>
      </c>
      <c r="Q60" s="2" t="s">
        <v>69</v>
      </c>
      <c r="R60" s="5">
        <v>3900</v>
      </c>
      <c r="S60" s="175">
        <f>IF(AND(P60="",Q60=""),"",IF(Q60&lt;&gt;"",IF(COUNTIFS(Stock!$D$4:$IP$4,P60,Stock!$D$5:$IP$5,Q60)&gt;0,SUMIFS(Stock!$D$340:$IP$340,Stock!$D$4:$IP$4,P60,Stock!$D$5:$IP$5,Q60),IF(COUNTIF(Stock!$D$5:$IP$5,Q60)&gt;0,SUMIF(Stock!$D$5:$IP$5,Q60,Stock!$D$340:$IP$340),SUMIF(Stock!$D$4:$IP$4,P60,Stock!$D$340:$IP$340))),SUMIF(Stock!$D$4:$IP$4,P60,Stock!$D$340:$IP$340)))</f>
        <v>1900</v>
      </c>
      <c r="T60" s="176">
        <f t="shared" si="3"/>
        <v>2000</v>
      </c>
      <c r="U60">
        <f>IF(AND(P60="",Q60=""),"",IF(Q60&lt;&gt;"",IF(COUNTIFS(Stock!$D$4:$IP$4,P60,Stock!$D$5:$IP$5,Q60)&gt;0,SUMIFS(Stock!$D$32:$IP$32,Stock!$D$4:$IP$4,P60,Stock!$D$5:$IP$5,Q60),IF(COUNTIF(Stock!$D$5:$IP$5,Q60)&gt;0,SUMIF(Stock!$D$5:$IP$5,Q60,Stock!$D$32:$IP$32),SUMIF(Stock!$D$4:$IP$4,P60,Stock!$D$32:$IP$32))),SUMIF(Stock!$D$4:$IP$4,P60,Stock!$D$32:$IP$32)))</f>
        <v>3900</v>
      </c>
      <c r="V60" s="369" t="s">
        <v>71</v>
      </c>
      <c r="W60" s="655"/>
      <c r="Z60" s="2"/>
      <c r="AI60" s="2"/>
      <c r="AL60" s="2"/>
      <c r="AY60" s="2"/>
      <c r="AZ60" s="2"/>
      <c r="BA60" s="2"/>
    </row>
    <row r="61" spans="2:53" ht="15.75" customHeight="1" x14ac:dyDescent="0.25">
      <c r="B61" s="131" t="s">
        <v>159</v>
      </c>
      <c r="C61" s="4"/>
      <c r="D61" s="5">
        <v>0</v>
      </c>
      <c r="E61" s="5">
        <f>IF(AND(B61="",C61=""),"",IF(C61&lt;&gt;"",IF(COUNTIFS(Stock!$D$4:$IP$4,B61,Stock!$D$5:$IP$5,C61)&gt;0,SUMIFS(Stock!$D$340:$IP$340,Stock!$D$4:$IP$4,B61,Stock!$D$5:$IP$5,C61),IF(COUNTIF(Stock!$D$5:$IP$5,C61)&gt;0,SUMIF(Stock!$D$5:$IP$5,C61,Stock!$D$340:$IP$340),SUMIF(Stock!$D$4:$IP$4,B61,Stock!$D$340:$IP$340))),SUMIF(Stock!$D$4:$IP$4,B61,Stock!$D$340:$IP$340)))</f>
        <v>0</v>
      </c>
      <c r="F61" s="142">
        <f t="shared" si="0"/>
        <v>0</v>
      </c>
      <c r="G61" s="1294">
        <f>IF(AND(B61="",C61=""),"",IF(C61&lt;&gt;"",IF(COUNTIFS(Stock!$D$4:$IP$4,B61,Stock!$D$5:$IP$5,C61)&gt;0,SUMIFS(Stock!$D$32:$IP$32,Stock!$D$4:$IP$4,B61,Stock!$D$5:$IP$5,C61),IF(COUNTIF(Stock!$D$5:$IP$5,C61)&gt;0,SUMIF(Stock!$D$5:$IP$5,C61,Stock!$D$32:$IP$32),SUMIF(Stock!$D$4:$IP$4,B61,Stock!$D$32:$IP$32))),SUMIF(Stock!$D$4:$IP$4,B61,Stock!$D$32:$IP$32)))</f>
        <v>0</v>
      </c>
      <c r="I61" s="2" t="s">
        <v>309</v>
      </c>
      <c r="J61" s="2" t="s">
        <v>466</v>
      </c>
      <c r="K61" s="5">
        <v>390</v>
      </c>
      <c r="L61" s="5">
        <f>IF(AND(I61="",J61=""),"",IF(J61&lt;&gt;"",IF(COUNTIFS(Stock!$D$4:$IP$4,I61,Stock!$D$5:$IP$5,J61)&gt;0,SUMIFS(Stock!$D$340:$IP$340,Stock!$D$4:$IP$4,I61,Stock!$D$5:$IP$5,J61),IF(COUNTIF(Stock!$D$5:$IP$5,J61)&gt;0,SUMIF(Stock!$D$5:$IP$5,J61,Stock!$D$340:$IP$340),SUMIF(Stock!$D$4:$IP$4,I61,Stock!$D$340:$IP$340))),SUMIF(Stock!$D$4:$IP$4,I61,Stock!$D$340:$IP$340)))</f>
        <v>350</v>
      </c>
      <c r="M61" s="142">
        <f t="shared" si="1"/>
        <v>40</v>
      </c>
      <c r="N61" s="175">
        <f>IF(AND(I61="",J61=""),"",IF(J61&lt;&gt;"",IF(COUNTIFS(Stock!$D$4:$IP$4,I61,Stock!$D$5:$IP$5,J61)&gt;0,SUMIFS(Stock!$D$32:$IP$32,Stock!$D$4:$IP$4,I61,Stock!$D$5:$IP$5,J61),IF(COUNTIF(Stock!$D$5:$IP$5,J61)&gt;0,SUMIF(Stock!$D$5:$IP$5,J61,Stock!$D$32:$IP$32),SUMIF(Stock!$D$4:$IP$4,I61,Stock!$D$32:$IP$32))),SUMIF(Stock!$D$4:$IP$4,I61,Stock!$D$32:$IP$32)))</f>
        <v>350</v>
      </c>
      <c r="O61" s="142"/>
      <c r="P61" s="2" t="s">
        <v>280</v>
      </c>
      <c r="Q61" s="2" t="s">
        <v>435</v>
      </c>
      <c r="R61" s="5">
        <v>671</v>
      </c>
      <c r="S61" s="175">
        <f>IF(AND(P61="",Q61=""),"",IF(Q61&lt;&gt;"",IF(COUNTIFS(Stock!$D$4:$IP$4,P61,Stock!$D$5:$IP$5,Q61)&gt;0,SUMIFS(Stock!$D$340:$IP$340,Stock!$D$4:$IP$4,P61,Stock!$D$5:$IP$5,Q61),IF(COUNTIF(Stock!$D$5:$IP$5,Q61)&gt;0,SUMIF(Stock!$D$5:$IP$5,Q61,Stock!$D$340:$IP$340),SUMIF(Stock!$D$4:$IP$4,P61,Stock!$D$340:$IP$340))),SUMIF(Stock!$D$4:$IP$4,P61,Stock!$D$340:$IP$340)))</f>
        <v>671</v>
      </c>
      <c r="T61" s="176">
        <f t="shared" si="3"/>
        <v>0</v>
      </c>
      <c r="U61">
        <f>IF(AND(P61="",Q61=""),"",IF(Q61&lt;&gt;"",IF(COUNTIFS(Stock!$D$4:$IP$4,P61,Stock!$D$5:$IP$5,Q61)&gt;0,SUMIFS(Stock!$D$32:$IP$32,Stock!$D$4:$IP$4,P61,Stock!$D$5:$IP$5,Q61),IF(COUNTIF(Stock!$D$5:$IP$5,Q61)&gt;0,SUMIF(Stock!$D$5:$IP$5,Q61,Stock!$D$32:$IP$32),SUMIF(Stock!$D$4:$IP$4,P61,Stock!$D$32:$IP$32))),SUMIF(Stock!$D$4:$IP$4,P61,Stock!$D$32:$IP$32)))</f>
        <v>649</v>
      </c>
      <c r="V61" s="369" t="s">
        <v>774</v>
      </c>
      <c r="W61" s="655"/>
    </row>
    <row r="62" spans="2:53" ht="15.75" customHeight="1" x14ac:dyDescent="0.25">
      <c r="B62" s="131" t="s">
        <v>130</v>
      </c>
      <c r="C62" s="4"/>
      <c r="D62" s="5">
        <v>0</v>
      </c>
      <c r="E62" s="5">
        <f>IF(AND(B62="",C62=""),"",IF(C62&lt;&gt;"",IF(COUNTIFS(Stock!$D$4:$IP$4,B62,Stock!$D$5:$IP$5,C62)&gt;0,SUMIFS(Stock!$D$340:$IP$340,Stock!$D$4:$IP$4,B62,Stock!$D$5:$IP$5,C62),IF(COUNTIF(Stock!$D$5:$IP$5,C62)&gt;0,SUMIF(Stock!$D$5:$IP$5,C62,Stock!$D$340:$IP$340),SUMIF(Stock!$D$4:$IP$4,B62,Stock!$D$340:$IP$340))),SUMIF(Stock!$D$4:$IP$4,B62,Stock!$D$340:$IP$340)))</f>
        <v>0</v>
      </c>
      <c r="F62" s="142">
        <f t="shared" si="0"/>
        <v>0</v>
      </c>
      <c r="G62" s="1294">
        <f>IF(AND(B62="",C62=""),"",IF(C62&lt;&gt;"",IF(COUNTIFS(Stock!$D$4:$IP$4,B62,Stock!$D$5:$IP$5,C62)&gt;0,SUMIFS(Stock!$D$32:$IP$32,Stock!$D$4:$IP$4,B62,Stock!$D$5:$IP$5,C62),IF(COUNTIF(Stock!$D$5:$IP$5,C62)&gt;0,SUMIF(Stock!$D$5:$IP$5,C62,Stock!$D$32:$IP$32),SUMIF(Stock!$D$4:$IP$4,B62,Stock!$D$32:$IP$32))),SUMIF(Stock!$D$4:$IP$4,B62,Stock!$D$32:$IP$32)))</f>
        <v>0</v>
      </c>
      <c r="I62" s="2" t="s">
        <v>310</v>
      </c>
      <c r="J62" s="2" t="s">
        <v>467</v>
      </c>
      <c r="K62" s="5">
        <v>255</v>
      </c>
      <c r="L62" s="5">
        <f>IF(AND(I62="",J62=""),"",IF(J62&lt;&gt;"",IF(COUNTIFS(Stock!$D$4:$IP$4,I62,Stock!$D$5:$IP$5,J62)&gt;0,SUMIFS(Stock!$D$340:$IP$340,Stock!$D$4:$IP$4,I62,Stock!$D$5:$IP$5,J62),IF(COUNTIF(Stock!$D$5:$IP$5,J62)&gt;0,SUMIF(Stock!$D$5:$IP$5,J62,Stock!$D$340:$IP$340),SUMIF(Stock!$D$4:$IP$4,I62,Stock!$D$340:$IP$340))),SUMIF(Stock!$D$4:$IP$4,I62,Stock!$D$340:$IP$340)))</f>
        <v>215</v>
      </c>
      <c r="M62" s="142">
        <f t="shared" si="1"/>
        <v>40</v>
      </c>
      <c r="N62" s="175">
        <f>IF(AND(I62="",J62=""),"",IF(J62&lt;&gt;"",IF(COUNTIFS(Stock!$D$4:$IP$4,I62,Stock!$D$5:$IP$5,J62)&gt;0,SUMIFS(Stock!$D$32:$IP$32,Stock!$D$4:$IP$4,I62,Stock!$D$5:$IP$5,J62),IF(COUNTIF(Stock!$D$5:$IP$5,J62)&gt;0,SUMIF(Stock!$D$5:$IP$5,J62,Stock!$D$32:$IP$32),SUMIF(Stock!$D$4:$IP$4,I62,Stock!$D$32:$IP$32))),SUMIF(Stock!$D$4:$IP$4,I62,Stock!$D$32:$IP$32)))</f>
        <v>506</v>
      </c>
      <c r="O62" s="142"/>
      <c r="P62" s="2" t="s">
        <v>281</v>
      </c>
      <c r="Q62" s="2" t="s">
        <v>436</v>
      </c>
      <c r="R62" s="5"/>
      <c r="S62" s="175">
        <f>IF(AND(P62="",Q62=""),"",IF(Q62&lt;&gt;"",IF(COUNTIFS(Stock!$D$4:$IP$4,P62,Stock!$D$5:$IP$5,Q62)&gt;0,SUMIFS(Stock!$D$340:$IP$340,Stock!$D$4:$IP$4,P62,Stock!$D$5:$IP$5,Q62),IF(COUNTIF(Stock!$D$5:$IP$5,Q62)&gt;0,SUMIF(Stock!$D$5:$IP$5,Q62,Stock!$D$340:$IP$340),SUMIF(Stock!$D$4:$IP$4,P62,Stock!$D$340:$IP$340))),SUMIF(Stock!$D$4:$IP$4,P62,Stock!$D$340:$IP$340)))</f>
        <v>0</v>
      </c>
      <c r="T62" s="176">
        <f t="shared" si="3"/>
        <v>0</v>
      </c>
      <c r="U62">
        <f>IF(AND(P62="",Q62=""),"",IF(Q62&lt;&gt;"",IF(COUNTIFS(Stock!$D$4:$IP$4,P62,Stock!$D$5:$IP$5,Q62)&gt;0,SUMIFS(Stock!$D$32:$IP$32,Stock!$D$4:$IP$4,P62,Stock!$D$5:$IP$5,Q62),IF(COUNTIF(Stock!$D$5:$IP$5,Q62)&gt;0,SUMIF(Stock!$D$5:$IP$5,Q62,Stock!$D$32:$IP$32),SUMIF(Stock!$D$4:$IP$4,P62,Stock!$D$32:$IP$32))),SUMIF(Stock!$D$4:$IP$4,P62,Stock!$D$32:$IP$32)))</f>
        <v>0</v>
      </c>
      <c r="V62" s="369" t="s">
        <v>1720</v>
      </c>
      <c r="W62" s="655"/>
      <c r="Z62" s="2"/>
      <c r="AA62" s="2"/>
      <c r="AB62" s="2"/>
      <c r="AC62" s="2"/>
      <c r="AD62" s="2"/>
      <c r="AE62" s="2"/>
      <c r="AF62" s="2"/>
      <c r="AG62" s="2"/>
      <c r="AH62" s="2"/>
      <c r="AI62" s="2"/>
      <c r="AJ62" s="2"/>
      <c r="AK62" s="2"/>
      <c r="AL62" s="2"/>
      <c r="AP62" s="2"/>
      <c r="AR62" s="2"/>
      <c r="AS62" s="2"/>
      <c r="AT62" s="2"/>
      <c r="AU62" s="2"/>
      <c r="AV62" s="2"/>
      <c r="AY62" s="2"/>
      <c r="AZ62" s="2"/>
      <c r="BA62" s="2"/>
    </row>
    <row r="63" spans="2:53" ht="15.75" customHeight="1" x14ac:dyDescent="0.25">
      <c r="B63" s="131" t="s">
        <v>162</v>
      </c>
      <c r="C63" s="4"/>
      <c r="D63" s="5"/>
      <c r="E63" s="5">
        <f>IF(AND(B63="",C63=""),"",IF(C63&lt;&gt;"",IF(COUNTIFS(Stock!$D$4:$IP$4,B63,Stock!$D$5:$IP$5,C63)&gt;0,SUMIFS(Stock!$D$340:$IP$340,Stock!$D$4:$IP$4,B63,Stock!$D$5:$IP$5,C63),IF(COUNTIF(Stock!$D$5:$IP$5,C63)&gt;0,SUMIF(Stock!$D$5:$IP$5,C63,Stock!$D$340:$IP$340),SUMIF(Stock!$D$4:$IP$4,B63,Stock!$D$340:$IP$340))),SUMIF(Stock!$D$4:$IP$4,B63,Stock!$D$340:$IP$340)))</f>
        <v>0</v>
      </c>
      <c r="F63" s="142">
        <f t="shared" si="0"/>
        <v>0</v>
      </c>
      <c r="G63" s="1294">
        <f>IF(AND(B63="",C63=""),"",IF(C63&lt;&gt;"",IF(COUNTIFS(Stock!$D$4:$IP$4,B63,Stock!$D$5:$IP$5,C63)&gt;0,SUMIFS(Stock!$D$32:$IP$32,Stock!$D$4:$IP$4,B63,Stock!$D$5:$IP$5,C63),IF(COUNTIF(Stock!$D$5:$IP$5,C63)&gt;0,SUMIF(Stock!$D$5:$IP$5,C63,Stock!$D$32:$IP$32),SUMIF(Stock!$D$4:$IP$4,B63,Stock!$D$32:$IP$32))),SUMIF(Stock!$D$4:$IP$4,B63,Stock!$D$32:$IP$32)))</f>
        <v>0</v>
      </c>
      <c r="I63" s="2" t="s">
        <v>311</v>
      </c>
      <c r="K63" s="5">
        <v>320</v>
      </c>
      <c r="L63" s="5">
        <f>IF(AND(I63="",J63=""),"",IF(J63&lt;&gt;"",IF(COUNTIFS(Stock!$D$4:$IP$4,I63,Stock!$D$5:$IP$5,J63)&gt;0,SUMIFS(Stock!$D$340:$IP$340,Stock!$D$4:$IP$4,I63,Stock!$D$5:$IP$5,J63),IF(COUNTIF(Stock!$D$5:$IP$5,J63)&gt;0,SUMIF(Stock!$D$5:$IP$5,J63,Stock!$D$340:$IP$340),SUMIF(Stock!$D$4:$IP$4,I63,Stock!$D$340:$IP$340))),SUMIF(Stock!$D$4:$IP$4,I63,Stock!$D$340:$IP$340)))</f>
        <v>255</v>
      </c>
      <c r="M63" s="142">
        <f t="shared" si="1"/>
        <v>65</v>
      </c>
      <c r="N63" s="175">
        <f>IF(AND(I63="",J63=""),"",IF(J63&lt;&gt;"",IF(COUNTIFS(Stock!$D$4:$IP$4,I63,Stock!$D$5:$IP$5,J63)&gt;0,SUMIFS(Stock!$D$32:$IP$32,Stock!$D$4:$IP$4,I63,Stock!$D$5:$IP$5,J63),IF(COUNTIF(Stock!$D$5:$IP$5,J63)&gt;0,SUMIF(Stock!$D$5:$IP$5,J63,Stock!$D$32:$IP$32),SUMIF(Stock!$D$4:$IP$4,I63,Stock!$D$32:$IP$32))),SUMIF(Stock!$D$4:$IP$4,I63,Stock!$D$32:$IP$32)))</f>
        <v>500</v>
      </c>
      <c r="O63" s="142"/>
      <c r="P63" s="2" t="s">
        <v>282</v>
      </c>
      <c r="Q63" s="2" t="s">
        <v>437</v>
      </c>
      <c r="R63" s="5">
        <v>100</v>
      </c>
      <c r="S63" s="175">
        <f>IF(AND(P63="",Q63=""),"",IF(Q63&lt;&gt;"",IF(COUNTIFS(Stock!$D$4:$IP$4,P63,Stock!$D$5:$IP$5,Q63)&gt;0,SUMIFS(Stock!$D$340:$IP$340,Stock!$D$4:$IP$4,P63,Stock!$D$5:$IP$5,Q63),IF(COUNTIF(Stock!$D$5:$IP$5,Q63)&gt;0,SUMIF(Stock!$D$5:$IP$5,Q63,Stock!$D$340:$IP$340),SUMIF(Stock!$D$4:$IP$4,P63,Stock!$D$340:$IP$340))),SUMIF(Stock!$D$4:$IP$4,P63,Stock!$D$340:$IP$340)))</f>
        <v>125</v>
      </c>
      <c r="T63" s="176">
        <f t="shared" si="3"/>
        <v>-25</v>
      </c>
      <c r="U63">
        <f>IF(AND(P63="",Q63=""),"",IF(Q63&lt;&gt;"",IF(COUNTIFS(Stock!$D$4:$IP$4,P63,Stock!$D$5:$IP$5,Q63)&gt;0,SUMIFS(Stock!$D$32:$IP$32,Stock!$D$4:$IP$4,P63,Stock!$D$5:$IP$5,Q63),IF(COUNTIF(Stock!$D$5:$IP$5,Q63)&gt;0,SUMIF(Stock!$D$5:$IP$5,Q63,Stock!$D$32:$IP$32),SUMIF(Stock!$D$4:$IP$4,P63,Stock!$D$32:$IP$32))),SUMIF(Stock!$D$4:$IP$4,P63,Stock!$D$32:$IP$32)))</f>
        <v>474</v>
      </c>
      <c r="V63" s="369" t="s">
        <v>1593</v>
      </c>
      <c r="W63" s="655"/>
      <c r="Z63" s="2"/>
      <c r="AA63" s="2"/>
      <c r="AB63" s="2"/>
      <c r="AC63" s="2"/>
      <c r="AD63" s="2"/>
      <c r="AE63" s="2"/>
      <c r="AF63" s="2"/>
      <c r="AI63" s="2"/>
      <c r="AJ63" s="2"/>
      <c r="AL63" s="2"/>
      <c r="AM63" s="2"/>
      <c r="AN63" s="2"/>
      <c r="AO63" s="2"/>
      <c r="AP63" s="2"/>
      <c r="AQ63" s="2"/>
      <c r="AR63" s="2"/>
      <c r="AS63" s="2"/>
      <c r="AT63" s="2"/>
      <c r="AU63" s="2"/>
      <c r="AV63" s="2"/>
      <c r="AW63" s="2"/>
      <c r="AX63" s="2"/>
      <c r="AY63" s="2"/>
      <c r="AZ63" s="2"/>
      <c r="BA63" s="2"/>
    </row>
    <row r="64" spans="2:53" ht="15.75" customHeight="1" x14ac:dyDescent="0.25">
      <c r="B64" s="131" t="s">
        <v>163</v>
      </c>
      <c r="C64" s="4"/>
      <c r="D64" s="5">
        <v>0</v>
      </c>
      <c r="E64" s="5">
        <f>IF(AND(B64="",C64=""),"",IF(C64&lt;&gt;"",IF(COUNTIFS(Stock!$D$4:$IP$4,B64,Stock!$D$5:$IP$5,C64)&gt;0,SUMIFS(Stock!$D$340:$IP$340,Stock!$D$4:$IP$4,B64,Stock!$D$5:$IP$5,C64),IF(COUNTIF(Stock!$D$5:$IP$5,C64)&gt;0,SUMIF(Stock!$D$5:$IP$5,C64,Stock!$D$340:$IP$340),SUMIF(Stock!$D$4:$IP$4,B64,Stock!$D$340:$IP$340))),SUMIF(Stock!$D$4:$IP$4,B64,Stock!$D$340:$IP$340)))</f>
        <v>0</v>
      </c>
      <c r="F64" s="142">
        <f t="shared" si="0"/>
        <v>0</v>
      </c>
      <c r="G64" s="1294">
        <f>IF(AND(B64="",C64=""),"",IF(C64&lt;&gt;"",IF(COUNTIFS(Stock!$D$4:$IP$4,B64,Stock!$D$5:$IP$5,C64)&gt;0,SUMIFS(Stock!$D$32:$IP$32,Stock!$D$4:$IP$4,B64,Stock!$D$5:$IP$5,C64),IF(COUNTIF(Stock!$D$5:$IP$5,C64)&gt;0,SUMIF(Stock!$D$5:$IP$5,C64,Stock!$D$32:$IP$32),SUMIF(Stock!$D$4:$IP$4,B64,Stock!$D$32:$IP$32))),SUMIF(Stock!$D$4:$IP$4,B64,Stock!$D$32:$IP$32)))</f>
        <v>0</v>
      </c>
      <c r="I64" s="2" t="s">
        <v>312</v>
      </c>
      <c r="K64" s="5">
        <v>30</v>
      </c>
      <c r="L64" s="5">
        <f>IF(AND(I64="",J64=""),"",IF(J64&lt;&gt;"",IF(COUNTIFS(Stock!$D$4:$IP$4,I64,Stock!$D$5:$IP$5,J64)&gt;0,SUMIFS(Stock!$D$340:$IP$340,Stock!$D$4:$IP$4,I64,Stock!$D$5:$IP$5,J64),IF(COUNTIF(Stock!$D$5:$IP$5,J64)&gt;0,SUMIF(Stock!$D$5:$IP$5,J64,Stock!$D$340:$IP$340),SUMIF(Stock!$D$4:$IP$4,I64,Stock!$D$340:$IP$340))),SUMIF(Stock!$D$4:$IP$4,I64,Stock!$D$340:$IP$340)))</f>
        <v>30</v>
      </c>
      <c r="M64" s="142">
        <f t="shared" si="1"/>
        <v>0</v>
      </c>
      <c r="N64" s="175">
        <f>IF(AND(I64="",J64=""),"",IF(J64&lt;&gt;"",IF(COUNTIFS(Stock!$D$4:$IP$4,I64,Stock!$D$5:$IP$5,J64)&gt;0,SUMIFS(Stock!$D$32:$IP$32,Stock!$D$4:$IP$4,I64,Stock!$D$5:$IP$5,J64),IF(COUNTIF(Stock!$D$5:$IP$5,J64)&gt;0,SUMIF(Stock!$D$5:$IP$5,J64,Stock!$D$32:$IP$32),SUMIF(Stock!$D$4:$IP$4,I64,Stock!$D$32:$IP$32))),SUMIF(Stock!$D$4:$IP$4,I64,Stock!$D$32:$IP$32)))</f>
        <v>200</v>
      </c>
      <c r="O64" s="142"/>
      <c r="P64" s="2" t="s">
        <v>283</v>
      </c>
      <c r="Q64" s="2" t="s">
        <v>438</v>
      </c>
      <c r="R64" s="5">
        <v>150</v>
      </c>
      <c r="S64" s="175">
        <f>IF(AND(P64="",Q64=""),"",IF(Q64&lt;&gt;"",IF(COUNTIFS(Stock!$D$4:$IP$4,P64,Stock!$D$5:$IP$5,Q64)&gt;0,SUMIFS(Stock!$D$340:$IP$340,Stock!$D$4:$IP$4,P64,Stock!$D$5:$IP$5,Q64),IF(COUNTIF(Stock!$D$5:$IP$5,Q64)&gt;0,SUMIF(Stock!$D$5:$IP$5,Q64,Stock!$D$340:$IP$340),SUMIF(Stock!$D$4:$IP$4,P64,Stock!$D$340:$IP$340))),SUMIF(Stock!$D$4:$IP$4,P64,Stock!$D$340:$IP$340)))</f>
        <v>125</v>
      </c>
      <c r="T64" s="176">
        <f t="shared" si="3"/>
        <v>25</v>
      </c>
      <c r="U64">
        <f>IF(AND(P64="",Q64=""),"",IF(Q64&lt;&gt;"",IF(COUNTIFS(Stock!$D$4:$IP$4,P64,Stock!$D$5:$IP$5,Q64)&gt;0,SUMIFS(Stock!$D$32:$IP$32,Stock!$D$4:$IP$4,P64,Stock!$D$5:$IP$5,Q64),IF(COUNTIF(Stock!$D$5:$IP$5,Q64)&gt;0,SUMIF(Stock!$D$5:$IP$5,Q64,Stock!$D$32:$IP$32),SUMIF(Stock!$D$4:$IP$4,P64,Stock!$D$32:$IP$32))),SUMIF(Stock!$D$4:$IP$4,P64,Stock!$D$32:$IP$32)))</f>
        <v>474</v>
      </c>
      <c r="V64" s="369" t="s">
        <v>1595</v>
      </c>
      <c r="W64" s="655"/>
    </row>
    <row r="65" spans="2:23" ht="15.75" customHeight="1" x14ac:dyDescent="0.25">
      <c r="B65" s="131"/>
      <c r="C65" s="4"/>
      <c r="D65" s="5"/>
      <c r="E65" s="5" t="str">
        <f>IF(AND(B65="",C65=""),"",IF(C65&lt;&gt;"",IF(COUNTIFS(Stock!$D$4:$IP$4,B65,Stock!$D$5:$IP$5,C65)&gt;0,SUMIFS(Stock!$D$340:$IP$340,Stock!$D$4:$IP$4,B65,Stock!$D$5:$IP$5,C65),IF(COUNTIF(Stock!$D$5:$IP$5,C65)&gt;0,SUMIF(Stock!$D$5:$IP$5,C65,Stock!$D$340:$IP$340),SUMIF(Stock!$D$4:$IP$4,B65,Stock!$D$340:$IP$340))),SUMIF(Stock!$D$4:$IP$4,B65,Stock!$D$340:$IP$340)))</f>
        <v/>
      </c>
      <c r="F65" s="142" t="e">
        <f t="shared" si="0"/>
        <v>#VALUE!</v>
      </c>
      <c r="G65" s="1294" t="str">
        <f>IF(AND(B65="",C65=""),"",IF(C65&lt;&gt;"",IF(COUNTIFS(Stock!$D$4:$IP$4,B65,Stock!$D$5:$IP$5,C65)&gt;0,SUMIFS(Stock!$D$32:$IP$32,Stock!$D$4:$IP$4,B65,Stock!$D$5:$IP$5,C65),IF(COUNTIF(Stock!$D$5:$IP$5,C65)&gt;0,SUMIF(Stock!$D$5:$IP$5,C65,Stock!$D$32:$IP$32),SUMIF(Stock!$D$4:$IP$4,B65,Stock!$D$32:$IP$32))),SUMIF(Stock!$D$4:$IP$4,B65,Stock!$D$32:$IP$32)))</f>
        <v/>
      </c>
      <c r="H65" s="686" t="s">
        <v>78</v>
      </c>
      <c r="I65" s="2" t="s">
        <v>313</v>
      </c>
      <c r="J65" s="2" t="s">
        <v>468</v>
      </c>
      <c r="K65" s="5">
        <v>6672</v>
      </c>
      <c r="L65" s="5">
        <f>IF(AND(I65="",J65=""),"",IF(J65&lt;&gt;"",IF(COUNTIFS(Stock!$D$4:$IP$4,I65,Stock!$D$5:$IP$5,J65)&gt;0,SUMIFS(Stock!$D$340:$IP$340,Stock!$D$4:$IP$4,I65,Stock!$D$5:$IP$5,J65),IF(COUNTIF(Stock!$D$5:$IP$5,J65)&gt;0,SUMIF(Stock!$D$5:$IP$5,J65,Stock!$D$340:$IP$340),SUMIF(Stock!$D$4:$IP$4,I65,Stock!$D$340:$IP$340))),SUMIF(Stock!$D$4:$IP$4,I65,Stock!$D$340:$IP$340)))</f>
        <v>5924</v>
      </c>
      <c r="M65" s="142">
        <f t="shared" si="1"/>
        <v>748</v>
      </c>
      <c r="N65" s="175">
        <f>IF(AND(I65="",J65=""),"",IF(J65&lt;&gt;"",IF(COUNTIFS(Stock!$D$4:$IP$4,I65,Stock!$D$5:$IP$5,J65)&gt;0,SUMIFS(Stock!$D$32:$IP$32,Stock!$D$4:$IP$4,I65,Stock!$D$5:$IP$5,J65),IF(COUNTIF(Stock!$D$5:$IP$5,J65)&gt;0,SUMIF(Stock!$D$5:$IP$5,J65,Stock!$D$32:$IP$32),SUMIF(Stock!$D$4:$IP$4,I65,Stock!$D$32:$IP$32))),SUMIF(Stock!$D$4:$IP$4,I65,Stock!$D$32:$IP$32)))</f>
        <v>2641</v>
      </c>
      <c r="O65" s="142"/>
      <c r="P65" s="2" t="s">
        <v>284</v>
      </c>
      <c r="Q65" s="2" t="s">
        <v>439</v>
      </c>
      <c r="R65" s="5">
        <v>499</v>
      </c>
      <c r="S65" s="175">
        <f>IF(AND(P65="",Q65=""),"",IF(Q65&lt;&gt;"",IF(COUNTIFS(Stock!$D$4:$IP$4,P65,Stock!$D$5:$IP$5,Q65)&gt;0,SUMIFS(Stock!$D$340:$IP$340,Stock!$D$4:$IP$4,P65,Stock!$D$5:$IP$5,Q65),IF(COUNTIF(Stock!$D$5:$IP$5,Q65)&gt;0,SUMIF(Stock!$D$5:$IP$5,Q65,Stock!$D$340:$IP$340),SUMIF(Stock!$D$4:$IP$4,P65,Stock!$D$340:$IP$340))),SUMIF(Stock!$D$4:$IP$4,P65,Stock!$D$340:$IP$340)))</f>
        <v>500</v>
      </c>
      <c r="T65" s="176">
        <f t="shared" si="3"/>
        <v>-1</v>
      </c>
      <c r="U65">
        <f>IF(AND(P65="",Q65=""),"",IF(Q65&lt;&gt;"",IF(COUNTIFS(Stock!$D$4:$IP$4,P65,Stock!$D$5:$IP$5,Q65)&gt;0,SUMIFS(Stock!$D$32:$IP$32,Stock!$D$4:$IP$4,P65,Stock!$D$5:$IP$5,Q65),IF(COUNTIF(Stock!$D$5:$IP$5,Q65)&gt;0,SUMIF(Stock!$D$5:$IP$5,Q65,Stock!$D$32:$IP$32),SUMIF(Stock!$D$4:$IP$4,P65,Stock!$D$32:$IP$32))),SUMIF(Stock!$D$4:$IP$4,P65,Stock!$D$32:$IP$32)))</f>
        <v>500</v>
      </c>
      <c r="V65" s="369" t="s">
        <v>1240</v>
      </c>
      <c r="W65" s="655"/>
    </row>
    <row r="66" spans="2:23" ht="15.75" customHeight="1" x14ac:dyDescent="0.25">
      <c r="B66" s="131" t="s">
        <v>164</v>
      </c>
      <c r="C66" s="4" t="s">
        <v>354</v>
      </c>
      <c r="D66" s="5">
        <v>342</v>
      </c>
      <c r="E66" s="5">
        <f>IF(AND(B66="",C66=""),"",IF(C66&lt;&gt;"",IF(COUNTIFS(Stock!$D$4:$IP$4,B66,Stock!$D$5:$IP$5,C66)&gt;0,SUMIFS(Stock!$D$340:$IP$340,Stock!$D$4:$IP$4,B66,Stock!$D$5:$IP$5,C66),IF(COUNTIF(Stock!$D$5:$IP$5,C66)&gt;0,SUMIF(Stock!$D$5:$IP$5,C66,Stock!$D$340:$IP$340),SUMIF(Stock!$D$4:$IP$4,B66,Stock!$D$340:$IP$340))),SUMIF(Stock!$D$4:$IP$4,B66,Stock!$D$340:$IP$340)))</f>
        <v>150</v>
      </c>
      <c r="F66" s="142">
        <f t="shared" si="0"/>
        <v>192</v>
      </c>
      <c r="G66" s="1294">
        <f>IF(AND(B66="",C66=""),"",IF(C66&lt;&gt;"",IF(COUNTIFS(Stock!$D$4:$IP$4,B66,Stock!$D$5:$IP$5,C66)&gt;0,SUMIFS(Stock!$D$32:$IP$32,Stock!$D$4:$IP$4,B66,Stock!$D$5:$IP$5,C66),IF(COUNTIF(Stock!$D$5:$IP$5,C66)&gt;0,SUMIF(Stock!$D$5:$IP$5,C66,Stock!$D$32:$IP$32),SUMIF(Stock!$D$4:$IP$4,B66,Stock!$D$32:$IP$32))),SUMIF(Stock!$D$4:$IP$4,B66,Stock!$D$32:$IP$32)))</f>
        <v>342</v>
      </c>
      <c r="I66" s="2" t="s">
        <v>12</v>
      </c>
      <c r="J66" s="2" t="s">
        <v>468</v>
      </c>
      <c r="K66" s="5">
        <v>9144</v>
      </c>
      <c r="L66" s="5">
        <f>IF(AND(I66="",J66=""),"",IF(J66&lt;&gt;"",IF(COUNTIFS(Stock!$D$4:$IP$4,I66,Stock!$D$5:$IP$5,J66)&gt;0,SUMIFS(Stock!$D$340:$IP$340,Stock!$D$4:$IP$4,I66,Stock!$D$5:$IP$5,J66),IF(COUNTIF(Stock!$D$5:$IP$5,J66)&gt;0,SUMIF(Stock!$D$5:$IP$5,J66,Stock!$D$340:$IP$340),SUMIF(Stock!$D$4:$IP$4,I66,Stock!$D$340:$IP$340))),SUMIF(Stock!$D$4:$IP$4,I66,Stock!$D$340:$IP$340)))</f>
        <v>2029</v>
      </c>
      <c r="M66" s="142">
        <f t="shared" si="1"/>
        <v>7115</v>
      </c>
      <c r="N66" s="175">
        <f>IF(AND(I66="",J66=""),"",IF(J66&lt;&gt;"",IF(COUNTIFS(Stock!$D$4:$IP$4,I66,Stock!$D$5:$IP$5,J66)&gt;0,SUMIFS(Stock!$D$32:$IP$32,Stock!$D$4:$IP$4,I66,Stock!$D$5:$IP$5,J66),IF(COUNTIF(Stock!$D$5:$IP$5,J66)&gt;0,SUMIF(Stock!$D$5:$IP$5,J66,Stock!$D$32:$IP$32),SUMIF(Stock!$D$4:$IP$4,I66,Stock!$D$32:$IP$32))),SUMIF(Stock!$D$4:$IP$4,I66,Stock!$D$32:$IP$32)))</f>
        <v>500</v>
      </c>
      <c r="O66" s="142"/>
      <c r="P66" s="2" t="s">
        <v>285</v>
      </c>
      <c r="Q66" s="2" t="s">
        <v>440</v>
      </c>
      <c r="R66" s="5">
        <v>50</v>
      </c>
      <c r="S66" s="175">
        <f>IF(AND(P66="",Q66=""),"",IF(Q66&lt;&gt;"",IF(COUNTIFS(Stock!$D$4:$IP$4,P66,Stock!$D$5:$IP$5,Q66)&gt;0,SUMIFS(Stock!$D$340:$IP$340,Stock!$D$4:$IP$4,P66,Stock!$D$5:$IP$5,Q66),IF(COUNTIF(Stock!$D$5:$IP$5,Q66)&gt;0,SUMIF(Stock!$D$5:$IP$5,Q66,Stock!$D$340:$IP$340),SUMIF(Stock!$D$4:$IP$4,P66,Stock!$D$340:$IP$340))),SUMIF(Stock!$D$4:$IP$4,P66,Stock!$D$340:$IP$340)))</f>
        <v>75</v>
      </c>
      <c r="T66" s="176">
        <f t="shared" si="3"/>
        <v>-25</v>
      </c>
      <c r="U66">
        <f>IF(AND(P66="",Q66=""),"",IF(Q66&lt;&gt;"",IF(COUNTIFS(Stock!$D$4:$IP$4,P66,Stock!$D$5:$IP$5,Q66)&gt;0,SUMIFS(Stock!$D$32:$IP$32,Stock!$D$4:$IP$4,P66,Stock!$D$5:$IP$5,Q66),IF(COUNTIF(Stock!$D$5:$IP$5,Q66)&gt;0,SUMIF(Stock!$D$5:$IP$5,Q66,Stock!$D$32:$IP$32),SUMIF(Stock!$D$4:$IP$4,P66,Stock!$D$32:$IP$32))),SUMIF(Stock!$D$4:$IP$4,P66,Stock!$D$32:$IP$32)))</f>
        <v>75</v>
      </c>
      <c r="V66" s="369" t="s">
        <v>1803</v>
      </c>
      <c r="W66" s="655"/>
    </row>
    <row r="67" spans="2:23" ht="15.75" customHeight="1" x14ac:dyDescent="0.25">
      <c r="B67" s="131" t="s">
        <v>165</v>
      </c>
      <c r="C67" s="4" t="s">
        <v>355</v>
      </c>
      <c r="D67" s="5">
        <v>365</v>
      </c>
      <c r="E67" s="5">
        <f>IF(AND(B67="",C67=""),"",IF(C67&lt;&gt;"",IF(COUNTIFS(Stock!$D$4:$IP$4,B67,Stock!$D$5:$IP$5,C67)&gt;0,SUMIFS(Stock!$D$340:$IP$340,Stock!$D$4:$IP$4,B67,Stock!$D$5:$IP$5,C67),IF(COUNTIF(Stock!$D$5:$IP$5,C67)&gt;0,SUMIF(Stock!$D$5:$IP$5,C67,Stock!$D$340:$IP$340),SUMIF(Stock!$D$4:$IP$4,B67,Stock!$D$340:$IP$340))),SUMIF(Stock!$D$4:$IP$4,B67,Stock!$D$340:$IP$340)))</f>
        <v>315</v>
      </c>
      <c r="F67" s="142">
        <f t="shared" si="0"/>
        <v>50</v>
      </c>
      <c r="G67" s="1294">
        <f>IF(AND(B67="",C67=""),"",IF(C67&lt;&gt;"",IF(COUNTIFS(Stock!$D$4:$IP$4,B67,Stock!$D$5:$IP$5,C67)&gt;0,SUMIFS(Stock!$D$32:$IP$32,Stock!$D$4:$IP$4,B67,Stock!$D$5:$IP$5,C67),IF(COUNTIF(Stock!$D$5:$IP$5,C67)&gt;0,SUMIF(Stock!$D$5:$IP$5,C67,Stock!$D$32:$IP$32),SUMIF(Stock!$D$4:$IP$4,B67,Stock!$D$32:$IP$32))),SUMIF(Stock!$D$4:$IP$4,B67,Stock!$D$32:$IP$32)))</f>
        <v>365</v>
      </c>
      <c r="I67" s="2" t="s">
        <v>13</v>
      </c>
      <c r="K67" s="5">
        <v>120</v>
      </c>
      <c r="L67" s="5">
        <f>IF(AND(I67="",J67=""),"",IF(J67&lt;&gt;"",IF(COUNTIFS(Stock!$D$4:$IP$4,I67,Stock!$D$5:$IP$5,J67)&gt;0,SUMIFS(Stock!$D$340:$IP$340,Stock!$D$4:$IP$4,I67,Stock!$D$5:$IP$5,J67),IF(COUNTIF(Stock!$D$5:$IP$5,J67)&gt;0,SUMIF(Stock!$D$5:$IP$5,J67,Stock!$D$340:$IP$340),SUMIF(Stock!$D$4:$IP$4,I67,Stock!$D$340:$IP$340))),SUMIF(Stock!$D$4:$IP$4,I67,Stock!$D$340:$IP$340)))</f>
        <v>0</v>
      </c>
      <c r="M67" s="142">
        <f t="shared" si="1"/>
        <v>120</v>
      </c>
      <c r="N67" s="175">
        <f>IF(AND(I67="",J67=""),"",IF(J67&lt;&gt;"",IF(COUNTIFS(Stock!$D$4:$IP$4,I67,Stock!$D$5:$IP$5,J67)&gt;0,SUMIFS(Stock!$D$32:$IP$32,Stock!$D$4:$IP$4,I67,Stock!$D$5:$IP$5,J67),IF(COUNTIF(Stock!$D$5:$IP$5,J67)&gt;0,SUMIF(Stock!$D$5:$IP$5,J67,Stock!$D$32:$IP$32),SUMIF(Stock!$D$4:$IP$4,I67,Stock!$D$32:$IP$32))),SUMIF(Stock!$D$4:$IP$4,I67,Stock!$D$32:$IP$32)))</f>
        <v>120</v>
      </c>
      <c r="O67" s="142"/>
      <c r="P67" s="2" t="s">
        <v>217</v>
      </c>
      <c r="Q67" s="2" t="s">
        <v>442</v>
      </c>
      <c r="R67" s="5">
        <v>100</v>
      </c>
      <c r="S67" s="175">
        <f>IF(AND(P67="",Q67=""),"",IF(Q67&lt;&gt;"",IF(COUNTIFS(Stock!$D$4:$IP$4,P67,Stock!$D$5:$IP$5,Q67)&gt;0,SUMIFS(Stock!$D$340:$IP$340,Stock!$D$4:$IP$4,P67,Stock!$D$5:$IP$5,Q67),IF(COUNTIF(Stock!$D$5:$IP$5,Q67)&gt;0,SUMIF(Stock!$D$5:$IP$5,Q67,Stock!$D$340:$IP$340),SUMIF(Stock!$D$4:$IP$4,P67,Stock!$D$340:$IP$340))),SUMIF(Stock!$D$4:$IP$4,P67,Stock!$D$340:$IP$340)))</f>
        <v>100</v>
      </c>
      <c r="T67" s="176">
        <f t="shared" si="3"/>
        <v>0</v>
      </c>
      <c r="U67">
        <f>IF(AND(P67="",Q67=""),"",IF(Q67&lt;&gt;"",IF(COUNTIFS(Stock!$D$4:$IP$4,P67,Stock!$D$5:$IP$5,Q67)&gt;0,SUMIFS(Stock!$D$32:$IP$32,Stock!$D$4:$IP$4,P67,Stock!$D$5:$IP$5,Q67),IF(COUNTIF(Stock!$D$5:$IP$5,Q67)&gt;0,SUMIF(Stock!$D$5:$IP$5,Q67,Stock!$D$32:$IP$32),SUMIF(Stock!$D$4:$IP$4,P67,Stock!$D$32:$IP$32))),SUMIF(Stock!$D$4:$IP$4,P67,Stock!$D$32:$IP$32)))</f>
        <v>100</v>
      </c>
      <c r="V67" s="369" t="s">
        <v>1591</v>
      </c>
      <c r="W67" s="655"/>
    </row>
    <row r="68" spans="2:23" ht="15.75" customHeight="1" x14ac:dyDescent="0.25">
      <c r="B68" s="131" t="s">
        <v>166</v>
      </c>
      <c r="C68" s="4" t="s">
        <v>356</v>
      </c>
      <c r="D68" s="5">
        <v>479</v>
      </c>
      <c r="E68" s="5">
        <f>IF(AND(B68="",C68=""),"",IF(C68&lt;&gt;"",IF(COUNTIFS(Stock!$D$4:$IP$4,B68,Stock!$D$5:$IP$5,C68)&gt;0,SUMIFS(Stock!$D$340:$IP$340,Stock!$D$4:$IP$4,B68,Stock!$D$5:$IP$5,C68),IF(COUNTIF(Stock!$D$5:$IP$5,C68)&gt;0,SUMIF(Stock!$D$5:$IP$5,C68,Stock!$D$340:$IP$340),SUMIF(Stock!$D$4:$IP$4,B68,Stock!$D$340:$IP$340))),SUMIF(Stock!$D$4:$IP$4,B68,Stock!$D$340:$IP$340)))</f>
        <v>605</v>
      </c>
      <c r="F68" s="142">
        <f t="shared" ref="F68:F90" si="4">D68-E68</f>
        <v>-126</v>
      </c>
      <c r="G68" s="1294">
        <f>IF(AND(B68="",C68=""),"",IF(C68&lt;&gt;"",IF(COUNTIFS(Stock!$D$4:$IP$4,B68,Stock!$D$5:$IP$5,C68)&gt;0,SUMIFS(Stock!$D$32:$IP$32,Stock!$D$4:$IP$4,B68,Stock!$D$5:$IP$5,C68),IF(COUNTIF(Stock!$D$5:$IP$5,C68)&gt;0,SUMIF(Stock!$D$5:$IP$5,C68,Stock!$D$32:$IP$32),SUMIF(Stock!$D$4:$IP$4,B68,Stock!$D$32:$IP$32))),SUMIF(Stock!$D$4:$IP$4,B68,Stock!$D$32:$IP$32)))</f>
        <v>605</v>
      </c>
      <c r="H68" s="686" t="s">
        <v>79</v>
      </c>
      <c r="I68" s="2" t="s">
        <v>79</v>
      </c>
      <c r="J68" s="2" t="s">
        <v>469</v>
      </c>
      <c r="K68" s="5">
        <v>141</v>
      </c>
      <c r="L68" s="5">
        <f>IF(AND(I68="",J68=""),"",IF(J68&lt;&gt;"",IF(COUNTIFS(Stock!$D$4:$IP$4,I68,Stock!$D$5:$IP$5,J68)&gt;0,SUMIFS(Stock!$D$340:$IP$340,Stock!$D$4:$IP$4,I68,Stock!$D$5:$IP$5,J68),IF(COUNTIF(Stock!$D$5:$IP$5,J68)&gt;0,SUMIF(Stock!$D$5:$IP$5,J68,Stock!$D$340:$IP$340),SUMIF(Stock!$D$4:$IP$4,I68,Stock!$D$340:$IP$340))),SUMIF(Stock!$D$4:$IP$4,I68,Stock!$D$340:$IP$340)))</f>
        <v>140</v>
      </c>
      <c r="M68" s="142">
        <f t="shared" ref="M68:M90" si="5">K68-L68</f>
        <v>1</v>
      </c>
      <c r="N68" s="175">
        <f>IF(AND(I68="",J68=""),"",IF(J68&lt;&gt;"",IF(COUNTIFS(Stock!$D$4:$IP$4,I68,Stock!$D$5:$IP$5,J68)&gt;0,SUMIFS(Stock!$D$32:$IP$32,Stock!$D$4:$IP$4,I68,Stock!$D$5:$IP$5,J68),IF(COUNTIF(Stock!$D$5:$IP$5,J68)&gt;0,SUMIF(Stock!$D$5:$IP$5,J68,Stock!$D$32:$IP$32),SUMIF(Stock!$D$4:$IP$4,I68,Stock!$D$32:$IP$32))),SUMIF(Stock!$D$4:$IP$4,I68,Stock!$D$32:$IP$32)))</f>
        <v>140</v>
      </c>
      <c r="O68" s="142"/>
      <c r="P68" s="2" t="s">
        <v>286</v>
      </c>
      <c r="Q68" s="2" t="s">
        <v>443</v>
      </c>
      <c r="R68" s="5"/>
      <c r="S68" s="175"/>
      <c r="T68" s="176"/>
      <c r="V68" s="369" t="s">
        <v>1844</v>
      </c>
      <c r="W68" s="655"/>
    </row>
    <row r="69" spans="2:23" ht="15.75" customHeight="1" x14ac:dyDescent="0.25">
      <c r="B69" s="131" t="s">
        <v>166</v>
      </c>
      <c r="C69" s="4" t="s">
        <v>357</v>
      </c>
      <c r="D69" s="5">
        <v>170</v>
      </c>
      <c r="E69" s="5">
        <f>IF(AND(B69="",C69=""),"",IF(C69&lt;&gt;"",IF(COUNTIFS(Stock!$D$4:$IP$4,B69,Stock!$D$5:$IP$5,C69)&gt;0,SUMIFS(Stock!$D$340:$IP$340,Stock!$D$4:$IP$4,B69,Stock!$D$5:$IP$5,C69),IF(COUNTIF(Stock!$D$5:$IP$5,C69)&gt;0,SUMIF(Stock!$D$5:$IP$5,C69,Stock!$D$340:$IP$340),SUMIF(Stock!$D$4:$IP$4,B69,Stock!$D$340:$IP$340))),SUMIF(Stock!$D$4:$IP$4,B69,Stock!$D$340:$IP$340)))</f>
        <v>355</v>
      </c>
      <c r="F69" s="142">
        <f t="shared" si="4"/>
        <v>-185</v>
      </c>
      <c r="G69" s="1294">
        <f>IF(AND(B69="",C69=""),"",IF(C69&lt;&gt;"",IF(COUNTIFS(Stock!$D$4:$IP$4,B69,Stock!$D$5:$IP$5,C69)&gt;0,SUMIFS(Stock!$D$32:$IP$32,Stock!$D$4:$IP$4,B69,Stock!$D$5:$IP$5,C69),IF(COUNTIF(Stock!$D$5:$IP$5,C69)&gt;0,SUMIF(Stock!$D$5:$IP$5,C69,Stock!$D$32:$IP$32),SUMIF(Stock!$D$4:$IP$4,B69,Stock!$D$32:$IP$32))),SUMIF(Stock!$D$4:$IP$4,B69,Stock!$D$32:$IP$32)))</f>
        <v>355</v>
      </c>
      <c r="J69" s="2" t="s">
        <v>470</v>
      </c>
      <c r="K69" s="5"/>
      <c r="L69" s="5">
        <f>IF(AND(I69="",J69=""),"",IF(J69&lt;&gt;"",IF(COUNTIFS(Stock!$D$4:$IP$4,I69,Stock!$D$5:$IP$5,J69)&gt;0,SUMIFS(Stock!$D$340:$IP$340,Stock!$D$4:$IP$4,I69,Stock!$D$5:$IP$5,J69),IF(COUNTIF(Stock!$D$5:$IP$5,J69)&gt;0,SUMIF(Stock!$D$5:$IP$5,J69,Stock!$D$340:$IP$340),SUMIF(Stock!$D$4:$IP$4,I69,Stock!$D$340:$IP$340))),SUMIF(Stock!$D$4:$IP$4,I69,Stock!$D$340:$IP$340)))</f>
        <v>804</v>
      </c>
      <c r="M69" s="142">
        <f t="shared" si="5"/>
        <v>-804</v>
      </c>
      <c r="N69" s="175">
        <f>IF(AND(I69="",J69=""),"",IF(J69&lt;&gt;"",IF(COUNTIFS(Stock!$D$4:$IP$4,I69,Stock!$D$5:$IP$5,J69)&gt;0,SUMIFS(Stock!$D$32:$IP$32,Stock!$D$4:$IP$4,I69,Stock!$D$5:$IP$5,J69),IF(COUNTIF(Stock!$D$5:$IP$5,J69)&gt;0,SUMIF(Stock!$D$5:$IP$5,J69,Stock!$D$32:$IP$32),SUMIF(Stock!$D$4:$IP$4,I69,Stock!$D$32:$IP$32))),SUMIF(Stock!$D$4:$IP$4,I69,Stock!$D$32:$IP$32)))</f>
        <v>840</v>
      </c>
      <c r="O69" s="142"/>
      <c r="P69" s="1315" t="s">
        <v>1854</v>
      </c>
      <c r="Q69" s="1314"/>
      <c r="R69" s="343" t="s">
        <v>211</v>
      </c>
      <c r="S69" s="343" t="s">
        <v>263</v>
      </c>
      <c r="T69" s="343" t="s">
        <v>264</v>
      </c>
      <c r="U69" s="1291"/>
      <c r="V69" s="344" t="s">
        <v>741</v>
      </c>
      <c r="W69" s="345" t="s">
        <v>1460</v>
      </c>
    </row>
    <row r="70" spans="2:23" ht="15.75" customHeight="1" x14ac:dyDescent="0.25">
      <c r="B70" s="131" t="s">
        <v>167</v>
      </c>
      <c r="C70" s="4" t="s">
        <v>356</v>
      </c>
      <c r="D70" s="5">
        <v>120</v>
      </c>
      <c r="E70" s="5">
        <f>IF(AND(B70="",C70=""),"",IF(C70&lt;&gt;"",IF(COUNTIFS(Stock!$D$4:$IP$4,B70,Stock!$D$5:$IP$5,C70)&gt;0,SUMIFS(Stock!$D$340:$IP$340,Stock!$D$4:$IP$4,B70,Stock!$D$5:$IP$5,C70),IF(COUNTIF(Stock!$D$5:$IP$5,C70)&gt;0,SUMIF(Stock!$D$5:$IP$5,C70,Stock!$D$340:$IP$340),SUMIF(Stock!$D$4:$IP$4,B70,Stock!$D$340:$IP$340))),SUMIF(Stock!$D$4:$IP$4,B70,Stock!$D$340:$IP$340)))</f>
        <v>0</v>
      </c>
      <c r="F70" s="142">
        <f t="shared" si="4"/>
        <v>120</v>
      </c>
      <c r="G70" s="1294">
        <f>IF(AND(B70="",C70=""),"",IF(C70&lt;&gt;"",IF(COUNTIFS(Stock!$D$4:$IP$4,B70,Stock!$D$5:$IP$5,C70)&gt;0,SUMIFS(Stock!$D$32:$IP$32,Stock!$D$4:$IP$4,B70,Stock!$D$5:$IP$5,C70),IF(COUNTIF(Stock!$D$5:$IP$5,C70)&gt;0,SUMIF(Stock!$D$5:$IP$5,C70,Stock!$D$32:$IP$32),SUMIF(Stock!$D$4:$IP$4,B70,Stock!$D$32:$IP$32))),SUMIF(Stock!$D$4:$IP$4,B70,Stock!$D$32:$IP$32)))</f>
        <v>0</v>
      </c>
      <c r="J70" s="2" t="s">
        <v>471</v>
      </c>
      <c r="K70" s="5"/>
      <c r="L70" s="5">
        <f>IF(AND(I70="",J70=""),"",IF(J70&lt;&gt;"",IF(COUNTIFS(Stock!$D$4:$IP$4,I70,Stock!$D$5:$IP$5,J70)&gt;0,SUMIFS(Stock!$D$340:$IP$340,Stock!$D$4:$IP$4,I70,Stock!$D$5:$IP$5,J70),IF(COUNTIF(Stock!$D$5:$IP$5,J70)&gt;0,SUMIF(Stock!$D$5:$IP$5,J70,Stock!$D$340:$IP$340),SUMIF(Stock!$D$4:$IP$4,I70,Stock!$D$340:$IP$340))),SUMIF(Stock!$D$4:$IP$4,I70,Stock!$D$340:$IP$340)))</f>
        <v>312</v>
      </c>
      <c r="M70" s="142">
        <f t="shared" si="5"/>
        <v>-312</v>
      </c>
      <c r="N70" s="175">
        <f>IF(AND(I70="",J70=""),"",IF(J70&lt;&gt;"",IF(COUNTIFS(Stock!$D$4:$IP$4,I70,Stock!$D$5:$IP$5,J70)&gt;0,SUMIFS(Stock!$D$32:$IP$32,Stock!$D$4:$IP$4,I70,Stock!$D$5:$IP$5,J70),IF(COUNTIF(Stock!$D$5:$IP$5,J70)&gt;0,SUMIF(Stock!$D$5:$IP$5,J70,Stock!$D$32:$IP$32),SUMIF(Stock!$D$4:$IP$4,I70,Stock!$D$32:$IP$32))),SUMIF(Stock!$D$4:$IP$4,I70,Stock!$D$32:$IP$32)))</f>
        <v>280</v>
      </c>
      <c r="O70" s="142"/>
      <c r="P70" s="2" t="s">
        <v>287</v>
      </c>
      <c r="Q70" s="2" t="s">
        <v>444</v>
      </c>
      <c r="R70" s="5">
        <v>1009</v>
      </c>
      <c r="S70" s="175">
        <f>IF(AND(P70="",Q70=""),"",IF(Q70&lt;&gt;"",IF(COUNTIFS(Stock!$D$4:$IP$4,P70,Stock!$D$5:$IP$5,Q70)&gt;0,SUMIFS(Stock!$D$340:$IP$340,Stock!$D$4:$IP$4,P70,Stock!$D$5:$IP$5,Q70),IF(COUNTIF(Stock!$D$5:$IP$5,Q70)&gt;0,SUMIF(Stock!$D$5:$IP$5,Q70,Stock!$D$340:$IP$340),SUMIF(Stock!$D$4:$IP$4,P70,Stock!$D$340:$IP$340))),SUMIF(Stock!$D$4:$IP$4,P70,Stock!$D$340:$IP$340)))</f>
        <v>200</v>
      </c>
      <c r="T70" s="176">
        <f t="shared" si="3"/>
        <v>809</v>
      </c>
      <c r="U70">
        <f>IF(AND(P70="",Q70=""),"",IF(Q70&lt;&gt;"",IF(COUNTIFS(Stock!$D$4:$IP$4,P70,Stock!$D$5:$IP$5,Q70)&gt;0,SUMIFS(Stock!$D$32:$IP$32,Stock!$D$4:$IP$4,P70,Stock!$D$5:$IP$5,Q70),IF(COUNTIF(Stock!$D$5:$IP$5,Q70)&gt;0,SUMIF(Stock!$D$5:$IP$5,Q70,Stock!$D$32:$IP$32),SUMIF(Stock!$D$4:$IP$4,P70,Stock!$D$32:$IP$32))),SUMIF(Stock!$D$4:$IP$4,P70,Stock!$D$32:$IP$32)))</f>
        <v>500</v>
      </c>
      <c r="V70" s="369" t="s">
        <v>1875</v>
      </c>
      <c r="W70" s="655"/>
    </row>
    <row r="71" spans="2:23" ht="15.75" customHeight="1" x14ac:dyDescent="0.25">
      <c r="B71" s="131" t="s">
        <v>167</v>
      </c>
      <c r="C71" s="4" t="s">
        <v>357</v>
      </c>
      <c r="D71" s="5">
        <v>60</v>
      </c>
      <c r="E71" s="5">
        <f>IF(AND(B71="",C71=""),"",IF(C71&lt;&gt;"",IF(COUNTIFS(Stock!$D$4:$IP$4,B71,Stock!$D$5:$IP$5,C71)&gt;0,SUMIFS(Stock!$D$340:$IP$340,Stock!$D$4:$IP$4,B71,Stock!$D$5:$IP$5,C71),IF(COUNTIF(Stock!$D$5:$IP$5,C71)&gt;0,SUMIF(Stock!$D$5:$IP$5,C71,Stock!$D$340:$IP$340),SUMIF(Stock!$D$4:$IP$4,B71,Stock!$D$340:$IP$340))),SUMIF(Stock!$D$4:$IP$4,B71,Stock!$D$340:$IP$340)))</f>
        <v>0</v>
      </c>
      <c r="F71" s="142">
        <f t="shared" si="4"/>
        <v>60</v>
      </c>
      <c r="G71" s="1294">
        <f>IF(AND(B71="",C71=""),"",IF(C71&lt;&gt;"",IF(COUNTIFS(Stock!$D$4:$IP$4,B71,Stock!$D$5:$IP$5,C71)&gt;0,SUMIFS(Stock!$D$32:$IP$32,Stock!$D$4:$IP$4,B71,Stock!$D$5:$IP$5,C71),IF(COUNTIF(Stock!$D$5:$IP$5,C71)&gt;0,SUMIF(Stock!$D$5:$IP$5,C71,Stock!$D$32:$IP$32),SUMIF(Stock!$D$4:$IP$4,B71,Stock!$D$32:$IP$32))),SUMIF(Stock!$D$4:$IP$4,B71,Stock!$D$32:$IP$32)))</f>
        <v>0</v>
      </c>
      <c r="J71" s="2" t="s">
        <v>472</v>
      </c>
      <c r="K71" s="5"/>
      <c r="L71" s="5">
        <f>IF(AND(I71="",J71=""),"",IF(J71&lt;&gt;"",IF(COUNTIFS(Stock!$D$4:$IP$4,I71,Stock!$D$5:$IP$5,J71)&gt;0,SUMIFS(Stock!$D$340:$IP$340,Stock!$D$4:$IP$4,I71,Stock!$D$5:$IP$5,J71),IF(COUNTIF(Stock!$D$5:$IP$5,J71)&gt;0,SUMIF(Stock!$D$5:$IP$5,J71,Stock!$D$340:$IP$340),SUMIF(Stock!$D$4:$IP$4,I71,Stock!$D$340:$IP$340))),SUMIF(Stock!$D$4:$IP$4,I71,Stock!$D$340:$IP$340)))</f>
        <v>81</v>
      </c>
      <c r="M71" s="142">
        <f t="shared" si="5"/>
        <v>-81</v>
      </c>
      <c r="N71" s="175">
        <f>IF(AND(I71="",J71=""),"",IF(J71&lt;&gt;"",IF(COUNTIFS(Stock!$D$4:$IP$4,I71,Stock!$D$5:$IP$5,J71)&gt;0,SUMIFS(Stock!$D$32:$IP$32,Stock!$D$4:$IP$4,I71,Stock!$D$5:$IP$5,J71),IF(COUNTIF(Stock!$D$5:$IP$5,J71)&gt;0,SUMIF(Stock!$D$5:$IP$5,J71,Stock!$D$32:$IP$32),SUMIF(Stock!$D$4:$IP$4,I71,Stock!$D$32:$IP$32))),SUMIF(Stock!$D$4:$IP$4,I71,Stock!$D$32:$IP$32)))</f>
        <v>140</v>
      </c>
      <c r="O71" s="142"/>
      <c r="P71" s="2" t="s">
        <v>288</v>
      </c>
      <c r="Q71" s="2" t="s">
        <v>445</v>
      </c>
      <c r="R71" s="5">
        <v>2350</v>
      </c>
      <c r="S71" s="175">
        <f>IF(AND(P71="",Q71=""),"",IF(Q71&lt;&gt;"",IF(COUNTIFS(Stock!$D$4:$IP$4,P71,Stock!$D$5:$IP$5,Q71)&gt;0,SUMIFS(Stock!$D$340:$IP$340,Stock!$D$4:$IP$4,P71,Stock!$D$5:$IP$5,Q71),IF(COUNTIF(Stock!$D$5:$IP$5,Q71)&gt;0,SUMIF(Stock!$D$5:$IP$5,Q71,Stock!$D$340:$IP$340),SUMIF(Stock!$D$4:$IP$4,P71,Stock!$D$340:$IP$340))),SUMIF(Stock!$D$4:$IP$4,P71,Stock!$D$340:$IP$340)))</f>
        <v>573</v>
      </c>
      <c r="T71" s="176">
        <f t="shared" si="3"/>
        <v>1777</v>
      </c>
      <c r="U71">
        <f>IF(AND(P71="",Q71=""),"",IF(Q71&lt;&gt;"",IF(COUNTIFS(Stock!$D$4:$IP$4,P71,Stock!$D$5:$IP$5,Q71)&gt;0,SUMIFS(Stock!$D$32:$IP$32,Stock!$D$4:$IP$4,P71,Stock!$D$5:$IP$5,Q71),IF(COUNTIF(Stock!$D$5:$IP$5,Q71)&gt;0,SUMIF(Stock!$D$5:$IP$5,Q71,Stock!$D$32:$IP$32),SUMIF(Stock!$D$4:$IP$4,P71,Stock!$D$32:$IP$32))),SUMIF(Stock!$D$4:$IP$4,P71,Stock!$D$32:$IP$32)))</f>
        <v>3048</v>
      </c>
      <c r="V71" s="369" t="s">
        <v>1892</v>
      </c>
      <c r="W71" s="655"/>
    </row>
    <row r="72" spans="2:23" ht="15.75" customHeight="1" x14ac:dyDescent="0.25">
      <c r="B72" s="131" t="s">
        <v>168</v>
      </c>
      <c r="C72" s="4"/>
      <c r="D72" s="5">
        <v>100</v>
      </c>
      <c r="E72" s="5">
        <f>IF(AND(B72="",C72=""),"",IF(C72&lt;&gt;"",IF(COUNTIFS(Stock!$D$4:$IP$4,B72,Stock!$D$5:$IP$5,C72)&gt;0,SUMIFS(Stock!$D$340:$IP$340,Stock!$D$4:$IP$4,B72,Stock!$D$5:$IP$5,C72),IF(COUNTIF(Stock!$D$5:$IP$5,C72)&gt;0,SUMIF(Stock!$D$5:$IP$5,C72,Stock!$D$340:$IP$340),SUMIF(Stock!$D$4:$IP$4,B72,Stock!$D$340:$IP$340))),SUMIF(Stock!$D$4:$IP$4,B72,Stock!$D$340:$IP$340)))</f>
        <v>100</v>
      </c>
      <c r="F72" s="142">
        <f t="shared" si="4"/>
        <v>0</v>
      </c>
      <c r="G72" s="1294">
        <f>IF(AND(B72="",C72=""),"",IF(C72&lt;&gt;"",IF(COUNTIFS(Stock!$D$4:$IP$4,B72,Stock!$D$5:$IP$5,C72)&gt;0,SUMIFS(Stock!$D$32:$IP$32,Stock!$D$4:$IP$4,B72,Stock!$D$5:$IP$5,C72),IF(COUNTIF(Stock!$D$5:$IP$5,C72)&gt;0,SUMIF(Stock!$D$5:$IP$5,C72,Stock!$D$32:$IP$32),SUMIF(Stock!$D$4:$IP$4,B72,Stock!$D$32:$IP$32))),SUMIF(Stock!$D$4:$IP$4,B72,Stock!$D$32:$IP$32)))</f>
        <v>100</v>
      </c>
      <c r="I72" s="2" t="s">
        <v>317</v>
      </c>
      <c r="J72" s="2" t="s">
        <v>473</v>
      </c>
      <c r="K72" s="5">
        <v>150</v>
      </c>
      <c r="L72" s="5">
        <f>IF(AND(I72="",J72=""),"",IF(J72&lt;&gt;"",IF(COUNTIFS(Stock!$D$4:$IP$4,I72,Stock!$D$5:$IP$5,J72)&gt;0,SUMIFS(Stock!$D$340:$IP$340,Stock!$D$4:$IP$4,I72,Stock!$D$5:$IP$5,J72),IF(COUNTIF(Stock!$D$5:$IP$5,J72)&gt;0,SUMIF(Stock!$D$5:$IP$5,J72,Stock!$D$340:$IP$340),SUMIF(Stock!$D$4:$IP$4,I72,Stock!$D$340:$IP$340))),SUMIF(Stock!$D$4:$IP$4,I72,Stock!$D$340:$IP$340)))</f>
        <v>0</v>
      </c>
      <c r="M72" s="142">
        <f t="shared" si="5"/>
        <v>150</v>
      </c>
      <c r="N72" s="175">
        <f>IF(AND(I72="",J72=""),"",IF(J72&lt;&gt;"",IF(COUNTIFS(Stock!$D$4:$IP$4,I72,Stock!$D$5:$IP$5,J72)&gt;0,SUMIFS(Stock!$D$32:$IP$32,Stock!$D$4:$IP$4,I72,Stock!$D$5:$IP$5,J72),IF(COUNTIF(Stock!$D$5:$IP$5,J72)&gt;0,SUMIF(Stock!$D$5:$IP$5,J72,Stock!$D$32:$IP$32),SUMIF(Stock!$D$4:$IP$4,I72,Stock!$D$32:$IP$32))),SUMIF(Stock!$D$4:$IP$4,I72,Stock!$D$32:$IP$32)))</f>
        <v>200</v>
      </c>
      <c r="O72" s="142"/>
      <c r="P72" s="2" t="s">
        <v>289</v>
      </c>
      <c r="Q72" s="2" t="s">
        <v>446</v>
      </c>
      <c r="R72" s="5">
        <v>350</v>
      </c>
      <c r="S72" s="175">
        <f>IF(AND(P72="",Q72=""),"",IF(Q72&lt;&gt;"",IF(COUNTIFS(Stock!$D$4:$IP$4,P72,Stock!$D$5:$IP$5,Q72)&gt;0,SUMIFS(Stock!$D$340:$IP$340,Stock!$D$4:$IP$4,P72,Stock!$D$5:$IP$5,Q72),IF(COUNTIF(Stock!$D$5:$IP$5,Q72)&gt;0,SUMIF(Stock!$D$5:$IP$5,Q72,Stock!$D$340:$IP$340),SUMIF(Stock!$D$4:$IP$4,P72,Stock!$D$340:$IP$340))),SUMIF(Stock!$D$4:$IP$4,P72,Stock!$D$340:$IP$340)))</f>
        <v>300</v>
      </c>
      <c r="T72" s="176">
        <f t="shared" si="3"/>
        <v>50</v>
      </c>
      <c r="U72">
        <f>IF(AND(P72="",Q72=""),"",IF(Q72&lt;&gt;"",IF(COUNTIFS(Stock!$D$4:$IP$4,P72,Stock!$D$5:$IP$5,Q72)&gt;0,SUMIFS(Stock!$D$32:$IP$32,Stock!$D$4:$IP$4,P72,Stock!$D$5:$IP$5,Q72),IF(COUNTIF(Stock!$D$5:$IP$5,Q72)&gt;0,SUMIF(Stock!$D$5:$IP$5,Q72,Stock!$D$32:$IP$32),SUMIF(Stock!$D$4:$IP$4,P72,Stock!$D$32:$IP$32))),SUMIF(Stock!$D$4:$IP$4,P72,Stock!$D$32:$IP$32)))</f>
        <v>2300</v>
      </c>
      <c r="V72" s="369" t="s">
        <v>1916</v>
      </c>
      <c r="W72" s="655"/>
    </row>
    <row r="73" spans="2:23" ht="15.75" customHeight="1" x14ac:dyDescent="0.25">
      <c r="B73" s="131" t="s">
        <v>169</v>
      </c>
      <c r="C73" s="4"/>
      <c r="D73" s="5">
        <v>200</v>
      </c>
      <c r="E73" s="5">
        <f>IF(AND(B73="",C73=""),"",IF(C73&lt;&gt;"",IF(COUNTIFS(Stock!$D$4:$IP$4,B73,Stock!$D$5:$IP$5,C73)&gt;0,SUMIFS(Stock!$D$340:$IP$340,Stock!$D$4:$IP$4,B73,Stock!$D$5:$IP$5,C73),IF(COUNTIF(Stock!$D$5:$IP$5,C73)&gt;0,SUMIF(Stock!$D$5:$IP$5,C73,Stock!$D$340:$IP$340),SUMIF(Stock!$D$4:$IP$4,B73,Stock!$D$340:$IP$340))),SUMIF(Stock!$D$4:$IP$4,B73,Stock!$D$340:$IP$340)))</f>
        <v>200</v>
      </c>
      <c r="F73" s="142">
        <f t="shared" si="4"/>
        <v>0</v>
      </c>
      <c r="G73" s="1294">
        <f>IF(AND(B73="",C73=""),"",IF(C73&lt;&gt;"",IF(COUNTIFS(Stock!$D$4:$IP$4,B73,Stock!$D$5:$IP$5,C73)&gt;0,SUMIFS(Stock!$D$32:$IP$32,Stock!$D$4:$IP$4,B73,Stock!$D$5:$IP$5,C73),IF(COUNTIF(Stock!$D$5:$IP$5,C73)&gt;0,SUMIF(Stock!$D$5:$IP$5,C73,Stock!$D$32:$IP$32),SUMIF(Stock!$D$4:$IP$4,B73,Stock!$D$32:$IP$32))),SUMIF(Stock!$D$4:$IP$4,B73,Stock!$D$32:$IP$32)))</f>
        <v>200</v>
      </c>
      <c r="J73" s="2" t="s">
        <v>474</v>
      </c>
      <c r="K73" s="5"/>
      <c r="L73" s="5">
        <f>IF(AND(I73="",J73=""),"",IF(J73&lt;&gt;"",IF(COUNTIFS(Stock!$D$4:$IP$4,I73,Stock!$D$5:$IP$5,J73)&gt;0,SUMIFS(Stock!$D$340:$IP$340,Stock!$D$4:$IP$4,I73,Stock!$D$5:$IP$5,J73),IF(COUNTIF(Stock!$D$5:$IP$5,J73)&gt;0,SUMIF(Stock!$D$5:$IP$5,J73,Stock!$D$340:$IP$340),SUMIF(Stock!$D$4:$IP$4,I73,Stock!$D$340:$IP$340))),SUMIF(Stock!$D$4:$IP$4,I73,Stock!$D$340:$IP$340)))</f>
        <v>0</v>
      </c>
      <c r="M73" s="142">
        <f t="shared" si="5"/>
        <v>0</v>
      </c>
      <c r="N73" s="175">
        <f>IF(AND(I73="",J73=""),"",IF(J73&lt;&gt;"",IF(COUNTIFS(Stock!$D$4:$IP$4,I73,Stock!$D$5:$IP$5,J73)&gt;0,SUMIFS(Stock!$D$32:$IP$32,Stock!$D$4:$IP$4,I73,Stock!$D$5:$IP$5,J73),IF(COUNTIF(Stock!$D$5:$IP$5,J73)&gt;0,SUMIF(Stock!$D$5:$IP$5,J73,Stock!$D$32:$IP$32),SUMIF(Stock!$D$4:$IP$4,I73,Stock!$D$32:$IP$32))),SUMIF(Stock!$D$4:$IP$4,I73,Stock!$D$32:$IP$32)))</f>
        <v>100</v>
      </c>
      <c r="O73" s="142"/>
      <c r="P73" s="2" t="s">
        <v>290</v>
      </c>
      <c r="Q73" s="2" t="s">
        <v>447</v>
      </c>
      <c r="R73" s="5"/>
      <c r="S73" s="175">
        <f>IF(AND(P73="",Q73=""),"",IF(Q73&lt;&gt;"",IF(COUNTIFS(Stock!$D$4:$IP$4,P73,Stock!$D$5:$IP$5,Q73)&gt;0,SUMIFS(Stock!$D$340:$IP$340,Stock!$D$4:$IP$4,P73,Stock!$D$5:$IP$5,Q73),IF(COUNTIF(Stock!$D$5:$IP$5,Q73)&gt;0,SUMIF(Stock!$D$5:$IP$5,Q73,Stock!$D$340:$IP$340),SUMIF(Stock!$D$4:$IP$4,P73,Stock!$D$340:$IP$340))),SUMIF(Stock!$D$4:$IP$4,P73,Stock!$D$340:$IP$340)))</f>
        <v>0</v>
      </c>
      <c r="T73" s="176">
        <f t="shared" si="3"/>
        <v>0</v>
      </c>
      <c r="U73">
        <f>IF(AND(P73="",Q73=""),"",IF(Q73&lt;&gt;"",IF(COUNTIFS(Stock!$D$4:$IP$4,P73,Stock!$D$5:$IP$5,Q73)&gt;0,SUMIFS(Stock!$D$32:$IP$32,Stock!$D$4:$IP$4,P73,Stock!$D$5:$IP$5,Q73),IF(COUNTIF(Stock!$D$5:$IP$5,Q73)&gt;0,SUMIF(Stock!$D$5:$IP$5,Q73,Stock!$D$32:$IP$32),SUMIF(Stock!$D$4:$IP$4,P73,Stock!$D$32:$IP$32))),SUMIF(Stock!$D$4:$IP$4,P73,Stock!$D$32:$IP$32)))</f>
        <v>325</v>
      </c>
      <c r="V73" s="369" t="s">
        <v>1931</v>
      </c>
      <c r="W73" s="655"/>
    </row>
    <row r="74" spans="2:23" ht="15.75" customHeight="1" x14ac:dyDescent="0.25">
      <c r="B74" s="131" t="s">
        <v>170</v>
      </c>
      <c r="C74" s="4"/>
      <c r="D74" s="5">
        <v>100</v>
      </c>
      <c r="E74" s="5">
        <f>IF(AND(B74="",C74=""),"",IF(C74&lt;&gt;"",IF(COUNTIFS(Stock!$D$4:$IP$4,B74,Stock!$D$5:$IP$5,C74)&gt;0,SUMIFS(Stock!$D$340:$IP$340,Stock!$D$4:$IP$4,B74,Stock!$D$5:$IP$5,C74),IF(COUNTIF(Stock!$D$5:$IP$5,C74)&gt;0,SUMIF(Stock!$D$5:$IP$5,C74,Stock!$D$340:$IP$340),SUMIF(Stock!$D$4:$IP$4,B74,Stock!$D$340:$IP$340))),SUMIF(Stock!$D$4:$IP$4,B74,Stock!$D$340:$IP$340)))</f>
        <v>150</v>
      </c>
      <c r="F74" s="142">
        <f t="shared" si="4"/>
        <v>-50</v>
      </c>
      <c r="G74" s="1294">
        <f>IF(AND(B74="",C74=""),"",IF(C74&lt;&gt;"",IF(COUNTIFS(Stock!$D$4:$IP$4,B74,Stock!$D$5:$IP$5,C74)&gt;0,SUMIFS(Stock!$D$32:$IP$32,Stock!$D$4:$IP$4,B74,Stock!$D$5:$IP$5,C74),IF(COUNTIF(Stock!$D$5:$IP$5,C74)&gt;0,SUMIF(Stock!$D$5:$IP$5,C74,Stock!$D$32:$IP$32),SUMIF(Stock!$D$4:$IP$4,B74,Stock!$D$32:$IP$32))),SUMIF(Stock!$D$4:$IP$4,B74,Stock!$D$32:$IP$32)))</f>
        <v>100</v>
      </c>
      <c r="I74" s="2" t="s">
        <v>318</v>
      </c>
      <c r="J74" s="2" t="s">
        <v>68</v>
      </c>
      <c r="K74" s="5">
        <v>200</v>
      </c>
      <c r="L74" s="5">
        <f>IF(AND(I74="",J74=""),"",IF(J74&lt;&gt;"",IF(COUNTIFS(Stock!$D$4:$IP$4,I74,Stock!$D$5:$IP$5,J74)&gt;0,SUMIFS(Stock!$D$340:$IP$340,Stock!$D$4:$IP$4,I74,Stock!$D$5:$IP$5,J74),IF(COUNTIF(Stock!$D$5:$IP$5,J74)&gt;0,SUMIF(Stock!$D$5:$IP$5,J74,Stock!$D$340:$IP$340),SUMIF(Stock!$D$4:$IP$4,I74,Stock!$D$340:$IP$340))),SUMIF(Stock!$D$4:$IP$4,I74,Stock!$D$340:$IP$340)))</f>
        <v>200</v>
      </c>
      <c r="M74" s="142">
        <f t="shared" si="5"/>
        <v>0</v>
      </c>
      <c r="N74" s="175">
        <f>IF(AND(I74="",J74=""),"",IF(J74&lt;&gt;"",IF(COUNTIFS(Stock!$D$4:$IP$4,I74,Stock!$D$5:$IP$5,J74)&gt;0,SUMIFS(Stock!$D$32:$IP$32,Stock!$D$4:$IP$4,I74,Stock!$D$5:$IP$5,J74),IF(COUNTIF(Stock!$D$5:$IP$5,J74)&gt;0,SUMIF(Stock!$D$5:$IP$5,J74,Stock!$D$32:$IP$32),SUMIF(Stock!$D$4:$IP$4,I74,Stock!$D$32:$IP$32))),SUMIF(Stock!$D$4:$IP$4,I74,Stock!$D$32:$IP$32)))</f>
        <v>200</v>
      </c>
      <c r="O74" s="142"/>
      <c r="P74" s="2" t="s">
        <v>291</v>
      </c>
      <c r="Q74" s="2" t="s">
        <v>448</v>
      </c>
      <c r="R74" s="5">
        <v>30</v>
      </c>
      <c r="S74" s="175">
        <f>IF(AND(P74="",Q74=""),"",IF(Q74&lt;&gt;"",IF(COUNTIFS(Stock!$D$4:$IP$4,P74,Stock!$D$5:$IP$5,Q74)&gt;0,SUMIFS(Stock!$D$340:$IP$340,Stock!$D$4:$IP$4,P74,Stock!$D$5:$IP$5,Q74),IF(COUNTIF(Stock!$D$5:$IP$5,Q74)&gt;0,SUMIF(Stock!$D$5:$IP$5,Q74,Stock!$D$340:$IP$340),SUMIF(Stock!$D$4:$IP$4,P74,Stock!$D$340:$IP$340))),SUMIF(Stock!$D$4:$IP$4,P74,Stock!$D$340:$IP$340)))</f>
        <v>0</v>
      </c>
      <c r="T74" s="176">
        <f t="shared" si="3"/>
        <v>30</v>
      </c>
      <c r="U74">
        <f>IF(AND(P74="",Q74=""),"",IF(Q74&lt;&gt;"",IF(COUNTIFS(Stock!$D$4:$IP$4,P74,Stock!$D$5:$IP$5,Q74)&gt;0,SUMIFS(Stock!$D$32:$IP$32,Stock!$D$4:$IP$4,P74,Stock!$D$5:$IP$5,Q74),IF(COUNTIF(Stock!$D$5:$IP$5,Q74)&gt;0,SUMIF(Stock!$D$5:$IP$5,Q74,Stock!$D$32:$IP$32),SUMIF(Stock!$D$4:$IP$4,P74,Stock!$D$32:$IP$32))),SUMIF(Stock!$D$4:$IP$4,P74,Stock!$D$32:$IP$32)))</f>
        <v>50</v>
      </c>
      <c r="V74" s="369" t="s">
        <v>1944</v>
      </c>
      <c r="W74" s="655"/>
    </row>
    <row r="75" spans="2:23" ht="15.75" customHeight="1" x14ac:dyDescent="0.25">
      <c r="B75" s="131" t="s">
        <v>171</v>
      </c>
      <c r="C75" s="4"/>
      <c r="D75" s="5">
        <v>150</v>
      </c>
      <c r="E75" s="5">
        <f>IF(AND(B75="",C75=""),"",IF(C75&lt;&gt;"",IF(COUNTIFS(Stock!$D$4:$IP$4,B75,Stock!$D$5:$IP$5,C75)&gt;0,SUMIFS(Stock!$D$340:$IP$340,Stock!$D$4:$IP$4,B75,Stock!$D$5:$IP$5,C75),IF(COUNTIF(Stock!$D$5:$IP$5,C75)&gt;0,SUMIF(Stock!$D$5:$IP$5,C75,Stock!$D$340:$IP$340),SUMIF(Stock!$D$4:$IP$4,B75,Stock!$D$340:$IP$340))),SUMIF(Stock!$D$4:$IP$4,B75,Stock!$D$340:$IP$340)))</f>
        <v>150</v>
      </c>
      <c r="F75" s="142">
        <f t="shared" si="4"/>
        <v>0</v>
      </c>
      <c r="G75" s="1294">
        <f>IF(AND(B75="",C75=""),"",IF(C75&lt;&gt;"",IF(COUNTIFS(Stock!$D$4:$IP$4,B75,Stock!$D$5:$IP$5,C75)&gt;0,SUMIFS(Stock!$D$32:$IP$32,Stock!$D$4:$IP$4,B75,Stock!$D$5:$IP$5,C75),IF(COUNTIF(Stock!$D$5:$IP$5,C75)&gt;0,SUMIF(Stock!$D$5:$IP$5,C75,Stock!$D$32:$IP$32),SUMIF(Stock!$D$4:$IP$4,B75,Stock!$D$32:$IP$32))),SUMIF(Stock!$D$4:$IP$4,B75,Stock!$D$32:$IP$32)))</f>
        <v>250</v>
      </c>
      <c r="I75" s="2" t="s">
        <v>318</v>
      </c>
      <c r="J75" s="2" t="s">
        <v>218</v>
      </c>
      <c r="K75" s="5">
        <v>10</v>
      </c>
      <c r="L75" s="5">
        <f>IF(AND(I75="",J75=""),"",IF(J75&lt;&gt;"",IF(COUNTIFS(Stock!$D$4:$IP$4,I75,Stock!$D$5:$IP$5,J75)&gt;0,SUMIFS(Stock!$D$340:$IP$340,Stock!$D$4:$IP$4,I75,Stock!$D$5:$IP$5,J75),IF(COUNTIF(Stock!$D$5:$IP$5,J75)&gt;0,SUMIF(Stock!$D$5:$IP$5,J75,Stock!$D$340:$IP$340),SUMIF(Stock!$D$4:$IP$4,I75,Stock!$D$340:$IP$340))),SUMIF(Stock!$D$4:$IP$4,I75,Stock!$D$340:$IP$340)))</f>
        <v>30</v>
      </c>
      <c r="M75" s="142">
        <f t="shared" si="5"/>
        <v>-20</v>
      </c>
      <c r="N75" s="175">
        <f>IF(AND(I75="",J75=""),"",IF(J75&lt;&gt;"",IF(COUNTIFS(Stock!$D$4:$IP$4,I75,Stock!$D$5:$IP$5,J75)&gt;0,SUMIFS(Stock!$D$32:$IP$32,Stock!$D$4:$IP$4,I75,Stock!$D$5:$IP$5,J75),IF(COUNTIF(Stock!$D$5:$IP$5,J75)&gt;0,SUMIF(Stock!$D$5:$IP$5,J75,Stock!$D$32:$IP$32),SUMIF(Stock!$D$4:$IP$4,I75,Stock!$D$32:$IP$32))),SUMIF(Stock!$D$4:$IP$4,I75,Stock!$D$32:$IP$32)))</f>
        <v>30</v>
      </c>
      <c r="O75" s="142"/>
      <c r="P75" s="2" t="s">
        <v>292</v>
      </c>
      <c r="Q75" s="2" t="s">
        <v>449</v>
      </c>
      <c r="R75" s="5">
        <v>251</v>
      </c>
      <c r="S75" s="175">
        <f>IF(AND(P75="",Q75=""),"",IF(Q75&lt;&gt;"",IF(COUNTIFS(Stock!$D$4:$IP$4,P75,Stock!$D$5:$IP$5,Q75)&gt;0,SUMIFS(Stock!$D$340:$IP$340,Stock!$D$4:$IP$4,P75,Stock!$D$5:$IP$5,Q75),IF(COUNTIF(Stock!$D$5:$IP$5,Q75)&gt;0,SUMIF(Stock!$D$5:$IP$5,Q75,Stock!$D$340:$IP$340),SUMIF(Stock!$D$4:$IP$4,P75,Stock!$D$340:$IP$340))),SUMIF(Stock!$D$4:$IP$4,P75,Stock!$D$340:$IP$340)))</f>
        <v>292</v>
      </c>
      <c r="T75" s="176">
        <f t="shared" si="3"/>
        <v>-41</v>
      </c>
      <c r="U75">
        <f>IF(AND(P75="",Q75=""),"",IF(Q75&lt;&gt;"",IF(COUNTIFS(Stock!$D$4:$IP$4,P75,Stock!$D$5:$IP$5,Q75)&gt;0,SUMIFS(Stock!$D$32:$IP$32,Stock!$D$4:$IP$4,P75,Stock!$D$5:$IP$5,Q75),IF(COUNTIF(Stock!$D$5:$IP$5,Q75)&gt;0,SUMIF(Stock!$D$5:$IP$5,Q75,Stock!$D$32:$IP$32),SUMIF(Stock!$D$4:$IP$4,P75,Stock!$D$32:$IP$32))),SUMIF(Stock!$D$4:$IP$4,P75,Stock!$D$32:$IP$32)))</f>
        <v>792</v>
      </c>
      <c r="V75" s="369" t="s">
        <v>1191</v>
      </c>
      <c r="W75" s="655"/>
    </row>
    <row r="76" spans="2:23" ht="15.75" customHeight="1" x14ac:dyDescent="0.25">
      <c r="B76" s="131" t="s">
        <v>172</v>
      </c>
      <c r="C76" s="4"/>
      <c r="D76" s="5">
        <v>50</v>
      </c>
      <c r="E76" s="5">
        <f>IF(AND(B76="",C76=""),"",IF(C76&lt;&gt;"",IF(COUNTIFS(Stock!$D$4:$IP$4,B76,Stock!$D$5:$IP$5,C76)&gt;0,SUMIFS(Stock!$D$340:$IP$340,Stock!$D$4:$IP$4,B76,Stock!$D$5:$IP$5,C76),IF(COUNTIF(Stock!$D$5:$IP$5,C76)&gt;0,SUMIF(Stock!$D$5:$IP$5,C76,Stock!$D$340:$IP$340),SUMIF(Stock!$D$4:$IP$4,B76,Stock!$D$340:$IP$340))),SUMIF(Stock!$D$4:$IP$4,B76,Stock!$D$340:$IP$340)))</f>
        <v>50</v>
      </c>
      <c r="F76" s="142">
        <f t="shared" si="4"/>
        <v>0</v>
      </c>
      <c r="G76" s="1294">
        <f>IF(AND(B76="",C76=""),"",IF(C76&lt;&gt;"",IF(COUNTIFS(Stock!$D$4:$IP$4,B76,Stock!$D$5:$IP$5,C76)&gt;0,SUMIFS(Stock!$D$32:$IP$32,Stock!$D$4:$IP$4,B76,Stock!$D$5:$IP$5,C76),IF(COUNTIF(Stock!$D$5:$IP$5,C76)&gt;0,SUMIF(Stock!$D$5:$IP$5,C76,Stock!$D$32:$IP$32),SUMIF(Stock!$D$4:$IP$4,B76,Stock!$D$32:$IP$32))),SUMIF(Stock!$D$4:$IP$4,B76,Stock!$D$32:$IP$32)))</f>
        <v>100</v>
      </c>
      <c r="I76" s="2" t="s">
        <v>318</v>
      </c>
      <c r="J76" s="2" t="s">
        <v>475</v>
      </c>
      <c r="K76" s="5">
        <v>5</v>
      </c>
      <c r="L76" s="5">
        <f>IF(AND(I76="",J76=""),"",IF(J76&lt;&gt;"",IF(COUNTIFS(Stock!$D$4:$IP$4,I76,Stock!$D$5:$IP$5,J76)&gt;0,SUMIFS(Stock!$D$340:$IP$340,Stock!$D$4:$IP$4,I76,Stock!$D$5:$IP$5,J76),IF(COUNTIF(Stock!$D$5:$IP$5,J76)&gt;0,SUMIF(Stock!$D$5:$IP$5,J76,Stock!$D$340:$IP$340),SUMIF(Stock!$D$4:$IP$4,I76,Stock!$D$340:$IP$340))),SUMIF(Stock!$D$4:$IP$4,I76,Stock!$D$340:$IP$340)))</f>
        <v>5</v>
      </c>
      <c r="M76" s="142">
        <f t="shared" si="5"/>
        <v>0</v>
      </c>
      <c r="N76" s="175">
        <f>IF(AND(I76="",J76=""),"",IF(J76&lt;&gt;"",IF(COUNTIFS(Stock!$D$4:$IP$4,I76,Stock!$D$5:$IP$5,J76)&gt;0,SUMIFS(Stock!$D$32:$IP$32,Stock!$D$4:$IP$4,I76,Stock!$D$5:$IP$5,J76),IF(COUNTIF(Stock!$D$5:$IP$5,J76)&gt;0,SUMIF(Stock!$D$5:$IP$5,J76,Stock!$D$32:$IP$32),SUMIF(Stock!$D$4:$IP$4,I76,Stock!$D$32:$IP$32))),SUMIF(Stock!$D$4:$IP$4,I76,Stock!$D$32:$IP$32)))</f>
        <v>5</v>
      </c>
      <c r="O76" s="142"/>
      <c r="P76" s="2" t="s">
        <v>293</v>
      </c>
      <c r="Q76" s="2" t="s">
        <v>450</v>
      </c>
      <c r="R76" s="5">
        <v>1305</v>
      </c>
      <c r="S76" s="175">
        <f>IF(AND(P76="",Q76=""),"",IF(Q76&lt;&gt;"",IF(COUNTIFS(Stock!$D$4:$IP$4,P76,Stock!$D$5:$IP$5,Q76)&gt;0,SUMIFS(Stock!$D$340:$IP$340,Stock!$D$4:$IP$4,P76,Stock!$D$5:$IP$5,Q76),IF(COUNTIF(Stock!$D$5:$IP$5,Q76)&gt;0,SUMIF(Stock!$D$5:$IP$5,Q76,Stock!$D$340:$IP$340),SUMIF(Stock!$D$4:$IP$4,P76,Stock!$D$340:$IP$340))),SUMIF(Stock!$D$4:$IP$4,P76,Stock!$D$340:$IP$340)))</f>
        <v>300</v>
      </c>
      <c r="T76" s="176">
        <f t="shared" si="3"/>
        <v>1005</v>
      </c>
      <c r="U76">
        <f>IF(AND(P76="",Q76=""),"",IF(Q76&lt;&gt;"",IF(COUNTIFS(Stock!$D$4:$IP$4,P76,Stock!$D$5:$IP$5,Q76)&gt;0,SUMIFS(Stock!$D$32:$IP$32,Stock!$D$4:$IP$4,P76,Stock!$D$5:$IP$5,Q76),IF(COUNTIF(Stock!$D$5:$IP$5,Q76)&gt;0,SUMIF(Stock!$D$5:$IP$5,Q76,Stock!$D$32:$IP$32),SUMIF(Stock!$D$4:$IP$4,P76,Stock!$D$32:$IP$32))),SUMIF(Stock!$D$4:$IP$4,P76,Stock!$D$32:$IP$32)))</f>
        <v>2688</v>
      </c>
      <c r="V76" s="369" t="s">
        <v>1969</v>
      </c>
      <c r="W76" s="655"/>
    </row>
    <row r="77" spans="2:23" ht="15.75" customHeight="1" x14ac:dyDescent="0.25">
      <c r="B77" s="131" t="s">
        <v>173</v>
      </c>
      <c r="C77" s="4"/>
      <c r="D77" s="5">
        <v>200</v>
      </c>
      <c r="E77" s="5">
        <f>IF(AND(B77="",C77=""),"",IF(C77&lt;&gt;"",IF(COUNTIFS(Stock!$D$4:$IP$4,B77,Stock!$D$5:$IP$5,C77)&gt;0,SUMIFS(Stock!$D$340:$IP$340,Stock!$D$4:$IP$4,B77,Stock!$D$5:$IP$5,C77),IF(COUNTIF(Stock!$D$5:$IP$5,C77)&gt;0,SUMIF(Stock!$D$5:$IP$5,C77,Stock!$D$340:$IP$340),SUMIF(Stock!$D$4:$IP$4,B77,Stock!$D$340:$IP$340))),SUMIF(Stock!$D$4:$IP$4,B77,Stock!$D$340:$IP$340)))</f>
        <v>150</v>
      </c>
      <c r="F77" s="142">
        <f t="shared" si="4"/>
        <v>50</v>
      </c>
      <c r="G77" s="1294">
        <f>IF(AND(B77="",C77=""),"",IF(C77&lt;&gt;"",IF(COUNTIFS(Stock!$D$4:$IP$4,B77,Stock!$D$5:$IP$5,C77)&gt;0,SUMIFS(Stock!$D$32:$IP$32,Stock!$D$4:$IP$4,B77,Stock!$D$5:$IP$5,C77),IF(COUNTIF(Stock!$D$5:$IP$5,C77)&gt;0,SUMIF(Stock!$D$5:$IP$5,C77,Stock!$D$32:$IP$32),SUMIF(Stock!$D$4:$IP$4,B77,Stock!$D$32:$IP$32))),SUMIF(Stock!$D$4:$IP$4,B77,Stock!$D$32:$IP$32)))</f>
        <v>200</v>
      </c>
      <c r="I77" s="2" t="s">
        <v>318</v>
      </c>
      <c r="J77" s="2" t="s">
        <v>476</v>
      </c>
      <c r="K77" s="5">
        <v>5</v>
      </c>
      <c r="L77" s="5">
        <f>IF(AND(I77="",J77=""),"",IF(J77&lt;&gt;"",IF(COUNTIFS(Stock!$D$4:$IP$4,I77,Stock!$D$5:$IP$5,J77)&gt;0,SUMIFS(Stock!$D$340:$IP$340,Stock!$D$4:$IP$4,I77,Stock!$D$5:$IP$5,J77),IF(COUNTIF(Stock!$D$5:$IP$5,J77)&gt;0,SUMIF(Stock!$D$5:$IP$5,J77,Stock!$D$340:$IP$340),SUMIF(Stock!$D$4:$IP$4,I77,Stock!$D$340:$IP$340))),SUMIF(Stock!$D$4:$IP$4,I77,Stock!$D$340:$IP$340)))</f>
        <v>5</v>
      </c>
      <c r="M77" s="142">
        <f t="shared" si="5"/>
        <v>0</v>
      </c>
      <c r="N77" s="175">
        <f>IF(AND(I77="",J77=""),"",IF(J77&lt;&gt;"",IF(COUNTIFS(Stock!$D$4:$IP$4,I77,Stock!$D$5:$IP$5,J77)&gt;0,SUMIFS(Stock!$D$32:$IP$32,Stock!$D$4:$IP$4,I77,Stock!$D$5:$IP$5,J77),IF(COUNTIF(Stock!$D$5:$IP$5,J77)&gt;0,SUMIF(Stock!$D$5:$IP$5,J77,Stock!$D$32:$IP$32),SUMIF(Stock!$D$4:$IP$4,I77,Stock!$D$32:$IP$32))),SUMIF(Stock!$D$4:$IP$4,I77,Stock!$D$32:$IP$32)))</f>
        <v>5</v>
      </c>
      <c r="O77" s="142"/>
      <c r="P77" s="2" t="s">
        <v>294</v>
      </c>
      <c r="Q77" s="2" t="s">
        <v>451</v>
      </c>
      <c r="R77" s="5">
        <v>50</v>
      </c>
      <c r="S77" s="175">
        <f>IF(AND(P77="",Q77=""),"",IF(Q77&lt;&gt;"",IF(COUNTIFS(Stock!$D$4:$IP$4,P77,Stock!$D$5:$IP$5,Q77)&gt;0,SUMIFS(Stock!$D$340:$IP$340,Stock!$D$4:$IP$4,P77,Stock!$D$5:$IP$5,Q77),IF(COUNTIF(Stock!$D$5:$IP$5,Q77)&gt;0,SUMIF(Stock!$D$5:$IP$5,Q77,Stock!$D$340:$IP$340),SUMIF(Stock!$D$4:$IP$4,P77,Stock!$D$340:$IP$340))),SUMIF(Stock!$D$4:$IP$4,P77,Stock!$D$340:$IP$340)))</f>
        <v>150</v>
      </c>
      <c r="T77" s="176">
        <f t="shared" si="3"/>
        <v>-100</v>
      </c>
      <c r="U77">
        <f>IF(AND(P77="",Q77=""),"",IF(Q77&lt;&gt;"",IF(COUNTIFS(Stock!$D$4:$IP$4,P77,Stock!$D$5:$IP$5,Q77)&gt;0,SUMIFS(Stock!$D$32:$IP$32,Stock!$D$4:$IP$4,P77,Stock!$D$5:$IP$5,Q77),IF(COUNTIF(Stock!$D$5:$IP$5,Q77)&gt;0,SUMIF(Stock!$D$5:$IP$5,Q77,Stock!$D$32:$IP$32),SUMIF(Stock!$D$4:$IP$4,P77,Stock!$D$32:$IP$32))),SUMIF(Stock!$D$4:$IP$4,P77,Stock!$D$32:$IP$32)))</f>
        <v>872</v>
      </c>
      <c r="V77" s="369" t="s">
        <v>1193</v>
      </c>
      <c r="W77" s="655"/>
    </row>
    <row r="78" spans="2:23" ht="15.75" customHeight="1" x14ac:dyDescent="0.25">
      <c r="B78" s="131" t="s">
        <v>174</v>
      </c>
      <c r="C78" s="4"/>
      <c r="D78" s="5">
        <v>580</v>
      </c>
      <c r="E78" s="5">
        <f>IF(AND(B78="",C78=""),"",IF(C78&lt;&gt;"",IF(COUNTIFS(Stock!$D$4:$IP$4,B78,Stock!$D$5:$IP$5,C78)&gt;0,SUMIFS(Stock!$D$340:$IP$340,Stock!$D$4:$IP$4,B78,Stock!$D$5:$IP$5,C78),IF(COUNTIF(Stock!$D$5:$IP$5,C78)&gt;0,SUMIF(Stock!$D$5:$IP$5,C78,Stock!$D$340:$IP$340),SUMIF(Stock!$D$4:$IP$4,B78,Stock!$D$340:$IP$340))),SUMIF(Stock!$D$4:$IP$4,B78,Stock!$D$340:$IP$340)))</f>
        <v>500</v>
      </c>
      <c r="F78" s="142">
        <f t="shared" si="4"/>
        <v>80</v>
      </c>
      <c r="G78" s="1294">
        <f>IF(AND(B78="",C78=""),"",IF(C78&lt;&gt;"",IF(COUNTIFS(Stock!$D$4:$IP$4,B78,Stock!$D$5:$IP$5,C78)&gt;0,SUMIFS(Stock!$D$32:$IP$32,Stock!$D$4:$IP$4,B78,Stock!$D$5:$IP$5,C78),IF(COUNTIF(Stock!$D$5:$IP$5,C78)&gt;0,SUMIF(Stock!$D$5:$IP$5,C78,Stock!$D$32:$IP$32),SUMIF(Stock!$D$4:$IP$4,B78,Stock!$D$32:$IP$32))),SUMIF(Stock!$D$4:$IP$4,B78,Stock!$D$32:$IP$32)))</f>
        <v>500</v>
      </c>
      <c r="I78" s="2" t="s">
        <v>319</v>
      </c>
      <c r="J78" s="1305" t="s">
        <v>477</v>
      </c>
      <c r="K78" s="5">
        <v>40</v>
      </c>
      <c r="L78" s="5">
        <f>IF(AND(I78="",J78=""),"",IF(J78&lt;&gt;"",IF(COUNTIFS(Stock!$D$4:$IP$4,I78,Stock!$D$5:$IP$5,J78)&gt;0,SUMIFS(Stock!$D$340:$IP$340,Stock!$D$4:$IP$4,I78,Stock!$D$5:$IP$5,J78),IF(COUNTIF(Stock!$D$5:$IP$5,J78)&gt;0,SUMIF(Stock!$D$5:$IP$5,J78,Stock!$D$340:$IP$340),SUMIF(Stock!$D$4:$IP$4,I78,Stock!$D$340:$IP$340))),SUMIF(Stock!$D$4:$IP$4,I78,Stock!$D$340:$IP$340)))</f>
        <v>40</v>
      </c>
      <c r="M78" s="142">
        <f t="shared" si="5"/>
        <v>0</v>
      </c>
      <c r="N78" s="175">
        <f>IF(AND(I78="",J78=""),"",IF(J78&lt;&gt;"",IF(COUNTIFS(Stock!$D$4:$IP$4,I78,Stock!$D$5:$IP$5,J78)&gt;0,SUMIFS(Stock!$D$32:$IP$32,Stock!$D$4:$IP$4,I78,Stock!$D$5:$IP$5,J78),IF(COUNTIF(Stock!$D$5:$IP$5,J78)&gt;0,SUMIF(Stock!$D$5:$IP$5,J78,Stock!$D$32:$IP$32),SUMIF(Stock!$D$4:$IP$4,I78,Stock!$D$32:$IP$32))),SUMIF(Stock!$D$4:$IP$4,I78,Stock!$D$32:$IP$32)))</f>
        <v>40</v>
      </c>
      <c r="O78" s="142"/>
      <c r="P78" s="2" t="s">
        <v>295</v>
      </c>
      <c r="Q78" s="2" t="s">
        <v>452</v>
      </c>
      <c r="R78" s="5">
        <v>99</v>
      </c>
      <c r="S78" s="175">
        <f>IF(AND(P78="",Q78=""),"",IF(Q78&lt;&gt;"",IF(COUNTIFS(Stock!$D$4:$IP$4,P78,Stock!$D$5:$IP$5,Q78)&gt;0,SUMIFS(Stock!$D$340:$IP$340,Stock!$D$4:$IP$4,P78,Stock!$D$5:$IP$5,Q78),IF(COUNTIF(Stock!$D$5:$IP$5,Q78)&gt;0,SUMIF(Stock!$D$5:$IP$5,Q78,Stock!$D$340:$IP$340),SUMIF(Stock!$D$4:$IP$4,P78,Stock!$D$340:$IP$340))),SUMIF(Stock!$D$4:$IP$4,P78,Stock!$D$340:$IP$340)))</f>
        <v>0</v>
      </c>
      <c r="T78" s="176">
        <f t="shared" si="3"/>
        <v>99</v>
      </c>
      <c r="U78">
        <f>IF(AND(P78="",Q78=""),"",IF(Q78&lt;&gt;"",IF(COUNTIFS(Stock!$D$4:$IP$4,P78,Stock!$D$5:$IP$5,Q78)&gt;0,SUMIFS(Stock!$D$32:$IP$32,Stock!$D$4:$IP$4,P78,Stock!$D$5:$IP$5,Q78),IF(COUNTIF(Stock!$D$5:$IP$5,Q78)&gt;0,SUMIF(Stock!$D$5:$IP$5,Q78,Stock!$D$32:$IP$32),SUMIF(Stock!$D$4:$IP$4,P78,Stock!$D$32:$IP$32))),SUMIF(Stock!$D$4:$IP$4,P78,Stock!$D$32:$IP$32)))</f>
        <v>1200</v>
      </c>
      <c r="V78" s="369" t="s">
        <v>2006</v>
      </c>
      <c r="W78" s="655"/>
    </row>
    <row r="79" spans="2:23" ht="15.75" customHeight="1" x14ac:dyDescent="0.25">
      <c r="B79" s="131" t="s">
        <v>175</v>
      </c>
      <c r="C79" s="4"/>
      <c r="D79" s="5">
        <v>720</v>
      </c>
      <c r="E79" s="5">
        <f>IF(AND(B79="",C79=""),"",IF(C79&lt;&gt;"",IF(COUNTIFS(Stock!$D$4:$IP$4,B79,Stock!$D$5:$IP$5,C79)&gt;0,SUMIFS(Stock!$D$340:$IP$340,Stock!$D$4:$IP$4,B79,Stock!$D$5:$IP$5,C79),IF(COUNTIF(Stock!$D$5:$IP$5,C79)&gt;0,SUMIF(Stock!$D$5:$IP$5,C79,Stock!$D$340:$IP$340),SUMIF(Stock!$D$4:$IP$4,B79,Stock!$D$340:$IP$340))),SUMIF(Stock!$D$4:$IP$4,B79,Stock!$D$340:$IP$340)))</f>
        <v>950</v>
      </c>
      <c r="F79" s="142">
        <f t="shared" si="4"/>
        <v>-230</v>
      </c>
      <c r="G79" s="1294">
        <f>IF(AND(B79="",C79=""),"",IF(C79&lt;&gt;"",IF(COUNTIFS(Stock!$D$4:$IP$4,B79,Stock!$D$5:$IP$5,C79)&gt;0,SUMIFS(Stock!$D$32:$IP$32,Stock!$D$4:$IP$4,B79,Stock!$D$5:$IP$5,C79),IF(COUNTIF(Stock!$D$5:$IP$5,C79)&gt;0,SUMIF(Stock!$D$5:$IP$5,C79,Stock!$D$32:$IP$32),SUMIF(Stock!$D$4:$IP$4,B79,Stock!$D$32:$IP$32))),SUMIF(Stock!$D$4:$IP$4,B79,Stock!$D$32:$IP$32)))</f>
        <v>950</v>
      </c>
      <c r="J79" s="1305" t="s">
        <v>478</v>
      </c>
      <c r="K79" s="5">
        <v>116</v>
      </c>
      <c r="L79" s="5">
        <f>IF(AND(I79="",J79=""),"",IF(J79&lt;&gt;"",IF(COUNTIFS(Stock!$D$4:$IP$4,I79,Stock!$D$5:$IP$5,J79)&gt;0,SUMIFS(Stock!$D$340:$IP$340,Stock!$D$4:$IP$4,I79,Stock!$D$5:$IP$5,J79),IF(COUNTIF(Stock!$D$5:$IP$5,J79)&gt;0,SUMIF(Stock!$D$5:$IP$5,J79,Stock!$D$340:$IP$340),SUMIF(Stock!$D$4:$IP$4,I79,Stock!$D$340:$IP$340))),SUMIF(Stock!$D$4:$IP$4,I79,Stock!$D$340:$IP$340)))</f>
        <v>216</v>
      </c>
      <c r="M79" s="142">
        <f t="shared" si="5"/>
        <v>-100</v>
      </c>
      <c r="N79" s="175">
        <f>IF(AND(I79="",J79=""),"",IF(J79&lt;&gt;"",IF(COUNTIFS(Stock!$D$4:$IP$4,I79,Stock!$D$5:$IP$5,J79)&gt;0,SUMIFS(Stock!$D$32:$IP$32,Stock!$D$4:$IP$4,I79,Stock!$D$5:$IP$5,J79),IF(COUNTIF(Stock!$D$5:$IP$5,J79)&gt;0,SUMIF(Stock!$D$5:$IP$5,J79,Stock!$D$32:$IP$32),SUMIF(Stock!$D$4:$IP$4,I79,Stock!$D$32:$IP$32))),SUMIF(Stock!$D$4:$IP$4,I79,Stock!$D$32:$IP$32)))</f>
        <v>216</v>
      </c>
      <c r="O79" s="142"/>
      <c r="P79" s="2" t="s">
        <v>296</v>
      </c>
      <c r="Q79" s="2" t="s">
        <v>453</v>
      </c>
      <c r="R79" s="5">
        <v>3643</v>
      </c>
      <c r="S79" s="175">
        <f>IF(AND(P79="",Q79=""),"",IF(Q79&lt;&gt;"",IF(COUNTIFS(Stock!$D$4:$IP$4,P79,Stock!$D$5:$IP$5,Q79)&gt;0,SUMIFS(Stock!$D$340:$IP$340,Stock!$D$4:$IP$4,P79,Stock!$D$5:$IP$5,Q79),IF(COUNTIF(Stock!$D$5:$IP$5,Q79)&gt;0,SUMIF(Stock!$D$5:$IP$5,Q79,Stock!$D$340:$IP$340),SUMIF(Stock!$D$4:$IP$4,P79,Stock!$D$340:$IP$340))),SUMIF(Stock!$D$4:$IP$4,P79,Stock!$D$340:$IP$340)))</f>
        <v>1250</v>
      </c>
      <c r="T79" s="176">
        <f t="shared" si="3"/>
        <v>2393</v>
      </c>
      <c r="U79">
        <f>IF(AND(P79="",Q79=""),"",IF(Q79&lt;&gt;"",IF(COUNTIFS(Stock!$D$4:$IP$4,P79,Stock!$D$5:$IP$5,Q79)&gt;0,SUMIFS(Stock!$D$32:$IP$32,Stock!$D$4:$IP$4,P79,Stock!$D$5:$IP$5,Q79),IF(COUNTIF(Stock!$D$5:$IP$5,Q79)&gt;0,SUMIF(Stock!$D$5:$IP$5,Q79,Stock!$D$32:$IP$32),SUMIF(Stock!$D$4:$IP$4,P79,Stock!$D$32:$IP$32))),SUMIF(Stock!$D$4:$IP$4,P79,Stock!$D$32:$IP$32)))</f>
        <v>4250</v>
      </c>
      <c r="V79" s="369" t="s">
        <v>2008</v>
      </c>
      <c r="W79" s="655"/>
    </row>
    <row r="80" spans="2:23" ht="15.75" customHeight="1" x14ac:dyDescent="0.25">
      <c r="B80" s="131" t="s">
        <v>176</v>
      </c>
      <c r="C80" s="4"/>
      <c r="D80" s="5">
        <v>100</v>
      </c>
      <c r="E80" s="5">
        <f>IF(AND(B80="",C80=""),"",IF(C80&lt;&gt;"",IF(COUNTIFS(Stock!$D$4:$IP$4,B80,Stock!$D$5:$IP$5,C80)&gt;0,SUMIFS(Stock!$D$340:$IP$340,Stock!$D$4:$IP$4,B80,Stock!$D$5:$IP$5,C80),IF(COUNTIF(Stock!$D$5:$IP$5,C80)&gt;0,SUMIF(Stock!$D$5:$IP$5,C80,Stock!$D$340:$IP$340),SUMIF(Stock!$D$4:$IP$4,B80,Stock!$D$340:$IP$340))),SUMIF(Stock!$D$4:$IP$4,B80,Stock!$D$340:$IP$340)))</f>
        <v>50</v>
      </c>
      <c r="F80" s="142">
        <f t="shared" si="4"/>
        <v>50</v>
      </c>
      <c r="G80" s="1294">
        <f>IF(AND(B80="",C80=""),"",IF(C80&lt;&gt;"",IF(COUNTIFS(Stock!$D$4:$IP$4,B80,Stock!$D$5:$IP$5,C80)&gt;0,SUMIFS(Stock!$D$32:$IP$32,Stock!$D$4:$IP$4,B80,Stock!$D$5:$IP$5,C80),IF(COUNTIF(Stock!$D$5:$IP$5,C80)&gt;0,SUMIF(Stock!$D$5:$IP$5,C80,Stock!$D$32:$IP$32),SUMIF(Stock!$D$4:$IP$4,B80,Stock!$D$32:$IP$32))),SUMIF(Stock!$D$4:$IP$4,B80,Stock!$D$32:$IP$32)))</f>
        <v>100</v>
      </c>
      <c r="J80" s="1305" t="s">
        <v>479</v>
      </c>
      <c r="K80" s="5">
        <v>94</v>
      </c>
      <c r="L80" s="5">
        <f>IF(AND(I80="",J80=""),"",IF(J80&lt;&gt;"",IF(COUNTIFS(Stock!$D$4:$IP$4,I80,Stock!$D$5:$IP$5,J80)&gt;0,SUMIFS(Stock!$D$340:$IP$340,Stock!$D$4:$IP$4,I80,Stock!$D$5:$IP$5,J80),IF(COUNTIF(Stock!$D$5:$IP$5,J80)&gt;0,SUMIF(Stock!$D$5:$IP$5,J80,Stock!$D$340:$IP$340),SUMIF(Stock!$D$4:$IP$4,I80,Stock!$D$340:$IP$340))),SUMIF(Stock!$D$4:$IP$4,I80,Stock!$D$340:$IP$340)))</f>
        <v>120</v>
      </c>
      <c r="M80" s="142">
        <f t="shared" si="5"/>
        <v>-26</v>
      </c>
      <c r="N80" s="175">
        <f>IF(AND(I80="",J80=""),"",IF(J80&lt;&gt;"",IF(COUNTIFS(Stock!$D$4:$IP$4,I80,Stock!$D$5:$IP$5,J80)&gt;0,SUMIFS(Stock!$D$32:$IP$32,Stock!$D$4:$IP$4,I80,Stock!$D$5:$IP$5,J80),IF(COUNTIF(Stock!$D$5:$IP$5,J80)&gt;0,SUMIF(Stock!$D$5:$IP$5,J80,Stock!$D$32:$IP$32),SUMIF(Stock!$D$4:$IP$4,I80,Stock!$D$32:$IP$32))),SUMIF(Stock!$D$4:$IP$4,I80,Stock!$D$32:$IP$32)))</f>
        <v>120</v>
      </c>
      <c r="O80" s="142"/>
      <c r="P80" s="2" t="s">
        <v>299</v>
      </c>
      <c r="Q80" s="2" t="s">
        <v>454</v>
      </c>
      <c r="R80" s="5">
        <v>279</v>
      </c>
      <c r="S80" s="175">
        <f>IF(AND(P80="",Q80=""),"",IF(Q80&lt;&gt;"",IF(COUNTIFS(Stock!$D$4:$IP$4,P80,Stock!$D$5:$IP$5,Q80)&gt;0,SUMIFS(Stock!$D$340:$IP$340,Stock!$D$4:$IP$4,P80,Stock!$D$5:$IP$5,Q80),IF(COUNTIF(Stock!$D$5:$IP$5,Q80)&gt;0,SUMIF(Stock!$D$5:$IP$5,Q80,Stock!$D$340:$IP$340),SUMIF(Stock!$D$4:$IP$4,P80,Stock!$D$340:$IP$340))),SUMIF(Stock!$D$4:$IP$4,P80,Stock!$D$340:$IP$340)))</f>
        <v>600</v>
      </c>
      <c r="T80" s="176">
        <f t="shared" si="3"/>
        <v>-321</v>
      </c>
      <c r="U80">
        <f>IF(AND(P80="",Q80=""),"",IF(Q80&lt;&gt;"",IF(COUNTIFS(Stock!$D$4:$IP$4,P80,Stock!$D$5:$IP$5,Q80)&gt;0,SUMIFS(Stock!$D$32:$IP$32,Stock!$D$4:$IP$4,P80,Stock!$D$5:$IP$5,Q80),IF(COUNTIF(Stock!$D$5:$IP$5,Q80)&gt;0,SUMIF(Stock!$D$5:$IP$5,Q80,Stock!$D$32:$IP$32),SUMIF(Stock!$D$4:$IP$4,P80,Stock!$D$32:$IP$32))),SUMIF(Stock!$D$4:$IP$4,P80,Stock!$D$32:$IP$32)))</f>
        <v>1827</v>
      </c>
      <c r="V80" s="369" t="s">
        <v>2013</v>
      </c>
      <c r="W80" s="655"/>
    </row>
    <row r="81" spans="2:23" ht="15.75" customHeight="1" x14ac:dyDescent="0.25">
      <c r="B81" s="131" t="s">
        <v>177</v>
      </c>
      <c r="C81" s="4"/>
      <c r="D81" s="5">
        <v>496</v>
      </c>
      <c r="E81" s="5">
        <f>IF(AND(B81="",C81=""),"",IF(C81&lt;&gt;"",IF(COUNTIFS(Stock!$D$4:$IP$4,B81,Stock!$D$5:$IP$5,C81)&gt;0,SUMIFS(Stock!$D$340:$IP$340,Stock!$D$4:$IP$4,B81,Stock!$D$5:$IP$5,C81),IF(COUNTIF(Stock!$D$5:$IP$5,C81)&gt;0,SUMIF(Stock!$D$5:$IP$5,C81,Stock!$D$340:$IP$340),SUMIF(Stock!$D$4:$IP$4,B81,Stock!$D$340:$IP$340))),SUMIF(Stock!$D$4:$IP$4,B81,Stock!$D$340:$IP$340)))</f>
        <v>200</v>
      </c>
      <c r="F81" s="142">
        <f t="shared" si="4"/>
        <v>296</v>
      </c>
      <c r="G81" s="1294">
        <f>IF(AND(B81="",C81=""),"",IF(C81&lt;&gt;"",IF(COUNTIFS(Stock!$D$4:$IP$4,B81,Stock!$D$5:$IP$5,C81)&gt;0,SUMIFS(Stock!$D$32:$IP$32,Stock!$D$4:$IP$4,B81,Stock!$D$5:$IP$5,C81),IF(COUNTIF(Stock!$D$5:$IP$5,C81)&gt;0,SUMIF(Stock!$D$5:$IP$5,C81,Stock!$D$32:$IP$32),SUMIF(Stock!$D$4:$IP$4,B81,Stock!$D$32:$IP$32))),SUMIF(Stock!$D$4:$IP$4,B81,Stock!$D$32:$IP$32)))</f>
        <v>500</v>
      </c>
      <c r="H81" s="686" t="s">
        <v>88</v>
      </c>
      <c r="I81" s="2" t="s">
        <v>88</v>
      </c>
      <c r="J81" s="2" t="s">
        <v>468</v>
      </c>
      <c r="K81" s="5">
        <v>908</v>
      </c>
      <c r="L81" s="5">
        <f>IF(AND(I81="",J81=""),"",IF(J81&lt;&gt;"",IF(COUNTIFS(Stock!$D$4:$IP$4,I81,Stock!$D$5:$IP$5,J81)&gt;0,SUMIFS(Stock!$D$340:$IP$340,Stock!$D$4:$IP$4,I81,Stock!$D$5:$IP$5,J81),IF(COUNTIF(Stock!$D$5:$IP$5,J81)&gt;0,SUMIF(Stock!$D$5:$IP$5,J81,Stock!$D$340:$IP$340),SUMIF(Stock!$D$4:$IP$4,I81,Stock!$D$340:$IP$340))),SUMIF(Stock!$D$4:$IP$4,I81,Stock!$D$340:$IP$340)))</f>
        <v>908</v>
      </c>
      <c r="M81" s="142">
        <f t="shared" si="5"/>
        <v>0</v>
      </c>
      <c r="N81" s="175">
        <f>IF(AND(I81="",J81=""),"",IF(J81&lt;&gt;"",IF(COUNTIFS(Stock!$D$4:$IP$4,I81,Stock!$D$5:$IP$5,J81)&gt;0,SUMIFS(Stock!$D$32:$IP$32,Stock!$D$4:$IP$4,I81,Stock!$D$5:$IP$5,J81),IF(COUNTIF(Stock!$D$5:$IP$5,J81)&gt;0,SUMIF(Stock!$D$5:$IP$5,J81,Stock!$D$32:$IP$32),SUMIF(Stock!$D$4:$IP$4,I81,Stock!$D$32:$IP$32))),SUMIF(Stock!$D$4:$IP$4,I81,Stock!$D$32:$IP$32)))</f>
        <v>908</v>
      </c>
      <c r="O81" s="142"/>
      <c r="P81" s="2">
        <v>507</v>
      </c>
      <c r="Q81" s="2" t="s">
        <v>455</v>
      </c>
      <c r="R81" s="5"/>
      <c r="S81" s="175">
        <f>IF(AND(P81="",Q81=""),"",IF(Q81&lt;&gt;"",IF(COUNTIFS(Stock!$D$4:$IP$4,P81,Stock!$D$5:$IP$5,Q81)&gt;0,SUMIFS(Stock!$D$340:$IP$340,Stock!$D$4:$IP$4,P81,Stock!$D$5:$IP$5,Q81),IF(COUNTIF(Stock!$D$5:$IP$5,Q81)&gt;0,SUMIF(Stock!$D$5:$IP$5,Q81,Stock!$D$340:$IP$340),SUMIF(Stock!$D$4:$IP$4,P81,Stock!$D$340:$IP$340))),SUMIF(Stock!$D$4:$IP$4,P81,Stock!$D$340:$IP$340)))</f>
        <v>0</v>
      </c>
      <c r="T81" s="176">
        <f t="shared" si="3"/>
        <v>0</v>
      </c>
      <c r="U81">
        <f>IF(AND(P81="",Q81=""),"",IF(Q81&lt;&gt;"",IF(COUNTIFS(Stock!$D$4:$IP$4,P81,Stock!$D$5:$IP$5,Q81)&gt;0,SUMIFS(Stock!$D$32:$IP$32,Stock!$D$4:$IP$4,P81,Stock!$D$5:$IP$5,Q81),IF(COUNTIF(Stock!$D$5:$IP$5,Q81)&gt;0,SUMIF(Stock!$D$5:$IP$5,Q81,Stock!$D$32:$IP$32),SUMIF(Stock!$D$4:$IP$4,P81,Stock!$D$32:$IP$32))),SUMIF(Stock!$D$4:$IP$4,P81,Stock!$D$32:$IP$32)))</f>
        <v>0</v>
      </c>
      <c r="V81" s="369"/>
      <c r="W81" s="655"/>
    </row>
    <row r="82" spans="2:23" ht="15.75" customHeight="1" x14ac:dyDescent="0.25">
      <c r="B82" s="131" t="s">
        <v>178</v>
      </c>
      <c r="C82" s="4"/>
      <c r="D82" s="5">
        <v>200</v>
      </c>
      <c r="E82" s="5">
        <f>IF(AND(B82="",C82=""),"",IF(C82&lt;&gt;"",IF(COUNTIFS(Stock!$D$4:$IP$4,B82,Stock!$D$5:$IP$5,C82)&gt;0,SUMIFS(Stock!$D$340:$IP$340,Stock!$D$4:$IP$4,B82,Stock!$D$5:$IP$5,C82),IF(COUNTIF(Stock!$D$5:$IP$5,C82)&gt;0,SUMIF(Stock!$D$5:$IP$5,C82,Stock!$D$340:$IP$340),SUMIF(Stock!$D$4:$IP$4,B82,Stock!$D$340:$IP$340))),SUMIF(Stock!$D$4:$IP$4,B82,Stock!$D$340:$IP$340)))</f>
        <v>20</v>
      </c>
      <c r="F82" s="142">
        <f t="shared" si="4"/>
        <v>180</v>
      </c>
      <c r="G82" s="1294">
        <f>IF(AND(B82="",C82=""),"",IF(C82&lt;&gt;"",IF(COUNTIFS(Stock!$D$4:$IP$4,B82,Stock!$D$5:$IP$5,C82)&gt;0,SUMIFS(Stock!$D$32:$IP$32,Stock!$D$4:$IP$4,B82,Stock!$D$5:$IP$5,C82),IF(COUNTIF(Stock!$D$5:$IP$5,C82)&gt;0,SUMIF(Stock!$D$5:$IP$5,C82,Stock!$D$32:$IP$32),SUMIF(Stock!$D$4:$IP$4,B82,Stock!$D$32:$IP$32))),SUMIF(Stock!$D$4:$IP$4,B82,Stock!$D$32:$IP$32)))</f>
        <v>200</v>
      </c>
      <c r="H82" s="686" t="s">
        <v>89</v>
      </c>
      <c r="I82" s="2" t="s">
        <v>89</v>
      </c>
      <c r="J82" s="2" t="s">
        <v>480</v>
      </c>
      <c r="K82" s="5">
        <v>8400</v>
      </c>
      <c r="L82" s="5">
        <f>IF(AND(I82="",J82=""),"",IF(J82&lt;&gt;"",IF(COUNTIFS(Stock!$D$4:$IP$4,I82,Stock!$D$5:$IP$5,J82)&gt;0,SUMIFS(Stock!$D$340:$IP$340,Stock!$D$4:$IP$4,I82,Stock!$D$5:$IP$5,J82),IF(COUNTIF(Stock!$D$5:$IP$5,J82)&gt;0,SUMIF(Stock!$D$5:$IP$5,J82,Stock!$D$340:$IP$340),SUMIF(Stock!$D$4:$IP$4,I82,Stock!$D$340:$IP$340))),SUMIF(Stock!$D$4:$IP$4,I82,Stock!$D$340:$IP$340)))</f>
        <v>8400</v>
      </c>
      <c r="M82" s="142">
        <f t="shared" si="5"/>
        <v>0</v>
      </c>
      <c r="N82" s="175">
        <f>IF(AND(I82="",J82=""),"",IF(J82&lt;&gt;"",IF(COUNTIFS(Stock!$D$4:$IP$4,I82,Stock!$D$5:$IP$5,J82)&gt;0,SUMIFS(Stock!$D$32:$IP$32,Stock!$D$4:$IP$4,I82,Stock!$D$5:$IP$5,J82),IF(COUNTIF(Stock!$D$5:$IP$5,J82)&gt;0,SUMIF(Stock!$D$5:$IP$5,J82,Stock!$D$32:$IP$32),SUMIF(Stock!$D$4:$IP$4,I82,Stock!$D$32:$IP$32))),SUMIF(Stock!$D$4:$IP$4,I82,Stock!$D$32:$IP$32)))</f>
        <v>8400</v>
      </c>
      <c r="O82" s="142"/>
      <c r="P82" s="2">
        <v>508</v>
      </c>
      <c r="Q82" s="2" t="s">
        <v>456</v>
      </c>
      <c r="S82" s="175">
        <f>IF(AND(P82="",Q82=""),"",IF(Q82&lt;&gt;"",IF(COUNTIFS(Stock!$D$4:$IP$4,P82,Stock!$D$5:$IP$5,Q82)&gt;0,SUMIFS(Stock!$D$340:$IP$340,Stock!$D$4:$IP$4,P82,Stock!$D$5:$IP$5,Q82),IF(COUNTIF(Stock!$D$5:$IP$5,Q82)&gt;0,SUMIF(Stock!$D$5:$IP$5,Q82,Stock!$D$340:$IP$340),SUMIF(Stock!$D$4:$IP$4,P82,Stock!$D$340:$IP$340))),SUMIF(Stock!$D$4:$IP$4,P82,Stock!$D$340:$IP$340)))</f>
        <v>0</v>
      </c>
      <c r="T82" s="176">
        <f t="shared" si="3"/>
        <v>0</v>
      </c>
      <c r="U82">
        <f>IF(AND(P82="",Q82=""),"",IF(Q82&lt;&gt;"",IF(COUNTIFS(Stock!$D$4:$IP$4,P82,Stock!$D$5:$IP$5,Q82)&gt;0,SUMIFS(Stock!$D$32:$IP$32,Stock!$D$4:$IP$4,P82,Stock!$D$5:$IP$5,Q82),IF(COUNTIF(Stock!$D$5:$IP$5,Q82)&gt;0,SUMIF(Stock!$D$5:$IP$5,Q82,Stock!$D$32:$IP$32),SUMIF(Stock!$D$4:$IP$4,P82,Stock!$D$32:$IP$32))),SUMIF(Stock!$D$4:$IP$4,P82,Stock!$D$32:$IP$32)))</f>
        <v>44</v>
      </c>
      <c r="V82" s="369"/>
      <c r="W82" s="655"/>
    </row>
    <row r="83" spans="2:23" ht="15.75" customHeight="1" x14ac:dyDescent="0.25">
      <c r="B83" s="131" t="s">
        <v>179</v>
      </c>
      <c r="C83" s="4"/>
      <c r="D83" s="5">
        <v>200</v>
      </c>
      <c r="E83" s="5">
        <f>IF(AND(B83="",C83=""),"",IF(C83&lt;&gt;"",IF(COUNTIFS(Stock!$D$4:$IP$4,B83,Stock!$D$5:$IP$5,C83)&gt;0,SUMIFS(Stock!$D$340:$IP$340,Stock!$D$4:$IP$4,B83,Stock!$D$5:$IP$5,C83),IF(COUNTIF(Stock!$D$5:$IP$5,C83)&gt;0,SUMIF(Stock!$D$5:$IP$5,C83,Stock!$D$340:$IP$340),SUMIF(Stock!$D$4:$IP$4,B83,Stock!$D$340:$IP$340))),SUMIF(Stock!$D$4:$IP$4,B83,Stock!$D$340:$IP$340)))</f>
        <v>200</v>
      </c>
      <c r="F83" s="142">
        <f t="shared" si="4"/>
        <v>0</v>
      </c>
      <c r="G83" s="1294">
        <f>IF(AND(B83="",C83=""),"",IF(C83&lt;&gt;"",IF(COUNTIFS(Stock!$D$4:$IP$4,B83,Stock!$D$5:$IP$5,C83)&gt;0,SUMIFS(Stock!$D$32:$IP$32,Stock!$D$4:$IP$4,B83,Stock!$D$5:$IP$5,C83),IF(COUNTIF(Stock!$D$5:$IP$5,C83)&gt;0,SUMIF(Stock!$D$5:$IP$5,C83,Stock!$D$32:$IP$32),SUMIF(Stock!$D$4:$IP$4,B83,Stock!$D$32:$IP$32))),SUMIF(Stock!$D$4:$IP$4,B83,Stock!$D$32:$IP$32)))</f>
        <v>200</v>
      </c>
      <c r="H83" s="776" t="s">
        <v>90</v>
      </c>
      <c r="I83" s="640" t="s">
        <v>90</v>
      </c>
      <c r="J83" s="640" t="s">
        <v>480</v>
      </c>
      <c r="K83" s="641">
        <v>720</v>
      </c>
      <c r="L83" s="641">
        <f>IF(AND(I83="",J83=""),"",IF(J83&lt;&gt;"",IF(COUNTIFS(Stock!$D$4:$IP$4,I83,Stock!$D$5:$IP$5,J83)&gt;0,SUMIFS(Stock!$D$340:$IP$340,Stock!$D$4:$IP$4,I83,Stock!$D$5:$IP$5,J83),IF(COUNTIF(Stock!$D$5:$IP$5,J83)&gt;0,SUMIF(Stock!$D$5:$IP$5,J83,Stock!$D$340:$IP$340),SUMIF(Stock!$D$4:$IP$4,I83,Stock!$D$340:$IP$340))),SUMIF(Stock!$D$4:$IP$4,I83,Stock!$D$340:$IP$340)))</f>
        <v>0</v>
      </c>
      <c r="M83" s="142">
        <f t="shared" si="5"/>
        <v>720</v>
      </c>
      <c r="N83" s="1295">
        <f>IF(AND(I83="",J83=""),"",IF(J83&lt;&gt;"",IF(COUNTIFS(Stock!$D$4:$IP$4,I83,Stock!$D$5:$IP$5,J83)&gt;0,SUMIFS(Stock!$D$32:$IP$32,Stock!$D$4:$IP$4,I83,Stock!$D$5:$IP$5,J83),IF(COUNTIF(Stock!$D$5:$IP$5,J83)&gt;0,SUMIF(Stock!$D$5:$IP$5,J83,Stock!$D$32:$IP$32),SUMIF(Stock!$D$4:$IP$4,I83,Stock!$D$32:$IP$32))),SUMIF(Stock!$D$4:$IP$4,I83,Stock!$D$32:$IP$32)))</f>
        <v>1000</v>
      </c>
      <c r="O83" s="684"/>
      <c r="P83" s="2" t="s">
        <v>300</v>
      </c>
      <c r="Q83" s="2" t="s">
        <v>457</v>
      </c>
      <c r="R83" s="5">
        <v>1800</v>
      </c>
      <c r="S83" s="175">
        <f>IF(AND(P83="",Q83=""),"",IF(Q83&lt;&gt;"",IF(COUNTIFS(Stock!$D$4:$IP$4,P83,Stock!$D$5:$IP$5,Q83)&gt;0,SUMIFS(Stock!$D$340:$IP$340,Stock!$D$4:$IP$4,P83,Stock!$D$5:$IP$5,Q83),IF(COUNTIF(Stock!$D$5:$IP$5,Q83)&gt;0,SUMIF(Stock!$D$5:$IP$5,Q83,Stock!$D$340:$IP$340),SUMIF(Stock!$D$4:$IP$4,P83,Stock!$D$340:$IP$340))),SUMIF(Stock!$D$4:$IP$4,P83,Stock!$D$340:$IP$340)))</f>
        <v>0</v>
      </c>
      <c r="T83" s="176">
        <f t="shared" si="3"/>
        <v>1800</v>
      </c>
      <c r="U83">
        <f>IF(AND(P83="",Q83=""),"",IF(Q83&lt;&gt;"",IF(COUNTIFS(Stock!$D$4:$IP$4,P83,Stock!$D$5:$IP$5,Q83)&gt;0,SUMIFS(Stock!$D$32:$IP$32,Stock!$D$4:$IP$4,P83,Stock!$D$5:$IP$5,Q83),IF(COUNTIF(Stock!$D$5:$IP$5,Q83)&gt;0,SUMIF(Stock!$D$5:$IP$5,Q83,Stock!$D$32:$IP$32),SUMIF(Stock!$D$4:$IP$4,P83,Stock!$D$32:$IP$32))),SUMIF(Stock!$D$4:$IP$4,P83,Stock!$D$32:$IP$32)))</f>
        <v>2000</v>
      </c>
      <c r="V83" s="369" t="s">
        <v>2052</v>
      </c>
      <c r="W83" s="655"/>
    </row>
    <row r="84" spans="2:23" ht="15.75" customHeight="1" x14ac:dyDescent="0.25">
      <c r="B84" s="131" t="s">
        <v>180</v>
      </c>
      <c r="C84" s="4"/>
      <c r="D84" s="5">
        <v>200</v>
      </c>
      <c r="E84" s="5">
        <f>IF(AND(B84="",C84=""),"",IF(C84&lt;&gt;"",IF(COUNTIFS(Stock!$D$4:$IP$4,B84,Stock!$D$5:$IP$5,C84)&gt;0,SUMIFS(Stock!$D$340:$IP$340,Stock!$D$4:$IP$4,B84,Stock!$D$5:$IP$5,C84),IF(COUNTIF(Stock!$D$5:$IP$5,C84)&gt;0,SUMIF(Stock!$D$5:$IP$5,C84,Stock!$D$340:$IP$340),SUMIF(Stock!$D$4:$IP$4,B84,Stock!$D$340:$IP$340))),SUMIF(Stock!$D$4:$IP$4,B84,Stock!$D$340:$IP$340)))</f>
        <v>80</v>
      </c>
      <c r="F84" s="142">
        <f t="shared" si="4"/>
        <v>120</v>
      </c>
      <c r="G84" s="1294">
        <f>IF(AND(B84="",C84=""),"",IF(C84&lt;&gt;"",IF(COUNTIFS(Stock!$D$4:$IP$4,B84,Stock!$D$5:$IP$5,C84)&gt;0,SUMIFS(Stock!$D$32:$IP$32,Stock!$D$4:$IP$4,B84,Stock!$D$5:$IP$5,C84),IF(COUNTIF(Stock!$D$5:$IP$5,C84)&gt;0,SUMIF(Stock!$D$5:$IP$5,C84,Stock!$D$32:$IP$32),SUMIF(Stock!$D$4:$IP$4,B84,Stock!$D$32:$IP$32))),SUMIF(Stock!$D$4:$IP$4,B84,Stock!$D$32:$IP$32)))</f>
        <v>200</v>
      </c>
      <c r="M84" s="142">
        <f t="shared" si="5"/>
        <v>0</v>
      </c>
      <c r="P84" s="159" t="s">
        <v>301</v>
      </c>
      <c r="Q84" s="2" t="s">
        <v>458</v>
      </c>
      <c r="R84" s="5">
        <v>25</v>
      </c>
      <c r="S84" s="175">
        <f>IF(AND(P84="",Q84=""),"",IF(Q84&lt;&gt;"",IF(COUNTIFS(Stock!$D$4:$IP$4,P84,Stock!$D$5:$IP$5,Q84)&gt;0,SUMIFS(Stock!$D$340:$IP$340,Stock!$D$4:$IP$4,P84,Stock!$D$5:$IP$5,Q84),IF(COUNTIF(Stock!$D$5:$IP$5,Q84)&gt;0,SUMIF(Stock!$D$5:$IP$5,Q84,Stock!$D$340:$IP$340),SUMIF(Stock!$D$4:$IP$4,P84,Stock!$D$340:$IP$340))),SUMIF(Stock!$D$4:$IP$4,P84,Stock!$D$340:$IP$340)))</f>
        <v>0</v>
      </c>
      <c r="T84" s="176">
        <f t="shared" si="3"/>
        <v>25</v>
      </c>
      <c r="U84">
        <f>IF(AND(P84="",Q84=""),"",IF(Q84&lt;&gt;"",IF(COUNTIFS(Stock!$D$4:$IP$4,P84,Stock!$D$5:$IP$5,Q84)&gt;0,SUMIFS(Stock!$D$32:$IP$32,Stock!$D$4:$IP$4,P84,Stock!$D$5:$IP$5,Q84),IF(COUNTIF(Stock!$D$5:$IP$5,Q84)&gt;0,SUMIF(Stock!$D$5:$IP$5,Q84,Stock!$D$32:$IP$32),SUMIF(Stock!$D$4:$IP$4,P84,Stock!$D$32:$IP$32))),SUMIF(Stock!$D$4:$IP$4,P84,Stock!$D$32:$IP$32)))</f>
        <v>100</v>
      </c>
      <c r="V84" s="369" t="s">
        <v>2064</v>
      </c>
      <c r="W84" s="655"/>
    </row>
    <row r="85" spans="2:23" ht="15.75" customHeight="1" x14ac:dyDescent="0.25">
      <c r="B85" s="131" t="s">
        <v>181</v>
      </c>
      <c r="C85" s="4"/>
      <c r="D85" s="5">
        <v>100</v>
      </c>
      <c r="E85" s="5">
        <f>IF(AND(B85="",C85=""),"",IF(C85&lt;&gt;"",IF(COUNTIFS(Stock!$D$4:$IP$4,B85,Stock!$D$5:$IP$5,C85)&gt;0,SUMIFS(Stock!$D$340:$IP$340,Stock!$D$4:$IP$4,B85,Stock!$D$5:$IP$5,C85),IF(COUNTIF(Stock!$D$5:$IP$5,C85)&gt;0,SUMIF(Stock!$D$5:$IP$5,C85,Stock!$D$340:$IP$340),SUMIF(Stock!$D$4:$IP$4,B85,Stock!$D$340:$IP$340))),SUMIF(Stock!$D$4:$IP$4,B85,Stock!$D$340:$IP$340)))</f>
        <v>100</v>
      </c>
      <c r="F85" s="142">
        <f t="shared" si="4"/>
        <v>0</v>
      </c>
      <c r="G85" s="1294">
        <f>IF(AND(B85="",C85=""),"",IF(C85&lt;&gt;"",IF(COUNTIFS(Stock!$D$4:$IP$4,B85,Stock!$D$5:$IP$5,C85)&gt;0,SUMIFS(Stock!$D$32:$IP$32,Stock!$D$4:$IP$4,B85,Stock!$D$5:$IP$5,C85),IF(COUNTIF(Stock!$D$5:$IP$5,C85)&gt;0,SUMIF(Stock!$D$5:$IP$5,C85,Stock!$D$32:$IP$32),SUMIF(Stock!$D$4:$IP$4,B85,Stock!$D$32:$IP$32))),SUMIF(Stock!$D$4:$IP$4,B85,Stock!$D$32:$IP$32)))</f>
        <v>100</v>
      </c>
      <c r="M85" s="142">
        <f t="shared" si="5"/>
        <v>0</v>
      </c>
      <c r="P85" s="159" t="s">
        <v>297</v>
      </c>
      <c r="Q85" s="2" t="s">
        <v>459</v>
      </c>
      <c r="R85" s="5">
        <v>5</v>
      </c>
      <c r="S85" s="175">
        <f>IF(AND(P85="",Q85=""),"",IF(Q85&lt;&gt;"",IF(COUNTIFS(Stock!$D$4:$IP$4,P85,Stock!$D$5:$IP$5,Q85)&gt;0,SUMIFS(Stock!$D$340:$IP$340,Stock!$D$4:$IP$4,P85,Stock!$D$5:$IP$5,Q85),IF(COUNTIF(Stock!$D$5:$IP$5,Q85)&gt;0,SUMIF(Stock!$D$5:$IP$5,Q85,Stock!$D$340:$IP$340),SUMIF(Stock!$D$4:$IP$4,P85,Stock!$D$340:$IP$340))),SUMIF(Stock!$D$4:$IP$4,P85,Stock!$D$340:$IP$340)))</f>
        <v>0</v>
      </c>
      <c r="T85" s="176">
        <f t="shared" si="3"/>
        <v>5</v>
      </c>
      <c r="U85">
        <f>IF(AND(P85="",Q85=""),"",IF(Q85&lt;&gt;"",IF(COUNTIFS(Stock!$D$4:$IP$4,P85,Stock!$D$5:$IP$5,Q85)&gt;0,SUMIFS(Stock!$D$32:$IP$32,Stock!$D$4:$IP$4,P85,Stock!$D$5:$IP$5,Q85),IF(COUNTIF(Stock!$D$5:$IP$5,Q85)&gt;0,SUMIF(Stock!$D$5:$IP$5,Q85,Stock!$D$32:$IP$32),SUMIF(Stock!$D$4:$IP$4,P85,Stock!$D$32:$IP$32))),SUMIF(Stock!$D$4:$IP$4,P85,Stock!$D$32:$IP$32)))</f>
        <v>100</v>
      </c>
      <c r="V85" s="369" t="s">
        <v>2072</v>
      </c>
      <c r="W85" s="655"/>
    </row>
    <row r="86" spans="2:23" ht="15.75" customHeight="1" x14ac:dyDescent="0.25">
      <c r="B86" s="131" t="s">
        <v>182</v>
      </c>
      <c r="C86" s="4"/>
      <c r="D86" s="5">
        <v>100</v>
      </c>
      <c r="E86" s="5">
        <f>IF(AND(B86="",C86=""),"",IF(C86&lt;&gt;"",IF(COUNTIFS(Stock!$D$4:$IP$4,B86,Stock!$D$5:$IP$5,C86)&gt;0,SUMIFS(Stock!$D$340:$IP$340,Stock!$D$4:$IP$4,B86,Stock!$D$5:$IP$5,C86),IF(COUNTIF(Stock!$D$5:$IP$5,C86)&gt;0,SUMIF(Stock!$D$5:$IP$5,C86,Stock!$D$340:$IP$340),SUMIF(Stock!$D$4:$IP$4,B86,Stock!$D$340:$IP$340))),SUMIF(Stock!$D$4:$IP$4,B86,Stock!$D$340:$IP$340)))</f>
        <v>100</v>
      </c>
      <c r="F86" s="142">
        <f t="shared" si="4"/>
        <v>0</v>
      </c>
      <c r="G86" s="1294">
        <f>IF(AND(B86="",C86=""),"",IF(C86&lt;&gt;"",IF(COUNTIFS(Stock!$D$4:$IP$4,B86,Stock!$D$5:$IP$5,C86)&gt;0,SUMIFS(Stock!$D$32:$IP$32,Stock!$D$4:$IP$4,B86,Stock!$D$5:$IP$5,C86),IF(COUNTIF(Stock!$D$5:$IP$5,C86)&gt;0,SUMIF(Stock!$D$5:$IP$5,C86,Stock!$D$32:$IP$32),SUMIF(Stock!$D$4:$IP$4,B86,Stock!$D$32:$IP$32))),SUMIF(Stock!$D$4:$IP$4,B86,Stock!$D$32:$IP$32)))</f>
        <v>100</v>
      </c>
      <c r="M86" s="142">
        <f t="shared" si="5"/>
        <v>0</v>
      </c>
      <c r="P86" s="159" t="s">
        <v>302</v>
      </c>
      <c r="R86" s="5"/>
      <c r="S86" s="175">
        <f>IF(AND(P86="",Q86=""),"",IF(Q86&lt;&gt;"",IF(COUNTIFS(Stock!$D$4:$IP$4,P86,Stock!$D$5:$IP$5,Q86)&gt;0,SUMIFS(Stock!$D$340:$IP$340,Stock!$D$4:$IP$4,P86,Stock!$D$5:$IP$5,Q86),IF(COUNTIF(Stock!$D$5:$IP$5,Q86)&gt;0,SUMIF(Stock!$D$5:$IP$5,Q86,Stock!$D$340:$IP$340),SUMIF(Stock!$D$4:$IP$4,P86,Stock!$D$340:$IP$340))),SUMIF(Stock!$D$4:$IP$4,P86,Stock!$D$340:$IP$340)))</f>
        <v>0</v>
      </c>
      <c r="T86" s="176">
        <f t="shared" si="3"/>
        <v>0</v>
      </c>
      <c r="U86">
        <f>IF(AND(P86="",Q86=""),"",IF(Q86&lt;&gt;"",IF(COUNTIFS(Stock!$D$4:$IP$4,P86,Stock!$D$5:$IP$5,Q86)&gt;0,SUMIFS(Stock!$D$32:$IP$32,Stock!$D$4:$IP$4,P86,Stock!$D$5:$IP$5,Q86),IF(COUNTIF(Stock!$D$5:$IP$5,Q86)&gt;0,SUMIF(Stock!$D$5:$IP$5,Q86,Stock!$D$32:$IP$32),SUMIF(Stock!$D$4:$IP$4,P86,Stock!$D$32:$IP$32))),SUMIF(Stock!$D$4:$IP$4,P86,Stock!$D$32:$IP$32)))</f>
        <v>0</v>
      </c>
      <c r="V86" s="369"/>
      <c r="W86" s="655"/>
    </row>
    <row r="87" spans="2:23" ht="15.75" customHeight="1" x14ac:dyDescent="0.25">
      <c r="B87" s="131" t="s">
        <v>183</v>
      </c>
      <c r="C87" s="4"/>
      <c r="D87" s="5">
        <v>200</v>
      </c>
      <c r="E87" s="5">
        <f>IF(AND(B87="",C87=""),"",IF(C87&lt;&gt;"",IF(COUNTIFS(Stock!$D$4:$IP$4,B87,Stock!$D$5:$IP$5,C87)&gt;0,SUMIFS(Stock!$D$340:$IP$340,Stock!$D$4:$IP$4,B87,Stock!$D$5:$IP$5,C87),IF(COUNTIF(Stock!$D$5:$IP$5,C87)&gt;0,SUMIF(Stock!$D$5:$IP$5,C87,Stock!$D$340:$IP$340),SUMIF(Stock!$D$4:$IP$4,B87,Stock!$D$340:$IP$340))),SUMIF(Stock!$D$4:$IP$4,B87,Stock!$D$340:$IP$340)))</f>
        <v>150</v>
      </c>
      <c r="F87" s="142">
        <f t="shared" si="4"/>
        <v>50</v>
      </c>
      <c r="G87" s="1294">
        <f>IF(AND(B87="",C87=""),"",IF(C87&lt;&gt;"",IF(COUNTIFS(Stock!$D$4:$IP$4,B87,Stock!$D$5:$IP$5,C87)&gt;0,SUMIFS(Stock!$D$32:$IP$32,Stock!$D$4:$IP$4,B87,Stock!$D$5:$IP$5,C87),IF(COUNTIF(Stock!$D$5:$IP$5,C87)&gt;0,SUMIF(Stock!$D$5:$IP$5,C87,Stock!$D$32:$IP$32),SUMIF(Stock!$D$4:$IP$4,B87,Stock!$D$32:$IP$32))),SUMIF(Stock!$D$4:$IP$4,B87,Stock!$D$32:$IP$32)))</f>
        <v>200</v>
      </c>
      <c r="M87" s="142">
        <f t="shared" si="5"/>
        <v>0</v>
      </c>
      <c r="P87" s="639" t="s">
        <v>303</v>
      </c>
      <c r="Q87" s="640" t="s">
        <v>460</v>
      </c>
      <c r="R87" s="641">
        <v>2400</v>
      </c>
      <c r="S87" s="643">
        <f>IF(AND(P87="",Q87=""),"",IF(Q87&lt;&gt;"",IF(COUNTIFS(Stock!$D$4:$IP$4,P87,Stock!$D$5:$IP$5,Q87)&gt;0,SUMIFS(Stock!$D$340:$IP$340,Stock!$D$4:$IP$4,P87,Stock!$D$5:$IP$5,Q87),IF(COUNTIF(Stock!$D$5:$IP$5,Q87)&gt;0,SUMIF(Stock!$D$5:$IP$5,Q87,Stock!$D$340:$IP$340),SUMIF(Stock!$D$4:$IP$4,P87,Stock!$D$340:$IP$340))),SUMIF(Stock!$D$4:$IP$4,P87,Stock!$D$340:$IP$340)))</f>
        <v>1998</v>
      </c>
      <c r="T87" s="176">
        <f t="shared" si="3"/>
        <v>402</v>
      </c>
      <c r="U87" s="1292">
        <f>IF(AND(P87="",Q87=""),"",IF(Q87&lt;&gt;"",IF(COUNTIFS(Stock!$D$4:$IP$4,P87,Stock!$D$5:$IP$5,Q87)&gt;0,SUMIFS(Stock!$D$32:$IP$32,Stock!$D$4:$IP$4,P87,Stock!$D$5:$IP$5,Q87),IF(COUNTIF(Stock!$D$5:$IP$5,Q87)&gt;0,SUMIF(Stock!$D$5:$IP$5,Q87,Stock!$D$32:$IP$32),SUMIF(Stock!$D$4:$IP$4,P87,Stock!$D$32:$IP$32))),SUMIF(Stock!$D$4:$IP$4,P87,Stock!$D$32:$IP$32)))</f>
        <v>4000</v>
      </c>
      <c r="V87" s="778" t="s">
        <v>2088</v>
      </c>
      <c r="W87" s="779"/>
    </row>
    <row r="88" spans="2:23" ht="15.75" customHeight="1" x14ac:dyDescent="0.25">
      <c r="B88" s="131" t="s">
        <v>184</v>
      </c>
      <c r="C88" s="4"/>
      <c r="D88" s="5">
        <v>0</v>
      </c>
      <c r="E88" s="5">
        <f>IF(AND(B88="",C88=""),"",IF(C88&lt;&gt;"",IF(COUNTIFS(Stock!$D$4:$IP$4,B88,Stock!$D$5:$IP$5,C88)&gt;0,SUMIFS(Stock!$D$340:$IP$340,Stock!$D$4:$IP$4,B88,Stock!$D$5:$IP$5,C88),IF(COUNTIF(Stock!$D$5:$IP$5,C88)&gt;0,SUMIF(Stock!$D$5:$IP$5,C88,Stock!$D$340:$IP$340),SUMIF(Stock!$D$4:$IP$4,B88,Stock!$D$340:$IP$340))),SUMIF(Stock!$D$4:$IP$4,B88,Stock!$D$340:$IP$340)))</f>
        <v>0</v>
      </c>
      <c r="F88" s="142">
        <f t="shared" si="4"/>
        <v>0</v>
      </c>
      <c r="G88" s="1294">
        <f>IF(AND(B88="",C88=""),"",IF(C88&lt;&gt;"",IF(COUNTIFS(Stock!$D$4:$IP$4,B88,Stock!$D$5:$IP$5,C88)&gt;0,SUMIFS(Stock!$D$32:$IP$32,Stock!$D$4:$IP$4,B88,Stock!$D$5:$IP$5,C88),IF(COUNTIF(Stock!$D$5:$IP$5,C88)&gt;0,SUMIF(Stock!$D$5:$IP$5,C88,Stock!$D$32:$IP$32),SUMIF(Stock!$D$4:$IP$4,B88,Stock!$D$32:$IP$32))),SUMIF(Stock!$D$4:$IP$4,B88,Stock!$D$32:$IP$32)))</f>
        <v>100</v>
      </c>
      <c r="M88" s="142">
        <f t="shared" si="5"/>
        <v>0</v>
      </c>
      <c r="T88" s="176"/>
      <c r="V88" s="112"/>
    </row>
    <row r="89" spans="2:23" ht="15.75" customHeight="1" x14ac:dyDescent="0.25">
      <c r="B89" s="131" t="s">
        <v>185</v>
      </c>
      <c r="C89" s="4"/>
      <c r="D89" s="5">
        <v>135</v>
      </c>
      <c r="E89" s="5">
        <f>IF(AND(B89="",C89=""),"",IF(C89&lt;&gt;"",IF(COUNTIFS(Stock!$D$4:$IP$4,B89,Stock!$D$5:$IP$5,C89)&gt;0,SUMIFS(Stock!$D$340:$IP$340,Stock!$D$4:$IP$4,B89,Stock!$D$5:$IP$5,C89),IF(COUNTIF(Stock!$D$5:$IP$5,C89)&gt;0,SUMIF(Stock!$D$5:$IP$5,C89,Stock!$D$340:$IP$340),SUMIF(Stock!$D$4:$IP$4,B89,Stock!$D$340:$IP$340))),SUMIF(Stock!$D$4:$IP$4,B89,Stock!$D$340:$IP$340)))</f>
        <v>100</v>
      </c>
      <c r="F89" s="142">
        <f t="shared" si="4"/>
        <v>35</v>
      </c>
      <c r="G89" s="1294">
        <f>IF(AND(B89="",C89=""),"",IF(C89&lt;&gt;"",IF(COUNTIFS(Stock!$D$4:$IP$4,B89,Stock!$D$5:$IP$5,C89)&gt;0,SUMIFS(Stock!$D$32:$IP$32,Stock!$D$4:$IP$4,B89,Stock!$D$5:$IP$5,C89),IF(COUNTIF(Stock!$D$5:$IP$5,C89)&gt;0,SUMIF(Stock!$D$5:$IP$5,C89,Stock!$D$32:$IP$32),SUMIF(Stock!$D$4:$IP$4,B89,Stock!$D$32:$IP$32))),SUMIF(Stock!$D$4:$IP$4,B89,Stock!$D$32:$IP$32)))</f>
        <v>200</v>
      </c>
      <c r="M89" s="142">
        <f t="shared" si="5"/>
        <v>0</v>
      </c>
      <c r="T89" s="176"/>
      <c r="V89" s="112"/>
    </row>
    <row r="90" spans="2:23" ht="15.75" customHeight="1" x14ac:dyDescent="0.25">
      <c r="B90" s="781" t="s">
        <v>186</v>
      </c>
      <c r="C90" s="782"/>
      <c r="D90" s="641">
        <v>100</v>
      </c>
      <c r="E90" s="641">
        <f>IF(AND(B90="",C90=""),"",IF(C90&lt;&gt;"",IF(COUNTIFS(Stock!$D$4:$IP$4,B90,Stock!$D$5:$IP$5,C90)&gt;0,SUMIFS(Stock!$D$340:$IP$340,Stock!$D$4:$IP$4,B90,Stock!$D$5:$IP$5,C90),IF(COUNTIF(Stock!$D$5:$IP$5,C90)&gt;0,SUMIF(Stock!$D$5:$IP$5,C90,Stock!$D$340:$IP$340),SUMIF(Stock!$D$4:$IP$4,B90,Stock!$D$340:$IP$340))),SUMIF(Stock!$D$4:$IP$4,B90,Stock!$D$340:$IP$340)))</f>
        <v>100</v>
      </c>
      <c r="F90" s="142">
        <f t="shared" si="4"/>
        <v>0</v>
      </c>
      <c r="G90" s="1294">
        <f>IF(AND(B90="",C90=""),"",IF(C90&lt;&gt;"",IF(COUNTIFS(Stock!$D$4:$IP$4,B90,Stock!$D$5:$IP$5,C90)&gt;0,SUMIFS(Stock!$D$32:$IP$32,Stock!$D$4:$IP$4,B90,Stock!$D$5:$IP$5,C90),IF(COUNTIF(Stock!$D$5:$IP$5,C90)&gt;0,SUMIF(Stock!$D$5:$IP$5,C90,Stock!$D$32:$IP$32),SUMIF(Stock!$D$4:$IP$4,B90,Stock!$D$32:$IP$32))),SUMIF(Stock!$D$4:$IP$4,B90,Stock!$D$32:$IP$32)))</f>
        <v>100</v>
      </c>
      <c r="M90" s="142">
        <f t="shared" si="5"/>
        <v>0</v>
      </c>
      <c r="T90" s="176"/>
      <c r="V90" s="112"/>
    </row>
    <row r="91" spans="2:23" ht="15.75" customHeight="1" x14ac:dyDescent="0.25">
      <c r="V91" s="112"/>
    </row>
    <row r="92" spans="2:23" ht="15.75" customHeight="1" x14ac:dyDescent="0.25">
      <c r="V92" s="112"/>
    </row>
    <row r="93" spans="2:23" ht="15.75" customHeight="1" x14ac:dyDescent="0.25">
      <c r="V93" s="112"/>
    </row>
    <row r="94" spans="2:23" ht="15.75" customHeight="1" x14ac:dyDescent="0.25">
      <c r="V94" s="112"/>
    </row>
    <row r="95" spans="2:23" ht="15.75" customHeight="1" x14ac:dyDescent="0.25">
      <c r="B95" s="1308" t="s">
        <v>2426</v>
      </c>
      <c r="V95" s="112"/>
    </row>
    <row r="96" spans="2:23" ht="15.75" customHeight="1" x14ac:dyDescent="0.25">
      <c r="B96" s="1309" t="s">
        <v>2427</v>
      </c>
      <c r="V96" s="112"/>
    </row>
    <row r="97" spans="2:22" ht="15.75" customHeight="1" x14ac:dyDescent="0.25">
      <c r="B97" s="1309" t="s">
        <v>2428</v>
      </c>
      <c r="V97" s="112"/>
    </row>
    <row r="98" spans="2:22" ht="15.75" customHeight="1" x14ac:dyDescent="0.25">
      <c r="B98" s="1309" t="s">
        <v>2429</v>
      </c>
      <c r="V98" s="112"/>
    </row>
    <row r="99" spans="2:22" ht="15.75" customHeight="1" x14ac:dyDescent="0.25">
      <c r="B99" s="1309" t="s">
        <v>2430</v>
      </c>
      <c r="V99" s="112"/>
    </row>
    <row r="100" spans="2:22" ht="15.75" customHeight="1" x14ac:dyDescent="0.25">
      <c r="B100" s="1309" t="s">
        <v>2431</v>
      </c>
      <c r="V100" s="112"/>
    </row>
    <row r="101" spans="2:22" ht="15.75" customHeight="1" x14ac:dyDescent="0.25">
      <c r="B101" s="1309" t="s">
        <v>2432</v>
      </c>
      <c r="V101" s="112"/>
    </row>
    <row r="102" spans="2:22" ht="15.75" customHeight="1" x14ac:dyDescent="0.25">
      <c r="B102" s="1309" t="s">
        <v>2433</v>
      </c>
      <c r="V102" s="112"/>
    </row>
    <row r="103" spans="2:22" ht="15.75" customHeight="1" x14ac:dyDescent="0.25">
      <c r="V103" s="112"/>
    </row>
    <row r="104" spans="2:22" ht="15.75" customHeight="1" x14ac:dyDescent="0.25">
      <c r="B104" s="1309" t="s">
        <v>2434</v>
      </c>
      <c r="V104" s="112"/>
    </row>
    <row r="105" spans="2:22" ht="15.75" customHeight="1" x14ac:dyDescent="0.25">
      <c r="V105" s="112"/>
    </row>
    <row r="106" spans="2:22" ht="15.75" customHeight="1" x14ac:dyDescent="0.25">
      <c r="B106" s="1312" t="s">
        <v>2442</v>
      </c>
      <c r="V106" s="112"/>
    </row>
    <row r="107" spans="2:22" ht="15.75" customHeight="1" x14ac:dyDescent="0.25">
      <c r="B107" s="1309" t="s">
        <v>2443</v>
      </c>
      <c r="V107" s="112"/>
    </row>
    <row r="108" spans="2:22" ht="15.75" customHeight="1" x14ac:dyDescent="0.25">
      <c r="B108" s="1309" t="s">
        <v>2444</v>
      </c>
      <c r="V108" s="112"/>
    </row>
    <row r="109" spans="2:22" ht="15.75" customHeight="1" x14ac:dyDescent="0.25">
      <c r="B109" s="1309" t="s">
        <v>2445</v>
      </c>
      <c r="V109" s="112"/>
    </row>
    <row r="110" spans="2:22" ht="15.75" customHeight="1" x14ac:dyDescent="0.25">
      <c r="B110" s="1309" t="s">
        <v>2446</v>
      </c>
      <c r="V110" s="112"/>
    </row>
    <row r="111" spans="2:22" ht="15.75" customHeight="1" x14ac:dyDescent="0.25">
      <c r="B111" s="1309" t="s">
        <v>2447</v>
      </c>
      <c r="V111" s="112"/>
    </row>
    <row r="112" spans="2:22" ht="15.75" customHeight="1" x14ac:dyDescent="0.25">
      <c r="B112" s="1309" t="s">
        <v>2448</v>
      </c>
      <c r="V112" s="112"/>
    </row>
    <row r="113" spans="2:22" ht="15.75" customHeight="1" x14ac:dyDescent="0.25">
      <c r="V113" s="112"/>
    </row>
    <row r="114" spans="2:22" ht="15.75" customHeight="1" x14ac:dyDescent="0.25">
      <c r="B114" s="1312" t="s">
        <v>2449</v>
      </c>
      <c r="V114" s="112"/>
    </row>
    <row r="115" spans="2:22" ht="15.75" customHeight="1" x14ac:dyDescent="0.25">
      <c r="B115" s="1309" t="s">
        <v>2450</v>
      </c>
      <c r="V115" s="112"/>
    </row>
    <row r="116" spans="2:22" ht="15.75" customHeight="1" x14ac:dyDescent="0.25">
      <c r="B116" s="1309" t="s">
        <v>2451</v>
      </c>
      <c r="V116" s="112"/>
    </row>
    <row r="117" spans="2:22" ht="15.75" customHeight="1" x14ac:dyDescent="0.25">
      <c r="B117" s="1309" t="s">
        <v>2452</v>
      </c>
      <c r="V117" s="112"/>
    </row>
    <row r="118" spans="2:22" ht="15.75" customHeight="1" x14ac:dyDescent="0.25">
      <c r="B118" s="1309" t="s">
        <v>2453</v>
      </c>
      <c r="V118" s="112"/>
    </row>
    <row r="119" spans="2:22" ht="15.75" customHeight="1" x14ac:dyDescent="0.25">
      <c r="B119" s="1309" t="s">
        <v>2454</v>
      </c>
      <c r="V119" s="112"/>
    </row>
    <row r="120" spans="2:22" ht="15.75" customHeight="1" x14ac:dyDescent="0.25">
      <c r="B120" s="1309" t="s">
        <v>2455</v>
      </c>
      <c r="V120" s="112"/>
    </row>
    <row r="121" spans="2:22" ht="15.75" customHeight="1" x14ac:dyDescent="0.25">
      <c r="B121" s="1309" t="s">
        <v>2456</v>
      </c>
      <c r="V121" s="112"/>
    </row>
    <row r="122" spans="2:22" ht="15.75" customHeight="1" x14ac:dyDescent="0.25">
      <c r="V122" s="112"/>
    </row>
    <row r="123" spans="2:22" ht="15.75" customHeight="1" x14ac:dyDescent="0.25">
      <c r="V123" s="112"/>
    </row>
    <row r="124" spans="2:22" ht="15.75" customHeight="1" x14ac:dyDescent="0.25">
      <c r="V124" s="112"/>
    </row>
    <row r="125" spans="2:22" ht="15.75" customHeight="1" x14ac:dyDescent="0.25">
      <c r="V125" s="112"/>
    </row>
    <row r="126" spans="2:22" ht="15.75" customHeight="1" x14ac:dyDescent="0.25">
      <c r="V126" s="112"/>
    </row>
    <row r="127" spans="2:22" ht="15.75" customHeight="1" x14ac:dyDescent="0.25">
      <c r="V127" s="112"/>
    </row>
    <row r="128" spans="2:22" ht="15.75" customHeight="1" x14ac:dyDescent="0.25">
      <c r="V128" s="112"/>
    </row>
    <row r="129" spans="22:22" ht="15.75" customHeight="1" x14ac:dyDescent="0.25">
      <c r="V129" s="112"/>
    </row>
    <row r="130" spans="22:22" ht="15.75" customHeight="1" x14ac:dyDescent="0.25">
      <c r="V130" s="112"/>
    </row>
    <row r="131" spans="22:22" ht="15.75" customHeight="1" x14ac:dyDescent="0.25">
      <c r="V131" s="112"/>
    </row>
    <row r="132" spans="22:22" ht="15.75" customHeight="1" x14ac:dyDescent="0.25">
      <c r="V132" s="112"/>
    </row>
    <row r="133" spans="22:22" ht="15.75" customHeight="1" x14ac:dyDescent="0.25">
      <c r="V133" s="112"/>
    </row>
    <row r="134" spans="22:22" ht="15.75" customHeight="1" x14ac:dyDescent="0.25">
      <c r="V134" s="112"/>
    </row>
    <row r="135" spans="22:22" ht="15.75" customHeight="1" x14ac:dyDescent="0.25">
      <c r="V135" s="112"/>
    </row>
    <row r="136" spans="22:22" ht="15.75" customHeight="1" x14ac:dyDescent="0.25">
      <c r="V136" s="112"/>
    </row>
    <row r="137" spans="22:22" ht="15.75" customHeight="1" x14ac:dyDescent="0.25">
      <c r="V137" s="112"/>
    </row>
    <row r="138" spans="22:22" ht="15.75" customHeight="1" x14ac:dyDescent="0.25">
      <c r="V138" s="112"/>
    </row>
    <row r="139" spans="22:22" ht="15.75" customHeight="1" x14ac:dyDescent="0.25">
      <c r="V139" s="112"/>
    </row>
    <row r="140" spans="22:22" ht="15.75" customHeight="1" x14ac:dyDescent="0.25">
      <c r="V140" s="112"/>
    </row>
    <row r="141" spans="22:22" ht="15.75" customHeight="1" x14ac:dyDescent="0.25">
      <c r="V141" s="112"/>
    </row>
    <row r="142" spans="22:22" ht="15.75" customHeight="1" x14ac:dyDescent="0.25">
      <c r="V142" s="112"/>
    </row>
    <row r="143" spans="22:22" ht="15.75" customHeight="1" x14ac:dyDescent="0.25">
      <c r="V143" s="112"/>
    </row>
    <row r="144" spans="22:22" ht="15.75" customHeight="1" x14ac:dyDescent="0.25">
      <c r="V144" s="112"/>
    </row>
    <row r="145" spans="22:22" ht="15.75" customHeight="1" x14ac:dyDescent="0.25">
      <c r="V145" s="112"/>
    </row>
    <row r="146" spans="22:22" ht="15.75" customHeight="1" x14ac:dyDescent="0.25">
      <c r="V146" s="112"/>
    </row>
    <row r="147" spans="22:22" ht="15.75" customHeight="1" x14ac:dyDescent="0.25">
      <c r="V147" s="112"/>
    </row>
    <row r="148" spans="22:22" ht="15.75" customHeight="1" x14ac:dyDescent="0.25">
      <c r="V148" s="112"/>
    </row>
    <row r="149" spans="22:22" ht="15.75" customHeight="1" x14ac:dyDescent="0.25">
      <c r="V149" s="112"/>
    </row>
    <row r="150" spans="22:22" ht="15.75" customHeight="1" x14ac:dyDescent="0.25">
      <c r="V150" s="112"/>
    </row>
    <row r="151" spans="22:22" ht="15.75" customHeight="1" x14ac:dyDescent="0.25">
      <c r="V151" s="112"/>
    </row>
    <row r="152" spans="22:22" ht="15.75" customHeight="1" x14ac:dyDescent="0.25">
      <c r="V152" s="112"/>
    </row>
    <row r="153" spans="22:22" ht="15.75" customHeight="1" x14ac:dyDescent="0.25">
      <c r="V153" s="112"/>
    </row>
    <row r="154" spans="22:22" ht="15.75" customHeight="1" x14ac:dyDescent="0.25">
      <c r="V154" s="112"/>
    </row>
    <row r="155" spans="22:22" ht="15.75" customHeight="1" x14ac:dyDescent="0.25">
      <c r="V155" s="112"/>
    </row>
    <row r="156" spans="22:22" ht="15.75" customHeight="1" x14ac:dyDescent="0.25">
      <c r="V156" s="112"/>
    </row>
    <row r="157" spans="22:22" ht="15.75" customHeight="1" x14ac:dyDescent="0.25">
      <c r="V157" s="112"/>
    </row>
    <row r="158" spans="22:22" ht="15.75" customHeight="1" x14ac:dyDescent="0.25">
      <c r="V158" s="112"/>
    </row>
    <row r="159" spans="22:22" ht="15.75" customHeight="1" x14ac:dyDescent="0.25">
      <c r="V159" s="112"/>
    </row>
    <row r="160" spans="22:22" ht="15.75" customHeight="1" x14ac:dyDescent="0.25">
      <c r="V160" s="112"/>
    </row>
    <row r="161" spans="22:22" ht="15.75" customHeight="1" x14ac:dyDescent="0.25">
      <c r="V161" s="112"/>
    </row>
    <row r="162" spans="22:22" ht="15.75" customHeight="1" x14ac:dyDescent="0.25">
      <c r="V162" s="112"/>
    </row>
    <row r="163" spans="22:22" ht="15.75" customHeight="1" x14ac:dyDescent="0.25">
      <c r="V163" s="112"/>
    </row>
    <row r="164" spans="22:22" ht="15.75" customHeight="1" x14ac:dyDescent="0.25">
      <c r="V164" s="112"/>
    </row>
    <row r="165" spans="22:22" ht="15.75" customHeight="1" x14ac:dyDescent="0.25">
      <c r="V165" s="112"/>
    </row>
    <row r="166" spans="22:22" ht="15.75" customHeight="1" x14ac:dyDescent="0.25">
      <c r="V166" s="112"/>
    </row>
    <row r="167" spans="22:22" ht="15.75" customHeight="1" x14ac:dyDescent="0.25">
      <c r="V167" s="112"/>
    </row>
    <row r="168" spans="22:22" ht="15.75" customHeight="1" x14ac:dyDescent="0.25">
      <c r="V168" s="112"/>
    </row>
    <row r="169" spans="22:22" ht="15.75" customHeight="1" x14ac:dyDescent="0.25">
      <c r="V169" s="112"/>
    </row>
    <row r="170" spans="22:22" ht="15.75" customHeight="1" x14ac:dyDescent="0.25">
      <c r="V170" s="112"/>
    </row>
    <row r="171" spans="22:22" ht="15.75" customHeight="1" x14ac:dyDescent="0.25">
      <c r="V171" s="112"/>
    </row>
    <row r="172" spans="22:22" ht="15.75" customHeight="1" x14ac:dyDescent="0.25">
      <c r="V172" s="112"/>
    </row>
    <row r="173" spans="22:22" ht="15.75" customHeight="1" x14ac:dyDescent="0.25">
      <c r="V173" s="112"/>
    </row>
    <row r="174" spans="22:22" ht="15.75" customHeight="1" x14ac:dyDescent="0.25">
      <c r="V174" s="112"/>
    </row>
    <row r="175" spans="22:22" ht="15.75" customHeight="1" x14ac:dyDescent="0.25">
      <c r="V175" s="112"/>
    </row>
    <row r="176" spans="22:22" ht="15.75" customHeight="1" x14ac:dyDescent="0.25">
      <c r="V176" s="112"/>
    </row>
    <row r="177" spans="22:22" ht="15.75" customHeight="1" x14ac:dyDescent="0.25">
      <c r="V177" s="112"/>
    </row>
    <row r="178" spans="22:22" ht="15.75" customHeight="1" x14ac:dyDescent="0.25">
      <c r="V178" s="112"/>
    </row>
    <row r="179" spans="22:22" ht="15.75" customHeight="1" x14ac:dyDescent="0.25">
      <c r="V179" s="112"/>
    </row>
    <row r="180" spans="22:22" ht="15.75" customHeight="1" x14ac:dyDescent="0.25">
      <c r="V180" s="112"/>
    </row>
    <row r="181" spans="22:22" ht="15.75" customHeight="1" x14ac:dyDescent="0.25">
      <c r="V181" s="112"/>
    </row>
    <row r="182" spans="22:22" ht="15.75" customHeight="1" x14ac:dyDescent="0.25">
      <c r="V182" s="112"/>
    </row>
    <row r="183" spans="22:22" ht="15.75" customHeight="1" x14ac:dyDescent="0.25">
      <c r="V183" s="112"/>
    </row>
    <row r="184" spans="22:22" ht="15.75" customHeight="1" x14ac:dyDescent="0.25">
      <c r="V184" s="112"/>
    </row>
    <row r="185" spans="22:22" ht="15.75" customHeight="1" x14ac:dyDescent="0.25">
      <c r="V185" s="112"/>
    </row>
    <row r="186" spans="22:22" ht="15.75" customHeight="1" x14ac:dyDescent="0.25">
      <c r="V186" s="112"/>
    </row>
    <row r="187" spans="22:22" ht="15.75" customHeight="1" x14ac:dyDescent="0.25">
      <c r="V187" s="112"/>
    </row>
    <row r="188" spans="22:22" ht="15.75" customHeight="1" x14ac:dyDescent="0.25">
      <c r="V188" s="112"/>
    </row>
    <row r="189" spans="22:22" ht="15.75" customHeight="1" x14ac:dyDescent="0.25">
      <c r="V189" s="112"/>
    </row>
    <row r="190" spans="22:22" ht="15.75" customHeight="1" x14ac:dyDescent="0.25">
      <c r="V190" s="112"/>
    </row>
    <row r="191" spans="22:22" ht="15.75" customHeight="1" x14ac:dyDescent="0.25">
      <c r="V191" s="112"/>
    </row>
    <row r="192" spans="22:22" ht="15.75" customHeight="1" x14ac:dyDescent="0.25">
      <c r="V192" s="112"/>
    </row>
    <row r="193" spans="22:22" ht="15.75" customHeight="1" x14ac:dyDescent="0.25">
      <c r="V193" s="112"/>
    </row>
    <row r="194" spans="22:22" ht="15.75" customHeight="1" x14ac:dyDescent="0.25">
      <c r="V194" s="112"/>
    </row>
    <row r="195" spans="22:22" ht="15.75" customHeight="1" x14ac:dyDescent="0.25">
      <c r="V195" s="112"/>
    </row>
    <row r="196" spans="22:22" ht="15.75" customHeight="1" x14ac:dyDescent="0.25">
      <c r="V196" s="112"/>
    </row>
    <row r="197" spans="22:22" ht="15.75" customHeight="1" x14ac:dyDescent="0.25">
      <c r="V197" s="112"/>
    </row>
    <row r="198" spans="22:22" ht="15.75" customHeight="1" x14ac:dyDescent="0.25">
      <c r="V198" s="112"/>
    </row>
    <row r="199" spans="22:22" ht="15.75" customHeight="1" x14ac:dyDescent="0.25">
      <c r="V199" s="112"/>
    </row>
    <row r="200" spans="22:22" ht="15.75" customHeight="1" x14ac:dyDescent="0.25">
      <c r="V200" s="112"/>
    </row>
    <row r="201" spans="22:22" ht="15.75" customHeight="1" x14ac:dyDescent="0.25">
      <c r="V201" s="112"/>
    </row>
    <row r="202" spans="22:22" ht="15.75" customHeight="1" x14ac:dyDescent="0.25">
      <c r="V202" s="112"/>
    </row>
    <row r="203" spans="22:22" ht="15.75" customHeight="1" x14ac:dyDescent="0.25">
      <c r="V203" s="112"/>
    </row>
    <row r="204" spans="22:22" ht="15.75" customHeight="1" x14ac:dyDescent="0.25">
      <c r="V204" s="112"/>
    </row>
    <row r="205" spans="22:22" ht="15.75" customHeight="1" x14ac:dyDescent="0.25">
      <c r="V205" s="112"/>
    </row>
    <row r="206" spans="22:22" ht="15.75" customHeight="1" x14ac:dyDescent="0.25">
      <c r="V206" s="112"/>
    </row>
    <row r="207" spans="22:22" ht="15.75" customHeight="1" x14ac:dyDescent="0.25">
      <c r="V207" s="112"/>
    </row>
    <row r="208" spans="22:22" ht="15.75" customHeight="1" x14ac:dyDescent="0.25">
      <c r="V208" s="112"/>
    </row>
    <row r="209" spans="22:22" ht="15.75" customHeight="1" x14ac:dyDescent="0.25">
      <c r="V209" s="112"/>
    </row>
    <row r="210" spans="22:22" ht="15.75" customHeight="1" x14ac:dyDescent="0.25">
      <c r="V210" s="112"/>
    </row>
    <row r="211" spans="22:22" ht="15.75" customHeight="1" x14ac:dyDescent="0.25">
      <c r="V211" s="112"/>
    </row>
    <row r="212" spans="22:22" ht="15.75" customHeight="1" x14ac:dyDescent="0.25">
      <c r="V212" s="112"/>
    </row>
    <row r="213" spans="22:22" ht="15.75" customHeight="1" x14ac:dyDescent="0.25">
      <c r="V213" s="112"/>
    </row>
    <row r="214" spans="22:22" ht="15.75" customHeight="1" x14ac:dyDescent="0.25">
      <c r="V214" s="112"/>
    </row>
    <row r="215" spans="22:22" ht="15.75" customHeight="1" x14ac:dyDescent="0.25">
      <c r="V215" s="112"/>
    </row>
    <row r="216" spans="22:22" ht="15.75" customHeight="1" x14ac:dyDescent="0.25">
      <c r="V216" s="112"/>
    </row>
    <row r="217" spans="22:22" ht="15.75" customHeight="1" x14ac:dyDescent="0.25">
      <c r="V217" s="112"/>
    </row>
    <row r="218" spans="22:22" ht="15.75" customHeight="1" x14ac:dyDescent="0.25">
      <c r="V218" s="112"/>
    </row>
    <row r="219" spans="22:22" ht="15.75" customHeight="1" x14ac:dyDescent="0.25">
      <c r="V219" s="112"/>
    </row>
    <row r="220" spans="22:22" ht="15.75" customHeight="1" x14ac:dyDescent="0.25">
      <c r="V220" s="112"/>
    </row>
    <row r="221" spans="22:22" ht="15.75" customHeight="1" x14ac:dyDescent="0.25">
      <c r="V221" s="112"/>
    </row>
    <row r="222" spans="22:22" ht="15.75" customHeight="1" x14ac:dyDescent="0.25">
      <c r="V222" s="112"/>
    </row>
    <row r="223" spans="22:22" ht="15.75" customHeight="1" x14ac:dyDescent="0.25">
      <c r="V223" s="112"/>
    </row>
    <row r="224" spans="22:22" ht="15.75" customHeight="1" x14ac:dyDescent="0.25">
      <c r="V224" s="112"/>
    </row>
    <row r="225" spans="22:22" ht="15.75" customHeight="1" x14ac:dyDescent="0.25">
      <c r="V225" s="112"/>
    </row>
    <row r="226" spans="22:22" ht="15.75" customHeight="1" x14ac:dyDescent="0.25">
      <c r="V226" s="112"/>
    </row>
    <row r="227" spans="22:22" ht="15.75" customHeight="1" x14ac:dyDescent="0.25">
      <c r="V227" s="112"/>
    </row>
    <row r="228" spans="22:22" ht="15.75" customHeight="1" x14ac:dyDescent="0.25">
      <c r="V228" s="112"/>
    </row>
    <row r="229" spans="22:22" ht="15.75" customHeight="1" x14ac:dyDescent="0.25">
      <c r="V229" s="112"/>
    </row>
    <row r="230" spans="22:22" ht="15.75" customHeight="1" x14ac:dyDescent="0.25">
      <c r="V230" s="112"/>
    </row>
    <row r="231" spans="22:22" ht="15.75" customHeight="1" x14ac:dyDescent="0.25">
      <c r="V231" s="112"/>
    </row>
    <row r="232" spans="22:22" ht="15.75" customHeight="1" x14ac:dyDescent="0.25">
      <c r="V232" s="112"/>
    </row>
    <row r="233" spans="22:22" ht="15.75" customHeight="1" x14ac:dyDescent="0.25">
      <c r="V233" s="112"/>
    </row>
    <row r="234" spans="22:22" ht="15.75" customHeight="1" x14ac:dyDescent="0.25">
      <c r="V234" s="112"/>
    </row>
    <row r="235" spans="22:22" ht="15.75" customHeight="1" x14ac:dyDescent="0.25">
      <c r="V235" s="112"/>
    </row>
    <row r="236" spans="22:22" ht="15.75" customHeight="1" x14ac:dyDescent="0.25">
      <c r="V236" s="112"/>
    </row>
    <row r="237" spans="22:22" ht="15.75" customHeight="1" x14ac:dyDescent="0.25">
      <c r="V237" s="112"/>
    </row>
    <row r="238" spans="22:22" ht="15.75" customHeight="1" x14ac:dyDescent="0.25">
      <c r="V238" s="112"/>
    </row>
    <row r="239" spans="22:22" ht="15.75" customHeight="1" x14ac:dyDescent="0.25">
      <c r="V239" s="112"/>
    </row>
    <row r="240" spans="22:22" ht="15.75" customHeight="1" x14ac:dyDescent="0.25">
      <c r="V240" s="112"/>
    </row>
    <row r="241" spans="22:22" ht="15.75" customHeight="1" x14ac:dyDescent="0.25">
      <c r="V241" s="112"/>
    </row>
    <row r="242" spans="22:22" ht="15.75" customHeight="1" x14ac:dyDescent="0.25">
      <c r="V242" s="112"/>
    </row>
    <row r="243" spans="22:22" ht="15.75" customHeight="1" x14ac:dyDescent="0.25">
      <c r="V243" s="112"/>
    </row>
    <row r="244" spans="22:22" ht="15.75" customHeight="1" x14ac:dyDescent="0.25">
      <c r="V244" s="112"/>
    </row>
    <row r="245" spans="22:22" ht="15.75" customHeight="1" x14ac:dyDescent="0.25">
      <c r="V245" s="112"/>
    </row>
    <row r="246" spans="22:22" ht="15.75" customHeight="1" x14ac:dyDescent="0.25">
      <c r="V246" s="112"/>
    </row>
    <row r="247" spans="22:22" ht="15.75" customHeight="1" x14ac:dyDescent="0.25">
      <c r="V247" s="112"/>
    </row>
    <row r="248" spans="22:22" ht="15.75" customHeight="1" x14ac:dyDescent="0.25">
      <c r="V248" s="112"/>
    </row>
    <row r="249" spans="22:22" ht="15.75" customHeight="1" x14ac:dyDescent="0.25">
      <c r="V249" s="112"/>
    </row>
    <row r="250" spans="22:22" ht="15.75" customHeight="1" x14ac:dyDescent="0.25">
      <c r="V250" s="112"/>
    </row>
    <row r="251" spans="22:22" ht="15.75" customHeight="1" x14ac:dyDescent="0.25">
      <c r="V251" s="112"/>
    </row>
    <row r="252" spans="22:22" ht="15.75" customHeight="1" x14ac:dyDescent="0.25">
      <c r="V252" s="112"/>
    </row>
    <row r="253" spans="22:22" ht="15.75" customHeight="1" x14ac:dyDescent="0.25">
      <c r="V253" s="112"/>
    </row>
    <row r="254" spans="22:22" ht="15.75" customHeight="1" x14ac:dyDescent="0.25">
      <c r="V254" s="112"/>
    </row>
    <row r="255" spans="22:22" ht="15.75" customHeight="1" x14ac:dyDescent="0.25">
      <c r="V255" s="112"/>
    </row>
    <row r="256" spans="22:22" ht="15.75" customHeight="1" x14ac:dyDescent="0.25">
      <c r="V256" s="112"/>
    </row>
    <row r="257" spans="22:22" ht="15.75" customHeight="1" x14ac:dyDescent="0.25">
      <c r="V257" s="112"/>
    </row>
    <row r="258" spans="22:22" ht="15.75" customHeight="1" x14ac:dyDescent="0.25">
      <c r="V258" s="112"/>
    </row>
    <row r="259" spans="22:22" ht="15.75" customHeight="1" x14ac:dyDescent="0.25">
      <c r="V259" s="112"/>
    </row>
    <row r="260" spans="22:22" ht="15.75" customHeight="1" x14ac:dyDescent="0.25">
      <c r="V260" s="112"/>
    </row>
    <row r="261" spans="22:22" ht="15.75" customHeight="1" x14ac:dyDescent="0.25">
      <c r="V261" s="112"/>
    </row>
    <row r="262" spans="22:22" ht="15.75" customHeight="1" x14ac:dyDescent="0.25">
      <c r="V262" s="112"/>
    </row>
    <row r="263" spans="22:22" ht="15.75" customHeight="1" x14ac:dyDescent="0.25">
      <c r="V263" s="112"/>
    </row>
    <row r="264" spans="22:22" ht="15.75" customHeight="1" x14ac:dyDescent="0.25">
      <c r="V264" s="112"/>
    </row>
    <row r="265" spans="22:22" ht="15.75" customHeight="1" x14ac:dyDescent="0.25">
      <c r="V265" s="112"/>
    </row>
    <row r="266" spans="22:22" ht="15.75" customHeight="1" x14ac:dyDescent="0.25">
      <c r="V266" s="112"/>
    </row>
    <row r="267" spans="22:22" ht="15.75" customHeight="1" x14ac:dyDescent="0.25">
      <c r="V267" s="112"/>
    </row>
    <row r="268" spans="22:22" ht="15.75" customHeight="1" x14ac:dyDescent="0.25">
      <c r="V268" s="112"/>
    </row>
    <row r="269" spans="22:22" ht="15.75" customHeight="1" x14ac:dyDescent="0.25">
      <c r="V269" s="112"/>
    </row>
    <row r="270" spans="22:22" ht="15.75" customHeight="1" x14ac:dyDescent="0.25">
      <c r="V270" s="112"/>
    </row>
    <row r="271" spans="22:22" ht="15.75" customHeight="1" x14ac:dyDescent="0.25">
      <c r="V271" s="112"/>
    </row>
    <row r="272" spans="22:22" ht="15.75" customHeight="1" x14ac:dyDescent="0.25">
      <c r="V272" s="112"/>
    </row>
    <row r="273" spans="22:22" ht="15.75" customHeight="1" x14ac:dyDescent="0.25">
      <c r="V273" s="112"/>
    </row>
    <row r="274" spans="22:22" ht="15.75" customHeight="1" x14ac:dyDescent="0.25">
      <c r="V274" s="112"/>
    </row>
    <row r="275" spans="22:22" ht="15.75" customHeight="1" x14ac:dyDescent="0.25">
      <c r="V275" s="112"/>
    </row>
    <row r="276" spans="22:22" ht="15.75" customHeight="1" x14ac:dyDescent="0.25">
      <c r="V276" s="112"/>
    </row>
    <row r="277" spans="22:22" ht="15.75" customHeight="1" x14ac:dyDescent="0.25">
      <c r="V277" s="112"/>
    </row>
    <row r="278" spans="22:22" ht="15.75" customHeight="1" x14ac:dyDescent="0.25">
      <c r="V278" s="112"/>
    </row>
    <row r="279" spans="22:22" ht="15.75" customHeight="1" x14ac:dyDescent="0.25">
      <c r="V279" s="112"/>
    </row>
    <row r="280" spans="22:22" ht="15.75" customHeight="1" x14ac:dyDescent="0.25">
      <c r="V280" s="112"/>
    </row>
    <row r="281" spans="22:22" ht="15.75" customHeight="1" x14ac:dyDescent="0.25">
      <c r="V281" s="112"/>
    </row>
    <row r="282" spans="22:22" ht="15.75" customHeight="1" x14ac:dyDescent="0.25">
      <c r="V282" s="112"/>
    </row>
    <row r="283" spans="22:22" ht="15.75" customHeight="1" x14ac:dyDescent="0.25">
      <c r="V283" s="112"/>
    </row>
    <row r="284" spans="22:22" ht="15.75" customHeight="1" x14ac:dyDescent="0.25">
      <c r="V284" s="112"/>
    </row>
    <row r="285" spans="22:22" ht="15.75" customHeight="1" x14ac:dyDescent="0.25">
      <c r="V285" s="112"/>
    </row>
    <row r="286" spans="22:22" ht="15.75" customHeight="1" x14ac:dyDescent="0.25">
      <c r="V286" s="112"/>
    </row>
    <row r="287" spans="22:22" ht="15.75" customHeight="1" x14ac:dyDescent="0.25">
      <c r="V287" s="112"/>
    </row>
    <row r="288" spans="22:22" ht="15.75" customHeight="1" x14ac:dyDescent="0.25">
      <c r="V288" s="112"/>
    </row>
    <row r="289" spans="22:22" ht="15.75" customHeight="1" x14ac:dyDescent="0.25">
      <c r="V289" s="112"/>
    </row>
    <row r="290" spans="22:22" ht="15.75" customHeight="1" x14ac:dyDescent="0.25">
      <c r="V290" s="112"/>
    </row>
    <row r="291" spans="22:22" ht="15.75" customHeight="1" x14ac:dyDescent="0.25">
      <c r="V291" s="112"/>
    </row>
    <row r="292" spans="22:22" ht="15.75" customHeight="1" x14ac:dyDescent="0.25">
      <c r="V292" s="112"/>
    </row>
    <row r="293" spans="22:22" ht="15.75" customHeight="1" x14ac:dyDescent="0.25">
      <c r="V293" s="112"/>
    </row>
    <row r="294" spans="22:22" ht="15.75" customHeight="1" x14ac:dyDescent="0.25">
      <c r="V294" s="112"/>
    </row>
    <row r="295" spans="22:22" ht="15.75" customHeight="1" x14ac:dyDescent="0.25">
      <c r="V295" s="112"/>
    </row>
    <row r="296" spans="22:22" ht="15.75" customHeight="1" x14ac:dyDescent="0.25">
      <c r="V296" s="112"/>
    </row>
    <row r="297" spans="22:22" ht="15.75" customHeight="1" x14ac:dyDescent="0.25">
      <c r="V297" s="112"/>
    </row>
    <row r="298" spans="22:22" ht="15.75" customHeight="1" x14ac:dyDescent="0.25">
      <c r="V298" s="112"/>
    </row>
    <row r="299" spans="22:22" ht="15.75" customHeight="1" x14ac:dyDescent="0.25">
      <c r="V299" s="112"/>
    </row>
    <row r="300" spans="22:22" ht="15.75" customHeight="1" x14ac:dyDescent="0.25">
      <c r="V300" s="112"/>
    </row>
    <row r="301" spans="22:22" ht="15.75" customHeight="1" x14ac:dyDescent="0.25">
      <c r="V301" s="112"/>
    </row>
    <row r="302" spans="22:22" ht="15.75" customHeight="1" x14ac:dyDescent="0.25">
      <c r="V302" s="112"/>
    </row>
    <row r="303" spans="22:22" ht="15.75" customHeight="1" x14ac:dyDescent="0.25">
      <c r="V303" s="112"/>
    </row>
    <row r="304" spans="22:22" ht="15.75" customHeight="1" x14ac:dyDescent="0.25">
      <c r="V304" s="112"/>
    </row>
    <row r="305" spans="22:22" ht="15.75" customHeight="1" x14ac:dyDescent="0.25">
      <c r="V305" s="112"/>
    </row>
    <row r="306" spans="22:22" ht="15.75" customHeight="1" x14ac:dyDescent="0.25">
      <c r="V306" s="112"/>
    </row>
    <row r="307" spans="22:22" ht="15.75" customHeight="1" x14ac:dyDescent="0.25">
      <c r="V307" s="112"/>
    </row>
    <row r="308" spans="22:22" ht="15.75" customHeight="1" x14ac:dyDescent="0.25">
      <c r="V308" s="112"/>
    </row>
    <row r="309" spans="22:22" ht="15.75" customHeight="1" x14ac:dyDescent="0.25">
      <c r="V309" s="112"/>
    </row>
    <row r="310" spans="22:22" ht="15.75" customHeight="1" x14ac:dyDescent="0.25">
      <c r="V310" s="112"/>
    </row>
    <row r="311" spans="22:22" ht="15.75" customHeight="1" x14ac:dyDescent="0.25">
      <c r="V311" s="112"/>
    </row>
    <row r="312" spans="22:22" ht="15.75" customHeight="1" x14ac:dyDescent="0.25">
      <c r="V312" s="112"/>
    </row>
    <row r="313" spans="22:22" ht="15.75" customHeight="1" x14ac:dyDescent="0.25">
      <c r="V313" s="112"/>
    </row>
    <row r="314" spans="22:22" ht="15.75" customHeight="1" x14ac:dyDescent="0.25">
      <c r="V314" s="112"/>
    </row>
    <row r="315" spans="22:22" ht="15.75" customHeight="1" x14ac:dyDescent="0.25">
      <c r="V315" s="112"/>
    </row>
    <row r="316" spans="22:22" ht="15.75" customHeight="1" x14ac:dyDescent="0.25">
      <c r="V316" s="112"/>
    </row>
    <row r="317" spans="22:22" ht="15.75" customHeight="1" x14ac:dyDescent="0.25">
      <c r="V317" s="112"/>
    </row>
    <row r="318" spans="22:22" ht="15.75" customHeight="1" x14ac:dyDescent="0.25">
      <c r="V318" s="112"/>
    </row>
    <row r="319" spans="22:22" ht="15.75" customHeight="1" x14ac:dyDescent="0.25">
      <c r="V319" s="112"/>
    </row>
    <row r="320" spans="22:22" ht="15.75" customHeight="1" x14ac:dyDescent="0.25">
      <c r="V320" s="112"/>
    </row>
    <row r="321" spans="22:22" ht="15.75" customHeight="1" x14ac:dyDescent="0.25">
      <c r="V321" s="112"/>
    </row>
    <row r="322" spans="22:22" ht="15.75" customHeight="1" x14ac:dyDescent="0.25">
      <c r="V322" s="112"/>
    </row>
    <row r="323" spans="22:22" ht="15.75" customHeight="1" x14ac:dyDescent="0.25">
      <c r="V323" s="112"/>
    </row>
    <row r="324" spans="22:22" ht="15.75" customHeight="1" x14ac:dyDescent="0.25">
      <c r="V324" s="112"/>
    </row>
    <row r="325" spans="22:22" ht="15.75" customHeight="1" x14ac:dyDescent="0.25">
      <c r="V325" s="112"/>
    </row>
    <row r="326" spans="22:22" ht="15.75" customHeight="1" x14ac:dyDescent="0.25">
      <c r="V326" s="112"/>
    </row>
    <row r="327" spans="22:22" ht="15.75" customHeight="1" x14ac:dyDescent="0.25">
      <c r="V327" s="112"/>
    </row>
    <row r="328" spans="22:22" ht="15.75" customHeight="1" x14ac:dyDescent="0.25">
      <c r="V328" s="112"/>
    </row>
    <row r="329" spans="22:22" ht="15.75" customHeight="1" x14ac:dyDescent="0.25">
      <c r="V329" s="112"/>
    </row>
    <row r="330" spans="22:22" ht="15.75" customHeight="1" x14ac:dyDescent="0.25">
      <c r="V330" s="112"/>
    </row>
    <row r="331" spans="22:22" ht="15.75" customHeight="1" x14ac:dyDescent="0.25">
      <c r="V331" s="112"/>
    </row>
    <row r="332" spans="22:22" ht="15.75" customHeight="1" x14ac:dyDescent="0.25">
      <c r="V332" s="112"/>
    </row>
    <row r="333" spans="22:22" ht="15.75" customHeight="1" x14ac:dyDescent="0.25">
      <c r="V333" s="112"/>
    </row>
    <row r="334" spans="22:22" ht="15.75" customHeight="1" x14ac:dyDescent="0.25">
      <c r="V334" s="112"/>
    </row>
    <row r="335" spans="22:22" ht="15.75" customHeight="1" x14ac:dyDescent="0.25">
      <c r="V335" s="112"/>
    </row>
    <row r="336" spans="22:22" ht="15.75" customHeight="1" x14ac:dyDescent="0.25">
      <c r="V336" s="112"/>
    </row>
    <row r="337" spans="22:22" ht="15.75" customHeight="1" x14ac:dyDescent="0.25">
      <c r="V337" s="112"/>
    </row>
    <row r="338" spans="22:22" ht="15.75" customHeight="1" x14ac:dyDescent="0.25">
      <c r="V338" s="112"/>
    </row>
    <row r="339" spans="22:22" ht="15.75" customHeight="1" x14ac:dyDescent="0.25">
      <c r="V339" s="112"/>
    </row>
    <row r="340" spans="22:22" ht="15.75" customHeight="1" x14ac:dyDescent="0.25">
      <c r="V340" s="112"/>
    </row>
    <row r="341" spans="22:22" ht="15.75" customHeight="1" x14ac:dyDescent="0.25">
      <c r="V341" s="112"/>
    </row>
    <row r="342" spans="22:22" ht="15.75" customHeight="1" x14ac:dyDescent="0.25">
      <c r="V342" s="112"/>
    </row>
    <row r="343" spans="22:22" ht="15.75" customHeight="1" x14ac:dyDescent="0.25">
      <c r="V343" s="112"/>
    </row>
    <row r="344" spans="22:22" ht="15.75" customHeight="1" x14ac:dyDescent="0.25">
      <c r="V344" s="112"/>
    </row>
    <row r="345" spans="22:22" ht="15.75" customHeight="1" x14ac:dyDescent="0.25">
      <c r="V345" s="112"/>
    </row>
    <row r="346" spans="22:22" ht="15.75" customHeight="1" x14ac:dyDescent="0.25">
      <c r="V346" s="112"/>
    </row>
    <row r="347" spans="22:22" ht="15.75" customHeight="1" x14ac:dyDescent="0.25">
      <c r="V347" s="112"/>
    </row>
    <row r="348" spans="22:22" ht="15.75" customHeight="1" x14ac:dyDescent="0.25">
      <c r="V348" s="112"/>
    </row>
    <row r="349" spans="22:22" ht="15.75" customHeight="1" x14ac:dyDescent="0.25">
      <c r="V349" s="112"/>
    </row>
    <row r="350" spans="22:22" ht="15.75" customHeight="1" x14ac:dyDescent="0.25">
      <c r="V350" s="112"/>
    </row>
    <row r="351" spans="22:22" ht="15.75" customHeight="1" x14ac:dyDescent="0.25">
      <c r="V351" s="112"/>
    </row>
    <row r="352" spans="22:22" ht="15.75" customHeight="1" x14ac:dyDescent="0.25">
      <c r="V352" s="112"/>
    </row>
    <row r="353" spans="22:22" ht="15.75" customHeight="1" x14ac:dyDescent="0.25">
      <c r="V353" s="112"/>
    </row>
    <row r="354" spans="22:22" ht="15.75" customHeight="1" x14ac:dyDescent="0.25">
      <c r="V354" s="112"/>
    </row>
    <row r="355" spans="22:22" ht="15.75" customHeight="1" x14ac:dyDescent="0.25">
      <c r="V355" s="112"/>
    </row>
    <row r="356" spans="22:22" ht="15.75" customHeight="1" x14ac:dyDescent="0.25">
      <c r="V356" s="112"/>
    </row>
    <row r="357" spans="22:22" ht="15.75" customHeight="1" x14ac:dyDescent="0.25">
      <c r="V357" s="112"/>
    </row>
    <row r="358" spans="22:22" ht="15.75" customHeight="1" x14ac:dyDescent="0.25">
      <c r="V358" s="112"/>
    </row>
    <row r="359" spans="22:22" ht="15.75" customHeight="1" x14ac:dyDescent="0.25">
      <c r="V359" s="112"/>
    </row>
    <row r="360" spans="22:22" ht="15.75" customHeight="1" x14ac:dyDescent="0.25">
      <c r="V360" s="112"/>
    </row>
    <row r="361" spans="22:22" ht="15.75" customHeight="1" x14ac:dyDescent="0.25">
      <c r="V361" s="112"/>
    </row>
    <row r="362" spans="22:22" ht="15.75" customHeight="1" x14ac:dyDescent="0.25">
      <c r="V362" s="112"/>
    </row>
    <row r="363" spans="22:22" ht="15.75" customHeight="1" x14ac:dyDescent="0.25">
      <c r="V363" s="112"/>
    </row>
    <row r="364" spans="22:22" ht="15.75" customHeight="1" x14ac:dyDescent="0.25">
      <c r="V364" s="112"/>
    </row>
    <row r="365" spans="22:22" ht="15.75" customHeight="1" x14ac:dyDescent="0.25">
      <c r="V365" s="112"/>
    </row>
    <row r="366" spans="22:22" ht="15.75" customHeight="1" x14ac:dyDescent="0.25">
      <c r="V366" s="112"/>
    </row>
    <row r="367" spans="22:22" ht="15.75" customHeight="1" x14ac:dyDescent="0.25">
      <c r="V367" s="112"/>
    </row>
    <row r="368" spans="22:22" ht="15.75" customHeight="1" x14ac:dyDescent="0.25">
      <c r="V368" s="112"/>
    </row>
    <row r="369" spans="22:22" ht="15.75" customHeight="1" x14ac:dyDescent="0.25">
      <c r="V369" s="112"/>
    </row>
    <row r="370" spans="22:22" ht="15.75" customHeight="1" x14ac:dyDescent="0.25">
      <c r="V370" s="112"/>
    </row>
    <row r="371" spans="22:22" ht="15.75" customHeight="1" x14ac:dyDescent="0.25">
      <c r="V371" s="112"/>
    </row>
    <row r="372" spans="22:22" ht="15.75" customHeight="1" x14ac:dyDescent="0.25">
      <c r="V372" s="112"/>
    </row>
    <row r="373" spans="22:22" ht="15.75" customHeight="1" x14ac:dyDescent="0.25">
      <c r="V373" s="112"/>
    </row>
    <row r="374" spans="22:22" ht="15.75" customHeight="1" x14ac:dyDescent="0.25">
      <c r="V374" s="112"/>
    </row>
    <row r="375" spans="22:22" ht="15.75" customHeight="1" x14ac:dyDescent="0.25">
      <c r="V375" s="112"/>
    </row>
    <row r="376" spans="22:22" ht="15.75" customHeight="1" x14ac:dyDescent="0.25">
      <c r="V376" s="112"/>
    </row>
    <row r="377" spans="22:22" ht="15.75" customHeight="1" x14ac:dyDescent="0.25">
      <c r="V377" s="112"/>
    </row>
    <row r="378" spans="22:22" ht="15.75" customHeight="1" x14ac:dyDescent="0.25">
      <c r="V378" s="112"/>
    </row>
    <row r="379" spans="22:22" ht="15.75" customHeight="1" x14ac:dyDescent="0.25">
      <c r="V379" s="112"/>
    </row>
    <row r="380" spans="22:22" ht="15.75" customHeight="1" x14ac:dyDescent="0.25">
      <c r="V380" s="112"/>
    </row>
    <row r="381" spans="22:22" ht="15.75" customHeight="1" x14ac:dyDescent="0.25">
      <c r="V381" s="112"/>
    </row>
    <row r="382" spans="22:22" ht="15.75" customHeight="1" x14ac:dyDescent="0.25">
      <c r="V382" s="112"/>
    </row>
    <row r="383" spans="22:22" ht="15.75" customHeight="1" x14ac:dyDescent="0.25">
      <c r="V383" s="112"/>
    </row>
    <row r="384" spans="22:22" ht="15.75" customHeight="1" x14ac:dyDescent="0.25">
      <c r="V384" s="112"/>
    </row>
    <row r="385" spans="22:22" ht="15.75" customHeight="1" x14ac:dyDescent="0.25">
      <c r="V385" s="112"/>
    </row>
    <row r="386" spans="22:22" ht="15.75" customHeight="1" x14ac:dyDescent="0.25">
      <c r="V386" s="112"/>
    </row>
    <row r="387" spans="22:22" ht="15.75" customHeight="1" x14ac:dyDescent="0.25">
      <c r="V387" s="112"/>
    </row>
    <row r="388" spans="22:22" ht="15.75" customHeight="1" x14ac:dyDescent="0.25">
      <c r="V388" s="112"/>
    </row>
    <row r="389" spans="22:22" ht="15.75" customHeight="1" x14ac:dyDescent="0.25">
      <c r="V389" s="112"/>
    </row>
    <row r="390" spans="22:22" ht="15.75" customHeight="1" x14ac:dyDescent="0.25">
      <c r="V390" s="112"/>
    </row>
    <row r="391" spans="22:22" ht="15.75" customHeight="1" x14ac:dyDescent="0.25">
      <c r="V391" s="112"/>
    </row>
    <row r="392" spans="22:22" ht="15.75" customHeight="1" x14ac:dyDescent="0.25">
      <c r="V392" s="112"/>
    </row>
    <row r="393" spans="22:22" ht="15.75" customHeight="1" x14ac:dyDescent="0.25">
      <c r="V393" s="112"/>
    </row>
    <row r="394" spans="22:22" ht="15.75" customHeight="1" x14ac:dyDescent="0.25">
      <c r="V394" s="112"/>
    </row>
    <row r="395" spans="22:22" ht="15.75" customHeight="1" x14ac:dyDescent="0.25">
      <c r="V395" s="112"/>
    </row>
    <row r="396" spans="22:22" ht="15.75" customHeight="1" x14ac:dyDescent="0.25">
      <c r="V396" s="112"/>
    </row>
    <row r="397" spans="22:22" ht="15.75" customHeight="1" x14ac:dyDescent="0.25">
      <c r="V397" s="112"/>
    </row>
    <row r="398" spans="22:22" ht="15.75" customHeight="1" x14ac:dyDescent="0.25">
      <c r="V398" s="112"/>
    </row>
    <row r="399" spans="22:22" ht="15.75" customHeight="1" x14ac:dyDescent="0.25">
      <c r="V399" s="112"/>
    </row>
    <row r="400" spans="22:22" ht="15.75" customHeight="1" x14ac:dyDescent="0.25">
      <c r="V400" s="112"/>
    </row>
    <row r="401" spans="22:22" ht="15.75" customHeight="1" x14ac:dyDescent="0.25">
      <c r="V401" s="112"/>
    </row>
    <row r="402" spans="22:22" ht="15.75" customHeight="1" x14ac:dyDescent="0.25">
      <c r="V402" s="112"/>
    </row>
    <row r="403" spans="22:22" ht="15.75" customHeight="1" x14ac:dyDescent="0.25">
      <c r="V403" s="112"/>
    </row>
    <row r="404" spans="22:22" ht="15.75" customHeight="1" x14ac:dyDescent="0.25">
      <c r="V404" s="112"/>
    </row>
    <row r="405" spans="22:22" ht="15.75" customHeight="1" x14ac:dyDescent="0.25">
      <c r="V405" s="112"/>
    </row>
    <row r="406" spans="22:22" ht="15.75" customHeight="1" x14ac:dyDescent="0.25">
      <c r="V406" s="112"/>
    </row>
    <row r="407" spans="22:22" ht="15.75" customHeight="1" x14ac:dyDescent="0.25">
      <c r="V407" s="112"/>
    </row>
    <row r="408" spans="22:22" ht="15.75" customHeight="1" x14ac:dyDescent="0.25">
      <c r="V408" s="112"/>
    </row>
    <row r="409" spans="22:22" ht="15.75" customHeight="1" x14ac:dyDescent="0.25">
      <c r="V409" s="112"/>
    </row>
    <row r="410" spans="22:22" ht="15.75" customHeight="1" x14ac:dyDescent="0.25">
      <c r="V410" s="112"/>
    </row>
    <row r="411" spans="22:22" ht="15.75" customHeight="1" x14ac:dyDescent="0.25">
      <c r="V411" s="112"/>
    </row>
    <row r="412" spans="22:22" ht="15.75" customHeight="1" x14ac:dyDescent="0.25">
      <c r="V412" s="112"/>
    </row>
    <row r="413" spans="22:22" ht="15.75" customHeight="1" x14ac:dyDescent="0.25">
      <c r="V413" s="112"/>
    </row>
    <row r="414" spans="22:22" ht="15.75" customHeight="1" x14ac:dyDescent="0.25">
      <c r="V414" s="112"/>
    </row>
    <row r="415" spans="22:22" ht="15.75" customHeight="1" x14ac:dyDescent="0.25">
      <c r="V415" s="112"/>
    </row>
    <row r="416" spans="22:22" ht="15.75" customHeight="1" x14ac:dyDescent="0.25">
      <c r="V416" s="112"/>
    </row>
    <row r="417" spans="22:22" ht="15.75" customHeight="1" x14ac:dyDescent="0.25">
      <c r="V417" s="112"/>
    </row>
    <row r="418" spans="22:22" ht="15.75" customHeight="1" x14ac:dyDescent="0.25">
      <c r="V418" s="112"/>
    </row>
    <row r="419" spans="22:22" ht="15.75" customHeight="1" x14ac:dyDescent="0.25">
      <c r="V419" s="112"/>
    </row>
    <row r="420" spans="22:22" ht="15.75" customHeight="1" x14ac:dyDescent="0.25">
      <c r="V420" s="112"/>
    </row>
    <row r="421" spans="22:22" ht="15.75" customHeight="1" x14ac:dyDescent="0.25">
      <c r="V421" s="112"/>
    </row>
    <row r="422" spans="22:22" ht="15.75" customHeight="1" x14ac:dyDescent="0.25">
      <c r="V422" s="112"/>
    </row>
    <row r="423" spans="22:22" ht="15.75" customHeight="1" x14ac:dyDescent="0.25">
      <c r="V423" s="112"/>
    </row>
    <row r="424" spans="22:22" ht="15.75" customHeight="1" x14ac:dyDescent="0.25">
      <c r="V424" s="112"/>
    </row>
    <row r="425" spans="22:22" ht="15.75" customHeight="1" x14ac:dyDescent="0.25">
      <c r="V425" s="112"/>
    </row>
    <row r="426" spans="22:22" ht="15.75" customHeight="1" x14ac:dyDescent="0.25">
      <c r="V426" s="112"/>
    </row>
    <row r="427" spans="22:22" ht="15.75" customHeight="1" x14ac:dyDescent="0.25">
      <c r="V427" s="112"/>
    </row>
    <row r="428" spans="22:22" ht="15.75" customHeight="1" x14ac:dyDescent="0.25">
      <c r="V428" s="112"/>
    </row>
    <row r="429" spans="22:22" ht="15.75" customHeight="1" x14ac:dyDescent="0.25">
      <c r="V429" s="112"/>
    </row>
    <row r="430" spans="22:22" ht="15.75" customHeight="1" x14ac:dyDescent="0.25">
      <c r="V430" s="112"/>
    </row>
    <row r="431" spans="22:22" ht="15.75" customHeight="1" x14ac:dyDescent="0.25">
      <c r="V431" s="112"/>
    </row>
    <row r="432" spans="22:22" ht="15.75" customHeight="1" x14ac:dyDescent="0.25">
      <c r="V432" s="112"/>
    </row>
    <row r="433" spans="22:22" ht="15.75" customHeight="1" x14ac:dyDescent="0.25">
      <c r="V433" s="112"/>
    </row>
    <row r="434" spans="22:22" ht="15.75" customHeight="1" x14ac:dyDescent="0.25">
      <c r="V434" s="112"/>
    </row>
    <row r="435" spans="22:22" ht="15.75" customHeight="1" x14ac:dyDescent="0.25">
      <c r="V435" s="112"/>
    </row>
    <row r="436" spans="22:22" ht="15.75" customHeight="1" x14ac:dyDescent="0.25">
      <c r="V436" s="112"/>
    </row>
    <row r="437" spans="22:22" ht="15.75" customHeight="1" x14ac:dyDescent="0.25">
      <c r="V437" s="112"/>
    </row>
    <row r="438" spans="22:22" ht="15.75" customHeight="1" x14ac:dyDescent="0.25">
      <c r="V438" s="112"/>
    </row>
    <row r="439" spans="22:22" ht="15.75" customHeight="1" x14ac:dyDescent="0.25">
      <c r="V439" s="112"/>
    </row>
    <row r="440" spans="22:22" ht="15.75" customHeight="1" x14ac:dyDescent="0.25">
      <c r="V440" s="112"/>
    </row>
    <row r="441" spans="22:22" ht="15.75" customHeight="1" x14ac:dyDescent="0.25">
      <c r="V441" s="112"/>
    </row>
    <row r="442" spans="22:22" ht="15.75" customHeight="1" x14ac:dyDescent="0.25">
      <c r="V442" s="112"/>
    </row>
    <row r="443" spans="22:22" ht="15.75" customHeight="1" x14ac:dyDescent="0.25">
      <c r="V443" s="112"/>
    </row>
    <row r="444" spans="22:22" ht="15.75" customHeight="1" x14ac:dyDescent="0.25">
      <c r="V444" s="112"/>
    </row>
    <row r="445" spans="22:22" ht="15.75" customHeight="1" x14ac:dyDescent="0.25">
      <c r="V445" s="112"/>
    </row>
    <row r="446" spans="22:22" ht="15.75" customHeight="1" x14ac:dyDescent="0.25">
      <c r="V446" s="112"/>
    </row>
    <row r="447" spans="22:22" ht="15.75" customHeight="1" x14ac:dyDescent="0.25">
      <c r="V447" s="112"/>
    </row>
    <row r="448" spans="22:22" ht="15.75" customHeight="1" x14ac:dyDescent="0.25">
      <c r="V448" s="112"/>
    </row>
    <row r="449" spans="22:22" ht="15.75" customHeight="1" x14ac:dyDescent="0.25">
      <c r="V449" s="112"/>
    </row>
    <row r="450" spans="22:22" ht="15.75" customHeight="1" x14ac:dyDescent="0.25">
      <c r="V450" s="112"/>
    </row>
    <row r="451" spans="22:22" ht="15.75" customHeight="1" x14ac:dyDescent="0.25">
      <c r="V451" s="112"/>
    </row>
    <row r="452" spans="22:22" ht="15.75" customHeight="1" x14ac:dyDescent="0.25">
      <c r="V452" s="112"/>
    </row>
    <row r="453" spans="22:22" ht="15.75" customHeight="1" x14ac:dyDescent="0.25">
      <c r="V453" s="112"/>
    </row>
    <row r="454" spans="22:22" ht="15.75" customHeight="1" x14ac:dyDescent="0.25">
      <c r="V454" s="112"/>
    </row>
    <row r="455" spans="22:22" ht="15.75" customHeight="1" x14ac:dyDescent="0.25">
      <c r="V455" s="112"/>
    </row>
    <row r="456" spans="22:22" ht="15.75" customHeight="1" x14ac:dyDescent="0.25">
      <c r="V456" s="112"/>
    </row>
    <row r="457" spans="22:22" ht="15.75" customHeight="1" x14ac:dyDescent="0.25">
      <c r="V457" s="112"/>
    </row>
    <row r="458" spans="22:22" ht="15.75" customHeight="1" x14ac:dyDescent="0.25">
      <c r="V458" s="112"/>
    </row>
    <row r="459" spans="22:22" ht="15.75" customHeight="1" x14ac:dyDescent="0.25">
      <c r="V459" s="112"/>
    </row>
    <row r="460" spans="22:22" ht="15.75" customHeight="1" x14ac:dyDescent="0.25">
      <c r="V460" s="112"/>
    </row>
    <row r="461" spans="22:22" ht="15.75" customHeight="1" x14ac:dyDescent="0.25">
      <c r="V461" s="112"/>
    </row>
    <row r="462" spans="22:22" ht="15.75" customHeight="1" x14ac:dyDescent="0.25">
      <c r="V462" s="112"/>
    </row>
    <row r="463" spans="22:22" ht="15.75" customHeight="1" x14ac:dyDescent="0.25">
      <c r="V463" s="112"/>
    </row>
    <row r="464" spans="22:22" ht="15.75" customHeight="1" x14ac:dyDescent="0.25">
      <c r="V464" s="112"/>
    </row>
    <row r="465" spans="22:22" ht="15.75" customHeight="1" x14ac:dyDescent="0.25">
      <c r="V465" s="112"/>
    </row>
    <row r="466" spans="22:22" ht="15.75" customHeight="1" x14ac:dyDescent="0.25">
      <c r="V466" s="112"/>
    </row>
    <row r="467" spans="22:22" ht="15.75" customHeight="1" x14ac:dyDescent="0.25">
      <c r="V467" s="112"/>
    </row>
    <row r="468" spans="22:22" ht="15.75" customHeight="1" x14ac:dyDescent="0.25">
      <c r="V468" s="112"/>
    </row>
    <row r="469" spans="22:22" ht="15.75" customHeight="1" x14ac:dyDescent="0.25">
      <c r="V469" s="112"/>
    </row>
    <row r="470" spans="22:22" ht="15.75" customHeight="1" x14ac:dyDescent="0.25">
      <c r="V470" s="112"/>
    </row>
    <row r="471" spans="22:22" ht="15.75" customHeight="1" x14ac:dyDescent="0.25">
      <c r="V471" s="112"/>
    </row>
    <row r="472" spans="22:22" ht="15.75" customHeight="1" x14ac:dyDescent="0.25">
      <c r="V472" s="112"/>
    </row>
    <row r="473" spans="22:22" ht="15.75" customHeight="1" x14ac:dyDescent="0.25">
      <c r="V473" s="112"/>
    </row>
    <row r="474" spans="22:22" ht="15.75" customHeight="1" x14ac:dyDescent="0.25">
      <c r="V474" s="112"/>
    </row>
    <row r="475" spans="22:22" ht="15.75" customHeight="1" x14ac:dyDescent="0.25">
      <c r="V475" s="112"/>
    </row>
    <row r="476" spans="22:22" ht="15.75" customHeight="1" x14ac:dyDescent="0.25">
      <c r="V476" s="112"/>
    </row>
    <row r="477" spans="22:22" ht="15.75" customHeight="1" x14ac:dyDescent="0.25">
      <c r="V477" s="112"/>
    </row>
    <row r="478" spans="22:22" ht="15.75" customHeight="1" x14ac:dyDescent="0.25">
      <c r="V478" s="112"/>
    </row>
    <row r="479" spans="22:22" ht="15.75" customHeight="1" x14ac:dyDescent="0.25">
      <c r="V479" s="112"/>
    </row>
    <row r="480" spans="22:22" ht="15.75" customHeight="1" x14ac:dyDescent="0.25">
      <c r="V480" s="112"/>
    </row>
    <row r="481" spans="22:22" ht="15.75" customHeight="1" x14ac:dyDescent="0.25">
      <c r="V481" s="112"/>
    </row>
    <row r="482" spans="22:22" ht="15.75" customHeight="1" x14ac:dyDescent="0.25">
      <c r="V482" s="112"/>
    </row>
    <row r="483" spans="22:22" ht="15.75" customHeight="1" x14ac:dyDescent="0.25">
      <c r="V483" s="112"/>
    </row>
    <row r="484" spans="22:22" ht="15.75" customHeight="1" x14ac:dyDescent="0.25">
      <c r="V484" s="112"/>
    </row>
    <row r="485" spans="22:22" ht="15.75" customHeight="1" x14ac:dyDescent="0.25">
      <c r="V485" s="112"/>
    </row>
    <row r="486" spans="22:22" ht="15.75" customHeight="1" x14ac:dyDescent="0.25">
      <c r="V486" s="112"/>
    </row>
    <row r="487" spans="22:22" ht="15.75" customHeight="1" x14ac:dyDescent="0.25">
      <c r="V487" s="112"/>
    </row>
    <row r="488" spans="22:22" ht="15.75" customHeight="1" x14ac:dyDescent="0.25">
      <c r="V488" s="112"/>
    </row>
    <row r="489" spans="22:22" ht="15.75" customHeight="1" x14ac:dyDescent="0.25">
      <c r="V489" s="112"/>
    </row>
    <row r="490" spans="22:22" ht="15.75" customHeight="1" x14ac:dyDescent="0.25">
      <c r="V490" s="112"/>
    </row>
    <row r="491" spans="22:22" ht="15.75" customHeight="1" x14ac:dyDescent="0.25">
      <c r="V491" s="112"/>
    </row>
    <row r="492" spans="22:22" ht="15.75" customHeight="1" x14ac:dyDescent="0.25">
      <c r="V492" s="112"/>
    </row>
    <row r="493" spans="22:22" ht="15.75" customHeight="1" x14ac:dyDescent="0.25">
      <c r="V493" s="112"/>
    </row>
    <row r="494" spans="22:22" ht="15.75" customHeight="1" x14ac:dyDescent="0.25">
      <c r="V494" s="112"/>
    </row>
    <row r="495" spans="22:22" ht="15.75" customHeight="1" x14ac:dyDescent="0.25">
      <c r="V495" s="112"/>
    </row>
    <row r="496" spans="22:22" ht="15.75" customHeight="1" x14ac:dyDescent="0.25">
      <c r="V496" s="112"/>
    </row>
    <row r="497" spans="22:22" ht="15.75" customHeight="1" x14ac:dyDescent="0.25">
      <c r="V497" s="112"/>
    </row>
    <row r="498" spans="22:22" ht="15.75" customHeight="1" x14ac:dyDescent="0.25">
      <c r="V498" s="112"/>
    </row>
    <row r="499" spans="22:22" ht="15.75" customHeight="1" x14ac:dyDescent="0.25">
      <c r="V499" s="112"/>
    </row>
    <row r="500" spans="22:22" ht="15.75" customHeight="1" x14ac:dyDescent="0.25">
      <c r="V500" s="112"/>
    </row>
    <row r="501" spans="22:22" ht="15.75" customHeight="1" x14ac:dyDescent="0.25">
      <c r="V501" s="112"/>
    </row>
    <row r="502" spans="22:22" ht="15.75" customHeight="1" x14ac:dyDescent="0.25">
      <c r="V502" s="112"/>
    </row>
    <row r="503" spans="22:22" ht="15.75" customHeight="1" x14ac:dyDescent="0.25">
      <c r="V503" s="112"/>
    </row>
    <row r="504" spans="22:22" ht="15.75" customHeight="1" x14ac:dyDescent="0.25">
      <c r="V504" s="112"/>
    </row>
    <row r="505" spans="22:22" ht="15.75" customHeight="1" x14ac:dyDescent="0.25">
      <c r="V505" s="112"/>
    </row>
    <row r="506" spans="22:22" ht="15.75" customHeight="1" x14ac:dyDescent="0.25">
      <c r="V506" s="112"/>
    </row>
    <row r="507" spans="22:22" ht="15.75" customHeight="1" x14ac:dyDescent="0.25">
      <c r="V507" s="112"/>
    </row>
    <row r="508" spans="22:22" ht="15.75" customHeight="1" x14ac:dyDescent="0.25">
      <c r="V508" s="112"/>
    </row>
    <row r="509" spans="22:22" ht="15.75" customHeight="1" x14ac:dyDescent="0.25">
      <c r="V509" s="112"/>
    </row>
    <row r="510" spans="22:22" ht="15.75" customHeight="1" x14ac:dyDescent="0.25">
      <c r="V510" s="112"/>
    </row>
    <row r="511" spans="22:22" ht="15.75" customHeight="1" x14ac:dyDescent="0.25">
      <c r="V511" s="112"/>
    </row>
    <row r="512" spans="22:22" ht="15.75" customHeight="1" x14ac:dyDescent="0.25">
      <c r="V512" s="112"/>
    </row>
    <row r="513" spans="22:22" ht="15.75" customHeight="1" x14ac:dyDescent="0.25">
      <c r="V513" s="112"/>
    </row>
    <row r="514" spans="22:22" ht="15.75" customHeight="1" x14ac:dyDescent="0.25">
      <c r="V514" s="112"/>
    </row>
    <row r="515" spans="22:22" ht="15.75" customHeight="1" x14ac:dyDescent="0.25">
      <c r="V515" s="112"/>
    </row>
    <row r="516" spans="22:22" ht="15.75" customHeight="1" x14ac:dyDescent="0.25">
      <c r="V516" s="112"/>
    </row>
    <row r="517" spans="22:22" ht="15.75" customHeight="1" x14ac:dyDescent="0.25">
      <c r="V517" s="112"/>
    </row>
    <row r="518" spans="22:22" ht="15.75" customHeight="1" x14ac:dyDescent="0.25">
      <c r="V518" s="112"/>
    </row>
    <row r="519" spans="22:22" ht="15.75" customHeight="1" x14ac:dyDescent="0.25">
      <c r="V519" s="112"/>
    </row>
    <row r="520" spans="22:22" ht="15.75" customHeight="1" x14ac:dyDescent="0.25">
      <c r="V520" s="112"/>
    </row>
    <row r="521" spans="22:22" ht="15.75" customHeight="1" x14ac:dyDescent="0.25">
      <c r="V521" s="112"/>
    </row>
    <row r="522" spans="22:22" ht="15.75" customHeight="1" x14ac:dyDescent="0.25">
      <c r="V522" s="112"/>
    </row>
    <row r="523" spans="22:22" ht="15.75" customHeight="1" x14ac:dyDescent="0.25">
      <c r="V523" s="112"/>
    </row>
    <row r="524" spans="22:22" ht="15.75" customHeight="1" x14ac:dyDescent="0.25">
      <c r="V524" s="112"/>
    </row>
    <row r="525" spans="22:22" ht="15.75" customHeight="1" x14ac:dyDescent="0.25">
      <c r="V525" s="112"/>
    </row>
    <row r="526" spans="22:22" ht="15.75" customHeight="1" x14ac:dyDescent="0.25">
      <c r="V526" s="112"/>
    </row>
    <row r="527" spans="22:22" ht="15.75" customHeight="1" x14ac:dyDescent="0.25">
      <c r="V527" s="112"/>
    </row>
    <row r="528" spans="22:22" ht="15.75" customHeight="1" x14ac:dyDescent="0.25">
      <c r="V528" s="112"/>
    </row>
    <row r="529" spans="22:22" ht="15.75" customHeight="1" x14ac:dyDescent="0.25">
      <c r="V529" s="112"/>
    </row>
    <row r="530" spans="22:22" ht="15.75" customHeight="1" x14ac:dyDescent="0.25">
      <c r="V530" s="112"/>
    </row>
    <row r="531" spans="22:22" ht="15.75" customHeight="1" x14ac:dyDescent="0.25">
      <c r="V531" s="112"/>
    </row>
    <row r="532" spans="22:22" ht="15.75" customHeight="1" x14ac:dyDescent="0.25">
      <c r="V532" s="112"/>
    </row>
    <row r="533" spans="22:22" ht="15.75" customHeight="1" x14ac:dyDescent="0.25">
      <c r="V533" s="112"/>
    </row>
    <row r="534" spans="22:22" ht="15.75" customHeight="1" x14ac:dyDescent="0.25">
      <c r="V534" s="112"/>
    </row>
    <row r="535" spans="22:22" ht="15.75" customHeight="1" x14ac:dyDescent="0.25">
      <c r="V535" s="112"/>
    </row>
    <row r="536" spans="22:22" ht="15.75" customHeight="1" x14ac:dyDescent="0.25">
      <c r="V536" s="112"/>
    </row>
    <row r="537" spans="22:22" ht="15.75" customHeight="1" x14ac:dyDescent="0.25">
      <c r="V537" s="112"/>
    </row>
    <row r="538" spans="22:22" ht="15.75" customHeight="1" x14ac:dyDescent="0.25">
      <c r="V538" s="112"/>
    </row>
    <row r="539" spans="22:22" ht="15.75" customHeight="1" x14ac:dyDescent="0.25">
      <c r="V539" s="112"/>
    </row>
    <row r="540" spans="22:22" ht="15.75" customHeight="1" x14ac:dyDescent="0.25">
      <c r="V540" s="112"/>
    </row>
    <row r="541" spans="22:22" ht="15.75" customHeight="1" x14ac:dyDescent="0.25">
      <c r="V541" s="112"/>
    </row>
    <row r="542" spans="22:22" ht="15.75" customHeight="1" x14ac:dyDescent="0.25">
      <c r="V542" s="112"/>
    </row>
    <row r="543" spans="22:22" ht="15.75" customHeight="1" x14ac:dyDescent="0.25">
      <c r="V543" s="112"/>
    </row>
    <row r="544" spans="22:22" ht="15.75" customHeight="1" x14ac:dyDescent="0.25">
      <c r="V544" s="112"/>
    </row>
    <row r="545" spans="22:22" ht="15.75" customHeight="1" x14ac:dyDescent="0.25">
      <c r="V545" s="112"/>
    </row>
    <row r="546" spans="22:22" ht="15.75" customHeight="1" x14ac:dyDescent="0.25">
      <c r="V546" s="112"/>
    </row>
    <row r="547" spans="22:22" ht="15.75" customHeight="1" x14ac:dyDescent="0.25">
      <c r="V547" s="112"/>
    </row>
    <row r="548" spans="22:22" ht="15.75" customHeight="1" x14ac:dyDescent="0.25">
      <c r="V548" s="112"/>
    </row>
    <row r="549" spans="22:22" ht="15.75" customHeight="1" x14ac:dyDescent="0.25">
      <c r="V549" s="112"/>
    </row>
    <row r="550" spans="22:22" ht="15.75" customHeight="1" x14ac:dyDescent="0.25">
      <c r="V550" s="112"/>
    </row>
    <row r="551" spans="22:22" ht="15.75" customHeight="1" x14ac:dyDescent="0.25">
      <c r="V551" s="112"/>
    </row>
    <row r="552" spans="22:22" ht="15.75" customHeight="1" x14ac:dyDescent="0.25">
      <c r="V552" s="112"/>
    </row>
    <row r="553" spans="22:22" ht="15.75" customHeight="1" x14ac:dyDescent="0.25">
      <c r="V553" s="112"/>
    </row>
    <row r="554" spans="22:22" ht="15.75" customHeight="1" x14ac:dyDescent="0.25">
      <c r="V554" s="112"/>
    </row>
    <row r="555" spans="22:22" ht="15.75" customHeight="1" x14ac:dyDescent="0.25">
      <c r="V555" s="112"/>
    </row>
    <row r="556" spans="22:22" ht="15.75" customHeight="1" x14ac:dyDescent="0.25">
      <c r="V556" s="112"/>
    </row>
    <row r="557" spans="22:22" ht="15.75" customHeight="1" x14ac:dyDescent="0.25">
      <c r="V557" s="112"/>
    </row>
    <row r="558" spans="22:22" ht="15.75" customHeight="1" x14ac:dyDescent="0.25">
      <c r="V558" s="112"/>
    </row>
    <row r="559" spans="22:22" ht="15.75" customHeight="1" x14ac:dyDescent="0.25">
      <c r="V559" s="112"/>
    </row>
    <row r="560" spans="22:22" ht="15.75" customHeight="1" x14ac:dyDescent="0.25">
      <c r="V560" s="112"/>
    </row>
    <row r="561" spans="22:22" ht="15.75" customHeight="1" x14ac:dyDescent="0.25">
      <c r="V561" s="112"/>
    </row>
    <row r="562" spans="22:22" ht="15.75" customHeight="1" x14ac:dyDescent="0.25">
      <c r="V562" s="112"/>
    </row>
    <row r="563" spans="22:22" ht="15.75" customHeight="1" x14ac:dyDescent="0.25">
      <c r="V563" s="112"/>
    </row>
    <row r="564" spans="22:22" ht="15.75" customHeight="1" x14ac:dyDescent="0.25">
      <c r="V564" s="112"/>
    </row>
    <row r="565" spans="22:22" ht="15.75" customHeight="1" x14ac:dyDescent="0.25">
      <c r="V565" s="112"/>
    </row>
    <row r="566" spans="22:22" ht="15.75" customHeight="1" x14ac:dyDescent="0.25">
      <c r="V566" s="112"/>
    </row>
    <row r="567" spans="22:22" ht="15.75" customHeight="1" x14ac:dyDescent="0.25">
      <c r="V567" s="112"/>
    </row>
    <row r="568" spans="22:22" ht="15.75" customHeight="1" x14ac:dyDescent="0.25">
      <c r="V568" s="112"/>
    </row>
    <row r="569" spans="22:22" ht="15.75" customHeight="1" x14ac:dyDescent="0.25">
      <c r="V569" s="112"/>
    </row>
    <row r="570" spans="22:22" ht="15.75" customHeight="1" x14ac:dyDescent="0.25">
      <c r="V570" s="112"/>
    </row>
    <row r="571" spans="22:22" ht="15.75" customHeight="1" x14ac:dyDescent="0.25">
      <c r="V571" s="112"/>
    </row>
    <row r="572" spans="22:22" ht="15.75" customHeight="1" x14ac:dyDescent="0.25">
      <c r="V572" s="112"/>
    </row>
    <row r="573" spans="22:22" ht="15.75" customHeight="1" x14ac:dyDescent="0.25">
      <c r="V573" s="112"/>
    </row>
    <row r="574" spans="22:22" ht="15.75" customHeight="1" x14ac:dyDescent="0.25">
      <c r="V574" s="112"/>
    </row>
    <row r="575" spans="22:22" ht="15.75" customHeight="1" x14ac:dyDescent="0.25">
      <c r="V575" s="112"/>
    </row>
    <row r="576" spans="22:22" ht="15.75" customHeight="1" x14ac:dyDescent="0.25">
      <c r="V576" s="112"/>
    </row>
    <row r="577" spans="22:22" ht="15.75" customHeight="1" x14ac:dyDescent="0.25">
      <c r="V577" s="112"/>
    </row>
    <row r="578" spans="22:22" ht="15.75" customHeight="1" x14ac:dyDescent="0.25">
      <c r="V578" s="112"/>
    </row>
    <row r="579" spans="22:22" ht="15.75" customHeight="1" x14ac:dyDescent="0.25">
      <c r="V579" s="112"/>
    </row>
    <row r="580" spans="22:22" ht="15.75" customHeight="1" x14ac:dyDescent="0.25">
      <c r="V580" s="112"/>
    </row>
    <row r="581" spans="22:22" ht="15.75" customHeight="1" x14ac:dyDescent="0.25">
      <c r="V581" s="112"/>
    </row>
    <row r="582" spans="22:22" ht="15.75" customHeight="1" x14ac:dyDescent="0.25">
      <c r="V582" s="112"/>
    </row>
    <row r="583" spans="22:22" ht="15.75" customHeight="1" x14ac:dyDescent="0.25">
      <c r="V583" s="112"/>
    </row>
    <row r="584" spans="22:22" ht="15.75" customHeight="1" x14ac:dyDescent="0.25">
      <c r="V584" s="112"/>
    </row>
    <row r="585" spans="22:22" ht="15.75" customHeight="1" x14ac:dyDescent="0.25">
      <c r="V585" s="112"/>
    </row>
    <row r="586" spans="22:22" ht="15.75" customHeight="1" x14ac:dyDescent="0.25">
      <c r="V586" s="112"/>
    </row>
    <row r="587" spans="22:22" ht="15.75" customHeight="1" x14ac:dyDescent="0.25">
      <c r="V587" s="112"/>
    </row>
    <row r="588" spans="22:22" ht="15.75" customHeight="1" x14ac:dyDescent="0.25">
      <c r="V588" s="112"/>
    </row>
    <row r="589" spans="22:22" ht="15.75" customHeight="1" x14ac:dyDescent="0.25">
      <c r="V589" s="112"/>
    </row>
    <row r="590" spans="22:22" ht="15.75" customHeight="1" x14ac:dyDescent="0.25">
      <c r="V590" s="112"/>
    </row>
    <row r="591" spans="22:22" ht="15.75" customHeight="1" x14ac:dyDescent="0.25">
      <c r="V591" s="112"/>
    </row>
    <row r="592" spans="22:22" ht="15.75" customHeight="1" x14ac:dyDescent="0.25">
      <c r="V592" s="112"/>
    </row>
    <row r="593" spans="22:22" ht="15.75" customHeight="1" x14ac:dyDescent="0.25">
      <c r="V593" s="112"/>
    </row>
    <row r="594" spans="22:22" ht="15.75" customHeight="1" x14ac:dyDescent="0.25">
      <c r="V594" s="112"/>
    </row>
    <row r="595" spans="22:22" ht="15.75" customHeight="1" x14ac:dyDescent="0.25">
      <c r="V595" s="112"/>
    </row>
    <row r="596" spans="22:22" ht="15.75" customHeight="1" x14ac:dyDescent="0.25">
      <c r="V596" s="112"/>
    </row>
    <row r="597" spans="22:22" ht="15.75" customHeight="1" x14ac:dyDescent="0.25">
      <c r="V597" s="112"/>
    </row>
    <row r="598" spans="22:22" ht="15.75" customHeight="1" x14ac:dyDescent="0.25">
      <c r="V598" s="112"/>
    </row>
    <row r="599" spans="22:22" ht="15.75" customHeight="1" x14ac:dyDescent="0.25">
      <c r="V599" s="112"/>
    </row>
    <row r="600" spans="22:22" ht="15.75" customHeight="1" x14ac:dyDescent="0.25">
      <c r="V600" s="112"/>
    </row>
    <row r="601" spans="22:22" ht="15.75" customHeight="1" x14ac:dyDescent="0.25">
      <c r="V601" s="112"/>
    </row>
    <row r="602" spans="22:22" ht="15.75" customHeight="1" x14ac:dyDescent="0.25">
      <c r="V602" s="112"/>
    </row>
    <row r="603" spans="22:22" ht="15.75" customHeight="1" x14ac:dyDescent="0.25">
      <c r="V603" s="112"/>
    </row>
    <row r="604" spans="22:22" ht="15.75" customHeight="1" x14ac:dyDescent="0.25">
      <c r="V604" s="112"/>
    </row>
    <row r="605" spans="22:22" ht="15.75" customHeight="1" x14ac:dyDescent="0.25">
      <c r="V605" s="112"/>
    </row>
    <row r="606" spans="22:22" ht="15.75" customHeight="1" x14ac:dyDescent="0.25">
      <c r="V606" s="112"/>
    </row>
    <row r="607" spans="22:22" ht="15.75" customHeight="1" x14ac:dyDescent="0.25">
      <c r="V607" s="112"/>
    </row>
    <row r="608" spans="22:22" ht="15.75" customHeight="1" x14ac:dyDescent="0.25">
      <c r="V608" s="112"/>
    </row>
    <row r="609" spans="22:22" ht="15.75" customHeight="1" x14ac:dyDescent="0.25">
      <c r="V609" s="112"/>
    </row>
    <row r="610" spans="22:22" ht="15.75" customHeight="1" x14ac:dyDescent="0.25">
      <c r="V610" s="112"/>
    </row>
    <row r="611" spans="22:22" ht="15.75" customHeight="1" x14ac:dyDescent="0.25">
      <c r="V611" s="112"/>
    </row>
    <row r="612" spans="22:22" ht="15.75" customHeight="1" x14ac:dyDescent="0.25">
      <c r="V612" s="112"/>
    </row>
    <row r="613" spans="22:22" ht="15.75" customHeight="1" x14ac:dyDescent="0.25">
      <c r="V613" s="112"/>
    </row>
    <row r="614" spans="22:22" ht="15.75" customHeight="1" x14ac:dyDescent="0.25">
      <c r="V614" s="112"/>
    </row>
    <row r="615" spans="22:22" ht="15.75" customHeight="1" x14ac:dyDescent="0.25">
      <c r="V615" s="112"/>
    </row>
    <row r="616" spans="22:22" ht="15.75" customHeight="1" x14ac:dyDescent="0.25">
      <c r="V616" s="112"/>
    </row>
    <row r="617" spans="22:22" ht="15.75" customHeight="1" x14ac:dyDescent="0.25">
      <c r="V617" s="112"/>
    </row>
    <row r="618" spans="22:22" ht="15.75" customHeight="1" x14ac:dyDescent="0.25">
      <c r="V618" s="112"/>
    </row>
    <row r="619" spans="22:22" ht="15.75" customHeight="1" x14ac:dyDescent="0.25">
      <c r="V619" s="112"/>
    </row>
    <row r="620" spans="22:22" ht="15.75" customHeight="1" x14ac:dyDescent="0.25">
      <c r="V620" s="112"/>
    </row>
    <row r="621" spans="22:22" ht="15.75" customHeight="1" x14ac:dyDescent="0.25">
      <c r="V621" s="112"/>
    </row>
    <row r="622" spans="22:22" ht="15.75" customHeight="1" x14ac:dyDescent="0.25">
      <c r="V622" s="112"/>
    </row>
    <row r="623" spans="22:22" ht="15.75" customHeight="1" x14ac:dyDescent="0.25">
      <c r="V623" s="112"/>
    </row>
    <row r="624" spans="22:22" ht="15.75" customHeight="1" x14ac:dyDescent="0.25">
      <c r="V624" s="112"/>
    </row>
    <row r="625" spans="22:22" ht="15.75" customHeight="1" x14ac:dyDescent="0.25">
      <c r="V625" s="112"/>
    </row>
    <row r="626" spans="22:22" ht="15.75" customHeight="1" x14ac:dyDescent="0.25">
      <c r="V626" s="112"/>
    </row>
    <row r="627" spans="22:22" ht="15.75" customHeight="1" x14ac:dyDescent="0.25">
      <c r="V627" s="112"/>
    </row>
    <row r="628" spans="22:22" ht="15.75" customHeight="1" x14ac:dyDescent="0.25">
      <c r="V628" s="112"/>
    </row>
    <row r="629" spans="22:22" ht="15.75" customHeight="1" x14ac:dyDescent="0.25">
      <c r="V629" s="112"/>
    </row>
    <row r="630" spans="22:22" ht="15.75" customHeight="1" x14ac:dyDescent="0.25">
      <c r="V630" s="112"/>
    </row>
    <row r="631" spans="22:22" ht="15.75" customHeight="1" x14ac:dyDescent="0.25">
      <c r="V631" s="112"/>
    </row>
    <row r="632" spans="22:22" ht="15.75" customHeight="1" x14ac:dyDescent="0.25">
      <c r="V632" s="112"/>
    </row>
    <row r="633" spans="22:22" ht="15.75" customHeight="1" x14ac:dyDescent="0.25">
      <c r="V633" s="112"/>
    </row>
    <row r="634" spans="22:22" ht="15.75" customHeight="1" x14ac:dyDescent="0.25">
      <c r="V634" s="112"/>
    </row>
    <row r="635" spans="22:22" ht="15.75" customHeight="1" x14ac:dyDescent="0.25">
      <c r="V635" s="112"/>
    </row>
    <row r="636" spans="22:22" ht="15.75" customHeight="1" x14ac:dyDescent="0.25">
      <c r="V636" s="112"/>
    </row>
    <row r="637" spans="22:22" ht="15.75" customHeight="1" x14ac:dyDescent="0.25">
      <c r="V637" s="112"/>
    </row>
    <row r="638" spans="22:22" ht="15.75" customHeight="1" x14ac:dyDescent="0.25">
      <c r="V638" s="112"/>
    </row>
    <row r="639" spans="22:22" ht="15.75" customHeight="1" x14ac:dyDescent="0.25">
      <c r="V639" s="112"/>
    </row>
    <row r="640" spans="22:22" ht="15.75" customHeight="1" x14ac:dyDescent="0.25">
      <c r="V640" s="112"/>
    </row>
    <row r="641" spans="22:22" ht="15.75" customHeight="1" x14ac:dyDescent="0.25">
      <c r="V641" s="112"/>
    </row>
    <row r="642" spans="22:22" ht="15.75" customHeight="1" x14ac:dyDescent="0.25">
      <c r="V642" s="112"/>
    </row>
    <row r="643" spans="22:22" ht="15.75" customHeight="1" x14ac:dyDescent="0.25">
      <c r="V643" s="112"/>
    </row>
    <row r="644" spans="22:22" ht="15.75" customHeight="1" x14ac:dyDescent="0.25">
      <c r="V644" s="112"/>
    </row>
    <row r="645" spans="22:22" ht="15.75" customHeight="1" x14ac:dyDescent="0.25">
      <c r="V645" s="112"/>
    </row>
    <row r="646" spans="22:22" ht="15.75" customHeight="1" x14ac:dyDescent="0.25">
      <c r="V646" s="112"/>
    </row>
    <row r="647" spans="22:22" ht="15.75" customHeight="1" x14ac:dyDescent="0.25">
      <c r="V647" s="112"/>
    </row>
    <row r="648" spans="22:22" ht="15.75" customHeight="1" x14ac:dyDescent="0.25">
      <c r="V648" s="112"/>
    </row>
    <row r="649" spans="22:22" ht="15.75" customHeight="1" x14ac:dyDescent="0.25">
      <c r="V649" s="112"/>
    </row>
    <row r="650" spans="22:22" ht="15.75" customHeight="1" x14ac:dyDescent="0.25">
      <c r="V650" s="112"/>
    </row>
    <row r="651" spans="22:22" ht="15.75" customHeight="1" x14ac:dyDescent="0.25">
      <c r="V651" s="112"/>
    </row>
    <row r="652" spans="22:22" ht="15.75" customHeight="1" x14ac:dyDescent="0.25">
      <c r="V652" s="112"/>
    </row>
    <row r="653" spans="22:22" ht="15.75" customHeight="1" x14ac:dyDescent="0.25">
      <c r="V653" s="112"/>
    </row>
    <row r="654" spans="22:22" ht="15.75" customHeight="1" x14ac:dyDescent="0.25">
      <c r="V654" s="112"/>
    </row>
    <row r="655" spans="22:22" ht="15.75" customHeight="1" x14ac:dyDescent="0.25">
      <c r="V655" s="112"/>
    </row>
    <row r="656" spans="22:22" ht="15.75" customHeight="1" x14ac:dyDescent="0.25">
      <c r="V656" s="112"/>
    </row>
    <row r="657" spans="22:22" ht="15.75" customHeight="1" x14ac:dyDescent="0.25">
      <c r="V657" s="112"/>
    </row>
    <row r="658" spans="22:22" ht="15.75" customHeight="1" x14ac:dyDescent="0.25">
      <c r="V658" s="112"/>
    </row>
    <row r="659" spans="22:22" ht="15.75" customHeight="1" x14ac:dyDescent="0.25">
      <c r="V659" s="112"/>
    </row>
    <row r="660" spans="22:22" ht="15.75" customHeight="1" x14ac:dyDescent="0.25">
      <c r="V660" s="112"/>
    </row>
    <row r="661" spans="22:22" ht="15.75" customHeight="1" x14ac:dyDescent="0.25">
      <c r="V661" s="112"/>
    </row>
    <row r="662" spans="22:22" ht="15.75" customHeight="1" x14ac:dyDescent="0.25">
      <c r="V662" s="112"/>
    </row>
    <row r="663" spans="22:22" ht="15.75" customHeight="1" x14ac:dyDescent="0.25">
      <c r="V663" s="112"/>
    </row>
    <row r="664" spans="22:22" ht="15.75" customHeight="1" x14ac:dyDescent="0.25">
      <c r="V664" s="112"/>
    </row>
    <row r="665" spans="22:22" ht="15.75" customHeight="1" x14ac:dyDescent="0.25">
      <c r="V665" s="112"/>
    </row>
    <row r="666" spans="22:22" ht="15.75" customHeight="1" x14ac:dyDescent="0.25">
      <c r="V666" s="112"/>
    </row>
    <row r="667" spans="22:22" ht="15.75" customHeight="1" x14ac:dyDescent="0.25">
      <c r="V667" s="112"/>
    </row>
    <row r="668" spans="22:22" ht="15.75" customHeight="1" x14ac:dyDescent="0.25">
      <c r="V668" s="112"/>
    </row>
    <row r="669" spans="22:22" ht="15.75" customHeight="1" x14ac:dyDescent="0.25">
      <c r="V669" s="112"/>
    </row>
    <row r="670" spans="22:22" ht="15.75" customHeight="1" x14ac:dyDescent="0.25">
      <c r="V670" s="112"/>
    </row>
    <row r="671" spans="22:22" ht="15.75" customHeight="1" x14ac:dyDescent="0.25">
      <c r="V671" s="112"/>
    </row>
    <row r="672" spans="22:22" ht="15.75" customHeight="1" x14ac:dyDescent="0.25">
      <c r="V672" s="112"/>
    </row>
    <row r="673" spans="22:22" ht="15.75" customHeight="1" x14ac:dyDescent="0.25">
      <c r="V673" s="112"/>
    </row>
    <row r="674" spans="22:22" ht="15.75" customHeight="1" x14ac:dyDescent="0.25">
      <c r="V674" s="112"/>
    </row>
    <row r="675" spans="22:22" ht="15.75" customHeight="1" x14ac:dyDescent="0.25">
      <c r="V675" s="112"/>
    </row>
    <row r="676" spans="22:22" ht="15.75" customHeight="1" x14ac:dyDescent="0.25">
      <c r="V676" s="112"/>
    </row>
    <row r="677" spans="22:22" ht="15.75" customHeight="1" x14ac:dyDescent="0.25">
      <c r="V677" s="112"/>
    </row>
    <row r="678" spans="22:22" ht="15.75" customHeight="1" x14ac:dyDescent="0.25">
      <c r="V678" s="112"/>
    </row>
    <row r="679" spans="22:22" ht="15.75" customHeight="1" x14ac:dyDescent="0.25">
      <c r="V679" s="112"/>
    </row>
    <row r="680" spans="22:22" ht="15.75" customHeight="1" x14ac:dyDescent="0.25">
      <c r="V680" s="112"/>
    </row>
    <row r="681" spans="22:22" ht="15.75" customHeight="1" x14ac:dyDescent="0.25">
      <c r="V681" s="112"/>
    </row>
    <row r="682" spans="22:22" ht="15.75" customHeight="1" x14ac:dyDescent="0.25">
      <c r="V682" s="112"/>
    </row>
    <row r="683" spans="22:22" ht="15.75" customHeight="1" x14ac:dyDescent="0.25">
      <c r="V683" s="112"/>
    </row>
    <row r="684" spans="22:22" ht="15.75" customHeight="1" x14ac:dyDescent="0.25">
      <c r="V684" s="112"/>
    </row>
    <row r="685" spans="22:22" ht="15.75" customHeight="1" x14ac:dyDescent="0.25">
      <c r="V685" s="112"/>
    </row>
    <row r="686" spans="22:22" ht="15.75" customHeight="1" x14ac:dyDescent="0.25">
      <c r="V686" s="112"/>
    </row>
    <row r="687" spans="22:22" ht="15.75" customHeight="1" x14ac:dyDescent="0.25">
      <c r="V687" s="112"/>
    </row>
    <row r="688" spans="22:22" ht="15.75" customHeight="1" x14ac:dyDescent="0.25">
      <c r="V688" s="112"/>
    </row>
    <row r="689" spans="22:22" ht="15.75" customHeight="1" x14ac:dyDescent="0.25">
      <c r="V689" s="112"/>
    </row>
    <row r="690" spans="22:22" ht="15.75" customHeight="1" x14ac:dyDescent="0.25">
      <c r="V690" s="112"/>
    </row>
    <row r="691" spans="22:22" ht="15.75" customHeight="1" x14ac:dyDescent="0.25">
      <c r="V691" s="112"/>
    </row>
    <row r="692" spans="22:22" ht="15.75" customHeight="1" x14ac:dyDescent="0.25">
      <c r="V692" s="112"/>
    </row>
    <row r="693" spans="22:22" ht="15.75" customHeight="1" x14ac:dyDescent="0.25">
      <c r="V693" s="112"/>
    </row>
    <row r="694" spans="22:22" ht="15.75" customHeight="1" x14ac:dyDescent="0.25">
      <c r="V694" s="112"/>
    </row>
    <row r="695" spans="22:22" ht="15.75" customHeight="1" x14ac:dyDescent="0.25">
      <c r="V695" s="112"/>
    </row>
    <row r="696" spans="22:22" ht="15.75" customHeight="1" x14ac:dyDescent="0.25">
      <c r="V696" s="112"/>
    </row>
    <row r="697" spans="22:22" ht="15.75" customHeight="1" x14ac:dyDescent="0.25">
      <c r="V697" s="112"/>
    </row>
    <row r="698" spans="22:22" ht="15.75" customHeight="1" x14ac:dyDescent="0.25">
      <c r="V698" s="112"/>
    </row>
    <row r="699" spans="22:22" ht="15.75" customHeight="1" x14ac:dyDescent="0.25">
      <c r="V699" s="112"/>
    </row>
    <row r="700" spans="22:22" ht="15.75" customHeight="1" x14ac:dyDescent="0.25">
      <c r="V700" s="112"/>
    </row>
    <row r="701" spans="22:22" ht="15.75" customHeight="1" x14ac:dyDescent="0.25">
      <c r="V701" s="112"/>
    </row>
    <row r="702" spans="22:22" ht="15.75" customHeight="1" x14ac:dyDescent="0.25">
      <c r="V702" s="112"/>
    </row>
    <row r="703" spans="22:22" ht="15.75" customHeight="1" x14ac:dyDescent="0.25">
      <c r="V703" s="112"/>
    </row>
    <row r="704" spans="22:22" ht="15.75" customHeight="1" x14ac:dyDescent="0.25">
      <c r="V704" s="112"/>
    </row>
    <row r="705" spans="22:22" ht="15.75" customHeight="1" x14ac:dyDescent="0.25">
      <c r="V705" s="112"/>
    </row>
    <row r="706" spans="22:22" ht="15.75" customHeight="1" x14ac:dyDescent="0.25">
      <c r="V706" s="112"/>
    </row>
    <row r="707" spans="22:22" ht="15.75" customHeight="1" x14ac:dyDescent="0.25">
      <c r="V707" s="112"/>
    </row>
    <row r="708" spans="22:22" ht="15.75" customHeight="1" x14ac:dyDescent="0.25">
      <c r="V708" s="112"/>
    </row>
    <row r="709" spans="22:22" ht="15.75" customHeight="1" x14ac:dyDescent="0.25">
      <c r="V709" s="112"/>
    </row>
    <row r="710" spans="22:22" ht="15.75" customHeight="1" x14ac:dyDescent="0.25">
      <c r="V710" s="112"/>
    </row>
    <row r="711" spans="22:22" ht="15.75" customHeight="1" x14ac:dyDescent="0.25">
      <c r="V711" s="112"/>
    </row>
    <row r="712" spans="22:22" ht="15.75" customHeight="1" x14ac:dyDescent="0.25">
      <c r="V712" s="112"/>
    </row>
    <row r="713" spans="22:22" ht="15.75" customHeight="1" x14ac:dyDescent="0.25">
      <c r="V713" s="112"/>
    </row>
    <row r="714" spans="22:22" ht="15.75" customHeight="1" x14ac:dyDescent="0.25">
      <c r="V714" s="112"/>
    </row>
    <row r="715" spans="22:22" ht="15.75" customHeight="1" x14ac:dyDescent="0.25">
      <c r="V715" s="112"/>
    </row>
    <row r="716" spans="22:22" ht="15.75" customHeight="1" x14ac:dyDescent="0.25">
      <c r="V716" s="112"/>
    </row>
    <row r="717" spans="22:22" ht="15.75" customHeight="1" x14ac:dyDescent="0.25">
      <c r="V717" s="112"/>
    </row>
    <row r="718" spans="22:22" ht="15.75" customHeight="1" x14ac:dyDescent="0.25">
      <c r="V718" s="112"/>
    </row>
    <row r="719" spans="22:22" ht="15.75" customHeight="1" x14ac:dyDescent="0.25">
      <c r="V719" s="112"/>
    </row>
    <row r="720" spans="22:22" ht="15.75" customHeight="1" x14ac:dyDescent="0.25">
      <c r="V720" s="112"/>
    </row>
    <row r="721" spans="22:22" ht="15.75" customHeight="1" x14ac:dyDescent="0.25">
      <c r="V721" s="112"/>
    </row>
    <row r="722" spans="22:22" ht="15.75" customHeight="1" x14ac:dyDescent="0.25">
      <c r="V722" s="112"/>
    </row>
    <row r="723" spans="22:22" ht="15.75" customHeight="1" x14ac:dyDescent="0.25">
      <c r="V723" s="112"/>
    </row>
    <row r="724" spans="22:22" ht="15.75" customHeight="1" x14ac:dyDescent="0.25">
      <c r="V724" s="112"/>
    </row>
    <row r="725" spans="22:22" ht="15.75" customHeight="1" x14ac:dyDescent="0.25">
      <c r="V725" s="112"/>
    </row>
    <row r="726" spans="22:22" ht="15.75" customHeight="1" x14ac:dyDescent="0.25">
      <c r="V726" s="112"/>
    </row>
    <row r="727" spans="22:22" ht="15.75" customHeight="1" x14ac:dyDescent="0.25">
      <c r="V727" s="112"/>
    </row>
    <row r="728" spans="22:22" ht="15.75" customHeight="1" x14ac:dyDescent="0.25">
      <c r="V728" s="112"/>
    </row>
    <row r="729" spans="22:22" ht="15.75" customHeight="1" x14ac:dyDescent="0.25">
      <c r="V729" s="112"/>
    </row>
    <row r="730" spans="22:22" ht="15.75" customHeight="1" x14ac:dyDescent="0.25">
      <c r="V730" s="112"/>
    </row>
    <row r="731" spans="22:22" ht="15.75" customHeight="1" x14ac:dyDescent="0.25">
      <c r="V731" s="112"/>
    </row>
    <row r="732" spans="22:22" ht="15.75" customHeight="1" x14ac:dyDescent="0.25">
      <c r="V732" s="112"/>
    </row>
    <row r="733" spans="22:22" ht="15.75" customHeight="1" x14ac:dyDescent="0.25">
      <c r="V733" s="112"/>
    </row>
    <row r="734" spans="22:22" ht="15.75" customHeight="1" x14ac:dyDescent="0.25">
      <c r="V734" s="112"/>
    </row>
    <row r="735" spans="22:22" ht="15.75" customHeight="1" x14ac:dyDescent="0.25">
      <c r="V735" s="112"/>
    </row>
    <row r="736" spans="22:22" ht="15.75" customHeight="1" x14ac:dyDescent="0.25">
      <c r="V736" s="112"/>
    </row>
    <row r="737" spans="22:22" ht="15.75" customHeight="1" x14ac:dyDescent="0.25">
      <c r="V737" s="112"/>
    </row>
    <row r="738" spans="22:22" ht="15.75" customHeight="1" x14ac:dyDescent="0.25">
      <c r="V738" s="112"/>
    </row>
    <row r="739" spans="22:22" ht="15.75" customHeight="1" x14ac:dyDescent="0.25">
      <c r="V739" s="112"/>
    </row>
    <row r="740" spans="22:22" ht="15.75" customHeight="1" x14ac:dyDescent="0.25">
      <c r="V740" s="112"/>
    </row>
    <row r="741" spans="22:22" ht="15.75" customHeight="1" x14ac:dyDescent="0.25">
      <c r="V741" s="112"/>
    </row>
    <row r="742" spans="22:22" ht="15.75" customHeight="1" x14ac:dyDescent="0.25">
      <c r="V742" s="112"/>
    </row>
    <row r="743" spans="22:22" ht="15.75" customHeight="1" x14ac:dyDescent="0.25">
      <c r="V743" s="112"/>
    </row>
    <row r="744" spans="22:22" ht="15.75" customHeight="1" x14ac:dyDescent="0.25">
      <c r="V744" s="112"/>
    </row>
    <row r="745" spans="22:22" ht="15.75" customHeight="1" x14ac:dyDescent="0.25">
      <c r="V745" s="112"/>
    </row>
    <row r="746" spans="22:22" ht="15.75" customHeight="1" x14ac:dyDescent="0.25">
      <c r="V746" s="112"/>
    </row>
    <row r="747" spans="22:22" ht="15.75" customHeight="1" x14ac:dyDescent="0.25">
      <c r="V747" s="112"/>
    </row>
    <row r="748" spans="22:22" ht="15.75" customHeight="1" x14ac:dyDescent="0.25">
      <c r="V748" s="112"/>
    </row>
    <row r="749" spans="22:22" ht="15.75" customHeight="1" x14ac:dyDescent="0.25">
      <c r="V749" s="112"/>
    </row>
    <row r="750" spans="22:22" ht="15.75" customHeight="1" x14ac:dyDescent="0.25">
      <c r="V750" s="112"/>
    </row>
    <row r="751" spans="22:22" ht="15.75" customHeight="1" x14ac:dyDescent="0.25">
      <c r="V751" s="112"/>
    </row>
    <row r="752" spans="22:22" ht="15.75" customHeight="1" x14ac:dyDescent="0.25">
      <c r="V752" s="112"/>
    </row>
    <row r="753" spans="22:22" ht="15.75" customHeight="1" x14ac:dyDescent="0.25">
      <c r="V753" s="112"/>
    </row>
    <row r="754" spans="22:22" ht="15.75" customHeight="1" x14ac:dyDescent="0.25">
      <c r="V754" s="112"/>
    </row>
    <row r="755" spans="22:22" ht="15.75" customHeight="1" x14ac:dyDescent="0.25">
      <c r="V755" s="112"/>
    </row>
    <row r="756" spans="22:22" ht="15.75" customHeight="1" x14ac:dyDescent="0.25">
      <c r="V756" s="112"/>
    </row>
    <row r="757" spans="22:22" ht="15.75" customHeight="1" x14ac:dyDescent="0.25">
      <c r="V757" s="112"/>
    </row>
    <row r="758" spans="22:22" ht="15.75" customHeight="1" x14ac:dyDescent="0.25">
      <c r="V758" s="112"/>
    </row>
    <row r="759" spans="22:22" ht="15.75" customHeight="1" x14ac:dyDescent="0.25">
      <c r="V759" s="112"/>
    </row>
    <row r="760" spans="22:22" ht="15.75" customHeight="1" x14ac:dyDescent="0.25">
      <c r="V760" s="112"/>
    </row>
    <row r="761" spans="22:22" ht="15.75" customHeight="1" x14ac:dyDescent="0.25">
      <c r="V761" s="112"/>
    </row>
    <row r="762" spans="22:22" ht="15.75" customHeight="1" x14ac:dyDescent="0.25">
      <c r="V762" s="112"/>
    </row>
    <row r="763" spans="22:22" ht="15.75" customHeight="1" x14ac:dyDescent="0.25">
      <c r="V763" s="112"/>
    </row>
    <row r="764" spans="22:22" ht="15.75" customHeight="1" x14ac:dyDescent="0.25">
      <c r="V764" s="112"/>
    </row>
    <row r="765" spans="22:22" ht="15.75" customHeight="1" x14ac:dyDescent="0.25">
      <c r="V765" s="112"/>
    </row>
    <row r="766" spans="22:22" ht="15.75" customHeight="1" x14ac:dyDescent="0.25">
      <c r="V766" s="112"/>
    </row>
    <row r="767" spans="22:22" ht="15.75" customHeight="1" x14ac:dyDescent="0.25">
      <c r="V767" s="112"/>
    </row>
    <row r="768" spans="22:22" ht="15.75" customHeight="1" x14ac:dyDescent="0.25">
      <c r="V768" s="112"/>
    </row>
    <row r="769" spans="22:22" ht="15.75" customHeight="1" x14ac:dyDescent="0.25">
      <c r="V769" s="112"/>
    </row>
    <row r="770" spans="22:22" ht="15.75" customHeight="1" x14ac:dyDescent="0.25">
      <c r="V770" s="112"/>
    </row>
    <row r="771" spans="22:22" ht="15.75" customHeight="1" x14ac:dyDescent="0.25">
      <c r="V771" s="112"/>
    </row>
    <row r="772" spans="22:22" ht="15.75" customHeight="1" x14ac:dyDescent="0.25">
      <c r="V772" s="112"/>
    </row>
    <row r="773" spans="22:22" ht="15.75" customHeight="1" x14ac:dyDescent="0.25">
      <c r="V773" s="112"/>
    </row>
    <row r="774" spans="22:22" ht="15.75" customHeight="1" x14ac:dyDescent="0.25">
      <c r="V774" s="112"/>
    </row>
    <row r="775" spans="22:22" ht="15.75" customHeight="1" x14ac:dyDescent="0.25">
      <c r="V775" s="112"/>
    </row>
    <row r="776" spans="22:22" ht="15.75" customHeight="1" x14ac:dyDescent="0.25">
      <c r="V776" s="112"/>
    </row>
    <row r="777" spans="22:22" ht="15.75" customHeight="1" x14ac:dyDescent="0.25">
      <c r="V777" s="112"/>
    </row>
    <row r="778" spans="22:22" ht="15.75" customHeight="1" x14ac:dyDescent="0.25">
      <c r="V778" s="112"/>
    </row>
    <row r="779" spans="22:22" ht="15.75" customHeight="1" x14ac:dyDescent="0.25">
      <c r="V779" s="112"/>
    </row>
    <row r="780" spans="22:22" ht="15.75" customHeight="1" x14ac:dyDescent="0.25">
      <c r="V780" s="112"/>
    </row>
    <row r="781" spans="22:22" ht="15.75" customHeight="1" x14ac:dyDescent="0.25">
      <c r="V781" s="112"/>
    </row>
    <row r="782" spans="22:22" ht="15.75" customHeight="1" x14ac:dyDescent="0.25">
      <c r="V782" s="112"/>
    </row>
    <row r="783" spans="22:22" ht="15.75" customHeight="1" x14ac:dyDescent="0.25">
      <c r="V783" s="112"/>
    </row>
    <row r="784" spans="22:22" ht="15.75" customHeight="1" x14ac:dyDescent="0.25">
      <c r="V784" s="112"/>
    </row>
    <row r="785" spans="22:22" ht="15.75" customHeight="1" x14ac:dyDescent="0.25">
      <c r="V785" s="112"/>
    </row>
    <row r="786" spans="22:22" ht="15.75" customHeight="1" x14ac:dyDescent="0.25">
      <c r="V786" s="112"/>
    </row>
    <row r="787" spans="22:22" ht="15.75" customHeight="1" x14ac:dyDescent="0.25">
      <c r="V787" s="112"/>
    </row>
    <row r="788" spans="22:22" ht="15.75" customHeight="1" x14ac:dyDescent="0.25">
      <c r="V788" s="112"/>
    </row>
    <row r="789" spans="22:22" ht="15.75" customHeight="1" x14ac:dyDescent="0.25">
      <c r="V789" s="112"/>
    </row>
    <row r="790" spans="22:22" ht="15.75" customHeight="1" x14ac:dyDescent="0.25">
      <c r="V790" s="112"/>
    </row>
    <row r="791" spans="22:22" ht="15.75" customHeight="1" x14ac:dyDescent="0.25">
      <c r="V791" s="112"/>
    </row>
    <row r="792" spans="22:22" ht="15.75" customHeight="1" x14ac:dyDescent="0.25">
      <c r="V792" s="112"/>
    </row>
    <row r="793" spans="22:22" ht="15.75" customHeight="1" x14ac:dyDescent="0.25">
      <c r="V793" s="112"/>
    </row>
    <row r="794" spans="22:22" ht="15.75" customHeight="1" x14ac:dyDescent="0.25">
      <c r="V794" s="112"/>
    </row>
    <row r="795" spans="22:22" ht="15.75" customHeight="1" x14ac:dyDescent="0.25">
      <c r="V795" s="112"/>
    </row>
    <row r="796" spans="22:22" ht="15.75" customHeight="1" x14ac:dyDescent="0.25">
      <c r="V796" s="112"/>
    </row>
    <row r="797" spans="22:22" ht="15.75" customHeight="1" x14ac:dyDescent="0.25">
      <c r="V797" s="112"/>
    </row>
    <row r="798" spans="22:22" ht="15.75" customHeight="1" x14ac:dyDescent="0.25">
      <c r="V798" s="112"/>
    </row>
    <row r="799" spans="22:22" ht="15.75" customHeight="1" x14ac:dyDescent="0.25">
      <c r="V799" s="112"/>
    </row>
    <row r="800" spans="22:22" ht="15.75" customHeight="1" x14ac:dyDescent="0.25">
      <c r="V800" s="112"/>
    </row>
    <row r="801" spans="22:22" ht="15.75" customHeight="1" x14ac:dyDescent="0.25">
      <c r="V801" s="112"/>
    </row>
    <row r="802" spans="22:22" ht="15.75" customHeight="1" x14ac:dyDescent="0.25">
      <c r="V802" s="112"/>
    </row>
    <row r="803" spans="22:22" ht="15.75" customHeight="1" x14ac:dyDescent="0.25">
      <c r="V803" s="112"/>
    </row>
    <row r="804" spans="22:22" ht="15.75" customHeight="1" x14ac:dyDescent="0.25">
      <c r="V804" s="112"/>
    </row>
    <row r="805" spans="22:22" ht="15.75" customHeight="1" x14ac:dyDescent="0.25">
      <c r="V805" s="112"/>
    </row>
    <row r="806" spans="22:22" ht="15.75" customHeight="1" x14ac:dyDescent="0.25">
      <c r="V806" s="112"/>
    </row>
    <row r="807" spans="22:22" ht="15.75" customHeight="1" x14ac:dyDescent="0.25">
      <c r="V807" s="112"/>
    </row>
    <row r="808" spans="22:22" ht="15.75" customHeight="1" x14ac:dyDescent="0.25">
      <c r="V808" s="112"/>
    </row>
    <row r="809" spans="22:22" ht="15.75" customHeight="1" x14ac:dyDescent="0.25">
      <c r="V809" s="112"/>
    </row>
    <row r="810" spans="22:22" ht="15.75" customHeight="1" x14ac:dyDescent="0.25">
      <c r="V810" s="112"/>
    </row>
    <row r="811" spans="22:22" ht="15.75" customHeight="1" x14ac:dyDescent="0.25">
      <c r="V811" s="112"/>
    </row>
    <row r="812" spans="22:22" ht="15.75" customHeight="1" x14ac:dyDescent="0.25">
      <c r="V812" s="112"/>
    </row>
    <row r="813" spans="22:22" ht="15.75" customHeight="1" x14ac:dyDescent="0.25">
      <c r="V813" s="112"/>
    </row>
    <row r="814" spans="22:22" ht="15.75" customHeight="1" x14ac:dyDescent="0.25">
      <c r="V814" s="112"/>
    </row>
    <row r="815" spans="22:22" ht="15.75" customHeight="1" x14ac:dyDescent="0.25">
      <c r="V815" s="112"/>
    </row>
    <row r="816" spans="22:22" ht="15.75" customHeight="1" x14ac:dyDescent="0.25">
      <c r="V816" s="112"/>
    </row>
    <row r="817" spans="22:22" ht="15.75" customHeight="1" x14ac:dyDescent="0.25">
      <c r="V817" s="112"/>
    </row>
    <row r="818" spans="22:22" ht="15.75" customHeight="1" x14ac:dyDescent="0.25">
      <c r="V818" s="112"/>
    </row>
    <row r="819" spans="22:22" ht="15.75" customHeight="1" x14ac:dyDescent="0.25">
      <c r="V819" s="112"/>
    </row>
    <row r="820" spans="22:22" ht="15.75" customHeight="1" x14ac:dyDescent="0.25">
      <c r="V820" s="112"/>
    </row>
    <row r="821" spans="22:22" ht="15.75" customHeight="1" x14ac:dyDescent="0.25">
      <c r="V821" s="112"/>
    </row>
    <row r="822" spans="22:22" ht="15.75" customHeight="1" x14ac:dyDescent="0.25">
      <c r="V822" s="112"/>
    </row>
    <row r="823" spans="22:22" ht="15.75" customHeight="1" x14ac:dyDescent="0.25">
      <c r="V823" s="112"/>
    </row>
    <row r="824" spans="22:22" ht="15.75" customHeight="1" x14ac:dyDescent="0.25">
      <c r="V824" s="112"/>
    </row>
    <row r="825" spans="22:22" ht="15.75" customHeight="1" x14ac:dyDescent="0.25">
      <c r="V825" s="112"/>
    </row>
    <row r="826" spans="22:22" ht="15.75" customHeight="1" x14ac:dyDescent="0.25">
      <c r="V826" s="112"/>
    </row>
    <row r="827" spans="22:22" ht="15.75" customHeight="1" x14ac:dyDescent="0.25">
      <c r="V827" s="112"/>
    </row>
    <row r="828" spans="22:22" ht="15.75" customHeight="1" x14ac:dyDescent="0.25">
      <c r="V828" s="112"/>
    </row>
    <row r="829" spans="22:22" ht="15.75" customHeight="1" x14ac:dyDescent="0.25">
      <c r="V829" s="112"/>
    </row>
    <row r="830" spans="22:22" ht="15.75" customHeight="1" x14ac:dyDescent="0.25">
      <c r="V830" s="112"/>
    </row>
    <row r="831" spans="22:22" ht="15.75" customHeight="1" x14ac:dyDescent="0.25">
      <c r="V831" s="112"/>
    </row>
    <row r="832" spans="22:22" ht="15.75" customHeight="1" x14ac:dyDescent="0.25">
      <c r="V832" s="112"/>
    </row>
    <row r="833" spans="22:22" ht="15.75" customHeight="1" x14ac:dyDescent="0.25">
      <c r="V833" s="112"/>
    </row>
    <row r="834" spans="22:22" ht="15.75" customHeight="1" x14ac:dyDescent="0.25">
      <c r="V834" s="112"/>
    </row>
    <row r="835" spans="22:22" ht="15.75" customHeight="1" x14ac:dyDescent="0.25">
      <c r="V835" s="112"/>
    </row>
    <row r="836" spans="22:22" ht="15.75" customHeight="1" x14ac:dyDescent="0.25">
      <c r="V836" s="112"/>
    </row>
    <row r="837" spans="22:22" ht="15.75" customHeight="1" x14ac:dyDescent="0.25">
      <c r="V837" s="112"/>
    </row>
    <row r="838" spans="22:22" ht="15.75" customHeight="1" x14ac:dyDescent="0.25">
      <c r="V838" s="112"/>
    </row>
    <row r="839" spans="22:22" ht="15.75" customHeight="1" x14ac:dyDescent="0.25">
      <c r="V839" s="112"/>
    </row>
    <row r="840" spans="22:22" ht="15.75" customHeight="1" x14ac:dyDescent="0.25">
      <c r="V840" s="112"/>
    </row>
    <row r="841" spans="22:22" ht="15.75" customHeight="1" x14ac:dyDescent="0.25">
      <c r="V841" s="112"/>
    </row>
    <row r="842" spans="22:22" ht="15.75" customHeight="1" x14ac:dyDescent="0.25">
      <c r="V842" s="112"/>
    </row>
    <row r="843" spans="22:22" ht="15.75" customHeight="1" x14ac:dyDescent="0.25">
      <c r="V843" s="112"/>
    </row>
    <row r="844" spans="22:22" ht="15.75" customHeight="1" x14ac:dyDescent="0.25">
      <c r="V844" s="112"/>
    </row>
    <row r="845" spans="22:22" ht="15.75" customHeight="1" x14ac:dyDescent="0.25">
      <c r="V845" s="112"/>
    </row>
    <row r="846" spans="22:22" ht="15.75" customHeight="1" x14ac:dyDescent="0.25">
      <c r="V846" s="112"/>
    </row>
    <row r="847" spans="22:22" ht="15.75" customHeight="1" x14ac:dyDescent="0.25">
      <c r="V847" s="112"/>
    </row>
    <row r="848" spans="22:22" ht="15.75" customHeight="1" x14ac:dyDescent="0.25">
      <c r="V848" s="112"/>
    </row>
    <row r="849" spans="22:22" ht="15.75" customHeight="1" x14ac:dyDescent="0.25">
      <c r="V849" s="112"/>
    </row>
    <row r="850" spans="22:22" ht="15.75" customHeight="1" x14ac:dyDescent="0.25">
      <c r="V850" s="112"/>
    </row>
    <row r="851" spans="22:22" ht="15.75" customHeight="1" x14ac:dyDescent="0.25">
      <c r="V851" s="112"/>
    </row>
    <row r="852" spans="22:22" ht="15.75" customHeight="1" x14ac:dyDescent="0.25">
      <c r="V852" s="112"/>
    </row>
    <row r="853" spans="22:22" ht="15.75" customHeight="1" x14ac:dyDescent="0.25">
      <c r="V853" s="112"/>
    </row>
    <row r="854" spans="22:22" ht="15.75" customHeight="1" x14ac:dyDescent="0.25">
      <c r="V854" s="112"/>
    </row>
    <row r="855" spans="22:22" ht="15.75" customHeight="1" x14ac:dyDescent="0.25">
      <c r="V855" s="112"/>
    </row>
    <row r="856" spans="22:22" ht="15.75" customHeight="1" x14ac:dyDescent="0.25">
      <c r="V856" s="112"/>
    </row>
    <row r="857" spans="22:22" ht="15.75" customHeight="1" x14ac:dyDescent="0.25">
      <c r="V857" s="112"/>
    </row>
    <row r="858" spans="22:22" ht="15.75" customHeight="1" x14ac:dyDescent="0.25">
      <c r="V858" s="112"/>
    </row>
    <row r="859" spans="22:22" ht="15.75" customHeight="1" x14ac:dyDescent="0.25">
      <c r="V859" s="112"/>
    </row>
    <row r="860" spans="22:22" ht="15.75" customHeight="1" x14ac:dyDescent="0.25">
      <c r="V860" s="112"/>
    </row>
    <row r="861" spans="22:22" ht="15.75" customHeight="1" x14ac:dyDescent="0.25">
      <c r="V861" s="112"/>
    </row>
    <row r="862" spans="22:22" ht="15.75" customHeight="1" x14ac:dyDescent="0.25">
      <c r="V862" s="112"/>
    </row>
    <row r="863" spans="22:22" ht="15.75" customHeight="1" x14ac:dyDescent="0.25">
      <c r="V863" s="112"/>
    </row>
    <row r="864" spans="22:22" ht="15.75" customHeight="1" x14ac:dyDescent="0.25">
      <c r="V864" s="112"/>
    </row>
    <row r="865" spans="22:22" ht="15.75" customHeight="1" x14ac:dyDescent="0.25">
      <c r="V865" s="112"/>
    </row>
    <row r="866" spans="22:22" ht="15.75" customHeight="1" x14ac:dyDescent="0.25">
      <c r="V866" s="112"/>
    </row>
    <row r="867" spans="22:22" ht="15.75" customHeight="1" x14ac:dyDescent="0.25">
      <c r="V867" s="112"/>
    </row>
    <row r="868" spans="22:22" ht="15.75" customHeight="1" x14ac:dyDescent="0.25">
      <c r="V868" s="112"/>
    </row>
    <row r="869" spans="22:22" ht="15.75" customHeight="1" x14ac:dyDescent="0.25">
      <c r="V869" s="112"/>
    </row>
    <row r="870" spans="22:22" ht="15.75" customHeight="1" x14ac:dyDescent="0.25">
      <c r="V870" s="112"/>
    </row>
    <row r="871" spans="22:22" ht="15.75" customHeight="1" x14ac:dyDescent="0.25">
      <c r="V871" s="112"/>
    </row>
    <row r="872" spans="22:22" ht="15.75" customHeight="1" x14ac:dyDescent="0.25">
      <c r="V872" s="112"/>
    </row>
    <row r="873" spans="22:22" ht="15.75" customHeight="1" x14ac:dyDescent="0.25">
      <c r="V873" s="112"/>
    </row>
    <row r="874" spans="22:22" ht="15.75" customHeight="1" x14ac:dyDescent="0.25">
      <c r="V874" s="112"/>
    </row>
    <row r="875" spans="22:22" ht="15.75" customHeight="1" x14ac:dyDescent="0.25">
      <c r="V875" s="112"/>
    </row>
    <row r="876" spans="22:22" ht="15.75" customHeight="1" x14ac:dyDescent="0.25">
      <c r="V876" s="112"/>
    </row>
    <row r="877" spans="22:22" ht="15.75" customHeight="1" x14ac:dyDescent="0.25">
      <c r="V877" s="112"/>
    </row>
    <row r="878" spans="22:22" ht="15.75" customHeight="1" x14ac:dyDescent="0.25">
      <c r="V878" s="112"/>
    </row>
    <row r="879" spans="22:22" ht="15.75" customHeight="1" x14ac:dyDescent="0.25">
      <c r="V879" s="112"/>
    </row>
    <row r="880" spans="22:22" ht="15.75" customHeight="1" x14ac:dyDescent="0.25">
      <c r="V880" s="112"/>
    </row>
    <row r="881" spans="22:22" ht="15.75" customHeight="1" x14ac:dyDescent="0.25">
      <c r="V881" s="112"/>
    </row>
    <row r="882" spans="22:22" ht="15.75" customHeight="1" x14ac:dyDescent="0.25">
      <c r="V882" s="112"/>
    </row>
    <row r="883" spans="22:22" ht="15.75" customHeight="1" x14ac:dyDescent="0.25">
      <c r="V883" s="112"/>
    </row>
    <row r="884" spans="22:22" ht="15.75" customHeight="1" x14ac:dyDescent="0.25">
      <c r="V884" s="112"/>
    </row>
    <row r="885" spans="22:22" ht="15.75" customHeight="1" x14ac:dyDescent="0.25">
      <c r="V885" s="112"/>
    </row>
    <row r="886" spans="22:22" ht="15.75" customHeight="1" x14ac:dyDescent="0.25">
      <c r="V886" s="112"/>
    </row>
    <row r="887" spans="22:22" ht="15.75" customHeight="1" x14ac:dyDescent="0.25">
      <c r="V887" s="112"/>
    </row>
    <row r="888" spans="22:22" ht="15.75" customHeight="1" x14ac:dyDescent="0.25">
      <c r="V888" s="112"/>
    </row>
    <row r="889" spans="22:22" ht="15.75" customHeight="1" x14ac:dyDescent="0.25">
      <c r="V889" s="112"/>
    </row>
    <row r="890" spans="22:22" ht="15.75" customHeight="1" x14ac:dyDescent="0.25">
      <c r="V890" s="112"/>
    </row>
    <row r="891" spans="22:22" ht="15.75" customHeight="1" x14ac:dyDescent="0.25">
      <c r="V891" s="112"/>
    </row>
    <row r="892" spans="22:22" ht="15.75" customHeight="1" x14ac:dyDescent="0.25">
      <c r="V892" s="112"/>
    </row>
    <row r="893" spans="22:22" ht="15.75" customHeight="1" x14ac:dyDescent="0.25">
      <c r="V893" s="112"/>
    </row>
    <row r="894" spans="22:22" ht="15.75" customHeight="1" x14ac:dyDescent="0.25">
      <c r="V894" s="112"/>
    </row>
    <row r="895" spans="22:22" ht="15.75" customHeight="1" x14ac:dyDescent="0.25">
      <c r="V895" s="112"/>
    </row>
    <row r="896" spans="22:22" ht="15.75" customHeight="1" x14ac:dyDescent="0.25">
      <c r="V896" s="112"/>
    </row>
    <row r="897" spans="22:22" ht="15.75" customHeight="1" x14ac:dyDescent="0.25">
      <c r="V897" s="112"/>
    </row>
    <row r="898" spans="22:22" ht="15.75" customHeight="1" x14ac:dyDescent="0.25">
      <c r="V898" s="112"/>
    </row>
    <row r="899" spans="22:22" ht="15.75" customHeight="1" x14ac:dyDescent="0.25">
      <c r="V899" s="112"/>
    </row>
    <row r="900" spans="22:22" ht="15.75" customHeight="1" x14ac:dyDescent="0.25">
      <c r="V900" s="112"/>
    </row>
    <row r="901" spans="22:22" ht="15.75" customHeight="1" x14ac:dyDescent="0.25">
      <c r="V901" s="112"/>
    </row>
    <row r="902" spans="22:22" ht="15.75" customHeight="1" x14ac:dyDescent="0.25">
      <c r="V902" s="112"/>
    </row>
    <row r="903" spans="22:22" ht="15.75" customHeight="1" x14ac:dyDescent="0.25">
      <c r="V903" s="112"/>
    </row>
    <row r="904" spans="22:22" ht="15.75" customHeight="1" x14ac:dyDescent="0.25">
      <c r="V904" s="112"/>
    </row>
    <row r="905" spans="22:22" ht="15.75" customHeight="1" x14ac:dyDescent="0.25">
      <c r="V905" s="112"/>
    </row>
    <row r="906" spans="22:22" ht="15.75" customHeight="1" x14ac:dyDescent="0.25">
      <c r="V906" s="112"/>
    </row>
    <row r="907" spans="22:22" ht="15.75" customHeight="1" x14ac:dyDescent="0.25">
      <c r="V907" s="112"/>
    </row>
    <row r="908" spans="22:22" ht="15.75" customHeight="1" x14ac:dyDescent="0.25">
      <c r="V908" s="112"/>
    </row>
    <row r="909" spans="22:22" ht="15.75" customHeight="1" x14ac:dyDescent="0.25">
      <c r="V909" s="112"/>
    </row>
    <row r="910" spans="22:22" ht="15.75" customHeight="1" x14ac:dyDescent="0.25">
      <c r="V910" s="112"/>
    </row>
    <row r="911" spans="22:22" ht="15.75" customHeight="1" x14ac:dyDescent="0.25">
      <c r="V911" s="112"/>
    </row>
    <row r="912" spans="22:22" ht="15.75" customHeight="1" x14ac:dyDescent="0.25">
      <c r="V912" s="112"/>
    </row>
    <row r="913" spans="22:22" ht="15.75" customHeight="1" x14ac:dyDescent="0.25">
      <c r="V913" s="112"/>
    </row>
    <row r="914" spans="22:22" ht="15.75" customHeight="1" x14ac:dyDescent="0.25">
      <c r="V914" s="112"/>
    </row>
    <row r="915" spans="22:22" ht="15.75" customHeight="1" x14ac:dyDescent="0.25">
      <c r="V915" s="112"/>
    </row>
    <row r="916" spans="22:22" ht="15.75" customHeight="1" x14ac:dyDescent="0.25">
      <c r="V916" s="112"/>
    </row>
    <row r="917" spans="22:22" ht="15.75" customHeight="1" x14ac:dyDescent="0.25">
      <c r="V917" s="112"/>
    </row>
    <row r="918" spans="22:22" ht="15.75" customHeight="1" x14ac:dyDescent="0.25">
      <c r="V918" s="112"/>
    </row>
    <row r="919" spans="22:22" ht="15.75" customHeight="1" x14ac:dyDescent="0.25">
      <c r="V919" s="112"/>
    </row>
    <row r="920" spans="22:22" ht="15.75" customHeight="1" x14ac:dyDescent="0.25">
      <c r="V920" s="112"/>
    </row>
    <row r="921" spans="22:22" ht="15.75" customHeight="1" x14ac:dyDescent="0.25">
      <c r="V921" s="112"/>
    </row>
    <row r="922" spans="22:22" ht="15.75" customHeight="1" x14ac:dyDescent="0.25">
      <c r="V922" s="112"/>
    </row>
    <row r="923" spans="22:22" ht="15.75" customHeight="1" x14ac:dyDescent="0.25">
      <c r="V923" s="112"/>
    </row>
    <row r="924" spans="22:22" ht="15.75" customHeight="1" x14ac:dyDescent="0.25">
      <c r="V924" s="112"/>
    </row>
    <row r="925" spans="22:22" ht="15.75" customHeight="1" x14ac:dyDescent="0.25">
      <c r="V925" s="112"/>
    </row>
    <row r="926" spans="22:22" ht="15.75" customHeight="1" x14ac:dyDescent="0.25">
      <c r="V926" s="112"/>
    </row>
    <row r="927" spans="22:22" ht="15.75" customHeight="1" x14ac:dyDescent="0.25">
      <c r="V927" s="112"/>
    </row>
    <row r="928" spans="22:22" ht="15.75" customHeight="1" x14ac:dyDescent="0.25">
      <c r="V928" s="112"/>
    </row>
    <row r="929" spans="22:22" ht="15.75" customHeight="1" x14ac:dyDescent="0.25">
      <c r="V929" s="112"/>
    </row>
    <row r="930" spans="22:22" ht="15.75" customHeight="1" x14ac:dyDescent="0.25">
      <c r="V930" s="112"/>
    </row>
    <row r="931" spans="22:22" ht="15.75" customHeight="1" x14ac:dyDescent="0.25">
      <c r="V931" s="112"/>
    </row>
    <row r="932" spans="22:22" ht="15.75" customHeight="1" x14ac:dyDescent="0.25">
      <c r="V932" s="112"/>
    </row>
    <row r="933" spans="22:22" ht="15.75" customHeight="1" x14ac:dyDescent="0.25">
      <c r="V933" s="112"/>
    </row>
    <row r="934" spans="22:22" ht="15.75" customHeight="1" x14ac:dyDescent="0.25">
      <c r="V934" s="112"/>
    </row>
    <row r="935" spans="22:22" ht="15.75" customHeight="1" x14ac:dyDescent="0.25">
      <c r="V935" s="112"/>
    </row>
    <row r="936" spans="22:22" ht="15.75" customHeight="1" x14ac:dyDescent="0.25">
      <c r="V936" s="112"/>
    </row>
    <row r="937" spans="22:22" ht="15.75" customHeight="1" x14ac:dyDescent="0.25">
      <c r="V937" s="112"/>
    </row>
    <row r="938" spans="22:22" ht="15.75" customHeight="1" x14ac:dyDescent="0.25">
      <c r="V938" s="112"/>
    </row>
    <row r="939" spans="22:22" ht="15.75" customHeight="1" x14ac:dyDescent="0.25">
      <c r="V939" s="112"/>
    </row>
    <row r="940" spans="22:22" ht="15.75" customHeight="1" x14ac:dyDescent="0.25">
      <c r="V940" s="112"/>
    </row>
    <row r="941" spans="22:22" ht="15.75" customHeight="1" x14ac:dyDescent="0.25">
      <c r="V941" s="112"/>
    </row>
    <row r="942" spans="22:22" ht="15.75" customHeight="1" x14ac:dyDescent="0.25">
      <c r="V942" s="112"/>
    </row>
    <row r="943" spans="22:22" ht="15.75" customHeight="1" x14ac:dyDescent="0.25">
      <c r="V943" s="112"/>
    </row>
    <row r="944" spans="22:22" ht="15.75" customHeight="1" x14ac:dyDescent="0.25">
      <c r="V944" s="112"/>
    </row>
    <row r="945" spans="22:22" ht="15.75" customHeight="1" x14ac:dyDescent="0.25">
      <c r="V945" s="112"/>
    </row>
    <row r="946" spans="22:22" ht="15.75" customHeight="1" x14ac:dyDescent="0.25">
      <c r="V946" s="112"/>
    </row>
    <row r="947" spans="22:22" ht="15.75" customHeight="1" x14ac:dyDescent="0.25">
      <c r="V947" s="112"/>
    </row>
    <row r="948" spans="22:22" ht="15.75" customHeight="1" x14ac:dyDescent="0.25">
      <c r="V948" s="112"/>
    </row>
    <row r="949" spans="22:22" ht="15.75" customHeight="1" x14ac:dyDescent="0.25">
      <c r="V949" s="112"/>
    </row>
    <row r="950" spans="22:22" ht="15.75" customHeight="1" x14ac:dyDescent="0.25">
      <c r="V950" s="112"/>
    </row>
    <row r="951" spans="22:22" ht="15.75" customHeight="1" x14ac:dyDescent="0.25">
      <c r="V951" s="112"/>
    </row>
    <row r="952" spans="22:22" ht="15.75" customHeight="1" x14ac:dyDescent="0.25">
      <c r="V952" s="112"/>
    </row>
    <row r="953" spans="22:22" ht="15.75" customHeight="1" x14ac:dyDescent="0.25">
      <c r="V953" s="112"/>
    </row>
    <row r="954" spans="22:22" ht="15.75" customHeight="1" x14ac:dyDescent="0.25">
      <c r="V954" s="112"/>
    </row>
    <row r="955" spans="22:22" ht="15.75" customHeight="1" x14ac:dyDescent="0.25">
      <c r="V955" s="112"/>
    </row>
    <row r="956" spans="22:22" ht="15.75" customHeight="1" x14ac:dyDescent="0.25">
      <c r="V956" s="112"/>
    </row>
    <row r="957" spans="22:22" ht="15.75" customHeight="1" x14ac:dyDescent="0.25">
      <c r="V957" s="112"/>
    </row>
    <row r="958" spans="22:22" ht="15.75" customHeight="1" x14ac:dyDescent="0.25">
      <c r="V958" s="112"/>
    </row>
    <row r="959" spans="22:22" ht="15.75" customHeight="1" x14ac:dyDescent="0.25">
      <c r="V959" s="112"/>
    </row>
    <row r="960" spans="22:22" ht="15.75" customHeight="1" x14ac:dyDescent="0.25">
      <c r="V960" s="112"/>
    </row>
    <row r="961" spans="22:22" ht="15.75" customHeight="1" x14ac:dyDescent="0.25">
      <c r="V961" s="112"/>
    </row>
    <row r="962" spans="22:22" ht="15.75" customHeight="1" x14ac:dyDescent="0.25">
      <c r="V962" s="112"/>
    </row>
    <row r="963" spans="22:22" ht="15.75" customHeight="1" x14ac:dyDescent="0.25">
      <c r="V963" s="112"/>
    </row>
    <row r="964" spans="22:22" ht="15.75" customHeight="1" x14ac:dyDescent="0.25">
      <c r="V964" s="112"/>
    </row>
    <row r="965" spans="22:22" ht="15.75" customHeight="1" x14ac:dyDescent="0.25">
      <c r="V965" s="112"/>
    </row>
    <row r="966" spans="22:22" ht="15.75" customHeight="1" x14ac:dyDescent="0.25">
      <c r="V966" s="112"/>
    </row>
    <row r="967" spans="22:22" ht="15.75" customHeight="1" x14ac:dyDescent="0.25">
      <c r="V967" s="112"/>
    </row>
    <row r="968" spans="22:22" ht="15.75" customHeight="1" x14ac:dyDescent="0.25">
      <c r="V968" s="112"/>
    </row>
    <row r="969" spans="22:22" ht="15.75" customHeight="1" x14ac:dyDescent="0.25">
      <c r="V969" s="112"/>
    </row>
    <row r="970" spans="22:22" ht="15.75" customHeight="1" x14ac:dyDescent="0.25">
      <c r="V970" s="112"/>
    </row>
    <row r="971" spans="22:22" ht="15.75" customHeight="1" x14ac:dyDescent="0.25">
      <c r="V971" s="112"/>
    </row>
    <row r="972" spans="22:22" ht="15.75" customHeight="1" x14ac:dyDescent="0.25">
      <c r="V972" s="112"/>
    </row>
    <row r="973" spans="22:22" ht="15.75" customHeight="1" x14ac:dyDescent="0.25">
      <c r="V973" s="112"/>
    </row>
    <row r="974" spans="22:22" ht="15.75" customHeight="1" x14ac:dyDescent="0.25">
      <c r="V974" s="112"/>
    </row>
    <row r="975" spans="22:22" ht="15.75" customHeight="1" x14ac:dyDescent="0.25">
      <c r="V975" s="112"/>
    </row>
    <row r="976" spans="22:22" ht="15.75" customHeight="1" x14ac:dyDescent="0.25">
      <c r="V976" s="112"/>
    </row>
    <row r="977" spans="22:22" ht="15.75" customHeight="1" x14ac:dyDescent="0.25">
      <c r="V977" s="112"/>
    </row>
    <row r="978" spans="22:22" ht="15.75" customHeight="1" x14ac:dyDescent="0.25">
      <c r="V978" s="112"/>
    </row>
    <row r="979" spans="22:22" ht="15.75" customHeight="1" x14ac:dyDescent="0.25">
      <c r="V979" s="112"/>
    </row>
    <row r="980" spans="22:22" ht="15.75" customHeight="1" x14ac:dyDescent="0.25">
      <c r="V980" s="112"/>
    </row>
    <row r="981" spans="22:22" ht="15.75" customHeight="1" x14ac:dyDescent="0.25">
      <c r="V981" s="112"/>
    </row>
    <row r="982" spans="22:22" ht="15.75" customHeight="1" x14ac:dyDescent="0.25">
      <c r="V982" s="112"/>
    </row>
    <row r="983" spans="22:22" ht="15.75" customHeight="1" x14ac:dyDescent="0.25">
      <c r="V983" s="112"/>
    </row>
    <row r="984" spans="22:22" ht="15.75" customHeight="1" x14ac:dyDescent="0.25">
      <c r="V984" s="112"/>
    </row>
    <row r="985" spans="22:22" ht="15.75" customHeight="1" x14ac:dyDescent="0.25">
      <c r="V985" s="112"/>
    </row>
    <row r="986" spans="22:22" ht="15.75" customHeight="1" x14ac:dyDescent="0.25">
      <c r="V986" s="112"/>
    </row>
    <row r="987" spans="22:22" ht="15.75" customHeight="1" x14ac:dyDescent="0.25">
      <c r="V987" s="112"/>
    </row>
    <row r="988" spans="22:22" ht="15.75" customHeight="1" x14ac:dyDescent="0.25">
      <c r="V988" s="112"/>
    </row>
    <row r="989" spans="22:22" ht="15.75" customHeight="1" x14ac:dyDescent="0.25">
      <c r="V989" s="112"/>
    </row>
    <row r="990" spans="22:22" ht="15.75" customHeight="1" x14ac:dyDescent="0.25">
      <c r="V990" s="112"/>
    </row>
    <row r="991" spans="22:22" ht="15.75" customHeight="1" x14ac:dyDescent="0.25">
      <c r="V991" s="112"/>
    </row>
    <row r="992" spans="22:22" ht="15.75" customHeight="1" x14ac:dyDescent="0.25">
      <c r="V992" s="112"/>
    </row>
    <row r="993" spans="22:22" ht="15.75" customHeight="1" x14ac:dyDescent="0.25">
      <c r="V993" s="112"/>
    </row>
    <row r="994" spans="22:22" ht="15.75" customHeight="1" x14ac:dyDescent="0.25">
      <c r="V994" s="112"/>
    </row>
    <row r="995" spans="22:22" ht="15.75" customHeight="1" x14ac:dyDescent="0.25">
      <c r="V995" s="112"/>
    </row>
    <row r="996" spans="22:22" ht="15.75" customHeight="1" x14ac:dyDescent="0.25">
      <c r="V996" s="112"/>
    </row>
    <row r="997" spans="22:22" ht="15.75" customHeight="1" x14ac:dyDescent="0.25">
      <c r="V997" s="112"/>
    </row>
    <row r="998" spans="22:22" ht="15.75" customHeight="1" x14ac:dyDescent="0.25">
      <c r="V998" s="112"/>
    </row>
    <row r="999" spans="22:22" ht="15.75" customHeight="1" x14ac:dyDescent="0.25">
      <c r="V999" s="112"/>
    </row>
    <row r="1000" spans="22:22" ht="15.75" customHeight="1" x14ac:dyDescent="0.25">
      <c r="V1000" s="112"/>
    </row>
  </sheetData>
  <mergeCells count="7">
    <mergeCell ref="P41:Q41"/>
    <mergeCell ref="P69:Q69"/>
    <mergeCell ref="B1:D1"/>
    <mergeCell ref="I1:L1"/>
    <mergeCell ref="B2:C2"/>
    <mergeCell ref="I2:J2"/>
    <mergeCell ref="P2:Q2"/>
  </mergeCells>
  <conditionalFormatting sqref="F3:F90">
    <cfRule type="cellIs" dxfId="13" priority="7" operator="equal">
      <formula>0</formula>
    </cfRule>
    <cfRule type="cellIs" dxfId="12" priority="8" operator="notEqual">
      <formula>0</formula>
    </cfRule>
  </conditionalFormatting>
  <conditionalFormatting sqref="M3:M83">
    <cfRule type="cellIs" dxfId="11" priority="9" operator="equal">
      <formula>0</formula>
    </cfRule>
    <cfRule type="cellIs" dxfId="10" priority="10" operator="notEqual">
      <formula>0</formula>
    </cfRule>
  </conditionalFormatting>
  <conditionalFormatting sqref="O56:O83">
    <cfRule type="cellIs" dxfId="9" priority="11" operator="equal">
      <formula>0</formula>
    </cfRule>
    <cfRule type="cellIs" dxfId="8" priority="12" operator="notEqual">
      <formula>0</formula>
    </cfRule>
  </conditionalFormatting>
  <conditionalFormatting sqref="T3:T12">
    <cfRule type="cellIs" dxfId="7" priority="13" operator="equal">
      <formula>0</formula>
    </cfRule>
    <cfRule type="cellIs" dxfId="6" priority="14" operator="notEqual">
      <formula>0</formula>
    </cfRule>
  </conditionalFormatting>
  <conditionalFormatting sqref="T14:T38">
    <cfRule type="cellIs" dxfId="5" priority="5" operator="equal">
      <formula>0</formula>
    </cfRule>
    <cfRule type="cellIs" dxfId="4" priority="6" operator="notEqual">
      <formula>0</formula>
    </cfRule>
  </conditionalFormatting>
  <conditionalFormatting sqref="T42:T68">
    <cfRule type="cellIs" dxfId="3" priority="3" operator="equal">
      <formula>0</formula>
    </cfRule>
    <cfRule type="cellIs" dxfId="2" priority="4" operator="notEqual">
      <formula>0</formula>
    </cfRule>
  </conditionalFormatting>
  <conditionalFormatting sqref="T70:T87">
    <cfRule type="cellIs" dxfId="1" priority="1" operator="equal">
      <formula>0</formula>
    </cfRule>
    <cfRule type="cellIs" dxfId="0" priority="2" operator="notEqual">
      <formula>0</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6504"/>
  <sheetViews>
    <sheetView topLeftCell="A5765" workbookViewId="0">
      <selection activeCell="B5782" sqref="B5782"/>
    </sheetView>
  </sheetViews>
  <sheetFormatPr defaultColWidth="14.42578125" defaultRowHeight="15" customHeight="1" x14ac:dyDescent="0.25"/>
  <cols>
    <col min="1" max="1" width="18.85546875" customWidth="1"/>
    <col min="2" max="2" width="44.140625" customWidth="1"/>
    <col min="3" max="8" width="18.85546875" customWidth="1"/>
    <col min="9" max="9" width="10.5703125" customWidth="1"/>
    <col min="10" max="10" width="8.85546875" customWidth="1"/>
    <col min="11" max="11" width="4.28515625" customWidth="1"/>
    <col min="12" max="13" width="5.5703125" customWidth="1"/>
    <col min="14" max="20" width="8.7109375" customWidth="1"/>
  </cols>
  <sheetData>
    <row r="1" spans="1:20" ht="29.25" x14ac:dyDescent="0.5">
      <c r="A1" s="1" t="s">
        <v>2</v>
      </c>
      <c r="B1" s="1"/>
      <c r="C1" s="1"/>
      <c r="D1" s="1"/>
      <c r="E1" s="1"/>
      <c r="F1" s="1"/>
      <c r="G1" s="1"/>
      <c r="H1" s="1"/>
      <c r="I1" s="3"/>
      <c r="J1" s="3"/>
      <c r="K1" s="3"/>
      <c r="L1" s="3"/>
      <c r="M1" s="3"/>
      <c r="N1" s="3"/>
      <c r="O1" s="3"/>
      <c r="P1" s="3"/>
      <c r="Q1" s="3"/>
      <c r="R1" s="3"/>
      <c r="S1" s="3"/>
      <c r="T1" s="3"/>
    </row>
    <row r="2" spans="1:20" x14ac:dyDescent="0.25">
      <c r="A2" s="6" t="s">
        <v>8</v>
      </c>
      <c r="B2" s="6"/>
      <c r="C2" s="6"/>
      <c r="D2" s="6"/>
      <c r="E2" s="6"/>
      <c r="F2" s="6"/>
      <c r="G2" s="6"/>
      <c r="H2" s="6"/>
    </row>
    <row r="3" spans="1:20" x14ac:dyDescent="0.25">
      <c r="D3" s="4"/>
      <c r="G3" s="7" t="s">
        <v>9</v>
      </c>
      <c r="H3" s="8"/>
    </row>
    <row r="4" spans="1:20" x14ac:dyDescent="0.25">
      <c r="D4" s="4"/>
      <c r="G4" s="7" t="s">
        <v>10</v>
      </c>
      <c r="H4" s="8"/>
    </row>
    <row r="5" spans="1:20" x14ac:dyDescent="0.25">
      <c r="A5" s="9"/>
      <c r="B5" s="9"/>
      <c r="C5" s="9"/>
      <c r="D5" s="11"/>
      <c r="E5" s="9"/>
      <c r="F5" s="9"/>
      <c r="G5" s="12" t="s">
        <v>11</v>
      </c>
      <c r="H5" s="13"/>
    </row>
    <row r="6" spans="1:20" x14ac:dyDescent="0.25">
      <c r="D6" s="4"/>
      <c r="G6" s="7"/>
      <c r="H6" s="8"/>
    </row>
    <row r="7" spans="1:20" ht="15.75" x14ac:dyDescent="0.25">
      <c r="A7" s="14" t="s">
        <v>14</v>
      </c>
      <c r="B7" s="14"/>
      <c r="C7" s="14"/>
      <c r="D7" s="14"/>
      <c r="E7" s="14"/>
      <c r="F7" s="14"/>
      <c r="G7" s="14"/>
      <c r="H7" s="14"/>
    </row>
    <row r="8" spans="1:20" x14ac:dyDescent="0.25">
      <c r="D8" s="4"/>
      <c r="H8" s="8"/>
    </row>
    <row r="9" spans="1:20" ht="15.75" x14ac:dyDescent="0.25">
      <c r="A9" s="15"/>
      <c r="B9" s="15"/>
      <c r="C9" s="16"/>
      <c r="D9" s="17"/>
      <c r="E9" s="18" t="s">
        <v>17</v>
      </c>
      <c r="F9" s="18"/>
      <c r="G9" s="18"/>
      <c r="H9" s="19"/>
    </row>
    <row r="10" spans="1:20" ht="16.5" x14ac:dyDescent="0.3">
      <c r="A10" s="20"/>
      <c r="B10" s="20"/>
      <c r="C10" s="20"/>
      <c r="D10" s="21"/>
      <c r="F10" s="22" t="s">
        <v>18</v>
      </c>
      <c r="G10" s="23" t="s">
        <v>19</v>
      </c>
      <c r="H10" s="24"/>
    </row>
    <row r="11" spans="1:20" ht="16.5" x14ac:dyDescent="0.3">
      <c r="A11" s="20" t="s">
        <v>20</v>
      </c>
      <c r="B11" s="20"/>
      <c r="C11" s="20"/>
      <c r="D11" s="21"/>
      <c r="F11" s="22" t="s">
        <v>21</v>
      </c>
      <c r="G11" s="25" t="s">
        <v>22</v>
      </c>
      <c r="H11" s="26"/>
    </row>
    <row r="12" spans="1:20" ht="17.25" x14ac:dyDescent="0.35">
      <c r="A12" s="20" t="inlineStr">
        <is>
          <t>Dealer-001</t>
        </is>
      </c>
      <c r="B12" s="20"/>
      <c r="C12" s="20"/>
      <c r="D12" s="21"/>
      <c r="E12" s="27"/>
      <c r="F12" s="20"/>
      <c r="G12" s="28"/>
      <c r="H12" s="29"/>
    </row>
    <row r="13" spans="1:20" ht="17.25" x14ac:dyDescent="0.35">
      <c r="A13" s="25" t="inlineStr">
        <is>
          <t>Address line (redacted)</t>
        </is>
      </c>
      <c r="B13" s="20"/>
      <c r="C13" s="20"/>
      <c r="D13" s="30"/>
      <c r="E13" s="20"/>
      <c r="F13" s="21"/>
      <c r="G13" s="20"/>
      <c r="H13" s="19"/>
    </row>
    <row r="14" spans="1:20" ht="17.25" x14ac:dyDescent="0.35">
      <c r="A14" s="25"/>
      <c r="B14" s="20"/>
      <c r="C14" s="20"/>
      <c r="D14" s="30"/>
      <c r="E14" s="20"/>
      <c r="F14" s="21"/>
      <c r="G14" s="20"/>
      <c r="H14" s="19"/>
    </row>
    <row r="15" spans="1:20" ht="17.25" x14ac:dyDescent="0.35">
      <c r="A15" s="20" t="inlineStr">
        <is>
          <t>Through: Transporter-001</t>
        </is>
      </c>
      <c r="B15" s="20"/>
      <c r="C15" s="20"/>
      <c r="D15" s="30"/>
      <c r="E15" s="20"/>
      <c r="F15" s="21"/>
      <c r="G15" s="20"/>
      <c r="H15" s="19"/>
    </row>
    <row r="16" spans="1:20" ht="17.25" x14ac:dyDescent="0.35">
      <c r="A16" s="20"/>
      <c r="B16" s="20" t="inlineStr">
        <is>
          <t>Address line (redacted)</t>
        </is>
      </c>
      <c r="C16" s="20"/>
      <c r="D16" s="30"/>
      <c r="E16" s="20"/>
      <c r="F16" s="21"/>
      <c r="G16" s="20"/>
      <c r="H16" s="19"/>
    </row>
    <row r="17" spans="1:8" ht="17.25" x14ac:dyDescent="0.35">
      <c r="A17" s="20"/>
      <c r="B17" s="20" t="inlineStr">
        <is>
          <t>Address line (redacted)</t>
        </is>
      </c>
      <c r="C17" s="20"/>
      <c r="D17" s="30"/>
      <c r="E17" s="20"/>
      <c r="F17" s="21"/>
      <c r="G17" s="20"/>
      <c r="H17" s="19"/>
    </row>
    <row r="18" spans="1:8" ht="16.5" x14ac:dyDescent="0.3">
      <c r="A18" s="31"/>
      <c r="B18" s="20"/>
      <c r="C18" s="20"/>
      <c r="D18" s="21"/>
      <c r="E18" s="20"/>
      <c r="F18" s="21"/>
      <c r="G18" s="20"/>
      <c r="H18" s="19"/>
    </row>
    <row r="19" spans="1:8" ht="16.5" x14ac:dyDescent="0.3">
      <c r="A19" s="20"/>
      <c r="B19" s="20"/>
      <c r="C19" s="20"/>
      <c r="D19" s="21"/>
      <c r="E19" s="20"/>
      <c r="F19" s="21"/>
      <c r="G19" s="20"/>
      <c r="H19" s="19"/>
    </row>
    <row r="20" spans="1:8" ht="16.5" x14ac:dyDescent="0.3">
      <c r="A20" s="20" t="s">
        <v>30</v>
      </c>
      <c r="B20" s="20"/>
      <c r="C20" s="20"/>
      <c r="D20" s="21"/>
      <c r="E20" s="20"/>
      <c r="F20" s="21"/>
      <c r="G20" s="20"/>
      <c r="H20" s="19"/>
    </row>
    <row r="21" spans="1:8" ht="15.75" customHeight="1" x14ac:dyDescent="0.3">
      <c r="A21" s="20"/>
      <c r="B21" s="20"/>
      <c r="C21" s="20"/>
      <c r="D21" s="21"/>
      <c r="E21" s="20"/>
      <c r="F21" s="21"/>
      <c r="G21" s="20"/>
      <c r="H21" s="19"/>
    </row>
    <row r="22" spans="1:8" ht="15.75" customHeight="1" x14ac:dyDescent="0.3">
      <c r="A22" s="20" t="s">
        <v>31</v>
      </c>
      <c r="B22" s="20"/>
      <c r="C22" s="20"/>
      <c r="D22" s="21"/>
      <c r="E22" s="20"/>
      <c r="F22" s="21"/>
      <c r="G22" s="20"/>
      <c r="H22" s="19"/>
    </row>
    <row r="23" spans="1:8" ht="15.75" customHeight="1" x14ac:dyDescent="0.3">
      <c r="A23" s="20" t="s">
        <v>32</v>
      </c>
      <c r="B23" s="20"/>
      <c r="C23" s="20"/>
      <c r="D23" s="21"/>
      <c r="E23" s="20"/>
      <c r="F23" s="21"/>
      <c r="G23" s="20"/>
      <c r="H23" s="19"/>
    </row>
    <row r="24" spans="1:8" ht="15.75" customHeight="1" x14ac:dyDescent="0.3">
      <c r="A24" s="20"/>
      <c r="B24" s="20"/>
      <c r="C24" s="20"/>
      <c r="D24" s="21"/>
      <c r="E24" s="20"/>
      <c r="F24" s="21"/>
      <c r="G24" s="20"/>
      <c r="H24" s="19"/>
    </row>
    <row r="25" spans="1:8" ht="15.75" customHeight="1" x14ac:dyDescent="0.25">
      <c r="A25" s="32" t="s">
        <v>33</v>
      </c>
      <c r="B25" s="33" t="s">
        <v>6</v>
      </c>
      <c r="C25" s="33"/>
      <c r="D25" s="34" t="s">
        <v>37</v>
      </c>
      <c r="E25" s="35" t="s">
        <v>38</v>
      </c>
      <c r="F25" s="37" t="s">
        <v>7</v>
      </c>
      <c r="G25" s="38" t="s">
        <v>43</v>
      </c>
      <c r="H25" s="39" t="s">
        <v>44</v>
      </c>
    </row>
    <row r="26" spans="1:8" ht="15.75" customHeight="1" x14ac:dyDescent="0.25">
      <c r="A26" s="40"/>
      <c r="B26" s="41"/>
      <c r="C26" s="42"/>
      <c r="D26" s="43"/>
      <c r="E26" s="43"/>
      <c r="F26" s="44"/>
      <c r="G26" s="46"/>
      <c r="H26" s="48"/>
    </row>
    <row r="27" spans="1:8" ht="15.75" customHeight="1" x14ac:dyDescent="0.25">
      <c r="A27" s="49"/>
      <c r="B27" s="50" t="s">
        <v>50</v>
      </c>
      <c r="C27" s="51"/>
      <c r="D27" s="52"/>
      <c r="E27" s="52"/>
      <c r="F27" s="53"/>
      <c r="G27" s="52"/>
      <c r="H27" s="54"/>
    </row>
    <row r="28" spans="1:8" ht="15.75" customHeight="1" x14ac:dyDescent="0.25">
      <c r="A28" s="49" t="s">
        <v>55</v>
      </c>
      <c r="B28" s="55" t="s">
        <v>56</v>
      </c>
      <c r="C28" s="56" t="s">
        <v>57</v>
      </c>
      <c r="D28" s="52">
        <f>200/25</f>
      </c>
      <c r="E28" s="52">
        <v>25</v>
      </c>
      <c r="F28" s="53">
        <f>+E28*D28</f>
      </c>
      <c r="G28" s="52">
        <v>1</v>
      </c>
      <c r="H28" s="54">
        <f>+G28*F28</f>
      </c>
    </row>
    <row r="29" spans="1:8" ht="15.75" customHeight="1" x14ac:dyDescent="0.25">
      <c r="A29" s="49"/>
      <c r="B29" s="55"/>
      <c r="C29" s="56"/>
      <c r="D29" s="52"/>
      <c r="E29" s="52"/>
      <c r="F29" s="53"/>
      <c r="G29" s="52"/>
      <c r="H29" s="54"/>
    </row>
    <row r="30" spans="1:8" ht="15.75" customHeight="1" x14ac:dyDescent="0.25">
      <c r="A30" s="49" t="s">
        <v>59</v>
      </c>
      <c r="B30" s="55" t="s">
        <v>60</v>
      </c>
      <c r="C30" s="56" t="s">
        <v>61</v>
      </c>
      <c r="D30" s="52">
        <f>300/25</f>
      </c>
      <c r="E30" s="52">
        <v>25</v>
      </c>
      <c r="F30" s="53">
        <f>+E30*D30</f>
      </c>
      <c r="G30" s="52">
        <v>1</v>
      </c>
      <c r="H30" s="54">
        <f>+G30*F30</f>
      </c>
    </row>
    <row r="31" spans="1:8" ht="15.75" customHeight="1" x14ac:dyDescent="0.25">
      <c r="A31" s="49"/>
      <c r="B31" s="55"/>
      <c r="C31" s="56"/>
      <c r="D31" s="52"/>
      <c r="E31" s="52"/>
      <c r="F31" s="53"/>
      <c r="G31" s="52"/>
      <c r="H31" s="54"/>
    </row>
    <row r="32" spans="1:8" ht="15.75" customHeight="1" x14ac:dyDescent="0.25">
      <c r="A32" s="49" t="s">
        <v>67</v>
      </c>
      <c r="B32" s="55" t="s">
        <v>68</v>
      </c>
      <c r="C32" s="56" t="s">
        <v>69</v>
      </c>
      <c r="D32" s="52">
        <f>300/25</f>
      </c>
      <c r="E32" s="52">
        <v>25</v>
      </c>
      <c r="F32" s="53">
        <f>+E32*D32</f>
      </c>
      <c r="G32" s="52">
        <v>1</v>
      </c>
      <c r="H32" s="54">
        <f>+G32*F32</f>
      </c>
    </row>
    <row r="33" spans="1:20" ht="15.75" customHeight="1" x14ac:dyDescent="0.25">
      <c r="A33" s="49"/>
      <c r="B33" s="55"/>
      <c r="C33" s="56"/>
      <c r="D33" s="52"/>
      <c r="E33" s="52"/>
      <c r="F33" s="53"/>
      <c r="G33" s="52"/>
      <c r="H33" s="54"/>
    </row>
    <row r="34" spans="1:20" ht="15.75" customHeight="1" x14ac:dyDescent="0.3">
      <c r="A34" s="62"/>
      <c r="B34" s="55"/>
      <c r="C34" s="63"/>
      <c r="D34" s="65"/>
      <c r="E34" s="65"/>
      <c r="F34" s="53"/>
      <c r="G34" s="52"/>
      <c r="H34" s="67"/>
    </row>
    <row r="35" spans="1:20" ht="15.75" customHeight="1" x14ac:dyDescent="0.3">
      <c r="A35" s="62"/>
      <c r="B35" s="69"/>
      <c r="C35" s="63"/>
      <c r="D35" s="65"/>
      <c r="E35" s="65"/>
      <c r="F35" s="53"/>
      <c r="G35" s="52"/>
      <c r="H35" s="67"/>
    </row>
    <row r="36" spans="1:20" ht="15.75" customHeight="1" x14ac:dyDescent="0.3">
      <c r="A36" s="71"/>
      <c r="B36" s="72"/>
      <c r="C36" s="73"/>
      <c r="D36" s="65"/>
      <c r="E36" s="65"/>
      <c r="F36" s="74"/>
      <c r="G36" s="75"/>
      <c r="H36" s="67"/>
      <c r="I36" s="56"/>
      <c r="J36" s="56"/>
      <c r="K36" s="56"/>
      <c r="L36" s="56"/>
      <c r="M36" s="56"/>
      <c r="N36" s="56"/>
      <c r="O36" s="56"/>
      <c r="P36" s="56"/>
      <c r="Q36" s="56"/>
      <c r="R36" s="56"/>
      <c r="S36" s="56"/>
      <c r="T36" s="56"/>
    </row>
    <row r="37" spans="1:20" ht="15.75" customHeight="1" x14ac:dyDescent="0.25">
      <c r="A37" s="77"/>
      <c r="B37" s="78"/>
      <c r="C37" s="79" t="s">
        <v>85</v>
      </c>
      <c r="D37" s="81">
        <f>SUM(D27:D36)</f>
      </c>
      <c r="E37" s="81"/>
      <c r="F37" s="82">
        <f>SUM(F27:F36)</f>
      </c>
      <c r="G37" s="83"/>
      <c r="H37" s="84">
        <f>SUM(H28:H36)</f>
      </c>
    </row>
    <row r="38" spans="1:20" ht="15.75" customHeight="1" x14ac:dyDescent="0.3">
      <c r="A38" s="86"/>
      <c r="B38" s="87"/>
      <c r="C38" s="87"/>
      <c r="D38" s="88"/>
      <c r="E38" s="87"/>
      <c r="F38" s="89"/>
      <c r="G38" s="91"/>
      <c r="H38" s="92"/>
    </row>
    <row r="39" spans="1:20" ht="15.75" customHeight="1" x14ac:dyDescent="0.35">
      <c r="A39" s="93"/>
      <c r="B39" s="21"/>
      <c r="C39" s="21"/>
      <c r="D39" s="21"/>
      <c r="E39" s="20"/>
      <c r="F39" s="93"/>
      <c r="G39" s="20"/>
      <c r="H39" s="19"/>
    </row>
    <row r="40" spans="1:20" ht="15.75" customHeight="1" x14ac:dyDescent="0.35">
      <c r="A40" s="95"/>
      <c r="B40" s="95"/>
      <c r="C40" s="95"/>
      <c r="D40" s="96" t="s">
        <v>97</v>
      </c>
      <c r="E40" s="95" t="s">
        <v>98</v>
      </c>
      <c r="F40" s="95"/>
      <c r="G40" s="3"/>
      <c r="H40" s="19"/>
    </row>
    <row r="41" spans="1:20" ht="15.75" customHeight="1" x14ac:dyDescent="0.3">
      <c r="A41" s="20"/>
      <c r="B41" s="20"/>
      <c r="C41" s="20"/>
      <c r="D41" s="21"/>
      <c r="E41" s="20"/>
      <c r="F41" s="20"/>
      <c r="G41" s="3"/>
      <c r="H41" s="19"/>
    </row>
    <row r="42" spans="1:20" ht="15.75" customHeight="1" x14ac:dyDescent="0.3">
      <c r="A42" s="20"/>
      <c r="B42" s="20"/>
      <c r="C42" s="20"/>
      <c r="D42" s="21"/>
      <c r="E42" s="20"/>
      <c r="F42" s="20"/>
      <c r="G42" s="3"/>
      <c r="H42" s="19"/>
    </row>
    <row r="43" spans="1:20" ht="15.75" customHeight="1" x14ac:dyDescent="0.35">
      <c r="A43" s="95"/>
      <c r="B43" s="95"/>
      <c r="C43" s="95"/>
      <c r="D43" s="96"/>
      <c r="E43" s="95" t="s">
        <v>99</v>
      </c>
      <c r="F43" s="95"/>
      <c r="G43" s="3"/>
      <c r="H43" s="19"/>
    </row>
    <row r="44" spans="1:20" ht="15.75" customHeight="1" x14ac:dyDescent="0.25">
      <c r="D44" s="4"/>
      <c r="H44" s="4"/>
    </row>
    <row r="45" spans="1:20" ht="15.75" customHeight="1" x14ac:dyDescent="0.25">
      <c r="D45" s="4"/>
      <c r="H45" s="4"/>
    </row>
    <row r="46" spans="1:20" ht="15.75" customHeight="1" x14ac:dyDescent="0.25">
      <c r="D46" s="4"/>
      <c r="H46" s="4"/>
    </row>
    <row r="47" spans="1:20" ht="15.75" customHeight="1" x14ac:dyDescent="0.25">
      <c r="D47" s="4"/>
      <c r="H47" s="4"/>
    </row>
    <row r="48" spans="1:20" ht="15.75" customHeight="1" x14ac:dyDescent="0.25">
      <c r="D48" s="4"/>
      <c r="H48" s="4"/>
    </row>
    <row r="49" spans="1:20" ht="15.75" customHeight="1" x14ac:dyDescent="0.25">
      <c r="A49" s="14" t="s">
        <v>14</v>
      </c>
      <c r="B49" s="14"/>
      <c r="C49" s="14"/>
      <c r="D49" s="14"/>
      <c r="E49" s="14"/>
      <c r="F49" s="14"/>
      <c r="G49" s="14"/>
      <c r="H49" s="14"/>
    </row>
    <row r="50" spans="1:20" ht="15.75" customHeight="1" x14ac:dyDescent="0.25">
      <c r="D50" s="4"/>
      <c r="H50" s="8"/>
    </row>
    <row r="51" spans="1:20" ht="15.75" customHeight="1" x14ac:dyDescent="0.25">
      <c r="A51" s="15"/>
      <c r="B51" s="15"/>
      <c r="C51" s="16"/>
      <c r="D51" s="17"/>
      <c r="E51" s="18"/>
      <c r="F51" s="18"/>
      <c r="G51" s="18"/>
      <c r="H51" s="19"/>
    </row>
    <row r="52" spans="1:20" ht="15.75" customHeight="1" x14ac:dyDescent="0.3">
      <c r="A52" s="20"/>
      <c r="B52" s="20"/>
      <c r="C52" s="20"/>
      <c r="D52" s="21"/>
      <c r="F52" s="22" t="s">
        <v>18</v>
      </c>
      <c r="G52" s="23" t="s">
        <v>100</v>
      </c>
      <c r="H52" s="24"/>
    </row>
    <row r="53" spans="1:20" ht="15.75" customHeight="1" x14ac:dyDescent="0.3">
      <c r="A53" s="20" t="s">
        <v>20</v>
      </c>
      <c r="B53" s="20"/>
      <c r="C53" s="20"/>
      <c r="D53" s="21"/>
      <c r="F53" s="22" t="s">
        <v>21</v>
      </c>
      <c r="G53" s="25" t="s">
        <v>101</v>
      </c>
      <c r="H53" s="26"/>
      <c r="I53" s="20"/>
      <c r="J53" s="20"/>
      <c r="K53" s="20"/>
      <c r="L53" s="20"/>
      <c r="M53" s="20"/>
      <c r="N53" s="20"/>
      <c r="O53" s="20"/>
      <c r="P53" s="20"/>
      <c r="Q53" s="20"/>
      <c r="R53" s="20"/>
      <c r="S53" s="20"/>
      <c r="T53" s="20"/>
    </row>
    <row r="54" spans="1:20" ht="15.75" customHeight="1" x14ac:dyDescent="0.35">
      <c r="A54" s="20" t="inlineStr">
        <is>
          <t>Dealer-002</t>
        </is>
      </c>
      <c r="B54" s="20"/>
      <c r="C54" s="20"/>
      <c r="D54" s="21"/>
      <c r="E54" s="27"/>
      <c r="F54" s="20"/>
      <c r="G54" s="20"/>
      <c r="H54" s="98"/>
      <c r="I54" s="20"/>
      <c r="J54" s="20"/>
      <c r="K54" s="20"/>
      <c r="L54" s="20"/>
      <c r="M54" s="20"/>
      <c r="N54" s="20"/>
      <c r="O54" s="20"/>
      <c r="P54" s="20"/>
      <c r="Q54" s="20"/>
      <c r="R54" s="20"/>
      <c r="S54" s="20"/>
      <c r="T54" s="20"/>
    </row>
    <row r="55" spans="1:20" ht="15.75" customHeight="1" x14ac:dyDescent="0.35">
      <c r="A55" s="20" t="inlineStr">
        <is>
          <t>Address line (redacted)</t>
        </is>
      </c>
      <c r="B55" s="20"/>
      <c r="C55" s="20"/>
      <c r="D55" s="30"/>
      <c r="E55" s="20"/>
      <c r="F55" s="21"/>
      <c r="G55" s="20"/>
      <c r="H55" s="98"/>
    </row>
    <row r="56" spans="1:20" ht="15.75" customHeight="1" x14ac:dyDescent="0.35">
      <c r="A56" s="25" t="inlineStr">
        <is>
          <t>Address line (redacted)</t>
        </is>
      </c>
      <c r="B56" s="20"/>
      <c r="C56" s="20"/>
      <c r="D56" s="30"/>
      <c r="E56" s="20"/>
      <c r="F56" s="21"/>
      <c r="G56" s="20"/>
      <c r="H56" s="19"/>
    </row>
    <row r="57" spans="1:20" ht="15.75" customHeight="1" x14ac:dyDescent="0.3">
      <c r="A57" s="31"/>
      <c r="B57" s="20"/>
      <c r="C57" s="20"/>
      <c r="D57" s="21"/>
      <c r="E57" s="20"/>
      <c r="F57" s="21"/>
      <c r="G57" s="20"/>
      <c r="H57" s="19"/>
    </row>
    <row r="58" spans="1:20" ht="15.75" customHeight="1" x14ac:dyDescent="0.3">
      <c r="A58" s="20" t="s">
        <v>30</v>
      </c>
      <c r="B58" s="20"/>
      <c r="C58" s="20"/>
      <c r="D58" s="21"/>
      <c r="E58" s="20"/>
      <c r="F58" s="21"/>
      <c r="G58" s="20"/>
      <c r="H58" s="19"/>
    </row>
    <row r="59" spans="1:20" ht="15.75" customHeight="1" x14ac:dyDescent="0.3">
      <c r="A59" s="20"/>
      <c r="B59" s="20"/>
      <c r="C59" s="20"/>
      <c r="D59" s="21"/>
      <c r="E59" s="20"/>
      <c r="F59" s="21"/>
      <c r="G59" s="20"/>
      <c r="H59" s="19"/>
    </row>
    <row r="60" spans="1:20" ht="15.75" customHeight="1" x14ac:dyDescent="0.3">
      <c r="A60" s="20" t="s">
        <v>31</v>
      </c>
      <c r="B60" s="20"/>
      <c r="C60" s="20"/>
      <c r="D60" s="21"/>
      <c r="E60" s="20"/>
      <c r="F60" s="21"/>
      <c r="G60" s="20"/>
      <c r="H60" s="19"/>
    </row>
    <row r="61" spans="1:20" ht="15.75" customHeight="1" x14ac:dyDescent="0.3">
      <c r="A61" s="20" t="s">
        <v>32</v>
      </c>
      <c r="B61" s="20"/>
      <c r="C61" s="20"/>
      <c r="D61" s="21"/>
      <c r="E61" s="20"/>
      <c r="F61" s="21"/>
      <c r="G61" s="20"/>
      <c r="H61" s="19"/>
    </row>
    <row r="62" spans="1:20" ht="15.75" customHeight="1" x14ac:dyDescent="0.3">
      <c r="A62" s="20"/>
      <c r="B62" s="20"/>
      <c r="C62" s="20"/>
      <c r="D62" s="21"/>
      <c r="E62" s="20"/>
      <c r="F62" s="21"/>
      <c r="G62" s="20"/>
      <c r="H62" s="19"/>
    </row>
    <row r="63" spans="1:20" ht="15.75" customHeight="1" x14ac:dyDescent="0.25">
      <c r="A63" s="32" t="s">
        <v>33</v>
      </c>
      <c r="B63" s="33" t="s">
        <v>6</v>
      </c>
      <c r="C63" s="33"/>
      <c r="D63" s="34" t="s">
        <v>37</v>
      </c>
      <c r="E63" s="35" t="s">
        <v>38</v>
      </c>
      <c r="F63" s="37" t="s">
        <v>7</v>
      </c>
      <c r="G63" s="38" t="s">
        <v>43</v>
      </c>
      <c r="H63" s="39" t="s">
        <v>44</v>
      </c>
    </row>
    <row r="64" spans="1:20" ht="15.75" customHeight="1" x14ac:dyDescent="0.25">
      <c r="A64" s="40"/>
      <c r="B64" s="41"/>
      <c r="C64" s="42"/>
      <c r="D64" s="43"/>
      <c r="E64" s="43"/>
      <c r="F64" s="44"/>
      <c r="G64" s="46"/>
      <c r="H64" s="48"/>
    </row>
    <row r="65" spans="1:8" ht="15.75" customHeight="1" x14ac:dyDescent="0.25">
      <c r="A65" s="49"/>
      <c r="B65" s="50" t="s">
        <v>50</v>
      </c>
      <c r="C65" s="51"/>
      <c r="D65" s="52"/>
      <c r="E65" s="52"/>
      <c r="F65" s="53"/>
      <c r="G65" s="52"/>
      <c r="H65" s="54"/>
    </row>
    <row r="66" spans="1:8" ht="15.75" customHeight="1" x14ac:dyDescent="0.25">
      <c r="A66" s="49" t="s">
        <v>55</v>
      </c>
      <c r="B66" s="55" t="s">
        <v>108</v>
      </c>
      <c r="C66" s="56" t="s">
        <v>109</v>
      </c>
      <c r="D66" s="52">
        <f>200/25</f>
      </c>
      <c r="E66" s="52">
        <v>25</v>
      </c>
      <c r="F66" s="53">
        <f>+E66*D66</f>
      </c>
      <c r="G66" s="52">
        <v>1</v>
      </c>
      <c r="H66" s="54">
        <f>+G66*F66</f>
      </c>
    </row>
    <row r="67" spans="1:8" ht="15.75" customHeight="1" x14ac:dyDescent="0.25">
      <c r="A67" s="49"/>
      <c r="B67" s="55"/>
      <c r="C67" s="56"/>
      <c r="D67" s="52"/>
      <c r="E67" s="52"/>
      <c r="F67" s="53"/>
      <c r="G67" s="52"/>
      <c r="H67" s="54"/>
    </row>
    <row r="68" spans="1:8" ht="15.75" customHeight="1" x14ac:dyDescent="0.25">
      <c r="A68" s="49"/>
      <c r="B68" s="55"/>
      <c r="C68" s="56"/>
      <c r="D68" s="52"/>
      <c r="E68" s="52"/>
      <c r="F68" s="53"/>
      <c r="G68" s="52"/>
      <c r="H68" s="54"/>
    </row>
    <row r="69" spans="1:8" ht="15.75" customHeight="1" x14ac:dyDescent="0.3">
      <c r="A69" s="62"/>
      <c r="B69" s="55"/>
      <c r="C69" s="63"/>
      <c r="D69" s="65"/>
      <c r="E69" s="65"/>
      <c r="F69" s="53"/>
      <c r="G69" s="52"/>
      <c r="H69" s="67"/>
    </row>
    <row r="70" spans="1:8" ht="15.75" customHeight="1" x14ac:dyDescent="0.3">
      <c r="A70" s="62"/>
      <c r="B70" s="69"/>
      <c r="C70" s="63"/>
      <c r="D70" s="65"/>
      <c r="E70" s="65"/>
      <c r="F70" s="53"/>
      <c r="G70" s="52"/>
      <c r="H70" s="67"/>
    </row>
    <row r="71" spans="1:8" ht="15.75" customHeight="1" x14ac:dyDescent="0.3">
      <c r="A71" s="71"/>
      <c r="B71" s="72"/>
      <c r="C71" s="73"/>
      <c r="D71" s="65"/>
      <c r="E71" s="65"/>
      <c r="F71" s="74"/>
      <c r="G71" s="75"/>
      <c r="H71" s="67"/>
    </row>
    <row r="72" spans="1:8" ht="15.75" customHeight="1" x14ac:dyDescent="0.25">
      <c r="A72" s="77"/>
      <c r="B72" s="78"/>
      <c r="C72" s="79" t="s">
        <v>85</v>
      </c>
      <c r="D72" s="81">
        <f>SUM(D65:D71)</f>
      </c>
      <c r="E72" s="81"/>
      <c r="F72" s="82">
        <f>SUM(F65:F71)</f>
      </c>
      <c r="G72" s="83"/>
      <c r="H72" s="84">
        <f>SUM(H66:H71)</f>
      </c>
    </row>
    <row r="73" spans="1:8" ht="15.75" customHeight="1" x14ac:dyDescent="0.3">
      <c r="A73" s="86"/>
      <c r="B73" s="87"/>
      <c r="C73" s="87"/>
      <c r="D73" s="88"/>
      <c r="E73" s="87"/>
      <c r="F73" s="89"/>
      <c r="G73" s="91"/>
      <c r="H73" s="92"/>
    </row>
    <row r="74" spans="1:8" ht="15.75" customHeight="1" x14ac:dyDescent="0.35">
      <c r="A74" s="93"/>
      <c r="B74" s="21"/>
      <c r="C74" s="21"/>
      <c r="D74" s="21"/>
      <c r="E74" s="20"/>
      <c r="F74" s="93"/>
      <c r="G74" s="20"/>
      <c r="H74" s="19"/>
    </row>
    <row r="75" spans="1:8" ht="15.75" customHeight="1" x14ac:dyDescent="0.35">
      <c r="A75" s="95"/>
      <c r="B75" s="95"/>
      <c r="C75" s="95"/>
      <c r="D75" s="96" t="s">
        <v>97</v>
      </c>
      <c r="E75" s="95" t="s">
        <v>98</v>
      </c>
      <c r="F75" s="95"/>
      <c r="G75" s="3"/>
      <c r="H75" s="19"/>
    </row>
    <row r="76" spans="1:8" ht="15.75" customHeight="1" x14ac:dyDescent="0.3">
      <c r="A76" s="20"/>
      <c r="B76" s="20"/>
      <c r="C76" s="20"/>
      <c r="D76" s="21"/>
      <c r="E76" s="20"/>
      <c r="F76" s="20"/>
      <c r="G76" s="3"/>
      <c r="H76" s="19"/>
    </row>
    <row r="77" spans="1:8" ht="15.75" customHeight="1" x14ac:dyDescent="0.3">
      <c r="A77" s="20"/>
      <c r="B77" s="20"/>
      <c r="C77" s="20"/>
      <c r="D77" s="21"/>
      <c r="E77" s="20"/>
      <c r="F77" s="20"/>
      <c r="G77" s="3"/>
      <c r="H77" s="19"/>
    </row>
    <row r="78" spans="1:8" ht="15.75" customHeight="1" x14ac:dyDescent="0.35">
      <c r="A78" s="95"/>
      <c r="B78" s="95"/>
      <c r="C78" s="95"/>
      <c r="D78" s="96"/>
      <c r="E78" s="95" t="s">
        <v>99</v>
      </c>
      <c r="F78" s="95"/>
      <c r="G78" s="3"/>
      <c r="H78" s="19"/>
    </row>
    <row r="79" spans="1:8" ht="15.75" customHeight="1" x14ac:dyDescent="0.25">
      <c r="D79" s="4"/>
      <c r="H79" s="4"/>
    </row>
    <row r="80" spans="1:8" ht="15.75" customHeight="1" x14ac:dyDescent="0.25">
      <c r="D80" s="4"/>
      <c r="H80" s="4"/>
    </row>
    <row r="81" spans="1:20" ht="15.75" customHeight="1" x14ac:dyDescent="0.25">
      <c r="D81" s="4"/>
      <c r="H81" s="4"/>
    </row>
    <row r="82" spans="1:20" ht="15.75" customHeight="1" x14ac:dyDescent="0.25">
      <c r="D82" s="4"/>
      <c r="H82" s="4"/>
    </row>
    <row r="83" spans="1:20" ht="15.75" customHeight="1" x14ac:dyDescent="0.25">
      <c r="D83" s="4"/>
      <c r="H83" s="4"/>
    </row>
    <row r="84" spans="1:20" ht="15.75" customHeight="1" x14ac:dyDescent="0.25">
      <c r="D84" s="4"/>
      <c r="H84" s="4"/>
    </row>
    <row r="85" spans="1:20" ht="15.75" customHeight="1" x14ac:dyDescent="0.25">
      <c r="D85" s="4"/>
      <c r="H85" s="4"/>
    </row>
    <row r="86" spans="1:20" ht="15.75" customHeight="1" x14ac:dyDescent="0.25">
      <c r="D86" s="4"/>
      <c r="H86" s="4"/>
    </row>
    <row r="87" spans="1:20" ht="15.75" customHeight="1" x14ac:dyDescent="0.25">
      <c r="D87" s="4"/>
      <c r="H87" s="4"/>
    </row>
    <row r="88" spans="1:20" ht="15.75" customHeight="1" x14ac:dyDescent="0.25">
      <c r="D88" s="4"/>
      <c r="H88" s="4"/>
    </row>
    <row r="89" spans="1:20" ht="15.75" customHeight="1" x14ac:dyDescent="0.25">
      <c r="D89" s="4"/>
      <c r="H89" s="4"/>
    </row>
    <row r="90" spans="1:20" ht="15.75" customHeight="1" x14ac:dyDescent="0.25">
      <c r="A90" s="103" t="s">
        <v>14</v>
      </c>
      <c r="B90" s="103"/>
      <c r="C90" s="103"/>
      <c r="D90" s="103"/>
      <c r="E90" s="103"/>
      <c r="F90" s="103"/>
      <c r="G90" s="103"/>
      <c r="H90" s="103"/>
    </row>
    <row r="91" spans="1:20" ht="15.75" customHeight="1" x14ac:dyDescent="0.25">
      <c r="D91" s="4"/>
      <c r="H91" s="8"/>
    </row>
    <row r="92" spans="1:20" ht="15.75" customHeight="1" x14ac:dyDescent="0.3">
      <c r="A92" s="15"/>
      <c r="B92" s="15"/>
      <c r="C92" s="16"/>
      <c r="D92" s="17"/>
      <c r="E92" s="18"/>
      <c r="F92" s="18"/>
      <c r="G92" s="18"/>
      <c r="H92" s="19"/>
      <c r="I92" s="25"/>
      <c r="J92" s="25"/>
      <c r="K92" s="25"/>
      <c r="L92" s="25"/>
      <c r="M92" s="25"/>
      <c r="N92" s="25"/>
      <c r="O92" s="25"/>
      <c r="P92" s="25"/>
      <c r="Q92" s="25"/>
      <c r="R92" s="25"/>
      <c r="S92" s="25"/>
      <c r="T92" s="25"/>
    </row>
    <row r="93" spans="1:20" ht="15.75" customHeight="1" x14ac:dyDescent="0.3">
      <c r="A93" s="25"/>
      <c r="B93" s="25"/>
      <c r="C93" s="25"/>
      <c r="D93" s="26"/>
      <c r="E93" s="25"/>
      <c r="F93" s="22" t="s">
        <v>18</v>
      </c>
      <c r="G93" s="23" t="s">
        <v>100</v>
      </c>
      <c r="H93" s="24"/>
      <c r="I93" s="25"/>
      <c r="J93" s="25"/>
      <c r="K93" s="25"/>
      <c r="L93" s="25"/>
      <c r="M93" s="25"/>
      <c r="N93" s="25"/>
      <c r="O93" s="25"/>
      <c r="P93" s="25"/>
      <c r="Q93" s="25"/>
      <c r="R93" s="25"/>
      <c r="S93" s="25"/>
      <c r="T93" s="25"/>
    </row>
    <row r="94" spans="1:20" ht="15.75" customHeight="1" x14ac:dyDescent="0.3">
      <c r="A94" s="25" t="s">
        <v>20</v>
      </c>
      <c r="B94" s="25"/>
      <c r="C94" s="25"/>
      <c r="D94" s="26"/>
      <c r="E94" s="25"/>
      <c r="F94" s="22" t="s">
        <v>21</v>
      </c>
      <c r="G94" s="25" t="s">
        <v>115</v>
      </c>
      <c r="H94" s="26"/>
      <c r="I94" s="25"/>
      <c r="J94" s="25"/>
      <c r="K94" s="25"/>
      <c r="L94" s="25"/>
      <c r="M94" s="25"/>
      <c r="N94" s="25"/>
      <c r="O94" s="25"/>
      <c r="P94" s="25"/>
      <c r="Q94" s="25"/>
      <c r="R94" s="25"/>
      <c r="S94" s="25"/>
      <c r="T94" s="25"/>
    </row>
    <row r="95" spans="1:20" ht="15.75" customHeight="1" x14ac:dyDescent="0.3">
      <c r="A95" s="25" t="inlineStr">
        <is>
          <t>Dealer-003</t>
        </is>
      </c>
      <c r="B95" s="25"/>
      <c r="C95" s="25"/>
      <c r="D95" s="26"/>
      <c r="E95" s="22"/>
      <c r="F95" s="25"/>
      <c r="G95" s="25"/>
      <c r="H95" s="106"/>
      <c r="I95" s="25"/>
      <c r="J95" s="25"/>
      <c r="K95" s="25"/>
      <c r="L95" s="25"/>
      <c r="M95" s="25"/>
      <c r="N95" s="25"/>
      <c r="O95" s="25"/>
      <c r="P95" s="25"/>
      <c r="Q95" s="25"/>
      <c r="R95" s="25"/>
      <c r="S95" s="25"/>
      <c r="T95" s="25"/>
    </row>
    <row r="96" spans="1:20" ht="15.75" customHeight="1" x14ac:dyDescent="0.3">
      <c r="A96" s="25" t="inlineStr">
        <is>
          <t>Address line (redacted)</t>
        </is>
      </c>
      <c r="B96" s="25"/>
      <c r="C96" s="25"/>
      <c r="D96" s="109"/>
      <c r="E96" s="25"/>
      <c r="F96" s="26"/>
      <c r="G96" s="25"/>
      <c r="H96" s="106"/>
      <c r="I96" s="25"/>
      <c r="J96" s="25"/>
      <c r="K96" s="25"/>
      <c r="L96" s="25"/>
      <c r="M96" s="25"/>
      <c r="N96" s="25"/>
      <c r="O96" s="25"/>
      <c r="P96" s="25"/>
      <c r="Q96" s="25"/>
      <c r="R96" s="25"/>
      <c r="S96" s="25"/>
      <c r="T96" s="25"/>
    </row>
    <row r="97" spans="1:20" ht="15.75" customHeight="1" x14ac:dyDescent="0.3">
      <c r="A97" s="25" t="inlineStr">
        <is>
          <t>Address line (redacted)</t>
        </is>
      </c>
      <c r="B97" s="25"/>
      <c r="C97" s="25"/>
      <c r="D97" s="109"/>
      <c r="E97" s="25"/>
      <c r="F97" s="26"/>
      <c r="G97" s="25"/>
      <c r="H97" s="106"/>
      <c r="I97" s="25"/>
      <c r="J97" s="25"/>
      <c r="K97" s="25"/>
      <c r="L97" s="25"/>
      <c r="M97" s="25"/>
      <c r="N97" s="25"/>
      <c r="O97" s="25"/>
      <c r="P97" s="25"/>
      <c r="Q97" s="25"/>
      <c r="R97" s="25"/>
      <c r="S97" s="25"/>
      <c r="T97" s="25"/>
    </row>
    <row r="98" spans="1:20" ht="15.75" customHeight="1" x14ac:dyDescent="0.3">
      <c r="A98" s="114"/>
      <c r="B98" s="25"/>
      <c r="C98" s="25"/>
      <c r="D98" s="26"/>
      <c r="E98" s="25"/>
      <c r="F98" s="26"/>
      <c r="G98" s="25"/>
      <c r="H98" s="106"/>
      <c r="I98" s="25"/>
      <c r="J98" s="25"/>
      <c r="K98" s="25"/>
      <c r="L98" s="25"/>
      <c r="M98" s="25"/>
      <c r="N98" s="25"/>
      <c r="O98" s="25"/>
      <c r="P98" s="25"/>
      <c r="Q98" s="25"/>
      <c r="R98" s="25"/>
      <c r="S98" s="25"/>
      <c r="T98" s="25"/>
    </row>
    <row r="99" spans="1:20" ht="15.75" customHeight="1" x14ac:dyDescent="0.3">
      <c r="A99" s="25" t="s">
        <v>30</v>
      </c>
      <c r="B99" s="25"/>
      <c r="C99" s="25"/>
      <c r="D99" s="26"/>
      <c r="E99" s="25"/>
      <c r="F99" s="26"/>
      <c r="G99" s="25"/>
      <c r="H99" s="106"/>
      <c r="I99" s="25"/>
      <c r="J99" s="25"/>
      <c r="K99" s="25"/>
      <c r="L99" s="25"/>
      <c r="M99" s="25"/>
      <c r="N99" s="25"/>
      <c r="O99" s="25"/>
      <c r="P99" s="25"/>
      <c r="Q99" s="25"/>
      <c r="R99" s="25"/>
      <c r="S99" s="25"/>
      <c r="T99" s="25"/>
    </row>
    <row r="100" spans="1:20" ht="15.75" customHeight="1" x14ac:dyDescent="0.3">
      <c r="A100" s="25"/>
      <c r="B100" s="25"/>
      <c r="C100" s="25"/>
      <c r="D100" s="26"/>
      <c r="E100" s="25"/>
      <c r="F100" s="26"/>
      <c r="G100" s="25"/>
      <c r="H100" s="106"/>
      <c r="I100" s="25"/>
      <c r="J100" s="25"/>
      <c r="K100" s="25"/>
      <c r="L100" s="25"/>
      <c r="M100" s="25"/>
      <c r="N100" s="25"/>
      <c r="O100" s="25"/>
      <c r="P100" s="25"/>
      <c r="Q100" s="25"/>
      <c r="R100" s="25"/>
      <c r="S100" s="25"/>
      <c r="T100" s="25"/>
    </row>
    <row r="101" spans="1:20" ht="15.75" customHeight="1" x14ac:dyDescent="0.3">
      <c r="A101" s="25" t="s">
        <v>31</v>
      </c>
      <c r="B101" s="25"/>
      <c r="C101" s="25"/>
      <c r="D101" s="26"/>
      <c r="E101" s="25"/>
      <c r="F101" s="26"/>
      <c r="G101" s="25"/>
      <c r="H101" s="106"/>
      <c r="I101" s="25"/>
      <c r="J101" s="25"/>
      <c r="K101" s="25"/>
      <c r="L101" s="25"/>
      <c r="M101" s="25"/>
      <c r="N101" s="25"/>
      <c r="O101" s="25"/>
      <c r="P101" s="25"/>
      <c r="Q101" s="25"/>
      <c r="R101" s="25"/>
      <c r="S101" s="25"/>
      <c r="T101" s="25"/>
    </row>
    <row r="102" spans="1:20" ht="15.75" customHeight="1" x14ac:dyDescent="0.3">
      <c r="A102" s="25" t="s">
        <v>32</v>
      </c>
      <c r="B102" s="25"/>
      <c r="C102" s="25"/>
      <c r="D102" s="26"/>
      <c r="E102" s="25"/>
      <c r="F102" s="26"/>
      <c r="G102" s="25"/>
      <c r="H102" s="106"/>
      <c r="I102" s="25"/>
      <c r="J102" s="25"/>
      <c r="K102" s="25"/>
      <c r="L102" s="25"/>
      <c r="M102" s="25"/>
      <c r="N102" s="25"/>
      <c r="O102" s="25"/>
      <c r="P102" s="25"/>
      <c r="Q102" s="25"/>
      <c r="R102" s="25"/>
      <c r="S102" s="25"/>
      <c r="T102" s="25"/>
    </row>
    <row r="103" spans="1:20" ht="15.75" customHeight="1" x14ac:dyDescent="0.3">
      <c r="A103" s="25"/>
      <c r="B103" s="25"/>
      <c r="C103" s="25"/>
      <c r="D103" s="26"/>
      <c r="E103" s="25"/>
      <c r="F103" s="26"/>
      <c r="G103" s="25"/>
      <c r="H103" s="106"/>
      <c r="I103" s="25"/>
      <c r="J103" s="25"/>
      <c r="K103" s="25"/>
      <c r="L103" s="25"/>
      <c r="M103" s="25"/>
      <c r="N103" s="25"/>
      <c r="O103" s="25"/>
      <c r="P103" s="25"/>
      <c r="Q103" s="25"/>
      <c r="R103" s="25"/>
      <c r="S103" s="25"/>
      <c r="T103" s="25"/>
    </row>
    <row r="104" spans="1:20" ht="15.75" customHeight="1" x14ac:dyDescent="0.3">
      <c r="A104" s="118" t="s">
        <v>33</v>
      </c>
      <c r="B104" s="121" t="s">
        <v>6</v>
      </c>
      <c r="C104" s="121"/>
      <c r="D104" s="123" t="s">
        <v>37</v>
      </c>
      <c r="E104" s="125" t="s">
        <v>38</v>
      </c>
      <c r="F104" s="127" t="s">
        <v>7</v>
      </c>
      <c r="G104" s="129" t="s">
        <v>43</v>
      </c>
      <c r="H104" s="130" t="s">
        <v>44</v>
      </c>
      <c r="I104" s="25"/>
      <c r="J104" s="25"/>
      <c r="K104" s="25"/>
      <c r="L104" s="25"/>
      <c r="M104" s="25"/>
      <c r="N104" s="25"/>
      <c r="O104" s="25"/>
      <c r="P104" s="25"/>
      <c r="Q104" s="25"/>
      <c r="R104" s="25"/>
      <c r="S104" s="25"/>
      <c r="T104" s="25"/>
    </row>
    <row r="105" spans="1:20" ht="15.75" customHeight="1" x14ac:dyDescent="0.3">
      <c r="A105" s="133"/>
      <c r="B105" s="135"/>
      <c r="C105" s="136"/>
      <c r="D105" s="138"/>
      <c r="E105" s="138"/>
      <c r="F105" s="139"/>
      <c r="G105" s="141"/>
      <c r="H105" s="143"/>
      <c r="I105" s="25"/>
      <c r="J105" s="25"/>
      <c r="K105" s="25"/>
      <c r="L105" s="25"/>
      <c r="M105" s="25"/>
      <c r="N105" s="25"/>
      <c r="O105" s="25"/>
      <c r="P105" s="25"/>
      <c r="Q105" s="25"/>
      <c r="R105" s="25"/>
      <c r="S105" s="25"/>
      <c r="T105" s="25"/>
    </row>
    <row r="106" spans="1:20" ht="15.75" customHeight="1" x14ac:dyDescent="0.3">
      <c r="A106" s="145"/>
      <c r="B106" s="147" t="s">
        <v>50</v>
      </c>
      <c r="C106" s="148"/>
      <c r="D106" s="149"/>
      <c r="E106" s="149"/>
      <c r="F106" s="26"/>
      <c r="G106" s="149"/>
      <c r="H106" s="151"/>
      <c r="I106" s="25"/>
      <c r="J106" s="25"/>
      <c r="K106" s="25"/>
      <c r="L106" s="25"/>
      <c r="M106" s="25"/>
      <c r="N106" s="25"/>
      <c r="O106" s="25"/>
      <c r="P106" s="25"/>
      <c r="Q106" s="25"/>
      <c r="R106" s="25"/>
      <c r="S106" s="25"/>
      <c r="T106" s="25"/>
    </row>
    <row r="107" spans="1:20" ht="15.75" customHeight="1" x14ac:dyDescent="0.3">
      <c r="A107" s="145" t="s">
        <v>55</v>
      </c>
      <c r="B107" s="153" t="s">
        <v>441</v>
      </c>
      <c r="C107" s="154" t="s">
        <v>69</v>
      </c>
      <c r="D107" s="149">
        <v>4</v>
      </c>
      <c r="E107" s="149">
        <v>25</v>
      </c>
      <c r="F107" s="26">
        <f t="shared" ref="F107:F109" si="0">+E107*D107</f>
      </c>
      <c r="G107" s="149">
        <v>1</v>
      </c>
      <c r="H107" s="151">
        <f t="shared" ref="H107:H109" si="1">+G107*F107</f>
      </c>
      <c r="I107" s="25"/>
      <c r="J107" s="25"/>
      <c r="K107" s="25"/>
      <c r="L107" s="25"/>
      <c r="M107" s="25"/>
      <c r="N107" s="25"/>
      <c r="O107" s="25"/>
      <c r="P107" s="25"/>
      <c r="Q107" s="25"/>
      <c r="R107" s="25"/>
      <c r="S107" s="25"/>
      <c r="T107" s="25"/>
    </row>
    <row r="108" spans="1:20" ht="15.75" customHeight="1" x14ac:dyDescent="0.3">
      <c r="A108" s="145" t="s">
        <v>59</v>
      </c>
      <c r="B108" s="157" t="s">
        <v>225</v>
      </c>
      <c r="C108" s="158" t="s">
        <v>422</v>
      </c>
      <c r="D108" s="149">
        <v>4</v>
      </c>
      <c r="E108" s="149">
        <v>25</v>
      </c>
      <c r="F108" s="26">
        <f t="shared" si="0"/>
      </c>
      <c r="G108" s="149">
        <v>1</v>
      </c>
      <c r="H108" s="151">
        <f t="shared" si="1"/>
      </c>
      <c r="I108" s="25"/>
      <c r="J108" s="25"/>
      <c r="K108" s="25"/>
      <c r="L108" s="25"/>
      <c r="M108" s="25"/>
      <c r="N108" s="25"/>
      <c r="O108" s="25"/>
      <c r="P108" s="25"/>
      <c r="Q108" s="25"/>
      <c r="R108" s="25"/>
      <c r="S108" s="25"/>
      <c r="T108" s="25"/>
    </row>
    <row r="109" spans="1:20" ht="15.75" customHeight="1" x14ac:dyDescent="0.3">
      <c r="A109" s="145" t="s">
        <v>67</v>
      </c>
      <c r="B109" s="161" t="s">
        <v>53</v>
      </c>
      <c r="C109" s="158" t="s">
        <v>429</v>
      </c>
      <c r="D109" s="149">
        <v>1</v>
      </c>
      <c r="E109" s="149">
        <v>20</v>
      </c>
      <c r="F109" s="26">
        <f t="shared" si="0"/>
      </c>
      <c r="G109" s="149">
        <v>1</v>
      </c>
      <c r="H109" s="151">
        <f t="shared" si="1"/>
      </c>
      <c r="I109" s="25"/>
      <c r="J109" s="25"/>
      <c r="K109" s="25"/>
      <c r="L109" s="25"/>
      <c r="M109" s="25"/>
      <c r="N109" s="25"/>
      <c r="O109" s="25"/>
      <c r="P109" s="25"/>
      <c r="Q109" s="25"/>
      <c r="R109" s="25"/>
      <c r="S109" s="25"/>
      <c r="T109" s="25"/>
    </row>
    <row r="110" spans="1:20" ht="15.75" customHeight="1" x14ac:dyDescent="0.3">
      <c r="A110" s="145"/>
      <c r="B110" s="161"/>
      <c r="C110" s="25"/>
      <c r="D110" s="149"/>
      <c r="E110" s="149"/>
      <c r="F110" s="26"/>
      <c r="G110" s="149"/>
      <c r="H110" s="151"/>
      <c r="I110" s="25"/>
      <c r="J110" s="25"/>
      <c r="K110" s="25"/>
      <c r="L110" s="25"/>
      <c r="M110" s="25"/>
      <c r="N110" s="25"/>
      <c r="O110" s="25"/>
      <c r="P110" s="25"/>
      <c r="Q110" s="25"/>
      <c r="R110" s="25"/>
      <c r="S110" s="25"/>
      <c r="T110" s="25"/>
    </row>
    <row r="111" spans="1:20" ht="15.75" customHeight="1" x14ac:dyDescent="0.3">
      <c r="A111" s="145"/>
      <c r="B111" s="162" t="s">
        <v>51</v>
      </c>
      <c r="C111" s="163"/>
      <c r="D111" s="149"/>
      <c r="E111" s="149"/>
      <c r="F111" s="26"/>
      <c r="G111" s="149"/>
      <c r="H111" s="151"/>
      <c r="I111" s="25"/>
      <c r="J111" s="25"/>
      <c r="K111" s="25"/>
      <c r="L111" s="25"/>
      <c r="M111" s="25"/>
      <c r="N111" s="25"/>
      <c r="O111" s="25"/>
      <c r="P111" s="25"/>
      <c r="Q111" s="25"/>
      <c r="R111" s="25"/>
      <c r="S111" s="25"/>
      <c r="T111" s="25"/>
    </row>
    <row r="112" spans="1:20" ht="15.75" customHeight="1" x14ac:dyDescent="0.3">
      <c r="A112" s="145" t="s">
        <v>485</v>
      </c>
      <c r="B112" s="164" t="s">
        <v>217</v>
      </c>
      <c r="C112" s="153" t="s">
        <v>388</v>
      </c>
      <c r="D112" s="149">
        <v>9</v>
      </c>
      <c r="E112" s="149">
        <v>1</v>
      </c>
      <c r="F112" s="26">
        <f>+E112*D112</f>
      </c>
      <c r="G112" s="149">
        <v>1</v>
      </c>
      <c r="H112" s="151">
        <f>+G112*F112</f>
      </c>
      <c r="I112" s="165"/>
      <c r="J112" s="165"/>
      <c r="K112" s="165"/>
      <c r="L112" s="165"/>
      <c r="M112" s="165"/>
      <c r="N112" s="165"/>
      <c r="O112" s="165"/>
      <c r="P112" s="165"/>
      <c r="Q112" s="165"/>
      <c r="R112" s="165"/>
      <c r="S112" s="165"/>
      <c r="T112" s="165"/>
    </row>
    <row r="113" spans="1:20" ht="15.75" customHeight="1" x14ac:dyDescent="0.3">
      <c r="A113" s="166" t="s">
        <v>486</v>
      </c>
      <c r="B113" s="167" t="s">
        <v>487</v>
      </c>
      <c r="C113" s="165"/>
      <c r="D113" s="168">
        <v>1</v>
      </c>
      <c r="E113" s="168" t="s">
        <v>488</v>
      </c>
      <c r="F113" s="168" t="s">
        <v>488</v>
      </c>
      <c r="G113" s="168">
        <v>0</v>
      </c>
      <c r="H113" s="169">
        <v>0</v>
      </c>
      <c r="I113" s="25"/>
      <c r="J113" s="25"/>
      <c r="K113" s="25"/>
      <c r="L113" s="25"/>
      <c r="M113" s="25"/>
      <c r="N113" s="25"/>
      <c r="O113" s="25"/>
      <c r="P113" s="25"/>
      <c r="Q113" s="25"/>
      <c r="R113" s="25"/>
      <c r="S113" s="25"/>
      <c r="T113" s="25"/>
    </row>
    <row r="114" spans="1:20" ht="15.75" customHeight="1" x14ac:dyDescent="0.3">
      <c r="A114" s="145" t="s">
        <v>489</v>
      </c>
      <c r="B114" s="164" t="s">
        <v>124</v>
      </c>
      <c r="C114" s="153" t="s">
        <v>402</v>
      </c>
      <c r="D114" s="149">
        <v>19</v>
      </c>
      <c r="E114" s="149">
        <v>1</v>
      </c>
      <c r="F114" s="26">
        <f t="shared" ref="F114:F115" si="2">+E114*D114</f>
      </c>
      <c r="G114" s="149">
        <v>1</v>
      </c>
      <c r="H114" s="151">
        <f t="shared" ref="H114:H115" si="3">+G114*F114</f>
      </c>
      <c r="I114" s="25"/>
      <c r="J114" s="25"/>
      <c r="K114" s="25"/>
      <c r="L114" s="25"/>
      <c r="M114" s="25"/>
      <c r="N114" s="25"/>
      <c r="O114" s="25"/>
      <c r="P114" s="25"/>
      <c r="Q114" s="25"/>
      <c r="R114" s="25"/>
      <c r="S114" s="25"/>
      <c r="T114" s="25"/>
    </row>
    <row r="115" spans="1:20" ht="15.75" customHeight="1" x14ac:dyDescent="0.3">
      <c r="A115" s="145" t="s">
        <v>490</v>
      </c>
      <c r="B115" s="171" t="s">
        <v>215</v>
      </c>
      <c r="C115" s="25" t="s">
        <v>386</v>
      </c>
      <c r="D115" s="149">
        <v>3</v>
      </c>
      <c r="E115" s="149">
        <v>4</v>
      </c>
      <c r="F115" s="26">
        <f t="shared" si="2"/>
      </c>
      <c r="G115" s="149">
        <v>1</v>
      </c>
      <c r="H115" s="151">
        <f t="shared" si="3"/>
      </c>
      <c r="I115" s="25"/>
      <c r="J115" s="25"/>
      <c r="K115" s="25"/>
      <c r="L115" s="25"/>
      <c r="M115" s="25"/>
      <c r="N115" s="25"/>
      <c r="O115" s="25"/>
      <c r="P115" s="25"/>
      <c r="Q115" s="25"/>
      <c r="R115" s="25"/>
      <c r="S115" s="25"/>
      <c r="T115" s="25"/>
    </row>
    <row r="116" spans="1:20" ht="15.75" customHeight="1" x14ac:dyDescent="0.3">
      <c r="A116" s="145"/>
      <c r="B116" s="173"/>
      <c r="C116" s="164"/>
      <c r="D116" s="149"/>
      <c r="E116" s="149"/>
      <c r="F116" s="26"/>
      <c r="G116" s="149"/>
      <c r="H116" s="151"/>
      <c r="I116" s="25"/>
      <c r="J116" s="25"/>
      <c r="K116" s="25"/>
      <c r="L116" s="25"/>
      <c r="M116" s="25"/>
      <c r="N116" s="25"/>
      <c r="O116" s="25"/>
      <c r="P116" s="25"/>
      <c r="Q116" s="25"/>
      <c r="R116" s="25"/>
      <c r="S116" s="25"/>
      <c r="T116" s="25"/>
    </row>
    <row r="117" spans="1:20" ht="15.75" customHeight="1" x14ac:dyDescent="0.3">
      <c r="A117" s="145"/>
      <c r="B117" s="174"/>
      <c r="C117" s="25"/>
      <c r="D117" s="149"/>
      <c r="E117" s="149"/>
      <c r="F117" s="26"/>
      <c r="G117" s="149"/>
      <c r="H117" s="151"/>
      <c r="I117" s="25"/>
      <c r="J117" s="25"/>
      <c r="K117" s="25"/>
      <c r="L117" s="25"/>
      <c r="M117" s="25"/>
      <c r="N117" s="25"/>
      <c r="O117" s="25"/>
      <c r="P117" s="25"/>
      <c r="Q117" s="25"/>
      <c r="R117" s="25"/>
      <c r="S117" s="25"/>
      <c r="T117" s="25"/>
    </row>
    <row r="118" spans="1:20" ht="15.75" customHeight="1" x14ac:dyDescent="0.3">
      <c r="A118" s="145"/>
      <c r="B118" s="174"/>
      <c r="C118" s="25"/>
      <c r="D118" s="149"/>
      <c r="E118" s="149"/>
      <c r="F118" s="26"/>
      <c r="G118" s="149"/>
      <c r="H118" s="151"/>
      <c r="I118" s="25"/>
      <c r="J118" s="25"/>
      <c r="K118" s="25"/>
      <c r="L118" s="25"/>
      <c r="M118" s="25"/>
      <c r="N118" s="25"/>
      <c r="O118" s="25"/>
      <c r="P118" s="25"/>
      <c r="Q118" s="25"/>
      <c r="R118" s="25"/>
      <c r="S118" s="25"/>
      <c r="T118" s="25"/>
    </row>
    <row r="119" spans="1:20" ht="15.75" customHeight="1" x14ac:dyDescent="0.3">
      <c r="A119" s="145"/>
      <c r="B119" s="174"/>
      <c r="C119" s="25"/>
      <c r="D119" s="149"/>
      <c r="E119" s="149"/>
      <c r="F119" s="26"/>
      <c r="G119" s="149"/>
      <c r="H119" s="151"/>
      <c r="I119" s="25"/>
      <c r="J119" s="25"/>
      <c r="K119" s="25"/>
      <c r="L119" s="25"/>
      <c r="M119" s="25"/>
      <c r="N119" s="25"/>
      <c r="O119" s="25"/>
      <c r="P119" s="25"/>
      <c r="Q119" s="25"/>
      <c r="R119" s="25"/>
      <c r="S119" s="25"/>
      <c r="T119" s="25"/>
    </row>
    <row r="120" spans="1:20" ht="15.75" customHeight="1" x14ac:dyDescent="0.3">
      <c r="A120" s="145"/>
      <c r="B120" s="174"/>
      <c r="C120" s="25"/>
      <c r="D120" s="149"/>
      <c r="E120" s="149"/>
      <c r="F120" s="26"/>
      <c r="G120" s="149"/>
      <c r="H120" s="151"/>
      <c r="I120" s="25"/>
      <c r="J120" s="25"/>
      <c r="K120" s="25"/>
      <c r="L120" s="25"/>
      <c r="M120" s="25"/>
      <c r="N120" s="25"/>
      <c r="O120" s="25"/>
      <c r="P120" s="25"/>
      <c r="Q120" s="25"/>
      <c r="R120" s="25"/>
      <c r="S120" s="25"/>
      <c r="T120" s="25"/>
    </row>
    <row r="121" spans="1:20" ht="15.75" customHeight="1" x14ac:dyDescent="0.3">
      <c r="A121" s="145"/>
      <c r="B121" s="174"/>
      <c r="C121" s="25"/>
      <c r="D121" s="149"/>
      <c r="E121" s="149"/>
      <c r="F121" s="26"/>
      <c r="G121" s="149"/>
      <c r="H121" s="151"/>
      <c r="I121" s="25"/>
      <c r="J121" s="25"/>
      <c r="K121" s="25"/>
      <c r="L121" s="25"/>
      <c r="M121" s="25"/>
      <c r="N121" s="25"/>
      <c r="O121" s="25"/>
      <c r="P121" s="25"/>
      <c r="Q121" s="25"/>
      <c r="R121" s="25"/>
      <c r="S121" s="25"/>
      <c r="T121" s="25"/>
    </row>
    <row r="122" spans="1:20" ht="15.75" customHeight="1" x14ac:dyDescent="0.3">
      <c r="A122" s="145"/>
      <c r="B122" s="174"/>
      <c r="C122" s="25"/>
      <c r="D122" s="149"/>
      <c r="E122" s="149"/>
      <c r="F122" s="26"/>
      <c r="G122" s="149"/>
      <c r="H122" s="151"/>
      <c r="I122" s="25"/>
      <c r="J122" s="25"/>
      <c r="K122" s="25"/>
      <c r="L122" s="25"/>
      <c r="M122" s="25"/>
      <c r="N122" s="25"/>
      <c r="O122" s="25"/>
      <c r="P122" s="25"/>
      <c r="Q122" s="25"/>
      <c r="R122" s="25"/>
      <c r="S122" s="25"/>
      <c r="T122" s="25"/>
    </row>
    <row r="123" spans="1:20" ht="15.75" customHeight="1" x14ac:dyDescent="0.3">
      <c r="A123" s="177"/>
      <c r="B123" s="139"/>
      <c r="C123" s="136"/>
      <c r="D123" s="149"/>
      <c r="E123" s="149"/>
      <c r="F123" s="179"/>
      <c r="G123" s="181"/>
      <c r="H123" s="151"/>
      <c r="I123" s="25"/>
      <c r="J123" s="25"/>
      <c r="K123" s="25"/>
      <c r="L123" s="25"/>
      <c r="M123" s="25"/>
      <c r="N123" s="25"/>
      <c r="O123" s="25"/>
      <c r="P123" s="25"/>
      <c r="Q123" s="25"/>
      <c r="R123" s="25"/>
      <c r="S123" s="25"/>
      <c r="T123" s="25"/>
    </row>
    <row r="124" spans="1:20" ht="15.75" customHeight="1" x14ac:dyDescent="0.3">
      <c r="A124" s="183"/>
      <c r="B124" s="184"/>
      <c r="C124" s="185" t="s">
        <v>85</v>
      </c>
      <c r="D124" s="186">
        <f>SUM(D106:D123)</f>
      </c>
      <c r="E124" s="186"/>
      <c r="F124" s="187"/>
      <c r="G124" s="188"/>
      <c r="H124" s="189">
        <f>SUM(H107:H123)</f>
      </c>
      <c r="I124" s="25"/>
      <c r="J124" s="25"/>
      <c r="K124" s="25"/>
      <c r="L124" s="25"/>
      <c r="M124" s="25"/>
      <c r="N124" s="25"/>
      <c r="O124" s="25"/>
      <c r="P124" s="25"/>
      <c r="Q124" s="25"/>
      <c r="R124" s="25"/>
      <c r="S124" s="25"/>
      <c r="T124" s="25"/>
    </row>
    <row r="125" spans="1:20" ht="15.75" customHeight="1" x14ac:dyDescent="0.3">
      <c r="A125" s="190"/>
      <c r="B125" s="191"/>
      <c r="C125" s="191"/>
      <c r="D125" s="192"/>
      <c r="E125" s="191"/>
      <c r="F125" s="193"/>
      <c r="G125" s="194"/>
      <c r="H125" s="195"/>
      <c r="I125" s="25"/>
      <c r="J125" s="25"/>
      <c r="K125" s="25"/>
      <c r="L125" s="25"/>
      <c r="M125" s="25"/>
      <c r="N125" s="25"/>
      <c r="O125" s="25"/>
      <c r="P125" s="25"/>
      <c r="Q125" s="25"/>
      <c r="R125" s="25"/>
      <c r="S125" s="25"/>
      <c r="T125" s="25"/>
    </row>
    <row r="126" spans="1:20" ht="15.75" customHeight="1" x14ac:dyDescent="0.3">
      <c r="A126" s="196"/>
      <c r="B126" s="26"/>
      <c r="C126" s="26"/>
      <c r="D126" s="26"/>
      <c r="E126" s="25"/>
      <c r="F126" s="196"/>
      <c r="G126" s="25"/>
      <c r="H126" s="106"/>
      <c r="I126" s="25"/>
      <c r="J126" s="25"/>
      <c r="K126" s="25"/>
      <c r="L126" s="25"/>
      <c r="M126" s="25"/>
      <c r="N126" s="25"/>
      <c r="O126" s="25"/>
      <c r="P126" s="25"/>
      <c r="Q126" s="25"/>
      <c r="R126" s="25"/>
      <c r="S126" s="25"/>
      <c r="T126" s="25"/>
    </row>
    <row r="127" spans="1:20" ht="15.75" customHeight="1" x14ac:dyDescent="0.3">
      <c r="A127" s="197"/>
      <c r="B127" s="197"/>
      <c r="C127" s="197"/>
      <c r="D127" s="198" t="s">
        <v>97</v>
      </c>
      <c r="E127" s="197" t="s">
        <v>98</v>
      </c>
      <c r="F127" s="197"/>
      <c r="G127" s="25"/>
      <c r="H127" s="106"/>
      <c r="I127" s="25"/>
      <c r="J127" s="25"/>
      <c r="K127" s="25"/>
      <c r="L127" s="25"/>
      <c r="M127" s="25"/>
      <c r="N127" s="25"/>
      <c r="O127" s="25"/>
      <c r="P127" s="25"/>
      <c r="Q127" s="25"/>
      <c r="R127" s="25"/>
      <c r="S127" s="25"/>
      <c r="T127" s="25"/>
    </row>
    <row r="128" spans="1:20" ht="15.75" customHeight="1" x14ac:dyDescent="0.3">
      <c r="A128" s="25"/>
      <c r="B128" s="25"/>
      <c r="C128" s="25"/>
      <c r="D128" s="26"/>
      <c r="E128" s="25"/>
      <c r="F128" s="25"/>
      <c r="G128" s="25"/>
      <c r="H128" s="106"/>
      <c r="I128" s="25"/>
      <c r="J128" s="25"/>
      <c r="K128" s="25"/>
      <c r="L128" s="25"/>
      <c r="M128" s="25"/>
      <c r="N128" s="25"/>
      <c r="O128" s="25"/>
      <c r="P128" s="25"/>
      <c r="Q128" s="25"/>
      <c r="R128" s="25"/>
      <c r="S128" s="25"/>
      <c r="T128" s="25"/>
    </row>
    <row r="129" spans="1:20" ht="15.75" customHeight="1" x14ac:dyDescent="0.3">
      <c r="A129" s="25"/>
      <c r="B129" s="25"/>
      <c r="C129" s="25"/>
      <c r="D129" s="26"/>
      <c r="E129" s="25"/>
      <c r="F129" s="25"/>
      <c r="G129" s="25"/>
      <c r="H129" s="106"/>
      <c r="I129" s="25"/>
      <c r="J129" s="25"/>
      <c r="K129" s="25"/>
      <c r="L129" s="25"/>
      <c r="M129" s="25"/>
      <c r="N129" s="25"/>
      <c r="O129" s="25"/>
      <c r="P129" s="25"/>
      <c r="Q129" s="25"/>
      <c r="R129" s="25"/>
      <c r="S129" s="25"/>
      <c r="T129" s="25"/>
    </row>
    <row r="130" spans="1:20" ht="15.75" customHeight="1" x14ac:dyDescent="0.3">
      <c r="A130" s="197"/>
      <c r="B130" s="197"/>
      <c r="C130" s="197"/>
      <c r="D130" s="198"/>
      <c r="E130" s="197" t="s">
        <v>99</v>
      </c>
      <c r="F130" s="197"/>
      <c r="G130" s="25"/>
      <c r="H130" s="106"/>
    </row>
    <row r="131" spans="1:20" ht="15.75" customHeight="1" x14ac:dyDescent="0.25">
      <c r="D131" s="4"/>
      <c r="H131" s="4"/>
    </row>
    <row r="132" spans="1:20" ht="15.75" customHeight="1" x14ac:dyDescent="0.25">
      <c r="D132" s="4"/>
      <c r="H132" s="4"/>
    </row>
    <row r="133" spans="1:20" ht="15.75" customHeight="1" x14ac:dyDescent="0.25">
      <c r="D133" s="4"/>
      <c r="H133" s="4"/>
    </row>
    <row r="134" spans="1:20" ht="15.75" customHeight="1" x14ac:dyDescent="0.25">
      <c r="D134" s="4"/>
      <c r="H134" s="4"/>
    </row>
    <row r="135" spans="1:20" ht="15.75" customHeight="1" x14ac:dyDescent="0.25">
      <c r="D135" s="4"/>
      <c r="H135" s="4"/>
    </row>
    <row r="136" spans="1:20" ht="15.75" customHeight="1" x14ac:dyDescent="0.25">
      <c r="A136" s="14" t="s">
        <v>14</v>
      </c>
      <c r="B136" s="14"/>
      <c r="C136" s="14"/>
      <c r="D136" s="14"/>
      <c r="E136" s="14"/>
      <c r="F136" s="14"/>
      <c r="G136" s="14"/>
      <c r="H136" s="14"/>
    </row>
    <row r="137" spans="1:20" ht="15.75" customHeight="1" x14ac:dyDescent="0.25">
      <c r="D137" s="4"/>
      <c r="H137" s="8"/>
    </row>
    <row r="138" spans="1:20" ht="15.75" customHeight="1" x14ac:dyDescent="0.3">
      <c r="A138" s="15"/>
      <c r="B138" s="15"/>
      <c r="C138" s="16"/>
      <c r="D138" s="17"/>
      <c r="E138" s="18"/>
      <c r="F138" s="18"/>
      <c r="G138" s="18"/>
      <c r="H138" s="19"/>
      <c r="I138" s="25"/>
      <c r="J138" s="25"/>
      <c r="K138" s="25"/>
      <c r="L138" s="25"/>
      <c r="M138" s="25"/>
      <c r="N138" s="25"/>
      <c r="O138" s="25"/>
      <c r="P138" s="25"/>
      <c r="Q138" s="25"/>
      <c r="R138" s="25"/>
      <c r="S138" s="25"/>
      <c r="T138" s="25"/>
    </row>
    <row r="139" spans="1:20" ht="15.75" customHeight="1" x14ac:dyDescent="0.3">
      <c r="A139" s="25"/>
      <c r="B139" s="25"/>
      <c r="C139" s="25"/>
      <c r="D139" s="26"/>
      <c r="E139" s="25"/>
      <c r="F139" s="22" t="s">
        <v>18</v>
      </c>
      <c r="G139" s="23" t="s">
        <v>100</v>
      </c>
      <c r="H139" s="24"/>
      <c r="I139" s="25"/>
      <c r="J139" s="25"/>
      <c r="K139" s="25"/>
      <c r="L139" s="25"/>
      <c r="M139" s="25"/>
      <c r="N139" s="25"/>
      <c r="O139" s="25"/>
      <c r="P139" s="25"/>
      <c r="Q139" s="25"/>
      <c r="R139" s="25"/>
      <c r="S139" s="25"/>
      <c r="T139" s="25"/>
    </row>
    <row r="140" spans="1:20" ht="15.75" customHeight="1" x14ac:dyDescent="0.3">
      <c r="A140" s="25" t="s">
        <v>20</v>
      </c>
      <c r="B140" s="25"/>
      <c r="C140" s="25"/>
      <c r="D140" s="26"/>
      <c r="E140" s="25"/>
      <c r="F140" s="22" t="s">
        <v>21</v>
      </c>
      <c r="G140" s="25" t="s">
        <v>502</v>
      </c>
      <c r="H140" s="26"/>
      <c r="I140" s="25"/>
      <c r="J140" s="25"/>
      <c r="K140" s="25"/>
      <c r="L140" s="25"/>
      <c r="M140" s="25"/>
      <c r="N140" s="25"/>
      <c r="O140" s="25"/>
      <c r="P140" s="25"/>
      <c r="Q140" s="25"/>
      <c r="R140" s="25"/>
      <c r="S140" s="25"/>
      <c r="T140" s="25"/>
    </row>
    <row r="141" spans="1:20" ht="15.75" customHeight="1" x14ac:dyDescent="0.3">
      <c r="A141" s="25" t="inlineStr">
        <is>
          <t>Dealer-004</t>
        </is>
      </c>
      <c r="B141" s="25"/>
      <c r="C141" s="25"/>
      <c r="D141" s="109"/>
      <c r="E141" s="25"/>
      <c r="F141" s="26"/>
      <c r="G141" s="25"/>
      <c r="H141" s="106"/>
      <c r="I141" s="25"/>
      <c r="J141" s="25"/>
      <c r="K141" s="25"/>
      <c r="L141" s="25"/>
      <c r="M141" s="25"/>
      <c r="N141" s="25"/>
      <c r="O141" s="25"/>
      <c r="P141" s="25"/>
      <c r="Q141" s="25"/>
      <c r="R141" s="25"/>
      <c r="S141" s="25"/>
      <c r="T141" s="25"/>
    </row>
    <row r="142" spans="1:20" ht="15.75" customHeight="1" x14ac:dyDescent="0.3">
      <c r="A142" s="25" t="inlineStr">
        <is>
          <t>Address line (redacted)</t>
        </is>
      </c>
      <c r="B142" s="25"/>
      <c r="C142" s="25"/>
      <c r="D142" s="109"/>
      <c r="E142" s="25"/>
      <c r="F142" s="26"/>
      <c r="G142" s="25"/>
      <c r="H142" s="106"/>
      <c r="I142" s="25"/>
      <c r="J142" s="25"/>
      <c r="K142" s="25"/>
      <c r="L142" s="25"/>
      <c r="M142" s="25"/>
      <c r="N142" s="25"/>
      <c r="O142" s="25"/>
      <c r="P142" s="25"/>
      <c r="Q142" s="25"/>
      <c r="R142" s="25"/>
      <c r="S142" s="25"/>
      <c r="T142" s="25"/>
    </row>
    <row r="143" spans="1:20" ht="15.75" customHeight="1" x14ac:dyDescent="0.3">
      <c r="A143" s="25" t="inlineStr">
        <is>
          <t>Address line (redacted)</t>
        </is>
      </c>
      <c r="B143" s="25"/>
      <c r="C143" s="25"/>
      <c r="D143" s="26"/>
      <c r="E143" s="25"/>
      <c r="F143" s="26"/>
      <c r="G143" s="25"/>
      <c r="H143" s="106"/>
      <c r="I143" s="25"/>
      <c r="J143" s="25"/>
      <c r="K143" s="25"/>
      <c r="L143" s="25"/>
      <c r="M143" s="25"/>
      <c r="N143" s="25"/>
      <c r="O143" s="25"/>
      <c r="P143" s="25"/>
      <c r="Q143" s="25"/>
      <c r="R143" s="25"/>
      <c r="S143" s="25"/>
      <c r="T143" s="25"/>
    </row>
    <row r="144" spans="1:20" ht="15.75" customHeight="1" x14ac:dyDescent="0.3">
      <c r="A144" s="25"/>
      <c r="B144" s="25"/>
      <c r="C144" s="25"/>
      <c r="D144" s="26"/>
      <c r="E144" s="25"/>
      <c r="F144" s="26"/>
      <c r="G144" s="25"/>
      <c r="H144" s="106"/>
      <c r="I144" s="25"/>
      <c r="J144" s="25"/>
      <c r="K144" s="25"/>
      <c r="L144" s="25"/>
      <c r="M144" s="25"/>
      <c r="N144" s="25"/>
      <c r="O144" s="25"/>
      <c r="P144" s="25"/>
      <c r="Q144" s="25"/>
      <c r="R144" s="25"/>
      <c r="S144" s="25"/>
      <c r="T144" s="25"/>
    </row>
    <row r="145" spans="1:20" ht="15.75" customHeight="1" x14ac:dyDescent="0.3">
      <c r="A145" s="25" t="s">
        <v>30</v>
      </c>
      <c r="B145" s="25"/>
      <c r="C145" s="25"/>
      <c r="D145" s="26"/>
      <c r="E145" s="25"/>
      <c r="F145" s="26"/>
      <c r="G145" s="25"/>
      <c r="H145" s="106"/>
      <c r="I145" s="25"/>
      <c r="J145" s="25"/>
      <c r="K145" s="25"/>
      <c r="L145" s="25"/>
      <c r="M145" s="25"/>
      <c r="N145" s="25"/>
      <c r="O145" s="25"/>
      <c r="P145" s="25"/>
      <c r="Q145" s="25"/>
      <c r="R145" s="25"/>
      <c r="S145" s="25"/>
      <c r="T145" s="25"/>
    </row>
    <row r="146" spans="1:20" ht="15.75" customHeight="1" x14ac:dyDescent="0.3">
      <c r="A146" s="25"/>
      <c r="B146" s="25"/>
      <c r="C146" s="25"/>
      <c r="D146" s="26"/>
      <c r="E146" s="25"/>
      <c r="F146" s="26"/>
      <c r="G146" s="25"/>
      <c r="H146" s="106"/>
      <c r="I146" s="25"/>
      <c r="J146" s="25"/>
      <c r="K146" s="25"/>
      <c r="L146" s="25"/>
      <c r="M146" s="25"/>
      <c r="N146" s="25"/>
      <c r="O146" s="25"/>
      <c r="P146" s="25"/>
      <c r="Q146" s="25"/>
      <c r="R146" s="25"/>
      <c r="S146" s="25"/>
      <c r="T146" s="25"/>
    </row>
    <row r="147" spans="1:20" ht="15.75" customHeight="1" x14ac:dyDescent="0.3">
      <c r="A147" s="25" t="s">
        <v>31</v>
      </c>
      <c r="B147" s="25"/>
      <c r="C147" s="25"/>
      <c r="D147" s="26"/>
      <c r="E147" s="25"/>
      <c r="F147" s="26"/>
      <c r="G147" s="25"/>
      <c r="H147" s="106"/>
      <c r="I147" s="25"/>
      <c r="J147" s="25"/>
      <c r="K147" s="25"/>
      <c r="L147" s="25"/>
      <c r="M147" s="25"/>
      <c r="N147" s="25"/>
      <c r="O147" s="25"/>
      <c r="P147" s="25"/>
      <c r="Q147" s="25"/>
      <c r="R147" s="25"/>
      <c r="S147" s="25"/>
      <c r="T147" s="25"/>
    </row>
    <row r="148" spans="1:20" ht="15.75" customHeight="1" x14ac:dyDescent="0.3">
      <c r="A148" s="25" t="s">
        <v>32</v>
      </c>
      <c r="B148" s="25"/>
      <c r="C148" s="25"/>
      <c r="D148" s="26"/>
      <c r="E148" s="25"/>
      <c r="F148" s="26"/>
      <c r="G148" s="25"/>
      <c r="H148" s="106"/>
      <c r="I148" s="25"/>
      <c r="J148" s="25"/>
      <c r="K148" s="25"/>
      <c r="L148" s="25"/>
      <c r="M148" s="25"/>
      <c r="N148" s="25"/>
      <c r="O148" s="25"/>
      <c r="P148" s="25"/>
      <c r="Q148" s="25"/>
      <c r="R148" s="25"/>
      <c r="S148" s="25"/>
      <c r="T148" s="25"/>
    </row>
    <row r="149" spans="1:20" ht="15.75" customHeight="1" x14ac:dyDescent="0.3">
      <c r="A149" s="25"/>
      <c r="B149" s="25"/>
      <c r="C149" s="25"/>
      <c r="D149" s="26"/>
      <c r="E149" s="25"/>
      <c r="F149" s="26"/>
      <c r="G149" s="25"/>
      <c r="H149" s="106"/>
      <c r="I149" s="25"/>
      <c r="J149" s="25"/>
      <c r="K149" s="25"/>
      <c r="L149" s="25"/>
      <c r="M149" s="25"/>
      <c r="N149" s="25"/>
      <c r="O149" s="25"/>
      <c r="P149" s="25"/>
      <c r="Q149" s="25"/>
      <c r="R149" s="25"/>
      <c r="S149" s="25"/>
      <c r="T149" s="25"/>
    </row>
    <row r="150" spans="1:20" ht="15.75" customHeight="1" x14ac:dyDescent="0.3">
      <c r="A150" s="118" t="s">
        <v>33</v>
      </c>
      <c r="B150" s="121" t="s">
        <v>6</v>
      </c>
      <c r="C150" s="121"/>
      <c r="D150" s="123" t="s">
        <v>37</v>
      </c>
      <c r="E150" s="125" t="s">
        <v>38</v>
      </c>
      <c r="F150" s="127" t="s">
        <v>7</v>
      </c>
      <c r="G150" s="129" t="s">
        <v>43</v>
      </c>
      <c r="H150" s="130" t="s">
        <v>44</v>
      </c>
      <c r="I150" s="25"/>
      <c r="J150" s="25"/>
      <c r="K150" s="25"/>
      <c r="L150" s="25"/>
      <c r="M150" s="25"/>
      <c r="N150" s="25"/>
      <c r="O150" s="25"/>
      <c r="P150" s="25"/>
      <c r="Q150" s="25"/>
      <c r="R150" s="25"/>
      <c r="S150" s="25"/>
      <c r="T150" s="25"/>
    </row>
    <row r="151" spans="1:20" ht="15.75" customHeight="1" x14ac:dyDescent="0.3">
      <c r="A151" s="133"/>
      <c r="B151" s="135"/>
      <c r="C151" s="136"/>
      <c r="D151" s="138"/>
      <c r="E151" s="138"/>
      <c r="F151" s="139"/>
      <c r="G151" s="141"/>
      <c r="H151" s="143"/>
      <c r="I151" s="25"/>
      <c r="J151" s="25"/>
      <c r="K151" s="25"/>
      <c r="L151" s="25"/>
      <c r="M151" s="25"/>
      <c r="N151" s="25"/>
      <c r="O151" s="25"/>
      <c r="P151" s="25"/>
      <c r="Q151" s="25"/>
      <c r="R151" s="25"/>
      <c r="S151" s="25"/>
      <c r="T151" s="25"/>
    </row>
    <row r="152" spans="1:20" ht="15.75" customHeight="1" x14ac:dyDescent="0.3">
      <c r="A152" s="145"/>
      <c r="B152" s="147"/>
      <c r="C152" s="148"/>
      <c r="D152" s="149"/>
      <c r="E152" s="149"/>
      <c r="F152" s="26"/>
      <c r="G152" s="149"/>
      <c r="H152" s="151"/>
      <c r="I152" s="25"/>
      <c r="J152" s="25"/>
      <c r="K152" s="25"/>
      <c r="L152" s="25"/>
      <c r="M152" s="25"/>
      <c r="N152" s="25"/>
      <c r="O152" s="25"/>
      <c r="P152" s="25"/>
      <c r="Q152" s="25"/>
      <c r="R152" s="25"/>
      <c r="S152" s="25"/>
      <c r="T152" s="25"/>
    </row>
    <row r="153" spans="1:20" ht="15.75" customHeight="1" x14ac:dyDescent="0.3">
      <c r="A153" s="145"/>
      <c r="B153" s="153" t="s">
        <v>510</v>
      </c>
      <c r="C153" s="154"/>
      <c r="D153" s="149">
        <v>1</v>
      </c>
      <c r="E153" s="149" t="s">
        <v>511</v>
      </c>
      <c r="F153" s="149" t="s">
        <v>511</v>
      </c>
      <c r="G153" s="149">
        <v>0</v>
      </c>
      <c r="H153" s="151">
        <v>0</v>
      </c>
      <c r="I153" s="25"/>
      <c r="J153" s="25"/>
      <c r="K153" s="25"/>
      <c r="L153" s="25"/>
      <c r="M153" s="25"/>
      <c r="N153" s="25"/>
      <c r="O153" s="25"/>
      <c r="P153" s="25"/>
      <c r="Q153" s="25"/>
      <c r="R153" s="25"/>
      <c r="S153" s="25"/>
      <c r="T153" s="25"/>
    </row>
    <row r="154" spans="1:20" ht="30" customHeight="1" x14ac:dyDescent="0.3">
      <c r="A154" s="145"/>
      <c r="B154" s="161"/>
      <c r="C154" s="25"/>
      <c r="D154" s="149"/>
      <c r="E154" s="149"/>
      <c r="F154" s="26"/>
      <c r="G154" s="149"/>
      <c r="H154" s="151"/>
      <c r="I154" s="25"/>
      <c r="J154" s="25"/>
      <c r="K154" s="25"/>
      <c r="L154" s="25"/>
      <c r="M154" s="25"/>
      <c r="N154" s="25"/>
      <c r="O154" s="25"/>
      <c r="P154" s="25"/>
      <c r="Q154" s="25"/>
      <c r="R154" s="25"/>
      <c r="S154" s="25"/>
      <c r="T154" s="25"/>
    </row>
    <row r="155" spans="1:20" ht="15.75" customHeight="1" x14ac:dyDescent="0.3">
      <c r="A155" s="145"/>
      <c r="B155" s="199" t="s">
        <v>512</v>
      </c>
      <c r="C155" s="200"/>
      <c r="D155" s="149"/>
      <c r="E155" s="149"/>
      <c r="F155" s="26"/>
      <c r="G155" s="149"/>
      <c r="H155" s="151"/>
      <c r="I155" s="25"/>
      <c r="J155" s="25"/>
      <c r="K155" s="25"/>
      <c r="L155" s="25"/>
      <c r="M155" s="25"/>
      <c r="N155" s="25"/>
      <c r="O155" s="25"/>
      <c r="P155" s="25"/>
      <c r="Q155" s="25"/>
      <c r="R155" s="25"/>
      <c r="S155" s="25"/>
      <c r="T155" s="25"/>
    </row>
    <row r="156" spans="1:20" ht="15.75" customHeight="1" x14ac:dyDescent="0.3">
      <c r="A156" s="145"/>
      <c r="B156" s="174"/>
      <c r="C156" s="25"/>
      <c r="D156" s="149"/>
      <c r="E156" s="149"/>
      <c r="F156" s="26"/>
      <c r="G156" s="149"/>
      <c r="H156" s="151"/>
      <c r="I156" s="25"/>
      <c r="J156" s="25"/>
      <c r="K156" s="25"/>
      <c r="L156" s="25"/>
      <c r="M156" s="25"/>
      <c r="N156" s="25"/>
      <c r="O156" s="25"/>
      <c r="P156" s="25"/>
      <c r="Q156" s="25"/>
      <c r="R156" s="25"/>
      <c r="S156" s="25"/>
      <c r="T156" s="25"/>
    </row>
    <row r="157" spans="1:20" ht="15.75" customHeight="1" x14ac:dyDescent="0.3">
      <c r="A157" s="145"/>
      <c r="B157" s="174"/>
      <c r="C157" s="25"/>
      <c r="D157" s="149"/>
      <c r="E157" s="149"/>
      <c r="F157" s="26"/>
      <c r="G157" s="149"/>
      <c r="H157" s="151"/>
      <c r="I157" s="25"/>
      <c r="J157" s="25"/>
      <c r="K157" s="25"/>
      <c r="L157" s="25"/>
      <c r="M157" s="25"/>
      <c r="N157" s="25"/>
      <c r="O157" s="25"/>
      <c r="P157" s="25"/>
      <c r="Q157" s="25"/>
      <c r="R157" s="25"/>
      <c r="S157" s="25"/>
      <c r="T157" s="25"/>
    </row>
    <row r="158" spans="1:20" ht="15.75" customHeight="1" x14ac:dyDescent="0.3">
      <c r="A158" s="145"/>
      <c r="B158" s="174"/>
      <c r="C158" s="25"/>
      <c r="D158" s="149"/>
      <c r="E158" s="149"/>
      <c r="F158" s="26"/>
      <c r="G158" s="149"/>
      <c r="H158" s="151"/>
      <c r="I158" s="25"/>
      <c r="J158" s="25"/>
      <c r="K158" s="25"/>
      <c r="L158" s="25"/>
      <c r="M158" s="25"/>
      <c r="N158" s="25"/>
      <c r="O158" s="25"/>
      <c r="P158" s="25"/>
      <c r="Q158" s="25"/>
      <c r="R158" s="25"/>
      <c r="S158" s="25"/>
      <c r="T158" s="25"/>
    </row>
    <row r="159" spans="1:20" ht="15.75" customHeight="1" x14ac:dyDescent="0.3">
      <c r="A159" s="145"/>
      <c r="B159" s="174"/>
      <c r="C159" s="25"/>
      <c r="D159" s="149"/>
      <c r="E159" s="149"/>
      <c r="F159" s="26"/>
      <c r="G159" s="149"/>
      <c r="H159" s="151"/>
      <c r="I159" s="25"/>
      <c r="J159" s="25"/>
      <c r="K159" s="25"/>
      <c r="L159" s="25"/>
      <c r="M159" s="25"/>
      <c r="N159" s="25"/>
      <c r="O159" s="25"/>
      <c r="P159" s="25"/>
      <c r="Q159" s="25"/>
      <c r="R159" s="25"/>
      <c r="S159" s="25"/>
      <c r="T159" s="25"/>
    </row>
    <row r="160" spans="1:20" ht="15.75" customHeight="1" x14ac:dyDescent="0.3">
      <c r="A160" s="145"/>
      <c r="B160" s="174"/>
      <c r="C160" s="25"/>
      <c r="D160" s="149"/>
      <c r="E160" s="149"/>
      <c r="F160" s="26"/>
      <c r="G160" s="149"/>
      <c r="H160" s="151"/>
      <c r="I160" s="25"/>
      <c r="J160" s="25"/>
      <c r="K160" s="25"/>
      <c r="L160" s="25"/>
      <c r="M160" s="25"/>
      <c r="N160" s="25"/>
      <c r="O160" s="25"/>
      <c r="P160" s="25"/>
      <c r="Q160" s="25"/>
      <c r="R160" s="25"/>
      <c r="S160" s="25"/>
      <c r="T160" s="25"/>
    </row>
    <row r="161" spans="1:20" ht="15.75" customHeight="1" x14ac:dyDescent="0.3">
      <c r="A161" s="177"/>
      <c r="B161" s="139"/>
      <c r="C161" s="136"/>
      <c r="D161" s="149"/>
      <c r="E161" s="149"/>
      <c r="F161" s="179"/>
      <c r="G161" s="181"/>
      <c r="H161" s="151"/>
      <c r="I161" s="25"/>
      <c r="J161" s="25"/>
      <c r="K161" s="25"/>
      <c r="L161" s="25"/>
      <c r="M161" s="25"/>
      <c r="N161" s="25"/>
      <c r="O161" s="25"/>
      <c r="P161" s="25"/>
      <c r="Q161" s="25"/>
      <c r="R161" s="25"/>
      <c r="S161" s="25"/>
      <c r="T161" s="25"/>
    </row>
    <row r="162" spans="1:20" ht="15.75" customHeight="1" x14ac:dyDescent="0.3">
      <c r="A162" s="183"/>
      <c r="B162" s="184"/>
      <c r="C162" s="185" t="s">
        <v>85</v>
      </c>
      <c r="D162" s="186">
        <f>SUM(D152:D161)</f>
      </c>
      <c r="E162" s="186"/>
      <c r="F162" s="187">
        <f>SUM(F152:F161)</f>
      </c>
      <c r="G162" s="188"/>
      <c r="H162" s="189">
        <f>SUM(H153:H161)</f>
      </c>
      <c r="I162" s="25"/>
      <c r="J162" s="25"/>
      <c r="K162" s="25"/>
      <c r="L162" s="25"/>
      <c r="M162" s="25"/>
      <c r="N162" s="25"/>
      <c r="O162" s="25"/>
      <c r="P162" s="25"/>
      <c r="Q162" s="25"/>
      <c r="R162" s="25"/>
      <c r="S162" s="25"/>
      <c r="T162" s="25"/>
    </row>
    <row r="163" spans="1:20" ht="15.75" customHeight="1" x14ac:dyDescent="0.3">
      <c r="A163" s="190"/>
      <c r="B163" s="191"/>
      <c r="C163" s="191"/>
      <c r="D163" s="192"/>
      <c r="E163" s="191"/>
      <c r="F163" s="193"/>
      <c r="G163" s="194"/>
      <c r="H163" s="195"/>
      <c r="I163" s="25"/>
      <c r="J163" s="25"/>
      <c r="K163" s="25"/>
      <c r="L163" s="25"/>
      <c r="M163" s="25"/>
      <c r="N163" s="25"/>
      <c r="O163" s="25"/>
      <c r="P163" s="25"/>
      <c r="Q163" s="25"/>
      <c r="R163" s="25"/>
      <c r="S163" s="25"/>
      <c r="T163" s="25"/>
    </row>
    <row r="164" spans="1:20" ht="15.75" customHeight="1" x14ac:dyDescent="0.3">
      <c r="A164" s="196"/>
      <c r="B164" s="26"/>
      <c r="C164" s="26"/>
      <c r="D164" s="26"/>
      <c r="E164" s="25"/>
      <c r="F164" s="196"/>
      <c r="G164" s="25"/>
      <c r="H164" s="106"/>
      <c r="I164" s="25"/>
      <c r="J164" s="25"/>
      <c r="K164" s="25"/>
      <c r="L164" s="25"/>
      <c r="M164" s="25"/>
      <c r="N164" s="25"/>
      <c r="O164" s="25"/>
      <c r="P164" s="25"/>
      <c r="Q164" s="25"/>
      <c r="R164" s="25"/>
      <c r="S164" s="25"/>
      <c r="T164" s="25"/>
    </row>
    <row r="165" spans="1:20" ht="15.75" customHeight="1" x14ac:dyDescent="0.3">
      <c r="A165" s="197"/>
      <c r="B165" s="197"/>
      <c r="C165" s="197"/>
      <c r="D165" s="198" t="s">
        <v>97</v>
      </c>
      <c r="E165" s="197" t="s">
        <v>98</v>
      </c>
      <c r="F165" s="197"/>
      <c r="G165" s="25"/>
      <c r="H165" s="106"/>
      <c r="I165" s="25"/>
      <c r="J165" s="25"/>
      <c r="K165" s="25"/>
      <c r="L165" s="25"/>
      <c r="M165" s="25"/>
      <c r="N165" s="25"/>
      <c r="O165" s="25"/>
      <c r="P165" s="25"/>
      <c r="Q165" s="25"/>
      <c r="R165" s="25"/>
      <c r="S165" s="25"/>
      <c r="T165" s="25"/>
    </row>
    <row r="166" spans="1:20" ht="15.75" customHeight="1" x14ac:dyDescent="0.3">
      <c r="A166" s="25"/>
      <c r="B166" s="25"/>
      <c r="C166" s="25"/>
      <c r="D166" s="26"/>
      <c r="E166" s="25"/>
      <c r="F166" s="25"/>
      <c r="G166" s="25"/>
      <c r="H166" s="106"/>
      <c r="I166" s="25"/>
      <c r="J166" s="25"/>
      <c r="K166" s="25"/>
      <c r="L166" s="25"/>
      <c r="M166" s="25"/>
      <c r="N166" s="25"/>
      <c r="O166" s="25"/>
      <c r="P166" s="25"/>
      <c r="Q166" s="25"/>
      <c r="R166" s="25"/>
      <c r="S166" s="25"/>
      <c r="T166" s="25"/>
    </row>
    <row r="167" spans="1:20" ht="15.75" customHeight="1" x14ac:dyDescent="0.3">
      <c r="A167" s="25"/>
      <c r="B167" s="25"/>
      <c r="C167" s="25"/>
      <c r="D167" s="26"/>
      <c r="E167" s="25"/>
      <c r="F167" s="25"/>
      <c r="G167" s="25"/>
      <c r="H167" s="106"/>
      <c r="I167" s="25"/>
      <c r="J167" s="25"/>
      <c r="K167" s="25"/>
      <c r="L167" s="25"/>
      <c r="M167" s="25"/>
      <c r="N167" s="25"/>
      <c r="O167" s="25"/>
      <c r="P167" s="25"/>
      <c r="Q167" s="25"/>
      <c r="R167" s="25"/>
      <c r="S167" s="25"/>
      <c r="T167" s="25"/>
    </row>
    <row r="168" spans="1:20" ht="15.75" customHeight="1" x14ac:dyDescent="0.3">
      <c r="A168" s="197"/>
      <c r="B168" s="197"/>
      <c r="C168" s="197"/>
      <c r="D168" s="198"/>
      <c r="E168" s="197" t="s">
        <v>99</v>
      </c>
      <c r="F168" s="197"/>
      <c r="G168" s="25"/>
      <c r="H168" s="106"/>
    </row>
    <row r="169" spans="1:20" ht="15.75" customHeight="1" x14ac:dyDescent="0.25">
      <c r="D169" s="4"/>
      <c r="H169" s="4"/>
    </row>
    <row r="170" spans="1:20" ht="15.75" customHeight="1" x14ac:dyDescent="0.25">
      <c r="D170" s="4"/>
      <c r="H170" s="4"/>
    </row>
    <row r="171" spans="1:20" ht="15.75" customHeight="1" x14ac:dyDescent="0.25">
      <c r="D171" s="4"/>
      <c r="H171" s="4"/>
    </row>
    <row r="172" spans="1:20" ht="15.75" customHeight="1" x14ac:dyDescent="0.25">
      <c r="D172" s="4"/>
      <c r="H172" s="4"/>
    </row>
    <row r="173" spans="1:20" ht="15.75" customHeight="1" x14ac:dyDescent="0.25">
      <c r="D173" s="4"/>
      <c r="H173" s="4"/>
    </row>
    <row r="174" spans="1:20" ht="15.75" customHeight="1" x14ac:dyDescent="0.25">
      <c r="D174" s="4"/>
      <c r="H174" s="4"/>
    </row>
    <row r="175" spans="1:20" ht="15.75" customHeight="1" x14ac:dyDescent="0.25">
      <c r="D175" s="4"/>
      <c r="H175" s="4"/>
    </row>
    <row r="176" spans="1:20" ht="15.75" customHeight="1" x14ac:dyDescent="0.25">
      <c r="D176" s="4"/>
      <c r="H176" s="4"/>
    </row>
    <row r="177" spans="1:8" ht="15.75" customHeight="1" x14ac:dyDescent="0.25">
      <c r="D177" s="4"/>
      <c r="H177" s="4"/>
    </row>
    <row r="178" spans="1:8" ht="15.75" customHeight="1" x14ac:dyDescent="0.25">
      <c r="D178" s="4"/>
      <c r="H178" s="4"/>
    </row>
    <row r="179" spans="1:8" ht="15.75" customHeight="1" x14ac:dyDescent="0.25">
      <c r="D179" s="4"/>
      <c r="H179" s="4"/>
    </row>
    <row r="180" spans="1:8" ht="15.75" customHeight="1" x14ac:dyDescent="0.25">
      <c r="D180" s="4"/>
      <c r="H180" s="4"/>
    </row>
    <row r="181" spans="1:8" ht="15.75" customHeight="1" x14ac:dyDescent="0.25">
      <c r="A181" s="103" t="s">
        <v>14</v>
      </c>
      <c r="B181" s="103"/>
      <c r="C181" s="103"/>
      <c r="D181" s="103"/>
      <c r="E181" s="103"/>
      <c r="F181" s="103"/>
      <c r="G181" s="103"/>
      <c r="H181" s="103"/>
    </row>
    <row r="182" spans="1:8" ht="15.75" customHeight="1" x14ac:dyDescent="0.25">
      <c r="D182" s="4"/>
      <c r="H182" s="8"/>
    </row>
    <row r="183" spans="1:8" ht="15.75" customHeight="1" x14ac:dyDescent="0.25">
      <c r="A183" s="15"/>
      <c r="B183" s="15"/>
      <c r="C183" s="16"/>
      <c r="D183" s="17"/>
      <c r="E183" s="18"/>
      <c r="F183" s="18"/>
      <c r="G183" s="18"/>
      <c r="H183" s="19"/>
    </row>
    <row r="184" spans="1:8" ht="15.75" customHeight="1" x14ac:dyDescent="0.3">
      <c r="A184" s="25"/>
      <c r="B184" s="25"/>
      <c r="C184" s="25"/>
      <c r="D184" s="26"/>
      <c r="E184" s="25"/>
      <c r="F184" s="22" t="s">
        <v>18</v>
      </c>
      <c r="G184" s="23" t="s">
        <v>522</v>
      </c>
      <c r="H184" s="24"/>
    </row>
    <row r="185" spans="1:8" ht="15.75" customHeight="1" x14ac:dyDescent="0.3">
      <c r="A185" s="25" t="s">
        <v>20</v>
      </c>
      <c r="B185" s="25"/>
      <c r="C185" s="25"/>
      <c r="D185" s="26"/>
      <c r="E185" s="25"/>
      <c r="F185" s="22" t="s">
        <v>21</v>
      </c>
      <c r="G185" s="25" t="s">
        <v>523</v>
      </c>
      <c r="H185" s="26"/>
    </row>
    <row r="186" spans="1:8" ht="15.75" customHeight="1" x14ac:dyDescent="0.3">
      <c r="A186" s="25" t="inlineStr">
        <is>
          <t>Dealer-003</t>
        </is>
      </c>
      <c r="B186" s="25"/>
      <c r="C186" s="25"/>
      <c r="D186" s="26"/>
      <c r="E186" s="22"/>
      <c r="F186" s="25"/>
      <c r="G186" s="25"/>
      <c r="H186" s="106"/>
    </row>
    <row r="187" spans="1:8" ht="15.75" customHeight="1" x14ac:dyDescent="0.3">
      <c r="A187" s="25" t="inlineStr">
        <is>
          <t>Address line (redacted)</t>
        </is>
      </c>
      <c r="B187" s="25"/>
      <c r="C187" s="25"/>
      <c r="D187" s="109"/>
      <c r="E187" s="25"/>
      <c r="F187" s="26"/>
      <c r="G187" s="25"/>
      <c r="H187" s="106"/>
    </row>
    <row r="188" spans="1:8" ht="15.75" customHeight="1" x14ac:dyDescent="0.3">
      <c r="A188" s="25" t="inlineStr">
        <is>
          <t>Address line (redacted)</t>
        </is>
      </c>
      <c r="B188" s="25"/>
      <c r="C188" s="25"/>
      <c r="D188" s="109"/>
      <c r="E188" s="25"/>
      <c r="F188" s="26"/>
      <c r="G188" s="25"/>
      <c r="H188" s="106"/>
    </row>
    <row r="189" spans="1:8" ht="15.75" customHeight="1" x14ac:dyDescent="0.3">
      <c r="A189" s="114"/>
      <c r="B189" s="25"/>
      <c r="C189" s="25"/>
      <c r="D189" s="26"/>
      <c r="E189" s="25"/>
      <c r="F189" s="26"/>
      <c r="G189" s="25"/>
      <c r="H189" s="106"/>
    </row>
    <row r="190" spans="1:8" ht="15.75" customHeight="1" x14ac:dyDescent="0.3">
      <c r="A190" s="25" t="s">
        <v>30</v>
      </c>
      <c r="B190" s="25"/>
      <c r="C190" s="25"/>
      <c r="D190" s="26"/>
      <c r="E190" s="25"/>
      <c r="F190" s="26"/>
      <c r="G190" s="25"/>
      <c r="H190" s="106"/>
    </row>
    <row r="191" spans="1:8" ht="15.75" customHeight="1" x14ac:dyDescent="0.3">
      <c r="A191" s="25"/>
      <c r="B191" s="25"/>
      <c r="C191" s="25"/>
      <c r="D191" s="26"/>
      <c r="E191" s="25"/>
      <c r="F191" s="26"/>
      <c r="G191" s="25"/>
      <c r="H191" s="106"/>
    </row>
    <row r="192" spans="1:8" ht="15.75" customHeight="1" x14ac:dyDescent="0.3">
      <c r="A192" s="25" t="s">
        <v>31</v>
      </c>
      <c r="B192" s="25"/>
      <c r="C192" s="25"/>
      <c r="D192" s="26"/>
      <c r="E192" s="25"/>
      <c r="F192" s="26"/>
      <c r="G192" s="25"/>
      <c r="H192" s="106"/>
    </row>
    <row r="193" spans="1:8" ht="15.75" customHeight="1" x14ac:dyDescent="0.3">
      <c r="A193" s="25" t="s">
        <v>32</v>
      </c>
      <c r="B193" s="25"/>
      <c r="C193" s="25"/>
      <c r="D193" s="26"/>
      <c r="E193" s="25"/>
      <c r="F193" s="26"/>
      <c r="G193" s="25"/>
      <c r="H193" s="106"/>
    </row>
    <row r="194" spans="1:8" ht="15.75" customHeight="1" x14ac:dyDescent="0.3">
      <c r="A194" s="25"/>
      <c r="B194" s="25"/>
      <c r="C194" s="25"/>
      <c r="D194" s="26"/>
      <c r="E194" s="25"/>
      <c r="F194" s="26"/>
      <c r="G194" s="25"/>
      <c r="H194" s="106"/>
    </row>
    <row r="195" spans="1:8" ht="15.75" customHeight="1" x14ac:dyDescent="0.3">
      <c r="A195" s="118" t="s">
        <v>33</v>
      </c>
      <c r="B195" s="121" t="s">
        <v>6</v>
      </c>
      <c r="C195" s="121"/>
      <c r="D195" s="123" t="s">
        <v>37</v>
      </c>
      <c r="E195" s="125" t="s">
        <v>38</v>
      </c>
      <c r="F195" s="127" t="s">
        <v>7</v>
      </c>
      <c r="G195" s="129" t="s">
        <v>43</v>
      </c>
      <c r="H195" s="130" t="s">
        <v>44</v>
      </c>
    </row>
    <row r="196" spans="1:8" ht="15.75" customHeight="1" x14ac:dyDescent="0.3">
      <c r="A196" s="133"/>
      <c r="B196" s="135"/>
      <c r="C196" s="136"/>
      <c r="D196" s="138"/>
      <c r="E196" s="138"/>
      <c r="F196" s="139"/>
      <c r="G196" s="141"/>
      <c r="H196" s="143"/>
    </row>
    <row r="197" spans="1:8" ht="15.75" customHeight="1" x14ac:dyDescent="0.3">
      <c r="A197" s="145"/>
      <c r="B197" s="147"/>
      <c r="C197" s="148"/>
      <c r="D197" s="149"/>
      <c r="E197" s="149"/>
      <c r="F197" s="26"/>
      <c r="G197" s="149"/>
      <c r="H197" s="151"/>
    </row>
    <row r="198" spans="1:8" ht="15.75" customHeight="1" x14ac:dyDescent="0.3">
      <c r="A198" s="145" t="s">
        <v>55</v>
      </c>
      <c r="B198" s="153" t="s">
        <v>526</v>
      </c>
      <c r="C198" s="154"/>
      <c r="D198" s="149">
        <v>14</v>
      </c>
      <c r="E198" s="149">
        <v>5</v>
      </c>
      <c r="F198" s="26">
        <f>+E198*D198</f>
      </c>
      <c r="G198" s="149">
        <v>1</v>
      </c>
      <c r="H198" s="151">
        <f>+G198*F198</f>
      </c>
    </row>
    <row r="199" spans="1:8" ht="15.75" customHeight="1" x14ac:dyDescent="0.3">
      <c r="A199" s="145"/>
      <c r="B199" s="157"/>
      <c r="C199" s="158"/>
      <c r="D199" s="149"/>
      <c r="E199" s="149"/>
      <c r="F199" s="26"/>
      <c r="G199" s="149"/>
      <c r="H199" s="151"/>
    </row>
    <row r="200" spans="1:8" ht="15.75" customHeight="1" x14ac:dyDescent="0.3">
      <c r="A200" s="145"/>
      <c r="B200" s="161"/>
      <c r="C200" s="158"/>
      <c r="D200" s="149"/>
      <c r="E200" s="149"/>
      <c r="F200" s="26"/>
      <c r="G200" s="149"/>
      <c r="H200" s="151"/>
    </row>
    <row r="201" spans="1:8" ht="15.75" customHeight="1" x14ac:dyDescent="0.3">
      <c r="A201" s="145"/>
      <c r="B201" s="161"/>
      <c r="C201" s="25"/>
      <c r="D201" s="149"/>
      <c r="E201" s="149"/>
      <c r="F201" s="26"/>
      <c r="G201" s="149"/>
      <c r="H201" s="151"/>
    </row>
    <row r="202" spans="1:8" ht="15.75" customHeight="1" x14ac:dyDescent="0.3">
      <c r="A202" s="145"/>
      <c r="B202" s="174"/>
      <c r="C202" s="25"/>
      <c r="D202" s="149"/>
      <c r="E202" s="149"/>
      <c r="F202" s="26"/>
      <c r="G202" s="149"/>
      <c r="H202" s="151"/>
    </row>
    <row r="203" spans="1:8" ht="15.75" customHeight="1" x14ac:dyDescent="0.3">
      <c r="A203" s="145"/>
      <c r="B203" s="174"/>
      <c r="C203" s="25"/>
      <c r="D203" s="149"/>
      <c r="E203" s="149"/>
      <c r="F203" s="26"/>
      <c r="G203" s="149"/>
      <c r="H203" s="151"/>
    </row>
    <row r="204" spans="1:8" ht="15.75" customHeight="1" x14ac:dyDescent="0.3">
      <c r="A204" s="145"/>
      <c r="B204" s="174"/>
      <c r="C204" s="25"/>
      <c r="D204" s="149"/>
      <c r="E204" s="149"/>
      <c r="F204" s="26"/>
      <c r="G204" s="149"/>
      <c r="H204" s="151"/>
    </row>
    <row r="205" spans="1:8" ht="15.75" customHeight="1" x14ac:dyDescent="0.3">
      <c r="A205" s="145"/>
      <c r="B205" s="174"/>
      <c r="C205" s="25"/>
      <c r="D205" s="149"/>
      <c r="E205" s="149"/>
      <c r="F205" s="26"/>
      <c r="G205" s="149"/>
      <c r="H205" s="151"/>
    </row>
    <row r="206" spans="1:8" ht="15.75" customHeight="1" x14ac:dyDescent="0.3">
      <c r="A206" s="145"/>
      <c r="B206" s="174"/>
      <c r="C206" s="25"/>
      <c r="D206" s="149"/>
      <c r="E206" s="149"/>
      <c r="F206" s="26"/>
      <c r="G206" s="149"/>
      <c r="H206" s="151"/>
    </row>
    <row r="207" spans="1:8" ht="15.75" customHeight="1" x14ac:dyDescent="0.3">
      <c r="A207" s="177"/>
      <c r="B207" s="139"/>
      <c r="C207" s="136"/>
      <c r="D207" s="149"/>
      <c r="E207" s="149"/>
      <c r="F207" s="179"/>
      <c r="G207" s="181"/>
      <c r="H207" s="151"/>
    </row>
    <row r="208" spans="1:8" ht="15.75" customHeight="1" x14ac:dyDescent="0.3">
      <c r="A208" s="183"/>
      <c r="B208" s="184"/>
      <c r="C208" s="185" t="s">
        <v>85</v>
      </c>
      <c r="D208" s="186">
        <f>SUM(D197:D207)</f>
      </c>
      <c r="E208" s="186"/>
      <c r="F208" s="187"/>
      <c r="G208" s="188"/>
      <c r="H208" s="189">
        <f>SUM(H198:H207)</f>
      </c>
    </row>
    <row r="209" spans="1:8" ht="15.75" customHeight="1" x14ac:dyDescent="0.3">
      <c r="A209" s="190"/>
      <c r="B209" s="191"/>
      <c r="C209" s="191"/>
      <c r="D209" s="192"/>
      <c r="E209" s="191"/>
      <c r="F209" s="193"/>
      <c r="G209" s="194"/>
      <c r="H209" s="195"/>
    </row>
    <row r="210" spans="1:8" ht="15.75" customHeight="1" x14ac:dyDescent="0.3">
      <c r="A210" s="196"/>
      <c r="B210" s="26"/>
      <c r="C210" s="26"/>
      <c r="D210" s="26"/>
      <c r="E210" s="25"/>
      <c r="F210" s="196"/>
      <c r="G210" s="25"/>
      <c r="H210" s="106"/>
    </row>
    <row r="211" spans="1:8" ht="15.75" customHeight="1" x14ac:dyDescent="0.3">
      <c r="A211" s="197"/>
      <c r="B211" s="197"/>
      <c r="C211" s="197"/>
      <c r="D211" s="198" t="s">
        <v>97</v>
      </c>
      <c r="E211" s="197" t="s">
        <v>98</v>
      </c>
      <c r="F211" s="197"/>
      <c r="G211" s="25"/>
      <c r="H211" s="106"/>
    </row>
    <row r="212" spans="1:8" ht="15.75" customHeight="1" x14ac:dyDescent="0.3">
      <c r="A212" s="25"/>
      <c r="B212" s="25"/>
      <c r="C212" s="25"/>
      <c r="D212" s="26"/>
      <c r="E212" s="25"/>
      <c r="F212" s="25"/>
      <c r="G212" s="25"/>
      <c r="H212" s="106"/>
    </row>
    <row r="213" spans="1:8" ht="15.75" customHeight="1" x14ac:dyDescent="0.3">
      <c r="A213" s="25"/>
      <c r="B213" s="25"/>
      <c r="C213" s="25"/>
      <c r="D213" s="26"/>
      <c r="E213" s="25"/>
      <c r="F213" s="25"/>
      <c r="G213" s="25"/>
      <c r="H213" s="106"/>
    </row>
    <row r="214" spans="1:8" ht="15.75" customHeight="1" x14ac:dyDescent="0.3">
      <c r="A214" s="197"/>
      <c r="B214" s="197"/>
      <c r="C214" s="197"/>
      <c r="D214" s="198"/>
      <c r="E214" s="197" t="s">
        <v>99</v>
      </c>
      <c r="F214" s="197"/>
      <c r="G214" s="25"/>
      <c r="H214" s="106"/>
    </row>
    <row r="215" spans="1:8" ht="15.75" customHeight="1" x14ac:dyDescent="0.25">
      <c r="D215" s="4"/>
      <c r="H215" s="4"/>
    </row>
    <row r="216" spans="1:8" ht="15.75" customHeight="1" x14ac:dyDescent="0.25">
      <c r="D216" s="4"/>
      <c r="H216" s="4"/>
    </row>
    <row r="217" spans="1:8" ht="15.75" customHeight="1" x14ac:dyDescent="0.25">
      <c r="D217" s="4"/>
      <c r="H217" s="4"/>
    </row>
    <row r="218" spans="1:8" ht="15.75" customHeight="1" x14ac:dyDescent="0.25">
      <c r="D218" s="4"/>
      <c r="H218" s="4"/>
    </row>
    <row r="219" spans="1:8" ht="15.75" customHeight="1" x14ac:dyDescent="0.25">
      <c r="D219" s="4"/>
      <c r="H219" s="4"/>
    </row>
    <row r="220" spans="1:8" ht="15.75" customHeight="1" x14ac:dyDescent="0.25">
      <c r="D220" s="4"/>
      <c r="H220" s="4"/>
    </row>
    <row r="221" spans="1:8" ht="15.75" customHeight="1" x14ac:dyDescent="0.25">
      <c r="D221" s="4"/>
      <c r="H221" s="4"/>
    </row>
    <row r="222" spans="1:8" ht="15.75" customHeight="1" x14ac:dyDescent="0.25">
      <c r="D222" s="4"/>
      <c r="H222" s="4"/>
    </row>
    <row r="223" spans="1:8" ht="15.75" customHeight="1" x14ac:dyDescent="0.25">
      <c r="A223" s="103" t="s">
        <v>14</v>
      </c>
      <c r="B223" s="103"/>
      <c r="C223" s="103"/>
      <c r="D223" s="103"/>
      <c r="E223" s="103"/>
      <c r="F223" s="103"/>
      <c r="G223" s="103"/>
      <c r="H223" s="103"/>
    </row>
    <row r="224" spans="1:8" ht="15.75" customHeight="1" x14ac:dyDescent="0.25">
      <c r="D224" s="4"/>
      <c r="H224" s="8"/>
    </row>
    <row r="225" spans="1:8" ht="15.75" customHeight="1" x14ac:dyDescent="0.25">
      <c r="A225" s="15"/>
      <c r="B225" s="15"/>
      <c r="C225" s="16"/>
      <c r="D225" s="17"/>
      <c r="E225" s="18"/>
      <c r="F225" s="18"/>
      <c r="G225" s="18"/>
      <c r="H225" s="19"/>
    </row>
    <row r="226" spans="1:8" ht="15.75" customHeight="1" x14ac:dyDescent="0.3">
      <c r="A226" s="25"/>
      <c r="B226" s="25"/>
      <c r="C226" s="25"/>
      <c r="D226" s="26"/>
      <c r="E226" s="25"/>
      <c r="F226" s="22" t="s">
        <v>18</v>
      </c>
      <c r="G226" s="23" t="s">
        <v>528</v>
      </c>
      <c r="H226" s="24"/>
    </row>
    <row r="227" spans="1:8" ht="15.75" customHeight="1" x14ac:dyDescent="0.3">
      <c r="A227" s="25" t="s">
        <v>20</v>
      </c>
      <c r="B227" s="25"/>
      <c r="C227" s="25"/>
      <c r="D227" s="26"/>
      <c r="E227" s="25"/>
      <c r="F227" s="22" t="s">
        <v>21</v>
      </c>
      <c r="G227" s="25" t="s">
        <v>529</v>
      </c>
      <c r="H227" s="26"/>
    </row>
    <row r="228" spans="1:8" ht="15.75" customHeight="1" x14ac:dyDescent="0.3">
      <c r="A228" s="25" t="inlineStr">
        <is>
          <t>Dealer-003</t>
        </is>
      </c>
      <c r="B228" s="25"/>
      <c r="C228" s="25"/>
      <c r="D228" s="26"/>
      <c r="E228" s="22"/>
      <c r="F228" s="25"/>
      <c r="G228" s="25"/>
      <c r="H228" s="106"/>
    </row>
    <row r="229" spans="1:8" ht="15.75" customHeight="1" x14ac:dyDescent="0.3">
      <c r="A229" s="25" t="inlineStr">
        <is>
          <t>Address line (redacted)</t>
        </is>
      </c>
      <c r="B229" s="25"/>
      <c r="C229" s="25"/>
      <c r="D229" s="109"/>
      <c r="E229" s="25"/>
      <c r="F229" s="26"/>
      <c r="G229" s="25"/>
      <c r="H229" s="106"/>
    </row>
    <row r="230" spans="1:8" ht="15.75" customHeight="1" x14ac:dyDescent="0.3">
      <c r="A230" s="25" t="inlineStr">
        <is>
          <t>Address line (redacted)</t>
        </is>
      </c>
      <c r="B230" s="25"/>
      <c r="C230" s="25"/>
      <c r="D230" s="109"/>
      <c r="E230" s="25"/>
      <c r="F230" s="26"/>
      <c r="G230" s="25"/>
      <c r="H230" s="106"/>
    </row>
    <row r="231" spans="1:8" ht="15.75" customHeight="1" x14ac:dyDescent="0.3">
      <c r="A231" s="114"/>
      <c r="B231" s="25"/>
      <c r="C231" s="25"/>
      <c r="D231" s="26"/>
      <c r="E231" s="25"/>
      <c r="F231" s="26"/>
      <c r="G231" s="25"/>
      <c r="H231" s="106"/>
    </row>
    <row r="232" spans="1:8" ht="15.75" customHeight="1" x14ac:dyDescent="0.3">
      <c r="A232" s="25" t="s">
        <v>30</v>
      </c>
      <c r="B232" s="25"/>
      <c r="C232" s="25"/>
      <c r="D232" s="26"/>
      <c r="E232" s="25"/>
      <c r="F232" s="26"/>
      <c r="G232" s="25"/>
      <c r="H232" s="106"/>
    </row>
    <row r="233" spans="1:8" ht="15.75" customHeight="1" x14ac:dyDescent="0.3">
      <c r="A233" s="25"/>
      <c r="B233" s="25"/>
      <c r="C233" s="25"/>
      <c r="D233" s="26"/>
      <c r="E233" s="25"/>
      <c r="F233" s="26"/>
      <c r="G233" s="25"/>
      <c r="H233" s="106"/>
    </row>
    <row r="234" spans="1:8" ht="15.75" customHeight="1" x14ac:dyDescent="0.3">
      <c r="A234" s="25" t="s">
        <v>31</v>
      </c>
      <c r="B234" s="25"/>
      <c r="C234" s="25"/>
      <c r="D234" s="26"/>
      <c r="E234" s="25"/>
      <c r="F234" s="26"/>
      <c r="G234" s="25"/>
      <c r="H234" s="106"/>
    </row>
    <row r="235" spans="1:8" ht="15.75" customHeight="1" x14ac:dyDescent="0.3">
      <c r="A235" s="25" t="s">
        <v>32</v>
      </c>
      <c r="B235" s="25"/>
      <c r="C235" s="25"/>
      <c r="D235" s="26"/>
      <c r="E235" s="25"/>
      <c r="F235" s="26"/>
      <c r="G235" s="25"/>
      <c r="H235" s="106"/>
    </row>
    <row r="236" spans="1:8" ht="15.75" customHeight="1" x14ac:dyDescent="0.3">
      <c r="A236" s="25"/>
      <c r="B236" s="25"/>
      <c r="C236" s="25"/>
      <c r="D236" s="26"/>
      <c r="E236" s="25"/>
      <c r="F236" s="26"/>
      <c r="G236" s="25"/>
      <c r="H236" s="106"/>
    </row>
    <row r="237" spans="1:8" ht="15.75" customHeight="1" x14ac:dyDescent="0.3">
      <c r="A237" s="118" t="s">
        <v>33</v>
      </c>
      <c r="B237" s="121" t="s">
        <v>6</v>
      </c>
      <c r="C237" s="121"/>
      <c r="D237" s="123" t="s">
        <v>37</v>
      </c>
      <c r="E237" s="125" t="s">
        <v>38</v>
      </c>
      <c r="F237" s="127" t="s">
        <v>7</v>
      </c>
      <c r="G237" s="129" t="s">
        <v>43</v>
      </c>
      <c r="H237" s="130" t="s">
        <v>44</v>
      </c>
    </row>
    <row r="238" spans="1:8" ht="15.75" customHeight="1" x14ac:dyDescent="0.3">
      <c r="A238" s="133"/>
      <c r="B238" s="135"/>
      <c r="C238" s="136"/>
      <c r="D238" s="138"/>
      <c r="E238" s="138"/>
      <c r="F238" s="139"/>
      <c r="G238" s="141"/>
      <c r="H238" s="143"/>
    </row>
    <row r="239" spans="1:8" ht="15.75" customHeight="1" x14ac:dyDescent="0.3">
      <c r="A239" s="145"/>
      <c r="B239" s="147"/>
      <c r="C239" s="148"/>
      <c r="D239" s="149"/>
      <c r="E239" s="149"/>
      <c r="F239" s="26"/>
      <c r="G239" s="149"/>
      <c r="H239" s="151"/>
    </row>
    <row r="240" spans="1:8" ht="15.75" customHeight="1" x14ac:dyDescent="0.3">
      <c r="A240" s="145" t="s">
        <v>55</v>
      </c>
      <c r="B240" s="153" t="s">
        <v>531</v>
      </c>
      <c r="C240" s="154" t="s">
        <v>532</v>
      </c>
      <c r="D240" s="149">
        <v>10</v>
      </c>
      <c r="E240" s="149">
        <v>10</v>
      </c>
      <c r="F240" s="26">
        <f>+E240*D240</f>
      </c>
      <c r="G240" s="149">
        <v>1</v>
      </c>
      <c r="H240" s="151">
        <f>+G240*F240</f>
      </c>
    </row>
    <row r="241" spans="1:8" ht="15.75" customHeight="1" x14ac:dyDescent="0.3">
      <c r="A241" s="145"/>
      <c r="B241" s="157"/>
      <c r="C241" s="158"/>
      <c r="D241" s="149"/>
      <c r="E241" s="149"/>
      <c r="F241" s="26"/>
      <c r="G241" s="149"/>
      <c r="H241" s="151"/>
    </row>
    <row r="242" spans="1:8" ht="17.25" customHeight="1" x14ac:dyDescent="0.3">
      <c r="A242" s="145" t="s">
        <v>59</v>
      </c>
      <c r="B242" s="161" t="s">
        <v>533</v>
      </c>
      <c r="C242" s="158"/>
      <c r="D242" s="149">
        <v>5</v>
      </c>
      <c r="E242" s="149">
        <v>1</v>
      </c>
      <c r="F242" s="26">
        <f>+E242*D242</f>
      </c>
      <c r="G242" s="149">
        <v>1</v>
      </c>
      <c r="H242" s="151">
        <f>+G242*F242</f>
      </c>
    </row>
    <row r="243" spans="1:8" ht="15.75" customHeight="1" x14ac:dyDescent="0.3">
      <c r="A243" s="145"/>
      <c r="B243" s="205" t="s">
        <v>534</v>
      </c>
      <c r="C243" s="206"/>
      <c r="D243" s="149"/>
      <c r="E243" s="149"/>
      <c r="F243" s="26"/>
      <c r="G243" s="149"/>
      <c r="H243" s="151"/>
    </row>
    <row r="244" spans="1:8" ht="15.75" customHeight="1" x14ac:dyDescent="0.3">
      <c r="A244" s="145"/>
      <c r="B244" s="174"/>
      <c r="C244" s="25"/>
      <c r="D244" s="149"/>
      <c r="E244" s="149"/>
      <c r="F244" s="26"/>
      <c r="G244" s="149"/>
      <c r="H244" s="151"/>
    </row>
    <row r="245" spans="1:8" ht="15.75" customHeight="1" x14ac:dyDescent="0.3">
      <c r="A245" s="145" t="s">
        <v>67</v>
      </c>
      <c r="B245" s="161" t="s">
        <v>533</v>
      </c>
      <c r="C245" s="158"/>
      <c r="D245" s="149">
        <v>5</v>
      </c>
      <c r="E245" s="149">
        <v>1</v>
      </c>
      <c r="F245" s="26">
        <f>+E245*D245</f>
      </c>
      <c r="G245" s="149">
        <v>1</v>
      </c>
      <c r="H245" s="151">
        <f>+G245*F245</f>
      </c>
    </row>
    <row r="246" spans="1:8" ht="15.75" customHeight="1" x14ac:dyDescent="0.3">
      <c r="A246" s="145"/>
      <c r="B246" s="205" t="s">
        <v>535</v>
      </c>
      <c r="C246" s="206"/>
      <c r="D246" s="149"/>
      <c r="E246" s="149"/>
      <c r="F246" s="26"/>
      <c r="G246" s="149"/>
      <c r="H246" s="151"/>
    </row>
    <row r="247" spans="1:8" ht="15.75" customHeight="1" x14ac:dyDescent="0.3">
      <c r="A247" s="145"/>
      <c r="B247" s="174"/>
      <c r="C247" s="25"/>
      <c r="D247" s="149"/>
      <c r="E247" s="149"/>
      <c r="F247" s="26"/>
      <c r="G247" s="149"/>
      <c r="H247" s="151"/>
    </row>
    <row r="248" spans="1:8" ht="15.75" customHeight="1" x14ac:dyDescent="0.3">
      <c r="A248" s="145"/>
      <c r="B248" s="174"/>
      <c r="C248" s="25"/>
      <c r="D248" s="149"/>
      <c r="E248" s="149"/>
      <c r="F248" s="26"/>
      <c r="G248" s="149"/>
      <c r="H248" s="151"/>
    </row>
    <row r="249" spans="1:8" ht="15.75" customHeight="1" x14ac:dyDescent="0.3">
      <c r="A249" s="177"/>
      <c r="B249" s="139"/>
      <c r="C249" s="136"/>
      <c r="D249" s="149"/>
      <c r="E249" s="149"/>
      <c r="F249" s="179"/>
      <c r="G249" s="181"/>
      <c r="H249" s="151"/>
    </row>
    <row r="250" spans="1:8" ht="15.75" customHeight="1" x14ac:dyDescent="0.3">
      <c r="A250" s="183"/>
      <c r="B250" s="184"/>
      <c r="C250" s="185" t="s">
        <v>85</v>
      </c>
      <c r="D250" s="186">
        <f>SUM(D239:D249)</f>
      </c>
      <c r="E250" s="186"/>
      <c r="F250" s="187"/>
      <c r="G250" s="188"/>
      <c r="H250" s="189">
        <f>SUM(H240:H249)</f>
      </c>
    </row>
    <row r="251" spans="1:8" ht="15.75" customHeight="1" x14ac:dyDescent="0.3">
      <c r="A251" s="190"/>
      <c r="B251" s="191"/>
      <c r="C251" s="191"/>
      <c r="D251" s="192"/>
      <c r="E251" s="191"/>
      <c r="F251" s="193"/>
      <c r="G251" s="194"/>
      <c r="H251" s="195"/>
    </row>
    <row r="252" spans="1:8" ht="15.75" customHeight="1" x14ac:dyDescent="0.3">
      <c r="A252" s="196"/>
      <c r="B252" s="26"/>
      <c r="C252" s="26"/>
      <c r="D252" s="26"/>
      <c r="E252" s="25"/>
      <c r="F252" s="196"/>
      <c r="G252" s="25"/>
      <c r="H252" s="106"/>
    </row>
    <row r="253" spans="1:8" ht="15.75" customHeight="1" x14ac:dyDescent="0.3">
      <c r="A253" s="197"/>
      <c r="B253" s="197"/>
      <c r="C253" s="197"/>
      <c r="D253" s="198" t="s">
        <v>97</v>
      </c>
      <c r="E253" s="197" t="s">
        <v>98</v>
      </c>
      <c r="F253" s="197"/>
      <c r="G253" s="25"/>
      <c r="H253" s="106"/>
    </row>
    <row r="254" spans="1:8" ht="15.75" customHeight="1" x14ac:dyDescent="0.3">
      <c r="A254" s="25"/>
      <c r="B254" s="25"/>
      <c r="C254" s="25"/>
      <c r="D254" s="26"/>
      <c r="E254" s="25"/>
      <c r="F254" s="25"/>
      <c r="G254" s="25"/>
      <c r="H254" s="106"/>
    </row>
    <row r="255" spans="1:8" ht="15.75" customHeight="1" x14ac:dyDescent="0.3">
      <c r="A255" s="25"/>
      <c r="B255" s="25"/>
      <c r="C255" s="25"/>
      <c r="D255" s="26"/>
      <c r="E255" s="25"/>
      <c r="F255" s="25"/>
      <c r="G255" s="25"/>
      <c r="H255" s="106"/>
    </row>
    <row r="256" spans="1:8" ht="15.75" customHeight="1" x14ac:dyDescent="0.3">
      <c r="A256" s="197"/>
      <c r="B256" s="197"/>
      <c r="C256" s="197"/>
      <c r="D256" s="198"/>
      <c r="E256" s="197" t="s">
        <v>99</v>
      </c>
      <c r="F256" s="197"/>
      <c r="G256" s="25"/>
      <c r="H256" s="106"/>
    </row>
    <row r="257" spans="1:8" ht="15.75" customHeight="1" x14ac:dyDescent="0.25">
      <c r="D257" s="4"/>
      <c r="H257" s="4"/>
    </row>
    <row r="258" spans="1:8" ht="15.75" customHeight="1" x14ac:dyDescent="0.25">
      <c r="D258" s="4"/>
      <c r="H258" s="4"/>
    </row>
    <row r="259" spans="1:8" ht="15.75" customHeight="1" x14ac:dyDescent="0.25">
      <c r="D259" s="4"/>
      <c r="H259" s="4"/>
    </row>
    <row r="260" spans="1:8" ht="15.75" customHeight="1" x14ac:dyDescent="0.25">
      <c r="D260" s="4"/>
      <c r="H260" s="4"/>
    </row>
    <row r="261" spans="1:8" ht="15.75" customHeight="1" x14ac:dyDescent="0.25">
      <c r="D261" s="4"/>
      <c r="H261" s="4"/>
    </row>
    <row r="262" spans="1:8" ht="15.75" customHeight="1" x14ac:dyDescent="0.25">
      <c r="D262" s="4"/>
      <c r="H262" s="4"/>
    </row>
    <row r="263" spans="1:8" ht="15.75" customHeight="1" x14ac:dyDescent="0.25">
      <c r="D263" s="4"/>
      <c r="H263" s="4"/>
    </row>
    <row r="264" spans="1:8" ht="15.75" customHeight="1" x14ac:dyDescent="0.25">
      <c r="D264" s="4"/>
      <c r="H264" s="4"/>
    </row>
    <row r="265" spans="1:8" ht="15.75" customHeight="1" x14ac:dyDescent="0.25">
      <c r="D265" s="4"/>
      <c r="H265" s="4"/>
    </row>
    <row r="266" spans="1:8" ht="15.75" customHeight="1" x14ac:dyDescent="0.25">
      <c r="D266" s="4"/>
      <c r="H266" s="4"/>
    </row>
    <row r="267" spans="1:8" ht="15.75" customHeight="1" x14ac:dyDescent="0.25">
      <c r="A267" s="14" t="s">
        <v>14</v>
      </c>
      <c r="B267" s="14"/>
      <c r="C267" s="14"/>
      <c r="D267" s="14"/>
      <c r="E267" s="14"/>
      <c r="F267" s="14"/>
      <c r="G267" s="14"/>
      <c r="H267" s="14"/>
    </row>
    <row r="268" spans="1:8" ht="15.75" customHeight="1" x14ac:dyDescent="0.25">
      <c r="D268" s="4"/>
      <c r="H268" s="8"/>
    </row>
    <row r="269" spans="1:8" ht="15.75" customHeight="1" x14ac:dyDescent="0.25">
      <c r="A269" s="15"/>
      <c r="B269" s="15"/>
      <c r="C269" s="16"/>
      <c r="D269" s="17"/>
      <c r="E269" s="18"/>
      <c r="F269" s="18"/>
      <c r="G269" s="18"/>
      <c r="H269" s="19"/>
    </row>
    <row r="270" spans="1:8" ht="15.75" customHeight="1" x14ac:dyDescent="0.3">
      <c r="A270" s="25"/>
      <c r="B270" s="25"/>
      <c r="C270" s="25"/>
      <c r="D270" s="26"/>
      <c r="E270" s="25"/>
      <c r="F270" s="22" t="s">
        <v>18</v>
      </c>
      <c r="G270" s="23" t="s">
        <v>528</v>
      </c>
      <c r="H270" s="24"/>
    </row>
    <row r="271" spans="1:8" ht="15.75" customHeight="1" x14ac:dyDescent="0.3">
      <c r="A271" s="25" t="s">
        <v>20</v>
      </c>
      <c r="B271" s="25"/>
      <c r="C271" s="25"/>
      <c r="D271" s="26"/>
      <c r="E271" s="25"/>
      <c r="F271" s="22" t="s">
        <v>21</v>
      </c>
      <c r="G271" s="25" t="s">
        <v>536</v>
      </c>
      <c r="H271" s="26"/>
    </row>
    <row r="272" spans="1:8" ht="15.75" customHeight="1" x14ac:dyDescent="0.3">
      <c r="A272" s="25" t="inlineStr">
        <is>
          <t>Dealer-004</t>
        </is>
      </c>
      <c r="B272" s="25"/>
      <c r="C272" s="25"/>
      <c r="D272" s="109"/>
      <c r="E272" s="25"/>
      <c r="F272" s="26"/>
      <c r="G272" s="25"/>
      <c r="H272" s="106"/>
    </row>
    <row r="273" spans="1:8" ht="15.75" customHeight="1" x14ac:dyDescent="0.3">
      <c r="A273" s="25" t="inlineStr">
        <is>
          <t>Address line (redacted)</t>
        </is>
      </c>
      <c r="B273" s="25"/>
      <c r="C273" s="25"/>
      <c r="D273" s="109"/>
      <c r="E273" s="25"/>
      <c r="F273" s="26"/>
      <c r="G273" s="25"/>
      <c r="H273" s="106"/>
    </row>
    <row r="274" spans="1:8" ht="15.75" customHeight="1" x14ac:dyDescent="0.3">
      <c r="A274" s="25" t="inlineStr">
        <is>
          <t>Address line (redacted)</t>
        </is>
      </c>
      <c r="B274" s="25"/>
      <c r="C274" s="25"/>
      <c r="D274" s="26"/>
      <c r="E274" s="25"/>
      <c r="F274" s="26"/>
      <c r="G274" s="25"/>
      <c r="H274" s="106"/>
    </row>
    <row r="275" spans="1:8" ht="15.75" customHeight="1" x14ac:dyDescent="0.3">
      <c r="A275" s="25"/>
      <c r="B275" s="25"/>
      <c r="C275" s="25"/>
      <c r="D275" s="26"/>
      <c r="E275" s="25"/>
      <c r="F275" s="26"/>
      <c r="G275" s="25"/>
      <c r="H275" s="106"/>
    </row>
    <row r="276" spans="1:8" ht="15.75" customHeight="1" x14ac:dyDescent="0.3">
      <c r="A276" s="25" t="s">
        <v>30</v>
      </c>
      <c r="B276" s="25"/>
      <c r="C276" s="25"/>
      <c r="D276" s="26"/>
      <c r="E276" s="25"/>
      <c r="F276" s="26"/>
      <c r="G276" s="25"/>
      <c r="H276" s="106"/>
    </row>
    <row r="277" spans="1:8" ht="15.75" customHeight="1" x14ac:dyDescent="0.3">
      <c r="A277" s="25"/>
      <c r="B277" s="25"/>
      <c r="C277" s="25"/>
      <c r="D277" s="26"/>
      <c r="E277" s="25"/>
      <c r="F277" s="26"/>
      <c r="G277" s="25"/>
      <c r="H277" s="106"/>
    </row>
    <row r="278" spans="1:8" ht="15.75" customHeight="1" x14ac:dyDescent="0.3">
      <c r="A278" s="25" t="s">
        <v>31</v>
      </c>
      <c r="B278" s="25"/>
      <c r="C278" s="25"/>
      <c r="D278" s="26"/>
      <c r="E278" s="25"/>
      <c r="F278" s="26"/>
      <c r="G278" s="25"/>
      <c r="H278" s="106"/>
    </row>
    <row r="279" spans="1:8" ht="15.75" customHeight="1" x14ac:dyDescent="0.3">
      <c r="A279" s="25" t="s">
        <v>32</v>
      </c>
      <c r="B279" s="25"/>
      <c r="C279" s="25"/>
      <c r="D279" s="26"/>
      <c r="E279" s="25"/>
      <c r="F279" s="26"/>
      <c r="G279" s="25"/>
      <c r="H279" s="106"/>
    </row>
    <row r="280" spans="1:8" ht="15.75" customHeight="1" x14ac:dyDescent="0.3">
      <c r="A280" s="25"/>
      <c r="B280" s="25"/>
      <c r="C280" s="25"/>
      <c r="D280" s="26"/>
      <c r="E280" s="25"/>
      <c r="F280" s="26"/>
      <c r="G280" s="25"/>
      <c r="H280" s="106"/>
    </row>
    <row r="281" spans="1:8" ht="15.75" customHeight="1" x14ac:dyDescent="0.3">
      <c r="A281" s="118" t="s">
        <v>33</v>
      </c>
      <c r="B281" s="121" t="s">
        <v>6</v>
      </c>
      <c r="C281" s="121"/>
      <c r="D281" s="123" t="s">
        <v>37</v>
      </c>
      <c r="E281" s="125" t="s">
        <v>38</v>
      </c>
      <c r="F281" s="127" t="s">
        <v>7</v>
      </c>
      <c r="G281" s="129" t="s">
        <v>43</v>
      </c>
      <c r="H281" s="130" t="s">
        <v>44</v>
      </c>
    </row>
    <row r="282" spans="1:8" ht="15.75" customHeight="1" x14ac:dyDescent="0.3">
      <c r="A282" s="133"/>
      <c r="B282" s="135"/>
      <c r="C282" s="136"/>
      <c r="D282" s="138"/>
      <c r="E282" s="138"/>
      <c r="F282" s="139"/>
      <c r="G282" s="141"/>
      <c r="H282" s="143"/>
    </row>
    <row r="283" spans="1:8" ht="15.75" customHeight="1" x14ac:dyDescent="0.3">
      <c r="A283" s="207" t="s">
        <v>55</v>
      </c>
      <c r="B283" s="208" t="s">
        <v>541</v>
      </c>
      <c r="C283" s="208"/>
      <c r="D283" s="209">
        <v>1</v>
      </c>
      <c r="E283" s="209">
        <v>200</v>
      </c>
      <c r="F283" s="209">
        <f>+E283*D283</f>
      </c>
      <c r="G283" s="209">
        <v>1</v>
      </c>
      <c r="H283" s="210">
        <f>+G283*F283</f>
      </c>
    </row>
    <row r="284" spans="1:8" ht="15.75" customHeight="1" x14ac:dyDescent="0.3">
      <c r="A284" s="207"/>
      <c r="B284" s="211"/>
      <c r="C284" s="211"/>
      <c r="D284" s="209"/>
      <c r="E284" s="209"/>
      <c r="F284" s="209"/>
      <c r="G284" s="209"/>
      <c r="H284" s="210"/>
    </row>
    <row r="285" spans="1:8" ht="15.75" customHeight="1" x14ac:dyDescent="0.3">
      <c r="A285" s="207"/>
      <c r="B285" s="173"/>
      <c r="C285" s="164"/>
      <c r="D285" s="209"/>
      <c r="E285" s="209"/>
      <c r="F285" s="209"/>
      <c r="G285" s="209"/>
      <c r="H285" s="210"/>
    </row>
    <row r="286" spans="1:8" ht="15.75" customHeight="1" x14ac:dyDescent="0.3">
      <c r="A286" s="207"/>
      <c r="B286" s="173"/>
      <c r="C286" s="164"/>
      <c r="D286" s="209"/>
      <c r="E286" s="209"/>
      <c r="F286" s="209"/>
      <c r="G286" s="209"/>
      <c r="H286" s="210"/>
    </row>
    <row r="287" spans="1:8" ht="15.75" customHeight="1" x14ac:dyDescent="0.3">
      <c r="A287" s="207"/>
      <c r="B287" s="173"/>
      <c r="C287" s="164"/>
      <c r="D287" s="209"/>
      <c r="E287" s="209"/>
      <c r="F287" s="209"/>
      <c r="G287" s="209"/>
      <c r="H287" s="210"/>
    </row>
    <row r="288" spans="1:8" ht="15.75" customHeight="1" x14ac:dyDescent="0.3">
      <c r="A288" s="145"/>
      <c r="B288" s="174"/>
      <c r="C288" s="25"/>
      <c r="D288" s="149"/>
      <c r="E288" s="149"/>
      <c r="F288" s="26"/>
      <c r="G288" s="149"/>
      <c r="H288" s="151"/>
    </row>
    <row r="289" spans="1:8" ht="15.75" customHeight="1" x14ac:dyDescent="0.3">
      <c r="A289" s="177"/>
      <c r="B289" s="139"/>
      <c r="C289" s="136"/>
      <c r="D289" s="149"/>
      <c r="E289" s="149"/>
      <c r="F289" s="179"/>
      <c r="G289" s="181"/>
      <c r="H289" s="151"/>
    </row>
    <row r="290" spans="1:8" ht="15.75" customHeight="1" x14ac:dyDescent="0.3">
      <c r="A290" s="183"/>
      <c r="B290" s="184"/>
      <c r="C290" s="185" t="s">
        <v>85</v>
      </c>
      <c r="D290" s="186">
        <f>SUM(D283:D289)</f>
      </c>
      <c r="E290" s="186"/>
      <c r="F290" s="187">
        <f>SUM(F283:F289)</f>
      </c>
      <c r="G290" s="188"/>
      <c r="H290" s="189">
        <f>SUM(H283:H289)</f>
      </c>
    </row>
    <row r="291" spans="1:8" ht="15.75" customHeight="1" x14ac:dyDescent="0.3">
      <c r="A291" s="190"/>
      <c r="B291" s="191"/>
      <c r="C291" s="191"/>
      <c r="D291" s="192"/>
      <c r="E291" s="191"/>
      <c r="F291" s="193"/>
      <c r="G291" s="194"/>
      <c r="H291" s="195"/>
    </row>
    <row r="292" spans="1:8" ht="15.75" customHeight="1" x14ac:dyDescent="0.3">
      <c r="A292" s="196"/>
      <c r="B292" s="26"/>
      <c r="C292" s="26"/>
      <c r="D292" s="26"/>
      <c r="E292" s="25"/>
      <c r="F292" s="196"/>
      <c r="G292" s="25"/>
      <c r="H292" s="106"/>
    </row>
    <row r="293" spans="1:8" ht="15.75" customHeight="1" x14ac:dyDescent="0.3">
      <c r="A293" s="197"/>
      <c r="B293" s="197"/>
      <c r="C293" s="197"/>
      <c r="D293" s="198" t="s">
        <v>97</v>
      </c>
      <c r="E293" s="197" t="s">
        <v>98</v>
      </c>
      <c r="F293" s="197"/>
      <c r="G293" s="25"/>
      <c r="H293" s="106"/>
    </row>
    <row r="294" spans="1:8" ht="15.75" customHeight="1" x14ac:dyDescent="0.3">
      <c r="A294" s="25"/>
      <c r="B294" s="25"/>
      <c r="C294" s="25"/>
      <c r="D294" s="26"/>
      <c r="E294" s="25"/>
      <c r="F294" s="25"/>
      <c r="G294" s="25"/>
      <c r="H294" s="106"/>
    </row>
    <row r="295" spans="1:8" ht="15.75" customHeight="1" x14ac:dyDescent="0.3">
      <c r="A295" s="25"/>
      <c r="B295" s="25"/>
      <c r="C295" s="25"/>
      <c r="D295" s="26"/>
      <c r="E295" s="25"/>
      <c r="F295" s="25"/>
      <c r="G295" s="25"/>
      <c r="H295" s="106"/>
    </row>
    <row r="296" spans="1:8" ht="15.75" customHeight="1" x14ac:dyDescent="0.3">
      <c r="A296" s="197"/>
      <c r="B296" s="197"/>
      <c r="C296" s="197"/>
      <c r="D296" s="198"/>
      <c r="E296" s="197" t="s">
        <v>99</v>
      </c>
      <c r="F296" s="197"/>
      <c r="G296" s="25"/>
      <c r="H296" s="106"/>
    </row>
    <row r="297" spans="1:8" ht="15.75" customHeight="1" x14ac:dyDescent="0.25">
      <c r="D297" s="4"/>
      <c r="H297" s="4"/>
    </row>
    <row r="298" spans="1:8" ht="15.75" customHeight="1" x14ac:dyDescent="0.25">
      <c r="D298" s="4"/>
      <c r="H298" s="4"/>
    </row>
    <row r="299" spans="1:8" ht="15.75" customHeight="1" x14ac:dyDescent="0.25">
      <c r="D299" s="4"/>
      <c r="H299" s="4"/>
    </row>
    <row r="300" spans="1:8" ht="15.75" customHeight="1" x14ac:dyDescent="0.25">
      <c r="D300" s="4"/>
      <c r="H300" s="4"/>
    </row>
    <row r="301" spans="1:8" ht="15.75" customHeight="1" x14ac:dyDescent="0.25">
      <c r="D301" s="4"/>
      <c r="H301" s="4"/>
    </row>
    <row r="302" spans="1:8" ht="15.75" customHeight="1" x14ac:dyDescent="0.25">
      <c r="D302" s="4"/>
      <c r="H302" s="4"/>
    </row>
    <row r="303" spans="1:8" ht="15.75" customHeight="1" x14ac:dyDescent="0.25">
      <c r="D303" s="4"/>
      <c r="H303" s="4"/>
    </row>
    <row r="304" spans="1:8" ht="15.75" customHeight="1" x14ac:dyDescent="0.25">
      <c r="D304" s="4"/>
      <c r="H304" s="4"/>
    </row>
    <row r="305" spans="1:8" ht="15.75" customHeight="1" x14ac:dyDescent="0.25">
      <c r="D305" s="4"/>
      <c r="H305" s="4"/>
    </row>
    <row r="306" spans="1:8" ht="15.75" customHeight="1" x14ac:dyDescent="0.25">
      <c r="D306" s="4"/>
      <c r="H306" s="4"/>
    </row>
    <row r="307" spans="1:8" ht="15.75" customHeight="1" x14ac:dyDescent="0.25">
      <c r="D307" s="4"/>
      <c r="H307" s="4"/>
    </row>
    <row r="308" spans="1:8" ht="15.75" customHeight="1" x14ac:dyDescent="0.25">
      <c r="D308" s="4"/>
      <c r="H308" s="4"/>
    </row>
    <row r="309" spans="1:8" ht="15.75" customHeight="1" x14ac:dyDescent="0.25">
      <c r="D309" s="4"/>
      <c r="H309" s="4"/>
    </row>
    <row r="310" spans="1:8" ht="15.75" customHeight="1" x14ac:dyDescent="0.25">
      <c r="D310" s="4"/>
      <c r="H310" s="4"/>
    </row>
    <row r="311" spans="1:8" ht="15.75" customHeight="1" x14ac:dyDescent="0.25">
      <c r="A311" s="14" t="s">
        <v>14</v>
      </c>
      <c r="B311" s="14"/>
      <c r="C311" s="14"/>
      <c r="D311" s="14"/>
      <c r="E311" s="14"/>
      <c r="F311" s="14"/>
      <c r="G311" s="14"/>
      <c r="H311" s="14"/>
    </row>
    <row r="312" spans="1:8" ht="15.75" customHeight="1" x14ac:dyDescent="0.25">
      <c r="D312" s="4"/>
      <c r="H312" s="8"/>
    </row>
    <row r="313" spans="1:8" ht="15.75" customHeight="1" x14ac:dyDescent="0.25">
      <c r="A313" s="15"/>
      <c r="B313" s="15"/>
      <c r="C313" s="16"/>
      <c r="D313" s="17"/>
      <c r="E313" s="18"/>
      <c r="F313" s="18"/>
      <c r="G313" s="18"/>
      <c r="H313" s="19"/>
    </row>
    <row r="314" spans="1:8" ht="15.75" customHeight="1" x14ac:dyDescent="0.3">
      <c r="A314" s="25"/>
      <c r="B314" s="25"/>
      <c r="C314" s="25"/>
      <c r="D314" s="26"/>
      <c r="E314" s="25"/>
      <c r="F314" s="22" t="s">
        <v>18</v>
      </c>
      <c r="G314" s="23" t="s">
        <v>544</v>
      </c>
      <c r="H314" s="24"/>
    </row>
    <row r="315" spans="1:8" ht="15.75" customHeight="1" x14ac:dyDescent="0.3">
      <c r="A315" s="25" t="s">
        <v>20</v>
      </c>
      <c r="B315" s="25"/>
      <c r="C315" s="25"/>
      <c r="D315" s="26"/>
      <c r="E315" s="25"/>
      <c r="F315" s="22" t="s">
        <v>21</v>
      </c>
      <c r="G315" s="25" t="s">
        <v>547</v>
      </c>
      <c r="H315" s="26"/>
    </row>
    <row r="316" spans="1:8" ht="15.75" customHeight="1" x14ac:dyDescent="0.3">
      <c r="A316" s="25" t="inlineStr">
        <is>
          <t>Dealer-004</t>
        </is>
      </c>
      <c r="B316" s="25"/>
      <c r="C316" s="25"/>
      <c r="D316" s="109"/>
      <c r="E316" s="25"/>
      <c r="F316" s="26"/>
      <c r="G316" s="25"/>
      <c r="H316" s="106"/>
    </row>
    <row r="317" spans="1:8" ht="15.75" customHeight="1" x14ac:dyDescent="0.3">
      <c r="A317" s="25" t="inlineStr">
        <is>
          <t>Address line (redacted)</t>
        </is>
      </c>
      <c r="B317" s="25"/>
      <c r="C317" s="25"/>
      <c r="D317" s="109"/>
      <c r="E317" s="25"/>
      <c r="F317" s="26"/>
      <c r="G317" s="25"/>
      <c r="H317" s="106"/>
    </row>
    <row r="318" spans="1:8" ht="15.75" customHeight="1" x14ac:dyDescent="0.3">
      <c r="A318" s="25" t="inlineStr">
        <is>
          <t>Address line (redacted)</t>
        </is>
      </c>
      <c r="B318" s="25"/>
      <c r="C318" s="25"/>
      <c r="D318" s="26"/>
      <c r="E318" s="25"/>
      <c r="F318" s="26"/>
      <c r="G318" s="25"/>
      <c r="H318" s="106"/>
    </row>
    <row r="319" spans="1:8" ht="15.75" customHeight="1" x14ac:dyDescent="0.3">
      <c r="A319" s="25"/>
      <c r="B319" s="25"/>
      <c r="C319" s="25"/>
      <c r="D319" s="26"/>
      <c r="E319" s="25"/>
      <c r="F319" s="26"/>
      <c r="G319" s="25"/>
      <c r="H319" s="106"/>
    </row>
    <row r="320" spans="1:8" ht="15.75" customHeight="1" x14ac:dyDescent="0.3">
      <c r="A320" s="25" t="s">
        <v>30</v>
      </c>
      <c r="B320" s="25"/>
      <c r="C320" s="25"/>
      <c r="D320" s="26"/>
      <c r="E320" s="25"/>
      <c r="F320" s="26"/>
      <c r="G320" s="25"/>
      <c r="H320" s="106"/>
    </row>
    <row r="321" spans="1:8" ht="15.75" customHeight="1" x14ac:dyDescent="0.3">
      <c r="A321" s="25"/>
      <c r="B321" s="25"/>
      <c r="C321" s="25"/>
      <c r="D321" s="26"/>
      <c r="E321" s="25"/>
      <c r="F321" s="26"/>
      <c r="G321" s="25"/>
      <c r="H321" s="106"/>
    </row>
    <row r="322" spans="1:8" ht="15.75" customHeight="1" x14ac:dyDescent="0.3">
      <c r="A322" s="25" t="s">
        <v>31</v>
      </c>
      <c r="B322" s="25"/>
      <c r="C322" s="25"/>
      <c r="D322" s="26"/>
      <c r="E322" s="25"/>
      <c r="F322" s="26"/>
      <c r="G322" s="25"/>
      <c r="H322" s="106"/>
    </row>
    <row r="323" spans="1:8" ht="15.75" customHeight="1" x14ac:dyDescent="0.3">
      <c r="A323" s="25" t="s">
        <v>32</v>
      </c>
      <c r="B323" s="25"/>
      <c r="C323" s="25"/>
      <c r="D323" s="26"/>
      <c r="E323" s="25"/>
      <c r="F323" s="26"/>
      <c r="G323" s="25"/>
      <c r="H323" s="106"/>
    </row>
    <row r="324" spans="1:8" ht="15.75" customHeight="1" x14ac:dyDescent="0.3">
      <c r="A324" s="25"/>
      <c r="B324" s="25"/>
      <c r="C324" s="25"/>
      <c r="D324" s="26"/>
      <c r="E324" s="25"/>
      <c r="F324" s="26"/>
      <c r="G324" s="25"/>
      <c r="H324" s="106"/>
    </row>
    <row r="325" spans="1:8" ht="15.75" customHeight="1" x14ac:dyDescent="0.3">
      <c r="A325" s="118" t="s">
        <v>33</v>
      </c>
      <c r="B325" s="121" t="s">
        <v>6</v>
      </c>
      <c r="C325" s="121"/>
      <c r="D325" s="123" t="s">
        <v>37</v>
      </c>
      <c r="E325" s="125" t="s">
        <v>38</v>
      </c>
      <c r="F325" s="127" t="s">
        <v>7</v>
      </c>
      <c r="G325" s="129" t="s">
        <v>43</v>
      </c>
      <c r="H325" s="130" t="s">
        <v>44</v>
      </c>
    </row>
    <row r="326" spans="1:8" ht="15.75" customHeight="1" x14ac:dyDescent="0.3">
      <c r="A326" s="133"/>
      <c r="B326" s="135"/>
      <c r="C326" s="136"/>
      <c r="D326" s="138"/>
      <c r="E326" s="138"/>
      <c r="F326" s="139"/>
      <c r="G326" s="141"/>
      <c r="H326" s="143"/>
    </row>
    <row r="327" spans="1:8" ht="15.75" customHeight="1" x14ac:dyDescent="0.3">
      <c r="A327" s="207" t="s">
        <v>55</v>
      </c>
      <c r="B327" s="208" t="s">
        <v>549</v>
      </c>
      <c r="C327" s="208"/>
      <c r="D327" s="209">
        <v>1</v>
      </c>
      <c r="E327" s="209">
        <v>50</v>
      </c>
      <c r="F327" s="209">
        <f>+E327*D327</f>
      </c>
      <c r="G327" s="209">
        <v>1</v>
      </c>
      <c r="H327" s="210">
        <f>+G327*F327</f>
      </c>
    </row>
    <row r="328" spans="1:8" ht="15.75" customHeight="1" x14ac:dyDescent="0.3">
      <c r="A328" s="207"/>
      <c r="B328" s="211"/>
      <c r="C328" s="211"/>
      <c r="D328" s="209"/>
      <c r="E328" s="209"/>
      <c r="F328" s="209"/>
      <c r="G328" s="209"/>
      <c r="H328" s="210"/>
    </row>
    <row r="329" spans="1:8" ht="15.75" customHeight="1" x14ac:dyDescent="0.3">
      <c r="A329" s="207"/>
      <c r="B329" s="173"/>
      <c r="C329" s="164"/>
      <c r="D329" s="209"/>
      <c r="E329" s="209"/>
      <c r="F329" s="209"/>
      <c r="G329" s="209"/>
      <c r="H329" s="210"/>
    </row>
    <row r="330" spans="1:8" ht="15.75" customHeight="1" x14ac:dyDescent="0.3">
      <c r="A330" s="207"/>
      <c r="B330" s="173"/>
      <c r="C330" s="164"/>
      <c r="D330" s="209"/>
      <c r="E330" s="209"/>
      <c r="F330" s="209"/>
      <c r="G330" s="209"/>
      <c r="H330" s="210"/>
    </row>
    <row r="331" spans="1:8" ht="15.75" customHeight="1" x14ac:dyDescent="0.3">
      <c r="A331" s="207"/>
      <c r="B331" s="173"/>
      <c r="C331" s="164"/>
      <c r="D331" s="209"/>
      <c r="E331" s="209"/>
      <c r="F331" s="209"/>
      <c r="G331" s="209"/>
      <c r="H331" s="210"/>
    </row>
    <row r="332" spans="1:8" ht="15.75" customHeight="1" x14ac:dyDescent="0.3">
      <c r="A332" s="145"/>
      <c r="B332" s="174"/>
      <c r="C332" s="25"/>
      <c r="D332" s="149"/>
      <c r="E332" s="149"/>
      <c r="F332" s="26"/>
      <c r="G332" s="149"/>
      <c r="H332" s="151"/>
    </row>
    <row r="333" spans="1:8" ht="15.75" customHeight="1" x14ac:dyDescent="0.3">
      <c r="A333" s="177"/>
      <c r="B333" s="139"/>
      <c r="C333" s="136"/>
      <c r="D333" s="149"/>
      <c r="E333" s="149"/>
      <c r="F333" s="179"/>
      <c r="G333" s="181"/>
      <c r="H333" s="151"/>
    </row>
    <row r="334" spans="1:8" ht="15.75" customHeight="1" x14ac:dyDescent="0.3">
      <c r="A334" s="183"/>
      <c r="B334" s="184"/>
      <c r="C334" s="185" t="s">
        <v>85</v>
      </c>
      <c r="D334" s="186">
        <f>SUM(D327:D333)</f>
      </c>
      <c r="E334" s="186"/>
      <c r="F334" s="187">
        <f>SUM(F327:F333)</f>
      </c>
      <c r="G334" s="188"/>
      <c r="H334" s="189">
        <f>SUM(H327:H333)</f>
      </c>
    </row>
    <row r="335" spans="1:8" ht="15.75" customHeight="1" x14ac:dyDescent="0.3">
      <c r="A335" s="190"/>
      <c r="B335" s="191"/>
      <c r="C335" s="191"/>
      <c r="D335" s="192"/>
      <c r="E335" s="191"/>
      <c r="F335" s="193"/>
      <c r="G335" s="194"/>
      <c r="H335" s="195"/>
    </row>
    <row r="336" spans="1:8" ht="15.75" customHeight="1" x14ac:dyDescent="0.3">
      <c r="A336" s="196"/>
      <c r="B336" s="26"/>
      <c r="C336" s="26"/>
      <c r="D336" s="26"/>
      <c r="E336" s="25"/>
      <c r="F336" s="196"/>
      <c r="G336" s="25"/>
      <c r="H336" s="106"/>
    </row>
    <row r="337" spans="1:8" ht="15.75" customHeight="1" x14ac:dyDescent="0.3">
      <c r="A337" s="197"/>
      <c r="B337" s="197"/>
      <c r="C337" s="197"/>
      <c r="D337" s="198" t="s">
        <v>97</v>
      </c>
      <c r="E337" s="197" t="s">
        <v>98</v>
      </c>
      <c r="F337" s="197"/>
      <c r="G337" s="25"/>
      <c r="H337" s="106"/>
    </row>
    <row r="338" spans="1:8" ht="15.75" customHeight="1" x14ac:dyDescent="0.3">
      <c r="A338" s="25"/>
      <c r="B338" s="25"/>
      <c r="C338" s="25"/>
      <c r="D338" s="26"/>
      <c r="E338" s="25"/>
      <c r="F338" s="25"/>
      <c r="G338" s="25"/>
      <c r="H338" s="106"/>
    </row>
    <row r="339" spans="1:8" ht="15.75" customHeight="1" x14ac:dyDescent="0.3">
      <c r="A339" s="25"/>
      <c r="B339" s="25"/>
      <c r="C339" s="25"/>
      <c r="D339" s="26"/>
      <c r="E339" s="25"/>
      <c r="F339" s="25"/>
      <c r="G339" s="25"/>
      <c r="H339" s="106"/>
    </row>
    <row r="340" spans="1:8" ht="15.75" customHeight="1" x14ac:dyDescent="0.3">
      <c r="A340" s="197"/>
      <c r="B340" s="197"/>
      <c r="C340" s="197"/>
      <c r="D340" s="198"/>
      <c r="E340" s="197" t="s">
        <v>99</v>
      </c>
      <c r="F340" s="197"/>
      <c r="G340" s="25"/>
      <c r="H340" s="106"/>
    </row>
    <row r="341" spans="1:8" ht="15.75" customHeight="1" x14ac:dyDescent="0.25">
      <c r="D341" s="4"/>
      <c r="H341" s="4"/>
    </row>
    <row r="342" spans="1:8" ht="15.75" customHeight="1" x14ac:dyDescent="0.25">
      <c r="D342" s="4"/>
      <c r="H342" s="4"/>
    </row>
    <row r="343" spans="1:8" ht="15.75" customHeight="1" x14ac:dyDescent="0.25">
      <c r="D343" s="4"/>
      <c r="H343" s="4"/>
    </row>
    <row r="344" spans="1:8" ht="15.75" customHeight="1" x14ac:dyDescent="0.25">
      <c r="D344" s="4"/>
      <c r="H344" s="4"/>
    </row>
    <row r="345" spans="1:8" ht="15.75" customHeight="1" x14ac:dyDescent="0.25">
      <c r="D345" s="4"/>
      <c r="H345" s="4"/>
    </row>
    <row r="346" spans="1:8" ht="15.75" customHeight="1" x14ac:dyDescent="0.25">
      <c r="D346" s="4"/>
      <c r="H346" s="4"/>
    </row>
    <row r="347" spans="1:8" ht="15.75" customHeight="1" x14ac:dyDescent="0.25">
      <c r="D347" s="4"/>
      <c r="H347" s="4"/>
    </row>
    <row r="348" spans="1:8" ht="15.75" customHeight="1" x14ac:dyDescent="0.25">
      <c r="D348" s="4"/>
      <c r="H348" s="4"/>
    </row>
    <row r="349" spans="1:8" ht="15.75" customHeight="1" x14ac:dyDescent="0.25">
      <c r="D349" s="4"/>
      <c r="H349" s="4"/>
    </row>
    <row r="350" spans="1:8" ht="15.75" customHeight="1" x14ac:dyDescent="0.25">
      <c r="D350" s="4"/>
      <c r="H350" s="4"/>
    </row>
    <row r="351" spans="1:8" ht="15.75" customHeight="1" x14ac:dyDescent="0.25">
      <c r="D351" s="4"/>
      <c r="H351" s="4"/>
    </row>
    <row r="352" spans="1:8" ht="15.75" customHeight="1" x14ac:dyDescent="0.25">
      <c r="D352" s="4"/>
      <c r="H352" s="4"/>
    </row>
    <row r="353" spans="1:20" ht="15.75" customHeight="1" x14ac:dyDescent="0.25">
      <c r="D353" s="4"/>
      <c r="H353" s="4"/>
    </row>
    <row r="354" spans="1:20" ht="15.75" customHeight="1" x14ac:dyDescent="0.25">
      <c r="D354" s="4"/>
      <c r="H354" s="4"/>
    </row>
    <row r="355" spans="1:20" ht="15.75" customHeight="1" x14ac:dyDescent="0.25">
      <c r="A355" s="14" t="s">
        <v>14</v>
      </c>
      <c r="B355" s="14"/>
      <c r="C355" s="14"/>
      <c r="D355" s="14"/>
      <c r="E355" s="14"/>
      <c r="F355" s="14"/>
      <c r="G355" s="14"/>
      <c r="H355" s="14"/>
    </row>
    <row r="356" spans="1:20" ht="15.75" customHeight="1" x14ac:dyDescent="0.3">
      <c r="D356" s="4"/>
      <c r="H356" s="8"/>
      <c r="I356" s="25"/>
      <c r="J356" s="25"/>
      <c r="K356" s="25"/>
      <c r="L356" s="25"/>
      <c r="M356" s="25"/>
      <c r="N356" s="25"/>
      <c r="O356" s="25"/>
      <c r="P356" s="25"/>
      <c r="Q356" s="25"/>
      <c r="R356" s="25"/>
      <c r="S356" s="25"/>
      <c r="T356" s="25"/>
    </row>
    <row r="357" spans="1:20" ht="15.75" customHeight="1" x14ac:dyDescent="0.3">
      <c r="A357" s="25"/>
      <c r="B357" s="25"/>
      <c r="C357" s="26"/>
      <c r="D357" s="196"/>
      <c r="E357" s="136"/>
      <c r="F357" s="136"/>
      <c r="G357" s="136"/>
      <c r="H357" s="106"/>
      <c r="I357" s="25"/>
      <c r="J357" s="25"/>
      <c r="K357" s="25"/>
      <c r="L357" s="25"/>
      <c r="M357" s="25"/>
      <c r="N357" s="25"/>
      <c r="O357" s="25"/>
      <c r="P357" s="25"/>
      <c r="Q357" s="25"/>
      <c r="R357" s="25"/>
      <c r="S357" s="25"/>
      <c r="T357" s="25"/>
    </row>
    <row r="358" spans="1:20" ht="15.75" customHeight="1" x14ac:dyDescent="0.3">
      <c r="A358" s="25"/>
      <c r="B358" s="25"/>
      <c r="C358" s="25"/>
      <c r="D358" s="26"/>
      <c r="E358" s="25"/>
      <c r="F358" s="22" t="s">
        <v>18</v>
      </c>
      <c r="G358" s="23" t="s">
        <v>545</v>
      </c>
      <c r="H358" s="24"/>
      <c r="I358" s="25"/>
      <c r="J358" s="25"/>
      <c r="K358" s="25"/>
      <c r="L358" s="25"/>
      <c r="M358" s="25"/>
      <c r="N358" s="25"/>
      <c r="O358" s="25"/>
      <c r="P358" s="25"/>
      <c r="Q358" s="25"/>
      <c r="R358" s="25"/>
      <c r="S358" s="25"/>
      <c r="T358" s="25"/>
    </row>
    <row r="359" spans="1:20" ht="15.75" customHeight="1" x14ac:dyDescent="0.3">
      <c r="A359" s="25" t="s">
        <v>20</v>
      </c>
      <c r="B359" s="25"/>
      <c r="C359" s="25"/>
      <c r="D359" s="26"/>
      <c r="E359" s="25"/>
      <c r="F359" s="22" t="s">
        <v>21</v>
      </c>
      <c r="G359" s="25" t="s">
        <v>546</v>
      </c>
      <c r="H359" s="26"/>
      <c r="I359" s="25"/>
      <c r="J359" s="25"/>
      <c r="K359" s="25"/>
      <c r="L359" s="25"/>
      <c r="M359" s="25"/>
      <c r="N359" s="25"/>
      <c r="O359" s="25"/>
      <c r="P359" s="25"/>
      <c r="Q359" s="25"/>
      <c r="R359" s="25"/>
      <c r="S359" s="25"/>
      <c r="T359" s="25"/>
    </row>
    <row r="360" spans="1:20" ht="15.75" customHeight="1" x14ac:dyDescent="0.3">
      <c r="A360" s="25" t="inlineStr">
        <is>
          <t>Dealer-002</t>
        </is>
      </c>
      <c r="B360" s="25"/>
      <c r="C360" s="25"/>
      <c r="D360" s="26"/>
      <c r="E360" s="22"/>
      <c r="F360" s="25"/>
      <c r="G360" s="25"/>
      <c r="H360" s="106"/>
      <c r="I360" s="25"/>
      <c r="J360" s="25"/>
      <c r="K360" s="25"/>
      <c r="L360" s="25"/>
      <c r="M360" s="25"/>
      <c r="N360" s="25"/>
      <c r="O360" s="25"/>
      <c r="P360" s="25"/>
      <c r="Q360" s="25"/>
      <c r="R360" s="25"/>
      <c r="S360" s="25"/>
      <c r="T360" s="25"/>
    </row>
    <row r="361" spans="1:20" ht="15.75" customHeight="1" x14ac:dyDescent="0.3">
      <c r="A361" s="25" t="inlineStr">
        <is>
          <t>Address line (redacted)</t>
        </is>
      </c>
      <c r="B361" s="25"/>
      <c r="C361" s="25"/>
      <c r="D361" s="109"/>
      <c r="E361" s="25"/>
      <c r="F361" s="26"/>
      <c r="G361" s="25"/>
      <c r="H361" s="106"/>
      <c r="I361" s="25"/>
      <c r="J361" s="25"/>
      <c r="K361" s="25"/>
      <c r="L361" s="25"/>
      <c r="M361" s="25"/>
      <c r="N361" s="25"/>
      <c r="O361" s="25"/>
      <c r="P361" s="25"/>
      <c r="Q361" s="25"/>
      <c r="R361" s="25"/>
      <c r="S361" s="25"/>
      <c r="T361" s="25"/>
    </row>
    <row r="362" spans="1:20" ht="15.75" customHeight="1" x14ac:dyDescent="0.3">
      <c r="A362" s="25" t="inlineStr">
        <is>
          <t>Address line (redacted)</t>
        </is>
      </c>
      <c r="B362" s="25"/>
      <c r="C362" s="25"/>
      <c r="D362" s="109"/>
      <c r="E362" s="25"/>
      <c r="F362" s="26"/>
      <c r="G362" s="25"/>
      <c r="H362" s="106"/>
      <c r="I362" s="25"/>
      <c r="J362" s="25"/>
      <c r="K362" s="25"/>
      <c r="L362" s="25"/>
      <c r="M362" s="25"/>
      <c r="N362" s="25"/>
      <c r="O362" s="25"/>
      <c r="P362" s="25"/>
      <c r="Q362" s="25"/>
      <c r="R362" s="25"/>
      <c r="S362" s="25"/>
      <c r="T362" s="25"/>
    </row>
    <row r="363" spans="1:20" ht="15.75" customHeight="1" x14ac:dyDescent="0.3">
      <c r="A363" s="114"/>
      <c r="B363" s="25"/>
      <c r="C363" s="25"/>
      <c r="D363" s="26"/>
      <c r="E363" s="25"/>
      <c r="F363" s="26"/>
      <c r="G363" s="25"/>
      <c r="H363" s="106"/>
      <c r="I363" s="25"/>
      <c r="J363" s="25"/>
      <c r="K363" s="25"/>
      <c r="L363" s="25"/>
      <c r="M363" s="25"/>
      <c r="N363" s="25"/>
      <c r="O363" s="25"/>
      <c r="P363" s="25"/>
      <c r="Q363" s="25"/>
      <c r="R363" s="25"/>
      <c r="S363" s="25"/>
      <c r="T363" s="25"/>
    </row>
    <row r="364" spans="1:20" ht="15.75" customHeight="1" x14ac:dyDescent="0.3">
      <c r="A364" s="25" t="s">
        <v>30</v>
      </c>
      <c r="B364" s="25"/>
      <c r="C364" s="25"/>
      <c r="D364" s="26"/>
      <c r="E364" s="25"/>
      <c r="F364" s="26"/>
      <c r="G364" s="25"/>
      <c r="H364" s="106"/>
      <c r="I364" s="25"/>
      <c r="J364" s="25"/>
      <c r="K364" s="25"/>
      <c r="L364" s="25"/>
      <c r="M364" s="25"/>
      <c r="N364" s="25"/>
      <c r="O364" s="25"/>
      <c r="P364" s="25"/>
      <c r="Q364" s="25"/>
      <c r="R364" s="25"/>
      <c r="S364" s="25"/>
      <c r="T364" s="25"/>
    </row>
    <row r="365" spans="1:20" ht="15.75" customHeight="1" x14ac:dyDescent="0.3">
      <c r="A365" s="25"/>
      <c r="B365" s="25"/>
      <c r="C365" s="25"/>
      <c r="D365" s="26"/>
      <c r="E365" s="25"/>
      <c r="F365" s="26"/>
      <c r="G365" s="25"/>
      <c r="H365" s="106"/>
      <c r="I365" s="25"/>
      <c r="J365" s="25"/>
      <c r="K365" s="25"/>
      <c r="L365" s="25"/>
      <c r="M365" s="25"/>
      <c r="N365" s="25"/>
      <c r="O365" s="25"/>
      <c r="P365" s="25"/>
      <c r="Q365" s="25"/>
      <c r="R365" s="25"/>
      <c r="S365" s="25"/>
      <c r="T365" s="25"/>
    </row>
    <row r="366" spans="1:20" ht="15.75" customHeight="1" x14ac:dyDescent="0.3">
      <c r="A366" s="25" t="s">
        <v>31</v>
      </c>
      <c r="B366" s="25"/>
      <c r="C366" s="25"/>
      <c r="D366" s="26"/>
      <c r="E366" s="25"/>
      <c r="F366" s="26"/>
      <c r="G366" s="25"/>
      <c r="H366" s="106"/>
      <c r="I366" s="25"/>
      <c r="J366" s="25"/>
      <c r="K366" s="25"/>
      <c r="L366" s="25"/>
      <c r="M366" s="25"/>
      <c r="N366" s="25"/>
      <c r="O366" s="25"/>
      <c r="P366" s="25"/>
      <c r="Q366" s="25"/>
      <c r="R366" s="25"/>
      <c r="S366" s="25"/>
      <c r="T366" s="25"/>
    </row>
    <row r="367" spans="1:20" ht="15.75" customHeight="1" x14ac:dyDescent="0.3">
      <c r="A367" s="25" t="s">
        <v>32</v>
      </c>
      <c r="B367" s="25"/>
      <c r="C367" s="25"/>
      <c r="D367" s="26"/>
      <c r="E367" s="25"/>
      <c r="F367" s="26"/>
      <c r="G367" s="25"/>
      <c r="H367" s="106"/>
      <c r="I367" s="25"/>
      <c r="J367" s="25"/>
      <c r="K367" s="25"/>
      <c r="L367" s="25"/>
      <c r="M367" s="25"/>
      <c r="N367" s="25"/>
      <c r="O367" s="25"/>
      <c r="P367" s="25"/>
      <c r="Q367" s="25"/>
      <c r="R367" s="25"/>
      <c r="S367" s="25"/>
      <c r="T367" s="25"/>
    </row>
    <row r="368" spans="1:20" ht="15.75" customHeight="1" x14ac:dyDescent="0.3">
      <c r="A368" s="25"/>
      <c r="B368" s="25"/>
      <c r="C368" s="25"/>
      <c r="D368" s="26"/>
      <c r="E368" s="25"/>
      <c r="F368" s="26"/>
      <c r="G368" s="25"/>
      <c r="H368" s="106"/>
      <c r="I368" s="25"/>
      <c r="J368" s="25"/>
      <c r="K368" s="25"/>
      <c r="L368" s="25"/>
      <c r="M368" s="25"/>
      <c r="N368" s="25"/>
      <c r="O368" s="25"/>
      <c r="P368" s="25"/>
      <c r="Q368" s="25"/>
      <c r="R368" s="25"/>
      <c r="S368" s="25"/>
      <c r="T368" s="25"/>
    </row>
    <row r="369" spans="1:20" ht="15.75" customHeight="1" x14ac:dyDescent="0.3">
      <c r="A369" s="118" t="s">
        <v>33</v>
      </c>
      <c r="B369" s="121" t="s">
        <v>6</v>
      </c>
      <c r="C369" s="121"/>
      <c r="D369" s="123" t="s">
        <v>37</v>
      </c>
      <c r="E369" s="125" t="s">
        <v>38</v>
      </c>
      <c r="F369" s="127" t="s">
        <v>7</v>
      </c>
      <c r="G369" s="129" t="s">
        <v>43</v>
      </c>
      <c r="H369" s="130" t="s">
        <v>44</v>
      </c>
      <c r="I369" s="25"/>
      <c r="J369" s="25"/>
      <c r="K369" s="25"/>
      <c r="L369" s="25"/>
      <c r="M369" s="25"/>
      <c r="N369" s="25"/>
      <c r="O369" s="25"/>
      <c r="P369" s="25"/>
      <c r="Q369" s="25"/>
      <c r="R369" s="25"/>
      <c r="S369" s="25"/>
      <c r="T369" s="25"/>
    </row>
    <row r="370" spans="1:20" ht="15.75" customHeight="1" x14ac:dyDescent="0.3">
      <c r="A370" s="133"/>
      <c r="B370" s="135"/>
      <c r="C370" s="136"/>
      <c r="D370" s="138"/>
      <c r="E370" s="138"/>
      <c r="F370" s="139"/>
      <c r="G370" s="141"/>
      <c r="H370" s="143"/>
      <c r="I370" s="25"/>
      <c r="J370" s="25"/>
      <c r="K370" s="25"/>
      <c r="L370" s="25"/>
      <c r="M370" s="25"/>
      <c r="N370" s="25"/>
      <c r="O370" s="25"/>
      <c r="P370" s="25"/>
      <c r="Q370" s="25"/>
      <c r="R370" s="25"/>
      <c r="S370" s="25"/>
      <c r="T370" s="25"/>
    </row>
    <row r="371" spans="1:20" ht="15.75" customHeight="1" x14ac:dyDescent="0.3">
      <c r="A371" s="145" t="s">
        <v>55</v>
      </c>
      <c r="B371" s="213" t="s">
        <v>556</v>
      </c>
      <c r="C371" s="25" t="s">
        <v>557</v>
      </c>
      <c r="D371" s="149">
        <v>2</v>
      </c>
      <c r="E371" s="149">
        <v>5</v>
      </c>
      <c r="F371" s="26">
        <f>+E371*D371</f>
      </c>
      <c r="G371" s="149">
        <v>1</v>
      </c>
      <c r="H371" s="151">
        <f>+G371*F371</f>
      </c>
      <c r="I371" s="25"/>
      <c r="J371" s="25"/>
      <c r="K371" s="25"/>
      <c r="L371" s="25"/>
      <c r="M371" s="25"/>
      <c r="N371" s="25"/>
      <c r="O371" s="25"/>
      <c r="P371" s="25"/>
      <c r="Q371" s="25"/>
      <c r="R371" s="25"/>
      <c r="S371" s="25"/>
      <c r="T371" s="25"/>
    </row>
    <row r="372" spans="1:20" ht="15.75" customHeight="1" x14ac:dyDescent="0.3">
      <c r="A372" s="145"/>
      <c r="B372" s="161"/>
      <c r="C372" s="25"/>
      <c r="D372" s="149"/>
      <c r="E372" s="149"/>
      <c r="F372" s="26"/>
      <c r="G372" s="149"/>
      <c r="H372" s="151"/>
      <c r="I372" s="25"/>
      <c r="J372" s="25"/>
      <c r="K372" s="25"/>
      <c r="L372" s="25"/>
      <c r="M372" s="25"/>
      <c r="N372" s="25"/>
      <c r="O372" s="25"/>
      <c r="P372" s="25"/>
      <c r="Q372" s="25"/>
      <c r="R372" s="25"/>
      <c r="S372" s="25"/>
      <c r="T372" s="25"/>
    </row>
    <row r="373" spans="1:20" ht="15.75" customHeight="1" x14ac:dyDescent="0.3">
      <c r="A373" s="145" t="s">
        <v>59</v>
      </c>
      <c r="B373" s="213" t="s">
        <v>556</v>
      </c>
      <c r="C373" s="25" t="s">
        <v>560</v>
      </c>
      <c r="D373" s="149">
        <v>3</v>
      </c>
      <c r="E373" s="149">
        <v>5</v>
      </c>
      <c r="F373" s="26">
        <f>+E373*D373</f>
      </c>
      <c r="G373" s="149">
        <v>1</v>
      </c>
      <c r="H373" s="151">
        <f>+G373*F373</f>
      </c>
      <c r="I373" s="25"/>
      <c r="J373" s="25"/>
      <c r="K373" s="25"/>
      <c r="L373" s="25"/>
      <c r="M373" s="25"/>
      <c r="N373" s="25"/>
      <c r="O373" s="25"/>
      <c r="P373" s="25"/>
      <c r="Q373" s="25"/>
      <c r="R373" s="25"/>
      <c r="S373" s="25"/>
      <c r="T373" s="25"/>
    </row>
    <row r="374" spans="1:20" ht="15.75" customHeight="1" x14ac:dyDescent="0.3">
      <c r="A374" s="145"/>
      <c r="B374" s="161"/>
      <c r="C374" s="25"/>
      <c r="D374" s="149"/>
      <c r="E374" s="149"/>
      <c r="F374" s="26"/>
      <c r="G374" s="149"/>
      <c r="H374" s="151"/>
      <c r="I374" s="25"/>
      <c r="J374" s="25"/>
      <c r="K374" s="25"/>
      <c r="L374" s="25"/>
      <c r="M374" s="25"/>
      <c r="N374" s="25"/>
      <c r="O374" s="25"/>
      <c r="P374" s="25"/>
      <c r="Q374" s="25"/>
      <c r="R374" s="25"/>
      <c r="S374" s="25"/>
      <c r="T374" s="25"/>
    </row>
    <row r="375" spans="1:20" ht="15.75" customHeight="1" x14ac:dyDescent="0.3">
      <c r="A375" s="145" t="s">
        <v>67</v>
      </c>
      <c r="B375" s="161" t="s">
        <v>531</v>
      </c>
      <c r="C375" s="25" t="s">
        <v>563</v>
      </c>
      <c r="D375" s="149">
        <v>5</v>
      </c>
      <c r="E375" s="149">
        <v>10</v>
      </c>
      <c r="F375" s="26">
        <f>+E375*D375</f>
      </c>
      <c r="G375" s="149">
        <v>1</v>
      </c>
      <c r="H375" s="151">
        <f>+G375*F375</f>
      </c>
      <c r="I375" s="25"/>
      <c r="J375" s="25"/>
      <c r="K375" s="25"/>
      <c r="L375" s="25"/>
      <c r="M375" s="25"/>
      <c r="N375" s="25"/>
      <c r="O375" s="25"/>
      <c r="P375" s="25"/>
      <c r="Q375" s="25"/>
      <c r="R375" s="25"/>
      <c r="S375" s="25"/>
      <c r="T375" s="25"/>
    </row>
    <row r="376" spans="1:20" ht="15.75" customHeight="1" x14ac:dyDescent="0.3">
      <c r="A376" s="145"/>
      <c r="B376" s="161"/>
      <c r="C376" s="25"/>
      <c r="D376" s="149"/>
      <c r="E376" s="149"/>
      <c r="F376" s="26"/>
      <c r="G376" s="149"/>
      <c r="H376" s="151"/>
      <c r="I376" s="25"/>
      <c r="J376" s="25"/>
      <c r="K376" s="25"/>
      <c r="L376" s="25"/>
      <c r="M376" s="25"/>
      <c r="N376" s="25"/>
      <c r="O376" s="25"/>
      <c r="P376" s="25"/>
      <c r="Q376" s="25"/>
      <c r="R376" s="25"/>
      <c r="S376" s="25"/>
      <c r="T376" s="25"/>
    </row>
    <row r="377" spans="1:20" ht="15.75" customHeight="1" x14ac:dyDescent="0.3">
      <c r="A377" s="145" t="s">
        <v>485</v>
      </c>
      <c r="B377" s="161" t="s">
        <v>564</v>
      </c>
      <c r="C377" s="25" t="s">
        <v>440</v>
      </c>
      <c r="D377" s="214">
        <v>1</v>
      </c>
      <c r="E377" s="214">
        <v>25</v>
      </c>
      <c r="F377" s="158">
        <f>+E377*D377</f>
      </c>
      <c r="G377" s="214">
        <v>1</v>
      </c>
      <c r="H377" s="215">
        <f>+G377*F377</f>
      </c>
      <c r="I377" s="25"/>
      <c r="J377" s="25"/>
      <c r="K377" s="25"/>
      <c r="L377" s="25"/>
      <c r="M377" s="25"/>
      <c r="N377" s="25"/>
      <c r="O377" s="25"/>
      <c r="P377" s="25"/>
      <c r="Q377" s="25"/>
      <c r="R377" s="25"/>
      <c r="S377" s="25"/>
      <c r="T377" s="25"/>
    </row>
    <row r="378" spans="1:20" ht="15.75" customHeight="1" x14ac:dyDescent="0.3">
      <c r="A378" s="145"/>
      <c r="B378" s="161"/>
      <c r="C378" s="25"/>
      <c r="D378" s="149"/>
      <c r="E378" s="149"/>
      <c r="F378" s="26"/>
      <c r="G378" s="149"/>
      <c r="H378" s="151"/>
      <c r="I378" s="25"/>
      <c r="J378" s="25"/>
      <c r="K378" s="25"/>
      <c r="L378" s="25"/>
      <c r="M378" s="25"/>
      <c r="N378" s="25"/>
      <c r="O378" s="25"/>
      <c r="P378" s="25"/>
      <c r="Q378" s="25"/>
      <c r="R378" s="25"/>
      <c r="S378" s="25"/>
      <c r="T378" s="25"/>
    </row>
    <row r="379" spans="1:20" ht="15.75" customHeight="1" x14ac:dyDescent="0.3">
      <c r="A379" s="145"/>
      <c r="B379" s="161"/>
      <c r="C379" s="25"/>
      <c r="D379" s="149"/>
      <c r="E379" s="149"/>
      <c r="F379" s="26"/>
      <c r="G379" s="149"/>
      <c r="H379" s="151"/>
      <c r="I379" s="25"/>
      <c r="J379" s="25"/>
      <c r="K379" s="25"/>
      <c r="L379" s="25"/>
      <c r="M379" s="25"/>
      <c r="N379" s="25"/>
      <c r="O379" s="25"/>
      <c r="P379" s="25"/>
      <c r="Q379" s="25"/>
      <c r="R379" s="25"/>
      <c r="S379" s="25"/>
      <c r="T379" s="25"/>
    </row>
    <row r="380" spans="1:20" ht="15.75" customHeight="1" x14ac:dyDescent="0.3">
      <c r="A380" s="145"/>
      <c r="B380" s="174"/>
      <c r="C380" s="25"/>
      <c r="D380" s="149"/>
      <c r="E380" s="149"/>
      <c r="F380" s="26"/>
      <c r="G380" s="149"/>
      <c r="H380" s="151"/>
      <c r="I380" s="25"/>
      <c r="J380" s="25"/>
      <c r="K380" s="25"/>
      <c r="L380" s="25"/>
      <c r="M380" s="25"/>
      <c r="N380" s="25"/>
      <c r="O380" s="25"/>
      <c r="P380" s="25"/>
      <c r="Q380" s="25"/>
      <c r="R380" s="25"/>
      <c r="S380" s="25"/>
      <c r="T380" s="25"/>
    </row>
    <row r="381" spans="1:20" ht="15.75" customHeight="1" x14ac:dyDescent="0.3">
      <c r="A381" s="177"/>
      <c r="B381" s="139"/>
      <c r="C381" s="136"/>
      <c r="D381" s="149"/>
      <c r="E381" s="149"/>
      <c r="F381" s="179"/>
      <c r="G381" s="181"/>
      <c r="H381" s="151"/>
      <c r="I381" s="25"/>
      <c r="J381" s="25"/>
      <c r="K381" s="25"/>
      <c r="L381" s="25"/>
      <c r="M381" s="25"/>
      <c r="N381" s="25"/>
      <c r="O381" s="25"/>
      <c r="P381" s="25"/>
      <c r="Q381" s="25"/>
      <c r="R381" s="25"/>
      <c r="S381" s="25"/>
      <c r="T381" s="25"/>
    </row>
    <row r="382" spans="1:20" ht="15.75" customHeight="1" x14ac:dyDescent="0.3">
      <c r="A382" s="183"/>
      <c r="B382" s="184"/>
      <c r="C382" s="185" t="s">
        <v>85</v>
      </c>
      <c r="D382" s="186">
        <f>SUM(D371:D381)</f>
      </c>
      <c r="E382" s="186"/>
      <c r="F382" s="187"/>
      <c r="G382" s="188"/>
      <c r="H382" s="189">
        <f>SUM(H371:H381)</f>
      </c>
      <c r="I382" s="25"/>
      <c r="J382" s="25"/>
      <c r="K382" s="25"/>
      <c r="L382" s="25"/>
      <c r="M382" s="25"/>
      <c r="N382" s="25"/>
      <c r="O382" s="25"/>
      <c r="P382" s="25"/>
      <c r="Q382" s="25"/>
      <c r="R382" s="25"/>
      <c r="S382" s="25"/>
      <c r="T382" s="25"/>
    </row>
    <row r="383" spans="1:20" ht="15.75" customHeight="1" x14ac:dyDescent="0.3">
      <c r="A383" s="190"/>
      <c r="B383" s="191"/>
      <c r="C383" s="191"/>
      <c r="D383" s="192"/>
      <c r="E383" s="191"/>
      <c r="F383" s="193"/>
      <c r="G383" s="194"/>
      <c r="H383" s="195"/>
      <c r="I383" s="25"/>
      <c r="J383" s="25"/>
      <c r="K383" s="25"/>
      <c r="L383" s="25"/>
      <c r="M383" s="25"/>
      <c r="N383" s="25"/>
      <c r="O383" s="25"/>
      <c r="P383" s="25"/>
      <c r="Q383" s="25"/>
      <c r="R383" s="25"/>
      <c r="S383" s="25"/>
      <c r="T383" s="25"/>
    </row>
    <row r="384" spans="1:20" ht="15.75" customHeight="1" x14ac:dyDescent="0.3">
      <c r="A384" s="196"/>
      <c r="B384" s="26"/>
      <c r="C384" s="26"/>
      <c r="D384" s="26"/>
      <c r="E384" s="25"/>
      <c r="F384" s="196"/>
      <c r="G384" s="25"/>
      <c r="H384" s="106"/>
      <c r="I384" s="25"/>
      <c r="J384" s="25"/>
      <c r="K384" s="25"/>
      <c r="L384" s="25"/>
      <c r="M384" s="25"/>
      <c r="N384" s="25"/>
      <c r="O384" s="25"/>
      <c r="P384" s="25"/>
      <c r="Q384" s="25"/>
      <c r="R384" s="25"/>
      <c r="S384" s="25"/>
      <c r="T384" s="25"/>
    </row>
    <row r="385" spans="1:20" ht="15.75" customHeight="1" x14ac:dyDescent="0.3">
      <c r="A385" s="197"/>
      <c r="B385" s="197"/>
      <c r="C385" s="197"/>
      <c r="D385" s="26"/>
      <c r="E385" s="216" t="s">
        <v>97</v>
      </c>
      <c r="F385" s="197" t="s">
        <v>98</v>
      </c>
      <c r="G385" s="197"/>
      <c r="H385" s="26"/>
      <c r="I385" s="25"/>
      <c r="J385" s="25"/>
      <c r="K385" s="25"/>
      <c r="L385" s="25"/>
      <c r="M385" s="25"/>
      <c r="N385" s="25"/>
      <c r="O385" s="25"/>
      <c r="P385" s="25"/>
      <c r="Q385" s="25"/>
      <c r="R385" s="25"/>
      <c r="S385" s="25"/>
      <c r="T385" s="25"/>
    </row>
    <row r="386" spans="1:20" ht="15.75" customHeight="1" x14ac:dyDescent="0.3">
      <c r="A386" s="25"/>
      <c r="B386" s="25"/>
      <c r="C386" s="25"/>
      <c r="D386" s="26"/>
      <c r="E386" s="26"/>
      <c r="F386" s="25"/>
      <c r="G386" s="25"/>
      <c r="H386" s="26"/>
      <c r="I386" s="25"/>
      <c r="J386" s="25"/>
      <c r="K386" s="25"/>
      <c r="L386" s="25"/>
      <c r="M386" s="25"/>
      <c r="N386" s="25"/>
      <c r="O386" s="25"/>
      <c r="P386" s="25"/>
      <c r="Q386" s="25"/>
      <c r="R386" s="25"/>
      <c r="S386" s="25"/>
      <c r="T386" s="25"/>
    </row>
    <row r="387" spans="1:20" ht="15.75" customHeight="1" x14ac:dyDescent="0.3">
      <c r="A387" s="25"/>
      <c r="B387" s="25"/>
      <c r="C387" s="25"/>
      <c r="D387" s="26"/>
      <c r="E387" s="26"/>
      <c r="F387" s="25"/>
      <c r="G387" s="25"/>
      <c r="H387" s="26"/>
      <c r="I387" s="25"/>
      <c r="J387" s="25"/>
      <c r="K387" s="25"/>
      <c r="L387" s="25"/>
      <c r="M387" s="25"/>
      <c r="N387" s="25"/>
      <c r="O387" s="25"/>
      <c r="P387" s="25"/>
      <c r="Q387" s="25"/>
      <c r="R387" s="25"/>
      <c r="S387" s="25"/>
      <c r="T387" s="25"/>
    </row>
    <row r="388" spans="1:20" ht="15.75" customHeight="1" x14ac:dyDescent="0.3">
      <c r="A388" s="197"/>
      <c r="B388" s="197"/>
      <c r="C388" s="197"/>
      <c r="D388" s="26"/>
      <c r="E388" s="198"/>
      <c r="F388" s="197" t="s">
        <v>99</v>
      </c>
      <c r="G388" s="197"/>
      <c r="H388" s="26"/>
    </row>
    <row r="389" spans="1:20" ht="15.75" customHeight="1" x14ac:dyDescent="0.25">
      <c r="D389" s="4"/>
      <c r="H389" s="4"/>
    </row>
    <row r="390" spans="1:20" ht="15.75" customHeight="1" x14ac:dyDescent="0.25">
      <c r="D390" s="4"/>
      <c r="H390" s="4"/>
    </row>
    <row r="391" spans="1:20" ht="15.75" customHeight="1" x14ac:dyDescent="0.25">
      <c r="D391" s="4"/>
      <c r="H391" s="4"/>
    </row>
    <row r="392" spans="1:20" ht="15.75" customHeight="1" x14ac:dyDescent="0.25">
      <c r="D392" s="4"/>
      <c r="H392" s="4"/>
    </row>
    <row r="393" spans="1:20" ht="15.75" customHeight="1" x14ac:dyDescent="0.25">
      <c r="D393" s="4"/>
      <c r="H393" s="4"/>
    </row>
    <row r="394" spans="1:20" ht="15.75" customHeight="1" x14ac:dyDescent="0.25">
      <c r="D394" s="4"/>
      <c r="H394" s="4"/>
    </row>
    <row r="395" spans="1:20" ht="15.75" customHeight="1" x14ac:dyDescent="0.25">
      <c r="D395" s="4"/>
      <c r="H395" s="4"/>
    </row>
    <row r="396" spans="1:20" ht="15.75" customHeight="1" x14ac:dyDescent="0.25">
      <c r="D396" s="4"/>
      <c r="H396" s="4"/>
    </row>
    <row r="397" spans="1:20" ht="15.75" customHeight="1" x14ac:dyDescent="0.25">
      <c r="D397" s="4"/>
      <c r="H397" s="4"/>
    </row>
    <row r="398" spans="1:20" ht="15.75" customHeight="1" x14ac:dyDescent="0.25">
      <c r="D398" s="4"/>
      <c r="H398" s="4"/>
    </row>
    <row r="399" spans="1:20" ht="15.75" customHeight="1" x14ac:dyDescent="0.25">
      <c r="D399" s="4"/>
      <c r="H399" s="4"/>
    </row>
    <row r="400" spans="1:20" ht="15.75" customHeight="1" x14ac:dyDescent="0.25">
      <c r="A400" s="14" t="s">
        <v>14</v>
      </c>
      <c r="B400" s="14"/>
      <c r="C400" s="14"/>
      <c r="D400" s="14"/>
      <c r="E400" s="14"/>
      <c r="F400" s="14"/>
      <c r="G400" s="14"/>
      <c r="H400" s="14"/>
    </row>
    <row r="401" spans="1:8" ht="15.75" customHeight="1" x14ac:dyDescent="0.25">
      <c r="D401" s="4"/>
      <c r="H401" s="8"/>
    </row>
    <row r="402" spans="1:8" ht="15.75" customHeight="1" x14ac:dyDescent="0.25">
      <c r="A402" s="15"/>
      <c r="B402" s="15"/>
      <c r="C402" s="16"/>
      <c r="D402" s="17"/>
      <c r="E402" s="18"/>
      <c r="F402" s="18"/>
      <c r="G402" s="18"/>
      <c r="H402" s="19"/>
    </row>
    <row r="403" spans="1:8" ht="15.75" customHeight="1" x14ac:dyDescent="0.3">
      <c r="A403" s="25"/>
      <c r="B403" s="25"/>
      <c r="C403" s="25"/>
      <c r="D403" s="26"/>
      <c r="E403" s="25"/>
      <c r="F403" s="22" t="s">
        <v>18</v>
      </c>
      <c r="G403" s="23" t="s">
        <v>545</v>
      </c>
      <c r="H403" s="24"/>
    </row>
    <row r="404" spans="1:8" ht="15.75" customHeight="1" x14ac:dyDescent="0.3">
      <c r="A404" s="25" t="s">
        <v>20</v>
      </c>
      <c r="B404" s="25"/>
      <c r="C404" s="25"/>
      <c r="D404" s="26"/>
      <c r="E404" s="25"/>
      <c r="F404" s="22" t="s">
        <v>21</v>
      </c>
      <c r="G404" s="25" t="s">
        <v>572</v>
      </c>
      <c r="H404" s="26"/>
    </row>
    <row r="405" spans="1:8" ht="15.75" customHeight="1" x14ac:dyDescent="0.3">
      <c r="A405" s="25" t="inlineStr">
        <is>
          <t>Dealer-004</t>
        </is>
      </c>
      <c r="B405" s="25"/>
      <c r="C405" s="25"/>
      <c r="D405" s="109"/>
      <c r="E405" s="25"/>
      <c r="F405" s="26"/>
      <c r="G405" s="25"/>
      <c r="H405" s="106"/>
    </row>
    <row r="406" spans="1:8" ht="15.75" customHeight="1" x14ac:dyDescent="0.3">
      <c r="A406" s="25" t="inlineStr">
        <is>
          <t>Address line (redacted)</t>
        </is>
      </c>
      <c r="B406" s="25"/>
      <c r="C406" s="25"/>
      <c r="D406" s="109"/>
      <c r="E406" s="25"/>
      <c r="F406" s="26"/>
      <c r="G406" s="25"/>
      <c r="H406" s="106"/>
    </row>
    <row r="407" spans="1:8" ht="15.75" customHeight="1" x14ac:dyDescent="0.3">
      <c r="A407" s="25" t="inlineStr">
        <is>
          <t>Address line (redacted)</t>
        </is>
      </c>
      <c r="B407" s="25"/>
      <c r="C407" s="25"/>
      <c r="D407" s="26"/>
      <c r="E407" s="25"/>
      <c r="F407" s="26"/>
      <c r="G407" s="25"/>
      <c r="H407" s="106"/>
    </row>
    <row r="408" spans="1:8" ht="15.75" customHeight="1" x14ac:dyDescent="0.3">
      <c r="A408" s="25"/>
      <c r="B408" s="25"/>
      <c r="C408" s="25"/>
      <c r="D408" s="26"/>
      <c r="E408" s="25"/>
      <c r="F408" s="26"/>
      <c r="G408" s="25"/>
      <c r="H408" s="106"/>
    </row>
    <row r="409" spans="1:8" ht="15.75" customHeight="1" x14ac:dyDescent="0.3">
      <c r="A409" s="25" t="s">
        <v>30</v>
      </c>
      <c r="B409" s="25"/>
      <c r="C409" s="25"/>
      <c r="D409" s="26"/>
      <c r="E409" s="25"/>
      <c r="F409" s="26"/>
      <c r="G409" s="25"/>
      <c r="H409" s="106"/>
    </row>
    <row r="410" spans="1:8" ht="15.75" customHeight="1" x14ac:dyDescent="0.3">
      <c r="A410" s="25"/>
      <c r="B410" s="25"/>
      <c r="C410" s="25"/>
      <c r="D410" s="26"/>
      <c r="E410" s="25"/>
      <c r="F410" s="26"/>
      <c r="G410" s="25"/>
      <c r="H410" s="106"/>
    </row>
    <row r="411" spans="1:8" ht="15.75" customHeight="1" x14ac:dyDescent="0.3">
      <c r="A411" s="25" t="s">
        <v>31</v>
      </c>
      <c r="B411" s="25"/>
      <c r="C411" s="25"/>
      <c r="D411" s="26"/>
      <c r="E411" s="25"/>
      <c r="F411" s="26"/>
      <c r="G411" s="25"/>
      <c r="H411" s="106"/>
    </row>
    <row r="412" spans="1:8" ht="15.75" customHeight="1" x14ac:dyDescent="0.3">
      <c r="A412" s="25" t="s">
        <v>32</v>
      </c>
      <c r="B412" s="25"/>
      <c r="C412" s="25"/>
      <c r="D412" s="26"/>
      <c r="E412" s="25"/>
      <c r="F412" s="26"/>
      <c r="G412" s="25"/>
      <c r="H412" s="106"/>
    </row>
    <row r="413" spans="1:8" ht="15.75" customHeight="1" x14ac:dyDescent="0.3">
      <c r="A413" s="25"/>
      <c r="B413" s="25"/>
      <c r="C413" s="25"/>
      <c r="D413" s="26"/>
      <c r="E413" s="25"/>
      <c r="F413" s="26"/>
      <c r="G413" s="25"/>
      <c r="H413" s="106"/>
    </row>
    <row r="414" spans="1:8" ht="15.75" customHeight="1" x14ac:dyDescent="0.3">
      <c r="A414" s="118" t="s">
        <v>33</v>
      </c>
      <c r="B414" s="121" t="s">
        <v>6</v>
      </c>
      <c r="C414" s="121"/>
      <c r="D414" s="123" t="s">
        <v>37</v>
      </c>
      <c r="E414" s="125" t="s">
        <v>38</v>
      </c>
      <c r="F414" s="127" t="s">
        <v>7</v>
      </c>
      <c r="G414" s="129" t="s">
        <v>43</v>
      </c>
      <c r="H414" s="130" t="s">
        <v>44</v>
      </c>
    </row>
    <row r="415" spans="1:8" ht="15.75" customHeight="1" x14ac:dyDescent="0.3">
      <c r="A415" s="133"/>
      <c r="B415" s="135"/>
      <c r="C415" s="136"/>
      <c r="D415" s="138"/>
      <c r="E415" s="138"/>
      <c r="F415" s="139"/>
      <c r="G415" s="141"/>
      <c r="H415" s="143"/>
    </row>
    <row r="416" spans="1:8" ht="15.75" customHeight="1" x14ac:dyDescent="0.3">
      <c r="A416" s="133"/>
      <c r="B416" s="217" t="s">
        <v>573</v>
      </c>
      <c r="C416" s="218"/>
      <c r="D416" s="138"/>
      <c r="E416" s="138"/>
      <c r="F416" s="219"/>
      <c r="G416" s="138"/>
      <c r="H416" s="151"/>
    </row>
    <row r="417" spans="1:8" ht="15.75" customHeight="1" x14ac:dyDescent="0.3">
      <c r="A417" s="133"/>
      <c r="B417" s="220"/>
      <c r="C417" s="136"/>
      <c r="D417" s="138"/>
      <c r="E417" s="138"/>
      <c r="F417" s="219"/>
      <c r="G417" s="138"/>
      <c r="H417" s="151"/>
    </row>
    <row r="418" spans="1:8" ht="15.75" customHeight="1" x14ac:dyDescent="0.3">
      <c r="A418" s="145" t="s">
        <v>55</v>
      </c>
      <c r="B418" s="213" t="s">
        <v>556</v>
      </c>
      <c r="C418" s="25" t="s">
        <v>557</v>
      </c>
      <c r="D418" s="149">
        <v>2</v>
      </c>
      <c r="E418" s="149">
        <v>5</v>
      </c>
      <c r="F418" s="26">
        <f>+E418*D418</f>
      </c>
      <c r="G418" s="149">
        <v>1</v>
      </c>
      <c r="H418" s="151">
        <f>+G418*F418</f>
      </c>
    </row>
    <row r="419" spans="1:8" ht="15.75" customHeight="1" x14ac:dyDescent="0.3">
      <c r="A419" s="145"/>
      <c r="B419" s="161"/>
      <c r="C419" s="25"/>
      <c r="D419" s="149"/>
      <c r="E419" s="149"/>
      <c r="F419" s="26"/>
      <c r="G419" s="149"/>
      <c r="H419" s="151"/>
    </row>
    <row r="420" spans="1:8" ht="15.75" customHeight="1" x14ac:dyDescent="0.3">
      <c r="A420" s="145" t="s">
        <v>59</v>
      </c>
      <c r="B420" s="213" t="s">
        <v>81</v>
      </c>
      <c r="C420" s="25" t="s">
        <v>82</v>
      </c>
      <c r="D420" s="149">
        <v>2</v>
      </c>
      <c r="E420" s="149">
        <v>5</v>
      </c>
      <c r="F420" s="26">
        <f>+E420*D420</f>
      </c>
      <c r="G420" s="149">
        <v>1</v>
      </c>
      <c r="H420" s="151">
        <f>+G420*F420</f>
      </c>
    </row>
    <row r="421" spans="1:8" ht="15.75" customHeight="1" x14ac:dyDescent="0.3">
      <c r="A421" s="145"/>
      <c r="B421" s="161"/>
      <c r="C421" s="25"/>
      <c r="D421" s="149"/>
      <c r="E421" s="149"/>
      <c r="F421" s="26"/>
      <c r="G421" s="149"/>
      <c r="H421" s="151"/>
    </row>
    <row r="422" spans="1:8" ht="15.75" customHeight="1" x14ac:dyDescent="0.3">
      <c r="A422" s="145" t="s">
        <v>67</v>
      </c>
      <c r="B422" s="161" t="s">
        <v>45</v>
      </c>
      <c r="C422" s="25" t="s">
        <v>41</v>
      </c>
      <c r="D422" s="149">
        <v>3</v>
      </c>
      <c r="E422" s="149">
        <v>5</v>
      </c>
      <c r="F422" s="26">
        <f>+E422*D422</f>
      </c>
      <c r="G422" s="149">
        <v>1</v>
      </c>
      <c r="H422" s="151">
        <f>+G422*F422</f>
      </c>
    </row>
    <row r="423" spans="1:8" ht="15.75" customHeight="1" x14ac:dyDescent="0.3">
      <c r="A423" s="145"/>
      <c r="B423" s="174"/>
      <c r="C423" s="25"/>
      <c r="D423" s="149"/>
      <c r="E423" s="149"/>
      <c r="F423" s="26"/>
      <c r="G423" s="149"/>
      <c r="H423" s="151"/>
    </row>
    <row r="424" spans="1:8" ht="15.75" customHeight="1" x14ac:dyDescent="0.3">
      <c r="A424" s="145"/>
      <c r="B424" s="174"/>
      <c r="C424" s="25"/>
      <c r="D424" s="149"/>
      <c r="E424" s="149"/>
      <c r="F424" s="26"/>
      <c r="G424" s="149"/>
      <c r="H424" s="151"/>
    </row>
    <row r="425" spans="1:8" ht="15.75" customHeight="1" x14ac:dyDescent="0.3">
      <c r="A425" s="145"/>
      <c r="B425" s="174"/>
      <c r="C425" s="25"/>
      <c r="D425" s="149"/>
      <c r="E425" s="149"/>
      <c r="F425" s="26"/>
      <c r="G425" s="149"/>
      <c r="H425" s="151"/>
    </row>
    <row r="426" spans="1:8" ht="15.75" customHeight="1" x14ac:dyDescent="0.3">
      <c r="A426" s="145"/>
      <c r="B426" s="174"/>
      <c r="C426" s="25"/>
      <c r="D426" s="149"/>
      <c r="E426" s="149"/>
      <c r="F426" s="26"/>
      <c r="G426" s="149"/>
      <c r="H426" s="151"/>
    </row>
    <row r="427" spans="1:8" ht="15.75" customHeight="1" x14ac:dyDescent="0.3">
      <c r="A427" s="177"/>
      <c r="B427" s="139"/>
      <c r="C427" s="136"/>
      <c r="D427" s="149"/>
      <c r="E427" s="149"/>
      <c r="F427" s="179"/>
      <c r="G427" s="181"/>
      <c r="H427" s="151"/>
    </row>
    <row r="428" spans="1:8" ht="15.75" customHeight="1" x14ac:dyDescent="0.3">
      <c r="A428" s="183"/>
      <c r="B428" s="184"/>
      <c r="C428" s="185" t="s">
        <v>85</v>
      </c>
      <c r="D428" s="186">
        <f>SUM(D418:D427)</f>
      </c>
      <c r="E428" s="186"/>
      <c r="F428" s="187">
        <f>SUM(F418:F427)</f>
      </c>
      <c r="G428" s="188"/>
      <c r="H428" s="189">
        <f>SUM(H418:H427)</f>
      </c>
    </row>
    <row r="429" spans="1:8" ht="15.75" customHeight="1" x14ac:dyDescent="0.3">
      <c r="A429" s="190"/>
      <c r="B429" s="191"/>
      <c r="C429" s="191"/>
      <c r="D429" s="192"/>
      <c r="E429" s="191"/>
      <c r="F429" s="193"/>
      <c r="G429" s="194"/>
      <c r="H429" s="195"/>
    </row>
    <row r="430" spans="1:8" ht="15.75" customHeight="1" x14ac:dyDescent="0.3">
      <c r="A430" s="196"/>
      <c r="B430" s="26"/>
      <c r="C430" s="26"/>
      <c r="D430" s="26"/>
      <c r="E430" s="25"/>
      <c r="F430" s="196"/>
      <c r="G430" s="25"/>
      <c r="H430" s="106"/>
    </row>
    <row r="431" spans="1:8" ht="15.75" customHeight="1" x14ac:dyDescent="0.3">
      <c r="A431" s="197"/>
      <c r="B431" s="197"/>
      <c r="C431" s="197"/>
      <c r="D431" s="198" t="s">
        <v>97</v>
      </c>
      <c r="E431" s="197" t="s">
        <v>98</v>
      </c>
      <c r="F431" s="197"/>
      <c r="G431" s="25"/>
      <c r="H431" s="106"/>
    </row>
    <row r="432" spans="1:8" ht="15.75" customHeight="1" x14ac:dyDescent="0.3">
      <c r="A432" s="25"/>
      <c r="B432" s="25"/>
      <c r="C432" s="25"/>
      <c r="D432" s="26"/>
      <c r="E432" s="25"/>
      <c r="F432" s="25"/>
      <c r="G432" s="25"/>
      <c r="H432" s="106"/>
    </row>
    <row r="433" spans="1:8" ht="15.75" customHeight="1" x14ac:dyDescent="0.3">
      <c r="A433" s="25"/>
      <c r="B433" s="25"/>
      <c r="C433" s="25"/>
      <c r="D433" s="26"/>
      <c r="E433" s="25"/>
      <c r="F433" s="25"/>
      <c r="G433" s="25"/>
      <c r="H433" s="106"/>
    </row>
    <row r="434" spans="1:8" ht="15.75" customHeight="1" x14ac:dyDescent="0.3">
      <c r="A434" s="197"/>
      <c r="B434" s="197"/>
      <c r="C434" s="197"/>
      <c r="D434" s="198"/>
      <c r="E434" s="197" t="s">
        <v>99</v>
      </c>
      <c r="F434" s="197"/>
      <c r="G434" s="25"/>
      <c r="H434" s="106"/>
    </row>
    <row r="435" spans="1:8" ht="15.75" customHeight="1" x14ac:dyDescent="0.25">
      <c r="D435" s="4"/>
      <c r="H435" s="4"/>
    </row>
    <row r="436" spans="1:8" ht="15.75" customHeight="1" x14ac:dyDescent="0.25">
      <c r="D436" s="4"/>
      <c r="H436" s="4"/>
    </row>
    <row r="437" spans="1:8" ht="15.75" customHeight="1" x14ac:dyDescent="0.25">
      <c r="D437" s="4"/>
      <c r="H437" s="4"/>
    </row>
    <row r="438" spans="1:8" ht="15.75" customHeight="1" x14ac:dyDescent="0.25">
      <c r="D438" s="4"/>
      <c r="H438" s="4"/>
    </row>
    <row r="439" spans="1:8" ht="15.75" customHeight="1" x14ac:dyDescent="0.25">
      <c r="D439" s="4"/>
      <c r="H439" s="4"/>
    </row>
    <row r="440" spans="1:8" ht="15.75" customHeight="1" x14ac:dyDescent="0.25">
      <c r="D440" s="4"/>
      <c r="H440" s="4"/>
    </row>
    <row r="441" spans="1:8" ht="15.75" customHeight="1" x14ac:dyDescent="0.25">
      <c r="D441" s="4"/>
      <c r="H441" s="4"/>
    </row>
    <row r="442" spans="1:8" ht="15.75" customHeight="1" x14ac:dyDescent="0.25">
      <c r="D442" s="4"/>
      <c r="H442" s="4"/>
    </row>
    <row r="443" spans="1:8" ht="15.75" customHeight="1" x14ac:dyDescent="0.25">
      <c r="A443" s="103" t="s">
        <v>14</v>
      </c>
      <c r="B443" s="103"/>
      <c r="C443" s="103"/>
      <c r="D443" s="103"/>
      <c r="E443" s="103"/>
      <c r="F443" s="103"/>
      <c r="G443" s="103"/>
      <c r="H443" s="103"/>
    </row>
    <row r="444" spans="1:8" ht="15.75" customHeight="1" x14ac:dyDescent="0.25">
      <c r="D444" s="4"/>
      <c r="H444" s="8"/>
    </row>
    <row r="445" spans="1:8" ht="15.75" customHeight="1" x14ac:dyDescent="0.25">
      <c r="A445" s="15"/>
      <c r="B445" s="15"/>
      <c r="C445" s="16"/>
      <c r="D445" s="17"/>
      <c r="E445" s="18"/>
      <c r="F445" s="18"/>
      <c r="G445" s="18"/>
      <c r="H445" s="19"/>
    </row>
    <row r="446" spans="1:8" ht="15.75" customHeight="1" x14ac:dyDescent="0.3">
      <c r="A446" s="25"/>
      <c r="B446" s="25"/>
      <c r="C446" s="25"/>
      <c r="D446" s="26"/>
      <c r="E446" s="25"/>
      <c r="F446" s="22" t="s">
        <v>18</v>
      </c>
      <c r="G446" s="23" t="s">
        <v>550</v>
      </c>
      <c r="H446" s="24"/>
    </row>
    <row r="447" spans="1:8" ht="15.75" customHeight="1" x14ac:dyDescent="0.3">
      <c r="A447" s="25" t="s">
        <v>20</v>
      </c>
      <c r="B447" s="25"/>
      <c r="C447" s="25"/>
      <c r="D447" s="26"/>
      <c r="E447" s="25"/>
      <c r="F447" s="22" t="s">
        <v>21</v>
      </c>
      <c r="G447" s="25" t="s">
        <v>582</v>
      </c>
      <c r="H447" s="26"/>
    </row>
    <row r="448" spans="1:8" ht="15.75" customHeight="1" x14ac:dyDescent="0.3">
      <c r="A448" s="25" t="inlineStr">
        <is>
          <t>Dealer-003</t>
        </is>
      </c>
      <c r="B448" s="25"/>
      <c r="C448" s="25"/>
      <c r="D448" s="26"/>
      <c r="E448" s="22"/>
      <c r="F448" s="25"/>
      <c r="G448" s="25"/>
      <c r="H448" s="106"/>
    </row>
    <row r="449" spans="1:8" ht="15.75" customHeight="1" x14ac:dyDescent="0.3">
      <c r="A449" s="25" t="inlineStr">
        <is>
          <t>Address line (redacted)</t>
        </is>
      </c>
      <c r="B449" s="25"/>
      <c r="C449" s="25"/>
      <c r="D449" s="109"/>
      <c r="E449" s="25"/>
      <c r="F449" s="26"/>
      <c r="G449" s="25"/>
      <c r="H449" s="106"/>
    </row>
    <row r="450" spans="1:8" ht="15.75" customHeight="1" x14ac:dyDescent="0.3">
      <c r="A450" s="25" t="inlineStr">
        <is>
          <t>Address line (redacted)</t>
        </is>
      </c>
      <c r="B450" s="25"/>
      <c r="C450" s="25"/>
      <c r="D450" s="109"/>
      <c r="E450" s="25"/>
      <c r="F450" s="26"/>
      <c r="G450" s="25"/>
      <c r="H450" s="106"/>
    </row>
    <row r="451" spans="1:8" ht="15.75" customHeight="1" x14ac:dyDescent="0.3">
      <c r="A451" s="114"/>
      <c r="B451" s="25"/>
      <c r="C451" s="25"/>
      <c r="D451" s="26"/>
      <c r="E451" s="25"/>
      <c r="F451" s="26"/>
      <c r="G451" s="25"/>
      <c r="H451" s="106"/>
    </row>
    <row r="452" spans="1:8" ht="15.75" customHeight="1" x14ac:dyDescent="0.3">
      <c r="A452" s="25" t="s">
        <v>30</v>
      </c>
      <c r="B452" s="25"/>
      <c r="C452" s="25"/>
      <c r="D452" s="26"/>
      <c r="E452" s="25"/>
      <c r="F452" s="26"/>
      <c r="G452" s="25"/>
      <c r="H452" s="106"/>
    </row>
    <row r="453" spans="1:8" ht="15.75" customHeight="1" x14ac:dyDescent="0.3">
      <c r="A453" s="25"/>
      <c r="B453" s="25"/>
      <c r="C453" s="25"/>
      <c r="D453" s="26"/>
      <c r="E453" s="25"/>
      <c r="F453" s="26"/>
      <c r="G453" s="25"/>
      <c r="H453" s="106"/>
    </row>
    <row r="454" spans="1:8" ht="15.75" customHeight="1" x14ac:dyDescent="0.3">
      <c r="A454" s="25" t="s">
        <v>31</v>
      </c>
      <c r="B454" s="25"/>
      <c r="C454" s="25"/>
      <c r="D454" s="26"/>
      <c r="E454" s="25"/>
      <c r="F454" s="26"/>
      <c r="G454" s="25"/>
      <c r="H454" s="106"/>
    </row>
    <row r="455" spans="1:8" ht="15.75" customHeight="1" x14ac:dyDescent="0.3">
      <c r="A455" s="25" t="s">
        <v>32</v>
      </c>
      <c r="B455" s="25"/>
      <c r="C455" s="25"/>
      <c r="D455" s="26"/>
      <c r="E455" s="25"/>
      <c r="F455" s="26"/>
      <c r="G455" s="25"/>
      <c r="H455" s="106"/>
    </row>
    <row r="456" spans="1:8" ht="15.75" customHeight="1" x14ac:dyDescent="0.3">
      <c r="A456" s="25"/>
      <c r="B456" s="25"/>
      <c r="C456" s="25"/>
      <c r="D456" s="26"/>
      <c r="E456" s="25"/>
      <c r="F456" s="26"/>
      <c r="G456" s="25"/>
      <c r="H456" s="106"/>
    </row>
    <row r="457" spans="1:8" ht="15.75" customHeight="1" x14ac:dyDescent="0.3">
      <c r="A457" s="118" t="s">
        <v>33</v>
      </c>
      <c r="B457" s="121" t="s">
        <v>6</v>
      </c>
      <c r="C457" s="121"/>
      <c r="D457" s="123" t="s">
        <v>37</v>
      </c>
      <c r="E457" s="125" t="s">
        <v>38</v>
      </c>
      <c r="F457" s="127" t="s">
        <v>7</v>
      </c>
      <c r="G457" s="129" t="s">
        <v>43</v>
      </c>
      <c r="H457" s="130" t="s">
        <v>44</v>
      </c>
    </row>
    <row r="458" spans="1:8" ht="15.75" customHeight="1" x14ac:dyDescent="0.3">
      <c r="A458" s="133"/>
      <c r="B458" s="135"/>
      <c r="C458" s="136"/>
      <c r="D458" s="138"/>
      <c r="E458" s="138"/>
      <c r="F458" s="139"/>
      <c r="G458" s="141"/>
      <c r="H458" s="143"/>
    </row>
    <row r="459" spans="1:8" ht="15.75" customHeight="1" x14ac:dyDescent="0.3">
      <c r="A459" s="207"/>
      <c r="B459" s="211" t="s">
        <v>50</v>
      </c>
      <c r="C459" s="211"/>
      <c r="D459" s="209"/>
      <c r="E459" s="209"/>
      <c r="F459" s="209"/>
      <c r="G459" s="209"/>
      <c r="H459" s="210"/>
    </row>
    <row r="460" spans="1:8" ht="15.75" customHeight="1" x14ac:dyDescent="0.3">
      <c r="A460" s="207" t="s">
        <v>55</v>
      </c>
      <c r="B460" s="153" t="s">
        <v>60</v>
      </c>
      <c r="C460" s="154" t="s">
        <v>61</v>
      </c>
      <c r="D460" s="209">
        <v>18</v>
      </c>
      <c r="E460" s="209">
        <v>25</v>
      </c>
      <c r="F460" s="209">
        <f>+E460*D460</f>
      </c>
      <c r="G460" s="209">
        <v>1</v>
      </c>
      <c r="H460" s="210">
        <f>+G460*F462</f>
      </c>
    </row>
    <row r="461" spans="1:8" ht="15.75" customHeight="1" x14ac:dyDescent="0.3">
      <c r="A461" s="207"/>
      <c r="B461" s="153"/>
      <c r="C461" s="221"/>
      <c r="D461" s="222" t="s">
        <v>585</v>
      </c>
      <c r="E461" s="222"/>
      <c r="F461" s="222">
        <v>3</v>
      </c>
      <c r="G461" s="209"/>
      <c r="H461" s="210"/>
    </row>
    <row r="462" spans="1:8" ht="15.75" customHeight="1" x14ac:dyDescent="0.3">
      <c r="A462" s="207"/>
      <c r="B462" s="223"/>
      <c r="C462" s="154"/>
      <c r="D462" s="209"/>
      <c r="E462" s="209"/>
      <c r="F462" s="209">
        <f>+F460-F461</f>
      </c>
      <c r="G462" s="209"/>
      <c r="H462" s="210"/>
    </row>
    <row r="463" spans="1:8" ht="15.75" customHeight="1" x14ac:dyDescent="0.3">
      <c r="A463" s="207"/>
      <c r="B463" s="208"/>
      <c r="C463" s="208"/>
      <c r="D463" s="209"/>
      <c r="E463" s="209"/>
      <c r="F463" s="209"/>
      <c r="G463" s="209"/>
      <c r="H463" s="210"/>
    </row>
    <row r="464" spans="1:8" ht="15.75" customHeight="1" x14ac:dyDescent="0.3">
      <c r="A464" s="207"/>
      <c r="B464" s="173"/>
      <c r="C464" s="164"/>
      <c r="D464" s="209"/>
      <c r="E464" s="209"/>
      <c r="F464" s="209"/>
      <c r="G464" s="209"/>
      <c r="H464" s="210"/>
    </row>
    <row r="465" spans="1:8" ht="15.75" customHeight="1" x14ac:dyDescent="0.3">
      <c r="A465" s="207"/>
      <c r="B465" s="223"/>
      <c r="C465" s="154"/>
      <c r="D465" s="209"/>
      <c r="E465" s="209"/>
      <c r="F465" s="209"/>
      <c r="G465" s="209"/>
      <c r="H465" s="210"/>
    </row>
    <row r="466" spans="1:8" ht="15.75" customHeight="1" x14ac:dyDescent="0.3">
      <c r="A466" s="207"/>
      <c r="B466" s="208"/>
      <c r="C466" s="208"/>
      <c r="D466" s="209"/>
      <c r="E466" s="209"/>
      <c r="F466" s="209"/>
      <c r="G466" s="209"/>
      <c r="H466" s="210"/>
    </row>
    <row r="467" spans="1:8" ht="15.75" customHeight="1" x14ac:dyDescent="0.3">
      <c r="A467" s="145"/>
      <c r="B467" s="174"/>
      <c r="C467" s="25"/>
      <c r="D467" s="149"/>
      <c r="E467" s="149"/>
      <c r="F467" s="26"/>
      <c r="G467" s="149"/>
      <c r="H467" s="151"/>
    </row>
    <row r="468" spans="1:8" ht="15.75" customHeight="1" x14ac:dyDescent="0.3">
      <c r="A468" s="145"/>
      <c r="B468" s="174"/>
      <c r="C468" s="25"/>
      <c r="D468" s="149"/>
      <c r="E468" s="149"/>
      <c r="F468" s="26"/>
      <c r="G468" s="149"/>
      <c r="H468" s="151"/>
    </row>
    <row r="469" spans="1:8" ht="15.75" customHeight="1" x14ac:dyDescent="0.3">
      <c r="A469" s="177"/>
      <c r="B469" s="139"/>
      <c r="C469" s="136"/>
      <c r="D469" s="149"/>
      <c r="E469" s="149"/>
      <c r="F469" s="179"/>
      <c r="G469" s="181"/>
      <c r="H469" s="151"/>
    </row>
    <row r="470" spans="1:8" ht="15.75" customHeight="1" x14ac:dyDescent="0.3">
      <c r="A470" s="183"/>
      <c r="B470" s="184"/>
      <c r="C470" s="185" t="s">
        <v>85</v>
      </c>
      <c r="D470" s="186">
        <f>SUM(D459:D469)</f>
      </c>
      <c r="E470" s="186"/>
      <c r="F470" s="187"/>
      <c r="G470" s="188"/>
      <c r="H470" s="189">
        <f>SUM(H460:H469)</f>
      </c>
    </row>
    <row r="471" spans="1:8" ht="15.75" customHeight="1" x14ac:dyDescent="0.3">
      <c r="A471" s="190"/>
      <c r="B471" s="191"/>
      <c r="C471" s="191"/>
      <c r="D471" s="192"/>
      <c r="E471" s="191"/>
      <c r="F471" s="193"/>
      <c r="G471" s="194"/>
      <c r="H471" s="195"/>
    </row>
    <row r="472" spans="1:8" ht="15.75" customHeight="1" x14ac:dyDescent="0.3">
      <c r="A472" s="196"/>
      <c r="B472" s="26"/>
      <c r="C472" s="26"/>
      <c r="D472" s="26"/>
      <c r="E472" s="25"/>
      <c r="F472" s="196"/>
      <c r="G472" s="25"/>
      <c r="H472" s="106"/>
    </row>
    <row r="473" spans="1:8" ht="15.75" customHeight="1" x14ac:dyDescent="0.3">
      <c r="A473" s="197"/>
      <c r="B473" s="197"/>
      <c r="C473" s="197"/>
      <c r="D473" s="198" t="s">
        <v>97</v>
      </c>
      <c r="E473" s="197" t="s">
        <v>98</v>
      </c>
      <c r="F473" s="197"/>
      <c r="G473" s="25"/>
      <c r="H473" s="106"/>
    </row>
    <row r="474" spans="1:8" ht="15.75" customHeight="1" x14ac:dyDescent="0.3">
      <c r="A474" s="25"/>
      <c r="B474" s="25"/>
      <c r="C474" s="25"/>
      <c r="D474" s="26"/>
      <c r="E474" s="25"/>
      <c r="F474" s="25"/>
      <c r="G474" s="25"/>
      <c r="H474" s="106"/>
    </row>
    <row r="475" spans="1:8" ht="15.75" customHeight="1" x14ac:dyDescent="0.3">
      <c r="A475" s="25"/>
      <c r="B475" s="25"/>
      <c r="C475" s="25"/>
      <c r="D475" s="26"/>
      <c r="E475" s="25"/>
      <c r="F475" s="25"/>
      <c r="G475" s="25"/>
      <c r="H475" s="106"/>
    </row>
    <row r="476" spans="1:8" ht="15.75" customHeight="1" x14ac:dyDescent="0.3">
      <c r="A476" s="197"/>
      <c r="B476" s="197"/>
      <c r="C476" s="197"/>
      <c r="D476" s="198"/>
      <c r="E476" s="197" t="s">
        <v>99</v>
      </c>
      <c r="F476" s="197"/>
      <c r="G476" s="25"/>
      <c r="H476" s="106"/>
    </row>
    <row r="477" spans="1:8" ht="15.75" customHeight="1" x14ac:dyDescent="0.25">
      <c r="D477" s="4"/>
      <c r="H477" s="4"/>
    </row>
    <row r="478" spans="1:8" ht="15.75" customHeight="1" x14ac:dyDescent="0.25">
      <c r="D478" s="4"/>
      <c r="H478" s="4"/>
    </row>
    <row r="479" spans="1:8" ht="15.75" customHeight="1" x14ac:dyDescent="0.25">
      <c r="D479" s="4"/>
      <c r="H479" s="4"/>
    </row>
    <row r="480" spans="1:8" ht="15.75" customHeight="1" x14ac:dyDescent="0.25">
      <c r="D480" s="4"/>
      <c r="H480" s="4"/>
    </row>
    <row r="481" spans="1:8" ht="15.75" customHeight="1" x14ac:dyDescent="0.25">
      <c r="D481" s="4"/>
      <c r="H481" s="4"/>
    </row>
    <row r="482" spans="1:8" ht="15.75" customHeight="1" x14ac:dyDescent="0.25">
      <c r="D482" s="4"/>
      <c r="H482" s="4"/>
    </row>
    <row r="483" spans="1:8" ht="15.75" customHeight="1" x14ac:dyDescent="0.25">
      <c r="D483" s="4"/>
      <c r="H483" s="4"/>
    </row>
    <row r="484" spans="1:8" ht="15.75" customHeight="1" x14ac:dyDescent="0.25">
      <c r="D484" s="4"/>
      <c r="H484" s="4"/>
    </row>
    <row r="485" spans="1:8" ht="15.75" customHeight="1" x14ac:dyDescent="0.25">
      <c r="D485" s="4"/>
      <c r="H485" s="4"/>
    </row>
    <row r="486" spans="1:8" ht="15.75" customHeight="1" x14ac:dyDescent="0.25">
      <c r="D486" s="4"/>
      <c r="H486" s="4"/>
    </row>
    <row r="487" spans="1:8" ht="15.75" customHeight="1" x14ac:dyDescent="0.25">
      <c r="D487" s="4"/>
      <c r="H487" s="4"/>
    </row>
    <row r="488" spans="1:8" ht="15.75" customHeight="1" x14ac:dyDescent="0.25">
      <c r="A488" s="14" t="s">
        <v>14</v>
      </c>
      <c r="B488" s="14"/>
      <c r="C488" s="14"/>
      <c r="D488" s="14"/>
      <c r="E488" s="14"/>
      <c r="F488" s="14"/>
      <c r="G488" s="14"/>
      <c r="H488" s="14"/>
    </row>
    <row r="489" spans="1:8" ht="15.75" customHeight="1" x14ac:dyDescent="0.25">
      <c r="D489" s="4"/>
      <c r="H489" s="8"/>
    </row>
    <row r="490" spans="1:8" ht="15.75" customHeight="1" x14ac:dyDescent="0.3">
      <c r="A490" s="25"/>
      <c r="B490" s="25"/>
      <c r="C490" s="26"/>
      <c r="D490" s="196"/>
      <c r="E490" s="136"/>
      <c r="F490" s="136"/>
      <c r="G490" s="136"/>
      <c r="H490" s="106"/>
    </row>
    <row r="491" spans="1:8" ht="15.75" customHeight="1" x14ac:dyDescent="0.3">
      <c r="A491" s="25"/>
      <c r="B491" s="25"/>
      <c r="C491" s="25"/>
      <c r="D491" s="26"/>
      <c r="E491" s="25"/>
      <c r="F491" s="22" t="s">
        <v>18</v>
      </c>
      <c r="G491" s="23" t="s">
        <v>550</v>
      </c>
      <c r="H491" s="24"/>
    </row>
    <row r="492" spans="1:8" ht="15.75" customHeight="1" x14ac:dyDescent="0.3">
      <c r="A492" s="25" t="s">
        <v>20</v>
      </c>
      <c r="B492" s="25"/>
      <c r="C492" s="25"/>
      <c r="D492" s="26"/>
      <c r="E492" s="25"/>
      <c r="F492" s="22" t="s">
        <v>21</v>
      </c>
      <c r="G492" s="25" t="s">
        <v>589</v>
      </c>
      <c r="H492" s="26"/>
    </row>
    <row r="493" spans="1:8" ht="15.75" customHeight="1" x14ac:dyDescent="0.3">
      <c r="A493" s="25" t="inlineStr">
        <is>
          <t>Dealer-002</t>
        </is>
      </c>
      <c r="B493" s="25"/>
      <c r="C493" s="25"/>
      <c r="D493" s="26"/>
      <c r="E493" s="22"/>
      <c r="F493" s="25"/>
      <c r="G493" s="25"/>
      <c r="H493" s="106"/>
    </row>
    <row r="494" spans="1:8" ht="15.75" customHeight="1" x14ac:dyDescent="0.3">
      <c r="A494" s="25" t="inlineStr">
        <is>
          <t>Address line (redacted)</t>
        </is>
      </c>
      <c r="B494" s="25"/>
      <c r="C494" s="25"/>
      <c r="D494" s="109"/>
      <c r="E494" s="25"/>
      <c r="F494" s="26"/>
      <c r="G494" s="25"/>
      <c r="H494" s="106"/>
    </row>
    <row r="495" spans="1:8" ht="15.75" customHeight="1" x14ac:dyDescent="0.3">
      <c r="A495" s="25" t="inlineStr">
        <is>
          <t>Address line (redacted)</t>
        </is>
      </c>
      <c r="B495" s="25"/>
      <c r="C495" s="25"/>
      <c r="D495" s="109"/>
      <c r="E495" s="25"/>
      <c r="F495" s="26"/>
      <c r="G495" s="25"/>
      <c r="H495" s="106"/>
    </row>
    <row r="496" spans="1:8" ht="15.75" customHeight="1" x14ac:dyDescent="0.3">
      <c r="A496" s="114"/>
      <c r="B496" s="25"/>
      <c r="C496" s="25"/>
      <c r="D496" s="26"/>
      <c r="E496" s="25"/>
      <c r="F496" s="26"/>
      <c r="G496" s="25"/>
      <c r="H496" s="106"/>
    </row>
    <row r="497" spans="1:8" ht="15.75" customHeight="1" x14ac:dyDescent="0.3">
      <c r="A497" s="25" t="s">
        <v>30</v>
      </c>
      <c r="B497" s="25"/>
      <c r="C497" s="25"/>
      <c r="D497" s="26"/>
      <c r="E497" s="25"/>
      <c r="F497" s="26"/>
      <c r="G497" s="25"/>
      <c r="H497" s="106"/>
    </row>
    <row r="498" spans="1:8" ht="15.75" customHeight="1" x14ac:dyDescent="0.3">
      <c r="A498" s="25"/>
      <c r="B498" s="25"/>
      <c r="C498" s="25"/>
      <c r="D498" s="26"/>
      <c r="E498" s="25"/>
      <c r="F498" s="26"/>
      <c r="G498" s="25"/>
      <c r="H498" s="106"/>
    </row>
    <row r="499" spans="1:8" ht="15.75" customHeight="1" x14ac:dyDescent="0.3">
      <c r="A499" s="25" t="s">
        <v>31</v>
      </c>
      <c r="B499" s="25"/>
      <c r="C499" s="25"/>
      <c r="D499" s="26"/>
      <c r="E499" s="25"/>
      <c r="F499" s="26"/>
      <c r="G499" s="25"/>
      <c r="H499" s="106"/>
    </row>
    <row r="500" spans="1:8" ht="15.75" customHeight="1" x14ac:dyDescent="0.3">
      <c r="A500" s="25" t="s">
        <v>32</v>
      </c>
      <c r="B500" s="25"/>
      <c r="C500" s="25"/>
      <c r="D500" s="26"/>
      <c r="E500" s="25"/>
      <c r="F500" s="26"/>
      <c r="G500" s="25"/>
      <c r="H500" s="106"/>
    </row>
    <row r="501" spans="1:8" ht="15.75" customHeight="1" x14ac:dyDescent="0.3">
      <c r="A501" s="25"/>
      <c r="B501" s="25"/>
      <c r="C501" s="25"/>
      <c r="D501" s="26"/>
      <c r="E501" s="25"/>
      <c r="F501" s="26"/>
      <c r="G501" s="25"/>
      <c r="H501" s="106"/>
    </row>
    <row r="502" spans="1:8" ht="15.75" customHeight="1" x14ac:dyDescent="0.3">
      <c r="A502" s="118" t="s">
        <v>33</v>
      </c>
      <c r="B502" s="121" t="s">
        <v>6</v>
      </c>
      <c r="C502" s="121"/>
      <c r="D502" s="123" t="s">
        <v>37</v>
      </c>
      <c r="E502" s="125" t="s">
        <v>38</v>
      </c>
      <c r="F502" s="127" t="s">
        <v>7</v>
      </c>
      <c r="G502" s="129" t="s">
        <v>43</v>
      </c>
      <c r="H502" s="130" t="s">
        <v>44</v>
      </c>
    </row>
    <row r="503" spans="1:8" ht="15.75" customHeight="1" x14ac:dyDescent="0.3">
      <c r="A503" s="133"/>
      <c r="B503" s="135"/>
      <c r="C503" s="136"/>
      <c r="D503" s="138"/>
      <c r="E503" s="138"/>
      <c r="F503" s="139"/>
      <c r="G503" s="141"/>
      <c r="H503" s="143"/>
    </row>
    <row r="504" spans="1:8" ht="15.75" customHeight="1" x14ac:dyDescent="0.3">
      <c r="A504" s="145"/>
      <c r="B504" s="225" t="s">
        <v>590</v>
      </c>
      <c r="C504" s="226"/>
      <c r="D504" s="149"/>
      <c r="E504" s="149"/>
      <c r="F504" s="26"/>
      <c r="G504" s="149"/>
      <c r="H504" s="151"/>
    </row>
    <row r="505" spans="1:8" ht="15.75" customHeight="1" x14ac:dyDescent="0.3">
      <c r="A505" s="145"/>
      <c r="B505" s="161"/>
      <c r="C505" s="25"/>
      <c r="D505" s="149"/>
      <c r="E505" s="149"/>
      <c r="F505" s="26"/>
      <c r="G505" s="149"/>
      <c r="H505" s="151"/>
    </row>
    <row r="506" spans="1:8" ht="15.75" customHeight="1" x14ac:dyDescent="0.3">
      <c r="A506" s="145" t="s">
        <v>55</v>
      </c>
      <c r="B506" s="213" t="s">
        <v>592</v>
      </c>
      <c r="C506" s="25" t="s">
        <v>593</v>
      </c>
      <c r="D506" s="149">
        <v>4</v>
      </c>
      <c r="E506" s="149">
        <v>1</v>
      </c>
      <c r="F506" s="26">
        <f t="shared" ref="F506:F511" si="4">+E506*D506</f>
      </c>
      <c r="G506" s="149">
        <v>1</v>
      </c>
      <c r="H506" s="151">
        <f t="shared" ref="H506:H511" si="5">+G506*F506</f>
      </c>
    </row>
    <row r="507" spans="1:8" ht="15.75" customHeight="1" x14ac:dyDescent="0.3">
      <c r="A507" s="145" t="s">
        <v>59</v>
      </c>
      <c r="B507" s="161" t="s">
        <v>131</v>
      </c>
      <c r="C507" s="25" t="s">
        <v>394</v>
      </c>
      <c r="D507" s="149">
        <v>4</v>
      </c>
      <c r="E507" s="149">
        <v>1</v>
      </c>
      <c r="F507" s="26">
        <f t="shared" si="4"/>
      </c>
      <c r="G507" s="149">
        <v>1</v>
      </c>
      <c r="H507" s="151">
        <f t="shared" si="5"/>
      </c>
    </row>
    <row r="508" spans="1:8" ht="15.75" customHeight="1" x14ac:dyDescent="0.3">
      <c r="A508" s="145" t="s">
        <v>67</v>
      </c>
      <c r="B508" s="161" t="s">
        <v>123</v>
      </c>
      <c r="C508" s="25" t="s">
        <v>594</v>
      </c>
      <c r="D508" s="149">
        <v>7</v>
      </c>
      <c r="E508" s="149">
        <v>1</v>
      </c>
      <c r="F508" s="26">
        <f t="shared" si="4"/>
      </c>
      <c r="G508" s="149">
        <v>1</v>
      </c>
      <c r="H508" s="151">
        <f t="shared" si="5"/>
      </c>
    </row>
    <row r="509" spans="1:8" ht="15.75" customHeight="1" x14ac:dyDescent="0.3">
      <c r="A509" s="145" t="s">
        <v>485</v>
      </c>
      <c r="B509" s="161" t="s">
        <v>595</v>
      </c>
      <c r="C509" s="25" t="s">
        <v>596</v>
      </c>
      <c r="D509" s="149">
        <v>11</v>
      </c>
      <c r="E509" s="149">
        <v>1</v>
      </c>
      <c r="F509" s="26">
        <f t="shared" si="4"/>
      </c>
      <c r="G509" s="149">
        <v>1</v>
      </c>
      <c r="H509" s="151">
        <f t="shared" si="5"/>
      </c>
    </row>
    <row r="510" spans="1:8" ht="15.75" customHeight="1" x14ac:dyDescent="0.3">
      <c r="A510" s="145" t="s">
        <v>486</v>
      </c>
      <c r="B510" s="161" t="s">
        <v>127</v>
      </c>
      <c r="C510" s="25" t="s">
        <v>398</v>
      </c>
      <c r="D510" s="214">
        <v>5</v>
      </c>
      <c r="E510" s="214">
        <v>1</v>
      </c>
      <c r="F510" s="26">
        <f t="shared" si="4"/>
      </c>
      <c r="G510" s="214">
        <v>1</v>
      </c>
      <c r="H510" s="151">
        <f t="shared" si="5"/>
      </c>
    </row>
    <row r="511" spans="1:8" ht="15.75" customHeight="1" x14ac:dyDescent="0.3">
      <c r="A511" s="145" t="s">
        <v>489</v>
      </c>
      <c r="B511" s="161" t="s">
        <v>599</v>
      </c>
      <c r="C511" s="25" t="s">
        <v>372</v>
      </c>
      <c r="D511" s="149">
        <v>4</v>
      </c>
      <c r="E511" s="149">
        <v>1</v>
      </c>
      <c r="F511" s="26">
        <f t="shared" si="4"/>
      </c>
      <c r="G511" s="149">
        <v>1</v>
      </c>
      <c r="H511" s="151">
        <f t="shared" si="5"/>
      </c>
    </row>
    <row r="512" spans="1:8" ht="15.75" customHeight="1" x14ac:dyDescent="0.3">
      <c r="A512" s="145"/>
      <c r="B512" s="161"/>
      <c r="C512" s="25"/>
      <c r="D512" s="149"/>
      <c r="E512" s="149"/>
      <c r="F512" s="26"/>
      <c r="G512" s="149"/>
      <c r="H512" s="151"/>
    </row>
    <row r="513" spans="1:8" ht="15.75" customHeight="1" x14ac:dyDescent="0.3">
      <c r="A513" s="145"/>
      <c r="B513" s="174"/>
      <c r="C513" s="25"/>
      <c r="D513" s="149"/>
      <c r="E513" s="149"/>
      <c r="F513" s="26"/>
      <c r="G513" s="149"/>
      <c r="H513" s="151"/>
    </row>
    <row r="514" spans="1:8" ht="15.75" customHeight="1" x14ac:dyDescent="0.3">
      <c r="A514" s="177"/>
      <c r="B514" s="139"/>
      <c r="C514" s="136"/>
      <c r="D514" s="149"/>
      <c r="E514" s="149"/>
      <c r="F514" s="179"/>
      <c r="G514" s="181"/>
      <c r="H514" s="151"/>
    </row>
    <row r="515" spans="1:8" ht="15.75" customHeight="1" x14ac:dyDescent="0.3">
      <c r="A515" s="183"/>
      <c r="B515" s="184"/>
      <c r="C515" s="185" t="s">
        <v>85</v>
      </c>
      <c r="D515" s="186">
        <f>SUM(D504:D514)</f>
      </c>
      <c r="E515" s="186"/>
      <c r="F515" s="187"/>
      <c r="G515" s="188"/>
      <c r="H515" s="189">
        <f>SUM(H506:H514)</f>
      </c>
    </row>
    <row r="516" spans="1:8" ht="15.75" customHeight="1" x14ac:dyDescent="0.3">
      <c r="A516" s="190"/>
      <c r="B516" s="191"/>
      <c r="C516" s="191"/>
      <c r="D516" s="192"/>
      <c r="E516" s="191"/>
      <c r="F516" s="193"/>
      <c r="G516" s="194"/>
      <c r="H516" s="195"/>
    </row>
    <row r="517" spans="1:8" ht="15.75" customHeight="1" x14ac:dyDescent="0.3">
      <c r="A517" s="196"/>
      <c r="B517" s="26"/>
      <c r="C517" s="26"/>
      <c r="D517" s="26"/>
      <c r="E517" s="25"/>
      <c r="F517" s="196"/>
      <c r="G517" s="25"/>
      <c r="H517" s="106"/>
    </row>
    <row r="518" spans="1:8" ht="15.75" customHeight="1" x14ac:dyDescent="0.3">
      <c r="A518" s="197"/>
      <c r="B518" s="197"/>
      <c r="C518" s="197"/>
      <c r="D518" s="26"/>
      <c r="E518" s="216" t="s">
        <v>97</v>
      </c>
      <c r="F518" s="197" t="s">
        <v>98</v>
      </c>
      <c r="G518" s="197"/>
      <c r="H518" s="26"/>
    </row>
    <row r="519" spans="1:8" ht="15.75" customHeight="1" x14ac:dyDescent="0.3">
      <c r="A519" s="25"/>
      <c r="B519" s="25"/>
      <c r="C519" s="25"/>
      <c r="D519" s="26"/>
      <c r="E519" s="26"/>
      <c r="F519" s="25"/>
      <c r="G519" s="25"/>
      <c r="H519" s="26"/>
    </row>
    <row r="520" spans="1:8" ht="15.75" customHeight="1" x14ac:dyDescent="0.3">
      <c r="A520" s="25"/>
      <c r="B520" s="25"/>
      <c r="C520" s="25"/>
      <c r="D520" s="26"/>
      <c r="E520" s="26"/>
      <c r="F520" s="25"/>
      <c r="G520" s="25"/>
      <c r="H520" s="26"/>
    </row>
    <row r="521" spans="1:8" ht="15.75" customHeight="1" x14ac:dyDescent="0.3">
      <c r="A521" s="197"/>
      <c r="B521" s="197"/>
      <c r="C521" s="197"/>
      <c r="D521" s="26"/>
      <c r="E521" s="198"/>
      <c r="F521" s="197" t="s">
        <v>99</v>
      </c>
      <c r="G521" s="197"/>
      <c r="H521" s="26"/>
    </row>
    <row r="522" spans="1:8" ht="15.75" customHeight="1" x14ac:dyDescent="0.25">
      <c r="D522" s="4"/>
      <c r="H522" s="4"/>
    </row>
    <row r="523" spans="1:8" ht="15.75" customHeight="1" x14ac:dyDescent="0.25">
      <c r="D523" s="4"/>
      <c r="H523" s="4"/>
    </row>
    <row r="524" spans="1:8" ht="15.75" customHeight="1" x14ac:dyDescent="0.25">
      <c r="D524" s="4"/>
      <c r="H524" s="4"/>
    </row>
    <row r="525" spans="1:8" ht="15.75" customHeight="1" x14ac:dyDescent="0.25">
      <c r="D525" s="4"/>
      <c r="H525" s="4"/>
    </row>
    <row r="526" spans="1:8" ht="15.75" customHeight="1" x14ac:dyDescent="0.25">
      <c r="D526" s="4"/>
      <c r="H526" s="4"/>
    </row>
    <row r="527" spans="1:8" ht="15.75" customHeight="1" x14ac:dyDescent="0.25">
      <c r="D527" s="4"/>
      <c r="H527" s="4"/>
    </row>
    <row r="528" spans="1:8" ht="15.75" customHeight="1" x14ac:dyDescent="0.25">
      <c r="D528" s="4"/>
      <c r="H528" s="4"/>
    </row>
    <row r="529" spans="1:8" ht="15.75" customHeight="1" x14ac:dyDescent="0.25">
      <c r="D529" s="4"/>
      <c r="H529" s="4"/>
    </row>
    <row r="530" spans="1:8" ht="15.75" customHeight="1" x14ac:dyDescent="0.25">
      <c r="D530" s="4"/>
      <c r="H530" s="4"/>
    </row>
    <row r="531" spans="1:8" ht="15.75" customHeight="1" x14ac:dyDescent="0.25">
      <c r="D531" s="4"/>
      <c r="H531" s="4"/>
    </row>
    <row r="532" spans="1:8" ht="15.75" customHeight="1" x14ac:dyDescent="0.25">
      <c r="A532" s="14" t="s">
        <v>14</v>
      </c>
      <c r="B532" s="14"/>
      <c r="C532" s="14"/>
      <c r="D532" s="14"/>
      <c r="E532" s="14"/>
      <c r="F532" s="14"/>
      <c r="G532" s="14"/>
      <c r="H532" s="14"/>
    </row>
    <row r="533" spans="1:8" ht="15.75" customHeight="1" x14ac:dyDescent="0.25">
      <c r="D533" s="4"/>
      <c r="H533" s="8"/>
    </row>
    <row r="534" spans="1:8" ht="15.75" customHeight="1" x14ac:dyDescent="0.25">
      <c r="A534" s="15"/>
      <c r="B534" s="15"/>
      <c r="C534" s="16"/>
      <c r="D534" s="17"/>
      <c r="E534" s="18"/>
      <c r="F534" s="18"/>
      <c r="G534" s="18"/>
      <c r="H534" s="19"/>
    </row>
    <row r="535" spans="1:8" ht="15.75" customHeight="1" x14ac:dyDescent="0.3">
      <c r="A535" s="25"/>
      <c r="B535" s="25"/>
      <c r="C535" s="25"/>
      <c r="D535" s="26"/>
      <c r="E535" s="25"/>
      <c r="F535" s="22" t="s">
        <v>18</v>
      </c>
      <c r="G535" s="23" t="s">
        <v>609</v>
      </c>
      <c r="H535" s="24"/>
    </row>
    <row r="536" spans="1:8" ht="15.75" customHeight="1" x14ac:dyDescent="0.3">
      <c r="A536" s="25" t="s">
        <v>20</v>
      </c>
      <c r="B536" s="25"/>
      <c r="C536" s="25"/>
      <c r="D536" s="26"/>
      <c r="E536" s="25"/>
      <c r="F536" s="22" t="s">
        <v>21</v>
      </c>
      <c r="G536" s="25" t="s">
        <v>552</v>
      </c>
      <c r="H536" s="26"/>
    </row>
    <row r="537" spans="1:8" ht="15.75" customHeight="1" x14ac:dyDescent="0.3">
      <c r="A537" s="25" t="inlineStr">
        <is>
          <t>Dealer-004</t>
        </is>
      </c>
      <c r="B537" s="25"/>
      <c r="C537" s="25"/>
      <c r="D537" s="109"/>
      <c r="E537" s="25"/>
      <c r="F537" s="26"/>
      <c r="G537" s="25"/>
      <c r="H537" s="106"/>
    </row>
    <row r="538" spans="1:8" ht="15.75" customHeight="1" x14ac:dyDescent="0.3">
      <c r="A538" s="25" t="inlineStr">
        <is>
          <t>Address line (redacted)</t>
        </is>
      </c>
      <c r="B538" s="25"/>
      <c r="C538" s="25"/>
      <c r="D538" s="109"/>
      <c r="E538" s="25"/>
      <c r="F538" s="26"/>
      <c r="G538" s="25"/>
      <c r="H538" s="106"/>
    </row>
    <row r="539" spans="1:8" ht="15.75" customHeight="1" x14ac:dyDescent="0.3">
      <c r="A539" s="25" t="inlineStr">
        <is>
          <t>Address line (redacted)</t>
        </is>
      </c>
      <c r="B539" s="25"/>
      <c r="C539" s="25"/>
      <c r="D539" s="26"/>
      <c r="E539" s="25"/>
      <c r="F539" s="26"/>
      <c r="G539" s="25"/>
      <c r="H539" s="106"/>
    </row>
    <row r="540" spans="1:8" ht="15.75" customHeight="1" x14ac:dyDescent="0.3">
      <c r="A540" s="25"/>
      <c r="B540" s="25"/>
      <c r="C540" s="25"/>
      <c r="D540" s="26"/>
      <c r="E540" s="25"/>
      <c r="F540" s="26"/>
      <c r="G540" s="25"/>
      <c r="H540" s="106"/>
    </row>
    <row r="541" spans="1:8" ht="15.75" customHeight="1" x14ac:dyDescent="0.3">
      <c r="A541" s="25" t="s">
        <v>30</v>
      </c>
      <c r="B541" s="25"/>
      <c r="C541" s="25"/>
      <c r="D541" s="26"/>
      <c r="E541" s="25"/>
      <c r="F541" s="26"/>
      <c r="G541" s="25"/>
      <c r="H541" s="106"/>
    </row>
    <row r="542" spans="1:8" ht="15.75" customHeight="1" x14ac:dyDescent="0.3">
      <c r="A542" s="25"/>
      <c r="B542" s="25"/>
      <c r="C542" s="25"/>
      <c r="D542" s="26"/>
      <c r="E542" s="25"/>
      <c r="F542" s="26"/>
      <c r="G542" s="25"/>
      <c r="H542" s="106"/>
    </row>
    <row r="543" spans="1:8" ht="15.75" customHeight="1" x14ac:dyDescent="0.3">
      <c r="A543" s="25" t="s">
        <v>31</v>
      </c>
      <c r="B543" s="25"/>
      <c r="C543" s="25"/>
      <c r="D543" s="26"/>
      <c r="E543" s="25"/>
      <c r="F543" s="26"/>
      <c r="G543" s="25"/>
      <c r="H543" s="106"/>
    </row>
    <row r="544" spans="1:8" ht="15.75" customHeight="1" x14ac:dyDescent="0.3">
      <c r="A544" s="25" t="s">
        <v>32</v>
      </c>
      <c r="B544" s="25"/>
      <c r="C544" s="25"/>
      <c r="D544" s="26"/>
      <c r="E544" s="25"/>
      <c r="F544" s="26"/>
      <c r="G544" s="25"/>
      <c r="H544" s="106"/>
    </row>
    <row r="545" spans="1:12" ht="15.75" customHeight="1" x14ac:dyDescent="0.3">
      <c r="A545" s="25"/>
      <c r="B545" s="25"/>
      <c r="C545" s="25"/>
      <c r="D545" s="26"/>
      <c r="E545" s="25"/>
      <c r="F545" s="26"/>
      <c r="G545" s="25"/>
      <c r="H545" s="106"/>
    </row>
    <row r="546" spans="1:12" ht="15.75" customHeight="1" x14ac:dyDescent="0.3">
      <c r="A546" s="118" t="s">
        <v>33</v>
      </c>
      <c r="B546" s="121" t="s">
        <v>6</v>
      </c>
      <c r="C546" s="121"/>
      <c r="D546" s="123" t="s">
        <v>37</v>
      </c>
      <c r="E546" s="125" t="s">
        <v>38</v>
      </c>
      <c r="F546" s="127" t="s">
        <v>7</v>
      </c>
      <c r="G546" s="129" t="s">
        <v>43</v>
      </c>
      <c r="H546" s="130" t="s">
        <v>44</v>
      </c>
    </row>
    <row r="547" spans="1:12" ht="15.75" customHeight="1" x14ac:dyDescent="0.3">
      <c r="A547" s="133"/>
      <c r="B547" s="135"/>
      <c r="C547" s="136"/>
      <c r="D547" s="138"/>
      <c r="E547" s="138"/>
      <c r="F547" s="139"/>
      <c r="G547" s="141"/>
      <c r="H547" s="143"/>
    </row>
    <row r="548" spans="1:12" ht="15.75" customHeight="1" x14ac:dyDescent="0.3">
      <c r="A548" s="227"/>
      <c r="B548" s="228" t="s">
        <v>573</v>
      </c>
      <c r="C548" s="228"/>
      <c r="D548" s="229"/>
      <c r="E548" s="229"/>
      <c r="F548" s="230"/>
      <c r="G548" s="229"/>
      <c r="H548" s="210"/>
    </row>
    <row r="549" spans="1:12" ht="15.75" customHeight="1" x14ac:dyDescent="0.3">
      <c r="A549" s="227"/>
      <c r="B549" s="229"/>
      <c r="C549" s="231"/>
      <c r="D549" s="229"/>
      <c r="E549" s="229"/>
      <c r="F549" s="230"/>
      <c r="G549" s="229"/>
      <c r="H549" s="210"/>
      <c r="I549" s="2">
        <f t="shared" ref="I549:I551" si="6">+#REF!+#REF!</f>
      </c>
      <c r="J549" s="2">
        <f>+I549*15%</f>
      </c>
      <c r="K549" s="2">
        <f t="shared" ref="K549:K551" si="7">+J549+I549</f>
      </c>
      <c r="L549" s="2">
        <f>+J549*1400</f>
      </c>
    </row>
    <row r="550" spans="1:12" ht="15.75" customHeight="1" x14ac:dyDescent="0.3">
      <c r="A550" s="207" t="s">
        <v>55</v>
      </c>
      <c r="B550" s="232" t="s">
        <v>127</v>
      </c>
      <c r="C550" s="164" t="s">
        <v>326</v>
      </c>
      <c r="D550" s="209">
        <v>3</v>
      </c>
      <c r="E550" s="209">
        <v>5</v>
      </c>
      <c r="F550" s="209">
        <f>+E550*D550</f>
      </c>
      <c r="G550" s="209">
        <v>1</v>
      </c>
      <c r="H550" s="210">
        <f>+G550*F550</f>
      </c>
      <c r="I550" s="2">
        <f t="shared" si="6"/>
      </c>
      <c r="J550" s="2">
        <f t="shared" ref="J550:J551" si="8">+I550*20%</f>
      </c>
      <c r="K550" s="2">
        <f t="shared" si="7"/>
      </c>
      <c r="L550" s="2">
        <f t="shared" ref="L550:L551" si="9">+J550*#REF!</f>
      </c>
    </row>
    <row r="551" spans="1:12" ht="15.75" customHeight="1" x14ac:dyDescent="0.3">
      <c r="A551" s="207"/>
      <c r="B551" s="223"/>
      <c r="C551" s="164"/>
      <c r="D551" s="209"/>
      <c r="E551" s="209"/>
      <c r="F551" s="209"/>
      <c r="G551" s="209"/>
      <c r="H551" s="210"/>
      <c r="I551" s="2">
        <f t="shared" si="6"/>
      </c>
      <c r="J551" s="2">
        <f t="shared" si="8"/>
      </c>
      <c r="K551" s="2">
        <f t="shared" si="7"/>
      </c>
      <c r="L551" s="2">
        <f t="shared" si="9"/>
      </c>
    </row>
    <row r="552" spans="1:12" ht="15.75" customHeight="1" x14ac:dyDescent="0.3">
      <c r="A552" s="207" t="s">
        <v>59</v>
      </c>
      <c r="B552" s="232" t="s">
        <v>315</v>
      </c>
      <c r="C552" s="164" t="s">
        <v>298</v>
      </c>
      <c r="D552" s="209">
        <v>3</v>
      </c>
      <c r="E552" s="209">
        <v>5</v>
      </c>
      <c r="F552" s="209">
        <f>+E552*D552</f>
      </c>
      <c r="G552" s="209">
        <v>1</v>
      </c>
      <c r="H552" s="210">
        <f>+G552*F552</f>
      </c>
      <c r="L552" s="2">
        <f>SUM(L549:L551)</f>
      </c>
    </row>
    <row r="553" spans="1:12" ht="15.75" customHeight="1" x14ac:dyDescent="0.3">
      <c r="A553" s="207"/>
      <c r="B553" s="223"/>
      <c r="C553" s="164"/>
      <c r="D553" s="209"/>
      <c r="E553" s="209"/>
      <c r="F553" s="209"/>
      <c r="G553" s="209"/>
      <c r="H553" s="210"/>
      <c r="L553" s="2">
        <f>+L552*45%</f>
      </c>
    </row>
    <row r="554" spans="1:12" ht="15.75" customHeight="1" x14ac:dyDescent="0.3">
      <c r="A554" s="207" t="s">
        <v>67</v>
      </c>
      <c r="B554" s="232" t="s">
        <v>618</v>
      </c>
      <c r="C554" s="164" t="s">
        <v>87</v>
      </c>
      <c r="D554" s="209">
        <v>2</v>
      </c>
      <c r="E554" s="209">
        <v>5</v>
      </c>
      <c r="F554" s="209">
        <f>+E554*D554</f>
      </c>
      <c r="G554" s="209">
        <v>1</v>
      </c>
      <c r="H554" s="210">
        <f>+G554*F554</f>
      </c>
    </row>
    <row r="555" spans="1:12" ht="15.75" customHeight="1" x14ac:dyDescent="0.3">
      <c r="A555" s="207"/>
      <c r="B555" s="173"/>
      <c r="C555" s="164"/>
      <c r="D555" s="209"/>
      <c r="E555" s="209"/>
      <c r="F555" s="209"/>
      <c r="G555" s="209"/>
      <c r="H555" s="210"/>
    </row>
    <row r="556" spans="1:12" ht="15.75" customHeight="1" x14ac:dyDescent="0.3">
      <c r="A556" s="207"/>
      <c r="B556" s="173"/>
      <c r="C556" s="164"/>
      <c r="D556" s="209"/>
      <c r="E556" s="209"/>
      <c r="F556" s="209"/>
      <c r="G556" s="209"/>
      <c r="H556" s="210"/>
    </row>
    <row r="557" spans="1:12" ht="15.75" customHeight="1" x14ac:dyDescent="0.3">
      <c r="A557" s="207"/>
      <c r="B557" s="173"/>
      <c r="C557" s="164"/>
      <c r="D557" s="209"/>
      <c r="E557" s="209"/>
      <c r="F557" s="209"/>
      <c r="G557" s="209"/>
      <c r="H557" s="210"/>
    </row>
    <row r="558" spans="1:12" ht="15.75" customHeight="1" x14ac:dyDescent="0.3">
      <c r="A558" s="207"/>
      <c r="B558" s="173"/>
      <c r="C558" s="164"/>
      <c r="D558" s="209"/>
      <c r="E558" s="209"/>
      <c r="F558" s="209"/>
      <c r="G558" s="209"/>
      <c r="H558" s="210"/>
    </row>
    <row r="559" spans="1:12" ht="15.75" customHeight="1" x14ac:dyDescent="0.3">
      <c r="A559" s="177"/>
      <c r="B559" s="139"/>
      <c r="C559" s="136"/>
      <c r="D559" s="149"/>
      <c r="E559" s="149"/>
      <c r="F559" s="179"/>
      <c r="G559" s="181"/>
      <c r="H559" s="151"/>
    </row>
    <row r="560" spans="1:12" ht="15.75" customHeight="1" x14ac:dyDescent="0.3">
      <c r="A560" s="183"/>
      <c r="B560" s="184"/>
      <c r="C560" s="185" t="s">
        <v>85</v>
      </c>
      <c r="D560" s="186">
        <f>SUM(D550:D559)</f>
      </c>
      <c r="E560" s="186"/>
      <c r="F560" s="187">
        <f>SUM(F550:F559)</f>
      </c>
      <c r="G560" s="188"/>
      <c r="H560" s="189">
        <f>SUM(H550:H559)</f>
      </c>
    </row>
    <row r="561" spans="1:8" ht="15.75" customHeight="1" x14ac:dyDescent="0.3">
      <c r="A561" s="190"/>
      <c r="B561" s="191"/>
      <c r="C561" s="191"/>
      <c r="D561" s="192"/>
      <c r="E561" s="191"/>
      <c r="F561" s="193"/>
      <c r="G561" s="194"/>
      <c r="H561" s="195"/>
    </row>
    <row r="562" spans="1:8" ht="15.75" customHeight="1" x14ac:dyDescent="0.3">
      <c r="A562" s="196"/>
      <c r="B562" s="26"/>
      <c r="C562" s="26"/>
      <c r="D562" s="26"/>
      <c r="E562" s="25"/>
      <c r="F562" s="196"/>
      <c r="G562" s="25"/>
      <c r="H562" s="106"/>
    </row>
    <row r="563" spans="1:8" ht="15.75" customHeight="1" x14ac:dyDescent="0.3">
      <c r="A563" s="197"/>
      <c r="B563" s="197"/>
      <c r="C563" s="197"/>
      <c r="D563" s="198" t="s">
        <v>97</v>
      </c>
      <c r="E563" s="197" t="s">
        <v>98</v>
      </c>
      <c r="F563" s="197"/>
      <c r="G563" s="25"/>
      <c r="H563" s="106"/>
    </row>
    <row r="564" spans="1:8" ht="15.75" customHeight="1" x14ac:dyDescent="0.3">
      <c r="A564" s="25"/>
      <c r="B564" s="25"/>
      <c r="C564" s="25"/>
      <c r="D564" s="26"/>
      <c r="E564" s="25"/>
      <c r="F564" s="25"/>
      <c r="G564" s="25"/>
      <c r="H564" s="106"/>
    </row>
    <row r="565" spans="1:8" ht="15.75" customHeight="1" x14ac:dyDescent="0.3">
      <c r="A565" s="25"/>
      <c r="B565" s="25"/>
      <c r="C565" s="25"/>
      <c r="D565" s="26"/>
      <c r="E565" s="25"/>
      <c r="F565" s="25"/>
      <c r="G565" s="25"/>
      <c r="H565" s="106"/>
    </row>
    <row r="566" spans="1:8" ht="15.75" customHeight="1" x14ac:dyDescent="0.3">
      <c r="A566" s="197"/>
      <c r="B566" s="197"/>
      <c r="C566" s="197"/>
      <c r="D566" s="198"/>
      <c r="E566" s="197" t="s">
        <v>99</v>
      </c>
      <c r="F566" s="197"/>
      <c r="G566" s="25"/>
      <c r="H566" s="106"/>
    </row>
    <row r="567" spans="1:8" ht="15.75" customHeight="1" x14ac:dyDescent="0.25">
      <c r="D567" s="4"/>
      <c r="H567" s="4"/>
    </row>
    <row r="568" spans="1:8" ht="15.75" customHeight="1" x14ac:dyDescent="0.25">
      <c r="D568" s="4"/>
      <c r="H568" s="4"/>
    </row>
    <row r="569" spans="1:8" ht="15.75" customHeight="1" x14ac:dyDescent="0.25">
      <c r="D569" s="4"/>
      <c r="H569" s="4"/>
    </row>
    <row r="570" spans="1:8" ht="15.75" customHeight="1" x14ac:dyDescent="0.25">
      <c r="D570" s="4"/>
      <c r="H570" s="4"/>
    </row>
    <row r="571" spans="1:8" ht="15.75" customHeight="1" x14ac:dyDescent="0.25">
      <c r="D571" s="4"/>
      <c r="H571" s="4"/>
    </row>
    <row r="572" spans="1:8" ht="15.75" customHeight="1" x14ac:dyDescent="0.25">
      <c r="D572" s="4"/>
      <c r="H572" s="4"/>
    </row>
    <row r="573" spans="1:8" ht="15.75" customHeight="1" x14ac:dyDescent="0.25">
      <c r="D573" s="4"/>
      <c r="H573" s="4"/>
    </row>
    <row r="574" spans="1:8" ht="15.75" customHeight="1" x14ac:dyDescent="0.25">
      <c r="D574" s="4"/>
      <c r="H574" s="4"/>
    </row>
    <row r="575" spans="1:8" ht="15.75" customHeight="1" x14ac:dyDescent="0.25">
      <c r="D575" s="4"/>
      <c r="H575" s="4"/>
    </row>
    <row r="576" spans="1:8" ht="15.75" customHeight="1" x14ac:dyDescent="0.25">
      <c r="A576" s="14" t="s">
        <v>14</v>
      </c>
      <c r="B576" s="14"/>
      <c r="C576" s="14"/>
      <c r="D576" s="14"/>
      <c r="E576" s="14"/>
      <c r="F576" s="14"/>
      <c r="G576" s="14"/>
      <c r="H576" s="14"/>
    </row>
    <row r="577" spans="1:8" ht="15.75" customHeight="1" x14ac:dyDescent="0.25">
      <c r="D577" s="4"/>
      <c r="H577" s="8"/>
    </row>
    <row r="578" spans="1:8" ht="15.75" customHeight="1" x14ac:dyDescent="0.25">
      <c r="A578" s="15"/>
      <c r="B578" s="15"/>
      <c r="C578" s="16"/>
      <c r="D578" s="17"/>
      <c r="E578" s="18"/>
      <c r="F578" s="18"/>
      <c r="G578" s="18"/>
      <c r="H578" s="19"/>
    </row>
    <row r="579" spans="1:8" ht="15.75" customHeight="1" x14ac:dyDescent="0.3">
      <c r="A579" s="25"/>
      <c r="B579" s="25"/>
      <c r="C579" s="25"/>
      <c r="D579" s="26"/>
      <c r="E579" s="25"/>
      <c r="F579" s="22" t="s">
        <v>18</v>
      </c>
      <c r="G579" s="23" t="s">
        <v>623</v>
      </c>
      <c r="H579" s="24"/>
    </row>
    <row r="580" spans="1:8" ht="15.75" customHeight="1" x14ac:dyDescent="0.3">
      <c r="A580" s="25" t="s">
        <v>20</v>
      </c>
      <c r="B580" s="25"/>
      <c r="C580" s="25"/>
      <c r="D580" s="26"/>
      <c r="E580" s="25"/>
      <c r="F580" s="22" t="s">
        <v>21</v>
      </c>
      <c r="G580" s="25" t="s">
        <v>554</v>
      </c>
      <c r="H580" s="26"/>
    </row>
    <row r="581" spans="1:8" ht="15.75" customHeight="1" x14ac:dyDescent="0.3">
      <c r="A581" s="25" t="inlineStr">
        <is>
          <t>Dealer-004</t>
        </is>
      </c>
      <c r="B581" s="25"/>
      <c r="C581" s="25"/>
      <c r="D581" s="109"/>
      <c r="E581" s="25"/>
      <c r="F581" s="26"/>
      <c r="G581" s="25"/>
      <c r="H581" s="106"/>
    </row>
    <row r="582" spans="1:8" ht="15.75" customHeight="1" x14ac:dyDescent="0.3">
      <c r="A582" s="25" t="inlineStr">
        <is>
          <t>Address line (redacted)</t>
        </is>
      </c>
      <c r="B582" s="25"/>
      <c r="C582" s="25"/>
      <c r="D582" s="109"/>
      <c r="E582" s="25"/>
      <c r="F582" s="26"/>
      <c r="G582" s="25"/>
      <c r="H582" s="106"/>
    </row>
    <row r="583" spans="1:8" ht="15.75" customHeight="1" x14ac:dyDescent="0.3">
      <c r="A583" s="25" t="inlineStr">
        <is>
          <t>Address line (redacted)</t>
        </is>
      </c>
      <c r="B583" s="25"/>
      <c r="C583" s="25"/>
      <c r="D583" s="26"/>
      <c r="E583" s="25"/>
      <c r="F583" s="26"/>
      <c r="G583" s="25"/>
      <c r="H583" s="106"/>
    </row>
    <row r="584" spans="1:8" ht="15.75" customHeight="1" x14ac:dyDescent="0.3">
      <c r="A584" s="25"/>
      <c r="B584" s="25"/>
      <c r="C584" s="25"/>
      <c r="D584" s="26"/>
      <c r="E584" s="25"/>
      <c r="F584" s="26"/>
      <c r="G584" s="25"/>
      <c r="H584" s="106"/>
    </row>
    <row r="585" spans="1:8" ht="15.75" customHeight="1" x14ac:dyDescent="0.3">
      <c r="A585" s="25" t="s">
        <v>30</v>
      </c>
      <c r="B585" s="25"/>
      <c r="C585" s="25"/>
      <c r="D585" s="26"/>
      <c r="E585" s="25"/>
      <c r="F585" s="26"/>
      <c r="G585" s="25"/>
      <c r="H585" s="106"/>
    </row>
    <row r="586" spans="1:8" ht="15.75" customHeight="1" x14ac:dyDescent="0.3">
      <c r="A586" s="25"/>
      <c r="B586" s="25"/>
      <c r="C586" s="25"/>
      <c r="D586" s="26"/>
      <c r="E586" s="25"/>
      <c r="F586" s="26"/>
      <c r="G586" s="25"/>
      <c r="H586" s="106"/>
    </row>
    <row r="587" spans="1:8" ht="15.75" customHeight="1" x14ac:dyDescent="0.3">
      <c r="A587" s="25" t="s">
        <v>31</v>
      </c>
      <c r="B587" s="25"/>
      <c r="C587" s="25"/>
      <c r="D587" s="26"/>
      <c r="E587" s="25"/>
      <c r="F587" s="26"/>
      <c r="G587" s="25"/>
      <c r="H587" s="106"/>
    </row>
    <row r="588" spans="1:8" ht="15.75" customHeight="1" x14ac:dyDescent="0.3">
      <c r="A588" s="25" t="s">
        <v>32</v>
      </c>
      <c r="B588" s="25"/>
      <c r="C588" s="25"/>
      <c r="D588" s="26"/>
      <c r="E588" s="25"/>
      <c r="F588" s="26"/>
      <c r="G588" s="25"/>
      <c r="H588" s="106"/>
    </row>
    <row r="589" spans="1:8" ht="15.75" customHeight="1" x14ac:dyDescent="0.3">
      <c r="A589" s="25"/>
      <c r="B589" s="25"/>
      <c r="C589" s="25"/>
      <c r="D589" s="26"/>
      <c r="E589" s="25"/>
      <c r="F589" s="26"/>
      <c r="G589" s="25"/>
      <c r="H589" s="106"/>
    </row>
    <row r="590" spans="1:8" ht="15.75" customHeight="1" x14ac:dyDescent="0.3">
      <c r="A590" s="118" t="s">
        <v>33</v>
      </c>
      <c r="B590" s="121" t="s">
        <v>6</v>
      </c>
      <c r="C590" s="121"/>
      <c r="D590" s="123" t="s">
        <v>37</v>
      </c>
      <c r="E590" s="125" t="s">
        <v>38</v>
      </c>
      <c r="F590" s="127" t="s">
        <v>7</v>
      </c>
      <c r="G590" s="129" t="s">
        <v>43</v>
      </c>
      <c r="H590" s="130" t="s">
        <v>44</v>
      </c>
    </row>
    <row r="591" spans="1:8" ht="15.75" customHeight="1" x14ac:dyDescent="0.3">
      <c r="A591" s="133"/>
      <c r="B591" s="135"/>
      <c r="C591" s="136"/>
      <c r="D591" s="138"/>
      <c r="E591" s="138"/>
      <c r="F591" s="139"/>
      <c r="G591" s="141"/>
      <c r="H591" s="143"/>
    </row>
    <row r="592" spans="1:8" ht="15.75" customHeight="1" x14ac:dyDescent="0.3">
      <c r="A592" s="227"/>
      <c r="B592" s="228" t="s">
        <v>573</v>
      </c>
      <c r="C592" s="228"/>
      <c r="D592" s="229"/>
      <c r="E592" s="229"/>
      <c r="F592" s="230"/>
      <c r="G592" s="229"/>
      <c r="H592" s="210"/>
    </row>
    <row r="593" spans="1:8" ht="15.75" customHeight="1" x14ac:dyDescent="0.3">
      <c r="A593" s="227"/>
      <c r="B593" s="229"/>
      <c r="C593" s="231"/>
      <c r="D593" s="229"/>
      <c r="E593" s="229"/>
      <c r="F593" s="230"/>
      <c r="G593" s="229"/>
      <c r="H593" s="210"/>
    </row>
    <row r="594" spans="1:8" ht="15.75" customHeight="1" x14ac:dyDescent="0.3">
      <c r="A594" s="207" t="s">
        <v>55</v>
      </c>
      <c r="B594" s="232" t="s">
        <v>315</v>
      </c>
      <c r="C594" s="164" t="s">
        <v>298</v>
      </c>
      <c r="D594" s="209">
        <v>3</v>
      </c>
      <c r="E594" s="209">
        <v>5</v>
      </c>
      <c r="F594" s="209">
        <f>+E594*D594</f>
      </c>
      <c r="G594" s="209">
        <v>1</v>
      </c>
      <c r="H594" s="210">
        <f>+G594*F594</f>
      </c>
    </row>
    <row r="595" spans="1:8" ht="15.75" customHeight="1" x14ac:dyDescent="0.3">
      <c r="A595" s="207"/>
      <c r="B595" s="223"/>
      <c r="C595" s="164"/>
      <c r="D595" s="209"/>
      <c r="E595" s="209"/>
      <c r="F595" s="209"/>
      <c r="G595" s="209"/>
      <c r="H595" s="210"/>
    </row>
    <row r="596" spans="1:8" ht="15.75" customHeight="1" x14ac:dyDescent="0.3">
      <c r="A596" s="207" t="s">
        <v>59</v>
      </c>
      <c r="B596" s="232" t="s">
        <v>618</v>
      </c>
      <c r="C596" s="164" t="s">
        <v>87</v>
      </c>
      <c r="D596" s="209">
        <v>9</v>
      </c>
      <c r="E596" s="209">
        <v>5</v>
      </c>
      <c r="F596" s="209">
        <f>+E596*D596</f>
      </c>
      <c r="G596" s="209">
        <v>1</v>
      </c>
      <c r="H596" s="210">
        <f>+G596*F596</f>
      </c>
    </row>
    <row r="597" spans="1:8" ht="15.75" customHeight="1" x14ac:dyDescent="0.3">
      <c r="A597" s="207"/>
      <c r="B597" s="173"/>
      <c r="C597" s="164"/>
      <c r="D597" s="209"/>
      <c r="E597" s="209"/>
      <c r="F597" s="209"/>
      <c r="G597" s="209"/>
      <c r="H597" s="210"/>
    </row>
    <row r="598" spans="1:8" ht="15.75" customHeight="1" x14ac:dyDescent="0.3">
      <c r="A598" s="207"/>
      <c r="B598" s="173"/>
      <c r="C598" s="164"/>
      <c r="D598" s="209"/>
      <c r="E598" s="209"/>
      <c r="F598" s="209"/>
      <c r="G598" s="209"/>
      <c r="H598" s="210"/>
    </row>
    <row r="599" spans="1:8" ht="15.75" customHeight="1" x14ac:dyDescent="0.3">
      <c r="A599" s="207"/>
      <c r="B599" s="173"/>
      <c r="C599" s="164"/>
      <c r="D599" s="209"/>
      <c r="E599" s="209"/>
      <c r="F599" s="209"/>
      <c r="G599" s="209"/>
      <c r="H599" s="210"/>
    </row>
    <row r="600" spans="1:8" ht="15.75" customHeight="1" x14ac:dyDescent="0.3">
      <c r="A600" s="207"/>
      <c r="B600" s="173"/>
      <c r="C600" s="164"/>
      <c r="D600" s="209"/>
      <c r="E600" s="209"/>
      <c r="F600" s="209"/>
      <c r="G600" s="209"/>
      <c r="H600" s="210"/>
    </row>
    <row r="601" spans="1:8" ht="15.75" customHeight="1" x14ac:dyDescent="0.3">
      <c r="A601" s="177"/>
      <c r="B601" s="139"/>
      <c r="C601" s="136"/>
      <c r="D601" s="149"/>
      <c r="E601" s="149"/>
      <c r="F601" s="179"/>
      <c r="G601" s="181"/>
      <c r="H601" s="151"/>
    </row>
    <row r="602" spans="1:8" ht="15.75" customHeight="1" x14ac:dyDescent="0.3">
      <c r="A602" s="183"/>
      <c r="B602" s="184"/>
      <c r="C602" s="185" t="s">
        <v>85</v>
      </c>
      <c r="D602" s="186">
        <f>SUM(D594:D601)</f>
      </c>
      <c r="E602" s="186"/>
      <c r="F602" s="187">
        <f>SUM(F594:F601)</f>
      </c>
      <c r="G602" s="188"/>
      <c r="H602" s="189">
        <f>SUM(H594:H601)</f>
      </c>
    </row>
    <row r="603" spans="1:8" ht="15.75" customHeight="1" x14ac:dyDescent="0.3">
      <c r="A603" s="190"/>
      <c r="B603" s="191"/>
      <c r="C603" s="191"/>
      <c r="D603" s="192"/>
      <c r="E603" s="191"/>
      <c r="F603" s="193"/>
      <c r="G603" s="194"/>
      <c r="H603" s="195"/>
    </row>
    <row r="604" spans="1:8" ht="15.75" customHeight="1" x14ac:dyDescent="0.3">
      <c r="A604" s="196"/>
      <c r="B604" s="26"/>
      <c r="C604" s="26"/>
      <c r="D604" s="26"/>
      <c r="E604" s="25"/>
      <c r="F604" s="196"/>
      <c r="G604" s="25"/>
      <c r="H604" s="106"/>
    </row>
    <row r="605" spans="1:8" ht="15.75" customHeight="1" x14ac:dyDescent="0.3">
      <c r="A605" s="197"/>
      <c r="B605" s="197"/>
      <c r="C605" s="197"/>
      <c r="D605" s="198" t="s">
        <v>97</v>
      </c>
      <c r="E605" s="197" t="s">
        <v>98</v>
      </c>
      <c r="F605" s="197"/>
      <c r="G605" s="25"/>
      <c r="H605" s="106"/>
    </row>
    <row r="606" spans="1:8" ht="15.75" customHeight="1" x14ac:dyDescent="0.3">
      <c r="A606" s="25"/>
      <c r="B606" s="25"/>
      <c r="C606" s="25"/>
      <c r="D606" s="26"/>
      <c r="E606" s="25"/>
      <c r="F606" s="25"/>
      <c r="G606" s="25"/>
      <c r="H606" s="106"/>
    </row>
    <row r="607" spans="1:8" ht="15.75" customHeight="1" x14ac:dyDescent="0.3">
      <c r="A607" s="25"/>
      <c r="B607" s="25"/>
      <c r="C607" s="25"/>
      <c r="D607" s="26"/>
      <c r="E607" s="25"/>
      <c r="F607" s="25"/>
      <c r="G607" s="25"/>
      <c r="H607" s="106"/>
    </row>
    <row r="608" spans="1:8" ht="15.75" customHeight="1" x14ac:dyDescent="0.3">
      <c r="A608" s="197"/>
      <c r="B608" s="197"/>
      <c r="C608" s="197"/>
      <c r="D608" s="198"/>
      <c r="E608" s="197" t="s">
        <v>99</v>
      </c>
      <c r="F608" s="197"/>
      <c r="G608" s="25"/>
      <c r="H608" s="106"/>
    </row>
    <row r="609" spans="1:20" ht="15.75" customHeight="1" x14ac:dyDescent="0.25">
      <c r="D609" s="4"/>
      <c r="H609" s="4"/>
    </row>
    <row r="610" spans="1:20" ht="15.75" customHeight="1" x14ac:dyDescent="0.25">
      <c r="D610" s="4"/>
      <c r="H610" s="4"/>
    </row>
    <row r="611" spans="1:20" ht="15.75" customHeight="1" x14ac:dyDescent="0.25">
      <c r="D611" s="4"/>
      <c r="H611" s="4"/>
    </row>
    <row r="612" spans="1:20" ht="15.75" customHeight="1" x14ac:dyDescent="0.25">
      <c r="D612" s="4"/>
      <c r="H612" s="4"/>
    </row>
    <row r="613" spans="1:20" ht="15.75" customHeight="1" x14ac:dyDescent="0.25">
      <c r="D613" s="4"/>
      <c r="H613" s="4"/>
    </row>
    <row r="614" spans="1:20" ht="15.75" customHeight="1" x14ac:dyDescent="0.25">
      <c r="D614" s="4"/>
      <c r="H614" s="4"/>
    </row>
    <row r="615" spans="1:20" ht="15.75" customHeight="1" x14ac:dyDescent="0.25">
      <c r="D615" s="4"/>
      <c r="H615" s="4"/>
    </row>
    <row r="616" spans="1:20" ht="15.75" customHeight="1" x14ac:dyDescent="0.25">
      <c r="D616" s="4"/>
      <c r="H616" s="4"/>
    </row>
    <row r="617" spans="1:20" ht="15.75" customHeight="1" x14ac:dyDescent="0.25">
      <c r="D617" s="4"/>
      <c r="H617" s="4"/>
    </row>
    <row r="618" spans="1:20" ht="15.75" customHeight="1" x14ac:dyDescent="0.25">
      <c r="D618" s="4"/>
      <c r="H618" s="4"/>
    </row>
    <row r="619" spans="1:20" ht="15.75" customHeight="1" x14ac:dyDescent="0.25">
      <c r="D619" s="4"/>
      <c r="H619" s="4"/>
    </row>
    <row r="620" spans="1:20" ht="15.75" customHeight="1" x14ac:dyDescent="0.25">
      <c r="A620" s="14" t="s">
        <v>14</v>
      </c>
      <c r="B620" s="14"/>
      <c r="C620" s="14"/>
      <c r="D620" s="14"/>
      <c r="E620" s="14"/>
      <c r="F620" s="14"/>
      <c r="G620" s="14"/>
      <c r="H620" s="14"/>
    </row>
    <row r="621" spans="1:20" ht="15.75" customHeight="1" x14ac:dyDescent="0.3">
      <c r="D621" s="4"/>
      <c r="H621" s="8"/>
      <c r="I621" s="233"/>
      <c r="J621" s="233"/>
      <c r="K621" s="233"/>
      <c r="L621" s="233"/>
      <c r="M621" s="233"/>
      <c r="N621" s="233"/>
      <c r="O621" s="233"/>
      <c r="P621" s="233"/>
      <c r="Q621" s="233"/>
      <c r="R621" s="233"/>
      <c r="S621" s="233"/>
      <c r="T621" s="233"/>
    </row>
    <row r="622" spans="1:20" ht="15.75" customHeight="1" x14ac:dyDescent="0.3">
      <c r="A622" s="233"/>
      <c r="B622" s="233"/>
      <c r="C622" s="234"/>
      <c r="D622" s="235"/>
      <c r="E622" s="236"/>
      <c r="F622" s="236"/>
      <c r="G622" s="236"/>
      <c r="H622" s="237"/>
      <c r="I622" s="233"/>
      <c r="J622" s="233"/>
      <c r="K622" s="233"/>
      <c r="L622" s="233"/>
      <c r="M622" s="233"/>
      <c r="N622" s="233"/>
      <c r="O622" s="233"/>
      <c r="P622" s="233"/>
      <c r="Q622" s="233"/>
      <c r="R622" s="233"/>
      <c r="S622" s="233"/>
      <c r="T622" s="233"/>
    </row>
    <row r="623" spans="1:20" ht="15.75" customHeight="1" x14ac:dyDescent="0.3">
      <c r="A623" s="233"/>
      <c r="B623" s="233"/>
      <c r="C623" s="233"/>
      <c r="D623" s="234"/>
      <c r="E623" s="233"/>
      <c r="F623" s="238" t="s">
        <v>18</v>
      </c>
      <c r="G623" s="239" t="s">
        <v>555</v>
      </c>
      <c r="H623" s="240"/>
      <c r="I623" s="233"/>
      <c r="J623" s="233"/>
      <c r="K623" s="233"/>
      <c r="L623" s="233"/>
      <c r="M623" s="233"/>
      <c r="N623" s="233"/>
      <c r="O623" s="233"/>
      <c r="P623" s="233"/>
      <c r="Q623" s="233"/>
      <c r="R623" s="233"/>
      <c r="S623" s="233"/>
      <c r="T623" s="233"/>
    </row>
    <row r="624" spans="1:20" ht="15.75" customHeight="1" x14ac:dyDescent="0.3">
      <c r="A624" s="233" t="s">
        <v>20</v>
      </c>
      <c r="B624" s="233"/>
      <c r="C624" s="233"/>
      <c r="D624" s="234"/>
      <c r="E624" s="233"/>
      <c r="F624" s="238" t="s">
        <v>21</v>
      </c>
      <c r="G624" s="233" t="s">
        <v>636</v>
      </c>
      <c r="H624" s="234"/>
      <c r="I624" s="233"/>
      <c r="J624" s="233"/>
      <c r="K624" s="233"/>
      <c r="L624" s="233"/>
      <c r="M624" s="233"/>
      <c r="N624" s="233"/>
      <c r="O624" s="233"/>
      <c r="P624" s="233"/>
      <c r="Q624" s="233"/>
      <c r="R624" s="233"/>
      <c r="S624" s="233"/>
      <c r="T624" s="233"/>
    </row>
    <row r="625" spans="1:20" ht="15.75" customHeight="1" x14ac:dyDescent="0.3">
      <c r="A625" s="233" t="inlineStr">
        <is>
          <t>Dealer-002</t>
        </is>
      </c>
      <c r="B625" s="233"/>
      <c r="C625" s="233"/>
      <c r="D625" s="234"/>
      <c r="E625" s="238"/>
      <c r="F625" s="233"/>
      <c r="G625" s="233"/>
      <c r="H625" s="237"/>
      <c r="I625" s="233"/>
      <c r="J625" s="233"/>
      <c r="K625" s="233"/>
      <c r="L625" s="233"/>
      <c r="M625" s="233"/>
      <c r="N625" s="233"/>
      <c r="O625" s="233"/>
      <c r="P625" s="233"/>
      <c r="Q625" s="233"/>
      <c r="R625" s="233"/>
      <c r="S625" s="233"/>
      <c r="T625" s="233"/>
    </row>
    <row r="626" spans="1:20" ht="15.75" customHeight="1" x14ac:dyDescent="0.3">
      <c r="A626" s="233" t="inlineStr">
        <is>
          <t>Address line (redacted)</t>
        </is>
      </c>
      <c r="B626" s="233"/>
      <c r="C626" s="233"/>
      <c r="D626" s="241"/>
      <c r="E626" s="233"/>
      <c r="F626" s="234"/>
      <c r="G626" s="233"/>
      <c r="H626" s="237"/>
      <c r="I626" s="233"/>
      <c r="J626" s="233"/>
      <c r="K626" s="233"/>
      <c r="L626" s="233"/>
      <c r="M626" s="233"/>
      <c r="N626" s="233"/>
      <c r="O626" s="233"/>
      <c r="P626" s="233"/>
      <c r="Q626" s="233"/>
      <c r="R626" s="233"/>
      <c r="S626" s="233"/>
      <c r="T626" s="233"/>
    </row>
    <row r="627" spans="1:20" ht="15.75" customHeight="1" x14ac:dyDescent="0.3">
      <c r="A627" s="233" t="inlineStr">
        <is>
          <t>Address line (redacted)</t>
        </is>
      </c>
      <c r="B627" s="233"/>
      <c r="C627" s="233"/>
      <c r="D627" s="241"/>
      <c r="E627" s="233"/>
      <c r="F627" s="234"/>
      <c r="G627" s="233"/>
      <c r="H627" s="237"/>
      <c r="I627" s="233"/>
      <c r="J627" s="233"/>
      <c r="K627" s="233"/>
      <c r="L627" s="233"/>
      <c r="M627" s="233"/>
      <c r="N627" s="233"/>
      <c r="O627" s="233"/>
      <c r="P627" s="233"/>
      <c r="Q627" s="233"/>
      <c r="R627" s="233"/>
      <c r="S627" s="233"/>
      <c r="T627" s="233"/>
    </row>
    <row r="628" spans="1:20" ht="15.75" customHeight="1" x14ac:dyDescent="0.3">
      <c r="A628" s="242"/>
      <c r="B628" s="233"/>
      <c r="C628" s="233"/>
      <c r="D628" s="234"/>
      <c r="E628" s="233"/>
      <c r="F628" s="234"/>
      <c r="G628" s="233"/>
      <c r="H628" s="237"/>
      <c r="I628" s="233"/>
      <c r="J628" s="233"/>
      <c r="K628" s="233"/>
      <c r="L628" s="233"/>
      <c r="M628" s="233"/>
      <c r="N628" s="233"/>
      <c r="O628" s="233"/>
      <c r="P628" s="233"/>
      <c r="Q628" s="233"/>
      <c r="R628" s="233"/>
      <c r="S628" s="233"/>
      <c r="T628" s="233"/>
    </row>
    <row r="629" spans="1:20" ht="15.75" customHeight="1" x14ac:dyDescent="0.3">
      <c r="A629" s="233" t="s">
        <v>30</v>
      </c>
      <c r="B629" s="233"/>
      <c r="C629" s="233"/>
      <c r="D629" s="234"/>
      <c r="E629" s="233"/>
      <c r="F629" s="234"/>
      <c r="G629" s="233"/>
      <c r="H629" s="237"/>
      <c r="I629" s="233"/>
      <c r="J629" s="233"/>
      <c r="K629" s="233"/>
      <c r="L629" s="233"/>
      <c r="M629" s="233"/>
      <c r="N629" s="233"/>
      <c r="O629" s="233"/>
      <c r="P629" s="233"/>
      <c r="Q629" s="233"/>
      <c r="R629" s="233"/>
      <c r="S629" s="233"/>
      <c r="T629" s="233"/>
    </row>
    <row r="630" spans="1:20" ht="15.75" customHeight="1" x14ac:dyDescent="0.3">
      <c r="A630" s="233"/>
      <c r="B630" s="233"/>
      <c r="C630" s="233"/>
      <c r="D630" s="234"/>
      <c r="E630" s="233"/>
      <c r="F630" s="234"/>
      <c r="G630" s="233"/>
      <c r="H630" s="237"/>
      <c r="I630" s="233"/>
      <c r="J630" s="233"/>
      <c r="K630" s="233"/>
      <c r="L630" s="233"/>
      <c r="M630" s="233"/>
      <c r="N630" s="233"/>
      <c r="O630" s="233"/>
      <c r="P630" s="233"/>
      <c r="Q630" s="233"/>
      <c r="R630" s="233"/>
      <c r="S630" s="233"/>
      <c r="T630" s="233"/>
    </row>
    <row r="631" spans="1:20" ht="15.75" customHeight="1" x14ac:dyDescent="0.3">
      <c r="A631" s="233" t="s">
        <v>31</v>
      </c>
      <c r="B631" s="233"/>
      <c r="C631" s="233"/>
      <c r="D631" s="234"/>
      <c r="E631" s="233"/>
      <c r="F631" s="234"/>
      <c r="G631" s="233"/>
      <c r="H631" s="237"/>
      <c r="I631" s="233"/>
      <c r="J631" s="233"/>
      <c r="K631" s="233"/>
      <c r="L631" s="233"/>
      <c r="M631" s="233"/>
      <c r="N631" s="233"/>
      <c r="O631" s="233"/>
      <c r="P631" s="233"/>
      <c r="Q631" s="233"/>
      <c r="R631" s="233"/>
      <c r="S631" s="233"/>
      <c r="T631" s="233"/>
    </row>
    <row r="632" spans="1:20" ht="15.75" customHeight="1" x14ac:dyDescent="0.3">
      <c r="A632" s="233" t="s">
        <v>32</v>
      </c>
      <c r="B632" s="233"/>
      <c r="C632" s="233"/>
      <c r="D632" s="234"/>
      <c r="E632" s="233"/>
      <c r="F632" s="234"/>
      <c r="G632" s="233"/>
      <c r="H632" s="237"/>
      <c r="I632" s="233"/>
      <c r="J632" s="233"/>
      <c r="K632" s="233"/>
      <c r="L632" s="233"/>
      <c r="M632" s="233"/>
      <c r="N632" s="233"/>
      <c r="O632" s="233"/>
      <c r="P632" s="233"/>
      <c r="Q632" s="233"/>
      <c r="R632" s="233"/>
      <c r="S632" s="233"/>
      <c r="T632" s="233"/>
    </row>
    <row r="633" spans="1:20" ht="15.75" customHeight="1" x14ac:dyDescent="0.3">
      <c r="A633" s="233"/>
      <c r="B633" s="233"/>
      <c r="C633" s="233"/>
      <c r="D633" s="234"/>
      <c r="E633" s="233"/>
      <c r="F633" s="234"/>
      <c r="G633" s="233"/>
      <c r="H633" s="237"/>
      <c r="I633" s="233"/>
      <c r="J633" s="233"/>
      <c r="K633" s="233"/>
      <c r="L633" s="233"/>
      <c r="M633" s="233"/>
      <c r="N633" s="233"/>
      <c r="O633" s="233"/>
      <c r="P633" s="233"/>
      <c r="Q633" s="233"/>
      <c r="R633" s="233"/>
      <c r="S633" s="233"/>
      <c r="T633" s="233"/>
    </row>
    <row r="634" spans="1:20" ht="15.75" customHeight="1" x14ac:dyDescent="0.3">
      <c r="A634" s="243" t="s">
        <v>33</v>
      </c>
      <c r="B634" s="244" t="s">
        <v>6</v>
      </c>
      <c r="C634" s="244"/>
      <c r="D634" s="245" t="s">
        <v>37</v>
      </c>
      <c r="E634" s="246" t="s">
        <v>38</v>
      </c>
      <c r="F634" s="247" t="s">
        <v>7</v>
      </c>
      <c r="G634" s="248" t="s">
        <v>43</v>
      </c>
      <c r="H634" s="249" t="s">
        <v>44</v>
      </c>
      <c r="I634" s="233"/>
      <c r="J634" s="233"/>
      <c r="K634" s="233"/>
      <c r="L634" s="233"/>
      <c r="M634" s="233"/>
      <c r="N634" s="233"/>
      <c r="O634" s="233"/>
      <c r="P634" s="233"/>
      <c r="Q634" s="233"/>
      <c r="R634" s="233"/>
      <c r="S634" s="233"/>
      <c r="T634" s="233"/>
    </row>
    <row r="635" spans="1:20" ht="15.75" customHeight="1" x14ac:dyDescent="0.3">
      <c r="A635" s="250"/>
      <c r="B635" s="251"/>
      <c r="C635" s="236"/>
      <c r="D635" s="252"/>
      <c r="E635" s="252"/>
      <c r="F635" s="253"/>
      <c r="G635" s="254"/>
      <c r="H635" s="255"/>
      <c r="I635" s="233"/>
      <c r="J635" s="233"/>
      <c r="K635" s="233"/>
      <c r="L635" s="233"/>
      <c r="M635" s="233"/>
      <c r="N635" s="233"/>
      <c r="O635" s="233"/>
      <c r="P635" s="233"/>
      <c r="Q635" s="233"/>
      <c r="R635" s="233"/>
      <c r="S635" s="233"/>
      <c r="T635" s="233"/>
    </row>
    <row r="636" spans="1:20" ht="15.75" customHeight="1" x14ac:dyDescent="0.3">
      <c r="A636" s="256"/>
      <c r="B636" s="257" t="s">
        <v>50</v>
      </c>
      <c r="C636" s="258"/>
      <c r="D636" s="259"/>
      <c r="E636" s="259"/>
      <c r="F636" s="234"/>
      <c r="G636" s="259"/>
      <c r="H636" s="260"/>
      <c r="I636" s="233"/>
      <c r="J636" s="233"/>
      <c r="K636" s="233"/>
      <c r="L636" s="233"/>
      <c r="M636" s="233"/>
      <c r="N636" s="233"/>
      <c r="O636" s="233"/>
      <c r="P636" s="233"/>
      <c r="Q636" s="233"/>
      <c r="R636" s="233"/>
      <c r="S636" s="233"/>
      <c r="T636" s="233"/>
    </row>
    <row r="637" spans="1:20" ht="15.75" customHeight="1" x14ac:dyDescent="0.3">
      <c r="A637" s="256" t="s">
        <v>55</v>
      </c>
      <c r="B637" s="261" t="s">
        <v>108</v>
      </c>
      <c r="C637" s="233" t="s">
        <v>109</v>
      </c>
      <c r="D637" s="259">
        <v>8</v>
      </c>
      <c r="E637" s="259">
        <v>25</v>
      </c>
      <c r="F637" s="234">
        <f t="shared" ref="F637:F640" si="10">+E637*D637</f>
      </c>
      <c r="G637" s="259">
        <v>1</v>
      </c>
      <c r="H637" s="260">
        <f t="shared" ref="H637:H640" si="11">+G637*F637</f>
      </c>
      <c r="I637" s="233"/>
      <c r="J637" s="233"/>
      <c r="K637" s="233"/>
      <c r="L637" s="233"/>
      <c r="M637" s="233"/>
      <c r="N637" s="233"/>
      <c r="O637" s="233"/>
      <c r="P637" s="233"/>
      <c r="Q637" s="233"/>
      <c r="R637" s="233"/>
      <c r="S637" s="233"/>
      <c r="T637" s="233"/>
    </row>
    <row r="638" spans="1:20" ht="15.75" customHeight="1" x14ac:dyDescent="0.3">
      <c r="A638" s="256" t="s">
        <v>59</v>
      </c>
      <c r="B638" s="261" t="s">
        <v>56</v>
      </c>
      <c r="C638" s="233" t="s">
        <v>57</v>
      </c>
      <c r="D638" s="259">
        <v>4</v>
      </c>
      <c r="E638" s="259">
        <v>25</v>
      </c>
      <c r="F638" s="234">
        <f t="shared" si="10"/>
      </c>
      <c r="G638" s="259">
        <v>1</v>
      </c>
      <c r="H638" s="260">
        <f t="shared" si="11"/>
      </c>
      <c r="I638" s="233"/>
      <c r="J638" s="233"/>
      <c r="K638" s="233"/>
      <c r="L638" s="233"/>
      <c r="M638" s="233"/>
      <c r="N638" s="233"/>
      <c r="O638" s="233"/>
      <c r="P638" s="233"/>
      <c r="Q638" s="233"/>
      <c r="R638" s="233"/>
      <c r="S638" s="233"/>
      <c r="T638" s="233"/>
    </row>
    <row r="639" spans="1:20" ht="15.75" customHeight="1" x14ac:dyDescent="0.3">
      <c r="A639" s="256" t="s">
        <v>67</v>
      </c>
      <c r="B639" s="261" t="s">
        <v>649</v>
      </c>
      <c r="C639" s="233" t="s">
        <v>433</v>
      </c>
      <c r="D639" s="259">
        <v>1</v>
      </c>
      <c r="E639" s="259">
        <v>25</v>
      </c>
      <c r="F639" s="234">
        <f t="shared" si="10"/>
      </c>
      <c r="G639" s="259">
        <v>1</v>
      </c>
      <c r="H639" s="260">
        <f t="shared" si="11"/>
      </c>
      <c r="I639" s="233"/>
      <c r="J639" s="233"/>
      <c r="K639" s="233"/>
      <c r="L639" s="233"/>
      <c r="M639" s="233"/>
      <c r="N639" s="233"/>
      <c r="O639" s="233"/>
      <c r="P639" s="233"/>
      <c r="Q639" s="233"/>
      <c r="R639" s="233"/>
      <c r="S639" s="233"/>
      <c r="T639" s="233"/>
    </row>
    <row r="640" spans="1:20" ht="15.75" customHeight="1" x14ac:dyDescent="0.3">
      <c r="A640" s="256" t="s">
        <v>485</v>
      </c>
      <c r="B640" s="261" t="s">
        <v>651</v>
      </c>
      <c r="C640" s="233" t="s">
        <v>432</v>
      </c>
      <c r="D640" s="259">
        <v>1</v>
      </c>
      <c r="E640" s="259">
        <v>25</v>
      </c>
      <c r="F640" s="234">
        <f t="shared" si="10"/>
      </c>
      <c r="G640" s="259">
        <v>1</v>
      </c>
      <c r="H640" s="260">
        <f t="shared" si="11"/>
      </c>
      <c r="I640" s="233"/>
      <c r="J640" s="233"/>
      <c r="K640" s="233"/>
      <c r="L640" s="233"/>
      <c r="M640" s="233"/>
      <c r="N640" s="233"/>
      <c r="O640" s="233"/>
      <c r="P640" s="233"/>
      <c r="Q640" s="233"/>
      <c r="R640" s="233"/>
      <c r="S640" s="233"/>
      <c r="T640" s="233"/>
    </row>
    <row r="641" spans="1:20" ht="15.75" customHeight="1" x14ac:dyDescent="0.3">
      <c r="A641" s="256"/>
      <c r="B641" s="261"/>
      <c r="C641" s="233"/>
      <c r="D641" s="259"/>
      <c r="E641" s="259"/>
      <c r="F641" s="234"/>
      <c r="G641" s="259"/>
      <c r="H641" s="260"/>
      <c r="I641" s="233"/>
      <c r="J641" s="233"/>
      <c r="K641" s="233"/>
      <c r="L641" s="233"/>
      <c r="M641" s="233"/>
      <c r="N641" s="233"/>
      <c r="O641" s="233"/>
      <c r="P641" s="233"/>
      <c r="Q641" s="233"/>
      <c r="R641" s="233"/>
      <c r="S641" s="233"/>
      <c r="T641" s="233"/>
    </row>
    <row r="642" spans="1:20" ht="15.75" customHeight="1" x14ac:dyDescent="0.3">
      <c r="A642" s="256"/>
      <c r="B642" s="257" t="s">
        <v>573</v>
      </c>
      <c r="C642" s="258"/>
      <c r="D642" s="259"/>
      <c r="E642" s="259"/>
      <c r="F642" s="234"/>
      <c r="G642" s="259"/>
      <c r="H642" s="260"/>
      <c r="I642" s="233"/>
      <c r="J642" s="233"/>
      <c r="K642" s="233"/>
      <c r="L642" s="233"/>
      <c r="M642" s="233"/>
      <c r="N642" s="233"/>
      <c r="O642" s="233"/>
      <c r="P642" s="233"/>
      <c r="Q642" s="233"/>
      <c r="R642" s="233"/>
      <c r="S642" s="233"/>
      <c r="T642" s="233"/>
    </row>
    <row r="643" spans="1:20" ht="15.75" customHeight="1" x14ac:dyDescent="0.3">
      <c r="A643" s="256" t="s">
        <v>486</v>
      </c>
      <c r="B643" s="261" t="s">
        <v>3</v>
      </c>
      <c r="C643" s="262" t="s">
        <v>4</v>
      </c>
      <c r="D643" s="259">
        <v>2</v>
      </c>
      <c r="E643" s="259">
        <v>5</v>
      </c>
      <c r="F643" s="234">
        <f t="shared" ref="F643:F644" si="12">+E643*D643</f>
      </c>
      <c r="G643" s="259">
        <v>1</v>
      </c>
      <c r="H643" s="260">
        <f t="shared" ref="H643:H644" si="13">+G643*F643</f>
      </c>
      <c r="I643" s="233"/>
      <c r="J643" s="233"/>
      <c r="K643" s="233"/>
      <c r="L643" s="233"/>
      <c r="M643" s="233"/>
      <c r="N643" s="233"/>
      <c r="O643" s="233"/>
      <c r="P643" s="233"/>
      <c r="Q643" s="233"/>
      <c r="R643" s="233"/>
      <c r="S643" s="233"/>
      <c r="T643" s="233"/>
    </row>
    <row r="644" spans="1:20" ht="15.75" customHeight="1" x14ac:dyDescent="0.3">
      <c r="A644" s="256" t="s">
        <v>489</v>
      </c>
      <c r="B644" s="261" t="s">
        <v>655</v>
      </c>
      <c r="C644" s="262" t="s">
        <v>94</v>
      </c>
      <c r="D644" s="259">
        <v>1</v>
      </c>
      <c r="E644" s="259">
        <v>5</v>
      </c>
      <c r="F644" s="234">
        <f t="shared" si="12"/>
      </c>
      <c r="G644" s="259">
        <v>1</v>
      </c>
      <c r="H644" s="260">
        <f t="shared" si="13"/>
      </c>
      <c r="I644" s="233"/>
      <c r="J644" s="233"/>
      <c r="K644" s="233"/>
      <c r="L644" s="233"/>
      <c r="M644" s="233"/>
      <c r="N644" s="233"/>
      <c r="O644" s="233"/>
      <c r="P644" s="233"/>
      <c r="Q644" s="233"/>
      <c r="R644" s="233"/>
      <c r="S644" s="233"/>
      <c r="T644" s="233"/>
    </row>
    <row r="645" spans="1:20" ht="15.75" customHeight="1" x14ac:dyDescent="0.3">
      <c r="A645" s="256"/>
      <c r="B645" s="257"/>
      <c r="C645" s="263"/>
      <c r="D645" s="259"/>
      <c r="E645" s="259"/>
      <c r="F645" s="234"/>
      <c r="G645" s="259"/>
      <c r="H645" s="260"/>
      <c r="I645" s="233"/>
      <c r="J645" s="233"/>
      <c r="K645" s="233"/>
      <c r="L645" s="233"/>
      <c r="M645" s="233"/>
      <c r="N645" s="233"/>
      <c r="O645" s="233"/>
      <c r="P645" s="233"/>
      <c r="Q645" s="233"/>
      <c r="R645" s="233"/>
      <c r="S645" s="233"/>
      <c r="T645" s="233"/>
    </row>
    <row r="646" spans="1:20" ht="15.75" customHeight="1" x14ac:dyDescent="0.3">
      <c r="A646" s="256"/>
      <c r="B646" s="261"/>
      <c r="C646" s="233"/>
      <c r="D646" s="259"/>
      <c r="E646" s="259"/>
      <c r="F646" s="234"/>
      <c r="G646" s="259"/>
      <c r="H646" s="260"/>
      <c r="I646" s="233"/>
      <c r="J646" s="233"/>
      <c r="K646" s="233"/>
      <c r="L646" s="233"/>
      <c r="M646" s="233"/>
      <c r="N646" s="233"/>
      <c r="O646" s="233"/>
      <c r="P646" s="233"/>
      <c r="Q646" s="233"/>
      <c r="R646" s="233"/>
      <c r="S646" s="233"/>
      <c r="T646" s="233"/>
    </row>
    <row r="647" spans="1:20" ht="15.75" customHeight="1" x14ac:dyDescent="0.3">
      <c r="A647" s="256"/>
      <c r="B647" s="264"/>
      <c r="C647" s="233"/>
      <c r="D647" s="259"/>
      <c r="E647" s="259"/>
      <c r="F647" s="234"/>
      <c r="G647" s="259"/>
      <c r="H647" s="260"/>
      <c r="I647" s="233"/>
      <c r="J647" s="233"/>
      <c r="K647" s="233"/>
      <c r="L647" s="233"/>
      <c r="M647" s="233"/>
      <c r="N647" s="233"/>
      <c r="O647" s="233"/>
      <c r="P647" s="233"/>
      <c r="Q647" s="233"/>
      <c r="R647" s="233"/>
      <c r="S647" s="233"/>
      <c r="T647" s="233"/>
    </row>
    <row r="648" spans="1:20" ht="15.75" customHeight="1" x14ac:dyDescent="0.3">
      <c r="A648" s="265"/>
      <c r="B648" s="253"/>
      <c r="C648" s="236"/>
      <c r="D648" s="259"/>
      <c r="E648" s="259"/>
      <c r="F648" s="266"/>
      <c r="G648" s="267"/>
      <c r="H648" s="260"/>
      <c r="I648" s="233"/>
      <c r="J648" s="233"/>
      <c r="K648" s="233"/>
      <c r="L648" s="233"/>
      <c r="M648" s="233"/>
      <c r="N648" s="233"/>
      <c r="O648" s="233"/>
      <c r="P648" s="233"/>
      <c r="Q648" s="233"/>
      <c r="R648" s="233"/>
      <c r="S648" s="233"/>
      <c r="T648" s="233"/>
    </row>
    <row r="649" spans="1:20" ht="15.75" customHeight="1" x14ac:dyDescent="0.3">
      <c r="A649" s="268"/>
      <c r="B649" s="269"/>
      <c r="C649" s="270" t="s">
        <v>85</v>
      </c>
      <c r="D649" s="271">
        <f>SUM(D637:D648)</f>
      </c>
      <c r="E649" s="271"/>
      <c r="F649" s="272">
        <f>SUM(F636:F648)</f>
      </c>
      <c r="G649" s="273"/>
      <c r="H649" s="274">
        <f>SUM(H637:H648)</f>
      </c>
      <c r="I649" s="233"/>
      <c r="J649" s="233"/>
      <c r="K649" s="233"/>
      <c r="L649" s="233"/>
      <c r="M649" s="233"/>
      <c r="N649" s="233"/>
      <c r="O649" s="233"/>
      <c r="P649" s="233"/>
      <c r="Q649" s="233"/>
      <c r="R649" s="233"/>
      <c r="S649" s="233"/>
      <c r="T649" s="233"/>
    </row>
    <row r="650" spans="1:20" ht="15.75" customHeight="1" x14ac:dyDescent="0.3">
      <c r="A650" s="275"/>
      <c r="B650" s="276"/>
      <c r="C650" s="276"/>
      <c r="D650" s="277"/>
      <c r="E650" s="276"/>
      <c r="F650" s="278"/>
      <c r="G650" s="279"/>
      <c r="H650" s="280"/>
      <c r="I650" s="233"/>
      <c r="J650" s="233"/>
      <c r="K650" s="233"/>
      <c r="L650" s="233"/>
      <c r="M650" s="233"/>
      <c r="N650" s="233"/>
      <c r="O650" s="233"/>
      <c r="P650" s="233"/>
      <c r="Q650" s="233"/>
      <c r="R650" s="233"/>
      <c r="S650" s="233"/>
      <c r="T650" s="233"/>
    </row>
    <row r="651" spans="1:20" ht="15.75" customHeight="1" x14ac:dyDescent="0.3">
      <c r="A651" s="235"/>
      <c r="B651" s="234"/>
      <c r="C651" s="234"/>
      <c r="D651" s="234"/>
      <c r="E651" s="233"/>
      <c r="F651" s="235"/>
      <c r="G651" s="233"/>
      <c r="H651" s="237"/>
      <c r="I651" s="233"/>
      <c r="J651" s="233"/>
      <c r="K651" s="233"/>
      <c r="L651" s="233"/>
      <c r="M651" s="233"/>
      <c r="N651" s="233"/>
      <c r="O651" s="233"/>
      <c r="P651" s="233"/>
      <c r="Q651" s="233"/>
      <c r="R651" s="233"/>
      <c r="S651" s="233"/>
      <c r="T651" s="233"/>
    </row>
    <row r="652" spans="1:20" ht="15.75" customHeight="1" x14ac:dyDescent="0.3">
      <c r="A652" s="281"/>
      <c r="B652" s="281"/>
      <c r="C652" s="281"/>
      <c r="D652" s="282" t="s">
        <v>97</v>
      </c>
      <c r="E652" s="281" t="s">
        <v>98</v>
      </c>
      <c r="F652" s="281"/>
      <c r="G652" s="233"/>
      <c r="H652" s="237"/>
      <c r="I652" s="233"/>
      <c r="J652" s="233"/>
      <c r="K652" s="233"/>
      <c r="L652" s="233"/>
      <c r="M652" s="233"/>
      <c r="N652" s="233"/>
      <c r="O652" s="233"/>
      <c r="P652" s="233"/>
      <c r="Q652" s="233"/>
      <c r="R652" s="233"/>
      <c r="S652" s="233"/>
      <c r="T652" s="233"/>
    </row>
    <row r="653" spans="1:20" ht="15.75" customHeight="1" x14ac:dyDescent="0.3">
      <c r="A653" s="233"/>
      <c r="B653" s="233"/>
      <c r="C653" s="233"/>
      <c r="D653" s="234"/>
      <c r="E653" s="233"/>
      <c r="F653" s="233"/>
      <c r="G653" s="233"/>
      <c r="H653" s="237"/>
      <c r="I653" s="233"/>
      <c r="J653" s="233"/>
      <c r="K653" s="233"/>
      <c r="L653" s="233"/>
      <c r="M653" s="233"/>
      <c r="N653" s="233"/>
      <c r="O653" s="233"/>
      <c r="P653" s="233"/>
      <c r="Q653" s="233"/>
      <c r="R653" s="233"/>
      <c r="S653" s="233"/>
      <c r="T653" s="233"/>
    </row>
    <row r="654" spans="1:20" ht="15.75" customHeight="1" x14ac:dyDescent="0.3">
      <c r="A654" s="233"/>
      <c r="B654" s="233"/>
      <c r="C654" s="233"/>
      <c r="D654" s="234"/>
      <c r="E654" s="233"/>
      <c r="F654" s="233"/>
      <c r="G654" s="233"/>
      <c r="H654" s="237"/>
      <c r="I654" s="233"/>
      <c r="J654" s="233"/>
      <c r="K654" s="233"/>
      <c r="L654" s="233"/>
      <c r="M654" s="233"/>
      <c r="N654" s="233"/>
      <c r="O654" s="233"/>
      <c r="P654" s="233"/>
      <c r="Q654" s="233"/>
      <c r="R654" s="233"/>
      <c r="S654" s="233"/>
      <c r="T654" s="233"/>
    </row>
    <row r="655" spans="1:20" ht="15.75" customHeight="1" x14ac:dyDescent="0.3">
      <c r="A655" s="281"/>
      <c r="B655" s="281"/>
      <c r="C655" s="281"/>
      <c r="D655" s="282"/>
      <c r="E655" s="281" t="s">
        <v>99</v>
      </c>
      <c r="F655" s="281"/>
      <c r="G655" s="233"/>
      <c r="H655" s="237"/>
    </row>
    <row r="656" spans="1:20" ht="15.75" customHeight="1" x14ac:dyDescent="0.25">
      <c r="D656" s="4"/>
      <c r="H656" s="4"/>
    </row>
    <row r="657" spans="1:8" ht="15.75" customHeight="1" x14ac:dyDescent="0.25">
      <c r="D657" s="4"/>
      <c r="H657" s="4"/>
    </row>
    <row r="658" spans="1:8" ht="15.75" customHeight="1" x14ac:dyDescent="0.25">
      <c r="D658" s="4"/>
      <c r="H658" s="4"/>
    </row>
    <row r="659" spans="1:8" ht="15.75" customHeight="1" x14ac:dyDescent="0.25">
      <c r="D659" s="4"/>
      <c r="H659" s="4"/>
    </row>
    <row r="660" spans="1:8" ht="15.75" customHeight="1" x14ac:dyDescent="0.25">
      <c r="D660" s="4"/>
      <c r="H660" s="4"/>
    </row>
    <row r="661" spans="1:8" ht="15.75" customHeight="1" x14ac:dyDescent="0.25">
      <c r="D661" s="4"/>
      <c r="H661" s="4"/>
    </row>
    <row r="662" spans="1:8" ht="15.75" customHeight="1" x14ac:dyDescent="0.25">
      <c r="D662" s="4"/>
      <c r="H662" s="4"/>
    </row>
    <row r="663" spans="1:8" ht="15.75" customHeight="1" x14ac:dyDescent="0.25">
      <c r="D663" s="4"/>
      <c r="H663" s="4"/>
    </row>
    <row r="664" spans="1:8" ht="15.75" customHeight="1" x14ac:dyDescent="0.25">
      <c r="D664" s="4"/>
      <c r="H664" s="4"/>
    </row>
    <row r="665" spans="1:8" ht="15.75" customHeight="1" x14ac:dyDescent="0.25">
      <c r="D665" s="4"/>
      <c r="H665" s="4"/>
    </row>
    <row r="666" spans="1:8" ht="15.75" customHeight="1" x14ac:dyDescent="0.25">
      <c r="D666" s="4"/>
      <c r="H666" s="4"/>
    </row>
    <row r="667" spans="1:8" ht="15.75" customHeight="1" x14ac:dyDescent="0.25">
      <c r="A667" s="14" t="s">
        <v>14</v>
      </c>
      <c r="B667" s="14"/>
      <c r="C667" s="14"/>
      <c r="D667" s="14"/>
      <c r="E667" s="14"/>
      <c r="F667" s="14"/>
      <c r="G667" s="14"/>
      <c r="H667" s="14"/>
    </row>
    <row r="668" spans="1:8" ht="15.75" customHeight="1" x14ac:dyDescent="0.25">
      <c r="D668" s="4"/>
      <c r="H668" s="8"/>
    </row>
    <row r="669" spans="1:8" ht="15.75" customHeight="1" x14ac:dyDescent="0.3">
      <c r="A669" s="233"/>
      <c r="B669" s="233"/>
      <c r="C669" s="234"/>
      <c r="D669" s="235"/>
      <c r="E669" s="236"/>
      <c r="F669" s="236"/>
      <c r="G669" s="236"/>
      <c r="H669" s="237"/>
    </row>
    <row r="670" spans="1:8" ht="15.75" customHeight="1" x14ac:dyDescent="0.3">
      <c r="A670" s="233"/>
      <c r="B670" s="233"/>
      <c r="C670" s="233"/>
      <c r="D670" s="234"/>
      <c r="E670" s="233"/>
      <c r="F670" s="238" t="s">
        <v>18</v>
      </c>
      <c r="G670" s="239" t="s">
        <v>497</v>
      </c>
      <c r="H670" s="240"/>
    </row>
    <row r="671" spans="1:8" ht="15.75" customHeight="1" x14ac:dyDescent="0.3">
      <c r="A671" s="233" t="s">
        <v>20</v>
      </c>
      <c r="B671" s="233"/>
      <c r="C671" s="233"/>
      <c r="D671" s="234"/>
      <c r="E671" s="233"/>
      <c r="F671" s="238" t="s">
        <v>21</v>
      </c>
      <c r="G671" s="233" t="s">
        <v>670</v>
      </c>
      <c r="H671" s="234"/>
    </row>
    <row r="672" spans="1:8" ht="15.75" customHeight="1" x14ac:dyDescent="0.3">
      <c r="A672" s="233" t="inlineStr">
        <is>
          <t>Dealer-002</t>
        </is>
      </c>
      <c r="B672" s="233"/>
      <c r="C672" s="233"/>
      <c r="D672" s="234"/>
      <c r="E672" s="238"/>
      <c r="F672" s="233"/>
      <c r="G672" s="233"/>
      <c r="H672" s="237"/>
    </row>
    <row r="673" spans="1:8" ht="15.75" customHeight="1" x14ac:dyDescent="0.3">
      <c r="A673" s="233" t="inlineStr">
        <is>
          <t>Address line (redacted)</t>
        </is>
      </c>
      <c r="B673" s="233"/>
      <c r="C673" s="233"/>
      <c r="D673" s="241"/>
      <c r="E673" s="233"/>
      <c r="F673" s="234"/>
      <c r="G673" s="233"/>
      <c r="H673" s="237"/>
    </row>
    <row r="674" spans="1:8" ht="15.75" customHeight="1" x14ac:dyDescent="0.3">
      <c r="A674" s="233" t="inlineStr">
        <is>
          <t>Address line (redacted)</t>
        </is>
      </c>
      <c r="B674" s="233"/>
      <c r="C674" s="233"/>
      <c r="D674" s="241"/>
      <c r="E674" s="233"/>
      <c r="F674" s="234"/>
      <c r="G674" s="233"/>
      <c r="H674" s="237"/>
    </row>
    <row r="675" spans="1:8" ht="15.75" customHeight="1" x14ac:dyDescent="0.3">
      <c r="A675" s="242"/>
      <c r="B675" s="233"/>
      <c r="C675" s="233"/>
      <c r="D675" s="234"/>
      <c r="E675" s="233"/>
      <c r="F675" s="234"/>
      <c r="G675" s="233"/>
      <c r="H675" s="237"/>
    </row>
    <row r="676" spans="1:8" ht="15.75" customHeight="1" x14ac:dyDescent="0.3">
      <c r="A676" s="233" t="s">
        <v>30</v>
      </c>
      <c r="B676" s="233"/>
      <c r="C676" s="233"/>
      <c r="D676" s="234"/>
      <c r="E676" s="233"/>
      <c r="F676" s="234"/>
      <c r="G676" s="233"/>
      <c r="H676" s="237"/>
    </row>
    <row r="677" spans="1:8" ht="15.75" customHeight="1" x14ac:dyDescent="0.3">
      <c r="A677" s="233"/>
      <c r="B677" s="233"/>
      <c r="C677" s="233"/>
      <c r="D677" s="234"/>
      <c r="E677" s="233"/>
      <c r="F677" s="234"/>
      <c r="G677" s="233"/>
      <c r="H677" s="237"/>
    </row>
    <row r="678" spans="1:8" ht="15.75" customHeight="1" x14ac:dyDescent="0.3">
      <c r="A678" s="233" t="s">
        <v>31</v>
      </c>
      <c r="B678" s="233"/>
      <c r="C678" s="233"/>
      <c r="D678" s="234"/>
      <c r="E678" s="233"/>
      <c r="F678" s="234"/>
      <c r="G678" s="233"/>
      <c r="H678" s="237"/>
    </row>
    <row r="679" spans="1:8" ht="15.75" customHeight="1" x14ac:dyDescent="0.3">
      <c r="A679" s="233" t="s">
        <v>32</v>
      </c>
      <c r="B679" s="233"/>
      <c r="C679" s="233"/>
      <c r="D679" s="234"/>
      <c r="E679" s="233"/>
      <c r="F679" s="234"/>
      <c r="G679" s="233"/>
      <c r="H679" s="237"/>
    </row>
    <row r="680" spans="1:8" ht="15.75" customHeight="1" x14ac:dyDescent="0.3">
      <c r="A680" s="233"/>
      <c r="B680" s="233"/>
      <c r="C680" s="233"/>
      <c r="D680" s="234"/>
      <c r="E680" s="233"/>
      <c r="F680" s="234"/>
      <c r="G680" s="233"/>
      <c r="H680" s="237"/>
    </row>
    <row r="681" spans="1:8" ht="15.75" customHeight="1" x14ac:dyDescent="0.3">
      <c r="A681" s="243" t="s">
        <v>33</v>
      </c>
      <c r="B681" s="244" t="s">
        <v>6</v>
      </c>
      <c r="C681" s="244"/>
      <c r="D681" s="245" t="s">
        <v>37</v>
      </c>
      <c r="E681" s="246" t="s">
        <v>38</v>
      </c>
      <c r="F681" s="247" t="s">
        <v>7</v>
      </c>
      <c r="G681" s="248" t="s">
        <v>43</v>
      </c>
      <c r="H681" s="249" t="s">
        <v>44</v>
      </c>
    </row>
    <row r="682" spans="1:8" ht="15.75" customHeight="1" x14ac:dyDescent="0.3">
      <c r="A682" s="250"/>
      <c r="B682" s="251"/>
      <c r="C682" s="236"/>
      <c r="D682" s="252"/>
      <c r="E682" s="252"/>
      <c r="F682" s="253"/>
      <c r="G682" s="254"/>
      <c r="H682" s="255"/>
    </row>
    <row r="683" spans="1:8" ht="15.75" customHeight="1" x14ac:dyDescent="0.3">
      <c r="A683" s="256"/>
      <c r="B683" s="257" t="s">
        <v>573</v>
      </c>
      <c r="C683" s="258"/>
      <c r="D683" s="259"/>
      <c r="E683" s="259"/>
      <c r="F683" s="234"/>
      <c r="G683" s="259"/>
      <c r="H683" s="260"/>
    </row>
    <row r="684" spans="1:8" ht="15.75" customHeight="1" x14ac:dyDescent="0.3">
      <c r="A684" s="256" t="s">
        <v>55</v>
      </c>
      <c r="B684" s="261" t="s">
        <v>494</v>
      </c>
      <c r="C684" s="262" t="s">
        <v>327</v>
      </c>
      <c r="D684" s="259">
        <v>1</v>
      </c>
      <c r="E684" s="259">
        <v>5</v>
      </c>
      <c r="F684" s="234">
        <f t="shared" ref="F684:F685" si="14">+E684*D684</f>
      </c>
      <c r="G684" s="259">
        <v>1</v>
      </c>
      <c r="H684" s="260">
        <f t="shared" ref="H684:H685" si="15">+G684*F684</f>
      </c>
    </row>
    <row r="685" spans="1:8" ht="15.75" customHeight="1" x14ac:dyDescent="0.3">
      <c r="A685" s="256" t="s">
        <v>59</v>
      </c>
      <c r="B685" s="261" t="s">
        <v>127</v>
      </c>
      <c r="C685" s="262" t="s">
        <v>326</v>
      </c>
      <c r="D685" s="259">
        <v>2</v>
      </c>
      <c r="E685" s="259">
        <v>5</v>
      </c>
      <c r="F685" s="234">
        <f t="shared" si="14"/>
      </c>
      <c r="G685" s="259">
        <v>1</v>
      </c>
      <c r="H685" s="260">
        <f t="shared" si="15"/>
      </c>
    </row>
    <row r="686" spans="1:8" ht="15.75" customHeight="1" x14ac:dyDescent="0.3">
      <c r="A686" s="256"/>
      <c r="B686" s="261"/>
      <c r="C686" s="262"/>
      <c r="D686" s="259"/>
      <c r="E686" s="259"/>
      <c r="F686" s="234"/>
      <c r="G686" s="259"/>
      <c r="H686" s="260"/>
    </row>
    <row r="687" spans="1:8" ht="15.75" customHeight="1" x14ac:dyDescent="0.3">
      <c r="A687" s="256"/>
      <c r="B687" s="257" t="s">
        <v>674</v>
      </c>
      <c r="C687" s="258"/>
      <c r="D687" s="259"/>
      <c r="E687" s="259"/>
      <c r="F687" s="234"/>
      <c r="G687" s="259"/>
      <c r="H687" s="260"/>
    </row>
    <row r="688" spans="1:8" ht="15.75" customHeight="1" x14ac:dyDescent="0.3">
      <c r="A688" s="256" t="s">
        <v>67</v>
      </c>
      <c r="B688" s="261" t="s">
        <v>675</v>
      </c>
      <c r="C688" s="262" t="s">
        <v>676</v>
      </c>
      <c r="D688" s="259">
        <v>1</v>
      </c>
      <c r="E688" s="259">
        <v>1</v>
      </c>
      <c r="F688" s="234">
        <v>1</v>
      </c>
      <c r="G688" s="259">
        <v>1</v>
      </c>
      <c r="H688" s="260">
        <f>+G688*F688</f>
      </c>
    </row>
    <row r="689" spans="1:8" ht="15.75" customHeight="1" x14ac:dyDescent="0.3">
      <c r="A689" s="256"/>
      <c r="B689" s="261"/>
      <c r="C689" s="262"/>
      <c r="D689" s="259"/>
      <c r="E689" s="259"/>
      <c r="F689" s="234"/>
      <c r="G689" s="259"/>
      <c r="H689" s="260"/>
    </row>
    <row r="690" spans="1:8" ht="15.75" customHeight="1" x14ac:dyDescent="0.3">
      <c r="A690" s="256" t="s">
        <v>485</v>
      </c>
      <c r="B690" s="261" t="s">
        <v>677</v>
      </c>
      <c r="C690" s="262" t="s">
        <v>5</v>
      </c>
      <c r="D690" s="259">
        <v>20</v>
      </c>
      <c r="E690" s="259">
        <v>24</v>
      </c>
      <c r="F690" s="234">
        <f>+E690*D690</f>
      </c>
      <c r="G690" s="259">
        <v>1</v>
      </c>
      <c r="H690" s="260">
        <f>+G690*F690</f>
      </c>
    </row>
    <row r="691" spans="1:8" ht="15.75" customHeight="1" x14ac:dyDescent="0.3">
      <c r="A691" s="256"/>
      <c r="B691" s="257"/>
      <c r="C691" s="263"/>
      <c r="D691" s="259"/>
      <c r="E691" s="259"/>
      <c r="F691" s="234"/>
      <c r="G691" s="259"/>
      <c r="H691" s="260"/>
    </row>
    <row r="692" spans="1:8" ht="15.75" customHeight="1" x14ac:dyDescent="0.3">
      <c r="A692" s="256" t="s">
        <v>486</v>
      </c>
      <c r="B692" s="261" t="s">
        <v>679</v>
      </c>
      <c r="C692" s="233"/>
      <c r="D692" s="259">
        <v>25</v>
      </c>
      <c r="E692" s="259">
        <v>1</v>
      </c>
      <c r="F692" s="234">
        <f>+E692*D692</f>
      </c>
      <c r="G692" s="259">
        <v>1</v>
      </c>
      <c r="H692" s="260">
        <f>+G692*F692</f>
      </c>
    </row>
    <row r="693" spans="1:8" ht="15.75" customHeight="1" x14ac:dyDescent="0.3">
      <c r="A693" s="256"/>
      <c r="B693" s="264"/>
      <c r="C693" s="233"/>
      <c r="D693" s="259"/>
      <c r="E693" s="259"/>
      <c r="F693" s="234"/>
      <c r="G693" s="259"/>
      <c r="H693" s="260"/>
    </row>
    <row r="694" spans="1:8" ht="15.75" customHeight="1" x14ac:dyDescent="0.3">
      <c r="A694" s="265"/>
      <c r="B694" s="253"/>
      <c r="C694" s="236"/>
      <c r="D694" s="259"/>
      <c r="E694" s="259"/>
      <c r="F694" s="266"/>
      <c r="G694" s="267"/>
      <c r="H694" s="260"/>
    </row>
    <row r="695" spans="1:8" ht="15.75" customHeight="1" x14ac:dyDescent="0.3">
      <c r="A695" s="268"/>
      <c r="B695" s="269"/>
      <c r="C695" s="270" t="s">
        <v>85</v>
      </c>
      <c r="D695" s="271">
        <f>SUM(D684:D694)</f>
      </c>
      <c r="E695" s="271"/>
      <c r="F695" s="272"/>
      <c r="G695" s="273"/>
      <c r="H695" s="274">
        <f>SUM(H684:H694)</f>
      </c>
    </row>
    <row r="696" spans="1:8" ht="15.75" customHeight="1" x14ac:dyDescent="0.3">
      <c r="A696" s="275"/>
      <c r="B696" s="276"/>
      <c r="C696" s="276"/>
      <c r="D696" s="277"/>
      <c r="E696" s="276"/>
      <c r="F696" s="278"/>
      <c r="G696" s="279"/>
      <c r="H696" s="280"/>
    </row>
    <row r="697" spans="1:8" ht="15.75" customHeight="1" x14ac:dyDescent="0.3">
      <c r="A697" s="235"/>
      <c r="B697" s="234"/>
      <c r="C697" s="234"/>
      <c r="D697" s="234"/>
      <c r="E697" s="233"/>
      <c r="F697" s="235"/>
      <c r="G697" s="233"/>
      <c r="H697" s="237"/>
    </row>
    <row r="698" spans="1:8" ht="15.75" customHeight="1" x14ac:dyDescent="0.3">
      <c r="A698" s="281"/>
      <c r="B698" s="281"/>
      <c r="C698" s="281"/>
      <c r="D698" s="282" t="s">
        <v>97</v>
      </c>
      <c r="E698" s="281" t="s">
        <v>98</v>
      </c>
      <c r="F698" s="281"/>
      <c r="G698" s="233"/>
      <c r="H698" s="237"/>
    </row>
    <row r="699" spans="1:8" ht="15.75" customHeight="1" x14ac:dyDescent="0.3">
      <c r="A699" s="233"/>
      <c r="B699" s="233"/>
      <c r="C699" s="233"/>
      <c r="D699" s="234"/>
      <c r="E699" s="233"/>
      <c r="F699" s="233"/>
      <c r="G699" s="233"/>
      <c r="H699" s="237"/>
    </row>
    <row r="700" spans="1:8" ht="15.75" customHeight="1" x14ac:dyDescent="0.3">
      <c r="A700" s="233"/>
      <c r="B700" s="233"/>
      <c r="C700" s="233"/>
      <c r="D700" s="234"/>
      <c r="E700" s="233"/>
      <c r="F700" s="233"/>
      <c r="G700" s="233"/>
      <c r="H700" s="237"/>
    </row>
    <row r="701" spans="1:8" ht="15.75" customHeight="1" x14ac:dyDescent="0.3">
      <c r="A701" s="281"/>
      <c r="B701" s="281"/>
      <c r="C701" s="281"/>
      <c r="D701" s="282"/>
      <c r="E701" s="281" t="s">
        <v>99</v>
      </c>
      <c r="F701" s="281"/>
      <c r="G701" s="233"/>
      <c r="H701" s="237"/>
    </row>
    <row r="702" spans="1:8" ht="15.75" customHeight="1" x14ac:dyDescent="0.25">
      <c r="D702" s="4"/>
      <c r="H702" s="4"/>
    </row>
    <row r="703" spans="1:8" ht="15.75" customHeight="1" x14ac:dyDescent="0.25">
      <c r="D703" s="4"/>
      <c r="H703" s="4"/>
    </row>
    <row r="704" spans="1:8" ht="15.75" customHeight="1" x14ac:dyDescent="0.25">
      <c r="D704" s="4"/>
      <c r="H704" s="4"/>
    </row>
    <row r="705" spans="1:8" ht="15.75" customHeight="1" x14ac:dyDescent="0.25">
      <c r="D705" s="4"/>
      <c r="H705" s="4"/>
    </row>
    <row r="706" spans="1:8" ht="15.75" customHeight="1" x14ac:dyDescent="0.25">
      <c r="D706" s="4"/>
      <c r="H706" s="4"/>
    </row>
    <row r="707" spans="1:8" ht="15.75" customHeight="1" x14ac:dyDescent="0.25">
      <c r="D707" s="4"/>
      <c r="H707" s="4"/>
    </row>
    <row r="708" spans="1:8" ht="15.75" customHeight="1" x14ac:dyDescent="0.25">
      <c r="D708" s="4"/>
      <c r="H708" s="4"/>
    </row>
    <row r="709" spans="1:8" ht="15.75" customHeight="1" x14ac:dyDescent="0.25">
      <c r="D709" s="4"/>
      <c r="H709" s="4"/>
    </row>
    <row r="710" spans="1:8" ht="15.75" customHeight="1" x14ac:dyDescent="0.25">
      <c r="A710" s="14" t="s">
        <v>14</v>
      </c>
      <c r="B710" s="14"/>
      <c r="C710" s="14"/>
      <c r="D710" s="14"/>
      <c r="E710" s="14"/>
      <c r="F710" s="14"/>
      <c r="G710" s="14"/>
      <c r="H710" s="14"/>
    </row>
    <row r="711" spans="1:8" ht="15.75" customHeight="1" x14ac:dyDescent="0.25">
      <c r="D711" s="4"/>
      <c r="H711" s="8"/>
    </row>
    <row r="712" spans="1:8" ht="15.75" customHeight="1" x14ac:dyDescent="0.25">
      <c r="A712" s="15"/>
      <c r="B712" s="15"/>
      <c r="C712" s="16"/>
      <c r="D712" s="17"/>
      <c r="E712" s="18"/>
      <c r="F712" s="18"/>
      <c r="G712" s="18"/>
      <c r="H712" s="19"/>
    </row>
    <row r="713" spans="1:8" ht="15.75" customHeight="1" x14ac:dyDescent="0.3">
      <c r="A713" s="25"/>
      <c r="B713" s="25"/>
      <c r="C713" s="25"/>
      <c r="D713" s="26"/>
      <c r="E713" s="25"/>
      <c r="F713" s="22" t="s">
        <v>18</v>
      </c>
      <c r="G713" s="23" t="s">
        <v>497</v>
      </c>
      <c r="H713" s="24"/>
    </row>
    <row r="714" spans="1:8" ht="15.75" customHeight="1" x14ac:dyDescent="0.3">
      <c r="A714" s="25" t="s">
        <v>20</v>
      </c>
      <c r="B714" s="25"/>
      <c r="C714" s="25"/>
      <c r="D714" s="26"/>
      <c r="E714" s="25"/>
      <c r="F714" s="22" t="s">
        <v>21</v>
      </c>
      <c r="G714" s="25" t="s">
        <v>681</v>
      </c>
      <c r="H714" s="26"/>
    </row>
    <row r="715" spans="1:8" ht="15.75" customHeight="1" x14ac:dyDescent="0.3">
      <c r="A715" s="25" t="inlineStr">
        <is>
          <t>Dealer-004</t>
        </is>
      </c>
      <c r="B715" s="25"/>
      <c r="C715" s="25"/>
      <c r="D715" s="109"/>
      <c r="E715" s="25"/>
      <c r="F715" s="26"/>
      <c r="G715" s="25"/>
      <c r="H715" s="106"/>
    </row>
    <row r="716" spans="1:8" ht="15.75" customHeight="1" x14ac:dyDescent="0.3">
      <c r="A716" s="25" t="inlineStr">
        <is>
          <t>Address line (redacted)</t>
        </is>
      </c>
      <c r="B716" s="25"/>
      <c r="C716" s="25"/>
      <c r="D716" s="109"/>
      <c r="E716" s="25"/>
      <c r="F716" s="26"/>
      <c r="G716" s="25"/>
      <c r="H716" s="106"/>
    </row>
    <row r="717" spans="1:8" ht="15.75" customHeight="1" x14ac:dyDescent="0.3">
      <c r="A717" s="25" t="inlineStr">
        <is>
          <t>Address line (redacted)</t>
        </is>
      </c>
      <c r="B717" s="25"/>
      <c r="C717" s="25"/>
      <c r="D717" s="26"/>
      <c r="E717" s="25"/>
      <c r="F717" s="26"/>
      <c r="G717" s="25"/>
      <c r="H717" s="106"/>
    </row>
    <row r="718" spans="1:8" ht="15.75" customHeight="1" x14ac:dyDescent="0.3">
      <c r="A718" s="25"/>
      <c r="B718" s="25"/>
      <c r="C718" s="25"/>
      <c r="D718" s="26"/>
      <c r="E718" s="25"/>
      <c r="F718" s="26"/>
      <c r="G718" s="25"/>
      <c r="H718" s="106"/>
    </row>
    <row r="719" spans="1:8" ht="15.75" customHeight="1" x14ac:dyDescent="0.3">
      <c r="A719" s="25" t="s">
        <v>30</v>
      </c>
      <c r="B719" s="25"/>
      <c r="C719" s="25"/>
      <c r="D719" s="26"/>
      <c r="E719" s="25"/>
      <c r="F719" s="26"/>
      <c r="G719" s="25"/>
      <c r="H719" s="106"/>
    </row>
    <row r="720" spans="1:8" ht="15.75" customHeight="1" x14ac:dyDescent="0.3">
      <c r="A720" s="25"/>
      <c r="B720" s="25"/>
      <c r="C720" s="25"/>
      <c r="D720" s="26"/>
      <c r="E720" s="25"/>
      <c r="F720" s="26"/>
      <c r="G720" s="25"/>
      <c r="H720" s="106"/>
    </row>
    <row r="721" spans="1:8" ht="15.75" customHeight="1" x14ac:dyDescent="0.3">
      <c r="A721" s="25" t="s">
        <v>31</v>
      </c>
      <c r="B721" s="25"/>
      <c r="C721" s="25"/>
      <c r="D721" s="26"/>
      <c r="E721" s="25"/>
      <c r="F721" s="26"/>
      <c r="G721" s="25"/>
      <c r="H721" s="106"/>
    </row>
    <row r="722" spans="1:8" ht="15.75" customHeight="1" x14ac:dyDescent="0.3">
      <c r="A722" s="25" t="s">
        <v>32</v>
      </c>
      <c r="B722" s="25"/>
      <c r="C722" s="25"/>
      <c r="D722" s="26"/>
      <c r="E722" s="25"/>
      <c r="F722" s="26"/>
      <c r="G722" s="25"/>
      <c r="H722" s="106"/>
    </row>
    <row r="723" spans="1:8" ht="15.75" customHeight="1" x14ac:dyDescent="0.3">
      <c r="A723" s="25"/>
      <c r="B723" s="25"/>
      <c r="C723" s="25"/>
      <c r="D723" s="26"/>
      <c r="E723" s="25"/>
      <c r="F723" s="26"/>
      <c r="G723" s="25"/>
      <c r="H723" s="106"/>
    </row>
    <row r="724" spans="1:8" ht="15.75" customHeight="1" x14ac:dyDescent="0.3">
      <c r="A724" s="118" t="s">
        <v>33</v>
      </c>
      <c r="B724" s="121" t="s">
        <v>6</v>
      </c>
      <c r="C724" s="121"/>
      <c r="D724" s="123" t="s">
        <v>37</v>
      </c>
      <c r="E724" s="125" t="s">
        <v>38</v>
      </c>
      <c r="F724" s="127" t="s">
        <v>7</v>
      </c>
      <c r="G724" s="129" t="s">
        <v>43</v>
      </c>
      <c r="H724" s="130" t="s">
        <v>44</v>
      </c>
    </row>
    <row r="725" spans="1:8" ht="15.75" customHeight="1" x14ac:dyDescent="0.3">
      <c r="A725" s="133"/>
      <c r="B725" s="135"/>
      <c r="C725" s="136"/>
      <c r="D725" s="138"/>
      <c r="E725" s="138"/>
      <c r="F725" s="139"/>
      <c r="G725" s="141"/>
      <c r="H725" s="143"/>
    </row>
    <row r="726" spans="1:8" ht="15.75" customHeight="1" x14ac:dyDescent="0.3">
      <c r="A726" s="283" t="s">
        <v>55</v>
      </c>
      <c r="B726" s="284" t="s">
        <v>677</v>
      </c>
      <c r="C726" s="284" t="s">
        <v>5</v>
      </c>
      <c r="D726" s="285">
        <v>20</v>
      </c>
      <c r="E726" s="285">
        <v>24</v>
      </c>
      <c r="F726" s="285">
        <f>+E726*D726</f>
      </c>
      <c r="G726" s="285">
        <v>1</v>
      </c>
      <c r="H726" s="287">
        <f>+G726*F726</f>
      </c>
    </row>
    <row r="727" spans="1:8" ht="15.75" customHeight="1" x14ac:dyDescent="0.3">
      <c r="A727" s="227"/>
      <c r="B727" s="229"/>
      <c r="C727" s="231"/>
      <c r="D727" s="229"/>
      <c r="E727" s="229"/>
      <c r="F727" s="230"/>
      <c r="G727" s="229"/>
      <c r="H727" s="210"/>
    </row>
    <row r="728" spans="1:8" ht="15.75" customHeight="1" x14ac:dyDescent="0.3">
      <c r="A728" s="207" t="s">
        <v>59</v>
      </c>
      <c r="B728" s="232" t="s">
        <v>689</v>
      </c>
      <c r="C728" s="164" t="s">
        <v>690</v>
      </c>
      <c r="D728" s="209">
        <v>1</v>
      </c>
      <c r="E728" s="209">
        <v>200</v>
      </c>
      <c r="F728" s="209">
        <v>200</v>
      </c>
      <c r="G728" s="209">
        <v>1</v>
      </c>
      <c r="H728" s="287">
        <f>+G728*F728</f>
      </c>
    </row>
    <row r="729" spans="1:8" ht="15.75" customHeight="1" x14ac:dyDescent="0.3">
      <c r="A729" s="207"/>
      <c r="B729" s="223"/>
      <c r="C729" s="164"/>
      <c r="D729" s="209"/>
      <c r="E729" s="209"/>
      <c r="F729" s="209"/>
      <c r="G729" s="209"/>
      <c r="H729" s="210"/>
    </row>
    <row r="730" spans="1:8" ht="15.75" customHeight="1" x14ac:dyDescent="0.3">
      <c r="A730" s="207" t="s">
        <v>67</v>
      </c>
      <c r="B730" s="232" t="s">
        <v>691</v>
      </c>
      <c r="C730" s="164"/>
      <c r="D730" s="209">
        <v>50</v>
      </c>
      <c r="E730" s="209">
        <v>1</v>
      </c>
      <c r="F730" s="209">
        <f>+E730*D730</f>
      </c>
      <c r="G730" s="209">
        <v>1</v>
      </c>
      <c r="H730" s="287">
        <f>+G730*F730</f>
      </c>
    </row>
    <row r="731" spans="1:8" ht="15.75" customHeight="1" x14ac:dyDescent="0.3">
      <c r="A731" s="207"/>
      <c r="B731" s="173"/>
      <c r="C731" s="164"/>
      <c r="D731" s="209"/>
      <c r="E731" s="209"/>
      <c r="F731" s="209"/>
      <c r="G731" s="209"/>
      <c r="H731" s="210"/>
    </row>
    <row r="732" spans="1:8" ht="15.75" customHeight="1" x14ac:dyDescent="0.3">
      <c r="A732" s="207" t="s">
        <v>485</v>
      </c>
      <c r="B732" s="288" t="s">
        <v>693</v>
      </c>
      <c r="C732" s="164"/>
      <c r="D732" s="209">
        <v>25</v>
      </c>
      <c r="E732" s="209">
        <v>1</v>
      </c>
      <c r="F732" s="209">
        <v>25</v>
      </c>
      <c r="G732" s="209">
        <v>1</v>
      </c>
      <c r="H732" s="287">
        <f>+G732*F732</f>
      </c>
    </row>
    <row r="733" spans="1:8" ht="15.75" customHeight="1" x14ac:dyDescent="0.3">
      <c r="A733" s="207"/>
      <c r="B733" s="173"/>
      <c r="C733" s="164"/>
      <c r="D733" s="209"/>
      <c r="E733" s="209"/>
      <c r="F733" s="209"/>
      <c r="G733" s="209"/>
      <c r="H733" s="210"/>
    </row>
    <row r="734" spans="1:8" ht="15.75" customHeight="1" x14ac:dyDescent="0.3">
      <c r="A734" s="207" t="s">
        <v>486</v>
      </c>
      <c r="B734" s="288" t="s">
        <v>694</v>
      </c>
      <c r="C734" s="164"/>
      <c r="D734" s="209">
        <v>6</v>
      </c>
      <c r="E734" s="209">
        <v>8</v>
      </c>
      <c r="F734" s="209">
        <f>+E734*D734</f>
      </c>
      <c r="G734" s="209">
        <v>1</v>
      </c>
      <c r="H734" s="287">
        <f>+G734*F734</f>
      </c>
    </row>
    <row r="735" spans="1:8" ht="15.75" customHeight="1" x14ac:dyDescent="0.3">
      <c r="A735" s="207"/>
      <c r="B735" s="173"/>
      <c r="C735" s="164"/>
      <c r="D735" s="209"/>
      <c r="E735" s="209"/>
      <c r="F735" s="209"/>
      <c r="G735" s="209"/>
      <c r="H735" s="210"/>
    </row>
    <row r="736" spans="1:8" ht="15.75" customHeight="1" x14ac:dyDescent="0.3">
      <c r="A736" s="207" t="s">
        <v>489</v>
      </c>
      <c r="B736" s="288" t="s">
        <v>679</v>
      </c>
      <c r="C736" s="164"/>
      <c r="D736" s="209">
        <v>5</v>
      </c>
      <c r="E736" s="209">
        <v>1</v>
      </c>
      <c r="F736" s="209">
        <f>+E736*D736</f>
      </c>
      <c r="G736" s="209">
        <v>1</v>
      </c>
      <c r="H736" s="287">
        <f>+G736*F736</f>
      </c>
    </row>
    <row r="737" spans="1:8" ht="15.75" customHeight="1" x14ac:dyDescent="0.3">
      <c r="A737" s="207"/>
      <c r="B737" s="173"/>
      <c r="C737" s="164"/>
      <c r="D737" s="209"/>
      <c r="E737" s="209"/>
      <c r="F737" s="209"/>
      <c r="G737" s="209"/>
      <c r="H737" s="210"/>
    </row>
    <row r="738" spans="1:8" ht="15.75" customHeight="1" x14ac:dyDescent="0.3">
      <c r="A738" s="177"/>
      <c r="B738" s="139"/>
      <c r="C738" s="136"/>
      <c r="D738" s="149"/>
      <c r="E738" s="149"/>
      <c r="F738" s="179"/>
      <c r="G738" s="181"/>
      <c r="H738" s="151"/>
    </row>
    <row r="739" spans="1:8" ht="15.75" customHeight="1" x14ac:dyDescent="0.3">
      <c r="A739" s="183"/>
      <c r="B739" s="184"/>
      <c r="C739" s="185" t="s">
        <v>85</v>
      </c>
      <c r="D739" s="186">
        <f>SUM(D726:D738)</f>
      </c>
      <c r="E739" s="186"/>
      <c r="F739" s="187"/>
      <c r="G739" s="188"/>
      <c r="H739" s="189">
        <f>SUM(H726:H738)</f>
      </c>
    </row>
    <row r="740" spans="1:8" ht="15.75" customHeight="1" x14ac:dyDescent="0.3">
      <c r="A740" s="190"/>
      <c r="B740" s="191"/>
      <c r="C740" s="191"/>
      <c r="D740" s="192"/>
      <c r="E740" s="191"/>
      <c r="F740" s="193"/>
      <c r="G740" s="194"/>
      <c r="H740" s="195"/>
    </row>
    <row r="741" spans="1:8" ht="15.75" customHeight="1" x14ac:dyDescent="0.3">
      <c r="A741" s="196"/>
      <c r="B741" s="26"/>
      <c r="C741" s="26"/>
      <c r="D741" s="26"/>
      <c r="E741" s="25"/>
      <c r="F741" s="196"/>
      <c r="G741" s="25"/>
      <c r="H741" s="106"/>
    </row>
    <row r="742" spans="1:8" ht="15.75" customHeight="1" x14ac:dyDescent="0.3">
      <c r="A742" s="197"/>
      <c r="B742" s="197"/>
      <c r="C742" s="197"/>
      <c r="D742" s="198" t="s">
        <v>97</v>
      </c>
      <c r="E742" s="197" t="s">
        <v>98</v>
      </c>
      <c r="F742" s="197"/>
      <c r="G742" s="25"/>
      <c r="H742" s="106"/>
    </row>
    <row r="743" spans="1:8" ht="15.75" customHeight="1" x14ac:dyDescent="0.3">
      <c r="A743" s="25"/>
      <c r="B743" s="25"/>
      <c r="C743" s="25"/>
      <c r="D743" s="26"/>
      <c r="E743" s="25"/>
      <c r="F743" s="25"/>
      <c r="G743" s="25"/>
      <c r="H743" s="106"/>
    </row>
    <row r="744" spans="1:8" ht="15.75" customHeight="1" x14ac:dyDescent="0.3">
      <c r="A744" s="25"/>
      <c r="B744" s="25"/>
      <c r="C744" s="25"/>
      <c r="D744" s="26"/>
      <c r="E744" s="25"/>
      <c r="F744" s="25"/>
      <c r="G744" s="25"/>
      <c r="H744" s="106"/>
    </row>
    <row r="745" spans="1:8" ht="15.75" customHeight="1" x14ac:dyDescent="0.3">
      <c r="A745" s="197"/>
      <c r="B745" s="197"/>
      <c r="C745" s="197"/>
      <c r="D745" s="198"/>
      <c r="E745" s="197" t="s">
        <v>99</v>
      </c>
      <c r="F745" s="197"/>
      <c r="G745" s="25"/>
      <c r="H745" s="106"/>
    </row>
    <row r="746" spans="1:8" ht="15.75" customHeight="1" x14ac:dyDescent="0.25">
      <c r="D746" s="4"/>
      <c r="H746" s="4"/>
    </row>
    <row r="747" spans="1:8" ht="15.75" customHeight="1" x14ac:dyDescent="0.25">
      <c r="D747" s="4"/>
      <c r="H747" s="4"/>
    </row>
    <row r="748" spans="1:8" ht="15.75" customHeight="1" x14ac:dyDescent="0.25">
      <c r="D748" s="4"/>
      <c r="H748" s="4"/>
    </row>
    <row r="749" spans="1:8" ht="15.75" customHeight="1" x14ac:dyDescent="0.25">
      <c r="D749" s="4"/>
      <c r="H749" s="4"/>
    </row>
    <row r="750" spans="1:8" ht="15.75" customHeight="1" x14ac:dyDescent="0.25">
      <c r="D750" s="4"/>
      <c r="H750" s="4"/>
    </row>
    <row r="751" spans="1:8" ht="15.75" customHeight="1" x14ac:dyDescent="0.25">
      <c r="D751" s="4"/>
      <c r="H751" s="4"/>
    </row>
    <row r="752" spans="1:8" ht="15.75" customHeight="1" x14ac:dyDescent="0.25">
      <c r="D752" s="4"/>
      <c r="H752" s="4"/>
    </row>
    <row r="753" spans="1:8" ht="15.75" customHeight="1" x14ac:dyDescent="0.25">
      <c r="D753" s="4"/>
      <c r="H753" s="4"/>
    </row>
    <row r="754" spans="1:8" ht="15.75" customHeight="1" x14ac:dyDescent="0.25">
      <c r="A754" s="103" t="s">
        <v>14</v>
      </c>
      <c r="B754" s="103"/>
      <c r="C754" s="103"/>
      <c r="D754" s="103"/>
      <c r="E754" s="103"/>
      <c r="F754" s="103"/>
      <c r="G754" s="103"/>
      <c r="H754" s="103"/>
    </row>
    <row r="755" spans="1:8" ht="15.75" customHeight="1" x14ac:dyDescent="0.25">
      <c r="D755" s="4"/>
      <c r="H755" s="8"/>
    </row>
    <row r="756" spans="1:8" ht="15.75" customHeight="1" x14ac:dyDescent="0.25">
      <c r="A756" s="15"/>
      <c r="B756" s="15"/>
      <c r="C756" s="16"/>
      <c r="D756" s="17"/>
      <c r="E756" s="18"/>
      <c r="F756" s="18"/>
      <c r="G756" s="18"/>
      <c r="H756" s="19"/>
    </row>
    <row r="757" spans="1:8" ht="15.75" customHeight="1" x14ac:dyDescent="0.3">
      <c r="A757" s="25"/>
      <c r="B757" s="25"/>
      <c r="C757" s="25"/>
      <c r="D757" s="26"/>
      <c r="E757" s="25"/>
      <c r="F757" s="22" t="s">
        <v>18</v>
      </c>
      <c r="G757" s="23" t="s">
        <v>497</v>
      </c>
      <c r="H757" s="24"/>
    </row>
    <row r="758" spans="1:8" ht="15.75" customHeight="1" x14ac:dyDescent="0.3">
      <c r="A758" s="25" t="s">
        <v>20</v>
      </c>
      <c r="B758" s="25"/>
      <c r="C758" s="25"/>
      <c r="D758" s="26"/>
      <c r="E758" s="25"/>
      <c r="F758" s="22" t="s">
        <v>21</v>
      </c>
      <c r="G758" s="25" t="s">
        <v>697</v>
      </c>
      <c r="H758" s="26"/>
    </row>
    <row r="759" spans="1:8" ht="15.75" customHeight="1" x14ac:dyDescent="0.3">
      <c r="A759" s="25" t="inlineStr">
        <is>
          <t>Dealer-003</t>
        </is>
      </c>
      <c r="B759" s="25"/>
      <c r="C759" s="25"/>
      <c r="D759" s="26"/>
      <c r="E759" s="22"/>
      <c r="F759" s="25"/>
      <c r="G759" s="25"/>
      <c r="H759" s="106"/>
    </row>
    <row r="760" spans="1:8" ht="15.75" customHeight="1" x14ac:dyDescent="0.3">
      <c r="A760" s="25" t="inlineStr">
        <is>
          <t>Address line (redacted)</t>
        </is>
      </c>
      <c r="B760" s="25"/>
      <c r="C760" s="25"/>
      <c r="D760" s="109"/>
      <c r="E760" s="25"/>
      <c r="F760" s="26"/>
      <c r="G760" s="25"/>
      <c r="H760" s="106"/>
    </row>
    <row r="761" spans="1:8" ht="15.75" customHeight="1" x14ac:dyDescent="0.3">
      <c r="A761" s="25" t="inlineStr">
        <is>
          <t>Address line (redacted)</t>
        </is>
      </c>
      <c r="B761" s="25"/>
      <c r="C761" s="25"/>
      <c r="D761" s="109"/>
      <c r="E761" s="25"/>
      <c r="F761" s="26"/>
      <c r="G761" s="25"/>
      <c r="H761" s="106"/>
    </row>
    <row r="762" spans="1:8" ht="15.75" customHeight="1" x14ac:dyDescent="0.3">
      <c r="A762" s="114"/>
      <c r="B762" s="25"/>
      <c r="C762" s="25"/>
      <c r="D762" s="26"/>
      <c r="E762" s="25"/>
      <c r="F762" s="26"/>
      <c r="G762" s="25"/>
      <c r="H762" s="106"/>
    </row>
    <row r="763" spans="1:8" ht="15.75" customHeight="1" x14ac:dyDescent="0.3">
      <c r="A763" s="25" t="s">
        <v>30</v>
      </c>
      <c r="B763" s="25"/>
      <c r="C763" s="25"/>
      <c r="D763" s="26"/>
      <c r="E763" s="25"/>
      <c r="F763" s="26"/>
      <c r="G763" s="25"/>
      <c r="H763" s="106"/>
    </row>
    <row r="764" spans="1:8" ht="15.75" customHeight="1" x14ac:dyDescent="0.3">
      <c r="A764" s="25"/>
      <c r="B764" s="25"/>
      <c r="C764" s="25"/>
      <c r="D764" s="26"/>
      <c r="E764" s="25"/>
      <c r="F764" s="26"/>
      <c r="G764" s="25"/>
      <c r="H764" s="106"/>
    </row>
    <row r="765" spans="1:8" ht="15.75" customHeight="1" x14ac:dyDescent="0.3">
      <c r="A765" s="25" t="s">
        <v>31</v>
      </c>
      <c r="B765" s="25"/>
      <c r="C765" s="25"/>
      <c r="D765" s="26"/>
      <c r="E765" s="25"/>
      <c r="F765" s="26"/>
      <c r="G765" s="25"/>
      <c r="H765" s="106"/>
    </row>
    <row r="766" spans="1:8" ht="15.75" customHeight="1" x14ac:dyDescent="0.3">
      <c r="A766" s="25" t="s">
        <v>32</v>
      </c>
      <c r="B766" s="25"/>
      <c r="C766" s="25"/>
      <c r="D766" s="26"/>
      <c r="E766" s="25"/>
      <c r="F766" s="26"/>
      <c r="G766" s="25"/>
      <c r="H766" s="106"/>
    </row>
    <row r="767" spans="1:8" ht="15.75" customHeight="1" x14ac:dyDescent="0.3">
      <c r="A767" s="25"/>
      <c r="B767" s="25"/>
      <c r="C767" s="25"/>
      <c r="D767" s="26"/>
      <c r="E767" s="25"/>
      <c r="F767" s="26"/>
      <c r="G767" s="25"/>
      <c r="H767" s="106"/>
    </row>
    <row r="768" spans="1:8" ht="15.75" customHeight="1" x14ac:dyDescent="0.3">
      <c r="A768" s="118" t="s">
        <v>33</v>
      </c>
      <c r="B768" s="121" t="s">
        <v>6</v>
      </c>
      <c r="C768" s="121"/>
      <c r="D768" s="123" t="s">
        <v>37</v>
      </c>
      <c r="E768" s="125" t="s">
        <v>38</v>
      </c>
      <c r="F768" s="127" t="s">
        <v>7</v>
      </c>
      <c r="G768" s="129" t="s">
        <v>43</v>
      </c>
      <c r="H768" s="130" t="s">
        <v>44</v>
      </c>
    </row>
    <row r="769" spans="1:20" ht="15.75" customHeight="1" x14ac:dyDescent="0.3">
      <c r="A769" s="133"/>
      <c r="B769" s="135"/>
      <c r="C769" s="136"/>
      <c r="D769" s="138"/>
      <c r="E769" s="138"/>
      <c r="F769" s="139"/>
      <c r="G769" s="141"/>
      <c r="H769" s="143"/>
    </row>
    <row r="770" spans="1:20" ht="15.75" customHeight="1" x14ac:dyDescent="0.3">
      <c r="A770" s="207" t="s">
        <v>55</v>
      </c>
      <c r="B770" s="154" t="s">
        <v>698</v>
      </c>
      <c r="C770" s="154"/>
      <c r="D770" s="209">
        <v>40</v>
      </c>
      <c r="E770" s="209">
        <v>1</v>
      </c>
      <c r="F770" s="209">
        <f>+E770*D770</f>
      </c>
      <c r="G770" s="209">
        <v>1</v>
      </c>
      <c r="H770" s="210">
        <f>+G770*F770</f>
      </c>
    </row>
    <row r="771" spans="1:20" ht="15.75" customHeight="1" x14ac:dyDescent="0.3">
      <c r="A771" s="207"/>
      <c r="B771" s="289" t="s">
        <v>700</v>
      </c>
      <c r="C771" s="221"/>
      <c r="D771" s="222"/>
      <c r="E771" s="222"/>
      <c r="F771" s="222"/>
      <c r="G771" s="209"/>
      <c r="H771" s="210"/>
    </row>
    <row r="772" spans="1:20" ht="15.75" customHeight="1" x14ac:dyDescent="0.3">
      <c r="A772" s="207"/>
      <c r="B772" s="223"/>
      <c r="C772" s="154"/>
      <c r="D772" s="209"/>
      <c r="E772" s="209"/>
      <c r="F772" s="209"/>
      <c r="G772" s="209"/>
      <c r="H772" s="210"/>
    </row>
    <row r="773" spans="1:20" ht="15.75" customHeight="1" x14ac:dyDescent="0.3">
      <c r="A773" s="207" t="s">
        <v>59</v>
      </c>
      <c r="B773" s="208" t="s">
        <v>698</v>
      </c>
      <c r="C773" s="208"/>
      <c r="D773" s="209">
        <v>20</v>
      </c>
      <c r="E773" s="209">
        <v>1</v>
      </c>
      <c r="F773" s="209">
        <f>+E773*D773</f>
      </c>
      <c r="G773" s="209">
        <v>1</v>
      </c>
      <c r="H773" s="210">
        <f>+G773*F773</f>
      </c>
    </row>
    <row r="774" spans="1:20" ht="15.75" customHeight="1" x14ac:dyDescent="0.3">
      <c r="A774" s="207"/>
      <c r="B774" s="289" t="s">
        <v>701</v>
      </c>
      <c r="C774" s="164"/>
      <c r="D774" s="209"/>
      <c r="E774" s="209"/>
      <c r="F774" s="209"/>
      <c r="G774" s="209"/>
      <c r="H774" s="210"/>
    </row>
    <row r="775" spans="1:20" ht="15.75" customHeight="1" x14ac:dyDescent="0.3">
      <c r="A775" s="207"/>
      <c r="B775" s="223"/>
      <c r="C775" s="154"/>
      <c r="D775" s="209"/>
      <c r="E775" s="209"/>
      <c r="F775" s="209"/>
      <c r="G775" s="209"/>
      <c r="H775" s="210"/>
    </row>
    <row r="776" spans="1:20" ht="15.75" customHeight="1" x14ac:dyDescent="0.3">
      <c r="A776" s="207" t="s">
        <v>67</v>
      </c>
      <c r="B776" s="223" t="s">
        <v>702</v>
      </c>
      <c r="C776" s="223"/>
      <c r="D776" s="209">
        <v>5</v>
      </c>
      <c r="E776" s="209">
        <v>1</v>
      </c>
      <c r="F776" s="209">
        <f>+E776*D776</f>
      </c>
      <c r="G776" s="209">
        <v>1</v>
      </c>
      <c r="H776" s="210">
        <f>+G776*F776</f>
      </c>
    </row>
    <row r="777" spans="1:20" ht="15.75" customHeight="1" x14ac:dyDescent="0.3">
      <c r="A777" s="207"/>
      <c r="B777" s="173"/>
      <c r="C777" s="164"/>
      <c r="D777" s="209"/>
      <c r="E777" s="209"/>
      <c r="F777" s="209"/>
      <c r="G777" s="209"/>
      <c r="H777" s="210"/>
      <c r="I777" s="290"/>
      <c r="J777" s="290"/>
      <c r="K777" s="290"/>
      <c r="L777" s="290"/>
      <c r="M777" s="290"/>
      <c r="N777" s="290"/>
      <c r="O777" s="290"/>
      <c r="P777" s="290"/>
      <c r="Q777" s="290"/>
      <c r="R777" s="290"/>
      <c r="S777" s="290"/>
      <c r="T777" s="290"/>
    </row>
    <row r="778" spans="1:20" ht="15.75" customHeight="1" x14ac:dyDescent="0.3">
      <c r="A778" s="291" t="s">
        <v>485</v>
      </c>
      <c r="B778" s="288" t="s">
        <v>694</v>
      </c>
      <c r="C778" s="164" t="s">
        <v>704</v>
      </c>
      <c r="D778" s="209">
        <v>1</v>
      </c>
      <c r="E778" s="209">
        <v>8</v>
      </c>
      <c r="F778" s="209">
        <f>+E778*D778</f>
      </c>
      <c r="G778" s="209">
        <v>1</v>
      </c>
      <c r="H778" s="210">
        <f>+G778*F778</f>
      </c>
    </row>
    <row r="779" spans="1:20" ht="15.75" customHeight="1" x14ac:dyDescent="0.3">
      <c r="A779" s="177"/>
      <c r="B779" s="139"/>
      <c r="C779" s="136"/>
      <c r="D779" s="149"/>
      <c r="E779" s="149"/>
      <c r="F779" s="179"/>
      <c r="G779" s="181"/>
      <c r="H779" s="151"/>
    </row>
    <row r="780" spans="1:20" ht="15.75" customHeight="1" x14ac:dyDescent="0.3">
      <c r="A780" s="183"/>
      <c r="B780" s="184"/>
      <c r="C780" s="185" t="s">
        <v>85</v>
      </c>
      <c r="D780" s="186"/>
      <c r="E780" s="186"/>
      <c r="F780" s="187"/>
      <c r="G780" s="188"/>
      <c r="H780" s="189">
        <f>SUM(H770:H779)</f>
      </c>
    </row>
    <row r="781" spans="1:20" ht="15.75" customHeight="1" x14ac:dyDescent="0.3">
      <c r="A781" s="190"/>
      <c r="B781" s="191"/>
      <c r="C781" s="191"/>
      <c r="D781" s="192"/>
      <c r="E781" s="191"/>
      <c r="F781" s="193"/>
      <c r="G781" s="194"/>
      <c r="H781" s="195"/>
    </row>
    <row r="782" spans="1:20" ht="15.75" customHeight="1" x14ac:dyDescent="0.3">
      <c r="A782" s="196"/>
      <c r="B782" s="26"/>
      <c r="C782" s="26"/>
      <c r="D782" s="26"/>
      <c r="E782" s="25"/>
      <c r="F782" s="196"/>
      <c r="G782" s="25"/>
      <c r="H782" s="106"/>
    </row>
    <row r="783" spans="1:20" ht="15.75" customHeight="1" x14ac:dyDescent="0.3">
      <c r="A783" s="197"/>
      <c r="B783" s="197"/>
      <c r="C783" s="197"/>
      <c r="D783" s="198" t="s">
        <v>97</v>
      </c>
      <c r="E783" s="197" t="s">
        <v>98</v>
      </c>
      <c r="F783" s="197"/>
      <c r="G783" s="25"/>
      <c r="H783" s="106"/>
    </row>
    <row r="784" spans="1:20" ht="15.75" customHeight="1" x14ac:dyDescent="0.3">
      <c r="A784" s="25"/>
      <c r="B784" s="25"/>
      <c r="C784" s="25"/>
      <c r="D784" s="26"/>
      <c r="E784" s="25"/>
      <c r="F784" s="25"/>
      <c r="G784" s="25"/>
      <c r="H784" s="106"/>
    </row>
    <row r="785" spans="1:20" ht="15.75" customHeight="1" x14ac:dyDescent="0.3">
      <c r="A785" s="25"/>
      <c r="B785" s="25"/>
      <c r="C785" s="25"/>
      <c r="D785" s="26"/>
      <c r="E785" s="25"/>
      <c r="F785" s="25"/>
      <c r="G785" s="25"/>
      <c r="H785" s="106"/>
    </row>
    <row r="786" spans="1:20" ht="15.75" customHeight="1" x14ac:dyDescent="0.3">
      <c r="A786" s="197"/>
      <c r="B786" s="197"/>
      <c r="C786" s="197"/>
      <c r="D786" s="198"/>
      <c r="E786" s="197" t="s">
        <v>99</v>
      </c>
      <c r="F786" s="197"/>
      <c r="G786" s="25"/>
      <c r="H786" s="106"/>
    </row>
    <row r="787" spans="1:20" ht="15.75" customHeight="1" x14ac:dyDescent="0.25">
      <c r="D787" s="4"/>
      <c r="H787" s="4"/>
    </row>
    <row r="788" spans="1:20" ht="15.75" customHeight="1" x14ac:dyDescent="0.25">
      <c r="D788" s="4"/>
      <c r="H788" s="4"/>
    </row>
    <row r="789" spans="1:20" ht="15.75" customHeight="1" x14ac:dyDescent="0.25">
      <c r="D789" s="4"/>
      <c r="H789" s="4"/>
    </row>
    <row r="790" spans="1:20" ht="15.75" customHeight="1" x14ac:dyDescent="0.25">
      <c r="D790" s="4"/>
      <c r="H790" s="4"/>
    </row>
    <row r="791" spans="1:20" ht="15.75" customHeight="1" x14ac:dyDescent="0.25">
      <c r="D791" s="4"/>
      <c r="H791" s="4"/>
    </row>
    <row r="792" spans="1:20" ht="15.75" customHeight="1" x14ac:dyDescent="0.25">
      <c r="D792" s="4"/>
      <c r="H792" s="4"/>
    </row>
    <row r="793" spans="1:20" ht="15.75" customHeight="1" x14ac:dyDescent="0.25">
      <c r="D793" s="4"/>
      <c r="H793" s="4"/>
    </row>
    <row r="794" spans="1:20" ht="15.75" customHeight="1" x14ac:dyDescent="0.25">
      <c r="D794" s="4"/>
      <c r="H794" s="4"/>
    </row>
    <row r="795" spans="1:20" ht="15.75" customHeight="1" x14ac:dyDescent="0.25">
      <c r="D795" s="4"/>
      <c r="H795" s="4"/>
    </row>
    <row r="796" spans="1:20" ht="15.75" customHeight="1" x14ac:dyDescent="0.25">
      <c r="D796" s="4"/>
      <c r="H796" s="4"/>
    </row>
    <row r="797" spans="1:20" ht="15.75" customHeight="1" x14ac:dyDescent="0.25">
      <c r="D797" s="4"/>
      <c r="H797" s="4"/>
    </row>
    <row r="798" spans="1:20" ht="15.75" customHeight="1" x14ac:dyDescent="0.25">
      <c r="A798" s="292" t="s">
        <v>14</v>
      </c>
      <c r="B798" s="292"/>
      <c r="C798" s="292"/>
      <c r="D798" s="292"/>
      <c r="E798" s="292"/>
      <c r="F798" s="292"/>
      <c r="G798" s="292"/>
      <c r="H798" s="292"/>
      <c r="I798" s="293"/>
      <c r="J798" s="293"/>
      <c r="K798" s="293"/>
      <c r="L798" s="293"/>
      <c r="M798" s="293"/>
      <c r="N798" s="293"/>
      <c r="O798" s="293"/>
      <c r="P798" s="293"/>
      <c r="Q798" s="293"/>
      <c r="R798" s="293"/>
      <c r="S798" s="293"/>
      <c r="T798" s="293"/>
    </row>
    <row r="799" spans="1:20" ht="15.75" customHeight="1" x14ac:dyDescent="0.25">
      <c r="A799" s="293"/>
      <c r="B799" s="293"/>
      <c r="C799" s="293"/>
      <c r="D799" s="294"/>
      <c r="E799" s="293"/>
      <c r="F799" s="293"/>
      <c r="G799" s="293"/>
      <c r="H799" s="295"/>
      <c r="I799" s="293"/>
      <c r="J799" s="293"/>
      <c r="K799" s="293"/>
      <c r="L799" s="293"/>
      <c r="M799" s="293"/>
      <c r="N799" s="293"/>
      <c r="O799" s="293"/>
      <c r="P799" s="293"/>
      <c r="Q799" s="293"/>
      <c r="R799" s="293"/>
      <c r="S799" s="293"/>
      <c r="T799" s="293"/>
    </row>
    <row r="800" spans="1:20" ht="15.75" customHeight="1" x14ac:dyDescent="0.25">
      <c r="A800" s="293"/>
      <c r="B800" s="293"/>
      <c r="C800" s="294"/>
      <c r="D800" s="296"/>
      <c r="E800" s="297"/>
      <c r="F800" s="297"/>
      <c r="G800" s="297"/>
      <c r="H800" s="298"/>
      <c r="I800" s="293"/>
      <c r="J800" s="293"/>
      <c r="K800" s="293"/>
      <c r="L800" s="293"/>
      <c r="M800" s="293"/>
      <c r="N800" s="293"/>
      <c r="O800" s="293"/>
      <c r="P800" s="293"/>
      <c r="Q800" s="293"/>
      <c r="R800" s="293"/>
      <c r="S800" s="293"/>
      <c r="T800" s="293"/>
    </row>
    <row r="801" spans="1:20" ht="15.75" customHeight="1" x14ac:dyDescent="0.25">
      <c r="A801" s="293"/>
      <c r="B801" s="293"/>
      <c r="C801" s="293"/>
      <c r="D801" s="294"/>
      <c r="E801" s="293"/>
      <c r="F801" s="299" t="s">
        <v>18</v>
      </c>
      <c r="G801" s="300" t="s">
        <v>558</v>
      </c>
      <c r="H801" s="301"/>
      <c r="I801" s="293"/>
      <c r="J801" s="293"/>
      <c r="K801" s="293"/>
      <c r="L801" s="293"/>
      <c r="M801" s="293"/>
      <c r="N801" s="293"/>
      <c r="O801" s="293"/>
      <c r="P801" s="293"/>
      <c r="Q801" s="293"/>
      <c r="R801" s="293"/>
      <c r="S801" s="293"/>
      <c r="T801" s="293"/>
    </row>
    <row r="802" spans="1:20" ht="15.75" customHeight="1" x14ac:dyDescent="0.25">
      <c r="A802" s="293" t="s">
        <v>20</v>
      </c>
      <c r="B802" s="293"/>
      <c r="C802" s="293"/>
      <c r="D802" s="294"/>
      <c r="E802" s="293"/>
      <c r="F802" s="299" t="s">
        <v>21</v>
      </c>
      <c r="G802" s="293" t="s">
        <v>710</v>
      </c>
      <c r="H802" s="294"/>
      <c r="I802" s="293"/>
      <c r="J802" s="293"/>
      <c r="K802" s="293"/>
      <c r="L802" s="293"/>
      <c r="M802" s="293"/>
      <c r="N802" s="293"/>
      <c r="O802" s="293"/>
      <c r="P802" s="293"/>
      <c r="Q802" s="293"/>
      <c r="R802" s="293"/>
      <c r="S802" s="293"/>
      <c r="T802" s="293"/>
    </row>
    <row r="803" spans="1:20" ht="15.75" customHeight="1" x14ac:dyDescent="0.25">
      <c r="A803" s="293" t="inlineStr">
        <is>
          <t>Dealer-005</t>
        </is>
      </c>
      <c r="B803" s="293"/>
      <c r="C803" s="293"/>
      <c r="D803" s="294"/>
      <c r="E803" s="299"/>
      <c r="F803" s="293"/>
      <c r="G803" s="293"/>
      <c r="H803" s="298"/>
      <c r="I803" s="293"/>
      <c r="J803" s="293"/>
      <c r="K803" s="293"/>
      <c r="L803" s="293"/>
      <c r="M803" s="293"/>
      <c r="N803" s="293"/>
      <c r="O803" s="293"/>
      <c r="P803" s="293"/>
      <c r="Q803" s="293"/>
      <c r="R803" s="293"/>
      <c r="S803" s="293"/>
      <c r="T803" s="293"/>
    </row>
    <row r="804" spans="1:20" ht="15.75" customHeight="1" x14ac:dyDescent="0.25">
      <c r="A804" s="293" t="inlineStr">
        <is>
          <t>Address line (redacted)</t>
        </is>
      </c>
      <c r="B804" s="293"/>
      <c r="C804" s="293"/>
      <c r="D804" s="295"/>
      <c r="E804" s="293"/>
      <c r="F804" s="294"/>
      <c r="G804" s="293"/>
      <c r="H804" s="298"/>
      <c r="I804" s="293"/>
      <c r="J804" s="293"/>
      <c r="K804" s="293"/>
      <c r="L804" s="293"/>
      <c r="M804" s="293"/>
      <c r="N804" s="293"/>
      <c r="O804" s="293"/>
      <c r="P804" s="293"/>
      <c r="Q804" s="293"/>
      <c r="R804" s="293"/>
      <c r="S804" s="293"/>
      <c r="T804" s="293"/>
    </row>
    <row r="805" spans="1:20" ht="15.75" customHeight="1" x14ac:dyDescent="0.25">
      <c r="A805" s="293" t="inlineStr">
        <is>
          <t>Address line (redacted)</t>
        </is>
      </c>
      <c r="B805" s="293"/>
      <c r="C805" s="293"/>
      <c r="D805" s="295"/>
      <c r="E805" s="293"/>
      <c r="F805" s="294"/>
      <c r="G805" s="293"/>
      <c r="H805" s="298"/>
      <c r="I805" s="293"/>
      <c r="J805" s="293"/>
      <c r="K805" s="293"/>
      <c r="L805" s="293"/>
      <c r="M805" s="293"/>
      <c r="N805" s="293"/>
      <c r="O805" s="293"/>
      <c r="P805" s="293"/>
      <c r="Q805" s="293"/>
      <c r="R805" s="293"/>
      <c r="S805" s="293"/>
      <c r="T805" s="293"/>
    </row>
    <row r="806" spans="1:20" ht="15.75" customHeight="1" x14ac:dyDescent="0.25">
      <c r="A806" s="293"/>
      <c r="B806" s="293"/>
      <c r="C806" s="293"/>
      <c r="D806" s="295"/>
      <c r="E806" s="293"/>
      <c r="F806" s="294"/>
      <c r="G806" s="293"/>
      <c r="H806" s="298"/>
      <c r="I806" s="293"/>
      <c r="J806" s="293"/>
      <c r="K806" s="293"/>
      <c r="L806" s="293"/>
      <c r="M806" s="293"/>
      <c r="N806" s="293"/>
      <c r="O806" s="293"/>
      <c r="P806" s="293"/>
      <c r="Q806" s="293"/>
      <c r="R806" s="293"/>
      <c r="S806" s="293"/>
      <c r="T806" s="293"/>
    </row>
    <row r="807" spans="1:20" ht="15.75" customHeight="1" x14ac:dyDescent="0.25">
      <c r="A807" s="293" t="inlineStr">
        <is>
          <t>Through: Transporter-002</t>
        </is>
      </c>
      <c r="B807" s="293"/>
      <c r="C807" s="293"/>
      <c r="D807" s="295"/>
      <c r="E807" s="293"/>
      <c r="F807" s="294"/>
      <c r="G807" s="293"/>
      <c r="H807" s="298"/>
      <c r="I807" s="293"/>
      <c r="J807" s="293"/>
      <c r="K807" s="293"/>
      <c r="L807" s="293"/>
      <c r="M807" s="293"/>
      <c r="N807" s="293"/>
      <c r="O807" s="293"/>
      <c r="P807" s="293"/>
      <c r="Q807" s="293"/>
      <c r="R807" s="293"/>
      <c r="S807" s="293"/>
      <c r="T807" s="293"/>
    </row>
    <row r="808" spans="1:20" ht="15.75" customHeight="1" x14ac:dyDescent="0.25">
      <c r="A808" s="293"/>
      <c r="B808" s="293" t="inlineStr">
        <is>
          <t>Address line (redacted)</t>
        </is>
      </c>
      <c r="C808" s="293"/>
      <c r="D808" s="295"/>
      <c r="E808" s="293"/>
      <c r="F808" s="294"/>
      <c r="G808" s="293"/>
      <c r="H808" s="298"/>
      <c r="I808" s="293"/>
      <c r="J808" s="293"/>
      <c r="K808" s="293"/>
      <c r="L808" s="293"/>
      <c r="M808" s="293"/>
      <c r="N808" s="293"/>
      <c r="O808" s="293"/>
      <c r="P808" s="293"/>
      <c r="Q808" s="293"/>
      <c r="R808" s="293"/>
      <c r="S808" s="293"/>
      <c r="T808" s="293"/>
    </row>
    <row r="809" spans="1:20" ht="15.75" customHeight="1" x14ac:dyDescent="0.25">
      <c r="A809" s="293"/>
      <c r="B809" s="293"/>
      <c r="C809" s="293"/>
      <c r="D809" s="295"/>
      <c r="E809" s="293"/>
      <c r="F809" s="294"/>
      <c r="G809" s="293"/>
      <c r="H809" s="298"/>
      <c r="I809" s="293"/>
      <c r="J809" s="293"/>
      <c r="K809" s="293"/>
      <c r="L809" s="293"/>
      <c r="M809" s="293"/>
      <c r="N809" s="293"/>
      <c r="O809" s="293"/>
      <c r="P809" s="293"/>
      <c r="Q809" s="293"/>
      <c r="R809" s="293"/>
      <c r="S809" s="293"/>
      <c r="T809" s="293"/>
    </row>
    <row r="810" spans="1:20" ht="15.75" customHeight="1" x14ac:dyDescent="0.25">
      <c r="A810" s="293" t="s">
        <v>30</v>
      </c>
      <c r="B810" s="293"/>
      <c r="C810" s="293"/>
      <c r="D810" s="294"/>
      <c r="E810" s="293"/>
      <c r="F810" s="294"/>
      <c r="G810" s="293"/>
      <c r="H810" s="298"/>
      <c r="I810" s="293"/>
      <c r="J810" s="293"/>
      <c r="K810" s="293"/>
      <c r="L810" s="293"/>
      <c r="M810" s="293"/>
      <c r="N810" s="293"/>
      <c r="O810" s="293"/>
      <c r="P810" s="293"/>
      <c r="Q810" s="293"/>
      <c r="R810" s="293"/>
      <c r="S810" s="293"/>
      <c r="T810" s="293"/>
    </row>
    <row r="811" spans="1:20" ht="15.75" customHeight="1" x14ac:dyDescent="0.25">
      <c r="A811" s="293"/>
      <c r="B811" s="293"/>
      <c r="C811" s="293"/>
      <c r="D811" s="294"/>
      <c r="E811" s="293"/>
      <c r="F811" s="294"/>
      <c r="G811" s="293"/>
      <c r="H811" s="298"/>
      <c r="I811" s="293"/>
      <c r="J811" s="293"/>
      <c r="K811" s="293"/>
      <c r="L811" s="293"/>
      <c r="M811" s="293"/>
      <c r="N811" s="293"/>
      <c r="O811" s="293"/>
      <c r="P811" s="293"/>
      <c r="Q811" s="293"/>
      <c r="R811" s="293"/>
      <c r="S811" s="293"/>
      <c r="T811" s="293"/>
    </row>
    <row r="812" spans="1:20" ht="15.75" customHeight="1" x14ac:dyDescent="0.25">
      <c r="A812" s="293" t="s">
        <v>716</v>
      </c>
      <c r="B812" s="293"/>
      <c r="C812" s="293"/>
      <c r="D812" s="294"/>
      <c r="E812" s="293"/>
      <c r="F812" s="294"/>
      <c r="G812" s="293"/>
      <c r="H812" s="298"/>
      <c r="I812" s="293"/>
      <c r="J812" s="293"/>
      <c r="K812" s="293"/>
      <c r="L812" s="293"/>
      <c r="M812" s="293"/>
      <c r="N812" s="293"/>
      <c r="O812" s="293"/>
      <c r="P812" s="293"/>
      <c r="Q812" s="293"/>
      <c r="R812" s="293"/>
      <c r="S812" s="293"/>
      <c r="T812" s="293"/>
    </row>
    <row r="813" spans="1:20" ht="15.75" customHeight="1" x14ac:dyDescent="0.25">
      <c r="A813" s="293" t="s">
        <v>717</v>
      </c>
      <c r="B813" s="293"/>
      <c r="C813" s="293"/>
      <c r="D813" s="294"/>
      <c r="E813" s="293"/>
      <c r="F813" s="294"/>
      <c r="G813" s="293"/>
      <c r="H813" s="298"/>
      <c r="I813" s="293"/>
      <c r="J813" s="293"/>
      <c r="K813" s="293"/>
      <c r="L813" s="293"/>
      <c r="M813" s="293"/>
      <c r="N813" s="293"/>
      <c r="O813" s="293"/>
      <c r="P813" s="293"/>
      <c r="Q813" s="293"/>
      <c r="R813" s="293"/>
      <c r="S813" s="293"/>
      <c r="T813" s="293"/>
    </row>
    <row r="814" spans="1:20" ht="15.75" customHeight="1" x14ac:dyDescent="0.25">
      <c r="A814" s="293"/>
      <c r="B814" s="293"/>
      <c r="C814" s="293"/>
      <c r="D814" s="294"/>
      <c r="E814" s="293"/>
      <c r="F814" s="294"/>
      <c r="G814" s="293"/>
      <c r="H814" s="298"/>
      <c r="I814" s="293"/>
      <c r="J814" s="293"/>
      <c r="K814" s="293"/>
      <c r="L814" s="293"/>
      <c r="M814" s="293"/>
      <c r="N814" s="293"/>
      <c r="O814" s="293"/>
      <c r="P814" s="293"/>
      <c r="Q814" s="293"/>
      <c r="R814" s="293"/>
      <c r="S814" s="293"/>
      <c r="T814" s="293"/>
    </row>
    <row r="815" spans="1:20" ht="15.75" customHeight="1" x14ac:dyDescent="0.25">
      <c r="A815" s="302" t="s">
        <v>33</v>
      </c>
      <c r="B815" s="303" t="s">
        <v>6</v>
      </c>
      <c r="C815" s="303"/>
      <c r="D815" s="304" t="s">
        <v>37</v>
      </c>
      <c r="E815" s="305" t="s">
        <v>38</v>
      </c>
      <c r="F815" s="306" t="s">
        <v>7</v>
      </c>
      <c r="G815" s="307" t="s">
        <v>43</v>
      </c>
      <c r="H815" s="308" t="s">
        <v>44</v>
      </c>
      <c r="I815" s="293"/>
      <c r="J815" s="293"/>
      <c r="K815" s="293"/>
      <c r="L815" s="293"/>
      <c r="M815" s="293"/>
      <c r="N815" s="293"/>
      <c r="O815" s="293"/>
      <c r="P815" s="293"/>
      <c r="Q815" s="293"/>
      <c r="R815" s="293"/>
      <c r="S815" s="293"/>
      <c r="T815" s="293"/>
    </row>
    <row r="816" spans="1:20" ht="15.75" customHeight="1" x14ac:dyDescent="0.25">
      <c r="A816" s="309"/>
      <c r="B816" s="310"/>
      <c r="C816" s="297"/>
      <c r="D816" s="311"/>
      <c r="E816" s="311"/>
      <c r="F816" s="312"/>
      <c r="G816" s="313"/>
      <c r="H816" s="314"/>
      <c r="I816" s="293"/>
      <c r="J816" s="293"/>
      <c r="K816" s="293"/>
      <c r="L816" s="293"/>
      <c r="M816" s="293"/>
      <c r="N816" s="293"/>
      <c r="O816" s="293"/>
      <c r="P816" s="293"/>
      <c r="Q816" s="293"/>
      <c r="R816" s="293"/>
      <c r="S816" s="293"/>
      <c r="T816" s="293"/>
    </row>
    <row r="817" spans="1:20" ht="15.75" customHeight="1" x14ac:dyDescent="0.25">
      <c r="A817" s="315"/>
      <c r="B817" s="316"/>
      <c r="C817" s="317"/>
      <c r="D817" s="318"/>
      <c r="E817" s="318"/>
      <c r="F817" s="294"/>
      <c r="G817" s="318"/>
      <c r="H817" s="319"/>
      <c r="I817" s="293"/>
      <c r="J817" s="293"/>
      <c r="K817" s="293"/>
      <c r="L817" s="293"/>
      <c r="M817" s="293"/>
      <c r="N817" s="293"/>
      <c r="O817" s="293"/>
      <c r="P817" s="293"/>
      <c r="Q817" s="293"/>
      <c r="R817" s="293"/>
      <c r="S817" s="293"/>
      <c r="T817" s="293"/>
    </row>
    <row r="818" spans="1:20" ht="15.75" customHeight="1" x14ac:dyDescent="0.25">
      <c r="A818" s="315" t="s">
        <v>55</v>
      </c>
      <c r="B818" s="320" t="s">
        <v>724</v>
      </c>
      <c r="C818" s="293"/>
      <c r="D818" s="318">
        <v>0</v>
      </c>
      <c r="E818" s="318">
        <v>24</v>
      </c>
      <c r="F818" s="294">
        <f>+E818*D818</f>
      </c>
      <c r="G818" s="318">
        <v>0</v>
      </c>
      <c r="H818" s="319">
        <f>+G818*F818</f>
      </c>
      <c r="I818" s="293"/>
      <c r="J818" s="293"/>
      <c r="K818" s="293"/>
      <c r="L818" s="293"/>
      <c r="M818" s="293"/>
      <c r="N818" s="293"/>
      <c r="O818" s="293"/>
      <c r="P818" s="293"/>
      <c r="Q818" s="293"/>
      <c r="R818" s="293"/>
      <c r="S818" s="293"/>
      <c r="T818" s="293"/>
    </row>
    <row r="819" spans="1:20" ht="15.75" customHeight="1" x14ac:dyDescent="0.25">
      <c r="A819" s="315"/>
      <c r="B819" s="320"/>
      <c r="C819" s="293"/>
      <c r="D819" s="318"/>
      <c r="E819" s="318"/>
      <c r="F819" s="294"/>
      <c r="G819" s="318"/>
      <c r="H819" s="319"/>
      <c r="I819" s="293"/>
      <c r="J819" s="293"/>
      <c r="K819" s="293"/>
      <c r="L819" s="293"/>
      <c r="M819" s="293"/>
      <c r="N819" s="293"/>
      <c r="O819" s="293"/>
      <c r="P819" s="293"/>
      <c r="Q819" s="293"/>
      <c r="R819" s="293"/>
      <c r="S819" s="293"/>
      <c r="T819" s="293"/>
    </row>
    <row r="820" spans="1:20" ht="15.75" customHeight="1" x14ac:dyDescent="0.25">
      <c r="A820" s="315"/>
      <c r="B820" s="321" t="s">
        <v>725</v>
      </c>
      <c r="C820" s="322"/>
      <c r="D820" s="322"/>
      <c r="E820" s="322"/>
      <c r="F820" s="322"/>
      <c r="G820" s="323"/>
      <c r="H820" s="319"/>
      <c r="I820" s="293"/>
      <c r="J820" s="293"/>
      <c r="K820" s="293"/>
      <c r="L820" s="293"/>
      <c r="M820" s="293"/>
      <c r="N820" s="293"/>
      <c r="O820" s="293"/>
      <c r="P820" s="293"/>
      <c r="Q820" s="293"/>
      <c r="R820" s="293"/>
      <c r="S820" s="293"/>
      <c r="T820" s="293"/>
    </row>
    <row r="821" spans="1:20" ht="15.75" customHeight="1" x14ac:dyDescent="0.25">
      <c r="A821" s="315"/>
      <c r="B821" s="321"/>
      <c r="C821" s="322"/>
      <c r="D821" s="322"/>
      <c r="E821" s="322"/>
      <c r="F821" s="322"/>
      <c r="G821" s="323"/>
      <c r="H821" s="319"/>
      <c r="I821" s="293"/>
      <c r="J821" s="293"/>
      <c r="K821" s="293"/>
      <c r="L821" s="293"/>
      <c r="M821" s="293"/>
      <c r="N821" s="293"/>
      <c r="O821" s="293"/>
      <c r="P821" s="293"/>
      <c r="Q821" s="293"/>
      <c r="R821" s="293"/>
      <c r="S821" s="293"/>
      <c r="T821" s="293"/>
    </row>
    <row r="822" spans="1:20" ht="15.75" customHeight="1" x14ac:dyDescent="0.25">
      <c r="A822" s="315"/>
      <c r="B822" s="321"/>
      <c r="C822" s="322"/>
      <c r="D822" s="322"/>
      <c r="E822" s="322"/>
      <c r="F822" s="322"/>
      <c r="G822" s="323"/>
      <c r="H822" s="319"/>
      <c r="I822" s="293"/>
      <c r="J822" s="293"/>
      <c r="K822" s="293"/>
      <c r="L822" s="293"/>
      <c r="M822" s="293"/>
      <c r="N822" s="293"/>
      <c r="O822" s="293"/>
      <c r="P822" s="293"/>
      <c r="Q822" s="293"/>
      <c r="R822" s="293"/>
      <c r="S822" s="293"/>
      <c r="T822" s="293"/>
    </row>
    <row r="823" spans="1:20" ht="15.75" customHeight="1" x14ac:dyDescent="0.25">
      <c r="A823" s="315"/>
      <c r="B823" s="321"/>
      <c r="C823" s="322"/>
      <c r="D823" s="322"/>
      <c r="E823" s="322"/>
      <c r="F823" s="322"/>
      <c r="G823" s="323"/>
      <c r="H823" s="319"/>
      <c r="I823" s="293"/>
      <c r="J823" s="293"/>
      <c r="K823" s="293"/>
      <c r="L823" s="293"/>
      <c r="M823" s="293"/>
      <c r="N823" s="293"/>
      <c r="O823" s="293"/>
      <c r="P823" s="293"/>
      <c r="Q823" s="293"/>
      <c r="R823" s="293"/>
      <c r="S823" s="293"/>
      <c r="T823" s="293"/>
    </row>
    <row r="824" spans="1:20" ht="15.75" customHeight="1" x14ac:dyDescent="0.25">
      <c r="A824" s="315"/>
      <c r="B824" s="321"/>
      <c r="C824" s="322"/>
      <c r="D824" s="322"/>
      <c r="E824" s="322"/>
      <c r="F824" s="322"/>
      <c r="G824" s="323"/>
      <c r="H824" s="319"/>
      <c r="I824" s="293"/>
      <c r="J824" s="293"/>
      <c r="K824" s="293"/>
      <c r="L824" s="293"/>
      <c r="M824" s="293"/>
      <c r="N824" s="293"/>
      <c r="O824" s="293"/>
      <c r="P824" s="293"/>
      <c r="Q824" s="293"/>
      <c r="R824" s="293"/>
      <c r="S824" s="293"/>
      <c r="T824" s="293"/>
    </row>
    <row r="825" spans="1:20" ht="15.75" customHeight="1" x14ac:dyDescent="0.25">
      <c r="A825" s="315"/>
      <c r="B825" s="324"/>
      <c r="C825" s="293"/>
      <c r="D825" s="318"/>
      <c r="E825" s="318"/>
      <c r="F825" s="294"/>
      <c r="G825" s="318"/>
      <c r="H825" s="319"/>
      <c r="I825" s="293"/>
      <c r="J825" s="293"/>
      <c r="K825" s="293"/>
      <c r="L825" s="293"/>
      <c r="M825" s="293"/>
      <c r="N825" s="293"/>
      <c r="O825" s="293"/>
      <c r="P825" s="293"/>
      <c r="Q825" s="293"/>
      <c r="R825" s="293"/>
      <c r="S825" s="293"/>
      <c r="T825" s="293"/>
    </row>
    <row r="826" spans="1:20" ht="15.75" customHeight="1" x14ac:dyDescent="0.25">
      <c r="A826" s="325"/>
      <c r="B826" s="312"/>
      <c r="C826" s="297"/>
      <c r="D826" s="318"/>
      <c r="E826" s="318"/>
      <c r="F826" s="326"/>
      <c r="G826" s="327"/>
      <c r="H826" s="319"/>
      <c r="I826" s="293"/>
      <c r="J826" s="293"/>
      <c r="K826" s="293"/>
      <c r="L826" s="293"/>
      <c r="M826" s="293"/>
      <c r="N826" s="293"/>
      <c r="O826" s="293"/>
      <c r="P826" s="293"/>
      <c r="Q826" s="293"/>
      <c r="R826" s="293"/>
      <c r="S826" s="293"/>
      <c r="T826" s="293"/>
    </row>
    <row r="827" spans="1:20" ht="15.75" customHeight="1" x14ac:dyDescent="0.25">
      <c r="A827" s="328"/>
      <c r="B827" s="329"/>
      <c r="C827" s="330" t="s">
        <v>85</v>
      </c>
      <c r="D827" s="331">
        <f>SUM(D817:D826)</f>
      </c>
      <c r="E827" s="331"/>
      <c r="F827" s="332">
        <f>SUM(F817:F826)</f>
      </c>
      <c r="G827" s="333"/>
      <c r="H827" s="334">
        <f>SUM(H818:H826)</f>
      </c>
      <c r="I827" s="293"/>
      <c r="J827" s="293"/>
      <c r="K827" s="293"/>
      <c r="L827" s="293"/>
      <c r="M827" s="293"/>
      <c r="N827" s="293"/>
      <c r="O827" s="293"/>
      <c r="P827" s="293"/>
      <c r="Q827" s="293"/>
      <c r="R827" s="293"/>
      <c r="S827" s="293"/>
      <c r="T827" s="293"/>
    </row>
    <row r="828" spans="1:20" ht="15.75" customHeight="1" x14ac:dyDescent="0.25">
      <c r="A828" s="335"/>
      <c r="B828" s="336"/>
      <c r="C828" s="336"/>
      <c r="D828" s="337"/>
      <c r="E828" s="336"/>
      <c r="F828" s="338"/>
      <c r="G828" s="339"/>
      <c r="H828" s="340"/>
      <c r="I828" s="293"/>
      <c r="J828" s="293"/>
      <c r="K828" s="293"/>
      <c r="L828" s="293"/>
      <c r="M828" s="293"/>
      <c r="N828" s="293"/>
      <c r="O828" s="293"/>
      <c r="P828" s="293"/>
      <c r="Q828" s="293"/>
      <c r="R828" s="293"/>
      <c r="S828" s="293"/>
      <c r="T828" s="293"/>
    </row>
    <row r="829" spans="1:20" ht="15.75" customHeight="1" x14ac:dyDescent="0.25">
      <c r="A829" s="296"/>
      <c r="B829" s="294"/>
      <c r="C829" s="294"/>
      <c r="D829" s="294"/>
      <c r="E829" s="293"/>
      <c r="F829" s="296"/>
      <c r="G829" s="293"/>
      <c r="H829" s="298"/>
      <c r="I829" s="293"/>
      <c r="J829" s="293"/>
      <c r="K829" s="293"/>
      <c r="L829" s="293"/>
      <c r="M829" s="293"/>
      <c r="N829" s="293"/>
      <c r="O829" s="293"/>
      <c r="P829" s="293"/>
      <c r="Q829" s="293"/>
      <c r="R829" s="293"/>
      <c r="S829" s="293"/>
      <c r="T829" s="293"/>
    </row>
    <row r="830" spans="1:20" ht="15.75" customHeight="1" x14ac:dyDescent="0.25">
      <c r="A830" s="341"/>
      <c r="B830" s="341"/>
      <c r="C830" s="341"/>
      <c r="D830" s="342" t="s">
        <v>97</v>
      </c>
      <c r="E830" s="341" t="s">
        <v>98</v>
      </c>
      <c r="F830" s="341"/>
      <c r="G830" s="293"/>
      <c r="H830" s="298"/>
      <c r="I830" s="293"/>
      <c r="J830" s="293"/>
      <c r="K830" s="293"/>
      <c r="L830" s="293"/>
      <c r="M830" s="293"/>
      <c r="N830" s="293"/>
      <c r="O830" s="293"/>
      <c r="P830" s="293"/>
      <c r="Q830" s="293"/>
      <c r="R830" s="293"/>
      <c r="S830" s="293"/>
      <c r="T830" s="293"/>
    </row>
    <row r="831" spans="1:20" ht="15.75" customHeight="1" x14ac:dyDescent="0.25">
      <c r="A831" s="293"/>
      <c r="B831" s="293"/>
      <c r="C831" s="293"/>
      <c r="D831" s="294"/>
      <c r="E831" s="293"/>
      <c r="F831" s="293"/>
      <c r="G831" s="293"/>
      <c r="H831" s="298"/>
      <c r="I831" s="293"/>
      <c r="J831" s="293"/>
      <c r="K831" s="293"/>
      <c r="L831" s="293"/>
      <c r="M831" s="293"/>
      <c r="N831" s="293"/>
      <c r="O831" s="293"/>
      <c r="P831" s="293"/>
      <c r="Q831" s="293"/>
      <c r="R831" s="293"/>
      <c r="S831" s="293"/>
      <c r="T831" s="293"/>
    </row>
    <row r="832" spans="1:20" ht="15.75" customHeight="1" x14ac:dyDescent="0.25">
      <c r="A832" s="293"/>
      <c r="B832" s="293"/>
      <c r="C832" s="293"/>
      <c r="D832" s="294"/>
      <c r="E832" s="293"/>
      <c r="F832" s="293"/>
      <c r="G832" s="293"/>
      <c r="H832" s="298"/>
      <c r="I832" s="293"/>
      <c r="J832" s="293"/>
      <c r="K832" s="293"/>
      <c r="L832" s="293"/>
      <c r="M832" s="293"/>
      <c r="N832" s="293"/>
      <c r="O832" s="293"/>
      <c r="P832" s="293"/>
      <c r="Q832" s="293"/>
      <c r="R832" s="293"/>
      <c r="S832" s="293"/>
      <c r="T832" s="293"/>
    </row>
    <row r="833" spans="1:20" ht="15.75" customHeight="1" x14ac:dyDescent="0.25">
      <c r="A833" s="341"/>
      <c r="B833" s="341"/>
      <c r="C833" s="341"/>
      <c r="D833" s="342"/>
      <c r="E833" s="341" t="s">
        <v>99</v>
      </c>
      <c r="F833" s="341"/>
      <c r="G833" s="293"/>
      <c r="H833" s="298"/>
      <c r="I833" s="293"/>
      <c r="J833" s="293"/>
      <c r="K833" s="293"/>
      <c r="L833" s="293"/>
      <c r="M833" s="293"/>
      <c r="N833" s="293"/>
      <c r="O833" s="293"/>
      <c r="P833" s="293"/>
      <c r="Q833" s="293"/>
      <c r="R833" s="293"/>
      <c r="S833" s="293"/>
      <c r="T833" s="293"/>
    </row>
    <row r="834" spans="1:20" ht="15.75" customHeight="1" x14ac:dyDescent="0.25">
      <c r="A834" s="293"/>
      <c r="B834" s="293"/>
      <c r="C834" s="293"/>
      <c r="D834" s="294"/>
      <c r="E834" s="293"/>
      <c r="F834" s="293"/>
      <c r="G834" s="293"/>
      <c r="H834" s="294"/>
      <c r="I834" s="293"/>
      <c r="J834" s="293"/>
      <c r="K834" s="293"/>
      <c r="L834" s="293"/>
      <c r="M834" s="293"/>
      <c r="N834" s="293"/>
      <c r="O834" s="293"/>
      <c r="P834" s="293"/>
      <c r="Q834" s="293"/>
      <c r="R834" s="293"/>
      <c r="S834" s="293"/>
      <c r="T834" s="293"/>
    </row>
    <row r="835" spans="1:20" ht="15.75" customHeight="1" x14ac:dyDescent="0.25">
      <c r="A835" s="293"/>
      <c r="B835" s="293"/>
      <c r="C835" s="293"/>
      <c r="D835" s="294"/>
      <c r="E835" s="293"/>
      <c r="F835" s="293"/>
      <c r="G835" s="293"/>
      <c r="H835" s="294"/>
    </row>
    <row r="836" spans="1:20" ht="15.75" customHeight="1" x14ac:dyDescent="0.25">
      <c r="D836" s="4"/>
      <c r="H836" s="4"/>
    </row>
    <row r="837" spans="1:20" ht="15.75" customHeight="1" x14ac:dyDescent="0.25">
      <c r="D837" s="4"/>
      <c r="H837" s="4"/>
    </row>
    <row r="838" spans="1:20" ht="15.75" customHeight="1" x14ac:dyDescent="0.25">
      <c r="D838" s="4"/>
      <c r="H838" s="4"/>
    </row>
    <row r="839" spans="1:20" ht="15.75" customHeight="1" x14ac:dyDescent="0.25">
      <c r="D839" s="4"/>
      <c r="H839" s="4"/>
    </row>
    <row r="840" spans="1:20" ht="15.75" customHeight="1" x14ac:dyDescent="0.25">
      <c r="D840" s="4"/>
      <c r="H840" s="4"/>
    </row>
    <row r="841" spans="1:20" ht="15.75" customHeight="1" x14ac:dyDescent="0.25">
      <c r="D841" s="4"/>
      <c r="H841" s="4"/>
    </row>
    <row r="842" spans="1:20" ht="15.75" customHeight="1" x14ac:dyDescent="0.25">
      <c r="D842" s="4"/>
      <c r="H842" s="4"/>
    </row>
    <row r="843" spans="1:20" ht="15.75" customHeight="1" x14ac:dyDescent="0.25">
      <c r="D843" s="4"/>
      <c r="H843" s="4"/>
    </row>
    <row r="844" spans="1:20" ht="15.75" customHeight="1" x14ac:dyDescent="0.25">
      <c r="D844" s="4"/>
      <c r="H844" s="4"/>
    </row>
    <row r="845" spans="1:20" ht="15.75" customHeight="1" x14ac:dyDescent="0.25">
      <c r="D845" s="4"/>
      <c r="H845" s="4"/>
    </row>
    <row r="846" spans="1:20" ht="15.75" customHeight="1" x14ac:dyDescent="0.25">
      <c r="D846" s="4"/>
      <c r="H846" s="4"/>
    </row>
    <row r="847" spans="1:20" ht="15.75" customHeight="1" x14ac:dyDescent="0.25">
      <c r="D847" s="4"/>
      <c r="H847" s="4"/>
    </row>
    <row r="848" spans="1:20" ht="15.75" customHeight="1" x14ac:dyDescent="0.25">
      <c r="D848" s="4"/>
      <c r="H848" s="4"/>
    </row>
    <row r="849" spans="1:8" ht="15.75" customHeight="1" x14ac:dyDescent="0.25">
      <c r="A849" s="292" t="s">
        <v>14</v>
      </c>
      <c r="B849" s="292"/>
      <c r="C849" s="292"/>
      <c r="D849" s="292"/>
      <c r="E849" s="292"/>
      <c r="F849" s="292"/>
      <c r="G849" s="292"/>
      <c r="H849" s="292"/>
    </row>
    <row r="850" spans="1:8" ht="15.75" customHeight="1" x14ac:dyDescent="0.25">
      <c r="A850" s="293"/>
      <c r="B850" s="293"/>
      <c r="C850" s="293"/>
      <c r="D850" s="294"/>
      <c r="E850" s="293"/>
      <c r="F850" s="293"/>
      <c r="G850" s="293"/>
      <c r="H850" s="295"/>
    </row>
    <row r="851" spans="1:8" ht="15.75" customHeight="1" x14ac:dyDescent="0.25">
      <c r="A851" s="293"/>
      <c r="B851" s="293"/>
      <c r="C851" s="294"/>
      <c r="D851" s="296"/>
      <c r="E851" s="297"/>
      <c r="F851" s="297"/>
      <c r="G851" s="297"/>
      <c r="H851" s="298"/>
    </row>
    <row r="852" spans="1:8" ht="15.75" customHeight="1" x14ac:dyDescent="0.25">
      <c r="A852" s="293"/>
      <c r="B852" s="293"/>
      <c r="C852" s="293"/>
      <c r="D852" s="294"/>
      <c r="E852" s="293"/>
      <c r="F852" s="299" t="s">
        <v>18</v>
      </c>
      <c r="G852" s="300" t="s">
        <v>558</v>
      </c>
      <c r="H852" s="301"/>
    </row>
    <row r="853" spans="1:8" ht="15.75" customHeight="1" x14ac:dyDescent="0.25">
      <c r="A853" s="293" t="s">
        <v>20</v>
      </c>
      <c r="B853" s="293"/>
      <c r="C853" s="293"/>
      <c r="D853" s="294"/>
      <c r="E853" s="293"/>
      <c r="F853" s="299" t="s">
        <v>21</v>
      </c>
      <c r="G853" s="293" t="s">
        <v>559</v>
      </c>
      <c r="H853" s="294"/>
    </row>
    <row r="854" spans="1:8" ht="15.75" customHeight="1" x14ac:dyDescent="0.25">
      <c r="A854" s="293" t="inlineStr">
        <is>
          <t>Dealer-006</t>
        </is>
      </c>
      <c r="B854" s="293"/>
      <c r="C854" s="293"/>
      <c r="D854" s="294"/>
      <c r="E854" s="299"/>
      <c r="F854" s="293"/>
      <c r="G854" s="293"/>
      <c r="H854" s="298"/>
    </row>
    <row r="855" spans="1:8" ht="15.75" customHeight="1" x14ac:dyDescent="0.25">
      <c r="A855" s="293" t="inlineStr">
        <is>
          <t>Address line (redacted)</t>
        </is>
      </c>
      <c r="B855" s="293"/>
      <c r="C855" s="293"/>
      <c r="D855" s="295"/>
      <c r="E855" s="293"/>
      <c r="F855" s="294"/>
      <c r="G855" s="293"/>
      <c r="H855" s="298"/>
    </row>
    <row r="856" spans="1:8" ht="15.75" customHeight="1" x14ac:dyDescent="0.25">
      <c r="A856" s="293" t="inlineStr">
        <is>
          <t>Address line (redacted)</t>
        </is>
      </c>
      <c r="B856" s="293"/>
      <c r="C856" s="293"/>
      <c r="D856" s="295"/>
      <c r="E856" s="293"/>
      <c r="F856" s="294"/>
      <c r="G856" s="293"/>
      <c r="H856" s="298"/>
    </row>
    <row r="857" spans="1:8" ht="15.75" customHeight="1" x14ac:dyDescent="0.25">
      <c r="A857" s="293"/>
      <c r="B857" s="293"/>
      <c r="C857" s="293"/>
      <c r="D857" s="295"/>
      <c r="E857" s="293"/>
      <c r="F857" s="294"/>
      <c r="G857" s="293"/>
      <c r="H857" s="298"/>
    </row>
    <row r="858" spans="1:8" ht="15.75" customHeight="1" x14ac:dyDescent="0.25">
      <c r="A858" s="293" t="inlineStr">
        <is>
          <t>Through: Transporter-002</t>
        </is>
      </c>
      <c r="B858" s="293"/>
      <c r="C858" s="293"/>
      <c r="D858" s="295"/>
      <c r="E858" s="293"/>
      <c r="F858" s="294"/>
      <c r="G858" s="293"/>
      <c r="H858" s="298"/>
    </row>
    <row r="859" spans="1:8" ht="15.75" customHeight="1" x14ac:dyDescent="0.25">
      <c r="A859" s="293"/>
      <c r="B859" s="293" t="inlineStr">
        <is>
          <t>Address line (redacted)</t>
        </is>
      </c>
      <c r="C859" s="293"/>
      <c r="D859" s="295"/>
      <c r="E859" s="293"/>
      <c r="F859" s="294"/>
      <c r="G859" s="293"/>
      <c r="H859" s="298"/>
    </row>
    <row r="860" spans="1:8" ht="15.75" customHeight="1" x14ac:dyDescent="0.25">
      <c r="A860" s="293"/>
      <c r="B860" s="293"/>
      <c r="C860" s="293"/>
      <c r="D860" s="295"/>
      <c r="E860" s="293"/>
      <c r="F860" s="294"/>
      <c r="G860" s="293"/>
      <c r="H860" s="298"/>
    </row>
    <row r="861" spans="1:8" ht="15.75" customHeight="1" x14ac:dyDescent="0.25">
      <c r="A861" s="293" t="s">
        <v>30</v>
      </c>
      <c r="B861" s="293"/>
      <c r="C861" s="293"/>
      <c r="D861" s="294"/>
      <c r="E861" s="293"/>
      <c r="F861" s="294"/>
      <c r="G861" s="293"/>
      <c r="H861" s="298"/>
    </row>
    <row r="862" spans="1:8" ht="15.75" customHeight="1" x14ac:dyDescent="0.25">
      <c r="A862" s="293"/>
      <c r="B862" s="293"/>
      <c r="C862" s="293"/>
      <c r="D862" s="294"/>
      <c r="E862" s="293"/>
      <c r="F862" s="294"/>
      <c r="G862" s="293"/>
      <c r="H862" s="298"/>
    </row>
    <row r="863" spans="1:8" ht="15.75" customHeight="1" x14ac:dyDescent="0.25">
      <c r="A863" s="293" t="s">
        <v>716</v>
      </c>
      <c r="B863" s="293"/>
      <c r="C863" s="293"/>
      <c r="D863" s="294"/>
      <c r="E863" s="293"/>
      <c r="F863" s="294"/>
      <c r="G863" s="293"/>
      <c r="H863" s="298"/>
    </row>
    <row r="864" spans="1:8" ht="15.75" customHeight="1" x14ac:dyDescent="0.25">
      <c r="A864" s="293" t="s">
        <v>717</v>
      </c>
      <c r="B864" s="293"/>
      <c r="C864" s="293"/>
      <c r="D864" s="294"/>
      <c r="E864" s="293"/>
      <c r="F864" s="294"/>
      <c r="G864" s="293"/>
      <c r="H864" s="298"/>
    </row>
    <row r="865" spans="1:8" ht="15.75" customHeight="1" x14ac:dyDescent="0.25">
      <c r="A865" s="293"/>
      <c r="B865" s="293"/>
      <c r="C865" s="293"/>
      <c r="D865" s="294"/>
      <c r="E865" s="293"/>
      <c r="F865" s="294"/>
      <c r="G865" s="293"/>
      <c r="H865" s="298"/>
    </row>
    <row r="866" spans="1:8" ht="15.75" customHeight="1" x14ac:dyDescent="0.25">
      <c r="A866" s="302" t="s">
        <v>33</v>
      </c>
      <c r="B866" s="303" t="s">
        <v>6</v>
      </c>
      <c r="C866" s="303"/>
      <c r="D866" s="304" t="s">
        <v>37</v>
      </c>
      <c r="E866" s="305" t="s">
        <v>38</v>
      </c>
      <c r="F866" s="306" t="s">
        <v>7</v>
      </c>
      <c r="G866" s="307" t="s">
        <v>43</v>
      </c>
      <c r="H866" s="308" t="s">
        <v>44</v>
      </c>
    </row>
    <row r="867" spans="1:8" ht="15.75" customHeight="1" x14ac:dyDescent="0.25">
      <c r="A867" s="309"/>
      <c r="B867" s="310"/>
      <c r="C867" s="297"/>
      <c r="D867" s="311"/>
      <c r="E867" s="311"/>
      <c r="F867" s="312"/>
      <c r="G867" s="313"/>
      <c r="H867" s="314"/>
    </row>
    <row r="868" spans="1:8" ht="15.75" customHeight="1" x14ac:dyDescent="0.25">
      <c r="A868" s="315"/>
      <c r="B868" s="316"/>
      <c r="C868" s="317"/>
      <c r="D868" s="318"/>
      <c r="E868" s="318"/>
      <c r="F868" s="294"/>
      <c r="G868" s="318"/>
      <c r="H868" s="319"/>
    </row>
    <row r="869" spans="1:8" ht="15.75" customHeight="1" x14ac:dyDescent="0.25">
      <c r="A869" s="315" t="s">
        <v>55</v>
      </c>
      <c r="B869" s="320" t="s">
        <v>724</v>
      </c>
      <c r="C869" s="293"/>
      <c r="D869" s="318">
        <v>40</v>
      </c>
      <c r="E869" s="318">
        <v>24</v>
      </c>
      <c r="F869" s="294">
        <f>+E869*D869</f>
      </c>
      <c r="G869" s="318">
        <v>1</v>
      </c>
      <c r="H869" s="319">
        <f>+G869*F869</f>
      </c>
    </row>
    <row r="870" spans="1:8" ht="15.75" customHeight="1" x14ac:dyDescent="0.25">
      <c r="A870" s="315"/>
      <c r="B870" s="320"/>
      <c r="C870" s="293"/>
      <c r="D870" s="318"/>
      <c r="E870" s="318"/>
      <c r="F870" s="294"/>
      <c r="G870" s="318"/>
      <c r="H870" s="319"/>
    </row>
    <row r="871" spans="1:8" ht="15.75" customHeight="1" x14ac:dyDescent="0.25">
      <c r="A871" s="315"/>
      <c r="B871" s="320"/>
      <c r="C871" s="293"/>
      <c r="D871" s="318"/>
      <c r="E871" s="318"/>
      <c r="F871" s="294"/>
      <c r="G871" s="318"/>
      <c r="H871" s="319"/>
    </row>
    <row r="872" spans="1:8" ht="15.75" customHeight="1" x14ac:dyDescent="0.25">
      <c r="A872" s="315"/>
      <c r="B872" s="320"/>
      <c r="C872" s="293"/>
      <c r="D872" s="318"/>
      <c r="E872" s="318"/>
      <c r="F872" s="294"/>
      <c r="G872" s="318"/>
      <c r="H872" s="319"/>
    </row>
    <row r="873" spans="1:8" ht="15.75" customHeight="1" x14ac:dyDescent="0.25">
      <c r="A873" s="315"/>
      <c r="B873" s="320"/>
      <c r="C873" s="293"/>
      <c r="D873" s="318"/>
      <c r="E873" s="318"/>
      <c r="F873" s="294"/>
      <c r="G873" s="318"/>
      <c r="H873" s="319"/>
    </row>
    <row r="874" spans="1:8" ht="15.75" customHeight="1" x14ac:dyDescent="0.25">
      <c r="A874" s="315"/>
      <c r="B874" s="320"/>
      <c r="C874" s="293"/>
      <c r="D874" s="318"/>
      <c r="E874" s="318"/>
      <c r="F874" s="294"/>
      <c r="G874" s="318"/>
      <c r="H874" s="319"/>
    </row>
    <row r="875" spans="1:8" ht="15.75" customHeight="1" x14ac:dyDescent="0.25">
      <c r="A875" s="315"/>
      <c r="B875" s="320"/>
      <c r="C875" s="293"/>
      <c r="D875" s="318"/>
      <c r="E875" s="318"/>
      <c r="F875" s="294"/>
      <c r="G875" s="318"/>
      <c r="H875" s="319"/>
    </row>
    <row r="876" spans="1:8" ht="15.75" customHeight="1" x14ac:dyDescent="0.25">
      <c r="A876" s="315"/>
      <c r="B876" s="324"/>
      <c r="C876" s="293"/>
      <c r="D876" s="318"/>
      <c r="E876" s="318"/>
      <c r="F876" s="294"/>
      <c r="G876" s="318"/>
      <c r="H876" s="319"/>
    </row>
    <row r="877" spans="1:8" ht="15.75" customHeight="1" x14ac:dyDescent="0.25">
      <c r="A877" s="325"/>
      <c r="B877" s="312"/>
      <c r="C877" s="297"/>
      <c r="D877" s="318"/>
      <c r="E877" s="318"/>
      <c r="F877" s="326"/>
      <c r="G877" s="327"/>
      <c r="H877" s="319"/>
    </row>
    <row r="878" spans="1:8" ht="15.75" customHeight="1" x14ac:dyDescent="0.25">
      <c r="A878" s="328"/>
      <c r="B878" s="329"/>
      <c r="C878" s="330" t="s">
        <v>85</v>
      </c>
      <c r="D878" s="331">
        <f>SUM(D868:D877)</f>
      </c>
      <c r="E878" s="331"/>
      <c r="F878" s="332">
        <f>SUM(F868:F877)</f>
      </c>
      <c r="G878" s="333"/>
      <c r="H878" s="334">
        <f>SUM(H869:H877)</f>
      </c>
    </row>
    <row r="879" spans="1:8" ht="15.75" customHeight="1" x14ac:dyDescent="0.25">
      <c r="A879" s="335"/>
      <c r="B879" s="336"/>
      <c r="C879" s="336"/>
      <c r="D879" s="337"/>
      <c r="E879" s="336"/>
      <c r="F879" s="338"/>
      <c r="G879" s="339"/>
      <c r="H879" s="340"/>
    </row>
    <row r="880" spans="1:8" ht="15.75" customHeight="1" x14ac:dyDescent="0.25">
      <c r="A880" s="296"/>
      <c r="B880" s="294"/>
      <c r="C880" s="294"/>
      <c r="D880" s="294"/>
      <c r="E880" s="293"/>
      <c r="F880" s="296"/>
      <c r="G880" s="293"/>
      <c r="H880" s="298"/>
    </row>
    <row r="881" spans="1:8" ht="15.75" customHeight="1" x14ac:dyDescent="0.25">
      <c r="A881" s="341"/>
      <c r="B881" s="341"/>
      <c r="C881" s="341"/>
      <c r="D881" s="342" t="s">
        <v>97</v>
      </c>
      <c r="E881" s="341" t="s">
        <v>98</v>
      </c>
      <c r="F881" s="341"/>
      <c r="G881" s="293"/>
      <c r="H881" s="298"/>
    </row>
    <row r="882" spans="1:8" ht="15.75" customHeight="1" x14ac:dyDescent="0.25">
      <c r="A882" s="293"/>
      <c r="B882" s="293"/>
      <c r="C882" s="293"/>
      <c r="D882" s="294"/>
      <c r="E882" s="293"/>
      <c r="F882" s="293"/>
      <c r="G882" s="293"/>
      <c r="H882" s="298"/>
    </row>
    <row r="883" spans="1:8" ht="15.75" customHeight="1" x14ac:dyDescent="0.25">
      <c r="A883" s="293"/>
      <c r="B883" s="293"/>
      <c r="C883" s="293"/>
      <c r="D883" s="294"/>
      <c r="E883" s="293"/>
      <c r="F883" s="293"/>
      <c r="G883" s="293"/>
      <c r="H883" s="298"/>
    </row>
    <row r="884" spans="1:8" ht="15.75" customHeight="1" x14ac:dyDescent="0.25">
      <c r="A884" s="341"/>
      <c r="B884" s="341"/>
      <c r="C884" s="341"/>
      <c r="D884" s="342"/>
      <c r="E884" s="341" t="s">
        <v>99</v>
      </c>
      <c r="F884" s="341"/>
      <c r="G884" s="293"/>
      <c r="H884" s="298"/>
    </row>
    <row r="885" spans="1:8" ht="15.75" customHeight="1" x14ac:dyDescent="0.25">
      <c r="D885" s="4"/>
      <c r="H885" s="4"/>
    </row>
    <row r="886" spans="1:8" ht="15.75" customHeight="1" x14ac:dyDescent="0.25">
      <c r="D886" s="4"/>
      <c r="H886" s="4"/>
    </row>
    <row r="887" spans="1:8" ht="15.75" customHeight="1" x14ac:dyDescent="0.25">
      <c r="D887" s="4"/>
      <c r="H887" s="4"/>
    </row>
    <row r="888" spans="1:8" ht="15.75" customHeight="1" x14ac:dyDescent="0.25">
      <c r="D888" s="4"/>
      <c r="H888" s="4"/>
    </row>
    <row r="889" spans="1:8" ht="15.75" customHeight="1" x14ac:dyDescent="0.25">
      <c r="D889" s="4"/>
      <c r="H889" s="4"/>
    </row>
    <row r="890" spans="1:8" ht="15.75" customHeight="1" x14ac:dyDescent="0.25">
      <c r="D890" s="4"/>
      <c r="H890" s="4"/>
    </row>
    <row r="891" spans="1:8" ht="15.75" customHeight="1" x14ac:dyDescent="0.25">
      <c r="D891" s="4"/>
      <c r="H891" s="4"/>
    </row>
    <row r="892" spans="1:8" ht="15.75" customHeight="1" x14ac:dyDescent="0.25">
      <c r="D892" s="4"/>
      <c r="H892" s="4"/>
    </row>
    <row r="893" spans="1:8" ht="15.75" customHeight="1" x14ac:dyDescent="0.25">
      <c r="D893" s="4"/>
      <c r="H893" s="4"/>
    </row>
    <row r="894" spans="1:8" ht="15.75" customHeight="1" x14ac:dyDescent="0.25">
      <c r="D894" s="4"/>
      <c r="H894" s="4"/>
    </row>
    <row r="895" spans="1:8" ht="15.75" customHeight="1" x14ac:dyDescent="0.25">
      <c r="A895" s="292" t="s">
        <v>14</v>
      </c>
      <c r="B895" s="292"/>
      <c r="C895" s="292"/>
      <c r="D895" s="292"/>
      <c r="E895" s="292"/>
      <c r="F895" s="292"/>
      <c r="G895" s="292"/>
      <c r="H895" s="292"/>
    </row>
    <row r="896" spans="1:8" ht="15.75" customHeight="1" x14ac:dyDescent="0.25">
      <c r="A896" s="293"/>
      <c r="B896" s="293"/>
      <c r="C896" s="293"/>
      <c r="D896" s="294"/>
      <c r="E896" s="293"/>
      <c r="F896" s="293"/>
      <c r="G896" s="293"/>
      <c r="H896" s="295"/>
    </row>
    <row r="897" spans="1:8" ht="15.75" customHeight="1" x14ac:dyDescent="0.25">
      <c r="A897" s="293"/>
      <c r="B897" s="293"/>
      <c r="C897" s="294"/>
      <c r="D897" s="296"/>
      <c r="E897" s="297"/>
      <c r="F897" s="297"/>
      <c r="G897" s="297"/>
      <c r="H897" s="298"/>
    </row>
    <row r="898" spans="1:8" ht="15.75" customHeight="1" x14ac:dyDescent="0.25">
      <c r="A898" s="293"/>
      <c r="B898" s="293"/>
      <c r="C898" s="293"/>
      <c r="D898" s="294"/>
      <c r="E898" s="293"/>
      <c r="F898" s="299" t="s">
        <v>18</v>
      </c>
      <c r="G898" s="300" t="s">
        <v>561</v>
      </c>
      <c r="H898" s="301"/>
    </row>
    <row r="899" spans="1:8" ht="15.75" customHeight="1" x14ac:dyDescent="0.25">
      <c r="A899" s="293" t="s">
        <v>20</v>
      </c>
      <c r="B899" s="293"/>
      <c r="C899" s="293"/>
      <c r="D899" s="294"/>
      <c r="E899" s="293"/>
      <c r="F899" s="299" t="s">
        <v>21</v>
      </c>
      <c r="G899" s="293" t="s">
        <v>565</v>
      </c>
      <c r="H899" s="294"/>
    </row>
    <row r="900" spans="1:8" ht="15.75" customHeight="1" x14ac:dyDescent="0.25">
      <c r="A900" s="293" t="inlineStr">
        <is>
          <t>Dealer-001</t>
        </is>
      </c>
      <c r="B900" s="293"/>
      <c r="C900" s="293"/>
      <c r="D900" s="294"/>
      <c r="E900" s="299"/>
      <c r="F900" s="293"/>
      <c r="G900" s="293"/>
      <c r="H900" s="298"/>
    </row>
    <row r="901" spans="1:8" ht="15.75" customHeight="1" x14ac:dyDescent="0.25">
      <c r="A901" s="293" t="inlineStr">
        <is>
          <t>Address line (redacted)</t>
        </is>
      </c>
      <c r="B901" s="293"/>
      <c r="C901" s="293"/>
      <c r="D901" s="295"/>
      <c r="E901" s="293"/>
      <c r="F901" s="294"/>
      <c r="G901" s="293"/>
      <c r="H901" s="298"/>
    </row>
    <row r="902" spans="1:8" ht="15.75" customHeight="1" x14ac:dyDescent="0.25">
      <c r="A902" s="293"/>
      <c r="B902" s="293"/>
      <c r="C902" s="293"/>
      <c r="D902" s="295"/>
      <c r="E902" s="293"/>
      <c r="F902" s="294"/>
      <c r="G902" s="293"/>
      <c r="H902" s="298"/>
    </row>
    <row r="903" spans="1:8" ht="15.75" customHeight="1" x14ac:dyDescent="0.25">
      <c r="A903" s="293" t="inlineStr">
        <is>
          <t>Through: Transporter-001</t>
        </is>
      </c>
      <c r="B903" s="293"/>
      <c r="C903" s="293"/>
      <c r="D903" s="295"/>
      <c r="E903" s="293"/>
      <c r="F903" s="294"/>
      <c r="G903" s="293"/>
      <c r="H903" s="298"/>
    </row>
    <row r="904" spans="1:8" ht="15.75" customHeight="1" x14ac:dyDescent="0.25">
      <c r="A904" s="293"/>
      <c r="B904" s="293" t="inlineStr">
        <is>
          <t>Address line (redacted)</t>
        </is>
      </c>
      <c r="C904" s="293"/>
      <c r="D904" s="295"/>
      <c r="E904" s="293"/>
      <c r="F904" s="294"/>
      <c r="G904" s="293"/>
      <c r="H904" s="298"/>
    </row>
    <row r="905" spans="1:8" ht="15.75" customHeight="1" x14ac:dyDescent="0.25">
      <c r="A905" s="293"/>
      <c r="B905" s="293" t="inlineStr">
        <is>
          <t>Address line (redacted)</t>
        </is>
      </c>
      <c r="C905" s="293"/>
      <c r="D905" s="295"/>
      <c r="E905" s="293"/>
      <c r="F905" s="294"/>
      <c r="G905" s="293"/>
      <c r="H905" s="298"/>
    </row>
    <row r="906" spans="1:8" ht="15.75" customHeight="1" x14ac:dyDescent="0.25">
      <c r="A906" s="293"/>
      <c r="B906" s="293"/>
      <c r="C906" s="293"/>
      <c r="D906" s="295"/>
      <c r="E906" s="293"/>
      <c r="F906" s="294"/>
      <c r="G906" s="293"/>
      <c r="H906" s="298"/>
    </row>
    <row r="907" spans="1:8" ht="15.75" customHeight="1" x14ac:dyDescent="0.25">
      <c r="A907" s="293" t="s">
        <v>30</v>
      </c>
      <c r="B907" s="293"/>
      <c r="C907" s="293"/>
      <c r="D907" s="294"/>
      <c r="E907" s="293"/>
      <c r="F907" s="294"/>
      <c r="G907" s="293"/>
      <c r="H907" s="298"/>
    </row>
    <row r="908" spans="1:8" ht="15.75" customHeight="1" x14ac:dyDescent="0.25">
      <c r="A908" s="293"/>
      <c r="B908" s="293"/>
      <c r="C908" s="293"/>
      <c r="D908" s="294"/>
      <c r="E908" s="293"/>
      <c r="F908" s="294"/>
      <c r="G908" s="293"/>
      <c r="H908" s="298"/>
    </row>
    <row r="909" spans="1:8" ht="15.75" customHeight="1" x14ac:dyDescent="0.25">
      <c r="A909" s="293" t="s">
        <v>716</v>
      </c>
      <c r="B909" s="293"/>
      <c r="C909" s="293"/>
      <c r="D909" s="294"/>
      <c r="E909" s="293"/>
      <c r="F909" s="294"/>
      <c r="G909" s="293"/>
      <c r="H909" s="298"/>
    </row>
    <row r="910" spans="1:8" ht="15.75" customHeight="1" x14ac:dyDescent="0.25">
      <c r="A910" s="293" t="s">
        <v>717</v>
      </c>
      <c r="B910" s="293"/>
      <c r="C910" s="293"/>
      <c r="D910" s="294"/>
      <c r="E910" s="293"/>
      <c r="F910" s="294"/>
      <c r="G910" s="293"/>
      <c r="H910" s="298"/>
    </row>
    <row r="911" spans="1:8" ht="15.75" customHeight="1" x14ac:dyDescent="0.25">
      <c r="A911" s="293"/>
      <c r="B911" s="293"/>
      <c r="C911" s="293"/>
      <c r="D911" s="294"/>
      <c r="E911" s="293"/>
      <c r="F911" s="294"/>
      <c r="G911" s="293"/>
      <c r="H911" s="298"/>
    </row>
    <row r="912" spans="1:8" ht="15.75" customHeight="1" x14ac:dyDescent="0.25">
      <c r="A912" s="302" t="s">
        <v>33</v>
      </c>
      <c r="B912" s="303" t="s">
        <v>6</v>
      </c>
      <c r="C912" s="303"/>
      <c r="D912" s="304" t="s">
        <v>37</v>
      </c>
      <c r="E912" s="305" t="s">
        <v>38</v>
      </c>
      <c r="F912" s="306" t="s">
        <v>7</v>
      </c>
      <c r="G912" s="307" t="s">
        <v>43</v>
      </c>
      <c r="H912" s="308" t="s">
        <v>44</v>
      </c>
    </row>
    <row r="913" spans="1:8" ht="15.75" customHeight="1" x14ac:dyDescent="0.25">
      <c r="A913" s="309"/>
      <c r="B913" s="310"/>
      <c r="C913" s="297"/>
      <c r="D913" s="311"/>
      <c r="E913" s="311"/>
      <c r="F913" s="312"/>
      <c r="G913" s="313"/>
      <c r="H913" s="314"/>
    </row>
    <row r="914" spans="1:8" ht="15.75" customHeight="1" x14ac:dyDescent="0.25">
      <c r="A914" s="315"/>
      <c r="B914" s="316"/>
      <c r="C914" s="317"/>
      <c r="D914" s="318"/>
      <c r="E914" s="318"/>
      <c r="F914" s="294"/>
      <c r="G914" s="318"/>
      <c r="H914" s="319"/>
    </row>
    <row r="915" spans="1:8" ht="15.75" customHeight="1" x14ac:dyDescent="0.25">
      <c r="A915" s="315" t="s">
        <v>55</v>
      </c>
      <c r="B915" s="320" t="s">
        <v>724</v>
      </c>
      <c r="C915" s="293"/>
      <c r="D915" s="318">
        <v>20</v>
      </c>
      <c r="E915" s="318">
        <v>24</v>
      </c>
      <c r="F915" s="294">
        <f>+E915*D915</f>
      </c>
      <c r="G915" s="318">
        <v>1</v>
      </c>
      <c r="H915" s="319">
        <f>+G915*F915</f>
      </c>
    </row>
    <row r="916" spans="1:8" ht="15.75" customHeight="1" x14ac:dyDescent="0.25">
      <c r="A916" s="315"/>
      <c r="B916" s="320"/>
      <c r="C916" s="293"/>
      <c r="D916" s="318"/>
      <c r="E916" s="318"/>
      <c r="F916" s="294"/>
      <c r="G916" s="318"/>
      <c r="H916" s="319"/>
    </row>
    <row r="917" spans="1:8" ht="15.75" customHeight="1" x14ac:dyDescent="0.25">
      <c r="A917" s="315"/>
      <c r="B917" s="320"/>
      <c r="C917" s="293"/>
      <c r="D917" s="318"/>
      <c r="E917" s="318"/>
      <c r="F917" s="294"/>
      <c r="G917" s="318"/>
      <c r="H917" s="319"/>
    </row>
    <row r="918" spans="1:8" ht="15.75" customHeight="1" x14ac:dyDescent="0.25">
      <c r="A918" s="315"/>
      <c r="B918" s="320"/>
      <c r="C918" s="293"/>
      <c r="D918" s="318"/>
      <c r="E918" s="318"/>
      <c r="F918" s="294"/>
      <c r="G918" s="318"/>
      <c r="H918" s="319"/>
    </row>
    <row r="919" spans="1:8" ht="15.75" customHeight="1" x14ac:dyDescent="0.25">
      <c r="A919" s="315"/>
      <c r="B919" s="320"/>
      <c r="C919" s="293"/>
      <c r="D919" s="318"/>
      <c r="E919" s="318"/>
      <c r="F919" s="294"/>
      <c r="G919" s="318"/>
      <c r="H919" s="319"/>
    </row>
    <row r="920" spans="1:8" ht="15.75" customHeight="1" x14ac:dyDescent="0.25">
      <c r="A920" s="315"/>
      <c r="B920" s="320"/>
      <c r="C920" s="293"/>
      <c r="D920" s="318"/>
      <c r="E920" s="318"/>
      <c r="F920" s="294"/>
      <c r="G920" s="318"/>
      <c r="H920" s="319"/>
    </row>
    <row r="921" spans="1:8" ht="15.75" customHeight="1" x14ac:dyDescent="0.25">
      <c r="A921" s="315"/>
      <c r="B921" s="320"/>
      <c r="C921" s="293"/>
      <c r="D921" s="318"/>
      <c r="E921" s="318"/>
      <c r="F921" s="294"/>
      <c r="G921" s="318"/>
      <c r="H921" s="319"/>
    </row>
    <row r="922" spans="1:8" ht="15.75" customHeight="1" x14ac:dyDescent="0.25">
      <c r="A922" s="315"/>
      <c r="B922" s="324"/>
      <c r="C922" s="293"/>
      <c r="D922" s="318"/>
      <c r="E922" s="318"/>
      <c r="F922" s="294"/>
      <c r="G922" s="318"/>
      <c r="H922" s="319"/>
    </row>
    <row r="923" spans="1:8" ht="15.75" customHeight="1" x14ac:dyDescent="0.25">
      <c r="A923" s="325"/>
      <c r="B923" s="312"/>
      <c r="C923" s="297"/>
      <c r="D923" s="318"/>
      <c r="E923" s="318"/>
      <c r="F923" s="326"/>
      <c r="G923" s="327"/>
      <c r="H923" s="319"/>
    </row>
    <row r="924" spans="1:8" ht="15.75" customHeight="1" x14ac:dyDescent="0.25">
      <c r="A924" s="328"/>
      <c r="B924" s="329"/>
      <c r="C924" s="330" t="s">
        <v>85</v>
      </c>
      <c r="D924" s="331">
        <f>SUM(D914:D923)</f>
      </c>
      <c r="E924" s="331"/>
      <c r="F924" s="332">
        <f>SUM(F914:F923)</f>
      </c>
      <c r="G924" s="333"/>
      <c r="H924" s="334">
        <f>SUM(H915:H923)</f>
      </c>
    </row>
    <row r="925" spans="1:8" ht="15.75" customHeight="1" x14ac:dyDescent="0.25">
      <c r="A925" s="335"/>
      <c r="B925" s="336"/>
      <c r="C925" s="336"/>
      <c r="D925" s="337"/>
      <c r="E925" s="336"/>
      <c r="F925" s="338"/>
      <c r="G925" s="339"/>
      <c r="H925" s="340"/>
    </row>
    <row r="926" spans="1:8" ht="15.75" customHeight="1" x14ac:dyDescent="0.25">
      <c r="A926" s="296"/>
      <c r="B926" s="294"/>
      <c r="C926" s="294"/>
      <c r="D926" s="294"/>
      <c r="E926" s="293"/>
      <c r="F926" s="296"/>
      <c r="G926" s="293"/>
      <c r="H926" s="298"/>
    </row>
    <row r="927" spans="1:8" ht="15.75" customHeight="1" x14ac:dyDescent="0.25">
      <c r="A927" s="341"/>
      <c r="B927" s="341"/>
      <c r="C927" s="341"/>
      <c r="D927" s="342" t="s">
        <v>97</v>
      </c>
      <c r="E927" s="341" t="s">
        <v>98</v>
      </c>
      <c r="F927" s="341"/>
      <c r="G927" s="293"/>
      <c r="H927" s="298"/>
    </row>
    <row r="928" spans="1:8" ht="15.75" customHeight="1" x14ac:dyDescent="0.25">
      <c r="A928" s="293"/>
      <c r="B928" s="293"/>
      <c r="C928" s="293"/>
      <c r="D928" s="294"/>
      <c r="E928" s="293"/>
      <c r="F928" s="293"/>
      <c r="G928" s="293"/>
      <c r="H928" s="298"/>
    </row>
    <row r="929" spans="1:20" ht="15.75" customHeight="1" x14ac:dyDescent="0.25">
      <c r="A929" s="293"/>
      <c r="B929" s="293"/>
      <c r="C929" s="293"/>
      <c r="D929" s="294"/>
      <c r="E929" s="293"/>
      <c r="F929" s="293"/>
      <c r="G929" s="293"/>
      <c r="H929" s="298"/>
    </row>
    <row r="930" spans="1:20" ht="15.75" customHeight="1" x14ac:dyDescent="0.25">
      <c r="A930" s="341"/>
      <c r="B930" s="341"/>
      <c r="C930" s="341"/>
      <c r="D930" s="342"/>
      <c r="E930" s="341" t="s">
        <v>99</v>
      </c>
      <c r="F930" s="341"/>
      <c r="G930" s="293"/>
      <c r="H930" s="298"/>
    </row>
    <row r="931" spans="1:20" ht="15.75" customHeight="1" x14ac:dyDescent="0.25">
      <c r="D931" s="4"/>
      <c r="H931" s="4"/>
    </row>
    <row r="932" spans="1:20" ht="15.75" customHeight="1" x14ac:dyDescent="0.25">
      <c r="D932" s="4"/>
      <c r="H932" s="4"/>
    </row>
    <row r="933" spans="1:20" ht="15.75" customHeight="1" x14ac:dyDescent="0.25">
      <c r="D933" s="4"/>
      <c r="H933" s="4"/>
    </row>
    <row r="934" spans="1:20" ht="15.75" customHeight="1" x14ac:dyDescent="0.25">
      <c r="D934" s="4"/>
      <c r="H934" s="4"/>
    </row>
    <row r="935" spans="1:20" ht="15.75" customHeight="1" x14ac:dyDescent="0.25">
      <c r="D935" s="4"/>
      <c r="H935" s="4"/>
    </row>
    <row r="936" spans="1:20" ht="15.75" customHeight="1" x14ac:dyDescent="0.25">
      <c r="D936" s="4"/>
      <c r="H936" s="4"/>
    </row>
    <row r="937" spans="1:20" ht="15.75" customHeight="1" x14ac:dyDescent="0.25">
      <c r="D937" s="4"/>
      <c r="H937" s="4"/>
    </row>
    <row r="938" spans="1:20" ht="15.75" customHeight="1" x14ac:dyDescent="0.25">
      <c r="D938" s="4"/>
      <c r="H938" s="4"/>
    </row>
    <row r="939" spans="1:20" ht="15.75" customHeight="1" x14ac:dyDescent="0.25">
      <c r="D939" s="4"/>
      <c r="H939" s="4"/>
    </row>
    <row r="940" spans="1:20" ht="15.75" customHeight="1" x14ac:dyDescent="0.25">
      <c r="D940" s="4"/>
      <c r="H940" s="4"/>
    </row>
    <row r="941" spans="1:20" ht="15.75" customHeight="1" x14ac:dyDescent="0.25">
      <c r="A941" s="347" t="s">
        <v>14</v>
      </c>
      <c r="B941" s="4"/>
      <c r="C941" s="4"/>
      <c r="D941" s="4"/>
      <c r="E941" s="4"/>
      <c r="F941" s="4"/>
      <c r="G941" s="4"/>
      <c r="H941" s="349"/>
      <c r="I941" s="293"/>
      <c r="J941" s="293"/>
      <c r="K941" s="293"/>
      <c r="L941" s="293"/>
      <c r="M941" s="293"/>
      <c r="N941" s="293"/>
      <c r="O941" s="293"/>
      <c r="P941" s="293"/>
      <c r="Q941" s="293"/>
      <c r="R941" s="293"/>
      <c r="S941" s="293"/>
      <c r="T941" s="293"/>
    </row>
    <row r="942" spans="1:20" ht="15.75" customHeight="1" x14ac:dyDescent="0.25">
      <c r="A942" s="293"/>
      <c r="B942" s="293"/>
      <c r="C942" s="293"/>
      <c r="D942" s="296"/>
      <c r="E942" s="350"/>
      <c r="F942" s="294"/>
      <c r="G942" s="293"/>
      <c r="H942" s="298"/>
      <c r="I942" s="293"/>
      <c r="J942" s="293"/>
      <c r="K942" s="293"/>
      <c r="L942" s="293"/>
      <c r="M942" s="293"/>
      <c r="N942" s="293"/>
      <c r="O942" s="293"/>
      <c r="P942" s="293"/>
      <c r="Q942" s="293"/>
      <c r="R942" s="293"/>
      <c r="S942" s="293"/>
      <c r="T942" s="293"/>
    </row>
    <row r="943" spans="1:20" ht="15.75" customHeight="1" x14ac:dyDescent="0.25">
      <c r="A943" s="293"/>
      <c r="B943" s="293"/>
      <c r="C943" s="293"/>
      <c r="D943" s="294"/>
      <c r="E943" s="293"/>
      <c r="F943" s="299" t="s">
        <v>18</v>
      </c>
      <c r="G943" s="293" t="s">
        <v>751</v>
      </c>
      <c r="H943" s="298"/>
      <c r="I943" s="293"/>
      <c r="J943" s="293"/>
      <c r="K943" s="293"/>
      <c r="L943" s="293"/>
      <c r="M943" s="293"/>
      <c r="N943" s="293"/>
      <c r="O943" s="293"/>
      <c r="P943" s="293"/>
      <c r="Q943" s="293"/>
      <c r="R943" s="293"/>
      <c r="S943" s="293"/>
      <c r="T943" s="293"/>
    </row>
    <row r="944" spans="1:20" ht="15.75" customHeight="1" x14ac:dyDescent="0.25">
      <c r="A944" s="293" t="s">
        <v>20</v>
      </c>
      <c r="B944" s="293"/>
      <c r="C944" s="293"/>
      <c r="D944" s="294"/>
      <c r="E944" s="293"/>
      <c r="F944" s="297" t="s">
        <v>21</v>
      </c>
      <c r="G944" s="293" t="s">
        <v>562</v>
      </c>
      <c r="H944" s="298"/>
      <c r="I944" s="293"/>
      <c r="J944" s="293"/>
      <c r="K944" s="293"/>
      <c r="L944" s="293"/>
      <c r="M944" s="293"/>
      <c r="N944" s="293"/>
      <c r="O944" s="293"/>
      <c r="P944" s="293"/>
      <c r="Q944" s="293"/>
      <c r="R944" s="293"/>
      <c r="S944" s="293"/>
      <c r="T944" s="293"/>
    </row>
    <row r="945" spans="1:20" ht="15.75" customHeight="1" x14ac:dyDescent="0.25">
      <c r="A945" s="293" t="inlineStr">
        <is>
          <t>Dealer-007</t>
        </is>
      </c>
      <c r="B945" s="293"/>
      <c r="C945" s="293"/>
      <c r="D945" s="294"/>
      <c r="E945" s="293"/>
      <c r="F945" s="294"/>
      <c r="G945" s="293"/>
      <c r="H945" s="298"/>
      <c r="I945" s="293"/>
      <c r="J945" s="293"/>
      <c r="K945" s="293"/>
      <c r="L945" s="293"/>
      <c r="M945" s="293"/>
      <c r="N945" s="293"/>
      <c r="O945" s="293"/>
      <c r="P945" s="293"/>
      <c r="Q945" s="293"/>
      <c r="R945" s="293"/>
      <c r="S945" s="293"/>
      <c r="T945" s="293"/>
    </row>
    <row r="946" spans="1:20" ht="15.75" customHeight="1" x14ac:dyDescent="0.25">
      <c r="A946" s="293" t="inlineStr">
        <is>
          <t>Address line (redacted)</t>
        </is>
      </c>
      <c r="B946" s="293"/>
      <c r="C946" s="293"/>
      <c r="D946" s="294"/>
      <c r="E946" s="293"/>
      <c r="F946" s="294"/>
      <c r="G946" s="293"/>
      <c r="H946" s="298"/>
      <c r="I946" s="293"/>
      <c r="J946" s="293"/>
      <c r="K946" s="293"/>
      <c r="L946" s="293"/>
      <c r="M946" s="293"/>
      <c r="N946" s="293"/>
      <c r="O946" s="293"/>
      <c r="P946" s="293"/>
      <c r="Q946" s="293"/>
      <c r="R946" s="293"/>
      <c r="S946" s="293"/>
      <c r="T946" s="293"/>
    </row>
    <row r="947" spans="1:20" ht="15.75" customHeight="1" x14ac:dyDescent="0.25">
      <c r="A947" s="293" t="inlineStr">
        <is>
          <t>Address line (redacted)</t>
        </is>
      </c>
      <c r="B947" s="293"/>
      <c r="C947" s="293"/>
      <c r="D947" s="294"/>
      <c r="E947" s="293"/>
      <c r="F947" s="294"/>
      <c r="G947" s="293"/>
      <c r="H947" s="298"/>
      <c r="I947" s="293"/>
      <c r="J947" s="293"/>
      <c r="K947" s="293"/>
      <c r="L947" s="293"/>
      <c r="M947" s="293"/>
      <c r="N947" s="293"/>
      <c r="O947" s="293"/>
      <c r="P947" s="293"/>
      <c r="Q947" s="293"/>
      <c r="R947" s="293"/>
      <c r="S947" s="293"/>
      <c r="T947" s="293"/>
    </row>
    <row r="948" spans="1:20" ht="15.75" customHeight="1" x14ac:dyDescent="0.25">
      <c r="A948" s="293"/>
      <c r="B948" s="293"/>
      <c r="C948" s="293"/>
      <c r="D948" s="294"/>
      <c r="E948" s="293"/>
      <c r="F948" s="294"/>
      <c r="G948" s="293"/>
      <c r="H948" s="298"/>
      <c r="I948" s="293"/>
      <c r="J948" s="293"/>
      <c r="K948" s="293"/>
      <c r="L948" s="293"/>
      <c r="M948" s="293"/>
      <c r="N948" s="293"/>
      <c r="O948" s="293"/>
      <c r="P948" s="293"/>
      <c r="Q948" s="293"/>
      <c r="R948" s="293"/>
      <c r="S948" s="293"/>
      <c r="T948" s="293"/>
    </row>
    <row r="949" spans="1:20" ht="15.75" customHeight="1" x14ac:dyDescent="0.25">
      <c r="A949" s="293" t="s">
        <v>30</v>
      </c>
      <c r="B949" s="293"/>
      <c r="C949" s="293"/>
      <c r="D949" s="294"/>
      <c r="E949" s="293"/>
      <c r="F949" s="294"/>
      <c r="G949" s="293"/>
      <c r="H949" s="298"/>
      <c r="I949" s="293"/>
      <c r="J949" s="293"/>
      <c r="K949" s="293"/>
      <c r="L949" s="293"/>
      <c r="M949" s="293"/>
      <c r="N949" s="293"/>
      <c r="O949" s="293"/>
      <c r="P949" s="293"/>
      <c r="Q949" s="293"/>
      <c r="R949" s="293"/>
      <c r="S949" s="293"/>
      <c r="T949" s="293"/>
    </row>
    <row r="950" spans="1:20" ht="15.75" customHeight="1" x14ac:dyDescent="0.25">
      <c r="A950" s="293"/>
      <c r="B950" s="293"/>
      <c r="C950" s="293"/>
      <c r="D950" s="294"/>
      <c r="E950" s="293"/>
      <c r="F950" s="294"/>
      <c r="G950" s="293"/>
      <c r="H950" s="298"/>
      <c r="I950" s="293"/>
      <c r="J950" s="293"/>
      <c r="K950" s="293"/>
      <c r="L950" s="293"/>
      <c r="M950" s="293"/>
      <c r="N950" s="293"/>
      <c r="O950" s="293"/>
      <c r="P950" s="293"/>
      <c r="Q950" s="293"/>
      <c r="R950" s="293"/>
      <c r="S950" s="293"/>
      <c r="T950" s="293"/>
    </row>
    <row r="951" spans="1:20" ht="15.75" customHeight="1" x14ac:dyDescent="0.25">
      <c r="A951" s="293" t="s">
        <v>755</v>
      </c>
      <c r="B951" s="293"/>
      <c r="C951" s="293"/>
      <c r="D951" s="294"/>
      <c r="E951" s="293"/>
      <c r="F951" s="294"/>
      <c r="G951" s="293"/>
      <c r="H951" s="298"/>
      <c r="I951" s="293"/>
      <c r="J951" s="293"/>
      <c r="K951" s="293"/>
      <c r="L951" s="293"/>
      <c r="M951" s="293"/>
      <c r="N951" s="293"/>
      <c r="O951" s="293"/>
      <c r="P951" s="293"/>
      <c r="Q951" s="293"/>
      <c r="R951" s="293"/>
      <c r="S951" s="293"/>
      <c r="T951" s="293"/>
    </row>
    <row r="952" spans="1:20" ht="15.75" customHeight="1" x14ac:dyDescent="0.25">
      <c r="A952" s="293" t="s">
        <v>756</v>
      </c>
      <c r="B952" s="293"/>
      <c r="C952" s="293"/>
      <c r="D952" s="294"/>
      <c r="E952" s="293"/>
      <c r="F952" s="294"/>
      <c r="G952" s="293"/>
      <c r="H952" s="298"/>
      <c r="I952" s="293"/>
      <c r="J952" s="293"/>
      <c r="K952" s="293"/>
      <c r="L952" s="293"/>
      <c r="M952" s="293"/>
      <c r="N952" s="293"/>
      <c r="O952" s="293"/>
      <c r="P952" s="293"/>
      <c r="Q952" s="293"/>
      <c r="R952" s="293"/>
      <c r="S952" s="293"/>
      <c r="T952" s="293"/>
    </row>
    <row r="953" spans="1:20" ht="15.75" customHeight="1" x14ac:dyDescent="0.25">
      <c r="A953" s="293"/>
      <c r="B953" s="293"/>
      <c r="C953" s="293"/>
      <c r="D953" s="294"/>
      <c r="E953" s="293"/>
      <c r="F953" s="294"/>
      <c r="G953" s="293"/>
      <c r="H953" s="298"/>
      <c r="I953" s="293"/>
      <c r="J953" s="293"/>
      <c r="K953" s="293"/>
      <c r="L953" s="293"/>
      <c r="M953" s="293"/>
      <c r="N953" s="293"/>
      <c r="O953" s="293"/>
      <c r="P953" s="293"/>
      <c r="Q953" s="293"/>
      <c r="R953" s="293"/>
      <c r="S953" s="293"/>
      <c r="T953" s="293"/>
    </row>
    <row r="954" spans="1:20" ht="15.75" customHeight="1" x14ac:dyDescent="0.25">
      <c r="A954" s="302" t="s">
        <v>33</v>
      </c>
      <c r="B954" s="303" t="s">
        <v>6</v>
      </c>
      <c r="C954" s="303"/>
      <c r="D954" s="304" t="s">
        <v>37</v>
      </c>
      <c r="E954" s="305" t="s">
        <v>758</v>
      </c>
      <c r="F954" s="306" t="s">
        <v>7</v>
      </c>
      <c r="G954" s="307" t="s">
        <v>43</v>
      </c>
      <c r="H954" s="308" t="s">
        <v>44</v>
      </c>
      <c r="I954" s="293"/>
      <c r="J954" s="293"/>
      <c r="K954" s="293"/>
      <c r="L954" s="293"/>
      <c r="M954" s="293"/>
      <c r="N954" s="293"/>
      <c r="O954" s="293"/>
      <c r="P954" s="293"/>
      <c r="Q954" s="293"/>
      <c r="R954" s="293"/>
      <c r="S954" s="293"/>
      <c r="T954" s="293"/>
    </row>
    <row r="955" spans="1:20" ht="15.75" customHeight="1" x14ac:dyDescent="0.25">
      <c r="A955" s="309"/>
      <c r="B955" s="310"/>
      <c r="C955" s="297"/>
      <c r="D955" s="311"/>
      <c r="E955" s="311"/>
      <c r="F955" s="312"/>
      <c r="G955" s="313"/>
      <c r="H955" s="314"/>
      <c r="I955" s="293"/>
      <c r="J955" s="293"/>
      <c r="K955" s="293"/>
      <c r="L955" s="293"/>
      <c r="M955" s="293"/>
      <c r="N955" s="293"/>
      <c r="O955" s="293"/>
      <c r="P955" s="293"/>
      <c r="Q955" s="293"/>
      <c r="R955" s="293"/>
      <c r="S955" s="293"/>
      <c r="T955" s="293"/>
    </row>
    <row r="956" spans="1:20" ht="15.75" customHeight="1" x14ac:dyDescent="0.25">
      <c r="A956" s="352" t="s">
        <v>55</v>
      </c>
      <c r="B956" s="353" t="s">
        <v>759</v>
      </c>
      <c r="C956" s="354"/>
      <c r="D956" s="355">
        <v>10</v>
      </c>
      <c r="E956" s="355">
        <v>24</v>
      </c>
      <c r="F956" s="355">
        <f>+E956*D956</f>
      </c>
      <c r="G956" s="355">
        <v>1</v>
      </c>
      <c r="H956" s="356">
        <f>+G956*F956</f>
      </c>
      <c r="I956" s="293"/>
      <c r="J956" s="293"/>
      <c r="K956" s="293"/>
      <c r="L956" s="293"/>
      <c r="M956" s="293"/>
      <c r="N956" s="293"/>
      <c r="O956" s="293"/>
      <c r="P956" s="293"/>
      <c r="Q956" s="293"/>
      <c r="R956" s="293"/>
      <c r="S956" s="293"/>
      <c r="T956" s="293"/>
    </row>
    <row r="957" spans="1:20" ht="15.75" customHeight="1" x14ac:dyDescent="0.25">
      <c r="A957" s="352"/>
      <c r="B957" s="353"/>
      <c r="C957" s="358"/>
      <c r="D957" s="355"/>
      <c r="E957" s="355"/>
      <c r="F957" s="355"/>
      <c r="G957" s="355"/>
      <c r="H957" s="356"/>
      <c r="I957" s="293"/>
      <c r="J957" s="293"/>
      <c r="K957" s="293"/>
      <c r="L957" s="293"/>
      <c r="M957" s="293"/>
      <c r="N957" s="293"/>
      <c r="O957" s="293"/>
      <c r="P957" s="293"/>
      <c r="Q957" s="293"/>
      <c r="R957" s="293"/>
      <c r="S957" s="293"/>
      <c r="T957" s="293"/>
    </row>
    <row r="958" spans="1:20" ht="15.75" customHeight="1" x14ac:dyDescent="0.25">
      <c r="A958" s="352" t="s">
        <v>59</v>
      </c>
      <c r="B958" s="359" t="s">
        <v>764</v>
      </c>
      <c r="C958" s="358"/>
      <c r="D958" s="355">
        <v>2</v>
      </c>
      <c r="E958" s="355">
        <v>1</v>
      </c>
      <c r="F958" s="355">
        <f>+E958*D958</f>
      </c>
      <c r="G958" s="355">
        <v>1</v>
      </c>
      <c r="H958" s="356">
        <f>+G958*F958</f>
      </c>
      <c r="I958" s="293"/>
      <c r="J958" s="293"/>
      <c r="K958" s="293"/>
      <c r="L958" s="293"/>
      <c r="M958" s="293"/>
      <c r="N958" s="293"/>
      <c r="O958" s="293"/>
      <c r="P958" s="293"/>
      <c r="Q958" s="293"/>
      <c r="R958" s="293"/>
      <c r="S958" s="293"/>
      <c r="T958" s="293"/>
    </row>
    <row r="959" spans="1:20" ht="15.75" customHeight="1" x14ac:dyDescent="0.25">
      <c r="A959" s="352"/>
      <c r="B959" s="360"/>
      <c r="C959" s="358"/>
      <c r="D959" s="355"/>
      <c r="E959" s="355"/>
      <c r="F959" s="355"/>
      <c r="G959" s="355"/>
      <c r="H959" s="356"/>
      <c r="I959" s="293"/>
      <c r="J959" s="293"/>
      <c r="K959" s="293"/>
      <c r="L959" s="293"/>
      <c r="M959" s="293"/>
      <c r="N959" s="293"/>
      <c r="O959" s="293"/>
      <c r="P959" s="293"/>
      <c r="Q959" s="293"/>
      <c r="R959" s="293"/>
      <c r="S959" s="293"/>
      <c r="T959" s="293"/>
    </row>
    <row r="960" spans="1:20" ht="15.75" customHeight="1" x14ac:dyDescent="0.25">
      <c r="A960" s="352" t="s">
        <v>67</v>
      </c>
      <c r="B960" s="359" t="s">
        <v>769</v>
      </c>
      <c r="C960" s="358"/>
      <c r="D960" s="355">
        <v>2</v>
      </c>
      <c r="E960" s="355">
        <v>1</v>
      </c>
      <c r="F960" s="355">
        <f>+E960*D960</f>
      </c>
      <c r="G960" s="355">
        <v>1</v>
      </c>
      <c r="H960" s="356">
        <f>+G960*F960</f>
      </c>
      <c r="I960" s="293"/>
      <c r="J960" s="293"/>
      <c r="K960" s="293"/>
      <c r="L960" s="293"/>
      <c r="M960" s="293"/>
      <c r="N960" s="293"/>
      <c r="O960" s="293"/>
      <c r="P960" s="293"/>
      <c r="Q960" s="293"/>
      <c r="R960" s="293"/>
      <c r="S960" s="293"/>
      <c r="T960" s="293"/>
    </row>
    <row r="961" spans="1:20" ht="15.75" customHeight="1" x14ac:dyDescent="0.25">
      <c r="A961" s="361"/>
      <c r="B961" s="353"/>
      <c r="C961" s="358"/>
      <c r="D961" s="355"/>
      <c r="E961" s="355"/>
      <c r="F961" s="355"/>
      <c r="G961" s="355"/>
      <c r="H961" s="356"/>
      <c r="I961" s="293"/>
      <c r="J961" s="293"/>
      <c r="K961" s="293"/>
      <c r="L961" s="293"/>
      <c r="M961" s="293"/>
      <c r="N961" s="293"/>
      <c r="O961" s="293"/>
      <c r="P961" s="293"/>
      <c r="Q961" s="293"/>
      <c r="R961" s="293"/>
      <c r="S961" s="293"/>
      <c r="T961" s="293"/>
    </row>
    <row r="962" spans="1:20" ht="15.75" customHeight="1" x14ac:dyDescent="0.25">
      <c r="A962" s="361" t="s">
        <v>485</v>
      </c>
      <c r="B962" s="353" t="s">
        <v>772</v>
      </c>
      <c r="C962" s="358" t="s">
        <v>57</v>
      </c>
      <c r="D962" s="355">
        <v>8</v>
      </c>
      <c r="E962" s="355">
        <v>25</v>
      </c>
      <c r="F962" s="355">
        <f>+E962*D962</f>
      </c>
      <c r="G962" s="355">
        <v>1</v>
      </c>
      <c r="H962" s="356">
        <f>+G962*F962</f>
      </c>
      <c r="I962" s="293"/>
      <c r="J962" s="293"/>
      <c r="K962" s="293"/>
      <c r="L962" s="293"/>
      <c r="M962" s="293"/>
      <c r="N962" s="293"/>
      <c r="O962" s="293"/>
      <c r="P962" s="293"/>
      <c r="Q962" s="293"/>
      <c r="R962" s="293"/>
      <c r="S962" s="293"/>
      <c r="T962" s="293"/>
    </row>
    <row r="963" spans="1:20" ht="15.75" customHeight="1" x14ac:dyDescent="0.25">
      <c r="A963" s="361"/>
      <c r="B963" s="353"/>
      <c r="C963" s="358"/>
      <c r="D963" s="355"/>
      <c r="E963" s="355"/>
      <c r="F963" s="355"/>
      <c r="G963" s="355"/>
      <c r="H963" s="356"/>
      <c r="I963" s="293"/>
      <c r="J963" s="293"/>
      <c r="K963" s="293"/>
      <c r="L963" s="293"/>
      <c r="M963" s="293"/>
      <c r="N963" s="293"/>
      <c r="O963" s="293"/>
      <c r="P963" s="293"/>
      <c r="Q963" s="293"/>
      <c r="R963" s="293"/>
      <c r="S963" s="293"/>
      <c r="T963" s="293"/>
    </row>
    <row r="964" spans="1:20" ht="15.75" customHeight="1" x14ac:dyDescent="0.25">
      <c r="A964" s="361" t="s">
        <v>486</v>
      </c>
      <c r="B964" s="353" t="s">
        <v>773</v>
      </c>
      <c r="C964" s="358" t="s">
        <v>435</v>
      </c>
      <c r="D964" s="355">
        <v>1</v>
      </c>
      <c r="E964" s="355">
        <v>25</v>
      </c>
      <c r="F964" s="355">
        <f>+E964*D964</f>
      </c>
      <c r="G964" s="355">
        <v>1</v>
      </c>
      <c r="H964" s="356">
        <f>+G964*F964</f>
      </c>
      <c r="I964" s="293"/>
      <c r="J964" s="293"/>
      <c r="K964" s="293"/>
      <c r="L964" s="293"/>
      <c r="M964" s="293"/>
      <c r="N964" s="293"/>
      <c r="O964" s="293"/>
      <c r="P964" s="293"/>
      <c r="Q964" s="293"/>
      <c r="R964" s="293"/>
      <c r="S964" s="293"/>
      <c r="T964" s="293"/>
    </row>
    <row r="965" spans="1:20" ht="15.75" customHeight="1" x14ac:dyDescent="0.25">
      <c r="A965" s="352"/>
      <c r="B965" s="362"/>
      <c r="C965" s="358"/>
      <c r="D965" s="355"/>
      <c r="E965" s="355"/>
      <c r="F965" s="355"/>
      <c r="G965" s="355"/>
      <c r="H965" s="356"/>
      <c r="I965" s="293"/>
      <c r="J965" s="293"/>
      <c r="K965" s="293"/>
      <c r="L965" s="293"/>
      <c r="M965" s="293"/>
      <c r="N965" s="293"/>
      <c r="O965" s="293"/>
      <c r="P965" s="293"/>
      <c r="Q965" s="293"/>
      <c r="R965" s="293"/>
      <c r="S965" s="293"/>
      <c r="T965" s="293"/>
    </row>
    <row r="966" spans="1:20" ht="15.75" customHeight="1" x14ac:dyDescent="0.25">
      <c r="A966" s="361" t="s">
        <v>489</v>
      </c>
      <c r="B966" s="353" t="s">
        <v>776</v>
      </c>
      <c r="C966" s="358" t="s">
        <v>432</v>
      </c>
      <c r="D966" s="355">
        <v>1</v>
      </c>
      <c r="E966" s="355">
        <v>25</v>
      </c>
      <c r="F966" s="355">
        <f>+E966*D966</f>
      </c>
      <c r="G966" s="355">
        <v>1</v>
      </c>
      <c r="H966" s="356">
        <f>+G966*F966</f>
      </c>
      <c r="I966" s="293"/>
      <c r="J966" s="293"/>
      <c r="K966" s="293"/>
      <c r="L966" s="293"/>
      <c r="M966" s="293"/>
      <c r="N966" s="293"/>
      <c r="O966" s="293"/>
      <c r="P966" s="293"/>
      <c r="Q966" s="293"/>
      <c r="R966" s="293"/>
      <c r="S966" s="293"/>
      <c r="T966" s="293"/>
    </row>
    <row r="967" spans="1:20" ht="15.75" customHeight="1" x14ac:dyDescent="0.25">
      <c r="A967" s="361"/>
      <c r="B967" s="353"/>
      <c r="C967" s="358"/>
      <c r="D967" s="355"/>
      <c r="E967" s="355"/>
      <c r="F967" s="355"/>
      <c r="G967" s="355"/>
      <c r="H967" s="356"/>
      <c r="I967" s="293"/>
      <c r="J967" s="293"/>
      <c r="K967" s="293"/>
      <c r="L967" s="293"/>
      <c r="M967" s="293"/>
      <c r="N967" s="293"/>
      <c r="O967" s="293"/>
      <c r="P967" s="293"/>
      <c r="Q967" s="293"/>
      <c r="R967" s="293"/>
      <c r="S967" s="293"/>
      <c r="T967" s="293"/>
    </row>
    <row r="968" spans="1:20" ht="15.75" customHeight="1" x14ac:dyDescent="0.25">
      <c r="A968" s="361" t="s">
        <v>490</v>
      </c>
      <c r="B968" s="353" t="s">
        <v>779</v>
      </c>
      <c r="C968" s="358" t="s">
        <v>429</v>
      </c>
      <c r="D968" s="355">
        <v>1</v>
      </c>
      <c r="E968" s="355">
        <v>10</v>
      </c>
      <c r="F968" s="355">
        <v>10</v>
      </c>
      <c r="G968" s="355">
        <v>1</v>
      </c>
      <c r="H968" s="356">
        <f>+G968*F968</f>
      </c>
      <c r="I968" s="293"/>
      <c r="J968" s="293"/>
      <c r="K968" s="293"/>
      <c r="L968" s="293"/>
      <c r="M968" s="293"/>
      <c r="N968" s="293"/>
      <c r="O968" s="293"/>
      <c r="P968" s="293"/>
      <c r="Q968" s="293"/>
      <c r="R968" s="293"/>
      <c r="S968" s="293"/>
      <c r="T968" s="293"/>
    </row>
    <row r="969" spans="1:20" ht="15.75" customHeight="1" x14ac:dyDescent="0.25">
      <c r="A969" s="361"/>
      <c r="B969" s="353"/>
      <c r="C969" s="358"/>
      <c r="D969" s="355"/>
      <c r="E969" s="355"/>
      <c r="F969" s="355"/>
      <c r="G969" s="355"/>
      <c r="H969" s="356"/>
      <c r="I969" s="293"/>
      <c r="J969" s="293"/>
      <c r="K969" s="293"/>
      <c r="L969" s="293"/>
      <c r="M969" s="293"/>
      <c r="N969" s="293"/>
      <c r="O969" s="293"/>
      <c r="P969" s="293"/>
      <c r="Q969" s="293"/>
      <c r="R969" s="293"/>
      <c r="S969" s="293"/>
      <c r="T969" s="293"/>
    </row>
    <row r="970" spans="1:20" ht="15.75" customHeight="1" x14ac:dyDescent="0.25">
      <c r="A970" s="352" t="s">
        <v>781</v>
      </c>
      <c r="B970" s="362" t="s">
        <v>782</v>
      </c>
      <c r="C970" s="358" t="s">
        <v>704</v>
      </c>
      <c r="D970" s="355">
        <v>1</v>
      </c>
      <c r="E970" s="355">
        <v>8</v>
      </c>
      <c r="F970" s="355">
        <f>+E970*D970</f>
      </c>
      <c r="G970" s="355">
        <v>1</v>
      </c>
      <c r="H970" s="356">
        <f>+G970*F970</f>
      </c>
      <c r="I970" s="293"/>
      <c r="J970" s="293"/>
      <c r="K970" s="293"/>
      <c r="L970" s="293"/>
      <c r="M970" s="293"/>
      <c r="N970" s="293"/>
      <c r="O970" s="293"/>
      <c r="P970" s="293"/>
      <c r="Q970" s="293"/>
      <c r="R970" s="293"/>
      <c r="S970" s="293"/>
      <c r="T970" s="293"/>
    </row>
    <row r="971" spans="1:20" ht="15.75" customHeight="1" x14ac:dyDescent="0.25">
      <c r="A971" s="361"/>
      <c r="B971" s="353"/>
      <c r="C971" s="358"/>
      <c r="D971" s="355"/>
      <c r="E971" s="355"/>
      <c r="F971" s="355"/>
      <c r="G971" s="355"/>
      <c r="H971" s="356"/>
      <c r="I971" s="293"/>
      <c r="J971" s="293"/>
      <c r="K971" s="293"/>
      <c r="L971" s="293"/>
      <c r="M971" s="293"/>
      <c r="N971" s="293"/>
      <c r="O971" s="293"/>
      <c r="P971" s="293"/>
      <c r="Q971" s="293"/>
      <c r="R971" s="293"/>
      <c r="S971" s="293"/>
      <c r="T971" s="293"/>
    </row>
    <row r="972" spans="1:20" ht="15.75" customHeight="1" x14ac:dyDescent="0.25">
      <c r="A972" s="361" t="s">
        <v>785</v>
      </c>
      <c r="B972" s="353" t="s">
        <v>786</v>
      </c>
      <c r="C972" s="358" t="s">
        <v>386</v>
      </c>
      <c r="D972" s="355">
        <v>1</v>
      </c>
      <c r="E972" s="355">
        <v>4</v>
      </c>
      <c r="F972" s="355">
        <f>+E972*D972</f>
      </c>
      <c r="G972" s="355">
        <v>1</v>
      </c>
      <c r="H972" s="356">
        <f>+G972*F972</f>
      </c>
      <c r="I972" s="293"/>
      <c r="J972" s="293"/>
      <c r="K972" s="293"/>
      <c r="L972" s="293"/>
      <c r="M972" s="293"/>
      <c r="N972" s="293"/>
      <c r="O972" s="293"/>
      <c r="P972" s="293"/>
      <c r="Q972" s="293"/>
      <c r="R972" s="293"/>
      <c r="S972" s="293"/>
      <c r="T972" s="293"/>
    </row>
    <row r="973" spans="1:20" ht="15.75" customHeight="1" x14ac:dyDescent="0.25">
      <c r="A973" s="361"/>
      <c r="B973" s="353"/>
      <c r="C973" s="358"/>
      <c r="D973" s="355"/>
      <c r="E973" s="355"/>
      <c r="F973" s="355"/>
      <c r="G973" s="355"/>
      <c r="H973" s="356"/>
      <c r="I973" s="293"/>
      <c r="J973" s="293"/>
      <c r="K973" s="293"/>
      <c r="L973" s="293"/>
      <c r="M973" s="293"/>
      <c r="N973" s="293"/>
      <c r="O973" s="293"/>
      <c r="P973" s="293"/>
      <c r="Q973" s="293"/>
      <c r="R973" s="293"/>
      <c r="S973" s="293"/>
      <c r="T973" s="293"/>
    </row>
    <row r="974" spans="1:20" ht="15.75" customHeight="1" x14ac:dyDescent="0.25">
      <c r="A974" s="361" t="s">
        <v>787</v>
      </c>
      <c r="B974" s="353" t="s">
        <v>679</v>
      </c>
      <c r="C974" s="358"/>
      <c r="D974" s="355">
        <v>5</v>
      </c>
      <c r="E974" s="355">
        <v>1</v>
      </c>
      <c r="F974" s="355">
        <f>+E974*D974</f>
      </c>
      <c r="G974" s="355">
        <v>1</v>
      </c>
      <c r="H974" s="356">
        <f>+G974*F974</f>
      </c>
      <c r="I974" s="293"/>
      <c r="J974" s="293"/>
      <c r="K974" s="293"/>
      <c r="L974" s="293"/>
      <c r="M974" s="293"/>
      <c r="N974" s="293"/>
      <c r="O974" s="293"/>
      <c r="P974" s="293"/>
      <c r="Q974" s="293"/>
      <c r="R974" s="293"/>
      <c r="S974" s="293"/>
      <c r="T974" s="293"/>
    </row>
    <row r="975" spans="1:20" ht="15.75" customHeight="1" x14ac:dyDescent="0.25">
      <c r="A975" s="361"/>
      <c r="B975" s="353"/>
      <c r="C975" s="358"/>
      <c r="D975" s="355"/>
      <c r="E975" s="355"/>
      <c r="F975" s="355"/>
      <c r="G975" s="355"/>
      <c r="H975" s="356"/>
      <c r="I975" s="293"/>
      <c r="J975" s="293"/>
      <c r="K975" s="293"/>
      <c r="L975" s="293"/>
      <c r="M975" s="293"/>
      <c r="N975" s="293"/>
      <c r="O975" s="293"/>
      <c r="P975" s="293"/>
      <c r="Q975" s="293"/>
      <c r="R975" s="293"/>
      <c r="S975" s="293"/>
      <c r="T975" s="293"/>
    </row>
    <row r="976" spans="1:20" ht="15.75" customHeight="1" x14ac:dyDescent="0.25">
      <c r="A976" s="361" t="s">
        <v>790</v>
      </c>
      <c r="B976" s="353" t="s">
        <v>791</v>
      </c>
      <c r="C976" s="358"/>
      <c r="D976" s="355">
        <v>1</v>
      </c>
      <c r="E976" s="355">
        <v>1</v>
      </c>
      <c r="F976" s="355">
        <v>1</v>
      </c>
      <c r="G976" s="355">
        <v>1</v>
      </c>
      <c r="H976" s="356">
        <f>+G976*F976</f>
      </c>
      <c r="I976" s="293"/>
      <c r="J976" s="293"/>
      <c r="K976" s="293"/>
      <c r="L976" s="293"/>
      <c r="M976" s="293"/>
      <c r="N976" s="293"/>
      <c r="O976" s="293"/>
      <c r="P976" s="293"/>
      <c r="Q976" s="293"/>
      <c r="R976" s="293"/>
      <c r="S976" s="293"/>
      <c r="T976" s="293"/>
    </row>
    <row r="977" spans="1:20" ht="15.75" customHeight="1" x14ac:dyDescent="0.25">
      <c r="A977" s="361"/>
      <c r="B977" s="353"/>
      <c r="C977" s="358"/>
      <c r="D977" s="355"/>
      <c r="E977" s="355"/>
      <c r="F977" s="355"/>
      <c r="G977" s="355"/>
      <c r="H977" s="356"/>
      <c r="I977" s="293"/>
      <c r="J977" s="293"/>
      <c r="K977" s="293"/>
      <c r="L977" s="293"/>
      <c r="M977" s="293"/>
      <c r="N977" s="293"/>
      <c r="O977" s="293"/>
      <c r="P977" s="293"/>
      <c r="Q977" s="293"/>
      <c r="R977" s="293"/>
      <c r="S977" s="293"/>
      <c r="T977" s="293"/>
    </row>
    <row r="978" spans="1:20" ht="15.75" customHeight="1" x14ac:dyDescent="0.25">
      <c r="A978" s="361" t="s">
        <v>792</v>
      </c>
      <c r="B978" s="353" t="s">
        <v>793</v>
      </c>
      <c r="C978" s="358"/>
      <c r="D978" s="355">
        <v>3</v>
      </c>
      <c r="E978" s="355">
        <v>5</v>
      </c>
      <c r="F978" s="355">
        <f>+E978*D978</f>
      </c>
      <c r="G978" s="355">
        <v>1</v>
      </c>
      <c r="H978" s="356">
        <f>+G978*F978</f>
      </c>
      <c r="I978" s="293"/>
      <c r="J978" s="293"/>
      <c r="K978" s="293"/>
      <c r="L978" s="293"/>
      <c r="M978" s="293"/>
      <c r="N978" s="293"/>
      <c r="O978" s="293"/>
      <c r="P978" s="293"/>
      <c r="Q978" s="293"/>
      <c r="R978" s="293"/>
      <c r="S978" s="293"/>
      <c r="T978" s="293"/>
    </row>
    <row r="979" spans="1:20" ht="15.75" customHeight="1" x14ac:dyDescent="0.25">
      <c r="A979" s="361"/>
      <c r="B979" s="353"/>
      <c r="C979" s="358"/>
      <c r="D979" s="355"/>
      <c r="E979" s="355"/>
      <c r="F979" s="355"/>
      <c r="G979" s="355"/>
      <c r="H979" s="356"/>
      <c r="I979" s="363"/>
      <c r="J979" s="363"/>
      <c r="K979" s="363"/>
      <c r="L979" s="363"/>
      <c r="M979" s="363"/>
      <c r="N979" s="363"/>
      <c r="O979" s="363"/>
      <c r="P979" s="363"/>
      <c r="Q979" s="363"/>
      <c r="R979" s="363"/>
      <c r="S979" s="363"/>
      <c r="T979" s="363"/>
    </row>
    <row r="980" spans="1:20" ht="15.75" customHeight="1" x14ac:dyDescent="0.25">
      <c r="A980" s="364" t="s">
        <v>796</v>
      </c>
      <c r="B980" s="365" t="s">
        <v>797</v>
      </c>
      <c r="C980" s="366"/>
      <c r="D980" s="367">
        <v>0</v>
      </c>
      <c r="E980" s="367">
        <v>0</v>
      </c>
      <c r="F980" s="367" t="s">
        <v>800</v>
      </c>
      <c r="G980" s="367">
        <v>0</v>
      </c>
      <c r="H980" s="368">
        <v>0</v>
      </c>
      <c r="I980" s="293"/>
      <c r="J980" s="293"/>
      <c r="K980" s="293"/>
      <c r="L980" s="293"/>
      <c r="M980" s="293"/>
      <c r="N980" s="293"/>
      <c r="O980" s="293"/>
      <c r="P980" s="293"/>
      <c r="Q980" s="293"/>
      <c r="R980" s="293"/>
      <c r="S980" s="293"/>
      <c r="T980" s="293"/>
    </row>
    <row r="981" spans="1:20" ht="15.75" customHeight="1" x14ac:dyDescent="0.25">
      <c r="A981" s="361"/>
      <c r="B981" s="353"/>
      <c r="C981" s="358"/>
      <c r="D981" s="355"/>
      <c r="E981" s="355"/>
      <c r="F981" s="355"/>
      <c r="G981" s="355"/>
      <c r="H981" s="356"/>
      <c r="I981" s="293"/>
      <c r="J981" s="293"/>
      <c r="K981" s="293"/>
      <c r="L981" s="293"/>
      <c r="M981" s="293"/>
      <c r="N981" s="293"/>
      <c r="O981" s="293"/>
      <c r="P981" s="293"/>
      <c r="Q981" s="293"/>
      <c r="R981" s="293"/>
      <c r="S981" s="293"/>
      <c r="T981" s="293"/>
    </row>
    <row r="982" spans="1:20" ht="15.75" customHeight="1" x14ac:dyDescent="0.25">
      <c r="A982" s="352"/>
      <c r="B982" s="362"/>
      <c r="C982" s="358"/>
      <c r="D982" s="355"/>
      <c r="E982" s="355"/>
      <c r="F982" s="355"/>
      <c r="G982" s="355"/>
      <c r="H982" s="356"/>
      <c r="I982" s="293"/>
      <c r="J982" s="293"/>
      <c r="K982" s="293"/>
      <c r="L982" s="293"/>
      <c r="M982" s="293"/>
      <c r="N982" s="293"/>
      <c r="O982" s="293"/>
      <c r="P982" s="293"/>
      <c r="Q982" s="293"/>
      <c r="R982" s="293"/>
      <c r="S982" s="293"/>
      <c r="T982" s="293"/>
    </row>
    <row r="983" spans="1:20" ht="15.75" customHeight="1" x14ac:dyDescent="0.25">
      <c r="A983" s="325"/>
      <c r="B983" s="312"/>
      <c r="C983" s="297"/>
      <c r="D983" s="318"/>
      <c r="E983" s="318"/>
      <c r="F983" s="326"/>
      <c r="G983" s="327"/>
      <c r="H983" s="319"/>
      <c r="I983" s="293"/>
      <c r="J983" s="293"/>
      <c r="K983" s="293"/>
      <c r="L983" s="293"/>
      <c r="M983" s="293"/>
      <c r="N983" s="293"/>
      <c r="O983" s="293"/>
      <c r="P983" s="293"/>
      <c r="Q983" s="293"/>
      <c r="R983" s="293"/>
      <c r="S983" s="293"/>
      <c r="T983" s="293"/>
    </row>
    <row r="984" spans="1:20" ht="15.75" customHeight="1" x14ac:dyDescent="0.25">
      <c r="A984" s="328"/>
      <c r="B984" s="329"/>
      <c r="C984" s="330" t="s">
        <v>85</v>
      </c>
      <c r="D984" s="331">
        <f>SUM(D956:D983)</f>
      </c>
      <c r="E984" s="331"/>
      <c r="F984" s="331">
        <f>SUM(F957:F983)</f>
      </c>
      <c r="G984" s="333"/>
      <c r="H984" s="334">
        <f>SUM(H956:H983)</f>
      </c>
      <c r="I984" s="293"/>
      <c r="J984" s="293"/>
      <c r="K984" s="293"/>
      <c r="L984" s="293"/>
      <c r="M984" s="293"/>
      <c r="N984" s="293"/>
      <c r="O984" s="293"/>
      <c r="P984" s="293"/>
      <c r="Q984" s="293"/>
      <c r="R984" s="293"/>
      <c r="S984" s="293"/>
      <c r="T984" s="293"/>
    </row>
    <row r="985" spans="1:20" ht="15.75" customHeight="1" x14ac:dyDescent="0.25">
      <c r="A985" s="335"/>
      <c r="B985" s="336"/>
      <c r="C985" s="336"/>
      <c r="D985" s="337"/>
      <c r="E985" s="336"/>
      <c r="F985" s="338"/>
      <c r="G985" s="339"/>
      <c r="H985" s="340"/>
      <c r="I985" s="293"/>
      <c r="J985" s="293"/>
      <c r="K985" s="293"/>
      <c r="L985" s="293"/>
      <c r="M985" s="293"/>
      <c r="N985" s="293"/>
      <c r="O985" s="293"/>
      <c r="P985" s="293"/>
      <c r="Q985" s="293"/>
      <c r="R985" s="293"/>
      <c r="S985" s="293"/>
      <c r="T985" s="293"/>
    </row>
    <row r="986" spans="1:20" ht="15.75" customHeight="1" x14ac:dyDescent="0.25">
      <c r="A986" s="296"/>
      <c r="B986" s="294"/>
      <c r="C986" s="294"/>
      <c r="D986" s="294"/>
      <c r="E986" s="293"/>
      <c r="F986" s="296"/>
      <c r="G986" s="293"/>
      <c r="H986" s="298"/>
      <c r="I986" s="293"/>
      <c r="J986" s="293"/>
      <c r="K986" s="293"/>
      <c r="L986" s="293"/>
      <c r="M986" s="293"/>
      <c r="N986" s="293"/>
      <c r="O986" s="293"/>
      <c r="P986" s="293"/>
      <c r="Q986" s="293"/>
      <c r="R986" s="293"/>
      <c r="S986" s="293"/>
      <c r="T986" s="293"/>
    </row>
    <row r="987" spans="1:20" ht="15.75" customHeight="1" x14ac:dyDescent="0.25">
      <c r="A987" s="341"/>
      <c r="B987" s="341"/>
      <c r="C987" s="341"/>
      <c r="D987" s="342" t="s">
        <v>97</v>
      </c>
      <c r="E987" s="341" t="s">
        <v>98</v>
      </c>
      <c r="F987" s="341"/>
      <c r="G987" s="293"/>
      <c r="H987" s="298"/>
      <c r="I987" s="293"/>
      <c r="J987" s="293"/>
      <c r="K987" s="293"/>
      <c r="L987" s="293"/>
      <c r="M987" s="293"/>
      <c r="N987" s="293"/>
      <c r="O987" s="293"/>
      <c r="P987" s="293"/>
      <c r="Q987" s="293"/>
      <c r="R987" s="293"/>
      <c r="S987" s="293"/>
      <c r="T987" s="293"/>
    </row>
    <row r="988" spans="1:20" ht="15.75" customHeight="1" x14ac:dyDescent="0.25">
      <c r="A988" s="293"/>
      <c r="B988" s="293"/>
      <c r="C988" s="293"/>
      <c r="D988" s="294"/>
      <c r="E988" s="293"/>
      <c r="F988" s="293"/>
      <c r="G988" s="293"/>
      <c r="H988" s="298"/>
      <c r="I988" s="293"/>
      <c r="J988" s="293"/>
      <c r="K988" s="293"/>
      <c r="L988" s="293"/>
      <c r="M988" s="293"/>
      <c r="N988" s="293"/>
      <c r="O988" s="293"/>
      <c r="P988" s="293"/>
      <c r="Q988" s="293"/>
      <c r="R988" s="293"/>
      <c r="S988" s="293"/>
      <c r="T988" s="293"/>
    </row>
    <row r="989" spans="1:20" ht="15.75" customHeight="1" x14ac:dyDescent="0.25">
      <c r="A989" s="293"/>
      <c r="B989" s="293"/>
      <c r="C989" s="293"/>
      <c r="D989" s="294"/>
      <c r="E989" s="293"/>
      <c r="F989" s="293"/>
      <c r="G989" s="293"/>
      <c r="H989" s="298"/>
      <c r="I989" s="293"/>
      <c r="J989" s="293"/>
      <c r="K989" s="293"/>
      <c r="L989" s="293"/>
      <c r="M989" s="293"/>
      <c r="N989" s="293"/>
      <c r="O989" s="293"/>
      <c r="P989" s="293"/>
      <c r="Q989" s="293"/>
      <c r="R989" s="293"/>
      <c r="S989" s="293"/>
      <c r="T989" s="293"/>
    </row>
    <row r="990" spans="1:20" ht="15.75" customHeight="1" x14ac:dyDescent="0.25">
      <c r="A990" s="341"/>
      <c r="B990" s="341"/>
      <c r="C990" s="341"/>
      <c r="D990" s="342"/>
      <c r="E990" s="341" t="s">
        <v>99</v>
      </c>
      <c r="F990" s="341"/>
      <c r="G990" s="293"/>
      <c r="H990" s="298"/>
    </row>
    <row r="991" spans="1:20" ht="15.75" customHeight="1" x14ac:dyDescent="0.25">
      <c r="D991" s="4"/>
      <c r="H991" s="4"/>
    </row>
    <row r="992" spans="1:20" ht="15.75" customHeight="1" x14ac:dyDescent="0.25">
      <c r="D992" s="4"/>
      <c r="H992" s="4"/>
    </row>
    <row r="993" spans="1:8" ht="15.75" customHeight="1" x14ac:dyDescent="0.25">
      <c r="A993" s="14" t="s">
        <v>14</v>
      </c>
      <c r="B993" s="14"/>
      <c r="C993" s="14"/>
      <c r="D993" s="14"/>
      <c r="E993" s="14"/>
      <c r="F993" s="14"/>
      <c r="G993" s="14"/>
      <c r="H993" s="14"/>
    </row>
    <row r="994" spans="1:8" ht="15.75" customHeight="1" x14ac:dyDescent="0.25">
      <c r="D994" s="4"/>
      <c r="H994" s="8"/>
    </row>
    <row r="995" spans="1:8" ht="15.75" customHeight="1" x14ac:dyDescent="0.25">
      <c r="A995" s="15"/>
      <c r="B995" s="15"/>
      <c r="C995" s="16"/>
      <c r="D995" s="17"/>
      <c r="E995" s="18"/>
      <c r="F995" s="18"/>
      <c r="G995" s="18"/>
      <c r="H995" s="19"/>
    </row>
    <row r="996" spans="1:8" ht="15.75" customHeight="1" x14ac:dyDescent="0.3">
      <c r="A996" s="25"/>
      <c r="B996" s="25"/>
      <c r="C996" s="25"/>
      <c r="D996" s="26"/>
      <c r="E996" s="25"/>
      <c r="F996" s="22" t="s">
        <v>18</v>
      </c>
      <c r="G996" s="23" t="s">
        <v>807</v>
      </c>
      <c r="H996" s="24"/>
    </row>
    <row r="997" spans="1:8" ht="15.75" customHeight="1" x14ac:dyDescent="0.3">
      <c r="A997" s="25" t="s">
        <v>20</v>
      </c>
      <c r="B997" s="25"/>
      <c r="C997" s="25"/>
      <c r="D997" s="26"/>
      <c r="E997" s="25"/>
      <c r="F997" s="22" t="s">
        <v>21</v>
      </c>
      <c r="G997" s="25" t="s">
        <v>808</v>
      </c>
      <c r="H997" s="26"/>
    </row>
    <row r="998" spans="1:8" ht="15.75" customHeight="1" x14ac:dyDescent="0.3">
      <c r="A998" s="25" t="inlineStr">
        <is>
          <t>Dealer-004</t>
        </is>
      </c>
      <c r="B998" s="25"/>
      <c r="C998" s="25"/>
      <c r="D998" s="109"/>
      <c r="E998" s="25"/>
      <c r="F998" s="26"/>
      <c r="G998" s="25"/>
      <c r="H998" s="106"/>
    </row>
    <row r="999" spans="1:8" ht="15.75" customHeight="1" x14ac:dyDescent="0.3">
      <c r="A999" s="25" t="inlineStr">
        <is>
          <t>Address line (redacted)</t>
        </is>
      </c>
      <c r="B999" s="25"/>
      <c r="C999" s="25"/>
      <c r="D999" s="109"/>
      <c r="E999" s="25"/>
      <c r="F999" s="26"/>
      <c r="G999" s="25"/>
      <c r="H999" s="106"/>
    </row>
    <row r="1000" spans="1:8" ht="15.75" customHeight="1" x14ac:dyDescent="0.3">
      <c r="A1000" s="25" t="inlineStr">
        <is>
          <t>Address line (redacted)</t>
        </is>
      </c>
      <c r="B1000" s="25"/>
      <c r="C1000" s="25"/>
      <c r="D1000" s="26"/>
      <c r="E1000" s="25"/>
      <c r="F1000" s="26"/>
      <c r="G1000" s="25"/>
      <c r="H1000" s="106"/>
    </row>
    <row r="1001" spans="1:8" ht="15.75" customHeight="1" x14ac:dyDescent="0.3">
      <c r="A1001" s="25"/>
      <c r="B1001" s="25"/>
      <c r="C1001" s="25"/>
      <c r="D1001" s="26"/>
      <c r="E1001" s="25"/>
      <c r="F1001" s="26"/>
      <c r="G1001" s="25"/>
      <c r="H1001" s="106"/>
    </row>
    <row r="1002" spans="1:8" ht="15.75" customHeight="1" x14ac:dyDescent="0.3">
      <c r="A1002" s="25" t="s">
        <v>30</v>
      </c>
      <c r="B1002" s="25"/>
      <c r="C1002" s="25"/>
      <c r="D1002" s="26"/>
      <c r="E1002" s="25"/>
      <c r="F1002" s="26"/>
      <c r="G1002" s="25"/>
      <c r="H1002" s="106"/>
    </row>
    <row r="1003" spans="1:8" ht="15.75" customHeight="1" x14ac:dyDescent="0.3">
      <c r="A1003" s="25"/>
      <c r="B1003" s="25"/>
      <c r="C1003" s="25"/>
      <c r="D1003" s="26"/>
      <c r="E1003" s="25"/>
      <c r="F1003" s="26"/>
      <c r="G1003" s="25"/>
      <c r="H1003" s="106"/>
    </row>
    <row r="1004" spans="1:8" ht="15.75" customHeight="1" x14ac:dyDescent="0.3">
      <c r="A1004" s="25" t="s">
        <v>31</v>
      </c>
      <c r="B1004" s="25"/>
      <c r="C1004" s="25"/>
      <c r="D1004" s="26"/>
      <c r="E1004" s="25"/>
      <c r="F1004" s="26"/>
      <c r="G1004" s="25"/>
      <c r="H1004" s="106"/>
    </row>
    <row r="1005" spans="1:8" ht="15.75" customHeight="1" x14ac:dyDescent="0.3">
      <c r="A1005" s="25" t="s">
        <v>32</v>
      </c>
      <c r="B1005" s="25"/>
      <c r="C1005" s="25"/>
      <c r="D1005" s="26"/>
      <c r="E1005" s="25"/>
      <c r="F1005" s="26"/>
      <c r="G1005" s="25"/>
      <c r="H1005" s="106"/>
    </row>
    <row r="1006" spans="1:8" ht="15.75" customHeight="1" x14ac:dyDescent="0.3">
      <c r="A1006" s="25"/>
      <c r="B1006" s="25"/>
      <c r="C1006" s="25"/>
      <c r="D1006" s="26"/>
      <c r="E1006" s="25"/>
      <c r="F1006" s="26"/>
      <c r="G1006" s="25"/>
      <c r="H1006" s="106"/>
    </row>
    <row r="1007" spans="1:8" ht="15.75" customHeight="1" x14ac:dyDescent="0.3">
      <c r="A1007" s="118" t="s">
        <v>33</v>
      </c>
      <c r="B1007" s="121" t="s">
        <v>6</v>
      </c>
      <c r="C1007" s="121"/>
      <c r="D1007" s="123" t="s">
        <v>37</v>
      </c>
      <c r="E1007" s="125" t="s">
        <v>38</v>
      </c>
      <c r="F1007" s="127" t="s">
        <v>7</v>
      </c>
      <c r="G1007" s="129" t="s">
        <v>43</v>
      </c>
      <c r="H1007" s="130" t="s">
        <v>44</v>
      </c>
    </row>
    <row r="1008" spans="1:8" ht="15.75" customHeight="1" x14ac:dyDescent="0.3">
      <c r="A1008" s="133"/>
      <c r="B1008" s="135"/>
      <c r="C1008" s="136"/>
      <c r="D1008" s="138"/>
      <c r="E1008" s="138"/>
      <c r="F1008" s="139"/>
      <c r="G1008" s="141"/>
      <c r="H1008" s="143"/>
    </row>
    <row r="1009" spans="1:8" ht="15.75" customHeight="1" x14ac:dyDescent="0.3">
      <c r="A1009" s="207" t="s">
        <v>55</v>
      </c>
      <c r="B1009" s="288" t="s">
        <v>679</v>
      </c>
      <c r="C1009" s="164"/>
      <c r="D1009" s="209">
        <v>5</v>
      </c>
      <c r="E1009" s="209">
        <v>1</v>
      </c>
      <c r="F1009" s="209">
        <f>+E1009*D1009</f>
      </c>
      <c r="G1009" s="209">
        <v>1</v>
      </c>
      <c r="H1009" s="210">
        <f>+G1009*F1009</f>
      </c>
    </row>
    <row r="1010" spans="1:8" ht="15.75" customHeight="1" x14ac:dyDescent="0.3">
      <c r="A1010" s="207"/>
      <c r="B1010" s="288"/>
      <c r="C1010" s="164"/>
      <c r="D1010" s="209"/>
      <c r="E1010" s="209"/>
      <c r="F1010" s="209"/>
      <c r="G1010" s="209"/>
      <c r="H1010" s="210"/>
    </row>
    <row r="1011" spans="1:8" ht="15.75" customHeight="1" x14ac:dyDescent="0.3">
      <c r="A1011" s="207"/>
      <c r="B1011" s="173"/>
      <c r="C1011" s="164"/>
      <c r="D1011" s="209"/>
      <c r="E1011" s="209"/>
      <c r="F1011" s="209"/>
      <c r="G1011" s="209"/>
      <c r="H1011" s="210"/>
    </row>
    <row r="1012" spans="1:8" ht="15.75" customHeight="1" x14ac:dyDescent="0.3">
      <c r="A1012" s="207"/>
      <c r="B1012" s="288"/>
      <c r="C1012" s="164"/>
      <c r="D1012" s="209"/>
      <c r="E1012" s="209"/>
      <c r="F1012" s="209"/>
      <c r="G1012" s="209"/>
      <c r="H1012" s="210"/>
    </row>
    <row r="1013" spans="1:8" ht="15.75" customHeight="1" x14ac:dyDescent="0.3">
      <c r="A1013" s="207"/>
      <c r="B1013" s="173"/>
      <c r="C1013" s="164"/>
      <c r="D1013" s="209"/>
      <c r="E1013" s="209"/>
      <c r="F1013" s="209"/>
      <c r="G1013" s="209"/>
      <c r="H1013" s="210"/>
    </row>
    <row r="1014" spans="1:8" ht="15.75" customHeight="1" x14ac:dyDescent="0.3">
      <c r="A1014" s="177"/>
      <c r="B1014" s="139"/>
      <c r="C1014" s="136"/>
      <c r="D1014" s="149"/>
      <c r="E1014" s="149"/>
      <c r="F1014" s="179"/>
      <c r="G1014" s="181"/>
      <c r="H1014" s="151"/>
    </row>
    <row r="1015" spans="1:8" ht="15.75" customHeight="1" x14ac:dyDescent="0.3">
      <c r="A1015" s="183"/>
      <c r="B1015" s="184"/>
      <c r="C1015" s="185" t="s">
        <v>85</v>
      </c>
      <c r="D1015" s="186">
        <f>SUM(D1009:D1014)</f>
      </c>
      <c r="E1015" s="186"/>
      <c r="F1015" s="187"/>
      <c r="G1015" s="188"/>
      <c r="H1015" s="189">
        <f>SUM(H1009:H1014)</f>
      </c>
    </row>
    <row r="1016" spans="1:8" ht="15.75" customHeight="1" x14ac:dyDescent="0.3">
      <c r="A1016" s="190"/>
      <c r="B1016" s="191"/>
      <c r="C1016" s="191"/>
      <c r="D1016" s="192"/>
      <c r="E1016" s="191"/>
      <c r="F1016" s="193"/>
      <c r="G1016" s="194"/>
      <c r="H1016" s="195"/>
    </row>
    <row r="1017" spans="1:8" ht="15.75" customHeight="1" x14ac:dyDescent="0.3">
      <c r="A1017" s="196"/>
      <c r="B1017" s="26"/>
      <c r="C1017" s="26"/>
      <c r="D1017" s="26"/>
      <c r="E1017" s="25"/>
      <c r="F1017" s="196"/>
      <c r="G1017" s="25"/>
      <c r="H1017" s="106"/>
    </row>
    <row r="1018" spans="1:8" ht="15.75" customHeight="1" x14ac:dyDescent="0.3">
      <c r="A1018" s="197"/>
      <c r="B1018" s="197"/>
      <c r="C1018" s="197"/>
      <c r="D1018" s="198" t="s">
        <v>97</v>
      </c>
      <c r="E1018" s="197" t="s">
        <v>98</v>
      </c>
      <c r="F1018" s="197"/>
      <c r="G1018" s="25"/>
      <c r="H1018" s="106"/>
    </row>
    <row r="1019" spans="1:8" ht="15.75" customHeight="1" x14ac:dyDescent="0.3">
      <c r="A1019" s="25"/>
      <c r="B1019" s="25"/>
      <c r="C1019" s="25"/>
      <c r="D1019" s="26"/>
      <c r="E1019" s="25"/>
      <c r="F1019" s="25"/>
      <c r="G1019" s="25"/>
      <c r="H1019" s="106"/>
    </row>
    <row r="1020" spans="1:8" ht="15.75" customHeight="1" x14ac:dyDescent="0.3">
      <c r="A1020" s="25"/>
      <c r="B1020" s="25"/>
      <c r="C1020" s="25"/>
      <c r="D1020" s="26"/>
      <c r="E1020" s="25"/>
      <c r="F1020" s="25"/>
      <c r="G1020" s="25"/>
      <c r="H1020" s="106"/>
    </row>
    <row r="1021" spans="1:8" ht="15.75" customHeight="1" x14ac:dyDescent="0.3">
      <c r="A1021" s="197"/>
      <c r="B1021" s="197"/>
      <c r="C1021" s="197"/>
      <c r="D1021" s="198"/>
      <c r="E1021" s="197" t="s">
        <v>99</v>
      </c>
      <c r="F1021" s="197"/>
      <c r="G1021" s="25"/>
      <c r="H1021" s="106"/>
    </row>
    <row r="1022" spans="1:8" ht="15.75" customHeight="1" x14ac:dyDescent="0.25">
      <c r="D1022" s="4"/>
      <c r="H1022" s="4"/>
    </row>
    <row r="1023" spans="1:8" ht="15.75" customHeight="1" x14ac:dyDescent="0.25">
      <c r="D1023" s="4"/>
      <c r="H1023" s="4"/>
    </row>
    <row r="1024" spans="1:8" ht="15.75" customHeight="1" x14ac:dyDescent="0.25">
      <c r="D1024" s="4"/>
      <c r="H1024" s="4"/>
    </row>
    <row r="1025" spans="1:8" ht="15.75" customHeight="1" x14ac:dyDescent="0.25">
      <c r="D1025" s="4"/>
      <c r="H1025" s="4"/>
    </row>
    <row r="1026" spans="1:8" ht="15.75" customHeight="1" x14ac:dyDescent="0.25">
      <c r="D1026" s="4"/>
      <c r="H1026" s="4"/>
    </row>
    <row r="1027" spans="1:8" ht="15.75" customHeight="1" x14ac:dyDescent="0.25">
      <c r="D1027" s="4"/>
      <c r="H1027" s="4"/>
    </row>
    <row r="1028" spans="1:8" ht="15.75" customHeight="1" x14ac:dyDescent="0.25">
      <c r="D1028" s="4"/>
      <c r="H1028" s="4"/>
    </row>
    <row r="1029" spans="1:8" ht="15.75" customHeight="1" x14ac:dyDescent="0.25">
      <c r="D1029" s="4"/>
      <c r="H1029" s="4"/>
    </row>
    <row r="1030" spans="1:8" ht="15.75" customHeight="1" x14ac:dyDescent="0.25">
      <c r="D1030" s="4"/>
      <c r="H1030" s="4"/>
    </row>
    <row r="1031" spans="1:8" ht="15.75" customHeight="1" x14ac:dyDescent="0.25">
      <c r="D1031" s="4"/>
      <c r="H1031" s="4"/>
    </row>
    <row r="1032" spans="1:8" ht="15.75" customHeight="1" x14ac:dyDescent="0.25">
      <c r="D1032" s="4"/>
      <c r="H1032" s="4"/>
    </row>
    <row r="1033" spans="1:8" ht="15.75" customHeight="1" x14ac:dyDescent="0.25">
      <c r="D1033" s="4"/>
      <c r="H1033" s="4"/>
    </row>
    <row r="1034" spans="1:8" ht="15.75" customHeight="1" x14ac:dyDescent="0.25">
      <c r="D1034" s="4"/>
      <c r="H1034" s="4"/>
    </row>
    <row r="1035" spans="1:8" ht="15.75" customHeight="1" x14ac:dyDescent="0.25">
      <c r="D1035" s="4"/>
      <c r="H1035" s="4"/>
    </row>
    <row r="1036" spans="1:8" ht="15.75" customHeight="1" x14ac:dyDescent="0.25">
      <c r="D1036" s="4"/>
      <c r="H1036" s="4"/>
    </row>
    <row r="1037" spans="1:8" ht="15.75" customHeight="1" x14ac:dyDescent="0.25">
      <c r="A1037" s="14" t="s">
        <v>14</v>
      </c>
      <c r="B1037" s="14"/>
      <c r="C1037" s="14"/>
      <c r="D1037" s="14"/>
      <c r="E1037" s="14"/>
      <c r="F1037" s="14"/>
      <c r="G1037" s="14"/>
      <c r="H1037" s="14"/>
    </row>
    <row r="1038" spans="1:8" ht="15.75" customHeight="1" x14ac:dyDescent="0.25">
      <c r="D1038" s="4"/>
      <c r="H1038" s="8"/>
    </row>
    <row r="1039" spans="1:8" ht="15.75" customHeight="1" x14ac:dyDescent="0.3">
      <c r="A1039" s="233"/>
      <c r="B1039" s="233"/>
      <c r="C1039" s="234"/>
      <c r="D1039" s="235"/>
      <c r="E1039" s="236"/>
      <c r="F1039" s="236"/>
      <c r="G1039" s="236"/>
      <c r="H1039" s="237"/>
    </row>
    <row r="1040" spans="1:8" ht="15.75" customHeight="1" x14ac:dyDescent="0.3">
      <c r="A1040" s="233"/>
      <c r="B1040" s="233"/>
      <c r="C1040" s="233"/>
      <c r="D1040" s="234"/>
      <c r="E1040" s="233"/>
      <c r="F1040" s="238" t="s">
        <v>18</v>
      </c>
      <c r="G1040" s="239" t="s">
        <v>807</v>
      </c>
      <c r="H1040" s="240"/>
    </row>
    <row r="1041" spans="1:8" ht="15.75" customHeight="1" x14ac:dyDescent="0.3">
      <c r="A1041" s="233" t="s">
        <v>20</v>
      </c>
      <c r="B1041" s="233"/>
      <c r="C1041" s="233"/>
      <c r="D1041" s="234"/>
      <c r="E1041" s="233"/>
      <c r="F1041" s="238" t="s">
        <v>21</v>
      </c>
      <c r="G1041" s="233" t="s">
        <v>818</v>
      </c>
      <c r="H1041" s="234"/>
    </row>
    <row r="1042" spans="1:8" ht="15.75" customHeight="1" x14ac:dyDescent="0.3">
      <c r="A1042" s="233" t="inlineStr">
        <is>
          <t>Dealer-002</t>
        </is>
      </c>
      <c r="B1042" s="233"/>
      <c r="C1042" s="233"/>
      <c r="D1042" s="234"/>
      <c r="E1042" s="238"/>
      <c r="F1042" s="233"/>
      <c r="G1042" s="233"/>
      <c r="H1042" s="237"/>
    </row>
    <row r="1043" spans="1:8" ht="15.75" customHeight="1" x14ac:dyDescent="0.3">
      <c r="A1043" s="233" t="inlineStr">
        <is>
          <t>Address line (redacted)</t>
        </is>
      </c>
      <c r="B1043" s="233"/>
      <c r="C1043" s="233"/>
      <c r="D1043" s="241"/>
      <c r="E1043" s="233"/>
      <c r="F1043" s="234"/>
      <c r="G1043" s="233"/>
      <c r="H1043" s="237"/>
    </row>
    <row r="1044" spans="1:8" ht="15.75" customHeight="1" x14ac:dyDescent="0.3">
      <c r="A1044" s="233" t="inlineStr">
        <is>
          <t>Address line (redacted)</t>
        </is>
      </c>
      <c r="B1044" s="233"/>
      <c r="C1044" s="233"/>
      <c r="D1044" s="241"/>
      <c r="E1044" s="233"/>
      <c r="F1044" s="234"/>
      <c r="G1044" s="233"/>
      <c r="H1044" s="237"/>
    </row>
    <row r="1045" spans="1:8" ht="15.75" customHeight="1" x14ac:dyDescent="0.3">
      <c r="A1045" s="242"/>
      <c r="B1045" s="233"/>
      <c r="C1045" s="233"/>
      <c r="D1045" s="234"/>
      <c r="E1045" s="233"/>
      <c r="F1045" s="234"/>
      <c r="G1045" s="233"/>
      <c r="H1045" s="237"/>
    </row>
    <row r="1046" spans="1:8" ht="15.75" customHeight="1" x14ac:dyDescent="0.3">
      <c r="A1046" s="233" t="s">
        <v>30</v>
      </c>
      <c r="B1046" s="233"/>
      <c r="C1046" s="233"/>
      <c r="D1046" s="234"/>
      <c r="E1046" s="233"/>
      <c r="F1046" s="234"/>
      <c r="G1046" s="233"/>
      <c r="H1046" s="237"/>
    </row>
    <row r="1047" spans="1:8" ht="15.75" customHeight="1" x14ac:dyDescent="0.3">
      <c r="A1047" s="233"/>
      <c r="B1047" s="233"/>
      <c r="C1047" s="233"/>
      <c r="D1047" s="234"/>
      <c r="E1047" s="233"/>
      <c r="F1047" s="234"/>
      <c r="G1047" s="233"/>
      <c r="H1047" s="237"/>
    </row>
    <row r="1048" spans="1:8" ht="15.75" customHeight="1" x14ac:dyDescent="0.3">
      <c r="A1048" s="233" t="s">
        <v>31</v>
      </c>
      <c r="B1048" s="233"/>
      <c r="C1048" s="233"/>
      <c r="D1048" s="234"/>
      <c r="E1048" s="233"/>
      <c r="F1048" s="234"/>
      <c r="G1048" s="233"/>
      <c r="H1048" s="237"/>
    </row>
    <row r="1049" spans="1:8" ht="15.75" customHeight="1" x14ac:dyDescent="0.3">
      <c r="A1049" s="233" t="s">
        <v>32</v>
      </c>
      <c r="B1049" s="233"/>
      <c r="C1049" s="233"/>
      <c r="D1049" s="234"/>
      <c r="E1049" s="233"/>
      <c r="F1049" s="234"/>
      <c r="G1049" s="233"/>
      <c r="H1049" s="237"/>
    </row>
    <row r="1050" spans="1:8" ht="15.75" customHeight="1" x14ac:dyDescent="0.3">
      <c r="A1050" s="233"/>
      <c r="B1050" s="233"/>
      <c r="C1050" s="233"/>
      <c r="D1050" s="234"/>
      <c r="E1050" s="233"/>
      <c r="F1050" s="234"/>
      <c r="G1050" s="233"/>
      <c r="H1050" s="237"/>
    </row>
    <row r="1051" spans="1:8" ht="15.75" customHeight="1" x14ac:dyDescent="0.3">
      <c r="A1051" s="243" t="s">
        <v>33</v>
      </c>
      <c r="B1051" s="244" t="s">
        <v>6</v>
      </c>
      <c r="C1051" s="244"/>
      <c r="D1051" s="245" t="s">
        <v>37</v>
      </c>
      <c r="E1051" s="246" t="s">
        <v>38</v>
      </c>
      <c r="F1051" s="247" t="s">
        <v>7</v>
      </c>
      <c r="G1051" s="248" t="s">
        <v>43</v>
      </c>
      <c r="H1051" s="249" t="s">
        <v>44</v>
      </c>
    </row>
    <row r="1052" spans="1:8" ht="15.75" customHeight="1" x14ac:dyDescent="0.3">
      <c r="A1052" s="250"/>
      <c r="B1052" s="251"/>
      <c r="C1052" s="236"/>
      <c r="D1052" s="252"/>
      <c r="E1052" s="252"/>
      <c r="F1052" s="253"/>
      <c r="G1052" s="254"/>
      <c r="H1052" s="255"/>
    </row>
    <row r="1053" spans="1:8" ht="15.75" customHeight="1" x14ac:dyDescent="0.3">
      <c r="A1053" s="256"/>
      <c r="B1053" s="261"/>
      <c r="C1053" s="262"/>
      <c r="D1053" s="259"/>
      <c r="E1053" s="259"/>
      <c r="F1053" s="234"/>
      <c r="G1053" s="259"/>
      <c r="H1053" s="260"/>
    </row>
    <row r="1054" spans="1:8" ht="15.75" customHeight="1" x14ac:dyDescent="0.3">
      <c r="A1054" s="256" t="s">
        <v>55</v>
      </c>
      <c r="B1054" s="261" t="s">
        <v>677</v>
      </c>
      <c r="C1054" s="262" t="s">
        <v>5</v>
      </c>
      <c r="D1054" s="259">
        <v>6</v>
      </c>
      <c r="E1054" s="259">
        <v>24</v>
      </c>
      <c r="F1054" s="234">
        <f>+E1054*D1054</f>
      </c>
      <c r="G1054" s="259">
        <v>1</v>
      </c>
      <c r="H1054" s="260">
        <f>+G1054*F1054</f>
      </c>
    </row>
    <row r="1055" spans="1:8" ht="15.75" customHeight="1" x14ac:dyDescent="0.3">
      <c r="A1055" s="256"/>
      <c r="B1055" s="257"/>
      <c r="C1055" s="263"/>
      <c r="D1055" s="259"/>
      <c r="E1055" s="259"/>
      <c r="F1055" s="234"/>
      <c r="G1055" s="259"/>
      <c r="H1055" s="260"/>
    </row>
    <row r="1056" spans="1:8" ht="15.75" customHeight="1" x14ac:dyDescent="0.3">
      <c r="A1056" s="256"/>
      <c r="B1056" s="261"/>
      <c r="C1056" s="233"/>
      <c r="D1056" s="259"/>
      <c r="E1056" s="259"/>
      <c r="F1056" s="234"/>
      <c r="G1056" s="259"/>
      <c r="H1056" s="260"/>
    </row>
    <row r="1057" spans="1:8" ht="15.75" customHeight="1" x14ac:dyDescent="0.3">
      <c r="A1057" s="256"/>
      <c r="B1057" s="264"/>
      <c r="C1057" s="233"/>
      <c r="D1057" s="259"/>
      <c r="E1057" s="259"/>
      <c r="F1057" s="234"/>
      <c r="G1057" s="259"/>
      <c r="H1057" s="260"/>
    </row>
    <row r="1058" spans="1:8" ht="15.75" customHeight="1" x14ac:dyDescent="0.3">
      <c r="A1058" s="265"/>
      <c r="B1058" s="253"/>
      <c r="C1058" s="236"/>
      <c r="D1058" s="259"/>
      <c r="E1058" s="259"/>
      <c r="F1058" s="266"/>
      <c r="G1058" s="267"/>
      <c r="H1058" s="260"/>
    </row>
    <row r="1059" spans="1:8" ht="15.75" customHeight="1" x14ac:dyDescent="0.3">
      <c r="A1059" s="268"/>
      <c r="B1059" s="269"/>
      <c r="C1059" s="270" t="s">
        <v>85</v>
      </c>
      <c r="D1059" s="271">
        <f>SUM(D1053:D1058)</f>
      </c>
      <c r="E1059" s="271"/>
      <c r="F1059" s="272"/>
      <c r="G1059" s="273"/>
      <c r="H1059" s="274">
        <f>SUM(H1053:H1058)</f>
      </c>
    </row>
    <row r="1060" spans="1:8" ht="15.75" customHeight="1" x14ac:dyDescent="0.3">
      <c r="A1060" s="275"/>
      <c r="B1060" s="276"/>
      <c r="C1060" s="276"/>
      <c r="D1060" s="277"/>
      <c r="E1060" s="276"/>
      <c r="F1060" s="278"/>
      <c r="G1060" s="279"/>
      <c r="H1060" s="280"/>
    </row>
    <row r="1061" spans="1:8" ht="15.75" customHeight="1" x14ac:dyDescent="0.3">
      <c r="A1061" s="235"/>
      <c r="B1061" s="234"/>
      <c r="C1061" s="234"/>
      <c r="D1061" s="234"/>
      <c r="E1061" s="233"/>
      <c r="F1061" s="235"/>
      <c r="G1061" s="233"/>
      <c r="H1061" s="237"/>
    </row>
    <row r="1062" spans="1:8" ht="15.75" customHeight="1" x14ac:dyDescent="0.3">
      <c r="A1062" s="281"/>
      <c r="B1062" s="281"/>
      <c r="C1062" s="281"/>
      <c r="D1062" s="282" t="s">
        <v>97</v>
      </c>
      <c r="E1062" s="281" t="s">
        <v>98</v>
      </c>
      <c r="F1062" s="281"/>
      <c r="G1062" s="233"/>
      <c r="H1062" s="237"/>
    </row>
    <row r="1063" spans="1:8" ht="15.75" customHeight="1" x14ac:dyDescent="0.3">
      <c r="A1063" s="233"/>
      <c r="B1063" s="233"/>
      <c r="C1063" s="233"/>
      <c r="D1063" s="234"/>
      <c r="E1063" s="233"/>
      <c r="F1063" s="233"/>
      <c r="G1063" s="233"/>
      <c r="H1063" s="237"/>
    </row>
    <row r="1064" spans="1:8" ht="15.75" customHeight="1" x14ac:dyDescent="0.3">
      <c r="A1064" s="233"/>
      <c r="B1064" s="233"/>
      <c r="C1064" s="233"/>
      <c r="D1064" s="234"/>
      <c r="E1064" s="233"/>
      <c r="F1064" s="233"/>
      <c r="G1064" s="233"/>
      <c r="H1064" s="237"/>
    </row>
    <row r="1065" spans="1:8" ht="15.75" customHeight="1" x14ac:dyDescent="0.3">
      <c r="A1065" s="281"/>
      <c r="B1065" s="281"/>
      <c r="C1065" s="281"/>
      <c r="D1065" s="282"/>
      <c r="E1065" s="281" t="s">
        <v>99</v>
      </c>
      <c r="F1065" s="281"/>
      <c r="G1065" s="233"/>
      <c r="H1065" s="237"/>
    </row>
    <row r="1066" spans="1:8" ht="15.75" customHeight="1" x14ac:dyDescent="0.25">
      <c r="D1066" s="4"/>
      <c r="H1066" s="4"/>
    </row>
    <row r="1067" spans="1:8" ht="15.75" customHeight="1" x14ac:dyDescent="0.25">
      <c r="D1067" s="4"/>
      <c r="H1067" s="4"/>
    </row>
    <row r="1068" spans="1:8" ht="15.75" customHeight="1" x14ac:dyDescent="0.25">
      <c r="D1068" s="4"/>
      <c r="H1068" s="4"/>
    </row>
    <row r="1069" spans="1:8" ht="15.75" customHeight="1" x14ac:dyDescent="0.25">
      <c r="D1069" s="4"/>
      <c r="H1069" s="4"/>
    </row>
    <row r="1070" spans="1:8" ht="15.75" customHeight="1" x14ac:dyDescent="0.25">
      <c r="D1070" s="4"/>
      <c r="H1070" s="4"/>
    </row>
    <row r="1071" spans="1:8" ht="15.75" customHeight="1" x14ac:dyDescent="0.25">
      <c r="D1071" s="4"/>
      <c r="H1071" s="4"/>
    </row>
    <row r="1072" spans="1:8" ht="15.75" customHeight="1" x14ac:dyDescent="0.25">
      <c r="D1072" s="4"/>
      <c r="H1072" s="4"/>
    </row>
    <row r="1073" spans="1:8" ht="15.75" customHeight="1" x14ac:dyDescent="0.25">
      <c r="D1073" s="4"/>
      <c r="H1073" s="4"/>
    </row>
    <row r="1074" spans="1:8" ht="15.75" customHeight="1" x14ac:dyDescent="0.25">
      <c r="D1074" s="4"/>
      <c r="H1074" s="4"/>
    </row>
    <row r="1075" spans="1:8" ht="15.75" customHeight="1" x14ac:dyDescent="0.25">
      <c r="D1075" s="4"/>
      <c r="H1075" s="4"/>
    </row>
    <row r="1076" spans="1:8" ht="15.75" customHeight="1" x14ac:dyDescent="0.25">
      <c r="D1076" s="4"/>
      <c r="H1076" s="4"/>
    </row>
    <row r="1077" spans="1:8" ht="15.75" customHeight="1" x14ac:dyDescent="0.25">
      <c r="D1077" s="4"/>
      <c r="H1077" s="4"/>
    </row>
    <row r="1078" spans="1:8" ht="15.75" customHeight="1" x14ac:dyDescent="0.25">
      <c r="D1078" s="4"/>
      <c r="H1078" s="4"/>
    </row>
    <row r="1079" spans="1:8" ht="15.75" customHeight="1" x14ac:dyDescent="0.25">
      <c r="D1079" s="4"/>
      <c r="H1079" s="4"/>
    </row>
    <row r="1080" spans="1:8" ht="15.75" customHeight="1" x14ac:dyDescent="0.25">
      <c r="A1080" s="347" t="s">
        <v>14</v>
      </c>
      <c r="B1080" s="4"/>
      <c r="C1080" s="4"/>
      <c r="D1080" s="4"/>
      <c r="E1080" s="4"/>
      <c r="F1080" s="4"/>
      <c r="G1080" s="4"/>
      <c r="H1080" s="349"/>
    </row>
    <row r="1081" spans="1:8" ht="15.75" customHeight="1" x14ac:dyDescent="0.25">
      <c r="A1081" s="293"/>
      <c r="B1081" s="293"/>
      <c r="C1081" s="293"/>
      <c r="D1081" s="296"/>
      <c r="E1081" s="350"/>
      <c r="F1081" s="294"/>
      <c r="G1081" s="293"/>
      <c r="H1081" s="298"/>
    </row>
    <row r="1082" spans="1:8" ht="15.75" customHeight="1" x14ac:dyDescent="0.25">
      <c r="A1082" s="293"/>
      <c r="B1082" s="293"/>
      <c r="C1082" s="293"/>
      <c r="D1082" s="294"/>
      <c r="E1082" s="293"/>
      <c r="F1082" s="299" t="s">
        <v>18</v>
      </c>
      <c r="G1082" s="293" t="s">
        <v>567</v>
      </c>
      <c r="H1082" s="298"/>
    </row>
    <row r="1083" spans="1:8" ht="15.75" customHeight="1" x14ac:dyDescent="0.25">
      <c r="A1083" s="293" t="s">
        <v>20</v>
      </c>
      <c r="B1083" s="293"/>
      <c r="C1083" s="293"/>
      <c r="D1083" s="294"/>
      <c r="E1083" s="293"/>
      <c r="F1083" s="297" t="s">
        <v>21</v>
      </c>
      <c r="G1083" s="293" t="s">
        <v>824</v>
      </c>
      <c r="H1083" s="298"/>
    </row>
    <row r="1084" spans="1:8" ht="15.75" customHeight="1" x14ac:dyDescent="0.25">
      <c r="A1084" s="293" t="inlineStr">
        <is>
          <t>Dealer-007</t>
        </is>
      </c>
      <c r="B1084" s="293"/>
      <c r="C1084" s="293"/>
      <c r="D1084" s="294"/>
      <c r="E1084" s="293"/>
      <c r="F1084" s="294"/>
      <c r="G1084" s="293"/>
      <c r="H1084" s="298"/>
    </row>
    <row r="1085" spans="1:8" ht="15.75" customHeight="1" x14ac:dyDescent="0.25">
      <c r="A1085" s="293" t="inlineStr">
        <is>
          <t>Address line (redacted)</t>
        </is>
      </c>
      <c r="B1085" s="293"/>
      <c r="C1085" s="293"/>
      <c r="D1085" s="294"/>
      <c r="E1085" s="293"/>
      <c r="F1085" s="294"/>
      <c r="G1085" s="293"/>
      <c r="H1085" s="298"/>
    </row>
    <row r="1086" spans="1:8" ht="15.75" customHeight="1" x14ac:dyDescent="0.25">
      <c r="A1086" s="293" t="inlineStr">
        <is>
          <t>Address line (redacted)</t>
        </is>
      </c>
      <c r="B1086" s="293"/>
      <c r="C1086" s="293"/>
      <c r="D1086" s="294"/>
      <c r="E1086" s="293"/>
      <c r="F1086" s="294"/>
      <c r="G1086" s="293"/>
      <c r="H1086" s="298"/>
    </row>
    <row r="1087" spans="1:8" ht="15.75" customHeight="1" x14ac:dyDescent="0.25">
      <c r="A1087" s="293"/>
      <c r="B1087" s="293"/>
      <c r="C1087" s="293"/>
      <c r="D1087" s="294"/>
      <c r="E1087" s="293"/>
      <c r="F1087" s="294"/>
      <c r="G1087" s="293"/>
      <c r="H1087" s="298"/>
    </row>
    <row r="1088" spans="1:8" ht="15.75" customHeight="1" x14ac:dyDescent="0.25">
      <c r="A1088" s="293" t="s">
        <v>30</v>
      </c>
      <c r="B1088" s="293"/>
      <c r="C1088" s="293"/>
      <c r="D1088" s="294"/>
      <c r="E1088" s="293"/>
      <c r="F1088" s="294"/>
      <c r="G1088" s="293"/>
      <c r="H1088" s="298"/>
    </row>
    <row r="1089" spans="1:8" ht="15.75" customHeight="1" x14ac:dyDescent="0.25">
      <c r="A1089" s="293"/>
      <c r="B1089" s="293"/>
      <c r="C1089" s="293"/>
      <c r="D1089" s="294"/>
      <c r="E1089" s="293"/>
      <c r="F1089" s="294"/>
      <c r="G1089" s="293"/>
      <c r="H1089" s="298"/>
    </row>
    <row r="1090" spans="1:8" ht="15.75" customHeight="1" x14ac:dyDescent="0.25">
      <c r="A1090" s="293" t="s">
        <v>755</v>
      </c>
      <c r="B1090" s="293"/>
      <c r="C1090" s="293"/>
      <c r="D1090" s="294"/>
      <c r="E1090" s="293"/>
      <c r="F1090" s="294"/>
      <c r="G1090" s="293"/>
      <c r="H1090" s="298"/>
    </row>
    <row r="1091" spans="1:8" ht="15.75" customHeight="1" x14ac:dyDescent="0.25">
      <c r="A1091" s="293" t="s">
        <v>756</v>
      </c>
      <c r="B1091" s="293"/>
      <c r="C1091" s="293"/>
      <c r="D1091" s="294"/>
      <c r="E1091" s="293"/>
      <c r="F1091" s="294"/>
      <c r="G1091" s="293"/>
      <c r="H1091" s="298"/>
    </row>
    <row r="1092" spans="1:8" ht="15.75" customHeight="1" x14ac:dyDescent="0.25">
      <c r="A1092" s="293"/>
      <c r="B1092" s="293"/>
      <c r="C1092" s="293"/>
      <c r="D1092" s="294"/>
      <c r="E1092" s="293"/>
      <c r="F1092" s="294"/>
      <c r="G1092" s="293"/>
      <c r="H1092" s="298"/>
    </row>
    <row r="1093" spans="1:8" ht="15.75" customHeight="1" x14ac:dyDescent="0.25">
      <c r="A1093" s="302" t="s">
        <v>33</v>
      </c>
      <c r="B1093" s="303" t="s">
        <v>6</v>
      </c>
      <c r="C1093" s="303"/>
      <c r="D1093" s="304" t="s">
        <v>37</v>
      </c>
      <c r="E1093" s="305" t="s">
        <v>758</v>
      </c>
      <c r="F1093" s="306" t="s">
        <v>7</v>
      </c>
      <c r="G1093" s="307" t="s">
        <v>43</v>
      </c>
      <c r="H1093" s="308" t="s">
        <v>44</v>
      </c>
    </row>
    <row r="1094" spans="1:8" ht="15.75" customHeight="1" x14ac:dyDescent="0.25">
      <c r="A1094" s="309"/>
      <c r="B1094" s="310"/>
      <c r="C1094" s="297"/>
      <c r="D1094" s="311"/>
      <c r="E1094" s="311"/>
      <c r="F1094" s="312"/>
      <c r="G1094" s="313"/>
      <c r="H1094" s="314"/>
    </row>
    <row r="1095" spans="1:8" ht="15.75" customHeight="1" x14ac:dyDescent="0.25">
      <c r="A1095" s="352" t="s">
        <v>55</v>
      </c>
      <c r="B1095" s="353" t="s">
        <v>759</v>
      </c>
      <c r="C1095" s="354"/>
      <c r="D1095" s="355">
        <v>10</v>
      </c>
      <c r="E1095" s="355">
        <v>24</v>
      </c>
      <c r="F1095" s="355">
        <f>+E1095*D1095</f>
      </c>
      <c r="G1095" s="355">
        <v>1</v>
      </c>
      <c r="H1095" s="356">
        <f>+G1095*F1095</f>
      </c>
    </row>
    <row r="1096" spans="1:8" ht="15.75" customHeight="1" x14ac:dyDescent="0.25">
      <c r="A1096" s="352"/>
      <c r="B1096" s="353"/>
      <c r="C1096" s="358"/>
      <c r="D1096" s="355"/>
      <c r="E1096" s="355"/>
      <c r="F1096" s="355"/>
      <c r="G1096" s="355"/>
      <c r="H1096" s="356"/>
    </row>
    <row r="1097" spans="1:8" ht="15.75" customHeight="1" x14ac:dyDescent="0.25">
      <c r="A1097" s="352" t="s">
        <v>59</v>
      </c>
      <c r="B1097" s="359" t="s">
        <v>764</v>
      </c>
      <c r="C1097" s="358"/>
      <c r="D1097" s="355">
        <v>8</v>
      </c>
      <c r="E1097" s="355">
        <v>1</v>
      </c>
      <c r="F1097" s="355">
        <f>+E1097*D1097</f>
      </c>
      <c r="G1097" s="355">
        <v>1</v>
      </c>
      <c r="H1097" s="356">
        <f>+G1097*F1097</f>
      </c>
    </row>
    <row r="1098" spans="1:8" ht="15.75" customHeight="1" x14ac:dyDescent="0.25">
      <c r="A1098" s="352"/>
      <c r="B1098" s="360"/>
      <c r="C1098" s="358"/>
      <c r="D1098" s="355"/>
      <c r="E1098" s="355"/>
      <c r="F1098" s="355"/>
      <c r="G1098" s="355"/>
      <c r="H1098" s="356"/>
    </row>
    <row r="1099" spans="1:8" ht="15.75" customHeight="1" x14ac:dyDescent="0.25">
      <c r="A1099" s="352" t="s">
        <v>67</v>
      </c>
      <c r="B1099" s="359" t="s">
        <v>769</v>
      </c>
      <c r="C1099" s="358"/>
      <c r="D1099" s="355">
        <v>25</v>
      </c>
      <c r="E1099" s="355">
        <v>1</v>
      </c>
      <c r="F1099" s="355">
        <f>+E1099*D1099</f>
      </c>
      <c r="G1099" s="355">
        <v>1</v>
      </c>
      <c r="H1099" s="356">
        <f>+G1099*F1099</f>
      </c>
    </row>
    <row r="1100" spans="1:8" ht="15.75" customHeight="1" x14ac:dyDescent="0.25">
      <c r="A1100" s="361"/>
      <c r="B1100" s="353"/>
      <c r="C1100" s="358"/>
      <c r="D1100" s="355"/>
      <c r="E1100" s="355"/>
      <c r="F1100" s="355"/>
      <c r="G1100" s="355"/>
      <c r="H1100" s="356"/>
    </row>
    <row r="1101" spans="1:8" ht="15.75" customHeight="1" x14ac:dyDescent="0.25">
      <c r="A1101" s="364" t="s">
        <v>486</v>
      </c>
      <c r="B1101" s="365" t="s">
        <v>797</v>
      </c>
      <c r="C1101" s="366"/>
      <c r="D1101" s="367">
        <v>0</v>
      </c>
      <c r="E1101" s="367">
        <v>0</v>
      </c>
      <c r="F1101" s="367" t="s">
        <v>800</v>
      </c>
      <c r="G1101" s="367">
        <v>0</v>
      </c>
      <c r="H1101" s="368">
        <v>0</v>
      </c>
    </row>
    <row r="1102" spans="1:8" ht="15.75" customHeight="1" x14ac:dyDescent="0.25">
      <c r="A1102" s="361"/>
      <c r="B1102" s="353"/>
      <c r="C1102" s="358"/>
      <c r="D1102" s="355"/>
      <c r="E1102" s="355"/>
      <c r="F1102" s="355"/>
      <c r="G1102" s="355"/>
      <c r="H1102" s="356"/>
    </row>
    <row r="1103" spans="1:8" ht="15.75" customHeight="1" x14ac:dyDescent="0.25">
      <c r="A1103" s="352"/>
      <c r="B1103" s="362"/>
      <c r="C1103" s="358"/>
      <c r="D1103" s="355"/>
      <c r="E1103" s="355"/>
      <c r="F1103" s="355"/>
      <c r="G1103" s="355"/>
      <c r="H1103" s="356"/>
    </row>
    <row r="1104" spans="1:8" ht="15.75" customHeight="1" x14ac:dyDescent="0.25">
      <c r="A1104" s="325"/>
      <c r="B1104" s="312"/>
      <c r="C1104" s="297"/>
      <c r="D1104" s="318"/>
      <c r="E1104" s="318"/>
      <c r="F1104" s="326"/>
      <c r="G1104" s="327"/>
      <c r="H1104" s="319"/>
    </row>
    <row r="1105" spans="1:8" ht="15.75" customHeight="1" x14ac:dyDescent="0.25">
      <c r="A1105" s="328"/>
      <c r="B1105" s="329"/>
      <c r="C1105" s="330" t="s">
        <v>85</v>
      </c>
      <c r="D1105" s="331">
        <f>SUM(D1095:D1104)</f>
      </c>
      <c r="E1105" s="331"/>
      <c r="F1105" s="331">
        <f>SUM(F1096:F1104)</f>
      </c>
      <c r="G1105" s="333"/>
      <c r="H1105" s="334">
        <f>SUM(H1095:H1104)</f>
      </c>
    </row>
    <row r="1106" spans="1:8" ht="15.75" customHeight="1" x14ac:dyDescent="0.25">
      <c r="A1106" s="335"/>
      <c r="B1106" s="336"/>
      <c r="C1106" s="336"/>
      <c r="D1106" s="337"/>
      <c r="E1106" s="336"/>
      <c r="F1106" s="338"/>
      <c r="G1106" s="339"/>
      <c r="H1106" s="340"/>
    </row>
    <row r="1107" spans="1:8" ht="15.75" customHeight="1" x14ac:dyDescent="0.25">
      <c r="A1107" s="296"/>
      <c r="B1107" s="294"/>
      <c r="C1107" s="294"/>
      <c r="D1107" s="294"/>
      <c r="E1107" s="293"/>
      <c r="F1107" s="296"/>
      <c r="G1107" s="293"/>
      <c r="H1107" s="298"/>
    </row>
    <row r="1108" spans="1:8" ht="15.75" customHeight="1" x14ac:dyDescent="0.25">
      <c r="A1108" s="341"/>
      <c r="B1108" s="341"/>
      <c r="C1108" s="341"/>
      <c r="D1108" s="342" t="s">
        <v>97</v>
      </c>
      <c r="E1108" s="341" t="s">
        <v>98</v>
      </c>
      <c r="F1108" s="341"/>
      <c r="G1108" s="293"/>
      <c r="H1108" s="298"/>
    </row>
    <row r="1109" spans="1:8" ht="15.75" customHeight="1" x14ac:dyDescent="0.25">
      <c r="A1109" s="293"/>
      <c r="B1109" s="293"/>
      <c r="C1109" s="293"/>
      <c r="D1109" s="294"/>
      <c r="E1109" s="293"/>
      <c r="F1109" s="293"/>
      <c r="G1109" s="293"/>
      <c r="H1109" s="298"/>
    </row>
    <row r="1110" spans="1:8" ht="15.75" customHeight="1" x14ac:dyDescent="0.25">
      <c r="A1110" s="293"/>
      <c r="B1110" s="293"/>
      <c r="C1110" s="293"/>
      <c r="D1110" s="294"/>
      <c r="E1110" s="293"/>
      <c r="F1110" s="293"/>
      <c r="G1110" s="293"/>
      <c r="H1110" s="298"/>
    </row>
    <row r="1111" spans="1:8" ht="15.75" customHeight="1" x14ac:dyDescent="0.25">
      <c r="A1111" s="341"/>
      <c r="B1111" s="341"/>
      <c r="C1111" s="341"/>
      <c r="D1111" s="342"/>
      <c r="E1111" s="341" t="s">
        <v>99</v>
      </c>
      <c r="F1111" s="341"/>
      <c r="G1111" s="293"/>
      <c r="H1111" s="298"/>
    </row>
    <row r="1112" spans="1:8" ht="15.75" customHeight="1" x14ac:dyDescent="0.25">
      <c r="D1112" s="4"/>
      <c r="H1112" s="4"/>
    </row>
    <row r="1113" spans="1:8" ht="15.75" customHeight="1" x14ac:dyDescent="0.25">
      <c r="D1113" s="4"/>
      <c r="H1113" s="4"/>
    </row>
    <row r="1114" spans="1:8" ht="15.75" customHeight="1" x14ac:dyDescent="0.25">
      <c r="D1114" s="4"/>
      <c r="H1114" s="4"/>
    </row>
    <row r="1115" spans="1:8" ht="15.75" customHeight="1" x14ac:dyDescent="0.25">
      <c r="D1115" s="4"/>
      <c r="H1115" s="4"/>
    </row>
    <row r="1116" spans="1:8" ht="15.75" customHeight="1" x14ac:dyDescent="0.25">
      <c r="D1116" s="4"/>
      <c r="H1116" s="4"/>
    </row>
    <row r="1117" spans="1:8" ht="15.75" customHeight="1" x14ac:dyDescent="0.25">
      <c r="D1117" s="4"/>
      <c r="H1117" s="4"/>
    </row>
    <row r="1118" spans="1:8" ht="15.75" customHeight="1" x14ac:dyDescent="0.25">
      <c r="D1118" s="4"/>
      <c r="H1118" s="4"/>
    </row>
    <row r="1119" spans="1:8" ht="15.75" customHeight="1" x14ac:dyDescent="0.25">
      <c r="D1119" s="4"/>
      <c r="H1119" s="4"/>
    </row>
    <row r="1120" spans="1:8" ht="15.75" customHeight="1" x14ac:dyDescent="0.25">
      <c r="D1120" s="4"/>
      <c r="H1120" s="4"/>
    </row>
    <row r="1121" spans="1:8" ht="15.75" customHeight="1" x14ac:dyDescent="0.25">
      <c r="D1121" s="4"/>
      <c r="H1121" s="4"/>
    </row>
    <row r="1122" spans="1:8" ht="15.75" customHeight="1" x14ac:dyDescent="0.25">
      <c r="D1122" s="4"/>
      <c r="H1122" s="4"/>
    </row>
    <row r="1123" spans="1:8" ht="15.75" customHeight="1" x14ac:dyDescent="0.25">
      <c r="D1123" s="4"/>
      <c r="H1123" s="4"/>
    </row>
    <row r="1124" spans="1:8" ht="15.75" customHeight="1" x14ac:dyDescent="0.25">
      <c r="D1124" s="4"/>
      <c r="H1124" s="4"/>
    </row>
    <row r="1125" spans="1:8" ht="15.75" customHeight="1" x14ac:dyDescent="0.25">
      <c r="A1125" s="14" t="s">
        <v>14</v>
      </c>
      <c r="B1125" s="14"/>
      <c r="C1125" s="14"/>
      <c r="D1125" s="14"/>
      <c r="E1125" s="14"/>
      <c r="F1125" s="14"/>
      <c r="G1125" s="14"/>
      <c r="H1125" s="14"/>
    </row>
    <row r="1126" spans="1:8" ht="15.75" customHeight="1" x14ac:dyDescent="0.25">
      <c r="D1126" s="4"/>
      <c r="H1126" s="8"/>
    </row>
    <row r="1127" spans="1:8" ht="15.75" customHeight="1" x14ac:dyDescent="0.3">
      <c r="A1127" s="233"/>
      <c r="B1127" s="233"/>
      <c r="C1127" s="234"/>
      <c r="D1127" s="235"/>
      <c r="E1127" s="236"/>
      <c r="F1127" s="236"/>
      <c r="G1127" s="236"/>
      <c r="H1127" s="237"/>
    </row>
    <row r="1128" spans="1:8" ht="15.75" customHeight="1" x14ac:dyDescent="0.3">
      <c r="A1128" s="233"/>
      <c r="B1128" s="233"/>
      <c r="C1128" s="233"/>
      <c r="D1128" s="234"/>
      <c r="E1128" s="233"/>
      <c r="F1128" s="238" t="s">
        <v>18</v>
      </c>
      <c r="G1128" s="239" t="s">
        <v>568</v>
      </c>
      <c r="H1128" s="240"/>
    </row>
    <row r="1129" spans="1:8" ht="15.75" customHeight="1" x14ac:dyDescent="0.3">
      <c r="A1129" s="233" t="s">
        <v>20</v>
      </c>
      <c r="B1129" s="233"/>
      <c r="C1129" s="233"/>
      <c r="D1129" s="234"/>
      <c r="E1129" s="233"/>
      <c r="F1129" s="238" t="s">
        <v>21</v>
      </c>
      <c r="G1129" s="233" t="s">
        <v>834</v>
      </c>
      <c r="H1129" s="234"/>
    </row>
    <row r="1130" spans="1:8" ht="15.75" customHeight="1" x14ac:dyDescent="0.3">
      <c r="A1130" s="233" t="inlineStr">
        <is>
          <t>Dealer-002</t>
        </is>
      </c>
      <c r="B1130" s="233"/>
      <c r="C1130" s="233"/>
      <c r="D1130" s="234"/>
      <c r="E1130" s="238"/>
      <c r="F1130" s="233"/>
      <c r="G1130" s="233"/>
      <c r="H1130" s="237"/>
    </row>
    <row r="1131" spans="1:8" ht="15.75" customHeight="1" x14ac:dyDescent="0.3">
      <c r="A1131" s="233" t="inlineStr">
        <is>
          <t>Address line (redacted)</t>
        </is>
      </c>
      <c r="B1131" s="233"/>
      <c r="C1131" s="233"/>
      <c r="D1131" s="241"/>
      <c r="E1131" s="233"/>
      <c r="F1131" s="234"/>
      <c r="G1131" s="233"/>
      <c r="H1131" s="237"/>
    </row>
    <row r="1132" spans="1:8" ht="15.75" customHeight="1" x14ac:dyDescent="0.3">
      <c r="A1132" s="233" t="inlineStr">
        <is>
          <t>Address line (redacted)</t>
        </is>
      </c>
      <c r="B1132" s="233"/>
      <c r="C1132" s="233"/>
      <c r="D1132" s="241"/>
      <c r="E1132" s="233"/>
      <c r="F1132" s="234"/>
      <c r="G1132" s="233"/>
      <c r="H1132" s="237"/>
    </row>
    <row r="1133" spans="1:8" ht="15.75" customHeight="1" x14ac:dyDescent="0.3">
      <c r="A1133" s="242"/>
      <c r="B1133" s="233"/>
      <c r="C1133" s="233"/>
      <c r="D1133" s="234"/>
      <c r="E1133" s="233"/>
      <c r="F1133" s="234"/>
      <c r="G1133" s="233"/>
      <c r="H1133" s="237"/>
    </row>
    <row r="1134" spans="1:8" ht="15.75" customHeight="1" x14ac:dyDescent="0.3">
      <c r="A1134" s="233" t="s">
        <v>30</v>
      </c>
      <c r="B1134" s="233"/>
      <c r="C1134" s="233"/>
      <c r="D1134" s="234"/>
      <c r="E1134" s="233"/>
      <c r="F1134" s="234"/>
      <c r="G1134" s="233"/>
      <c r="H1134" s="237"/>
    </row>
    <row r="1135" spans="1:8" ht="15.75" customHeight="1" x14ac:dyDescent="0.3">
      <c r="A1135" s="233"/>
      <c r="B1135" s="233"/>
      <c r="C1135" s="233"/>
      <c r="D1135" s="234"/>
      <c r="E1135" s="233"/>
      <c r="F1135" s="234"/>
      <c r="G1135" s="233"/>
      <c r="H1135" s="237"/>
    </row>
    <row r="1136" spans="1:8" ht="15.75" customHeight="1" x14ac:dyDescent="0.3">
      <c r="A1136" s="233" t="s">
        <v>31</v>
      </c>
      <c r="B1136" s="233"/>
      <c r="C1136" s="233"/>
      <c r="D1136" s="234"/>
      <c r="E1136" s="233"/>
      <c r="F1136" s="234"/>
      <c r="G1136" s="233"/>
      <c r="H1136" s="237"/>
    </row>
    <row r="1137" spans="1:8" ht="15.75" customHeight="1" x14ac:dyDescent="0.3">
      <c r="A1137" s="233" t="s">
        <v>32</v>
      </c>
      <c r="B1137" s="233"/>
      <c r="C1137" s="233"/>
      <c r="D1137" s="234"/>
      <c r="E1137" s="233"/>
      <c r="F1137" s="234"/>
      <c r="G1137" s="233"/>
      <c r="H1137" s="237"/>
    </row>
    <row r="1138" spans="1:8" ht="15.75" customHeight="1" x14ac:dyDescent="0.3">
      <c r="A1138" s="233"/>
      <c r="B1138" s="233"/>
      <c r="C1138" s="233"/>
      <c r="D1138" s="234"/>
      <c r="E1138" s="233"/>
      <c r="F1138" s="234"/>
      <c r="G1138" s="233"/>
      <c r="H1138" s="237"/>
    </row>
    <row r="1139" spans="1:8" ht="15.75" customHeight="1" x14ac:dyDescent="0.3">
      <c r="A1139" s="243" t="s">
        <v>33</v>
      </c>
      <c r="B1139" s="244" t="s">
        <v>6</v>
      </c>
      <c r="C1139" s="244"/>
      <c r="D1139" s="245" t="s">
        <v>37</v>
      </c>
      <c r="E1139" s="246" t="s">
        <v>38</v>
      </c>
      <c r="F1139" s="247" t="s">
        <v>7</v>
      </c>
      <c r="G1139" s="248" t="s">
        <v>43</v>
      </c>
      <c r="H1139" s="249" t="s">
        <v>44</v>
      </c>
    </row>
    <row r="1140" spans="1:8" ht="15.75" customHeight="1" x14ac:dyDescent="0.3">
      <c r="A1140" s="250"/>
      <c r="B1140" s="251"/>
      <c r="C1140" s="236"/>
      <c r="D1140" s="252"/>
      <c r="E1140" s="252"/>
      <c r="F1140" s="253"/>
      <c r="G1140" s="254"/>
      <c r="H1140" s="255"/>
    </row>
    <row r="1141" spans="1:8" ht="15.75" customHeight="1" x14ac:dyDescent="0.3">
      <c r="A1141" s="256"/>
      <c r="B1141" s="261"/>
      <c r="C1141" s="262"/>
      <c r="D1141" s="259"/>
      <c r="E1141" s="259"/>
      <c r="F1141" s="234"/>
      <c r="G1141" s="259"/>
      <c r="H1141" s="260"/>
    </row>
    <row r="1142" spans="1:8" ht="15.75" customHeight="1" x14ac:dyDescent="0.3">
      <c r="A1142" s="256" t="s">
        <v>55</v>
      </c>
      <c r="B1142" s="261" t="s">
        <v>677</v>
      </c>
      <c r="C1142" s="262" t="s">
        <v>5</v>
      </c>
      <c r="D1142" s="259">
        <v>26</v>
      </c>
      <c r="E1142" s="259">
        <v>24</v>
      </c>
      <c r="F1142" s="234">
        <f>+E1142*D1142</f>
      </c>
      <c r="G1142" s="259">
        <v>1</v>
      </c>
      <c r="H1142" s="260">
        <f>+G1142*F1142</f>
      </c>
    </row>
    <row r="1143" spans="1:8" ht="15.75" customHeight="1" x14ac:dyDescent="0.3">
      <c r="A1143" s="256"/>
      <c r="B1143" s="257"/>
      <c r="C1143" s="263"/>
      <c r="D1143" s="259"/>
      <c r="E1143" s="259"/>
      <c r="F1143" s="234"/>
      <c r="G1143" s="259"/>
      <c r="H1143" s="260"/>
    </row>
    <row r="1144" spans="1:8" ht="15.75" customHeight="1" x14ac:dyDescent="0.3">
      <c r="A1144" s="256"/>
      <c r="B1144" s="261"/>
      <c r="C1144" s="233"/>
      <c r="D1144" s="259"/>
      <c r="E1144" s="259"/>
      <c r="F1144" s="234"/>
      <c r="G1144" s="259"/>
      <c r="H1144" s="260"/>
    </row>
    <row r="1145" spans="1:8" ht="15.75" customHeight="1" x14ac:dyDescent="0.3">
      <c r="A1145" s="256"/>
      <c r="B1145" s="264"/>
      <c r="C1145" s="233"/>
      <c r="D1145" s="259"/>
      <c r="E1145" s="259"/>
      <c r="F1145" s="234"/>
      <c r="G1145" s="259"/>
      <c r="H1145" s="260"/>
    </row>
    <row r="1146" spans="1:8" ht="15.75" customHeight="1" x14ac:dyDescent="0.3">
      <c r="A1146" s="265"/>
      <c r="B1146" s="253"/>
      <c r="C1146" s="236"/>
      <c r="D1146" s="259"/>
      <c r="E1146" s="259"/>
      <c r="F1146" s="266"/>
      <c r="G1146" s="267"/>
      <c r="H1146" s="260"/>
    </row>
    <row r="1147" spans="1:8" ht="15.75" customHeight="1" x14ac:dyDescent="0.3">
      <c r="A1147" s="268"/>
      <c r="B1147" s="269"/>
      <c r="C1147" s="270" t="s">
        <v>85</v>
      </c>
      <c r="D1147" s="271">
        <f>SUM(D1141:D1146)</f>
      </c>
      <c r="E1147" s="271"/>
      <c r="F1147" s="272"/>
      <c r="G1147" s="273"/>
      <c r="H1147" s="274">
        <f>SUM(H1141:H1146)</f>
      </c>
    </row>
    <row r="1148" spans="1:8" ht="15.75" customHeight="1" x14ac:dyDescent="0.3">
      <c r="A1148" s="275"/>
      <c r="B1148" s="276"/>
      <c r="C1148" s="276"/>
      <c r="D1148" s="277"/>
      <c r="E1148" s="276"/>
      <c r="F1148" s="278"/>
      <c r="G1148" s="279"/>
      <c r="H1148" s="280"/>
    </row>
    <row r="1149" spans="1:8" ht="15.75" customHeight="1" x14ac:dyDescent="0.3">
      <c r="A1149" s="235"/>
      <c r="B1149" s="234"/>
      <c r="C1149" s="234"/>
      <c r="D1149" s="234"/>
      <c r="E1149" s="233"/>
      <c r="F1149" s="235"/>
      <c r="G1149" s="233"/>
      <c r="H1149" s="237"/>
    </row>
    <row r="1150" spans="1:8" ht="15.75" customHeight="1" x14ac:dyDescent="0.3">
      <c r="A1150" s="281"/>
      <c r="B1150" s="281"/>
      <c r="C1150" s="281"/>
      <c r="D1150" s="282" t="s">
        <v>97</v>
      </c>
      <c r="E1150" s="281" t="s">
        <v>98</v>
      </c>
      <c r="F1150" s="281"/>
      <c r="G1150" s="233"/>
      <c r="H1150" s="237"/>
    </row>
    <row r="1151" spans="1:8" ht="15.75" customHeight="1" x14ac:dyDescent="0.3">
      <c r="A1151" s="233"/>
      <c r="B1151" s="233"/>
      <c r="C1151" s="233"/>
      <c r="D1151" s="234"/>
      <c r="E1151" s="233"/>
      <c r="F1151" s="233"/>
      <c r="G1151" s="233"/>
      <c r="H1151" s="237"/>
    </row>
    <row r="1152" spans="1:8" ht="15.75" customHeight="1" x14ac:dyDescent="0.3">
      <c r="A1152" s="233"/>
      <c r="B1152" s="233"/>
      <c r="C1152" s="233"/>
      <c r="D1152" s="234"/>
      <c r="E1152" s="233"/>
      <c r="F1152" s="233"/>
      <c r="G1152" s="233"/>
      <c r="H1152" s="237"/>
    </row>
    <row r="1153" spans="1:8" ht="15.75" customHeight="1" x14ac:dyDescent="0.3">
      <c r="A1153" s="281"/>
      <c r="B1153" s="281"/>
      <c r="C1153" s="281"/>
      <c r="D1153" s="282"/>
      <c r="E1153" s="281" t="s">
        <v>99</v>
      </c>
      <c r="F1153" s="281"/>
      <c r="G1153" s="233"/>
      <c r="H1153" s="237"/>
    </row>
    <row r="1154" spans="1:8" ht="15.75" customHeight="1" x14ac:dyDescent="0.25">
      <c r="D1154" s="4"/>
      <c r="H1154" s="4"/>
    </row>
    <row r="1155" spans="1:8" ht="15.75" customHeight="1" x14ac:dyDescent="0.25">
      <c r="D1155" s="4"/>
      <c r="H1155" s="4"/>
    </row>
    <row r="1156" spans="1:8" ht="15.75" customHeight="1" x14ac:dyDescent="0.25">
      <c r="D1156" s="4"/>
      <c r="H1156" s="4"/>
    </row>
    <row r="1157" spans="1:8" ht="15.75" customHeight="1" x14ac:dyDescent="0.25">
      <c r="D1157" s="4"/>
      <c r="H1157" s="4"/>
    </row>
    <row r="1158" spans="1:8" ht="15.75" customHeight="1" x14ac:dyDescent="0.25">
      <c r="D1158" s="4"/>
      <c r="H1158" s="4"/>
    </row>
    <row r="1159" spans="1:8" ht="15.75" customHeight="1" x14ac:dyDescent="0.25">
      <c r="D1159" s="4"/>
      <c r="H1159" s="4"/>
    </row>
    <row r="1160" spans="1:8" ht="15.75" customHeight="1" x14ac:dyDescent="0.25">
      <c r="D1160" s="4"/>
      <c r="H1160" s="4"/>
    </row>
    <row r="1161" spans="1:8" ht="15.75" customHeight="1" x14ac:dyDescent="0.25">
      <c r="D1161" s="4"/>
      <c r="H1161" s="4"/>
    </row>
    <row r="1162" spans="1:8" ht="15.75" customHeight="1" x14ac:dyDescent="0.25">
      <c r="D1162" s="4"/>
      <c r="H1162" s="4"/>
    </row>
    <row r="1163" spans="1:8" ht="15.75" customHeight="1" x14ac:dyDescent="0.25">
      <c r="D1163" s="4"/>
      <c r="H1163" s="4"/>
    </row>
    <row r="1164" spans="1:8" ht="15.75" customHeight="1" x14ac:dyDescent="0.25">
      <c r="D1164" s="4"/>
      <c r="H1164" s="4"/>
    </row>
    <row r="1165" spans="1:8" ht="15.75" customHeight="1" x14ac:dyDescent="0.25">
      <c r="D1165" s="4"/>
      <c r="H1165" s="4"/>
    </row>
    <row r="1166" spans="1:8" ht="15.75" customHeight="1" x14ac:dyDescent="0.25">
      <c r="D1166" s="4"/>
      <c r="H1166" s="4"/>
    </row>
    <row r="1167" spans="1:8" ht="15.75" customHeight="1" x14ac:dyDescent="0.25">
      <c r="D1167" s="4"/>
      <c r="H1167" s="4"/>
    </row>
    <row r="1168" spans="1:8" ht="15.75" customHeight="1" x14ac:dyDescent="0.25">
      <c r="A1168" s="14" t="s">
        <v>14</v>
      </c>
      <c r="B1168" s="14"/>
      <c r="C1168" s="14"/>
      <c r="D1168" s="14"/>
      <c r="E1168" s="14"/>
      <c r="F1168" s="14"/>
      <c r="G1168" s="14"/>
      <c r="H1168" s="14"/>
    </row>
    <row r="1169" spans="1:8" ht="15.75" customHeight="1" x14ac:dyDescent="0.25">
      <c r="D1169" s="4"/>
      <c r="H1169" s="8"/>
    </row>
    <row r="1170" spans="1:8" ht="15.75" customHeight="1" x14ac:dyDescent="0.3">
      <c r="A1170" s="233"/>
      <c r="B1170" s="233"/>
      <c r="C1170" s="234"/>
      <c r="D1170" s="235"/>
      <c r="E1170" s="236"/>
      <c r="F1170" s="236"/>
      <c r="G1170" s="236"/>
      <c r="H1170" s="237"/>
    </row>
    <row r="1171" spans="1:8" ht="15.75" customHeight="1" x14ac:dyDescent="0.3">
      <c r="A1171" s="233"/>
      <c r="B1171" s="233"/>
      <c r="C1171" s="233"/>
      <c r="D1171" s="234"/>
      <c r="E1171" s="233"/>
      <c r="F1171" s="238" t="s">
        <v>18</v>
      </c>
      <c r="G1171" s="239" t="s">
        <v>569</v>
      </c>
      <c r="H1171" s="240"/>
    </row>
    <row r="1172" spans="1:8" ht="15.75" customHeight="1" x14ac:dyDescent="0.3">
      <c r="A1172" s="233" t="s">
        <v>20</v>
      </c>
      <c r="B1172" s="233"/>
      <c r="C1172" s="233"/>
      <c r="D1172" s="234"/>
      <c r="E1172" s="233"/>
      <c r="F1172" s="238" t="s">
        <v>21</v>
      </c>
      <c r="G1172" s="233" t="s">
        <v>841</v>
      </c>
      <c r="H1172" s="234"/>
    </row>
    <row r="1173" spans="1:8" ht="15.75" customHeight="1" x14ac:dyDescent="0.3">
      <c r="A1173" s="233" t="inlineStr">
        <is>
          <t>Dealer-002</t>
        </is>
      </c>
      <c r="B1173" s="233"/>
      <c r="C1173" s="233"/>
      <c r="D1173" s="234"/>
      <c r="E1173" s="238"/>
      <c r="F1173" s="233"/>
      <c r="G1173" s="233"/>
      <c r="H1173" s="237"/>
    </row>
    <row r="1174" spans="1:8" ht="15.75" customHeight="1" x14ac:dyDescent="0.3">
      <c r="A1174" s="233" t="inlineStr">
        <is>
          <t>Address line (redacted)</t>
        </is>
      </c>
      <c r="B1174" s="233"/>
      <c r="C1174" s="233"/>
      <c r="D1174" s="241"/>
      <c r="E1174" s="233"/>
      <c r="F1174" s="234"/>
      <c r="G1174" s="233"/>
      <c r="H1174" s="237"/>
    </row>
    <row r="1175" spans="1:8" ht="15.75" customHeight="1" x14ac:dyDescent="0.3">
      <c r="A1175" s="233" t="inlineStr">
        <is>
          <t>Address line (redacted)</t>
        </is>
      </c>
      <c r="B1175" s="233"/>
      <c r="C1175" s="233"/>
      <c r="D1175" s="241"/>
      <c r="E1175" s="233"/>
      <c r="F1175" s="234"/>
      <c r="G1175" s="233"/>
      <c r="H1175" s="237"/>
    </row>
    <row r="1176" spans="1:8" ht="15.75" customHeight="1" x14ac:dyDescent="0.3">
      <c r="A1176" s="242"/>
      <c r="B1176" s="233"/>
      <c r="C1176" s="233"/>
      <c r="D1176" s="234"/>
      <c r="E1176" s="233"/>
      <c r="F1176" s="234"/>
      <c r="G1176" s="233"/>
      <c r="H1176" s="237"/>
    </row>
    <row r="1177" spans="1:8" ht="15.75" customHeight="1" x14ac:dyDescent="0.3">
      <c r="A1177" s="233" t="s">
        <v>30</v>
      </c>
      <c r="B1177" s="233"/>
      <c r="C1177" s="233"/>
      <c r="D1177" s="234"/>
      <c r="E1177" s="233"/>
      <c r="F1177" s="234"/>
      <c r="G1177" s="233"/>
      <c r="H1177" s="237"/>
    </row>
    <row r="1178" spans="1:8" ht="15.75" customHeight="1" x14ac:dyDescent="0.3">
      <c r="A1178" s="233"/>
      <c r="B1178" s="233"/>
      <c r="C1178" s="233"/>
      <c r="D1178" s="234"/>
      <c r="E1178" s="233"/>
      <c r="F1178" s="234"/>
      <c r="G1178" s="233"/>
      <c r="H1178" s="237"/>
    </row>
    <row r="1179" spans="1:8" ht="15.75" customHeight="1" x14ac:dyDescent="0.3">
      <c r="A1179" s="233" t="s">
        <v>31</v>
      </c>
      <c r="B1179" s="233"/>
      <c r="C1179" s="233"/>
      <c r="D1179" s="234"/>
      <c r="E1179" s="233"/>
      <c r="F1179" s="234"/>
      <c r="G1179" s="233"/>
      <c r="H1179" s="237"/>
    </row>
    <row r="1180" spans="1:8" ht="15.75" customHeight="1" x14ac:dyDescent="0.3">
      <c r="A1180" s="233" t="s">
        <v>32</v>
      </c>
      <c r="B1180" s="233"/>
      <c r="C1180" s="233"/>
      <c r="D1180" s="234"/>
      <c r="E1180" s="233"/>
      <c r="F1180" s="234"/>
      <c r="G1180" s="233"/>
      <c r="H1180" s="237"/>
    </row>
    <row r="1181" spans="1:8" ht="15.75" customHeight="1" x14ac:dyDescent="0.3">
      <c r="A1181" s="233"/>
      <c r="B1181" s="233"/>
      <c r="C1181" s="233"/>
      <c r="D1181" s="234"/>
      <c r="E1181" s="233"/>
      <c r="F1181" s="234"/>
      <c r="G1181" s="233"/>
      <c r="H1181" s="237"/>
    </row>
    <row r="1182" spans="1:8" ht="15.75" customHeight="1" x14ac:dyDescent="0.3">
      <c r="A1182" s="243" t="s">
        <v>33</v>
      </c>
      <c r="B1182" s="244" t="s">
        <v>6</v>
      </c>
      <c r="C1182" s="244"/>
      <c r="D1182" s="245" t="s">
        <v>37</v>
      </c>
      <c r="E1182" s="246" t="s">
        <v>38</v>
      </c>
      <c r="F1182" s="247" t="s">
        <v>7</v>
      </c>
      <c r="G1182" s="248" t="s">
        <v>43</v>
      </c>
      <c r="H1182" s="249" t="s">
        <v>44</v>
      </c>
    </row>
    <row r="1183" spans="1:8" ht="15.75" customHeight="1" x14ac:dyDescent="0.3">
      <c r="A1183" s="250"/>
      <c r="B1183" s="251"/>
      <c r="C1183" s="236"/>
      <c r="D1183" s="252"/>
      <c r="E1183" s="252"/>
      <c r="F1183" s="253"/>
      <c r="G1183" s="254"/>
      <c r="H1183" s="255"/>
    </row>
    <row r="1184" spans="1:8" ht="15.75" customHeight="1" x14ac:dyDescent="0.3">
      <c r="A1184" s="256"/>
      <c r="B1184" s="261"/>
      <c r="C1184" s="262"/>
      <c r="D1184" s="259"/>
      <c r="E1184" s="259"/>
      <c r="F1184" s="234"/>
      <c r="G1184" s="259"/>
      <c r="H1184" s="260"/>
    </row>
    <row r="1185" spans="1:8" ht="15.75" customHeight="1" x14ac:dyDescent="0.25">
      <c r="A1185" s="256" t="s">
        <v>55</v>
      </c>
      <c r="B1185" s="371" t="s">
        <v>573</v>
      </c>
      <c r="C1185" s="262"/>
      <c r="D1185" s="4"/>
      <c r="H1185" s="4"/>
    </row>
    <row r="1186" spans="1:8" ht="15.75" customHeight="1" x14ac:dyDescent="0.3">
      <c r="A1186" s="256"/>
      <c r="B1186" s="371" t="s">
        <v>34</v>
      </c>
      <c r="C1186" s="372" t="s">
        <v>25</v>
      </c>
      <c r="D1186" s="259">
        <v>5</v>
      </c>
      <c r="E1186" s="259">
        <v>5</v>
      </c>
      <c r="F1186" s="234">
        <f>+E1186*D1186</f>
      </c>
      <c r="G1186" s="259">
        <v>1</v>
      </c>
      <c r="H1186" s="260">
        <f>+G1186*F1186</f>
      </c>
    </row>
    <row r="1187" spans="1:8" ht="15.75" customHeight="1" x14ac:dyDescent="0.3">
      <c r="A1187" s="256"/>
      <c r="B1187" s="371"/>
      <c r="C1187" s="372"/>
      <c r="D1187" s="259"/>
      <c r="E1187" s="259"/>
      <c r="F1187" s="234"/>
      <c r="G1187" s="259"/>
      <c r="H1187" s="260"/>
    </row>
    <row r="1188" spans="1:8" ht="15.75" customHeight="1" x14ac:dyDescent="0.3">
      <c r="A1188" s="256"/>
      <c r="B1188" s="371"/>
      <c r="C1188" s="372"/>
      <c r="D1188" s="259"/>
      <c r="E1188" s="259"/>
      <c r="F1188" s="234"/>
      <c r="G1188" s="259"/>
      <c r="H1188" s="260"/>
    </row>
    <row r="1189" spans="1:8" ht="15.75" customHeight="1" x14ac:dyDescent="0.3">
      <c r="A1189" s="256"/>
      <c r="B1189" s="371"/>
      <c r="C1189" s="372"/>
      <c r="D1189" s="259"/>
      <c r="E1189" s="259"/>
      <c r="F1189" s="234"/>
      <c r="G1189" s="259"/>
      <c r="H1189" s="260"/>
    </row>
    <row r="1190" spans="1:8" ht="15.75" customHeight="1" x14ac:dyDescent="0.3">
      <c r="A1190" s="256"/>
      <c r="B1190" s="371"/>
      <c r="C1190" s="372"/>
      <c r="D1190" s="259"/>
      <c r="E1190" s="259"/>
      <c r="F1190" s="234"/>
      <c r="G1190" s="259"/>
      <c r="H1190" s="260"/>
    </row>
    <row r="1191" spans="1:8" ht="15.75" customHeight="1" x14ac:dyDescent="0.3">
      <c r="A1191" s="256"/>
      <c r="B1191" s="261"/>
      <c r="C1191" s="233"/>
      <c r="D1191" s="259"/>
      <c r="E1191" s="259"/>
      <c r="F1191" s="234"/>
      <c r="G1191" s="259"/>
      <c r="H1191" s="260"/>
    </row>
    <row r="1192" spans="1:8" ht="15.75" customHeight="1" x14ac:dyDescent="0.3">
      <c r="A1192" s="256"/>
      <c r="B1192" s="264"/>
      <c r="C1192" s="233"/>
      <c r="D1192" s="259"/>
      <c r="E1192" s="259"/>
      <c r="F1192" s="234"/>
      <c r="G1192" s="259"/>
      <c r="H1192" s="260"/>
    </row>
    <row r="1193" spans="1:8" ht="15.75" customHeight="1" x14ac:dyDescent="0.3">
      <c r="A1193" s="265"/>
      <c r="B1193" s="253"/>
      <c r="C1193" s="236"/>
      <c r="D1193" s="259"/>
      <c r="E1193" s="259"/>
      <c r="F1193" s="266"/>
      <c r="G1193" s="267"/>
      <c r="H1193" s="260"/>
    </row>
    <row r="1194" spans="1:8" ht="15.75" customHeight="1" x14ac:dyDescent="0.3">
      <c r="A1194" s="268"/>
      <c r="B1194" s="269"/>
      <c r="C1194" s="270" t="s">
        <v>85</v>
      </c>
      <c r="D1194" s="271">
        <f>SUM(D1184:D1193)</f>
      </c>
      <c r="E1194" s="271"/>
      <c r="F1194" s="272"/>
      <c r="G1194" s="273"/>
      <c r="H1194" s="274">
        <f>SUM(H1184:H1193)</f>
      </c>
    </row>
    <row r="1195" spans="1:8" ht="15.75" customHeight="1" x14ac:dyDescent="0.3">
      <c r="A1195" s="275"/>
      <c r="B1195" s="276"/>
      <c r="C1195" s="276"/>
      <c r="D1195" s="277"/>
      <c r="E1195" s="276"/>
      <c r="F1195" s="278"/>
      <c r="G1195" s="279"/>
      <c r="H1195" s="280"/>
    </row>
    <row r="1196" spans="1:8" ht="15.75" customHeight="1" x14ac:dyDescent="0.3">
      <c r="A1196" s="235"/>
      <c r="B1196" s="234"/>
      <c r="C1196" s="234"/>
      <c r="D1196" s="234"/>
      <c r="E1196" s="233"/>
      <c r="F1196" s="235"/>
      <c r="G1196" s="233"/>
      <c r="H1196" s="237"/>
    </row>
    <row r="1197" spans="1:8" ht="15.75" customHeight="1" x14ac:dyDescent="0.3">
      <c r="A1197" s="281"/>
      <c r="B1197" s="281"/>
      <c r="C1197" s="281"/>
      <c r="D1197" s="282" t="s">
        <v>97</v>
      </c>
      <c r="E1197" s="281" t="s">
        <v>98</v>
      </c>
      <c r="F1197" s="281"/>
      <c r="G1197" s="233"/>
      <c r="H1197" s="237"/>
    </row>
    <row r="1198" spans="1:8" ht="15.75" customHeight="1" x14ac:dyDescent="0.3">
      <c r="A1198" s="233"/>
      <c r="B1198" s="233"/>
      <c r="C1198" s="233"/>
      <c r="D1198" s="234"/>
      <c r="E1198" s="233"/>
      <c r="F1198" s="233"/>
      <c r="G1198" s="233"/>
      <c r="H1198" s="237"/>
    </row>
    <row r="1199" spans="1:8" ht="15.75" customHeight="1" x14ac:dyDescent="0.3">
      <c r="A1199" s="233"/>
      <c r="B1199" s="233"/>
      <c r="C1199" s="233"/>
      <c r="D1199" s="234"/>
      <c r="E1199" s="233"/>
      <c r="F1199" s="233"/>
      <c r="G1199" s="233"/>
      <c r="H1199" s="237"/>
    </row>
    <row r="1200" spans="1:8" ht="15.75" customHeight="1" x14ac:dyDescent="0.3">
      <c r="A1200" s="281"/>
      <c r="B1200" s="281"/>
      <c r="C1200" s="281"/>
      <c r="D1200" s="282"/>
      <c r="E1200" s="281" t="s">
        <v>99</v>
      </c>
      <c r="F1200" s="281"/>
      <c r="G1200" s="233"/>
      <c r="H1200" s="237"/>
    </row>
    <row r="1201" spans="1:8" ht="15.75" customHeight="1" x14ac:dyDescent="0.25">
      <c r="D1201" s="4"/>
      <c r="H1201" s="4"/>
    </row>
    <row r="1202" spans="1:8" ht="15.75" customHeight="1" x14ac:dyDescent="0.25">
      <c r="D1202" s="4"/>
      <c r="H1202" s="4"/>
    </row>
    <row r="1203" spans="1:8" ht="15.75" customHeight="1" x14ac:dyDescent="0.25">
      <c r="D1203" s="4"/>
      <c r="H1203" s="4"/>
    </row>
    <row r="1204" spans="1:8" ht="15.75" customHeight="1" x14ac:dyDescent="0.25">
      <c r="D1204" s="4"/>
      <c r="H1204" s="4"/>
    </row>
    <row r="1205" spans="1:8" ht="15.75" customHeight="1" x14ac:dyDescent="0.25">
      <c r="D1205" s="4"/>
      <c r="H1205" s="4"/>
    </row>
    <row r="1206" spans="1:8" ht="15.75" customHeight="1" x14ac:dyDescent="0.25">
      <c r="D1206" s="4"/>
      <c r="H1206" s="4"/>
    </row>
    <row r="1207" spans="1:8" ht="15.75" customHeight="1" x14ac:dyDescent="0.25">
      <c r="D1207" s="4"/>
      <c r="H1207" s="4"/>
    </row>
    <row r="1208" spans="1:8" ht="15.75" customHeight="1" x14ac:dyDescent="0.25">
      <c r="D1208" s="4"/>
      <c r="H1208" s="4"/>
    </row>
    <row r="1209" spans="1:8" ht="15.75" customHeight="1" x14ac:dyDescent="0.25">
      <c r="D1209" s="4"/>
      <c r="H1209" s="4"/>
    </row>
    <row r="1210" spans="1:8" ht="15.75" customHeight="1" x14ac:dyDescent="0.25">
      <c r="D1210" s="4"/>
      <c r="H1210" s="4"/>
    </row>
    <row r="1211" spans="1:8" ht="15.75" customHeight="1" x14ac:dyDescent="0.25">
      <c r="A1211" s="14" t="s">
        <v>14</v>
      </c>
      <c r="B1211" s="14"/>
      <c r="C1211" s="14"/>
      <c r="D1211" s="14"/>
      <c r="E1211" s="14"/>
      <c r="F1211" s="14"/>
      <c r="G1211" s="14"/>
      <c r="H1211" s="14"/>
    </row>
    <row r="1212" spans="1:8" ht="15.75" customHeight="1" x14ac:dyDescent="0.25">
      <c r="D1212" s="4"/>
      <c r="H1212" s="8"/>
    </row>
    <row r="1213" spans="1:8" ht="15.75" customHeight="1" x14ac:dyDescent="0.25">
      <c r="A1213" s="15"/>
      <c r="B1213" s="15"/>
      <c r="C1213" s="16"/>
      <c r="D1213" s="17"/>
      <c r="E1213" s="18"/>
      <c r="F1213" s="18"/>
      <c r="G1213" s="18"/>
      <c r="H1213" s="19"/>
    </row>
    <row r="1214" spans="1:8" ht="15.75" customHeight="1" x14ac:dyDescent="0.3">
      <c r="A1214" s="25"/>
      <c r="B1214" s="25"/>
      <c r="C1214" s="25"/>
      <c r="D1214" s="26"/>
      <c r="E1214" s="25"/>
      <c r="F1214" s="22" t="s">
        <v>18</v>
      </c>
      <c r="G1214" s="23" t="s">
        <v>569</v>
      </c>
      <c r="H1214" s="24"/>
    </row>
    <row r="1215" spans="1:8" ht="15.75" customHeight="1" x14ac:dyDescent="0.3">
      <c r="A1215" s="25" t="s">
        <v>20</v>
      </c>
      <c r="B1215" s="25"/>
      <c r="C1215" s="25"/>
      <c r="D1215" s="26"/>
      <c r="E1215" s="25"/>
      <c r="F1215" s="22" t="s">
        <v>21</v>
      </c>
      <c r="G1215" s="25" t="s">
        <v>851</v>
      </c>
      <c r="H1215" s="26"/>
    </row>
    <row r="1216" spans="1:8" ht="15.75" customHeight="1" x14ac:dyDescent="0.3">
      <c r="A1216" s="25" t="inlineStr">
        <is>
          <t>Dealer-004</t>
        </is>
      </c>
      <c r="B1216" s="25"/>
      <c r="C1216" s="25"/>
      <c r="D1216" s="109"/>
      <c r="E1216" s="25"/>
      <c r="F1216" s="26"/>
      <c r="G1216" s="25"/>
      <c r="H1216" s="106"/>
    </row>
    <row r="1217" spans="1:8" ht="15.75" customHeight="1" x14ac:dyDescent="0.3">
      <c r="A1217" s="25" t="inlineStr">
        <is>
          <t>Address line (redacted)</t>
        </is>
      </c>
      <c r="B1217" s="25"/>
      <c r="C1217" s="25"/>
      <c r="D1217" s="109"/>
      <c r="E1217" s="25"/>
      <c r="F1217" s="26"/>
      <c r="G1217" s="25"/>
      <c r="H1217" s="106"/>
    </row>
    <row r="1218" spans="1:8" ht="15.75" customHeight="1" x14ac:dyDescent="0.3">
      <c r="A1218" s="25" t="inlineStr">
        <is>
          <t>Address line (redacted)</t>
        </is>
      </c>
      <c r="B1218" s="25"/>
      <c r="C1218" s="25"/>
      <c r="D1218" s="26"/>
      <c r="E1218" s="25"/>
      <c r="F1218" s="26"/>
      <c r="G1218" s="25"/>
      <c r="H1218" s="106"/>
    </row>
    <row r="1219" spans="1:8" ht="15.75" customHeight="1" x14ac:dyDescent="0.3">
      <c r="A1219" s="25"/>
      <c r="B1219" s="25"/>
      <c r="C1219" s="25"/>
      <c r="D1219" s="26"/>
      <c r="E1219" s="25"/>
      <c r="F1219" s="26"/>
      <c r="G1219" s="25"/>
      <c r="H1219" s="106"/>
    </row>
    <row r="1220" spans="1:8" ht="15.75" customHeight="1" x14ac:dyDescent="0.3">
      <c r="A1220" s="25" t="s">
        <v>30</v>
      </c>
      <c r="B1220" s="25"/>
      <c r="C1220" s="25"/>
      <c r="D1220" s="26"/>
      <c r="E1220" s="25"/>
      <c r="F1220" s="26"/>
      <c r="G1220" s="25"/>
      <c r="H1220" s="106"/>
    </row>
    <row r="1221" spans="1:8" ht="15.75" customHeight="1" x14ac:dyDescent="0.3">
      <c r="A1221" s="25"/>
      <c r="B1221" s="25"/>
      <c r="C1221" s="25"/>
      <c r="D1221" s="26"/>
      <c r="E1221" s="25"/>
      <c r="F1221" s="26"/>
      <c r="G1221" s="25"/>
      <c r="H1221" s="106"/>
    </row>
    <row r="1222" spans="1:8" ht="15.75" customHeight="1" x14ac:dyDescent="0.3">
      <c r="A1222" s="25" t="s">
        <v>31</v>
      </c>
      <c r="B1222" s="25"/>
      <c r="C1222" s="25"/>
      <c r="D1222" s="26"/>
      <c r="E1222" s="25"/>
      <c r="F1222" s="26"/>
      <c r="G1222" s="25"/>
      <c r="H1222" s="106"/>
    </row>
    <row r="1223" spans="1:8" ht="15.75" customHeight="1" x14ac:dyDescent="0.3">
      <c r="A1223" s="25" t="s">
        <v>32</v>
      </c>
      <c r="B1223" s="25"/>
      <c r="C1223" s="25"/>
      <c r="D1223" s="26"/>
      <c r="E1223" s="25"/>
      <c r="F1223" s="26"/>
      <c r="G1223" s="25"/>
      <c r="H1223" s="106"/>
    </row>
    <row r="1224" spans="1:8" ht="15.75" customHeight="1" x14ac:dyDescent="0.3">
      <c r="A1224" s="25"/>
      <c r="B1224" s="25"/>
      <c r="C1224" s="25"/>
      <c r="D1224" s="26"/>
      <c r="E1224" s="25"/>
      <c r="F1224" s="26"/>
      <c r="G1224" s="25"/>
      <c r="H1224" s="106"/>
    </row>
    <row r="1225" spans="1:8" ht="15.75" customHeight="1" x14ac:dyDescent="0.3">
      <c r="A1225" s="118" t="s">
        <v>33</v>
      </c>
      <c r="B1225" s="121" t="s">
        <v>6</v>
      </c>
      <c r="C1225" s="121"/>
      <c r="D1225" s="123" t="s">
        <v>37</v>
      </c>
      <c r="E1225" s="125" t="s">
        <v>38</v>
      </c>
      <c r="F1225" s="127" t="s">
        <v>7</v>
      </c>
      <c r="G1225" s="129" t="s">
        <v>43</v>
      </c>
      <c r="H1225" s="130" t="s">
        <v>44</v>
      </c>
    </row>
    <row r="1226" spans="1:8" ht="15.75" customHeight="1" x14ac:dyDescent="0.3">
      <c r="A1226" s="133"/>
      <c r="B1226" s="135"/>
      <c r="C1226" s="136"/>
      <c r="D1226" s="138"/>
      <c r="E1226" s="138"/>
      <c r="F1226" s="139"/>
      <c r="G1226" s="141"/>
      <c r="H1226" s="143"/>
    </row>
    <row r="1227" spans="1:8" ht="15.75" customHeight="1" x14ac:dyDescent="0.3">
      <c r="A1227" s="207" t="s">
        <v>55</v>
      </c>
      <c r="B1227" s="288" t="s">
        <v>573</v>
      </c>
      <c r="C1227" s="164"/>
      <c r="D1227" s="209"/>
      <c r="E1227" s="209"/>
      <c r="F1227" s="209"/>
      <c r="G1227" s="209"/>
      <c r="H1227" s="210"/>
    </row>
    <row r="1228" spans="1:8" ht="15.75" customHeight="1" x14ac:dyDescent="0.3">
      <c r="A1228" s="207"/>
      <c r="B1228" s="288" t="s">
        <v>125</v>
      </c>
      <c r="C1228" s="164" t="s">
        <v>324</v>
      </c>
      <c r="D1228" s="209">
        <v>5</v>
      </c>
      <c r="E1228" s="209">
        <v>5</v>
      </c>
      <c r="F1228" s="209">
        <f>+E1228*D1228</f>
      </c>
      <c r="G1228" s="209">
        <v>1</v>
      </c>
      <c r="H1228" s="210">
        <f>+G1228*F1228</f>
      </c>
    </row>
    <row r="1229" spans="1:8" ht="15.75" customHeight="1" x14ac:dyDescent="0.3">
      <c r="A1229" s="207"/>
      <c r="B1229" s="173"/>
      <c r="C1229" s="164"/>
      <c r="D1229" s="209"/>
      <c r="E1229" s="209"/>
      <c r="F1229" s="209"/>
      <c r="G1229" s="209"/>
      <c r="H1229" s="210"/>
    </row>
    <row r="1230" spans="1:8" ht="15.75" customHeight="1" x14ac:dyDescent="0.3">
      <c r="A1230" s="207"/>
      <c r="B1230" s="288"/>
      <c r="C1230" s="164"/>
      <c r="D1230" s="209"/>
      <c r="E1230" s="209"/>
      <c r="F1230" s="209"/>
      <c r="G1230" s="209"/>
      <c r="H1230" s="210"/>
    </row>
    <row r="1231" spans="1:8" ht="15.75" customHeight="1" x14ac:dyDescent="0.3">
      <c r="A1231" s="207"/>
      <c r="B1231" s="173"/>
      <c r="C1231" s="164"/>
      <c r="D1231" s="209"/>
      <c r="E1231" s="209"/>
      <c r="F1231" s="209"/>
      <c r="G1231" s="209"/>
      <c r="H1231" s="210"/>
    </row>
    <row r="1232" spans="1:8" ht="15.75" customHeight="1" x14ac:dyDescent="0.3">
      <c r="A1232" s="177"/>
      <c r="B1232" s="139"/>
      <c r="C1232" s="136"/>
      <c r="D1232" s="149"/>
      <c r="E1232" s="149"/>
      <c r="F1232" s="179"/>
      <c r="G1232" s="181"/>
      <c r="H1232" s="151"/>
    </row>
    <row r="1233" spans="1:8" ht="15.75" customHeight="1" x14ac:dyDescent="0.3">
      <c r="A1233" s="183"/>
      <c r="B1233" s="184"/>
      <c r="C1233" s="185" t="s">
        <v>85</v>
      </c>
      <c r="D1233" s="186">
        <f>SUM(D1227:D1232)</f>
      </c>
      <c r="E1233" s="186"/>
      <c r="F1233" s="187"/>
      <c r="G1233" s="188"/>
      <c r="H1233" s="189">
        <f>SUM(H1227:H1232)</f>
      </c>
    </row>
    <row r="1234" spans="1:8" ht="15.75" customHeight="1" x14ac:dyDescent="0.3">
      <c r="A1234" s="190"/>
      <c r="B1234" s="191"/>
      <c r="C1234" s="191"/>
      <c r="D1234" s="192"/>
      <c r="E1234" s="191"/>
      <c r="F1234" s="193"/>
      <c r="G1234" s="194"/>
      <c r="H1234" s="195"/>
    </row>
    <row r="1235" spans="1:8" ht="15.75" customHeight="1" x14ac:dyDescent="0.3">
      <c r="A1235" s="196"/>
      <c r="B1235" s="26"/>
      <c r="C1235" s="26"/>
      <c r="D1235" s="26"/>
      <c r="E1235" s="25"/>
      <c r="F1235" s="196"/>
      <c r="G1235" s="25"/>
      <c r="H1235" s="106"/>
    </row>
    <row r="1236" spans="1:8" ht="15.75" customHeight="1" x14ac:dyDescent="0.3">
      <c r="A1236" s="197"/>
      <c r="B1236" s="197"/>
      <c r="C1236" s="197"/>
      <c r="D1236" s="198" t="s">
        <v>97</v>
      </c>
      <c r="E1236" s="197" t="s">
        <v>98</v>
      </c>
      <c r="F1236" s="197"/>
      <c r="G1236" s="25"/>
      <c r="H1236" s="106"/>
    </row>
    <row r="1237" spans="1:8" ht="15.75" customHeight="1" x14ac:dyDescent="0.3">
      <c r="A1237" s="25"/>
      <c r="B1237" s="25"/>
      <c r="C1237" s="25"/>
      <c r="D1237" s="26"/>
      <c r="E1237" s="25"/>
      <c r="F1237" s="25"/>
      <c r="G1237" s="25"/>
      <c r="H1237" s="106"/>
    </row>
    <row r="1238" spans="1:8" ht="15.75" customHeight="1" x14ac:dyDescent="0.3">
      <c r="A1238" s="25"/>
      <c r="B1238" s="25"/>
      <c r="C1238" s="25"/>
      <c r="D1238" s="26"/>
      <c r="E1238" s="25"/>
      <c r="F1238" s="25"/>
      <c r="G1238" s="25"/>
      <c r="H1238" s="106"/>
    </row>
    <row r="1239" spans="1:8" ht="15.75" customHeight="1" x14ac:dyDescent="0.3">
      <c r="A1239" s="197"/>
      <c r="B1239" s="197"/>
      <c r="C1239" s="197"/>
      <c r="D1239" s="198"/>
      <c r="E1239" s="197" t="s">
        <v>99</v>
      </c>
      <c r="F1239" s="197"/>
      <c r="G1239" s="25"/>
      <c r="H1239" s="106"/>
    </row>
    <row r="1240" spans="1:8" ht="15.75" customHeight="1" x14ac:dyDescent="0.25">
      <c r="D1240" s="4"/>
      <c r="H1240" s="4"/>
    </row>
    <row r="1241" spans="1:8" ht="15.75" customHeight="1" x14ac:dyDescent="0.25">
      <c r="D1241" s="4"/>
      <c r="H1241" s="4"/>
    </row>
    <row r="1242" spans="1:8" ht="15.75" customHeight="1" x14ac:dyDescent="0.25">
      <c r="D1242" s="4"/>
      <c r="H1242" s="4"/>
    </row>
    <row r="1243" spans="1:8" ht="15.75" customHeight="1" x14ac:dyDescent="0.25">
      <c r="D1243" s="4"/>
      <c r="H1243" s="4"/>
    </row>
    <row r="1244" spans="1:8" ht="15.75" customHeight="1" x14ac:dyDescent="0.25">
      <c r="D1244" s="4"/>
      <c r="H1244" s="4"/>
    </row>
    <row r="1245" spans="1:8" ht="15.75" customHeight="1" x14ac:dyDescent="0.25">
      <c r="D1245" s="4"/>
      <c r="H1245" s="4"/>
    </row>
    <row r="1246" spans="1:8" ht="15.75" customHeight="1" x14ac:dyDescent="0.25">
      <c r="D1246" s="4"/>
      <c r="H1246" s="4"/>
    </row>
    <row r="1247" spans="1:8" ht="15.75" customHeight="1" x14ac:dyDescent="0.25">
      <c r="D1247" s="4"/>
      <c r="H1247" s="4"/>
    </row>
    <row r="1248" spans="1:8" ht="15.75" customHeight="1" x14ac:dyDescent="0.25">
      <c r="D1248" s="4"/>
      <c r="H1248" s="4"/>
    </row>
    <row r="1249" spans="1:8" ht="15.75" customHeight="1" x14ac:dyDescent="0.25">
      <c r="D1249" s="4"/>
      <c r="H1249" s="4"/>
    </row>
    <row r="1250" spans="1:8" ht="15.75" customHeight="1" x14ac:dyDescent="0.25">
      <c r="D1250" s="4"/>
      <c r="H1250" s="4"/>
    </row>
    <row r="1251" spans="1:8" ht="15.75" customHeight="1" x14ac:dyDescent="0.25">
      <c r="D1251" s="4"/>
      <c r="H1251" s="4"/>
    </row>
    <row r="1252" spans="1:8" ht="15.75" customHeight="1" x14ac:dyDescent="0.25">
      <c r="D1252" s="4"/>
      <c r="H1252" s="4"/>
    </row>
    <row r="1253" spans="1:8" ht="15.75" customHeight="1" x14ac:dyDescent="0.25">
      <c r="D1253" s="4"/>
      <c r="H1253" s="4"/>
    </row>
    <row r="1254" spans="1:8" ht="15.75" customHeight="1" x14ac:dyDescent="0.25">
      <c r="D1254" s="4"/>
      <c r="H1254" s="4"/>
    </row>
    <row r="1255" spans="1:8" ht="15.75" customHeight="1" x14ac:dyDescent="0.25">
      <c r="A1255" s="103" t="s">
        <v>14</v>
      </c>
      <c r="B1255" s="103"/>
      <c r="C1255" s="103"/>
      <c r="D1255" s="103"/>
      <c r="E1255" s="103"/>
      <c r="F1255" s="103"/>
      <c r="G1255" s="103"/>
      <c r="H1255" s="103"/>
    </row>
    <row r="1256" spans="1:8" ht="15.75" customHeight="1" x14ac:dyDescent="0.25">
      <c r="D1256" s="4"/>
      <c r="H1256" s="8"/>
    </row>
    <row r="1257" spans="1:8" ht="15.75" customHeight="1" x14ac:dyDescent="0.25">
      <c r="A1257" s="15"/>
      <c r="B1257" s="15"/>
      <c r="C1257" s="16"/>
      <c r="D1257" s="17"/>
      <c r="E1257" s="18"/>
      <c r="F1257" s="18"/>
      <c r="G1257" s="18"/>
      <c r="H1257" s="19"/>
    </row>
    <row r="1258" spans="1:8" ht="15.75" customHeight="1" x14ac:dyDescent="0.3">
      <c r="A1258" s="25"/>
      <c r="B1258" s="25"/>
      <c r="C1258" s="25"/>
      <c r="D1258" s="26"/>
      <c r="E1258" s="25"/>
      <c r="F1258" s="22" t="s">
        <v>18</v>
      </c>
      <c r="G1258" s="23" t="s">
        <v>569</v>
      </c>
      <c r="H1258" s="24"/>
    </row>
    <row r="1259" spans="1:8" ht="15.75" customHeight="1" x14ac:dyDescent="0.3">
      <c r="A1259" s="25" t="s">
        <v>20</v>
      </c>
      <c r="B1259" s="25"/>
      <c r="C1259" s="25"/>
      <c r="D1259" s="26"/>
      <c r="E1259" s="25"/>
      <c r="F1259" s="22" t="s">
        <v>21</v>
      </c>
      <c r="G1259" s="25" t="s">
        <v>860</v>
      </c>
      <c r="H1259" s="26"/>
    </row>
    <row r="1260" spans="1:8" ht="15.75" customHeight="1" x14ac:dyDescent="0.3">
      <c r="A1260" s="25" t="inlineStr">
        <is>
          <t>Dealer-003</t>
        </is>
      </c>
      <c r="B1260" s="25"/>
      <c r="C1260" s="25"/>
      <c r="D1260" s="26"/>
      <c r="E1260" s="22"/>
      <c r="F1260" s="25"/>
      <c r="G1260" s="25"/>
      <c r="H1260" s="106"/>
    </row>
    <row r="1261" spans="1:8" ht="15.75" customHeight="1" x14ac:dyDescent="0.3">
      <c r="A1261" s="25" t="inlineStr">
        <is>
          <t>Address line (redacted)</t>
        </is>
      </c>
      <c r="B1261" s="25"/>
      <c r="C1261" s="25"/>
      <c r="D1261" s="109"/>
      <c r="E1261" s="25"/>
      <c r="F1261" s="26"/>
      <c r="G1261" s="25"/>
      <c r="H1261" s="106"/>
    </row>
    <row r="1262" spans="1:8" ht="15.75" customHeight="1" x14ac:dyDescent="0.3">
      <c r="A1262" s="25" t="inlineStr">
        <is>
          <t>Address line (redacted)</t>
        </is>
      </c>
      <c r="B1262" s="25"/>
      <c r="C1262" s="25"/>
      <c r="D1262" s="109"/>
      <c r="E1262" s="25"/>
      <c r="F1262" s="26"/>
      <c r="G1262" s="25"/>
      <c r="H1262" s="106"/>
    </row>
    <row r="1263" spans="1:8" ht="15.75" customHeight="1" x14ac:dyDescent="0.3">
      <c r="A1263" s="114"/>
      <c r="B1263" s="25"/>
      <c r="C1263" s="25"/>
      <c r="D1263" s="26"/>
      <c r="E1263" s="25"/>
      <c r="F1263" s="26"/>
      <c r="G1263" s="25"/>
      <c r="H1263" s="106"/>
    </row>
    <row r="1264" spans="1:8" ht="15.75" customHeight="1" x14ac:dyDescent="0.3">
      <c r="A1264" s="25" t="s">
        <v>30</v>
      </c>
      <c r="B1264" s="25"/>
      <c r="C1264" s="25"/>
      <c r="D1264" s="26"/>
      <c r="E1264" s="25"/>
      <c r="F1264" s="26"/>
      <c r="G1264" s="25"/>
      <c r="H1264" s="106"/>
    </row>
    <row r="1265" spans="1:8" ht="15.75" customHeight="1" x14ac:dyDescent="0.3">
      <c r="A1265" s="25"/>
      <c r="B1265" s="25"/>
      <c r="C1265" s="25"/>
      <c r="D1265" s="26"/>
      <c r="E1265" s="25"/>
      <c r="F1265" s="26"/>
      <c r="G1265" s="25"/>
      <c r="H1265" s="106"/>
    </row>
    <row r="1266" spans="1:8" ht="15.75" customHeight="1" x14ac:dyDescent="0.3">
      <c r="A1266" s="25" t="s">
        <v>31</v>
      </c>
      <c r="B1266" s="25"/>
      <c r="C1266" s="25"/>
      <c r="D1266" s="26"/>
      <c r="E1266" s="25"/>
      <c r="F1266" s="26"/>
      <c r="G1266" s="25"/>
      <c r="H1266" s="106"/>
    </row>
    <row r="1267" spans="1:8" ht="15.75" customHeight="1" x14ac:dyDescent="0.3">
      <c r="A1267" s="25" t="s">
        <v>32</v>
      </c>
      <c r="B1267" s="25"/>
      <c r="C1267" s="25"/>
      <c r="D1267" s="26"/>
      <c r="E1267" s="25"/>
      <c r="F1267" s="26"/>
      <c r="G1267" s="25"/>
      <c r="H1267" s="106"/>
    </row>
    <row r="1268" spans="1:8" ht="15.75" customHeight="1" x14ac:dyDescent="0.3">
      <c r="A1268" s="25"/>
      <c r="B1268" s="25"/>
      <c r="C1268" s="25"/>
      <c r="D1268" s="26"/>
      <c r="E1268" s="25"/>
      <c r="F1268" s="26"/>
      <c r="G1268" s="25"/>
      <c r="H1268" s="106"/>
    </row>
    <row r="1269" spans="1:8" ht="15.75" customHeight="1" x14ac:dyDescent="0.3">
      <c r="A1269" s="118" t="s">
        <v>33</v>
      </c>
      <c r="B1269" s="121" t="s">
        <v>6</v>
      </c>
      <c r="C1269" s="121"/>
      <c r="D1269" s="123" t="s">
        <v>37</v>
      </c>
      <c r="E1269" s="125" t="s">
        <v>38</v>
      </c>
      <c r="F1269" s="127" t="s">
        <v>7</v>
      </c>
      <c r="G1269" s="129" t="s">
        <v>43</v>
      </c>
      <c r="H1269" s="130" t="s">
        <v>44</v>
      </c>
    </row>
    <row r="1270" spans="1:8" ht="15.75" customHeight="1" x14ac:dyDescent="0.3">
      <c r="A1270" s="133"/>
      <c r="B1270" s="135"/>
      <c r="C1270" s="136"/>
      <c r="D1270" s="138"/>
      <c r="E1270" s="138"/>
      <c r="F1270" s="139"/>
      <c r="G1270" s="141"/>
      <c r="H1270" s="143"/>
    </row>
    <row r="1271" spans="1:8" ht="15.75" customHeight="1" x14ac:dyDescent="0.3">
      <c r="A1271" s="145"/>
      <c r="B1271" s="147" t="s">
        <v>862</v>
      </c>
      <c r="C1271" s="148"/>
      <c r="D1271" s="149"/>
      <c r="E1271" s="149"/>
      <c r="F1271" s="26"/>
      <c r="G1271" s="149"/>
      <c r="H1271" s="151"/>
    </row>
    <row r="1272" spans="1:8" ht="15.75" customHeight="1" x14ac:dyDescent="0.3">
      <c r="A1272" s="145" t="s">
        <v>55</v>
      </c>
      <c r="B1272" s="153" t="s">
        <v>863</v>
      </c>
      <c r="C1272" s="154" t="s">
        <v>25</v>
      </c>
      <c r="D1272" s="149">
        <v>4</v>
      </c>
      <c r="E1272" s="149">
        <v>5</v>
      </c>
      <c r="F1272" s="26">
        <f>+E1272*D1272</f>
      </c>
      <c r="G1272" s="149">
        <v>1</v>
      </c>
      <c r="H1272" s="151">
        <f>+G1272*F1272</f>
      </c>
    </row>
    <row r="1273" spans="1:8" ht="15.75" customHeight="1" x14ac:dyDescent="0.3">
      <c r="A1273" s="145"/>
      <c r="B1273" s="161"/>
      <c r="C1273" s="25"/>
      <c r="D1273" s="149"/>
      <c r="E1273" s="149"/>
      <c r="F1273" s="26"/>
      <c r="G1273" s="149"/>
      <c r="H1273" s="151"/>
    </row>
    <row r="1274" spans="1:8" ht="15.75" customHeight="1" x14ac:dyDescent="0.3">
      <c r="A1274" s="145"/>
      <c r="B1274" s="162" t="s">
        <v>51</v>
      </c>
      <c r="C1274" s="163"/>
      <c r="D1274" s="149"/>
      <c r="E1274" s="149"/>
      <c r="F1274" s="26"/>
      <c r="G1274" s="149"/>
      <c r="H1274" s="151"/>
    </row>
    <row r="1275" spans="1:8" ht="15.75" customHeight="1" x14ac:dyDescent="0.3">
      <c r="A1275" s="145" t="s">
        <v>59</v>
      </c>
      <c r="B1275" s="164" t="s">
        <v>864</v>
      </c>
      <c r="C1275" s="153" t="s">
        <v>376</v>
      </c>
      <c r="D1275" s="149">
        <v>2</v>
      </c>
      <c r="E1275" s="149">
        <v>6</v>
      </c>
      <c r="F1275" s="26">
        <f>+E1275*D1275</f>
      </c>
      <c r="G1275" s="149">
        <v>1</v>
      </c>
      <c r="H1275" s="151">
        <f>+G1275*F1275</f>
      </c>
    </row>
    <row r="1276" spans="1:8" ht="15.75" customHeight="1" x14ac:dyDescent="0.3">
      <c r="A1276" s="166"/>
      <c r="B1276" s="373"/>
      <c r="C1276" s="165"/>
      <c r="D1276" s="168"/>
      <c r="E1276" s="168"/>
      <c r="F1276" s="168"/>
      <c r="G1276" s="168"/>
      <c r="H1276" s="169"/>
    </row>
    <row r="1277" spans="1:8" ht="15.75" customHeight="1" x14ac:dyDescent="0.3">
      <c r="A1277" s="145"/>
      <c r="B1277" s="374"/>
      <c r="C1277" s="375"/>
      <c r="D1277" s="376"/>
      <c r="E1277" s="149"/>
      <c r="F1277" s="26"/>
      <c r="G1277" s="149"/>
      <c r="H1277" s="151"/>
    </row>
    <row r="1278" spans="1:8" ht="15.75" customHeight="1" x14ac:dyDescent="0.3">
      <c r="A1278" s="145"/>
      <c r="B1278" s="171"/>
      <c r="C1278" s="377"/>
      <c r="D1278" s="376"/>
      <c r="E1278" s="149"/>
      <c r="F1278" s="26"/>
      <c r="G1278" s="149"/>
      <c r="H1278" s="151"/>
    </row>
    <row r="1279" spans="1:8" ht="15.75" customHeight="1" x14ac:dyDescent="0.3">
      <c r="A1279" s="145"/>
      <c r="B1279" s="378"/>
      <c r="C1279" s="379"/>
      <c r="D1279" s="376"/>
      <c r="E1279" s="149"/>
      <c r="F1279" s="26"/>
      <c r="G1279" s="149"/>
      <c r="H1279" s="151"/>
    </row>
    <row r="1280" spans="1:8" ht="15.75" customHeight="1" x14ac:dyDescent="0.3">
      <c r="A1280" s="145"/>
      <c r="B1280" s="174"/>
      <c r="C1280" s="377"/>
      <c r="D1280" s="376"/>
      <c r="E1280" s="149"/>
      <c r="F1280" s="26"/>
      <c r="G1280" s="149"/>
      <c r="H1280" s="151"/>
    </row>
    <row r="1281" spans="1:8" ht="15.75" customHeight="1" x14ac:dyDescent="0.3">
      <c r="A1281" s="145"/>
      <c r="B1281" s="174"/>
      <c r="C1281" s="377"/>
      <c r="D1281" s="376"/>
      <c r="E1281" s="149"/>
      <c r="F1281" s="26"/>
      <c r="G1281" s="149"/>
      <c r="H1281" s="151"/>
    </row>
    <row r="1282" spans="1:8" ht="15.75" customHeight="1" x14ac:dyDescent="0.3">
      <c r="A1282" s="145"/>
      <c r="B1282" s="174"/>
      <c r="C1282" s="25"/>
      <c r="D1282" s="149"/>
      <c r="E1282" s="149"/>
      <c r="F1282" s="26"/>
      <c r="G1282" s="149"/>
      <c r="H1282" s="151"/>
    </row>
    <row r="1283" spans="1:8" ht="15.75" customHeight="1" x14ac:dyDescent="0.3">
      <c r="A1283" s="145"/>
      <c r="B1283" s="174"/>
      <c r="C1283" s="25"/>
      <c r="D1283" s="149"/>
      <c r="E1283" s="149"/>
      <c r="F1283" s="26"/>
      <c r="G1283" s="149"/>
      <c r="H1283" s="151"/>
    </row>
    <row r="1284" spans="1:8" ht="15.75" customHeight="1" x14ac:dyDescent="0.3">
      <c r="A1284" s="145"/>
      <c r="B1284" s="174"/>
      <c r="C1284" s="25"/>
      <c r="D1284" s="149"/>
      <c r="E1284" s="149"/>
      <c r="F1284" s="26"/>
      <c r="G1284" s="149"/>
      <c r="H1284" s="151"/>
    </row>
    <row r="1285" spans="1:8" ht="15.75" customHeight="1" x14ac:dyDescent="0.3">
      <c r="A1285" s="145"/>
      <c r="B1285" s="174"/>
      <c r="C1285" s="25"/>
      <c r="D1285" s="149"/>
      <c r="E1285" s="149"/>
      <c r="F1285" s="26"/>
      <c r="G1285" s="149"/>
      <c r="H1285" s="151"/>
    </row>
    <row r="1286" spans="1:8" ht="15.75" customHeight="1" x14ac:dyDescent="0.3">
      <c r="A1286" s="177"/>
      <c r="B1286" s="139"/>
      <c r="C1286" s="136"/>
      <c r="D1286" s="149"/>
      <c r="E1286" s="149"/>
      <c r="F1286" s="179"/>
      <c r="G1286" s="181"/>
      <c r="H1286" s="151"/>
    </row>
    <row r="1287" spans="1:8" ht="15.75" customHeight="1" x14ac:dyDescent="0.3">
      <c r="A1287" s="183"/>
      <c r="B1287" s="184"/>
      <c r="C1287" s="185" t="s">
        <v>85</v>
      </c>
      <c r="D1287" s="186">
        <f>SUM(D1271:D1286)</f>
      </c>
      <c r="E1287" s="186"/>
      <c r="F1287" s="187">
        <v>32</v>
      </c>
      <c r="G1287" s="188"/>
      <c r="H1287" s="189">
        <f>SUM(H1272:H1286)</f>
      </c>
    </row>
    <row r="1288" spans="1:8" ht="15.75" customHeight="1" x14ac:dyDescent="0.3">
      <c r="A1288" s="190"/>
      <c r="B1288" s="191"/>
      <c r="C1288" s="191"/>
      <c r="D1288" s="192"/>
      <c r="E1288" s="191"/>
      <c r="F1288" s="193"/>
      <c r="G1288" s="194"/>
      <c r="H1288" s="195"/>
    </row>
    <row r="1289" spans="1:8" ht="15.75" customHeight="1" x14ac:dyDescent="0.3">
      <c r="A1289" s="196"/>
      <c r="B1289" s="26"/>
      <c r="C1289" s="26"/>
      <c r="D1289" s="26"/>
      <c r="E1289" s="25"/>
      <c r="F1289" s="196"/>
      <c r="G1289" s="25"/>
      <c r="H1289" s="106"/>
    </row>
    <row r="1290" spans="1:8" ht="15.75" customHeight="1" x14ac:dyDescent="0.3">
      <c r="A1290" s="197"/>
      <c r="B1290" s="197"/>
      <c r="C1290" s="197"/>
      <c r="D1290" s="198" t="s">
        <v>97</v>
      </c>
      <c r="E1290" s="197" t="s">
        <v>98</v>
      </c>
      <c r="F1290" s="197"/>
      <c r="G1290" s="25"/>
      <c r="H1290" s="106"/>
    </row>
    <row r="1291" spans="1:8" ht="15.75" customHeight="1" x14ac:dyDescent="0.3">
      <c r="A1291" s="25"/>
      <c r="B1291" s="25"/>
      <c r="C1291" s="25"/>
      <c r="D1291" s="26"/>
      <c r="E1291" s="25"/>
      <c r="F1291" s="25"/>
      <c r="G1291" s="25"/>
      <c r="H1291" s="106"/>
    </row>
    <row r="1292" spans="1:8" ht="15.75" customHeight="1" x14ac:dyDescent="0.3">
      <c r="A1292" s="25"/>
      <c r="B1292" s="25"/>
      <c r="C1292" s="25"/>
      <c r="D1292" s="26"/>
      <c r="E1292" s="25"/>
      <c r="F1292" s="25"/>
      <c r="G1292" s="25"/>
      <c r="H1292" s="106"/>
    </row>
    <row r="1293" spans="1:8" ht="15.75" customHeight="1" x14ac:dyDescent="0.3">
      <c r="A1293" s="197"/>
      <c r="B1293" s="197"/>
      <c r="C1293" s="197"/>
      <c r="D1293" s="198"/>
      <c r="E1293" s="197" t="s">
        <v>99</v>
      </c>
      <c r="F1293" s="197"/>
      <c r="G1293" s="25"/>
      <c r="H1293" s="106"/>
    </row>
    <row r="1294" spans="1:8" ht="15.75" customHeight="1" x14ac:dyDescent="0.25">
      <c r="D1294" s="4"/>
      <c r="H1294" s="4"/>
    </row>
    <row r="1295" spans="1:8" ht="15.75" customHeight="1" x14ac:dyDescent="0.25">
      <c r="D1295" s="4"/>
      <c r="H1295" s="4"/>
    </row>
    <row r="1296" spans="1:8" ht="15.75" customHeight="1" x14ac:dyDescent="0.25">
      <c r="D1296" s="4"/>
      <c r="H1296" s="4"/>
    </row>
    <row r="1297" spans="1:8" ht="15.75" customHeight="1" x14ac:dyDescent="0.25">
      <c r="D1297" s="4"/>
      <c r="H1297" s="4"/>
    </row>
    <row r="1298" spans="1:8" ht="15.75" customHeight="1" x14ac:dyDescent="0.25">
      <c r="D1298" s="4"/>
      <c r="H1298" s="4"/>
    </row>
    <row r="1299" spans="1:8" ht="15.75" customHeight="1" x14ac:dyDescent="0.25">
      <c r="A1299" s="14" t="s">
        <v>14</v>
      </c>
      <c r="B1299" s="14"/>
      <c r="C1299" s="14"/>
      <c r="D1299" s="14"/>
      <c r="E1299" s="14"/>
      <c r="F1299" s="14"/>
      <c r="G1299" s="14"/>
      <c r="H1299" s="14"/>
    </row>
    <row r="1300" spans="1:8" ht="15.75" customHeight="1" x14ac:dyDescent="0.25">
      <c r="D1300" s="4"/>
      <c r="H1300" s="8"/>
    </row>
    <row r="1301" spans="1:8" ht="15.75" customHeight="1" x14ac:dyDescent="0.25">
      <c r="A1301" s="15"/>
      <c r="B1301" s="15"/>
      <c r="C1301" s="16"/>
      <c r="D1301" s="17"/>
      <c r="E1301" s="18"/>
      <c r="F1301" s="18"/>
      <c r="G1301" s="18"/>
      <c r="H1301" s="19"/>
    </row>
    <row r="1302" spans="1:8" ht="15.75" customHeight="1" x14ac:dyDescent="0.3">
      <c r="A1302" s="25"/>
      <c r="B1302" s="25"/>
      <c r="C1302" s="25"/>
      <c r="D1302" s="26"/>
      <c r="E1302" s="25"/>
      <c r="F1302" s="22" t="s">
        <v>18</v>
      </c>
      <c r="G1302" s="23" t="s">
        <v>499</v>
      </c>
      <c r="H1302" s="24"/>
    </row>
    <row r="1303" spans="1:8" ht="15.75" customHeight="1" x14ac:dyDescent="0.3">
      <c r="A1303" s="25" t="s">
        <v>20</v>
      </c>
      <c r="B1303" s="25"/>
      <c r="C1303" s="25"/>
      <c r="D1303" s="26"/>
      <c r="E1303" s="25"/>
      <c r="F1303" s="22" t="s">
        <v>21</v>
      </c>
      <c r="G1303" s="25" t="s">
        <v>574</v>
      </c>
      <c r="H1303" s="26"/>
    </row>
    <row r="1304" spans="1:8" ht="15.75" customHeight="1" x14ac:dyDescent="0.3">
      <c r="A1304" s="25" t="inlineStr">
        <is>
          <t>Dealer-004</t>
        </is>
      </c>
      <c r="B1304" s="25"/>
      <c r="C1304" s="25"/>
      <c r="D1304" s="109"/>
      <c r="E1304" s="25"/>
      <c r="F1304" s="26"/>
      <c r="G1304" s="25"/>
      <c r="H1304" s="106"/>
    </row>
    <row r="1305" spans="1:8" ht="15.75" customHeight="1" x14ac:dyDescent="0.3">
      <c r="A1305" s="25" t="inlineStr">
        <is>
          <t>Address line (redacted)</t>
        </is>
      </c>
      <c r="B1305" s="25"/>
      <c r="C1305" s="25"/>
      <c r="D1305" s="109"/>
      <c r="E1305" s="25"/>
      <c r="F1305" s="26"/>
      <c r="G1305" s="25"/>
      <c r="H1305" s="106"/>
    </row>
    <row r="1306" spans="1:8" ht="15.75" customHeight="1" x14ac:dyDescent="0.3">
      <c r="A1306" s="25" t="inlineStr">
        <is>
          <t>Address line (redacted)</t>
        </is>
      </c>
      <c r="B1306" s="25"/>
      <c r="C1306" s="25"/>
      <c r="D1306" s="26"/>
      <c r="E1306" s="25"/>
      <c r="F1306" s="26"/>
      <c r="G1306" s="25"/>
      <c r="H1306" s="106"/>
    </row>
    <row r="1307" spans="1:8" ht="15.75" customHeight="1" x14ac:dyDescent="0.3">
      <c r="A1307" s="25"/>
      <c r="B1307" s="25"/>
      <c r="C1307" s="25"/>
      <c r="D1307" s="26"/>
      <c r="E1307" s="25"/>
      <c r="F1307" s="26"/>
      <c r="G1307" s="25"/>
      <c r="H1307" s="106"/>
    </row>
    <row r="1308" spans="1:8" ht="15.75" customHeight="1" x14ac:dyDescent="0.3">
      <c r="A1308" s="25" t="s">
        <v>30</v>
      </c>
      <c r="B1308" s="25"/>
      <c r="C1308" s="25"/>
      <c r="D1308" s="26"/>
      <c r="E1308" s="25"/>
      <c r="F1308" s="26"/>
      <c r="G1308" s="25"/>
      <c r="H1308" s="106"/>
    </row>
    <row r="1309" spans="1:8" ht="15.75" customHeight="1" x14ac:dyDescent="0.3">
      <c r="A1309" s="25"/>
      <c r="B1309" s="25"/>
      <c r="C1309" s="25"/>
      <c r="D1309" s="26"/>
      <c r="E1309" s="25"/>
      <c r="F1309" s="26"/>
      <c r="G1309" s="25"/>
      <c r="H1309" s="106"/>
    </row>
    <row r="1310" spans="1:8" ht="15.75" customHeight="1" x14ac:dyDescent="0.3">
      <c r="A1310" s="25" t="s">
        <v>31</v>
      </c>
      <c r="B1310" s="25"/>
      <c r="C1310" s="25"/>
      <c r="D1310" s="26"/>
      <c r="E1310" s="25"/>
      <c r="F1310" s="26"/>
      <c r="G1310" s="25"/>
      <c r="H1310" s="106"/>
    </row>
    <row r="1311" spans="1:8" ht="15.75" customHeight="1" x14ac:dyDescent="0.3">
      <c r="A1311" s="25" t="s">
        <v>32</v>
      </c>
      <c r="B1311" s="25"/>
      <c r="C1311" s="25"/>
      <c r="D1311" s="26"/>
      <c r="E1311" s="25"/>
      <c r="F1311" s="26"/>
      <c r="G1311" s="25"/>
      <c r="H1311" s="106"/>
    </row>
    <row r="1312" spans="1:8" ht="15.75" customHeight="1" x14ac:dyDescent="0.3">
      <c r="A1312" s="25"/>
      <c r="B1312" s="25"/>
      <c r="C1312" s="25"/>
      <c r="D1312" s="26"/>
      <c r="E1312" s="25"/>
      <c r="F1312" s="26"/>
      <c r="G1312" s="25"/>
      <c r="H1312" s="106"/>
    </row>
    <row r="1313" spans="1:8" ht="15.75" customHeight="1" x14ac:dyDescent="0.3">
      <c r="A1313" s="118" t="s">
        <v>33</v>
      </c>
      <c r="B1313" s="121" t="s">
        <v>6</v>
      </c>
      <c r="C1313" s="121"/>
      <c r="D1313" s="123" t="s">
        <v>37</v>
      </c>
      <c r="E1313" s="125" t="s">
        <v>38</v>
      </c>
      <c r="F1313" s="127" t="s">
        <v>7</v>
      </c>
      <c r="G1313" s="129" t="s">
        <v>43</v>
      </c>
      <c r="H1313" s="130" t="s">
        <v>44</v>
      </c>
    </row>
    <row r="1314" spans="1:8" ht="15.75" customHeight="1" x14ac:dyDescent="0.3">
      <c r="A1314" s="133"/>
      <c r="B1314" s="135"/>
      <c r="C1314" s="136"/>
      <c r="D1314" s="138"/>
      <c r="E1314" s="138"/>
      <c r="F1314" s="139"/>
      <c r="G1314" s="141"/>
      <c r="H1314" s="143"/>
    </row>
    <row r="1315" spans="1:8" ht="15.75" customHeight="1" x14ac:dyDescent="0.3">
      <c r="A1315" s="207"/>
      <c r="B1315" s="380" t="s">
        <v>573</v>
      </c>
      <c r="C1315" s="381"/>
      <c r="D1315" s="209"/>
      <c r="E1315" s="209"/>
      <c r="F1315" s="209"/>
      <c r="G1315" s="209"/>
      <c r="H1315" s="210"/>
    </row>
    <row r="1316" spans="1:8" ht="15.75" customHeight="1" x14ac:dyDescent="0.3">
      <c r="A1316" s="207" t="s">
        <v>55</v>
      </c>
      <c r="B1316" s="288" t="s">
        <v>815</v>
      </c>
      <c r="C1316" s="164" t="s">
        <v>84</v>
      </c>
      <c r="D1316" s="209">
        <v>5</v>
      </c>
      <c r="E1316" s="209">
        <v>5</v>
      </c>
      <c r="F1316" s="209">
        <f>+E1316*D1316</f>
      </c>
      <c r="G1316" s="209">
        <v>1</v>
      </c>
      <c r="H1316" s="210">
        <f>+G1316*F1316</f>
      </c>
    </row>
    <row r="1317" spans="1:8" ht="15.75" customHeight="1" x14ac:dyDescent="0.3">
      <c r="A1317" s="207"/>
      <c r="B1317" s="380" t="s">
        <v>50</v>
      </c>
      <c r="C1317" s="381"/>
      <c r="D1317" s="209"/>
      <c r="E1317" s="209"/>
      <c r="F1317" s="209"/>
      <c r="G1317" s="209"/>
      <c r="H1317" s="210"/>
    </row>
    <row r="1318" spans="1:8" ht="15.75" customHeight="1" x14ac:dyDescent="0.3">
      <c r="A1318" s="207" t="s">
        <v>59</v>
      </c>
      <c r="B1318" s="288" t="s">
        <v>56</v>
      </c>
      <c r="C1318" s="164" t="s">
        <v>57</v>
      </c>
      <c r="D1318" s="209">
        <v>10</v>
      </c>
      <c r="E1318" s="209">
        <v>25</v>
      </c>
      <c r="F1318" s="209">
        <f>+E1318*D1318</f>
      </c>
      <c r="G1318" s="209">
        <v>1</v>
      </c>
      <c r="H1318" s="210">
        <f>+G1318*F1318</f>
      </c>
    </row>
    <row r="1319" spans="1:8" ht="15.75" customHeight="1" x14ac:dyDescent="0.3">
      <c r="A1319" s="207"/>
      <c r="B1319" s="380" t="s">
        <v>74</v>
      </c>
      <c r="C1319" s="381"/>
      <c r="D1319" s="209"/>
      <c r="E1319" s="209"/>
      <c r="F1319" s="209"/>
      <c r="G1319" s="209"/>
      <c r="H1319" s="210"/>
    </row>
    <row r="1320" spans="1:8" ht="15.75" customHeight="1" x14ac:dyDescent="0.3">
      <c r="A1320" s="207" t="s">
        <v>67</v>
      </c>
      <c r="B1320" s="288" t="s">
        <v>878</v>
      </c>
      <c r="C1320" s="164" t="s">
        <v>879</v>
      </c>
      <c r="D1320" s="209">
        <v>10</v>
      </c>
      <c r="E1320" s="209">
        <v>10</v>
      </c>
      <c r="F1320" s="209">
        <f>+E1320*D1320</f>
      </c>
      <c r="G1320" s="209">
        <v>1</v>
      </c>
      <c r="H1320" s="210">
        <f>+G1320*F1320</f>
      </c>
    </row>
    <row r="1321" spans="1:8" ht="15.75" customHeight="1" x14ac:dyDescent="0.3">
      <c r="A1321" s="207"/>
      <c r="B1321" s="173"/>
      <c r="C1321" s="164"/>
      <c r="D1321" s="209"/>
      <c r="E1321" s="209"/>
      <c r="F1321" s="209"/>
      <c r="G1321" s="209"/>
      <c r="H1321" s="210"/>
    </row>
    <row r="1322" spans="1:8" ht="15.75" customHeight="1" x14ac:dyDescent="0.3">
      <c r="A1322" s="177"/>
      <c r="B1322" s="139"/>
      <c r="C1322" s="136"/>
      <c r="D1322" s="149"/>
      <c r="E1322" s="149"/>
      <c r="F1322" s="179"/>
      <c r="G1322" s="181"/>
      <c r="H1322" s="151"/>
    </row>
    <row r="1323" spans="1:8" ht="15.75" customHeight="1" x14ac:dyDescent="0.3">
      <c r="A1323" s="183"/>
      <c r="B1323" s="184"/>
      <c r="C1323" s="185" t="s">
        <v>85</v>
      </c>
      <c r="D1323" s="186">
        <f>SUM(D1315:D1322)</f>
      </c>
      <c r="E1323" s="186"/>
      <c r="F1323" s="187"/>
      <c r="G1323" s="188"/>
      <c r="H1323" s="189">
        <f>SUM(H1316:H1322)</f>
      </c>
    </row>
    <row r="1324" spans="1:8" ht="15.75" customHeight="1" x14ac:dyDescent="0.3">
      <c r="A1324" s="190"/>
      <c r="B1324" s="191"/>
      <c r="C1324" s="191"/>
      <c r="D1324" s="192"/>
      <c r="E1324" s="191"/>
      <c r="F1324" s="193"/>
      <c r="G1324" s="194"/>
      <c r="H1324" s="195"/>
    </row>
    <row r="1325" spans="1:8" ht="15.75" customHeight="1" x14ac:dyDescent="0.3">
      <c r="A1325" s="196"/>
      <c r="B1325" s="26"/>
      <c r="C1325" s="26"/>
      <c r="D1325" s="26"/>
      <c r="E1325" s="25"/>
      <c r="F1325" s="196"/>
      <c r="G1325" s="25"/>
      <c r="H1325" s="106"/>
    </row>
    <row r="1326" spans="1:8" ht="15.75" customHeight="1" x14ac:dyDescent="0.3">
      <c r="A1326" s="197"/>
      <c r="B1326" s="197"/>
      <c r="C1326" s="197"/>
      <c r="D1326" s="198" t="s">
        <v>97</v>
      </c>
      <c r="E1326" s="197" t="s">
        <v>98</v>
      </c>
      <c r="F1326" s="197"/>
      <c r="G1326" s="25"/>
      <c r="H1326" s="106"/>
    </row>
    <row r="1327" spans="1:8" ht="15.75" customHeight="1" x14ac:dyDescent="0.3">
      <c r="A1327" s="25"/>
      <c r="B1327" s="25"/>
      <c r="C1327" s="25"/>
      <c r="D1327" s="26"/>
      <c r="E1327" s="25"/>
      <c r="F1327" s="25"/>
      <c r="G1327" s="25"/>
      <c r="H1327" s="106"/>
    </row>
    <row r="1328" spans="1:8" ht="15.75" customHeight="1" x14ac:dyDescent="0.3">
      <c r="A1328" s="25"/>
      <c r="B1328" s="25"/>
      <c r="C1328" s="25"/>
      <c r="D1328" s="26"/>
      <c r="E1328" s="25"/>
      <c r="F1328" s="25"/>
      <c r="G1328" s="25"/>
      <c r="H1328" s="106"/>
    </row>
    <row r="1329" spans="1:8" ht="15.75" customHeight="1" x14ac:dyDescent="0.3">
      <c r="A1329" s="197"/>
      <c r="B1329" s="197"/>
      <c r="C1329" s="197"/>
      <c r="D1329" s="198"/>
      <c r="E1329" s="197" t="s">
        <v>99</v>
      </c>
      <c r="F1329" s="197"/>
      <c r="G1329" s="25"/>
      <c r="H1329" s="106"/>
    </row>
    <row r="1330" spans="1:8" ht="15.75" customHeight="1" x14ac:dyDescent="0.25">
      <c r="D1330" s="4"/>
      <c r="H1330" s="4"/>
    </row>
    <row r="1331" spans="1:8" ht="15.75" customHeight="1" x14ac:dyDescent="0.25">
      <c r="D1331" s="4"/>
      <c r="H1331" s="4"/>
    </row>
    <row r="1332" spans="1:8" ht="15.75" customHeight="1" x14ac:dyDescent="0.25">
      <c r="D1332" s="4"/>
      <c r="H1332" s="4"/>
    </row>
    <row r="1333" spans="1:8" ht="15.75" customHeight="1" x14ac:dyDescent="0.25">
      <c r="D1333" s="4"/>
      <c r="H1333" s="4"/>
    </row>
    <row r="1334" spans="1:8" ht="15.75" customHeight="1" x14ac:dyDescent="0.25">
      <c r="D1334" s="4"/>
      <c r="H1334" s="4"/>
    </row>
    <row r="1335" spans="1:8" ht="15.75" customHeight="1" x14ac:dyDescent="0.25">
      <c r="D1335" s="4"/>
      <c r="H1335" s="4"/>
    </row>
    <row r="1336" spans="1:8" ht="15.75" customHeight="1" x14ac:dyDescent="0.25">
      <c r="D1336" s="4"/>
      <c r="H1336" s="4"/>
    </row>
    <row r="1337" spans="1:8" ht="15.75" customHeight="1" x14ac:dyDescent="0.25">
      <c r="D1337" s="4"/>
      <c r="H1337" s="4"/>
    </row>
    <row r="1338" spans="1:8" ht="15.75" customHeight="1" x14ac:dyDescent="0.25">
      <c r="D1338" s="4"/>
      <c r="H1338" s="4"/>
    </row>
    <row r="1339" spans="1:8" ht="15.75" customHeight="1" x14ac:dyDescent="0.25">
      <c r="D1339" s="4"/>
      <c r="H1339" s="4"/>
    </row>
    <row r="1340" spans="1:8" ht="15.75" customHeight="1" x14ac:dyDescent="0.25">
      <c r="D1340" s="4"/>
      <c r="H1340" s="4"/>
    </row>
    <row r="1341" spans="1:8" ht="15.75" customHeight="1" x14ac:dyDescent="0.25">
      <c r="D1341" s="4"/>
      <c r="H1341" s="4"/>
    </row>
    <row r="1342" spans="1:8" ht="15.75" customHeight="1" x14ac:dyDescent="0.25">
      <c r="D1342" s="4"/>
      <c r="H1342" s="4"/>
    </row>
    <row r="1343" spans="1:8" ht="15.75" customHeight="1" x14ac:dyDescent="0.25">
      <c r="A1343" s="103" t="s">
        <v>14</v>
      </c>
      <c r="B1343" s="103"/>
      <c r="C1343" s="103"/>
      <c r="D1343" s="103"/>
      <c r="E1343" s="103"/>
      <c r="F1343" s="103"/>
      <c r="G1343" s="103"/>
      <c r="H1343" s="103"/>
    </row>
    <row r="1344" spans="1:8" ht="15.75" customHeight="1" x14ac:dyDescent="0.25">
      <c r="D1344" s="4"/>
      <c r="H1344" s="8"/>
    </row>
    <row r="1345" spans="1:8" ht="15.75" customHeight="1" x14ac:dyDescent="0.25">
      <c r="A1345" s="15"/>
      <c r="B1345" s="15"/>
      <c r="C1345" s="16"/>
      <c r="D1345" s="17"/>
      <c r="E1345" s="18"/>
      <c r="F1345" s="18"/>
      <c r="G1345" s="18"/>
      <c r="H1345" s="19"/>
    </row>
    <row r="1346" spans="1:8" ht="15.75" customHeight="1" x14ac:dyDescent="0.3">
      <c r="A1346" s="25"/>
      <c r="B1346" s="25"/>
      <c r="C1346" s="25"/>
      <c r="D1346" s="26"/>
      <c r="E1346" s="25"/>
      <c r="F1346" s="22" t="s">
        <v>18</v>
      </c>
      <c r="G1346" s="23" t="s">
        <v>499</v>
      </c>
      <c r="H1346" s="24"/>
    </row>
    <row r="1347" spans="1:8" ht="15.75" customHeight="1" x14ac:dyDescent="0.3">
      <c r="A1347" s="25" t="s">
        <v>20</v>
      </c>
      <c r="B1347" s="25"/>
      <c r="C1347" s="25"/>
      <c r="D1347" s="26"/>
      <c r="E1347" s="25"/>
      <c r="F1347" s="22" t="s">
        <v>21</v>
      </c>
      <c r="G1347" s="25" t="s">
        <v>575</v>
      </c>
      <c r="H1347" s="26"/>
    </row>
    <row r="1348" spans="1:8" ht="15.75" customHeight="1" x14ac:dyDescent="0.3">
      <c r="A1348" s="25" t="inlineStr">
        <is>
          <t>Dealer-003</t>
        </is>
      </c>
      <c r="B1348" s="25"/>
      <c r="C1348" s="25"/>
      <c r="D1348" s="26"/>
      <c r="E1348" s="22"/>
      <c r="F1348" s="25"/>
      <c r="G1348" s="25"/>
      <c r="H1348" s="106"/>
    </row>
    <row r="1349" spans="1:8" ht="15.75" customHeight="1" x14ac:dyDescent="0.3">
      <c r="A1349" s="25" t="inlineStr">
        <is>
          <t>Address line (redacted)</t>
        </is>
      </c>
      <c r="B1349" s="25"/>
      <c r="C1349" s="25"/>
      <c r="D1349" s="109"/>
      <c r="E1349" s="25"/>
      <c r="F1349" s="26"/>
      <c r="G1349" s="25"/>
      <c r="H1349" s="106"/>
    </row>
    <row r="1350" spans="1:8" ht="15.75" customHeight="1" x14ac:dyDescent="0.3">
      <c r="A1350" s="25" t="inlineStr">
        <is>
          <t>Address line (redacted)</t>
        </is>
      </c>
      <c r="B1350" s="25"/>
      <c r="C1350" s="25"/>
      <c r="D1350" s="109"/>
      <c r="E1350" s="25"/>
      <c r="F1350" s="26"/>
      <c r="G1350" s="25"/>
      <c r="H1350" s="106"/>
    </row>
    <row r="1351" spans="1:8" ht="15.75" customHeight="1" x14ac:dyDescent="0.3">
      <c r="A1351" s="114"/>
      <c r="B1351" s="25"/>
      <c r="C1351" s="25"/>
      <c r="D1351" s="26"/>
      <c r="E1351" s="25"/>
      <c r="F1351" s="26"/>
      <c r="G1351" s="25"/>
      <c r="H1351" s="106"/>
    </row>
    <row r="1352" spans="1:8" ht="15.75" customHeight="1" x14ac:dyDescent="0.3">
      <c r="A1352" s="25" t="s">
        <v>30</v>
      </c>
      <c r="B1352" s="25"/>
      <c r="C1352" s="25"/>
      <c r="D1352" s="26"/>
      <c r="E1352" s="25"/>
      <c r="F1352" s="26"/>
      <c r="G1352" s="25"/>
      <c r="H1352" s="106"/>
    </row>
    <row r="1353" spans="1:8" ht="15.75" customHeight="1" x14ac:dyDescent="0.3">
      <c r="A1353" s="25"/>
      <c r="B1353" s="25"/>
      <c r="C1353" s="25"/>
      <c r="D1353" s="26"/>
      <c r="E1353" s="25"/>
      <c r="F1353" s="26"/>
      <c r="G1353" s="25"/>
      <c r="H1353" s="106"/>
    </row>
    <row r="1354" spans="1:8" ht="15.75" customHeight="1" x14ac:dyDescent="0.3">
      <c r="A1354" s="25" t="s">
        <v>31</v>
      </c>
      <c r="B1354" s="25"/>
      <c r="C1354" s="25"/>
      <c r="D1354" s="26"/>
      <c r="E1354" s="25"/>
      <c r="F1354" s="26"/>
      <c r="G1354" s="25"/>
      <c r="H1354" s="106"/>
    </row>
    <row r="1355" spans="1:8" ht="15.75" customHeight="1" x14ac:dyDescent="0.3">
      <c r="A1355" s="25" t="s">
        <v>32</v>
      </c>
      <c r="B1355" s="25"/>
      <c r="C1355" s="25"/>
      <c r="D1355" s="26"/>
      <c r="E1355" s="25"/>
      <c r="F1355" s="26"/>
      <c r="G1355" s="25"/>
      <c r="H1355" s="106"/>
    </row>
    <row r="1356" spans="1:8" ht="15.75" customHeight="1" x14ac:dyDescent="0.3">
      <c r="A1356" s="25"/>
      <c r="B1356" s="25"/>
      <c r="C1356" s="25"/>
      <c r="D1356" s="26"/>
      <c r="E1356" s="25"/>
      <c r="F1356" s="26"/>
      <c r="G1356" s="25"/>
      <c r="H1356" s="106"/>
    </row>
    <row r="1357" spans="1:8" ht="15.75" customHeight="1" x14ac:dyDescent="0.3">
      <c r="A1357" s="118" t="s">
        <v>33</v>
      </c>
      <c r="B1357" s="121" t="s">
        <v>6</v>
      </c>
      <c r="C1357" s="121"/>
      <c r="D1357" s="123" t="s">
        <v>37</v>
      </c>
      <c r="E1357" s="125" t="s">
        <v>38</v>
      </c>
      <c r="F1357" s="127" t="s">
        <v>7</v>
      </c>
      <c r="G1357" s="129" t="s">
        <v>43</v>
      </c>
      <c r="H1357" s="130" t="s">
        <v>44</v>
      </c>
    </row>
    <row r="1358" spans="1:8" ht="15.75" customHeight="1" x14ac:dyDescent="0.3">
      <c r="A1358" s="133"/>
      <c r="B1358" s="135"/>
      <c r="C1358" s="136"/>
      <c r="D1358" s="138"/>
      <c r="E1358" s="138"/>
      <c r="F1358" s="139"/>
      <c r="G1358" s="141"/>
      <c r="H1358" s="143"/>
    </row>
    <row r="1359" spans="1:8" ht="15.75" customHeight="1" x14ac:dyDescent="0.3">
      <c r="A1359" s="145"/>
      <c r="B1359" s="147" t="s">
        <v>862</v>
      </c>
      <c r="C1359" s="148"/>
      <c r="D1359" s="149"/>
      <c r="E1359" s="149"/>
      <c r="F1359" s="26"/>
      <c r="G1359" s="149"/>
      <c r="H1359" s="151"/>
    </row>
    <row r="1360" spans="1:8" ht="15.75" customHeight="1" x14ac:dyDescent="0.3">
      <c r="A1360" s="145" t="s">
        <v>55</v>
      </c>
      <c r="B1360" s="153" t="s">
        <v>863</v>
      </c>
      <c r="C1360" s="154" t="s">
        <v>25</v>
      </c>
      <c r="D1360" s="149">
        <v>4</v>
      </c>
      <c r="E1360" s="149">
        <v>5</v>
      </c>
      <c r="F1360" s="26">
        <f>+E1360*D1360</f>
      </c>
      <c r="G1360" s="149">
        <v>1</v>
      </c>
      <c r="H1360" s="151">
        <f>+G1360*F1360</f>
      </c>
    </row>
    <row r="1361" spans="1:8" ht="15.75" customHeight="1" x14ac:dyDescent="0.3">
      <c r="A1361" s="145"/>
      <c r="B1361" s="161"/>
      <c r="C1361" s="25"/>
      <c r="D1361" s="149"/>
      <c r="E1361" s="149"/>
      <c r="F1361" s="26"/>
      <c r="G1361" s="149"/>
      <c r="H1361" s="151"/>
    </row>
    <row r="1362" spans="1:8" ht="15.75" customHeight="1" x14ac:dyDescent="0.3">
      <c r="A1362" s="145"/>
      <c r="B1362" s="162" t="s">
        <v>51</v>
      </c>
      <c r="C1362" s="163"/>
      <c r="D1362" s="149"/>
      <c r="E1362" s="149"/>
      <c r="F1362" s="26"/>
      <c r="G1362" s="149"/>
      <c r="H1362" s="151"/>
    </row>
    <row r="1363" spans="1:8" ht="15.75" customHeight="1" x14ac:dyDescent="0.3">
      <c r="A1363" s="145" t="s">
        <v>59</v>
      </c>
      <c r="B1363" s="164" t="s">
        <v>887</v>
      </c>
      <c r="C1363" s="153" t="s">
        <v>187</v>
      </c>
      <c r="D1363" s="149">
        <v>4</v>
      </c>
      <c r="E1363" s="149">
        <v>8</v>
      </c>
      <c r="F1363" s="26">
        <f>+E1363*D1363</f>
      </c>
      <c r="G1363" s="149">
        <v>1</v>
      </c>
      <c r="H1363" s="151">
        <f>+G1363*F1363</f>
      </c>
    </row>
    <row r="1364" spans="1:8" ht="15.75" customHeight="1" x14ac:dyDescent="0.3">
      <c r="A1364" s="166"/>
      <c r="B1364" s="373"/>
      <c r="C1364" s="165"/>
      <c r="D1364" s="168"/>
      <c r="E1364" s="168"/>
      <c r="F1364" s="168"/>
      <c r="G1364" s="168"/>
      <c r="H1364" s="169"/>
    </row>
    <row r="1365" spans="1:8" ht="15.75" customHeight="1" x14ac:dyDescent="0.3">
      <c r="A1365" s="145"/>
      <c r="B1365" s="382" t="s">
        <v>74</v>
      </c>
      <c r="C1365" s="383"/>
      <c r="D1365" s="376"/>
      <c r="E1365" s="149"/>
      <c r="F1365" s="26"/>
      <c r="G1365" s="149"/>
      <c r="H1365" s="151"/>
    </row>
    <row r="1366" spans="1:8" ht="15.75" customHeight="1" x14ac:dyDescent="0.3">
      <c r="A1366" s="145" t="s">
        <v>67</v>
      </c>
      <c r="B1366" s="384" t="s">
        <v>890</v>
      </c>
      <c r="C1366" s="385" t="s">
        <v>891</v>
      </c>
      <c r="D1366" s="149">
        <v>4</v>
      </c>
      <c r="E1366" s="149">
        <v>10</v>
      </c>
      <c r="F1366" s="26">
        <f>+E1366*D1366</f>
      </c>
      <c r="G1366" s="149">
        <v>1</v>
      </c>
      <c r="H1366" s="151">
        <f>+G1366*F1366</f>
      </c>
    </row>
    <row r="1367" spans="1:8" ht="15.75" customHeight="1" x14ac:dyDescent="0.3">
      <c r="A1367" s="145"/>
      <c r="B1367" s="174"/>
      <c r="C1367" s="25"/>
      <c r="D1367" s="149"/>
      <c r="E1367" s="149"/>
      <c r="F1367" s="26"/>
      <c r="G1367" s="149"/>
      <c r="H1367" s="151"/>
    </row>
    <row r="1368" spans="1:8" ht="15.75" customHeight="1" x14ac:dyDescent="0.3">
      <c r="A1368" s="145"/>
      <c r="B1368" s="174"/>
      <c r="C1368" s="25"/>
      <c r="D1368" s="149"/>
      <c r="E1368" s="149"/>
      <c r="F1368" s="26"/>
      <c r="G1368" s="149"/>
      <c r="H1368" s="151"/>
    </row>
    <row r="1369" spans="1:8" ht="15.75" customHeight="1" x14ac:dyDescent="0.3">
      <c r="A1369" s="145"/>
      <c r="B1369" s="174"/>
      <c r="C1369" s="25"/>
      <c r="D1369" s="149"/>
      <c r="E1369" s="149"/>
      <c r="F1369" s="26"/>
      <c r="G1369" s="149"/>
      <c r="H1369" s="151"/>
    </row>
    <row r="1370" spans="1:8" ht="15.75" customHeight="1" x14ac:dyDescent="0.3">
      <c r="A1370" s="177"/>
      <c r="B1370" s="139"/>
      <c r="C1370" s="136"/>
      <c r="D1370" s="149"/>
      <c r="E1370" s="149"/>
      <c r="F1370" s="179"/>
      <c r="G1370" s="181"/>
      <c r="H1370" s="151"/>
    </row>
    <row r="1371" spans="1:8" ht="15.75" customHeight="1" x14ac:dyDescent="0.3">
      <c r="A1371" s="183"/>
      <c r="B1371" s="184"/>
      <c r="C1371" s="185" t="s">
        <v>85</v>
      </c>
      <c r="D1371" s="186">
        <f>SUM(D1359:D1370)</f>
      </c>
      <c r="E1371" s="186"/>
      <c r="F1371" s="187">
        <v>32</v>
      </c>
      <c r="G1371" s="188"/>
      <c r="H1371" s="189">
        <f>SUM(H1360:H1370)</f>
      </c>
    </row>
    <row r="1372" spans="1:8" ht="15.75" customHeight="1" x14ac:dyDescent="0.3">
      <c r="A1372" s="190"/>
      <c r="B1372" s="191"/>
      <c r="C1372" s="191"/>
      <c r="D1372" s="192"/>
      <c r="E1372" s="191"/>
      <c r="F1372" s="193"/>
      <c r="G1372" s="194"/>
      <c r="H1372" s="195"/>
    </row>
    <row r="1373" spans="1:8" ht="15.75" customHeight="1" x14ac:dyDescent="0.3">
      <c r="A1373" s="196"/>
      <c r="B1373" s="26"/>
      <c r="C1373" s="26"/>
      <c r="D1373" s="26"/>
      <c r="E1373" s="25"/>
      <c r="F1373" s="196"/>
      <c r="G1373" s="25"/>
      <c r="H1373" s="106"/>
    </row>
    <row r="1374" spans="1:8" ht="15.75" customHeight="1" x14ac:dyDescent="0.3">
      <c r="A1374" s="197"/>
      <c r="B1374" s="197"/>
      <c r="C1374" s="197"/>
      <c r="D1374" s="198" t="s">
        <v>97</v>
      </c>
      <c r="E1374" s="197" t="s">
        <v>98</v>
      </c>
      <c r="F1374" s="197"/>
      <c r="G1374" s="25"/>
      <c r="H1374" s="106"/>
    </row>
    <row r="1375" spans="1:8" ht="15.75" customHeight="1" x14ac:dyDescent="0.3">
      <c r="A1375" s="25"/>
      <c r="B1375" s="25"/>
      <c r="C1375" s="25"/>
      <c r="D1375" s="26"/>
      <c r="E1375" s="25"/>
      <c r="F1375" s="25"/>
      <c r="G1375" s="25"/>
      <c r="H1375" s="106"/>
    </row>
    <row r="1376" spans="1:8" ht="15.75" customHeight="1" x14ac:dyDescent="0.3">
      <c r="A1376" s="25"/>
      <c r="B1376" s="25"/>
      <c r="C1376" s="25"/>
      <c r="D1376" s="26"/>
      <c r="E1376" s="25"/>
      <c r="F1376" s="25"/>
      <c r="G1376" s="25"/>
      <c r="H1376" s="106"/>
    </row>
    <row r="1377" spans="1:8" ht="15.75" customHeight="1" x14ac:dyDescent="0.3">
      <c r="A1377" s="197"/>
      <c r="B1377" s="197"/>
      <c r="C1377" s="197"/>
      <c r="D1377" s="198"/>
      <c r="E1377" s="197" t="s">
        <v>99</v>
      </c>
      <c r="F1377" s="197"/>
      <c r="G1377" s="25"/>
      <c r="H1377" s="106"/>
    </row>
    <row r="1378" spans="1:8" ht="15.75" customHeight="1" x14ac:dyDescent="0.25">
      <c r="D1378" s="4"/>
      <c r="H1378" s="4"/>
    </row>
    <row r="1379" spans="1:8" ht="15.75" customHeight="1" x14ac:dyDescent="0.25">
      <c r="D1379" s="4"/>
      <c r="H1379" s="4"/>
    </row>
    <row r="1380" spans="1:8" ht="15.75" customHeight="1" x14ac:dyDescent="0.25">
      <c r="D1380" s="4"/>
      <c r="H1380" s="4"/>
    </row>
    <row r="1381" spans="1:8" ht="15.75" customHeight="1" x14ac:dyDescent="0.25">
      <c r="D1381" s="4"/>
      <c r="H1381" s="4"/>
    </row>
    <row r="1382" spans="1:8" ht="15.75" customHeight="1" x14ac:dyDescent="0.25">
      <c r="D1382" s="4"/>
      <c r="H1382" s="4"/>
    </row>
    <row r="1383" spans="1:8" ht="15.75" customHeight="1" x14ac:dyDescent="0.25">
      <c r="D1383" s="4"/>
      <c r="H1383" s="4"/>
    </row>
    <row r="1384" spans="1:8" ht="15.75" customHeight="1" x14ac:dyDescent="0.25">
      <c r="D1384" s="4"/>
      <c r="H1384" s="4"/>
    </row>
    <row r="1385" spans="1:8" ht="15.75" customHeight="1" x14ac:dyDescent="0.25">
      <c r="D1385" s="4"/>
      <c r="H1385" s="4"/>
    </row>
    <row r="1386" spans="1:8" ht="15.75" customHeight="1" x14ac:dyDescent="0.25">
      <c r="D1386" s="4"/>
      <c r="H1386" s="4"/>
    </row>
    <row r="1387" spans="1:8" ht="15.75" customHeight="1" x14ac:dyDescent="0.25">
      <c r="A1387" s="103" t="s">
        <v>14</v>
      </c>
      <c r="B1387" s="103"/>
      <c r="C1387" s="103"/>
      <c r="D1387" s="103"/>
      <c r="E1387" s="103"/>
      <c r="F1387" s="103"/>
      <c r="G1387" s="103"/>
      <c r="H1387" s="103"/>
    </row>
    <row r="1388" spans="1:8" ht="15.75" customHeight="1" x14ac:dyDescent="0.25">
      <c r="D1388" s="4"/>
      <c r="H1388" s="8"/>
    </row>
    <row r="1389" spans="1:8" ht="15.75" customHeight="1" x14ac:dyDescent="0.25">
      <c r="A1389" s="15"/>
      <c r="B1389" s="15"/>
      <c r="C1389" s="16"/>
      <c r="D1389" s="17"/>
      <c r="E1389" s="18"/>
      <c r="F1389" s="18"/>
      <c r="G1389" s="18"/>
      <c r="H1389" s="19"/>
    </row>
    <row r="1390" spans="1:8" ht="15.75" customHeight="1" x14ac:dyDescent="0.3">
      <c r="A1390" s="25"/>
      <c r="B1390" s="25"/>
      <c r="C1390" s="25"/>
      <c r="D1390" s="26"/>
      <c r="E1390" s="25"/>
      <c r="F1390" s="22" t="s">
        <v>18</v>
      </c>
      <c r="G1390" s="23" t="s">
        <v>576</v>
      </c>
      <c r="H1390" s="24"/>
    </row>
    <row r="1391" spans="1:8" ht="15.75" customHeight="1" x14ac:dyDescent="0.3">
      <c r="A1391" s="25" t="s">
        <v>20</v>
      </c>
      <c r="B1391" s="25"/>
      <c r="C1391" s="25"/>
      <c r="D1391" s="26"/>
      <c r="E1391" s="25"/>
      <c r="F1391" s="22" t="s">
        <v>21</v>
      </c>
      <c r="G1391" s="25" t="s">
        <v>897</v>
      </c>
      <c r="H1391" s="26"/>
    </row>
    <row r="1392" spans="1:8" ht="15.75" customHeight="1" x14ac:dyDescent="0.3">
      <c r="A1392" s="25" t="inlineStr">
        <is>
          <t>Dealer-003</t>
        </is>
      </c>
      <c r="B1392" s="25"/>
      <c r="C1392" s="25"/>
      <c r="D1392" s="26"/>
      <c r="E1392" s="22"/>
      <c r="F1392" s="25"/>
      <c r="G1392" s="25"/>
      <c r="H1392" s="106"/>
    </row>
    <row r="1393" spans="1:8" ht="15.75" customHeight="1" x14ac:dyDescent="0.3">
      <c r="A1393" s="25" t="inlineStr">
        <is>
          <t>Address line (redacted)</t>
        </is>
      </c>
      <c r="B1393" s="25"/>
      <c r="C1393" s="25"/>
      <c r="D1393" s="109"/>
      <c r="E1393" s="25"/>
      <c r="F1393" s="26"/>
      <c r="G1393" s="25"/>
      <c r="H1393" s="106"/>
    </row>
    <row r="1394" spans="1:8" ht="15.75" customHeight="1" x14ac:dyDescent="0.3">
      <c r="A1394" s="25" t="inlineStr">
        <is>
          <t>Address line (redacted)</t>
        </is>
      </c>
      <c r="B1394" s="25"/>
      <c r="C1394" s="25"/>
      <c r="D1394" s="109"/>
      <c r="E1394" s="25"/>
      <c r="F1394" s="26"/>
      <c r="G1394" s="25"/>
      <c r="H1394" s="106"/>
    </row>
    <row r="1395" spans="1:8" ht="15.75" customHeight="1" x14ac:dyDescent="0.3">
      <c r="A1395" s="114"/>
      <c r="B1395" s="25"/>
      <c r="C1395" s="25"/>
      <c r="D1395" s="26"/>
      <c r="E1395" s="25"/>
      <c r="F1395" s="26"/>
      <c r="G1395" s="25"/>
      <c r="H1395" s="106"/>
    </row>
    <row r="1396" spans="1:8" ht="15.75" customHeight="1" x14ac:dyDescent="0.3">
      <c r="A1396" s="25" t="s">
        <v>30</v>
      </c>
      <c r="B1396" s="25"/>
      <c r="C1396" s="25"/>
      <c r="D1396" s="26"/>
      <c r="E1396" s="25"/>
      <c r="F1396" s="26"/>
      <c r="G1396" s="25"/>
      <c r="H1396" s="106"/>
    </row>
    <row r="1397" spans="1:8" ht="15.75" customHeight="1" x14ac:dyDescent="0.3">
      <c r="A1397" s="25"/>
      <c r="B1397" s="25"/>
      <c r="C1397" s="25"/>
      <c r="D1397" s="26"/>
      <c r="E1397" s="25"/>
      <c r="F1397" s="26"/>
      <c r="G1397" s="25"/>
      <c r="H1397" s="106"/>
    </row>
    <row r="1398" spans="1:8" ht="15.75" customHeight="1" x14ac:dyDescent="0.3">
      <c r="A1398" s="25" t="s">
        <v>31</v>
      </c>
      <c r="B1398" s="25"/>
      <c r="C1398" s="25"/>
      <c r="D1398" s="26"/>
      <c r="E1398" s="25"/>
      <c r="F1398" s="26"/>
      <c r="G1398" s="25"/>
      <c r="H1398" s="106"/>
    </row>
    <row r="1399" spans="1:8" ht="15.75" customHeight="1" x14ac:dyDescent="0.3">
      <c r="A1399" s="25" t="s">
        <v>32</v>
      </c>
      <c r="B1399" s="25"/>
      <c r="C1399" s="25"/>
      <c r="D1399" s="26"/>
      <c r="E1399" s="25"/>
      <c r="F1399" s="26"/>
      <c r="G1399" s="25"/>
      <c r="H1399" s="106"/>
    </row>
    <row r="1400" spans="1:8" ht="15.75" customHeight="1" x14ac:dyDescent="0.3">
      <c r="A1400" s="25"/>
      <c r="B1400" s="25"/>
      <c r="C1400" s="25"/>
      <c r="D1400" s="26"/>
      <c r="E1400" s="25"/>
      <c r="F1400" s="26"/>
      <c r="G1400" s="25"/>
      <c r="H1400" s="106"/>
    </row>
    <row r="1401" spans="1:8" ht="15.75" customHeight="1" x14ac:dyDescent="0.3">
      <c r="A1401" s="118" t="s">
        <v>33</v>
      </c>
      <c r="B1401" s="121" t="s">
        <v>6</v>
      </c>
      <c r="C1401" s="121"/>
      <c r="D1401" s="123" t="s">
        <v>37</v>
      </c>
      <c r="E1401" s="125" t="s">
        <v>38</v>
      </c>
      <c r="F1401" s="127" t="s">
        <v>7</v>
      </c>
      <c r="G1401" s="129" t="s">
        <v>43</v>
      </c>
      <c r="H1401" s="130" t="s">
        <v>44</v>
      </c>
    </row>
    <row r="1402" spans="1:8" ht="15.75" customHeight="1" x14ac:dyDescent="0.3">
      <c r="A1402" s="133"/>
      <c r="B1402" s="135"/>
      <c r="C1402" s="136"/>
      <c r="D1402" s="138"/>
      <c r="E1402" s="138"/>
      <c r="F1402" s="139"/>
      <c r="G1402" s="141"/>
      <c r="H1402" s="143"/>
    </row>
    <row r="1403" spans="1:8" ht="15.75" customHeight="1" x14ac:dyDescent="0.3">
      <c r="A1403" s="145"/>
      <c r="B1403" s="147" t="s">
        <v>50</v>
      </c>
      <c r="C1403" s="148"/>
      <c r="D1403" s="149"/>
      <c r="E1403" s="149"/>
      <c r="F1403" s="26"/>
      <c r="G1403" s="149"/>
      <c r="H1403" s="151"/>
    </row>
    <row r="1404" spans="1:8" ht="15.75" customHeight="1" x14ac:dyDescent="0.3">
      <c r="A1404" s="145" t="s">
        <v>55</v>
      </c>
      <c r="B1404" s="153" t="s">
        <v>651</v>
      </c>
      <c r="C1404" s="154" t="s">
        <v>432</v>
      </c>
      <c r="D1404" s="149">
        <v>4</v>
      </c>
      <c r="E1404" s="149">
        <v>25</v>
      </c>
      <c r="F1404" s="26">
        <f>+E1404*D1404</f>
      </c>
      <c r="G1404" s="149">
        <v>1</v>
      </c>
      <c r="H1404" s="151">
        <f>+G1404*F1404</f>
      </c>
    </row>
    <row r="1405" spans="1:8" ht="15.75" customHeight="1" x14ac:dyDescent="0.3">
      <c r="A1405" s="145"/>
      <c r="B1405" s="161"/>
      <c r="C1405" s="25"/>
      <c r="D1405" s="149"/>
      <c r="E1405" s="149"/>
      <c r="F1405" s="26"/>
      <c r="G1405" s="149"/>
      <c r="H1405" s="151"/>
    </row>
    <row r="1406" spans="1:8" ht="15.75" customHeight="1" x14ac:dyDescent="0.3">
      <c r="A1406" s="145"/>
      <c r="B1406" s="161"/>
      <c r="C1406" s="25"/>
      <c r="D1406" s="149"/>
      <c r="E1406" s="149"/>
      <c r="F1406" s="26"/>
      <c r="G1406" s="149"/>
      <c r="H1406" s="151"/>
    </row>
    <row r="1407" spans="1:8" ht="15.75" customHeight="1" x14ac:dyDescent="0.3">
      <c r="A1407" s="145"/>
      <c r="B1407" s="161"/>
      <c r="C1407" s="25"/>
      <c r="D1407" s="149"/>
      <c r="E1407" s="149"/>
      <c r="F1407" s="26"/>
      <c r="G1407" s="149"/>
      <c r="H1407" s="151"/>
    </row>
    <row r="1408" spans="1:8" ht="15.75" customHeight="1" x14ac:dyDescent="0.3">
      <c r="A1408" s="145"/>
      <c r="B1408" s="161"/>
      <c r="C1408" s="25"/>
      <c r="D1408" s="149"/>
      <c r="E1408" s="149"/>
      <c r="F1408" s="26"/>
      <c r="G1408" s="149"/>
      <c r="H1408" s="151"/>
    </row>
    <row r="1409" spans="1:8" ht="15.75" customHeight="1" x14ac:dyDescent="0.3">
      <c r="A1409" s="145"/>
      <c r="B1409" s="174"/>
      <c r="C1409" s="25"/>
      <c r="D1409" s="149"/>
      <c r="E1409" s="149"/>
      <c r="F1409" s="26"/>
      <c r="G1409" s="149"/>
      <c r="H1409" s="151"/>
    </row>
    <row r="1410" spans="1:8" ht="15.75" customHeight="1" x14ac:dyDescent="0.3">
      <c r="A1410" s="145"/>
      <c r="B1410" s="174"/>
      <c r="C1410" s="25"/>
      <c r="D1410" s="149"/>
      <c r="E1410" s="149"/>
      <c r="F1410" s="26"/>
      <c r="G1410" s="149"/>
      <c r="H1410" s="151"/>
    </row>
    <row r="1411" spans="1:8" ht="15.75" customHeight="1" x14ac:dyDescent="0.3">
      <c r="A1411" s="145"/>
      <c r="B1411" s="174"/>
      <c r="C1411" s="25"/>
      <c r="D1411" s="149"/>
      <c r="E1411" s="149"/>
      <c r="F1411" s="26"/>
      <c r="G1411" s="149"/>
      <c r="H1411" s="151"/>
    </row>
    <row r="1412" spans="1:8" ht="15.75" customHeight="1" x14ac:dyDescent="0.3">
      <c r="A1412" s="177"/>
      <c r="B1412" s="139"/>
      <c r="C1412" s="136"/>
      <c r="D1412" s="149"/>
      <c r="E1412" s="149"/>
      <c r="F1412" s="179"/>
      <c r="G1412" s="181"/>
      <c r="H1412" s="151"/>
    </row>
    <row r="1413" spans="1:8" ht="15.75" customHeight="1" x14ac:dyDescent="0.3">
      <c r="A1413" s="183"/>
      <c r="B1413" s="184"/>
      <c r="C1413" s="185" t="s">
        <v>85</v>
      </c>
      <c r="D1413" s="186">
        <f>SUM(D1403:D1412)</f>
      </c>
      <c r="E1413" s="186"/>
      <c r="F1413" s="187">
        <v>32</v>
      </c>
      <c r="G1413" s="188"/>
      <c r="H1413" s="189">
        <f>SUM(H1404:H1412)</f>
      </c>
    </row>
    <row r="1414" spans="1:8" ht="15.75" customHeight="1" x14ac:dyDescent="0.3">
      <c r="A1414" s="190"/>
      <c r="B1414" s="191"/>
      <c r="C1414" s="191"/>
      <c r="D1414" s="192"/>
      <c r="E1414" s="191"/>
      <c r="F1414" s="193"/>
      <c r="G1414" s="194"/>
      <c r="H1414" s="195"/>
    </row>
    <row r="1415" spans="1:8" ht="15.75" customHeight="1" x14ac:dyDescent="0.3">
      <c r="A1415" s="196"/>
      <c r="B1415" s="26"/>
      <c r="C1415" s="26"/>
      <c r="D1415" s="26"/>
      <c r="E1415" s="25"/>
      <c r="F1415" s="196"/>
      <c r="G1415" s="25"/>
      <c r="H1415" s="106"/>
    </row>
    <row r="1416" spans="1:8" ht="15.75" customHeight="1" x14ac:dyDescent="0.3">
      <c r="A1416" s="197"/>
      <c r="B1416" s="197"/>
      <c r="C1416" s="197"/>
      <c r="D1416" s="198" t="s">
        <v>97</v>
      </c>
      <c r="E1416" s="197" t="s">
        <v>98</v>
      </c>
      <c r="F1416" s="197"/>
      <c r="G1416" s="25"/>
      <c r="H1416" s="106"/>
    </row>
    <row r="1417" spans="1:8" ht="15.75" customHeight="1" x14ac:dyDescent="0.3">
      <c r="A1417" s="25"/>
      <c r="B1417" s="25"/>
      <c r="C1417" s="25"/>
      <c r="D1417" s="26"/>
      <c r="E1417" s="25"/>
      <c r="F1417" s="25"/>
      <c r="G1417" s="25"/>
      <c r="H1417" s="106"/>
    </row>
    <row r="1418" spans="1:8" ht="15.75" customHeight="1" x14ac:dyDescent="0.3">
      <c r="A1418" s="25"/>
      <c r="B1418" s="25"/>
      <c r="C1418" s="25"/>
      <c r="D1418" s="26"/>
      <c r="E1418" s="25"/>
      <c r="F1418" s="25"/>
      <c r="G1418" s="25"/>
      <c r="H1418" s="106"/>
    </row>
    <row r="1419" spans="1:8" ht="15.75" customHeight="1" x14ac:dyDescent="0.3">
      <c r="A1419" s="197"/>
      <c r="B1419" s="197"/>
      <c r="C1419" s="197"/>
      <c r="D1419" s="198"/>
      <c r="E1419" s="197" t="s">
        <v>99</v>
      </c>
      <c r="F1419" s="197"/>
      <c r="G1419" s="25"/>
      <c r="H1419" s="106"/>
    </row>
    <row r="1420" spans="1:8" ht="15.75" customHeight="1" x14ac:dyDescent="0.25">
      <c r="D1420" s="4"/>
      <c r="H1420" s="4"/>
    </row>
    <row r="1421" spans="1:8" ht="15.75" customHeight="1" x14ac:dyDescent="0.25">
      <c r="D1421" s="4"/>
      <c r="H1421" s="4"/>
    </row>
    <row r="1422" spans="1:8" ht="15.75" customHeight="1" x14ac:dyDescent="0.25">
      <c r="D1422" s="4"/>
      <c r="H1422" s="4"/>
    </row>
    <row r="1423" spans="1:8" ht="15.75" customHeight="1" x14ac:dyDescent="0.25">
      <c r="D1423" s="4"/>
      <c r="H1423" s="4"/>
    </row>
    <row r="1424" spans="1:8" ht="15.75" customHeight="1" x14ac:dyDescent="0.25">
      <c r="D1424" s="4"/>
      <c r="H1424" s="4"/>
    </row>
    <row r="1425" spans="1:8" ht="15.75" customHeight="1" x14ac:dyDescent="0.25">
      <c r="D1425" s="4"/>
      <c r="H1425" s="4"/>
    </row>
    <row r="1426" spans="1:8" ht="15.75" customHeight="1" x14ac:dyDescent="0.25">
      <c r="D1426" s="4"/>
      <c r="H1426" s="4"/>
    </row>
    <row r="1427" spans="1:8" ht="15.75" customHeight="1" x14ac:dyDescent="0.25">
      <c r="D1427" s="4"/>
      <c r="H1427" s="4"/>
    </row>
    <row r="1428" spans="1:8" ht="15.75" customHeight="1" x14ac:dyDescent="0.25">
      <c r="D1428" s="4"/>
      <c r="H1428" s="4"/>
    </row>
    <row r="1429" spans="1:8" ht="15.75" customHeight="1" x14ac:dyDescent="0.25">
      <c r="D1429" s="4"/>
      <c r="H1429" s="4"/>
    </row>
    <row r="1430" spans="1:8" ht="15.75" customHeight="1" x14ac:dyDescent="0.25">
      <c r="D1430" s="4"/>
      <c r="H1430" s="4"/>
    </row>
    <row r="1431" spans="1:8" ht="15.75" customHeight="1" x14ac:dyDescent="0.25">
      <c r="A1431" s="14" t="s">
        <v>14</v>
      </c>
      <c r="B1431" s="14"/>
      <c r="C1431" s="14"/>
      <c r="D1431" s="14"/>
      <c r="E1431" s="14"/>
      <c r="F1431" s="14"/>
      <c r="G1431" s="14"/>
      <c r="H1431" s="14"/>
    </row>
    <row r="1432" spans="1:8" ht="15.75" customHeight="1" x14ac:dyDescent="0.25">
      <c r="D1432" s="4"/>
      <c r="H1432" s="8"/>
    </row>
    <row r="1433" spans="1:8" ht="15.75" customHeight="1" x14ac:dyDescent="0.25">
      <c r="A1433" s="15"/>
      <c r="B1433" s="15"/>
      <c r="C1433" s="16"/>
      <c r="D1433" s="17"/>
      <c r="E1433" s="18"/>
      <c r="F1433" s="18"/>
      <c r="G1433" s="18"/>
      <c r="H1433" s="19"/>
    </row>
    <row r="1434" spans="1:8" ht="15.75" customHeight="1" x14ac:dyDescent="0.3">
      <c r="A1434" s="25"/>
      <c r="B1434" s="25"/>
      <c r="C1434" s="25"/>
      <c r="D1434" s="26"/>
      <c r="E1434" s="25"/>
      <c r="F1434" s="22" t="s">
        <v>18</v>
      </c>
      <c r="G1434" s="23" t="s">
        <v>576</v>
      </c>
      <c r="H1434" s="24"/>
    </row>
    <row r="1435" spans="1:8" ht="15.75" customHeight="1" x14ac:dyDescent="0.3">
      <c r="A1435" s="25" t="s">
        <v>20</v>
      </c>
      <c r="B1435" s="25"/>
      <c r="C1435" s="25"/>
      <c r="D1435" s="26"/>
      <c r="E1435" s="25"/>
      <c r="F1435" s="22" t="s">
        <v>21</v>
      </c>
      <c r="G1435" s="25" t="s">
        <v>903</v>
      </c>
      <c r="H1435" s="26"/>
    </row>
    <row r="1436" spans="1:8" ht="15.75" customHeight="1" x14ac:dyDescent="0.3">
      <c r="A1436" s="25" t="inlineStr">
        <is>
          <t>Dealer-004</t>
        </is>
      </c>
      <c r="B1436" s="25"/>
      <c r="C1436" s="25"/>
      <c r="D1436" s="109"/>
      <c r="E1436" s="25"/>
      <c r="F1436" s="26"/>
      <c r="G1436" s="25"/>
      <c r="H1436" s="106"/>
    </row>
    <row r="1437" spans="1:8" ht="15.75" customHeight="1" x14ac:dyDescent="0.3">
      <c r="A1437" s="25" t="inlineStr">
        <is>
          <t>Address line (redacted)</t>
        </is>
      </c>
      <c r="B1437" s="25"/>
      <c r="C1437" s="25"/>
      <c r="D1437" s="109"/>
      <c r="E1437" s="25"/>
      <c r="F1437" s="26"/>
      <c r="G1437" s="25"/>
      <c r="H1437" s="106"/>
    </row>
    <row r="1438" spans="1:8" ht="15.75" customHeight="1" x14ac:dyDescent="0.3">
      <c r="A1438" s="25" t="inlineStr">
        <is>
          <t>Address line (redacted)</t>
        </is>
      </c>
      <c r="B1438" s="25"/>
      <c r="C1438" s="25"/>
      <c r="D1438" s="26"/>
      <c r="E1438" s="25"/>
      <c r="F1438" s="26"/>
      <c r="G1438" s="25"/>
      <c r="H1438" s="106"/>
    </row>
    <row r="1439" spans="1:8" ht="15.75" customHeight="1" x14ac:dyDescent="0.3">
      <c r="A1439" s="25"/>
      <c r="B1439" s="25"/>
      <c r="C1439" s="25"/>
      <c r="D1439" s="26"/>
      <c r="E1439" s="25"/>
      <c r="F1439" s="26"/>
      <c r="G1439" s="25"/>
      <c r="H1439" s="106"/>
    </row>
    <row r="1440" spans="1:8" ht="15.75" customHeight="1" x14ac:dyDescent="0.3">
      <c r="A1440" s="25" t="s">
        <v>30</v>
      </c>
      <c r="B1440" s="25"/>
      <c r="C1440" s="25"/>
      <c r="D1440" s="26"/>
      <c r="E1440" s="25"/>
      <c r="F1440" s="26"/>
      <c r="G1440" s="25"/>
      <c r="H1440" s="106"/>
    </row>
    <row r="1441" spans="1:8" ht="15.75" customHeight="1" x14ac:dyDescent="0.3">
      <c r="A1441" s="25"/>
      <c r="B1441" s="25"/>
      <c r="C1441" s="25"/>
      <c r="D1441" s="26"/>
      <c r="E1441" s="25"/>
      <c r="F1441" s="26"/>
      <c r="G1441" s="25"/>
      <c r="H1441" s="106"/>
    </row>
    <row r="1442" spans="1:8" ht="15.75" customHeight="1" x14ac:dyDescent="0.3">
      <c r="A1442" s="25" t="s">
        <v>31</v>
      </c>
      <c r="B1442" s="25"/>
      <c r="C1442" s="25"/>
      <c r="D1442" s="26"/>
      <c r="E1442" s="25"/>
      <c r="F1442" s="26"/>
      <c r="G1442" s="25"/>
      <c r="H1442" s="106"/>
    </row>
    <row r="1443" spans="1:8" ht="15.75" customHeight="1" x14ac:dyDescent="0.3">
      <c r="A1443" s="25" t="s">
        <v>32</v>
      </c>
      <c r="B1443" s="25"/>
      <c r="C1443" s="25"/>
      <c r="D1443" s="26"/>
      <c r="E1443" s="25"/>
      <c r="F1443" s="26"/>
      <c r="G1443" s="25"/>
      <c r="H1443" s="106"/>
    </row>
    <row r="1444" spans="1:8" ht="15.75" customHeight="1" x14ac:dyDescent="0.3">
      <c r="A1444" s="25"/>
      <c r="B1444" s="25"/>
      <c r="C1444" s="25"/>
      <c r="D1444" s="26"/>
      <c r="E1444" s="25"/>
      <c r="F1444" s="26"/>
      <c r="G1444" s="25"/>
      <c r="H1444" s="106"/>
    </row>
    <row r="1445" spans="1:8" ht="15.75" customHeight="1" x14ac:dyDescent="0.3">
      <c r="A1445" s="118" t="s">
        <v>33</v>
      </c>
      <c r="B1445" s="121" t="s">
        <v>6</v>
      </c>
      <c r="C1445" s="121"/>
      <c r="D1445" s="123" t="s">
        <v>37</v>
      </c>
      <c r="E1445" s="125" t="s">
        <v>38</v>
      </c>
      <c r="F1445" s="127" t="s">
        <v>7</v>
      </c>
      <c r="G1445" s="129" t="s">
        <v>43</v>
      </c>
      <c r="H1445" s="130" t="s">
        <v>44</v>
      </c>
    </row>
    <row r="1446" spans="1:8" ht="15.75" customHeight="1" x14ac:dyDescent="0.3">
      <c r="A1446" s="133"/>
      <c r="B1446" s="135"/>
      <c r="C1446" s="136"/>
      <c r="D1446" s="138"/>
      <c r="E1446" s="138"/>
      <c r="F1446" s="139"/>
      <c r="G1446" s="141"/>
      <c r="H1446" s="143"/>
    </row>
    <row r="1447" spans="1:8" ht="15.75" customHeight="1" x14ac:dyDescent="0.3">
      <c r="A1447" s="207"/>
      <c r="B1447" s="380" t="s">
        <v>674</v>
      </c>
      <c r="C1447" s="381"/>
      <c r="D1447" s="209"/>
      <c r="E1447" s="209"/>
      <c r="F1447" s="209"/>
      <c r="G1447" s="209"/>
      <c r="H1447" s="210"/>
    </row>
    <row r="1448" spans="1:8" ht="15.75" customHeight="1" x14ac:dyDescent="0.3">
      <c r="A1448" s="207" t="s">
        <v>55</v>
      </c>
      <c r="B1448" s="288" t="s">
        <v>907</v>
      </c>
      <c r="C1448" s="164"/>
      <c r="D1448" s="209">
        <v>35</v>
      </c>
      <c r="E1448" s="209">
        <v>1</v>
      </c>
      <c r="F1448" s="209">
        <f>+E1448*D1448</f>
      </c>
      <c r="G1448" s="209">
        <v>1</v>
      </c>
      <c r="H1448" s="210">
        <f>+G1448*F1448</f>
      </c>
    </row>
    <row r="1449" spans="1:8" ht="15.75" customHeight="1" x14ac:dyDescent="0.3">
      <c r="A1449" s="207"/>
      <c r="B1449" s="173"/>
      <c r="C1449" s="164"/>
      <c r="D1449" s="209"/>
      <c r="E1449" s="209"/>
      <c r="F1449" s="209"/>
      <c r="G1449" s="209"/>
      <c r="H1449" s="210"/>
    </row>
    <row r="1450" spans="1:8" ht="15.75" customHeight="1" x14ac:dyDescent="0.3">
      <c r="A1450" s="145"/>
      <c r="B1450" s="174"/>
      <c r="C1450" s="25"/>
      <c r="D1450" s="149"/>
      <c r="E1450" s="149"/>
      <c r="F1450" s="179"/>
      <c r="G1450" s="149"/>
      <c r="H1450" s="151"/>
    </row>
    <row r="1451" spans="1:8" ht="15.75" customHeight="1" x14ac:dyDescent="0.3">
      <c r="A1451" s="145"/>
      <c r="B1451" s="174"/>
      <c r="C1451" s="25"/>
      <c r="D1451" s="149"/>
      <c r="E1451" s="149"/>
      <c r="F1451" s="179"/>
      <c r="G1451" s="149"/>
      <c r="H1451" s="151"/>
    </row>
    <row r="1452" spans="1:8" ht="15.75" customHeight="1" x14ac:dyDescent="0.3">
      <c r="A1452" s="145"/>
      <c r="B1452" s="174"/>
      <c r="C1452" s="25"/>
      <c r="D1452" s="149"/>
      <c r="E1452" s="149"/>
      <c r="F1452" s="179"/>
      <c r="G1452" s="149"/>
      <c r="H1452" s="151"/>
    </row>
    <row r="1453" spans="1:8" ht="15.75" customHeight="1" x14ac:dyDescent="0.3">
      <c r="A1453" s="145"/>
      <c r="B1453" s="174"/>
      <c r="C1453" s="25"/>
      <c r="D1453" s="149"/>
      <c r="E1453" s="149"/>
      <c r="F1453" s="179"/>
      <c r="G1453" s="149"/>
      <c r="H1453" s="151"/>
    </row>
    <row r="1454" spans="1:8" ht="15.75" customHeight="1" x14ac:dyDescent="0.3">
      <c r="A1454" s="145"/>
      <c r="B1454" s="174"/>
      <c r="C1454" s="25"/>
      <c r="D1454" s="149"/>
      <c r="E1454" s="149"/>
      <c r="F1454" s="179"/>
      <c r="G1454" s="149"/>
      <c r="H1454" s="151"/>
    </row>
    <row r="1455" spans="1:8" ht="15.75" customHeight="1" x14ac:dyDescent="0.3">
      <c r="A1455" s="145"/>
      <c r="B1455" s="174"/>
      <c r="C1455" s="25"/>
      <c r="D1455" s="149"/>
      <c r="E1455" s="149"/>
      <c r="F1455" s="179"/>
      <c r="G1455" s="149"/>
      <c r="H1455" s="151"/>
    </row>
    <row r="1456" spans="1:8" ht="15.75" customHeight="1" x14ac:dyDescent="0.3">
      <c r="A1456" s="177"/>
      <c r="B1456" s="139"/>
      <c r="C1456" s="136"/>
      <c r="D1456" s="149"/>
      <c r="E1456" s="149"/>
      <c r="F1456" s="179"/>
      <c r="G1456" s="181"/>
      <c r="H1456" s="151"/>
    </row>
    <row r="1457" spans="1:8" ht="15.75" customHeight="1" x14ac:dyDescent="0.3">
      <c r="A1457" s="183"/>
      <c r="B1457" s="184"/>
      <c r="C1457" s="185" t="s">
        <v>85</v>
      </c>
      <c r="D1457" s="186">
        <f>SUM(D1447:D1456)</f>
      </c>
      <c r="E1457" s="186"/>
      <c r="F1457" s="187"/>
      <c r="G1457" s="188"/>
      <c r="H1457" s="189">
        <f>SUM(H1448:H1456)</f>
      </c>
    </row>
    <row r="1458" spans="1:8" ht="15.75" customHeight="1" x14ac:dyDescent="0.3">
      <c r="A1458" s="190"/>
      <c r="B1458" s="191"/>
      <c r="C1458" s="191"/>
      <c r="D1458" s="192"/>
      <c r="E1458" s="191"/>
      <c r="F1458" s="193"/>
      <c r="G1458" s="194"/>
      <c r="H1458" s="195"/>
    </row>
    <row r="1459" spans="1:8" ht="15.75" customHeight="1" x14ac:dyDescent="0.3">
      <c r="A1459" s="196" t="s">
        <v>913</v>
      </c>
      <c r="B1459" s="26"/>
      <c r="C1459" s="26"/>
      <c r="D1459" s="26"/>
      <c r="E1459" s="25"/>
      <c r="F1459" s="196"/>
      <c r="G1459" s="25"/>
      <c r="H1459" s="106"/>
    </row>
    <row r="1460" spans="1:8" ht="15.75" customHeight="1" x14ac:dyDescent="0.3">
      <c r="A1460" s="197"/>
      <c r="B1460" s="197"/>
      <c r="C1460" s="197"/>
      <c r="D1460" s="198" t="s">
        <v>97</v>
      </c>
      <c r="E1460" s="197" t="s">
        <v>98</v>
      </c>
      <c r="F1460" s="197"/>
      <c r="G1460" s="25"/>
      <c r="H1460" s="106"/>
    </row>
    <row r="1461" spans="1:8" ht="15.75" customHeight="1" x14ac:dyDescent="0.3">
      <c r="A1461" s="25"/>
      <c r="B1461" s="25"/>
      <c r="C1461" s="25"/>
      <c r="D1461" s="26"/>
      <c r="E1461" s="25"/>
      <c r="F1461" s="25"/>
      <c r="G1461" s="25"/>
      <c r="H1461" s="106"/>
    </row>
    <row r="1462" spans="1:8" ht="15.75" customHeight="1" x14ac:dyDescent="0.3">
      <c r="A1462" s="25"/>
      <c r="B1462" s="25"/>
      <c r="C1462" s="25"/>
      <c r="D1462" s="26"/>
      <c r="E1462" s="25"/>
      <c r="F1462" s="25"/>
      <c r="G1462" s="25"/>
      <c r="H1462" s="106"/>
    </row>
    <row r="1463" spans="1:8" ht="15.75" customHeight="1" x14ac:dyDescent="0.3">
      <c r="A1463" s="197"/>
      <c r="B1463" s="197"/>
      <c r="C1463" s="197"/>
      <c r="D1463" s="198"/>
      <c r="E1463" s="197" t="s">
        <v>99</v>
      </c>
      <c r="F1463" s="197"/>
      <c r="G1463" s="25"/>
      <c r="H1463" s="106"/>
    </row>
    <row r="1464" spans="1:8" ht="15.75" customHeight="1" x14ac:dyDescent="0.25">
      <c r="D1464" s="4"/>
      <c r="H1464" s="4"/>
    </row>
    <row r="1465" spans="1:8" ht="15.75" customHeight="1" x14ac:dyDescent="0.25">
      <c r="D1465" s="4"/>
      <c r="H1465" s="4"/>
    </row>
    <row r="1466" spans="1:8" ht="15.75" customHeight="1" x14ac:dyDescent="0.25">
      <c r="D1466" s="4"/>
      <c r="H1466" s="4"/>
    </row>
    <row r="1467" spans="1:8" ht="15.75" customHeight="1" x14ac:dyDescent="0.25">
      <c r="D1467" s="4"/>
      <c r="H1467" s="4"/>
    </row>
    <row r="1468" spans="1:8" ht="15.75" customHeight="1" x14ac:dyDescent="0.25">
      <c r="D1468" s="4"/>
      <c r="H1468" s="4"/>
    </row>
    <row r="1469" spans="1:8" ht="15.75" customHeight="1" x14ac:dyDescent="0.25">
      <c r="D1469" s="4"/>
      <c r="H1469" s="4"/>
    </row>
    <row r="1470" spans="1:8" ht="15.75" customHeight="1" x14ac:dyDescent="0.25">
      <c r="D1470" s="4"/>
      <c r="H1470" s="4"/>
    </row>
    <row r="1471" spans="1:8" ht="15.75" customHeight="1" x14ac:dyDescent="0.25">
      <c r="D1471" s="4"/>
      <c r="H1471" s="4"/>
    </row>
    <row r="1472" spans="1:8" ht="15.75" customHeight="1" x14ac:dyDescent="0.25">
      <c r="D1472" s="4"/>
      <c r="H1472" s="4"/>
    </row>
    <row r="1473" spans="1:8" ht="15.75" customHeight="1" x14ac:dyDescent="0.25">
      <c r="D1473" s="4"/>
      <c r="H1473" s="4"/>
    </row>
    <row r="1474" spans="1:8" ht="15.75" customHeight="1" x14ac:dyDescent="0.25">
      <c r="D1474" s="4"/>
      <c r="H1474" s="4"/>
    </row>
    <row r="1475" spans="1:8" ht="15.75" customHeight="1" x14ac:dyDescent="0.25">
      <c r="A1475" s="14" t="s">
        <v>14</v>
      </c>
      <c r="B1475" s="14"/>
      <c r="C1475" s="14"/>
      <c r="D1475" s="14"/>
      <c r="E1475" s="14"/>
      <c r="F1475" s="14"/>
      <c r="G1475" s="14"/>
      <c r="H1475" s="14"/>
    </row>
    <row r="1476" spans="1:8" ht="15.75" customHeight="1" x14ac:dyDescent="0.25">
      <c r="D1476" s="4"/>
      <c r="H1476" s="8"/>
    </row>
    <row r="1477" spans="1:8" ht="15.75" customHeight="1" x14ac:dyDescent="0.3">
      <c r="A1477" s="233"/>
      <c r="B1477" s="233"/>
      <c r="C1477" s="234"/>
      <c r="D1477" s="235"/>
      <c r="E1477" s="236"/>
      <c r="F1477" s="236"/>
      <c r="G1477" s="236"/>
      <c r="H1477" s="237"/>
    </row>
    <row r="1478" spans="1:8" ht="15.75" customHeight="1" x14ac:dyDescent="0.3">
      <c r="A1478" s="233"/>
      <c r="B1478" s="233"/>
      <c r="C1478" s="233"/>
      <c r="D1478" s="234"/>
      <c r="E1478" s="233"/>
      <c r="F1478" s="238" t="s">
        <v>18</v>
      </c>
      <c r="G1478" s="239" t="s">
        <v>577</v>
      </c>
      <c r="H1478" s="240"/>
    </row>
    <row r="1479" spans="1:8" ht="15.75" customHeight="1" x14ac:dyDescent="0.3">
      <c r="A1479" s="233" t="s">
        <v>20</v>
      </c>
      <c r="B1479" s="233"/>
      <c r="C1479" s="233"/>
      <c r="D1479" s="234"/>
      <c r="E1479" s="233"/>
      <c r="F1479" s="238" t="s">
        <v>21</v>
      </c>
      <c r="G1479" s="233" t="s">
        <v>578</v>
      </c>
      <c r="H1479" s="234"/>
    </row>
    <row r="1480" spans="1:8" ht="15.75" customHeight="1" x14ac:dyDescent="0.3">
      <c r="A1480" s="233" t="inlineStr">
        <is>
          <t>Dealer-002</t>
        </is>
      </c>
      <c r="B1480" s="233"/>
      <c r="C1480" s="233"/>
      <c r="D1480" s="234"/>
      <c r="E1480" s="238"/>
      <c r="F1480" s="233"/>
      <c r="G1480" s="233"/>
      <c r="H1480" s="237"/>
    </row>
    <row r="1481" spans="1:8" ht="15.75" customHeight="1" x14ac:dyDescent="0.3">
      <c r="A1481" s="233" t="inlineStr">
        <is>
          <t>Address line (redacted)</t>
        </is>
      </c>
      <c r="B1481" s="233"/>
      <c r="C1481" s="233"/>
      <c r="D1481" s="241"/>
      <c r="E1481" s="233"/>
      <c r="F1481" s="234"/>
      <c r="G1481" s="233"/>
      <c r="H1481" s="237"/>
    </row>
    <row r="1482" spans="1:8" ht="15.75" customHeight="1" x14ac:dyDescent="0.3">
      <c r="A1482" s="233" t="inlineStr">
        <is>
          <t>Address line (redacted)</t>
        </is>
      </c>
      <c r="B1482" s="233"/>
      <c r="C1482" s="233"/>
      <c r="D1482" s="241"/>
      <c r="E1482" s="233"/>
      <c r="F1482" s="234"/>
      <c r="G1482" s="233"/>
      <c r="H1482" s="237"/>
    </row>
    <row r="1483" spans="1:8" ht="15.75" customHeight="1" x14ac:dyDescent="0.3">
      <c r="A1483" s="242"/>
      <c r="B1483" s="233"/>
      <c r="C1483" s="233"/>
      <c r="D1483" s="234"/>
      <c r="E1483" s="233"/>
      <c r="F1483" s="234"/>
      <c r="G1483" s="233"/>
      <c r="H1483" s="237"/>
    </row>
    <row r="1484" spans="1:8" ht="15.75" customHeight="1" x14ac:dyDescent="0.3">
      <c r="A1484" s="233" t="s">
        <v>30</v>
      </c>
      <c r="B1484" s="233"/>
      <c r="C1484" s="233"/>
      <c r="D1484" s="234"/>
      <c r="E1484" s="233"/>
      <c r="F1484" s="234"/>
      <c r="G1484" s="233"/>
      <c r="H1484" s="237"/>
    </row>
    <row r="1485" spans="1:8" ht="15.75" customHeight="1" x14ac:dyDescent="0.3">
      <c r="A1485" s="233"/>
      <c r="B1485" s="233"/>
      <c r="C1485" s="233"/>
      <c r="D1485" s="234"/>
      <c r="E1485" s="233"/>
      <c r="F1485" s="234"/>
      <c r="G1485" s="233"/>
      <c r="H1485" s="237"/>
    </row>
    <row r="1486" spans="1:8" ht="15.75" customHeight="1" x14ac:dyDescent="0.3">
      <c r="A1486" s="233" t="s">
        <v>31</v>
      </c>
      <c r="B1486" s="233"/>
      <c r="C1486" s="233"/>
      <c r="D1486" s="234"/>
      <c r="E1486" s="233"/>
      <c r="F1486" s="234"/>
      <c r="G1486" s="233"/>
      <c r="H1486" s="237"/>
    </row>
    <row r="1487" spans="1:8" ht="15.75" customHeight="1" x14ac:dyDescent="0.3">
      <c r="A1487" s="233" t="s">
        <v>32</v>
      </c>
      <c r="B1487" s="233"/>
      <c r="C1487" s="233"/>
      <c r="D1487" s="234"/>
      <c r="E1487" s="233"/>
      <c r="F1487" s="234"/>
      <c r="G1487" s="233"/>
      <c r="H1487" s="237"/>
    </row>
    <row r="1488" spans="1:8" ht="15.75" customHeight="1" x14ac:dyDescent="0.3">
      <c r="A1488" s="233"/>
      <c r="B1488" s="233"/>
      <c r="C1488" s="233"/>
      <c r="D1488" s="234"/>
      <c r="E1488" s="233"/>
      <c r="F1488" s="234"/>
      <c r="G1488" s="233"/>
      <c r="H1488" s="237"/>
    </row>
    <row r="1489" spans="1:8" ht="15.75" customHeight="1" x14ac:dyDescent="0.3">
      <c r="A1489" s="243" t="s">
        <v>33</v>
      </c>
      <c r="B1489" s="244" t="s">
        <v>6</v>
      </c>
      <c r="C1489" s="244"/>
      <c r="D1489" s="245" t="s">
        <v>37</v>
      </c>
      <c r="E1489" s="246" t="s">
        <v>38</v>
      </c>
      <c r="F1489" s="247" t="s">
        <v>7</v>
      </c>
      <c r="G1489" s="248" t="s">
        <v>43</v>
      </c>
      <c r="H1489" s="249" t="s">
        <v>44</v>
      </c>
    </row>
    <row r="1490" spans="1:8" ht="15.75" customHeight="1" x14ac:dyDescent="0.3">
      <c r="A1490" s="250"/>
      <c r="B1490" s="251"/>
      <c r="C1490" s="236"/>
      <c r="D1490" s="252"/>
      <c r="E1490" s="252"/>
      <c r="F1490" s="253"/>
      <c r="G1490" s="254"/>
      <c r="H1490" s="255"/>
    </row>
    <row r="1491" spans="1:8" ht="15.75" customHeight="1" x14ac:dyDescent="0.3">
      <c r="A1491" s="256"/>
      <c r="B1491" s="261"/>
      <c r="C1491" s="262"/>
      <c r="D1491" s="259"/>
      <c r="E1491" s="259"/>
      <c r="F1491" s="234"/>
      <c r="G1491" s="259"/>
      <c r="H1491" s="260"/>
    </row>
    <row r="1492" spans="1:8" ht="15.75" customHeight="1" x14ac:dyDescent="0.3">
      <c r="A1492" s="256" t="s">
        <v>55</v>
      </c>
      <c r="B1492" s="371" t="s">
        <v>919</v>
      </c>
      <c r="C1492" s="262"/>
      <c r="D1492" s="259">
        <v>10</v>
      </c>
      <c r="E1492" s="259">
        <v>1</v>
      </c>
      <c r="F1492" s="234">
        <f>+E1492*D1492</f>
      </c>
      <c r="G1492" s="259">
        <v>1</v>
      </c>
      <c r="H1492" s="260">
        <f>+G1492*F1492</f>
      </c>
    </row>
    <row r="1493" spans="1:8" ht="15.75" customHeight="1" x14ac:dyDescent="0.3">
      <c r="A1493" s="256"/>
      <c r="B1493" s="371"/>
      <c r="C1493" s="372"/>
      <c r="D1493" s="259"/>
      <c r="E1493" s="259"/>
      <c r="F1493" s="234"/>
      <c r="G1493" s="259"/>
      <c r="H1493" s="260"/>
    </row>
    <row r="1494" spans="1:8" ht="15.75" customHeight="1" x14ac:dyDescent="0.3">
      <c r="A1494" s="256" t="s">
        <v>59</v>
      </c>
      <c r="B1494" s="371" t="s">
        <v>921</v>
      </c>
      <c r="C1494" s="372" t="s">
        <v>109</v>
      </c>
      <c r="D1494" s="259">
        <v>10</v>
      </c>
      <c r="E1494" s="259">
        <v>25</v>
      </c>
      <c r="F1494" s="234">
        <f>+E1494*D1494</f>
      </c>
      <c r="G1494" s="259">
        <v>1</v>
      </c>
      <c r="H1494" s="260">
        <f>+G1494*F1494</f>
      </c>
    </row>
    <row r="1495" spans="1:8" ht="15.75" customHeight="1" x14ac:dyDescent="0.3">
      <c r="A1495" s="256"/>
      <c r="B1495" s="371"/>
      <c r="C1495" s="372"/>
      <c r="D1495" s="259"/>
      <c r="E1495" s="259"/>
      <c r="F1495" s="234"/>
      <c r="G1495" s="259"/>
      <c r="H1495" s="260"/>
    </row>
    <row r="1496" spans="1:8" ht="15.75" customHeight="1" x14ac:dyDescent="0.3">
      <c r="A1496" s="256" t="s">
        <v>67</v>
      </c>
      <c r="B1496" s="371" t="s">
        <v>922</v>
      </c>
      <c r="C1496" s="372"/>
      <c r="D1496" s="259">
        <v>1</v>
      </c>
      <c r="E1496" s="259">
        <v>50</v>
      </c>
      <c r="F1496" s="234">
        <v>50</v>
      </c>
      <c r="G1496" s="259">
        <v>1</v>
      </c>
      <c r="H1496" s="260">
        <f>+G1496*F1496</f>
      </c>
    </row>
    <row r="1497" spans="1:8" ht="15.75" customHeight="1" x14ac:dyDescent="0.3">
      <c r="A1497" s="256"/>
      <c r="B1497" s="371"/>
      <c r="C1497" s="372"/>
      <c r="D1497" s="259"/>
      <c r="E1497" s="259"/>
      <c r="F1497" s="234"/>
      <c r="G1497" s="259"/>
      <c r="H1497" s="260"/>
    </row>
    <row r="1498" spans="1:8" ht="15.75" customHeight="1" x14ac:dyDescent="0.3">
      <c r="A1498" s="256" t="s">
        <v>485</v>
      </c>
      <c r="B1498" s="261" t="s">
        <v>925</v>
      </c>
      <c r="C1498" s="233" t="s">
        <v>926</v>
      </c>
      <c r="D1498" s="259">
        <v>5</v>
      </c>
      <c r="E1498" s="259">
        <v>10</v>
      </c>
      <c r="F1498" s="234">
        <f>+E1498*D1498</f>
      </c>
      <c r="G1498" s="259">
        <v>1</v>
      </c>
      <c r="H1498" s="260">
        <f>+G1498*F1498</f>
      </c>
    </row>
    <row r="1499" spans="1:8" ht="15.75" customHeight="1" x14ac:dyDescent="0.3">
      <c r="A1499" s="256"/>
      <c r="B1499" s="264"/>
      <c r="C1499" s="233"/>
      <c r="D1499" s="259"/>
      <c r="E1499" s="259"/>
      <c r="F1499" s="234"/>
      <c r="G1499" s="259"/>
      <c r="H1499" s="260"/>
    </row>
    <row r="1500" spans="1:8" ht="15.75" customHeight="1" x14ac:dyDescent="0.3">
      <c r="A1500" s="265"/>
      <c r="B1500" s="253"/>
      <c r="C1500" s="236"/>
      <c r="D1500" s="259"/>
      <c r="E1500" s="259"/>
      <c r="F1500" s="266"/>
      <c r="G1500" s="267"/>
      <c r="H1500" s="260"/>
    </row>
    <row r="1501" spans="1:8" ht="15.75" customHeight="1" x14ac:dyDescent="0.3">
      <c r="A1501" s="268"/>
      <c r="B1501" s="269"/>
      <c r="C1501" s="270" t="s">
        <v>85</v>
      </c>
      <c r="D1501" s="271">
        <f>SUM(D1491:D1500)</f>
      </c>
      <c r="E1501" s="271"/>
      <c r="F1501" s="272"/>
      <c r="G1501" s="273"/>
      <c r="H1501" s="274">
        <f>SUM(H1492:H1500)</f>
      </c>
    </row>
    <row r="1502" spans="1:8" ht="15.75" customHeight="1" x14ac:dyDescent="0.3">
      <c r="A1502" s="275"/>
      <c r="B1502" s="276"/>
      <c r="C1502" s="276"/>
      <c r="D1502" s="277"/>
      <c r="E1502" s="276"/>
      <c r="F1502" s="278"/>
      <c r="G1502" s="279"/>
      <c r="H1502" s="280"/>
    </row>
    <row r="1503" spans="1:8" ht="15.75" customHeight="1" x14ac:dyDescent="0.3">
      <c r="A1503" s="235"/>
      <c r="B1503" s="234"/>
      <c r="C1503" s="234"/>
      <c r="D1503" s="234"/>
      <c r="E1503" s="233"/>
      <c r="F1503" s="235"/>
      <c r="G1503" s="233"/>
      <c r="H1503" s="237"/>
    </row>
    <row r="1504" spans="1:8" ht="15.75" customHeight="1" x14ac:dyDescent="0.3">
      <c r="A1504" s="281"/>
      <c r="B1504" s="281"/>
      <c r="C1504" s="281"/>
      <c r="D1504" s="282" t="s">
        <v>97</v>
      </c>
      <c r="E1504" s="281" t="s">
        <v>98</v>
      </c>
      <c r="F1504" s="281"/>
      <c r="G1504" s="233"/>
      <c r="H1504" s="237"/>
    </row>
    <row r="1505" spans="1:8" ht="15.75" customHeight="1" x14ac:dyDescent="0.3">
      <c r="A1505" s="233"/>
      <c r="B1505" s="233"/>
      <c r="C1505" s="233"/>
      <c r="D1505" s="234"/>
      <c r="E1505" s="233"/>
      <c r="F1505" s="233"/>
      <c r="G1505" s="233"/>
      <c r="H1505" s="237"/>
    </row>
    <row r="1506" spans="1:8" ht="15.75" customHeight="1" x14ac:dyDescent="0.3">
      <c r="A1506" s="233"/>
      <c r="B1506" s="233"/>
      <c r="C1506" s="233"/>
      <c r="D1506" s="234"/>
      <c r="E1506" s="233"/>
      <c r="F1506" s="233"/>
      <c r="G1506" s="233"/>
      <c r="H1506" s="237"/>
    </row>
    <row r="1507" spans="1:8" ht="15.75" customHeight="1" x14ac:dyDescent="0.3">
      <c r="A1507" s="281"/>
      <c r="B1507" s="281"/>
      <c r="C1507" s="281"/>
      <c r="D1507" s="282"/>
      <c r="E1507" s="281" t="s">
        <v>99</v>
      </c>
      <c r="F1507" s="281"/>
      <c r="G1507" s="233"/>
      <c r="H1507" s="237"/>
    </row>
    <row r="1508" spans="1:8" ht="15.75" customHeight="1" x14ac:dyDescent="0.25">
      <c r="D1508" s="4"/>
      <c r="H1508" s="4"/>
    </row>
    <row r="1509" spans="1:8" ht="15.75" customHeight="1" x14ac:dyDescent="0.25">
      <c r="D1509" s="4"/>
      <c r="H1509" s="4"/>
    </row>
    <row r="1510" spans="1:8" ht="15.75" customHeight="1" x14ac:dyDescent="0.25">
      <c r="D1510" s="4"/>
      <c r="H1510" s="4"/>
    </row>
    <row r="1511" spans="1:8" ht="15.75" customHeight="1" x14ac:dyDescent="0.25">
      <c r="D1511" s="4"/>
      <c r="H1511" s="4"/>
    </row>
    <row r="1512" spans="1:8" ht="15.75" customHeight="1" x14ac:dyDescent="0.25">
      <c r="D1512" s="4"/>
      <c r="H1512" s="4"/>
    </row>
    <row r="1513" spans="1:8" ht="15.75" customHeight="1" x14ac:dyDescent="0.25">
      <c r="D1513" s="4"/>
      <c r="H1513" s="4"/>
    </row>
    <row r="1514" spans="1:8" ht="15.75" customHeight="1" x14ac:dyDescent="0.25">
      <c r="D1514" s="4"/>
      <c r="H1514" s="4"/>
    </row>
    <row r="1515" spans="1:8" ht="15.75" customHeight="1" x14ac:dyDescent="0.25">
      <c r="D1515" s="4"/>
      <c r="H1515" s="4"/>
    </row>
    <row r="1516" spans="1:8" ht="15.75" customHeight="1" x14ac:dyDescent="0.25">
      <c r="D1516" s="4"/>
      <c r="H1516" s="4"/>
    </row>
    <row r="1517" spans="1:8" ht="15.75" customHeight="1" x14ac:dyDescent="0.25">
      <c r="D1517" s="4"/>
      <c r="H1517" s="4"/>
    </row>
    <row r="1518" spans="1:8" ht="15.75" customHeight="1" x14ac:dyDescent="0.25">
      <c r="A1518" s="103" t="s">
        <v>14</v>
      </c>
      <c r="B1518" s="103"/>
      <c r="C1518" s="103"/>
      <c r="D1518" s="103"/>
      <c r="E1518" s="103"/>
      <c r="F1518" s="103"/>
      <c r="G1518" s="103"/>
      <c r="H1518" s="103"/>
    </row>
    <row r="1519" spans="1:8" ht="15.75" customHeight="1" x14ac:dyDescent="0.25">
      <c r="D1519" s="4"/>
      <c r="H1519" s="8"/>
    </row>
    <row r="1520" spans="1:8" ht="15.75" customHeight="1" x14ac:dyDescent="0.25">
      <c r="A1520" s="15"/>
      <c r="B1520" s="15"/>
      <c r="C1520" s="16"/>
      <c r="D1520" s="17"/>
      <c r="E1520" s="18"/>
      <c r="F1520" s="18"/>
      <c r="G1520" s="18"/>
      <c r="H1520" s="19"/>
    </row>
    <row r="1521" spans="1:8" ht="15.75" customHeight="1" x14ac:dyDescent="0.3">
      <c r="A1521" s="25"/>
      <c r="B1521" s="25"/>
      <c r="C1521" s="25"/>
      <c r="D1521" s="26"/>
      <c r="E1521" s="25"/>
      <c r="F1521" s="22" t="s">
        <v>18</v>
      </c>
      <c r="G1521" s="23" t="s">
        <v>577</v>
      </c>
      <c r="H1521" s="24"/>
    </row>
    <row r="1522" spans="1:8" ht="15.75" customHeight="1" x14ac:dyDescent="0.3">
      <c r="A1522" s="25" t="s">
        <v>20</v>
      </c>
      <c r="B1522" s="25"/>
      <c r="C1522" s="25"/>
      <c r="D1522" s="26"/>
      <c r="E1522" s="25"/>
      <c r="F1522" s="22" t="s">
        <v>21</v>
      </c>
      <c r="G1522" s="25" t="s">
        <v>930</v>
      </c>
      <c r="H1522" s="26"/>
    </row>
    <row r="1523" spans="1:8" ht="15.75" customHeight="1" x14ac:dyDescent="0.3">
      <c r="A1523" s="25" t="inlineStr">
        <is>
          <t>Dealer-003</t>
        </is>
      </c>
      <c r="B1523" s="25"/>
      <c r="C1523" s="25"/>
      <c r="D1523" s="26"/>
      <c r="E1523" s="22"/>
      <c r="F1523" s="25"/>
      <c r="G1523" s="25"/>
      <c r="H1523" s="106"/>
    </row>
    <row r="1524" spans="1:8" ht="15.75" customHeight="1" x14ac:dyDescent="0.3">
      <c r="A1524" s="25" t="inlineStr">
        <is>
          <t>Address line (redacted)</t>
        </is>
      </c>
      <c r="B1524" s="25"/>
      <c r="C1524" s="25"/>
      <c r="D1524" s="109"/>
      <c r="E1524" s="25"/>
      <c r="F1524" s="26"/>
      <c r="G1524" s="25"/>
      <c r="H1524" s="106"/>
    </row>
    <row r="1525" spans="1:8" ht="15.75" customHeight="1" x14ac:dyDescent="0.3">
      <c r="A1525" s="25" t="inlineStr">
        <is>
          <t>Address line (redacted)</t>
        </is>
      </c>
      <c r="B1525" s="25"/>
      <c r="C1525" s="25"/>
      <c r="D1525" s="109"/>
      <c r="E1525" s="25"/>
      <c r="F1525" s="26"/>
      <c r="G1525" s="25"/>
      <c r="H1525" s="106"/>
    </row>
    <row r="1526" spans="1:8" ht="15.75" customHeight="1" x14ac:dyDescent="0.3">
      <c r="A1526" s="114"/>
      <c r="B1526" s="25"/>
      <c r="C1526" s="25"/>
      <c r="D1526" s="26"/>
      <c r="E1526" s="25"/>
      <c r="F1526" s="26"/>
      <c r="G1526" s="25"/>
      <c r="H1526" s="106"/>
    </row>
    <row r="1527" spans="1:8" ht="15.75" customHeight="1" x14ac:dyDescent="0.3">
      <c r="A1527" s="25" t="s">
        <v>30</v>
      </c>
      <c r="B1527" s="25"/>
      <c r="C1527" s="25"/>
      <c r="D1527" s="26"/>
      <c r="E1527" s="25"/>
      <c r="F1527" s="26"/>
      <c r="G1527" s="25"/>
      <c r="H1527" s="106"/>
    </row>
    <row r="1528" spans="1:8" ht="15.75" customHeight="1" x14ac:dyDescent="0.3">
      <c r="A1528" s="25"/>
      <c r="B1528" s="25"/>
      <c r="C1528" s="25"/>
      <c r="D1528" s="26"/>
      <c r="E1528" s="25"/>
      <c r="F1528" s="26"/>
      <c r="G1528" s="25"/>
      <c r="H1528" s="106"/>
    </row>
    <row r="1529" spans="1:8" ht="15.75" customHeight="1" x14ac:dyDescent="0.3">
      <c r="A1529" s="25" t="s">
        <v>31</v>
      </c>
      <c r="B1529" s="25"/>
      <c r="C1529" s="25"/>
      <c r="D1529" s="26"/>
      <c r="E1529" s="25"/>
      <c r="F1529" s="26"/>
      <c r="G1529" s="25"/>
      <c r="H1529" s="106"/>
    </row>
    <row r="1530" spans="1:8" ht="15.75" customHeight="1" x14ac:dyDescent="0.3">
      <c r="A1530" s="25" t="s">
        <v>32</v>
      </c>
      <c r="B1530" s="25"/>
      <c r="C1530" s="25"/>
      <c r="D1530" s="26"/>
      <c r="E1530" s="25"/>
      <c r="F1530" s="26"/>
      <c r="G1530" s="25"/>
      <c r="H1530" s="106"/>
    </row>
    <row r="1531" spans="1:8" ht="15.75" customHeight="1" x14ac:dyDescent="0.3">
      <c r="A1531" s="25"/>
      <c r="B1531" s="25"/>
      <c r="C1531" s="25"/>
      <c r="D1531" s="26"/>
      <c r="E1531" s="25"/>
      <c r="F1531" s="26"/>
      <c r="G1531" s="25"/>
      <c r="H1531" s="106"/>
    </row>
    <row r="1532" spans="1:8" ht="15.75" customHeight="1" x14ac:dyDescent="0.3">
      <c r="A1532" s="118" t="s">
        <v>33</v>
      </c>
      <c r="B1532" s="121" t="s">
        <v>6</v>
      </c>
      <c r="C1532" s="121"/>
      <c r="D1532" s="123" t="s">
        <v>37</v>
      </c>
      <c r="E1532" s="125" t="s">
        <v>38</v>
      </c>
      <c r="F1532" s="127" t="s">
        <v>7</v>
      </c>
      <c r="G1532" s="129" t="s">
        <v>43</v>
      </c>
      <c r="H1532" s="130" t="s">
        <v>44</v>
      </c>
    </row>
    <row r="1533" spans="1:8" ht="15.75" customHeight="1" x14ac:dyDescent="0.3">
      <c r="A1533" s="133"/>
      <c r="B1533" s="135"/>
      <c r="C1533" s="136"/>
      <c r="D1533" s="138"/>
      <c r="E1533" s="138"/>
      <c r="F1533" s="139"/>
      <c r="G1533" s="141"/>
      <c r="H1533" s="143"/>
    </row>
    <row r="1534" spans="1:8" ht="15.75" customHeight="1" x14ac:dyDescent="0.3">
      <c r="A1534" s="145"/>
      <c r="B1534" s="147"/>
      <c r="C1534" s="148"/>
      <c r="D1534" s="149"/>
      <c r="E1534" s="149"/>
      <c r="F1534" s="26"/>
      <c r="G1534" s="149"/>
      <c r="H1534" s="151"/>
    </row>
    <row r="1535" spans="1:8" ht="15.75" customHeight="1" x14ac:dyDescent="0.3">
      <c r="A1535" s="145" t="s">
        <v>55</v>
      </c>
      <c r="B1535" s="153" t="s">
        <v>931</v>
      </c>
      <c r="C1535" s="154"/>
      <c r="D1535" s="149">
        <v>1</v>
      </c>
      <c r="E1535" s="149">
        <v>1</v>
      </c>
      <c r="F1535" s="26">
        <f>+E1535*D1535</f>
      </c>
      <c r="G1535" s="149">
        <v>1</v>
      </c>
      <c r="H1535" s="151">
        <f>+G1535*F1535</f>
      </c>
    </row>
    <row r="1536" spans="1:8" ht="15.75" customHeight="1" x14ac:dyDescent="0.3">
      <c r="A1536" s="145"/>
      <c r="B1536" s="161"/>
      <c r="C1536" s="25"/>
      <c r="D1536" s="149"/>
      <c r="E1536" s="149"/>
      <c r="F1536" s="26"/>
      <c r="G1536" s="149"/>
      <c r="H1536" s="151"/>
    </row>
    <row r="1537" spans="1:8" ht="15.75" customHeight="1" x14ac:dyDescent="0.3">
      <c r="A1537" s="145"/>
      <c r="B1537" s="161"/>
      <c r="C1537" s="25"/>
      <c r="D1537" s="149"/>
      <c r="E1537" s="149"/>
      <c r="F1537" s="26"/>
      <c r="G1537" s="149"/>
      <c r="H1537" s="151"/>
    </row>
    <row r="1538" spans="1:8" ht="15.75" customHeight="1" x14ac:dyDescent="0.3">
      <c r="A1538" s="145"/>
      <c r="B1538" s="161"/>
      <c r="C1538" s="25"/>
      <c r="D1538" s="149"/>
      <c r="E1538" s="149"/>
      <c r="F1538" s="26"/>
      <c r="G1538" s="149"/>
      <c r="H1538" s="151"/>
    </row>
    <row r="1539" spans="1:8" ht="15.75" customHeight="1" x14ac:dyDescent="0.3">
      <c r="A1539" s="145"/>
      <c r="B1539" s="161"/>
      <c r="C1539" s="25"/>
      <c r="D1539" s="149"/>
      <c r="E1539" s="149"/>
      <c r="F1539" s="26"/>
      <c r="G1539" s="149"/>
      <c r="H1539" s="151"/>
    </row>
    <row r="1540" spans="1:8" ht="15.75" customHeight="1" x14ac:dyDescent="0.3">
      <c r="A1540" s="145"/>
      <c r="B1540" s="174"/>
      <c r="C1540" s="25"/>
      <c r="D1540" s="149"/>
      <c r="E1540" s="149"/>
      <c r="F1540" s="26"/>
      <c r="G1540" s="149"/>
      <c r="H1540" s="151"/>
    </row>
    <row r="1541" spans="1:8" ht="15.75" customHeight="1" x14ac:dyDescent="0.3">
      <c r="A1541" s="145"/>
      <c r="B1541" s="174"/>
      <c r="C1541" s="25"/>
      <c r="D1541" s="149"/>
      <c r="E1541" s="149"/>
      <c r="F1541" s="26"/>
      <c r="G1541" s="149"/>
      <c r="H1541" s="151"/>
    </row>
    <row r="1542" spans="1:8" ht="15.75" customHeight="1" x14ac:dyDescent="0.3">
      <c r="A1542" s="145"/>
      <c r="B1542" s="174"/>
      <c r="C1542" s="25"/>
      <c r="D1542" s="149"/>
      <c r="E1542" s="149"/>
      <c r="F1542" s="26"/>
      <c r="G1542" s="149"/>
      <c r="H1542" s="151"/>
    </row>
    <row r="1543" spans="1:8" ht="15.75" customHeight="1" x14ac:dyDescent="0.3">
      <c r="A1543" s="177"/>
      <c r="B1543" s="139"/>
      <c r="C1543" s="136"/>
      <c r="D1543" s="149"/>
      <c r="E1543" s="149"/>
      <c r="F1543" s="179"/>
      <c r="G1543" s="181"/>
      <c r="H1543" s="151"/>
    </row>
    <row r="1544" spans="1:8" ht="15.75" customHeight="1" x14ac:dyDescent="0.3">
      <c r="A1544" s="183"/>
      <c r="B1544" s="184"/>
      <c r="C1544" s="185" t="s">
        <v>85</v>
      </c>
      <c r="D1544" s="186">
        <f>SUM(D1534:D1543)</f>
      </c>
      <c r="E1544" s="186"/>
      <c r="F1544" s="187">
        <v>32</v>
      </c>
      <c r="G1544" s="188"/>
      <c r="H1544" s="189">
        <f>SUM(H1535:H1543)</f>
      </c>
    </row>
    <row r="1545" spans="1:8" ht="15.75" customHeight="1" x14ac:dyDescent="0.3">
      <c r="A1545" s="190"/>
      <c r="B1545" s="191"/>
      <c r="C1545" s="191"/>
      <c r="D1545" s="192"/>
      <c r="E1545" s="191"/>
      <c r="F1545" s="193"/>
      <c r="G1545" s="194"/>
      <c r="H1545" s="195"/>
    </row>
    <row r="1546" spans="1:8" ht="15.75" customHeight="1" x14ac:dyDescent="0.3">
      <c r="A1546" s="196"/>
      <c r="B1546" s="26"/>
      <c r="C1546" s="26"/>
      <c r="D1546" s="26"/>
      <c r="E1546" s="25"/>
      <c r="F1546" s="196"/>
      <c r="G1546" s="25"/>
      <c r="H1546" s="106"/>
    </row>
    <row r="1547" spans="1:8" ht="15.75" customHeight="1" x14ac:dyDescent="0.3">
      <c r="A1547" s="197"/>
      <c r="B1547" s="197"/>
      <c r="C1547" s="197"/>
      <c r="D1547" s="198" t="s">
        <v>97</v>
      </c>
      <c r="E1547" s="197" t="s">
        <v>98</v>
      </c>
      <c r="F1547" s="197"/>
      <c r="G1547" s="25"/>
      <c r="H1547" s="106"/>
    </row>
    <row r="1548" spans="1:8" ht="15.75" customHeight="1" x14ac:dyDescent="0.3">
      <c r="A1548" s="25"/>
      <c r="B1548" s="25"/>
      <c r="C1548" s="25"/>
      <c r="D1548" s="26"/>
      <c r="E1548" s="25"/>
      <c r="F1548" s="25"/>
      <c r="G1548" s="25"/>
      <c r="H1548" s="106"/>
    </row>
    <row r="1549" spans="1:8" ht="15.75" customHeight="1" x14ac:dyDescent="0.3">
      <c r="A1549" s="25"/>
      <c r="B1549" s="25"/>
      <c r="C1549" s="25"/>
      <c r="D1549" s="26"/>
      <c r="E1549" s="25"/>
      <c r="F1549" s="25"/>
      <c r="G1549" s="25"/>
      <c r="H1549" s="106"/>
    </row>
    <row r="1550" spans="1:8" ht="15.75" customHeight="1" x14ac:dyDescent="0.3">
      <c r="A1550" s="197"/>
      <c r="B1550" s="197"/>
      <c r="C1550" s="197"/>
      <c r="D1550" s="198"/>
      <c r="E1550" s="197" t="s">
        <v>99</v>
      </c>
      <c r="F1550" s="197"/>
      <c r="G1550" s="25"/>
      <c r="H1550" s="106"/>
    </row>
    <row r="1551" spans="1:8" ht="15.75" customHeight="1" x14ac:dyDescent="0.25">
      <c r="D1551" s="4"/>
      <c r="H1551" s="4"/>
    </row>
    <row r="1552" spans="1:8" ht="15.75" customHeight="1" x14ac:dyDescent="0.25">
      <c r="D1552" s="4"/>
      <c r="H1552" s="4"/>
    </row>
    <row r="1553" spans="1:8" ht="15.75" customHeight="1" x14ac:dyDescent="0.25">
      <c r="D1553" s="4"/>
      <c r="H1553" s="4"/>
    </row>
    <row r="1554" spans="1:8" ht="15.75" customHeight="1" x14ac:dyDescent="0.25">
      <c r="D1554" s="4"/>
      <c r="H1554" s="4"/>
    </row>
    <row r="1555" spans="1:8" ht="15.75" customHeight="1" x14ac:dyDescent="0.25">
      <c r="D1555" s="4"/>
      <c r="H1555" s="4"/>
    </row>
    <row r="1556" spans="1:8" ht="15.75" customHeight="1" x14ac:dyDescent="0.25">
      <c r="D1556" s="4"/>
      <c r="H1556" s="4"/>
    </row>
    <row r="1557" spans="1:8" ht="15.75" customHeight="1" x14ac:dyDescent="0.25">
      <c r="D1557" s="4"/>
      <c r="H1557" s="4"/>
    </row>
    <row r="1558" spans="1:8" ht="15.75" customHeight="1" x14ac:dyDescent="0.25">
      <c r="D1558" s="4"/>
      <c r="H1558" s="4"/>
    </row>
    <row r="1559" spans="1:8" ht="15.75" customHeight="1" x14ac:dyDescent="0.25">
      <c r="D1559" s="4"/>
      <c r="H1559" s="4"/>
    </row>
    <row r="1560" spans="1:8" ht="15.75" customHeight="1" x14ac:dyDescent="0.25">
      <c r="D1560" s="4"/>
      <c r="H1560" s="4"/>
    </row>
    <row r="1561" spans="1:8" ht="15.75" customHeight="1" x14ac:dyDescent="0.25">
      <c r="D1561" s="4"/>
      <c r="H1561" s="4"/>
    </row>
    <row r="1562" spans="1:8" ht="15.75" customHeight="1" x14ac:dyDescent="0.25">
      <c r="A1562" s="14" t="s">
        <v>14</v>
      </c>
      <c r="B1562" s="14"/>
      <c r="C1562" s="14"/>
      <c r="D1562" s="14"/>
      <c r="E1562" s="14"/>
      <c r="F1562" s="14"/>
      <c r="G1562" s="14"/>
      <c r="H1562" s="14"/>
    </row>
    <row r="1563" spans="1:8" ht="15.75" customHeight="1" x14ac:dyDescent="0.25">
      <c r="D1563" s="4"/>
      <c r="H1563" s="8"/>
    </row>
    <row r="1564" spans="1:8" ht="15.75" customHeight="1" x14ac:dyDescent="0.3">
      <c r="A1564" s="233"/>
      <c r="B1564" s="233"/>
      <c r="C1564" s="234"/>
      <c r="D1564" s="235"/>
      <c r="E1564" s="236"/>
      <c r="F1564" s="236"/>
      <c r="G1564" s="236"/>
      <c r="H1564" s="237"/>
    </row>
    <row r="1565" spans="1:8" ht="15.75" customHeight="1" x14ac:dyDescent="0.3">
      <c r="A1565" s="233"/>
      <c r="B1565" s="233"/>
      <c r="C1565" s="233"/>
      <c r="D1565" s="234"/>
      <c r="E1565" s="233"/>
      <c r="F1565" s="238" t="s">
        <v>18</v>
      </c>
      <c r="G1565" s="239" t="s">
        <v>580</v>
      </c>
      <c r="H1565" s="240"/>
    </row>
    <row r="1566" spans="1:8" ht="15.75" customHeight="1" x14ac:dyDescent="0.3">
      <c r="A1566" s="233" t="s">
        <v>20</v>
      </c>
      <c r="B1566" s="233"/>
      <c r="C1566" s="233"/>
      <c r="D1566" s="234"/>
      <c r="E1566" s="233"/>
      <c r="F1566" s="238" t="s">
        <v>21</v>
      </c>
      <c r="G1566" s="233" t="s">
        <v>937</v>
      </c>
      <c r="H1566" s="234"/>
    </row>
    <row r="1567" spans="1:8" ht="15.75" customHeight="1" x14ac:dyDescent="0.3">
      <c r="A1567" s="233" t="inlineStr">
        <is>
          <t>Dealer-002</t>
        </is>
      </c>
      <c r="B1567" s="233"/>
      <c r="C1567" s="233"/>
      <c r="D1567" s="234"/>
      <c r="E1567" s="238"/>
      <c r="F1567" s="233"/>
      <c r="G1567" s="233"/>
      <c r="H1567" s="237"/>
    </row>
    <row r="1568" spans="1:8" ht="15.75" customHeight="1" x14ac:dyDescent="0.3">
      <c r="A1568" s="233" t="inlineStr">
        <is>
          <t>Address line (redacted)</t>
        </is>
      </c>
      <c r="B1568" s="233"/>
      <c r="C1568" s="233"/>
      <c r="D1568" s="241"/>
      <c r="E1568" s="233"/>
      <c r="F1568" s="234"/>
      <c r="G1568" s="233"/>
      <c r="H1568" s="237"/>
    </row>
    <row r="1569" spans="1:8" ht="15.75" customHeight="1" x14ac:dyDescent="0.3">
      <c r="A1569" s="233" t="inlineStr">
        <is>
          <t>Address line (redacted)</t>
        </is>
      </c>
      <c r="B1569" s="233"/>
      <c r="C1569" s="233"/>
      <c r="D1569" s="241"/>
      <c r="E1569" s="233"/>
      <c r="F1569" s="234"/>
      <c r="G1569" s="233"/>
      <c r="H1569" s="237"/>
    </row>
    <row r="1570" spans="1:8" ht="15.75" customHeight="1" x14ac:dyDescent="0.3">
      <c r="A1570" s="242"/>
      <c r="B1570" s="233"/>
      <c r="C1570" s="233"/>
      <c r="D1570" s="234"/>
      <c r="E1570" s="233"/>
      <c r="F1570" s="234"/>
      <c r="G1570" s="233"/>
      <c r="H1570" s="237"/>
    </row>
    <row r="1571" spans="1:8" ht="15.75" customHeight="1" x14ac:dyDescent="0.3">
      <c r="A1571" s="233" t="s">
        <v>30</v>
      </c>
      <c r="B1571" s="233"/>
      <c r="C1571" s="233"/>
      <c r="D1571" s="234"/>
      <c r="E1571" s="233"/>
      <c r="F1571" s="234"/>
      <c r="G1571" s="233"/>
      <c r="H1571" s="237"/>
    </row>
    <row r="1572" spans="1:8" ht="15.75" customHeight="1" x14ac:dyDescent="0.3">
      <c r="A1572" s="233"/>
      <c r="B1572" s="233"/>
      <c r="C1572" s="233"/>
      <c r="D1572" s="234"/>
      <c r="E1572" s="233"/>
      <c r="F1572" s="234"/>
      <c r="G1572" s="233"/>
      <c r="H1572" s="237"/>
    </row>
    <row r="1573" spans="1:8" ht="15.75" customHeight="1" x14ac:dyDescent="0.3">
      <c r="A1573" s="233" t="s">
        <v>31</v>
      </c>
      <c r="B1573" s="233"/>
      <c r="C1573" s="233"/>
      <c r="D1573" s="234"/>
      <c r="E1573" s="233"/>
      <c r="F1573" s="234"/>
      <c r="G1573" s="233"/>
      <c r="H1573" s="237"/>
    </row>
    <row r="1574" spans="1:8" ht="15.75" customHeight="1" x14ac:dyDescent="0.3">
      <c r="A1574" s="233" t="s">
        <v>32</v>
      </c>
      <c r="B1574" s="233"/>
      <c r="C1574" s="233"/>
      <c r="D1574" s="234"/>
      <c r="E1574" s="233"/>
      <c r="F1574" s="234"/>
      <c r="G1574" s="233"/>
      <c r="H1574" s="237"/>
    </row>
    <row r="1575" spans="1:8" ht="15.75" customHeight="1" x14ac:dyDescent="0.3">
      <c r="A1575" s="233"/>
      <c r="B1575" s="233"/>
      <c r="C1575" s="233"/>
      <c r="D1575" s="234"/>
      <c r="E1575" s="233"/>
      <c r="F1575" s="234"/>
      <c r="G1575" s="233"/>
      <c r="H1575" s="237"/>
    </row>
    <row r="1576" spans="1:8" ht="15.75" customHeight="1" x14ac:dyDescent="0.3">
      <c r="A1576" s="243" t="s">
        <v>33</v>
      </c>
      <c r="B1576" s="244" t="s">
        <v>6</v>
      </c>
      <c r="C1576" s="244"/>
      <c r="D1576" s="245" t="s">
        <v>37</v>
      </c>
      <c r="E1576" s="246" t="s">
        <v>38</v>
      </c>
      <c r="F1576" s="247" t="s">
        <v>7</v>
      </c>
      <c r="G1576" s="248" t="s">
        <v>43</v>
      </c>
      <c r="H1576" s="249" t="s">
        <v>44</v>
      </c>
    </row>
    <row r="1577" spans="1:8" ht="15.75" customHeight="1" x14ac:dyDescent="0.3">
      <c r="A1577" s="250"/>
      <c r="B1577" s="251"/>
      <c r="C1577" s="236"/>
      <c r="D1577" s="252"/>
      <c r="E1577" s="252"/>
      <c r="F1577" s="253"/>
      <c r="G1577" s="254"/>
      <c r="H1577" s="255"/>
    </row>
    <row r="1578" spans="1:8" ht="15.75" customHeight="1" x14ac:dyDescent="0.3">
      <c r="A1578" s="256"/>
      <c r="B1578" s="261"/>
      <c r="C1578" s="262"/>
      <c r="D1578" s="259"/>
      <c r="E1578" s="259"/>
      <c r="F1578" s="234"/>
      <c r="G1578" s="259"/>
      <c r="H1578" s="260"/>
    </row>
    <row r="1579" spans="1:8" ht="15.75" customHeight="1" x14ac:dyDescent="0.3">
      <c r="A1579" s="256" t="s">
        <v>55</v>
      </c>
      <c r="B1579" s="371" t="s">
        <v>940</v>
      </c>
      <c r="C1579" s="262">
        <v>405</v>
      </c>
      <c r="D1579" s="259">
        <v>10</v>
      </c>
      <c r="E1579" s="259">
        <v>1</v>
      </c>
      <c r="F1579" s="234">
        <f>+E1579*D1579</f>
      </c>
      <c r="G1579" s="259">
        <v>1</v>
      </c>
      <c r="H1579" s="260">
        <f>+G1579*F1579</f>
      </c>
    </row>
    <row r="1580" spans="1:8" ht="15.75" customHeight="1" x14ac:dyDescent="0.3">
      <c r="A1580" s="256"/>
      <c r="B1580" s="371"/>
      <c r="C1580" s="372"/>
      <c r="D1580" s="259"/>
      <c r="E1580" s="259"/>
      <c r="F1580" s="234"/>
      <c r="G1580" s="259"/>
      <c r="H1580" s="260"/>
    </row>
    <row r="1581" spans="1:8" ht="15.75" customHeight="1" x14ac:dyDescent="0.3">
      <c r="A1581" s="256" t="s">
        <v>59</v>
      </c>
      <c r="B1581" s="371" t="s">
        <v>921</v>
      </c>
      <c r="C1581" s="262" t="s">
        <v>435</v>
      </c>
      <c r="D1581" s="259">
        <v>1</v>
      </c>
      <c r="E1581" s="259">
        <v>25</v>
      </c>
      <c r="F1581" s="234">
        <f>+E1581*D1581</f>
      </c>
      <c r="G1581" s="259">
        <v>1</v>
      </c>
      <c r="H1581" s="260">
        <f>+G1581*F1581</f>
      </c>
    </row>
    <row r="1582" spans="1:8" ht="15.75" customHeight="1" x14ac:dyDescent="0.3">
      <c r="A1582" s="256"/>
      <c r="B1582" s="371"/>
      <c r="C1582" s="372"/>
      <c r="D1582" s="259"/>
      <c r="E1582" s="259"/>
      <c r="F1582" s="234"/>
      <c r="G1582" s="259"/>
      <c r="H1582" s="260"/>
    </row>
    <row r="1583" spans="1:8" ht="15.75" customHeight="1" x14ac:dyDescent="0.3">
      <c r="A1583" s="256" t="s">
        <v>67</v>
      </c>
      <c r="B1583" s="371" t="s">
        <v>943</v>
      </c>
      <c r="C1583" s="372" t="s">
        <v>854</v>
      </c>
      <c r="D1583" s="259">
        <v>2</v>
      </c>
      <c r="E1583" s="259">
        <v>5</v>
      </c>
      <c r="F1583" s="234">
        <f>+E1583*D1583</f>
      </c>
      <c r="G1583" s="259">
        <v>1</v>
      </c>
      <c r="H1583" s="260">
        <f>+G1583*F1583</f>
      </c>
    </row>
    <row r="1584" spans="1:8" ht="15.75" customHeight="1" x14ac:dyDescent="0.3">
      <c r="A1584" s="256"/>
      <c r="B1584" s="371"/>
      <c r="C1584" s="372"/>
      <c r="D1584" s="259"/>
      <c r="E1584" s="259"/>
      <c r="F1584" s="234"/>
      <c r="G1584" s="259"/>
      <c r="H1584" s="260"/>
    </row>
    <row r="1585" spans="1:8" ht="15.75" customHeight="1" x14ac:dyDescent="0.3">
      <c r="A1585" s="256"/>
      <c r="B1585" s="261"/>
      <c r="C1585" s="233"/>
      <c r="D1585" s="259"/>
      <c r="E1585" s="259"/>
      <c r="F1585" s="234"/>
      <c r="G1585" s="259"/>
      <c r="H1585" s="260"/>
    </row>
    <row r="1586" spans="1:8" ht="15.75" customHeight="1" x14ac:dyDescent="0.3">
      <c r="A1586" s="256"/>
      <c r="B1586" s="264"/>
      <c r="C1586" s="233"/>
      <c r="D1586" s="259"/>
      <c r="E1586" s="259"/>
      <c r="F1586" s="234"/>
      <c r="G1586" s="259"/>
      <c r="H1586" s="260"/>
    </row>
    <row r="1587" spans="1:8" ht="15.75" customHeight="1" x14ac:dyDescent="0.3">
      <c r="A1587" s="265"/>
      <c r="B1587" s="253"/>
      <c r="C1587" s="236"/>
      <c r="D1587" s="259"/>
      <c r="E1587" s="259"/>
      <c r="F1587" s="266"/>
      <c r="G1587" s="267"/>
      <c r="H1587" s="260"/>
    </row>
    <row r="1588" spans="1:8" ht="15.75" customHeight="1" x14ac:dyDescent="0.3">
      <c r="A1588" s="268"/>
      <c r="B1588" s="269"/>
      <c r="C1588" s="270" t="s">
        <v>85</v>
      </c>
      <c r="D1588" s="271">
        <f>SUM(D1578:D1587)</f>
      </c>
      <c r="E1588" s="271"/>
      <c r="F1588" s="272"/>
      <c r="G1588" s="273"/>
      <c r="H1588" s="274">
        <f>SUM(H1579:H1587)</f>
      </c>
    </row>
    <row r="1589" spans="1:8" ht="15.75" customHeight="1" x14ac:dyDescent="0.3">
      <c r="A1589" s="275"/>
      <c r="B1589" s="276"/>
      <c r="C1589" s="276"/>
      <c r="D1589" s="277"/>
      <c r="E1589" s="276"/>
      <c r="F1589" s="278"/>
      <c r="G1589" s="279"/>
      <c r="H1589" s="280"/>
    </row>
    <row r="1590" spans="1:8" ht="15.75" customHeight="1" x14ac:dyDescent="0.3">
      <c r="A1590" s="235"/>
      <c r="B1590" s="234"/>
      <c r="C1590" s="234"/>
      <c r="D1590" s="234"/>
      <c r="E1590" s="233"/>
      <c r="F1590" s="235"/>
      <c r="G1590" s="233"/>
      <c r="H1590" s="237"/>
    </row>
    <row r="1591" spans="1:8" ht="15.75" customHeight="1" x14ac:dyDescent="0.3">
      <c r="A1591" s="281"/>
      <c r="B1591" s="281"/>
      <c r="C1591" s="281"/>
      <c r="D1591" s="282" t="s">
        <v>97</v>
      </c>
      <c r="E1591" s="281" t="s">
        <v>98</v>
      </c>
      <c r="F1591" s="281"/>
      <c r="G1591" s="233"/>
      <c r="H1591" s="237"/>
    </row>
    <row r="1592" spans="1:8" ht="15.75" customHeight="1" x14ac:dyDescent="0.3">
      <c r="A1592" s="233"/>
      <c r="B1592" s="233"/>
      <c r="C1592" s="233"/>
      <c r="D1592" s="234"/>
      <c r="E1592" s="233"/>
      <c r="F1592" s="233"/>
      <c r="G1592" s="233"/>
      <c r="H1592" s="237"/>
    </row>
    <row r="1593" spans="1:8" ht="15.75" customHeight="1" x14ac:dyDescent="0.3">
      <c r="A1593" s="233"/>
      <c r="B1593" s="233"/>
      <c r="C1593" s="233"/>
      <c r="D1593" s="234"/>
      <c r="E1593" s="233"/>
      <c r="F1593" s="233"/>
      <c r="G1593" s="233"/>
      <c r="H1593" s="237"/>
    </row>
    <row r="1594" spans="1:8" ht="15.75" customHeight="1" x14ac:dyDescent="0.3">
      <c r="A1594" s="281"/>
      <c r="B1594" s="281"/>
      <c r="C1594" s="281"/>
      <c r="D1594" s="282"/>
      <c r="E1594" s="281" t="s">
        <v>99</v>
      </c>
      <c r="F1594" s="281"/>
      <c r="G1594" s="233"/>
      <c r="H1594" s="237"/>
    </row>
    <row r="1595" spans="1:8" ht="15.75" customHeight="1" x14ac:dyDescent="0.25">
      <c r="D1595" s="4"/>
      <c r="H1595" s="4"/>
    </row>
    <row r="1596" spans="1:8" ht="15.75" customHeight="1" x14ac:dyDescent="0.25">
      <c r="D1596" s="4"/>
      <c r="H1596" s="4"/>
    </row>
    <row r="1597" spans="1:8" ht="15.75" customHeight="1" x14ac:dyDescent="0.25">
      <c r="D1597" s="4"/>
      <c r="H1597" s="4"/>
    </row>
    <row r="1598" spans="1:8" ht="15.75" customHeight="1" x14ac:dyDescent="0.25">
      <c r="D1598" s="4"/>
      <c r="H1598" s="4"/>
    </row>
    <row r="1599" spans="1:8" ht="15.75" customHeight="1" x14ac:dyDescent="0.25">
      <c r="D1599" s="4"/>
      <c r="H1599" s="4"/>
    </row>
    <row r="1600" spans="1:8" ht="15.75" customHeight="1" x14ac:dyDescent="0.25">
      <c r="D1600" s="4"/>
      <c r="H1600" s="4"/>
    </row>
    <row r="1601" spans="1:8" ht="15.75" customHeight="1" x14ac:dyDescent="0.25">
      <c r="D1601" s="4"/>
      <c r="H1601" s="4"/>
    </row>
    <row r="1602" spans="1:8" ht="15.75" customHeight="1" x14ac:dyDescent="0.25">
      <c r="D1602" s="4"/>
      <c r="H1602" s="4"/>
    </row>
    <row r="1603" spans="1:8" ht="15.75" customHeight="1" x14ac:dyDescent="0.25">
      <c r="D1603" s="4"/>
      <c r="H1603" s="4"/>
    </row>
    <row r="1604" spans="1:8" ht="15.75" customHeight="1" x14ac:dyDescent="0.25">
      <c r="D1604" s="4"/>
      <c r="H1604" s="4"/>
    </row>
    <row r="1605" spans="1:8" ht="15.75" customHeight="1" x14ac:dyDescent="0.25">
      <c r="A1605" s="14" t="s">
        <v>14</v>
      </c>
      <c r="B1605" s="14"/>
      <c r="C1605" s="14"/>
      <c r="D1605" s="14"/>
      <c r="E1605" s="14"/>
      <c r="F1605" s="14"/>
      <c r="G1605" s="14"/>
      <c r="H1605" s="14"/>
    </row>
    <row r="1606" spans="1:8" ht="15.75" customHeight="1" x14ac:dyDescent="0.25">
      <c r="D1606" s="4"/>
      <c r="H1606" s="8"/>
    </row>
    <row r="1607" spans="1:8" ht="15.75" customHeight="1" x14ac:dyDescent="0.3">
      <c r="A1607" s="233"/>
      <c r="B1607" s="233"/>
      <c r="C1607" s="234"/>
      <c r="D1607" s="235"/>
      <c r="E1607" s="236"/>
      <c r="F1607" s="236"/>
      <c r="G1607" s="236"/>
      <c r="H1607" s="237"/>
    </row>
    <row r="1608" spans="1:8" ht="15.75" customHeight="1" x14ac:dyDescent="0.3">
      <c r="A1608" s="233"/>
      <c r="B1608" s="233"/>
      <c r="C1608" s="233"/>
      <c r="D1608" s="234"/>
      <c r="E1608" s="233"/>
      <c r="F1608" s="238" t="s">
        <v>18</v>
      </c>
      <c r="G1608" s="239" t="s">
        <v>580</v>
      </c>
      <c r="H1608" s="240"/>
    </row>
    <row r="1609" spans="1:8" ht="15.75" customHeight="1" x14ac:dyDescent="0.3">
      <c r="A1609" s="233" t="s">
        <v>20</v>
      </c>
      <c r="B1609" s="233"/>
      <c r="C1609" s="233"/>
      <c r="D1609" s="234"/>
      <c r="E1609" s="233"/>
      <c r="F1609" s="238" t="s">
        <v>21</v>
      </c>
      <c r="G1609" s="233" t="s">
        <v>948</v>
      </c>
      <c r="H1609" s="234"/>
    </row>
    <row r="1610" spans="1:8" ht="15.75" customHeight="1" x14ac:dyDescent="0.3">
      <c r="A1610" s="233" t="inlineStr">
        <is>
          <t>Dealer-001</t>
        </is>
      </c>
      <c r="B1610" s="233"/>
      <c r="C1610" s="386" t="inlineStr">
        <is>
          <t>Address line (redacted)</t>
        </is>
      </c>
      <c r="D1610" s="387"/>
      <c r="E1610" s="238"/>
      <c r="F1610" s="233"/>
      <c r="G1610" s="233"/>
      <c r="H1610" s="237"/>
    </row>
    <row r="1611" spans="1:8" ht="15.75" customHeight="1" x14ac:dyDescent="0.3">
      <c r="A1611" s="233" t="inlineStr">
        <is>
          <t>Address line (redacted)</t>
        </is>
      </c>
      <c r="B1611" s="233"/>
      <c r="C1611" s="233"/>
      <c r="D1611" s="241"/>
      <c r="E1611" s="233"/>
      <c r="F1611" s="234"/>
      <c r="G1611" s="233"/>
      <c r="H1611" s="237"/>
    </row>
    <row r="1612" spans="1:8" ht="15.75" customHeight="1" x14ac:dyDescent="0.3">
      <c r="A1612" s="233" t="s">
        <v>954</v>
      </c>
      <c r="B1612" s="233"/>
      <c r="C1612" s="233"/>
      <c r="D1612" s="241"/>
      <c r="E1612" s="233"/>
      <c r="F1612" s="234"/>
      <c r="G1612" s="233"/>
      <c r="H1612" s="237"/>
    </row>
    <row r="1613" spans="1:8" ht="15.75" customHeight="1" x14ac:dyDescent="0.3">
      <c r="A1613" s="233" t="inlineStr">
        <is>
          <t>Dealer-008</t>
        </is>
      </c>
      <c r="B1613" s="233"/>
      <c r="C1613" s="233"/>
      <c r="D1613" s="241"/>
      <c r="E1613" s="233"/>
      <c r="F1613" s="234"/>
      <c r="G1613" s="233"/>
      <c r="H1613" s="237"/>
    </row>
    <row r="1614" spans="1:8" ht="15.75" customHeight="1" x14ac:dyDescent="0.3">
      <c r="A1614" s="233" t="inlineStr">
        <is>
          <t>Address line (redacted)</t>
        </is>
      </c>
      <c r="B1614" s="233"/>
      <c r="C1614" s="233"/>
      <c r="D1614" s="241"/>
      <c r="E1614" s="233"/>
      <c r="F1614" s="234"/>
      <c r="G1614" s="233"/>
      <c r="H1614" s="237"/>
    </row>
    <row r="1615" spans="1:8" ht="15.75" customHeight="1" x14ac:dyDescent="0.3">
      <c r="A1615" s="233" t="inlineStr">
        <is>
          <t>Address line (redacted)</t>
        </is>
      </c>
      <c r="B1615" s="233"/>
      <c r="C1615" s="233"/>
      <c r="D1615" s="241"/>
      <c r="E1615" s="233"/>
      <c r="F1615" s="234"/>
      <c r="G1615" s="233"/>
      <c r="H1615" s="237"/>
    </row>
    <row r="1616" spans="1:8" ht="15.75" customHeight="1" x14ac:dyDescent="0.3">
      <c r="A1616" s="242"/>
      <c r="B1616" s="233"/>
      <c r="C1616" s="233"/>
      <c r="D1616" s="234"/>
      <c r="E1616" s="233"/>
      <c r="F1616" s="234"/>
      <c r="G1616" s="233"/>
      <c r="H1616" s="237"/>
    </row>
    <row r="1617" spans="1:8" ht="15.75" customHeight="1" x14ac:dyDescent="0.3">
      <c r="A1617" s="233" t="s">
        <v>30</v>
      </c>
      <c r="B1617" s="233"/>
      <c r="C1617" s="233"/>
      <c r="D1617" s="234"/>
      <c r="E1617" s="233"/>
      <c r="F1617" s="234"/>
      <c r="G1617" s="233"/>
      <c r="H1617" s="237"/>
    </row>
    <row r="1618" spans="1:8" ht="15.75" customHeight="1" x14ac:dyDescent="0.3">
      <c r="A1618" s="233"/>
      <c r="B1618" s="233"/>
      <c r="C1618" s="233"/>
      <c r="D1618" s="234"/>
      <c r="E1618" s="233"/>
      <c r="F1618" s="234"/>
      <c r="G1618" s="233"/>
      <c r="H1618" s="237"/>
    </row>
    <row r="1619" spans="1:8" ht="15.75" customHeight="1" x14ac:dyDescent="0.3">
      <c r="A1619" s="233" t="s">
        <v>31</v>
      </c>
      <c r="B1619" s="233"/>
      <c r="C1619" s="233"/>
      <c r="D1619" s="234"/>
      <c r="E1619" s="233"/>
      <c r="F1619" s="234"/>
      <c r="G1619" s="233"/>
      <c r="H1619" s="237"/>
    </row>
    <row r="1620" spans="1:8" ht="15.75" customHeight="1" x14ac:dyDescent="0.3">
      <c r="A1620" s="233" t="s">
        <v>32</v>
      </c>
      <c r="B1620" s="233"/>
      <c r="C1620" s="233"/>
      <c r="D1620" s="234"/>
      <c r="E1620" s="233"/>
      <c r="F1620" s="234"/>
      <c r="G1620" s="233"/>
      <c r="H1620" s="237"/>
    </row>
    <row r="1621" spans="1:8" ht="15.75" customHeight="1" x14ac:dyDescent="0.3">
      <c r="A1621" s="233"/>
      <c r="B1621" s="233"/>
      <c r="C1621" s="233"/>
      <c r="D1621" s="234"/>
      <c r="E1621" s="233"/>
      <c r="F1621" s="234"/>
      <c r="G1621" s="233"/>
      <c r="H1621" s="237"/>
    </row>
    <row r="1622" spans="1:8" ht="15.75" customHeight="1" x14ac:dyDescent="0.3">
      <c r="A1622" s="243" t="s">
        <v>33</v>
      </c>
      <c r="B1622" s="244" t="s">
        <v>6</v>
      </c>
      <c r="C1622" s="244"/>
      <c r="D1622" s="245" t="s">
        <v>37</v>
      </c>
      <c r="E1622" s="246" t="s">
        <v>38</v>
      </c>
      <c r="F1622" s="247" t="s">
        <v>7</v>
      </c>
      <c r="G1622" s="248" t="s">
        <v>43</v>
      </c>
      <c r="H1622" s="249" t="s">
        <v>44</v>
      </c>
    </row>
    <row r="1623" spans="1:8" ht="15.75" customHeight="1" x14ac:dyDescent="0.3">
      <c r="A1623" s="250"/>
      <c r="B1623" s="251"/>
      <c r="C1623" s="236"/>
      <c r="D1623" s="252"/>
      <c r="E1623" s="252"/>
      <c r="F1623" s="253"/>
      <c r="G1623" s="254"/>
      <c r="H1623" s="255"/>
    </row>
    <row r="1624" spans="1:8" ht="15.75" customHeight="1" x14ac:dyDescent="0.3">
      <c r="A1624" s="256"/>
      <c r="B1624" s="261"/>
      <c r="C1624" s="262"/>
      <c r="D1624" s="259"/>
      <c r="E1624" s="259"/>
      <c r="F1624" s="234"/>
      <c r="G1624" s="259"/>
      <c r="H1624" s="260"/>
    </row>
    <row r="1625" spans="1:8" ht="15.75" customHeight="1" x14ac:dyDescent="0.3">
      <c r="A1625" s="256" t="s">
        <v>55</v>
      </c>
      <c r="B1625" s="371" t="s">
        <v>960</v>
      </c>
      <c r="C1625" s="262" t="s">
        <v>961</v>
      </c>
      <c r="D1625" s="259">
        <v>5</v>
      </c>
      <c r="E1625" s="259">
        <v>24</v>
      </c>
      <c r="F1625" s="234">
        <f>+E1625*D1625</f>
      </c>
      <c r="G1625" s="259">
        <v>1</v>
      </c>
      <c r="H1625" s="260">
        <f>+G1625*F1625</f>
      </c>
    </row>
    <row r="1626" spans="1:8" ht="15.75" customHeight="1" x14ac:dyDescent="0.3">
      <c r="A1626" s="256"/>
      <c r="B1626" s="371"/>
      <c r="C1626" s="372"/>
      <c r="D1626" s="259"/>
      <c r="E1626" s="259"/>
      <c r="F1626" s="234"/>
      <c r="G1626" s="259"/>
      <c r="H1626" s="260"/>
    </row>
    <row r="1627" spans="1:8" ht="15.75" customHeight="1" x14ac:dyDescent="0.3">
      <c r="A1627" s="256"/>
      <c r="B1627" s="371"/>
      <c r="C1627" s="262"/>
      <c r="D1627" s="259"/>
      <c r="E1627" s="259"/>
      <c r="F1627" s="234"/>
      <c r="G1627" s="259"/>
      <c r="H1627" s="260"/>
    </row>
    <row r="1628" spans="1:8" ht="15.75" customHeight="1" x14ac:dyDescent="0.3">
      <c r="A1628" s="256"/>
      <c r="B1628" s="371"/>
      <c r="C1628" s="372"/>
      <c r="D1628" s="259"/>
      <c r="E1628" s="259"/>
      <c r="F1628" s="234"/>
      <c r="G1628" s="259"/>
      <c r="H1628" s="260"/>
    </row>
    <row r="1629" spans="1:8" ht="15.75" customHeight="1" x14ac:dyDescent="0.3">
      <c r="A1629" s="256"/>
      <c r="B1629" s="371"/>
      <c r="C1629" s="372"/>
      <c r="D1629" s="259"/>
      <c r="E1629" s="259"/>
      <c r="F1629" s="234"/>
      <c r="G1629" s="259"/>
      <c r="H1629" s="260"/>
    </row>
    <row r="1630" spans="1:8" ht="15.75" customHeight="1" x14ac:dyDescent="0.3">
      <c r="A1630" s="256"/>
      <c r="B1630" s="371"/>
      <c r="C1630" s="372"/>
      <c r="D1630" s="259"/>
      <c r="E1630" s="259"/>
      <c r="F1630" s="234"/>
      <c r="G1630" s="259"/>
      <c r="H1630" s="260"/>
    </row>
    <row r="1631" spans="1:8" ht="15.75" customHeight="1" x14ac:dyDescent="0.3">
      <c r="A1631" s="256"/>
      <c r="B1631" s="261"/>
      <c r="C1631" s="233"/>
      <c r="D1631" s="259"/>
      <c r="E1631" s="259"/>
      <c r="F1631" s="234"/>
      <c r="G1631" s="259"/>
      <c r="H1631" s="260"/>
    </row>
    <row r="1632" spans="1:8" ht="15.75" customHeight="1" x14ac:dyDescent="0.3">
      <c r="A1632" s="256"/>
      <c r="B1632" s="264"/>
      <c r="C1632" s="233"/>
      <c r="D1632" s="259"/>
      <c r="E1632" s="259"/>
      <c r="F1632" s="234"/>
      <c r="G1632" s="259"/>
      <c r="H1632" s="260"/>
    </row>
    <row r="1633" spans="1:8" ht="15.75" customHeight="1" x14ac:dyDescent="0.3">
      <c r="A1633" s="265"/>
      <c r="B1633" s="253"/>
      <c r="C1633" s="236"/>
      <c r="D1633" s="259"/>
      <c r="E1633" s="259"/>
      <c r="F1633" s="266"/>
      <c r="G1633" s="267"/>
      <c r="H1633" s="260"/>
    </row>
    <row r="1634" spans="1:8" ht="15.75" customHeight="1" x14ac:dyDescent="0.3">
      <c r="A1634" s="268"/>
      <c r="B1634" s="269"/>
      <c r="C1634" s="270" t="s">
        <v>85</v>
      </c>
      <c r="D1634" s="271">
        <f>SUM(D1624:D1633)</f>
      </c>
      <c r="E1634" s="271"/>
      <c r="F1634" s="272"/>
      <c r="G1634" s="273"/>
      <c r="H1634" s="274">
        <f>SUM(H1625:H1633)</f>
      </c>
    </row>
    <row r="1635" spans="1:8" ht="15.75" customHeight="1" x14ac:dyDescent="0.3">
      <c r="A1635" s="275"/>
      <c r="B1635" s="276"/>
      <c r="C1635" s="276"/>
      <c r="D1635" s="277"/>
      <c r="E1635" s="276"/>
      <c r="F1635" s="278"/>
      <c r="G1635" s="279"/>
      <c r="H1635" s="280"/>
    </row>
    <row r="1636" spans="1:8" ht="15.75" customHeight="1" x14ac:dyDescent="0.3">
      <c r="A1636" s="235"/>
      <c r="B1636" s="234"/>
      <c r="C1636" s="234"/>
      <c r="D1636" s="234"/>
      <c r="E1636" s="233"/>
      <c r="F1636" s="235"/>
      <c r="G1636" s="233"/>
      <c r="H1636" s="237"/>
    </row>
    <row r="1637" spans="1:8" ht="15.75" customHeight="1" x14ac:dyDescent="0.3">
      <c r="A1637" s="281"/>
      <c r="B1637" s="281"/>
      <c r="C1637" s="281"/>
      <c r="D1637" s="282" t="s">
        <v>97</v>
      </c>
      <c r="E1637" s="281" t="s">
        <v>98</v>
      </c>
      <c r="F1637" s="281"/>
      <c r="G1637" s="233"/>
      <c r="H1637" s="237"/>
    </row>
    <row r="1638" spans="1:8" ht="15.75" customHeight="1" x14ac:dyDescent="0.3">
      <c r="A1638" s="233"/>
      <c r="B1638" s="233"/>
      <c r="C1638" s="233"/>
      <c r="D1638" s="234"/>
      <c r="E1638" s="233"/>
      <c r="F1638" s="233"/>
      <c r="G1638" s="233"/>
      <c r="H1638" s="237"/>
    </row>
    <row r="1639" spans="1:8" ht="15.75" customHeight="1" x14ac:dyDescent="0.3">
      <c r="A1639" s="233"/>
      <c r="B1639" s="233"/>
      <c r="C1639" s="233"/>
      <c r="D1639" s="234"/>
      <c r="E1639" s="233"/>
      <c r="F1639" s="233"/>
      <c r="G1639" s="233"/>
      <c r="H1639" s="237"/>
    </row>
    <row r="1640" spans="1:8" ht="15.75" customHeight="1" x14ac:dyDescent="0.3">
      <c r="A1640" s="281"/>
      <c r="B1640" s="281"/>
      <c r="C1640" s="281"/>
      <c r="D1640" s="282"/>
      <c r="E1640" s="281" t="s">
        <v>99</v>
      </c>
      <c r="F1640" s="281"/>
      <c r="G1640" s="233"/>
      <c r="H1640" s="237"/>
    </row>
    <row r="1641" spans="1:8" ht="15.75" customHeight="1" x14ac:dyDescent="0.25">
      <c r="D1641" s="4"/>
      <c r="H1641" s="4"/>
    </row>
    <row r="1642" spans="1:8" ht="15.75" customHeight="1" x14ac:dyDescent="0.25">
      <c r="D1642" s="4"/>
      <c r="H1642" s="4"/>
    </row>
    <row r="1643" spans="1:8" ht="15.75" customHeight="1" x14ac:dyDescent="0.25">
      <c r="D1643" s="4"/>
      <c r="H1643" s="4"/>
    </row>
    <row r="1644" spans="1:8" ht="15.75" customHeight="1" x14ac:dyDescent="0.25">
      <c r="D1644" s="4"/>
      <c r="H1644" s="4"/>
    </row>
    <row r="1645" spans="1:8" ht="15.75" customHeight="1" x14ac:dyDescent="0.25">
      <c r="D1645" s="4"/>
      <c r="H1645" s="4"/>
    </row>
    <row r="1646" spans="1:8" ht="15.75" customHeight="1" x14ac:dyDescent="0.25">
      <c r="D1646" s="4"/>
      <c r="H1646" s="4"/>
    </row>
    <row r="1647" spans="1:8" ht="15.75" customHeight="1" x14ac:dyDescent="0.25">
      <c r="D1647" s="4"/>
      <c r="H1647" s="4"/>
    </row>
    <row r="1648" spans="1:8" ht="15.75" customHeight="1" x14ac:dyDescent="0.25">
      <c r="A1648" s="8" t="s">
        <v>14</v>
      </c>
      <c r="B1648" s="8"/>
      <c r="C1648" s="8"/>
      <c r="D1648" s="8"/>
      <c r="E1648" s="8"/>
      <c r="F1648" s="8"/>
      <c r="G1648" s="8"/>
      <c r="H1648" s="8"/>
    </row>
    <row r="1649" spans="1:20" ht="15.75" customHeight="1" x14ac:dyDescent="0.25">
      <c r="A1649" s="388"/>
      <c r="B1649" s="388"/>
      <c r="C1649" s="388"/>
      <c r="D1649" s="389"/>
      <c r="E1649" s="388"/>
      <c r="F1649" s="388"/>
      <c r="G1649" s="388"/>
      <c r="H1649" s="8"/>
      <c r="I1649" s="390"/>
      <c r="J1649" s="390"/>
      <c r="K1649" s="390"/>
      <c r="L1649" s="390"/>
      <c r="M1649" s="390"/>
      <c r="N1649" s="390"/>
      <c r="O1649" s="390"/>
      <c r="P1649" s="390"/>
      <c r="Q1649" s="390"/>
      <c r="R1649" s="390"/>
      <c r="S1649" s="390"/>
      <c r="T1649" s="390"/>
    </row>
    <row r="1650" spans="1:20" ht="15.75" customHeight="1" x14ac:dyDescent="0.25">
      <c r="A1650" s="390"/>
      <c r="B1650" s="390"/>
      <c r="C1650" s="391"/>
      <c r="D1650" s="392"/>
      <c r="E1650" s="393"/>
      <c r="F1650" s="393"/>
      <c r="G1650" s="393"/>
      <c r="H1650" s="394"/>
      <c r="I1650" s="390"/>
      <c r="J1650" s="390"/>
      <c r="K1650" s="390"/>
      <c r="L1650" s="390"/>
      <c r="M1650" s="390"/>
      <c r="N1650" s="390"/>
      <c r="O1650" s="390"/>
      <c r="P1650" s="390"/>
      <c r="Q1650" s="390"/>
      <c r="R1650" s="390"/>
      <c r="S1650" s="390"/>
      <c r="T1650" s="390"/>
    </row>
    <row r="1651" spans="1:20" ht="15.75" customHeight="1" x14ac:dyDescent="0.25">
      <c r="A1651" s="390"/>
      <c r="B1651" s="390"/>
      <c r="C1651" s="390"/>
      <c r="D1651" s="391"/>
      <c r="E1651" s="390"/>
      <c r="F1651" s="395" t="s">
        <v>18</v>
      </c>
      <c r="G1651" s="396" t="s">
        <v>580</v>
      </c>
      <c r="H1651" s="397"/>
      <c r="I1651" s="390"/>
      <c r="J1651" s="390"/>
      <c r="K1651" s="390"/>
      <c r="L1651" s="390"/>
      <c r="M1651" s="390"/>
      <c r="N1651" s="390"/>
      <c r="O1651" s="390"/>
      <c r="P1651" s="390"/>
      <c r="Q1651" s="390"/>
      <c r="R1651" s="390"/>
      <c r="S1651" s="390"/>
      <c r="T1651" s="390"/>
    </row>
    <row r="1652" spans="1:20" ht="15.75" customHeight="1" x14ac:dyDescent="0.25">
      <c r="A1652" s="390" t="s">
        <v>20</v>
      </c>
      <c r="B1652" s="390"/>
      <c r="C1652" s="390"/>
      <c r="D1652" s="391"/>
      <c r="E1652" s="390"/>
      <c r="F1652" s="395" t="s">
        <v>21</v>
      </c>
      <c r="G1652" s="390" t="s">
        <v>969</v>
      </c>
      <c r="H1652" s="391"/>
      <c r="I1652" s="390"/>
      <c r="J1652" s="390"/>
      <c r="K1652" s="390"/>
      <c r="L1652" s="390"/>
      <c r="M1652" s="390"/>
      <c r="N1652" s="390"/>
      <c r="O1652" s="390"/>
      <c r="P1652" s="390"/>
      <c r="Q1652" s="390"/>
      <c r="R1652" s="390"/>
      <c r="S1652" s="390"/>
      <c r="T1652" s="390"/>
    </row>
    <row r="1653" spans="1:20" ht="15.75" customHeight="1" x14ac:dyDescent="0.25">
      <c r="A1653" s="390" t="inlineStr">
        <is>
          <t>Dealer-004</t>
        </is>
      </c>
      <c r="B1653" s="390"/>
      <c r="C1653" s="390"/>
      <c r="D1653" s="398"/>
      <c r="E1653" s="390"/>
      <c r="F1653" s="391"/>
      <c r="G1653" s="390"/>
      <c r="H1653" s="394"/>
      <c r="I1653" s="390"/>
      <c r="J1653" s="390"/>
      <c r="K1653" s="390"/>
      <c r="L1653" s="390"/>
      <c r="M1653" s="390"/>
      <c r="N1653" s="390"/>
      <c r="O1653" s="390"/>
      <c r="P1653" s="390"/>
      <c r="Q1653" s="390"/>
      <c r="R1653" s="390"/>
      <c r="S1653" s="390"/>
      <c r="T1653" s="390"/>
    </row>
    <row r="1654" spans="1:20" ht="15.75" customHeight="1" x14ac:dyDescent="0.25">
      <c r="A1654" s="390" t="inlineStr">
        <is>
          <t>Address line (redacted)</t>
        </is>
      </c>
      <c r="B1654" s="390"/>
      <c r="C1654" s="390"/>
      <c r="D1654" s="398"/>
      <c r="E1654" s="390"/>
      <c r="F1654" s="391"/>
      <c r="G1654" s="390"/>
      <c r="H1654" s="394"/>
      <c r="I1654" s="390"/>
      <c r="J1654" s="390"/>
      <c r="K1654" s="390"/>
      <c r="L1654" s="390"/>
      <c r="M1654" s="390"/>
      <c r="N1654" s="390"/>
      <c r="O1654" s="390"/>
      <c r="P1654" s="390"/>
      <c r="Q1654" s="390"/>
      <c r="R1654" s="390"/>
      <c r="S1654" s="390"/>
      <c r="T1654" s="390"/>
    </row>
    <row r="1655" spans="1:20" ht="15.75" customHeight="1" x14ac:dyDescent="0.25">
      <c r="A1655" s="390" t="inlineStr">
        <is>
          <t>Address line (redacted)</t>
        </is>
      </c>
      <c r="B1655" s="390"/>
      <c r="C1655" s="390"/>
      <c r="D1655" s="391"/>
      <c r="E1655" s="390"/>
      <c r="F1655" s="391"/>
      <c r="G1655" s="390"/>
      <c r="H1655" s="394"/>
      <c r="I1655" s="390"/>
      <c r="J1655" s="390"/>
      <c r="K1655" s="390"/>
      <c r="L1655" s="390"/>
      <c r="M1655" s="390"/>
      <c r="N1655" s="390"/>
      <c r="O1655" s="390"/>
      <c r="P1655" s="390"/>
      <c r="Q1655" s="390"/>
      <c r="R1655" s="390"/>
      <c r="S1655" s="390"/>
      <c r="T1655" s="390"/>
    </row>
    <row r="1656" spans="1:20" ht="15.75" customHeight="1" x14ac:dyDescent="0.25">
      <c r="A1656" s="390"/>
      <c r="B1656" s="390"/>
      <c r="C1656" s="390"/>
      <c r="D1656" s="391"/>
      <c r="E1656" s="390"/>
      <c r="F1656" s="391"/>
      <c r="G1656" s="390"/>
      <c r="H1656" s="394"/>
      <c r="I1656" s="390"/>
      <c r="J1656" s="390"/>
      <c r="K1656" s="390"/>
      <c r="L1656" s="390"/>
      <c r="M1656" s="390"/>
      <c r="N1656" s="390"/>
      <c r="O1656" s="390"/>
      <c r="P1656" s="390"/>
      <c r="Q1656" s="390"/>
      <c r="R1656" s="390"/>
      <c r="S1656" s="390"/>
      <c r="T1656" s="390"/>
    </row>
    <row r="1657" spans="1:20" ht="15.75" customHeight="1" x14ac:dyDescent="0.25">
      <c r="A1657" s="390" t="s">
        <v>30</v>
      </c>
      <c r="B1657" s="390"/>
      <c r="C1657" s="390"/>
      <c r="D1657" s="391"/>
      <c r="E1657" s="390"/>
      <c r="F1657" s="391"/>
      <c r="G1657" s="390"/>
      <c r="H1657" s="394"/>
      <c r="I1657" s="390"/>
      <c r="J1657" s="390"/>
      <c r="K1657" s="390"/>
      <c r="L1657" s="390"/>
      <c r="M1657" s="390"/>
      <c r="N1657" s="390"/>
      <c r="O1657" s="390"/>
      <c r="P1657" s="390"/>
      <c r="Q1657" s="390"/>
      <c r="R1657" s="390"/>
      <c r="S1657" s="390"/>
      <c r="T1657" s="390"/>
    </row>
    <row r="1658" spans="1:20" ht="15.75" customHeight="1" x14ac:dyDescent="0.25">
      <c r="A1658" s="390"/>
      <c r="B1658" s="390"/>
      <c r="C1658" s="390"/>
      <c r="D1658" s="391"/>
      <c r="E1658" s="390"/>
      <c r="F1658" s="391"/>
      <c r="G1658" s="390"/>
      <c r="H1658" s="394"/>
      <c r="I1658" s="390"/>
      <c r="J1658" s="390"/>
      <c r="K1658" s="390"/>
      <c r="L1658" s="390"/>
      <c r="M1658" s="390"/>
      <c r="N1658" s="390"/>
      <c r="O1658" s="390"/>
      <c r="P1658" s="390"/>
      <c r="Q1658" s="390"/>
      <c r="R1658" s="390"/>
      <c r="S1658" s="390"/>
      <c r="T1658" s="390"/>
    </row>
    <row r="1659" spans="1:20" ht="15.75" customHeight="1" x14ac:dyDescent="0.25">
      <c r="A1659" s="390" t="s">
        <v>716</v>
      </c>
      <c r="B1659" s="390"/>
      <c r="C1659" s="390"/>
      <c r="D1659" s="391"/>
      <c r="E1659" s="390"/>
      <c r="F1659" s="391"/>
      <c r="G1659" s="390"/>
      <c r="H1659" s="394"/>
      <c r="I1659" s="390"/>
      <c r="J1659" s="390"/>
      <c r="K1659" s="390"/>
      <c r="L1659" s="390"/>
      <c r="M1659" s="390"/>
      <c r="N1659" s="390"/>
      <c r="O1659" s="390"/>
      <c r="P1659" s="390"/>
      <c r="Q1659" s="390"/>
      <c r="R1659" s="390"/>
      <c r="S1659" s="390"/>
      <c r="T1659" s="390"/>
    </row>
    <row r="1660" spans="1:20" ht="15.75" customHeight="1" x14ac:dyDescent="0.25">
      <c r="A1660" s="390" t="s">
        <v>717</v>
      </c>
      <c r="B1660" s="390"/>
      <c r="C1660" s="390"/>
      <c r="D1660" s="391"/>
      <c r="E1660" s="390"/>
      <c r="F1660" s="391"/>
      <c r="G1660" s="390"/>
      <c r="H1660" s="394"/>
      <c r="I1660" s="390"/>
      <c r="J1660" s="390"/>
      <c r="K1660" s="390"/>
      <c r="L1660" s="390"/>
      <c r="M1660" s="390"/>
      <c r="N1660" s="390"/>
      <c r="O1660" s="390"/>
      <c r="P1660" s="390"/>
      <c r="Q1660" s="390"/>
      <c r="R1660" s="390"/>
      <c r="S1660" s="390"/>
      <c r="T1660" s="390"/>
    </row>
    <row r="1661" spans="1:20" ht="15.75" customHeight="1" x14ac:dyDescent="0.25">
      <c r="A1661" s="390"/>
      <c r="B1661" s="390"/>
      <c r="C1661" s="390"/>
      <c r="D1661" s="391"/>
      <c r="E1661" s="390"/>
      <c r="F1661" s="391"/>
      <c r="G1661" s="390"/>
      <c r="H1661" s="394"/>
      <c r="I1661" s="390"/>
      <c r="J1661" s="390"/>
      <c r="K1661" s="390"/>
      <c r="L1661" s="390"/>
      <c r="M1661" s="390"/>
      <c r="N1661" s="390"/>
      <c r="O1661" s="390"/>
      <c r="P1661" s="390"/>
      <c r="Q1661" s="390"/>
      <c r="R1661" s="390"/>
      <c r="S1661" s="390"/>
      <c r="T1661" s="390"/>
    </row>
    <row r="1662" spans="1:20" ht="15.75" customHeight="1" x14ac:dyDescent="0.25">
      <c r="A1662" s="399" t="s">
        <v>33</v>
      </c>
      <c r="B1662" s="400" t="s">
        <v>6</v>
      </c>
      <c r="C1662" s="400"/>
      <c r="D1662" s="401" t="s">
        <v>37</v>
      </c>
      <c r="E1662" s="402" t="s">
        <v>38</v>
      </c>
      <c r="F1662" s="403" t="s">
        <v>7</v>
      </c>
      <c r="G1662" s="404" t="s">
        <v>43</v>
      </c>
      <c r="H1662" s="405" t="s">
        <v>44</v>
      </c>
      <c r="I1662" s="390"/>
      <c r="J1662" s="390"/>
      <c r="K1662" s="390"/>
      <c r="L1662" s="390"/>
      <c r="M1662" s="390"/>
      <c r="N1662" s="390"/>
      <c r="O1662" s="390"/>
      <c r="P1662" s="390"/>
      <c r="Q1662" s="390"/>
      <c r="R1662" s="390"/>
      <c r="S1662" s="390"/>
      <c r="T1662" s="390"/>
    </row>
    <row r="1663" spans="1:20" ht="15.75" customHeight="1" x14ac:dyDescent="0.25">
      <c r="A1663" s="406"/>
      <c r="B1663" s="407"/>
      <c r="C1663" s="393"/>
      <c r="D1663" s="408"/>
      <c r="E1663" s="408"/>
      <c r="F1663" s="409"/>
      <c r="G1663" s="410"/>
      <c r="H1663" s="411"/>
      <c r="I1663" s="390"/>
      <c r="J1663" s="390"/>
      <c r="K1663" s="390"/>
      <c r="L1663" s="390"/>
      <c r="M1663" s="390"/>
      <c r="N1663" s="390"/>
      <c r="O1663" s="390"/>
      <c r="P1663" s="390"/>
      <c r="Q1663" s="390"/>
      <c r="R1663" s="390"/>
      <c r="S1663" s="390"/>
      <c r="T1663" s="390"/>
    </row>
    <row r="1664" spans="1:20" ht="15.75" customHeight="1" x14ac:dyDescent="0.25">
      <c r="A1664" s="412"/>
      <c r="B1664" s="413" t="s">
        <v>674</v>
      </c>
      <c r="C1664" s="414"/>
      <c r="D1664" s="415"/>
      <c r="E1664" s="415"/>
      <c r="F1664" s="415"/>
      <c r="G1664" s="415"/>
      <c r="H1664" s="416"/>
      <c r="I1664" s="390"/>
      <c r="J1664" s="390"/>
      <c r="K1664" s="390"/>
      <c r="L1664" s="390"/>
      <c r="M1664" s="390"/>
      <c r="N1664" s="390"/>
      <c r="O1664" s="390"/>
      <c r="P1664" s="390"/>
      <c r="Q1664" s="390"/>
      <c r="R1664" s="390"/>
      <c r="S1664" s="390"/>
      <c r="T1664" s="390"/>
    </row>
    <row r="1665" spans="1:20" ht="15.75" customHeight="1" x14ac:dyDescent="0.25">
      <c r="A1665" s="412" t="s">
        <v>55</v>
      </c>
      <c r="B1665" s="417" t="s">
        <v>907</v>
      </c>
      <c r="C1665" s="418"/>
      <c r="D1665" s="415">
        <v>28</v>
      </c>
      <c r="E1665" s="415">
        <v>1</v>
      </c>
      <c r="F1665" s="415">
        <f>+E1665*D1665</f>
      </c>
      <c r="G1665" s="415">
        <v>1</v>
      </c>
      <c r="H1665" s="416">
        <f>+G1665*F1665</f>
      </c>
      <c r="I1665" s="390"/>
      <c r="J1665" s="390"/>
      <c r="K1665" s="390"/>
      <c r="L1665" s="390"/>
      <c r="M1665" s="390"/>
      <c r="N1665" s="390"/>
      <c r="O1665" s="390"/>
      <c r="P1665" s="390"/>
      <c r="Q1665" s="390"/>
      <c r="R1665" s="390"/>
      <c r="S1665" s="390"/>
      <c r="T1665" s="390"/>
    </row>
    <row r="1666" spans="1:20" ht="15.75" customHeight="1" x14ac:dyDescent="0.25">
      <c r="A1666" s="412"/>
      <c r="B1666" s="419"/>
      <c r="C1666" s="418"/>
      <c r="D1666" s="415"/>
      <c r="E1666" s="415"/>
      <c r="F1666" s="415"/>
      <c r="G1666" s="415"/>
      <c r="H1666" s="416"/>
      <c r="I1666" s="390"/>
      <c r="J1666" s="390"/>
      <c r="K1666" s="390"/>
      <c r="L1666" s="390"/>
      <c r="M1666" s="390"/>
      <c r="N1666" s="390"/>
      <c r="O1666" s="390"/>
      <c r="P1666" s="390"/>
      <c r="Q1666" s="390"/>
      <c r="R1666" s="390"/>
      <c r="S1666" s="390"/>
      <c r="T1666" s="390"/>
    </row>
    <row r="1667" spans="1:20" ht="15.75" customHeight="1" x14ac:dyDescent="0.25">
      <c r="A1667" s="420"/>
      <c r="B1667" s="422" t="s">
        <v>51</v>
      </c>
      <c r="C1667" s="422"/>
      <c r="D1667" s="415"/>
      <c r="E1667" s="415"/>
      <c r="F1667" s="415"/>
      <c r="G1667" s="415"/>
      <c r="H1667" s="424"/>
      <c r="I1667" s="390"/>
      <c r="J1667" s="390"/>
      <c r="K1667" s="390"/>
      <c r="L1667" s="390"/>
      <c r="M1667" s="390"/>
      <c r="N1667" s="390"/>
      <c r="O1667" s="390"/>
      <c r="P1667" s="390"/>
      <c r="Q1667" s="390"/>
      <c r="R1667" s="390"/>
      <c r="S1667" s="390"/>
      <c r="T1667" s="390"/>
    </row>
    <row r="1668" spans="1:20" ht="15.75" customHeight="1" x14ac:dyDescent="0.25">
      <c r="A1668" s="420" t="s">
        <v>59</v>
      </c>
      <c r="B1668" s="417" t="s">
        <v>988</v>
      </c>
      <c r="C1668" s="418" t="s">
        <v>376</v>
      </c>
      <c r="D1668" s="415">
        <v>2</v>
      </c>
      <c r="E1668" s="415">
        <v>6</v>
      </c>
      <c r="F1668" s="415">
        <f>+E1668*D1668</f>
      </c>
      <c r="G1668" s="415">
        <v>1</v>
      </c>
      <c r="H1668" s="424">
        <f>+G1668*F1668</f>
      </c>
      <c r="I1668" s="390"/>
      <c r="J1668" s="390"/>
      <c r="K1668" s="390"/>
      <c r="L1668" s="390"/>
      <c r="M1668" s="390"/>
      <c r="N1668" s="390"/>
      <c r="O1668" s="390"/>
      <c r="P1668" s="390"/>
      <c r="Q1668" s="390"/>
      <c r="R1668" s="390"/>
      <c r="S1668" s="390"/>
      <c r="T1668" s="390"/>
    </row>
    <row r="1669" spans="1:20" ht="15.75" customHeight="1" x14ac:dyDescent="0.25">
      <c r="A1669" s="425"/>
      <c r="B1669" s="426"/>
      <c r="C1669" s="390"/>
      <c r="D1669" s="427"/>
      <c r="E1669" s="427"/>
      <c r="F1669" s="428"/>
      <c r="G1669" s="427"/>
      <c r="H1669" s="429"/>
      <c r="I1669" s="390"/>
      <c r="J1669" s="390"/>
      <c r="K1669" s="390"/>
      <c r="L1669" s="390"/>
      <c r="M1669" s="390"/>
      <c r="N1669" s="390"/>
      <c r="O1669" s="390"/>
      <c r="P1669" s="390"/>
      <c r="Q1669" s="390"/>
      <c r="R1669" s="390"/>
      <c r="S1669" s="390"/>
      <c r="T1669" s="390"/>
    </row>
    <row r="1670" spans="1:20" ht="15.75" customHeight="1" x14ac:dyDescent="0.25">
      <c r="A1670" s="425"/>
      <c r="B1670" s="426"/>
      <c r="C1670" s="390"/>
      <c r="D1670" s="427"/>
      <c r="E1670" s="427"/>
      <c r="F1670" s="428"/>
      <c r="G1670" s="427"/>
      <c r="H1670" s="429"/>
      <c r="I1670" s="390"/>
      <c r="J1670" s="390"/>
      <c r="K1670" s="390"/>
      <c r="L1670" s="390"/>
      <c r="M1670" s="390"/>
      <c r="N1670" s="390"/>
      <c r="O1670" s="390"/>
      <c r="P1670" s="390"/>
      <c r="Q1670" s="390"/>
      <c r="R1670" s="390"/>
      <c r="S1670" s="390"/>
      <c r="T1670" s="390"/>
    </row>
    <row r="1671" spans="1:20" ht="15.75" customHeight="1" x14ac:dyDescent="0.25">
      <c r="A1671" s="425"/>
      <c r="B1671" s="426"/>
      <c r="C1671" s="390"/>
      <c r="D1671" s="427"/>
      <c r="E1671" s="427"/>
      <c r="F1671" s="428"/>
      <c r="G1671" s="427"/>
      <c r="H1671" s="429"/>
      <c r="I1671" s="390"/>
      <c r="J1671" s="390"/>
      <c r="K1671" s="390"/>
      <c r="L1671" s="390"/>
      <c r="M1671" s="390"/>
      <c r="N1671" s="390"/>
      <c r="O1671" s="390"/>
      <c r="P1671" s="390"/>
      <c r="Q1671" s="390"/>
      <c r="R1671" s="390"/>
      <c r="S1671" s="390"/>
      <c r="T1671" s="390"/>
    </row>
    <row r="1672" spans="1:20" ht="15.75" customHeight="1" x14ac:dyDescent="0.25">
      <c r="A1672" s="425"/>
      <c r="B1672" s="426"/>
      <c r="C1672" s="390"/>
      <c r="D1672" s="427"/>
      <c r="E1672" s="427"/>
      <c r="F1672" s="428"/>
      <c r="G1672" s="427"/>
      <c r="H1672" s="429"/>
      <c r="I1672" s="390"/>
      <c r="J1672" s="390"/>
      <c r="K1672" s="390"/>
      <c r="L1672" s="390"/>
      <c r="M1672" s="390"/>
      <c r="N1672" s="390"/>
      <c r="O1672" s="390"/>
      <c r="P1672" s="390"/>
      <c r="Q1672" s="390"/>
      <c r="R1672" s="390"/>
      <c r="S1672" s="390"/>
      <c r="T1672" s="390"/>
    </row>
    <row r="1673" spans="1:20" ht="15.75" customHeight="1" x14ac:dyDescent="0.25">
      <c r="A1673" s="430"/>
      <c r="B1673" s="409"/>
      <c r="C1673" s="393"/>
      <c r="D1673" s="427"/>
      <c r="E1673" s="427"/>
      <c r="F1673" s="428"/>
      <c r="G1673" s="431"/>
      <c r="H1673" s="429"/>
      <c r="I1673" s="390"/>
      <c r="J1673" s="390"/>
      <c r="K1673" s="390"/>
      <c r="L1673" s="390"/>
      <c r="M1673" s="390"/>
      <c r="N1673" s="390"/>
      <c r="O1673" s="390"/>
      <c r="P1673" s="390"/>
      <c r="Q1673" s="390"/>
      <c r="R1673" s="390"/>
      <c r="S1673" s="390"/>
      <c r="T1673" s="390"/>
    </row>
    <row r="1674" spans="1:20" ht="15.75" customHeight="1" x14ac:dyDescent="0.25">
      <c r="A1674" s="432"/>
      <c r="B1674" s="433"/>
      <c r="C1674" s="434" t="s">
        <v>85</v>
      </c>
      <c r="D1674" s="435">
        <f>SUM(D1664:D1673)</f>
      </c>
      <c r="E1674" s="435"/>
      <c r="F1674" s="436"/>
      <c r="G1674" s="437"/>
      <c r="H1674" s="438">
        <f>SUM(H1665:H1673)</f>
      </c>
      <c r="I1674" s="390"/>
      <c r="J1674" s="390"/>
      <c r="K1674" s="390"/>
      <c r="L1674" s="390"/>
      <c r="M1674" s="390"/>
      <c r="N1674" s="390"/>
      <c r="O1674" s="390"/>
      <c r="P1674" s="390"/>
      <c r="Q1674" s="390"/>
      <c r="R1674" s="390"/>
      <c r="S1674" s="390"/>
      <c r="T1674" s="390"/>
    </row>
    <row r="1675" spans="1:20" ht="15.75" customHeight="1" x14ac:dyDescent="0.25">
      <c r="A1675" s="439"/>
      <c r="B1675" s="440"/>
      <c r="C1675" s="440"/>
      <c r="D1675" s="441"/>
      <c r="E1675" s="440"/>
      <c r="F1675" s="442"/>
      <c r="G1675" s="443"/>
      <c r="H1675" s="444"/>
      <c r="I1675" s="390"/>
      <c r="J1675" s="390"/>
      <c r="K1675" s="390"/>
      <c r="L1675" s="390"/>
      <c r="M1675" s="390"/>
      <c r="N1675" s="390"/>
      <c r="O1675" s="390"/>
      <c r="P1675" s="390"/>
      <c r="Q1675" s="390"/>
      <c r="R1675" s="390"/>
      <c r="S1675" s="390"/>
      <c r="T1675" s="390"/>
    </row>
    <row r="1676" spans="1:20" ht="15.75" customHeight="1" x14ac:dyDescent="0.25">
      <c r="A1676" s="392" t="s">
        <v>913</v>
      </c>
      <c r="B1676" s="391"/>
      <c r="C1676" s="391"/>
      <c r="D1676" s="391"/>
      <c r="E1676" s="390"/>
      <c r="F1676" s="392"/>
      <c r="G1676" s="390"/>
      <c r="H1676" s="394"/>
      <c r="I1676" s="390"/>
      <c r="J1676" s="390"/>
      <c r="K1676" s="390"/>
      <c r="L1676" s="390"/>
      <c r="M1676" s="390"/>
      <c r="N1676" s="390"/>
      <c r="O1676" s="390"/>
      <c r="P1676" s="390"/>
      <c r="Q1676" s="390"/>
      <c r="R1676" s="390"/>
      <c r="S1676" s="390"/>
      <c r="T1676" s="390"/>
    </row>
    <row r="1677" spans="1:20" ht="15.75" customHeight="1" x14ac:dyDescent="0.25">
      <c r="A1677" s="445"/>
      <c r="B1677" s="445"/>
      <c r="C1677" s="445"/>
      <c r="D1677" s="446" t="s">
        <v>97</v>
      </c>
      <c r="E1677" s="445" t="s">
        <v>98</v>
      </c>
      <c r="F1677" s="445"/>
      <c r="G1677" s="390"/>
      <c r="H1677" s="394"/>
      <c r="I1677" s="390"/>
      <c r="J1677" s="390"/>
      <c r="K1677" s="390"/>
      <c r="L1677" s="390"/>
      <c r="M1677" s="390"/>
      <c r="N1677" s="390"/>
      <c r="O1677" s="390"/>
      <c r="P1677" s="390"/>
      <c r="Q1677" s="390"/>
      <c r="R1677" s="390"/>
      <c r="S1677" s="390"/>
      <c r="T1677" s="390"/>
    </row>
    <row r="1678" spans="1:20" ht="15.75" customHeight="1" x14ac:dyDescent="0.25">
      <c r="A1678" s="390"/>
      <c r="B1678" s="390"/>
      <c r="C1678" s="390"/>
      <c r="D1678" s="391"/>
      <c r="E1678" s="390"/>
      <c r="F1678" s="390"/>
      <c r="G1678" s="390"/>
      <c r="H1678" s="394"/>
      <c r="I1678" s="390"/>
      <c r="J1678" s="390"/>
      <c r="K1678" s="390"/>
      <c r="L1678" s="390"/>
      <c r="M1678" s="390"/>
      <c r="N1678" s="390"/>
      <c r="O1678" s="390"/>
      <c r="P1678" s="390"/>
      <c r="Q1678" s="390"/>
      <c r="R1678" s="390"/>
      <c r="S1678" s="390"/>
      <c r="T1678" s="390"/>
    </row>
    <row r="1679" spans="1:20" ht="15.75" customHeight="1" x14ac:dyDescent="0.25">
      <c r="A1679" s="390"/>
      <c r="B1679" s="390"/>
      <c r="C1679" s="390"/>
      <c r="D1679" s="391"/>
      <c r="E1679" s="390"/>
      <c r="F1679" s="390"/>
      <c r="G1679" s="390"/>
      <c r="H1679" s="394"/>
      <c r="I1679" s="390"/>
      <c r="J1679" s="390"/>
      <c r="K1679" s="390"/>
      <c r="L1679" s="390"/>
      <c r="M1679" s="390"/>
      <c r="N1679" s="390"/>
      <c r="O1679" s="390"/>
      <c r="P1679" s="390"/>
      <c r="Q1679" s="390"/>
      <c r="R1679" s="390"/>
      <c r="S1679" s="390"/>
      <c r="T1679" s="390"/>
    </row>
    <row r="1680" spans="1:20" ht="15.75" customHeight="1" x14ac:dyDescent="0.25">
      <c r="A1680" s="445"/>
      <c r="B1680" s="445"/>
      <c r="C1680" s="445"/>
      <c r="D1680" s="446"/>
      <c r="E1680" s="445" t="s">
        <v>99</v>
      </c>
      <c r="F1680" s="445"/>
      <c r="G1680" s="390"/>
      <c r="H1680" s="394"/>
    </row>
    <row r="1681" spans="4:8" ht="15.75" customHeight="1" x14ac:dyDescent="0.25">
      <c r="D1681" s="4"/>
      <c r="H1681" s="4"/>
    </row>
    <row r="1682" spans="4:8" ht="15.75" customHeight="1" x14ac:dyDescent="0.25">
      <c r="D1682" s="4"/>
      <c r="H1682" s="4"/>
    </row>
    <row r="1683" spans="4:8" ht="15.75" customHeight="1" x14ac:dyDescent="0.25">
      <c r="D1683" s="4"/>
      <c r="H1683" s="4"/>
    </row>
    <row r="1684" spans="4:8" ht="15.75" customHeight="1" x14ac:dyDescent="0.25">
      <c r="D1684" s="4"/>
      <c r="H1684" s="4"/>
    </row>
    <row r="1685" spans="4:8" ht="15.75" customHeight="1" x14ac:dyDescent="0.25">
      <c r="D1685" s="4"/>
      <c r="H1685" s="4"/>
    </row>
    <row r="1686" spans="4:8" ht="15.75" customHeight="1" x14ac:dyDescent="0.25">
      <c r="D1686" s="4"/>
      <c r="H1686" s="4"/>
    </row>
    <row r="1687" spans="4:8" ht="15.75" customHeight="1" x14ac:dyDescent="0.25">
      <c r="D1687" s="4"/>
      <c r="H1687" s="4"/>
    </row>
    <row r="1688" spans="4:8" ht="15.75" customHeight="1" x14ac:dyDescent="0.25">
      <c r="D1688" s="4"/>
      <c r="H1688" s="4"/>
    </row>
    <row r="1689" spans="4:8" ht="15.75" customHeight="1" x14ac:dyDescent="0.25">
      <c r="D1689" s="4"/>
      <c r="H1689" s="4"/>
    </row>
    <row r="1690" spans="4:8" ht="15.75" customHeight="1" x14ac:dyDescent="0.25">
      <c r="D1690" s="4"/>
      <c r="H1690" s="4"/>
    </row>
    <row r="1691" spans="4:8" ht="15.75" customHeight="1" x14ac:dyDescent="0.25">
      <c r="D1691" s="4"/>
      <c r="H1691" s="4"/>
    </row>
    <row r="1692" spans="4:8" ht="15.75" customHeight="1" x14ac:dyDescent="0.25">
      <c r="D1692" s="4"/>
      <c r="H1692" s="4"/>
    </row>
    <row r="1693" spans="4:8" ht="15.75" customHeight="1" x14ac:dyDescent="0.25">
      <c r="D1693" s="4"/>
      <c r="H1693" s="4"/>
    </row>
    <row r="1694" spans="4:8" ht="15.75" customHeight="1" x14ac:dyDescent="0.25">
      <c r="D1694" s="4"/>
      <c r="H1694" s="4"/>
    </row>
    <row r="1695" spans="4:8" ht="15.75" customHeight="1" x14ac:dyDescent="0.25">
      <c r="D1695" s="4"/>
      <c r="H1695" s="4"/>
    </row>
    <row r="1696" spans="4:8" ht="15.75" customHeight="1" x14ac:dyDescent="0.25">
      <c r="D1696" s="4"/>
      <c r="H1696" s="4"/>
    </row>
    <row r="1697" spans="1:20" ht="15.75" customHeight="1" x14ac:dyDescent="0.25">
      <c r="D1697" s="4"/>
      <c r="H1697" s="4"/>
    </row>
    <row r="1698" spans="1:20" ht="15.75" customHeight="1" x14ac:dyDescent="0.25">
      <c r="D1698" s="4"/>
      <c r="H1698" s="4"/>
    </row>
    <row r="1699" spans="1:20" ht="15.75" customHeight="1" x14ac:dyDescent="0.25">
      <c r="D1699" s="4"/>
      <c r="H1699" s="4"/>
      <c r="I1699" s="390"/>
      <c r="J1699" s="390"/>
      <c r="K1699" s="390"/>
      <c r="L1699" s="390"/>
      <c r="M1699" s="390"/>
      <c r="N1699" s="390"/>
      <c r="O1699" s="390"/>
      <c r="P1699" s="390"/>
      <c r="Q1699" s="390"/>
      <c r="R1699" s="390"/>
      <c r="S1699" s="390"/>
      <c r="T1699" s="390"/>
    </row>
    <row r="1700" spans="1:20" ht="15.75" customHeight="1" x14ac:dyDescent="0.25">
      <c r="A1700" s="398" t="s">
        <v>14</v>
      </c>
      <c r="B1700" s="398"/>
      <c r="C1700" s="398"/>
      <c r="D1700" s="398"/>
      <c r="E1700" s="398"/>
      <c r="F1700" s="398"/>
      <c r="G1700" s="398"/>
      <c r="H1700" s="398"/>
      <c r="I1700" s="390"/>
      <c r="J1700" s="390"/>
      <c r="K1700" s="390"/>
      <c r="L1700" s="390"/>
      <c r="M1700" s="390"/>
      <c r="N1700" s="390"/>
      <c r="O1700" s="390"/>
      <c r="P1700" s="390"/>
      <c r="Q1700" s="390"/>
      <c r="R1700" s="390"/>
      <c r="S1700" s="390"/>
      <c r="T1700" s="390"/>
    </row>
    <row r="1701" spans="1:20" ht="15.75" customHeight="1" x14ac:dyDescent="0.25">
      <c r="A1701" s="390"/>
      <c r="B1701" s="390"/>
      <c r="C1701" s="390"/>
      <c r="D1701" s="391"/>
      <c r="E1701" s="390"/>
      <c r="F1701" s="390"/>
      <c r="G1701" s="390"/>
      <c r="H1701" s="398"/>
      <c r="I1701" s="390"/>
      <c r="J1701" s="390"/>
      <c r="K1701" s="390"/>
      <c r="L1701" s="390"/>
      <c r="M1701" s="390"/>
      <c r="N1701" s="390"/>
      <c r="O1701" s="390"/>
      <c r="P1701" s="390"/>
      <c r="Q1701" s="390"/>
      <c r="R1701" s="390"/>
      <c r="S1701" s="390"/>
      <c r="T1701" s="390"/>
    </row>
    <row r="1702" spans="1:20" ht="15.75" customHeight="1" x14ac:dyDescent="0.25">
      <c r="A1702" s="390"/>
      <c r="B1702" s="390"/>
      <c r="C1702" s="391"/>
      <c r="D1702" s="392"/>
      <c r="E1702" s="393"/>
      <c r="F1702" s="393"/>
      <c r="G1702" s="393"/>
      <c r="H1702" s="394"/>
      <c r="I1702" s="390"/>
      <c r="J1702" s="390"/>
      <c r="K1702" s="390"/>
      <c r="L1702" s="390"/>
      <c r="M1702" s="390"/>
      <c r="N1702" s="390"/>
      <c r="O1702" s="390"/>
      <c r="P1702" s="390"/>
      <c r="Q1702" s="390"/>
      <c r="R1702" s="390"/>
      <c r="S1702" s="390"/>
      <c r="T1702" s="390"/>
    </row>
    <row r="1703" spans="1:20" ht="15.75" customHeight="1" x14ac:dyDescent="0.25">
      <c r="A1703" s="390"/>
      <c r="B1703" s="390"/>
      <c r="C1703" s="390"/>
      <c r="D1703" s="391"/>
      <c r="E1703" s="390"/>
      <c r="F1703" s="395" t="s">
        <v>18</v>
      </c>
      <c r="G1703" s="396" t="s">
        <v>586</v>
      </c>
      <c r="H1703" s="397"/>
      <c r="I1703" s="390"/>
      <c r="J1703" s="390"/>
      <c r="K1703" s="390"/>
      <c r="L1703" s="390"/>
      <c r="M1703" s="390"/>
      <c r="N1703" s="390"/>
      <c r="O1703" s="390"/>
      <c r="P1703" s="390"/>
      <c r="Q1703" s="390"/>
      <c r="R1703" s="390"/>
      <c r="S1703" s="390"/>
      <c r="T1703" s="390"/>
    </row>
    <row r="1704" spans="1:20" ht="15.75" customHeight="1" x14ac:dyDescent="0.25">
      <c r="A1704" s="390" t="s">
        <v>20</v>
      </c>
      <c r="B1704" s="390"/>
      <c r="C1704" s="390"/>
      <c r="D1704" s="391"/>
      <c r="E1704" s="390"/>
      <c r="F1704" s="395" t="s">
        <v>21</v>
      </c>
      <c r="G1704" s="390" t="s">
        <v>1006</v>
      </c>
      <c r="H1704" s="391"/>
      <c r="I1704" s="390"/>
      <c r="J1704" s="390"/>
      <c r="K1704" s="390"/>
      <c r="L1704" s="390"/>
      <c r="M1704" s="390"/>
      <c r="N1704" s="390"/>
      <c r="O1704" s="390"/>
      <c r="P1704" s="390"/>
      <c r="Q1704" s="390"/>
      <c r="R1704" s="390"/>
      <c r="S1704" s="390"/>
      <c r="T1704" s="390"/>
    </row>
    <row r="1705" spans="1:20" ht="15.75" customHeight="1" x14ac:dyDescent="0.25">
      <c r="A1705" s="390" t="inlineStr">
        <is>
          <t>Dealer-002</t>
        </is>
      </c>
      <c r="B1705" s="390"/>
      <c r="C1705" s="390"/>
      <c r="D1705" s="391"/>
      <c r="E1705" s="395"/>
      <c r="F1705" s="390"/>
      <c r="G1705" s="390"/>
      <c r="H1705" s="394"/>
      <c r="I1705" s="390"/>
      <c r="J1705" s="390"/>
      <c r="K1705" s="390"/>
      <c r="L1705" s="390"/>
      <c r="M1705" s="390"/>
      <c r="N1705" s="390"/>
      <c r="O1705" s="390"/>
      <c r="P1705" s="390"/>
      <c r="Q1705" s="390"/>
      <c r="R1705" s="390"/>
      <c r="S1705" s="390"/>
      <c r="T1705" s="390"/>
    </row>
    <row r="1706" spans="1:20" ht="15.75" customHeight="1" x14ac:dyDescent="0.25">
      <c r="A1706" s="390" t="inlineStr">
        <is>
          <t>Address line (redacted)</t>
        </is>
      </c>
      <c r="B1706" s="390"/>
      <c r="C1706" s="390"/>
      <c r="D1706" s="398"/>
      <c r="E1706" s="390"/>
      <c r="F1706" s="391"/>
      <c r="G1706" s="390"/>
      <c r="H1706" s="394"/>
      <c r="I1706" s="390"/>
      <c r="J1706" s="390"/>
      <c r="K1706" s="390"/>
      <c r="L1706" s="390"/>
      <c r="M1706" s="390"/>
      <c r="N1706" s="390"/>
      <c r="O1706" s="390"/>
      <c r="P1706" s="390"/>
      <c r="Q1706" s="390"/>
      <c r="R1706" s="390"/>
      <c r="S1706" s="390"/>
      <c r="T1706" s="390"/>
    </row>
    <row r="1707" spans="1:20" ht="15.75" customHeight="1" x14ac:dyDescent="0.25">
      <c r="A1707" s="390" t="inlineStr">
        <is>
          <t>Address line (redacted)</t>
        </is>
      </c>
      <c r="B1707" s="390"/>
      <c r="C1707" s="390"/>
      <c r="D1707" s="398"/>
      <c r="E1707" s="390"/>
      <c r="F1707" s="391"/>
      <c r="G1707" s="390"/>
      <c r="H1707" s="394"/>
      <c r="I1707" s="390"/>
      <c r="J1707" s="390"/>
      <c r="K1707" s="390"/>
      <c r="L1707" s="390"/>
      <c r="M1707" s="390"/>
      <c r="N1707" s="390"/>
      <c r="O1707" s="390"/>
      <c r="P1707" s="390"/>
      <c r="Q1707" s="390"/>
      <c r="R1707" s="390"/>
      <c r="S1707" s="390"/>
      <c r="T1707" s="390"/>
    </row>
    <row r="1708" spans="1:20" ht="15.75" customHeight="1" x14ac:dyDescent="0.25">
      <c r="A1708" s="447"/>
      <c r="B1708" s="390"/>
      <c r="C1708" s="390"/>
      <c r="D1708" s="391"/>
      <c r="E1708" s="390"/>
      <c r="F1708" s="391"/>
      <c r="G1708" s="390"/>
      <c r="H1708" s="394"/>
      <c r="I1708" s="390"/>
      <c r="J1708" s="390"/>
      <c r="K1708" s="390"/>
      <c r="L1708" s="390"/>
      <c r="M1708" s="390"/>
      <c r="N1708" s="390"/>
      <c r="O1708" s="390"/>
      <c r="P1708" s="390"/>
      <c r="Q1708" s="390"/>
      <c r="R1708" s="390"/>
      <c r="S1708" s="390"/>
      <c r="T1708" s="390"/>
    </row>
    <row r="1709" spans="1:20" ht="15.75" customHeight="1" x14ac:dyDescent="0.25">
      <c r="A1709" s="390" t="s">
        <v>30</v>
      </c>
      <c r="B1709" s="390"/>
      <c r="C1709" s="390"/>
      <c r="D1709" s="391"/>
      <c r="E1709" s="390"/>
      <c r="F1709" s="391"/>
      <c r="G1709" s="390"/>
      <c r="H1709" s="394"/>
      <c r="I1709" s="390"/>
      <c r="J1709" s="390"/>
      <c r="K1709" s="390"/>
      <c r="L1709" s="390"/>
      <c r="M1709" s="390"/>
      <c r="N1709" s="390"/>
      <c r="O1709" s="390"/>
      <c r="P1709" s="390"/>
      <c r="Q1709" s="390"/>
      <c r="R1709" s="390"/>
      <c r="S1709" s="390"/>
      <c r="T1709" s="390"/>
    </row>
    <row r="1710" spans="1:20" ht="15.75" customHeight="1" x14ac:dyDescent="0.25">
      <c r="A1710" s="390"/>
      <c r="B1710" s="390"/>
      <c r="C1710" s="390"/>
      <c r="D1710" s="391"/>
      <c r="E1710" s="390"/>
      <c r="F1710" s="391"/>
      <c r="G1710" s="390"/>
      <c r="H1710" s="394"/>
      <c r="I1710" s="390"/>
      <c r="J1710" s="390"/>
      <c r="K1710" s="390"/>
      <c r="L1710" s="390"/>
      <c r="M1710" s="390"/>
      <c r="N1710" s="390"/>
      <c r="O1710" s="390"/>
      <c r="P1710" s="390"/>
      <c r="Q1710" s="390"/>
      <c r="R1710" s="390"/>
      <c r="S1710" s="390"/>
      <c r="T1710" s="390"/>
    </row>
    <row r="1711" spans="1:20" ht="15.75" customHeight="1" x14ac:dyDescent="0.25">
      <c r="A1711" s="390" t="s">
        <v>31</v>
      </c>
      <c r="B1711" s="390"/>
      <c r="C1711" s="390"/>
      <c r="D1711" s="391"/>
      <c r="E1711" s="390"/>
      <c r="F1711" s="391"/>
      <c r="G1711" s="390"/>
      <c r="H1711" s="394"/>
      <c r="I1711" s="390"/>
      <c r="J1711" s="390"/>
      <c r="K1711" s="390"/>
      <c r="L1711" s="390"/>
      <c r="M1711" s="390"/>
      <c r="N1711" s="390"/>
      <c r="O1711" s="390"/>
      <c r="P1711" s="390"/>
      <c r="Q1711" s="390"/>
      <c r="R1711" s="390"/>
      <c r="S1711" s="390"/>
      <c r="T1711" s="390"/>
    </row>
    <row r="1712" spans="1:20" ht="15.75" customHeight="1" x14ac:dyDescent="0.25">
      <c r="A1712" s="390" t="s">
        <v>32</v>
      </c>
      <c r="B1712" s="390"/>
      <c r="C1712" s="390"/>
      <c r="D1712" s="391"/>
      <c r="E1712" s="390"/>
      <c r="F1712" s="391"/>
      <c r="G1712" s="390"/>
      <c r="H1712" s="394"/>
      <c r="I1712" s="390"/>
      <c r="J1712" s="390"/>
      <c r="K1712" s="390"/>
      <c r="L1712" s="390"/>
      <c r="M1712" s="390"/>
      <c r="N1712" s="390"/>
      <c r="O1712" s="390"/>
      <c r="P1712" s="390"/>
      <c r="Q1712" s="390"/>
      <c r="R1712" s="390"/>
      <c r="S1712" s="390"/>
      <c r="T1712" s="390"/>
    </row>
    <row r="1713" spans="1:20" ht="15.75" customHeight="1" x14ac:dyDescent="0.25">
      <c r="A1713" s="390"/>
      <c r="B1713" s="390"/>
      <c r="C1713" s="390"/>
      <c r="D1713" s="391"/>
      <c r="E1713" s="390"/>
      <c r="F1713" s="391"/>
      <c r="G1713" s="390"/>
      <c r="H1713" s="394"/>
      <c r="I1713" s="390"/>
      <c r="J1713" s="390"/>
      <c r="K1713" s="390"/>
      <c r="L1713" s="390"/>
      <c r="M1713" s="390"/>
      <c r="N1713" s="390"/>
      <c r="O1713" s="390"/>
      <c r="P1713" s="390"/>
      <c r="Q1713" s="390"/>
      <c r="R1713" s="390"/>
      <c r="S1713" s="390"/>
      <c r="T1713" s="390"/>
    </row>
    <row r="1714" spans="1:20" ht="15.75" customHeight="1" x14ac:dyDescent="0.25">
      <c r="A1714" s="399" t="s">
        <v>33</v>
      </c>
      <c r="B1714" s="400" t="s">
        <v>6</v>
      </c>
      <c r="C1714" s="400"/>
      <c r="D1714" s="401" t="s">
        <v>37</v>
      </c>
      <c r="E1714" s="402" t="s">
        <v>38</v>
      </c>
      <c r="F1714" s="403" t="s">
        <v>7</v>
      </c>
      <c r="G1714" s="404" t="s">
        <v>43</v>
      </c>
      <c r="H1714" s="405" t="s">
        <v>44</v>
      </c>
      <c r="I1714" s="390"/>
      <c r="J1714" s="390"/>
      <c r="K1714" s="390"/>
      <c r="L1714" s="390"/>
      <c r="M1714" s="390"/>
      <c r="N1714" s="390"/>
      <c r="O1714" s="390"/>
      <c r="P1714" s="390"/>
      <c r="Q1714" s="390"/>
      <c r="R1714" s="390"/>
      <c r="S1714" s="390"/>
      <c r="T1714" s="390"/>
    </row>
    <row r="1715" spans="1:20" ht="15.75" customHeight="1" x14ac:dyDescent="0.25">
      <c r="A1715" s="406"/>
      <c r="B1715" s="407"/>
      <c r="C1715" s="393"/>
      <c r="D1715" s="408"/>
      <c r="E1715" s="408"/>
      <c r="F1715" s="409"/>
      <c r="G1715" s="410"/>
      <c r="H1715" s="411"/>
      <c r="I1715" s="390"/>
      <c r="J1715" s="390"/>
      <c r="K1715" s="390"/>
      <c r="L1715" s="390"/>
      <c r="M1715" s="390"/>
      <c r="N1715" s="390"/>
      <c r="O1715" s="390"/>
      <c r="P1715" s="390"/>
      <c r="Q1715" s="390"/>
      <c r="R1715" s="390"/>
      <c r="S1715" s="390"/>
      <c r="T1715" s="390"/>
    </row>
    <row r="1716" spans="1:20" ht="15.75" customHeight="1" x14ac:dyDescent="0.25">
      <c r="A1716" s="425"/>
      <c r="B1716" s="448"/>
      <c r="C1716" s="449"/>
      <c r="D1716" s="427"/>
      <c r="E1716" s="427"/>
      <c r="F1716" s="391"/>
      <c r="G1716" s="427"/>
      <c r="H1716" s="429"/>
      <c r="I1716" s="390"/>
      <c r="J1716" s="390"/>
      <c r="K1716" s="390"/>
      <c r="L1716" s="390"/>
      <c r="M1716" s="390"/>
      <c r="N1716" s="390"/>
      <c r="O1716" s="390"/>
      <c r="P1716" s="390"/>
      <c r="Q1716" s="390"/>
      <c r="R1716" s="390"/>
      <c r="S1716" s="390"/>
      <c r="T1716" s="390"/>
    </row>
    <row r="1717" spans="1:20" ht="15.75" customHeight="1" x14ac:dyDescent="0.25">
      <c r="A1717" s="425" t="s">
        <v>55</v>
      </c>
      <c r="B1717" s="450" t="s">
        <v>1013</v>
      </c>
      <c r="C1717" s="449" t="s">
        <v>383</v>
      </c>
      <c r="D1717" s="427">
        <v>2</v>
      </c>
      <c r="E1717" s="427">
        <v>25</v>
      </c>
      <c r="F1717" s="391">
        <f>+E1717*D1717</f>
      </c>
      <c r="G1717" s="427">
        <v>1</v>
      </c>
      <c r="H1717" s="429">
        <f>+G1717*F1717</f>
      </c>
      <c r="I1717" s="390"/>
      <c r="J1717" s="390"/>
      <c r="K1717" s="390"/>
      <c r="L1717" s="390"/>
      <c r="M1717" s="390"/>
      <c r="N1717" s="390"/>
      <c r="O1717" s="390"/>
      <c r="P1717" s="390"/>
      <c r="Q1717" s="390"/>
      <c r="R1717" s="390"/>
      <c r="S1717" s="390"/>
      <c r="T1717" s="390"/>
    </row>
    <row r="1718" spans="1:20" ht="15.75" customHeight="1" x14ac:dyDescent="0.25">
      <c r="A1718" s="425"/>
      <c r="B1718" s="450"/>
      <c r="C1718" s="451"/>
      <c r="D1718" s="427"/>
      <c r="E1718" s="427"/>
      <c r="F1718" s="391"/>
      <c r="G1718" s="427"/>
      <c r="H1718" s="429"/>
      <c r="I1718" s="390"/>
      <c r="J1718" s="390"/>
      <c r="K1718" s="390"/>
      <c r="L1718" s="390"/>
      <c r="M1718" s="390"/>
      <c r="N1718" s="390"/>
      <c r="O1718" s="390"/>
      <c r="P1718" s="390"/>
      <c r="Q1718" s="390"/>
      <c r="R1718" s="390"/>
      <c r="S1718" s="390"/>
      <c r="T1718" s="390"/>
    </row>
    <row r="1719" spans="1:20" ht="15.75" customHeight="1" x14ac:dyDescent="0.25">
      <c r="A1719" s="425"/>
      <c r="B1719" s="450"/>
      <c r="C1719" s="451"/>
      <c r="D1719" s="427"/>
      <c r="E1719" s="427"/>
      <c r="F1719" s="391"/>
      <c r="G1719" s="427"/>
      <c r="H1719" s="429"/>
      <c r="I1719" s="390"/>
      <c r="J1719" s="390"/>
      <c r="K1719" s="390"/>
      <c r="L1719" s="390"/>
      <c r="M1719" s="390"/>
      <c r="N1719" s="390"/>
      <c r="O1719" s="390"/>
      <c r="P1719" s="390"/>
      <c r="Q1719" s="390"/>
      <c r="R1719" s="390"/>
      <c r="S1719" s="390"/>
      <c r="T1719" s="390"/>
    </row>
    <row r="1720" spans="1:20" ht="15.75" customHeight="1" x14ac:dyDescent="0.25">
      <c r="A1720" s="425"/>
      <c r="B1720" s="450"/>
      <c r="C1720" s="451"/>
      <c r="D1720" s="427"/>
      <c r="E1720" s="427"/>
      <c r="F1720" s="391"/>
      <c r="G1720" s="427"/>
      <c r="H1720" s="429"/>
      <c r="I1720" s="390"/>
      <c r="J1720" s="390"/>
      <c r="K1720" s="390"/>
      <c r="L1720" s="390"/>
      <c r="M1720" s="390"/>
      <c r="N1720" s="390"/>
      <c r="O1720" s="390"/>
      <c r="P1720" s="390"/>
      <c r="Q1720" s="390"/>
      <c r="R1720" s="390"/>
      <c r="S1720" s="390"/>
      <c r="T1720" s="390"/>
    </row>
    <row r="1721" spans="1:20" ht="15.75" customHeight="1" x14ac:dyDescent="0.25">
      <c r="A1721" s="425"/>
      <c r="B1721" s="450"/>
      <c r="C1721" s="451"/>
      <c r="D1721" s="427"/>
      <c r="E1721" s="427"/>
      <c r="F1721" s="391"/>
      <c r="G1721" s="427"/>
      <c r="H1721" s="429"/>
      <c r="I1721" s="390"/>
      <c r="J1721" s="390"/>
      <c r="K1721" s="390"/>
      <c r="L1721" s="390"/>
      <c r="M1721" s="390"/>
      <c r="N1721" s="390"/>
      <c r="O1721" s="390"/>
      <c r="P1721" s="390"/>
      <c r="Q1721" s="390"/>
      <c r="R1721" s="390"/>
      <c r="S1721" s="390"/>
      <c r="T1721" s="390"/>
    </row>
    <row r="1722" spans="1:20" ht="15.75" customHeight="1" x14ac:dyDescent="0.25">
      <c r="A1722" s="425"/>
      <c r="B1722" s="450"/>
      <c r="C1722" s="451"/>
      <c r="D1722" s="427"/>
      <c r="E1722" s="427"/>
      <c r="F1722" s="391"/>
      <c r="G1722" s="427"/>
      <c r="H1722" s="429"/>
      <c r="I1722" s="390"/>
      <c r="J1722" s="390"/>
      <c r="K1722" s="390"/>
      <c r="L1722" s="390"/>
      <c r="M1722" s="390"/>
      <c r="N1722" s="390"/>
      <c r="O1722" s="390"/>
      <c r="P1722" s="390"/>
      <c r="Q1722" s="390"/>
      <c r="R1722" s="390"/>
      <c r="S1722" s="390"/>
      <c r="T1722" s="390"/>
    </row>
    <row r="1723" spans="1:20" ht="15.75" customHeight="1" x14ac:dyDescent="0.25">
      <c r="A1723" s="425"/>
      <c r="B1723" s="448"/>
      <c r="C1723" s="390"/>
      <c r="D1723" s="427"/>
      <c r="E1723" s="427"/>
      <c r="F1723" s="391"/>
      <c r="G1723" s="427"/>
      <c r="H1723" s="429"/>
      <c r="I1723" s="390"/>
      <c r="J1723" s="390"/>
      <c r="K1723" s="390"/>
      <c r="L1723" s="390"/>
      <c r="M1723" s="390"/>
      <c r="N1723" s="390"/>
      <c r="O1723" s="390"/>
      <c r="P1723" s="390"/>
      <c r="Q1723" s="390"/>
      <c r="R1723" s="390"/>
      <c r="S1723" s="390"/>
      <c r="T1723" s="390"/>
    </row>
    <row r="1724" spans="1:20" ht="15.75" customHeight="1" x14ac:dyDescent="0.25">
      <c r="A1724" s="425"/>
      <c r="B1724" s="426"/>
      <c r="C1724" s="390"/>
      <c r="D1724" s="427"/>
      <c r="E1724" s="427"/>
      <c r="F1724" s="391"/>
      <c r="G1724" s="427"/>
      <c r="H1724" s="429"/>
      <c r="I1724" s="390"/>
      <c r="J1724" s="390"/>
      <c r="K1724" s="390"/>
      <c r="L1724" s="390"/>
      <c r="M1724" s="390"/>
      <c r="N1724" s="390"/>
      <c r="O1724" s="390"/>
      <c r="P1724" s="390"/>
      <c r="Q1724" s="390"/>
      <c r="R1724" s="390"/>
      <c r="S1724" s="390"/>
      <c r="T1724" s="390"/>
    </row>
    <row r="1725" spans="1:20" ht="15.75" customHeight="1" x14ac:dyDescent="0.25">
      <c r="A1725" s="430"/>
      <c r="B1725" s="409"/>
      <c r="C1725" s="393"/>
      <c r="D1725" s="427"/>
      <c r="E1725" s="427"/>
      <c r="F1725" s="428"/>
      <c r="G1725" s="431"/>
      <c r="H1725" s="429"/>
      <c r="I1725" s="390"/>
      <c r="J1725" s="390"/>
      <c r="K1725" s="390"/>
      <c r="L1725" s="390"/>
      <c r="M1725" s="390"/>
      <c r="N1725" s="390"/>
      <c r="O1725" s="390"/>
      <c r="P1725" s="390"/>
      <c r="Q1725" s="390"/>
      <c r="R1725" s="390"/>
      <c r="S1725" s="390"/>
      <c r="T1725" s="390"/>
    </row>
    <row r="1726" spans="1:20" ht="15.75" customHeight="1" x14ac:dyDescent="0.25">
      <c r="A1726" s="432"/>
      <c r="B1726" s="433"/>
      <c r="C1726" s="434" t="s">
        <v>85</v>
      </c>
      <c r="D1726" s="435">
        <f>SUM(D1716:D1725)</f>
      </c>
      <c r="E1726" s="435"/>
      <c r="F1726" s="436"/>
      <c r="G1726" s="437"/>
      <c r="H1726" s="438">
        <f>SUM(H1717:H1725)</f>
      </c>
      <c r="I1726" s="390"/>
      <c r="J1726" s="390"/>
      <c r="K1726" s="390"/>
      <c r="L1726" s="390"/>
      <c r="M1726" s="390"/>
      <c r="N1726" s="390"/>
      <c r="O1726" s="390"/>
      <c r="P1726" s="390"/>
      <c r="Q1726" s="390"/>
      <c r="R1726" s="390"/>
      <c r="S1726" s="390"/>
      <c r="T1726" s="390"/>
    </row>
    <row r="1727" spans="1:20" ht="15.75" customHeight="1" x14ac:dyDescent="0.25">
      <c r="A1727" s="439"/>
      <c r="B1727" s="440"/>
      <c r="C1727" s="440"/>
      <c r="D1727" s="441"/>
      <c r="E1727" s="440"/>
      <c r="F1727" s="442"/>
      <c r="G1727" s="443"/>
      <c r="H1727" s="444"/>
      <c r="I1727" s="390"/>
      <c r="J1727" s="390"/>
      <c r="K1727" s="390"/>
      <c r="L1727" s="390"/>
      <c r="M1727" s="390"/>
      <c r="N1727" s="390"/>
      <c r="O1727" s="390"/>
      <c r="P1727" s="390"/>
      <c r="Q1727" s="390"/>
      <c r="R1727" s="390"/>
      <c r="S1727" s="390"/>
      <c r="T1727" s="390"/>
    </row>
    <row r="1728" spans="1:20" ht="15.75" customHeight="1" x14ac:dyDescent="0.25">
      <c r="A1728" s="392"/>
      <c r="B1728" s="391"/>
      <c r="C1728" s="391"/>
      <c r="D1728" s="391"/>
      <c r="E1728" s="390"/>
      <c r="F1728" s="392"/>
      <c r="G1728" s="390"/>
      <c r="H1728" s="394"/>
      <c r="I1728" s="390"/>
      <c r="J1728" s="390"/>
      <c r="K1728" s="390"/>
      <c r="L1728" s="390"/>
      <c r="M1728" s="390"/>
      <c r="N1728" s="390"/>
      <c r="O1728" s="390"/>
      <c r="P1728" s="390"/>
      <c r="Q1728" s="390"/>
      <c r="R1728" s="390"/>
      <c r="S1728" s="390"/>
      <c r="T1728" s="390"/>
    </row>
    <row r="1729" spans="1:20" ht="15.75" customHeight="1" x14ac:dyDescent="0.25">
      <c r="A1729" s="445"/>
      <c r="B1729" s="445"/>
      <c r="C1729" s="445"/>
      <c r="D1729" s="446" t="s">
        <v>97</v>
      </c>
      <c r="E1729" s="445" t="s">
        <v>98</v>
      </c>
      <c r="F1729" s="445"/>
      <c r="G1729" s="390"/>
      <c r="H1729" s="394"/>
      <c r="I1729" s="390"/>
      <c r="J1729" s="390"/>
      <c r="K1729" s="390"/>
      <c r="L1729" s="390"/>
      <c r="M1729" s="390"/>
      <c r="N1729" s="390"/>
      <c r="O1729" s="390"/>
      <c r="P1729" s="390"/>
      <c r="Q1729" s="390"/>
      <c r="R1729" s="390"/>
      <c r="S1729" s="390"/>
      <c r="T1729" s="390"/>
    </row>
    <row r="1730" spans="1:20" ht="15.75" customHeight="1" x14ac:dyDescent="0.25">
      <c r="A1730" s="390"/>
      <c r="B1730" s="390"/>
      <c r="C1730" s="390"/>
      <c r="D1730" s="391"/>
      <c r="E1730" s="390"/>
      <c r="F1730" s="390"/>
      <c r="G1730" s="390"/>
      <c r="H1730" s="394"/>
      <c r="I1730" s="390"/>
      <c r="J1730" s="390"/>
      <c r="K1730" s="390"/>
      <c r="L1730" s="390"/>
      <c r="M1730" s="390"/>
      <c r="N1730" s="390"/>
      <c r="O1730" s="390"/>
      <c r="P1730" s="390"/>
      <c r="Q1730" s="390"/>
      <c r="R1730" s="390"/>
      <c r="S1730" s="390"/>
      <c r="T1730" s="390"/>
    </row>
    <row r="1731" spans="1:20" ht="15.75" customHeight="1" x14ac:dyDescent="0.25">
      <c r="A1731" s="390"/>
      <c r="B1731" s="390"/>
      <c r="C1731" s="390"/>
      <c r="D1731" s="391"/>
      <c r="E1731" s="390"/>
      <c r="F1731" s="390"/>
      <c r="G1731" s="390"/>
      <c r="H1731" s="394"/>
      <c r="I1731" s="390"/>
      <c r="J1731" s="390"/>
      <c r="K1731" s="390"/>
      <c r="L1731" s="390"/>
      <c r="M1731" s="390"/>
      <c r="N1731" s="390"/>
      <c r="O1731" s="390"/>
      <c r="P1731" s="390"/>
      <c r="Q1731" s="390"/>
      <c r="R1731" s="390"/>
      <c r="S1731" s="390"/>
      <c r="T1731" s="390"/>
    </row>
    <row r="1732" spans="1:20" ht="15.75" customHeight="1" x14ac:dyDescent="0.25">
      <c r="A1732" s="445"/>
      <c r="B1732" s="445"/>
      <c r="C1732" s="445"/>
      <c r="D1732" s="446"/>
      <c r="E1732" s="445" t="s">
        <v>99</v>
      </c>
      <c r="F1732" s="445"/>
      <c r="G1732" s="390"/>
      <c r="H1732" s="394"/>
    </row>
    <row r="1733" spans="1:20" ht="15.75" customHeight="1" x14ac:dyDescent="0.25">
      <c r="D1733" s="4"/>
      <c r="H1733" s="4"/>
    </row>
    <row r="1734" spans="1:20" ht="15.75" customHeight="1" x14ac:dyDescent="0.25">
      <c r="D1734" s="4"/>
      <c r="H1734" s="4"/>
    </row>
    <row r="1735" spans="1:20" ht="15.75" customHeight="1" x14ac:dyDescent="0.25">
      <c r="D1735" s="4"/>
      <c r="H1735" s="4"/>
    </row>
    <row r="1736" spans="1:20" ht="15.75" customHeight="1" x14ac:dyDescent="0.25">
      <c r="D1736" s="4"/>
      <c r="H1736" s="4"/>
    </row>
    <row r="1737" spans="1:20" ht="15.75" customHeight="1" x14ac:dyDescent="0.25">
      <c r="D1737" s="4"/>
      <c r="H1737" s="4"/>
    </row>
    <row r="1738" spans="1:20" ht="15.75" customHeight="1" x14ac:dyDescent="0.25">
      <c r="D1738" s="4"/>
      <c r="H1738" s="4"/>
    </row>
    <row r="1739" spans="1:20" ht="15.75" customHeight="1" x14ac:dyDescent="0.25">
      <c r="D1739" s="4"/>
      <c r="H1739" s="4"/>
    </row>
    <row r="1740" spans="1:20" ht="15.75" customHeight="1" x14ac:dyDescent="0.25">
      <c r="D1740" s="4"/>
      <c r="H1740" s="4"/>
    </row>
    <row r="1741" spans="1:20" ht="15.75" customHeight="1" x14ac:dyDescent="0.25">
      <c r="D1741" s="4"/>
      <c r="H1741" s="4"/>
    </row>
    <row r="1742" spans="1:20" ht="15.75" customHeight="1" x14ac:dyDescent="0.25">
      <c r="D1742" s="4"/>
      <c r="H1742" s="4"/>
    </row>
    <row r="1743" spans="1:20" ht="15.75" customHeight="1" x14ac:dyDescent="0.25">
      <c r="D1743" s="4"/>
      <c r="H1743" s="4"/>
    </row>
    <row r="1744" spans="1:20" ht="15.75" customHeight="1" x14ac:dyDescent="0.25">
      <c r="D1744" s="4"/>
      <c r="H1744" s="4"/>
    </row>
    <row r="1745" spans="1:8" ht="15.75" customHeight="1" x14ac:dyDescent="0.25">
      <c r="D1745" s="4"/>
      <c r="H1745" s="4"/>
    </row>
    <row r="1746" spans="1:8" ht="15.75" customHeight="1" x14ac:dyDescent="0.25">
      <c r="D1746" s="4"/>
      <c r="H1746" s="4"/>
    </row>
    <row r="1747" spans="1:8" ht="15.75" customHeight="1" x14ac:dyDescent="0.25">
      <c r="D1747" s="4"/>
      <c r="H1747" s="4"/>
    </row>
    <row r="1748" spans="1:8" ht="15.75" customHeight="1" x14ac:dyDescent="0.25">
      <c r="D1748" s="4"/>
      <c r="H1748" s="4"/>
    </row>
    <row r="1749" spans="1:8" ht="15.75" customHeight="1" x14ac:dyDescent="0.25">
      <c r="D1749" s="4"/>
      <c r="H1749" s="4"/>
    </row>
    <row r="1750" spans="1:8" ht="15.75" customHeight="1" x14ac:dyDescent="0.25">
      <c r="D1750" s="4"/>
      <c r="H1750" s="4"/>
    </row>
    <row r="1751" spans="1:8" ht="15.75" customHeight="1" x14ac:dyDescent="0.25">
      <c r="D1751" s="4"/>
      <c r="H1751" s="4"/>
    </row>
    <row r="1752" spans="1:8" ht="15.75" customHeight="1" x14ac:dyDescent="0.25">
      <c r="A1752" s="8" t="s">
        <v>14</v>
      </c>
      <c r="B1752" s="8"/>
      <c r="C1752" s="8"/>
      <c r="D1752" s="8"/>
      <c r="E1752" s="8"/>
      <c r="F1752" s="8"/>
      <c r="G1752" s="8"/>
      <c r="H1752" s="8"/>
    </row>
    <row r="1753" spans="1:8" ht="15.75" customHeight="1" x14ac:dyDescent="0.25">
      <c r="A1753" s="388"/>
      <c r="B1753" s="388"/>
      <c r="C1753" s="388"/>
      <c r="D1753" s="389"/>
      <c r="E1753" s="388"/>
      <c r="F1753" s="388"/>
      <c r="G1753" s="388"/>
      <c r="H1753" s="8"/>
    </row>
    <row r="1754" spans="1:8" ht="15.75" customHeight="1" x14ac:dyDescent="0.25">
      <c r="A1754" s="390"/>
      <c r="B1754" s="390"/>
      <c r="C1754" s="391"/>
      <c r="D1754" s="392"/>
      <c r="E1754" s="393"/>
      <c r="F1754" s="393"/>
      <c r="G1754" s="393"/>
      <c r="H1754" s="394"/>
    </row>
    <row r="1755" spans="1:8" ht="15.75" customHeight="1" x14ac:dyDescent="0.25">
      <c r="A1755" s="390"/>
      <c r="B1755" s="390"/>
      <c r="C1755" s="390"/>
      <c r="D1755" s="391"/>
      <c r="E1755" s="390"/>
      <c r="F1755" s="395" t="s">
        <v>18</v>
      </c>
      <c r="G1755" s="396" t="s">
        <v>580</v>
      </c>
      <c r="H1755" s="397"/>
    </row>
    <row r="1756" spans="1:8" ht="15.75" customHeight="1" x14ac:dyDescent="0.25">
      <c r="A1756" s="390" t="s">
        <v>20</v>
      </c>
      <c r="B1756" s="390"/>
      <c r="C1756" s="390"/>
      <c r="D1756" s="391"/>
      <c r="E1756" s="390"/>
      <c r="F1756" s="395" t="s">
        <v>21</v>
      </c>
      <c r="G1756" s="390" t="s">
        <v>1018</v>
      </c>
      <c r="H1756" s="391"/>
    </row>
    <row r="1757" spans="1:8" ht="15.75" customHeight="1" x14ac:dyDescent="0.25">
      <c r="A1757" s="390" t="inlineStr">
        <is>
          <t>Dealer-004</t>
        </is>
      </c>
      <c r="B1757" s="390"/>
      <c r="C1757" s="390"/>
      <c r="D1757" s="398"/>
      <c r="E1757" s="390"/>
      <c r="F1757" s="391"/>
      <c r="G1757" s="390"/>
      <c r="H1757" s="394"/>
    </row>
    <row r="1758" spans="1:8" ht="15.75" customHeight="1" x14ac:dyDescent="0.25">
      <c r="A1758" s="390" t="inlineStr">
        <is>
          <t>Address line (redacted)</t>
        </is>
      </c>
      <c r="B1758" s="390"/>
      <c r="C1758" s="390"/>
      <c r="D1758" s="398"/>
      <c r="E1758" s="390"/>
      <c r="F1758" s="391"/>
      <c r="G1758" s="390"/>
      <c r="H1758" s="394"/>
    </row>
    <row r="1759" spans="1:8" ht="15.75" customHeight="1" x14ac:dyDescent="0.25">
      <c r="A1759" s="390" t="inlineStr">
        <is>
          <t>Address line (redacted)</t>
        </is>
      </c>
      <c r="B1759" s="390"/>
      <c r="C1759" s="390"/>
      <c r="D1759" s="391"/>
      <c r="E1759" s="390"/>
      <c r="F1759" s="391"/>
      <c r="G1759" s="390"/>
      <c r="H1759" s="394"/>
    </row>
    <row r="1760" spans="1:8" ht="15.75" customHeight="1" x14ac:dyDescent="0.25">
      <c r="A1760" s="390"/>
      <c r="B1760" s="390"/>
      <c r="C1760" s="390"/>
      <c r="D1760" s="391"/>
      <c r="E1760" s="390"/>
      <c r="F1760" s="391"/>
      <c r="G1760" s="390"/>
      <c r="H1760" s="394"/>
    </row>
    <row r="1761" spans="1:8" ht="15.75" customHeight="1" x14ac:dyDescent="0.25">
      <c r="A1761" s="390" t="s">
        <v>30</v>
      </c>
      <c r="B1761" s="390"/>
      <c r="C1761" s="390"/>
      <c r="D1761" s="391"/>
      <c r="E1761" s="390"/>
      <c r="F1761" s="391"/>
      <c r="G1761" s="390"/>
      <c r="H1761" s="394"/>
    </row>
    <row r="1762" spans="1:8" ht="15.75" customHeight="1" x14ac:dyDescent="0.25">
      <c r="A1762" s="390"/>
      <c r="B1762" s="390"/>
      <c r="C1762" s="390"/>
      <c r="D1762" s="391"/>
      <c r="E1762" s="390"/>
      <c r="F1762" s="391"/>
      <c r="G1762" s="390"/>
      <c r="H1762" s="394"/>
    </row>
    <row r="1763" spans="1:8" ht="15.75" customHeight="1" x14ac:dyDescent="0.25">
      <c r="A1763" s="390" t="s">
        <v>716</v>
      </c>
      <c r="B1763" s="390"/>
      <c r="C1763" s="390"/>
      <c r="D1763" s="391"/>
      <c r="E1763" s="390"/>
      <c r="F1763" s="391"/>
      <c r="G1763" s="390"/>
      <c r="H1763" s="394"/>
    </row>
    <row r="1764" spans="1:8" ht="15.75" customHeight="1" x14ac:dyDescent="0.25">
      <c r="A1764" s="390" t="s">
        <v>717</v>
      </c>
      <c r="B1764" s="390"/>
      <c r="C1764" s="390"/>
      <c r="D1764" s="391"/>
      <c r="E1764" s="390"/>
      <c r="F1764" s="391"/>
      <c r="G1764" s="390"/>
      <c r="H1764" s="394"/>
    </row>
    <row r="1765" spans="1:8" ht="15.75" customHeight="1" x14ac:dyDescent="0.25">
      <c r="A1765" s="390"/>
      <c r="B1765" s="390"/>
      <c r="C1765" s="390"/>
      <c r="D1765" s="391"/>
      <c r="E1765" s="390"/>
      <c r="F1765" s="391"/>
      <c r="G1765" s="390"/>
      <c r="H1765" s="394"/>
    </row>
    <row r="1766" spans="1:8" ht="15.75" customHeight="1" x14ac:dyDescent="0.25">
      <c r="A1766" s="399" t="s">
        <v>33</v>
      </c>
      <c r="B1766" s="400" t="s">
        <v>6</v>
      </c>
      <c r="C1766" s="400"/>
      <c r="D1766" s="401" t="s">
        <v>37</v>
      </c>
      <c r="E1766" s="402" t="s">
        <v>38</v>
      </c>
      <c r="F1766" s="403" t="s">
        <v>7</v>
      </c>
      <c r="G1766" s="404" t="s">
        <v>43</v>
      </c>
      <c r="H1766" s="405" t="s">
        <v>44</v>
      </c>
    </row>
    <row r="1767" spans="1:8" ht="15.75" customHeight="1" x14ac:dyDescent="0.25">
      <c r="A1767" s="406"/>
      <c r="B1767" s="407"/>
      <c r="C1767" s="393"/>
      <c r="D1767" s="408"/>
      <c r="E1767" s="408"/>
      <c r="F1767" s="409"/>
      <c r="G1767" s="410"/>
      <c r="H1767" s="411"/>
    </row>
    <row r="1768" spans="1:8" ht="15.75" customHeight="1" x14ac:dyDescent="0.25">
      <c r="A1768" s="412"/>
      <c r="B1768" s="422" t="s">
        <v>51</v>
      </c>
      <c r="C1768" s="422"/>
      <c r="D1768" s="415"/>
      <c r="E1768" s="415"/>
      <c r="F1768" s="415"/>
      <c r="G1768" s="415"/>
      <c r="H1768" s="416"/>
    </row>
    <row r="1769" spans="1:8" ht="15.75" customHeight="1" x14ac:dyDescent="0.25">
      <c r="A1769" s="412" t="s">
        <v>55</v>
      </c>
      <c r="B1769" s="417" t="s">
        <v>988</v>
      </c>
      <c r="C1769" s="418" t="s">
        <v>376</v>
      </c>
      <c r="D1769" s="415">
        <v>15</v>
      </c>
      <c r="E1769" s="415">
        <v>6</v>
      </c>
      <c r="F1769" s="415">
        <f>+E1769*D1769</f>
      </c>
      <c r="G1769" s="415">
        <v>1</v>
      </c>
      <c r="H1769" s="416">
        <f>+G1769*F1769</f>
      </c>
    </row>
    <row r="1770" spans="1:8" ht="15.75" customHeight="1" x14ac:dyDescent="0.25">
      <c r="A1770" s="425"/>
      <c r="B1770" s="426"/>
      <c r="C1770" s="390"/>
      <c r="D1770" s="427"/>
      <c r="E1770" s="427"/>
      <c r="F1770" s="428"/>
      <c r="G1770" s="427"/>
      <c r="H1770" s="429"/>
    </row>
    <row r="1771" spans="1:8" ht="15.75" customHeight="1" x14ac:dyDescent="0.25">
      <c r="A1771" s="425"/>
      <c r="B1771" s="426"/>
      <c r="C1771" s="390"/>
      <c r="D1771" s="427"/>
      <c r="E1771" s="427"/>
      <c r="F1771" s="428"/>
      <c r="G1771" s="427"/>
      <c r="H1771" s="429"/>
    </row>
    <row r="1772" spans="1:8" ht="15.75" customHeight="1" x14ac:dyDescent="0.25">
      <c r="A1772" s="425"/>
      <c r="B1772" s="426"/>
      <c r="C1772" s="390"/>
      <c r="D1772" s="427"/>
      <c r="E1772" s="427"/>
      <c r="F1772" s="428"/>
      <c r="G1772" s="427"/>
      <c r="H1772" s="429"/>
    </row>
    <row r="1773" spans="1:8" ht="15.75" customHeight="1" x14ac:dyDescent="0.25">
      <c r="A1773" s="425"/>
      <c r="B1773" s="426"/>
      <c r="C1773" s="390"/>
      <c r="D1773" s="427"/>
      <c r="E1773" s="427"/>
      <c r="F1773" s="428"/>
      <c r="G1773" s="427"/>
      <c r="H1773" s="429"/>
    </row>
    <row r="1774" spans="1:8" ht="15.75" customHeight="1" x14ac:dyDescent="0.25">
      <c r="A1774" s="425"/>
      <c r="B1774" s="426"/>
      <c r="C1774" s="390"/>
      <c r="D1774" s="427"/>
      <c r="E1774" s="427"/>
      <c r="F1774" s="428"/>
      <c r="G1774" s="427"/>
      <c r="H1774" s="429"/>
    </row>
    <row r="1775" spans="1:8" ht="15.75" customHeight="1" x14ac:dyDescent="0.25">
      <c r="A1775" s="425"/>
      <c r="B1775" s="426"/>
      <c r="C1775" s="390"/>
      <c r="D1775" s="427"/>
      <c r="E1775" s="427"/>
      <c r="F1775" s="428"/>
      <c r="G1775" s="427"/>
      <c r="H1775" s="429"/>
    </row>
    <row r="1776" spans="1:8" ht="15.75" customHeight="1" x14ac:dyDescent="0.25">
      <c r="A1776" s="425"/>
      <c r="B1776" s="426"/>
      <c r="C1776" s="390"/>
      <c r="D1776" s="427"/>
      <c r="E1776" s="427"/>
      <c r="F1776" s="428"/>
      <c r="G1776" s="427"/>
      <c r="H1776" s="429"/>
    </row>
    <row r="1777" spans="1:8" ht="15.75" customHeight="1" x14ac:dyDescent="0.25">
      <c r="A1777" s="425"/>
      <c r="B1777" s="426"/>
      <c r="C1777" s="390"/>
      <c r="D1777" s="427"/>
      <c r="E1777" s="427"/>
      <c r="F1777" s="428"/>
      <c r="G1777" s="427"/>
      <c r="H1777" s="429"/>
    </row>
    <row r="1778" spans="1:8" ht="15.75" customHeight="1" x14ac:dyDescent="0.25">
      <c r="A1778" s="425"/>
      <c r="B1778" s="426"/>
      <c r="C1778" s="390"/>
      <c r="D1778" s="427"/>
      <c r="E1778" s="427"/>
      <c r="F1778" s="428"/>
      <c r="G1778" s="427"/>
      <c r="H1778" s="429"/>
    </row>
    <row r="1779" spans="1:8" ht="15.75" customHeight="1" x14ac:dyDescent="0.25">
      <c r="A1779" s="425"/>
      <c r="B1779" s="426"/>
      <c r="C1779" s="390"/>
      <c r="D1779" s="427"/>
      <c r="E1779" s="427"/>
      <c r="F1779" s="428"/>
      <c r="G1779" s="427"/>
      <c r="H1779" s="429"/>
    </row>
    <row r="1780" spans="1:8" ht="15.75" customHeight="1" x14ac:dyDescent="0.25">
      <c r="A1780" s="425"/>
      <c r="B1780" s="426"/>
      <c r="C1780" s="390"/>
      <c r="D1780" s="427"/>
      <c r="E1780" s="427"/>
      <c r="F1780" s="428"/>
      <c r="G1780" s="427"/>
      <c r="H1780" s="429"/>
    </row>
    <row r="1781" spans="1:8" ht="15.75" customHeight="1" x14ac:dyDescent="0.25">
      <c r="A1781" s="430"/>
      <c r="B1781" s="409"/>
      <c r="C1781" s="393"/>
      <c r="D1781" s="427"/>
      <c r="E1781" s="427"/>
      <c r="F1781" s="428"/>
      <c r="G1781" s="431"/>
      <c r="H1781" s="429"/>
    </row>
    <row r="1782" spans="1:8" ht="15.75" customHeight="1" x14ac:dyDescent="0.25">
      <c r="A1782" s="432"/>
      <c r="B1782" s="433"/>
      <c r="C1782" s="434" t="s">
        <v>85</v>
      </c>
      <c r="D1782" s="435">
        <f>SUM(D1768:D1781)</f>
      </c>
      <c r="E1782" s="435"/>
      <c r="F1782" s="436"/>
      <c r="G1782" s="437"/>
      <c r="H1782" s="438">
        <f>SUM(H1768:H1781)</f>
      </c>
    </row>
    <row r="1783" spans="1:8" ht="15.75" customHeight="1" x14ac:dyDescent="0.25">
      <c r="A1783" s="439"/>
      <c r="B1783" s="440"/>
      <c r="C1783" s="440"/>
      <c r="D1783" s="441"/>
      <c r="E1783" s="440"/>
      <c r="F1783" s="442"/>
      <c r="G1783" s="443"/>
      <c r="H1783" s="444"/>
    </row>
    <row r="1784" spans="1:8" ht="15.75" customHeight="1" x14ac:dyDescent="0.25">
      <c r="A1784" s="392" t="s">
        <v>913</v>
      </c>
      <c r="B1784" s="391"/>
      <c r="C1784" s="391"/>
      <c r="D1784" s="391"/>
      <c r="E1784" s="390"/>
      <c r="F1784" s="392"/>
      <c r="G1784" s="390"/>
      <c r="H1784" s="394"/>
    </row>
    <row r="1785" spans="1:8" ht="15.75" customHeight="1" x14ac:dyDescent="0.25">
      <c r="A1785" s="445"/>
      <c r="B1785" s="445"/>
      <c r="C1785" s="445"/>
      <c r="D1785" s="446" t="s">
        <v>97</v>
      </c>
      <c r="E1785" s="445" t="s">
        <v>98</v>
      </c>
      <c r="F1785" s="445"/>
      <c r="G1785" s="390"/>
      <c r="H1785" s="394"/>
    </row>
    <row r="1786" spans="1:8" ht="15.75" customHeight="1" x14ac:dyDescent="0.25">
      <c r="A1786" s="390"/>
      <c r="B1786" s="390"/>
      <c r="C1786" s="390"/>
      <c r="D1786" s="391"/>
      <c r="E1786" s="390"/>
      <c r="F1786" s="390"/>
      <c r="G1786" s="390"/>
      <c r="H1786" s="394"/>
    </row>
    <row r="1787" spans="1:8" ht="15.75" customHeight="1" x14ac:dyDescent="0.25">
      <c r="A1787" s="390"/>
      <c r="B1787" s="390"/>
      <c r="C1787" s="390"/>
      <c r="D1787" s="391"/>
      <c r="E1787" s="390"/>
      <c r="F1787" s="390"/>
      <c r="G1787" s="390"/>
      <c r="H1787" s="394"/>
    </row>
    <row r="1788" spans="1:8" ht="15.75" customHeight="1" x14ac:dyDescent="0.25">
      <c r="A1788" s="445"/>
      <c r="B1788" s="445"/>
      <c r="C1788" s="445"/>
      <c r="D1788" s="446"/>
      <c r="E1788" s="445" t="s">
        <v>99</v>
      </c>
      <c r="F1788" s="445"/>
      <c r="G1788" s="390"/>
      <c r="H1788" s="394"/>
    </row>
    <row r="1789" spans="1:8" ht="15.75" customHeight="1" x14ac:dyDescent="0.25">
      <c r="D1789" s="4"/>
      <c r="H1789" s="4"/>
    </row>
    <row r="1790" spans="1:8" ht="15.75" customHeight="1" x14ac:dyDescent="0.25">
      <c r="D1790" s="4"/>
      <c r="H1790" s="4"/>
    </row>
    <row r="1791" spans="1:8" ht="15.75" customHeight="1" x14ac:dyDescent="0.25">
      <c r="D1791" s="4"/>
      <c r="H1791" s="4"/>
    </row>
    <row r="1792" spans="1:8" ht="15.75" customHeight="1" x14ac:dyDescent="0.25">
      <c r="D1792" s="4"/>
      <c r="H1792" s="4"/>
    </row>
    <row r="1793" spans="1:8" ht="15.75" customHeight="1" x14ac:dyDescent="0.25">
      <c r="D1793" s="4"/>
      <c r="H1793" s="4"/>
    </row>
    <row r="1794" spans="1:8" ht="15.75" customHeight="1" x14ac:dyDescent="0.25">
      <c r="D1794" s="4"/>
      <c r="H1794" s="4"/>
    </row>
    <row r="1795" spans="1:8" ht="15.75" customHeight="1" x14ac:dyDescent="0.25">
      <c r="D1795" s="4"/>
      <c r="H1795" s="4"/>
    </row>
    <row r="1796" spans="1:8" ht="15.75" customHeight="1" x14ac:dyDescent="0.25">
      <c r="D1796" s="4"/>
      <c r="H1796" s="4"/>
    </row>
    <row r="1797" spans="1:8" ht="15.75" customHeight="1" x14ac:dyDescent="0.25">
      <c r="D1797" s="4"/>
      <c r="H1797" s="4"/>
    </row>
    <row r="1798" spans="1:8" ht="15.75" customHeight="1" x14ac:dyDescent="0.25">
      <c r="A1798" s="8" t="s">
        <v>14</v>
      </c>
      <c r="B1798" s="8"/>
      <c r="C1798" s="8"/>
      <c r="D1798" s="8"/>
      <c r="E1798" s="8"/>
      <c r="F1798" s="8"/>
      <c r="G1798" s="8"/>
      <c r="H1798" s="8"/>
    </row>
    <row r="1799" spans="1:8" ht="15.75" customHeight="1" x14ac:dyDescent="0.25">
      <c r="A1799" s="388"/>
      <c r="B1799" s="388"/>
      <c r="C1799" s="388"/>
      <c r="D1799" s="389"/>
      <c r="E1799" s="388"/>
      <c r="F1799" s="388"/>
      <c r="G1799" s="388"/>
      <c r="H1799" s="8"/>
    </row>
    <row r="1800" spans="1:8" ht="15.75" customHeight="1" x14ac:dyDescent="0.25">
      <c r="A1800" s="390"/>
      <c r="B1800" s="390"/>
      <c r="C1800" s="391"/>
      <c r="D1800" s="392"/>
      <c r="E1800" s="393"/>
      <c r="F1800" s="393"/>
      <c r="G1800" s="393"/>
      <c r="H1800" s="394"/>
    </row>
    <row r="1801" spans="1:8" ht="15.75" customHeight="1" x14ac:dyDescent="0.25">
      <c r="A1801" s="390"/>
      <c r="B1801" s="390"/>
      <c r="C1801" s="390"/>
      <c r="D1801" s="391"/>
      <c r="E1801" s="390"/>
      <c r="F1801" s="395" t="s">
        <v>18</v>
      </c>
      <c r="G1801" s="396" t="s">
        <v>597</v>
      </c>
      <c r="H1801" s="397"/>
    </row>
    <row r="1802" spans="1:8" ht="15.75" customHeight="1" x14ac:dyDescent="0.25">
      <c r="A1802" s="390" t="s">
        <v>20</v>
      </c>
      <c r="B1802" s="390"/>
      <c r="C1802" s="390"/>
      <c r="D1802" s="391"/>
      <c r="E1802" s="390"/>
      <c r="F1802" s="395" t="s">
        <v>21</v>
      </c>
      <c r="G1802" s="390" t="s">
        <v>1025</v>
      </c>
      <c r="H1802" s="391"/>
    </row>
    <row r="1803" spans="1:8" ht="15.75" customHeight="1" x14ac:dyDescent="0.25">
      <c r="A1803" s="390" t="inlineStr">
        <is>
          <t>Dealer-004</t>
        </is>
      </c>
      <c r="B1803" s="390"/>
      <c r="C1803" s="390"/>
      <c r="D1803" s="398"/>
      <c r="E1803" s="390"/>
      <c r="F1803" s="391"/>
      <c r="G1803" s="390"/>
      <c r="H1803" s="394"/>
    </row>
    <row r="1804" spans="1:8" ht="15.75" customHeight="1" x14ac:dyDescent="0.25">
      <c r="A1804" s="390" t="inlineStr">
        <is>
          <t>Address line (redacted)</t>
        </is>
      </c>
      <c r="B1804" s="390"/>
      <c r="C1804" s="390"/>
      <c r="D1804" s="398"/>
      <c r="E1804" s="390"/>
      <c r="F1804" s="391"/>
      <c r="G1804" s="390"/>
      <c r="H1804" s="394"/>
    </row>
    <row r="1805" spans="1:8" ht="15.75" customHeight="1" x14ac:dyDescent="0.25">
      <c r="A1805" s="390" t="inlineStr">
        <is>
          <t>Address line (redacted)</t>
        </is>
      </c>
      <c r="B1805" s="390"/>
      <c r="C1805" s="390"/>
      <c r="D1805" s="391"/>
      <c r="E1805" s="390"/>
      <c r="F1805" s="391"/>
      <c r="G1805" s="390"/>
      <c r="H1805" s="394"/>
    </row>
    <row r="1806" spans="1:8" ht="15.75" customHeight="1" x14ac:dyDescent="0.25">
      <c r="A1806" s="390"/>
      <c r="B1806" s="390"/>
      <c r="C1806" s="390"/>
      <c r="D1806" s="391"/>
      <c r="E1806" s="390"/>
      <c r="F1806" s="391"/>
      <c r="G1806" s="390"/>
      <c r="H1806" s="394"/>
    </row>
    <row r="1807" spans="1:8" ht="15.75" customHeight="1" x14ac:dyDescent="0.25">
      <c r="A1807" s="390" t="s">
        <v>30</v>
      </c>
      <c r="B1807" s="390"/>
      <c r="C1807" s="390"/>
      <c r="D1807" s="391"/>
      <c r="E1807" s="390"/>
      <c r="F1807" s="391"/>
      <c r="G1807" s="390"/>
      <c r="H1807" s="394"/>
    </row>
    <row r="1808" spans="1:8" ht="15.75" customHeight="1" x14ac:dyDescent="0.25">
      <c r="A1808" s="390"/>
      <c r="B1808" s="390"/>
      <c r="C1808" s="390"/>
      <c r="D1808" s="391"/>
      <c r="E1808" s="390"/>
      <c r="F1808" s="391"/>
      <c r="G1808" s="390"/>
      <c r="H1808" s="394"/>
    </row>
    <row r="1809" spans="1:8" ht="15.75" customHeight="1" x14ac:dyDescent="0.25">
      <c r="A1809" s="390" t="s">
        <v>716</v>
      </c>
      <c r="B1809" s="390"/>
      <c r="C1809" s="390"/>
      <c r="D1809" s="391"/>
      <c r="E1809" s="390"/>
      <c r="F1809" s="391"/>
      <c r="G1809" s="390"/>
      <c r="H1809" s="394"/>
    </row>
    <row r="1810" spans="1:8" ht="15.75" customHeight="1" x14ac:dyDescent="0.25">
      <c r="A1810" s="390" t="s">
        <v>717</v>
      </c>
      <c r="B1810" s="390"/>
      <c r="C1810" s="390"/>
      <c r="D1810" s="391"/>
      <c r="E1810" s="390"/>
      <c r="F1810" s="391"/>
      <c r="G1810" s="390"/>
      <c r="H1810" s="394"/>
    </row>
    <row r="1811" spans="1:8" ht="15.75" customHeight="1" x14ac:dyDescent="0.25">
      <c r="A1811" s="390"/>
      <c r="B1811" s="390"/>
      <c r="C1811" s="390"/>
      <c r="D1811" s="391"/>
      <c r="E1811" s="390"/>
      <c r="F1811" s="391"/>
      <c r="G1811" s="390"/>
      <c r="H1811" s="394"/>
    </row>
    <row r="1812" spans="1:8" ht="15.75" customHeight="1" x14ac:dyDescent="0.25">
      <c r="A1812" s="399" t="s">
        <v>33</v>
      </c>
      <c r="B1812" s="400" t="s">
        <v>6</v>
      </c>
      <c r="C1812" s="400"/>
      <c r="D1812" s="401" t="s">
        <v>37</v>
      </c>
      <c r="E1812" s="402" t="s">
        <v>38</v>
      </c>
      <c r="F1812" s="403" t="s">
        <v>7</v>
      </c>
      <c r="G1812" s="404" t="s">
        <v>43</v>
      </c>
      <c r="H1812" s="405" t="s">
        <v>44</v>
      </c>
    </row>
    <row r="1813" spans="1:8" ht="15.75" customHeight="1" x14ac:dyDescent="0.25">
      <c r="A1813" s="406"/>
      <c r="B1813" s="407"/>
      <c r="C1813" s="393"/>
      <c r="D1813" s="408"/>
      <c r="E1813" s="408"/>
      <c r="F1813" s="409"/>
      <c r="G1813" s="410"/>
      <c r="H1813" s="411"/>
    </row>
    <row r="1814" spans="1:8" ht="15.75" customHeight="1" x14ac:dyDescent="0.25">
      <c r="A1814" s="412"/>
      <c r="B1814" s="422" t="s">
        <v>51</v>
      </c>
      <c r="C1814" s="422"/>
      <c r="D1814" s="415"/>
      <c r="E1814" s="415"/>
      <c r="F1814" s="415"/>
      <c r="G1814" s="415"/>
      <c r="H1814" s="416"/>
    </row>
    <row r="1815" spans="1:8" ht="15.75" customHeight="1" x14ac:dyDescent="0.25">
      <c r="A1815" s="412" t="s">
        <v>55</v>
      </c>
      <c r="B1815" s="417" t="s">
        <v>988</v>
      </c>
      <c r="C1815" s="418" t="s">
        <v>376</v>
      </c>
      <c r="D1815" s="415">
        <v>2</v>
      </c>
      <c r="E1815" s="415">
        <v>6</v>
      </c>
      <c r="F1815" s="415">
        <f>+E1815*D1815</f>
      </c>
      <c r="G1815" s="415">
        <v>1</v>
      </c>
      <c r="H1815" s="416">
        <f>+G1815*F1815</f>
      </c>
    </row>
    <row r="1816" spans="1:8" ht="15.75" customHeight="1" x14ac:dyDescent="0.25">
      <c r="A1816" s="425"/>
      <c r="B1816" s="426"/>
      <c r="C1816" s="390"/>
      <c r="D1816" s="427"/>
      <c r="E1816" s="427"/>
      <c r="F1816" s="428"/>
      <c r="G1816" s="427"/>
      <c r="H1816" s="429"/>
    </row>
    <row r="1817" spans="1:8" ht="15.75" customHeight="1" x14ac:dyDescent="0.25">
      <c r="A1817" s="425"/>
      <c r="B1817" s="426"/>
      <c r="C1817" s="390"/>
      <c r="D1817" s="427"/>
      <c r="E1817" s="427"/>
      <c r="F1817" s="428"/>
      <c r="G1817" s="427"/>
      <c r="H1817" s="429"/>
    </row>
    <row r="1818" spans="1:8" ht="15.75" customHeight="1" x14ac:dyDescent="0.25">
      <c r="A1818" s="425"/>
      <c r="B1818" s="426"/>
      <c r="C1818" s="390"/>
      <c r="D1818" s="427"/>
      <c r="E1818" s="427"/>
      <c r="F1818" s="428"/>
      <c r="G1818" s="427"/>
      <c r="H1818" s="429"/>
    </row>
    <row r="1819" spans="1:8" ht="15.75" customHeight="1" x14ac:dyDescent="0.25">
      <c r="A1819" s="425"/>
      <c r="B1819" s="426"/>
      <c r="C1819" s="390"/>
      <c r="D1819" s="427"/>
      <c r="E1819" s="427"/>
      <c r="F1819" s="428"/>
      <c r="G1819" s="427"/>
      <c r="H1819" s="429"/>
    </row>
    <row r="1820" spans="1:8" ht="15.75" customHeight="1" x14ac:dyDescent="0.25">
      <c r="A1820" s="425"/>
      <c r="B1820" s="426"/>
      <c r="C1820" s="390"/>
      <c r="D1820" s="427"/>
      <c r="E1820" s="427"/>
      <c r="F1820" s="428"/>
      <c r="G1820" s="427"/>
      <c r="H1820" s="429"/>
    </row>
    <row r="1821" spans="1:8" ht="15.75" customHeight="1" x14ac:dyDescent="0.25">
      <c r="A1821" s="425"/>
      <c r="B1821" s="426"/>
      <c r="C1821" s="390"/>
      <c r="D1821" s="427"/>
      <c r="E1821" s="427"/>
      <c r="F1821" s="428"/>
      <c r="G1821" s="427"/>
      <c r="H1821" s="429"/>
    </row>
    <row r="1822" spans="1:8" ht="15.75" customHeight="1" x14ac:dyDescent="0.25">
      <c r="A1822" s="425"/>
      <c r="B1822" s="426"/>
      <c r="C1822" s="390"/>
      <c r="D1822" s="427"/>
      <c r="E1822" s="427"/>
      <c r="F1822" s="428"/>
      <c r="G1822" s="427"/>
      <c r="H1822" s="429"/>
    </row>
    <row r="1823" spans="1:8" ht="15.75" customHeight="1" x14ac:dyDescent="0.25">
      <c r="A1823" s="425"/>
      <c r="B1823" s="426"/>
      <c r="C1823" s="390"/>
      <c r="D1823" s="427"/>
      <c r="E1823" s="427"/>
      <c r="F1823" s="428"/>
      <c r="G1823" s="427"/>
      <c r="H1823" s="429"/>
    </row>
    <row r="1824" spans="1:8" ht="15.75" customHeight="1" x14ac:dyDescent="0.25">
      <c r="A1824" s="425"/>
      <c r="B1824" s="426"/>
      <c r="C1824" s="390"/>
      <c r="D1824" s="427"/>
      <c r="E1824" s="427"/>
      <c r="F1824" s="428"/>
      <c r="G1824" s="427"/>
      <c r="H1824" s="429"/>
    </row>
    <row r="1825" spans="1:8" ht="15.75" customHeight="1" x14ac:dyDescent="0.25">
      <c r="A1825" s="425"/>
      <c r="B1825" s="426"/>
      <c r="C1825" s="390"/>
      <c r="D1825" s="427"/>
      <c r="E1825" s="427"/>
      <c r="F1825" s="428"/>
      <c r="G1825" s="427"/>
      <c r="H1825" s="429"/>
    </row>
    <row r="1826" spans="1:8" ht="15.75" customHeight="1" x14ac:dyDescent="0.25">
      <c r="A1826" s="425"/>
      <c r="B1826" s="426"/>
      <c r="C1826" s="390"/>
      <c r="D1826" s="427"/>
      <c r="E1826" s="427"/>
      <c r="F1826" s="428"/>
      <c r="G1826" s="427"/>
      <c r="H1826" s="429"/>
    </row>
    <row r="1827" spans="1:8" ht="15.75" customHeight="1" x14ac:dyDescent="0.25">
      <c r="A1827" s="430"/>
      <c r="B1827" s="409"/>
      <c r="C1827" s="393"/>
      <c r="D1827" s="427"/>
      <c r="E1827" s="427"/>
      <c r="F1827" s="428"/>
      <c r="G1827" s="431"/>
      <c r="H1827" s="429"/>
    </row>
    <row r="1828" spans="1:8" ht="15.75" customHeight="1" x14ac:dyDescent="0.25">
      <c r="A1828" s="432"/>
      <c r="B1828" s="433"/>
      <c r="C1828" s="434" t="s">
        <v>85</v>
      </c>
      <c r="D1828" s="435">
        <f>SUM(D1814:D1827)</f>
      </c>
      <c r="E1828" s="435"/>
      <c r="F1828" s="436"/>
      <c r="G1828" s="437"/>
      <c r="H1828" s="438">
        <f>SUM(H1814:H1827)</f>
      </c>
    </row>
    <row r="1829" spans="1:8" ht="15.75" customHeight="1" x14ac:dyDescent="0.25">
      <c r="A1829" s="439"/>
      <c r="B1829" s="440"/>
      <c r="C1829" s="440"/>
      <c r="D1829" s="441"/>
      <c r="E1829" s="440"/>
      <c r="F1829" s="442"/>
      <c r="G1829" s="443"/>
      <c r="H1829" s="444"/>
    </row>
    <row r="1830" spans="1:8" ht="15.75" customHeight="1" x14ac:dyDescent="0.25">
      <c r="A1830" s="392" t="s">
        <v>913</v>
      </c>
      <c r="B1830" s="391"/>
      <c r="C1830" s="391"/>
      <c r="D1830" s="391"/>
      <c r="E1830" s="390"/>
      <c r="F1830" s="392"/>
      <c r="G1830" s="390"/>
      <c r="H1830" s="394"/>
    </row>
    <row r="1831" spans="1:8" ht="15.75" customHeight="1" x14ac:dyDescent="0.25">
      <c r="A1831" s="445"/>
      <c r="B1831" s="445"/>
      <c r="C1831" s="445"/>
      <c r="D1831" s="446" t="s">
        <v>97</v>
      </c>
      <c r="E1831" s="445" t="s">
        <v>98</v>
      </c>
      <c r="F1831" s="445"/>
      <c r="G1831" s="390"/>
      <c r="H1831" s="394"/>
    </row>
    <row r="1832" spans="1:8" ht="15.75" customHeight="1" x14ac:dyDescent="0.25">
      <c r="A1832" s="390"/>
      <c r="B1832" s="390"/>
      <c r="C1832" s="390"/>
      <c r="D1832" s="391"/>
      <c r="E1832" s="390"/>
      <c r="F1832" s="390"/>
      <c r="G1832" s="390"/>
      <c r="H1832" s="394"/>
    </row>
    <row r="1833" spans="1:8" ht="15.75" customHeight="1" x14ac:dyDescent="0.25">
      <c r="A1833" s="390"/>
      <c r="B1833" s="390"/>
      <c r="C1833" s="390"/>
      <c r="D1833" s="391"/>
      <c r="E1833" s="390"/>
      <c r="F1833" s="390"/>
      <c r="G1833" s="390"/>
      <c r="H1833" s="394"/>
    </row>
    <row r="1834" spans="1:8" ht="15.75" customHeight="1" x14ac:dyDescent="0.25">
      <c r="A1834" s="445"/>
      <c r="B1834" s="445"/>
      <c r="C1834" s="445"/>
      <c r="D1834" s="446"/>
      <c r="E1834" s="445" t="s">
        <v>99</v>
      </c>
      <c r="F1834" s="445"/>
      <c r="G1834" s="390"/>
      <c r="H1834" s="394"/>
    </row>
    <row r="1835" spans="1:8" ht="15.75" customHeight="1" x14ac:dyDescent="0.25">
      <c r="D1835" s="4"/>
      <c r="H1835" s="4"/>
    </row>
    <row r="1836" spans="1:8" ht="15.75" customHeight="1" x14ac:dyDescent="0.25">
      <c r="D1836" s="4"/>
      <c r="H1836" s="4"/>
    </row>
    <row r="1837" spans="1:8" ht="15.75" customHeight="1" x14ac:dyDescent="0.25">
      <c r="D1837" s="4"/>
      <c r="H1837" s="4"/>
    </row>
    <row r="1838" spans="1:8" ht="15.75" customHeight="1" x14ac:dyDescent="0.25">
      <c r="D1838" s="4"/>
      <c r="H1838" s="4"/>
    </row>
    <row r="1839" spans="1:8" ht="15.75" customHeight="1" x14ac:dyDescent="0.25">
      <c r="D1839" s="4"/>
      <c r="H1839" s="4"/>
    </row>
    <row r="1840" spans="1:8" ht="15.75" customHeight="1" x14ac:dyDescent="0.25">
      <c r="D1840" s="4"/>
      <c r="H1840" s="4"/>
    </row>
    <row r="1841" spans="1:20" ht="15.75" customHeight="1" x14ac:dyDescent="0.25">
      <c r="D1841" s="4"/>
      <c r="H1841" s="4"/>
    </row>
    <row r="1842" spans="1:20" ht="15.75" customHeight="1" x14ac:dyDescent="0.25">
      <c r="D1842" s="4"/>
      <c r="H1842" s="4"/>
    </row>
    <row r="1843" spans="1:20" ht="15.75" customHeight="1" x14ac:dyDescent="0.25">
      <c r="D1843" s="4"/>
      <c r="H1843" s="4"/>
    </row>
    <row r="1844" spans="1:20" ht="15.75" customHeight="1" x14ac:dyDescent="0.25">
      <c r="A1844" s="452" t="s">
        <v>14</v>
      </c>
      <c r="B1844" s="452"/>
      <c r="C1844" s="452"/>
      <c r="D1844" s="452"/>
      <c r="E1844" s="452"/>
      <c r="F1844" s="452"/>
      <c r="G1844" s="452"/>
      <c r="H1844" s="452"/>
    </row>
    <row r="1845" spans="1:20" ht="15.75" customHeight="1" x14ac:dyDescent="0.25">
      <c r="D1845" s="4"/>
      <c r="H1845" s="8"/>
    </row>
    <row r="1846" spans="1:20" ht="15.75" customHeight="1" x14ac:dyDescent="0.25">
      <c r="A1846" s="15"/>
      <c r="B1846" s="15"/>
      <c r="C1846" s="16"/>
      <c r="D1846" s="17"/>
      <c r="E1846" s="18"/>
      <c r="F1846" s="18"/>
      <c r="G1846" s="18"/>
      <c r="H1846" s="19"/>
      <c r="I1846" s="388"/>
      <c r="J1846" s="388"/>
      <c r="K1846" s="388"/>
      <c r="L1846" s="388"/>
      <c r="M1846" s="388"/>
      <c r="N1846" s="388"/>
      <c r="O1846" s="388"/>
      <c r="P1846" s="388"/>
      <c r="Q1846" s="388"/>
      <c r="R1846" s="388"/>
      <c r="S1846" s="388"/>
      <c r="T1846" s="388"/>
    </row>
    <row r="1847" spans="1:20" ht="15.75" customHeight="1" x14ac:dyDescent="0.3">
      <c r="A1847" s="453"/>
      <c r="B1847" s="453"/>
      <c r="C1847" s="453"/>
      <c r="D1847" s="454"/>
      <c r="E1847" s="453"/>
      <c r="F1847" s="455" t="s">
        <v>18</v>
      </c>
      <c r="G1847" s="456" t="s">
        <v>597</v>
      </c>
      <c r="H1847" s="457"/>
      <c r="I1847" s="388"/>
      <c r="J1847" s="388"/>
      <c r="K1847" s="388"/>
      <c r="L1847" s="388"/>
      <c r="M1847" s="388"/>
      <c r="N1847" s="388"/>
      <c r="O1847" s="388"/>
      <c r="P1847" s="388"/>
      <c r="Q1847" s="388"/>
      <c r="R1847" s="388"/>
      <c r="S1847" s="388"/>
      <c r="T1847" s="388"/>
    </row>
    <row r="1848" spans="1:20" ht="15.75" customHeight="1" x14ac:dyDescent="0.3">
      <c r="A1848" s="453" t="s">
        <v>20</v>
      </c>
      <c r="B1848" s="453"/>
      <c r="C1848" s="453"/>
      <c r="D1848" s="454"/>
      <c r="E1848" s="453"/>
      <c r="F1848" s="455" t="s">
        <v>21</v>
      </c>
      <c r="G1848" s="453" t="s">
        <v>1030</v>
      </c>
      <c r="H1848" s="454"/>
      <c r="I1848" s="388"/>
      <c r="J1848" s="388"/>
      <c r="K1848" s="388"/>
      <c r="L1848" s="388"/>
      <c r="M1848" s="388"/>
      <c r="N1848" s="388"/>
      <c r="O1848" s="388"/>
      <c r="P1848" s="388"/>
      <c r="Q1848" s="388"/>
      <c r="R1848" s="388"/>
      <c r="S1848" s="388"/>
      <c r="T1848" s="388"/>
    </row>
    <row r="1849" spans="1:20" ht="15.75" customHeight="1" x14ac:dyDescent="0.3">
      <c r="A1849" s="453" t="inlineStr">
        <is>
          <t>Dealer-003</t>
        </is>
      </c>
      <c r="B1849" s="453"/>
      <c r="C1849" s="453"/>
      <c r="D1849" s="454"/>
      <c r="E1849" s="455"/>
      <c r="F1849" s="453"/>
      <c r="G1849" s="453"/>
      <c r="H1849" s="458"/>
      <c r="I1849" s="388"/>
      <c r="J1849" s="388"/>
      <c r="K1849" s="388"/>
      <c r="L1849" s="388"/>
      <c r="M1849" s="388"/>
      <c r="N1849" s="388"/>
      <c r="O1849" s="388"/>
      <c r="P1849" s="388"/>
      <c r="Q1849" s="388"/>
      <c r="R1849" s="388"/>
      <c r="S1849" s="388"/>
      <c r="T1849" s="388"/>
    </row>
    <row r="1850" spans="1:20" ht="15.75" customHeight="1" x14ac:dyDescent="0.3">
      <c r="A1850" s="453" t="inlineStr">
        <is>
          <t>Address line (redacted)</t>
        </is>
      </c>
      <c r="B1850" s="453"/>
      <c r="C1850" s="453"/>
      <c r="D1850" s="459"/>
      <c r="E1850" s="453"/>
      <c r="F1850" s="454"/>
      <c r="G1850" s="453"/>
      <c r="H1850" s="458"/>
      <c r="I1850" s="388"/>
      <c r="J1850" s="388"/>
      <c r="K1850" s="388"/>
      <c r="L1850" s="388"/>
      <c r="M1850" s="388"/>
      <c r="N1850" s="388"/>
      <c r="O1850" s="388"/>
      <c r="P1850" s="388"/>
      <c r="Q1850" s="388"/>
      <c r="R1850" s="388"/>
      <c r="S1850" s="388"/>
      <c r="T1850" s="388"/>
    </row>
    <row r="1851" spans="1:20" ht="15.75" customHeight="1" x14ac:dyDescent="0.3">
      <c r="A1851" s="453" t="inlineStr">
        <is>
          <t>Address line (redacted)</t>
        </is>
      </c>
      <c r="B1851" s="453"/>
      <c r="C1851" s="453"/>
      <c r="D1851" s="459"/>
      <c r="E1851" s="453"/>
      <c r="F1851" s="454"/>
      <c r="G1851" s="453"/>
      <c r="H1851" s="458"/>
      <c r="I1851" s="388"/>
      <c r="J1851" s="388"/>
      <c r="K1851" s="388"/>
      <c r="L1851" s="388"/>
      <c r="M1851" s="388"/>
      <c r="N1851" s="388"/>
      <c r="O1851" s="388"/>
      <c r="P1851" s="388"/>
      <c r="Q1851" s="388"/>
      <c r="R1851" s="388"/>
      <c r="S1851" s="388"/>
      <c r="T1851" s="388"/>
    </row>
    <row r="1852" spans="1:20" ht="15.75" customHeight="1" x14ac:dyDescent="0.3">
      <c r="A1852" s="460"/>
      <c r="B1852" s="453"/>
      <c r="C1852" s="453"/>
      <c r="D1852" s="454"/>
      <c r="E1852" s="453"/>
      <c r="F1852" s="454"/>
      <c r="G1852" s="453"/>
      <c r="H1852" s="458"/>
      <c r="I1852" s="388"/>
      <c r="J1852" s="388"/>
      <c r="K1852" s="388"/>
      <c r="L1852" s="388"/>
      <c r="M1852" s="388"/>
      <c r="N1852" s="388"/>
      <c r="O1852" s="388"/>
      <c r="P1852" s="388"/>
      <c r="Q1852" s="388"/>
      <c r="R1852" s="388"/>
      <c r="S1852" s="388"/>
      <c r="T1852" s="388"/>
    </row>
    <row r="1853" spans="1:20" ht="15.75" customHeight="1" x14ac:dyDescent="0.3">
      <c r="A1853" s="453" t="s">
        <v>30</v>
      </c>
      <c r="B1853" s="453"/>
      <c r="C1853" s="453"/>
      <c r="D1853" s="454"/>
      <c r="E1853" s="453"/>
      <c r="F1853" s="454"/>
      <c r="G1853" s="453"/>
      <c r="H1853" s="458"/>
      <c r="I1853" s="388"/>
      <c r="J1853" s="388"/>
      <c r="K1853" s="388"/>
      <c r="L1853" s="388"/>
      <c r="M1853" s="388"/>
      <c r="N1853" s="388"/>
      <c r="O1853" s="388"/>
      <c r="P1853" s="388"/>
      <c r="Q1853" s="388"/>
      <c r="R1853" s="388"/>
      <c r="S1853" s="388"/>
      <c r="T1853" s="388"/>
    </row>
    <row r="1854" spans="1:20" ht="15.75" customHeight="1" x14ac:dyDescent="0.3">
      <c r="A1854" s="453"/>
      <c r="B1854" s="453"/>
      <c r="C1854" s="453"/>
      <c r="D1854" s="454"/>
      <c r="E1854" s="453"/>
      <c r="F1854" s="454"/>
      <c r="G1854" s="453"/>
      <c r="H1854" s="458"/>
      <c r="I1854" s="388"/>
      <c r="J1854" s="388"/>
      <c r="K1854" s="388"/>
      <c r="L1854" s="388"/>
      <c r="M1854" s="388"/>
      <c r="N1854" s="388"/>
      <c r="O1854" s="388"/>
      <c r="P1854" s="388"/>
      <c r="Q1854" s="388"/>
      <c r="R1854" s="388"/>
      <c r="S1854" s="388"/>
      <c r="T1854" s="388"/>
    </row>
    <row r="1855" spans="1:20" ht="15.75" customHeight="1" x14ac:dyDescent="0.3">
      <c r="A1855" s="453" t="s">
        <v>716</v>
      </c>
      <c r="B1855" s="453"/>
      <c r="C1855" s="453"/>
      <c r="D1855" s="454"/>
      <c r="E1855" s="453"/>
      <c r="F1855" s="454"/>
      <c r="G1855" s="453"/>
      <c r="H1855" s="458"/>
      <c r="I1855" s="388"/>
      <c r="J1855" s="388"/>
      <c r="K1855" s="388"/>
      <c r="L1855" s="388"/>
      <c r="M1855" s="388"/>
      <c r="N1855" s="388"/>
      <c r="O1855" s="388"/>
      <c r="P1855" s="388"/>
      <c r="Q1855" s="388"/>
      <c r="R1855" s="388"/>
      <c r="S1855" s="388"/>
      <c r="T1855" s="388"/>
    </row>
    <row r="1856" spans="1:20" ht="15.75" customHeight="1" x14ac:dyDescent="0.3">
      <c r="A1856" s="453" t="s">
        <v>717</v>
      </c>
      <c r="B1856" s="453"/>
      <c r="C1856" s="453"/>
      <c r="D1856" s="454"/>
      <c r="E1856" s="453"/>
      <c r="F1856" s="454"/>
      <c r="G1856" s="453"/>
      <c r="H1856" s="458"/>
      <c r="I1856" s="388"/>
      <c r="J1856" s="388"/>
      <c r="K1856" s="388"/>
      <c r="L1856" s="388"/>
      <c r="M1856" s="388"/>
      <c r="N1856" s="388"/>
      <c r="O1856" s="388"/>
      <c r="P1856" s="388"/>
      <c r="Q1856" s="388"/>
      <c r="R1856" s="388"/>
      <c r="S1856" s="388"/>
      <c r="T1856" s="388"/>
    </row>
    <row r="1857" spans="1:20" ht="15.75" customHeight="1" x14ac:dyDescent="0.3">
      <c r="A1857" s="453"/>
      <c r="B1857" s="453"/>
      <c r="C1857" s="453"/>
      <c r="D1857" s="454"/>
      <c r="E1857" s="453"/>
      <c r="F1857" s="454"/>
      <c r="G1857" s="453"/>
      <c r="H1857" s="458"/>
      <c r="I1857" s="388"/>
      <c r="J1857" s="388"/>
      <c r="K1857" s="388"/>
      <c r="L1857" s="388"/>
      <c r="M1857" s="388"/>
      <c r="N1857" s="388"/>
      <c r="O1857" s="388"/>
      <c r="P1857" s="388"/>
      <c r="Q1857" s="388"/>
      <c r="R1857" s="388"/>
      <c r="S1857" s="388"/>
      <c r="T1857" s="388"/>
    </row>
    <row r="1858" spans="1:20" ht="15.75" customHeight="1" x14ac:dyDescent="0.3">
      <c r="A1858" s="461" t="s">
        <v>33</v>
      </c>
      <c r="B1858" s="462" t="s">
        <v>6</v>
      </c>
      <c r="C1858" s="462"/>
      <c r="D1858" s="463" t="s">
        <v>37</v>
      </c>
      <c r="E1858" s="464" t="s">
        <v>38</v>
      </c>
      <c r="F1858" s="465" t="s">
        <v>7</v>
      </c>
      <c r="G1858" s="466" t="s">
        <v>43</v>
      </c>
      <c r="H1858" s="467" t="s">
        <v>44</v>
      </c>
      <c r="I1858" s="388"/>
      <c r="J1858" s="388"/>
      <c r="K1858" s="388"/>
      <c r="L1858" s="388"/>
      <c r="M1858" s="388"/>
      <c r="N1858" s="388"/>
      <c r="O1858" s="388"/>
      <c r="P1858" s="388"/>
      <c r="Q1858" s="388"/>
      <c r="R1858" s="388"/>
      <c r="S1858" s="388"/>
      <c r="T1858" s="388"/>
    </row>
    <row r="1859" spans="1:20" ht="15.75" customHeight="1" x14ac:dyDescent="0.3">
      <c r="A1859" s="468"/>
      <c r="B1859" s="469"/>
      <c r="C1859" s="470"/>
      <c r="D1859" s="471"/>
      <c r="E1859" s="471"/>
      <c r="F1859" s="472"/>
      <c r="G1859" s="473"/>
      <c r="H1859" s="474"/>
      <c r="I1859" s="388"/>
      <c r="J1859" s="388"/>
      <c r="K1859" s="388"/>
      <c r="L1859" s="388"/>
      <c r="M1859" s="388"/>
      <c r="N1859" s="388"/>
      <c r="O1859" s="388"/>
      <c r="P1859" s="388"/>
      <c r="Q1859" s="388"/>
      <c r="R1859" s="388"/>
      <c r="S1859" s="388"/>
      <c r="T1859" s="388"/>
    </row>
    <row r="1860" spans="1:20" ht="15.75" customHeight="1" x14ac:dyDescent="0.3">
      <c r="A1860" s="475" t="s">
        <v>55</v>
      </c>
      <c r="B1860" s="476" t="s">
        <v>533</v>
      </c>
      <c r="C1860" s="477"/>
      <c r="D1860" s="478">
        <v>55</v>
      </c>
      <c r="E1860" s="478">
        <v>1</v>
      </c>
      <c r="F1860" s="454">
        <f>+E1860*D1860</f>
      </c>
      <c r="G1860" s="478">
        <v>1</v>
      </c>
      <c r="H1860" s="479">
        <f>+G1860*F1860</f>
      </c>
      <c r="I1860" s="388"/>
      <c r="J1860" s="388"/>
      <c r="K1860" s="388"/>
      <c r="L1860" s="388"/>
      <c r="M1860" s="388"/>
      <c r="N1860" s="388"/>
      <c r="O1860" s="388"/>
      <c r="P1860" s="388"/>
      <c r="Q1860" s="388"/>
      <c r="R1860" s="388"/>
      <c r="S1860" s="388"/>
      <c r="T1860" s="388"/>
    </row>
    <row r="1861" spans="1:20" ht="15.75" customHeight="1" x14ac:dyDescent="0.3">
      <c r="A1861" s="475"/>
      <c r="B1861" s="480" t="s">
        <v>534</v>
      </c>
      <c r="C1861" s="481"/>
      <c r="D1861" s="478"/>
      <c r="E1861" s="478"/>
      <c r="F1861" s="454"/>
      <c r="G1861" s="478"/>
      <c r="H1861" s="479"/>
      <c r="I1861" s="388"/>
      <c r="J1861" s="388"/>
      <c r="K1861" s="388"/>
      <c r="L1861" s="388"/>
      <c r="M1861" s="388"/>
      <c r="N1861" s="388"/>
      <c r="O1861" s="388"/>
      <c r="P1861" s="388"/>
      <c r="Q1861" s="388"/>
      <c r="R1861" s="388"/>
      <c r="S1861" s="388"/>
      <c r="T1861" s="388"/>
    </row>
    <row r="1862" spans="1:20" ht="15.75" customHeight="1" x14ac:dyDescent="0.3">
      <c r="A1862" s="475"/>
      <c r="B1862" s="482"/>
      <c r="C1862" s="453"/>
      <c r="D1862" s="478"/>
      <c r="E1862" s="478"/>
      <c r="F1862" s="454"/>
      <c r="G1862" s="478"/>
      <c r="H1862" s="479"/>
      <c r="I1862" s="388"/>
      <c r="J1862" s="388"/>
      <c r="K1862" s="388"/>
      <c r="L1862" s="388"/>
      <c r="M1862" s="388"/>
      <c r="N1862" s="388"/>
      <c r="O1862" s="388"/>
      <c r="P1862" s="388"/>
      <c r="Q1862" s="388"/>
      <c r="R1862" s="388"/>
      <c r="S1862" s="388"/>
      <c r="T1862" s="388"/>
    </row>
    <row r="1863" spans="1:20" ht="15.75" customHeight="1" x14ac:dyDescent="0.3">
      <c r="A1863" s="475"/>
      <c r="B1863" s="482"/>
      <c r="C1863" s="453"/>
      <c r="D1863" s="478"/>
      <c r="E1863" s="478"/>
      <c r="F1863" s="454"/>
      <c r="G1863" s="478"/>
      <c r="H1863" s="479"/>
      <c r="I1863" s="388"/>
      <c r="J1863" s="388"/>
      <c r="K1863" s="388"/>
      <c r="L1863" s="388"/>
      <c r="M1863" s="388"/>
      <c r="N1863" s="388"/>
      <c r="O1863" s="388"/>
      <c r="P1863" s="388"/>
      <c r="Q1863" s="388"/>
      <c r="R1863" s="388"/>
      <c r="S1863" s="388"/>
      <c r="T1863" s="388"/>
    </row>
    <row r="1864" spans="1:20" ht="15.75" customHeight="1" x14ac:dyDescent="0.3">
      <c r="A1864" s="475"/>
      <c r="B1864" s="482"/>
      <c r="C1864" s="453"/>
      <c r="D1864" s="478"/>
      <c r="E1864" s="478"/>
      <c r="F1864" s="454"/>
      <c r="G1864" s="478"/>
      <c r="H1864" s="479"/>
      <c r="I1864" s="388"/>
      <c r="J1864" s="388"/>
      <c r="K1864" s="388"/>
      <c r="L1864" s="388"/>
      <c r="M1864" s="388"/>
      <c r="N1864" s="388"/>
      <c r="O1864" s="388"/>
      <c r="P1864" s="388"/>
      <c r="Q1864" s="388"/>
      <c r="R1864" s="388"/>
      <c r="S1864" s="388"/>
      <c r="T1864" s="388"/>
    </row>
    <row r="1865" spans="1:20" ht="15.75" customHeight="1" x14ac:dyDescent="0.3">
      <c r="A1865" s="483"/>
      <c r="B1865" s="472"/>
      <c r="C1865" s="470"/>
      <c r="D1865" s="478"/>
      <c r="E1865" s="478"/>
      <c r="F1865" s="484"/>
      <c r="G1865" s="485"/>
      <c r="H1865" s="479"/>
      <c r="I1865" s="388"/>
      <c r="J1865" s="388"/>
      <c r="K1865" s="388"/>
      <c r="L1865" s="388"/>
      <c r="M1865" s="388"/>
      <c r="N1865" s="388"/>
      <c r="O1865" s="388"/>
      <c r="P1865" s="388"/>
      <c r="Q1865" s="388"/>
      <c r="R1865" s="388"/>
      <c r="S1865" s="388"/>
      <c r="T1865" s="388"/>
    </row>
    <row r="1866" spans="1:20" ht="15.75" customHeight="1" x14ac:dyDescent="0.3">
      <c r="A1866" s="486"/>
      <c r="B1866" s="487"/>
      <c r="C1866" s="488" t="s">
        <v>85</v>
      </c>
      <c r="D1866" s="489">
        <f>SUM(D1860:D1865)</f>
      </c>
      <c r="E1866" s="489"/>
      <c r="F1866" s="490"/>
      <c r="G1866" s="491"/>
      <c r="H1866" s="492">
        <f>SUM(H1860:H1865)</f>
      </c>
      <c r="I1866" s="388"/>
      <c r="J1866" s="388"/>
      <c r="K1866" s="388"/>
      <c r="L1866" s="388"/>
      <c r="M1866" s="388"/>
      <c r="N1866" s="388"/>
      <c r="O1866" s="388"/>
      <c r="P1866" s="388"/>
      <c r="Q1866" s="388"/>
      <c r="R1866" s="388"/>
      <c r="S1866" s="388"/>
      <c r="T1866" s="388"/>
    </row>
    <row r="1867" spans="1:20" ht="15.75" customHeight="1" x14ac:dyDescent="0.3">
      <c r="A1867" s="493"/>
      <c r="B1867" s="494"/>
      <c r="C1867" s="494"/>
      <c r="D1867" s="495"/>
      <c r="E1867" s="494"/>
      <c r="F1867" s="496"/>
      <c r="G1867" s="497"/>
      <c r="H1867" s="498"/>
      <c r="I1867" s="388"/>
      <c r="J1867" s="388"/>
      <c r="K1867" s="388"/>
      <c r="L1867" s="388"/>
      <c r="M1867" s="388"/>
      <c r="N1867" s="388"/>
      <c r="O1867" s="388"/>
      <c r="P1867" s="388"/>
      <c r="Q1867" s="388"/>
      <c r="R1867" s="388"/>
      <c r="S1867" s="388"/>
      <c r="T1867" s="388"/>
    </row>
    <row r="1868" spans="1:20" ht="15.75" customHeight="1" x14ac:dyDescent="0.3">
      <c r="A1868" s="499"/>
      <c r="B1868" s="454"/>
      <c r="C1868" s="454"/>
      <c r="D1868" s="454"/>
      <c r="E1868" s="453"/>
      <c r="F1868" s="499"/>
      <c r="G1868" s="453"/>
      <c r="H1868" s="458"/>
      <c r="I1868" s="388"/>
      <c r="J1868" s="388"/>
      <c r="K1868" s="388"/>
      <c r="L1868" s="388"/>
      <c r="M1868" s="388"/>
      <c r="N1868" s="388"/>
      <c r="O1868" s="388"/>
      <c r="P1868" s="388"/>
      <c r="Q1868" s="388"/>
      <c r="R1868" s="388"/>
      <c r="S1868" s="388"/>
      <c r="T1868" s="388"/>
    </row>
    <row r="1869" spans="1:20" ht="15.75" customHeight="1" x14ac:dyDescent="0.3">
      <c r="A1869" s="500"/>
      <c r="B1869" s="500"/>
      <c r="C1869" s="500"/>
      <c r="D1869" s="501" t="s">
        <v>97</v>
      </c>
      <c r="E1869" s="500" t="s">
        <v>98</v>
      </c>
      <c r="F1869" s="500"/>
      <c r="G1869" s="453"/>
      <c r="H1869" s="458"/>
      <c r="I1869" s="388"/>
      <c r="J1869" s="388"/>
      <c r="K1869" s="388"/>
      <c r="L1869" s="388"/>
      <c r="M1869" s="388"/>
      <c r="N1869" s="388"/>
      <c r="O1869" s="388"/>
      <c r="P1869" s="388"/>
      <c r="Q1869" s="388"/>
      <c r="R1869" s="388"/>
      <c r="S1869" s="388"/>
      <c r="T1869" s="388"/>
    </row>
    <row r="1870" spans="1:20" ht="15.75" customHeight="1" x14ac:dyDescent="0.3">
      <c r="A1870" s="453"/>
      <c r="B1870" s="453"/>
      <c r="C1870" s="453"/>
      <c r="D1870" s="454"/>
      <c r="E1870" s="453"/>
      <c r="F1870" s="453"/>
      <c r="G1870" s="453"/>
      <c r="H1870" s="458"/>
      <c r="I1870" s="388"/>
      <c r="J1870" s="388"/>
      <c r="K1870" s="388"/>
      <c r="L1870" s="388"/>
      <c r="M1870" s="388"/>
      <c r="N1870" s="388"/>
      <c r="O1870" s="388"/>
      <c r="P1870" s="388"/>
      <c r="Q1870" s="388"/>
      <c r="R1870" s="388"/>
      <c r="S1870" s="388"/>
      <c r="T1870" s="388"/>
    </row>
    <row r="1871" spans="1:20" ht="15.75" customHeight="1" x14ac:dyDescent="0.3">
      <c r="A1871" s="453"/>
      <c r="B1871" s="453"/>
      <c r="C1871" s="453"/>
      <c r="D1871" s="454"/>
      <c r="E1871" s="453"/>
      <c r="F1871" s="453"/>
      <c r="G1871" s="453"/>
      <c r="H1871" s="458"/>
      <c r="I1871" s="388"/>
      <c r="J1871" s="388"/>
      <c r="K1871" s="388"/>
      <c r="L1871" s="388"/>
      <c r="M1871" s="388"/>
      <c r="N1871" s="388"/>
      <c r="O1871" s="388"/>
      <c r="P1871" s="388"/>
      <c r="Q1871" s="388"/>
      <c r="R1871" s="388"/>
      <c r="S1871" s="388"/>
      <c r="T1871" s="388"/>
    </row>
    <row r="1872" spans="1:20" ht="15.75" customHeight="1" x14ac:dyDescent="0.3">
      <c r="A1872" s="500"/>
      <c r="B1872" s="500"/>
      <c r="C1872" s="500"/>
      <c r="D1872" s="501"/>
      <c r="E1872" s="500" t="s">
        <v>99</v>
      </c>
      <c r="F1872" s="500"/>
      <c r="G1872" s="453"/>
      <c r="H1872" s="458"/>
    </row>
    <row r="1873" spans="4:8" ht="15.75" customHeight="1" x14ac:dyDescent="0.25">
      <c r="D1873" s="4"/>
      <c r="H1873" s="4"/>
    </row>
    <row r="1874" spans="4:8" ht="15.75" customHeight="1" x14ac:dyDescent="0.25">
      <c r="D1874" s="4"/>
      <c r="H1874" s="4"/>
    </row>
    <row r="1875" spans="4:8" ht="15.75" customHeight="1" x14ac:dyDescent="0.25">
      <c r="D1875" s="4"/>
      <c r="H1875" s="4"/>
    </row>
    <row r="1876" spans="4:8" ht="15.75" customHeight="1" x14ac:dyDescent="0.25">
      <c r="D1876" s="4"/>
      <c r="H1876" s="4"/>
    </row>
    <row r="1877" spans="4:8" ht="15.75" customHeight="1" x14ac:dyDescent="0.25">
      <c r="D1877" s="4"/>
      <c r="H1877" s="4"/>
    </row>
    <row r="1878" spans="4:8" ht="15.75" customHeight="1" x14ac:dyDescent="0.25">
      <c r="D1878" s="4"/>
      <c r="H1878" s="4"/>
    </row>
    <row r="1879" spans="4:8" ht="15.75" customHeight="1" x14ac:dyDescent="0.25">
      <c r="D1879" s="4"/>
      <c r="H1879" s="4"/>
    </row>
    <row r="1880" spans="4:8" ht="15.75" customHeight="1" x14ac:dyDescent="0.25">
      <c r="D1880" s="4"/>
      <c r="H1880" s="4"/>
    </row>
    <row r="1881" spans="4:8" ht="15.75" customHeight="1" x14ac:dyDescent="0.25">
      <c r="D1881" s="4"/>
      <c r="H1881" s="4"/>
    </row>
    <row r="1882" spans="4:8" ht="15.75" customHeight="1" x14ac:dyDescent="0.25">
      <c r="D1882" s="4"/>
      <c r="H1882" s="4"/>
    </row>
    <row r="1883" spans="4:8" ht="15.75" customHeight="1" x14ac:dyDescent="0.25">
      <c r="D1883" s="4"/>
      <c r="H1883" s="4"/>
    </row>
    <row r="1884" spans="4:8" ht="15.75" customHeight="1" x14ac:dyDescent="0.25">
      <c r="D1884" s="4"/>
      <c r="H1884" s="4"/>
    </row>
    <row r="1885" spans="4:8" ht="15.75" customHeight="1" x14ac:dyDescent="0.25">
      <c r="D1885" s="4"/>
      <c r="H1885" s="4"/>
    </row>
    <row r="1886" spans="4:8" ht="15.75" customHeight="1" x14ac:dyDescent="0.25">
      <c r="D1886" s="4"/>
      <c r="H1886" s="4"/>
    </row>
    <row r="1887" spans="4:8" ht="15.75" customHeight="1" x14ac:dyDescent="0.25">
      <c r="D1887" s="4"/>
      <c r="H1887" s="4"/>
    </row>
    <row r="1888" spans="4:8" ht="15.75" customHeight="1" x14ac:dyDescent="0.25">
      <c r="D1888" s="4"/>
      <c r="H1888" s="4"/>
    </row>
    <row r="1889" spans="1:8" ht="15.75" customHeight="1" x14ac:dyDescent="0.25">
      <c r="D1889" s="4"/>
      <c r="H1889" s="4"/>
    </row>
    <row r="1890" spans="1:8" ht="15.75" customHeight="1" x14ac:dyDescent="0.25">
      <c r="D1890" s="4"/>
      <c r="H1890" s="4"/>
    </row>
    <row r="1891" spans="1:8" ht="15.75" customHeight="1" x14ac:dyDescent="0.25">
      <c r="A1891" s="8" t="s">
        <v>14</v>
      </c>
      <c r="B1891" s="8"/>
      <c r="C1891" s="8"/>
      <c r="D1891" s="8"/>
      <c r="E1891" s="8"/>
      <c r="F1891" s="8"/>
      <c r="G1891" s="8"/>
      <c r="H1891" s="8"/>
    </row>
    <row r="1892" spans="1:8" ht="15.75" customHeight="1" x14ac:dyDescent="0.25">
      <c r="A1892" s="388"/>
      <c r="B1892" s="388"/>
      <c r="C1892" s="388"/>
      <c r="D1892" s="389"/>
      <c r="E1892" s="388"/>
      <c r="F1892" s="388"/>
      <c r="G1892" s="388"/>
      <c r="H1892" s="8"/>
    </row>
    <row r="1893" spans="1:8" ht="15.75" customHeight="1" x14ac:dyDescent="0.25">
      <c r="A1893" s="390"/>
      <c r="B1893" s="390"/>
      <c r="C1893" s="391"/>
      <c r="D1893" s="392"/>
      <c r="E1893" s="393"/>
      <c r="F1893" s="393"/>
      <c r="G1893" s="393"/>
      <c r="H1893" s="394"/>
    </row>
    <row r="1894" spans="1:8" ht="15.75" customHeight="1" x14ac:dyDescent="0.25">
      <c r="A1894" s="390"/>
      <c r="B1894" s="390"/>
      <c r="C1894" s="390"/>
      <c r="D1894" s="391"/>
      <c r="E1894" s="390"/>
      <c r="F1894" s="395" t="s">
        <v>18</v>
      </c>
      <c r="G1894" s="396" t="s">
        <v>601</v>
      </c>
      <c r="H1894" s="397"/>
    </row>
    <row r="1895" spans="1:8" ht="15.75" customHeight="1" x14ac:dyDescent="0.25">
      <c r="A1895" s="390" t="s">
        <v>20</v>
      </c>
      <c r="B1895" s="390"/>
      <c r="C1895" s="390"/>
      <c r="D1895" s="391"/>
      <c r="E1895" s="390"/>
      <c r="F1895" s="395" t="s">
        <v>21</v>
      </c>
      <c r="G1895" s="390" t="s">
        <v>1054</v>
      </c>
      <c r="H1895" s="391"/>
    </row>
    <row r="1896" spans="1:8" ht="15.75" customHeight="1" x14ac:dyDescent="0.25">
      <c r="A1896" s="390" t="inlineStr">
        <is>
          <t>Dealer-004</t>
        </is>
      </c>
      <c r="B1896" s="390"/>
      <c r="C1896" s="390"/>
      <c r="D1896" s="398"/>
      <c r="E1896" s="390"/>
      <c r="F1896" s="391"/>
      <c r="G1896" s="390"/>
      <c r="H1896" s="394"/>
    </row>
    <row r="1897" spans="1:8" ht="15.75" customHeight="1" x14ac:dyDescent="0.25">
      <c r="A1897" s="390" t="inlineStr">
        <is>
          <t>Address line (redacted)</t>
        </is>
      </c>
      <c r="B1897" s="390"/>
      <c r="C1897" s="390"/>
      <c r="D1897" s="398"/>
      <c r="E1897" s="390"/>
      <c r="F1897" s="391"/>
      <c r="G1897" s="390"/>
      <c r="H1897" s="394"/>
    </row>
    <row r="1898" spans="1:8" ht="15.75" customHeight="1" x14ac:dyDescent="0.25">
      <c r="A1898" s="390" t="inlineStr">
        <is>
          <t>Address line (redacted)</t>
        </is>
      </c>
      <c r="B1898" s="390"/>
      <c r="C1898" s="390"/>
      <c r="D1898" s="391"/>
      <c r="E1898" s="390"/>
      <c r="F1898" s="391"/>
      <c r="G1898" s="390"/>
      <c r="H1898" s="394"/>
    </row>
    <row r="1899" spans="1:8" ht="15.75" customHeight="1" x14ac:dyDescent="0.25">
      <c r="A1899" s="390"/>
      <c r="B1899" s="390"/>
      <c r="C1899" s="390"/>
      <c r="D1899" s="391"/>
      <c r="E1899" s="390"/>
      <c r="F1899" s="391"/>
      <c r="G1899" s="390"/>
      <c r="H1899" s="394"/>
    </row>
    <row r="1900" spans="1:8" ht="15.75" customHeight="1" x14ac:dyDescent="0.25">
      <c r="A1900" s="390" t="s">
        <v>30</v>
      </c>
      <c r="B1900" s="390"/>
      <c r="C1900" s="390"/>
      <c r="D1900" s="391"/>
      <c r="E1900" s="390"/>
      <c r="F1900" s="391"/>
      <c r="G1900" s="390"/>
      <c r="H1900" s="394"/>
    </row>
    <row r="1901" spans="1:8" ht="15.75" customHeight="1" x14ac:dyDescent="0.25">
      <c r="A1901" s="390"/>
      <c r="B1901" s="390"/>
      <c r="C1901" s="390"/>
      <c r="D1901" s="391"/>
      <c r="E1901" s="390"/>
      <c r="F1901" s="391"/>
      <c r="G1901" s="390"/>
      <c r="H1901" s="394"/>
    </row>
    <row r="1902" spans="1:8" ht="15.75" customHeight="1" x14ac:dyDescent="0.25">
      <c r="A1902" s="390" t="s">
        <v>716</v>
      </c>
      <c r="B1902" s="390"/>
      <c r="C1902" s="390"/>
      <c r="D1902" s="391"/>
      <c r="E1902" s="390"/>
      <c r="F1902" s="391"/>
      <c r="G1902" s="390"/>
      <c r="H1902" s="394"/>
    </row>
    <row r="1903" spans="1:8" ht="15.75" customHeight="1" x14ac:dyDescent="0.25">
      <c r="A1903" s="390" t="s">
        <v>717</v>
      </c>
      <c r="B1903" s="390"/>
      <c r="C1903" s="390"/>
      <c r="D1903" s="391"/>
      <c r="E1903" s="390"/>
      <c r="F1903" s="391"/>
      <c r="G1903" s="390"/>
      <c r="H1903" s="394"/>
    </row>
    <row r="1904" spans="1:8" ht="15.75" customHeight="1" x14ac:dyDescent="0.25">
      <c r="A1904" s="390"/>
      <c r="B1904" s="390"/>
      <c r="C1904" s="390"/>
      <c r="D1904" s="391"/>
      <c r="E1904" s="390"/>
      <c r="F1904" s="391"/>
      <c r="G1904" s="390"/>
      <c r="H1904" s="394"/>
    </row>
    <row r="1905" spans="1:20" ht="15.75" customHeight="1" x14ac:dyDescent="0.25">
      <c r="A1905" s="399" t="s">
        <v>33</v>
      </c>
      <c r="B1905" s="400" t="s">
        <v>6</v>
      </c>
      <c r="C1905" s="400"/>
      <c r="D1905" s="401" t="s">
        <v>37</v>
      </c>
      <c r="E1905" s="402" t="s">
        <v>38</v>
      </c>
      <c r="F1905" s="403" t="s">
        <v>7</v>
      </c>
      <c r="G1905" s="404" t="s">
        <v>43</v>
      </c>
      <c r="H1905" s="405" t="s">
        <v>44</v>
      </c>
    </row>
    <row r="1906" spans="1:20" ht="15.75" customHeight="1" x14ac:dyDescent="0.25">
      <c r="A1906" s="406"/>
      <c r="B1906" s="407"/>
      <c r="C1906" s="393"/>
      <c r="D1906" s="408"/>
      <c r="E1906" s="408"/>
      <c r="F1906" s="409"/>
      <c r="G1906" s="410"/>
      <c r="H1906" s="411"/>
    </row>
    <row r="1907" spans="1:20" ht="15.75" customHeight="1" x14ac:dyDescent="0.25">
      <c r="A1907" s="412"/>
      <c r="B1907" s="422"/>
      <c r="C1907" s="422"/>
      <c r="D1907" s="415"/>
      <c r="E1907" s="415"/>
      <c r="F1907" s="415"/>
      <c r="G1907" s="415"/>
      <c r="H1907" s="416"/>
    </row>
    <row r="1908" spans="1:20" ht="15.75" customHeight="1" x14ac:dyDescent="0.25">
      <c r="A1908" s="412" t="s">
        <v>55</v>
      </c>
      <c r="B1908" s="417" t="s">
        <v>1058</v>
      </c>
      <c r="C1908" s="418" t="s">
        <v>1059</v>
      </c>
      <c r="D1908" s="415">
        <v>15</v>
      </c>
      <c r="E1908" s="415">
        <v>24</v>
      </c>
      <c r="F1908" s="415">
        <f>+E1908*D1908</f>
      </c>
      <c r="G1908" s="415">
        <v>1</v>
      </c>
      <c r="H1908" s="416">
        <f>+G1908*F1908</f>
      </c>
    </row>
    <row r="1909" spans="1:20" ht="15.75" customHeight="1" x14ac:dyDescent="0.25">
      <c r="A1909" s="425"/>
      <c r="B1909" s="426"/>
      <c r="C1909" s="390"/>
      <c r="D1909" s="427"/>
      <c r="E1909" s="427"/>
      <c r="F1909" s="428"/>
      <c r="G1909" s="427"/>
      <c r="H1909" s="429"/>
      <c r="I1909" s="290"/>
      <c r="J1909" s="290"/>
      <c r="K1909" s="290"/>
      <c r="L1909" s="290"/>
      <c r="M1909" s="290"/>
      <c r="N1909" s="290"/>
      <c r="O1909" s="290"/>
      <c r="P1909" s="290"/>
      <c r="Q1909" s="290"/>
      <c r="R1909" s="290"/>
      <c r="S1909" s="290"/>
      <c r="T1909" s="290"/>
    </row>
    <row r="1910" spans="1:20" ht="15.75" customHeight="1" x14ac:dyDescent="0.25">
      <c r="A1910" s="502" t="s">
        <v>59</v>
      </c>
      <c r="B1910" s="503" t="s">
        <v>1063</v>
      </c>
      <c r="C1910" s="390" t="s">
        <v>1064</v>
      </c>
      <c r="D1910" s="427">
        <v>6</v>
      </c>
      <c r="E1910" s="427">
        <v>6</v>
      </c>
      <c r="F1910" s="428">
        <f>+E1910*D1910</f>
      </c>
      <c r="G1910" s="427">
        <v>1</v>
      </c>
      <c r="H1910" s="429">
        <f>+G1910*F1910</f>
      </c>
    </row>
    <row r="1911" spans="1:20" ht="15.75" customHeight="1" x14ac:dyDescent="0.25">
      <c r="A1911" s="425"/>
      <c r="B1911" s="426"/>
      <c r="C1911" s="390"/>
      <c r="D1911" s="427"/>
      <c r="E1911" s="427"/>
      <c r="F1911" s="428"/>
      <c r="G1911" s="427"/>
      <c r="H1911" s="429"/>
    </row>
    <row r="1912" spans="1:20" ht="15.75" customHeight="1" x14ac:dyDescent="0.25">
      <c r="A1912" s="425" t="s">
        <v>67</v>
      </c>
      <c r="B1912" s="503" t="s">
        <v>1063</v>
      </c>
      <c r="C1912" s="390" t="s">
        <v>1064</v>
      </c>
      <c r="D1912" s="427">
        <v>1</v>
      </c>
      <c r="E1912" s="427">
        <v>2</v>
      </c>
      <c r="F1912" s="428">
        <v>2</v>
      </c>
      <c r="G1912" s="427">
        <v>1</v>
      </c>
      <c r="H1912" s="429">
        <f>+G1912*F1912</f>
      </c>
    </row>
    <row r="1913" spans="1:20" ht="15.75" customHeight="1" x14ac:dyDescent="0.25">
      <c r="A1913" s="425"/>
      <c r="B1913" s="426"/>
      <c r="C1913" s="390"/>
      <c r="D1913" s="427"/>
      <c r="E1913" s="427"/>
      <c r="F1913" s="428"/>
      <c r="G1913" s="427"/>
      <c r="H1913" s="429"/>
      <c r="I1913" s="290"/>
      <c r="J1913" s="290"/>
      <c r="K1913" s="290"/>
      <c r="L1913" s="290"/>
      <c r="M1913" s="290"/>
      <c r="N1913" s="290"/>
      <c r="O1913" s="290"/>
      <c r="P1913" s="290"/>
      <c r="Q1913" s="290"/>
      <c r="R1913" s="290"/>
      <c r="S1913" s="290"/>
      <c r="T1913" s="290"/>
    </row>
    <row r="1914" spans="1:20" ht="15.75" customHeight="1" x14ac:dyDescent="0.25">
      <c r="A1914" s="502" t="s">
        <v>485</v>
      </c>
      <c r="B1914" s="503" t="s">
        <v>922</v>
      </c>
      <c r="C1914" s="390"/>
      <c r="D1914" s="427">
        <v>1</v>
      </c>
      <c r="E1914" s="427">
        <v>50</v>
      </c>
      <c r="F1914" s="428">
        <v>50</v>
      </c>
      <c r="G1914" s="427">
        <v>1</v>
      </c>
      <c r="H1914" s="429">
        <f>+G1914*F1914</f>
      </c>
    </row>
    <row r="1915" spans="1:20" ht="15.75" customHeight="1" x14ac:dyDescent="0.25">
      <c r="A1915" s="425"/>
      <c r="B1915" s="426"/>
      <c r="C1915" s="390"/>
      <c r="D1915" s="427"/>
      <c r="E1915" s="427"/>
      <c r="F1915" s="428"/>
      <c r="G1915" s="427"/>
      <c r="H1915" s="429"/>
    </row>
    <row r="1916" spans="1:20" ht="15.75" customHeight="1" x14ac:dyDescent="0.25">
      <c r="A1916" s="425"/>
      <c r="B1916" s="426"/>
      <c r="C1916" s="390"/>
      <c r="D1916" s="427"/>
      <c r="E1916" s="427"/>
      <c r="F1916" s="428"/>
      <c r="G1916" s="427"/>
      <c r="H1916" s="429"/>
    </row>
    <row r="1917" spans="1:20" ht="15.75" customHeight="1" x14ac:dyDescent="0.25">
      <c r="A1917" s="425"/>
      <c r="B1917" s="426"/>
      <c r="C1917" s="390"/>
      <c r="D1917" s="427"/>
      <c r="E1917" s="427"/>
      <c r="F1917" s="428"/>
      <c r="G1917" s="427"/>
      <c r="H1917" s="429"/>
    </row>
    <row r="1918" spans="1:20" ht="15.75" customHeight="1" x14ac:dyDescent="0.25">
      <c r="A1918" s="425"/>
      <c r="B1918" s="426"/>
      <c r="C1918" s="390"/>
      <c r="D1918" s="427"/>
      <c r="E1918" s="427"/>
      <c r="F1918" s="428"/>
      <c r="G1918" s="427"/>
      <c r="H1918" s="429"/>
    </row>
    <row r="1919" spans="1:20" ht="15.75" customHeight="1" x14ac:dyDescent="0.25">
      <c r="A1919" s="425"/>
      <c r="B1919" s="426"/>
      <c r="C1919" s="390"/>
      <c r="D1919" s="427"/>
      <c r="E1919" s="427"/>
      <c r="F1919" s="428"/>
      <c r="G1919" s="427"/>
      <c r="H1919" s="429"/>
    </row>
    <row r="1920" spans="1:20" ht="15.75" customHeight="1" x14ac:dyDescent="0.25">
      <c r="A1920" s="430"/>
      <c r="B1920" s="409"/>
      <c r="C1920" s="393"/>
      <c r="D1920" s="427"/>
      <c r="E1920" s="427"/>
      <c r="F1920" s="428"/>
      <c r="G1920" s="431"/>
      <c r="H1920" s="429"/>
    </row>
    <row r="1921" spans="1:8" ht="15.75" customHeight="1" x14ac:dyDescent="0.25">
      <c r="A1921" s="432"/>
      <c r="B1921" s="433"/>
      <c r="C1921" s="434" t="s">
        <v>85</v>
      </c>
      <c r="D1921" s="435">
        <f>SUM(D1907:D1920)</f>
      </c>
      <c r="E1921" s="435"/>
      <c r="F1921" s="436"/>
      <c r="G1921" s="437"/>
      <c r="H1921" s="438">
        <f>SUM(H1907:H1920)</f>
      </c>
    </row>
    <row r="1922" spans="1:8" ht="15.75" customHeight="1" x14ac:dyDescent="0.25">
      <c r="A1922" s="439"/>
      <c r="B1922" s="440"/>
      <c r="C1922" s="440"/>
      <c r="D1922" s="441"/>
      <c r="E1922" s="440"/>
      <c r="F1922" s="442"/>
      <c r="G1922" s="443"/>
      <c r="H1922" s="444"/>
    </row>
    <row r="1923" spans="1:8" ht="15.75" customHeight="1" x14ac:dyDescent="0.25">
      <c r="A1923" s="392" t="s">
        <v>913</v>
      </c>
      <c r="B1923" s="391"/>
      <c r="C1923" s="391"/>
      <c r="D1923" s="391"/>
      <c r="E1923" s="390"/>
      <c r="F1923" s="392"/>
      <c r="G1923" s="390"/>
      <c r="H1923" s="394"/>
    </row>
    <row r="1924" spans="1:8" ht="15.75" customHeight="1" x14ac:dyDescent="0.25">
      <c r="A1924" s="445"/>
      <c r="B1924" s="445"/>
      <c r="C1924" s="445"/>
      <c r="D1924" s="446" t="s">
        <v>97</v>
      </c>
      <c r="E1924" s="445" t="s">
        <v>98</v>
      </c>
      <c r="F1924" s="445"/>
      <c r="G1924" s="390"/>
      <c r="H1924" s="394"/>
    </row>
    <row r="1925" spans="1:8" ht="15.75" customHeight="1" x14ac:dyDescent="0.25">
      <c r="A1925" s="390"/>
      <c r="B1925" s="390"/>
      <c r="C1925" s="390"/>
      <c r="D1925" s="391"/>
      <c r="E1925" s="390"/>
      <c r="F1925" s="390"/>
      <c r="G1925" s="390"/>
      <c r="H1925" s="394"/>
    </row>
    <row r="1926" spans="1:8" ht="15.75" customHeight="1" x14ac:dyDescent="0.25">
      <c r="A1926" s="390"/>
      <c r="B1926" s="390"/>
      <c r="C1926" s="390"/>
      <c r="D1926" s="391"/>
      <c r="E1926" s="390"/>
      <c r="F1926" s="390"/>
      <c r="G1926" s="390"/>
      <c r="H1926" s="394"/>
    </row>
    <row r="1927" spans="1:8" ht="15.75" customHeight="1" x14ac:dyDescent="0.25">
      <c r="A1927" s="445"/>
      <c r="B1927" s="445"/>
      <c r="C1927" s="445"/>
      <c r="D1927" s="446"/>
      <c r="E1927" s="445" t="s">
        <v>99</v>
      </c>
      <c r="F1927" s="445"/>
      <c r="G1927" s="390"/>
      <c r="H1927" s="394"/>
    </row>
    <row r="1928" spans="1:8" ht="15.75" customHeight="1" x14ac:dyDescent="0.25">
      <c r="D1928" s="4"/>
      <c r="H1928" s="4"/>
    </row>
    <row r="1929" spans="1:8" ht="15.75" customHeight="1" x14ac:dyDescent="0.25">
      <c r="D1929" s="4"/>
      <c r="H1929" s="4"/>
    </row>
    <row r="1930" spans="1:8" ht="15.75" customHeight="1" x14ac:dyDescent="0.25">
      <c r="D1930" s="4"/>
      <c r="H1930" s="4"/>
    </row>
    <row r="1931" spans="1:8" ht="15.75" customHeight="1" x14ac:dyDescent="0.25">
      <c r="D1931" s="4"/>
      <c r="H1931" s="4"/>
    </row>
    <row r="1932" spans="1:8" ht="15.75" customHeight="1" x14ac:dyDescent="0.25">
      <c r="D1932" s="4"/>
      <c r="H1932" s="4"/>
    </row>
    <row r="1933" spans="1:8" ht="15.75" customHeight="1" x14ac:dyDescent="0.25">
      <c r="D1933" s="4"/>
      <c r="H1933" s="4"/>
    </row>
    <row r="1934" spans="1:8" ht="15.75" customHeight="1" x14ac:dyDescent="0.25">
      <c r="D1934" s="4"/>
      <c r="H1934" s="4"/>
    </row>
    <row r="1935" spans="1:8" ht="15.75" customHeight="1" x14ac:dyDescent="0.25">
      <c r="D1935" s="4"/>
      <c r="H1935" s="4"/>
    </row>
    <row r="1936" spans="1:8" ht="15.75" customHeight="1" x14ac:dyDescent="0.25">
      <c r="D1936" s="4"/>
      <c r="H1936" s="4"/>
    </row>
    <row r="1937" spans="1:8" ht="15.75" customHeight="1" x14ac:dyDescent="0.25">
      <c r="A1937" s="347" t="s">
        <v>14</v>
      </c>
      <c r="B1937" s="4"/>
      <c r="C1937" s="4"/>
      <c r="D1937" s="4"/>
      <c r="E1937" s="4"/>
      <c r="F1937" s="4"/>
      <c r="G1937" s="4"/>
      <c r="H1937" s="349"/>
    </row>
    <row r="1938" spans="1:8" ht="15.75" customHeight="1" x14ac:dyDescent="0.25">
      <c r="A1938" s="293"/>
      <c r="B1938" s="293"/>
      <c r="C1938" s="293"/>
      <c r="D1938" s="296"/>
      <c r="E1938" s="350"/>
      <c r="F1938" s="294"/>
      <c r="G1938" s="293"/>
      <c r="H1938" s="298"/>
    </row>
    <row r="1939" spans="1:8" ht="15.75" customHeight="1" x14ac:dyDescent="0.25">
      <c r="A1939" s="293"/>
      <c r="B1939" s="293"/>
      <c r="C1939" s="293"/>
      <c r="D1939" s="294"/>
      <c r="E1939" s="293"/>
      <c r="F1939" s="299" t="s">
        <v>18</v>
      </c>
      <c r="G1939" s="293" t="s">
        <v>603</v>
      </c>
      <c r="H1939" s="298"/>
    </row>
    <row r="1940" spans="1:8" ht="15.75" customHeight="1" x14ac:dyDescent="0.25">
      <c r="A1940" s="293" t="s">
        <v>20</v>
      </c>
      <c r="B1940" s="293"/>
      <c r="C1940" s="293"/>
      <c r="D1940" s="294"/>
      <c r="E1940" s="293"/>
      <c r="F1940" s="297" t="s">
        <v>21</v>
      </c>
      <c r="G1940" s="293" t="s">
        <v>1071</v>
      </c>
      <c r="H1940" s="298"/>
    </row>
    <row r="1941" spans="1:8" ht="15.75" customHeight="1" x14ac:dyDescent="0.25">
      <c r="A1941" s="293" t="inlineStr">
        <is>
          <t>Dealer-007</t>
        </is>
      </c>
      <c r="B1941" s="293"/>
      <c r="C1941" s="293"/>
      <c r="D1941" s="294"/>
      <c r="E1941" s="293"/>
      <c r="F1941" s="294"/>
      <c r="G1941" s="293"/>
      <c r="H1941" s="298"/>
    </row>
    <row r="1942" spans="1:8" ht="15.75" customHeight="1" x14ac:dyDescent="0.25">
      <c r="A1942" s="293" t="inlineStr">
        <is>
          <t>Address line (redacted)</t>
        </is>
      </c>
      <c r="B1942" s="293"/>
      <c r="C1942" s="293"/>
      <c r="D1942" s="294"/>
      <c r="E1942" s="293"/>
      <c r="F1942" s="294"/>
      <c r="G1942" s="293"/>
      <c r="H1942" s="298"/>
    </row>
    <row r="1943" spans="1:8" ht="15.75" customHeight="1" x14ac:dyDescent="0.25">
      <c r="A1943" s="293" t="inlineStr">
        <is>
          <t>Address line (redacted)</t>
        </is>
      </c>
      <c r="B1943" s="293"/>
      <c r="C1943" s="293"/>
      <c r="D1943" s="294"/>
      <c r="E1943" s="293"/>
      <c r="F1943" s="294"/>
      <c r="G1943" s="293"/>
      <c r="H1943" s="298"/>
    </row>
    <row r="1944" spans="1:8" ht="15.75" customHeight="1" x14ac:dyDescent="0.25">
      <c r="A1944" s="293"/>
      <c r="B1944" s="293"/>
      <c r="C1944" s="293"/>
      <c r="D1944" s="294"/>
      <c r="E1944" s="293"/>
      <c r="F1944" s="294"/>
      <c r="G1944" s="293"/>
      <c r="H1944" s="298"/>
    </row>
    <row r="1945" spans="1:8" ht="15.75" customHeight="1" x14ac:dyDescent="0.25">
      <c r="A1945" s="293" t="s">
        <v>30</v>
      </c>
      <c r="B1945" s="293"/>
      <c r="C1945" s="293"/>
      <c r="D1945" s="294"/>
      <c r="E1945" s="293"/>
      <c r="F1945" s="294"/>
      <c r="G1945" s="293"/>
      <c r="H1945" s="298"/>
    </row>
    <row r="1946" spans="1:8" ht="15.75" customHeight="1" x14ac:dyDescent="0.25">
      <c r="A1946" s="293"/>
      <c r="B1946" s="293"/>
      <c r="C1946" s="293"/>
      <c r="D1946" s="294"/>
      <c r="E1946" s="293"/>
      <c r="F1946" s="294"/>
      <c r="G1946" s="293"/>
      <c r="H1946" s="298"/>
    </row>
    <row r="1947" spans="1:8" ht="15.75" customHeight="1" x14ac:dyDescent="0.25">
      <c r="A1947" s="293" t="s">
        <v>755</v>
      </c>
      <c r="B1947" s="293"/>
      <c r="C1947" s="293"/>
      <c r="D1947" s="294"/>
      <c r="E1947" s="293"/>
      <c r="F1947" s="294"/>
      <c r="G1947" s="293"/>
      <c r="H1947" s="298"/>
    </row>
    <row r="1948" spans="1:8" ht="15.75" customHeight="1" x14ac:dyDescent="0.25">
      <c r="A1948" s="293" t="s">
        <v>756</v>
      </c>
      <c r="B1948" s="293"/>
      <c r="C1948" s="293"/>
      <c r="D1948" s="294"/>
      <c r="E1948" s="293"/>
      <c r="F1948" s="294"/>
      <c r="G1948" s="293"/>
      <c r="H1948" s="298"/>
    </row>
    <row r="1949" spans="1:8" ht="15.75" customHeight="1" x14ac:dyDescent="0.25">
      <c r="A1949" s="293"/>
      <c r="B1949" s="293"/>
      <c r="C1949" s="293"/>
      <c r="D1949" s="294"/>
      <c r="E1949" s="293"/>
      <c r="F1949" s="294"/>
      <c r="G1949" s="293"/>
      <c r="H1949" s="298"/>
    </row>
    <row r="1950" spans="1:8" ht="15.75" customHeight="1" x14ac:dyDescent="0.25">
      <c r="A1950" s="302" t="s">
        <v>33</v>
      </c>
      <c r="B1950" s="303" t="s">
        <v>6</v>
      </c>
      <c r="C1950" s="303"/>
      <c r="D1950" s="304" t="s">
        <v>37</v>
      </c>
      <c r="E1950" s="305" t="s">
        <v>758</v>
      </c>
      <c r="F1950" s="306" t="s">
        <v>7</v>
      </c>
      <c r="G1950" s="307" t="s">
        <v>43</v>
      </c>
      <c r="H1950" s="308" t="s">
        <v>44</v>
      </c>
    </row>
    <row r="1951" spans="1:8" ht="15.75" customHeight="1" x14ac:dyDescent="0.25">
      <c r="A1951" s="309"/>
      <c r="B1951" s="310"/>
      <c r="C1951" s="297"/>
      <c r="D1951" s="311"/>
      <c r="E1951" s="311"/>
      <c r="F1951" s="312"/>
      <c r="G1951" s="313"/>
      <c r="H1951" s="314"/>
    </row>
    <row r="1952" spans="1:8" ht="15.75" customHeight="1" x14ac:dyDescent="0.25">
      <c r="A1952" s="352" t="s">
        <v>55</v>
      </c>
      <c r="B1952" s="359" t="s">
        <v>764</v>
      </c>
      <c r="C1952" s="358"/>
      <c r="D1952" s="355">
        <v>10</v>
      </c>
      <c r="E1952" s="355">
        <v>1</v>
      </c>
      <c r="F1952" s="355">
        <f>+E1952*D1952</f>
      </c>
      <c r="G1952" s="355">
        <v>1</v>
      </c>
      <c r="H1952" s="356">
        <f>+G1952*F1952</f>
      </c>
    </row>
    <row r="1953" spans="1:8" ht="15.75" customHeight="1" x14ac:dyDescent="0.25">
      <c r="A1953" s="352"/>
      <c r="B1953" s="360"/>
      <c r="C1953" s="358"/>
      <c r="D1953" s="355"/>
      <c r="E1953" s="355"/>
      <c r="F1953" s="355"/>
      <c r="G1953" s="355"/>
      <c r="H1953" s="356"/>
    </row>
    <row r="1954" spans="1:8" ht="15.75" customHeight="1" x14ac:dyDescent="0.25">
      <c r="A1954" s="352" t="s">
        <v>59</v>
      </c>
      <c r="B1954" s="360" t="s">
        <v>1076</v>
      </c>
      <c r="C1954" s="358" t="s">
        <v>1077</v>
      </c>
      <c r="D1954" s="355">
        <v>6</v>
      </c>
      <c r="E1954" s="355">
        <v>1</v>
      </c>
      <c r="F1954" s="355">
        <f>+E1954*D1954</f>
      </c>
      <c r="G1954" s="355">
        <v>1</v>
      </c>
      <c r="H1954" s="356">
        <f>+G1954*F1954</f>
      </c>
    </row>
    <row r="1955" spans="1:8" ht="15.75" customHeight="1" x14ac:dyDescent="0.25">
      <c r="A1955" s="361"/>
      <c r="B1955" s="353" t="s">
        <v>1080</v>
      </c>
      <c r="C1955" s="358"/>
      <c r="D1955" s="355"/>
      <c r="E1955" s="355"/>
      <c r="F1955" s="355"/>
      <c r="G1955" s="355"/>
      <c r="H1955" s="356"/>
    </row>
    <row r="1956" spans="1:8" ht="15.75" customHeight="1" x14ac:dyDescent="0.25">
      <c r="A1956" s="361"/>
      <c r="B1956" s="353"/>
      <c r="C1956" s="358"/>
      <c r="D1956" s="355"/>
      <c r="E1956" s="355"/>
      <c r="F1956" s="355"/>
      <c r="G1956" s="355"/>
      <c r="H1956" s="356"/>
    </row>
    <row r="1957" spans="1:8" ht="15.75" customHeight="1" x14ac:dyDescent="0.25">
      <c r="A1957" s="361" t="s">
        <v>67</v>
      </c>
      <c r="B1957" s="353" t="s">
        <v>1081</v>
      </c>
      <c r="C1957" s="358" t="s">
        <v>375</v>
      </c>
      <c r="D1957" s="355">
        <v>12</v>
      </c>
      <c r="E1957" s="355">
        <v>1</v>
      </c>
      <c r="F1957" s="355">
        <v>12</v>
      </c>
      <c r="G1957" s="355">
        <v>1</v>
      </c>
      <c r="H1957" s="356">
        <f>+G1957*F1957</f>
      </c>
    </row>
    <row r="1958" spans="1:8" ht="15.75" customHeight="1" x14ac:dyDescent="0.25">
      <c r="A1958" s="361"/>
      <c r="B1958" s="353"/>
      <c r="C1958" s="358"/>
      <c r="D1958" s="355"/>
      <c r="E1958" s="355"/>
      <c r="F1958" s="355"/>
      <c r="G1958" s="355"/>
      <c r="H1958" s="356"/>
    </row>
    <row r="1959" spans="1:8" ht="15.75" customHeight="1" x14ac:dyDescent="0.25">
      <c r="A1959" s="352" t="s">
        <v>485</v>
      </c>
      <c r="B1959" s="362" t="s">
        <v>887</v>
      </c>
      <c r="C1959" s="358" t="s">
        <v>187</v>
      </c>
      <c r="D1959" s="355">
        <v>3</v>
      </c>
      <c r="E1959" s="355">
        <v>8</v>
      </c>
      <c r="F1959" s="355">
        <f>+E1959*D1959</f>
      </c>
      <c r="G1959" s="355">
        <v>1</v>
      </c>
      <c r="H1959" s="356">
        <f>+G1959*F1959</f>
      </c>
    </row>
    <row r="1960" spans="1:8" ht="15.75" customHeight="1" x14ac:dyDescent="0.25">
      <c r="A1960" s="361"/>
      <c r="B1960" s="353"/>
      <c r="C1960" s="358"/>
      <c r="D1960" s="355"/>
      <c r="E1960" s="355"/>
      <c r="F1960" s="355"/>
      <c r="G1960" s="355"/>
      <c r="H1960" s="356"/>
    </row>
    <row r="1961" spans="1:8" ht="15.75" customHeight="1" x14ac:dyDescent="0.25">
      <c r="A1961" s="352"/>
      <c r="B1961" s="362"/>
      <c r="C1961" s="358"/>
      <c r="D1961" s="355"/>
      <c r="E1961" s="355"/>
      <c r="F1961" s="355"/>
      <c r="G1961" s="355"/>
      <c r="H1961" s="356"/>
    </row>
    <row r="1962" spans="1:8" ht="15.75" customHeight="1" x14ac:dyDescent="0.25">
      <c r="A1962" s="325"/>
      <c r="B1962" s="312"/>
      <c r="C1962" s="297"/>
      <c r="D1962" s="318"/>
      <c r="E1962" s="318"/>
      <c r="F1962" s="326"/>
      <c r="G1962" s="327"/>
      <c r="H1962" s="319"/>
    </row>
    <row r="1963" spans="1:8" ht="15.75" customHeight="1" x14ac:dyDescent="0.25">
      <c r="A1963" s="328"/>
      <c r="B1963" s="329"/>
      <c r="C1963" s="330" t="s">
        <v>85</v>
      </c>
      <c r="D1963" s="331">
        <f>SUM(D1952:D1962)</f>
      </c>
      <c r="E1963" s="331"/>
      <c r="F1963" s="331">
        <f>SUM(F1952:F1962)</f>
      </c>
      <c r="G1963" s="333"/>
      <c r="H1963" s="334">
        <f>SUM(H1952:H1962)</f>
      </c>
    </row>
    <row r="1964" spans="1:8" ht="15.75" customHeight="1" x14ac:dyDescent="0.25">
      <c r="A1964" s="335"/>
      <c r="B1964" s="336"/>
      <c r="C1964" s="336"/>
      <c r="D1964" s="337"/>
      <c r="E1964" s="336"/>
      <c r="F1964" s="338"/>
      <c r="G1964" s="339"/>
      <c r="H1964" s="340"/>
    </row>
    <row r="1965" spans="1:8" ht="15.75" customHeight="1" x14ac:dyDescent="0.25">
      <c r="A1965" s="296"/>
      <c r="B1965" s="294"/>
      <c r="C1965" s="294"/>
      <c r="D1965" s="294"/>
      <c r="E1965" s="293"/>
      <c r="F1965" s="296"/>
      <c r="G1965" s="293"/>
      <c r="H1965" s="298"/>
    </row>
    <row r="1966" spans="1:8" ht="15.75" customHeight="1" x14ac:dyDescent="0.25">
      <c r="A1966" s="341"/>
      <c r="B1966" s="341"/>
      <c r="C1966" s="341"/>
      <c r="D1966" s="342" t="s">
        <v>97</v>
      </c>
      <c r="E1966" s="341" t="s">
        <v>98</v>
      </c>
      <c r="F1966" s="341"/>
      <c r="G1966" s="293"/>
      <c r="H1966" s="298"/>
    </row>
    <row r="1967" spans="1:8" ht="15.75" customHeight="1" x14ac:dyDescent="0.25">
      <c r="A1967" s="293"/>
      <c r="B1967" s="293"/>
      <c r="C1967" s="293"/>
      <c r="D1967" s="294"/>
      <c r="E1967" s="293"/>
      <c r="F1967" s="293"/>
      <c r="G1967" s="293"/>
      <c r="H1967" s="298"/>
    </row>
    <row r="1968" spans="1:8" ht="15.75" customHeight="1" x14ac:dyDescent="0.25">
      <c r="A1968" s="293"/>
      <c r="B1968" s="293"/>
      <c r="C1968" s="293"/>
      <c r="D1968" s="294"/>
      <c r="E1968" s="293"/>
      <c r="F1968" s="293"/>
      <c r="G1968" s="293"/>
      <c r="H1968" s="298"/>
    </row>
    <row r="1969" spans="1:8" ht="15.75" customHeight="1" x14ac:dyDescent="0.25">
      <c r="A1969" s="341"/>
      <c r="B1969" s="341"/>
      <c r="C1969" s="341"/>
      <c r="D1969" s="342"/>
      <c r="E1969" s="341" t="s">
        <v>99</v>
      </c>
      <c r="F1969" s="341"/>
      <c r="G1969" s="293"/>
      <c r="H1969" s="298"/>
    </row>
    <row r="1970" spans="1:8" ht="15.75" customHeight="1" x14ac:dyDescent="0.25">
      <c r="D1970" s="4"/>
      <c r="H1970" s="4"/>
    </row>
    <row r="1971" spans="1:8" ht="15.75" customHeight="1" x14ac:dyDescent="0.25">
      <c r="D1971" s="4"/>
      <c r="H1971" s="4"/>
    </row>
    <row r="1972" spans="1:8" ht="15.75" customHeight="1" x14ac:dyDescent="0.25">
      <c r="D1972" s="4"/>
      <c r="H1972" s="4"/>
    </row>
    <row r="1973" spans="1:8" ht="15.75" customHeight="1" x14ac:dyDescent="0.25">
      <c r="D1973" s="4"/>
      <c r="H1973" s="4"/>
    </row>
    <row r="1974" spans="1:8" ht="15.75" customHeight="1" x14ac:dyDescent="0.25">
      <c r="D1974" s="4"/>
      <c r="H1974" s="4"/>
    </row>
    <row r="1975" spans="1:8" ht="15.75" customHeight="1" x14ac:dyDescent="0.25">
      <c r="D1975" s="4"/>
      <c r="H1975" s="4"/>
    </row>
    <row r="1976" spans="1:8" ht="15.75" customHeight="1" x14ac:dyDescent="0.25">
      <c r="D1976" s="4"/>
      <c r="H1976" s="4"/>
    </row>
    <row r="1977" spans="1:8" ht="15.75" customHeight="1" x14ac:dyDescent="0.25">
      <c r="D1977" s="4"/>
      <c r="H1977" s="4"/>
    </row>
    <row r="1978" spans="1:8" ht="15.75" customHeight="1" x14ac:dyDescent="0.25">
      <c r="D1978" s="4"/>
      <c r="H1978" s="4"/>
    </row>
    <row r="1979" spans="1:8" ht="15.75" customHeight="1" x14ac:dyDescent="0.25">
      <c r="D1979" s="4"/>
      <c r="H1979" s="4"/>
    </row>
    <row r="1980" spans="1:8" ht="15.75" customHeight="1" x14ac:dyDescent="0.25">
      <c r="D1980" s="4"/>
      <c r="H1980" s="4"/>
    </row>
    <row r="1981" spans="1:8" ht="15.75" customHeight="1" x14ac:dyDescent="0.25">
      <c r="D1981" s="4"/>
      <c r="H1981" s="4"/>
    </row>
    <row r="1982" spans="1:8" ht="15.75" customHeight="1" x14ac:dyDescent="0.25">
      <c r="A1982" s="8" t="s">
        <v>14</v>
      </c>
      <c r="B1982" s="8"/>
      <c r="C1982" s="8"/>
      <c r="D1982" s="8"/>
      <c r="E1982" s="8"/>
      <c r="F1982" s="8"/>
      <c r="G1982" s="8"/>
      <c r="H1982" s="8"/>
    </row>
    <row r="1983" spans="1:8" ht="15.75" customHeight="1" x14ac:dyDescent="0.25">
      <c r="A1983" s="388"/>
      <c r="B1983" s="388"/>
      <c r="C1983" s="388"/>
      <c r="D1983" s="389"/>
      <c r="E1983" s="388"/>
      <c r="F1983" s="388"/>
      <c r="G1983" s="388"/>
      <c r="H1983" s="8"/>
    </row>
    <row r="1984" spans="1:8" ht="15.75" customHeight="1" x14ac:dyDescent="0.25">
      <c r="A1984" s="390"/>
      <c r="B1984" s="390"/>
      <c r="C1984" s="391"/>
      <c r="D1984" s="392"/>
      <c r="E1984" s="393"/>
      <c r="F1984" s="393"/>
      <c r="G1984" s="393"/>
      <c r="H1984" s="394"/>
    </row>
    <row r="1985" spans="1:8" ht="15.75" customHeight="1" x14ac:dyDescent="0.25">
      <c r="A1985" s="390"/>
      <c r="B1985" s="390"/>
      <c r="C1985" s="390"/>
      <c r="D1985" s="391"/>
      <c r="E1985" s="390"/>
      <c r="F1985" s="395" t="s">
        <v>18</v>
      </c>
      <c r="G1985" s="396" t="s">
        <v>601</v>
      </c>
      <c r="H1985" s="397"/>
    </row>
    <row r="1986" spans="1:8" ht="15.75" customHeight="1" x14ac:dyDescent="0.25">
      <c r="A1986" s="390" t="s">
        <v>20</v>
      </c>
      <c r="B1986" s="390"/>
      <c r="C1986" s="390"/>
      <c r="D1986" s="391"/>
      <c r="E1986" s="390"/>
      <c r="F1986" s="395" t="s">
        <v>21</v>
      </c>
      <c r="G1986" s="390" t="s">
        <v>1088</v>
      </c>
      <c r="H1986" s="391"/>
    </row>
    <row r="1987" spans="1:8" ht="15.75" customHeight="1" x14ac:dyDescent="0.25">
      <c r="A1987" s="390" t="inlineStr">
        <is>
          <t>Dealer-004</t>
        </is>
      </c>
      <c r="B1987" s="390"/>
      <c r="C1987" s="390"/>
      <c r="D1987" s="398"/>
      <c r="E1987" s="390"/>
      <c r="F1987" s="391"/>
      <c r="G1987" s="390"/>
      <c r="H1987" s="394"/>
    </row>
    <row r="1988" spans="1:8" ht="15.75" customHeight="1" x14ac:dyDescent="0.25">
      <c r="A1988" s="390" t="inlineStr">
        <is>
          <t>Address line (redacted)</t>
        </is>
      </c>
      <c r="B1988" s="390"/>
      <c r="C1988" s="390"/>
      <c r="D1988" s="398"/>
      <c r="E1988" s="390"/>
      <c r="F1988" s="391"/>
      <c r="G1988" s="390"/>
      <c r="H1988" s="394"/>
    </row>
    <row r="1989" spans="1:8" ht="15.75" customHeight="1" x14ac:dyDescent="0.25">
      <c r="A1989" s="390" t="inlineStr">
        <is>
          <t>Address line (redacted)</t>
        </is>
      </c>
      <c r="B1989" s="390"/>
      <c r="C1989" s="390"/>
      <c r="D1989" s="391"/>
      <c r="E1989" s="390"/>
      <c r="F1989" s="391"/>
      <c r="G1989" s="390"/>
      <c r="H1989" s="394"/>
    </row>
    <row r="1990" spans="1:8" ht="15.75" customHeight="1" x14ac:dyDescent="0.25">
      <c r="A1990" s="390"/>
      <c r="B1990" s="390"/>
      <c r="C1990" s="390"/>
      <c r="D1990" s="391"/>
      <c r="E1990" s="390"/>
      <c r="F1990" s="391"/>
      <c r="G1990" s="390"/>
      <c r="H1990" s="394"/>
    </row>
    <row r="1991" spans="1:8" ht="15.75" customHeight="1" x14ac:dyDescent="0.25">
      <c r="A1991" s="390" t="s">
        <v>30</v>
      </c>
      <c r="B1991" s="390"/>
      <c r="C1991" s="390"/>
      <c r="D1991" s="391"/>
      <c r="E1991" s="390"/>
      <c r="F1991" s="391"/>
      <c r="G1991" s="390"/>
      <c r="H1991" s="394"/>
    </row>
    <row r="1992" spans="1:8" ht="15.75" customHeight="1" x14ac:dyDescent="0.25">
      <c r="A1992" s="390"/>
      <c r="B1992" s="390"/>
      <c r="C1992" s="390"/>
      <c r="D1992" s="391"/>
      <c r="E1992" s="390"/>
      <c r="F1992" s="391"/>
      <c r="G1992" s="390"/>
      <c r="H1992" s="394"/>
    </row>
    <row r="1993" spans="1:8" ht="15.75" customHeight="1" x14ac:dyDescent="0.25">
      <c r="A1993" s="390" t="s">
        <v>716</v>
      </c>
      <c r="B1993" s="390"/>
      <c r="C1993" s="390"/>
      <c r="D1993" s="391"/>
      <c r="E1993" s="390"/>
      <c r="F1993" s="391"/>
      <c r="G1993" s="390"/>
      <c r="H1993" s="394"/>
    </row>
    <row r="1994" spans="1:8" ht="15.75" customHeight="1" x14ac:dyDescent="0.25">
      <c r="A1994" s="390" t="s">
        <v>717</v>
      </c>
      <c r="B1994" s="390"/>
      <c r="C1994" s="390"/>
      <c r="D1994" s="391"/>
      <c r="E1994" s="390"/>
      <c r="F1994" s="391"/>
      <c r="G1994" s="390"/>
      <c r="H1994" s="394"/>
    </row>
    <row r="1995" spans="1:8" ht="15.75" customHeight="1" x14ac:dyDescent="0.25">
      <c r="A1995" s="390"/>
      <c r="B1995" s="390"/>
      <c r="C1995" s="390"/>
      <c r="D1995" s="391"/>
      <c r="E1995" s="390"/>
      <c r="F1995" s="391"/>
      <c r="G1995" s="390"/>
      <c r="H1995" s="394"/>
    </row>
    <row r="1996" spans="1:8" ht="15.75" customHeight="1" x14ac:dyDescent="0.25">
      <c r="A1996" s="399" t="s">
        <v>33</v>
      </c>
      <c r="B1996" s="400" t="s">
        <v>6</v>
      </c>
      <c r="C1996" s="400"/>
      <c r="D1996" s="401" t="s">
        <v>37</v>
      </c>
      <c r="E1996" s="402" t="s">
        <v>38</v>
      </c>
      <c r="F1996" s="403" t="s">
        <v>7</v>
      </c>
      <c r="G1996" s="404" t="s">
        <v>43</v>
      </c>
      <c r="H1996" s="405" t="s">
        <v>44</v>
      </c>
    </row>
    <row r="1997" spans="1:8" ht="15.75" customHeight="1" x14ac:dyDescent="0.25">
      <c r="A1997" s="406"/>
      <c r="B1997" s="407"/>
      <c r="C1997" s="393"/>
      <c r="D1997" s="408"/>
      <c r="E1997" s="408"/>
      <c r="F1997" s="409"/>
      <c r="G1997" s="410"/>
      <c r="H1997" s="411"/>
    </row>
    <row r="1998" spans="1:8" ht="15.75" customHeight="1" x14ac:dyDescent="0.25">
      <c r="A1998" s="425"/>
      <c r="B1998" s="504" t="s">
        <v>573</v>
      </c>
      <c r="C1998" s="505"/>
      <c r="D1998" s="427"/>
      <c r="E1998" s="427"/>
      <c r="F1998" s="428"/>
      <c r="G1998" s="427"/>
      <c r="H1998" s="429"/>
    </row>
    <row r="1999" spans="1:8" ht="15.75" customHeight="1" x14ac:dyDescent="0.25">
      <c r="A1999" s="502" t="s">
        <v>55</v>
      </c>
      <c r="B1999" s="503" t="s">
        <v>1091</v>
      </c>
      <c r="C1999" s="390" t="s">
        <v>84</v>
      </c>
      <c r="D1999" s="427">
        <v>4</v>
      </c>
      <c r="E1999" s="427">
        <v>5</v>
      </c>
      <c r="F1999" s="428">
        <f>+E1999*D1999</f>
      </c>
      <c r="G1999" s="427">
        <v>1</v>
      </c>
      <c r="H1999" s="429">
        <f>+G1999*F1999</f>
      </c>
    </row>
    <row r="2000" spans="1:8" ht="15.75" customHeight="1" x14ac:dyDescent="0.25">
      <c r="A2000" s="425"/>
      <c r="B2000" s="426"/>
      <c r="C2000" s="390"/>
      <c r="D2000" s="427"/>
      <c r="E2000" s="427"/>
      <c r="F2000" s="428"/>
      <c r="G2000" s="427"/>
      <c r="H2000" s="429"/>
    </row>
    <row r="2001" spans="1:8" ht="15.75" customHeight="1" x14ac:dyDescent="0.25">
      <c r="A2001" s="425"/>
      <c r="B2001" s="503"/>
      <c r="C2001" s="390"/>
      <c r="D2001" s="427"/>
      <c r="E2001" s="427"/>
      <c r="F2001" s="428"/>
      <c r="G2001" s="427"/>
      <c r="H2001" s="429"/>
    </row>
    <row r="2002" spans="1:8" ht="15.75" customHeight="1" x14ac:dyDescent="0.25">
      <c r="A2002" s="425"/>
      <c r="B2002" s="426"/>
      <c r="C2002" s="390"/>
      <c r="D2002" s="427"/>
      <c r="E2002" s="427"/>
      <c r="F2002" s="428"/>
      <c r="G2002" s="427"/>
      <c r="H2002" s="429"/>
    </row>
    <row r="2003" spans="1:8" ht="15.75" customHeight="1" x14ac:dyDescent="0.25">
      <c r="A2003" s="502"/>
      <c r="B2003" s="503"/>
      <c r="C2003" s="390"/>
      <c r="D2003" s="427"/>
      <c r="E2003" s="427"/>
      <c r="F2003" s="428"/>
      <c r="G2003" s="427"/>
      <c r="H2003" s="429"/>
    </row>
    <row r="2004" spans="1:8" ht="15.75" customHeight="1" x14ac:dyDescent="0.25">
      <c r="A2004" s="425"/>
      <c r="B2004" s="426"/>
      <c r="C2004" s="390"/>
      <c r="D2004" s="427"/>
      <c r="E2004" s="427"/>
      <c r="F2004" s="428"/>
      <c r="G2004" s="427"/>
      <c r="H2004" s="429"/>
    </row>
    <row r="2005" spans="1:8" ht="15.75" customHeight="1" x14ac:dyDescent="0.25">
      <c r="A2005" s="425"/>
      <c r="B2005" s="426"/>
      <c r="C2005" s="390"/>
      <c r="D2005" s="427"/>
      <c r="E2005" s="427"/>
      <c r="F2005" s="428"/>
      <c r="G2005" s="427"/>
      <c r="H2005" s="429"/>
    </row>
    <row r="2006" spans="1:8" ht="15.75" customHeight="1" x14ac:dyDescent="0.25">
      <c r="A2006" s="425"/>
      <c r="B2006" s="426"/>
      <c r="C2006" s="390"/>
      <c r="D2006" s="427"/>
      <c r="E2006" s="427"/>
      <c r="F2006" s="428"/>
      <c r="G2006" s="427"/>
      <c r="H2006" s="429"/>
    </row>
    <row r="2007" spans="1:8" ht="15.75" customHeight="1" x14ac:dyDescent="0.25">
      <c r="A2007" s="425"/>
      <c r="B2007" s="426"/>
      <c r="C2007" s="390"/>
      <c r="D2007" s="427"/>
      <c r="E2007" s="427"/>
      <c r="F2007" s="428"/>
      <c r="G2007" s="427"/>
      <c r="H2007" s="429"/>
    </row>
    <row r="2008" spans="1:8" ht="15.75" customHeight="1" x14ac:dyDescent="0.25">
      <c r="A2008" s="425"/>
      <c r="B2008" s="426"/>
      <c r="C2008" s="390"/>
      <c r="D2008" s="427"/>
      <c r="E2008" s="427"/>
      <c r="F2008" s="428"/>
      <c r="G2008" s="427"/>
      <c r="H2008" s="429"/>
    </row>
    <row r="2009" spans="1:8" ht="15.75" customHeight="1" x14ac:dyDescent="0.25">
      <c r="A2009" s="430"/>
      <c r="B2009" s="409"/>
      <c r="C2009" s="393"/>
      <c r="D2009" s="427"/>
      <c r="E2009" s="427"/>
      <c r="F2009" s="428"/>
      <c r="G2009" s="431"/>
      <c r="H2009" s="429"/>
    </row>
    <row r="2010" spans="1:8" ht="15.75" customHeight="1" x14ac:dyDescent="0.25">
      <c r="A2010" s="432"/>
      <c r="B2010" s="433"/>
      <c r="C2010" s="434" t="s">
        <v>85</v>
      </c>
      <c r="D2010" s="435">
        <f>SUM(D1998:D2009)</f>
      </c>
      <c r="E2010" s="435"/>
      <c r="F2010" s="436"/>
      <c r="G2010" s="437"/>
      <c r="H2010" s="438">
        <f>SUM(H1998:H2009)</f>
      </c>
    </row>
    <row r="2011" spans="1:8" ht="15.75" customHeight="1" x14ac:dyDescent="0.25">
      <c r="A2011" s="439"/>
      <c r="B2011" s="440"/>
      <c r="C2011" s="440"/>
      <c r="D2011" s="441"/>
      <c r="E2011" s="440"/>
      <c r="F2011" s="442"/>
      <c r="G2011" s="443"/>
      <c r="H2011" s="444"/>
    </row>
    <row r="2012" spans="1:8" ht="15.75" customHeight="1" x14ac:dyDescent="0.25">
      <c r="A2012" s="392" t="s">
        <v>913</v>
      </c>
      <c r="B2012" s="391"/>
      <c r="C2012" s="391"/>
      <c r="D2012" s="391"/>
      <c r="E2012" s="390"/>
      <c r="F2012" s="392"/>
      <c r="G2012" s="390"/>
      <c r="H2012" s="394"/>
    </row>
    <row r="2013" spans="1:8" ht="15.75" customHeight="1" x14ac:dyDescent="0.25">
      <c r="A2013" s="445"/>
      <c r="B2013" s="445"/>
      <c r="C2013" s="445"/>
      <c r="D2013" s="446" t="s">
        <v>97</v>
      </c>
      <c r="E2013" s="445" t="s">
        <v>98</v>
      </c>
      <c r="F2013" s="445"/>
      <c r="G2013" s="390"/>
      <c r="H2013" s="394"/>
    </row>
    <row r="2014" spans="1:8" ht="15.75" customHeight="1" x14ac:dyDescent="0.25">
      <c r="A2014" s="390"/>
      <c r="B2014" s="390"/>
      <c r="C2014" s="390"/>
      <c r="D2014" s="391"/>
      <c r="E2014" s="390"/>
      <c r="F2014" s="390"/>
      <c r="G2014" s="390"/>
      <c r="H2014" s="394"/>
    </row>
    <row r="2015" spans="1:8" ht="15.75" customHeight="1" x14ac:dyDescent="0.25">
      <c r="A2015" s="390"/>
      <c r="B2015" s="390"/>
      <c r="C2015" s="390"/>
      <c r="D2015" s="391"/>
      <c r="E2015" s="390"/>
      <c r="F2015" s="390"/>
      <c r="G2015" s="390"/>
      <c r="H2015" s="394"/>
    </row>
    <row r="2016" spans="1:8" ht="15.75" customHeight="1" x14ac:dyDescent="0.25">
      <c r="A2016" s="445"/>
      <c r="B2016" s="445"/>
      <c r="C2016" s="445"/>
      <c r="D2016" s="446"/>
      <c r="E2016" s="445" t="s">
        <v>99</v>
      </c>
      <c r="F2016" s="445"/>
      <c r="G2016" s="390"/>
      <c r="H2016" s="394"/>
    </row>
    <row r="2017" spans="1:20" ht="15.75" customHeight="1" x14ac:dyDescent="0.25">
      <c r="D2017" s="4"/>
      <c r="H2017" s="4"/>
    </row>
    <row r="2018" spans="1:20" ht="15.75" customHeight="1" x14ac:dyDescent="0.25">
      <c r="D2018" s="4"/>
      <c r="H2018" s="4"/>
    </row>
    <row r="2019" spans="1:20" ht="15.75" customHeight="1" x14ac:dyDescent="0.25">
      <c r="D2019" s="4"/>
      <c r="H2019" s="4"/>
    </row>
    <row r="2020" spans="1:20" ht="15.75" customHeight="1" x14ac:dyDescent="0.25">
      <c r="D2020" s="4"/>
      <c r="H2020" s="4"/>
    </row>
    <row r="2021" spans="1:20" ht="15.75" customHeight="1" x14ac:dyDescent="0.25">
      <c r="D2021" s="4"/>
      <c r="H2021" s="4"/>
    </row>
    <row r="2022" spans="1:20" ht="15.75" customHeight="1" x14ac:dyDescent="0.25">
      <c r="D2022" s="4"/>
      <c r="H2022" s="4"/>
    </row>
    <row r="2023" spans="1:20" ht="15.75" customHeight="1" x14ac:dyDescent="0.25">
      <c r="D2023" s="4"/>
      <c r="H2023" s="4"/>
    </row>
    <row r="2024" spans="1:20" ht="15.75" customHeight="1" x14ac:dyDescent="0.25">
      <c r="D2024" s="4"/>
      <c r="H2024" s="4"/>
    </row>
    <row r="2025" spans="1:20" ht="15.75" customHeight="1" x14ac:dyDescent="0.25">
      <c r="D2025" s="4"/>
      <c r="H2025" s="4"/>
    </row>
    <row r="2026" spans="1:20" ht="15.75" customHeight="1" x14ac:dyDescent="0.25">
      <c r="D2026" s="4"/>
      <c r="H2026" s="4"/>
    </row>
    <row r="2027" spans="1:20" ht="15.75" customHeight="1" x14ac:dyDescent="0.25">
      <c r="D2027" s="4"/>
      <c r="H2027" s="4"/>
      <c r="I2027" s="293"/>
      <c r="J2027" s="293"/>
      <c r="K2027" s="293"/>
      <c r="L2027" s="293"/>
      <c r="M2027" s="293"/>
      <c r="N2027" s="293"/>
      <c r="O2027" s="293"/>
      <c r="P2027" s="293"/>
      <c r="Q2027" s="293"/>
      <c r="R2027" s="293"/>
      <c r="S2027" s="293"/>
      <c r="T2027" s="293"/>
    </row>
    <row r="2028" spans="1:20" ht="15.75" customHeight="1" x14ac:dyDescent="0.25">
      <c r="A2028" s="506" t="s">
        <v>14</v>
      </c>
      <c r="B2028" s="506"/>
      <c r="C2028" s="506"/>
      <c r="D2028" s="506"/>
      <c r="E2028" s="506"/>
      <c r="F2028" s="506"/>
      <c r="G2028" s="506"/>
      <c r="H2028" s="506"/>
    </row>
    <row r="2029" spans="1:20" ht="15.75" customHeight="1" x14ac:dyDescent="0.25">
      <c r="A2029" s="56"/>
      <c r="B2029" s="56"/>
      <c r="C2029" s="56"/>
      <c r="D2029" s="53"/>
      <c r="E2029" s="56"/>
      <c r="F2029" s="56"/>
      <c r="G2029" s="56"/>
      <c r="H2029" s="398"/>
      <c r="I2029" s="390"/>
      <c r="J2029" s="390"/>
      <c r="K2029" s="390"/>
      <c r="L2029" s="390"/>
      <c r="M2029" s="390"/>
      <c r="N2029" s="390"/>
      <c r="O2029" s="390"/>
      <c r="P2029" s="390"/>
      <c r="Q2029" s="390"/>
      <c r="R2029" s="390"/>
      <c r="S2029" s="390"/>
      <c r="T2029" s="390"/>
    </row>
    <row r="2030" spans="1:20" ht="15.75" customHeight="1" x14ac:dyDescent="0.25">
      <c r="A2030" s="390"/>
      <c r="B2030" s="390"/>
      <c r="C2030" s="391"/>
      <c r="D2030" s="392"/>
      <c r="E2030" s="393"/>
      <c r="F2030" s="393"/>
      <c r="G2030" s="393"/>
      <c r="H2030" s="394"/>
      <c r="I2030" s="390"/>
      <c r="J2030" s="390"/>
      <c r="K2030" s="390"/>
      <c r="L2030" s="390"/>
      <c r="M2030" s="390"/>
      <c r="N2030" s="390"/>
      <c r="O2030" s="390"/>
      <c r="P2030" s="390"/>
      <c r="Q2030" s="390"/>
      <c r="R2030" s="390"/>
      <c r="S2030" s="390"/>
      <c r="T2030" s="390"/>
    </row>
    <row r="2031" spans="1:20" ht="15.75" customHeight="1" x14ac:dyDescent="0.25">
      <c r="A2031" s="390"/>
      <c r="B2031" s="390"/>
      <c r="C2031" s="390"/>
      <c r="D2031" s="391"/>
      <c r="E2031" s="390"/>
      <c r="F2031" s="395" t="s">
        <v>18</v>
      </c>
      <c r="G2031" s="396" t="s">
        <v>607</v>
      </c>
      <c r="H2031" s="397"/>
      <c r="I2031" s="390"/>
      <c r="J2031" s="390"/>
      <c r="K2031" s="390"/>
      <c r="L2031" s="390"/>
      <c r="M2031" s="390"/>
      <c r="N2031" s="390"/>
      <c r="O2031" s="390"/>
      <c r="P2031" s="390"/>
      <c r="Q2031" s="390"/>
      <c r="R2031" s="390"/>
      <c r="S2031" s="390"/>
      <c r="T2031" s="390"/>
    </row>
    <row r="2032" spans="1:20" ht="15.75" customHeight="1" x14ac:dyDescent="0.25">
      <c r="A2032" s="390" t="s">
        <v>20</v>
      </c>
      <c r="B2032" s="390"/>
      <c r="C2032" s="390"/>
      <c r="D2032" s="391"/>
      <c r="E2032" s="390"/>
      <c r="F2032" s="395" t="s">
        <v>21</v>
      </c>
      <c r="G2032" s="390" t="s">
        <v>1098</v>
      </c>
      <c r="H2032" s="391"/>
      <c r="I2032" s="390"/>
      <c r="J2032" s="390"/>
      <c r="K2032" s="390"/>
      <c r="L2032" s="390"/>
      <c r="M2032" s="390"/>
      <c r="N2032" s="390"/>
      <c r="O2032" s="390"/>
      <c r="P2032" s="390"/>
      <c r="Q2032" s="390"/>
      <c r="R2032" s="390"/>
      <c r="S2032" s="390"/>
      <c r="T2032" s="390"/>
    </row>
    <row r="2033" spans="1:20" ht="15.75" customHeight="1" x14ac:dyDescent="0.25">
      <c r="A2033" s="390" t="inlineStr">
        <is>
          <t>Dealer-003</t>
        </is>
      </c>
      <c r="B2033" s="390"/>
      <c r="C2033" s="390"/>
      <c r="D2033" s="391"/>
      <c r="E2033" s="395"/>
      <c r="F2033" s="390"/>
      <c r="G2033" s="390"/>
      <c r="H2033" s="394"/>
      <c r="I2033" s="390"/>
      <c r="J2033" s="390"/>
      <c r="K2033" s="390"/>
      <c r="L2033" s="390"/>
      <c r="M2033" s="390"/>
      <c r="N2033" s="390"/>
      <c r="O2033" s="390"/>
      <c r="P2033" s="390"/>
      <c r="Q2033" s="390"/>
      <c r="R2033" s="390"/>
      <c r="S2033" s="390"/>
      <c r="T2033" s="390"/>
    </row>
    <row r="2034" spans="1:20" ht="15.75" customHeight="1" x14ac:dyDescent="0.25">
      <c r="A2034" s="390" t="inlineStr">
        <is>
          <t>Address line (redacted)</t>
        </is>
      </c>
      <c r="B2034" s="390"/>
      <c r="C2034" s="390"/>
      <c r="D2034" s="398"/>
      <c r="E2034" s="390"/>
      <c r="F2034" s="391"/>
      <c r="G2034" s="390"/>
      <c r="H2034" s="394"/>
      <c r="I2034" s="390"/>
      <c r="J2034" s="390"/>
      <c r="K2034" s="390"/>
      <c r="L2034" s="390"/>
      <c r="M2034" s="390"/>
      <c r="N2034" s="390"/>
      <c r="O2034" s="390"/>
      <c r="P2034" s="390"/>
      <c r="Q2034" s="390"/>
      <c r="R2034" s="390"/>
      <c r="S2034" s="390"/>
      <c r="T2034" s="390"/>
    </row>
    <row r="2035" spans="1:20" ht="15.75" customHeight="1" x14ac:dyDescent="0.25">
      <c r="A2035" s="390" t="inlineStr">
        <is>
          <t>Address line (redacted)</t>
        </is>
      </c>
      <c r="B2035" s="390"/>
      <c r="C2035" s="390"/>
      <c r="D2035" s="398"/>
      <c r="E2035" s="390"/>
      <c r="F2035" s="391"/>
      <c r="G2035" s="390"/>
      <c r="H2035" s="394"/>
      <c r="I2035" s="390"/>
      <c r="J2035" s="390"/>
      <c r="K2035" s="390"/>
      <c r="L2035" s="390"/>
      <c r="M2035" s="390"/>
      <c r="N2035" s="390"/>
      <c r="O2035" s="390"/>
      <c r="P2035" s="390"/>
      <c r="Q2035" s="390"/>
      <c r="R2035" s="390"/>
      <c r="S2035" s="390"/>
      <c r="T2035" s="390"/>
    </row>
    <row r="2036" spans="1:20" ht="15.75" customHeight="1" x14ac:dyDescent="0.25">
      <c r="A2036" s="447"/>
      <c r="B2036" s="390"/>
      <c r="C2036" s="390"/>
      <c r="D2036" s="391"/>
      <c r="E2036" s="390"/>
      <c r="F2036" s="391"/>
      <c r="G2036" s="390"/>
      <c r="H2036" s="394"/>
      <c r="I2036" s="390"/>
      <c r="J2036" s="390"/>
      <c r="K2036" s="390"/>
      <c r="L2036" s="390"/>
      <c r="M2036" s="390"/>
      <c r="N2036" s="390"/>
      <c r="O2036" s="390"/>
      <c r="P2036" s="390"/>
      <c r="Q2036" s="390"/>
      <c r="R2036" s="390"/>
      <c r="S2036" s="390"/>
      <c r="T2036" s="390"/>
    </row>
    <row r="2037" spans="1:20" ht="15.75" customHeight="1" x14ac:dyDescent="0.25">
      <c r="A2037" s="390" t="s">
        <v>30</v>
      </c>
      <c r="B2037" s="390"/>
      <c r="C2037" s="390"/>
      <c r="D2037" s="391"/>
      <c r="E2037" s="390"/>
      <c r="F2037" s="391"/>
      <c r="G2037" s="390"/>
      <c r="H2037" s="394"/>
      <c r="I2037" s="390"/>
      <c r="J2037" s="390"/>
      <c r="K2037" s="390"/>
      <c r="L2037" s="390"/>
      <c r="M2037" s="390"/>
      <c r="N2037" s="390"/>
      <c r="O2037" s="390"/>
      <c r="P2037" s="390"/>
      <c r="Q2037" s="390"/>
      <c r="R2037" s="390"/>
      <c r="S2037" s="390"/>
      <c r="T2037" s="390"/>
    </row>
    <row r="2038" spans="1:20" ht="15.75" customHeight="1" x14ac:dyDescent="0.25">
      <c r="A2038" s="390"/>
      <c r="B2038" s="390"/>
      <c r="C2038" s="390"/>
      <c r="D2038" s="391"/>
      <c r="E2038" s="390"/>
      <c r="F2038" s="391"/>
      <c r="G2038" s="390"/>
      <c r="H2038" s="394"/>
      <c r="I2038" s="390"/>
      <c r="J2038" s="390"/>
      <c r="K2038" s="390"/>
      <c r="L2038" s="390"/>
      <c r="M2038" s="390"/>
      <c r="N2038" s="390"/>
      <c r="O2038" s="390"/>
      <c r="P2038" s="390"/>
      <c r="Q2038" s="390"/>
      <c r="R2038" s="390"/>
      <c r="S2038" s="390"/>
      <c r="T2038" s="390"/>
    </row>
    <row r="2039" spans="1:20" ht="15.75" customHeight="1" x14ac:dyDescent="0.25">
      <c r="A2039" s="390" t="s">
        <v>716</v>
      </c>
      <c r="B2039" s="390"/>
      <c r="C2039" s="390"/>
      <c r="D2039" s="391"/>
      <c r="E2039" s="390"/>
      <c r="F2039" s="391"/>
      <c r="G2039" s="390"/>
      <c r="H2039" s="394"/>
      <c r="I2039" s="390"/>
      <c r="J2039" s="390"/>
      <c r="K2039" s="390"/>
      <c r="L2039" s="390"/>
      <c r="M2039" s="390"/>
      <c r="N2039" s="390"/>
      <c r="O2039" s="390"/>
      <c r="P2039" s="390"/>
      <c r="Q2039" s="390"/>
      <c r="R2039" s="390"/>
      <c r="S2039" s="390"/>
      <c r="T2039" s="390"/>
    </row>
    <row r="2040" spans="1:20" ht="15.75" customHeight="1" x14ac:dyDescent="0.25">
      <c r="A2040" s="390" t="s">
        <v>717</v>
      </c>
      <c r="B2040" s="390"/>
      <c r="C2040" s="390"/>
      <c r="D2040" s="391"/>
      <c r="E2040" s="390"/>
      <c r="F2040" s="391"/>
      <c r="G2040" s="390"/>
      <c r="H2040" s="394"/>
      <c r="I2040" s="390"/>
      <c r="J2040" s="390"/>
      <c r="K2040" s="390"/>
      <c r="L2040" s="390"/>
      <c r="M2040" s="390"/>
      <c r="N2040" s="390"/>
      <c r="O2040" s="390"/>
      <c r="P2040" s="390"/>
      <c r="Q2040" s="390"/>
      <c r="R2040" s="390"/>
      <c r="S2040" s="390"/>
      <c r="T2040" s="390"/>
    </row>
    <row r="2041" spans="1:20" ht="15.75" customHeight="1" x14ac:dyDescent="0.25">
      <c r="A2041" s="390"/>
      <c r="B2041" s="390"/>
      <c r="C2041" s="390"/>
      <c r="D2041" s="391"/>
      <c r="E2041" s="390"/>
      <c r="F2041" s="391"/>
      <c r="G2041" s="390"/>
      <c r="H2041" s="394"/>
      <c r="I2041" s="390"/>
      <c r="J2041" s="390"/>
      <c r="K2041" s="390"/>
      <c r="L2041" s="390"/>
      <c r="M2041" s="390"/>
      <c r="N2041" s="390"/>
      <c r="O2041" s="390"/>
      <c r="P2041" s="390"/>
      <c r="Q2041" s="390"/>
      <c r="R2041" s="390"/>
      <c r="S2041" s="390"/>
      <c r="T2041" s="390"/>
    </row>
    <row r="2042" spans="1:20" ht="15.75" customHeight="1" x14ac:dyDescent="0.25">
      <c r="A2042" s="399" t="s">
        <v>33</v>
      </c>
      <c r="B2042" s="400" t="s">
        <v>6</v>
      </c>
      <c r="C2042" s="400"/>
      <c r="D2042" s="401" t="s">
        <v>37</v>
      </c>
      <c r="E2042" s="402" t="s">
        <v>38</v>
      </c>
      <c r="F2042" s="403" t="s">
        <v>7</v>
      </c>
      <c r="G2042" s="404" t="s">
        <v>43</v>
      </c>
      <c r="H2042" s="405" t="s">
        <v>44</v>
      </c>
      <c r="I2042" s="390"/>
      <c r="J2042" s="390"/>
      <c r="K2042" s="390"/>
      <c r="L2042" s="390"/>
      <c r="M2042" s="390"/>
      <c r="N2042" s="390"/>
      <c r="O2042" s="390"/>
      <c r="P2042" s="390"/>
      <c r="Q2042" s="390"/>
      <c r="R2042" s="390"/>
      <c r="S2042" s="390"/>
      <c r="T2042" s="390"/>
    </row>
    <row r="2043" spans="1:20" ht="15.75" customHeight="1" x14ac:dyDescent="0.25">
      <c r="A2043" s="406"/>
      <c r="B2043" s="407"/>
      <c r="C2043" s="393"/>
      <c r="D2043" s="408"/>
      <c r="E2043" s="408"/>
      <c r="F2043" s="409"/>
      <c r="G2043" s="410"/>
      <c r="H2043" s="411"/>
      <c r="I2043" s="390"/>
      <c r="J2043" s="390"/>
      <c r="K2043" s="390"/>
      <c r="L2043" s="390"/>
      <c r="M2043" s="390"/>
      <c r="N2043" s="390"/>
      <c r="O2043" s="390"/>
      <c r="P2043" s="390"/>
      <c r="Q2043" s="390"/>
      <c r="R2043" s="390"/>
      <c r="S2043" s="390"/>
      <c r="T2043" s="390"/>
    </row>
    <row r="2044" spans="1:20" ht="15.75" customHeight="1" x14ac:dyDescent="0.25">
      <c r="A2044" s="425"/>
      <c r="B2044" s="450" t="s">
        <v>1102</v>
      </c>
      <c r="C2044" s="507"/>
      <c r="D2044" s="427"/>
      <c r="E2044" s="427"/>
      <c r="F2044" s="391"/>
      <c r="G2044" s="427"/>
      <c r="H2044" s="429"/>
      <c r="I2044" s="390"/>
      <c r="J2044" s="390"/>
      <c r="K2044" s="390"/>
      <c r="L2044" s="390"/>
      <c r="M2044" s="390"/>
      <c r="N2044" s="390"/>
      <c r="O2044" s="390"/>
      <c r="P2044" s="390"/>
      <c r="Q2044" s="390"/>
      <c r="R2044" s="390"/>
      <c r="S2044" s="390"/>
      <c r="T2044" s="390"/>
    </row>
    <row r="2045" spans="1:20" ht="15.75" customHeight="1" x14ac:dyDescent="0.25">
      <c r="A2045" s="425"/>
      <c r="B2045" s="450"/>
      <c r="C2045" s="507"/>
      <c r="D2045" s="427"/>
      <c r="E2045" s="427"/>
      <c r="F2045" s="391"/>
      <c r="G2045" s="427"/>
      <c r="H2045" s="429"/>
      <c r="I2045" s="390"/>
      <c r="J2045" s="390"/>
      <c r="K2045" s="390"/>
      <c r="L2045" s="390"/>
      <c r="M2045" s="390"/>
      <c r="N2045" s="390"/>
      <c r="O2045" s="390"/>
      <c r="P2045" s="390"/>
      <c r="Q2045" s="390"/>
      <c r="R2045" s="390"/>
      <c r="S2045" s="390"/>
      <c r="T2045" s="390"/>
    </row>
    <row r="2046" spans="1:20" ht="15.75" customHeight="1" x14ac:dyDescent="0.25">
      <c r="A2046" s="425" t="s">
        <v>55</v>
      </c>
      <c r="B2046" s="450" t="s">
        <v>45</v>
      </c>
      <c r="C2046" s="507" t="s">
        <v>41</v>
      </c>
      <c r="D2046" s="427">
        <v>4</v>
      </c>
      <c r="E2046" s="427">
        <v>5</v>
      </c>
      <c r="F2046" s="391">
        <f t="shared" ref="F2046:F2050" si="16">+E2046*D2046</f>
      </c>
      <c r="G2046" s="427">
        <v>1</v>
      </c>
      <c r="H2046" s="429">
        <f t="shared" ref="H2046:H2050" si="17">+G2046*F2046</f>
      </c>
      <c r="I2046" s="390"/>
      <c r="J2046" s="390"/>
      <c r="K2046" s="390"/>
      <c r="L2046" s="390"/>
      <c r="M2046" s="390"/>
      <c r="N2046" s="390"/>
      <c r="O2046" s="390"/>
      <c r="P2046" s="390"/>
      <c r="Q2046" s="390"/>
      <c r="R2046" s="390"/>
      <c r="S2046" s="390"/>
      <c r="T2046" s="390"/>
    </row>
    <row r="2047" spans="1:20" ht="15.75" customHeight="1" x14ac:dyDescent="0.25">
      <c r="A2047" s="425" t="s">
        <v>59</v>
      </c>
      <c r="B2047" s="450" t="s">
        <v>68</v>
      </c>
      <c r="C2047" s="507" t="s">
        <v>91</v>
      </c>
      <c r="D2047" s="427">
        <v>4</v>
      </c>
      <c r="E2047" s="427">
        <v>5</v>
      </c>
      <c r="F2047" s="391">
        <f t="shared" si="16"/>
      </c>
      <c r="G2047" s="427">
        <v>1</v>
      </c>
      <c r="H2047" s="429">
        <f t="shared" si="17"/>
      </c>
      <c r="I2047" s="390"/>
      <c r="J2047" s="390"/>
      <c r="K2047" s="390"/>
      <c r="L2047" s="390"/>
      <c r="M2047" s="390"/>
      <c r="N2047" s="390"/>
      <c r="O2047" s="390"/>
      <c r="P2047" s="390"/>
      <c r="Q2047" s="390"/>
      <c r="R2047" s="390"/>
      <c r="S2047" s="390"/>
      <c r="T2047" s="390"/>
    </row>
    <row r="2048" spans="1:20" ht="15.75" customHeight="1" x14ac:dyDescent="0.25">
      <c r="A2048" s="425" t="s">
        <v>67</v>
      </c>
      <c r="B2048" s="450" t="s">
        <v>815</v>
      </c>
      <c r="C2048" s="507" t="s">
        <v>84</v>
      </c>
      <c r="D2048" s="427">
        <v>2</v>
      </c>
      <c r="E2048" s="427">
        <v>5</v>
      </c>
      <c r="F2048" s="391">
        <f t="shared" si="16"/>
      </c>
      <c r="G2048" s="427">
        <v>1</v>
      </c>
      <c r="H2048" s="429">
        <f t="shared" si="17"/>
      </c>
      <c r="I2048" s="390"/>
      <c r="J2048" s="390"/>
      <c r="K2048" s="390"/>
      <c r="L2048" s="390"/>
      <c r="M2048" s="390"/>
      <c r="N2048" s="390"/>
      <c r="O2048" s="390"/>
      <c r="P2048" s="390"/>
      <c r="Q2048" s="390"/>
      <c r="R2048" s="390"/>
      <c r="S2048" s="390"/>
      <c r="T2048" s="390"/>
    </row>
    <row r="2049" spans="1:20" ht="15.75" customHeight="1" x14ac:dyDescent="0.25">
      <c r="A2049" s="425" t="s">
        <v>485</v>
      </c>
      <c r="B2049" s="450" t="s">
        <v>81</v>
      </c>
      <c r="C2049" s="507" t="s">
        <v>82</v>
      </c>
      <c r="D2049" s="427">
        <v>1</v>
      </c>
      <c r="E2049" s="427">
        <v>5</v>
      </c>
      <c r="F2049" s="391">
        <f t="shared" si="16"/>
      </c>
      <c r="G2049" s="427">
        <v>1</v>
      </c>
      <c r="H2049" s="429">
        <f t="shared" si="17"/>
      </c>
      <c r="I2049" s="390"/>
      <c r="J2049" s="390"/>
      <c r="K2049" s="390"/>
      <c r="L2049" s="390"/>
      <c r="M2049" s="390"/>
      <c r="N2049" s="390"/>
      <c r="O2049" s="390"/>
      <c r="P2049" s="390"/>
      <c r="Q2049" s="390"/>
      <c r="R2049" s="390"/>
      <c r="S2049" s="390"/>
      <c r="T2049" s="390"/>
    </row>
    <row r="2050" spans="1:20" ht="15.75" customHeight="1" x14ac:dyDescent="0.25">
      <c r="A2050" s="425" t="s">
        <v>486</v>
      </c>
      <c r="B2050" s="450" t="s">
        <v>60</v>
      </c>
      <c r="C2050" s="507" t="s">
        <v>142</v>
      </c>
      <c r="D2050" s="427">
        <v>1</v>
      </c>
      <c r="E2050" s="427">
        <v>5</v>
      </c>
      <c r="F2050" s="391">
        <f t="shared" si="16"/>
      </c>
      <c r="G2050" s="427">
        <v>1</v>
      </c>
      <c r="H2050" s="429">
        <f t="shared" si="17"/>
      </c>
      <c r="I2050" s="390"/>
      <c r="J2050" s="390"/>
      <c r="K2050" s="390"/>
      <c r="L2050" s="390"/>
      <c r="M2050" s="390"/>
      <c r="N2050" s="390"/>
      <c r="O2050" s="390"/>
      <c r="P2050" s="390"/>
      <c r="Q2050" s="390"/>
      <c r="R2050" s="390"/>
      <c r="S2050" s="390"/>
      <c r="T2050" s="390"/>
    </row>
    <row r="2051" spans="1:20" ht="15.75" customHeight="1" x14ac:dyDescent="0.25">
      <c r="A2051" s="425"/>
      <c r="B2051" s="426"/>
      <c r="C2051" s="390"/>
      <c r="D2051" s="427"/>
      <c r="E2051" s="427"/>
      <c r="F2051" s="391"/>
      <c r="G2051" s="427"/>
      <c r="H2051" s="429"/>
      <c r="I2051" s="390"/>
      <c r="J2051" s="390"/>
      <c r="K2051" s="390"/>
      <c r="L2051" s="390"/>
      <c r="M2051" s="390"/>
      <c r="N2051" s="390"/>
      <c r="O2051" s="390"/>
      <c r="P2051" s="390"/>
      <c r="Q2051" s="390"/>
      <c r="R2051" s="390"/>
      <c r="S2051" s="390"/>
      <c r="T2051" s="390"/>
    </row>
    <row r="2052" spans="1:20" ht="15.75" customHeight="1" x14ac:dyDescent="0.25">
      <c r="A2052" s="425"/>
      <c r="B2052" s="426"/>
      <c r="C2052" s="390"/>
      <c r="D2052" s="427"/>
      <c r="E2052" s="427"/>
      <c r="F2052" s="391"/>
      <c r="G2052" s="427"/>
      <c r="H2052" s="429"/>
      <c r="I2052" s="390"/>
      <c r="J2052" s="390"/>
      <c r="K2052" s="390"/>
      <c r="L2052" s="390"/>
      <c r="M2052" s="390"/>
      <c r="N2052" s="390"/>
      <c r="O2052" s="390"/>
      <c r="P2052" s="390"/>
      <c r="Q2052" s="390"/>
      <c r="R2052" s="390"/>
      <c r="S2052" s="390"/>
      <c r="T2052" s="390"/>
    </row>
    <row r="2053" spans="1:20" ht="15.75" customHeight="1" x14ac:dyDescent="0.25">
      <c r="A2053" s="425"/>
      <c r="B2053" s="426"/>
      <c r="C2053" s="390"/>
      <c r="D2053" s="427"/>
      <c r="E2053" s="427"/>
      <c r="F2053" s="391"/>
      <c r="G2053" s="427"/>
      <c r="H2053" s="429"/>
      <c r="I2053" s="390"/>
      <c r="J2053" s="390"/>
      <c r="K2053" s="390"/>
      <c r="L2053" s="390"/>
      <c r="M2053" s="390"/>
      <c r="N2053" s="390"/>
      <c r="O2053" s="390"/>
      <c r="P2053" s="390"/>
      <c r="Q2053" s="390"/>
      <c r="R2053" s="390"/>
      <c r="S2053" s="390"/>
      <c r="T2053" s="390"/>
    </row>
    <row r="2054" spans="1:20" ht="15.75" customHeight="1" x14ac:dyDescent="0.25">
      <c r="A2054" s="430"/>
      <c r="B2054" s="409"/>
      <c r="C2054" s="393"/>
      <c r="D2054" s="427"/>
      <c r="E2054" s="427"/>
      <c r="F2054" s="428"/>
      <c r="G2054" s="431"/>
      <c r="H2054" s="429"/>
      <c r="I2054" s="390"/>
      <c r="J2054" s="390"/>
      <c r="K2054" s="390"/>
      <c r="L2054" s="390"/>
      <c r="M2054" s="390"/>
      <c r="N2054" s="390"/>
      <c r="O2054" s="390"/>
      <c r="P2054" s="390"/>
      <c r="Q2054" s="390"/>
      <c r="R2054" s="390"/>
      <c r="S2054" s="390"/>
      <c r="T2054" s="390"/>
    </row>
    <row r="2055" spans="1:20" ht="15.75" customHeight="1" x14ac:dyDescent="0.25">
      <c r="A2055" s="432"/>
      <c r="B2055" s="433"/>
      <c r="C2055" s="434" t="s">
        <v>85</v>
      </c>
      <c r="D2055" s="435">
        <f>SUM(D2044:D2054)</f>
      </c>
      <c r="E2055" s="435"/>
      <c r="F2055" s="436"/>
      <c r="G2055" s="437"/>
      <c r="H2055" s="438">
        <f>SUM(H2046:H2054)</f>
      </c>
      <c r="I2055" s="390"/>
      <c r="J2055" s="390"/>
      <c r="K2055" s="390"/>
      <c r="L2055" s="390"/>
      <c r="M2055" s="390"/>
      <c r="N2055" s="390"/>
      <c r="O2055" s="390"/>
      <c r="P2055" s="390"/>
      <c r="Q2055" s="390"/>
      <c r="R2055" s="390"/>
      <c r="S2055" s="390"/>
      <c r="T2055" s="390"/>
    </row>
    <row r="2056" spans="1:20" ht="15.75" customHeight="1" x14ac:dyDescent="0.25">
      <c r="A2056" s="439"/>
      <c r="B2056" s="440"/>
      <c r="C2056" s="440"/>
      <c r="D2056" s="441"/>
      <c r="E2056" s="440"/>
      <c r="F2056" s="442"/>
      <c r="G2056" s="443"/>
      <c r="H2056" s="444"/>
      <c r="I2056" s="390"/>
      <c r="J2056" s="390"/>
      <c r="K2056" s="390"/>
      <c r="L2056" s="390"/>
      <c r="M2056" s="390"/>
      <c r="N2056" s="390"/>
      <c r="O2056" s="390"/>
      <c r="P2056" s="390"/>
      <c r="Q2056" s="390"/>
      <c r="R2056" s="390"/>
      <c r="S2056" s="390"/>
      <c r="T2056" s="390"/>
    </row>
    <row r="2057" spans="1:20" ht="15.75" customHeight="1" x14ac:dyDescent="0.25">
      <c r="A2057" s="392"/>
      <c r="B2057" s="391"/>
      <c r="C2057" s="391"/>
      <c r="D2057" s="391"/>
      <c r="E2057" s="390"/>
      <c r="F2057" s="392"/>
      <c r="G2057" s="390"/>
      <c r="H2057" s="394"/>
      <c r="I2057" s="390"/>
      <c r="J2057" s="390"/>
      <c r="K2057" s="390"/>
      <c r="L2057" s="390"/>
      <c r="M2057" s="390"/>
      <c r="N2057" s="390"/>
      <c r="O2057" s="390"/>
      <c r="P2057" s="390"/>
      <c r="Q2057" s="390"/>
      <c r="R2057" s="390"/>
      <c r="S2057" s="390"/>
      <c r="T2057" s="390"/>
    </row>
    <row r="2058" spans="1:20" ht="15.75" customHeight="1" x14ac:dyDescent="0.25">
      <c r="A2058" s="445"/>
      <c r="B2058" s="445"/>
      <c r="C2058" s="445"/>
      <c r="D2058" s="446" t="s">
        <v>97</v>
      </c>
      <c r="E2058" s="445" t="s">
        <v>98</v>
      </c>
      <c r="F2058" s="445"/>
      <c r="G2058" s="390"/>
      <c r="H2058" s="394"/>
      <c r="I2058" s="390"/>
      <c r="J2058" s="390"/>
      <c r="K2058" s="390"/>
      <c r="L2058" s="390"/>
      <c r="M2058" s="390"/>
      <c r="N2058" s="390"/>
      <c r="O2058" s="390"/>
      <c r="P2058" s="390"/>
      <c r="Q2058" s="390"/>
      <c r="R2058" s="390"/>
      <c r="S2058" s="390"/>
      <c r="T2058" s="390"/>
    </row>
    <row r="2059" spans="1:20" ht="15.75" customHeight="1" x14ac:dyDescent="0.25">
      <c r="A2059" s="390"/>
      <c r="B2059" s="390"/>
      <c r="C2059" s="390"/>
      <c r="D2059" s="391"/>
      <c r="E2059" s="390"/>
      <c r="F2059" s="390"/>
      <c r="G2059" s="390"/>
      <c r="H2059" s="394"/>
      <c r="I2059" s="390"/>
      <c r="J2059" s="390"/>
      <c r="K2059" s="390"/>
      <c r="L2059" s="390"/>
      <c r="M2059" s="390"/>
      <c r="N2059" s="390"/>
      <c r="O2059" s="390"/>
      <c r="P2059" s="390"/>
      <c r="Q2059" s="390"/>
      <c r="R2059" s="390"/>
      <c r="S2059" s="390"/>
      <c r="T2059" s="390"/>
    </row>
    <row r="2060" spans="1:20" ht="15.75" customHeight="1" x14ac:dyDescent="0.25">
      <c r="A2060" s="390"/>
      <c r="B2060" s="390"/>
      <c r="C2060" s="390"/>
      <c r="D2060" s="391"/>
      <c r="E2060" s="390"/>
      <c r="F2060" s="390"/>
      <c r="G2060" s="390"/>
      <c r="H2060" s="394"/>
      <c r="I2060" s="390"/>
      <c r="J2060" s="390"/>
      <c r="K2060" s="390"/>
      <c r="L2060" s="390"/>
      <c r="M2060" s="390"/>
      <c r="N2060" s="390"/>
      <c r="O2060" s="390"/>
      <c r="P2060" s="390"/>
      <c r="Q2060" s="390"/>
      <c r="R2060" s="390"/>
      <c r="S2060" s="390"/>
      <c r="T2060" s="390"/>
    </row>
    <row r="2061" spans="1:20" ht="15.75" customHeight="1" x14ac:dyDescent="0.25">
      <c r="A2061" s="445"/>
      <c r="B2061" s="445"/>
      <c r="C2061" s="445"/>
      <c r="D2061" s="446"/>
      <c r="E2061" s="445" t="s">
        <v>99</v>
      </c>
      <c r="F2061" s="445"/>
      <c r="G2061" s="390"/>
      <c r="H2061" s="394"/>
    </row>
    <row r="2062" spans="1:20" ht="15.75" customHeight="1" x14ac:dyDescent="0.25">
      <c r="D2062" s="4"/>
      <c r="H2062" s="4"/>
    </row>
    <row r="2063" spans="1:20" ht="15.75" customHeight="1" x14ac:dyDescent="0.25">
      <c r="D2063" s="4"/>
      <c r="H2063" s="4"/>
    </row>
    <row r="2064" spans="1:20" ht="15.75" customHeight="1" x14ac:dyDescent="0.25">
      <c r="D2064" s="4"/>
      <c r="H2064" s="4"/>
    </row>
    <row r="2065" spans="1:8" ht="15.75" customHeight="1" x14ac:dyDescent="0.25">
      <c r="D2065" s="4"/>
      <c r="H2065" s="4"/>
    </row>
    <row r="2066" spans="1:8" ht="15.75" customHeight="1" x14ac:dyDescent="0.25">
      <c r="D2066" s="4"/>
      <c r="H2066" s="4"/>
    </row>
    <row r="2067" spans="1:8" ht="15.75" customHeight="1" x14ac:dyDescent="0.25">
      <c r="D2067" s="4"/>
      <c r="H2067" s="4"/>
    </row>
    <row r="2068" spans="1:8" ht="15.75" customHeight="1" x14ac:dyDescent="0.25">
      <c r="D2068" s="4"/>
      <c r="H2068" s="4"/>
    </row>
    <row r="2069" spans="1:8" ht="15.75" customHeight="1" x14ac:dyDescent="0.25">
      <c r="D2069" s="4"/>
      <c r="H2069" s="4"/>
    </row>
    <row r="2070" spans="1:8" ht="15.75" customHeight="1" x14ac:dyDescent="0.25">
      <c r="D2070" s="4"/>
      <c r="H2070" s="4"/>
    </row>
    <row r="2071" spans="1:8" ht="15.75" customHeight="1" x14ac:dyDescent="0.25">
      <c r="D2071" s="4"/>
      <c r="H2071" s="4"/>
    </row>
    <row r="2072" spans="1:8" ht="15.75" customHeight="1" x14ac:dyDescent="0.25">
      <c r="D2072" s="4"/>
      <c r="H2072" s="4"/>
    </row>
    <row r="2073" spans="1:8" ht="15.75" customHeight="1" x14ac:dyDescent="0.25">
      <c r="D2073" s="4"/>
      <c r="H2073" s="4"/>
    </row>
    <row r="2074" spans="1:8" ht="15.75" customHeight="1" x14ac:dyDescent="0.25">
      <c r="D2074" s="4"/>
      <c r="H2074" s="4"/>
    </row>
    <row r="2075" spans="1:8" ht="15.75" customHeight="1" x14ac:dyDescent="0.25">
      <c r="D2075" s="4"/>
      <c r="H2075" s="4"/>
    </row>
    <row r="2076" spans="1:8" ht="15.75" customHeight="1" x14ac:dyDescent="0.25">
      <c r="D2076" s="4"/>
      <c r="H2076" s="4"/>
    </row>
    <row r="2077" spans="1:8" ht="15.75" customHeight="1" x14ac:dyDescent="0.25">
      <c r="D2077" s="4"/>
      <c r="H2077" s="4"/>
    </row>
    <row r="2078" spans="1:8" ht="15.75" customHeight="1" x14ac:dyDescent="0.25">
      <c r="D2078" s="4"/>
      <c r="H2078" s="4"/>
    </row>
    <row r="2079" spans="1:8" ht="15.75" customHeight="1" x14ac:dyDescent="0.25">
      <c r="D2079" s="4"/>
      <c r="H2079" s="4"/>
    </row>
    <row r="2080" spans="1:8" ht="15.75" customHeight="1" x14ac:dyDescent="0.25">
      <c r="A2080" s="398" t="s">
        <v>14</v>
      </c>
      <c r="B2080" s="398"/>
      <c r="C2080" s="398"/>
      <c r="D2080" s="398"/>
      <c r="E2080" s="398"/>
      <c r="F2080" s="398"/>
      <c r="G2080" s="398"/>
      <c r="H2080" s="398"/>
    </row>
    <row r="2081" spans="1:20" ht="15.75" customHeight="1" x14ac:dyDescent="0.25">
      <c r="A2081" s="390"/>
      <c r="B2081" s="390"/>
      <c r="C2081" s="390"/>
      <c r="D2081" s="391"/>
      <c r="E2081" s="390"/>
      <c r="F2081" s="390"/>
      <c r="G2081" s="390"/>
      <c r="H2081" s="398"/>
      <c r="I2081" s="390"/>
      <c r="J2081" s="390"/>
      <c r="K2081" s="390"/>
      <c r="L2081" s="390"/>
      <c r="M2081" s="390"/>
      <c r="N2081" s="390"/>
      <c r="O2081" s="390"/>
      <c r="P2081" s="390"/>
      <c r="Q2081" s="390"/>
      <c r="R2081" s="390"/>
      <c r="S2081" s="390"/>
      <c r="T2081" s="390"/>
    </row>
    <row r="2082" spans="1:20" ht="15.75" customHeight="1" x14ac:dyDescent="0.25">
      <c r="A2082" s="390"/>
      <c r="B2082" s="390"/>
      <c r="C2082" s="391"/>
      <c r="D2082" s="392"/>
      <c r="E2082" s="393"/>
      <c r="F2082" s="393"/>
      <c r="G2082" s="393"/>
      <c r="H2082" s="394"/>
      <c r="I2082" s="390"/>
      <c r="J2082" s="390"/>
      <c r="K2082" s="390"/>
      <c r="L2082" s="390"/>
      <c r="M2082" s="390"/>
      <c r="N2082" s="390"/>
      <c r="O2082" s="390"/>
      <c r="P2082" s="390"/>
      <c r="Q2082" s="390"/>
      <c r="R2082" s="390"/>
      <c r="S2082" s="390"/>
      <c r="T2082" s="390"/>
    </row>
    <row r="2083" spans="1:20" ht="15.75" customHeight="1" x14ac:dyDescent="0.25">
      <c r="A2083" s="390"/>
      <c r="B2083" s="390"/>
      <c r="C2083" s="390"/>
      <c r="D2083" s="391"/>
      <c r="E2083" s="390"/>
      <c r="F2083" s="395" t="s">
        <v>18</v>
      </c>
      <c r="G2083" s="396" t="s">
        <v>607</v>
      </c>
      <c r="H2083" s="397"/>
      <c r="I2083" s="390"/>
      <c r="J2083" s="390"/>
      <c r="K2083" s="390"/>
      <c r="L2083" s="390"/>
      <c r="M2083" s="390"/>
      <c r="N2083" s="390"/>
      <c r="O2083" s="390"/>
      <c r="P2083" s="390"/>
      <c r="Q2083" s="390"/>
      <c r="R2083" s="390"/>
      <c r="S2083" s="390"/>
      <c r="T2083" s="390"/>
    </row>
    <row r="2084" spans="1:20" ht="15.75" customHeight="1" x14ac:dyDescent="0.25">
      <c r="A2084" s="390" t="s">
        <v>20</v>
      </c>
      <c r="B2084" s="390"/>
      <c r="C2084" s="390"/>
      <c r="D2084" s="391"/>
      <c r="E2084" s="390"/>
      <c r="F2084" s="395" t="s">
        <v>21</v>
      </c>
      <c r="G2084" s="390" t="s">
        <v>1116</v>
      </c>
      <c r="H2084" s="391"/>
      <c r="I2084" s="390"/>
      <c r="J2084" s="390"/>
      <c r="K2084" s="390"/>
      <c r="L2084" s="390"/>
      <c r="M2084" s="390"/>
      <c r="N2084" s="390"/>
      <c r="O2084" s="390"/>
      <c r="P2084" s="390"/>
      <c r="Q2084" s="390"/>
      <c r="R2084" s="390"/>
      <c r="S2084" s="390"/>
      <c r="T2084" s="390"/>
    </row>
    <row r="2085" spans="1:20" ht="15.75" customHeight="1" x14ac:dyDescent="0.25">
      <c r="A2085" s="390" t="inlineStr">
        <is>
          <t>Dealer-002</t>
        </is>
      </c>
      <c r="B2085" s="390"/>
      <c r="C2085" s="390"/>
      <c r="D2085" s="391"/>
      <c r="E2085" s="395"/>
      <c r="F2085" s="390"/>
      <c r="G2085" s="390"/>
      <c r="H2085" s="394"/>
      <c r="I2085" s="390"/>
      <c r="J2085" s="390"/>
      <c r="K2085" s="390"/>
      <c r="L2085" s="390"/>
      <c r="M2085" s="390"/>
      <c r="N2085" s="390"/>
      <c r="O2085" s="390"/>
      <c r="P2085" s="390"/>
      <c r="Q2085" s="390"/>
      <c r="R2085" s="390"/>
      <c r="S2085" s="390"/>
      <c r="T2085" s="390"/>
    </row>
    <row r="2086" spans="1:20" ht="15.75" customHeight="1" x14ac:dyDescent="0.25">
      <c r="A2086" s="390" t="inlineStr">
        <is>
          <t>Address line (redacted)</t>
        </is>
      </c>
      <c r="B2086" s="390"/>
      <c r="C2086" s="390"/>
      <c r="D2086" s="398"/>
      <c r="E2086" s="390"/>
      <c r="F2086" s="391"/>
      <c r="G2086" s="390"/>
      <c r="H2086" s="394"/>
      <c r="I2086" s="390"/>
      <c r="J2086" s="390"/>
      <c r="K2086" s="390"/>
      <c r="L2086" s="390"/>
      <c r="M2086" s="390"/>
      <c r="N2086" s="390"/>
      <c r="O2086" s="390"/>
      <c r="P2086" s="390"/>
      <c r="Q2086" s="390"/>
      <c r="R2086" s="390"/>
      <c r="S2086" s="390"/>
      <c r="T2086" s="390"/>
    </row>
    <row r="2087" spans="1:20" ht="15.75" customHeight="1" x14ac:dyDescent="0.25">
      <c r="A2087" s="390" t="inlineStr">
        <is>
          <t>Address line (redacted)</t>
        </is>
      </c>
      <c r="B2087" s="390"/>
      <c r="C2087" s="390"/>
      <c r="D2087" s="398"/>
      <c r="E2087" s="390"/>
      <c r="F2087" s="391"/>
      <c r="G2087" s="390"/>
      <c r="H2087" s="394"/>
      <c r="I2087" s="390"/>
      <c r="J2087" s="390"/>
      <c r="K2087" s="390"/>
      <c r="L2087" s="390"/>
      <c r="M2087" s="390"/>
      <c r="N2087" s="390"/>
      <c r="O2087" s="390"/>
      <c r="P2087" s="390"/>
      <c r="Q2087" s="390"/>
      <c r="R2087" s="390"/>
      <c r="S2087" s="390"/>
      <c r="T2087" s="390"/>
    </row>
    <row r="2088" spans="1:20" ht="15.75" customHeight="1" x14ac:dyDescent="0.25">
      <c r="A2088" s="447"/>
      <c r="B2088" s="390"/>
      <c r="C2088" s="390"/>
      <c r="D2088" s="391"/>
      <c r="E2088" s="390"/>
      <c r="F2088" s="391"/>
      <c r="G2088" s="390"/>
      <c r="H2088" s="394"/>
      <c r="I2088" s="390"/>
      <c r="J2088" s="390"/>
      <c r="K2088" s="390"/>
      <c r="L2088" s="390"/>
      <c r="M2088" s="390"/>
      <c r="N2088" s="390"/>
      <c r="O2088" s="390"/>
      <c r="P2088" s="390"/>
      <c r="Q2088" s="390"/>
      <c r="R2088" s="390"/>
      <c r="S2088" s="390"/>
      <c r="T2088" s="390"/>
    </row>
    <row r="2089" spans="1:20" ht="15.75" customHeight="1" x14ac:dyDescent="0.25">
      <c r="A2089" s="390" t="s">
        <v>30</v>
      </c>
      <c r="B2089" s="390"/>
      <c r="C2089" s="390"/>
      <c r="D2089" s="391"/>
      <c r="E2089" s="390"/>
      <c r="F2089" s="391"/>
      <c r="G2089" s="390"/>
      <c r="H2089" s="394"/>
      <c r="I2089" s="390"/>
      <c r="J2089" s="390"/>
      <c r="K2089" s="390"/>
      <c r="L2089" s="390"/>
      <c r="M2089" s="390"/>
      <c r="N2089" s="390"/>
      <c r="O2089" s="390"/>
      <c r="P2089" s="390"/>
      <c r="Q2089" s="390"/>
      <c r="R2089" s="390"/>
      <c r="S2089" s="390"/>
      <c r="T2089" s="390"/>
    </row>
    <row r="2090" spans="1:20" ht="15.75" customHeight="1" x14ac:dyDescent="0.25">
      <c r="A2090" s="390"/>
      <c r="B2090" s="390"/>
      <c r="C2090" s="390"/>
      <c r="D2090" s="391"/>
      <c r="E2090" s="390"/>
      <c r="F2090" s="391"/>
      <c r="G2090" s="390"/>
      <c r="H2090" s="394"/>
      <c r="I2090" s="390"/>
      <c r="J2090" s="390"/>
      <c r="K2090" s="390"/>
      <c r="L2090" s="390"/>
      <c r="M2090" s="390"/>
      <c r="N2090" s="390"/>
      <c r="O2090" s="390"/>
      <c r="P2090" s="390"/>
      <c r="Q2090" s="390"/>
      <c r="R2090" s="390"/>
      <c r="S2090" s="390"/>
      <c r="T2090" s="390"/>
    </row>
    <row r="2091" spans="1:20" ht="15.75" customHeight="1" x14ac:dyDescent="0.25">
      <c r="A2091" s="390" t="s">
        <v>31</v>
      </c>
      <c r="B2091" s="390"/>
      <c r="C2091" s="390"/>
      <c r="D2091" s="391"/>
      <c r="E2091" s="390"/>
      <c r="F2091" s="391"/>
      <c r="G2091" s="390"/>
      <c r="H2091" s="394"/>
      <c r="I2091" s="390"/>
      <c r="J2091" s="390"/>
      <c r="K2091" s="390"/>
      <c r="L2091" s="390"/>
      <c r="M2091" s="390"/>
      <c r="N2091" s="390"/>
      <c r="O2091" s="390"/>
      <c r="P2091" s="390"/>
      <c r="Q2091" s="390"/>
      <c r="R2091" s="390"/>
      <c r="S2091" s="390"/>
      <c r="T2091" s="390"/>
    </row>
    <row r="2092" spans="1:20" ht="15.75" customHeight="1" x14ac:dyDescent="0.25">
      <c r="A2092" s="390" t="s">
        <v>32</v>
      </c>
      <c r="B2092" s="390"/>
      <c r="C2092" s="390"/>
      <c r="D2092" s="391"/>
      <c r="E2092" s="390"/>
      <c r="F2092" s="391"/>
      <c r="G2092" s="390"/>
      <c r="H2092" s="394"/>
      <c r="I2092" s="390"/>
      <c r="J2092" s="390"/>
      <c r="K2092" s="390"/>
      <c r="L2092" s="390"/>
      <c r="M2092" s="390"/>
      <c r="N2092" s="390"/>
      <c r="O2092" s="390"/>
      <c r="P2092" s="390"/>
      <c r="Q2092" s="390"/>
      <c r="R2092" s="390"/>
      <c r="S2092" s="390"/>
      <c r="T2092" s="390"/>
    </row>
    <row r="2093" spans="1:20" ht="15.75" customHeight="1" x14ac:dyDescent="0.25">
      <c r="A2093" s="390"/>
      <c r="B2093" s="390"/>
      <c r="C2093" s="390"/>
      <c r="D2093" s="391"/>
      <c r="E2093" s="390"/>
      <c r="F2093" s="391"/>
      <c r="G2093" s="390"/>
      <c r="H2093" s="394"/>
      <c r="I2093" s="390"/>
      <c r="J2093" s="390"/>
      <c r="K2093" s="390"/>
      <c r="L2093" s="390"/>
      <c r="M2093" s="390"/>
      <c r="N2093" s="390"/>
      <c r="O2093" s="390"/>
      <c r="P2093" s="390"/>
      <c r="Q2093" s="390"/>
      <c r="R2093" s="390"/>
      <c r="S2093" s="390"/>
      <c r="T2093" s="390"/>
    </row>
    <row r="2094" spans="1:20" ht="15.75" customHeight="1" x14ac:dyDescent="0.25">
      <c r="A2094" s="399" t="s">
        <v>33</v>
      </c>
      <c r="B2094" s="400" t="s">
        <v>6</v>
      </c>
      <c r="C2094" s="400"/>
      <c r="D2094" s="401" t="s">
        <v>37</v>
      </c>
      <c r="E2094" s="402" t="s">
        <v>38</v>
      </c>
      <c r="F2094" s="403" t="s">
        <v>7</v>
      </c>
      <c r="G2094" s="404" t="s">
        <v>43</v>
      </c>
      <c r="H2094" s="405" t="s">
        <v>44</v>
      </c>
      <c r="I2094" s="390"/>
      <c r="J2094" s="390"/>
      <c r="K2094" s="390"/>
      <c r="L2094" s="390"/>
      <c r="M2094" s="390"/>
      <c r="N2094" s="390"/>
      <c r="O2094" s="390"/>
      <c r="P2094" s="390"/>
      <c r="Q2094" s="390"/>
      <c r="R2094" s="390"/>
      <c r="S2094" s="390"/>
      <c r="T2094" s="390"/>
    </row>
    <row r="2095" spans="1:20" ht="15.75" customHeight="1" x14ac:dyDescent="0.25">
      <c r="A2095" s="406"/>
      <c r="B2095" s="407"/>
      <c r="C2095" s="393"/>
      <c r="D2095" s="408"/>
      <c r="E2095" s="408"/>
      <c r="F2095" s="409"/>
      <c r="G2095" s="410"/>
      <c r="H2095" s="411"/>
      <c r="I2095" s="390"/>
      <c r="J2095" s="390"/>
      <c r="K2095" s="390"/>
      <c r="L2095" s="390"/>
      <c r="M2095" s="390"/>
      <c r="N2095" s="390"/>
      <c r="O2095" s="390"/>
      <c r="P2095" s="390"/>
      <c r="Q2095" s="390"/>
      <c r="R2095" s="390"/>
      <c r="S2095" s="390"/>
      <c r="T2095" s="390"/>
    </row>
    <row r="2096" spans="1:20" ht="15.75" customHeight="1" x14ac:dyDescent="0.25">
      <c r="A2096" s="425"/>
      <c r="B2096" s="448"/>
      <c r="C2096" s="449"/>
      <c r="D2096" s="427"/>
      <c r="E2096" s="427"/>
      <c r="F2096" s="391"/>
      <c r="G2096" s="427"/>
      <c r="H2096" s="429"/>
      <c r="I2096" s="390"/>
      <c r="J2096" s="390"/>
      <c r="K2096" s="390"/>
      <c r="L2096" s="390"/>
      <c r="M2096" s="390"/>
      <c r="N2096" s="390"/>
      <c r="O2096" s="390"/>
      <c r="P2096" s="390"/>
      <c r="Q2096" s="390"/>
      <c r="R2096" s="390"/>
      <c r="S2096" s="390"/>
      <c r="T2096" s="390"/>
    </row>
    <row r="2097" spans="1:20" ht="15.75" customHeight="1" x14ac:dyDescent="0.25">
      <c r="A2097" s="425" t="s">
        <v>55</v>
      </c>
      <c r="B2097" s="450" t="s">
        <v>1121</v>
      </c>
      <c r="C2097" s="449" t="s">
        <v>383</v>
      </c>
      <c r="D2097" s="427">
        <v>5</v>
      </c>
      <c r="E2097" s="427">
        <v>5</v>
      </c>
      <c r="F2097" s="391">
        <f>+E2097*D2097</f>
      </c>
      <c r="G2097" s="427">
        <v>1</v>
      </c>
      <c r="H2097" s="429">
        <f>+G2097*F2097</f>
      </c>
      <c r="I2097" s="390"/>
      <c r="J2097" s="390"/>
      <c r="K2097" s="390"/>
      <c r="L2097" s="390"/>
      <c r="M2097" s="390"/>
      <c r="N2097" s="390"/>
      <c r="O2097" s="390"/>
      <c r="P2097" s="390"/>
      <c r="Q2097" s="390"/>
      <c r="R2097" s="390"/>
      <c r="S2097" s="390"/>
      <c r="T2097" s="390"/>
    </row>
    <row r="2098" spans="1:20" ht="15.75" customHeight="1" x14ac:dyDescent="0.25">
      <c r="A2098" s="425"/>
      <c r="B2098" s="450"/>
      <c r="C2098" s="451"/>
      <c r="D2098" s="427"/>
      <c r="E2098" s="427"/>
      <c r="F2098" s="391"/>
      <c r="G2098" s="427"/>
      <c r="H2098" s="429"/>
      <c r="I2098" s="390"/>
      <c r="J2098" s="390"/>
      <c r="K2098" s="390"/>
      <c r="L2098" s="390"/>
      <c r="M2098" s="390"/>
      <c r="N2098" s="390"/>
      <c r="O2098" s="390"/>
      <c r="P2098" s="390"/>
      <c r="Q2098" s="390"/>
      <c r="R2098" s="390"/>
      <c r="S2098" s="390"/>
      <c r="T2098" s="390"/>
    </row>
    <row r="2099" spans="1:20" ht="15.75" customHeight="1" x14ac:dyDescent="0.25">
      <c r="A2099" s="425" t="s">
        <v>59</v>
      </c>
      <c r="B2099" s="450" t="s">
        <v>1124</v>
      </c>
      <c r="C2099" s="451" t="s">
        <v>879</v>
      </c>
      <c r="D2099" s="427">
        <v>5</v>
      </c>
      <c r="E2099" s="427">
        <v>10</v>
      </c>
      <c r="F2099" s="391">
        <f>+E2099*D2099</f>
      </c>
      <c r="G2099" s="427">
        <v>1</v>
      </c>
      <c r="H2099" s="429">
        <f>+G2099*F2099</f>
      </c>
      <c r="I2099" s="390"/>
      <c r="J2099" s="390"/>
      <c r="K2099" s="390"/>
      <c r="L2099" s="390"/>
      <c r="M2099" s="390"/>
      <c r="N2099" s="390"/>
      <c r="O2099" s="390"/>
      <c r="P2099" s="390"/>
      <c r="Q2099" s="390"/>
      <c r="R2099" s="390"/>
      <c r="S2099" s="390"/>
      <c r="T2099" s="390"/>
    </row>
    <row r="2100" spans="1:20" ht="15.75" customHeight="1" x14ac:dyDescent="0.25">
      <c r="A2100" s="425"/>
      <c r="B2100" s="450"/>
      <c r="C2100" s="451"/>
      <c r="D2100" s="427"/>
      <c r="E2100" s="427"/>
      <c r="F2100" s="391"/>
      <c r="G2100" s="427"/>
      <c r="H2100" s="429"/>
      <c r="I2100" s="390"/>
      <c r="J2100" s="390"/>
      <c r="K2100" s="390"/>
      <c r="L2100" s="390"/>
      <c r="M2100" s="390"/>
      <c r="N2100" s="390"/>
      <c r="O2100" s="390"/>
      <c r="P2100" s="390"/>
      <c r="Q2100" s="390"/>
      <c r="R2100" s="390"/>
      <c r="S2100" s="390"/>
      <c r="T2100" s="390"/>
    </row>
    <row r="2101" spans="1:20" ht="15.75" customHeight="1" x14ac:dyDescent="0.25">
      <c r="A2101" s="425"/>
      <c r="B2101" s="450"/>
      <c r="C2101" s="451"/>
      <c r="D2101" s="427"/>
      <c r="E2101" s="427"/>
      <c r="F2101" s="391"/>
      <c r="G2101" s="427"/>
      <c r="H2101" s="429"/>
      <c r="I2101" s="390"/>
      <c r="J2101" s="390"/>
      <c r="K2101" s="390"/>
      <c r="L2101" s="390"/>
      <c r="M2101" s="390"/>
      <c r="N2101" s="390"/>
      <c r="O2101" s="390"/>
      <c r="P2101" s="390"/>
      <c r="Q2101" s="390"/>
      <c r="R2101" s="390"/>
      <c r="S2101" s="390"/>
      <c r="T2101" s="390"/>
    </row>
    <row r="2102" spans="1:20" ht="15.75" customHeight="1" x14ac:dyDescent="0.25">
      <c r="A2102" s="425"/>
      <c r="B2102" s="450"/>
      <c r="C2102" s="451"/>
      <c r="D2102" s="427"/>
      <c r="E2102" s="427"/>
      <c r="F2102" s="391"/>
      <c r="G2102" s="427"/>
      <c r="H2102" s="429"/>
      <c r="I2102" s="390"/>
      <c r="J2102" s="390"/>
      <c r="K2102" s="390"/>
      <c r="L2102" s="390"/>
      <c r="M2102" s="390"/>
      <c r="N2102" s="390"/>
      <c r="O2102" s="390"/>
      <c r="P2102" s="390"/>
      <c r="Q2102" s="390"/>
      <c r="R2102" s="390"/>
      <c r="S2102" s="390"/>
      <c r="T2102" s="390"/>
    </row>
    <row r="2103" spans="1:20" ht="15.75" customHeight="1" x14ac:dyDescent="0.25">
      <c r="A2103" s="425"/>
      <c r="B2103" s="448"/>
      <c r="C2103" s="390"/>
      <c r="D2103" s="427"/>
      <c r="E2103" s="427"/>
      <c r="F2103" s="391"/>
      <c r="G2103" s="427"/>
      <c r="H2103" s="429"/>
      <c r="I2103" s="390"/>
      <c r="J2103" s="390"/>
      <c r="K2103" s="390"/>
      <c r="L2103" s="390"/>
      <c r="M2103" s="390"/>
      <c r="N2103" s="390"/>
      <c r="O2103" s="390"/>
      <c r="P2103" s="390"/>
      <c r="Q2103" s="390"/>
      <c r="R2103" s="390"/>
      <c r="S2103" s="390"/>
      <c r="T2103" s="390"/>
    </row>
    <row r="2104" spans="1:20" ht="15.75" customHeight="1" x14ac:dyDescent="0.25">
      <c r="A2104" s="425"/>
      <c r="B2104" s="426"/>
      <c r="C2104" s="390"/>
      <c r="D2104" s="427"/>
      <c r="E2104" s="427"/>
      <c r="F2104" s="391"/>
      <c r="G2104" s="427"/>
      <c r="H2104" s="429"/>
      <c r="I2104" s="390"/>
      <c r="J2104" s="390"/>
      <c r="K2104" s="390"/>
      <c r="L2104" s="390"/>
      <c r="M2104" s="390"/>
      <c r="N2104" s="390"/>
      <c r="O2104" s="390"/>
      <c r="P2104" s="390"/>
      <c r="Q2104" s="390"/>
      <c r="R2104" s="390"/>
      <c r="S2104" s="390"/>
      <c r="T2104" s="390"/>
    </row>
    <row r="2105" spans="1:20" ht="15.75" customHeight="1" x14ac:dyDescent="0.25">
      <c r="A2105" s="430"/>
      <c r="B2105" s="409"/>
      <c r="C2105" s="393"/>
      <c r="D2105" s="427"/>
      <c r="E2105" s="427"/>
      <c r="F2105" s="428"/>
      <c r="G2105" s="431"/>
      <c r="H2105" s="429"/>
      <c r="I2105" s="390"/>
      <c r="J2105" s="390"/>
      <c r="K2105" s="390"/>
      <c r="L2105" s="390"/>
      <c r="M2105" s="390"/>
      <c r="N2105" s="390"/>
      <c r="O2105" s="390"/>
      <c r="P2105" s="390"/>
      <c r="Q2105" s="390"/>
      <c r="R2105" s="390"/>
      <c r="S2105" s="390"/>
      <c r="T2105" s="390"/>
    </row>
    <row r="2106" spans="1:20" ht="15.75" customHeight="1" x14ac:dyDescent="0.25">
      <c r="A2106" s="432"/>
      <c r="B2106" s="433"/>
      <c r="C2106" s="434" t="s">
        <v>85</v>
      </c>
      <c r="D2106" s="435">
        <f>SUM(D2096:D2105)</f>
      </c>
      <c r="E2106" s="435"/>
      <c r="F2106" s="436"/>
      <c r="G2106" s="437"/>
      <c r="H2106" s="438">
        <f>SUM(H2097:H2105)</f>
      </c>
      <c r="I2106" s="390"/>
      <c r="J2106" s="390"/>
      <c r="K2106" s="390"/>
      <c r="L2106" s="390"/>
      <c r="M2106" s="390"/>
      <c r="N2106" s="390"/>
      <c r="O2106" s="390"/>
      <c r="P2106" s="390"/>
      <c r="Q2106" s="390"/>
      <c r="R2106" s="390"/>
      <c r="S2106" s="390"/>
      <c r="T2106" s="390"/>
    </row>
    <row r="2107" spans="1:20" ht="15.75" customHeight="1" x14ac:dyDescent="0.25">
      <c r="A2107" s="439"/>
      <c r="B2107" s="440"/>
      <c r="C2107" s="440"/>
      <c r="D2107" s="441"/>
      <c r="E2107" s="440"/>
      <c r="F2107" s="442"/>
      <c r="G2107" s="443"/>
      <c r="H2107" s="444"/>
      <c r="I2107" s="390"/>
      <c r="J2107" s="390"/>
      <c r="K2107" s="390"/>
      <c r="L2107" s="390"/>
      <c r="M2107" s="390"/>
      <c r="N2107" s="390"/>
      <c r="O2107" s="390"/>
      <c r="P2107" s="390"/>
      <c r="Q2107" s="390"/>
      <c r="R2107" s="390"/>
      <c r="S2107" s="390"/>
      <c r="T2107" s="390"/>
    </row>
    <row r="2108" spans="1:20" ht="15.75" customHeight="1" x14ac:dyDescent="0.25">
      <c r="A2108" s="392"/>
      <c r="B2108" s="391"/>
      <c r="C2108" s="391"/>
      <c r="D2108" s="391"/>
      <c r="E2108" s="390"/>
      <c r="F2108" s="392"/>
      <c r="G2108" s="390"/>
      <c r="H2108" s="394"/>
      <c r="I2108" s="390"/>
      <c r="J2108" s="390"/>
      <c r="K2108" s="390"/>
      <c r="L2108" s="390"/>
      <c r="M2108" s="390"/>
      <c r="N2108" s="390"/>
      <c r="O2108" s="390"/>
      <c r="P2108" s="390"/>
      <c r="Q2108" s="390"/>
      <c r="R2108" s="390"/>
      <c r="S2108" s="390"/>
      <c r="T2108" s="390"/>
    </row>
    <row r="2109" spans="1:20" ht="15.75" customHeight="1" x14ac:dyDescent="0.25">
      <c r="A2109" s="445"/>
      <c r="B2109" s="445"/>
      <c r="C2109" s="445"/>
      <c r="D2109" s="446" t="s">
        <v>97</v>
      </c>
      <c r="E2109" s="445" t="s">
        <v>98</v>
      </c>
      <c r="F2109" s="445"/>
      <c r="G2109" s="390"/>
      <c r="H2109" s="394"/>
      <c r="I2109" s="390"/>
      <c r="J2109" s="390"/>
      <c r="K2109" s="390"/>
      <c r="L2109" s="390"/>
      <c r="M2109" s="390"/>
      <c r="N2109" s="390"/>
      <c r="O2109" s="390"/>
      <c r="P2109" s="390"/>
      <c r="Q2109" s="390"/>
      <c r="R2109" s="390"/>
      <c r="S2109" s="390"/>
      <c r="T2109" s="390"/>
    </row>
    <row r="2110" spans="1:20" ht="15.75" customHeight="1" x14ac:dyDescent="0.25">
      <c r="A2110" s="390"/>
      <c r="B2110" s="390"/>
      <c r="C2110" s="390"/>
      <c r="D2110" s="391"/>
      <c r="E2110" s="390"/>
      <c r="F2110" s="390"/>
      <c r="G2110" s="390"/>
      <c r="H2110" s="394"/>
      <c r="I2110" s="390"/>
      <c r="J2110" s="390"/>
      <c r="K2110" s="390"/>
      <c r="L2110" s="390"/>
      <c r="M2110" s="390"/>
      <c r="N2110" s="390"/>
      <c r="O2110" s="390"/>
      <c r="P2110" s="390"/>
      <c r="Q2110" s="390"/>
      <c r="R2110" s="390"/>
      <c r="S2110" s="390"/>
      <c r="T2110" s="390"/>
    </row>
    <row r="2111" spans="1:20" ht="15.75" customHeight="1" x14ac:dyDescent="0.25">
      <c r="A2111" s="390"/>
      <c r="B2111" s="390"/>
      <c r="C2111" s="390"/>
      <c r="D2111" s="391"/>
      <c r="E2111" s="390"/>
      <c r="F2111" s="390"/>
      <c r="G2111" s="390"/>
      <c r="H2111" s="394"/>
      <c r="I2111" s="390"/>
      <c r="J2111" s="390"/>
      <c r="K2111" s="390"/>
      <c r="L2111" s="390"/>
      <c r="M2111" s="390"/>
      <c r="N2111" s="390"/>
      <c r="O2111" s="390"/>
      <c r="P2111" s="390"/>
      <c r="Q2111" s="390"/>
      <c r="R2111" s="390"/>
      <c r="S2111" s="390"/>
      <c r="T2111" s="390"/>
    </row>
    <row r="2112" spans="1:20" ht="15.75" customHeight="1" x14ac:dyDescent="0.25">
      <c r="A2112" s="445"/>
      <c r="B2112" s="445"/>
      <c r="C2112" s="445"/>
      <c r="D2112" s="446"/>
      <c r="E2112" s="445" t="s">
        <v>99</v>
      </c>
      <c r="F2112" s="445"/>
      <c r="G2112" s="390"/>
      <c r="H2112" s="394"/>
    </row>
    <row r="2113" spans="4:8" ht="15.75" customHeight="1" x14ac:dyDescent="0.25">
      <c r="D2113" s="4"/>
      <c r="H2113" s="4"/>
    </row>
    <row r="2114" spans="4:8" ht="15.75" customHeight="1" x14ac:dyDescent="0.25">
      <c r="D2114" s="4"/>
      <c r="H2114" s="4"/>
    </row>
    <row r="2115" spans="4:8" ht="15.75" customHeight="1" x14ac:dyDescent="0.25">
      <c r="D2115" s="4"/>
      <c r="H2115" s="4"/>
    </row>
    <row r="2116" spans="4:8" ht="15.75" customHeight="1" x14ac:dyDescent="0.25">
      <c r="D2116" s="4"/>
      <c r="H2116" s="4"/>
    </row>
    <row r="2117" spans="4:8" ht="15.75" customHeight="1" x14ac:dyDescent="0.25">
      <c r="D2117" s="4"/>
      <c r="H2117" s="4"/>
    </row>
    <row r="2118" spans="4:8" ht="15.75" customHeight="1" x14ac:dyDescent="0.25">
      <c r="D2118" s="4"/>
      <c r="H2118" s="4"/>
    </row>
    <row r="2119" spans="4:8" ht="15.75" customHeight="1" x14ac:dyDescent="0.25">
      <c r="D2119" s="4"/>
      <c r="H2119" s="4"/>
    </row>
    <row r="2120" spans="4:8" ht="15.75" customHeight="1" x14ac:dyDescent="0.25">
      <c r="D2120" s="4"/>
      <c r="H2120" s="4"/>
    </row>
    <row r="2121" spans="4:8" ht="15.75" customHeight="1" x14ac:dyDescent="0.25">
      <c r="D2121" s="4"/>
      <c r="H2121" s="4"/>
    </row>
    <row r="2122" spans="4:8" ht="15.75" customHeight="1" x14ac:dyDescent="0.25">
      <c r="D2122" s="4"/>
      <c r="H2122" s="4"/>
    </row>
    <row r="2123" spans="4:8" ht="15.75" customHeight="1" x14ac:dyDescent="0.25">
      <c r="D2123" s="4"/>
      <c r="H2123" s="4"/>
    </row>
    <row r="2124" spans="4:8" ht="15.75" customHeight="1" x14ac:dyDescent="0.25">
      <c r="D2124" s="4"/>
      <c r="H2124" s="4"/>
    </row>
    <row r="2125" spans="4:8" ht="15.75" customHeight="1" x14ac:dyDescent="0.25">
      <c r="D2125" s="4"/>
      <c r="H2125" s="4"/>
    </row>
    <row r="2126" spans="4:8" ht="15.75" customHeight="1" x14ac:dyDescent="0.25">
      <c r="D2126" s="4"/>
      <c r="H2126" s="4"/>
    </row>
    <row r="2127" spans="4:8" ht="15.75" customHeight="1" x14ac:dyDescent="0.25">
      <c r="D2127" s="4"/>
      <c r="H2127" s="4"/>
    </row>
    <row r="2128" spans="4:8" ht="15.75" customHeight="1" x14ac:dyDescent="0.25">
      <c r="D2128" s="4"/>
      <c r="H2128" s="4"/>
    </row>
    <row r="2129" spans="1:8" ht="15.75" customHeight="1" x14ac:dyDescent="0.25">
      <c r="D2129" s="4"/>
      <c r="H2129" s="4"/>
    </row>
    <row r="2130" spans="1:8" ht="15.75" customHeight="1" x14ac:dyDescent="0.25">
      <c r="D2130" s="4"/>
      <c r="H2130" s="4"/>
    </row>
    <row r="2131" spans="1:8" ht="15.75" customHeight="1" x14ac:dyDescent="0.25">
      <c r="A2131" s="8" t="s">
        <v>14</v>
      </c>
      <c r="B2131" s="8"/>
      <c r="C2131" s="8"/>
      <c r="D2131" s="8"/>
      <c r="E2131" s="8"/>
      <c r="F2131" s="8"/>
      <c r="G2131" s="8"/>
      <c r="H2131" s="8"/>
    </row>
    <row r="2132" spans="1:8" ht="15.75" customHeight="1" x14ac:dyDescent="0.25">
      <c r="A2132" s="388"/>
      <c r="B2132" s="388"/>
      <c r="C2132" s="388"/>
      <c r="D2132" s="389"/>
      <c r="E2132" s="388"/>
      <c r="F2132" s="388"/>
      <c r="G2132" s="388"/>
      <c r="H2132" s="8"/>
    </row>
    <row r="2133" spans="1:8" ht="15.75" customHeight="1" x14ac:dyDescent="0.25">
      <c r="A2133" s="390"/>
      <c r="B2133" s="390"/>
      <c r="C2133" s="391"/>
      <c r="D2133" s="392"/>
      <c r="E2133" s="393"/>
      <c r="F2133" s="393"/>
      <c r="G2133" s="393"/>
      <c r="H2133" s="394"/>
    </row>
    <row r="2134" spans="1:8" ht="15.75" customHeight="1" x14ac:dyDescent="0.25">
      <c r="A2134" s="390"/>
      <c r="B2134" s="390"/>
      <c r="C2134" s="390"/>
      <c r="D2134" s="391"/>
      <c r="E2134" s="390"/>
      <c r="F2134" s="395" t="s">
        <v>18</v>
      </c>
      <c r="G2134" s="396" t="s">
        <v>1135</v>
      </c>
      <c r="H2134" s="397"/>
    </row>
    <row r="2135" spans="1:8" ht="15.75" customHeight="1" x14ac:dyDescent="0.25">
      <c r="A2135" s="390" t="s">
        <v>20</v>
      </c>
      <c r="B2135" s="390"/>
      <c r="C2135" s="390"/>
      <c r="D2135" s="391"/>
      <c r="E2135" s="390"/>
      <c r="F2135" s="395" t="s">
        <v>21</v>
      </c>
      <c r="G2135" s="390" t="s">
        <v>1136</v>
      </c>
      <c r="H2135" s="391"/>
    </row>
    <row r="2136" spans="1:8" ht="15.75" customHeight="1" x14ac:dyDescent="0.25">
      <c r="A2136" s="390" t="inlineStr">
        <is>
          <t>Dealer-004</t>
        </is>
      </c>
      <c r="B2136" s="390"/>
      <c r="C2136" s="390"/>
      <c r="D2136" s="398"/>
      <c r="E2136" s="390"/>
      <c r="F2136" s="391"/>
      <c r="G2136" s="390"/>
      <c r="H2136" s="394"/>
    </row>
    <row r="2137" spans="1:8" ht="15.75" customHeight="1" x14ac:dyDescent="0.25">
      <c r="A2137" s="390" t="inlineStr">
        <is>
          <t>Address line (redacted)</t>
        </is>
      </c>
      <c r="B2137" s="390"/>
      <c r="C2137" s="390"/>
      <c r="D2137" s="398"/>
      <c r="E2137" s="390"/>
      <c r="F2137" s="391"/>
      <c r="G2137" s="390"/>
      <c r="H2137" s="394"/>
    </row>
    <row r="2138" spans="1:8" ht="15.75" customHeight="1" x14ac:dyDescent="0.25">
      <c r="A2138" s="390" t="inlineStr">
        <is>
          <t>Address line (redacted)</t>
        </is>
      </c>
      <c r="B2138" s="390"/>
      <c r="C2138" s="390"/>
      <c r="D2138" s="391"/>
      <c r="E2138" s="390"/>
      <c r="F2138" s="391"/>
      <c r="G2138" s="390"/>
      <c r="H2138" s="394"/>
    </row>
    <row r="2139" spans="1:8" ht="15.75" customHeight="1" x14ac:dyDescent="0.25">
      <c r="A2139" s="390"/>
      <c r="B2139" s="390"/>
      <c r="C2139" s="390"/>
      <c r="D2139" s="391"/>
      <c r="E2139" s="390"/>
      <c r="F2139" s="391"/>
      <c r="G2139" s="390"/>
      <c r="H2139" s="394"/>
    </row>
    <row r="2140" spans="1:8" ht="15.75" customHeight="1" x14ac:dyDescent="0.25">
      <c r="A2140" s="390" t="s">
        <v>30</v>
      </c>
      <c r="B2140" s="390"/>
      <c r="C2140" s="390"/>
      <c r="D2140" s="391"/>
      <c r="E2140" s="390"/>
      <c r="F2140" s="391"/>
      <c r="G2140" s="390"/>
      <c r="H2140" s="394"/>
    </row>
    <row r="2141" spans="1:8" ht="15.75" customHeight="1" x14ac:dyDescent="0.25">
      <c r="A2141" s="390"/>
      <c r="B2141" s="390"/>
      <c r="C2141" s="390"/>
      <c r="D2141" s="391"/>
      <c r="E2141" s="390"/>
      <c r="F2141" s="391"/>
      <c r="G2141" s="390"/>
      <c r="H2141" s="394"/>
    </row>
    <row r="2142" spans="1:8" ht="15.75" customHeight="1" x14ac:dyDescent="0.25">
      <c r="A2142" s="390" t="s">
        <v>716</v>
      </c>
      <c r="B2142" s="390"/>
      <c r="C2142" s="390"/>
      <c r="D2142" s="391"/>
      <c r="E2142" s="390"/>
      <c r="F2142" s="391"/>
      <c r="G2142" s="390"/>
      <c r="H2142" s="394"/>
    </row>
    <row r="2143" spans="1:8" ht="15.75" customHeight="1" x14ac:dyDescent="0.25">
      <c r="A2143" s="390" t="s">
        <v>717</v>
      </c>
      <c r="B2143" s="390"/>
      <c r="C2143" s="390"/>
      <c r="D2143" s="391"/>
      <c r="E2143" s="390"/>
      <c r="F2143" s="391"/>
      <c r="G2143" s="390"/>
      <c r="H2143" s="394"/>
    </row>
    <row r="2144" spans="1:8" ht="15.75" customHeight="1" x14ac:dyDescent="0.25">
      <c r="A2144" s="390"/>
      <c r="B2144" s="390"/>
      <c r="C2144" s="390"/>
      <c r="D2144" s="391"/>
      <c r="E2144" s="390"/>
      <c r="F2144" s="391"/>
      <c r="G2144" s="390"/>
      <c r="H2144" s="394"/>
    </row>
    <row r="2145" spans="1:8" ht="15.75" customHeight="1" x14ac:dyDescent="0.25">
      <c r="A2145" s="399" t="s">
        <v>33</v>
      </c>
      <c r="B2145" s="400" t="s">
        <v>6</v>
      </c>
      <c r="C2145" s="400"/>
      <c r="D2145" s="401" t="s">
        <v>37</v>
      </c>
      <c r="E2145" s="402" t="s">
        <v>38</v>
      </c>
      <c r="F2145" s="403" t="s">
        <v>7</v>
      </c>
      <c r="G2145" s="404" t="s">
        <v>43</v>
      </c>
      <c r="H2145" s="405" t="s">
        <v>44</v>
      </c>
    </row>
    <row r="2146" spans="1:8" ht="15.75" customHeight="1" x14ac:dyDescent="0.25">
      <c r="A2146" s="406"/>
      <c r="B2146" s="407"/>
      <c r="C2146" s="393"/>
      <c r="D2146" s="408"/>
      <c r="E2146" s="408"/>
      <c r="F2146" s="409"/>
      <c r="G2146" s="410"/>
      <c r="H2146" s="411"/>
    </row>
    <row r="2147" spans="1:8" ht="15.75" customHeight="1" x14ac:dyDescent="0.25">
      <c r="A2147" s="425"/>
      <c r="B2147" s="504"/>
      <c r="C2147" s="505"/>
      <c r="D2147" s="427"/>
      <c r="E2147" s="427"/>
      <c r="F2147" s="428"/>
      <c r="G2147" s="427"/>
      <c r="H2147" s="429"/>
    </row>
    <row r="2148" spans="1:8" ht="15.75" customHeight="1" x14ac:dyDescent="0.25">
      <c r="A2148" s="502" t="s">
        <v>55</v>
      </c>
      <c r="B2148" s="503" t="s">
        <v>1138</v>
      </c>
      <c r="C2148" s="390" t="s">
        <v>187</v>
      </c>
      <c r="D2148" s="427">
        <v>4</v>
      </c>
      <c r="E2148" s="427">
        <v>8</v>
      </c>
      <c r="F2148" s="428">
        <f>+E2148*D2148</f>
      </c>
      <c r="G2148" s="427">
        <v>1</v>
      </c>
      <c r="H2148" s="429">
        <f>+G2148*F2148</f>
      </c>
    </row>
    <row r="2149" spans="1:8" ht="15.75" customHeight="1" x14ac:dyDescent="0.25">
      <c r="A2149" s="425"/>
      <c r="B2149" s="426"/>
      <c r="C2149" s="390"/>
      <c r="D2149" s="427"/>
      <c r="E2149" s="427"/>
      <c r="F2149" s="428"/>
      <c r="G2149" s="427"/>
      <c r="H2149" s="429"/>
    </row>
    <row r="2150" spans="1:8" ht="15.75" customHeight="1" x14ac:dyDescent="0.25">
      <c r="A2150" s="425"/>
      <c r="B2150" s="503"/>
      <c r="C2150" s="390"/>
      <c r="D2150" s="427"/>
      <c r="E2150" s="427"/>
      <c r="F2150" s="428"/>
      <c r="G2150" s="427"/>
      <c r="H2150" s="429"/>
    </row>
    <row r="2151" spans="1:8" ht="15.75" customHeight="1" x14ac:dyDescent="0.25">
      <c r="A2151" s="425"/>
      <c r="B2151" s="426"/>
      <c r="C2151" s="390"/>
      <c r="D2151" s="427"/>
      <c r="E2151" s="427"/>
      <c r="F2151" s="428"/>
      <c r="G2151" s="427"/>
      <c r="H2151" s="429"/>
    </row>
    <row r="2152" spans="1:8" ht="15.75" customHeight="1" x14ac:dyDescent="0.25">
      <c r="A2152" s="502"/>
      <c r="B2152" s="503"/>
      <c r="C2152" s="390"/>
      <c r="D2152" s="427"/>
      <c r="E2152" s="427"/>
      <c r="F2152" s="428"/>
      <c r="G2152" s="427"/>
      <c r="H2152" s="429"/>
    </row>
    <row r="2153" spans="1:8" ht="15.75" customHeight="1" x14ac:dyDescent="0.25">
      <c r="A2153" s="425"/>
      <c r="B2153" s="426"/>
      <c r="C2153" s="390"/>
      <c r="D2153" s="427"/>
      <c r="E2153" s="427"/>
      <c r="F2153" s="428"/>
      <c r="G2153" s="427"/>
      <c r="H2153" s="429"/>
    </row>
    <row r="2154" spans="1:8" ht="15.75" customHeight="1" x14ac:dyDescent="0.25">
      <c r="A2154" s="425"/>
      <c r="B2154" s="426"/>
      <c r="C2154" s="390"/>
      <c r="D2154" s="427"/>
      <c r="E2154" s="427"/>
      <c r="F2154" s="428"/>
      <c r="G2154" s="427"/>
      <c r="H2154" s="429"/>
    </row>
    <row r="2155" spans="1:8" ht="15.75" customHeight="1" x14ac:dyDescent="0.25">
      <c r="A2155" s="425"/>
      <c r="B2155" s="426"/>
      <c r="C2155" s="390"/>
      <c r="D2155" s="427"/>
      <c r="E2155" s="427"/>
      <c r="F2155" s="428"/>
      <c r="G2155" s="427"/>
      <c r="H2155" s="429"/>
    </row>
    <row r="2156" spans="1:8" ht="15.75" customHeight="1" x14ac:dyDescent="0.25">
      <c r="A2156" s="425"/>
      <c r="B2156" s="426"/>
      <c r="C2156" s="390"/>
      <c r="D2156" s="427"/>
      <c r="E2156" s="427"/>
      <c r="F2156" s="428"/>
      <c r="G2156" s="427"/>
      <c r="H2156" s="429"/>
    </row>
    <row r="2157" spans="1:8" ht="15.75" customHeight="1" x14ac:dyDescent="0.25">
      <c r="A2157" s="425"/>
      <c r="B2157" s="426"/>
      <c r="C2157" s="390"/>
      <c r="D2157" s="427"/>
      <c r="E2157" s="427"/>
      <c r="F2157" s="428"/>
      <c r="G2157" s="427"/>
      <c r="H2157" s="429"/>
    </row>
    <row r="2158" spans="1:8" ht="15.75" customHeight="1" x14ac:dyDescent="0.25">
      <c r="A2158" s="430"/>
      <c r="B2158" s="409"/>
      <c r="C2158" s="393"/>
      <c r="D2158" s="427"/>
      <c r="E2158" s="427"/>
      <c r="F2158" s="428"/>
      <c r="G2158" s="431"/>
      <c r="H2158" s="429"/>
    </row>
    <row r="2159" spans="1:8" ht="15.75" customHeight="1" x14ac:dyDescent="0.25">
      <c r="A2159" s="432"/>
      <c r="B2159" s="433"/>
      <c r="C2159" s="434" t="s">
        <v>85</v>
      </c>
      <c r="D2159" s="435">
        <f>SUM(D2147:D2158)</f>
      </c>
      <c r="E2159" s="435"/>
      <c r="F2159" s="436"/>
      <c r="G2159" s="437"/>
      <c r="H2159" s="438">
        <f>SUM(H2147:H2158)</f>
      </c>
    </row>
    <row r="2160" spans="1:8" ht="15.75" customHeight="1" x14ac:dyDescent="0.25">
      <c r="A2160" s="439"/>
      <c r="B2160" s="440"/>
      <c r="C2160" s="440"/>
      <c r="D2160" s="441"/>
      <c r="E2160" s="440"/>
      <c r="F2160" s="442"/>
      <c r="G2160" s="443"/>
      <c r="H2160" s="444"/>
    </row>
    <row r="2161" spans="1:8" ht="15.75" customHeight="1" x14ac:dyDescent="0.25">
      <c r="A2161" s="392" t="s">
        <v>913</v>
      </c>
      <c r="B2161" s="391"/>
      <c r="C2161" s="391"/>
      <c r="D2161" s="391"/>
      <c r="E2161" s="390"/>
      <c r="F2161" s="392"/>
      <c r="G2161" s="390"/>
      <c r="H2161" s="394"/>
    </row>
    <row r="2162" spans="1:8" ht="15.75" customHeight="1" x14ac:dyDescent="0.25">
      <c r="A2162" s="445"/>
      <c r="B2162" s="445"/>
      <c r="C2162" s="445"/>
      <c r="D2162" s="446" t="s">
        <v>97</v>
      </c>
      <c r="E2162" s="445" t="s">
        <v>98</v>
      </c>
      <c r="F2162" s="445"/>
      <c r="G2162" s="390"/>
      <c r="H2162" s="394"/>
    </row>
    <row r="2163" spans="1:8" ht="15.75" customHeight="1" x14ac:dyDescent="0.25">
      <c r="A2163" s="390"/>
      <c r="B2163" s="390"/>
      <c r="C2163" s="390"/>
      <c r="D2163" s="391"/>
      <c r="E2163" s="390"/>
      <c r="F2163" s="390"/>
      <c r="G2163" s="390"/>
      <c r="H2163" s="394"/>
    </row>
    <row r="2164" spans="1:8" ht="15.75" customHeight="1" x14ac:dyDescent="0.25">
      <c r="A2164" s="390"/>
      <c r="B2164" s="390"/>
      <c r="C2164" s="390"/>
      <c r="D2164" s="391"/>
      <c r="E2164" s="390"/>
      <c r="F2164" s="390"/>
      <c r="G2164" s="390"/>
      <c r="H2164" s="394"/>
    </row>
    <row r="2165" spans="1:8" ht="15.75" customHeight="1" x14ac:dyDescent="0.25">
      <c r="A2165" s="445"/>
      <c r="B2165" s="445"/>
      <c r="C2165" s="445"/>
      <c r="D2165" s="446"/>
      <c r="E2165" s="445" t="s">
        <v>99</v>
      </c>
      <c r="F2165" s="445"/>
      <c r="G2165" s="390"/>
      <c r="H2165" s="394"/>
    </row>
    <row r="2166" spans="1:8" ht="15.75" customHeight="1" x14ac:dyDescent="0.25">
      <c r="D2166" s="4"/>
      <c r="H2166" s="4"/>
    </row>
    <row r="2167" spans="1:8" ht="15.75" customHeight="1" x14ac:dyDescent="0.25">
      <c r="D2167" s="4"/>
      <c r="H2167" s="4"/>
    </row>
    <row r="2168" spans="1:8" ht="15.75" customHeight="1" x14ac:dyDescent="0.25">
      <c r="D2168" s="4"/>
      <c r="H2168" s="4"/>
    </row>
    <row r="2169" spans="1:8" ht="15.75" customHeight="1" x14ac:dyDescent="0.25">
      <c r="D2169" s="4"/>
      <c r="H2169" s="4"/>
    </row>
    <row r="2170" spans="1:8" ht="15.75" customHeight="1" x14ac:dyDescent="0.25">
      <c r="D2170" s="4"/>
      <c r="H2170" s="4"/>
    </row>
    <row r="2171" spans="1:8" ht="15.75" customHeight="1" x14ac:dyDescent="0.25">
      <c r="D2171" s="4"/>
      <c r="H2171" s="4"/>
    </row>
    <row r="2172" spans="1:8" ht="15.75" customHeight="1" x14ac:dyDescent="0.25">
      <c r="D2172" s="4"/>
      <c r="H2172" s="4"/>
    </row>
    <row r="2173" spans="1:8" ht="15.75" customHeight="1" x14ac:dyDescent="0.25">
      <c r="D2173" s="4"/>
      <c r="H2173" s="4"/>
    </row>
    <row r="2174" spans="1:8" ht="15.75" customHeight="1" x14ac:dyDescent="0.25">
      <c r="D2174" s="4"/>
      <c r="H2174" s="4"/>
    </row>
    <row r="2175" spans="1:8" ht="15.75" customHeight="1" x14ac:dyDescent="0.25">
      <c r="D2175" s="4"/>
      <c r="H2175" s="4"/>
    </row>
    <row r="2176" spans="1:8" ht="15.75" customHeight="1" x14ac:dyDescent="0.25">
      <c r="D2176" s="4"/>
      <c r="H2176" s="4"/>
    </row>
    <row r="2177" spans="1:8" ht="15.75" customHeight="1" x14ac:dyDescent="0.25">
      <c r="A2177" s="398" t="s">
        <v>14</v>
      </c>
      <c r="B2177" s="398"/>
      <c r="C2177" s="398"/>
      <c r="D2177" s="398"/>
      <c r="E2177" s="398"/>
      <c r="F2177" s="398"/>
      <c r="G2177" s="398"/>
      <c r="H2177" s="398"/>
    </row>
    <row r="2178" spans="1:8" ht="15.75" customHeight="1" x14ac:dyDescent="0.25">
      <c r="A2178" s="390"/>
      <c r="B2178" s="390"/>
      <c r="C2178" s="390"/>
      <c r="D2178" s="391"/>
      <c r="E2178" s="390"/>
      <c r="F2178" s="390"/>
      <c r="G2178" s="390"/>
      <c r="H2178" s="398"/>
    </row>
    <row r="2179" spans="1:8" ht="15.75" customHeight="1" x14ac:dyDescent="0.25">
      <c r="A2179" s="390"/>
      <c r="B2179" s="390"/>
      <c r="C2179" s="391"/>
      <c r="D2179" s="392"/>
      <c r="E2179" s="393"/>
      <c r="F2179" s="393"/>
      <c r="G2179" s="393"/>
      <c r="H2179" s="394"/>
    </row>
    <row r="2180" spans="1:8" ht="15.75" customHeight="1" x14ac:dyDescent="0.25">
      <c r="A2180" s="390"/>
      <c r="B2180" s="390"/>
      <c r="C2180" s="390"/>
      <c r="D2180" s="391"/>
      <c r="E2180" s="390"/>
      <c r="F2180" s="395" t="s">
        <v>18</v>
      </c>
      <c r="G2180" s="396" t="s">
        <v>1135</v>
      </c>
      <c r="H2180" s="397"/>
    </row>
    <row r="2181" spans="1:8" ht="15.75" customHeight="1" x14ac:dyDescent="0.25">
      <c r="A2181" s="390" t="s">
        <v>20</v>
      </c>
      <c r="B2181" s="390"/>
      <c r="C2181" s="390"/>
      <c r="D2181" s="391"/>
      <c r="E2181" s="390"/>
      <c r="F2181" s="395" t="s">
        <v>21</v>
      </c>
      <c r="G2181" s="390" t="s">
        <v>1148</v>
      </c>
      <c r="H2181" s="391"/>
    </row>
    <row r="2182" spans="1:8" ht="15.75" customHeight="1" x14ac:dyDescent="0.25">
      <c r="A2182" s="390" t="inlineStr">
        <is>
          <t>Dealer-002</t>
        </is>
      </c>
      <c r="B2182" s="390"/>
      <c r="C2182" s="390"/>
      <c r="D2182" s="391"/>
      <c r="E2182" s="395"/>
      <c r="F2182" s="390"/>
      <c r="G2182" s="390"/>
      <c r="H2182" s="394"/>
    </row>
    <row r="2183" spans="1:8" ht="15.75" customHeight="1" x14ac:dyDescent="0.25">
      <c r="A2183" s="390" t="inlineStr">
        <is>
          <t>Address line (redacted)</t>
        </is>
      </c>
      <c r="B2183" s="390"/>
      <c r="C2183" s="390"/>
      <c r="D2183" s="398"/>
      <c r="E2183" s="390"/>
      <c r="F2183" s="391"/>
      <c r="G2183" s="390"/>
      <c r="H2183" s="394"/>
    </row>
    <row r="2184" spans="1:8" ht="15.75" customHeight="1" x14ac:dyDescent="0.25">
      <c r="A2184" s="390" t="inlineStr">
        <is>
          <t>Address line (redacted)</t>
        </is>
      </c>
      <c r="B2184" s="390"/>
      <c r="C2184" s="390"/>
      <c r="D2184" s="398"/>
      <c r="E2184" s="390"/>
      <c r="F2184" s="391"/>
      <c r="G2184" s="390"/>
      <c r="H2184" s="394"/>
    </row>
    <row r="2185" spans="1:8" ht="15.75" customHeight="1" x14ac:dyDescent="0.25">
      <c r="A2185" s="447"/>
      <c r="B2185" s="390"/>
      <c r="C2185" s="390"/>
      <c r="D2185" s="391"/>
      <c r="E2185" s="390"/>
      <c r="F2185" s="391"/>
      <c r="G2185" s="390"/>
      <c r="H2185" s="394"/>
    </row>
    <row r="2186" spans="1:8" ht="15.75" customHeight="1" x14ac:dyDescent="0.25">
      <c r="A2186" s="390" t="s">
        <v>30</v>
      </c>
      <c r="B2186" s="390"/>
      <c r="C2186" s="390"/>
      <c r="D2186" s="391"/>
      <c r="E2186" s="390"/>
      <c r="F2186" s="391"/>
      <c r="G2186" s="390"/>
      <c r="H2186" s="394"/>
    </row>
    <row r="2187" spans="1:8" ht="15.75" customHeight="1" x14ac:dyDescent="0.25">
      <c r="A2187" s="390"/>
      <c r="B2187" s="390"/>
      <c r="C2187" s="390"/>
      <c r="D2187" s="391"/>
      <c r="E2187" s="390"/>
      <c r="F2187" s="391"/>
      <c r="G2187" s="390"/>
      <c r="H2187" s="394"/>
    </row>
    <row r="2188" spans="1:8" ht="15.75" customHeight="1" x14ac:dyDescent="0.25">
      <c r="A2188" s="390" t="s">
        <v>31</v>
      </c>
      <c r="B2188" s="390"/>
      <c r="C2188" s="390"/>
      <c r="D2188" s="391"/>
      <c r="E2188" s="390"/>
      <c r="F2188" s="391"/>
      <c r="G2188" s="390"/>
      <c r="H2188" s="394"/>
    </row>
    <row r="2189" spans="1:8" ht="15.75" customHeight="1" x14ac:dyDescent="0.25">
      <c r="A2189" s="390" t="s">
        <v>32</v>
      </c>
      <c r="B2189" s="390"/>
      <c r="C2189" s="390"/>
      <c r="D2189" s="391"/>
      <c r="E2189" s="390"/>
      <c r="F2189" s="391"/>
      <c r="G2189" s="390"/>
      <c r="H2189" s="394"/>
    </row>
    <row r="2190" spans="1:8" ht="15.75" customHeight="1" x14ac:dyDescent="0.25">
      <c r="A2190" s="390"/>
      <c r="B2190" s="390"/>
      <c r="C2190" s="390"/>
      <c r="D2190" s="391"/>
      <c r="E2190" s="390"/>
      <c r="F2190" s="391"/>
      <c r="G2190" s="390"/>
      <c r="H2190" s="394"/>
    </row>
    <row r="2191" spans="1:8" ht="15.75" customHeight="1" x14ac:dyDescent="0.25">
      <c r="A2191" s="399" t="s">
        <v>33</v>
      </c>
      <c r="B2191" s="400" t="s">
        <v>6</v>
      </c>
      <c r="C2191" s="400"/>
      <c r="D2191" s="401" t="s">
        <v>37</v>
      </c>
      <c r="E2191" s="402" t="s">
        <v>38</v>
      </c>
      <c r="F2191" s="403" t="s">
        <v>7</v>
      </c>
      <c r="G2191" s="404" t="s">
        <v>43</v>
      </c>
      <c r="H2191" s="405" t="s">
        <v>44</v>
      </c>
    </row>
    <row r="2192" spans="1:8" ht="15.75" customHeight="1" x14ac:dyDescent="0.25">
      <c r="A2192" s="406"/>
      <c r="B2192" s="407"/>
      <c r="C2192" s="393"/>
      <c r="D2192" s="408"/>
      <c r="E2192" s="408"/>
      <c r="F2192" s="409"/>
      <c r="G2192" s="410"/>
      <c r="H2192" s="411"/>
    </row>
    <row r="2193" spans="1:8" ht="15.75" customHeight="1" x14ac:dyDescent="0.25">
      <c r="A2193" s="425"/>
      <c r="B2193" s="450" t="s">
        <v>1102</v>
      </c>
      <c r="C2193" s="507"/>
      <c r="D2193" s="427"/>
      <c r="E2193" s="427"/>
      <c r="F2193" s="391"/>
      <c r="G2193" s="427"/>
      <c r="H2193" s="429"/>
    </row>
    <row r="2194" spans="1:8" ht="15.75" customHeight="1" x14ac:dyDescent="0.25">
      <c r="A2194" s="425"/>
      <c r="B2194" s="450"/>
      <c r="C2194" s="507"/>
      <c r="D2194" s="427"/>
      <c r="E2194" s="427"/>
      <c r="F2194" s="391"/>
      <c r="G2194" s="427"/>
      <c r="H2194" s="429"/>
    </row>
    <row r="2195" spans="1:8" ht="15.75" customHeight="1" x14ac:dyDescent="0.25">
      <c r="A2195" s="425" t="s">
        <v>55</v>
      </c>
      <c r="B2195" s="450" t="s">
        <v>815</v>
      </c>
      <c r="C2195" s="507" t="s">
        <v>84</v>
      </c>
      <c r="D2195" s="427">
        <v>2</v>
      </c>
      <c r="E2195" s="427">
        <v>5</v>
      </c>
      <c r="F2195" s="391">
        <f>+E2195*D2195</f>
      </c>
      <c r="G2195" s="427">
        <v>1</v>
      </c>
      <c r="H2195" s="429">
        <f>+G2195*F2195</f>
      </c>
    </row>
    <row r="2196" spans="1:8" ht="15.75" customHeight="1" x14ac:dyDescent="0.25">
      <c r="A2196" s="425"/>
      <c r="B2196" s="448"/>
      <c r="C2196" s="390"/>
      <c r="D2196" s="427"/>
      <c r="E2196" s="427"/>
      <c r="F2196" s="391"/>
      <c r="G2196" s="427"/>
      <c r="H2196" s="429"/>
    </row>
    <row r="2197" spans="1:8" ht="15.75" customHeight="1" x14ac:dyDescent="0.25">
      <c r="A2197" s="425"/>
      <c r="B2197" s="426"/>
      <c r="C2197" s="390"/>
      <c r="D2197" s="427"/>
      <c r="E2197" s="427"/>
      <c r="F2197" s="391"/>
      <c r="G2197" s="427"/>
      <c r="H2197" s="429"/>
    </row>
    <row r="2198" spans="1:8" ht="15.75" customHeight="1" x14ac:dyDescent="0.25">
      <c r="A2198" s="430"/>
      <c r="B2198" s="409"/>
      <c r="C2198" s="393"/>
      <c r="D2198" s="427"/>
      <c r="E2198" s="427"/>
      <c r="F2198" s="428"/>
      <c r="G2198" s="431"/>
      <c r="H2198" s="429"/>
    </row>
    <row r="2199" spans="1:8" ht="15.75" customHeight="1" x14ac:dyDescent="0.25">
      <c r="A2199" s="432"/>
      <c r="B2199" s="433"/>
      <c r="C2199" s="434" t="s">
        <v>85</v>
      </c>
      <c r="D2199" s="435">
        <f>SUM(D2193:D2198)</f>
      </c>
      <c r="E2199" s="435"/>
      <c r="F2199" s="436"/>
      <c r="G2199" s="437"/>
      <c r="H2199" s="438">
        <f>SUM(H2194:H2198)</f>
      </c>
    </row>
    <row r="2200" spans="1:8" ht="15.75" customHeight="1" x14ac:dyDescent="0.25">
      <c r="A2200" s="439"/>
      <c r="B2200" s="440"/>
      <c r="C2200" s="440"/>
      <c r="D2200" s="441"/>
      <c r="E2200" s="440"/>
      <c r="F2200" s="442"/>
      <c r="G2200" s="443"/>
      <c r="H2200" s="444"/>
    </row>
    <row r="2201" spans="1:8" ht="15.75" customHeight="1" x14ac:dyDescent="0.25">
      <c r="A2201" s="392"/>
      <c r="B2201" s="391"/>
      <c r="C2201" s="391"/>
      <c r="D2201" s="391"/>
      <c r="E2201" s="390"/>
      <c r="F2201" s="392"/>
      <c r="G2201" s="390"/>
      <c r="H2201" s="394"/>
    </row>
    <row r="2202" spans="1:8" ht="15.75" customHeight="1" x14ac:dyDescent="0.25">
      <c r="A2202" s="445"/>
      <c r="B2202" s="445"/>
      <c r="C2202" s="445"/>
      <c r="D2202" s="446" t="s">
        <v>97</v>
      </c>
      <c r="E2202" s="445" t="s">
        <v>98</v>
      </c>
      <c r="F2202" s="445"/>
      <c r="G2202" s="390"/>
      <c r="H2202" s="394"/>
    </row>
    <row r="2203" spans="1:8" ht="15.75" customHeight="1" x14ac:dyDescent="0.25">
      <c r="A2203" s="390"/>
      <c r="B2203" s="390"/>
      <c r="C2203" s="390"/>
      <c r="D2203" s="391"/>
      <c r="E2203" s="390"/>
      <c r="F2203" s="390"/>
      <c r="G2203" s="390"/>
      <c r="H2203" s="394"/>
    </row>
    <row r="2204" spans="1:8" ht="15.75" customHeight="1" x14ac:dyDescent="0.25">
      <c r="A2204" s="390"/>
      <c r="B2204" s="390"/>
      <c r="C2204" s="390"/>
      <c r="D2204" s="391"/>
      <c r="E2204" s="390"/>
      <c r="F2204" s="390"/>
      <c r="G2204" s="390"/>
      <c r="H2204" s="394"/>
    </row>
    <row r="2205" spans="1:8" ht="15.75" customHeight="1" x14ac:dyDescent="0.25">
      <c r="A2205" s="445"/>
      <c r="B2205" s="445"/>
      <c r="C2205" s="445"/>
      <c r="D2205" s="446"/>
      <c r="E2205" s="445" t="s">
        <v>99</v>
      </c>
      <c r="F2205" s="445"/>
      <c r="G2205" s="390"/>
      <c r="H2205" s="394"/>
    </row>
    <row r="2206" spans="1:8" ht="15.75" customHeight="1" x14ac:dyDescent="0.25">
      <c r="D2206" s="4"/>
      <c r="H2206" s="4"/>
    </row>
    <row r="2207" spans="1:8" ht="15.75" customHeight="1" x14ac:dyDescent="0.25">
      <c r="D2207" s="4"/>
      <c r="H2207" s="4"/>
    </row>
    <row r="2208" spans="1:8" ht="15.75" customHeight="1" x14ac:dyDescent="0.25">
      <c r="D2208" s="4"/>
      <c r="H2208" s="4"/>
    </row>
    <row r="2209" spans="1:20" ht="15.75" customHeight="1" x14ac:dyDescent="0.25">
      <c r="D2209" s="4"/>
      <c r="H2209" s="4"/>
    </row>
    <row r="2210" spans="1:20" ht="15.75" customHeight="1" x14ac:dyDescent="0.25">
      <c r="D2210" s="4"/>
      <c r="H2210" s="4"/>
    </row>
    <row r="2211" spans="1:20" ht="15.75" customHeight="1" x14ac:dyDescent="0.25">
      <c r="D2211" s="4"/>
      <c r="H2211" s="4"/>
    </row>
    <row r="2212" spans="1:20" ht="15.75" customHeight="1" x14ac:dyDescent="0.25">
      <c r="D2212" s="4"/>
      <c r="H2212" s="4"/>
    </row>
    <row r="2213" spans="1:20" ht="15.75" customHeight="1" x14ac:dyDescent="0.25">
      <c r="D2213" s="4"/>
      <c r="H2213" s="4"/>
    </row>
    <row r="2214" spans="1:20" ht="15.75" customHeight="1" x14ac:dyDescent="0.25">
      <c r="D2214" s="4"/>
      <c r="H2214" s="4"/>
    </row>
    <row r="2215" spans="1:20" ht="15.75" customHeight="1" x14ac:dyDescent="0.25">
      <c r="D2215" s="4"/>
      <c r="H2215" s="4"/>
    </row>
    <row r="2216" spans="1:20" ht="15.75" customHeight="1" x14ac:dyDescent="0.25">
      <c r="D2216" s="4"/>
      <c r="H2216" s="4"/>
    </row>
    <row r="2217" spans="1:20" ht="15.75" customHeight="1" x14ac:dyDescent="0.25">
      <c r="D2217" s="4"/>
      <c r="H2217" s="4"/>
    </row>
    <row r="2218" spans="1:20" ht="15.75" customHeight="1" x14ac:dyDescent="0.25">
      <c r="D2218" s="4"/>
      <c r="H2218" s="4"/>
    </row>
    <row r="2219" spans="1:20" ht="15.75" customHeight="1" x14ac:dyDescent="0.25">
      <c r="D2219" s="4"/>
      <c r="H2219" s="4"/>
    </row>
    <row r="2220" spans="1:20" ht="15.75" customHeight="1" x14ac:dyDescent="0.25">
      <c r="D2220" s="4"/>
      <c r="H2220" s="4"/>
    </row>
    <row r="2221" spans="1:20" ht="15.75" customHeight="1" x14ac:dyDescent="0.25">
      <c r="D2221" s="4"/>
      <c r="H2221" s="4"/>
    </row>
    <row r="2222" spans="1:20" ht="15.75" customHeight="1" x14ac:dyDescent="0.25">
      <c r="D2222" s="4"/>
      <c r="H2222" s="4"/>
      <c r="I2222" s="388"/>
      <c r="J2222" s="388"/>
      <c r="K2222" s="388"/>
      <c r="L2222" s="388"/>
      <c r="M2222" s="388"/>
      <c r="N2222" s="388"/>
      <c r="O2222" s="388"/>
      <c r="P2222" s="388"/>
      <c r="Q2222" s="388"/>
      <c r="R2222" s="388"/>
      <c r="S2222" s="388"/>
      <c r="T2222" s="388"/>
    </row>
    <row r="2223" spans="1:20" ht="15.75" customHeight="1" x14ac:dyDescent="0.25">
      <c r="A2223" s="398" t="s">
        <v>14</v>
      </c>
      <c r="B2223" s="398"/>
      <c r="C2223" s="398"/>
      <c r="D2223" s="398"/>
      <c r="E2223" s="398"/>
      <c r="F2223" s="398"/>
      <c r="G2223" s="398"/>
      <c r="H2223" s="398"/>
    </row>
    <row r="2224" spans="1:20" ht="15.75" customHeight="1" x14ac:dyDescent="0.25">
      <c r="A2224" s="56"/>
      <c r="B2224" s="56"/>
      <c r="C2224" s="56"/>
      <c r="D2224" s="53"/>
      <c r="E2224" s="56"/>
      <c r="F2224" s="56"/>
      <c r="G2224" s="56"/>
      <c r="H2224" s="398"/>
    </row>
    <row r="2225" spans="1:20" ht="15.75" customHeight="1" x14ac:dyDescent="0.25">
      <c r="A2225" s="390"/>
      <c r="B2225" s="390"/>
      <c r="C2225" s="391"/>
      <c r="D2225" s="392"/>
      <c r="E2225" s="393"/>
      <c r="F2225" s="393"/>
      <c r="G2225" s="393"/>
      <c r="H2225" s="394"/>
      <c r="I2225" s="390"/>
      <c r="J2225" s="390"/>
      <c r="K2225" s="390"/>
      <c r="L2225" s="390"/>
      <c r="M2225" s="390"/>
      <c r="N2225" s="390"/>
      <c r="O2225" s="390"/>
      <c r="P2225" s="390"/>
      <c r="Q2225" s="390"/>
      <c r="R2225" s="390"/>
      <c r="S2225" s="390"/>
      <c r="T2225" s="390"/>
    </row>
    <row r="2226" spans="1:20" ht="15.75" customHeight="1" x14ac:dyDescent="0.25">
      <c r="A2226" s="390"/>
      <c r="B2226" s="390"/>
      <c r="C2226" s="390"/>
      <c r="D2226" s="391"/>
      <c r="E2226" s="390"/>
      <c r="F2226" s="395" t="s">
        <v>18</v>
      </c>
      <c r="G2226" s="396" t="s">
        <v>613</v>
      </c>
      <c r="H2226" s="397"/>
      <c r="I2226" s="390"/>
      <c r="J2226" s="390"/>
      <c r="K2226" s="390"/>
      <c r="L2226" s="390"/>
      <c r="M2226" s="390"/>
      <c r="N2226" s="390"/>
      <c r="O2226" s="390"/>
      <c r="P2226" s="390"/>
      <c r="Q2226" s="390"/>
      <c r="R2226" s="390"/>
      <c r="S2226" s="390"/>
      <c r="T2226" s="390"/>
    </row>
    <row r="2227" spans="1:20" ht="15.75" customHeight="1" x14ac:dyDescent="0.25">
      <c r="A2227" s="390" t="s">
        <v>20</v>
      </c>
      <c r="B2227" s="390"/>
      <c r="C2227" s="390"/>
      <c r="D2227" s="391"/>
      <c r="E2227" s="390"/>
      <c r="F2227" s="395" t="s">
        <v>21</v>
      </c>
      <c r="G2227" s="390" t="s">
        <v>1159</v>
      </c>
      <c r="H2227" s="391"/>
      <c r="I2227" s="390"/>
      <c r="J2227" s="390"/>
      <c r="K2227" s="390"/>
      <c r="L2227" s="390"/>
      <c r="M2227" s="390"/>
      <c r="N2227" s="390"/>
      <c r="O2227" s="390"/>
      <c r="P2227" s="390"/>
      <c r="Q2227" s="390"/>
      <c r="R2227" s="390"/>
      <c r="S2227" s="390"/>
      <c r="T2227" s="390"/>
    </row>
    <row r="2228" spans="1:20" ht="15.75" customHeight="1" x14ac:dyDescent="0.25">
      <c r="A2228" s="390" t="inlineStr">
        <is>
          <t>Dealer-003</t>
        </is>
      </c>
      <c r="B2228" s="390"/>
      <c r="C2228" s="390"/>
      <c r="D2228" s="391"/>
      <c r="E2228" s="395"/>
      <c r="F2228" s="390"/>
      <c r="G2228" s="390"/>
      <c r="H2228" s="394"/>
      <c r="I2228" s="390"/>
      <c r="J2228" s="390"/>
      <c r="K2228" s="390"/>
      <c r="L2228" s="390"/>
      <c r="M2228" s="390"/>
      <c r="N2228" s="390"/>
      <c r="O2228" s="390"/>
      <c r="P2228" s="390"/>
      <c r="Q2228" s="390"/>
      <c r="R2228" s="390"/>
      <c r="S2228" s="390"/>
      <c r="T2228" s="390"/>
    </row>
    <row r="2229" spans="1:20" ht="15.75" customHeight="1" x14ac:dyDescent="0.25">
      <c r="A2229" s="390" t="inlineStr">
        <is>
          <t>Address line (redacted)</t>
        </is>
      </c>
      <c r="B2229" s="390"/>
      <c r="C2229" s="390"/>
      <c r="D2229" s="398"/>
      <c r="E2229" s="390"/>
      <c r="F2229" s="391"/>
      <c r="G2229" s="390"/>
      <c r="H2229" s="394"/>
      <c r="I2229" s="390"/>
      <c r="J2229" s="390"/>
      <c r="K2229" s="390"/>
      <c r="L2229" s="390"/>
      <c r="M2229" s="390"/>
      <c r="N2229" s="390"/>
      <c r="O2229" s="390"/>
      <c r="P2229" s="390"/>
      <c r="Q2229" s="390"/>
      <c r="R2229" s="390"/>
      <c r="S2229" s="390"/>
      <c r="T2229" s="390"/>
    </row>
    <row r="2230" spans="1:20" ht="15.75" customHeight="1" x14ac:dyDescent="0.25">
      <c r="A2230" s="390" t="inlineStr">
        <is>
          <t>Address line (redacted)</t>
        </is>
      </c>
      <c r="B2230" s="390"/>
      <c r="C2230" s="390"/>
      <c r="D2230" s="398"/>
      <c r="E2230" s="390"/>
      <c r="F2230" s="391"/>
      <c r="G2230" s="390"/>
      <c r="H2230" s="394"/>
      <c r="I2230" s="390"/>
      <c r="J2230" s="390"/>
      <c r="K2230" s="390"/>
      <c r="L2230" s="390"/>
      <c r="M2230" s="390"/>
      <c r="N2230" s="390"/>
      <c r="O2230" s="390"/>
      <c r="P2230" s="390"/>
      <c r="Q2230" s="390"/>
      <c r="R2230" s="390"/>
      <c r="S2230" s="390"/>
      <c r="T2230" s="390"/>
    </row>
    <row r="2231" spans="1:20" ht="15.75" customHeight="1" x14ac:dyDescent="0.25">
      <c r="A2231" s="447"/>
      <c r="B2231" s="390"/>
      <c r="C2231" s="390"/>
      <c r="D2231" s="391"/>
      <c r="E2231" s="390"/>
      <c r="F2231" s="391"/>
      <c r="G2231" s="390"/>
      <c r="H2231" s="394"/>
      <c r="I2231" s="390"/>
      <c r="J2231" s="390"/>
      <c r="K2231" s="390"/>
      <c r="L2231" s="390"/>
      <c r="M2231" s="390"/>
      <c r="N2231" s="390"/>
      <c r="O2231" s="390"/>
      <c r="P2231" s="390"/>
      <c r="Q2231" s="390"/>
      <c r="R2231" s="390"/>
      <c r="S2231" s="390"/>
      <c r="T2231" s="390"/>
    </row>
    <row r="2232" spans="1:20" ht="15.75" customHeight="1" x14ac:dyDescent="0.25">
      <c r="A2232" s="390" t="s">
        <v>30</v>
      </c>
      <c r="B2232" s="390"/>
      <c r="C2232" s="390"/>
      <c r="D2232" s="391"/>
      <c r="E2232" s="390"/>
      <c r="F2232" s="391"/>
      <c r="G2232" s="390"/>
      <c r="H2232" s="394"/>
      <c r="I2232" s="390"/>
      <c r="J2232" s="390"/>
      <c r="K2232" s="390"/>
      <c r="L2232" s="390"/>
      <c r="M2232" s="390"/>
      <c r="N2232" s="390"/>
      <c r="O2232" s="390"/>
      <c r="P2232" s="390"/>
      <c r="Q2232" s="390"/>
      <c r="R2232" s="390"/>
      <c r="S2232" s="390"/>
      <c r="T2232" s="390"/>
    </row>
    <row r="2233" spans="1:20" ht="15.75" customHeight="1" x14ac:dyDescent="0.25">
      <c r="A2233" s="390"/>
      <c r="B2233" s="390"/>
      <c r="C2233" s="390"/>
      <c r="D2233" s="391"/>
      <c r="E2233" s="390"/>
      <c r="F2233" s="391"/>
      <c r="G2233" s="390"/>
      <c r="H2233" s="394"/>
      <c r="I2233" s="390"/>
      <c r="J2233" s="390"/>
      <c r="K2233" s="390"/>
      <c r="L2233" s="390"/>
      <c r="M2233" s="390"/>
      <c r="N2233" s="390"/>
      <c r="O2233" s="390"/>
      <c r="P2233" s="390"/>
      <c r="Q2233" s="390"/>
      <c r="R2233" s="390"/>
      <c r="S2233" s="390"/>
      <c r="T2233" s="390"/>
    </row>
    <row r="2234" spans="1:20" ht="15.75" customHeight="1" x14ac:dyDescent="0.25">
      <c r="A2234" s="390" t="s">
        <v>716</v>
      </c>
      <c r="B2234" s="390"/>
      <c r="C2234" s="390"/>
      <c r="D2234" s="391"/>
      <c r="E2234" s="390"/>
      <c r="F2234" s="391"/>
      <c r="G2234" s="390"/>
      <c r="H2234" s="394"/>
      <c r="I2234" s="390"/>
      <c r="J2234" s="390"/>
      <c r="K2234" s="390"/>
      <c r="L2234" s="390"/>
      <c r="M2234" s="390"/>
      <c r="N2234" s="390"/>
      <c r="O2234" s="390"/>
      <c r="P2234" s="390"/>
      <c r="Q2234" s="390"/>
      <c r="R2234" s="390"/>
      <c r="S2234" s="390"/>
      <c r="T2234" s="390"/>
    </row>
    <row r="2235" spans="1:20" ht="15.75" customHeight="1" x14ac:dyDescent="0.25">
      <c r="A2235" s="390" t="s">
        <v>717</v>
      </c>
      <c r="B2235" s="390"/>
      <c r="C2235" s="390"/>
      <c r="D2235" s="391"/>
      <c r="E2235" s="390"/>
      <c r="F2235" s="391"/>
      <c r="G2235" s="390"/>
      <c r="H2235" s="394"/>
      <c r="I2235" s="390"/>
      <c r="J2235" s="390"/>
      <c r="K2235" s="390"/>
      <c r="L2235" s="390"/>
      <c r="M2235" s="390"/>
      <c r="N2235" s="390"/>
      <c r="O2235" s="390"/>
      <c r="P2235" s="390"/>
      <c r="Q2235" s="390"/>
      <c r="R2235" s="390"/>
      <c r="S2235" s="390"/>
      <c r="T2235" s="390"/>
    </row>
    <row r="2236" spans="1:20" ht="15.75" customHeight="1" x14ac:dyDescent="0.25">
      <c r="A2236" s="390"/>
      <c r="B2236" s="390"/>
      <c r="C2236" s="390"/>
      <c r="D2236" s="391"/>
      <c r="E2236" s="390"/>
      <c r="F2236" s="391"/>
      <c r="G2236" s="390"/>
      <c r="H2236" s="394"/>
      <c r="I2236" s="390"/>
      <c r="J2236" s="390"/>
      <c r="K2236" s="390"/>
      <c r="L2236" s="390"/>
      <c r="M2236" s="390"/>
      <c r="N2236" s="390"/>
      <c r="O2236" s="390"/>
      <c r="P2236" s="390"/>
      <c r="Q2236" s="390"/>
      <c r="R2236" s="390"/>
      <c r="S2236" s="390"/>
      <c r="T2236" s="390"/>
    </row>
    <row r="2237" spans="1:20" ht="15.75" customHeight="1" x14ac:dyDescent="0.25">
      <c r="A2237" s="399" t="s">
        <v>33</v>
      </c>
      <c r="B2237" s="400" t="s">
        <v>6</v>
      </c>
      <c r="C2237" s="400"/>
      <c r="D2237" s="401" t="s">
        <v>37</v>
      </c>
      <c r="E2237" s="402" t="s">
        <v>38</v>
      </c>
      <c r="F2237" s="403" t="s">
        <v>7</v>
      </c>
      <c r="G2237" s="404" t="s">
        <v>43</v>
      </c>
      <c r="H2237" s="405" t="s">
        <v>44</v>
      </c>
      <c r="I2237" s="390"/>
      <c r="J2237" s="390"/>
      <c r="K2237" s="390"/>
      <c r="L2237" s="390"/>
      <c r="M2237" s="390"/>
      <c r="N2237" s="390"/>
      <c r="O2237" s="390"/>
      <c r="P2237" s="390"/>
      <c r="Q2237" s="390"/>
      <c r="R2237" s="390"/>
      <c r="S2237" s="390"/>
      <c r="T2237" s="390"/>
    </row>
    <row r="2238" spans="1:20" ht="15.75" customHeight="1" x14ac:dyDescent="0.25">
      <c r="A2238" s="406"/>
      <c r="B2238" s="407"/>
      <c r="C2238" s="393"/>
      <c r="D2238" s="408"/>
      <c r="E2238" s="408"/>
      <c r="F2238" s="409"/>
      <c r="G2238" s="410"/>
      <c r="H2238" s="411"/>
      <c r="I2238" s="390"/>
      <c r="J2238" s="390"/>
      <c r="K2238" s="390"/>
      <c r="L2238" s="390"/>
      <c r="M2238" s="390"/>
      <c r="N2238" s="390"/>
      <c r="O2238" s="390"/>
      <c r="P2238" s="390"/>
      <c r="Q2238" s="390"/>
      <c r="R2238" s="390"/>
      <c r="S2238" s="390"/>
      <c r="T2238" s="390"/>
    </row>
    <row r="2239" spans="1:20" ht="15.75" customHeight="1" x14ac:dyDescent="0.25">
      <c r="A2239" s="425"/>
      <c r="B2239" s="450" t="s">
        <v>1102</v>
      </c>
      <c r="C2239" s="507"/>
      <c r="D2239" s="427"/>
      <c r="E2239" s="427"/>
      <c r="F2239" s="391"/>
      <c r="G2239" s="427"/>
      <c r="H2239" s="429"/>
      <c r="I2239" s="390"/>
      <c r="J2239" s="390"/>
      <c r="K2239" s="390"/>
      <c r="L2239" s="390"/>
      <c r="M2239" s="390"/>
      <c r="N2239" s="390"/>
      <c r="O2239" s="390"/>
      <c r="P2239" s="390"/>
      <c r="Q2239" s="390"/>
      <c r="R2239" s="390"/>
      <c r="S2239" s="390"/>
      <c r="T2239" s="390"/>
    </row>
    <row r="2240" spans="1:20" ht="15.75" customHeight="1" x14ac:dyDescent="0.25">
      <c r="A2240" s="425"/>
      <c r="B2240" s="450"/>
      <c r="C2240" s="507"/>
      <c r="D2240" s="427"/>
      <c r="E2240" s="427"/>
      <c r="F2240" s="391"/>
      <c r="G2240" s="427"/>
      <c r="H2240" s="429"/>
      <c r="I2240" s="390"/>
      <c r="J2240" s="390"/>
      <c r="K2240" s="390"/>
      <c r="L2240" s="390"/>
      <c r="M2240" s="390"/>
      <c r="N2240" s="390"/>
      <c r="O2240" s="390"/>
      <c r="P2240" s="390"/>
      <c r="Q2240" s="390"/>
      <c r="R2240" s="390"/>
      <c r="S2240" s="390"/>
      <c r="T2240" s="390"/>
    </row>
    <row r="2241" spans="1:20" ht="15.75" customHeight="1" x14ac:dyDescent="0.25">
      <c r="A2241" s="425" t="s">
        <v>55</v>
      </c>
      <c r="B2241" s="450" t="s">
        <v>34</v>
      </c>
      <c r="C2241" s="507" t="s">
        <v>25</v>
      </c>
      <c r="D2241" s="427">
        <v>4</v>
      </c>
      <c r="E2241" s="427">
        <v>5</v>
      </c>
      <c r="F2241" s="391">
        <f t="shared" ref="F2241:F2242" si="18">+E2241*D2241</f>
      </c>
      <c r="G2241" s="427">
        <v>1</v>
      </c>
      <c r="H2241" s="429">
        <f t="shared" ref="H2241:H2242" si="19">+G2241*F2241</f>
      </c>
      <c r="I2241" s="390"/>
      <c r="J2241" s="390"/>
      <c r="K2241" s="390"/>
      <c r="L2241" s="390"/>
      <c r="M2241" s="390"/>
      <c r="N2241" s="390"/>
      <c r="O2241" s="390"/>
      <c r="P2241" s="390"/>
      <c r="Q2241" s="390"/>
      <c r="R2241" s="390"/>
      <c r="S2241" s="390"/>
      <c r="T2241" s="390"/>
    </row>
    <row r="2242" spans="1:20" ht="15.75" customHeight="1" x14ac:dyDescent="0.25">
      <c r="A2242" s="425" t="s">
        <v>59</v>
      </c>
      <c r="B2242" s="450" t="s">
        <v>125</v>
      </c>
      <c r="C2242" s="507" t="s">
        <v>324</v>
      </c>
      <c r="D2242" s="427">
        <v>2</v>
      </c>
      <c r="E2242" s="427">
        <v>5</v>
      </c>
      <c r="F2242" s="391">
        <f t="shared" si="18"/>
      </c>
      <c r="G2242" s="427">
        <v>1</v>
      </c>
      <c r="H2242" s="429">
        <f t="shared" si="19"/>
      </c>
      <c r="I2242" s="390"/>
      <c r="J2242" s="390"/>
      <c r="K2242" s="390"/>
      <c r="L2242" s="390"/>
      <c r="M2242" s="390"/>
      <c r="N2242" s="390"/>
      <c r="O2242" s="390"/>
      <c r="P2242" s="390"/>
      <c r="Q2242" s="390"/>
      <c r="R2242" s="390"/>
      <c r="S2242" s="390"/>
      <c r="T2242" s="390"/>
    </row>
    <row r="2243" spans="1:20" ht="15.75" customHeight="1" x14ac:dyDescent="0.25">
      <c r="A2243" s="425"/>
      <c r="B2243" s="450"/>
      <c r="C2243" s="507"/>
      <c r="D2243" s="427"/>
      <c r="E2243" s="427"/>
      <c r="F2243" s="391"/>
      <c r="G2243" s="427"/>
      <c r="H2243" s="429"/>
      <c r="I2243" s="390"/>
      <c r="J2243" s="390"/>
      <c r="K2243" s="390"/>
      <c r="L2243" s="390"/>
      <c r="M2243" s="390"/>
      <c r="N2243" s="390"/>
      <c r="O2243" s="390"/>
      <c r="P2243" s="390"/>
      <c r="Q2243" s="390"/>
      <c r="R2243" s="390"/>
      <c r="S2243" s="390"/>
      <c r="T2243" s="390"/>
    </row>
    <row r="2244" spans="1:20" ht="15.75" customHeight="1" x14ac:dyDescent="0.25">
      <c r="A2244" s="425"/>
      <c r="B2244" s="450" t="s">
        <v>674</v>
      </c>
      <c r="C2244" s="507"/>
      <c r="D2244" s="427"/>
      <c r="E2244" s="427"/>
      <c r="F2244" s="391"/>
      <c r="G2244" s="427"/>
      <c r="H2244" s="429"/>
      <c r="I2244" s="390"/>
      <c r="J2244" s="390"/>
      <c r="K2244" s="390"/>
      <c r="L2244" s="390"/>
      <c r="M2244" s="390"/>
      <c r="N2244" s="390"/>
      <c r="O2244" s="390"/>
      <c r="P2244" s="390"/>
      <c r="Q2244" s="390"/>
      <c r="R2244" s="390"/>
      <c r="S2244" s="390"/>
      <c r="T2244" s="390"/>
    </row>
    <row r="2245" spans="1:20" ht="15.75" customHeight="1" x14ac:dyDescent="0.25">
      <c r="A2245" s="502" t="s">
        <v>67</v>
      </c>
      <c r="B2245" s="503" t="s">
        <v>1163</v>
      </c>
      <c r="C2245" s="390" t="s">
        <v>1164</v>
      </c>
      <c r="D2245" s="427">
        <v>15</v>
      </c>
      <c r="E2245" s="427">
        <v>1</v>
      </c>
      <c r="F2245" s="391">
        <f t="shared" ref="F2245:F2246" si="20">+E2245*D2245</f>
      </c>
      <c r="G2245" s="427">
        <v>1</v>
      </c>
      <c r="H2245" s="429">
        <f t="shared" ref="H2245:H2246" si="21">+G2245*F2245</f>
      </c>
      <c r="I2245" s="390"/>
      <c r="J2245" s="390"/>
      <c r="K2245" s="390"/>
      <c r="L2245" s="390"/>
      <c r="M2245" s="390"/>
      <c r="N2245" s="390"/>
      <c r="O2245" s="390"/>
      <c r="P2245" s="390"/>
      <c r="Q2245" s="390"/>
      <c r="R2245" s="390"/>
      <c r="S2245" s="390"/>
      <c r="T2245" s="390"/>
    </row>
    <row r="2246" spans="1:20" ht="15.75" customHeight="1" x14ac:dyDescent="0.25">
      <c r="A2246" s="502" t="s">
        <v>485</v>
      </c>
      <c r="B2246" s="503" t="s">
        <v>1163</v>
      </c>
      <c r="C2246" s="390" t="s">
        <v>1165</v>
      </c>
      <c r="D2246" s="427">
        <v>5</v>
      </c>
      <c r="E2246" s="427">
        <v>1</v>
      </c>
      <c r="F2246" s="391">
        <f t="shared" si="20"/>
      </c>
      <c r="G2246" s="427">
        <v>1</v>
      </c>
      <c r="H2246" s="429">
        <f t="shared" si="21"/>
      </c>
      <c r="I2246" s="390"/>
      <c r="J2246" s="390"/>
      <c r="K2246" s="390"/>
      <c r="L2246" s="390"/>
      <c r="M2246" s="390"/>
      <c r="N2246" s="390"/>
      <c r="O2246" s="390"/>
      <c r="P2246" s="390"/>
      <c r="Q2246" s="390"/>
      <c r="R2246" s="390"/>
      <c r="S2246" s="390"/>
      <c r="T2246" s="390"/>
    </row>
    <row r="2247" spans="1:20" ht="15.75" customHeight="1" x14ac:dyDescent="0.25">
      <c r="A2247" s="425"/>
      <c r="B2247" s="426"/>
      <c r="C2247" s="390"/>
      <c r="D2247" s="427"/>
      <c r="E2247" s="427"/>
      <c r="F2247" s="391"/>
      <c r="G2247" s="427"/>
      <c r="H2247" s="429"/>
      <c r="I2247" s="390"/>
      <c r="J2247" s="390"/>
      <c r="K2247" s="390"/>
      <c r="L2247" s="390"/>
      <c r="M2247" s="390"/>
      <c r="N2247" s="390"/>
      <c r="O2247" s="390"/>
      <c r="P2247" s="390"/>
      <c r="Q2247" s="390"/>
      <c r="R2247" s="390"/>
      <c r="S2247" s="390"/>
      <c r="T2247" s="390"/>
    </row>
    <row r="2248" spans="1:20" ht="15.75" customHeight="1" x14ac:dyDescent="0.25">
      <c r="A2248" s="430"/>
      <c r="B2248" s="409"/>
      <c r="C2248" s="393"/>
      <c r="D2248" s="427"/>
      <c r="E2248" s="427"/>
      <c r="F2248" s="428"/>
      <c r="G2248" s="431"/>
      <c r="H2248" s="429"/>
      <c r="I2248" s="390"/>
      <c r="J2248" s="390"/>
      <c r="K2248" s="390"/>
      <c r="L2248" s="390"/>
      <c r="M2248" s="390"/>
      <c r="N2248" s="390"/>
      <c r="O2248" s="390"/>
      <c r="P2248" s="390"/>
      <c r="Q2248" s="390"/>
      <c r="R2248" s="390"/>
      <c r="S2248" s="390"/>
      <c r="T2248" s="390"/>
    </row>
    <row r="2249" spans="1:20" ht="15.75" customHeight="1" x14ac:dyDescent="0.25">
      <c r="A2249" s="432"/>
      <c r="B2249" s="433"/>
      <c r="C2249" s="434" t="s">
        <v>85</v>
      </c>
      <c r="D2249" s="435">
        <f>SUM(D2239:D2248)</f>
      </c>
      <c r="E2249" s="435"/>
      <c r="F2249" s="436"/>
      <c r="G2249" s="437"/>
      <c r="H2249" s="438">
        <f>SUM(H2241:H2248)</f>
      </c>
      <c r="I2249" s="390"/>
      <c r="J2249" s="390"/>
      <c r="K2249" s="390"/>
      <c r="L2249" s="390"/>
      <c r="M2249" s="390"/>
      <c r="N2249" s="390"/>
      <c r="O2249" s="390"/>
      <c r="P2249" s="390"/>
      <c r="Q2249" s="390"/>
      <c r="R2249" s="390"/>
      <c r="S2249" s="390"/>
      <c r="T2249" s="390"/>
    </row>
    <row r="2250" spans="1:20" ht="15.75" customHeight="1" x14ac:dyDescent="0.25">
      <c r="A2250" s="439"/>
      <c r="B2250" s="440"/>
      <c r="C2250" s="440"/>
      <c r="D2250" s="441"/>
      <c r="E2250" s="440"/>
      <c r="F2250" s="442"/>
      <c r="G2250" s="443"/>
      <c r="H2250" s="444"/>
      <c r="I2250" s="390"/>
      <c r="J2250" s="390"/>
      <c r="K2250" s="390"/>
      <c r="L2250" s="390"/>
      <c r="M2250" s="390"/>
      <c r="N2250" s="390"/>
      <c r="O2250" s="390"/>
      <c r="P2250" s="390"/>
      <c r="Q2250" s="390"/>
      <c r="R2250" s="390"/>
      <c r="S2250" s="390"/>
      <c r="T2250" s="390"/>
    </row>
    <row r="2251" spans="1:20" ht="15.75" customHeight="1" x14ac:dyDescent="0.25">
      <c r="A2251" s="392"/>
      <c r="B2251" s="391"/>
      <c r="C2251" s="391"/>
      <c r="D2251" s="391"/>
      <c r="E2251" s="390"/>
      <c r="F2251" s="392"/>
      <c r="G2251" s="390"/>
      <c r="H2251" s="394"/>
      <c r="I2251" s="390"/>
      <c r="J2251" s="390"/>
      <c r="K2251" s="390"/>
      <c r="L2251" s="390"/>
      <c r="M2251" s="390"/>
      <c r="N2251" s="390"/>
      <c r="O2251" s="390"/>
      <c r="P2251" s="390"/>
      <c r="Q2251" s="390"/>
      <c r="R2251" s="390"/>
      <c r="S2251" s="390"/>
      <c r="T2251" s="390"/>
    </row>
    <row r="2252" spans="1:20" ht="15.75" customHeight="1" x14ac:dyDescent="0.25">
      <c r="A2252" s="445"/>
      <c r="B2252" s="445"/>
      <c r="C2252" s="445"/>
      <c r="D2252" s="446" t="s">
        <v>97</v>
      </c>
      <c r="E2252" s="445" t="s">
        <v>98</v>
      </c>
      <c r="F2252" s="445"/>
      <c r="G2252" s="390"/>
      <c r="H2252" s="394"/>
      <c r="I2252" s="390"/>
      <c r="J2252" s="390"/>
      <c r="K2252" s="390"/>
      <c r="L2252" s="390"/>
      <c r="M2252" s="390"/>
      <c r="N2252" s="390"/>
      <c r="O2252" s="390"/>
      <c r="P2252" s="390"/>
      <c r="Q2252" s="390"/>
      <c r="R2252" s="390"/>
      <c r="S2252" s="390"/>
      <c r="T2252" s="390"/>
    </row>
    <row r="2253" spans="1:20" ht="15.75" customHeight="1" x14ac:dyDescent="0.25">
      <c r="A2253" s="390"/>
      <c r="B2253" s="390"/>
      <c r="C2253" s="390"/>
      <c r="D2253" s="391"/>
      <c r="E2253" s="390"/>
      <c r="F2253" s="390"/>
      <c r="G2253" s="390"/>
      <c r="H2253" s="394"/>
      <c r="I2253" s="390"/>
      <c r="J2253" s="390"/>
      <c r="K2253" s="390"/>
      <c r="L2253" s="390"/>
      <c r="M2253" s="390"/>
      <c r="N2253" s="390"/>
      <c r="O2253" s="390"/>
      <c r="P2253" s="390"/>
      <c r="Q2253" s="390"/>
      <c r="R2253" s="390"/>
      <c r="S2253" s="390"/>
      <c r="T2253" s="390"/>
    </row>
    <row r="2254" spans="1:20" ht="15.75" customHeight="1" x14ac:dyDescent="0.25">
      <c r="A2254" s="390"/>
      <c r="B2254" s="390"/>
      <c r="C2254" s="390"/>
      <c r="D2254" s="391"/>
      <c r="E2254" s="390"/>
      <c r="F2254" s="390"/>
      <c r="G2254" s="390"/>
      <c r="H2254" s="394"/>
      <c r="I2254" s="390"/>
      <c r="J2254" s="390"/>
      <c r="K2254" s="390"/>
      <c r="L2254" s="390"/>
      <c r="M2254" s="390"/>
      <c r="N2254" s="390"/>
      <c r="O2254" s="390"/>
      <c r="P2254" s="390"/>
      <c r="Q2254" s="390"/>
      <c r="R2254" s="390"/>
      <c r="S2254" s="390"/>
      <c r="T2254" s="390"/>
    </row>
    <row r="2255" spans="1:20" ht="15.75" customHeight="1" x14ac:dyDescent="0.25">
      <c r="A2255" s="445"/>
      <c r="B2255" s="445"/>
      <c r="C2255" s="445"/>
      <c r="D2255" s="446"/>
      <c r="E2255" s="445" t="s">
        <v>99</v>
      </c>
      <c r="F2255" s="445"/>
      <c r="G2255" s="390"/>
      <c r="H2255" s="394"/>
    </row>
    <row r="2256" spans="1:20" ht="15.75" customHeight="1" x14ac:dyDescent="0.25">
      <c r="D2256" s="4"/>
      <c r="H2256" s="4"/>
    </row>
    <row r="2257" spans="4:8" ht="15.75" customHeight="1" x14ac:dyDescent="0.25">
      <c r="D2257" s="4"/>
      <c r="H2257" s="4"/>
    </row>
    <row r="2258" spans="4:8" ht="15.75" customHeight="1" x14ac:dyDescent="0.25">
      <c r="D2258" s="4"/>
      <c r="H2258" s="4"/>
    </row>
    <row r="2259" spans="4:8" ht="15.75" customHeight="1" x14ac:dyDescent="0.25">
      <c r="D2259" s="4"/>
      <c r="H2259" s="4"/>
    </row>
    <row r="2260" spans="4:8" ht="15.75" customHeight="1" x14ac:dyDescent="0.25">
      <c r="D2260" s="4"/>
      <c r="H2260" s="4"/>
    </row>
    <row r="2261" spans="4:8" ht="15.75" customHeight="1" x14ac:dyDescent="0.25">
      <c r="D2261" s="4"/>
      <c r="H2261" s="4"/>
    </row>
    <row r="2262" spans="4:8" ht="15.75" customHeight="1" x14ac:dyDescent="0.25">
      <c r="D2262" s="4"/>
      <c r="H2262" s="4"/>
    </row>
    <row r="2263" spans="4:8" ht="15.75" customHeight="1" x14ac:dyDescent="0.25">
      <c r="D2263" s="4"/>
      <c r="H2263" s="4"/>
    </row>
    <row r="2264" spans="4:8" ht="15.75" customHeight="1" x14ac:dyDescent="0.25">
      <c r="D2264" s="4"/>
      <c r="H2264" s="4"/>
    </row>
    <row r="2265" spans="4:8" ht="15.75" customHeight="1" x14ac:dyDescent="0.25">
      <c r="D2265" s="4"/>
      <c r="H2265" s="4"/>
    </row>
    <row r="2266" spans="4:8" ht="15.75" customHeight="1" x14ac:dyDescent="0.25">
      <c r="D2266" s="4"/>
      <c r="H2266" s="4"/>
    </row>
    <row r="2267" spans="4:8" ht="15.75" customHeight="1" x14ac:dyDescent="0.25">
      <c r="D2267" s="4"/>
      <c r="H2267" s="4"/>
    </row>
    <row r="2268" spans="4:8" ht="15.75" customHeight="1" x14ac:dyDescent="0.25">
      <c r="D2268" s="4"/>
      <c r="H2268" s="4"/>
    </row>
    <row r="2269" spans="4:8" ht="15.75" customHeight="1" x14ac:dyDescent="0.25">
      <c r="D2269" s="4"/>
      <c r="H2269" s="4"/>
    </row>
    <row r="2270" spans="4:8" ht="15.75" customHeight="1" x14ac:dyDescent="0.25">
      <c r="D2270" s="4"/>
      <c r="H2270" s="4"/>
    </row>
    <row r="2271" spans="4:8" ht="15.75" customHeight="1" x14ac:dyDescent="0.25">
      <c r="D2271" s="4"/>
      <c r="H2271" s="4"/>
    </row>
    <row r="2272" spans="4:8" ht="15.75" customHeight="1" x14ac:dyDescent="0.25">
      <c r="D2272" s="4"/>
      <c r="H2272" s="4"/>
    </row>
    <row r="2273" spans="1:8" ht="15.75" customHeight="1" x14ac:dyDescent="0.25">
      <c r="D2273" s="4"/>
      <c r="H2273" s="4"/>
    </row>
    <row r="2274" spans="1:8" ht="15.75" customHeight="1" x14ac:dyDescent="0.25">
      <c r="D2274" s="4"/>
      <c r="H2274" s="4"/>
    </row>
    <row r="2275" spans="1:8" ht="15.75" customHeight="1" x14ac:dyDescent="0.25">
      <c r="A2275" s="8" t="s">
        <v>14</v>
      </c>
      <c r="B2275" s="8"/>
      <c r="C2275" s="8"/>
      <c r="D2275" s="8"/>
      <c r="E2275" s="8"/>
      <c r="F2275" s="8"/>
      <c r="G2275" s="8"/>
      <c r="H2275" s="8"/>
    </row>
    <row r="2276" spans="1:8" ht="15.75" customHeight="1" x14ac:dyDescent="0.25">
      <c r="A2276" s="388"/>
      <c r="B2276" s="388"/>
      <c r="C2276" s="388"/>
      <c r="D2276" s="389"/>
      <c r="E2276" s="388"/>
      <c r="F2276" s="388"/>
      <c r="G2276" s="388"/>
      <c r="H2276" s="8"/>
    </row>
    <row r="2277" spans="1:8" ht="15.75" customHeight="1" x14ac:dyDescent="0.25">
      <c r="A2277" s="390"/>
      <c r="B2277" s="390"/>
      <c r="C2277" s="391"/>
      <c r="D2277" s="392"/>
      <c r="E2277" s="393"/>
      <c r="F2277" s="393"/>
      <c r="G2277" s="393"/>
      <c r="H2277" s="394"/>
    </row>
    <row r="2278" spans="1:8" ht="15.75" customHeight="1" x14ac:dyDescent="0.25">
      <c r="A2278" s="390"/>
      <c r="B2278" s="390"/>
      <c r="C2278" s="390"/>
      <c r="D2278" s="391"/>
      <c r="E2278" s="390"/>
      <c r="F2278" s="395" t="s">
        <v>18</v>
      </c>
      <c r="G2278" s="396" t="s">
        <v>613</v>
      </c>
      <c r="H2278" s="397"/>
    </row>
    <row r="2279" spans="1:8" ht="15.75" customHeight="1" x14ac:dyDescent="0.25">
      <c r="A2279" s="390" t="s">
        <v>20</v>
      </c>
      <c r="B2279" s="390"/>
      <c r="C2279" s="390"/>
      <c r="D2279" s="391"/>
      <c r="E2279" s="390"/>
      <c r="F2279" s="395" t="s">
        <v>21</v>
      </c>
      <c r="G2279" s="390" t="s">
        <v>1166</v>
      </c>
      <c r="H2279" s="391"/>
    </row>
    <row r="2280" spans="1:8" ht="15.75" customHeight="1" x14ac:dyDescent="0.25">
      <c r="A2280" s="390" t="inlineStr">
        <is>
          <t>Dealer-004</t>
        </is>
      </c>
      <c r="B2280" s="390"/>
      <c r="C2280" s="390"/>
      <c r="D2280" s="398"/>
      <c r="E2280" s="390"/>
      <c r="F2280" s="391"/>
      <c r="G2280" s="390"/>
      <c r="H2280" s="394"/>
    </row>
    <row r="2281" spans="1:8" ht="15.75" customHeight="1" x14ac:dyDescent="0.25">
      <c r="A2281" s="390" t="inlineStr">
        <is>
          <t>Address line (redacted)</t>
        </is>
      </c>
      <c r="B2281" s="390"/>
      <c r="C2281" s="390"/>
      <c r="D2281" s="398"/>
      <c r="E2281" s="390"/>
      <c r="F2281" s="391"/>
      <c r="G2281" s="390"/>
      <c r="H2281" s="394"/>
    </row>
    <row r="2282" spans="1:8" ht="15.75" customHeight="1" x14ac:dyDescent="0.25">
      <c r="A2282" s="390" t="inlineStr">
        <is>
          <t>Address line (redacted)</t>
        </is>
      </c>
      <c r="B2282" s="390"/>
      <c r="C2282" s="390"/>
      <c r="D2282" s="391"/>
      <c r="E2282" s="390"/>
      <c r="F2282" s="391"/>
      <c r="G2282" s="390"/>
      <c r="H2282" s="394"/>
    </row>
    <row r="2283" spans="1:8" ht="15.75" customHeight="1" x14ac:dyDescent="0.25">
      <c r="A2283" s="390"/>
      <c r="B2283" s="390"/>
      <c r="C2283" s="390"/>
      <c r="D2283" s="391"/>
      <c r="E2283" s="390"/>
      <c r="F2283" s="391"/>
      <c r="G2283" s="390"/>
      <c r="H2283" s="394"/>
    </row>
    <row r="2284" spans="1:8" ht="15.75" customHeight="1" x14ac:dyDescent="0.25">
      <c r="A2284" s="390" t="s">
        <v>30</v>
      </c>
      <c r="B2284" s="390"/>
      <c r="C2284" s="390"/>
      <c r="D2284" s="391"/>
      <c r="E2284" s="390"/>
      <c r="F2284" s="391"/>
      <c r="G2284" s="390"/>
      <c r="H2284" s="394"/>
    </row>
    <row r="2285" spans="1:8" ht="15.75" customHeight="1" x14ac:dyDescent="0.25">
      <c r="A2285" s="390"/>
      <c r="B2285" s="390"/>
      <c r="C2285" s="390"/>
      <c r="D2285" s="391"/>
      <c r="E2285" s="390"/>
      <c r="F2285" s="391"/>
      <c r="G2285" s="390"/>
      <c r="H2285" s="394"/>
    </row>
    <row r="2286" spans="1:8" ht="15.75" customHeight="1" x14ac:dyDescent="0.25">
      <c r="A2286" s="390" t="s">
        <v>716</v>
      </c>
      <c r="B2286" s="390"/>
      <c r="C2286" s="390"/>
      <c r="D2286" s="391"/>
      <c r="E2286" s="390"/>
      <c r="F2286" s="391"/>
      <c r="G2286" s="390"/>
      <c r="H2286" s="394"/>
    </row>
    <row r="2287" spans="1:8" ht="15.75" customHeight="1" x14ac:dyDescent="0.25">
      <c r="A2287" s="390" t="s">
        <v>717</v>
      </c>
      <c r="B2287" s="390"/>
      <c r="C2287" s="390"/>
      <c r="D2287" s="391"/>
      <c r="E2287" s="390"/>
      <c r="F2287" s="391"/>
      <c r="G2287" s="390"/>
      <c r="H2287" s="394"/>
    </row>
    <row r="2288" spans="1:8" ht="15.75" customHeight="1" x14ac:dyDescent="0.25">
      <c r="A2288" s="390"/>
      <c r="B2288" s="390"/>
      <c r="C2288" s="390"/>
      <c r="D2288" s="391"/>
      <c r="E2288" s="390"/>
      <c r="F2288" s="391"/>
      <c r="G2288" s="390"/>
      <c r="H2288" s="394"/>
    </row>
    <row r="2289" spans="1:8" ht="15.75" customHeight="1" x14ac:dyDescent="0.25">
      <c r="A2289" s="399" t="s">
        <v>33</v>
      </c>
      <c r="B2289" s="400" t="s">
        <v>6</v>
      </c>
      <c r="C2289" s="400"/>
      <c r="D2289" s="401" t="s">
        <v>37</v>
      </c>
      <c r="E2289" s="402" t="s">
        <v>38</v>
      </c>
      <c r="F2289" s="403" t="s">
        <v>7</v>
      </c>
      <c r="G2289" s="404" t="s">
        <v>43</v>
      </c>
      <c r="H2289" s="405" t="s">
        <v>44</v>
      </c>
    </row>
    <row r="2290" spans="1:8" ht="15.75" customHeight="1" x14ac:dyDescent="0.25">
      <c r="A2290" s="406"/>
      <c r="B2290" s="407"/>
      <c r="C2290" s="393"/>
      <c r="D2290" s="408"/>
      <c r="E2290" s="408"/>
      <c r="F2290" s="409"/>
      <c r="G2290" s="410"/>
      <c r="H2290" s="411"/>
    </row>
    <row r="2291" spans="1:8" ht="15.75" customHeight="1" x14ac:dyDescent="0.25">
      <c r="A2291" s="425"/>
      <c r="B2291" s="504"/>
      <c r="C2291" s="505"/>
      <c r="D2291" s="427"/>
      <c r="E2291" s="427"/>
      <c r="F2291" s="428"/>
      <c r="G2291" s="427"/>
      <c r="H2291" s="429"/>
    </row>
    <row r="2292" spans="1:8" ht="15.75" customHeight="1" x14ac:dyDescent="0.25">
      <c r="A2292" s="502" t="s">
        <v>55</v>
      </c>
      <c r="B2292" s="503" t="s">
        <v>1168</v>
      </c>
      <c r="C2292" s="390" t="s">
        <v>36</v>
      </c>
      <c r="D2292" s="427">
        <v>3</v>
      </c>
      <c r="E2292" s="427">
        <v>5</v>
      </c>
      <c r="F2292" s="428">
        <f>+E2292*D2292</f>
      </c>
      <c r="G2292" s="427">
        <v>1</v>
      </c>
      <c r="H2292" s="429">
        <f>+G2292*F2292</f>
      </c>
    </row>
    <row r="2293" spans="1:8" ht="15.75" customHeight="1" x14ac:dyDescent="0.25">
      <c r="A2293" s="425"/>
      <c r="B2293" s="426"/>
      <c r="C2293" s="390"/>
      <c r="D2293" s="427"/>
      <c r="E2293" s="427"/>
      <c r="F2293" s="428"/>
      <c r="G2293" s="427"/>
      <c r="H2293" s="429"/>
    </row>
    <row r="2294" spans="1:8" ht="15.75" customHeight="1" x14ac:dyDescent="0.25">
      <c r="A2294" s="425" t="s">
        <v>59</v>
      </c>
      <c r="B2294" s="503" t="s">
        <v>1169</v>
      </c>
      <c r="C2294" s="390" t="s">
        <v>25</v>
      </c>
      <c r="D2294" s="427">
        <v>2</v>
      </c>
      <c r="E2294" s="427">
        <v>5</v>
      </c>
      <c r="F2294" s="428">
        <f>+E2294*D2294</f>
      </c>
      <c r="G2294" s="427">
        <v>1</v>
      </c>
      <c r="H2294" s="429">
        <f>+G2294*F2294</f>
      </c>
    </row>
    <row r="2295" spans="1:8" ht="15.75" customHeight="1" x14ac:dyDescent="0.25">
      <c r="A2295" s="425"/>
      <c r="B2295" s="426"/>
      <c r="C2295" s="390"/>
      <c r="D2295" s="427"/>
      <c r="E2295" s="427"/>
      <c r="F2295" s="428"/>
      <c r="G2295" s="427"/>
      <c r="H2295" s="429"/>
    </row>
    <row r="2296" spans="1:8" ht="15.75" customHeight="1" x14ac:dyDescent="0.25">
      <c r="A2296" s="502"/>
      <c r="B2296" s="503"/>
      <c r="C2296" s="390"/>
      <c r="D2296" s="427"/>
      <c r="E2296" s="427"/>
      <c r="F2296" s="428"/>
      <c r="G2296" s="427"/>
      <c r="H2296" s="429"/>
    </row>
    <row r="2297" spans="1:8" ht="15.75" customHeight="1" x14ac:dyDescent="0.25">
      <c r="A2297" s="425"/>
      <c r="B2297" s="426"/>
      <c r="C2297" s="390"/>
      <c r="D2297" s="427"/>
      <c r="E2297" s="427"/>
      <c r="F2297" s="428"/>
      <c r="G2297" s="427"/>
      <c r="H2297" s="429"/>
    </row>
    <row r="2298" spans="1:8" ht="15.75" customHeight="1" x14ac:dyDescent="0.25">
      <c r="A2298" s="425"/>
      <c r="B2298" s="426"/>
      <c r="C2298" s="390"/>
      <c r="D2298" s="427"/>
      <c r="E2298" s="427"/>
      <c r="F2298" s="428"/>
      <c r="G2298" s="427"/>
      <c r="H2298" s="429"/>
    </row>
    <row r="2299" spans="1:8" ht="15.75" customHeight="1" x14ac:dyDescent="0.25">
      <c r="A2299" s="425"/>
      <c r="B2299" s="426"/>
      <c r="C2299" s="390"/>
      <c r="D2299" s="427"/>
      <c r="E2299" s="427"/>
      <c r="F2299" s="428"/>
      <c r="G2299" s="427"/>
      <c r="H2299" s="429"/>
    </row>
    <row r="2300" spans="1:8" ht="15.75" customHeight="1" x14ac:dyDescent="0.25">
      <c r="A2300" s="425"/>
      <c r="B2300" s="426"/>
      <c r="C2300" s="390"/>
      <c r="D2300" s="427"/>
      <c r="E2300" s="427"/>
      <c r="F2300" s="428"/>
      <c r="G2300" s="427"/>
      <c r="H2300" s="429"/>
    </row>
    <row r="2301" spans="1:8" ht="15.75" customHeight="1" x14ac:dyDescent="0.25">
      <c r="A2301" s="425"/>
      <c r="B2301" s="426"/>
      <c r="C2301" s="390"/>
      <c r="D2301" s="427"/>
      <c r="E2301" s="427"/>
      <c r="F2301" s="428"/>
      <c r="G2301" s="427"/>
      <c r="H2301" s="429"/>
    </row>
    <row r="2302" spans="1:8" ht="15.75" customHeight="1" x14ac:dyDescent="0.25">
      <c r="A2302" s="430"/>
      <c r="B2302" s="409"/>
      <c r="C2302" s="393"/>
      <c r="D2302" s="427"/>
      <c r="E2302" s="427"/>
      <c r="F2302" s="428"/>
      <c r="G2302" s="431"/>
      <c r="H2302" s="429"/>
    </row>
    <row r="2303" spans="1:8" ht="15.75" customHeight="1" x14ac:dyDescent="0.25">
      <c r="A2303" s="432"/>
      <c r="B2303" s="433"/>
      <c r="C2303" s="434" t="s">
        <v>85</v>
      </c>
      <c r="D2303" s="435">
        <f>SUM(D2291:D2302)</f>
      </c>
      <c r="E2303" s="435"/>
      <c r="F2303" s="436"/>
      <c r="G2303" s="437"/>
      <c r="H2303" s="438">
        <f>SUM(H2291:H2302)</f>
      </c>
    </row>
    <row r="2304" spans="1:8" ht="15.75" customHeight="1" x14ac:dyDescent="0.25">
      <c r="A2304" s="439"/>
      <c r="B2304" s="440"/>
      <c r="C2304" s="440"/>
      <c r="D2304" s="441"/>
      <c r="E2304" s="440"/>
      <c r="F2304" s="442"/>
      <c r="G2304" s="443"/>
      <c r="H2304" s="444"/>
    </row>
    <row r="2305" spans="1:20" ht="15.75" customHeight="1" x14ac:dyDescent="0.25">
      <c r="A2305" s="392" t="s">
        <v>913</v>
      </c>
      <c r="B2305" s="391"/>
      <c r="C2305" s="391"/>
      <c r="D2305" s="391"/>
      <c r="E2305" s="390"/>
      <c r="F2305" s="392"/>
      <c r="G2305" s="390"/>
      <c r="H2305" s="394"/>
    </row>
    <row r="2306" spans="1:20" ht="15.75" customHeight="1" x14ac:dyDescent="0.25">
      <c r="A2306" s="445"/>
      <c r="B2306" s="445"/>
      <c r="C2306" s="445"/>
      <c r="D2306" s="446" t="s">
        <v>97</v>
      </c>
      <c r="E2306" s="445" t="s">
        <v>98</v>
      </c>
      <c r="F2306" s="445"/>
      <c r="G2306" s="390"/>
      <c r="H2306" s="394"/>
    </row>
    <row r="2307" spans="1:20" ht="15.75" customHeight="1" x14ac:dyDescent="0.25">
      <c r="A2307" s="390"/>
      <c r="B2307" s="390"/>
      <c r="C2307" s="390"/>
      <c r="D2307" s="391"/>
      <c r="E2307" s="390"/>
      <c r="F2307" s="390"/>
      <c r="G2307" s="390"/>
      <c r="H2307" s="394"/>
    </row>
    <row r="2308" spans="1:20" ht="15.75" customHeight="1" x14ac:dyDescent="0.25">
      <c r="A2308" s="390"/>
      <c r="B2308" s="390"/>
      <c r="C2308" s="390"/>
      <c r="D2308" s="391"/>
      <c r="E2308" s="390"/>
      <c r="F2308" s="390"/>
      <c r="G2308" s="390"/>
      <c r="H2308" s="394"/>
    </row>
    <row r="2309" spans="1:20" ht="15.75" customHeight="1" x14ac:dyDescent="0.25">
      <c r="A2309" s="445"/>
      <c r="B2309" s="445"/>
      <c r="C2309" s="445"/>
      <c r="D2309" s="446"/>
      <c r="E2309" s="445" t="s">
        <v>99</v>
      </c>
      <c r="F2309" s="445"/>
      <c r="G2309" s="390"/>
      <c r="H2309" s="394"/>
    </row>
    <row r="2310" spans="1:20" ht="15.75" customHeight="1" x14ac:dyDescent="0.25">
      <c r="D2310" s="4"/>
      <c r="H2310" s="4"/>
    </row>
    <row r="2311" spans="1:20" ht="15.75" customHeight="1" x14ac:dyDescent="0.25">
      <c r="D2311" s="4"/>
      <c r="H2311" s="4"/>
    </row>
    <row r="2312" spans="1:20" ht="15.75" customHeight="1" x14ac:dyDescent="0.25">
      <c r="D2312" s="4"/>
      <c r="H2312" s="4"/>
    </row>
    <row r="2313" spans="1:20" ht="15.75" customHeight="1" x14ac:dyDescent="0.25">
      <c r="D2313" s="4"/>
      <c r="H2313" s="4"/>
    </row>
    <row r="2314" spans="1:20" ht="15.75" customHeight="1" x14ac:dyDescent="0.25">
      <c r="D2314" s="4"/>
      <c r="H2314" s="4"/>
    </row>
    <row r="2315" spans="1:20" ht="15.75" customHeight="1" x14ac:dyDescent="0.25">
      <c r="D2315" s="4"/>
      <c r="H2315" s="4"/>
    </row>
    <row r="2316" spans="1:20" ht="15.75" customHeight="1" x14ac:dyDescent="0.25">
      <c r="D2316" s="4"/>
      <c r="H2316" s="4"/>
    </row>
    <row r="2317" spans="1:20" ht="15.75" customHeight="1" x14ac:dyDescent="0.25">
      <c r="D2317" s="4"/>
      <c r="H2317" s="4"/>
    </row>
    <row r="2318" spans="1:20" ht="15.75" customHeight="1" x14ac:dyDescent="0.25">
      <c r="D2318" s="4"/>
      <c r="H2318" s="4"/>
    </row>
    <row r="2319" spans="1:20" ht="15.75" customHeight="1" x14ac:dyDescent="0.25">
      <c r="D2319" s="4"/>
      <c r="H2319" s="4"/>
    </row>
    <row r="2320" spans="1:20" ht="15.75" customHeight="1" x14ac:dyDescent="0.25">
      <c r="D2320" s="4"/>
      <c r="H2320" s="4"/>
      <c r="I2320" s="388"/>
      <c r="J2320" s="388"/>
      <c r="K2320" s="388"/>
      <c r="L2320" s="388"/>
      <c r="M2320" s="388"/>
      <c r="N2320" s="388"/>
      <c r="O2320" s="388"/>
      <c r="P2320" s="388"/>
      <c r="Q2320" s="388"/>
      <c r="R2320" s="388"/>
      <c r="S2320" s="388"/>
      <c r="T2320" s="388"/>
    </row>
    <row r="2321" spans="1:20" ht="15.75" customHeight="1" x14ac:dyDescent="0.25">
      <c r="A2321" s="8" t="s">
        <v>14</v>
      </c>
      <c r="B2321" s="8"/>
      <c r="C2321" s="8"/>
      <c r="D2321" s="8"/>
      <c r="E2321" s="8"/>
      <c r="F2321" s="8"/>
      <c r="G2321" s="8"/>
      <c r="H2321" s="8"/>
      <c r="I2321" s="388"/>
      <c r="J2321" s="388"/>
      <c r="K2321" s="388"/>
      <c r="L2321" s="388"/>
      <c r="M2321" s="388"/>
      <c r="N2321" s="388"/>
      <c r="O2321" s="388"/>
      <c r="P2321" s="388"/>
      <c r="Q2321" s="388"/>
      <c r="R2321" s="388"/>
      <c r="S2321" s="388"/>
      <c r="T2321" s="388"/>
    </row>
    <row r="2322" spans="1:20" ht="15.75" customHeight="1" x14ac:dyDescent="0.25">
      <c r="A2322" s="388"/>
      <c r="B2322" s="388"/>
      <c r="C2322" s="388"/>
      <c r="D2322" s="389"/>
      <c r="E2322" s="388"/>
      <c r="F2322" s="388"/>
      <c r="G2322" s="388"/>
      <c r="H2322" s="8"/>
      <c r="I2322" s="388"/>
      <c r="J2322" s="388"/>
      <c r="K2322" s="388"/>
      <c r="L2322" s="388"/>
      <c r="M2322" s="388"/>
      <c r="N2322" s="388"/>
      <c r="O2322" s="388"/>
      <c r="P2322" s="388"/>
      <c r="Q2322" s="388"/>
      <c r="R2322" s="388"/>
      <c r="S2322" s="388"/>
      <c r="T2322" s="388"/>
    </row>
    <row r="2323" spans="1:20" ht="15.75" customHeight="1" x14ac:dyDescent="0.25">
      <c r="A2323" s="388"/>
      <c r="B2323" s="388"/>
      <c r="C2323" s="389"/>
      <c r="D2323" s="510"/>
      <c r="E2323" s="7"/>
      <c r="F2323" s="7"/>
      <c r="G2323" s="7"/>
      <c r="H2323" s="511"/>
      <c r="I2323" s="388"/>
      <c r="J2323" s="388"/>
      <c r="K2323" s="388"/>
      <c r="L2323" s="388"/>
      <c r="M2323" s="388"/>
      <c r="N2323" s="388"/>
      <c r="O2323" s="388"/>
      <c r="P2323" s="388"/>
      <c r="Q2323" s="388"/>
      <c r="R2323" s="388"/>
      <c r="S2323" s="388"/>
      <c r="T2323" s="388"/>
    </row>
    <row r="2324" spans="1:20" ht="15.75" customHeight="1" x14ac:dyDescent="0.25">
      <c r="A2324" s="388"/>
      <c r="B2324" s="388"/>
      <c r="C2324" s="388"/>
      <c r="D2324" s="389"/>
      <c r="E2324" s="388"/>
      <c r="F2324" s="512" t="s">
        <v>18</v>
      </c>
      <c r="G2324" s="513" t="s">
        <v>613</v>
      </c>
      <c r="H2324" s="514"/>
      <c r="I2324" s="388"/>
      <c r="J2324" s="388"/>
      <c r="K2324" s="388"/>
      <c r="L2324" s="388"/>
      <c r="M2324" s="388"/>
      <c r="N2324" s="388"/>
      <c r="O2324" s="388"/>
      <c r="P2324" s="388"/>
      <c r="Q2324" s="388"/>
      <c r="R2324" s="388"/>
      <c r="S2324" s="388"/>
      <c r="T2324" s="388"/>
    </row>
    <row r="2325" spans="1:20" ht="15.75" customHeight="1" x14ac:dyDescent="0.25">
      <c r="A2325" s="388" t="s">
        <v>20</v>
      </c>
      <c r="B2325" s="388"/>
      <c r="C2325" s="388"/>
      <c r="D2325" s="389"/>
      <c r="E2325" s="388"/>
      <c r="F2325" s="512" t="s">
        <v>21</v>
      </c>
      <c r="G2325" s="388" t="s">
        <v>1171</v>
      </c>
      <c r="H2325" s="389"/>
      <c r="I2325" s="388"/>
      <c r="J2325" s="388"/>
      <c r="K2325" s="388"/>
      <c r="L2325" s="388"/>
      <c r="M2325" s="388"/>
      <c r="N2325" s="388"/>
      <c r="O2325" s="388"/>
      <c r="P2325" s="388"/>
      <c r="Q2325" s="388"/>
      <c r="R2325" s="388"/>
      <c r="S2325" s="388"/>
      <c r="T2325" s="388"/>
    </row>
    <row r="2326" spans="1:20" ht="15.75" customHeight="1" x14ac:dyDescent="0.25">
      <c r="A2326" s="388" t="inlineStr">
        <is>
          <t>Dealer-001</t>
        </is>
      </c>
      <c r="B2326" s="388"/>
      <c r="C2326" s="388"/>
      <c r="D2326" s="389"/>
      <c r="E2326" s="512"/>
      <c r="F2326" s="388"/>
      <c r="G2326" s="388"/>
      <c r="H2326" s="511"/>
      <c r="I2326" s="388"/>
      <c r="J2326" s="388"/>
      <c r="K2326" s="388"/>
      <c r="L2326" s="388"/>
      <c r="M2326" s="388"/>
      <c r="N2326" s="388"/>
      <c r="O2326" s="388"/>
      <c r="P2326" s="388"/>
      <c r="Q2326" s="388"/>
      <c r="R2326" s="388"/>
      <c r="S2326" s="388"/>
      <c r="T2326" s="388"/>
    </row>
    <row r="2327" spans="1:20" ht="15.75" customHeight="1" x14ac:dyDescent="0.25">
      <c r="A2327" s="388" t="inlineStr">
        <is>
          <t>Address line (redacted)</t>
        </is>
      </c>
      <c r="B2327" s="388"/>
      <c r="C2327" s="388"/>
      <c r="D2327" s="8"/>
      <c r="E2327" s="388"/>
      <c r="F2327" s="389"/>
      <c r="G2327" s="388"/>
      <c r="H2327" s="511"/>
      <c r="I2327" s="388"/>
      <c r="J2327" s="388"/>
      <c r="K2327" s="388"/>
      <c r="L2327" s="388"/>
      <c r="M2327" s="388"/>
      <c r="N2327" s="388"/>
      <c r="O2327" s="388"/>
      <c r="P2327" s="388"/>
      <c r="Q2327" s="388"/>
      <c r="R2327" s="388"/>
      <c r="S2327" s="388"/>
      <c r="T2327" s="388"/>
    </row>
    <row r="2328" spans="1:20" ht="15.75" customHeight="1" x14ac:dyDescent="0.25">
      <c r="A2328" s="388"/>
      <c r="B2328" s="388"/>
      <c r="C2328" s="388"/>
      <c r="D2328" s="8"/>
      <c r="E2328" s="388"/>
      <c r="F2328" s="389"/>
      <c r="G2328" s="388"/>
      <c r="H2328" s="511"/>
      <c r="I2328" s="388"/>
      <c r="J2328" s="388"/>
      <c r="K2328" s="388"/>
      <c r="L2328" s="388"/>
      <c r="M2328" s="388"/>
      <c r="N2328" s="388"/>
      <c r="O2328" s="388"/>
      <c r="P2328" s="388"/>
      <c r="Q2328" s="388"/>
      <c r="R2328" s="388"/>
      <c r="S2328" s="388"/>
      <c r="T2328" s="388"/>
    </row>
    <row r="2329" spans="1:20" ht="15.75" customHeight="1" x14ac:dyDescent="0.25">
      <c r="A2329" s="388" t="inlineStr">
        <is>
          <t>Through: Transporter-001</t>
        </is>
      </c>
      <c r="B2329" s="388"/>
      <c r="C2329" s="388"/>
      <c r="D2329" s="8"/>
      <c r="E2329" s="388"/>
      <c r="F2329" s="389"/>
      <c r="G2329" s="388"/>
      <c r="H2329" s="511"/>
      <c r="I2329" s="388"/>
      <c r="J2329" s="388"/>
      <c r="K2329" s="388"/>
      <c r="L2329" s="388"/>
      <c r="M2329" s="388"/>
      <c r="N2329" s="388"/>
      <c r="O2329" s="388"/>
      <c r="P2329" s="388"/>
      <c r="Q2329" s="388"/>
      <c r="R2329" s="388"/>
      <c r="S2329" s="388"/>
      <c r="T2329" s="388"/>
    </row>
    <row r="2330" spans="1:20" ht="15.75" customHeight="1" x14ac:dyDescent="0.25">
      <c r="A2330" s="388"/>
      <c r="B2330" s="388" t="inlineStr">
        <is>
          <t>Address line (redacted)</t>
        </is>
      </c>
      <c r="C2330" s="388"/>
      <c r="D2330" s="8"/>
      <c r="E2330" s="388"/>
      <c r="F2330" s="389"/>
      <c r="G2330" s="388"/>
      <c r="H2330" s="511"/>
      <c r="I2330" s="388"/>
      <c r="J2330" s="388"/>
      <c r="K2330" s="388"/>
      <c r="L2330" s="388"/>
      <c r="M2330" s="388"/>
      <c r="N2330" s="388"/>
      <c r="O2330" s="388"/>
      <c r="P2330" s="388"/>
      <c r="Q2330" s="388"/>
      <c r="R2330" s="388"/>
      <c r="S2330" s="388"/>
      <c r="T2330" s="388"/>
    </row>
    <row r="2331" spans="1:20" ht="15.75" customHeight="1" x14ac:dyDescent="0.25">
      <c r="A2331" s="388"/>
      <c r="B2331" s="388" t="inlineStr">
        <is>
          <t>Address line (redacted)</t>
        </is>
      </c>
      <c r="C2331" s="388"/>
      <c r="D2331" s="8"/>
      <c r="E2331" s="388"/>
      <c r="F2331" s="389"/>
      <c r="G2331" s="388"/>
      <c r="H2331" s="511"/>
      <c r="I2331" s="388"/>
      <c r="J2331" s="388"/>
      <c r="K2331" s="388"/>
      <c r="L2331" s="388"/>
      <c r="M2331" s="388"/>
      <c r="N2331" s="388"/>
      <c r="O2331" s="388"/>
      <c r="P2331" s="388"/>
      <c r="Q2331" s="388"/>
      <c r="R2331" s="388"/>
      <c r="S2331" s="388"/>
      <c r="T2331" s="388"/>
    </row>
    <row r="2332" spans="1:20" ht="15.75" customHeight="1" x14ac:dyDescent="0.25">
      <c r="A2332" s="388"/>
      <c r="B2332" s="388"/>
      <c r="C2332" s="388"/>
      <c r="D2332" s="8"/>
      <c r="E2332" s="388"/>
      <c r="F2332" s="389"/>
      <c r="G2332" s="388"/>
      <c r="H2332" s="511"/>
      <c r="I2332" s="388"/>
      <c r="J2332" s="388"/>
      <c r="K2332" s="388"/>
      <c r="L2332" s="388"/>
      <c r="M2332" s="388"/>
      <c r="N2332" s="388"/>
      <c r="O2332" s="388"/>
      <c r="P2332" s="388"/>
      <c r="Q2332" s="388"/>
      <c r="R2332" s="388"/>
      <c r="S2332" s="388"/>
      <c r="T2332" s="388"/>
    </row>
    <row r="2333" spans="1:20" ht="15.75" customHeight="1" x14ac:dyDescent="0.25">
      <c r="A2333" s="388" t="s">
        <v>30</v>
      </c>
      <c r="B2333" s="388"/>
      <c r="C2333" s="388"/>
      <c r="D2333" s="389"/>
      <c r="E2333" s="388"/>
      <c r="F2333" s="389"/>
      <c r="G2333" s="388"/>
      <c r="H2333" s="511"/>
      <c r="I2333" s="388"/>
      <c r="J2333" s="388"/>
      <c r="K2333" s="388"/>
      <c r="L2333" s="388"/>
      <c r="M2333" s="388"/>
      <c r="N2333" s="388"/>
      <c r="O2333" s="388"/>
      <c r="P2333" s="388"/>
      <c r="Q2333" s="388"/>
      <c r="R2333" s="388"/>
      <c r="S2333" s="388"/>
      <c r="T2333" s="388"/>
    </row>
    <row r="2334" spans="1:20" ht="15.75" customHeight="1" x14ac:dyDescent="0.25">
      <c r="A2334" s="388"/>
      <c r="B2334" s="388"/>
      <c r="C2334" s="388"/>
      <c r="D2334" s="389"/>
      <c r="E2334" s="388"/>
      <c r="F2334" s="389"/>
      <c r="G2334" s="388"/>
      <c r="H2334" s="511"/>
      <c r="I2334" s="388"/>
      <c r="J2334" s="388"/>
      <c r="K2334" s="388"/>
      <c r="L2334" s="388"/>
      <c r="M2334" s="388"/>
      <c r="N2334" s="388"/>
      <c r="O2334" s="388"/>
      <c r="P2334" s="388"/>
      <c r="Q2334" s="388"/>
      <c r="R2334" s="388"/>
      <c r="S2334" s="388"/>
      <c r="T2334" s="388"/>
    </row>
    <row r="2335" spans="1:20" ht="15.75" customHeight="1" x14ac:dyDescent="0.25">
      <c r="A2335" s="388" t="s">
        <v>716</v>
      </c>
      <c r="B2335" s="388"/>
      <c r="C2335" s="388"/>
      <c r="D2335" s="389"/>
      <c r="E2335" s="388"/>
      <c r="F2335" s="389"/>
      <c r="G2335" s="388"/>
      <c r="H2335" s="511"/>
      <c r="I2335" s="388"/>
      <c r="J2335" s="388"/>
      <c r="K2335" s="388"/>
      <c r="L2335" s="388"/>
      <c r="M2335" s="388"/>
      <c r="N2335" s="388"/>
      <c r="O2335" s="388"/>
      <c r="P2335" s="388"/>
      <c r="Q2335" s="388"/>
      <c r="R2335" s="388"/>
      <c r="S2335" s="388"/>
      <c r="T2335" s="388"/>
    </row>
    <row r="2336" spans="1:20" ht="15.75" customHeight="1" x14ac:dyDescent="0.25">
      <c r="A2336" s="388" t="s">
        <v>717</v>
      </c>
      <c r="B2336" s="388"/>
      <c r="C2336" s="388"/>
      <c r="D2336" s="389"/>
      <c r="E2336" s="388"/>
      <c r="F2336" s="389"/>
      <c r="G2336" s="388"/>
      <c r="H2336" s="511"/>
      <c r="I2336" s="388"/>
      <c r="J2336" s="388"/>
      <c r="K2336" s="388"/>
      <c r="L2336" s="388"/>
      <c r="M2336" s="388"/>
      <c r="N2336" s="388"/>
      <c r="O2336" s="388"/>
      <c r="P2336" s="388"/>
      <c r="Q2336" s="388"/>
      <c r="R2336" s="388"/>
      <c r="S2336" s="388"/>
      <c r="T2336" s="388"/>
    </row>
    <row r="2337" spans="1:20" ht="15.75" customHeight="1" x14ac:dyDescent="0.25">
      <c r="A2337" s="388"/>
      <c r="B2337" s="388"/>
      <c r="C2337" s="388"/>
      <c r="D2337" s="389"/>
      <c r="E2337" s="388"/>
      <c r="F2337" s="389"/>
      <c r="G2337" s="388"/>
      <c r="H2337" s="511"/>
      <c r="I2337" s="388"/>
      <c r="J2337" s="388"/>
      <c r="K2337" s="388"/>
      <c r="L2337" s="388"/>
      <c r="M2337" s="388"/>
      <c r="N2337" s="388"/>
      <c r="O2337" s="388"/>
      <c r="P2337" s="388"/>
      <c r="Q2337" s="388"/>
      <c r="R2337" s="388"/>
      <c r="S2337" s="388"/>
      <c r="T2337" s="388"/>
    </row>
    <row r="2338" spans="1:20" ht="15.75" customHeight="1" x14ac:dyDescent="0.25">
      <c r="A2338" s="515" t="s">
        <v>33</v>
      </c>
      <c r="B2338" s="516" t="s">
        <v>6</v>
      </c>
      <c r="C2338" s="516"/>
      <c r="D2338" s="517" t="s">
        <v>37</v>
      </c>
      <c r="E2338" s="518" t="s">
        <v>38</v>
      </c>
      <c r="F2338" s="519" t="s">
        <v>7</v>
      </c>
      <c r="G2338" s="520" t="s">
        <v>43</v>
      </c>
      <c r="H2338" s="522" t="s">
        <v>44</v>
      </c>
      <c r="I2338" s="388"/>
      <c r="J2338" s="388"/>
      <c r="K2338" s="388"/>
      <c r="L2338" s="388"/>
      <c r="M2338" s="388"/>
      <c r="N2338" s="388"/>
      <c r="O2338" s="388"/>
      <c r="P2338" s="388"/>
      <c r="Q2338" s="388"/>
      <c r="R2338" s="388"/>
      <c r="S2338" s="388"/>
      <c r="T2338" s="388"/>
    </row>
    <row r="2339" spans="1:20" ht="15.75" customHeight="1" x14ac:dyDescent="0.25">
      <c r="A2339" s="523"/>
      <c r="B2339" s="524"/>
      <c r="C2339" s="7"/>
      <c r="D2339" s="525"/>
      <c r="E2339" s="525"/>
      <c r="F2339" s="526"/>
      <c r="G2339" s="527"/>
      <c r="H2339" s="528"/>
      <c r="I2339" s="388"/>
      <c r="J2339" s="388"/>
      <c r="K2339" s="388"/>
      <c r="L2339" s="388"/>
      <c r="M2339" s="388"/>
      <c r="N2339" s="388"/>
      <c r="O2339" s="388"/>
      <c r="P2339" s="388"/>
      <c r="Q2339" s="388"/>
      <c r="R2339" s="388"/>
      <c r="S2339" s="388"/>
      <c r="T2339" s="388"/>
    </row>
    <row r="2340" spans="1:20" ht="15.75" customHeight="1" x14ac:dyDescent="0.25">
      <c r="A2340" s="529"/>
      <c r="B2340" s="530"/>
      <c r="C2340" s="531"/>
      <c r="D2340" s="532"/>
      <c r="E2340" s="532"/>
      <c r="F2340" s="389"/>
      <c r="G2340" s="532"/>
      <c r="H2340" s="533"/>
      <c r="I2340" s="388"/>
      <c r="J2340" s="388"/>
      <c r="K2340" s="388"/>
      <c r="L2340" s="388"/>
      <c r="M2340" s="388"/>
      <c r="N2340" s="388"/>
      <c r="O2340" s="388"/>
      <c r="P2340" s="388"/>
      <c r="Q2340" s="388"/>
      <c r="R2340" s="388"/>
      <c r="S2340" s="388"/>
      <c r="T2340" s="388"/>
    </row>
    <row r="2341" spans="1:20" ht="15.75" customHeight="1" x14ac:dyDescent="0.25">
      <c r="A2341" s="529" t="s">
        <v>55</v>
      </c>
      <c r="B2341" s="534" t="s">
        <v>1173</v>
      </c>
      <c r="C2341" s="388" t="s">
        <v>424</v>
      </c>
      <c r="D2341" s="532">
        <v>2</v>
      </c>
      <c r="E2341" s="532">
        <v>25</v>
      </c>
      <c r="F2341" s="389">
        <f>+E2341*D2341</f>
      </c>
      <c r="G2341" s="532">
        <v>1</v>
      </c>
      <c r="H2341" s="533">
        <f>+G2341*F2341</f>
      </c>
      <c r="I2341" s="388"/>
      <c r="J2341" s="388"/>
      <c r="K2341" s="388"/>
      <c r="L2341" s="388"/>
      <c r="M2341" s="388"/>
      <c r="N2341" s="388"/>
      <c r="O2341" s="388"/>
      <c r="P2341" s="388"/>
      <c r="Q2341" s="388"/>
      <c r="R2341" s="388"/>
      <c r="S2341" s="388"/>
      <c r="T2341" s="388"/>
    </row>
    <row r="2342" spans="1:20" ht="15.75" customHeight="1" x14ac:dyDescent="0.25">
      <c r="A2342" s="529"/>
      <c r="B2342" s="534"/>
      <c r="C2342" s="388"/>
      <c r="D2342" s="532"/>
      <c r="E2342" s="532"/>
      <c r="F2342" s="389"/>
      <c r="G2342" s="532"/>
      <c r="H2342" s="533"/>
      <c r="I2342" s="388"/>
      <c r="J2342" s="388"/>
      <c r="K2342" s="388"/>
      <c r="L2342" s="388"/>
      <c r="M2342" s="388"/>
      <c r="N2342" s="388"/>
      <c r="O2342" s="388"/>
      <c r="P2342" s="388"/>
      <c r="Q2342" s="388"/>
      <c r="R2342" s="388"/>
      <c r="S2342" s="388"/>
      <c r="T2342" s="388"/>
    </row>
    <row r="2343" spans="1:20" ht="15.75" customHeight="1" x14ac:dyDescent="0.25">
      <c r="A2343" s="529" t="s">
        <v>59</v>
      </c>
      <c r="B2343" s="534" t="s">
        <v>1174</v>
      </c>
      <c r="C2343" s="388"/>
      <c r="D2343" s="532">
        <v>1</v>
      </c>
      <c r="E2343" s="532">
        <v>1</v>
      </c>
      <c r="F2343" s="389">
        <v>1</v>
      </c>
      <c r="G2343" s="532">
        <v>1</v>
      </c>
      <c r="H2343" s="533">
        <f>+G2343*F2343</f>
      </c>
      <c r="I2343" s="388"/>
      <c r="J2343" s="388"/>
      <c r="K2343" s="388"/>
      <c r="L2343" s="388"/>
      <c r="M2343" s="388"/>
      <c r="N2343" s="388"/>
      <c r="O2343" s="388"/>
      <c r="P2343" s="388"/>
      <c r="Q2343" s="388"/>
      <c r="R2343" s="388"/>
      <c r="S2343" s="388"/>
      <c r="T2343" s="388"/>
    </row>
    <row r="2344" spans="1:20" ht="15.75" customHeight="1" x14ac:dyDescent="0.25">
      <c r="A2344" s="529"/>
      <c r="B2344" s="534"/>
      <c r="C2344" s="388"/>
      <c r="D2344" s="532"/>
      <c r="E2344" s="532"/>
      <c r="F2344" s="389"/>
      <c r="G2344" s="532"/>
      <c r="H2344" s="533"/>
      <c r="I2344" s="388"/>
      <c r="J2344" s="388"/>
      <c r="K2344" s="388"/>
      <c r="L2344" s="388"/>
      <c r="M2344" s="388"/>
      <c r="N2344" s="388"/>
      <c r="O2344" s="388"/>
      <c r="P2344" s="388"/>
      <c r="Q2344" s="388"/>
      <c r="R2344" s="388"/>
      <c r="S2344" s="388"/>
      <c r="T2344" s="388"/>
    </row>
    <row r="2345" spans="1:20" ht="15.75" customHeight="1" x14ac:dyDescent="0.25">
      <c r="A2345" s="529"/>
      <c r="B2345" s="534"/>
      <c r="C2345" s="388"/>
      <c r="D2345" s="532"/>
      <c r="E2345" s="532"/>
      <c r="F2345" s="389"/>
      <c r="G2345" s="532"/>
      <c r="H2345" s="533"/>
      <c r="I2345" s="388"/>
      <c r="J2345" s="388"/>
      <c r="K2345" s="388"/>
      <c r="L2345" s="388"/>
      <c r="M2345" s="388"/>
      <c r="N2345" s="388"/>
      <c r="O2345" s="388"/>
      <c r="P2345" s="388"/>
      <c r="Q2345" s="388"/>
      <c r="R2345" s="388"/>
      <c r="S2345" s="388"/>
      <c r="T2345" s="388"/>
    </row>
    <row r="2346" spans="1:20" ht="15.75" customHeight="1" x14ac:dyDescent="0.25">
      <c r="A2346" s="529"/>
      <c r="B2346" s="534"/>
      <c r="C2346" s="388"/>
      <c r="D2346" s="532"/>
      <c r="E2346" s="532"/>
      <c r="F2346" s="389"/>
      <c r="G2346" s="532"/>
      <c r="H2346" s="533"/>
      <c r="I2346" s="388"/>
      <c r="J2346" s="388"/>
      <c r="K2346" s="388"/>
      <c r="L2346" s="388"/>
      <c r="M2346" s="388"/>
      <c r="N2346" s="388"/>
      <c r="O2346" s="388"/>
      <c r="P2346" s="388"/>
      <c r="Q2346" s="388"/>
      <c r="R2346" s="388"/>
      <c r="S2346" s="388"/>
      <c r="T2346" s="388"/>
    </row>
    <row r="2347" spans="1:20" ht="15.75" customHeight="1" x14ac:dyDescent="0.25">
      <c r="A2347" s="529"/>
      <c r="B2347" s="534"/>
      <c r="C2347" s="388"/>
      <c r="D2347" s="532"/>
      <c r="E2347" s="532"/>
      <c r="F2347" s="389"/>
      <c r="G2347" s="532"/>
      <c r="H2347" s="533"/>
      <c r="I2347" s="388"/>
      <c r="J2347" s="388"/>
      <c r="K2347" s="388"/>
      <c r="L2347" s="388"/>
      <c r="M2347" s="388"/>
      <c r="N2347" s="388"/>
      <c r="O2347" s="388"/>
      <c r="P2347" s="388"/>
      <c r="Q2347" s="388"/>
      <c r="R2347" s="388"/>
      <c r="S2347" s="388"/>
      <c r="T2347" s="388"/>
    </row>
    <row r="2348" spans="1:20" ht="15.75" customHeight="1" x14ac:dyDescent="0.25">
      <c r="A2348" s="529"/>
      <c r="B2348" s="535"/>
      <c r="C2348" s="388"/>
      <c r="D2348" s="532"/>
      <c r="E2348" s="532"/>
      <c r="F2348" s="389"/>
      <c r="G2348" s="532"/>
      <c r="H2348" s="533"/>
      <c r="I2348" s="388"/>
      <c r="J2348" s="388"/>
      <c r="K2348" s="388"/>
      <c r="L2348" s="388"/>
      <c r="M2348" s="388"/>
      <c r="N2348" s="388"/>
      <c r="O2348" s="388"/>
      <c r="P2348" s="388"/>
      <c r="Q2348" s="388"/>
      <c r="R2348" s="388"/>
      <c r="S2348" s="388"/>
      <c r="T2348" s="388"/>
    </row>
    <row r="2349" spans="1:20" ht="15.75" customHeight="1" x14ac:dyDescent="0.25">
      <c r="A2349" s="536"/>
      <c r="B2349" s="526"/>
      <c r="C2349" s="7"/>
      <c r="D2349" s="532"/>
      <c r="E2349" s="532"/>
      <c r="F2349" s="537"/>
      <c r="G2349" s="538"/>
      <c r="H2349" s="533"/>
      <c r="I2349" s="388"/>
      <c r="J2349" s="388"/>
      <c r="K2349" s="388"/>
      <c r="L2349" s="388"/>
      <c r="M2349" s="388"/>
      <c r="N2349" s="388"/>
      <c r="O2349" s="388"/>
      <c r="P2349" s="388"/>
      <c r="Q2349" s="388"/>
      <c r="R2349" s="388"/>
      <c r="S2349" s="388"/>
      <c r="T2349" s="388"/>
    </row>
    <row r="2350" spans="1:20" ht="15.75" customHeight="1" x14ac:dyDescent="0.25">
      <c r="A2350" s="539"/>
      <c r="B2350" s="540"/>
      <c r="C2350" s="541" t="s">
        <v>85</v>
      </c>
      <c r="D2350" s="542">
        <f>SUM(D2340:D2349)</f>
      </c>
      <c r="E2350" s="542"/>
      <c r="F2350" s="543">
        <f>SUM(F2340:F2349)</f>
      </c>
      <c r="G2350" s="544"/>
      <c r="H2350" s="546">
        <f>SUM(H2341:H2349)</f>
      </c>
      <c r="I2350" s="388"/>
      <c r="J2350" s="388"/>
      <c r="K2350" s="388"/>
      <c r="L2350" s="388"/>
      <c r="M2350" s="388"/>
      <c r="N2350" s="388"/>
      <c r="O2350" s="388"/>
      <c r="P2350" s="388"/>
      <c r="Q2350" s="388"/>
      <c r="R2350" s="388"/>
      <c r="S2350" s="388"/>
      <c r="T2350" s="388"/>
    </row>
    <row r="2351" spans="1:20" ht="15.75" customHeight="1" x14ac:dyDescent="0.25">
      <c r="A2351" s="547"/>
      <c r="B2351" s="548"/>
      <c r="C2351" s="548"/>
      <c r="D2351" s="549"/>
      <c r="E2351" s="548"/>
      <c r="F2351" s="550"/>
      <c r="G2351" s="551"/>
      <c r="H2351" s="552"/>
      <c r="I2351" s="388"/>
      <c r="J2351" s="388"/>
      <c r="K2351" s="388"/>
      <c r="L2351" s="388"/>
      <c r="M2351" s="388"/>
      <c r="N2351" s="388"/>
      <c r="O2351" s="388"/>
      <c r="P2351" s="388"/>
      <c r="Q2351" s="388"/>
      <c r="R2351" s="388"/>
      <c r="S2351" s="388"/>
      <c r="T2351" s="388"/>
    </row>
    <row r="2352" spans="1:20" ht="15.75" customHeight="1" x14ac:dyDescent="0.25">
      <c r="A2352" s="510"/>
      <c r="B2352" s="389"/>
      <c r="C2352" s="389"/>
      <c r="D2352" s="389"/>
      <c r="E2352" s="388"/>
      <c r="F2352" s="510"/>
      <c r="G2352" s="388"/>
      <c r="H2352" s="511"/>
      <c r="I2352" s="388"/>
      <c r="J2352" s="388"/>
      <c r="K2352" s="388"/>
      <c r="L2352" s="388"/>
      <c r="M2352" s="388"/>
      <c r="N2352" s="388"/>
      <c r="O2352" s="388"/>
      <c r="P2352" s="388"/>
      <c r="Q2352" s="388"/>
      <c r="R2352" s="388"/>
      <c r="S2352" s="388"/>
      <c r="T2352" s="388"/>
    </row>
    <row r="2353" spans="1:20" ht="15.75" customHeight="1" x14ac:dyDescent="0.25">
      <c r="A2353" s="553"/>
      <c r="B2353" s="553"/>
      <c r="C2353" s="553"/>
      <c r="D2353" s="554" t="s">
        <v>97</v>
      </c>
      <c r="E2353" s="553" t="s">
        <v>98</v>
      </c>
      <c r="F2353" s="553"/>
      <c r="G2353" s="388"/>
      <c r="H2353" s="511"/>
      <c r="I2353" s="388"/>
      <c r="J2353" s="388"/>
      <c r="K2353" s="388"/>
      <c r="L2353" s="388"/>
      <c r="M2353" s="388"/>
      <c r="N2353" s="388"/>
      <c r="O2353" s="388"/>
      <c r="P2353" s="388"/>
      <c r="Q2353" s="388"/>
      <c r="R2353" s="388"/>
      <c r="S2353" s="388"/>
      <c r="T2353" s="388"/>
    </row>
    <row r="2354" spans="1:20" ht="15.75" customHeight="1" x14ac:dyDescent="0.25">
      <c r="A2354" s="388"/>
      <c r="B2354" s="388"/>
      <c r="C2354" s="388"/>
      <c r="D2354" s="389"/>
      <c r="E2354" s="388"/>
      <c r="F2354" s="388"/>
      <c r="G2354" s="388"/>
      <c r="H2354" s="511"/>
      <c r="I2354" s="388"/>
      <c r="J2354" s="388"/>
      <c r="K2354" s="388"/>
      <c r="L2354" s="388"/>
      <c r="M2354" s="388"/>
      <c r="N2354" s="388"/>
      <c r="O2354" s="388"/>
      <c r="P2354" s="388"/>
      <c r="Q2354" s="388"/>
      <c r="R2354" s="388"/>
      <c r="S2354" s="388"/>
      <c r="T2354" s="388"/>
    </row>
    <row r="2355" spans="1:20" ht="15.75" customHeight="1" x14ac:dyDescent="0.25">
      <c r="A2355" s="388"/>
      <c r="B2355" s="388"/>
      <c r="C2355" s="388"/>
      <c r="D2355" s="389"/>
      <c r="E2355" s="388"/>
      <c r="F2355" s="388"/>
      <c r="G2355" s="388"/>
      <c r="H2355" s="511"/>
      <c r="I2355" s="388"/>
      <c r="J2355" s="388"/>
      <c r="K2355" s="388"/>
      <c r="L2355" s="388"/>
      <c r="M2355" s="388"/>
      <c r="N2355" s="388"/>
      <c r="O2355" s="388"/>
      <c r="P2355" s="388"/>
      <c r="Q2355" s="388"/>
      <c r="R2355" s="388"/>
      <c r="S2355" s="388"/>
      <c r="T2355" s="388"/>
    </row>
    <row r="2356" spans="1:20" ht="15.75" customHeight="1" x14ac:dyDescent="0.25">
      <c r="A2356" s="553"/>
      <c r="B2356" s="553"/>
      <c r="C2356" s="553"/>
      <c r="D2356" s="554"/>
      <c r="E2356" s="553" t="s">
        <v>99</v>
      </c>
      <c r="F2356" s="553"/>
      <c r="G2356" s="388"/>
      <c r="H2356" s="511"/>
    </row>
    <row r="2357" spans="1:20" ht="15.75" customHeight="1" x14ac:dyDescent="0.25">
      <c r="D2357" s="4"/>
      <c r="H2357" s="4"/>
    </row>
    <row r="2358" spans="1:20" ht="15.75" customHeight="1" x14ac:dyDescent="0.25">
      <c r="D2358" s="4"/>
      <c r="H2358" s="4"/>
    </row>
    <row r="2359" spans="1:20" ht="15.75" customHeight="1" x14ac:dyDescent="0.25">
      <c r="D2359" s="4"/>
      <c r="H2359" s="4"/>
    </row>
    <row r="2360" spans="1:20" ht="15.75" customHeight="1" x14ac:dyDescent="0.25">
      <c r="D2360" s="4"/>
      <c r="H2360" s="4"/>
    </row>
    <row r="2361" spans="1:20" ht="15.75" customHeight="1" x14ac:dyDescent="0.25">
      <c r="D2361" s="4"/>
      <c r="H2361" s="4"/>
    </row>
    <row r="2362" spans="1:20" ht="15.75" customHeight="1" x14ac:dyDescent="0.25">
      <c r="D2362" s="4"/>
      <c r="H2362" s="4"/>
    </row>
    <row r="2363" spans="1:20" ht="15.75" customHeight="1" x14ac:dyDescent="0.25">
      <c r="D2363" s="4"/>
      <c r="H2363" s="4"/>
    </row>
    <row r="2364" spans="1:20" ht="15.75" customHeight="1" x14ac:dyDescent="0.25">
      <c r="D2364" s="4"/>
      <c r="H2364" s="4"/>
    </row>
    <row r="2365" spans="1:20" ht="15.75" customHeight="1" x14ac:dyDescent="0.25">
      <c r="D2365" s="4"/>
      <c r="H2365" s="4"/>
    </row>
    <row r="2366" spans="1:20" ht="15.75" customHeight="1" x14ac:dyDescent="0.25">
      <c r="D2366" s="4"/>
      <c r="H2366" s="4"/>
    </row>
    <row r="2367" spans="1:20" ht="15.75" customHeight="1" x14ac:dyDescent="0.25">
      <c r="D2367" s="4"/>
      <c r="H2367" s="4"/>
    </row>
    <row r="2368" spans="1:20" ht="15.75" customHeight="1" x14ac:dyDescent="0.25">
      <c r="D2368" s="4"/>
      <c r="H2368" s="4"/>
    </row>
    <row r="2369" spans="1:20" ht="15.75" customHeight="1" x14ac:dyDescent="0.25">
      <c r="D2369" s="4"/>
      <c r="H2369" s="4"/>
    </row>
    <row r="2370" spans="1:20" ht="15.75" customHeight="1" x14ac:dyDescent="0.25">
      <c r="D2370" s="4"/>
      <c r="H2370" s="4"/>
    </row>
    <row r="2371" spans="1:20" ht="15.75" customHeight="1" x14ac:dyDescent="0.25">
      <c r="D2371" s="4"/>
      <c r="H2371" s="4"/>
      <c r="I2371" s="388"/>
      <c r="J2371" s="388"/>
      <c r="K2371" s="388"/>
      <c r="L2371" s="388"/>
      <c r="M2371" s="388"/>
      <c r="N2371" s="388"/>
      <c r="O2371" s="388"/>
      <c r="P2371" s="388"/>
      <c r="Q2371" s="388"/>
      <c r="R2371" s="388"/>
      <c r="S2371" s="388"/>
      <c r="T2371" s="388"/>
    </row>
    <row r="2372" spans="1:20" ht="15.75" customHeight="1" x14ac:dyDescent="0.25">
      <c r="A2372" s="398" t="s">
        <v>14</v>
      </c>
      <c r="B2372" s="398"/>
      <c r="C2372" s="398"/>
      <c r="D2372" s="398"/>
      <c r="E2372" s="398"/>
      <c r="F2372" s="398"/>
      <c r="G2372" s="398"/>
      <c r="H2372" s="398"/>
      <c r="I2372" s="388"/>
      <c r="J2372" s="388"/>
      <c r="K2372" s="388"/>
      <c r="L2372" s="388"/>
      <c r="M2372" s="388"/>
      <c r="N2372" s="388"/>
      <c r="O2372" s="388"/>
      <c r="P2372" s="388"/>
      <c r="Q2372" s="388"/>
      <c r="R2372" s="388"/>
      <c r="S2372" s="388"/>
      <c r="T2372" s="388"/>
    </row>
    <row r="2373" spans="1:20" ht="15.75" customHeight="1" x14ac:dyDescent="0.25">
      <c r="A2373" s="390"/>
      <c r="B2373" s="390"/>
      <c r="C2373" s="390"/>
      <c r="D2373" s="391"/>
      <c r="E2373" s="390"/>
      <c r="F2373" s="390"/>
      <c r="G2373" s="390"/>
      <c r="H2373" s="398"/>
      <c r="I2373" s="388"/>
      <c r="J2373" s="388"/>
      <c r="K2373" s="388"/>
      <c r="L2373" s="388"/>
      <c r="M2373" s="388"/>
      <c r="N2373" s="388"/>
      <c r="O2373" s="388"/>
      <c r="P2373" s="388"/>
      <c r="Q2373" s="388"/>
      <c r="R2373" s="388"/>
      <c r="S2373" s="388"/>
      <c r="T2373" s="388"/>
    </row>
    <row r="2374" spans="1:20" ht="15.75" customHeight="1" x14ac:dyDescent="0.25">
      <c r="A2374" s="390"/>
      <c r="B2374" s="390"/>
      <c r="C2374" s="391"/>
      <c r="D2374" s="392"/>
      <c r="E2374" s="393"/>
      <c r="F2374" s="393"/>
      <c r="G2374" s="393"/>
      <c r="H2374" s="394"/>
      <c r="I2374" s="388"/>
      <c r="J2374" s="388"/>
      <c r="K2374" s="388"/>
      <c r="L2374" s="388"/>
      <c r="M2374" s="388"/>
      <c r="N2374" s="388"/>
      <c r="O2374" s="388"/>
      <c r="P2374" s="388"/>
      <c r="Q2374" s="388"/>
      <c r="R2374" s="388"/>
      <c r="S2374" s="388"/>
      <c r="T2374" s="388"/>
    </row>
    <row r="2375" spans="1:20" ht="15.75" customHeight="1" x14ac:dyDescent="0.25">
      <c r="A2375" s="390"/>
      <c r="B2375" s="390"/>
      <c r="C2375" s="390"/>
      <c r="D2375" s="391"/>
      <c r="E2375" s="390"/>
      <c r="F2375" s="395" t="s">
        <v>18</v>
      </c>
      <c r="G2375" s="396" t="s">
        <v>613</v>
      </c>
      <c r="H2375" s="397"/>
      <c r="I2375" s="388"/>
      <c r="J2375" s="388"/>
      <c r="K2375" s="388"/>
      <c r="L2375" s="388"/>
      <c r="M2375" s="388"/>
      <c r="N2375" s="388"/>
      <c r="O2375" s="388"/>
      <c r="P2375" s="388"/>
      <c r="Q2375" s="388"/>
      <c r="R2375" s="388"/>
      <c r="S2375" s="388"/>
      <c r="T2375" s="388"/>
    </row>
    <row r="2376" spans="1:20" ht="15.75" customHeight="1" x14ac:dyDescent="0.25">
      <c r="A2376" s="390" t="s">
        <v>20</v>
      </c>
      <c r="B2376" s="390"/>
      <c r="C2376" s="390"/>
      <c r="D2376" s="391"/>
      <c r="E2376" s="390"/>
      <c r="F2376" s="395" t="s">
        <v>21</v>
      </c>
      <c r="G2376" s="390" t="s">
        <v>1185</v>
      </c>
      <c r="H2376" s="391"/>
      <c r="I2376" s="388"/>
      <c r="J2376" s="388"/>
      <c r="K2376" s="388"/>
      <c r="L2376" s="388"/>
      <c r="M2376" s="388"/>
      <c r="N2376" s="388"/>
      <c r="O2376" s="388"/>
      <c r="P2376" s="388"/>
      <c r="Q2376" s="388"/>
      <c r="R2376" s="388"/>
      <c r="S2376" s="388"/>
      <c r="T2376" s="388"/>
    </row>
    <row r="2377" spans="1:20" ht="15.75" customHeight="1" x14ac:dyDescent="0.25">
      <c r="A2377" s="390" t="inlineStr">
        <is>
          <t>Dealer-002</t>
        </is>
      </c>
      <c r="B2377" s="390"/>
      <c r="C2377" s="390"/>
      <c r="D2377" s="391"/>
      <c r="E2377" s="395"/>
      <c r="F2377" s="390"/>
      <c r="G2377" s="390"/>
      <c r="H2377" s="394"/>
      <c r="I2377" s="388"/>
      <c r="J2377" s="388"/>
      <c r="K2377" s="388"/>
      <c r="L2377" s="388"/>
      <c r="M2377" s="388"/>
      <c r="N2377" s="388"/>
      <c r="O2377" s="388"/>
      <c r="P2377" s="388"/>
      <c r="Q2377" s="388"/>
      <c r="R2377" s="388"/>
      <c r="S2377" s="388"/>
      <c r="T2377" s="388"/>
    </row>
    <row r="2378" spans="1:20" ht="15.75" customHeight="1" x14ac:dyDescent="0.25">
      <c r="A2378" s="390" t="inlineStr">
        <is>
          <t>Address line (redacted)</t>
        </is>
      </c>
      <c r="B2378" s="390"/>
      <c r="C2378" s="390"/>
      <c r="D2378" s="398"/>
      <c r="E2378" s="390"/>
      <c r="F2378" s="391"/>
      <c r="G2378" s="390"/>
      <c r="H2378" s="394"/>
      <c r="I2378" s="388"/>
      <c r="J2378" s="388"/>
      <c r="K2378" s="388"/>
      <c r="L2378" s="388"/>
      <c r="M2378" s="388"/>
      <c r="N2378" s="388"/>
      <c r="O2378" s="388"/>
      <c r="P2378" s="388"/>
      <c r="Q2378" s="388"/>
      <c r="R2378" s="388"/>
      <c r="S2378" s="388"/>
      <c r="T2378" s="388"/>
    </row>
    <row r="2379" spans="1:20" ht="15.75" customHeight="1" x14ac:dyDescent="0.25">
      <c r="A2379" s="390" t="inlineStr">
        <is>
          <t>Address line (redacted)</t>
        </is>
      </c>
      <c r="B2379" s="390"/>
      <c r="C2379" s="390"/>
      <c r="D2379" s="398"/>
      <c r="E2379" s="390"/>
      <c r="F2379" s="391"/>
      <c r="G2379" s="390"/>
      <c r="H2379" s="394"/>
      <c r="I2379" s="388"/>
      <c r="J2379" s="388"/>
      <c r="K2379" s="388"/>
      <c r="L2379" s="388"/>
      <c r="M2379" s="388"/>
      <c r="N2379" s="388"/>
      <c r="O2379" s="388"/>
      <c r="P2379" s="388"/>
      <c r="Q2379" s="388"/>
      <c r="R2379" s="388"/>
      <c r="S2379" s="388"/>
      <c r="T2379" s="388"/>
    </row>
    <row r="2380" spans="1:20" ht="15.75" customHeight="1" x14ac:dyDescent="0.25">
      <c r="A2380" s="447"/>
      <c r="B2380" s="390"/>
      <c r="C2380" s="390"/>
      <c r="D2380" s="391"/>
      <c r="E2380" s="390"/>
      <c r="F2380" s="391"/>
      <c r="G2380" s="390"/>
      <c r="H2380" s="394"/>
      <c r="I2380" s="388"/>
      <c r="J2380" s="388"/>
      <c r="K2380" s="388"/>
      <c r="L2380" s="388"/>
      <c r="M2380" s="388"/>
      <c r="N2380" s="388"/>
      <c r="O2380" s="388"/>
      <c r="P2380" s="388"/>
      <c r="Q2380" s="388"/>
      <c r="R2380" s="388"/>
      <c r="S2380" s="388"/>
      <c r="T2380" s="388"/>
    </row>
    <row r="2381" spans="1:20" ht="15.75" customHeight="1" x14ac:dyDescent="0.25">
      <c r="A2381" s="390" t="s">
        <v>30</v>
      </c>
      <c r="B2381" s="390"/>
      <c r="C2381" s="390"/>
      <c r="D2381" s="391"/>
      <c r="E2381" s="390"/>
      <c r="F2381" s="391"/>
      <c r="G2381" s="390"/>
      <c r="H2381" s="394"/>
      <c r="I2381" s="388"/>
      <c r="J2381" s="388"/>
      <c r="K2381" s="388"/>
      <c r="L2381" s="388"/>
      <c r="M2381" s="388"/>
      <c r="N2381" s="388"/>
      <c r="O2381" s="388"/>
      <c r="P2381" s="388"/>
      <c r="Q2381" s="388"/>
      <c r="R2381" s="388"/>
      <c r="S2381" s="388"/>
      <c r="T2381" s="388"/>
    </row>
    <row r="2382" spans="1:20" ht="15.75" customHeight="1" x14ac:dyDescent="0.25">
      <c r="A2382" s="390"/>
      <c r="B2382" s="390"/>
      <c r="C2382" s="390"/>
      <c r="D2382" s="391"/>
      <c r="E2382" s="390"/>
      <c r="F2382" s="391"/>
      <c r="G2382" s="390"/>
      <c r="H2382" s="394"/>
      <c r="I2382" s="388"/>
      <c r="J2382" s="388"/>
      <c r="K2382" s="388"/>
      <c r="L2382" s="388"/>
      <c r="M2382" s="388"/>
      <c r="N2382" s="388"/>
      <c r="O2382" s="388"/>
      <c r="P2382" s="388"/>
      <c r="Q2382" s="388"/>
      <c r="R2382" s="388"/>
      <c r="S2382" s="388"/>
      <c r="T2382" s="388"/>
    </row>
    <row r="2383" spans="1:20" ht="15.75" customHeight="1" x14ac:dyDescent="0.25">
      <c r="A2383" s="390" t="s">
        <v>31</v>
      </c>
      <c r="B2383" s="390"/>
      <c r="C2383" s="390"/>
      <c r="D2383" s="391"/>
      <c r="E2383" s="390"/>
      <c r="F2383" s="391"/>
      <c r="G2383" s="390"/>
      <c r="H2383" s="394"/>
      <c r="I2383" s="388"/>
      <c r="J2383" s="388"/>
      <c r="K2383" s="388"/>
      <c r="L2383" s="388"/>
      <c r="M2383" s="388"/>
      <c r="N2383" s="388"/>
      <c r="O2383" s="388"/>
      <c r="P2383" s="388"/>
      <c r="Q2383" s="388"/>
      <c r="R2383" s="388"/>
      <c r="S2383" s="388"/>
      <c r="T2383" s="388"/>
    </row>
    <row r="2384" spans="1:20" ht="15.75" customHeight="1" x14ac:dyDescent="0.25">
      <c r="A2384" s="390" t="s">
        <v>32</v>
      </c>
      <c r="B2384" s="390"/>
      <c r="C2384" s="390"/>
      <c r="D2384" s="391"/>
      <c r="E2384" s="390"/>
      <c r="F2384" s="391"/>
      <c r="G2384" s="390"/>
      <c r="H2384" s="394"/>
      <c r="I2384" s="388"/>
      <c r="J2384" s="388"/>
      <c r="K2384" s="388"/>
      <c r="L2384" s="388"/>
      <c r="M2384" s="388"/>
      <c r="N2384" s="388"/>
      <c r="O2384" s="388"/>
      <c r="P2384" s="388"/>
      <c r="Q2384" s="388"/>
      <c r="R2384" s="388"/>
      <c r="S2384" s="388"/>
      <c r="T2384" s="388"/>
    </row>
    <row r="2385" spans="1:20" ht="15.75" customHeight="1" x14ac:dyDescent="0.25">
      <c r="A2385" s="390"/>
      <c r="B2385" s="390"/>
      <c r="C2385" s="390"/>
      <c r="D2385" s="391"/>
      <c r="E2385" s="390"/>
      <c r="F2385" s="391"/>
      <c r="G2385" s="390"/>
      <c r="H2385" s="394"/>
      <c r="I2385" s="388"/>
      <c r="J2385" s="388"/>
      <c r="K2385" s="388"/>
      <c r="L2385" s="388"/>
      <c r="M2385" s="388"/>
      <c r="N2385" s="388"/>
      <c r="O2385" s="388"/>
      <c r="P2385" s="388"/>
      <c r="Q2385" s="388"/>
      <c r="R2385" s="388"/>
      <c r="S2385" s="388"/>
      <c r="T2385" s="388"/>
    </row>
    <row r="2386" spans="1:20" ht="15.75" customHeight="1" x14ac:dyDescent="0.25">
      <c r="A2386" s="399" t="s">
        <v>33</v>
      </c>
      <c r="B2386" s="400" t="s">
        <v>6</v>
      </c>
      <c r="C2386" s="400"/>
      <c r="D2386" s="401" t="s">
        <v>37</v>
      </c>
      <c r="E2386" s="402" t="s">
        <v>38</v>
      </c>
      <c r="F2386" s="403" t="s">
        <v>7</v>
      </c>
      <c r="G2386" s="404" t="s">
        <v>43</v>
      </c>
      <c r="H2386" s="405" t="s">
        <v>44</v>
      </c>
      <c r="I2386" s="388"/>
      <c r="J2386" s="388"/>
      <c r="K2386" s="388"/>
      <c r="L2386" s="388"/>
      <c r="M2386" s="388"/>
      <c r="N2386" s="388"/>
      <c r="O2386" s="388"/>
      <c r="P2386" s="388"/>
      <c r="Q2386" s="388"/>
      <c r="R2386" s="388"/>
      <c r="S2386" s="388"/>
      <c r="T2386" s="388"/>
    </row>
    <row r="2387" spans="1:20" ht="15.75" customHeight="1" x14ac:dyDescent="0.25">
      <c r="A2387" s="406"/>
      <c r="B2387" s="407"/>
      <c r="C2387" s="393"/>
      <c r="D2387" s="408"/>
      <c r="E2387" s="408"/>
      <c r="F2387" s="409"/>
      <c r="G2387" s="410"/>
      <c r="H2387" s="411"/>
      <c r="I2387" s="7"/>
      <c r="J2387" s="7"/>
      <c r="K2387" s="7"/>
      <c r="L2387" s="7"/>
      <c r="M2387" s="7"/>
      <c r="N2387" s="7"/>
      <c r="O2387" s="7"/>
      <c r="P2387" s="7"/>
      <c r="Q2387" s="7"/>
      <c r="R2387" s="7"/>
      <c r="S2387" s="7"/>
      <c r="T2387" s="7"/>
    </row>
    <row r="2388" spans="1:20" ht="15.75" customHeight="1" x14ac:dyDescent="0.25">
      <c r="A2388" s="556"/>
      <c r="B2388" s="557" t="s">
        <v>1102</v>
      </c>
      <c r="C2388" s="558"/>
      <c r="D2388" s="408"/>
      <c r="E2388" s="408"/>
      <c r="F2388" s="398"/>
      <c r="G2388" s="408"/>
      <c r="H2388" s="559"/>
      <c r="I2388" s="388"/>
      <c r="J2388" s="388"/>
      <c r="K2388" s="388"/>
      <c r="L2388" s="388"/>
      <c r="M2388" s="388"/>
      <c r="N2388" s="388"/>
      <c r="O2388" s="388"/>
      <c r="P2388" s="388"/>
      <c r="Q2388" s="388"/>
      <c r="R2388" s="388"/>
      <c r="S2388" s="388"/>
      <c r="T2388" s="388"/>
    </row>
    <row r="2389" spans="1:20" ht="15.75" customHeight="1" x14ac:dyDescent="0.25">
      <c r="A2389" s="425"/>
      <c r="B2389" s="450"/>
      <c r="C2389" s="507"/>
      <c r="D2389" s="427"/>
      <c r="E2389" s="427"/>
      <c r="F2389" s="391"/>
      <c r="G2389" s="427"/>
      <c r="H2389" s="429"/>
      <c r="I2389" s="388"/>
      <c r="J2389" s="388"/>
      <c r="K2389" s="388"/>
      <c r="L2389" s="388"/>
      <c r="M2389" s="388"/>
      <c r="N2389" s="388"/>
      <c r="O2389" s="388"/>
      <c r="P2389" s="388"/>
      <c r="Q2389" s="388"/>
      <c r="R2389" s="388"/>
      <c r="S2389" s="388"/>
      <c r="T2389" s="388"/>
    </row>
    <row r="2390" spans="1:20" ht="15.75" customHeight="1" x14ac:dyDescent="0.25">
      <c r="A2390" s="425" t="s">
        <v>55</v>
      </c>
      <c r="B2390" s="448" t="s">
        <v>45</v>
      </c>
      <c r="C2390" s="507" t="s">
        <v>41</v>
      </c>
      <c r="D2390" s="427">
        <v>4</v>
      </c>
      <c r="E2390" s="427">
        <v>5</v>
      </c>
      <c r="F2390" s="391">
        <f>+E2390*D2390</f>
      </c>
      <c r="G2390" s="427">
        <v>1</v>
      </c>
      <c r="H2390" s="429">
        <f>+G2390*F2390</f>
      </c>
      <c r="I2390" s="388"/>
      <c r="J2390" s="388"/>
      <c r="K2390" s="388"/>
      <c r="L2390" s="388"/>
      <c r="M2390" s="388"/>
      <c r="N2390" s="388"/>
      <c r="O2390" s="388"/>
      <c r="P2390" s="388"/>
      <c r="Q2390" s="388"/>
      <c r="R2390" s="388"/>
      <c r="S2390" s="388"/>
      <c r="T2390" s="388"/>
    </row>
    <row r="2391" spans="1:20" ht="15.75" customHeight="1" x14ac:dyDescent="0.25">
      <c r="A2391" s="425"/>
      <c r="B2391" s="448"/>
      <c r="C2391" s="390"/>
      <c r="D2391" s="427"/>
      <c r="E2391" s="427"/>
      <c r="F2391" s="391"/>
      <c r="G2391" s="427"/>
      <c r="H2391" s="429"/>
      <c r="I2391" s="388"/>
      <c r="J2391" s="388"/>
      <c r="K2391" s="388"/>
      <c r="L2391" s="388"/>
      <c r="M2391" s="388"/>
      <c r="N2391" s="388"/>
      <c r="O2391" s="388"/>
      <c r="P2391" s="388"/>
      <c r="Q2391" s="388"/>
      <c r="R2391" s="388"/>
      <c r="S2391" s="388"/>
      <c r="T2391" s="388"/>
    </row>
    <row r="2392" spans="1:20" ht="15.75" customHeight="1" x14ac:dyDescent="0.25">
      <c r="A2392" s="425" t="s">
        <v>59</v>
      </c>
      <c r="B2392" s="448" t="s">
        <v>60</v>
      </c>
      <c r="C2392" s="507" t="s">
        <v>142</v>
      </c>
      <c r="D2392" s="427">
        <v>2</v>
      </c>
      <c r="E2392" s="427">
        <v>5</v>
      </c>
      <c r="F2392" s="391">
        <f>+E2392*D2392</f>
      </c>
      <c r="G2392" s="427">
        <v>1</v>
      </c>
      <c r="H2392" s="429">
        <f>+G2392*F2392</f>
      </c>
      <c r="I2392" s="388"/>
      <c r="J2392" s="388"/>
      <c r="K2392" s="388"/>
      <c r="L2392" s="388"/>
      <c r="M2392" s="388"/>
      <c r="N2392" s="388"/>
      <c r="O2392" s="388"/>
      <c r="P2392" s="388"/>
      <c r="Q2392" s="388"/>
      <c r="R2392" s="388"/>
      <c r="S2392" s="388"/>
      <c r="T2392" s="388"/>
    </row>
    <row r="2393" spans="1:20" ht="15.75" customHeight="1" x14ac:dyDescent="0.25">
      <c r="A2393" s="425"/>
      <c r="B2393" s="448"/>
      <c r="C2393" s="390"/>
      <c r="D2393" s="427"/>
      <c r="E2393" s="427"/>
      <c r="F2393" s="391"/>
      <c r="G2393" s="427"/>
      <c r="H2393" s="429"/>
      <c r="I2393" s="388"/>
      <c r="J2393" s="388"/>
      <c r="K2393" s="388"/>
      <c r="L2393" s="388"/>
      <c r="M2393" s="388"/>
      <c r="N2393" s="388"/>
      <c r="O2393" s="388"/>
      <c r="P2393" s="388"/>
      <c r="Q2393" s="388"/>
      <c r="R2393" s="388"/>
      <c r="S2393" s="388"/>
      <c r="T2393" s="388"/>
    </row>
    <row r="2394" spans="1:20" ht="15.75" customHeight="1" x14ac:dyDescent="0.25">
      <c r="A2394" s="425" t="s">
        <v>67</v>
      </c>
      <c r="B2394" s="448" t="s">
        <v>482</v>
      </c>
      <c r="C2394" s="390"/>
      <c r="D2394" s="427">
        <v>3</v>
      </c>
      <c r="E2394" s="427">
        <v>1</v>
      </c>
      <c r="F2394" s="391">
        <f>+E2394*D2394</f>
      </c>
      <c r="G2394" s="427">
        <v>1</v>
      </c>
      <c r="H2394" s="429">
        <f>+G2394*F2394</f>
      </c>
      <c r="I2394" s="388"/>
      <c r="J2394" s="388"/>
      <c r="K2394" s="388"/>
      <c r="L2394" s="388"/>
      <c r="M2394" s="388"/>
      <c r="N2394" s="388"/>
      <c r="O2394" s="388"/>
      <c r="P2394" s="388"/>
      <c r="Q2394" s="388"/>
      <c r="R2394" s="388"/>
      <c r="S2394" s="388"/>
      <c r="T2394" s="388"/>
    </row>
    <row r="2395" spans="1:20" ht="15.75" customHeight="1" x14ac:dyDescent="0.25">
      <c r="A2395" s="425"/>
      <c r="B2395" s="448"/>
      <c r="C2395" s="390"/>
      <c r="D2395" s="427"/>
      <c r="E2395" s="427"/>
      <c r="F2395" s="391"/>
      <c r="G2395" s="427"/>
      <c r="H2395" s="429"/>
      <c r="I2395" s="388"/>
      <c r="J2395" s="388"/>
      <c r="K2395" s="388"/>
      <c r="L2395" s="388"/>
      <c r="M2395" s="388"/>
      <c r="N2395" s="388"/>
      <c r="O2395" s="388"/>
      <c r="P2395" s="388"/>
      <c r="Q2395" s="388"/>
      <c r="R2395" s="388"/>
      <c r="S2395" s="388"/>
      <c r="T2395" s="388"/>
    </row>
    <row r="2396" spans="1:20" ht="15.75" customHeight="1" x14ac:dyDescent="0.25">
      <c r="A2396" s="425"/>
      <c r="B2396" s="557" t="s">
        <v>1187</v>
      </c>
      <c r="C2396" s="558"/>
      <c r="D2396" s="427"/>
      <c r="E2396" s="427"/>
      <c r="F2396" s="391"/>
      <c r="G2396" s="427"/>
      <c r="H2396" s="429"/>
      <c r="I2396" s="388"/>
      <c r="J2396" s="388"/>
      <c r="K2396" s="388"/>
      <c r="L2396" s="388"/>
      <c r="M2396" s="388"/>
      <c r="N2396" s="388"/>
      <c r="O2396" s="388"/>
      <c r="P2396" s="388"/>
      <c r="Q2396" s="388"/>
      <c r="R2396" s="388"/>
      <c r="S2396" s="388"/>
      <c r="T2396" s="388"/>
    </row>
    <row r="2397" spans="1:20" ht="15.75" customHeight="1" x14ac:dyDescent="0.25">
      <c r="A2397" s="425"/>
      <c r="B2397" s="557"/>
      <c r="C2397" s="560"/>
      <c r="D2397" s="427"/>
      <c r="E2397" s="427"/>
      <c r="F2397" s="391"/>
      <c r="G2397" s="427"/>
      <c r="H2397" s="429"/>
      <c r="I2397" s="388"/>
      <c r="J2397" s="388"/>
      <c r="K2397" s="388"/>
      <c r="L2397" s="388"/>
      <c r="M2397" s="388"/>
      <c r="N2397" s="388"/>
      <c r="O2397" s="388"/>
      <c r="P2397" s="388"/>
      <c r="Q2397" s="388"/>
      <c r="R2397" s="388"/>
      <c r="S2397" s="388"/>
      <c r="T2397" s="388"/>
    </row>
    <row r="2398" spans="1:20" ht="15.75" customHeight="1" x14ac:dyDescent="0.25">
      <c r="A2398" s="425" t="s">
        <v>485</v>
      </c>
      <c r="B2398" s="448" t="s">
        <v>1189</v>
      </c>
      <c r="C2398" s="449" t="s">
        <v>450</v>
      </c>
      <c r="D2398" s="427">
        <v>1</v>
      </c>
      <c r="E2398" s="427"/>
      <c r="F2398" s="391">
        <v>100</v>
      </c>
      <c r="G2398" s="427">
        <v>1</v>
      </c>
      <c r="H2398" s="429">
        <f t="shared" ref="H2398:H2401" si="22">+G2398*F2398</f>
      </c>
      <c r="I2398" s="388"/>
      <c r="J2398" s="388"/>
      <c r="K2398" s="388"/>
      <c r="L2398" s="388"/>
      <c r="M2398" s="388"/>
      <c r="N2398" s="388"/>
      <c r="O2398" s="388"/>
      <c r="P2398" s="388"/>
      <c r="Q2398" s="388"/>
      <c r="R2398" s="388"/>
      <c r="S2398" s="388"/>
      <c r="T2398" s="388"/>
    </row>
    <row r="2399" spans="1:20" ht="15.75" customHeight="1" x14ac:dyDescent="0.25">
      <c r="A2399" s="425" t="s">
        <v>486</v>
      </c>
      <c r="B2399" s="448" t="s">
        <v>1190</v>
      </c>
      <c r="C2399" s="390" t="s">
        <v>449</v>
      </c>
      <c r="D2399" s="427"/>
      <c r="E2399" s="427"/>
      <c r="F2399" s="391">
        <v>50</v>
      </c>
      <c r="G2399" s="427">
        <v>1</v>
      </c>
      <c r="H2399" s="429">
        <f t="shared" si="22"/>
      </c>
      <c r="I2399" s="388"/>
      <c r="J2399" s="388"/>
      <c r="K2399" s="388"/>
      <c r="L2399" s="388"/>
      <c r="M2399" s="388"/>
      <c r="N2399" s="388"/>
      <c r="O2399" s="388"/>
      <c r="P2399" s="388"/>
      <c r="Q2399" s="388"/>
      <c r="R2399" s="388"/>
      <c r="S2399" s="388"/>
      <c r="T2399" s="388"/>
    </row>
    <row r="2400" spans="1:20" ht="15.75" customHeight="1" x14ac:dyDescent="0.25">
      <c r="A2400" s="425" t="s">
        <v>489</v>
      </c>
      <c r="B2400" s="448" t="s">
        <v>1192</v>
      </c>
      <c r="C2400" s="390" t="s">
        <v>451</v>
      </c>
      <c r="D2400" s="427"/>
      <c r="E2400" s="427"/>
      <c r="F2400" s="391">
        <v>100</v>
      </c>
      <c r="G2400" s="427">
        <v>1</v>
      </c>
      <c r="H2400" s="429">
        <f t="shared" si="22"/>
      </c>
      <c r="I2400" s="388"/>
      <c r="J2400" s="388"/>
      <c r="K2400" s="388"/>
      <c r="L2400" s="388"/>
      <c r="M2400" s="388"/>
      <c r="N2400" s="388"/>
      <c r="O2400" s="388"/>
      <c r="P2400" s="388"/>
      <c r="Q2400" s="388"/>
      <c r="R2400" s="388"/>
      <c r="S2400" s="388"/>
      <c r="T2400" s="388"/>
    </row>
    <row r="2401" spans="1:20" ht="15.75" customHeight="1" x14ac:dyDescent="0.25">
      <c r="A2401" s="502" t="s">
        <v>490</v>
      </c>
      <c r="B2401" s="503" t="s">
        <v>1194</v>
      </c>
      <c r="C2401" s="390" t="s">
        <v>445</v>
      </c>
      <c r="D2401" s="427"/>
      <c r="E2401" s="427"/>
      <c r="F2401" s="391">
        <v>100</v>
      </c>
      <c r="G2401" s="427">
        <v>1</v>
      </c>
      <c r="H2401" s="429">
        <f t="shared" si="22"/>
      </c>
      <c r="I2401" s="388"/>
      <c r="J2401" s="388"/>
      <c r="K2401" s="388"/>
      <c r="L2401" s="388"/>
      <c r="M2401" s="388"/>
      <c r="N2401" s="388"/>
      <c r="O2401" s="388"/>
      <c r="P2401" s="388"/>
      <c r="Q2401" s="388"/>
      <c r="R2401" s="388"/>
      <c r="S2401" s="388"/>
      <c r="T2401" s="388"/>
    </row>
    <row r="2402" spans="1:20" ht="15.75" customHeight="1" x14ac:dyDescent="0.25">
      <c r="A2402" s="502"/>
      <c r="B2402" s="503"/>
      <c r="C2402" s="390"/>
      <c r="D2402" s="427"/>
      <c r="E2402" s="427"/>
      <c r="F2402" s="391"/>
      <c r="G2402" s="427"/>
      <c r="H2402" s="429"/>
      <c r="I2402" s="388"/>
      <c r="J2402" s="388"/>
      <c r="K2402" s="388"/>
      <c r="L2402" s="388"/>
      <c r="M2402" s="388"/>
      <c r="N2402" s="388"/>
      <c r="O2402" s="388"/>
      <c r="P2402" s="388"/>
      <c r="Q2402" s="388"/>
      <c r="R2402" s="388"/>
      <c r="S2402" s="388"/>
      <c r="T2402" s="388"/>
    </row>
    <row r="2403" spans="1:20" ht="15.75" customHeight="1" x14ac:dyDescent="0.25">
      <c r="A2403" s="502"/>
      <c r="B2403" s="503"/>
      <c r="C2403" s="390"/>
      <c r="D2403" s="427"/>
      <c r="E2403" s="427"/>
      <c r="F2403" s="391"/>
      <c r="G2403" s="427"/>
      <c r="H2403" s="429"/>
      <c r="I2403" s="388"/>
      <c r="J2403" s="388"/>
      <c r="K2403" s="388"/>
      <c r="L2403" s="388"/>
      <c r="M2403" s="388"/>
      <c r="N2403" s="388"/>
      <c r="O2403" s="388"/>
      <c r="P2403" s="388"/>
      <c r="Q2403" s="388"/>
      <c r="R2403" s="388"/>
      <c r="S2403" s="388"/>
      <c r="T2403" s="388"/>
    </row>
    <row r="2404" spans="1:20" ht="15.75" customHeight="1" x14ac:dyDescent="0.25">
      <c r="A2404" s="502"/>
      <c r="B2404" s="503"/>
      <c r="C2404" s="390"/>
      <c r="D2404" s="427"/>
      <c r="E2404" s="427"/>
      <c r="F2404" s="391"/>
      <c r="G2404" s="427"/>
      <c r="H2404" s="429"/>
      <c r="I2404" s="388"/>
      <c r="J2404" s="388"/>
      <c r="K2404" s="388"/>
      <c r="L2404" s="388"/>
      <c r="M2404" s="388"/>
      <c r="N2404" s="388"/>
      <c r="O2404" s="388"/>
      <c r="P2404" s="388"/>
      <c r="Q2404" s="388"/>
      <c r="R2404" s="388"/>
      <c r="S2404" s="388"/>
      <c r="T2404" s="388"/>
    </row>
    <row r="2405" spans="1:20" ht="15.75" customHeight="1" x14ac:dyDescent="0.25">
      <c r="A2405" s="430"/>
      <c r="B2405" s="562"/>
      <c r="C2405" s="393"/>
      <c r="D2405" s="427"/>
      <c r="E2405" s="427"/>
      <c r="F2405" s="428"/>
      <c r="G2405" s="431"/>
      <c r="H2405" s="429"/>
      <c r="I2405" s="388"/>
      <c r="J2405" s="388"/>
      <c r="K2405" s="388"/>
      <c r="L2405" s="388"/>
      <c r="M2405" s="388"/>
      <c r="N2405" s="388"/>
      <c r="O2405" s="388"/>
      <c r="P2405" s="388"/>
      <c r="Q2405" s="388"/>
      <c r="R2405" s="388"/>
      <c r="S2405" s="388"/>
      <c r="T2405" s="388"/>
    </row>
    <row r="2406" spans="1:20" ht="15.75" customHeight="1" x14ac:dyDescent="0.25">
      <c r="A2406" s="432"/>
      <c r="B2406" s="433"/>
      <c r="C2406" s="434" t="s">
        <v>85</v>
      </c>
      <c r="D2406" s="435">
        <f>SUM(D2388:D2405)</f>
      </c>
      <c r="E2406" s="435"/>
      <c r="F2406" s="436"/>
      <c r="G2406" s="437"/>
      <c r="H2406" s="438">
        <f>SUM(H2390:H2405)</f>
      </c>
      <c r="I2406" s="388"/>
      <c r="J2406" s="388"/>
      <c r="K2406" s="388"/>
      <c r="L2406" s="388"/>
      <c r="M2406" s="388"/>
      <c r="N2406" s="388"/>
      <c r="O2406" s="388"/>
      <c r="P2406" s="388"/>
      <c r="Q2406" s="388"/>
      <c r="R2406" s="388"/>
      <c r="S2406" s="388"/>
      <c r="T2406" s="388"/>
    </row>
    <row r="2407" spans="1:20" ht="15.75" customHeight="1" x14ac:dyDescent="0.25">
      <c r="A2407" s="439"/>
      <c r="B2407" s="440"/>
      <c r="C2407" s="440"/>
      <c r="D2407" s="441"/>
      <c r="E2407" s="440"/>
      <c r="F2407" s="442"/>
      <c r="G2407" s="443"/>
      <c r="H2407" s="444"/>
      <c r="I2407" s="388"/>
      <c r="J2407" s="388"/>
      <c r="K2407" s="388"/>
      <c r="L2407" s="388"/>
      <c r="M2407" s="388"/>
      <c r="N2407" s="388"/>
      <c r="O2407" s="388"/>
      <c r="P2407" s="388"/>
      <c r="Q2407" s="388"/>
      <c r="R2407" s="388"/>
      <c r="S2407" s="388"/>
      <c r="T2407" s="388"/>
    </row>
    <row r="2408" spans="1:20" ht="15.75" customHeight="1" x14ac:dyDescent="0.25">
      <c r="A2408" s="392"/>
      <c r="B2408" s="391"/>
      <c r="C2408" s="391"/>
      <c r="D2408" s="391"/>
      <c r="E2408" s="390"/>
      <c r="F2408" s="392"/>
      <c r="G2408" s="390"/>
      <c r="H2408" s="394"/>
      <c r="I2408" s="388"/>
      <c r="J2408" s="388"/>
      <c r="K2408" s="388"/>
      <c r="L2408" s="388"/>
      <c r="M2408" s="388"/>
      <c r="N2408" s="388"/>
      <c r="O2408" s="388"/>
      <c r="P2408" s="388"/>
      <c r="Q2408" s="388"/>
      <c r="R2408" s="388"/>
      <c r="S2408" s="388"/>
      <c r="T2408" s="388"/>
    </row>
    <row r="2409" spans="1:20" ht="15.75" customHeight="1" x14ac:dyDescent="0.25">
      <c r="A2409" s="445"/>
      <c r="B2409" s="445"/>
      <c r="C2409" s="445"/>
      <c r="D2409" s="446" t="s">
        <v>97</v>
      </c>
      <c r="E2409" s="445" t="s">
        <v>98</v>
      </c>
      <c r="F2409" s="445"/>
      <c r="G2409" s="390"/>
      <c r="H2409" s="394"/>
      <c r="I2409" s="388"/>
      <c r="J2409" s="388"/>
      <c r="K2409" s="388"/>
      <c r="L2409" s="388"/>
      <c r="M2409" s="388"/>
      <c r="N2409" s="388"/>
      <c r="O2409" s="388"/>
      <c r="P2409" s="388"/>
      <c r="Q2409" s="388"/>
      <c r="R2409" s="388"/>
      <c r="S2409" s="388"/>
      <c r="T2409" s="388"/>
    </row>
    <row r="2410" spans="1:20" ht="15.75" customHeight="1" x14ac:dyDescent="0.25">
      <c r="A2410" s="390"/>
      <c r="B2410" s="390"/>
      <c r="C2410" s="390"/>
      <c r="D2410" s="391"/>
      <c r="E2410" s="390"/>
      <c r="F2410" s="390"/>
      <c r="G2410" s="390"/>
      <c r="H2410" s="394"/>
      <c r="I2410" s="388"/>
      <c r="J2410" s="388"/>
      <c r="K2410" s="388"/>
      <c r="L2410" s="388"/>
      <c r="M2410" s="388"/>
      <c r="N2410" s="388"/>
      <c r="O2410" s="388"/>
      <c r="P2410" s="388"/>
      <c r="Q2410" s="388"/>
      <c r="R2410" s="388"/>
      <c r="S2410" s="388"/>
      <c r="T2410" s="388"/>
    </row>
    <row r="2411" spans="1:20" ht="15.75" customHeight="1" x14ac:dyDescent="0.25">
      <c r="A2411" s="390"/>
      <c r="B2411" s="390"/>
      <c r="C2411" s="390"/>
      <c r="D2411" s="391"/>
      <c r="E2411" s="390"/>
      <c r="F2411" s="390"/>
      <c r="G2411" s="390"/>
      <c r="H2411" s="394"/>
      <c r="I2411" s="388"/>
      <c r="J2411" s="388"/>
      <c r="K2411" s="388"/>
      <c r="L2411" s="388"/>
      <c r="M2411" s="388"/>
      <c r="N2411" s="388"/>
      <c r="O2411" s="388"/>
      <c r="P2411" s="388"/>
      <c r="Q2411" s="388"/>
      <c r="R2411" s="388"/>
      <c r="S2411" s="388"/>
      <c r="T2411" s="388"/>
    </row>
    <row r="2412" spans="1:20" ht="15.75" customHeight="1" x14ac:dyDescent="0.25">
      <c r="A2412" s="445"/>
      <c r="B2412" s="445"/>
      <c r="C2412" s="445"/>
      <c r="D2412" s="446"/>
      <c r="E2412" s="445" t="s">
        <v>99</v>
      </c>
      <c r="F2412" s="445"/>
      <c r="G2412" s="390"/>
      <c r="H2412" s="394"/>
    </row>
    <row r="2413" spans="1:20" ht="15.75" customHeight="1" x14ac:dyDescent="0.25">
      <c r="D2413" s="4"/>
      <c r="H2413" s="4"/>
    </row>
    <row r="2414" spans="1:20" ht="15.75" customHeight="1" x14ac:dyDescent="0.25">
      <c r="D2414" s="4"/>
      <c r="H2414" s="4"/>
    </row>
    <row r="2415" spans="1:20" ht="15.75" customHeight="1" x14ac:dyDescent="0.25">
      <c r="D2415" s="4"/>
      <c r="H2415" s="4"/>
    </row>
    <row r="2416" spans="1:20" ht="15.75" customHeight="1" x14ac:dyDescent="0.25">
      <c r="D2416" s="4"/>
      <c r="H2416" s="4"/>
    </row>
    <row r="2417" spans="1:8" ht="15.75" customHeight="1" x14ac:dyDescent="0.25">
      <c r="D2417" s="4"/>
      <c r="H2417" s="4"/>
    </row>
    <row r="2418" spans="1:8" ht="15.75" customHeight="1" x14ac:dyDescent="0.25">
      <c r="D2418" s="4"/>
      <c r="H2418" s="4"/>
    </row>
    <row r="2419" spans="1:8" ht="15.75" customHeight="1" x14ac:dyDescent="0.25">
      <c r="D2419" s="4"/>
      <c r="H2419" s="4"/>
    </row>
    <row r="2420" spans="1:8" ht="15.75" customHeight="1" x14ac:dyDescent="0.25">
      <c r="D2420" s="4"/>
      <c r="H2420" s="4"/>
    </row>
    <row r="2421" spans="1:8" ht="15.75" customHeight="1" x14ac:dyDescent="0.25">
      <c r="D2421" s="4"/>
      <c r="H2421" s="4"/>
    </row>
    <row r="2422" spans="1:8" ht="15.75" customHeight="1" x14ac:dyDescent="0.25">
      <c r="D2422" s="4"/>
      <c r="H2422" s="4"/>
    </row>
    <row r="2423" spans="1:8" ht="15.75" customHeight="1" x14ac:dyDescent="0.25">
      <c r="D2423" s="4"/>
      <c r="H2423" s="4"/>
    </row>
    <row r="2424" spans="1:8" ht="15.75" customHeight="1" x14ac:dyDescent="0.25">
      <c r="D2424" s="4"/>
      <c r="H2424" s="4"/>
    </row>
    <row r="2425" spans="1:8" ht="15.75" customHeight="1" x14ac:dyDescent="0.25">
      <c r="D2425" s="4"/>
      <c r="H2425" s="4"/>
    </row>
    <row r="2426" spans="1:8" ht="15.75" customHeight="1" x14ac:dyDescent="0.25">
      <c r="A2426" s="398" t="s">
        <v>14</v>
      </c>
      <c r="B2426" s="398"/>
      <c r="C2426" s="398"/>
      <c r="D2426" s="398"/>
      <c r="E2426" s="398"/>
      <c r="F2426" s="398"/>
      <c r="G2426" s="398"/>
      <c r="H2426" s="398"/>
    </row>
    <row r="2427" spans="1:8" ht="15.75" customHeight="1" x14ac:dyDescent="0.25">
      <c r="A2427" s="390"/>
      <c r="B2427" s="390"/>
      <c r="C2427" s="390"/>
      <c r="D2427" s="391"/>
      <c r="E2427" s="390"/>
      <c r="F2427" s="390"/>
      <c r="G2427" s="390"/>
      <c r="H2427" s="398"/>
    </row>
    <row r="2428" spans="1:8" ht="15.75" customHeight="1" x14ac:dyDescent="0.25">
      <c r="A2428" s="390"/>
      <c r="B2428" s="390"/>
      <c r="C2428" s="391"/>
      <c r="D2428" s="392"/>
      <c r="E2428" s="393"/>
      <c r="F2428" s="393"/>
      <c r="G2428" s="393"/>
      <c r="H2428" s="394"/>
    </row>
    <row r="2429" spans="1:8" ht="15.75" customHeight="1" x14ac:dyDescent="0.25">
      <c r="A2429" s="390"/>
      <c r="B2429" s="390"/>
      <c r="C2429" s="390"/>
      <c r="D2429" s="391"/>
      <c r="E2429" s="390"/>
      <c r="F2429" s="395" t="s">
        <v>18</v>
      </c>
      <c r="G2429" s="396" t="s">
        <v>1195</v>
      </c>
      <c r="H2429" s="397"/>
    </row>
    <row r="2430" spans="1:8" ht="15.75" customHeight="1" x14ac:dyDescent="0.25">
      <c r="A2430" s="390" t="s">
        <v>20</v>
      </c>
      <c r="B2430" s="390"/>
      <c r="C2430" s="390"/>
      <c r="D2430" s="391"/>
      <c r="E2430" s="390"/>
      <c r="F2430" s="395" t="s">
        <v>21</v>
      </c>
      <c r="G2430" s="390" t="s">
        <v>1196</v>
      </c>
      <c r="H2430" s="391"/>
    </row>
    <row r="2431" spans="1:8" ht="15.75" customHeight="1" x14ac:dyDescent="0.25">
      <c r="A2431" s="390" t="inlineStr">
        <is>
          <t>Dealer-009</t>
        </is>
      </c>
      <c r="B2431" s="390"/>
      <c r="C2431" s="390" t="inlineStr">
        <is>
          <t>ATTN: Contact-001</t>
        </is>
      </c>
      <c r="D2431" s="391"/>
      <c r="E2431" s="395"/>
      <c r="F2431" s="390"/>
      <c r="G2431" s="390"/>
      <c r="H2431" s="394"/>
    </row>
    <row r="2432" spans="1:8" ht="15.75" customHeight="1" x14ac:dyDescent="0.25">
      <c r="A2432" s="390" t="inlineStr">
        <is>
          <t>Address line (redacted)</t>
        </is>
      </c>
      <c r="B2432" s="390"/>
      <c r="C2432" s="390"/>
      <c r="D2432" s="398"/>
      <c r="E2432" s="390"/>
      <c r="F2432" s="391"/>
      <c r="G2432" s="390"/>
      <c r="H2432" s="394"/>
    </row>
    <row r="2433" spans="1:8" ht="15.75" customHeight="1" x14ac:dyDescent="0.25">
      <c r="A2433" s="390" t="inlineStr">
        <is>
          <t>Address line (redacted)</t>
        </is>
      </c>
      <c r="B2433" s="390"/>
      <c r="C2433" s="390"/>
      <c r="D2433" s="398"/>
      <c r="E2433" s="390"/>
      <c r="F2433" s="391"/>
      <c r="G2433" s="390"/>
      <c r="H2433" s="394"/>
    </row>
    <row r="2434" spans="1:8" ht="15.75" customHeight="1" x14ac:dyDescent="0.25">
      <c r="A2434" s="447"/>
      <c r="B2434" s="390"/>
      <c r="C2434" s="390"/>
      <c r="D2434" s="391"/>
      <c r="E2434" s="390"/>
      <c r="F2434" s="391"/>
      <c r="G2434" s="390"/>
      <c r="H2434" s="394"/>
    </row>
    <row r="2435" spans="1:8" ht="15.75" customHeight="1" x14ac:dyDescent="0.25">
      <c r="A2435" s="390" t="s">
        <v>30</v>
      </c>
      <c r="B2435" s="390"/>
      <c r="C2435" s="390"/>
      <c r="D2435" s="391"/>
      <c r="E2435" s="390"/>
      <c r="F2435" s="391"/>
      <c r="G2435" s="390"/>
      <c r="H2435" s="394"/>
    </row>
    <row r="2436" spans="1:8" ht="15.75" customHeight="1" x14ac:dyDescent="0.25">
      <c r="A2436" s="390"/>
      <c r="B2436" s="390"/>
      <c r="C2436" s="390"/>
      <c r="D2436" s="391"/>
      <c r="E2436" s="390"/>
      <c r="F2436" s="391"/>
      <c r="G2436" s="390"/>
      <c r="H2436" s="394"/>
    </row>
    <row r="2437" spans="1:8" ht="15.75" customHeight="1" x14ac:dyDescent="0.25">
      <c r="A2437" s="390" t="s">
        <v>31</v>
      </c>
      <c r="B2437" s="390"/>
      <c r="C2437" s="390"/>
      <c r="D2437" s="391"/>
      <c r="E2437" s="390"/>
      <c r="F2437" s="391"/>
      <c r="G2437" s="390"/>
      <c r="H2437" s="394"/>
    </row>
    <row r="2438" spans="1:8" ht="15.75" customHeight="1" x14ac:dyDescent="0.25">
      <c r="A2438" s="390" t="s">
        <v>32</v>
      </c>
      <c r="B2438" s="390"/>
      <c r="C2438" s="390"/>
      <c r="D2438" s="391"/>
      <c r="E2438" s="390"/>
      <c r="F2438" s="391"/>
      <c r="G2438" s="390"/>
      <c r="H2438" s="394"/>
    </row>
    <row r="2439" spans="1:8" ht="15.75" customHeight="1" x14ac:dyDescent="0.25">
      <c r="A2439" s="390"/>
      <c r="B2439" s="390"/>
      <c r="C2439" s="390"/>
      <c r="D2439" s="391"/>
      <c r="E2439" s="390"/>
      <c r="F2439" s="391"/>
      <c r="G2439" s="390"/>
      <c r="H2439" s="394"/>
    </row>
    <row r="2440" spans="1:8" ht="15.75" customHeight="1" x14ac:dyDescent="0.25">
      <c r="A2440" s="399" t="s">
        <v>33</v>
      </c>
      <c r="B2440" s="400" t="s">
        <v>6</v>
      </c>
      <c r="C2440" s="400"/>
      <c r="D2440" s="401" t="s">
        <v>37</v>
      </c>
      <c r="E2440" s="402" t="s">
        <v>38</v>
      </c>
      <c r="F2440" s="403" t="s">
        <v>7</v>
      </c>
      <c r="G2440" s="404" t="s">
        <v>43</v>
      </c>
      <c r="H2440" s="405" t="s">
        <v>44</v>
      </c>
    </row>
    <row r="2441" spans="1:8" ht="15.75" customHeight="1" x14ac:dyDescent="0.25">
      <c r="A2441" s="406"/>
      <c r="B2441" s="407"/>
      <c r="C2441" s="393"/>
      <c r="D2441" s="408"/>
      <c r="E2441" s="408"/>
      <c r="F2441" s="409"/>
      <c r="G2441" s="410"/>
      <c r="H2441" s="411"/>
    </row>
    <row r="2442" spans="1:8" ht="15.75" customHeight="1" x14ac:dyDescent="0.25">
      <c r="A2442" s="556"/>
      <c r="B2442" s="557" t="s">
        <v>1102</v>
      </c>
      <c r="C2442" s="558"/>
      <c r="D2442" s="408"/>
      <c r="E2442" s="408"/>
      <c r="F2442" s="398"/>
      <c r="G2442" s="408"/>
      <c r="H2442" s="559"/>
    </row>
    <row r="2443" spans="1:8" ht="15.75" customHeight="1" x14ac:dyDescent="0.25">
      <c r="A2443" s="425" t="s">
        <v>55</v>
      </c>
      <c r="B2443" s="448" t="s">
        <v>1201</v>
      </c>
      <c r="C2443" s="507" t="s">
        <v>36</v>
      </c>
      <c r="D2443" s="427">
        <v>1</v>
      </c>
      <c r="E2443" s="427">
        <v>5</v>
      </c>
      <c r="F2443" s="391">
        <f t="shared" ref="F2443:F2444" si="23">+E2443*D2443</f>
      </c>
      <c r="G2443" s="427">
        <v>1</v>
      </c>
      <c r="H2443" s="429">
        <f t="shared" ref="H2443:H2445" si="24">+G2443*F2443</f>
      </c>
    </row>
    <row r="2444" spans="1:8" ht="15.75" customHeight="1" x14ac:dyDescent="0.25">
      <c r="A2444" s="425" t="s">
        <v>59</v>
      </c>
      <c r="B2444" s="448" t="s">
        <v>1203</v>
      </c>
      <c r="C2444" s="507" t="s">
        <v>47</v>
      </c>
      <c r="D2444" s="427">
        <v>3</v>
      </c>
      <c r="E2444" s="427">
        <v>5</v>
      </c>
      <c r="F2444" s="391">
        <f t="shared" si="23"/>
      </c>
      <c r="G2444" s="427">
        <v>1</v>
      </c>
      <c r="H2444" s="429">
        <f t="shared" si="24"/>
      </c>
    </row>
    <row r="2445" spans="1:8" ht="15.75" customHeight="1" x14ac:dyDescent="0.25">
      <c r="A2445" s="425" t="s">
        <v>67</v>
      </c>
      <c r="B2445" s="448" t="s">
        <v>34</v>
      </c>
      <c r="C2445" s="507" t="s">
        <v>25</v>
      </c>
      <c r="D2445" s="427">
        <v>6</v>
      </c>
      <c r="E2445" s="427">
        <v>5</v>
      </c>
      <c r="F2445" s="391">
        <v>30</v>
      </c>
      <c r="G2445" s="427">
        <v>1</v>
      </c>
      <c r="H2445" s="429">
        <f t="shared" si="24"/>
      </c>
    </row>
    <row r="2446" spans="1:8" ht="15.75" customHeight="1" x14ac:dyDescent="0.25">
      <c r="A2446" s="425"/>
      <c r="B2446" s="557" t="s">
        <v>590</v>
      </c>
      <c r="C2446" s="558"/>
      <c r="D2446" s="427"/>
      <c r="E2446" s="427"/>
      <c r="F2446" s="391"/>
      <c r="G2446" s="427"/>
      <c r="H2446" s="429"/>
    </row>
    <row r="2447" spans="1:8" ht="14.25" customHeight="1" x14ac:dyDescent="0.25">
      <c r="A2447" s="425" t="s">
        <v>485</v>
      </c>
      <c r="B2447" s="448" t="s">
        <v>187</v>
      </c>
      <c r="C2447" s="449" t="s">
        <v>704</v>
      </c>
      <c r="D2447" s="427">
        <v>4</v>
      </c>
      <c r="E2447" s="427">
        <v>8</v>
      </c>
      <c r="F2447" s="391">
        <f>+E2447*D2447</f>
      </c>
      <c r="G2447" s="427">
        <v>1</v>
      </c>
      <c r="H2447" s="429">
        <f t="shared" ref="H2447:H2448" si="25">+G2447*F2447</f>
      </c>
    </row>
    <row r="2448" spans="1:8" ht="15.75" customHeight="1" x14ac:dyDescent="0.25">
      <c r="A2448" s="425" t="s">
        <v>486</v>
      </c>
      <c r="B2448" s="448" t="s">
        <v>1206</v>
      </c>
      <c r="C2448" s="390"/>
      <c r="D2448" s="427">
        <v>1</v>
      </c>
      <c r="E2448" s="427">
        <v>5</v>
      </c>
      <c r="F2448" s="391">
        <v>5</v>
      </c>
      <c r="G2448" s="427">
        <v>1</v>
      </c>
      <c r="H2448" s="429">
        <f t="shared" si="25"/>
      </c>
    </row>
    <row r="2449" spans="1:8" ht="15.75" customHeight="1" x14ac:dyDescent="0.25">
      <c r="A2449" s="425"/>
      <c r="B2449" s="557" t="s">
        <v>1207</v>
      </c>
      <c r="C2449" s="558"/>
      <c r="D2449" s="427"/>
      <c r="E2449" s="427"/>
      <c r="F2449" s="391"/>
      <c r="G2449" s="427"/>
      <c r="H2449" s="429"/>
    </row>
    <row r="2450" spans="1:8" ht="15.75" customHeight="1" x14ac:dyDescent="0.25">
      <c r="A2450" s="502" t="s">
        <v>489</v>
      </c>
      <c r="B2450" s="503" t="s">
        <v>134</v>
      </c>
      <c r="C2450" s="390"/>
      <c r="D2450" s="427">
        <v>5</v>
      </c>
      <c r="E2450" s="427">
        <v>1</v>
      </c>
      <c r="F2450" s="391">
        <v>5</v>
      </c>
      <c r="G2450" s="427">
        <v>1</v>
      </c>
      <c r="H2450" s="429">
        <f>+G2450*F2450</f>
      </c>
    </row>
    <row r="2451" spans="1:8" ht="15.75" customHeight="1" x14ac:dyDescent="0.25">
      <c r="A2451" s="425"/>
      <c r="B2451" s="557" t="s">
        <v>531</v>
      </c>
      <c r="C2451" s="558"/>
      <c r="D2451" s="427"/>
      <c r="E2451" s="427"/>
      <c r="F2451" s="391"/>
      <c r="G2451" s="427"/>
      <c r="H2451" s="429"/>
    </row>
    <row r="2452" spans="1:8" ht="15.75" customHeight="1" x14ac:dyDescent="0.25">
      <c r="A2452" s="502" t="s">
        <v>490</v>
      </c>
      <c r="B2452" s="503" t="s">
        <v>1208</v>
      </c>
      <c r="C2452" s="390"/>
      <c r="D2452" s="427">
        <v>5</v>
      </c>
      <c r="E2452" s="427">
        <v>10</v>
      </c>
      <c r="F2452" s="391">
        <f t="shared" ref="F2452:F2454" si="26">+E2452*D2452</f>
      </c>
      <c r="G2452" s="427">
        <v>1</v>
      </c>
      <c r="H2452" s="429">
        <f t="shared" ref="H2452:H2454" si="27">+G2452*F2452</f>
      </c>
    </row>
    <row r="2453" spans="1:8" ht="15.75" customHeight="1" x14ac:dyDescent="0.25">
      <c r="A2453" s="502" t="s">
        <v>781</v>
      </c>
      <c r="B2453" s="503" t="s">
        <v>1210</v>
      </c>
      <c r="C2453" s="390"/>
      <c r="D2453" s="427">
        <v>5</v>
      </c>
      <c r="E2453" s="427">
        <v>10</v>
      </c>
      <c r="F2453" s="391">
        <f t="shared" si="26"/>
      </c>
      <c r="G2453" s="427">
        <v>1</v>
      </c>
      <c r="H2453" s="429">
        <f t="shared" si="27"/>
      </c>
    </row>
    <row r="2454" spans="1:8" ht="15.75" customHeight="1" x14ac:dyDescent="0.25">
      <c r="A2454" s="502" t="s">
        <v>785</v>
      </c>
      <c r="B2454" s="503" t="s">
        <v>1211</v>
      </c>
      <c r="C2454" s="390"/>
      <c r="D2454" s="427">
        <v>5</v>
      </c>
      <c r="E2454" s="427">
        <v>10</v>
      </c>
      <c r="F2454" s="391">
        <f t="shared" si="26"/>
      </c>
      <c r="G2454" s="427">
        <v>1</v>
      </c>
      <c r="H2454" s="429">
        <f t="shared" si="27"/>
      </c>
    </row>
    <row r="2455" spans="1:8" ht="15.75" customHeight="1" x14ac:dyDescent="0.25">
      <c r="A2455" s="425"/>
      <c r="B2455" s="557" t="s">
        <v>50</v>
      </c>
      <c r="C2455" s="558"/>
      <c r="D2455" s="427"/>
      <c r="E2455" s="427"/>
      <c r="F2455" s="391"/>
      <c r="G2455" s="427"/>
      <c r="H2455" s="429"/>
    </row>
    <row r="2456" spans="1:8" ht="15.75" customHeight="1" x14ac:dyDescent="0.25">
      <c r="A2456" s="502" t="s">
        <v>787</v>
      </c>
      <c r="B2456" s="503" t="s">
        <v>1212</v>
      </c>
      <c r="C2456" s="390" t="s">
        <v>109</v>
      </c>
      <c r="D2456" s="427">
        <f>600/25</f>
      </c>
      <c r="E2456" s="427">
        <v>25</v>
      </c>
      <c r="F2456" s="391">
        <f t="shared" ref="F2456:F2457" si="28">+E2456*D2456</f>
      </c>
      <c r="G2456" s="427">
        <v>1</v>
      </c>
      <c r="H2456" s="429">
        <f t="shared" ref="H2456:H2457" si="29">+G2456*F2456</f>
      </c>
    </row>
    <row r="2457" spans="1:8" ht="15.75" customHeight="1" x14ac:dyDescent="0.25">
      <c r="A2457" s="502" t="s">
        <v>790</v>
      </c>
      <c r="B2457" s="503" t="s">
        <v>1213</v>
      </c>
      <c r="C2457" s="390" t="s">
        <v>1175</v>
      </c>
      <c r="D2457" s="427">
        <f>300/20</f>
      </c>
      <c r="E2457" s="427">
        <v>20</v>
      </c>
      <c r="F2457" s="391">
        <f t="shared" si="28"/>
      </c>
      <c r="G2457" s="427">
        <v>1</v>
      </c>
      <c r="H2457" s="429">
        <f t="shared" si="29"/>
      </c>
    </row>
    <row r="2458" spans="1:8" ht="15.75" customHeight="1" x14ac:dyDescent="0.25">
      <c r="A2458" s="425"/>
      <c r="B2458" s="557" t="s">
        <v>674</v>
      </c>
      <c r="C2458" s="558"/>
      <c r="D2458" s="427"/>
      <c r="E2458" s="427"/>
      <c r="F2458" s="391"/>
      <c r="G2458" s="427"/>
      <c r="H2458" s="429"/>
    </row>
    <row r="2459" spans="1:8" ht="15.75" customHeight="1" x14ac:dyDescent="0.25">
      <c r="A2459" s="502" t="s">
        <v>792</v>
      </c>
      <c r="B2459" s="503" t="s">
        <v>931</v>
      </c>
      <c r="C2459" s="390"/>
      <c r="D2459" s="427">
        <v>10</v>
      </c>
      <c r="E2459" s="427">
        <v>1</v>
      </c>
      <c r="F2459" s="391">
        <f>+E2459*D2459</f>
      </c>
      <c r="G2459" s="427">
        <v>1</v>
      </c>
      <c r="H2459" s="429">
        <f>+G2459*F2459</f>
      </c>
    </row>
    <row r="2460" spans="1:8" ht="15.75" customHeight="1" x14ac:dyDescent="0.25">
      <c r="A2460" s="502"/>
      <c r="B2460" s="503" t="s">
        <v>1214</v>
      </c>
      <c r="C2460" s="390"/>
      <c r="D2460" s="427"/>
      <c r="E2460" s="427"/>
      <c r="F2460" s="391"/>
      <c r="G2460" s="427"/>
      <c r="H2460" s="429"/>
    </row>
    <row r="2461" spans="1:8" ht="15.75" customHeight="1" x14ac:dyDescent="0.25">
      <c r="A2461" s="502"/>
      <c r="B2461" s="503"/>
      <c r="C2461" s="390"/>
      <c r="D2461" s="427"/>
      <c r="E2461" s="427"/>
      <c r="F2461" s="391"/>
      <c r="G2461" s="427"/>
      <c r="H2461" s="429"/>
    </row>
    <row r="2462" spans="1:8" ht="15.75" customHeight="1" x14ac:dyDescent="0.25">
      <c r="A2462" s="432"/>
      <c r="B2462" s="433"/>
      <c r="C2462" s="434" t="s">
        <v>85</v>
      </c>
      <c r="D2462" s="435">
        <f>SUM(D2443:D2461)</f>
      </c>
      <c r="E2462" s="435"/>
      <c r="F2462" s="436"/>
      <c r="G2462" s="437"/>
      <c r="H2462" s="438">
        <f>SUM(H2443:H2461)</f>
      </c>
    </row>
    <row r="2463" spans="1:8" ht="15.75" customHeight="1" x14ac:dyDescent="0.25">
      <c r="A2463" s="439"/>
      <c r="B2463" s="440"/>
      <c r="C2463" s="440"/>
      <c r="D2463" s="441"/>
      <c r="E2463" s="440"/>
      <c r="F2463" s="442"/>
      <c r="G2463" s="443"/>
      <c r="H2463" s="444"/>
    </row>
    <row r="2464" spans="1:8" ht="15.75" customHeight="1" x14ac:dyDescent="0.25">
      <c r="A2464" s="565" t="s">
        <v>1215</v>
      </c>
      <c r="B2464" s="565"/>
      <c r="C2464" s="565"/>
      <c r="D2464" s="565"/>
      <c r="E2464" s="565"/>
      <c r="F2464" s="565"/>
      <c r="G2464" s="565"/>
      <c r="H2464" s="565"/>
    </row>
    <row r="2465" spans="1:20" ht="15.75" customHeight="1" x14ac:dyDescent="0.25">
      <c r="A2465" s="445"/>
      <c r="B2465" s="445"/>
      <c r="C2465" s="445"/>
      <c r="D2465" s="446" t="s">
        <v>97</v>
      </c>
      <c r="E2465" s="445" t="s">
        <v>98</v>
      </c>
      <c r="F2465" s="445"/>
      <c r="G2465" s="390"/>
      <c r="H2465" s="394"/>
    </row>
    <row r="2466" spans="1:20" ht="15.75" customHeight="1" x14ac:dyDescent="0.25">
      <c r="A2466" s="390"/>
      <c r="B2466" s="390"/>
      <c r="C2466" s="390"/>
      <c r="D2466" s="391"/>
      <c r="E2466" s="390"/>
      <c r="F2466" s="390"/>
      <c r="G2466" s="390"/>
      <c r="H2466" s="394"/>
    </row>
    <row r="2467" spans="1:20" ht="15.75" customHeight="1" x14ac:dyDescent="0.25">
      <c r="A2467" s="390"/>
      <c r="B2467" s="390"/>
      <c r="C2467" s="390"/>
      <c r="D2467" s="391"/>
      <c r="E2467" s="390"/>
      <c r="F2467" s="390"/>
      <c r="G2467" s="390"/>
      <c r="H2467" s="394"/>
    </row>
    <row r="2468" spans="1:20" ht="15.75" customHeight="1" x14ac:dyDescent="0.25">
      <c r="A2468" s="445"/>
      <c r="B2468" s="445"/>
      <c r="C2468" s="445"/>
      <c r="D2468" s="446"/>
      <c r="E2468" s="445" t="s">
        <v>99</v>
      </c>
      <c r="F2468" s="445"/>
      <c r="G2468" s="390"/>
      <c r="H2468" s="394"/>
    </row>
    <row r="2469" spans="1:20" ht="15.75" customHeight="1" x14ac:dyDescent="0.25">
      <c r="D2469" s="4"/>
      <c r="H2469" s="4"/>
    </row>
    <row r="2470" spans="1:20" ht="15.75" customHeight="1" x14ac:dyDescent="0.25">
      <c r="D2470" s="4"/>
      <c r="H2470" s="4"/>
    </row>
    <row r="2471" spans="1:20" ht="15.75" customHeight="1" x14ac:dyDescent="0.25">
      <c r="D2471" s="4"/>
      <c r="H2471" s="4"/>
    </row>
    <row r="2472" spans="1:20" ht="15.75" customHeight="1" x14ac:dyDescent="0.25">
      <c r="D2472" s="4"/>
      <c r="H2472" s="4"/>
      <c r="I2472" s="390"/>
      <c r="J2472" s="390"/>
      <c r="K2472" s="390"/>
      <c r="L2472" s="390"/>
      <c r="M2472" s="390"/>
      <c r="N2472" s="390"/>
      <c r="O2472" s="390"/>
      <c r="P2472" s="390"/>
      <c r="Q2472" s="390"/>
      <c r="R2472" s="390"/>
      <c r="S2472" s="390"/>
      <c r="T2472" s="390"/>
    </row>
    <row r="2473" spans="1:20" ht="15.75" customHeight="1" x14ac:dyDescent="0.25">
      <c r="A2473" s="566" t="s">
        <v>14</v>
      </c>
      <c r="B2473" s="567"/>
      <c r="C2473" s="567"/>
      <c r="D2473" s="567"/>
      <c r="E2473" s="567"/>
      <c r="F2473" s="567"/>
      <c r="G2473" s="567"/>
      <c r="H2473" s="568"/>
      <c r="I2473" s="390"/>
      <c r="J2473" s="390"/>
      <c r="K2473" s="390"/>
      <c r="L2473" s="390"/>
      <c r="M2473" s="390"/>
      <c r="N2473" s="390"/>
      <c r="O2473" s="390"/>
      <c r="P2473" s="390"/>
      <c r="Q2473" s="390"/>
      <c r="R2473" s="390"/>
      <c r="S2473" s="390"/>
      <c r="T2473" s="390"/>
    </row>
    <row r="2474" spans="1:20" ht="15.75" customHeight="1" x14ac:dyDescent="0.25">
      <c r="A2474" s="390"/>
      <c r="B2474" s="390"/>
      <c r="C2474" s="391"/>
      <c r="D2474" s="392"/>
      <c r="E2474" s="569"/>
      <c r="F2474" s="391"/>
      <c r="G2474" s="390"/>
      <c r="H2474" s="394"/>
      <c r="I2474" s="390"/>
      <c r="J2474" s="390"/>
      <c r="K2474" s="390"/>
      <c r="L2474" s="390"/>
      <c r="M2474" s="390"/>
      <c r="N2474" s="390"/>
      <c r="O2474" s="390"/>
      <c r="P2474" s="390"/>
      <c r="Q2474" s="390"/>
      <c r="R2474" s="390"/>
      <c r="S2474" s="390"/>
      <c r="T2474" s="390"/>
    </row>
    <row r="2475" spans="1:20" ht="15.75" customHeight="1" x14ac:dyDescent="0.25">
      <c r="A2475" s="390"/>
      <c r="B2475" s="390"/>
      <c r="C2475" s="390"/>
      <c r="D2475" s="391"/>
      <c r="E2475" s="390"/>
      <c r="F2475" s="395" t="s">
        <v>18</v>
      </c>
      <c r="G2475" s="396" t="s">
        <v>620</v>
      </c>
      <c r="H2475" s="394"/>
      <c r="I2475" s="390"/>
      <c r="J2475" s="390"/>
      <c r="K2475" s="390"/>
      <c r="L2475" s="390"/>
      <c r="M2475" s="390"/>
      <c r="N2475" s="390"/>
      <c r="O2475" s="390"/>
      <c r="P2475" s="390"/>
      <c r="Q2475" s="390"/>
      <c r="R2475" s="390"/>
      <c r="S2475" s="390"/>
      <c r="T2475" s="390"/>
    </row>
    <row r="2476" spans="1:20" ht="15.75" customHeight="1" x14ac:dyDescent="0.25">
      <c r="A2476" s="390" t="s">
        <v>20</v>
      </c>
      <c r="B2476" s="390"/>
      <c r="C2476" s="390"/>
      <c r="D2476" s="391"/>
      <c r="E2476" s="390"/>
      <c r="F2476" s="395" t="s">
        <v>21</v>
      </c>
      <c r="G2476" s="390" t="s">
        <v>1216</v>
      </c>
      <c r="H2476" s="394"/>
      <c r="I2476" s="390"/>
      <c r="J2476" s="390"/>
      <c r="K2476" s="390"/>
      <c r="L2476" s="390"/>
      <c r="M2476" s="390"/>
      <c r="N2476" s="390"/>
      <c r="O2476" s="390"/>
      <c r="P2476" s="390"/>
      <c r="Q2476" s="390"/>
      <c r="R2476" s="390"/>
      <c r="S2476" s="390"/>
      <c r="T2476" s="390"/>
    </row>
    <row r="2477" spans="1:20" ht="15.75" customHeight="1" x14ac:dyDescent="0.25">
      <c r="A2477" s="390" t="inlineStr">
        <is>
          <t>Dealer-010</t>
        </is>
      </c>
      <c r="B2477" s="390"/>
      <c r="C2477" s="390"/>
      <c r="D2477" s="391"/>
      <c r="E2477" s="390"/>
      <c r="F2477" s="391"/>
      <c r="G2477" s="390"/>
      <c r="H2477" s="394"/>
      <c r="I2477" s="390"/>
      <c r="J2477" s="390"/>
      <c r="K2477" s="390"/>
      <c r="L2477" s="390"/>
      <c r="M2477" s="390"/>
      <c r="N2477" s="390"/>
      <c r="O2477" s="390"/>
      <c r="P2477" s="390"/>
      <c r="Q2477" s="390"/>
      <c r="R2477" s="390"/>
      <c r="S2477" s="390"/>
      <c r="T2477" s="390"/>
    </row>
    <row r="2478" spans="1:20" ht="15.75" customHeight="1" x14ac:dyDescent="0.25">
      <c r="A2478" s="390" t="inlineStr">
        <is>
          <t>Address line (redacted)</t>
        </is>
      </c>
      <c r="B2478" s="390"/>
      <c r="C2478" s="390"/>
      <c r="D2478" s="398"/>
      <c r="E2478" s="390"/>
      <c r="F2478" s="391"/>
      <c r="G2478" s="390"/>
      <c r="H2478" s="394"/>
      <c r="I2478" s="390"/>
      <c r="J2478" s="390"/>
      <c r="K2478" s="390"/>
      <c r="L2478" s="390"/>
      <c r="M2478" s="390"/>
      <c r="N2478" s="390"/>
      <c r="O2478" s="390"/>
      <c r="P2478" s="390"/>
      <c r="Q2478" s="390"/>
      <c r="R2478" s="390"/>
      <c r="S2478" s="390"/>
      <c r="T2478" s="390"/>
    </row>
    <row r="2479" spans="1:20" ht="15.75" customHeight="1" x14ac:dyDescent="0.25">
      <c r="A2479" s="390" t="inlineStr">
        <is>
          <t>Address line (redacted)</t>
        </is>
      </c>
      <c r="B2479" s="390"/>
      <c r="C2479" s="390"/>
      <c r="D2479" s="398"/>
      <c r="E2479" s="390"/>
      <c r="F2479" s="391"/>
      <c r="G2479" s="390"/>
      <c r="H2479" s="394"/>
      <c r="I2479" s="390"/>
      <c r="J2479" s="390"/>
      <c r="K2479" s="390"/>
      <c r="L2479" s="390"/>
      <c r="M2479" s="390"/>
      <c r="N2479" s="390"/>
      <c r="O2479" s="390"/>
      <c r="P2479" s="390"/>
      <c r="Q2479" s="390"/>
      <c r="R2479" s="390"/>
      <c r="S2479" s="390"/>
      <c r="T2479" s="390"/>
    </row>
    <row r="2480" spans="1:20" ht="15.75" customHeight="1" x14ac:dyDescent="0.25">
      <c r="A2480" s="390" t="inlineStr">
        <is>
          <t>Address line (redacted)</t>
        </is>
      </c>
      <c r="B2480" s="390"/>
      <c r="C2480" s="390"/>
      <c r="D2480" s="398"/>
      <c r="E2480" s="390"/>
      <c r="F2480" s="391"/>
      <c r="G2480" s="390"/>
      <c r="H2480" s="394"/>
      <c r="I2480" s="390"/>
      <c r="J2480" s="390"/>
      <c r="K2480" s="390"/>
      <c r="L2480" s="390"/>
      <c r="M2480" s="390"/>
      <c r="N2480" s="390"/>
      <c r="O2480" s="390"/>
      <c r="P2480" s="390"/>
      <c r="Q2480" s="390"/>
      <c r="R2480" s="390"/>
      <c r="S2480" s="390"/>
      <c r="T2480" s="390"/>
    </row>
    <row r="2481" spans="1:20" ht="15.75" customHeight="1" x14ac:dyDescent="0.25">
      <c r="A2481" s="390"/>
      <c r="B2481" s="390"/>
      <c r="C2481" s="390"/>
      <c r="D2481" s="398"/>
      <c r="E2481" s="390"/>
      <c r="F2481" s="391"/>
      <c r="G2481" s="390"/>
      <c r="H2481" s="394"/>
      <c r="I2481" s="390"/>
      <c r="J2481" s="390"/>
      <c r="K2481" s="390"/>
      <c r="L2481" s="390"/>
      <c r="M2481" s="390"/>
      <c r="N2481" s="390"/>
      <c r="O2481" s="390"/>
      <c r="P2481" s="390"/>
      <c r="Q2481" s="390"/>
      <c r="R2481" s="390"/>
      <c r="S2481" s="390"/>
      <c r="T2481" s="390"/>
    </row>
    <row r="2482" spans="1:20" ht="15.75" customHeight="1" x14ac:dyDescent="0.25">
      <c r="A2482" s="390" t="s">
        <v>30</v>
      </c>
      <c r="B2482" s="390"/>
      <c r="C2482" s="390"/>
      <c r="D2482" s="391"/>
      <c r="E2482" s="390"/>
      <c r="F2482" s="391"/>
      <c r="G2482" s="390"/>
      <c r="H2482" s="394"/>
      <c r="I2482" s="390"/>
      <c r="J2482" s="390"/>
      <c r="K2482" s="390"/>
      <c r="L2482" s="390"/>
      <c r="M2482" s="390"/>
      <c r="N2482" s="390"/>
      <c r="O2482" s="390"/>
      <c r="P2482" s="390"/>
      <c r="Q2482" s="390"/>
      <c r="R2482" s="390"/>
      <c r="S2482" s="390"/>
      <c r="T2482" s="390"/>
    </row>
    <row r="2483" spans="1:20" ht="15.75" customHeight="1" x14ac:dyDescent="0.25">
      <c r="A2483" s="390"/>
      <c r="B2483" s="390"/>
      <c r="C2483" s="390"/>
      <c r="D2483" s="391"/>
      <c r="E2483" s="390"/>
      <c r="F2483" s="391"/>
      <c r="G2483" s="390"/>
      <c r="H2483" s="394"/>
      <c r="I2483" s="390"/>
      <c r="J2483" s="390"/>
      <c r="K2483" s="390"/>
      <c r="L2483" s="390"/>
      <c r="M2483" s="390"/>
      <c r="N2483" s="390"/>
      <c r="O2483" s="390"/>
      <c r="P2483" s="390"/>
      <c r="Q2483" s="390"/>
      <c r="R2483" s="390"/>
      <c r="S2483" s="390"/>
      <c r="T2483" s="390"/>
    </row>
    <row r="2484" spans="1:20" ht="15.75" customHeight="1" x14ac:dyDescent="0.25">
      <c r="A2484" s="390" t="s">
        <v>31</v>
      </c>
      <c r="B2484" s="390"/>
      <c r="C2484" s="390"/>
      <c r="D2484" s="391"/>
      <c r="E2484" s="390"/>
      <c r="F2484" s="391"/>
      <c r="G2484" s="390"/>
      <c r="H2484" s="394"/>
      <c r="I2484" s="390"/>
      <c r="J2484" s="390"/>
      <c r="K2484" s="390"/>
      <c r="L2484" s="390"/>
      <c r="M2484" s="390"/>
      <c r="N2484" s="390"/>
      <c r="O2484" s="390"/>
      <c r="P2484" s="390"/>
      <c r="Q2484" s="390"/>
      <c r="R2484" s="390"/>
      <c r="S2484" s="390"/>
      <c r="T2484" s="390"/>
    </row>
    <row r="2485" spans="1:20" ht="15.75" customHeight="1" x14ac:dyDescent="0.25">
      <c r="A2485" s="390" t="s">
        <v>32</v>
      </c>
      <c r="B2485" s="390"/>
      <c r="C2485" s="390"/>
      <c r="D2485" s="391"/>
      <c r="E2485" s="390"/>
      <c r="F2485" s="391"/>
      <c r="G2485" s="390"/>
      <c r="H2485" s="394"/>
      <c r="I2485" s="390"/>
      <c r="J2485" s="390"/>
      <c r="K2485" s="390"/>
      <c r="L2485" s="390"/>
      <c r="M2485" s="390"/>
      <c r="N2485" s="390"/>
      <c r="O2485" s="390"/>
      <c r="P2485" s="390"/>
      <c r="Q2485" s="390"/>
      <c r="R2485" s="390"/>
      <c r="S2485" s="390"/>
      <c r="T2485" s="390"/>
    </row>
    <row r="2486" spans="1:20" ht="15.75" customHeight="1" x14ac:dyDescent="0.25">
      <c r="A2486" s="390"/>
      <c r="B2486" s="390"/>
      <c r="C2486" s="390"/>
      <c r="D2486" s="391"/>
      <c r="E2486" s="390"/>
      <c r="F2486" s="391"/>
      <c r="G2486" s="390"/>
      <c r="H2486" s="394"/>
      <c r="I2486" s="390"/>
      <c r="J2486" s="390"/>
      <c r="K2486" s="390"/>
      <c r="L2486" s="390"/>
      <c r="M2486" s="390"/>
      <c r="N2486" s="390"/>
      <c r="O2486" s="390"/>
      <c r="P2486" s="390"/>
      <c r="Q2486" s="390"/>
      <c r="R2486" s="390"/>
      <c r="S2486" s="390"/>
      <c r="T2486" s="390"/>
    </row>
    <row r="2487" spans="1:20" ht="15.75" customHeight="1" x14ac:dyDescent="0.25">
      <c r="A2487" s="399" t="s">
        <v>33</v>
      </c>
      <c r="B2487" s="400" t="s">
        <v>6</v>
      </c>
      <c r="C2487" s="400"/>
      <c r="D2487" s="401" t="s">
        <v>37</v>
      </c>
      <c r="E2487" s="402" t="s">
        <v>38</v>
      </c>
      <c r="F2487" s="403" t="s">
        <v>7</v>
      </c>
      <c r="G2487" s="404" t="s">
        <v>43</v>
      </c>
      <c r="H2487" s="405" t="s">
        <v>44</v>
      </c>
      <c r="I2487" s="390"/>
      <c r="J2487" s="390"/>
      <c r="K2487" s="390"/>
      <c r="L2487" s="390"/>
      <c r="M2487" s="390"/>
      <c r="N2487" s="390"/>
      <c r="O2487" s="390"/>
      <c r="P2487" s="390"/>
      <c r="Q2487" s="390"/>
      <c r="R2487" s="390"/>
      <c r="S2487" s="390"/>
      <c r="T2487" s="390"/>
    </row>
    <row r="2488" spans="1:20" ht="15.75" customHeight="1" x14ac:dyDescent="0.25">
      <c r="A2488" s="406"/>
      <c r="B2488" s="407"/>
      <c r="C2488" s="393"/>
      <c r="D2488" s="408"/>
      <c r="E2488" s="408"/>
      <c r="F2488" s="409"/>
      <c r="G2488" s="410"/>
      <c r="H2488" s="411"/>
      <c r="I2488" s="390"/>
      <c r="J2488" s="390"/>
      <c r="K2488" s="390"/>
      <c r="L2488" s="390"/>
      <c r="M2488" s="390"/>
      <c r="N2488" s="390"/>
      <c r="O2488" s="390"/>
      <c r="P2488" s="390"/>
      <c r="Q2488" s="390"/>
      <c r="R2488" s="390"/>
      <c r="S2488" s="390"/>
      <c r="T2488" s="390"/>
    </row>
    <row r="2489" spans="1:20" ht="15.75" customHeight="1" x14ac:dyDescent="0.25">
      <c r="A2489" s="571">
        <v>1</v>
      </c>
      <c r="B2489" s="572" t="s">
        <v>1223</v>
      </c>
      <c r="C2489" s="573" t="s">
        <v>891</v>
      </c>
      <c r="D2489" s="427">
        <v>5</v>
      </c>
      <c r="E2489" s="427">
        <v>10</v>
      </c>
      <c r="F2489" s="391">
        <f>+E2489*D2489</f>
      </c>
      <c r="G2489" s="427">
        <v>1</v>
      </c>
      <c r="H2489" s="429">
        <f>+G2489*F2489</f>
      </c>
      <c r="I2489" s="390"/>
      <c r="J2489" s="390"/>
      <c r="K2489" s="390"/>
      <c r="L2489" s="390"/>
      <c r="M2489" s="390"/>
      <c r="N2489" s="390"/>
      <c r="O2489" s="390"/>
      <c r="P2489" s="390"/>
      <c r="Q2489" s="390"/>
      <c r="R2489" s="390"/>
      <c r="S2489" s="390"/>
      <c r="T2489" s="390"/>
    </row>
    <row r="2490" spans="1:20" ht="15.75" customHeight="1" x14ac:dyDescent="0.25">
      <c r="A2490" s="425"/>
      <c r="B2490" s="448"/>
      <c r="C2490" s="574"/>
      <c r="D2490" s="427"/>
      <c r="E2490" s="427"/>
      <c r="F2490" s="391"/>
      <c r="G2490" s="427"/>
      <c r="H2490" s="429"/>
      <c r="I2490" s="390"/>
      <c r="J2490" s="390"/>
      <c r="K2490" s="390"/>
      <c r="L2490" s="390"/>
      <c r="M2490" s="390"/>
      <c r="N2490" s="390"/>
      <c r="O2490" s="390"/>
      <c r="P2490" s="390"/>
      <c r="Q2490" s="390"/>
      <c r="R2490" s="390"/>
      <c r="S2490" s="390"/>
      <c r="T2490" s="390"/>
    </row>
    <row r="2491" spans="1:20" ht="15.75" customHeight="1" x14ac:dyDescent="0.25">
      <c r="A2491" s="425"/>
      <c r="B2491" s="448"/>
      <c r="C2491" s="574"/>
      <c r="D2491" s="427"/>
      <c r="E2491" s="427"/>
      <c r="F2491" s="391"/>
      <c r="G2491" s="427"/>
      <c r="H2491" s="429"/>
      <c r="I2491" s="390"/>
      <c r="J2491" s="390"/>
      <c r="K2491" s="390"/>
      <c r="L2491" s="390"/>
      <c r="M2491" s="390"/>
      <c r="N2491" s="390"/>
      <c r="O2491" s="390"/>
      <c r="P2491" s="390"/>
      <c r="Q2491" s="390"/>
      <c r="R2491" s="390"/>
      <c r="S2491" s="390"/>
      <c r="T2491" s="390"/>
    </row>
    <row r="2492" spans="1:20" ht="15.75" customHeight="1" x14ac:dyDescent="0.25">
      <c r="A2492" s="425"/>
      <c r="B2492" s="448"/>
      <c r="C2492" s="574"/>
      <c r="D2492" s="427"/>
      <c r="E2492" s="427"/>
      <c r="F2492" s="391"/>
      <c r="G2492" s="427"/>
      <c r="H2492" s="429"/>
      <c r="I2492" s="390"/>
      <c r="J2492" s="390"/>
      <c r="K2492" s="390"/>
      <c r="L2492" s="390"/>
      <c r="M2492" s="390"/>
      <c r="N2492" s="390"/>
      <c r="O2492" s="390"/>
      <c r="P2492" s="390"/>
      <c r="Q2492" s="390"/>
      <c r="R2492" s="390"/>
      <c r="S2492" s="390"/>
      <c r="T2492" s="390"/>
    </row>
    <row r="2493" spans="1:20" ht="15.75" customHeight="1" x14ac:dyDescent="0.25">
      <c r="A2493" s="425"/>
      <c r="B2493" s="448"/>
      <c r="C2493" s="574"/>
      <c r="D2493" s="427"/>
      <c r="E2493" s="427"/>
      <c r="F2493" s="391"/>
      <c r="G2493" s="427"/>
      <c r="H2493" s="429"/>
      <c r="I2493" s="390"/>
      <c r="J2493" s="390"/>
      <c r="K2493" s="390"/>
      <c r="L2493" s="390"/>
      <c r="M2493" s="390"/>
      <c r="N2493" s="390"/>
      <c r="O2493" s="390"/>
      <c r="P2493" s="390"/>
      <c r="Q2493" s="390"/>
      <c r="R2493" s="390"/>
      <c r="S2493" s="390"/>
      <c r="T2493" s="390"/>
    </row>
    <row r="2494" spans="1:20" ht="15.75" customHeight="1" x14ac:dyDescent="0.25">
      <c r="A2494" s="430"/>
      <c r="B2494" s="409"/>
      <c r="C2494" s="393"/>
      <c r="D2494" s="427"/>
      <c r="E2494" s="427"/>
      <c r="F2494" s="428"/>
      <c r="G2494" s="431"/>
      <c r="H2494" s="429"/>
      <c r="I2494" s="390"/>
      <c r="J2494" s="390"/>
      <c r="K2494" s="390"/>
      <c r="L2494" s="390"/>
      <c r="M2494" s="390"/>
      <c r="N2494" s="390"/>
      <c r="O2494" s="390"/>
      <c r="P2494" s="390"/>
      <c r="Q2494" s="390"/>
      <c r="R2494" s="390"/>
      <c r="S2494" s="390"/>
      <c r="T2494" s="390"/>
    </row>
    <row r="2495" spans="1:20" ht="15.75" customHeight="1" x14ac:dyDescent="0.25">
      <c r="A2495" s="432"/>
      <c r="B2495" s="433"/>
      <c r="C2495" s="434" t="s">
        <v>85</v>
      </c>
      <c r="D2495" s="435">
        <f>SUM(D2489:D2494)</f>
      </c>
      <c r="E2495" s="435"/>
      <c r="F2495" s="436">
        <f>SUM(F2489:F2494)</f>
      </c>
      <c r="G2495" s="437"/>
      <c r="H2495" s="438">
        <f>SUM(H2489:H2494)</f>
      </c>
      <c r="I2495" s="390"/>
      <c r="J2495" s="390"/>
      <c r="K2495" s="390"/>
      <c r="L2495" s="390"/>
      <c r="M2495" s="390"/>
      <c r="N2495" s="390"/>
      <c r="O2495" s="390"/>
      <c r="P2495" s="390"/>
      <c r="Q2495" s="390"/>
      <c r="R2495" s="390"/>
      <c r="S2495" s="390"/>
      <c r="T2495" s="390"/>
    </row>
    <row r="2496" spans="1:20" ht="15.75" customHeight="1" x14ac:dyDescent="0.25">
      <c r="A2496" s="439"/>
      <c r="B2496" s="440"/>
      <c r="C2496" s="440"/>
      <c r="D2496" s="441"/>
      <c r="E2496" s="440"/>
      <c r="F2496" s="442"/>
      <c r="G2496" s="443"/>
      <c r="H2496" s="444"/>
      <c r="I2496" s="390"/>
      <c r="J2496" s="390"/>
      <c r="K2496" s="390"/>
      <c r="L2496" s="390"/>
      <c r="M2496" s="390"/>
      <c r="N2496" s="390"/>
      <c r="O2496" s="390"/>
      <c r="P2496" s="390"/>
      <c r="Q2496" s="390"/>
      <c r="R2496" s="390"/>
      <c r="S2496" s="390"/>
      <c r="T2496" s="390"/>
    </row>
    <row r="2497" spans="1:20" ht="15.75" customHeight="1" x14ac:dyDescent="0.25">
      <c r="A2497" s="392"/>
      <c r="B2497" s="391"/>
      <c r="C2497" s="391"/>
      <c r="D2497" s="391"/>
      <c r="E2497" s="390"/>
      <c r="F2497" s="392"/>
      <c r="G2497" s="390"/>
      <c r="H2497" s="394"/>
      <c r="I2497" s="390"/>
      <c r="J2497" s="390"/>
      <c r="K2497" s="390"/>
      <c r="L2497" s="390"/>
      <c r="M2497" s="390"/>
      <c r="N2497" s="390"/>
      <c r="O2497" s="390"/>
      <c r="P2497" s="390"/>
      <c r="Q2497" s="390"/>
      <c r="R2497" s="390"/>
      <c r="S2497" s="390"/>
      <c r="T2497" s="390"/>
    </row>
    <row r="2498" spans="1:20" ht="15.75" customHeight="1" x14ac:dyDescent="0.25">
      <c r="A2498" s="445"/>
      <c r="B2498" s="445"/>
      <c r="C2498" s="445"/>
      <c r="D2498" s="446" t="s">
        <v>97</v>
      </c>
      <c r="E2498" s="445" t="s">
        <v>98</v>
      </c>
      <c r="F2498" s="445"/>
      <c r="G2498" s="390"/>
      <c r="H2498" s="394"/>
      <c r="I2498" s="390"/>
      <c r="J2498" s="390"/>
      <c r="K2498" s="390"/>
      <c r="L2498" s="390"/>
      <c r="M2498" s="390"/>
      <c r="N2498" s="390"/>
      <c r="O2498" s="390"/>
      <c r="P2498" s="390"/>
      <c r="Q2498" s="390"/>
      <c r="R2498" s="390"/>
      <c r="S2498" s="390"/>
      <c r="T2498" s="390"/>
    </row>
    <row r="2499" spans="1:20" ht="15.75" customHeight="1" x14ac:dyDescent="0.25">
      <c r="A2499" s="390"/>
      <c r="B2499" s="390"/>
      <c r="C2499" s="390"/>
      <c r="D2499" s="391"/>
      <c r="E2499" s="390"/>
      <c r="F2499" s="390"/>
      <c r="G2499" s="390"/>
      <c r="H2499" s="394"/>
      <c r="I2499" s="390"/>
      <c r="J2499" s="390"/>
      <c r="K2499" s="390"/>
      <c r="L2499" s="390"/>
      <c r="M2499" s="390"/>
      <c r="N2499" s="390"/>
      <c r="O2499" s="390"/>
      <c r="P2499" s="390"/>
      <c r="Q2499" s="390"/>
      <c r="R2499" s="390"/>
      <c r="S2499" s="390"/>
      <c r="T2499" s="390"/>
    </row>
    <row r="2500" spans="1:20" ht="15.75" customHeight="1" x14ac:dyDescent="0.25">
      <c r="A2500" s="390"/>
      <c r="B2500" s="390"/>
      <c r="C2500" s="390"/>
      <c r="D2500" s="391"/>
      <c r="E2500" s="390"/>
      <c r="F2500" s="390"/>
      <c r="G2500" s="390"/>
      <c r="H2500" s="394"/>
      <c r="I2500" s="390"/>
      <c r="J2500" s="390"/>
      <c r="K2500" s="390"/>
      <c r="L2500" s="390"/>
      <c r="M2500" s="390"/>
      <c r="N2500" s="390"/>
      <c r="O2500" s="390"/>
      <c r="P2500" s="390"/>
      <c r="Q2500" s="390"/>
      <c r="R2500" s="390"/>
      <c r="S2500" s="390"/>
      <c r="T2500" s="390"/>
    </row>
    <row r="2501" spans="1:20" ht="15.75" customHeight="1" x14ac:dyDescent="0.25">
      <c r="A2501" s="445"/>
      <c r="B2501" s="445"/>
      <c r="C2501" s="445"/>
      <c r="D2501" s="446"/>
      <c r="E2501" s="445" t="s">
        <v>99</v>
      </c>
      <c r="F2501" s="445"/>
      <c r="G2501" s="390"/>
      <c r="H2501" s="394"/>
      <c r="I2501" s="390"/>
      <c r="J2501" s="390"/>
      <c r="K2501" s="390"/>
      <c r="L2501" s="390"/>
      <c r="M2501" s="390"/>
      <c r="N2501" s="390"/>
      <c r="O2501" s="390"/>
      <c r="P2501" s="390"/>
      <c r="Q2501" s="390"/>
      <c r="R2501" s="390"/>
      <c r="S2501" s="390"/>
      <c r="T2501" s="390"/>
    </row>
    <row r="2502" spans="1:20" ht="15.75" customHeight="1" x14ac:dyDescent="0.25">
      <c r="A2502" s="390"/>
      <c r="B2502" s="390"/>
      <c r="C2502" s="390"/>
      <c r="D2502" s="391"/>
      <c r="E2502" s="390"/>
      <c r="F2502" s="390"/>
      <c r="G2502" s="390"/>
      <c r="H2502" s="391"/>
    </row>
    <row r="2503" spans="1:20" ht="15.75" customHeight="1" x14ac:dyDescent="0.25">
      <c r="D2503" s="4"/>
      <c r="H2503" s="4"/>
    </row>
    <row r="2504" spans="1:20" ht="15.75" customHeight="1" x14ac:dyDescent="0.25">
      <c r="D2504" s="4"/>
      <c r="H2504" s="4"/>
    </row>
    <row r="2505" spans="1:20" ht="15.75" customHeight="1" x14ac:dyDescent="0.25">
      <c r="D2505" s="4"/>
      <c r="H2505" s="4"/>
    </row>
    <row r="2506" spans="1:20" ht="15.75" customHeight="1" x14ac:dyDescent="0.25">
      <c r="D2506" s="4"/>
      <c r="H2506" s="4"/>
    </row>
    <row r="2507" spans="1:20" ht="15.75" customHeight="1" x14ac:dyDescent="0.25">
      <c r="D2507" s="4"/>
      <c r="H2507" s="4"/>
    </row>
    <row r="2508" spans="1:20" ht="15.75" customHeight="1" x14ac:dyDescent="0.25">
      <c r="D2508" s="4"/>
      <c r="H2508" s="4"/>
    </row>
    <row r="2509" spans="1:20" ht="15.75" customHeight="1" x14ac:dyDescent="0.25">
      <c r="D2509" s="4"/>
      <c r="H2509" s="4"/>
    </row>
    <row r="2510" spans="1:20" ht="15.75" customHeight="1" x14ac:dyDescent="0.25">
      <c r="D2510" s="4"/>
      <c r="H2510" s="4"/>
    </row>
    <row r="2511" spans="1:20" ht="15.75" customHeight="1" x14ac:dyDescent="0.25">
      <c r="D2511" s="4"/>
      <c r="H2511" s="4"/>
    </row>
    <row r="2512" spans="1:20" ht="15.75" customHeight="1" x14ac:dyDescent="0.25">
      <c r="D2512" s="4"/>
      <c r="H2512" s="4"/>
    </row>
    <row r="2513" spans="1:8" ht="15.75" customHeight="1" x14ac:dyDescent="0.25">
      <c r="D2513" s="4"/>
      <c r="H2513" s="4"/>
    </row>
    <row r="2514" spans="1:8" ht="15.75" customHeight="1" x14ac:dyDescent="0.25">
      <c r="D2514" s="4"/>
      <c r="H2514" s="4"/>
    </row>
    <row r="2515" spans="1:8" ht="15.75" customHeight="1" x14ac:dyDescent="0.25">
      <c r="D2515" s="4"/>
      <c r="H2515" s="4"/>
    </row>
    <row r="2516" spans="1:8" ht="15.75" customHeight="1" x14ac:dyDescent="0.25">
      <c r="D2516" s="4"/>
      <c r="H2516" s="4"/>
    </row>
    <row r="2517" spans="1:8" ht="15.75" customHeight="1" x14ac:dyDescent="0.25">
      <c r="D2517" s="4"/>
      <c r="H2517" s="4"/>
    </row>
    <row r="2518" spans="1:8" ht="15.75" customHeight="1" x14ac:dyDescent="0.25">
      <c r="D2518" s="4"/>
      <c r="H2518" s="4"/>
    </row>
    <row r="2519" spans="1:8" ht="15.75" customHeight="1" x14ac:dyDescent="0.25">
      <c r="D2519" s="4"/>
      <c r="H2519" s="4"/>
    </row>
    <row r="2520" spans="1:8" ht="15.75" customHeight="1" x14ac:dyDescent="0.25">
      <c r="D2520" s="4"/>
      <c r="H2520" s="4"/>
    </row>
    <row r="2521" spans="1:8" ht="15.75" customHeight="1" x14ac:dyDescent="0.25">
      <c r="D2521" s="4"/>
      <c r="H2521" s="4"/>
    </row>
    <row r="2522" spans="1:8" ht="15.75" customHeight="1" x14ac:dyDescent="0.25">
      <c r="D2522" s="4"/>
      <c r="H2522" s="4"/>
    </row>
    <row r="2523" spans="1:8" ht="15.75" customHeight="1" x14ac:dyDescent="0.25">
      <c r="D2523" s="4"/>
      <c r="H2523" s="4"/>
    </row>
    <row r="2524" spans="1:8" ht="15.75" customHeight="1" x14ac:dyDescent="0.25">
      <c r="D2524" s="4"/>
      <c r="H2524" s="4"/>
    </row>
    <row r="2525" spans="1:8" ht="15.75" customHeight="1" x14ac:dyDescent="0.25">
      <c r="A2525" s="8" t="s">
        <v>14</v>
      </c>
      <c r="B2525" s="8"/>
      <c r="C2525" s="8"/>
      <c r="D2525" s="8"/>
      <c r="E2525" s="8"/>
      <c r="F2525" s="8"/>
      <c r="G2525" s="8"/>
      <c r="H2525" s="8"/>
    </row>
    <row r="2526" spans="1:8" ht="15.75" customHeight="1" x14ac:dyDescent="0.25">
      <c r="A2526" s="388"/>
      <c r="B2526" s="388"/>
      <c r="C2526" s="388"/>
      <c r="D2526" s="389"/>
      <c r="E2526" s="388"/>
      <c r="F2526" s="388"/>
      <c r="G2526" s="388"/>
      <c r="H2526" s="8"/>
    </row>
    <row r="2527" spans="1:8" ht="15.75" customHeight="1" x14ac:dyDescent="0.25">
      <c r="A2527" s="390"/>
      <c r="B2527" s="390"/>
      <c r="C2527" s="391"/>
      <c r="D2527" s="392"/>
      <c r="E2527" s="393"/>
      <c r="F2527" s="393"/>
      <c r="G2527" s="393"/>
      <c r="H2527" s="394"/>
    </row>
    <row r="2528" spans="1:8" ht="15.75" customHeight="1" x14ac:dyDescent="0.25">
      <c r="A2528" s="390"/>
      <c r="B2528" s="390"/>
      <c r="C2528" s="390"/>
      <c r="D2528" s="391"/>
      <c r="E2528" s="390"/>
      <c r="F2528" s="395" t="s">
        <v>18</v>
      </c>
      <c r="G2528" s="396" t="s">
        <v>620</v>
      </c>
      <c r="H2528" s="397"/>
    </row>
    <row r="2529" spans="1:8" ht="15.75" customHeight="1" x14ac:dyDescent="0.25">
      <c r="A2529" s="390" t="s">
        <v>20</v>
      </c>
      <c r="B2529" s="390"/>
      <c r="C2529" s="390"/>
      <c r="D2529" s="391"/>
      <c r="E2529" s="390"/>
      <c r="F2529" s="395" t="s">
        <v>21</v>
      </c>
      <c r="G2529" s="390" t="s">
        <v>1226</v>
      </c>
      <c r="H2529" s="391"/>
    </row>
    <row r="2530" spans="1:8" ht="15.75" customHeight="1" x14ac:dyDescent="0.25">
      <c r="A2530" s="390" t="inlineStr">
        <is>
          <t>Dealer-004</t>
        </is>
      </c>
      <c r="B2530" s="390"/>
      <c r="C2530" s="390"/>
      <c r="D2530" s="398"/>
      <c r="E2530" s="390"/>
      <c r="F2530" s="391"/>
      <c r="G2530" s="390"/>
      <c r="H2530" s="394"/>
    </row>
    <row r="2531" spans="1:8" ht="15.75" customHeight="1" x14ac:dyDescent="0.25">
      <c r="A2531" s="390" t="inlineStr">
        <is>
          <t>Address line (redacted)</t>
        </is>
      </c>
      <c r="B2531" s="390"/>
      <c r="C2531" s="390"/>
      <c r="D2531" s="398"/>
      <c r="E2531" s="390"/>
      <c r="F2531" s="391"/>
      <c r="G2531" s="390"/>
      <c r="H2531" s="394"/>
    </row>
    <row r="2532" spans="1:8" ht="15.75" customHeight="1" x14ac:dyDescent="0.25">
      <c r="A2532" s="390" t="inlineStr">
        <is>
          <t>Address line (redacted)</t>
        </is>
      </c>
      <c r="B2532" s="390"/>
      <c r="C2532" s="390"/>
      <c r="D2532" s="391"/>
      <c r="E2532" s="390"/>
      <c r="F2532" s="391"/>
      <c r="G2532" s="390"/>
      <c r="H2532" s="394"/>
    </row>
    <row r="2533" spans="1:8" ht="15.75" customHeight="1" x14ac:dyDescent="0.25">
      <c r="A2533" s="390"/>
      <c r="B2533" s="390"/>
      <c r="C2533" s="390"/>
      <c r="D2533" s="391"/>
      <c r="E2533" s="390"/>
      <c r="F2533" s="391"/>
      <c r="G2533" s="390"/>
      <c r="H2533" s="394"/>
    </row>
    <row r="2534" spans="1:8" ht="15.75" customHeight="1" x14ac:dyDescent="0.25">
      <c r="A2534" s="390" t="s">
        <v>30</v>
      </c>
      <c r="B2534" s="390"/>
      <c r="C2534" s="390"/>
      <c r="D2534" s="391"/>
      <c r="E2534" s="390"/>
      <c r="F2534" s="391"/>
      <c r="G2534" s="390"/>
      <c r="H2534" s="394"/>
    </row>
    <row r="2535" spans="1:8" ht="15.75" customHeight="1" x14ac:dyDescent="0.25">
      <c r="A2535" s="390"/>
      <c r="B2535" s="390"/>
      <c r="C2535" s="390"/>
      <c r="D2535" s="391"/>
      <c r="E2535" s="390"/>
      <c r="F2535" s="391"/>
      <c r="G2535" s="390"/>
      <c r="H2535" s="394"/>
    </row>
    <row r="2536" spans="1:8" ht="15.75" customHeight="1" x14ac:dyDescent="0.25">
      <c r="A2536" s="390" t="s">
        <v>716</v>
      </c>
      <c r="B2536" s="390"/>
      <c r="C2536" s="390"/>
      <c r="D2536" s="391"/>
      <c r="E2536" s="390"/>
      <c r="F2536" s="391"/>
      <c r="G2536" s="390"/>
      <c r="H2536" s="394"/>
    </row>
    <row r="2537" spans="1:8" ht="15.75" customHeight="1" x14ac:dyDescent="0.25">
      <c r="A2537" s="390" t="s">
        <v>717</v>
      </c>
      <c r="B2537" s="390"/>
      <c r="C2537" s="390"/>
      <c r="D2537" s="391"/>
      <c r="E2537" s="390"/>
      <c r="F2537" s="391"/>
      <c r="G2537" s="390"/>
      <c r="H2537" s="394"/>
    </row>
    <row r="2538" spans="1:8" ht="15.75" customHeight="1" x14ac:dyDescent="0.25">
      <c r="A2538" s="390"/>
      <c r="B2538" s="390"/>
      <c r="C2538" s="390"/>
      <c r="D2538" s="391"/>
      <c r="E2538" s="390"/>
      <c r="F2538" s="391"/>
      <c r="G2538" s="390"/>
      <c r="H2538" s="394"/>
    </row>
    <row r="2539" spans="1:8" ht="15.75" customHeight="1" x14ac:dyDescent="0.25">
      <c r="A2539" s="399" t="s">
        <v>33</v>
      </c>
      <c r="B2539" s="400" t="s">
        <v>6</v>
      </c>
      <c r="C2539" s="400"/>
      <c r="D2539" s="401" t="s">
        <v>37</v>
      </c>
      <c r="E2539" s="402" t="s">
        <v>38</v>
      </c>
      <c r="F2539" s="403" t="s">
        <v>7</v>
      </c>
      <c r="G2539" s="404" t="s">
        <v>43</v>
      </c>
      <c r="H2539" s="405" t="s">
        <v>44</v>
      </c>
    </row>
    <row r="2540" spans="1:8" ht="15.75" customHeight="1" x14ac:dyDescent="0.25">
      <c r="A2540" s="406"/>
      <c r="B2540" s="407"/>
      <c r="C2540" s="393"/>
      <c r="D2540" s="408"/>
      <c r="E2540" s="408"/>
      <c r="F2540" s="409"/>
      <c r="G2540" s="410"/>
      <c r="H2540" s="411"/>
    </row>
    <row r="2541" spans="1:8" ht="15.75" customHeight="1" x14ac:dyDescent="0.25">
      <c r="A2541" s="425"/>
      <c r="B2541" s="504"/>
      <c r="C2541" s="505"/>
      <c r="D2541" s="427"/>
      <c r="E2541" s="427"/>
      <c r="F2541" s="428"/>
      <c r="G2541" s="427"/>
      <c r="H2541" s="429"/>
    </row>
    <row r="2542" spans="1:8" ht="15.75" customHeight="1" x14ac:dyDescent="0.25">
      <c r="A2542" s="502" t="s">
        <v>55</v>
      </c>
      <c r="B2542" s="503" t="s">
        <v>1228</v>
      </c>
      <c r="C2542" s="390" t="s">
        <v>704</v>
      </c>
      <c r="D2542" s="427">
        <v>4</v>
      </c>
      <c r="E2542" s="427">
        <v>8</v>
      </c>
      <c r="F2542" s="428">
        <f>+E2542*D2542</f>
      </c>
      <c r="G2542" s="427">
        <v>1</v>
      </c>
      <c r="H2542" s="429">
        <f>+G2542*F2542</f>
      </c>
    </row>
    <row r="2543" spans="1:8" ht="15.75" customHeight="1" x14ac:dyDescent="0.25">
      <c r="A2543" s="425"/>
      <c r="B2543" s="426"/>
      <c r="C2543" s="390"/>
      <c r="D2543" s="427"/>
      <c r="E2543" s="427"/>
      <c r="F2543" s="428"/>
      <c r="G2543" s="427"/>
      <c r="H2543" s="429"/>
    </row>
    <row r="2544" spans="1:8" ht="15.75" customHeight="1" x14ac:dyDescent="0.25">
      <c r="A2544" s="425"/>
      <c r="B2544" s="426"/>
      <c r="C2544" s="390"/>
      <c r="D2544" s="427"/>
      <c r="E2544" s="427"/>
      <c r="F2544" s="428"/>
      <c r="G2544" s="427"/>
      <c r="H2544" s="429"/>
    </row>
    <row r="2545" spans="1:8" ht="15.75" customHeight="1" x14ac:dyDescent="0.25">
      <c r="A2545" s="425"/>
      <c r="B2545" s="426"/>
      <c r="C2545" s="390"/>
      <c r="D2545" s="427"/>
      <c r="E2545" s="427"/>
      <c r="F2545" s="428"/>
      <c r="G2545" s="427"/>
      <c r="H2545" s="429"/>
    </row>
    <row r="2546" spans="1:8" ht="15.75" customHeight="1" x14ac:dyDescent="0.25">
      <c r="A2546" s="425"/>
      <c r="B2546" s="426"/>
      <c r="C2546" s="390"/>
      <c r="D2546" s="427"/>
      <c r="E2546" s="427"/>
      <c r="F2546" s="428"/>
      <c r="G2546" s="427"/>
      <c r="H2546" s="429"/>
    </row>
    <row r="2547" spans="1:8" ht="15.75" customHeight="1" x14ac:dyDescent="0.25">
      <c r="A2547" s="425"/>
      <c r="B2547" s="426"/>
      <c r="C2547" s="390"/>
      <c r="D2547" s="427"/>
      <c r="E2547" s="427"/>
      <c r="F2547" s="428"/>
      <c r="G2547" s="427"/>
      <c r="H2547" s="429"/>
    </row>
    <row r="2548" spans="1:8" ht="15.75" customHeight="1" x14ac:dyDescent="0.25">
      <c r="A2548" s="430"/>
      <c r="B2548" s="409"/>
      <c r="C2548" s="393"/>
      <c r="D2548" s="427"/>
      <c r="E2548" s="427"/>
      <c r="F2548" s="428"/>
      <c r="G2548" s="431"/>
      <c r="H2548" s="429"/>
    </row>
    <row r="2549" spans="1:8" ht="15.75" customHeight="1" x14ac:dyDescent="0.25">
      <c r="A2549" s="432"/>
      <c r="B2549" s="433"/>
      <c r="C2549" s="434" t="s">
        <v>85</v>
      </c>
      <c r="D2549" s="435">
        <f>SUM(D2541:D2548)</f>
      </c>
      <c r="E2549" s="435"/>
      <c r="F2549" s="436"/>
      <c r="G2549" s="437"/>
      <c r="H2549" s="438">
        <f>SUM(H2541:H2548)</f>
      </c>
    </row>
    <row r="2550" spans="1:8" ht="15.75" customHeight="1" x14ac:dyDescent="0.25">
      <c r="A2550" s="439"/>
      <c r="B2550" s="440"/>
      <c r="C2550" s="440"/>
      <c r="D2550" s="441"/>
      <c r="E2550" s="440"/>
      <c r="F2550" s="442"/>
      <c r="G2550" s="443"/>
      <c r="H2550" s="444"/>
    </row>
    <row r="2551" spans="1:8" ht="15.75" customHeight="1" x14ac:dyDescent="0.25">
      <c r="A2551" s="392" t="s">
        <v>913</v>
      </c>
      <c r="B2551" s="391"/>
      <c r="C2551" s="391"/>
      <c r="D2551" s="391"/>
      <c r="E2551" s="390"/>
      <c r="F2551" s="392"/>
      <c r="G2551" s="390"/>
      <c r="H2551" s="394"/>
    </row>
    <row r="2552" spans="1:8" ht="15.75" customHeight="1" x14ac:dyDescent="0.25">
      <c r="A2552" s="445"/>
      <c r="B2552" s="445"/>
      <c r="C2552" s="445"/>
      <c r="D2552" s="446" t="s">
        <v>97</v>
      </c>
      <c r="E2552" s="445" t="s">
        <v>98</v>
      </c>
      <c r="F2552" s="445"/>
      <c r="G2552" s="390"/>
      <c r="H2552" s="394"/>
    </row>
    <row r="2553" spans="1:8" ht="15.75" customHeight="1" x14ac:dyDescent="0.25">
      <c r="A2553" s="390"/>
      <c r="B2553" s="390"/>
      <c r="C2553" s="390"/>
      <c r="D2553" s="391"/>
      <c r="E2553" s="390"/>
      <c r="F2553" s="390"/>
      <c r="G2553" s="390"/>
      <c r="H2553" s="394"/>
    </row>
    <row r="2554" spans="1:8" ht="15.75" customHeight="1" x14ac:dyDescent="0.25">
      <c r="A2554" s="390"/>
      <c r="B2554" s="390"/>
      <c r="C2554" s="390"/>
      <c r="D2554" s="391"/>
      <c r="E2554" s="390"/>
      <c r="F2554" s="390"/>
      <c r="G2554" s="390"/>
      <c r="H2554" s="394"/>
    </row>
    <row r="2555" spans="1:8" ht="15.75" customHeight="1" x14ac:dyDescent="0.25">
      <c r="A2555" s="445"/>
      <c r="B2555" s="445"/>
      <c r="C2555" s="445"/>
      <c r="D2555" s="446"/>
      <c r="E2555" s="445" t="s">
        <v>99</v>
      </c>
      <c r="F2555" s="445"/>
      <c r="G2555" s="390"/>
      <c r="H2555" s="394"/>
    </row>
    <row r="2556" spans="1:8" ht="15.75" customHeight="1" x14ac:dyDescent="0.25">
      <c r="D2556" s="4"/>
      <c r="H2556" s="4"/>
    </row>
    <row r="2557" spans="1:8" ht="15.75" customHeight="1" x14ac:dyDescent="0.25">
      <c r="D2557" s="4"/>
      <c r="H2557" s="4"/>
    </row>
    <row r="2558" spans="1:8" ht="15.75" customHeight="1" x14ac:dyDescent="0.25">
      <c r="D2558" s="4"/>
      <c r="H2558" s="4"/>
    </row>
    <row r="2559" spans="1:8" ht="15.75" customHeight="1" x14ac:dyDescent="0.25">
      <c r="D2559" s="4"/>
      <c r="H2559" s="4"/>
    </row>
    <row r="2560" spans="1:8" ht="15.75" customHeight="1" x14ac:dyDescent="0.25">
      <c r="D2560" s="4"/>
      <c r="H2560" s="4"/>
    </row>
    <row r="2561" spans="1:8" ht="15.75" customHeight="1" x14ac:dyDescent="0.25">
      <c r="D2561" s="4"/>
      <c r="H2561" s="4"/>
    </row>
    <row r="2562" spans="1:8" ht="15.75" customHeight="1" x14ac:dyDescent="0.25">
      <c r="D2562" s="4"/>
      <c r="H2562" s="4"/>
    </row>
    <row r="2563" spans="1:8" ht="15.75" customHeight="1" x14ac:dyDescent="0.25">
      <c r="D2563" s="4"/>
      <c r="H2563" s="4"/>
    </row>
    <row r="2564" spans="1:8" ht="15.75" customHeight="1" x14ac:dyDescent="0.25">
      <c r="D2564" s="4"/>
      <c r="H2564" s="4"/>
    </row>
    <row r="2565" spans="1:8" ht="15.75" customHeight="1" x14ac:dyDescent="0.25">
      <c r="D2565" s="4"/>
      <c r="H2565" s="4"/>
    </row>
    <row r="2566" spans="1:8" ht="15.75" customHeight="1" x14ac:dyDescent="0.25">
      <c r="D2566" s="4"/>
      <c r="H2566" s="4"/>
    </row>
    <row r="2567" spans="1:8" ht="15.75" customHeight="1" x14ac:dyDescent="0.25">
      <c r="D2567" s="4"/>
      <c r="H2567" s="4"/>
    </row>
    <row r="2568" spans="1:8" ht="15.75" customHeight="1" x14ac:dyDescent="0.25">
      <c r="D2568" s="4"/>
      <c r="H2568" s="4"/>
    </row>
    <row r="2569" spans="1:8" ht="15.75" customHeight="1" x14ac:dyDescent="0.25">
      <c r="D2569" s="4"/>
      <c r="H2569" s="4"/>
    </row>
    <row r="2570" spans="1:8" ht="15.75" customHeight="1" x14ac:dyDescent="0.25">
      <c r="D2570" s="4"/>
      <c r="H2570" s="4"/>
    </row>
    <row r="2571" spans="1:8" ht="15.75" customHeight="1" x14ac:dyDescent="0.25">
      <c r="D2571" s="4"/>
      <c r="H2571" s="4"/>
    </row>
    <row r="2572" spans="1:8" ht="15.75" customHeight="1" x14ac:dyDescent="0.25">
      <c r="A2572" s="398" t="s">
        <v>14</v>
      </c>
      <c r="B2572" s="398"/>
      <c r="C2572" s="398"/>
      <c r="D2572" s="398"/>
      <c r="E2572" s="398"/>
      <c r="F2572" s="398"/>
      <c r="G2572" s="398"/>
      <c r="H2572" s="398"/>
    </row>
    <row r="2573" spans="1:8" ht="15.75" customHeight="1" x14ac:dyDescent="0.25">
      <c r="A2573" s="390"/>
      <c r="B2573" s="390"/>
      <c r="C2573" s="390"/>
      <c r="D2573" s="391"/>
      <c r="E2573" s="390"/>
      <c r="F2573" s="390"/>
      <c r="G2573" s="390"/>
      <c r="H2573" s="398"/>
    </row>
    <row r="2574" spans="1:8" ht="15.75" customHeight="1" x14ac:dyDescent="0.25">
      <c r="A2574" s="390"/>
      <c r="B2574" s="390"/>
      <c r="C2574" s="391"/>
      <c r="D2574" s="392"/>
      <c r="E2574" s="393"/>
      <c r="F2574" s="393"/>
      <c r="G2574" s="393"/>
      <c r="H2574" s="394"/>
    </row>
    <row r="2575" spans="1:8" ht="15.75" customHeight="1" x14ac:dyDescent="0.25">
      <c r="A2575" s="390"/>
      <c r="B2575" s="390"/>
      <c r="C2575" s="390"/>
      <c r="D2575" s="391"/>
      <c r="E2575" s="390"/>
      <c r="F2575" s="395" t="s">
        <v>18</v>
      </c>
      <c r="G2575" s="396" t="s">
        <v>620</v>
      </c>
      <c r="H2575" s="397"/>
    </row>
    <row r="2576" spans="1:8" ht="15.75" customHeight="1" x14ac:dyDescent="0.25">
      <c r="A2576" s="390" t="s">
        <v>20</v>
      </c>
      <c r="B2576" s="390"/>
      <c r="C2576" s="390"/>
      <c r="D2576" s="391"/>
      <c r="E2576" s="390"/>
      <c r="F2576" s="395" t="s">
        <v>21</v>
      </c>
      <c r="G2576" s="390" t="s">
        <v>1234</v>
      </c>
      <c r="H2576" s="391"/>
    </row>
    <row r="2577" spans="1:8" ht="15.75" customHeight="1" x14ac:dyDescent="0.25">
      <c r="A2577" s="390" t="inlineStr">
        <is>
          <t>Dealer-009</t>
        </is>
      </c>
      <c r="B2577" s="390"/>
      <c r="C2577" s="390" t="inlineStr">
        <is>
          <t>ATTN: Contact-001</t>
        </is>
      </c>
      <c r="D2577" s="391"/>
      <c r="E2577" s="395"/>
      <c r="F2577" s="390"/>
      <c r="G2577" s="390"/>
      <c r="H2577" s="394"/>
    </row>
    <row r="2578" spans="1:8" ht="15.75" customHeight="1" x14ac:dyDescent="0.25">
      <c r="A2578" s="390" t="inlineStr">
        <is>
          <t>Address line (redacted)</t>
        </is>
      </c>
      <c r="B2578" s="390"/>
      <c r="C2578" s="390"/>
      <c r="D2578" s="398"/>
      <c r="E2578" s="390"/>
      <c r="F2578" s="391"/>
      <c r="G2578" s="390"/>
      <c r="H2578" s="394"/>
    </row>
    <row r="2579" spans="1:8" ht="15.75" customHeight="1" x14ac:dyDescent="0.25">
      <c r="A2579" s="390" t="inlineStr">
        <is>
          <t>Address line (redacted)</t>
        </is>
      </c>
      <c r="B2579" s="390"/>
      <c r="C2579" s="390"/>
      <c r="D2579" s="398"/>
      <c r="E2579" s="390"/>
      <c r="F2579" s="391"/>
      <c r="G2579" s="390"/>
      <c r="H2579" s="394"/>
    </row>
    <row r="2580" spans="1:8" ht="15.75" customHeight="1" x14ac:dyDescent="0.25">
      <c r="A2580" s="447"/>
      <c r="B2580" s="390"/>
      <c r="C2580" s="390"/>
      <c r="D2580" s="391"/>
      <c r="E2580" s="390"/>
      <c r="F2580" s="391"/>
      <c r="G2580" s="390"/>
      <c r="H2580" s="394"/>
    </row>
    <row r="2581" spans="1:8" ht="15.75" customHeight="1" x14ac:dyDescent="0.25">
      <c r="A2581" s="390" t="s">
        <v>30</v>
      </c>
      <c r="B2581" s="390"/>
      <c r="C2581" s="390"/>
      <c r="D2581" s="391"/>
      <c r="E2581" s="390"/>
      <c r="F2581" s="391"/>
      <c r="G2581" s="390"/>
      <c r="H2581" s="394"/>
    </row>
    <row r="2582" spans="1:8" ht="15.75" customHeight="1" x14ac:dyDescent="0.25">
      <c r="A2582" s="390"/>
      <c r="B2582" s="390"/>
      <c r="C2582" s="390"/>
      <c r="D2582" s="391"/>
      <c r="E2582" s="390"/>
      <c r="F2582" s="391"/>
      <c r="G2582" s="390"/>
      <c r="H2582" s="394"/>
    </row>
    <row r="2583" spans="1:8" ht="15.75" customHeight="1" x14ac:dyDescent="0.25">
      <c r="A2583" s="390" t="s">
        <v>31</v>
      </c>
      <c r="B2583" s="390"/>
      <c r="C2583" s="390"/>
      <c r="D2583" s="391"/>
      <c r="E2583" s="390"/>
      <c r="F2583" s="391"/>
      <c r="G2583" s="390"/>
      <c r="H2583" s="394"/>
    </row>
    <row r="2584" spans="1:8" ht="15.75" customHeight="1" x14ac:dyDescent="0.25">
      <c r="A2584" s="390" t="s">
        <v>32</v>
      </c>
      <c r="B2584" s="390"/>
      <c r="C2584" s="390"/>
      <c r="D2584" s="391"/>
      <c r="E2584" s="390"/>
      <c r="F2584" s="391"/>
      <c r="G2584" s="390"/>
      <c r="H2584" s="394"/>
    </row>
    <row r="2585" spans="1:8" ht="15.75" customHeight="1" x14ac:dyDescent="0.25">
      <c r="A2585" s="390"/>
      <c r="B2585" s="390"/>
      <c r="C2585" s="390"/>
      <c r="D2585" s="391"/>
      <c r="E2585" s="390"/>
      <c r="F2585" s="391"/>
      <c r="G2585" s="390"/>
      <c r="H2585" s="394"/>
    </row>
    <row r="2586" spans="1:8" ht="15.75" customHeight="1" x14ac:dyDescent="0.25">
      <c r="A2586" s="399" t="s">
        <v>33</v>
      </c>
      <c r="B2586" s="400" t="s">
        <v>6</v>
      </c>
      <c r="C2586" s="400"/>
      <c r="D2586" s="401" t="s">
        <v>37</v>
      </c>
      <c r="E2586" s="402" t="s">
        <v>38</v>
      </c>
      <c r="F2586" s="403" t="s">
        <v>7</v>
      </c>
      <c r="G2586" s="404" t="s">
        <v>43</v>
      </c>
      <c r="H2586" s="405" t="s">
        <v>44</v>
      </c>
    </row>
    <row r="2587" spans="1:8" ht="15.75" customHeight="1" x14ac:dyDescent="0.25">
      <c r="A2587" s="406"/>
      <c r="B2587" s="407"/>
      <c r="C2587" s="393"/>
      <c r="D2587" s="408"/>
      <c r="E2587" s="408"/>
      <c r="F2587" s="409"/>
      <c r="G2587" s="410"/>
      <c r="H2587" s="411"/>
    </row>
    <row r="2588" spans="1:8" ht="15.75" customHeight="1" x14ac:dyDescent="0.25">
      <c r="A2588" s="556"/>
      <c r="B2588" s="557" t="s">
        <v>1102</v>
      </c>
      <c r="C2588" s="558"/>
      <c r="D2588" s="408"/>
      <c r="E2588" s="408"/>
      <c r="F2588" s="398"/>
      <c r="G2588" s="408"/>
      <c r="H2588" s="559"/>
    </row>
    <row r="2589" spans="1:8" ht="15.75" customHeight="1" x14ac:dyDescent="0.25">
      <c r="A2589" s="425" t="s">
        <v>55</v>
      </c>
      <c r="B2589" s="448" t="s">
        <v>34</v>
      </c>
      <c r="C2589" s="507" t="s">
        <v>25</v>
      </c>
      <c r="D2589" s="427">
        <v>2</v>
      </c>
      <c r="E2589" s="427">
        <v>5</v>
      </c>
      <c r="F2589" s="391">
        <f t="shared" ref="F2589:F2591" si="30">+E2589*D2589</f>
      </c>
      <c r="G2589" s="427">
        <v>1</v>
      </c>
      <c r="H2589" s="429">
        <f t="shared" ref="H2589:H2591" si="31">+G2589*F2589</f>
      </c>
    </row>
    <row r="2590" spans="1:8" ht="15.75" customHeight="1" x14ac:dyDescent="0.25">
      <c r="A2590" s="425" t="s">
        <v>59</v>
      </c>
      <c r="B2590" s="448" t="s">
        <v>60</v>
      </c>
      <c r="C2590" s="507" t="s">
        <v>142</v>
      </c>
      <c r="D2590" s="427">
        <v>3</v>
      </c>
      <c r="E2590" s="427">
        <v>5</v>
      </c>
      <c r="F2590" s="391">
        <f t="shared" si="30"/>
      </c>
      <c r="G2590" s="427">
        <v>1</v>
      </c>
      <c r="H2590" s="429">
        <f t="shared" si="31"/>
      </c>
    </row>
    <row r="2591" spans="1:8" ht="15.75" customHeight="1" x14ac:dyDescent="0.25">
      <c r="A2591" s="425" t="s">
        <v>67</v>
      </c>
      <c r="B2591" s="448" t="s">
        <v>81</v>
      </c>
      <c r="C2591" s="507" t="s">
        <v>82</v>
      </c>
      <c r="D2591" s="427">
        <v>2</v>
      </c>
      <c r="E2591" s="427">
        <v>5</v>
      </c>
      <c r="F2591" s="391">
        <f t="shared" si="30"/>
      </c>
      <c r="G2591" s="427">
        <v>1</v>
      </c>
      <c r="H2591" s="429">
        <f t="shared" si="31"/>
      </c>
    </row>
    <row r="2592" spans="1:8" ht="15.75" customHeight="1" x14ac:dyDescent="0.25">
      <c r="A2592" s="425"/>
      <c r="B2592" s="448"/>
      <c r="C2592" s="507"/>
      <c r="D2592" s="427"/>
      <c r="E2592" s="427"/>
      <c r="F2592" s="391"/>
      <c r="G2592" s="427"/>
      <c r="H2592" s="429"/>
    </row>
    <row r="2593" spans="1:8" ht="15.75" customHeight="1" x14ac:dyDescent="0.25">
      <c r="A2593" s="425"/>
      <c r="B2593" s="557" t="s">
        <v>674</v>
      </c>
      <c r="C2593" s="558"/>
      <c r="D2593" s="427"/>
      <c r="E2593" s="427"/>
      <c r="F2593" s="391"/>
      <c r="G2593" s="427"/>
      <c r="H2593" s="429"/>
    </row>
    <row r="2594" spans="1:8" ht="15.75" customHeight="1" x14ac:dyDescent="0.25">
      <c r="A2594" s="502" t="s">
        <v>485</v>
      </c>
      <c r="B2594" s="503" t="s">
        <v>931</v>
      </c>
      <c r="C2594" s="390"/>
      <c r="D2594" s="427">
        <v>20</v>
      </c>
      <c r="E2594" s="427">
        <v>1</v>
      </c>
      <c r="F2594" s="391">
        <f>+E2594*D2594</f>
      </c>
      <c r="G2594" s="427">
        <v>1</v>
      </c>
      <c r="H2594" s="429">
        <f>+G2594*F2594</f>
      </c>
    </row>
    <row r="2595" spans="1:8" ht="15.75" customHeight="1" x14ac:dyDescent="0.25">
      <c r="A2595" s="502"/>
      <c r="B2595" s="503" t="s">
        <v>1238</v>
      </c>
      <c r="C2595" s="390"/>
      <c r="D2595" s="427"/>
      <c r="E2595" s="427"/>
      <c r="F2595" s="391"/>
      <c r="G2595" s="427"/>
      <c r="H2595" s="429"/>
    </row>
    <row r="2596" spans="1:8" ht="15.75" customHeight="1" x14ac:dyDescent="0.25">
      <c r="A2596" s="502"/>
      <c r="B2596" s="503"/>
      <c r="C2596" s="390"/>
      <c r="D2596" s="427"/>
      <c r="E2596" s="427"/>
      <c r="F2596" s="391"/>
      <c r="G2596" s="427"/>
      <c r="H2596" s="429"/>
    </row>
    <row r="2597" spans="1:8" ht="15.75" customHeight="1" x14ac:dyDescent="0.25">
      <c r="A2597" s="425"/>
      <c r="B2597" s="557" t="s">
        <v>1239</v>
      </c>
      <c r="C2597" s="558"/>
      <c r="D2597" s="427"/>
      <c r="E2597" s="427"/>
      <c r="F2597" s="391"/>
      <c r="G2597" s="427"/>
      <c r="H2597" s="429"/>
    </row>
    <row r="2598" spans="1:8" ht="15.75" customHeight="1" x14ac:dyDescent="0.25">
      <c r="A2598" s="502" t="s">
        <v>486</v>
      </c>
      <c r="B2598" s="503" t="s">
        <v>144</v>
      </c>
      <c r="C2598" s="390" t="s">
        <v>435</v>
      </c>
      <c r="D2598" s="427">
        <v>2</v>
      </c>
      <c r="E2598" s="427">
        <v>25</v>
      </c>
      <c r="F2598" s="391">
        <f t="shared" ref="F2598:F2603" si="32">+E2598*D2598</f>
      </c>
      <c r="G2598" s="427">
        <v>1</v>
      </c>
      <c r="H2598" s="429">
        <f t="shared" ref="H2598:H2603" si="33">+G2598*F2598</f>
      </c>
    </row>
    <row r="2599" spans="1:8" ht="15.75" customHeight="1" x14ac:dyDescent="0.25">
      <c r="A2599" s="502" t="s">
        <v>489</v>
      </c>
      <c r="B2599" s="503" t="s">
        <v>127</v>
      </c>
      <c r="C2599" s="390" t="s">
        <v>439</v>
      </c>
      <c r="D2599" s="427">
        <v>3</v>
      </c>
      <c r="E2599" s="427">
        <v>25</v>
      </c>
      <c r="F2599" s="391">
        <f t="shared" si="32"/>
      </c>
      <c r="G2599" s="427">
        <v>1</v>
      </c>
      <c r="H2599" s="429">
        <f t="shared" si="33"/>
      </c>
    </row>
    <row r="2600" spans="1:8" ht="15.75" customHeight="1" x14ac:dyDescent="0.25">
      <c r="A2600" s="502" t="s">
        <v>490</v>
      </c>
      <c r="B2600" s="503" t="s">
        <v>651</v>
      </c>
      <c r="C2600" s="390" t="s">
        <v>432</v>
      </c>
      <c r="D2600" s="427">
        <v>2</v>
      </c>
      <c r="E2600" s="427">
        <v>25</v>
      </c>
      <c r="F2600" s="391">
        <f t="shared" si="32"/>
      </c>
      <c r="G2600" s="427">
        <v>1</v>
      </c>
      <c r="H2600" s="429">
        <f t="shared" si="33"/>
      </c>
    </row>
    <row r="2601" spans="1:8" ht="15.75" customHeight="1" x14ac:dyDescent="0.25">
      <c r="A2601" s="502" t="s">
        <v>781</v>
      </c>
      <c r="B2601" s="503" t="s">
        <v>649</v>
      </c>
      <c r="C2601" s="390" t="s">
        <v>433</v>
      </c>
      <c r="D2601" s="427">
        <v>1</v>
      </c>
      <c r="E2601" s="427">
        <v>25</v>
      </c>
      <c r="F2601" s="391">
        <f t="shared" si="32"/>
      </c>
      <c r="G2601" s="427">
        <v>1</v>
      </c>
      <c r="H2601" s="429">
        <f t="shared" si="33"/>
      </c>
    </row>
    <row r="2602" spans="1:8" ht="15.75" customHeight="1" x14ac:dyDescent="0.25">
      <c r="A2602" s="502" t="s">
        <v>785</v>
      </c>
      <c r="B2602" s="503" t="s">
        <v>1243</v>
      </c>
      <c r="C2602" s="390" t="s">
        <v>109</v>
      </c>
      <c r="D2602" s="427">
        <f>1300/25</f>
      </c>
      <c r="E2602" s="427">
        <v>25</v>
      </c>
      <c r="F2602" s="391">
        <f t="shared" si="32"/>
      </c>
      <c r="G2602" s="427">
        <v>1</v>
      </c>
      <c r="H2602" s="429">
        <f t="shared" si="33"/>
      </c>
    </row>
    <row r="2603" spans="1:8" ht="15.75" customHeight="1" x14ac:dyDescent="0.25">
      <c r="A2603" s="502" t="s">
        <v>787</v>
      </c>
      <c r="B2603" s="503" t="s">
        <v>1213</v>
      </c>
      <c r="C2603" s="390" t="s">
        <v>1175</v>
      </c>
      <c r="D2603" s="427">
        <f>400/20</f>
      </c>
      <c r="E2603" s="427">
        <v>20</v>
      </c>
      <c r="F2603" s="391">
        <f t="shared" si="32"/>
      </c>
      <c r="G2603" s="427">
        <v>1</v>
      </c>
      <c r="H2603" s="429">
        <f t="shared" si="33"/>
      </c>
    </row>
    <row r="2604" spans="1:8" ht="15.75" customHeight="1" x14ac:dyDescent="0.25">
      <c r="A2604" s="502"/>
      <c r="B2604" s="503"/>
      <c r="C2604" s="390"/>
      <c r="D2604" s="427"/>
      <c r="E2604" s="427"/>
      <c r="F2604" s="391"/>
      <c r="G2604" s="427"/>
      <c r="H2604" s="429"/>
    </row>
    <row r="2605" spans="1:8" ht="15.75" customHeight="1" x14ac:dyDescent="0.25">
      <c r="A2605" s="425"/>
      <c r="B2605" s="557" t="s">
        <v>590</v>
      </c>
      <c r="C2605" s="558"/>
      <c r="D2605" s="427"/>
      <c r="E2605" s="427"/>
      <c r="F2605" s="391"/>
      <c r="G2605" s="427"/>
      <c r="H2605" s="429"/>
    </row>
    <row r="2606" spans="1:8" ht="15.75" customHeight="1" x14ac:dyDescent="0.25">
      <c r="A2606" s="425" t="s">
        <v>790</v>
      </c>
      <c r="B2606" s="448" t="s">
        <v>1228</v>
      </c>
      <c r="C2606" s="560" t="s">
        <v>704</v>
      </c>
      <c r="D2606" s="427">
        <v>1</v>
      </c>
      <c r="E2606" s="427">
        <v>8</v>
      </c>
      <c r="F2606" s="391">
        <f t="shared" ref="F2606:F2607" si="34">+E2606*D2606</f>
      </c>
      <c r="G2606" s="427">
        <v>1</v>
      </c>
      <c r="H2606" s="429">
        <f t="shared" ref="H2606:H2607" si="35">+G2606*F2606</f>
      </c>
    </row>
    <row r="2607" spans="1:8" ht="15.75" customHeight="1" x14ac:dyDescent="0.25">
      <c r="A2607" s="425"/>
      <c r="B2607" s="448" t="s">
        <v>1228</v>
      </c>
      <c r="C2607" s="560" t="s">
        <v>704</v>
      </c>
      <c r="D2607" s="427">
        <v>1</v>
      </c>
      <c r="E2607" s="427">
        <v>2</v>
      </c>
      <c r="F2607" s="391">
        <f t="shared" si="34"/>
      </c>
      <c r="G2607" s="427">
        <v>1</v>
      </c>
      <c r="H2607" s="429">
        <f t="shared" si="35"/>
      </c>
    </row>
    <row r="2608" spans="1:8" ht="15.75" customHeight="1" x14ac:dyDescent="0.25">
      <c r="A2608" s="502"/>
      <c r="B2608" s="503"/>
      <c r="C2608" s="390"/>
      <c r="D2608" s="427"/>
      <c r="E2608" s="427"/>
      <c r="F2608" s="391"/>
      <c r="G2608" s="427"/>
      <c r="H2608" s="429"/>
    </row>
    <row r="2609" spans="1:8" ht="15.75" customHeight="1" x14ac:dyDescent="0.25">
      <c r="A2609" s="432"/>
      <c r="B2609" s="433"/>
      <c r="C2609" s="434" t="s">
        <v>85</v>
      </c>
      <c r="D2609" s="435">
        <f>SUM(D2589:D2608)</f>
      </c>
      <c r="E2609" s="435"/>
      <c r="F2609" s="436"/>
      <c r="G2609" s="437"/>
      <c r="H2609" s="438">
        <f>SUM(H2589:H2608)</f>
      </c>
    </row>
    <row r="2610" spans="1:8" ht="15.75" customHeight="1" x14ac:dyDescent="0.25">
      <c r="A2610" s="439"/>
      <c r="B2610" s="440"/>
      <c r="C2610" s="440"/>
      <c r="D2610" s="441"/>
      <c r="E2610" s="440"/>
      <c r="F2610" s="442"/>
      <c r="G2610" s="443"/>
      <c r="H2610" s="444"/>
    </row>
    <row r="2611" spans="1:8" ht="15.75" customHeight="1" x14ac:dyDescent="0.25">
      <c r="A2611" s="565" t="s">
        <v>1215</v>
      </c>
      <c r="B2611" s="565"/>
      <c r="C2611" s="565"/>
      <c r="D2611" s="565"/>
      <c r="E2611" s="565"/>
      <c r="F2611" s="565"/>
      <c r="G2611" s="565"/>
      <c r="H2611" s="565"/>
    </row>
    <row r="2612" spans="1:8" ht="15.75" customHeight="1" x14ac:dyDescent="0.25">
      <c r="A2612" s="445"/>
      <c r="B2612" s="445"/>
      <c r="C2612" s="445"/>
      <c r="D2612" s="446" t="s">
        <v>97</v>
      </c>
      <c r="E2612" s="445" t="s">
        <v>98</v>
      </c>
      <c r="F2612" s="445"/>
      <c r="G2612" s="390"/>
      <c r="H2612" s="394"/>
    </row>
    <row r="2613" spans="1:8" ht="15.75" customHeight="1" x14ac:dyDescent="0.25">
      <c r="A2613" s="390"/>
      <c r="B2613" s="390"/>
      <c r="C2613" s="390"/>
      <c r="D2613" s="391"/>
      <c r="E2613" s="390"/>
      <c r="F2613" s="390"/>
      <c r="G2613" s="390"/>
      <c r="H2613" s="394"/>
    </row>
    <row r="2614" spans="1:8" ht="15.75" customHeight="1" x14ac:dyDescent="0.25">
      <c r="A2614" s="390"/>
      <c r="B2614" s="390"/>
      <c r="C2614" s="390"/>
      <c r="D2614" s="391"/>
      <c r="E2614" s="390"/>
      <c r="F2614" s="390"/>
      <c r="G2614" s="390"/>
      <c r="H2614" s="394"/>
    </row>
    <row r="2615" spans="1:8" ht="15.75" customHeight="1" x14ac:dyDescent="0.25">
      <c r="A2615" s="445"/>
      <c r="B2615" s="445"/>
      <c r="C2615" s="445"/>
      <c r="D2615" s="446"/>
      <c r="E2615" s="445" t="s">
        <v>99</v>
      </c>
      <c r="F2615" s="445"/>
      <c r="G2615" s="390"/>
      <c r="H2615" s="394"/>
    </row>
    <row r="2616" spans="1:8" ht="15.75" customHeight="1" x14ac:dyDescent="0.25">
      <c r="D2616" s="4"/>
      <c r="H2616" s="4"/>
    </row>
    <row r="2617" spans="1:8" ht="15.75" customHeight="1" x14ac:dyDescent="0.25">
      <c r="D2617" s="4"/>
      <c r="H2617" s="4"/>
    </row>
    <row r="2618" spans="1:8" ht="15.75" customHeight="1" x14ac:dyDescent="0.25">
      <c r="D2618" s="4"/>
      <c r="H2618" s="4"/>
    </row>
    <row r="2619" spans="1:8" ht="15.75" customHeight="1" x14ac:dyDescent="0.25">
      <c r="D2619" s="4"/>
      <c r="H2619" s="4"/>
    </row>
    <row r="2620" spans="1:8" ht="15.75" customHeight="1" x14ac:dyDescent="0.25">
      <c r="A2620" s="398" t="s">
        <v>14</v>
      </c>
      <c r="B2620" s="398"/>
      <c r="C2620" s="398"/>
      <c r="D2620" s="398"/>
      <c r="E2620" s="398"/>
      <c r="F2620" s="398"/>
      <c r="G2620" s="398"/>
      <c r="H2620" s="398"/>
    </row>
    <row r="2621" spans="1:8" ht="15.75" customHeight="1" x14ac:dyDescent="0.25">
      <c r="A2621" s="56"/>
      <c r="B2621" s="56"/>
      <c r="C2621" s="56"/>
      <c r="D2621" s="53"/>
      <c r="E2621" s="56"/>
      <c r="F2621" s="56"/>
      <c r="G2621" s="56"/>
      <c r="H2621" s="398"/>
    </row>
    <row r="2622" spans="1:8" ht="15.75" customHeight="1" x14ac:dyDescent="0.25">
      <c r="A2622" s="390"/>
      <c r="B2622" s="390"/>
      <c r="C2622" s="391"/>
      <c r="D2622" s="392"/>
      <c r="E2622" s="393"/>
      <c r="F2622" s="393"/>
      <c r="G2622" s="393"/>
      <c r="H2622" s="394"/>
    </row>
    <row r="2623" spans="1:8" ht="15.75" customHeight="1" x14ac:dyDescent="0.25">
      <c r="A2623" s="390"/>
      <c r="B2623" s="390"/>
      <c r="C2623" s="390"/>
      <c r="D2623" s="391"/>
      <c r="E2623" s="390"/>
      <c r="F2623" s="395" t="s">
        <v>18</v>
      </c>
      <c r="G2623" s="396" t="s">
        <v>620</v>
      </c>
      <c r="H2623" s="397"/>
    </row>
    <row r="2624" spans="1:8" ht="15.75" customHeight="1" x14ac:dyDescent="0.25">
      <c r="A2624" s="390" t="s">
        <v>20</v>
      </c>
      <c r="B2624" s="390"/>
      <c r="C2624" s="390"/>
      <c r="D2624" s="391"/>
      <c r="E2624" s="390"/>
      <c r="F2624" s="395" t="s">
        <v>21</v>
      </c>
      <c r="G2624" s="390" t="s">
        <v>1247</v>
      </c>
      <c r="H2624" s="391"/>
    </row>
    <row r="2625" spans="1:8" ht="15.75" customHeight="1" x14ac:dyDescent="0.25">
      <c r="A2625" s="390" t="inlineStr">
        <is>
          <t>Dealer-003</t>
        </is>
      </c>
      <c r="B2625" s="390"/>
      <c r="C2625" s="390"/>
      <c r="D2625" s="391"/>
      <c r="E2625" s="395"/>
      <c r="F2625" s="390"/>
      <c r="G2625" s="390"/>
      <c r="H2625" s="394"/>
    </row>
    <row r="2626" spans="1:8" ht="15.75" customHeight="1" x14ac:dyDescent="0.25">
      <c r="A2626" s="390" t="inlineStr">
        <is>
          <t>Address line (redacted)</t>
        </is>
      </c>
      <c r="B2626" s="390"/>
      <c r="C2626" s="390"/>
      <c r="D2626" s="398"/>
      <c r="E2626" s="390"/>
      <c r="F2626" s="391"/>
      <c r="G2626" s="390"/>
      <c r="H2626" s="394"/>
    </row>
    <row r="2627" spans="1:8" ht="15.75" customHeight="1" x14ac:dyDescent="0.25">
      <c r="A2627" s="390" t="inlineStr">
        <is>
          <t>Address line (redacted)</t>
        </is>
      </c>
      <c r="B2627" s="390"/>
      <c r="C2627" s="390"/>
      <c r="D2627" s="398"/>
      <c r="E2627" s="390"/>
      <c r="F2627" s="391"/>
      <c r="G2627" s="390"/>
      <c r="H2627" s="394"/>
    </row>
    <row r="2628" spans="1:8" ht="15.75" customHeight="1" x14ac:dyDescent="0.25">
      <c r="A2628" s="447"/>
      <c r="B2628" s="390"/>
      <c r="C2628" s="390"/>
      <c r="D2628" s="391"/>
      <c r="E2628" s="390"/>
      <c r="F2628" s="391"/>
      <c r="G2628" s="390"/>
      <c r="H2628" s="394"/>
    </row>
    <row r="2629" spans="1:8" ht="15.75" customHeight="1" x14ac:dyDescent="0.25">
      <c r="A2629" s="390" t="s">
        <v>30</v>
      </c>
      <c r="B2629" s="390"/>
      <c r="C2629" s="390"/>
      <c r="D2629" s="391"/>
      <c r="E2629" s="390"/>
      <c r="F2629" s="391"/>
      <c r="G2629" s="390"/>
      <c r="H2629" s="394"/>
    </row>
    <row r="2630" spans="1:8" ht="15.75" customHeight="1" x14ac:dyDescent="0.25">
      <c r="A2630" s="390"/>
      <c r="B2630" s="390"/>
      <c r="C2630" s="390"/>
      <c r="D2630" s="391"/>
      <c r="E2630" s="390"/>
      <c r="F2630" s="391"/>
      <c r="G2630" s="390"/>
      <c r="H2630" s="394"/>
    </row>
    <row r="2631" spans="1:8" ht="15.75" customHeight="1" x14ac:dyDescent="0.25">
      <c r="A2631" s="390" t="s">
        <v>716</v>
      </c>
      <c r="B2631" s="390"/>
      <c r="C2631" s="390"/>
      <c r="D2631" s="391"/>
      <c r="E2631" s="390"/>
      <c r="F2631" s="391"/>
      <c r="G2631" s="390"/>
      <c r="H2631" s="394"/>
    </row>
    <row r="2632" spans="1:8" ht="15.75" customHeight="1" x14ac:dyDescent="0.25">
      <c r="A2632" s="390" t="s">
        <v>717</v>
      </c>
      <c r="B2632" s="390"/>
      <c r="C2632" s="390"/>
      <c r="D2632" s="391"/>
      <c r="E2632" s="390"/>
      <c r="F2632" s="391"/>
      <c r="G2632" s="390"/>
      <c r="H2632" s="394"/>
    </row>
    <row r="2633" spans="1:8" ht="15.75" customHeight="1" x14ac:dyDescent="0.25">
      <c r="A2633" s="390"/>
      <c r="B2633" s="390"/>
      <c r="C2633" s="390"/>
      <c r="D2633" s="391"/>
      <c r="E2633" s="390"/>
      <c r="F2633" s="391"/>
      <c r="G2633" s="390"/>
      <c r="H2633" s="394"/>
    </row>
    <row r="2634" spans="1:8" ht="15.75" customHeight="1" x14ac:dyDescent="0.25">
      <c r="A2634" s="399" t="s">
        <v>33</v>
      </c>
      <c r="B2634" s="400" t="s">
        <v>6</v>
      </c>
      <c r="C2634" s="400"/>
      <c r="D2634" s="401" t="s">
        <v>37</v>
      </c>
      <c r="E2634" s="402" t="s">
        <v>38</v>
      </c>
      <c r="F2634" s="403" t="s">
        <v>7</v>
      </c>
      <c r="G2634" s="404" t="s">
        <v>43</v>
      </c>
      <c r="H2634" s="405" t="s">
        <v>44</v>
      </c>
    </row>
    <row r="2635" spans="1:8" ht="15.75" customHeight="1" x14ac:dyDescent="0.25">
      <c r="A2635" s="406"/>
      <c r="B2635" s="407"/>
      <c r="C2635" s="393"/>
      <c r="D2635" s="408"/>
      <c r="E2635" s="408"/>
      <c r="F2635" s="409"/>
      <c r="G2635" s="410"/>
      <c r="H2635" s="411"/>
    </row>
    <row r="2636" spans="1:8" ht="15.75" customHeight="1" x14ac:dyDescent="0.25">
      <c r="A2636" s="425"/>
      <c r="B2636" s="557" t="s">
        <v>50</v>
      </c>
      <c r="C2636" s="558"/>
      <c r="D2636" s="427"/>
      <c r="E2636" s="427"/>
      <c r="F2636" s="391"/>
      <c r="G2636" s="427"/>
      <c r="H2636" s="429"/>
    </row>
    <row r="2637" spans="1:8" ht="15.75" customHeight="1" x14ac:dyDescent="0.25">
      <c r="A2637" s="502" t="s">
        <v>55</v>
      </c>
      <c r="B2637" s="503" t="s">
        <v>1212</v>
      </c>
      <c r="C2637" s="390" t="s">
        <v>109</v>
      </c>
      <c r="D2637" s="427">
        <v>40</v>
      </c>
      <c r="E2637" s="427">
        <v>25</v>
      </c>
      <c r="F2637" s="391">
        <f>+E2637*D2637</f>
      </c>
      <c r="G2637" s="427">
        <v>1</v>
      </c>
      <c r="H2637" s="429">
        <f>+G2637*F2637</f>
      </c>
    </row>
    <row r="2638" spans="1:8" ht="15.75" customHeight="1" x14ac:dyDescent="0.25">
      <c r="A2638" s="425"/>
      <c r="B2638" s="450"/>
      <c r="C2638" s="507"/>
      <c r="D2638" s="427"/>
      <c r="E2638" s="427"/>
      <c r="F2638" s="391"/>
      <c r="G2638" s="427"/>
      <c r="H2638" s="429"/>
    </row>
    <row r="2639" spans="1:8" ht="15.75" customHeight="1" x14ac:dyDescent="0.25">
      <c r="A2639" s="425" t="s">
        <v>59</v>
      </c>
      <c r="B2639" s="448" t="s">
        <v>1228</v>
      </c>
      <c r="C2639" s="576" t="s">
        <v>187</v>
      </c>
      <c r="D2639" s="427">
        <v>2</v>
      </c>
      <c r="E2639" s="427">
        <v>8</v>
      </c>
      <c r="F2639" s="391">
        <f>+E2639*D2639</f>
      </c>
      <c r="G2639" s="427">
        <v>1</v>
      </c>
      <c r="H2639" s="429">
        <f>+G2639*F2639</f>
      </c>
    </row>
    <row r="2640" spans="1:8" ht="15.75" customHeight="1" x14ac:dyDescent="0.25">
      <c r="A2640" s="425"/>
      <c r="B2640" s="450"/>
      <c r="C2640" s="507"/>
      <c r="D2640" s="427"/>
      <c r="E2640" s="427"/>
      <c r="F2640" s="391"/>
      <c r="G2640" s="427"/>
      <c r="H2640" s="429"/>
    </row>
    <row r="2641" spans="1:8" ht="15.75" customHeight="1" x14ac:dyDescent="0.25">
      <c r="A2641" s="425"/>
      <c r="B2641" s="450"/>
      <c r="C2641" s="507"/>
      <c r="D2641" s="427"/>
      <c r="E2641" s="427"/>
      <c r="F2641" s="391"/>
      <c r="G2641" s="427"/>
      <c r="H2641" s="429"/>
    </row>
    <row r="2642" spans="1:8" ht="15.75" customHeight="1" x14ac:dyDescent="0.25">
      <c r="A2642" s="502"/>
      <c r="B2642" s="503"/>
      <c r="C2642" s="390"/>
      <c r="D2642" s="427"/>
      <c r="E2642" s="427"/>
      <c r="F2642" s="391"/>
      <c r="G2642" s="427"/>
      <c r="H2642" s="429"/>
    </row>
    <row r="2643" spans="1:8" ht="15.75" customHeight="1" x14ac:dyDescent="0.25">
      <c r="A2643" s="502"/>
      <c r="B2643" s="503"/>
      <c r="C2643" s="390"/>
      <c r="D2643" s="427"/>
      <c r="E2643" s="427"/>
      <c r="F2643" s="391"/>
      <c r="G2643" s="427"/>
      <c r="H2643" s="429"/>
    </row>
    <row r="2644" spans="1:8" ht="15.75" customHeight="1" x14ac:dyDescent="0.25">
      <c r="A2644" s="425"/>
      <c r="B2644" s="426"/>
      <c r="C2644" s="390"/>
      <c r="D2644" s="427"/>
      <c r="E2644" s="427"/>
      <c r="F2644" s="391"/>
      <c r="G2644" s="427"/>
      <c r="H2644" s="429"/>
    </row>
    <row r="2645" spans="1:8" ht="15.75" customHeight="1" x14ac:dyDescent="0.25">
      <c r="A2645" s="430"/>
      <c r="B2645" s="409"/>
      <c r="C2645" s="393"/>
      <c r="D2645" s="427"/>
      <c r="E2645" s="427"/>
      <c r="F2645" s="428"/>
      <c r="G2645" s="431"/>
      <c r="H2645" s="429"/>
    </row>
    <row r="2646" spans="1:8" ht="15.75" customHeight="1" x14ac:dyDescent="0.25">
      <c r="A2646" s="432"/>
      <c r="B2646" s="433"/>
      <c r="C2646" s="434" t="s">
        <v>85</v>
      </c>
      <c r="D2646" s="435">
        <f>SUM(D2636:D2645)</f>
      </c>
      <c r="E2646" s="435"/>
      <c r="F2646" s="436"/>
      <c r="G2646" s="437"/>
      <c r="H2646" s="438">
        <f>SUM(H2637:H2645)</f>
      </c>
    </row>
    <row r="2647" spans="1:8" ht="15.75" customHeight="1" x14ac:dyDescent="0.25">
      <c r="A2647" s="439"/>
      <c r="B2647" s="440"/>
      <c r="C2647" s="440"/>
      <c r="D2647" s="441"/>
      <c r="E2647" s="440"/>
      <c r="F2647" s="442"/>
      <c r="G2647" s="443"/>
      <c r="H2647" s="444"/>
    </row>
    <row r="2648" spans="1:8" ht="15.75" customHeight="1" x14ac:dyDescent="0.25">
      <c r="A2648" s="392"/>
      <c r="B2648" s="391"/>
      <c r="C2648" s="391"/>
      <c r="D2648" s="391"/>
      <c r="E2648" s="390"/>
      <c r="F2648" s="392"/>
      <c r="G2648" s="390"/>
      <c r="H2648" s="394"/>
    </row>
    <row r="2649" spans="1:8" ht="15.75" customHeight="1" x14ac:dyDescent="0.25">
      <c r="A2649" s="445"/>
      <c r="B2649" s="445"/>
      <c r="C2649" s="445"/>
      <c r="D2649" s="446" t="s">
        <v>97</v>
      </c>
      <c r="E2649" s="445" t="s">
        <v>98</v>
      </c>
      <c r="F2649" s="445"/>
      <c r="G2649" s="390"/>
      <c r="H2649" s="394"/>
    </row>
    <row r="2650" spans="1:8" ht="15.75" customHeight="1" x14ac:dyDescent="0.25">
      <c r="A2650" s="390"/>
      <c r="B2650" s="390"/>
      <c r="C2650" s="390"/>
      <c r="D2650" s="391"/>
      <c r="E2650" s="390"/>
      <c r="F2650" s="390"/>
      <c r="G2650" s="390"/>
      <c r="H2650" s="394"/>
    </row>
    <row r="2651" spans="1:8" ht="15.75" customHeight="1" x14ac:dyDescent="0.25">
      <c r="A2651" s="390"/>
      <c r="B2651" s="390"/>
      <c r="C2651" s="390"/>
      <c r="D2651" s="391"/>
      <c r="E2651" s="390"/>
      <c r="F2651" s="390"/>
      <c r="G2651" s="390"/>
      <c r="H2651" s="394"/>
    </row>
    <row r="2652" spans="1:8" ht="15.75" customHeight="1" x14ac:dyDescent="0.25">
      <c r="A2652" s="445"/>
      <c r="B2652" s="445"/>
      <c r="C2652" s="445"/>
      <c r="D2652" s="446"/>
      <c r="E2652" s="445" t="s">
        <v>99</v>
      </c>
      <c r="F2652" s="445"/>
      <c r="G2652" s="390"/>
      <c r="H2652" s="394"/>
    </row>
    <row r="2653" spans="1:8" ht="15.75" customHeight="1" x14ac:dyDescent="0.25">
      <c r="D2653" s="4"/>
      <c r="H2653" s="4"/>
    </row>
    <row r="2654" spans="1:8" ht="15.75" customHeight="1" x14ac:dyDescent="0.25">
      <c r="D2654" s="4"/>
      <c r="H2654" s="4"/>
    </row>
    <row r="2655" spans="1:8" ht="15.75" customHeight="1" x14ac:dyDescent="0.25">
      <c r="D2655" s="4"/>
      <c r="H2655" s="4"/>
    </row>
    <row r="2656" spans="1:8" ht="15.75" customHeight="1" x14ac:dyDescent="0.25">
      <c r="D2656" s="4"/>
      <c r="H2656" s="4"/>
    </row>
    <row r="2657" spans="1:20" ht="15.75" customHeight="1" x14ac:dyDescent="0.25">
      <c r="D2657" s="4"/>
      <c r="H2657" s="4"/>
    </row>
    <row r="2658" spans="1:20" ht="15.75" customHeight="1" x14ac:dyDescent="0.25">
      <c r="D2658" s="4"/>
      <c r="H2658" s="4"/>
    </row>
    <row r="2659" spans="1:20" ht="15.75" customHeight="1" x14ac:dyDescent="0.25">
      <c r="D2659" s="4"/>
      <c r="H2659" s="4"/>
    </row>
    <row r="2660" spans="1:20" ht="15.75" customHeight="1" x14ac:dyDescent="0.25">
      <c r="D2660" s="4"/>
      <c r="H2660" s="4"/>
    </row>
    <row r="2661" spans="1:20" ht="15.75" customHeight="1" x14ac:dyDescent="0.25">
      <c r="D2661" s="4"/>
      <c r="H2661" s="4"/>
    </row>
    <row r="2662" spans="1:20" ht="15.75" customHeight="1" x14ac:dyDescent="0.25">
      <c r="D2662" s="4"/>
      <c r="H2662" s="4"/>
    </row>
    <row r="2663" spans="1:20" ht="15.75" customHeight="1" x14ac:dyDescent="0.25">
      <c r="D2663" s="4"/>
      <c r="H2663" s="4"/>
      <c r="I2663" s="390"/>
      <c r="J2663" s="390"/>
      <c r="K2663" s="390"/>
      <c r="L2663" s="390"/>
      <c r="M2663" s="390"/>
      <c r="N2663" s="390"/>
      <c r="O2663" s="390"/>
      <c r="P2663" s="390"/>
      <c r="Q2663" s="390"/>
      <c r="R2663" s="390"/>
      <c r="S2663" s="390"/>
      <c r="T2663" s="390"/>
    </row>
    <row r="2664" spans="1:20" ht="15.75" customHeight="1" x14ac:dyDescent="0.25">
      <c r="A2664" s="398" t="s">
        <v>14</v>
      </c>
      <c r="B2664" s="398"/>
      <c r="C2664" s="398"/>
      <c r="D2664" s="398"/>
      <c r="E2664" s="398"/>
      <c r="F2664" s="398"/>
      <c r="G2664" s="398"/>
      <c r="H2664" s="398"/>
      <c r="I2664" s="390"/>
      <c r="J2664" s="390"/>
      <c r="K2664" s="390"/>
      <c r="L2664" s="390"/>
      <c r="M2664" s="390"/>
      <c r="N2664" s="390"/>
      <c r="O2664" s="390"/>
      <c r="P2664" s="390"/>
      <c r="Q2664" s="390"/>
      <c r="R2664" s="390"/>
      <c r="S2664" s="390"/>
      <c r="T2664" s="390"/>
    </row>
    <row r="2665" spans="1:20" ht="15.75" customHeight="1" x14ac:dyDescent="0.25">
      <c r="A2665" s="390"/>
      <c r="B2665" s="390"/>
      <c r="C2665" s="390"/>
      <c r="D2665" s="391"/>
      <c r="E2665" s="390"/>
      <c r="F2665" s="390"/>
      <c r="G2665" s="390"/>
      <c r="H2665" s="398"/>
      <c r="I2665" s="390"/>
      <c r="J2665" s="390"/>
      <c r="K2665" s="390"/>
      <c r="L2665" s="390"/>
      <c r="M2665" s="390"/>
      <c r="N2665" s="390"/>
      <c r="O2665" s="390"/>
      <c r="P2665" s="390"/>
      <c r="Q2665" s="390"/>
      <c r="R2665" s="390"/>
      <c r="S2665" s="390"/>
      <c r="T2665" s="390"/>
    </row>
    <row r="2666" spans="1:20" ht="15.75" customHeight="1" x14ac:dyDescent="0.25">
      <c r="A2666" s="390"/>
      <c r="B2666" s="390"/>
      <c r="C2666" s="391"/>
      <c r="D2666" s="392"/>
      <c r="E2666" s="393"/>
      <c r="F2666" s="393"/>
      <c r="G2666" s="393"/>
      <c r="H2666" s="394"/>
      <c r="I2666" s="390"/>
      <c r="J2666" s="390"/>
      <c r="K2666" s="390"/>
      <c r="L2666" s="390"/>
      <c r="M2666" s="390"/>
      <c r="N2666" s="390"/>
      <c r="O2666" s="390"/>
      <c r="P2666" s="390"/>
      <c r="Q2666" s="390"/>
      <c r="R2666" s="390"/>
      <c r="S2666" s="390"/>
      <c r="T2666" s="390"/>
    </row>
    <row r="2667" spans="1:20" ht="15.75" customHeight="1" x14ac:dyDescent="0.25">
      <c r="A2667" s="390"/>
      <c r="B2667" s="390"/>
      <c r="C2667" s="390"/>
      <c r="D2667" s="391"/>
      <c r="E2667" s="390"/>
      <c r="F2667" s="395" t="s">
        <v>18</v>
      </c>
      <c r="G2667" s="396" t="s">
        <v>627</v>
      </c>
      <c r="H2667" s="397"/>
      <c r="I2667" s="390"/>
      <c r="J2667" s="390"/>
      <c r="K2667" s="390"/>
      <c r="L2667" s="390"/>
      <c r="M2667" s="390"/>
      <c r="N2667" s="390"/>
      <c r="O2667" s="390"/>
      <c r="P2667" s="390"/>
      <c r="Q2667" s="390"/>
      <c r="R2667" s="390"/>
      <c r="S2667" s="390"/>
      <c r="T2667" s="390"/>
    </row>
    <row r="2668" spans="1:20" ht="15.75" customHeight="1" x14ac:dyDescent="0.25">
      <c r="A2668" s="390" t="s">
        <v>20</v>
      </c>
      <c r="B2668" s="390"/>
      <c r="C2668" s="390"/>
      <c r="D2668" s="391"/>
      <c r="E2668" s="390"/>
      <c r="F2668" s="395" t="s">
        <v>21</v>
      </c>
      <c r="G2668" s="390" t="s">
        <v>1256</v>
      </c>
      <c r="H2668" s="391"/>
      <c r="I2668" s="390"/>
      <c r="J2668" s="390"/>
      <c r="K2668" s="390"/>
      <c r="L2668" s="390"/>
      <c r="M2668" s="390"/>
      <c r="N2668" s="390"/>
      <c r="O2668" s="390"/>
      <c r="P2668" s="390"/>
      <c r="Q2668" s="390"/>
      <c r="R2668" s="390"/>
      <c r="S2668" s="390"/>
      <c r="T2668" s="390"/>
    </row>
    <row r="2669" spans="1:20" ht="15.75" customHeight="1" x14ac:dyDescent="0.25">
      <c r="A2669" s="390" t="inlineStr">
        <is>
          <t>Dealer-001</t>
        </is>
      </c>
      <c r="B2669" s="390"/>
      <c r="C2669" s="390"/>
      <c r="D2669" s="391"/>
      <c r="E2669" s="395"/>
      <c r="F2669" s="390"/>
      <c r="G2669" s="390"/>
      <c r="H2669" s="394"/>
      <c r="I2669" s="390"/>
      <c r="J2669" s="390"/>
      <c r="K2669" s="390"/>
      <c r="L2669" s="390"/>
      <c r="M2669" s="390"/>
      <c r="N2669" s="390"/>
      <c r="O2669" s="390"/>
      <c r="P2669" s="390"/>
      <c r="Q2669" s="390"/>
      <c r="R2669" s="390"/>
      <c r="S2669" s="390"/>
      <c r="T2669" s="390"/>
    </row>
    <row r="2670" spans="1:20" ht="15.75" customHeight="1" x14ac:dyDescent="0.25">
      <c r="A2670" s="390" t="inlineStr">
        <is>
          <t>Address line (redacted)</t>
        </is>
      </c>
      <c r="B2670" s="390"/>
      <c r="C2670" s="390"/>
      <c r="D2670" s="398"/>
      <c r="E2670" s="390"/>
      <c r="F2670" s="391"/>
      <c r="G2670" s="390"/>
      <c r="H2670" s="394"/>
      <c r="I2670" s="390"/>
      <c r="J2670" s="390"/>
      <c r="K2670" s="390"/>
      <c r="L2670" s="390"/>
      <c r="M2670" s="390"/>
      <c r="N2670" s="390"/>
      <c r="O2670" s="390"/>
      <c r="P2670" s="390"/>
      <c r="Q2670" s="390"/>
      <c r="R2670" s="390"/>
      <c r="S2670" s="390"/>
      <c r="T2670" s="390"/>
    </row>
    <row r="2671" spans="1:20" ht="15.75" customHeight="1" x14ac:dyDescent="0.25">
      <c r="A2671" s="390"/>
      <c r="B2671" s="390"/>
      <c r="C2671" s="390"/>
      <c r="D2671" s="398"/>
      <c r="E2671" s="390"/>
      <c r="F2671" s="391"/>
      <c r="G2671" s="390"/>
      <c r="H2671" s="394"/>
      <c r="I2671" s="390"/>
      <c r="J2671" s="390"/>
      <c r="K2671" s="390"/>
      <c r="L2671" s="390"/>
      <c r="M2671" s="390"/>
      <c r="N2671" s="390"/>
      <c r="O2671" s="390"/>
      <c r="P2671" s="390"/>
      <c r="Q2671" s="390"/>
      <c r="R2671" s="390"/>
      <c r="S2671" s="390"/>
      <c r="T2671" s="390"/>
    </row>
    <row r="2672" spans="1:20" ht="15.75" customHeight="1" x14ac:dyDescent="0.25">
      <c r="A2672" s="390" t="inlineStr">
        <is>
          <t>Through: Transporter-001</t>
        </is>
      </c>
      <c r="B2672" s="390"/>
      <c r="C2672" s="390"/>
      <c r="D2672" s="398"/>
      <c r="E2672" s="390"/>
      <c r="F2672" s="391"/>
      <c r="G2672" s="390"/>
      <c r="H2672" s="394"/>
      <c r="I2672" s="390"/>
      <c r="J2672" s="390"/>
      <c r="K2672" s="390"/>
      <c r="L2672" s="390"/>
      <c r="M2672" s="390"/>
      <c r="N2672" s="390"/>
      <c r="O2672" s="390"/>
      <c r="P2672" s="390"/>
      <c r="Q2672" s="390"/>
      <c r="R2672" s="390"/>
      <c r="S2672" s="390"/>
      <c r="T2672" s="390"/>
    </row>
    <row r="2673" spans="1:20" ht="15.75" customHeight="1" x14ac:dyDescent="0.25">
      <c r="A2673" s="390"/>
      <c r="B2673" s="390" t="inlineStr">
        <is>
          <t>Address line (redacted)</t>
        </is>
      </c>
      <c r="C2673" s="390"/>
      <c r="D2673" s="398"/>
      <c r="E2673" s="390"/>
      <c r="F2673" s="391"/>
      <c r="G2673" s="390"/>
      <c r="H2673" s="394"/>
      <c r="I2673" s="390"/>
      <c r="J2673" s="390"/>
      <c r="K2673" s="390"/>
      <c r="L2673" s="390"/>
      <c r="M2673" s="390"/>
      <c r="N2673" s="390"/>
      <c r="O2673" s="390"/>
      <c r="P2673" s="390"/>
      <c r="Q2673" s="390"/>
      <c r="R2673" s="390"/>
      <c r="S2673" s="390"/>
      <c r="T2673" s="390"/>
    </row>
    <row r="2674" spans="1:20" ht="15.75" customHeight="1" x14ac:dyDescent="0.25">
      <c r="A2674" s="390"/>
      <c r="B2674" s="390" t="inlineStr">
        <is>
          <t>Address line (redacted)</t>
        </is>
      </c>
      <c r="C2674" s="390"/>
      <c r="D2674" s="398"/>
      <c r="E2674" s="390"/>
      <c r="F2674" s="391"/>
      <c r="G2674" s="390"/>
      <c r="H2674" s="394"/>
      <c r="I2674" s="390"/>
      <c r="J2674" s="390"/>
      <c r="K2674" s="390"/>
      <c r="L2674" s="390"/>
      <c r="M2674" s="390"/>
      <c r="N2674" s="390"/>
      <c r="O2674" s="390"/>
      <c r="P2674" s="390"/>
      <c r="Q2674" s="390"/>
      <c r="R2674" s="390"/>
      <c r="S2674" s="390"/>
      <c r="T2674" s="390"/>
    </row>
    <row r="2675" spans="1:20" ht="15.75" customHeight="1" x14ac:dyDescent="0.25">
      <c r="A2675" s="390"/>
      <c r="B2675" s="390"/>
      <c r="C2675" s="390"/>
      <c r="D2675" s="398"/>
      <c r="E2675" s="390"/>
      <c r="F2675" s="391"/>
      <c r="G2675" s="390"/>
      <c r="H2675" s="394"/>
      <c r="I2675" s="390"/>
      <c r="J2675" s="390"/>
      <c r="K2675" s="390"/>
      <c r="L2675" s="390"/>
      <c r="M2675" s="390"/>
      <c r="N2675" s="390"/>
      <c r="O2675" s="390"/>
      <c r="P2675" s="390"/>
      <c r="Q2675" s="390"/>
      <c r="R2675" s="390"/>
      <c r="S2675" s="390"/>
      <c r="T2675" s="390"/>
    </row>
    <row r="2676" spans="1:20" ht="15.75" customHeight="1" x14ac:dyDescent="0.25">
      <c r="A2676" s="390" t="s">
        <v>30</v>
      </c>
      <c r="B2676" s="390"/>
      <c r="C2676" s="390"/>
      <c r="D2676" s="391"/>
      <c r="E2676" s="390"/>
      <c r="F2676" s="391"/>
      <c r="G2676" s="390"/>
      <c r="H2676" s="394"/>
      <c r="I2676" s="390"/>
      <c r="J2676" s="390"/>
      <c r="K2676" s="390"/>
      <c r="L2676" s="390"/>
      <c r="M2676" s="390"/>
      <c r="N2676" s="390"/>
      <c r="O2676" s="390"/>
      <c r="P2676" s="390"/>
      <c r="Q2676" s="390"/>
      <c r="R2676" s="390"/>
      <c r="S2676" s="390"/>
      <c r="T2676" s="390"/>
    </row>
    <row r="2677" spans="1:20" ht="15.75" customHeight="1" x14ac:dyDescent="0.25">
      <c r="A2677" s="390"/>
      <c r="B2677" s="390"/>
      <c r="C2677" s="390"/>
      <c r="D2677" s="391"/>
      <c r="E2677" s="390"/>
      <c r="F2677" s="391"/>
      <c r="G2677" s="390"/>
      <c r="H2677" s="394"/>
      <c r="I2677" s="390"/>
      <c r="J2677" s="390"/>
      <c r="K2677" s="390"/>
      <c r="L2677" s="390"/>
      <c r="M2677" s="390"/>
      <c r="N2677" s="390"/>
      <c r="O2677" s="390"/>
      <c r="P2677" s="390"/>
      <c r="Q2677" s="390"/>
      <c r="R2677" s="390"/>
      <c r="S2677" s="390"/>
      <c r="T2677" s="390"/>
    </row>
    <row r="2678" spans="1:20" ht="15.75" customHeight="1" x14ac:dyDescent="0.25">
      <c r="A2678" s="390" t="s">
        <v>716</v>
      </c>
      <c r="B2678" s="390"/>
      <c r="C2678" s="390"/>
      <c r="D2678" s="391"/>
      <c r="E2678" s="390"/>
      <c r="F2678" s="391"/>
      <c r="G2678" s="390"/>
      <c r="H2678" s="394"/>
      <c r="I2678" s="390"/>
      <c r="J2678" s="390"/>
      <c r="K2678" s="390"/>
      <c r="L2678" s="390"/>
      <c r="M2678" s="390"/>
      <c r="N2678" s="390"/>
      <c r="O2678" s="390"/>
      <c r="P2678" s="390"/>
      <c r="Q2678" s="390"/>
      <c r="R2678" s="390"/>
      <c r="S2678" s="390"/>
      <c r="T2678" s="390"/>
    </row>
    <row r="2679" spans="1:20" ht="15.75" customHeight="1" x14ac:dyDescent="0.25">
      <c r="A2679" s="390" t="s">
        <v>717</v>
      </c>
      <c r="B2679" s="390"/>
      <c r="C2679" s="390"/>
      <c r="D2679" s="391"/>
      <c r="E2679" s="390"/>
      <c r="F2679" s="391"/>
      <c r="G2679" s="390"/>
      <c r="H2679" s="394"/>
      <c r="I2679" s="390"/>
      <c r="J2679" s="390"/>
      <c r="K2679" s="390"/>
      <c r="L2679" s="390"/>
      <c r="M2679" s="390"/>
      <c r="N2679" s="390"/>
      <c r="O2679" s="390"/>
      <c r="P2679" s="390"/>
      <c r="Q2679" s="390"/>
      <c r="R2679" s="390"/>
      <c r="S2679" s="390"/>
      <c r="T2679" s="390"/>
    </row>
    <row r="2680" spans="1:20" ht="15.75" customHeight="1" x14ac:dyDescent="0.25">
      <c r="A2680" s="390"/>
      <c r="B2680" s="390"/>
      <c r="C2680" s="390"/>
      <c r="D2680" s="391"/>
      <c r="E2680" s="390"/>
      <c r="F2680" s="391"/>
      <c r="G2680" s="390"/>
      <c r="H2680" s="394"/>
      <c r="I2680" s="390"/>
      <c r="J2680" s="390"/>
      <c r="K2680" s="390"/>
      <c r="L2680" s="390"/>
      <c r="M2680" s="390"/>
      <c r="N2680" s="390"/>
      <c r="O2680" s="390"/>
      <c r="P2680" s="390"/>
      <c r="Q2680" s="390"/>
      <c r="R2680" s="390"/>
      <c r="S2680" s="390"/>
      <c r="T2680" s="390"/>
    </row>
    <row r="2681" spans="1:20" ht="15.75" customHeight="1" x14ac:dyDescent="0.25">
      <c r="A2681" s="399" t="s">
        <v>33</v>
      </c>
      <c r="B2681" s="400" t="s">
        <v>6</v>
      </c>
      <c r="C2681" s="400"/>
      <c r="D2681" s="401" t="s">
        <v>37</v>
      </c>
      <c r="E2681" s="402" t="s">
        <v>38</v>
      </c>
      <c r="F2681" s="403" t="s">
        <v>7</v>
      </c>
      <c r="G2681" s="404" t="s">
        <v>43</v>
      </c>
      <c r="H2681" s="405" t="s">
        <v>44</v>
      </c>
      <c r="I2681" s="390"/>
      <c r="J2681" s="390"/>
      <c r="K2681" s="390"/>
      <c r="L2681" s="390"/>
      <c r="M2681" s="390"/>
      <c r="N2681" s="390"/>
      <c r="O2681" s="390"/>
      <c r="P2681" s="390"/>
      <c r="Q2681" s="390"/>
      <c r="R2681" s="390"/>
      <c r="S2681" s="390"/>
      <c r="T2681" s="390"/>
    </row>
    <row r="2682" spans="1:20" ht="15.75" customHeight="1" x14ac:dyDescent="0.25">
      <c r="A2682" s="406"/>
      <c r="B2682" s="407"/>
      <c r="C2682" s="393"/>
      <c r="D2682" s="408"/>
      <c r="E2682" s="408"/>
      <c r="F2682" s="409"/>
      <c r="G2682" s="410"/>
      <c r="H2682" s="411"/>
      <c r="I2682" s="390"/>
      <c r="J2682" s="390"/>
      <c r="K2682" s="390"/>
      <c r="L2682" s="390"/>
      <c r="M2682" s="390"/>
      <c r="N2682" s="390"/>
      <c r="O2682" s="390"/>
      <c r="P2682" s="390"/>
      <c r="Q2682" s="390"/>
      <c r="R2682" s="390"/>
      <c r="S2682" s="390"/>
      <c r="T2682" s="390"/>
    </row>
    <row r="2683" spans="1:20" ht="15.75" customHeight="1" x14ac:dyDescent="0.25">
      <c r="A2683" s="425"/>
      <c r="B2683" s="557"/>
      <c r="C2683" s="558"/>
      <c r="D2683" s="427"/>
      <c r="E2683" s="427"/>
      <c r="F2683" s="391"/>
      <c r="G2683" s="427"/>
      <c r="H2683" s="429"/>
      <c r="I2683" s="390"/>
      <c r="J2683" s="390"/>
      <c r="K2683" s="390"/>
      <c r="L2683" s="390"/>
      <c r="M2683" s="390"/>
      <c r="N2683" s="390"/>
      <c r="O2683" s="390"/>
      <c r="P2683" s="390"/>
      <c r="Q2683" s="390"/>
      <c r="R2683" s="390"/>
      <c r="S2683" s="390"/>
      <c r="T2683" s="390"/>
    </row>
    <row r="2684" spans="1:20" ht="15.75" customHeight="1" x14ac:dyDescent="0.25">
      <c r="A2684" s="425" t="s">
        <v>55</v>
      </c>
      <c r="B2684" s="448" t="s">
        <v>1260</v>
      </c>
      <c r="C2684" s="390" t="s">
        <v>424</v>
      </c>
      <c r="D2684" s="427">
        <v>4</v>
      </c>
      <c r="E2684" s="427">
        <v>25</v>
      </c>
      <c r="F2684" s="391">
        <f>+E2684*D2684</f>
      </c>
      <c r="G2684" s="427">
        <v>1</v>
      </c>
      <c r="H2684" s="429">
        <f>+G2684*F2684</f>
      </c>
      <c r="I2684" s="390"/>
      <c r="J2684" s="390"/>
      <c r="K2684" s="390"/>
      <c r="L2684" s="390"/>
      <c r="M2684" s="390"/>
      <c r="N2684" s="390"/>
      <c r="O2684" s="390"/>
      <c r="P2684" s="390"/>
      <c r="Q2684" s="390"/>
      <c r="R2684" s="390"/>
      <c r="S2684" s="390"/>
      <c r="T2684" s="390"/>
    </row>
    <row r="2685" spans="1:20" ht="15.75" customHeight="1" x14ac:dyDescent="0.25">
      <c r="A2685" s="425"/>
      <c r="B2685" s="448"/>
      <c r="C2685" s="390"/>
      <c r="D2685" s="427"/>
      <c r="E2685" s="427"/>
      <c r="F2685" s="391"/>
      <c r="G2685" s="427"/>
      <c r="H2685" s="429"/>
      <c r="I2685" s="390"/>
      <c r="J2685" s="390"/>
      <c r="K2685" s="390"/>
      <c r="L2685" s="390"/>
      <c r="M2685" s="390"/>
      <c r="N2685" s="390"/>
      <c r="O2685" s="390"/>
      <c r="P2685" s="390"/>
      <c r="Q2685" s="390"/>
      <c r="R2685" s="390"/>
      <c r="S2685" s="390"/>
      <c r="T2685" s="390"/>
    </row>
    <row r="2686" spans="1:20" ht="15.75" customHeight="1" x14ac:dyDescent="0.25">
      <c r="A2686" s="425"/>
      <c r="B2686" s="448"/>
      <c r="C2686" s="390"/>
      <c r="D2686" s="427"/>
      <c r="E2686" s="427"/>
      <c r="F2686" s="391"/>
      <c r="G2686" s="427"/>
      <c r="H2686" s="429"/>
      <c r="I2686" s="390"/>
      <c r="J2686" s="390"/>
      <c r="K2686" s="390"/>
      <c r="L2686" s="390"/>
      <c r="M2686" s="390"/>
      <c r="N2686" s="390"/>
      <c r="O2686" s="390"/>
      <c r="P2686" s="390"/>
      <c r="Q2686" s="390"/>
      <c r="R2686" s="390"/>
      <c r="S2686" s="390"/>
      <c r="T2686" s="390"/>
    </row>
    <row r="2687" spans="1:20" ht="15.75" customHeight="1" x14ac:dyDescent="0.25">
      <c r="A2687" s="425"/>
      <c r="B2687" s="448"/>
      <c r="C2687" s="390"/>
      <c r="D2687" s="427"/>
      <c r="E2687" s="427"/>
      <c r="F2687" s="391"/>
      <c r="G2687" s="427"/>
      <c r="H2687" s="429"/>
      <c r="I2687" s="390"/>
      <c r="J2687" s="390"/>
      <c r="K2687" s="390"/>
      <c r="L2687" s="390"/>
      <c r="M2687" s="390"/>
      <c r="N2687" s="390"/>
      <c r="O2687" s="390"/>
      <c r="P2687" s="390"/>
      <c r="Q2687" s="390"/>
      <c r="R2687" s="390"/>
      <c r="S2687" s="390"/>
      <c r="T2687" s="390"/>
    </row>
    <row r="2688" spans="1:20" ht="15.75" customHeight="1" x14ac:dyDescent="0.25">
      <c r="A2688" s="425"/>
      <c r="B2688" s="448"/>
      <c r="C2688" s="390"/>
      <c r="D2688" s="427"/>
      <c r="E2688" s="427"/>
      <c r="F2688" s="391"/>
      <c r="G2688" s="427"/>
      <c r="H2688" s="429"/>
      <c r="I2688" s="390"/>
      <c r="J2688" s="390"/>
      <c r="K2688" s="390"/>
      <c r="L2688" s="390"/>
      <c r="M2688" s="390"/>
      <c r="N2688" s="390"/>
      <c r="O2688" s="390"/>
      <c r="P2688" s="390"/>
      <c r="Q2688" s="390"/>
      <c r="R2688" s="390"/>
      <c r="S2688" s="390"/>
      <c r="T2688" s="390"/>
    </row>
    <row r="2689" spans="1:20" ht="15.75" customHeight="1" x14ac:dyDescent="0.25">
      <c r="A2689" s="425"/>
      <c r="B2689" s="448"/>
      <c r="C2689" s="390"/>
      <c r="D2689" s="427"/>
      <c r="E2689" s="427"/>
      <c r="F2689" s="391"/>
      <c r="G2689" s="427"/>
      <c r="H2689" s="429"/>
      <c r="I2689" s="390"/>
      <c r="J2689" s="390"/>
      <c r="K2689" s="390"/>
      <c r="L2689" s="390"/>
      <c r="M2689" s="390"/>
      <c r="N2689" s="390"/>
      <c r="O2689" s="390"/>
      <c r="P2689" s="390"/>
      <c r="Q2689" s="390"/>
      <c r="R2689" s="390"/>
      <c r="S2689" s="390"/>
      <c r="T2689" s="390"/>
    </row>
    <row r="2690" spans="1:20" ht="15.75" customHeight="1" x14ac:dyDescent="0.25">
      <c r="A2690" s="425"/>
      <c r="B2690" s="448"/>
      <c r="C2690" s="390"/>
      <c r="D2690" s="427"/>
      <c r="E2690" s="427"/>
      <c r="F2690" s="391"/>
      <c r="G2690" s="427"/>
      <c r="H2690" s="429"/>
      <c r="I2690" s="390"/>
      <c r="J2690" s="390"/>
      <c r="K2690" s="390"/>
      <c r="L2690" s="390"/>
      <c r="M2690" s="390"/>
      <c r="N2690" s="390"/>
      <c r="O2690" s="390"/>
      <c r="P2690" s="390"/>
      <c r="Q2690" s="390"/>
      <c r="R2690" s="390"/>
      <c r="S2690" s="390"/>
      <c r="T2690" s="390"/>
    </row>
    <row r="2691" spans="1:20" ht="15.75" customHeight="1" x14ac:dyDescent="0.25">
      <c r="A2691" s="425"/>
      <c r="B2691" s="426"/>
      <c r="C2691" s="390"/>
      <c r="D2691" s="427"/>
      <c r="E2691" s="427"/>
      <c r="F2691" s="391"/>
      <c r="G2691" s="427"/>
      <c r="H2691" s="429"/>
      <c r="I2691" s="390"/>
      <c r="J2691" s="390"/>
      <c r="K2691" s="390"/>
      <c r="L2691" s="390"/>
      <c r="M2691" s="390"/>
      <c r="N2691" s="390"/>
      <c r="O2691" s="390"/>
      <c r="P2691" s="390"/>
      <c r="Q2691" s="390"/>
      <c r="R2691" s="390"/>
      <c r="S2691" s="390"/>
      <c r="T2691" s="390"/>
    </row>
    <row r="2692" spans="1:20" ht="15.75" customHeight="1" x14ac:dyDescent="0.25">
      <c r="A2692" s="430"/>
      <c r="B2692" s="409"/>
      <c r="C2692" s="393"/>
      <c r="D2692" s="427"/>
      <c r="E2692" s="427"/>
      <c r="F2692" s="428"/>
      <c r="G2692" s="431"/>
      <c r="H2692" s="429"/>
      <c r="I2692" s="390"/>
      <c r="J2692" s="390"/>
      <c r="K2692" s="390"/>
      <c r="L2692" s="390"/>
      <c r="M2692" s="390"/>
      <c r="N2692" s="390"/>
      <c r="O2692" s="390"/>
      <c r="P2692" s="390"/>
      <c r="Q2692" s="390"/>
      <c r="R2692" s="390"/>
      <c r="S2692" s="390"/>
      <c r="T2692" s="390"/>
    </row>
    <row r="2693" spans="1:20" ht="15.75" customHeight="1" x14ac:dyDescent="0.25">
      <c r="A2693" s="432"/>
      <c r="B2693" s="433"/>
      <c r="C2693" s="434" t="s">
        <v>85</v>
      </c>
      <c r="D2693" s="435">
        <f>SUM(D2683:D2692)</f>
      </c>
      <c r="E2693" s="435"/>
      <c r="F2693" s="436">
        <f>SUM(F2683:F2692)</f>
      </c>
      <c r="G2693" s="437"/>
      <c r="H2693" s="438">
        <f>SUM(H2684:H2692)</f>
      </c>
      <c r="I2693" s="390"/>
      <c r="J2693" s="390"/>
      <c r="K2693" s="390"/>
      <c r="L2693" s="390"/>
      <c r="M2693" s="390"/>
      <c r="N2693" s="390"/>
      <c r="O2693" s="390"/>
      <c r="P2693" s="390"/>
      <c r="Q2693" s="390"/>
      <c r="R2693" s="390"/>
      <c r="S2693" s="390"/>
      <c r="T2693" s="390"/>
    </row>
    <row r="2694" spans="1:20" ht="15.75" customHeight="1" x14ac:dyDescent="0.25">
      <c r="A2694" s="439"/>
      <c r="B2694" s="440"/>
      <c r="C2694" s="440"/>
      <c r="D2694" s="441"/>
      <c r="E2694" s="440"/>
      <c r="F2694" s="442"/>
      <c r="G2694" s="443"/>
      <c r="H2694" s="444"/>
      <c r="I2694" s="390"/>
      <c r="J2694" s="390"/>
      <c r="K2694" s="390"/>
      <c r="L2694" s="390"/>
      <c r="M2694" s="390"/>
      <c r="N2694" s="390"/>
      <c r="O2694" s="390"/>
      <c r="P2694" s="390"/>
      <c r="Q2694" s="390"/>
      <c r="R2694" s="390"/>
      <c r="S2694" s="390"/>
      <c r="T2694" s="390"/>
    </row>
    <row r="2695" spans="1:20" ht="15.75" customHeight="1" x14ac:dyDescent="0.25">
      <c r="A2695" s="392"/>
      <c r="B2695" s="391"/>
      <c r="C2695" s="391"/>
      <c r="D2695" s="391"/>
      <c r="E2695" s="390"/>
      <c r="F2695" s="392"/>
      <c r="G2695" s="390"/>
      <c r="H2695" s="394"/>
      <c r="I2695" s="390"/>
      <c r="J2695" s="390"/>
      <c r="K2695" s="390"/>
      <c r="L2695" s="390"/>
      <c r="M2695" s="390"/>
      <c r="N2695" s="390"/>
      <c r="O2695" s="390"/>
      <c r="P2695" s="390"/>
      <c r="Q2695" s="390"/>
      <c r="R2695" s="390"/>
      <c r="S2695" s="390"/>
      <c r="T2695" s="390"/>
    </row>
    <row r="2696" spans="1:20" ht="15.75" customHeight="1" x14ac:dyDescent="0.25">
      <c r="A2696" s="445"/>
      <c r="B2696" s="445"/>
      <c r="C2696" s="445"/>
      <c r="D2696" s="446" t="s">
        <v>97</v>
      </c>
      <c r="E2696" s="445" t="s">
        <v>98</v>
      </c>
      <c r="F2696" s="445"/>
      <c r="G2696" s="390"/>
      <c r="H2696" s="394"/>
      <c r="I2696" s="390"/>
      <c r="J2696" s="390"/>
      <c r="K2696" s="390"/>
      <c r="L2696" s="390"/>
      <c r="M2696" s="390"/>
      <c r="N2696" s="390"/>
      <c r="O2696" s="390"/>
      <c r="P2696" s="390"/>
      <c r="Q2696" s="390"/>
      <c r="R2696" s="390"/>
      <c r="S2696" s="390"/>
      <c r="T2696" s="390"/>
    </row>
    <row r="2697" spans="1:20" ht="15.75" customHeight="1" x14ac:dyDescent="0.25">
      <c r="A2697" s="390"/>
      <c r="B2697" s="390"/>
      <c r="C2697" s="390"/>
      <c r="D2697" s="391"/>
      <c r="E2697" s="390"/>
      <c r="F2697" s="390"/>
      <c r="G2697" s="390"/>
      <c r="H2697" s="394"/>
      <c r="I2697" s="390"/>
      <c r="J2697" s="390"/>
      <c r="K2697" s="390"/>
      <c r="L2697" s="390"/>
      <c r="M2697" s="390"/>
      <c r="N2697" s="390"/>
      <c r="O2697" s="390"/>
      <c r="P2697" s="390"/>
      <c r="Q2697" s="390"/>
      <c r="R2697" s="390"/>
      <c r="S2697" s="390"/>
      <c r="T2697" s="390"/>
    </row>
    <row r="2698" spans="1:20" ht="15.75" customHeight="1" x14ac:dyDescent="0.25">
      <c r="A2698" s="390"/>
      <c r="B2698" s="390"/>
      <c r="C2698" s="390"/>
      <c r="D2698" s="391"/>
      <c r="E2698" s="390"/>
      <c r="F2698" s="390"/>
      <c r="G2698" s="390"/>
      <c r="H2698" s="394"/>
      <c r="I2698" s="390"/>
      <c r="J2698" s="390"/>
      <c r="K2698" s="390"/>
      <c r="L2698" s="390"/>
      <c r="M2698" s="390"/>
      <c r="N2698" s="390"/>
      <c r="O2698" s="390"/>
      <c r="P2698" s="390"/>
      <c r="Q2698" s="390"/>
      <c r="R2698" s="390"/>
      <c r="S2698" s="390"/>
      <c r="T2698" s="390"/>
    </row>
    <row r="2699" spans="1:20" ht="15.75" customHeight="1" x14ac:dyDescent="0.25">
      <c r="A2699" s="445"/>
      <c r="B2699" s="445"/>
      <c r="C2699" s="445"/>
      <c r="D2699" s="446"/>
      <c r="E2699" s="445" t="s">
        <v>99</v>
      </c>
      <c r="F2699" s="445"/>
      <c r="G2699" s="390"/>
      <c r="H2699" s="394"/>
    </row>
    <row r="2700" spans="1:20" ht="15.75" customHeight="1" x14ac:dyDescent="0.25">
      <c r="D2700" s="4"/>
      <c r="H2700" s="4"/>
    </row>
    <row r="2701" spans="1:20" ht="15.75" customHeight="1" x14ac:dyDescent="0.25">
      <c r="D2701" s="4"/>
      <c r="H2701" s="4"/>
    </row>
    <row r="2702" spans="1:20" ht="15.75" customHeight="1" x14ac:dyDescent="0.25">
      <c r="D2702" s="4"/>
      <c r="H2702" s="4"/>
    </row>
    <row r="2703" spans="1:20" ht="15.75" customHeight="1" x14ac:dyDescent="0.25">
      <c r="D2703" s="4"/>
      <c r="H2703" s="4"/>
    </row>
    <row r="2704" spans="1:20" ht="15.75" customHeight="1" x14ac:dyDescent="0.25">
      <c r="D2704" s="4"/>
      <c r="H2704" s="4"/>
    </row>
    <row r="2705" spans="1:8" ht="15.75" customHeight="1" x14ac:dyDescent="0.25">
      <c r="D2705" s="4"/>
      <c r="H2705" s="4"/>
    </row>
    <row r="2706" spans="1:8" ht="15.75" customHeight="1" x14ac:dyDescent="0.25">
      <c r="D2706" s="4"/>
      <c r="H2706" s="4"/>
    </row>
    <row r="2707" spans="1:8" ht="15.75" customHeight="1" x14ac:dyDescent="0.25">
      <c r="D2707" s="4"/>
      <c r="H2707" s="4"/>
    </row>
    <row r="2708" spans="1:8" ht="15.75" customHeight="1" x14ac:dyDescent="0.25">
      <c r="D2708" s="4"/>
      <c r="H2708" s="4"/>
    </row>
    <row r="2709" spans="1:8" ht="15.75" customHeight="1" x14ac:dyDescent="0.25">
      <c r="D2709" s="4"/>
      <c r="H2709" s="4"/>
    </row>
    <row r="2710" spans="1:8" ht="15.75" customHeight="1" x14ac:dyDescent="0.25">
      <c r="D2710" s="4"/>
      <c r="H2710" s="4"/>
    </row>
    <row r="2711" spans="1:8" ht="15.75" customHeight="1" x14ac:dyDescent="0.25">
      <c r="D2711" s="4"/>
      <c r="H2711" s="4"/>
    </row>
    <row r="2712" spans="1:8" ht="15.75" customHeight="1" x14ac:dyDescent="0.25">
      <c r="D2712" s="4"/>
      <c r="H2712" s="4"/>
    </row>
    <row r="2713" spans="1:8" ht="15.75" customHeight="1" x14ac:dyDescent="0.25">
      <c r="D2713" s="4"/>
      <c r="H2713" s="4"/>
    </row>
    <row r="2714" spans="1:8" ht="15.75" customHeight="1" x14ac:dyDescent="0.25">
      <c r="D2714" s="4"/>
      <c r="H2714" s="4"/>
    </row>
    <row r="2715" spans="1:8" ht="15.75" customHeight="1" x14ac:dyDescent="0.25">
      <c r="D2715" s="4"/>
      <c r="H2715" s="4"/>
    </row>
    <row r="2716" spans="1:8" ht="15.75" customHeight="1" x14ac:dyDescent="0.25">
      <c r="A2716" s="398" t="s">
        <v>14</v>
      </c>
      <c r="B2716" s="398"/>
      <c r="C2716" s="398"/>
      <c r="D2716" s="398"/>
      <c r="E2716" s="398"/>
      <c r="F2716" s="398"/>
      <c r="G2716" s="398"/>
      <c r="H2716" s="398"/>
    </row>
    <row r="2717" spans="1:8" ht="15.75" customHeight="1" x14ac:dyDescent="0.25">
      <c r="A2717" s="390"/>
      <c r="B2717" s="390"/>
      <c r="C2717" s="390"/>
      <c r="D2717" s="391"/>
      <c r="E2717" s="390"/>
      <c r="F2717" s="390"/>
      <c r="G2717" s="390"/>
      <c r="H2717" s="398"/>
    </row>
    <row r="2718" spans="1:8" ht="15.75" customHeight="1" x14ac:dyDescent="0.25">
      <c r="A2718" s="390"/>
      <c r="B2718" s="390"/>
      <c r="C2718" s="391"/>
      <c r="D2718" s="392"/>
      <c r="E2718" s="393"/>
      <c r="F2718" s="393"/>
      <c r="G2718" s="393"/>
      <c r="H2718" s="394"/>
    </row>
    <row r="2719" spans="1:8" ht="15.75" customHeight="1" x14ac:dyDescent="0.25">
      <c r="A2719" s="390"/>
      <c r="B2719" s="390"/>
      <c r="C2719" s="390"/>
      <c r="D2719" s="391"/>
      <c r="E2719" s="390"/>
      <c r="F2719" s="395" t="s">
        <v>18</v>
      </c>
      <c r="G2719" s="396" t="s">
        <v>629</v>
      </c>
      <c r="H2719" s="397"/>
    </row>
    <row r="2720" spans="1:8" ht="15.75" customHeight="1" x14ac:dyDescent="0.25">
      <c r="A2720" s="390" t="s">
        <v>20</v>
      </c>
      <c r="B2720" s="390"/>
      <c r="C2720" s="390"/>
      <c r="D2720" s="391"/>
      <c r="E2720" s="390"/>
      <c r="F2720" s="395" t="s">
        <v>21</v>
      </c>
      <c r="G2720" s="390" t="s">
        <v>1266</v>
      </c>
      <c r="H2720" s="391"/>
    </row>
    <row r="2721" spans="1:8" ht="15.75" customHeight="1" x14ac:dyDescent="0.25">
      <c r="A2721" s="390" t="inlineStr">
        <is>
          <t>Dealer-009</t>
        </is>
      </c>
      <c r="B2721" s="390"/>
      <c r="C2721" s="390" t="inlineStr">
        <is>
          <t>ATTN: Contact-001</t>
        </is>
      </c>
      <c r="D2721" s="391"/>
      <c r="E2721" s="395"/>
      <c r="F2721" s="390"/>
      <c r="G2721" s="390"/>
      <c r="H2721" s="394"/>
    </row>
    <row r="2722" spans="1:8" ht="15.75" customHeight="1" x14ac:dyDescent="0.25">
      <c r="A2722" s="390" t="inlineStr">
        <is>
          <t>Address line (redacted)</t>
        </is>
      </c>
      <c r="B2722" s="390"/>
      <c r="C2722" s="390"/>
      <c r="D2722" s="398"/>
      <c r="E2722" s="390"/>
      <c r="F2722" s="391"/>
      <c r="G2722" s="390"/>
      <c r="H2722" s="394"/>
    </row>
    <row r="2723" spans="1:8" ht="15.75" customHeight="1" x14ac:dyDescent="0.25">
      <c r="A2723" s="390" t="inlineStr">
        <is>
          <t>Address line (redacted)</t>
        </is>
      </c>
      <c r="B2723" s="390"/>
      <c r="C2723" s="390"/>
      <c r="D2723" s="398"/>
      <c r="E2723" s="390"/>
      <c r="F2723" s="391"/>
      <c r="G2723" s="390"/>
      <c r="H2723" s="394"/>
    </row>
    <row r="2724" spans="1:8" ht="15.75" customHeight="1" x14ac:dyDescent="0.25">
      <c r="A2724" s="447"/>
      <c r="B2724" s="390"/>
      <c r="C2724" s="390"/>
      <c r="D2724" s="391"/>
      <c r="E2724" s="390"/>
      <c r="F2724" s="391"/>
      <c r="G2724" s="390"/>
      <c r="H2724" s="394"/>
    </row>
    <row r="2725" spans="1:8" ht="15.75" customHeight="1" x14ac:dyDescent="0.25">
      <c r="A2725" s="390" t="s">
        <v>30</v>
      </c>
      <c r="B2725" s="390"/>
      <c r="C2725" s="390"/>
      <c r="D2725" s="391"/>
      <c r="E2725" s="390"/>
      <c r="F2725" s="391"/>
      <c r="G2725" s="390"/>
      <c r="H2725" s="394"/>
    </row>
    <row r="2726" spans="1:8" ht="15.75" customHeight="1" x14ac:dyDescent="0.25">
      <c r="A2726" s="390"/>
      <c r="B2726" s="390"/>
      <c r="C2726" s="390"/>
      <c r="D2726" s="391"/>
      <c r="E2726" s="390"/>
      <c r="F2726" s="391"/>
      <c r="G2726" s="390"/>
      <c r="H2726" s="394"/>
    </row>
    <row r="2727" spans="1:8" ht="15.75" customHeight="1" x14ac:dyDescent="0.25">
      <c r="A2727" s="390" t="s">
        <v>31</v>
      </c>
      <c r="B2727" s="390"/>
      <c r="C2727" s="390"/>
      <c r="D2727" s="391"/>
      <c r="E2727" s="390"/>
      <c r="F2727" s="391"/>
      <c r="G2727" s="390"/>
      <c r="H2727" s="394"/>
    </row>
    <row r="2728" spans="1:8" ht="15.75" customHeight="1" x14ac:dyDescent="0.25">
      <c r="A2728" s="390" t="s">
        <v>32</v>
      </c>
      <c r="B2728" s="390"/>
      <c r="C2728" s="390"/>
      <c r="D2728" s="391"/>
      <c r="E2728" s="390"/>
      <c r="F2728" s="391"/>
      <c r="G2728" s="390"/>
      <c r="H2728" s="394"/>
    </row>
    <row r="2729" spans="1:8" ht="15.75" customHeight="1" x14ac:dyDescent="0.25">
      <c r="A2729" s="390"/>
      <c r="B2729" s="390"/>
      <c r="C2729" s="390"/>
      <c r="D2729" s="391"/>
      <c r="E2729" s="390"/>
      <c r="F2729" s="391"/>
      <c r="G2729" s="390"/>
      <c r="H2729" s="394"/>
    </row>
    <row r="2730" spans="1:8" ht="15.75" customHeight="1" x14ac:dyDescent="0.25">
      <c r="A2730" s="399" t="s">
        <v>33</v>
      </c>
      <c r="B2730" s="400" t="s">
        <v>6</v>
      </c>
      <c r="C2730" s="400"/>
      <c r="D2730" s="401" t="s">
        <v>37</v>
      </c>
      <c r="E2730" s="402" t="s">
        <v>38</v>
      </c>
      <c r="F2730" s="403" t="s">
        <v>7</v>
      </c>
      <c r="G2730" s="404" t="s">
        <v>43</v>
      </c>
      <c r="H2730" s="405" t="s">
        <v>44</v>
      </c>
    </row>
    <row r="2731" spans="1:8" ht="15.75" customHeight="1" x14ac:dyDescent="0.25">
      <c r="A2731" s="406"/>
      <c r="B2731" s="407"/>
      <c r="C2731" s="393"/>
      <c r="D2731" s="408"/>
      <c r="E2731" s="408"/>
      <c r="F2731" s="409"/>
      <c r="G2731" s="410"/>
      <c r="H2731" s="411"/>
    </row>
    <row r="2732" spans="1:8" ht="15.75" customHeight="1" x14ac:dyDescent="0.25">
      <c r="A2732" s="556"/>
      <c r="B2732" s="557" t="s">
        <v>1102</v>
      </c>
      <c r="C2732" s="558"/>
      <c r="D2732" s="408"/>
      <c r="E2732" s="408"/>
      <c r="F2732" s="398"/>
      <c r="G2732" s="408"/>
      <c r="H2732" s="559"/>
    </row>
    <row r="2733" spans="1:8" ht="15.75" customHeight="1" x14ac:dyDescent="0.25">
      <c r="A2733" s="425" t="s">
        <v>55</v>
      </c>
      <c r="B2733" s="448" t="s">
        <v>494</v>
      </c>
      <c r="C2733" s="507" t="s">
        <v>327</v>
      </c>
      <c r="D2733" s="427">
        <v>1</v>
      </c>
      <c r="E2733" s="427">
        <v>5</v>
      </c>
      <c r="F2733" s="391">
        <f t="shared" ref="F2733:F2735" si="36">+E2733*D2733</f>
      </c>
      <c r="G2733" s="427">
        <v>1</v>
      </c>
      <c r="H2733" s="429">
        <f t="shared" ref="H2733:H2735" si="37">+G2733*F2733</f>
      </c>
    </row>
    <row r="2734" spans="1:8" ht="15.75" customHeight="1" x14ac:dyDescent="0.25">
      <c r="A2734" s="425" t="s">
        <v>59</v>
      </c>
      <c r="B2734" s="448" t="s">
        <v>1203</v>
      </c>
      <c r="C2734" s="507" t="s">
        <v>47</v>
      </c>
      <c r="D2734" s="427">
        <v>3</v>
      </c>
      <c r="E2734" s="427">
        <v>5</v>
      </c>
      <c r="F2734" s="391">
        <f t="shared" si="36"/>
      </c>
      <c r="G2734" s="427">
        <v>1</v>
      </c>
      <c r="H2734" s="429">
        <f t="shared" si="37"/>
      </c>
    </row>
    <row r="2735" spans="1:8" ht="15.75" customHeight="1" x14ac:dyDescent="0.25">
      <c r="A2735" s="425" t="s">
        <v>67</v>
      </c>
      <c r="B2735" s="448" t="s">
        <v>1201</v>
      </c>
      <c r="C2735" s="507" t="s">
        <v>36</v>
      </c>
      <c r="D2735" s="427">
        <v>1</v>
      </c>
      <c r="E2735" s="427">
        <v>5</v>
      </c>
      <c r="F2735" s="391">
        <f t="shared" si="36"/>
      </c>
      <c r="G2735" s="427">
        <v>1</v>
      </c>
      <c r="H2735" s="429">
        <f t="shared" si="37"/>
      </c>
    </row>
    <row r="2736" spans="1:8" ht="15.75" customHeight="1" x14ac:dyDescent="0.25">
      <c r="A2736" s="425"/>
      <c r="B2736" s="448"/>
      <c r="C2736" s="507"/>
      <c r="D2736" s="427"/>
      <c r="E2736" s="427"/>
      <c r="F2736" s="391"/>
      <c r="G2736" s="427"/>
      <c r="H2736" s="429"/>
    </row>
    <row r="2737" spans="1:8" ht="15.75" customHeight="1" x14ac:dyDescent="0.25">
      <c r="A2737" s="425"/>
      <c r="B2737" s="557" t="s">
        <v>674</v>
      </c>
      <c r="C2737" s="558"/>
      <c r="D2737" s="427"/>
      <c r="E2737" s="427"/>
      <c r="F2737" s="391"/>
      <c r="G2737" s="427"/>
      <c r="H2737" s="429"/>
    </row>
    <row r="2738" spans="1:8" ht="15.75" customHeight="1" x14ac:dyDescent="0.25">
      <c r="A2738" s="502" t="s">
        <v>485</v>
      </c>
      <c r="B2738" s="503" t="s">
        <v>931</v>
      </c>
      <c r="C2738" s="390"/>
      <c r="D2738" s="427">
        <v>10</v>
      </c>
      <c r="E2738" s="427">
        <v>1</v>
      </c>
      <c r="F2738" s="391">
        <f>+E2738*D2738</f>
      </c>
      <c r="G2738" s="427">
        <v>1</v>
      </c>
      <c r="H2738" s="429">
        <f>+G2738*F2738</f>
      </c>
    </row>
    <row r="2739" spans="1:8" ht="15.75" customHeight="1" x14ac:dyDescent="0.25">
      <c r="A2739" s="502"/>
      <c r="B2739" s="503" t="s">
        <v>1270</v>
      </c>
      <c r="C2739" s="390"/>
      <c r="D2739" s="427"/>
      <c r="E2739" s="427"/>
      <c r="F2739" s="391"/>
      <c r="G2739" s="427"/>
      <c r="H2739" s="429"/>
    </row>
    <row r="2740" spans="1:8" ht="15.75" customHeight="1" x14ac:dyDescent="0.25">
      <c r="A2740" s="502"/>
      <c r="B2740" s="503"/>
      <c r="C2740" s="390"/>
      <c r="D2740" s="427"/>
      <c r="E2740" s="427"/>
      <c r="F2740" s="391"/>
      <c r="G2740" s="427"/>
      <c r="H2740" s="429"/>
    </row>
    <row r="2741" spans="1:8" ht="15.75" customHeight="1" x14ac:dyDescent="0.25">
      <c r="A2741" s="425"/>
      <c r="B2741" s="557" t="s">
        <v>1239</v>
      </c>
      <c r="C2741" s="558"/>
      <c r="D2741" s="427"/>
      <c r="E2741" s="427"/>
      <c r="F2741" s="391"/>
      <c r="G2741" s="427"/>
      <c r="H2741" s="429"/>
    </row>
    <row r="2742" spans="1:8" ht="15.75" customHeight="1" x14ac:dyDescent="0.25">
      <c r="A2742" s="502" t="s">
        <v>486</v>
      </c>
      <c r="B2742" s="503" t="s">
        <v>144</v>
      </c>
      <c r="C2742" s="390" t="s">
        <v>435</v>
      </c>
      <c r="D2742" s="427">
        <v>6</v>
      </c>
      <c r="E2742" s="427">
        <v>25</v>
      </c>
      <c r="F2742" s="391">
        <v>149</v>
      </c>
      <c r="G2742" s="427">
        <v>1</v>
      </c>
      <c r="H2742" s="429">
        <f t="shared" ref="H2742:H2747" si="38">+G2742*F2742</f>
      </c>
    </row>
    <row r="2743" spans="1:8" ht="15.75" customHeight="1" x14ac:dyDescent="0.25">
      <c r="A2743" s="502" t="s">
        <v>489</v>
      </c>
      <c r="B2743" s="503" t="s">
        <v>651</v>
      </c>
      <c r="C2743" s="390" t="s">
        <v>432</v>
      </c>
      <c r="D2743" s="427">
        <v>8</v>
      </c>
      <c r="E2743" s="427">
        <v>25</v>
      </c>
      <c r="F2743" s="391">
        <f t="shared" ref="F2743:F2744" si="39">+E2743*D2743</f>
      </c>
      <c r="G2743" s="427">
        <v>1</v>
      </c>
      <c r="H2743" s="429">
        <f t="shared" si="38"/>
      </c>
    </row>
    <row r="2744" spans="1:8" ht="15.75" customHeight="1" x14ac:dyDescent="0.25">
      <c r="A2744" s="502" t="s">
        <v>490</v>
      </c>
      <c r="B2744" s="503" t="s">
        <v>1213</v>
      </c>
      <c r="C2744" s="390" t="s">
        <v>1175</v>
      </c>
      <c r="D2744" s="427">
        <f>200/20</f>
      </c>
      <c r="E2744" s="427">
        <v>20</v>
      </c>
      <c r="F2744" s="391">
        <f t="shared" si="39"/>
      </c>
      <c r="G2744" s="427">
        <v>1</v>
      </c>
      <c r="H2744" s="429">
        <f t="shared" si="38"/>
      </c>
    </row>
    <row r="2745" spans="1:8" ht="15.75" customHeight="1" x14ac:dyDescent="0.25">
      <c r="A2745" s="502" t="s">
        <v>781</v>
      </c>
      <c r="B2745" s="503" t="s">
        <v>1213</v>
      </c>
      <c r="C2745" s="390" t="s">
        <v>1175</v>
      </c>
      <c r="D2745" s="427">
        <v>1</v>
      </c>
      <c r="E2745" s="427">
        <v>5</v>
      </c>
      <c r="F2745" s="391">
        <v>5</v>
      </c>
      <c r="G2745" s="427">
        <v>1</v>
      </c>
      <c r="H2745" s="429">
        <f t="shared" si="38"/>
      </c>
    </row>
    <row r="2746" spans="1:8" ht="15.75" customHeight="1" x14ac:dyDescent="0.25">
      <c r="A2746" s="502" t="s">
        <v>785</v>
      </c>
      <c r="B2746" s="503" t="s">
        <v>1274</v>
      </c>
      <c r="C2746" s="390" t="s">
        <v>427</v>
      </c>
      <c r="D2746" s="427">
        <v>4</v>
      </c>
      <c r="E2746" s="427">
        <v>25</v>
      </c>
      <c r="F2746" s="391">
        <f t="shared" ref="F2746:F2747" si="40">+E2746*D2746</f>
      </c>
      <c r="G2746" s="427">
        <v>1</v>
      </c>
      <c r="H2746" s="429">
        <f t="shared" si="38"/>
      </c>
    </row>
    <row r="2747" spans="1:8" ht="15.75" customHeight="1" x14ac:dyDescent="0.25">
      <c r="A2747" s="502" t="s">
        <v>787</v>
      </c>
      <c r="B2747" s="503" t="s">
        <v>145</v>
      </c>
      <c r="C2747" s="390" t="s">
        <v>383</v>
      </c>
      <c r="D2747" s="427">
        <v>2</v>
      </c>
      <c r="E2747" s="427">
        <v>25</v>
      </c>
      <c r="F2747" s="391">
        <f t="shared" si="40"/>
      </c>
      <c r="G2747" s="427">
        <v>1</v>
      </c>
      <c r="H2747" s="429">
        <f t="shared" si="38"/>
      </c>
    </row>
    <row r="2748" spans="1:8" ht="15.75" customHeight="1" x14ac:dyDescent="0.25">
      <c r="A2748" s="502"/>
      <c r="B2748" s="503"/>
      <c r="C2748" s="390"/>
      <c r="D2748" s="427"/>
      <c r="E2748" s="427"/>
      <c r="F2748" s="391"/>
      <c r="G2748" s="427"/>
      <c r="H2748" s="429"/>
    </row>
    <row r="2749" spans="1:8" ht="15.75" customHeight="1" x14ac:dyDescent="0.25">
      <c r="A2749" s="425"/>
      <c r="B2749" s="557" t="s">
        <v>531</v>
      </c>
      <c r="C2749" s="558"/>
      <c r="D2749" s="427"/>
      <c r="E2749" s="427"/>
      <c r="F2749" s="391"/>
      <c r="G2749" s="427"/>
      <c r="H2749" s="429"/>
    </row>
    <row r="2750" spans="1:8" ht="15.75" customHeight="1" x14ac:dyDescent="0.25">
      <c r="A2750" s="425" t="s">
        <v>790</v>
      </c>
      <c r="B2750" s="448" t="s">
        <v>1223</v>
      </c>
      <c r="C2750" s="560"/>
      <c r="D2750" s="427">
        <v>2</v>
      </c>
      <c r="E2750" s="427">
        <v>10</v>
      </c>
      <c r="F2750" s="391">
        <f>+E2750*D2750</f>
      </c>
      <c r="G2750" s="427">
        <v>1</v>
      </c>
      <c r="H2750" s="429">
        <f>+G2750*F2750</f>
      </c>
    </row>
    <row r="2751" spans="1:8" ht="15.75" customHeight="1" x14ac:dyDescent="0.25">
      <c r="A2751" s="425"/>
      <c r="B2751" s="448"/>
      <c r="C2751" s="560"/>
      <c r="D2751" s="427"/>
      <c r="E2751" s="427"/>
      <c r="F2751" s="391"/>
      <c r="G2751" s="427"/>
      <c r="H2751" s="429"/>
    </row>
    <row r="2752" spans="1:8" ht="15.75" customHeight="1" x14ac:dyDescent="0.25">
      <c r="A2752" s="502"/>
      <c r="B2752" s="503"/>
      <c r="C2752" s="390"/>
      <c r="D2752" s="427"/>
      <c r="E2752" s="427"/>
      <c r="F2752" s="391"/>
      <c r="G2752" s="427"/>
      <c r="H2752" s="429"/>
    </row>
    <row r="2753" spans="1:20" ht="15.75" customHeight="1" x14ac:dyDescent="0.25">
      <c r="A2753" s="432"/>
      <c r="B2753" s="433"/>
      <c r="C2753" s="434" t="s">
        <v>85</v>
      </c>
      <c r="D2753" s="435">
        <f>SUM(D2733:D2752)</f>
      </c>
      <c r="E2753" s="435"/>
      <c r="F2753" s="436"/>
      <c r="G2753" s="437"/>
      <c r="H2753" s="438">
        <f>SUM(H2733:H2752)</f>
      </c>
    </row>
    <row r="2754" spans="1:20" ht="15.75" customHeight="1" x14ac:dyDescent="0.25">
      <c r="A2754" s="439"/>
      <c r="B2754" s="440"/>
      <c r="C2754" s="440"/>
      <c r="D2754" s="441"/>
      <c r="E2754" s="440"/>
      <c r="F2754" s="442"/>
      <c r="G2754" s="443"/>
      <c r="H2754" s="444"/>
    </row>
    <row r="2755" spans="1:20" ht="15.75" customHeight="1" x14ac:dyDescent="0.25">
      <c r="A2755" s="565" t="s">
        <v>1215</v>
      </c>
      <c r="B2755" s="565"/>
      <c r="C2755" s="565"/>
      <c r="D2755" s="565"/>
      <c r="E2755" s="565"/>
      <c r="F2755" s="565"/>
      <c r="G2755" s="565"/>
      <c r="H2755" s="565"/>
    </row>
    <row r="2756" spans="1:20" ht="15.75" customHeight="1" x14ac:dyDescent="0.25">
      <c r="A2756" s="445"/>
      <c r="B2756" s="445"/>
      <c r="C2756" s="445"/>
      <c r="D2756" s="446" t="s">
        <v>97</v>
      </c>
      <c r="E2756" s="445" t="s">
        <v>98</v>
      </c>
      <c r="F2756" s="445"/>
      <c r="G2756" s="390"/>
      <c r="H2756" s="394"/>
    </row>
    <row r="2757" spans="1:20" ht="15.75" customHeight="1" x14ac:dyDescent="0.25">
      <c r="A2757" s="390"/>
      <c r="B2757" s="390"/>
      <c r="C2757" s="390"/>
      <c r="D2757" s="391"/>
      <c r="E2757" s="390"/>
      <c r="F2757" s="390"/>
      <c r="G2757" s="390"/>
      <c r="H2757" s="394"/>
    </row>
    <row r="2758" spans="1:20" ht="15.75" customHeight="1" x14ac:dyDescent="0.25">
      <c r="A2758" s="390"/>
      <c r="B2758" s="390"/>
      <c r="C2758" s="390"/>
      <c r="D2758" s="391"/>
      <c r="E2758" s="390"/>
      <c r="F2758" s="390"/>
      <c r="G2758" s="390"/>
      <c r="H2758" s="394"/>
    </row>
    <row r="2759" spans="1:20" ht="15.75" customHeight="1" x14ac:dyDescent="0.25">
      <c r="A2759" s="445"/>
      <c r="B2759" s="445"/>
      <c r="C2759" s="445"/>
      <c r="D2759" s="446"/>
      <c r="E2759" s="445" t="s">
        <v>99</v>
      </c>
      <c r="F2759" s="445"/>
      <c r="G2759" s="390"/>
      <c r="H2759" s="394"/>
    </row>
    <row r="2760" spans="1:20" ht="15.75" customHeight="1" x14ac:dyDescent="0.25">
      <c r="D2760" s="4"/>
      <c r="H2760" s="4"/>
    </row>
    <row r="2761" spans="1:20" ht="15.75" customHeight="1" x14ac:dyDescent="0.25">
      <c r="D2761" s="4"/>
      <c r="H2761" s="4"/>
      <c r="I2761" s="390"/>
      <c r="J2761" s="390"/>
      <c r="K2761" s="390"/>
      <c r="L2761" s="390"/>
      <c r="M2761" s="390"/>
      <c r="N2761" s="390"/>
      <c r="O2761" s="390"/>
      <c r="P2761" s="390"/>
      <c r="Q2761" s="390"/>
      <c r="R2761" s="390"/>
      <c r="S2761" s="390"/>
      <c r="T2761" s="390"/>
    </row>
    <row r="2762" spans="1:20" ht="15.75" customHeight="1" x14ac:dyDescent="0.25">
      <c r="A2762" s="398" t="s">
        <v>14</v>
      </c>
      <c r="B2762" s="391"/>
      <c r="C2762" s="391"/>
      <c r="D2762" s="391"/>
      <c r="E2762" s="391"/>
      <c r="F2762" s="391"/>
      <c r="G2762" s="391"/>
      <c r="H2762" s="394"/>
      <c r="I2762" s="390"/>
      <c r="J2762" s="390"/>
      <c r="K2762" s="390"/>
      <c r="L2762" s="390"/>
      <c r="M2762" s="390"/>
      <c r="N2762" s="390"/>
      <c r="O2762" s="390"/>
      <c r="P2762" s="390"/>
      <c r="Q2762" s="390"/>
      <c r="R2762" s="390"/>
      <c r="S2762" s="390"/>
      <c r="T2762" s="390"/>
    </row>
    <row r="2763" spans="1:20" ht="15.75" customHeight="1" x14ac:dyDescent="0.25">
      <c r="A2763" s="390"/>
      <c r="B2763" s="390"/>
      <c r="C2763" s="390"/>
      <c r="D2763" s="392"/>
      <c r="E2763" s="569"/>
      <c r="F2763" s="391"/>
      <c r="G2763" s="390"/>
      <c r="H2763" s="394"/>
      <c r="I2763" s="390"/>
      <c r="J2763" s="390"/>
      <c r="K2763" s="390"/>
      <c r="L2763" s="390"/>
      <c r="M2763" s="390"/>
      <c r="N2763" s="390"/>
      <c r="O2763" s="390"/>
      <c r="P2763" s="390"/>
      <c r="Q2763" s="390"/>
      <c r="R2763" s="390"/>
      <c r="S2763" s="390"/>
      <c r="T2763" s="390"/>
    </row>
    <row r="2764" spans="1:20" ht="15.75" customHeight="1" x14ac:dyDescent="0.25">
      <c r="A2764" s="390"/>
      <c r="B2764" s="390"/>
      <c r="C2764" s="390"/>
      <c r="D2764" s="391"/>
      <c r="E2764" s="390"/>
      <c r="F2764" s="395" t="s">
        <v>18</v>
      </c>
      <c r="G2764" s="390" t="s">
        <v>631</v>
      </c>
      <c r="H2764" s="394"/>
      <c r="I2764" s="390"/>
      <c r="J2764" s="390"/>
      <c r="K2764" s="390"/>
      <c r="L2764" s="390"/>
      <c r="M2764" s="390"/>
      <c r="N2764" s="390"/>
      <c r="O2764" s="390"/>
      <c r="P2764" s="390"/>
      <c r="Q2764" s="390"/>
      <c r="R2764" s="390"/>
      <c r="S2764" s="390"/>
      <c r="T2764" s="390"/>
    </row>
    <row r="2765" spans="1:20" ht="15.75" customHeight="1" x14ac:dyDescent="0.25">
      <c r="A2765" s="390"/>
      <c r="B2765" s="390"/>
      <c r="C2765" s="390"/>
      <c r="D2765" s="391"/>
      <c r="E2765" s="390"/>
      <c r="F2765" s="393" t="s">
        <v>21</v>
      </c>
      <c r="G2765" s="390" t="s">
        <v>1280</v>
      </c>
      <c r="H2765" s="394"/>
      <c r="I2765" s="390"/>
      <c r="J2765" s="390"/>
      <c r="K2765" s="390"/>
      <c r="L2765" s="390"/>
      <c r="M2765" s="390"/>
      <c r="N2765" s="390"/>
      <c r="O2765" s="390"/>
      <c r="P2765" s="390"/>
      <c r="Q2765" s="390"/>
      <c r="R2765" s="390"/>
      <c r="S2765" s="390"/>
      <c r="T2765" s="390"/>
    </row>
    <row r="2766" spans="1:20" ht="15.75" customHeight="1" x14ac:dyDescent="0.25">
      <c r="A2766" s="390" t="s">
        <v>20</v>
      </c>
      <c r="B2766" s="390"/>
      <c r="C2766" s="390"/>
      <c r="D2766" s="391"/>
      <c r="E2766" s="390"/>
      <c r="F2766" s="391"/>
      <c r="G2766" s="390"/>
      <c r="H2766" s="394"/>
      <c r="I2766" s="390"/>
      <c r="J2766" s="390"/>
      <c r="K2766" s="390"/>
      <c r="L2766" s="390"/>
      <c r="M2766" s="390"/>
      <c r="N2766" s="390"/>
      <c r="O2766" s="390"/>
      <c r="P2766" s="390"/>
      <c r="Q2766" s="390"/>
      <c r="R2766" s="390"/>
      <c r="S2766" s="390"/>
      <c r="T2766" s="390"/>
    </row>
    <row r="2767" spans="1:20" ht="15.75" customHeight="1" x14ac:dyDescent="0.25">
      <c r="A2767" s="390" t="inlineStr">
        <is>
          <t>Dealer-002</t>
        </is>
      </c>
      <c r="B2767" s="390"/>
      <c r="C2767" s="398"/>
      <c r="D2767" s="391"/>
      <c r="E2767" s="390"/>
      <c r="F2767" s="391"/>
      <c r="G2767" s="390"/>
      <c r="H2767" s="394"/>
      <c r="I2767" s="390"/>
      <c r="J2767" s="390"/>
      <c r="K2767" s="390"/>
      <c r="L2767" s="390"/>
      <c r="M2767" s="390"/>
      <c r="N2767" s="390"/>
      <c r="O2767" s="390"/>
      <c r="P2767" s="390"/>
      <c r="Q2767" s="390"/>
      <c r="R2767" s="390"/>
      <c r="S2767" s="390"/>
      <c r="T2767" s="390"/>
    </row>
    <row r="2768" spans="1:20" ht="15.75" customHeight="1" x14ac:dyDescent="0.25">
      <c r="A2768" s="390" t="inlineStr">
        <is>
          <t>Address line (redacted)</t>
        </is>
      </c>
      <c r="B2768" s="390"/>
      <c r="C2768" s="390"/>
      <c r="D2768" s="391"/>
      <c r="E2768" s="390"/>
      <c r="F2768" s="391"/>
      <c r="G2768" s="390"/>
      <c r="H2768" s="394"/>
      <c r="I2768" s="390"/>
      <c r="J2768" s="390"/>
      <c r="K2768" s="390"/>
      <c r="L2768" s="390"/>
      <c r="M2768" s="390"/>
      <c r="N2768" s="390"/>
      <c r="O2768" s="390"/>
      <c r="P2768" s="390"/>
      <c r="Q2768" s="390"/>
      <c r="R2768" s="390"/>
      <c r="S2768" s="390"/>
      <c r="T2768" s="390"/>
    </row>
    <row r="2769" spans="1:20" ht="15.75" customHeight="1" x14ac:dyDescent="0.25">
      <c r="A2769" s="390" t="inlineStr">
        <is>
          <t>Address line (redacted)</t>
        </is>
      </c>
      <c r="B2769" s="390"/>
      <c r="C2769" s="390"/>
      <c r="D2769" s="391"/>
      <c r="E2769" s="390"/>
      <c r="F2769" s="391"/>
      <c r="G2769" s="390"/>
      <c r="H2769" s="394"/>
      <c r="I2769" s="390"/>
      <c r="J2769" s="390"/>
      <c r="K2769" s="390"/>
      <c r="L2769" s="390"/>
      <c r="M2769" s="390"/>
      <c r="N2769" s="390"/>
      <c r="O2769" s="390"/>
      <c r="P2769" s="390"/>
      <c r="Q2769" s="390"/>
      <c r="R2769" s="390"/>
      <c r="S2769" s="390"/>
      <c r="T2769" s="390"/>
    </row>
    <row r="2770" spans="1:20" ht="15.75" customHeight="1" x14ac:dyDescent="0.25">
      <c r="A2770" s="390"/>
      <c r="B2770" s="390"/>
      <c r="C2770" s="390"/>
      <c r="D2770" s="391"/>
      <c r="E2770" s="390"/>
      <c r="F2770" s="391"/>
      <c r="G2770" s="390"/>
      <c r="H2770" s="394"/>
      <c r="I2770" s="390"/>
      <c r="J2770" s="390"/>
      <c r="K2770" s="390"/>
      <c r="L2770" s="390"/>
      <c r="M2770" s="390"/>
      <c r="N2770" s="390"/>
      <c r="O2770" s="390"/>
      <c r="P2770" s="390"/>
      <c r="Q2770" s="390"/>
      <c r="R2770" s="390"/>
      <c r="S2770" s="390"/>
      <c r="T2770" s="390"/>
    </row>
    <row r="2771" spans="1:20" ht="15.75" customHeight="1" x14ac:dyDescent="0.25">
      <c r="A2771" s="390" t="s">
        <v>30</v>
      </c>
      <c r="B2771" s="390"/>
      <c r="C2771" s="390"/>
      <c r="D2771" s="391"/>
      <c r="E2771" s="390"/>
      <c r="F2771" s="391"/>
      <c r="G2771" s="390"/>
      <c r="H2771" s="394"/>
      <c r="I2771" s="390"/>
      <c r="J2771" s="390"/>
      <c r="K2771" s="390"/>
      <c r="L2771" s="390"/>
      <c r="M2771" s="390"/>
      <c r="N2771" s="390"/>
      <c r="O2771" s="390"/>
      <c r="P2771" s="390"/>
      <c r="Q2771" s="390"/>
      <c r="R2771" s="390"/>
      <c r="S2771" s="390"/>
      <c r="T2771" s="390"/>
    </row>
    <row r="2772" spans="1:20" ht="15.75" customHeight="1" x14ac:dyDescent="0.25">
      <c r="A2772" s="390"/>
      <c r="B2772" s="390"/>
      <c r="C2772" s="390"/>
      <c r="D2772" s="391"/>
      <c r="E2772" s="390"/>
      <c r="F2772" s="391"/>
      <c r="G2772" s="390"/>
      <c r="H2772" s="394"/>
      <c r="I2772" s="390"/>
      <c r="J2772" s="390"/>
      <c r="K2772" s="390"/>
      <c r="L2772" s="390"/>
      <c r="M2772" s="390"/>
      <c r="N2772" s="390"/>
      <c r="O2772" s="390"/>
      <c r="P2772" s="390"/>
      <c r="Q2772" s="390"/>
      <c r="R2772" s="390"/>
      <c r="S2772" s="390"/>
      <c r="T2772" s="390"/>
    </row>
    <row r="2773" spans="1:20" ht="15.75" customHeight="1" x14ac:dyDescent="0.25">
      <c r="A2773" s="390" t="s">
        <v>1282</v>
      </c>
      <c r="B2773" s="390"/>
      <c r="C2773" s="390"/>
      <c r="D2773" s="391"/>
      <c r="E2773" s="390"/>
      <c r="F2773" s="391"/>
      <c r="G2773" s="390"/>
      <c r="H2773" s="394"/>
      <c r="I2773" s="390"/>
      <c r="J2773" s="390"/>
      <c r="K2773" s="390"/>
      <c r="L2773" s="390"/>
      <c r="M2773" s="390"/>
      <c r="N2773" s="390"/>
      <c r="O2773" s="390"/>
      <c r="P2773" s="390"/>
      <c r="Q2773" s="390"/>
      <c r="R2773" s="390"/>
      <c r="S2773" s="390"/>
      <c r="T2773" s="390"/>
    </row>
    <row r="2774" spans="1:20" ht="15.75" customHeight="1" x14ac:dyDescent="0.25">
      <c r="A2774" s="390" t="s">
        <v>1283</v>
      </c>
      <c r="B2774" s="390"/>
      <c r="C2774" s="390"/>
      <c r="D2774" s="391"/>
      <c r="E2774" s="390"/>
      <c r="F2774" s="391"/>
      <c r="G2774" s="390"/>
      <c r="H2774" s="394"/>
      <c r="I2774" s="390"/>
      <c r="J2774" s="390"/>
      <c r="K2774" s="390"/>
      <c r="L2774" s="390"/>
      <c r="M2774" s="390"/>
      <c r="N2774" s="390"/>
      <c r="O2774" s="390"/>
      <c r="P2774" s="390"/>
      <c r="Q2774" s="390"/>
      <c r="R2774" s="390"/>
      <c r="S2774" s="390"/>
      <c r="T2774" s="390"/>
    </row>
    <row r="2775" spans="1:20" ht="15.75" customHeight="1" x14ac:dyDescent="0.25">
      <c r="A2775" s="390"/>
      <c r="B2775" s="390"/>
      <c r="C2775" s="390"/>
      <c r="D2775" s="391"/>
      <c r="E2775" s="390"/>
      <c r="F2775" s="391"/>
      <c r="G2775" s="390"/>
      <c r="H2775" s="394"/>
      <c r="I2775" s="390"/>
      <c r="J2775" s="390"/>
      <c r="K2775" s="390"/>
      <c r="L2775" s="390"/>
      <c r="M2775" s="390"/>
      <c r="N2775" s="390"/>
      <c r="O2775" s="390"/>
      <c r="P2775" s="390"/>
      <c r="Q2775" s="390"/>
      <c r="R2775" s="390"/>
      <c r="S2775" s="390"/>
      <c r="T2775" s="390"/>
    </row>
    <row r="2776" spans="1:20" ht="15.75" customHeight="1" x14ac:dyDescent="0.25">
      <c r="A2776" s="399" t="s">
        <v>33</v>
      </c>
      <c r="B2776" s="400" t="s">
        <v>6</v>
      </c>
      <c r="C2776" s="400"/>
      <c r="D2776" s="401" t="s">
        <v>37</v>
      </c>
      <c r="E2776" s="402" t="s">
        <v>38</v>
      </c>
      <c r="F2776" s="403" t="s">
        <v>7</v>
      </c>
      <c r="G2776" s="404" t="s">
        <v>43</v>
      </c>
      <c r="H2776" s="405" t="s">
        <v>44</v>
      </c>
      <c r="I2776" s="390"/>
      <c r="J2776" s="390"/>
      <c r="K2776" s="390"/>
      <c r="L2776" s="390"/>
      <c r="M2776" s="390"/>
      <c r="N2776" s="390"/>
      <c r="O2776" s="390"/>
      <c r="P2776" s="390"/>
      <c r="Q2776" s="390"/>
      <c r="R2776" s="390"/>
      <c r="S2776" s="390"/>
      <c r="T2776" s="390"/>
    </row>
    <row r="2777" spans="1:20" ht="15.75" customHeight="1" x14ac:dyDescent="0.25">
      <c r="A2777" s="406"/>
      <c r="B2777" s="407"/>
      <c r="C2777" s="393"/>
      <c r="D2777" s="410"/>
      <c r="E2777" s="408"/>
      <c r="F2777" s="409"/>
      <c r="G2777" s="410"/>
      <c r="H2777" s="411"/>
      <c r="I2777" s="390"/>
      <c r="J2777" s="390"/>
      <c r="K2777" s="390"/>
      <c r="L2777" s="390"/>
      <c r="M2777" s="390"/>
      <c r="N2777" s="390"/>
      <c r="O2777" s="390"/>
      <c r="P2777" s="390"/>
      <c r="Q2777" s="390"/>
      <c r="R2777" s="390"/>
      <c r="S2777" s="390"/>
      <c r="T2777" s="390"/>
    </row>
    <row r="2778" spans="1:20" ht="15.75" customHeight="1" x14ac:dyDescent="0.25">
      <c r="A2778" s="577"/>
      <c r="B2778" s="578"/>
      <c r="C2778" s="579"/>
      <c r="D2778" s="578"/>
      <c r="E2778" s="578"/>
      <c r="F2778" s="578"/>
      <c r="G2778" s="578"/>
      <c r="H2778" s="580"/>
      <c r="I2778" s="390"/>
      <c r="J2778" s="390"/>
      <c r="K2778" s="390"/>
      <c r="L2778" s="390"/>
      <c r="M2778" s="390"/>
      <c r="N2778" s="390"/>
      <c r="O2778" s="390"/>
      <c r="P2778" s="390"/>
      <c r="Q2778" s="390"/>
      <c r="R2778" s="390"/>
      <c r="S2778" s="390"/>
      <c r="T2778" s="390"/>
    </row>
    <row r="2779" spans="1:20" ht="15.75" customHeight="1" x14ac:dyDescent="0.25">
      <c r="A2779" s="581" t="s">
        <v>55</v>
      </c>
      <c r="B2779" s="582" t="s">
        <v>1289</v>
      </c>
      <c r="C2779" s="582" t="s">
        <v>419</v>
      </c>
      <c r="D2779" s="415">
        <v>3</v>
      </c>
      <c r="E2779" s="415">
        <v>200</v>
      </c>
      <c r="F2779" s="415">
        <f t="shared" ref="F2779:F2782" si="41">+E2779*D2779</f>
      </c>
      <c r="G2779" s="415">
        <v>1</v>
      </c>
      <c r="H2779" s="416">
        <f t="shared" ref="H2779:H2782" si="42">+G2779*F2779</f>
      </c>
      <c r="I2779" s="390"/>
      <c r="J2779" s="390"/>
      <c r="K2779" s="390"/>
      <c r="L2779" s="390"/>
      <c r="M2779" s="390"/>
      <c r="N2779" s="390"/>
      <c r="O2779" s="390"/>
      <c r="P2779" s="390"/>
      <c r="Q2779" s="390"/>
      <c r="R2779" s="390"/>
      <c r="S2779" s="390"/>
      <c r="T2779" s="390"/>
    </row>
    <row r="2780" spans="1:20" ht="15.75" customHeight="1" x14ac:dyDescent="0.25">
      <c r="A2780" s="581" t="s">
        <v>59</v>
      </c>
      <c r="B2780" s="582" t="s">
        <v>1293</v>
      </c>
      <c r="C2780" s="582"/>
      <c r="D2780" s="415">
        <v>5</v>
      </c>
      <c r="E2780" s="415">
        <v>100</v>
      </c>
      <c r="F2780" s="415">
        <f t="shared" si="41"/>
      </c>
      <c r="G2780" s="415">
        <v>1</v>
      </c>
      <c r="H2780" s="416">
        <f t="shared" si="42"/>
      </c>
      <c r="I2780" s="390"/>
      <c r="J2780" s="390"/>
      <c r="K2780" s="390"/>
      <c r="L2780" s="390"/>
      <c r="M2780" s="390"/>
      <c r="N2780" s="390"/>
      <c r="O2780" s="390"/>
      <c r="P2780" s="390"/>
      <c r="Q2780" s="390"/>
      <c r="R2780" s="390"/>
      <c r="S2780" s="390"/>
      <c r="T2780" s="390"/>
    </row>
    <row r="2781" spans="1:20" ht="15.75" customHeight="1" x14ac:dyDescent="0.25">
      <c r="A2781" s="581" t="s">
        <v>67</v>
      </c>
      <c r="B2781" s="582" t="s">
        <v>1294</v>
      </c>
      <c r="C2781" s="582" t="s">
        <v>1295</v>
      </c>
      <c r="D2781" s="415">
        <v>1</v>
      </c>
      <c r="E2781" s="415">
        <v>50</v>
      </c>
      <c r="F2781" s="415">
        <f t="shared" si="41"/>
      </c>
      <c r="G2781" s="415">
        <v>1</v>
      </c>
      <c r="H2781" s="416">
        <f t="shared" si="42"/>
      </c>
      <c r="I2781" s="390"/>
      <c r="J2781" s="390"/>
      <c r="K2781" s="390"/>
      <c r="L2781" s="390"/>
      <c r="M2781" s="390"/>
      <c r="N2781" s="390"/>
      <c r="O2781" s="390"/>
      <c r="P2781" s="390"/>
      <c r="Q2781" s="390"/>
      <c r="R2781" s="390"/>
      <c r="S2781" s="390"/>
      <c r="T2781" s="390"/>
    </row>
    <row r="2782" spans="1:20" ht="15.75" customHeight="1" x14ac:dyDescent="0.25">
      <c r="A2782" s="581" t="s">
        <v>485</v>
      </c>
      <c r="B2782" s="582" t="s">
        <v>1296</v>
      </c>
      <c r="C2782" s="582"/>
      <c r="D2782" s="415">
        <v>7</v>
      </c>
      <c r="E2782" s="415">
        <v>2</v>
      </c>
      <c r="F2782" s="415">
        <f t="shared" si="41"/>
      </c>
      <c r="G2782" s="415">
        <v>1</v>
      </c>
      <c r="H2782" s="416">
        <f t="shared" si="42"/>
      </c>
      <c r="I2782" s="390"/>
      <c r="J2782" s="390"/>
      <c r="K2782" s="390"/>
      <c r="L2782" s="390"/>
      <c r="M2782" s="390"/>
      <c r="N2782" s="390"/>
      <c r="O2782" s="390"/>
      <c r="P2782" s="390"/>
      <c r="Q2782" s="390"/>
      <c r="R2782" s="390"/>
      <c r="S2782" s="390"/>
      <c r="T2782" s="390"/>
    </row>
    <row r="2783" spans="1:20" ht="15.75" customHeight="1" x14ac:dyDescent="0.25">
      <c r="A2783" s="581"/>
      <c r="B2783" s="582"/>
      <c r="C2783" s="582"/>
      <c r="D2783" s="415"/>
      <c r="E2783" s="415"/>
      <c r="F2783" s="415"/>
      <c r="G2783" s="415"/>
      <c r="H2783" s="416"/>
      <c r="I2783" s="390"/>
      <c r="J2783" s="390"/>
      <c r="K2783" s="390"/>
      <c r="L2783" s="390"/>
      <c r="M2783" s="390"/>
      <c r="N2783" s="390"/>
      <c r="O2783" s="390"/>
      <c r="P2783" s="390"/>
      <c r="Q2783" s="390"/>
      <c r="R2783" s="390"/>
      <c r="S2783" s="390"/>
      <c r="T2783" s="390"/>
    </row>
    <row r="2784" spans="1:20" ht="15.75" customHeight="1" x14ac:dyDescent="0.25">
      <c r="A2784" s="577"/>
      <c r="B2784" s="578"/>
      <c r="C2784" s="579"/>
      <c r="D2784" s="578"/>
      <c r="E2784" s="578"/>
      <c r="F2784" s="578"/>
      <c r="G2784" s="578"/>
      <c r="H2784" s="580"/>
      <c r="I2784" s="390"/>
      <c r="J2784" s="390"/>
      <c r="K2784" s="390"/>
      <c r="L2784" s="390"/>
      <c r="M2784" s="390"/>
      <c r="N2784" s="390"/>
      <c r="O2784" s="390"/>
      <c r="P2784" s="390"/>
      <c r="Q2784" s="390"/>
      <c r="R2784" s="390"/>
      <c r="S2784" s="390"/>
      <c r="T2784" s="390"/>
    </row>
    <row r="2785" spans="1:20" ht="15.75" customHeight="1" x14ac:dyDescent="0.25">
      <c r="A2785" s="583">
        <v>5</v>
      </c>
      <c r="B2785" s="584" t="s">
        <v>1297</v>
      </c>
      <c r="C2785" s="584"/>
      <c r="D2785" s="415"/>
      <c r="E2785" s="582"/>
      <c r="F2785" s="585"/>
      <c r="G2785" s="584"/>
      <c r="H2785" s="586"/>
      <c r="I2785" s="390"/>
      <c r="J2785" s="390"/>
      <c r="K2785" s="390"/>
      <c r="L2785" s="390"/>
      <c r="M2785" s="390"/>
      <c r="N2785" s="390"/>
      <c r="O2785" s="390"/>
      <c r="P2785" s="390"/>
      <c r="Q2785" s="390"/>
      <c r="R2785" s="390"/>
      <c r="S2785" s="390"/>
      <c r="T2785" s="390"/>
    </row>
    <row r="2786" spans="1:20" ht="15.75" customHeight="1" x14ac:dyDescent="0.25">
      <c r="A2786" s="587"/>
      <c r="B2786" s="418" t="s">
        <v>1298</v>
      </c>
      <c r="C2786" s="585" t="s">
        <v>393</v>
      </c>
      <c r="D2786" s="588">
        <v>1</v>
      </c>
      <c r="E2786" s="415">
        <v>6</v>
      </c>
      <c r="F2786" s="588">
        <f t="shared" ref="F2786:F2796" si="43">+E2786*D2786</f>
      </c>
      <c r="G2786" s="588">
        <v>1</v>
      </c>
      <c r="H2786" s="589">
        <f t="shared" ref="H2786:H2796" si="44">+G2786*F2786</f>
      </c>
      <c r="I2786" s="390"/>
      <c r="J2786" s="390"/>
      <c r="K2786" s="390"/>
      <c r="L2786" s="390"/>
      <c r="M2786" s="390"/>
      <c r="N2786" s="390"/>
      <c r="O2786" s="390"/>
      <c r="P2786" s="390"/>
      <c r="Q2786" s="390"/>
      <c r="R2786" s="390"/>
      <c r="S2786" s="390"/>
      <c r="T2786" s="390"/>
    </row>
    <row r="2787" spans="1:20" ht="15.75" customHeight="1" x14ac:dyDescent="0.25">
      <c r="A2787" s="587"/>
      <c r="B2787" s="418" t="s">
        <v>191</v>
      </c>
      <c r="C2787" s="585" t="s">
        <v>362</v>
      </c>
      <c r="D2787" s="588">
        <v>1</v>
      </c>
      <c r="E2787" s="415">
        <v>6</v>
      </c>
      <c r="F2787" s="588">
        <f t="shared" si="43"/>
      </c>
      <c r="G2787" s="588">
        <v>1</v>
      </c>
      <c r="H2787" s="589">
        <f t="shared" si="44"/>
      </c>
    </row>
    <row r="2788" spans="1:20" ht="15.75" customHeight="1" x14ac:dyDescent="0.25">
      <c r="A2788" s="587"/>
      <c r="B2788" s="418" t="s">
        <v>194</v>
      </c>
      <c r="C2788" s="585" t="s">
        <v>365</v>
      </c>
      <c r="D2788" s="415">
        <v>2</v>
      </c>
      <c r="E2788" s="415">
        <v>6</v>
      </c>
      <c r="F2788" s="588">
        <f t="shared" si="43"/>
      </c>
      <c r="G2788" s="588">
        <v>1</v>
      </c>
      <c r="H2788" s="589">
        <f t="shared" si="44"/>
      </c>
    </row>
    <row r="2789" spans="1:20" ht="15.75" customHeight="1" x14ac:dyDescent="0.25">
      <c r="A2789" s="587"/>
      <c r="B2789" s="418" t="s">
        <v>1300</v>
      </c>
      <c r="C2789" s="585" t="s">
        <v>367</v>
      </c>
      <c r="D2789" s="415">
        <v>1</v>
      </c>
      <c r="E2789" s="415">
        <v>6</v>
      </c>
      <c r="F2789" s="588">
        <f t="shared" si="43"/>
      </c>
      <c r="G2789" s="588">
        <v>1</v>
      </c>
      <c r="H2789" s="589">
        <f t="shared" si="44"/>
      </c>
    </row>
    <row r="2790" spans="1:20" ht="15.75" customHeight="1" x14ac:dyDescent="0.25">
      <c r="A2790" s="587"/>
      <c r="B2790" s="418" t="s">
        <v>198</v>
      </c>
      <c r="C2790" s="582" t="s">
        <v>368</v>
      </c>
      <c r="D2790" s="415">
        <v>4</v>
      </c>
      <c r="E2790" s="415">
        <v>6</v>
      </c>
      <c r="F2790" s="588">
        <f t="shared" si="43"/>
      </c>
      <c r="G2790" s="588">
        <v>1</v>
      </c>
      <c r="H2790" s="589">
        <f t="shared" si="44"/>
      </c>
    </row>
    <row r="2791" spans="1:20" ht="15.75" customHeight="1" x14ac:dyDescent="0.25">
      <c r="A2791" s="587"/>
      <c r="B2791" s="590" t="s">
        <v>63</v>
      </c>
      <c r="C2791" s="585" t="s">
        <v>371</v>
      </c>
      <c r="D2791" s="415">
        <v>4</v>
      </c>
      <c r="E2791" s="415">
        <v>6</v>
      </c>
      <c r="F2791" s="588">
        <f t="shared" si="43"/>
      </c>
      <c r="G2791" s="588">
        <v>1</v>
      </c>
      <c r="H2791" s="589">
        <f t="shared" si="44"/>
      </c>
    </row>
    <row r="2792" spans="1:20" ht="15.75" customHeight="1" x14ac:dyDescent="0.25">
      <c r="A2792" s="587"/>
      <c r="B2792" s="585" t="s">
        <v>1301</v>
      </c>
      <c r="C2792" s="585" t="s">
        <v>372</v>
      </c>
      <c r="D2792" s="415">
        <v>4</v>
      </c>
      <c r="E2792" s="415">
        <v>6</v>
      </c>
      <c r="F2792" s="588">
        <f t="shared" si="43"/>
      </c>
      <c r="G2792" s="588">
        <v>1</v>
      </c>
      <c r="H2792" s="589">
        <f t="shared" si="44"/>
      </c>
    </row>
    <row r="2793" spans="1:20" ht="15.75" customHeight="1" x14ac:dyDescent="0.25">
      <c r="A2793" s="587"/>
      <c r="B2793" s="582" t="s">
        <v>76</v>
      </c>
      <c r="C2793" s="582" t="s">
        <v>376</v>
      </c>
      <c r="D2793" s="588">
        <v>1</v>
      </c>
      <c r="E2793" s="415">
        <v>6</v>
      </c>
      <c r="F2793" s="588">
        <f t="shared" si="43"/>
      </c>
      <c r="G2793" s="588">
        <v>1</v>
      </c>
      <c r="H2793" s="589">
        <f t="shared" si="44"/>
      </c>
    </row>
    <row r="2794" spans="1:20" ht="15.75" customHeight="1" x14ac:dyDescent="0.25">
      <c r="A2794" s="587"/>
      <c r="B2794" s="418" t="s">
        <v>206</v>
      </c>
      <c r="C2794" s="585" t="s">
        <v>377</v>
      </c>
      <c r="D2794" s="415">
        <v>4</v>
      </c>
      <c r="E2794" s="415">
        <v>6</v>
      </c>
      <c r="F2794" s="588">
        <f t="shared" si="43"/>
      </c>
      <c r="G2794" s="588">
        <v>1</v>
      </c>
      <c r="H2794" s="589">
        <f t="shared" si="44"/>
      </c>
    </row>
    <row r="2795" spans="1:20" ht="15.75" customHeight="1" x14ac:dyDescent="0.25">
      <c r="A2795" s="587"/>
      <c r="B2795" s="418" t="s">
        <v>207</v>
      </c>
      <c r="C2795" s="585" t="s">
        <v>378</v>
      </c>
      <c r="D2795" s="415">
        <v>1</v>
      </c>
      <c r="E2795" s="415">
        <v>6</v>
      </c>
      <c r="F2795" s="588">
        <f t="shared" si="43"/>
      </c>
      <c r="G2795" s="588">
        <v>1</v>
      </c>
      <c r="H2795" s="589">
        <f t="shared" si="44"/>
      </c>
    </row>
    <row r="2796" spans="1:20" ht="15.75" customHeight="1" x14ac:dyDescent="0.25">
      <c r="A2796" s="587"/>
      <c r="B2796" s="591" t="s">
        <v>208</v>
      </c>
      <c r="C2796" s="585" t="s">
        <v>379</v>
      </c>
      <c r="D2796" s="592">
        <v>1</v>
      </c>
      <c r="E2796" s="593">
        <v>6</v>
      </c>
      <c r="F2796" s="592">
        <f t="shared" si="43"/>
      </c>
      <c r="G2796" s="592">
        <v>1</v>
      </c>
      <c r="H2796" s="589">
        <f t="shared" si="44"/>
      </c>
    </row>
    <row r="2797" spans="1:20" ht="15.75" customHeight="1" x14ac:dyDescent="0.25">
      <c r="A2797" s="594"/>
      <c r="B2797" s="595" t="s">
        <v>1303</v>
      </c>
      <c r="C2797" s="596" t="s">
        <v>85</v>
      </c>
      <c r="D2797" s="597">
        <f>SUM(D2779:D2796)</f>
      </c>
      <c r="E2797" s="598"/>
      <c r="F2797" s="597"/>
      <c r="G2797" s="599"/>
      <c r="H2797" s="438"/>
    </row>
    <row r="2798" spans="1:20" ht="15.75" customHeight="1" x14ac:dyDescent="0.25">
      <c r="A2798" s="600"/>
      <c r="B2798" s="601"/>
      <c r="C2798" s="602"/>
      <c r="D2798" s="603"/>
      <c r="E2798" s="603"/>
      <c r="F2798" s="603"/>
      <c r="G2798" s="604"/>
      <c r="H2798" s="444"/>
    </row>
    <row r="2799" spans="1:20" ht="15.75" customHeight="1" x14ac:dyDescent="0.25">
      <c r="A2799" s="393"/>
      <c r="B2799" s="393"/>
      <c r="C2799" s="605"/>
      <c r="D2799" s="398"/>
      <c r="E2799" s="398"/>
      <c r="F2799" s="398"/>
      <c r="G2799" s="606"/>
      <c r="H2799" s="394"/>
    </row>
    <row r="2800" spans="1:20" ht="15.75" customHeight="1" x14ac:dyDescent="0.25">
      <c r="A2800" s="393"/>
      <c r="B2800" s="393"/>
      <c r="C2800" s="605"/>
      <c r="D2800" s="398"/>
      <c r="E2800" s="398"/>
      <c r="F2800" s="398"/>
      <c r="G2800" s="606"/>
      <c r="H2800" s="394"/>
    </row>
    <row r="2801" spans="1:8" ht="15.75" customHeight="1" x14ac:dyDescent="0.25">
      <c r="A2801" s="393"/>
      <c r="B2801" s="393"/>
      <c r="C2801" s="605"/>
      <c r="D2801" s="398"/>
      <c r="E2801" s="398"/>
      <c r="F2801" s="398"/>
      <c r="G2801" s="606"/>
      <c r="H2801" s="394"/>
    </row>
    <row r="2802" spans="1:8" ht="15.75" customHeight="1" x14ac:dyDescent="0.25">
      <c r="A2802" s="393"/>
      <c r="B2802" s="393"/>
      <c r="C2802" s="605"/>
      <c r="D2802" s="398"/>
      <c r="E2802" s="398"/>
      <c r="F2802" s="398"/>
      <c r="G2802" s="606"/>
      <c r="H2802" s="394"/>
    </row>
    <row r="2803" spans="1:8" ht="15.75" customHeight="1" x14ac:dyDescent="0.25">
      <c r="A2803" s="393"/>
      <c r="B2803" s="393"/>
      <c r="C2803" s="605"/>
      <c r="D2803" s="398"/>
      <c r="E2803" s="398"/>
      <c r="F2803" s="398"/>
      <c r="G2803" s="606"/>
      <c r="H2803" s="394"/>
    </row>
    <row r="2804" spans="1:8" ht="15.75" customHeight="1" x14ac:dyDescent="0.25">
      <c r="A2804" s="393"/>
      <c r="B2804" s="393"/>
      <c r="C2804" s="605"/>
      <c r="D2804" s="398"/>
      <c r="E2804" s="398"/>
      <c r="F2804" s="398"/>
      <c r="G2804" s="606"/>
      <c r="H2804" s="394"/>
    </row>
    <row r="2805" spans="1:8" ht="15.75" customHeight="1" x14ac:dyDescent="0.25">
      <c r="A2805" s="393"/>
      <c r="B2805" s="393"/>
      <c r="C2805" s="605"/>
      <c r="D2805" s="398"/>
      <c r="E2805" s="398"/>
      <c r="F2805" s="398"/>
      <c r="G2805" s="606"/>
      <c r="H2805" s="394"/>
    </row>
    <row r="2806" spans="1:8" ht="15.75" customHeight="1" x14ac:dyDescent="0.25">
      <c r="A2806" s="393"/>
      <c r="B2806" s="393"/>
      <c r="C2806" s="605"/>
      <c r="D2806" s="398"/>
      <c r="E2806" s="398"/>
      <c r="F2806" s="398"/>
      <c r="G2806" s="606"/>
      <c r="H2806" s="394"/>
    </row>
    <row r="2807" spans="1:8" ht="15.75" customHeight="1" x14ac:dyDescent="0.25">
      <c r="A2807" s="393"/>
      <c r="B2807" s="393"/>
      <c r="C2807" s="605"/>
      <c r="D2807" s="398"/>
      <c r="E2807" s="398"/>
      <c r="F2807" s="398"/>
      <c r="G2807" s="606"/>
      <c r="H2807" s="394"/>
    </row>
    <row r="2808" spans="1:8" ht="15.75" customHeight="1" x14ac:dyDescent="0.25">
      <c r="A2808" s="393"/>
      <c r="B2808" s="393"/>
      <c r="C2808" s="605"/>
      <c r="D2808" s="398"/>
      <c r="E2808" s="398"/>
      <c r="F2808" s="398"/>
      <c r="G2808" s="606"/>
      <c r="H2808" s="394"/>
    </row>
    <row r="2809" spans="1:8" ht="15.75" customHeight="1" x14ac:dyDescent="0.25">
      <c r="A2809" s="393"/>
      <c r="B2809" s="393"/>
      <c r="C2809" s="605"/>
      <c r="D2809" s="398"/>
      <c r="E2809" s="398"/>
      <c r="F2809" s="398"/>
      <c r="G2809" s="606"/>
      <c r="H2809" s="394"/>
    </row>
    <row r="2810" spans="1:8" ht="15.75" customHeight="1" x14ac:dyDescent="0.25">
      <c r="A2810" s="393"/>
      <c r="B2810" s="393"/>
      <c r="C2810" s="605"/>
      <c r="D2810" s="398"/>
      <c r="E2810" s="398"/>
      <c r="F2810" s="398"/>
      <c r="G2810" s="606"/>
      <c r="H2810" s="394"/>
    </row>
    <row r="2811" spans="1:8" ht="15.75" customHeight="1" x14ac:dyDescent="0.25">
      <c r="A2811" s="393"/>
      <c r="B2811" s="393"/>
      <c r="C2811" s="605"/>
      <c r="D2811" s="398"/>
      <c r="E2811" s="398"/>
      <c r="F2811" s="398"/>
      <c r="G2811" s="606"/>
      <c r="H2811" s="394"/>
    </row>
    <row r="2812" spans="1:8" ht="15.75" customHeight="1" x14ac:dyDescent="0.25">
      <c r="A2812" s="393"/>
      <c r="B2812" s="393"/>
      <c r="C2812" s="605"/>
      <c r="D2812" s="398"/>
      <c r="E2812" s="398"/>
      <c r="F2812" s="398"/>
      <c r="G2812" s="606"/>
      <c r="H2812" s="394"/>
    </row>
    <row r="2813" spans="1:8" ht="15.75" customHeight="1" x14ac:dyDescent="0.25">
      <c r="A2813" s="392" t="s">
        <v>14</v>
      </c>
      <c r="B2813" s="391"/>
      <c r="C2813" s="391"/>
      <c r="D2813" s="391"/>
      <c r="E2813" s="391"/>
      <c r="F2813" s="391"/>
      <c r="G2813" s="391"/>
      <c r="H2813" s="394"/>
    </row>
    <row r="2814" spans="1:8" ht="15.75" customHeight="1" x14ac:dyDescent="0.25">
      <c r="A2814" s="392"/>
      <c r="B2814" s="391"/>
      <c r="C2814" s="391"/>
      <c r="D2814" s="391"/>
      <c r="E2814" s="390"/>
      <c r="F2814" s="392"/>
      <c r="G2814" s="390"/>
      <c r="H2814" s="394"/>
    </row>
    <row r="2815" spans="1:8" ht="15.75" customHeight="1" x14ac:dyDescent="0.25">
      <c r="A2815" s="392"/>
      <c r="B2815" s="391"/>
      <c r="C2815" s="391"/>
      <c r="D2815" s="391"/>
      <c r="E2815" s="390"/>
      <c r="F2815" s="392"/>
      <c r="G2815" s="390"/>
      <c r="H2815" s="394"/>
    </row>
    <row r="2816" spans="1:8" ht="15.75" customHeight="1" x14ac:dyDescent="0.25">
      <c r="A2816" s="390" t="s">
        <v>20</v>
      </c>
      <c r="B2816" s="390"/>
      <c r="C2816" s="391"/>
      <c r="D2816" s="391"/>
      <c r="E2816" s="390"/>
      <c r="F2816" s="392"/>
      <c r="G2816" s="390"/>
      <c r="H2816" s="394"/>
    </row>
    <row r="2817" spans="1:8" ht="15.75" customHeight="1" x14ac:dyDescent="0.25">
      <c r="A2817" s="390" t="inlineStr">
        <is>
          <t>Dealer-002</t>
        </is>
      </c>
      <c r="B2817" s="390"/>
      <c r="C2817" s="390"/>
      <c r="D2817" s="391"/>
      <c r="E2817" s="390"/>
      <c r="F2817" s="395" t="s">
        <v>18</v>
      </c>
      <c r="G2817" s="390" t="s">
        <v>631</v>
      </c>
      <c r="H2817" s="394"/>
    </row>
    <row r="2818" spans="1:8" ht="15.75" customHeight="1" x14ac:dyDescent="0.25">
      <c r="A2818" s="390" t="inlineStr">
        <is>
          <t>Address line (redacted)</t>
        </is>
      </c>
      <c r="B2818" s="390"/>
      <c r="C2818" s="390"/>
      <c r="D2818" s="391"/>
      <c r="E2818" s="390"/>
      <c r="F2818" s="393" t="s">
        <v>21</v>
      </c>
      <c r="G2818" s="390" t="s">
        <v>1280</v>
      </c>
      <c r="H2818" s="394"/>
    </row>
    <row r="2819" spans="1:8" ht="15.75" customHeight="1" x14ac:dyDescent="0.25">
      <c r="A2819" s="390" t="inlineStr">
        <is>
          <t>Address line (redacted)</t>
        </is>
      </c>
      <c r="B2819" s="390"/>
      <c r="C2819" s="390"/>
      <c r="D2819" s="391"/>
      <c r="E2819" s="390"/>
      <c r="F2819" s="391"/>
      <c r="G2819" s="390"/>
      <c r="H2819" s="394"/>
    </row>
    <row r="2820" spans="1:8" ht="15.75" customHeight="1" x14ac:dyDescent="0.25">
      <c r="A2820" s="390"/>
      <c r="B2820" s="390"/>
      <c r="C2820" s="607" t="s">
        <v>1308</v>
      </c>
      <c r="D2820" s="608"/>
      <c r="E2820" s="390"/>
      <c r="F2820" s="391"/>
      <c r="G2820" s="390"/>
      <c r="H2820" s="394"/>
    </row>
    <row r="2821" spans="1:8" ht="15.75" customHeight="1" x14ac:dyDescent="0.25">
      <c r="A2821" s="390"/>
      <c r="B2821" s="390"/>
      <c r="C2821" s="390"/>
      <c r="D2821" s="391"/>
      <c r="E2821" s="390"/>
      <c r="F2821" s="391"/>
      <c r="G2821" s="390"/>
      <c r="H2821" s="394"/>
    </row>
    <row r="2822" spans="1:8" ht="15.75" customHeight="1" x14ac:dyDescent="0.25">
      <c r="A2822" s="390" t="s">
        <v>30</v>
      </c>
      <c r="B2822" s="390"/>
      <c r="C2822" s="390"/>
      <c r="D2822" s="391"/>
      <c r="E2822" s="390"/>
      <c r="F2822" s="391"/>
      <c r="G2822" s="390"/>
      <c r="H2822" s="394"/>
    </row>
    <row r="2823" spans="1:8" ht="15.75" customHeight="1" x14ac:dyDescent="0.25">
      <c r="A2823" s="390"/>
      <c r="B2823" s="390"/>
      <c r="C2823" s="390"/>
      <c r="D2823" s="391"/>
      <c r="E2823" s="390"/>
      <c r="F2823" s="391"/>
      <c r="G2823" s="390"/>
      <c r="H2823" s="394"/>
    </row>
    <row r="2824" spans="1:8" ht="15.75" customHeight="1" x14ac:dyDescent="0.25">
      <c r="A2824" s="390" t="s">
        <v>1282</v>
      </c>
      <c r="B2824" s="390"/>
      <c r="C2824" s="390"/>
      <c r="D2824" s="391"/>
      <c r="E2824" s="390"/>
      <c r="F2824" s="391"/>
      <c r="G2824" s="390"/>
      <c r="H2824" s="394"/>
    </row>
    <row r="2825" spans="1:8" ht="15.75" customHeight="1" x14ac:dyDescent="0.25">
      <c r="A2825" s="390" t="s">
        <v>1283</v>
      </c>
      <c r="B2825" s="390"/>
      <c r="C2825" s="390"/>
      <c r="D2825" s="391"/>
      <c r="E2825" s="390"/>
      <c r="F2825" s="391"/>
      <c r="G2825" s="390"/>
      <c r="H2825" s="394"/>
    </row>
    <row r="2826" spans="1:8" ht="15.75" customHeight="1" x14ac:dyDescent="0.25">
      <c r="A2826" s="390"/>
      <c r="B2826" s="390"/>
      <c r="C2826" s="390"/>
      <c r="D2826" s="391"/>
      <c r="E2826" s="390"/>
      <c r="F2826" s="391"/>
      <c r="G2826" s="390"/>
      <c r="H2826" s="394"/>
    </row>
    <row r="2827" spans="1:8" ht="15.75" customHeight="1" x14ac:dyDescent="0.25">
      <c r="A2827" s="399" t="s">
        <v>33</v>
      </c>
      <c r="B2827" s="400" t="s">
        <v>6</v>
      </c>
      <c r="C2827" s="400"/>
      <c r="D2827" s="401" t="s">
        <v>37</v>
      </c>
      <c r="E2827" s="402" t="s">
        <v>1309</v>
      </c>
      <c r="F2827" s="609" t="s">
        <v>7</v>
      </c>
      <c r="G2827" s="400" t="s">
        <v>43</v>
      </c>
      <c r="H2827" s="405" t="s">
        <v>44</v>
      </c>
    </row>
    <row r="2828" spans="1:8" ht="15.75" customHeight="1" x14ac:dyDescent="0.25">
      <c r="A2828" s="610"/>
      <c r="B2828" s="611"/>
      <c r="C2828" s="611"/>
      <c r="D2828" s="612"/>
      <c r="E2828" s="613"/>
      <c r="F2828" s="614"/>
      <c r="G2828" s="611"/>
      <c r="H2828" s="615"/>
    </row>
    <row r="2829" spans="1:8" ht="15.75" customHeight="1" x14ac:dyDescent="0.25">
      <c r="A2829" s="583"/>
      <c r="B2829" s="584" t="s">
        <v>1297</v>
      </c>
      <c r="C2829" s="584"/>
      <c r="D2829" s="578"/>
      <c r="E2829" s="579"/>
      <c r="F2829" s="616"/>
      <c r="G2829" s="584"/>
      <c r="H2829" s="586"/>
    </row>
    <row r="2830" spans="1:8" ht="15.75" customHeight="1" x14ac:dyDescent="0.25">
      <c r="A2830" s="587"/>
      <c r="B2830" s="418" t="s">
        <v>210</v>
      </c>
      <c r="C2830" s="585" t="s">
        <v>382</v>
      </c>
      <c r="D2830" s="415">
        <v>1</v>
      </c>
      <c r="E2830" s="415">
        <v>6</v>
      </c>
      <c r="F2830" s="588">
        <f>+E2830*D2830</f>
      </c>
      <c r="G2830" s="588">
        <v>1</v>
      </c>
      <c r="H2830" s="589">
        <f t="shared" ref="H2830:H2841" si="45">+G2830*F2830</f>
      </c>
    </row>
    <row r="2831" spans="1:8" ht="15.75" customHeight="1" x14ac:dyDescent="0.25">
      <c r="A2831" s="587"/>
      <c r="B2831" s="418" t="s">
        <v>210</v>
      </c>
      <c r="C2831" s="585" t="s">
        <v>382</v>
      </c>
      <c r="D2831" s="415">
        <v>1</v>
      </c>
      <c r="E2831" s="415">
        <v>1</v>
      </c>
      <c r="F2831" s="588">
        <v>1</v>
      </c>
      <c r="G2831" s="588">
        <v>1</v>
      </c>
      <c r="H2831" s="589">
        <f t="shared" si="45"/>
      </c>
    </row>
    <row r="2832" spans="1:8" ht="15.75" customHeight="1" x14ac:dyDescent="0.25">
      <c r="A2832" s="587"/>
      <c r="B2832" s="418" t="s">
        <v>213</v>
      </c>
      <c r="C2832" s="585" t="s">
        <v>384</v>
      </c>
      <c r="D2832" s="588">
        <v>2</v>
      </c>
      <c r="E2832" s="415">
        <v>6</v>
      </c>
      <c r="F2832" s="588">
        <f t="shared" ref="F2832:F2841" si="46">+E2832*D2832</f>
      </c>
      <c r="G2832" s="588">
        <v>1</v>
      </c>
      <c r="H2832" s="589">
        <f t="shared" si="45"/>
      </c>
    </row>
    <row r="2833" spans="1:8" ht="15.75" customHeight="1" x14ac:dyDescent="0.25">
      <c r="A2833" s="587"/>
      <c r="B2833" s="418" t="s">
        <v>215</v>
      </c>
      <c r="C2833" s="585" t="s">
        <v>386</v>
      </c>
      <c r="D2833" s="415">
        <v>2</v>
      </c>
      <c r="E2833" s="415">
        <v>4</v>
      </c>
      <c r="F2833" s="588">
        <f t="shared" si="46"/>
      </c>
      <c r="G2833" s="588">
        <v>1</v>
      </c>
      <c r="H2833" s="589">
        <f t="shared" si="45"/>
      </c>
    </row>
    <row r="2834" spans="1:8" ht="15.75" customHeight="1" x14ac:dyDescent="0.25">
      <c r="A2834" s="587"/>
      <c r="B2834" s="418" t="s">
        <v>1314</v>
      </c>
      <c r="C2834" s="585" t="s">
        <v>387</v>
      </c>
      <c r="D2834" s="415">
        <v>4</v>
      </c>
      <c r="E2834" s="415">
        <v>6</v>
      </c>
      <c r="F2834" s="588">
        <f t="shared" si="46"/>
      </c>
      <c r="G2834" s="588">
        <v>1</v>
      </c>
      <c r="H2834" s="589">
        <f t="shared" si="45"/>
      </c>
    </row>
    <row r="2835" spans="1:8" ht="15.75" customHeight="1" x14ac:dyDescent="0.25">
      <c r="A2835" s="587"/>
      <c r="B2835" s="418" t="s">
        <v>217</v>
      </c>
      <c r="C2835" s="585" t="s">
        <v>388</v>
      </c>
      <c r="D2835" s="617">
        <v>3</v>
      </c>
      <c r="E2835" s="618">
        <v>6</v>
      </c>
      <c r="F2835" s="588">
        <f t="shared" si="46"/>
      </c>
      <c r="G2835" s="588">
        <v>1</v>
      </c>
      <c r="H2835" s="589">
        <f t="shared" si="45"/>
      </c>
    </row>
    <row r="2836" spans="1:8" ht="15.75" customHeight="1" x14ac:dyDescent="0.25">
      <c r="A2836" s="587"/>
      <c r="B2836" s="418" t="s">
        <v>217</v>
      </c>
      <c r="C2836" s="585" t="s">
        <v>388</v>
      </c>
      <c r="D2836" s="617">
        <v>1</v>
      </c>
      <c r="E2836" s="618">
        <v>4</v>
      </c>
      <c r="F2836" s="588">
        <f t="shared" si="46"/>
      </c>
      <c r="G2836" s="588">
        <v>1</v>
      </c>
      <c r="H2836" s="589">
        <f t="shared" si="45"/>
      </c>
    </row>
    <row r="2837" spans="1:8" ht="15.75" customHeight="1" x14ac:dyDescent="0.25">
      <c r="A2837" s="587"/>
      <c r="B2837" s="418" t="s">
        <v>219</v>
      </c>
      <c r="C2837" s="585" t="s">
        <v>390</v>
      </c>
      <c r="D2837" s="588">
        <v>1</v>
      </c>
      <c r="E2837" s="415">
        <v>6</v>
      </c>
      <c r="F2837" s="588">
        <f t="shared" si="46"/>
      </c>
      <c r="G2837" s="588">
        <v>1</v>
      </c>
      <c r="H2837" s="589">
        <f t="shared" si="45"/>
      </c>
    </row>
    <row r="2838" spans="1:8" ht="15.75" customHeight="1" x14ac:dyDescent="0.25">
      <c r="A2838" s="583"/>
      <c r="B2838" s="591" t="s">
        <v>1317</v>
      </c>
      <c r="C2838" s="585" t="s">
        <v>396</v>
      </c>
      <c r="D2838" s="619">
        <v>3</v>
      </c>
      <c r="E2838" s="619">
        <v>8</v>
      </c>
      <c r="F2838" s="588">
        <f t="shared" si="46"/>
      </c>
      <c r="G2838" s="588">
        <v>1</v>
      </c>
      <c r="H2838" s="589">
        <f t="shared" si="45"/>
      </c>
    </row>
    <row r="2839" spans="1:8" ht="15.75" customHeight="1" x14ac:dyDescent="0.25">
      <c r="A2839" s="583"/>
      <c r="B2839" s="591" t="s">
        <v>1317</v>
      </c>
      <c r="C2839" s="585" t="s">
        <v>396</v>
      </c>
      <c r="D2839" s="619">
        <v>1</v>
      </c>
      <c r="E2839" s="619">
        <v>6</v>
      </c>
      <c r="F2839" s="588">
        <f t="shared" si="46"/>
      </c>
      <c r="G2839" s="588">
        <v>1</v>
      </c>
      <c r="H2839" s="589">
        <f t="shared" si="45"/>
      </c>
    </row>
    <row r="2840" spans="1:8" ht="15.75" customHeight="1" x14ac:dyDescent="0.25">
      <c r="A2840" s="587"/>
      <c r="B2840" s="418" t="s">
        <v>228</v>
      </c>
      <c r="C2840" s="582" t="s">
        <v>398</v>
      </c>
      <c r="D2840" s="415">
        <v>7</v>
      </c>
      <c r="E2840" s="415">
        <v>6</v>
      </c>
      <c r="F2840" s="588">
        <f t="shared" si="46"/>
      </c>
      <c r="G2840" s="588">
        <v>1</v>
      </c>
      <c r="H2840" s="589">
        <f t="shared" si="45"/>
      </c>
    </row>
    <row r="2841" spans="1:8" ht="15.75" customHeight="1" x14ac:dyDescent="0.25">
      <c r="A2841" s="587"/>
      <c r="B2841" s="418" t="s">
        <v>231</v>
      </c>
      <c r="C2841" s="585" t="s">
        <v>400</v>
      </c>
      <c r="D2841" s="415">
        <v>12</v>
      </c>
      <c r="E2841" s="415">
        <v>6</v>
      </c>
      <c r="F2841" s="588">
        <f t="shared" si="46"/>
      </c>
      <c r="G2841" s="588">
        <v>1</v>
      </c>
      <c r="H2841" s="589">
        <f t="shared" si="45"/>
      </c>
    </row>
    <row r="2842" spans="1:8" ht="15.75" customHeight="1" x14ac:dyDescent="0.25">
      <c r="A2842" s="587"/>
      <c r="B2842" s="582"/>
      <c r="C2842" s="585"/>
      <c r="D2842" s="415"/>
      <c r="E2842" s="415"/>
      <c r="F2842" s="588"/>
      <c r="G2842" s="588"/>
      <c r="H2842" s="586"/>
    </row>
    <row r="2843" spans="1:8" ht="15.75" customHeight="1" x14ac:dyDescent="0.25">
      <c r="A2843" s="620"/>
      <c r="B2843" s="621"/>
      <c r="C2843" s="622"/>
      <c r="D2843" s="408"/>
      <c r="E2843" s="408"/>
      <c r="F2843" s="398"/>
      <c r="G2843" s="408"/>
      <c r="H2843" s="559"/>
    </row>
    <row r="2844" spans="1:8" ht="15.75" customHeight="1" x14ac:dyDescent="0.25">
      <c r="A2844" s="430"/>
      <c r="B2844" s="409"/>
      <c r="C2844" s="393"/>
      <c r="D2844" s="427"/>
      <c r="E2844" s="427"/>
      <c r="F2844" s="428"/>
      <c r="G2844" s="431"/>
      <c r="H2844" s="429"/>
    </row>
    <row r="2845" spans="1:8" ht="15.75" customHeight="1" x14ac:dyDescent="0.25">
      <c r="A2845" s="432"/>
      <c r="B2845" s="433"/>
      <c r="C2845" s="434" t="s">
        <v>85</v>
      </c>
      <c r="D2845" s="436">
        <f>SUM(D2797:D2844)</f>
      </c>
      <c r="E2845" s="436"/>
      <c r="F2845" s="436"/>
      <c r="G2845" s="437"/>
      <c r="H2845" s="623">
        <f>SUM(H2779:H2844)</f>
      </c>
    </row>
    <row r="2846" spans="1:8" ht="15.75" customHeight="1" x14ac:dyDescent="0.25">
      <c r="A2846" s="439"/>
      <c r="B2846" s="440"/>
      <c r="C2846" s="440"/>
      <c r="D2846" s="441"/>
      <c r="E2846" s="440"/>
      <c r="F2846" s="442"/>
      <c r="G2846" s="443"/>
      <c r="H2846" s="444"/>
    </row>
    <row r="2847" spans="1:8" ht="15.75" customHeight="1" x14ac:dyDescent="0.25">
      <c r="A2847" s="392"/>
      <c r="B2847" s="391"/>
      <c r="C2847" s="391"/>
      <c r="D2847" s="391"/>
      <c r="E2847" s="390"/>
      <c r="F2847" s="392"/>
      <c r="G2847" s="390"/>
      <c r="H2847" s="394"/>
    </row>
    <row r="2848" spans="1:8" ht="15.75" customHeight="1" x14ac:dyDescent="0.25">
      <c r="A2848" s="445"/>
      <c r="B2848" s="445"/>
      <c r="C2848" s="445"/>
      <c r="D2848" s="446" t="s">
        <v>97</v>
      </c>
      <c r="E2848" s="445" t="s">
        <v>98</v>
      </c>
      <c r="F2848" s="445"/>
      <c r="G2848" s="390"/>
      <c r="H2848" s="394"/>
    </row>
    <row r="2849" spans="1:8" ht="15.75" customHeight="1" x14ac:dyDescent="0.25">
      <c r="A2849" s="390"/>
      <c r="B2849" s="390"/>
      <c r="C2849" s="390"/>
      <c r="D2849" s="391"/>
      <c r="E2849" s="390"/>
      <c r="F2849" s="390"/>
      <c r="G2849" s="390"/>
      <c r="H2849" s="394"/>
    </row>
    <row r="2850" spans="1:8" ht="15.75" customHeight="1" x14ac:dyDescent="0.25">
      <c r="A2850" s="390"/>
      <c r="B2850" s="390"/>
      <c r="C2850" s="390"/>
      <c r="D2850" s="391"/>
      <c r="E2850" s="390"/>
      <c r="F2850" s="390"/>
      <c r="G2850" s="390"/>
      <c r="H2850" s="394"/>
    </row>
    <row r="2851" spans="1:8" ht="15.75" customHeight="1" x14ac:dyDescent="0.25">
      <c r="A2851" s="445"/>
      <c r="B2851" s="445"/>
      <c r="C2851" s="445"/>
      <c r="D2851" s="446"/>
      <c r="E2851" s="445" t="s">
        <v>99</v>
      </c>
      <c r="F2851" s="445"/>
      <c r="G2851" s="390"/>
      <c r="H2851" s="394"/>
    </row>
    <row r="2852" spans="1:8" ht="15.75" customHeight="1" x14ac:dyDescent="0.25">
      <c r="D2852" s="4"/>
      <c r="H2852" s="4"/>
    </row>
    <row r="2853" spans="1:8" ht="15.75" customHeight="1" x14ac:dyDescent="0.25">
      <c r="D2853" s="4"/>
      <c r="H2853" s="4"/>
    </row>
    <row r="2854" spans="1:8" ht="15.75" customHeight="1" x14ac:dyDescent="0.25">
      <c r="D2854" s="4"/>
      <c r="H2854" s="4"/>
    </row>
    <row r="2855" spans="1:8" ht="15.75" customHeight="1" x14ac:dyDescent="0.25">
      <c r="D2855" s="4"/>
      <c r="H2855" s="4"/>
    </row>
    <row r="2856" spans="1:8" ht="15.75" customHeight="1" x14ac:dyDescent="0.25">
      <c r="D2856" s="4"/>
      <c r="H2856" s="4"/>
    </row>
    <row r="2857" spans="1:8" ht="15.75" customHeight="1" x14ac:dyDescent="0.25">
      <c r="D2857" s="4"/>
      <c r="H2857" s="4"/>
    </row>
    <row r="2858" spans="1:8" ht="15.75" customHeight="1" x14ac:dyDescent="0.25">
      <c r="D2858" s="4"/>
      <c r="H2858" s="4"/>
    </row>
    <row r="2859" spans="1:8" ht="15.75" customHeight="1" x14ac:dyDescent="0.25">
      <c r="D2859" s="4"/>
      <c r="H2859" s="4"/>
    </row>
    <row r="2860" spans="1:8" ht="15.75" customHeight="1" x14ac:dyDescent="0.25">
      <c r="A2860" s="398" t="s">
        <v>14</v>
      </c>
      <c r="B2860" s="391"/>
      <c r="C2860" s="391"/>
      <c r="D2860" s="391"/>
      <c r="E2860" s="391"/>
      <c r="F2860" s="391"/>
      <c r="G2860" s="391"/>
      <c r="H2860" s="394"/>
    </row>
    <row r="2861" spans="1:8" ht="15.75" customHeight="1" x14ac:dyDescent="0.25">
      <c r="A2861" s="390"/>
      <c r="B2861" s="390"/>
      <c r="C2861" s="390"/>
      <c r="D2861" s="392"/>
      <c r="E2861" s="569"/>
      <c r="F2861" s="391"/>
      <c r="G2861" s="390"/>
      <c r="H2861" s="394"/>
    </row>
    <row r="2862" spans="1:8" ht="15.75" customHeight="1" x14ac:dyDescent="0.25">
      <c r="A2862" s="390"/>
      <c r="B2862" s="390"/>
      <c r="C2862" s="390"/>
      <c r="D2862" s="391"/>
      <c r="E2862" s="390"/>
      <c r="F2862" s="395" t="s">
        <v>18</v>
      </c>
      <c r="G2862" s="390" t="s">
        <v>633</v>
      </c>
      <c r="H2862" s="394"/>
    </row>
    <row r="2863" spans="1:8" ht="15.75" customHeight="1" x14ac:dyDescent="0.25">
      <c r="A2863" s="390"/>
      <c r="B2863" s="390"/>
      <c r="C2863" s="390"/>
      <c r="D2863" s="391"/>
      <c r="E2863" s="390"/>
      <c r="F2863" s="393" t="s">
        <v>21</v>
      </c>
      <c r="G2863" s="390" t="s">
        <v>1320</v>
      </c>
      <c r="H2863" s="394"/>
    </row>
    <row r="2864" spans="1:8" ht="15.75" customHeight="1" x14ac:dyDescent="0.25">
      <c r="A2864" s="293" t="s">
        <v>20</v>
      </c>
      <c r="B2864" s="293"/>
      <c r="C2864" s="293"/>
      <c r="D2864" s="391"/>
      <c r="E2864" s="390"/>
      <c r="F2864" s="391"/>
      <c r="G2864" s="390"/>
      <c r="H2864" s="394"/>
    </row>
    <row r="2865" spans="1:8" ht="15.75" customHeight="1" x14ac:dyDescent="0.25">
      <c r="A2865" s="293" t="inlineStr">
        <is>
          <t>Dealer-001</t>
        </is>
      </c>
      <c r="B2865" s="293"/>
      <c r="C2865" s="293"/>
      <c r="D2865" s="391"/>
      <c r="E2865" s="390"/>
      <c r="F2865" s="391"/>
      <c r="G2865" s="390"/>
      <c r="H2865" s="394"/>
    </row>
    <row r="2866" spans="1:8" ht="15.75" customHeight="1" x14ac:dyDescent="0.25">
      <c r="A2866" s="293" t="inlineStr">
        <is>
          <t>Address line (redacted)</t>
        </is>
      </c>
      <c r="B2866" s="293"/>
      <c r="C2866" s="293"/>
      <c r="D2866" s="391"/>
      <c r="E2866" s="390"/>
      <c r="F2866" s="391"/>
      <c r="G2866" s="390"/>
      <c r="H2866" s="394"/>
    </row>
    <row r="2867" spans="1:8" ht="15.75" customHeight="1" x14ac:dyDescent="0.25">
      <c r="A2867" s="293"/>
      <c r="B2867" s="293"/>
      <c r="C2867" s="293"/>
      <c r="D2867" s="391"/>
      <c r="E2867" s="390"/>
      <c r="F2867" s="391"/>
      <c r="G2867" s="390"/>
      <c r="H2867" s="394"/>
    </row>
    <row r="2868" spans="1:8" ht="15.75" customHeight="1" x14ac:dyDescent="0.25">
      <c r="A2868" s="293" t="inlineStr">
        <is>
          <t>Through: Transporter-001</t>
        </is>
      </c>
      <c r="B2868" s="293"/>
      <c r="C2868" s="293"/>
      <c r="D2868" s="391"/>
      <c r="E2868" s="390"/>
      <c r="F2868" s="391"/>
      <c r="G2868" s="390"/>
      <c r="H2868" s="394"/>
    </row>
    <row r="2869" spans="1:8" ht="15.75" customHeight="1" x14ac:dyDescent="0.25">
      <c r="A2869" s="293"/>
      <c r="B2869" s="293" t="inlineStr">
        <is>
          <t>Address line (redacted)</t>
        </is>
      </c>
      <c r="C2869" s="293"/>
      <c r="D2869" s="391"/>
      <c r="E2869" s="390"/>
      <c r="F2869" s="391"/>
      <c r="G2869" s="390"/>
      <c r="H2869" s="394"/>
    </row>
    <row r="2870" spans="1:8" ht="15.75" customHeight="1" x14ac:dyDescent="0.25">
      <c r="A2870" s="293"/>
      <c r="B2870" s="293" t="inlineStr">
        <is>
          <t>Address line (redacted)</t>
        </is>
      </c>
      <c r="C2870" s="293"/>
      <c r="D2870" s="391"/>
      <c r="E2870" s="390"/>
      <c r="F2870" s="391"/>
      <c r="G2870" s="390"/>
      <c r="H2870" s="394"/>
    </row>
    <row r="2871" spans="1:8" ht="15.75" customHeight="1" x14ac:dyDescent="0.25">
      <c r="A2871" s="390"/>
      <c r="B2871" s="390"/>
      <c r="C2871" s="390"/>
      <c r="D2871" s="391"/>
      <c r="E2871" s="390"/>
      <c r="F2871" s="391"/>
      <c r="G2871" s="390"/>
      <c r="H2871" s="394"/>
    </row>
    <row r="2872" spans="1:8" ht="15.75" customHeight="1" x14ac:dyDescent="0.25">
      <c r="A2872" s="390" t="s">
        <v>30</v>
      </c>
      <c r="B2872" s="390"/>
      <c r="C2872" s="390"/>
      <c r="D2872" s="391"/>
      <c r="E2872" s="390"/>
      <c r="F2872" s="391"/>
      <c r="G2872" s="390"/>
      <c r="H2872" s="394"/>
    </row>
    <row r="2873" spans="1:8" ht="15.75" customHeight="1" x14ac:dyDescent="0.25">
      <c r="A2873" s="390"/>
      <c r="B2873" s="390"/>
      <c r="C2873" s="390"/>
      <c r="D2873" s="391"/>
      <c r="E2873" s="390"/>
      <c r="F2873" s="391"/>
      <c r="G2873" s="390"/>
      <c r="H2873" s="394"/>
    </row>
    <row r="2874" spans="1:8" ht="15.75" customHeight="1" x14ac:dyDescent="0.25">
      <c r="A2874" s="390" t="s">
        <v>1322</v>
      </c>
      <c r="B2874" s="390"/>
      <c r="C2874" s="390"/>
      <c r="D2874" s="391"/>
      <c r="E2874" s="390"/>
      <c r="F2874" s="391"/>
      <c r="G2874" s="390"/>
      <c r="H2874" s="394"/>
    </row>
    <row r="2875" spans="1:8" ht="15.75" customHeight="1" x14ac:dyDescent="0.25">
      <c r="A2875" s="390" t="s">
        <v>1323</v>
      </c>
      <c r="B2875" s="390"/>
      <c r="C2875" s="390"/>
      <c r="D2875" s="391"/>
      <c r="E2875" s="390"/>
      <c r="F2875" s="391"/>
      <c r="G2875" s="390"/>
      <c r="H2875" s="394"/>
    </row>
    <row r="2876" spans="1:8" ht="15.75" customHeight="1" x14ac:dyDescent="0.25">
      <c r="A2876" s="390"/>
      <c r="B2876" s="390"/>
      <c r="C2876" s="390"/>
      <c r="D2876" s="391"/>
      <c r="E2876" s="390"/>
      <c r="F2876" s="391"/>
      <c r="G2876" s="390"/>
      <c r="H2876" s="394"/>
    </row>
    <row r="2877" spans="1:8" ht="15.75" customHeight="1" x14ac:dyDescent="0.25">
      <c r="A2877" s="399" t="s">
        <v>33</v>
      </c>
      <c r="B2877" s="400" t="s">
        <v>6</v>
      </c>
      <c r="C2877" s="400"/>
      <c r="D2877" s="401" t="s">
        <v>37</v>
      </c>
      <c r="E2877" s="402" t="s">
        <v>38</v>
      </c>
      <c r="F2877" s="403" t="s">
        <v>7</v>
      </c>
      <c r="G2877" s="404" t="s">
        <v>43</v>
      </c>
      <c r="H2877" s="405" t="s">
        <v>44</v>
      </c>
    </row>
    <row r="2878" spans="1:8" ht="15.75" customHeight="1" x14ac:dyDescent="0.25">
      <c r="A2878" s="406"/>
      <c r="B2878" s="407"/>
      <c r="C2878" s="393"/>
      <c r="D2878" s="410"/>
      <c r="E2878" s="408"/>
      <c r="F2878" s="409"/>
      <c r="G2878" s="410"/>
      <c r="H2878" s="411"/>
    </row>
    <row r="2879" spans="1:8" ht="15.75" customHeight="1" x14ac:dyDescent="0.25">
      <c r="A2879" s="577"/>
      <c r="B2879" s="578"/>
      <c r="C2879" s="579"/>
      <c r="D2879" s="578"/>
      <c r="E2879" s="578"/>
      <c r="F2879" s="578"/>
      <c r="G2879" s="578"/>
      <c r="H2879" s="580"/>
    </row>
    <row r="2880" spans="1:8" ht="15.75" customHeight="1" x14ac:dyDescent="0.25">
      <c r="A2880" s="581" t="s">
        <v>55</v>
      </c>
      <c r="B2880" s="582" t="s">
        <v>1289</v>
      </c>
      <c r="C2880" s="582" t="s">
        <v>419</v>
      </c>
      <c r="D2880" s="415">
        <v>5</v>
      </c>
      <c r="E2880" s="415">
        <v>200</v>
      </c>
      <c r="F2880" s="415">
        <f t="shared" ref="F2880:F2881" si="47">+E2880*D2880</f>
      </c>
      <c r="G2880" s="415">
        <v>1</v>
      </c>
      <c r="H2880" s="416">
        <f t="shared" ref="H2880:H2881" si="48">+G2880*F2880</f>
      </c>
    </row>
    <row r="2881" spans="1:8" ht="15.75" customHeight="1" x14ac:dyDescent="0.25">
      <c r="A2881" s="581" t="s">
        <v>59</v>
      </c>
      <c r="B2881" s="582" t="s">
        <v>1296</v>
      </c>
      <c r="C2881" s="582"/>
      <c r="D2881" s="415">
        <v>5</v>
      </c>
      <c r="E2881" s="415">
        <v>2</v>
      </c>
      <c r="F2881" s="415">
        <f t="shared" si="47"/>
      </c>
      <c r="G2881" s="415">
        <v>1</v>
      </c>
      <c r="H2881" s="416">
        <f t="shared" si="48"/>
      </c>
    </row>
    <row r="2882" spans="1:8" ht="15.75" customHeight="1" x14ac:dyDescent="0.25">
      <c r="A2882" s="581"/>
      <c r="B2882" s="582"/>
      <c r="C2882" s="582"/>
      <c r="D2882" s="415"/>
      <c r="E2882" s="415"/>
      <c r="F2882" s="415"/>
      <c r="G2882" s="415"/>
      <c r="H2882" s="416"/>
    </row>
    <row r="2883" spans="1:8" ht="15.75" customHeight="1" x14ac:dyDescent="0.25">
      <c r="A2883" s="583">
        <v>3</v>
      </c>
      <c r="B2883" s="584" t="s">
        <v>1297</v>
      </c>
      <c r="C2883" s="584"/>
      <c r="D2883" s="415"/>
      <c r="E2883" s="582"/>
      <c r="F2883" s="585"/>
      <c r="G2883" s="584"/>
      <c r="H2883" s="586"/>
    </row>
    <row r="2884" spans="1:8" ht="15.75" customHeight="1" x14ac:dyDescent="0.25">
      <c r="A2884" s="587"/>
      <c r="B2884" s="418" t="s">
        <v>191</v>
      </c>
      <c r="C2884" s="585" t="s">
        <v>362</v>
      </c>
      <c r="D2884" s="588">
        <v>2</v>
      </c>
      <c r="E2884" s="415">
        <v>6</v>
      </c>
      <c r="F2884" s="588">
        <f t="shared" ref="F2884:F2889" si="49">+E2884*D2884</f>
      </c>
      <c r="G2884" s="588">
        <v>1</v>
      </c>
      <c r="H2884" s="589">
        <f t="shared" ref="H2884:H2889" si="50">+G2884*F2884</f>
      </c>
    </row>
    <row r="2885" spans="1:8" ht="15.75" customHeight="1" x14ac:dyDescent="0.25">
      <c r="A2885" s="587"/>
      <c r="B2885" s="418" t="s">
        <v>194</v>
      </c>
      <c r="C2885" s="585" t="s">
        <v>365</v>
      </c>
      <c r="D2885" s="415">
        <v>1</v>
      </c>
      <c r="E2885" s="415">
        <v>6</v>
      </c>
      <c r="F2885" s="588">
        <f t="shared" si="49"/>
      </c>
      <c r="G2885" s="588">
        <v>1</v>
      </c>
      <c r="H2885" s="589">
        <f t="shared" si="50"/>
      </c>
    </row>
    <row r="2886" spans="1:8" ht="15.75" customHeight="1" x14ac:dyDescent="0.25">
      <c r="A2886" s="587"/>
      <c r="B2886" s="418" t="s">
        <v>1325</v>
      </c>
      <c r="C2886" s="585" t="s">
        <v>374</v>
      </c>
      <c r="D2886" s="415">
        <v>1</v>
      </c>
      <c r="E2886" s="415">
        <v>6</v>
      </c>
      <c r="F2886" s="588">
        <f t="shared" si="49"/>
      </c>
      <c r="G2886" s="588">
        <v>1</v>
      </c>
      <c r="H2886" s="589">
        <f t="shared" si="50"/>
      </c>
    </row>
    <row r="2887" spans="1:8" ht="15.75" customHeight="1" x14ac:dyDescent="0.25">
      <c r="A2887" s="587"/>
      <c r="B2887" s="418" t="s">
        <v>213</v>
      </c>
      <c r="C2887" s="585" t="s">
        <v>384</v>
      </c>
      <c r="D2887" s="588">
        <v>2</v>
      </c>
      <c r="E2887" s="415">
        <v>6</v>
      </c>
      <c r="F2887" s="588">
        <f t="shared" si="49"/>
      </c>
      <c r="G2887" s="588">
        <v>1</v>
      </c>
      <c r="H2887" s="589">
        <f t="shared" si="50"/>
      </c>
    </row>
    <row r="2888" spans="1:8" ht="15.75" customHeight="1" x14ac:dyDescent="0.25">
      <c r="A2888" s="587"/>
      <c r="B2888" s="418" t="s">
        <v>1314</v>
      </c>
      <c r="C2888" s="585" t="s">
        <v>387</v>
      </c>
      <c r="D2888" s="415">
        <v>2</v>
      </c>
      <c r="E2888" s="415">
        <v>6</v>
      </c>
      <c r="F2888" s="588">
        <f t="shared" si="49"/>
      </c>
      <c r="G2888" s="588">
        <v>1</v>
      </c>
      <c r="H2888" s="589">
        <f t="shared" si="50"/>
      </c>
    </row>
    <row r="2889" spans="1:8" ht="15.75" customHeight="1" x14ac:dyDescent="0.25">
      <c r="A2889" s="587"/>
      <c r="B2889" s="418" t="s">
        <v>219</v>
      </c>
      <c r="C2889" s="585" t="s">
        <v>390</v>
      </c>
      <c r="D2889" s="588">
        <v>1</v>
      </c>
      <c r="E2889" s="415">
        <v>6</v>
      </c>
      <c r="F2889" s="588">
        <f t="shared" si="49"/>
      </c>
      <c r="G2889" s="588">
        <v>1</v>
      </c>
      <c r="H2889" s="589">
        <f t="shared" si="50"/>
      </c>
    </row>
    <row r="2890" spans="1:8" ht="15.75" customHeight="1" x14ac:dyDescent="0.25">
      <c r="A2890" s="587"/>
      <c r="B2890" s="582"/>
      <c r="C2890" s="585"/>
      <c r="D2890" s="415"/>
      <c r="E2890" s="415"/>
      <c r="F2890" s="588"/>
      <c r="G2890" s="588"/>
      <c r="H2890" s="586"/>
    </row>
    <row r="2891" spans="1:8" ht="15.75" customHeight="1" x14ac:dyDescent="0.25">
      <c r="A2891" s="620"/>
      <c r="B2891" s="621"/>
      <c r="C2891" s="622"/>
      <c r="D2891" s="408"/>
      <c r="E2891" s="408"/>
      <c r="F2891" s="398"/>
      <c r="G2891" s="408"/>
      <c r="H2891" s="559"/>
    </row>
    <row r="2892" spans="1:8" ht="15.75" customHeight="1" x14ac:dyDescent="0.25">
      <c r="A2892" s="430"/>
      <c r="B2892" s="409"/>
      <c r="C2892" s="393"/>
      <c r="D2892" s="427"/>
      <c r="E2892" s="427"/>
      <c r="F2892" s="428"/>
      <c r="G2892" s="431"/>
      <c r="H2892" s="429"/>
    </row>
    <row r="2893" spans="1:8" ht="15.75" customHeight="1" x14ac:dyDescent="0.25">
      <c r="A2893" s="432"/>
      <c r="B2893" s="433"/>
      <c r="C2893" s="434" t="s">
        <v>85</v>
      </c>
      <c r="D2893" s="436">
        <f>SUM(D2880:D2892)</f>
      </c>
      <c r="E2893" s="436"/>
      <c r="F2893" s="436"/>
      <c r="G2893" s="437"/>
      <c r="H2893" s="623">
        <f>SUM(H2880:H2892)</f>
      </c>
    </row>
    <row r="2894" spans="1:8" ht="15.75" customHeight="1" x14ac:dyDescent="0.25">
      <c r="A2894" s="439"/>
      <c r="B2894" s="440"/>
      <c r="C2894" s="440"/>
      <c r="D2894" s="441"/>
      <c r="E2894" s="440"/>
      <c r="F2894" s="442"/>
      <c r="G2894" s="443"/>
      <c r="H2894" s="444"/>
    </row>
    <row r="2895" spans="1:8" ht="15.75" customHeight="1" x14ac:dyDescent="0.25">
      <c r="A2895" s="392"/>
      <c r="B2895" s="391"/>
      <c r="C2895" s="391"/>
      <c r="D2895" s="391"/>
      <c r="E2895" s="390"/>
      <c r="F2895" s="392"/>
      <c r="G2895" s="390"/>
      <c r="H2895" s="394"/>
    </row>
    <row r="2896" spans="1:8" ht="15.75" customHeight="1" x14ac:dyDescent="0.25">
      <c r="A2896" s="445"/>
      <c r="B2896" s="445"/>
      <c r="C2896" s="445"/>
      <c r="D2896" s="446" t="s">
        <v>97</v>
      </c>
      <c r="E2896" s="445" t="s">
        <v>98</v>
      </c>
      <c r="F2896" s="445"/>
      <c r="G2896" s="390"/>
      <c r="H2896" s="394"/>
    </row>
    <row r="2897" spans="1:8" ht="15.75" customHeight="1" x14ac:dyDescent="0.25">
      <c r="A2897" s="390"/>
      <c r="B2897" s="390"/>
      <c r="C2897" s="390"/>
      <c r="D2897" s="391"/>
      <c r="E2897" s="390"/>
      <c r="F2897" s="390"/>
      <c r="G2897" s="390"/>
      <c r="H2897" s="394"/>
    </row>
    <row r="2898" spans="1:8" ht="15.75" customHeight="1" x14ac:dyDescent="0.25">
      <c r="A2898" s="390"/>
      <c r="B2898" s="390"/>
      <c r="C2898" s="390"/>
      <c r="D2898" s="391"/>
      <c r="E2898" s="390"/>
      <c r="F2898" s="390"/>
      <c r="G2898" s="390"/>
      <c r="H2898" s="394"/>
    </row>
    <row r="2899" spans="1:8" ht="15.75" customHeight="1" x14ac:dyDescent="0.25">
      <c r="A2899" s="445"/>
      <c r="B2899" s="445"/>
      <c r="C2899" s="445"/>
      <c r="D2899" s="446"/>
      <c r="E2899" s="445" t="s">
        <v>99</v>
      </c>
      <c r="F2899" s="445"/>
      <c r="G2899" s="390"/>
      <c r="H2899" s="394"/>
    </row>
    <row r="2900" spans="1:8" ht="15.75" customHeight="1" x14ac:dyDescent="0.25">
      <c r="D2900" s="4"/>
      <c r="H2900" s="4"/>
    </row>
    <row r="2901" spans="1:8" ht="15.75" customHeight="1" x14ac:dyDescent="0.25">
      <c r="D2901" s="4"/>
      <c r="H2901" s="4"/>
    </row>
    <row r="2902" spans="1:8" ht="15.75" customHeight="1" x14ac:dyDescent="0.25">
      <c r="D2902" s="4"/>
      <c r="H2902" s="4"/>
    </row>
    <row r="2903" spans="1:8" ht="15.75" customHeight="1" x14ac:dyDescent="0.25">
      <c r="D2903" s="4"/>
      <c r="H2903" s="4"/>
    </row>
    <row r="2904" spans="1:8" ht="15.75" customHeight="1" x14ac:dyDescent="0.25">
      <c r="D2904" s="4"/>
      <c r="H2904" s="4"/>
    </row>
    <row r="2905" spans="1:8" ht="15.75" customHeight="1" x14ac:dyDescent="0.25">
      <c r="A2905" s="398" t="s">
        <v>14</v>
      </c>
      <c r="B2905" s="391"/>
      <c r="C2905" s="391"/>
      <c r="D2905" s="391"/>
      <c r="E2905" s="391"/>
      <c r="F2905" s="391"/>
      <c r="G2905" s="391"/>
      <c r="H2905" s="394"/>
    </row>
    <row r="2906" spans="1:8" ht="15.75" customHeight="1" x14ac:dyDescent="0.25">
      <c r="A2906" s="390"/>
      <c r="B2906" s="390"/>
      <c r="C2906" s="390"/>
      <c r="D2906" s="392"/>
      <c r="E2906" s="569"/>
      <c r="F2906" s="391"/>
      <c r="G2906" s="390"/>
      <c r="H2906" s="394"/>
    </row>
    <row r="2907" spans="1:8" ht="15.75" customHeight="1" x14ac:dyDescent="0.25">
      <c r="A2907" s="390"/>
      <c r="B2907" s="390"/>
      <c r="C2907" s="390"/>
      <c r="D2907" s="391"/>
      <c r="E2907" s="390"/>
      <c r="F2907" s="395" t="s">
        <v>18</v>
      </c>
      <c r="G2907" s="390" t="s">
        <v>633</v>
      </c>
      <c r="H2907" s="394"/>
    </row>
    <row r="2908" spans="1:8" ht="15.75" customHeight="1" x14ac:dyDescent="0.25">
      <c r="A2908" s="390"/>
      <c r="B2908" s="390"/>
      <c r="C2908" s="390"/>
      <c r="D2908" s="391"/>
      <c r="E2908" s="390"/>
      <c r="F2908" s="393" t="s">
        <v>21</v>
      </c>
      <c r="G2908" s="390" t="s">
        <v>1327</v>
      </c>
      <c r="H2908" s="394"/>
    </row>
    <row r="2909" spans="1:8" ht="15.75" customHeight="1" x14ac:dyDescent="0.25">
      <c r="A2909" s="390" t="s">
        <v>20</v>
      </c>
      <c r="B2909" s="390"/>
      <c r="C2909" s="390"/>
      <c r="D2909" s="391"/>
      <c r="E2909" s="390"/>
      <c r="F2909" s="391"/>
      <c r="G2909" s="390"/>
      <c r="H2909" s="394"/>
    </row>
    <row r="2910" spans="1:8" ht="15.75" customHeight="1" x14ac:dyDescent="0.25">
      <c r="A2910" s="390" t="inlineStr">
        <is>
          <t>Dealer-003</t>
        </is>
      </c>
      <c r="B2910" s="390"/>
      <c r="C2910" s="398"/>
      <c r="D2910" s="391"/>
      <c r="E2910" s="390"/>
      <c r="F2910" s="391"/>
      <c r="G2910" s="390"/>
      <c r="H2910" s="394"/>
    </row>
    <row r="2911" spans="1:8" ht="15.75" customHeight="1" x14ac:dyDescent="0.25">
      <c r="A2911" s="390" t="inlineStr">
        <is>
          <t>Address line (redacted)</t>
        </is>
      </c>
      <c r="B2911" s="390"/>
      <c r="C2911" s="390"/>
      <c r="D2911" s="391"/>
      <c r="E2911" s="390"/>
      <c r="F2911" s="391"/>
      <c r="G2911" s="390"/>
      <c r="H2911" s="394"/>
    </row>
    <row r="2912" spans="1:8" ht="15.75" customHeight="1" x14ac:dyDescent="0.25">
      <c r="A2912" s="390" t="inlineStr">
        <is>
          <t>Address line (redacted)</t>
        </is>
      </c>
      <c r="B2912" s="390"/>
      <c r="C2912" s="390"/>
      <c r="D2912" s="391"/>
      <c r="E2912" s="390"/>
      <c r="F2912" s="391"/>
      <c r="G2912" s="390"/>
      <c r="H2912" s="394"/>
    </row>
    <row r="2913" spans="1:8" ht="15.75" customHeight="1" x14ac:dyDescent="0.25">
      <c r="A2913" s="390"/>
      <c r="B2913" s="390"/>
      <c r="C2913" s="390"/>
      <c r="D2913" s="391"/>
      <c r="E2913" s="390"/>
      <c r="F2913" s="391"/>
      <c r="G2913" s="390"/>
      <c r="H2913" s="394"/>
    </row>
    <row r="2914" spans="1:8" ht="15.75" customHeight="1" x14ac:dyDescent="0.25">
      <c r="A2914" s="390" t="s">
        <v>30</v>
      </c>
      <c r="B2914" s="390"/>
      <c r="C2914" s="390"/>
      <c r="D2914" s="391"/>
      <c r="E2914" s="390"/>
      <c r="F2914" s="391"/>
      <c r="G2914" s="390"/>
      <c r="H2914" s="394"/>
    </row>
    <row r="2915" spans="1:8" ht="15.75" customHeight="1" x14ac:dyDescent="0.25">
      <c r="A2915" s="390"/>
      <c r="B2915" s="390"/>
      <c r="C2915" s="390"/>
      <c r="D2915" s="391"/>
      <c r="E2915" s="390"/>
      <c r="F2915" s="391"/>
      <c r="G2915" s="390"/>
      <c r="H2915" s="394"/>
    </row>
    <row r="2916" spans="1:8" ht="15.75" customHeight="1" x14ac:dyDescent="0.25">
      <c r="A2916" s="390" t="s">
        <v>1322</v>
      </c>
      <c r="B2916" s="390"/>
      <c r="C2916" s="390"/>
      <c r="D2916" s="391"/>
      <c r="E2916" s="390"/>
      <c r="F2916" s="391"/>
      <c r="G2916" s="390"/>
      <c r="H2916" s="394"/>
    </row>
    <row r="2917" spans="1:8" ht="15.75" customHeight="1" x14ac:dyDescent="0.25">
      <c r="A2917" s="390" t="s">
        <v>1328</v>
      </c>
      <c r="B2917" s="390"/>
      <c r="C2917" s="390"/>
      <c r="D2917" s="391"/>
      <c r="E2917" s="390"/>
      <c r="F2917" s="391"/>
      <c r="G2917" s="390"/>
      <c r="H2917" s="394"/>
    </row>
    <row r="2918" spans="1:8" ht="15.75" customHeight="1" x14ac:dyDescent="0.25">
      <c r="A2918" s="390"/>
      <c r="B2918" s="390"/>
      <c r="C2918" s="390"/>
      <c r="D2918" s="391"/>
      <c r="E2918" s="390"/>
      <c r="F2918" s="391"/>
      <c r="G2918" s="390"/>
      <c r="H2918" s="394"/>
    </row>
    <row r="2919" spans="1:8" ht="15.75" customHeight="1" x14ac:dyDescent="0.25">
      <c r="A2919" s="399" t="s">
        <v>33</v>
      </c>
      <c r="B2919" s="400" t="s">
        <v>6</v>
      </c>
      <c r="C2919" s="400"/>
      <c r="D2919" s="401" t="s">
        <v>37</v>
      </c>
      <c r="E2919" s="402" t="s">
        <v>38</v>
      </c>
      <c r="F2919" s="403" t="s">
        <v>7</v>
      </c>
      <c r="G2919" s="404" t="s">
        <v>43</v>
      </c>
      <c r="H2919" s="405" t="s">
        <v>44</v>
      </c>
    </row>
    <row r="2920" spans="1:8" ht="15.75" customHeight="1" x14ac:dyDescent="0.25">
      <c r="A2920" s="406"/>
      <c r="B2920" s="407"/>
      <c r="C2920" s="393"/>
      <c r="D2920" s="410"/>
      <c r="E2920" s="408"/>
      <c r="F2920" s="409"/>
      <c r="G2920" s="410"/>
      <c r="H2920" s="411"/>
    </row>
    <row r="2921" spans="1:8" ht="15.75" customHeight="1" x14ac:dyDescent="0.25">
      <c r="A2921" s="577"/>
      <c r="B2921" s="624" t="s">
        <v>1329</v>
      </c>
      <c r="C2921" s="625"/>
      <c r="D2921" s="578"/>
      <c r="E2921" s="578"/>
      <c r="F2921" s="578"/>
      <c r="G2921" s="578"/>
      <c r="H2921" s="580"/>
    </row>
    <row r="2922" spans="1:8" ht="15.75" customHeight="1" x14ac:dyDescent="0.25">
      <c r="A2922" s="581" t="s">
        <v>55</v>
      </c>
      <c r="B2922" s="582" t="s">
        <v>1289</v>
      </c>
      <c r="C2922" s="582" t="s">
        <v>419</v>
      </c>
      <c r="D2922" s="415">
        <v>2</v>
      </c>
      <c r="E2922" s="415">
        <v>200</v>
      </c>
      <c r="F2922" s="415">
        <f t="shared" ref="F2922:F2924" si="51">+E2922*D2922</f>
      </c>
      <c r="G2922" s="415">
        <v>1</v>
      </c>
      <c r="H2922" s="416">
        <f t="shared" ref="H2922:H2926" si="52">+G2922*F2922</f>
      </c>
    </row>
    <row r="2923" spans="1:8" ht="15.75" customHeight="1" x14ac:dyDescent="0.25">
      <c r="A2923" s="581" t="s">
        <v>59</v>
      </c>
      <c r="B2923" s="582" t="s">
        <v>1293</v>
      </c>
      <c r="C2923" s="582"/>
      <c r="D2923" s="415">
        <v>1</v>
      </c>
      <c r="E2923" s="415">
        <v>100</v>
      </c>
      <c r="F2923" s="415">
        <f t="shared" si="51"/>
      </c>
      <c r="G2923" s="415">
        <v>1</v>
      </c>
      <c r="H2923" s="416">
        <f t="shared" si="52"/>
      </c>
    </row>
    <row r="2924" spans="1:8" ht="15.75" customHeight="1" x14ac:dyDescent="0.25">
      <c r="A2924" s="581" t="s">
        <v>67</v>
      </c>
      <c r="B2924" s="582" t="s">
        <v>1331</v>
      </c>
      <c r="C2924" s="582"/>
      <c r="D2924" s="592">
        <v>1</v>
      </c>
      <c r="E2924" s="415">
        <v>250</v>
      </c>
      <c r="F2924" s="415">
        <f t="shared" si="51"/>
      </c>
      <c r="G2924" s="415">
        <v>1</v>
      </c>
      <c r="H2924" s="416">
        <f t="shared" si="52"/>
      </c>
    </row>
    <row r="2925" spans="1:8" ht="15.75" customHeight="1" x14ac:dyDescent="0.25">
      <c r="A2925" s="581" t="s">
        <v>485</v>
      </c>
      <c r="B2925" s="582" t="s">
        <v>1332</v>
      </c>
      <c r="C2925" s="582"/>
      <c r="D2925" s="626"/>
      <c r="E2925" s="415">
        <v>250</v>
      </c>
      <c r="F2925" s="415">
        <v>250</v>
      </c>
      <c r="G2925" s="415">
        <v>1</v>
      </c>
      <c r="H2925" s="416">
        <f t="shared" si="52"/>
      </c>
    </row>
    <row r="2926" spans="1:8" ht="15.75" customHeight="1" x14ac:dyDescent="0.25">
      <c r="A2926" s="581" t="s">
        <v>486</v>
      </c>
      <c r="B2926" s="582" t="s">
        <v>1333</v>
      </c>
      <c r="C2926" s="582" t="s">
        <v>1176</v>
      </c>
      <c r="D2926" s="415">
        <v>1</v>
      </c>
      <c r="E2926" s="415">
        <v>200</v>
      </c>
      <c r="F2926" s="415">
        <f>+E2926*D2926</f>
      </c>
      <c r="G2926" s="415">
        <v>1</v>
      </c>
      <c r="H2926" s="416">
        <f t="shared" si="52"/>
      </c>
    </row>
    <row r="2927" spans="1:8" ht="15.75" customHeight="1" x14ac:dyDescent="0.25">
      <c r="A2927" s="581"/>
      <c r="B2927" s="582"/>
      <c r="C2927" s="582"/>
      <c r="D2927" s="415"/>
      <c r="E2927" s="415"/>
      <c r="F2927" s="415"/>
      <c r="G2927" s="415"/>
      <c r="H2927" s="416"/>
    </row>
    <row r="2928" spans="1:8" ht="15.75" customHeight="1" x14ac:dyDescent="0.25">
      <c r="A2928" s="583">
        <v>6</v>
      </c>
      <c r="B2928" s="584" t="s">
        <v>1102</v>
      </c>
      <c r="C2928" s="584"/>
      <c r="D2928" s="415"/>
      <c r="E2928" s="582"/>
      <c r="F2928" s="585"/>
      <c r="G2928" s="584"/>
      <c r="H2928" s="586"/>
    </row>
    <row r="2929" spans="1:8" ht="15.75" customHeight="1" x14ac:dyDescent="0.25">
      <c r="A2929" s="581"/>
      <c r="B2929" s="582" t="s">
        <v>1334</v>
      </c>
      <c r="C2929" s="582" t="s">
        <v>331</v>
      </c>
      <c r="D2929" s="415">
        <v>10</v>
      </c>
      <c r="E2929" s="415">
        <v>5</v>
      </c>
      <c r="F2929" s="415">
        <f t="shared" ref="F2929:F2930" si="53">+E2929*D2929</f>
      </c>
      <c r="G2929" s="415">
        <v>1</v>
      </c>
      <c r="H2929" s="416">
        <f t="shared" ref="H2929:H2930" si="54">+G2929*F2929</f>
      </c>
    </row>
    <row r="2930" spans="1:8" ht="15.75" customHeight="1" x14ac:dyDescent="0.25">
      <c r="A2930" s="577"/>
      <c r="B2930" s="582" t="s">
        <v>144</v>
      </c>
      <c r="C2930" s="582" t="s">
        <v>340</v>
      </c>
      <c r="D2930" s="415">
        <v>2</v>
      </c>
      <c r="E2930" s="415">
        <v>5</v>
      </c>
      <c r="F2930" s="415">
        <f t="shared" si="53"/>
      </c>
      <c r="G2930" s="415">
        <v>1</v>
      </c>
      <c r="H2930" s="416">
        <f t="shared" si="54"/>
      </c>
    </row>
    <row r="2931" spans="1:8" ht="15.75" customHeight="1" x14ac:dyDescent="0.25">
      <c r="A2931" s="577"/>
      <c r="B2931" s="578"/>
      <c r="C2931" s="579"/>
      <c r="D2931" s="578"/>
      <c r="E2931" s="578"/>
      <c r="F2931" s="578"/>
      <c r="G2931" s="578"/>
      <c r="H2931" s="580"/>
    </row>
    <row r="2932" spans="1:8" ht="15.75" customHeight="1" x14ac:dyDescent="0.25">
      <c r="A2932" s="583">
        <v>7</v>
      </c>
      <c r="B2932" s="584" t="s">
        <v>1297</v>
      </c>
      <c r="C2932" s="584"/>
      <c r="D2932" s="415"/>
      <c r="E2932" s="582"/>
      <c r="F2932" s="585"/>
      <c r="G2932" s="584"/>
      <c r="H2932" s="586"/>
    </row>
    <row r="2933" spans="1:8" ht="15.75" customHeight="1" x14ac:dyDescent="0.25">
      <c r="A2933" s="587"/>
      <c r="B2933" s="418" t="s">
        <v>1298</v>
      </c>
      <c r="C2933" s="585" t="s">
        <v>393</v>
      </c>
      <c r="D2933" s="588">
        <v>1</v>
      </c>
      <c r="E2933" s="415">
        <v>6</v>
      </c>
      <c r="F2933" s="588">
        <f t="shared" ref="F2933:F2938" si="55">+E2933*D2933</f>
      </c>
      <c r="G2933" s="588">
        <v>1</v>
      </c>
      <c r="H2933" s="589">
        <f>+G2933*F2933</f>
      </c>
    </row>
    <row r="2934" spans="1:8" ht="15.75" customHeight="1" x14ac:dyDescent="0.25">
      <c r="A2934" s="587"/>
      <c r="B2934" s="627" t="s">
        <v>1336</v>
      </c>
      <c r="C2934" s="585"/>
      <c r="D2934" s="588">
        <v>6</v>
      </c>
      <c r="E2934" s="415">
        <v>6</v>
      </c>
      <c r="F2934" s="588">
        <f t="shared" si="55"/>
      </c>
      <c r="G2934" s="588">
        <v>0</v>
      </c>
      <c r="H2934" s="589">
        <v>0</v>
      </c>
    </row>
    <row r="2935" spans="1:8" ht="15.75" customHeight="1" x14ac:dyDescent="0.25">
      <c r="A2935" s="587"/>
      <c r="B2935" s="418" t="s">
        <v>125</v>
      </c>
      <c r="C2935" s="585" t="s">
        <v>386</v>
      </c>
      <c r="D2935" s="415">
        <v>3</v>
      </c>
      <c r="E2935" s="415">
        <v>4</v>
      </c>
      <c r="F2935" s="588">
        <f t="shared" si="55"/>
      </c>
      <c r="G2935" s="588">
        <v>1</v>
      </c>
      <c r="H2935" s="589">
        <f t="shared" ref="H2935:H2938" si="56">+G2935*F2935</f>
      </c>
    </row>
    <row r="2936" spans="1:8" ht="15.75" customHeight="1" x14ac:dyDescent="0.25">
      <c r="A2936" s="587"/>
      <c r="B2936" s="418" t="s">
        <v>198</v>
      </c>
      <c r="C2936" s="582" t="s">
        <v>368</v>
      </c>
      <c r="D2936" s="415">
        <v>4</v>
      </c>
      <c r="E2936" s="415">
        <v>6</v>
      </c>
      <c r="F2936" s="588">
        <f t="shared" si="55"/>
      </c>
      <c r="G2936" s="588">
        <v>1</v>
      </c>
      <c r="H2936" s="589">
        <f t="shared" si="56"/>
      </c>
    </row>
    <row r="2937" spans="1:8" ht="15.75" customHeight="1" x14ac:dyDescent="0.25">
      <c r="A2937" s="587"/>
      <c r="B2937" s="590" t="s">
        <v>840</v>
      </c>
      <c r="C2937" s="585" t="s">
        <v>376</v>
      </c>
      <c r="D2937" s="415">
        <v>9</v>
      </c>
      <c r="E2937" s="415">
        <v>6</v>
      </c>
      <c r="F2937" s="588">
        <f t="shared" si="55"/>
      </c>
      <c r="G2937" s="588">
        <v>1</v>
      </c>
      <c r="H2937" s="589">
        <f t="shared" si="56"/>
      </c>
    </row>
    <row r="2938" spans="1:8" ht="15.75" customHeight="1" x14ac:dyDescent="0.25">
      <c r="A2938" s="587"/>
      <c r="B2938" s="418" t="s">
        <v>219</v>
      </c>
      <c r="C2938" s="585" t="s">
        <v>390</v>
      </c>
      <c r="D2938" s="588">
        <v>1</v>
      </c>
      <c r="E2938" s="415">
        <v>6</v>
      </c>
      <c r="F2938" s="588">
        <f t="shared" si="55"/>
      </c>
      <c r="G2938" s="588">
        <v>1</v>
      </c>
      <c r="H2938" s="589">
        <f t="shared" si="56"/>
      </c>
    </row>
    <row r="2939" spans="1:8" ht="15.75" customHeight="1" x14ac:dyDescent="0.25">
      <c r="A2939" s="587"/>
      <c r="B2939" s="582"/>
      <c r="C2939" s="585"/>
      <c r="D2939" s="415"/>
      <c r="E2939" s="415"/>
      <c r="F2939" s="588"/>
      <c r="G2939" s="588"/>
      <c r="H2939" s="586"/>
    </row>
    <row r="2940" spans="1:8" ht="15.75" customHeight="1" x14ac:dyDescent="0.25">
      <c r="A2940" s="430"/>
      <c r="B2940" s="409"/>
      <c r="C2940" s="393"/>
      <c r="D2940" s="427"/>
      <c r="E2940" s="427"/>
      <c r="F2940" s="428"/>
      <c r="G2940" s="431"/>
      <c r="H2940" s="429"/>
    </row>
    <row r="2941" spans="1:8" ht="15.75" customHeight="1" x14ac:dyDescent="0.25">
      <c r="A2941" s="432"/>
      <c r="B2941" s="433"/>
      <c r="C2941" s="434" t="s">
        <v>85</v>
      </c>
      <c r="D2941" s="436">
        <f>SUM(D2922:D2940)</f>
      </c>
      <c r="E2941" s="436"/>
      <c r="F2941" s="436"/>
      <c r="G2941" s="437"/>
      <c r="H2941" s="623">
        <f>SUM(H2922:H2940)</f>
      </c>
    </row>
    <row r="2942" spans="1:8" ht="15.75" customHeight="1" x14ac:dyDescent="0.25">
      <c r="A2942" s="439"/>
      <c r="B2942" s="440"/>
      <c r="C2942" s="440"/>
      <c r="D2942" s="441"/>
      <c r="E2942" s="440"/>
      <c r="F2942" s="442"/>
      <c r="G2942" s="443"/>
      <c r="H2942" s="444"/>
    </row>
    <row r="2943" spans="1:8" ht="15.75" customHeight="1" x14ac:dyDescent="0.25">
      <c r="A2943" s="392"/>
      <c r="B2943" s="391"/>
      <c r="C2943" s="391"/>
      <c r="D2943" s="391"/>
      <c r="E2943" s="390"/>
      <c r="F2943" s="392"/>
      <c r="G2943" s="390"/>
      <c r="H2943" s="394"/>
    </row>
    <row r="2944" spans="1:8" ht="15.75" customHeight="1" x14ac:dyDescent="0.25">
      <c r="A2944" s="445"/>
      <c r="B2944" s="445"/>
      <c r="C2944" s="445"/>
      <c r="D2944" s="446" t="s">
        <v>97</v>
      </c>
      <c r="E2944" s="445" t="s">
        <v>98</v>
      </c>
      <c r="F2944" s="445"/>
      <c r="G2944" s="390"/>
      <c r="H2944" s="394"/>
    </row>
    <row r="2945" spans="1:8" ht="15.75" customHeight="1" x14ac:dyDescent="0.25">
      <c r="A2945" s="390"/>
      <c r="B2945" s="390"/>
      <c r="C2945" s="390"/>
      <c r="D2945" s="391"/>
      <c r="E2945" s="390"/>
      <c r="F2945" s="390"/>
      <c r="G2945" s="390"/>
      <c r="H2945" s="394"/>
    </row>
    <row r="2946" spans="1:8" ht="15.75" customHeight="1" x14ac:dyDescent="0.25">
      <c r="A2946" s="390"/>
      <c r="B2946" s="390"/>
      <c r="C2946" s="390"/>
      <c r="D2946" s="391"/>
      <c r="E2946" s="390"/>
      <c r="F2946" s="390"/>
      <c r="G2946" s="390"/>
      <c r="H2946" s="394"/>
    </row>
    <row r="2947" spans="1:8" ht="15.75" customHeight="1" x14ac:dyDescent="0.25">
      <c r="A2947" s="445"/>
      <c r="B2947" s="445"/>
      <c r="C2947" s="445"/>
      <c r="D2947" s="446"/>
      <c r="E2947" s="445" t="s">
        <v>99</v>
      </c>
      <c r="F2947" s="445"/>
      <c r="G2947" s="390"/>
      <c r="H2947" s="394"/>
    </row>
    <row r="2948" spans="1:8" ht="15.75" customHeight="1" x14ac:dyDescent="0.25">
      <c r="D2948" s="4"/>
      <c r="H2948" s="4"/>
    </row>
    <row r="2949" spans="1:8" ht="15.75" customHeight="1" x14ac:dyDescent="0.25">
      <c r="D2949" s="4"/>
      <c r="H2949" s="4"/>
    </row>
    <row r="2950" spans="1:8" ht="15.75" customHeight="1" x14ac:dyDescent="0.25">
      <c r="A2950" s="398" t="s">
        <v>14</v>
      </c>
      <c r="B2950" s="391"/>
      <c r="C2950" s="391"/>
      <c r="D2950" s="391"/>
      <c r="E2950" s="391"/>
      <c r="F2950" s="391"/>
      <c r="G2950" s="391"/>
      <c r="H2950" s="394"/>
    </row>
    <row r="2951" spans="1:8" ht="15.75" customHeight="1" x14ac:dyDescent="0.25">
      <c r="A2951" s="390"/>
      <c r="B2951" s="390"/>
      <c r="C2951" s="390"/>
      <c r="D2951" s="392"/>
      <c r="E2951" s="569"/>
      <c r="F2951" s="391"/>
      <c r="G2951" s="390"/>
      <c r="H2951" s="394"/>
    </row>
    <row r="2952" spans="1:8" ht="15.75" customHeight="1" x14ac:dyDescent="0.25">
      <c r="A2952" s="390"/>
      <c r="B2952" s="390"/>
      <c r="C2952" s="390"/>
      <c r="D2952" s="391"/>
      <c r="E2952" s="390"/>
      <c r="F2952" s="395" t="s">
        <v>18</v>
      </c>
      <c r="G2952" s="390" t="s">
        <v>633</v>
      </c>
      <c r="H2952" s="394"/>
    </row>
    <row r="2953" spans="1:8" ht="15.75" customHeight="1" x14ac:dyDescent="0.25">
      <c r="A2953" s="390"/>
      <c r="B2953" s="390"/>
      <c r="C2953" s="390"/>
      <c r="D2953" s="391"/>
      <c r="E2953" s="390"/>
      <c r="F2953" s="393" t="s">
        <v>21</v>
      </c>
      <c r="G2953" s="390" t="s">
        <v>1338</v>
      </c>
      <c r="H2953" s="394"/>
    </row>
    <row r="2954" spans="1:8" ht="15.75" customHeight="1" x14ac:dyDescent="0.25">
      <c r="A2954" s="390" t="s">
        <v>20</v>
      </c>
      <c r="B2954" s="390"/>
      <c r="C2954" s="390"/>
      <c r="D2954" s="391"/>
      <c r="E2954" s="390"/>
      <c r="F2954" s="391"/>
      <c r="G2954" s="390"/>
      <c r="H2954" s="394"/>
    </row>
    <row r="2955" spans="1:8" ht="15.75" customHeight="1" x14ac:dyDescent="0.25">
      <c r="A2955" s="390" t="inlineStr">
        <is>
          <t>Dealer-004</t>
        </is>
      </c>
      <c r="B2955" s="390"/>
      <c r="C2955" s="398"/>
      <c r="D2955" s="391"/>
      <c r="E2955" s="390"/>
      <c r="F2955" s="391"/>
      <c r="G2955" s="390"/>
      <c r="H2955" s="394"/>
    </row>
    <row r="2956" spans="1:8" ht="15.75" customHeight="1" x14ac:dyDescent="0.25">
      <c r="A2956" s="390" t="inlineStr">
        <is>
          <t>Address line (redacted)</t>
        </is>
      </c>
      <c r="B2956" s="390"/>
      <c r="C2956" s="390"/>
      <c r="D2956" s="391"/>
      <c r="E2956" s="390"/>
      <c r="F2956" s="391"/>
      <c r="G2956" s="390"/>
      <c r="H2956" s="394"/>
    </row>
    <row r="2957" spans="1:8" ht="15.75" customHeight="1" x14ac:dyDescent="0.25">
      <c r="A2957" s="390" t="inlineStr">
        <is>
          <t>Address line (redacted)</t>
        </is>
      </c>
      <c r="B2957" s="390"/>
      <c r="C2957" s="390"/>
      <c r="D2957" s="391"/>
      <c r="E2957" s="390"/>
      <c r="F2957" s="391"/>
      <c r="G2957" s="390"/>
      <c r="H2957" s="394"/>
    </row>
    <row r="2958" spans="1:8" ht="15.75" customHeight="1" x14ac:dyDescent="0.25">
      <c r="A2958" s="390"/>
      <c r="B2958" s="390"/>
      <c r="C2958" s="390"/>
      <c r="D2958" s="391"/>
      <c r="E2958" s="390"/>
      <c r="F2958" s="391"/>
      <c r="G2958" s="390"/>
      <c r="H2958" s="394"/>
    </row>
    <row r="2959" spans="1:8" ht="15.75" customHeight="1" x14ac:dyDescent="0.25">
      <c r="A2959" s="390" t="s">
        <v>30</v>
      </c>
      <c r="B2959" s="390"/>
      <c r="C2959" s="390"/>
      <c r="D2959" s="391"/>
      <c r="E2959" s="390"/>
      <c r="F2959" s="391"/>
      <c r="G2959" s="390"/>
      <c r="H2959" s="394"/>
    </row>
    <row r="2960" spans="1:8" ht="15.75" customHeight="1" x14ac:dyDescent="0.25">
      <c r="A2960" s="390"/>
      <c r="B2960" s="390"/>
      <c r="C2960" s="390"/>
      <c r="D2960" s="391"/>
      <c r="E2960" s="390"/>
      <c r="F2960" s="391"/>
      <c r="G2960" s="390"/>
      <c r="H2960" s="394"/>
    </row>
    <row r="2961" spans="1:8" ht="15.75" customHeight="1" x14ac:dyDescent="0.25">
      <c r="A2961" s="390" t="s">
        <v>1322</v>
      </c>
      <c r="B2961" s="390"/>
      <c r="C2961" s="390"/>
      <c r="D2961" s="391"/>
      <c r="E2961" s="390"/>
      <c r="F2961" s="391"/>
      <c r="G2961" s="390"/>
      <c r="H2961" s="394"/>
    </row>
    <row r="2962" spans="1:8" ht="15.75" customHeight="1" x14ac:dyDescent="0.25">
      <c r="A2962" s="390" t="s">
        <v>1328</v>
      </c>
      <c r="B2962" s="390"/>
      <c r="C2962" s="390"/>
      <c r="D2962" s="391"/>
      <c r="E2962" s="390"/>
      <c r="F2962" s="391"/>
      <c r="G2962" s="390"/>
      <c r="H2962" s="394"/>
    </row>
    <row r="2963" spans="1:8" ht="15.75" customHeight="1" x14ac:dyDescent="0.25">
      <c r="A2963" s="390"/>
      <c r="B2963" s="390"/>
      <c r="C2963" s="390"/>
      <c r="D2963" s="391"/>
      <c r="E2963" s="390"/>
      <c r="F2963" s="391"/>
      <c r="G2963" s="390"/>
      <c r="H2963" s="394"/>
    </row>
    <row r="2964" spans="1:8" ht="15.75" customHeight="1" x14ac:dyDescent="0.25">
      <c r="A2964" s="399" t="s">
        <v>33</v>
      </c>
      <c r="B2964" s="400" t="s">
        <v>6</v>
      </c>
      <c r="C2964" s="400"/>
      <c r="D2964" s="401" t="s">
        <v>37</v>
      </c>
      <c r="E2964" s="402" t="s">
        <v>38</v>
      </c>
      <c r="F2964" s="403" t="s">
        <v>7</v>
      </c>
      <c r="G2964" s="404" t="s">
        <v>43</v>
      </c>
      <c r="H2964" s="405" t="s">
        <v>44</v>
      </c>
    </row>
    <row r="2965" spans="1:8" ht="15.75" customHeight="1" x14ac:dyDescent="0.25">
      <c r="A2965" s="406"/>
      <c r="B2965" s="407"/>
      <c r="C2965" s="393"/>
      <c r="D2965" s="410"/>
      <c r="E2965" s="408"/>
      <c r="F2965" s="409"/>
      <c r="G2965" s="410"/>
      <c r="H2965" s="411"/>
    </row>
    <row r="2966" spans="1:8" ht="15.75" customHeight="1" x14ac:dyDescent="0.25">
      <c r="A2966" s="577"/>
      <c r="B2966" s="624" t="s">
        <v>674</v>
      </c>
      <c r="C2966" s="625"/>
      <c r="D2966" s="578"/>
      <c r="E2966" s="578"/>
      <c r="F2966" s="578"/>
      <c r="G2966" s="578"/>
      <c r="H2966" s="580"/>
    </row>
    <row r="2967" spans="1:8" ht="15.75" customHeight="1" x14ac:dyDescent="0.25">
      <c r="A2967" s="581" t="s">
        <v>55</v>
      </c>
      <c r="B2967" s="628" t="s">
        <v>482</v>
      </c>
      <c r="C2967" s="625"/>
      <c r="D2967" s="415">
        <v>10</v>
      </c>
      <c r="E2967" s="415">
        <v>1</v>
      </c>
      <c r="F2967" s="415">
        <f t="shared" ref="F2967:F2968" si="57">+E2967*D2967</f>
      </c>
      <c r="G2967" s="415">
        <v>1</v>
      </c>
      <c r="H2967" s="416">
        <f t="shared" ref="H2967:H2968" si="58">+G2967*F2967</f>
      </c>
    </row>
    <row r="2968" spans="1:8" ht="15.75" customHeight="1" x14ac:dyDescent="0.25">
      <c r="A2968" s="581" t="s">
        <v>59</v>
      </c>
      <c r="B2968" s="628" t="s">
        <v>239</v>
      </c>
      <c r="C2968" s="625"/>
      <c r="D2968" s="415">
        <v>25</v>
      </c>
      <c r="E2968" s="415">
        <v>2</v>
      </c>
      <c r="F2968" s="415">
        <f t="shared" si="57"/>
      </c>
      <c r="G2968" s="415">
        <v>1</v>
      </c>
      <c r="H2968" s="416">
        <f t="shared" si="58"/>
      </c>
    </row>
    <row r="2969" spans="1:8" ht="15.75" customHeight="1" x14ac:dyDescent="0.25">
      <c r="A2969" s="577"/>
      <c r="B2969" s="624" t="s">
        <v>531</v>
      </c>
      <c r="C2969" s="625"/>
      <c r="D2969" s="578"/>
      <c r="E2969" s="578"/>
      <c r="F2969" s="578"/>
      <c r="G2969" s="415"/>
      <c r="H2969" s="416"/>
    </row>
    <row r="2970" spans="1:8" ht="15.75" customHeight="1" x14ac:dyDescent="0.25">
      <c r="A2970" s="581" t="s">
        <v>67</v>
      </c>
      <c r="B2970" s="628" t="s">
        <v>1342</v>
      </c>
      <c r="C2970" s="625"/>
      <c r="D2970" s="415">
        <v>5</v>
      </c>
      <c r="E2970" s="415">
        <v>10</v>
      </c>
      <c r="F2970" s="415">
        <f t="shared" ref="F2970:F2971" si="59">+E2970*D2970</f>
      </c>
      <c r="G2970" s="415">
        <v>1</v>
      </c>
      <c r="H2970" s="416">
        <f t="shared" ref="H2970:H2971" si="60">+G2970*F2970</f>
      </c>
    </row>
    <row r="2971" spans="1:8" ht="15.75" customHeight="1" x14ac:dyDescent="0.25">
      <c r="A2971" s="581" t="s">
        <v>485</v>
      </c>
      <c r="B2971" s="628" t="s">
        <v>1343</v>
      </c>
      <c r="C2971" s="625"/>
      <c r="D2971" s="415">
        <v>5</v>
      </c>
      <c r="E2971" s="415">
        <v>10</v>
      </c>
      <c r="F2971" s="415">
        <f t="shared" si="59"/>
      </c>
      <c r="G2971" s="415">
        <v>1</v>
      </c>
      <c r="H2971" s="416">
        <f t="shared" si="60"/>
      </c>
    </row>
    <row r="2972" spans="1:8" ht="15.75" customHeight="1" x14ac:dyDescent="0.25">
      <c r="A2972" s="577"/>
      <c r="B2972" s="624"/>
      <c r="C2972" s="625"/>
      <c r="D2972" s="578"/>
      <c r="E2972" s="578"/>
      <c r="F2972" s="578"/>
      <c r="G2972" s="415"/>
      <c r="H2972" s="416"/>
    </row>
    <row r="2973" spans="1:8" ht="15.75" customHeight="1" x14ac:dyDescent="0.25">
      <c r="A2973" s="583" t="s">
        <v>486</v>
      </c>
      <c r="B2973" s="584" t="s">
        <v>1102</v>
      </c>
      <c r="C2973" s="584"/>
      <c r="D2973" s="415"/>
      <c r="E2973" s="582"/>
      <c r="F2973" s="585"/>
      <c r="G2973" s="588"/>
      <c r="H2973" s="589"/>
    </row>
    <row r="2974" spans="1:8" ht="15.75" customHeight="1" x14ac:dyDescent="0.25">
      <c r="A2974" s="577"/>
      <c r="B2974" s="582" t="s">
        <v>144</v>
      </c>
      <c r="C2974" s="582" t="s">
        <v>340</v>
      </c>
      <c r="D2974" s="415">
        <v>5</v>
      </c>
      <c r="E2974" s="415">
        <v>5</v>
      </c>
      <c r="F2974" s="415">
        <f>+E2974*D2974</f>
      </c>
      <c r="G2974" s="415">
        <v>1</v>
      </c>
      <c r="H2974" s="416">
        <f>+G2974*F2974</f>
      </c>
    </row>
    <row r="2975" spans="1:8" ht="15.75" customHeight="1" x14ac:dyDescent="0.25">
      <c r="A2975" s="577"/>
      <c r="B2975" s="578"/>
      <c r="C2975" s="579"/>
      <c r="D2975" s="578"/>
      <c r="E2975" s="578"/>
      <c r="F2975" s="578"/>
      <c r="G2975" s="415"/>
      <c r="H2975" s="416"/>
    </row>
    <row r="2976" spans="1:8" ht="15.75" customHeight="1" x14ac:dyDescent="0.25">
      <c r="A2976" s="583" t="s">
        <v>489</v>
      </c>
      <c r="B2976" s="584" t="s">
        <v>1297</v>
      </c>
      <c r="C2976" s="584"/>
      <c r="D2976" s="415"/>
      <c r="E2976" s="582"/>
      <c r="F2976" s="585"/>
      <c r="G2976" s="588"/>
      <c r="H2976" s="589"/>
    </row>
    <row r="2977" spans="1:8" ht="15.75" customHeight="1" x14ac:dyDescent="0.25">
      <c r="A2977" s="587"/>
      <c r="B2977" s="418" t="s">
        <v>219</v>
      </c>
      <c r="C2977" s="585" t="s">
        <v>390</v>
      </c>
      <c r="D2977" s="588">
        <v>5</v>
      </c>
      <c r="E2977" s="415">
        <v>6</v>
      </c>
      <c r="F2977" s="588">
        <f t="shared" ref="F2977:F2978" si="61">+E2977*D2977</f>
      </c>
      <c r="G2977" s="588">
        <v>1</v>
      </c>
      <c r="H2977" s="416">
        <f t="shared" ref="H2977:H2978" si="62">+G2977*F2977</f>
      </c>
    </row>
    <row r="2978" spans="1:8" ht="15.75" customHeight="1" x14ac:dyDescent="0.25">
      <c r="A2978" s="587"/>
      <c r="B2978" s="582" t="s">
        <v>214</v>
      </c>
      <c r="C2978" s="585" t="s">
        <v>385</v>
      </c>
      <c r="D2978" s="415">
        <v>5</v>
      </c>
      <c r="E2978" s="415">
        <v>6</v>
      </c>
      <c r="F2978" s="588">
        <f t="shared" si="61"/>
      </c>
      <c r="G2978" s="588">
        <v>1</v>
      </c>
      <c r="H2978" s="416">
        <f t="shared" si="62"/>
      </c>
    </row>
    <row r="2979" spans="1:8" ht="15.75" customHeight="1" x14ac:dyDescent="0.25">
      <c r="A2979" s="587"/>
      <c r="B2979" s="582"/>
      <c r="C2979" s="585"/>
      <c r="D2979" s="415"/>
      <c r="E2979" s="415"/>
      <c r="F2979" s="588"/>
      <c r="G2979" s="588"/>
      <c r="H2979" s="589"/>
    </row>
    <row r="2980" spans="1:8" ht="15.75" customHeight="1" x14ac:dyDescent="0.25">
      <c r="A2980" s="583" t="s">
        <v>490</v>
      </c>
      <c r="B2980" s="584" t="s">
        <v>1344</v>
      </c>
      <c r="C2980" s="584"/>
      <c r="D2980" s="415"/>
      <c r="E2980" s="582"/>
      <c r="F2980" s="585"/>
      <c r="G2980" s="588"/>
      <c r="H2980" s="589"/>
    </row>
    <row r="2981" spans="1:8" ht="15.75" customHeight="1" x14ac:dyDescent="0.25">
      <c r="A2981" s="583"/>
      <c r="B2981" s="582" t="s">
        <v>1345</v>
      </c>
      <c r="C2981" s="585" t="s">
        <v>1295</v>
      </c>
      <c r="D2981" s="415">
        <v>1</v>
      </c>
      <c r="E2981" s="415">
        <v>25</v>
      </c>
      <c r="F2981" s="588">
        <f>+E2981*D2981</f>
      </c>
      <c r="G2981" s="588">
        <v>1</v>
      </c>
      <c r="H2981" s="416">
        <f>+G2981*F2981</f>
      </c>
    </row>
    <row r="2982" spans="1:8" ht="15.75" customHeight="1" x14ac:dyDescent="0.25">
      <c r="A2982" s="583"/>
      <c r="B2982" s="584"/>
      <c r="C2982" s="584"/>
      <c r="D2982" s="415"/>
      <c r="E2982" s="582"/>
      <c r="F2982" s="585"/>
      <c r="G2982" s="584"/>
      <c r="H2982" s="589"/>
    </row>
    <row r="2983" spans="1:8" ht="15.75" customHeight="1" x14ac:dyDescent="0.25">
      <c r="A2983" s="583"/>
      <c r="B2983" s="584"/>
      <c r="C2983" s="584"/>
      <c r="D2983" s="415"/>
      <c r="E2983" s="582"/>
      <c r="F2983" s="585"/>
      <c r="G2983" s="584"/>
      <c r="H2983" s="586"/>
    </row>
    <row r="2984" spans="1:8" ht="15.75" customHeight="1" x14ac:dyDescent="0.25">
      <c r="A2984" s="587"/>
      <c r="B2984" s="582"/>
      <c r="C2984" s="585"/>
      <c r="D2984" s="415"/>
      <c r="E2984" s="415"/>
      <c r="F2984" s="588"/>
      <c r="G2984" s="588"/>
      <c r="H2984" s="586"/>
    </row>
    <row r="2985" spans="1:8" ht="15.75" customHeight="1" x14ac:dyDescent="0.25">
      <c r="A2985" s="629"/>
      <c r="B2985" s="630"/>
      <c r="C2985" s="631"/>
      <c r="D2985" s="427"/>
      <c r="E2985" s="427"/>
      <c r="F2985" s="632"/>
      <c r="G2985" s="633"/>
      <c r="H2985" s="634"/>
    </row>
    <row r="2986" spans="1:8" ht="15.75" customHeight="1" x14ac:dyDescent="0.25">
      <c r="A2986" s="430"/>
      <c r="B2986" s="409"/>
      <c r="C2986" s="393"/>
      <c r="D2986" s="427"/>
      <c r="E2986" s="427"/>
      <c r="F2986" s="428"/>
      <c r="G2986" s="431"/>
      <c r="H2986" s="429"/>
    </row>
    <row r="2987" spans="1:8" ht="15.75" customHeight="1" x14ac:dyDescent="0.25">
      <c r="A2987" s="432"/>
      <c r="B2987" s="433"/>
      <c r="C2987" s="434" t="s">
        <v>85</v>
      </c>
      <c r="D2987" s="436">
        <f>SUM(D2967:D2986)</f>
      </c>
      <c r="E2987" s="436"/>
      <c r="F2987" s="436"/>
      <c r="G2987" s="437"/>
      <c r="H2987" s="623">
        <f>SUM(H2967:H2986)</f>
      </c>
    </row>
    <row r="2988" spans="1:8" ht="15.75" customHeight="1" x14ac:dyDescent="0.25">
      <c r="A2988" s="439"/>
      <c r="B2988" s="440"/>
      <c r="C2988" s="440"/>
      <c r="D2988" s="441"/>
      <c r="E2988" s="440"/>
      <c r="F2988" s="442"/>
      <c r="G2988" s="443"/>
      <c r="H2988" s="444"/>
    </row>
    <row r="2989" spans="1:8" ht="15.75" customHeight="1" x14ac:dyDescent="0.25">
      <c r="A2989" s="392"/>
      <c r="B2989" s="391"/>
      <c r="C2989" s="391"/>
      <c r="D2989" s="391"/>
      <c r="E2989" s="390"/>
      <c r="F2989" s="392"/>
      <c r="G2989" s="390"/>
      <c r="H2989" s="394"/>
    </row>
    <row r="2990" spans="1:8" ht="15.75" customHeight="1" x14ac:dyDescent="0.25">
      <c r="A2990" s="445"/>
      <c r="B2990" s="445"/>
      <c r="C2990" s="445"/>
      <c r="D2990" s="446" t="s">
        <v>97</v>
      </c>
      <c r="E2990" s="445" t="s">
        <v>98</v>
      </c>
      <c r="F2990" s="445"/>
      <c r="G2990" s="390"/>
      <c r="H2990" s="394"/>
    </row>
    <row r="2991" spans="1:8" ht="15.75" customHeight="1" x14ac:dyDescent="0.25">
      <c r="A2991" s="390"/>
      <c r="B2991" s="390"/>
      <c r="C2991" s="390"/>
      <c r="D2991" s="391"/>
      <c r="E2991" s="390"/>
      <c r="F2991" s="390"/>
      <c r="G2991" s="390"/>
      <c r="H2991" s="394"/>
    </row>
    <row r="2992" spans="1:8" ht="15.75" customHeight="1" x14ac:dyDescent="0.25">
      <c r="A2992" s="390"/>
      <c r="B2992" s="390"/>
      <c r="C2992" s="390"/>
      <c r="D2992" s="391"/>
      <c r="E2992" s="390"/>
      <c r="F2992" s="390"/>
      <c r="G2992" s="390"/>
      <c r="H2992" s="394"/>
    </row>
    <row r="2993" spans="1:8" ht="15.75" customHeight="1" x14ac:dyDescent="0.25">
      <c r="A2993" s="445"/>
      <c r="B2993" s="445"/>
      <c r="C2993" s="445"/>
      <c r="D2993" s="446"/>
      <c r="E2993" s="445" t="s">
        <v>99</v>
      </c>
      <c r="F2993" s="445"/>
      <c r="G2993" s="390"/>
      <c r="H2993" s="394"/>
    </row>
    <row r="2994" spans="1:8" ht="15.75" customHeight="1" x14ac:dyDescent="0.25">
      <c r="D2994" s="4"/>
      <c r="H2994" s="4"/>
    </row>
    <row r="2995" spans="1:8" ht="15.75" customHeight="1" x14ac:dyDescent="0.25">
      <c r="D2995" s="4"/>
      <c r="H2995" s="4"/>
    </row>
    <row r="2996" spans="1:8" ht="15.75" customHeight="1" x14ac:dyDescent="0.25">
      <c r="D2996" s="4"/>
      <c r="H2996" s="4"/>
    </row>
    <row r="2997" spans="1:8" ht="15.75" customHeight="1" x14ac:dyDescent="0.25">
      <c r="A2997" s="398" t="s">
        <v>14</v>
      </c>
      <c r="B2997" s="391"/>
      <c r="C2997" s="391"/>
      <c r="D2997" s="391"/>
      <c r="E2997" s="391"/>
      <c r="F2997" s="391"/>
      <c r="G2997" s="391"/>
      <c r="H2997" s="394"/>
    </row>
    <row r="2998" spans="1:8" ht="15.75" customHeight="1" x14ac:dyDescent="0.25">
      <c r="A2998" s="390"/>
      <c r="B2998" s="390"/>
      <c r="C2998" s="390"/>
      <c r="D2998" s="392"/>
      <c r="E2998" s="569"/>
      <c r="F2998" s="391"/>
      <c r="G2998" s="390"/>
      <c r="H2998" s="394"/>
    </row>
    <row r="2999" spans="1:8" ht="15.75" customHeight="1" x14ac:dyDescent="0.25">
      <c r="A2999" s="390"/>
      <c r="B2999" s="390"/>
      <c r="C2999" s="390"/>
      <c r="D2999" s="391"/>
      <c r="E2999" s="390"/>
      <c r="F2999" s="395" t="s">
        <v>18</v>
      </c>
      <c r="G2999" s="390" t="s">
        <v>633</v>
      </c>
      <c r="H2999" s="394"/>
    </row>
    <row r="3000" spans="1:8" ht="15.75" customHeight="1" x14ac:dyDescent="0.25">
      <c r="A3000" s="390"/>
      <c r="B3000" s="390"/>
      <c r="C3000" s="390"/>
      <c r="D3000" s="391"/>
      <c r="E3000" s="390"/>
      <c r="F3000" s="393" t="s">
        <v>21</v>
      </c>
      <c r="G3000" s="390" t="s">
        <v>1347</v>
      </c>
      <c r="H3000" s="394"/>
    </row>
    <row r="3001" spans="1:8" ht="15.75" customHeight="1" x14ac:dyDescent="0.25">
      <c r="A3001" s="390" t="s">
        <v>20</v>
      </c>
      <c r="B3001" s="390"/>
      <c r="C3001" s="390"/>
      <c r="D3001" s="391"/>
      <c r="E3001" s="390"/>
      <c r="F3001" s="391"/>
      <c r="G3001" s="390"/>
      <c r="H3001" s="394"/>
    </row>
    <row r="3002" spans="1:8" ht="15.75" customHeight="1" x14ac:dyDescent="0.25">
      <c r="A3002" s="390" t="inlineStr">
        <is>
          <t>Dealer-009</t>
        </is>
      </c>
      <c r="B3002" s="390"/>
      <c r="C3002" s="390" t="inlineStr">
        <is>
          <t>ATTN: Contact-001</t>
        </is>
      </c>
      <c r="D3002" s="391"/>
      <c r="E3002" s="390"/>
      <c r="F3002" s="391"/>
      <c r="G3002" s="390"/>
      <c r="H3002" s="394"/>
    </row>
    <row r="3003" spans="1:8" ht="15.75" customHeight="1" x14ac:dyDescent="0.25">
      <c r="A3003" s="390" t="inlineStr">
        <is>
          <t>Address line (redacted)</t>
        </is>
      </c>
      <c r="B3003" s="390"/>
      <c r="C3003" s="390"/>
      <c r="D3003" s="391"/>
      <c r="E3003" s="390"/>
      <c r="F3003" s="391"/>
      <c r="G3003" s="390"/>
      <c r="H3003" s="394"/>
    </row>
    <row r="3004" spans="1:8" ht="15.75" customHeight="1" x14ac:dyDescent="0.25">
      <c r="A3004" s="390" t="inlineStr">
        <is>
          <t>Address line (redacted)</t>
        </is>
      </c>
      <c r="B3004" s="390"/>
      <c r="C3004" s="390"/>
      <c r="D3004" s="391"/>
      <c r="E3004" s="390"/>
      <c r="F3004" s="391"/>
      <c r="G3004" s="390"/>
      <c r="H3004" s="394"/>
    </row>
    <row r="3005" spans="1:8" ht="15.75" customHeight="1" x14ac:dyDescent="0.25">
      <c r="A3005" s="390"/>
      <c r="B3005" s="390"/>
      <c r="C3005" s="390"/>
      <c r="D3005" s="391"/>
      <c r="E3005" s="390"/>
      <c r="F3005" s="391"/>
      <c r="G3005" s="390"/>
      <c r="H3005" s="394"/>
    </row>
    <row r="3006" spans="1:8" ht="15.75" customHeight="1" x14ac:dyDescent="0.25">
      <c r="A3006" s="390" t="s">
        <v>30</v>
      </c>
      <c r="B3006" s="390"/>
      <c r="C3006" s="390"/>
      <c r="D3006" s="391"/>
      <c r="E3006" s="390"/>
      <c r="F3006" s="391"/>
      <c r="G3006" s="390"/>
      <c r="H3006" s="394"/>
    </row>
    <row r="3007" spans="1:8" ht="15.75" customHeight="1" x14ac:dyDescent="0.25">
      <c r="A3007" s="390"/>
      <c r="B3007" s="390"/>
      <c r="C3007" s="390"/>
      <c r="D3007" s="391"/>
      <c r="E3007" s="390"/>
      <c r="F3007" s="391"/>
      <c r="G3007" s="390"/>
      <c r="H3007" s="394"/>
    </row>
    <row r="3008" spans="1:8" ht="15.75" customHeight="1" x14ac:dyDescent="0.25">
      <c r="A3008" s="390" t="s">
        <v>1322</v>
      </c>
      <c r="B3008" s="390"/>
      <c r="C3008" s="390"/>
      <c r="D3008" s="391"/>
      <c r="E3008" s="390"/>
      <c r="F3008" s="391"/>
      <c r="G3008" s="390"/>
      <c r="H3008" s="394"/>
    </row>
    <row r="3009" spans="1:8" ht="15.75" customHeight="1" x14ac:dyDescent="0.25">
      <c r="A3009" s="390" t="s">
        <v>1328</v>
      </c>
      <c r="B3009" s="390"/>
      <c r="C3009" s="390"/>
      <c r="D3009" s="391"/>
      <c r="E3009" s="390"/>
      <c r="F3009" s="391"/>
      <c r="G3009" s="390"/>
      <c r="H3009" s="394"/>
    </row>
    <row r="3010" spans="1:8" ht="15.75" customHeight="1" x14ac:dyDescent="0.25">
      <c r="A3010" s="390"/>
      <c r="B3010" s="390"/>
      <c r="C3010" s="390"/>
      <c r="D3010" s="391"/>
      <c r="E3010" s="390"/>
      <c r="F3010" s="391"/>
      <c r="G3010" s="390"/>
      <c r="H3010" s="394"/>
    </row>
    <row r="3011" spans="1:8" ht="15.75" customHeight="1" x14ac:dyDescent="0.25">
      <c r="A3011" s="399" t="s">
        <v>33</v>
      </c>
      <c r="B3011" s="400" t="s">
        <v>6</v>
      </c>
      <c r="C3011" s="400"/>
      <c r="D3011" s="401" t="s">
        <v>37</v>
      </c>
      <c r="E3011" s="402" t="s">
        <v>38</v>
      </c>
      <c r="F3011" s="403" t="s">
        <v>7</v>
      </c>
      <c r="G3011" s="404" t="s">
        <v>43</v>
      </c>
      <c r="H3011" s="405" t="s">
        <v>44</v>
      </c>
    </row>
    <row r="3012" spans="1:8" ht="15.75" customHeight="1" x14ac:dyDescent="0.25">
      <c r="A3012" s="406"/>
      <c r="B3012" s="407"/>
      <c r="C3012" s="393"/>
      <c r="D3012" s="410"/>
      <c r="E3012" s="408"/>
      <c r="F3012" s="409"/>
      <c r="G3012" s="410"/>
      <c r="H3012" s="411"/>
    </row>
    <row r="3013" spans="1:8" ht="15.75" customHeight="1" x14ac:dyDescent="0.25">
      <c r="A3013" s="581" t="s">
        <v>55</v>
      </c>
      <c r="B3013" s="582" t="s">
        <v>1289</v>
      </c>
      <c r="C3013" s="582" t="s">
        <v>419</v>
      </c>
      <c r="D3013" s="415">
        <v>2</v>
      </c>
      <c r="E3013" s="415">
        <v>200</v>
      </c>
      <c r="F3013" s="415">
        <f t="shared" ref="F3013:F3017" si="63">+E3013*D3013</f>
      </c>
      <c r="G3013" s="415">
        <v>1</v>
      </c>
      <c r="H3013" s="416">
        <f t="shared" ref="H3013:H3019" si="64">+G3013*F3013</f>
      </c>
    </row>
    <row r="3014" spans="1:8" ht="15.75" customHeight="1" x14ac:dyDescent="0.25">
      <c r="A3014" s="581" t="s">
        <v>59</v>
      </c>
      <c r="B3014" s="582" t="s">
        <v>1293</v>
      </c>
      <c r="C3014" s="582"/>
      <c r="D3014" s="415">
        <v>3</v>
      </c>
      <c r="E3014" s="415">
        <v>100</v>
      </c>
      <c r="F3014" s="415">
        <f t="shared" si="63"/>
      </c>
      <c r="G3014" s="415">
        <v>1</v>
      </c>
      <c r="H3014" s="416">
        <f t="shared" si="64"/>
      </c>
    </row>
    <row r="3015" spans="1:8" ht="15.75" customHeight="1" x14ac:dyDescent="0.25">
      <c r="A3015" s="581" t="s">
        <v>67</v>
      </c>
      <c r="B3015" s="582" t="s">
        <v>1294</v>
      </c>
      <c r="C3015" s="582" t="s">
        <v>1295</v>
      </c>
      <c r="D3015" s="415">
        <v>1</v>
      </c>
      <c r="E3015" s="415">
        <v>25</v>
      </c>
      <c r="F3015" s="415">
        <f t="shared" si="63"/>
      </c>
      <c r="G3015" s="415">
        <v>1</v>
      </c>
      <c r="H3015" s="416">
        <f t="shared" si="64"/>
      </c>
    </row>
    <row r="3016" spans="1:8" ht="15.75" customHeight="1" x14ac:dyDescent="0.25">
      <c r="A3016" s="581" t="s">
        <v>485</v>
      </c>
      <c r="B3016" s="582" t="s">
        <v>1296</v>
      </c>
      <c r="C3016" s="582"/>
      <c r="D3016" s="415">
        <v>10</v>
      </c>
      <c r="E3016" s="415">
        <v>2</v>
      </c>
      <c r="F3016" s="415">
        <f t="shared" si="63"/>
      </c>
      <c r="G3016" s="415">
        <v>1</v>
      </c>
      <c r="H3016" s="416">
        <f t="shared" si="64"/>
      </c>
    </row>
    <row r="3017" spans="1:8" ht="15.75" customHeight="1" x14ac:dyDescent="0.25">
      <c r="A3017" s="581" t="s">
        <v>486</v>
      </c>
      <c r="B3017" s="582" t="s">
        <v>1331</v>
      </c>
      <c r="C3017" s="582"/>
      <c r="D3017" s="592">
        <v>1</v>
      </c>
      <c r="E3017" s="415">
        <v>250</v>
      </c>
      <c r="F3017" s="415">
        <f t="shared" si="63"/>
      </c>
      <c r="G3017" s="415">
        <v>1</v>
      </c>
      <c r="H3017" s="416">
        <f t="shared" si="64"/>
      </c>
    </row>
    <row r="3018" spans="1:8" ht="15.75" customHeight="1" x14ac:dyDescent="0.25">
      <c r="A3018" s="581" t="s">
        <v>489</v>
      </c>
      <c r="B3018" s="582" t="s">
        <v>1332</v>
      </c>
      <c r="C3018" s="582"/>
      <c r="D3018" s="626"/>
      <c r="E3018" s="415">
        <v>250</v>
      </c>
      <c r="F3018" s="415">
        <v>250</v>
      </c>
      <c r="G3018" s="415">
        <v>1</v>
      </c>
      <c r="H3018" s="416">
        <f t="shared" si="64"/>
      </c>
    </row>
    <row r="3019" spans="1:8" ht="15.75" customHeight="1" x14ac:dyDescent="0.25">
      <c r="A3019" s="581" t="s">
        <v>490</v>
      </c>
      <c r="B3019" s="582" t="s">
        <v>1348</v>
      </c>
      <c r="C3019" s="582" t="s">
        <v>340</v>
      </c>
      <c r="D3019" s="415">
        <f>40/5</f>
      </c>
      <c r="E3019" s="415">
        <v>5</v>
      </c>
      <c r="F3019" s="415">
        <f>+E3019*D3019</f>
      </c>
      <c r="G3019" s="415">
        <v>1</v>
      </c>
      <c r="H3019" s="416">
        <f t="shared" si="64"/>
      </c>
    </row>
    <row r="3020" spans="1:8" ht="15.75" customHeight="1" x14ac:dyDescent="0.25">
      <c r="A3020" s="583" t="s">
        <v>781</v>
      </c>
      <c r="B3020" s="584" t="s">
        <v>1297</v>
      </c>
      <c r="C3020" s="584"/>
      <c r="D3020" s="415"/>
      <c r="E3020" s="582"/>
      <c r="F3020" s="585"/>
      <c r="G3020" s="584"/>
      <c r="H3020" s="586"/>
    </row>
    <row r="3021" spans="1:8" ht="15.75" customHeight="1" x14ac:dyDescent="0.25">
      <c r="A3021" s="583"/>
      <c r="B3021" s="585" t="s">
        <v>188</v>
      </c>
      <c r="C3021" s="585" t="s">
        <v>359</v>
      </c>
      <c r="D3021" s="415">
        <v>4</v>
      </c>
      <c r="E3021" s="415">
        <v>6</v>
      </c>
      <c r="F3021" s="588">
        <f t="shared" ref="F3021:F3028" si="65">+E3021*D3021</f>
      </c>
      <c r="G3021" s="588">
        <v>1</v>
      </c>
      <c r="H3021" s="416">
        <f t="shared" ref="H3021:H3028" si="66">+G3021*F3021</f>
      </c>
    </row>
    <row r="3022" spans="1:8" ht="15.75" customHeight="1" x14ac:dyDescent="0.25">
      <c r="A3022" s="587"/>
      <c r="B3022" s="418" t="s">
        <v>1298</v>
      </c>
      <c r="C3022" s="585" t="s">
        <v>393</v>
      </c>
      <c r="D3022" s="588">
        <v>1</v>
      </c>
      <c r="E3022" s="415">
        <v>6</v>
      </c>
      <c r="F3022" s="588">
        <f t="shared" si="65"/>
      </c>
      <c r="G3022" s="588">
        <v>1</v>
      </c>
      <c r="H3022" s="416">
        <f t="shared" si="66"/>
      </c>
    </row>
    <row r="3023" spans="1:8" ht="15.75" customHeight="1" x14ac:dyDescent="0.25">
      <c r="A3023" s="587"/>
      <c r="B3023" s="585" t="s">
        <v>203</v>
      </c>
      <c r="C3023" s="585" t="s">
        <v>1349</v>
      </c>
      <c r="D3023" s="588">
        <v>1</v>
      </c>
      <c r="E3023" s="415">
        <v>6</v>
      </c>
      <c r="F3023" s="588">
        <f t="shared" si="65"/>
      </c>
      <c r="G3023" s="588">
        <v>1</v>
      </c>
      <c r="H3023" s="416">
        <f t="shared" si="66"/>
      </c>
    </row>
    <row r="3024" spans="1:8" ht="15.75" customHeight="1" x14ac:dyDescent="0.25">
      <c r="A3024" s="587"/>
      <c r="B3024" s="418" t="s">
        <v>198</v>
      </c>
      <c r="C3024" s="582" t="s">
        <v>368</v>
      </c>
      <c r="D3024" s="415">
        <v>4</v>
      </c>
      <c r="E3024" s="415">
        <v>6</v>
      </c>
      <c r="F3024" s="588">
        <f t="shared" si="65"/>
      </c>
      <c r="G3024" s="588">
        <v>1</v>
      </c>
      <c r="H3024" s="416">
        <f t="shared" si="66"/>
      </c>
    </row>
    <row r="3025" spans="1:8" ht="15.75" customHeight="1" x14ac:dyDescent="0.25">
      <c r="A3025" s="587"/>
      <c r="B3025" s="590" t="s">
        <v>63</v>
      </c>
      <c r="C3025" s="585" t="s">
        <v>371</v>
      </c>
      <c r="D3025" s="415">
        <v>4</v>
      </c>
      <c r="E3025" s="415">
        <v>6</v>
      </c>
      <c r="F3025" s="588">
        <f t="shared" si="65"/>
      </c>
      <c r="G3025" s="588">
        <v>1</v>
      </c>
      <c r="H3025" s="416">
        <f t="shared" si="66"/>
      </c>
    </row>
    <row r="3026" spans="1:8" ht="15.75" customHeight="1" x14ac:dyDescent="0.25">
      <c r="A3026" s="587"/>
      <c r="B3026" s="418" t="s">
        <v>206</v>
      </c>
      <c r="C3026" s="585" t="s">
        <v>377</v>
      </c>
      <c r="D3026" s="415">
        <v>1</v>
      </c>
      <c r="E3026" s="415">
        <v>6</v>
      </c>
      <c r="F3026" s="588">
        <f t="shared" si="65"/>
      </c>
      <c r="G3026" s="588">
        <v>1</v>
      </c>
      <c r="H3026" s="416">
        <f t="shared" si="66"/>
      </c>
    </row>
    <row r="3027" spans="1:8" ht="15.75" customHeight="1" x14ac:dyDescent="0.25">
      <c r="A3027" s="587"/>
      <c r="B3027" s="418" t="s">
        <v>207</v>
      </c>
      <c r="C3027" s="585" t="s">
        <v>378</v>
      </c>
      <c r="D3027" s="415">
        <v>3</v>
      </c>
      <c r="E3027" s="415">
        <v>6</v>
      </c>
      <c r="F3027" s="588">
        <f t="shared" si="65"/>
      </c>
      <c r="G3027" s="588">
        <v>1</v>
      </c>
      <c r="H3027" s="416">
        <f t="shared" si="66"/>
      </c>
    </row>
    <row r="3028" spans="1:8" ht="15.75" customHeight="1" x14ac:dyDescent="0.25">
      <c r="A3028" s="587"/>
      <c r="B3028" s="591" t="s">
        <v>208</v>
      </c>
      <c r="C3028" s="585" t="s">
        <v>379</v>
      </c>
      <c r="D3028" s="592">
        <v>3</v>
      </c>
      <c r="E3028" s="593">
        <v>6</v>
      </c>
      <c r="F3028" s="592">
        <f t="shared" si="65"/>
      </c>
      <c r="G3028" s="592">
        <v>1</v>
      </c>
      <c r="H3028" s="416">
        <f t="shared" si="66"/>
      </c>
    </row>
    <row r="3029" spans="1:8" ht="15.75" customHeight="1" x14ac:dyDescent="0.25">
      <c r="A3029" s="594"/>
      <c r="B3029" s="595" t="s">
        <v>1303</v>
      </c>
      <c r="C3029" s="596" t="s">
        <v>85</v>
      </c>
      <c r="D3029" s="597">
        <f>SUM(D3013:D3028)</f>
      </c>
      <c r="E3029" s="598"/>
      <c r="F3029" s="597"/>
      <c r="G3029" s="599"/>
      <c r="H3029" s="438"/>
    </row>
    <row r="3030" spans="1:8" ht="15.75" customHeight="1" x14ac:dyDescent="0.25">
      <c r="A3030" s="600"/>
      <c r="B3030" s="601"/>
      <c r="C3030" s="602"/>
      <c r="D3030" s="603"/>
      <c r="E3030" s="603"/>
      <c r="F3030" s="603"/>
      <c r="G3030" s="604"/>
      <c r="H3030" s="444"/>
    </row>
    <row r="3031" spans="1:8" ht="15.75" customHeight="1" x14ac:dyDescent="0.25">
      <c r="A3031" s="393"/>
      <c r="B3031" s="393"/>
      <c r="C3031" s="605"/>
      <c r="D3031" s="398"/>
      <c r="E3031" s="398"/>
      <c r="F3031" s="398"/>
      <c r="G3031" s="606"/>
      <c r="H3031" s="394"/>
    </row>
    <row r="3032" spans="1:8" ht="15.75" customHeight="1" x14ac:dyDescent="0.25">
      <c r="A3032" s="393"/>
      <c r="B3032" s="393"/>
      <c r="C3032" s="605"/>
      <c r="D3032" s="398"/>
      <c r="E3032" s="398"/>
      <c r="F3032" s="398"/>
      <c r="G3032" s="606"/>
      <c r="H3032" s="394"/>
    </row>
    <row r="3033" spans="1:8" ht="15.75" customHeight="1" x14ac:dyDescent="0.25">
      <c r="A3033" s="393"/>
      <c r="B3033" s="393"/>
      <c r="C3033" s="605"/>
      <c r="D3033" s="398"/>
      <c r="E3033" s="398"/>
      <c r="F3033" s="398"/>
      <c r="G3033" s="606"/>
      <c r="H3033" s="394"/>
    </row>
    <row r="3034" spans="1:8" ht="15.75" customHeight="1" x14ac:dyDescent="0.25">
      <c r="A3034" s="393"/>
      <c r="B3034" s="393"/>
      <c r="C3034" s="605"/>
      <c r="D3034" s="398"/>
      <c r="E3034" s="398"/>
      <c r="F3034" s="398"/>
      <c r="G3034" s="606"/>
      <c r="H3034" s="394"/>
    </row>
    <row r="3035" spans="1:8" ht="15.75" customHeight="1" x14ac:dyDescent="0.25">
      <c r="A3035" s="393"/>
      <c r="B3035" s="393"/>
      <c r="C3035" s="605"/>
      <c r="D3035" s="398"/>
      <c r="E3035" s="398"/>
      <c r="F3035" s="398"/>
      <c r="G3035" s="606"/>
      <c r="H3035" s="394"/>
    </row>
    <row r="3036" spans="1:8" ht="15.75" customHeight="1" x14ac:dyDescent="0.25">
      <c r="A3036" s="393"/>
      <c r="B3036" s="393"/>
      <c r="C3036" s="605"/>
      <c r="D3036" s="398"/>
      <c r="E3036" s="398"/>
      <c r="F3036" s="398"/>
      <c r="G3036" s="606"/>
      <c r="H3036" s="394"/>
    </row>
    <row r="3037" spans="1:8" ht="15.75" customHeight="1" x14ac:dyDescent="0.25">
      <c r="A3037" s="393"/>
      <c r="B3037" s="393"/>
      <c r="C3037" s="605"/>
      <c r="D3037" s="398"/>
      <c r="E3037" s="398"/>
      <c r="F3037" s="398"/>
      <c r="G3037" s="606"/>
      <c r="H3037" s="394"/>
    </row>
    <row r="3038" spans="1:8" ht="15.75" customHeight="1" x14ac:dyDescent="0.25">
      <c r="A3038" s="393"/>
      <c r="B3038" s="393"/>
      <c r="C3038" s="605"/>
      <c r="D3038" s="398"/>
      <c r="E3038" s="398"/>
      <c r="F3038" s="398"/>
      <c r="G3038" s="606"/>
      <c r="H3038" s="394"/>
    </row>
    <row r="3039" spans="1:8" ht="15.75" customHeight="1" x14ac:dyDescent="0.25">
      <c r="A3039" s="393"/>
      <c r="B3039" s="393"/>
      <c r="C3039" s="605"/>
      <c r="D3039" s="398"/>
      <c r="E3039" s="398"/>
      <c r="F3039" s="398"/>
      <c r="G3039" s="606"/>
      <c r="H3039" s="394"/>
    </row>
    <row r="3040" spans="1:8" ht="15.75" customHeight="1" x14ac:dyDescent="0.25">
      <c r="A3040" s="393"/>
      <c r="B3040" s="393"/>
      <c r="C3040" s="605"/>
      <c r="D3040" s="398"/>
      <c r="E3040" s="398"/>
      <c r="F3040" s="398"/>
      <c r="G3040" s="606"/>
      <c r="H3040" s="394"/>
    </row>
    <row r="3041" spans="1:8" ht="15.75" customHeight="1" x14ac:dyDescent="0.25">
      <c r="A3041" s="393"/>
      <c r="B3041" s="393"/>
      <c r="C3041" s="605"/>
      <c r="D3041" s="398"/>
      <c r="E3041" s="398"/>
      <c r="F3041" s="398"/>
      <c r="G3041" s="606"/>
      <c r="H3041" s="394"/>
    </row>
    <row r="3042" spans="1:8" ht="15.75" customHeight="1" x14ac:dyDescent="0.25">
      <c r="A3042" s="393"/>
      <c r="B3042" s="393"/>
      <c r="C3042" s="605"/>
      <c r="D3042" s="398"/>
      <c r="E3042" s="398"/>
      <c r="F3042" s="398"/>
      <c r="G3042" s="606"/>
      <c r="H3042" s="394"/>
    </row>
    <row r="3043" spans="1:8" ht="15.75" customHeight="1" x14ac:dyDescent="0.25">
      <c r="A3043" s="392" t="s">
        <v>14</v>
      </c>
      <c r="B3043" s="391"/>
      <c r="C3043" s="391"/>
      <c r="D3043" s="391"/>
      <c r="E3043" s="391"/>
      <c r="F3043" s="391"/>
      <c r="G3043" s="391"/>
      <c r="H3043" s="394"/>
    </row>
    <row r="3044" spans="1:8" ht="15.75" customHeight="1" x14ac:dyDescent="0.25">
      <c r="A3044" s="392"/>
      <c r="B3044" s="391"/>
      <c r="C3044" s="391"/>
      <c r="D3044" s="391"/>
      <c r="E3044" s="390"/>
      <c r="F3044" s="392"/>
      <c r="G3044" s="390"/>
      <c r="H3044" s="394"/>
    </row>
    <row r="3045" spans="1:8" ht="15.75" customHeight="1" x14ac:dyDescent="0.25">
      <c r="A3045" s="392"/>
      <c r="B3045" s="391"/>
      <c r="C3045" s="391"/>
      <c r="D3045" s="391"/>
      <c r="E3045" s="390"/>
      <c r="F3045" s="392"/>
      <c r="G3045" s="390"/>
      <c r="H3045" s="394"/>
    </row>
    <row r="3046" spans="1:8" ht="15.75" customHeight="1" x14ac:dyDescent="0.25">
      <c r="A3046" s="390" t="s">
        <v>20</v>
      </c>
      <c r="B3046" s="390"/>
      <c r="C3046" s="390"/>
      <c r="D3046" s="391"/>
      <c r="E3046" s="390"/>
      <c r="F3046" s="392"/>
      <c r="G3046" s="390"/>
      <c r="H3046" s="394"/>
    </row>
    <row r="3047" spans="1:8" ht="15.75" customHeight="1" x14ac:dyDescent="0.25">
      <c r="A3047" s="390" t="inlineStr">
        <is>
          <t>Dealer-009</t>
        </is>
      </c>
      <c r="B3047" s="390"/>
      <c r="C3047" s="390" t="inlineStr">
        <is>
          <t>ATTN: Contact-001</t>
        </is>
      </c>
      <c r="D3047" s="391"/>
      <c r="E3047" s="390"/>
      <c r="F3047" s="395" t="s">
        <v>18</v>
      </c>
      <c r="G3047" s="390" t="s">
        <v>633</v>
      </c>
      <c r="H3047" s="394"/>
    </row>
    <row r="3048" spans="1:8" ht="15.75" customHeight="1" x14ac:dyDescent="0.25">
      <c r="A3048" s="390" t="inlineStr">
        <is>
          <t>Address line (redacted)</t>
        </is>
      </c>
      <c r="B3048" s="390"/>
      <c r="C3048" s="390"/>
      <c r="D3048" s="391"/>
      <c r="E3048" s="390"/>
      <c r="F3048" s="393" t="s">
        <v>21</v>
      </c>
      <c r="G3048" s="390" t="s">
        <v>1347</v>
      </c>
      <c r="H3048" s="394"/>
    </row>
    <row r="3049" spans="1:8" ht="15.75" customHeight="1" x14ac:dyDescent="0.25">
      <c r="A3049" s="390" t="inlineStr">
        <is>
          <t>Address line (redacted)</t>
        </is>
      </c>
      <c r="B3049" s="390"/>
      <c r="C3049" s="390"/>
      <c r="D3049" s="391"/>
      <c r="E3049" s="390"/>
      <c r="F3049" s="391"/>
      <c r="G3049" s="390"/>
      <c r="H3049" s="394"/>
    </row>
    <row r="3050" spans="1:8" ht="15.75" customHeight="1" x14ac:dyDescent="0.25">
      <c r="A3050" s="390"/>
      <c r="B3050" s="390"/>
      <c r="C3050" s="607" t="s">
        <v>1308</v>
      </c>
      <c r="D3050" s="391"/>
      <c r="E3050" s="390"/>
      <c r="F3050" s="391"/>
      <c r="G3050" s="390"/>
      <c r="H3050" s="394"/>
    </row>
    <row r="3051" spans="1:8" ht="15.75" customHeight="1" x14ac:dyDescent="0.25">
      <c r="A3051" s="390"/>
      <c r="B3051" s="390"/>
      <c r="C3051" s="390"/>
      <c r="D3051" s="391"/>
      <c r="E3051" s="390"/>
      <c r="F3051" s="391"/>
      <c r="G3051" s="390"/>
      <c r="H3051" s="394"/>
    </row>
    <row r="3052" spans="1:8" ht="15.75" customHeight="1" x14ac:dyDescent="0.25">
      <c r="A3052" s="390" t="s">
        <v>30</v>
      </c>
      <c r="B3052" s="390"/>
      <c r="C3052" s="390"/>
      <c r="D3052" s="391"/>
      <c r="E3052" s="390"/>
      <c r="F3052" s="391"/>
      <c r="G3052" s="390"/>
      <c r="H3052" s="394"/>
    </row>
    <row r="3053" spans="1:8" ht="15.75" customHeight="1" x14ac:dyDescent="0.25">
      <c r="A3053" s="390"/>
      <c r="B3053" s="390"/>
      <c r="C3053" s="390"/>
      <c r="D3053" s="391"/>
      <c r="E3053" s="390"/>
      <c r="F3053" s="391"/>
      <c r="G3053" s="390"/>
      <c r="H3053" s="394"/>
    </row>
    <row r="3054" spans="1:8" ht="15.75" customHeight="1" x14ac:dyDescent="0.25">
      <c r="A3054" s="390" t="s">
        <v>1322</v>
      </c>
      <c r="B3054" s="390"/>
      <c r="C3054" s="390"/>
      <c r="D3054" s="391"/>
      <c r="E3054" s="390"/>
      <c r="F3054" s="391"/>
      <c r="G3054" s="390"/>
      <c r="H3054" s="394"/>
    </row>
    <row r="3055" spans="1:8" ht="15.75" customHeight="1" x14ac:dyDescent="0.25">
      <c r="A3055" s="390" t="s">
        <v>1328</v>
      </c>
      <c r="B3055" s="390"/>
      <c r="C3055" s="390"/>
      <c r="D3055" s="391"/>
      <c r="E3055" s="390"/>
      <c r="F3055" s="391"/>
      <c r="G3055" s="390"/>
      <c r="H3055" s="394"/>
    </row>
    <row r="3056" spans="1:8" ht="15.75" customHeight="1" x14ac:dyDescent="0.25">
      <c r="A3056" s="390"/>
      <c r="B3056" s="390"/>
      <c r="C3056" s="390"/>
      <c r="D3056" s="391"/>
      <c r="E3056" s="390"/>
      <c r="F3056" s="391"/>
      <c r="G3056" s="390"/>
      <c r="H3056" s="394"/>
    </row>
    <row r="3057" spans="1:8" ht="15.75" customHeight="1" x14ac:dyDescent="0.25">
      <c r="A3057" s="399" t="s">
        <v>33</v>
      </c>
      <c r="B3057" s="400" t="s">
        <v>6</v>
      </c>
      <c r="C3057" s="400"/>
      <c r="D3057" s="401" t="s">
        <v>37</v>
      </c>
      <c r="E3057" s="402" t="s">
        <v>1309</v>
      </c>
      <c r="F3057" s="609" t="s">
        <v>7</v>
      </c>
      <c r="G3057" s="400" t="s">
        <v>43</v>
      </c>
      <c r="H3057" s="405" t="s">
        <v>44</v>
      </c>
    </row>
    <row r="3058" spans="1:8" ht="15.75" customHeight="1" x14ac:dyDescent="0.25">
      <c r="A3058" s="610"/>
      <c r="B3058" s="611"/>
      <c r="C3058" s="611"/>
      <c r="D3058" s="612"/>
      <c r="E3058" s="613"/>
      <c r="F3058" s="614"/>
      <c r="G3058" s="611"/>
      <c r="H3058" s="615"/>
    </row>
    <row r="3059" spans="1:8" ht="15.75" customHeight="1" x14ac:dyDescent="0.25">
      <c r="A3059" s="583"/>
      <c r="B3059" s="584" t="s">
        <v>1297</v>
      </c>
      <c r="C3059" s="584"/>
      <c r="D3059" s="578"/>
      <c r="E3059" s="579"/>
      <c r="F3059" s="616"/>
      <c r="G3059" s="584"/>
      <c r="H3059" s="586"/>
    </row>
    <row r="3060" spans="1:8" ht="15.75" customHeight="1" x14ac:dyDescent="0.25">
      <c r="A3060" s="587"/>
      <c r="B3060" s="418" t="s">
        <v>210</v>
      </c>
      <c r="C3060" s="585" t="s">
        <v>382</v>
      </c>
      <c r="D3060" s="415">
        <v>3</v>
      </c>
      <c r="E3060" s="415">
        <v>6</v>
      </c>
      <c r="F3060" s="588">
        <f t="shared" ref="F3060:F3065" si="67">+E3060*D3060</f>
      </c>
      <c r="G3060" s="588">
        <v>1</v>
      </c>
      <c r="H3060" s="589">
        <f t="shared" ref="H3060:H3070" si="68">+G3060*F3060</f>
      </c>
    </row>
    <row r="3061" spans="1:8" ht="15.75" customHeight="1" x14ac:dyDescent="0.25">
      <c r="A3061" s="587"/>
      <c r="B3061" s="418" t="s">
        <v>213</v>
      </c>
      <c r="C3061" s="585" t="s">
        <v>384</v>
      </c>
      <c r="D3061" s="588">
        <v>2</v>
      </c>
      <c r="E3061" s="415">
        <v>6</v>
      </c>
      <c r="F3061" s="588">
        <f t="shared" si="67"/>
      </c>
      <c r="G3061" s="588">
        <v>1</v>
      </c>
      <c r="H3061" s="589">
        <f t="shared" si="68"/>
      </c>
    </row>
    <row r="3062" spans="1:8" ht="15.75" customHeight="1" x14ac:dyDescent="0.25">
      <c r="A3062" s="587"/>
      <c r="B3062" s="418" t="s">
        <v>214</v>
      </c>
      <c r="C3062" s="585" t="s">
        <v>385</v>
      </c>
      <c r="D3062" s="415">
        <v>1</v>
      </c>
      <c r="E3062" s="415">
        <v>6</v>
      </c>
      <c r="F3062" s="588">
        <f t="shared" si="67"/>
      </c>
      <c r="G3062" s="588">
        <v>1</v>
      </c>
      <c r="H3062" s="589">
        <f t="shared" si="68"/>
      </c>
    </row>
    <row r="3063" spans="1:8" ht="15.75" customHeight="1" x14ac:dyDescent="0.25">
      <c r="A3063" s="587"/>
      <c r="B3063" s="418" t="s">
        <v>1314</v>
      </c>
      <c r="C3063" s="585" t="s">
        <v>387</v>
      </c>
      <c r="D3063" s="415">
        <v>5</v>
      </c>
      <c r="E3063" s="415">
        <v>6</v>
      </c>
      <c r="F3063" s="588">
        <f t="shared" si="67"/>
      </c>
      <c r="G3063" s="588">
        <v>1</v>
      </c>
      <c r="H3063" s="589">
        <f t="shared" si="68"/>
      </c>
    </row>
    <row r="3064" spans="1:8" ht="15.75" customHeight="1" x14ac:dyDescent="0.25">
      <c r="A3064" s="587"/>
      <c r="B3064" s="418" t="s">
        <v>217</v>
      </c>
      <c r="C3064" s="585" t="s">
        <v>388</v>
      </c>
      <c r="D3064" s="588">
        <v>4</v>
      </c>
      <c r="E3064" s="415">
        <v>6</v>
      </c>
      <c r="F3064" s="588">
        <f t="shared" si="67"/>
      </c>
      <c r="G3064" s="588">
        <v>1</v>
      </c>
      <c r="H3064" s="589">
        <f t="shared" si="68"/>
      </c>
    </row>
    <row r="3065" spans="1:8" ht="15.75" customHeight="1" x14ac:dyDescent="0.25">
      <c r="A3065" s="587"/>
      <c r="B3065" s="418" t="s">
        <v>219</v>
      </c>
      <c r="C3065" s="585" t="s">
        <v>390</v>
      </c>
      <c r="D3065" s="588">
        <v>2</v>
      </c>
      <c r="E3065" s="415">
        <v>6</v>
      </c>
      <c r="F3065" s="588">
        <f t="shared" si="67"/>
      </c>
      <c r="G3065" s="588">
        <v>1</v>
      </c>
      <c r="H3065" s="589">
        <f t="shared" si="68"/>
      </c>
    </row>
    <row r="3066" spans="1:8" ht="15.75" customHeight="1" x14ac:dyDescent="0.25">
      <c r="A3066" s="583"/>
      <c r="B3066" s="591" t="s">
        <v>1317</v>
      </c>
      <c r="C3066" s="585" t="s">
        <v>396</v>
      </c>
      <c r="D3066" s="415">
        <v>3</v>
      </c>
      <c r="E3066" s="415">
        <v>8</v>
      </c>
      <c r="F3066" s="588">
        <v>24</v>
      </c>
      <c r="G3066" s="588">
        <v>1</v>
      </c>
      <c r="H3066" s="589">
        <f t="shared" si="68"/>
      </c>
    </row>
    <row r="3067" spans="1:8" ht="15.75" customHeight="1" x14ac:dyDescent="0.25">
      <c r="A3067" s="587"/>
      <c r="B3067" s="418" t="s">
        <v>228</v>
      </c>
      <c r="C3067" s="582" t="s">
        <v>398</v>
      </c>
      <c r="D3067" s="415">
        <v>4</v>
      </c>
      <c r="E3067" s="415">
        <v>6</v>
      </c>
      <c r="F3067" s="588">
        <f t="shared" ref="F3067:F3068" si="69">+E3067*D3067</f>
      </c>
      <c r="G3067" s="588">
        <v>1</v>
      </c>
      <c r="H3067" s="589">
        <f t="shared" si="68"/>
      </c>
    </row>
    <row r="3068" spans="1:8" ht="15.75" customHeight="1" x14ac:dyDescent="0.25">
      <c r="A3068" s="587"/>
      <c r="B3068" s="418" t="s">
        <v>231</v>
      </c>
      <c r="C3068" s="585" t="s">
        <v>400</v>
      </c>
      <c r="D3068" s="415">
        <v>4</v>
      </c>
      <c r="E3068" s="415">
        <v>6</v>
      </c>
      <c r="F3068" s="588">
        <f t="shared" si="69"/>
      </c>
      <c r="G3068" s="588">
        <v>1</v>
      </c>
      <c r="H3068" s="589">
        <f t="shared" si="68"/>
      </c>
    </row>
    <row r="3069" spans="1:8" ht="15.75" customHeight="1" x14ac:dyDescent="0.25">
      <c r="A3069" s="587"/>
      <c r="B3069" s="418" t="s">
        <v>231</v>
      </c>
      <c r="C3069" s="585" t="s">
        <v>400</v>
      </c>
      <c r="D3069" s="415">
        <v>1</v>
      </c>
      <c r="E3069" s="415">
        <v>4</v>
      </c>
      <c r="F3069" s="588">
        <v>3</v>
      </c>
      <c r="G3069" s="588">
        <v>1</v>
      </c>
      <c r="H3069" s="589">
        <f t="shared" si="68"/>
      </c>
    </row>
    <row r="3070" spans="1:8" ht="15.75" customHeight="1" x14ac:dyDescent="0.25">
      <c r="A3070" s="581"/>
      <c r="B3070" s="582" t="s">
        <v>187</v>
      </c>
      <c r="C3070" s="582" t="s">
        <v>187</v>
      </c>
      <c r="D3070" s="415">
        <v>1</v>
      </c>
      <c r="E3070" s="415">
        <v>8</v>
      </c>
      <c r="F3070" s="415">
        <f>+E3070*D3070</f>
      </c>
      <c r="G3070" s="415">
        <v>1</v>
      </c>
      <c r="H3070" s="589">
        <f t="shared" si="68"/>
      </c>
    </row>
    <row r="3071" spans="1:8" ht="15.75" customHeight="1" x14ac:dyDescent="0.25">
      <c r="A3071" s="430"/>
      <c r="B3071" s="409"/>
      <c r="C3071" s="393"/>
      <c r="D3071" s="427"/>
      <c r="E3071" s="427"/>
      <c r="F3071" s="428"/>
      <c r="G3071" s="431"/>
      <c r="H3071" s="429"/>
    </row>
    <row r="3072" spans="1:8" ht="15.75" customHeight="1" x14ac:dyDescent="0.25">
      <c r="A3072" s="432"/>
      <c r="B3072" s="433"/>
      <c r="C3072" s="434" t="s">
        <v>85</v>
      </c>
      <c r="D3072" s="436">
        <f>SUM(D3029:D3071)</f>
      </c>
      <c r="E3072" s="436"/>
      <c r="F3072" s="436">
        <f>SUM(F3013:F3071)</f>
      </c>
      <c r="G3072" s="437"/>
      <c r="H3072" s="623">
        <f>SUM(H3013:H3071)</f>
      </c>
    </row>
    <row r="3073" spans="1:8" ht="15.75" customHeight="1" x14ac:dyDescent="0.25">
      <c r="A3073" s="439"/>
      <c r="B3073" s="440"/>
      <c r="C3073" s="440"/>
      <c r="D3073" s="441"/>
      <c r="E3073" s="440"/>
      <c r="F3073" s="442"/>
      <c r="G3073" s="443"/>
      <c r="H3073" s="444"/>
    </row>
    <row r="3074" spans="1:8" ht="15.75" customHeight="1" x14ac:dyDescent="0.25">
      <c r="A3074" s="392"/>
      <c r="B3074" s="391"/>
      <c r="C3074" s="391"/>
      <c r="D3074" s="391"/>
      <c r="E3074" s="390"/>
      <c r="F3074" s="392"/>
      <c r="G3074" s="390"/>
      <c r="H3074" s="394"/>
    </row>
    <row r="3075" spans="1:8" ht="15.75" customHeight="1" x14ac:dyDescent="0.25">
      <c r="A3075" s="445"/>
      <c r="B3075" s="445"/>
      <c r="C3075" s="445"/>
      <c r="D3075" s="446" t="s">
        <v>97</v>
      </c>
      <c r="E3075" s="445" t="s">
        <v>98</v>
      </c>
      <c r="F3075" s="445"/>
      <c r="G3075" s="390"/>
      <c r="H3075" s="394"/>
    </row>
    <row r="3076" spans="1:8" ht="15.75" customHeight="1" x14ac:dyDescent="0.25">
      <c r="A3076" s="390"/>
      <c r="B3076" s="390"/>
      <c r="C3076" s="390"/>
      <c r="D3076" s="391"/>
      <c r="E3076" s="390"/>
      <c r="F3076" s="390"/>
      <c r="G3076" s="390"/>
      <c r="H3076" s="394"/>
    </row>
    <row r="3077" spans="1:8" ht="15.75" customHeight="1" x14ac:dyDescent="0.25">
      <c r="A3077" s="390"/>
      <c r="B3077" s="390"/>
      <c r="C3077" s="390"/>
      <c r="D3077" s="391"/>
      <c r="E3077" s="390"/>
      <c r="F3077" s="390"/>
      <c r="G3077" s="390"/>
      <c r="H3077" s="394"/>
    </row>
    <row r="3078" spans="1:8" ht="15.75" customHeight="1" x14ac:dyDescent="0.25">
      <c r="A3078" s="445"/>
      <c r="B3078" s="445"/>
      <c r="C3078" s="445"/>
      <c r="D3078" s="446"/>
      <c r="E3078" s="445" t="s">
        <v>99</v>
      </c>
      <c r="F3078" s="445"/>
      <c r="G3078" s="390"/>
      <c r="H3078" s="394"/>
    </row>
    <row r="3079" spans="1:8" ht="15.75" customHeight="1" x14ac:dyDescent="0.25">
      <c r="D3079" s="4"/>
      <c r="H3079" s="4"/>
    </row>
    <row r="3080" spans="1:8" ht="15.75" customHeight="1" x14ac:dyDescent="0.25">
      <c r="D3080" s="4"/>
      <c r="H3080" s="4"/>
    </row>
    <row r="3081" spans="1:8" ht="15.75" customHeight="1" x14ac:dyDescent="0.25">
      <c r="D3081" s="4"/>
      <c r="H3081" s="4"/>
    </row>
    <row r="3082" spans="1:8" ht="15.75" customHeight="1" x14ac:dyDescent="0.25">
      <c r="D3082" s="4"/>
      <c r="H3082" s="4"/>
    </row>
    <row r="3083" spans="1:8" ht="15.75" customHeight="1" x14ac:dyDescent="0.25">
      <c r="D3083" s="4"/>
      <c r="H3083" s="4"/>
    </row>
    <row r="3084" spans="1:8" ht="15.75" customHeight="1" x14ac:dyDescent="0.25">
      <c r="D3084" s="4"/>
      <c r="H3084" s="4"/>
    </row>
    <row r="3085" spans="1:8" ht="15.75" customHeight="1" x14ac:dyDescent="0.25">
      <c r="D3085" s="4"/>
      <c r="H3085" s="4"/>
    </row>
    <row r="3086" spans="1:8" ht="15.75" customHeight="1" x14ac:dyDescent="0.25">
      <c r="D3086" s="4"/>
      <c r="H3086" s="4"/>
    </row>
    <row r="3087" spans="1:8" ht="15.75" customHeight="1" x14ac:dyDescent="0.25">
      <c r="D3087" s="4"/>
      <c r="H3087" s="4"/>
    </row>
    <row r="3088" spans="1:8" ht="15.75" customHeight="1" x14ac:dyDescent="0.25">
      <c r="D3088" s="4"/>
      <c r="H3088" s="4"/>
    </row>
    <row r="3089" spans="1:8" ht="15.75" customHeight="1" x14ac:dyDescent="0.25">
      <c r="A3089" s="398" t="s">
        <v>14</v>
      </c>
      <c r="B3089" s="391"/>
      <c r="C3089" s="391"/>
      <c r="D3089" s="391"/>
      <c r="E3089" s="391"/>
      <c r="F3089" s="391"/>
      <c r="G3089" s="391"/>
      <c r="H3089" s="394"/>
    </row>
    <row r="3090" spans="1:8" ht="15.75" customHeight="1" x14ac:dyDescent="0.25">
      <c r="A3090" s="390"/>
      <c r="B3090" s="390"/>
      <c r="C3090" s="390"/>
      <c r="D3090" s="392"/>
      <c r="E3090" s="569"/>
      <c r="F3090" s="391"/>
      <c r="G3090" s="390"/>
      <c r="H3090" s="394"/>
    </row>
    <row r="3091" spans="1:8" ht="15.75" customHeight="1" x14ac:dyDescent="0.25">
      <c r="A3091" s="390"/>
      <c r="B3091" s="390"/>
      <c r="C3091" s="390"/>
      <c r="D3091" s="391"/>
      <c r="E3091" s="390"/>
      <c r="F3091" s="395" t="s">
        <v>18</v>
      </c>
      <c r="G3091" s="390" t="s">
        <v>640</v>
      </c>
      <c r="H3091" s="394"/>
    </row>
    <row r="3092" spans="1:8" ht="15.75" customHeight="1" x14ac:dyDescent="0.25">
      <c r="A3092" s="390"/>
      <c r="B3092" s="390"/>
      <c r="C3092" s="390"/>
      <c r="D3092" s="391"/>
      <c r="E3092" s="390"/>
      <c r="F3092" s="393" t="s">
        <v>21</v>
      </c>
      <c r="G3092" s="390" t="s">
        <v>1350</v>
      </c>
      <c r="H3092" s="394"/>
    </row>
    <row r="3093" spans="1:8" ht="15.75" customHeight="1" x14ac:dyDescent="0.25">
      <c r="A3093" s="390" t="s">
        <v>20</v>
      </c>
      <c r="B3093" s="390"/>
      <c r="C3093" s="390"/>
      <c r="D3093" s="391"/>
      <c r="E3093" s="390"/>
      <c r="F3093" s="391"/>
      <c r="G3093" s="390"/>
      <c r="H3093" s="394"/>
    </row>
    <row r="3094" spans="1:8" ht="15.75" customHeight="1" x14ac:dyDescent="0.25">
      <c r="A3094" s="390" t="inlineStr">
        <is>
          <t>Dealer-002</t>
        </is>
      </c>
      <c r="B3094" s="390"/>
      <c r="C3094" s="398"/>
      <c r="D3094" s="391"/>
      <c r="E3094" s="390"/>
      <c r="F3094" s="391"/>
      <c r="G3094" s="390"/>
      <c r="H3094" s="394"/>
    </row>
    <row r="3095" spans="1:8" ht="15.75" customHeight="1" x14ac:dyDescent="0.25">
      <c r="A3095" s="390" t="inlineStr">
        <is>
          <t>Address line (redacted)</t>
        </is>
      </c>
      <c r="B3095" s="390"/>
      <c r="C3095" s="390"/>
      <c r="D3095" s="391"/>
      <c r="E3095" s="390"/>
      <c r="F3095" s="391"/>
      <c r="G3095" s="390"/>
      <c r="H3095" s="394"/>
    </row>
    <row r="3096" spans="1:8" ht="15.75" customHeight="1" x14ac:dyDescent="0.25">
      <c r="A3096" s="390" t="inlineStr">
        <is>
          <t>Address line (redacted)</t>
        </is>
      </c>
      <c r="B3096" s="390"/>
      <c r="C3096" s="390"/>
      <c r="D3096" s="391"/>
      <c r="E3096" s="390"/>
      <c r="F3096" s="391"/>
      <c r="G3096" s="390"/>
      <c r="H3096" s="394"/>
    </row>
    <row r="3097" spans="1:8" ht="15.75" customHeight="1" x14ac:dyDescent="0.25">
      <c r="A3097" s="390"/>
      <c r="B3097" s="390"/>
      <c r="C3097" s="390"/>
      <c r="D3097" s="391"/>
      <c r="E3097" s="390"/>
      <c r="F3097" s="391"/>
      <c r="G3097" s="390"/>
      <c r="H3097" s="394"/>
    </row>
    <row r="3098" spans="1:8" ht="15.75" customHeight="1" x14ac:dyDescent="0.25">
      <c r="A3098" s="390" t="s">
        <v>30</v>
      </c>
      <c r="B3098" s="390"/>
      <c r="C3098" s="390"/>
      <c r="D3098" s="391"/>
      <c r="E3098" s="390"/>
      <c r="F3098" s="391"/>
      <c r="G3098" s="390"/>
      <c r="H3098" s="394"/>
    </row>
    <row r="3099" spans="1:8" ht="15.75" customHeight="1" x14ac:dyDescent="0.25">
      <c r="A3099" s="390"/>
      <c r="B3099" s="390"/>
      <c r="C3099" s="390"/>
      <c r="D3099" s="391"/>
      <c r="E3099" s="390"/>
      <c r="F3099" s="391"/>
      <c r="G3099" s="390"/>
      <c r="H3099" s="394"/>
    </row>
    <row r="3100" spans="1:8" ht="15.75" customHeight="1" x14ac:dyDescent="0.25">
      <c r="A3100" s="390" t="s">
        <v>1282</v>
      </c>
      <c r="B3100" s="390"/>
      <c r="C3100" s="390"/>
      <c r="D3100" s="391"/>
      <c r="E3100" s="390"/>
      <c r="F3100" s="391"/>
      <c r="G3100" s="390"/>
      <c r="H3100" s="394"/>
    </row>
    <row r="3101" spans="1:8" ht="15.75" customHeight="1" x14ac:dyDescent="0.25">
      <c r="A3101" s="390" t="s">
        <v>1283</v>
      </c>
      <c r="B3101" s="390"/>
      <c r="C3101" s="390"/>
      <c r="D3101" s="391"/>
      <c r="E3101" s="390"/>
      <c r="F3101" s="391"/>
      <c r="G3101" s="390"/>
      <c r="H3101" s="394"/>
    </row>
    <row r="3102" spans="1:8" ht="15.75" customHeight="1" x14ac:dyDescent="0.25">
      <c r="A3102" s="390"/>
      <c r="B3102" s="390"/>
      <c r="C3102" s="390"/>
      <c r="D3102" s="391"/>
      <c r="E3102" s="390"/>
      <c r="F3102" s="391"/>
      <c r="G3102" s="390"/>
      <c r="H3102" s="394"/>
    </row>
    <row r="3103" spans="1:8" ht="15.75" customHeight="1" x14ac:dyDescent="0.25">
      <c r="A3103" s="399" t="s">
        <v>33</v>
      </c>
      <c r="B3103" s="400" t="s">
        <v>6</v>
      </c>
      <c r="C3103" s="400"/>
      <c r="D3103" s="401" t="s">
        <v>37</v>
      </c>
      <c r="E3103" s="402" t="s">
        <v>38</v>
      </c>
      <c r="F3103" s="403" t="s">
        <v>7</v>
      </c>
      <c r="G3103" s="404" t="s">
        <v>43</v>
      </c>
      <c r="H3103" s="405" t="s">
        <v>44</v>
      </c>
    </row>
    <row r="3104" spans="1:8" ht="15.75" customHeight="1" x14ac:dyDescent="0.25">
      <c r="A3104" s="406"/>
      <c r="B3104" s="407"/>
      <c r="C3104" s="393"/>
      <c r="D3104" s="410"/>
      <c r="E3104" s="408"/>
      <c r="F3104" s="409"/>
      <c r="G3104" s="410"/>
      <c r="H3104" s="411"/>
    </row>
    <row r="3105" spans="1:8" ht="15.75" customHeight="1" x14ac:dyDescent="0.25">
      <c r="A3105" s="577"/>
      <c r="B3105" s="578" t="s">
        <v>1352</v>
      </c>
      <c r="C3105" s="579"/>
      <c r="D3105" s="578"/>
      <c r="E3105" s="578"/>
      <c r="F3105" s="578"/>
      <c r="G3105" s="578"/>
      <c r="H3105" s="580"/>
    </row>
    <row r="3106" spans="1:8" ht="15.75" customHeight="1" x14ac:dyDescent="0.25">
      <c r="A3106" s="581" t="s">
        <v>55</v>
      </c>
      <c r="B3106" s="582" t="s">
        <v>1353</v>
      </c>
      <c r="C3106" s="582" t="s">
        <v>324</v>
      </c>
      <c r="D3106" s="415">
        <v>2</v>
      </c>
      <c r="E3106" s="415">
        <v>5</v>
      </c>
      <c r="F3106" s="415">
        <f t="shared" ref="F3106:F3107" si="70">+E3106*D3106</f>
      </c>
      <c r="G3106" s="415">
        <v>1</v>
      </c>
      <c r="H3106" s="416">
        <f t="shared" ref="H3106:H3107" si="71">+G3106*F3106</f>
      </c>
    </row>
    <row r="3107" spans="1:8" ht="15.75" customHeight="1" x14ac:dyDescent="0.25">
      <c r="A3107" s="581" t="s">
        <v>59</v>
      </c>
      <c r="B3107" s="582" t="s">
        <v>1354</v>
      </c>
      <c r="C3107" s="582" t="s">
        <v>94</v>
      </c>
      <c r="D3107" s="415">
        <v>2</v>
      </c>
      <c r="E3107" s="415">
        <v>5</v>
      </c>
      <c r="F3107" s="415">
        <f t="shared" si="70"/>
      </c>
      <c r="G3107" s="415">
        <v>1</v>
      </c>
      <c r="H3107" s="416">
        <f t="shared" si="71"/>
      </c>
    </row>
    <row r="3108" spans="1:8" ht="15.75" customHeight="1" x14ac:dyDescent="0.25">
      <c r="A3108" s="581"/>
      <c r="B3108" s="582"/>
      <c r="C3108" s="582"/>
      <c r="D3108" s="415"/>
      <c r="E3108" s="415"/>
      <c r="F3108" s="415"/>
      <c r="G3108" s="415"/>
      <c r="H3108" s="416"/>
    </row>
    <row r="3109" spans="1:8" ht="15.75" customHeight="1" x14ac:dyDescent="0.25">
      <c r="A3109" s="587"/>
      <c r="B3109" s="418"/>
      <c r="C3109" s="582"/>
      <c r="D3109" s="415"/>
      <c r="E3109" s="415"/>
      <c r="F3109" s="588"/>
      <c r="G3109" s="588"/>
      <c r="H3109" s="589"/>
    </row>
    <row r="3110" spans="1:8" ht="15.75" customHeight="1" x14ac:dyDescent="0.25">
      <c r="A3110" s="587"/>
      <c r="B3110" s="590"/>
      <c r="C3110" s="585"/>
      <c r="D3110" s="415"/>
      <c r="E3110" s="415"/>
      <c r="F3110" s="588"/>
      <c r="G3110" s="588"/>
      <c r="H3110" s="589"/>
    </row>
    <row r="3111" spans="1:8" ht="15.75" customHeight="1" x14ac:dyDescent="0.25">
      <c r="A3111" s="587"/>
      <c r="B3111" s="585"/>
      <c r="C3111" s="585"/>
      <c r="D3111" s="415"/>
      <c r="E3111" s="415"/>
      <c r="F3111" s="588"/>
      <c r="G3111" s="588"/>
      <c r="H3111" s="589"/>
    </row>
    <row r="3112" spans="1:8" ht="15.75" customHeight="1" x14ac:dyDescent="0.25">
      <c r="A3112" s="587"/>
      <c r="B3112" s="582"/>
      <c r="C3112" s="582"/>
      <c r="D3112" s="588"/>
      <c r="E3112" s="415"/>
      <c r="F3112" s="588"/>
      <c r="G3112" s="588"/>
      <c r="H3112" s="589"/>
    </row>
    <row r="3113" spans="1:8" ht="15.75" customHeight="1" x14ac:dyDescent="0.25">
      <c r="A3113" s="587"/>
      <c r="B3113" s="418"/>
      <c r="C3113" s="585"/>
      <c r="D3113" s="415"/>
      <c r="E3113" s="415"/>
      <c r="F3113" s="588"/>
      <c r="G3113" s="588"/>
      <c r="H3113" s="589"/>
    </row>
    <row r="3114" spans="1:8" ht="15.75" customHeight="1" x14ac:dyDescent="0.25">
      <c r="A3114" s="587"/>
      <c r="B3114" s="418"/>
      <c r="C3114" s="585"/>
      <c r="D3114" s="415"/>
      <c r="E3114" s="415"/>
      <c r="F3114" s="588"/>
      <c r="G3114" s="588"/>
      <c r="H3114" s="589"/>
    </row>
    <row r="3115" spans="1:8" ht="15.75" customHeight="1" x14ac:dyDescent="0.25">
      <c r="A3115" s="587"/>
      <c r="B3115" s="591"/>
      <c r="C3115" s="585"/>
      <c r="D3115" s="592"/>
      <c r="E3115" s="593"/>
      <c r="F3115" s="592"/>
      <c r="G3115" s="592"/>
      <c r="H3115" s="589"/>
    </row>
    <row r="3116" spans="1:8" ht="15.75" customHeight="1" x14ac:dyDescent="0.25">
      <c r="A3116" s="594"/>
      <c r="B3116" s="636"/>
      <c r="C3116" s="596" t="s">
        <v>85</v>
      </c>
      <c r="D3116" s="597">
        <f>SUM(D3106:D3115)</f>
      </c>
      <c r="E3116" s="598"/>
      <c r="F3116" s="597">
        <f>SUM(F3106:F3115)</f>
      </c>
      <c r="G3116" s="599"/>
      <c r="H3116" s="438">
        <f>SUM(H3106:H3115)</f>
      </c>
    </row>
    <row r="3117" spans="1:8" ht="15.75" customHeight="1" x14ac:dyDescent="0.25">
      <c r="A3117" s="600"/>
      <c r="B3117" s="601"/>
      <c r="C3117" s="602"/>
      <c r="D3117" s="603"/>
      <c r="E3117" s="603"/>
      <c r="F3117" s="603"/>
      <c r="G3117" s="604"/>
      <c r="H3117" s="444"/>
    </row>
    <row r="3118" spans="1:8" ht="15.75" customHeight="1" x14ac:dyDescent="0.25">
      <c r="A3118" s="393"/>
      <c r="B3118" s="393"/>
      <c r="C3118" s="605"/>
      <c r="D3118" s="398"/>
      <c r="E3118" s="398"/>
      <c r="F3118" s="398"/>
      <c r="G3118" s="606"/>
      <c r="H3118" s="394"/>
    </row>
    <row r="3119" spans="1:8" ht="15.75" customHeight="1" x14ac:dyDescent="0.25">
      <c r="A3119" s="393"/>
      <c r="B3119" s="393"/>
      <c r="C3119" s="605"/>
      <c r="D3119" s="398"/>
      <c r="E3119" s="637" t="s">
        <v>97</v>
      </c>
      <c r="F3119" s="445" t="s">
        <v>98</v>
      </c>
      <c r="G3119" s="445"/>
      <c r="H3119" s="391"/>
    </row>
    <row r="3120" spans="1:8" ht="15.75" customHeight="1" x14ac:dyDescent="0.25">
      <c r="A3120" s="393"/>
      <c r="B3120" s="393"/>
      <c r="C3120" s="605"/>
      <c r="D3120" s="398"/>
      <c r="E3120" s="391"/>
      <c r="F3120" s="390"/>
      <c r="G3120" s="390"/>
      <c r="H3120" s="391"/>
    </row>
    <row r="3121" spans="1:8" ht="15.75" customHeight="1" x14ac:dyDescent="0.25">
      <c r="A3121" s="393"/>
      <c r="B3121" s="393"/>
      <c r="C3121" s="605"/>
      <c r="D3121" s="398"/>
      <c r="E3121" s="391"/>
      <c r="F3121" s="390"/>
      <c r="G3121" s="390"/>
      <c r="H3121" s="391"/>
    </row>
    <row r="3122" spans="1:8" ht="15.75" customHeight="1" x14ac:dyDescent="0.25">
      <c r="A3122" s="393"/>
      <c r="B3122" s="393"/>
      <c r="C3122" s="605"/>
      <c r="D3122" s="398"/>
      <c r="E3122" s="446"/>
      <c r="F3122" s="445" t="s">
        <v>99</v>
      </c>
      <c r="G3122" s="445"/>
      <c r="H3122" s="391"/>
    </row>
    <row r="3123" spans="1:8" ht="15.75" customHeight="1" x14ac:dyDescent="0.25">
      <c r="A3123" s="393"/>
      <c r="B3123" s="393"/>
      <c r="C3123" s="605"/>
      <c r="D3123" s="398"/>
      <c r="H3123" s="4"/>
    </row>
    <row r="3124" spans="1:8" ht="15.75" customHeight="1" x14ac:dyDescent="0.25">
      <c r="A3124" s="393"/>
      <c r="B3124" s="393"/>
      <c r="C3124" s="605"/>
      <c r="D3124" s="398"/>
      <c r="E3124" s="398"/>
      <c r="F3124" s="398"/>
      <c r="G3124" s="606"/>
      <c r="H3124" s="394"/>
    </row>
    <row r="3125" spans="1:8" ht="15.75" customHeight="1" x14ac:dyDescent="0.25">
      <c r="A3125" s="393"/>
      <c r="B3125" s="393"/>
      <c r="C3125" s="605"/>
      <c r="D3125" s="398"/>
      <c r="E3125" s="398"/>
      <c r="F3125" s="398"/>
      <c r="G3125" s="606"/>
      <c r="H3125" s="394"/>
    </row>
    <row r="3126" spans="1:8" ht="15.75" customHeight="1" x14ac:dyDescent="0.25">
      <c r="A3126" s="393"/>
      <c r="B3126" s="393"/>
      <c r="C3126" s="605"/>
      <c r="D3126" s="398"/>
      <c r="E3126" s="398"/>
      <c r="F3126" s="398"/>
      <c r="G3126" s="606"/>
      <c r="H3126" s="394"/>
    </row>
    <row r="3127" spans="1:8" ht="15.75" customHeight="1" x14ac:dyDescent="0.25">
      <c r="A3127" s="393"/>
      <c r="B3127" s="393"/>
      <c r="C3127" s="605"/>
      <c r="D3127" s="398"/>
      <c r="E3127" s="398"/>
      <c r="F3127" s="398"/>
      <c r="G3127" s="606"/>
      <c r="H3127" s="394"/>
    </row>
    <row r="3128" spans="1:8" ht="15.75" customHeight="1" x14ac:dyDescent="0.25">
      <c r="A3128" s="393"/>
      <c r="B3128" s="393"/>
      <c r="C3128" s="605"/>
      <c r="D3128" s="398"/>
      <c r="E3128" s="398"/>
      <c r="F3128" s="398"/>
      <c r="G3128" s="606"/>
      <c r="H3128" s="394"/>
    </row>
    <row r="3129" spans="1:8" ht="15.75" customHeight="1" x14ac:dyDescent="0.25">
      <c r="A3129" s="393"/>
      <c r="B3129" s="393"/>
      <c r="C3129" s="605"/>
      <c r="D3129" s="398"/>
      <c r="E3129" s="398"/>
      <c r="F3129" s="398"/>
      <c r="G3129" s="606"/>
      <c r="H3129" s="394"/>
    </row>
    <row r="3130" spans="1:8" ht="15.75" customHeight="1" x14ac:dyDescent="0.25">
      <c r="A3130" s="393"/>
      <c r="B3130" s="393"/>
      <c r="C3130" s="605"/>
      <c r="D3130" s="398"/>
      <c r="E3130" s="398"/>
      <c r="F3130" s="398"/>
      <c r="G3130" s="606"/>
      <c r="H3130" s="394"/>
    </row>
    <row r="3131" spans="1:8" ht="15.75" customHeight="1" x14ac:dyDescent="0.25">
      <c r="A3131" s="393"/>
      <c r="B3131" s="393"/>
      <c r="C3131" s="605"/>
      <c r="D3131" s="398"/>
      <c r="E3131" s="398"/>
      <c r="F3131" s="398"/>
      <c r="G3131" s="606"/>
      <c r="H3131" s="394"/>
    </row>
    <row r="3132" spans="1:8" ht="15.75" customHeight="1" x14ac:dyDescent="0.25">
      <c r="D3132" s="4"/>
      <c r="H3132" s="4"/>
    </row>
    <row r="3133" spans="1:8" ht="15.75" customHeight="1" x14ac:dyDescent="0.25">
      <c r="D3133" s="4"/>
      <c r="H3133" s="4"/>
    </row>
    <row r="3134" spans="1:8" ht="15.75" customHeight="1" x14ac:dyDescent="0.25">
      <c r="D3134" s="4"/>
      <c r="H3134" s="4"/>
    </row>
    <row r="3135" spans="1:8" ht="15.75" customHeight="1" x14ac:dyDescent="0.25">
      <c r="A3135" s="8" t="s">
        <v>14</v>
      </c>
      <c r="B3135" s="8"/>
      <c r="C3135" s="8"/>
      <c r="D3135" s="8"/>
      <c r="E3135" s="8"/>
      <c r="F3135" s="8"/>
      <c r="G3135" s="8"/>
      <c r="H3135" s="8"/>
    </row>
    <row r="3136" spans="1:8" ht="15.75" customHeight="1" x14ac:dyDescent="0.25">
      <c r="A3136" s="388"/>
      <c r="B3136" s="388"/>
      <c r="C3136" s="388"/>
      <c r="D3136" s="389"/>
      <c r="E3136" s="388"/>
      <c r="F3136" s="388"/>
      <c r="G3136" s="388"/>
      <c r="H3136" s="8"/>
    </row>
    <row r="3137" spans="1:8" ht="15.75" customHeight="1" x14ac:dyDescent="0.25">
      <c r="A3137" s="390"/>
      <c r="B3137" s="390"/>
      <c r="C3137" s="391"/>
      <c r="D3137" s="392"/>
      <c r="E3137" s="393"/>
      <c r="F3137" s="393"/>
      <c r="G3137" s="393"/>
      <c r="H3137" s="394"/>
    </row>
    <row r="3138" spans="1:8" ht="15.75" customHeight="1" x14ac:dyDescent="0.25">
      <c r="A3138" s="390"/>
      <c r="B3138" s="390"/>
      <c r="C3138" s="390"/>
      <c r="D3138" s="391"/>
      <c r="E3138" s="390"/>
      <c r="F3138" s="395" t="s">
        <v>18</v>
      </c>
      <c r="G3138" s="396" t="s">
        <v>644</v>
      </c>
      <c r="H3138" s="397"/>
    </row>
    <row r="3139" spans="1:8" ht="15.75" customHeight="1" x14ac:dyDescent="0.25">
      <c r="A3139" s="390" t="s">
        <v>20</v>
      </c>
      <c r="B3139" s="390"/>
      <c r="C3139" s="390"/>
      <c r="D3139" s="391"/>
      <c r="E3139" s="390"/>
      <c r="F3139" s="395" t="s">
        <v>21</v>
      </c>
      <c r="G3139" s="390" t="s">
        <v>1355</v>
      </c>
      <c r="H3139" s="391"/>
    </row>
    <row r="3140" spans="1:8" ht="15.75" customHeight="1" x14ac:dyDescent="0.25">
      <c r="A3140" s="390" t="inlineStr">
        <is>
          <t>Dealer-004</t>
        </is>
      </c>
      <c r="B3140" s="390"/>
      <c r="C3140" s="390"/>
      <c r="D3140" s="398"/>
      <c r="E3140" s="390"/>
      <c r="F3140" s="391"/>
      <c r="G3140" s="390"/>
      <c r="H3140" s="394"/>
    </row>
    <row r="3141" spans="1:8" ht="15.75" customHeight="1" x14ac:dyDescent="0.25">
      <c r="A3141" s="390" t="inlineStr">
        <is>
          <t>Address line (redacted)</t>
        </is>
      </c>
      <c r="B3141" s="390"/>
      <c r="C3141" s="390"/>
      <c r="D3141" s="398"/>
      <c r="E3141" s="390"/>
      <c r="F3141" s="391"/>
      <c r="G3141" s="390"/>
      <c r="H3141" s="394"/>
    </row>
    <row r="3142" spans="1:8" ht="15.75" customHeight="1" x14ac:dyDescent="0.25">
      <c r="A3142" s="390" t="inlineStr">
        <is>
          <t>Address line (redacted)</t>
        </is>
      </c>
      <c r="B3142" s="390"/>
      <c r="C3142" s="390"/>
      <c r="D3142" s="391"/>
      <c r="E3142" s="390"/>
      <c r="F3142" s="391"/>
      <c r="G3142" s="390"/>
      <c r="H3142" s="394"/>
    </row>
    <row r="3143" spans="1:8" ht="15.75" customHeight="1" x14ac:dyDescent="0.25">
      <c r="A3143" s="390"/>
      <c r="B3143" s="390"/>
      <c r="C3143" s="390"/>
      <c r="D3143" s="391"/>
      <c r="E3143" s="390"/>
      <c r="F3143" s="391"/>
      <c r="G3143" s="390"/>
      <c r="H3143" s="394"/>
    </row>
    <row r="3144" spans="1:8" ht="15.75" customHeight="1" x14ac:dyDescent="0.25">
      <c r="A3144" s="390" t="s">
        <v>30</v>
      </c>
      <c r="B3144" s="390"/>
      <c r="C3144" s="390"/>
      <c r="D3144" s="391"/>
      <c r="E3144" s="390"/>
      <c r="F3144" s="391"/>
      <c r="G3144" s="390"/>
      <c r="H3144" s="394"/>
    </row>
    <row r="3145" spans="1:8" ht="15.75" customHeight="1" x14ac:dyDescent="0.25">
      <c r="A3145" s="390"/>
      <c r="B3145" s="390"/>
      <c r="C3145" s="390"/>
      <c r="D3145" s="391"/>
      <c r="E3145" s="390"/>
      <c r="F3145" s="391"/>
      <c r="G3145" s="390"/>
      <c r="H3145" s="394"/>
    </row>
    <row r="3146" spans="1:8" ht="15.75" customHeight="1" x14ac:dyDescent="0.25">
      <c r="A3146" s="390" t="s">
        <v>716</v>
      </c>
      <c r="B3146" s="390"/>
      <c r="C3146" s="390"/>
      <c r="D3146" s="391"/>
      <c r="E3146" s="390"/>
      <c r="F3146" s="391"/>
      <c r="G3146" s="390"/>
      <c r="H3146" s="394"/>
    </row>
    <row r="3147" spans="1:8" ht="15.75" customHeight="1" x14ac:dyDescent="0.25">
      <c r="A3147" s="390" t="s">
        <v>717</v>
      </c>
      <c r="B3147" s="390"/>
      <c r="C3147" s="390"/>
      <c r="D3147" s="391"/>
      <c r="E3147" s="390"/>
      <c r="F3147" s="391"/>
      <c r="G3147" s="390"/>
      <c r="H3147" s="394"/>
    </row>
    <row r="3148" spans="1:8" ht="15.75" customHeight="1" x14ac:dyDescent="0.25">
      <c r="A3148" s="390"/>
      <c r="B3148" s="390"/>
      <c r="C3148" s="390"/>
      <c r="D3148" s="391"/>
      <c r="E3148" s="390"/>
      <c r="F3148" s="391"/>
      <c r="G3148" s="390"/>
      <c r="H3148" s="394"/>
    </row>
    <row r="3149" spans="1:8" ht="15.75" customHeight="1" x14ac:dyDescent="0.25">
      <c r="A3149" s="399" t="s">
        <v>33</v>
      </c>
      <c r="B3149" s="400" t="s">
        <v>6</v>
      </c>
      <c r="C3149" s="400"/>
      <c r="D3149" s="401" t="s">
        <v>37</v>
      </c>
      <c r="E3149" s="402" t="s">
        <v>38</v>
      </c>
      <c r="F3149" s="403" t="s">
        <v>7</v>
      </c>
      <c r="G3149" s="404" t="s">
        <v>43</v>
      </c>
      <c r="H3149" s="405" t="s">
        <v>44</v>
      </c>
    </row>
    <row r="3150" spans="1:8" ht="15.75" customHeight="1" x14ac:dyDescent="0.25">
      <c r="A3150" s="406"/>
      <c r="B3150" s="407"/>
      <c r="C3150" s="393"/>
      <c r="D3150" s="408"/>
      <c r="E3150" s="408"/>
      <c r="F3150" s="409"/>
      <c r="G3150" s="410"/>
      <c r="H3150" s="411"/>
    </row>
    <row r="3151" spans="1:8" ht="15.75" customHeight="1" x14ac:dyDescent="0.25">
      <c r="A3151" s="425"/>
      <c r="B3151" s="504" t="s">
        <v>1356</v>
      </c>
      <c r="C3151" s="505"/>
      <c r="D3151" s="427"/>
      <c r="E3151" s="427"/>
      <c r="F3151" s="428"/>
      <c r="G3151" s="427"/>
      <c r="H3151" s="429"/>
    </row>
    <row r="3152" spans="1:8" ht="15.75" customHeight="1" x14ac:dyDescent="0.25">
      <c r="A3152" s="502" t="s">
        <v>55</v>
      </c>
      <c r="B3152" s="503" t="s">
        <v>815</v>
      </c>
      <c r="C3152" s="390" t="s">
        <v>84</v>
      </c>
      <c r="D3152" s="427">
        <v>3</v>
      </c>
      <c r="E3152" s="427">
        <v>5</v>
      </c>
      <c r="F3152" s="428">
        <f>+E3152*D3152</f>
      </c>
      <c r="G3152" s="427">
        <v>1</v>
      </c>
      <c r="H3152" s="429">
        <f>+G3152*F3152</f>
      </c>
    </row>
    <row r="3153" spans="1:20" ht="15.75" customHeight="1" x14ac:dyDescent="0.25">
      <c r="A3153" s="425"/>
      <c r="B3153" s="426"/>
      <c r="C3153" s="390"/>
      <c r="D3153" s="427"/>
      <c r="E3153" s="427"/>
      <c r="F3153" s="428"/>
      <c r="G3153" s="427"/>
      <c r="H3153" s="429"/>
    </row>
    <row r="3154" spans="1:20" ht="15.75" customHeight="1" x14ac:dyDescent="0.25">
      <c r="A3154" s="425"/>
      <c r="B3154" s="504" t="s">
        <v>1357</v>
      </c>
      <c r="C3154" s="505"/>
      <c r="D3154" s="427"/>
      <c r="E3154" s="427"/>
      <c r="F3154" s="428"/>
      <c r="G3154" s="427"/>
      <c r="H3154" s="429"/>
      <c r="I3154" s="290"/>
      <c r="J3154" s="290"/>
      <c r="K3154" s="290"/>
      <c r="L3154" s="290"/>
      <c r="M3154" s="290"/>
      <c r="N3154" s="290"/>
      <c r="O3154" s="290"/>
      <c r="P3154" s="290"/>
      <c r="Q3154" s="290"/>
      <c r="R3154" s="290"/>
      <c r="S3154" s="290"/>
      <c r="T3154" s="290"/>
    </row>
    <row r="3155" spans="1:20" ht="15.75" customHeight="1" x14ac:dyDescent="0.25">
      <c r="A3155" s="502" t="s">
        <v>59</v>
      </c>
      <c r="B3155" s="503" t="s">
        <v>218</v>
      </c>
      <c r="C3155" s="390" t="s">
        <v>407</v>
      </c>
      <c r="D3155" s="633">
        <v>1</v>
      </c>
      <c r="E3155" s="427" t="s">
        <v>1358</v>
      </c>
      <c r="F3155" s="428">
        <f>25*4</f>
      </c>
      <c r="G3155" s="427">
        <v>1</v>
      </c>
      <c r="H3155" s="429">
        <f>+F3155*G3155</f>
      </c>
    </row>
    <row r="3156" spans="1:20" ht="15.75" customHeight="1" x14ac:dyDescent="0.25">
      <c r="A3156" s="425"/>
      <c r="B3156" s="426"/>
      <c r="C3156" s="390"/>
      <c r="D3156" s="427"/>
      <c r="E3156" s="427"/>
      <c r="F3156" s="428"/>
      <c r="G3156" s="427"/>
      <c r="H3156" s="429"/>
    </row>
    <row r="3157" spans="1:20" ht="15.75" customHeight="1" x14ac:dyDescent="0.25">
      <c r="A3157" s="430"/>
      <c r="B3157" s="409"/>
      <c r="C3157" s="393"/>
      <c r="D3157" s="427"/>
      <c r="E3157" s="427"/>
      <c r="F3157" s="428"/>
      <c r="G3157" s="431"/>
      <c r="H3157" s="429"/>
    </row>
    <row r="3158" spans="1:20" ht="15.75" customHeight="1" x14ac:dyDescent="0.25">
      <c r="A3158" s="432"/>
      <c r="B3158" s="433"/>
      <c r="C3158" s="434" t="s">
        <v>85</v>
      </c>
      <c r="D3158" s="435">
        <f>SUM(D3151:D3157)</f>
      </c>
      <c r="E3158" s="435"/>
      <c r="F3158" s="436"/>
      <c r="G3158" s="437"/>
      <c r="H3158" s="438">
        <f>SUM(H3152:H3157)</f>
      </c>
    </row>
    <row r="3159" spans="1:20" ht="15.75" customHeight="1" x14ac:dyDescent="0.25">
      <c r="A3159" s="439"/>
      <c r="B3159" s="440"/>
      <c r="C3159" s="440"/>
      <c r="D3159" s="441"/>
      <c r="E3159" s="440"/>
      <c r="F3159" s="442"/>
      <c r="G3159" s="443"/>
      <c r="H3159" s="444"/>
    </row>
    <row r="3160" spans="1:20" ht="15.75" customHeight="1" x14ac:dyDescent="0.25">
      <c r="A3160" s="392" t="s">
        <v>913</v>
      </c>
      <c r="B3160" s="391"/>
      <c r="C3160" s="391"/>
      <c r="D3160" s="391"/>
      <c r="E3160" s="390"/>
      <c r="F3160" s="392"/>
      <c r="G3160" s="390"/>
      <c r="H3160" s="394"/>
    </row>
    <row r="3161" spans="1:20" ht="15.75" customHeight="1" x14ac:dyDescent="0.25">
      <c r="A3161" s="445"/>
      <c r="B3161" s="445"/>
      <c r="C3161" s="445"/>
      <c r="D3161" s="446" t="s">
        <v>97</v>
      </c>
      <c r="E3161" s="445" t="s">
        <v>98</v>
      </c>
      <c r="F3161" s="445"/>
      <c r="G3161" s="390"/>
      <c r="H3161" s="394"/>
    </row>
    <row r="3162" spans="1:20" ht="15.75" customHeight="1" x14ac:dyDescent="0.25">
      <c r="A3162" s="390"/>
      <c r="B3162" s="390"/>
      <c r="C3162" s="390"/>
      <c r="D3162" s="391"/>
      <c r="E3162" s="390"/>
      <c r="F3162" s="390"/>
      <c r="G3162" s="390"/>
      <c r="H3162" s="394"/>
    </row>
    <row r="3163" spans="1:20" ht="15.75" customHeight="1" x14ac:dyDescent="0.25">
      <c r="A3163" s="390"/>
      <c r="B3163" s="390"/>
      <c r="C3163" s="390"/>
      <c r="D3163" s="391"/>
      <c r="E3163" s="390"/>
      <c r="F3163" s="390"/>
      <c r="G3163" s="390"/>
      <c r="H3163" s="394"/>
    </row>
    <row r="3164" spans="1:20" ht="15.75" customHeight="1" x14ac:dyDescent="0.25">
      <c r="A3164" s="445"/>
      <c r="B3164" s="445"/>
      <c r="C3164" s="445"/>
      <c r="D3164" s="446"/>
      <c r="E3164" s="445" t="s">
        <v>99</v>
      </c>
      <c r="F3164" s="445"/>
      <c r="G3164" s="390"/>
      <c r="H3164" s="394"/>
    </row>
    <row r="3165" spans="1:20" ht="15.75" customHeight="1" x14ac:dyDescent="0.25">
      <c r="D3165" s="4"/>
      <c r="H3165" s="4"/>
    </row>
    <row r="3166" spans="1:20" ht="15.75" customHeight="1" x14ac:dyDescent="0.25">
      <c r="D3166" s="4"/>
      <c r="H3166" s="4"/>
    </row>
    <row r="3167" spans="1:20" ht="15.75" customHeight="1" x14ac:dyDescent="0.25">
      <c r="D3167" s="4"/>
      <c r="H3167" s="4"/>
    </row>
    <row r="3168" spans="1:20" ht="15.75" customHeight="1" x14ac:dyDescent="0.25">
      <c r="D3168" s="4"/>
      <c r="H3168" s="4"/>
    </row>
    <row r="3169" spans="1:8" ht="15.75" customHeight="1" x14ac:dyDescent="0.25">
      <c r="D3169" s="4"/>
      <c r="H3169" s="4"/>
    </row>
    <row r="3170" spans="1:8" ht="15.75" customHeight="1" x14ac:dyDescent="0.25">
      <c r="D3170" s="4"/>
      <c r="H3170" s="4"/>
    </row>
    <row r="3171" spans="1:8" ht="15.75" customHeight="1" x14ac:dyDescent="0.25">
      <c r="D3171" s="4"/>
      <c r="H3171" s="4"/>
    </row>
    <row r="3172" spans="1:8" ht="15.75" customHeight="1" x14ac:dyDescent="0.25">
      <c r="D3172" s="4"/>
      <c r="H3172" s="4"/>
    </row>
    <row r="3173" spans="1:8" ht="15.75" customHeight="1" x14ac:dyDescent="0.25">
      <c r="D3173" s="4"/>
      <c r="H3173" s="4"/>
    </row>
    <row r="3174" spans="1:8" ht="15.75" customHeight="1" x14ac:dyDescent="0.25">
      <c r="D3174" s="4"/>
      <c r="H3174" s="4"/>
    </row>
    <row r="3175" spans="1:8" ht="15.75" customHeight="1" x14ac:dyDescent="0.25">
      <c r="D3175" s="4"/>
      <c r="H3175" s="4"/>
    </row>
    <row r="3176" spans="1:8" ht="15.75" customHeight="1" x14ac:dyDescent="0.25">
      <c r="D3176" s="4"/>
      <c r="H3176" s="4"/>
    </row>
    <row r="3177" spans="1:8" ht="15.75" customHeight="1" x14ac:dyDescent="0.25">
      <c r="D3177" s="4"/>
      <c r="H3177" s="4"/>
    </row>
    <row r="3178" spans="1:8" ht="15.75" customHeight="1" x14ac:dyDescent="0.25">
      <c r="D3178" s="4"/>
      <c r="H3178" s="4"/>
    </row>
    <row r="3179" spans="1:8" ht="15.75" customHeight="1" x14ac:dyDescent="0.25">
      <c r="D3179" s="4"/>
      <c r="H3179" s="4"/>
    </row>
    <row r="3180" spans="1:8" ht="15.75" customHeight="1" x14ac:dyDescent="0.25">
      <c r="D3180" s="4"/>
      <c r="H3180" s="4"/>
    </row>
    <row r="3181" spans="1:8" ht="15.75" customHeight="1" x14ac:dyDescent="0.25">
      <c r="A3181" s="8" t="s">
        <v>14</v>
      </c>
      <c r="B3181" s="8"/>
      <c r="C3181" s="8"/>
      <c r="D3181" s="8"/>
      <c r="E3181" s="8"/>
      <c r="F3181" s="8"/>
      <c r="G3181" s="8"/>
      <c r="H3181" s="8"/>
    </row>
    <row r="3182" spans="1:8" ht="15.75" customHeight="1" x14ac:dyDescent="0.25">
      <c r="A3182" s="388"/>
      <c r="B3182" s="388"/>
      <c r="C3182" s="388"/>
      <c r="D3182" s="389"/>
      <c r="E3182" s="388"/>
      <c r="F3182" s="388"/>
      <c r="G3182" s="388"/>
      <c r="H3182" s="8"/>
    </row>
    <row r="3183" spans="1:8" ht="15.75" customHeight="1" x14ac:dyDescent="0.25">
      <c r="A3183" s="390"/>
      <c r="B3183" s="390"/>
      <c r="C3183" s="391"/>
      <c r="D3183" s="392"/>
      <c r="E3183" s="393"/>
      <c r="F3183" s="393"/>
      <c r="G3183" s="393"/>
      <c r="H3183" s="394"/>
    </row>
    <row r="3184" spans="1:8" ht="15.75" customHeight="1" x14ac:dyDescent="0.25">
      <c r="A3184" s="390"/>
      <c r="B3184" s="390"/>
      <c r="C3184" s="390"/>
      <c r="D3184" s="391"/>
      <c r="E3184" s="390"/>
      <c r="F3184" s="395" t="s">
        <v>18</v>
      </c>
      <c r="G3184" s="396" t="s">
        <v>647</v>
      </c>
      <c r="H3184" s="397"/>
    </row>
    <row r="3185" spans="1:8" ht="15.75" customHeight="1" x14ac:dyDescent="0.25">
      <c r="A3185" s="390" t="s">
        <v>20</v>
      </c>
      <c r="B3185" s="390"/>
      <c r="C3185" s="390"/>
      <c r="D3185" s="391"/>
      <c r="E3185" s="390"/>
      <c r="F3185" s="395" t="s">
        <v>21</v>
      </c>
      <c r="G3185" s="390" t="s">
        <v>1359</v>
      </c>
      <c r="H3185" s="391"/>
    </row>
    <row r="3186" spans="1:8" ht="15.75" customHeight="1" x14ac:dyDescent="0.25">
      <c r="A3186" s="390" t="inlineStr">
        <is>
          <t>Dealer-004</t>
        </is>
      </c>
      <c r="B3186" s="390"/>
      <c r="C3186" s="390"/>
      <c r="D3186" s="398"/>
      <c r="E3186" s="390"/>
      <c r="F3186" s="391"/>
      <c r="G3186" s="390"/>
      <c r="H3186" s="394"/>
    </row>
    <row r="3187" spans="1:8" ht="15.75" customHeight="1" x14ac:dyDescent="0.25">
      <c r="A3187" s="390" t="inlineStr">
        <is>
          <t>Address line (redacted)</t>
        </is>
      </c>
      <c r="B3187" s="390"/>
      <c r="C3187" s="390"/>
      <c r="D3187" s="398"/>
      <c r="E3187" s="390"/>
      <c r="F3187" s="391"/>
      <c r="G3187" s="390"/>
      <c r="H3187" s="394"/>
    </row>
    <row r="3188" spans="1:8" ht="15.75" customHeight="1" x14ac:dyDescent="0.25">
      <c r="A3188" s="390" t="inlineStr">
        <is>
          <t>Address line (redacted)</t>
        </is>
      </c>
      <c r="B3188" s="390"/>
      <c r="C3188" s="390"/>
      <c r="D3188" s="391"/>
      <c r="E3188" s="390"/>
      <c r="F3188" s="391"/>
      <c r="G3188" s="390"/>
      <c r="H3188" s="394"/>
    </row>
    <row r="3189" spans="1:8" ht="15.75" customHeight="1" x14ac:dyDescent="0.25">
      <c r="A3189" s="390"/>
      <c r="B3189" s="390"/>
      <c r="C3189" s="390"/>
      <c r="D3189" s="391"/>
      <c r="E3189" s="390"/>
      <c r="F3189" s="391"/>
      <c r="G3189" s="390"/>
      <c r="H3189" s="394"/>
    </row>
    <row r="3190" spans="1:8" ht="15.75" customHeight="1" x14ac:dyDescent="0.25">
      <c r="A3190" s="390" t="s">
        <v>30</v>
      </c>
      <c r="B3190" s="390"/>
      <c r="C3190" s="390"/>
      <c r="D3190" s="391"/>
      <c r="E3190" s="390"/>
      <c r="F3190" s="391"/>
      <c r="G3190" s="390"/>
      <c r="H3190" s="394"/>
    </row>
    <row r="3191" spans="1:8" ht="15.75" customHeight="1" x14ac:dyDescent="0.25">
      <c r="A3191" s="390"/>
      <c r="B3191" s="390"/>
      <c r="C3191" s="390"/>
      <c r="D3191" s="391"/>
      <c r="E3191" s="390"/>
      <c r="F3191" s="391"/>
      <c r="G3191" s="390"/>
      <c r="H3191" s="394"/>
    </row>
    <row r="3192" spans="1:8" ht="15.75" customHeight="1" x14ac:dyDescent="0.25">
      <c r="A3192" s="390" t="s">
        <v>716</v>
      </c>
      <c r="B3192" s="390"/>
      <c r="C3192" s="390"/>
      <c r="D3192" s="391"/>
      <c r="E3192" s="390"/>
      <c r="F3192" s="391"/>
      <c r="G3192" s="390"/>
      <c r="H3192" s="394"/>
    </row>
    <row r="3193" spans="1:8" ht="15.75" customHeight="1" x14ac:dyDescent="0.25">
      <c r="A3193" s="390" t="s">
        <v>717</v>
      </c>
      <c r="B3193" s="390"/>
      <c r="C3193" s="390"/>
      <c r="D3193" s="391"/>
      <c r="E3193" s="390"/>
      <c r="F3193" s="391"/>
      <c r="G3193" s="390"/>
      <c r="H3193" s="394"/>
    </row>
    <row r="3194" spans="1:8" ht="15.75" customHeight="1" x14ac:dyDescent="0.25">
      <c r="A3194" s="390"/>
      <c r="B3194" s="390"/>
      <c r="C3194" s="390"/>
      <c r="D3194" s="391"/>
      <c r="E3194" s="390"/>
      <c r="F3194" s="391"/>
      <c r="G3194" s="390"/>
      <c r="H3194" s="394"/>
    </row>
    <row r="3195" spans="1:8" ht="15.75" customHeight="1" x14ac:dyDescent="0.25">
      <c r="A3195" s="399" t="s">
        <v>33</v>
      </c>
      <c r="B3195" s="400" t="s">
        <v>6</v>
      </c>
      <c r="C3195" s="400"/>
      <c r="D3195" s="401" t="s">
        <v>37</v>
      </c>
      <c r="E3195" s="402" t="s">
        <v>38</v>
      </c>
      <c r="F3195" s="403" t="s">
        <v>7</v>
      </c>
      <c r="G3195" s="404" t="s">
        <v>43</v>
      </c>
      <c r="H3195" s="405" t="s">
        <v>44</v>
      </c>
    </row>
    <row r="3196" spans="1:8" ht="15.75" customHeight="1" x14ac:dyDescent="0.25">
      <c r="A3196" s="406"/>
      <c r="B3196" s="407"/>
      <c r="C3196" s="393"/>
      <c r="D3196" s="408"/>
      <c r="E3196" s="408"/>
      <c r="F3196" s="409"/>
      <c r="G3196" s="410"/>
      <c r="H3196" s="411"/>
    </row>
    <row r="3197" spans="1:8" ht="15.75" customHeight="1" x14ac:dyDescent="0.25">
      <c r="A3197" s="425"/>
      <c r="B3197" s="504" t="s">
        <v>1357</v>
      </c>
      <c r="C3197" s="505"/>
      <c r="D3197" s="427"/>
      <c r="E3197" s="427"/>
      <c r="F3197" s="428"/>
      <c r="G3197" s="427"/>
      <c r="H3197" s="429"/>
    </row>
    <row r="3198" spans="1:8" ht="15.75" customHeight="1" x14ac:dyDescent="0.25">
      <c r="A3198" s="502" t="s">
        <v>55</v>
      </c>
      <c r="B3198" s="503" t="s">
        <v>1362</v>
      </c>
      <c r="C3198" s="390" t="s">
        <v>1363</v>
      </c>
      <c r="D3198" s="633">
        <v>1</v>
      </c>
      <c r="E3198" s="427" t="s">
        <v>1364</v>
      </c>
      <c r="F3198" s="428">
        <f>25*12</f>
      </c>
      <c r="G3198" s="427">
        <v>1</v>
      </c>
      <c r="H3198" s="429">
        <f>+F3198*G3198</f>
      </c>
    </row>
    <row r="3199" spans="1:8" ht="15.75" customHeight="1" x14ac:dyDescent="0.25">
      <c r="A3199" s="502"/>
      <c r="B3199" s="503"/>
      <c r="C3199" s="390"/>
      <c r="D3199" s="633"/>
      <c r="E3199" s="427"/>
      <c r="F3199" s="428"/>
      <c r="G3199" s="427"/>
      <c r="H3199" s="429"/>
    </row>
    <row r="3200" spans="1:8" ht="15.75" customHeight="1" x14ac:dyDescent="0.25">
      <c r="A3200" s="502"/>
      <c r="B3200" s="503"/>
      <c r="C3200" s="390"/>
      <c r="D3200" s="633"/>
      <c r="E3200" s="427"/>
      <c r="F3200" s="428"/>
      <c r="G3200" s="427"/>
      <c r="H3200" s="429"/>
    </row>
    <row r="3201" spans="1:8" ht="15.75" customHeight="1" x14ac:dyDescent="0.25">
      <c r="A3201" s="502"/>
      <c r="B3201" s="503"/>
      <c r="C3201" s="390"/>
      <c r="D3201" s="633"/>
      <c r="E3201" s="427"/>
      <c r="F3201" s="428"/>
      <c r="G3201" s="427"/>
      <c r="H3201" s="429"/>
    </row>
    <row r="3202" spans="1:8" ht="15.75" customHeight="1" x14ac:dyDescent="0.25">
      <c r="A3202" s="502"/>
      <c r="B3202" s="503"/>
      <c r="C3202" s="390"/>
      <c r="D3202" s="633"/>
      <c r="E3202" s="427"/>
      <c r="F3202" s="428"/>
      <c r="G3202" s="427"/>
      <c r="H3202" s="429"/>
    </row>
    <row r="3203" spans="1:8" ht="15.75" customHeight="1" x14ac:dyDescent="0.25">
      <c r="A3203" s="425"/>
      <c r="B3203" s="426"/>
      <c r="C3203" s="390"/>
      <c r="D3203" s="427"/>
      <c r="E3203" s="427"/>
      <c r="F3203" s="428"/>
      <c r="G3203" s="427"/>
      <c r="H3203" s="429"/>
    </row>
    <row r="3204" spans="1:8" ht="15.75" customHeight="1" x14ac:dyDescent="0.25">
      <c r="A3204" s="430"/>
      <c r="B3204" s="409"/>
      <c r="C3204" s="393"/>
      <c r="D3204" s="427"/>
      <c r="E3204" s="427"/>
      <c r="F3204" s="428"/>
      <c r="G3204" s="431"/>
      <c r="H3204" s="429"/>
    </row>
    <row r="3205" spans="1:8" ht="15.75" customHeight="1" x14ac:dyDescent="0.25">
      <c r="A3205" s="432"/>
      <c r="B3205" s="433"/>
      <c r="C3205" s="434" t="s">
        <v>85</v>
      </c>
      <c r="D3205" s="435">
        <f>SUM(D3197:D3204)</f>
      </c>
      <c r="E3205" s="435"/>
      <c r="F3205" s="436"/>
      <c r="G3205" s="437"/>
      <c r="H3205" s="438">
        <f>SUM(H3197:H3204)</f>
      </c>
    </row>
    <row r="3206" spans="1:8" ht="15.75" customHeight="1" x14ac:dyDescent="0.25">
      <c r="A3206" s="439"/>
      <c r="B3206" s="440"/>
      <c r="C3206" s="440"/>
      <c r="D3206" s="441"/>
      <c r="E3206" s="440"/>
      <c r="F3206" s="442"/>
      <c r="G3206" s="443"/>
      <c r="H3206" s="444"/>
    </row>
    <row r="3207" spans="1:8" ht="15.75" customHeight="1" x14ac:dyDescent="0.25">
      <c r="A3207" s="392" t="s">
        <v>913</v>
      </c>
      <c r="B3207" s="391"/>
      <c r="C3207" s="391"/>
      <c r="D3207" s="391"/>
      <c r="E3207" s="390"/>
      <c r="F3207" s="392"/>
      <c r="G3207" s="390"/>
      <c r="H3207" s="394"/>
    </row>
    <row r="3208" spans="1:8" ht="15.75" customHeight="1" x14ac:dyDescent="0.25">
      <c r="A3208" s="445"/>
      <c r="B3208" s="445"/>
      <c r="C3208" s="445"/>
      <c r="D3208" s="446" t="s">
        <v>97</v>
      </c>
      <c r="E3208" s="445" t="s">
        <v>98</v>
      </c>
      <c r="F3208" s="445"/>
      <c r="G3208" s="390"/>
      <c r="H3208" s="394"/>
    </row>
    <row r="3209" spans="1:8" ht="15.75" customHeight="1" x14ac:dyDescent="0.25">
      <c r="A3209" s="390"/>
      <c r="B3209" s="390"/>
      <c r="C3209" s="390"/>
      <c r="D3209" s="391"/>
      <c r="E3209" s="390"/>
      <c r="F3209" s="390"/>
      <c r="G3209" s="390"/>
      <c r="H3209" s="394"/>
    </row>
    <row r="3210" spans="1:8" ht="15.75" customHeight="1" x14ac:dyDescent="0.25">
      <c r="A3210" s="390"/>
      <c r="B3210" s="390"/>
      <c r="C3210" s="390"/>
      <c r="D3210" s="391"/>
      <c r="E3210" s="390"/>
      <c r="F3210" s="390"/>
      <c r="G3210" s="390"/>
      <c r="H3210" s="394"/>
    </row>
    <row r="3211" spans="1:8" ht="15.75" customHeight="1" x14ac:dyDescent="0.25">
      <c r="A3211" s="445"/>
      <c r="B3211" s="445"/>
      <c r="C3211" s="445"/>
      <c r="D3211" s="446"/>
      <c r="E3211" s="445" t="s">
        <v>99</v>
      </c>
      <c r="F3211" s="445"/>
      <c r="G3211" s="390"/>
      <c r="H3211" s="394"/>
    </row>
    <row r="3212" spans="1:8" ht="15.75" customHeight="1" x14ac:dyDescent="0.25">
      <c r="D3212" s="4"/>
      <c r="H3212" s="4"/>
    </row>
    <row r="3213" spans="1:8" ht="15.75" customHeight="1" x14ac:dyDescent="0.25">
      <c r="D3213" s="4"/>
      <c r="H3213" s="4"/>
    </row>
    <row r="3214" spans="1:8" ht="15.75" customHeight="1" x14ac:dyDescent="0.25">
      <c r="D3214" s="4"/>
      <c r="H3214" s="4"/>
    </row>
    <row r="3215" spans="1:8" ht="15.75" customHeight="1" x14ac:dyDescent="0.25">
      <c r="D3215" s="4"/>
      <c r="H3215" s="4"/>
    </row>
    <row r="3216" spans="1:8" ht="15.75" customHeight="1" x14ac:dyDescent="0.25">
      <c r="D3216" s="4"/>
      <c r="H3216" s="4"/>
    </row>
    <row r="3217" spans="1:20" ht="15.75" customHeight="1" x14ac:dyDescent="0.25">
      <c r="D3217" s="4"/>
      <c r="H3217" s="4"/>
    </row>
    <row r="3218" spans="1:20" ht="15.75" customHeight="1" x14ac:dyDescent="0.25">
      <c r="D3218" s="4"/>
      <c r="H3218" s="4"/>
    </row>
    <row r="3219" spans="1:20" ht="15.75" customHeight="1" x14ac:dyDescent="0.25">
      <c r="D3219" s="4"/>
      <c r="H3219" s="4"/>
    </row>
    <row r="3220" spans="1:20" ht="15.75" customHeight="1" x14ac:dyDescent="0.25">
      <c r="D3220" s="4"/>
      <c r="H3220" s="4"/>
    </row>
    <row r="3221" spans="1:20" ht="15.75" customHeight="1" x14ac:dyDescent="0.25">
      <c r="D3221" s="4"/>
      <c r="H3221" s="4"/>
    </row>
    <row r="3222" spans="1:20" ht="15.75" customHeight="1" x14ac:dyDescent="0.25">
      <c r="D3222" s="4"/>
      <c r="H3222" s="4"/>
    </row>
    <row r="3223" spans="1:20" ht="15.75" customHeight="1" x14ac:dyDescent="0.25">
      <c r="D3223" s="4"/>
      <c r="H3223" s="4"/>
    </row>
    <row r="3224" spans="1:20" ht="15.75" customHeight="1" x14ac:dyDescent="0.25">
      <c r="D3224" s="4"/>
      <c r="H3224" s="4"/>
    </row>
    <row r="3225" spans="1:20" ht="15.75" customHeight="1" x14ac:dyDescent="0.25">
      <c r="D3225" s="4"/>
      <c r="H3225" s="4"/>
    </row>
    <row r="3226" spans="1:20" ht="15.75" customHeight="1" x14ac:dyDescent="0.25">
      <c r="D3226" s="4"/>
      <c r="H3226" s="4"/>
      <c r="I3226" s="390"/>
      <c r="J3226" s="390"/>
      <c r="K3226" s="390"/>
      <c r="L3226" s="390"/>
      <c r="M3226" s="390"/>
      <c r="N3226" s="390"/>
      <c r="O3226" s="390"/>
      <c r="P3226" s="390"/>
      <c r="Q3226" s="390"/>
      <c r="R3226" s="390"/>
      <c r="S3226" s="390"/>
      <c r="T3226" s="390"/>
    </row>
    <row r="3227" spans="1:20" ht="15.75" customHeight="1" x14ac:dyDescent="0.25">
      <c r="A3227" s="398" t="s">
        <v>14</v>
      </c>
      <c r="B3227" s="398"/>
      <c r="C3227" s="398"/>
      <c r="D3227" s="398"/>
      <c r="E3227" s="398"/>
      <c r="F3227" s="398"/>
      <c r="G3227" s="398"/>
      <c r="H3227" s="398"/>
      <c r="I3227" s="390"/>
      <c r="J3227" s="390"/>
      <c r="K3227" s="390"/>
      <c r="L3227" s="390"/>
      <c r="M3227" s="390"/>
      <c r="N3227" s="390"/>
      <c r="O3227" s="390"/>
      <c r="P3227" s="390"/>
      <c r="Q3227" s="390"/>
      <c r="R3227" s="390"/>
      <c r="S3227" s="390"/>
      <c r="T3227" s="390"/>
    </row>
    <row r="3228" spans="1:20" ht="15.75" customHeight="1" x14ac:dyDescent="0.25">
      <c r="A3228" s="390"/>
      <c r="B3228" s="390"/>
      <c r="C3228" s="390"/>
      <c r="D3228" s="391"/>
      <c r="E3228" s="390"/>
      <c r="F3228" s="390"/>
      <c r="G3228" s="390"/>
      <c r="H3228" s="398"/>
      <c r="I3228" s="390"/>
      <c r="J3228" s="390"/>
      <c r="K3228" s="390"/>
      <c r="L3228" s="390"/>
      <c r="M3228" s="390"/>
      <c r="N3228" s="390"/>
      <c r="O3228" s="390"/>
      <c r="P3228" s="390"/>
      <c r="Q3228" s="390"/>
      <c r="R3228" s="390"/>
      <c r="S3228" s="390"/>
      <c r="T3228" s="390"/>
    </row>
    <row r="3229" spans="1:20" ht="15.75" customHeight="1" x14ac:dyDescent="0.25">
      <c r="A3229" s="390"/>
      <c r="B3229" s="390"/>
      <c r="C3229" s="391"/>
      <c r="D3229" s="392"/>
      <c r="E3229" s="393"/>
      <c r="F3229" s="393"/>
      <c r="G3229" s="393"/>
      <c r="H3229" s="394"/>
      <c r="I3229" s="390"/>
      <c r="J3229" s="390"/>
      <c r="K3229" s="390"/>
      <c r="L3229" s="390"/>
      <c r="M3229" s="390"/>
      <c r="N3229" s="390"/>
      <c r="O3229" s="390"/>
      <c r="P3229" s="390"/>
      <c r="Q3229" s="390"/>
      <c r="R3229" s="390"/>
      <c r="S3229" s="390"/>
      <c r="T3229" s="390"/>
    </row>
    <row r="3230" spans="1:20" ht="15.75" customHeight="1" x14ac:dyDescent="0.25">
      <c r="A3230" s="390"/>
      <c r="B3230" s="390"/>
      <c r="C3230" s="390"/>
      <c r="D3230" s="391"/>
      <c r="E3230" s="390"/>
      <c r="F3230" s="395" t="s">
        <v>18</v>
      </c>
      <c r="G3230" s="396" t="s">
        <v>647</v>
      </c>
      <c r="H3230" s="397"/>
      <c r="I3230" s="390"/>
      <c r="J3230" s="390"/>
      <c r="K3230" s="390"/>
      <c r="L3230" s="390"/>
      <c r="M3230" s="390"/>
      <c r="N3230" s="390"/>
      <c r="O3230" s="390"/>
      <c r="P3230" s="390"/>
      <c r="Q3230" s="390"/>
      <c r="R3230" s="390"/>
      <c r="S3230" s="390"/>
      <c r="T3230" s="390"/>
    </row>
    <row r="3231" spans="1:20" ht="15.75" customHeight="1" x14ac:dyDescent="0.25">
      <c r="A3231" s="390" t="s">
        <v>20</v>
      </c>
      <c r="B3231" s="390"/>
      <c r="C3231" s="390"/>
      <c r="D3231" s="391"/>
      <c r="E3231" s="390"/>
      <c r="F3231" s="395" t="s">
        <v>21</v>
      </c>
      <c r="G3231" s="390" t="s">
        <v>1366</v>
      </c>
      <c r="H3231" s="391"/>
      <c r="I3231" s="390"/>
      <c r="J3231" s="390"/>
      <c r="K3231" s="390"/>
      <c r="L3231" s="390"/>
      <c r="M3231" s="390"/>
      <c r="N3231" s="390"/>
      <c r="O3231" s="390"/>
      <c r="P3231" s="390"/>
      <c r="Q3231" s="390"/>
      <c r="R3231" s="390"/>
      <c r="S3231" s="390"/>
      <c r="T3231" s="390"/>
    </row>
    <row r="3232" spans="1:20" ht="15.75" customHeight="1" x14ac:dyDescent="0.25">
      <c r="A3232" s="390" t="inlineStr">
        <is>
          <t>Dealer-002</t>
        </is>
      </c>
      <c r="B3232" s="390"/>
      <c r="C3232" s="390"/>
      <c r="D3232" s="391"/>
      <c r="E3232" s="395"/>
      <c r="F3232" s="390"/>
      <c r="G3232" s="390"/>
      <c r="H3232" s="394"/>
      <c r="I3232" s="390"/>
      <c r="J3232" s="390"/>
      <c r="K3232" s="390"/>
      <c r="L3232" s="390"/>
      <c r="M3232" s="390"/>
      <c r="N3232" s="390"/>
      <c r="O3232" s="390"/>
      <c r="P3232" s="390"/>
      <c r="Q3232" s="390"/>
      <c r="R3232" s="390"/>
      <c r="S3232" s="390"/>
      <c r="T3232" s="390"/>
    </row>
    <row r="3233" spans="1:20" ht="15.75" customHeight="1" x14ac:dyDescent="0.25">
      <c r="A3233" s="390" t="inlineStr">
        <is>
          <t>Address line (redacted)</t>
        </is>
      </c>
      <c r="B3233" s="390"/>
      <c r="C3233" s="390"/>
      <c r="D3233" s="398"/>
      <c r="E3233" s="390"/>
      <c r="F3233" s="391"/>
      <c r="G3233" s="390"/>
      <c r="H3233" s="394"/>
      <c r="I3233" s="390"/>
      <c r="J3233" s="390"/>
      <c r="K3233" s="390"/>
      <c r="L3233" s="390"/>
      <c r="M3233" s="390"/>
      <c r="N3233" s="390"/>
      <c r="O3233" s="390"/>
      <c r="P3233" s="390"/>
      <c r="Q3233" s="390"/>
      <c r="R3233" s="390"/>
      <c r="S3233" s="390"/>
      <c r="T3233" s="390"/>
    </row>
    <row r="3234" spans="1:20" ht="15.75" customHeight="1" x14ac:dyDescent="0.25">
      <c r="A3234" s="390" t="inlineStr">
        <is>
          <t>Address line (redacted)</t>
        </is>
      </c>
      <c r="B3234" s="390"/>
      <c r="C3234" s="390"/>
      <c r="D3234" s="398"/>
      <c r="E3234" s="390"/>
      <c r="F3234" s="391"/>
      <c r="G3234" s="390"/>
      <c r="H3234" s="394"/>
      <c r="I3234" s="390"/>
      <c r="J3234" s="390"/>
      <c r="K3234" s="390"/>
      <c r="L3234" s="390"/>
      <c r="M3234" s="390"/>
      <c r="N3234" s="390"/>
      <c r="O3234" s="390"/>
      <c r="P3234" s="390"/>
      <c r="Q3234" s="390"/>
      <c r="R3234" s="390"/>
      <c r="S3234" s="390"/>
      <c r="T3234" s="390"/>
    </row>
    <row r="3235" spans="1:20" ht="15.75" customHeight="1" x14ac:dyDescent="0.25">
      <c r="A3235" s="447"/>
      <c r="B3235" s="390"/>
      <c r="C3235" s="390"/>
      <c r="D3235" s="391"/>
      <c r="E3235" s="390"/>
      <c r="F3235" s="391"/>
      <c r="G3235" s="390"/>
      <c r="H3235" s="394"/>
      <c r="I3235" s="390"/>
      <c r="J3235" s="390"/>
      <c r="K3235" s="390"/>
      <c r="L3235" s="390"/>
      <c r="M3235" s="390"/>
      <c r="N3235" s="390"/>
      <c r="O3235" s="390"/>
      <c r="P3235" s="390"/>
      <c r="Q3235" s="390"/>
      <c r="R3235" s="390"/>
      <c r="S3235" s="390"/>
      <c r="T3235" s="390"/>
    </row>
    <row r="3236" spans="1:20" ht="15.75" customHeight="1" x14ac:dyDescent="0.25">
      <c r="A3236" s="390" t="s">
        <v>30</v>
      </c>
      <c r="B3236" s="390"/>
      <c r="C3236" s="390"/>
      <c r="D3236" s="391"/>
      <c r="E3236" s="390"/>
      <c r="F3236" s="391"/>
      <c r="G3236" s="390"/>
      <c r="H3236" s="394"/>
      <c r="I3236" s="390"/>
      <c r="J3236" s="390"/>
      <c r="K3236" s="390"/>
      <c r="L3236" s="390"/>
      <c r="M3236" s="390"/>
      <c r="N3236" s="390"/>
      <c r="O3236" s="390"/>
      <c r="P3236" s="390"/>
      <c r="Q3236" s="390"/>
      <c r="R3236" s="390"/>
      <c r="S3236" s="390"/>
      <c r="T3236" s="390"/>
    </row>
    <row r="3237" spans="1:20" ht="15.75" customHeight="1" x14ac:dyDescent="0.25">
      <c r="A3237" s="390"/>
      <c r="B3237" s="390"/>
      <c r="C3237" s="390"/>
      <c r="D3237" s="391"/>
      <c r="E3237" s="390"/>
      <c r="F3237" s="391"/>
      <c r="G3237" s="390"/>
      <c r="H3237" s="394"/>
      <c r="I3237" s="390"/>
      <c r="J3237" s="390"/>
      <c r="K3237" s="390"/>
      <c r="L3237" s="390"/>
      <c r="M3237" s="390"/>
      <c r="N3237" s="390"/>
      <c r="O3237" s="390"/>
      <c r="P3237" s="390"/>
      <c r="Q3237" s="390"/>
      <c r="R3237" s="390"/>
      <c r="S3237" s="390"/>
      <c r="T3237" s="390"/>
    </row>
    <row r="3238" spans="1:20" ht="15.75" customHeight="1" x14ac:dyDescent="0.25">
      <c r="A3238" s="390" t="s">
        <v>31</v>
      </c>
      <c r="B3238" s="390"/>
      <c r="C3238" s="390"/>
      <c r="D3238" s="391"/>
      <c r="E3238" s="390"/>
      <c r="F3238" s="391"/>
      <c r="G3238" s="390"/>
      <c r="H3238" s="394"/>
      <c r="I3238" s="390"/>
      <c r="J3238" s="390"/>
      <c r="K3238" s="390"/>
      <c r="L3238" s="390"/>
      <c r="M3238" s="390"/>
      <c r="N3238" s="390"/>
      <c r="O3238" s="390"/>
      <c r="P3238" s="390"/>
      <c r="Q3238" s="390"/>
      <c r="R3238" s="390"/>
      <c r="S3238" s="390"/>
      <c r="T3238" s="390"/>
    </row>
    <row r="3239" spans="1:20" ht="15.75" customHeight="1" x14ac:dyDescent="0.25">
      <c r="A3239" s="390" t="s">
        <v>32</v>
      </c>
      <c r="B3239" s="390"/>
      <c r="C3239" s="390"/>
      <c r="D3239" s="391"/>
      <c r="E3239" s="390"/>
      <c r="F3239" s="391"/>
      <c r="G3239" s="390"/>
      <c r="H3239" s="394"/>
      <c r="I3239" s="390"/>
      <c r="J3239" s="390"/>
      <c r="K3239" s="390"/>
      <c r="L3239" s="390"/>
      <c r="M3239" s="390"/>
      <c r="N3239" s="390"/>
      <c r="O3239" s="390"/>
      <c r="P3239" s="390"/>
      <c r="Q3239" s="390"/>
      <c r="R3239" s="390"/>
      <c r="S3239" s="390"/>
      <c r="T3239" s="390"/>
    </row>
    <row r="3240" spans="1:20" ht="15.75" customHeight="1" x14ac:dyDescent="0.25">
      <c r="A3240" s="390"/>
      <c r="B3240" s="390"/>
      <c r="C3240" s="390"/>
      <c r="D3240" s="391"/>
      <c r="E3240" s="390"/>
      <c r="F3240" s="391"/>
      <c r="G3240" s="390"/>
      <c r="H3240" s="394"/>
      <c r="I3240" s="390"/>
      <c r="J3240" s="390"/>
      <c r="K3240" s="390"/>
      <c r="L3240" s="390"/>
      <c r="M3240" s="390"/>
      <c r="N3240" s="390"/>
      <c r="O3240" s="390"/>
      <c r="P3240" s="390"/>
      <c r="Q3240" s="390"/>
      <c r="R3240" s="390"/>
      <c r="S3240" s="390"/>
      <c r="T3240" s="390"/>
    </row>
    <row r="3241" spans="1:20" ht="15.75" customHeight="1" x14ac:dyDescent="0.25">
      <c r="A3241" s="399" t="s">
        <v>33</v>
      </c>
      <c r="B3241" s="400" t="s">
        <v>6</v>
      </c>
      <c r="C3241" s="400"/>
      <c r="D3241" s="401" t="s">
        <v>37</v>
      </c>
      <c r="E3241" s="402" t="s">
        <v>38</v>
      </c>
      <c r="F3241" s="403" t="s">
        <v>7</v>
      </c>
      <c r="G3241" s="404" t="s">
        <v>43</v>
      </c>
      <c r="H3241" s="405" t="s">
        <v>44</v>
      </c>
      <c r="I3241" s="390"/>
      <c r="J3241" s="390"/>
      <c r="K3241" s="390"/>
      <c r="L3241" s="390"/>
      <c r="M3241" s="390"/>
      <c r="N3241" s="390"/>
      <c r="O3241" s="390"/>
      <c r="P3241" s="390"/>
      <c r="Q3241" s="390"/>
      <c r="R3241" s="390"/>
      <c r="S3241" s="390"/>
      <c r="T3241" s="390"/>
    </row>
    <row r="3242" spans="1:20" ht="15.75" customHeight="1" x14ac:dyDescent="0.25">
      <c r="A3242" s="406"/>
      <c r="B3242" s="407"/>
      <c r="C3242" s="393"/>
      <c r="D3242" s="408"/>
      <c r="E3242" s="408"/>
      <c r="F3242" s="409"/>
      <c r="G3242" s="410"/>
      <c r="H3242" s="411"/>
      <c r="I3242" s="390"/>
      <c r="J3242" s="390"/>
      <c r="K3242" s="390"/>
      <c r="L3242" s="390"/>
      <c r="M3242" s="390"/>
      <c r="N3242" s="390"/>
      <c r="O3242" s="390"/>
      <c r="P3242" s="390"/>
      <c r="Q3242" s="390"/>
      <c r="R3242" s="390"/>
      <c r="S3242" s="390"/>
      <c r="T3242" s="390"/>
    </row>
    <row r="3243" spans="1:20" ht="15.75" customHeight="1" x14ac:dyDescent="0.25">
      <c r="A3243" s="425"/>
      <c r="B3243" s="557" t="s">
        <v>1370</v>
      </c>
      <c r="C3243" s="558"/>
      <c r="D3243" s="427"/>
      <c r="E3243" s="427"/>
      <c r="F3243" s="391"/>
      <c r="G3243" s="427"/>
      <c r="H3243" s="429"/>
      <c r="I3243" s="390"/>
      <c r="J3243" s="390"/>
      <c r="K3243" s="390"/>
      <c r="L3243" s="390"/>
      <c r="M3243" s="390"/>
      <c r="N3243" s="390"/>
      <c r="O3243" s="390"/>
      <c r="P3243" s="390"/>
      <c r="Q3243" s="390"/>
      <c r="R3243" s="390"/>
      <c r="S3243" s="390"/>
      <c r="T3243" s="390"/>
    </row>
    <row r="3244" spans="1:20" ht="15.75" customHeight="1" x14ac:dyDescent="0.25">
      <c r="A3244" s="425" t="s">
        <v>55</v>
      </c>
      <c r="B3244" s="448" t="s">
        <v>1371</v>
      </c>
      <c r="C3244" s="390" t="s">
        <v>432</v>
      </c>
      <c r="D3244" s="427">
        <v>2</v>
      </c>
      <c r="E3244" s="427">
        <v>25</v>
      </c>
      <c r="F3244" s="391">
        <f>+E3244*D3244</f>
      </c>
      <c r="G3244" s="427">
        <v>1</v>
      </c>
      <c r="H3244" s="429">
        <f>+G3244*F3244</f>
      </c>
      <c r="I3244" s="390"/>
      <c r="J3244" s="390"/>
      <c r="K3244" s="390"/>
      <c r="L3244" s="390"/>
      <c r="M3244" s="390"/>
      <c r="N3244" s="390"/>
      <c r="O3244" s="390"/>
      <c r="P3244" s="390"/>
      <c r="Q3244" s="390"/>
      <c r="R3244" s="390"/>
      <c r="S3244" s="390"/>
      <c r="T3244" s="390"/>
    </row>
    <row r="3245" spans="1:20" ht="15.75" customHeight="1" x14ac:dyDescent="0.25">
      <c r="A3245" s="425"/>
      <c r="B3245" s="448"/>
      <c r="C3245" s="390"/>
      <c r="D3245" s="427"/>
      <c r="E3245" s="427"/>
      <c r="F3245" s="391"/>
      <c r="G3245" s="427"/>
      <c r="H3245" s="429"/>
      <c r="I3245" s="390"/>
      <c r="J3245" s="390"/>
      <c r="K3245" s="390"/>
      <c r="L3245" s="390"/>
      <c r="M3245" s="390"/>
      <c r="N3245" s="390"/>
      <c r="O3245" s="390"/>
      <c r="P3245" s="390"/>
      <c r="Q3245" s="390"/>
      <c r="R3245" s="390"/>
      <c r="S3245" s="390"/>
      <c r="T3245" s="390"/>
    </row>
    <row r="3246" spans="1:20" ht="15.75" customHeight="1" x14ac:dyDescent="0.25">
      <c r="A3246" s="425"/>
      <c r="B3246" s="448"/>
      <c r="C3246" s="390"/>
      <c r="D3246" s="427"/>
      <c r="E3246" s="427"/>
      <c r="F3246" s="391"/>
      <c r="G3246" s="427"/>
      <c r="H3246" s="429"/>
      <c r="I3246" s="390"/>
      <c r="J3246" s="390"/>
      <c r="K3246" s="390"/>
      <c r="L3246" s="390"/>
      <c r="M3246" s="390"/>
      <c r="N3246" s="390"/>
      <c r="O3246" s="390"/>
      <c r="P3246" s="390"/>
      <c r="Q3246" s="390"/>
      <c r="R3246" s="390"/>
      <c r="S3246" s="390"/>
      <c r="T3246" s="390"/>
    </row>
    <row r="3247" spans="1:20" ht="15.75" customHeight="1" x14ac:dyDescent="0.25">
      <c r="A3247" s="425"/>
      <c r="B3247" s="448"/>
      <c r="C3247" s="390"/>
      <c r="D3247" s="427"/>
      <c r="E3247" s="427"/>
      <c r="F3247" s="391"/>
      <c r="G3247" s="427"/>
      <c r="H3247" s="429"/>
      <c r="I3247" s="390"/>
      <c r="J3247" s="390"/>
      <c r="K3247" s="390"/>
      <c r="L3247" s="390"/>
      <c r="M3247" s="390"/>
      <c r="N3247" s="390"/>
      <c r="O3247" s="390"/>
      <c r="P3247" s="390"/>
      <c r="Q3247" s="390"/>
      <c r="R3247" s="390"/>
      <c r="S3247" s="390"/>
      <c r="T3247" s="390"/>
    </row>
    <row r="3248" spans="1:20" ht="15.75" customHeight="1" x14ac:dyDescent="0.25">
      <c r="A3248" s="425"/>
      <c r="B3248" s="426"/>
      <c r="C3248" s="390"/>
      <c r="D3248" s="427"/>
      <c r="E3248" s="427"/>
      <c r="F3248" s="391"/>
      <c r="G3248" s="427"/>
      <c r="H3248" s="429"/>
      <c r="I3248" s="390"/>
      <c r="J3248" s="390"/>
      <c r="K3248" s="390"/>
      <c r="L3248" s="390"/>
      <c r="M3248" s="390"/>
      <c r="N3248" s="390"/>
      <c r="O3248" s="390"/>
      <c r="P3248" s="390"/>
      <c r="Q3248" s="390"/>
      <c r="R3248" s="390"/>
      <c r="S3248" s="390"/>
      <c r="T3248" s="390"/>
    </row>
    <row r="3249" spans="1:20" ht="15.75" customHeight="1" x14ac:dyDescent="0.25">
      <c r="A3249" s="430"/>
      <c r="B3249" s="409"/>
      <c r="C3249" s="393"/>
      <c r="D3249" s="427"/>
      <c r="E3249" s="427"/>
      <c r="F3249" s="428"/>
      <c r="G3249" s="431"/>
      <c r="H3249" s="429"/>
      <c r="I3249" s="390"/>
      <c r="J3249" s="390"/>
      <c r="K3249" s="390"/>
      <c r="L3249" s="390"/>
      <c r="M3249" s="390"/>
      <c r="N3249" s="390"/>
      <c r="O3249" s="390"/>
      <c r="P3249" s="390"/>
      <c r="Q3249" s="390"/>
      <c r="R3249" s="390"/>
      <c r="S3249" s="390"/>
      <c r="T3249" s="390"/>
    </row>
    <row r="3250" spans="1:20" ht="15.75" customHeight="1" x14ac:dyDescent="0.25">
      <c r="A3250" s="432"/>
      <c r="B3250" s="433"/>
      <c r="C3250" s="434" t="s">
        <v>85</v>
      </c>
      <c r="D3250" s="435">
        <f>SUM(D3243:D3249)</f>
      </c>
      <c r="E3250" s="435"/>
      <c r="F3250" s="436">
        <f>SUM(F3243:F3249)</f>
      </c>
      <c r="G3250" s="437"/>
      <c r="H3250" s="438">
        <f>SUM(H3244:H3249)</f>
      </c>
      <c r="I3250" s="390"/>
      <c r="J3250" s="390"/>
      <c r="K3250" s="390"/>
      <c r="L3250" s="390"/>
      <c r="M3250" s="390"/>
      <c r="N3250" s="390"/>
      <c r="O3250" s="390"/>
      <c r="P3250" s="390"/>
      <c r="Q3250" s="390"/>
      <c r="R3250" s="390"/>
      <c r="S3250" s="390"/>
      <c r="T3250" s="390"/>
    </row>
    <row r="3251" spans="1:20" ht="15.75" customHeight="1" x14ac:dyDescent="0.25">
      <c r="A3251" s="439"/>
      <c r="B3251" s="440"/>
      <c r="C3251" s="440"/>
      <c r="D3251" s="441"/>
      <c r="E3251" s="440"/>
      <c r="F3251" s="442"/>
      <c r="G3251" s="443"/>
      <c r="H3251" s="444"/>
      <c r="I3251" s="390"/>
      <c r="J3251" s="390"/>
      <c r="K3251" s="390"/>
      <c r="L3251" s="390"/>
      <c r="M3251" s="390"/>
      <c r="N3251" s="390"/>
      <c r="O3251" s="390"/>
      <c r="P3251" s="390"/>
      <c r="Q3251" s="390"/>
      <c r="R3251" s="390"/>
      <c r="S3251" s="390"/>
      <c r="T3251" s="390"/>
    </row>
    <row r="3252" spans="1:20" ht="15.75" customHeight="1" x14ac:dyDescent="0.25">
      <c r="A3252" s="392"/>
      <c r="B3252" s="391"/>
      <c r="C3252" s="391"/>
      <c r="D3252" s="391"/>
      <c r="E3252" s="390"/>
      <c r="F3252" s="392"/>
      <c r="G3252" s="390"/>
      <c r="H3252" s="394"/>
      <c r="I3252" s="390"/>
      <c r="J3252" s="390"/>
      <c r="K3252" s="390"/>
      <c r="L3252" s="390"/>
      <c r="M3252" s="390"/>
      <c r="N3252" s="390"/>
      <c r="O3252" s="390"/>
      <c r="P3252" s="390"/>
      <c r="Q3252" s="390"/>
      <c r="R3252" s="390"/>
      <c r="S3252" s="390"/>
      <c r="T3252" s="390"/>
    </row>
    <row r="3253" spans="1:20" ht="15.75" customHeight="1" x14ac:dyDescent="0.25">
      <c r="A3253" s="445"/>
      <c r="B3253" s="445"/>
      <c r="C3253" s="445"/>
      <c r="D3253" s="446" t="s">
        <v>97</v>
      </c>
      <c r="E3253" s="445" t="s">
        <v>98</v>
      </c>
      <c r="F3253" s="445"/>
      <c r="G3253" s="390"/>
      <c r="H3253" s="394"/>
      <c r="I3253" s="390"/>
      <c r="J3253" s="390"/>
      <c r="K3253" s="390"/>
      <c r="L3253" s="390"/>
      <c r="M3253" s="390"/>
      <c r="N3253" s="390"/>
      <c r="O3253" s="390"/>
      <c r="P3253" s="390"/>
      <c r="Q3253" s="390"/>
      <c r="R3253" s="390"/>
      <c r="S3253" s="390"/>
      <c r="T3253" s="390"/>
    </row>
    <row r="3254" spans="1:20" ht="15.75" customHeight="1" x14ac:dyDescent="0.25">
      <c r="A3254" s="390"/>
      <c r="B3254" s="390"/>
      <c r="C3254" s="390"/>
      <c r="D3254" s="391"/>
      <c r="E3254" s="390"/>
      <c r="F3254" s="390"/>
      <c r="G3254" s="390"/>
      <c r="H3254" s="394"/>
      <c r="I3254" s="390"/>
      <c r="J3254" s="390"/>
      <c r="K3254" s="390"/>
      <c r="L3254" s="390"/>
      <c r="M3254" s="390"/>
      <c r="N3254" s="390"/>
      <c r="O3254" s="390"/>
      <c r="P3254" s="390"/>
      <c r="Q3254" s="390"/>
      <c r="R3254" s="390"/>
      <c r="S3254" s="390"/>
      <c r="T3254" s="390"/>
    </row>
    <row r="3255" spans="1:20" ht="15.75" customHeight="1" x14ac:dyDescent="0.25">
      <c r="A3255" s="390"/>
      <c r="B3255" s="390"/>
      <c r="C3255" s="390"/>
      <c r="D3255" s="391"/>
      <c r="E3255" s="390"/>
      <c r="F3255" s="390"/>
      <c r="G3255" s="390"/>
      <c r="H3255" s="394"/>
      <c r="I3255" s="390"/>
      <c r="J3255" s="390"/>
      <c r="K3255" s="390"/>
      <c r="L3255" s="390"/>
      <c r="M3255" s="390"/>
      <c r="N3255" s="390"/>
      <c r="O3255" s="390"/>
      <c r="P3255" s="390"/>
      <c r="Q3255" s="390"/>
      <c r="R3255" s="390"/>
      <c r="S3255" s="390"/>
      <c r="T3255" s="390"/>
    </row>
    <row r="3256" spans="1:20" ht="15.75" customHeight="1" x14ac:dyDescent="0.25">
      <c r="A3256" s="445"/>
      <c r="B3256" s="445"/>
      <c r="C3256" s="445"/>
      <c r="D3256" s="446"/>
      <c r="E3256" s="445" t="s">
        <v>99</v>
      </c>
      <c r="F3256" s="445"/>
      <c r="G3256" s="390"/>
      <c r="H3256" s="394"/>
    </row>
    <row r="3257" spans="1:20" ht="15.75" customHeight="1" x14ac:dyDescent="0.25">
      <c r="D3257" s="4"/>
      <c r="H3257" s="4"/>
    </row>
    <row r="3258" spans="1:20" ht="15.75" customHeight="1" x14ac:dyDescent="0.25">
      <c r="D3258" s="4"/>
      <c r="H3258" s="4"/>
    </row>
    <row r="3259" spans="1:20" ht="15.75" customHeight="1" x14ac:dyDescent="0.25">
      <c r="D3259" s="4"/>
      <c r="H3259" s="4"/>
    </row>
    <row r="3260" spans="1:20" ht="15.75" customHeight="1" x14ac:dyDescent="0.25">
      <c r="D3260" s="4"/>
      <c r="H3260" s="4"/>
    </row>
    <row r="3261" spans="1:20" ht="15.75" customHeight="1" x14ac:dyDescent="0.25">
      <c r="D3261" s="4"/>
      <c r="H3261" s="4"/>
    </row>
    <row r="3262" spans="1:20" ht="15.75" customHeight="1" x14ac:dyDescent="0.25">
      <c r="D3262" s="4"/>
      <c r="H3262" s="4"/>
    </row>
    <row r="3263" spans="1:20" ht="15.75" customHeight="1" x14ac:dyDescent="0.25">
      <c r="D3263" s="4"/>
      <c r="H3263" s="4"/>
    </row>
    <row r="3264" spans="1:20" ht="15.75" customHeight="1" x14ac:dyDescent="0.25">
      <c r="D3264" s="4"/>
      <c r="H3264" s="4"/>
    </row>
    <row r="3265" spans="1:8" ht="15.75" customHeight="1" x14ac:dyDescent="0.25">
      <c r="D3265" s="4"/>
      <c r="H3265" s="4"/>
    </row>
    <row r="3266" spans="1:8" ht="15.75" customHeight="1" x14ac:dyDescent="0.25">
      <c r="D3266" s="4"/>
      <c r="H3266" s="4"/>
    </row>
    <row r="3267" spans="1:8" ht="15.75" customHeight="1" x14ac:dyDescent="0.25">
      <c r="D3267" s="4"/>
      <c r="H3267" s="4"/>
    </row>
    <row r="3268" spans="1:8" ht="15.75" customHeight="1" x14ac:dyDescent="0.25">
      <c r="D3268" s="4"/>
      <c r="H3268" s="4"/>
    </row>
    <row r="3269" spans="1:8" ht="15.75" customHeight="1" x14ac:dyDescent="0.25">
      <c r="D3269" s="4"/>
      <c r="H3269" s="4"/>
    </row>
    <row r="3270" spans="1:8" ht="15.75" customHeight="1" x14ac:dyDescent="0.25">
      <c r="D3270" s="4"/>
      <c r="H3270" s="4"/>
    </row>
    <row r="3271" spans="1:8" ht="15.75" customHeight="1" x14ac:dyDescent="0.25">
      <c r="D3271" s="4"/>
      <c r="H3271" s="4"/>
    </row>
    <row r="3272" spans="1:8" ht="15.75" customHeight="1" x14ac:dyDescent="0.25">
      <c r="D3272" s="4"/>
      <c r="H3272" s="4"/>
    </row>
    <row r="3273" spans="1:8" ht="15.75" customHeight="1" x14ac:dyDescent="0.25">
      <c r="D3273" s="4"/>
      <c r="H3273" s="4"/>
    </row>
    <row r="3274" spans="1:8" ht="15.75" customHeight="1" x14ac:dyDescent="0.25">
      <c r="D3274" s="4"/>
      <c r="H3274" s="4"/>
    </row>
    <row r="3275" spans="1:8" ht="15.75" customHeight="1" x14ac:dyDescent="0.25">
      <c r="D3275" s="4"/>
      <c r="H3275" s="4"/>
    </row>
    <row r="3276" spans="1:8" ht="15.75" customHeight="1" x14ac:dyDescent="0.25">
      <c r="D3276" s="4"/>
      <c r="H3276" s="4"/>
    </row>
    <row r="3277" spans="1:8" ht="15.75" customHeight="1" x14ac:dyDescent="0.25">
      <c r="D3277" s="4"/>
      <c r="H3277" s="4"/>
    </row>
    <row r="3278" spans="1:8" ht="15.75" customHeight="1" x14ac:dyDescent="0.25">
      <c r="D3278" s="4"/>
      <c r="H3278" s="4"/>
    </row>
    <row r="3279" spans="1:8" ht="15.75" customHeight="1" x14ac:dyDescent="0.25">
      <c r="D3279" s="4"/>
      <c r="H3279" s="4"/>
    </row>
    <row r="3280" spans="1:8" ht="15.75" customHeight="1" x14ac:dyDescent="0.25">
      <c r="A3280" s="398" t="s">
        <v>14</v>
      </c>
      <c r="B3280" s="398"/>
      <c r="C3280" s="398"/>
      <c r="D3280" s="398"/>
      <c r="E3280" s="398"/>
      <c r="F3280" s="398"/>
      <c r="G3280" s="398"/>
      <c r="H3280" s="398"/>
    </row>
    <row r="3281" spans="1:8" ht="15.75" customHeight="1" x14ac:dyDescent="0.25">
      <c r="A3281" s="390"/>
      <c r="B3281" s="390"/>
      <c r="C3281" s="390"/>
      <c r="D3281" s="391"/>
      <c r="E3281" s="390"/>
      <c r="F3281" s="390"/>
      <c r="G3281" s="390"/>
      <c r="H3281" s="398"/>
    </row>
    <row r="3282" spans="1:8" ht="15.75" customHeight="1" x14ac:dyDescent="0.25">
      <c r="A3282" s="390"/>
      <c r="B3282" s="390"/>
      <c r="C3282" s="391"/>
      <c r="D3282" s="392"/>
      <c r="E3282" s="393"/>
      <c r="F3282" s="393"/>
      <c r="G3282" s="393"/>
      <c r="H3282" s="394"/>
    </row>
    <row r="3283" spans="1:8" ht="15.75" customHeight="1" x14ac:dyDescent="0.25">
      <c r="A3283" s="390"/>
      <c r="B3283" s="390"/>
      <c r="C3283" s="390"/>
      <c r="D3283" s="391"/>
      <c r="E3283" s="390"/>
      <c r="F3283" s="395" t="s">
        <v>18</v>
      </c>
      <c r="G3283" s="396" t="s">
        <v>1381</v>
      </c>
      <c r="H3283" s="397"/>
    </row>
    <row r="3284" spans="1:8" ht="15.75" customHeight="1" x14ac:dyDescent="0.25">
      <c r="A3284" s="390" t="s">
        <v>20</v>
      </c>
      <c r="B3284" s="390"/>
      <c r="C3284" s="390"/>
      <c r="D3284" s="391"/>
      <c r="E3284" s="390"/>
      <c r="F3284" s="395" t="s">
        <v>21</v>
      </c>
      <c r="G3284" s="390" t="s">
        <v>1382</v>
      </c>
      <c r="H3284" s="391"/>
    </row>
    <row r="3285" spans="1:8" ht="15.75" customHeight="1" x14ac:dyDescent="0.25">
      <c r="A3285" s="390" t="inlineStr">
        <is>
          <t>Dealer-002</t>
        </is>
      </c>
      <c r="B3285" s="390"/>
      <c r="C3285" s="390"/>
      <c r="D3285" s="391"/>
      <c r="E3285" s="395"/>
      <c r="F3285" s="390"/>
      <c r="G3285" s="390"/>
      <c r="H3285" s="394"/>
    </row>
    <row r="3286" spans="1:8" ht="15.75" customHeight="1" x14ac:dyDescent="0.25">
      <c r="A3286" s="390" t="inlineStr">
        <is>
          <t>Address line (redacted)</t>
        </is>
      </c>
      <c r="B3286" s="390"/>
      <c r="C3286" s="390"/>
      <c r="D3286" s="398"/>
      <c r="E3286" s="390"/>
      <c r="F3286" s="391"/>
      <c r="G3286" s="390"/>
      <c r="H3286" s="394"/>
    </row>
    <row r="3287" spans="1:8" ht="15.75" customHeight="1" x14ac:dyDescent="0.25">
      <c r="A3287" s="390" t="inlineStr">
        <is>
          <t>Address line (redacted)</t>
        </is>
      </c>
      <c r="B3287" s="390"/>
      <c r="C3287" s="390"/>
      <c r="D3287" s="398"/>
      <c r="E3287" s="390"/>
      <c r="F3287" s="391"/>
      <c r="G3287" s="390"/>
      <c r="H3287" s="394"/>
    </row>
    <row r="3288" spans="1:8" ht="15.75" customHeight="1" x14ac:dyDescent="0.25">
      <c r="A3288" s="447"/>
      <c r="B3288" s="390"/>
      <c r="C3288" s="390"/>
      <c r="D3288" s="391"/>
      <c r="E3288" s="390"/>
      <c r="F3288" s="391"/>
      <c r="G3288" s="390"/>
      <c r="H3288" s="394"/>
    </row>
    <row r="3289" spans="1:8" ht="15.75" customHeight="1" x14ac:dyDescent="0.25">
      <c r="A3289" s="390" t="s">
        <v>30</v>
      </c>
      <c r="B3289" s="390"/>
      <c r="C3289" s="390"/>
      <c r="D3289" s="391"/>
      <c r="E3289" s="390"/>
      <c r="F3289" s="391"/>
      <c r="G3289" s="390"/>
      <c r="H3289" s="394"/>
    </row>
    <row r="3290" spans="1:8" ht="15.75" customHeight="1" x14ac:dyDescent="0.25">
      <c r="A3290" s="390"/>
      <c r="B3290" s="390"/>
      <c r="C3290" s="390"/>
      <c r="D3290" s="391"/>
      <c r="E3290" s="390"/>
      <c r="F3290" s="391"/>
      <c r="G3290" s="390"/>
      <c r="H3290" s="394"/>
    </row>
    <row r="3291" spans="1:8" ht="15.75" customHeight="1" x14ac:dyDescent="0.25">
      <c r="A3291" s="390" t="s">
        <v>31</v>
      </c>
      <c r="B3291" s="390"/>
      <c r="C3291" s="390"/>
      <c r="D3291" s="391"/>
      <c r="E3291" s="390"/>
      <c r="F3291" s="391"/>
      <c r="G3291" s="390"/>
      <c r="H3291" s="394"/>
    </row>
    <row r="3292" spans="1:8" ht="15.75" customHeight="1" x14ac:dyDescent="0.25">
      <c r="A3292" s="390" t="s">
        <v>32</v>
      </c>
      <c r="B3292" s="390"/>
      <c r="C3292" s="390"/>
      <c r="D3292" s="391"/>
      <c r="E3292" s="390"/>
      <c r="F3292" s="391"/>
      <c r="G3292" s="390"/>
      <c r="H3292" s="394"/>
    </row>
    <row r="3293" spans="1:8" ht="15.75" customHeight="1" x14ac:dyDescent="0.25">
      <c r="A3293" s="390"/>
      <c r="B3293" s="390"/>
      <c r="C3293" s="390"/>
      <c r="D3293" s="391"/>
      <c r="E3293" s="390"/>
      <c r="F3293" s="391"/>
      <c r="G3293" s="390"/>
      <c r="H3293" s="394"/>
    </row>
    <row r="3294" spans="1:8" ht="15.75" customHeight="1" x14ac:dyDescent="0.25">
      <c r="A3294" s="399" t="s">
        <v>33</v>
      </c>
      <c r="B3294" s="400" t="s">
        <v>6</v>
      </c>
      <c r="C3294" s="400"/>
      <c r="D3294" s="401" t="s">
        <v>37</v>
      </c>
      <c r="E3294" s="402" t="s">
        <v>38</v>
      </c>
      <c r="F3294" s="403" t="s">
        <v>7</v>
      </c>
      <c r="G3294" s="404" t="s">
        <v>43</v>
      </c>
      <c r="H3294" s="405" t="s">
        <v>44</v>
      </c>
    </row>
    <row r="3295" spans="1:8" ht="15.75" customHeight="1" x14ac:dyDescent="0.25">
      <c r="A3295" s="406"/>
      <c r="B3295" s="407"/>
      <c r="C3295" s="393"/>
      <c r="D3295" s="408"/>
      <c r="E3295" s="408"/>
      <c r="F3295" s="409"/>
      <c r="G3295" s="410"/>
      <c r="H3295" s="411"/>
    </row>
    <row r="3296" spans="1:8" ht="15.75" customHeight="1" x14ac:dyDescent="0.25">
      <c r="A3296" s="425"/>
      <c r="B3296" s="557" t="s">
        <v>1370</v>
      </c>
      <c r="C3296" s="558"/>
      <c r="D3296" s="427"/>
      <c r="E3296" s="427"/>
      <c r="F3296" s="391"/>
      <c r="G3296" s="427"/>
      <c r="H3296" s="429"/>
    </row>
    <row r="3297" spans="1:8" ht="15.75" customHeight="1" x14ac:dyDescent="0.25">
      <c r="A3297" s="425" t="s">
        <v>55</v>
      </c>
      <c r="B3297" s="448" t="s">
        <v>1383</v>
      </c>
      <c r="C3297" s="390" t="s">
        <v>109</v>
      </c>
      <c r="D3297" s="427">
        <v>8</v>
      </c>
      <c r="E3297" s="427">
        <v>25</v>
      </c>
      <c r="F3297" s="391">
        <f t="shared" ref="F3297:F3298" si="72">+E3297*D3297</f>
      </c>
      <c r="G3297" s="427">
        <v>1</v>
      </c>
      <c r="H3297" s="429">
        <f t="shared" ref="H3297:H3298" si="73">+G3297*F3297</f>
      </c>
    </row>
    <row r="3298" spans="1:8" ht="15.75" customHeight="1" x14ac:dyDescent="0.25">
      <c r="A3298" s="425" t="s">
        <v>59</v>
      </c>
      <c r="B3298" s="448" t="s">
        <v>1386</v>
      </c>
      <c r="C3298" s="390" t="s">
        <v>1387</v>
      </c>
      <c r="D3298" s="427">
        <v>5</v>
      </c>
      <c r="E3298" s="427">
        <v>20</v>
      </c>
      <c r="F3298" s="391">
        <f t="shared" si="72"/>
      </c>
      <c r="G3298" s="427">
        <v>1</v>
      </c>
      <c r="H3298" s="429">
        <f t="shared" si="73"/>
      </c>
    </row>
    <row r="3299" spans="1:8" ht="15.75" customHeight="1" x14ac:dyDescent="0.25">
      <c r="A3299" s="425"/>
      <c r="B3299" s="448"/>
      <c r="C3299" s="390"/>
      <c r="D3299" s="427"/>
      <c r="E3299" s="427"/>
      <c r="F3299" s="391"/>
      <c r="G3299" s="427"/>
      <c r="H3299" s="429"/>
    </row>
    <row r="3300" spans="1:8" ht="15.75" customHeight="1" x14ac:dyDescent="0.25">
      <c r="A3300" s="425"/>
      <c r="B3300" s="448" t="s">
        <v>1389</v>
      </c>
      <c r="C3300" s="390"/>
      <c r="D3300" s="427"/>
      <c r="E3300" s="427"/>
      <c r="F3300" s="391"/>
      <c r="G3300" s="427"/>
      <c r="H3300" s="429"/>
    </row>
    <row r="3301" spans="1:8" ht="15.75" customHeight="1" x14ac:dyDescent="0.25">
      <c r="A3301" s="425"/>
      <c r="B3301" s="426"/>
      <c r="C3301" s="390"/>
      <c r="D3301" s="427"/>
      <c r="E3301" s="427"/>
      <c r="F3301" s="391"/>
      <c r="G3301" s="427"/>
      <c r="H3301" s="429"/>
    </row>
    <row r="3302" spans="1:8" ht="15.75" customHeight="1" x14ac:dyDescent="0.25">
      <c r="A3302" s="430"/>
      <c r="B3302" s="409"/>
      <c r="C3302" s="393"/>
      <c r="D3302" s="427"/>
      <c r="E3302" s="427"/>
      <c r="F3302" s="428"/>
      <c r="G3302" s="431"/>
      <c r="H3302" s="429"/>
    </row>
    <row r="3303" spans="1:8" ht="15.75" customHeight="1" x14ac:dyDescent="0.25">
      <c r="A3303" s="432"/>
      <c r="B3303" s="433"/>
      <c r="C3303" s="434" t="s">
        <v>85</v>
      </c>
      <c r="D3303" s="435">
        <f>SUM(D3296:D3302)</f>
      </c>
      <c r="E3303" s="435"/>
      <c r="F3303" s="436">
        <f>SUM(F3296:F3302)</f>
      </c>
      <c r="G3303" s="437"/>
      <c r="H3303" s="438">
        <f>SUM(H3297:H3302)</f>
      </c>
    </row>
    <row r="3304" spans="1:8" ht="15.75" customHeight="1" x14ac:dyDescent="0.25">
      <c r="A3304" s="439"/>
      <c r="B3304" s="440"/>
      <c r="C3304" s="440"/>
      <c r="D3304" s="441"/>
      <c r="E3304" s="440"/>
      <c r="F3304" s="442"/>
      <c r="G3304" s="443"/>
      <c r="H3304" s="444"/>
    </row>
    <row r="3305" spans="1:8" ht="15.75" customHeight="1" x14ac:dyDescent="0.25">
      <c r="A3305" s="392"/>
      <c r="B3305" s="391"/>
      <c r="C3305" s="391"/>
      <c r="D3305" s="391"/>
      <c r="E3305" s="390"/>
      <c r="F3305" s="392"/>
      <c r="G3305" s="390"/>
      <c r="H3305" s="394"/>
    </row>
    <row r="3306" spans="1:8" ht="15.75" customHeight="1" x14ac:dyDescent="0.25">
      <c r="A3306" s="445"/>
      <c r="B3306" s="445"/>
      <c r="C3306" s="445"/>
      <c r="D3306" s="446" t="s">
        <v>97</v>
      </c>
      <c r="E3306" s="445" t="s">
        <v>98</v>
      </c>
      <c r="F3306" s="445"/>
      <c r="G3306" s="390"/>
      <c r="H3306" s="394"/>
    </row>
    <row r="3307" spans="1:8" ht="15.75" customHeight="1" x14ac:dyDescent="0.25">
      <c r="A3307" s="390"/>
      <c r="B3307" s="390"/>
      <c r="C3307" s="390"/>
      <c r="D3307" s="391"/>
      <c r="E3307" s="390"/>
      <c r="F3307" s="390"/>
      <c r="G3307" s="390"/>
      <c r="H3307" s="394"/>
    </row>
    <row r="3308" spans="1:8" ht="15.75" customHeight="1" x14ac:dyDescent="0.25">
      <c r="A3308" s="390"/>
      <c r="B3308" s="390"/>
      <c r="C3308" s="390"/>
      <c r="D3308" s="391"/>
      <c r="E3308" s="390"/>
      <c r="F3308" s="390"/>
      <c r="G3308" s="390"/>
      <c r="H3308" s="394"/>
    </row>
    <row r="3309" spans="1:8" ht="15.75" customHeight="1" x14ac:dyDescent="0.25">
      <c r="A3309" s="445"/>
      <c r="B3309" s="445"/>
      <c r="C3309" s="445"/>
      <c r="D3309" s="446"/>
      <c r="E3309" s="445" t="s">
        <v>99</v>
      </c>
      <c r="F3309" s="445"/>
      <c r="G3309" s="390"/>
      <c r="H3309" s="394"/>
    </row>
    <row r="3310" spans="1:8" ht="15.75" customHeight="1" x14ac:dyDescent="0.25">
      <c r="D3310" s="4"/>
      <c r="H3310" s="4"/>
    </row>
    <row r="3311" spans="1:8" ht="15.75" customHeight="1" x14ac:dyDescent="0.25">
      <c r="D3311" s="4"/>
      <c r="H3311" s="4"/>
    </row>
    <row r="3312" spans="1:8" ht="15.75" customHeight="1" x14ac:dyDescent="0.25">
      <c r="D3312" s="4"/>
      <c r="H3312" s="4"/>
    </row>
    <row r="3313" spans="4:8" ht="15.75" customHeight="1" x14ac:dyDescent="0.25">
      <c r="D3313" s="4"/>
      <c r="H3313" s="4"/>
    </row>
    <row r="3314" spans="4:8" ht="15.75" customHeight="1" x14ac:dyDescent="0.25">
      <c r="D3314" s="4"/>
      <c r="H3314" s="4"/>
    </row>
    <row r="3315" spans="4:8" ht="15.75" customHeight="1" x14ac:dyDescent="0.25">
      <c r="D3315" s="4"/>
      <c r="H3315" s="4"/>
    </row>
    <row r="3316" spans="4:8" ht="15.75" customHeight="1" x14ac:dyDescent="0.25">
      <c r="D3316" s="4"/>
      <c r="H3316" s="4"/>
    </row>
    <row r="3317" spans="4:8" ht="15.75" customHeight="1" x14ac:dyDescent="0.25">
      <c r="D3317" s="4"/>
      <c r="H3317" s="4"/>
    </row>
    <row r="3318" spans="4:8" ht="15.75" customHeight="1" x14ac:dyDescent="0.25">
      <c r="D3318" s="4"/>
      <c r="H3318" s="4"/>
    </row>
    <row r="3319" spans="4:8" ht="15.75" customHeight="1" x14ac:dyDescent="0.25">
      <c r="D3319" s="4"/>
      <c r="H3319" s="4"/>
    </row>
    <row r="3320" spans="4:8" ht="15.75" customHeight="1" x14ac:dyDescent="0.25">
      <c r="D3320" s="4"/>
      <c r="H3320" s="4"/>
    </row>
    <row r="3321" spans="4:8" ht="15.75" customHeight="1" x14ac:dyDescent="0.25">
      <c r="D3321" s="4"/>
      <c r="H3321" s="4"/>
    </row>
    <row r="3322" spans="4:8" ht="15.75" customHeight="1" x14ac:dyDescent="0.25">
      <c r="D3322" s="4"/>
      <c r="H3322" s="4"/>
    </row>
    <row r="3323" spans="4:8" ht="15.75" customHeight="1" x14ac:dyDescent="0.25">
      <c r="D3323" s="4"/>
      <c r="H3323" s="4"/>
    </row>
    <row r="3324" spans="4:8" ht="15.75" customHeight="1" x14ac:dyDescent="0.25">
      <c r="D3324" s="4"/>
      <c r="H3324" s="4"/>
    </row>
    <row r="3325" spans="4:8" ht="15.75" customHeight="1" x14ac:dyDescent="0.25">
      <c r="D3325" s="4"/>
      <c r="H3325" s="4"/>
    </row>
    <row r="3326" spans="4:8" ht="15.75" customHeight="1" x14ac:dyDescent="0.25">
      <c r="D3326" s="4"/>
      <c r="H3326" s="4"/>
    </row>
    <row r="3327" spans="4:8" ht="15.75" customHeight="1" x14ac:dyDescent="0.25">
      <c r="D3327" s="4"/>
      <c r="H3327" s="4"/>
    </row>
    <row r="3328" spans="4:8" ht="15.75" customHeight="1" x14ac:dyDescent="0.25">
      <c r="D3328" s="4"/>
      <c r="H3328" s="4"/>
    </row>
    <row r="3329" spans="4:8" ht="15.75" customHeight="1" x14ac:dyDescent="0.25">
      <c r="D3329" s="4"/>
      <c r="H3329" s="4"/>
    </row>
    <row r="3330" spans="4:8" ht="15.75" customHeight="1" x14ac:dyDescent="0.25">
      <c r="D3330" s="4"/>
      <c r="H3330" s="4"/>
    </row>
    <row r="3331" spans="4:8" ht="15.75" customHeight="1" x14ac:dyDescent="0.25">
      <c r="D3331" s="4"/>
      <c r="H3331" s="4"/>
    </row>
    <row r="3332" spans="4:8" ht="15.75" customHeight="1" x14ac:dyDescent="0.25">
      <c r="D3332" s="4"/>
      <c r="H3332" s="4"/>
    </row>
    <row r="3333" spans="4:8" ht="15.75" customHeight="1" x14ac:dyDescent="0.25">
      <c r="D3333" s="4"/>
      <c r="H3333" s="4"/>
    </row>
    <row r="3334" spans="4:8" ht="15.75" customHeight="1" x14ac:dyDescent="0.25">
      <c r="D3334" s="4"/>
      <c r="H3334" s="4"/>
    </row>
    <row r="3335" spans="4:8" ht="15.75" customHeight="1" x14ac:dyDescent="0.25">
      <c r="D3335" s="4"/>
      <c r="H3335" s="4"/>
    </row>
    <row r="3336" spans="4:8" ht="15.75" customHeight="1" x14ac:dyDescent="0.25">
      <c r="D3336" s="4"/>
      <c r="H3336" s="4"/>
    </row>
    <row r="3337" spans="4:8" ht="15.75" customHeight="1" x14ac:dyDescent="0.25">
      <c r="D3337" s="4"/>
      <c r="H3337" s="4"/>
    </row>
    <row r="3338" spans="4:8" ht="15.75" customHeight="1" x14ac:dyDescent="0.25">
      <c r="D3338" s="4"/>
      <c r="H3338" s="4"/>
    </row>
    <row r="3339" spans="4:8" ht="15.75" customHeight="1" x14ac:dyDescent="0.25">
      <c r="D3339" s="4"/>
      <c r="H3339" s="4"/>
    </row>
    <row r="3340" spans="4:8" ht="15.75" customHeight="1" x14ac:dyDescent="0.25">
      <c r="D3340" s="4"/>
      <c r="H3340" s="4"/>
    </row>
    <row r="3341" spans="4:8" ht="13.5" customHeight="1" x14ac:dyDescent="0.25">
      <c r="D3341" s="4"/>
      <c r="H3341" s="4"/>
    </row>
    <row r="3342" spans="4:8" ht="15.75" customHeight="1" x14ac:dyDescent="0.25">
      <c r="D3342" s="4"/>
      <c r="H3342" s="4"/>
    </row>
    <row r="3343" spans="4:8" ht="15.75" customHeight="1" x14ac:dyDescent="0.25">
      <c r="D3343" s="4"/>
      <c r="H3343" s="4"/>
    </row>
    <row r="3344" spans="4:8" ht="13.5" customHeight="1" x14ac:dyDescent="0.25">
      <c r="D3344" s="4"/>
      <c r="H3344" s="4"/>
    </row>
    <row r="3345" spans="4:8" ht="15.75" customHeight="1" x14ac:dyDescent="0.25">
      <c r="D3345" s="4"/>
      <c r="H3345" s="4"/>
    </row>
    <row r="3346" spans="4:8" ht="15.75" customHeight="1" x14ac:dyDescent="0.25">
      <c r="D3346" s="4"/>
      <c r="H3346" s="4"/>
    </row>
    <row r="3347" spans="4:8" ht="15.75" customHeight="1" x14ac:dyDescent="0.25">
      <c r="D3347" s="4"/>
      <c r="H3347" s="4"/>
    </row>
    <row r="3348" spans="4:8" ht="15.75" customHeight="1" x14ac:dyDescent="0.25">
      <c r="D3348" s="4"/>
      <c r="H3348" s="4"/>
    </row>
    <row r="3349" spans="4:8" ht="15.75" customHeight="1" x14ac:dyDescent="0.25">
      <c r="D3349" s="4"/>
      <c r="H3349" s="4"/>
    </row>
    <row r="3350" spans="4:8" ht="15.75" customHeight="1" x14ac:dyDescent="0.25">
      <c r="D3350" s="4"/>
      <c r="H3350" s="4"/>
    </row>
    <row r="3351" spans="4:8" ht="15.75" customHeight="1" x14ac:dyDescent="0.25">
      <c r="D3351" s="4"/>
      <c r="H3351" s="4"/>
    </row>
    <row r="3352" spans="4:8" ht="15.75" customHeight="1" x14ac:dyDescent="0.25">
      <c r="D3352" s="4"/>
      <c r="H3352" s="4"/>
    </row>
    <row r="3353" spans="4:8" ht="15.75" customHeight="1" x14ac:dyDescent="0.25">
      <c r="D3353" s="4"/>
      <c r="H3353" s="4"/>
    </row>
    <row r="3354" spans="4:8" ht="15.75" customHeight="1" x14ac:dyDescent="0.25">
      <c r="D3354" s="4"/>
      <c r="H3354" s="4"/>
    </row>
    <row r="3355" spans="4:8" ht="15.75" customHeight="1" x14ac:dyDescent="0.25">
      <c r="D3355" s="4"/>
      <c r="H3355" s="4"/>
    </row>
    <row r="3356" spans="4:8" ht="15.75" customHeight="1" x14ac:dyDescent="0.25">
      <c r="D3356" s="4"/>
      <c r="H3356" s="4"/>
    </row>
    <row r="3357" spans="4:8" ht="15.75" customHeight="1" x14ac:dyDescent="0.25">
      <c r="D3357" s="4"/>
      <c r="H3357" s="4"/>
    </row>
    <row r="3358" spans="4:8" ht="15.75" customHeight="1" x14ac:dyDescent="0.25">
      <c r="D3358" s="4"/>
      <c r="H3358" s="4"/>
    </row>
    <row r="3359" spans="4:8" ht="15.75" customHeight="1" x14ac:dyDescent="0.25">
      <c r="D3359" s="4"/>
      <c r="H3359" s="4"/>
    </row>
    <row r="3360" spans="4:8" ht="15.75" customHeight="1" x14ac:dyDescent="0.25">
      <c r="D3360" s="4"/>
      <c r="H3360" s="4"/>
    </row>
    <row r="3361" spans="1:8" ht="15.75" customHeight="1" x14ac:dyDescent="0.25">
      <c r="D3361" s="4"/>
      <c r="H3361" s="4"/>
    </row>
    <row r="3362" spans="1:8" ht="15.75" customHeight="1" x14ac:dyDescent="0.25">
      <c r="D3362" s="4"/>
      <c r="H3362" s="4"/>
    </row>
    <row r="3363" spans="1:8" ht="15.75" customHeight="1" x14ac:dyDescent="0.25">
      <c r="D3363" s="4"/>
      <c r="H3363" s="4"/>
    </row>
    <row r="3364" spans="1:8" ht="15.75" customHeight="1" x14ac:dyDescent="0.25">
      <c r="D3364" s="4"/>
      <c r="H3364" s="4"/>
    </row>
    <row r="3365" spans="1:8" ht="15.75" customHeight="1" x14ac:dyDescent="0.25">
      <c r="D3365" s="4"/>
      <c r="H3365" s="4"/>
    </row>
    <row r="3366" spans="1:8" ht="15.75" customHeight="1" x14ac:dyDescent="0.25">
      <c r="D3366" s="4"/>
      <c r="H3366" s="4"/>
    </row>
    <row r="3367" spans="1:8" ht="15.75" customHeight="1" x14ac:dyDescent="0.25">
      <c r="D3367" s="4"/>
      <c r="H3367" s="4"/>
    </row>
    <row r="3368" spans="1:8" ht="15.75" customHeight="1" x14ac:dyDescent="0.25">
      <c r="D3368" s="4"/>
      <c r="H3368" s="4"/>
    </row>
    <row r="3369" spans="1:8" ht="15.75" customHeight="1" x14ac:dyDescent="0.25">
      <c r="D3369" s="4"/>
      <c r="H3369" s="4"/>
    </row>
    <row r="3370" spans="1:8" ht="15.75" customHeight="1" x14ac:dyDescent="0.25">
      <c r="D3370" s="4"/>
      <c r="H3370" s="4"/>
    </row>
    <row r="3371" spans="1:8" ht="15.75" customHeight="1" x14ac:dyDescent="0.25">
      <c r="D3371" s="4"/>
      <c r="H3371" s="4"/>
    </row>
    <row r="3372" spans="1:8" ht="15.75" customHeight="1" x14ac:dyDescent="0.25">
      <c r="A3372" s="392" t="s">
        <v>14</v>
      </c>
      <c r="B3372" s="391"/>
      <c r="C3372" s="391"/>
      <c r="D3372" s="391"/>
      <c r="E3372" s="391"/>
      <c r="F3372" s="391"/>
      <c r="G3372" s="391"/>
      <c r="H3372" s="394"/>
    </row>
    <row r="3373" spans="1:8" ht="15.75" customHeight="1" x14ac:dyDescent="0.25">
      <c r="A3373" s="392"/>
      <c r="B3373" s="391"/>
      <c r="C3373" s="391"/>
      <c r="D3373" s="391"/>
      <c r="E3373" s="390"/>
      <c r="F3373" s="392"/>
      <c r="G3373" s="390"/>
      <c r="H3373" s="394"/>
    </row>
    <row r="3374" spans="1:8" ht="15.75" customHeight="1" x14ac:dyDescent="0.25">
      <c r="A3374" s="392"/>
      <c r="B3374" s="391"/>
      <c r="C3374" s="391"/>
      <c r="D3374" s="391"/>
      <c r="E3374" s="390"/>
      <c r="F3374" s="392"/>
      <c r="G3374" s="390"/>
      <c r="H3374" s="394"/>
    </row>
    <row r="3375" spans="1:8" ht="15.75" customHeight="1" x14ac:dyDescent="0.25">
      <c r="A3375" s="390" t="s">
        <v>20</v>
      </c>
      <c r="B3375" s="390"/>
      <c r="C3375" s="390"/>
      <c r="D3375" s="391"/>
      <c r="E3375" s="390"/>
      <c r="F3375" s="392"/>
      <c r="G3375" s="390"/>
      <c r="H3375" s="394"/>
    </row>
    <row r="3376" spans="1:8" ht="15.75" customHeight="1" x14ac:dyDescent="0.25">
      <c r="A3376" s="390" t="inlineStr">
        <is>
          <t>Dealer-009</t>
        </is>
      </c>
      <c r="B3376" s="390"/>
      <c r="C3376" s="390" t="inlineStr">
        <is>
          <t>ATTN: Contact-001</t>
        </is>
      </c>
      <c r="D3376" s="391"/>
      <c r="E3376" s="390"/>
      <c r="F3376" s="395" t="s">
        <v>18</v>
      </c>
      <c r="G3376" s="390" t="s">
        <v>1397</v>
      </c>
      <c r="H3376" s="394"/>
    </row>
    <row r="3377" spans="1:8" ht="15.75" customHeight="1" x14ac:dyDescent="0.25">
      <c r="A3377" s="390" t="inlineStr">
        <is>
          <t>Address line (redacted)</t>
        </is>
      </c>
      <c r="B3377" s="390"/>
      <c r="C3377" s="390"/>
      <c r="D3377" s="391"/>
      <c r="E3377" s="390"/>
      <c r="F3377" s="393" t="s">
        <v>21</v>
      </c>
      <c r="G3377" s="390" t="s">
        <v>1398</v>
      </c>
      <c r="H3377" s="394"/>
    </row>
    <row r="3378" spans="1:8" ht="15.75" customHeight="1" x14ac:dyDescent="0.25">
      <c r="A3378" s="390" t="inlineStr">
        <is>
          <t>Address line (redacted)</t>
        </is>
      </c>
      <c r="B3378" s="390"/>
      <c r="C3378" s="390"/>
      <c r="D3378" s="391"/>
      <c r="E3378" s="390"/>
      <c r="F3378" s="391"/>
      <c r="G3378" s="390"/>
      <c r="H3378" s="394"/>
    </row>
    <row r="3379" spans="1:8" ht="15.75" customHeight="1" x14ac:dyDescent="0.25">
      <c r="A3379" s="390"/>
      <c r="B3379" s="390"/>
      <c r="C3379" s="393"/>
      <c r="D3379" s="391"/>
      <c r="E3379" s="390"/>
      <c r="F3379" s="391"/>
      <c r="G3379" s="390"/>
      <c r="H3379" s="394"/>
    </row>
    <row r="3380" spans="1:8" ht="15.75" customHeight="1" x14ac:dyDescent="0.25">
      <c r="A3380" s="390"/>
      <c r="B3380" s="390"/>
      <c r="C3380" s="390"/>
      <c r="D3380" s="391"/>
      <c r="E3380" s="390"/>
      <c r="F3380" s="391"/>
      <c r="G3380" s="390"/>
      <c r="H3380" s="394"/>
    </row>
    <row r="3381" spans="1:8" ht="15.75" customHeight="1" x14ac:dyDescent="0.25">
      <c r="A3381" s="390" t="s">
        <v>30</v>
      </c>
      <c r="B3381" s="390"/>
      <c r="C3381" s="390"/>
      <c r="D3381" s="391"/>
      <c r="E3381" s="390"/>
      <c r="F3381" s="391"/>
      <c r="G3381" s="390"/>
      <c r="H3381" s="394"/>
    </row>
    <row r="3382" spans="1:8" ht="15.75" customHeight="1" x14ac:dyDescent="0.25">
      <c r="A3382" s="390"/>
      <c r="B3382" s="390"/>
      <c r="C3382" s="390"/>
      <c r="D3382" s="391"/>
      <c r="E3382" s="390"/>
      <c r="F3382" s="391"/>
      <c r="G3382" s="390"/>
      <c r="H3382" s="394"/>
    </row>
    <row r="3383" spans="1:8" ht="15.75" customHeight="1" x14ac:dyDescent="0.25">
      <c r="A3383" s="390" t="s">
        <v>1322</v>
      </c>
      <c r="B3383" s="390"/>
      <c r="C3383" s="390"/>
      <c r="D3383" s="391"/>
      <c r="E3383" s="390"/>
      <c r="F3383" s="391"/>
      <c r="G3383" s="390"/>
      <c r="H3383" s="394"/>
    </row>
    <row r="3384" spans="1:8" ht="15.75" customHeight="1" x14ac:dyDescent="0.25">
      <c r="A3384" s="390" t="s">
        <v>1328</v>
      </c>
      <c r="B3384" s="390"/>
      <c r="C3384" s="390"/>
      <c r="D3384" s="391"/>
      <c r="E3384" s="390"/>
      <c r="F3384" s="391"/>
      <c r="G3384" s="390"/>
      <c r="H3384" s="394"/>
    </row>
    <row r="3385" spans="1:8" ht="15.75" customHeight="1" x14ac:dyDescent="0.25">
      <c r="A3385" s="390"/>
      <c r="B3385" s="390"/>
      <c r="C3385" s="390"/>
      <c r="D3385" s="391"/>
      <c r="E3385" s="390"/>
      <c r="F3385" s="391"/>
      <c r="G3385" s="390"/>
      <c r="H3385" s="394"/>
    </row>
    <row r="3386" spans="1:8" ht="15.75" customHeight="1" x14ac:dyDescent="0.25">
      <c r="A3386" s="399" t="s">
        <v>33</v>
      </c>
      <c r="B3386" s="400" t="s">
        <v>6</v>
      </c>
      <c r="C3386" s="400"/>
      <c r="D3386" s="401" t="s">
        <v>37</v>
      </c>
      <c r="E3386" s="402" t="s">
        <v>1309</v>
      </c>
      <c r="F3386" s="609" t="s">
        <v>7</v>
      </c>
      <c r="G3386" s="400" t="s">
        <v>43</v>
      </c>
      <c r="H3386" s="405" t="s">
        <v>44</v>
      </c>
    </row>
    <row r="3387" spans="1:8" ht="15.75" customHeight="1" x14ac:dyDescent="0.25">
      <c r="A3387" s="610"/>
      <c r="B3387" s="611"/>
      <c r="C3387" s="611"/>
      <c r="D3387" s="612"/>
      <c r="E3387" s="613"/>
      <c r="F3387" s="614"/>
      <c r="G3387" s="611"/>
      <c r="H3387" s="615"/>
    </row>
    <row r="3388" spans="1:8" ht="15.75" customHeight="1" x14ac:dyDescent="0.25">
      <c r="A3388" s="583" t="s">
        <v>55</v>
      </c>
      <c r="B3388" s="591" t="s">
        <v>1399</v>
      </c>
      <c r="C3388" s="585"/>
      <c r="D3388" s="415">
        <v>5</v>
      </c>
      <c r="E3388" s="415">
        <v>10</v>
      </c>
      <c r="F3388" s="588">
        <v>50</v>
      </c>
      <c r="G3388" s="585">
        <v>0</v>
      </c>
      <c r="H3388" s="589">
        <v>0</v>
      </c>
    </row>
    <row r="3389" spans="1:8" ht="15.75" customHeight="1" x14ac:dyDescent="0.25">
      <c r="A3389" s="587"/>
      <c r="B3389" s="418"/>
      <c r="C3389" s="582"/>
      <c r="D3389" s="415"/>
      <c r="E3389" s="415"/>
      <c r="F3389" s="588"/>
      <c r="G3389" s="588"/>
      <c r="H3389" s="589"/>
    </row>
    <row r="3390" spans="1:8" ht="15.75" customHeight="1" x14ac:dyDescent="0.25">
      <c r="A3390" s="587"/>
      <c r="B3390" s="418"/>
      <c r="C3390" s="585"/>
      <c r="D3390" s="415"/>
      <c r="E3390" s="415"/>
      <c r="F3390" s="616" t="s">
        <v>1400</v>
      </c>
      <c r="G3390" s="588"/>
      <c r="H3390" s="589"/>
    </row>
    <row r="3391" spans="1:8" ht="15.75" customHeight="1" x14ac:dyDescent="0.25">
      <c r="A3391" s="587"/>
      <c r="B3391" s="418"/>
      <c r="C3391" s="585"/>
      <c r="D3391" s="415"/>
      <c r="E3391" s="415"/>
      <c r="F3391" s="588"/>
      <c r="G3391" s="588"/>
      <c r="H3391" s="589"/>
    </row>
    <row r="3392" spans="1:8" ht="15.75" customHeight="1" x14ac:dyDescent="0.25">
      <c r="A3392" s="581"/>
      <c r="B3392" s="582"/>
      <c r="C3392" s="582"/>
      <c r="D3392" s="415"/>
      <c r="E3392" s="415"/>
      <c r="F3392" s="415"/>
      <c r="G3392" s="415"/>
      <c r="H3392" s="589"/>
    </row>
    <row r="3393" spans="1:8" ht="15.75" customHeight="1" x14ac:dyDescent="0.25">
      <c r="A3393" s="430"/>
      <c r="B3393" s="409"/>
      <c r="C3393" s="393"/>
      <c r="D3393" s="427"/>
      <c r="E3393" s="427"/>
      <c r="F3393" s="428"/>
      <c r="G3393" s="431"/>
      <c r="H3393" s="429"/>
    </row>
    <row r="3394" spans="1:8" ht="15.75" customHeight="1" x14ac:dyDescent="0.25">
      <c r="A3394" s="432"/>
      <c r="B3394" s="433"/>
      <c r="C3394" s="434" t="s">
        <v>85</v>
      </c>
      <c r="D3394" s="436">
        <f>SUM(D3358:D3393)</f>
      </c>
      <c r="E3394" s="436"/>
      <c r="F3394" s="585" t="s">
        <v>1400</v>
      </c>
      <c r="G3394" s="437"/>
      <c r="H3394" s="623"/>
    </row>
    <row r="3395" spans="1:8" ht="15.75" customHeight="1" x14ac:dyDescent="0.25">
      <c r="A3395" s="439"/>
      <c r="B3395" s="440"/>
      <c r="C3395" s="440"/>
      <c r="D3395" s="441"/>
      <c r="E3395" s="440"/>
      <c r="F3395" s="442"/>
      <c r="G3395" s="443"/>
      <c r="H3395" s="444"/>
    </row>
    <row r="3396" spans="1:8" ht="15.75" customHeight="1" x14ac:dyDescent="0.25">
      <c r="A3396" s="392"/>
      <c r="B3396" s="391"/>
      <c r="C3396" s="391"/>
      <c r="D3396" s="391"/>
      <c r="E3396" s="390"/>
      <c r="F3396" s="392"/>
      <c r="G3396" s="390"/>
      <c r="H3396" s="394"/>
    </row>
    <row r="3397" spans="1:8" ht="15.75" customHeight="1" x14ac:dyDescent="0.25">
      <c r="A3397" s="445"/>
      <c r="B3397" s="445"/>
      <c r="C3397" s="445"/>
      <c r="D3397" s="446" t="s">
        <v>97</v>
      </c>
      <c r="E3397" s="445" t="s">
        <v>98</v>
      </c>
      <c r="F3397" s="445"/>
      <c r="G3397" s="390"/>
      <c r="H3397" s="394"/>
    </row>
    <row r="3398" spans="1:8" ht="15.75" customHeight="1" x14ac:dyDescent="0.25">
      <c r="A3398" s="390"/>
      <c r="B3398" s="390"/>
      <c r="C3398" s="390"/>
      <c r="D3398" s="391"/>
      <c r="E3398" s="390"/>
      <c r="F3398" s="390"/>
      <c r="G3398" s="390"/>
      <c r="H3398" s="394"/>
    </row>
    <row r="3399" spans="1:8" ht="15.75" customHeight="1" x14ac:dyDescent="0.25">
      <c r="A3399" s="390"/>
      <c r="B3399" s="390"/>
      <c r="C3399" s="390"/>
      <c r="D3399" s="391"/>
      <c r="E3399" s="390"/>
      <c r="F3399" s="390"/>
      <c r="G3399" s="390"/>
      <c r="H3399" s="394"/>
    </row>
    <row r="3400" spans="1:8" ht="15.75" customHeight="1" x14ac:dyDescent="0.25">
      <c r="A3400" s="445"/>
      <c r="B3400" s="445"/>
      <c r="C3400" s="445"/>
      <c r="D3400" s="446"/>
      <c r="E3400" s="445" t="s">
        <v>99</v>
      </c>
      <c r="F3400" s="445"/>
      <c r="G3400" s="390"/>
      <c r="H3400" s="394"/>
    </row>
    <row r="3401" spans="1:8" ht="15.75" customHeight="1" x14ac:dyDescent="0.25">
      <c r="D3401" s="4"/>
      <c r="H3401" s="4"/>
    </row>
    <row r="3402" spans="1:8" ht="15.75" customHeight="1" x14ac:dyDescent="0.25">
      <c r="D3402" s="4"/>
      <c r="H3402" s="4"/>
    </row>
    <row r="3403" spans="1:8" ht="15.75" customHeight="1" x14ac:dyDescent="0.25">
      <c r="D3403" s="4"/>
      <c r="H3403" s="4"/>
    </row>
    <row r="3404" spans="1:8" ht="15.75" customHeight="1" x14ac:dyDescent="0.25">
      <c r="D3404" s="4"/>
      <c r="H3404" s="4"/>
    </row>
    <row r="3405" spans="1:8" ht="15.75" customHeight="1" x14ac:dyDescent="0.25">
      <c r="D3405" s="4"/>
      <c r="H3405" s="4"/>
    </row>
    <row r="3406" spans="1:8" ht="15.75" customHeight="1" x14ac:dyDescent="0.25">
      <c r="D3406" s="4"/>
      <c r="H3406" s="4"/>
    </row>
    <row r="3407" spans="1:8" ht="15.75" customHeight="1" x14ac:dyDescent="0.25">
      <c r="D3407" s="4"/>
      <c r="H3407" s="4"/>
    </row>
    <row r="3408" spans="1:8" ht="15.75" customHeight="1" x14ac:dyDescent="0.25">
      <c r="D3408" s="4"/>
      <c r="H3408" s="4"/>
    </row>
    <row r="3409" spans="1:8" ht="15.75" customHeight="1" x14ac:dyDescent="0.25">
      <c r="D3409" s="4"/>
      <c r="H3409" s="4"/>
    </row>
    <row r="3410" spans="1:8" ht="15.75" customHeight="1" x14ac:dyDescent="0.25">
      <c r="D3410" s="4"/>
      <c r="H3410" s="4"/>
    </row>
    <row r="3411" spans="1:8" ht="15.75" customHeight="1" x14ac:dyDescent="0.25">
      <c r="D3411" s="4"/>
      <c r="H3411" s="4"/>
    </row>
    <row r="3412" spans="1:8" ht="15.75" customHeight="1" x14ac:dyDescent="0.25">
      <c r="D3412" s="4"/>
      <c r="H3412" s="4"/>
    </row>
    <row r="3413" spans="1:8" ht="15.75" customHeight="1" x14ac:dyDescent="0.25">
      <c r="D3413" s="4"/>
      <c r="H3413" s="4"/>
    </row>
    <row r="3414" spans="1:8" ht="15.75" customHeight="1" x14ac:dyDescent="0.25">
      <c r="D3414" s="4"/>
      <c r="H3414" s="4"/>
    </row>
    <row r="3415" spans="1:8" ht="15.75" customHeight="1" x14ac:dyDescent="0.25">
      <c r="D3415" s="4"/>
      <c r="H3415" s="4"/>
    </row>
    <row r="3416" spans="1:8" ht="15.75" customHeight="1" x14ac:dyDescent="0.25">
      <c r="D3416" s="4"/>
      <c r="H3416" s="4"/>
    </row>
    <row r="3417" spans="1:8" ht="15.75" customHeight="1" x14ac:dyDescent="0.25">
      <c r="A3417" s="398" t="s">
        <v>14</v>
      </c>
      <c r="B3417" s="391"/>
      <c r="C3417" s="391"/>
      <c r="D3417" s="391"/>
      <c r="E3417" s="391"/>
      <c r="F3417" s="391"/>
      <c r="G3417" s="391"/>
      <c r="H3417" s="394"/>
    </row>
    <row r="3418" spans="1:8" ht="15.75" customHeight="1" x14ac:dyDescent="0.25">
      <c r="A3418" s="390"/>
      <c r="B3418" s="390"/>
      <c r="C3418" s="390"/>
      <c r="D3418" s="392"/>
      <c r="E3418" s="569"/>
      <c r="F3418" s="391"/>
      <c r="G3418" s="390"/>
      <c r="H3418" s="394"/>
    </row>
    <row r="3419" spans="1:8" ht="15.75" customHeight="1" x14ac:dyDescent="0.25">
      <c r="A3419" s="390"/>
      <c r="B3419" s="390"/>
      <c r="C3419" s="607" t="s">
        <v>1403</v>
      </c>
      <c r="D3419" s="642"/>
      <c r="E3419" s="607"/>
      <c r="F3419" s="395" t="s">
        <v>18</v>
      </c>
      <c r="G3419" s="390" t="s">
        <v>1397</v>
      </c>
      <c r="H3419" s="394"/>
    </row>
    <row r="3420" spans="1:8" ht="15.75" customHeight="1" x14ac:dyDescent="0.25">
      <c r="A3420" s="390"/>
      <c r="B3420" s="390"/>
      <c r="C3420" s="390"/>
      <c r="D3420" s="391"/>
      <c r="E3420" s="390"/>
      <c r="F3420" s="393" t="s">
        <v>21</v>
      </c>
      <c r="G3420" s="390" t="s">
        <v>1406</v>
      </c>
      <c r="H3420" s="394"/>
    </row>
    <row r="3421" spans="1:8" ht="15.75" customHeight="1" x14ac:dyDescent="0.25">
      <c r="A3421" s="390" t="s">
        <v>20</v>
      </c>
      <c r="B3421" s="390"/>
      <c r="C3421" s="390"/>
      <c r="D3421" s="391"/>
      <c r="E3421" s="390"/>
      <c r="F3421" s="391"/>
      <c r="G3421" s="390"/>
      <c r="H3421" s="394"/>
    </row>
    <row r="3422" spans="1:8" ht="15.75" customHeight="1" x14ac:dyDescent="0.25">
      <c r="A3422" s="390" t="inlineStr">
        <is>
          <t>Dealer-003</t>
        </is>
      </c>
      <c r="B3422" s="390"/>
      <c r="C3422" s="398"/>
      <c r="D3422" s="391"/>
      <c r="E3422" s="390"/>
      <c r="F3422" s="391"/>
      <c r="G3422" s="390"/>
      <c r="H3422" s="394"/>
    </row>
    <row r="3423" spans="1:8" ht="15.75" customHeight="1" x14ac:dyDescent="0.25">
      <c r="A3423" s="390" t="inlineStr">
        <is>
          <t>Address line (redacted)</t>
        </is>
      </c>
      <c r="B3423" s="390"/>
      <c r="C3423" s="390"/>
      <c r="D3423" s="391"/>
      <c r="E3423" s="390"/>
      <c r="F3423" s="391"/>
      <c r="G3423" s="390"/>
      <c r="H3423" s="394"/>
    </row>
    <row r="3424" spans="1:8" ht="15.75" customHeight="1" x14ac:dyDescent="0.25">
      <c r="A3424" s="390" t="inlineStr">
        <is>
          <t>Address line (redacted)</t>
        </is>
      </c>
      <c r="B3424" s="390"/>
      <c r="C3424" s="390"/>
      <c r="D3424" s="391"/>
      <c r="E3424" s="390"/>
      <c r="F3424" s="391"/>
      <c r="G3424" s="390"/>
      <c r="H3424" s="394"/>
    </row>
    <row r="3425" spans="1:8" ht="15.75" customHeight="1" x14ac:dyDescent="0.25">
      <c r="A3425" s="390"/>
      <c r="B3425" s="390"/>
      <c r="C3425" s="390"/>
      <c r="D3425" s="391"/>
      <c r="E3425" s="390"/>
      <c r="F3425" s="391"/>
      <c r="G3425" s="390"/>
      <c r="H3425" s="394"/>
    </row>
    <row r="3426" spans="1:8" ht="15.75" customHeight="1" x14ac:dyDescent="0.25">
      <c r="A3426" s="390" t="s">
        <v>30</v>
      </c>
      <c r="B3426" s="390"/>
      <c r="C3426" s="390"/>
      <c r="D3426" s="391"/>
      <c r="E3426" s="390"/>
      <c r="F3426" s="391"/>
      <c r="G3426" s="390"/>
      <c r="H3426" s="394"/>
    </row>
    <row r="3427" spans="1:8" ht="15.75" customHeight="1" x14ac:dyDescent="0.25">
      <c r="A3427" s="390"/>
      <c r="B3427" s="390"/>
      <c r="C3427" s="390"/>
      <c r="D3427" s="391"/>
      <c r="E3427" s="390"/>
      <c r="F3427" s="391"/>
      <c r="G3427" s="390"/>
      <c r="H3427" s="394"/>
    </row>
    <row r="3428" spans="1:8" ht="15.75" customHeight="1" x14ac:dyDescent="0.25">
      <c r="A3428" s="390" t="s">
        <v>1322</v>
      </c>
      <c r="B3428" s="390"/>
      <c r="C3428" s="390"/>
      <c r="D3428" s="391"/>
      <c r="E3428" s="390"/>
      <c r="F3428" s="391"/>
      <c r="G3428" s="390"/>
      <c r="H3428" s="394"/>
    </row>
    <row r="3429" spans="1:8" ht="15.75" customHeight="1" x14ac:dyDescent="0.25">
      <c r="A3429" s="390" t="s">
        <v>1328</v>
      </c>
      <c r="B3429" s="390"/>
      <c r="C3429" s="390"/>
      <c r="D3429" s="391"/>
      <c r="E3429" s="390"/>
      <c r="F3429" s="391"/>
      <c r="G3429" s="390"/>
      <c r="H3429" s="394"/>
    </row>
    <row r="3430" spans="1:8" ht="15.75" customHeight="1" x14ac:dyDescent="0.25">
      <c r="A3430" s="390"/>
      <c r="B3430" s="390"/>
      <c r="C3430" s="390"/>
      <c r="D3430" s="391"/>
      <c r="E3430" s="390"/>
      <c r="F3430" s="391"/>
      <c r="G3430" s="390"/>
      <c r="H3430" s="394"/>
    </row>
    <row r="3431" spans="1:8" ht="15.75" customHeight="1" x14ac:dyDescent="0.25">
      <c r="A3431" s="399" t="s">
        <v>33</v>
      </c>
      <c r="B3431" s="400" t="s">
        <v>6</v>
      </c>
      <c r="C3431" s="400"/>
      <c r="D3431" s="401" t="s">
        <v>37</v>
      </c>
      <c r="E3431" s="402" t="s">
        <v>38</v>
      </c>
      <c r="F3431" s="403" t="s">
        <v>7</v>
      </c>
      <c r="G3431" s="404" t="s">
        <v>43</v>
      </c>
      <c r="H3431" s="405" t="s">
        <v>44</v>
      </c>
    </row>
    <row r="3432" spans="1:8" ht="15.75" customHeight="1" x14ac:dyDescent="0.25">
      <c r="A3432" s="406"/>
      <c r="B3432" s="407"/>
      <c r="C3432" s="393"/>
      <c r="D3432" s="410"/>
      <c r="E3432" s="408"/>
      <c r="F3432" s="409"/>
      <c r="G3432" s="410"/>
      <c r="H3432" s="411"/>
    </row>
    <row r="3433" spans="1:8" ht="15.75" customHeight="1" x14ac:dyDescent="0.25">
      <c r="A3433" s="577"/>
      <c r="B3433" s="624" t="s">
        <v>1408</v>
      </c>
      <c r="C3433" s="625"/>
      <c r="D3433" s="578"/>
      <c r="E3433" s="578"/>
      <c r="F3433" s="578"/>
      <c r="G3433" s="578"/>
      <c r="H3433" s="580"/>
    </row>
    <row r="3434" spans="1:8" ht="15.75" customHeight="1" x14ac:dyDescent="0.25">
      <c r="A3434" s="412" t="s">
        <v>55</v>
      </c>
      <c r="B3434" s="644" t="s">
        <v>1383</v>
      </c>
      <c r="C3434" s="418" t="s">
        <v>109</v>
      </c>
      <c r="D3434" s="415">
        <v>97</v>
      </c>
      <c r="E3434" s="415">
        <v>25</v>
      </c>
      <c r="F3434" s="415">
        <f t="shared" ref="F3434:F3436" si="74">+E3434*D3434</f>
      </c>
      <c r="G3434" s="415">
        <v>1</v>
      </c>
      <c r="H3434" s="416">
        <f t="shared" ref="H3434:H3436" si="75">+G3434*F3434</f>
      </c>
    </row>
    <row r="3435" spans="1:8" ht="15.75" customHeight="1" x14ac:dyDescent="0.25">
      <c r="A3435" s="412" t="s">
        <v>59</v>
      </c>
      <c r="B3435" s="644" t="s">
        <v>1383</v>
      </c>
      <c r="C3435" s="418" t="s">
        <v>109</v>
      </c>
      <c r="D3435" s="415">
        <v>1</v>
      </c>
      <c r="E3435" s="415">
        <v>23</v>
      </c>
      <c r="F3435" s="415">
        <f t="shared" si="74"/>
      </c>
      <c r="G3435" s="415">
        <v>1</v>
      </c>
      <c r="H3435" s="416">
        <f t="shared" si="75"/>
      </c>
    </row>
    <row r="3436" spans="1:8" ht="15.75" customHeight="1" x14ac:dyDescent="0.25">
      <c r="A3436" s="412" t="s">
        <v>67</v>
      </c>
      <c r="B3436" s="644" t="s">
        <v>1386</v>
      </c>
      <c r="C3436" s="418" t="s">
        <v>1387</v>
      </c>
      <c r="D3436" s="588">
        <v>20</v>
      </c>
      <c r="E3436" s="415">
        <v>20</v>
      </c>
      <c r="F3436" s="415">
        <f t="shared" si="74"/>
      </c>
      <c r="G3436" s="415">
        <v>1</v>
      </c>
      <c r="H3436" s="416">
        <f t="shared" si="75"/>
      </c>
    </row>
    <row r="3437" spans="1:8" ht="15.75" customHeight="1" x14ac:dyDescent="0.25">
      <c r="A3437" s="587"/>
      <c r="B3437" s="582"/>
      <c r="C3437" s="585"/>
      <c r="D3437" s="415"/>
      <c r="E3437" s="415"/>
      <c r="F3437" s="588"/>
      <c r="G3437" s="588"/>
      <c r="H3437" s="586"/>
    </row>
    <row r="3438" spans="1:8" ht="15.75" customHeight="1" x14ac:dyDescent="0.25">
      <c r="A3438" s="629"/>
      <c r="B3438" s="630"/>
      <c r="C3438" s="631"/>
      <c r="D3438" s="427"/>
      <c r="E3438" s="427"/>
      <c r="F3438" s="645"/>
      <c r="G3438" s="646"/>
      <c r="H3438" s="647"/>
    </row>
    <row r="3439" spans="1:8" ht="15.75" customHeight="1" x14ac:dyDescent="0.25">
      <c r="A3439" s="629"/>
      <c r="B3439" s="630"/>
      <c r="C3439" s="631"/>
      <c r="D3439" s="427"/>
      <c r="E3439" s="427"/>
      <c r="F3439" s="632"/>
      <c r="G3439" s="633"/>
      <c r="H3439" s="634">
        <f>SUM(H3434:H3438)</f>
      </c>
    </row>
    <row r="3440" spans="1:8" ht="15.75" customHeight="1" x14ac:dyDescent="0.25">
      <c r="A3440" s="629"/>
      <c r="B3440" s="630"/>
      <c r="C3440" s="631"/>
      <c r="D3440" s="427" t="s">
        <v>1425</v>
      </c>
      <c r="E3440" s="427"/>
      <c r="F3440" s="632"/>
      <c r="G3440" s="633"/>
      <c r="H3440" s="634">
        <v>1</v>
      </c>
    </row>
    <row r="3441" spans="1:8" ht="15.75" customHeight="1" x14ac:dyDescent="0.25">
      <c r="A3441" s="629"/>
      <c r="B3441" s="630"/>
      <c r="C3441" s="631"/>
      <c r="D3441" s="427" t="s">
        <v>1426</v>
      </c>
      <c r="E3441" s="427"/>
      <c r="F3441" s="632"/>
      <c r="G3441" s="633"/>
      <c r="H3441" s="634"/>
    </row>
    <row r="3442" spans="1:8" ht="15.75" customHeight="1" x14ac:dyDescent="0.25">
      <c r="A3442" s="629"/>
      <c r="B3442" s="630"/>
      <c r="C3442" s="631"/>
      <c r="D3442" s="427"/>
      <c r="E3442" s="427"/>
      <c r="F3442" s="632"/>
      <c r="G3442" s="633"/>
      <c r="H3442" s="634"/>
    </row>
    <row r="3443" spans="1:8" ht="15.75" customHeight="1" x14ac:dyDescent="0.25">
      <c r="A3443" s="430"/>
      <c r="B3443" s="409"/>
      <c r="C3443" s="393"/>
      <c r="D3443" s="427"/>
      <c r="E3443" s="427"/>
      <c r="F3443" s="428"/>
      <c r="G3443" s="431"/>
      <c r="H3443" s="429"/>
    </row>
    <row r="3444" spans="1:8" ht="15.75" customHeight="1" x14ac:dyDescent="0.25">
      <c r="A3444" s="432"/>
      <c r="B3444" s="433"/>
      <c r="C3444" s="434" t="s">
        <v>85</v>
      </c>
      <c r="D3444" s="436">
        <f>SUM(D3434:D3443)</f>
      </c>
      <c r="E3444" s="436"/>
      <c r="F3444" s="436"/>
      <c r="G3444" s="437"/>
      <c r="H3444" s="623">
        <f>+H3439-H3440</f>
      </c>
    </row>
    <row r="3445" spans="1:8" ht="15.75" customHeight="1" x14ac:dyDescent="0.25">
      <c r="A3445" s="439"/>
      <c r="B3445" s="440"/>
      <c r="C3445" s="440"/>
      <c r="D3445" s="441"/>
      <c r="E3445" s="440"/>
      <c r="F3445" s="442"/>
      <c r="G3445" s="443"/>
      <c r="H3445" s="444"/>
    </row>
    <row r="3446" spans="1:8" ht="15.75" customHeight="1" x14ac:dyDescent="0.25">
      <c r="A3446" s="392"/>
      <c r="B3446" s="391"/>
      <c r="C3446" s="391"/>
      <c r="D3446" s="391"/>
      <c r="E3446" s="390"/>
      <c r="F3446" s="392"/>
      <c r="G3446" s="390"/>
      <c r="H3446" s="394"/>
    </row>
    <row r="3447" spans="1:8" ht="15.75" customHeight="1" x14ac:dyDescent="0.25">
      <c r="A3447" s="445"/>
      <c r="B3447" s="445"/>
      <c r="C3447" s="445"/>
      <c r="D3447" s="446" t="s">
        <v>97</v>
      </c>
      <c r="E3447" s="445" t="s">
        <v>98</v>
      </c>
      <c r="F3447" s="445"/>
      <c r="G3447" s="390"/>
      <c r="H3447" s="394"/>
    </row>
    <row r="3448" spans="1:8" ht="15.75" customHeight="1" x14ac:dyDescent="0.25">
      <c r="A3448" s="390"/>
      <c r="B3448" s="390"/>
      <c r="C3448" s="390"/>
      <c r="D3448" s="391"/>
      <c r="E3448" s="390"/>
      <c r="F3448" s="390"/>
      <c r="G3448" s="390"/>
      <c r="H3448" s="394"/>
    </row>
    <row r="3449" spans="1:8" ht="15.75" customHeight="1" x14ac:dyDescent="0.25">
      <c r="A3449" s="390"/>
      <c r="B3449" s="390"/>
      <c r="C3449" s="390"/>
      <c r="D3449" s="391"/>
      <c r="E3449" s="390"/>
      <c r="F3449" s="390"/>
      <c r="G3449" s="390"/>
      <c r="H3449" s="394"/>
    </row>
    <row r="3450" spans="1:8" ht="15.75" customHeight="1" x14ac:dyDescent="0.25">
      <c r="A3450" s="445"/>
      <c r="B3450" s="445"/>
      <c r="C3450" s="445"/>
      <c r="D3450" s="446"/>
      <c r="E3450" s="445" t="s">
        <v>99</v>
      </c>
      <c r="F3450" s="445"/>
      <c r="G3450" s="390"/>
      <c r="H3450" s="394"/>
    </row>
    <row r="3451" spans="1:8" ht="15.75" customHeight="1" x14ac:dyDescent="0.25">
      <c r="D3451" s="4"/>
      <c r="H3451" s="4"/>
    </row>
    <row r="3452" spans="1:8" ht="15.75" customHeight="1" x14ac:dyDescent="0.25">
      <c r="D3452" s="4"/>
      <c r="H3452" s="4"/>
    </row>
    <row r="3453" spans="1:8" ht="15.75" customHeight="1" x14ac:dyDescent="0.25">
      <c r="D3453" s="4"/>
      <c r="H3453" s="4"/>
    </row>
    <row r="3454" spans="1:8" ht="15.75" customHeight="1" x14ac:dyDescent="0.25">
      <c r="D3454" s="4"/>
      <c r="H3454" s="4"/>
    </row>
    <row r="3455" spans="1:8" ht="15.75" customHeight="1" x14ac:dyDescent="0.25">
      <c r="D3455" s="4"/>
      <c r="H3455" s="4"/>
    </row>
    <row r="3456" spans="1:8" ht="15.75" customHeight="1" x14ac:dyDescent="0.25">
      <c r="D3456" s="4"/>
      <c r="H3456" s="4"/>
    </row>
    <row r="3457" spans="1:8" ht="15.75" customHeight="1" x14ac:dyDescent="0.25">
      <c r="D3457" s="4"/>
      <c r="H3457" s="4"/>
    </row>
    <row r="3458" spans="1:8" ht="15.75" customHeight="1" x14ac:dyDescent="0.25">
      <c r="D3458" s="4"/>
      <c r="H3458" s="4"/>
    </row>
    <row r="3459" spans="1:8" ht="15.75" customHeight="1" x14ac:dyDescent="0.25">
      <c r="D3459" s="4"/>
      <c r="H3459" s="4"/>
    </row>
    <row r="3460" spans="1:8" ht="15.75" customHeight="1" x14ac:dyDescent="0.25">
      <c r="D3460" s="4"/>
      <c r="H3460" s="4"/>
    </row>
    <row r="3461" spans="1:8" ht="15.75" customHeight="1" x14ac:dyDescent="0.25">
      <c r="D3461" s="4"/>
      <c r="H3461" s="4"/>
    </row>
    <row r="3462" spans="1:8" ht="15.75" customHeight="1" x14ac:dyDescent="0.25">
      <c r="D3462" s="4"/>
      <c r="H3462" s="4"/>
    </row>
    <row r="3463" spans="1:8" ht="15.75" customHeight="1" x14ac:dyDescent="0.25">
      <c r="A3463" s="398" t="s">
        <v>14</v>
      </c>
      <c r="B3463" s="391"/>
      <c r="C3463" s="391"/>
      <c r="D3463" s="391"/>
      <c r="E3463" s="391"/>
      <c r="F3463" s="391"/>
      <c r="G3463" s="391"/>
      <c r="H3463" s="394"/>
    </row>
    <row r="3464" spans="1:8" ht="15.75" customHeight="1" x14ac:dyDescent="0.25">
      <c r="A3464" s="390"/>
      <c r="B3464" s="390"/>
      <c r="C3464" s="390"/>
      <c r="D3464" s="392"/>
      <c r="E3464" s="569"/>
      <c r="F3464" s="391"/>
      <c r="G3464" s="390"/>
      <c r="H3464" s="394"/>
    </row>
    <row r="3465" spans="1:8" ht="15.75" customHeight="1" x14ac:dyDescent="0.25">
      <c r="A3465" s="390"/>
      <c r="B3465" s="390"/>
      <c r="C3465" s="393"/>
      <c r="D3465" s="398"/>
      <c r="E3465" s="393"/>
      <c r="F3465" s="395" t="s">
        <v>18</v>
      </c>
      <c r="G3465" s="390" t="s">
        <v>1397</v>
      </c>
      <c r="H3465" s="394"/>
    </row>
    <row r="3466" spans="1:8" ht="15.75" customHeight="1" x14ac:dyDescent="0.25">
      <c r="A3466" s="390"/>
      <c r="B3466" s="390"/>
      <c r="C3466" s="390"/>
      <c r="D3466" s="391"/>
      <c r="E3466" s="390"/>
      <c r="F3466" s="393" t="s">
        <v>21</v>
      </c>
      <c r="G3466" s="390" t="s">
        <v>1430</v>
      </c>
      <c r="H3466" s="394"/>
    </row>
    <row r="3467" spans="1:8" ht="15.75" customHeight="1" x14ac:dyDescent="0.25">
      <c r="A3467" s="390" t="s">
        <v>20</v>
      </c>
      <c r="B3467" s="390"/>
      <c r="C3467" s="390"/>
      <c r="D3467" s="391"/>
      <c r="E3467" s="390"/>
      <c r="F3467" s="391"/>
      <c r="G3467" s="390"/>
      <c r="H3467" s="394"/>
    </row>
    <row r="3468" spans="1:8" ht="15.75" customHeight="1" x14ac:dyDescent="0.25">
      <c r="A3468" s="390" t="inlineStr">
        <is>
          <t>Dealer-003</t>
        </is>
      </c>
      <c r="B3468" s="390"/>
      <c r="C3468" s="398"/>
      <c r="D3468" s="391"/>
      <c r="E3468" s="390"/>
      <c r="F3468" s="391"/>
      <c r="G3468" s="390"/>
      <c r="H3468" s="394"/>
    </row>
    <row r="3469" spans="1:8" ht="15.75" customHeight="1" x14ac:dyDescent="0.25">
      <c r="A3469" s="390" t="inlineStr">
        <is>
          <t>Address line (redacted)</t>
        </is>
      </c>
      <c r="B3469" s="390"/>
      <c r="C3469" s="390"/>
      <c r="D3469" s="391"/>
      <c r="E3469" s="390"/>
      <c r="F3469" s="391"/>
      <c r="G3469" s="390"/>
      <c r="H3469" s="394"/>
    </row>
    <row r="3470" spans="1:8" ht="15.75" customHeight="1" x14ac:dyDescent="0.25">
      <c r="A3470" s="390" t="inlineStr">
        <is>
          <t>Address line (redacted)</t>
        </is>
      </c>
      <c r="B3470" s="390"/>
      <c r="C3470" s="390"/>
      <c r="D3470" s="391"/>
      <c r="E3470" s="390"/>
      <c r="F3470" s="391"/>
      <c r="G3470" s="390"/>
      <c r="H3470" s="394"/>
    </row>
    <row r="3471" spans="1:8" ht="15.75" customHeight="1" x14ac:dyDescent="0.25">
      <c r="A3471" s="390"/>
      <c r="B3471" s="390"/>
      <c r="C3471" s="390"/>
      <c r="D3471" s="391"/>
      <c r="E3471" s="390"/>
      <c r="F3471" s="391"/>
      <c r="G3471" s="390"/>
      <c r="H3471" s="394"/>
    </row>
    <row r="3472" spans="1:8" ht="15.75" customHeight="1" x14ac:dyDescent="0.25">
      <c r="A3472" s="390" t="s">
        <v>30</v>
      </c>
      <c r="B3472" s="390"/>
      <c r="C3472" s="390"/>
      <c r="D3472" s="391"/>
      <c r="E3472" s="390"/>
      <c r="F3472" s="391"/>
      <c r="G3472" s="390"/>
      <c r="H3472" s="394"/>
    </row>
    <row r="3473" spans="1:8" ht="15.75" customHeight="1" x14ac:dyDescent="0.25">
      <c r="A3473" s="390"/>
      <c r="B3473" s="390"/>
      <c r="C3473" s="390"/>
      <c r="D3473" s="391"/>
      <c r="E3473" s="390"/>
      <c r="F3473" s="391"/>
      <c r="G3473" s="390"/>
      <c r="H3473" s="394"/>
    </row>
    <row r="3474" spans="1:8" ht="15.75" customHeight="1" x14ac:dyDescent="0.25">
      <c r="A3474" s="390" t="s">
        <v>1322</v>
      </c>
      <c r="B3474" s="390"/>
      <c r="C3474" s="390"/>
      <c r="D3474" s="391"/>
      <c r="E3474" s="390"/>
      <c r="F3474" s="391"/>
      <c r="G3474" s="390"/>
      <c r="H3474" s="394"/>
    </row>
    <row r="3475" spans="1:8" ht="15.75" customHeight="1" x14ac:dyDescent="0.25">
      <c r="A3475" s="390" t="s">
        <v>1328</v>
      </c>
      <c r="B3475" s="390"/>
      <c r="C3475" s="390"/>
      <c r="D3475" s="391"/>
      <c r="E3475" s="390"/>
      <c r="F3475" s="391"/>
      <c r="G3475" s="390"/>
      <c r="H3475" s="394"/>
    </row>
    <row r="3476" spans="1:8" ht="15.75" customHeight="1" x14ac:dyDescent="0.25">
      <c r="A3476" s="390"/>
      <c r="B3476" s="390"/>
      <c r="C3476" s="390"/>
      <c r="D3476" s="391"/>
      <c r="E3476" s="390"/>
      <c r="F3476" s="391"/>
      <c r="G3476" s="390"/>
      <c r="H3476" s="394"/>
    </row>
    <row r="3477" spans="1:8" ht="15.75" customHeight="1" x14ac:dyDescent="0.25">
      <c r="A3477" s="399" t="s">
        <v>33</v>
      </c>
      <c r="B3477" s="400" t="s">
        <v>6</v>
      </c>
      <c r="C3477" s="400"/>
      <c r="D3477" s="401" t="s">
        <v>37</v>
      </c>
      <c r="E3477" s="402" t="s">
        <v>38</v>
      </c>
      <c r="F3477" s="403" t="s">
        <v>7</v>
      </c>
      <c r="G3477" s="404" t="s">
        <v>43</v>
      </c>
      <c r="H3477" s="405" t="s">
        <v>44</v>
      </c>
    </row>
    <row r="3478" spans="1:8" ht="15.75" customHeight="1" x14ac:dyDescent="0.25">
      <c r="A3478" s="406"/>
      <c r="B3478" s="407"/>
      <c r="C3478" s="393"/>
      <c r="D3478" s="410"/>
      <c r="E3478" s="408"/>
      <c r="F3478" s="409"/>
      <c r="G3478" s="410"/>
      <c r="H3478" s="411"/>
    </row>
    <row r="3479" spans="1:8" ht="15.75" customHeight="1" x14ac:dyDescent="0.25">
      <c r="A3479" s="577"/>
      <c r="B3479" s="624" t="s">
        <v>674</v>
      </c>
      <c r="C3479" s="625"/>
      <c r="D3479" s="578"/>
      <c r="E3479" s="578"/>
      <c r="F3479" s="578"/>
      <c r="G3479" s="578"/>
      <c r="H3479" s="580"/>
    </row>
    <row r="3480" spans="1:8" ht="15.75" customHeight="1" x14ac:dyDescent="0.25">
      <c r="A3480" s="412" t="s">
        <v>55</v>
      </c>
      <c r="B3480" s="644" t="s">
        <v>239</v>
      </c>
      <c r="C3480" s="418"/>
      <c r="D3480" s="415">
        <v>5</v>
      </c>
      <c r="E3480" s="415">
        <v>2</v>
      </c>
      <c r="F3480" s="415">
        <f>+E3480*D3480</f>
      </c>
      <c r="G3480" s="415">
        <v>1</v>
      </c>
      <c r="H3480" s="416">
        <f>+G3480*F3480</f>
      </c>
    </row>
    <row r="3481" spans="1:8" ht="15.75" customHeight="1" x14ac:dyDescent="0.25">
      <c r="A3481" s="412" t="s">
        <v>59</v>
      </c>
      <c r="B3481" s="644" t="s">
        <v>1434</v>
      </c>
      <c r="C3481" s="418"/>
      <c r="D3481" s="588">
        <v>2</v>
      </c>
      <c r="E3481" s="415">
        <v>10</v>
      </c>
      <c r="F3481" s="415">
        <v>20</v>
      </c>
      <c r="G3481" s="579" t="s">
        <v>1435</v>
      </c>
      <c r="H3481" s="416"/>
    </row>
    <row r="3482" spans="1:8" ht="15.75" customHeight="1" x14ac:dyDescent="0.25">
      <c r="A3482" s="587"/>
      <c r="B3482" s="648" t="s">
        <v>1437</v>
      </c>
      <c r="C3482" s="649"/>
      <c r="D3482" s="415"/>
      <c r="E3482" s="415"/>
      <c r="F3482" s="588"/>
      <c r="G3482" s="588"/>
      <c r="H3482" s="586"/>
    </row>
    <row r="3483" spans="1:8" ht="15.75" customHeight="1" x14ac:dyDescent="0.25">
      <c r="A3483" s="629"/>
      <c r="B3483" s="630"/>
      <c r="C3483" s="631"/>
      <c r="D3483" s="427"/>
      <c r="E3483" s="427"/>
      <c r="F3483" s="632"/>
      <c r="G3483" s="633"/>
      <c r="H3483" s="634"/>
    </row>
    <row r="3484" spans="1:8" ht="15.75" customHeight="1" x14ac:dyDescent="0.25">
      <c r="A3484" s="629"/>
      <c r="B3484" s="630"/>
      <c r="C3484" s="631"/>
      <c r="D3484" s="427"/>
      <c r="E3484" s="427"/>
      <c r="F3484" s="632"/>
      <c r="G3484" s="633"/>
      <c r="H3484" s="634"/>
    </row>
    <row r="3485" spans="1:8" ht="15.75" customHeight="1" x14ac:dyDescent="0.25">
      <c r="A3485" s="629"/>
      <c r="B3485" s="630"/>
      <c r="C3485" s="631"/>
      <c r="D3485" s="427"/>
      <c r="E3485" s="427"/>
      <c r="F3485" s="632"/>
      <c r="G3485" s="633"/>
      <c r="H3485" s="634"/>
    </row>
    <row r="3486" spans="1:8" ht="15.75" customHeight="1" x14ac:dyDescent="0.25">
      <c r="A3486" s="629"/>
      <c r="B3486" s="630"/>
      <c r="C3486" s="631"/>
      <c r="D3486" s="427"/>
      <c r="E3486" s="427"/>
      <c r="F3486" s="632"/>
      <c r="G3486" s="633"/>
      <c r="H3486" s="634"/>
    </row>
    <row r="3487" spans="1:8" ht="15.75" customHeight="1" x14ac:dyDescent="0.25">
      <c r="A3487" s="629"/>
      <c r="B3487" s="630"/>
      <c r="C3487" s="631"/>
      <c r="D3487" s="427"/>
      <c r="E3487" s="427"/>
      <c r="F3487" s="632"/>
      <c r="G3487" s="633"/>
      <c r="H3487" s="634"/>
    </row>
    <row r="3488" spans="1:8" ht="15.75" customHeight="1" x14ac:dyDescent="0.25">
      <c r="A3488" s="430"/>
      <c r="B3488" s="409"/>
      <c r="C3488" s="393"/>
      <c r="D3488" s="427"/>
      <c r="E3488" s="427"/>
      <c r="F3488" s="428"/>
      <c r="G3488" s="431"/>
      <c r="H3488" s="429"/>
    </row>
    <row r="3489" spans="1:8" ht="15.75" customHeight="1" x14ac:dyDescent="0.25">
      <c r="A3489" s="432"/>
      <c r="B3489" s="433"/>
      <c r="C3489" s="434" t="s">
        <v>85</v>
      </c>
      <c r="D3489" s="436">
        <f>SUM(D3480:D3488)</f>
      </c>
      <c r="E3489" s="436"/>
      <c r="F3489" s="436"/>
      <c r="G3489" s="437"/>
      <c r="H3489" s="623">
        <f>SUM(H3480:H3488)</f>
      </c>
    </row>
    <row r="3490" spans="1:8" ht="15.75" customHeight="1" x14ac:dyDescent="0.25">
      <c r="A3490" s="439"/>
      <c r="B3490" s="440"/>
      <c r="C3490" s="440"/>
      <c r="D3490" s="441"/>
      <c r="E3490" s="440"/>
      <c r="F3490" s="442"/>
      <c r="G3490" s="443"/>
      <c r="H3490" s="444"/>
    </row>
    <row r="3491" spans="1:8" ht="15.75" customHeight="1" x14ac:dyDescent="0.25">
      <c r="A3491" s="392"/>
      <c r="B3491" s="391"/>
      <c r="C3491" s="391"/>
      <c r="D3491" s="391"/>
      <c r="E3491" s="390"/>
      <c r="F3491" s="392"/>
      <c r="G3491" s="390"/>
      <c r="H3491" s="394"/>
    </row>
    <row r="3492" spans="1:8" ht="15.75" customHeight="1" x14ac:dyDescent="0.25">
      <c r="A3492" s="445"/>
      <c r="B3492" s="445"/>
      <c r="C3492" s="445"/>
      <c r="D3492" s="446" t="s">
        <v>97</v>
      </c>
      <c r="E3492" s="445" t="s">
        <v>98</v>
      </c>
      <c r="F3492" s="445"/>
      <c r="G3492" s="390"/>
      <c r="H3492" s="394"/>
    </row>
    <row r="3493" spans="1:8" ht="15.75" customHeight="1" x14ac:dyDescent="0.25">
      <c r="A3493" s="390"/>
      <c r="B3493" s="390"/>
      <c r="C3493" s="390"/>
      <c r="D3493" s="391"/>
      <c r="E3493" s="390"/>
      <c r="F3493" s="390"/>
      <c r="G3493" s="390"/>
      <c r="H3493" s="394"/>
    </row>
    <row r="3494" spans="1:8" ht="15.75" customHeight="1" x14ac:dyDescent="0.25">
      <c r="A3494" s="390"/>
      <c r="B3494" s="390"/>
      <c r="C3494" s="390"/>
      <c r="D3494" s="391"/>
      <c r="E3494" s="390"/>
      <c r="F3494" s="390"/>
      <c r="G3494" s="390"/>
      <c r="H3494" s="394"/>
    </row>
    <row r="3495" spans="1:8" ht="15.75" customHeight="1" x14ac:dyDescent="0.25">
      <c r="A3495" s="445"/>
      <c r="B3495" s="445"/>
      <c r="C3495" s="445"/>
      <c r="D3495" s="446"/>
      <c r="E3495" s="445" t="s">
        <v>99</v>
      </c>
      <c r="F3495" s="445"/>
      <c r="G3495" s="390"/>
      <c r="H3495" s="394"/>
    </row>
    <row r="3496" spans="1:8" ht="15.75" customHeight="1" x14ac:dyDescent="0.25">
      <c r="D3496" s="4"/>
      <c r="H3496" s="4"/>
    </row>
    <row r="3497" spans="1:8" ht="15.75" customHeight="1" x14ac:dyDescent="0.25">
      <c r="D3497" s="4"/>
      <c r="H3497" s="4"/>
    </row>
    <row r="3498" spans="1:8" ht="15.75" customHeight="1" x14ac:dyDescent="0.25">
      <c r="D3498" s="4"/>
      <c r="H3498" s="4"/>
    </row>
    <row r="3499" spans="1:8" ht="15.75" customHeight="1" x14ac:dyDescent="0.25">
      <c r="D3499" s="4"/>
      <c r="H3499" s="4"/>
    </row>
    <row r="3500" spans="1:8" ht="15.75" customHeight="1" x14ac:dyDescent="0.25">
      <c r="D3500" s="4"/>
      <c r="H3500" s="4"/>
    </row>
    <row r="3501" spans="1:8" ht="15.75" customHeight="1" x14ac:dyDescent="0.25">
      <c r="D3501" s="4"/>
      <c r="H3501" s="4"/>
    </row>
    <row r="3502" spans="1:8" ht="15.75" customHeight="1" x14ac:dyDescent="0.25">
      <c r="D3502" s="4"/>
      <c r="H3502" s="4"/>
    </row>
    <row r="3503" spans="1:8" ht="15.75" customHeight="1" x14ac:dyDescent="0.25">
      <c r="D3503" s="4"/>
      <c r="H3503" s="4"/>
    </row>
    <row r="3504" spans="1:8" ht="15.75" customHeight="1" x14ac:dyDescent="0.25">
      <c r="D3504" s="4"/>
      <c r="H3504" s="4"/>
    </row>
    <row r="3505" spans="1:8" ht="15.75" customHeight="1" x14ac:dyDescent="0.25">
      <c r="D3505" s="4"/>
      <c r="H3505" s="4"/>
    </row>
    <row r="3506" spans="1:8" ht="15.75" customHeight="1" x14ac:dyDescent="0.25">
      <c r="D3506" s="4"/>
      <c r="H3506" s="4"/>
    </row>
    <row r="3507" spans="1:8" ht="15.75" customHeight="1" x14ac:dyDescent="0.25">
      <c r="D3507" s="4"/>
      <c r="H3507" s="4"/>
    </row>
    <row r="3508" spans="1:8" ht="15.75" customHeight="1" x14ac:dyDescent="0.25">
      <c r="D3508" s="4"/>
      <c r="H3508" s="4"/>
    </row>
    <row r="3509" spans="1:8" ht="15.75" customHeight="1" x14ac:dyDescent="0.25">
      <c r="A3509" s="398" t="s">
        <v>14</v>
      </c>
      <c r="B3509" s="398"/>
      <c r="C3509" s="398"/>
      <c r="D3509" s="398"/>
      <c r="E3509" s="398"/>
      <c r="F3509" s="398"/>
      <c r="G3509" s="398"/>
      <c r="H3509" s="398"/>
    </row>
    <row r="3510" spans="1:8" ht="15.75" customHeight="1" x14ac:dyDescent="0.25">
      <c r="A3510" s="390"/>
      <c r="B3510" s="390"/>
      <c r="C3510" s="390"/>
      <c r="D3510" s="391"/>
      <c r="E3510" s="390"/>
      <c r="F3510" s="390"/>
      <c r="G3510" s="390"/>
      <c r="H3510" s="398"/>
    </row>
    <row r="3511" spans="1:8" ht="15.75" customHeight="1" x14ac:dyDescent="0.25">
      <c r="A3511" s="390"/>
      <c r="B3511" s="390"/>
      <c r="C3511" s="391"/>
      <c r="D3511" s="392"/>
      <c r="E3511" s="393"/>
      <c r="F3511" s="393"/>
      <c r="G3511" s="393"/>
      <c r="H3511" s="394"/>
    </row>
    <row r="3512" spans="1:8" ht="15.75" customHeight="1" x14ac:dyDescent="0.25">
      <c r="A3512" s="390"/>
      <c r="B3512" s="390"/>
      <c r="C3512" s="390"/>
      <c r="D3512" s="391"/>
      <c r="E3512" s="390"/>
      <c r="F3512" s="395" t="s">
        <v>18</v>
      </c>
      <c r="G3512" s="396" t="s">
        <v>1368</v>
      </c>
      <c r="H3512" s="397"/>
    </row>
    <row r="3513" spans="1:8" ht="15.75" customHeight="1" x14ac:dyDescent="0.25">
      <c r="A3513" s="390" t="s">
        <v>20</v>
      </c>
      <c r="B3513" s="390"/>
      <c r="C3513" s="390"/>
      <c r="D3513" s="391"/>
      <c r="E3513" s="390"/>
      <c r="F3513" s="395" t="s">
        <v>21</v>
      </c>
      <c r="G3513" s="390" t="s">
        <v>1448</v>
      </c>
      <c r="H3513" s="391"/>
    </row>
    <row r="3514" spans="1:8" ht="15.75" customHeight="1" x14ac:dyDescent="0.25">
      <c r="A3514" s="390" t="inlineStr">
        <is>
          <t>Dealer-009</t>
        </is>
      </c>
      <c r="B3514" s="390"/>
      <c r="C3514" s="390" t="inlineStr">
        <is>
          <t>ATTN: Contact-001</t>
        </is>
      </c>
      <c r="D3514" s="391"/>
      <c r="E3514" s="395"/>
      <c r="F3514" s="390"/>
      <c r="G3514" s="390"/>
      <c r="H3514" s="394"/>
    </row>
    <row r="3515" spans="1:8" ht="15.75" customHeight="1" x14ac:dyDescent="0.25">
      <c r="A3515" s="390" t="inlineStr">
        <is>
          <t>Address line (redacted)</t>
        </is>
      </c>
      <c r="B3515" s="390"/>
      <c r="C3515" s="390"/>
      <c r="D3515" s="398"/>
      <c r="E3515" s="390"/>
      <c r="F3515" s="391"/>
      <c r="G3515" s="390"/>
      <c r="H3515" s="394"/>
    </row>
    <row r="3516" spans="1:8" ht="15.75" customHeight="1" x14ac:dyDescent="0.25">
      <c r="A3516" s="390" t="inlineStr">
        <is>
          <t>Address line (redacted)</t>
        </is>
      </c>
      <c r="B3516" s="390"/>
      <c r="C3516" s="390"/>
      <c r="D3516" s="398"/>
      <c r="E3516" s="390"/>
      <c r="F3516" s="391"/>
      <c r="G3516" s="390"/>
      <c r="H3516" s="394"/>
    </row>
    <row r="3517" spans="1:8" ht="15.75" customHeight="1" x14ac:dyDescent="0.25">
      <c r="A3517" s="447"/>
      <c r="B3517" s="390"/>
      <c r="C3517" s="390"/>
      <c r="D3517" s="391"/>
      <c r="E3517" s="390"/>
      <c r="F3517" s="391"/>
      <c r="G3517" s="390"/>
      <c r="H3517" s="394"/>
    </row>
    <row r="3518" spans="1:8" ht="15.75" customHeight="1" x14ac:dyDescent="0.25">
      <c r="A3518" s="390" t="s">
        <v>30</v>
      </c>
      <c r="B3518" s="390"/>
      <c r="C3518" s="390"/>
      <c r="D3518" s="391"/>
      <c r="E3518" s="390"/>
      <c r="F3518" s="391"/>
      <c r="G3518" s="390"/>
      <c r="H3518" s="394"/>
    </row>
    <row r="3519" spans="1:8" ht="15.75" customHeight="1" x14ac:dyDescent="0.25">
      <c r="A3519" s="390"/>
      <c r="B3519" s="390"/>
      <c r="C3519" s="390"/>
      <c r="D3519" s="391"/>
      <c r="E3519" s="390"/>
      <c r="F3519" s="391"/>
      <c r="G3519" s="390"/>
      <c r="H3519" s="394"/>
    </row>
    <row r="3520" spans="1:8" ht="15.75" customHeight="1" x14ac:dyDescent="0.25">
      <c r="A3520" s="390" t="s">
        <v>31</v>
      </c>
      <c r="B3520" s="390"/>
      <c r="C3520" s="390"/>
      <c r="D3520" s="391"/>
      <c r="E3520" s="390"/>
      <c r="F3520" s="391"/>
      <c r="G3520" s="390"/>
      <c r="H3520" s="394"/>
    </row>
    <row r="3521" spans="1:8" ht="15.75" customHeight="1" x14ac:dyDescent="0.25">
      <c r="A3521" s="390" t="s">
        <v>32</v>
      </c>
      <c r="B3521" s="390"/>
      <c r="C3521" s="390"/>
      <c r="D3521" s="391"/>
      <c r="E3521" s="390"/>
      <c r="F3521" s="391"/>
      <c r="G3521" s="390"/>
      <c r="H3521" s="394"/>
    </row>
    <row r="3522" spans="1:8" ht="15.75" customHeight="1" x14ac:dyDescent="0.25">
      <c r="A3522" s="390"/>
      <c r="B3522" s="390"/>
      <c r="C3522" s="390"/>
      <c r="D3522" s="391"/>
      <c r="E3522" s="390"/>
      <c r="F3522" s="391"/>
      <c r="G3522" s="390"/>
      <c r="H3522" s="394"/>
    </row>
    <row r="3523" spans="1:8" ht="15.75" customHeight="1" x14ac:dyDescent="0.25">
      <c r="A3523" s="399" t="s">
        <v>33</v>
      </c>
      <c r="B3523" s="400" t="s">
        <v>6</v>
      </c>
      <c r="C3523" s="400"/>
      <c r="D3523" s="401" t="s">
        <v>37</v>
      </c>
      <c r="E3523" s="402" t="s">
        <v>38</v>
      </c>
      <c r="F3523" s="403" t="s">
        <v>7</v>
      </c>
      <c r="G3523" s="404" t="s">
        <v>43</v>
      </c>
      <c r="H3523" s="405" t="s">
        <v>44</v>
      </c>
    </row>
    <row r="3524" spans="1:8" ht="15.75" customHeight="1" x14ac:dyDescent="0.25">
      <c r="A3524" s="406"/>
      <c r="B3524" s="407"/>
      <c r="C3524" s="393"/>
      <c r="D3524" s="408"/>
      <c r="E3524" s="408"/>
      <c r="F3524" s="409"/>
      <c r="G3524" s="410"/>
      <c r="H3524" s="411"/>
    </row>
    <row r="3525" spans="1:8" ht="15.75" customHeight="1" x14ac:dyDescent="0.25">
      <c r="A3525" s="556"/>
      <c r="B3525" s="557" t="s">
        <v>1452</v>
      </c>
      <c r="C3525" s="558"/>
      <c r="D3525" s="408"/>
      <c r="E3525" s="408"/>
      <c r="F3525" s="398"/>
      <c r="G3525" s="408"/>
      <c r="H3525" s="559"/>
    </row>
    <row r="3526" spans="1:8" ht="15.75" customHeight="1" x14ac:dyDescent="0.25">
      <c r="A3526" s="425" t="s">
        <v>55</v>
      </c>
      <c r="B3526" s="448" t="s">
        <v>1453</v>
      </c>
      <c r="C3526" s="507" t="s">
        <v>12</v>
      </c>
      <c r="D3526" s="427">
        <v>5</v>
      </c>
      <c r="E3526" s="427">
        <v>24</v>
      </c>
      <c r="F3526" s="391">
        <f t="shared" ref="F3526:F3528" si="76">E3526*D3526</f>
      </c>
      <c r="G3526" s="427">
        <v>1</v>
      </c>
      <c r="H3526" s="429">
        <f t="shared" ref="H3526:H3528" si="77">+G3526*F3526</f>
      </c>
    </row>
    <row r="3527" spans="1:8" ht="15.75" customHeight="1" x14ac:dyDescent="0.25">
      <c r="A3527" s="425" t="s">
        <v>59</v>
      </c>
      <c r="B3527" s="448" t="s">
        <v>1454</v>
      </c>
      <c r="C3527" s="507" t="s">
        <v>12</v>
      </c>
      <c r="D3527" s="427">
        <v>5</v>
      </c>
      <c r="E3527" s="427">
        <v>24</v>
      </c>
      <c r="F3527" s="391">
        <f t="shared" si="76"/>
      </c>
      <c r="G3527" s="427">
        <v>1</v>
      </c>
      <c r="H3527" s="429">
        <f t="shared" si="77"/>
      </c>
    </row>
    <row r="3528" spans="1:8" ht="15.75" customHeight="1" x14ac:dyDescent="0.25">
      <c r="A3528" s="425" t="s">
        <v>67</v>
      </c>
      <c r="B3528" s="448" t="s">
        <v>1077</v>
      </c>
      <c r="C3528" s="507" t="s">
        <v>1456</v>
      </c>
      <c r="D3528" s="427">
        <v>5</v>
      </c>
      <c r="E3528" s="427">
        <v>24</v>
      </c>
      <c r="F3528" s="391">
        <f t="shared" si="76"/>
      </c>
      <c r="G3528" s="427">
        <v>1</v>
      </c>
      <c r="H3528" s="429">
        <f t="shared" si="77"/>
      </c>
    </row>
    <row r="3529" spans="1:8" ht="15.75" customHeight="1" x14ac:dyDescent="0.25">
      <c r="A3529" s="502"/>
      <c r="B3529" s="503"/>
      <c r="C3529" s="390"/>
      <c r="D3529" s="427"/>
      <c r="E3529" s="427"/>
      <c r="F3529" s="391"/>
      <c r="G3529" s="427"/>
      <c r="H3529" s="429"/>
    </row>
    <row r="3530" spans="1:8" ht="15.75" customHeight="1" x14ac:dyDescent="0.25">
      <c r="A3530" s="425"/>
      <c r="B3530" s="557" t="s">
        <v>1239</v>
      </c>
      <c r="C3530" s="558"/>
      <c r="D3530" s="427"/>
      <c r="E3530" s="427"/>
      <c r="F3530" s="391"/>
      <c r="G3530" s="427"/>
      <c r="H3530" s="429"/>
    </row>
    <row r="3531" spans="1:8" ht="15.75" customHeight="1" x14ac:dyDescent="0.25">
      <c r="A3531" s="502" t="s">
        <v>485</v>
      </c>
      <c r="B3531" s="503" t="s">
        <v>649</v>
      </c>
      <c r="C3531" s="390" t="s">
        <v>109</v>
      </c>
      <c r="D3531" s="427">
        <v>4</v>
      </c>
      <c r="E3531" s="427">
        <v>25</v>
      </c>
      <c r="F3531" s="391">
        <f t="shared" ref="F3531:F3532" si="78">E3531*D3531</f>
      </c>
      <c r="G3531" s="427">
        <v>1</v>
      </c>
      <c r="H3531" s="429">
        <f t="shared" ref="H3531:H3532" si="79">+G3531*F3531</f>
      </c>
    </row>
    <row r="3532" spans="1:8" ht="15.75" customHeight="1" x14ac:dyDescent="0.25">
      <c r="A3532" s="502" t="s">
        <v>486</v>
      </c>
      <c r="B3532" s="503" t="s">
        <v>651</v>
      </c>
      <c r="C3532" s="390"/>
      <c r="D3532" s="427">
        <v>6</v>
      </c>
      <c r="E3532" s="427">
        <v>25</v>
      </c>
      <c r="F3532" s="391">
        <f t="shared" si="78"/>
      </c>
      <c r="G3532" s="427">
        <v>1</v>
      </c>
      <c r="H3532" s="429">
        <f t="shared" si="79"/>
      </c>
    </row>
    <row r="3533" spans="1:8" ht="15.75" customHeight="1" x14ac:dyDescent="0.25">
      <c r="A3533" s="425"/>
      <c r="B3533" s="557" t="s">
        <v>674</v>
      </c>
      <c r="C3533" s="558"/>
      <c r="D3533" s="427"/>
      <c r="E3533" s="427"/>
      <c r="F3533" s="391"/>
      <c r="G3533" s="427"/>
      <c r="H3533" s="429"/>
    </row>
    <row r="3534" spans="1:8" ht="15.75" customHeight="1" x14ac:dyDescent="0.25">
      <c r="A3534" s="502" t="s">
        <v>489</v>
      </c>
      <c r="B3534" s="503" t="s">
        <v>931</v>
      </c>
      <c r="C3534" s="390"/>
      <c r="D3534" s="427">
        <v>30</v>
      </c>
      <c r="E3534" s="427">
        <v>1</v>
      </c>
      <c r="F3534" s="391">
        <f>E3534*D3534</f>
      </c>
      <c r="G3534" s="427">
        <v>1</v>
      </c>
      <c r="H3534" s="429">
        <f>+G3534*F3534</f>
      </c>
    </row>
    <row r="3535" spans="1:8" ht="15.75" customHeight="1" x14ac:dyDescent="0.25">
      <c r="A3535" s="502" t="s">
        <v>490</v>
      </c>
      <c r="B3535" s="503" t="s">
        <v>1450</v>
      </c>
      <c r="C3535" s="390"/>
      <c r="D3535" s="427"/>
      <c r="E3535" s="427"/>
      <c r="F3535" s="391"/>
      <c r="G3535" s="427"/>
      <c r="H3535" s="429"/>
    </row>
    <row r="3536" spans="1:8" ht="15.75" customHeight="1" x14ac:dyDescent="0.25">
      <c r="A3536" s="502" t="s">
        <v>781</v>
      </c>
      <c r="B3536" s="503" t="s">
        <v>1458</v>
      </c>
      <c r="C3536" s="390"/>
      <c r="D3536" s="427">
        <v>3</v>
      </c>
      <c r="E3536" s="427">
        <v>10</v>
      </c>
      <c r="F3536" s="391">
        <v>30</v>
      </c>
      <c r="G3536" s="650" t="s">
        <v>656</v>
      </c>
      <c r="H3536" s="651"/>
    </row>
    <row r="3537" spans="1:8" ht="15.75" customHeight="1" x14ac:dyDescent="0.25">
      <c r="A3537" s="432"/>
      <c r="B3537" s="433"/>
      <c r="C3537" s="434" t="s">
        <v>85</v>
      </c>
      <c r="D3537" s="435">
        <f>SUM(D3526:D3536)</f>
      </c>
      <c r="E3537" s="435"/>
      <c r="F3537" s="436"/>
      <c r="G3537" s="437"/>
      <c r="H3537" s="438">
        <f>SUM(H3526:H3536)</f>
      </c>
    </row>
    <row r="3538" spans="1:8" ht="15.75" customHeight="1" x14ac:dyDescent="0.25">
      <c r="A3538" s="439"/>
      <c r="B3538" s="440"/>
      <c r="C3538" s="440"/>
      <c r="D3538" s="441"/>
      <c r="E3538" s="440"/>
      <c r="F3538" s="442"/>
      <c r="G3538" s="443"/>
      <c r="H3538" s="444"/>
    </row>
    <row r="3539" spans="1:8" ht="15.75" customHeight="1" x14ac:dyDescent="0.25">
      <c r="A3539" s="565" t="s">
        <v>1215</v>
      </c>
      <c r="B3539" s="565"/>
      <c r="C3539" s="565"/>
      <c r="D3539" s="565"/>
      <c r="E3539" s="565"/>
      <c r="F3539" s="565"/>
      <c r="G3539" s="565"/>
      <c r="H3539" s="565"/>
    </row>
    <row r="3540" spans="1:8" ht="15.75" customHeight="1" x14ac:dyDescent="0.25">
      <c r="A3540" s="445"/>
      <c r="B3540" s="445"/>
      <c r="C3540" s="445"/>
      <c r="D3540" s="446" t="s">
        <v>97</v>
      </c>
      <c r="E3540" s="445" t="s">
        <v>98</v>
      </c>
      <c r="F3540" s="445"/>
      <c r="G3540" s="390"/>
      <c r="H3540" s="394"/>
    </row>
    <row r="3541" spans="1:8" ht="15.75" customHeight="1" x14ac:dyDescent="0.25">
      <c r="A3541" s="390"/>
      <c r="B3541" s="390"/>
      <c r="C3541" s="390"/>
      <c r="D3541" s="391"/>
      <c r="E3541" s="390"/>
      <c r="F3541" s="390"/>
      <c r="G3541" s="390"/>
      <c r="H3541" s="394"/>
    </row>
    <row r="3542" spans="1:8" ht="15.75" customHeight="1" x14ac:dyDescent="0.25">
      <c r="A3542" s="390"/>
      <c r="B3542" s="390"/>
      <c r="C3542" s="390"/>
      <c r="D3542" s="391"/>
      <c r="E3542" s="390"/>
      <c r="F3542" s="390"/>
      <c r="G3542" s="390"/>
      <c r="H3542" s="394"/>
    </row>
    <row r="3543" spans="1:8" ht="15.75" customHeight="1" x14ac:dyDescent="0.25">
      <c r="A3543" s="445"/>
      <c r="B3543" s="445"/>
      <c r="C3543" s="445"/>
      <c r="D3543" s="446"/>
      <c r="E3543" s="445" t="s">
        <v>99</v>
      </c>
      <c r="F3543" s="445"/>
      <c r="G3543" s="390"/>
      <c r="H3543" s="394"/>
    </row>
    <row r="3544" spans="1:8" ht="15.75" customHeight="1" x14ac:dyDescent="0.25">
      <c r="D3544" s="4"/>
      <c r="H3544" s="4"/>
    </row>
    <row r="3545" spans="1:8" ht="15.75" customHeight="1" x14ac:dyDescent="0.25">
      <c r="D3545" s="4"/>
      <c r="H3545" s="4"/>
    </row>
    <row r="3546" spans="1:8" ht="15.75" customHeight="1" x14ac:dyDescent="0.25">
      <c r="D3546" s="4"/>
      <c r="H3546" s="4"/>
    </row>
    <row r="3547" spans="1:8" ht="15.75" customHeight="1" x14ac:dyDescent="0.25">
      <c r="D3547" s="4"/>
      <c r="H3547" s="4"/>
    </row>
    <row r="3548" spans="1:8" ht="15.75" customHeight="1" x14ac:dyDescent="0.25">
      <c r="D3548" s="4"/>
      <c r="H3548" s="4"/>
    </row>
    <row r="3549" spans="1:8" ht="15.75" customHeight="1" x14ac:dyDescent="0.25">
      <c r="D3549" s="4"/>
      <c r="H3549" s="4"/>
    </row>
    <row r="3550" spans="1:8" ht="15.75" customHeight="1" x14ac:dyDescent="0.25">
      <c r="D3550" s="4"/>
      <c r="H3550" s="4"/>
    </row>
    <row r="3551" spans="1:8" ht="15.75" customHeight="1" x14ac:dyDescent="0.25">
      <c r="D3551" s="4"/>
      <c r="H3551" s="4"/>
    </row>
    <row r="3552" spans="1:8" ht="15.75" customHeight="1" x14ac:dyDescent="0.25">
      <c r="D3552" s="4"/>
      <c r="H3552" s="4"/>
    </row>
    <row r="3553" spans="1:8" ht="15.75" customHeight="1" x14ac:dyDescent="0.25">
      <c r="D3553" s="4"/>
      <c r="H3553" s="4"/>
    </row>
    <row r="3554" spans="1:8" ht="15.75" customHeight="1" x14ac:dyDescent="0.25">
      <c r="D3554" s="4"/>
      <c r="H3554" s="4"/>
    </row>
    <row r="3555" spans="1:8" ht="15.75" customHeight="1" x14ac:dyDescent="0.25">
      <c r="A3555" s="398" t="s">
        <v>14</v>
      </c>
      <c r="B3555" s="398"/>
      <c r="C3555" s="398"/>
      <c r="D3555" s="398"/>
      <c r="E3555" s="398"/>
      <c r="F3555" s="398"/>
      <c r="G3555" s="398"/>
      <c r="H3555" s="398"/>
    </row>
    <row r="3556" spans="1:8" ht="15.75" customHeight="1" x14ac:dyDescent="0.25">
      <c r="A3556" s="390"/>
      <c r="B3556" s="390"/>
      <c r="C3556" s="390"/>
      <c r="D3556" s="391"/>
      <c r="E3556" s="390"/>
      <c r="F3556" s="390"/>
      <c r="G3556" s="390"/>
      <c r="H3556" s="398"/>
    </row>
    <row r="3557" spans="1:8" ht="15.75" customHeight="1" x14ac:dyDescent="0.25">
      <c r="A3557" s="390"/>
      <c r="B3557" s="390"/>
      <c r="C3557" s="391"/>
      <c r="D3557" s="392"/>
      <c r="E3557" s="393"/>
      <c r="F3557" s="393"/>
      <c r="G3557" s="393"/>
      <c r="H3557" s="394"/>
    </row>
    <row r="3558" spans="1:8" ht="15.75" customHeight="1" x14ac:dyDescent="0.25">
      <c r="A3558" s="390"/>
      <c r="B3558" s="390"/>
      <c r="C3558" s="390"/>
      <c r="D3558" s="391"/>
      <c r="E3558" s="390"/>
      <c r="F3558" s="395" t="s">
        <v>18</v>
      </c>
      <c r="G3558" s="396" t="s">
        <v>1368</v>
      </c>
      <c r="H3558" s="397"/>
    </row>
    <row r="3559" spans="1:8" ht="15.75" customHeight="1" x14ac:dyDescent="0.25">
      <c r="A3559" s="390" t="s">
        <v>20</v>
      </c>
      <c r="B3559" s="390"/>
      <c r="C3559" s="390"/>
      <c r="D3559" s="391"/>
      <c r="E3559" s="390"/>
      <c r="F3559" s="395" t="s">
        <v>21</v>
      </c>
      <c r="G3559" s="390" t="s">
        <v>1369</v>
      </c>
      <c r="H3559" s="391"/>
    </row>
    <row r="3560" spans="1:8" ht="15.75" customHeight="1" x14ac:dyDescent="0.25">
      <c r="A3560" s="390" t="inlineStr">
        <is>
          <t>Dealer-002</t>
        </is>
      </c>
      <c r="B3560" s="390"/>
      <c r="C3560" s="390"/>
      <c r="D3560" s="391"/>
      <c r="E3560" s="395"/>
      <c r="F3560" s="390"/>
      <c r="G3560" s="390"/>
      <c r="H3560" s="394"/>
    </row>
    <row r="3561" spans="1:8" ht="15.75" customHeight="1" x14ac:dyDescent="0.25">
      <c r="A3561" s="390" t="inlineStr">
        <is>
          <t>Address line (redacted)</t>
        </is>
      </c>
      <c r="B3561" s="390"/>
      <c r="C3561" s="390"/>
      <c r="D3561" s="398"/>
      <c r="E3561" s="390"/>
      <c r="F3561" s="391"/>
      <c r="G3561" s="390"/>
      <c r="H3561" s="394"/>
    </row>
    <row r="3562" spans="1:8" ht="15.75" customHeight="1" x14ac:dyDescent="0.25">
      <c r="A3562" s="390" t="inlineStr">
        <is>
          <t>Address line (redacted)</t>
        </is>
      </c>
      <c r="B3562" s="390"/>
      <c r="C3562" s="390"/>
      <c r="D3562" s="398"/>
      <c r="E3562" s="390"/>
      <c r="F3562" s="391"/>
      <c r="G3562" s="390"/>
      <c r="H3562" s="394"/>
    </row>
    <row r="3563" spans="1:8" ht="15.75" customHeight="1" x14ac:dyDescent="0.25">
      <c r="A3563" s="447"/>
      <c r="B3563" s="390"/>
      <c r="C3563" s="390"/>
      <c r="D3563" s="391"/>
      <c r="E3563" s="390"/>
      <c r="F3563" s="391"/>
      <c r="G3563" s="390"/>
      <c r="H3563" s="394"/>
    </row>
    <row r="3564" spans="1:8" ht="15.75" customHeight="1" x14ac:dyDescent="0.25">
      <c r="A3564" s="390" t="s">
        <v>30</v>
      </c>
      <c r="B3564" s="390"/>
      <c r="C3564" s="390"/>
      <c r="D3564" s="391"/>
      <c r="E3564" s="390"/>
      <c r="F3564" s="391"/>
      <c r="G3564" s="390"/>
      <c r="H3564" s="394"/>
    </row>
    <row r="3565" spans="1:8" ht="15.75" customHeight="1" x14ac:dyDescent="0.25">
      <c r="A3565" s="390"/>
      <c r="B3565" s="390"/>
      <c r="C3565" s="390"/>
      <c r="D3565" s="391"/>
      <c r="E3565" s="390"/>
      <c r="F3565" s="391"/>
      <c r="G3565" s="390"/>
      <c r="H3565" s="394"/>
    </row>
    <row r="3566" spans="1:8" ht="15.75" customHeight="1" x14ac:dyDescent="0.25">
      <c r="A3566" s="390" t="s">
        <v>31</v>
      </c>
      <c r="B3566" s="390"/>
      <c r="C3566" s="390"/>
      <c r="D3566" s="391"/>
      <c r="E3566" s="390"/>
      <c r="F3566" s="391"/>
      <c r="G3566" s="390"/>
      <c r="H3566" s="394"/>
    </row>
    <row r="3567" spans="1:8" ht="15.75" customHeight="1" x14ac:dyDescent="0.25">
      <c r="A3567" s="390" t="s">
        <v>32</v>
      </c>
      <c r="B3567" s="390"/>
      <c r="C3567" s="390"/>
      <c r="D3567" s="391"/>
      <c r="E3567" s="390"/>
      <c r="F3567" s="391"/>
      <c r="G3567" s="390"/>
      <c r="H3567" s="394"/>
    </row>
    <row r="3568" spans="1:8" ht="15.75" customHeight="1" x14ac:dyDescent="0.25">
      <c r="A3568" s="390"/>
      <c r="B3568" s="390"/>
      <c r="C3568" s="390"/>
      <c r="D3568" s="391"/>
      <c r="E3568" s="390"/>
      <c r="F3568" s="391"/>
      <c r="G3568" s="390"/>
      <c r="H3568" s="394"/>
    </row>
    <row r="3569" spans="1:8" ht="15.75" customHeight="1" x14ac:dyDescent="0.25">
      <c r="A3569" s="399" t="s">
        <v>33</v>
      </c>
      <c r="B3569" s="400" t="s">
        <v>6</v>
      </c>
      <c r="C3569" s="400"/>
      <c r="D3569" s="401" t="s">
        <v>37</v>
      </c>
      <c r="E3569" s="402" t="s">
        <v>38</v>
      </c>
      <c r="F3569" s="403" t="s">
        <v>7</v>
      </c>
      <c r="G3569" s="404" t="s">
        <v>43</v>
      </c>
      <c r="H3569" s="405" t="s">
        <v>44</v>
      </c>
    </row>
    <row r="3570" spans="1:8" ht="15.75" customHeight="1" x14ac:dyDescent="0.25">
      <c r="A3570" s="406"/>
      <c r="B3570" s="407"/>
      <c r="C3570" s="393"/>
      <c r="D3570" s="408"/>
      <c r="E3570" s="408"/>
      <c r="F3570" s="409"/>
      <c r="G3570" s="410"/>
      <c r="H3570" s="411"/>
    </row>
    <row r="3571" spans="1:8" ht="15.75" customHeight="1" x14ac:dyDescent="0.25">
      <c r="A3571" s="425"/>
      <c r="B3571" s="557" t="s">
        <v>1365</v>
      </c>
      <c r="C3571" s="558"/>
      <c r="D3571" s="427"/>
      <c r="E3571" s="427"/>
      <c r="F3571" s="391"/>
      <c r="G3571" s="427"/>
      <c r="H3571" s="429"/>
    </row>
    <row r="3572" spans="1:8" ht="15.75" customHeight="1" x14ac:dyDescent="0.25">
      <c r="A3572" s="425" t="s">
        <v>55</v>
      </c>
      <c r="B3572" s="448">
        <v>505</v>
      </c>
      <c r="C3572" s="390"/>
      <c r="D3572" s="427">
        <v>2</v>
      </c>
      <c r="E3572" s="427">
        <v>4</v>
      </c>
      <c r="F3572" s="391">
        <f>+E3572*D3572</f>
      </c>
      <c r="G3572" s="427">
        <v>1</v>
      </c>
      <c r="H3572" s="429">
        <f>+G3572*F3572</f>
      </c>
    </row>
    <row r="3573" spans="1:8" ht="15.75" customHeight="1" x14ac:dyDescent="0.25">
      <c r="A3573" s="425"/>
      <c r="B3573" s="557" t="s">
        <v>1452</v>
      </c>
      <c r="C3573" s="558"/>
      <c r="D3573" s="427"/>
      <c r="E3573" s="427"/>
      <c r="F3573" s="391"/>
      <c r="G3573" s="427"/>
      <c r="H3573" s="429"/>
    </row>
    <row r="3574" spans="1:8" ht="15.75" customHeight="1" x14ac:dyDescent="0.25">
      <c r="A3574" s="425" t="s">
        <v>67</v>
      </c>
      <c r="B3574" s="448" t="s">
        <v>1453</v>
      </c>
      <c r="C3574" s="390" t="s">
        <v>12</v>
      </c>
      <c r="D3574" s="427">
        <v>15</v>
      </c>
      <c r="E3574" s="427">
        <v>24</v>
      </c>
      <c r="F3574" s="391">
        <f t="shared" ref="F3574:F3575" si="80">+E3574*D3574</f>
      </c>
      <c r="G3574" s="427">
        <v>1</v>
      </c>
      <c r="H3574" s="429">
        <f t="shared" ref="H3574:H3575" si="81">+G3574*F3574</f>
      </c>
    </row>
    <row r="3575" spans="1:8" ht="15.75" customHeight="1" x14ac:dyDescent="0.25">
      <c r="A3575" s="425" t="s">
        <v>485</v>
      </c>
      <c r="B3575" s="448" t="s">
        <v>1454</v>
      </c>
      <c r="C3575" s="390" t="s">
        <v>12</v>
      </c>
      <c r="D3575" s="427">
        <v>35</v>
      </c>
      <c r="E3575" s="427">
        <v>24</v>
      </c>
      <c r="F3575" s="391">
        <f t="shared" si="80"/>
      </c>
      <c r="G3575" s="427">
        <v>1</v>
      </c>
      <c r="H3575" s="429">
        <f t="shared" si="81"/>
      </c>
    </row>
    <row r="3576" spans="1:8" ht="15.75" customHeight="1" x14ac:dyDescent="0.25">
      <c r="A3576" s="425"/>
      <c r="B3576" s="448"/>
      <c r="C3576" s="390"/>
      <c r="D3576" s="427"/>
      <c r="E3576" s="427"/>
      <c r="F3576" s="391"/>
      <c r="G3576" s="427"/>
      <c r="H3576" s="429"/>
    </row>
    <row r="3577" spans="1:8" ht="15.75" customHeight="1" x14ac:dyDescent="0.25">
      <c r="A3577" s="425"/>
      <c r="B3577" s="448"/>
      <c r="C3577" s="390"/>
      <c r="D3577" s="427"/>
      <c r="E3577" s="427"/>
      <c r="F3577" s="391"/>
      <c r="G3577" s="427"/>
      <c r="H3577" s="429"/>
    </row>
    <row r="3578" spans="1:8" ht="15.75" customHeight="1" x14ac:dyDescent="0.25">
      <c r="A3578" s="425"/>
      <c r="B3578" s="448"/>
      <c r="C3578" s="390"/>
      <c r="D3578" s="427"/>
      <c r="E3578" s="427"/>
      <c r="F3578" s="391"/>
      <c r="G3578" s="427"/>
      <c r="H3578" s="429"/>
    </row>
    <row r="3579" spans="1:8" ht="15.75" customHeight="1" x14ac:dyDescent="0.25">
      <c r="A3579" s="425"/>
      <c r="B3579" s="426"/>
      <c r="C3579" s="390"/>
      <c r="D3579" s="427"/>
      <c r="E3579" s="427"/>
      <c r="F3579" s="391"/>
      <c r="G3579" s="427"/>
      <c r="H3579" s="429"/>
    </row>
    <row r="3580" spans="1:8" ht="15.75" customHeight="1" x14ac:dyDescent="0.25">
      <c r="A3580" s="430"/>
      <c r="B3580" s="409"/>
      <c r="C3580" s="393"/>
      <c r="D3580" s="427"/>
      <c r="E3580" s="427"/>
      <c r="F3580" s="428"/>
      <c r="G3580" s="431"/>
      <c r="H3580" s="429"/>
    </row>
    <row r="3581" spans="1:8" ht="15.75" customHeight="1" x14ac:dyDescent="0.25">
      <c r="A3581" s="432"/>
      <c r="B3581" s="433"/>
      <c r="C3581" s="434" t="s">
        <v>85</v>
      </c>
      <c r="D3581" s="435">
        <f>SUM(D3572:D3580)</f>
      </c>
      <c r="E3581" s="435"/>
      <c r="F3581" s="435"/>
      <c r="G3581" s="652"/>
      <c r="H3581" s="653">
        <f>SUM(H3572:H3580)</f>
      </c>
    </row>
    <row r="3582" spans="1:8" ht="15.75" customHeight="1" x14ac:dyDescent="0.25">
      <c r="A3582" s="439"/>
      <c r="B3582" s="440"/>
      <c r="C3582" s="440"/>
      <c r="D3582" s="441"/>
      <c r="E3582" s="440"/>
      <c r="F3582" s="442"/>
      <c r="G3582" s="443"/>
      <c r="H3582" s="444"/>
    </row>
    <row r="3583" spans="1:8" ht="15.75" customHeight="1" x14ac:dyDescent="0.25">
      <c r="A3583" s="392"/>
      <c r="B3583" s="391"/>
      <c r="C3583" s="391"/>
      <c r="D3583" s="391"/>
      <c r="E3583" s="390"/>
      <c r="F3583" s="392"/>
      <c r="G3583" s="390"/>
      <c r="H3583" s="394"/>
    </row>
    <row r="3584" spans="1:8" ht="15.75" customHeight="1" x14ac:dyDescent="0.25">
      <c r="A3584" s="445"/>
      <c r="B3584" s="445"/>
      <c r="C3584" s="445"/>
      <c r="D3584" s="446" t="s">
        <v>97</v>
      </c>
      <c r="E3584" s="445" t="s">
        <v>98</v>
      </c>
      <c r="F3584" s="445"/>
      <c r="G3584" s="390"/>
      <c r="H3584" s="394"/>
    </row>
    <row r="3585" spans="1:8" ht="15.75" customHeight="1" x14ac:dyDescent="0.25">
      <c r="A3585" s="390"/>
      <c r="B3585" s="390"/>
      <c r="C3585" s="390"/>
      <c r="D3585" s="391"/>
      <c r="E3585" s="390"/>
      <c r="F3585" s="390"/>
      <c r="G3585" s="390"/>
      <c r="H3585" s="394"/>
    </row>
    <row r="3586" spans="1:8" ht="15.75" customHeight="1" x14ac:dyDescent="0.25">
      <c r="A3586" s="390"/>
      <c r="B3586" s="390"/>
      <c r="C3586" s="390"/>
      <c r="D3586" s="391"/>
      <c r="E3586" s="390"/>
      <c r="F3586" s="390"/>
      <c r="G3586" s="390"/>
      <c r="H3586" s="394"/>
    </row>
    <row r="3587" spans="1:8" ht="15.75" customHeight="1" x14ac:dyDescent="0.25">
      <c r="A3587" s="445"/>
      <c r="B3587" s="445"/>
      <c r="C3587" s="445"/>
      <c r="D3587" s="446"/>
      <c r="E3587" s="445" t="s">
        <v>99</v>
      </c>
      <c r="F3587" s="445"/>
      <c r="G3587" s="390"/>
      <c r="H3587" s="394"/>
    </row>
    <row r="3588" spans="1:8" ht="15.75" customHeight="1" x14ac:dyDescent="0.25">
      <c r="D3588" s="4"/>
      <c r="H3588" s="4"/>
    </row>
    <row r="3589" spans="1:8" ht="15.75" customHeight="1" x14ac:dyDescent="0.25">
      <c r="D3589" s="4"/>
      <c r="H3589" s="4"/>
    </row>
    <row r="3590" spans="1:8" ht="15.75" customHeight="1" x14ac:dyDescent="0.25">
      <c r="D3590" s="4"/>
      <c r="H3590" s="4"/>
    </row>
    <row r="3591" spans="1:8" ht="15.75" customHeight="1" x14ac:dyDescent="0.25">
      <c r="D3591" s="4"/>
      <c r="H3591" s="4"/>
    </row>
    <row r="3592" spans="1:8" ht="15.75" customHeight="1" x14ac:dyDescent="0.25">
      <c r="D3592" s="4"/>
      <c r="H3592" s="4"/>
    </row>
    <row r="3593" spans="1:8" ht="15.75" customHeight="1" x14ac:dyDescent="0.25">
      <c r="D3593" s="4"/>
      <c r="H3593" s="4"/>
    </row>
    <row r="3594" spans="1:8" ht="15.75" customHeight="1" x14ac:dyDescent="0.25">
      <c r="D3594" s="4"/>
      <c r="H3594" s="4"/>
    </row>
    <row r="3595" spans="1:8" ht="15.75" customHeight="1" x14ac:dyDescent="0.25">
      <c r="D3595" s="4"/>
      <c r="H3595" s="4"/>
    </row>
    <row r="3596" spans="1:8" ht="15.75" customHeight="1" x14ac:dyDescent="0.25">
      <c r="D3596" s="4"/>
      <c r="H3596" s="4"/>
    </row>
    <row r="3597" spans="1:8" ht="15.75" customHeight="1" x14ac:dyDescent="0.25">
      <c r="D3597" s="4"/>
      <c r="H3597" s="4"/>
    </row>
    <row r="3598" spans="1:8" ht="15.75" customHeight="1" x14ac:dyDescent="0.25">
      <c r="D3598" s="4"/>
      <c r="H3598" s="4"/>
    </row>
    <row r="3599" spans="1:8" ht="15.75" customHeight="1" x14ac:dyDescent="0.25">
      <c r="A3599" s="398" t="s">
        <v>14</v>
      </c>
      <c r="B3599" s="391"/>
      <c r="C3599" s="391"/>
      <c r="D3599" s="391"/>
      <c r="E3599" s="391"/>
      <c r="F3599" s="391"/>
      <c r="G3599" s="391"/>
      <c r="H3599" s="394"/>
    </row>
    <row r="3600" spans="1:8" ht="15.75" customHeight="1" x14ac:dyDescent="0.25">
      <c r="A3600" s="390"/>
      <c r="B3600" s="390"/>
      <c r="C3600" s="390"/>
      <c r="D3600" s="392"/>
      <c r="E3600" s="569"/>
      <c r="F3600" s="391"/>
      <c r="G3600" s="390"/>
      <c r="H3600" s="394"/>
    </row>
    <row r="3601" spans="1:8" ht="15.75" customHeight="1" x14ac:dyDescent="0.25">
      <c r="A3601" s="390"/>
      <c r="B3601" s="390"/>
      <c r="C3601" s="390"/>
      <c r="D3601" s="391"/>
      <c r="E3601" s="390"/>
      <c r="F3601" s="395" t="s">
        <v>18</v>
      </c>
      <c r="G3601" s="390" t="s">
        <v>671</v>
      </c>
      <c r="H3601" s="394"/>
    </row>
    <row r="3602" spans="1:8" ht="15.75" customHeight="1" x14ac:dyDescent="0.25">
      <c r="A3602" s="390"/>
      <c r="B3602" s="390"/>
      <c r="C3602" s="390"/>
      <c r="D3602" s="391"/>
      <c r="E3602" s="390"/>
      <c r="F3602" s="393" t="s">
        <v>21</v>
      </c>
      <c r="G3602" s="390" t="s">
        <v>1373</v>
      </c>
      <c r="H3602" s="394"/>
    </row>
    <row r="3603" spans="1:8" ht="15.75" customHeight="1" x14ac:dyDescent="0.25">
      <c r="A3603" s="390" t="s">
        <v>20</v>
      </c>
      <c r="B3603" s="390"/>
      <c r="C3603" s="390"/>
      <c r="D3603" s="391"/>
      <c r="E3603" s="390"/>
      <c r="F3603" s="391"/>
      <c r="G3603" s="390"/>
      <c r="H3603" s="394"/>
    </row>
    <row r="3604" spans="1:8" ht="15.75" customHeight="1" x14ac:dyDescent="0.25">
      <c r="A3604" s="390" t="inlineStr">
        <is>
          <t>Dealer-011</t>
        </is>
      </c>
      <c r="B3604" s="390"/>
      <c r="C3604" s="390" t="inlineStr">
        <is>
          <t>ATTN: Contact-002</t>
        </is>
      </c>
      <c r="D3604" s="391"/>
      <c r="E3604" s="390"/>
      <c r="F3604" s="391"/>
      <c r="G3604" s="390"/>
      <c r="H3604" s="394"/>
    </row>
    <row r="3605" spans="1:8" ht="15.75" customHeight="1" x14ac:dyDescent="0.25">
      <c r="A3605" s="390" t="inlineStr">
        <is>
          <t>Address line (redacted)</t>
        </is>
      </c>
      <c r="B3605" s="390"/>
      <c r="C3605" s="390"/>
      <c r="D3605" s="391"/>
      <c r="E3605" s="390"/>
      <c r="F3605" s="391"/>
      <c r="G3605" s="390"/>
      <c r="H3605" s="394"/>
    </row>
    <row r="3606" spans="1:8" ht="15.75" customHeight="1" x14ac:dyDescent="0.25">
      <c r="A3606" s="390" t="inlineStr">
        <is>
          <t>Address line (redacted)</t>
        </is>
      </c>
      <c r="B3606" s="390"/>
      <c r="C3606" s="390"/>
      <c r="D3606" s="391"/>
      <c r="E3606" s="390"/>
      <c r="F3606" s="391"/>
      <c r="G3606" s="390"/>
      <c r="H3606" s="394"/>
    </row>
    <row r="3607" spans="1:8" ht="15.75" customHeight="1" x14ac:dyDescent="0.25">
      <c r="A3607" s="390" t="inlineStr">
        <is>
          <t>Address line (redacted)</t>
        </is>
      </c>
      <c r="B3607" s="390"/>
      <c r="C3607" s="390"/>
      <c r="D3607" s="391"/>
      <c r="E3607" s="390"/>
      <c r="F3607" s="391"/>
      <c r="G3607" s="390"/>
      <c r="H3607" s="394"/>
    </row>
    <row r="3608" spans="1:8" ht="15.75" customHeight="1" x14ac:dyDescent="0.25">
      <c r="A3608" s="390"/>
      <c r="B3608" s="390"/>
      <c r="C3608" s="390"/>
      <c r="D3608" s="391"/>
      <c r="E3608" s="390"/>
      <c r="F3608" s="391"/>
      <c r="G3608" s="390"/>
      <c r="H3608" s="394"/>
    </row>
    <row r="3609" spans="1:8" ht="15.75" customHeight="1" x14ac:dyDescent="0.25">
      <c r="A3609" s="390"/>
      <c r="B3609" s="390"/>
      <c r="C3609" s="390"/>
      <c r="D3609" s="391"/>
      <c r="E3609" s="390"/>
      <c r="F3609" s="391"/>
      <c r="G3609" s="390"/>
      <c r="H3609" s="394"/>
    </row>
    <row r="3610" spans="1:8" ht="15.75" customHeight="1" x14ac:dyDescent="0.25">
      <c r="A3610" s="390"/>
      <c r="B3610" s="390"/>
      <c r="C3610" s="390"/>
      <c r="D3610" s="391"/>
      <c r="E3610" s="390"/>
      <c r="F3610" s="391"/>
      <c r="G3610" s="390"/>
      <c r="H3610" s="394"/>
    </row>
    <row r="3611" spans="1:8" ht="15.75" customHeight="1" x14ac:dyDescent="0.25">
      <c r="A3611" s="390" t="s">
        <v>30</v>
      </c>
      <c r="B3611" s="390"/>
      <c r="C3611" s="390"/>
      <c r="D3611" s="391"/>
      <c r="E3611" s="390"/>
      <c r="F3611" s="391"/>
      <c r="G3611" s="390"/>
      <c r="H3611" s="394"/>
    </row>
    <row r="3612" spans="1:8" ht="15.75" customHeight="1" x14ac:dyDescent="0.25">
      <c r="A3612" s="390"/>
      <c r="B3612" s="390"/>
      <c r="C3612" s="390"/>
      <c r="D3612" s="391"/>
      <c r="E3612" s="390"/>
      <c r="F3612" s="391"/>
      <c r="G3612" s="390"/>
      <c r="H3612" s="394"/>
    </row>
    <row r="3613" spans="1:8" ht="15.75" customHeight="1" x14ac:dyDescent="0.25">
      <c r="A3613" s="390" t="s">
        <v>1322</v>
      </c>
      <c r="B3613" s="390"/>
      <c r="C3613" s="390"/>
      <c r="D3613" s="391"/>
      <c r="E3613" s="390"/>
      <c r="F3613" s="391"/>
      <c r="G3613" s="390"/>
      <c r="H3613" s="394"/>
    </row>
    <row r="3614" spans="1:8" ht="15.75" customHeight="1" x14ac:dyDescent="0.25">
      <c r="A3614" s="390" t="s">
        <v>1328</v>
      </c>
      <c r="B3614" s="390"/>
      <c r="C3614" s="390"/>
      <c r="D3614" s="391"/>
      <c r="E3614" s="390"/>
      <c r="F3614" s="391"/>
      <c r="G3614" s="390"/>
      <c r="H3614" s="394"/>
    </row>
    <row r="3615" spans="1:8" ht="15.75" customHeight="1" x14ac:dyDescent="0.25">
      <c r="A3615" s="390"/>
      <c r="B3615" s="390"/>
      <c r="C3615" s="390"/>
      <c r="D3615" s="391"/>
      <c r="E3615" s="390"/>
      <c r="F3615" s="391"/>
      <c r="G3615" s="390"/>
      <c r="H3615" s="394"/>
    </row>
    <row r="3616" spans="1:8" ht="15.75" customHeight="1" x14ac:dyDescent="0.25">
      <c r="A3616" s="399" t="s">
        <v>33</v>
      </c>
      <c r="B3616" s="400" t="s">
        <v>6</v>
      </c>
      <c r="C3616" s="400"/>
      <c r="D3616" s="401" t="s">
        <v>37</v>
      </c>
      <c r="E3616" s="402" t="s">
        <v>38</v>
      </c>
      <c r="F3616" s="403" t="s">
        <v>7</v>
      </c>
      <c r="G3616" s="404" t="s">
        <v>43</v>
      </c>
      <c r="H3616" s="405" t="s">
        <v>44</v>
      </c>
    </row>
    <row r="3617" spans="1:8" ht="15.75" customHeight="1" x14ac:dyDescent="0.25">
      <c r="A3617" s="406"/>
      <c r="B3617" s="407"/>
      <c r="C3617" s="393"/>
      <c r="D3617" s="410"/>
      <c r="E3617" s="408"/>
      <c r="F3617" s="409"/>
      <c r="G3617" s="410"/>
      <c r="H3617" s="411"/>
    </row>
    <row r="3618" spans="1:8" ht="15.75" customHeight="1" x14ac:dyDescent="0.25">
      <c r="A3618" s="412"/>
      <c r="B3618" s="654" t="s">
        <v>1365</v>
      </c>
      <c r="C3618" s="654"/>
      <c r="D3618" s="415"/>
      <c r="E3618" s="415"/>
      <c r="F3618" s="415"/>
      <c r="G3618" s="415"/>
      <c r="H3618" s="416"/>
    </row>
    <row r="3619" spans="1:8" ht="15.75" customHeight="1" x14ac:dyDescent="0.25">
      <c r="A3619" s="412" t="s">
        <v>55</v>
      </c>
      <c r="B3619" s="644">
        <v>505</v>
      </c>
      <c r="C3619" s="418"/>
      <c r="D3619" s="415">
        <v>6</v>
      </c>
      <c r="E3619" s="415">
        <v>4</v>
      </c>
      <c r="F3619" s="415">
        <f t="shared" ref="F3619:F3620" si="82">+E3619*D3619</f>
      </c>
      <c r="G3619" s="415">
        <v>1</v>
      </c>
      <c r="H3619" s="416">
        <f t="shared" ref="H3619:H3620" si="83">+G3619*F3619</f>
      </c>
    </row>
    <row r="3620" spans="1:8" ht="15.75" customHeight="1" x14ac:dyDescent="0.25">
      <c r="A3620" s="581" t="s">
        <v>59</v>
      </c>
      <c r="B3620" s="582">
        <v>507</v>
      </c>
      <c r="C3620" s="582"/>
      <c r="D3620" s="415">
        <f>76/4</f>
      </c>
      <c r="E3620" s="415">
        <v>4</v>
      </c>
      <c r="F3620" s="415">
        <f t="shared" si="82"/>
      </c>
      <c r="G3620" s="415">
        <v>1</v>
      </c>
      <c r="H3620" s="416">
        <f t="shared" si="83"/>
      </c>
    </row>
    <row r="3621" spans="1:8" ht="15.75" customHeight="1" x14ac:dyDescent="0.25">
      <c r="A3621" s="581"/>
      <c r="B3621" s="654" t="s">
        <v>1329</v>
      </c>
      <c r="C3621" s="654"/>
      <c r="D3621" s="415"/>
      <c r="E3621" s="415"/>
      <c r="F3621" s="415"/>
      <c r="G3621" s="415"/>
      <c r="H3621" s="416"/>
    </row>
    <row r="3622" spans="1:8" ht="15.75" customHeight="1" x14ac:dyDescent="0.25">
      <c r="A3622" s="581" t="s">
        <v>67</v>
      </c>
      <c r="B3622" s="582" t="s">
        <v>1293</v>
      </c>
      <c r="C3622" s="582"/>
      <c r="D3622" s="415">
        <v>1</v>
      </c>
      <c r="E3622" s="415">
        <v>100</v>
      </c>
      <c r="F3622" s="415">
        <f t="shared" ref="F3622:F3623" si="84">+E3622*D3622</f>
      </c>
      <c r="G3622" s="415">
        <v>1</v>
      </c>
      <c r="H3622" s="416">
        <f t="shared" ref="H3622:H3623" si="85">+G3622*F3622</f>
      </c>
    </row>
    <row r="3623" spans="1:8" ht="15.75" customHeight="1" x14ac:dyDescent="0.25">
      <c r="A3623" s="581" t="s">
        <v>485</v>
      </c>
      <c r="B3623" s="582" t="s">
        <v>1476</v>
      </c>
      <c r="C3623" s="582"/>
      <c r="D3623" s="415">
        <v>1</v>
      </c>
      <c r="E3623" s="415">
        <v>200</v>
      </c>
      <c r="F3623" s="415">
        <f t="shared" si="84"/>
      </c>
      <c r="G3623" s="415">
        <v>1</v>
      </c>
      <c r="H3623" s="416">
        <f t="shared" si="85"/>
      </c>
    </row>
    <row r="3624" spans="1:8" ht="15.75" customHeight="1" x14ac:dyDescent="0.25">
      <c r="A3624" s="581"/>
      <c r="B3624" s="582"/>
      <c r="C3624" s="582"/>
      <c r="D3624" s="415"/>
      <c r="E3624" s="415"/>
      <c r="F3624" s="415"/>
      <c r="G3624" s="415"/>
      <c r="H3624" s="416"/>
    </row>
    <row r="3625" spans="1:8" ht="15.75" customHeight="1" x14ac:dyDescent="0.25">
      <c r="A3625" s="583" t="s">
        <v>486</v>
      </c>
      <c r="B3625" s="584" t="s">
        <v>1297</v>
      </c>
      <c r="C3625" s="584"/>
      <c r="D3625" s="415"/>
      <c r="E3625" s="582"/>
      <c r="F3625" s="585"/>
      <c r="G3625" s="584"/>
      <c r="H3625" s="586"/>
    </row>
    <row r="3626" spans="1:8" ht="15.75" customHeight="1" x14ac:dyDescent="0.25">
      <c r="A3626" s="583"/>
      <c r="B3626" s="585" t="s">
        <v>76</v>
      </c>
      <c r="C3626" s="585" t="s">
        <v>376</v>
      </c>
      <c r="D3626" s="415">
        <v>1</v>
      </c>
      <c r="E3626" s="415">
        <v>6</v>
      </c>
      <c r="F3626" s="588">
        <f t="shared" ref="F3626:F3633" si="86">+E3626*D3626</f>
      </c>
      <c r="G3626" s="588">
        <v>1</v>
      </c>
      <c r="H3626" s="416">
        <f t="shared" ref="H3626:H3633" si="87">+G3626*F3626</f>
      </c>
    </row>
    <row r="3627" spans="1:8" ht="15.75" customHeight="1" x14ac:dyDescent="0.25">
      <c r="A3627" s="583"/>
      <c r="B3627" s="585" t="s">
        <v>215</v>
      </c>
      <c r="C3627" s="585" t="s">
        <v>386</v>
      </c>
      <c r="D3627" s="415">
        <v>1</v>
      </c>
      <c r="E3627" s="415">
        <v>4</v>
      </c>
      <c r="F3627" s="588">
        <f t="shared" si="86"/>
      </c>
      <c r="G3627" s="588">
        <v>1</v>
      </c>
      <c r="H3627" s="416">
        <f t="shared" si="87"/>
      </c>
    </row>
    <row r="3628" spans="1:8" ht="15.75" customHeight="1" x14ac:dyDescent="0.25">
      <c r="A3628" s="587"/>
      <c r="B3628" s="418" t="s">
        <v>1314</v>
      </c>
      <c r="C3628" s="585" t="s">
        <v>387</v>
      </c>
      <c r="D3628" s="415">
        <v>1</v>
      </c>
      <c r="E3628" s="415">
        <v>6</v>
      </c>
      <c r="F3628" s="588">
        <f t="shared" si="86"/>
      </c>
      <c r="G3628" s="588">
        <v>1</v>
      </c>
      <c r="H3628" s="416">
        <f t="shared" si="87"/>
      </c>
    </row>
    <row r="3629" spans="1:8" ht="15.75" customHeight="1" x14ac:dyDescent="0.25">
      <c r="A3629" s="587"/>
      <c r="B3629" s="418" t="s">
        <v>217</v>
      </c>
      <c r="C3629" s="585" t="s">
        <v>388</v>
      </c>
      <c r="D3629" s="588">
        <v>1</v>
      </c>
      <c r="E3629" s="415">
        <v>6</v>
      </c>
      <c r="F3629" s="588">
        <f t="shared" si="86"/>
      </c>
      <c r="G3629" s="588">
        <v>1</v>
      </c>
      <c r="H3629" s="416">
        <f t="shared" si="87"/>
      </c>
    </row>
    <row r="3630" spans="1:8" ht="15.75" customHeight="1" x14ac:dyDescent="0.25">
      <c r="A3630" s="587"/>
      <c r="B3630" s="418" t="s">
        <v>270</v>
      </c>
      <c r="C3630" s="585" t="s">
        <v>1478</v>
      </c>
      <c r="D3630" s="588">
        <v>1</v>
      </c>
      <c r="E3630" s="415">
        <v>6</v>
      </c>
      <c r="F3630" s="588">
        <f t="shared" si="86"/>
      </c>
      <c r="G3630" s="588">
        <v>1</v>
      </c>
      <c r="H3630" s="416">
        <f t="shared" si="87"/>
      </c>
    </row>
    <row r="3631" spans="1:8" ht="15.75" customHeight="1" x14ac:dyDescent="0.25">
      <c r="A3631" s="587"/>
      <c r="B3631" s="418" t="s">
        <v>228</v>
      </c>
      <c r="C3631" s="582" t="s">
        <v>398</v>
      </c>
      <c r="D3631" s="415">
        <v>1</v>
      </c>
      <c r="E3631" s="415">
        <v>6</v>
      </c>
      <c r="F3631" s="588">
        <f t="shared" si="86"/>
      </c>
      <c r="G3631" s="588">
        <v>1</v>
      </c>
      <c r="H3631" s="416">
        <f t="shared" si="87"/>
      </c>
    </row>
    <row r="3632" spans="1:8" ht="15.75" customHeight="1" x14ac:dyDescent="0.25">
      <c r="A3632" s="587"/>
      <c r="B3632" s="418" t="s">
        <v>1484</v>
      </c>
      <c r="C3632" s="582" t="s">
        <v>401</v>
      </c>
      <c r="D3632" s="415">
        <v>1</v>
      </c>
      <c r="E3632" s="415">
        <v>6</v>
      </c>
      <c r="F3632" s="588">
        <f t="shared" si="86"/>
      </c>
      <c r="G3632" s="588">
        <v>1</v>
      </c>
      <c r="H3632" s="416">
        <f t="shared" si="87"/>
      </c>
    </row>
    <row r="3633" spans="1:8" ht="15.75" customHeight="1" x14ac:dyDescent="0.25">
      <c r="A3633" s="587"/>
      <c r="B3633" s="418" t="s">
        <v>1485</v>
      </c>
      <c r="C3633" s="582" t="s">
        <v>402</v>
      </c>
      <c r="D3633" s="415">
        <v>1</v>
      </c>
      <c r="E3633" s="415">
        <v>6</v>
      </c>
      <c r="F3633" s="588">
        <f t="shared" si="86"/>
      </c>
      <c r="G3633" s="588">
        <v>1</v>
      </c>
      <c r="H3633" s="416">
        <f t="shared" si="87"/>
      </c>
    </row>
    <row r="3634" spans="1:8" ht="15.75" customHeight="1" x14ac:dyDescent="0.25">
      <c r="A3634" s="430"/>
      <c r="B3634" s="409"/>
      <c r="C3634" s="393"/>
      <c r="D3634" s="427"/>
      <c r="E3634" s="427"/>
      <c r="F3634" s="428"/>
      <c r="G3634" s="431"/>
      <c r="H3634" s="429"/>
    </row>
    <row r="3635" spans="1:8" ht="15.75" customHeight="1" x14ac:dyDescent="0.25">
      <c r="A3635" s="432"/>
      <c r="B3635" s="433"/>
      <c r="C3635" s="434" t="s">
        <v>85</v>
      </c>
      <c r="D3635" s="436">
        <f>SUM(D3619:D3634)</f>
      </c>
      <c r="E3635" s="436"/>
      <c r="F3635" s="436"/>
      <c r="G3635" s="437"/>
      <c r="H3635" s="623">
        <f>SUM(H3619:H3634)</f>
      </c>
    </row>
    <row r="3636" spans="1:8" ht="15.75" customHeight="1" x14ac:dyDescent="0.25">
      <c r="A3636" s="439"/>
      <c r="B3636" s="440"/>
      <c r="C3636" s="440"/>
      <c r="D3636" s="441"/>
      <c r="E3636" s="440"/>
      <c r="F3636" s="442"/>
      <c r="G3636" s="443"/>
      <c r="H3636" s="444"/>
    </row>
    <row r="3637" spans="1:8" ht="15.75" customHeight="1" x14ac:dyDescent="0.25">
      <c r="A3637" s="392"/>
      <c r="B3637" s="391"/>
      <c r="C3637" s="391"/>
      <c r="D3637" s="391"/>
      <c r="E3637" s="390"/>
      <c r="F3637" s="392"/>
      <c r="G3637" s="390"/>
      <c r="H3637" s="394"/>
    </row>
    <row r="3638" spans="1:8" ht="15.75" customHeight="1" x14ac:dyDescent="0.25">
      <c r="A3638" s="445"/>
      <c r="B3638" s="445"/>
      <c r="C3638" s="445"/>
      <c r="D3638" s="446" t="s">
        <v>97</v>
      </c>
      <c r="E3638" s="445" t="s">
        <v>98</v>
      </c>
      <c r="F3638" s="445"/>
      <c r="G3638" s="390"/>
      <c r="H3638" s="394"/>
    </row>
    <row r="3639" spans="1:8" ht="15.75" customHeight="1" x14ac:dyDescent="0.25">
      <c r="A3639" s="390"/>
      <c r="B3639" s="390"/>
      <c r="C3639" s="390"/>
      <c r="D3639" s="391"/>
      <c r="E3639" s="390"/>
      <c r="F3639" s="390"/>
      <c r="G3639" s="390"/>
      <c r="H3639" s="394"/>
    </row>
    <row r="3640" spans="1:8" ht="15.75" customHeight="1" x14ac:dyDescent="0.25">
      <c r="A3640" s="390"/>
      <c r="B3640" s="390"/>
      <c r="C3640" s="390"/>
      <c r="D3640" s="391"/>
      <c r="E3640" s="390"/>
      <c r="F3640" s="390"/>
      <c r="G3640" s="390"/>
      <c r="H3640" s="394"/>
    </row>
    <row r="3641" spans="1:8" ht="15.75" customHeight="1" x14ac:dyDescent="0.25">
      <c r="A3641" s="445"/>
      <c r="B3641" s="445"/>
      <c r="C3641" s="445"/>
      <c r="D3641" s="446"/>
      <c r="E3641" s="445" t="s">
        <v>99</v>
      </c>
      <c r="F3641" s="445"/>
      <c r="G3641" s="390"/>
      <c r="H3641" s="394"/>
    </row>
    <row r="3642" spans="1:8" ht="15.75" customHeight="1" x14ac:dyDescent="0.25">
      <c r="D3642" s="4"/>
      <c r="H3642" s="4"/>
    </row>
    <row r="3643" spans="1:8" ht="15.75" customHeight="1" x14ac:dyDescent="0.25">
      <c r="D3643" s="4"/>
      <c r="H3643" s="4"/>
    </row>
    <row r="3644" spans="1:8" ht="15.75" customHeight="1" x14ac:dyDescent="0.25">
      <c r="D3644" s="4"/>
      <c r="H3644" s="4"/>
    </row>
    <row r="3645" spans="1:8" ht="15.75" customHeight="1" x14ac:dyDescent="0.25">
      <c r="A3645" s="398" t="s">
        <v>14</v>
      </c>
      <c r="B3645" s="391"/>
      <c r="C3645" s="391"/>
      <c r="D3645" s="391"/>
      <c r="E3645" s="391"/>
      <c r="F3645" s="391"/>
      <c r="G3645" s="391"/>
      <c r="H3645" s="394"/>
    </row>
    <row r="3646" spans="1:8" ht="15.75" customHeight="1" x14ac:dyDescent="0.25">
      <c r="A3646" s="390"/>
      <c r="B3646" s="390"/>
      <c r="C3646" s="390"/>
      <c r="D3646" s="392"/>
      <c r="E3646" s="569"/>
      <c r="F3646" s="391"/>
      <c r="G3646" s="390"/>
      <c r="H3646" s="394"/>
    </row>
    <row r="3647" spans="1:8" ht="15.75" customHeight="1" x14ac:dyDescent="0.25">
      <c r="A3647" s="390"/>
      <c r="B3647" s="390"/>
      <c r="C3647" s="393"/>
      <c r="D3647" s="398"/>
      <c r="E3647" s="393"/>
      <c r="F3647" s="395" t="s">
        <v>18</v>
      </c>
      <c r="G3647" s="390" t="s">
        <v>671</v>
      </c>
      <c r="H3647" s="394"/>
    </row>
    <row r="3648" spans="1:8" ht="15.75" customHeight="1" x14ac:dyDescent="0.25">
      <c r="A3648" s="390"/>
      <c r="B3648" s="390"/>
      <c r="C3648" s="390"/>
      <c r="D3648" s="391"/>
      <c r="E3648" s="390"/>
      <c r="F3648" s="393" t="s">
        <v>21</v>
      </c>
      <c r="G3648" s="390" t="s">
        <v>1488</v>
      </c>
      <c r="H3648" s="394"/>
    </row>
    <row r="3649" spans="1:8" ht="15.75" customHeight="1" x14ac:dyDescent="0.25">
      <c r="A3649" s="390" t="s">
        <v>20</v>
      </c>
      <c r="B3649" s="390"/>
      <c r="C3649" s="390"/>
      <c r="D3649" s="391"/>
      <c r="E3649" s="390"/>
      <c r="F3649" s="391"/>
      <c r="G3649" s="390"/>
      <c r="H3649" s="394"/>
    </row>
    <row r="3650" spans="1:8" ht="15.75" customHeight="1" x14ac:dyDescent="0.25">
      <c r="A3650" s="390" t="inlineStr">
        <is>
          <t>Dealer-003</t>
        </is>
      </c>
      <c r="B3650" s="390"/>
      <c r="C3650" s="398"/>
      <c r="D3650" s="391"/>
      <c r="E3650" s="390"/>
      <c r="F3650" s="391"/>
      <c r="G3650" s="390"/>
      <c r="H3650" s="394"/>
    </row>
    <row r="3651" spans="1:8" ht="15.75" customHeight="1" x14ac:dyDescent="0.25">
      <c r="A3651" s="390" t="inlineStr">
        <is>
          <t>Address line (redacted)</t>
        </is>
      </c>
      <c r="B3651" s="390"/>
      <c r="C3651" s="390"/>
      <c r="D3651" s="391"/>
      <c r="E3651" s="390"/>
      <c r="F3651" s="391"/>
      <c r="G3651" s="390"/>
      <c r="H3651" s="394"/>
    </row>
    <row r="3652" spans="1:8" ht="15.75" customHeight="1" x14ac:dyDescent="0.25">
      <c r="A3652" s="390" t="inlineStr">
        <is>
          <t>Address line (redacted)</t>
        </is>
      </c>
      <c r="B3652" s="390"/>
      <c r="C3652" s="390"/>
      <c r="D3652" s="391"/>
      <c r="E3652" s="390"/>
      <c r="F3652" s="391"/>
      <c r="G3652" s="390"/>
      <c r="H3652" s="394"/>
    </row>
    <row r="3653" spans="1:8" ht="15.75" customHeight="1" x14ac:dyDescent="0.25">
      <c r="A3653" s="390"/>
      <c r="B3653" s="390"/>
      <c r="C3653" s="390"/>
      <c r="D3653" s="391"/>
      <c r="E3653" s="390"/>
      <c r="F3653" s="391"/>
      <c r="G3653" s="390"/>
      <c r="H3653" s="394"/>
    </row>
    <row r="3654" spans="1:8" ht="15.75" customHeight="1" x14ac:dyDescent="0.25">
      <c r="A3654" s="390" t="s">
        <v>30</v>
      </c>
      <c r="B3654" s="390"/>
      <c r="C3654" s="390"/>
      <c r="D3654" s="391"/>
      <c r="E3654" s="390"/>
      <c r="F3654" s="391"/>
      <c r="G3654" s="390"/>
      <c r="H3654" s="394"/>
    </row>
    <row r="3655" spans="1:8" ht="15.75" customHeight="1" x14ac:dyDescent="0.25">
      <c r="A3655" s="390"/>
      <c r="B3655" s="390"/>
      <c r="C3655" s="390"/>
      <c r="D3655" s="391"/>
      <c r="E3655" s="390"/>
      <c r="F3655" s="391"/>
      <c r="G3655" s="390"/>
      <c r="H3655" s="394"/>
    </row>
    <row r="3656" spans="1:8" ht="15.75" customHeight="1" x14ac:dyDescent="0.25">
      <c r="A3656" s="390" t="s">
        <v>1322</v>
      </c>
      <c r="B3656" s="390"/>
      <c r="C3656" s="390"/>
      <c r="D3656" s="391"/>
      <c r="E3656" s="390"/>
      <c r="F3656" s="391"/>
      <c r="G3656" s="390"/>
      <c r="H3656" s="394"/>
    </row>
    <row r="3657" spans="1:8" ht="15.75" customHeight="1" x14ac:dyDescent="0.25">
      <c r="A3657" s="390" t="s">
        <v>1328</v>
      </c>
      <c r="B3657" s="390"/>
      <c r="C3657" s="390"/>
      <c r="D3657" s="391"/>
      <c r="E3657" s="390"/>
      <c r="F3657" s="391"/>
      <c r="G3657" s="390"/>
      <c r="H3657" s="394"/>
    </row>
    <row r="3658" spans="1:8" ht="15.75" customHeight="1" x14ac:dyDescent="0.25">
      <c r="A3658" s="390"/>
      <c r="B3658" s="390"/>
      <c r="C3658" s="390"/>
      <c r="D3658" s="391"/>
      <c r="E3658" s="390"/>
      <c r="F3658" s="391"/>
      <c r="G3658" s="390"/>
      <c r="H3658" s="394"/>
    </row>
    <row r="3659" spans="1:8" ht="15.75" customHeight="1" x14ac:dyDescent="0.25">
      <c r="A3659" s="399" t="s">
        <v>33</v>
      </c>
      <c r="B3659" s="400" t="s">
        <v>6</v>
      </c>
      <c r="C3659" s="400"/>
      <c r="D3659" s="401" t="s">
        <v>37</v>
      </c>
      <c r="E3659" s="402" t="s">
        <v>38</v>
      </c>
      <c r="F3659" s="403" t="s">
        <v>7</v>
      </c>
      <c r="G3659" s="404" t="s">
        <v>43</v>
      </c>
      <c r="H3659" s="405" t="s">
        <v>44</v>
      </c>
    </row>
    <row r="3660" spans="1:8" ht="15.75" customHeight="1" x14ac:dyDescent="0.25">
      <c r="A3660" s="406"/>
      <c r="B3660" s="407"/>
      <c r="C3660" s="393"/>
      <c r="D3660" s="410"/>
      <c r="E3660" s="408"/>
      <c r="F3660" s="409"/>
      <c r="G3660" s="410"/>
      <c r="H3660" s="411"/>
    </row>
    <row r="3661" spans="1:8" ht="15.75" customHeight="1" x14ac:dyDescent="0.25">
      <c r="A3661" s="577"/>
      <c r="B3661" s="624" t="s">
        <v>1452</v>
      </c>
      <c r="C3661" s="625"/>
      <c r="D3661" s="578"/>
      <c r="E3661" s="578"/>
      <c r="F3661" s="578"/>
      <c r="G3661" s="578"/>
      <c r="H3661" s="580"/>
    </row>
    <row r="3662" spans="1:8" ht="15.75" customHeight="1" x14ac:dyDescent="0.25">
      <c r="A3662" s="412" t="s">
        <v>55</v>
      </c>
      <c r="B3662" s="644" t="s">
        <v>1453</v>
      </c>
      <c r="C3662" s="418" t="s">
        <v>1491</v>
      </c>
      <c r="D3662" s="415">
        <v>1</v>
      </c>
      <c r="E3662" s="415">
        <v>24</v>
      </c>
      <c r="F3662" s="415">
        <f t="shared" ref="F3662:F3665" si="88">+E3662*D3662</f>
      </c>
      <c r="G3662" s="415">
        <v>1</v>
      </c>
      <c r="H3662" s="416">
        <f t="shared" ref="H3662:H3665" si="89">+G3662*F3662</f>
      </c>
    </row>
    <row r="3663" spans="1:8" ht="15.75" customHeight="1" x14ac:dyDescent="0.25">
      <c r="A3663" s="412" t="s">
        <v>59</v>
      </c>
      <c r="B3663" s="644" t="s">
        <v>1454</v>
      </c>
      <c r="C3663" s="418" t="s">
        <v>1491</v>
      </c>
      <c r="D3663" s="415">
        <v>1</v>
      </c>
      <c r="E3663" s="415">
        <v>24</v>
      </c>
      <c r="F3663" s="415">
        <f t="shared" si="88"/>
      </c>
      <c r="G3663" s="415">
        <v>1</v>
      </c>
      <c r="H3663" s="416">
        <f t="shared" si="89"/>
      </c>
    </row>
    <row r="3664" spans="1:8" ht="15.75" customHeight="1" x14ac:dyDescent="0.25">
      <c r="A3664" s="412" t="s">
        <v>67</v>
      </c>
      <c r="B3664" s="644" t="s">
        <v>1077</v>
      </c>
      <c r="C3664" s="418" t="s">
        <v>5</v>
      </c>
      <c r="D3664" s="588">
        <v>10</v>
      </c>
      <c r="E3664" s="415">
        <v>24</v>
      </c>
      <c r="F3664" s="415">
        <f t="shared" si="88"/>
      </c>
      <c r="G3664" s="415">
        <v>1</v>
      </c>
      <c r="H3664" s="416">
        <f t="shared" si="89"/>
      </c>
    </row>
    <row r="3665" spans="1:8" ht="15.75" customHeight="1" x14ac:dyDescent="0.25">
      <c r="A3665" s="656" t="s">
        <v>485</v>
      </c>
      <c r="B3665" s="644" t="s">
        <v>1077</v>
      </c>
      <c r="C3665" s="418" t="s">
        <v>5</v>
      </c>
      <c r="D3665" s="415">
        <v>1</v>
      </c>
      <c r="E3665" s="415">
        <v>20</v>
      </c>
      <c r="F3665" s="415">
        <f t="shared" si="88"/>
      </c>
      <c r="G3665" s="415">
        <v>1</v>
      </c>
      <c r="H3665" s="416">
        <f t="shared" si="89"/>
      </c>
    </row>
    <row r="3666" spans="1:8" ht="15.75" customHeight="1" x14ac:dyDescent="0.25">
      <c r="A3666" s="629"/>
      <c r="B3666" s="448"/>
      <c r="C3666" s="390"/>
      <c r="D3666" s="427"/>
      <c r="E3666" s="427"/>
      <c r="F3666" s="428"/>
      <c r="G3666" s="427"/>
      <c r="H3666" s="429"/>
    </row>
    <row r="3667" spans="1:8" ht="15.75" customHeight="1" x14ac:dyDescent="0.25">
      <c r="A3667" s="629"/>
      <c r="B3667" s="448"/>
      <c r="C3667" s="390"/>
      <c r="D3667" s="427"/>
      <c r="E3667" s="427"/>
      <c r="F3667" s="428"/>
      <c r="G3667" s="427"/>
      <c r="H3667" s="429"/>
    </row>
    <row r="3668" spans="1:8" ht="15.75" customHeight="1" x14ac:dyDescent="0.25">
      <c r="A3668" s="629"/>
      <c r="B3668" s="448"/>
      <c r="C3668" s="390"/>
      <c r="D3668" s="427"/>
      <c r="E3668" s="427"/>
      <c r="F3668" s="428"/>
      <c r="G3668" s="427"/>
      <c r="H3668" s="429"/>
    </row>
    <row r="3669" spans="1:8" ht="15.75" customHeight="1" x14ac:dyDescent="0.25">
      <c r="A3669" s="629"/>
      <c r="B3669" s="448"/>
      <c r="C3669" s="390"/>
      <c r="D3669" s="427"/>
      <c r="E3669" s="427"/>
      <c r="F3669" s="428"/>
      <c r="G3669" s="427"/>
      <c r="H3669" s="429"/>
    </row>
    <row r="3670" spans="1:8" ht="15.75" customHeight="1" x14ac:dyDescent="0.25">
      <c r="A3670" s="629"/>
      <c r="B3670" s="448"/>
      <c r="C3670" s="390"/>
      <c r="D3670" s="427"/>
      <c r="E3670" s="427"/>
      <c r="F3670" s="428"/>
      <c r="G3670" s="427"/>
      <c r="H3670" s="429"/>
    </row>
    <row r="3671" spans="1:8" ht="15.75" customHeight="1" x14ac:dyDescent="0.25">
      <c r="A3671" s="629"/>
      <c r="B3671" s="448"/>
      <c r="C3671" s="390"/>
      <c r="D3671" s="427"/>
      <c r="E3671" s="427"/>
      <c r="F3671" s="428"/>
      <c r="G3671" s="427"/>
      <c r="H3671" s="429"/>
    </row>
    <row r="3672" spans="1:8" ht="15.75" customHeight="1" x14ac:dyDescent="0.25">
      <c r="A3672" s="629"/>
      <c r="B3672" s="448"/>
      <c r="C3672" s="390"/>
      <c r="D3672" s="427"/>
      <c r="E3672" s="427"/>
      <c r="F3672" s="428"/>
      <c r="G3672" s="427"/>
      <c r="H3672" s="429"/>
    </row>
    <row r="3673" spans="1:8" ht="15.75" customHeight="1" x14ac:dyDescent="0.25">
      <c r="A3673" s="629"/>
      <c r="B3673" s="448"/>
      <c r="C3673" s="390"/>
      <c r="D3673" s="427"/>
      <c r="E3673" s="427"/>
      <c r="F3673" s="428"/>
      <c r="G3673" s="427"/>
      <c r="H3673" s="429"/>
    </row>
    <row r="3674" spans="1:8" ht="15.75" customHeight="1" x14ac:dyDescent="0.25">
      <c r="A3674" s="430"/>
      <c r="B3674" s="409"/>
      <c r="C3674" s="393"/>
      <c r="D3674" s="427"/>
      <c r="E3674" s="427"/>
      <c r="F3674" s="428"/>
      <c r="G3674" s="431"/>
      <c r="H3674" s="429"/>
    </row>
    <row r="3675" spans="1:8" ht="15.75" customHeight="1" x14ac:dyDescent="0.25">
      <c r="A3675" s="432"/>
      <c r="B3675" s="433"/>
      <c r="C3675" s="434" t="s">
        <v>85</v>
      </c>
      <c r="D3675" s="436">
        <f>SUM(D3662:D3674)</f>
      </c>
      <c r="E3675" s="436"/>
      <c r="F3675" s="436"/>
      <c r="G3675" s="437"/>
      <c r="H3675" s="623">
        <f>SUM(H3662:H3674)</f>
      </c>
    </row>
    <row r="3676" spans="1:8" ht="15.75" customHeight="1" x14ac:dyDescent="0.25">
      <c r="A3676" s="439"/>
      <c r="B3676" s="440"/>
      <c r="C3676" s="440"/>
      <c r="D3676" s="441"/>
      <c r="E3676" s="440"/>
      <c r="F3676" s="442"/>
      <c r="G3676" s="443"/>
      <c r="H3676" s="444"/>
    </row>
    <row r="3677" spans="1:8" ht="15.75" customHeight="1" x14ac:dyDescent="0.25">
      <c r="A3677" s="392"/>
      <c r="B3677" s="391"/>
      <c r="C3677" s="391"/>
      <c r="D3677" s="391"/>
      <c r="E3677" s="390"/>
      <c r="F3677" s="392"/>
      <c r="G3677" s="390"/>
      <c r="H3677" s="394"/>
    </row>
    <row r="3678" spans="1:8" ht="15.75" customHeight="1" x14ac:dyDescent="0.25">
      <c r="A3678" s="445"/>
      <c r="B3678" s="445"/>
      <c r="C3678" s="445"/>
      <c r="D3678" s="446" t="s">
        <v>97</v>
      </c>
      <c r="E3678" s="445" t="s">
        <v>98</v>
      </c>
      <c r="F3678" s="445"/>
      <c r="G3678" s="390"/>
      <c r="H3678" s="394"/>
    </row>
    <row r="3679" spans="1:8" ht="15.75" customHeight="1" x14ac:dyDescent="0.25">
      <c r="A3679" s="390"/>
      <c r="B3679" s="390"/>
      <c r="C3679" s="390"/>
      <c r="D3679" s="391"/>
      <c r="E3679" s="390"/>
      <c r="F3679" s="390"/>
      <c r="G3679" s="390"/>
      <c r="H3679" s="394"/>
    </row>
    <row r="3680" spans="1:8" ht="15.75" customHeight="1" x14ac:dyDescent="0.25">
      <c r="A3680" s="390"/>
      <c r="B3680" s="390"/>
      <c r="C3680" s="390"/>
      <c r="D3680" s="391"/>
      <c r="E3680" s="390"/>
      <c r="F3680" s="390"/>
      <c r="G3680" s="390"/>
      <c r="H3680" s="394"/>
    </row>
    <row r="3681" spans="1:8" ht="15.75" customHeight="1" x14ac:dyDescent="0.25">
      <c r="A3681" s="445"/>
      <c r="B3681" s="445"/>
      <c r="C3681" s="445"/>
      <c r="D3681" s="446"/>
      <c r="E3681" s="445" t="s">
        <v>99</v>
      </c>
      <c r="F3681" s="445"/>
      <c r="G3681" s="390"/>
      <c r="H3681" s="394"/>
    </row>
    <row r="3682" spans="1:8" ht="15.75" customHeight="1" x14ac:dyDescent="0.25">
      <c r="D3682" s="4"/>
      <c r="H3682" s="4"/>
    </row>
    <row r="3683" spans="1:8" ht="15.75" customHeight="1" x14ac:dyDescent="0.25">
      <c r="D3683" s="4"/>
      <c r="H3683" s="4"/>
    </row>
    <row r="3684" spans="1:8" ht="15.75" customHeight="1" x14ac:dyDescent="0.25">
      <c r="D3684" s="4"/>
      <c r="H3684" s="4"/>
    </row>
    <row r="3685" spans="1:8" ht="15.75" customHeight="1" x14ac:dyDescent="0.25">
      <c r="D3685" s="4"/>
      <c r="H3685" s="4"/>
    </row>
    <row r="3686" spans="1:8" ht="15.75" customHeight="1" x14ac:dyDescent="0.25">
      <c r="D3686" s="4"/>
      <c r="H3686" s="4"/>
    </row>
    <row r="3687" spans="1:8" ht="15.75" customHeight="1" x14ac:dyDescent="0.25">
      <c r="D3687" s="4"/>
      <c r="H3687" s="4"/>
    </row>
    <row r="3688" spans="1:8" ht="15.75" customHeight="1" x14ac:dyDescent="0.25">
      <c r="D3688" s="4"/>
      <c r="H3688" s="4"/>
    </row>
    <row r="3689" spans="1:8" ht="15.75" customHeight="1" x14ac:dyDescent="0.25">
      <c r="D3689" s="4"/>
      <c r="H3689" s="4"/>
    </row>
    <row r="3690" spans="1:8" ht="15.75" customHeight="1" x14ac:dyDescent="0.25">
      <c r="D3690" s="4"/>
      <c r="H3690" s="4"/>
    </row>
    <row r="3691" spans="1:8" ht="15.75" customHeight="1" x14ac:dyDescent="0.25">
      <c r="A3691" s="398" t="s">
        <v>14</v>
      </c>
      <c r="B3691" s="391"/>
      <c r="C3691" s="391"/>
      <c r="D3691" s="391"/>
      <c r="E3691" s="391"/>
      <c r="F3691" s="391"/>
      <c r="G3691" s="391"/>
      <c r="H3691" s="394"/>
    </row>
    <row r="3692" spans="1:8" ht="15.75" customHeight="1" x14ac:dyDescent="0.25">
      <c r="A3692" s="390"/>
      <c r="B3692" s="390"/>
      <c r="C3692" s="390"/>
      <c r="D3692" s="392"/>
      <c r="E3692" s="569"/>
      <c r="F3692" s="391"/>
      <c r="G3692" s="390"/>
      <c r="H3692" s="394"/>
    </row>
    <row r="3693" spans="1:8" ht="15.75" customHeight="1" x14ac:dyDescent="0.25">
      <c r="A3693" s="390"/>
      <c r="B3693" s="390"/>
      <c r="C3693" s="390"/>
      <c r="D3693" s="391"/>
      <c r="E3693" s="390"/>
      <c r="F3693" s="395" t="s">
        <v>18</v>
      </c>
      <c r="G3693" s="390" t="s">
        <v>671</v>
      </c>
      <c r="H3693" s="394"/>
    </row>
    <row r="3694" spans="1:8" ht="15.75" customHeight="1" x14ac:dyDescent="0.25">
      <c r="A3694" s="390"/>
      <c r="B3694" s="390"/>
      <c r="C3694" s="390"/>
      <c r="D3694" s="391"/>
      <c r="E3694" s="390"/>
      <c r="F3694" s="393" t="s">
        <v>21</v>
      </c>
      <c r="G3694" s="390" t="s">
        <v>1374</v>
      </c>
      <c r="H3694" s="394"/>
    </row>
    <row r="3695" spans="1:8" ht="15.75" customHeight="1" x14ac:dyDescent="0.25">
      <c r="A3695" s="390" t="s">
        <v>20</v>
      </c>
      <c r="B3695" s="390"/>
      <c r="C3695" s="390"/>
      <c r="D3695" s="391"/>
      <c r="E3695" s="390"/>
      <c r="F3695" s="391"/>
      <c r="G3695" s="390"/>
      <c r="H3695" s="394"/>
    </row>
    <row r="3696" spans="1:8" ht="15.75" customHeight="1" x14ac:dyDescent="0.25">
      <c r="A3696" s="390" t="inlineStr">
        <is>
          <t>Dealer-004</t>
        </is>
      </c>
      <c r="B3696" s="390"/>
      <c r="C3696" s="390"/>
      <c r="D3696" s="391"/>
      <c r="E3696" s="390"/>
      <c r="F3696" s="391"/>
      <c r="G3696" s="390"/>
      <c r="H3696" s="394"/>
    </row>
    <row r="3697" spans="1:8" ht="15.75" customHeight="1" x14ac:dyDescent="0.25">
      <c r="A3697" s="390" t="inlineStr">
        <is>
          <t>Address line (redacted)</t>
        </is>
      </c>
      <c r="B3697" s="390"/>
      <c r="C3697" s="390"/>
      <c r="D3697" s="391"/>
      <c r="E3697" s="390"/>
      <c r="F3697" s="391"/>
      <c r="G3697" s="390"/>
      <c r="H3697" s="394"/>
    </row>
    <row r="3698" spans="1:8" ht="15.75" customHeight="1" x14ac:dyDescent="0.25">
      <c r="A3698" s="390" t="inlineStr">
        <is>
          <t>Address line (redacted)</t>
        </is>
      </c>
      <c r="B3698" s="390"/>
      <c r="C3698" s="390"/>
      <c r="D3698" s="391"/>
      <c r="E3698" s="390"/>
      <c r="F3698" s="391"/>
      <c r="G3698" s="390"/>
      <c r="H3698" s="394"/>
    </row>
    <row r="3699" spans="1:8" ht="15.75" customHeight="1" x14ac:dyDescent="0.25">
      <c r="A3699" s="390"/>
      <c r="B3699" s="390"/>
      <c r="C3699" s="390"/>
      <c r="D3699" s="391"/>
      <c r="E3699" s="390"/>
      <c r="F3699" s="391"/>
      <c r="G3699" s="390"/>
      <c r="H3699" s="394"/>
    </row>
    <row r="3700" spans="1:8" ht="15.75" customHeight="1" x14ac:dyDescent="0.25">
      <c r="A3700" s="390" t="s">
        <v>30</v>
      </c>
      <c r="B3700" s="390"/>
      <c r="C3700" s="390"/>
      <c r="D3700" s="391"/>
      <c r="E3700" s="390"/>
      <c r="F3700" s="391"/>
      <c r="G3700" s="390"/>
      <c r="H3700" s="394"/>
    </row>
    <row r="3701" spans="1:8" ht="15.75" customHeight="1" x14ac:dyDescent="0.25">
      <c r="A3701" s="390"/>
      <c r="B3701" s="390"/>
      <c r="C3701" s="390"/>
      <c r="D3701" s="391"/>
      <c r="E3701" s="390"/>
      <c r="F3701" s="391"/>
      <c r="G3701" s="390"/>
      <c r="H3701" s="394"/>
    </row>
    <row r="3702" spans="1:8" ht="15.75" customHeight="1" x14ac:dyDescent="0.25">
      <c r="A3702" s="390" t="s">
        <v>1322</v>
      </c>
      <c r="B3702" s="390"/>
      <c r="C3702" s="390"/>
      <c r="D3702" s="391"/>
      <c r="E3702" s="390"/>
      <c r="F3702" s="391"/>
      <c r="G3702" s="390"/>
      <c r="H3702" s="394"/>
    </row>
    <row r="3703" spans="1:8" ht="15.75" customHeight="1" x14ac:dyDescent="0.25">
      <c r="A3703" s="390" t="s">
        <v>1328</v>
      </c>
      <c r="B3703" s="390"/>
      <c r="C3703" s="390"/>
      <c r="D3703" s="391"/>
      <c r="E3703" s="390"/>
      <c r="F3703" s="391"/>
      <c r="G3703" s="390"/>
      <c r="H3703" s="394"/>
    </row>
    <row r="3704" spans="1:8" ht="15.75" customHeight="1" x14ac:dyDescent="0.25">
      <c r="A3704" s="390"/>
      <c r="B3704" s="390"/>
      <c r="C3704" s="390"/>
      <c r="D3704" s="391"/>
      <c r="E3704" s="390"/>
      <c r="F3704" s="391"/>
      <c r="G3704" s="390"/>
      <c r="H3704" s="394"/>
    </row>
    <row r="3705" spans="1:8" ht="15.75" customHeight="1" x14ac:dyDescent="0.25">
      <c r="A3705" s="399" t="s">
        <v>33</v>
      </c>
      <c r="B3705" s="400" t="s">
        <v>6</v>
      </c>
      <c r="C3705" s="400"/>
      <c r="D3705" s="401" t="s">
        <v>37</v>
      </c>
      <c r="E3705" s="402" t="s">
        <v>38</v>
      </c>
      <c r="F3705" s="403" t="s">
        <v>7</v>
      </c>
      <c r="G3705" s="404" t="s">
        <v>43</v>
      </c>
      <c r="H3705" s="405" t="s">
        <v>44</v>
      </c>
    </row>
    <row r="3706" spans="1:8" ht="15.75" customHeight="1" x14ac:dyDescent="0.25">
      <c r="A3706" s="406"/>
      <c r="B3706" s="407"/>
      <c r="C3706" s="393"/>
      <c r="D3706" s="410"/>
      <c r="E3706" s="408"/>
      <c r="F3706" s="409"/>
      <c r="G3706" s="410"/>
      <c r="H3706" s="411"/>
    </row>
    <row r="3707" spans="1:8" ht="15.75" customHeight="1" x14ac:dyDescent="0.25">
      <c r="A3707" s="412"/>
      <c r="B3707" s="654" t="s">
        <v>1365</v>
      </c>
      <c r="C3707" s="654"/>
      <c r="D3707" s="415"/>
      <c r="E3707" s="415"/>
      <c r="F3707" s="415"/>
      <c r="G3707" s="415"/>
      <c r="H3707" s="416"/>
    </row>
    <row r="3708" spans="1:8" ht="15.75" customHeight="1" x14ac:dyDescent="0.25">
      <c r="A3708" s="412" t="s">
        <v>55</v>
      </c>
      <c r="B3708" s="644">
        <v>505</v>
      </c>
      <c r="C3708" s="418"/>
      <c r="D3708" s="415">
        <v>6</v>
      </c>
      <c r="E3708" s="415">
        <v>4</v>
      </c>
      <c r="F3708" s="415">
        <f t="shared" ref="F3708:F3709" si="90">+E3708*D3708</f>
      </c>
      <c r="G3708" s="415">
        <v>1</v>
      </c>
      <c r="H3708" s="416">
        <f t="shared" ref="H3708:H3709" si="91">+G3708*F3708</f>
      </c>
    </row>
    <row r="3709" spans="1:8" ht="15.75" customHeight="1" x14ac:dyDescent="0.25">
      <c r="A3709" s="581" t="s">
        <v>59</v>
      </c>
      <c r="B3709" s="582">
        <v>507</v>
      </c>
      <c r="C3709" s="582"/>
      <c r="D3709" s="415">
        <v>31</v>
      </c>
      <c r="E3709" s="415">
        <v>4</v>
      </c>
      <c r="F3709" s="415">
        <f t="shared" si="90"/>
      </c>
      <c r="G3709" s="415">
        <v>1</v>
      </c>
      <c r="H3709" s="416">
        <f t="shared" si="91"/>
      </c>
    </row>
    <row r="3710" spans="1:8" ht="15.75" customHeight="1" x14ac:dyDescent="0.25">
      <c r="A3710" s="581"/>
      <c r="B3710" s="654" t="s">
        <v>1452</v>
      </c>
      <c r="C3710" s="654"/>
      <c r="D3710" s="415"/>
      <c r="E3710" s="415"/>
      <c r="F3710" s="415"/>
      <c r="G3710" s="415"/>
      <c r="H3710" s="416"/>
    </row>
    <row r="3711" spans="1:8" ht="15.75" customHeight="1" x14ac:dyDescent="0.25">
      <c r="A3711" s="581" t="s">
        <v>67</v>
      </c>
      <c r="B3711" s="582" t="s">
        <v>1453</v>
      </c>
      <c r="C3711" s="582" t="s">
        <v>1491</v>
      </c>
      <c r="D3711" s="415">
        <v>21</v>
      </c>
      <c r="E3711" s="415">
        <v>24</v>
      </c>
      <c r="F3711" s="415">
        <f t="shared" ref="F3711:F3712" si="92">+E3711*D3711</f>
      </c>
      <c r="G3711" s="415">
        <v>1</v>
      </c>
      <c r="H3711" s="416">
        <f t="shared" ref="H3711:H3712" si="93">+G3711*F3711</f>
      </c>
    </row>
    <row r="3712" spans="1:8" ht="15.75" customHeight="1" x14ac:dyDescent="0.25">
      <c r="A3712" s="581" t="s">
        <v>485</v>
      </c>
      <c r="B3712" s="582" t="s">
        <v>1454</v>
      </c>
      <c r="C3712" s="582" t="s">
        <v>1491</v>
      </c>
      <c r="D3712" s="415">
        <v>21</v>
      </c>
      <c r="E3712" s="415">
        <v>24</v>
      </c>
      <c r="F3712" s="415">
        <f t="shared" si="92"/>
      </c>
      <c r="G3712" s="415">
        <v>1</v>
      </c>
      <c r="H3712" s="416">
        <f t="shared" si="93"/>
      </c>
    </row>
    <row r="3713" spans="1:8" ht="15.75" customHeight="1" x14ac:dyDescent="0.25">
      <c r="A3713" s="581"/>
      <c r="B3713" s="582"/>
      <c r="C3713" s="582"/>
      <c r="D3713" s="415"/>
      <c r="E3713" s="415"/>
      <c r="F3713" s="415"/>
      <c r="G3713" s="415"/>
      <c r="H3713" s="416"/>
    </row>
    <row r="3714" spans="1:8" ht="15.75" customHeight="1" x14ac:dyDescent="0.25">
      <c r="A3714" s="502"/>
      <c r="B3714" s="630"/>
      <c r="C3714" s="658"/>
      <c r="D3714" s="427"/>
      <c r="E3714" s="427"/>
      <c r="F3714" s="428"/>
      <c r="G3714" s="427"/>
      <c r="H3714" s="429"/>
    </row>
    <row r="3715" spans="1:8" ht="15.75" customHeight="1" x14ac:dyDescent="0.25">
      <c r="A3715" s="502"/>
      <c r="B3715" s="630"/>
      <c r="C3715" s="658"/>
      <c r="D3715" s="427"/>
      <c r="E3715" s="427"/>
      <c r="F3715" s="428"/>
      <c r="G3715" s="427"/>
      <c r="H3715" s="429"/>
    </row>
    <row r="3716" spans="1:8" ht="15.75" customHeight="1" x14ac:dyDescent="0.25">
      <c r="A3716" s="502"/>
      <c r="B3716" s="630"/>
      <c r="C3716" s="658"/>
      <c r="D3716" s="427"/>
      <c r="E3716" s="427"/>
      <c r="F3716" s="428"/>
      <c r="G3716" s="427"/>
      <c r="H3716" s="429"/>
    </row>
    <row r="3717" spans="1:8" ht="15.75" customHeight="1" x14ac:dyDescent="0.25">
      <c r="A3717" s="502"/>
      <c r="B3717" s="630"/>
      <c r="C3717" s="658"/>
      <c r="D3717" s="427"/>
      <c r="E3717" s="427"/>
      <c r="F3717" s="428"/>
      <c r="G3717" s="427"/>
      <c r="H3717" s="429"/>
    </row>
    <row r="3718" spans="1:8" ht="15.75" customHeight="1" x14ac:dyDescent="0.25">
      <c r="A3718" s="502"/>
      <c r="B3718" s="630"/>
      <c r="C3718" s="658"/>
      <c r="D3718" s="427"/>
      <c r="E3718" s="427"/>
      <c r="F3718" s="428"/>
      <c r="G3718" s="427"/>
      <c r="H3718" s="429"/>
    </row>
    <row r="3719" spans="1:8" ht="15.75" customHeight="1" x14ac:dyDescent="0.25">
      <c r="A3719" s="502"/>
      <c r="B3719" s="630"/>
      <c r="C3719" s="658"/>
      <c r="D3719" s="427"/>
      <c r="E3719" s="427"/>
      <c r="F3719" s="428"/>
      <c r="G3719" s="427"/>
      <c r="H3719" s="429"/>
    </row>
    <row r="3720" spans="1:8" ht="15.75" customHeight="1" x14ac:dyDescent="0.25">
      <c r="A3720" s="502"/>
      <c r="B3720" s="630"/>
      <c r="C3720" s="658"/>
      <c r="D3720" s="427"/>
      <c r="E3720" s="427"/>
      <c r="F3720" s="428"/>
      <c r="G3720" s="427"/>
      <c r="H3720" s="429"/>
    </row>
    <row r="3721" spans="1:8" ht="15.75" customHeight="1" x14ac:dyDescent="0.25">
      <c r="A3721" s="502"/>
      <c r="B3721" s="630"/>
      <c r="C3721" s="658"/>
      <c r="D3721" s="427"/>
      <c r="E3721" s="427"/>
      <c r="F3721" s="428"/>
      <c r="G3721" s="427"/>
      <c r="H3721" s="429"/>
    </row>
    <row r="3722" spans="1:8" ht="15.75" customHeight="1" x14ac:dyDescent="0.25">
      <c r="A3722" s="502"/>
      <c r="B3722" s="630"/>
      <c r="C3722" s="658"/>
      <c r="D3722" s="427"/>
      <c r="E3722" s="427"/>
      <c r="F3722" s="428"/>
      <c r="G3722" s="427"/>
      <c r="H3722" s="429"/>
    </row>
    <row r="3723" spans="1:8" ht="15.75" customHeight="1" x14ac:dyDescent="0.25">
      <c r="A3723" s="430"/>
      <c r="B3723" s="409"/>
      <c r="C3723" s="393"/>
      <c r="D3723" s="427"/>
      <c r="E3723" s="427"/>
      <c r="F3723" s="428"/>
      <c r="G3723" s="431"/>
      <c r="H3723" s="429"/>
    </row>
    <row r="3724" spans="1:8" ht="15.75" customHeight="1" x14ac:dyDescent="0.25">
      <c r="A3724" s="432"/>
      <c r="B3724" s="433"/>
      <c r="C3724" s="434" t="s">
        <v>85</v>
      </c>
      <c r="D3724" s="436">
        <f>SUM(D3708:D3723)</f>
      </c>
      <c r="E3724" s="436"/>
      <c r="F3724" s="436"/>
      <c r="G3724" s="437"/>
      <c r="H3724" s="623">
        <f>SUM(H3708:H3723)</f>
      </c>
    </row>
    <row r="3725" spans="1:8" ht="15.75" customHeight="1" x14ac:dyDescent="0.25">
      <c r="A3725" s="439"/>
      <c r="B3725" s="440"/>
      <c r="C3725" s="440"/>
      <c r="D3725" s="441"/>
      <c r="E3725" s="440"/>
      <c r="F3725" s="442"/>
      <c r="G3725" s="443"/>
      <c r="H3725" s="444"/>
    </row>
    <row r="3726" spans="1:8" ht="15.75" customHeight="1" x14ac:dyDescent="0.25">
      <c r="A3726" s="392"/>
      <c r="B3726" s="391"/>
      <c r="C3726" s="391"/>
      <c r="D3726" s="391"/>
      <c r="E3726" s="390"/>
      <c r="F3726" s="392"/>
      <c r="G3726" s="390"/>
      <c r="H3726" s="394"/>
    </row>
    <row r="3727" spans="1:8" ht="15.75" customHeight="1" x14ac:dyDescent="0.25">
      <c r="A3727" s="445"/>
      <c r="B3727" s="445"/>
      <c r="C3727" s="445"/>
      <c r="D3727" s="446" t="s">
        <v>97</v>
      </c>
      <c r="E3727" s="445" t="s">
        <v>98</v>
      </c>
      <c r="F3727" s="445"/>
      <c r="G3727" s="390"/>
      <c r="H3727" s="394"/>
    </row>
    <row r="3728" spans="1:8" ht="15.75" customHeight="1" x14ac:dyDescent="0.25">
      <c r="A3728" s="390"/>
      <c r="B3728" s="390"/>
      <c r="C3728" s="390"/>
      <c r="D3728" s="391"/>
      <c r="E3728" s="390"/>
      <c r="F3728" s="390"/>
      <c r="G3728" s="390"/>
      <c r="H3728" s="394"/>
    </row>
    <row r="3729" spans="1:8" ht="15.75" customHeight="1" x14ac:dyDescent="0.25">
      <c r="A3729" s="390"/>
      <c r="B3729" s="390"/>
      <c r="C3729" s="390"/>
      <c r="D3729" s="391"/>
      <c r="E3729" s="390"/>
      <c r="F3729" s="390"/>
      <c r="G3729" s="390"/>
      <c r="H3729" s="394"/>
    </row>
    <row r="3730" spans="1:8" ht="15.75" customHeight="1" x14ac:dyDescent="0.25">
      <c r="A3730" s="445"/>
      <c r="B3730" s="445"/>
      <c r="C3730" s="445"/>
      <c r="D3730" s="446"/>
      <c r="E3730" s="445" t="s">
        <v>99</v>
      </c>
      <c r="F3730" s="445"/>
      <c r="G3730" s="390"/>
      <c r="H3730" s="394"/>
    </row>
    <row r="3731" spans="1:8" ht="15.75" customHeight="1" x14ac:dyDescent="0.25">
      <c r="D3731" s="4"/>
      <c r="H3731" s="4"/>
    </row>
    <row r="3732" spans="1:8" ht="15.75" customHeight="1" x14ac:dyDescent="0.25">
      <c r="D3732" s="4"/>
      <c r="H3732" s="4"/>
    </row>
    <row r="3733" spans="1:8" ht="15.75" customHeight="1" x14ac:dyDescent="0.25">
      <c r="D3733" s="4"/>
      <c r="H3733" s="4"/>
    </row>
    <row r="3734" spans="1:8" ht="15.75" customHeight="1" x14ac:dyDescent="0.25">
      <c r="D3734" s="4"/>
      <c r="H3734" s="4"/>
    </row>
    <row r="3735" spans="1:8" ht="15.75" customHeight="1" x14ac:dyDescent="0.25">
      <c r="D3735" s="4"/>
      <c r="H3735" s="4"/>
    </row>
    <row r="3736" spans="1:8" ht="15.75" customHeight="1" x14ac:dyDescent="0.25">
      <c r="A3736" s="392" t="s">
        <v>14</v>
      </c>
      <c r="B3736" s="391"/>
      <c r="C3736" s="391"/>
      <c r="D3736" s="391"/>
      <c r="E3736" s="391"/>
      <c r="F3736" s="391"/>
      <c r="G3736" s="391"/>
      <c r="H3736" s="394"/>
    </row>
    <row r="3737" spans="1:8" ht="15.75" customHeight="1" x14ac:dyDescent="0.25">
      <c r="A3737" s="392"/>
      <c r="B3737" s="391"/>
      <c r="C3737" s="391"/>
      <c r="D3737" s="391"/>
      <c r="E3737" s="390"/>
      <c r="F3737" s="392"/>
      <c r="G3737" s="390"/>
      <c r="H3737" s="394"/>
    </row>
    <row r="3738" spans="1:8" ht="15.75" customHeight="1" x14ac:dyDescent="0.25">
      <c r="A3738" s="392"/>
      <c r="B3738" s="391"/>
      <c r="C3738" s="391"/>
      <c r="D3738" s="391"/>
      <c r="E3738" s="390"/>
      <c r="F3738" s="392"/>
      <c r="G3738" s="390"/>
      <c r="H3738" s="394"/>
    </row>
    <row r="3739" spans="1:8" ht="15.75" customHeight="1" x14ac:dyDescent="0.25">
      <c r="A3739" s="390" t="s">
        <v>20</v>
      </c>
      <c r="B3739" s="390"/>
      <c r="C3739" s="390"/>
      <c r="D3739" s="391"/>
      <c r="E3739" s="390"/>
      <c r="F3739" s="392"/>
      <c r="G3739" s="390"/>
      <c r="H3739" s="394"/>
    </row>
    <row r="3740" spans="1:8" ht="15.75" customHeight="1" x14ac:dyDescent="0.25">
      <c r="A3740" s="390" t="inlineStr">
        <is>
          <t>Dealer-009</t>
        </is>
      </c>
      <c r="B3740" s="390"/>
      <c r="C3740" s="390" t="inlineStr">
        <is>
          <t>ATTN: Contact-001</t>
        </is>
      </c>
      <c r="D3740" s="391"/>
      <c r="E3740" s="390"/>
      <c r="F3740" s="395" t="s">
        <v>18</v>
      </c>
      <c r="G3740" s="390" t="s">
        <v>683</v>
      </c>
      <c r="H3740" s="394"/>
    </row>
    <row r="3741" spans="1:8" ht="15.75" customHeight="1" x14ac:dyDescent="0.25">
      <c r="A3741" s="390" t="inlineStr">
        <is>
          <t>Address line (redacted)</t>
        </is>
      </c>
      <c r="B3741" s="390"/>
      <c r="C3741" s="390"/>
      <c r="D3741" s="391"/>
      <c r="E3741" s="390"/>
      <c r="F3741" s="393" t="s">
        <v>21</v>
      </c>
      <c r="G3741" s="390" t="s">
        <v>1376</v>
      </c>
      <c r="H3741" s="394"/>
    </row>
    <row r="3742" spans="1:8" ht="15.75" customHeight="1" x14ac:dyDescent="0.25">
      <c r="A3742" s="390" t="inlineStr">
        <is>
          <t>Address line (redacted)</t>
        </is>
      </c>
      <c r="B3742" s="390"/>
      <c r="C3742" s="390"/>
      <c r="D3742" s="391"/>
      <c r="E3742" s="390"/>
      <c r="F3742" s="391"/>
      <c r="G3742" s="390"/>
      <c r="H3742" s="394"/>
    </row>
    <row r="3743" spans="1:8" ht="15.75" customHeight="1" x14ac:dyDescent="0.25">
      <c r="A3743" s="390"/>
      <c r="B3743" s="390"/>
      <c r="C3743" s="393"/>
      <c r="D3743" s="391"/>
      <c r="E3743" s="390"/>
      <c r="F3743" s="391"/>
      <c r="G3743" s="390"/>
      <c r="H3743" s="394"/>
    </row>
    <row r="3744" spans="1:8" ht="15.75" customHeight="1" x14ac:dyDescent="0.25">
      <c r="A3744" s="390"/>
      <c r="B3744" s="390"/>
      <c r="C3744" s="390"/>
      <c r="D3744" s="391"/>
      <c r="E3744" s="390"/>
      <c r="F3744" s="391"/>
      <c r="G3744" s="390"/>
      <c r="H3744" s="394"/>
    </row>
    <row r="3745" spans="1:8" ht="15.75" customHeight="1" x14ac:dyDescent="0.25">
      <c r="A3745" s="390" t="s">
        <v>30</v>
      </c>
      <c r="B3745" s="390"/>
      <c r="C3745" s="390"/>
      <c r="D3745" s="391"/>
      <c r="E3745" s="390"/>
      <c r="F3745" s="391"/>
      <c r="G3745" s="390"/>
      <c r="H3745" s="394"/>
    </row>
    <row r="3746" spans="1:8" ht="15.75" customHeight="1" x14ac:dyDescent="0.25">
      <c r="A3746" s="390"/>
      <c r="B3746" s="390"/>
      <c r="C3746" s="390"/>
      <c r="D3746" s="391"/>
      <c r="E3746" s="390"/>
      <c r="F3746" s="391"/>
      <c r="G3746" s="390"/>
      <c r="H3746" s="394"/>
    </row>
    <row r="3747" spans="1:8" ht="15.75" customHeight="1" x14ac:dyDescent="0.25">
      <c r="A3747" s="390" t="s">
        <v>1322</v>
      </c>
      <c r="B3747" s="390"/>
      <c r="C3747" s="390"/>
      <c r="D3747" s="391"/>
      <c r="E3747" s="390"/>
      <c r="F3747" s="391"/>
      <c r="G3747" s="390"/>
      <c r="H3747" s="394"/>
    </row>
    <row r="3748" spans="1:8" ht="15.75" customHeight="1" x14ac:dyDescent="0.25">
      <c r="A3748" s="390" t="s">
        <v>1328</v>
      </c>
      <c r="B3748" s="390"/>
      <c r="C3748" s="390"/>
      <c r="D3748" s="391"/>
      <c r="E3748" s="390"/>
      <c r="F3748" s="391"/>
      <c r="G3748" s="390"/>
      <c r="H3748" s="394"/>
    </row>
    <row r="3749" spans="1:8" ht="15.75" customHeight="1" x14ac:dyDescent="0.25">
      <c r="A3749" s="390"/>
      <c r="B3749" s="390"/>
      <c r="C3749" s="390"/>
      <c r="D3749" s="391"/>
      <c r="E3749" s="390"/>
      <c r="F3749" s="391"/>
      <c r="G3749" s="390"/>
      <c r="H3749" s="394"/>
    </row>
    <row r="3750" spans="1:8" ht="15.75" customHeight="1" x14ac:dyDescent="0.25">
      <c r="A3750" s="399" t="s">
        <v>33</v>
      </c>
      <c r="B3750" s="400" t="s">
        <v>6</v>
      </c>
      <c r="C3750" s="400"/>
      <c r="D3750" s="401" t="s">
        <v>37</v>
      </c>
      <c r="E3750" s="402" t="s">
        <v>1309</v>
      </c>
      <c r="F3750" s="609" t="s">
        <v>7</v>
      </c>
      <c r="G3750" s="400" t="s">
        <v>43</v>
      </c>
      <c r="H3750" s="405" t="s">
        <v>44</v>
      </c>
    </row>
    <row r="3751" spans="1:8" ht="15.75" customHeight="1" x14ac:dyDescent="0.25">
      <c r="A3751" s="610"/>
      <c r="B3751" s="611"/>
      <c r="C3751" s="611"/>
      <c r="D3751" s="612"/>
      <c r="E3751" s="613"/>
      <c r="F3751" s="614"/>
      <c r="G3751" s="611"/>
      <c r="H3751" s="615"/>
    </row>
    <row r="3752" spans="1:8" ht="15" customHeight="1" x14ac:dyDescent="0.25">
      <c r="A3752" s="583" t="s">
        <v>55</v>
      </c>
      <c r="B3752" s="591" t="s">
        <v>1512</v>
      </c>
      <c r="C3752" s="585"/>
      <c r="D3752" s="415">
        <v>3</v>
      </c>
      <c r="E3752" s="415">
        <v>100</v>
      </c>
      <c r="F3752" s="588">
        <f>+E3752*D3752</f>
      </c>
      <c r="G3752" s="588">
        <v>1</v>
      </c>
      <c r="H3752" s="589">
        <f>+G3752*F3752</f>
      </c>
    </row>
    <row r="3753" spans="1:8" ht="15.75" customHeight="1" x14ac:dyDescent="0.25">
      <c r="A3753" s="412"/>
      <c r="B3753" s="654" t="s">
        <v>1365</v>
      </c>
      <c r="C3753" s="654"/>
      <c r="D3753" s="415"/>
      <c r="E3753" s="415"/>
      <c r="F3753" s="415"/>
      <c r="G3753" s="415"/>
      <c r="H3753" s="416"/>
    </row>
    <row r="3754" spans="1:8" ht="15.75" customHeight="1" x14ac:dyDescent="0.25">
      <c r="A3754" s="412" t="s">
        <v>55</v>
      </c>
      <c r="B3754" s="644">
        <v>505</v>
      </c>
      <c r="C3754" s="418"/>
      <c r="D3754" s="415">
        <v>1</v>
      </c>
      <c r="E3754" s="415">
        <v>4</v>
      </c>
      <c r="F3754" s="415">
        <f t="shared" ref="F3754:F3757" si="94">+E3754*D3754</f>
      </c>
      <c r="G3754" s="415">
        <v>1</v>
      </c>
      <c r="H3754" s="589">
        <f t="shared" ref="H3754:H3757" si="95">+G3754*F3754</f>
      </c>
    </row>
    <row r="3755" spans="1:8" ht="15.75" customHeight="1" x14ac:dyDescent="0.25">
      <c r="A3755" s="581" t="s">
        <v>59</v>
      </c>
      <c r="B3755" s="582">
        <v>507</v>
      </c>
      <c r="C3755" s="582"/>
      <c r="D3755" s="415">
        <v>6</v>
      </c>
      <c r="E3755" s="415">
        <v>4</v>
      </c>
      <c r="F3755" s="415">
        <f t="shared" si="94"/>
      </c>
      <c r="G3755" s="415">
        <v>1</v>
      </c>
      <c r="H3755" s="589">
        <f t="shared" si="95"/>
      </c>
    </row>
    <row r="3756" spans="1:8" ht="15.75" customHeight="1" x14ac:dyDescent="0.25">
      <c r="A3756" s="581" t="s">
        <v>67</v>
      </c>
      <c r="B3756" s="582">
        <v>508</v>
      </c>
      <c r="C3756" s="582"/>
      <c r="D3756" s="415">
        <v>1</v>
      </c>
      <c r="E3756" s="415">
        <v>4</v>
      </c>
      <c r="F3756" s="415">
        <f t="shared" si="94"/>
      </c>
      <c r="G3756" s="415">
        <v>1</v>
      </c>
      <c r="H3756" s="589">
        <f t="shared" si="95"/>
      </c>
    </row>
    <row r="3757" spans="1:8" ht="15.75" customHeight="1" x14ac:dyDescent="0.25">
      <c r="A3757" s="581" t="s">
        <v>485</v>
      </c>
      <c r="B3757" s="582">
        <v>510</v>
      </c>
      <c r="C3757" s="582"/>
      <c r="D3757" s="415">
        <v>1</v>
      </c>
      <c r="E3757" s="415">
        <v>4</v>
      </c>
      <c r="F3757" s="415">
        <f t="shared" si="94"/>
      </c>
      <c r="G3757" s="415">
        <v>1</v>
      </c>
      <c r="H3757" s="589">
        <f t="shared" si="95"/>
      </c>
    </row>
    <row r="3758" spans="1:8" ht="15.75" customHeight="1" x14ac:dyDescent="0.25">
      <c r="A3758" s="581"/>
      <c r="B3758" s="582"/>
      <c r="C3758" s="582"/>
      <c r="D3758" s="415"/>
      <c r="E3758" s="415"/>
      <c r="F3758" s="415"/>
      <c r="G3758" s="415"/>
      <c r="H3758" s="589"/>
    </row>
    <row r="3759" spans="1:8" ht="15.75" customHeight="1" x14ac:dyDescent="0.25">
      <c r="A3759" s="430"/>
      <c r="B3759" s="409"/>
      <c r="C3759" s="393"/>
      <c r="D3759" s="427"/>
      <c r="E3759" s="427"/>
      <c r="F3759" s="428"/>
      <c r="G3759" s="427"/>
      <c r="H3759" s="429"/>
    </row>
    <row r="3760" spans="1:8" ht="15.75" customHeight="1" x14ac:dyDescent="0.25">
      <c r="A3760" s="432"/>
      <c r="B3760" s="433"/>
      <c r="C3760" s="434" t="s">
        <v>85</v>
      </c>
      <c r="D3760" s="659">
        <f>SUM(D3752:D3759)</f>
      </c>
      <c r="E3760" s="401"/>
      <c r="F3760" s="660"/>
      <c r="G3760" s="661"/>
      <c r="H3760" s="623">
        <f>SUM(H3752:H3759)</f>
      </c>
    </row>
    <row r="3761" spans="1:8" ht="15.75" customHeight="1" x14ac:dyDescent="0.25">
      <c r="A3761" s="439"/>
      <c r="B3761" s="440"/>
      <c r="C3761" s="440"/>
      <c r="D3761" s="441"/>
      <c r="E3761" s="440"/>
      <c r="F3761" s="442"/>
      <c r="G3761" s="443"/>
      <c r="H3761" s="444"/>
    </row>
    <row r="3762" spans="1:8" ht="15.75" customHeight="1" x14ac:dyDescent="0.25">
      <c r="A3762" s="392"/>
      <c r="B3762" s="391"/>
      <c r="C3762" s="391"/>
      <c r="D3762" s="391"/>
      <c r="E3762" s="390"/>
      <c r="F3762" s="392"/>
      <c r="G3762" s="390"/>
      <c r="H3762" s="394"/>
    </row>
    <row r="3763" spans="1:8" ht="15.75" customHeight="1" x14ac:dyDescent="0.25">
      <c r="A3763" s="445"/>
      <c r="B3763" s="445"/>
      <c r="C3763" s="445"/>
      <c r="D3763" s="446" t="s">
        <v>97</v>
      </c>
      <c r="E3763" s="445" t="s">
        <v>98</v>
      </c>
      <c r="F3763" s="445"/>
      <c r="G3763" s="390"/>
      <c r="H3763" s="394"/>
    </row>
    <row r="3764" spans="1:8" ht="15.75" customHeight="1" x14ac:dyDescent="0.25">
      <c r="A3764" s="390"/>
      <c r="B3764" s="390"/>
      <c r="C3764" s="390"/>
      <c r="D3764" s="391"/>
      <c r="E3764" s="390"/>
      <c r="F3764" s="390"/>
      <c r="G3764" s="390"/>
      <c r="H3764" s="394"/>
    </row>
    <row r="3765" spans="1:8" ht="15.75" customHeight="1" x14ac:dyDescent="0.25">
      <c r="A3765" s="390"/>
      <c r="B3765" s="390"/>
      <c r="C3765" s="390"/>
      <c r="D3765" s="391"/>
      <c r="E3765" s="390"/>
      <c r="F3765" s="390"/>
      <c r="G3765" s="390"/>
      <c r="H3765" s="394"/>
    </row>
    <row r="3766" spans="1:8" ht="15.75" customHeight="1" x14ac:dyDescent="0.25">
      <c r="A3766" s="445"/>
      <c r="B3766" s="445"/>
      <c r="C3766" s="445"/>
      <c r="D3766" s="446"/>
      <c r="E3766" s="445" t="s">
        <v>99</v>
      </c>
      <c r="F3766" s="445"/>
      <c r="G3766" s="390"/>
      <c r="H3766" s="394"/>
    </row>
    <row r="3767" spans="1:8" ht="15.75" customHeight="1" x14ac:dyDescent="0.25">
      <c r="D3767" s="4"/>
      <c r="H3767" s="4"/>
    </row>
    <row r="3768" spans="1:8" ht="15.75" customHeight="1" x14ac:dyDescent="0.25">
      <c r="D3768" s="4"/>
      <c r="H3768" s="4"/>
    </row>
    <row r="3769" spans="1:8" ht="15.75" customHeight="1" x14ac:dyDescent="0.25">
      <c r="D3769" s="4"/>
      <c r="H3769" s="4"/>
    </row>
    <row r="3770" spans="1:8" ht="15.75" customHeight="1" x14ac:dyDescent="0.25">
      <c r="D3770" s="4"/>
      <c r="H3770" s="4"/>
    </row>
    <row r="3771" spans="1:8" ht="15.75" customHeight="1" x14ac:dyDescent="0.25">
      <c r="D3771" s="4"/>
      <c r="H3771" s="4"/>
    </row>
    <row r="3772" spans="1:8" ht="15.75" customHeight="1" x14ac:dyDescent="0.25">
      <c r="D3772" s="4"/>
      <c r="H3772" s="4"/>
    </row>
    <row r="3773" spans="1:8" ht="15.75" customHeight="1" x14ac:dyDescent="0.25">
      <c r="D3773" s="4"/>
      <c r="H3773" s="4"/>
    </row>
    <row r="3774" spans="1:8" ht="15.75" customHeight="1" x14ac:dyDescent="0.25">
      <c r="D3774" s="4"/>
      <c r="H3774" s="4"/>
    </row>
    <row r="3775" spans="1:8" ht="15.75" customHeight="1" x14ac:dyDescent="0.25">
      <c r="D3775" s="4"/>
      <c r="H3775" s="4"/>
    </row>
    <row r="3776" spans="1:8" ht="15.75" customHeight="1" x14ac:dyDescent="0.25">
      <c r="D3776" s="4"/>
      <c r="H3776" s="4"/>
    </row>
    <row r="3777" spans="1:8" ht="15.75" customHeight="1" x14ac:dyDescent="0.25">
      <c r="D3777" s="4"/>
      <c r="H3777" s="4"/>
    </row>
    <row r="3778" spans="1:8" ht="15.75" customHeight="1" x14ac:dyDescent="0.25">
      <c r="D3778" s="4"/>
      <c r="H3778" s="4"/>
    </row>
    <row r="3779" spans="1:8" ht="15.75" customHeight="1" x14ac:dyDescent="0.25">
      <c r="D3779" s="4"/>
      <c r="H3779" s="4"/>
    </row>
    <row r="3780" spans="1:8" ht="15.75" customHeight="1" x14ac:dyDescent="0.25">
      <c r="D3780" s="4"/>
      <c r="H3780" s="4"/>
    </row>
    <row r="3781" spans="1:8" ht="15.75" customHeight="1" x14ac:dyDescent="0.25">
      <c r="D3781" s="4"/>
      <c r="H3781" s="4"/>
    </row>
    <row r="3782" spans="1:8" ht="15.75" customHeight="1" x14ac:dyDescent="0.25">
      <c r="A3782" s="392" t="s">
        <v>14</v>
      </c>
      <c r="B3782" s="391"/>
      <c r="C3782" s="391"/>
      <c r="D3782" s="391"/>
      <c r="E3782" s="391"/>
      <c r="F3782" s="391"/>
      <c r="G3782" s="391"/>
      <c r="H3782" s="394"/>
    </row>
    <row r="3783" spans="1:8" ht="15.75" customHeight="1" x14ac:dyDescent="0.25">
      <c r="A3783" s="392"/>
      <c r="B3783" s="391"/>
      <c r="C3783" s="391"/>
      <c r="D3783" s="391"/>
      <c r="E3783" s="390"/>
      <c r="F3783" s="392"/>
      <c r="G3783" s="390"/>
      <c r="H3783" s="394"/>
    </row>
    <row r="3784" spans="1:8" ht="15.75" customHeight="1" x14ac:dyDescent="0.25">
      <c r="A3784" s="392"/>
      <c r="B3784" s="391"/>
      <c r="C3784" s="391"/>
      <c r="D3784" s="391"/>
      <c r="E3784" s="390"/>
      <c r="F3784" s="392"/>
      <c r="G3784" s="390"/>
      <c r="H3784" s="394"/>
    </row>
    <row r="3785" spans="1:8" ht="15.75" customHeight="1" x14ac:dyDescent="0.25">
      <c r="A3785" s="390" t="s">
        <v>20</v>
      </c>
      <c r="B3785" s="390"/>
      <c r="C3785" s="390"/>
      <c r="D3785" s="391"/>
      <c r="E3785" s="390"/>
      <c r="F3785" s="392"/>
      <c r="G3785" s="390"/>
      <c r="H3785" s="394"/>
    </row>
    <row r="3786" spans="1:8" ht="15.75" customHeight="1" x14ac:dyDescent="0.25">
      <c r="A3786" s="390" t="inlineStr">
        <is>
          <t>Dealer-012</t>
        </is>
      </c>
      <c r="B3786" s="390"/>
      <c r="C3786" s="390"/>
      <c r="D3786" s="391"/>
      <c r="E3786" s="390"/>
      <c r="F3786" s="395" t="s">
        <v>18</v>
      </c>
      <c r="G3786" s="390" t="s">
        <v>683</v>
      </c>
      <c r="H3786" s="394"/>
    </row>
    <row r="3787" spans="1:8" ht="15.75" customHeight="1" x14ac:dyDescent="0.25">
      <c r="A3787" s="390" t="inlineStr">
        <is>
          <t>Address line (redacted)</t>
        </is>
      </c>
      <c r="B3787" s="390"/>
      <c r="C3787" s="390"/>
      <c r="D3787" s="391"/>
      <c r="E3787" s="390"/>
      <c r="F3787" s="393" t="s">
        <v>21</v>
      </c>
      <c r="G3787" s="390" t="s">
        <v>1523</v>
      </c>
      <c r="H3787" s="394"/>
    </row>
    <row r="3788" spans="1:8" ht="15.75" customHeight="1" x14ac:dyDescent="0.25">
      <c r="A3788" s="390"/>
      <c r="B3788" s="390"/>
      <c r="C3788" s="390"/>
      <c r="D3788" s="391"/>
      <c r="E3788" s="390"/>
      <c r="F3788" s="391"/>
      <c r="G3788" s="390"/>
      <c r="H3788" s="394"/>
    </row>
    <row r="3789" spans="1:8" ht="15.75" customHeight="1" x14ac:dyDescent="0.25">
      <c r="A3789" s="390"/>
      <c r="B3789" s="390"/>
      <c r="C3789" s="393"/>
      <c r="D3789" s="391"/>
      <c r="E3789" s="390"/>
      <c r="F3789" s="391"/>
      <c r="G3789" s="390"/>
      <c r="H3789" s="394"/>
    </row>
    <row r="3790" spans="1:8" ht="15.75" customHeight="1" x14ac:dyDescent="0.25">
      <c r="A3790" s="390"/>
      <c r="B3790" s="390"/>
      <c r="C3790" s="390"/>
      <c r="D3790" s="391"/>
      <c r="E3790" s="390"/>
      <c r="F3790" s="391"/>
      <c r="G3790" s="390"/>
      <c r="H3790" s="394"/>
    </row>
    <row r="3791" spans="1:8" ht="15.75" customHeight="1" x14ac:dyDescent="0.25">
      <c r="A3791" s="390" t="s">
        <v>30</v>
      </c>
      <c r="B3791" s="390"/>
      <c r="C3791" s="390"/>
      <c r="D3791" s="391"/>
      <c r="E3791" s="390"/>
      <c r="F3791" s="391"/>
      <c r="G3791" s="390"/>
      <c r="H3791" s="394"/>
    </row>
    <row r="3792" spans="1:8" ht="15.75" customHeight="1" x14ac:dyDescent="0.25">
      <c r="A3792" s="390"/>
      <c r="B3792" s="390"/>
      <c r="C3792" s="390"/>
      <c r="D3792" s="391"/>
      <c r="E3792" s="390"/>
      <c r="F3792" s="391"/>
      <c r="G3792" s="390"/>
      <c r="H3792" s="394"/>
    </row>
    <row r="3793" spans="1:8" ht="15.75" customHeight="1" x14ac:dyDescent="0.25">
      <c r="A3793" s="390" t="s">
        <v>1322</v>
      </c>
      <c r="B3793" s="390"/>
      <c r="C3793" s="390"/>
      <c r="D3793" s="391"/>
      <c r="E3793" s="390"/>
      <c r="F3793" s="391"/>
      <c r="G3793" s="390"/>
      <c r="H3793" s="394"/>
    </row>
    <row r="3794" spans="1:8" ht="15.75" customHeight="1" x14ac:dyDescent="0.25">
      <c r="A3794" s="390" t="s">
        <v>1328</v>
      </c>
      <c r="B3794" s="390"/>
      <c r="C3794" s="390"/>
      <c r="D3794" s="391"/>
      <c r="E3794" s="390"/>
      <c r="F3794" s="391"/>
      <c r="G3794" s="390"/>
      <c r="H3794" s="394"/>
    </row>
    <row r="3795" spans="1:8" ht="15.75" customHeight="1" x14ac:dyDescent="0.25">
      <c r="A3795" s="390"/>
      <c r="B3795" s="390"/>
      <c r="C3795" s="390"/>
      <c r="D3795" s="391"/>
      <c r="E3795" s="390"/>
      <c r="F3795" s="391"/>
      <c r="G3795" s="390"/>
      <c r="H3795" s="394"/>
    </row>
    <row r="3796" spans="1:8" ht="15.75" customHeight="1" x14ac:dyDescent="0.25">
      <c r="A3796" s="399" t="s">
        <v>33</v>
      </c>
      <c r="B3796" s="400" t="s">
        <v>6</v>
      </c>
      <c r="C3796" s="400"/>
      <c r="D3796" s="401" t="s">
        <v>37</v>
      </c>
      <c r="E3796" s="402" t="s">
        <v>1309</v>
      </c>
      <c r="F3796" s="609" t="s">
        <v>7</v>
      </c>
      <c r="G3796" s="400" t="s">
        <v>43</v>
      </c>
      <c r="H3796" s="405" t="s">
        <v>44</v>
      </c>
    </row>
    <row r="3797" spans="1:8" ht="15.75" customHeight="1" x14ac:dyDescent="0.25">
      <c r="A3797" s="610"/>
      <c r="B3797" s="611"/>
      <c r="C3797" s="611"/>
      <c r="D3797" s="612"/>
      <c r="E3797" s="613"/>
      <c r="F3797" s="614"/>
      <c r="G3797" s="611"/>
      <c r="H3797" s="615"/>
    </row>
    <row r="3798" spans="1:8" ht="15.75" customHeight="1" x14ac:dyDescent="0.25">
      <c r="A3798" s="412"/>
      <c r="B3798" s="654" t="s">
        <v>1452</v>
      </c>
      <c r="C3798" s="654"/>
      <c r="D3798" s="415"/>
      <c r="E3798" s="415"/>
      <c r="F3798" s="415"/>
      <c r="G3798" s="415"/>
      <c r="H3798" s="416"/>
    </row>
    <row r="3799" spans="1:8" ht="15.75" customHeight="1" x14ac:dyDescent="0.25">
      <c r="A3799" s="412" t="s">
        <v>55</v>
      </c>
      <c r="B3799" s="644" t="s">
        <v>1453</v>
      </c>
      <c r="C3799" s="418" t="s">
        <v>1491</v>
      </c>
      <c r="D3799" s="415">
        <v>2</v>
      </c>
      <c r="E3799" s="415">
        <v>24</v>
      </c>
      <c r="F3799" s="415">
        <f t="shared" ref="F3799:F3801" si="96">+E3799*D3799</f>
      </c>
      <c r="G3799" s="415">
        <v>1</v>
      </c>
      <c r="H3799" s="589">
        <f t="shared" ref="H3799:H3801" si="97">+G3799*F3799</f>
      </c>
    </row>
    <row r="3800" spans="1:8" ht="15.75" customHeight="1" x14ac:dyDescent="0.25">
      <c r="A3800" s="581" t="s">
        <v>59</v>
      </c>
      <c r="B3800" s="582" t="s">
        <v>1454</v>
      </c>
      <c r="C3800" s="418" t="s">
        <v>1491</v>
      </c>
      <c r="D3800" s="415">
        <v>3</v>
      </c>
      <c r="E3800" s="415">
        <v>24</v>
      </c>
      <c r="F3800" s="415">
        <f t="shared" si="96"/>
      </c>
      <c r="G3800" s="415">
        <v>1</v>
      </c>
      <c r="H3800" s="589">
        <f t="shared" si="97"/>
      </c>
    </row>
    <row r="3801" spans="1:8" ht="15.75" customHeight="1" x14ac:dyDescent="0.25">
      <c r="A3801" s="581" t="s">
        <v>67</v>
      </c>
      <c r="B3801" s="582" t="s">
        <v>1077</v>
      </c>
      <c r="C3801" s="582" t="s">
        <v>5</v>
      </c>
      <c r="D3801" s="415">
        <v>5</v>
      </c>
      <c r="E3801" s="415">
        <v>24</v>
      </c>
      <c r="F3801" s="415">
        <f t="shared" si="96"/>
      </c>
      <c r="G3801" s="415">
        <v>1</v>
      </c>
      <c r="H3801" s="589">
        <f t="shared" si="97"/>
      </c>
    </row>
    <row r="3802" spans="1:8" ht="15.75" customHeight="1" x14ac:dyDescent="0.25">
      <c r="A3802" s="581"/>
      <c r="B3802" s="662" t="s">
        <v>687</v>
      </c>
      <c r="C3802" s="663"/>
      <c r="D3802" s="415"/>
      <c r="E3802" s="415"/>
      <c r="F3802" s="415"/>
      <c r="G3802" s="415"/>
      <c r="H3802" s="589"/>
    </row>
    <row r="3803" spans="1:8" ht="15.75" customHeight="1" x14ac:dyDescent="0.25">
      <c r="A3803" s="581"/>
      <c r="B3803" s="664"/>
      <c r="C3803" s="665"/>
      <c r="D3803" s="415"/>
      <c r="E3803" s="415"/>
      <c r="F3803" s="415"/>
      <c r="G3803" s="415"/>
      <c r="H3803" s="589"/>
    </row>
    <row r="3804" spans="1:8" ht="15.75" customHeight="1" x14ac:dyDescent="0.25">
      <c r="A3804" s="581"/>
      <c r="B3804" s="666"/>
      <c r="C3804" s="667"/>
      <c r="D3804" s="415"/>
      <c r="E3804" s="415"/>
      <c r="F3804" s="415"/>
      <c r="G3804" s="415"/>
      <c r="H3804" s="589"/>
    </row>
    <row r="3805" spans="1:8" ht="15" customHeight="1" x14ac:dyDescent="0.25">
      <c r="A3805" s="581"/>
      <c r="B3805" s="582"/>
      <c r="C3805" s="582"/>
      <c r="D3805" s="415"/>
      <c r="E3805" s="415"/>
      <c r="F3805" s="415"/>
      <c r="G3805" s="415"/>
      <c r="H3805" s="589"/>
    </row>
    <row r="3806" spans="1:8" ht="15.75" customHeight="1" x14ac:dyDescent="0.25">
      <c r="A3806" s="581"/>
      <c r="B3806" s="582"/>
      <c r="C3806" s="582"/>
      <c r="D3806" s="415"/>
      <c r="E3806" s="415"/>
      <c r="F3806" s="415"/>
      <c r="G3806" s="415"/>
      <c r="H3806" s="589"/>
    </row>
    <row r="3807" spans="1:8" ht="15.75" customHeight="1" x14ac:dyDescent="0.25">
      <c r="A3807" s="430"/>
      <c r="B3807" s="409"/>
      <c r="C3807" s="393"/>
      <c r="D3807" s="427"/>
      <c r="E3807" s="427"/>
      <c r="F3807" s="428"/>
      <c r="G3807" s="427"/>
      <c r="H3807" s="429"/>
    </row>
    <row r="3808" spans="1:8" ht="15.75" customHeight="1" x14ac:dyDescent="0.25">
      <c r="A3808" s="432"/>
      <c r="B3808" s="433"/>
      <c r="C3808" s="434" t="s">
        <v>85</v>
      </c>
      <c r="D3808" s="659">
        <f>SUM(D3798:D3807)</f>
      </c>
      <c r="E3808" s="401"/>
      <c r="F3808" s="660"/>
      <c r="G3808" s="661"/>
      <c r="H3808" s="623">
        <f>SUM(H3798:H3807)</f>
      </c>
    </row>
    <row r="3809" spans="1:8" ht="15" customHeight="1" x14ac:dyDescent="0.25">
      <c r="A3809" s="439"/>
      <c r="B3809" s="440"/>
      <c r="C3809" s="440"/>
      <c r="D3809" s="441"/>
      <c r="E3809" s="440"/>
      <c r="F3809" s="442"/>
      <c r="G3809" s="443"/>
      <c r="H3809" s="444"/>
    </row>
    <row r="3810" spans="1:8" ht="15.75" customHeight="1" x14ac:dyDescent="0.25">
      <c r="A3810" s="392"/>
      <c r="B3810" s="391"/>
      <c r="C3810" s="391"/>
      <c r="D3810" s="391"/>
      <c r="E3810" s="390"/>
      <c r="F3810" s="392"/>
      <c r="G3810" s="390"/>
      <c r="H3810" s="394"/>
    </row>
    <row r="3811" spans="1:8" ht="15.75" customHeight="1" x14ac:dyDescent="0.25">
      <c r="A3811" s="445"/>
      <c r="B3811" s="445"/>
      <c r="C3811" s="445"/>
      <c r="D3811" s="446" t="s">
        <v>97</v>
      </c>
      <c r="E3811" s="445" t="s">
        <v>98</v>
      </c>
      <c r="F3811" s="445"/>
      <c r="G3811" s="390"/>
      <c r="H3811" s="394"/>
    </row>
    <row r="3812" spans="1:8" ht="15.75" customHeight="1" x14ac:dyDescent="0.25">
      <c r="A3812" s="390"/>
      <c r="B3812" s="390"/>
      <c r="C3812" s="390"/>
      <c r="D3812" s="391"/>
      <c r="E3812" s="390"/>
      <c r="F3812" s="390"/>
      <c r="G3812" s="390"/>
      <c r="H3812" s="394"/>
    </row>
    <row r="3813" spans="1:8" ht="15.75" customHeight="1" x14ac:dyDescent="0.25">
      <c r="A3813" s="390"/>
      <c r="B3813" s="390"/>
      <c r="C3813" s="390"/>
      <c r="D3813" s="391"/>
      <c r="E3813" s="390"/>
      <c r="F3813" s="390"/>
      <c r="G3813" s="390"/>
      <c r="H3813" s="394"/>
    </row>
    <row r="3814" spans="1:8" ht="15.75" customHeight="1" x14ac:dyDescent="0.25">
      <c r="A3814" s="445"/>
      <c r="B3814" s="445"/>
      <c r="C3814" s="445"/>
      <c r="D3814" s="446"/>
      <c r="E3814" s="445" t="s">
        <v>99</v>
      </c>
      <c r="F3814" s="445"/>
      <c r="G3814" s="390"/>
      <c r="H3814" s="394"/>
    </row>
    <row r="3815" spans="1:8" ht="15.75" customHeight="1" x14ac:dyDescent="0.25">
      <c r="D3815" s="4"/>
      <c r="H3815" s="4"/>
    </row>
    <row r="3816" spans="1:8" ht="15.75" customHeight="1" x14ac:dyDescent="0.25">
      <c r="D3816" s="4"/>
      <c r="H3816" s="4"/>
    </row>
    <row r="3817" spans="1:8" ht="15.75" customHeight="1" x14ac:dyDescent="0.25">
      <c r="D3817" s="4"/>
      <c r="H3817" s="4"/>
    </row>
    <row r="3818" spans="1:8" ht="15.75" customHeight="1" x14ac:dyDescent="0.25">
      <c r="D3818" s="4"/>
      <c r="H3818" s="4"/>
    </row>
    <row r="3819" spans="1:8" ht="15.75" customHeight="1" x14ac:dyDescent="0.25">
      <c r="A3819" s="392" t="s">
        <v>14</v>
      </c>
      <c r="B3819" s="391"/>
      <c r="C3819" s="391"/>
      <c r="D3819" s="391"/>
      <c r="E3819" s="391"/>
      <c r="F3819" s="391"/>
      <c r="G3819" s="391"/>
      <c r="H3819" s="394"/>
    </row>
    <row r="3820" spans="1:8" ht="15.75" customHeight="1" x14ac:dyDescent="0.25">
      <c r="A3820" s="392"/>
      <c r="B3820" s="391"/>
      <c r="C3820" s="391"/>
      <c r="D3820" s="391"/>
      <c r="E3820" s="390"/>
      <c r="F3820" s="392"/>
      <c r="G3820" s="390"/>
      <c r="H3820" s="394"/>
    </row>
    <row r="3821" spans="1:8" ht="15.75" customHeight="1" x14ac:dyDescent="0.25">
      <c r="A3821" s="392"/>
      <c r="B3821" s="391"/>
      <c r="C3821" s="391"/>
      <c r="D3821" s="391"/>
      <c r="E3821" s="390"/>
      <c r="F3821" s="392"/>
      <c r="G3821" s="390"/>
      <c r="H3821" s="394"/>
    </row>
    <row r="3822" spans="1:8" ht="15.75" customHeight="1" x14ac:dyDescent="0.25">
      <c r="A3822" s="390" t="s">
        <v>20</v>
      </c>
      <c r="B3822" s="390"/>
      <c r="C3822" s="390"/>
      <c r="D3822" s="391"/>
      <c r="E3822" s="390"/>
      <c r="F3822" s="392"/>
      <c r="G3822" s="390"/>
      <c r="H3822" s="394"/>
    </row>
    <row r="3823" spans="1:8" ht="15.75" customHeight="1" x14ac:dyDescent="0.25">
      <c r="A3823" s="390" t="inlineStr">
        <is>
          <t>Dealer-013</t>
        </is>
      </c>
      <c r="B3823" s="390"/>
      <c r="C3823" s="390" t="inlineStr">
        <is>
          <t>ATTN: Contact-003</t>
        </is>
      </c>
      <c r="D3823" s="391"/>
      <c r="E3823" s="390"/>
      <c r="F3823" s="395" t="s">
        <v>18</v>
      </c>
      <c r="G3823" s="390" t="s">
        <v>683</v>
      </c>
      <c r="H3823" s="394"/>
    </row>
    <row r="3824" spans="1:8" ht="15.75" customHeight="1" x14ac:dyDescent="0.25">
      <c r="A3824" s="390" t="inlineStr">
        <is>
          <t>Address line (redacted)</t>
        </is>
      </c>
      <c r="B3824" s="390"/>
      <c r="C3824" s="390"/>
      <c r="D3824" s="391"/>
      <c r="E3824" s="390"/>
      <c r="F3824" s="393" t="s">
        <v>21</v>
      </c>
      <c r="G3824" s="390" t="s">
        <v>1533</v>
      </c>
      <c r="H3824" s="394"/>
    </row>
    <row r="3825" spans="1:8" ht="15.75" customHeight="1" x14ac:dyDescent="0.25">
      <c r="A3825" s="390" t="inlineStr">
        <is>
          <t>Address line (redacted)</t>
        </is>
      </c>
      <c r="B3825" s="390"/>
      <c r="C3825" s="390"/>
      <c r="D3825" s="391"/>
      <c r="E3825" s="390"/>
      <c r="F3825" s="391"/>
      <c r="G3825" s="390"/>
      <c r="H3825" s="394"/>
    </row>
    <row r="3826" spans="1:8" ht="15.75" customHeight="1" x14ac:dyDescent="0.25">
      <c r="A3826" s="390"/>
      <c r="B3826" s="390"/>
      <c r="C3826" s="393"/>
      <c r="D3826" s="391"/>
      <c r="E3826" s="390"/>
      <c r="F3826" s="391"/>
      <c r="G3826" s="390"/>
      <c r="H3826" s="394"/>
    </row>
    <row r="3827" spans="1:8" ht="15.75" customHeight="1" x14ac:dyDescent="0.25">
      <c r="A3827" s="390"/>
      <c r="B3827" s="390"/>
      <c r="C3827" s="390"/>
      <c r="D3827" s="391"/>
      <c r="E3827" s="390"/>
      <c r="F3827" s="391"/>
      <c r="G3827" s="390"/>
      <c r="H3827" s="394"/>
    </row>
    <row r="3828" spans="1:8" ht="15.75" customHeight="1" x14ac:dyDescent="0.25">
      <c r="A3828" s="390" t="s">
        <v>30</v>
      </c>
      <c r="B3828" s="390"/>
      <c r="C3828" s="390"/>
      <c r="D3828" s="391"/>
      <c r="E3828" s="390"/>
      <c r="F3828" s="391"/>
      <c r="G3828" s="390"/>
      <c r="H3828" s="394"/>
    </row>
    <row r="3829" spans="1:8" ht="15.75" customHeight="1" x14ac:dyDescent="0.25">
      <c r="A3829" s="390"/>
      <c r="B3829" s="390"/>
      <c r="C3829" s="390"/>
      <c r="D3829" s="391"/>
      <c r="E3829" s="390"/>
      <c r="F3829" s="391"/>
      <c r="G3829" s="390"/>
      <c r="H3829" s="394"/>
    </row>
    <row r="3830" spans="1:8" ht="15.75" customHeight="1" x14ac:dyDescent="0.25">
      <c r="A3830" s="390" t="s">
        <v>1322</v>
      </c>
      <c r="B3830" s="390"/>
      <c r="C3830" s="390"/>
      <c r="D3830" s="391"/>
      <c r="E3830" s="390"/>
      <c r="F3830" s="391"/>
      <c r="G3830" s="390"/>
      <c r="H3830" s="394"/>
    </row>
    <row r="3831" spans="1:8" ht="15.75" customHeight="1" x14ac:dyDescent="0.25">
      <c r="A3831" s="390" t="s">
        <v>1328</v>
      </c>
      <c r="B3831" s="390"/>
      <c r="C3831" s="390"/>
      <c r="D3831" s="391"/>
      <c r="E3831" s="390"/>
      <c r="F3831" s="391"/>
      <c r="G3831" s="390"/>
      <c r="H3831" s="394"/>
    </row>
    <row r="3832" spans="1:8" ht="15.75" customHeight="1" x14ac:dyDescent="0.25">
      <c r="A3832" s="390"/>
      <c r="B3832" s="390"/>
      <c r="C3832" s="390"/>
      <c r="D3832" s="391"/>
      <c r="E3832" s="390"/>
      <c r="F3832" s="391"/>
      <c r="G3832" s="390"/>
      <c r="H3832" s="394"/>
    </row>
    <row r="3833" spans="1:8" ht="15.75" customHeight="1" x14ac:dyDescent="0.25">
      <c r="A3833" s="399" t="s">
        <v>33</v>
      </c>
      <c r="B3833" s="400" t="s">
        <v>6</v>
      </c>
      <c r="C3833" s="400"/>
      <c r="D3833" s="401" t="s">
        <v>37</v>
      </c>
      <c r="E3833" s="402" t="s">
        <v>1309</v>
      </c>
      <c r="F3833" s="609" t="s">
        <v>7</v>
      </c>
      <c r="G3833" s="400" t="s">
        <v>43</v>
      </c>
      <c r="H3833" s="405" t="s">
        <v>44</v>
      </c>
    </row>
    <row r="3834" spans="1:8" ht="15.75" customHeight="1" x14ac:dyDescent="0.25">
      <c r="A3834" s="610"/>
      <c r="B3834" s="611"/>
      <c r="C3834" s="611"/>
      <c r="D3834" s="612"/>
      <c r="E3834" s="613"/>
      <c r="F3834" s="614"/>
      <c r="G3834" s="611"/>
      <c r="H3834" s="615"/>
    </row>
    <row r="3835" spans="1:8" ht="15.75" customHeight="1" x14ac:dyDescent="0.25">
      <c r="A3835" s="412"/>
      <c r="B3835" s="654" t="s">
        <v>1365</v>
      </c>
      <c r="C3835" s="654"/>
      <c r="D3835" s="415"/>
      <c r="E3835" s="415"/>
      <c r="F3835" s="415"/>
      <c r="G3835" s="415"/>
      <c r="H3835" s="416"/>
    </row>
    <row r="3836" spans="1:8" ht="15.75" customHeight="1" x14ac:dyDescent="0.25">
      <c r="A3836" s="581" t="s">
        <v>55</v>
      </c>
      <c r="B3836" s="582">
        <v>507</v>
      </c>
      <c r="C3836" s="582"/>
      <c r="D3836" s="415">
        <v>12</v>
      </c>
      <c r="E3836" s="415">
        <v>4</v>
      </c>
      <c r="F3836" s="415">
        <f>+E3836*D3836</f>
      </c>
      <c r="G3836" s="415">
        <v>1</v>
      </c>
      <c r="H3836" s="589">
        <f>+G3836*F3836</f>
      </c>
    </row>
    <row r="3837" spans="1:8" ht="15.75" customHeight="1" x14ac:dyDescent="0.25">
      <c r="A3837" s="581"/>
      <c r="B3837" s="582"/>
      <c r="C3837" s="582"/>
      <c r="D3837" s="415"/>
      <c r="E3837" s="415"/>
      <c r="F3837" s="415"/>
      <c r="G3837" s="415"/>
      <c r="H3837" s="589"/>
    </row>
    <row r="3838" spans="1:8" ht="15.75" customHeight="1" x14ac:dyDescent="0.25">
      <c r="A3838" s="430"/>
      <c r="B3838" s="409"/>
      <c r="C3838" s="393"/>
      <c r="D3838" s="427"/>
      <c r="E3838" s="427"/>
      <c r="F3838" s="428"/>
      <c r="G3838" s="427"/>
      <c r="H3838" s="429"/>
    </row>
    <row r="3839" spans="1:8" ht="15.75" customHeight="1" x14ac:dyDescent="0.25">
      <c r="A3839" s="432"/>
      <c r="B3839" s="433"/>
      <c r="C3839" s="434" t="s">
        <v>85</v>
      </c>
      <c r="D3839" s="659">
        <f>SUM(D3835:D3838)</f>
      </c>
      <c r="E3839" s="401"/>
      <c r="F3839" s="660"/>
      <c r="G3839" s="661"/>
      <c r="H3839" s="623">
        <f>SUM(H3835:H3838)</f>
      </c>
    </row>
    <row r="3840" spans="1:8" ht="15.75" customHeight="1" x14ac:dyDescent="0.25">
      <c r="A3840" s="439"/>
      <c r="B3840" s="440"/>
      <c r="C3840" s="440"/>
      <c r="D3840" s="441"/>
      <c r="E3840" s="440"/>
      <c r="F3840" s="442"/>
      <c r="G3840" s="443"/>
      <c r="H3840" s="444"/>
    </row>
    <row r="3841" spans="1:8" ht="15.75" customHeight="1" x14ac:dyDescent="0.25">
      <c r="A3841" s="392"/>
      <c r="B3841" s="391"/>
      <c r="C3841" s="391"/>
      <c r="D3841" s="391"/>
      <c r="E3841" s="390"/>
      <c r="F3841" s="392"/>
      <c r="G3841" s="390"/>
      <c r="H3841" s="394"/>
    </row>
    <row r="3842" spans="1:8" ht="15.75" customHeight="1" x14ac:dyDescent="0.25">
      <c r="A3842" s="445"/>
      <c r="B3842" s="445"/>
      <c r="C3842" s="445"/>
      <c r="D3842" s="446" t="s">
        <v>97</v>
      </c>
      <c r="E3842" s="445" t="s">
        <v>98</v>
      </c>
      <c r="F3842" s="445"/>
      <c r="G3842" s="390"/>
      <c r="H3842" s="394"/>
    </row>
    <row r="3843" spans="1:8" ht="15.75" customHeight="1" x14ac:dyDescent="0.25">
      <c r="A3843" s="390"/>
      <c r="B3843" s="390"/>
      <c r="C3843" s="390"/>
      <c r="D3843" s="391"/>
      <c r="E3843" s="390"/>
      <c r="F3843" s="390"/>
      <c r="G3843" s="390"/>
      <c r="H3843" s="394"/>
    </row>
    <row r="3844" spans="1:8" ht="15.75" customHeight="1" x14ac:dyDescent="0.25">
      <c r="A3844" s="390"/>
      <c r="B3844" s="390"/>
      <c r="C3844" s="390"/>
      <c r="D3844" s="391"/>
      <c r="E3844" s="390"/>
      <c r="F3844" s="390"/>
      <c r="G3844" s="390"/>
      <c r="H3844" s="394"/>
    </row>
    <row r="3845" spans="1:8" ht="15.75" customHeight="1" x14ac:dyDescent="0.25">
      <c r="A3845" s="445"/>
      <c r="B3845" s="445"/>
      <c r="C3845" s="445"/>
      <c r="D3845" s="446"/>
      <c r="E3845" s="445" t="s">
        <v>99</v>
      </c>
      <c r="F3845" s="445"/>
      <c r="G3845" s="390"/>
      <c r="H3845" s="394"/>
    </row>
    <row r="3846" spans="1:8" ht="15.75" customHeight="1" x14ac:dyDescent="0.25">
      <c r="D3846" s="4"/>
      <c r="H3846" s="4"/>
    </row>
    <row r="3847" spans="1:8" ht="15.75" customHeight="1" x14ac:dyDescent="0.25">
      <c r="D3847" s="4"/>
      <c r="H3847" s="4"/>
    </row>
    <row r="3848" spans="1:8" ht="15.75" customHeight="1" x14ac:dyDescent="0.25">
      <c r="D3848" s="4"/>
      <c r="H3848" s="4"/>
    </row>
    <row r="3849" spans="1:8" ht="15.75" customHeight="1" x14ac:dyDescent="0.25">
      <c r="D3849" s="4"/>
      <c r="H3849" s="4"/>
    </row>
    <row r="3850" spans="1:8" ht="15.75" customHeight="1" x14ac:dyDescent="0.25">
      <c r="D3850" s="4"/>
      <c r="H3850" s="4"/>
    </row>
    <row r="3851" spans="1:8" ht="15.75" customHeight="1" x14ac:dyDescent="0.25">
      <c r="D3851" s="4"/>
      <c r="H3851" s="4"/>
    </row>
    <row r="3852" spans="1:8" ht="15.75" customHeight="1" x14ac:dyDescent="0.25">
      <c r="D3852" s="4"/>
      <c r="H3852" s="4"/>
    </row>
    <row r="3853" spans="1:8" ht="15.75" customHeight="1" x14ac:dyDescent="0.25">
      <c r="D3853" s="4"/>
      <c r="H3853" s="4"/>
    </row>
    <row r="3854" spans="1:8" ht="15.75" customHeight="1" x14ac:dyDescent="0.25">
      <c r="D3854" s="4"/>
      <c r="H3854" s="4"/>
    </row>
    <row r="3855" spans="1:8" ht="15.75" customHeight="1" x14ac:dyDescent="0.25">
      <c r="D3855" s="4"/>
      <c r="H3855" s="4"/>
    </row>
    <row r="3856" spans="1:8" ht="15.75" customHeight="1" x14ac:dyDescent="0.25">
      <c r="D3856" s="4"/>
      <c r="H3856" s="4"/>
    </row>
    <row r="3857" spans="1:8" ht="15.75" customHeight="1" x14ac:dyDescent="0.25">
      <c r="D3857" s="4"/>
      <c r="H3857" s="4"/>
    </row>
    <row r="3858" spans="1:8" ht="15.75" customHeight="1" x14ac:dyDescent="0.25">
      <c r="D3858" s="4"/>
      <c r="H3858" s="4"/>
    </row>
    <row r="3859" spans="1:8" ht="15.75" customHeight="1" x14ac:dyDescent="0.25">
      <c r="D3859" s="4"/>
      <c r="H3859" s="4"/>
    </row>
    <row r="3860" spans="1:8" ht="15.75" customHeight="1" x14ac:dyDescent="0.25">
      <c r="D3860" s="4"/>
      <c r="H3860" s="4"/>
    </row>
    <row r="3861" spans="1:8" ht="15.75" customHeight="1" x14ac:dyDescent="0.25">
      <c r="D3861" s="4"/>
      <c r="H3861" s="4"/>
    </row>
    <row r="3862" spans="1:8" ht="15.75" customHeight="1" x14ac:dyDescent="0.25">
      <c r="D3862" s="4"/>
      <c r="H3862" s="4"/>
    </row>
    <row r="3863" spans="1:8" ht="15.75" customHeight="1" x14ac:dyDescent="0.25">
      <c r="D3863" s="4"/>
      <c r="H3863" s="4"/>
    </row>
    <row r="3864" spans="1:8" ht="15.75" customHeight="1" x14ac:dyDescent="0.25">
      <c r="D3864" s="4"/>
      <c r="H3864" s="4"/>
    </row>
    <row r="3865" spans="1:8" ht="15.75" customHeight="1" x14ac:dyDescent="0.25">
      <c r="A3865" s="398" t="s">
        <v>14</v>
      </c>
      <c r="B3865" s="391"/>
      <c r="C3865" s="391"/>
      <c r="D3865" s="391"/>
      <c r="E3865" s="391"/>
      <c r="F3865" s="391"/>
      <c r="G3865" s="391"/>
      <c r="H3865" s="394"/>
    </row>
    <row r="3866" spans="1:8" ht="15.75" customHeight="1" x14ac:dyDescent="0.25">
      <c r="A3866" s="390"/>
      <c r="B3866" s="390"/>
      <c r="C3866" s="390"/>
      <c r="D3866" s="392"/>
      <c r="E3866" s="569"/>
      <c r="F3866" s="391"/>
      <c r="G3866" s="390"/>
      <c r="H3866" s="394"/>
    </row>
    <row r="3867" spans="1:8" ht="15.75" customHeight="1" x14ac:dyDescent="0.25">
      <c r="A3867" s="390"/>
      <c r="B3867" s="390"/>
      <c r="C3867" s="393"/>
      <c r="D3867" s="398"/>
      <c r="E3867" s="393"/>
      <c r="F3867" s="395" t="s">
        <v>18</v>
      </c>
      <c r="G3867" s="390" t="s">
        <v>683</v>
      </c>
      <c r="H3867" s="394"/>
    </row>
    <row r="3868" spans="1:8" ht="15.75" customHeight="1" x14ac:dyDescent="0.25">
      <c r="A3868" s="390"/>
      <c r="B3868" s="390"/>
      <c r="C3868" s="390"/>
      <c r="D3868" s="391"/>
      <c r="E3868" s="390"/>
      <c r="F3868" s="393" t="s">
        <v>21</v>
      </c>
      <c r="G3868" s="390" t="s">
        <v>1529</v>
      </c>
      <c r="H3868" s="394"/>
    </row>
    <row r="3869" spans="1:8" ht="15.75" customHeight="1" x14ac:dyDescent="0.25">
      <c r="A3869" s="390" t="s">
        <v>20</v>
      </c>
      <c r="B3869" s="390"/>
      <c r="C3869" s="390"/>
      <c r="D3869" s="391"/>
      <c r="E3869" s="390"/>
      <c r="F3869" s="391"/>
      <c r="G3869" s="390"/>
      <c r="H3869" s="394"/>
    </row>
    <row r="3870" spans="1:8" ht="15.75" customHeight="1" x14ac:dyDescent="0.25">
      <c r="A3870" s="390" t="inlineStr">
        <is>
          <t>Dealer-003</t>
        </is>
      </c>
      <c r="B3870" s="390"/>
      <c r="C3870" s="398"/>
      <c r="D3870" s="391"/>
      <c r="E3870" s="390"/>
      <c r="F3870" s="391"/>
      <c r="G3870" s="390"/>
      <c r="H3870" s="394"/>
    </row>
    <row r="3871" spans="1:8" ht="15.75" customHeight="1" x14ac:dyDescent="0.25">
      <c r="A3871" s="390" t="inlineStr">
        <is>
          <t>Address line (redacted)</t>
        </is>
      </c>
      <c r="B3871" s="390"/>
      <c r="C3871" s="390"/>
      <c r="D3871" s="391"/>
      <c r="E3871" s="390"/>
      <c r="F3871" s="391"/>
      <c r="G3871" s="390"/>
      <c r="H3871" s="394"/>
    </row>
    <row r="3872" spans="1:8" ht="15.75" customHeight="1" x14ac:dyDescent="0.25">
      <c r="A3872" s="390" t="inlineStr">
        <is>
          <t>Address line (redacted)</t>
        </is>
      </c>
      <c r="B3872" s="390"/>
      <c r="C3872" s="390"/>
      <c r="D3872" s="391"/>
      <c r="E3872" s="390"/>
      <c r="F3872" s="391"/>
      <c r="G3872" s="390"/>
      <c r="H3872" s="394"/>
    </row>
    <row r="3873" spans="1:8" ht="15.75" customHeight="1" x14ac:dyDescent="0.25">
      <c r="A3873" s="390"/>
      <c r="B3873" s="390"/>
      <c r="C3873" s="390"/>
      <c r="D3873" s="391"/>
      <c r="E3873" s="390"/>
      <c r="F3873" s="391"/>
      <c r="G3873" s="390"/>
      <c r="H3873" s="394"/>
    </row>
    <row r="3874" spans="1:8" ht="15.75" customHeight="1" x14ac:dyDescent="0.25">
      <c r="A3874" s="390" t="s">
        <v>30</v>
      </c>
      <c r="B3874" s="390"/>
      <c r="C3874" s="390"/>
      <c r="D3874" s="391"/>
      <c r="E3874" s="390"/>
      <c r="F3874" s="391"/>
      <c r="G3874" s="390"/>
      <c r="H3874" s="394"/>
    </row>
    <row r="3875" spans="1:8" ht="15.75" customHeight="1" x14ac:dyDescent="0.25">
      <c r="A3875" s="390"/>
      <c r="B3875" s="390"/>
      <c r="C3875" s="390"/>
      <c r="D3875" s="391"/>
      <c r="E3875" s="390"/>
      <c r="F3875" s="391"/>
      <c r="G3875" s="390"/>
      <c r="H3875" s="394"/>
    </row>
    <row r="3876" spans="1:8" ht="15.75" customHeight="1" x14ac:dyDescent="0.25">
      <c r="A3876" s="390" t="s">
        <v>1322</v>
      </c>
      <c r="B3876" s="390"/>
      <c r="C3876" s="390"/>
      <c r="D3876" s="391"/>
      <c r="E3876" s="390"/>
      <c r="F3876" s="391"/>
      <c r="G3876" s="390"/>
      <c r="H3876" s="394"/>
    </row>
    <row r="3877" spans="1:8" ht="15.75" customHeight="1" x14ac:dyDescent="0.25">
      <c r="A3877" s="390" t="s">
        <v>1328</v>
      </c>
      <c r="B3877" s="390"/>
      <c r="C3877" s="390"/>
      <c r="D3877" s="391"/>
      <c r="E3877" s="390"/>
      <c r="F3877" s="391"/>
      <c r="G3877" s="390"/>
      <c r="H3877" s="394"/>
    </row>
    <row r="3878" spans="1:8" ht="15.75" customHeight="1" x14ac:dyDescent="0.25">
      <c r="A3878" s="390"/>
      <c r="B3878" s="390"/>
      <c r="C3878" s="390"/>
      <c r="D3878" s="391"/>
      <c r="E3878" s="390"/>
      <c r="F3878" s="391"/>
      <c r="G3878" s="390"/>
      <c r="H3878" s="394"/>
    </row>
    <row r="3879" spans="1:8" ht="15.75" customHeight="1" x14ac:dyDescent="0.25">
      <c r="A3879" s="399" t="s">
        <v>33</v>
      </c>
      <c r="B3879" s="400" t="s">
        <v>6</v>
      </c>
      <c r="C3879" s="400"/>
      <c r="D3879" s="401" t="s">
        <v>37</v>
      </c>
      <c r="E3879" s="402" t="s">
        <v>38</v>
      </c>
      <c r="F3879" s="403" t="s">
        <v>7</v>
      </c>
      <c r="G3879" s="404" t="s">
        <v>43</v>
      </c>
      <c r="H3879" s="405" t="s">
        <v>44</v>
      </c>
    </row>
    <row r="3880" spans="1:8" ht="15.75" customHeight="1" x14ac:dyDescent="0.25">
      <c r="A3880" s="406"/>
      <c r="B3880" s="407"/>
      <c r="C3880" s="393"/>
      <c r="D3880" s="410"/>
      <c r="E3880" s="408"/>
      <c r="F3880" s="409"/>
      <c r="G3880" s="410"/>
      <c r="H3880" s="411"/>
    </row>
    <row r="3881" spans="1:8" ht="15.75" customHeight="1" x14ac:dyDescent="0.25">
      <c r="A3881" s="577"/>
      <c r="B3881" s="624" t="s">
        <v>674</v>
      </c>
      <c r="C3881" s="625"/>
      <c r="D3881" s="578"/>
      <c r="E3881" s="578"/>
      <c r="F3881" s="578"/>
      <c r="G3881" s="578"/>
      <c r="H3881" s="580"/>
    </row>
    <row r="3882" spans="1:8" ht="15.75" customHeight="1" x14ac:dyDescent="0.25">
      <c r="A3882" s="412" t="s">
        <v>55</v>
      </c>
      <c r="B3882" s="644" t="s">
        <v>1534</v>
      </c>
      <c r="C3882" s="418"/>
      <c r="D3882" s="415">
        <v>77</v>
      </c>
      <c r="E3882" s="415">
        <v>1</v>
      </c>
      <c r="F3882" s="415">
        <f>+E3882*D3882</f>
      </c>
      <c r="G3882" s="415">
        <v>1</v>
      </c>
      <c r="H3882" s="416">
        <f>+G3882*F3882</f>
      </c>
    </row>
    <row r="3883" spans="1:8" ht="15.75" customHeight="1" x14ac:dyDescent="0.25">
      <c r="A3883" s="629"/>
      <c r="B3883" s="448"/>
      <c r="C3883" s="390"/>
      <c r="D3883" s="427"/>
      <c r="E3883" s="427"/>
      <c r="F3883" s="428"/>
      <c r="G3883" s="427"/>
      <c r="H3883" s="429"/>
    </row>
    <row r="3884" spans="1:8" ht="15.75" customHeight="1" x14ac:dyDescent="0.25">
      <c r="A3884" s="629"/>
      <c r="B3884" s="448"/>
      <c r="C3884" s="390"/>
      <c r="D3884" s="427"/>
      <c r="E3884" s="427"/>
      <c r="F3884" s="428"/>
      <c r="G3884" s="427"/>
      <c r="H3884" s="429"/>
    </row>
    <row r="3885" spans="1:8" ht="15.75" customHeight="1" x14ac:dyDescent="0.25">
      <c r="A3885" s="629"/>
      <c r="B3885" s="448"/>
      <c r="C3885" s="390"/>
      <c r="D3885" s="427"/>
      <c r="E3885" s="427"/>
      <c r="F3885" s="428"/>
      <c r="G3885" s="427"/>
      <c r="H3885" s="429"/>
    </row>
    <row r="3886" spans="1:8" ht="15.75" customHeight="1" x14ac:dyDescent="0.25">
      <c r="A3886" s="629"/>
      <c r="B3886" s="448"/>
      <c r="C3886" s="390"/>
      <c r="D3886" s="427"/>
      <c r="E3886" s="427"/>
      <c r="F3886" s="428"/>
      <c r="G3886" s="427"/>
      <c r="H3886" s="429"/>
    </row>
    <row r="3887" spans="1:8" ht="15.75" customHeight="1" x14ac:dyDescent="0.25">
      <c r="A3887" s="629"/>
      <c r="B3887" s="448"/>
      <c r="C3887" s="390"/>
      <c r="D3887" s="427"/>
      <c r="E3887" s="427"/>
      <c r="F3887" s="428"/>
      <c r="G3887" s="427"/>
      <c r="H3887" s="429"/>
    </row>
    <row r="3888" spans="1:8" ht="15.75" customHeight="1" x14ac:dyDescent="0.25">
      <c r="A3888" s="629"/>
      <c r="B3888" s="448"/>
      <c r="C3888" s="390"/>
      <c r="D3888" s="427"/>
      <c r="E3888" s="427"/>
      <c r="F3888" s="428"/>
      <c r="G3888" s="427"/>
      <c r="H3888" s="429"/>
    </row>
    <row r="3889" spans="1:8" ht="15.75" customHeight="1" x14ac:dyDescent="0.25">
      <c r="A3889" s="629"/>
      <c r="B3889" s="448"/>
      <c r="C3889" s="390"/>
      <c r="D3889" s="427"/>
      <c r="E3889" s="427"/>
      <c r="F3889" s="428"/>
      <c r="G3889" s="427"/>
      <c r="H3889" s="429"/>
    </row>
    <row r="3890" spans="1:8" ht="15.75" customHeight="1" x14ac:dyDescent="0.25">
      <c r="A3890" s="629"/>
      <c r="B3890" s="448"/>
      <c r="C3890" s="390"/>
      <c r="D3890" s="427"/>
      <c r="E3890" s="427"/>
      <c r="F3890" s="428"/>
      <c r="G3890" s="427"/>
      <c r="H3890" s="429"/>
    </row>
    <row r="3891" spans="1:8" ht="15.75" customHeight="1" x14ac:dyDescent="0.25">
      <c r="A3891" s="430"/>
      <c r="B3891" s="409"/>
      <c r="C3891" s="393"/>
      <c r="D3891" s="427"/>
      <c r="E3891" s="427"/>
      <c r="F3891" s="428"/>
      <c r="G3891" s="431"/>
      <c r="H3891" s="429"/>
    </row>
    <row r="3892" spans="1:8" ht="15.75" customHeight="1" x14ac:dyDescent="0.25">
      <c r="A3892" s="432"/>
      <c r="B3892" s="433"/>
      <c r="C3892" s="434" t="s">
        <v>85</v>
      </c>
      <c r="D3892" s="436">
        <f>SUM(D3882:D3891)</f>
      </c>
      <c r="E3892" s="436"/>
      <c r="F3892" s="436"/>
      <c r="G3892" s="437"/>
      <c r="H3892" s="623">
        <f>SUM(H3882:H3891)</f>
      </c>
    </row>
    <row r="3893" spans="1:8" ht="15.75" customHeight="1" x14ac:dyDescent="0.25">
      <c r="A3893" s="439"/>
      <c r="B3893" s="440"/>
      <c r="C3893" s="440"/>
      <c r="D3893" s="441"/>
      <c r="E3893" s="440"/>
      <c r="F3893" s="442"/>
      <c r="G3893" s="443"/>
      <c r="H3893" s="444"/>
    </row>
    <row r="3894" spans="1:8" ht="15.75" customHeight="1" x14ac:dyDescent="0.25">
      <c r="A3894" s="392"/>
      <c r="B3894" s="391"/>
      <c r="C3894" s="391"/>
      <c r="D3894" s="391"/>
      <c r="E3894" s="390"/>
      <c r="F3894" s="392"/>
      <c r="G3894" s="390"/>
      <c r="H3894" s="394"/>
    </row>
    <row r="3895" spans="1:8" ht="15.75" customHeight="1" x14ac:dyDescent="0.25">
      <c r="A3895" s="445"/>
      <c r="B3895" s="445"/>
      <c r="C3895" s="445"/>
      <c r="D3895" s="446" t="s">
        <v>97</v>
      </c>
      <c r="E3895" s="445" t="s">
        <v>98</v>
      </c>
      <c r="F3895" s="445"/>
      <c r="G3895" s="390"/>
      <c r="H3895" s="394"/>
    </row>
    <row r="3896" spans="1:8" ht="15.75" customHeight="1" x14ac:dyDescent="0.25">
      <c r="A3896" s="390"/>
      <c r="B3896" s="390"/>
      <c r="C3896" s="390"/>
      <c r="D3896" s="391"/>
      <c r="E3896" s="390"/>
      <c r="F3896" s="390"/>
      <c r="G3896" s="390"/>
      <c r="H3896" s="394"/>
    </row>
    <row r="3897" spans="1:8" ht="15.75" customHeight="1" x14ac:dyDescent="0.25">
      <c r="A3897" s="390"/>
      <c r="B3897" s="390"/>
      <c r="C3897" s="390"/>
      <c r="D3897" s="391"/>
      <c r="E3897" s="390"/>
      <c r="F3897" s="390"/>
      <c r="G3897" s="390"/>
      <c r="H3897" s="394"/>
    </row>
    <row r="3898" spans="1:8" ht="15.75" customHeight="1" x14ac:dyDescent="0.25">
      <c r="A3898" s="445"/>
      <c r="B3898" s="445"/>
      <c r="C3898" s="445"/>
      <c r="D3898" s="446"/>
      <c r="E3898" s="445" t="s">
        <v>99</v>
      </c>
      <c r="F3898" s="445"/>
      <c r="G3898" s="390"/>
      <c r="H3898" s="394"/>
    </row>
    <row r="3899" spans="1:8" ht="15.75" customHeight="1" x14ac:dyDescent="0.25">
      <c r="D3899" s="4"/>
      <c r="H3899" s="4"/>
    </row>
    <row r="3900" spans="1:8" ht="15.75" customHeight="1" x14ac:dyDescent="0.25">
      <c r="D3900" s="4"/>
      <c r="H3900" s="4"/>
    </row>
    <row r="3901" spans="1:8" ht="15.75" customHeight="1" x14ac:dyDescent="0.25">
      <c r="D3901" s="4"/>
      <c r="H3901" s="4"/>
    </row>
    <row r="3902" spans="1:8" ht="15.75" customHeight="1" x14ac:dyDescent="0.25">
      <c r="D3902" s="4"/>
      <c r="H3902" s="4"/>
    </row>
    <row r="3903" spans="1:8" ht="15.75" customHeight="1" x14ac:dyDescent="0.25">
      <c r="D3903" s="4"/>
      <c r="H3903" s="4"/>
    </row>
    <row r="3904" spans="1:8" ht="15.75" customHeight="1" x14ac:dyDescent="0.25">
      <c r="D3904" s="4"/>
      <c r="H3904" s="4"/>
    </row>
    <row r="3905" spans="1:8" ht="15.75" customHeight="1" x14ac:dyDescent="0.25">
      <c r="D3905" s="4"/>
      <c r="H3905" s="4"/>
    </row>
    <row r="3906" spans="1:8" ht="15.75" customHeight="1" x14ac:dyDescent="0.25">
      <c r="D3906" s="4"/>
      <c r="H3906" s="4"/>
    </row>
    <row r="3907" spans="1:8" ht="15.75" customHeight="1" x14ac:dyDescent="0.25">
      <c r="D3907" s="4"/>
      <c r="H3907" s="4"/>
    </row>
    <row r="3908" spans="1:8" ht="15.75" customHeight="1" x14ac:dyDescent="0.25">
      <c r="D3908" s="4"/>
      <c r="H3908" s="4"/>
    </row>
    <row r="3909" spans="1:8" ht="15.75" customHeight="1" x14ac:dyDescent="0.25">
      <c r="D3909" s="4"/>
      <c r="H3909" s="4"/>
    </row>
    <row r="3910" spans="1:8" ht="15.75" customHeight="1" x14ac:dyDescent="0.25">
      <c r="D3910" s="4"/>
      <c r="H3910" s="4"/>
    </row>
    <row r="3911" spans="1:8" ht="15.75" customHeight="1" x14ac:dyDescent="0.25">
      <c r="A3911" s="398" t="s">
        <v>14</v>
      </c>
      <c r="B3911" s="391"/>
      <c r="C3911" s="391"/>
      <c r="D3911" s="391"/>
      <c r="E3911" s="391"/>
      <c r="F3911" s="391"/>
      <c r="G3911" s="391"/>
      <c r="H3911" s="394"/>
    </row>
    <row r="3912" spans="1:8" ht="15.75" customHeight="1" x14ac:dyDescent="0.25">
      <c r="A3912" s="390"/>
      <c r="B3912" s="390"/>
      <c r="C3912" s="390"/>
      <c r="D3912" s="392"/>
      <c r="E3912" s="569"/>
      <c r="F3912" s="391"/>
      <c r="G3912" s="390"/>
      <c r="H3912" s="394"/>
    </row>
    <row r="3913" spans="1:8" ht="15.75" customHeight="1" x14ac:dyDescent="0.25">
      <c r="A3913" s="390"/>
      <c r="B3913" s="390"/>
      <c r="C3913" s="393"/>
      <c r="D3913" s="398"/>
      <c r="E3913" s="393"/>
      <c r="F3913" s="395" t="s">
        <v>18</v>
      </c>
      <c r="G3913" s="390" t="s">
        <v>683</v>
      </c>
      <c r="H3913" s="394"/>
    </row>
    <row r="3914" spans="1:8" ht="15.75" customHeight="1" x14ac:dyDescent="0.25">
      <c r="A3914" s="390"/>
      <c r="B3914" s="390"/>
      <c r="C3914" s="390"/>
      <c r="D3914" s="391"/>
      <c r="E3914" s="390"/>
      <c r="F3914" s="393" t="s">
        <v>21</v>
      </c>
      <c r="G3914" s="390" t="s">
        <v>1546</v>
      </c>
      <c r="H3914" s="394"/>
    </row>
    <row r="3915" spans="1:8" ht="15.75" customHeight="1" x14ac:dyDescent="0.25">
      <c r="A3915" s="390" t="s">
        <v>20</v>
      </c>
      <c r="B3915" s="390"/>
      <c r="C3915" s="390"/>
      <c r="D3915" s="391"/>
      <c r="E3915" s="390"/>
      <c r="F3915" s="391"/>
      <c r="G3915" s="390"/>
      <c r="H3915" s="394"/>
    </row>
    <row r="3916" spans="1:8" ht="15.75" customHeight="1" x14ac:dyDescent="0.25">
      <c r="A3916" s="390" t="inlineStr">
        <is>
          <t>Dealer-003</t>
        </is>
      </c>
      <c r="B3916" s="390"/>
      <c r="C3916" s="398"/>
      <c r="D3916" s="391"/>
      <c r="E3916" s="390"/>
      <c r="F3916" s="391"/>
      <c r="G3916" s="390"/>
      <c r="H3916" s="394"/>
    </row>
    <row r="3917" spans="1:8" ht="15.75" customHeight="1" x14ac:dyDescent="0.25">
      <c r="A3917" s="390" t="inlineStr">
        <is>
          <t>Address line (redacted)</t>
        </is>
      </c>
      <c r="B3917" s="390"/>
      <c r="C3917" s="390"/>
      <c r="D3917" s="391"/>
      <c r="E3917" s="390"/>
      <c r="F3917" s="391"/>
      <c r="G3917" s="390"/>
      <c r="H3917" s="394"/>
    </row>
    <row r="3918" spans="1:8" ht="15.75" customHeight="1" x14ac:dyDescent="0.25">
      <c r="A3918" s="390" t="inlineStr">
        <is>
          <t>Address line (redacted)</t>
        </is>
      </c>
      <c r="B3918" s="390"/>
      <c r="C3918" s="390"/>
      <c r="D3918" s="391"/>
      <c r="E3918" s="390"/>
      <c r="F3918" s="391"/>
      <c r="G3918" s="390"/>
      <c r="H3918" s="394"/>
    </row>
    <row r="3919" spans="1:8" ht="15.75" customHeight="1" x14ac:dyDescent="0.25">
      <c r="A3919" s="390"/>
      <c r="B3919" s="390"/>
      <c r="C3919" s="390"/>
      <c r="D3919" s="391"/>
      <c r="E3919" s="390"/>
      <c r="F3919" s="391"/>
      <c r="G3919" s="390"/>
      <c r="H3919" s="394"/>
    </row>
    <row r="3920" spans="1:8" ht="15.75" customHeight="1" x14ac:dyDescent="0.25">
      <c r="A3920" s="390" t="s">
        <v>30</v>
      </c>
      <c r="B3920" s="390"/>
      <c r="C3920" s="390"/>
      <c r="D3920" s="391"/>
      <c r="E3920" s="390"/>
      <c r="F3920" s="391"/>
      <c r="G3920" s="390"/>
      <c r="H3920" s="394"/>
    </row>
    <row r="3921" spans="1:8" ht="15.75" customHeight="1" x14ac:dyDescent="0.25">
      <c r="A3921" s="390"/>
      <c r="B3921" s="390"/>
      <c r="C3921" s="390"/>
      <c r="D3921" s="391"/>
      <c r="E3921" s="390"/>
      <c r="F3921" s="391"/>
      <c r="G3921" s="390"/>
      <c r="H3921" s="394"/>
    </row>
    <row r="3922" spans="1:8" ht="15.75" customHeight="1" x14ac:dyDescent="0.25">
      <c r="A3922" s="390" t="s">
        <v>1322</v>
      </c>
      <c r="B3922" s="390"/>
      <c r="C3922" s="390"/>
      <c r="D3922" s="391"/>
      <c r="E3922" s="390"/>
      <c r="F3922" s="391"/>
      <c r="G3922" s="390"/>
      <c r="H3922" s="394"/>
    </row>
    <row r="3923" spans="1:8" ht="15.75" customHeight="1" x14ac:dyDescent="0.25">
      <c r="A3923" s="390" t="s">
        <v>1328</v>
      </c>
      <c r="B3923" s="390"/>
      <c r="C3923" s="390"/>
      <c r="D3923" s="391"/>
      <c r="E3923" s="390"/>
      <c r="F3923" s="391"/>
      <c r="G3923" s="390"/>
      <c r="H3923" s="394"/>
    </row>
    <row r="3924" spans="1:8" ht="15.75" customHeight="1" x14ac:dyDescent="0.25">
      <c r="A3924" s="390"/>
      <c r="B3924" s="390"/>
      <c r="C3924" s="390"/>
      <c r="D3924" s="391"/>
      <c r="E3924" s="390"/>
      <c r="F3924" s="391"/>
      <c r="G3924" s="390"/>
      <c r="H3924" s="394"/>
    </row>
    <row r="3925" spans="1:8" ht="15.75" customHeight="1" x14ac:dyDescent="0.25">
      <c r="A3925" s="399" t="s">
        <v>33</v>
      </c>
      <c r="B3925" s="400" t="s">
        <v>6</v>
      </c>
      <c r="C3925" s="400"/>
      <c r="D3925" s="401" t="s">
        <v>37</v>
      </c>
      <c r="E3925" s="402" t="s">
        <v>38</v>
      </c>
      <c r="F3925" s="403" t="s">
        <v>7</v>
      </c>
      <c r="G3925" s="404" t="s">
        <v>43</v>
      </c>
      <c r="H3925" s="405" t="s">
        <v>44</v>
      </c>
    </row>
    <row r="3926" spans="1:8" ht="15.75" customHeight="1" x14ac:dyDescent="0.25">
      <c r="A3926" s="406"/>
      <c r="B3926" s="407"/>
      <c r="C3926" s="393"/>
      <c r="D3926" s="410"/>
      <c r="E3926" s="408"/>
      <c r="F3926" s="409"/>
      <c r="G3926" s="410"/>
      <c r="H3926" s="411"/>
    </row>
    <row r="3927" spans="1:8" ht="15.75" customHeight="1" x14ac:dyDescent="0.25">
      <c r="A3927" s="577"/>
      <c r="B3927" s="624" t="s">
        <v>51</v>
      </c>
      <c r="C3927" s="625"/>
      <c r="D3927" s="578"/>
      <c r="E3927" s="578"/>
      <c r="F3927" s="578"/>
      <c r="G3927" s="578"/>
      <c r="H3927" s="580"/>
    </row>
    <row r="3928" spans="1:8" ht="15.75" customHeight="1" x14ac:dyDescent="0.25">
      <c r="A3928" s="412" t="s">
        <v>55</v>
      </c>
      <c r="B3928" s="644" t="s">
        <v>301</v>
      </c>
      <c r="C3928" s="418" t="s">
        <v>363</v>
      </c>
      <c r="D3928" s="415">
        <v>1</v>
      </c>
      <c r="E3928" s="415">
        <v>6</v>
      </c>
      <c r="F3928" s="415">
        <f t="shared" ref="F3928:F3930" si="98">+E3928*D3928</f>
      </c>
      <c r="G3928" s="415">
        <v>1</v>
      </c>
      <c r="H3928" s="416">
        <f t="shared" ref="H3928:H3930" si="99">+G3928*F3928</f>
      </c>
    </row>
    <row r="3929" spans="1:8" ht="15.75" customHeight="1" x14ac:dyDescent="0.25">
      <c r="A3929" s="656" t="s">
        <v>59</v>
      </c>
      <c r="B3929" s="644" t="s">
        <v>1549</v>
      </c>
      <c r="C3929" s="418" t="s">
        <v>383</v>
      </c>
      <c r="D3929" s="415">
        <v>1</v>
      </c>
      <c r="E3929" s="415">
        <v>6</v>
      </c>
      <c r="F3929" s="415">
        <f t="shared" si="98"/>
      </c>
      <c r="G3929" s="415">
        <v>1</v>
      </c>
      <c r="H3929" s="416">
        <f t="shared" si="99"/>
      </c>
    </row>
    <row r="3930" spans="1:8" ht="15.75" customHeight="1" x14ac:dyDescent="0.25">
      <c r="A3930" s="656" t="s">
        <v>67</v>
      </c>
      <c r="B3930" s="644" t="s">
        <v>1550</v>
      </c>
      <c r="C3930" s="418" t="s">
        <v>403</v>
      </c>
      <c r="D3930" s="415">
        <v>1</v>
      </c>
      <c r="E3930" s="415">
        <v>8</v>
      </c>
      <c r="F3930" s="415">
        <f t="shared" si="98"/>
      </c>
      <c r="G3930" s="415">
        <v>1</v>
      </c>
      <c r="H3930" s="416">
        <f t="shared" si="99"/>
      </c>
    </row>
    <row r="3931" spans="1:8" ht="15.75" customHeight="1" x14ac:dyDescent="0.25">
      <c r="A3931" s="656"/>
      <c r="B3931" s="578" t="s">
        <v>50</v>
      </c>
      <c r="C3931" s="578"/>
      <c r="D3931" s="415"/>
      <c r="E3931" s="415"/>
      <c r="F3931" s="415"/>
      <c r="G3931" s="415"/>
      <c r="H3931" s="416"/>
    </row>
    <row r="3932" spans="1:8" ht="14.25" customHeight="1" x14ac:dyDescent="0.25">
      <c r="A3932" s="656" t="s">
        <v>485</v>
      </c>
      <c r="B3932" s="644" t="s">
        <v>56</v>
      </c>
      <c r="C3932" s="418" t="s">
        <v>57</v>
      </c>
      <c r="D3932" s="415">
        <v>10</v>
      </c>
      <c r="E3932" s="415">
        <v>25</v>
      </c>
      <c r="F3932" s="415">
        <f t="shared" ref="F3932:F3933" si="100">+E3932*D3932</f>
      </c>
      <c r="G3932" s="415">
        <v>1</v>
      </c>
      <c r="H3932" s="416">
        <f t="shared" ref="H3932:H3933" si="101">+G3932*F3932</f>
      </c>
    </row>
    <row r="3933" spans="1:8" ht="15.75" customHeight="1" x14ac:dyDescent="0.25">
      <c r="A3933" s="656" t="s">
        <v>486</v>
      </c>
      <c r="B3933" s="644" t="s">
        <v>1477</v>
      </c>
      <c r="C3933" s="418" t="s">
        <v>61</v>
      </c>
      <c r="D3933" s="415">
        <v>10</v>
      </c>
      <c r="E3933" s="415">
        <v>25</v>
      </c>
      <c r="F3933" s="415">
        <f t="shared" si="100"/>
      </c>
      <c r="G3933" s="415">
        <v>1</v>
      </c>
      <c r="H3933" s="416">
        <f t="shared" si="101"/>
      </c>
    </row>
    <row r="3934" spans="1:8" ht="15.75" customHeight="1" x14ac:dyDescent="0.25">
      <c r="A3934" s="656"/>
      <c r="B3934" s="578" t="s">
        <v>573</v>
      </c>
      <c r="C3934" s="578"/>
      <c r="D3934" s="415"/>
      <c r="E3934" s="415"/>
      <c r="F3934" s="415"/>
      <c r="G3934" s="415"/>
      <c r="H3934" s="416"/>
    </row>
    <row r="3935" spans="1:8" ht="15.75" customHeight="1" x14ac:dyDescent="0.25">
      <c r="A3935" s="656" t="s">
        <v>490</v>
      </c>
      <c r="B3935" s="644" t="s">
        <v>80</v>
      </c>
      <c r="C3935" s="418" t="s">
        <v>77</v>
      </c>
      <c r="D3935" s="415">
        <v>2</v>
      </c>
      <c r="E3935" s="415">
        <v>5</v>
      </c>
      <c r="F3935" s="415">
        <f t="shared" ref="F3935:F3937" si="102">+E3935*D3935</f>
      </c>
      <c r="G3935" s="415">
        <v>1</v>
      </c>
      <c r="H3935" s="416">
        <f t="shared" ref="H3935:H3937" si="103">+G3935*F3935</f>
      </c>
    </row>
    <row r="3936" spans="1:8" ht="15.75" customHeight="1" x14ac:dyDescent="0.25">
      <c r="A3936" s="656" t="s">
        <v>781</v>
      </c>
      <c r="B3936" s="644" t="s">
        <v>1552</v>
      </c>
      <c r="C3936" s="418" t="s">
        <v>330</v>
      </c>
      <c r="D3936" s="415">
        <v>4</v>
      </c>
      <c r="E3936" s="415">
        <v>5</v>
      </c>
      <c r="F3936" s="415">
        <f t="shared" si="102"/>
      </c>
      <c r="G3936" s="415">
        <v>1</v>
      </c>
      <c r="H3936" s="416">
        <f t="shared" si="103"/>
      </c>
    </row>
    <row r="3937" spans="1:8" ht="15.75" customHeight="1" x14ac:dyDescent="0.25">
      <c r="A3937" s="656" t="s">
        <v>785</v>
      </c>
      <c r="B3937" s="644" t="s">
        <v>315</v>
      </c>
      <c r="C3937" s="418" t="s">
        <v>298</v>
      </c>
      <c r="D3937" s="415">
        <v>5</v>
      </c>
      <c r="E3937" s="415">
        <v>5</v>
      </c>
      <c r="F3937" s="415">
        <f t="shared" si="102"/>
      </c>
      <c r="G3937" s="415">
        <v>1</v>
      </c>
      <c r="H3937" s="416">
        <f t="shared" si="103"/>
      </c>
    </row>
    <row r="3938" spans="1:8" ht="15.75" customHeight="1" x14ac:dyDescent="0.25">
      <c r="A3938" s="629"/>
      <c r="B3938" s="448"/>
      <c r="C3938" s="390"/>
      <c r="D3938" s="427"/>
      <c r="E3938" s="427"/>
      <c r="F3938" s="428"/>
      <c r="G3938" s="427"/>
      <c r="H3938" s="429"/>
    </row>
    <row r="3939" spans="1:8" ht="15.75" customHeight="1" x14ac:dyDescent="0.25">
      <c r="A3939" s="629"/>
      <c r="B3939" s="448"/>
      <c r="C3939" s="390"/>
      <c r="D3939" s="427"/>
      <c r="E3939" s="427"/>
      <c r="F3939" s="428"/>
      <c r="G3939" s="427"/>
      <c r="H3939" s="429"/>
    </row>
    <row r="3940" spans="1:8" ht="15.75" customHeight="1" x14ac:dyDescent="0.25">
      <c r="A3940" s="629"/>
      <c r="B3940" s="448"/>
      <c r="C3940" s="390"/>
      <c r="D3940" s="427"/>
      <c r="E3940" s="427"/>
      <c r="F3940" s="428"/>
      <c r="G3940" s="427"/>
      <c r="H3940" s="429"/>
    </row>
    <row r="3941" spans="1:8" ht="15.75" customHeight="1" x14ac:dyDescent="0.25">
      <c r="A3941" s="430"/>
      <c r="B3941" s="409"/>
      <c r="C3941" s="393"/>
      <c r="D3941" s="427"/>
      <c r="E3941" s="427"/>
      <c r="F3941" s="428"/>
      <c r="G3941" s="431"/>
      <c r="H3941" s="429"/>
    </row>
    <row r="3942" spans="1:8" ht="15.75" customHeight="1" x14ac:dyDescent="0.25">
      <c r="A3942" s="432"/>
      <c r="B3942" s="433"/>
      <c r="C3942" s="434" t="s">
        <v>85</v>
      </c>
      <c r="D3942" s="436">
        <f>SUM(D3928:D3941)</f>
      </c>
      <c r="E3942" s="436"/>
      <c r="F3942" s="436"/>
      <c r="G3942" s="437"/>
      <c r="H3942" s="623">
        <f>SUM(H3928:H3941)</f>
      </c>
    </row>
    <row r="3943" spans="1:8" ht="15.75" customHeight="1" x14ac:dyDescent="0.25">
      <c r="A3943" s="439"/>
      <c r="B3943" s="440"/>
      <c r="C3943" s="440"/>
      <c r="D3943" s="441"/>
      <c r="E3943" s="440"/>
      <c r="F3943" s="442"/>
      <c r="G3943" s="443"/>
      <c r="H3943" s="444"/>
    </row>
    <row r="3944" spans="1:8" ht="15.75" customHeight="1" x14ac:dyDescent="0.25">
      <c r="A3944" s="392"/>
      <c r="B3944" s="391"/>
      <c r="C3944" s="391"/>
      <c r="D3944" s="391"/>
      <c r="E3944" s="390"/>
      <c r="F3944" s="392"/>
      <c r="G3944" s="390"/>
      <c r="H3944" s="394"/>
    </row>
    <row r="3945" spans="1:8" ht="15.75" customHeight="1" x14ac:dyDescent="0.25">
      <c r="A3945" s="445"/>
      <c r="B3945" s="445"/>
      <c r="C3945" s="445"/>
      <c r="D3945" s="446" t="s">
        <v>97</v>
      </c>
      <c r="E3945" s="445" t="s">
        <v>98</v>
      </c>
      <c r="F3945" s="445"/>
      <c r="G3945" s="390"/>
      <c r="H3945" s="394"/>
    </row>
    <row r="3946" spans="1:8" ht="15.75" customHeight="1" x14ac:dyDescent="0.25">
      <c r="A3946" s="390"/>
      <c r="B3946" s="390"/>
      <c r="C3946" s="390"/>
      <c r="D3946" s="391"/>
      <c r="E3946" s="390"/>
      <c r="F3946" s="390"/>
      <c r="G3946" s="390"/>
      <c r="H3946" s="394"/>
    </row>
    <row r="3947" spans="1:8" ht="15.75" customHeight="1" x14ac:dyDescent="0.25">
      <c r="A3947" s="390"/>
      <c r="B3947" s="390"/>
      <c r="C3947" s="390"/>
      <c r="D3947" s="391"/>
      <c r="E3947" s="390"/>
      <c r="F3947" s="390"/>
      <c r="G3947" s="390"/>
      <c r="H3947" s="394"/>
    </row>
    <row r="3948" spans="1:8" ht="15.75" customHeight="1" x14ac:dyDescent="0.25">
      <c r="A3948" s="445"/>
      <c r="B3948" s="445"/>
      <c r="C3948" s="445"/>
      <c r="D3948" s="446"/>
      <c r="E3948" s="445" t="s">
        <v>99</v>
      </c>
      <c r="F3948" s="445"/>
      <c r="G3948" s="390"/>
      <c r="H3948" s="394"/>
    </row>
    <row r="3949" spans="1:8" ht="15.75" customHeight="1" x14ac:dyDescent="0.25">
      <c r="D3949" s="4"/>
      <c r="H3949" s="4"/>
    </row>
    <row r="3950" spans="1:8" ht="15.75" customHeight="1" x14ac:dyDescent="0.25">
      <c r="D3950" s="4"/>
      <c r="H3950" s="4"/>
    </row>
    <row r="3951" spans="1:8" ht="15.75" customHeight="1" x14ac:dyDescent="0.25">
      <c r="D3951" s="4"/>
      <c r="H3951" s="4"/>
    </row>
    <row r="3952" spans="1:8" ht="15.75" customHeight="1" x14ac:dyDescent="0.25">
      <c r="D3952" s="4"/>
      <c r="H3952" s="4"/>
    </row>
    <row r="3953" spans="1:8" ht="15.75" customHeight="1" x14ac:dyDescent="0.25">
      <c r="D3953" s="4"/>
      <c r="H3953" s="4"/>
    </row>
    <row r="3954" spans="1:8" ht="15.75" customHeight="1" x14ac:dyDescent="0.25">
      <c r="D3954" s="4"/>
      <c r="H3954" s="4"/>
    </row>
    <row r="3955" spans="1:8" ht="15.75" customHeight="1" x14ac:dyDescent="0.25">
      <c r="D3955" s="4"/>
      <c r="H3955" s="4"/>
    </row>
    <row r="3956" spans="1:8" ht="15.75" customHeight="1" x14ac:dyDescent="0.25">
      <c r="D3956" s="4"/>
      <c r="H3956" s="4"/>
    </row>
    <row r="3957" spans="1:8" ht="15.75" customHeight="1" x14ac:dyDescent="0.25">
      <c r="A3957" s="398" t="s">
        <v>14</v>
      </c>
      <c r="B3957" s="398"/>
      <c r="C3957" s="398"/>
      <c r="D3957" s="398"/>
      <c r="E3957" s="398"/>
      <c r="F3957" s="398"/>
      <c r="G3957" s="398"/>
      <c r="H3957" s="398"/>
    </row>
    <row r="3958" spans="1:8" ht="15.75" customHeight="1" x14ac:dyDescent="0.25">
      <c r="A3958" s="390"/>
      <c r="B3958" s="390"/>
      <c r="C3958" s="390"/>
      <c r="D3958" s="391"/>
      <c r="E3958" s="390"/>
      <c r="F3958" s="390"/>
      <c r="G3958" s="390"/>
      <c r="H3958" s="398"/>
    </row>
    <row r="3959" spans="1:8" ht="15.75" customHeight="1" x14ac:dyDescent="0.25">
      <c r="A3959" s="390"/>
      <c r="B3959" s="390"/>
      <c r="C3959" s="391"/>
      <c r="D3959" s="392"/>
      <c r="E3959" s="393"/>
      <c r="F3959" s="393"/>
      <c r="G3959" s="393"/>
      <c r="H3959" s="394"/>
    </row>
    <row r="3960" spans="1:8" ht="15.75" customHeight="1" x14ac:dyDescent="0.25">
      <c r="A3960" s="390"/>
      <c r="B3960" s="390"/>
      <c r="C3960" s="390"/>
      <c r="D3960" s="391"/>
      <c r="E3960" s="390"/>
      <c r="F3960" s="395" t="s">
        <v>18</v>
      </c>
      <c r="G3960" s="396" t="s">
        <v>683</v>
      </c>
      <c r="H3960" s="397"/>
    </row>
    <row r="3961" spans="1:8" ht="15.75" customHeight="1" x14ac:dyDescent="0.25">
      <c r="A3961" s="390" t="s">
        <v>20</v>
      </c>
      <c r="B3961" s="390"/>
      <c r="C3961" s="390"/>
      <c r="D3961" s="391"/>
      <c r="E3961" s="390"/>
      <c r="F3961" s="395" t="s">
        <v>21</v>
      </c>
      <c r="G3961" s="390" t="s">
        <v>1547</v>
      </c>
      <c r="H3961" s="391"/>
    </row>
    <row r="3962" spans="1:8" ht="15.75" customHeight="1" x14ac:dyDescent="0.25">
      <c r="A3962" s="390" t="inlineStr">
        <is>
          <t>Dealer-002</t>
        </is>
      </c>
      <c r="B3962" s="390"/>
      <c r="C3962" s="390"/>
      <c r="D3962" s="391"/>
      <c r="E3962" s="395"/>
      <c r="F3962" s="390"/>
      <c r="G3962" s="390"/>
      <c r="H3962" s="394"/>
    </row>
    <row r="3963" spans="1:8" ht="15.75" customHeight="1" x14ac:dyDescent="0.25">
      <c r="A3963" s="390" t="inlineStr">
        <is>
          <t>Address line (redacted)</t>
        </is>
      </c>
      <c r="B3963" s="390"/>
      <c r="C3963" s="390"/>
      <c r="D3963" s="398"/>
      <c r="E3963" s="390"/>
      <c r="F3963" s="391"/>
      <c r="G3963" s="390"/>
      <c r="H3963" s="394"/>
    </row>
    <row r="3964" spans="1:8" ht="15.75" customHeight="1" x14ac:dyDescent="0.25">
      <c r="A3964" s="390" t="inlineStr">
        <is>
          <t>Address line (redacted)</t>
        </is>
      </c>
      <c r="B3964" s="390"/>
      <c r="C3964" s="390"/>
      <c r="D3964" s="398"/>
      <c r="E3964" s="390"/>
      <c r="F3964" s="391"/>
      <c r="G3964" s="390"/>
      <c r="H3964" s="394"/>
    </row>
    <row r="3965" spans="1:8" ht="15.75" customHeight="1" x14ac:dyDescent="0.25">
      <c r="A3965" s="447"/>
      <c r="B3965" s="390"/>
      <c r="C3965" s="390"/>
      <c r="D3965" s="391"/>
      <c r="E3965" s="390"/>
      <c r="F3965" s="391"/>
      <c r="G3965" s="390"/>
      <c r="H3965" s="394"/>
    </row>
    <row r="3966" spans="1:8" ht="15.75" customHeight="1" x14ac:dyDescent="0.25">
      <c r="A3966" s="390" t="s">
        <v>30</v>
      </c>
      <c r="B3966" s="390"/>
      <c r="C3966" s="390"/>
      <c r="D3966" s="391"/>
      <c r="E3966" s="390"/>
      <c r="F3966" s="391"/>
      <c r="G3966" s="390"/>
      <c r="H3966" s="394"/>
    </row>
    <row r="3967" spans="1:8" ht="15.75" customHeight="1" x14ac:dyDescent="0.25">
      <c r="A3967" s="390"/>
      <c r="B3967" s="390"/>
      <c r="C3967" s="390"/>
      <c r="D3967" s="391"/>
      <c r="E3967" s="390"/>
      <c r="F3967" s="391"/>
      <c r="G3967" s="390"/>
      <c r="H3967" s="394"/>
    </row>
    <row r="3968" spans="1:8" ht="15.75" customHeight="1" x14ac:dyDescent="0.25">
      <c r="A3968" s="390" t="s">
        <v>31</v>
      </c>
      <c r="B3968" s="390"/>
      <c r="C3968" s="390"/>
      <c r="D3968" s="391"/>
      <c r="E3968" s="390"/>
      <c r="F3968" s="391"/>
      <c r="G3968" s="390"/>
      <c r="H3968" s="394"/>
    </row>
    <row r="3969" spans="1:8" ht="15.75" customHeight="1" x14ac:dyDescent="0.25">
      <c r="A3969" s="390" t="s">
        <v>32</v>
      </c>
      <c r="B3969" s="390"/>
      <c r="C3969" s="390"/>
      <c r="D3969" s="391"/>
      <c r="E3969" s="390"/>
      <c r="F3969" s="391"/>
      <c r="G3969" s="390"/>
      <c r="H3969" s="394"/>
    </row>
    <row r="3970" spans="1:8" ht="15.75" customHeight="1" x14ac:dyDescent="0.25">
      <c r="A3970" s="390"/>
      <c r="B3970" s="390"/>
      <c r="C3970" s="390"/>
      <c r="D3970" s="391"/>
      <c r="E3970" s="390"/>
      <c r="F3970" s="391"/>
      <c r="G3970" s="390"/>
      <c r="H3970" s="394"/>
    </row>
    <row r="3971" spans="1:8" ht="15.75" customHeight="1" x14ac:dyDescent="0.25">
      <c r="A3971" s="399" t="s">
        <v>33</v>
      </c>
      <c r="B3971" s="400" t="s">
        <v>6</v>
      </c>
      <c r="C3971" s="400"/>
      <c r="D3971" s="401" t="s">
        <v>37</v>
      </c>
      <c r="E3971" s="402" t="s">
        <v>38</v>
      </c>
      <c r="F3971" s="403" t="s">
        <v>7</v>
      </c>
      <c r="G3971" s="404" t="s">
        <v>43</v>
      </c>
      <c r="H3971" s="405" t="s">
        <v>44</v>
      </c>
    </row>
    <row r="3972" spans="1:8" ht="15.75" customHeight="1" x14ac:dyDescent="0.25">
      <c r="A3972" s="406"/>
      <c r="B3972" s="407"/>
      <c r="C3972" s="393"/>
      <c r="D3972" s="408"/>
      <c r="E3972" s="408"/>
      <c r="F3972" s="409"/>
      <c r="G3972" s="410"/>
      <c r="H3972" s="411"/>
    </row>
    <row r="3973" spans="1:8" ht="15.75" customHeight="1" x14ac:dyDescent="0.25">
      <c r="A3973" s="412"/>
      <c r="B3973" s="578" t="s">
        <v>573</v>
      </c>
      <c r="C3973" s="578"/>
      <c r="D3973" s="415"/>
      <c r="E3973" s="415"/>
      <c r="F3973" s="415"/>
      <c r="G3973" s="415"/>
      <c r="H3973" s="416"/>
    </row>
    <row r="3974" spans="1:8" ht="15.75" customHeight="1" x14ac:dyDescent="0.25">
      <c r="A3974" s="412" t="s">
        <v>55</v>
      </c>
      <c r="B3974" s="644" t="s">
        <v>140</v>
      </c>
      <c r="C3974" s="418" t="s">
        <v>337</v>
      </c>
      <c r="D3974" s="415">
        <v>2</v>
      </c>
      <c r="E3974" s="415">
        <v>5</v>
      </c>
      <c r="F3974" s="415">
        <f t="shared" ref="F3974:F3975" si="104">+E3974*D3974</f>
      </c>
      <c r="G3974" s="415">
        <v>1</v>
      </c>
      <c r="H3974" s="416">
        <f t="shared" ref="H3974:H3975" si="105">+G3974*F3974</f>
      </c>
    </row>
    <row r="3975" spans="1:8" ht="15.75" customHeight="1" x14ac:dyDescent="0.25">
      <c r="A3975" s="412" t="s">
        <v>59</v>
      </c>
      <c r="B3975" s="644" t="s">
        <v>144</v>
      </c>
      <c r="C3975" s="418" t="s">
        <v>340</v>
      </c>
      <c r="D3975" s="415">
        <v>1</v>
      </c>
      <c r="E3975" s="415">
        <v>5</v>
      </c>
      <c r="F3975" s="415">
        <f t="shared" si="104"/>
      </c>
      <c r="G3975" s="415">
        <v>1</v>
      </c>
      <c r="H3975" s="416">
        <f t="shared" si="105"/>
      </c>
    </row>
    <row r="3976" spans="1:8" ht="15.75" customHeight="1" x14ac:dyDescent="0.25">
      <c r="A3976" s="412"/>
      <c r="B3976" s="578" t="s">
        <v>50</v>
      </c>
      <c r="C3976" s="578"/>
      <c r="D3976" s="415"/>
      <c r="E3976" s="415"/>
      <c r="F3976" s="415"/>
      <c r="G3976" s="415"/>
      <c r="H3976" s="416"/>
    </row>
    <row r="3977" spans="1:8" ht="15.75" customHeight="1" x14ac:dyDescent="0.25">
      <c r="A3977" s="412" t="s">
        <v>67</v>
      </c>
      <c r="B3977" s="644" t="s">
        <v>1477</v>
      </c>
      <c r="C3977" s="418" t="s">
        <v>61</v>
      </c>
      <c r="D3977" s="415">
        <v>7</v>
      </c>
      <c r="E3977" s="415">
        <v>25</v>
      </c>
      <c r="F3977" s="415">
        <f>+E3977*D3977</f>
      </c>
      <c r="G3977" s="415">
        <v>1</v>
      </c>
      <c r="H3977" s="416">
        <f>+G3977*F3977</f>
      </c>
    </row>
    <row r="3978" spans="1:8" ht="15.75" customHeight="1" x14ac:dyDescent="0.25">
      <c r="A3978" s="412"/>
      <c r="B3978" s="644"/>
      <c r="C3978" s="418"/>
      <c r="D3978" s="415"/>
      <c r="E3978" s="415"/>
      <c r="F3978" s="415"/>
      <c r="G3978" s="415"/>
      <c r="H3978" s="416"/>
    </row>
    <row r="3979" spans="1:8" ht="15.75" customHeight="1" x14ac:dyDescent="0.25">
      <c r="A3979" s="412"/>
      <c r="B3979" s="578" t="s">
        <v>674</v>
      </c>
      <c r="C3979" s="578"/>
      <c r="D3979" s="415"/>
      <c r="E3979" s="415"/>
      <c r="F3979" s="415"/>
      <c r="G3979" s="415"/>
      <c r="H3979" s="416"/>
    </row>
    <row r="3980" spans="1:8" ht="15.75" customHeight="1" x14ac:dyDescent="0.25">
      <c r="A3980" s="412" t="s">
        <v>485</v>
      </c>
      <c r="B3980" s="417" t="s">
        <v>1548</v>
      </c>
      <c r="C3980" s="418"/>
      <c r="D3980" s="415">
        <v>5</v>
      </c>
      <c r="E3980" s="415">
        <v>2</v>
      </c>
      <c r="F3980" s="415">
        <f>+E3980*D3980</f>
      </c>
      <c r="G3980" s="415">
        <v>1</v>
      </c>
      <c r="H3980" s="416">
        <f>+G3980*F3980</f>
      </c>
    </row>
    <row r="3981" spans="1:8" ht="15.75" customHeight="1" x14ac:dyDescent="0.25">
      <c r="A3981" s="430"/>
      <c r="B3981" s="409"/>
      <c r="C3981" s="393"/>
      <c r="D3981" s="427"/>
      <c r="E3981" s="427"/>
      <c r="F3981" s="428"/>
      <c r="G3981" s="431"/>
      <c r="H3981" s="429"/>
    </row>
    <row r="3982" spans="1:8" ht="15.75" customHeight="1" x14ac:dyDescent="0.25">
      <c r="A3982" s="432"/>
      <c r="B3982" s="433"/>
      <c r="C3982" s="434" t="s">
        <v>85</v>
      </c>
      <c r="D3982" s="435">
        <f>SUM(D3974:D3981)</f>
      </c>
      <c r="E3982" s="435"/>
      <c r="F3982" s="435"/>
      <c r="G3982" s="652"/>
      <c r="H3982" s="653">
        <f>SUM(H3974:H3981)</f>
      </c>
    </row>
    <row r="3983" spans="1:8" ht="15.75" customHeight="1" x14ac:dyDescent="0.25">
      <c r="A3983" s="439"/>
      <c r="B3983" s="440"/>
      <c r="C3983" s="440"/>
      <c r="D3983" s="441"/>
      <c r="E3983" s="440"/>
      <c r="F3983" s="442"/>
      <c r="G3983" s="443"/>
      <c r="H3983" s="444"/>
    </row>
    <row r="3984" spans="1:8" ht="15.75" customHeight="1" x14ac:dyDescent="0.25">
      <c r="A3984" s="392"/>
      <c r="B3984" s="391"/>
      <c r="C3984" s="391"/>
      <c r="D3984" s="391"/>
      <c r="E3984" s="390"/>
      <c r="F3984" s="392"/>
      <c r="G3984" s="390"/>
      <c r="H3984" s="394"/>
    </row>
    <row r="3985" spans="1:8" ht="15.75" customHeight="1" x14ac:dyDescent="0.25">
      <c r="A3985" s="445"/>
      <c r="B3985" s="445"/>
      <c r="C3985" s="445"/>
      <c r="D3985" s="446" t="s">
        <v>97</v>
      </c>
      <c r="E3985" s="445" t="s">
        <v>98</v>
      </c>
      <c r="F3985" s="445"/>
      <c r="G3985" s="390"/>
      <c r="H3985" s="394"/>
    </row>
    <row r="3986" spans="1:8" ht="15.75" customHeight="1" x14ac:dyDescent="0.25">
      <c r="A3986" s="390"/>
      <c r="B3986" s="390"/>
      <c r="C3986" s="390"/>
      <c r="D3986" s="391"/>
      <c r="E3986" s="390"/>
      <c r="F3986" s="390"/>
      <c r="G3986" s="390"/>
      <c r="H3986" s="394"/>
    </row>
    <row r="3987" spans="1:8" ht="15.75" customHeight="1" x14ac:dyDescent="0.25">
      <c r="A3987" s="390"/>
      <c r="B3987" s="390"/>
      <c r="C3987" s="390"/>
      <c r="D3987" s="391"/>
      <c r="E3987" s="390"/>
      <c r="F3987" s="390"/>
      <c r="G3987" s="390"/>
      <c r="H3987" s="394"/>
    </row>
    <row r="3988" spans="1:8" ht="15.75" customHeight="1" x14ac:dyDescent="0.25">
      <c r="A3988" s="445"/>
      <c r="B3988" s="445"/>
      <c r="C3988" s="445"/>
      <c r="D3988" s="446"/>
      <c r="E3988" s="445" t="s">
        <v>99</v>
      </c>
      <c r="F3988" s="445"/>
      <c r="G3988" s="390"/>
      <c r="H3988" s="394"/>
    </row>
    <row r="3989" spans="1:8" ht="15.75" customHeight="1" x14ac:dyDescent="0.25">
      <c r="D3989" s="4"/>
      <c r="H3989" s="4"/>
    </row>
    <row r="3990" spans="1:8" ht="15.75" customHeight="1" x14ac:dyDescent="0.25">
      <c r="D3990" s="4"/>
      <c r="H3990" s="4"/>
    </row>
    <row r="3991" spans="1:8" ht="15.75" customHeight="1" x14ac:dyDescent="0.25">
      <c r="D3991" s="4"/>
      <c r="H3991" s="4"/>
    </row>
    <row r="3992" spans="1:8" ht="15.75" customHeight="1" x14ac:dyDescent="0.25">
      <c r="D3992" s="4"/>
      <c r="H3992" s="4"/>
    </row>
    <row r="3993" spans="1:8" ht="15.75" customHeight="1" x14ac:dyDescent="0.25">
      <c r="D3993" s="4"/>
      <c r="H3993" s="4"/>
    </row>
    <row r="3994" spans="1:8" ht="15.75" customHeight="1" x14ac:dyDescent="0.25">
      <c r="D3994" s="4"/>
      <c r="H3994" s="4"/>
    </row>
    <row r="3995" spans="1:8" ht="15.75" customHeight="1" x14ac:dyDescent="0.25">
      <c r="D3995" s="4"/>
      <c r="H3995" s="4"/>
    </row>
    <row r="3996" spans="1:8" ht="15.75" customHeight="1" x14ac:dyDescent="0.25">
      <c r="D3996" s="4"/>
      <c r="H3996" s="4"/>
    </row>
    <row r="3997" spans="1:8" ht="15.75" customHeight="1" x14ac:dyDescent="0.25">
      <c r="D3997" s="4"/>
      <c r="H3997" s="4"/>
    </row>
    <row r="3998" spans="1:8" ht="15.75" customHeight="1" x14ac:dyDescent="0.25">
      <c r="D3998" s="4"/>
      <c r="H3998" s="4"/>
    </row>
    <row r="3999" spans="1:8" ht="15.75" customHeight="1" x14ac:dyDescent="0.25">
      <c r="D3999" s="4"/>
      <c r="H3999" s="4"/>
    </row>
    <row r="4000" spans="1:8" ht="15.75" customHeight="1" x14ac:dyDescent="0.25">
      <c r="D4000" s="4"/>
      <c r="H4000" s="4"/>
    </row>
    <row r="4001" spans="1:8" ht="15.75" customHeight="1" x14ac:dyDescent="0.25">
      <c r="D4001" s="4"/>
      <c r="H4001" s="4"/>
    </row>
    <row r="4002" spans="1:8" ht="15.75" customHeight="1" x14ac:dyDescent="0.25">
      <c r="D4002" s="4"/>
      <c r="H4002" s="4"/>
    </row>
    <row r="4003" spans="1:8" ht="15.75" customHeight="1" x14ac:dyDescent="0.25">
      <c r="A4003" s="392" t="s">
        <v>14</v>
      </c>
      <c r="B4003" s="391"/>
      <c r="C4003" s="391"/>
      <c r="D4003" s="391"/>
      <c r="E4003" s="391"/>
      <c r="F4003" s="391"/>
      <c r="G4003" s="391"/>
      <c r="H4003" s="394"/>
    </row>
    <row r="4004" spans="1:8" ht="15.75" customHeight="1" x14ac:dyDescent="0.25">
      <c r="A4004" s="392"/>
      <c r="B4004" s="391"/>
      <c r="C4004" s="391"/>
      <c r="D4004" s="391"/>
      <c r="E4004" s="390"/>
      <c r="F4004" s="392"/>
      <c r="G4004" s="390"/>
      <c r="H4004" s="394"/>
    </row>
    <row r="4005" spans="1:8" ht="15.75" customHeight="1" x14ac:dyDescent="0.25">
      <c r="A4005" s="392"/>
      <c r="B4005" s="391"/>
      <c r="C4005" s="391"/>
      <c r="D4005" s="391"/>
      <c r="E4005" s="390"/>
      <c r="F4005" s="392"/>
      <c r="G4005" s="390"/>
      <c r="H4005" s="394"/>
    </row>
    <row r="4006" spans="1:8" ht="15.75" customHeight="1" x14ac:dyDescent="0.25">
      <c r="A4006" s="390" t="s">
        <v>20</v>
      </c>
      <c r="B4006" s="390"/>
      <c r="C4006" s="390"/>
      <c r="D4006" s="391"/>
      <c r="E4006" s="390"/>
      <c r="F4006" s="392"/>
      <c r="G4006" s="390"/>
      <c r="H4006" s="394"/>
    </row>
    <row r="4007" spans="1:8" ht="15.75" customHeight="1" x14ac:dyDescent="0.25">
      <c r="A4007" s="390" t="inlineStr">
        <is>
          <t>Dealer-009</t>
        </is>
      </c>
      <c r="B4007" s="390"/>
      <c r="C4007" s="390" t="inlineStr">
        <is>
          <t>ATTN: Contact-001</t>
        </is>
      </c>
      <c r="D4007" s="391"/>
      <c r="E4007" s="390"/>
      <c r="F4007" s="395" t="s">
        <v>18</v>
      </c>
      <c r="G4007" s="390" t="s">
        <v>683</v>
      </c>
      <c r="H4007" s="394"/>
    </row>
    <row r="4008" spans="1:8" ht="15.75" customHeight="1" x14ac:dyDescent="0.25">
      <c r="A4008" s="390" t="inlineStr">
        <is>
          <t>Address line (redacted)</t>
        </is>
      </c>
      <c r="B4008" s="390"/>
      <c r="C4008" s="390"/>
      <c r="D4008" s="391"/>
      <c r="E4008" s="390"/>
      <c r="F4008" s="393" t="s">
        <v>21</v>
      </c>
      <c r="G4008" s="390" t="s">
        <v>1565</v>
      </c>
      <c r="H4008" s="394"/>
    </row>
    <row r="4009" spans="1:8" ht="15.75" customHeight="1" x14ac:dyDescent="0.25">
      <c r="A4009" s="390" t="inlineStr">
        <is>
          <t>Address line (redacted)</t>
        </is>
      </c>
      <c r="B4009" s="390"/>
      <c r="C4009" s="390"/>
      <c r="D4009" s="391"/>
      <c r="E4009" s="390"/>
      <c r="F4009" s="391"/>
      <c r="G4009" s="390"/>
      <c r="H4009" s="394"/>
    </row>
    <row r="4010" spans="1:8" ht="15.75" customHeight="1" x14ac:dyDescent="0.25">
      <c r="A4010" s="390"/>
      <c r="B4010" s="390"/>
      <c r="C4010" s="393"/>
      <c r="D4010" s="391"/>
      <c r="E4010" s="390"/>
      <c r="F4010" s="391"/>
      <c r="G4010" s="390"/>
      <c r="H4010" s="394"/>
    </row>
    <row r="4011" spans="1:8" ht="15.75" customHeight="1" x14ac:dyDescent="0.25">
      <c r="A4011" s="390"/>
      <c r="B4011" s="390"/>
      <c r="C4011" s="390"/>
      <c r="D4011" s="391"/>
      <c r="E4011" s="390"/>
      <c r="F4011" s="391"/>
      <c r="G4011" s="390"/>
      <c r="H4011" s="394"/>
    </row>
    <row r="4012" spans="1:8" ht="15.75" customHeight="1" x14ac:dyDescent="0.25">
      <c r="A4012" s="390" t="s">
        <v>30</v>
      </c>
      <c r="B4012" s="390"/>
      <c r="C4012" s="390"/>
      <c r="D4012" s="391"/>
      <c r="E4012" s="390"/>
      <c r="F4012" s="391"/>
      <c r="G4012" s="390"/>
      <c r="H4012" s="394"/>
    </row>
    <row r="4013" spans="1:8" ht="15.75" customHeight="1" x14ac:dyDescent="0.25">
      <c r="A4013" s="390"/>
      <c r="B4013" s="390"/>
      <c r="C4013" s="390"/>
      <c r="D4013" s="391"/>
      <c r="E4013" s="390"/>
      <c r="F4013" s="391"/>
      <c r="G4013" s="390"/>
      <c r="H4013" s="394"/>
    </row>
    <row r="4014" spans="1:8" ht="15.75" customHeight="1" x14ac:dyDescent="0.25">
      <c r="A4014" s="390" t="s">
        <v>1322</v>
      </c>
      <c r="B4014" s="390"/>
      <c r="C4014" s="390"/>
      <c r="D4014" s="391"/>
      <c r="E4014" s="390"/>
      <c r="F4014" s="391"/>
      <c r="G4014" s="390"/>
      <c r="H4014" s="394"/>
    </row>
    <row r="4015" spans="1:8" ht="15.75" customHeight="1" x14ac:dyDescent="0.25">
      <c r="A4015" s="390" t="s">
        <v>1328</v>
      </c>
      <c r="B4015" s="390"/>
      <c r="C4015" s="390"/>
      <c r="D4015" s="391"/>
      <c r="E4015" s="390"/>
      <c r="F4015" s="391"/>
      <c r="G4015" s="390"/>
      <c r="H4015" s="394"/>
    </row>
    <row r="4016" spans="1:8" ht="15.75" customHeight="1" x14ac:dyDescent="0.25">
      <c r="A4016" s="390"/>
      <c r="B4016" s="390"/>
      <c r="C4016" s="390"/>
      <c r="D4016" s="391"/>
      <c r="E4016" s="390"/>
      <c r="F4016" s="391"/>
      <c r="G4016" s="390"/>
      <c r="H4016" s="394"/>
    </row>
    <row r="4017" spans="1:8" ht="15.75" customHeight="1" x14ac:dyDescent="0.25">
      <c r="A4017" s="399" t="s">
        <v>33</v>
      </c>
      <c r="B4017" s="400" t="s">
        <v>6</v>
      </c>
      <c r="C4017" s="400"/>
      <c r="D4017" s="401" t="s">
        <v>37</v>
      </c>
      <c r="E4017" s="402" t="s">
        <v>1309</v>
      </c>
      <c r="F4017" s="609" t="s">
        <v>7</v>
      </c>
      <c r="G4017" s="400" t="s">
        <v>43</v>
      </c>
      <c r="H4017" s="405" t="s">
        <v>44</v>
      </c>
    </row>
    <row r="4018" spans="1:8" ht="15.75" customHeight="1" x14ac:dyDescent="0.25">
      <c r="A4018" s="610"/>
      <c r="B4018" s="611"/>
      <c r="C4018" s="611"/>
      <c r="D4018" s="612"/>
      <c r="E4018" s="613"/>
      <c r="F4018" s="614"/>
      <c r="G4018" s="611"/>
      <c r="H4018" s="615"/>
    </row>
    <row r="4019" spans="1:8" ht="15.75" customHeight="1" x14ac:dyDescent="0.25">
      <c r="A4019" s="581"/>
      <c r="B4019" s="578" t="s">
        <v>50</v>
      </c>
      <c r="C4019" s="578"/>
      <c r="D4019" s="415"/>
      <c r="E4019" s="415"/>
      <c r="F4019" s="415"/>
      <c r="G4019" s="415"/>
      <c r="H4019" s="416"/>
    </row>
    <row r="4020" spans="1:8" ht="15.75" customHeight="1" x14ac:dyDescent="0.25">
      <c r="A4020" s="581" t="s">
        <v>55</v>
      </c>
      <c r="B4020" s="644" t="s">
        <v>56</v>
      </c>
      <c r="C4020" s="418" t="s">
        <v>57</v>
      </c>
      <c r="D4020" s="415">
        <f>200/25</f>
      </c>
      <c r="E4020" s="415">
        <v>25</v>
      </c>
      <c r="F4020" s="415">
        <f t="shared" ref="F4020:F4022" si="106">+E4020*D4020</f>
      </c>
      <c r="G4020" s="415">
        <v>1</v>
      </c>
      <c r="H4020" s="416">
        <f t="shared" ref="H4020:H4022" si="107">+G4020*F4020</f>
      </c>
    </row>
    <row r="4021" spans="1:8" ht="15.75" customHeight="1" x14ac:dyDescent="0.25">
      <c r="A4021" s="581" t="s">
        <v>59</v>
      </c>
      <c r="B4021" s="644" t="s">
        <v>1477</v>
      </c>
      <c r="C4021" s="418" t="s">
        <v>61</v>
      </c>
      <c r="D4021" s="415">
        <v>16</v>
      </c>
      <c r="E4021" s="415">
        <v>25</v>
      </c>
      <c r="F4021" s="415">
        <f t="shared" si="106"/>
      </c>
      <c r="G4021" s="415">
        <v>1</v>
      </c>
      <c r="H4021" s="416">
        <f t="shared" si="107"/>
      </c>
    </row>
    <row r="4022" spans="1:8" ht="15.75" customHeight="1" x14ac:dyDescent="0.25">
      <c r="A4022" s="581" t="s">
        <v>67</v>
      </c>
      <c r="B4022" s="644" t="s">
        <v>68</v>
      </c>
      <c r="C4022" s="418" t="s">
        <v>69</v>
      </c>
      <c r="D4022" s="415">
        <v>12</v>
      </c>
      <c r="E4022" s="415">
        <v>25</v>
      </c>
      <c r="F4022" s="415">
        <f t="shared" si="106"/>
      </c>
      <c r="G4022" s="415">
        <v>1</v>
      </c>
      <c r="H4022" s="416">
        <f t="shared" si="107"/>
      </c>
    </row>
    <row r="4023" spans="1:8" ht="15.75" customHeight="1" x14ac:dyDescent="0.25">
      <c r="A4023" s="581"/>
      <c r="B4023" s="578" t="s">
        <v>573</v>
      </c>
      <c r="C4023" s="578"/>
      <c r="D4023" s="415"/>
      <c r="E4023" s="415"/>
      <c r="F4023" s="415"/>
      <c r="G4023" s="415"/>
      <c r="H4023" s="589"/>
    </row>
    <row r="4024" spans="1:8" ht="15.75" customHeight="1" x14ac:dyDescent="0.25">
      <c r="A4024" s="581" t="s">
        <v>485</v>
      </c>
      <c r="B4024" s="644" t="s">
        <v>80</v>
      </c>
      <c r="C4024" s="418" t="s">
        <v>77</v>
      </c>
      <c r="D4024" s="415">
        <v>2</v>
      </c>
      <c r="E4024" s="415">
        <v>5</v>
      </c>
      <c r="F4024" s="415">
        <f t="shared" ref="F4024:F4030" si="108">+E4024*D4024</f>
      </c>
      <c r="G4024" s="415">
        <v>1</v>
      </c>
      <c r="H4024" s="589">
        <f t="shared" ref="H4024:H4030" si="109">+G4024*F4024</f>
      </c>
    </row>
    <row r="4025" spans="1:8" ht="15.75" customHeight="1" x14ac:dyDescent="0.25">
      <c r="A4025" s="581" t="s">
        <v>486</v>
      </c>
      <c r="B4025" s="644" t="s">
        <v>1569</v>
      </c>
      <c r="C4025" s="418" t="s">
        <v>87</v>
      </c>
      <c r="D4025" s="415">
        <v>4</v>
      </c>
      <c r="E4025" s="415">
        <v>5</v>
      </c>
      <c r="F4025" s="415">
        <f t="shared" si="108"/>
      </c>
      <c r="G4025" s="415">
        <v>1</v>
      </c>
      <c r="H4025" s="589">
        <f t="shared" si="109"/>
      </c>
    </row>
    <row r="4026" spans="1:8" ht="15.75" customHeight="1" x14ac:dyDescent="0.25">
      <c r="A4026" s="581" t="s">
        <v>489</v>
      </c>
      <c r="B4026" s="644" t="s">
        <v>315</v>
      </c>
      <c r="C4026" s="418" t="s">
        <v>298</v>
      </c>
      <c r="D4026" s="415">
        <v>2</v>
      </c>
      <c r="E4026" s="415">
        <v>5</v>
      </c>
      <c r="F4026" s="415">
        <f t="shared" si="108"/>
      </c>
      <c r="G4026" s="415">
        <v>1</v>
      </c>
      <c r="H4026" s="589">
        <f t="shared" si="109"/>
      </c>
    </row>
    <row r="4027" spans="1:8" ht="15.75" customHeight="1" x14ac:dyDescent="0.25">
      <c r="A4027" s="581" t="s">
        <v>490</v>
      </c>
      <c r="B4027" s="644" t="s">
        <v>140</v>
      </c>
      <c r="C4027" s="418" t="s">
        <v>337</v>
      </c>
      <c r="D4027" s="415">
        <v>2</v>
      </c>
      <c r="E4027" s="415">
        <v>5</v>
      </c>
      <c r="F4027" s="415">
        <f t="shared" si="108"/>
      </c>
      <c r="G4027" s="415">
        <v>1</v>
      </c>
      <c r="H4027" s="589">
        <f t="shared" si="109"/>
      </c>
    </row>
    <row r="4028" spans="1:8" ht="15.75" customHeight="1" x14ac:dyDescent="0.25">
      <c r="A4028" s="581" t="s">
        <v>781</v>
      </c>
      <c r="B4028" s="582" t="s">
        <v>138</v>
      </c>
      <c r="C4028" s="582" t="s">
        <v>335</v>
      </c>
      <c r="D4028" s="415">
        <v>3</v>
      </c>
      <c r="E4028" s="415">
        <v>5</v>
      </c>
      <c r="F4028" s="415">
        <f t="shared" si="108"/>
      </c>
      <c r="G4028" s="415">
        <v>1</v>
      </c>
      <c r="H4028" s="589">
        <f t="shared" si="109"/>
      </c>
    </row>
    <row r="4029" spans="1:8" ht="15.75" customHeight="1" x14ac:dyDescent="0.25">
      <c r="A4029" s="581" t="s">
        <v>785</v>
      </c>
      <c r="B4029" s="582" t="s">
        <v>143</v>
      </c>
      <c r="C4029" s="582" t="s">
        <v>339</v>
      </c>
      <c r="D4029" s="415">
        <v>1</v>
      </c>
      <c r="E4029" s="415">
        <v>5</v>
      </c>
      <c r="F4029" s="415">
        <f t="shared" si="108"/>
      </c>
      <c r="G4029" s="415">
        <v>1</v>
      </c>
      <c r="H4029" s="589">
        <f t="shared" si="109"/>
      </c>
    </row>
    <row r="4030" spans="1:8" ht="15.75" customHeight="1" x14ac:dyDescent="0.25">
      <c r="A4030" s="581" t="s">
        <v>787</v>
      </c>
      <c r="B4030" s="582" t="s">
        <v>3</v>
      </c>
      <c r="C4030" s="582" t="s">
        <v>4</v>
      </c>
      <c r="D4030" s="415">
        <v>4</v>
      </c>
      <c r="E4030" s="415">
        <v>5</v>
      </c>
      <c r="F4030" s="415">
        <f t="shared" si="108"/>
      </c>
      <c r="G4030" s="415">
        <v>1</v>
      </c>
      <c r="H4030" s="589">
        <f t="shared" si="109"/>
      </c>
    </row>
    <row r="4031" spans="1:8" ht="15.75" customHeight="1" x14ac:dyDescent="0.25">
      <c r="A4031" s="581"/>
      <c r="B4031" s="578" t="s">
        <v>1452</v>
      </c>
      <c r="C4031" s="578"/>
      <c r="D4031" s="415"/>
      <c r="E4031" s="415"/>
      <c r="F4031" s="415"/>
      <c r="G4031" s="415"/>
      <c r="H4031" s="589"/>
    </row>
    <row r="4032" spans="1:8" ht="15.75" customHeight="1" x14ac:dyDescent="0.25">
      <c r="A4032" s="581" t="s">
        <v>790</v>
      </c>
      <c r="B4032" s="582" t="s">
        <v>1453</v>
      </c>
      <c r="C4032" s="582" t="s">
        <v>1491</v>
      </c>
      <c r="D4032" s="415">
        <v>5</v>
      </c>
      <c r="E4032" s="415">
        <v>24</v>
      </c>
      <c r="F4032" s="415">
        <f t="shared" ref="F4032:F4033" si="110">+E4032*D4032</f>
      </c>
      <c r="G4032" s="415">
        <v>1</v>
      </c>
      <c r="H4032" s="589">
        <f t="shared" ref="H4032:H4033" si="111">+G4032*F4032</f>
      </c>
    </row>
    <row r="4033" spans="1:8" ht="15.75" customHeight="1" x14ac:dyDescent="0.25">
      <c r="A4033" s="581" t="s">
        <v>792</v>
      </c>
      <c r="B4033" s="628" t="s">
        <v>1077</v>
      </c>
      <c r="C4033" s="668" t="s">
        <v>5</v>
      </c>
      <c r="D4033" s="415">
        <v>5</v>
      </c>
      <c r="E4033" s="415">
        <v>24</v>
      </c>
      <c r="F4033" s="415">
        <f t="shared" si="110"/>
      </c>
      <c r="G4033" s="415">
        <v>1</v>
      </c>
      <c r="H4033" s="589">
        <f t="shared" si="111"/>
      </c>
    </row>
    <row r="4034" spans="1:8" ht="15.75" customHeight="1" x14ac:dyDescent="0.25">
      <c r="A4034" s="581"/>
      <c r="B4034" s="624" t="s">
        <v>51</v>
      </c>
      <c r="C4034" s="625"/>
      <c r="D4034" s="578"/>
      <c r="E4034" s="578"/>
      <c r="F4034" s="578"/>
      <c r="G4034" s="578"/>
      <c r="H4034" s="580"/>
    </row>
    <row r="4035" spans="1:8" ht="15.75" customHeight="1" x14ac:dyDescent="0.25">
      <c r="A4035" s="581" t="s">
        <v>796</v>
      </c>
      <c r="B4035" s="644" t="s">
        <v>1549</v>
      </c>
      <c r="C4035" s="418" t="s">
        <v>383</v>
      </c>
      <c r="D4035" s="415">
        <v>2</v>
      </c>
      <c r="E4035" s="415">
        <v>6</v>
      </c>
      <c r="F4035" s="415">
        <f t="shared" ref="F4035:F4038" si="112">+E4035*D4035</f>
      </c>
      <c r="G4035" s="415">
        <v>1</v>
      </c>
      <c r="H4035" s="416">
        <f t="shared" ref="H4035:H4038" si="113">+G4035*F4035</f>
      </c>
    </row>
    <row r="4036" spans="1:8" ht="15.75" customHeight="1" x14ac:dyDescent="0.25">
      <c r="A4036" s="581" t="s">
        <v>1571</v>
      </c>
      <c r="B4036" s="644" t="s">
        <v>1549</v>
      </c>
      <c r="C4036" s="418" t="s">
        <v>383</v>
      </c>
      <c r="D4036" s="415">
        <v>1</v>
      </c>
      <c r="E4036" s="415">
        <v>4</v>
      </c>
      <c r="F4036" s="415">
        <f t="shared" si="112"/>
      </c>
      <c r="G4036" s="415">
        <v>1</v>
      </c>
      <c r="H4036" s="416">
        <f t="shared" si="113"/>
      </c>
    </row>
    <row r="4037" spans="1:8" ht="15.75" customHeight="1" x14ac:dyDescent="0.25">
      <c r="A4037" s="581" t="s">
        <v>1572</v>
      </c>
      <c r="B4037" s="644" t="s">
        <v>1550</v>
      </c>
      <c r="C4037" s="418" t="s">
        <v>403</v>
      </c>
      <c r="D4037" s="415">
        <v>2</v>
      </c>
      <c r="E4037" s="415">
        <v>8</v>
      </c>
      <c r="F4037" s="415">
        <f t="shared" si="112"/>
      </c>
      <c r="G4037" s="415">
        <v>1</v>
      </c>
      <c r="H4037" s="416">
        <f t="shared" si="113"/>
      </c>
    </row>
    <row r="4038" spans="1:8" ht="15.75" customHeight="1" x14ac:dyDescent="0.25">
      <c r="A4038" s="581" t="s">
        <v>1573</v>
      </c>
      <c r="B4038" s="644" t="s">
        <v>1550</v>
      </c>
      <c r="C4038" s="418" t="s">
        <v>403</v>
      </c>
      <c r="D4038" s="415">
        <v>1</v>
      </c>
      <c r="E4038" s="415">
        <v>1</v>
      </c>
      <c r="F4038" s="415">
        <f t="shared" si="112"/>
      </c>
      <c r="G4038" s="415">
        <v>1</v>
      </c>
      <c r="H4038" s="416">
        <f t="shared" si="113"/>
      </c>
    </row>
    <row r="4039" spans="1:8" ht="15.75" customHeight="1" x14ac:dyDescent="0.25">
      <c r="A4039" s="430"/>
      <c r="B4039" s="409"/>
      <c r="C4039" s="393"/>
      <c r="D4039" s="427"/>
      <c r="E4039" s="427"/>
      <c r="F4039" s="428"/>
      <c r="G4039" s="427"/>
      <c r="H4039" s="429"/>
    </row>
    <row r="4040" spans="1:8" ht="15.75" customHeight="1" x14ac:dyDescent="0.25">
      <c r="A4040" s="432"/>
      <c r="B4040" s="433"/>
      <c r="C4040" s="434" t="s">
        <v>85</v>
      </c>
      <c r="D4040" s="659">
        <f>SUM(D4020:D4039)</f>
      </c>
      <c r="E4040" s="401"/>
      <c r="F4040" s="660"/>
      <c r="G4040" s="661"/>
      <c r="H4040" s="623">
        <f>SUM(H4019:H4039)</f>
      </c>
    </row>
    <row r="4041" spans="1:8" ht="15.75" customHeight="1" x14ac:dyDescent="0.25">
      <c r="A4041" s="439"/>
      <c r="B4041" s="440"/>
      <c r="C4041" s="440"/>
      <c r="D4041" s="441"/>
      <c r="E4041" s="440"/>
      <c r="F4041" s="442"/>
      <c r="G4041" s="443"/>
      <c r="H4041" s="444"/>
    </row>
    <row r="4042" spans="1:8" ht="15.75" customHeight="1" x14ac:dyDescent="0.25">
      <c r="A4042" s="392"/>
      <c r="B4042" s="391"/>
      <c r="C4042" s="391"/>
      <c r="D4042" s="391"/>
      <c r="E4042" s="390"/>
      <c r="F4042" s="392"/>
      <c r="G4042" s="390"/>
      <c r="H4042" s="394"/>
    </row>
    <row r="4043" spans="1:8" ht="15.75" customHeight="1" x14ac:dyDescent="0.25">
      <c r="A4043" s="445"/>
      <c r="B4043" s="445"/>
      <c r="C4043" s="445"/>
      <c r="D4043" s="446" t="s">
        <v>97</v>
      </c>
      <c r="E4043" s="445" t="s">
        <v>98</v>
      </c>
      <c r="F4043" s="445"/>
      <c r="G4043" s="390"/>
      <c r="H4043" s="394"/>
    </row>
    <row r="4044" spans="1:8" ht="15.75" customHeight="1" x14ac:dyDescent="0.25">
      <c r="A4044" s="390"/>
      <c r="B4044" s="390"/>
      <c r="C4044" s="390"/>
      <c r="D4044" s="391"/>
      <c r="E4044" s="390"/>
      <c r="F4044" s="390"/>
      <c r="G4044" s="390"/>
      <c r="H4044" s="394"/>
    </row>
    <row r="4045" spans="1:8" ht="15.75" customHeight="1" x14ac:dyDescent="0.25">
      <c r="A4045" s="390"/>
      <c r="B4045" s="390"/>
      <c r="C4045" s="390"/>
      <c r="D4045" s="391"/>
      <c r="E4045" s="390"/>
      <c r="F4045" s="390"/>
      <c r="G4045" s="390"/>
      <c r="H4045" s="394"/>
    </row>
    <row r="4046" spans="1:8" ht="15.75" customHeight="1" x14ac:dyDescent="0.25">
      <c r="A4046" s="445"/>
      <c r="B4046" s="445"/>
      <c r="C4046" s="445"/>
      <c r="D4046" s="446"/>
      <c r="E4046" s="445" t="s">
        <v>99</v>
      </c>
      <c r="F4046" s="445"/>
      <c r="G4046" s="390"/>
      <c r="H4046" s="394"/>
    </row>
    <row r="4047" spans="1:8" ht="15.75" customHeight="1" x14ac:dyDescent="0.25">
      <c r="D4047" s="4"/>
      <c r="H4047" s="4"/>
    </row>
    <row r="4048" spans="1:8" ht="15.75" customHeight="1" x14ac:dyDescent="0.25">
      <c r="D4048" s="4"/>
      <c r="H4048" s="4"/>
    </row>
    <row r="4049" spans="1:8" ht="15.75" customHeight="1" x14ac:dyDescent="0.25">
      <c r="A4049" s="398" t="s">
        <v>14</v>
      </c>
      <c r="B4049" s="391"/>
      <c r="C4049" s="391"/>
      <c r="D4049" s="391"/>
      <c r="E4049" s="391"/>
      <c r="F4049" s="391"/>
      <c r="G4049" s="391"/>
      <c r="H4049" s="394"/>
    </row>
    <row r="4050" spans="1:8" ht="15.75" customHeight="1" x14ac:dyDescent="0.25">
      <c r="A4050" s="390"/>
      <c r="B4050" s="390"/>
      <c r="C4050" s="390"/>
      <c r="D4050" s="392"/>
      <c r="E4050" s="569"/>
      <c r="F4050" s="391"/>
      <c r="G4050" s="390"/>
      <c r="H4050" s="394"/>
    </row>
    <row r="4051" spans="1:8" ht="15.75" customHeight="1" x14ac:dyDescent="0.25">
      <c r="A4051" s="390"/>
      <c r="B4051" s="390"/>
      <c r="C4051" s="390"/>
      <c r="D4051" s="391"/>
      <c r="E4051" s="390"/>
      <c r="F4051" s="395" t="s">
        <v>18</v>
      </c>
      <c r="G4051" s="390" t="s">
        <v>706</v>
      </c>
      <c r="H4051" s="394"/>
    </row>
    <row r="4052" spans="1:8" ht="15.75" customHeight="1" x14ac:dyDescent="0.25">
      <c r="A4052" s="390"/>
      <c r="B4052" s="390"/>
      <c r="C4052" s="390"/>
      <c r="D4052" s="391"/>
      <c r="E4052" s="390"/>
      <c r="F4052" s="393" t="s">
        <v>21</v>
      </c>
      <c r="G4052" s="390" t="s">
        <v>1429</v>
      </c>
      <c r="H4052" s="394"/>
    </row>
    <row r="4053" spans="1:8" ht="15.75" customHeight="1" x14ac:dyDescent="0.25">
      <c r="A4053" s="390" t="s">
        <v>20</v>
      </c>
      <c r="B4053" s="390"/>
      <c r="C4053" s="390"/>
      <c r="D4053" s="391"/>
      <c r="E4053" s="390"/>
      <c r="F4053" s="391"/>
      <c r="G4053" s="390"/>
      <c r="H4053" s="394"/>
    </row>
    <row r="4054" spans="1:8" ht="15.75" customHeight="1" x14ac:dyDescent="0.25">
      <c r="A4054" s="390" t="inlineStr">
        <is>
          <t>Dealer-004</t>
        </is>
      </c>
      <c r="B4054" s="390"/>
      <c r="C4054" s="390"/>
      <c r="D4054" s="391"/>
      <c r="E4054" s="390"/>
      <c r="F4054" s="391"/>
      <c r="G4054" s="390"/>
      <c r="H4054" s="394"/>
    </row>
    <row r="4055" spans="1:8" ht="15.75" customHeight="1" x14ac:dyDescent="0.25">
      <c r="A4055" s="390" t="inlineStr">
        <is>
          <t>Address line (redacted)</t>
        </is>
      </c>
      <c r="B4055" s="390"/>
      <c r="C4055" s="390"/>
      <c r="D4055" s="391"/>
      <c r="E4055" s="390"/>
      <c r="F4055" s="391"/>
      <c r="G4055" s="390"/>
      <c r="H4055" s="394"/>
    </row>
    <row r="4056" spans="1:8" ht="15.75" customHeight="1" x14ac:dyDescent="0.25">
      <c r="A4056" s="390" t="inlineStr">
        <is>
          <t>Address line (redacted)</t>
        </is>
      </c>
      <c r="B4056" s="390"/>
      <c r="C4056" s="390"/>
      <c r="D4056" s="391"/>
      <c r="E4056" s="390"/>
      <c r="F4056" s="391"/>
      <c r="G4056" s="390"/>
      <c r="H4056" s="394"/>
    </row>
    <row r="4057" spans="1:8" ht="15.75" customHeight="1" x14ac:dyDescent="0.25">
      <c r="A4057" s="390"/>
      <c r="B4057" s="390"/>
      <c r="C4057" s="390"/>
      <c r="D4057" s="391"/>
      <c r="E4057" s="390"/>
      <c r="F4057" s="391"/>
      <c r="G4057" s="390"/>
      <c r="H4057" s="394"/>
    </row>
    <row r="4058" spans="1:8" ht="15.75" customHeight="1" x14ac:dyDescent="0.25">
      <c r="A4058" s="390" t="s">
        <v>30</v>
      </c>
      <c r="B4058" s="390"/>
      <c r="C4058" s="390"/>
      <c r="D4058" s="391"/>
      <c r="E4058" s="390"/>
      <c r="F4058" s="391"/>
      <c r="G4058" s="390"/>
      <c r="H4058" s="394"/>
    </row>
    <row r="4059" spans="1:8" ht="15.75" customHeight="1" x14ac:dyDescent="0.25">
      <c r="A4059" s="390"/>
      <c r="B4059" s="390"/>
      <c r="C4059" s="390"/>
      <c r="D4059" s="391"/>
      <c r="E4059" s="390"/>
      <c r="F4059" s="391"/>
      <c r="G4059" s="390"/>
      <c r="H4059" s="394"/>
    </row>
    <row r="4060" spans="1:8" ht="15.75" customHeight="1" x14ac:dyDescent="0.25">
      <c r="A4060" s="390" t="s">
        <v>1322</v>
      </c>
      <c r="B4060" s="390"/>
      <c r="C4060" s="390"/>
      <c r="D4060" s="391"/>
      <c r="E4060" s="390"/>
      <c r="F4060" s="391"/>
      <c r="G4060" s="390"/>
      <c r="H4060" s="394"/>
    </row>
    <row r="4061" spans="1:8" ht="15.75" customHeight="1" x14ac:dyDescent="0.25">
      <c r="A4061" s="390" t="s">
        <v>1328</v>
      </c>
      <c r="B4061" s="390"/>
      <c r="C4061" s="390"/>
      <c r="D4061" s="391"/>
      <c r="E4061" s="390"/>
      <c r="F4061" s="391"/>
      <c r="G4061" s="390"/>
      <c r="H4061" s="394"/>
    </row>
    <row r="4062" spans="1:8" ht="15.75" customHeight="1" x14ac:dyDescent="0.25">
      <c r="A4062" s="390"/>
      <c r="B4062" s="390"/>
      <c r="C4062" s="390"/>
      <c r="D4062" s="391"/>
      <c r="E4062" s="390"/>
      <c r="F4062" s="391"/>
      <c r="G4062" s="390"/>
      <c r="H4062" s="394"/>
    </row>
    <row r="4063" spans="1:8" ht="15.75" customHeight="1" x14ac:dyDescent="0.25">
      <c r="A4063" s="399" t="s">
        <v>33</v>
      </c>
      <c r="B4063" s="400" t="s">
        <v>6</v>
      </c>
      <c r="C4063" s="400"/>
      <c r="D4063" s="401" t="s">
        <v>37</v>
      </c>
      <c r="E4063" s="402" t="s">
        <v>38</v>
      </c>
      <c r="F4063" s="403" t="s">
        <v>7</v>
      </c>
      <c r="G4063" s="404" t="s">
        <v>43</v>
      </c>
      <c r="H4063" s="405" t="s">
        <v>44</v>
      </c>
    </row>
    <row r="4064" spans="1:8" ht="15.75" customHeight="1" x14ac:dyDescent="0.25">
      <c r="A4064" s="406"/>
      <c r="B4064" s="407"/>
      <c r="C4064" s="393"/>
      <c r="D4064" s="410"/>
      <c r="E4064" s="408"/>
      <c r="F4064" s="409"/>
      <c r="G4064" s="410"/>
      <c r="H4064" s="411"/>
    </row>
    <row r="4065" spans="1:8" ht="15.75" customHeight="1" x14ac:dyDescent="0.25">
      <c r="A4065" s="412"/>
      <c r="B4065" s="578" t="s">
        <v>50</v>
      </c>
      <c r="C4065" s="578"/>
      <c r="D4065" s="415"/>
      <c r="E4065" s="415"/>
      <c r="F4065" s="415"/>
      <c r="G4065" s="415"/>
      <c r="H4065" s="416"/>
    </row>
    <row r="4066" spans="1:8" ht="15.75" customHeight="1" x14ac:dyDescent="0.25">
      <c r="A4066" s="412" t="s">
        <v>55</v>
      </c>
      <c r="B4066" s="644" t="s">
        <v>56</v>
      </c>
      <c r="C4066" s="418" t="s">
        <v>57</v>
      </c>
      <c r="D4066" s="415">
        <v>11</v>
      </c>
      <c r="E4066" s="415">
        <v>25</v>
      </c>
      <c r="F4066" s="415">
        <f t="shared" ref="F4066:F4067" si="114">+E4066*D4066</f>
      </c>
      <c r="G4066" s="415">
        <v>1</v>
      </c>
      <c r="H4066" s="416">
        <f t="shared" ref="H4066:H4067" si="115">+G4066*F4066</f>
      </c>
    </row>
    <row r="4067" spans="1:8" ht="15.75" customHeight="1" x14ac:dyDescent="0.25">
      <c r="A4067" s="581" t="s">
        <v>59</v>
      </c>
      <c r="B4067" s="644" t="s">
        <v>68</v>
      </c>
      <c r="C4067" s="418" t="s">
        <v>69</v>
      </c>
      <c r="D4067" s="415">
        <v>18</v>
      </c>
      <c r="E4067" s="415">
        <v>25</v>
      </c>
      <c r="F4067" s="415">
        <f t="shared" si="114"/>
      </c>
      <c r="G4067" s="415">
        <v>1</v>
      </c>
      <c r="H4067" s="416">
        <f t="shared" si="115"/>
      </c>
    </row>
    <row r="4068" spans="1:8" ht="15.75" customHeight="1" x14ac:dyDescent="0.25">
      <c r="A4068" s="581"/>
      <c r="B4068" s="578" t="s">
        <v>573</v>
      </c>
      <c r="C4068" s="578"/>
      <c r="D4068" s="415"/>
      <c r="E4068" s="415"/>
      <c r="F4068" s="415"/>
      <c r="G4068" s="415"/>
      <c r="H4068" s="589"/>
    </row>
    <row r="4069" spans="1:8" ht="15.75" customHeight="1" x14ac:dyDescent="0.25">
      <c r="A4069" s="581" t="s">
        <v>67</v>
      </c>
      <c r="B4069" s="644" t="s">
        <v>1569</v>
      </c>
      <c r="C4069" s="418" t="s">
        <v>87</v>
      </c>
      <c r="D4069" s="415">
        <v>31</v>
      </c>
      <c r="E4069" s="415">
        <v>5</v>
      </c>
      <c r="F4069" s="415">
        <f t="shared" ref="F4069:F4070" si="116">+E4069*D4069</f>
      </c>
      <c r="G4069" s="415">
        <v>1</v>
      </c>
      <c r="H4069" s="589">
        <f t="shared" ref="H4069:H4070" si="117">+G4069*F4069</f>
      </c>
    </row>
    <row r="4070" spans="1:8" ht="15.75" customHeight="1" x14ac:dyDescent="0.25">
      <c r="A4070" s="581" t="s">
        <v>485</v>
      </c>
      <c r="B4070" s="644" t="s">
        <v>315</v>
      </c>
      <c r="C4070" s="418" t="s">
        <v>298</v>
      </c>
      <c r="D4070" s="415">
        <v>5</v>
      </c>
      <c r="E4070" s="415">
        <v>5</v>
      </c>
      <c r="F4070" s="415">
        <f t="shared" si="116"/>
      </c>
      <c r="G4070" s="415">
        <v>1</v>
      </c>
      <c r="H4070" s="589">
        <f t="shared" si="117"/>
      </c>
    </row>
    <row r="4071" spans="1:8" ht="15.75" customHeight="1" x14ac:dyDescent="0.25">
      <c r="A4071" s="581"/>
      <c r="B4071" s="578" t="s">
        <v>674</v>
      </c>
      <c r="C4071" s="578"/>
      <c r="D4071" s="415"/>
      <c r="E4071" s="415"/>
      <c r="F4071" s="415"/>
      <c r="G4071" s="415"/>
      <c r="H4071" s="589"/>
    </row>
    <row r="4072" spans="1:8" ht="15.75" customHeight="1" x14ac:dyDescent="0.25">
      <c r="A4072" s="581" t="s">
        <v>486</v>
      </c>
      <c r="B4072" s="582" t="s">
        <v>1076</v>
      </c>
      <c r="C4072" s="582" t="s">
        <v>1165</v>
      </c>
      <c r="D4072" s="415">
        <v>10</v>
      </c>
      <c r="E4072" s="415">
        <v>1</v>
      </c>
      <c r="F4072" s="415">
        <f t="shared" ref="F4072:F4074" si="118">+E4072*D4072</f>
      </c>
      <c r="G4072" s="415">
        <v>1</v>
      </c>
      <c r="H4072" s="589">
        <f t="shared" ref="H4072:H4073" si="119">+G4072*F4072</f>
      </c>
    </row>
    <row r="4073" spans="1:8" ht="15.75" customHeight="1" x14ac:dyDescent="0.25">
      <c r="A4073" s="581" t="s">
        <v>489</v>
      </c>
      <c r="B4073" s="582" t="s">
        <v>1076</v>
      </c>
      <c r="C4073" s="582" t="s">
        <v>1164</v>
      </c>
      <c r="D4073" s="415">
        <v>10</v>
      </c>
      <c r="E4073" s="415">
        <v>1</v>
      </c>
      <c r="F4073" s="415">
        <f t="shared" si="118"/>
      </c>
      <c r="G4073" s="415">
        <v>1</v>
      </c>
      <c r="H4073" s="589">
        <f t="shared" si="119"/>
      </c>
    </row>
    <row r="4074" spans="1:8" ht="15.75" customHeight="1" x14ac:dyDescent="0.25">
      <c r="A4074" s="581" t="s">
        <v>490</v>
      </c>
      <c r="B4074" s="582" t="s">
        <v>1447</v>
      </c>
      <c r="C4074" s="582"/>
      <c r="D4074" s="415">
        <v>2</v>
      </c>
      <c r="E4074" s="415">
        <v>10</v>
      </c>
      <c r="F4074" s="415">
        <f t="shared" si="118"/>
      </c>
      <c r="G4074" s="582" t="s">
        <v>1435</v>
      </c>
      <c r="H4074" s="589"/>
    </row>
    <row r="4075" spans="1:8" ht="15.75" customHeight="1" x14ac:dyDescent="0.25">
      <c r="A4075" s="502"/>
      <c r="B4075" s="630"/>
      <c r="C4075" s="658"/>
      <c r="D4075" s="427"/>
      <c r="E4075" s="427"/>
      <c r="F4075" s="428"/>
      <c r="G4075" s="427"/>
      <c r="H4075" s="429"/>
    </row>
    <row r="4076" spans="1:8" ht="15.75" customHeight="1" x14ac:dyDescent="0.25">
      <c r="A4076" s="430"/>
      <c r="B4076" s="409"/>
      <c r="C4076" s="393"/>
      <c r="D4076" s="427"/>
      <c r="E4076" s="427"/>
      <c r="F4076" s="428"/>
      <c r="G4076" s="431"/>
      <c r="H4076" s="429"/>
    </row>
    <row r="4077" spans="1:8" ht="15.75" customHeight="1" x14ac:dyDescent="0.25">
      <c r="A4077" s="432"/>
      <c r="B4077" s="433"/>
      <c r="C4077" s="434" t="s">
        <v>85</v>
      </c>
      <c r="D4077" s="436">
        <f>SUM(D4066:D4076)</f>
      </c>
      <c r="E4077" s="436"/>
      <c r="F4077" s="436"/>
      <c r="G4077" s="437"/>
      <c r="H4077" s="623">
        <f>SUM(H4066:H4076)</f>
      </c>
    </row>
    <row r="4078" spans="1:8" ht="15.75" customHeight="1" x14ac:dyDescent="0.25">
      <c r="A4078" s="439"/>
      <c r="B4078" s="440"/>
      <c r="C4078" s="440"/>
      <c r="D4078" s="441"/>
      <c r="E4078" s="440"/>
      <c r="F4078" s="442"/>
      <c r="G4078" s="443"/>
      <c r="H4078" s="444"/>
    </row>
    <row r="4079" spans="1:8" ht="15.75" customHeight="1" x14ac:dyDescent="0.25">
      <c r="A4079" s="392"/>
      <c r="B4079" s="391"/>
      <c r="C4079" s="391"/>
      <c r="D4079" s="391"/>
      <c r="E4079" s="390"/>
      <c r="F4079" s="392"/>
      <c r="G4079" s="390"/>
      <c r="H4079" s="394"/>
    </row>
    <row r="4080" spans="1:8" ht="15.75" customHeight="1" x14ac:dyDescent="0.25">
      <c r="A4080" s="445"/>
      <c r="B4080" s="445"/>
      <c r="C4080" s="445"/>
      <c r="D4080" s="446" t="s">
        <v>97</v>
      </c>
      <c r="E4080" s="445" t="s">
        <v>98</v>
      </c>
      <c r="F4080" s="445"/>
      <c r="G4080" s="390"/>
      <c r="H4080" s="394"/>
    </row>
    <row r="4081" spans="1:8" ht="15.75" customHeight="1" x14ac:dyDescent="0.25">
      <c r="A4081" s="390"/>
      <c r="B4081" s="390"/>
      <c r="C4081" s="390"/>
      <c r="D4081" s="391"/>
      <c r="E4081" s="390"/>
      <c r="F4081" s="390"/>
      <c r="G4081" s="390"/>
      <c r="H4081" s="394"/>
    </row>
    <row r="4082" spans="1:8" ht="15.75" customHeight="1" x14ac:dyDescent="0.25">
      <c r="A4082" s="390"/>
      <c r="B4082" s="390"/>
      <c r="C4082" s="390"/>
      <c r="D4082" s="391"/>
      <c r="E4082" s="390"/>
      <c r="F4082" s="390"/>
      <c r="G4082" s="390"/>
      <c r="H4082" s="394"/>
    </row>
    <row r="4083" spans="1:8" ht="15.75" customHeight="1" x14ac:dyDescent="0.25">
      <c r="A4083" s="445"/>
      <c r="B4083" s="445"/>
      <c r="C4083" s="445"/>
      <c r="D4083" s="446"/>
      <c r="E4083" s="445" t="s">
        <v>99</v>
      </c>
      <c r="F4083" s="445"/>
      <c r="G4083" s="390"/>
      <c r="H4083" s="394"/>
    </row>
    <row r="4084" spans="1:8" ht="15.75" customHeight="1" x14ac:dyDescent="0.25">
      <c r="D4084" s="4"/>
      <c r="H4084" s="4"/>
    </row>
    <row r="4085" spans="1:8" ht="15.75" customHeight="1" x14ac:dyDescent="0.25">
      <c r="D4085" s="4"/>
      <c r="H4085" s="4"/>
    </row>
    <row r="4086" spans="1:8" ht="15.75" customHeight="1" x14ac:dyDescent="0.25">
      <c r="D4086" s="4"/>
      <c r="H4086" s="4"/>
    </row>
    <row r="4087" spans="1:8" ht="15.75" customHeight="1" x14ac:dyDescent="0.25">
      <c r="D4087" s="4"/>
      <c r="H4087" s="4"/>
    </row>
    <row r="4088" spans="1:8" ht="15.75" customHeight="1" x14ac:dyDescent="0.25">
      <c r="D4088" s="4"/>
      <c r="H4088" s="4"/>
    </row>
    <row r="4089" spans="1:8" ht="15.75" customHeight="1" x14ac:dyDescent="0.25">
      <c r="D4089" s="4"/>
      <c r="H4089" s="4"/>
    </row>
    <row r="4090" spans="1:8" ht="15.75" customHeight="1" x14ac:dyDescent="0.25">
      <c r="D4090" s="4"/>
      <c r="H4090" s="4"/>
    </row>
    <row r="4091" spans="1:8" ht="15.75" customHeight="1" x14ac:dyDescent="0.25">
      <c r="D4091" s="4"/>
      <c r="H4091" s="4"/>
    </row>
    <row r="4092" spans="1:8" ht="15.75" customHeight="1" x14ac:dyDescent="0.25">
      <c r="D4092" s="4"/>
      <c r="H4092" s="4"/>
    </row>
    <row r="4093" spans="1:8" ht="15.75" customHeight="1" x14ac:dyDescent="0.25">
      <c r="D4093" s="4"/>
      <c r="H4093" s="4"/>
    </row>
    <row r="4094" spans="1:8" ht="15.75" customHeight="1" x14ac:dyDescent="0.25">
      <c r="D4094" s="4"/>
      <c r="H4094" s="4"/>
    </row>
    <row r="4095" spans="1:8" ht="15.75" customHeight="1" x14ac:dyDescent="0.25">
      <c r="A4095" s="398" t="s">
        <v>14</v>
      </c>
      <c r="B4095" s="391"/>
      <c r="C4095" s="391"/>
      <c r="D4095" s="391"/>
      <c r="E4095" s="391"/>
      <c r="F4095" s="391"/>
      <c r="G4095" s="391"/>
      <c r="H4095" s="394"/>
    </row>
    <row r="4096" spans="1:8" ht="15.75" customHeight="1" x14ac:dyDescent="0.25">
      <c r="A4096" s="390"/>
      <c r="B4096" s="390"/>
      <c r="C4096" s="390"/>
      <c r="D4096" s="392"/>
      <c r="E4096" s="569"/>
      <c r="F4096" s="391"/>
      <c r="G4096" s="390"/>
      <c r="H4096" s="394"/>
    </row>
    <row r="4097" spans="1:8" ht="15.75" customHeight="1" x14ac:dyDescent="0.25">
      <c r="A4097" s="390"/>
      <c r="B4097" s="390"/>
      <c r="C4097" s="393"/>
      <c r="D4097" s="398"/>
      <c r="E4097" s="393"/>
      <c r="F4097" s="395" t="s">
        <v>18</v>
      </c>
      <c r="G4097" s="390" t="s">
        <v>706</v>
      </c>
      <c r="H4097" s="394"/>
    </row>
    <row r="4098" spans="1:8" ht="15.75" customHeight="1" x14ac:dyDescent="0.25">
      <c r="A4098" s="390"/>
      <c r="B4098" s="390"/>
      <c r="C4098" s="390"/>
      <c r="D4098" s="391"/>
      <c r="E4098" s="390"/>
      <c r="F4098" s="393" t="s">
        <v>21</v>
      </c>
      <c r="G4098" s="390" t="s">
        <v>1584</v>
      </c>
      <c r="H4098" s="394"/>
    </row>
    <row r="4099" spans="1:8" ht="15.75" customHeight="1" x14ac:dyDescent="0.25">
      <c r="A4099" s="390" t="s">
        <v>20</v>
      </c>
      <c r="B4099" s="390"/>
      <c r="C4099" s="390"/>
      <c r="D4099" s="391"/>
      <c r="E4099" s="390"/>
      <c r="F4099" s="391"/>
      <c r="G4099" s="390"/>
      <c r="H4099" s="394"/>
    </row>
    <row r="4100" spans="1:8" ht="15.75" customHeight="1" x14ac:dyDescent="0.25">
      <c r="A4100" s="390" t="inlineStr">
        <is>
          <t>Dealer-003</t>
        </is>
      </c>
      <c r="B4100" s="390"/>
      <c r="C4100" s="398"/>
      <c r="D4100" s="391"/>
      <c r="E4100" s="390"/>
      <c r="F4100" s="391"/>
      <c r="G4100" s="390"/>
      <c r="H4100" s="394"/>
    </row>
    <row r="4101" spans="1:8" ht="15.75" customHeight="1" x14ac:dyDescent="0.25">
      <c r="A4101" s="390" t="inlineStr">
        <is>
          <t>Address line (redacted)</t>
        </is>
      </c>
      <c r="B4101" s="390"/>
      <c r="C4101" s="390"/>
      <c r="D4101" s="391"/>
      <c r="E4101" s="390"/>
      <c r="F4101" s="391"/>
      <c r="G4101" s="390"/>
      <c r="H4101" s="394"/>
    </row>
    <row r="4102" spans="1:8" ht="15.75" customHeight="1" x14ac:dyDescent="0.25">
      <c r="A4102" s="390" t="inlineStr">
        <is>
          <t>Address line (redacted)</t>
        </is>
      </c>
      <c r="B4102" s="390"/>
      <c r="C4102" s="390"/>
      <c r="D4102" s="391"/>
      <c r="E4102" s="390"/>
      <c r="F4102" s="391"/>
      <c r="G4102" s="390"/>
      <c r="H4102" s="394"/>
    </row>
    <row r="4103" spans="1:8" ht="15.75" customHeight="1" x14ac:dyDescent="0.25">
      <c r="A4103" s="390"/>
      <c r="B4103" s="390"/>
      <c r="C4103" s="390"/>
      <c r="D4103" s="391"/>
      <c r="E4103" s="390"/>
      <c r="F4103" s="391"/>
      <c r="G4103" s="390"/>
      <c r="H4103" s="394"/>
    </row>
    <row r="4104" spans="1:8" ht="15.75" customHeight="1" x14ac:dyDescent="0.25">
      <c r="A4104" s="390" t="s">
        <v>30</v>
      </c>
      <c r="B4104" s="390"/>
      <c r="C4104" s="390"/>
      <c r="D4104" s="391"/>
      <c r="E4104" s="390"/>
      <c r="F4104" s="391"/>
      <c r="G4104" s="390"/>
      <c r="H4104" s="394"/>
    </row>
    <row r="4105" spans="1:8" ht="15.75" customHeight="1" x14ac:dyDescent="0.25">
      <c r="A4105" s="390"/>
      <c r="B4105" s="390"/>
      <c r="C4105" s="390"/>
      <c r="D4105" s="391"/>
      <c r="E4105" s="390"/>
      <c r="F4105" s="391"/>
      <c r="G4105" s="390"/>
      <c r="H4105" s="394"/>
    </row>
    <row r="4106" spans="1:8" ht="15.75" customHeight="1" x14ac:dyDescent="0.25">
      <c r="A4106" s="390" t="s">
        <v>1322</v>
      </c>
      <c r="B4106" s="390"/>
      <c r="C4106" s="390"/>
      <c r="D4106" s="391"/>
      <c r="E4106" s="390"/>
      <c r="F4106" s="391"/>
      <c r="G4106" s="390"/>
      <c r="H4106" s="394"/>
    </row>
    <row r="4107" spans="1:8" ht="15.75" customHeight="1" x14ac:dyDescent="0.25">
      <c r="A4107" s="390" t="s">
        <v>1328</v>
      </c>
      <c r="B4107" s="390"/>
      <c r="C4107" s="390"/>
      <c r="D4107" s="391"/>
      <c r="E4107" s="390"/>
      <c r="F4107" s="391"/>
      <c r="G4107" s="390"/>
      <c r="H4107" s="394"/>
    </row>
    <row r="4108" spans="1:8" ht="15.75" customHeight="1" x14ac:dyDescent="0.25">
      <c r="A4108" s="390"/>
      <c r="B4108" s="390"/>
      <c r="C4108" s="390"/>
      <c r="D4108" s="391"/>
      <c r="E4108" s="390"/>
      <c r="F4108" s="391"/>
      <c r="G4108" s="390"/>
      <c r="H4108" s="394"/>
    </row>
    <row r="4109" spans="1:8" ht="15.75" customHeight="1" x14ac:dyDescent="0.25">
      <c r="A4109" s="399" t="s">
        <v>33</v>
      </c>
      <c r="B4109" s="400" t="s">
        <v>6</v>
      </c>
      <c r="C4109" s="400"/>
      <c r="D4109" s="401" t="s">
        <v>37</v>
      </c>
      <c r="E4109" s="402" t="s">
        <v>38</v>
      </c>
      <c r="F4109" s="403" t="s">
        <v>7</v>
      </c>
      <c r="G4109" s="404" t="s">
        <v>43</v>
      </c>
      <c r="H4109" s="405" t="s">
        <v>44</v>
      </c>
    </row>
    <row r="4110" spans="1:8" ht="15.75" customHeight="1" x14ac:dyDescent="0.25">
      <c r="A4110" s="406"/>
      <c r="B4110" s="407"/>
      <c r="C4110" s="393"/>
      <c r="D4110" s="410"/>
      <c r="E4110" s="408"/>
      <c r="F4110" s="409"/>
      <c r="G4110" s="410"/>
      <c r="H4110" s="411"/>
    </row>
    <row r="4111" spans="1:8" ht="15.75" customHeight="1" x14ac:dyDescent="0.25">
      <c r="A4111" s="656"/>
      <c r="B4111" s="578" t="s">
        <v>50</v>
      </c>
      <c r="C4111" s="578"/>
      <c r="D4111" s="415"/>
      <c r="E4111" s="415"/>
      <c r="F4111" s="415"/>
      <c r="G4111" s="415"/>
      <c r="H4111" s="416"/>
    </row>
    <row r="4112" spans="1:8" ht="15.75" customHeight="1" x14ac:dyDescent="0.25">
      <c r="A4112" s="656" t="s">
        <v>55</v>
      </c>
      <c r="B4112" s="644" t="s">
        <v>68</v>
      </c>
      <c r="C4112" s="418" t="s">
        <v>69</v>
      </c>
      <c r="D4112" s="415">
        <f>250/25</f>
      </c>
      <c r="E4112" s="415">
        <v>25</v>
      </c>
      <c r="F4112" s="415">
        <f>+E4112*D4112</f>
      </c>
      <c r="G4112" s="415">
        <v>1</v>
      </c>
      <c r="H4112" s="416">
        <f>+G4112*F4112</f>
      </c>
    </row>
    <row r="4113" spans="1:8" ht="15.75" customHeight="1" x14ac:dyDescent="0.25">
      <c r="A4113" s="629"/>
      <c r="B4113" s="448"/>
      <c r="C4113" s="390"/>
      <c r="D4113" s="427"/>
      <c r="E4113" s="427"/>
      <c r="F4113" s="428"/>
      <c r="G4113" s="427"/>
      <c r="H4113" s="429"/>
    </row>
    <row r="4114" spans="1:8" ht="15.75" customHeight="1" x14ac:dyDescent="0.25">
      <c r="A4114" s="629"/>
      <c r="B4114" s="448"/>
      <c r="C4114" s="390"/>
      <c r="D4114" s="427"/>
      <c r="E4114" s="427"/>
      <c r="F4114" s="428"/>
      <c r="G4114" s="427"/>
      <c r="H4114" s="429"/>
    </row>
    <row r="4115" spans="1:8" ht="15.75" customHeight="1" x14ac:dyDescent="0.25">
      <c r="A4115" s="629"/>
      <c r="B4115" s="448"/>
      <c r="C4115" s="390"/>
      <c r="D4115" s="427"/>
      <c r="E4115" s="427"/>
      <c r="F4115" s="428"/>
      <c r="G4115" s="427"/>
      <c r="H4115" s="429"/>
    </row>
    <row r="4116" spans="1:8" ht="15.75" customHeight="1" x14ac:dyDescent="0.25">
      <c r="A4116" s="430"/>
      <c r="B4116" s="409"/>
      <c r="C4116" s="393"/>
      <c r="D4116" s="427"/>
      <c r="E4116" s="427"/>
      <c r="F4116" s="428"/>
      <c r="G4116" s="431"/>
      <c r="H4116" s="429"/>
    </row>
    <row r="4117" spans="1:8" ht="15.75" customHeight="1" x14ac:dyDescent="0.25">
      <c r="A4117" s="432"/>
      <c r="B4117" s="433"/>
      <c r="C4117" s="434" t="s">
        <v>85</v>
      </c>
      <c r="D4117" s="436">
        <f>SUM(D4111:D4116)</f>
      </c>
      <c r="E4117" s="436"/>
      <c r="F4117" s="436"/>
      <c r="G4117" s="437"/>
      <c r="H4117" s="623">
        <f>SUM(H4111:H4116)</f>
      </c>
    </row>
    <row r="4118" spans="1:8" ht="15.75" customHeight="1" x14ac:dyDescent="0.25">
      <c r="A4118" s="439"/>
      <c r="B4118" s="440"/>
      <c r="C4118" s="440"/>
      <c r="D4118" s="441"/>
      <c r="E4118" s="440"/>
      <c r="F4118" s="442"/>
      <c r="G4118" s="443"/>
      <c r="H4118" s="444"/>
    </row>
    <row r="4119" spans="1:8" ht="15.75" customHeight="1" x14ac:dyDescent="0.25">
      <c r="A4119" s="392"/>
      <c r="B4119" s="391"/>
      <c r="C4119" s="391"/>
      <c r="D4119" s="391"/>
      <c r="E4119" s="390"/>
      <c r="F4119" s="392"/>
      <c r="G4119" s="390"/>
      <c r="H4119" s="394"/>
    </row>
    <row r="4120" spans="1:8" ht="15.75" customHeight="1" x14ac:dyDescent="0.25">
      <c r="A4120" s="445"/>
      <c r="B4120" s="445"/>
      <c r="C4120" s="445"/>
      <c r="D4120" s="446" t="s">
        <v>97</v>
      </c>
      <c r="E4120" s="445" t="s">
        <v>98</v>
      </c>
      <c r="F4120" s="445"/>
      <c r="G4120" s="390"/>
      <c r="H4120" s="394"/>
    </row>
    <row r="4121" spans="1:8" ht="15.75" customHeight="1" x14ac:dyDescent="0.25">
      <c r="A4121" s="390"/>
      <c r="B4121" s="390"/>
      <c r="C4121" s="390"/>
      <c r="D4121" s="391"/>
      <c r="E4121" s="390"/>
      <c r="F4121" s="390"/>
      <c r="G4121" s="390"/>
      <c r="H4121" s="394"/>
    </row>
    <row r="4122" spans="1:8" ht="15.75" customHeight="1" x14ac:dyDescent="0.25">
      <c r="A4122" s="390"/>
      <c r="B4122" s="390"/>
      <c r="C4122" s="390"/>
      <c r="D4122" s="391"/>
      <c r="E4122" s="390"/>
      <c r="F4122" s="390"/>
      <c r="G4122" s="390"/>
      <c r="H4122" s="394"/>
    </row>
    <row r="4123" spans="1:8" ht="15.75" customHeight="1" x14ac:dyDescent="0.25">
      <c r="A4123" s="445"/>
      <c r="B4123" s="445"/>
      <c r="C4123" s="445"/>
      <c r="D4123" s="446"/>
      <c r="E4123" s="445" t="s">
        <v>99</v>
      </c>
      <c r="F4123" s="445"/>
      <c r="G4123" s="390"/>
      <c r="H4123" s="394"/>
    </row>
    <row r="4124" spans="1:8" ht="15.75" customHeight="1" x14ac:dyDescent="0.25">
      <c r="D4124" s="4"/>
      <c r="H4124" s="4"/>
    </row>
    <row r="4125" spans="1:8" ht="15.75" customHeight="1" x14ac:dyDescent="0.25">
      <c r="D4125" s="4"/>
      <c r="H4125" s="4"/>
    </row>
    <row r="4126" spans="1:8" ht="15.75" customHeight="1" x14ac:dyDescent="0.25">
      <c r="D4126" s="4"/>
      <c r="H4126" s="4"/>
    </row>
    <row r="4127" spans="1:8" ht="15.75" customHeight="1" x14ac:dyDescent="0.25">
      <c r="D4127" s="4"/>
      <c r="H4127" s="4"/>
    </row>
    <row r="4128" spans="1:8" ht="15.75" customHeight="1" x14ac:dyDescent="0.25">
      <c r="D4128" s="4"/>
      <c r="H4128" s="4"/>
    </row>
    <row r="4129" spans="1:8" ht="15.75" customHeight="1" x14ac:dyDescent="0.25">
      <c r="D4129" s="4"/>
      <c r="H4129" s="4"/>
    </row>
    <row r="4130" spans="1:8" ht="15.75" customHeight="1" x14ac:dyDescent="0.25">
      <c r="D4130" s="4"/>
      <c r="H4130" s="4"/>
    </row>
    <row r="4131" spans="1:8" ht="15.75" customHeight="1" x14ac:dyDescent="0.25">
      <c r="D4131" s="4"/>
      <c r="H4131" s="4"/>
    </row>
    <row r="4132" spans="1:8" ht="15.75" customHeight="1" x14ac:dyDescent="0.25">
      <c r="D4132" s="4"/>
      <c r="H4132" s="4"/>
    </row>
    <row r="4133" spans="1:8" ht="15.75" customHeight="1" x14ac:dyDescent="0.25">
      <c r="D4133" s="4"/>
      <c r="H4133" s="4"/>
    </row>
    <row r="4134" spans="1:8" ht="15.75" customHeight="1" x14ac:dyDescent="0.25">
      <c r="D4134" s="4"/>
      <c r="H4134" s="4"/>
    </row>
    <row r="4135" spans="1:8" ht="15.75" customHeight="1" x14ac:dyDescent="0.25">
      <c r="D4135" s="4"/>
      <c r="H4135" s="4"/>
    </row>
    <row r="4136" spans="1:8" ht="15.75" customHeight="1" x14ac:dyDescent="0.25">
      <c r="D4136" s="4"/>
      <c r="H4136" s="4"/>
    </row>
    <row r="4137" spans="1:8" ht="15.75" customHeight="1" x14ac:dyDescent="0.25">
      <c r="D4137" s="669"/>
      <c r="H4137" s="4"/>
    </row>
    <row r="4138" spans="1:8" ht="15.75" customHeight="1" x14ac:dyDescent="0.25">
      <c r="D4138" s="4"/>
      <c r="H4138" s="4"/>
    </row>
    <row r="4139" spans="1:8" ht="15.75" customHeight="1" x14ac:dyDescent="0.25">
      <c r="D4139" s="4"/>
      <c r="H4139" s="4"/>
    </row>
    <row r="4140" spans="1:8" ht="15.75" customHeight="1" x14ac:dyDescent="0.25">
      <c r="D4140" s="4"/>
      <c r="H4140" s="4"/>
    </row>
    <row r="4141" spans="1:8" ht="15.75" customHeight="1" x14ac:dyDescent="0.25">
      <c r="A4141" s="573" t="s">
        <v>14</v>
      </c>
      <c r="B4141" s="567"/>
      <c r="C4141" s="567"/>
      <c r="D4141" s="567"/>
      <c r="E4141" s="567"/>
      <c r="F4141" s="567"/>
      <c r="G4141" s="567"/>
      <c r="H4141" s="568"/>
    </row>
    <row r="4142" spans="1:8" ht="15.75" customHeight="1" x14ac:dyDescent="0.25">
      <c r="A4142" s="390"/>
      <c r="B4142" s="390"/>
      <c r="C4142" s="391"/>
      <c r="D4142" s="392"/>
      <c r="E4142" s="569"/>
      <c r="F4142" s="391"/>
      <c r="G4142" s="390"/>
      <c r="H4142" s="394"/>
    </row>
    <row r="4143" spans="1:8" ht="15.75" customHeight="1" x14ac:dyDescent="0.25">
      <c r="A4143" s="390"/>
      <c r="B4143" s="390"/>
      <c r="C4143" s="390"/>
      <c r="D4143" s="391"/>
      <c r="E4143" s="390"/>
      <c r="F4143" s="395" t="s">
        <v>18</v>
      </c>
      <c r="G4143" s="396" t="s">
        <v>706</v>
      </c>
      <c r="H4143" s="394"/>
    </row>
    <row r="4144" spans="1:8" ht="15.75" customHeight="1" x14ac:dyDescent="0.25">
      <c r="A4144" s="390" t="s">
        <v>20</v>
      </c>
      <c r="B4144" s="390"/>
      <c r="C4144" s="390"/>
      <c r="D4144" s="391"/>
      <c r="E4144" s="390"/>
      <c r="F4144" s="395" t="s">
        <v>21</v>
      </c>
      <c r="G4144" s="390" t="s">
        <v>1586</v>
      </c>
      <c r="H4144" s="394"/>
    </row>
    <row r="4145" spans="1:8" ht="15.75" customHeight="1" x14ac:dyDescent="0.25">
      <c r="A4145" s="390" t="inlineStr">
        <is>
          <t>Dealer-010</t>
        </is>
      </c>
      <c r="B4145" s="390"/>
      <c r="C4145" s="390"/>
      <c r="D4145" s="391"/>
      <c r="E4145" s="390"/>
      <c r="F4145" s="391"/>
      <c r="G4145" s="390"/>
      <c r="H4145" s="394"/>
    </row>
    <row r="4146" spans="1:8" ht="15.75" customHeight="1" x14ac:dyDescent="0.25">
      <c r="A4146" s="390" t="inlineStr">
        <is>
          <t>Address line (redacted)</t>
        </is>
      </c>
      <c r="B4146" s="390"/>
      <c r="C4146" s="390"/>
      <c r="D4146" s="398"/>
      <c r="E4146" s="390"/>
      <c r="F4146" s="391"/>
      <c r="G4146" s="390"/>
      <c r="H4146" s="394"/>
    </row>
    <row r="4147" spans="1:8" ht="15.75" customHeight="1" x14ac:dyDescent="0.25">
      <c r="A4147" s="390" t="inlineStr">
        <is>
          <t>Address line (redacted)</t>
        </is>
      </c>
      <c r="B4147" s="390"/>
      <c r="C4147" s="390"/>
      <c r="D4147" s="398"/>
      <c r="E4147" s="390"/>
      <c r="F4147" s="391"/>
      <c r="G4147" s="390"/>
      <c r="H4147" s="394"/>
    </row>
    <row r="4148" spans="1:8" ht="15.75" customHeight="1" x14ac:dyDescent="0.25">
      <c r="A4148" s="390" t="inlineStr">
        <is>
          <t>Address line (redacted)</t>
        </is>
      </c>
      <c r="B4148" s="390"/>
      <c r="C4148" s="390"/>
      <c r="D4148" s="398"/>
      <c r="E4148" s="390"/>
      <c r="F4148" s="391"/>
      <c r="G4148" s="390"/>
      <c r="H4148" s="394"/>
    </row>
    <row r="4149" spans="1:8" ht="15.75" customHeight="1" x14ac:dyDescent="0.25">
      <c r="A4149" s="390"/>
      <c r="B4149" s="390"/>
      <c r="C4149" s="390"/>
      <c r="D4149" s="398"/>
      <c r="E4149" s="390"/>
      <c r="F4149" s="391"/>
      <c r="G4149" s="390"/>
      <c r="H4149" s="394"/>
    </row>
    <row r="4150" spans="1:8" ht="15.75" customHeight="1" x14ac:dyDescent="0.25">
      <c r="A4150" s="390" t="s">
        <v>30</v>
      </c>
      <c r="B4150" s="390"/>
      <c r="C4150" s="390"/>
      <c r="D4150" s="391"/>
      <c r="E4150" s="390"/>
      <c r="F4150" s="391"/>
      <c r="G4150" s="390"/>
      <c r="H4150" s="394"/>
    </row>
    <row r="4151" spans="1:8" ht="15.75" customHeight="1" x14ac:dyDescent="0.25">
      <c r="A4151" s="390"/>
      <c r="B4151" s="390"/>
      <c r="C4151" s="390"/>
      <c r="D4151" s="391"/>
      <c r="E4151" s="390"/>
      <c r="F4151" s="391"/>
      <c r="G4151" s="390"/>
      <c r="H4151" s="394"/>
    </row>
    <row r="4152" spans="1:8" ht="15.75" customHeight="1" x14ac:dyDescent="0.25">
      <c r="A4152" s="390" t="s">
        <v>31</v>
      </c>
      <c r="B4152" s="390"/>
      <c r="C4152" s="390"/>
      <c r="D4152" s="391"/>
      <c r="E4152" s="390"/>
      <c r="F4152" s="391"/>
      <c r="G4152" s="390"/>
      <c r="H4152" s="394"/>
    </row>
    <row r="4153" spans="1:8" ht="15.75" customHeight="1" x14ac:dyDescent="0.25">
      <c r="A4153" s="390" t="s">
        <v>32</v>
      </c>
      <c r="B4153" s="390"/>
      <c r="C4153" s="390"/>
      <c r="D4153" s="391"/>
      <c r="E4153" s="390"/>
      <c r="F4153" s="391"/>
      <c r="G4153" s="390"/>
      <c r="H4153" s="394"/>
    </row>
    <row r="4154" spans="1:8" ht="15.75" customHeight="1" x14ac:dyDescent="0.25">
      <c r="A4154" s="390"/>
      <c r="B4154" s="390"/>
      <c r="C4154" s="390"/>
      <c r="D4154" s="391"/>
      <c r="E4154" s="390"/>
      <c r="F4154" s="391"/>
      <c r="G4154" s="390"/>
      <c r="H4154" s="394"/>
    </row>
    <row r="4155" spans="1:8" ht="15.75" customHeight="1" x14ac:dyDescent="0.25">
      <c r="A4155" s="399" t="s">
        <v>33</v>
      </c>
      <c r="B4155" s="400" t="s">
        <v>6</v>
      </c>
      <c r="C4155" s="400"/>
      <c r="D4155" s="401" t="s">
        <v>37</v>
      </c>
      <c r="E4155" s="402" t="s">
        <v>38</v>
      </c>
      <c r="F4155" s="403" t="s">
        <v>7</v>
      </c>
      <c r="G4155" s="404" t="s">
        <v>43</v>
      </c>
      <c r="H4155" s="405" t="s">
        <v>44</v>
      </c>
    </row>
    <row r="4156" spans="1:8" ht="15.75" customHeight="1" x14ac:dyDescent="0.25">
      <c r="A4156" s="406"/>
      <c r="B4156" s="407"/>
      <c r="C4156" s="393"/>
      <c r="D4156" s="408"/>
      <c r="E4156" s="408"/>
      <c r="F4156" s="409"/>
      <c r="G4156" s="410"/>
      <c r="H4156" s="411"/>
    </row>
    <row r="4157" spans="1:8" ht="15.75" customHeight="1" x14ac:dyDescent="0.25">
      <c r="A4157" s="412"/>
      <c r="B4157" s="654" t="s">
        <v>1365</v>
      </c>
      <c r="C4157" s="654"/>
      <c r="D4157" s="415"/>
      <c r="E4157" s="415"/>
      <c r="F4157" s="415"/>
      <c r="G4157" s="415"/>
      <c r="H4157" s="416"/>
    </row>
    <row r="4158" spans="1:8" ht="15.75" customHeight="1" x14ac:dyDescent="0.25">
      <c r="A4158" s="581" t="s">
        <v>55</v>
      </c>
      <c r="B4158" s="582">
        <v>507</v>
      </c>
      <c r="C4158" s="582"/>
      <c r="D4158" s="415">
        <v>1</v>
      </c>
      <c r="E4158" s="415">
        <v>4</v>
      </c>
      <c r="F4158" s="415">
        <f>+E4158*D4158</f>
      </c>
      <c r="G4158" s="415">
        <v>1</v>
      </c>
      <c r="H4158" s="589">
        <f>+G4158*F4158</f>
      </c>
    </row>
    <row r="4159" spans="1:8" ht="15.75" customHeight="1" x14ac:dyDescent="0.25">
      <c r="A4159" s="425"/>
      <c r="B4159" s="448"/>
      <c r="C4159" s="574"/>
      <c r="D4159" s="427"/>
      <c r="E4159" s="427"/>
      <c r="F4159" s="391"/>
      <c r="G4159" s="427"/>
      <c r="H4159" s="429"/>
    </row>
    <row r="4160" spans="1:8" ht="15.75" customHeight="1" x14ac:dyDescent="0.25">
      <c r="A4160" s="425"/>
      <c r="B4160" s="448"/>
      <c r="C4160" s="574"/>
      <c r="D4160" s="427"/>
      <c r="E4160" s="427"/>
      <c r="F4160" s="391"/>
      <c r="G4160" s="427"/>
      <c r="H4160" s="429"/>
    </row>
    <row r="4161" spans="1:8" ht="15.75" customHeight="1" x14ac:dyDescent="0.25">
      <c r="A4161" s="425"/>
      <c r="B4161" s="448"/>
      <c r="C4161" s="574"/>
      <c r="D4161" s="427"/>
      <c r="E4161" s="427"/>
      <c r="F4161" s="391"/>
      <c r="G4161" s="427"/>
      <c r="H4161" s="429"/>
    </row>
    <row r="4162" spans="1:8" ht="15.75" customHeight="1" x14ac:dyDescent="0.25">
      <c r="A4162" s="425"/>
      <c r="B4162" s="448"/>
      <c r="C4162" s="574"/>
      <c r="D4162" s="427"/>
      <c r="E4162" s="427"/>
      <c r="F4162" s="391"/>
      <c r="G4162" s="427"/>
      <c r="H4162" s="429"/>
    </row>
    <row r="4163" spans="1:8" ht="15.75" customHeight="1" x14ac:dyDescent="0.25">
      <c r="A4163" s="425"/>
      <c r="B4163" s="448"/>
      <c r="C4163" s="574"/>
      <c r="D4163" s="427"/>
      <c r="E4163" s="427"/>
      <c r="F4163" s="391"/>
      <c r="G4163" s="427"/>
      <c r="H4163" s="429"/>
    </row>
    <row r="4164" spans="1:8" ht="15.75" customHeight="1" x14ac:dyDescent="0.25">
      <c r="A4164" s="425"/>
      <c r="B4164" s="448"/>
      <c r="C4164" s="574"/>
      <c r="D4164" s="427"/>
      <c r="E4164" s="427"/>
      <c r="F4164" s="391"/>
      <c r="G4164" s="427"/>
      <c r="H4164" s="429"/>
    </row>
    <row r="4165" spans="1:8" ht="15.75" customHeight="1" x14ac:dyDescent="0.25">
      <c r="A4165" s="425"/>
      <c r="B4165" s="448"/>
      <c r="C4165" s="574"/>
      <c r="D4165" s="427"/>
      <c r="E4165" s="427"/>
      <c r="F4165" s="391"/>
      <c r="G4165" s="427"/>
      <c r="H4165" s="429"/>
    </row>
    <row r="4166" spans="1:8" ht="15.75" customHeight="1" x14ac:dyDescent="0.25">
      <c r="A4166" s="430"/>
      <c r="B4166" s="409"/>
      <c r="C4166" s="393"/>
      <c r="D4166" s="427"/>
      <c r="E4166" s="427"/>
      <c r="F4166" s="428"/>
      <c r="G4166" s="431"/>
      <c r="H4166" s="429"/>
    </row>
    <row r="4167" spans="1:8" ht="15.75" customHeight="1" x14ac:dyDescent="0.25">
      <c r="A4167" s="432"/>
      <c r="B4167" s="433"/>
      <c r="C4167" s="434" t="s">
        <v>85</v>
      </c>
      <c r="D4167" s="435">
        <f>SUM(D4157:D4166)</f>
      </c>
      <c r="E4167" s="435"/>
      <c r="F4167" s="436">
        <f>SUM(F4157:F4166)</f>
      </c>
      <c r="G4167" s="437"/>
      <c r="H4167" s="438">
        <f>SUM(H4158:H4166)</f>
      </c>
    </row>
    <row r="4168" spans="1:8" ht="15.75" customHeight="1" x14ac:dyDescent="0.25">
      <c r="A4168" s="439"/>
      <c r="B4168" s="440"/>
      <c r="C4168" s="440"/>
      <c r="D4168" s="441"/>
      <c r="E4168" s="440"/>
      <c r="F4168" s="442"/>
      <c r="G4168" s="443"/>
      <c r="H4168" s="444"/>
    </row>
    <row r="4169" spans="1:8" ht="15.75" customHeight="1" x14ac:dyDescent="0.25">
      <c r="A4169" s="392"/>
      <c r="B4169" s="391"/>
      <c r="C4169" s="391"/>
      <c r="D4169" s="391"/>
      <c r="E4169" s="390"/>
      <c r="F4169" s="392"/>
      <c r="G4169" s="390"/>
      <c r="H4169" s="394"/>
    </row>
    <row r="4170" spans="1:8" ht="15.75" customHeight="1" x14ac:dyDescent="0.25">
      <c r="A4170" s="445"/>
      <c r="B4170" s="445"/>
      <c r="C4170" s="445"/>
      <c r="D4170" s="446" t="s">
        <v>97</v>
      </c>
      <c r="E4170" s="445" t="s">
        <v>98</v>
      </c>
      <c r="F4170" s="445"/>
      <c r="G4170" s="390"/>
      <c r="H4170" s="394"/>
    </row>
    <row r="4171" spans="1:8" ht="15.75" customHeight="1" x14ac:dyDescent="0.25">
      <c r="A4171" s="390"/>
      <c r="B4171" s="390"/>
      <c r="C4171" s="390"/>
      <c r="D4171" s="391"/>
      <c r="E4171" s="390"/>
      <c r="F4171" s="390"/>
      <c r="G4171" s="390"/>
      <c r="H4171" s="394"/>
    </row>
    <row r="4172" spans="1:8" ht="15.75" customHeight="1" x14ac:dyDescent="0.25">
      <c r="A4172" s="390"/>
      <c r="B4172" s="390"/>
      <c r="C4172" s="390"/>
      <c r="D4172" s="391"/>
      <c r="E4172" s="390"/>
      <c r="F4172" s="390"/>
      <c r="G4172" s="390"/>
      <c r="H4172" s="394"/>
    </row>
    <row r="4173" spans="1:8" ht="15.75" customHeight="1" x14ac:dyDescent="0.25">
      <c r="A4173" s="445"/>
      <c r="B4173" s="445"/>
      <c r="C4173" s="445"/>
      <c r="D4173" s="446"/>
      <c r="E4173" s="445" t="s">
        <v>99</v>
      </c>
      <c r="F4173" s="445"/>
      <c r="G4173" s="390"/>
      <c r="H4173" s="394"/>
    </row>
    <row r="4174" spans="1:8" ht="15.75" customHeight="1" x14ac:dyDescent="0.25">
      <c r="A4174" s="445"/>
      <c r="B4174" s="445"/>
      <c r="C4174" s="445"/>
      <c r="D4174" s="446"/>
      <c r="E4174" s="445"/>
      <c r="F4174" s="445"/>
      <c r="G4174" s="390"/>
      <c r="H4174" s="394"/>
    </row>
    <row r="4175" spans="1:8" ht="15.75" customHeight="1" x14ac:dyDescent="0.25">
      <c r="A4175" s="445"/>
      <c r="B4175" s="445"/>
      <c r="C4175" s="445"/>
      <c r="D4175" s="446"/>
      <c r="E4175" s="445"/>
      <c r="F4175" s="445"/>
      <c r="G4175" s="390"/>
      <c r="H4175" s="394"/>
    </row>
    <row r="4176" spans="1:8" ht="15.75" customHeight="1" x14ac:dyDescent="0.25">
      <c r="A4176" s="445"/>
      <c r="B4176" s="445"/>
      <c r="C4176" s="445"/>
      <c r="D4176" s="446"/>
      <c r="E4176" s="445"/>
      <c r="F4176" s="445"/>
      <c r="G4176" s="390"/>
      <c r="H4176" s="394"/>
    </row>
    <row r="4177" spans="1:8" ht="15.75" customHeight="1" x14ac:dyDescent="0.25">
      <c r="A4177" s="445"/>
      <c r="B4177" s="445"/>
      <c r="C4177" s="445"/>
      <c r="D4177" s="446"/>
      <c r="E4177" s="445"/>
      <c r="F4177" s="445"/>
      <c r="G4177" s="390"/>
      <c r="H4177" s="394"/>
    </row>
    <row r="4178" spans="1:8" ht="15.75" customHeight="1" x14ac:dyDescent="0.25">
      <c r="A4178" s="445"/>
      <c r="B4178" s="445"/>
      <c r="C4178" s="445"/>
      <c r="D4178" s="446"/>
      <c r="E4178" s="445"/>
      <c r="F4178" s="445"/>
      <c r="G4178" s="390"/>
      <c r="H4178" s="394"/>
    </row>
    <row r="4179" spans="1:8" ht="15.75" customHeight="1" x14ac:dyDescent="0.25">
      <c r="A4179" s="445"/>
      <c r="B4179" s="445"/>
      <c r="C4179" s="445"/>
      <c r="D4179" s="446"/>
      <c r="E4179" s="445"/>
      <c r="F4179" s="445"/>
      <c r="G4179" s="390"/>
      <c r="H4179" s="394"/>
    </row>
    <row r="4180" spans="1:8" ht="15.75" customHeight="1" x14ac:dyDescent="0.25">
      <c r="A4180" s="445"/>
      <c r="B4180" s="445"/>
      <c r="C4180" s="445"/>
      <c r="D4180" s="446"/>
      <c r="E4180" s="445"/>
      <c r="F4180" s="445"/>
      <c r="G4180" s="390"/>
      <c r="H4180" s="394"/>
    </row>
    <row r="4181" spans="1:8" ht="15.75" customHeight="1" x14ac:dyDescent="0.25">
      <c r="A4181" s="445"/>
      <c r="B4181" s="445"/>
      <c r="C4181" s="445"/>
      <c r="D4181" s="446"/>
      <c r="E4181" s="445"/>
      <c r="F4181" s="445"/>
      <c r="G4181" s="390"/>
      <c r="H4181" s="394"/>
    </row>
    <row r="4182" spans="1:8" ht="15.75" customHeight="1" x14ac:dyDescent="0.25">
      <c r="A4182" s="445"/>
      <c r="B4182" s="445"/>
      <c r="C4182" s="445"/>
      <c r="D4182" s="446"/>
      <c r="E4182" s="445"/>
      <c r="F4182" s="445"/>
      <c r="G4182" s="390"/>
      <c r="H4182" s="394"/>
    </row>
    <row r="4183" spans="1:8" ht="15.75" customHeight="1" x14ac:dyDescent="0.25">
      <c r="A4183" s="445"/>
      <c r="B4183" s="445"/>
      <c r="C4183" s="445"/>
      <c r="D4183" s="446"/>
      <c r="E4183" s="445"/>
      <c r="F4183" s="445"/>
      <c r="G4183" s="390"/>
      <c r="H4183" s="394"/>
    </row>
    <row r="4184" spans="1:8" ht="15.75" customHeight="1" x14ac:dyDescent="0.25">
      <c r="A4184" s="445"/>
      <c r="B4184" s="445"/>
      <c r="C4184" s="445"/>
      <c r="D4184" s="446"/>
      <c r="E4184" s="445"/>
      <c r="F4184" s="445"/>
      <c r="G4184" s="390"/>
      <c r="H4184" s="394"/>
    </row>
    <row r="4185" spans="1:8" ht="14.25" customHeight="1" x14ac:dyDescent="0.25">
      <c r="A4185" s="445"/>
      <c r="B4185" s="445"/>
      <c r="C4185" s="445"/>
      <c r="D4185" s="446"/>
      <c r="E4185" s="445"/>
      <c r="F4185" s="445"/>
      <c r="G4185" s="390"/>
      <c r="H4185" s="394"/>
    </row>
    <row r="4186" spans="1:8" ht="14.25" customHeight="1" x14ac:dyDescent="0.25">
      <c r="A4186" s="392" t="s">
        <v>14</v>
      </c>
      <c r="B4186" s="391"/>
      <c r="C4186" s="391"/>
      <c r="D4186" s="391"/>
      <c r="E4186" s="391"/>
      <c r="F4186" s="391"/>
      <c r="G4186" s="391"/>
      <c r="H4186" s="394"/>
    </row>
    <row r="4187" spans="1:8" ht="14.25" customHeight="1" x14ac:dyDescent="0.25">
      <c r="A4187" s="392"/>
      <c r="B4187" s="391"/>
      <c r="C4187" s="391"/>
      <c r="D4187" s="391"/>
      <c r="E4187" s="390"/>
      <c r="F4187" s="392"/>
      <c r="G4187" s="390"/>
      <c r="H4187" s="394"/>
    </row>
    <row r="4188" spans="1:8" ht="14.25" customHeight="1" x14ac:dyDescent="0.25">
      <c r="A4188" s="392"/>
      <c r="B4188" s="391"/>
      <c r="C4188" s="391"/>
      <c r="D4188" s="391"/>
      <c r="E4188" s="390"/>
      <c r="F4188" s="392"/>
      <c r="G4188" s="390"/>
      <c r="H4188" s="394"/>
    </row>
    <row r="4189" spans="1:8" ht="14.25" customHeight="1" x14ac:dyDescent="0.25">
      <c r="A4189" s="390" t="s">
        <v>20</v>
      </c>
      <c r="B4189" s="390"/>
      <c r="C4189" s="390"/>
      <c r="D4189" s="391"/>
      <c r="E4189" s="390"/>
      <c r="F4189" s="392"/>
      <c r="G4189" s="390"/>
      <c r="H4189" s="394"/>
    </row>
    <row r="4190" spans="1:8" ht="15.75" customHeight="1" x14ac:dyDescent="0.25">
      <c r="A4190" s="390" t="inlineStr">
        <is>
          <t>Dealer-009</t>
        </is>
      </c>
      <c r="B4190" s="390"/>
      <c r="C4190" s="390" t="inlineStr">
        <is>
          <t>ATTN: Contact-001</t>
        </is>
      </c>
      <c r="D4190" s="391"/>
      <c r="E4190" s="390"/>
      <c r="F4190" s="395" t="s">
        <v>18</v>
      </c>
      <c r="G4190" s="390" t="s">
        <v>718</v>
      </c>
      <c r="H4190" s="394"/>
    </row>
    <row r="4191" spans="1:8" ht="15.75" customHeight="1" x14ac:dyDescent="0.25">
      <c r="A4191" s="390" t="inlineStr">
        <is>
          <t>Address line (redacted)</t>
        </is>
      </c>
      <c r="B4191" s="390"/>
      <c r="C4191" s="390"/>
      <c r="D4191" s="391"/>
      <c r="E4191" s="390"/>
      <c r="F4191" s="393" t="s">
        <v>21</v>
      </c>
      <c r="G4191" s="390" t="s">
        <v>1432</v>
      </c>
      <c r="H4191" s="394"/>
    </row>
    <row r="4192" spans="1:8" ht="15.75" customHeight="1" x14ac:dyDescent="0.25">
      <c r="A4192" s="390" t="inlineStr">
        <is>
          <t>Address line (redacted)</t>
        </is>
      </c>
      <c r="B4192" s="390"/>
      <c r="C4192" s="390"/>
      <c r="D4192" s="391"/>
      <c r="E4192" s="390"/>
      <c r="F4192" s="391"/>
      <c r="G4192" s="390"/>
      <c r="H4192" s="394"/>
    </row>
    <row r="4193" spans="1:8" ht="15.75" customHeight="1" x14ac:dyDescent="0.25">
      <c r="A4193" s="390"/>
      <c r="B4193" s="390"/>
      <c r="C4193" s="393"/>
      <c r="D4193" s="391"/>
      <c r="E4193" s="390"/>
      <c r="F4193" s="391"/>
      <c r="G4193" s="390"/>
      <c r="H4193" s="394"/>
    </row>
    <row r="4194" spans="1:8" ht="15.75" customHeight="1" x14ac:dyDescent="0.25">
      <c r="A4194" s="390"/>
      <c r="B4194" s="390"/>
      <c r="C4194" s="390"/>
      <c r="D4194" s="391"/>
      <c r="E4194" s="390"/>
      <c r="F4194" s="391"/>
      <c r="G4194" s="390"/>
      <c r="H4194" s="394"/>
    </row>
    <row r="4195" spans="1:8" ht="15.75" customHeight="1" x14ac:dyDescent="0.25">
      <c r="A4195" s="390" t="s">
        <v>30</v>
      </c>
      <c r="B4195" s="390"/>
      <c r="C4195" s="390"/>
      <c r="D4195" s="391"/>
      <c r="E4195" s="390"/>
      <c r="F4195" s="391"/>
      <c r="G4195" s="390"/>
      <c r="H4195" s="394"/>
    </row>
    <row r="4196" spans="1:8" ht="15.75" customHeight="1" x14ac:dyDescent="0.25">
      <c r="A4196" s="390"/>
      <c r="B4196" s="390"/>
      <c r="C4196" s="390"/>
      <c r="D4196" s="391"/>
      <c r="E4196" s="390"/>
      <c r="F4196" s="391"/>
      <c r="G4196" s="390"/>
      <c r="H4196" s="394"/>
    </row>
    <row r="4197" spans="1:8" ht="15.75" customHeight="1" x14ac:dyDescent="0.25">
      <c r="A4197" s="390" t="s">
        <v>1322</v>
      </c>
      <c r="B4197" s="390"/>
      <c r="C4197" s="390"/>
      <c r="D4197" s="391"/>
      <c r="E4197" s="390"/>
      <c r="F4197" s="391"/>
      <c r="G4197" s="390"/>
      <c r="H4197" s="394"/>
    </row>
    <row r="4198" spans="1:8" ht="15.75" customHeight="1" x14ac:dyDescent="0.25">
      <c r="A4198" s="390" t="s">
        <v>1328</v>
      </c>
      <c r="B4198" s="390"/>
      <c r="C4198" s="390"/>
      <c r="D4198" s="391"/>
      <c r="E4198" s="390"/>
      <c r="F4198" s="391"/>
      <c r="G4198" s="390"/>
      <c r="H4198" s="394"/>
    </row>
    <row r="4199" spans="1:8" ht="15.75" customHeight="1" x14ac:dyDescent="0.25">
      <c r="A4199" s="390"/>
      <c r="B4199" s="390"/>
      <c r="C4199" s="390"/>
      <c r="D4199" s="391"/>
      <c r="E4199" s="390"/>
      <c r="F4199" s="391"/>
      <c r="G4199" s="390"/>
      <c r="H4199" s="394"/>
    </row>
    <row r="4200" spans="1:8" ht="15.75" customHeight="1" x14ac:dyDescent="0.25">
      <c r="A4200" s="399" t="s">
        <v>33</v>
      </c>
      <c r="B4200" s="400" t="s">
        <v>6</v>
      </c>
      <c r="C4200" s="400"/>
      <c r="D4200" s="401" t="s">
        <v>37</v>
      </c>
      <c r="E4200" s="402" t="s">
        <v>1309</v>
      </c>
      <c r="F4200" s="609" t="s">
        <v>7</v>
      </c>
      <c r="G4200" s="400" t="s">
        <v>43</v>
      </c>
      <c r="H4200" s="405" t="s">
        <v>44</v>
      </c>
    </row>
    <row r="4201" spans="1:8" ht="15.75" customHeight="1" x14ac:dyDescent="0.25">
      <c r="A4201" s="610"/>
      <c r="B4201" s="611"/>
      <c r="C4201" s="611"/>
      <c r="D4201" s="612"/>
      <c r="E4201" s="613"/>
      <c r="F4201" s="614"/>
      <c r="G4201" s="611"/>
      <c r="H4201" s="615"/>
    </row>
    <row r="4202" spans="1:8" ht="15.75" customHeight="1" x14ac:dyDescent="0.25">
      <c r="A4202" s="581"/>
      <c r="B4202" s="578" t="s">
        <v>1365</v>
      </c>
      <c r="C4202" s="578"/>
      <c r="D4202" s="415"/>
      <c r="E4202" s="415"/>
      <c r="F4202" s="415"/>
      <c r="G4202" s="415"/>
      <c r="H4202" s="416"/>
    </row>
    <row r="4203" spans="1:8" ht="15.75" customHeight="1" x14ac:dyDescent="0.25">
      <c r="A4203" s="581" t="s">
        <v>55</v>
      </c>
      <c r="B4203" s="644">
        <v>507</v>
      </c>
      <c r="C4203" s="418"/>
      <c r="D4203" s="415">
        <v>4</v>
      </c>
      <c r="E4203" s="415">
        <v>4</v>
      </c>
      <c r="F4203" s="415">
        <f>+E4203*D4203</f>
      </c>
      <c r="G4203" s="415">
        <v>1</v>
      </c>
      <c r="H4203" s="416">
        <f>+G4203*F4203</f>
      </c>
    </row>
    <row r="4204" spans="1:8" ht="15.75" customHeight="1" x14ac:dyDescent="0.25">
      <c r="A4204" s="581"/>
      <c r="B4204" s="578" t="s">
        <v>674</v>
      </c>
      <c r="C4204" s="578"/>
      <c r="D4204" s="415"/>
      <c r="E4204" s="415"/>
      <c r="F4204" s="415"/>
      <c r="G4204" s="415"/>
      <c r="H4204" s="589"/>
    </row>
    <row r="4205" spans="1:8" ht="15.75" customHeight="1" x14ac:dyDescent="0.25">
      <c r="A4205" s="581" t="s">
        <v>59</v>
      </c>
      <c r="B4205" s="644" t="s">
        <v>1587</v>
      </c>
      <c r="C4205" s="418" t="s">
        <v>1165</v>
      </c>
      <c r="D4205" s="415">
        <v>10</v>
      </c>
      <c r="E4205" s="415">
        <v>1</v>
      </c>
      <c r="F4205" s="415">
        <f t="shared" ref="F4205:F4207" si="120">+E4205*D4205</f>
      </c>
      <c r="G4205" s="415">
        <v>1</v>
      </c>
      <c r="H4205" s="589">
        <f t="shared" ref="H4205:H4206" si="121">+G4205*F4205</f>
      </c>
    </row>
    <row r="4206" spans="1:8" ht="15.75" customHeight="1" x14ac:dyDescent="0.25">
      <c r="A4206" s="581" t="s">
        <v>67</v>
      </c>
      <c r="B4206" s="644" t="s">
        <v>1587</v>
      </c>
      <c r="C4206" s="418" t="s">
        <v>1164</v>
      </c>
      <c r="D4206" s="415">
        <v>10</v>
      </c>
      <c r="E4206" s="415">
        <v>1</v>
      </c>
      <c r="F4206" s="415">
        <f t="shared" si="120"/>
      </c>
      <c r="G4206" s="415">
        <v>1</v>
      </c>
      <c r="H4206" s="589">
        <f t="shared" si="121"/>
      </c>
    </row>
    <row r="4207" spans="1:8" ht="15.75" customHeight="1" x14ac:dyDescent="0.25">
      <c r="A4207" s="581" t="s">
        <v>485</v>
      </c>
      <c r="B4207" s="582" t="s">
        <v>1447</v>
      </c>
      <c r="C4207" s="582"/>
      <c r="D4207" s="415">
        <v>2</v>
      </c>
      <c r="E4207" s="415">
        <v>10</v>
      </c>
      <c r="F4207" s="415">
        <f t="shared" si="120"/>
      </c>
      <c r="G4207" s="582" t="s">
        <v>1435</v>
      </c>
      <c r="H4207" s="589"/>
    </row>
    <row r="4208" spans="1:8" ht="15.75" customHeight="1" x14ac:dyDescent="0.25">
      <c r="A4208" s="430"/>
      <c r="B4208" s="409"/>
      <c r="C4208" s="393"/>
      <c r="D4208" s="427"/>
      <c r="E4208" s="427"/>
      <c r="F4208" s="428"/>
      <c r="G4208" s="427"/>
      <c r="H4208" s="429"/>
    </row>
    <row r="4209" spans="1:8" ht="15.75" customHeight="1" x14ac:dyDescent="0.25">
      <c r="A4209" s="432"/>
      <c r="B4209" s="433"/>
      <c r="C4209" s="434" t="s">
        <v>85</v>
      </c>
      <c r="D4209" s="659">
        <f>SUM(D4203:D4208)</f>
      </c>
      <c r="E4209" s="401"/>
      <c r="F4209" s="660"/>
      <c r="G4209" s="661"/>
      <c r="H4209" s="623">
        <f>SUM(H4203:H4208)</f>
      </c>
    </row>
    <row r="4210" spans="1:8" ht="15.75" customHeight="1" x14ac:dyDescent="0.25">
      <c r="A4210" s="439"/>
      <c r="B4210" s="440"/>
      <c r="C4210" s="440"/>
      <c r="D4210" s="441"/>
      <c r="E4210" s="440"/>
      <c r="F4210" s="442"/>
      <c r="G4210" s="443"/>
      <c r="H4210" s="444"/>
    </row>
    <row r="4211" spans="1:8" ht="15.75" customHeight="1" x14ac:dyDescent="0.25">
      <c r="A4211" s="392"/>
      <c r="B4211" s="391"/>
      <c r="C4211" s="391"/>
      <c r="D4211" s="391"/>
      <c r="E4211" s="390"/>
      <c r="F4211" s="392"/>
      <c r="G4211" s="390"/>
      <c r="H4211" s="394"/>
    </row>
    <row r="4212" spans="1:8" ht="15.75" customHeight="1" x14ac:dyDescent="0.25">
      <c r="A4212" s="445"/>
      <c r="B4212" s="445"/>
      <c r="C4212" s="445"/>
      <c r="D4212" s="446" t="s">
        <v>97</v>
      </c>
      <c r="E4212" s="445" t="s">
        <v>98</v>
      </c>
      <c r="F4212" s="445"/>
      <c r="G4212" s="390"/>
      <c r="H4212" s="394"/>
    </row>
    <row r="4213" spans="1:8" ht="15.75" customHeight="1" x14ac:dyDescent="0.25">
      <c r="A4213" s="390"/>
      <c r="B4213" s="390"/>
      <c r="C4213" s="390"/>
      <c r="D4213" s="391"/>
      <c r="E4213" s="390"/>
      <c r="F4213" s="390"/>
      <c r="G4213" s="390"/>
      <c r="H4213" s="394"/>
    </row>
    <row r="4214" spans="1:8" ht="15.75" customHeight="1" x14ac:dyDescent="0.25">
      <c r="A4214" s="390"/>
      <c r="B4214" s="390"/>
      <c r="C4214" s="390"/>
      <c r="D4214" s="391"/>
      <c r="E4214" s="390"/>
      <c r="F4214" s="390"/>
      <c r="G4214" s="390"/>
      <c r="H4214" s="394"/>
    </row>
    <row r="4215" spans="1:8" ht="15.75" customHeight="1" x14ac:dyDescent="0.25">
      <c r="A4215" s="445"/>
      <c r="B4215" s="445"/>
      <c r="C4215" s="445"/>
      <c r="D4215" s="446"/>
      <c r="E4215" s="445" t="s">
        <v>99</v>
      </c>
      <c r="F4215" s="445"/>
      <c r="G4215" s="390"/>
      <c r="H4215" s="394"/>
    </row>
    <row r="4216" spans="1:8" ht="15.75" customHeight="1" x14ac:dyDescent="0.25">
      <c r="D4216" s="4"/>
      <c r="H4216" s="4"/>
    </row>
    <row r="4217" spans="1:8" ht="15.75" customHeight="1" x14ac:dyDescent="0.25">
      <c r="D4217" s="4"/>
      <c r="H4217" s="4"/>
    </row>
    <row r="4218" spans="1:8" ht="15.75" customHeight="1" x14ac:dyDescent="0.25">
      <c r="D4218" s="4"/>
      <c r="H4218" s="4"/>
    </row>
    <row r="4219" spans="1:8" ht="15.75" customHeight="1" x14ac:dyDescent="0.25">
      <c r="D4219" s="4"/>
      <c r="H4219" s="4"/>
    </row>
    <row r="4220" spans="1:8" ht="15.75" customHeight="1" x14ac:dyDescent="0.25">
      <c r="D4220" s="4"/>
      <c r="H4220" s="4"/>
    </row>
    <row r="4221" spans="1:8" ht="15.75" customHeight="1" x14ac:dyDescent="0.25">
      <c r="D4221" s="4"/>
      <c r="H4221" s="4"/>
    </row>
    <row r="4222" spans="1:8" ht="15.75" customHeight="1" x14ac:dyDescent="0.25">
      <c r="D4222" s="4"/>
      <c r="H4222" s="4"/>
    </row>
    <row r="4223" spans="1:8" ht="15.75" customHeight="1" x14ac:dyDescent="0.25">
      <c r="D4223" s="4"/>
      <c r="H4223" s="4"/>
    </row>
    <row r="4224" spans="1:8" ht="15.75" customHeight="1" x14ac:dyDescent="0.25">
      <c r="D4224" s="4"/>
      <c r="H4224" s="4"/>
    </row>
    <row r="4225" spans="1:8" ht="15.75" customHeight="1" x14ac:dyDescent="0.25">
      <c r="D4225" s="4"/>
      <c r="H4225" s="4"/>
    </row>
    <row r="4226" spans="1:8" ht="15.75" customHeight="1" x14ac:dyDescent="0.25">
      <c r="D4226" s="4"/>
      <c r="H4226" s="4"/>
    </row>
    <row r="4227" spans="1:8" ht="15.75" customHeight="1" x14ac:dyDescent="0.25">
      <c r="D4227" s="4"/>
      <c r="H4227" s="4"/>
    </row>
    <row r="4228" spans="1:8" ht="15.75" customHeight="1" x14ac:dyDescent="0.25">
      <c r="D4228" s="4"/>
      <c r="H4228" s="4"/>
    </row>
    <row r="4229" spans="1:8" ht="15.75" customHeight="1" x14ac:dyDescent="0.25">
      <c r="D4229" s="4"/>
      <c r="H4229" s="4"/>
    </row>
    <row r="4230" spans="1:8" ht="15.75" customHeight="1" x14ac:dyDescent="0.25">
      <c r="D4230" s="4"/>
      <c r="H4230" s="4"/>
    </row>
    <row r="4231" spans="1:8" ht="15.75" customHeight="1" x14ac:dyDescent="0.25">
      <c r="D4231" s="4"/>
      <c r="H4231" s="4"/>
    </row>
    <row r="4232" spans="1:8" ht="15.75" customHeight="1" x14ac:dyDescent="0.25">
      <c r="A4232" s="392" t="s">
        <v>14</v>
      </c>
      <c r="B4232" s="391"/>
      <c r="C4232" s="391"/>
      <c r="D4232" s="391"/>
      <c r="E4232" s="391"/>
      <c r="F4232" s="391"/>
      <c r="G4232" s="391"/>
      <c r="H4232" s="394"/>
    </row>
    <row r="4233" spans="1:8" ht="15.75" customHeight="1" x14ac:dyDescent="0.25">
      <c r="A4233" s="392"/>
      <c r="B4233" s="391"/>
      <c r="C4233" s="391"/>
      <c r="D4233" s="391"/>
      <c r="E4233" s="390"/>
      <c r="F4233" s="392"/>
      <c r="G4233" s="390"/>
      <c r="H4233" s="394"/>
    </row>
    <row r="4234" spans="1:8" ht="15.75" customHeight="1" x14ac:dyDescent="0.25">
      <c r="A4234" s="392"/>
      <c r="B4234" s="391"/>
      <c r="C4234" s="391"/>
      <c r="D4234" s="391"/>
      <c r="E4234" s="390"/>
      <c r="F4234" s="392"/>
      <c r="G4234" s="390"/>
      <c r="H4234" s="394"/>
    </row>
    <row r="4235" spans="1:8" ht="15.75" customHeight="1" x14ac:dyDescent="0.25">
      <c r="A4235" s="390" t="s">
        <v>20</v>
      </c>
      <c r="B4235" s="390"/>
      <c r="C4235" s="390"/>
      <c r="D4235" s="391"/>
      <c r="E4235" s="390"/>
      <c r="F4235" s="392"/>
      <c r="G4235" s="390"/>
      <c r="H4235" s="394"/>
    </row>
    <row r="4236" spans="1:8" ht="15.75" customHeight="1" x14ac:dyDescent="0.25">
      <c r="A4236" s="390" t="inlineStr">
        <is>
          <t>Dealer-013</t>
        </is>
      </c>
      <c r="B4236" s="390"/>
      <c r="C4236" s="390" t="inlineStr">
        <is>
          <t>ATTN: Contact-003</t>
        </is>
      </c>
      <c r="D4236" s="391"/>
      <c r="E4236" s="390"/>
      <c r="F4236" s="395" t="s">
        <v>18</v>
      </c>
      <c r="G4236" s="390" t="s">
        <v>722</v>
      </c>
      <c r="H4236" s="394"/>
    </row>
    <row r="4237" spans="1:8" ht="15.75" customHeight="1" x14ac:dyDescent="0.25">
      <c r="A4237" s="390" t="inlineStr">
        <is>
          <t>Address line (redacted)</t>
        </is>
      </c>
      <c r="B4237" s="390"/>
      <c r="C4237" s="390"/>
      <c r="D4237" s="391"/>
      <c r="E4237" s="390"/>
      <c r="F4237" s="393" t="s">
        <v>21</v>
      </c>
      <c r="G4237" s="390" t="s">
        <v>1588</v>
      </c>
      <c r="H4237" s="394"/>
    </row>
    <row r="4238" spans="1:8" ht="15.75" customHeight="1" x14ac:dyDescent="0.25">
      <c r="A4238" s="390" t="inlineStr">
        <is>
          <t>Address line (redacted)</t>
        </is>
      </c>
      <c r="B4238" s="390"/>
      <c r="C4238" s="390"/>
      <c r="D4238" s="391"/>
      <c r="E4238" s="390"/>
      <c r="F4238" s="391"/>
      <c r="G4238" s="390"/>
      <c r="H4238" s="394"/>
    </row>
    <row r="4239" spans="1:8" ht="15.75" customHeight="1" x14ac:dyDescent="0.25">
      <c r="A4239" s="390"/>
      <c r="B4239" s="390"/>
      <c r="C4239" s="393"/>
      <c r="D4239" s="391"/>
      <c r="E4239" s="390"/>
      <c r="F4239" s="391"/>
      <c r="G4239" s="390"/>
      <c r="H4239" s="394"/>
    </row>
    <row r="4240" spans="1:8" ht="15.75" customHeight="1" x14ac:dyDescent="0.25">
      <c r="A4240" s="390"/>
      <c r="B4240" s="390"/>
      <c r="C4240" s="390"/>
      <c r="D4240" s="391"/>
      <c r="E4240" s="390"/>
      <c r="F4240" s="391"/>
      <c r="G4240" s="390"/>
      <c r="H4240" s="394"/>
    </row>
    <row r="4241" spans="1:8" ht="15.75" customHeight="1" x14ac:dyDescent="0.25">
      <c r="A4241" s="390" t="s">
        <v>30</v>
      </c>
      <c r="B4241" s="390"/>
      <c r="C4241" s="390"/>
      <c r="D4241" s="391"/>
      <c r="E4241" s="390"/>
      <c r="F4241" s="391"/>
      <c r="G4241" s="390"/>
      <c r="H4241" s="394"/>
    </row>
    <row r="4242" spans="1:8" ht="15.75" customHeight="1" x14ac:dyDescent="0.25">
      <c r="A4242" s="390"/>
      <c r="B4242" s="390"/>
      <c r="C4242" s="390"/>
      <c r="D4242" s="391"/>
      <c r="E4242" s="390"/>
      <c r="F4242" s="391"/>
      <c r="G4242" s="390"/>
      <c r="H4242" s="394"/>
    </row>
    <row r="4243" spans="1:8" ht="15.75" customHeight="1" x14ac:dyDescent="0.25">
      <c r="A4243" s="390" t="s">
        <v>1322</v>
      </c>
      <c r="B4243" s="390"/>
      <c r="C4243" s="390"/>
      <c r="D4243" s="391"/>
      <c r="E4243" s="390"/>
      <c r="F4243" s="391"/>
      <c r="G4243" s="390"/>
      <c r="H4243" s="394"/>
    </row>
    <row r="4244" spans="1:8" ht="15.75" customHeight="1" x14ac:dyDescent="0.25">
      <c r="A4244" s="390" t="s">
        <v>1328</v>
      </c>
      <c r="B4244" s="390"/>
      <c r="C4244" s="390"/>
      <c r="D4244" s="391"/>
      <c r="E4244" s="390"/>
      <c r="F4244" s="391"/>
      <c r="G4244" s="390"/>
      <c r="H4244" s="394"/>
    </row>
    <row r="4245" spans="1:8" ht="15.75" customHeight="1" x14ac:dyDescent="0.25">
      <c r="A4245" s="390"/>
      <c r="B4245" s="390"/>
      <c r="C4245" s="390"/>
      <c r="D4245" s="391"/>
      <c r="E4245" s="390"/>
      <c r="F4245" s="391"/>
      <c r="G4245" s="390"/>
      <c r="H4245" s="394"/>
    </row>
    <row r="4246" spans="1:8" ht="15.75" customHeight="1" x14ac:dyDescent="0.25">
      <c r="A4246" s="399" t="s">
        <v>33</v>
      </c>
      <c r="B4246" s="400" t="s">
        <v>6</v>
      </c>
      <c r="C4246" s="400"/>
      <c r="D4246" s="401" t="s">
        <v>37</v>
      </c>
      <c r="E4246" s="402" t="s">
        <v>1309</v>
      </c>
      <c r="F4246" s="609" t="s">
        <v>7</v>
      </c>
      <c r="G4246" s="400" t="s">
        <v>43</v>
      </c>
      <c r="H4246" s="405" t="s">
        <v>44</v>
      </c>
    </row>
    <row r="4247" spans="1:8" ht="15.75" customHeight="1" x14ac:dyDescent="0.25">
      <c r="A4247" s="610"/>
      <c r="B4247" s="611"/>
      <c r="C4247" s="611"/>
      <c r="D4247" s="612"/>
      <c r="E4247" s="613"/>
      <c r="F4247" s="614"/>
      <c r="G4247" s="611"/>
      <c r="H4247" s="615"/>
    </row>
    <row r="4248" spans="1:8" ht="15.75" customHeight="1" x14ac:dyDescent="0.25">
      <c r="A4248" s="581"/>
      <c r="B4248" s="578" t="s">
        <v>573</v>
      </c>
      <c r="C4248" s="578"/>
      <c r="D4248" s="415"/>
      <c r="E4248" s="415"/>
      <c r="F4248" s="415"/>
      <c r="G4248" s="415"/>
      <c r="H4248" s="589"/>
    </row>
    <row r="4249" spans="1:8" ht="15.75" customHeight="1" x14ac:dyDescent="0.25">
      <c r="A4249" s="581" t="s">
        <v>55</v>
      </c>
      <c r="B4249" s="644" t="s">
        <v>530</v>
      </c>
      <c r="C4249" s="418" t="s">
        <v>338</v>
      </c>
      <c r="D4249" s="415">
        <v>2</v>
      </c>
      <c r="E4249" s="415">
        <v>5</v>
      </c>
      <c r="F4249" s="415">
        <f t="shared" ref="F4249:F4255" si="122">+E4249*D4249</f>
      </c>
      <c r="G4249" s="415">
        <v>1</v>
      </c>
      <c r="H4249" s="589">
        <f t="shared" ref="H4249:H4255" si="123">+G4249*F4249</f>
      </c>
    </row>
    <row r="4250" spans="1:8" ht="15.75" customHeight="1" x14ac:dyDescent="0.25">
      <c r="A4250" s="581" t="s">
        <v>59</v>
      </c>
      <c r="B4250" s="644" t="s">
        <v>81</v>
      </c>
      <c r="C4250" s="418" t="s">
        <v>82</v>
      </c>
      <c r="D4250" s="415">
        <v>2</v>
      </c>
      <c r="E4250" s="415">
        <v>5</v>
      </c>
      <c r="F4250" s="415">
        <f t="shared" si="122"/>
      </c>
      <c r="G4250" s="415">
        <v>1</v>
      </c>
      <c r="H4250" s="589">
        <f t="shared" si="123"/>
      </c>
    </row>
    <row r="4251" spans="1:8" ht="15.75" customHeight="1" x14ac:dyDescent="0.25">
      <c r="A4251" s="581" t="s">
        <v>67</v>
      </c>
      <c r="B4251" s="644" t="s">
        <v>139</v>
      </c>
      <c r="C4251" s="418" t="s">
        <v>336</v>
      </c>
      <c r="D4251" s="415">
        <v>4</v>
      </c>
      <c r="E4251" s="415">
        <v>5</v>
      </c>
      <c r="F4251" s="415">
        <f t="shared" si="122"/>
      </c>
      <c r="G4251" s="415">
        <v>1</v>
      </c>
      <c r="H4251" s="589">
        <f t="shared" si="123"/>
      </c>
    </row>
    <row r="4252" spans="1:8" ht="15.75" customHeight="1" x14ac:dyDescent="0.25">
      <c r="A4252" s="581" t="s">
        <v>485</v>
      </c>
      <c r="B4252" s="644" t="s">
        <v>134</v>
      </c>
      <c r="C4252" s="418" t="s">
        <v>332</v>
      </c>
      <c r="D4252" s="415">
        <v>2</v>
      </c>
      <c r="E4252" s="415">
        <v>5</v>
      </c>
      <c r="F4252" s="415">
        <f t="shared" si="122"/>
      </c>
      <c r="G4252" s="415">
        <v>1</v>
      </c>
      <c r="H4252" s="589">
        <f t="shared" si="123"/>
      </c>
    </row>
    <row r="4253" spans="1:8" ht="15.75" customHeight="1" x14ac:dyDescent="0.25">
      <c r="A4253" s="581" t="s">
        <v>486</v>
      </c>
      <c r="B4253" s="582" t="s">
        <v>1298</v>
      </c>
      <c r="C4253" s="582" t="s">
        <v>337</v>
      </c>
      <c r="D4253" s="415">
        <v>1</v>
      </c>
      <c r="E4253" s="415">
        <v>5</v>
      </c>
      <c r="F4253" s="415">
        <f t="shared" si="122"/>
      </c>
      <c r="G4253" s="415">
        <v>1</v>
      </c>
      <c r="H4253" s="589">
        <f t="shared" si="123"/>
      </c>
    </row>
    <row r="4254" spans="1:8" ht="15.75" customHeight="1" x14ac:dyDescent="0.25">
      <c r="A4254" s="581" t="s">
        <v>489</v>
      </c>
      <c r="B4254" s="582" t="s">
        <v>143</v>
      </c>
      <c r="C4254" s="582" t="s">
        <v>339</v>
      </c>
      <c r="D4254" s="415">
        <v>1</v>
      </c>
      <c r="E4254" s="415">
        <v>5</v>
      </c>
      <c r="F4254" s="415">
        <f t="shared" si="122"/>
      </c>
      <c r="G4254" s="415">
        <v>1</v>
      </c>
      <c r="H4254" s="589">
        <f t="shared" si="123"/>
      </c>
    </row>
    <row r="4255" spans="1:8" ht="15.75" customHeight="1" x14ac:dyDescent="0.25">
      <c r="A4255" s="581" t="s">
        <v>490</v>
      </c>
      <c r="B4255" s="582" t="s">
        <v>15</v>
      </c>
      <c r="C4255" s="582" t="s">
        <v>16</v>
      </c>
      <c r="D4255" s="415">
        <v>2</v>
      </c>
      <c r="E4255" s="415">
        <v>5</v>
      </c>
      <c r="F4255" s="415">
        <f t="shared" si="122"/>
      </c>
      <c r="G4255" s="415">
        <v>1</v>
      </c>
      <c r="H4255" s="589">
        <f t="shared" si="123"/>
      </c>
    </row>
    <row r="4256" spans="1:8" ht="15.75" customHeight="1" x14ac:dyDescent="0.25">
      <c r="A4256" s="581"/>
      <c r="B4256" s="578" t="s">
        <v>674</v>
      </c>
      <c r="C4256" s="578"/>
      <c r="D4256" s="415"/>
      <c r="E4256" s="415"/>
      <c r="F4256" s="415"/>
      <c r="G4256" s="415"/>
      <c r="H4256" s="589"/>
    </row>
    <row r="4257" spans="1:8" ht="15.75" customHeight="1" x14ac:dyDescent="0.25">
      <c r="A4257" s="581" t="s">
        <v>781</v>
      </c>
      <c r="B4257" s="582" t="s">
        <v>239</v>
      </c>
      <c r="C4257" s="582"/>
      <c r="D4257" s="415">
        <v>1</v>
      </c>
      <c r="E4257" s="415">
        <v>2</v>
      </c>
      <c r="F4257" s="415">
        <f>+E4257*D4257</f>
      </c>
      <c r="G4257" s="415">
        <v>1</v>
      </c>
      <c r="H4257" s="589">
        <f>+G4257*F4257</f>
      </c>
    </row>
    <row r="4258" spans="1:8" ht="15.75" customHeight="1" x14ac:dyDescent="0.25">
      <c r="A4258" s="581"/>
      <c r="B4258" s="578" t="s">
        <v>1329</v>
      </c>
      <c r="C4258" s="578"/>
      <c r="D4258" s="415"/>
      <c r="E4258" s="415"/>
      <c r="F4258" s="415"/>
      <c r="G4258" s="415"/>
      <c r="H4258" s="589"/>
    </row>
    <row r="4259" spans="1:8" ht="15.75" customHeight="1" x14ac:dyDescent="0.25">
      <c r="A4259" s="581" t="s">
        <v>785</v>
      </c>
      <c r="B4259" s="582" t="s">
        <v>1512</v>
      </c>
      <c r="C4259" s="582"/>
      <c r="D4259" s="415">
        <v>1</v>
      </c>
      <c r="E4259" s="415">
        <v>100</v>
      </c>
      <c r="F4259" s="415">
        <f>+E4259*D4259</f>
      </c>
      <c r="G4259" s="415">
        <v>1</v>
      </c>
      <c r="H4259" s="589">
        <f>+G4259*F4259</f>
      </c>
    </row>
    <row r="4260" spans="1:8" ht="15.75" customHeight="1" x14ac:dyDescent="0.25">
      <c r="A4260" s="581"/>
      <c r="B4260" s="582"/>
      <c r="C4260" s="582"/>
      <c r="D4260" s="415"/>
      <c r="E4260" s="415"/>
      <c r="F4260" s="415"/>
      <c r="G4260" s="415"/>
      <c r="H4260" s="589"/>
    </row>
    <row r="4261" spans="1:8" ht="15.75" customHeight="1" x14ac:dyDescent="0.25">
      <c r="A4261" s="581"/>
      <c r="B4261" s="582"/>
      <c r="C4261" s="582"/>
      <c r="D4261" s="415"/>
      <c r="E4261" s="415"/>
      <c r="F4261" s="415"/>
      <c r="G4261" s="415"/>
      <c r="H4261" s="589"/>
    </row>
    <row r="4262" spans="1:8" ht="15.75" customHeight="1" x14ac:dyDescent="0.25">
      <c r="A4262" s="430"/>
      <c r="B4262" s="409"/>
      <c r="C4262" s="393"/>
      <c r="D4262" s="427"/>
      <c r="E4262" s="427"/>
      <c r="F4262" s="428"/>
      <c r="G4262" s="427"/>
      <c r="H4262" s="429"/>
    </row>
    <row r="4263" spans="1:8" ht="15.75" customHeight="1" x14ac:dyDescent="0.25">
      <c r="A4263" s="432"/>
      <c r="B4263" s="433"/>
      <c r="C4263" s="434" t="s">
        <v>85</v>
      </c>
      <c r="D4263" s="659">
        <f>SUM(D4249:D4262)</f>
      </c>
      <c r="E4263" s="401"/>
      <c r="F4263" s="660"/>
      <c r="G4263" s="661"/>
      <c r="H4263" s="623">
        <f>SUM(H4249:H4262)</f>
      </c>
    </row>
    <row r="4264" spans="1:8" ht="15.75" customHeight="1" x14ac:dyDescent="0.25">
      <c r="A4264" s="439"/>
      <c r="B4264" s="440"/>
      <c r="C4264" s="440"/>
      <c r="D4264" s="441"/>
      <c r="E4264" s="440"/>
      <c r="F4264" s="442"/>
      <c r="G4264" s="443"/>
      <c r="H4264" s="444"/>
    </row>
    <row r="4265" spans="1:8" ht="15.75" customHeight="1" x14ac:dyDescent="0.25">
      <c r="A4265" s="392"/>
      <c r="B4265" s="391"/>
      <c r="C4265" s="391"/>
      <c r="D4265" s="391"/>
      <c r="E4265" s="390"/>
      <c r="F4265" s="392"/>
      <c r="G4265" s="390"/>
      <c r="H4265" s="394"/>
    </row>
    <row r="4266" spans="1:8" ht="15.75" customHeight="1" x14ac:dyDescent="0.25">
      <c r="A4266" s="445"/>
      <c r="B4266" s="445"/>
      <c r="C4266" s="445"/>
      <c r="D4266" s="446" t="s">
        <v>97</v>
      </c>
      <c r="E4266" s="445" t="s">
        <v>98</v>
      </c>
      <c r="F4266" s="445"/>
      <c r="G4266" s="390"/>
      <c r="H4266" s="394"/>
    </row>
    <row r="4267" spans="1:8" ht="15.75" customHeight="1" x14ac:dyDescent="0.25">
      <c r="A4267" s="390"/>
      <c r="B4267" s="390"/>
      <c r="C4267" s="390"/>
      <c r="D4267" s="391"/>
      <c r="E4267" s="390"/>
      <c r="F4267" s="390"/>
      <c r="G4267" s="390"/>
      <c r="H4267" s="394"/>
    </row>
    <row r="4268" spans="1:8" ht="15.75" customHeight="1" x14ac:dyDescent="0.25">
      <c r="A4268" s="390"/>
      <c r="B4268" s="390"/>
      <c r="C4268" s="390"/>
      <c r="D4268" s="391"/>
      <c r="E4268" s="390"/>
      <c r="F4268" s="390"/>
      <c r="G4268" s="390"/>
      <c r="H4268" s="394"/>
    </row>
    <row r="4269" spans="1:8" ht="15.75" customHeight="1" x14ac:dyDescent="0.25">
      <c r="A4269" s="445"/>
      <c r="B4269" s="445"/>
      <c r="C4269" s="445"/>
      <c r="D4269" s="446"/>
      <c r="E4269" s="445" t="s">
        <v>99</v>
      </c>
      <c r="F4269" s="445"/>
      <c r="G4269" s="390"/>
      <c r="H4269" s="394"/>
    </row>
    <row r="4270" spans="1:8" ht="15.75" customHeight="1" x14ac:dyDescent="0.25">
      <c r="D4270" s="4"/>
      <c r="H4270" s="4"/>
    </row>
    <row r="4271" spans="1:8" ht="15.75" customHeight="1" x14ac:dyDescent="0.25">
      <c r="D4271" s="4"/>
      <c r="H4271" s="4"/>
    </row>
    <row r="4272" spans="1:8" ht="15.75" customHeight="1" x14ac:dyDescent="0.25">
      <c r="D4272" s="4"/>
      <c r="H4272" s="4"/>
    </row>
    <row r="4273" spans="1:8" ht="15.75" customHeight="1" x14ac:dyDescent="0.25">
      <c r="D4273" s="4"/>
      <c r="H4273" s="4"/>
    </row>
    <row r="4274" spans="1:8" ht="15.75" customHeight="1" x14ac:dyDescent="0.25">
      <c r="D4274" s="4"/>
      <c r="H4274" s="4"/>
    </row>
    <row r="4275" spans="1:8" ht="15.75" customHeight="1" x14ac:dyDescent="0.25">
      <c r="D4275" s="4"/>
      <c r="H4275" s="4"/>
    </row>
    <row r="4276" spans="1:8" ht="15.75" customHeight="1" x14ac:dyDescent="0.25">
      <c r="D4276" s="4"/>
      <c r="H4276" s="4"/>
    </row>
    <row r="4277" spans="1:8" ht="15.75" customHeight="1" x14ac:dyDescent="0.25">
      <c r="A4277" s="398" t="s">
        <v>14</v>
      </c>
      <c r="B4277" s="391"/>
      <c r="C4277" s="391"/>
      <c r="D4277" s="391"/>
      <c r="E4277" s="391"/>
      <c r="F4277" s="391"/>
      <c r="G4277" s="391"/>
      <c r="H4277" s="394"/>
    </row>
    <row r="4278" spans="1:8" ht="15.75" customHeight="1" x14ac:dyDescent="0.25">
      <c r="A4278" s="390"/>
      <c r="B4278" s="390"/>
      <c r="C4278" s="390"/>
      <c r="D4278" s="392"/>
      <c r="E4278" s="569"/>
      <c r="F4278" s="391"/>
      <c r="G4278" s="390"/>
      <c r="H4278" s="394"/>
    </row>
    <row r="4279" spans="1:8" ht="15.75" customHeight="1" x14ac:dyDescent="0.25">
      <c r="A4279" s="390"/>
      <c r="B4279" s="390"/>
      <c r="C4279" s="393"/>
      <c r="D4279" s="398"/>
      <c r="E4279" s="393"/>
      <c r="F4279" s="395" t="s">
        <v>18</v>
      </c>
      <c r="G4279" s="390" t="s">
        <v>722</v>
      </c>
      <c r="H4279" s="394"/>
    </row>
    <row r="4280" spans="1:8" ht="15.75" customHeight="1" x14ac:dyDescent="0.25">
      <c r="A4280" s="390"/>
      <c r="B4280" s="390"/>
      <c r="C4280" s="390"/>
      <c r="D4280" s="391"/>
      <c r="E4280" s="390"/>
      <c r="F4280" s="393" t="s">
        <v>21</v>
      </c>
      <c r="G4280" s="390" t="s">
        <v>1590</v>
      </c>
      <c r="H4280" s="394"/>
    </row>
    <row r="4281" spans="1:8" ht="15.75" customHeight="1" x14ac:dyDescent="0.25">
      <c r="A4281" s="390" t="s">
        <v>20</v>
      </c>
      <c r="B4281" s="390"/>
      <c r="C4281" s="390"/>
      <c r="D4281" s="391"/>
      <c r="E4281" s="390"/>
      <c r="F4281" s="391"/>
      <c r="G4281" s="390"/>
      <c r="H4281" s="394"/>
    </row>
    <row r="4282" spans="1:8" ht="15.75" customHeight="1" x14ac:dyDescent="0.25">
      <c r="A4282" s="390" t="inlineStr">
        <is>
          <t>Dealer-003</t>
        </is>
      </c>
      <c r="B4282" s="390"/>
      <c r="C4282" s="398"/>
      <c r="D4282" s="391"/>
      <c r="E4282" s="390"/>
      <c r="F4282" s="391"/>
      <c r="G4282" s="390"/>
      <c r="H4282" s="394"/>
    </row>
    <row r="4283" spans="1:8" ht="15.75" customHeight="1" x14ac:dyDescent="0.25">
      <c r="A4283" s="390" t="inlineStr">
        <is>
          <t>Address line (redacted)</t>
        </is>
      </c>
      <c r="B4283" s="390"/>
      <c r="C4283" s="390"/>
      <c r="D4283" s="391"/>
      <c r="E4283" s="390"/>
      <c r="F4283" s="391"/>
      <c r="G4283" s="390"/>
      <c r="H4283" s="394"/>
    </row>
    <row r="4284" spans="1:8" ht="15.75" customHeight="1" x14ac:dyDescent="0.25">
      <c r="A4284" s="390" t="inlineStr">
        <is>
          <t>Address line (redacted)</t>
        </is>
      </c>
      <c r="B4284" s="390"/>
      <c r="C4284" s="390"/>
      <c r="D4284" s="391"/>
      <c r="E4284" s="390"/>
      <c r="F4284" s="391"/>
      <c r="G4284" s="390"/>
      <c r="H4284" s="394"/>
    </row>
    <row r="4285" spans="1:8" ht="15.75" customHeight="1" x14ac:dyDescent="0.25">
      <c r="A4285" s="390"/>
      <c r="B4285" s="390"/>
      <c r="C4285" s="390"/>
      <c r="D4285" s="391"/>
      <c r="E4285" s="390"/>
      <c r="F4285" s="391"/>
      <c r="G4285" s="390"/>
      <c r="H4285" s="394"/>
    </row>
    <row r="4286" spans="1:8" ht="15.75" customHeight="1" x14ac:dyDescent="0.25">
      <c r="A4286" s="390" t="s">
        <v>30</v>
      </c>
      <c r="B4286" s="390"/>
      <c r="C4286" s="390"/>
      <c r="D4286" s="391"/>
      <c r="E4286" s="390"/>
      <c r="F4286" s="391"/>
      <c r="G4286" s="390"/>
      <c r="H4286" s="394"/>
    </row>
    <row r="4287" spans="1:8" ht="15.75" customHeight="1" x14ac:dyDescent="0.25">
      <c r="A4287" s="390"/>
      <c r="B4287" s="390"/>
      <c r="C4287" s="390"/>
      <c r="D4287" s="391"/>
      <c r="E4287" s="390"/>
      <c r="F4287" s="391"/>
      <c r="G4287" s="390"/>
      <c r="H4287" s="394"/>
    </row>
    <row r="4288" spans="1:8" ht="15.75" customHeight="1" x14ac:dyDescent="0.25">
      <c r="A4288" s="390" t="s">
        <v>1322</v>
      </c>
      <c r="B4288" s="390"/>
      <c r="C4288" s="390"/>
      <c r="D4288" s="391"/>
      <c r="E4288" s="390"/>
      <c r="F4288" s="391"/>
      <c r="G4288" s="390"/>
      <c r="H4288" s="394"/>
    </row>
    <row r="4289" spans="1:8" ht="15.75" customHeight="1" x14ac:dyDescent="0.25">
      <c r="A4289" s="390" t="s">
        <v>1328</v>
      </c>
      <c r="B4289" s="390"/>
      <c r="C4289" s="390"/>
      <c r="D4289" s="391"/>
      <c r="E4289" s="390"/>
      <c r="F4289" s="391"/>
      <c r="G4289" s="390"/>
      <c r="H4289" s="394"/>
    </row>
    <row r="4290" spans="1:8" ht="15.75" customHeight="1" x14ac:dyDescent="0.25">
      <c r="A4290" s="390"/>
      <c r="B4290" s="390"/>
      <c r="C4290" s="390"/>
      <c r="D4290" s="391"/>
      <c r="E4290" s="390"/>
      <c r="F4290" s="391"/>
      <c r="G4290" s="390"/>
      <c r="H4290" s="394"/>
    </row>
    <row r="4291" spans="1:8" ht="15.75" customHeight="1" x14ac:dyDescent="0.25">
      <c r="A4291" s="399" t="s">
        <v>33</v>
      </c>
      <c r="B4291" s="400" t="s">
        <v>6</v>
      </c>
      <c r="C4291" s="400"/>
      <c r="D4291" s="401" t="s">
        <v>37</v>
      </c>
      <c r="E4291" s="402" t="s">
        <v>38</v>
      </c>
      <c r="F4291" s="403" t="s">
        <v>7</v>
      </c>
      <c r="G4291" s="404" t="s">
        <v>43</v>
      </c>
      <c r="H4291" s="405" t="s">
        <v>44</v>
      </c>
    </row>
    <row r="4292" spans="1:8" ht="15.75" customHeight="1" x14ac:dyDescent="0.25">
      <c r="A4292" s="406"/>
      <c r="B4292" s="407"/>
      <c r="C4292" s="393"/>
      <c r="D4292" s="410"/>
      <c r="E4292" s="408"/>
      <c r="F4292" s="409"/>
      <c r="G4292" s="410"/>
      <c r="H4292" s="411"/>
    </row>
    <row r="4293" spans="1:8" ht="15.75" customHeight="1" x14ac:dyDescent="0.25">
      <c r="A4293" s="656"/>
      <c r="B4293" s="578" t="s">
        <v>50</v>
      </c>
      <c r="C4293" s="578"/>
      <c r="D4293" s="415"/>
      <c r="E4293" s="415"/>
      <c r="F4293" s="415"/>
      <c r="G4293" s="415"/>
      <c r="H4293" s="416"/>
    </row>
    <row r="4294" spans="1:8" ht="15.75" customHeight="1" x14ac:dyDescent="0.25">
      <c r="A4294" s="656" t="s">
        <v>485</v>
      </c>
      <c r="B4294" s="644" t="s">
        <v>15</v>
      </c>
      <c r="C4294" s="418" t="s">
        <v>442</v>
      </c>
      <c r="D4294" s="415">
        <v>1</v>
      </c>
      <c r="E4294" s="415">
        <v>25</v>
      </c>
      <c r="F4294" s="415">
        <f t="shared" ref="F4294:F4299" si="124">+E4294*D4294</f>
      </c>
      <c r="G4294" s="415">
        <v>1</v>
      </c>
      <c r="H4294" s="416">
        <f t="shared" ref="H4294:H4299" si="125">+G4294*F4294</f>
      </c>
    </row>
    <row r="4295" spans="1:8" ht="15.75" customHeight="1" x14ac:dyDescent="0.25">
      <c r="A4295" s="656" t="s">
        <v>486</v>
      </c>
      <c r="B4295" s="644" t="s">
        <v>226</v>
      </c>
      <c r="C4295" s="418" t="s">
        <v>427</v>
      </c>
      <c r="D4295" s="415">
        <v>2</v>
      </c>
      <c r="E4295" s="415">
        <v>25</v>
      </c>
      <c r="F4295" s="415">
        <f t="shared" si="124"/>
      </c>
      <c r="G4295" s="415">
        <v>1</v>
      </c>
      <c r="H4295" s="416">
        <f t="shared" si="125"/>
      </c>
    </row>
    <row r="4296" spans="1:8" ht="15.75" customHeight="1" x14ac:dyDescent="0.25">
      <c r="A4296" s="656" t="s">
        <v>490</v>
      </c>
      <c r="B4296" s="644" t="s">
        <v>127</v>
      </c>
      <c r="C4296" s="418" t="s">
        <v>439</v>
      </c>
      <c r="D4296" s="415">
        <v>2</v>
      </c>
      <c r="E4296" s="415">
        <v>25</v>
      </c>
      <c r="F4296" s="415">
        <f t="shared" si="124"/>
      </c>
      <c r="G4296" s="415">
        <v>1</v>
      </c>
      <c r="H4296" s="416">
        <f t="shared" si="125"/>
      </c>
    </row>
    <row r="4297" spans="1:8" ht="15.75" customHeight="1" x14ac:dyDescent="0.25">
      <c r="A4297" s="656" t="s">
        <v>781</v>
      </c>
      <c r="B4297" s="644" t="s">
        <v>1592</v>
      </c>
      <c r="C4297" s="418" t="s">
        <v>437</v>
      </c>
      <c r="D4297" s="415">
        <v>2</v>
      </c>
      <c r="E4297" s="415">
        <v>25</v>
      </c>
      <c r="F4297" s="415">
        <f t="shared" si="124"/>
      </c>
      <c r="G4297" s="415">
        <v>1</v>
      </c>
      <c r="H4297" s="416">
        <f t="shared" si="125"/>
      </c>
    </row>
    <row r="4298" spans="1:8" ht="15.75" customHeight="1" x14ac:dyDescent="0.25">
      <c r="A4298" s="656" t="s">
        <v>785</v>
      </c>
      <c r="B4298" s="644" t="s">
        <v>1594</v>
      </c>
      <c r="C4298" s="418" t="s">
        <v>438</v>
      </c>
      <c r="D4298" s="415">
        <v>2</v>
      </c>
      <c r="E4298" s="415">
        <v>25</v>
      </c>
      <c r="F4298" s="415">
        <f t="shared" si="124"/>
      </c>
      <c r="G4298" s="415">
        <v>1</v>
      </c>
      <c r="H4298" s="416">
        <f t="shared" si="125"/>
      </c>
    </row>
    <row r="4299" spans="1:8" ht="15.75" customHeight="1" x14ac:dyDescent="0.25">
      <c r="A4299" s="587"/>
      <c r="B4299" s="644" t="s">
        <v>649</v>
      </c>
      <c r="C4299" s="418" t="s">
        <v>433</v>
      </c>
      <c r="D4299" s="415">
        <v>2</v>
      </c>
      <c r="E4299" s="415">
        <v>25</v>
      </c>
      <c r="F4299" s="415">
        <f t="shared" si="124"/>
      </c>
      <c r="G4299" s="415">
        <v>1</v>
      </c>
      <c r="H4299" s="416">
        <f t="shared" si="125"/>
      </c>
    </row>
    <row r="4300" spans="1:8" ht="15.75" customHeight="1" x14ac:dyDescent="0.25">
      <c r="A4300" s="629"/>
      <c r="B4300" s="448"/>
      <c r="C4300" s="390"/>
      <c r="D4300" s="427"/>
      <c r="E4300" s="427"/>
      <c r="F4300" s="428"/>
      <c r="G4300" s="427"/>
      <c r="H4300" s="429"/>
    </row>
    <row r="4301" spans="1:8" ht="15.75" customHeight="1" x14ac:dyDescent="0.25">
      <c r="A4301" s="629"/>
      <c r="B4301" s="448"/>
      <c r="C4301" s="390"/>
      <c r="D4301" s="427"/>
      <c r="E4301" s="427"/>
      <c r="F4301" s="428"/>
      <c r="G4301" s="427"/>
      <c r="H4301" s="429"/>
    </row>
    <row r="4302" spans="1:8" ht="15.75" customHeight="1" x14ac:dyDescent="0.25">
      <c r="A4302" s="430"/>
      <c r="B4302" s="409"/>
      <c r="C4302" s="393"/>
      <c r="D4302" s="427"/>
      <c r="E4302" s="427"/>
      <c r="F4302" s="428"/>
      <c r="G4302" s="431"/>
      <c r="H4302" s="429"/>
    </row>
    <row r="4303" spans="1:8" ht="15.75" customHeight="1" x14ac:dyDescent="0.25">
      <c r="A4303" s="432"/>
      <c r="B4303" s="433"/>
      <c r="C4303" s="434" t="s">
        <v>85</v>
      </c>
      <c r="D4303" s="436">
        <f>SUM(D4293:D4302)</f>
      </c>
      <c r="E4303" s="436"/>
      <c r="F4303" s="436"/>
      <c r="G4303" s="437"/>
      <c r="H4303" s="623">
        <f>SUM(H4294:H4302)</f>
      </c>
    </row>
    <row r="4304" spans="1:8" ht="15.75" customHeight="1" x14ac:dyDescent="0.25">
      <c r="A4304" s="439"/>
      <c r="B4304" s="440"/>
      <c r="C4304" s="440"/>
      <c r="D4304" s="441"/>
      <c r="E4304" s="440"/>
      <c r="F4304" s="442"/>
      <c r="G4304" s="443"/>
      <c r="H4304" s="444"/>
    </row>
    <row r="4305" spans="1:8" ht="15.75" customHeight="1" x14ac:dyDescent="0.25">
      <c r="A4305" s="392"/>
      <c r="B4305" s="391"/>
      <c r="C4305" s="391"/>
      <c r="D4305" s="391"/>
      <c r="E4305" s="390"/>
      <c r="F4305" s="392"/>
      <c r="G4305" s="390"/>
      <c r="H4305" s="394"/>
    </row>
    <row r="4306" spans="1:8" ht="15.75" customHeight="1" x14ac:dyDescent="0.25">
      <c r="A4306" s="445"/>
      <c r="B4306" s="445"/>
      <c r="C4306" s="445"/>
      <c r="D4306" s="446" t="s">
        <v>97</v>
      </c>
      <c r="E4306" s="445" t="s">
        <v>98</v>
      </c>
      <c r="F4306" s="445"/>
      <c r="G4306" s="390"/>
      <c r="H4306" s="394"/>
    </row>
    <row r="4307" spans="1:8" ht="15.75" customHeight="1" x14ac:dyDescent="0.25">
      <c r="A4307" s="390"/>
      <c r="B4307" s="390"/>
      <c r="C4307" s="390"/>
      <c r="D4307" s="391"/>
      <c r="E4307" s="390"/>
      <c r="F4307" s="390"/>
      <c r="G4307" s="390"/>
      <c r="H4307" s="394"/>
    </row>
    <row r="4308" spans="1:8" ht="15.75" customHeight="1" x14ac:dyDescent="0.25">
      <c r="A4308" s="390"/>
      <c r="B4308" s="390"/>
      <c r="C4308" s="390"/>
      <c r="D4308" s="391"/>
      <c r="E4308" s="390"/>
      <c r="F4308" s="390"/>
      <c r="G4308" s="390"/>
      <c r="H4308" s="394"/>
    </row>
    <row r="4309" spans="1:8" ht="15.75" customHeight="1" x14ac:dyDescent="0.25">
      <c r="A4309" s="445"/>
      <c r="B4309" s="445"/>
      <c r="C4309" s="445"/>
      <c r="D4309" s="446"/>
      <c r="E4309" s="445" t="s">
        <v>99</v>
      </c>
      <c r="F4309" s="445"/>
      <c r="G4309" s="390"/>
      <c r="H4309" s="394"/>
    </row>
    <row r="4310" spans="1:8" ht="15.75" customHeight="1" x14ac:dyDescent="0.25">
      <c r="D4310" s="4"/>
      <c r="H4310" s="4"/>
    </row>
    <row r="4311" spans="1:8" ht="15.75" customHeight="1" x14ac:dyDescent="0.25">
      <c r="D4311" s="4"/>
      <c r="H4311" s="4"/>
    </row>
    <row r="4312" spans="1:8" ht="15.75" customHeight="1" x14ac:dyDescent="0.25">
      <c r="D4312" s="4"/>
      <c r="H4312" s="4"/>
    </row>
    <row r="4313" spans="1:8" ht="15.75" customHeight="1" x14ac:dyDescent="0.25">
      <c r="D4313" s="4"/>
      <c r="H4313" s="4"/>
    </row>
    <row r="4314" spans="1:8" ht="15.75" customHeight="1" x14ac:dyDescent="0.25">
      <c r="D4314" s="4"/>
      <c r="H4314" s="4"/>
    </row>
    <row r="4315" spans="1:8" ht="15.75" customHeight="1" x14ac:dyDescent="0.25">
      <c r="D4315" s="4"/>
      <c r="H4315" s="4"/>
    </row>
    <row r="4316" spans="1:8" ht="15.75" customHeight="1" x14ac:dyDescent="0.25">
      <c r="D4316" s="4"/>
      <c r="H4316" s="4"/>
    </row>
    <row r="4317" spans="1:8" ht="15.75" customHeight="1" x14ac:dyDescent="0.25">
      <c r="D4317" s="4"/>
      <c r="H4317" s="4"/>
    </row>
    <row r="4318" spans="1:8" ht="15.75" customHeight="1" x14ac:dyDescent="0.25">
      <c r="D4318" s="4"/>
      <c r="H4318" s="4"/>
    </row>
    <row r="4319" spans="1:8" ht="15.75" customHeight="1" x14ac:dyDescent="0.25">
      <c r="D4319" s="4"/>
      <c r="H4319" s="4"/>
    </row>
    <row r="4320" spans="1:8" ht="15.75" customHeight="1" x14ac:dyDescent="0.25">
      <c r="D4320" s="4"/>
      <c r="H4320" s="4"/>
    </row>
    <row r="4321" spans="1:8" ht="15.75" customHeight="1" x14ac:dyDescent="0.25">
      <c r="D4321" s="4"/>
      <c r="H4321" s="4"/>
    </row>
    <row r="4322" spans="1:8" ht="15.75" customHeight="1" x14ac:dyDescent="0.25">
      <c r="D4322" s="4"/>
      <c r="H4322" s="4"/>
    </row>
    <row r="4323" spans="1:8" ht="15.75" customHeight="1" x14ac:dyDescent="0.25">
      <c r="A4323" s="398" t="s">
        <v>14</v>
      </c>
      <c r="B4323" s="391"/>
      <c r="C4323" s="391"/>
      <c r="D4323" s="391"/>
      <c r="E4323" s="391"/>
      <c r="F4323" s="391"/>
      <c r="G4323" s="391"/>
      <c r="H4323" s="394"/>
    </row>
    <row r="4324" spans="1:8" ht="15.75" customHeight="1" x14ac:dyDescent="0.25">
      <c r="A4324" s="390"/>
      <c r="B4324" s="390"/>
      <c r="C4324" s="390"/>
      <c r="D4324" s="392"/>
      <c r="E4324" s="569"/>
      <c r="F4324" s="391"/>
      <c r="G4324" s="390"/>
      <c r="H4324" s="394"/>
    </row>
    <row r="4325" spans="1:8" ht="15.75" customHeight="1" x14ac:dyDescent="0.25">
      <c r="A4325" s="390"/>
      <c r="B4325" s="390"/>
      <c r="C4325" s="390"/>
      <c r="D4325" s="391"/>
      <c r="E4325" s="390"/>
      <c r="F4325" s="395" t="s">
        <v>18</v>
      </c>
      <c r="G4325" s="390" t="s">
        <v>722</v>
      </c>
      <c r="H4325" s="394"/>
    </row>
    <row r="4326" spans="1:8" ht="15.75" customHeight="1" x14ac:dyDescent="0.25">
      <c r="A4326" s="390"/>
      <c r="B4326" s="390"/>
      <c r="C4326" s="390"/>
      <c r="D4326" s="391"/>
      <c r="E4326" s="390"/>
      <c r="F4326" s="393" t="s">
        <v>21</v>
      </c>
      <c r="G4326" s="390" t="s">
        <v>1596</v>
      </c>
      <c r="H4326" s="394"/>
    </row>
    <row r="4327" spans="1:8" ht="15.75" customHeight="1" x14ac:dyDescent="0.25">
      <c r="A4327" s="390" t="s">
        <v>20</v>
      </c>
      <c r="B4327" s="390"/>
      <c r="C4327" s="390"/>
      <c r="D4327" s="391"/>
      <c r="E4327" s="390"/>
      <c r="F4327" s="391"/>
      <c r="G4327" s="390"/>
      <c r="H4327" s="394"/>
    </row>
    <row r="4328" spans="1:8" ht="15.75" customHeight="1" x14ac:dyDescent="0.25">
      <c r="A4328" s="390" t="inlineStr">
        <is>
          <t>Dealer-004</t>
        </is>
      </c>
      <c r="B4328" s="390"/>
      <c r="C4328" s="390"/>
      <c r="D4328" s="391"/>
      <c r="E4328" s="390"/>
      <c r="F4328" s="391"/>
      <c r="G4328" s="390"/>
      <c r="H4328" s="394"/>
    </row>
    <row r="4329" spans="1:8" ht="15.75" customHeight="1" x14ac:dyDescent="0.25">
      <c r="A4329" s="390" t="inlineStr">
        <is>
          <t>Address line (redacted)</t>
        </is>
      </c>
      <c r="B4329" s="390"/>
      <c r="C4329" s="390"/>
      <c r="D4329" s="391"/>
      <c r="E4329" s="390"/>
      <c r="F4329" s="391"/>
      <c r="G4329" s="390"/>
      <c r="H4329" s="394"/>
    </row>
    <row r="4330" spans="1:8" ht="15.75" customHeight="1" x14ac:dyDescent="0.25">
      <c r="A4330" s="390" t="inlineStr">
        <is>
          <t>Address line (redacted)</t>
        </is>
      </c>
      <c r="B4330" s="390"/>
      <c r="C4330" s="390"/>
      <c r="D4330" s="391"/>
      <c r="E4330" s="390"/>
      <c r="F4330" s="391"/>
      <c r="G4330" s="390"/>
      <c r="H4330" s="394"/>
    </row>
    <row r="4331" spans="1:8" ht="15.75" customHeight="1" x14ac:dyDescent="0.25">
      <c r="A4331" s="390"/>
      <c r="B4331" s="390"/>
      <c r="C4331" s="390"/>
      <c r="D4331" s="391"/>
      <c r="E4331" s="390"/>
      <c r="F4331" s="391"/>
      <c r="G4331" s="390"/>
      <c r="H4331" s="394"/>
    </row>
    <row r="4332" spans="1:8" ht="15.75" customHeight="1" x14ac:dyDescent="0.25">
      <c r="A4332" s="390" t="s">
        <v>30</v>
      </c>
      <c r="B4332" s="390"/>
      <c r="C4332" s="390"/>
      <c r="D4332" s="391"/>
      <c r="E4332" s="390"/>
      <c r="F4332" s="391"/>
      <c r="G4332" s="390"/>
      <c r="H4332" s="394"/>
    </row>
    <row r="4333" spans="1:8" ht="15.75" customHeight="1" x14ac:dyDescent="0.25">
      <c r="A4333" s="390"/>
      <c r="B4333" s="390"/>
      <c r="C4333" s="390"/>
      <c r="D4333" s="391"/>
      <c r="E4333" s="390"/>
      <c r="F4333" s="391"/>
      <c r="G4333" s="390"/>
      <c r="H4333" s="394"/>
    </row>
    <row r="4334" spans="1:8" ht="15.75" customHeight="1" x14ac:dyDescent="0.25">
      <c r="A4334" s="390" t="s">
        <v>1322</v>
      </c>
      <c r="B4334" s="390"/>
      <c r="C4334" s="390"/>
      <c r="D4334" s="391"/>
      <c r="E4334" s="390"/>
      <c r="F4334" s="391"/>
      <c r="G4334" s="390"/>
      <c r="H4334" s="394"/>
    </row>
    <row r="4335" spans="1:8" ht="15.75" customHeight="1" x14ac:dyDescent="0.25">
      <c r="A4335" s="390" t="s">
        <v>1328</v>
      </c>
      <c r="B4335" s="390"/>
      <c r="C4335" s="390"/>
      <c r="D4335" s="391"/>
      <c r="E4335" s="390"/>
      <c r="F4335" s="391"/>
      <c r="G4335" s="390"/>
      <c r="H4335" s="394"/>
    </row>
    <row r="4336" spans="1:8" ht="15.75" customHeight="1" x14ac:dyDescent="0.25">
      <c r="A4336" s="390"/>
      <c r="B4336" s="390"/>
      <c r="C4336" s="390"/>
      <c r="D4336" s="391"/>
      <c r="E4336" s="390"/>
      <c r="F4336" s="391"/>
      <c r="G4336" s="390"/>
      <c r="H4336" s="394"/>
    </row>
    <row r="4337" spans="1:8" ht="15.75" customHeight="1" x14ac:dyDescent="0.25">
      <c r="A4337" s="399" t="s">
        <v>33</v>
      </c>
      <c r="B4337" s="400" t="s">
        <v>6</v>
      </c>
      <c r="C4337" s="400"/>
      <c r="D4337" s="401" t="s">
        <v>37</v>
      </c>
      <c r="E4337" s="402" t="s">
        <v>38</v>
      </c>
      <c r="F4337" s="403" t="s">
        <v>7</v>
      </c>
      <c r="G4337" s="404" t="s">
        <v>43</v>
      </c>
      <c r="H4337" s="405" t="s">
        <v>44</v>
      </c>
    </row>
    <row r="4338" spans="1:8" ht="15.75" customHeight="1" x14ac:dyDescent="0.25">
      <c r="A4338" s="406"/>
      <c r="B4338" s="407"/>
      <c r="C4338" s="393"/>
      <c r="D4338" s="410"/>
      <c r="E4338" s="408"/>
      <c r="F4338" s="409"/>
      <c r="G4338" s="410"/>
      <c r="H4338" s="411"/>
    </row>
    <row r="4339" spans="1:8" ht="15.75" customHeight="1" x14ac:dyDescent="0.25">
      <c r="A4339" s="412"/>
      <c r="B4339" s="578" t="s">
        <v>1597</v>
      </c>
      <c r="C4339" s="578"/>
      <c r="D4339" s="415"/>
      <c r="E4339" s="415"/>
      <c r="F4339" s="415"/>
      <c r="G4339" s="415"/>
      <c r="H4339" s="416"/>
    </row>
    <row r="4340" spans="1:8" ht="15.75" customHeight="1" x14ac:dyDescent="0.25">
      <c r="A4340" s="412" t="s">
        <v>55</v>
      </c>
      <c r="B4340" s="644" t="s">
        <v>250</v>
      </c>
      <c r="C4340" s="418" t="s">
        <v>410</v>
      </c>
      <c r="D4340" s="415">
        <v>1</v>
      </c>
      <c r="E4340" s="415" t="s">
        <v>1598</v>
      </c>
      <c r="F4340" s="415">
        <f>25*8</f>
      </c>
      <c r="G4340" s="415">
        <v>1</v>
      </c>
      <c r="H4340" s="416">
        <f>+G4340*F4340</f>
      </c>
    </row>
    <row r="4341" spans="1:8" ht="15.75" customHeight="1" x14ac:dyDescent="0.25">
      <c r="A4341" s="581"/>
      <c r="B4341" s="582"/>
      <c r="C4341" s="582"/>
      <c r="D4341" s="415"/>
      <c r="E4341" s="415"/>
      <c r="F4341" s="415"/>
      <c r="G4341" s="582"/>
      <c r="H4341" s="589"/>
    </row>
    <row r="4342" spans="1:8" ht="15.75" customHeight="1" x14ac:dyDescent="0.25">
      <c r="A4342" s="502"/>
      <c r="B4342" s="630"/>
      <c r="C4342" s="658"/>
      <c r="D4342" s="427"/>
      <c r="E4342" s="427"/>
      <c r="F4342" s="428"/>
      <c r="G4342" s="427"/>
      <c r="H4342" s="429"/>
    </row>
    <row r="4343" spans="1:8" ht="15.75" customHeight="1" x14ac:dyDescent="0.25">
      <c r="A4343" s="430"/>
      <c r="B4343" s="409"/>
      <c r="C4343" s="393"/>
      <c r="D4343" s="427"/>
      <c r="E4343" s="427"/>
      <c r="F4343" s="428"/>
      <c r="G4343" s="431"/>
      <c r="H4343" s="429"/>
    </row>
    <row r="4344" spans="1:8" ht="15.75" customHeight="1" x14ac:dyDescent="0.25">
      <c r="A4344" s="432"/>
      <c r="B4344" s="433"/>
      <c r="C4344" s="434" t="s">
        <v>85</v>
      </c>
      <c r="D4344" s="436">
        <f>SUM(D4340:D4343)</f>
      </c>
      <c r="E4344" s="436"/>
      <c r="F4344" s="436"/>
      <c r="G4344" s="437"/>
      <c r="H4344" s="623">
        <f>SUM(H4340:H4343)</f>
      </c>
    </row>
    <row r="4345" spans="1:8" ht="15.75" customHeight="1" x14ac:dyDescent="0.25">
      <c r="A4345" s="439"/>
      <c r="B4345" s="440"/>
      <c r="C4345" s="440"/>
      <c r="D4345" s="441"/>
      <c r="E4345" s="440"/>
      <c r="F4345" s="442"/>
      <c r="G4345" s="443"/>
      <c r="H4345" s="444"/>
    </row>
    <row r="4346" spans="1:8" ht="15.75" customHeight="1" x14ac:dyDescent="0.25">
      <c r="A4346" s="392"/>
      <c r="B4346" s="391"/>
      <c r="C4346" s="391"/>
      <c r="D4346" s="391"/>
      <c r="E4346" s="390"/>
      <c r="F4346" s="392"/>
      <c r="G4346" s="390"/>
      <c r="H4346" s="394"/>
    </row>
    <row r="4347" spans="1:8" ht="15.75" customHeight="1" x14ac:dyDescent="0.25">
      <c r="A4347" s="445"/>
      <c r="B4347" s="445"/>
      <c r="C4347" s="445"/>
      <c r="D4347" s="446" t="s">
        <v>97</v>
      </c>
      <c r="E4347" s="445" t="s">
        <v>98</v>
      </c>
      <c r="F4347" s="445"/>
      <c r="G4347" s="390"/>
      <c r="H4347" s="394"/>
    </row>
    <row r="4348" spans="1:8" ht="15.75" customHeight="1" x14ac:dyDescent="0.25">
      <c r="A4348" s="390"/>
      <c r="B4348" s="390"/>
      <c r="C4348" s="390"/>
      <c r="D4348" s="391"/>
      <c r="E4348" s="390"/>
      <c r="F4348" s="390"/>
      <c r="G4348" s="390"/>
      <c r="H4348" s="394"/>
    </row>
    <row r="4349" spans="1:8" ht="15.75" customHeight="1" x14ac:dyDescent="0.25">
      <c r="A4349" s="390"/>
      <c r="B4349" s="390"/>
      <c r="C4349" s="390"/>
      <c r="D4349" s="391"/>
      <c r="E4349" s="390"/>
      <c r="F4349" s="390"/>
      <c r="G4349" s="390"/>
      <c r="H4349" s="394"/>
    </row>
    <row r="4350" spans="1:8" ht="15.75" customHeight="1" x14ac:dyDescent="0.25">
      <c r="A4350" s="445"/>
      <c r="B4350" s="445"/>
      <c r="C4350" s="445"/>
      <c r="D4350" s="446"/>
      <c r="E4350" s="445" t="s">
        <v>99</v>
      </c>
      <c r="F4350" s="445"/>
      <c r="G4350" s="390"/>
      <c r="H4350" s="394"/>
    </row>
    <row r="4351" spans="1:8" ht="15.75" customHeight="1" x14ac:dyDescent="0.25">
      <c r="D4351" s="4"/>
      <c r="H4351" s="4"/>
    </row>
    <row r="4352" spans="1:8" ht="15.75" customHeight="1" x14ac:dyDescent="0.25">
      <c r="D4352" s="4"/>
      <c r="H4352" s="4"/>
    </row>
    <row r="4353" spans="4:8" ht="15.75" customHeight="1" x14ac:dyDescent="0.25">
      <c r="D4353" s="4"/>
      <c r="H4353" s="4"/>
    </row>
    <row r="4354" spans="4:8" ht="15.75" customHeight="1" x14ac:dyDescent="0.25">
      <c r="D4354" s="4"/>
      <c r="H4354" s="4"/>
    </row>
    <row r="4355" spans="4:8" ht="15.75" customHeight="1" x14ac:dyDescent="0.25">
      <c r="D4355" s="4"/>
      <c r="H4355" s="4"/>
    </row>
    <row r="4356" spans="4:8" ht="15.75" customHeight="1" x14ac:dyDescent="0.25">
      <c r="D4356" s="4"/>
      <c r="H4356" s="4"/>
    </row>
    <row r="4357" spans="4:8" ht="15.75" customHeight="1" x14ac:dyDescent="0.25">
      <c r="D4357" s="4"/>
      <c r="H4357" s="4"/>
    </row>
    <row r="4358" spans="4:8" ht="15.75" customHeight="1" x14ac:dyDescent="0.25">
      <c r="D4358" s="4"/>
      <c r="H4358" s="4"/>
    </row>
    <row r="4359" spans="4:8" ht="15.75" customHeight="1" x14ac:dyDescent="0.25">
      <c r="D4359" s="4"/>
      <c r="H4359" s="4"/>
    </row>
    <row r="4360" spans="4:8" ht="15.75" customHeight="1" x14ac:dyDescent="0.25">
      <c r="D4360" s="4"/>
      <c r="H4360" s="4"/>
    </row>
    <row r="4361" spans="4:8" ht="15.75" customHeight="1" x14ac:dyDescent="0.25">
      <c r="D4361" s="4"/>
      <c r="H4361" s="4"/>
    </row>
    <row r="4362" spans="4:8" ht="15.75" customHeight="1" x14ac:dyDescent="0.25">
      <c r="D4362" s="4"/>
      <c r="H4362" s="4"/>
    </row>
    <row r="4363" spans="4:8" ht="15.75" customHeight="1" x14ac:dyDescent="0.25">
      <c r="D4363" s="4"/>
      <c r="H4363" s="4"/>
    </row>
    <row r="4364" spans="4:8" ht="15.75" customHeight="1" x14ac:dyDescent="0.25">
      <c r="D4364" s="4"/>
      <c r="H4364" s="4"/>
    </row>
    <row r="4365" spans="4:8" ht="15.75" customHeight="1" x14ac:dyDescent="0.25">
      <c r="D4365" s="4"/>
      <c r="H4365" s="4"/>
    </row>
    <row r="4366" spans="4:8" ht="15.75" customHeight="1" x14ac:dyDescent="0.25">
      <c r="D4366" s="4"/>
      <c r="H4366" s="4"/>
    </row>
    <row r="4367" spans="4:8" ht="15.75" customHeight="1" x14ac:dyDescent="0.25">
      <c r="D4367" s="4"/>
      <c r="H4367" s="4"/>
    </row>
    <row r="4368" spans="4:8" ht="15.75" customHeight="1" x14ac:dyDescent="0.25">
      <c r="D4368" s="4"/>
      <c r="H4368" s="4"/>
    </row>
    <row r="4369" spans="1:8" ht="15.75" customHeight="1" x14ac:dyDescent="0.25">
      <c r="A4369" s="398" t="s">
        <v>14</v>
      </c>
      <c r="B4369" s="398"/>
      <c r="C4369" s="398"/>
      <c r="D4369" s="398"/>
      <c r="E4369" s="398"/>
      <c r="F4369" s="398"/>
      <c r="G4369" s="398"/>
      <c r="H4369" s="398"/>
    </row>
    <row r="4370" spans="1:8" ht="15.75" customHeight="1" x14ac:dyDescent="0.25">
      <c r="A4370" s="390"/>
      <c r="B4370" s="390"/>
      <c r="C4370" s="390"/>
      <c r="D4370" s="391"/>
      <c r="E4370" s="390"/>
      <c r="F4370" s="390"/>
      <c r="G4370" s="390"/>
      <c r="H4370" s="398"/>
    </row>
    <row r="4371" spans="1:8" ht="15.75" customHeight="1" x14ac:dyDescent="0.25">
      <c r="A4371" s="390"/>
      <c r="B4371" s="390"/>
      <c r="C4371" s="391"/>
      <c r="D4371" s="392"/>
      <c r="E4371" s="393"/>
      <c r="F4371" s="393"/>
      <c r="G4371" s="393"/>
      <c r="H4371" s="394"/>
    </row>
    <row r="4372" spans="1:8" ht="15.75" customHeight="1" x14ac:dyDescent="0.25">
      <c r="A4372" s="390"/>
      <c r="B4372" s="390"/>
      <c r="C4372" s="390"/>
      <c r="D4372" s="391"/>
      <c r="E4372" s="390"/>
      <c r="F4372" s="395" t="s">
        <v>18</v>
      </c>
      <c r="G4372" s="396" t="s">
        <v>728</v>
      </c>
      <c r="H4372" s="397"/>
    </row>
    <row r="4373" spans="1:8" ht="15.75" customHeight="1" x14ac:dyDescent="0.25">
      <c r="A4373" s="390" t="s">
        <v>20</v>
      </c>
      <c r="B4373" s="390"/>
      <c r="C4373" s="390"/>
      <c r="D4373" s="391"/>
      <c r="E4373" s="390"/>
      <c r="F4373" s="395" t="s">
        <v>21</v>
      </c>
      <c r="G4373" s="390" t="s">
        <v>1436</v>
      </c>
      <c r="H4373" s="391"/>
    </row>
    <row r="4374" spans="1:8" ht="15.75" customHeight="1" x14ac:dyDescent="0.25">
      <c r="A4374" s="390" t="inlineStr">
        <is>
          <t>Dealer-002</t>
        </is>
      </c>
      <c r="B4374" s="390"/>
      <c r="C4374" s="390"/>
      <c r="D4374" s="391"/>
      <c r="E4374" s="395"/>
      <c r="F4374" s="390"/>
      <c r="G4374" s="390"/>
      <c r="H4374" s="394"/>
    </row>
    <row r="4375" spans="1:8" ht="15.75" customHeight="1" x14ac:dyDescent="0.25">
      <c r="A4375" s="390" t="inlineStr">
        <is>
          <t>Address line (redacted)</t>
        </is>
      </c>
      <c r="B4375" s="390"/>
      <c r="C4375" s="390"/>
      <c r="D4375" s="398"/>
      <c r="E4375" s="390"/>
      <c r="F4375" s="391"/>
      <c r="G4375" s="390"/>
      <c r="H4375" s="394"/>
    </row>
    <row r="4376" spans="1:8" ht="15.75" customHeight="1" x14ac:dyDescent="0.25">
      <c r="A4376" s="390" t="inlineStr">
        <is>
          <t>Address line (redacted)</t>
        </is>
      </c>
      <c r="B4376" s="390"/>
      <c r="C4376" s="390"/>
      <c r="D4376" s="398"/>
      <c r="E4376" s="390"/>
      <c r="F4376" s="391"/>
      <c r="G4376" s="390"/>
      <c r="H4376" s="394"/>
    </row>
    <row r="4377" spans="1:8" ht="15.75" customHeight="1" x14ac:dyDescent="0.25">
      <c r="A4377" s="447"/>
      <c r="B4377" s="390"/>
      <c r="C4377" s="390"/>
      <c r="D4377" s="391"/>
      <c r="E4377" s="390"/>
      <c r="F4377" s="391"/>
      <c r="G4377" s="390"/>
      <c r="H4377" s="394"/>
    </row>
    <row r="4378" spans="1:8" ht="15.75" customHeight="1" x14ac:dyDescent="0.25">
      <c r="A4378" s="390" t="s">
        <v>30</v>
      </c>
      <c r="B4378" s="390"/>
      <c r="C4378" s="390"/>
      <c r="D4378" s="391"/>
      <c r="E4378" s="390"/>
      <c r="F4378" s="391"/>
      <c r="G4378" s="390"/>
      <c r="H4378" s="394"/>
    </row>
    <row r="4379" spans="1:8" ht="15.75" customHeight="1" x14ac:dyDescent="0.25">
      <c r="A4379" s="390"/>
      <c r="B4379" s="390"/>
      <c r="C4379" s="390"/>
      <c r="D4379" s="391"/>
      <c r="E4379" s="390"/>
      <c r="F4379" s="391"/>
      <c r="G4379" s="390"/>
      <c r="H4379" s="394"/>
    </row>
    <row r="4380" spans="1:8" ht="15.75" customHeight="1" x14ac:dyDescent="0.25">
      <c r="A4380" s="390" t="s">
        <v>31</v>
      </c>
      <c r="B4380" s="390"/>
      <c r="C4380" s="390"/>
      <c r="D4380" s="391"/>
      <c r="E4380" s="390"/>
      <c r="F4380" s="391"/>
      <c r="G4380" s="390"/>
      <c r="H4380" s="394"/>
    </row>
    <row r="4381" spans="1:8" ht="15.75" customHeight="1" x14ac:dyDescent="0.25">
      <c r="A4381" s="390" t="s">
        <v>32</v>
      </c>
      <c r="B4381" s="390"/>
      <c r="C4381" s="390"/>
      <c r="D4381" s="391"/>
      <c r="E4381" s="390"/>
      <c r="F4381" s="391"/>
      <c r="G4381" s="390"/>
      <c r="H4381" s="394"/>
    </row>
    <row r="4382" spans="1:8" ht="15.75" customHeight="1" x14ac:dyDescent="0.25">
      <c r="A4382" s="390"/>
      <c r="B4382" s="390"/>
      <c r="C4382" s="390"/>
      <c r="D4382" s="391"/>
      <c r="E4382" s="390"/>
      <c r="F4382" s="391"/>
      <c r="G4382" s="390"/>
      <c r="H4382" s="394"/>
    </row>
    <row r="4383" spans="1:8" ht="15.75" customHeight="1" x14ac:dyDescent="0.25">
      <c r="A4383" s="399" t="s">
        <v>33</v>
      </c>
      <c r="B4383" s="400" t="s">
        <v>6</v>
      </c>
      <c r="C4383" s="400"/>
      <c r="D4383" s="401" t="s">
        <v>37</v>
      </c>
      <c r="E4383" s="402" t="s">
        <v>38</v>
      </c>
      <c r="F4383" s="403" t="s">
        <v>7</v>
      </c>
      <c r="G4383" s="404" t="s">
        <v>43</v>
      </c>
      <c r="H4383" s="405" t="s">
        <v>44</v>
      </c>
    </row>
    <row r="4384" spans="1:8" ht="15.75" customHeight="1" x14ac:dyDescent="0.25">
      <c r="A4384" s="406"/>
      <c r="B4384" s="407"/>
      <c r="C4384" s="393"/>
      <c r="D4384" s="408"/>
      <c r="E4384" s="408"/>
      <c r="F4384" s="409"/>
      <c r="G4384" s="410"/>
      <c r="H4384" s="411"/>
    </row>
    <row r="4385" spans="1:8" ht="15.75" customHeight="1" x14ac:dyDescent="0.25">
      <c r="A4385" s="412"/>
      <c r="B4385" s="578" t="s">
        <v>573</v>
      </c>
      <c r="C4385" s="578"/>
      <c r="D4385" s="415"/>
      <c r="E4385" s="415"/>
      <c r="F4385" s="415"/>
      <c r="G4385" s="415"/>
      <c r="H4385" s="416"/>
    </row>
    <row r="4386" spans="1:8" ht="15.75" customHeight="1" x14ac:dyDescent="0.25">
      <c r="A4386" s="581" t="s">
        <v>55</v>
      </c>
      <c r="B4386" s="644" t="s">
        <v>134</v>
      </c>
      <c r="C4386" s="418" t="s">
        <v>332</v>
      </c>
      <c r="D4386" s="415">
        <v>1</v>
      </c>
      <c r="E4386" s="415">
        <v>5</v>
      </c>
      <c r="F4386" s="415">
        <f t="shared" ref="F4386:F4387" si="126">+E4386*D4386</f>
      </c>
      <c r="G4386" s="415">
        <v>1</v>
      </c>
      <c r="H4386" s="589">
        <f t="shared" ref="H4386:H4387" si="127">+G4386*F4386</f>
      </c>
    </row>
    <row r="4387" spans="1:8" ht="15.75" customHeight="1" x14ac:dyDescent="0.25">
      <c r="A4387" s="412" t="s">
        <v>59</v>
      </c>
      <c r="B4387" s="644" t="s">
        <v>118</v>
      </c>
      <c r="C4387" s="418" t="s">
        <v>1599</v>
      </c>
      <c r="D4387" s="415">
        <v>1</v>
      </c>
      <c r="E4387" s="415">
        <v>5</v>
      </c>
      <c r="F4387" s="415">
        <f t="shared" si="126"/>
      </c>
      <c r="G4387" s="415">
        <v>1</v>
      </c>
      <c r="H4387" s="416">
        <f t="shared" si="127"/>
      </c>
    </row>
    <row r="4388" spans="1:8" ht="15.75" customHeight="1" x14ac:dyDescent="0.25">
      <c r="A4388" s="581"/>
      <c r="B4388" s="578" t="s">
        <v>674</v>
      </c>
      <c r="C4388" s="578"/>
      <c r="D4388" s="415"/>
      <c r="E4388" s="415"/>
      <c r="F4388" s="415"/>
      <c r="G4388" s="415"/>
      <c r="H4388" s="589"/>
    </row>
    <row r="4389" spans="1:8" ht="15.75" customHeight="1" x14ac:dyDescent="0.25">
      <c r="A4389" s="581" t="s">
        <v>67</v>
      </c>
      <c r="B4389" s="644" t="s">
        <v>1587</v>
      </c>
      <c r="C4389" s="418" t="s">
        <v>1165</v>
      </c>
      <c r="D4389" s="415">
        <v>10</v>
      </c>
      <c r="E4389" s="415">
        <v>1</v>
      </c>
      <c r="F4389" s="415">
        <f t="shared" ref="F4389:F4391" si="128">+E4389*D4389</f>
      </c>
      <c r="G4389" s="415">
        <v>1</v>
      </c>
      <c r="H4389" s="589">
        <f t="shared" ref="H4389:H4390" si="129">+G4389*F4389</f>
      </c>
    </row>
    <row r="4390" spans="1:8" ht="15.75" customHeight="1" x14ac:dyDescent="0.25">
      <c r="A4390" s="581" t="s">
        <v>485</v>
      </c>
      <c r="B4390" s="644" t="s">
        <v>1587</v>
      </c>
      <c r="C4390" s="418" t="s">
        <v>1164</v>
      </c>
      <c r="D4390" s="415">
        <v>10</v>
      </c>
      <c r="E4390" s="415">
        <v>1</v>
      </c>
      <c r="F4390" s="415">
        <f t="shared" si="128"/>
      </c>
      <c r="G4390" s="415">
        <v>1</v>
      </c>
      <c r="H4390" s="589">
        <f t="shared" si="129"/>
      </c>
    </row>
    <row r="4391" spans="1:8" ht="15.75" customHeight="1" x14ac:dyDescent="0.25">
      <c r="A4391" s="412" t="s">
        <v>486</v>
      </c>
      <c r="B4391" s="417" t="s">
        <v>1447</v>
      </c>
      <c r="C4391" s="418"/>
      <c r="D4391" s="415">
        <v>2</v>
      </c>
      <c r="E4391" s="415">
        <v>10</v>
      </c>
      <c r="F4391" s="415">
        <f t="shared" si="128"/>
      </c>
      <c r="G4391" s="582" t="s">
        <v>1435</v>
      </c>
      <c r="H4391" s="416"/>
    </row>
    <row r="4392" spans="1:8" ht="15.75" customHeight="1" x14ac:dyDescent="0.25">
      <c r="A4392" s="430"/>
      <c r="B4392" s="409"/>
      <c r="C4392" s="393"/>
      <c r="D4392" s="427"/>
      <c r="E4392" s="427"/>
      <c r="F4392" s="428"/>
      <c r="G4392" s="431"/>
      <c r="H4392" s="429"/>
    </row>
    <row r="4393" spans="1:8" ht="15.75" customHeight="1" x14ac:dyDescent="0.25">
      <c r="A4393" s="432"/>
      <c r="B4393" s="433"/>
      <c r="C4393" s="434" t="s">
        <v>85</v>
      </c>
      <c r="D4393" s="435">
        <f>SUM(D4386:D4392)</f>
      </c>
      <c r="E4393" s="435"/>
      <c r="F4393" s="435"/>
      <c r="G4393" s="652"/>
      <c r="H4393" s="653">
        <f>SUM(H4386:H4392)</f>
      </c>
    </row>
    <row r="4394" spans="1:8" ht="15.75" customHeight="1" x14ac:dyDescent="0.25">
      <c r="A4394" s="439"/>
      <c r="B4394" s="440"/>
      <c r="C4394" s="440"/>
      <c r="D4394" s="441"/>
      <c r="E4394" s="440"/>
      <c r="F4394" s="442"/>
      <c r="G4394" s="443"/>
      <c r="H4394" s="444"/>
    </row>
    <row r="4395" spans="1:8" ht="15.75" customHeight="1" x14ac:dyDescent="0.25">
      <c r="A4395" s="392"/>
      <c r="B4395" s="391"/>
      <c r="C4395" s="391"/>
      <c r="D4395" s="391"/>
      <c r="E4395" s="390"/>
      <c r="F4395" s="392"/>
      <c r="G4395" s="390"/>
      <c r="H4395" s="394"/>
    </row>
    <row r="4396" spans="1:8" ht="15.75" customHeight="1" x14ac:dyDescent="0.25">
      <c r="A4396" s="445"/>
      <c r="B4396" s="445"/>
      <c r="C4396" s="445"/>
      <c r="D4396" s="446" t="s">
        <v>97</v>
      </c>
      <c r="E4396" s="445" t="s">
        <v>98</v>
      </c>
      <c r="F4396" s="445"/>
      <c r="G4396" s="390"/>
      <c r="H4396" s="394"/>
    </row>
    <row r="4397" spans="1:8" ht="15.75" customHeight="1" x14ac:dyDescent="0.25">
      <c r="A4397" s="390"/>
      <c r="B4397" s="390"/>
      <c r="C4397" s="390"/>
      <c r="D4397" s="391"/>
      <c r="E4397" s="390"/>
      <c r="F4397" s="390"/>
      <c r="G4397" s="390"/>
      <c r="H4397" s="394"/>
    </row>
    <row r="4398" spans="1:8" ht="15.75" customHeight="1" x14ac:dyDescent="0.25">
      <c r="A4398" s="390"/>
      <c r="B4398" s="390"/>
      <c r="C4398" s="390"/>
      <c r="D4398" s="391"/>
      <c r="E4398" s="390"/>
      <c r="F4398" s="390"/>
      <c r="G4398" s="390"/>
      <c r="H4398" s="394"/>
    </row>
    <row r="4399" spans="1:8" ht="15.75" customHeight="1" x14ac:dyDescent="0.25">
      <c r="A4399" s="445"/>
      <c r="B4399" s="445"/>
      <c r="C4399" s="445"/>
      <c r="D4399" s="446"/>
      <c r="E4399" s="445" t="s">
        <v>99</v>
      </c>
      <c r="F4399" s="445"/>
      <c r="G4399" s="390"/>
      <c r="H4399" s="394"/>
    </row>
    <row r="4400" spans="1:8" ht="15.75" customHeight="1" x14ac:dyDescent="0.25">
      <c r="D4400" s="4"/>
      <c r="H4400" s="4"/>
    </row>
    <row r="4401" spans="1:8" ht="15.75" customHeight="1" x14ac:dyDescent="0.25">
      <c r="D4401" s="4"/>
      <c r="H4401" s="4"/>
    </row>
    <row r="4402" spans="1:8" ht="15.75" customHeight="1" x14ac:dyDescent="0.25">
      <c r="D4402" s="4"/>
      <c r="H4402" s="4"/>
    </row>
    <row r="4403" spans="1:8" ht="15.75" customHeight="1" x14ac:dyDescent="0.25">
      <c r="D4403" s="4"/>
      <c r="H4403" s="4"/>
    </row>
    <row r="4404" spans="1:8" ht="15.75" customHeight="1" x14ac:dyDescent="0.25">
      <c r="D4404" s="4"/>
      <c r="H4404" s="4"/>
    </row>
    <row r="4405" spans="1:8" ht="15.75" customHeight="1" x14ac:dyDescent="0.25">
      <c r="D4405" s="4"/>
      <c r="H4405" s="4"/>
    </row>
    <row r="4406" spans="1:8" ht="15.75" customHeight="1" x14ac:dyDescent="0.25">
      <c r="D4406" s="4"/>
      <c r="H4406" s="4"/>
    </row>
    <row r="4407" spans="1:8" ht="15.75" customHeight="1" x14ac:dyDescent="0.25">
      <c r="D4407" s="4"/>
      <c r="H4407" s="4"/>
    </row>
    <row r="4408" spans="1:8" ht="15.75" customHeight="1" x14ac:dyDescent="0.25">
      <c r="D4408" s="4"/>
      <c r="H4408" s="4"/>
    </row>
    <row r="4409" spans="1:8" ht="15.75" customHeight="1" x14ac:dyDescent="0.25">
      <c r="D4409" s="4"/>
      <c r="H4409" s="4"/>
    </row>
    <row r="4410" spans="1:8" ht="15.75" customHeight="1" x14ac:dyDescent="0.25">
      <c r="D4410" s="4"/>
      <c r="H4410" s="4"/>
    </row>
    <row r="4411" spans="1:8" ht="15.75" customHeight="1" x14ac:dyDescent="0.25">
      <c r="D4411" s="4"/>
      <c r="H4411" s="4"/>
    </row>
    <row r="4412" spans="1:8" ht="15.75" customHeight="1" x14ac:dyDescent="0.25">
      <c r="D4412" s="4"/>
      <c r="H4412" s="4"/>
    </row>
    <row r="4413" spans="1:8" ht="15.75" customHeight="1" x14ac:dyDescent="0.25">
      <c r="D4413" s="4"/>
      <c r="H4413" s="4"/>
    </row>
    <row r="4414" spans="1:8" ht="15.75" customHeight="1" x14ac:dyDescent="0.25">
      <c r="D4414" s="4"/>
      <c r="H4414" s="4"/>
    </row>
    <row r="4415" spans="1:8" ht="15.75" customHeight="1" x14ac:dyDescent="0.25">
      <c r="A4415" s="398" t="s">
        <v>14</v>
      </c>
      <c r="B4415" s="398"/>
      <c r="C4415" s="398"/>
      <c r="D4415" s="398"/>
      <c r="E4415" s="398"/>
      <c r="F4415" s="398"/>
      <c r="G4415" s="398"/>
      <c r="H4415" s="398"/>
    </row>
    <row r="4416" spans="1:8" ht="15.75" customHeight="1" x14ac:dyDescent="0.25">
      <c r="A4416" s="390"/>
      <c r="B4416" s="390"/>
      <c r="C4416" s="390"/>
      <c r="D4416" s="391"/>
      <c r="E4416" s="390"/>
      <c r="F4416" s="390"/>
      <c r="G4416" s="390"/>
      <c r="H4416" s="398"/>
    </row>
    <row r="4417" spans="1:8" ht="15.75" customHeight="1" x14ac:dyDescent="0.25">
      <c r="A4417" s="390"/>
      <c r="B4417" s="390"/>
      <c r="C4417" s="391"/>
      <c r="D4417" s="392"/>
      <c r="E4417" s="393"/>
      <c r="F4417" s="393"/>
      <c r="G4417" s="393"/>
      <c r="H4417" s="394"/>
    </row>
    <row r="4418" spans="1:8" ht="15.75" customHeight="1" x14ac:dyDescent="0.25">
      <c r="A4418" s="390"/>
      <c r="B4418" s="390"/>
      <c r="C4418" s="390"/>
      <c r="D4418" s="391"/>
      <c r="E4418" s="390"/>
      <c r="F4418" s="395" t="s">
        <v>18</v>
      </c>
      <c r="G4418" s="396" t="s">
        <v>1377</v>
      </c>
      <c r="H4418" s="397"/>
    </row>
    <row r="4419" spans="1:8" ht="15.75" customHeight="1" x14ac:dyDescent="0.25">
      <c r="A4419" s="390" t="s">
        <v>20</v>
      </c>
      <c r="B4419" s="390"/>
      <c r="C4419" s="390"/>
      <c r="D4419" s="391"/>
      <c r="E4419" s="390"/>
      <c r="F4419" s="395" t="s">
        <v>21</v>
      </c>
      <c r="G4419" s="390" t="s">
        <v>1378</v>
      </c>
      <c r="H4419" s="391"/>
    </row>
    <row r="4420" spans="1:8" ht="15.75" customHeight="1" x14ac:dyDescent="0.25">
      <c r="A4420" s="390" t="inlineStr">
        <is>
          <t>Dealer-002</t>
        </is>
      </c>
      <c r="B4420" s="390"/>
      <c r="C4420" s="390"/>
      <c r="D4420" s="391"/>
      <c r="E4420" s="395"/>
      <c r="F4420" s="390"/>
      <c r="G4420" s="390"/>
      <c r="H4420" s="394"/>
    </row>
    <row r="4421" spans="1:8" ht="15.75" customHeight="1" x14ac:dyDescent="0.25">
      <c r="A4421" s="390" t="inlineStr">
        <is>
          <t>Address line (redacted)</t>
        </is>
      </c>
      <c r="B4421" s="390"/>
      <c r="C4421" s="390"/>
      <c r="D4421" s="398"/>
      <c r="E4421" s="390"/>
      <c r="F4421" s="391"/>
      <c r="G4421" s="390"/>
      <c r="H4421" s="394"/>
    </row>
    <row r="4422" spans="1:8" ht="15.75" customHeight="1" x14ac:dyDescent="0.25">
      <c r="A4422" s="390" t="inlineStr">
        <is>
          <t>Address line (redacted)</t>
        </is>
      </c>
      <c r="B4422" s="390"/>
      <c r="C4422" s="390"/>
      <c r="D4422" s="398"/>
      <c r="E4422" s="390"/>
      <c r="F4422" s="391"/>
      <c r="G4422" s="390"/>
      <c r="H4422" s="394"/>
    </row>
    <row r="4423" spans="1:8" ht="15.75" customHeight="1" x14ac:dyDescent="0.25">
      <c r="A4423" s="447"/>
      <c r="B4423" s="390"/>
      <c r="C4423" s="390"/>
      <c r="D4423" s="391"/>
      <c r="E4423" s="390"/>
      <c r="F4423" s="391"/>
      <c r="G4423" s="390"/>
      <c r="H4423" s="394"/>
    </row>
    <row r="4424" spans="1:8" ht="15.75" customHeight="1" x14ac:dyDescent="0.25">
      <c r="A4424" s="390" t="s">
        <v>30</v>
      </c>
      <c r="B4424" s="390"/>
      <c r="C4424" s="390"/>
      <c r="D4424" s="391"/>
      <c r="E4424" s="390"/>
      <c r="F4424" s="391"/>
      <c r="G4424" s="390"/>
      <c r="H4424" s="394"/>
    </row>
    <row r="4425" spans="1:8" ht="15.75" customHeight="1" x14ac:dyDescent="0.25">
      <c r="A4425" s="390"/>
      <c r="B4425" s="390"/>
      <c r="C4425" s="390"/>
      <c r="D4425" s="391"/>
      <c r="E4425" s="390"/>
      <c r="F4425" s="391"/>
      <c r="G4425" s="390"/>
      <c r="H4425" s="394"/>
    </row>
    <row r="4426" spans="1:8" ht="15.75" customHeight="1" x14ac:dyDescent="0.25">
      <c r="A4426" s="390" t="s">
        <v>31</v>
      </c>
      <c r="B4426" s="390"/>
      <c r="C4426" s="390"/>
      <c r="D4426" s="391"/>
      <c r="E4426" s="390"/>
      <c r="F4426" s="391"/>
      <c r="G4426" s="390"/>
      <c r="H4426" s="394"/>
    </row>
    <row r="4427" spans="1:8" ht="15.75" customHeight="1" x14ac:dyDescent="0.25">
      <c r="A4427" s="390" t="s">
        <v>32</v>
      </c>
      <c r="B4427" s="390"/>
      <c r="C4427" s="390"/>
      <c r="D4427" s="391"/>
      <c r="E4427" s="390"/>
      <c r="F4427" s="391"/>
      <c r="G4427" s="390"/>
      <c r="H4427" s="394"/>
    </row>
    <row r="4428" spans="1:8" ht="15.75" customHeight="1" x14ac:dyDescent="0.25">
      <c r="A4428" s="390"/>
      <c r="B4428" s="390"/>
      <c r="C4428" s="390"/>
      <c r="D4428" s="391"/>
      <c r="E4428" s="390"/>
      <c r="F4428" s="391"/>
      <c r="G4428" s="390"/>
      <c r="H4428" s="394"/>
    </row>
    <row r="4429" spans="1:8" ht="15.75" customHeight="1" x14ac:dyDescent="0.25">
      <c r="A4429" s="399" t="s">
        <v>33</v>
      </c>
      <c r="B4429" s="400" t="s">
        <v>6</v>
      </c>
      <c r="C4429" s="400"/>
      <c r="D4429" s="401" t="s">
        <v>37</v>
      </c>
      <c r="E4429" s="402" t="s">
        <v>38</v>
      </c>
      <c r="F4429" s="403" t="s">
        <v>7</v>
      </c>
      <c r="G4429" s="404" t="s">
        <v>43</v>
      </c>
      <c r="H4429" s="405" t="s">
        <v>44</v>
      </c>
    </row>
    <row r="4430" spans="1:8" ht="15.75" customHeight="1" x14ac:dyDescent="0.25">
      <c r="A4430" s="406"/>
      <c r="B4430" s="407"/>
      <c r="C4430" s="393"/>
      <c r="D4430" s="408"/>
      <c r="E4430" s="408"/>
      <c r="F4430" s="409"/>
      <c r="G4430" s="410"/>
      <c r="H4430" s="411"/>
    </row>
    <row r="4431" spans="1:8" ht="15.75" customHeight="1" x14ac:dyDescent="0.25">
      <c r="A4431" s="412"/>
      <c r="B4431" s="578" t="s">
        <v>1365</v>
      </c>
      <c r="C4431" s="578"/>
      <c r="D4431" s="415"/>
      <c r="E4431" s="415"/>
      <c r="F4431" s="415"/>
      <c r="G4431" s="415"/>
      <c r="H4431" s="416"/>
    </row>
    <row r="4432" spans="1:8" ht="15.75" customHeight="1" x14ac:dyDescent="0.25">
      <c r="A4432" s="581" t="s">
        <v>55</v>
      </c>
      <c r="B4432" s="644">
        <v>505</v>
      </c>
      <c r="C4432" s="418"/>
      <c r="D4432" s="415">
        <v>3</v>
      </c>
      <c r="E4432" s="415">
        <v>4</v>
      </c>
      <c r="F4432" s="415">
        <f t="shared" ref="F4432:F4433" si="130">+E4432*D4432</f>
      </c>
      <c r="G4432" s="415">
        <v>1</v>
      </c>
      <c r="H4432" s="589">
        <f t="shared" ref="H4432:H4433" si="131">+G4432*F4432</f>
      </c>
    </row>
    <row r="4433" spans="1:8" ht="15.75" customHeight="1" x14ac:dyDescent="0.25">
      <c r="A4433" s="412" t="s">
        <v>59</v>
      </c>
      <c r="B4433" s="644">
        <v>507</v>
      </c>
      <c r="C4433" s="418"/>
      <c r="D4433" s="415">
        <v>5</v>
      </c>
      <c r="E4433" s="415">
        <v>4</v>
      </c>
      <c r="F4433" s="415">
        <f t="shared" si="130"/>
      </c>
      <c r="G4433" s="415">
        <v>1</v>
      </c>
      <c r="H4433" s="416">
        <f t="shared" si="131"/>
      </c>
    </row>
    <row r="4434" spans="1:8" ht="15.75" customHeight="1" x14ac:dyDescent="0.25">
      <c r="A4434" s="581"/>
      <c r="B4434" s="578" t="s">
        <v>674</v>
      </c>
      <c r="C4434" s="578"/>
      <c r="D4434" s="415"/>
      <c r="E4434" s="415"/>
      <c r="F4434" s="415"/>
      <c r="G4434" s="415"/>
      <c r="H4434" s="589"/>
    </row>
    <row r="4435" spans="1:8" ht="15.75" customHeight="1" x14ac:dyDescent="0.25">
      <c r="A4435" s="581" t="s">
        <v>67</v>
      </c>
      <c r="B4435" s="644" t="s">
        <v>239</v>
      </c>
      <c r="C4435" s="418"/>
      <c r="D4435" s="415">
        <v>5</v>
      </c>
      <c r="E4435" s="415">
        <v>2</v>
      </c>
      <c r="F4435" s="415">
        <f>+E4435*D4435</f>
      </c>
      <c r="G4435" s="415">
        <v>1</v>
      </c>
      <c r="H4435" s="589">
        <f>+G4435*F4435</f>
      </c>
    </row>
    <row r="4436" spans="1:8" ht="15.75" customHeight="1" x14ac:dyDescent="0.25">
      <c r="A4436" s="581"/>
      <c r="B4436" s="644"/>
      <c r="C4436" s="418"/>
      <c r="D4436" s="415"/>
      <c r="E4436" s="415"/>
      <c r="F4436" s="415"/>
      <c r="G4436" s="415"/>
      <c r="H4436" s="589"/>
    </row>
    <row r="4437" spans="1:8" ht="15.75" customHeight="1" x14ac:dyDescent="0.25">
      <c r="A4437" s="412"/>
      <c r="B4437" s="417"/>
      <c r="C4437" s="418"/>
      <c r="D4437" s="415"/>
      <c r="E4437" s="415"/>
      <c r="F4437" s="415"/>
      <c r="G4437" s="582"/>
      <c r="H4437" s="416"/>
    </row>
    <row r="4438" spans="1:8" ht="15.75" customHeight="1" x14ac:dyDescent="0.25">
      <c r="A4438" s="430"/>
      <c r="B4438" s="409"/>
      <c r="C4438" s="393"/>
      <c r="D4438" s="427"/>
      <c r="E4438" s="427"/>
      <c r="F4438" s="428"/>
      <c r="G4438" s="431"/>
      <c r="H4438" s="429"/>
    </row>
    <row r="4439" spans="1:8" ht="15.75" customHeight="1" x14ac:dyDescent="0.25">
      <c r="A4439" s="432"/>
      <c r="B4439" s="433"/>
      <c r="C4439" s="434" t="s">
        <v>85</v>
      </c>
      <c r="D4439" s="435">
        <f>SUM(D4432:D4438)</f>
      </c>
      <c r="E4439" s="435"/>
      <c r="F4439" s="435"/>
      <c r="G4439" s="652"/>
      <c r="H4439" s="653">
        <f>SUM(H4432:H4438)</f>
      </c>
    </row>
    <row r="4440" spans="1:8" ht="15.75" customHeight="1" x14ac:dyDescent="0.25">
      <c r="A4440" s="439"/>
      <c r="B4440" s="440"/>
      <c r="C4440" s="440"/>
      <c r="D4440" s="441"/>
      <c r="E4440" s="440"/>
      <c r="F4440" s="442"/>
      <c r="G4440" s="443"/>
      <c r="H4440" s="444"/>
    </row>
    <row r="4441" spans="1:8" ht="15.75" customHeight="1" x14ac:dyDescent="0.25">
      <c r="A4441" s="392"/>
      <c r="B4441" s="391"/>
      <c r="C4441" s="391"/>
      <c r="D4441" s="391"/>
      <c r="E4441" s="390"/>
      <c r="F4441" s="392"/>
      <c r="G4441" s="390"/>
      <c r="H4441" s="394"/>
    </row>
    <row r="4442" spans="1:8" ht="15.75" customHeight="1" x14ac:dyDescent="0.25">
      <c r="A4442" s="445"/>
      <c r="B4442" s="445"/>
      <c r="C4442" s="445"/>
      <c r="D4442" s="446" t="s">
        <v>97</v>
      </c>
      <c r="E4442" s="445" t="s">
        <v>98</v>
      </c>
      <c r="F4442" s="445"/>
      <c r="G4442" s="390"/>
      <c r="H4442" s="394"/>
    </row>
    <row r="4443" spans="1:8" ht="15.75" customHeight="1" x14ac:dyDescent="0.25">
      <c r="A4443" s="390"/>
      <c r="B4443" s="390"/>
      <c r="C4443" s="390"/>
      <c r="D4443" s="391"/>
      <c r="E4443" s="390"/>
      <c r="F4443" s="390"/>
      <c r="G4443" s="390"/>
      <c r="H4443" s="394"/>
    </row>
    <row r="4444" spans="1:8" ht="15.75" customHeight="1" x14ac:dyDescent="0.25">
      <c r="A4444" s="390"/>
      <c r="B4444" s="390"/>
      <c r="C4444" s="390"/>
      <c r="D4444" s="391"/>
      <c r="E4444" s="390"/>
      <c r="F4444" s="390"/>
      <c r="G4444" s="390"/>
      <c r="H4444" s="394"/>
    </row>
    <row r="4445" spans="1:8" ht="15.75" customHeight="1" x14ac:dyDescent="0.25">
      <c r="A4445" s="445"/>
      <c r="B4445" s="445"/>
      <c r="C4445" s="445"/>
      <c r="D4445" s="446"/>
      <c r="E4445" s="445" t="s">
        <v>99</v>
      </c>
      <c r="F4445" s="445"/>
      <c r="G4445" s="390"/>
      <c r="H4445" s="394"/>
    </row>
    <row r="4446" spans="1:8" ht="15.75" customHeight="1" x14ac:dyDescent="0.25">
      <c r="D4446" s="4"/>
      <c r="H4446" s="4"/>
    </row>
    <row r="4447" spans="1:8" ht="15.75" customHeight="1" x14ac:dyDescent="0.25">
      <c r="D4447" s="4"/>
      <c r="H4447" s="4"/>
    </row>
    <row r="4448" spans="1:8" ht="15.75" customHeight="1" x14ac:dyDescent="0.25">
      <c r="D4448" s="4"/>
      <c r="H4448" s="4"/>
    </row>
    <row r="4449" spans="1:8" ht="15.75" customHeight="1" x14ac:dyDescent="0.25">
      <c r="D4449" s="4"/>
      <c r="H4449" s="4"/>
    </row>
    <row r="4450" spans="1:8" ht="15.75" customHeight="1" x14ac:dyDescent="0.25">
      <c r="D4450" s="4"/>
      <c r="H4450" s="4"/>
    </row>
    <row r="4451" spans="1:8" ht="15.75" customHeight="1" x14ac:dyDescent="0.25">
      <c r="D4451" s="4"/>
      <c r="H4451" s="4"/>
    </row>
    <row r="4452" spans="1:8" ht="15.75" customHeight="1" x14ac:dyDescent="0.25">
      <c r="D4452" s="4"/>
      <c r="H4452" s="4"/>
    </row>
    <row r="4453" spans="1:8" ht="15.75" customHeight="1" x14ac:dyDescent="0.25">
      <c r="D4453" s="4"/>
      <c r="H4453" s="4"/>
    </row>
    <row r="4454" spans="1:8" ht="15.75" customHeight="1" x14ac:dyDescent="0.25">
      <c r="D4454" s="4"/>
      <c r="H4454" s="4"/>
    </row>
    <row r="4455" spans="1:8" ht="15.75" customHeight="1" x14ac:dyDescent="0.25">
      <c r="D4455" s="4"/>
      <c r="H4455" s="4"/>
    </row>
    <row r="4456" spans="1:8" ht="15.75" customHeight="1" x14ac:dyDescent="0.25">
      <c r="D4456" s="4"/>
      <c r="H4456" s="4"/>
    </row>
    <row r="4457" spans="1:8" ht="15.75" customHeight="1" x14ac:dyDescent="0.25">
      <c r="D4457" s="4"/>
      <c r="H4457" s="4"/>
    </row>
    <row r="4458" spans="1:8" ht="15.75" customHeight="1" x14ac:dyDescent="0.25">
      <c r="D4458" s="4"/>
      <c r="H4458" s="4"/>
    </row>
    <row r="4459" spans="1:8" ht="15.75" customHeight="1" x14ac:dyDescent="0.25">
      <c r="D4459" s="4"/>
      <c r="H4459" s="4"/>
    </row>
    <row r="4460" spans="1:8" ht="15.75" customHeight="1" x14ac:dyDescent="0.25">
      <c r="D4460" s="4"/>
      <c r="H4460" s="4"/>
    </row>
    <row r="4461" spans="1:8" ht="15.75" customHeight="1" x14ac:dyDescent="0.25">
      <c r="A4461" s="398" t="s">
        <v>14</v>
      </c>
      <c r="B4461" s="391"/>
      <c r="C4461" s="391"/>
      <c r="D4461" s="391"/>
      <c r="E4461" s="391"/>
      <c r="F4461" s="391"/>
      <c r="G4461" s="391"/>
      <c r="H4461" s="394"/>
    </row>
    <row r="4462" spans="1:8" ht="15.75" customHeight="1" x14ac:dyDescent="0.25">
      <c r="A4462" s="390"/>
      <c r="B4462" s="390"/>
      <c r="C4462" s="390"/>
      <c r="D4462" s="392"/>
      <c r="E4462" s="569"/>
      <c r="F4462" s="391"/>
      <c r="G4462" s="390"/>
      <c r="H4462" s="394"/>
    </row>
    <row r="4463" spans="1:8" ht="15.75" customHeight="1" x14ac:dyDescent="0.25">
      <c r="A4463" s="390"/>
      <c r="B4463" s="390"/>
      <c r="C4463" s="390"/>
      <c r="D4463" s="391"/>
      <c r="E4463" s="390"/>
      <c r="F4463" s="395" t="s">
        <v>18</v>
      </c>
      <c r="G4463" s="390" t="s">
        <v>732</v>
      </c>
      <c r="H4463" s="394"/>
    </row>
    <row r="4464" spans="1:8" ht="15.75" customHeight="1" x14ac:dyDescent="0.25">
      <c r="A4464" s="390"/>
      <c r="B4464" s="390"/>
      <c r="C4464" s="390"/>
      <c r="D4464" s="391"/>
      <c r="E4464" s="390"/>
      <c r="F4464" s="393" t="s">
        <v>21</v>
      </c>
      <c r="G4464" s="390" t="s">
        <v>1600</v>
      </c>
      <c r="H4464" s="394"/>
    </row>
    <row r="4465" spans="1:8" ht="15.75" customHeight="1" x14ac:dyDescent="0.25">
      <c r="A4465" s="390" t="s">
        <v>20</v>
      </c>
      <c r="B4465" s="390"/>
      <c r="C4465" s="390"/>
      <c r="D4465" s="391"/>
      <c r="E4465" s="390"/>
      <c r="F4465" s="391"/>
      <c r="G4465" s="390"/>
      <c r="H4465" s="394"/>
    </row>
    <row r="4466" spans="1:8" ht="15.75" customHeight="1" x14ac:dyDescent="0.25">
      <c r="A4466" s="390" t="inlineStr">
        <is>
          <t>Dealer-004</t>
        </is>
      </c>
      <c r="B4466" s="390"/>
      <c r="C4466" s="390"/>
      <c r="D4466" s="391"/>
      <c r="E4466" s="390"/>
      <c r="F4466" s="391"/>
      <c r="G4466" s="390"/>
      <c r="H4466" s="394"/>
    </row>
    <row r="4467" spans="1:8" ht="15.75" customHeight="1" x14ac:dyDescent="0.25">
      <c r="A4467" s="390" t="inlineStr">
        <is>
          <t>Address line (redacted)</t>
        </is>
      </c>
      <c r="B4467" s="390"/>
      <c r="C4467" s="390"/>
      <c r="D4467" s="391"/>
      <c r="E4467" s="390"/>
      <c r="F4467" s="391"/>
      <c r="G4467" s="390"/>
      <c r="H4467" s="394"/>
    </row>
    <row r="4468" spans="1:8" ht="15.75" customHeight="1" x14ac:dyDescent="0.25">
      <c r="A4468" s="390" t="inlineStr">
        <is>
          <t>Address line (redacted)</t>
        </is>
      </c>
      <c r="B4468" s="390"/>
      <c r="C4468" s="390"/>
      <c r="D4468" s="391"/>
      <c r="E4468" s="390"/>
      <c r="F4468" s="391"/>
      <c r="G4468" s="390"/>
      <c r="H4468" s="394"/>
    </row>
    <row r="4469" spans="1:8" ht="15.75" customHeight="1" x14ac:dyDescent="0.25">
      <c r="A4469" s="390"/>
      <c r="B4469" s="390"/>
      <c r="C4469" s="390"/>
      <c r="D4469" s="391"/>
      <c r="E4469" s="390"/>
      <c r="F4469" s="391"/>
      <c r="G4469" s="390"/>
      <c r="H4469" s="394"/>
    </row>
    <row r="4470" spans="1:8" ht="15.75" customHeight="1" x14ac:dyDescent="0.25">
      <c r="A4470" s="390" t="s">
        <v>30</v>
      </c>
      <c r="B4470" s="390"/>
      <c r="C4470" s="390"/>
      <c r="D4470" s="391"/>
      <c r="E4470" s="390"/>
      <c r="F4470" s="391"/>
      <c r="G4470" s="390"/>
      <c r="H4470" s="394"/>
    </row>
    <row r="4471" spans="1:8" ht="15.75" customHeight="1" x14ac:dyDescent="0.25">
      <c r="A4471" s="390"/>
      <c r="B4471" s="390"/>
      <c r="C4471" s="390"/>
      <c r="D4471" s="391"/>
      <c r="E4471" s="390"/>
      <c r="F4471" s="391"/>
      <c r="G4471" s="390"/>
      <c r="H4471" s="394"/>
    </row>
    <row r="4472" spans="1:8" ht="15.75" customHeight="1" x14ac:dyDescent="0.25">
      <c r="A4472" s="390" t="s">
        <v>1322</v>
      </c>
      <c r="B4472" s="390"/>
      <c r="C4472" s="390"/>
      <c r="D4472" s="391"/>
      <c r="E4472" s="390"/>
      <c r="F4472" s="391"/>
      <c r="G4472" s="390"/>
      <c r="H4472" s="394"/>
    </row>
    <row r="4473" spans="1:8" ht="15.75" customHeight="1" x14ac:dyDescent="0.25">
      <c r="A4473" s="390" t="s">
        <v>1328</v>
      </c>
      <c r="B4473" s="390"/>
      <c r="C4473" s="390"/>
      <c r="D4473" s="391"/>
      <c r="E4473" s="390"/>
      <c r="F4473" s="391"/>
      <c r="G4473" s="390"/>
      <c r="H4473" s="394"/>
    </row>
    <row r="4474" spans="1:8" ht="15.75" customHeight="1" x14ac:dyDescent="0.25">
      <c r="A4474" s="390"/>
      <c r="B4474" s="390"/>
      <c r="C4474" s="390"/>
      <c r="D4474" s="391"/>
      <c r="E4474" s="390"/>
      <c r="F4474" s="391"/>
      <c r="G4474" s="390"/>
      <c r="H4474" s="394"/>
    </row>
    <row r="4475" spans="1:8" ht="15.75" customHeight="1" x14ac:dyDescent="0.25">
      <c r="A4475" s="399" t="s">
        <v>33</v>
      </c>
      <c r="B4475" s="400" t="s">
        <v>6</v>
      </c>
      <c r="C4475" s="400"/>
      <c r="D4475" s="401" t="s">
        <v>37</v>
      </c>
      <c r="E4475" s="402" t="s">
        <v>38</v>
      </c>
      <c r="F4475" s="403" t="s">
        <v>7</v>
      </c>
      <c r="G4475" s="404" t="s">
        <v>43</v>
      </c>
      <c r="H4475" s="405" t="s">
        <v>44</v>
      </c>
    </row>
    <row r="4476" spans="1:8" ht="15.75" customHeight="1" x14ac:dyDescent="0.25">
      <c r="A4476" s="406"/>
      <c r="B4476" s="407"/>
      <c r="C4476" s="393"/>
      <c r="D4476" s="410"/>
      <c r="E4476" s="408"/>
      <c r="F4476" s="409"/>
      <c r="G4476" s="410"/>
      <c r="H4476" s="411"/>
    </row>
    <row r="4477" spans="1:8" ht="15.75" customHeight="1" x14ac:dyDescent="0.25">
      <c r="A4477" s="412"/>
      <c r="B4477" s="578" t="s">
        <v>1365</v>
      </c>
      <c r="C4477" s="578"/>
      <c r="D4477" s="415"/>
      <c r="E4477" s="415"/>
      <c r="F4477" s="415"/>
      <c r="G4477" s="415"/>
      <c r="H4477" s="416"/>
    </row>
    <row r="4478" spans="1:8" ht="15.75" customHeight="1" x14ac:dyDescent="0.25">
      <c r="A4478" s="581" t="s">
        <v>55</v>
      </c>
      <c r="B4478" s="644">
        <v>507</v>
      </c>
      <c r="C4478" s="418"/>
      <c r="D4478" s="415">
        <v>13</v>
      </c>
      <c r="E4478" s="415">
        <v>4</v>
      </c>
      <c r="F4478" s="415">
        <f>+E4478*D4478</f>
      </c>
      <c r="G4478" s="415">
        <v>1</v>
      </c>
      <c r="H4478" s="589">
        <f>+G4478*F4478</f>
      </c>
    </row>
    <row r="4479" spans="1:8" ht="15.75" customHeight="1" x14ac:dyDescent="0.25">
      <c r="A4479" s="581"/>
      <c r="B4479" s="582"/>
      <c r="C4479" s="582"/>
      <c r="D4479" s="415"/>
      <c r="E4479" s="415"/>
      <c r="F4479" s="415"/>
      <c r="G4479" s="582"/>
      <c r="H4479" s="589"/>
    </row>
    <row r="4480" spans="1:8" ht="15.75" customHeight="1" x14ac:dyDescent="0.25">
      <c r="A4480" s="502"/>
      <c r="B4480" s="630"/>
      <c r="C4480" s="658"/>
      <c r="D4480" s="427"/>
      <c r="E4480" s="427"/>
      <c r="F4480" s="428"/>
      <c r="G4480" s="671"/>
      <c r="H4480" s="673"/>
    </row>
    <row r="4481" spans="1:8" ht="15.75" customHeight="1" x14ac:dyDescent="0.25">
      <c r="A4481" s="430"/>
      <c r="B4481" s="409"/>
      <c r="C4481" s="393"/>
      <c r="D4481" s="427"/>
      <c r="E4481" s="427"/>
      <c r="F4481" s="428"/>
      <c r="G4481" s="431"/>
      <c r="H4481" s="429"/>
    </row>
    <row r="4482" spans="1:8" ht="15.75" customHeight="1" x14ac:dyDescent="0.25">
      <c r="A4482" s="432"/>
      <c r="B4482" s="433"/>
      <c r="C4482" s="434" t="s">
        <v>85</v>
      </c>
      <c r="D4482" s="436">
        <f>SUM(D4478:D4481)</f>
      </c>
      <c r="E4482" s="436"/>
      <c r="F4482" s="436"/>
      <c r="G4482" s="437"/>
      <c r="H4482" s="623">
        <f>SUM(H4478:H4481)</f>
      </c>
    </row>
    <row r="4483" spans="1:8" ht="15.75" customHeight="1" x14ac:dyDescent="0.25">
      <c r="A4483" s="439"/>
      <c r="B4483" s="440"/>
      <c r="C4483" s="440"/>
      <c r="D4483" s="441"/>
      <c r="E4483" s="440"/>
      <c r="F4483" s="442"/>
      <c r="G4483" s="443"/>
      <c r="H4483" s="444"/>
    </row>
    <row r="4484" spans="1:8" ht="15.75" customHeight="1" x14ac:dyDescent="0.25">
      <c r="A4484" s="392"/>
      <c r="B4484" s="391"/>
      <c r="C4484" s="391"/>
      <c r="D4484" s="391"/>
      <c r="E4484" s="390"/>
      <c r="F4484" s="392"/>
      <c r="G4484" s="390"/>
      <c r="H4484" s="394"/>
    </row>
    <row r="4485" spans="1:8" ht="15.75" customHeight="1" x14ac:dyDescent="0.25">
      <c r="A4485" s="445"/>
      <c r="B4485" s="445"/>
      <c r="C4485" s="445"/>
      <c r="D4485" s="446" t="s">
        <v>97</v>
      </c>
      <c r="E4485" s="445" t="s">
        <v>98</v>
      </c>
      <c r="F4485" s="445"/>
      <c r="G4485" s="390"/>
      <c r="H4485" s="394"/>
    </row>
    <row r="4486" spans="1:8" ht="15.75" customHeight="1" x14ac:dyDescent="0.25">
      <c r="A4486" s="390"/>
      <c r="B4486" s="390"/>
      <c r="C4486" s="390"/>
      <c r="D4486" s="391"/>
      <c r="E4486" s="390"/>
      <c r="F4486" s="390"/>
      <c r="G4486" s="390"/>
      <c r="H4486" s="394"/>
    </row>
    <row r="4487" spans="1:8" ht="15.75" customHeight="1" x14ac:dyDescent="0.25">
      <c r="A4487" s="390"/>
      <c r="B4487" s="390"/>
      <c r="C4487" s="390"/>
      <c r="D4487" s="391"/>
      <c r="E4487" s="390"/>
      <c r="F4487" s="390"/>
      <c r="G4487" s="390"/>
      <c r="H4487" s="394"/>
    </row>
    <row r="4488" spans="1:8" ht="15.75" customHeight="1" x14ac:dyDescent="0.25">
      <c r="A4488" s="445"/>
      <c r="B4488" s="445"/>
      <c r="C4488" s="445"/>
      <c r="D4488" s="446"/>
      <c r="E4488" s="445" t="s">
        <v>99</v>
      </c>
      <c r="F4488" s="445"/>
      <c r="G4488" s="390"/>
      <c r="H4488" s="394"/>
    </row>
    <row r="4489" spans="1:8" ht="15.75" customHeight="1" x14ac:dyDescent="0.25">
      <c r="D4489" s="4"/>
      <c r="H4489" s="4"/>
    </row>
    <row r="4490" spans="1:8" ht="15.75" customHeight="1" x14ac:dyDescent="0.25">
      <c r="D4490" s="4"/>
      <c r="H4490" s="4"/>
    </row>
    <row r="4491" spans="1:8" ht="15.75" customHeight="1" x14ac:dyDescent="0.25">
      <c r="D4491" s="4"/>
      <c r="H4491" s="4"/>
    </row>
    <row r="4492" spans="1:8" ht="15.75" customHeight="1" x14ac:dyDescent="0.25">
      <c r="D4492" s="4"/>
      <c r="H4492" s="4"/>
    </row>
    <row r="4493" spans="1:8" ht="15.75" customHeight="1" x14ac:dyDescent="0.25">
      <c r="D4493" s="4"/>
      <c r="H4493" s="4"/>
    </row>
    <row r="4494" spans="1:8" ht="15.75" customHeight="1" x14ac:dyDescent="0.25">
      <c r="D4494" s="4"/>
      <c r="H4494" s="4"/>
    </row>
    <row r="4495" spans="1:8" ht="15.75" customHeight="1" x14ac:dyDescent="0.25">
      <c r="D4495" s="4"/>
      <c r="H4495" s="4"/>
    </row>
    <row r="4496" spans="1:8" ht="15.75" customHeight="1" x14ac:dyDescent="0.25">
      <c r="D4496" s="4"/>
      <c r="H4496" s="4"/>
    </row>
    <row r="4497" spans="1:8" ht="15.75" customHeight="1" x14ac:dyDescent="0.25">
      <c r="D4497" s="4"/>
      <c r="H4497" s="4"/>
    </row>
    <row r="4498" spans="1:8" ht="15.75" customHeight="1" x14ac:dyDescent="0.25">
      <c r="D4498" s="4"/>
      <c r="H4498" s="4"/>
    </row>
    <row r="4499" spans="1:8" ht="15.75" customHeight="1" x14ac:dyDescent="0.25">
      <c r="D4499" s="4"/>
      <c r="H4499" s="4"/>
    </row>
    <row r="4500" spans="1:8" ht="15.75" customHeight="1" x14ac:dyDescent="0.25">
      <c r="D4500" s="4"/>
      <c r="H4500" s="4"/>
    </row>
    <row r="4501" spans="1:8" ht="15.75" customHeight="1" x14ac:dyDescent="0.25">
      <c r="D4501" s="4"/>
      <c r="H4501" s="4"/>
    </row>
    <row r="4502" spans="1:8" ht="15.75" customHeight="1" x14ac:dyDescent="0.25">
      <c r="D4502" s="4"/>
      <c r="H4502" s="4"/>
    </row>
    <row r="4503" spans="1:8" ht="15.75" customHeight="1" x14ac:dyDescent="0.25">
      <c r="D4503" s="4"/>
      <c r="H4503" s="4"/>
    </row>
    <row r="4504" spans="1:8" ht="15.75" customHeight="1" x14ac:dyDescent="0.25">
      <c r="D4504" s="4"/>
      <c r="H4504" s="4"/>
    </row>
    <row r="4505" spans="1:8" ht="15.75" customHeight="1" x14ac:dyDescent="0.25">
      <c r="D4505" s="4"/>
      <c r="H4505" s="4"/>
    </row>
    <row r="4506" spans="1:8" ht="15.75" customHeight="1" x14ac:dyDescent="0.25">
      <c r="D4506" s="4"/>
      <c r="H4506" s="4"/>
    </row>
    <row r="4507" spans="1:8" ht="15.75" customHeight="1" x14ac:dyDescent="0.25">
      <c r="A4507" s="392" t="s">
        <v>14</v>
      </c>
      <c r="B4507" s="391"/>
      <c r="C4507" s="391"/>
      <c r="D4507" s="391"/>
      <c r="E4507" s="391"/>
      <c r="F4507" s="391"/>
      <c r="G4507" s="391"/>
      <c r="H4507" s="394"/>
    </row>
    <row r="4508" spans="1:8" ht="15.75" customHeight="1" x14ac:dyDescent="0.25">
      <c r="A4508" s="392"/>
      <c r="B4508" s="391"/>
      <c r="C4508" s="391"/>
      <c r="D4508" s="391"/>
      <c r="E4508" s="390"/>
      <c r="F4508" s="392"/>
      <c r="G4508" s="390"/>
      <c r="H4508" s="394"/>
    </row>
    <row r="4509" spans="1:8" ht="15.75" customHeight="1" x14ac:dyDescent="0.25">
      <c r="A4509" s="392"/>
      <c r="B4509" s="391"/>
      <c r="C4509" s="391"/>
      <c r="D4509" s="391"/>
      <c r="E4509" s="390"/>
      <c r="F4509" s="392"/>
      <c r="G4509" s="390"/>
      <c r="H4509" s="394"/>
    </row>
    <row r="4510" spans="1:8" ht="15.75" customHeight="1" x14ac:dyDescent="0.25">
      <c r="A4510" s="390" t="s">
        <v>20</v>
      </c>
      <c r="B4510" s="390"/>
      <c r="C4510" s="390"/>
      <c r="D4510" s="391"/>
      <c r="E4510" s="390"/>
      <c r="F4510" s="392"/>
      <c r="G4510" s="390"/>
      <c r="H4510" s="394"/>
    </row>
    <row r="4511" spans="1:8" ht="15.75" customHeight="1" x14ac:dyDescent="0.25">
      <c r="A4511" s="390" t="inlineStr">
        <is>
          <t>Dealer-013</t>
        </is>
      </c>
      <c r="B4511" s="390"/>
      <c r="C4511" s="390" t="inlineStr">
        <is>
          <t>ATTN: Contact-003</t>
        </is>
      </c>
      <c r="D4511" s="391"/>
      <c r="E4511" s="390"/>
      <c r="F4511" s="395" t="s">
        <v>18</v>
      </c>
      <c r="G4511" s="390" t="s">
        <v>732</v>
      </c>
      <c r="H4511" s="394"/>
    </row>
    <row r="4512" spans="1:8" ht="15.75" customHeight="1" x14ac:dyDescent="0.25">
      <c r="A4512" s="390" t="inlineStr">
        <is>
          <t>Address line (redacted)</t>
        </is>
      </c>
      <c r="B4512" s="390"/>
      <c r="C4512" s="390"/>
      <c r="D4512" s="391"/>
      <c r="E4512" s="390"/>
      <c r="F4512" s="393" t="s">
        <v>21</v>
      </c>
      <c r="G4512" s="390" t="s">
        <v>1615</v>
      </c>
      <c r="H4512" s="394"/>
    </row>
    <row r="4513" spans="1:8" ht="15.75" customHeight="1" x14ac:dyDescent="0.25">
      <c r="A4513" s="390" t="inlineStr">
        <is>
          <t>Address line (redacted)</t>
        </is>
      </c>
      <c r="B4513" s="390"/>
      <c r="C4513" s="390"/>
      <c r="D4513" s="391"/>
      <c r="E4513" s="390"/>
      <c r="F4513" s="391"/>
      <c r="G4513" s="390"/>
      <c r="H4513" s="394"/>
    </row>
    <row r="4514" spans="1:8" ht="15.75" customHeight="1" x14ac:dyDescent="0.25">
      <c r="A4514" s="390"/>
      <c r="B4514" s="390"/>
      <c r="C4514" s="393"/>
      <c r="D4514" s="391"/>
      <c r="E4514" s="390"/>
      <c r="F4514" s="391"/>
      <c r="G4514" s="390"/>
      <c r="H4514" s="394"/>
    </row>
    <row r="4515" spans="1:8" ht="15.75" customHeight="1" x14ac:dyDescent="0.25">
      <c r="A4515" s="390"/>
      <c r="B4515" s="390"/>
      <c r="C4515" s="390"/>
      <c r="D4515" s="391"/>
      <c r="E4515" s="390"/>
      <c r="F4515" s="391"/>
      <c r="G4515" s="390"/>
      <c r="H4515" s="394"/>
    </row>
    <row r="4516" spans="1:8" ht="15.75" customHeight="1" x14ac:dyDescent="0.25">
      <c r="A4516" s="390" t="s">
        <v>30</v>
      </c>
      <c r="B4516" s="390"/>
      <c r="C4516" s="390"/>
      <c r="D4516" s="391"/>
      <c r="E4516" s="390"/>
      <c r="F4516" s="391"/>
      <c r="G4516" s="390"/>
      <c r="H4516" s="394"/>
    </row>
    <row r="4517" spans="1:8" ht="15.75" customHeight="1" x14ac:dyDescent="0.25">
      <c r="A4517" s="390"/>
      <c r="B4517" s="390"/>
      <c r="C4517" s="390"/>
      <c r="D4517" s="391"/>
      <c r="E4517" s="390"/>
      <c r="F4517" s="391"/>
      <c r="G4517" s="390"/>
      <c r="H4517" s="394"/>
    </row>
    <row r="4518" spans="1:8" ht="15.75" customHeight="1" x14ac:dyDescent="0.25">
      <c r="A4518" s="390" t="s">
        <v>1322</v>
      </c>
      <c r="B4518" s="390"/>
      <c r="C4518" s="390"/>
      <c r="D4518" s="391"/>
      <c r="E4518" s="390"/>
      <c r="F4518" s="391"/>
      <c r="G4518" s="390"/>
      <c r="H4518" s="394"/>
    </row>
    <row r="4519" spans="1:8" ht="15.75" customHeight="1" x14ac:dyDescent="0.25">
      <c r="A4519" s="390" t="s">
        <v>1328</v>
      </c>
      <c r="B4519" s="390"/>
      <c r="C4519" s="390"/>
      <c r="D4519" s="391"/>
      <c r="E4519" s="390"/>
      <c r="F4519" s="391"/>
      <c r="G4519" s="390"/>
      <c r="H4519" s="394"/>
    </row>
    <row r="4520" spans="1:8" ht="15.75" customHeight="1" x14ac:dyDescent="0.25">
      <c r="A4520" s="390"/>
      <c r="B4520" s="390"/>
      <c r="C4520" s="390"/>
      <c r="D4520" s="391"/>
      <c r="E4520" s="390"/>
      <c r="F4520" s="391"/>
      <c r="G4520" s="390"/>
      <c r="H4520" s="394"/>
    </row>
    <row r="4521" spans="1:8" ht="15.75" customHeight="1" x14ac:dyDescent="0.25">
      <c r="A4521" s="399" t="s">
        <v>33</v>
      </c>
      <c r="B4521" s="400" t="s">
        <v>6</v>
      </c>
      <c r="C4521" s="400"/>
      <c r="D4521" s="401" t="s">
        <v>37</v>
      </c>
      <c r="E4521" s="402" t="s">
        <v>1309</v>
      </c>
      <c r="F4521" s="609" t="s">
        <v>7</v>
      </c>
      <c r="G4521" s="400" t="s">
        <v>43</v>
      </c>
      <c r="H4521" s="405" t="s">
        <v>44</v>
      </c>
    </row>
    <row r="4522" spans="1:8" ht="15.75" customHeight="1" x14ac:dyDescent="0.25">
      <c r="A4522" s="610"/>
      <c r="B4522" s="611"/>
      <c r="C4522" s="611"/>
      <c r="D4522" s="612"/>
      <c r="E4522" s="613"/>
      <c r="F4522" s="614"/>
      <c r="G4522" s="611"/>
      <c r="H4522" s="615"/>
    </row>
    <row r="4523" spans="1:8" ht="15.75" customHeight="1" x14ac:dyDescent="0.25">
      <c r="A4523" s="581"/>
      <c r="B4523" s="578" t="s">
        <v>1617</v>
      </c>
      <c r="C4523" s="578"/>
      <c r="D4523" s="415"/>
      <c r="E4523" s="415"/>
      <c r="F4523" s="415"/>
      <c r="G4523" s="415"/>
      <c r="H4523" s="589"/>
    </row>
    <row r="4524" spans="1:8" ht="15.75" customHeight="1" x14ac:dyDescent="0.25">
      <c r="A4524" s="581" t="s">
        <v>55</v>
      </c>
      <c r="B4524" s="644" t="s">
        <v>557</v>
      </c>
      <c r="C4524" s="418" t="s">
        <v>337</v>
      </c>
      <c r="D4524" s="415">
        <v>4</v>
      </c>
      <c r="E4524" s="415">
        <v>5</v>
      </c>
      <c r="F4524" s="415">
        <f>+E4524*D4524</f>
      </c>
      <c r="G4524" s="415">
        <v>1</v>
      </c>
      <c r="H4524" s="589">
        <f>+G4524*F4524</f>
      </c>
    </row>
    <row r="4525" spans="1:8" ht="15.75" customHeight="1" x14ac:dyDescent="0.25">
      <c r="A4525" s="581"/>
      <c r="B4525" s="582"/>
      <c r="C4525" s="582"/>
      <c r="D4525" s="415"/>
      <c r="E4525" s="415"/>
      <c r="F4525" s="415"/>
      <c r="G4525" s="415"/>
      <c r="H4525" s="589"/>
    </row>
    <row r="4526" spans="1:8" ht="15.75" customHeight="1" x14ac:dyDescent="0.25">
      <c r="A4526" s="581"/>
      <c r="B4526" s="582"/>
      <c r="C4526" s="582"/>
      <c r="D4526" s="415"/>
      <c r="E4526" s="415"/>
      <c r="F4526" s="415"/>
      <c r="G4526" s="415"/>
      <c r="H4526" s="589"/>
    </row>
    <row r="4527" spans="1:8" ht="15.75" customHeight="1" x14ac:dyDescent="0.25">
      <c r="A4527" s="430"/>
      <c r="B4527" s="409"/>
      <c r="C4527" s="393"/>
      <c r="D4527" s="427"/>
      <c r="E4527" s="427"/>
      <c r="F4527" s="428"/>
      <c r="G4527" s="427"/>
      <c r="H4527" s="429"/>
    </row>
    <row r="4528" spans="1:8" ht="15.75" customHeight="1" x14ac:dyDescent="0.25">
      <c r="A4528" s="432"/>
      <c r="B4528" s="433"/>
      <c r="C4528" s="434" t="s">
        <v>85</v>
      </c>
      <c r="D4528" s="659">
        <f>SUM(D4524:D4527)</f>
      </c>
      <c r="E4528" s="401"/>
      <c r="F4528" s="660"/>
      <c r="G4528" s="661"/>
      <c r="H4528" s="623">
        <f>SUM(H4524:H4527)</f>
      </c>
    </row>
    <row r="4529" spans="1:8" ht="15.75" customHeight="1" x14ac:dyDescent="0.25">
      <c r="A4529" s="439"/>
      <c r="B4529" s="440"/>
      <c r="C4529" s="440"/>
      <c r="D4529" s="441"/>
      <c r="E4529" s="440"/>
      <c r="F4529" s="442"/>
      <c r="G4529" s="443"/>
      <c r="H4529" s="444"/>
    </row>
    <row r="4530" spans="1:8" ht="15.75" customHeight="1" x14ac:dyDescent="0.25">
      <c r="A4530" s="392"/>
      <c r="B4530" s="391"/>
      <c r="C4530" s="391"/>
      <c r="D4530" s="391"/>
      <c r="E4530" s="390"/>
      <c r="F4530" s="392"/>
      <c r="G4530" s="390"/>
      <c r="H4530" s="394"/>
    </row>
    <row r="4531" spans="1:8" ht="15.75" customHeight="1" x14ac:dyDescent="0.25">
      <c r="A4531" s="445"/>
      <c r="B4531" s="445"/>
      <c r="C4531" s="445"/>
      <c r="D4531" s="446" t="s">
        <v>97</v>
      </c>
      <c r="E4531" s="445" t="s">
        <v>98</v>
      </c>
      <c r="F4531" s="445"/>
      <c r="G4531" s="390"/>
      <c r="H4531" s="394"/>
    </row>
    <row r="4532" spans="1:8" ht="15.75" customHeight="1" x14ac:dyDescent="0.25">
      <c r="A4532" s="390"/>
      <c r="B4532" s="390"/>
      <c r="C4532" s="390"/>
      <c r="D4532" s="391"/>
      <c r="E4532" s="390"/>
      <c r="F4532" s="390"/>
      <c r="G4532" s="390"/>
      <c r="H4532" s="394"/>
    </row>
    <row r="4533" spans="1:8" ht="15.75" customHeight="1" x14ac:dyDescent="0.25">
      <c r="A4533" s="390"/>
      <c r="B4533" s="390"/>
      <c r="C4533" s="390"/>
      <c r="D4533" s="391"/>
      <c r="E4533" s="390"/>
      <c r="F4533" s="390"/>
      <c r="G4533" s="390"/>
      <c r="H4533" s="394"/>
    </row>
    <row r="4534" spans="1:8" ht="15.75" customHeight="1" x14ac:dyDescent="0.25">
      <c r="A4534" s="445"/>
      <c r="B4534" s="445"/>
      <c r="C4534" s="445"/>
      <c r="D4534" s="446"/>
      <c r="E4534" s="445" t="s">
        <v>99</v>
      </c>
      <c r="F4534" s="445"/>
      <c r="G4534" s="390"/>
      <c r="H4534" s="394"/>
    </row>
    <row r="4535" spans="1:8" ht="15.75" customHeight="1" x14ac:dyDescent="0.25">
      <c r="D4535" s="4"/>
      <c r="H4535" s="4"/>
    </row>
    <row r="4536" spans="1:8" ht="15.75" customHeight="1" x14ac:dyDescent="0.25">
      <c r="D4536" s="4"/>
      <c r="H4536" s="4"/>
    </row>
    <row r="4537" spans="1:8" ht="15.75" customHeight="1" x14ac:dyDescent="0.25">
      <c r="D4537" s="4"/>
      <c r="H4537" s="4"/>
    </row>
    <row r="4538" spans="1:8" ht="15.75" customHeight="1" x14ac:dyDescent="0.25">
      <c r="D4538" s="4"/>
      <c r="H4538" s="4"/>
    </row>
    <row r="4539" spans="1:8" ht="15.75" customHeight="1" x14ac:dyDescent="0.25">
      <c r="D4539" s="4"/>
      <c r="H4539" s="4"/>
    </row>
    <row r="4540" spans="1:8" ht="15.75" customHeight="1" x14ac:dyDescent="0.25">
      <c r="D4540" s="4"/>
      <c r="H4540" s="4"/>
    </row>
    <row r="4541" spans="1:8" ht="15.75" customHeight="1" x14ac:dyDescent="0.25">
      <c r="D4541" s="4"/>
      <c r="H4541" s="4"/>
    </row>
    <row r="4542" spans="1:8" ht="15.75" customHeight="1" x14ac:dyDescent="0.25">
      <c r="D4542" s="4"/>
      <c r="H4542" s="4"/>
    </row>
    <row r="4543" spans="1:8" ht="15.75" customHeight="1" x14ac:dyDescent="0.25">
      <c r="D4543" s="4"/>
      <c r="H4543" s="4"/>
    </row>
    <row r="4544" spans="1:8" ht="15.75" customHeight="1" x14ac:dyDescent="0.25">
      <c r="D4544" s="4"/>
      <c r="H4544" s="4"/>
    </row>
    <row r="4545" spans="1:8" ht="15.75" customHeight="1" x14ac:dyDescent="0.25">
      <c r="D4545" s="4"/>
      <c r="H4545" s="4"/>
    </row>
    <row r="4546" spans="1:8" ht="15.75" customHeight="1" x14ac:dyDescent="0.25">
      <c r="D4546" s="4"/>
      <c r="H4546" s="4"/>
    </row>
    <row r="4547" spans="1:8" ht="15.75" customHeight="1" x14ac:dyDescent="0.25">
      <c r="D4547" s="4"/>
      <c r="H4547" s="4"/>
    </row>
    <row r="4548" spans="1:8" ht="15.75" customHeight="1" x14ac:dyDescent="0.25">
      <c r="D4548" s="4"/>
      <c r="H4548" s="4"/>
    </row>
    <row r="4549" spans="1:8" ht="15.75" customHeight="1" x14ac:dyDescent="0.25">
      <c r="D4549" s="4"/>
      <c r="H4549" s="4"/>
    </row>
    <row r="4550" spans="1:8" ht="15.75" customHeight="1" x14ac:dyDescent="0.25">
      <c r="C4550" s="2" t="s">
        <v>1620</v>
      </c>
      <c r="D4550" s="4"/>
      <c r="H4550" s="4"/>
    </row>
    <row r="4551" spans="1:8" ht="15.75" customHeight="1" x14ac:dyDescent="0.25">
      <c r="D4551" s="4"/>
      <c r="H4551" s="4"/>
    </row>
    <row r="4552" spans="1:8" ht="15.75" customHeight="1" x14ac:dyDescent="0.25">
      <c r="D4552" s="4"/>
      <c r="H4552" s="4"/>
    </row>
    <row r="4553" spans="1:8" ht="15.75" customHeight="1" x14ac:dyDescent="0.25">
      <c r="A4553" s="398" t="s">
        <v>14</v>
      </c>
      <c r="B4553" s="398"/>
      <c r="C4553" s="398"/>
      <c r="D4553" s="398"/>
      <c r="E4553" s="398"/>
      <c r="F4553" s="398"/>
      <c r="G4553" s="398"/>
      <c r="H4553" s="398"/>
    </row>
    <row r="4554" spans="1:8" ht="15.75" customHeight="1" x14ac:dyDescent="0.25">
      <c r="A4554" s="390"/>
      <c r="B4554" s="390"/>
      <c r="C4554" s="390"/>
      <c r="D4554" s="391"/>
      <c r="E4554" s="390"/>
      <c r="F4554" s="390"/>
      <c r="G4554" s="390"/>
      <c r="H4554" s="398"/>
    </row>
    <row r="4555" spans="1:8" ht="15.75" customHeight="1" x14ac:dyDescent="0.25">
      <c r="A4555" s="390"/>
      <c r="B4555" s="390"/>
      <c r="C4555" s="391"/>
      <c r="D4555" s="392"/>
      <c r="E4555" s="393"/>
      <c r="F4555" s="393"/>
      <c r="G4555" s="393"/>
      <c r="H4555" s="394"/>
    </row>
    <row r="4556" spans="1:8" ht="15.75" customHeight="1" x14ac:dyDescent="0.25">
      <c r="A4556" s="390"/>
      <c r="B4556" s="390"/>
      <c r="C4556" s="390"/>
      <c r="D4556" s="391"/>
      <c r="E4556" s="390"/>
      <c r="F4556" s="395" t="s">
        <v>18</v>
      </c>
      <c r="G4556" s="396" t="s">
        <v>739</v>
      </c>
      <c r="H4556" s="397"/>
    </row>
    <row r="4557" spans="1:8" ht="15.75" customHeight="1" x14ac:dyDescent="0.25">
      <c r="A4557" s="390" t="s">
        <v>20</v>
      </c>
      <c r="B4557" s="390"/>
      <c r="C4557" s="390"/>
      <c r="D4557" s="391"/>
      <c r="E4557" s="390"/>
      <c r="F4557" s="395" t="s">
        <v>21</v>
      </c>
      <c r="G4557" s="390" t="s">
        <v>1445</v>
      </c>
      <c r="H4557" s="391"/>
    </row>
    <row r="4558" spans="1:8" ht="15.75" customHeight="1" x14ac:dyDescent="0.25">
      <c r="A4558" s="390" t="inlineStr">
        <is>
          <t>Dealer-009</t>
        </is>
      </c>
      <c r="B4558" s="390"/>
      <c r="C4558" s="390" t="inlineStr">
        <is>
          <t>ATTN: Contact-001</t>
        </is>
      </c>
      <c r="D4558" s="391"/>
      <c r="E4558" s="395"/>
      <c r="F4558" s="390"/>
      <c r="G4558" s="390"/>
      <c r="H4558" s="394"/>
    </row>
    <row r="4559" spans="1:8" ht="15.75" customHeight="1" x14ac:dyDescent="0.25">
      <c r="A4559" s="390" t="inlineStr">
        <is>
          <t>Address line (redacted)</t>
        </is>
      </c>
      <c r="B4559" s="390"/>
      <c r="C4559" s="390"/>
      <c r="D4559" s="398"/>
      <c r="E4559" s="390"/>
      <c r="F4559" s="391"/>
      <c r="G4559" s="390"/>
      <c r="H4559" s="394"/>
    </row>
    <row r="4560" spans="1:8" ht="15.75" customHeight="1" x14ac:dyDescent="0.25">
      <c r="A4560" s="390" t="inlineStr">
        <is>
          <t>Address line (redacted)</t>
        </is>
      </c>
      <c r="B4560" s="390"/>
      <c r="C4560" s="390"/>
      <c r="D4560" s="398"/>
      <c r="E4560" s="390"/>
      <c r="F4560" s="391"/>
      <c r="G4560" s="390"/>
      <c r="H4560" s="394"/>
    </row>
    <row r="4561" spans="1:8" ht="15.75" customHeight="1" x14ac:dyDescent="0.25">
      <c r="A4561" s="447"/>
      <c r="B4561" s="390"/>
      <c r="C4561" s="390"/>
      <c r="D4561" s="391"/>
      <c r="E4561" s="390"/>
      <c r="F4561" s="391"/>
      <c r="G4561" s="390"/>
      <c r="H4561" s="394"/>
    </row>
    <row r="4562" spans="1:8" ht="15.75" customHeight="1" x14ac:dyDescent="0.25">
      <c r="A4562" s="390" t="s">
        <v>30</v>
      </c>
      <c r="B4562" s="390"/>
      <c r="C4562" s="390"/>
      <c r="D4562" s="391"/>
      <c r="E4562" s="390"/>
      <c r="F4562" s="391"/>
      <c r="G4562" s="390"/>
      <c r="H4562" s="394"/>
    </row>
    <row r="4563" spans="1:8" ht="15.75" customHeight="1" x14ac:dyDescent="0.25">
      <c r="A4563" s="390"/>
      <c r="B4563" s="390"/>
      <c r="C4563" s="390"/>
      <c r="D4563" s="391"/>
      <c r="E4563" s="390"/>
      <c r="F4563" s="391"/>
      <c r="G4563" s="390"/>
      <c r="H4563" s="394"/>
    </row>
    <row r="4564" spans="1:8" ht="15.75" customHeight="1" x14ac:dyDescent="0.25">
      <c r="A4564" s="390" t="s">
        <v>31</v>
      </c>
      <c r="B4564" s="390"/>
      <c r="C4564" s="390"/>
      <c r="D4564" s="391"/>
      <c r="E4564" s="390"/>
      <c r="F4564" s="391"/>
      <c r="G4564" s="390"/>
      <c r="H4564" s="394"/>
    </row>
    <row r="4565" spans="1:8" ht="15.75" customHeight="1" x14ac:dyDescent="0.25">
      <c r="A4565" s="390" t="s">
        <v>32</v>
      </c>
      <c r="B4565" s="390"/>
      <c r="C4565" s="390"/>
      <c r="D4565" s="391"/>
      <c r="E4565" s="390"/>
      <c r="F4565" s="391"/>
      <c r="G4565" s="390"/>
      <c r="H4565" s="394"/>
    </row>
    <row r="4566" spans="1:8" ht="15.75" customHeight="1" x14ac:dyDescent="0.25">
      <c r="A4566" s="390"/>
      <c r="B4566" s="390"/>
      <c r="C4566" s="390"/>
      <c r="D4566" s="391"/>
      <c r="E4566" s="390"/>
      <c r="F4566" s="391"/>
      <c r="G4566" s="390"/>
      <c r="H4566" s="394"/>
    </row>
    <row r="4567" spans="1:8" ht="15.75" customHeight="1" x14ac:dyDescent="0.25">
      <c r="A4567" s="399" t="s">
        <v>33</v>
      </c>
      <c r="B4567" s="400" t="s">
        <v>6</v>
      </c>
      <c r="C4567" s="400"/>
      <c r="D4567" s="401" t="s">
        <v>37</v>
      </c>
      <c r="E4567" s="402" t="s">
        <v>38</v>
      </c>
      <c r="F4567" s="403" t="s">
        <v>7</v>
      </c>
      <c r="G4567" s="404" t="s">
        <v>43</v>
      </c>
      <c r="H4567" s="405" t="s">
        <v>44</v>
      </c>
    </row>
    <row r="4568" spans="1:8" ht="15.75" customHeight="1" x14ac:dyDescent="0.25">
      <c r="A4568" s="406"/>
      <c r="B4568" s="407"/>
      <c r="C4568" s="393"/>
      <c r="D4568" s="408"/>
      <c r="E4568" s="408"/>
      <c r="F4568" s="409"/>
      <c r="G4568" s="410"/>
      <c r="H4568" s="411"/>
    </row>
    <row r="4569" spans="1:8" ht="15.75" customHeight="1" x14ac:dyDescent="0.25">
      <c r="A4569" s="425"/>
      <c r="B4569" s="557" t="s">
        <v>590</v>
      </c>
      <c r="C4569" s="558"/>
      <c r="D4569" s="427"/>
      <c r="E4569" s="427"/>
      <c r="F4569" s="391"/>
      <c r="G4569" s="427"/>
      <c r="H4569" s="429"/>
    </row>
    <row r="4570" spans="1:8" ht="15.75" customHeight="1" x14ac:dyDescent="0.25">
      <c r="A4570" s="425" t="s">
        <v>55</v>
      </c>
      <c r="B4570" s="448" t="s">
        <v>239</v>
      </c>
      <c r="C4570" s="449"/>
      <c r="D4570" s="427">
        <v>3</v>
      </c>
      <c r="E4570" s="427">
        <v>6</v>
      </c>
      <c r="F4570" s="391">
        <f>+E4570*D4570</f>
      </c>
      <c r="G4570" s="427">
        <v>1</v>
      </c>
      <c r="H4570" s="429">
        <f>+G4570*F4570</f>
      </c>
    </row>
    <row r="4571" spans="1:8" ht="15.75" customHeight="1" x14ac:dyDescent="0.25">
      <c r="A4571" s="425"/>
      <c r="B4571" s="557" t="s">
        <v>50</v>
      </c>
      <c r="C4571" s="558"/>
      <c r="D4571" s="427"/>
      <c r="E4571" s="427"/>
      <c r="F4571" s="391"/>
      <c r="G4571" s="427"/>
      <c r="H4571" s="429"/>
    </row>
    <row r="4572" spans="1:8" ht="15.75" customHeight="1" x14ac:dyDescent="0.25">
      <c r="A4572" s="502" t="s">
        <v>59</v>
      </c>
      <c r="B4572" s="503" t="s">
        <v>125</v>
      </c>
      <c r="C4572" s="390" t="s">
        <v>437</v>
      </c>
      <c r="D4572" s="427">
        <v>1</v>
      </c>
      <c r="E4572" s="427">
        <v>25</v>
      </c>
      <c r="F4572" s="391">
        <f t="shared" ref="F4572:F4577" si="132">+E4572*D4572</f>
      </c>
      <c r="G4572" s="427">
        <v>1</v>
      </c>
      <c r="H4572" s="429">
        <f t="shared" ref="H4572:H4577" si="133">+G4572*F4572</f>
      </c>
    </row>
    <row r="4573" spans="1:8" ht="15.75" customHeight="1" x14ac:dyDescent="0.25">
      <c r="A4573" s="502" t="s">
        <v>67</v>
      </c>
      <c r="B4573" s="503" t="s">
        <v>125</v>
      </c>
      <c r="C4573" s="390" t="s">
        <v>438</v>
      </c>
      <c r="D4573" s="427">
        <v>1</v>
      </c>
      <c r="E4573" s="427">
        <v>25</v>
      </c>
      <c r="F4573" s="391">
        <f t="shared" si="132"/>
      </c>
      <c r="G4573" s="427">
        <v>1</v>
      </c>
      <c r="H4573" s="429">
        <f t="shared" si="133"/>
      </c>
    </row>
    <row r="4574" spans="1:8" ht="15.75" customHeight="1" x14ac:dyDescent="0.25">
      <c r="A4574" s="502" t="s">
        <v>485</v>
      </c>
      <c r="B4574" s="503" t="s">
        <v>250</v>
      </c>
      <c r="C4574" s="390" t="s">
        <v>424</v>
      </c>
      <c r="D4574" s="427">
        <v>2</v>
      </c>
      <c r="E4574" s="427">
        <v>25</v>
      </c>
      <c r="F4574" s="391">
        <f t="shared" si="132"/>
      </c>
      <c r="G4574" s="427">
        <v>1</v>
      </c>
      <c r="H4574" s="429">
        <f t="shared" si="133"/>
      </c>
    </row>
    <row r="4575" spans="1:8" ht="15.75" customHeight="1" x14ac:dyDescent="0.25">
      <c r="A4575" s="502" t="s">
        <v>486</v>
      </c>
      <c r="B4575" s="503" t="s">
        <v>126</v>
      </c>
      <c r="C4575" s="390" t="s">
        <v>434</v>
      </c>
      <c r="D4575" s="427">
        <v>2</v>
      </c>
      <c r="E4575" s="427">
        <v>25</v>
      </c>
      <c r="F4575" s="391">
        <f t="shared" si="132"/>
      </c>
      <c r="G4575" s="427">
        <v>1</v>
      </c>
      <c r="H4575" s="429">
        <f t="shared" si="133"/>
      </c>
    </row>
    <row r="4576" spans="1:8" ht="15.75" customHeight="1" x14ac:dyDescent="0.25">
      <c r="A4576" s="502" t="s">
        <v>489</v>
      </c>
      <c r="B4576" s="503" t="s">
        <v>145</v>
      </c>
      <c r="C4576" s="390" t="s">
        <v>383</v>
      </c>
      <c r="D4576" s="427">
        <v>1</v>
      </c>
      <c r="E4576" s="427">
        <v>25</v>
      </c>
      <c r="F4576" s="391">
        <f t="shared" si="132"/>
      </c>
      <c r="G4576" s="427">
        <v>1</v>
      </c>
      <c r="H4576" s="429">
        <f t="shared" si="133"/>
      </c>
    </row>
    <row r="4577" spans="1:8" ht="15.75" customHeight="1" x14ac:dyDescent="0.25">
      <c r="A4577" s="502" t="s">
        <v>490</v>
      </c>
      <c r="B4577" s="503" t="s">
        <v>226</v>
      </c>
      <c r="C4577" s="390" t="s">
        <v>427</v>
      </c>
      <c r="D4577" s="427">
        <v>1</v>
      </c>
      <c r="E4577" s="427">
        <v>25</v>
      </c>
      <c r="F4577" s="391">
        <f t="shared" si="132"/>
      </c>
      <c r="G4577" s="427">
        <v>1</v>
      </c>
      <c r="H4577" s="429">
        <f t="shared" si="133"/>
      </c>
    </row>
    <row r="4578" spans="1:8" ht="15.75" customHeight="1" x14ac:dyDescent="0.25">
      <c r="A4578" s="425"/>
      <c r="B4578" s="557" t="s">
        <v>674</v>
      </c>
      <c r="C4578" s="558"/>
      <c r="D4578" s="427"/>
      <c r="E4578" s="427"/>
      <c r="F4578" s="391"/>
      <c r="G4578" s="427"/>
      <c r="H4578" s="429"/>
    </row>
    <row r="4579" spans="1:8" ht="15.75" customHeight="1" x14ac:dyDescent="0.25">
      <c r="A4579" s="502" t="s">
        <v>781</v>
      </c>
      <c r="B4579" s="503" t="s">
        <v>931</v>
      </c>
      <c r="C4579" s="390"/>
      <c r="D4579" s="427">
        <v>25</v>
      </c>
      <c r="E4579" s="427">
        <v>1</v>
      </c>
      <c r="F4579" s="391">
        <f>+E4579*D4579</f>
      </c>
      <c r="G4579" s="427">
        <v>1</v>
      </c>
      <c r="H4579" s="429">
        <f>+G4579*F4579</f>
      </c>
    </row>
    <row r="4580" spans="1:8" ht="15.75" customHeight="1" x14ac:dyDescent="0.25">
      <c r="A4580" s="502"/>
      <c r="B4580" s="503" t="s">
        <v>1446</v>
      </c>
      <c r="C4580" s="390"/>
      <c r="D4580" s="427"/>
      <c r="E4580" s="427"/>
      <c r="F4580" s="391"/>
      <c r="G4580" s="427"/>
      <c r="H4580" s="429"/>
    </row>
    <row r="4581" spans="1:8" ht="15.75" customHeight="1" x14ac:dyDescent="0.25">
      <c r="A4581" s="502" t="s">
        <v>785</v>
      </c>
      <c r="B4581" s="503" t="s">
        <v>1447</v>
      </c>
      <c r="C4581" s="390"/>
      <c r="D4581" s="427">
        <v>3</v>
      </c>
      <c r="E4581" s="427">
        <v>10</v>
      </c>
      <c r="F4581" s="391">
        <v>30</v>
      </c>
      <c r="G4581" s="675" t="s">
        <v>1435</v>
      </c>
      <c r="H4581" s="429"/>
    </row>
    <row r="4582" spans="1:8" ht="15.75" customHeight="1" x14ac:dyDescent="0.25">
      <c r="A4582" s="432"/>
      <c r="B4582" s="433"/>
      <c r="C4582" s="434" t="s">
        <v>85</v>
      </c>
      <c r="D4582" s="435">
        <f>SUM(D4570:D4581)</f>
      </c>
      <c r="E4582" s="435"/>
      <c r="F4582" s="436"/>
      <c r="G4582" s="437"/>
      <c r="H4582" s="438">
        <f>SUM(H4569:H4581)</f>
      </c>
    </row>
    <row r="4583" spans="1:8" ht="15.75" customHeight="1" x14ac:dyDescent="0.25">
      <c r="A4583" s="439"/>
      <c r="B4583" s="440"/>
      <c r="C4583" s="440"/>
      <c r="D4583" s="441"/>
      <c r="E4583" s="440"/>
      <c r="F4583" s="442"/>
      <c r="G4583" s="443"/>
      <c r="H4583" s="444"/>
    </row>
    <row r="4584" spans="1:8" ht="15.75" customHeight="1" x14ac:dyDescent="0.25">
      <c r="A4584" s="565" t="s">
        <v>1215</v>
      </c>
      <c r="B4584" s="565"/>
      <c r="C4584" s="565"/>
      <c r="D4584" s="565"/>
      <c r="E4584" s="565"/>
      <c r="F4584" s="565"/>
      <c r="G4584" s="565"/>
      <c r="H4584" s="565"/>
    </row>
    <row r="4585" spans="1:8" ht="15.75" customHeight="1" x14ac:dyDescent="0.25">
      <c r="A4585" s="445"/>
      <c r="B4585" s="445"/>
      <c r="C4585" s="445"/>
      <c r="D4585" s="446" t="s">
        <v>97</v>
      </c>
      <c r="E4585" s="445" t="s">
        <v>98</v>
      </c>
      <c r="F4585" s="445"/>
      <c r="G4585" s="390"/>
      <c r="H4585" s="394"/>
    </row>
    <row r="4586" spans="1:8" ht="15.75" customHeight="1" x14ac:dyDescent="0.25">
      <c r="A4586" s="390"/>
      <c r="B4586" s="390"/>
      <c r="C4586" s="390"/>
      <c r="D4586" s="391"/>
      <c r="E4586" s="390"/>
      <c r="F4586" s="390"/>
      <c r="G4586" s="390"/>
      <c r="H4586" s="394"/>
    </row>
    <row r="4587" spans="1:8" ht="15.75" customHeight="1" x14ac:dyDescent="0.25">
      <c r="A4587" s="390"/>
      <c r="B4587" s="390"/>
      <c r="C4587" s="390"/>
      <c r="D4587" s="391"/>
      <c r="E4587" s="390"/>
      <c r="F4587" s="390"/>
      <c r="G4587" s="390"/>
      <c r="H4587" s="394"/>
    </row>
    <row r="4588" spans="1:8" ht="15.75" customHeight="1" x14ac:dyDescent="0.25">
      <c r="A4588" s="445"/>
      <c r="B4588" s="445"/>
      <c r="C4588" s="445"/>
      <c r="D4588" s="446"/>
      <c r="E4588" s="445" t="s">
        <v>99</v>
      </c>
      <c r="F4588" s="445"/>
      <c r="G4588" s="390"/>
      <c r="H4588" s="394"/>
    </row>
    <row r="4589" spans="1:8" ht="15.75" customHeight="1" x14ac:dyDescent="0.25">
      <c r="D4589" s="4"/>
      <c r="H4589" s="4"/>
    </row>
    <row r="4590" spans="1:8" ht="15.75" customHeight="1" x14ac:dyDescent="0.25">
      <c r="D4590" s="4"/>
      <c r="H4590" s="4"/>
    </row>
    <row r="4591" spans="1:8" ht="15.75" customHeight="1" x14ac:dyDescent="0.25">
      <c r="D4591" s="4"/>
      <c r="H4591" s="4"/>
    </row>
    <row r="4592" spans="1:8" ht="15.75" customHeight="1" x14ac:dyDescent="0.25">
      <c r="D4592" s="4"/>
      <c r="H4592" s="4"/>
    </row>
    <row r="4593" spans="1:8" ht="15.75" customHeight="1" x14ac:dyDescent="0.25">
      <c r="D4593" s="4"/>
      <c r="H4593" s="4"/>
    </row>
    <row r="4594" spans="1:8" ht="15.75" customHeight="1" x14ac:dyDescent="0.25">
      <c r="D4594" s="4"/>
      <c r="H4594" s="4"/>
    </row>
    <row r="4595" spans="1:8" ht="15.75" customHeight="1" x14ac:dyDescent="0.25">
      <c r="D4595" s="4"/>
      <c r="H4595" s="4"/>
    </row>
    <row r="4596" spans="1:8" ht="15.75" customHeight="1" x14ac:dyDescent="0.25">
      <c r="D4596" s="4"/>
      <c r="H4596" s="4"/>
    </row>
    <row r="4597" spans="1:8" ht="15.75" customHeight="1" x14ac:dyDescent="0.25">
      <c r="D4597" s="4"/>
      <c r="H4597" s="4"/>
    </row>
    <row r="4598" spans="1:8" ht="15.75" customHeight="1" x14ac:dyDescent="0.25">
      <c r="D4598" s="4"/>
      <c r="H4598" s="4"/>
    </row>
    <row r="4599" spans="1:8" ht="15.75" customHeight="1" x14ac:dyDescent="0.25">
      <c r="A4599" s="398" t="s">
        <v>14</v>
      </c>
      <c r="B4599" s="398"/>
      <c r="C4599" s="398"/>
      <c r="D4599" s="398"/>
      <c r="E4599" s="398"/>
      <c r="F4599" s="398"/>
      <c r="G4599" s="398"/>
      <c r="H4599" s="398"/>
    </row>
    <row r="4600" spans="1:8" ht="15.75" customHeight="1" x14ac:dyDescent="0.25">
      <c r="A4600" s="390"/>
      <c r="B4600" s="390"/>
      <c r="C4600" s="390"/>
      <c r="D4600" s="391"/>
      <c r="E4600" s="390"/>
      <c r="F4600" s="390"/>
      <c r="G4600" s="390"/>
      <c r="H4600" s="398"/>
    </row>
    <row r="4601" spans="1:8" ht="15.75" customHeight="1" x14ac:dyDescent="0.25">
      <c r="A4601" s="390"/>
      <c r="B4601" s="390"/>
      <c r="C4601" s="391"/>
      <c r="D4601" s="392"/>
      <c r="E4601" s="393"/>
      <c r="F4601" s="393"/>
      <c r="G4601" s="393"/>
      <c r="H4601" s="394"/>
    </row>
    <row r="4602" spans="1:8" ht="15.75" customHeight="1" x14ac:dyDescent="0.25">
      <c r="A4602" s="390"/>
      <c r="B4602" s="390"/>
      <c r="C4602" s="390"/>
      <c r="D4602" s="391"/>
      <c r="E4602" s="390"/>
      <c r="F4602" s="395" t="s">
        <v>18</v>
      </c>
      <c r="G4602" s="396" t="s">
        <v>507</v>
      </c>
      <c r="H4602" s="397"/>
    </row>
    <row r="4603" spans="1:8" ht="15.75" customHeight="1" x14ac:dyDescent="0.25">
      <c r="A4603" s="390" t="s">
        <v>20</v>
      </c>
      <c r="B4603" s="390"/>
      <c r="C4603" s="390"/>
      <c r="D4603" s="391"/>
      <c r="E4603" s="390"/>
      <c r="F4603" s="395" t="s">
        <v>21</v>
      </c>
      <c r="G4603" s="390" t="s">
        <v>1622</v>
      </c>
      <c r="H4603" s="391"/>
    </row>
    <row r="4604" spans="1:8" ht="15.75" customHeight="1" x14ac:dyDescent="0.25">
      <c r="A4604" s="390" t="inlineStr">
        <is>
          <t>Dealer-002</t>
        </is>
      </c>
      <c r="B4604" s="390"/>
      <c r="C4604" s="390"/>
      <c r="D4604" s="391"/>
      <c r="E4604" s="395"/>
      <c r="F4604" s="390"/>
      <c r="G4604" s="390"/>
      <c r="H4604" s="394"/>
    </row>
    <row r="4605" spans="1:8" ht="15.75" customHeight="1" x14ac:dyDescent="0.25">
      <c r="A4605" s="390" t="inlineStr">
        <is>
          <t>Address line (redacted)</t>
        </is>
      </c>
      <c r="B4605" s="390"/>
      <c r="C4605" s="390"/>
      <c r="D4605" s="398"/>
      <c r="E4605" s="390"/>
      <c r="F4605" s="391"/>
      <c r="G4605" s="390"/>
      <c r="H4605" s="394"/>
    </row>
    <row r="4606" spans="1:8" ht="15.75" customHeight="1" x14ac:dyDescent="0.25">
      <c r="A4606" s="390" t="inlineStr">
        <is>
          <t>Address line (redacted)</t>
        </is>
      </c>
      <c r="B4606" s="390"/>
      <c r="C4606" s="390"/>
      <c r="D4606" s="398"/>
      <c r="E4606" s="390"/>
      <c r="F4606" s="391"/>
      <c r="G4606" s="390"/>
      <c r="H4606" s="394"/>
    </row>
    <row r="4607" spans="1:8" ht="15.75" customHeight="1" x14ac:dyDescent="0.25">
      <c r="A4607" s="447"/>
      <c r="B4607" s="390"/>
      <c r="C4607" s="390"/>
      <c r="D4607" s="391"/>
      <c r="E4607" s="390"/>
      <c r="F4607" s="391"/>
      <c r="G4607" s="390"/>
      <c r="H4607" s="394"/>
    </row>
    <row r="4608" spans="1:8" ht="15.75" customHeight="1" x14ac:dyDescent="0.25">
      <c r="A4608" s="390" t="s">
        <v>30</v>
      </c>
      <c r="B4608" s="390"/>
      <c r="C4608" s="390"/>
      <c r="D4608" s="391"/>
      <c r="E4608" s="390"/>
      <c r="F4608" s="391"/>
      <c r="G4608" s="390"/>
      <c r="H4608" s="394"/>
    </row>
    <row r="4609" spans="1:8" ht="15.75" customHeight="1" x14ac:dyDescent="0.25">
      <c r="A4609" s="390"/>
      <c r="B4609" s="390"/>
      <c r="C4609" s="390"/>
      <c r="D4609" s="391"/>
      <c r="E4609" s="390"/>
      <c r="F4609" s="391"/>
      <c r="G4609" s="390"/>
      <c r="H4609" s="394"/>
    </row>
    <row r="4610" spans="1:8" ht="15.75" customHeight="1" x14ac:dyDescent="0.25">
      <c r="A4610" s="390" t="s">
        <v>31</v>
      </c>
      <c r="B4610" s="390"/>
      <c r="C4610" s="390"/>
      <c r="D4610" s="391"/>
      <c r="E4610" s="390"/>
      <c r="F4610" s="391"/>
      <c r="G4610" s="390"/>
      <c r="H4610" s="394"/>
    </row>
    <row r="4611" spans="1:8" ht="15.75" customHeight="1" x14ac:dyDescent="0.25">
      <c r="A4611" s="390" t="s">
        <v>32</v>
      </c>
      <c r="B4611" s="390"/>
      <c r="C4611" s="390"/>
      <c r="D4611" s="391"/>
      <c r="E4611" s="390"/>
      <c r="F4611" s="391"/>
      <c r="G4611" s="390"/>
      <c r="H4611" s="394"/>
    </row>
    <row r="4612" spans="1:8" ht="15.75" customHeight="1" x14ac:dyDescent="0.25">
      <c r="A4612" s="390"/>
      <c r="B4612" s="390"/>
      <c r="C4612" s="390"/>
      <c r="D4612" s="391"/>
      <c r="E4612" s="390"/>
      <c r="F4612" s="391"/>
      <c r="G4612" s="390"/>
      <c r="H4612" s="394"/>
    </row>
    <row r="4613" spans="1:8" ht="15.75" customHeight="1" x14ac:dyDescent="0.25">
      <c r="A4613" s="399" t="s">
        <v>33</v>
      </c>
      <c r="B4613" s="400" t="s">
        <v>6</v>
      </c>
      <c r="C4613" s="400"/>
      <c r="D4613" s="401" t="s">
        <v>37</v>
      </c>
      <c r="E4613" s="402" t="s">
        <v>38</v>
      </c>
      <c r="F4613" s="403" t="s">
        <v>7</v>
      </c>
      <c r="G4613" s="404" t="s">
        <v>43</v>
      </c>
      <c r="H4613" s="405" t="s">
        <v>44</v>
      </c>
    </row>
    <row r="4614" spans="1:8" ht="15.75" customHeight="1" x14ac:dyDescent="0.25">
      <c r="A4614" s="406"/>
      <c r="B4614" s="407"/>
      <c r="C4614" s="393"/>
      <c r="D4614" s="408"/>
      <c r="E4614" s="408"/>
      <c r="F4614" s="409"/>
      <c r="G4614" s="410"/>
      <c r="H4614" s="411"/>
    </row>
    <row r="4615" spans="1:8" ht="15.75" customHeight="1" x14ac:dyDescent="0.25">
      <c r="A4615" s="412"/>
      <c r="B4615" s="578" t="s">
        <v>1623</v>
      </c>
      <c r="C4615" s="578"/>
      <c r="D4615" s="415"/>
      <c r="E4615" s="415"/>
      <c r="F4615" s="415"/>
      <c r="G4615" s="415"/>
      <c r="H4615" s="416"/>
    </row>
    <row r="4616" spans="1:8" ht="15.75" customHeight="1" x14ac:dyDescent="0.25">
      <c r="A4616" s="581" t="s">
        <v>55</v>
      </c>
      <c r="B4616" s="644" t="s">
        <v>1624</v>
      </c>
      <c r="C4616" s="415"/>
      <c r="D4616" s="415">
        <v>5</v>
      </c>
      <c r="E4616" s="415">
        <v>10</v>
      </c>
      <c r="F4616" s="415">
        <f t="shared" ref="F4616:F4618" si="134">+E4616*D4616</f>
      </c>
      <c r="G4616" s="415">
        <v>1</v>
      </c>
      <c r="H4616" s="589">
        <f t="shared" ref="H4616:H4618" si="135">+G4616*F4616</f>
      </c>
    </row>
    <row r="4617" spans="1:8" ht="15.75" customHeight="1" x14ac:dyDescent="0.25">
      <c r="A4617" s="412" t="s">
        <v>59</v>
      </c>
      <c r="B4617" s="644" t="s">
        <v>1625</v>
      </c>
      <c r="C4617" s="418"/>
      <c r="D4617" s="415">
        <v>2</v>
      </c>
      <c r="E4617" s="415">
        <v>10</v>
      </c>
      <c r="F4617" s="415">
        <f t="shared" si="134"/>
      </c>
      <c r="G4617" s="415">
        <v>1</v>
      </c>
      <c r="H4617" s="589">
        <f t="shared" si="135"/>
      </c>
    </row>
    <row r="4618" spans="1:8" ht="15.75" customHeight="1" x14ac:dyDescent="0.25">
      <c r="A4618" s="412" t="s">
        <v>67</v>
      </c>
      <c r="B4618" s="644" t="s">
        <v>1626</v>
      </c>
      <c r="C4618" s="418"/>
      <c r="D4618" s="415">
        <v>1</v>
      </c>
      <c r="E4618" s="415">
        <v>10</v>
      </c>
      <c r="F4618" s="415">
        <f t="shared" si="134"/>
      </c>
      <c r="G4618" s="415">
        <v>1</v>
      </c>
      <c r="H4618" s="589">
        <f t="shared" si="135"/>
      </c>
    </row>
    <row r="4619" spans="1:8" ht="15.75" customHeight="1" x14ac:dyDescent="0.25">
      <c r="A4619" s="412"/>
      <c r="B4619" s="578" t="s">
        <v>1627</v>
      </c>
      <c r="C4619" s="578"/>
      <c r="D4619" s="415"/>
      <c r="E4619" s="415"/>
      <c r="F4619" s="415"/>
      <c r="G4619" s="415"/>
      <c r="H4619" s="416"/>
    </row>
    <row r="4620" spans="1:8" ht="15.75" customHeight="1" x14ac:dyDescent="0.25">
      <c r="A4620" s="412" t="s">
        <v>485</v>
      </c>
      <c r="B4620" s="644" t="s">
        <v>1628</v>
      </c>
      <c r="C4620" s="418"/>
      <c r="D4620" s="415">
        <v>3</v>
      </c>
      <c r="E4620" s="415">
        <v>10</v>
      </c>
      <c r="F4620" s="415">
        <f t="shared" ref="F4620:F4622" si="136">+E4620*D4620</f>
      </c>
      <c r="G4620" s="415">
        <v>1</v>
      </c>
      <c r="H4620" s="589">
        <f t="shared" ref="H4620:H4622" si="137">+G4620*F4620</f>
      </c>
    </row>
    <row r="4621" spans="1:8" ht="15.75" customHeight="1" x14ac:dyDescent="0.25">
      <c r="A4621" s="412" t="s">
        <v>486</v>
      </c>
      <c r="B4621" s="644" t="s">
        <v>1630</v>
      </c>
      <c r="C4621" s="418"/>
      <c r="D4621" s="415">
        <v>1</v>
      </c>
      <c r="E4621" s="415">
        <v>10</v>
      </c>
      <c r="F4621" s="415">
        <f t="shared" si="136"/>
      </c>
      <c r="G4621" s="415">
        <v>1</v>
      </c>
      <c r="H4621" s="589">
        <f t="shared" si="137"/>
      </c>
    </row>
    <row r="4622" spans="1:8" ht="15.75" customHeight="1" x14ac:dyDescent="0.25">
      <c r="A4622" s="412" t="s">
        <v>489</v>
      </c>
      <c r="B4622" s="644" t="s">
        <v>1631</v>
      </c>
      <c r="C4622" s="418"/>
      <c r="D4622" s="415">
        <v>2</v>
      </c>
      <c r="E4622" s="415">
        <v>10</v>
      </c>
      <c r="F4622" s="415">
        <f t="shared" si="136"/>
      </c>
      <c r="G4622" s="415">
        <v>1</v>
      </c>
      <c r="H4622" s="589">
        <f t="shared" si="137"/>
      </c>
    </row>
    <row r="4623" spans="1:8" ht="15.75" customHeight="1" x14ac:dyDescent="0.25">
      <c r="A4623" s="581"/>
      <c r="B4623" s="578" t="s">
        <v>74</v>
      </c>
      <c r="C4623" s="578"/>
      <c r="D4623" s="415"/>
      <c r="E4623" s="415"/>
      <c r="F4623" s="415"/>
      <c r="G4623" s="415"/>
      <c r="H4623" s="589"/>
    </row>
    <row r="4624" spans="1:8" ht="15.75" customHeight="1" x14ac:dyDescent="0.25">
      <c r="A4624" s="581" t="s">
        <v>490</v>
      </c>
      <c r="B4624" s="644" t="s">
        <v>1632</v>
      </c>
      <c r="C4624" s="418"/>
      <c r="D4624" s="415">
        <v>3</v>
      </c>
      <c r="E4624" s="415">
        <v>10</v>
      </c>
      <c r="F4624" s="415">
        <f t="shared" ref="F4624:F4628" si="138">+E4624*D4624</f>
      </c>
      <c r="G4624" s="415">
        <v>1</v>
      </c>
      <c r="H4624" s="589">
        <f t="shared" ref="H4624:H4628" si="139">+G4624*F4624</f>
      </c>
    </row>
    <row r="4625" spans="1:20" ht="15.75" customHeight="1" x14ac:dyDescent="0.25">
      <c r="A4625" s="581" t="s">
        <v>781</v>
      </c>
      <c r="B4625" s="644" t="s">
        <v>1633</v>
      </c>
      <c r="C4625" s="418"/>
      <c r="D4625" s="415">
        <v>3</v>
      </c>
      <c r="E4625" s="415">
        <v>10</v>
      </c>
      <c r="F4625" s="415">
        <f t="shared" si="138"/>
      </c>
      <c r="G4625" s="415">
        <v>1</v>
      </c>
      <c r="H4625" s="589">
        <f t="shared" si="139"/>
      </c>
    </row>
    <row r="4626" spans="1:20" ht="15.75" customHeight="1" x14ac:dyDescent="0.25">
      <c r="A4626" s="581" t="s">
        <v>785</v>
      </c>
      <c r="B4626" s="644" t="s">
        <v>1634</v>
      </c>
      <c r="C4626" s="418"/>
      <c r="D4626" s="415">
        <v>3</v>
      </c>
      <c r="E4626" s="415">
        <v>10</v>
      </c>
      <c r="F4626" s="415">
        <f t="shared" si="138"/>
      </c>
      <c r="G4626" s="415">
        <v>1</v>
      </c>
      <c r="H4626" s="589">
        <f t="shared" si="139"/>
      </c>
    </row>
    <row r="4627" spans="1:20" ht="15.75" customHeight="1" x14ac:dyDescent="0.25">
      <c r="A4627" s="581" t="s">
        <v>787</v>
      </c>
      <c r="B4627" s="644" t="s">
        <v>1635</v>
      </c>
      <c r="C4627" s="418"/>
      <c r="D4627" s="415">
        <v>3</v>
      </c>
      <c r="E4627" s="415">
        <v>10</v>
      </c>
      <c r="F4627" s="415">
        <f t="shared" si="138"/>
      </c>
      <c r="G4627" s="415">
        <v>1</v>
      </c>
      <c r="H4627" s="589">
        <f t="shared" si="139"/>
      </c>
    </row>
    <row r="4628" spans="1:20" ht="15.75" customHeight="1" x14ac:dyDescent="0.25">
      <c r="A4628" s="581" t="s">
        <v>790</v>
      </c>
      <c r="B4628" s="644" t="s">
        <v>1636</v>
      </c>
      <c r="C4628" s="418"/>
      <c r="D4628" s="415">
        <v>2</v>
      </c>
      <c r="E4628" s="415">
        <v>5</v>
      </c>
      <c r="F4628" s="415">
        <f t="shared" si="138"/>
      </c>
      <c r="G4628" s="415">
        <v>1</v>
      </c>
      <c r="H4628" s="589">
        <f t="shared" si="139"/>
      </c>
    </row>
    <row r="4629" spans="1:20" ht="15.75" customHeight="1" x14ac:dyDescent="0.25">
      <c r="A4629" s="581"/>
      <c r="B4629" s="578" t="s">
        <v>573</v>
      </c>
      <c r="C4629" s="578"/>
      <c r="D4629" s="415"/>
      <c r="E4629" s="415"/>
      <c r="F4629" s="415"/>
      <c r="G4629" s="415"/>
      <c r="H4629" s="589"/>
      <c r="I4629" s="676"/>
      <c r="J4629" s="676"/>
      <c r="K4629" s="676"/>
      <c r="L4629" s="676"/>
      <c r="M4629" s="676"/>
      <c r="N4629" s="676"/>
      <c r="O4629" s="676"/>
      <c r="P4629" s="676"/>
      <c r="Q4629" s="676"/>
      <c r="R4629" s="676"/>
      <c r="S4629" s="676"/>
      <c r="T4629" s="676"/>
    </row>
    <row r="4630" spans="1:20" ht="15.75" customHeight="1" x14ac:dyDescent="0.25">
      <c r="A4630" s="677" t="s">
        <v>792</v>
      </c>
      <c r="B4630" s="419" t="s">
        <v>494</v>
      </c>
      <c r="C4630" s="678" t="s">
        <v>327</v>
      </c>
      <c r="D4630" s="679">
        <v>1</v>
      </c>
      <c r="E4630" s="679">
        <v>1</v>
      </c>
      <c r="F4630" s="679">
        <v>1</v>
      </c>
      <c r="G4630" s="680" t="s">
        <v>1637</v>
      </c>
      <c r="H4630" s="681"/>
    </row>
    <row r="4631" spans="1:20" ht="15.75" customHeight="1" x14ac:dyDescent="0.25">
      <c r="A4631" s="430"/>
      <c r="B4631" s="409"/>
      <c r="C4631" s="393"/>
      <c r="D4631" s="427"/>
      <c r="E4631" s="427"/>
      <c r="F4631" s="428"/>
      <c r="G4631" s="431"/>
      <c r="H4631" s="429"/>
    </row>
    <row r="4632" spans="1:20" ht="15.75" customHeight="1" x14ac:dyDescent="0.25">
      <c r="A4632" s="432"/>
      <c r="B4632" s="433"/>
      <c r="C4632" s="434" t="s">
        <v>85</v>
      </c>
      <c r="D4632" s="435">
        <f>SUM(D4616:D4631)</f>
      </c>
      <c r="E4632" s="435"/>
      <c r="F4632" s="435"/>
      <c r="G4632" s="652"/>
      <c r="H4632" s="653">
        <f>SUM(H4616:H4631)</f>
      </c>
    </row>
    <row r="4633" spans="1:20" ht="15.75" customHeight="1" x14ac:dyDescent="0.25">
      <c r="A4633" s="439"/>
      <c r="B4633" s="440"/>
      <c r="C4633" s="440"/>
      <c r="D4633" s="441"/>
      <c r="E4633" s="440"/>
      <c r="F4633" s="442"/>
      <c r="G4633" s="443"/>
      <c r="H4633" s="444"/>
    </row>
    <row r="4634" spans="1:20" ht="15.75" customHeight="1" x14ac:dyDescent="0.25">
      <c r="A4634" s="392"/>
      <c r="B4634" s="391"/>
      <c r="C4634" s="391"/>
      <c r="D4634" s="391"/>
      <c r="E4634" s="390"/>
      <c r="F4634" s="392"/>
      <c r="G4634" s="390"/>
      <c r="H4634" s="394"/>
    </row>
    <row r="4635" spans="1:20" ht="15.75" customHeight="1" x14ac:dyDescent="0.25">
      <c r="A4635" s="445"/>
      <c r="B4635" s="445"/>
      <c r="C4635" s="445"/>
      <c r="D4635" s="446" t="s">
        <v>97</v>
      </c>
      <c r="E4635" s="445" t="s">
        <v>98</v>
      </c>
      <c r="F4635" s="445"/>
      <c r="G4635" s="390"/>
      <c r="H4635" s="394"/>
    </row>
    <row r="4636" spans="1:20" ht="15.75" customHeight="1" x14ac:dyDescent="0.25">
      <c r="A4636" s="390"/>
      <c r="B4636" s="390"/>
      <c r="C4636" s="390"/>
      <c r="D4636" s="391"/>
      <c r="E4636" s="390"/>
      <c r="F4636" s="390"/>
      <c r="G4636" s="390"/>
      <c r="H4636" s="394"/>
    </row>
    <row r="4637" spans="1:20" ht="15.75" customHeight="1" x14ac:dyDescent="0.25">
      <c r="A4637" s="390"/>
      <c r="B4637" s="390"/>
      <c r="C4637" s="390"/>
      <c r="D4637" s="391"/>
      <c r="E4637" s="390"/>
      <c r="F4637" s="390"/>
      <c r="G4637" s="390"/>
      <c r="H4637" s="394"/>
    </row>
    <row r="4638" spans="1:20" ht="15.75" customHeight="1" x14ac:dyDescent="0.25">
      <c r="A4638" s="445"/>
      <c r="B4638" s="445"/>
      <c r="C4638" s="445"/>
      <c r="D4638" s="446"/>
      <c r="E4638" s="445" t="s">
        <v>99</v>
      </c>
      <c r="F4638" s="445"/>
      <c r="G4638" s="390"/>
      <c r="H4638" s="394"/>
    </row>
    <row r="4639" spans="1:20" ht="15.75" customHeight="1" x14ac:dyDescent="0.25">
      <c r="D4639" s="4"/>
      <c r="H4639" s="4"/>
    </row>
    <row r="4640" spans="1:20" ht="15.75" customHeight="1" x14ac:dyDescent="0.25">
      <c r="D4640" s="4"/>
      <c r="H4640" s="4"/>
    </row>
    <row r="4641" spans="1:8" ht="15.75" customHeight="1" x14ac:dyDescent="0.25">
      <c r="D4641" s="4"/>
      <c r="H4641" s="4"/>
    </row>
    <row r="4642" spans="1:8" ht="15.75" customHeight="1" x14ac:dyDescent="0.25">
      <c r="D4642" s="4"/>
      <c r="H4642" s="4"/>
    </row>
    <row r="4643" spans="1:8" ht="15.75" customHeight="1" x14ac:dyDescent="0.25">
      <c r="D4643" s="4"/>
      <c r="H4643" s="4"/>
    </row>
    <row r="4644" spans="1:8" ht="15.75" customHeight="1" x14ac:dyDescent="0.25">
      <c r="D4644" s="4"/>
      <c r="H4644" s="4"/>
    </row>
    <row r="4645" spans="1:8" ht="15.75" customHeight="1" x14ac:dyDescent="0.25">
      <c r="D4645" s="4"/>
      <c r="H4645" s="4"/>
    </row>
    <row r="4646" spans="1:8" ht="15.75" customHeight="1" x14ac:dyDescent="0.25">
      <c r="D4646" s="4"/>
      <c r="H4646" s="4"/>
    </row>
    <row r="4647" spans="1:8" ht="15.75" customHeight="1" x14ac:dyDescent="0.25">
      <c r="D4647" s="4"/>
      <c r="H4647" s="4"/>
    </row>
    <row r="4648" spans="1:8" ht="15.75" customHeight="1" x14ac:dyDescent="0.25">
      <c r="A4648" s="398" t="s">
        <v>14</v>
      </c>
      <c r="B4648" s="391"/>
      <c r="C4648" s="391"/>
      <c r="D4648" s="391"/>
      <c r="E4648" s="391"/>
      <c r="F4648" s="391"/>
      <c r="G4648" s="391"/>
      <c r="H4648" s="394"/>
    </row>
    <row r="4649" spans="1:8" ht="15.75" customHeight="1" x14ac:dyDescent="0.25">
      <c r="A4649" s="390"/>
      <c r="B4649" s="390"/>
      <c r="C4649" s="390"/>
      <c r="D4649" s="392"/>
      <c r="E4649" s="569"/>
      <c r="F4649" s="391"/>
      <c r="G4649" s="390"/>
      <c r="H4649" s="394"/>
    </row>
    <row r="4650" spans="1:8" ht="15.75" customHeight="1" x14ac:dyDescent="0.25">
      <c r="A4650" s="390"/>
      <c r="B4650" s="390"/>
      <c r="C4650" s="393"/>
      <c r="D4650" s="398"/>
      <c r="E4650" s="393"/>
      <c r="F4650" s="395" t="s">
        <v>18</v>
      </c>
      <c r="G4650" s="390" t="s">
        <v>507</v>
      </c>
      <c r="H4650" s="394"/>
    </row>
    <row r="4651" spans="1:8" ht="15.75" customHeight="1" x14ac:dyDescent="0.25">
      <c r="A4651" s="390"/>
      <c r="B4651" s="390"/>
      <c r="C4651" s="390"/>
      <c r="D4651" s="391"/>
      <c r="E4651" s="390"/>
      <c r="F4651" s="393" t="s">
        <v>21</v>
      </c>
      <c r="G4651" s="390" t="s">
        <v>1367</v>
      </c>
      <c r="H4651" s="394"/>
    </row>
    <row r="4652" spans="1:8" ht="15.75" customHeight="1" x14ac:dyDescent="0.25">
      <c r="A4652" s="390" t="s">
        <v>20</v>
      </c>
      <c r="B4652" s="390"/>
      <c r="C4652" s="390"/>
      <c r="D4652" s="391"/>
      <c r="E4652" s="390"/>
      <c r="F4652" s="391"/>
      <c r="G4652" s="390"/>
      <c r="H4652" s="394"/>
    </row>
    <row r="4653" spans="1:8" ht="15.75" customHeight="1" x14ac:dyDescent="0.25">
      <c r="A4653" s="390" t="inlineStr">
        <is>
          <t>Dealer-003</t>
        </is>
      </c>
      <c r="B4653" s="390"/>
      <c r="C4653" s="398"/>
      <c r="D4653" s="391"/>
      <c r="E4653" s="390"/>
      <c r="F4653" s="391"/>
      <c r="G4653" s="390"/>
      <c r="H4653" s="394"/>
    </row>
    <row r="4654" spans="1:8" ht="15.75" customHeight="1" x14ac:dyDescent="0.25">
      <c r="A4654" s="390" t="inlineStr">
        <is>
          <t>Address line (redacted)</t>
        </is>
      </c>
      <c r="B4654" s="390"/>
      <c r="C4654" s="390"/>
      <c r="D4654" s="391"/>
      <c r="E4654" s="390"/>
      <c r="F4654" s="391"/>
      <c r="G4654" s="390"/>
      <c r="H4654" s="394"/>
    </row>
    <row r="4655" spans="1:8" ht="15.75" customHeight="1" x14ac:dyDescent="0.25">
      <c r="A4655" s="390" t="inlineStr">
        <is>
          <t>Address line (redacted)</t>
        </is>
      </c>
      <c r="B4655" s="390"/>
      <c r="C4655" s="390"/>
      <c r="D4655" s="391"/>
      <c r="E4655" s="390"/>
      <c r="F4655" s="391"/>
      <c r="G4655" s="390"/>
      <c r="H4655" s="394"/>
    </row>
    <row r="4656" spans="1:8" ht="15.75" customHeight="1" x14ac:dyDescent="0.25">
      <c r="A4656" s="390"/>
      <c r="B4656" s="390"/>
      <c r="C4656" s="390"/>
      <c r="D4656" s="391"/>
      <c r="E4656" s="390"/>
      <c r="F4656" s="391"/>
      <c r="G4656" s="390"/>
      <c r="H4656" s="394"/>
    </row>
    <row r="4657" spans="1:8" ht="15.75" customHeight="1" x14ac:dyDescent="0.25">
      <c r="A4657" s="390" t="s">
        <v>30</v>
      </c>
      <c r="B4657" s="390"/>
      <c r="C4657" s="390"/>
      <c r="D4657" s="391"/>
      <c r="E4657" s="390"/>
      <c r="F4657" s="391"/>
      <c r="G4657" s="390"/>
      <c r="H4657" s="394"/>
    </row>
    <row r="4658" spans="1:8" ht="15.75" customHeight="1" x14ac:dyDescent="0.25">
      <c r="A4658" s="390"/>
      <c r="B4658" s="390"/>
      <c r="C4658" s="390"/>
      <c r="D4658" s="391"/>
      <c r="E4658" s="390"/>
      <c r="F4658" s="391"/>
      <c r="G4658" s="390"/>
      <c r="H4658" s="394"/>
    </row>
    <row r="4659" spans="1:8" ht="15.75" customHeight="1" x14ac:dyDescent="0.25">
      <c r="A4659" s="390" t="s">
        <v>1322</v>
      </c>
      <c r="B4659" s="390"/>
      <c r="C4659" s="390"/>
      <c r="D4659" s="391"/>
      <c r="E4659" s="390"/>
      <c r="F4659" s="391"/>
      <c r="G4659" s="390"/>
      <c r="H4659" s="394"/>
    </row>
    <row r="4660" spans="1:8" ht="15.75" customHeight="1" x14ac:dyDescent="0.25">
      <c r="A4660" s="390" t="s">
        <v>1328</v>
      </c>
      <c r="B4660" s="390"/>
      <c r="C4660" s="390"/>
      <c r="D4660" s="391"/>
      <c r="E4660" s="390"/>
      <c r="F4660" s="391"/>
      <c r="G4660" s="390"/>
      <c r="H4660" s="394"/>
    </row>
    <row r="4661" spans="1:8" ht="15.75" customHeight="1" x14ac:dyDescent="0.25">
      <c r="A4661" s="390"/>
      <c r="B4661" s="390"/>
      <c r="C4661" s="390"/>
      <c r="D4661" s="391"/>
      <c r="E4661" s="390"/>
      <c r="F4661" s="391"/>
      <c r="G4661" s="390"/>
      <c r="H4661" s="394"/>
    </row>
    <row r="4662" spans="1:8" ht="15.75" customHeight="1" x14ac:dyDescent="0.25">
      <c r="A4662" s="399" t="s">
        <v>33</v>
      </c>
      <c r="B4662" s="400" t="s">
        <v>6</v>
      </c>
      <c r="C4662" s="400"/>
      <c r="D4662" s="401" t="s">
        <v>37</v>
      </c>
      <c r="E4662" s="402" t="s">
        <v>38</v>
      </c>
      <c r="F4662" s="403" t="s">
        <v>7</v>
      </c>
      <c r="G4662" s="404" t="s">
        <v>43</v>
      </c>
      <c r="H4662" s="405" t="s">
        <v>44</v>
      </c>
    </row>
    <row r="4663" spans="1:8" ht="15.75" customHeight="1" x14ac:dyDescent="0.25">
      <c r="A4663" s="406"/>
      <c r="B4663" s="407"/>
      <c r="C4663" s="393"/>
      <c r="D4663" s="410"/>
      <c r="E4663" s="408"/>
      <c r="F4663" s="409"/>
      <c r="G4663" s="410"/>
      <c r="H4663" s="411"/>
    </row>
    <row r="4664" spans="1:8" ht="15.75" customHeight="1" x14ac:dyDescent="0.25">
      <c r="A4664" s="656"/>
      <c r="B4664" s="578" t="s">
        <v>1365</v>
      </c>
      <c r="C4664" s="578"/>
      <c r="D4664" s="415"/>
      <c r="E4664" s="415"/>
      <c r="F4664" s="415"/>
      <c r="G4664" s="415"/>
      <c r="H4664" s="416"/>
    </row>
    <row r="4665" spans="1:8" ht="15.75" customHeight="1" x14ac:dyDescent="0.25">
      <c r="A4665" s="656" t="s">
        <v>55</v>
      </c>
      <c r="B4665" s="644">
        <v>505</v>
      </c>
      <c r="C4665" s="418"/>
      <c r="D4665" s="415">
        <v>7</v>
      </c>
      <c r="E4665" s="415">
        <v>4</v>
      </c>
      <c r="F4665" s="415">
        <f>+E4665*D4665</f>
      </c>
      <c r="G4665" s="415">
        <v>1</v>
      </c>
      <c r="H4665" s="416">
        <f>+G4665*F4665</f>
      </c>
    </row>
    <row r="4666" spans="1:8" ht="15.75" customHeight="1" x14ac:dyDescent="0.25">
      <c r="A4666" s="656"/>
      <c r="B4666" s="578" t="s">
        <v>531</v>
      </c>
      <c r="C4666" s="578"/>
      <c r="D4666" s="415"/>
      <c r="E4666" s="415"/>
      <c r="F4666" s="415"/>
      <c r="G4666" s="415"/>
      <c r="H4666" s="416"/>
    </row>
    <row r="4667" spans="1:8" ht="15.75" customHeight="1" x14ac:dyDescent="0.25">
      <c r="A4667" s="656" t="s">
        <v>67</v>
      </c>
      <c r="B4667" s="644" t="s">
        <v>125</v>
      </c>
      <c r="C4667" s="418"/>
      <c r="D4667" s="415">
        <v>10</v>
      </c>
      <c r="E4667" s="415">
        <v>5</v>
      </c>
      <c r="F4667" s="415">
        <f t="shared" ref="F4667:F4668" si="140">+E4667*D4667</f>
      </c>
      <c r="G4667" s="415">
        <v>1</v>
      </c>
      <c r="H4667" s="416">
        <f t="shared" ref="H4667:H4668" si="141">+G4667*F4667</f>
      </c>
    </row>
    <row r="4668" spans="1:8" ht="15.75" customHeight="1" x14ac:dyDescent="0.25">
      <c r="A4668" s="656" t="s">
        <v>485</v>
      </c>
      <c r="B4668" s="644" t="s">
        <v>1638</v>
      </c>
      <c r="C4668" s="418"/>
      <c r="D4668" s="415">
        <v>1</v>
      </c>
      <c r="E4668" s="415">
        <v>5</v>
      </c>
      <c r="F4668" s="415">
        <f t="shared" si="140"/>
      </c>
      <c r="G4668" s="415">
        <v>1</v>
      </c>
      <c r="H4668" s="416">
        <f t="shared" si="141"/>
      </c>
    </row>
    <row r="4669" spans="1:8" ht="15.75" customHeight="1" x14ac:dyDescent="0.25">
      <c r="A4669" s="587"/>
      <c r="B4669" s="644"/>
      <c r="C4669" s="418"/>
      <c r="D4669" s="415"/>
      <c r="E4669" s="415"/>
      <c r="F4669" s="415"/>
      <c r="G4669" s="415"/>
      <c r="H4669" s="416"/>
    </row>
    <row r="4670" spans="1:8" ht="15.75" customHeight="1" x14ac:dyDescent="0.25">
      <c r="A4670" s="629"/>
      <c r="B4670" s="448"/>
      <c r="C4670" s="390"/>
      <c r="D4670" s="427"/>
      <c r="E4670" s="427"/>
      <c r="F4670" s="428"/>
      <c r="G4670" s="427"/>
      <c r="H4670" s="429"/>
    </row>
    <row r="4671" spans="1:8" ht="15.75" customHeight="1" x14ac:dyDescent="0.25">
      <c r="A4671" s="629"/>
      <c r="B4671" s="448"/>
      <c r="C4671" s="390"/>
      <c r="D4671" s="427"/>
      <c r="E4671" s="427"/>
      <c r="F4671" s="428"/>
      <c r="G4671" s="427"/>
      <c r="H4671" s="429"/>
    </row>
    <row r="4672" spans="1:8" ht="15.75" customHeight="1" x14ac:dyDescent="0.25">
      <c r="A4672" s="430"/>
      <c r="B4672" s="409"/>
      <c r="C4672" s="393"/>
      <c r="D4672" s="427"/>
      <c r="E4672" s="427"/>
      <c r="F4672" s="428"/>
      <c r="G4672" s="431"/>
      <c r="H4672" s="429"/>
    </row>
    <row r="4673" spans="1:8" ht="15.75" customHeight="1" x14ac:dyDescent="0.25">
      <c r="A4673" s="432"/>
      <c r="B4673" s="433"/>
      <c r="C4673" s="434" t="s">
        <v>85</v>
      </c>
      <c r="D4673" s="436">
        <f>SUM(D4664:D4672)</f>
      </c>
      <c r="E4673" s="436"/>
      <c r="F4673" s="436"/>
      <c r="G4673" s="437"/>
      <c r="H4673" s="623">
        <f>SUM(H4665:H4672)</f>
      </c>
    </row>
    <row r="4674" spans="1:8" ht="15.75" customHeight="1" x14ac:dyDescent="0.25">
      <c r="A4674" s="439"/>
      <c r="B4674" s="440"/>
      <c r="C4674" s="440"/>
      <c r="D4674" s="441"/>
      <c r="E4674" s="440"/>
      <c r="F4674" s="442"/>
      <c r="G4674" s="443"/>
      <c r="H4674" s="444"/>
    </row>
    <row r="4675" spans="1:8" ht="15.75" customHeight="1" x14ac:dyDescent="0.25">
      <c r="A4675" s="392"/>
      <c r="B4675" s="391"/>
      <c r="C4675" s="391"/>
      <c r="D4675" s="391"/>
      <c r="E4675" s="390"/>
      <c r="F4675" s="392"/>
      <c r="G4675" s="390"/>
      <c r="H4675" s="394"/>
    </row>
    <row r="4676" spans="1:8" ht="15.75" customHeight="1" x14ac:dyDescent="0.25">
      <c r="A4676" s="445"/>
      <c r="B4676" s="445"/>
      <c r="C4676" s="445"/>
      <c r="D4676" s="446" t="s">
        <v>97</v>
      </c>
      <c r="E4676" s="445" t="s">
        <v>98</v>
      </c>
      <c r="F4676" s="445"/>
      <c r="G4676" s="390"/>
      <c r="H4676" s="394"/>
    </row>
    <row r="4677" spans="1:8" ht="15.75" customHeight="1" x14ac:dyDescent="0.25">
      <c r="A4677" s="390"/>
      <c r="B4677" s="390"/>
      <c r="C4677" s="390"/>
      <c r="D4677" s="391"/>
      <c r="E4677" s="390"/>
      <c r="F4677" s="390"/>
      <c r="G4677" s="390"/>
      <c r="H4677" s="394"/>
    </row>
    <row r="4678" spans="1:8" ht="15.75" customHeight="1" x14ac:dyDescent="0.25">
      <c r="A4678" s="390"/>
      <c r="B4678" s="390"/>
      <c r="C4678" s="390"/>
      <c r="D4678" s="391"/>
      <c r="E4678" s="390"/>
      <c r="F4678" s="390"/>
      <c r="G4678" s="390"/>
      <c r="H4678" s="394"/>
    </row>
    <row r="4679" spans="1:8" ht="15.75" customHeight="1" x14ac:dyDescent="0.25">
      <c r="A4679" s="445"/>
      <c r="B4679" s="445"/>
      <c r="C4679" s="445"/>
      <c r="D4679" s="446"/>
      <c r="E4679" s="445" t="s">
        <v>99</v>
      </c>
      <c r="F4679" s="445"/>
      <c r="G4679" s="390"/>
      <c r="H4679" s="394"/>
    </row>
    <row r="4680" spans="1:8" ht="15.75" customHeight="1" x14ac:dyDescent="0.25">
      <c r="D4680" s="4"/>
      <c r="H4680" s="4"/>
    </row>
    <row r="4681" spans="1:8" ht="15.75" customHeight="1" x14ac:dyDescent="0.25">
      <c r="D4681" s="4"/>
      <c r="H4681" s="4"/>
    </row>
    <row r="4682" spans="1:8" ht="15.75" customHeight="1" x14ac:dyDescent="0.25">
      <c r="D4682" s="4"/>
      <c r="H4682" s="4"/>
    </row>
    <row r="4683" spans="1:8" ht="15.75" customHeight="1" x14ac:dyDescent="0.25">
      <c r="D4683" s="4"/>
      <c r="H4683" s="4"/>
    </row>
    <row r="4684" spans="1:8" ht="15.75" customHeight="1" x14ac:dyDescent="0.25">
      <c r="D4684" s="4"/>
      <c r="H4684" s="4"/>
    </row>
    <row r="4685" spans="1:8" ht="15.75" customHeight="1" x14ac:dyDescent="0.25">
      <c r="D4685" s="4"/>
      <c r="H4685" s="4"/>
    </row>
    <row r="4686" spans="1:8" ht="15.75" customHeight="1" x14ac:dyDescent="0.25">
      <c r="D4686" s="4"/>
      <c r="H4686" s="4"/>
    </row>
    <row r="4687" spans="1:8" ht="15.75" customHeight="1" x14ac:dyDescent="0.25">
      <c r="D4687" s="4"/>
      <c r="H4687" s="4"/>
    </row>
    <row r="4688" spans="1:8" ht="15.75" customHeight="1" x14ac:dyDescent="0.25">
      <c r="D4688" s="4"/>
      <c r="H4688" s="4"/>
    </row>
    <row r="4689" spans="1:8" ht="15.75" customHeight="1" x14ac:dyDescent="0.25">
      <c r="D4689" s="4"/>
      <c r="H4689" s="4"/>
    </row>
    <row r="4690" spans="1:8" ht="15.75" customHeight="1" x14ac:dyDescent="0.25">
      <c r="D4690" s="4"/>
      <c r="H4690" s="4"/>
    </row>
    <row r="4691" spans="1:8" ht="15.75" customHeight="1" x14ac:dyDescent="0.25">
      <c r="D4691" s="4"/>
      <c r="H4691" s="4"/>
    </row>
    <row r="4692" spans="1:8" ht="15.75" customHeight="1" x14ac:dyDescent="0.25">
      <c r="D4692" s="4"/>
      <c r="H4692" s="4"/>
    </row>
    <row r="4693" spans="1:8" ht="15.75" customHeight="1" x14ac:dyDescent="0.25">
      <c r="D4693" s="4"/>
      <c r="H4693" s="4"/>
    </row>
    <row r="4694" spans="1:8" ht="15.75" customHeight="1" x14ac:dyDescent="0.25">
      <c r="A4694" s="392" t="s">
        <v>14</v>
      </c>
      <c r="B4694" s="391"/>
      <c r="C4694" s="391"/>
      <c r="D4694" s="391"/>
      <c r="E4694" s="391"/>
      <c r="F4694" s="391"/>
      <c r="G4694" s="391"/>
      <c r="H4694" s="394"/>
    </row>
    <row r="4695" spans="1:8" ht="15.75" customHeight="1" x14ac:dyDescent="0.25">
      <c r="A4695" s="392"/>
      <c r="B4695" s="391"/>
      <c r="C4695" s="391"/>
      <c r="D4695" s="391"/>
      <c r="E4695" s="390"/>
      <c r="F4695" s="392"/>
      <c r="G4695" s="390"/>
      <c r="H4695" s="394"/>
    </row>
    <row r="4696" spans="1:8" ht="15.75" customHeight="1" x14ac:dyDescent="0.25">
      <c r="A4696" s="392"/>
      <c r="B4696" s="391"/>
      <c r="C4696" s="391"/>
      <c r="D4696" s="391"/>
      <c r="E4696" s="390"/>
      <c r="F4696" s="392"/>
      <c r="G4696" s="390"/>
      <c r="H4696" s="394"/>
    </row>
    <row r="4697" spans="1:8" ht="15.75" customHeight="1" x14ac:dyDescent="0.25">
      <c r="A4697" s="390" t="s">
        <v>20</v>
      </c>
      <c r="B4697" s="390"/>
      <c r="C4697" s="390"/>
      <c r="D4697" s="391"/>
      <c r="E4697" s="390"/>
      <c r="F4697" s="392"/>
      <c r="G4697" s="390"/>
      <c r="H4697" s="394"/>
    </row>
    <row r="4698" spans="1:8" ht="15.75" customHeight="1" x14ac:dyDescent="0.25">
      <c r="A4698" s="390" t="inlineStr">
        <is>
          <t>Dealer-013</t>
        </is>
      </c>
      <c r="B4698" s="390"/>
      <c r="C4698" s="390" t="inlineStr">
        <is>
          <t>ATTN: Contact-003</t>
        </is>
      </c>
      <c r="D4698" s="391"/>
      <c r="E4698" s="390"/>
      <c r="F4698" s="395" t="s">
        <v>18</v>
      </c>
      <c r="G4698" s="390" t="s">
        <v>507</v>
      </c>
      <c r="H4698" s="394"/>
    </row>
    <row r="4699" spans="1:8" ht="15.75" customHeight="1" x14ac:dyDescent="0.25">
      <c r="A4699" s="390" t="inlineStr">
        <is>
          <t>Address line (redacted)</t>
        </is>
      </c>
      <c r="B4699" s="390"/>
      <c r="C4699" s="390"/>
      <c r="D4699" s="391"/>
      <c r="E4699" s="390"/>
      <c r="F4699" s="393" t="s">
        <v>21</v>
      </c>
      <c r="G4699" s="390" t="s">
        <v>1639</v>
      </c>
      <c r="H4699" s="394"/>
    </row>
    <row r="4700" spans="1:8" ht="15.75" customHeight="1" x14ac:dyDescent="0.25">
      <c r="A4700" s="390" t="inlineStr">
        <is>
          <t>Address line (redacted)</t>
        </is>
      </c>
      <c r="B4700" s="390"/>
      <c r="C4700" s="390"/>
      <c r="D4700" s="391"/>
      <c r="E4700" s="390"/>
      <c r="F4700" s="391"/>
      <c r="G4700" s="390"/>
      <c r="H4700" s="394"/>
    </row>
    <row r="4701" spans="1:8" ht="15.75" customHeight="1" x14ac:dyDescent="0.25">
      <c r="A4701" s="390"/>
      <c r="B4701" s="390"/>
      <c r="C4701" s="393"/>
      <c r="D4701" s="391"/>
      <c r="E4701" s="390"/>
      <c r="F4701" s="391"/>
      <c r="G4701" s="390"/>
      <c r="H4701" s="394"/>
    </row>
    <row r="4702" spans="1:8" ht="15.75" customHeight="1" x14ac:dyDescent="0.25">
      <c r="A4702" s="390" t="s">
        <v>30</v>
      </c>
      <c r="B4702" s="390"/>
      <c r="C4702" s="390"/>
      <c r="D4702" s="391"/>
      <c r="E4702" s="390"/>
      <c r="F4702" s="391"/>
      <c r="G4702" s="390"/>
      <c r="H4702" s="394"/>
    </row>
    <row r="4703" spans="1:8" ht="15.75" customHeight="1" x14ac:dyDescent="0.25">
      <c r="A4703" s="390"/>
      <c r="B4703" s="390"/>
      <c r="C4703" s="390"/>
      <c r="D4703" s="391"/>
      <c r="E4703" s="390"/>
      <c r="F4703" s="391"/>
      <c r="G4703" s="390"/>
      <c r="H4703" s="394"/>
    </row>
    <row r="4704" spans="1:8" ht="15.75" customHeight="1" x14ac:dyDescent="0.25">
      <c r="A4704" s="390" t="s">
        <v>1322</v>
      </c>
      <c r="B4704" s="390"/>
      <c r="C4704" s="390"/>
      <c r="D4704" s="391"/>
      <c r="E4704" s="390"/>
      <c r="F4704" s="391"/>
      <c r="G4704" s="390"/>
      <c r="H4704" s="394"/>
    </row>
    <row r="4705" spans="1:8" ht="15.75" customHeight="1" x14ac:dyDescent="0.25">
      <c r="A4705" s="390" t="s">
        <v>1328</v>
      </c>
      <c r="B4705" s="390"/>
      <c r="C4705" s="390"/>
      <c r="D4705" s="391"/>
      <c r="E4705" s="390"/>
      <c r="F4705" s="391"/>
      <c r="G4705" s="390"/>
      <c r="H4705" s="394"/>
    </row>
    <row r="4706" spans="1:8" ht="15.75" customHeight="1" x14ac:dyDescent="0.25">
      <c r="A4706" s="390"/>
      <c r="B4706" s="390"/>
      <c r="C4706" s="390"/>
      <c r="D4706" s="391"/>
      <c r="E4706" s="390"/>
      <c r="F4706" s="391"/>
      <c r="G4706" s="390"/>
      <c r="H4706" s="394"/>
    </row>
    <row r="4707" spans="1:8" ht="15.75" customHeight="1" x14ac:dyDescent="0.25">
      <c r="A4707" s="399" t="s">
        <v>33</v>
      </c>
      <c r="B4707" s="400" t="s">
        <v>6</v>
      </c>
      <c r="C4707" s="400"/>
      <c r="D4707" s="401" t="s">
        <v>37</v>
      </c>
      <c r="E4707" s="402" t="s">
        <v>1309</v>
      </c>
      <c r="F4707" s="609" t="s">
        <v>7</v>
      </c>
      <c r="G4707" s="400" t="s">
        <v>43</v>
      </c>
      <c r="H4707" s="405" t="s">
        <v>44</v>
      </c>
    </row>
    <row r="4708" spans="1:8" ht="15.75" customHeight="1" x14ac:dyDescent="0.25">
      <c r="A4708" s="610"/>
      <c r="B4708" s="611"/>
      <c r="C4708" s="611"/>
      <c r="D4708" s="612"/>
      <c r="E4708" s="613"/>
      <c r="F4708" s="614"/>
      <c r="G4708" s="611"/>
      <c r="H4708" s="615"/>
    </row>
    <row r="4709" spans="1:8" ht="15.75" customHeight="1" x14ac:dyDescent="0.25">
      <c r="A4709" s="412"/>
      <c r="B4709" s="578" t="s">
        <v>1623</v>
      </c>
      <c r="C4709" s="578"/>
      <c r="D4709" s="415"/>
      <c r="E4709" s="415"/>
      <c r="F4709" s="415"/>
      <c r="G4709" s="415"/>
      <c r="H4709" s="416"/>
    </row>
    <row r="4710" spans="1:8" ht="15.75" customHeight="1" x14ac:dyDescent="0.25">
      <c r="A4710" s="581" t="s">
        <v>55</v>
      </c>
      <c r="B4710" s="644" t="s">
        <v>1624</v>
      </c>
      <c r="C4710" s="415"/>
      <c r="D4710" s="415">
        <v>5</v>
      </c>
      <c r="E4710" s="415">
        <v>10</v>
      </c>
      <c r="F4710" s="415">
        <f t="shared" ref="F4710:F4711" si="142">+E4710*D4710</f>
      </c>
      <c r="G4710" s="415">
        <v>1</v>
      </c>
      <c r="H4710" s="589">
        <f t="shared" ref="H4710:H4711" si="143">+G4710*F4710</f>
      </c>
    </row>
    <row r="4711" spans="1:8" ht="15.75" customHeight="1" x14ac:dyDescent="0.25">
      <c r="A4711" s="412" t="s">
        <v>59</v>
      </c>
      <c r="B4711" s="644" t="s">
        <v>1625</v>
      </c>
      <c r="C4711" s="418"/>
      <c r="D4711" s="415">
        <v>13</v>
      </c>
      <c r="E4711" s="415">
        <v>10</v>
      </c>
      <c r="F4711" s="415">
        <f t="shared" si="142"/>
      </c>
      <c r="G4711" s="415">
        <v>1</v>
      </c>
      <c r="H4711" s="589">
        <f t="shared" si="143"/>
      </c>
    </row>
    <row r="4712" spans="1:8" ht="15.75" customHeight="1" x14ac:dyDescent="0.25">
      <c r="A4712" s="412"/>
      <c r="B4712" s="578" t="s">
        <v>1627</v>
      </c>
      <c r="C4712" s="578"/>
      <c r="D4712" s="415"/>
      <c r="E4712" s="415"/>
      <c r="F4712" s="415"/>
      <c r="G4712" s="415"/>
      <c r="H4712" s="416"/>
    </row>
    <row r="4713" spans="1:8" ht="15.75" customHeight="1" x14ac:dyDescent="0.25">
      <c r="A4713" s="412" t="s">
        <v>67</v>
      </c>
      <c r="B4713" s="644" t="s">
        <v>1641</v>
      </c>
      <c r="C4713" s="418"/>
      <c r="D4713" s="415">
        <v>8</v>
      </c>
      <c r="E4713" s="415">
        <v>5</v>
      </c>
      <c r="F4713" s="415">
        <f>+E4713*D4713</f>
      </c>
      <c r="G4713" s="415">
        <v>1</v>
      </c>
      <c r="H4713" s="589">
        <f>+G4713*F4713</f>
      </c>
    </row>
    <row r="4714" spans="1:8" ht="15.75" customHeight="1" x14ac:dyDescent="0.25">
      <c r="A4714" s="581"/>
      <c r="B4714" s="578" t="s">
        <v>74</v>
      </c>
      <c r="C4714" s="578"/>
      <c r="D4714" s="415"/>
      <c r="E4714" s="415"/>
      <c r="F4714" s="415"/>
      <c r="G4714" s="415"/>
      <c r="H4714" s="589"/>
    </row>
    <row r="4715" spans="1:8" ht="15.75" customHeight="1" x14ac:dyDescent="0.25">
      <c r="A4715" s="581" t="s">
        <v>489</v>
      </c>
      <c r="B4715" s="644" t="s">
        <v>1632</v>
      </c>
      <c r="C4715" s="418"/>
      <c r="D4715" s="415">
        <v>20</v>
      </c>
      <c r="E4715" s="415">
        <v>10</v>
      </c>
      <c r="F4715" s="415">
        <f t="shared" ref="F4715:F4717" si="144">+E4715*D4715</f>
      </c>
      <c r="G4715" s="415">
        <v>1</v>
      </c>
      <c r="H4715" s="589">
        <f t="shared" ref="H4715:H4717" si="145">+G4715*F4715</f>
      </c>
    </row>
    <row r="4716" spans="1:8" ht="15.75" customHeight="1" x14ac:dyDescent="0.25">
      <c r="A4716" s="581" t="s">
        <v>490</v>
      </c>
      <c r="B4716" s="644" t="s">
        <v>1634</v>
      </c>
      <c r="C4716" s="418"/>
      <c r="D4716" s="415">
        <v>20</v>
      </c>
      <c r="E4716" s="415">
        <v>10</v>
      </c>
      <c r="F4716" s="415">
        <f t="shared" si="144"/>
      </c>
      <c r="G4716" s="415">
        <v>1</v>
      </c>
      <c r="H4716" s="589">
        <f t="shared" si="145"/>
      </c>
    </row>
    <row r="4717" spans="1:8" ht="15.75" customHeight="1" x14ac:dyDescent="0.25">
      <c r="A4717" s="656" t="s">
        <v>781</v>
      </c>
      <c r="B4717" s="644" t="s">
        <v>125</v>
      </c>
      <c r="C4717" s="418"/>
      <c r="D4717" s="415">
        <v>5</v>
      </c>
      <c r="E4717" s="415">
        <v>5</v>
      </c>
      <c r="F4717" s="415">
        <f t="shared" si="144"/>
      </c>
      <c r="G4717" s="415">
        <v>1</v>
      </c>
      <c r="H4717" s="416">
        <f t="shared" si="145"/>
      </c>
    </row>
    <row r="4718" spans="1:8" ht="15.75" customHeight="1" x14ac:dyDescent="0.25">
      <c r="A4718" s="581"/>
      <c r="B4718" s="582"/>
      <c r="C4718" s="582"/>
      <c r="D4718" s="415"/>
      <c r="E4718" s="415"/>
      <c r="F4718" s="415"/>
      <c r="G4718" s="415"/>
      <c r="H4718" s="589"/>
    </row>
    <row r="4719" spans="1:8" ht="15.75" customHeight="1" x14ac:dyDescent="0.25">
      <c r="A4719" s="430"/>
      <c r="B4719" s="409"/>
      <c r="C4719" s="393"/>
      <c r="D4719" s="427"/>
      <c r="E4719" s="427"/>
      <c r="F4719" s="428"/>
      <c r="G4719" s="427"/>
      <c r="H4719" s="429"/>
    </row>
    <row r="4720" spans="1:8" ht="15.75" customHeight="1" x14ac:dyDescent="0.25">
      <c r="A4720" s="432"/>
      <c r="B4720" s="433"/>
      <c r="C4720" s="434" t="s">
        <v>85</v>
      </c>
      <c r="D4720" s="659">
        <f>SUM(D4710:D4719)</f>
      </c>
      <c r="E4720" s="401"/>
      <c r="F4720" s="660"/>
      <c r="G4720" s="661"/>
      <c r="H4720" s="623">
        <f>SUM(H4710:H4719)</f>
      </c>
    </row>
    <row r="4721" spans="1:8" ht="15.75" customHeight="1" x14ac:dyDescent="0.25">
      <c r="A4721" s="439"/>
      <c r="B4721" s="440"/>
      <c r="C4721" s="440"/>
      <c r="D4721" s="441"/>
      <c r="E4721" s="440"/>
      <c r="F4721" s="442"/>
      <c r="G4721" s="443"/>
      <c r="H4721" s="444"/>
    </row>
    <row r="4722" spans="1:8" ht="15.75" customHeight="1" x14ac:dyDescent="0.25">
      <c r="A4722" s="392"/>
      <c r="B4722" s="391"/>
      <c r="C4722" s="391"/>
      <c r="D4722" s="391"/>
      <c r="E4722" s="390"/>
      <c r="F4722" s="392"/>
      <c r="G4722" s="390"/>
      <c r="H4722" s="394"/>
    </row>
    <row r="4723" spans="1:8" ht="15.75" customHeight="1" x14ac:dyDescent="0.25">
      <c r="A4723" s="445"/>
      <c r="B4723" s="445"/>
      <c r="C4723" s="445"/>
      <c r="D4723" s="446" t="s">
        <v>97</v>
      </c>
      <c r="E4723" s="445" t="s">
        <v>98</v>
      </c>
      <c r="F4723" s="445"/>
      <c r="G4723" s="390"/>
      <c r="H4723" s="394"/>
    </row>
    <row r="4724" spans="1:8" ht="15.75" customHeight="1" x14ac:dyDescent="0.25">
      <c r="A4724" s="390"/>
      <c r="B4724" s="390"/>
      <c r="C4724" s="390"/>
      <c r="D4724" s="391"/>
      <c r="E4724" s="390"/>
      <c r="F4724" s="390"/>
      <c r="G4724" s="390"/>
      <c r="H4724" s="394"/>
    </row>
    <row r="4725" spans="1:8" ht="15.75" customHeight="1" x14ac:dyDescent="0.25">
      <c r="A4725" s="390"/>
      <c r="B4725" s="390"/>
      <c r="C4725" s="390"/>
      <c r="D4725" s="391"/>
      <c r="E4725" s="390"/>
      <c r="F4725" s="390"/>
      <c r="G4725" s="390"/>
      <c r="H4725" s="394"/>
    </row>
    <row r="4726" spans="1:8" ht="15.75" customHeight="1" x14ac:dyDescent="0.25">
      <c r="A4726" s="445"/>
      <c r="B4726" s="445"/>
      <c r="C4726" s="445"/>
      <c r="D4726" s="446"/>
      <c r="E4726" s="445" t="s">
        <v>99</v>
      </c>
      <c r="F4726" s="445"/>
      <c r="G4726" s="390"/>
      <c r="H4726" s="394"/>
    </row>
    <row r="4727" spans="1:8" ht="15.75" customHeight="1" x14ac:dyDescent="0.25">
      <c r="D4727" s="4"/>
      <c r="H4727" s="4"/>
    </row>
    <row r="4728" spans="1:8" ht="15.75" customHeight="1" x14ac:dyDescent="0.25">
      <c r="D4728" s="4"/>
      <c r="H4728" s="4"/>
    </row>
    <row r="4729" spans="1:8" ht="15.75" customHeight="1" x14ac:dyDescent="0.25">
      <c r="D4729" s="4"/>
      <c r="H4729" s="4"/>
    </row>
    <row r="4730" spans="1:8" ht="15.75" customHeight="1" x14ac:dyDescent="0.25">
      <c r="D4730" s="4"/>
      <c r="H4730" s="4"/>
    </row>
    <row r="4731" spans="1:8" ht="15.75" customHeight="1" x14ac:dyDescent="0.25">
      <c r="D4731" s="4"/>
      <c r="H4731" s="4"/>
    </row>
    <row r="4732" spans="1:8" ht="15.75" customHeight="1" x14ac:dyDescent="0.25">
      <c r="D4732" s="4"/>
      <c r="H4732" s="4"/>
    </row>
    <row r="4733" spans="1:8" ht="15.75" customHeight="1" x14ac:dyDescent="0.25">
      <c r="D4733" s="4"/>
      <c r="H4733" s="4"/>
    </row>
    <row r="4734" spans="1:8" ht="15.75" customHeight="1" x14ac:dyDescent="0.25">
      <c r="D4734" s="4"/>
      <c r="H4734" s="4"/>
    </row>
    <row r="4735" spans="1:8" ht="15.75" customHeight="1" x14ac:dyDescent="0.25">
      <c r="D4735" s="4"/>
      <c r="H4735" s="4"/>
    </row>
    <row r="4736" spans="1:8" ht="15.75" customHeight="1" x14ac:dyDescent="0.25">
      <c r="D4736" s="4"/>
      <c r="H4736" s="4"/>
    </row>
    <row r="4737" spans="1:8" ht="15.75" customHeight="1" x14ac:dyDescent="0.25">
      <c r="D4737" s="4"/>
      <c r="H4737" s="4"/>
    </row>
    <row r="4738" spans="1:8" ht="15.75" customHeight="1" x14ac:dyDescent="0.25">
      <c r="D4738" s="4"/>
      <c r="H4738" s="4"/>
    </row>
    <row r="4739" spans="1:8" ht="15.75" customHeight="1" x14ac:dyDescent="0.25">
      <c r="D4739" s="4"/>
      <c r="H4739" s="4"/>
    </row>
    <row r="4740" spans="1:8" ht="15.75" customHeight="1" x14ac:dyDescent="0.25">
      <c r="A4740" s="398" t="s">
        <v>14</v>
      </c>
      <c r="B4740" s="391"/>
      <c r="C4740" s="391"/>
      <c r="D4740" s="391"/>
      <c r="E4740" s="391"/>
      <c r="F4740" s="391"/>
      <c r="G4740" s="391"/>
      <c r="H4740" s="394"/>
    </row>
    <row r="4741" spans="1:8" ht="15.75" customHeight="1" x14ac:dyDescent="0.25">
      <c r="A4741" s="390"/>
      <c r="B4741" s="390"/>
      <c r="C4741" s="390"/>
      <c r="D4741" s="392"/>
      <c r="E4741" s="569"/>
      <c r="F4741" s="391"/>
      <c r="G4741" s="390"/>
      <c r="H4741" s="394"/>
    </row>
    <row r="4742" spans="1:8" ht="15.75" customHeight="1" x14ac:dyDescent="0.25">
      <c r="A4742" s="390"/>
      <c r="B4742" s="390"/>
      <c r="C4742" s="390"/>
      <c r="D4742" s="391"/>
      <c r="E4742" s="390"/>
      <c r="F4742" s="395" t="s">
        <v>18</v>
      </c>
      <c r="G4742" s="390" t="s">
        <v>507</v>
      </c>
      <c r="H4742" s="394"/>
    </row>
    <row r="4743" spans="1:8" ht="15.75" customHeight="1" x14ac:dyDescent="0.25">
      <c r="A4743" s="390"/>
      <c r="B4743" s="390"/>
      <c r="C4743" s="390"/>
      <c r="D4743" s="391"/>
      <c r="E4743" s="390"/>
      <c r="F4743" s="393" t="s">
        <v>21</v>
      </c>
      <c r="G4743" s="390" t="s">
        <v>1642</v>
      </c>
      <c r="H4743" s="394"/>
    </row>
    <row r="4744" spans="1:8" ht="15.75" customHeight="1" x14ac:dyDescent="0.25">
      <c r="A4744" s="390" t="s">
        <v>20</v>
      </c>
      <c r="B4744" s="390"/>
      <c r="C4744" s="390"/>
      <c r="D4744" s="391"/>
      <c r="E4744" s="390"/>
      <c r="F4744" s="391"/>
      <c r="G4744" s="390"/>
      <c r="H4744" s="394"/>
    </row>
    <row r="4745" spans="1:8" ht="15.75" customHeight="1" x14ac:dyDescent="0.25">
      <c r="A4745" s="390" t="inlineStr">
        <is>
          <t>Dealer-004</t>
        </is>
      </c>
      <c r="B4745" s="390"/>
      <c r="C4745" s="390"/>
      <c r="D4745" s="391"/>
      <c r="E4745" s="390"/>
      <c r="F4745" s="391"/>
      <c r="G4745" s="390"/>
      <c r="H4745" s="394"/>
    </row>
    <row r="4746" spans="1:8" ht="15.75" customHeight="1" x14ac:dyDescent="0.25">
      <c r="A4746" s="390" t="inlineStr">
        <is>
          <t>Address line (redacted)</t>
        </is>
      </c>
      <c r="B4746" s="390"/>
      <c r="C4746" s="390"/>
      <c r="D4746" s="391"/>
      <c r="E4746" s="390"/>
      <c r="F4746" s="391"/>
      <c r="G4746" s="390"/>
      <c r="H4746" s="394"/>
    </row>
    <row r="4747" spans="1:8" ht="15.75" customHeight="1" x14ac:dyDescent="0.25">
      <c r="A4747" s="390" t="inlineStr">
        <is>
          <t>Address line (redacted)</t>
        </is>
      </c>
      <c r="B4747" s="390"/>
      <c r="C4747" s="390"/>
      <c r="D4747" s="391"/>
      <c r="E4747" s="390"/>
      <c r="F4747" s="391"/>
      <c r="G4747" s="390"/>
      <c r="H4747" s="394"/>
    </row>
    <row r="4748" spans="1:8" ht="15.75" customHeight="1" x14ac:dyDescent="0.25">
      <c r="A4748" s="390"/>
      <c r="B4748" s="390"/>
      <c r="C4748" s="390"/>
      <c r="D4748" s="391"/>
      <c r="E4748" s="390"/>
      <c r="F4748" s="391"/>
      <c r="G4748" s="390"/>
      <c r="H4748" s="394"/>
    </row>
    <row r="4749" spans="1:8" ht="15.75" customHeight="1" x14ac:dyDescent="0.25">
      <c r="A4749" s="390" t="s">
        <v>30</v>
      </c>
      <c r="B4749" s="390"/>
      <c r="C4749" s="390"/>
      <c r="D4749" s="391"/>
      <c r="E4749" s="390"/>
      <c r="F4749" s="391"/>
      <c r="G4749" s="390"/>
      <c r="H4749" s="394"/>
    </row>
    <row r="4750" spans="1:8" ht="15.75" customHeight="1" x14ac:dyDescent="0.25">
      <c r="A4750" s="390"/>
      <c r="B4750" s="390"/>
      <c r="C4750" s="390"/>
      <c r="D4750" s="391"/>
      <c r="E4750" s="390"/>
      <c r="F4750" s="391"/>
      <c r="G4750" s="390"/>
      <c r="H4750" s="394"/>
    </row>
    <row r="4751" spans="1:8" ht="15.75" customHeight="1" x14ac:dyDescent="0.25">
      <c r="A4751" s="390" t="s">
        <v>1322</v>
      </c>
      <c r="B4751" s="390"/>
      <c r="C4751" s="390"/>
      <c r="D4751" s="391"/>
      <c r="E4751" s="390"/>
      <c r="F4751" s="391"/>
      <c r="G4751" s="390"/>
      <c r="H4751" s="394"/>
    </row>
    <row r="4752" spans="1:8" ht="15.75" customHeight="1" x14ac:dyDescent="0.25">
      <c r="A4752" s="390" t="s">
        <v>1328</v>
      </c>
      <c r="B4752" s="390"/>
      <c r="C4752" s="390"/>
      <c r="D4752" s="391"/>
      <c r="E4752" s="390"/>
      <c r="F4752" s="391"/>
      <c r="G4752" s="390"/>
      <c r="H4752" s="394"/>
    </row>
    <row r="4753" spans="1:8" ht="15.75" customHeight="1" x14ac:dyDescent="0.25">
      <c r="A4753" s="390"/>
      <c r="B4753" s="390"/>
      <c r="C4753" s="390"/>
      <c r="D4753" s="391"/>
      <c r="E4753" s="390"/>
      <c r="F4753" s="391"/>
      <c r="G4753" s="390"/>
      <c r="H4753" s="394"/>
    </row>
    <row r="4754" spans="1:8" ht="15.75" customHeight="1" x14ac:dyDescent="0.25">
      <c r="A4754" s="399" t="s">
        <v>33</v>
      </c>
      <c r="B4754" s="400" t="s">
        <v>6</v>
      </c>
      <c r="C4754" s="400"/>
      <c r="D4754" s="401" t="s">
        <v>37</v>
      </c>
      <c r="E4754" s="402" t="s">
        <v>38</v>
      </c>
      <c r="F4754" s="403" t="s">
        <v>7</v>
      </c>
      <c r="G4754" s="404" t="s">
        <v>43</v>
      </c>
      <c r="H4754" s="405" t="s">
        <v>44</v>
      </c>
    </row>
    <row r="4755" spans="1:8" ht="15.75" customHeight="1" x14ac:dyDescent="0.25">
      <c r="A4755" s="406"/>
      <c r="B4755" s="407"/>
      <c r="C4755" s="393"/>
      <c r="D4755" s="410"/>
      <c r="E4755" s="408"/>
      <c r="F4755" s="409"/>
      <c r="G4755" s="410"/>
      <c r="H4755" s="411"/>
    </row>
    <row r="4756" spans="1:8" ht="15.75" customHeight="1" x14ac:dyDescent="0.25">
      <c r="A4756" s="581"/>
      <c r="B4756" s="578" t="s">
        <v>531</v>
      </c>
      <c r="C4756" s="578"/>
      <c r="D4756" s="415"/>
      <c r="E4756" s="415"/>
      <c r="F4756" s="415"/>
      <c r="G4756" s="415"/>
      <c r="H4756" s="589"/>
    </row>
    <row r="4757" spans="1:8" ht="15.75" customHeight="1" x14ac:dyDescent="0.25">
      <c r="A4757" s="581" t="s">
        <v>55</v>
      </c>
      <c r="B4757" s="644" t="s">
        <v>1632</v>
      </c>
      <c r="C4757" s="418"/>
      <c r="D4757" s="415">
        <v>40</v>
      </c>
      <c r="E4757" s="415">
        <v>10</v>
      </c>
      <c r="F4757" s="415">
        <f t="shared" ref="F4757:F4759" si="146">+E4757*D4757</f>
      </c>
      <c r="G4757" s="415">
        <v>1</v>
      </c>
      <c r="H4757" s="589">
        <f t="shared" ref="H4757:H4759" si="147">+G4757*F4757</f>
      </c>
    </row>
    <row r="4758" spans="1:8" ht="15.75" customHeight="1" x14ac:dyDescent="0.25">
      <c r="A4758" s="581" t="s">
        <v>59</v>
      </c>
      <c r="B4758" s="644" t="s">
        <v>1633</v>
      </c>
      <c r="C4758" s="418"/>
      <c r="D4758" s="415">
        <v>40</v>
      </c>
      <c r="E4758" s="415">
        <v>10</v>
      </c>
      <c r="F4758" s="415">
        <f t="shared" si="146"/>
      </c>
      <c r="G4758" s="415">
        <v>1</v>
      </c>
      <c r="H4758" s="589">
        <f t="shared" si="147"/>
      </c>
    </row>
    <row r="4759" spans="1:8" ht="15.75" customHeight="1" x14ac:dyDescent="0.25">
      <c r="A4759" s="656" t="s">
        <v>67</v>
      </c>
      <c r="B4759" s="644" t="s">
        <v>125</v>
      </c>
      <c r="C4759" s="418"/>
      <c r="D4759" s="415">
        <v>20</v>
      </c>
      <c r="E4759" s="415">
        <v>5</v>
      </c>
      <c r="F4759" s="415">
        <f t="shared" si="146"/>
      </c>
      <c r="G4759" s="415">
        <v>1</v>
      </c>
      <c r="H4759" s="416">
        <f t="shared" si="147"/>
      </c>
    </row>
    <row r="4760" spans="1:8" ht="15.75" customHeight="1" x14ac:dyDescent="0.25">
      <c r="A4760" s="412"/>
      <c r="B4760" s="644"/>
      <c r="C4760" s="418"/>
      <c r="D4760" s="415"/>
      <c r="E4760" s="415"/>
      <c r="F4760" s="415"/>
      <c r="G4760" s="415"/>
      <c r="H4760" s="416"/>
    </row>
    <row r="4761" spans="1:8" ht="15.75" customHeight="1" x14ac:dyDescent="0.25">
      <c r="A4761" s="581"/>
      <c r="B4761" s="582"/>
      <c r="C4761" s="582"/>
      <c r="D4761" s="415"/>
      <c r="E4761" s="415"/>
      <c r="F4761" s="415"/>
      <c r="G4761" s="582"/>
      <c r="H4761" s="589"/>
    </row>
    <row r="4762" spans="1:8" ht="15.75" customHeight="1" x14ac:dyDescent="0.25">
      <c r="A4762" s="502"/>
      <c r="B4762" s="630"/>
      <c r="C4762" s="658"/>
      <c r="D4762" s="427"/>
      <c r="E4762" s="427"/>
      <c r="F4762" s="428"/>
      <c r="G4762" s="427"/>
      <c r="H4762" s="429"/>
    </row>
    <row r="4763" spans="1:8" ht="15.75" customHeight="1" x14ac:dyDescent="0.25">
      <c r="A4763" s="430"/>
      <c r="B4763" s="409"/>
      <c r="C4763" s="393"/>
      <c r="D4763" s="427"/>
      <c r="E4763" s="427"/>
      <c r="F4763" s="428"/>
      <c r="G4763" s="431"/>
      <c r="H4763" s="429"/>
    </row>
    <row r="4764" spans="1:8" ht="15.75" customHeight="1" x14ac:dyDescent="0.25">
      <c r="A4764" s="432"/>
      <c r="B4764" s="433"/>
      <c r="C4764" s="434" t="s">
        <v>85</v>
      </c>
      <c r="D4764" s="436">
        <f>SUM(D4757:D4763)</f>
      </c>
      <c r="E4764" s="436"/>
      <c r="F4764" s="436"/>
      <c r="G4764" s="437"/>
      <c r="H4764" s="623">
        <f>SUM(H4757:H4763)</f>
      </c>
    </row>
    <row r="4765" spans="1:8" ht="15.75" customHeight="1" x14ac:dyDescent="0.25">
      <c r="A4765" s="439"/>
      <c r="B4765" s="440"/>
      <c r="C4765" s="440"/>
      <c r="D4765" s="441"/>
      <c r="E4765" s="440"/>
      <c r="F4765" s="442"/>
      <c r="G4765" s="443"/>
      <c r="H4765" s="444"/>
    </row>
    <row r="4766" spans="1:8" ht="15.75" customHeight="1" x14ac:dyDescent="0.25">
      <c r="A4766" s="392"/>
      <c r="B4766" s="391"/>
      <c r="C4766" s="391"/>
      <c r="D4766" s="391"/>
      <c r="E4766" s="390"/>
      <c r="F4766" s="392"/>
      <c r="G4766" s="390"/>
      <c r="H4766" s="394"/>
    </row>
    <row r="4767" spans="1:8" ht="15.75" customHeight="1" x14ac:dyDescent="0.25">
      <c r="A4767" s="445"/>
      <c r="B4767" s="445"/>
      <c r="C4767" s="445"/>
      <c r="D4767" s="446" t="s">
        <v>97</v>
      </c>
      <c r="E4767" s="445" t="s">
        <v>98</v>
      </c>
      <c r="F4767" s="445"/>
      <c r="G4767" s="390"/>
      <c r="H4767" s="394"/>
    </row>
    <row r="4768" spans="1:8" ht="15.75" customHeight="1" x14ac:dyDescent="0.25">
      <c r="A4768" s="390"/>
      <c r="B4768" s="390"/>
      <c r="C4768" s="390"/>
      <c r="D4768" s="391"/>
      <c r="E4768" s="390"/>
      <c r="F4768" s="390"/>
      <c r="G4768" s="390"/>
      <c r="H4768" s="394"/>
    </row>
    <row r="4769" spans="1:8" ht="15.75" customHeight="1" x14ac:dyDescent="0.25">
      <c r="A4769" s="390"/>
      <c r="B4769" s="390"/>
      <c r="C4769" s="390"/>
      <c r="D4769" s="391"/>
      <c r="E4769" s="390"/>
      <c r="F4769" s="390"/>
      <c r="G4769" s="390"/>
      <c r="H4769" s="394"/>
    </row>
    <row r="4770" spans="1:8" ht="15.75" customHeight="1" x14ac:dyDescent="0.25">
      <c r="A4770" s="445"/>
      <c r="B4770" s="445"/>
      <c r="C4770" s="445"/>
      <c r="D4770" s="446"/>
      <c r="E4770" s="445" t="s">
        <v>99</v>
      </c>
      <c r="F4770" s="445"/>
      <c r="G4770" s="390"/>
      <c r="H4770" s="394"/>
    </row>
    <row r="4771" spans="1:8" ht="15.75" customHeight="1" x14ac:dyDescent="0.25">
      <c r="D4771" s="4"/>
      <c r="H4771" s="4"/>
    </row>
    <row r="4772" spans="1:8" ht="15.75" customHeight="1" x14ac:dyDescent="0.25">
      <c r="D4772" s="4"/>
      <c r="H4772" s="4"/>
    </row>
    <row r="4773" spans="1:8" ht="15.75" customHeight="1" x14ac:dyDescent="0.25">
      <c r="D4773" s="4"/>
      <c r="H4773" s="4"/>
    </row>
    <row r="4774" spans="1:8" ht="15.75" customHeight="1" x14ac:dyDescent="0.25">
      <c r="D4774" s="4"/>
      <c r="H4774" s="4"/>
    </row>
    <row r="4775" spans="1:8" ht="15.75" customHeight="1" x14ac:dyDescent="0.25">
      <c r="D4775" s="4"/>
      <c r="H4775" s="4"/>
    </row>
    <row r="4776" spans="1:8" ht="15.75" customHeight="1" x14ac:dyDescent="0.25">
      <c r="D4776" s="4"/>
      <c r="H4776" s="4"/>
    </row>
    <row r="4777" spans="1:8" ht="15.75" customHeight="1" x14ac:dyDescent="0.25">
      <c r="D4777" s="4"/>
      <c r="H4777" s="4"/>
    </row>
    <row r="4778" spans="1:8" ht="15.75" customHeight="1" x14ac:dyDescent="0.25">
      <c r="D4778" s="4"/>
      <c r="H4778" s="4"/>
    </row>
    <row r="4779" spans="1:8" ht="15.75" customHeight="1" x14ac:dyDescent="0.25">
      <c r="D4779" s="4"/>
      <c r="H4779" s="4"/>
    </row>
    <row r="4780" spans="1:8" ht="15.75" customHeight="1" x14ac:dyDescent="0.25">
      <c r="D4780" s="4"/>
      <c r="H4780" s="4"/>
    </row>
    <row r="4781" spans="1:8" ht="15.75" customHeight="1" x14ac:dyDescent="0.25">
      <c r="D4781" s="4"/>
      <c r="H4781" s="4"/>
    </row>
    <row r="4782" spans="1:8" ht="15.75" customHeight="1" x14ac:dyDescent="0.25">
      <c r="D4782" s="4"/>
      <c r="H4782" s="4"/>
    </row>
    <row r="4783" spans="1:8" ht="15.75" customHeight="1" x14ac:dyDescent="0.25">
      <c r="D4783" s="4"/>
      <c r="H4783" s="4"/>
    </row>
    <row r="4784" spans="1:8" ht="15.75" customHeight="1" x14ac:dyDescent="0.25">
      <c r="D4784" s="4"/>
      <c r="H4784" s="4"/>
    </row>
    <row r="4785" spans="1:8" ht="15.75" customHeight="1" x14ac:dyDescent="0.25">
      <c r="D4785" s="4"/>
      <c r="H4785" s="4"/>
    </row>
    <row r="4786" spans="1:8" ht="15.75" customHeight="1" x14ac:dyDescent="0.25">
      <c r="A4786" s="398" t="s">
        <v>14</v>
      </c>
      <c r="B4786" s="398"/>
      <c r="C4786" s="398"/>
      <c r="D4786" s="398"/>
      <c r="E4786" s="398"/>
      <c r="F4786" s="398"/>
      <c r="G4786" s="398"/>
      <c r="H4786" s="398"/>
    </row>
    <row r="4787" spans="1:8" ht="15.75" customHeight="1" x14ac:dyDescent="0.25">
      <c r="A4787" s="390"/>
      <c r="B4787" s="390"/>
      <c r="C4787" s="390"/>
      <c r="D4787" s="391"/>
      <c r="E4787" s="390"/>
      <c r="F4787" s="390"/>
      <c r="G4787" s="390"/>
      <c r="H4787" s="398"/>
    </row>
    <row r="4788" spans="1:8" ht="15.75" customHeight="1" x14ac:dyDescent="0.25">
      <c r="A4788" s="390"/>
      <c r="B4788" s="390"/>
      <c r="C4788" s="391"/>
      <c r="D4788" s="392"/>
      <c r="E4788" s="393"/>
      <c r="F4788" s="393"/>
      <c r="G4788" s="393"/>
      <c r="H4788" s="394"/>
    </row>
    <row r="4789" spans="1:8" ht="15.75" customHeight="1" x14ac:dyDescent="0.25">
      <c r="A4789" s="390"/>
      <c r="B4789" s="390"/>
      <c r="C4789" s="390"/>
      <c r="D4789" s="391"/>
      <c r="E4789" s="390"/>
      <c r="F4789" s="395" t="s">
        <v>18</v>
      </c>
      <c r="G4789" s="396" t="s">
        <v>507</v>
      </c>
      <c r="H4789" s="397"/>
    </row>
    <row r="4790" spans="1:8" ht="15.75" customHeight="1" x14ac:dyDescent="0.25">
      <c r="A4790" s="390" t="s">
        <v>20</v>
      </c>
      <c r="B4790" s="390"/>
      <c r="C4790" s="390"/>
      <c r="D4790" s="391"/>
      <c r="E4790" s="390"/>
      <c r="F4790" s="395" t="s">
        <v>21</v>
      </c>
      <c r="G4790" s="390" t="s">
        <v>1645</v>
      </c>
      <c r="H4790" s="391"/>
    </row>
    <row r="4791" spans="1:8" ht="15.75" customHeight="1" x14ac:dyDescent="0.25">
      <c r="A4791" s="390" t="inlineStr">
        <is>
          <t>Dealer-009</t>
        </is>
      </c>
      <c r="B4791" s="390"/>
      <c r="C4791" s="390" t="inlineStr">
        <is>
          <t>ATTN: Contact-001</t>
        </is>
      </c>
      <c r="D4791" s="391"/>
      <c r="E4791" s="395"/>
      <c r="F4791" s="390"/>
      <c r="G4791" s="390"/>
      <c r="H4791" s="394"/>
    </row>
    <row r="4792" spans="1:8" ht="15.75" customHeight="1" x14ac:dyDescent="0.25">
      <c r="A4792" s="390" t="inlineStr">
        <is>
          <t>Address line (redacted)</t>
        </is>
      </c>
      <c r="B4792" s="390"/>
      <c r="C4792" s="390"/>
      <c r="D4792" s="398"/>
      <c r="E4792" s="390"/>
      <c r="F4792" s="391"/>
      <c r="G4792" s="390"/>
      <c r="H4792" s="394"/>
    </row>
    <row r="4793" spans="1:8" ht="15.75" customHeight="1" x14ac:dyDescent="0.25">
      <c r="A4793" s="390" t="inlineStr">
        <is>
          <t>Address line (redacted)</t>
        </is>
      </c>
      <c r="B4793" s="390"/>
      <c r="C4793" s="687"/>
      <c r="D4793" s="398"/>
      <c r="E4793" s="390"/>
      <c r="F4793" s="391"/>
      <c r="G4793" s="390"/>
      <c r="H4793" s="394"/>
    </row>
    <row r="4794" spans="1:8" ht="15.75" customHeight="1" x14ac:dyDescent="0.25">
      <c r="A4794" s="447"/>
      <c r="B4794" s="390"/>
      <c r="C4794" s="390"/>
      <c r="D4794" s="391"/>
      <c r="E4794" s="390"/>
      <c r="F4794" s="391"/>
      <c r="G4794" s="390"/>
      <c r="H4794" s="394"/>
    </row>
    <row r="4795" spans="1:8" ht="15.75" customHeight="1" x14ac:dyDescent="0.25">
      <c r="A4795" s="390" t="s">
        <v>30</v>
      </c>
      <c r="B4795" s="390"/>
      <c r="C4795" s="390"/>
      <c r="D4795" s="391"/>
      <c r="E4795" s="390"/>
      <c r="F4795" s="391"/>
      <c r="G4795" s="390"/>
      <c r="H4795" s="394"/>
    </row>
    <row r="4796" spans="1:8" ht="15.75" customHeight="1" x14ac:dyDescent="0.25">
      <c r="A4796" s="390"/>
      <c r="B4796" s="390"/>
      <c r="C4796" s="390"/>
      <c r="D4796" s="391"/>
      <c r="E4796" s="390"/>
      <c r="F4796" s="391"/>
      <c r="G4796" s="390"/>
      <c r="H4796" s="394"/>
    </row>
    <row r="4797" spans="1:8" ht="15.75" customHeight="1" x14ac:dyDescent="0.25">
      <c r="A4797" s="390" t="s">
        <v>31</v>
      </c>
      <c r="B4797" s="390"/>
      <c r="C4797" s="390"/>
      <c r="D4797" s="391"/>
      <c r="E4797" s="390"/>
      <c r="F4797" s="391"/>
      <c r="G4797" s="390"/>
      <c r="H4797" s="394"/>
    </row>
    <row r="4798" spans="1:8" ht="15.75" customHeight="1" x14ac:dyDescent="0.25">
      <c r="A4798" s="390" t="s">
        <v>32</v>
      </c>
      <c r="B4798" s="390"/>
      <c r="C4798" s="390"/>
      <c r="D4798" s="391"/>
      <c r="E4798" s="390"/>
      <c r="F4798" s="391"/>
      <c r="G4798" s="390"/>
      <c r="H4798" s="394"/>
    </row>
    <row r="4799" spans="1:8" ht="15.75" customHeight="1" x14ac:dyDescent="0.25">
      <c r="A4799" s="390"/>
      <c r="B4799" s="390"/>
      <c r="C4799" s="390"/>
      <c r="D4799" s="391"/>
      <c r="E4799" s="390"/>
      <c r="F4799" s="391"/>
      <c r="G4799" s="390"/>
      <c r="H4799" s="394"/>
    </row>
    <row r="4800" spans="1:8" ht="15.75" customHeight="1" x14ac:dyDescent="0.25">
      <c r="A4800" s="399" t="s">
        <v>33</v>
      </c>
      <c r="B4800" s="400" t="s">
        <v>6</v>
      </c>
      <c r="C4800" s="400"/>
      <c r="D4800" s="401" t="s">
        <v>37</v>
      </c>
      <c r="E4800" s="402" t="s">
        <v>38</v>
      </c>
      <c r="F4800" s="403" t="s">
        <v>7</v>
      </c>
      <c r="G4800" s="404" t="s">
        <v>43</v>
      </c>
      <c r="H4800" s="405" t="s">
        <v>44</v>
      </c>
    </row>
    <row r="4801" spans="1:8" ht="15.75" customHeight="1" x14ac:dyDescent="0.25">
      <c r="A4801" s="406"/>
      <c r="B4801" s="407"/>
      <c r="C4801" s="393"/>
      <c r="D4801" s="408"/>
      <c r="E4801" s="408"/>
      <c r="F4801" s="409"/>
      <c r="G4801" s="410"/>
      <c r="H4801" s="411"/>
    </row>
    <row r="4802" spans="1:8" ht="15.75" customHeight="1" x14ac:dyDescent="0.25">
      <c r="A4802" s="412"/>
      <c r="B4802" s="624" t="s">
        <v>1623</v>
      </c>
      <c r="C4802" s="625"/>
      <c r="D4802" s="415"/>
      <c r="E4802" s="415"/>
      <c r="F4802" s="415"/>
      <c r="G4802" s="415"/>
      <c r="H4802" s="416"/>
    </row>
    <row r="4803" spans="1:8" ht="15.75" customHeight="1" x14ac:dyDescent="0.25">
      <c r="A4803" s="581" t="s">
        <v>55</v>
      </c>
      <c r="B4803" s="644" t="s">
        <v>1624</v>
      </c>
      <c r="C4803" s="415"/>
      <c r="D4803" s="415">
        <v>12</v>
      </c>
      <c r="E4803" s="415">
        <v>10</v>
      </c>
      <c r="F4803" s="415">
        <f t="shared" ref="F4803:F4804" si="148">+E4803*D4803</f>
      </c>
      <c r="G4803" s="415">
        <v>1</v>
      </c>
      <c r="H4803" s="589">
        <f t="shared" ref="H4803:H4804" si="149">+G4803*F4803</f>
      </c>
    </row>
    <row r="4804" spans="1:8" ht="15.75" customHeight="1" x14ac:dyDescent="0.25">
      <c r="A4804" s="412" t="s">
        <v>59</v>
      </c>
      <c r="B4804" s="644" t="s">
        <v>1625</v>
      </c>
      <c r="C4804" s="418"/>
      <c r="D4804" s="415">
        <v>3</v>
      </c>
      <c r="E4804" s="415">
        <v>10</v>
      </c>
      <c r="F4804" s="415">
        <f t="shared" si="148"/>
      </c>
      <c r="G4804" s="415">
        <v>1</v>
      </c>
      <c r="H4804" s="589">
        <f t="shared" si="149"/>
      </c>
    </row>
    <row r="4805" spans="1:8" ht="15.75" customHeight="1" x14ac:dyDescent="0.25">
      <c r="A4805" s="412"/>
      <c r="B4805" s="624" t="s">
        <v>1627</v>
      </c>
      <c r="C4805" s="625"/>
      <c r="D4805" s="415"/>
      <c r="E4805" s="415"/>
      <c r="F4805" s="415"/>
      <c r="G4805" s="415"/>
      <c r="H4805" s="416"/>
    </row>
    <row r="4806" spans="1:8" ht="15.75" customHeight="1" x14ac:dyDescent="0.25">
      <c r="A4806" s="412" t="s">
        <v>67</v>
      </c>
      <c r="B4806" s="644" t="s">
        <v>1628</v>
      </c>
      <c r="C4806" s="418"/>
      <c r="D4806" s="415">
        <v>2</v>
      </c>
      <c r="E4806" s="415">
        <v>10</v>
      </c>
      <c r="F4806" s="415">
        <f t="shared" ref="F4806:F4808" si="150">+E4806*D4806</f>
      </c>
      <c r="G4806" s="415">
        <v>1</v>
      </c>
      <c r="H4806" s="589">
        <f t="shared" ref="H4806:H4808" si="151">+G4806*F4806</f>
      </c>
    </row>
    <row r="4807" spans="1:8" ht="15.75" customHeight="1" x14ac:dyDescent="0.25">
      <c r="A4807" s="412" t="s">
        <v>485</v>
      </c>
      <c r="B4807" s="644" t="s">
        <v>1630</v>
      </c>
      <c r="C4807" s="418"/>
      <c r="D4807" s="415">
        <v>2</v>
      </c>
      <c r="E4807" s="415">
        <v>10</v>
      </c>
      <c r="F4807" s="415">
        <f t="shared" si="150"/>
      </c>
      <c r="G4807" s="415">
        <v>1</v>
      </c>
      <c r="H4807" s="589">
        <f t="shared" si="151"/>
      </c>
    </row>
    <row r="4808" spans="1:8" ht="15.75" customHeight="1" x14ac:dyDescent="0.25">
      <c r="A4808" s="412" t="s">
        <v>486</v>
      </c>
      <c r="B4808" s="644" t="s">
        <v>1631</v>
      </c>
      <c r="C4808" s="418"/>
      <c r="D4808" s="415">
        <v>2</v>
      </c>
      <c r="E4808" s="415">
        <v>10</v>
      </c>
      <c r="F4808" s="415">
        <f t="shared" si="150"/>
      </c>
      <c r="G4808" s="415">
        <v>1</v>
      </c>
      <c r="H4808" s="589">
        <f t="shared" si="151"/>
      </c>
    </row>
    <row r="4809" spans="1:8" ht="15.75" customHeight="1" x14ac:dyDescent="0.25">
      <c r="A4809" s="581"/>
      <c r="B4809" s="624" t="s">
        <v>74</v>
      </c>
      <c r="C4809" s="625"/>
      <c r="D4809" s="415"/>
      <c r="E4809" s="415"/>
      <c r="F4809" s="415"/>
      <c r="G4809" s="415"/>
      <c r="H4809" s="589"/>
    </row>
    <row r="4810" spans="1:8" ht="15.75" customHeight="1" x14ac:dyDescent="0.25">
      <c r="A4810" s="581" t="s">
        <v>489</v>
      </c>
      <c r="B4810" s="644" t="s">
        <v>1632</v>
      </c>
      <c r="C4810" s="418"/>
      <c r="D4810" s="415">
        <v>20</v>
      </c>
      <c r="E4810" s="415">
        <v>10</v>
      </c>
      <c r="F4810" s="415">
        <f t="shared" ref="F4810:F4814" si="152">+E4810*D4810</f>
      </c>
      <c r="G4810" s="415">
        <v>1</v>
      </c>
      <c r="H4810" s="589">
        <f t="shared" ref="H4810:H4814" si="153">+G4810*F4810</f>
      </c>
    </row>
    <row r="4811" spans="1:8" ht="15.75" customHeight="1" x14ac:dyDescent="0.25">
      <c r="A4811" s="581" t="s">
        <v>490</v>
      </c>
      <c r="B4811" s="644" t="s">
        <v>1633</v>
      </c>
      <c r="C4811" s="418"/>
      <c r="D4811" s="415">
        <v>10</v>
      </c>
      <c r="E4811" s="415">
        <v>10</v>
      </c>
      <c r="F4811" s="415">
        <f t="shared" si="152"/>
      </c>
      <c r="G4811" s="415">
        <v>1</v>
      </c>
      <c r="H4811" s="589">
        <f t="shared" si="153"/>
      </c>
    </row>
    <row r="4812" spans="1:8" ht="15.75" customHeight="1" x14ac:dyDescent="0.25">
      <c r="A4812" s="581" t="s">
        <v>781</v>
      </c>
      <c r="B4812" s="644" t="s">
        <v>1634</v>
      </c>
      <c r="C4812" s="418"/>
      <c r="D4812" s="415">
        <v>5</v>
      </c>
      <c r="E4812" s="415">
        <v>10</v>
      </c>
      <c r="F4812" s="415">
        <f t="shared" si="152"/>
      </c>
      <c r="G4812" s="415">
        <v>1</v>
      </c>
      <c r="H4812" s="589">
        <f t="shared" si="153"/>
      </c>
    </row>
    <row r="4813" spans="1:8" ht="15.75" customHeight="1" x14ac:dyDescent="0.25">
      <c r="A4813" s="581" t="s">
        <v>785</v>
      </c>
      <c r="B4813" s="644" t="s">
        <v>1635</v>
      </c>
      <c r="C4813" s="418"/>
      <c r="D4813" s="415">
        <v>5</v>
      </c>
      <c r="E4813" s="415">
        <v>10</v>
      </c>
      <c r="F4813" s="415">
        <f t="shared" si="152"/>
      </c>
      <c r="G4813" s="415">
        <v>1</v>
      </c>
      <c r="H4813" s="589">
        <f t="shared" si="153"/>
      </c>
    </row>
    <row r="4814" spans="1:8" ht="15.75" customHeight="1" x14ac:dyDescent="0.25">
      <c r="A4814" s="581" t="s">
        <v>787</v>
      </c>
      <c r="B4814" s="644" t="s">
        <v>1636</v>
      </c>
      <c r="C4814" s="418"/>
      <c r="D4814" s="415">
        <v>8</v>
      </c>
      <c r="E4814" s="415">
        <v>5</v>
      </c>
      <c r="F4814" s="415">
        <f t="shared" si="152"/>
      </c>
      <c r="G4814" s="415">
        <v>1</v>
      </c>
      <c r="H4814" s="589">
        <f t="shared" si="153"/>
      </c>
    </row>
    <row r="4815" spans="1:8" ht="15.75" customHeight="1" x14ac:dyDescent="0.25">
      <c r="A4815" s="581"/>
      <c r="B4815" s="688" t="s">
        <v>1329</v>
      </c>
      <c r="C4815" s="689"/>
      <c r="D4815" s="415"/>
      <c r="E4815" s="415"/>
      <c r="F4815" s="415"/>
      <c r="G4815" s="415"/>
      <c r="H4815" s="589"/>
    </row>
    <row r="4816" spans="1:8" ht="34.5" customHeight="1" x14ac:dyDescent="0.25">
      <c r="A4816" s="581" t="s">
        <v>790</v>
      </c>
      <c r="B4816" s="644" t="s">
        <v>1526</v>
      </c>
      <c r="C4816" s="418"/>
      <c r="D4816" s="415">
        <v>1</v>
      </c>
      <c r="E4816" s="415">
        <v>100</v>
      </c>
      <c r="F4816" s="415">
        <f>+E4816*D4816</f>
      </c>
      <c r="G4816" s="415">
        <v>1</v>
      </c>
      <c r="H4816" s="589">
        <f>+G4816*F4816</f>
      </c>
    </row>
    <row r="4817" spans="1:8" ht="128.25" customHeight="1" x14ac:dyDescent="0.25">
      <c r="A4817" s="502"/>
      <c r="B4817" s="690" t="s">
        <v>1647</v>
      </c>
      <c r="C4817" s="691"/>
      <c r="D4817" s="692"/>
      <c r="E4817" s="692"/>
      <c r="F4817" s="693"/>
      <c r="G4817" s="692"/>
      <c r="H4817" s="694"/>
    </row>
    <row r="4818" spans="1:8" ht="15.75" customHeight="1" x14ac:dyDescent="0.25">
      <c r="A4818" s="502"/>
      <c r="B4818" s="503"/>
      <c r="C4818" s="390"/>
      <c r="D4818" s="427"/>
      <c r="E4818" s="427"/>
      <c r="F4818" s="391"/>
      <c r="G4818" s="427"/>
      <c r="H4818" s="429"/>
    </row>
    <row r="4819" spans="1:8" ht="15.75" customHeight="1" x14ac:dyDescent="0.25">
      <c r="A4819" s="432"/>
      <c r="B4819" s="433"/>
      <c r="C4819" s="434" t="s">
        <v>85</v>
      </c>
      <c r="D4819" s="435">
        <f>SUM(D4803:D4818)</f>
      </c>
      <c r="E4819" s="435"/>
      <c r="F4819" s="436"/>
      <c r="G4819" s="437"/>
      <c r="H4819" s="438">
        <f>SUM(H4802:H4818)</f>
      </c>
    </row>
    <row r="4820" spans="1:8" ht="15.75" customHeight="1" x14ac:dyDescent="0.25">
      <c r="A4820" s="439"/>
      <c r="B4820" s="440"/>
      <c r="C4820" s="440"/>
      <c r="D4820" s="441"/>
      <c r="E4820" s="440"/>
      <c r="F4820" s="442"/>
      <c r="G4820" s="443"/>
      <c r="H4820" s="444"/>
    </row>
    <row r="4821" spans="1:8" ht="15.75" customHeight="1" x14ac:dyDescent="0.25">
      <c r="A4821" s="565" t="s">
        <v>1215</v>
      </c>
      <c r="B4821" s="565"/>
      <c r="C4821" s="565"/>
      <c r="D4821" s="565"/>
      <c r="E4821" s="565"/>
      <c r="F4821" s="565"/>
      <c r="G4821" s="565"/>
      <c r="H4821" s="565"/>
    </row>
    <row r="4822" spans="1:8" ht="15.75" customHeight="1" x14ac:dyDescent="0.25">
      <c r="A4822" s="445"/>
      <c r="B4822" s="445"/>
      <c r="C4822" s="445"/>
      <c r="D4822" s="446" t="s">
        <v>97</v>
      </c>
      <c r="E4822" s="445" t="s">
        <v>98</v>
      </c>
      <c r="F4822" s="445"/>
      <c r="G4822" s="390"/>
      <c r="H4822" s="394"/>
    </row>
    <row r="4823" spans="1:8" ht="15.75" customHeight="1" x14ac:dyDescent="0.25">
      <c r="A4823" s="390"/>
      <c r="B4823" s="390"/>
      <c r="C4823" s="390"/>
      <c r="D4823" s="391"/>
      <c r="E4823" s="390"/>
      <c r="F4823" s="390"/>
      <c r="G4823" s="390"/>
      <c r="H4823" s="394"/>
    </row>
    <row r="4824" spans="1:8" ht="15.75" customHeight="1" x14ac:dyDescent="0.25">
      <c r="A4824" s="390"/>
      <c r="B4824" s="390"/>
      <c r="C4824" s="390"/>
      <c r="D4824" s="391"/>
      <c r="E4824" s="390"/>
      <c r="F4824" s="390"/>
      <c r="G4824" s="390"/>
      <c r="H4824" s="394"/>
    </row>
    <row r="4825" spans="1:8" ht="15.75" customHeight="1" x14ac:dyDescent="0.25">
      <c r="A4825" s="445"/>
      <c r="B4825" s="445"/>
      <c r="C4825" s="445"/>
      <c r="D4825" s="446"/>
      <c r="E4825" s="445" t="s">
        <v>99</v>
      </c>
      <c r="F4825" s="445"/>
      <c r="G4825" s="390"/>
      <c r="H4825" s="394"/>
    </row>
    <row r="4826" spans="1:8" ht="15.75" customHeight="1" x14ac:dyDescent="0.25">
      <c r="D4826" s="4"/>
      <c r="H4826" s="4"/>
    </row>
    <row r="4827" spans="1:8" ht="15.75" customHeight="1" x14ac:dyDescent="0.25">
      <c r="D4827" s="4"/>
      <c r="H4827" s="4"/>
    </row>
    <row r="4828" spans="1:8" ht="15.75" customHeight="1" x14ac:dyDescent="0.25">
      <c r="D4828" s="4"/>
      <c r="H4828" s="4"/>
    </row>
    <row r="4829" spans="1:8" ht="15.75" customHeight="1" x14ac:dyDescent="0.25">
      <c r="D4829" s="4"/>
      <c r="H4829" s="4"/>
    </row>
    <row r="4830" spans="1:8" ht="15.75" customHeight="1" x14ac:dyDescent="0.25">
      <c r="D4830" s="4"/>
      <c r="H4830" s="4"/>
    </row>
    <row r="4831" spans="1:8" ht="15.75" customHeight="1" x14ac:dyDescent="0.25">
      <c r="D4831" s="4"/>
      <c r="H4831" s="4"/>
    </row>
    <row r="4832" spans="1:8" ht="15.75" customHeight="1" x14ac:dyDescent="0.25">
      <c r="D4832" s="4"/>
      <c r="H4832" s="4"/>
    </row>
    <row r="4833" spans="1:8" ht="15.75" customHeight="1" x14ac:dyDescent="0.25">
      <c r="D4833" s="4"/>
      <c r="H4833" s="4"/>
    </row>
    <row r="4834" spans="1:8" ht="15.75" customHeight="1" x14ac:dyDescent="0.25">
      <c r="A4834" s="398" t="s">
        <v>14</v>
      </c>
      <c r="B4834" s="398"/>
      <c r="C4834" s="398"/>
      <c r="D4834" s="398"/>
      <c r="E4834" s="398"/>
      <c r="F4834" s="398"/>
      <c r="G4834" s="398"/>
      <c r="H4834" s="398"/>
    </row>
    <row r="4835" spans="1:8" ht="15.75" customHeight="1" x14ac:dyDescent="0.25">
      <c r="A4835" s="390"/>
      <c r="B4835" s="390"/>
      <c r="C4835" s="390"/>
      <c r="D4835" s="391"/>
      <c r="E4835" s="390"/>
      <c r="F4835" s="390"/>
      <c r="G4835" s="390"/>
      <c r="H4835" s="398"/>
    </row>
    <row r="4836" spans="1:8" ht="15.75" customHeight="1" x14ac:dyDescent="0.25">
      <c r="A4836" s="390"/>
      <c r="B4836" s="390"/>
      <c r="C4836" s="391"/>
      <c r="D4836" s="392"/>
      <c r="E4836" s="393"/>
      <c r="F4836" s="393"/>
      <c r="G4836" s="393"/>
      <c r="H4836" s="394"/>
    </row>
    <row r="4837" spans="1:8" ht="15.75" customHeight="1" x14ac:dyDescent="0.25">
      <c r="A4837" s="390" t="s">
        <v>20</v>
      </c>
      <c r="B4837" s="390"/>
      <c r="C4837" s="390"/>
      <c r="D4837" s="391"/>
      <c r="E4837" s="390"/>
      <c r="F4837" s="395" t="s">
        <v>18</v>
      </c>
      <c r="G4837" s="396" t="s">
        <v>507</v>
      </c>
      <c r="H4837" s="397"/>
    </row>
    <row r="4838" spans="1:8" ht="15.75" customHeight="1" x14ac:dyDescent="0.25">
      <c r="A4838" s="390" t="inlineStr">
        <is>
          <t>Dealer-009</t>
        </is>
      </c>
      <c r="B4838" s="390"/>
      <c r="C4838" s="390" t="inlineStr">
        <is>
          <t>ATTN: Contact-001</t>
        </is>
      </c>
      <c r="D4838" s="391"/>
      <c r="E4838" s="390"/>
      <c r="F4838" s="395" t="s">
        <v>21</v>
      </c>
      <c r="G4838" s="390" t="s">
        <v>1648</v>
      </c>
      <c r="H4838" s="391"/>
    </row>
    <row r="4839" spans="1:8" ht="15.75" customHeight="1" x14ac:dyDescent="0.25">
      <c r="A4839" s="390" t="inlineStr">
        <is>
          <t>Address line (redacted)</t>
        </is>
      </c>
      <c r="B4839" s="390"/>
      <c r="C4839" s="390"/>
      <c r="D4839" s="391"/>
      <c r="E4839" s="395"/>
      <c r="F4839" s="390"/>
      <c r="G4839" s="390"/>
      <c r="H4839" s="394"/>
    </row>
    <row r="4840" spans="1:8" ht="15.75" customHeight="1" x14ac:dyDescent="0.25">
      <c r="A4840" s="390" t="inlineStr">
        <is>
          <t>Address line (redacted)</t>
        </is>
      </c>
      <c r="B4840" s="390"/>
      <c r="C4840" s="390"/>
      <c r="D4840" s="398"/>
      <c r="E4840" s="390"/>
      <c r="F4840" s="391"/>
      <c r="G4840" s="390"/>
      <c r="H4840" s="394"/>
    </row>
    <row r="4841" spans="1:8" ht="15.75" customHeight="1" x14ac:dyDescent="0.25">
      <c r="D4841" s="398"/>
      <c r="E4841" s="390"/>
      <c r="F4841" s="391"/>
      <c r="G4841" s="390"/>
      <c r="H4841" s="394"/>
    </row>
    <row r="4842" spans="1:8" ht="15.75" customHeight="1" x14ac:dyDescent="0.25">
      <c r="A4842" s="390" t="s">
        <v>30</v>
      </c>
      <c r="B4842" s="390"/>
      <c r="C4842" s="390"/>
      <c r="D4842" s="391"/>
      <c r="E4842" s="390"/>
      <c r="F4842" s="391"/>
      <c r="G4842" s="390"/>
      <c r="H4842" s="394"/>
    </row>
    <row r="4843" spans="1:8" ht="15.75" customHeight="1" x14ac:dyDescent="0.25">
      <c r="A4843" s="390"/>
      <c r="B4843" s="390"/>
      <c r="C4843" s="390"/>
      <c r="D4843" s="391"/>
      <c r="E4843" s="390"/>
      <c r="F4843" s="391"/>
      <c r="G4843" s="390"/>
      <c r="H4843" s="394"/>
    </row>
    <row r="4844" spans="1:8" ht="15.75" customHeight="1" x14ac:dyDescent="0.25">
      <c r="A4844" s="390" t="s">
        <v>716</v>
      </c>
      <c r="B4844" s="390"/>
      <c r="C4844" s="390"/>
      <c r="D4844" s="391"/>
      <c r="E4844" s="390"/>
      <c r="F4844" s="391"/>
      <c r="G4844" s="390"/>
      <c r="H4844" s="394"/>
    </row>
    <row r="4845" spans="1:8" ht="15.75" customHeight="1" x14ac:dyDescent="0.25">
      <c r="A4845" s="390" t="s">
        <v>717</v>
      </c>
      <c r="B4845" s="390"/>
      <c r="C4845" s="390"/>
      <c r="D4845" s="391"/>
      <c r="E4845" s="390"/>
      <c r="F4845" s="391"/>
      <c r="G4845" s="390"/>
      <c r="H4845" s="394"/>
    </row>
    <row r="4846" spans="1:8" ht="15.75" customHeight="1" x14ac:dyDescent="0.25">
      <c r="A4846" s="390"/>
      <c r="B4846" s="390"/>
      <c r="C4846" s="390"/>
      <c r="D4846" s="391"/>
      <c r="E4846" s="390"/>
      <c r="F4846" s="391"/>
      <c r="G4846" s="390"/>
      <c r="H4846" s="394"/>
    </row>
    <row r="4847" spans="1:8" ht="15.75" customHeight="1" x14ac:dyDescent="0.25">
      <c r="A4847" s="399" t="s">
        <v>33</v>
      </c>
      <c r="B4847" s="400" t="s">
        <v>6</v>
      </c>
      <c r="C4847" s="400"/>
      <c r="D4847" s="401" t="s">
        <v>37</v>
      </c>
      <c r="E4847" s="402" t="s">
        <v>38</v>
      </c>
      <c r="F4847" s="403" t="s">
        <v>7</v>
      </c>
      <c r="G4847" s="404" t="s">
        <v>43</v>
      </c>
      <c r="H4847" s="405" t="s">
        <v>44</v>
      </c>
    </row>
    <row r="4848" spans="1:8" ht="15.75" customHeight="1" x14ac:dyDescent="0.25">
      <c r="A4848" s="406"/>
      <c r="B4848" s="407"/>
      <c r="C4848" s="393"/>
      <c r="D4848" s="408"/>
      <c r="E4848" s="408"/>
      <c r="F4848" s="409"/>
      <c r="G4848" s="410"/>
      <c r="H4848" s="411"/>
    </row>
    <row r="4849" spans="1:20" ht="15.75" customHeight="1" x14ac:dyDescent="0.25">
      <c r="A4849" s="412"/>
      <c r="B4849" s="624" t="s">
        <v>1623</v>
      </c>
      <c r="C4849" s="625"/>
      <c r="D4849" s="415"/>
      <c r="E4849" s="415"/>
      <c r="F4849" s="415"/>
      <c r="G4849" s="415"/>
      <c r="H4849" s="416"/>
    </row>
    <row r="4850" spans="1:20" ht="15.75" customHeight="1" x14ac:dyDescent="0.25">
      <c r="A4850" s="581" t="s">
        <v>55</v>
      </c>
      <c r="B4850" s="644" t="s">
        <v>1624</v>
      </c>
      <c r="C4850" s="415"/>
      <c r="D4850" s="415">
        <v>12</v>
      </c>
      <c r="E4850" s="415">
        <v>10</v>
      </c>
      <c r="F4850" s="415">
        <f t="shared" ref="F4850:F4851" si="154">+E4850*D4850</f>
      </c>
      <c r="G4850" s="415">
        <v>1</v>
      </c>
      <c r="H4850" s="589">
        <f t="shared" ref="H4850:H4851" si="155">+G4850*F4850</f>
      </c>
    </row>
    <row r="4851" spans="1:20" ht="15.75" customHeight="1" x14ac:dyDescent="0.25">
      <c r="A4851" s="412" t="s">
        <v>59</v>
      </c>
      <c r="B4851" s="644" t="s">
        <v>1625</v>
      </c>
      <c r="C4851" s="418"/>
      <c r="D4851" s="415">
        <v>3</v>
      </c>
      <c r="E4851" s="415">
        <v>10</v>
      </c>
      <c r="F4851" s="415">
        <f t="shared" si="154"/>
      </c>
      <c r="G4851" s="415">
        <v>1</v>
      </c>
      <c r="H4851" s="589">
        <f t="shared" si="155"/>
      </c>
    </row>
    <row r="4852" spans="1:20" ht="15.75" customHeight="1" x14ac:dyDescent="0.25">
      <c r="A4852" s="412"/>
      <c r="B4852" s="624" t="s">
        <v>1627</v>
      </c>
      <c r="C4852" s="625"/>
      <c r="D4852" s="415"/>
      <c r="E4852" s="415"/>
      <c r="F4852" s="415"/>
      <c r="G4852" s="415"/>
      <c r="H4852" s="416"/>
    </row>
    <row r="4853" spans="1:20" ht="15.75" customHeight="1" x14ac:dyDescent="0.25">
      <c r="A4853" s="412" t="s">
        <v>67</v>
      </c>
      <c r="B4853" s="644" t="s">
        <v>1628</v>
      </c>
      <c r="C4853" s="418"/>
      <c r="D4853" s="415">
        <v>2</v>
      </c>
      <c r="E4853" s="415">
        <v>10</v>
      </c>
      <c r="F4853" s="415">
        <f t="shared" ref="F4853:F4855" si="156">+E4853*D4853</f>
      </c>
      <c r="G4853" s="415">
        <v>1</v>
      </c>
      <c r="H4853" s="589">
        <f t="shared" ref="H4853:H4855" si="157">+G4853*F4853</f>
      </c>
    </row>
    <row r="4854" spans="1:20" ht="15.75" customHeight="1" x14ac:dyDescent="0.25">
      <c r="A4854" s="412" t="s">
        <v>485</v>
      </c>
      <c r="B4854" s="644" t="s">
        <v>1649</v>
      </c>
      <c r="C4854" s="418"/>
      <c r="D4854" s="415">
        <v>2</v>
      </c>
      <c r="E4854" s="415">
        <v>10</v>
      </c>
      <c r="F4854" s="415">
        <f t="shared" si="156"/>
      </c>
      <c r="G4854" s="415">
        <v>1</v>
      </c>
      <c r="H4854" s="589">
        <f t="shared" si="157"/>
      </c>
    </row>
    <row r="4855" spans="1:20" ht="15.75" customHeight="1" x14ac:dyDescent="0.25">
      <c r="A4855" s="412" t="s">
        <v>486</v>
      </c>
      <c r="B4855" s="644" t="s">
        <v>1650</v>
      </c>
      <c r="C4855" s="418"/>
      <c r="D4855" s="415">
        <v>2</v>
      </c>
      <c r="E4855" s="415">
        <v>10</v>
      </c>
      <c r="F4855" s="415">
        <f t="shared" si="156"/>
      </c>
      <c r="G4855" s="415">
        <v>1</v>
      </c>
      <c r="H4855" s="589">
        <f t="shared" si="157"/>
      </c>
    </row>
    <row r="4856" spans="1:20" ht="15.75" customHeight="1" x14ac:dyDescent="0.25">
      <c r="A4856" s="581"/>
      <c r="B4856" s="624" t="s">
        <v>74</v>
      </c>
      <c r="C4856" s="625"/>
      <c r="D4856" s="415"/>
      <c r="E4856" s="415"/>
      <c r="F4856" s="415"/>
      <c r="G4856" s="415"/>
      <c r="H4856" s="589"/>
    </row>
    <row r="4857" spans="1:20" ht="15.75" customHeight="1" x14ac:dyDescent="0.25">
      <c r="A4857" s="581" t="s">
        <v>489</v>
      </c>
      <c r="B4857" s="644" t="s">
        <v>1632</v>
      </c>
      <c r="C4857" s="418"/>
      <c r="D4857" s="415">
        <v>20</v>
      </c>
      <c r="E4857" s="415">
        <v>10</v>
      </c>
      <c r="F4857" s="415">
        <f t="shared" ref="F4857:F4861" si="158">+E4857*D4857</f>
      </c>
      <c r="G4857" s="415">
        <v>1</v>
      </c>
      <c r="H4857" s="589">
        <f t="shared" ref="H4857:H4861" si="159">+G4857*F4857</f>
      </c>
    </row>
    <row r="4858" spans="1:20" ht="15.75" customHeight="1" x14ac:dyDescent="0.25">
      <c r="A4858" s="581" t="s">
        <v>490</v>
      </c>
      <c r="B4858" s="644" t="s">
        <v>1633</v>
      </c>
      <c r="C4858" s="418"/>
      <c r="D4858" s="415">
        <v>10</v>
      </c>
      <c r="E4858" s="415">
        <v>10</v>
      </c>
      <c r="F4858" s="415">
        <f t="shared" si="158"/>
      </c>
      <c r="G4858" s="415">
        <v>1</v>
      </c>
      <c r="H4858" s="589">
        <f t="shared" si="159"/>
      </c>
    </row>
    <row r="4859" spans="1:20" ht="15.75" customHeight="1" x14ac:dyDescent="0.25">
      <c r="A4859" s="581" t="s">
        <v>781</v>
      </c>
      <c r="B4859" s="644" t="s">
        <v>1634</v>
      </c>
      <c r="C4859" s="418"/>
      <c r="D4859" s="415">
        <v>5</v>
      </c>
      <c r="E4859" s="415">
        <v>10</v>
      </c>
      <c r="F4859" s="415">
        <f t="shared" si="158"/>
      </c>
      <c r="G4859" s="415">
        <v>1</v>
      </c>
      <c r="H4859" s="589">
        <f t="shared" si="159"/>
      </c>
    </row>
    <row r="4860" spans="1:20" ht="15.75" customHeight="1" x14ac:dyDescent="0.25">
      <c r="A4860" s="581" t="s">
        <v>785</v>
      </c>
      <c r="B4860" s="644" t="s">
        <v>1635</v>
      </c>
      <c r="C4860" s="418"/>
      <c r="D4860" s="415">
        <v>5</v>
      </c>
      <c r="E4860" s="415">
        <v>10</v>
      </c>
      <c r="F4860" s="415">
        <f t="shared" si="158"/>
      </c>
      <c r="G4860" s="415">
        <v>1</v>
      </c>
      <c r="H4860" s="589">
        <f t="shared" si="159"/>
      </c>
      <c r="I4860" s="676"/>
      <c r="J4860" s="676"/>
      <c r="K4860" s="676"/>
      <c r="L4860" s="676"/>
      <c r="M4860" s="676"/>
      <c r="N4860" s="676"/>
      <c r="O4860" s="676"/>
      <c r="P4860" s="676"/>
      <c r="Q4860" s="676"/>
      <c r="R4860" s="676"/>
      <c r="S4860" s="676"/>
      <c r="T4860" s="676"/>
    </row>
    <row r="4861" spans="1:20" ht="15.75" customHeight="1" x14ac:dyDescent="0.25">
      <c r="A4861" s="695" t="s">
        <v>787</v>
      </c>
      <c r="B4861" s="696" t="s">
        <v>1651</v>
      </c>
      <c r="C4861" s="697" t="s">
        <v>1652</v>
      </c>
      <c r="D4861" s="619">
        <v>4</v>
      </c>
      <c r="E4861" s="619">
        <v>10</v>
      </c>
      <c r="F4861" s="619">
        <f t="shared" si="158"/>
      </c>
      <c r="G4861" s="619">
        <v>1</v>
      </c>
      <c r="H4861" s="698">
        <f t="shared" si="159"/>
      </c>
    </row>
    <row r="4862" spans="1:20" ht="15.75" customHeight="1" x14ac:dyDescent="0.25">
      <c r="A4862" s="581"/>
      <c r="B4862" s="624" t="s">
        <v>1329</v>
      </c>
      <c r="C4862" s="625"/>
      <c r="D4862" s="415"/>
      <c r="E4862" s="415"/>
      <c r="F4862" s="415"/>
      <c r="G4862" s="415"/>
      <c r="H4862" s="589"/>
    </row>
    <row r="4863" spans="1:20" ht="15.75" customHeight="1" x14ac:dyDescent="0.25">
      <c r="A4863" s="581" t="s">
        <v>790</v>
      </c>
      <c r="B4863" s="644" t="s">
        <v>1526</v>
      </c>
      <c r="C4863" s="418"/>
      <c r="D4863" s="415">
        <v>1</v>
      </c>
      <c r="E4863" s="415">
        <v>100</v>
      </c>
      <c r="F4863" s="415">
        <f>+E4863*D4863</f>
      </c>
      <c r="G4863" s="415">
        <v>1</v>
      </c>
      <c r="H4863" s="589">
        <f>+G4863*F4863</f>
      </c>
    </row>
    <row r="4864" spans="1:20" ht="15.75" customHeight="1" x14ac:dyDescent="0.25">
      <c r="A4864" s="502"/>
      <c r="B4864" s="503"/>
      <c r="C4864" s="390"/>
      <c r="D4864" s="427"/>
      <c r="E4864" s="427"/>
      <c r="F4864" s="391"/>
      <c r="G4864" s="427"/>
      <c r="H4864" s="429"/>
    </row>
    <row r="4865" spans="1:8" ht="15.75" customHeight="1" x14ac:dyDescent="0.25">
      <c r="A4865" s="502"/>
      <c r="B4865" s="503"/>
      <c r="C4865" s="390"/>
      <c r="D4865" s="427"/>
      <c r="E4865" s="427"/>
      <c r="F4865" s="391"/>
      <c r="G4865" s="427"/>
      <c r="H4865" s="429"/>
    </row>
    <row r="4866" spans="1:8" ht="15.75" customHeight="1" x14ac:dyDescent="0.25">
      <c r="A4866" s="432"/>
      <c r="B4866" s="433"/>
      <c r="C4866" s="434" t="s">
        <v>85</v>
      </c>
      <c r="D4866" s="435">
        <f>SUM(D4850:D4865)</f>
      </c>
      <c r="E4866" s="435"/>
      <c r="F4866" s="436"/>
      <c r="G4866" s="437"/>
      <c r="H4866" s="438">
        <f>SUM(H4849:H4865)</f>
      </c>
    </row>
    <row r="4867" spans="1:8" ht="15.75" customHeight="1" x14ac:dyDescent="0.25">
      <c r="A4867" s="439"/>
      <c r="B4867" s="440"/>
      <c r="C4867" s="440"/>
      <c r="D4867" s="441"/>
      <c r="E4867" s="440"/>
      <c r="F4867" s="442"/>
      <c r="G4867" s="443"/>
      <c r="H4867" s="444"/>
    </row>
    <row r="4868" spans="1:8" ht="15.75" customHeight="1" x14ac:dyDescent="0.25">
      <c r="A4868" s="565" t="s">
        <v>1215</v>
      </c>
      <c r="B4868" s="565"/>
      <c r="C4868" s="565"/>
      <c r="D4868" s="565"/>
      <c r="E4868" s="565"/>
      <c r="F4868" s="565"/>
      <c r="G4868" s="565"/>
      <c r="H4868" s="565"/>
    </row>
    <row r="4869" spans="1:8" ht="15.75" customHeight="1" x14ac:dyDescent="0.25">
      <c r="A4869" s="445"/>
      <c r="B4869" s="445"/>
      <c r="C4869" s="445"/>
      <c r="D4869" s="446" t="s">
        <v>97</v>
      </c>
      <c r="E4869" s="445" t="s">
        <v>98</v>
      </c>
      <c r="F4869" s="445"/>
      <c r="G4869" s="390"/>
      <c r="H4869" s="394"/>
    </row>
    <row r="4870" spans="1:8" ht="15.75" customHeight="1" x14ac:dyDescent="0.25">
      <c r="A4870" s="390"/>
      <c r="B4870" s="390"/>
      <c r="C4870" s="390"/>
      <c r="D4870" s="391"/>
      <c r="E4870" s="390"/>
      <c r="F4870" s="390"/>
      <c r="G4870" s="390"/>
      <c r="H4870" s="394"/>
    </row>
    <row r="4871" spans="1:8" ht="15.75" customHeight="1" x14ac:dyDescent="0.25">
      <c r="A4871" s="390"/>
      <c r="B4871" s="390"/>
      <c r="C4871" s="390"/>
      <c r="D4871" s="391"/>
      <c r="E4871" s="390"/>
      <c r="F4871" s="390"/>
      <c r="G4871" s="390"/>
      <c r="H4871" s="394"/>
    </row>
    <row r="4872" spans="1:8" ht="15.75" customHeight="1" x14ac:dyDescent="0.25">
      <c r="A4872" s="445"/>
      <c r="B4872" s="445"/>
      <c r="C4872" s="445"/>
      <c r="D4872" s="446"/>
      <c r="E4872" s="445" t="s">
        <v>99</v>
      </c>
      <c r="F4872" s="445"/>
      <c r="G4872" s="390"/>
      <c r="H4872" s="394"/>
    </row>
    <row r="4873" spans="1:8" ht="15.75" customHeight="1" x14ac:dyDescent="0.25">
      <c r="D4873" s="4"/>
      <c r="H4873" s="4"/>
    </row>
    <row r="4874" spans="1:8" ht="15.75" customHeight="1" x14ac:dyDescent="0.25">
      <c r="D4874" s="4"/>
      <c r="H4874" s="4"/>
    </row>
    <row r="4875" spans="1:8" ht="15.75" customHeight="1" x14ac:dyDescent="0.25">
      <c r="D4875" s="4"/>
      <c r="H4875" s="4"/>
    </row>
    <row r="4876" spans="1:8" ht="15.75" customHeight="1" x14ac:dyDescent="0.25">
      <c r="D4876" s="4"/>
      <c r="H4876" s="4"/>
    </row>
    <row r="4877" spans="1:8" ht="15.75" customHeight="1" x14ac:dyDescent="0.25">
      <c r="D4877" s="4"/>
      <c r="H4877" s="4"/>
    </row>
    <row r="4878" spans="1:8" ht="15.75" customHeight="1" x14ac:dyDescent="0.25">
      <c r="D4878" s="4"/>
      <c r="H4878" s="4"/>
    </row>
    <row r="4879" spans="1:8" ht="15.75" customHeight="1" x14ac:dyDescent="0.25">
      <c r="D4879" s="4"/>
      <c r="H4879" s="4"/>
    </row>
    <row r="4880" spans="1:8" ht="15.75" customHeight="1" x14ac:dyDescent="0.25">
      <c r="A4880" s="398" t="s">
        <v>14</v>
      </c>
      <c r="B4880" s="398"/>
      <c r="C4880" s="398"/>
      <c r="D4880" s="398"/>
      <c r="E4880" s="398"/>
      <c r="F4880" s="398"/>
      <c r="G4880" s="398"/>
      <c r="H4880" s="398"/>
    </row>
    <row r="4881" spans="1:8" ht="15.75" customHeight="1" x14ac:dyDescent="0.25">
      <c r="A4881" s="390"/>
      <c r="B4881" s="390"/>
      <c r="C4881" s="390"/>
      <c r="D4881" s="391"/>
      <c r="E4881" s="390"/>
      <c r="F4881" s="390"/>
      <c r="G4881" s="390"/>
      <c r="H4881" s="398"/>
    </row>
    <row r="4882" spans="1:8" ht="15.75" customHeight="1" x14ac:dyDescent="0.25">
      <c r="A4882" s="390"/>
      <c r="B4882" s="390"/>
      <c r="C4882" s="391"/>
      <c r="D4882" s="392"/>
      <c r="E4882" s="393"/>
      <c r="F4882" s="393"/>
      <c r="G4882" s="393"/>
      <c r="H4882" s="394"/>
    </row>
    <row r="4883" spans="1:8" ht="15.75" customHeight="1" x14ac:dyDescent="0.25">
      <c r="A4883" s="390" t="s">
        <v>20</v>
      </c>
      <c r="B4883" s="390"/>
      <c r="C4883" s="390"/>
      <c r="D4883" s="391"/>
      <c r="E4883" s="390"/>
      <c r="F4883" s="395" t="s">
        <v>18</v>
      </c>
      <c r="G4883" s="396" t="s">
        <v>507</v>
      </c>
      <c r="H4883" s="397"/>
    </row>
    <row r="4884" spans="1:8" ht="15.75" customHeight="1" x14ac:dyDescent="0.25">
      <c r="A4884" s="390" t="inlineStr">
        <is>
          <t>Dealer-009</t>
        </is>
      </c>
      <c r="B4884" s="390"/>
      <c r="C4884" s="390" t="inlineStr">
        <is>
          <t>ATTN: Contact-001</t>
        </is>
      </c>
      <c r="D4884" s="391"/>
      <c r="E4884" s="390"/>
      <c r="F4884" s="395" t="s">
        <v>21</v>
      </c>
      <c r="G4884" s="390" t="s">
        <v>1653</v>
      </c>
      <c r="H4884" s="391"/>
    </row>
    <row r="4885" spans="1:8" ht="15.75" customHeight="1" x14ac:dyDescent="0.25">
      <c r="A4885" s="390" t="inlineStr">
        <is>
          <t>Address line (redacted)</t>
        </is>
      </c>
      <c r="B4885" s="390"/>
      <c r="C4885" s="390"/>
      <c r="D4885" s="391"/>
      <c r="E4885" s="395"/>
      <c r="F4885" s="390"/>
      <c r="G4885" s="390"/>
      <c r="H4885" s="394"/>
    </row>
    <row r="4886" spans="1:8" ht="15.75" customHeight="1" x14ac:dyDescent="0.25">
      <c r="A4886" s="390" t="inlineStr">
        <is>
          <t>Address line (redacted)</t>
        </is>
      </c>
      <c r="B4886" s="390"/>
      <c r="C4886" s="390"/>
      <c r="D4886" s="398"/>
      <c r="E4886" s="390"/>
      <c r="F4886" s="391"/>
      <c r="G4886" s="390"/>
      <c r="H4886" s="394"/>
    </row>
    <row r="4887" spans="1:8" ht="15.75" customHeight="1" x14ac:dyDescent="0.25">
      <c r="D4887" s="398"/>
      <c r="E4887" s="390"/>
      <c r="F4887" s="391"/>
      <c r="G4887" s="390"/>
      <c r="H4887" s="394"/>
    </row>
    <row r="4888" spans="1:8" ht="15.75" customHeight="1" x14ac:dyDescent="0.25">
      <c r="A4888" s="390" t="s">
        <v>30</v>
      </c>
      <c r="B4888" s="390"/>
      <c r="C4888" s="390"/>
      <c r="D4888" s="391"/>
      <c r="E4888" s="390"/>
      <c r="F4888" s="391"/>
      <c r="G4888" s="390"/>
      <c r="H4888" s="394"/>
    </row>
    <row r="4889" spans="1:8" ht="15.75" customHeight="1" x14ac:dyDescent="0.25">
      <c r="A4889" s="390"/>
      <c r="B4889" s="390"/>
      <c r="C4889" s="390"/>
      <c r="D4889" s="391"/>
      <c r="E4889" s="390"/>
      <c r="F4889" s="391"/>
      <c r="G4889" s="390"/>
      <c r="H4889" s="394"/>
    </row>
    <row r="4890" spans="1:8" ht="15.75" customHeight="1" x14ac:dyDescent="0.25">
      <c r="A4890" s="390" t="s">
        <v>716</v>
      </c>
      <c r="B4890" s="390"/>
      <c r="C4890" s="390"/>
      <c r="D4890" s="391"/>
      <c r="E4890" s="390"/>
      <c r="F4890" s="391"/>
      <c r="G4890" s="390"/>
      <c r="H4890" s="394"/>
    </row>
    <row r="4891" spans="1:8" ht="15.75" customHeight="1" x14ac:dyDescent="0.25">
      <c r="A4891" s="390" t="s">
        <v>717</v>
      </c>
      <c r="B4891" s="390"/>
      <c r="C4891" s="390"/>
      <c r="D4891" s="391"/>
      <c r="E4891" s="390"/>
      <c r="F4891" s="391"/>
      <c r="G4891" s="390"/>
      <c r="H4891" s="394"/>
    </row>
    <row r="4892" spans="1:8" ht="15.75" customHeight="1" x14ac:dyDescent="0.25">
      <c r="A4892" s="390"/>
      <c r="B4892" s="390"/>
      <c r="C4892" s="390"/>
      <c r="D4892" s="391"/>
      <c r="E4892" s="390"/>
      <c r="F4892" s="391"/>
      <c r="G4892" s="390"/>
      <c r="H4892" s="394"/>
    </row>
    <row r="4893" spans="1:8" ht="15.75" customHeight="1" x14ac:dyDescent="0.25">
      <c r="A4893" s="399" t="s">
        <v>33</v>
      </c>
      <c r="B4893" s="400" t="s">
        <v>6</v>
      </c>
      <c r="C4893" s="400"/>
      <c r="D4893" s="401" t="s">
        <v>37</v>
      </c>
      <c r="E4893" s="402" t="s">
        <v>38</v>
      </c>
      <c r="F4893" s="403" t="s">
        <v>7</v>
      </c>
      <c r="G4893" s="404" t="s">
        <v>43</v>
      </c>
      <c r="H4893" s="405" t="s">
        <v>44</v>
      </c>
    </row>
    <row r="4894" spans="1:8" ht="15.75" customHeight="1" x14ac:dyDescent="0.25">
      <c r="A4894" s="406"/>
      <c r="B4894" s="407"/>
      <c r="C4894" s="393"/>
      <c r="D4894" s="408"/>
      <c r="E4894" s="408"/>
      <c r="F4894" s="409"/>
      <c r="G4894" s="410"/>
      <c r="H4894" s="411"/>
    </row>
    <row r="4895" spans="1:8" ht="15.75" customHeight="1" x14ac:dyDescent="0.25">
      <c r="A4895" s="412"/>
      <c r="B4895" s="624" t="s">
        <v>1654</v>
      </c>
      <c r="C4895" s="625"/>
      <c r="D4895" s="415"/>
      <c r="E4895" s="415"/>
      <c r="F4895" s="415"/>
      <c r="G4895" s="415"/>
      <c r="H4895" s="416"/>
    </row>
    <row r="4896" spans="1:8" ht="15.75" customHeight="1" x14ac:dyDescent="0.25">
      <c r="A4896" s="581" t="s">
        <v>55</v>
      </c>
      <c r="B4896" s="644" t="s">
        <v>126</v>
      </c>
      <c r="C4896" s="415" t="s">
        <v>1295</v>
      </c>
      <c r="D4896" s="415">
        <v>1</v>
      </c>
      <c r="E4896" s="415">
        <v>250</v>
      </c>
      <c r="F4896" s="415">
        <f>+E4896*D4896</f>
      </c>
      <c r="G4896" s="415">
        <v>1</v>
      </c>
      <c r="H4896" s="589">
        <f>+G4896*F4896</f>
      </c>
    </row>
    <row r="4897" spans="1:8" ht="15.75" customHeight="1" x14ac:dyDescent="0.25">
      <c r="A4897" s="581"/>
      <c r="B4897" s="644"/>
      <c r="C4897" s="418"/>
      <c r="D4897" s="415"/>
      <c r="E4897" s="415"/>
      <c r="F4897" s="578" t="s">
        <v>1662</v>
      </c>
      <c r="G4897" s="415"/>
      <c r="H4897" s="589"/>
    </row>
    <row r="4898" spans="1:8" ht="15.75" customHeight="1" x14ac:dyDescent="0.25">
      <c r="A4898" s="502"/>
      <c r="B4898" s="503"/>
      <c r="C4898" s="390"/>
      <c r="D4898" s="427"/>
      <c r="E4898" s="427"/>
      <c r="F4898" s="391"/>
      <c r="G4898" s="427"/>
      <c r="H4898" s="429"/>
    </row>
    <row r="4899" spans="1:8" ht="15.75" customHeight="1" x14ac:dyDescent="0.25">
      <c r="A4899" s="502"/>
      <c r="B4899" s="503"/>
      <c r="C4899" s="390"/>
      <c r="D4899" s="427"/>
      <c r="E4899" s="427"/>
      <c r="F4899" s="391"/>
      <c r="G4899" s="427"/>
      <c r="H4899" s="429"/>
    </row>
    <row r="4900" spans="1:8" ht="15.75" customHeight="1" x14ac:dyDescent="0.25">
      <c r="A4900" s="432"/>
      <c r="B4900" s="433"/>
      <c r="C4900" s="434" t="s">
        <v>85</v>
      </c>
      <c r="D4900" s="435">
        <f>SUM(D4896:D4899)</f>
      </c>
      <c r="E4900" s="435"/>
      <c r="F4900" s="435">
        <f>SUM(F4896:F4899)</f>
      </c>
      <c r="G4900" s="437"/>
      <c r="H4900" s="438">
        <f>SUM(H4895:H4899)</f>
      </c>
    </row>
    <row r="4901" spans="1:8" ht="15.75" customHeight="1" x14ac:dyDescent="0.25">
      <c r="A4901" s="439"/>
      <c r="B4901" s="440"/>
      <c r="C4901" s="440"/>
      <c r="D4901" s="441"/>
      <c r="E4901" s="440"/>
      <c r="F4901" s="442"/>
      <c r="G4901" s="443"/>
      <c r="H4901" s="444"/>
    </row>
    <row r="4902" spans="1:8" ht="15.75" customHeight="1" x14ac:dyDescent="0.25">
      <c r="A4902" s="565" t="s">
        <v>1215</v>
      </c>
      <c r="B4902" s="565"/>
      <c r="C4902" s="565"/>
      <c r="D4902" s="565"/>
      <c r="E4902" s="565"/>
      <c r="F4902" s="565"/>
      <c r="G4902" s="565"/>
      <c r="H4902" s="565"/>
    </row>
    <row r="4903" spans="1:8" ht="15.75" customHeight="1" x14ac:dyDescent="0.25">
      <c r="A4903" s="445"/>
      <c r="B4903" s="445"/>
      <c r="C4903" s="445"/>
      <c r="D4903" s="446" t="s">
        <v>97</v>
      </c>
      <c r="E4903" s="445" t="s">
        <v>98</v>
      </c>
      <c r="F4903" s="445"/>
      <c r="G4903" s="390"/>
      <c r="H4903" s="394"/>
    </row>
    <row r="4904" spans="1:8" ht="15.75" customHeight="1" x14ac:dyDescent="0.25">
      <c r="A4904" s="390"/>
      <c r="B4904" s="390"/>
      <c r="C4904" s="390"/>
      <c r="D4904" s="391"/>
      <c r="E4904" s="390"/>
      <c r="F4904" s="390"/>
      <c r="G4904" s="390"/>
      <c r="H4904" s="394"/>
    </row>
    <row r="4905" spans="1:8" ht="15.75" customHeight="1" x14ac:dyDescent="0.25">
      <c r="A4905" s="390"/>
      <c r="B4905" s="390"/>
      <c r="C4905" s="390"/>
      <c r="D4905" s="391"/>
      <c r="E4905" s="390"/>
      <c r="F4905" s="390"/>
      <c r="G4905" s="390"/>
      <c r="H4905" s="394"/>
    </row>
    <row r="4906" spans="1:8" ht="15.75" customHeight="1" x14ac:dyDescent="0.25">
      <c r="A4906" s="445"/>
      <c r="B4906" s="445"/>
      <c r="C4906" s="445"/>
      <c r="D4906" s="446"/>
      <c r="E4906" s="445" t="s">
        <v>99</v>
      </c>
      <c r="F4906" s="445"/>
      <c r="G4906" s="390"/>
      <c r="H4906" s="394"/>
    </row>
    <row r="4907" spans="1:8" ht="15.75" customHeight="1" x14ac:dyDescent="0.25">
      <c r="D4907" s="4"/>
      <c r="H4907" s="4"/>
    </row>
    <row r="4908" spans="1:8" ht="15.75" customHeight="1" x14ac:dyDescent="0.25">
      <c r="D4908" s="4"/>
      <c r="H4908" s="4"/>
    </row>
    <row r="4909" spans="1:8" ht="15.75" customHeight="1" x14ac:dyDescent="0.25">
      <c r="D4909" s="4"/>
      <c r="H4909" s="4"/>
    </row>
    <row r="4910" spans="1:8" ht="15.75" customHeight="1" x14ac:dyDescent="0.25">
      <c r="D4910" s="4"/>
      <c r="H4910" s="4"/>
    </row>
    <row r="4911" spans="1:8" ht="15.75" customHeight="1" x14ac:dyDescent="0.25">
      <c r="D4911" s="4"/>
      <c r="H4911" s="4"/>
    </row>
    <row r="4912" spans="1:8" ht="15.75" customHeight="1" x14ac:dyDescent="0.25">
      <c r="D4912" s="4"/>
      <c r="H4912" s="4"/>
    </row>
    <row r="4913" spans="1:8" ht="15.75" customHeight="1" x14ac:dyDescent="0.25">
      <c r="D4913" s="4"/>
      <c r="H4913" s="4"/>
    </row>
    <row r="4914" spans="1:8" ht="15.75" customHeight="1" x14ac:dyDescent="0.25">
      <c r="D4914" s="4"/>
      <c r="H4914" s="4"/>
    </row>
    <row r="4915" spans="1:8" ht="15.75" customHeight="1" x14ac:dyDescent="0.25">
      <c r="D4915" s="4"/>
      <c r="H4915" s="4"/>
    </row>
    <row r="4916" spans="1:8" ht="15.75" customHeight="1" x14ac:dyDescent="0.25">
      <c r="D4916" s="4"/>
      <c r="H4916" s="4"/>
    </row>
    <row r="4917" spans="1:8" ht="15.75" customHeight="1" x14ac:dyDescent="0.25">
      <c r="D4917" s="4"/>
      <c r="H4917" s="4"/>
    </row>
    <row r="4918" spans="1:8" ht="15.75" customHeight="1" x14ac:dyDescent="0.25">
      <c r="D4918" s="4"/>
      <c r="H4918" s="4"/>
    </row>
    <row r="4919" spans="1:8" ht="15.75" customHeight="1" x14ac:dyDescent="0.25">
      <c r="D4919" s="4"/>
      <c r="H4919" s="4"/>
    </row>
    <row r="4920" spans="1:8" ht="15.75" customHeight="1" x14ac:dyDescent="0.25">
      <c r="D4920" s="4"/>
      <c r="H4920" s="4"/>
    </row>
    <row r="4921" spans="1:8" ht="15.75" customHeight="1" x14ac:dyDescent="0.25">
      <c r="D4921" s="4"/>
      <c r="H4921" s="4"/>
    </row>
    <row r="4922" spans="1:8" ht="15.75" customHeight="1" x14ac:dyDescent="0.25">
      <c r="D4922" s="4"/>
      <c r="H4922" s="4"/>
    </row>
    <row r="4923" spans="1:8" ht="15.75" customHeight="1" x14ac:dyDescent="0.25">
      <c r="D4923" s="4"/>
      <c r="H4923" s="4"/>
    </row>
    <row r="4924" spans="1:8" ht="15.75" customHeight="1" x14ac:dyDescent="0.25">
      <c r="D4924" s="4"/>
      <c r="H4924" s="4"/>
    </row>
    <row r="4925" spans="1:8" ht="15.75" customHeight="1" x14ac:dyDescent="0.25">
      <c r="D4925" s="4"/>
      <c r="H4925" s="4"/>
    </row>
    <row r="4926" spans="1:8" ht="15.75" customHeight="1" x14ac:dyDescent="0.25">
      <c r="A4926" s="398" t="s">
        <v>14</v>
      </c>
      <c r="B4926" s="398"/>
      <c r="C4926" s="398"/>
      <c r="D4926" s="398"/>
      <c r="E4926" s="398"/>
      <c r="F4926" s="398"/>
      <c r="G4926" s="398"/>
      <c r="H4926" s="398"/>
    </row>
    <row r="4927" spans="1:8" ht="15.75" customHeight="1" x14ac:dyDescent="0.25">
      <c r="A4927" s="390"/>
      <c r="B4927" s="390"/>
      <c r="C4927" s="390"/>
      <c r="D4927" s="391"/>
      <c r="E4927" s="390"/>
      <c r="F4927" s="390"/>
      <c r="G4927" s="390"/>
      <c r="H4927" s="398"/>
    </row>
    <row r="4928" spans="1:8" ht="15.75" customHeight="1" x14ac:dyDescent="0.25">
      <c r="A4928" s="390"/>
      <c r="B4928" s="390"/>
      <c r="C4928" s="391"/>
      <c r="D4928" s="392"/>
      <c r="E4928" s="393"/>
      <c r="F4928" s="393"/>
      <c r="G4928" s="393"/>
      <c r="H4928" s="394"/>
    </row>
    <row r="4929" spans="1:8" ht="15.75" customHeight="1" x14ac:dyDescent="0.25">
      <c r="A4929" s="390"/>
      <c r="B4929" s="390"/>
      <c r="C4929" s="390"/>
      <c r="D4929" s="391"/>
      <c r="E4929" s="390"/>
      <c r="F4929" s="395" t="s">
        <v>18</v>
      </c>
      <c r="G4929" s="396" t="s">
        <v>507</v>
      </c>
      <c r="H4929" s="397"/>
    </row>
    <row r="4930" spans="1:8" ht="15.75" customHeight="1" x14ac:dyDescent="0.25">
      <c r="A4930" s="390" t="s">
        <v>20</v>
      </c>
      <c r="B4930" s="390"/>
      <c r="C4930" s="390"/>
      <c r="D4930" s="391"/>
      <c r="E4930" s="390"/>
      <c r="F4930" s="395" t="s">
        <v>21</v>
      </c>
      <c r="G4930" s="390" t="s">
        <v>1655</v>
      </c>
      <c r="H4930" s="391"/>
    </row>
    <row r="4931" spans="1:8" ht="15.75" customHeight="1" x14ac:dyDescent="0.25">
      <c r="A4931" s="390" t="inlineStr">
        <is>
          <t>Dealer-002</t>
        </is>
      </c>
      <c r="B4931" s="390"/>
      <c r="C4931" s="390"/>
      <c r="D4931" s="391"/>
      <c r="E4931" s="395"/>
      <c r="F4931" s="390"/>
      <c r="G4931" s="390"/>
      <c r="H4931" s="394"/>
    </row>
    <row r="4932" spans="1:8" ht="15.75" customHeight="1" x14ac:dyDescent="0.25">
      <c r="A4932" s="390" t="inlineStr">
        <is>
          <t>Address line (redacted)</t>
        </is>
      </c>
      <c r="B4932" s="390"/>
      <c r="C4932" s="390"/>
      <c r="D4932" s="398"/>
      <c r="E4932" s="390"/>
      <c r="F4932" s="391"/>
      <c r="G4932" s="390"/>
      <c r="H4932" s="394"/>
    </row>
    <row r="4933" spans="1:8" ht="15.75" customHeight="1" x14ac:dyDescent="0.25">
      <c r="A4933" s="390" t="inlineStr">
        <is>
          <t>Address line (redacted)</t>
        </is>
      </c>
      <c r="B4933" s="390"/>
      <c r="C4933" s="390"/>
      <c r="D4933" s="398"/>
      <c r="E4933" s="390"/>
      <c r="F4933" s="391"/>
      <c r="G4933" s="390"/>
      <c r="H4933" s="394"/>
    </row>
    <row r="4934" spans="1:8" ht="15.75" customHeight="1" x14ac:dyDescent="0.25">
      <c r="A4934" s="447"/>
      <c r="B4934" s="390"/>
      <c r="C4934" s="390"/>
      <c r="D4934" s="391"/>
      <c r="E4934" s="390"/>
      <c r="F4934" s="391"/>
      <c r="G4934" s="390"/>
      <c r="H4934" s="394"/>
    </row>
    <row r="4935" spans="1:8" ht="15.75" customHeight="1" x14ac:dyDescent="0.25">
      <c r="A4935" s="390" t="s">
        <v>30</v>
      </c>
      <c r="B4935" s="390"/>
      <c r="C4935" s="390"/>
      <c r="D4935" s="391"/>
      <c r="E4935" s="390"/>
      <c r="F4935" s="391"/>
      <c r="G4935" s="390"/>
      <c r="H4935" s="394"/>
    </row>
    <row r="4936" spans="1:8" ht="15.75" customHeight="1" x14ac:dyDescent="0.25">
      <c r="A4936" s="390"/>
      <c r="B4936" s="390"/>
      <c r="C4936" s="390"/>
      <c r="D4936" s="391"/>
      <c r="E4936" s="390"/>
      <c r="F4936" s="391"/>
      <c r="G4936" s="390"/>
      <c r="H4936" s="394"/>
    </row>
    <row r="4937" spans="1:8" ht="15.75" customHeight="1" x14ac:dyDescent="0.25">
      <c r="A4937" s="390" t="s">
        <v>31</v>
      </c>
      <c r="B4937" s="390"/>
      <c r="C4937" s="390"/>
      <c r="D4937" s="391"/>
      <c r="E4937" s="390"/>
      <c r="F4937" s="391"/>
      <c r="G4937" s="390"/>
      <c r="H4937" s="394"/>
    </row>
    <row r="4938" spans="1:8" ht="15.75" customHeight="1" x14ac:dyDescent="0.25">
      <c r="A4938" s="390" t="s">
        <v>32</v>
      </c>
      <c r="B4938" s="390"/>
      <c r="C4938" s="390"/>
      <c r="D4938" s="391"/>
      <c r="E4938" s="390"/>
      <c r="F4938" s="391"/>
      <c r="G4938" s="390"/>
      <c r="H4938" s="394"/>
    </row>
    <row r="4939" spans="1:8" ht="15.75" customHeight="1" x14ac:dyDescent="0.25">
      <c r="A4939" s="390"/>
      <c r="B4939" s="390"/>
      <c r="C4939" s="390"/>
      <c r="D4939" s="391"/>
      <c r="E4939" s="390"/>
      <c r="F4939" s="391"/>
      <c r="G4939" s="390"/>
      <c r="H4939" s="394"/>
    </row>
    <row r="4940" spans="1:8" ht="15.75" customHeight="1" x14ac:dyDescent="0.25">
      <c r="A4940" s="399" t="s">
        <v>33</v>
      </c>
      <c r="B4940" s="400" t="s">
        <v>6</v>
      </c>
      <c r="C4940" s="400"/>
      <c r="D4940" s="401" t="s">
        <v>37</v>
      </c>
      <c r="E4940" s="402" t="s">
        <v>38</v>
      </c>
      <c r="F4940" s="403" t="s">
        <v>7</v>
      </c>
      <c r="G4940" s="404" t="s">
        <v>43</v>
      </c>
      <c r="H4940" s="405" t="s">
        <v>44</v>
      </c>
    </row>
    <row r="4941" spans="1:8" ht="15.75" customHeight="1" x14ac:dyDescent="0.25">
      <c r="A4941" s="406"/>
      <c r="B4941" s="407"/>
      <c r="C4941" s="393"/>
      <c r="D4941" s="408"/>
      <c r="E4941" s="408"/>
      <c r="F4941" s="409"/>
      <c r="G4941" s="410"/>
      <c r="H4941" s="411"/>
    </row>
    <row r="4942" spans="1:8" ht="15.75" customHeight="1" x14ac:dyDescent="0.25">
      <c r="A4942" s="412"/>
      <c r="B4942" s="624" t="s">
        <v>1654</v>
      </c>
      <c r="C4942" s="625"/>
      <c r="D4942" s="415"/>
      <c r="E4942" s="415"/>
      <c r="F4942" s="415"/>
      <c r="G4942" s="415"/>
      <c r="H4942" s="416"/>
    </row>
    <row r="4943" spans="1:8" ht="15.75" customHeight="1" x14ac:dyDescent="0.25">
      <c r="A4943" s="581" t="s">
        <v>55</v>
      </c>
      <c r="B4943" s="644" t="s">
        <v>126</v>
      </c>
      <c r="C4943" s="415" t="s">
        <v>1295</v>
      </c>
      <c r="D4943" s="415">
        <v>1</v>
      </c>
      <c r="E4943" s="415">
        <v>250</v>
      </c>
      <c r="F4943" s="415">
        <f>+E4943*D4943</f>
      </c>
      <c r="G4943" s="415">
        <v>1</v>
      </c>
      <c r="H4943" s="589">
        <f>+G4943*F4943</f>
      </c>
    </row>
    <row r="4944" spans="1:8" ht="15.75" customHeight="1" x14ac:dyDescent="0.25">
      <c r="A4944" s="581"/>
      <c r="B4944" s="644"/>
      <c r="C4944" s="418"/>
      <c r="D4944" s="415"/>
      <c r="E4944" s="415"/>
      <c r="F4944" s="578" t="s">
        <v>1662</v>
      </c>
      <c r="G4944" s="415"/>
      <c r="H4944" s="589"/>
    </row>
    <row r="4945" spans="1:8" ht="15.75" customHeight="1" x14ac:dyDescent="0.25">
      <c r="A4945" s="412"/>
      <c r="B4945" s="417"/>
      <c r="C4945" s="418"/>
      <c r="D4945" s="415"/>
      <c r="E4945" s="415"/>
      <c r="F4945" s="415"/>
      <c r="G4945" s="582"/>
      <c r="H4945" s="416"/>
    </row>
    <row r="4946" spans="1:8" ht="15.75" customHeight="1" x14ac:dyDescent="0.25">
      <c r="A4946" s="430"/>
      <c r="B4946" s="409"/>
      <c r="C4946" s="393"/>
      <c r="D4946" s="427"/>
      <c r="E4946" s="427"/>
      <c r="F4946" s="428"/>
      <c r="G4946" s="431"/>
      <c r="H4946" s="429"/>
    </row>
    <row r="4947" spans="1:8" ht="15.75" customHeight="1" x14ac:dyDescent="0.25">
      <c r="A4947" s="432"/>
      <c r="B4947" s="433"/>
      <c r="C4947" s="434" t="s">
        <v>85</v>
      </c>
      <c r="D4947" s="435">
        <f>SUM(D4943:D4946)</f>
      </c>
      <c r="E4947" s="435"/>
      <c r="F4947" s="435"/>
      <c r="G4947" s="652"/>
      <c r="H4947" s="653">
        <f>SUM(H4943:H4946)</f>
      </c>
    </row>
    <row r="4948" spans="1:8" ht="15.75" customHeight="1" x14ac:dyDescent="0.25">
      <c r="A4948" s="439"/>
      <c r="B4948" s="440"/>
      <c r="C4948" s="440"/>
      <c r="D4948" s="441"/>
      <c r="E4948" s="440"/>
      <c r="F4948" s="442"/>
      <c r="G4948" s="443"/>
      <c r="H4948" s="444"/>
    </row>
    <row r="4949" spans="1:8" ht="15.75" customHeight="1" x14ac:dyDescent="0.25">
      <c r="A4949" s="392"/>
      <c r="B4949" s="391"/>
      <c r="C4949" s="391"/>
      <c r="D4949" s="391"/>
      <c r="E4949" s="390"/>
      <c r="F4949" s="392"/>
      <c r="G4949" s="390"/>
      <c r="H4949" s="394"/>
    </row>
    <row r="4950" spans="1:8" ht="15.75" customHeight="1" x14ac:dyDescent="0.25">
      <c r="A4950" s="445"/>
      <c r="B4950" s="445"/>
      <c r="C4950" s="445"/>
      <c r="D4950" s="446" t="s">
        <v>97</v>
      </c>
      <c r="E4950" s="445" t="s">
        <v>98</v>
      </c>
      <c r="F4950" s="445"/>
      <c r="G4950" s="390"/>
      <c r="H4950" s="394"/>
    </row>
    <row r="4951" spans="1:8" ht="15.75" customHeight="1" x14ac:dyDescent="0.25">
      <c r="A4951" s="390"/>
      <c r="B4951" s="390"/>
      <c r="C4951" s="390"/>
      <c r="D4951" s="391"/>
      <c r="E4951" s="390"/>
      <c r="F4951" s="390"/>
      <c r="G4951" s="390"/>
      <c r="H4951" s="394"/>
    </row>
    <row r="4952" spans="1:8" ht="15.75" customHeight="1" x14ac:dyDescent="0.25">
      <c r="A4952" s="390"/>
      <c r="B4952" s="390"/>
      <c r="C4952" s="390"/>
      <c r="D4952" s="391"/>
      <c r="E4952" s="390"/>
      <c r="F4952" s="390"/>
      <c r="G4952" s="390"/>
      <c r="H4952" s="394"/>
    </row>
    <row r="4953" spans="1:8" ht="15.75" customHeight="1" x14ac:dyDescent="0.25">
      <c r="A4953" s="445"/>
      <c r="B4953" s="445"/>
      <c r="C4953" s="445"/>
      <c r="D4953" s="446"/>
      <c r="E4953" s="445" t="s">
        <v>99</v>
      </c>
      <c r="F4953" s="445"/>
      <c r="G4953" s="390"/>
      <c r="H4953" s="394"/>
    </row>
    <row r="4954" spans="1:8" ht="15.75" customHeight="1" x14ac:dyDescent="0.25">
      <c r="D4954" s="4"/>
      <c r="H4954" s="4"/>
    </row>
    <row r="4955" spans="1:8" ht="15.75" customHeight="1" x14ac:dyDescent="0.25">
      <c r="D4955" s="4"/>
      <c r="H4955" s="4"/>
    </row>
    <row r="4956" spans="1:8" ht="15.75" customHeight="1" x14ac:dyDescent="0.25">
      <c r="D4956" s="4"/>
      <c r="H4956" s="4"/>
    </row>
    <row r="4957" spans="1:8" ht="15.75" customHeight="1" x14ac:dyDescent="0.25">
      <c r="D4957" s="4"/>
      <c r="H4957" s="4"/>
    </row>
    <row r="4958" spans="1:8" ht="15.75" customHeight="1" x14ac:dyDescent="0.25">
      <c r="D4958" s="4"/>
      <c r="H4958" s="4"/>
    </row>
    <row r="4959" spans="1:8" ht="15.75" customHeight="1" x14ac:dyDescent="0.25">
      <c r="D4959" s="4"/>
      <c r="H4959" s="4"/>
    </row>
    <row r="4960" spans="1:8" ht="15.75" customHeight="1" x14ac:dyDescent="0.25">
      <c r="D4960" s="4"/>
      <c r="H4960" s="4"/>
    </row>
    <row r="4961" spans="1:8" ht="15.75" customHeight="1" x14ac:dyDescent="0.25">
      <c r="D4961" s="4"/>
      <c r="H4961" s="4"/>
    </row>
    <row r="4962" spans="1:8" ht="15.75" customHeight="1" x14ac:dyDescent="0.25">
      <c r="D4962" s="4"/>
      <c r="H4962" s="4"/>
    </row>
    <row r="4963" spans="1:8" ht="15.75" customHeight="1" x14ac:dyDescent="0.25">
      <c r="D4963" s="4"/>
      <c r="H4963" s="4"/>
    </row>
    <row r="4964" spans="1:8" ht="15.75" customHeight="1" x14ac:dyDescent="0.25">
      <c r="D4964" s="4"/>
      <c r="H4964" s="4"/>
    </row>
    <row r="4965" spans="1:8" ht="15.75" customHeight="1" x14ac:dyDescent="0.25">
      <c r="D4965" s="4"/>
      <c r="H4965" s="4"/>
    </row>
    <row r="4966" spans="1:8" ht="15.75" customHeight="1" x14ac:dyDescent="0.25">
      <c r="D4966" s="4"/>
      <c r="H4966" s="4"/>
    </row>
    <row r="4967" spans="1:8" ht="15.75" customHeight="1" x14ac:dyDescent="0.25">
      <c r="D4967" s="4"/>
      <c r="H4967" s="4"/>
    </row>
    <row r="4968" spans="1:8" ht="15.75" customHeight="1" x14ac:dyDescent="0.25">
      <c r="D4968" s="4"/>
      <c r="H4968" s="4"/>
    </row>
    <row r="4969" spans="1:8" ht="15.75" customHeight="1" x14ac:dyDescent="0.25">
      <c r="D4969" s="4"/>
      <c r="H4969" s="4"/>
    </row>
    <row r="4970" spans="1:8" ht="15.75" customHeight="1" x14ac:dyDescent="0.25">
      <c r="D4970" s="4"/>
      <c r="H4970" s="4"/>
    </row>
    <row r="4971" spans="1:8" ht="15.75" customHeight="1" x14ac:dyDescent="0.25">
      <c r="D4971" s="4"/>
      <c r="H4971" s="4"/>
    </row>
    <row r="4972" spans="1:8" ht="15.75" customHeight="1" x14ac:dyDescent="0.25">
      <c r="A4972" s="398" t="s">
        <v>14</v>
      </c>
      <c r="B4972" s="398"/>
      <c r="C4972" s="398"/>
      <c r="D4972" s="398"/>
      <c r="E4972" s="398"/>
      <c r="F4972" s="398"/>
      <c r="G4972" s="398"/>
      <c r="H4972" s="398"/>
    </row>
    <row r="4973" spans="1:8" ht="15.75" customHeight="1" x14ac:dyDescent="0.25">
      <c r="A4973" s="390"/>
      <c r="B4973" s="390"/>
      <c r="C4973" s="390"/>
      <c r="D4973" s="391"/>
      <c r="E4973" s="390"/>
      <c r="F4973" s="390"/>
      <c r="G4973" s="390"/>
      <c r="H4973" s="398"/>
    </row>
    <row r="4974" spans="1:8" ht="15.75" customHeight="1" x14ac:dyDescent="0.25">
      <c r="A4974" s="390"/>
      <c r="B4974" s="390"/>
      <c r="C4974" s="391"/>
      <c r="D4974" s="392"/>
      <c r="E4974" s="393"/>
      <c r="F4974" s="393"/>
      <c r="G4974" s="393"/>
      <c r="H4974" s="394"/>
    </row>
    <row r="4975" spans="1:8" ht="15.75" customHeight="1" x14ac:dyDescent="0.25">
      <c r="A4975" s="390" t="s">
        <v>20</v>
      </c>
      <c r="B4975" s="390"/>
      <c r="C4975" s="390"/>
      <c r="D4975" s="391"/>
      <c r="E4975" s="390"/>
      <c r="F4975" s="395" t="s">
        <v>18</v>
      </c>
      <c r="G4975" s="396" t="s">
        <v>765</v>
      </c>
      <c r="H4975" s="397"/>
    </row>
    <row r="4976" spans="1:8" ht="15.75" customHeight="1" x14ac:dyDescent="0.25">
      <c r="A4976" s="390" t="inlineStr">
        <is>
          <t>Dealer-009</t>
        </is>
      </c>
      <c r="B4976" s="390"/>
      <c r="C4976" s="390" t="inlineStr">
        <is>
          <t>ATTN: Contact-001</t>
        </is>
      </c>
      <c r="D4976" s="391"/>
      <c r="E4976" s="390"/>
      <c r="F4976" s="395" t="s">
        <v>21</v>
      </c>
      <c r="G4976" s="390" t="s">
        <v>1656</v>
      </c>
      <c r="H4976" s="391"/>
    </row>
    <row r="4977" spans="1:8" ht="15.75" customHeight="1" x14ac:dyDescent="0.25">
      <c r="A4977" s="390" t="inlineStr">
        <is>
          <t>Address line (redacted)</t>
        </is>
      </c>
      <c r="B4977" s="390"/>
      <c r="C4977" s="390"/>
      <c r="D4977" s="391"/>
      <c r="E4977" s="395"/>
      <c r="F4977" s="390"/>
      <c r="G4977" s="390"/>
      <c r="H4977" s="394"/>
    </row>
    <row r="4978" spans="1:8" ht="15.75" customHeight="1" x14ac:dyDescent="0.25">
      <c r="A4978" s="390" t="inlineStr">
        <is>
          <t>Address line (redacted)</t>
        </is>
      </c>
      <c r="B4978" s="390"/>
      <c r="C4978" s="390"/>
      <c r="D4978" s="398"/>
      <c r="E4978" s="390"/>
      <c r="F4978" s="391"/>
      <c r="G4978" s="390"/>
      <c r="H4978" s="394"/>
    </row>
    <row r="4979" spans="1:8" ht="15.75" customHeight="1" x14ac:dyDescent="0.25">
      <c r="D4979" s="398"/>
      <c r="E4979" s="390"/>
      <c r="F4979" s="391"/>
      <c r="G4979" s="390"/>
      <c r="H4979" s="394"/>
    </row>
    <row r="4980" spans="1:8" ht="15.75" customHeight="1" x14ac:dyDescent="0.25">
      <c r="A4980" s="390" t="s">
        <v>30</v>
      </c>
      <c r="B4980" s="390"/>
      <c r="C4980" s="390"/>
      <c r="D4980" s="391"/>
      <c r="E4980" s="390"/>
      <c r="F4980" s="391"/>
      <c r="G4980" s="390"/>
      <c r="H4980" s="394"/>
    </row>
    <row r="4981" spans="1:8" ht="15.75" customHeight="1" x14ac:dyDescent="0.25">
      <c r="A4981" s="390"/>
      <c r="B4981" s="390"/>
      <c r="C4981" s="390"/>
      <c r="D4981" s="391"/>
      <c r="E4981" s="390"/>
      <c r="F4981" s="391"/>
      <c r="G4981" s="390"/>
      <c r="H4981" s="394"/>
    </row>
    <row r="4982" spans="1:8" ht="15.75" customHeight="1" x14ac:dyDescent="0.25">
      <c r="A4982" s="390" t="s">
        <v>716</v>
      </c>
      <c r="B4982" s="390"/>
      <c r="C4982" s="390"/>
      <c r="D4982" s="391"/>
      <c r="E4982" s="390"/>
      <c r="F4982" s="391"/>
      <c r="G4982" s="390"/>
      <c r="H4982" s="394"/>
    </row>
    <row r="4983" spans="1:8" ht="15.75" customHeight="1" x14ac:dyDescent="0.25">
      <c r="A4983" s="390" t="s">
        <v>717</v>
      </c>
      <c r="B4983" s="390"/>
      <c r="C4983" s="390"/>
      <c r="D4983" s="391"/>
      <c r="E4983" s="390"/>
      <c r="F4983" s="391"/>
      <c r="G4983" s="390"/>
      <c r="H4983" s="394"/>
    </row>
    <row r="4984" spans="1:8" ht="15.75" customHeight="1" x14ac:dyDescent="0.25">
      <c r="A4984" s="390"/>
      <c r="B4984" s="390"/>
      <c r="C4984" s="390"/>
      <c r="D4984" s="391"/>
      <c r="E4984" s="390"/>
      <c r="F4984" s="391"/>
      <c r="G4984" s="390"/>
      <c r="H4984" s="394"/>
    </row>
    <row r="4985" spans="1:8" ht="15.75" customHeight="1" x14ac:dyDescent="0.25">
      <c r="A4985" s="399" t="s">
        <v>33</v>
      </c>
      <c r="B4985" s="400" t="s">
        <v>6</v>
      </c>
      <c r="C4985" s="400"/>
      <c r="D4985" s="401" t="s">
        <v>37</v>
      </c>
      <c r="E4985" s="402" t="s">
        <v>38</v>
      </c>
      <c r="F4985" s="403" t="s">
        <v>7</v>
      </c>
      <c r="G4985" s="404" t="s">
        <v>43</v>
      </c>
      <c r="H4985" s="405" t="s">
        <v>44</v>
      </c>
    </row>
    <row r="4986" spans="1:8" ht="15.75" customHeight="1" x14ac:dyDescent="0.25">
      <c r="A4986" s="406"/>
      <c r="B4986" s="407"/>
      <c r="C4986" s="393"/>
      <c r="D4986" s="408"/>
      <c r="E4986" s="408"/>
      <c r="F4986" s="409"/>
      <c r="G4986" s="410"/>
      <c r="H4986" s="411"/>
    </row>
    <row r="4987" spans="1:8" ht="15.75" customHeight="1" x14ac:dyDescent="0.25">
      <c r="A4987" s="412"/>
      <c r="B4987" s="624" t="s">
        <v>1365</v>
      </c>
      <c r="C4987" s="625"/>
      <c r="D4987" s="415"/>
      <c r="E4987" s="415"/>
      <c r="F4987" s="415"/>
      <c r="G4987" s="415"/>
      <c r="H4987" s="416"/>
    </row>
    <row r="4988" spans="1:8" ht="15.75" customHeight="1" x14ac:dyDescent="0.25">
      <c r="A4988" s="581" t="s">
        <v>55</v>
      </c>
      <c r="B4988" s="644">
        <v>507</v>
      </c>
      <c r="C4988" s="415"/>
      <c r="D4988" s="415">
        <v>3</v>
      </c>
      <c r="E4988" s="415">
        <v>4</v>
      </c>
      <c r="F4988" s="415">
        <f>+E4988*D4988</f>
      </c>
      <c r="G4988" s="415">
        <v>1</v>
      </c>
      <c r="H4988" s="589"/>
    </row>
    <row r="4989" spans="1:8" ht="15.75" customHeight="1" x14ac:dyDescent="0.25">
      <c r="A4989" s="581"/>
      <c r="B4989" s="644"/>
      <c r="C4989" s="418"/>
      <c r="D4989" s="415"/>
      <c r="E4989" s="415"/>
      <c r="F4989" s="578" t="s">
        <v>1662</v>
      </c>
      <c r="G4989" s="415"/>
      <c r="H4989" s="589"/>
    </row>
    <row r="4990" spans="1:8" ht="15.75" customHeight="1" x14ac:dyDescent="0.25">
      <c r="A4990" s="502"/>
      <c r="B4990" s="503"/>
      <c r="C4990" s="390"/>
      <c r="D4990" s="427"/>
      <c r="E4990" s="427"/>
      <c r="F4990" s="391"/>
      <c r="G4990" s="427"/>
      <c r="H4990" s="429"/>
    </row>
    <row r="4991" spans="1:8" ht="15.75" customHeight="1" x14ac:dyDescent="0.25">
      <c r="A4991" s="502"/>
      <c r="B4991" s="503"/>
      <c r="C4991" s="390"/>
      <c r="D4991" s="427"/>
      <c r="E4991" s="427"/>
      <c r="F4991" s="391"/>
      <c r="G4991" s="427"/>
      <c r="H4991" s="429"/>
    </row>
    <row r="4992" spans="1:8" ht="15.75" customHeight="1" x14ac:dyDescent="0.25">
      <c r="A4992" s="432"/>
      <c r="B4992" s="433"/>
      <c r="C4992" s="434" t="s">
        <v>85</v>
      </c>
      <c r="D4992" s="435">
        <f>SUM(D4988:D4991)</f>
      </c>
      <c r="E4992" s="435"/>
      <c r="F4992" s="435">
        <f>SUM(F4988:F4991)</f>
      </c>
      <c r="G4992" s="437"/>
      <c r="H4992" s="438">
        <f>SUM(H4987:H4991)</f>
      </c>
    </row>
    <row r="4993" spans="1:8" ht="15.75" customHeight="1" x14ac:dyDescent="0.25">
      <c r="A4993" s="439"/>
      <c r="B4993" s="440"/>
      <c r="C4993" s="440"/>
      <c r="D4993" s="441"/>
      <c r="E4993" s="440"/>
      <c r="F4993" s="442"/>
      <c r="G4993" s="443"/>
      <c r="H4993" s="444"/>
    </row>
    <row r="4994" spans="1:8" ht="15.75" customHeight="1" x14ac:dyDescent="0.25">
      <c r="A4994" s="565" t="s">
        <v>1215</v>
      </c>
      <c r="B4994" s="565"/>
      <c r="C4994" s="565"/>
      <c r="D4994" s="565"/>
      <c r="E4994" s="565"/>
      <c r="F4994" s="565"/>
      <c r="G4994" s="565"/>
      <c r="H4994" s="565"/>
    </row>
    <row r="4995" spans="1:8" ht="15.75" customHeight="1" x14ac:dyDescent="0.25">
      <c r="A4995" s="445"/>
      <c r="B4995" s="445"/>
      <c r="C4995" s="445"/>
      <c r="D4995" s="446" t="s">
        <v>97</v>
      </c>
      <c r="E4995" s="445" t="s">
        <v>98</v>
      </c>
      <c r="F4995" s="445"/>
      <c r="G4995" s="390"/>
      <c r="H4995" s="394"/>
    </row>
    <row r="4996" spans="1:8" ht="15.75" customHeight="1" x14ac:dyDescent="0.25">
      <c r="A4996" s="390"/>
      <c r="B4996" s="390"/>
      <c r="C4996" s="390"/>
      <c r="D4996" s="391"/>
      <c r="E4996" s="390"/>
      <c r="F4996" s="390"/>
      <c r="G4996" s="390"/>
      <c r="H4996" s="394"/>
    </row>
    <row r="4997" spans="1:8" ht="15.75" customHeight="1" x14ac:dyDescent="0.25">
      <c r="A4997" s="390"/>
      <c r="B4997" s="390"/>
      <c r="C4997" s="390"/>
      <c r="D4997" s="391"/>
      <c r="E4997" s="390"/>
      <c r="F4997" s="390"/>
      <c r="G4997" s="390"/>
      <c r="H4997" s="394"/>
    </row>
    <row r="4998" spans="1:8" ht="15.75" customHeight="1" x14ac:dyDescent="0.25">
      <c r="A4998" s="445"/>
      <c r="B4998" s="445"/>
      <c r="C4998" s="445"/>
      <c r="D4998" s="446"/>
      <c r="E4998" s="445" t="s">
        <v>99</v>
      </c>
      <c r="F4998" s="445"/>
      <c r="G4998" s="390"/>
      <c r="H4998" s="394"/>
    </row>
    <row r="4999" spans="1:8" ht="15.75" customHeight="1" x14ac:dyDescent="0.25">
      <c r="D4999" s="4"/>
      <c r="H4999" s="4"/>
    </row>
    <row r="5000" spans="1:8" ht="15.75" customHeight="1" x14ac:dyDescent="0.25">
      <c r="D5000" s="4"/>
      <c r="H5000" s="4"/>
    </row>
    <row r="5001" spans="1:8" ht="15.75" customHeight="1" x14ac:dyDescent="0.25">
      <c r="D5001" s="4"/>
      <c r="H5001" s="4"/>
    </row>
    <row r="5002" spans="1:8" ht="15.75" customHeight="1" x14ac:dyDescent="0.25">
      <c r="D5002" s="4"/>
      <c r="H5002" s="4"/>
    </row>
    <row r="5003" spans="1:8" ht="15.75" customHeight="1" x14ac:dyDescent="0.25">
      <c r="D5003" s="4"/>
      <c r="H5003" s="4"/>
    </row>
    <row r="5004" spans="1:8" ht="15.75" customHeight="1" x14ac:dyDescent="0.25">
      <c r="D5004" s="4"/>
      <c r="H5004" s="4"/>
    </row>
    <row r="5005" spans="1:8" ht="15.75" customHeight="1" x14ac:dyDescent="0.25">
      <c r="D5005" s="4"/>
      <c r="H5005" s="4"/>
    </row>
    <row r="5006" spans="1:8" ht="15.75" customHeight="1" x14ac:dyDescent="0.25">
      <c r="D5006" s="4"/>
      <c r="H5006" s="4"/>
    </row>
    <row r="5007" spans="1:8" ht="15.75" customHeight="1" x14ac:dyDescent="0.25">
      <c r="D5007" s="4"/>
      <c r="H5007" s="4"/>
    </row>
    <row r="5008" spans="1:8" ht="15.75" customHeight="1" x14ac:dyDescent="0.25">
      <c r="D5008" s="4"/>
      <c r="H5008" s="4"/>
    </row>
    <row r="5009" spans="1:8" ht="15.75" customHeight="1" x14ac:dyDescent="0.25">
      <c r="D5009" s="4"/>
      <c r="H5009" s="4"/>
    </row>
    <row r="5010" spans="1:8" ht="15.75" customHeight="1" x14ac:dyDescent="0.25">
      <c r="D5010" s="4"/>
      <c r="H5010" s="4"/>
    </row>
    <row r="5011" spans="1:8" ht="15.75" customHeight="1" x14ac:dyDescent="0.25">
      <c r="D5011" s="4"/>
      <c r="H5011" s="4"/>
    </row>
    <row r="5012" spans="1:8" ht="15.75" customHeight="1" x14ac:dyDescent="0.25">
      <c r="D5012" s="4"/>
      <c r="H5012" s="4"/>
    </row>
    <row r="5013" spans="1:8" ht="15.75" customHeight="1" x14ac:dyDescent="0.25">
      <c r="D5013" s="4"/>
      <c r="H5013" s="4"/>
    </row>
    <row r="5014" spans="1:8" ht="15.75" customHeight="1" x14ac:dyDescent="0.25">
      <c r="D5014" s="4"/>
      <c r="H5014" s="4"/>
    </row>
    <row r="5015" spans="1:8" ht="15.75" customHeight="1" x14ac:dyDescent="0.25">
      <c r="D5015" s="4"/>
      <c r="H5015" s="4"/>
    </row>
    <row r="5016" spans="1:8" ht="15.75" customHeight="1" x14ac:dyDescent="0.25">
      <c r="D5016" s="4"/>
      <c r="H5016" s="4"/>
    </row>
    <row r="5017" spans="1:8" ht="15.75" customHeight="1" x14ac:dyDescent="0.25">
      <c r="D5017" s="4"/>
      <c r="H5017" s="4"/>
    </row>
    <row r="5018" spans="1:8" ht="15.75" customHeight="1" x14ac:dyDescent="0.25">
      <c r="D5018" s="4"/>
      <c r="H5018" s="4"/>
    </row>
    <row r="5019" spans="1:8" ht="15.75" customHeight="1" x14ac:dyDescent="0.25">
      <c r="A5019" s="398" t="s">
        <v>14</v>
      </c>
      <c r="B5019" s="398"/>
      <c r="C5019" s="398"/>
      <c r="D5019" s="398"/>
      <c r="E5019" s="398"/>
      <c r="F5019" s="398"/>
      <c r="G5019" s="398"/>
      <c r="H5019" s="398"/>
    </row>
    <row r="5020" spans="1:8" ht="15.75" customHeight="1" x14ac:dyDescent="0.25">
      <c r="A5020" s="390"/>
      <c r="B5020" s="390"/>
      <c r="C5020" s="390"/>
      <c r="D5020" s="391"/>
      <c r="E5020" s="390"/>
      <c r="F5020" s="390"/>
      <c r="G5020" s="390"/>
      <c r="H5020" s="398"/>
    </row>
    <row r="5021" spans="1:8" ht="15.75" customHeight="1" x14ac:dyDescent="0.25">
      <c r="A5021" s="390"/>
      <c r="B5021" s="390"/>
      <c r="C5021" s="391"/>
      <c r="D5021" s="392"/>
      <c r="E5021" s="393"/>
      <c r="F5021" s="393"/>
      <c r="G5021" s="393"/>
      <c r="H5021" s="394"/>
    </row>
    <row r="5022" spans="1:8" ht="15.75" customHeight="1" x14ac:dyDescent="0.25">
      <c r="A5022" s="390" t="s">
        <v>20</v>
      </c>
      <c r="B5022" s="390"/>
      <c r="C5022" s="390"/>
      <c r="D5022" s="391"/>
      <c r="E5022" s="390"/>
      <c r="F5022" s="395" t="s">
        <v>18</v>
      </c>
      <c r="G5022" s="396" t="s">
        <v>767</v>
      </c>
      <c r="H5022" s="397"/>
    </row>
    <row r="5023" spans="1:8" ht="15.75" customHeight="1" x14ac:dyDescent="0.25">
      <c r="A5023" s="390" t="inlineStr">
        <is>
          <t>Dealer-009</t>
        </is>
      </c>
      <c r="B5023" s="390"/>
      <c r="C5023" s="390" t="inlineStr">
        <is>
          <t>ATTN: Contact-001</t>
        </is>
      </c>
      <c r="D5023" s="391"/>
      <c r="E5023" s="390"/>
      <c r="F5023" s="395" t="s">
        <v>21</v>
      </c>
      <c r="G5023" s="390" t="s">
        <v>1657</v>
      </c>
      <c r="H5023" s="391"/>
    </row>
    <row r="5024" spans="1:8" ht="15.75" customHeight="1" x14ac:dyDescent="0.25">
      <c r="A5024" s="390" t="inlineStr">
        <is>
          <t>Address line (redacted)</t>
        </is>
      </c>
      <c r="B5024" s="390"/>
      <c r="C5024" s="390"/>
      <c r="D5024" s="391"/>
      <c r="E5024" s="395"/>
      <c r="F5024" s="390"/>
      <c r="G5024" s="390"/>
      <c r="H5024" s="394"/>
    </row>
    <row r="5025" spans="1:8" ht="15.75" customHeight="1" x14ac:dyDescent="0.25">
      <c r="A5025" s="390" t="inlineStr">
        <is>
          <t>Address line (redacted)</t>
        </is>
      </c>
      <c r="B5025" s="390"/>
      <c r="C5025" s="390"/>
      <c r="D5025" s="398"/>
      <c r="E5025" s="390"/>
      <c r="F5025" s="391"/>
      <c r="G5025" s="390"/>
      <c r="H5025" s="394"/>
    </row>
    <row r="5026" spans="1:8" ht="15.75" customHeight="1" x14ac:dyDescent="0.25">
      <c r="D5026" s="398"/>
      <c r="E5026" s="390"/>
      <c r="F5026" s="391"/>
      <c r="G5026" s="390"/>
      <c r="H5026" s="394"/>
    </row>
    <row r="5027" spans="1:8" ht="15.75" customHeight="1" x14ac:dyDescent="0.25">
      <c r="A5027" s="390" t="s">
        <v>30</v>
      </c>
      <c r="B5027" s="390"/>
      <c r="C5027" s="390"/>
      <c r="D5027" s="391"/>
      <c r="E5027" s="390"/>
      <c r="F5027" s="391"/>
      <c r="G5027" s="390"/>
      <c r="H5027" s="394"/>
    </row>
    <row r="5028" spans="1:8" ht="15.75" customHeight="1" x14ac:dyDescent="0.25">
      <c r="A5028" s="390"/>
      <c r="B5028" s="390"/>
      <c r="C5028" s="390"/>
      <c r="D5028" s="391"/>
      <c r="E5028" s="390"/>
      <c r="F5028" s="391"/>
      <c r="G5028" s="390"/>
      <c r="H5028" s="394"/>
    </row>
    <row r="5029" spans="1:8" ht="15.75" customHeight="1" x14ac:dyDescent="0.25">
      <c r="A5029" s="390" t="s">
        <v>716</v>
      </c>
      <c r="B5029" s="390"/>
      <c r="C5029" s="390"/>
      <c r="D5029" s="391"/>
      <c r="E5029" s="390"/>
      <c r="F5029" s="391"/>
      <c r="G5029" s="390"/>
      <c r="H5029" s="394"/>
    </row>
    <row r="5030" spans="1:8" ht="15.75" customHeight="1" x14ac:dyDescent="0.25">
      <c r="A5030" s="390" t="s">
        <v>717</v>
      </c>
      <c r="B5030" s="390"/>
      <c r="C5030" s="390"/>
      <c r="D5030" s="391"/>
      <c r="E5030" s="390"/>
      <c r="F5030" s="391"/>
      <c r="G5030" s="390"/>
      <c r="H5030" s="394"/>
    </row>
    <row r="5031" spans="1:8" ht="15.75" customHeight="1" x14ac:dyDescent="0.25">
      <c r="A5031" s="390"/>
      <c r="B5031" s="390"/>
      <c r="C5031" s="390"/>
      <c r="D5031" s="391"/>
      <c r="E5031" s="390"/>
      <c r="F5031" s="391"/>
      <c r="G5031" s="390"/>
      <c r="H5031" s="394"/>
    </row>
    <row r="5032" spans="1:8" ht="15.75" customHeight="1" x14ac:dyDescent="0.25">
      <c r="A5032" s="399" t="s">
        <v>33</v>
      </c>
      <c r="B5032" s="400" t="s">
        <v>6</v>
      </c>
      <c r="C5032" s="400"/>
      <c r="D5032" s="401" t="s">
        <v>37</v>
      </c>
      <c r="E5032" s="402" t="s">
        <v>38</v>
      </c>
      <c r="F5032" s="403" t="s">
        <v>7</v>
      </c>
      <c r="G5032" s="404" t="s">
        <v>43</v>
      </c>
      <c r="H5032" s="405" t="s">
        <v>44</v>
      </c>
    </row>
    <row r="5033" spans="1:8" ht="15.75" customHeight="1" x14ac:dyDescent="0.25">
      <c r="A5033" s="406"/>
      <c r="B5033" s="407"/>
      <c r="C5033" s="393"/>
      <c r="D5033" s="408"/>
      <c r="E5033" s="408"/>
      <c r="F5033" s="409"/>
      <c r="G5033" s="410"/>
      <c r="H5033" s="411"/>
    </row>
    <row r="5034" spans="1:8" ht="15.75" customHeight="1" x14ac:dyDescent="0.25">
      <c r="A5034" s="412"/>
      <c r="B5034" s="624" t="s">
        <v>1627</v>
      </c>
      <c r="C5034" s="625"/>
      <c r="D5034" s="415"/>
      <c r="E5034" s="415"/>
      <c r="F5034" s="415"/>
      <c r="G5034" s="415"/>
      <c r="H5034" s="416"/>
    </row>
    <row r="5035" spans="1:8" ht="15.75" customHeight="1" x14ac:dyDescent="0.25">
      <c r="A5035" s="412" t="s">
        <v>55</v>
      </c>
      <c r="B5035" s="644" t="s">
        <v>1628</v>
      </c>
      <c r="C5035" s="418"/>
      <c r="D5035" s="415">
        <v>4</v>
      </c>
      <c r="E5035" s="415">
        <v>10</v>
      </c>
      <c r="F5035" s="415">
        <f>+E5035*D5035</f>
      </c>
      <c r="G5035" s="415">
        <v>1</v>
      </c>
      <c r="H5035" s="589">
        <f>+G5035*F5035</f>
      </c>
    </row>
    <row r="5036" spans="1:8" ht="15.75" customHeight="1" x14ac:dyDescent="0.25">
      <c r="A5036" s="581"/>
      <c r="B5036" s="624" t="s">
        <v>573</v>
      </c>
      <c r="C5036" s="625"/>
      <c r="D5036" s="415"/>
      <c r="E5036" s="415"/>
      <c r="F5036" s="415"/>
      <c r="G5036" s="415"/>
      <c r="H5036" s="589"/>
    </row>
    <row r="5037" spans="1:8" ht="15.75" customHeight="1" x14ac:dyDescent="0.25">
      <c r="A5037" s="581" t="s">
        <v>489</v>
      </c>
      <c r="B5037" s="644" t="s">
        <v>1658</v>
      </c>
      <c r="C5037" s="418" t="s">
        <v>87</v>
      </c>
      <c r="D5037" s="415">
        <v>5</v>
      </c>
      <c r="E5037" s="415">
        <v>5</v>
      </c>
      <c r="F5037" s="415">
        <f>+E5037*D5037</f>
      </c>
      <c r="G5037" s="415">
        <v>1</v>
      </c>
      <c r="H5037" s="589">
        <f>+G5037*F5037</f>
      </c>
    </row>
    <row r="5038" spans="1:8" ht="15.75" customHeight="1" x14ac:dyDescent="0.25">
      <c r="A5038" s="502"/>
      <c r="B5038" s="503"/>
      <c r="C5038" s="390"/>
      <c r="D5038" s="427"/>
      <c r="E5038" s="427"/>
      <c r="F5038" s="391"/>
      <c r="G5038" s="427"/>
      <c r="H5038" s="429"/>
    </row>
    <row r="5039" spans="1:8" ht="15.75" customHeight="1" x14ac:dyDescent="0.25">
      <c r="A5039" s="502"/>
      <c r="B5039" s="503"/>
      <c r="C5039" s="390"/>
      <c r="D5039" s="427"/>
      <c r="E5039" s="427"/>
      <c r="F5039" s="391"/>
      <c r="G5039" s="427"/>
      <c r="H5039" s="429"/>
    </row>
    <row r="5040" spans="1:8" ht="15.75" customHeight="1" x14ac:dyDescent="0.25">
      <c r="A5040" s="432"/>
      <c r="B5040" s="433"/>
      <c r="C5040" s="434" t="s">
        <v>85</v>
      </c>
      <c r="D5040" s="435">
        <f>SUM(D5034:D5039)</f>
      </c>
      <c r="E5040" s="435"/>
      <c r="F5040" s="436"/>
      <c r="G5040" s="437"/>
      <c r="H5040" s="438">
        <f>SUM(H5034:H5039)</f>
      </c>
    </row>
    <row r="5041" spans="1:8" ht="15.75" customHeight="1" x14ac:dyDescent="0.25">
      <c r="A5041" s="439"/>
      <c r="B5041" s="440"/>
      <c r="C5041" s="440"/>
      <c r="D5041" s="441"/>
      <c r="E5041" s="440"/>
      <c r="F5041" s="442"/>
      <c r="G5041" s="443"/>
      <c r="H5041" s="444"/>
    </row>
    <row r="5042" spans="1:8" ht="15.75" customHeight="1" x14ac:dyDescent="0.25">
      <c r="A5042" s="565" t="s">
        <v>1215</v>
      </c>
      <c r="B5042" s="565"/>
      <c r="C5042" s="565"/>
      <c r="D5042" s="565"/>
      <c r="E5042" s="565"/>
      <c r="F5042" s="565"/>
      <c r="G5042" s="565"/>
      <c r="H5042" s="565"/>
    </row>
    <row r="5043" spans="1:8" ht="15.75" customHeight="1" x14ac:dyDescent="0.25">
      <c r="A5043" s="445"/>
      <c r="B5043" s="445"/>
      <c r="C5043" s="445"/>
      <c r="D5043" s="446" t="s">
        <v>97</v>
      </c>
      <c r="E5043" s="445" t="s">
        <v>98</v>
      </c>
      <c r="F5043" s="445"/>
      <c r="G5043" s="390"/>
      <c r="H5043" s="394"/>
    </row>
    <row r="5044" spans="1:8" ht="15.75" customHeight="1" x14ac:dyDescent="0.25">
      <c r="A5044" s="390"/>
      <c r="B5044" s="390"/>
      <c r="C5044" s="390"/>
      <c r="D5044" s="391"/>
      <c r="E5044" s="390"/>
      <c r="F5044" s="390"/>
      <c r="G5044" s="390"/>
      <c r="H5044" s="394"/>
    </row>
    <row r="5045" spans="1:8" ht="15.75" customHeight="1" x14ac:dyDescent="0.25">
      <c r="A5045" s="390"/>
      <c r="B5045" s="390"/>
      <c r="C5045" s="390"/>
      <c r="D5045" s="391"/>
      <c r="E5045" s="390"/>
      <c r="F5045" s="390"/>
      <c r="G5045" s="390"/>
      <c r="H5045" s="394"/>
    </row>
    <row r="5046" spans="1:8" ht="15.75" customHeight="1" x14ac:dyDescent="0.25">
      <c r="A5046" s="445"/>
      <c r="B5046" s="445"/>
      <c r="C5046" s="445"/>
      <c r="D5046" s="446"/>
      <c r="E5046" s="445" t="s">
        <v>99</v>
      </c>
      <c r="F5046" s="445"/>
      <c r="G5046" s="390"/>
      <c r="H5046" s="394"/>
    </row>
    <row r="5047" spans="1:8" ht="15.75" customHeight="1" x14ac:dyDescent="0.25">
      <c r="D5047" s="4"/>
      <c r="H5047" s="4"/>
    </row>
    <row r="5048" spans="1:8" ht="15.75" customHeight="1" x14ac:dyDescent="0.25">
      <c r="D5048" s="4"/>
      <c r="H5048" s="4"/>
    </row>
    <row r="5049" spans="1:8" ht="15.75" customHeight="1" x14ac:dyDescent="0.25">
      <c r="D5049" s="4"/>
      <c r="H5049" s="4"/>
    </row>
    <row r="5050" spans="1:8" ht="15.75" customHeight="1" x14ac:dyDescent="0.25">
      <c r="D5050" s="4"/>
      <c r="H5050" s="4"/>
    </row>
    <row r="5051" spans="1:8" ht="15.75" customHeight="1" x14ac:dyDescent="0.25">
      <c r="D5051" s="4"/>
      <c r="H5051" s="4"/>
    </row>
    <row r="5052" spans="1:8" ht="15.75" customHeight="1" x14ac:dyDescent="0.25">
      <c r="D5052" s="4"/>
      <c r="H5052" s="4"/>
    </row>
    <row r="5053" spans="1:8" ht="15.75" customHeight="1" x14ac:dyDescent="0.25">
      <c r="D5053" s="4"/>
      <c r="H5053" s="4"/>
    </row>
    <row r="5054" spans="1:8" ht="15.75" customHeight="1" x14ac:dyDescent="0.25">
      <c r="D5054" s="4"/>
      <c r="H5054" s="4"/>
    </row>
    <row r="5055" spans="1:8" ht="15.75" customHeight="1" x14ac:dyDescent="0.25">
      <c r="D5055" s="4"/>
      <c r="H5055" s="4"/>
    </row>
    <row r="5056" spans="1:8" ht="15.75" customHeight="1" x14ac:dyDescent="0.25">
      <c r="D5056" s="4"/>
      <c r="H5056" s="4"/>
    </row>
    <row r="5057" spans="1:8" ht="15.75" customHeight="1" x14ac:dyDescent="0.25">
      <c r="D5057" s="4"/>
      <c r="H5057" s="4"/>
    </row>
    <row r="5058" spans="1:8" ht="15.75" customHeight="1" x14ac:dyDescent="0.25">
      <c r="D5058" s="4"/>
      <c r="H5058" s="4"/>
    </row>
    <row r="5059" spans="1:8" ht="15.75" customHeight="1" x14ac:dyDescent="0.25">
      <c r="D5059" s="4"/>
      <c r="H5059" s="4"/>
    </row>
    <row r="5060" spans="1:8" ht="15.75" customHeight="1" x14ac:dyDescent="0.25">
      <c r="D5060" s="4"/>
      <c r="H5060" s="4"/>
    </row>
    <row r="5061" spans="1:8" ht="15.75" customHeight="1" x14ac:dyDescent="0.25">
      <c r="D5061" s="4"/>
      <c r="H5061" s="4"/>
    </row>
    <row r="5062" spans="1:8" ht="15.75" customHeight="1" x14ac:dyDescent="0.25">
      <c r="D5062" s="4"/>
      <c r="H5062" s="4"/>
    </row>
    <row r="5063" spans="1:8" ht="15.75" customHeight="1" x14ac:dyDescent="0.25">
      <c r="D5063" s="4"/>
      <c r="H5063" s="4"/>
    </row>
    <row r="5064" spans="1:8" ht="15.75" customHeight="1" x14ac:dyDescent="0.25">
      <c r="D5064" s="4"/>
      <c r="H5064" s="4"/>
    </row>
    <row r="5065" spans="1:8" ht="15.75" customHeight="1" x14ac:dyDescent="0.25">
      <c r="A5065" s="398" t="s">
        <v>14</v>
      </c>
      <c r="B5065" s="391"/>
      <c r="C5065" s="391"/>
      <c r="D5065" s="391"/>
      <c r="E5065" s="391"/>
      <c r="F5065" s="391"/>
      <c r="G5065" s="391"/>
      <c r="H5065" s="394"/>
    </row>
    <row r="5066" spans="1:8" ht="15.75" customHeight="1" x14ac:dyDescent="0.25">
      <c r="A5066" s="390"/>
      <c r="B5066" s="390"/>
      <c r="C5066" s="390"/>
      <c r="D5066" s="392"/>
      <c r="E5066" s="569"/>
      <c r="F5066" s="391"/>
      <c r="G5066" s="390"/>
      <c r="H5066" s="394"/>
    </row>
    <row r="5067" spans="1:8" ht="15.75" customHeight="1" x14ac:dyDescent="0.25">
      <c r="A5067" s="390"/>
      <c r="B5067" s="390"/>
      <c r="C5067" s="390"/>
      <c r="D5067" s="391"/>
      <c r="E5067" s="390"/>
      <c r="F5067" s="395" t="s">
        <v>18</v>
      </c>
      <c r="G5067" s="390" t="s">
        <v>770</v>
      </c>
      <c r="H5067" s="394"/>
    </row>
    <row r="5068" spans="1:8" ht="15.75" customHeight="1" x14ac:dyDescent="0.25">
      <c r="A5068" s="390"/>
      <c r="B5068" s="390"/>
      <c r="C5068" s="390"/>
      <c r="D5068" s="391"/>
      <c r="E5068" s="390"/>
      <c r="F5068" s="393" t="s">
        <v>21</v>
      </c>
      <c r="G5068" s="390" t="s">
        <v>1659</v>
      </c>
      <c r="H5068" s="394"/>
    </row>
    <row r="5069" spans="1:8" ht="15.75" customHeight="1" x14ac:dyDescent="0.25">
      <c r="A5069" s="390" t="s">
        <v>20</v>
      </c>
      <c r="B5069" s="390"/>
      <c r="C5069" s="390"/>
      <c r="D5069" s="391"/>
      <c r="E5069" s="390"/>
      <c r="F5069" s="391"/>
      <c r="G5069" s="390"/>
      <c r="H5069" s="394"/>
    </row>
    <row r="5070" spans="1:8" ht="15.75" customHeight="1" x14ac:dyDescent="0.25">
      <c r="A5070" s="390" t="inlineStr">
        <is>
          <t>Dealer-011</t>
        </is>
      </c>
      <c r="B5070" s="390"/>
      <c r="C5070" s="390" t="inlineStr">
        <is>
          <t>ATTN: Contact-002</t>
        </is>
      </c>
      <c r="D5070" s="391"/>
      <c r="E5070" s="390"/>
      <c r="F5070" s="391"/>
      <c r="G5070" s="390"/>
      <c r="H5070" s="394"/>
    </row>
    <row r="5071" spans="1:8" ht="15.75" customHeight="1" x14ac:dyDescent="0.25">
      <c r="A5071" s="390" t="inlineStr">
        <is>
          <t>Address line (redacted)</t>
        </is>
      </c>
      <c r="B5071" s="390"/>
      <c r="C5071" s="390"/>
      <c r="D5071" s="391"/>
      <c r="E5071" s="390"/>
      <c r="F5071" s="391"/>
      <c r="G5071" s="390"/>
      <c r="H5071" s="394"/>
    </row>
    <row r="5072" spans="1:8" ht="15.75" customHeight="1" x14ac:dyDescent="0.25">
      <c r="A5072" s="390" t="inlineStr">
        <is>
          <t>Address line (redacted)</t>
        </is>
      </c>
      <c r="B5072" s="390"/>
      <c r="C5072" s="390"/>
      <c r="D5072" s="391"/>
      <c r="E5072" s="390"/>
      <c r="F5072" s="391"/>
      <c r="G5072" s="390"/>
      <c r="H5072" s="394"/>
    </row>
    <row r="5073" spans="1:8" ht="15.75" customHeight="1" x14ac:dyDescent="0.25">
      <c r="A5073" s="390" t="inlineStr">
        <is>
          <t>Address line (redacted)</t>
        </is>
      </c>
      <c r="B5073" s="390"/>
      <c r="C5073" s="390"/>
      <c r="D5073" s="391"/>
      <c r="E5073" s="390"/>
      <c r="F5073" s="391"/>
      <c r="G5073" s="390"/>
      <c r="H5073" s="394"/>
    </row>
    <row r="5074" spans="1:8" ht="15.75" customHeight="1" x14ac:dyDescent="0.25">
      <c r="A5074" s="390"/>
      <c r="B5074" s="390"/>
      <c r="C5074" s="390"/>
      <c r="D5074" s="391"/>
      <c r="E5074" s="390"/>
      <c r="F5074" s="391"/>
      <c r="G5074" s="390"/>
      <c r="H5074" s="394"/>
    </row>
    <row r="5075" spans="1:8" ht="15.75" customHeight="1" x14ac:dyDescent="0.25">
      <c r="A5075" s="390"/>
      <c r="B5075" s="390"/>
      <c r="C5075" s="390"/>
      <c r="D5075" s="391"/>
      <c r="E5075" s="390"/>
      <c r="F5075" s="391"/>
      <c r="G5075" s="390"/>
      <c r="H5075" s="394"/>
    </row>
    <row r="5076" spans="1:8" ht="15.75" customHeight="1" x14ac:dyDescent="0.25">
      <c r="A5076" s="390"/>
      <c r="B5076" s="390"/>
      <c r="C5076" s="390"/>
      <c r="D5076" s="391"/>
      <c r="E5076" s="390"/>
      <c r="F5076" s="391"/>
      <c r="G5076" s="390"/>
      <c r="H5076" s="394"/>
    </row>
    <row r="5077" spans="1:8" ht="15.75" customHeight="1" x14ac:dyDescent="0.25">
      <c r="A5077" s="390" t="s">
        <v>30</v>
      </c>
      <c r="B5077" s="390"/>
      <c r="C5077" s="390"/>
      <c r="D5077" s="391"/>
      <c r="E5077" s="390"/>
      <c r="F5077" s="391"/>
      <c r="G5077" s="390"/>
      <c r="H5077" s="394"/>
    </row>
    <row r="5078" spans="1:8" ht="15.75" customHeight="1" x14ac:dyDescent="0.25">
      <c r="A5078" s="390"/>
      <c r="B5078" s="390"/>
      <c r="C5078" s="390"/>
      <c r="D5078" s="391"/>
      <c r="E5078" s="390"/>
      <c r="F5078" s="391"/>
      <c r="G5078" s="390"/>
      <c r="H5078" s="394"/>
    </row>
    <row r="5079" spans="1:8" ht="15.75" customHeight="1" x14ac:dyDescent="0.25">
      <c r="A5079" s="390" t="s">
        <v>1322</v>
      </c>
      <c r="B5079" s="390"/>
      <c r="C5079" s="390"/>
      <c r="D5079" s="391"/>
      <c r="E5079" s="390"/>
      <c r="F5079" s="391"/>
      <c r="G5079" s="390"/>
      <c r="H5079" s="394"/>
    </row>
    <row r="5080" spans="1:8" ht="15.75" customHeight="1" x14ac:dyDescent="0.25">
      <c r="A5080" s="390" t="s">
        <v>1328</v>
      </c>
      <c r="B5080" s="390"/>
      <c r="C5080" s="390"/>
      <c r="D5080" s="391"/>
      <c r="E5080" s="390"/>
      <c r="F5080" s="391"/>
      <c r="G5080" s="390"/>
      <c r="H5080" s="394"/>
    </row>
    <row r="5081" spans="1:8" ht="15.75" customHeight="1" x14ac:dyDescent="0.25">
      <c r="A5081" s="390"/>
      <c r="B5081" s="390"/>
      <c r="C5081" s="390"/>
      <c r="D5081" s="391"/>
      <c r="E5081" s="390"/>
      <c r="F5081" s="391"/>
      <c r="G5081" s="390"/>
      <c r="H5081" s="394"/>
    </row>
    <row r="5082" spans="1:8" ht="15.75" customHeight="1" x14ac:dyDescent="0.25">
      <c r="A5082" s="399" t="s">
        <v>33</v>
      </c>
      <c r="B5082" s="400" t="s">
        <v>6</v>
      </c>
      <c r="C5082" s="400"/>
      <c r="D5082" s="401" t="s">
        <v>37</v>
      </c>
      <c r="E5082" s="402" t="s">
        <v>38</v>
      </c>
      <c r="F5082" s="403" t="s">
        <v>7</v>
      </c>
      <c r="G5082" s="404" t="s">
        <v>43</v>
      </c>
      <c r="H5082" s="405" t="s">
        <v>44</v>
      </c>
    </row>
    <row r="5083" spans="1:8" ht="15.75" customHeight="1" x14ac:dyDescent="0.25">
      <c r="A5083" s="406"/>
      <c r="B5083" s="407"/>
      <c r="C5083" s="393"/>
      <c r="D5083" s="410"/>
      <c r="E5083" s="408"/>
      <c r="F5083" s="409"/>
      <c r="G5083" s="410"/>
      <c r="H5083" s="411"/>
    </row>
    <row r="5084" spans="1:8" ht="15.75" customHeight="1" x14ac:dyDescent="0.25">
      <c r="A5084" s="412"/>
      <c r="B5084" s="654" t="s">
        <v>1365</v>
      </c>
      <c r="C5084" s="654"/>
      <c r="D5084" s="415"/>
      <c r="E5084" s="415"/>
      <c r="F5084" s="415"/>
      <c r="G5084" s="415"/>
      <c r="H5084" s="416"/>
    </row>
    <row r="5085" spans="1:8" ht="15.75" customHeight="1" x14ac:dyDescent="0.25">
      <c r="A5085" s="412" t="s">
        <v>55</v>
      </c>
      <c r="B5085" s="644">
        <v>508</v>
      </c>
      <c r="C5085" s="418"/>
      <c r="D5085" s="415">
        <v>3</v>
      </c>
      <c r="E5085" s="415">
        <v>4</v>
      </c>
      <c r="F5085" s="415">
        <f t="shared" ref="F5085:F5086" si="160">+E5085*D5085</f>
      </c>
      <c r="G5085" s="415">
        <v>1</v>
      </c>
      <c r="H5085" s="416">
        <f t="shared" ref="H5085:H5086" si="161">+G5085*F5085</f>
      </c>
    </row>
    <row r="5086" spans="1:8" ht="15.75" customHeight="1" x14ac:dyDescent="0.25">
      <c r="A5086" s="581" t="s">
        <v>59</v>
      </c>
      <c r="B5086" s="582">
        <v>507</v>
      </c>
      <c r="C5086" s="582"/>
      <c r="D5086" s="415">
        <v>6</v>
      </c>
      <c r="E5086" s="415">
        <v>4</v>
      </c>
      <c r="F5086" s="415">
        <f t="shared" si="160"/>
      </c>
      <c r="G5086" s="415">
        <v>1</v>
      </c>
      <c r="H5086" s="416">
        <f t="shared" si="161"/>
      </c>
    </row>
    <row r="5087" spans="1:8" ht="15.75" customHeight="1" x14ac:dyDescent="0.25">
      <c r="A5087" s="581"/>
      <c r="B5087" s="654" t="s">
        <v>531</v>
      </c>
      <c r="C5087" s="654"/>
      <c r="D5087" s="415"/>
      <c r="E5087" s="415"/>
      <c r="F5087" s="415"/>
      <c r="G5087" s="415"/>
      <c r="H5087" s="416"/>
    </row>
    <row r="5088" spans="1:8" ht="15.75" customHeight="1" x14ac:dyDescent="0.25">
      <c r="A5088" s="581" t="s">
        <v>67</v>
      </c>
      <c r="B5088" s="582" t="s">
        <v>125</v>
      </c>
      <c r="C5088" s="582"/>
      <c r="D5088" s="415">
        <v>3</v>
      </c>
      <c r="E5088" s="415">
        <v>5</v>
      </c>
      <c r="F5088" s="415">
        <f>+E5088*D5088</f>
      </c>
      <c r="G5088" s="415">
        <v>1</v>
      </c>
      <c r="H5088" s="416">
        <f>+G5088*F5088</f>
      </c>
    </row>
    <row r="5089" spans="1:8" ht="15.75" customHeight="1" x14ac:dyDescent="0.25">
      <c r="A5089" s="581"/>
      <c r="B5089" s="654" t="s">
        <v>1660</v>
      </c>
      <c r="C5089" s="654"/>
      <c r="D5089" s="415"/>
      <c r="E5089" s="415"/>
      <c r="F5089" s="415"/>
      <c r="G5089" s="415"/>
      <c r="H5089" s="416"/>
    </row>
    <row r="5090" spans="1:8" ht="15.75" customHeight="1" x14ac:dyDescent="0.25">
      <c r="A5090" s="581"/>
      <c r="B5090" s="582" t="s">
        <v>1726</v>
      </c>
      <c r="C5090" s="582" t="s">
        <v>412</v>
      </c>
      <c r="D5090" s="415">
        <v>1</v>
      </c>
      <c r="E5090" s="415" t="s">
        <v>1727</v>
      </c>
      <c r="F5090" s="415">
        <f>25*4</f>
      </c>
      <c r="G5090" s="415">
        <v>1</v>
      </c>
      <c r="H5090" s="416">
        <f>+G5090*F5090</f>
      </c>
    </row>
    <row r="5091" spans="1:8" ht="15.75" customHeight="1" x14ac:dyDescent="0.25">
      <c r="A5091" s="587"/>
      <c r="B5091" s="418"/>
      <c r="C5091" s="585"/>
      <c r="D5091" s="588"/>
      <c r="E5091" s="415"/>
      <c r="F5091" s="588"/>
      <c r="G5091" s="588"/>
      <c r="H5091" s="416"/>
    </row>
    <row r="5092" spans="1:8" ht="15.75" customHeight="1" x14ac:dyDescent="0.25">
      <c r="A5092" s="430"/>
      <c r="B5092" s="409"/>
      <c r="C5092" s="393"/>
      <c r="D5092" s="427"/>
      <c r="E5092" s="427"/>
      <c r="F5092" s="428"/>
      <c r="G5092" s="431"/>
      <c r="H5092" s="429"/>
    </row>
    <row r="5093" spans="1:8" ht="15.75" customHeight="1" x14ac:dyDescent="0.25">
      <c r="A5093" s="432"/>
      <c r="B5093" s="433"/>
      <c r="C5093" s="434" t="s">
        <v>85</v>
      </c>
      <c r="D5093" s="436">
        <f>SUM(D5085:D5092)</f>
      </c>
      <c r="E5093" s="436"/>
      <c r="F5093" s="436"/>
      <c r="G5093" s="437"/>
      <c r="H5093" s="623">
        <f>SUM(H5085:H5092)</f>
      </c>
    </row>
    <row r="5094" spans="1:8" ht="15.75" customHeight="1" x14ac:dyDescent="0.25">
      <c r="A5094" s="439"/>
      <c r="B5094" s="440"/>
      <c r="C5094" s="440"/>
      <c r="D5094" s="441"/>
      <c r="E5094" s="440"/>
      <c r="F5094" s="442"/>
      <c r="G5094" s="443"/>
      <c r="H5094" s="444"/>
    </row>
    <row r="5095" spans="1:8" ht="15.75" customHeight="1" x14ac:dyDescent="0.25">
      <c r="A5095" s="392"/>
      <c r="B5095" s="391"/>
      <c r="C5095" s="391"/>
      <c r="D5095" s="391"/>
      <c r="E5095" s="390"/>
      <c r="F5095" s="392"/>
      <c r="G5095" s="390"/>
      <c r="H5095" s="394"/>
    </row>
    <row r="5096" spans="1:8" ht="15.75" customHeight="1" x14ac:dyDescent="0.25">
      <c r="A5096" s="445"/>
      <c r="B5096" s="445"/>
      <c r="C5096" s="445"/>
      <c r="D5096" s="446" t="s">
        <v>97</v>
      </c>
      <c r="E5096" s="445" t="s">
        <v>98</v>
      </c>
      <c r="F5096" s="445"/>
      <c r="G5096" s="390"/>
      <c r="H5096" s="394"/>
    </row>
    <row r="5097" spans="1:8" ht="15.75" customHeight="1" x14ac:dyDescent="0.25">
      <c r="A5097" s="390"/>
      <c r="B5097" s="390"/>
      <c r="C5097" s="390"/>
      <c r="D5097" s="391"/>
      <c r="E5097" s="390"/>
      <c r="F5097" s="390"/>
      <c r="G5097" s="390"/>
      <c r="H5097" s="394"/>
    </row>
    <row r="5098" spans="1:8" ht="15.75" customHeight="1" x14ac:dyDescent="0.25">
      <c r="A5098" s="390"/>
      <c r="B5098" s="390"/>
      <c r="C5098" s="390"/>
      <c r="D5098" s="391"/>
      <c r="E5098" s="390"/>
      <c r="F5098" s="390"/>
      <c r="G5098" s="390"/>
      <c r="H5098" s="394"/>
    </row>
    <row r="5099" spans="1:8" ht="15.75" customHeight="1" x14ac:dyDescent="0.25">
      <c r="A5099" s="445"/>
      <c r="B5099" s="445"/>
      <c r="C5099" s="445"/>
      <c r="D5099" s="446"/>
      <c r="E5099" s="445" t="s">
        <v>99</v>
      </c>
      <c r="F5099" s="445"/>
      <c r="G5099" s="390"/>
      <c r="H5099" s="394"/>
    </row>
    <row r="5100" spans="1:8" ht="15.75" customHeight="1" x14ac:dyDescent="0.25">
      <c r="D5100" s="4"/>
      <c r="H5100" s="4"/>
    </row>
    <row r="5101" spans="1:8" ht="15.75" customHeight="1" x14ac:dyDescent="0.25">
      <c r="D5101" s="4"/>
      <c r="H5101" s="4"/>
    </row>
    <row r="5102" spans="1:8" ht="15.75" customHeight="1" x14ac:dyDescent="0.25">
      <c r="D5102" s="4"/>
      <c r="H5102" s="4"/>
    </row>
    <row r="5103" spans="1:8" ht="15.75" customHeight="1" x14ac:dyDescent="0.25">
      <c r="D5103" s="4"/>
      <c r="H5103" s="4"/>
    </row>
    <row r="5104" spans="1:8" ht="15.75" customHeight="1" x14ac:dyDescent="0.25">
      <c r="D5104" s="4"/>
      <c r="H5104" s="4"/>
    </row>
    <row r="5105" spans="1:8" ht="15.75" customHeight="1" x14ac:dyDescent="0.25">
      <c r="D5105" s="4"/>
      <c r="H5105" s="4"/>
    </row>
    <row r="5106" spans="1:8" ht="15.75" customHeight="1" x14ac:dyDescent="0.25">
      <c r="D5106" s="4"/>
      <c r="H5106" s="4"/>
    </row>
    <row r="5107" spans="1:8" ht="15.75" customHeight="1" x14ac:dyDescent="0.25">
      <c r="D5107" s="4"/>
      <c r="H5107" s="4"/>
    </row>
    <row r="5108" spans="1:8" ht="15.75" customHeight="1" x14ac:dyDescent="0.25">
      <c r="D5108" s="4"/>
      <c r="H5108" s="4"/>
    </row>
    <row r="5109" spans="1:8" ht="15.75" customHeight="1" x14ac:dyDescent="0.25">
      <c r="D5109" s="4"/>
      <c r="H5109" s="4"/>
    </row>
    <row r="5110" spans="1:8" ht="15.75" customHeight="1" x14ac:dyDescent="0.25">
      <c r="A5110" s="398" t="s">
        <v>14</v>
      </c>
      <c r="B5110" s="398"/>
      <c r="C5110" s="398"/>
      <c r="D5110" s="398"/>
      <c r="E5110" s="398"/>
      <c r="F5110" s="398"/>
      <c r="G5110" s="398"/>
      <c r="H5110" s="398"/>
    </row>
    <row r="5111" spans="1:8" ht="15.75" customHeight="1" x14ac:dyDescent="0.25">
      <c r="A5111" s="390"/>
      <c r="B5111" s="390"/>
      <c r="C5111" s="390"/>
      <c r="D5111" s="391"/>
      <c r="E5111" s="390"/>
      <c r="F5111" s="390"/>
      <c r="G5111" s="390"/>
      <c r="H5111" s="398"/>
    </row>
    <row r="5112" spans="1:8" ht="15.75" customHeight="1" x14ac:dyDescent="0.25">
      <c r="A5112" s="390"/>
      <c r="B5112" s="390"/>
      <c r="C5112" s="391"/>
      <c r="D5112" s="392"/>
      <c r="E5112" s="393"/>
      <c r="F5112" s="393"/>
      <c r="G5112" s="393"/>
      <c r="H5112" s="394"/>
    </row>
    <row r="5113" spans="1:8" ht="15.75" customHeight="1" x14ac:dyDescent="0.25">
      <c r="A5113" s="390" t="s">
        <v>20</v>
      </c>
      <c r="B5113" s="390"/>
      <c r="C5113" s="390"/>
      <c r="D5113" s="391"/>
      <c r="E5113" s="390"/>
      <c r="F5113" s="395" t="s">
        <v>18</v>
      </c>
      <c r="G5113" s="396" t="s">
        <v>767</v>
      </c>
      <c r="H5113" s="397"/>
    </row>
    <row r="5114" spans="1:8" ht="15.75" customHeight="1" x14ac:dyDescent="0.25">
      <c r="A5114" s="390" t="inlineStr">
        <is>
          <t>Dealer-009</t>
        </is>
      </c>
      <c r="B5114" s="390"/>
      <c r="C5114" s="390" t="inlineStr">
        <is>
          <t>ATTN: Contact-001</t>
        </is>
      </c>
      <c r="D5114" s="391"/>
      <c r="E5114" s="390"/>
      <c r="F5114" s="395" t="s">
        <v>21</v>
      </c>
      <c r="G5114" s="390" t="s">
        <v>1661</v>
      </c>
      <c r="H5114" s="391"/>
    </row>
    <row r="5115" spans="1:8" ht="15.75" customHeight="1" x14ac:dyDescent="0.25">
      <c r="A5115" s="390" t="inlineStr">
        <is>
          <t>Address line (redacted)</t>
        </is>
      </c>
      <c r="B5115" s="390"/>
      <c r="C5115" s="390"/>
      <c r="D5115" s="391"/>
      <c r="E5115" s="395"/>
      <c r="F5115" s="390"/>
      <c r="G5115" s="390"/>
      <c r="H5115" s="394"/>
    </row>
    <row r="5116" spans="1:8" ht="15.75" customHeight="1" x14ac:dyDescent="0.25">
      <c r="A5116" s="390" t="inlineStr">
        <is>
          <t>Address line (redacted)</t>
        </is>
      </c>
      <c r="B5116" s="390"/>
      <c r="C5116" s="390"/>
      <c r="D5116" s="398"/>
      <c r="E5116" s="390"/>
      <c r="F5116" s="391"/>
      <c r="G5116" s="390"/>
      <c r="H5116" s="394"/>
    </row>
    <row r="5117" spans="1:8" ht="15.75" customHeight="1" x14ac:dyDescent="0.25">
      <c r="D5117" s="398"/>
      <c r="E5117" s="390"/>
      <c r="F5117" s="391"/>
      <c r="G5117" s="390"/>
      <c r="H5117" s="394"/>
    </row>
    <row r="5118" spans="1:8" ht="15.75" customHeight="1" x14ac:dyDescent="0.25">
      <c r="A5118" s="390" t="s">
        <v>30</v>
      </c>
      <c r="B5118" s="390"/>
      <c r="C5118" s="390"/>
      <c r="D5118" s="391"/>
      <c r="E5118" s="390"/>
      <c r="F5118" s="391"/>
      <c r="G5118" s="390"/>
      <c r="H5118" s="394"/>
    </row>
    <row r="5119" spans="1:8" ht="15.75" customHeight="1" x14ac:dyDescent="0.25">
      <c r="A5119" s="390"/>
      <c r="B5119" s="390"/>
      <c r="C5119" s="390"/>
      <c r="D5119" s="391"/>
      <c r="E5119" s="390"/>
      <c r="F5119" s="391"/>
      <c r="G5119" s="390"/>
      <c r="H5119" s="394"/>
    </row>
    <row r="5120" spans="1:8" ht="15.75" customHeight="1" x14ac:dyDescent="0.25">
      <c r="A5120" s="390" t="s">
        <v>716</v>
      </c>
      <c r="B5120" s="390"/>
      <c r="C5120" s="390"/>
      <c r="D5120" s="391"/>
      <c r="E5120" s="390"/>
      <c r="F5120" s="391"/>
      <c r="G5120" s="390"/>
      <c r="H5120" s="394"/>
    </row>
    <row r="5121" spans="1:20" ht="15.75" customHeight="1" x14ac:dyDescent="0.25">
      <c r="A5121" s="390" t="s">
        <v>717</v>
      </c>
      <c r="B5121" s="390"/>
      <c r="C5121" s="390"/>
      <c r="D5121" s="391"/>
      <c r="E5121" s="390"/>
      <c r="F5121" s="391"/>
      <c r="G5121" s="390"/>
      <c r="H5121" s="394"/>
    </row>
    <row r="5122" spans="1:20" ht="15.75" customHeight="1" x14ac:dyDescent="0.25">
      <c r="A5122" s="390"/>
      <c r="B5122" s="390"/>
      <c r="C5122" s="390"/>
      <c r="D5122" s="391"/>
      <c r="E5122" s="390"/>
      <c r="F5122" s="391"/>
      <c r="G5122" s="390"/>
      <c r="H5122" s="394"/>
    </row>
    <row r="5123" spans="1:20" ht="15.75" customHeight="1" x14ac:dyDescent="0.25">
      <c r="A5123" s="399" t="s">
        <v>33</v>
      </c>
      <c r="B5123" s="400" t="s">
        <v>6</v>
      </c>
      <c r="C5123" s="400"/>
      <c r="D5123" s="401" t="s">
        <v>37</v>
      </c>
      <c r="E5123" s="402" t="s">
        <v>38</v>
      </c>
      <c r="F5123" s="403" t="s">
        <v>7</v>
      </c>
      <c r="G5123" s="404" t="s">
        <v>43</v>
      </c>
      <c r="H5123" s="405" t="s">
        <v>44</v>
      </c>
    </row>
    <row r="5124" spans="1:20" ht="15.75" customHeight="1" x14ac:dyDescent="0.25">
      <c r="A5124" s="406"/>
      <c r="B5124" s="407"/>
      <c r="C5124" s="393"/>
      <c r="D5124" s="408"/>
      <c r="E5124" s="408"/>
      <c r="F5124" s="409"/>
      <c r="G5124" s="410"/>
      <c r="H5124" s="411"/>
    </row>
    <row r="5125" spans="1:20" ht="15.75" customHeight="1" x14ac:dyDescent="0.25">
      <c r="A5125" s="412"/>
      <c r="B5125" s="624" t="s">
        <v>531</v>
      </c>
      <c r="C5125" s="625"/>
      <c r="D5125" s="415"/>
      <c r="E5125" s="415"/>
      <c r="F5125" s="415"/>
      <c r="G5125" s="415"/>
      <c r="H5125" s="416"/>
    </row>
    <row r="5126" spans="1:20" ht="15.75" customHeight="1" x14ac:dyDescent="0.25">
      <c r="A5126" s="412" t="s">
        <v>55</v>
      </c>
      <c r="B5126" s="644" t="s">
        <v>125</v>
      </c>
      <c r="C5126" s="418"/>
      <c r="D5126" s="415">
        <v>6</v>
      </c>
      <c r="E5126" s="415">
        <v>5</v>
      </c>
      <c r="F5126" s="415">
        <f t="shared" ref="F5126:F5127" si="162">+E5126*D5126</f>
      </c>
      <c r="G5126" s="415">
        <v>1</v>
      </c>
      <c r="H5126" s="589">
        <f>+G5126*F5126</f>
      </c>
      <c r="I5126" s="676"/>
      <c r="J5126" s="676"/>
      <c r="K5126" s="676"/>
      <c r="L5126" s="676"/>
      <c r="M5126" s="676"/>
      <c r="N5126" s="676"/>
      <c r="O5126" s="676"/>
      <c r="P5126" s="676"/>
      <c r="Q5126" s="676"/>
      <c r="R5126" s="676"/>
      <c r="S5126" s="676"/>
      <c r="T5126" s="676"/>
    </row>
    <row r="5127" spans="1:20" ht="15.75" customHeight="1" x14ac:dyDescent="0.25">
      <c r="A5127" s="677" t="s">
        <v>59</v>
      </c>
      <c r="B5127" s="419" t="s">
        <v>890</v>
      </c>
      <c r="C5127" s="678"/>
      <c r="D5127" s="679">
        <v>8</v>
      </c>
      <c r="E5127" s="679">
        <v>5</v>
      </c>
      <c r="F5127" s="679">
        <f t="shared" si="162"/>
      </c>
      <c r="G5127" s="680" t="s">
        <v>1743</v>
      </c>
      <c r="H5127" s="681"/>
    </row>
    <row r="5128" spans="1:20" ht="15.75" customHeight="1" x14ac:dyDescent="0.25">
      <c r="A5128" s="502"/>
      <c r="B5128" s="503"/>
      <c r="C5128" s="390"/>
      <c r="D5128" s="427"/>
      <c r="E5128" s="427"/>
      <c r="F5128" s="391"/>
      <c r="G5128" s="427"/>
      <c r="H5128" s="429"/>
    </row>
    <row r="5129" spans="1:20" ht="15.75" customHeight="1" x14ac:dyDescent="0.25">
      <c r="A5129" s="432"/>
      <c r="B5129" s="433"/>
      <c r="C5129" s="434" t="s">
        <v>85</v>
      </c>
      <c r="D5129" s="435">
        <f>SUM(D5125:D5128)</f>
      </c>
      <c r="E5129" s="435"/>
      <c r="F5129" s="436"/>
      <c r="G5129" s="437"/>
      <c r="H5129" s="438">
        <f>SUM(H5125:H5128)</f>
      </c>
    </row>
    <row r="5130" spans="1:20" ht="15.75" customHeight="1" x14ac:dyDescent="0.25">
      <c r="A5130" s="439"/>
      <c r="B5130" s="440"/>
      <c r="C5130" s="440"/>
      <c r="D5130" s="441"/>
      <c r="E5130" s="440"/>
      <c r="F5130" s="442"/>
      <c r="G5130" s="443"/>
      <c r="H5130" s="444"/>
    </row>
    <row r="5131" spans="1:20" ht="15.75" customHeight="1" x14ac:dyDescent="0.25">
      <c r="A5131" s="565" t="s">
        <v>1215</v>
      </c>
      <c r="B5131" s="565"/>
      <c r="C5131" s="565"/>
      <c r="D5131" s="565"/>
      <c r="E5131" s="565"/>
      <c r="F5131" s="565"/>
      <c r="G5131" s="565"/>
      <c r="H5131" s="565"/>
    </row>
    <row r="5132" spans="1:20" ht="15.75" customHeight="1" x14ac:dyDescent="0.25">
      <c r="A5132" s="445"/>
      <c r="B5132" s="445"/>
      <c r="C5132" s="445"/>
      <c r="D5132" s="446" t="s">
        <v>97</v>
      </c>
      <c r="E5132" s="445" t="s">
        <v>98</v>
      </c>
      <c r="F5132" s="445"/>
      <c r="G5132" s="390"/>
      <c r="H5132" s="394"/>
    </row>
    <row r="5133" spans="1:20" ht="15.75" customHeight="1" x14ac:dyDescent="0.25">
      <c r="A5133" s="390"/>
      <c r="B5133" s="390"/>
      <c r="C5133" s="390"/>
      <c r="D5133" s="391"/>
      <c r="E5133" s="390"/>
      <c r="F5133" s="390"/>
      <c r="G5133" s="390"/>
      <c r="H5133" s="394"/>
    </row>
    <row r="5134" spans="1:20" ht="15.75" customHeight="1" x14ac:dyDescent="0.25">
      <c r="A5134" s="390"/>
      <c r="B5134" s="390"/>
      <c r="C5134" s="390"/>
      <c r="D5134" s="391"/>
      <c r="E5134" s="390"/>
      <c r="F5134" s="390"/>
      <c r="G5134" s="390"/>
      <c r="H5134" s="394"/>
    </row>
    <row r="5135" spans="1:20" ht="15.75" customHeight="1" x14ac:dyDescent="0.25">
      <c r="A5135" s="445"/>
      <c r="B5135" s="445"/>
      <c r="C5135" s="445"/>
      <c r="D5135" s="446"/>
      <c r="E5135" s="445" t="s">
        <v>99</v>
      </c>
      <c r="F5135" s="445"/>
      <c r="G5135" s="390"/>
      <c r="H5135" s="394"/>
    </row>
    <row r="5136" spans="1:20" ht="15.75" customHeight="1" x14ac:dyDescent="0.25">
      <c r="D5136" s="4"/>
      <c r="H5136" s="4"/>
    </row>
    <row r="5137" spans="4:8" ht="15.75" customHeight="1" x14ac:dyDescent="0.25">
      <c r="D5137" s="4"/>
      <c r="H5137" s="4"/>
    </row>
    <row r="5138" spans="4:8" ht="15.75" customHeight="1" x14ac:dyDescent="0.25">
      <c r="D5138" s="4"/>
      <c r="H5138" s="4"/>
    </row>
    <row r="5139" spans="4:8" ht="15.75" customHeight="1" x14ac:dyDescent="0.25">
      <c r="D5139" s="4"/>
      <c r="H5139" s="4"/>
    </row>
    <row r="5140" spans="4:8" ht="15.75" customHeight="1" x14ac:dyDescent="0.25">
      <c r="D5140" s="4"/>
      <c r="H5140" s="4"/>
    </row>
    <row r="5141" spans="4:8" ht="15.75" customHeight="1" x14ac:dyDescent="0.25">
      <c r="D5141" s="4"/>
      <c r="H5141" s="4"/>
    </row>
    <row r="5142" spans="4:8" ht="15.75" customHeight="1" x14ac:dyDescent="0.25">
      <c r="D5142" s="4"/>
      <c r="H5142" s="4"/>
    </row>
    <row r="5143" spans="4:8" ht="15.75" customHeight="1" x14ac:dyDescent="0.25">
      <c r="D5143" s="4"/>
      <c r="H5143" s="4"/>
    </row>
    <row r="5144" spans="4:8" ht="15.75" customHeight="1" x14ac:dyDescent="0.25">
      <c r="D5144" s="4"/>
      <c r="H5144" s="4"/>
    </row>
    <row r="5145" spans="4:8" ht="15.75" customHeight="1" x14ac:dyDescent="0.25">
      <c r="D5145" s="4"/>
      <c r="H5145" s="4"/>
    </row>
    <row r="5146" spans="4:8" ht="15.75" customHeight="1" x14ac:dyDescent="0.25">
      <c r="D5146" s="4"/>
      <c r="H5146" s="4"/>
    </row>
    <row r="5147" spans="4:8" ht="15.75" customHeight="1" x14ac:dyDescent="0.25">
      <c r="D5147" s="4"/>
      <c r="H5147" s="4"/>
    </row>
    <row r="5148" spans="4:8" ht="15.75" customHeight="1" x14ac:dyDescent="0.25">
      <c r="D5148" s="4"/>
      <c r="H5148" s="4"/>
    </row>
    <row r="5149" spans="4:8" ht="15.75" customHeight="1" x14ac:dyDescent="0.25">
      <c r="D5149" s="4"/>
      <c r="H5149" s="4"/>
    </row>
    <row r="5150" spans="4:8" ht="15.75" customHeight="1" x14ac:dyDescent="0.25">
      <c r="D5150" s="4"/>
      <c r="H5150" s="4"/>
    </row>
    <row r="5151" spans="4:8" ht="15.75" customHeight="1" x14ac:dyDescent="0.25">
      <c r="D5151" s="4"/>
      <c r="H5151" s="4"/>
    </row>
    <row r="5152" spans="4:8" ht="15.75" customHeight="1" x14ac:dyDescent="0.25">
      <c r="D5152" s="4"/>
      <c r="H5152" s="4"/>
    </row>
    <row r="5153" spans="1:8" ht="15.75" customHeight="1" x14ac:dyDescent="0.25">
      <c r="D5153" s="4"/>
      <c r="H5153" s="4"/>
    </row>
    <row r="5154" spans="1:8" ht="15.75" customHeight="1" x14ac:dyDescent="0.25">
      <c r="D5154" s="4"/>
      <c r="H5154" s="4"/>
    </row>
    <row r="5155" spans="1:8" ht="15.75" customHeight="1" x14ac:dyDescent="0.25">
      <c r="D5155" s="4"/>
      <c r="H5155" s="4"/>
    </row>
    <row r="5156" spans="1:8" ht="15.75" customHeight="1" x14ac:dyDescent="0.25">
      <c r="A5156" s="398" t="s">
        <v>14</v>
      </c>
      <c r="B5156" s="398"/>
      <c r="C5156" s="398"/>
      <c r="D5156" s="398"/>
      <c r="E5156" s="398"/>
      <c r="F5156" s="398"/>
      <c r="G5156" s="398"/>
      <c r="H5156" s="398"/>
    </row>
    <row r="5157" spans="1:8" ht="15.75" customHeight="1" x14ac:dyDescent="0.25">
      <c r="A5157" s="390"/>
      <c r="B5157" s="390"/>
      <c r="C5157" s="390"/>
      <c r="D5157" s="391"/>
      <c r="E5157" s="390"/>
      <c r="F5157" s="390"/>
      <c r="G5157" s="390"/>
      <c r="H5157" s="398"/>
    </row>
    <row r="5158" spans="1:8" ht="15.75" customHeight="1" x14ac:dyDescent="0.25">
      <c r="A5158" s="390"/>
      <c r="B5158" s="390"/>
      <c r="C5158" s="391"/>
      <c r="D5158" s="392"/>
      <c r="E5158" s="393"/>
      <c r="F5158" s="393"/>
      <c r="G5158" s="393"/>
      <c r="H5158" s="394"/>
    </row>
    <row r="5159" spans="1:8" ht="15.75" customHeight="1" x14ac:dyDescent="0.25">
      <c r="A5159" s="390" t="s">
        <v>20</v>
      </c>
      <c r="B5159" s="390"/>
      <c r="C5159" s="390"/>
      <c r="D5159" s="391"/>
      <c r="E5159" s="390"/>
      <c r="F5159" s="395" t="s">
        <v>18</v>
      </c>
      <c r="G5159" s="396" t="s">
        <v>777</v>
      </c>
      <c r="H5159" s="397"/>
    </row>
    <row r="5160" spans="1:8" ht="15.75" customHeight="1" x14ac:dyDescent="0.25">
      <c r="A5160" s="390" t="inlineStr">
        <is>
          <t>Dealer-009</t>
        </is>
      </c>
      <c r="B5160" s="390"/>
      <c r="C5160" s="390" t="inlineStr">
        <is>
          <t>ATTN: Contact-001</t>
        </is>
      </c>
      <c r="D5160" s="391"/>
      <c r="E5160" s="390"/>
      <c r="F5160" s="395" t="s">
        <v>21</v>
      </c>
      <c r="G5160" s="390" t="s">
        <v>1420</v>
      </c>
      <c r="H5160" s="391"/>
    </row>
    <row r="5161" spans="1:8" ht="15.75" customHeight="1" x14ac:dyDescent="0.25">
      <c r="A5161" s="390" t="inlineStr">
        <is>
          <t>Address line (redacted)</t>
        </is>
      </c>
      <c r="B5161" s="390"/>
      <c r="C5161" s="390"/>
      <c r="D5161" s="391"/>
      <c r="E5161" s="395"/>
      <c r="F5161" s="390"/>
      <c r="G5161" s="390"/>
      <c r="H5161" s="394"/>
    </row>
    <row r="5162" spans="1:8" ht="15.75" customHeight="1" x14ac:dyDescent="0.25">
      <c r="A5162" s="390" t="inlineStr">
        <is>
          <t>Address line (redacted)</t>
        </is>
      </c>
      <c r="B5162" s="390"/>
      <c r="C5162" s="390"/>
      <c r="D5162" s="398"/>
      <c r="E5162" s="390"/>
      <c r="F5162" s="391"/>
      <c r="G5162" s="390"/>
      <c r="H5162" s="394"/>
    </row>
    <row r="5163" spans="1:8" ht="15.75" customHeight="1" x14ac:dyDescent="0.25">
      <c r="D5163" s="398"/>
      <c r="E5163" s="390"/>
      <c r="F5163" s="391"/>
      <c r="G5163" s="390"/>
      <c r="H5163" s="394"/>
    </row>
    <row r="5164" spans="1:8" ht="15.75" customHeight="1" x14ac:dyDescent="0.25">
      <c r="A5164" s="390" t="s">
        <v>30</v>
      </c>
      <c r="B5164" s="390"/>
      <c r="C5164" s="390"/>
      <c r="D5164" s="391"/>
      <c r="E5164" s="390"/>
      <c r="F5164" s="391"/>
      <c r="G5164" s="390"/>
      <c r="H5164" s="394"/>
    </row>
    <row r="5165" spans="1:8" ht="15.75" customHeight="1" x14ac:dyDescent="0.25">
      <c r="A5165" s="390"/>
      <c r="B5165" s="390"/>
      <c r="C5165" s="390"/>
      <c r="D5165" s="391"/>
      <c r="E5165" s="390"/>
      <c r="F5165" s="391"/>
      <c r="G5165" s="390"/>
      <c r="H5165" s="394"/>
    </row>
    <row r="5166" spans="1:8" ht="15.75" customHeight="1" x14ac:dyDescent="0.25">
      <c r="A5166" s="390" t="s">
        <v>716</v>
      </c>
      <c r="B5166" s="390"/>
      <c r="C5166" s="390"/>
      <c r="D5166" s="391"/>
      <c r="E5166" s="390"/>
      <c r="F5166" s="391"/>
      <c r="G5166" s="390"/>
      <c r="H5166" s="394"/>
    </row>
    <row r="5167" spans="1:8" ht="15.75" customHeight="1" x14ac:dyDescent="0.25">
      <c r="A5167" s="390" t="s">
        <v>717</v>
      </c>
      <c r="B5167" s="390"/>
      <c r="C5167" s="390"/>
      <c r="D5167" s="391"/>
      <c r="E5167" s="390"/>
      <c r="F5167" s="391"/>
      <c r="G5167" s="390"/>
      <c r="H5167" s="394"/>
    </row>
    <row r="5168" spans="1:8" ht="15.75" customHeight="1" x14ac:dyDescent="0.25">
      <c r="A5168" s="390"/>
      <c r="B5168" s="390"/>
      <c r="C5168" s="390"/>
      <c r="D5168" s="391"/>
      <c r="E5168" s="390"/>
      <c r="F5168" s="391"/>
      <c r="G5168" s="390"/>
      <c r="H5168" s="394"/>
    </row>
    <row r="5169" spans="1:8" ht="15.75" customHeight="1" x14ac:dyDescent="0.25">
      <c r="A5169" s="399" t="s">
        <v>33</v>
      </c>
      <c r="B5169" s="400" t="s">
        <v>6</v>
      </c>
      <c r="C5169" s="400"/>
      <c r="D5169" s="401" t="s">
        <v>37</v>
      </c>
      <c r="E5169" s="402" t="s">
        <v>38</v>
      </c>
      <c r="F5169" s="403" t="s">
        <v>7</v>
      </c>
      <c r="G5169" s="404" t="s">
        <v>43</v>
      </c>
      <c r="H5169" s="405" t="s">
        <v>44</v>
      </c>
    </row>
    <row r="5170" spans="1:8" ht="15.75" customHeight="1" x14ac:dyDescent="0.25">
      <c r="A5170" s="406"/>
      <c r="B5170" s="407"/>
      <c r="C5170" s="393"/>
      <c r="D5170" s="408"/>
      <c r="E5170" s="408"/>
      <c r="F5170" s="409"/>
      <c r="G5170" s="410"/>
      <c r="H5170" s="411"/>
    </row>
    <row r="5171" spans="1:8" ht="15.75" customHeight="1" x14ac:dyDescent="0.25">
      <c r="A5171" s="412"/>
      <c r="B5171" s="624" t="s">
        <v>674</v>
      </c>
      <c r="C5171" s="625"/>
      <c r="D5171" s="415"/>
      <c r="E5171" s="415"/>
      <c r="F5171" s="415"/>
      <c r="G5171" s="415"/>
      <c r="H5171" s="416"/>
    </row>
    <row r="5172" spans="1:8" ht="15.75" customHeight="1" x14ac:dyDescent="0.25">
      <c r="A5172" s="412" t="s">
        <v>55</v>
      </c>
      <c r="B5172" s="644" t="s">
        <v>239</v>
      </c>
      <c r="C5172" s="418"/>
      <c r="D5172" s="415">
        <v>5</v>
      </c>
      <c r="E5172" s="415">
        <v>2</v>
      </c>
      <c r="F5172" s="415">
        <f>+E5172*D5172</f>
      </c>
      <c r="G5172" s="415">
        <v>1</v>
      </c>
      <c r="H5172" s="589">
        <f t="shared" ref="H5172:H5173" si="163">+G5172*F5172</f>
      </c>
    </row>
    <row r="5173" spans="1:8" ht="15.75" customHeight="1" x14ac:dyDescent="0.25">
      <c r="A5173" s="412" t="s">
        <v>59</v>
      </c>
      <c r="B5173" s="699" t="s">
        <v>1076</v>
      </c>
      <c r="C5173" s="700" t="s">
        <v>1164</v>
      </c>
      <c r="D5173" s="415">
        <v>10</v>
      </c>
      <c r="E5173" s="415">
        <v>1</v>
      </c>
      <c r="F5173" s="415">
        <v>10</v>
      </c>
      <c r="G5173" s="415">
        <v>1</v>
      </c>
      <c r="H5173" s="589">
        <f t="shared" si="163"/>
      </c>
    </row>
    <row r="5174" spans="1:8" ht="15.75" customHeight="1" x14ac:dyDescent="0.25">
      <c r="A5174" s="412"/>
      <c r="B5174" s="624" t="s">
        <v>573</v>
      </c>
      <c r="C5174" s="625"/>
      <c r="D5174" s="415"/>
      <c r="E5174" s="415"/>
      <c r="F5174" s="415"/>
      <c r="G5174" s="415"/>
      <c r="H5174" s="589"/>
    </row>
    <row r="5175" spans="1:8" ht="15.75" customHeight="1" x14ac:dyDescent="0.25">
      <c r="A5175" s="412" t="s">
        <v>67</v>
      </c>
      <c r="B5175" s="644" t="s">
        <v>140</v>
      </c>
      <c r="C5175" s="418" t="s">
        <v>337</v>
      </c>
      <c r="D5175" s="415">
        <v>1</v>
      </c>
      <c r="E5175" s="415">
        <v>5</v>
      </c>
      <c r="F5175" s="415">
        <f t="shared" ref="F5175:F5176" si="164">+E5175*D5175</f>
      </c>
      <c r="G5175" s="415">
        <v>1</v>
      </c>
      <c r="H5175" s="589">
        <f t="shared" ref="H5175:H5176" si="165">+G5175*F5175</f>
      </c>
    </row>
    <row r="5176" spans="1:8" ht="15.75" customHeight="1" x14ac:dyDescent="0.25">
      <c r="A5176" s="412" t="s">
        <v>485</v>
      </c>
      <c r="B5176" s="701" t="s">
        <v>144</v>
      </c>
      <c r="C5176" s="418" t="s">
        <v>340</v>
      </c>
      <c r="D5176" s="415">
        <v>2</v>
      </c>
      <c r="E5176" s="415">
        <v>5</v>
      </c>
      <c r="F5176" s="415">
        <f t="shared" si="164"/>
      </c>
      <c r="G5176" s="415">
        <v>1</v>
      </c>
      <c r="H5176" s="589">
        <f t="shared" si="165"/>
      </c>
    </row>
    <row r="5177" spans="1:8" ht="15.75" customHeight="1" x14ac:dyDescent="0.25">
      <c r="A5177" s="412"/>
      <c r="B5177" s="644"/>
      <c r="C5177" s="418"/>
      <c r="D5177" s="415"/>
      <c r="E5177" s="415"/>
      <c r="F5177" s="415"/>
      <c r="G5177" s="415"/>
      <c r="H5177" s="589"/>
    </row>
    <row r="5178" spans="1:8" ht="15.75" customHeight="1" x14ac:dyDescent="0.25">
      <c r="A5178" s="502"/>
      <c r="B5178" s="503"/>
      <c r="C5178" s="390"/>
      <c r="D5178" s="427"/>
      <c r="E5178" s="427"/>
      <c r="F5178" s="391"/>
      <c r="G5178" s="427"/>
      <c r="H5178" s="429"/>
    </row>
    <row r="5179" spans="1:8" ht="15.75" customHeight="1" x14ac:dyDescent="0.25">
      <c r="A5179" s="432"/>
      <c r="B5179" s="433"/>
      <c r="C5179" s="434" t="s">
        <v>85</v>
      </c>
      <c r="D5179" s="435">
        <f>SUM(D5171:D5178)</f>
      </c>
      <c r="E5179" s="435"/>
      <c r="F5179" s="436"/>
      <c r="G5179" s="437"/>
      <c r="H5179" s="438">
        <f>SUM(H5171:H5178)</f>
      </c>
    </row>
    <row r="5180" spans="1:8" ht="15.75" customHeight="1" x14ac:dyDescent="0.25">
      <c r="A5180" s="439"/>
      <c r="B5180" s="440"/>
      <c r="C5180" s="440"/>
      <c r="D5180" s="441"/>
      <c r="E5180" s="440"/>
      <c r="F5180" s="442"/>
      <c r="G5180" s="443"/>
      <c r="H5180" s="444"/>
    </row>
    <row r="5181" spans="1:8" ht="15.75" customHeight="1" x14ac:dyDescent="0.25">
      <c r="A5181" s="565" t="s">
        <v>1215</v>
      </c>
      <c r="B5181" s="565"/>
      <c r="C5181" s="565"/>
      <c r="D5181" s="565"/>
      <c r="E5181" s="565"/>
      <c r="F5181" s="565"/>
      <c r="G5181" s="565"/>
      <c r="H5181" s="565"/>
    </row>
    <row r="5182" spans="1:8" ht="15.75" customHeight="1" x14ac:dyDescent="0.25">
      <c r="A5182" s="445"/>
      <c r="B5182" s="445"/>
      <c r="C5182" s="445"/>
      <c r="D5182" s="446" t="s">
        <v>97</v>
      </c>
      <c r="E5182" s="445" t="s">
        <v>98</v>
      </c>
      <c r="F5182" s="445"/>
      <c r="G5182" s="390"/>
      <c r="H5182" s="394"/>
    </row>
    <row r="5183" spans="1:8" ht="15.75" customHeight="1" x14ac:dyDescent="0.25">
      <c r="A5183" s="390"/>
      <c r="B5183" s="390"/>
      <c r="C5183" s="390"/>
      <c r="D5183" s="391"/>
      <c r="E5183" s="390"/>
      <c r="F5183" s="390"/>
      <c r="G5183" s="390"/>
      <c r="H5183" s="394"/>
    </row>
    <row r="5184" spans="1:8" ht="15.75" customHeight="1" x14ac:dyDescent="0.25">
      <c r="A5184" s="390"/>
      <c r="B5184" s="390"/>
      <c r="C5184" s="390"/>
      <c r="D5184" s="391"/>
      <c r="E5184" s="390"/>
      <c r="F5184" s="390"/>
      <c r="G5184" s="390"/>
      <c r="H5184" s="394"/>
    </row>
    <row r="5185" spans="1:8" ht="15.75" customHeight="1" x14ac:dyDescent="0.25">
      <c r="A5185" s="445"/>
      <c r="B5185" s="445"/>
      <c r="C5185" s="445"/>
      <c r="D5185" s="446"/>
      <c r="E5185" s="445" t="s">
        <v>99</v>
      </c>
      <c r="F5185" s="445"/>
      <c r="G5185" s="390"/>
      <c r="H5185" s="394"/>
    </row>
    <row r="5186" spans="1:8" ht="15.75" customHeight="1" x14ac:dyDescent="0.25">
      <c r="D5186" s="4"/>
      <c r="H5186" s="4"/>
    </row>
    <row r="5187" spans="1:8" ht="15.75" customHeight="1" x14ac:dyDescent="0.25">
      <c r="D5187" s="4"/>
      <c r="H5187" s="4"/>
    </row>
    <row r="5188" spans="1:8" ht="15.75" customHeight="1" x14ac:dyDescent="0.25">
      <c r="D5188" s="4"/>
      <c r="H5188" s="4"/>
    </row>
    <row r="5189" spans="1:8" ht="15.75" customHeight="1" x14ac:dyDescent="0.25">
      <c r="D5189" s="4"/>
      <c r="H5189" s="4"/>
    </row>
    <row r="5190" spans="1:8" ht="15.75" customHeight="1" x14ac:dyDescent="0.25">
      <c r="D5190" s="4"/>
      <c r="H5190" s="4"/>
    </row>
    <row r="5191" spans="1:8" ht="15.75" customHeight="1" x14ac:dyDescent="0.25">
      <c r="D5191" s="4"/>
      <c r="H5191" s="4"/>
    </row>
    <row r="5192" spans="1:8" ht="15.75" customHeight="1" x14ac:dyDescent="0.25">
      <c r="D5192" s="4"/>
      <c r="H5192" s="4"/>
    </row>
    <row r="5193" spans="1:8" ht="15.75" customHeight="1" x14ac:dyDescent="0.25">
      <c r="D5193" s="4"/>
      <c r="H5193" s="4"/>
    </row>
    <row r="5194" spans="1:8" ht="15.75" customHeight="1" x14ac:dyDescent="0.25">
      <c r="D5194" s="4"/>
      <c r="H5194" s="4"/>
    </row>
    <row r="5195" spans="1:8" ht="15.75" customHeight="1" x14ac:dyDescent="0.25">
      <c r="D5195" s="4"/>
      <c r="H5195" s="4"/>
    </row>
    <row r="5196" spans="1:8" ht="15.75" customHeight="1" x14ac:dyDescent="0.25">
      <c r="D5196" s="4"/>
      <c r="H5196" s="4"/>
    </row>
    <row r="5197" spans="1:8" ht="15.75" customHeight="1" x14ac:dyDescent="0.25">
      <c r="D5197" s="4"/>
      <c r="H5197" s="4"/>
    </row>
    <row r="5198" spans="1:8" ht="15.75" customHeight="1" x14ac:dyDescent="0.25">
      <c r="D5198" s="4"/>
      <c r="H5198" s="4"/>
    </row>
    <row r="5199" spans="1:8" ht="15.75" customHeight="1" x14ac:dyDescent="0.25">
      <c r="D5199" s="4"/>
      <c r="H5199" s="4"/>
    </row>
    <row r="5200" spans="1:8" ht="15.75" customHeight="1" x14ac:dyDescent="0.25">
      <c r="D5200" s="4"/>
      <c r="H5200" s="4"/>
    </row>
    <row r="5201" spans="1:8" ht="15.75" customHeight="1" x14ac:dyDescent="0.25">
      <c r="D5201" s="4"/>
      <c r="H5201" s="4"/>
    </row>
    <row r="5202" spans="1:8" ht="15.75" customHeight="1" x14ac:dyDescent="0.25">
      <c r="A5202" s="398" t="s">
        <v>14</v>
      </c>
      <c r="B5202" s="398"/>
      <c r="C5202" s="398"/>
      <c r="D5202" s="398"/>
      <c r="E5202" s="398"/>
      <c r="F5202" s="398"/>
      <c r="G5202" s="398"/>
      <c r="H5202" s="398"/>
    </row>
    <row r="5203" spans="1:8" ht="15.75" customHeight="1" x14ac:dyDescent="0.25">
      <c r="A5203" s="390"/>
      <c r="B5203" s="390"/>
      <c r="C5203" s="390"/>
      <c r="D5203" s="391"/>
      <c r="E5203" s="390"/>
      <c r="F5203" s="390"/>
      <c r="G5203" s="390"/>
      <c r="H5203" s="398"/>
    </row>
    <row r="5204" spans="1:8" ht="15.75" customHeight="1" x14ac:dyDescent="0.25">
      <c r="A5204" s="390"/>
      <c r="B5204" s="390"/>
      <c r="C5204" s="391"/>
      <c r="D5204" s="392"/>
      <c r="E5204" s="393"/>
      <c r="F5204" s="393"/>
      <c r="G5204" s="393"/>
      <c r="H5204" s="394"/>
    </row>
    <row r="5205" spans="1:8" ht="15.75" customHeight="1" x14ac:dyDescent="0.25">
      <c r="A5205" s="390"/>
      <c r="B5205" s="390"/>
      <c r="C5205" s="390"/>
      <c r="D5205" s="391"/>
      <c r="E5205" s="390"/>
      <c r="F5205" s="395" t="s">
        <v>18</v>
      </c>
      <c r="G5205" s="396" t="s">
        <v>783</v>
      </c>
      <c r="H5205" s="397"/>
    </row>
    <row r="5206" spans="1:8" ht="15.75" customHeight="1" x14ac:dyDescent="0.25">
      <c r="A5206" s="390" t="s">
        <v>20</v>
      </c>
      <c r="B5206" s="390"/>
      <c r="C5206" s="390"/>
      <c r="D5206" s="391"/>
      <c r="E5206" s="390"/>
      <c r="F5206" s="395" t="s">
        <v>21</v>
      </c>
      <c r="G5206" s="390" t="s">
        <v>1449</v>
      </c>
      <c r="H5206" s="391"/>
    </row>
    <row r="5207" spans="1:8" ht="15.75" customHeight="1" x14ac:dyDescent="0.25">
      <c r="A5207" s="390" t="inlineStr">
        <is>
          <t>Dealer-002</t>
        </is>
      </c>
      <c r="B5207" s="390"/>
      <c r="C5207" s="390"/>
      <c r="D5207" s="391"/>
      <c r="E5207" s="395"/>
      <c r="F5207" s="390"/>
      <c r="G5207" s="390"/>
      <c r="H5207" s="394"/>
    </row>
    <row r="5208" spans="1:8" ht="15.75" customHeight="1" x14ac:dyDescent="0.25">
      <c r="A5208" s="390" t="inlineStr">
        <is>
          <t>Address line (redacted)</t>
        </is>
      </c>
      <c r="B5208" s="390"/>
      <c r="C5208" s="390"/>
      <c r="D5208" s="398"/>
      <c r="E5208" s="390"/>
      <c r="F5208" s="391"/>
      <c r="G5208" s="390"/>
      <c r="H5208" s="394"/>
    </row>
    <row r="5209" spans="1:8" ht="15.75" customHeight="1" x14ac:dyDescent="0.25">
      <c r="A5209" s="390" t="inlineStr">
        <is>
          <t>Address line (redacted)</t>
        </is>
      </c>
      <c r="B5209" s="390"/>
      <c r="C5209" s="390"/>
      <c r="D5209" s="398"/>
      <c r="E5209" s="390"/>
      <c r="F5209" s="391"/>
      <c r="G5209" s="390"/>
      <c r="H5209" s="394"/>
    </row>
    <row r="5210" spans="1:8" ht="15.75" customHeight="1" x14ac:dyDescent="0.25">
      <c r="A5210" s="447"/>
      <c r="B5210" s="390"/>
      <c r="C5210" s="390"/>
      <c r="D5210" s="391"/>
      <c r="E5210" s="390"/>
      <c r="F5210" s="391"/>
      <c r="G5210" s="390"/>
      <c r="H5210" s="394"/>
    </row>
    <row r="5211" spans="1:8" ht="15.75" customHeight="1" x14ac:dyDescent="0.25">
      <c r="A5211" s="390" t="s">
        <v>30</v>
      </c>
      <c r="B5211" s="390"/>
      <c r="C5211" s="390"/>
      <c r="D5211" s="391"/>
      <c r="E5211" s="390"/>
      <c r="F5211" s="391"/>
      <c r="G5211" s="390"/>
      <c r="H5211" s="394"/>
    </row>
    <row r="5212" spans="1:8" ht="15.75" customHeight="1" x14ac:dyDescent="0.25">
      <c r="A5212" s="390"/>
      <c r="B5212" s="390"/>
      <c r="C5212" s="390"/>
      <c r="D5212" s="391"/>
      <c r="E5212" s="390"/>
      <c r="F5212" s="391"/>
      <c r="G5212" s="390"/>
      <c r="H5212" s="394"/>
    </row>
    <row r="5213" spans="1:8" ht="15.75" customHeight="1" x14ac:dyDescent="0.25">
      <c r="A5213" s="390" t="s">
        <v>31</v>
      </c>
      <c r="B5213" s="390"/>
      <c r="C5213" s="390"/>
      <c r="D5213" s="391"/>
      <c r="E5213" s="390"/>
      <c r="F5213" s="391"/>
      <c r="G5213" s="390"/>
      <c r="H5213" s="394"/>
    </row>
    <row r="5214" spans="1:8" ht="15.75" customHeight="1" x14ac:dyDescent="0.25">
      <c r="A5214" s="390" t="s">
        <v>32</v>
      </c>
      <c r="B5214" s="390"/>
      <c r="C5214" s="390"/>
      <c r="D5214" s="391"/>
      <c r="E5214" s="390"/>
      <c r="F5214" s="391"/>
      <c r="G5214" s="390"/>
      <c r="H5214" s="394"/>
    </row>
    <row r="5215" spans="1:8" ht="15.75" customHeight="1" x14ac:dyDescent="0.25">
      <c r="A5215" s="390"/>
      <c r="B5215" s="390"/>
      <c r="C5215" s="390"/>
      <c r="D5215" s="391"/>
      <c r="E5215" s="390"/>
      <c r="F5215" s="391"/>
      <c r="G5215" s="390"/>
      <c r="H5215" s="394"/>
    </row>
    <row r="5216" spans="1:8" ht="15.75" customHeight="1" x14ac:dyDescent="0.25">
      <c r="A5216" s="399" t="s">
        <v>33</v>
      </c>
      <c r="B5216" s="400" t="s">
        <v>6</v>
      </c>
      <c r="C5216" s="400"/>
      <c r="D5216" s="401" t="s">
        <v>37</v>
      </c>
      <c r="E5216" s="402" t="s">
        <v>38</v>
      </c>
      <c r="F5216" s="403" t="s">
        <v>7</v>
      </c>
      <c r="G5216" s="404" t="s">
        <v>43</v>
      </c>
      <c r="H5216" s="405" t="s">
        <v>44</v>
      </c>
    </row>
    <row r="5217" spans="1:8" ht="15.75" customHeight="1" x14ac:dyDescent="0.25">
      <c r="A5217" s="406"/>
      <c r="B5217" s="407"/>
      <c r="C5217" s="393"/>
      <c r="D5217" s="408"/>
      <c r="E5217" s="408"/>
      <c r="F5217" s="409"/>
      <c r="G5217" s="410"/>
      <c r="H5217" s="411"/>
    </row>
    <row r="5218" spans="1:8" ht="15.75" customHeight="1" x14ac:dyDescent="0.25">
      <c r="A5218" s="412"/>
      <c r="B5218" s="624" t="s">
        <v>674</v>
      </c>
      <c r="C5218" s="625"/>
      <c r="D5218" s="415"/>
      <c r="E5218" s="415"/>
      <c r="F5218" s="415"/>
      <c r="G5218" s="415"/>
      <c r="H5218" s="416"/>
    </row>
    <row r="5219" spans="1:8" ht="15.75" customHeight="1" x14ac:dyDescent="0.25">
      <c r="A5219" s="581" t="s">
        <v>55</v>
      </c>
      <c r="B5219" s="644">
        <v>405</v>
      </c>
      <c r="C5219" s="415"/>
      <c r="D5219" s="415">
        <v>5</v>
      </c>
      <c r="E5219" s="415">
        <v>1</v>
      </c>
      <c r="F5219" s="415">
        <f t="shared" ref="F5219:F5221" si="166">+E5219*D5219</f>
      </c>
      <c r="G5219" s="415">
        <v>1</v>
      </c>
      <c r="H5219" s="589">
        <f t="shared" ref="H5219:H5221" si="167">+G5219*F5219</f>
      </c>
    </row>
    <row r="5220" spans="1:8" ht="15.75" customHeight="1" x14ac:dyDescent="0.25">
      <c r="A5220" s="581" t="s">
        <v>59</v>
      </c>
      <c r="B5220" s="644" t="s">
        <v>1663</v>
      </c>
      <c r="C5220" s="418"/>
      <c r="D5220" s="415">
        <v>3</v>
      </c>
      <c r="E5220" s="415">
        <v>2</v>
      </c>
      <c r="F5220" s="415">
        <f t="shared" si="166"/>
      </c>
      <c r="G5220" s="415">
        <v>1</v>
      </c>
      <c r="H5220" s="589">
        <f t="shared" si="167"/>
      </c>
    </row>
    <row r="5221" spans="1:8" ht="15.75" customHeight="1" x14ac:dyDescent="0.25">
      <c r="A5221" s="581" t="s">
        <v>67</v>
      </c>
      <c r="B5221" s="644" t="s">
        <v>931</v>
      </c>
      <c r="C5221" s="418" t="s">
        <v>1164</v>
      </c>
      <c r="D5221" s="415">
        <v>10</v>
      </c>
      <c r="E5221" s="415">
        <v>1</v>
      </c>
      <c r="F5221" s="415">
        <f t="shared" si="166"/>
      </c>
      <c r="G5221" s="415">
        <v>1</v>
      </c>
      <c r="H5221" s="589">
        <f t="shared" si="167"/>
      </c>
    </row>
    <row r="5222" spans="1:8" ht="15.75" customHeight="1" x14ac:dyDescent="0.25">
      <c r="A5222" s="581" t="s">
        <v>485</v>
      </c>
      <c r="B5222" s="699" t="s">
        <v>1447</v>
      </c>
      <c r="C5222" s="700"/>
      <c r="D5222" s="415">
        <v>1</v>
      </c>
      <c r="E5222" s="415">
        <v>10</v>
      </c>
      <c r="F5222" s="415">
        <v>10</v>
      </c>
      <c r="G5222" s="579" t="s">
        <v>1435</v>
      </c>
      <c r="H5222" s="589"/>
    </row>
    <row r="5223" spans="1:8" ht="15.75" customHeight="1" x14ac:dyDescent="0.25">
      <c r="A5223" s="581"/>
      <c r="B5223" s="624" t="s">
        <v>74</v>
      </c>
      <c r="C5223" s="625"/>
      <c r="D5223" s="415"/>
      <c r="E5223" s="415"/>
      <c r="F5223" s="578"/>
      <c r="G5223" s="415"/>
      <c r="H5223" s="589"/>
    </row>
    <row r="5224" spans="1:8" ht="15.75" customHeight="1" x14ac:dyDescent="0.25">
      <c r="A5224" s="581" t="s">
        <v>486</v>
      </c>
      <c r="B5224" s="644" t="s">
        <v>125</v>
      </c>
      <c r="C5224" s="418"/>
      <c r="D5224" s="415">
        <v>2</v>
      </c>
      <c r="E5224" s="415">
        <v>5</v>
      </c>
      <c r="F5224" s="415">
        <f t="shared" ref="F5224:F5225" si="168">+E5224*D5224</f>
      </c>
      <c r="G5224" s="415">
        <v>1</v>
      </c>
      <c r="H5224" s="589">
        <f>+G5224*F5224</f>
      </c>
    </row>
    <row r="5225" spans="1:8" ht="15.75" customHeight="1" x14ac:dyDescent="0.25">
      <c r="A5225" s="581" t="s">
        <v>489</v>
      </c>
      <c r="B5225" s="644" t="s">
        <v>1664</v>
      </c>
      <c r="C5225" s="418"/>
      <c r="D5225" s="415">
        <v>3</v>
      </c>
      <c r="E5225" s="415">
        <v>10</v>
      </c>
      <c r="F5225" s="415">
        <f t="shared" si="168"/>
      </c>
      <c r="G5225" s="579" t="s">
        <v>1774</v>
      </c>
      <c r="H5225" s="589"/>
    </row>
    <row r="5226" spans="1:8" ht="15.75" customHeight="1" x14ac:dyDescent="0.25">
      <c r="A5226" s="581"/>
      <c r="B5226" s="624" t="s">
        <v>50</v>
      </c>
      <c r="C5226" s="625"/>
      <c r="D5226" s="415"/>
      <c r="E5226" s="415"/>
      <c r="F5226" s="415"/>
      <c r="G5226" s="415"/>
      <c r="H5226" s="589"/>
    </row>
    <row r="5227" spans="1:8" ht="15.75" customHeight="1" x14ac:dyDescent="0.25">
      <c r="A5227" s="581" t="s">
        <v>490</v>
      </c>
      <c r="B5227" s="644" t="s">
        <v>63</v>
      </c>
      <c r="C5227" s="418" t="s">
        <v>429</v>
      </c>
      <c r="D5227" s="415">
        <v>1</v>
      </c>
      <c r="E5227" s="415">
        <v>20</v>
      </c>
      <c r="F5227" s="415">
        <v>20</v>
      </c>
      <c r="G5227" s="415">
        <v>1</v>
      </c>
      <c r="H5227" s="589">
        <f>+G5227*F5227</f>
      </c>
    </row>
    <row r="5228" spans="1:8" ht="15.75" customHeight="1" x14ac:dyDescent="0.25">
      <c r="A5228" s="581"/>
      <c r="B5228" s="644"/>
      <c r="C5228" s="418"/>
      <c r="D5228" s="415"/>
      <c r="E5228" s="415"/>
      <c r="F5228" s="578"/>
      <c r="G5228" s="415"/>
      <c r="H5228" s="589"/>
    </row>
    <row r="5229" spans="1:8" ht="15.75" customHeight="1" x14ac:dyDescent="0.25">
      <c r="A5229" s="581"/>
      <c r="B5229" s="624" t="s">
        <v>1637</v>
      </c>
      <c r="C5229" s="625"/>
      <c r="D5229" s="415"/>
      <c r="E5229" s="415"/>
      <c r="F5229" s="578"/>
      <c r="G5229" s="415"/>
      <c r="H5229" s="589"/>
    </row>
    <row r="5230" spans="1:8" ht="15.75" customHeight="1" x14ac:dyDescent="0.25">
      <c r="A5230" s="412" t="s">
        <v>781</v>
      </c>
      <c r="B5230" s="417" t="s">
        <v>1665</v>
      </c>
      <c r="C5230" s="418" t="s">
        <v>94</v>
      </c>
      <c r="D5230" s="415">
        <v>2</v>
      </c>
      <c r="E5230" s="415">
        <v>1</v>
      </c>
      <c r="F5230" s="415">
        <f t="shared" ref="F5230:F5232" si="169">+E5230*D5230</f>
      </c>
      <c r="G5230" s="579" t="s">
        <v>1637</v>
      </c>
      <c r="H5230" s="416"/>
    </row>
    <row r="5231" spans="1:8" ht="15.75" customHeight="1" x14ac:dyDescent="0.25">
      <c r="A5231" s="412" t="s">
        <v>785</v>
      </c>
      <c r="B5231" s="417" t="s">
        <v>1666</v>
      </c>
      <c r="C5231" s="418" t="s">
        <v>388</v>
      </c>
      <c r="D5231" s="415">
        <v>1</v>
      </c>
      <c r="E5231" s="415">
        <v>1</v>
      </c>
      <c r="F5231" s="415">
        <f t="shared" si="169"/>
      </c>
      <c r="G5231" s="579" t="s">
        <v>1637</v>
      </c>
      <c r="H5231" s="416"/>
    </row>
    <row r="5232" spans="1:8" ht="15.75" customHeight="1" x14ac:dyDescent="0.25">
      <c r="A5232" s="412" t="s">
        <v>787</v>
      </c>
      <c r="B5232" s="417" t="s">
        <v>1667</v>
      </c>
      <c r="C5232" s="418" t="s">
        <v>365</v>
      </c>
      <c r="D5232" s="415">
        <v>1</v>
      </c>
      <c r="E5232" s="415">
        <v>1</v>
      </c>
      <c r="F5232" s="415">
        <f t="shared" si="169"/>
      </c>
      <c r="G5232" s="579" t="s">
        <v>1637</v>
      </c>
      <c r="H5232" s="416"/>
    </row>
    <row r="5233" spans="1:8" ht="15.75" customHeight="1" x14ac:dyDescent="0.25">
      <c r="A5233" s="412"/>
      <c r="B5233" s="417"/>
      <c r="C5233" s="418"/>
      <c r="D5233" s="415"/>
      <c r="E5233" s="415"/>
      <c r="F5233" s="415"/>
      <c r="G5233" s="579"/>
      <c r="H5233" s="416"/>
    </row>
    <row r="5234" spans="1:8" ht="15.75" customHeight="1" x14ac:dyDescent="0.25">
      <c r="A5234" s="430"/>
      <c r="B5234" s="409"/>
      <c r="C5234" s="393"/>
      <c r="D5234" s="427"/>
      <c r="E5234" s="427"/>
      <c r="F5234" s="428"/>
      <c r="G5234" s="431"/>
      <c r="H5234" s="429"/>
    </row>
    <row r="5235" spans="1:8" ht="15.75" customHeight="1" x14ac:dyDescent="0.25">
      <c r="A5235" s="432"/>
      <c r="B5235" s="433"/>
      <c r="C5235" s="434" t="s">
        <v>85</v>
      </c>
      <c r="D5235" s="435">
        <f>SUM(D5219:D5234)</f>
      </c>
      <c r="E5235" s="435"/>
      <c r="F5235" s="435"/>
      <c r="G5235" s="652"/>
      <c r="H5235" s="653">
        <f>SUM(H5219:H5234)</f>
      </c>
    </row>
    <row r="5236" spans="1:8" ht="15.75" customHeight="1" x14ac:dyDescent="0.25">
      <c r="A5236" s="439"/>
      <c r="B5236" s="440"/>
      <c r="C5236" s="440"/>
      <c r="D5236" s="441"/>
      <c r="E5236" s="440"/>
      <c r="F5236" s="442"/>
      <c r="G5236" s="443"/>
      <c r="H5236" s="444"/>
    </row>
    <row r="5237" spans="1:8" ht="15.75" customHeight="1" x14ac:dyDescent="0.25">
      <c r="A5237" s="392"/>
      <c r="B5237" s="391"/>
      <c r="C5237" s="391"/>
      <c r="D5237" s="391"/>
      <c r="E5237" s="390"/>
      <c r="F5237" s="392"/>
      <c r="G5237" s="390"/>
      <c r="H5237" s="394"/>
    </row>
    <row r="5238" spans="1:8" ht="15.75" customHeight="1" x14ac:dyDescent="0.25">
      <c r="A5238" s="445"/>
      <c r="B5238" s="445"/>
      <c r="C5238" s="445"/>
      <c r="D5238" s="446" t="s">
        <v>97</v>
      </c>
      <c r="E5238" s="445" t="s">
        <v>98</v>
      </c>
      <c r="F5238" s="445"/>
      <c r="G5238" s="390"/>
      <c r="H5238" s="394"/>
    </row>
    <row r="5239" spans="1:8" ht="15.75" customHeight="1" x14ac:dyDescent="0.25">
      <c r="A5239" s="390"/>
      <c r="B5239" s="390"/>
      <c r="C5239" s="390"/>
      <c r="D5239" s="391"/>
      <c r="E5239" s="390"/>
      <c r="F5239" s="390"/>
      <c r="G5239" s="390"/>
      <c r="H5239" s="394"/>
    </row>
    <row r="5240" spans="1:8" ht="15.75" customHeight="1" x14ac:dyDescent="0.25">
      <c r="A5240" s="390"/>
      <c r="B5240" s="390"/>
      <c r="C5240" s="390"/>
      <c r="D5240" s="391"/>
      <c r="E5240" s="390"/>
      <c r="F5240" s="390"/>
      <c r="G5240" s="390"/>
      <c r="H5240" s="394"/>
    </row>
    <row r="5241" spans="1:8" ht="15.75" customHeight="1" x14ac:dyDescent="0.25">
      <c r="A5241" s="445"/>
      <c r="B5241" s="445"/>
      <c r="C5241" s="445"/>
      <c r="D5241" s="446"/>
      <c r="E5241" s="445" t="s">
        <v>99</v>
      </c>
      <c r="F5241" s="445"/>
      <c r="G5241" s="390"/>
      <c r="H5241" s="394"/>
    </row>
    <row r="5242" spans="1:8" ht="15.75" customHeight="1" x14ac:dyDescent="0.25">
      <c r="D5242" s="4"/>
      <c r="H5242" s="4"/>
    </row>
    <row r="5243" spans="1:8" ht="15.75" customHeight="1" x14ac:dyDescent="0.25">
      <c r="D5243" s="4"/>
      <c r="H5243" s="4"/>
    </row>
    <row r="5244" spans="1:8" ht="15.75" customHeight="1" x14ac:dyDescent="0.25">
      <c r="D5244" s="4"/>
      <c r="H5244" s="4"/>
    </row>
    <row r="5245" spans="1:8" ht="15.75" customHeight="1" x14ac:dyDescent="0.25">
      <c r="A5245" s="398" t="s">
        <v>14</v>
      </c>
      <c r="B5245" s="398"/>
      <c r="C5245" s="398"/>
      <c r="D5245" s="398"/>
      <c r="E5245" s="398"/>
      <c r="F5245" s="398"/>
      <c r="G5245" s="398"/>
      <c r="H5245" s="398"/>
    </row>
    <row r="5246" spans="1:8" ht="15.75" customHeight="1" x14ac:dyDescent="0.25">
      <c r="A5246" s="390"/>
      <c r="B5246" s="390"/>
      <c r="C5246" s="390"/>
      <c r="D5246" s="391"/>
      <c r="E5246" s="390"/>
      <c r="F5246" s="390"/>
      <c r="G5246" s="390"/>
      <c r="H5246" s="398"/>
    </row>
    <row r="5247" spans="1:8" ht="15.75" customHeight="1" x14ac:dyDescent="0.25">
      <c r="A5247" s="390"/>
      <c r="B5247" s="390"/>
      <c r="C5247" s="391"/>
      <c r="D5247" s="392"/>
      <c r="E5247" s="393"/>
      <c r="F5247" s="393"/>
      <c r="G5247" s="393"/>
      <c r="H5247" s="394"/>
    </row>
    <row r="5248" spans="1:8" ht="15.75" customHeight="1" x14ac:dyDescent="0.25">
      <c r="A5248" s="390" t="s">
        <v>20</v>
      </c>
      <c r="B5248" s="390"/>
      <c r="C5248" s="390"/>
      <c r="D5248" s="391"/>
      <c r="E5248" s="390"/>
      <c r="F5248" s="395" t="s">
        <v>18</v>
      </c>
      <c r="G5248" s="396" t="s">
        <v>783</v>
      </c>
      <c r="H5248" s="397"/>
    </row>
    <row r="5249" spans="1:8" ht="15.75" customHeight="1" x14ac:dyDescent="0.25">
      <c r="A5249" s="390" t="inlineStr">
        <is>
          <t>Dealer-009</t>
        </is>
      </c>
      <c r="B5249" s="390"/>
      <c r="C5249" s="390" t="inlineStr">
        <is>
          <t>ATTN: Contact-001</t>
        </is>
      </c>
      <c r="D5249" s="391"/>
      <c r="E5249" s="390"/>
      <c r="F5249" s="395" t="s">
        <v>21</v>
      </c>
      <c r="G5249" s="390" t="s">
        <v>1427</v>
      </c>
      <c r="H5249" s="391"/>
    </row>
    <row r="5250" spans="1:8" ht="15.75" customHeight="1" x14ac:dyDescent="0.25">
      <c r="A5250" s="390" t="inlineStr">
        <is>
          <t>Address line (redacted)</t>
        </is>
      </c>
      <c r="B5250" s="390"/>
      <c r="C5250" s="390"/>
      <c r="D5250" s="391"/>
      <c r="E5250" s="395"/>
      <c r="F5250" s="390"/>
      <c r="G5250" s="390"/>
      <c r="H5250" s="394"/>
    </row>
    <row r="5251" spans="1:8" ht="15.75" customHeight="1" x14ac:dyDescent="0.25">
      <c r="A5251" s="390" t="inlineStr">
        <is>
          <t>Address line (redacted)</t>
        </is>
      </c>
      <c r="B5251" s="390"/>
      <c r="C5251" s="390"/>
      <c r="D5251" s="398"/>
      <c r="E5251" s="390"/>
      <c r="F5251" s="391"/>
      <c r="G5251" s="390"/>
      <c r="H5251" s="394"/>
    </row>
    <row r="5252" spans="1:8" ht="15.75" customHeight="1" x14ac:dyDescent="0.25">
      <c r="D5252" s="398"/>
      <c r="E5252" s="390"/>
      <c r="F5252" s="391"/>
      <c r="G5252" s="390"/>
      <c r="H5252" s="394"/>
    </row>
    <row r="5253" spans="1:8" ht="15.75" customHeight="1" x14ac:dyDescent="0.25">
      <c r="A5253" s="390" t="s">
        <v>30</v>
      </c>
      <c r="B5253" s="390"/>
      <c r="C5253" s="390"/>
      <c r="D5253" s="391"/>
      <c r="E5253" s="390"/>
      <c r="F5253" s="391"/>
      <c r="G5253" s="390"/>
      <c r="H5253" s="394"/>
    </row>
    <row r="5254" spans="1:8" ht="15.75" customHeight="1" x14ac:dyDescent="0.25">
      <c r="A5254" s="390"/>
      <c r="B5254" s="390"/>
      <c r="C5254" s="390"/>
      <c r="D5254" s="391"/>
      <c r="E5254" s="390"/>
      <c r="F5254" s="391"/>
      <c r="G5254" s="390"/>
      <c r="H5254" s="394"/>
    </row>
    <row r="5255" spans="1:8" ht="15.75" customHeight="1" x14ac:dyDescent="0.25">
      <c r="A5255" s="390" t="s">
        <v>716</v>
      </c>
      <c r="B5255" s="390"/>
      <c r="C5255" s="390"/>
      <c r="D5255" s="391"/>
      <c r="E5255" s="390"/>
      <c r="F5255" s="391"/>
      <c r="G5255" s="390"/>
      <c r="H5255" s="394"/>
    </row>
    <row r="5256" spans="1:8" ht="15.75" customHeight="1" x14ac:dyDescent="0.25">
      <c r="A5256" s="390" t="s">
        <v>717</v>
      </c>
      <c r="B5256" s="390"/>
      <c r="C5256" s="390"/>
      <c r="D5256" s="391"/>
      <c r="E5256" s="390"/>
      <c r="F5256" s="391"/>
      <c r="G5256" s="390"/>
      <c r="H5256" s="394"/>
    </row>
    <row r="5257" spans="1:8" ht="15.75" customHeight="1" x14ac:dyDescent="0.25">
      <c r="A5257" s="390"/>
      <c r="B5257" s="390"/>
      <c r="C5257" s="390"/>
      <c r="D5257" s="391"/>
      <c r="E5257" s="390"/>
      <c r="F5257" s="391"/>
      <c r="G5257" s="390"/>
      <c r="H5257" s="394"/>
    </row>
    <row r="5258" spans="1:8" ht="15.75" customHeight="1" x14ac:dyDescent="0.25">
      <c r="A5258" s="399" t="s">
        <v>33</v>
      </c>
      <c r="B5258" s="400" t="s">
        <v>6</v>
      </c>
      <c r="C5258" s="400"/>
      <c r="D5258" s="401" t="s">
        <v>37</v>
      </c>
      <c r="E5258" s="402" t="s">
        <v>38</v>
      </c>
      <c r="F5258" s="403" t="s">
        <v>7</v>
      </c>
      <c r="G5258" s="404" t="s">
        <v>43</v>
      </c>
      <c r="H5258" s="405" t="s">
        <v>44</v>
      </c>
    </row>
    <row r="5259" spans="1:8" ht="15.75" customHeight="1" x14ac:dyDescent="0.25">
      <c r="A5259" s="406"/>
      <c r="B5259" s="407"/>
      <c r="C5259" s="393"/>
      <c r="D5259" s="408"/>
      <c r="E5259" s="408"/>
      <c r="F5259" s="409"/>
      <c r="G5259" s="410"/>
      <c r="H5259" s="411"/>
    </row>
    <row r="5260" spans="1:8" ht="15.75" customHeight="1" x14ac:dyDescent="0.25">
      <c r="A5260" s="412"/>
      <c r="B5260" s="624" t="s">
        <v>674</v>
      </c>
      <c r="C5260" s="625"/>
      <c r="D5260" s="415"/>
      <c r="E5260" s="415"/>
      <c r="F5260" s="415"/>
      <c r="G5260" s="415"/>
      <c r="H5260" s="416"/>
    </row>
    <row r="5261" spans="1:8" ht="15.75" customHeight="1" x14ac:dyDescent="0.25">
      <c r="A5261" s="412" t="s">
        <v>55</v>
      </c>
      <c r="B5261" s="699" t="s">
        <v>1076</v>
      </c>
      <c r="C5261" s="700" t="s">
        <v>1164</v>
      </c>
      <c r="D5261" s="415">
        <v>10</v>
      </c>
      <c r="E5261" s="415">
        <v>1</v>
      </c>
      <c r="F5261" s="415">
        <v>10</v>
      </c>
      <c r="G5261" s="415">
        <v>1</v>
      </c>
      <c r="H5261" s="589">
        <f>+G5261*F5261</f>
      </c>
    </row>
    <row r="5262" spans="1:8" ht="15.75" customHeight="1" x14ac:dyDescent="0.25">
      <c r="A5262" s="412"/>
      <c r="B5262" s="624" t="s">
        <v>1668</v>
      </c>
      <c r="C5262" s="625"/>
      <c r="D5262" s="415"/>
      <c r="E5262" s="415"/>
      <c r="F5262" s="415"/>
      <c r="G5262" s="415"/>
      <c r="H5262" s="589"/>
    </row>
    <row r="5263" spans="1:8" ht="15.75" customHeight="1" x14ac:dyDescent="0.25">
      <c r="A5263" s="412" t="s">
        <v>59</v>
      </c>
      <c r="B5263" s="644" t="s">
        <v>1669</v>
      </c>
      <c r="C5263" s="418"/>
      <c r="D5263" s="415">
        <v>4</v>
      </c>
      <c r="E5263" s="415">
        <v>10</v>
      </c>
      <c r="F5263" s="415">
        <f>+E5263*D5263</f>
      </c>
      <c r="G5263" s="415">
        <v>1</v>
      </c>
      <c r="H5263" s="589">
        <f>+G5263*F5263</f>
      </c>
    </row>
    <row r="5264" spans="1:8" ht="15.75" customHeight="1" x14ac:dyDescent="0.25">
      <c r="A5264" s="412"/>
      <c r="B5264" s="624" t="s">
        <v>590</v>
      </c>
      <c r="C5264" s="625"/>
      <c r="D5264" s="415"/>
      <c r="E5264" s="415"/>
      <c r="F5264" s="415"/>
      <c r="G5264" s="415"/>
      <c r="H5264" s="589"/>
    </row>
    <row r="5265" spans="1:8" ht="15.75" customHeight="1" x14ac:dyDescent="0.25">
      <c r="A5265" s="412" t="s">
        <v>67</v>
      </c>
      <c r="B5265" s="644" t="s">
        <v>138</v>
      </c>
      <c r="C5265" s="418" t="s">
        <v>384</v>
      </c>
      <c r="D5265" s="415">
        <v>2</v>
      </c>
      <c r="E5265" s="415">
        <v>6</v>
      </c>
      <c r="F5265" s="415">
        <f>+E5265*D5265</f>
      </c>
      <c r="G5265" s="415">
        <v>1</v>
      </c>
      <c r="H5265" s="589">
        <f>+G5265*F5265</f>
      </c>
    </row>
    <row r="5266" spans="1:8" ht="15.75" customHeight="1" x14ac:dyDescent="0.25">
      <c r="A5266" s="502"/>
      <c r="B5266" s="503"/>
      <c r="C5266" s="390"/>
      <c r="D5266" s="427"/>
      <c r="E5266" s="427"/>
      <c r="F5266" s="391"/>
      <c r="G5266" s="427"/>
      <c r="H5266" s="429"/>
    </row>
    <row r="5267" spans="1:8" ht="15.75" customHeight="1" x14ac:dyDescent="0.25">
      <c r="A5267" s="432"/>
      <c r="B5267" s="433"/>
      <c r="C5267" s="434" t="s">
        <v>85</v>
      </c>
      <c r="D5267" s="435">
        <f>SUM(D5260:D5266)</f>
      </c>
      <c r="E5267" s="435"/>
      <c r="F5267" s="436"/>
      <c r="G5267" s="437"/>
      <c r="H5267" s="438">
        <f>SUM(H5260:H5266)</f>
      </c>
    </row>
    <row r="5268" spans="1:8" ht="15.75" customHeight="1" x14ac:dyDescent="0.25">
      <c r="A5268" s="439"/>
      <c r="B5268" s="440"/>
      <c r="C5268" s="440"/>
      <c r="D5268" s="441"/>
      <c r="E5268" s="440"/>
      <c r="F5268" s="442"/>
      <c r="G5268" s="443"/>
      <c r="H5268" s="444"/>
    </row>
    <row r="5269" spans="1:8" ht="15.75" customHeight="1" x14ac:dyDescent="0.25">
      <c r="A5269" s="565" t="s">
        <v>1215</v>
      </c>
      <c r="B5269" s="565"/>
      <c r="C5269" s="565"/>
      <c r="D5269" s="565"/>
      <c r="E5269" s="565"/>
      <c r="F5269" s="565"/>
      <c r="G5269" s="565"/>
      <c r="H5269" s="565"/>
    </row>
    <row r="5270" spans="1:8" ht="15.75" customHeight="1" x14ac:dyDescent="0.25">
      <c r="A5270" s="445"/>
      <c r="B5270" s="445"/>
      <c r="C5270" s="445"/>
      <c r="D5270" s="446" t="s">
        <v>97</v>
      </c>
      <c r="E5270" s="445" t="s">
        <v>98</v>
      </c>
      <c r="F5270" s="445"/>
      <c r="G5270" s="390"/>
      <c r="H5270" s="394"/>
    </row>
    <row r="5271" spans="1:8" ht="15.75" customHeight="1" x14ac:dyDescent="0.25">
      <c r="A5271" s="390"/>
      <c r="B5271" s="390"/>
      <c r="C5271" s="390"/>
      <c r="D5271" s="391"/>
      <c r="E5271" s="390"/>
      <c r="F5271" s="390"/>
      <c r="G5271" s="390"/>
      <c r="H5271" s="394"/>
    </row>
    <row r="5272" spans="1:8" ht="15.75" customHeight="1" x14ac:dyDescent="0.25">
      <c r="A5272" s="390"/>
      <c r="B5272" s="390"/>
      <c r="C5272" s="390"/>
      <c r="D5272" s="391"/>
      <c r="E5272" s="390"/>
      <c r="F5272" s="390"/>
      <c r="G5272" s="390"/>
      <c r="H5272" s="394"/>
    </row>
    <row r="5273" spans="1:8" ht="15.75" customHeight="1" x14ac:dyDescent="0.25">
      <c r="A5273" s="445"/>
      <c r="B5273" s="445"/>
      <c r="C5273" s="445"/>
      <c r="D5273" s="446"/>
      <c r="E5273" s="445" t="s">
        <v>99</v>
      </c>
      <c r="F5273" s="445"/>
      <c r="G5273" s="390"/>
      <c r="H5273" s="394"/>
    </row>
    <row r="5274" spans="1:8" ht="15.75" customHeight="1" x14ac:dyDescent="0.25">
      <c r="D5274" s="4"/>
      <c r="H5274" s="4"/>
    </row>
    <row r="5275" spans="1:8" ht="15.75" customHeight="1" x14ac:dyDescent="0.25">
      <c r="D5275" s="4"/>
      <c r="H5275" s="4"/>
    </row>
    <row r="5276" spans="1:8" ht="15.75" customHeight="1" x14ac:dyDescent="0.25">
      <c r="D5276" s="4"/>
      <c r="H5276" s="4"/>
    </row>
    <row r="5277" spans="1:8" ht="15.75" customHeight="1" x14ac:dyDescent="0.25">
      <c r="D5277" s="4"/>
      <c r="H5277" s="4"/>
    </row>
    <row r="5278" spans="1:8" ht="15.75" customHeight="1" x14ac:dyDescent="0.25">
      <c r="D5278" s="4"/>
      <c r="H5278" s="4"/>
    </row>
    <row r="5279" spans="1:8" ht="15.75" customHeight="1" x14ac:dyDescent="0.25">
      <c r="D5279" s="4"/>
      <c r="H5279" s="4"/>
    </row>
    <row r="5280" spans="1:8" ht="15.75" customHeight="1" x14ac:dyDescent="0.25">
      <c r="D5280" s="4"/>
      <c r="H5280" s="4"/>
    </row>
    <row r="5281" spans="1:8" ht="15.75" customHeight="1" x14ac:dyDescent="0.25">
      <c r="D5281" s="4"/>
      <c r="H5281" s="4"/>
    </row>
    <row r="5282" spans="1:8" ht="15.75" customHeight="1" x14ac:dyDescent="0.25">
      <c r="D5282" s="4"/>
      <c r="H5282" s="4"/>
    </row>
    <row r="5283" spans="1:8" ht="15.75" customHeight="1" x14ac:dyDescent="0.25">
      <c r="D5283" s="4"/>
      <c r="H5283" s="4"/>
    </row>
    <row r="5284" spans="1:8" ht="15.75" customHeight="1" x14ac:dyDescent="0.25">
      <c r="D5284" s="4"/>
      <c r="H5284" s="4"/>
    </row>
    <row r="5285" spans="1:8" ht="15.75" customHeight="1" x14ac:dyDescent="0.25">
      <c r="D5285" s="4"/>
      <c r="H5285" s="4"/>
    </row>
    <row r="5286" spans="1:8" ht="15.75" customHeight="1" x14ac:dyDescent="0.25">
      <c r="D5286" s="4"/>
      <c r="H5286" s="4"/>
    </row>
    <row r="5287" spans="1:8" ht="15.75" customHeight="1" x14ac:dyDescent="0.25">
      <c r="D5287" s="4"/>
      <c r="H5287" s="4"/>
    </row>
    <row r="5288" spans="1:8" ht="15.75" customHeight="1" x14ac:dyDescent="0.25">
      <c r="D5288" s="4"/>
      <c r="H5288" s="4"/>
    </row>
    <row r="5289" spans="1:8" ht="15.75" customHeight="1" x14ac:dyDescent="0.25">
      <c r="D5289" s="4"/>
      <c r="H5289" s="4"/>
    </row>
    <row r="5290" spans="1:8" ht="15.75" customHeight="1" x14ac:dyDescent="0.25">
      <c r="D5290" s="4"/>
      <c r="H5290" s="4"/>
    </row>
    <row r="5291" spans="1:8" ht="15.75" customHeight="1" x14ac:dyDescent="0.25">
      <c r="A5291" s="398" t="s">
        <v>14</v>
      </c>
      <c r="B5291" s="391"/>
      <c r="C5291" s="391"/>
      <c r="D5291" s="391"/>
      <c r="E5291" s="391"/>
      <c r="F5291" s="391"/>
      <c r="G5291" s="391"/>
      <c r="H5291" s="394"/>
    </row>
    <row r="5292" spans="1:8" ht="15.75" customHeight="1" x14ac:dyDescent="0.25">
      <c r="A5292" s="390"/>
      <c r="B5292" s="390"/>
      <c r="C5292" s="390"/>
      <c r="D5292" s="392"/>
      <c r="E5292" s="569"/>
      <c r="F5292" s="391"/>
      <c r="G5292" s="390"/>
      <c r="H5292" s="394"/>
    </row>
    <row r="5293" spans="1:8" ht="15.75" customHeight="1" x14ac:dyDescent="0.25">
      <c r="A5293" s="390"/>
      <c r="B5293" s="390"/>
      <c r="C5293" s="393"/>
      <c r="D5293" s="398"/>
      <c r="E5293" s="393"/>
      <c r="F5293" s="395" t="s">
        <v>18</v>
      </c>
      <c r="G5293" s="390" t="s">
        <v>794</v>
      </c>
      <c r="H5293" s="394"/>
    </row>
    <row r="5294" spans="1:8" ht="15.75" customHeight="1" x14ac:dyDescent="0.25">
      <c r="A5294" s="390"/>
      <c r="B5294" s="390"/>
      <c r="C5294" s="390"/>
      <c r="D5294" s="391"/>
      <c r="E5294" s="390"/>
      <c r="F5294" s="393" t="s">
        <v>21</v>
      </c>
      <c r="G5294" s="390" t="s">
        <v>1670</v>
      </c>
      <c r="H5294" s="394"/>
    </row>
    <row r="5295" spans="1:8" ht="15.75" customHeight="1" x14ac:dyDescent="0.25">
      <c r="A5295" s="390" t="s">
        <v>20</v>
      </c>
      <c r="B5295" s="390"/>
      <c r="C5295" s="390"/>
      <c r="D5295" s="391"/>
      <c r="E5295" s="390"/>
      <c r="F5295" s="391"/>
      <c r="G5295" s="390"/>
      <c r="H5295" s="394"/>
    </row>
    <row r="5296" spans="1:8" ht="15.75" customHeight="1" x14ac:dyDescent="0.25">
      <c r="A5296" s="390" t="inlineStr">
        <is>
          <t>Dealer-003</t>
        </is>
      </c>
      <c r="B5296" s="390"/>
      <c r="C5296" s="398"/>
      <c r="D5296" s="391"/>
      <c r="E5296" s="390"/>
      <c r="F5296" s="391"/>
      <c r="G5296" s="390"/>
      <c r="H5296" s="394"/>
    </row>
    <row r="5297" spans="1:8" ht="15.75" customHeight="1" x14ac:dyDescent="0.25">
      <c r="A5297" s="390" t="inlineStr">
        <is>
          <t>Address line (redacted)</t>
        </is>
      </c>
      <c r="B5297" s="390"/>
      <c r="C5297" s="390"/>
      <c r="D5297" s="391"/>
      <c r="E5297" s="390"/>
      <c r="F5297" s="391"/>
      <c r="G5297" s="390"/>
      <c r="H5297" s="394"/>
    </row>
    <row r="5298" spans="1:8" ht="15.75" customHeight="1" x14ac:dyDescent="0.25">
      <c r="A5298" s="390" t="inlineStr">
        <is>
          <t>Address line (redacted)</t>
        </is>
      </c>
      <c r="B5298" s="390"/>
      <c r="C5298" s="390"/>
      <c r="D5298" s="391"/>
      <c r="E5298" s="390"/>
      <c r="F5298" s="391"/>
      <c r="G5298" s="390"/>
      <c r="H5298" s="394"/>
    </row>
    <row r="5299" spans="1:8" ht="15.75" customHeight="1" x14ac:dyDescent="0.25">
      <c r="A5299" s="390"/>
      <c r="B5299" s="390"/>
      <c r="C5299" s="390"/>
      <c r="D5299" s="391"/>
      <c r="E5299" s="390"/>
      <c r="F5299" s="391"/>
      <c r="G5299" s="390"/>
      <c r="H5299" s="394"/>
    </row>
    <row r="5300" spans="1:8" ht="15.75" customHeight="1" x14ac:dyDescent="0.25">
      <c r="A5300" s="390" t="s">
        <v>30</v>
      </c>
      <c r="B5300" s="390"/>
      <c r="C5300" s="390"/>
      <c r="D5300" s="391"/>
      <c r="E5300" s="390"/>
      <c r="F5300" s="391"/>
      <c r="G5300" s="390"/>
      <c r="H5300" s="394"/>
    </row>
    <row r="5301" spans="1:8" ht="15.75" customHeight="1" x14ac:dyDescent="0.25">
      <c r="A5301" s="390"/>
      <c r="B5301" s="390"/>
      <c r="C5301" s="390"/>
      <c r="D5301" s="391"/>
      <c r="E5301" s="390"/>
      <c r="F5301" s="391"/>
      <c r="G5301" s="390"/>
      <c r="H5301" s="394"/>
    </row>
    <row r="5302" spans="1:8" ht="15.75" customHeight="1" x14ac:dyDescent="0.25">
      <c r="A5302" s="390" t="s">
        <v>1322</v>
      </c>
      <c r="B5302" s="390"/>
      <c r="C5302" s="390"/>
      <c r="D5302" s="391"/>
      <c r="E5302" s="390"/>
      <c r="F5302" s="391"/>
      <c r="G5302" s="390"/>
      <c r="H5302" s="394"/>
    </row>
    <row r="5303" spans="1:8" ht="15.75" customHeight="1" x14ac:dyDescent="0.25">
      <c r="A5303" s="390" t="s">
        <v>1328</v>
      </c>
      <c r="B5303" s="390"/>
      <c r="C5303" s="390"/>
      <c r="D5303" s="391"/>
      <c r="E5303" s="390"/>
      <c r="F5303" s="391"/>
      <c r="G5303" s="390"/>
      <c r="H5303" s="394"/>
    </row>
    <row r="5304" spans="1:8" ht="15.75" customHeight="1" x14ac:dyDescent="0.25">
      <c r="A5304" s="390"/>
      <c r="B5304" s="390"/>
      <c r="C5304" s="390"/>
      <c r="D5304" s="391"/>
      <c r="E5304" s="390"/>
      <c r="F5304" s="391"/>
      <c r="G5304" s="390"/>
      <c r="H5304" s="394"/>
    </row>
    <row r="5305" spans="1:8" ht="15.75" customHeight="1" x14ac:dyDescent="0.25">
      <c r="A5305" s="399" t="s">
        <v>33</v>
      </c>
      <c r="B5305" s="400" t="s">
        <v>6</v>
      </c>
      <c r="C5305" s="400"/>
      <c r="D5305" s="401" t="s">
        <v>37</v>
      </c>
      <c r="E5305" s="402" t="s">
        <v>38</v>
      </c>
      <c r="F5305" s="403" t="s">
        <v>7</v>
      </c>
      <c r="G5305" s="404" t="s">
        <v>43</v>
      </c>
      <c r="H5305" s="405" t="s">
        <v>44</v>
      </c>
    </row>
    <row r="5306" spans="1:8" ht="15.75" customHeight="1" x14ac:dyDescent="0.25">
      <c r="A5306" s="406"/>
      <c r="B5306" s="407"/>
      <c r="C5306" s="393"/>
      <c r="D5306" s="410"/>
      <c r="E5306" s="408"/>
      <c r="F5306" s="409"/>
      <c r="G5306" s="410"/>
      <c r="H5306" s="411"/>
    </row>
    <row r="5307" spans="1:8" ht="15.75" customHeight="1" x14ac:dyDescent="0.25">
      <c r="A5307" s="656"/>
      <c r="B5307" s="578" t="s">
        <v>674</v>
      </c>
      <c r="C5307" s="578"/>
      <c r="D5307" s="415"/>
      <c r="E5307" s="415"/>
      <c r="F5307" s="415"/>
      <c r="G5307" s="415"/>
      <c r="H5307" s="416"/>
    </row>
    <row r="5308" spans="1:8" ht="15.75" customHeight="1" x14ac:dyDescent="0.25">
      <c r="A5308" s="656" t="s">
        <v>55</v>
      </c>
      <c r="B5308" s="644" t="s">
        <v>239</v>
      </c>
      <c r="C5308" s="418"/>
      <c r="D5308" s="415">
        <v>8</v>
      </c>
      <c r="E5308" s="415">
        <v>2</v>
      </c>
      <c r="F5308" s="415">
        <f>+E5308*D5308</f>
      </c>
      <c r="G5308" s="415">
        <v>1</v>
      </c>
      <c r="H5308" s="416">
        <f>+G5308*F5308</f>
      </c>
    </row>
    <row r="5309" spans="1:8" ht="15.75" customHeight="1" x14ac:dyDescent="0.25">
      <c r="A5309" s="656"/>
      <c r="B5309" s="578" t="s">
        <v>50</v>
      </c>
      <c r="C5309" s="578"/>
      <c r="D5309" s="415"/>
      <c r="E5309" s="415"/>
      <c r="F5309" s="415"/>
      <c r="G5309" s="415"/>
      <c r="H5309" s="416"/>
    </row>
    <row r="5310" spans="1:8" ht="15.75" customHeight="1" x14ac:dyDescent="0.25">
      <c r="A5310" s="656" t="s">
        <v>59</v>
      </c>
      <c r="B5310" s="644" t="s">
        <v>63</v>
      </c>
      <c r="C5310" s="418" t="s">
        <v>429</v>
      </c>
      <c r="D5310" s="415">
        <v>1</v>
      </c>
      <c r="E5310" s="415">
        <v>20</v>
      </c>
      <c r="F5310" s="415">
        <f>+E5310*D5310</f>
      </c>
      <c r="G5310" s="415">
        <v>1</v>
      </c>
      <c r="H5310" s="416">
        <f t="shared" ref="H5310:H5311" si="170">+G5310*F5310</f>
      </c>
    </row>
    <row r="5311" spans="1:8" ht="15.75" customHeight="1" x14ac:dyDescent="0.25">
      <c r="A5311" s="656" t="s">
        <v>67</v>
      </c>
      <c r="B5311" s="644" t="s">
        <v>226</v>
      </c>
      <c r="C5311" s="418" t="s">
        <v>427</v>
      </c>
      <c r="D5311" s="415">
        <v>2</v>
      </c>
      <c r="E5311" s="415">
        <v>25</v>
      </c>
      <c r="F5311" s="415">
        <v>48</v>
      </c>
      <c r="G5311" s="415">
        <v>1</v>
      </c>
      <c r="H5311" s="416">
        <f t="shared" si="170"/>
      </c>
    </row>
    <row r="5312" spans="1:8" ht="15.75" customHeight="1" x14ac:dyDescent="0.25">
      <c r="A5312" s="656"/>
      <c r="B5312" s="644"/>
      <c r="C5312" s="418"/>
      <c r="D5312" s="415"/>
      <c r="E5312" s="415"/>
      <c r="F5312" s="415"/>
      <c r="G5312" s="415"/>
      <c r="H5312" s="416"/>
    </row>
    <row r="5313" spans="1:8" ht="15.75" customHeight="1" x14ac:dyDescent="0.25">
      <c r="A5313" s="702" t="s">
        <v>485</v>
      </c>
      <c r="B5313" s="703" t="s">
        <v>1802</v>
      </c>
      <c r="C5313" s="704" t="s">
        <v>1672</v>
      </c>
      <c r="D5313" s="619">
        <v>2</v>
      </c>
      <c r="E5313" s="619">
        <v>6</v>
      </c>
      <c r="F5313" s="619">
        <v>12</v>
      </c>
      <c r="G5313" s="705" t="s">
        <v>1637</v>
      </c>
      <c r="H5313" s="706"/>
    </row>
    <row r="5314" spans="1:8" ht="15.75" customHeight="1" x14ac:dyDescent="0.25">
      <c r="A5314" s="629"/>
      <c r="B5314" s="448"/>
      <c r="C5314" s="390"/>
      <c r="D5314" s="427"/>
      <c r="E5314" s="427"/>
      <c r="F5314" s="428"/>
      <c r="G5314" s="427"/>
      <c r="H5314" s="429"/>
    </row>
    <row r="5315" spans="1:8" ht="15.75" customHeight="1" x14ac:dyDescent="0.25">
      <c r="A5315" s="629"/>
      <c r="B5315" s="448"/>
      <c r="C5315" s="390"/>
      <c r="D5315" s="427"/>
      <c r="E5315" s="427"/>
      <c r="F5315" s="428"/>
      <c r="G5315" s="427"/>
      <c r="H5315" s="429"/>
    </row>
    <row r="5316" spans="1:8" ht="15.75" customHeight="1" x14ac:dyDescent="0.25">
      <c r="A5316" s="430"/>
      <c r="B5316" s="409"/>
      <c r="C5316" s="393"/>
      <c r="D5316" s="427"/>
      <c r="E5316" s="427"/>
      <c r="F5316" s="428"/>
      <c r="G5316" s="431"/>
      <c r="H5316" s="429"/>
    </row>
    <row r="5317" spans="1:8" ht="15.75" customHeight="1" x14ac:dyDescent="0.25">
      <c r="A5317" s="432"/>
      <c r="B5317" s="433"/>
      <c r="C5317" s="434" t="s">
        <v>85</v>
      </c>
      <c r="D5317" s="436">
        <f>SUM(D5307:D5316)</f>
      </c>
      <c r="E5317" s="436"/>
      <c r="F5317" s="436"/>
      <c r="G5317" s="437"/>
      <c r="H5317" s="623">
        <f>SUM(H5308:H5316)</f>
      </c>
    </row>
    <row r="5318" spans="1:8" ht="15.75" customHeight="1" x14ac:dyDescent="0.25">
      <c r="A5318" s="439"/>
      <c r="B5318" s="440"/>
      <c r="C5318" s="440"/>
      <c r="D5318" s="441"/>
      <c r="E5318" s="440"/>
      <c r="F5318" s="442"/>
      <c r="G5318" s="443"/>
      <c r="H5318" s="444"/>
    </row>
    <row r="5319" spans="1:8" ht="15.75" customHeight="1" x14ac:dyDescent="0.25">
      <c r="A5319" s="392"/>
      <c r="B5319" s="391"/>
      <c r="C5319" s="391"/>
      <c r="D5319" s="391"/>
      <c r="E5319" s="390"/>
      <c r="F5319" s="392"/>
      <c r="G5319" s="390"/>
      <c r="H5319" s="394"/>
    </row>
    <row r="5320" spans="1:8" ht="15.75" customHeight="1" x14ac:dyDescent="0.25">
      <c r="A5320" s="445"/>
      <c r="B5320" s="445"/>
      <c r="C5320" s="445"/>
      <c r="D5320" s="446" t="s">
        <v>97</v>
      </c>
      <c r="E5320" s="445" t="s">
        <v>98</v>
      </c>
      <c r="F5320" s="445"/>
      <c r="G5320" s="390"/>
      <c r="H5320" s="394"/>
    </row>
    <row r="5321" spans="1:8" ht="15.75" customHeight="1" x14ac:dyDescent="0.25">
      <c r="A5321" s="390"/>
      <c r="B5321" s="390"/>
      <c r="C5321" s="390"/>
      <c r="D5321" s="391"/>
      <c r="E5321" s="390"/>
      <c r="F5321" s="390"/>
      <c r="G5321" s="390"/>
      <c r="H5321" s="394"/>
    </row>
    <row r="5322" spans="1:8" ht="15.75" customHeight="1" x14ac:dyDescent="0.25">
      <c r="A5322" s="390"/>
      <c r="B5322" s="390"/>
      <c r="C5322" s="390"/>
      <c r="D5322" s="391"/>
      <c r="E5322" s="390"/>
      <c r="F5322" s="390"/>
      <c r="G5322" s="390"/>
      <c r="H5322" s="394"/>
    </row>
    <row r="5323" spans="1:8" ht="15.75" customHeight="1" x14ac:dyDescent="0.25">
      <c r="A5323" s="445"/>
      <c r="B5323" s="445"/>
      <c r="C5323" s="445"/>
      <c r="D5323" s="446"/>
      <c r="E5323" s="445" t="s">
        <v>99</v>
      </c>
      <c r="F5323" s="445"/>
      <c r="G5323" s="390"/>
      <c r="H5323" s="394"/>
    </row>
    <row r="5324" spans="1:8" ht="15.75" customHeight="1" x14ac:dyDescent="0.25">
      <c r="D5324" s="4"/>
      <c r="H5324" s="4"/>
    </row>
    <row r="5325" spans="1:8" ht="15.75" customHeight="1" x14ac:dyDescent="0.25">
      <c r="D5325" s="4"/>
      <c r="H5325" s="4"/>
    </row>
    <row r="5326" spans="1:8" ht="15.75" customHeight="1" x14ac:dyDescent="0.25">
      <c r="D5326" s="4"/>
      <c r="H5326" s="4"/>
    </row>
    <row r="5327" spans="1:8" ht="15.75" customHeight="1" x14ac:dyDescent="0.25">
      <c r="D5327" s="4"/>
      <c r="H5327" s="4"/>
    </row>
    <row r="5328" spans="1:8" ht="15.75" customHeight="1" x14ac:dyDescent="0.25">
      <c r="D5328" s="4"/>
      <c r="H5328" s="4"/>
    </row>
    <row r="5329" spans="1:8" ht="15.75" customHeight="1" x14ac:dyDescent="0.25">
      <c r="D5329" s="4"/>
      <c r="H5329" s="4"/>
    </row>
    <row r="5330" spans="1:8" ht="15.75" customHeight="1" x14ac:dyDescent="0.25">
      <c r="D5330" s="4"/>
      <c r="H5330" s="4"/>
    </row>
    <row r="5331" spans="1:8" ht="15.75" customHeight="1" x14ac:dyDescent="0.25">
      <c r="D5331" s="4"/>
      <c r="H5331" s="4"/>
    </row>
    <row r="5332" spans="1:8" ht="15.75" customHeight="1" x14ac:dyDescent="0.25">
      <c r="D5332" s="4"/>
      <c r="H5332" s="4"/>
    </row>
    <row r="5333" spans="1:8" ht="15.75" customHeight="1" x14ac:dyDescent="0.25">
      <c r="D5333" s="4"/>
      <c r="H5333" s="4"/>
    </row>
    <row r="5334" spans="1:8" ht="15.75" customHeight="1" x14ac:dyDescent="0.25">
      <c r="D5334" s="4"/>
      <c r="H5334" s="4"/>
    </row>
    <row r="5335" spans="1:8" ht="15.75" customHeight="1" x14ac:dyDescent="0.25">
      <c r="D5335" s="4"/>
      <c r="H5335" s="4"/>
    </row>
    <row r="5336" spans="1:8" ht="15.75" customHeight="1" x14ac:dyDescent="0.25">
      <c r="D5336" s="4"/>
      <c r="H5336" s="4"/>
    </row>
    <row r="5337" spans="1:8" ht="15.75" customHeight="1" x14ac:dyDescent="0.25">
      <c r="A5337" s="398" t="s">
        <v>14</v>
      </c>
      <c r="B5337" s="391"/>
      <c r="C5337" s="391"/>
      <c r="D5337" s="391"/>
      <c r="E5337" s="391"/>
      <c r="F5337" s="391"/>
      <c r="G5337" s="391"/>
      <c r="H5337" s="394"/>
    </row>
    <row r="5338" spans="1:8" ht="15.75" customHeight="1" x14ac:dyDescent="0.25">
      <c r="A5338" s="390"/>
      <c r="B5338" s="390"/>
      <c r="C5338" s="390"/>
      <c r="D5338" s="392"/>
      <c r="E5338" s="569"/>
      <c r="F5338" s="391"/>
      <c r="G5338" s="390"/>
      <c r="H5338" s="394"/>
    </row>
    <row r="5339" spans="1:8" ht="15.75" customHeight="1" x14ac:dyDescent="0.25">
      <c r="A5339" s="390"/>
      <c r="B5339" s="390"/>
      <c r="C5339" s="393"/>
      <c r="D5339" s="398"/>
      <c r="E5339" s="393"/>
      <c r="F5339" s="395" t="s">
        <v>18</v>
      </c>
      <c r="G5339" s="390" t="s">
        <v>1673</v>
      </c>
      <c r="H5339" s="394"/>
    </row>
    <row r="5340" spans="1:8" ht="15.75" customHeight="1" x14ac:dyDescent="0.25">
      <c r="A5340" s="390"/>
      <c r="B5340" s="390"/>
      <c r="C5340" s="390"/>
      <c r="D5340" s="391"/>
      <c r="E5340" s="390"/>
      <c r="F5340" s="393" t="s">
        <v>21</v>
      </c>
      <c r="G5340" s="390" t="s">
        <v>1674</v>
      </c>
      <c r="H5340" s="394"/>
    </row>
    <row r="5341" spans="1:8" ht="15.75" customHeight="1" x14ac:dyDescent="0.25">
      <c r="A5341" s="390" t="s">
        <v>20</v>
      </c>
      <c r="B5341" s="390"/>
      <c r="C5341" s="390"/>
      <c r="D5341" s="391"/>
      <c r="E5341" s="390"/>
      <c r="F5341" s="391"/>
      <c r="G5341" s="390"/>
      <c r="H5341" s="394"/>
    </row>
    <row r="5342" spans="1:8" ht="15.75" customHeight="1" x14ac:dyDescent="0.25">
      <c r="A5342" s="390" t="inlineStr">
        <is>
          <t>Dealer-003</t>
        </is>
      </c>
      <c r="B5342" s="390"/>
      <c r="C5342" s="398"/>
      <c r="D5342" s="391"/>
      <c r="E5342" s="390"/>
      <c r="F5342" s="391"/>
      <c r="G5342" s="390"/>
      <c r="H5342" s="394"/>
    </row>
    <row r="5343" spans="1:8" ht="15.75" customHeight="1" x14ac:dyDescent="0.25">
      <c r="A5343" s="390" t="inlineStr">
        <is>
          <t>Address line (redacted)</t>
        </is>
      </c>
      <c r="B5343" s="390"/>
      <c r="C5343" s="390"/>
      <c r="D5343" s="391"/>
      <c r="E5343" s="390"/>
      <c r="F5343" s="391"/>
      <c r="G5343" s="390"/>
      <c r="H5343" s="394"/>
    </row>
    <row r="5344" spans="1:8" ht="15.75" customHeight="1" x14ac:dyDescent="0.25">
      <c r="A5344" s="390" t="inlineStr">
        <is>
          <t>Address line (redacted)</t>
        </is>
      </c>
      <c r="B5344" s="390"/>
      <c r="C5344" s="390"/>
      <c r="D5344" s="391"/>
      <c r="E5344" s="390"/>
      <c r="F5344" s="391"/>
      <c r="G5344" s="390"/>
      <c r="H5344" s="394"/>
    </row>
    <row r="5345" spans="1:8" ht="15.75" customHeight="1" x14ac:dyDescent="0.25">
      <c r="A5345" s="390"/>
      <c r="B5345" s="390"/>
      <c r="C5345" s="390"/>
      <c r="D5345" s="391"/>
      <c r="E5345" s="390"/>
      <c r="F5345" s="391"/>
      <c r="G5345" s="390"/>
      <c r="H5345" s="394"/>
    </row>
    <row r="5346" spans="1:8" ht="15.75" customHeight="1" x14ac:dyDescent="0.25">
      <c r="A5346" s="390" t="s">
        <v>30</v>
      </c>
      <c r="B5346" s="390"/>
      <c r="C5346" s="390"/>
      <c r="D5346" s="391"/>
      <c r="E5346" s="390"/>
      <c r="F5346" s="391"/>
      <c r="G5346" s="390"/>
      <c r="H5346" s="394"/>
    </row>
    <row r="5347" spans="1:8" ht="15.75" customHeight="1" x14ac:dyDescent="0.25">
      <c r="A5347" s="390"/>
      <c r="B5347" s="390"/>
      <c r="C5347" s="390"/>
      <c r="D5347" s="391"/>
      <c r="E5347" s="390"/>
      <c r="F5347" s="391"/>
      <c r="G5347" s="390"/>
      <c r="H5347" s="394"/>
    </row>
    <row r="5348" spans="1:8" ht="15.75" customHeight="1" x14ac:dyDescent="0.25">
      <c r="A5348" s="390" t="s">
        <v>1322</v>
      </c>
      <c r="B5348" s="390"/>
      <c r="C5348" s="390"/>
      <c r="D5348" s="391"/>
      <c r="E5348" s="390"/>
      <c r="F5348" s="391"/>
      <c r="G5348" s="390"/>
      <c r="H5348" s="394"/>
    </row>
    <row r="5349" spans="1:8" ht="15.75" customHeight="1" x14ac:dyDescent="0.25">
      <c r="A5349" s="390" t="s">
        <v>1328</v>
      </c>
      <c r="B5349" s="390"/>
      <c r="C5349" s="390"/>
      <c r="D5349" s="391"/>
      <c r="E5349" s="390"/>
      <c r="F5349" s="391"/>
      <c r="G5349" s="390"/>
      <c r="H5349" s="394"/>
    </row>
    <row r="5350" spans="1:8" ht="15.75" customHeight="1" x14ac:dyDescent="0.25">
      <c r="A5350" s="390"/>
      <c r="B5350" s="390"/>
      <c r="C5350" s="390"/>
      <c r="D5350" s="391"/>
      <c r="E5350" s="390"/>
      <c r="F5350" s="391"/>
      <c r="G5350" s="390"/>
      <c r="H5350" s="394"/>
    </row>
    <row r="5351" spans="1:8" ht="15.75" customHeight="1" x14ac:dyDescent="0.25">
      <c r="A5351" s="399" t="s">
        <v>33</v>
      </c>
      <c r="B5351" s="400" t="s">
        <v>6</v>
      </c>
      <c r="C5351" s="400"/>
      <c r="D5351" s="401" t="s">
        <v>37</v>
      </c>
      <c r="E5351" s="402" t="s">
        <v>38</v>
      </c>
      <c r="F5351" s="403" t="s">
        <v>7</v>
      </c>
      <c r="G5351" s="404" t="s">
        <v>43</v>
      </c>
      <c r="H5351" s="405" t="s">
        <v>44</v>
      </c>
    </row>
    <row r="5352" spans="1:8" ht="15.75" customHeight="1" x14ac:dyDescent="0.25">
      <c r="A5352" s="406"/>
      <c r="B5352" s="407"/>
      <c r="C5352" s="393"/>
      <c r="D5352" s="410"/>
      <c r="E5352" s="408"/>
      <c r="F5352" s="409"/>
      <c r="G5352" s="410"/>
      <c r="H5352" s="411"/>
    </row>
    <row r="5353" spans="1:8" ht="15.75" customHeight="1" x14ac:dyDescent="0.25">
      <c r="A5353" s="656"/>
      <c r="B5353" s="707" t="s">
        <v>1675</v>
      </c>
      <c r="C5353" s="707"/>
      <c r="D5353" s="415"/>
      <c r="E5353" s="415"/>
      <c r="F5353" s="415"/>
      <c r="G5353" s="415"/>
      <c r="H5353" s="416"/>
    </row>
    <row r="5354" spans="1:8" ht="15.75" customHeight="1" x14ac:dyDescent="0.25">
      <c r="A5354" s="656" t="s">
        <v>55</v>
      </c>
      <c r="B5354" s="644" t="s">
        <v>190</v>
      </c>
      <c r="C5354" s="418"/>
      <c r="D5354" s="415">
        <v>1</v>
      </c>
      <c r="E5354" s="415">
        <v>1</v>
      </c>
      <c r="F5354" s="415">
        <f t="shared" ref="F5354:F5355" si="171">+E5354*D5354</f>
      </c>
      <c r="G5354" s="579" t="s">
        <v>1818</v>
      </c>
      <c r="H5354" s="416"/>
    </row>
    <row r="5355" spans="1:8" ht="15.75" customHeight="1" x14ac:dyDescent="0.25">
      <c r="A5355" s="656" t="s">
        <v>59</v>
      </c>
      <c r="B5355" s="644" t="s">
        <v>146</v>
      </c>
      <c r="C5355" s="418"/>
      <c r="D5355" s="415">
        <v>1</v>
      </c>
      <c r="E5355" s="415">
        <v>1</v>
      </c>
      <c r="F5355" s="415">
        <f t="shared" si="171"/>
      </c>
      <c r="G5355" s="579" t="s">
        <v>1818</v>
      </c>
      <c r="H5355" s="416"/>
    </row>
    <row r="5356" spans="1:8" ht="15.75" customHeight="1" x14ac:dyDescent="0.25">
      <c r="A5356" s="656"/>
      <c r="B5356" s="644"/>
      <c r="C5356" s="418"/>
      <c r="D5356" s="415"/>
      <c r="E5356" s="415"/>
      <c r="F5356" s="415"/>
      <c r="G5356" s="415"/>
      <c r="H5356" s="416"/>
    </row>
    <row r="5357" spans="1:8" ht="15.75" customHeight="1" x14ac:dyDescent="0.25">
      <c r="A5357" s="656"/>
      <c r="B5357" s="644"/>
      <c r="C5357" s="418"/>
      <c r="D5357" s="415"/>
      <c r="E5357" s="415"/>
      <c r="F5357" s="415"/>
      <c r="G5357" s="415"/>
      <c r="H5357" s="416"/>
    </row>
    <row r="5358" spans="1:8" ht="15.75" customHeight="1" x14ac:dyDescent="0.25">
      <c r="A5358" s="629"/>
      <c r="B5358" s="448"/>
      <c r="C5358" s="390"/>
      <c r="D5358" s="427"/>
      <c r="E5358" s="427"/>
      <c r="F5358" s="428"/>
      <c r="G5358" s="427"/>
      <c r="H5358" s="429"/>
    </row>
    <row r="5359" spans="1:8" ht="15.75" customHeight="1" x14ac:dyDescent="0.25">
      <c r="A5359" s="629"/>
      <c r="B5359" s="448"/>
      <c r="C5359" s="390"/>
      <c r="D5359" s="427"/>
      <c r="E5359" s="427"/>
      <c r="F5359" s="428"/>
      <c r="G5359" s="427"/>
      <c r="H5359" s="429"/>
    </row>
    <row r="5360" spans="1:8" ht="15.75" customHeight="1" x14ac:dyDescent="0.25">
      <c r="A5360" s="430"/>
      <c r="B5360" s="409"/>
      <c r="C5360" s="393"/>
      <c r="D5360" s="427"/>
      <c r="E5360" s="427"/>
      <c r="F5360" s="428"/>
      <c r="G5360" s="431"/>
      <c r="H5360" s="429"/>
    </row>
    <row r="5361" spans="1:8" ht="15.75" customHeight="1" x14ac:dyDescent="0.25">
      <c r="A5361" s="432"/>
      <c r="B5361" s="433"/>
      <c r="C5361" s="434" t="s">
        <v>85</v>
      </c>
      <c r="D5361" s="436">
        <f t="shared" ref="D5361:F5361" si="172">SUM(D5353:D5360)</f>
      </c>
      <c r="E5361" s="436">
        <f t="shared" si="172"/>
      </c>
      <c r="F5361" s="436">
        <f t="shared" si="172"/>
      </c>
      <c r="G5361" s="437"/>
      <c r="H5361" s="623">
        <f>SUM(H5354:H5360)</f>
      </c>
    </row>
    <row r="5362" spans="1:8" ht="15.75" customHeight="1" x14ac:dyDescent="0.25">
      <c r="A5362" s="439"/>
      <c r="B5362" s="440"/>
      <c r="C5362" s="440"/>
      <c r="D5362" s="441"/>
      <c r="E5362" s="440"/>
      <c r="F5362" s="442"/>
      <c r="G5362" s="443"/>
      <c r="H5362" s="444"/>
    </row>
    <row r="5363" spans="1:8" ht="15.75" customHeight="1" x14ac:dyDescent="0.25">
      <c r="A5363" s="392"/>
      <c r="B5363" s="391"/>
      <c r="C5363" s="391"/>
      <c r="D5363" s="391"/>
      <c r="E5363" s="390"/>
      <c r="F5363" s="392"/>
      <c r="G5363" s="390"/>
      <c r="H5363" s="394"/>
    </row>
    <row r="5364" spans="1:8" ht="15.75" customHeight="1" x14ac:dyDescent="0.25">
      <c r="A5364" s="445"/>
      <c r="B5364" s="445"/>
      <c r="C5364" s="445"/>
      <c r="D5364" s="446" t="s">
        <v>97</v>
      </c>
      <c r="E5364" s="445" t="s">
        <v>98</v>
      </c>
      <c r="F5364" s="445"/>
      <c r="G5364" s="390"/>
      <c r="H5364" s="394"/>
    </row>
    <row r="5365" spans="1:8" ht="15.75" customHeight="1" x14ac:dyDescent="0.25">
      <c r="A5365" s="390"/>
      <c r="B5365" s="390"/>
      <c r="C5365" s="390"/>
      <c r="D5365" s="391"/>
      <c r="E5365" s="390"/>
      <c r="F5365" s="390"/>
      <c r="G5365" s="390"/>
      <c r="H5365" s="394"/>
    </row>
    <row r="5366" spans="1:8" ht="15.75" customHeight="1" x14ac:dyDescent="0.25">
      <c r="A5366" s="390"/>
      <c r="B5366" s="390"/>
      <c r="C5366" s="390"/>
      <c r="D5366" s="391"/>
      <c r="E5366" s="390"/>
      <c r="F5366" s="390"/>
      <c r="G5366" s="390"/>
      <c r="H5366" s="394"/>
    </row>
    <row r="5367" spans="1:8" ht="15.75" customHeight="1" x14ac:dyDescent="0.25">
      <c r="A5367" s="445"/>
      <c r="B5367" s="445"/>
      <c r="C5367" s="445"/>
      <c r="D5367" s="446"/>
      <c r="E5367" s="445" t="s">
        <v>99</v>
      </c>
      <c r="F5367" s="445"/>
      <c r="G5367" s="390"/>
      <c r="H5367" s="394"/>
    </row>
    <row r="5368" spans="1:8" ht="15.75" customHeight="1" x14ac:dyDescent="0.25">
      <c r="D5368" s="4"/>
      <c r="H5368" s="4"/>
    </row>
    <row r="5369" spans="1:8" ht="15.75" customHeight="1" x14ac:dyDescent="0.25">
      <c r="D5369" s="4"/>
      <c r="H5369" s="4"/>
    </row>
    <row r="5370" spans="1:8" ht="15.75" customHeight="1" x14ac:dyDescent="0.25">
      <c r="D5370" s="4"/>
      <c r="H5370" s="4"/>
    </row>
    <row r="5371" spans="1:8" ht="15.75" customHeight="1" x14ac:dyDescent="0.25">
      <c r="D5371" s="4"/>
      <c r="H5371" s="4"/>
    </row>
    <row r="5372" spans="1:8" ht="15.75" customHeight="1" x14ac:dyDescent="0.25">
      <c r="D5372" s="4"/>
      <c r="H5372" s="4"/>
    </row>
    <row r="5373" spans="1:8" ht="15.75" customHeight="1" x14ac:dyDescent="0.25">
      <c r="D5373" s="4"/>
      <c r="H5373" s="4"/>
    </row>
    <row r="5374" spans="1:8" ht="15.75" customHeight="1" x14ac:dyDescent="0.25">
      <c r="D5374" s="4"/>
      <c r="H5374" s="4"/>
    </row>
    <row r="5375" spans="1:8" ht="15.75" customHeight="1" x14ac:dyDescent="0.25">
      <c r="D5375" s="4"/>
      <c r="H5375" s="4"/>
    </row>
    <row r="5376" spans="1:8" ht="15.75" customHeight="1" x14ac:dyDescent="0.25">
      <c r="D5376" s="4"/>
      <c r="H5376" s="4"/>
    </row>
    <row r="5377" spans="1:8" ht="15.75" customHeight="1" x14ac:dyDescent="0.25">
      <c r="D5377" s="4"/>
      <c r="H5377" s="4"/>
    </row>
    <row r="5378" spans="1:8" ht="15.75" customHeight="1" x14ac:dyDescent="0.25">
      <c r="D5378" s="4"/>
      <c r="H5378" s="4"/>
    </row>
    <row r="5379" spans="1:8" ht="15.75" customHeight="1" x14ac:dyDescent="0.25">
      <c r="D5379" s="4"/>
      <c r="H5379" s="4"/>
    </row>
    <row r="5380" spans="1:8" ht="15.75" customHeight="1" x14ac:dyDescent="0.25">
      <c r="D5380" s="4"/>
      <c r="H5380" s="4"/>
    </row>
    <row r="5381" spans="1:8" ht="15.75" customHeight="1" x14ac:dyDescent="0.25">
      <c r="D5381" s="4"/>
      <c r="H5381" s="4"/>
    </row>
    <row r="5382" spans="1:8" ht="15.75" customHeight="1" x14ac:dyDescent="0.25">
      <c r="D5382" s="4"/>
      <c r="H5382" s="4"/>
    </row>
    <row r="5383" spans="1:8" ht="15.75" customHeight="1" x14ac:dyDescent="0.25">
      <c r="D5383" s="4"/>
      <c r="H5383" s="4"/>
    </row>
    <row r="5384" spans="1:8" ht="15.75" customHeight="1" x14ac:dyDescent="0.25">
      <c r="D5384" s="4"/>
      <c r="H5384" s="4"/>
    </row>
    <row r="5385" spans="1:8" ht="15.75" customHeight="1" x14ac:dyDescent="0.25">
      <c r="D5385" s="4"/>
      <c r="H5385" s="4"/>
    </row>
    <row r="5386" spans="1:8" ht="15.75" customHeight="1" x14ac:dyDescent="0.25">
      <c r="D5386" s="4"/>
      <c r="H5386" s="4"/>
    </row>
    <row r="5387" spans="1:8" ht="15.75" customHeight="1" x14ac:dyDescent="0.25">
      <c r="D5387" s="4"/>
      <c r="H5387" s="4"/>
    </row>
    <row r="5388" spans="1:8" ht="15.75" customHeight="1" x14ac:dyDescent="0.25">
      <c r="D5388" s="4"/>
      <c r="H5388" s="4"/>
    </row>
    <row r="5389" spans="1:8" ht="15.75" customHeight="1" x14ac:dyDescent="0.25">
      <c r="D5389" s="4"/>
      <c r="H5389" s="4"/>
    </row>
    <row r="5390" spans="1:8" ht="15.75" customHeight="1" x14ac:dyDescent="0.25">
      <c r="D5390" s="4"/>
      <c r="H5390" s="4"/>
    </row>
    <row r="5391" spans="1:8" ht="15.75" customHeight="1" x14ac:dyDescent="0.25">
      <c r="D5391" s="4"/>
      <c r="H5391" s="4"/>
    </row>
    <row r="5392" spans="1:8" ht="15.75" customHeight="1" x14ac:dyDescent="0.25">
      <c r="A5392" s="14" t="s">
        <v>14</v>
      </c>
      <c r="B5392" s="14"/>
      <c r="C5392" s="14"/>
      <c r="D5392" s="14"/>
      <c r="E5392" s="14"/>
      <c r="F5392" s="14"/>
      <c r="G5392" s="14"/>
      <c r="H5392" s="14"/>
    </row>
    <row r="5393" spans="1:8" ht="15.75" customHeight="1" x14ac:dyDescent="0.25">
      <c r="D5393" s="4"/>
      <c r="H5393" s="8"/>
    </row>
    <row r="5394" spans="1:8" ht="15.75" customHeight="1" x14ac:dyDescent="0.25">
      <c r="A5394" s="15"/>
      <c r="B5394" s="15"/>
      <c r="C5394" s="16"/>
      <c r="D5394" s="17"/>
      <c r="E5394" s="18"/>
      <c r="F5394" s="18"/>
      <c r="G5394" s="18"/>
      <c r="H5394" s="19"/>
    </row>
    <row r="5395" spans="1:8" ht="15.75" customHeight="1" x14ac:dyDescent="0.3">
      <c r="A5395" s="25"/>
      <c r="B5395" s="25"/>
      <c r="C5395" s="25"/>
      <c r="D5395" s="26"/>
      <c r="E5395" s="25"/>
      <c r="F5395" s="22" t="s">
        <v>18</v>
      </c>
      <c r="G5395" s="23" t="s">
        <v>802</v>
      </c>
      <c r="H5395" s="24"/>
    </row>
    <row r="5396" spans="1:8" ht="15.75" customHeight="1" x14ac:dyDescent="0.3">
      <c r="A5396" s="25" t="s">
        <v>20</v>
      </c>
      <c r="B5396" s="25"/>
      <c r="C5396" s="25"/>
      <c r="D5396" s="26"/>
      <c r="E5396" s="25"/>
      <c r="F5396" s="22" t="s">
        <v>21</v>
      </c>
      <c r="G5396" s="25" t="s">
        <v>1676</v>
      </c>
      <c r="H5396" s="26"/>
    </row>
    <row r="5397" spans="1:8" ht="15.75" customHeight="1" x14ac:dyDescent="0.3">
      <c r="A5397" s="25" t="inlineStr">
        <is>
          <t>Dealer-004</t>
        </is>
      </c>
      <c r="B5397" s="25"/>
      <c r="C5397" s="25"/>
      <c r="D5397" s="109"/>
      <c r="E5397" s="25"/>
      <c r="F5397" s="26"/>
      <c r="G5397" s="25"/>
      <c r="H5397" s="106"/>
    </row>
    <row r="5398" spans="1:8" ht="15.75" customHeight="1" x14ac:dyDescent="0.3">
      <c r="A5398" s="25" t="inlineStr">
        <is>
          <t>Address line (redacted)</t>
        </is>
      </c>
      <c r="B5398" s="25"/>
      <c r="C5398" s="25"/>
      <c r="D5398" s="109"/>
      <c r="E5398" s="25"/>
      <c r="F5398" s="26"/>
      <c r="G5398" s="25"/>
      <c r="H5398" s="106"/>
    </row>
    <row r="5399" spans="1:8" ht="15.75" customHeight="1" x14ac:dyDescent="0.3">
      <c r="A5399" s="25" t="inlineStr">
        <is>
          <t>Address line (redacted)</t>
        </is>
      </c>
      <c r="B5399" s="25"/>
      <c r="C5399" s="25"/>
      <c r="D5399" s="26"/>
      <c r="E5399" s="25"/>
      <c r="F5399" s="26"/>
      <c r="G5399" s="25"/>
      <c r="H5399" s="106"/>
    </row>
    <row r="5400" spans="1:8" ht="15.75" customHeight="1" x14ac:dyDescent="0.3">
      <c r="A5400" s="25"/>
      <c r="B5400" s="25"/>
      <c r="C5400" s="25"/>
      <c r="D5400" s="26"/>
      <c r="E5400" s="25"/>
      <c r="F5400" s="26"/>
      <c r="G5400" s="25"/>
      <c r="H5400" s="106"/>
    </row>
    <row r="5401" spans="1:8" ht="15.75" customHeight="1" x14ac:dyDescent="0.3">
      <c r="A5401" s="25" t="s">
        <v>30</v>
      </c>
      <c r="B5401" s="25"/>
      <c r="C5401" s="25"/>
      <c r="D5401" s="26"/>
      <c r="E5401" s="25"/>
      <c r="F5401" s="26"/>
      <c r="G5401" s="25"/>
      <c r="H5401" s="106"/>
    </row>
    <row r="5402" spans="1:8" ht="15.75" customHeight="1" x14ac:dyDescent="0.3">
      <c r="A5402" s="25"/>
      <c r="B5402" s="25"/>
      <c r="C5402" s="25"/>
      <c r="D5402" s="26"/>
      <c r="E5402" s="25"/>
      <c r="F5402" s="26"/>
      <c r="G5402" s="25"/>
      <c r="H5402" s="106"/>
    </row>
    <row r="5403" spans="1:8" ht="15.75" customHeight="1" x14ac:dyDescent="0.3">
      <c r="A5403" s="25" t="s">
        <v>31</v>
      </c>
      <c r="B5403" s="25"/>
      <c r="C5403" s="25"/>
      <c r="D5403" s="26"/>
      <c r="E5403" s="25"/>
      <c r="F5403" s="26"/>
      <c r="G5403" s="25"/>
      <c r="H5403" s="106"/>
    </row>
    <row r="5404" spans="1:8" ht="15.75" customHeight="1" x14ac:dyDescent="0.3">
      <c r="A5404" s="25" t="s">
        <v>32</v>
      </c>
      <c r="B5404" s="25"/>
      <c r="C5404" s="25"/>
      <c r="D5404" s="26"/>
      <c r="E5404" s="25"/>
      <c r="F5404" s="26"/>
      <c r="G5404" s="25"/>
      <c r="H5404" s="106"/>
    </row>
    <row r="5405" spans="1:8" ht="15.75" customHeight="1" x14ac:dyDescent="0.3">
      <c r="A5405" s="25"/>
      <c r="B5405" s="25"/>
      <c r="C5405" s="25"/>
      <c r="D5405" s="26"/>
      <c r="E5405" s="25"/>
      <c r="F5405" s="26"/>
      <c r="G5405" s="25"/>
      <c r="H5405" s="106"/>
    </row>
    <row r="5406" spans="1:8" ht="15.75" customHeight="1" x14ac:dyDescent="0.3">
      <c r="A5406" s="118" t="s">
        <v>33</v>
      </c>
      <c r="B5406" s="121" t="s">
        <v>6</v>
      </c>
      <c r="C5406" s="121"/>
      <c r="D5406" s="123" t="s">
        <v>37</v>
      </c>
      <c r="E5406" s="125" t="s">
        <v>38</v>
      </c>
      <c r="F5406" s="127" t="s">
        <v>7</v>
      </c>
      <c r="G5406" s="129" t="s">
        <v>43</v>
      </c>
      <c r="H5406" s="130" t="s">
        <v>44</v>
      </c>
    </row>
    <row r="5407" spans="1:8" ht="15.75" customHeight="1" x14ac:dyDescent="0.3">
      <c r="A5407" s="133"/>
      <c r="B5407" s="135"/>
      <c r="C5407" s="136"/>
      <c r="D5407" s="138"/>
      <c r="E5407" s="138"/>
      <c r="F5407" s="139"/>
      <c r="G5407" s="141"/>
      <c r="H5407" s="143"/>
    </row>
    <row r="5408" spans="1:8" ht="15.75" customHeight="1" x14ac:dyDescent="0.3">
      <c r="A5408" s="145"/>
      <c r="B5408" s="147"/>
      <c r="C5408" s="148"/>
      <c r="D5408" s="149"/>
      <c r="E5408" s="149"/>
      <c r="F5408" s="26"/>
      <c r="G5408" s="149"/>
      <c r="H5408" s="151"/>
    </row>
    <row r="5409" spans="1:8" ht="15.75" customHeight="1" x14ac:dyDescent="0.3">
      <c r="A5409" s="145" t="s">
        <v>55</v>
      </c>
      <c r="B5409" s="153" t="s">
        <v>922</v>
      </c>
      <c r="C5409" s="154"/>
      <c r="D5409" s="149">
        <v>1</v>
      </c>
      <c r="E5409" s="149">
        <v>50</v>
      </c>
      <c r="F5409" s="149">
        <v>50</v>
      </c>
      <c r="G5409" s="149">
        <v>1</v>
      </c>
      <c r="H5409" s="151">
        <f>+G5409*F5409</f>
      </c>
    </row>
    <row r="5410" spans="1:8" ht="15.75" customHeight="1" x14ac:dyDescent="0.3">
      <c r="A5410" s="145"/>
      <c r="B5410" s="161"/>
      <c r="C5410" s="25"/>
      <c r="D5410" s="149"/>
      <c r="E5410" s="149"/>
      <c r="F5410" s="26"/>
      <c r="G5410" s="149"/>
      <c r="H5410" s="151"/>
    </row>
    <row r="5411" spans="1:8" ht="15.75" customHeight="1" x14ac:dyDescent="0.3">
      <c r="A5411" s="145"/>
      <c r="B5411" s="174"/>
      <c r="C5411" s="25"/>
      <c r="D5411" s="149"/>
      <c r="E5411" s="149"/>
      <c r="F5411" s="26"/>
      <c r="G5411" s="149"/>
      <c r="H5411" s="151"/>
    </row>
    <row r="5412" spans="1:8" ht="15.75" customHeight="1" x14ac:dyDescent="0.3">
      <c r="A5412" s="145"/>
      <c r="B5412" s="174"/>
      <c r="C5412" s="25"/>
      <c r="D5412" s="149"/>
      <c r="E5412" s="149"/>
      <c r="F5412" s="26"/>
      <c r="G5412" s="149"/>
      <c r="H5412" s="151"/>
    </row>
    <row r="5413" spans="1:8" ht="15.75" customHeight="1" x14ac:dyDescent="0.3">
      <c r="A5413" s="145"/>
      <c r="B5413" s="174"/>
      <c r="C5413" s="25"/>
      <c r="D5413" s="149"/>
      <c r="E5413" s="149"/>
      <c r="F5413" s="26"/>
      <c r="G5413" s="149"/>
      <c r="H5413" s="151"/>
    </row>
    <row r="5414" spans="1:8" ht="15.75" customHeight="1" x14ac:dyDescent="0.3">
      <c r="A5414" s="145"/>
      <c r="B5414" s="174"/>
      <c r="C5414" s="25"/>
      <c r="D5414" s="149"/>
      <c r="E5414" s="149"/>
      <c r="F5414" s="26"/>
      <c r="G5414" s="149"/>
      <c r="H5414" s="151"/>
    </row>
    <row r="5415" spans="1:8" ht="15.75" customHeight="1" x14ac:dyDescent="0.3">
      <c r="A5415" s="145"/>
      <c r="B5415" s="174"/>
      <c r="C5415" s="25"/>
      <c r="D5415" s="149"/>
      <c r="E5415" s="149"/>
      <c r="F5415" s="26"/>
      <c r="G5415" s="149"/>
      <c r="H5415" s="151"/>
    </row>
    <row r="5416" spans="1:8" ht="15.75" customHeight="1" x14ac:dyDescent="0.3">
      <c r="A5416" s="177"/>
      <c r="B5416" s="139"/>
      <c r="C5416" s="136"/>
      <c r="D5416" s="149"/>
      <c r="E5416" s="149"/>
      <c r="F5416" s="179"/>
      <c r="G5416" s="181"/>
      <c r="H5416" s="151"/>
    </row>
    <row r="5417" spans="1:8" ht="15.75" customHeight="1" x14ac:dyDescent="0.3">
      <c r="A5417" s="183"/>
      <c r="B5417" s="184"/>
      <c r="C5417" s="185" t="s">
        <v>85</v>
      </c>
      <c r="D5417" s="186">
        <f>SUM(D5408:D5416)</f>
      </c>
      <c r="E5417" s="186"/>
      <c r="F5417" s="187">
        <f>SUM(F5408:F5416)</f>
      </c>
      <c r="G5417" s="188"/>
      <c r="H5417" s="189">
        <f>SUM(H5409:H5416)</f>
      </c>
    </row>
    <row r="5418" spans="1:8" ht="15.75" customHeight="1" x14ac:dyDescent="0.3">
      <c r="A5418" s="190"/>
      <c r="B5418" s="191"/>
      <c r="C5418" s="191"/>
      <c r="D5418" s="192"/>
      <c r="E5418" s="191"/>
      <c r="F5418" s="193"/>
      <c r="G5418" s="194"/>
      <c r="H5418" s="195"/>
    </row>
    <row r="5419" spans="1:8" ht="15.75" customHeight="1" x14ac:dyDescent="0.3">
      <c r="A5419" s="196" t="s">
        <v>1831</v>
      </c>
      <c r="B5419" s="26"/>
      <c r="C5419" s="26"/>
      <c r="D5419" s="26"/>
      <c r="E5419" s="25"/>
      <c r="F5419" s="196"/>
      <c r="G5419" s="25"/>
      <c r="H5419" s="106"/>
    </row>
    <row r="5420" spans="1:8" ht="15.75" customHeight="1" x14ac:dyDescent="0.3">
      <c r="A5420" s="197"/>
      <c r="B5420" s="197"/>
      <c r="C5420" s="197"/>
      <c r="D5420" s="198" t="s">
        <v>97</v>
      </c>
      <c r="E5420" s="197" t="s">
        <v>98</v>
      </c>
      <c r="F5420" s="197"/>
      <c r="G5420" s="25"/>
      <c r="H5420" s="106"/>
    </row>
    <row r="5421" spans="1:8" ht="15.75" customHeight="1" x14ac:dyDescent="0.3">
      <c r="A5421" s="25"/>
      <c r="B5421" s="25"/>
      <c r="C5421" s="25"/>
      <c r="D5421" s="26"/>
      <c r="E5421" s="25"/>
      <c r="F5421" s="25"/>
      <c r="G5421" s="25"/>
      <c r="H5421" s="106"/>
    </row>
    <row r="5422" spans="1:8" ht="15.75" customHeight="1" x14ac:dyDescent="0.3">
      <c r="A5422" s="25"/>
      <c r="B5422" s="25"/>
      <c r="C5422" s="25"/>
      <c r="D5422" s="26"/>
      <c r="E5422" s="25"/>
      <c r="F5422" s="25"/>
      <c r="G5422" s="25"/>
      <c r="H5422" s="106"/>
    </row>
    <row r="5423" spans="1:8" ht="15.75" customHeight="1" x14ac:dyDescent="0.3">
      <c r="A5423" s="197"/>
      <c r="B5423" s="197"/>
      <c r="C5423" s="197"/>
      <c r="D5423" s="198"/>
      <c r="E5423" s="197" t="s">
        <v>99</v>
      </c>
      <c r="F5423" s="197"/>
      <c r="G5423" s="25"/>
      <c r="H5423" s="106"/>
    </row>
    <row r="5424" spans="1:8" ht="15.75" customHeight="1" x14ac:dyDescent="0.25">
      <c r="D5424" s="4"/>
      <c r="H5424" s="4"/>
    </row>
    <row r="5425" spans="4:8" ht="15.75" customHeight="1" x14ac:dyDescent="0.25">
      <c r="D5425" s="4"/>
      <c r="H5425" s="4"/>
    </row>
    <row r="5426" spans="4:8" ht="15.75" customHeight="1" x14ac:dyDescent="0.25">
      <c r="D5426" s="4"/>
      <c r="H5426" s="4"/>
    </row>
    <row r="5427" spans="4:8" ht="15.75" customHeight="1" x14ac:dyDescent="0.25">
      <c r="D5427" s="4"/>
      <c r="H5427" s="4"/>
    </row>
    <row r="5428" spans="4:8" ht="15.75" customHeight="1" x14ac:dyDescent="0.25">
      <c r="D5428" s="4"/>
      <c r="H5428" s="4"/>
    </row>
    <row r="5429" spans="4:8" ht="15.75" customHeight="1" x14ac:dyDescent="0.25">
      <c r="D5429" s="4"/>
      <c r="H5429" s="4"/>
    </row>
    <row r="5430" spans="4:8" ht="15.75" customHeight="1" x14ac:dyDescent="0.25">
      <c r="D5430" s="4"/>
      <c r="H5430" s="4"/>
    </row>
    <row r="5431" spans="4:8" ht="15.75" customHeight="1" x14ac:dyDescent="0.25">
      <c r="D5431" s="4"/>
      <c r="H5431" s="4"/>
    </row>
    <row r="5432" spans="4:8" ht="15.75" customHeight="1" x14ac:dyDescent="0.25">
      <c r="D5432" s="4"/>
      <c r="H5432" s="4"/>
    </row>
    <row r="5433" spans="4:8" ht="15.75" customHeight="1" x14ac:dyDescent="0.25">
      <c r="D5433" s="4"/>
      <c r="H5433" s="4"/>
    </row>
    <row r="5434" spans="4:8" ht="15.75" customHeight="1" x14ac:dyDescent="0.25">
      <c r="D5434" s="4"/>
      <c r="H5434" s="4"/>
    </row>
    <row r="5435" spans="4:8" ht="15.75" customHeight="1" x14ac:dyDescent="0.25">
      <c r="D5435" s="4"/>
      <c r="H5435" s="4"/>
    </row>
    <row r="5436" spans="4:8" ht="15.75" customHeight="1" x14ac:dyDescent="0.25">
      <c r="D5436" s="4"/>
      <c r="H5436" s="4"/>
    </row>
    <row r="5437" spans="4:8" ht="15.75" customHeight="1" x14ac:dyDescent="0.25">
      <c r="D5437" s="4"/>
      <c r="H5437" s="4"/>
    </row>
    <row r="5438" spans="4:8" ht="15.75" customHeight="1" x14ac:dyDescent="0.25">
      <c r="D5438" s="4"/>
      <c r="H5438" s="4"/>
    </row>
    <row r="5439" spans="4:8" ht="15.75" customHeight="1" x14ac:dyDescent="0.25">
      <c r="D5439" s="4"/>
      <c r="H5439" s="4"/>
    </row>
    <row r="5440" spans="4:8" ht="15.75" customHeight="1" x14ac:dyDescent="0.25">
      <c r="D5440" s="4"/>
      <c r="H5440" s="4"/>
    </row>
    <row r="5441" spans="4:8" ht="15.75" customHeight="1" x14ac:dyDescent="0.25">
      <c r="D5441" s="4"/>
      <c r="H5441" s="4"/>
    </row>
    <row r="5442" spans="4:8" ht="15.75" customHeight="1" x14ac:dyDescent="0.25">
      <c r="D5442" s="4"/>
      <c r="H5442" s="4"/>
    </row>
    <row r="5443" spans="4:8" ht="15.75" customHeight="1" x14ac:dyDescent="0.25">
      <c r="D5443" s="4"/>
      <c r="H5443" s="4"/>
    </row>
    <row r="5444" spans="4:8" ht="15.75" customHeight="1" x14ac:dyDescent="0.25">
      <c r="D5444" s="4"/>
      <c r="H5444" s="4"/>
    </row>
    <row r="5445" spans="4:8" ht="15.75" customHeight="1" x14ac:dyDescent="0.25">
      <c r="D5445" s="4"/>
      <c r="H5445" s="4"/>
    </row>
    <row r="5446" spans="4:8" ht="15.75" customHeight="1" x14ac:dyDescent="0.25">
      <c r="D5446" s="4"/>
      <c r="H5446" s="4"/>
    </row>
    <row r="5447" spans="4:8" ht="15.75" customHeight="1" x14ac:dyDescent="0.25">
      <c r="D5447" s="4"/>
      <c r="H5447" s="4"/>
    </row>
    <row r="5448" spans="4:8" ht="15.75" customHeight="1" x14ac:dyDescent="0.25">
      <c r="D5448" s="4"/>
      <c r="H5448" s="4"/>
    </row>
    <row r="5449" spans="4:8" ht="15.75" customHeight="1" x14ac:dyDescent="0.25">
      <c r="D5449" s="4"/>
      <c r="H5449" s="4"/>
    </row>
    <row r="5450" spans="4:8" ht="15.75" customHeight="1" x14ac:dyDescent="0.25">
      <c r="D5450" s="4"/>
      <c r="H5450" s="4"/>
    </row>
    <row r="5451" spans="4:8" ht="15.75" customHeight="1" x14ac:dyDescent="0.25">
      <c r="D5451" s="4"/>
      <c r="H5451" s="4"/>
    </row>
    <row r="5452" spans="4:8" ht="15.75" customHeight="1" x14ac:dyDescent="0.25">
      <c r="D5452" s="4"/>
      <c r="H5452" s="4"/>
    </row>
    <row r="5453" spans="4:8" ht="15.75" customHeight="1" x14ac:dyDescent="0.25">
      <c r="D5453" s="4"/>
      <c r="H5453" s="4"/>
    </row>
    <row r="5454" spans="4:8" ht="15.75" customHeight="1" x14ac:dyDescent="0.25">
      <c r="D5454" s="4"/>
      <c r="H5454" s="4"/>
    </row>
    <row r="5455" spans="4:8" ht="15.75" customHeight="1" x14ac:dyDescent="0.25">
      <c r="D5455" s="4"/>
      <c r="H5455" s="4"/>
    </row>
    <row r="5456" spans="4:8" ht="15.75" customHeight="1" x14ac:dyDescent="0.25">
      <c r="D5456" s="4"/>
      <c r="H5456" s="4"/>
    </row>
    <row r="5457" spans="1:8" ht="15.75" customHeight="1" x14ac:dyDescent="0.25">
      <c r="D5457" s="4"/>
      <c r="H5457" s="4"/>
    </row>
    <row r="5458" spans="1:8" ht="15.75" customHeight="1" x14ac:dyDescent="0.25">
      <c r="D5458" s="4"/>
      <c r="H5458" s="4"/>
    </row>
    <row r="5459" spans="1:8" ht="15.75" customHeight="1" x14ac:dyDescent="0.25">
      <c r="A5459" s="392" t="s">
        <v>14</v>
      </c>
      <c r="B5459" s="391"/>
      <c r="C5459" s="391"/>
      <c r="D5459" s="391"/>
      <c r="E5459" s="391"/>
      <c r="F5459" s="391"/>
      <c r="G5459" s="391"/>
      <c r="H5459" s="394"/>
    </row>
    <row r="5460" spans="1:8" ht="15.75" customHeight="1" x14ac:dyDescent="0.25">
      <c r="A5460" s="392"/>
      <c r="B5460" s="391"/>
      <c r="C5460" s="391"/>
      <c r="D5460" s="391"/>
      <c r="E5460" s="390"/>
      <c r="F5460" s="392"/>
      <c r="G5460" s="390"/>
      <c r="H5460" s="394"/>
    </row>
    <row r="5461" spans="1:8" ht="15.75" customHeight="1" x14ac:dyDescent="0.25">
      <c r="A5461" s="392"/>
      <c r="B5461" s="391"/>
      <c r="C5461" s="391"/>
      <c r="D5461" s="391"/>
      <c r="E5461" s="390"/>
      <c r="F5461" s="392"/>
      <c r="G5461" s="390"/>
      <c r="H5461" s="394"/>
    </row>
    <row r="5462" spans="1:8" ht="15.75" customHeight="1" x14ac:dyDescent="0.25">
      <c r="A5462" s="390" t="s">
        <v>20</v>
      </c>
      <c r="B5462" s="390"/>
      <c r="C5462" s="390"/>
      <c r="D5462" s="391"/>
      <c r="E5462" s="390"/>
      <c r="F5462" s="392"/>
      <c r="G5462" s="390"/>
      <c r="H5462" s="394"/>
    </row>
    <row r="5463" spans="1:8" ht="15.75" customHeight="1" x14ac:dyDescent="0.25">
      <c r="A5463" s="390" t="inlineStr">
        <is>
          <t>Dealer-013</t>
        </is>
      </c>
      <c r="B5463" s="390"/>
      <c r="C5463" s="390" t="inlineStr">
        <is>
          <t>ATTN: Contact-003</t>
        </is>
      </c>
      <c r="D5463" s="391"/>
      <c r="E5463" s="390"/>
      <c r="F5463" s="395" t="s">
        <v>18</v>
      </c>
      <c r="G5463" s="390" t="s">
        <v>802</v>
      </c>
      <c r="H5463" s="394"/>
    </row>
    <row r="5464" spans="1:8" ht="15.75" customHeight="1" x14ac:dyDescent="0.25">
      <c r="A5464" s="390" t="inlineStr">
        <is>
          <t>Address line (redacted)</t>
        </is>
      </c>
      <c r="B5464" s="390"/>
      <c r="C5464" s="390"/>
      <c r="D5464" s="391"/>
      <c r="E5464" s="390"/>
      <c r="F5464" s="393" t="s">
        <v>21</v>
      </c>
      <c r="G5464" s="390" t="s">
        <v>1677</v>
      </c>
      <c r="H5464" s="394"/>
    </row>
    <row r="5465" spans="1:8" ht="15.75" customHeight="1" x14ac:dyDescent="0.25">
      <c r="A5465" s="390" t="inlineStr">
        <is>
          <t>Address line (redacted)</t>
        </is>
      </c>
      <c r="B5465" s="390"/>
      <c r="C5465" s="390"/>
      <c r="D5465" s="391"/>
      <c r="E5465" s="390"/>
      <c r="F5465" s="391"/>
      <c r="G5465" s="390"/>
      <c r="H5465" s="394"/>
    </row>
    <row r="5466" spans="1:8" ht="15.75" customHeight="1" x14ac:dyDescent="0.25">
      <c r="A5466" s="390"/>
      <c r="B5466" s="390"/>
      <c r="C5466" s="393"/>
      <c r="D5466" s="391"/>
      <c r="E5466" s="390"/>
      <c r="F5466" s="391"/>
      <c r="G5466" s="390"/>
      <c r="H5466" s="394"/>
    </row>
    <row r="5467" spans="1:8" ht="15.75" customHeight="1" x14ac:dyDescent="0.25">
      <c r="A5467" s="390"/>
      <c r="B5467" s="390"/>
      <c r="C5467" s="390"/>
      <c r="D5467" s="391"/>
      <c r="E5467" s="390"/>
      <c r="F5467" s="391"/>
      <c r="G5467" s="390"/>
      <c r="H5467" s="394"/>
    </row>
    <row r="5468" spans="1:8" ht="15.75" customHeight="1" x14ac:dyDescent="0.25">
      <c r="A5468" s="390" t="s">
        <v>30</v>
      </c>
      <c r="B5468" s="390"/>
      <c r="C5468" s="390"/>
      <c r="D5468" s="391"/>
      <c r="E5468" s="390"/>
      <c r="F5468" s="391"/>
      <c r="G5468" s="390"/>
      <c r="H5468" s="394"/>
    </row>
    <row r="5469" spans="1:8" ht="15.75" customHeight="1" x14ac:dyDescent="0.25">
      <c r="A5469" s="390"/>
      <c r="B5469" s="390"/>
      <c r="C5469" s="390"/>
      <c r="D5469" s="391"/>
      <c r="E5469" s="390"/>
      <c r="F5469" s="391"/>
      <c r="G5469" s="390"/>
      <c r="H5469" s="394"/>
    </row>
    <row r="5470" spans="1:8" ht="15.75" customHeight="1" x14ac:dyDescent="0.25">
      <c r="A5470" s="390" t="s">
        <v>1322</v>
      </c>
      <c r="B5470" s="390"/>
      <c r="C5470" s="390"/>
      <c r="D5470" s="391"/>
      <c r="E5470" s="390"/>
      <c r="F5470" s="391"/>
      <c r="G5470" s="390"/>
      <c r="H5470" s="394"/>
    </row>
    <row r="5471" spans="1:8" ht="15.75" customHeight="1" x14ac:dyDescent="0.25">
      <c r="A5471" s="390" t="s">
        <v>1328</v>
      </c>
      <c r="B5471" s="390"/>
      <c r="C5471" s="390"/>
      <c r="D5471" s="391"/>
      <c r="E5471" s="390"/>
      <c r="F5471" s="391"/>
      <c r="G5471" s="390"/>
      <c r="H5471" s="394"/>
    </row>
    <row r="5472" spans="1:8" ht="15.75" customHeight="1" x14ac:dyDescent="0.25">
      <c r="A5472" s="390"/>
      <c r="B5472" s="390"/>
      <c r="C5472" s="390"/>
      <c r="D5472" s="391"/>
      <c r="E5472" s="390"/>
      <c r="F5472" s="391"/>
      <c r="G5472" s="390"/>
      <c r="H5472" s="394"/>
    </row>
    <row r="5473" spans="1:8" ht="15.75" customHeight="1" x14ac:dyDescent="0.25">
      <c r="A5473" s="399" t="s">
        <v>33</v>
      </c>
      <c r="B5473" s="400" t="s">
        <v>6</v>
      </c>
      <c r="C5473" s="400"/>
      <c r="D5473" s="401" t="s">
        <v>37</v>
      </c>
      <c r="E5473" s="402" t="s">
        <v>1309</v>
      </c>
      <c r="F5473" s="609" t="s">
        <v>7</v>
      </c>
      <c r="G5473" s="400" t="s">
        <v>43</v>
      </c>
      <c r="H5473" s="405" t="s">
        <v>44</v>
      </c>
    </row>
    <row r="5474" spans="1:8" ht="15.75" customHeight="1" x14ac:dyDescent="0.25">
      <c r="A5474" s="610"/>
      <c r="B5474" s="611"/>
      <c r="C5474" s="611"/>
      <c r="D5474" s="612"/>
      <c r="E5474" s="613"/>
      <c r="F5474" s="614"/>
      <c r="G5474" s="611"/>
      <c r="H5474" s="615"/>
    </row>
    <row r="5475" spans="1:8" ht="15.75" customHeight="1" x14ac:dyDescent="0.25">
      <c r="A5475" s="412"/>
      <c r="B5475" s="654" t="s">
        <v>531</v>
      </c>
      <c r="C5475" s="654"/>
      <c r="D5475" s="415"/>
      <c r="E5475" s="415"/>
      <c r="F5475" s="415"/>
      <c r="G5475" s="415"/>
      <c r="H5475" s="416"/>
    </row>
    <row r="5476" spans="1:8" ht="15.75" customHeight="1" x14ac:dyDescent="0.25">
      <c r="A5476" s="581" t="s">
        <v>55</v>
      </c>
      <c r="B5476" s="582" t="s">
        <v>1678</v>
      </c>
      <c r="C5476" s="582"/>
      <c r="D5476" s="415">
        <v>10</v>
      </c>
      <c r="E5476" s="415">
        <v>5</v>
      </c>
      <c r="F5476" s="415">
        <f>+E5476*D5476</f>
      </c>
      <c r="G5476" s="415">
        <v>1</v>
      </c>
      <c r="H5476" s="589">
        <f>+G5476*F5476</f>
      </c>
    </row>
    <row r="5477" spans="1:8" ht="15.75" customHeight="1" x14ac:dyDescent="0.25">
      <c r="A5477" s="581"/>
      <c r="B5477" s="582"/>
      <c r="C5477" s="582"/>
      <c r="D5477" s="415"/>
      <c r="E5477" s="415"/>
      <c r="F5477" s="415"/>
      <c r="G5477" s="415"/>
      <c r="H5477" s="589"/>
    </row>
    <row r="5478" spans="1:8" ht="15.75" customHeight="1" x14ac:dyDescent="0.25">
      <c r="A5478" s="430"/>
      <c r="B5478" s="409"/>
      <c r="C5478" s="393"/>
      <c r="D5478" s="427"/>
      <c r="E5478" s="427"/>
      <c r="F5478" s="428"/>
      <c r="G5478" s="427"/>
      <c r="H5478" s="429"/>
    </row>
    <row r="5479" spans="1:8" ht="15.75" customHeight="1" x14ac:dyDescent="0.25">
      <c r="A5479" s="432"/>
      <c r="B5479" s="433"/>
      <c r="C5479" s="434" t="s">
        <v>85</v>
      </c>
      <c r="D5479" s="659">
        <f>SUM(D5475:D5478)</f>
      </c>
      <c r="E5479" s="401"/>
      <c r="F5479" s="660"/>
      <c r="G5479" s="661"/>
      <c r="H5479" s="623">
        <f>SUM(H5475:H5478)</f>
      </c>
    </row>
    <row r="5480" spans="1:8" ht="15.75" customHeight="1" x14ac:dyDescent="0.25">
      <c r="A5480" s="439"/>
      <c r="B5480" s="440"/>
      <c r="C5480" s="440"/>
      <c r="D5480" s="441"/>
      <c r="E5480" s="440"/>
      <c r="F5480" s="442"/>
      <c r="G5480" s="443"/>
      <c r="H5480" s="444"/>
    </row>
    <row r="5481" spans="1:8" ht="15.75" customHeight="1" x14ac:dyDescent="0.3">
      <c r="A5481" s="196" t="s">
        <v>1831</v>
      </c>
      <c r="B5481" s="26"/>
      <c r="C5481" s="391"/>
      <c r="D5481" s="391"/>
      <c r="E5481" s="390"/>
      <c r="F5481" s="392"/>
      <c r="G5481" s="390"/>
      <c r="H5481" s="394"/>
    </row>
    <row r="5482" spans="1:8" ht="15.75" customHeight="1" x14ac:dyDescent="0.25">
      <c r="A5482" s="445"/>
      <c r="B5482" s="445"/>
      <c r="C5482" s="445"/>
      <c r="D5482" s="446" t="s">
        <v>97</v>
      </c>
      <c r="E5482" s="445" t="s">
        <v>98</v>
      </c>
      <c r="F5482" s="445"/>
      <c r="G5482" s="390"/>
      <c r="H5482" s="394"/>
    </row>
    <row r="5483" spans="1:8" ht="15.75" customHeight="1" x14ac:dyDescent="0.25">
      <c r="A5483" s="390"/>
      <c r="B5483" s="390"/>
      <c r="C5483" s="390"/>
      <c r="D5483" s="391"/>
      <c r="E5483" s="390"/>
      <c r="F5483" s="390"/>
      <c r="G5483" s="390"/>
      <c r="H5483" s="394"/>
    </row>
    <row r="5484" spans="1:8" ht="15.75" customHeight="1" x14ac:dyDescent="0.25">
      <c r="A5484" s="390"/>
      <c r="B5484" s="390"/>
      <c r="C5484" s="390"/>
      <c r="D5484" s="391"/>
      <c r="E5484" s="390"/>
      <c r="F5484" s="390"/>
      <c r="G5484" s="390"/>
      <c r="H5484" s="394"/>
    </row>
    <row r="5485" spans="1:8" ht="15.75" customHeight="1" x14ac:dyDescent="0.25">
      <c r="A5485" s="445"/>
      <c r="B5485" s="445"/>
      <c r="C5485" s="445"/>
      <c r="D5485" s="446"/>
      <c r="E5485" s="445" t="s">
        <v>99</v>
      </c>
      <c r="F5485" s="445"/>
      <c r="G5485" s="390"/>
      <c r="H5485" s="394"/>
    </row>
    <row r="5486" spans="1:8" ht="15.75" customHeight="1" x14ac:dyDescent="0.25">
      <c r="D5486" s="4"/>
      <c r="H5486" s="4"/>
    </row>
    <row r="5487" spans="1:8" ht="15.75" customHeight="1" x14ac:dyDescent="0.25">
      <c r="D5487" s="4"/>
      <c r="H5487" s="4"/>
    </row>
    <row r="5488" spans="1:8" ht="15.75" customHeight="1" x14ac:dyDescent="0.25">
      <c r="D5488" s="4"/>
      <c r="H5488" s="4"/>
    </row>
    <row r="5489" spans="4:8" ht="15.75" customHeight="1" x14ac:dyDescent="0.25">
      <c r="D5489" s="4"/>
      <c r="H5489" s="4"/>
    </row>
    <row r="5490" spans="4:8" ht="15.75" customHeight="1" x14ac:dyDescent="0.25">
      <c r="D5490" s="4"/>
      <c r="H5490" s="4"/>
    </row>
    <row r="5491" spans="4:8" ht="15.75" customHeight="1" x14ac:dyDescent="0.25">
      <c r="D5491" s="4"/>
      <c r="H5491" s="4"/>
    </row>
    <row r="5492" spans="4:8" ht="15.75" customHeight="1" x14ac:dyDescent="0.25">
      <c r="D5492" s="4"/>
      <c r="H5492" s="4"/>
    </row>
    <row r="5493" spans="4:8" ht="15.75" customHeight="1" x14ac:dyDescent="0.25">
      <c r="D5493" s="4"/>
      <c r="H5493" s="4"/>
    </row>
    <row r="5494" spans="4:8" ht="15.75" customHeight="1" x14ac:dyDescent="0.25">
      <c r="D5494" s="4"/>
      <c r="H5494" s="4"/>
    </row>
    <row r="5495" spans="4:8" ht="15.75" customHeight="1" x14ac:dyDescent="0.25">
      <c r="D5495" s="4"/>
      <c r="H5495" s="4"/>
    </row>
    <row r="5496" spans="4:8" ht="15.75" customHeight="1" x14ac:dyDescent="0.25">
      <c r="D5496" s="4"/>
      <c r="H5496" s="4"/>
    </row>
    <row r="5497" spans="4:8" ht="15.75" customHeight="1" x14ac:dyDescent="0.25">
      <c r="D5497" s="4"/>
      <c r="H5497" s="4"/>
    </row>
    <row r="5498" spans="4:8" ht="15.75" customHeight="1" x14ac:dyDescent="0.25">
      <c r="D5498" s="4"/>
      <c r="H5498" s="4"/>
    </row>
    <row r="5499" spans="4:8" ht="15.75" customHeight="1" x14ac:dyDescent="0.25">
      <c r="D5499" s="4"/>
      <c r="H5499" s="4"/>
    </row>
    <row r="5500" spans="4:8" ht="15.75" customHeight="1" x14ac:dyDescent="0.25">
      <c r="D5500" s="4"/>
      <c r="H5500" s="4"/>
    </row>
    <row r="5501" spans="4:8" ht="15.75" customHeight="1" x14ac:dyDescent="0.25">
      <c r="D5501" s="4"/>
      <c r="H5501" s="4"/>
    </row>
    <row r="5502" spans="4:8" ht="15.75" customHeight="1" x14ac:dyDescent="0.25">
      <c r="D5502" s="4"/>
      <c r="H5502" s="4"/>
    </row>
    <row r="5503" spans="4:8" ht="15.75" customHeight="1" x14ac:dyDescent="0.25">
      <c r="D5503" s="4"/>
      <c r="H5503" s="4"/>
    </row>
    <row r="5504" spans="4:8" ht="15.75" customHeight="1" x14ac:dyDescent="0.25">
      <c r="D5504" s="4"/>
      <c r="H5504" s="4"/>
    </row>
    <row r="5505" spans="1:8" ht="15.75" customHeight="1" x14ac:dyDescent="0.25">
      <c r="A5505" s="398" t="s">
        <v>14</v>
      </c>
      <c r="B5505" s="391"/>
      <c r="C5505" s="391"/>
      <c r="D5505" s="391"/>
      <c r="E5505" s="391"/>
      <c r="F5505" s="391"/>
      <c r="G5505" s="391"/>
      <c r="H5505" s="394"/>
    </row>
    <row r="5506" spans="1:8" ht="15.75" customHeight="1" x14ac:dyDescent="0.25">
      <c r="A5506" s="390"/>
      <c r="B5506" s="390"/>
      <c r="C5506" s="390"/>
      <c r="D5506" s="392"/>
      <c r="E5506" s="569"/>
      <c r="F5506" s="391"/>
      <c r="G5506" s="390"/>
      <c r="H5506" s="394"/>
    </row>
    <row r="5507" spans="1:8" ht="15.75" customHeight="1" x14ac:dyDescent="0.25">
      <c r="A5507" s="390"/>
      <c r="B5507" s="390"/>
      <c r="C5507" s="390"/>
      <c r="D5507" s="391"/>
      <c r="E5507" s="390"/>
      <c r="F5507" s="395" t="s">
        <v>18</v>
      </c>
      <c r="G5507" s="390" t="s">
        <v>802</v>
      </c>
      <c r="H5507" s="394"/>
    </row>
    <row r="5508" spans="1:8" ht="15.75" customHeight="1" x14ac:dyDescent="0.25">
      <c r="A5508" s="390"/>
      <c r="B5508" s="390"/>
      <c r="C5508" s="390"/>
      <c r="D5508" s="391"/>
      <c r="E5508" s="390"/>
      <c r="F5508" s="393" t="s">
        <v>21</v>
      </c>
      <c r="G5508" s="390" t="s">
        <v>1679</v>
      </c>
      <c r="H5508" s="394"/>
    </row>
    <row r="5509" spans="1:8" ht="15.75" customHeight="1" x14ac:dyDescent="0.25">
      <c r="A5509" s="390" t="s">
        <v>20</v>
      </c>
      <c r="B5509" s="390"/>
      <c r="C5509" s="390"/>
      <c r="D5509" s="391"/>
      <c r="E5509" s="390"/>
      <c r="F5509" s="391"/>
      <c r="G5509" s="390"/>
      <c r="H5509" s="394"/>
    </row>
    <row r="5510" spans="1:8" ht="15.75" customHeight="1" x14ac:dyDescent="0.25">
      <c r="A5510" s="390" t="inlineStr">
        <is>
          <t>Dealer-011</t>
        </is>
      </c>
      <c r="B5510" s="390"/>
      <c r="C5510" s="390" t="inlineStr">
        <is>
          <t>ATTN: Contact-002</t>
        </is>
      </c>
      <c r="D5510" s="391"/>
      <c r="E5510" s="390"/>
      <c r="F5510" s="391"/>
      <c r="G5510" s="390"/>
      <c r="H5510" s="394"/>
    </row>
    <row r="5511" spans="1:8" ht="15.75" customHeight="1" x14ac:dyDescent="0.25">
      <c r="A5511" s="390" t="inlineStr">
        <is>
          <t>Address line (redacted)</t>
        </is>
      </c>
      <c r="B5511" s="390"/>
      <c r="C5511" s="390"/>
      <c r="D5511" s="391"/>
      <c r="E5511" s="390"/>
      <c r="F5511" s="391"/>
      <c r="G5511" s="390"/>
      <c r="H5511" s="394"/>
    </row>
    <row r="5512" spans="1:8" ht="15.75" customHeight="1" x14ac:dyDescent="0.25">
      <c r="A5512" s="390" t="inlineStr">
        <is>
          <t>Address line (redacted)</t>
        </is>
      </c>
      <c r="B5512" s="390"/>
      <c r="C5512" s="390"/>
      <c r="D5512" s="391"/>
      <c r="E5512" s="390"/>
      <c r="F5512" s="391"/>
      <c r="G5512" s="390"/>
      <c r="H5512" s="394"/>
    </row>
    <row r="5513" spans="1:8" ht="15.75" customHeight="1" x14ac:dyDescent="0.25">
      <c r="A5513" s="390" t="inlineStr">
        <is>
          <t>Address line (redacted)</t>
        </is>
      </c>
      <c r="B5513" s="390"/>
      <c r="C5513" s="390"/>
      <c r="D5513" s="391"/>
      <c r="E5513" s="390"/>
      <c r="F5513" s="391"/>
      <c r="G5513" s="390"/>
      <c r="H5513" s="394"/>
    </row>
    <row r="5514" spans="1:8" ht="15.75" customHeight="1" x14ac:dyDescent="0.25">
      <c r="A5514" s="390"/>
      <c r="B5514" s="390"/>
      <c r="C5514" s="390"/>
      <c r="D5514" s="391"/>
      <c r="E5514" s="390"/>
      <c r="F5514" s="391"/>
      <c r="G5514" s="390"/>
      <c r="H5514" s="394"/>
    </row>
    <row r="5515" spans="1:8" ht="15.75" customHeight="1" x14ac:dyDescent="0.25">
      <c r="A5515" s="390"/>
      <c r="B5515" s="390"/>
      <c r="C5515" s="390"/>
      <c r="D5515" s="391"/>
      <c r="E5515" s="390"/>
      <c r="F5515" s="391"/>
      <c r="G5515" s="390"/>
      <c r="H5515" s="394"/>
    </row>
    <row r="5516" spans="1:8" ht="15.75" customHeight="1" x14ac:dyDescent="0.25">
      <c r="A5516" s="390"/>
      <c r="B5516" s="390"/>
      <c r="C5516" s="390"/>
      <c r="D5516" s="391"/>
      <c r="E5516" s="390"/>
      <c r="F5516" s="391"/>
      <c r="G5516" s="390"/>
      <c r="H5516" s="394"/>
    </row>
    <row r="5517" spans="1:8" ht="15.75" customHeight="1" x14ac:dyDescent="0.25">
      <c r="A5517" s="390" t="s">
        <v>30</v>
      </c>
      <c r="B5517" s="390"/>
      <c r="C5517" s="390"/>
      <c r="D5517" s="391"/>
      <c r="E5517" s="390"/>
      <c r="F5517" s="391"/>
      <c r="G5517" s="390"/>
      <c r="H5517" s="394"/>
    </row>
    <row r="5518" spans="1:8" ht="15.75" customHeight="1" x14ac:dyDescent="0.25">
      <c r="A5518" s="390"/>
      <c r="B5518" s="390"/>
      <c r="C5518" s="390"/>
      <c r="D5518" s="391"/>
      <c r="E5518" s="390"/>
      <c r="F5518" s="391"/>
      <c r="G5518" s="390"/>
      <c r="H5518" s="394"/>
    </row>
    <row r="5519" spans="1:8" ht="15.75" customHeight="1" x14ac:dyDescent="0.25">
      <c r="A5519" s="390" t="s">
        <v>1322</v>
      </c>
      <c r="B5519" s="390"/>
      <c r="C5519" s="390"/>
      <c r="D5519" s="391"/>
      <c r="E5519" s="390"/>
      <c r="F5519" s="391"/>
      <c r="G5519" s="390"/>
      <c r="H5519" s="394"/>
    </row>
    <row r="5520" spans="1:8" ht="15.75" customHeight="1" x14ac:dyDescent="0.25">
      <c r="A5520" s="390" t="s">
        <v>1328</v>
      </c>
      <c r="B5520" s="390"/>
      <c r="C5520" s="390"/>
      <c r="D5520" s="391"/>
      <c r="E5520" s="390"/>
      <c r="F5520" s="391"/>
      <c r="G5520" s="390"/>
      <c r="H5520" s="394"/>
    </row>
    <row r="5521" spans="1:8" ht="15.75" customHeight="1" x14ac:dyDescent="0.25">
      <c r="A5521" s="390"/>
      <c r="B5521" s="390"/>
      <c r="C5521" s="390"/>
      <c r="D5521" s="391"/>
      <c r="E5521" s="390"/>
      <c r="F5521" s="391"/>
      <c r="G5521" s="390"/>
      <c r="H5521" s="394"/>
    </row>
    <row r="5522" spans="1:8" ht="15.75" customHeight="1" x14ac:dyDescent="0.25">
      <c r="A5522" s="399" t="s">
        <v>33</v>
      </c>
      <c r="B5522" s="400" t="s">
        <v>6</v>
      </c>
      <c r="C5522" s="400"/>
      <c r="D5522" s="401" t="s">
        <v>37</v>
      </c>
      <c r="E5522" s="402" t="s">
        <v>38</v>
      </c>
      <c r="F5522" s="403" t="s">
        <v>7</v>
      </c>
      <c r="G5522" s="404" t="s">
        <v>43</v>
      </c>
      <c r="H5522" s="405" t="s">
        <v>44</v>
      </c>
    </row>
    <row r="5523" spans="1:8" ht="15.75" customHeight="1" x14ac:dyDescent="0.25">
      <c r="A5523" s="406"/>
      <c r="B5523" s="407"/>
      <c r="C5523" s="393"/>
      <c r="D5523" s="410"/>
      <c r="E5523" s="408"/>
      <c r="F5523" s="409"/>
      <c r="G5523" s="410"/>
      <c r="H5523" s="411"/>
    </row>
    <row r="5524" spans="1:8" ht="15.75" customHeight="1" x14ac:dyDescent="0.25">
      <c r="A5524" s="412"/>
      <c r="B5524" s="654" t="s">
        <v>1660</v>
      </c>
      <c r="C5524" s="654"/>
      <c r="D5524" s="415"/>
      <c r="E5524" s="415"/>
      <c r="F5524" s="415"/>
      <c r="G5524" s="415"/>
      <c r="H5524" s="416"/>
    </row>
    <row r="5525" spans="1:8" ht="15.75" customHeight="1" x14ac:dyDescent="0.25">
      <c r="A5525" s="412" t="s">
        <v>55</v>
      </c>
      <c r="B5525" s="644" t="s">
        <v>721</v>
      </c>
      <c r="C5525" s="418" t="s">
        <v>406</v>
      </c>
      <c r="D5525" s="415">
        <v>1</v>
      </c>
      <c r="E5525" s="415">
        <f>25*4</f>
      </c>
      <c r="F5525" s="415">
        <f>+E5525*D5525</f>
      </c>
      <c r="G5525" s="415">
        <v>1</v>
      </c>
      <c r="H5525" s="416">
        <f>+G5525*F5525</f>
      </c>
    </row>
    <row r="5526" spans="1:8" ht="15.75" customHeight="1" x14ac:dyDescent="0.25">
      <c r="A5526" s="581"/>
      <c r="B5526" s="582"/>
      <c r="C5526" s="582"/>
      <c r="D5526" s="415"/>
      <c r="E5526" s="415"/>
      <c r="F5526" s="415"/>
      <c r="G5526" s="415"/>
      <c r="H5526" s="416"/>
    </row>
    <row r="5527" spans="1:8" ht="15.75" customHeight="1" x14ac:dyDescent="0.25">
      <c r="A5527" s="583"/>
      <c r="B5527" s="585"/>
      <c r="C5527" s="585"/>
      <c r="D5527" s="415"/>
      <c r="E5527" s="415"/>
      <c r="F5527" s="588"/>
      <c r="G5527" s="588"/>
      <c r="H5527" s="416"/>
    </row>
    <row r="5528" spans="1:8" ht="15.75" customHeight="1" x14ac:dyDescent="0.25">
      <c r="A5528" s="587"/>
      <c r="B5528" s="418"/>
      <c r="C5528" s="585"/>
      <c r="D5528" s="415"/>
      <c r="E5528" s="415"/>
      <c r="F5528" s="588"/>
      <c r="G5528" s="588"/>
      <c r="H5528" s="416"/>
    </row>
    <row r="5529" spans="1:8" ht="15.75" customHeight="1" x14ac:dyDescent="0.25">
      <c r="A5529" s="430"/>
      <c r="B5529" s="409"/>
      <c r="C5529" s="393"/>
      <c r="D5529" s="427"/>
      <c r="E5529" s="427"/>
      <c r="F5529" s="428"/>
      <c r="G5529" s="431"/>
      <c r="H5529" s="429"/>
    </row>
    <row r="5530" spans="1:8" ht="15.75" customHeight="1" x14ac:dyDescent="0.25">
      <c r="A5530" s="432"/>
      <c r="B5530" s="433"/>
      <c r="C5530" s="434" t="s">
        <v>85</v>
      </c>
      <c r="D5530" s="436">
        <f>SUM(D5525:D5529)</f>
      </c>
      <c r="E5530" s="436"/>
      <c r="F5530" s="436"/>
      <c r="G5530" s="437"/>
      <c r="H5530" s="623">
        <f>SUM(H5525:H5529)</f>
      </c>
    </row>
    <row r="5531" spans="1:8" ht="15.75" customHeight="1" x14ac:dyDescent="0.25">
      <c r="A5531" s="439"/>
      <c r="B5531" s="440"/>
      <c r="C5531" s="440"/>
      <c r="D5531" s="441"/>
      <c r="E5531" s="440"/>
      <c r="F5531" s="442"/>
      <c r="G5531" s="443"/>
      <c r="H5531" s="444"/>
    </row>
    <row r="5532" spans="1:8" ht="15.75" customHeight="1" x14ac:dyDescent="0.3">
      <c r="A5532" s="196" t="s">
        <v>1831</v>
      </c>
      <c r="B5532" s="391"/>
      <c r="C5532" s="391"/>
      <c r="D5532" s="391"/>
      <c r="E5532" s="390"/>
      <c r="F5532" s="392"/>
      <c r="G5532" s="390"/>
      <c r="H5532" s="394"/>
    </row>
    <row r="5533" spans="1:8" ht="15.75" customHeight="1" x14ac:dyDescent="0.25">
      <c r="A5533" s="445"/>
      <c r="B5533" s="445"/>
      <c r="C5533" s="445"/>
      <c r="D5533" s="446" t="s">
        <v>97</v>
      </c>
      <c r="E5533" s="445" t="s">
        <v>98</v>
      </c>
      <c r="F5533" s="445"/>
      <c r="G5533" s="390"/>
      <c r="H5533" s="394"/>
    </row>
    <row r="5534" spans="1:8" ht="15.75" customHeight="1" x14ac:dyDescent="0.25">
      <c r="A5534" s="390"/>
      <c r="B5534" s="390"/>
      <c r="C5534" s="390"/>
      <c r="D5534" s="391"/>
      <c r="E5534" s="390"/>
      <c r="F5534" s="390"/>
      <c r="G5534" s="390"/>
      <c r="H5534" s="394"/>
    </row>
    <row r="5535" spans="1:8" ht="15.75" customHeight="1" x14ac:dyDescent="0.25">
      <c r="A5535" s="390"/>
      <c r="B5535" s="390"/>
      <c r="C5535" s="390"/>
      <c r="D5535" s="391"/>
      <c r="E5535" s="390"/>
      <c r="F5535" s="390"/>
      <c r="G5535" s="390"/>
      <c r="H5535" s="394"/>
    </row>
    <row r="5536" spans="1:8" ht="15.75" customHeight="1" x14ac:dyDescent="0.25">
      <c r="A5536" s="445"/>
      <c r="B5536" s="445"/>
      <c r="C5536" s="445"/>
      <c r="D5536" s="446"/>
      <c r="E5536" s="445" t="s">
        <v>99</v>
      </c>
      <c r="F5536" s="445"/>
      <c r="G5536" s="390"/>
      <c r="H5536" s="394"/>
    </row>
    <row r="5537" spans="1:8" ht="15.75" customHeight="1" x14ac:dyDescent="0.25">
      <c r="D5537" s="4"/>
      <c r="H5537" s="4"/>
    </row>
    <row r="5538" spans="1:8" ht="15.75" customHeight="1" x14ac:dyDescent="0.25">
      <c r="D5538" s="4"/>
      <c r="H5538" s="4"/>
    </row>
    <row r="5539" spans="1:8" ht="15.75" customHeight="1" x14ac:dyDescent="0.25">
      <c r="D5539" s="4"/>
      <c r="H5539" s="4"/>
    </row>
    <row r="5540" spans="1:8" ht="15.75" customHeight="1" x14ac:dyDescent="0.25">
      <c r="D5540" s="4"/>
      <c r="H5540" s="4"/>
    </row>
    <row r="5541" spans="1:8" ht="15.75" customHeight="1" x14ac:dyDescent="0.25">
      <c r="D5541" s="4"/>
      <c r="H5541" s="4"/>
    </row>
    <row r="5542" spans="1:8" ht="15.75" customHeight="1" x14ac:dyDescent="0.25">
      <c r="D5542" s="4"/>
      <c r="H5542" s="4"/>
    </row>
    <row r="5543" spans="1:8" ht="15.75" customHeight="1" x14ac:dyDescent="0.25">
      <c r="D5543" s="4"/>
      <c r="H5543" s="4"/>
    </row>
    <row r="5544" spans="1:8" ht="15.75" customHeight="1" x14ac:dyDescent="0.25">
      <c r="D5544" s="4"/>
      <c r="H5544" s="4"/>
    </row>
    <row r="5545" spans="1:8" ht="15.75" customHeight="1" x14ac:dyDescent="0.25">
      <c r="D5545" s="4"/>
      <c r="H5545" s="4"/>
    </row>
    <row r="5546" spans="1:8" ht="15.75" customHeight="1" x14ac:dyDescent="0.25">
      <c r="D5546" s="4"/>
      <c r="H5546" s="4"/>
    </row>
    <row r="5547" spans="1:8" ht="15.75" customHeight="1" x14ac:dyDescent="0.25">
      <c r="D5547" s="4"/>
      <c r="H5547" s="4"/>
    </row>
    <row r="5548" spans="1:8" ht="15.75" customHeight="1" x14ac:dyDescent="0.25">
      <c r="D5548" s="4"/>
      <c r="H5548" s="4"/>
    </row>
    <row r="5549" spans="1:8" ht="15.75" customHeight="1" x14ac:dyDescent="0.25">
      <c r="D5549" s="4"/>
      <c r="H5549" s="4"/>
    </row>
    <row r="5550" spans="1:8" ht="15.75" customHeight="1" x14ac:dyDescent="0.25">
      <c r="D5550" s="4"/>
      <c r="H5550" s="4"/>
    </row>
    <row r="5551" spans="1:8" ht="15.75" customHeight="1" x14ac:dyDescent="0.25">
      <c r="A5551" s="398" t="s">
        <v>14</v>
      </c>
      <c r="B5551" s="398"/>
      <c r="C5551" s="398"/>
      <c r="D5551" s="398"/>
      <c r="E5551" s="398"/>
      <c r="F5551" s="398"/>
      <c r="G5551" s="398"/>
      <c r="H5551" s="398"/>
    </row>
    <row r="5552" spans="1:8" ht="15.75" customHeight="1" x14ac:dyDescent="0.25">
      <c r="A5552" s="390"/>
      <c r="B5552" s="390"/>
      <c r="C5552" s="390"/>
      <c r="D5552" s="391"/>
      <c r="E5552" s="390"/>
      <c r="F5552" s="390"/>
      <c r="G5552" s="390"/>
      <c r="H5552" s="398"/>
    </row>
    <row r="5553" spans="1:8" ht="15.75" customHeight="1" x14ac:dyDescent="0.25">
      <c r="A5553" s="390"/>
      <c r="B5553" s="390"/>
      <c r="C5553" s="391"/>
      <c r="D5553" s="392"/>
      <c r="E5553" s="393"/>
      <c r="F5553" s="393"/>
      <c r="G5553" s="393"/>
      <c r="H5553" s="394"/>
    </row>
    <row r="5554" spans="1:8" ht="15.75" customHeight="1" x14ac:dyDescent="0.25">
      <c r="A5554" s="390" t="s">
        <v>20</v>
      </c>
      <c r="B5554" s="390"/>
      <c r="C5554" s="390"/>
      <c r="D5554" s="391"/>
      <c r="E5554" s="390"/>
      <c r="F5554" s="395" t="s">
        <v>18</v>
      </c>
      <c r="G5554" s="396" t="s">
        <v>809</v>
      </c>
      <c r="H5554" s="397"/>
    </row>
    <row r="5555" spans="1:8" ht="15.75" customHeight="1" x14ac:dyDescent="0.25">
      <c r="A5555" s="390" t="inlineStr">
        <is>
          <t>Dealer-009</t>
        </is>
      </c>
      <c r="B5555" s="390"/>
      <c r="C5555" s="390" t="inlineStr">
        <is>
          <t>ATTN: Contact-001</t>
        </is>
      </c>
      <c r="D5555" s="391"/>
      <c r="E5555" s="390"/>
      <c r="F5555" s="395" t="s">
        <v>21</v>
      </c>
      <c r="G5555" s="390" t="s">
        <v>1680</v>
      </c>
      <c r="H5555" s="391"/>
    </row>
    <row r="5556" spans="1:8" ht="15.75" customHeight="1" x14ac:dyDescent="0.25">
      <c r="A5556" s="390" t="inlineStr">
        <is>
          <t>Address line (redacted)</t>
        </is>
      </c>
      <c r="B5556" s="390"/>
      <c r="C5556" s="390"/>
      <c r="D5556" s="391"/>
      <c r="E5556" s="395"/>
      <c r="F5556" s="390"/>
      <c r="G5556" s="390"/>
      <c r="H5556" s="394"/>
    </row>
    <row r="5557" spans="1:8" ht="15.75" customHeight="1" x14ac:dyDescent="0.25">
      <c r="A5557" s="390" t="inlineStr">
        <is>
          <t>Address line (redacted)</t>
        </is>
      </c>
      <c r="B5557" s="390"/>
      <c r="C5557" s="390"/>
      <c r="D5557" s="398"/>
      <c r="E5557" s="390"/>
      <c r="F5557" s="391"/>
      <c r="G5557" s="390"/>
      <c r="H5557" s="394"/>
    </row>
    <row r="5558" spans="1:8" ht="15.75" customHeight="1" x14ac:dyDescent="0.25">
      <c r="D5558" s="398"/>
      <c r="E5558" s="390"/>
      <c r="F5558" s="391"/>
      <c r="G5558" s="390"/>
      <c r="H5558" s="394"/>
    </row>
    <row r="5559" spans="1:8" ht="15.75" customHeight="1" x14ac:dyDescent="0.25">
      <c r="A5559" s="390" t="s">
        <v>30</v>
      </c>
      <c r="B5559" s="390"/>
      <c r="C5559" s="390"/>
      <c r="D5559" s="391"/>
      <c r="E5559" s="390"/>
      <c r="F5559" s="391"/>
      <c r="G5559" s="390"/>
      <c r="H5559" s="394"/>
    </row>
    <row r="5560" spans="1:8" ht="15.75" customHeight="1" x14ac:dyDescent="0.25">
      <c r="A5560" s="390"/>
      <c r="B5560" s="390"/>
      <c r="C5560" s="390"/>
      <c r="D5560" s="391"/>
      <c r="E5560" s="390"/>
      <c r="F5560" s="391"/>
      <c r="G5560" s="390"/>
      <c r="H5560" s="394"/>
    </row>
    <row r="5561" spans="1:8" ht="15.75" customHeight="1" x14ac:dyDescent="0.25">
      <c r="A5561" s="390" t="s">
        <v>716</v>
      </c>
      <c r="B5561" s="390"/>
      <c r="C5561" s="390"/>
      <c r="D5561" s="391"/>
      <c r="E5561" s="390"/>
      <c r="F5561" s="391"/>
      <c r="G5561" s="390"/>
      <c r="H5561" s="394"/>
    </row>
    <row r="5562" spans="1:8" ht="15.75" customHeight="1" x14ac:dyDescent="0.25">
      <c r="A5562" s="390" t="s">
        <v>717</v>
      </c>
      <c r="B5562" s="390"/>
      <c r="C5562" s="390"/>
      <c r="D5562" s="391"/>
      <c r="E5562" s="390"/>
      <c r="F5562" s="391"/>
      <c r="G5562" s="390"/>
      <c r="H5562" s="394"/>
    </row>
    <row r="5563" spans="1:8" ht="15.75" customHeight="1" x14ac:dyDescent="0.25">
      <c r="A5563" s="390"/>
      <c r="B5563" s="390"/>
      <c r="C5563" s="390"/>
      <c r="D5563" s="391"/>
      <c r="E5563" s="390"/>
      <c r="F5563" s="391"/>
      <c r="G5563" s="390"/>
      <c r="H5563" s="394"/>
    </row>
    <row r="5564" spans="1:8" ht="15.75" customHeight="1" x14ac:dyDescent="0.25">
      <c r="A5564" s="399" t="s">
        <v>33</v>
      </c>
      <c r="B5564" s="400" t="s">
        <v>6</v>
      </c>
      <c r="C5564" s="400"/>
      <c r="D5564" s="401" t="s">
        <v>37</v>
      </c>
      <c r="E5564" s="402" t="s">
        <v>38</v>
      </c>
      <c r="F5564" s="403" t="s">
        <v>7</v>
      </c>
      <c r="G5564" s="404" t="s">
        <v>43</v>
      </c>
      <c r="H5564" s="405" t="s">
        <v>44</v>
      </c>
    </row>
    <row r="5565" spans="1:8" ht="15.75" customHeight="1" x14ac:dyDescent="0.25">
      <c r="A5565" s="406"/>
      <c r="B5565" s="407"/>
      <c r="C5565" s="393"/>
      <c r="D5565" s="408"/>
      <c r="E5565" s="408"/>
      <c r="F5565" s="409"/>
      <c r="G5565" s="410"/>
      <c r="H5565" s="411"/>
    </row>
    <row r="5566" spans="1:8" ht="15.75" customHeight="1" x14ac:dyDescent="0.25">
      <c r="A5566" s="412"/>
      <c r="B5566" s="624"/>
      <c r="C5566" s="625"/>
      <c r="D5566" s="415"/>
      <c r="E5566" s="415"/>
      <c r="F5566" s="415"/>
      <c r="G5566" s="415"/>
      <c r="H5566" s="416"/>
    </row>
    <row r="5567" spans="1:8" ht="15.75" customHeight="1" x14ac:dyDescent="0.25">
      <c r="A5567" s="412" t="s">
        <v>55</v>
      </c>
      <c r="B5567" s="708" t="s">
        <v>1681</v>
      </c>
      <c r="C5567" s="709"/>
      <c r="D5567" s="415">
        <v>15</v>
      </c>
      <c r="E5567" s="415">
        <v>1</v>
      </c>
      <c r="F5567" s="415">
        <f>+E5567*D5567</f>
      </c>
      <c r="G5567" s="415">
        <v>1</v>
      </c>
      <c r="H5567" s="589">
        <f>+G5567*F5567</f>
      </c>
    </row>
    <row r="5568" spans="1:8" ht="15.75" customHeight="1" x14ac:dyDescent="0.25">
      <c r="A5568" s="412"/>
      <c r="B5568" s="644" t="s">
        <v>1682</v>
      </c>
      <c r="C5568" s="418" t="s">
        <v>1683</v>
      </c>
      <c r="D5568" s="415"/>
      <c r="E5568" s="415"/>
      <c r="F5568" s="415"/>
      <c r="G5568" s="415"/>
      <c r="H5568" s="589"/>
    </row>
    <row r="5569" spans="1:8" ht="15.75" customHeight="1" x14ac:dyDescent="0.25">
      <c r="A5569" s="412"/>
      <c r="B5569" s="701" t="s">
        <v>1684</v>
      </c>
      <c r="C5569" s="700" t="s">
        <v>1685</v>
      </c>
      <c r="D5569" s="415"/>
      <c r="E5569" s="415"/>
      <c r="F5569" s="415"/>
      <c r="G5569" s="415"/>
      <c r="H5569" s="589"/>
    </row>
    <row r="5570" spans="1:8" ht="15.75" customHeight="1" x14ac:dyDescent="0.25">
      <c r="A5570" s="412"/>
      <c r="B5570" s="644" t="s">
        <v>1686</v>
      </c>
      <c r="C5570" s="418" t="s">
        <v>1687</v>
      </c>
      <c r="D5570" s="415"/>
      <c r="E5570" s="415"/>
      <c r="F5570" s="415"/>
      <c r="G5570" s="415"/>
      <c r="H5570" s="589"/>
    </row>
    <row r="5571" spans="1:8" ht="15.75" customHeight="1" x14ac:dyDescent="0.25">
      <c r="A5571" s="502"/>
      <c r="B5571" s="503"/>
      <c r="C5571" s="390"/>
      <c r="D5571" s="427"/>
      <c r="E5571" s="427"/>
      <c r="F5571" s="391"/>
      <c r="G5571" s="427"/>
      <c r="H5571" s="429"/>
    </row>
    <row r="5572" spans="1:8" ht="15.75" customHeight="1" x14ac:dyDescent="0.25">
      <c r="A5572" s="432"/>
      <c r="B5572" s="433"/>
      <c r="C5572" s="434" t="s">
        <v>85</v>
      </c>
      <c r="D5572" s="435">
        <f>SUM(D5566:D5571)</f>
      </c>
      <c r="E5572" s="435"/>
      <c r="F5572" s="436"/>
      <c r="G5572" s="437"/>
      <c r="H5572" s="438">
        <f>SUM(H5566:H5571)</f>
      </c>
    </row>
    <row r="5573" spans="1:8" ht="15.75" customHeight="1" x14ac:dyDescent="0.25">
      <c r="A5573" s="439"/>
      <c r="B5573" s="440"/>
      <c r="C5573" s="440"/>
      <c r="D5573" s="441"/>
      <c r="E5573" s="440"/>
      <c r="F5573" s="442"/>
      <c r="G5573" s="443"/>
      <c r="H5573" s="444"/>
    </row>
    <row r="5574" spans="1:8" ht="15.75" customHeight="1" x14ac:dyDescent="0.25">
      <c r="A5574" s="565" t="s">
        <v>1852</v>
      </c>
      <c r="B5574" s="565"/>
      <c r="C5574" s="565"/>
      <c r="D5574" s="565"/>
      <c r="E5574" s="565"/>
      <c r="F5574" s="565"/>
      <c r="G5574" s="565"/>
      <c r="H5574" s="565"/>
    </row>
    <row r="5575" spans="1:8" ht="15.75" customHeight="1" x14ac:dyDescent="0.25">
      <c r="A5575" s="445"/>
      <c r="B5575" s="445"/>
      <c r="C5575" s="445"/>
      <c r="D5575" s="446" t="s">
        <v>97</v>
      </c>
      <c r="E5575" s="445" t="s">
        <v>98</v>
      </c>
      <c r="F5575" s="445"/>
      <c r="G5575" s="390"/>
      <c r="H5575" s="394"/>
    </row>
    <row r="5576" spans="1:8" ht="15.75" customHeight="1" x14ac:dyDescent="0.25">
      <c r="A5576" s="390"/>
      <c r="B5576" s="390"/>
      <c r="C5576" s="390"/>
      <c r="D5576" s="391"/>
      <c r="E5576" s="390"/>
      <c r="F5576" s="390"/>
      <c r="G5576" s="390"/>
      <c r="H5576" s="394"/>
    </row>
    <row r="5577" spans="1:8" ht="15.75" customHeight="1" x14ac:dyDescent="0.25">
      <c r="A5577" s="390"/>
      <c r="B5577" s="390"/>
      <c r="C5577" s="390"/>
      <c r="D5577" s="391"/>
      <c r="E5577" s="390"/>
      <c r="F5577" s="390"/>
      <c r="G5577" s="390"/>
      <c r="H5577" s="394"/>
    </row>
    <row r="5578" spans="1:8" ht="15.75" customHeight="1" x14ac:dyDescent="0.25">
      <c r="A5578" s="445"/>
      <c r="B5578" s="445"/>
      <c r="C5578" s="445"/>
      <c r="D5578" s="446"/>
      <c r="E5578" s="445" t="s">
        <v>99</v>
      </c>
      <c r="F5578" s="445"/>
      <c r="G5578" s="390"/>
      <c r="H5578" s="394"/>
    </row>
    <row r="5579" spans="1:8" ht="15.75" customHeight="1" x14ac:dyDescent="0.25">
      <c r="D5579" s="4"/>
      <c r="H5579" s="4"/>
    </row>
    <row r="5580" spans="1:8" ht="15.75" customHeight="1" x14ac:dyDescent="0.25">
      <c r="D5580" s="4"/>
      <c r="H5580" s="4"/>
    </row>
    <row r="5581" spans="1:8" ht="15.75" customHeight="1" x14ac:dyDescent="0.25">
      <c r="A5581" s="14" t="s">
        <v>14</v>
      </c>
      <c r="B5581" s="14"/>
      <c r="C5581" s="14"/>
      <c r="D5581" s="14"/>
      <c r="E5581" s="14"/>
      <c r="F5581" s="14"/>
      <c r="G5581" s="14"/>
      <c r="H5581" s="14"/>
    </row>
    <row r="5582" spans="1:8" ht="15.75" customHeight="1" x14ac:dyDescent="0.25">
      <c r="D5582" s="4"/>
      <c r="H5582" s="8"/>
    </row>
    <row r="5583" spans="1:8" ht="15.75" customHeight="1" x14ac:dyDescent="0.25">
      <c r="A5583" s="15"/>
      <c r="B5583" s="15"/>
      <c r="C5583" s="16"/>
      <c r="D5583" s="17"/>
      <c r="E5583" s="18"/>
      <c r="F5583" s="18"/>
      <c r="G5583" s="18"/>
      <c r="H5583" s="19"/>
    </row>
    <row r="5584" spans="1:8" ht="15.75" customHeight="1" x14ac:dyDescent="0.3">
      <c r="A5584" s="25"/>
      <c r="B5584" s="25"/>
      <c r="C5584" s="25"/>
      <c r="D5584" s="26"/>
      <c r="E5584" s="25"/>
      <c r="F5584" s="22" t="s">
        <v>18</v>
      </c>
      <c r="G5584" s="23" t="s">
        <v>812</v>
      </c>
      <c r="H5584" s="24"/>
    </row>
    <row r="5585" spans="1:8" ht="15.75" customHeight="1" x14ac:dyDescent="0.3">
      <c r="A5585" s="25" t="s">
        <v>20</v>
      </c>
      <c r="B5585" s="25"/>
      <c r="C5585" s="25"/>
      <c r="D5585" s="26"/>
      <c r="E5585" s="25"/>
      <c r="F5585" s="22" t="s">
        <v>21</v>
      </c>
      <c r="G5585" s="25" t="s">
        <v>1440</v>
      </c>
      <c r="H5585" s="26"/>
    </row>
    <row r="5586" spans="1:8" ht="15.75" customHeight="1" x14ac:dyDescent="0.3">
      <c r="A5586" s="25" t="inlineStr">
        <is>
          <t>Dealer-004</t>
        </is>
      </c>
      <c r="B5586" s="25"/>
      <c r="C5586" s="25"/>
      <c r="D5586" s="109"/>
      <c r="E5586" s="25"/>
      <c r="F5586" s="26"/>
      <c r="G5586" s="25"/>
      <c r="H5586" s="106"/>
    </row>
    <row r="5587" spans="1:8" ht="15.75" customHeight="1" x14ac:dyDescent="0.3">
      <c r="A5587" s="25" t="inlineStr">
        <is>
          <t>Address line (redacted)</t>
        </is>
      </c>
      <c r="B5587" s="25"/>
      <c r="C5587" s="25"/>
      <c r="D5587" s="109"/>
      <c r="E5587" s="25"/>
      <c r="F5587" s="26"/>
      <c r="G5587" s="25"/>
      <c r="H5587" s="106"/>
    </row>
    <row r="5588" spans="1:8" ht="15.75" customHeight="1" x14ac:dyDescent="0.3">
      <c r="A5588" s="25" t="inlineStr">
        <is>
          <t>Address line (redacted)</t>
        </is>
      </c>
      <c r="B5588" s="25"/>
      <c r="C5588" s="25"/>
      <c r="D5588" s="26"/>
      <c r="E5588" s="25"/>
      <c r="F5588" s="26"/>
      <c r="G5588" s="25"/>
      <c r="H5588" s="106"/>
    </row>
    <row r="5589" spans="1:8" ht="15.75" customHeight="1" x14ac:dyDescent="0.3">
      <c r="A5589" s="25"/>
      <c r="B5589" s="25"/>
      <c r="C5589" s="25"/>
      <c r="D5589" s="26"/>
      <c r="E5589" s="25"/>
      <c r="F5589" s="26"/>
      <c r="G5589" s="25"/>
      <c r="H5589" s="106"/>
    </row>
    <row r="5590" spans="1:8" ht="15.75" customHeight="1" x14ac:dyDescent="0.3">
      <c r="A5590" s="25" t="s">
        <v>30</v>
      </c>
      <c r="B5590" s="25"/>
      <c r="C5590" s="25"/>
      <c r="D5590" s="26"/>
      <c r="E5590" s="25"/>
      <c r="F5590" s="26"/>
      <c r="G5590" s="25"/>
      <c r="H5590" s="106"/>
    </row>
    <row r="5591" spans="1:8" ht="15.75" customHeight="1" x14ac:dyDescent="0.3">
      <c r="A5591" s="25"/>
      <c r="B5591" s="25"/>
      <c r="C5591" s="25"/>
      <c r="D5591" s="26"/>
      <c r="E5591" s="25"/>
      <c r="F5591" s="26"/>
      <c r="G5591" s="25"/>
      <c r="H5591" s="106"/>
    </row>
    <row r="5592" spans="1:8" ht="15.75" customHeight="1" x14ac:dyDescent="0.3">
      <c r="A5592" s="25" t="s">
        <v>31</v>
      </c>
      <c r="B5592" s="25"/>
      <c r="C5592" s="25"/>
      <c r="D5592" s="26"/>
      <c r="E5592" s="25"/>
      <c r="F5592" s="26"/>
      <c r="G5592" s="25"/>
      <c r="H5592" s="106"/>
    </row>
    <row r="5593" spans="1:8" ht="15.75" customHeight="1" x14ac:dyDescent="0.3">
      <c r="A5593" s="25" t="s">
        <v>32</v>
      </c>
      <c r="B5593" s="25"/>
      <c r="C5593" s="25"/>
      <c r="D5593" s="26"/>
      <c r="E5593" s="25"/>
      <c r="F5593" s="26"/>
      <c r="G5593" s="25"/>
      <c r="H5593" s="106"/>
    </row>
    <row r="5594" spans="1:8" ht="15.75" customHeight="1" x14ac:dyDescent="0.3">
      <c r="A5594" s="25"/>
      <c r="B5594" s="25"/>
      <c r="C5594" s="25"/>
      <c r="D5594" s="26"/>
      <c r="E5594" s="25"/>
      <c r="F5594" s="26"/>
      <c r="G5594" s="25"/>
      <c r="H5594" s="106"/>
    </row>
    <row r="5595" spans="1:8" ht="15.75" customHeight="1" x14ac:dyDescent="0.3">
      <c r="A5595" s="118" t="s">
        <v>33</v>
      </c>
      <c r="B5595" s="121" t="s">
        <v>6</v>
      </c>
      <c r="C5595" s="121"/>
      <c r="D5595" s="123" t="s">
        <v>37</v>
      </c>
      <c r="E5595" s="125" t="s">
        <v>38</v>
      </c>
      <c r="F5595" s="127" t="s">
        <v>7</v>
      </c>
      <c r="G5595" s="129" t="s">
        <v>43</v>
      </c>
      <c r="H5595" s="130" t="s">
        <v>44</v>
      </c>
    </row>
    <row r="5596" spans="1:8" ht="15.75" customHeight="1" x14ac:dyDescent="0.3">
      <c r="A5596" s="133"/>
      <c r="B5596" s="135"/>
      <c r="C5596" s="136"/>
      <c r="D5596" s="138"/>
      <c r="E5596" s="138"/>
      <c r="F5596" s="139"/>
      <c r="G5596" s="141"/>
      <c r="H5596" s="143"/>
    </row>
    <row r="5597" spans="1:8" ht="15.75" customHeight="1" x14ac:dyDescent="0.3">
      <c r="A5597" s="145"/>
      <c r="B5597" s="147"/>
      <c r="C5597" s="148"/>
      <c r="D5597" s="149"/>
      <c r="E5597" s="149"/>
      <c r="F5597" s="26"/>
      <c r="G5597" s="149"/>
      <c r="H5597" s="151"/>
    </row>
    <row r="5598" spans="1:8" ht="15.75" customHeight="1" x14ac:dyDescent="0.3">
      <c r="A5598" s="145" t="s">
        <v>55</v>
      </c>
      <c r="B5598" s="153" t="s">
        <v>1441</v>
      </c>
      <c r="C5598" s="154"/>
      <c r="D5598" s="149">
        <v>10</v>
      </c>
      <c r="E5598" s="149">
        <v>1</v>
      </c>
      <c r="F5598" s="149">
        <v>10</v>
      </c>
      <c r="G5598" s="149">
        <v>1</v>
      </c>
      <c r="H5598" s="151">
        <f>+G5598*F5598</f>
      </c>
    </row>
    <row r="5599" spans="1:8" ht="15.75" customHeight="1" x14ac:dyDescent="0.3">
      <c r="A5599" s="145"/>
      <c r="B5599" s="161"/>
      <c r="C5599" s="25"/>
      <c r="D5599" s="149"/>
      <c r="E5599" s="149"/>
      <c r="F5599" s="26"/>
      <c r="G5599" s="149"/>
      <c r="H5599" s="151"/>
    </row>
    <row r="5600" spans="1:8" ht="15.75" customHeight="1" x14ac:dyDescent="0.3">
      <c r="A5600" s="145"/>
      <c r="B5600" s="174"/>
      <c r="C5600" s="25"/>
      <c r="D5600" s="149"/>
      <c r="E5600" s="149"/>
      <c r="F5600" s="26"/>
      <c r="G5600" s="149"/>
      <c r="H5600" s="151"/>
    </row>
    <row r="5601" spans="1:8" ht="15.75" customHeight="1" x14ac:dyDescent="0.3">
      <c r="A5601" s="145"/>
      <c r="B5601" s="174"/>
      <c r="C5601" s="25"/>
      <c r="D5601" s="149"/>
      <c r="E5601" s="149"/>
      <c r="F5601" s="26"/>
      <c r="G5601" s="149"/>
      <c r="H5601" s="151"/>
    </row>
    <row r="5602" spans="1:8" ht="15.75" customHeight="1" x14ac:dyDescent="0.3">
      <c r="A5602" s="145"/>
      <c r="B5602" s="174"/>
      <c r="C5602" s="25"/>
      <c r="D5602" s="149"/>
      <c r="E5602" s="149"/>
      <c r="F5602" s="26"/>
      <c r="G5602" s="149"/>
      <c r="H5602" s="151"/>
    </row>
    <row r="5603" spans="1:8" ht="15.75" customHeight="1" x14ac:dyDescent="0.3">
      <c r="A5603" s="145"/>
      <c r="B5603" s="174"/>
      <c r="C5603" s="25"/>
      <c r="D5603" s="149"/>
      <c r="E5603" s="149"/>
      <c r="F5603" s="26"/>
      <c r="G5603" s="149"/>
      <c r="H5603" s="151"/>
    </row>
    <row r="5604" spans="1:8" ht="15.75" customHeight="1" x14ac:dyDescent="0.3">
      <c r="A5604" s="145"/>
      <c r="B5604" s="174"/>
      <c r="C5604" s="25"/>
      <c r="D5604" s="149"/>
      <c r="E5604" s="149"/>
      <c r="F5604" s="26"/>
      <c r="G5604" s="149"/>
      <c r="H5604" s="151"/>
    </row>
    <row r="5605" spans="1:8" ht="15.75" customHeight="1" x14ac:dyDescent="0.3">
      <c r="A5605" s="177"/>
      <c r="B5605" s="139"/>
      <c r="C5605" s="136"/>
      <c r="D5605" s="149"/>
      <c r="E5605" s="149"/>
      <c r="F5605" s="179"/>
      <c r="G5605" s="181"/>
      <c r="H5605" s="151"/>
    </row>
    <row r="5606" spans="1:8" ht="15.75" customHeight="1" x14ac:dyDescent="0.3">
      <c r="A5606" s="183"/>
      <c r="B5606" s="184"/>
      <c r="C5606" s="185" t="s">
        <v>85</v>
      </c>
      <c r="D5606" s="186">
        <f>SUM(D5597:D5605)</f>
      </c>
      <c r="E5606" s="186"/>
      <c r="F5606" s="187">
        <f>SUM(F5597:F5605)</f>
      </c>
      <c r="G5606" s="188"/>
      <c r="H5606" s="189">
        <f>SUM(H5598:H5605)</f>
      </c>
    </row>
    <row r="5607" spans="1:8" ht="15.75" customHeight="1" x14ac:dyDescent="0.3">
      <c r="A5607" s="190"/>
      <c r="B5607" s="191"/>
      <c r="C5607" s="191"/>
      <c r="D5607" s="192"/>
      <c r="E5607" s="191"/>
      <c r="F5607" s="193"/>
      <c r="G5607" s="194"/>
      <c r="H5607" s="195"/>
    </row>
    <row r="5608" spans="1:8" ht="15.75" customHeight="1" x14ac:dyDescent="0.3">
      <c r="A5608" s="196" t="s">
        <v>1831</v>
      </c>
      <c r="B5608" s="26"/>
      <c r="C5608" s="26"/>
      <c r="D5608" s="26"/>
      <c r="E5608" s="25"/>
      <c r="F5608" s="196"/>
      <c r="G5608" s="25"/>
      <c r="H5608" s="106"/>
    </row>
    <row r="5609" spans="1:8" ht="15.75" customHeight="1" x14ac:dyDescent="0.3">
      <c r="A5609" s="197"/>
      <c r="B5609" s="197"/>
      <c r="C5609" s="197"/>
      <c r="D5609" s="198" t="s">
        <v>97</v>
      </c>
      <c r="E5609" s="197" t="s">
        <v>98</v>
      </c>
      <c r="F5609" s="197"/>
      <c r="G5609" s="25"/>
      <c r="H5609" s="106"/>
    </row>
    <row r="5610" spans="1:8" ht="15.75" customHeight="1" x14ac:dyDescent="0.3">
      <c r="A5610" s="25"/>
      <c r="B5610" s="25"/>
      <c r="C5610" s="25"/>
      <c r="D5610" s="26"/>
      <c r="E5610" s="25"/>
      <c r="F5610" s="25"/>
      <c r="G5610" s="25"/>
      <c r="H5610" s="106"/>
    </row>
    <row r="5611" spans="1:8" ht="15.75" customHeight="1" x14ac:dyDescent="0.3">
      <c r="A5611" s="25"/>
      <c r="B5611" s="25"/>
      <c r="C5611" s="25"/>
      <c r="D5611" s="26"/>
      <c r="E5611" s="25"/>
      <c r="F5611" s="25"/>
      <c r="G5611" s="25"/>
      <c r="H5611" s="106"/>
    </row>
    <row r="5612" spans="1:8" ht="15.75" customHeight="1" x14ac:dyDescent="0.3">
      <c r="A5612" s="197"/>
      <c r="B5612" s="197"/>
      <c r="C5612" s="197"/>
      <c r="D5612" s="198"/>
      <c r="E5612" s="197" t="s">
        <v>99</v>
      </c>
      <c r="F5612" s="197"/>
      <c r="G5612" s="25"/>
      <c r="H5612" s="106"/>
    </row>
    <row r="5613" spans="1:8" ht="15.75" customHeight="1" x14ac:dyDescent="0.25">
      <c r="D5613" s="4"/>
      <c r="H5613" s="4"/>
    </row>
    <row r="5614" spans="1:8" ht="15.75" customHeight="1" x14ac:dyDescent="0.25">
      <c r="D5614" s="4"/>
      <c r="H5614" s="4"/>
    </row>
    <row r="5615" spans="1:8" ht="15.75" customHeight="1" x14ac:dyDescent="0.25">
      <c r="D5615" s="4"/>
      <c r="H5615" s="4"/>
    </row>
    <row r="5616" spans="1:8" ht="15.75" customHeight="1" x14ac:dyDescent="0.25">
      <c r="D5616" s="4"/>
      <c r="H5616" s="4"/>
    </row>
    <row r="5617" spans="1:8" ht="15.75" customHeight="1" x14ac:dyDescent="0.25">
      <c r="D5617" s="4"/>
      <c r="H5617" s="4"/>
    </row>
    <row r="5618" spans="1:8" ht="15.75" customHeight="1" x14ac:dyDescent="0.25">
      <c r="D5618" s="4"/>
      <c r="H5618" s="4"/>
    </row>
    <row r="5619" spans="1:8" ht="15.75" customHeight="1" x14ac:dyDescent="0.25">
      <c r="D5619" s="4"/>
      <c r="H5619" s="4"/>
    </row>
    <row r="5620" spans="1:8" ht="15.75" customHeight="1" x14ac:dyDescent="0.25">
      <c r="D5620" s="4"/>
      <c r="H5620" s="4"/>
    </row>
    <row r="5621" spans="1:8" ht="15.75" customHeight="1" x14ac:dyDescent="0.25">
      <c r="D5621" s="4"/>
      <c r="H5621" s="4"/>
    </row>
    <row r="5622" spans="1:8" ht="15.75" customHeight="1" x14ac:dyDescent="0.25">
      <c r="D5622" s="4"/>
      <c r="H5622" s="4"/>
    </row>
    <row r="5623" spans="1:8" ht="15.75" customHeight="1" x14ac:dyDescent="0.25">
      <c r="D5623" s="4"/>
      <c r="H5623" s="4"/>
    </row>
    <row r="5624" spans="1:8" ht="15.75" customHeight="1" x14ac:dyDescent="0.25">
      <c r="D5624" s="4"/>
      <c r="H5624" s="4"/>
    </row>
    <row r="5625" spans="1:8" ht="15.75" customHeight="1" x14ac:dyDescent="0.25">
      <c r="A5625" s="398" t="s">
        <v>14</v>
      </c>
      <c r="B5625" s="391"/>
      <c r="C5625" s="391"/>
      <c r="D5625" s="391"/>
      <c r="E5625" s="391"/>
      <c r="F5625" s="391"/>
      <c r="G5625" s="391"/>
      <c r="H5625" s="394"/>
    </row>
    <row r="5626" spans="1:8" ht="15.75" customHeight="1" x14ac:dyDescent="0.25">
      <c r="A5626" s="390"/>
      <c r="B5626" s="390"/>
      <c r="C5626" s="390"/>
      <c r="D5626" s="392"/>
      <c r="E5626" s="569"/>
      <c r="F5626" s="391"/>
      <c r="G5626" s="390"/>
      <c r="H5626" s="394"/>
    </row>
    <row r="5627" spans="1:8" ht="15.75" customHeight="1" x14ac:dyDescent="0.25">
      <c r="A5627" s="390"/>
      <c r="B5627" s="390"/>
      <c r="C5627" s="393"/>
      <c r="D5627" s="398"/>
      <c r="E5627" s="393"/>
      <c r="F5627" s="395" t="s">
        <v>18</v>
      </c>
      <c r="G5627" s="390" t="s">
        <v>812</v>
      </c>
      <c r="H5627" s="394"/>
    </row>
    <row r="5628" spans="1:8" ht="15.75" customHeight="1" x14ac:dyDescent="0.25">
      <c r="A5628" s="390"/>
      <c r="B5628" s="390"/>
      <c r="C5628" s="390"/>
      <c r="D5628" s="391"/>
      <c r="E5628" s="390"/>
      <c r="F5628" s="393" t="s">
        <v>21</v>
      </c>
      <c r="G5628" s="390" t="s">
        <v>1688</v>
      </c>
      <c r="H5628" s="394"/>
    </row>
    <row r="5629" spans="1:8" ht="15.75" customHeight="1" x14ac:dyDescent="0.25">
      <c r="A5629" s="390" t="s">
        <v>20</v>
      </c>
      <c r="B5629" s="390"/>
      <c r="C5629" s="390"/>
      <c r="D5629" s="391"/>
      <c r="E5629" s="390"/>
      <c r="F5629" s="391"/>
      <c r="G5629" s="390"/>
      <c r="H5629" s="394"/>
    </row>
    <row r="5630" spans="1:8" ht="15.75" customHeight="1" x14ac:dyDescent="0.25">
      <c r="A5630" s="390" t="inlineStr">
        <is>
          <t>Dealer-003</t>
        </is>
      </c>
      <c r="B5630" s="390"/>
      <c r="C5630" s="398"/>
      <c r="D5630" s="391"/>
      <c r="E5630" s="390"/>
      <c r="F5630" s="391"/>
      <c r="G5630" s="390"/>
      <c r="H5630" s="394"/>
    </row>
    <row r="5631" spans="1:8" ht="15.75" customHeight="1" x14ac:dyDescent="0.25">
      <c r="A5631" s="390" t="inlineStr">
        <is>
          <t>Address line (redacted)</t>
        </is>
      </c>
      <c r="B5631" s="390"/>
      <c r="C5631" s="390"/>
      <c r="D5631" s="391"/>
      <c r="E5631" s="390"/>
      <c r="F5631" s="391"/>
      <c r="G5631" s="390"/>
      <c r="H5631" s="394"/>
    </row>
    <row r="5632" spans="1:8" ht="15.75" customHeight="1" x14ac:dyDescent="0.25">
      <c r="A5632" s="390" t="inlineStr">
        <is>
          <t>Address line (redacted)</t>
        </is>
      </c>
      <c r="B5632" s="390"/>
      <c r="C5632" s="390"/>
      <c r="D5632" s="391"/>
      <c r="E5632" s="390"/>
      <c r="F5632" s="391"/>
      <c r="G5632" s="390"/>
      <c r="H5632" s="394"/>
    </row>
    <row r="5633" spans="1:8" ht="15.75" customHeight="1" x14ac:dyDescent="0.25">
      <c r="A5633" s="390"/>
      <c r="B5633" s="390"/>
      <c r="C5633" s="390"/>
      <c r="D5633" s="391"/>
      <c r="E5633" s="390"/>
      <c r="F5633" s="391"/>
      <c r="G5633" s="390"/>
      <c r="H5633" s="394"/>
    </row>
    <row r="5634" spans="1:8" ht="15.75" customHeight="1" x14ac:dyDescent="0.25">
      <c r="A5634" s="390" t="s">
        <v>30</v>
      </c>
      <c r="B5634" s="390"/>
      <c r="C5634" s="390"/>
      <c r="D5634" s="391"/>
      <c r="E5634" s="390"/>
      <c r="F5634" s="391"/>
      <c r="G5634" s="390"/>
      <c r="H5634" s="394"/>
    </row>
    <row r="5635" spans="1:8" ht="15.75" customHeight="1" x14ac:dyDescent="0.25">
      <c r="A5635" s="390"/>
      <c r="B5635" s="390"/>
      <c r="C5635" s="390"/>
      <c r="D5635" s="391"/>
      <c r="E5635" s="390"/>
      <c r="F5635" s="391"/>
      <c r="G5635" s="390"/>
      <c r="H5635" s="394"/>
    </row>
    <row r="5636" spans="1:8" ht="15.75" customHeight="1" x14ac:dyDescent="0.25">
      <c r="A5636" s="390" t="s">
        <v>1322</v>
      </c>
      <c r="B5636" s="390"/>
      <c r="C5636" s="390"/>
      <c r="D5636" s="391"/>
      <c r="E5636" s="390"/>
      <c r="F5636" s="391"/>
      <c r="G5636" s="390"/>
      <c r="H5636" s="394"/>
    </row>
    <row r="5637" spans="1:8" ht="15.75" customHeight="1" x14ac:dyDescent="0.25">
      <c r="A5637" s="390" t="s">
        <v>1328</v>
      </c>
      <c r="B5637" s="390"/>
      <c r="C5637" s="390"/>
      <c r="D5637" s="391"/>
      <c r="E5637" s="390"/>
      <c r="F5637" s="391"/>
      <c r="G5637" s="390"/>
      <c r="H5637" s="394"/>
    </row>
    <row r="5638" spans="1:8" ht="15.75" customHeight="1" x14ac:dyDescent="0.25">
      <c r="A5638" s="390"/>
      <c r="B5638" s="390"/>
      <c r="C5638" s="390"/>
      <c r="D5638" s="391"/>
      <c r="E5638" s="390"/>
      <c r="F5638" s="391"/>
      <c r="G5638" s="390"/>
      <c r="H5638" s="394"/>
    </row>
    <row r="5639" spans="1:8" ht="15.75" customHeight="1" x14ac:dyDescent="0.25">
      <c r="A5639" s="399" t="s">
        <v>33</v>
      </c>
      <c r="B5639" s="400" t="s">
        <v>6</v>
      </c>
      <c r="C5639" s="400"/>
      <c r="D5639" s="401" t="s">
        <v>37</v>
      </c>
      <c r="E5639" s="402" t="s">
        <v>38</v>
      </c>
      <c r="F5639" s="403" t="s">
        <v>7</v>
      </c>
      <c r="G5639" s="404" t="s">
        <v>43</v>
      </c>
      <c r="H5639" s="405" t="s">
        <v>44</v>
      </c>
    </row>
    <row r="5640" spans="1:8" ht="15.75" customHeight="1" x14ac:dyDescent="0.25">
      <c r="A5640" s="406"/>
      <c r="B5640" s="407"/>
      <c r="C5640" s="393"/>
      <c r="D5640" s="410"/>
      <c r="E5640" s="408"/>
      <c r="F5640" s="409"/>
      <c r="G5640" s="410"/>
      <c r="H5640" s="411"/>
    </row>
    <row r="5641" spans="1:8" ht="15.75" customHeight="1" x14ac:dyDescent="0.25">
      <c r="A5641" s="656"/>
      <c r="B5641" s="578" t="s">
        <v>1689</v>
      </c>
      <c r="C5641" s="578"/>
      <c r="D5641" s="415"/>
      <c r="E5641" s="415"/>
      <c r="F5641" s="415"/>
      <c r="G5641" s="415"/>
      <c r="H5641" s="416"/>
    </row>
    <row r="5642" spans="1:8" ht="15.75" customHeight="1" x14ac:dyDescent="0.25">
      <c r="A5642" s="656" t="s">
        <v>55</v>
      </c>
      <c r="B5642" s="644" t="s">
        <v>1690</v>
      </c>
      <c r="C5642" s="418"/>
      <c r="D5642" s="415"/>
      <c r="E5642" s="415"/>
      <c r="F5642" s="415">
        <v>25</v>
      </c>
      <c r="G5642" s="579" t="s">
        <v>1856</v>
      </c>
      <c r="H5642" s="416" t="s">
        <v>1856</v>
      </c>
    </row>
    <row r="5643" spans="1:8" ht="15.75" customHeight="1" x14ac:dyDescent="0.25">
      <c r="A5643" s="656"/>
      <c r="B5643" s="644"/>
      <c r="C5643" s="418"/>
      <c r="D5643" s="415"/>
      <c r="E5643" s="415"/>
      <c r="F5643" s="415"/>
      <c r="G5643" s="415"/>
      <c r="H5643" s="416"/>
    </row>
    <row r="5644" spans="1:8" ht="15.75" customHeight="1" x14ac:dyDescent="0.25">
      <c r="A5644" s="629"/>
      <c r="B5644" s="448"/>
      <c r="C5644" s="390"/>
      <c r="D5644" s="427"/>
      <c r="E5644" s="427"/>
      <c r="F5644" s="428"/>
      <c r="G5644" s="427"/>
      <c r="H5644" s="429"/>
    </row>
    <row r="5645" spans="1:8" ht="15.75" customHeight="1" x14ac:dyDescent="0.25">
      <c r="A5645" s="629"/>
      <c r="B5645" s="448"/>
      <c r="C5645" s="390"/>
      <c r="D5645" s="427"/>
      <c r="E5645" s="427"/>
      <c r="F5645" s="428"/>
      <c r="G5645" s="427"/>
      <c r="H5645" s="429"/>
    </row>
    <row r="5646" spans="1:8" ht="15.75" customHeight="1" x14ac:dyDescent="0.25">
      <c r="A5646" s="430"/>
      <c r="B5646" s="409"/>
      <c r="C5646" s="393"/>
      <c r="D5646" s="427"/>
      <c r="E5646" s="427"/>
      <c r="F5646" s="428"/>
      <c r="G5646" s="431"/>
      <c r="H5646" s="429"/>
    </row>
    <row r="5647" spans="1:8" ht="15.75" customHeight="1" x14ac:dyDescent="0.25">
      <c r="A5647" s="432"/>
      <c r="B5647" s="433"/>
      <c r="C5647" s="434" t="s">
        <v>85</v>
      </c>
      <c r="D5647" s="436">
        <f t="shared" ref="D5647:F5647" si="173">SUM(D5641:D5646)</f>
      </c>
      <c r="E5647" s="436">
        <f t="shared" si="173"/>
      </c>
      <c r="F5647" s="436">
        <f t="shared" si="173"/>
      </c>
      <c r="G5647" s="437"/>
      <c r="H5647" s="623">
        <f>SUM(H5642:H5646)</f>
      </c>
    </row>
    <row r="5648" spans="1:8" ht="15.75" customHeight="1" x14ac:dyDescent="0.25">
      <c r="A5648" s="439"/>
      <c r="B5648" s="440"/>
      <c r="C5648" s="440"/>
      <c r="D5648" s="441"/>
      <c r="E5648" s="440"/>
      <c r="F5648" s="442"/>
      <c r="G5648" s="443"/>
      <c r="H5648" s="444"/>
    </row>
    <row r="5649" spans="1:8" ht="15.75" customHeight="1" x14ac:dyDescent="0.25">
      <c r="A5649" s="392"/>
      <c r="B5649" s="391"/>
      <c r="C5649" s="391"/>
      <c r="D5649" s="391"/>
      <c r="E5649" s="390"/>
      <c r="F5649" s="392"/>
      <c r="G5649" s="390"/>
      <c r="H5649" s="394"/>
    </row>
    <row r="5650" spans="1:8" ht="15.75" customHeight="1" x14ac:dyDescent="0.25">
      <c r="A5650" s="445"/>
      <c r="B5650" s="445"/>
      <c r="C5650" s="445"/>
      <c r="D5650" s="446" t="s">
        <v>97</v>
      </c>
      <c r="E5650" s="445" t="s">
        <v>98</v>
      </c>
      <c r="F5650" s="445"/>
      <c r="G5650" s="390"/>
      <c r="H5650" s="394"/>
    </row>
    <row r="5651" spans="1:8" ht="15.75" customHeight="1" x14ac:dyDescent="0.25">
      <c r="A5651" s="390"/>
      <c r="B5651" s="390"/>
      <c r="C5651" s="390"/>
      <c r="D5651" s="391"/>
      <c r="E5651" s="390"/>
      <c r="F5651" s="390"/>
      <c r="G5651" s="390"/>
      <c r="H5651" s="394"/>
    </row>
    <row r="5652" spans="1:8" ht="15.75" customHeight="1" x14ac:dyDescent="0.25">
      <c r="A5652" s="390"/>
      <c r="B5652" s="390"/>
      <c r="C5652" s="390"/>
      <c r="D5652" s="391"/>
      <c r="E5652" s="390"/>
      <c r="F5652" s="390"/>
      <c r="G5652" s="390"/>
      <c r="H5652" s="394"/>
    </row>
    <row r="5653" spans="1:8" ht="15.75" customHeight="1" x14ac:dyDescent="0.25">
      <c r="A5653" s="445"/>
      <c r="B5653" s="445"/>
      <c r="C5653" s="445"/>
      <c r="D5653" s="446"/>
      <c r="E5653" s="445" t="s">
        <v>99</v>
      </c>
      <c r="F5653" s="445"/>
      <c r="G5653" s="390"/>
      <c r="H5653" s="394"/>
    </row>
    <row r="5654" spans="1:8" ht="15.75" customHeight="1" x14ac:dyDescent="0.25">
      <c r="D5654" s="4"/>
      <c r="H5654" s="4"/>
    </row>
    <row r="5655" spans="1:8" ht="15.75" customHeight="1" x14ac:dyDescent="0.25">
      <c r="D5655" s="4"/>
      <c r="H5655" s="4"/>
    </row>
    <row r="5656" spans="1:8" ht="15.75" customHeight="1" x14ac:dyDescent="0.25">
      <c r="D5656" s="4"/>
      <c r="H5656" s="4"/>
    </row>
    <row r="5657" spans="1:8" ht="15.75" customHeight="1" x14ac:dyDescent="0.25">
      <c r="D5657" s="4"/>
      <c r="H5657" s="4"/>
    </row>
    <row r="5658" spans="1:8" ht="15.75" customHeight="1" x14ac:dyDescent="0.25">
      <c r="D5658" s="4"/>
      <c r="H5658" s="4"/>
    </row>
    <row r="5659" spans="1:8" ht="15.75" customHeight="1" x14ac:dyDescent="0.25">
      <c r="D5659" s="4"/>
      <c r="H5659" s="4"/>
    </row>
    <row r="5660" spans="1:8" ht="15.75" customHeight="1" x14ac:dyDescent="0.25">
      <c r="D5660" s="4"/>
      <c r="H5660" s="4"/>
    </row>
    <row r="5661" spans="1:8" ht="15.75" customHeight="1" x14ac:dyDescent="0.25">
      <c r="D5661" s="4"/>
      <c r="H5661" s="4"/>
    </row>
    <row r="5662" spans="1:8" ht="15.75" customHeight="1" x14ac:dyDescent="0.25">
      <c r="D5662" s="4"/>
      <c r="H5662" s="4"/>
    </row>
    <row r="5663" spans="1:8" ht="15.75" customHeight="1" x14ac:dyDescent="0.25">
      <c r="D5663" s="4"/>
      <c r="H5663" s="4"/>
    </row>
    <row r="5664" spans="1:8" ht="15.75" customHeight="1" x14ac:dyDescent="0.25">
      <c r="D5664" s="4"/>
      <c r="H5664" s="4"/>
    </row>
    <row r="5665" spans="1:8" ht="15.75" customHeight="1" x14ac:dyDescent="0.25">
      <c r="D5665" s="4"/>
      <c r="H5665" s="4"/>
    </row>
    <row r="5666" spans="1:8" ht="15.75" customHeight="1" x14ac:dyDescent="0.25">
      <c r="D5666" s="4"/>
      <c r="H5666" s="4"/>
    </row>
    <row r="5667" spans="1:8" ht="15.75" customHeight="1" x14ac:dyDescent="0.25">
      <c r="D5667" s="4"/>
      <c r="H5667" s="4"/>
    </row>
    <row r="5668" spans="1:8" ht="15.75" customHeight="1" x14ac:dyDescent="0.25">
      <c r="D5668" s="4"/>
      <c r="H5668" s="4"/>
    </row>
    <row r="5669" spans="1:8" ht="15.75" customHeight="1" x14ac:dyDescent="0.25">
      <c r="D5669" s="4"/>
      <c r="H5669" s="4"/>
    </row>
    <row r="5670" spans="1:8" ht="15.75" customHeight="1" x14ac:dyDescent="0.25">
      <c r="D5670" s="4"/>
      <c r="H5670" s="4"/>
    </row>
    <row r="5671" spans="1:8" ht="15.75" customHeight="1" x14ac:dyDescent="0.25">
      <c r="A5671" s="392" t="s">
        <v>14</v>
      </c>
      <c r="B5671" s="391"/>
      <c r="C5671" s="391"/>
      <c r="D5671" s="391"/>
      <c r="E5671" s="391"/>
      <c r="F5671" s="391"/>
      <c r="G5671" s="391"/>
      <c r="H5671" s="394"/>
    </row>
    <row r="5672" spans="1:8" ht="15.75" customHeight="1" x14ac:dyDescent="0.25">
      <c r="A5672" s="392"/>
      <c r="B5672" s="391"/>
      <c r="C5672" s="391"/>
      <c r="D5672" s="391"/>
      <c r="E5672" s="390"/>
      <c r="F5672" s="392"/>
      <c r="G5672" s="390"/>
      <c r="H5672" s="394"/>
    </row>
    <row r="5673" spans="1:8" ht="15.75" customHeight="1" x14ac:dyDescent="0.25">
      <c r="A5673" s="392"/>
      <c r="B5673" s="391"/>
      <c r="C5673" s="391"/>
      <c r="D5673" s="391"/>
      <c r="E5673" s="390"/>
      <c r="F5673" s="392"/>
      <c r="G5673" s="390"/>
      <c r="H5673" s="394"/>
    </row>
    <row r="5674" spans="1:8" ht="15.75" customHeight="1" x14ac:dyDescent="0.25">
      <c r="A5674" s="390" t="s">
        <v>20</v>
      </c>
      <c r="B5674" s="390"/>
      <c r="C5674" s="390"/>
      <c r="D5674" s="391"/>
      <c r="E5674" s="390"/>
      <c r="F5674" s="392"/>
      <c r="G5674" s="390"/>
      <c r="H5674" s="394"/>
    </row>
    <row r="5675" spans="1:8" ht="15.75" customHeight="1" x14ac:dyDescent="0.25">
      <c r="A5675" s="390" t="inlineStr">
        <is>
          <t>Dealer-013</t>
        </is>
      </c>
      <c r="B5675" s="390"/>
      <c r="C5675" s="390" t="inlineStr">
        <is>
          <t>ATTN: Contact-003</t>
        </is>
      </c>
      <c r="D5675" s="391"/>
      <c r="E5675" s="390"/>
      <c r="F5675" s="395" t="s">
        <v>18</v>
      </c>
      <c r="G5675" s="390" t="s">
        <v>816</v>
      </c>
      <c r="H5675" s="394"/>
    </row>
    <row r="5676" spans="1:8" ht="15.75" customHeight="1" x14ac:dyDescent="0.25">
      <c r="A5676" s="390" t="inlineStr">
        <is>
          <t>Address line (redacted)</t>
        </is>
      </c>
      <c r="B5676" s="390"/>
      <c r="C5676" s="390"/>
      <c r="D5676" s="391"/>
      <c r="E5676" s="390"/>
      <c r="F5676" s="393" t="s">
        <v>21</v>
      </c>
      <c r="G5676" s="390" t="s">
        <v>1691</v>
      </c>
      <c r="H5676" s="394"/>
    </row>
    <row r="5677" spans="1:8" ht="15.75" customHeight="1" x14ac:dyDescent="0.25">
      <c r="A5677" s="390" t="inlineStr">
        <is>
          <t>Address line (redacted)</t>
        </is>
      </c>
      <c r="B5677" s="390"/>
      <c r="C5677" s="390"/>
      <c r="D5677" s="391"/>
      <c r="E5677" s="390"/>
      <c r="F5677" s="391"/>
      <c r="G5677" s="390"/>
      <c r="H5677" s="394"/>
    </row>
    <row r="5678" spans="1:8" ht="15.75" customHeight="1" x14ac:dyDescent="0.25">
      <c r="A5678" s="390"/>
      <c r="B5678" s="390"/>
      <c r="C5678" s="393"/>
      <c r="D5678" s="391"/>
      <c r="E5678" s="390"/>
      <c r="F5678" s="391"/>
      <c r="G5678" s="390"/>
      <c r="H5678" s="394"/>
    </row>
    <row r="5679" spans="1:8" ht="15.75" customHeight="1" x14ac:dyDescent="0.25">
      <c r="A5679" s="390"/>
      <c r="B5679" s="390"/>
      <c r="C5679" s="390"/>
      <c r="D5679" s="391"/>
      <c r="E5679" s="390"/>
      <c r="F5679" s="391"/>
      <c r="G5679" s="390"/>
      <c r="H5679" s="394"/>
    </row>
    <row r="5680" spans="1:8" ht="15.75" customHeight="1" x14ac:dyDescent="0.25">
      <c r="A5680" s="390" t="s">
        <v>30</v>
      </c>
      <c r="B5680" s="390"/>
      <c r="C5680" s="390"/>
      <c r="D5680" s="391"/>
      <c r="E5680" s="390"/>
      <c r="F5680" s="391"/>
      <c r="G5680" s="390"/>
      <c r="H5680" s="394"/>
    </row>
    <row r="5681" spans="1:8" ht="15.75" customHeight="1" x14ac:dyDescent="0.25">
      <c r="A5681" s="390"/>
      <c r="B5681" s="390"/>
      <c r="C5681" s="390"/>
      <c r="D5681" s="391"/>
      <c r="E5681" s="390"/>
      <c r="F5681" s="391"/>
      <c r="G5681" s="390"/>
      <c r="H5681" s="394"/>
    </row>
    <row r="5682" spans="1:8" ht="15.75" customHeight="1" x14ac:dyDescent="0.25">
      <c r="A5682" s="390" t="s">
        <v>1322</v>
      </c>
      <c r="B5682" s="390"/>
      <c r="C5682" s="390"/>
      <c r="D5682" s="391"/>
      <c r="E5682" s="390"/>
      <c r="F5682" s="391"/>
      <c r="G5682" s="390"/>
      <c r="H5682" s="394"/>
    </row>
    <row r="5683" spans="1:8" ht="15.75" customHeight="1" x14ac:dyDescent="0.25">
      <c r="A5683" s="390" t="s">
        <v>1328</v>
      </c>
      <c r="B5683" s="390"/>
      <c r="C5683" s="390"/>
      <c r="D5683" s="391"/>
      <c r="E5683" s="390"/>
      <c r="F5683" s="391"/>
      <c r="G5683" s="390"/>
      <c r="H5683" s="394"/>
    </row>
    <row r="5684" spans="1:8" ht="15.75" customHeight="1" x14ac:dyDescent="0.25">
      <c r="A5684" s="390"/>
      <c r="B5684" s="390"/>
      <c r="C5684" s="390"/>
      <c r="D5684" s="391"/>
      <c r="E5684" s="390"/>
      <c r="F5684" s="391"/>
      <c r="G5684" s="390"/>
      <c r="H5684" s="394"/>
    </row>
    <row r="5685" spans="1:8" ht="15.75" customHeight="1" x14ac:dyDescent="0.25">
      <c r="A5685" s="399" t="s">
        <v>33</v>
      </c>
      <c r="B5685" s="400" t="s">
        <v>6</v>
      </c>
      <c r="C5685" s="400"/>
      <c r="D5685" s="401" t="s">
        <v>37</v>
      </c>
      <c r="E5685" s="402" t="s">
        <v>1309</v>
      </c>
      <c r="F5685" s="609" t="s">
        <v>7</v>
      </c>
      <c r="G5685" s="400" t="s">
        <v>43</v>
      </c>
      <c r="H5685" s="405" t="s">
        <v>44</v>
      </c>
    </row>
    <row r="5686" spans="1:8" ht="15.75" customHeight="1" x14ac:dyDescent="0.25">
      <c r="A5686" s="610"/>
      <c r="B5686" s="611"/>
      <c r="C5686" s="611"/>
      <c r="D5686" s="612"/>
      <c r="E5686" s="613"/>
      <c r="F5686" s="614"/>
      <c r="G5686" s="611"/>
      <c r="H5686" s="615"/>
    </row>
    <row r="5687" spans="1:8" ht="15.75" customHeight="1" x14ac:dyDescent="0.25">
      <c r="A5687" s="412"/>
      <c r="B5687" s="654" t="s">
        <v>1681</v>
      </c>
      <c r="C5687" s="654"/>
      <c r="D5687" s="415"/>
      <c r="E5687" s="415"/>
      <c r="F5687" s="415"/>
      <c r="G5687" s="415"/>
      <c r="H5687" s="416"/>
    </row>
    <row r="5688" spans="1:8" ht="15.75" customHeight="1" x14ac:dyDescent="0.25">
      <c r="A5688" s="581" t="s">
        <v>55</v>
      </c>
      <c r="B5688" s="582" t="s">
        <v>1692</v>
      </c>
      <c r="C5688" s="582" t="s">
        <v>1693</v>
      </c>
      <c r="D5688" s="415">
        <v>10</v>
      </c>
      <c r="E5688" s="415">
        <v>1</v>
      </c>
      <c r="F5688" s="415">
        <f>+E5688*D5688</f>
      </c>
      <c r="G5688" s="415">
        <v>1</v>
      </c>
      <c r="H5688" s="589">
        <f>+G5688*F5688</f>
      </c>
    </row>
    <row r="5689" spans="1:8" ht="15.75" customHeight="1" x14ac:dyDescent="0.25">
      <c r="A5689" s="581" t="s">
        <v>59</v>
      </c>
      <c r="B5689" s="582" t="s">
        <v>1694</v>
      </c>
      <c r="C5689" s="582" t="s">
        <v>1695</v>
      </c>
      <c r="D5689" s="415"/>
      <c r="E5689" s="415"/>
      <c r="F5689" s="415"/>
      <c r="G5689" s="415"/>
      <c r="H5689" s="589"/>
    </row>
    <row r="5690" spans="1:8" ht="15.75" customHeight="1" x14ac:dyDescent="0.25">
      <c r="A5690" s="581" t="s">
        <v>67</v>
      </c>
      <c r="B5690" s="582" t="s">
        <v>1696</v>
      </c>
      <c r="C5690" s="582" t="s">
        <v>1697</v>
      </c>
      <c r="D5690" s="415"/>
      <c r="E5690" s="415"/>
      <c r="F5690" s="415"/>
      <c r="G5690" s="415"/>
      <c r="H5690" s="589"/>
    </row>
    <row r="5691" spans="1:8" ht="15.75" customHeight="1" x14ac:dyDescent="0.25">
      <c r="A5691" s="581"/>
      <c r="B5691" s="654" t="s">
        <v>1698</v>
      </c>
      <c r="C5691" s="654"/>
      <c r="D5691" s="415"/>
      <c r="E5691" s="415"/>
      <c r="F5691" s="415"/>
      <c r="G5691" s="415"/>
      <c r="H5691" s="589"/>
    </row>
    <row r="5692" spans="1:8" ht="15.75" customHeight="1" x14ac:dyDescent="0.25">
      <c r="A5692" s="581" t="s">
        <v>485</v>
      </c>
      <c r="B5692" s="582" t="s">
        <v>815</v>
      </c>
      <c r="C5692" s="582" t="s">
        <v>690</v>
      </c>
      <c r="D5692" s="415">
        <v>0</v>
      </c>
      <c r="E5692" s="415">
        <v>0</v>
      </c>
      <c r="F5692" s="415">
        <v>1</v>
      </c>
      <c r="G5692" s="415">
        <v>1</v>
      </c>
      <c r="H5692" s="589">
        <f>+G5692*F5692</f>
      </c>
    </row>
    <row r="5693" spans="1:8" ht="15.75" customHeight="1" x14ac:dyDescent="0.25">
      <c r="A5693" s="581"/>
      <c r="B5693" s="582"/>
      <c r="C5693" s="582"/>
      <c r="D5693" s="415"/>
      <c r="E5693" s="415"/>
      <c r="F5693" s="415"/>
      <c r="G5693" s="415"/>
      <c r="H5693" s="589"/>
    </row>
    <row r="5694" spans="1:8" ht="15.75" customHeight="1" x14ac:dyDescent="0.25">
      <c r="A5694" s="430"/>
      <c r="B5694" s="409"/>
      <c r="C5694" s="393"/>
      <c r="D5694" s="427"/>
      <c r="E5694" s="427"/>
      <c r="F5694" s="428"/>
      <c r="G5694" s="427"/>
      <c r="H5694" s="429"/>
    </row>
    <row r="5695" spans="1:8" ht="15.75" customHeight="1" x14ac:dyDescent="0.25">
      <c r="A5695" s="432"/>
      <c r="B5695" s="433"/>
      <c r="C5695" s="434" t="s">
        <v>85</v>
      </c>
      <c r="D5695" s="659">
        <f>SUM(D5687:D5694)</f>
      </c>
      <c r="E5695" s="401"/>
      <c r="F5695" s="660"/>
      <c r="G5695" s="661"/>
      <c r="H5695" s="623">
        <f>SUM(H5687:H5694)</f>
      </c>
    </row>
    <row r="5696" spans="1:8" ht="15.75" customHeight="1" x14ac:dyDescent="0.25">
      <c r="A5696" s="439"/>
      <c r="B5696" s="440"/>
      <c r="C5696" s="440"/>
      <c r="D5696" s="441"/>
      <c r="E5696" s="440"/>
      <c r="F5696" s="442"/>
      <c r="G5696" s="443"/>
      <c r="H5696" s="444"/>
    </row>
    <row r="5697" spans="1:8" ht="15.75" customHeight="1" x14ac:dyDescent="0.25">
      <c r="A5697" s="392"/>
      <c r="B5697" s="391"/>
      <c r="C5697" s="391"/>
      <c r="D5697" s="391"/>
      <c r="E5697" s="390"/>
      <c r="F5697" s="392"/>
      <c r="G5697" s="390"/>
      <c r="H5697" s="394"/>
    </row>
    <row r="5698" spans="1:8" ht="15.75" customHeight="1" x14ac:dyDescent="0.25">
      <c r="A5698" s="445"/>
      <c r="B5698" s="445"/>
      <c r="C5698" s="445"/>
      <c r="D5698" s="446" t="s">
        <v>97</v>
      </c>
      <c r="E5698" s="445" t="s">
        <v>98</v>
      </c>
      <c r="F5698" s="445"/>
      <c r="G5698" s="390"/>
      <c r="H5698" s="394"/>
    </row>
    <row r="5699" spans="1:8" ht="15.75" customHeight="1" x14ac:dyDescent="0.25">
      <c r="A5699" s="390"/>
      <c r="B5699" s="390"/>
      <c r="C5699" s="390"/>
      <c r="D5699" s="391"/>
      <c r="E5699" s="390"/>
      <c r="F5699" s="390"/>
      <c r="G5699" s="390"/>
      <c r="H5699" s="394"/>
    </row>
    <row r="5700" spans="1:8" ht="15.75" customHeight="1" x14ac:dyDescent="0.25">
      <c r="A5700" s="390"/>
      <c r="B5700" s="390"/>
      <c r="C5700" s="390"/>
      <c r="D5700" s="391"/>
      <c r="E5700" s="390"/>
      <c r="F5700" s="390"/>
      <c r="G5700" s="390"/>
      <c r="H5700" s="394"/>
    </row>
    <row r="5701" spans="1:8" ht="15.75" customHeight="1" x14ac:dyDescent="0.25">
      <c r="A5701" s="445"/>
      <c r="B5701" s="445"/>
      <c r="C5701" s="445"/>
      <c r="D5701" s="446"/>
      <c r="E5701" s="445" t="s">
        <v>99</v>
      </c>
      <c r="F5701" s="445"/>
      <c r="G5701" s="390"/>
      <c r="H5701" s="394"/>
    </row>
    <row r="5702" spans="1:8" ht="15.75" customHeight="1" x14ac:dyDescent="0.25">
      <c r="D5702" s="4"/>
      <c r="H5702" s="4"/>
    </row>
    <row r="5703" spans="1:8" ht="15.75" customHeight="1" x14ac:dyDescent="0.25">
      <c r="D5703" s="4"/>
      <c r="H5703" s="4"/>
    </row>
    <row r="5704" spans="1:8" ht="15.75" customHeight="1" x14ac:dyDescent="0.25">
      <c r="D5704" s="4"/>
      <c r="H5704" s="4"/>
    </row>
    <row r="5705" spans="1:8" ht="15.75" customHeight="1" x14ac:dyDescent="0.25">
      <c r="D5705" s="4"/>
      <c r="H5705" s="4"/>
    </row>
    <row r="5706" spans="1:8" ht="15.75" customHeight="1" x14ac:dyDescent="0.25">
      <c r="D5706" s="4"/>
      <c r="H5706" s="4"/>
    </row>
    <row r="5707" spans="1:8" ht="15.75" customHeight="1" x14ac:dyDescent="0.25">
      <c r="D5707" s="4"/>
      <c r="H5707" s="4"/>
    </row>
    <row r="5708" spans="1:8" ht="15.75" customHeight="1" x14ac:dyDescent="0.25">
      <c r="D5708" s="4"/>
      <c r="H5708" s="4"/>
    </row>
    <row r="5709" spans="1:8" ht="15.75" customHeight="1" x14ac:dyDescent="0.25">
      <c r="D5709" s="4"/>
      <c r="H5709" s="4"/>
    </row>
    <row r="5710" spans="1:8" ht="15.75" customHeight="1" x14ac:dyDescent="0.25">
      <c r="D5710" s="4"/>
      <c r="H5710" s="4"/>
    </row>
    <row r="5711" spans="1:8" ht="15.75" customHeight="1" x14ac:dyDescent="0.25">
      <c r="D5711" s="4"/>
      <c r="H5711" s="4"/>
    </row>
    <row r="5712" spans="1:8" ht="15.75" customHeight="1" x14ac:dyDescent="0.25">
      <c r="D5712" s="4"/>
      <c r="H5712" s="4"/>
    </row>
    <row r="5713" spans="1:20" ht="15.75" customHeight="1" x14ac:dyDescent="0.25">
      <c r="D5713" s="4"/>
      <c r="H5713" s="4"/>
    </row>
    <row r="5714" spans="1:20" ht="15.75" customHeight="1" x14ac:dyDescent="0.25">
      <c r="D5714" s="4"/>
      <c r="H5714" s="4"/>
    </row>
    <row r="5715" spans="1:20" ht="15.75" customHeight="1" x14ac:dyDescent="0.25">
      <c r="D5715" s="4"/>
      <c r="H5715" s="4"/>
    </row>
    <row r="5716" spans="1:20" ht="15.75" customHeight="1" x14ac:dyDescent="0.25">
      <c r="D5716" s="4"/>
      <c r="H5716" s="4"/>
    </row>
    <row r="5717" spans="1:20" ht="15.75" customHeight="1" x14ac:dyDescent="0.25">
      <c r="A5717" s="392" t="s">
        <v>14</v>
      </c>
      <c r="B5717" s="391"/>
      <c r="C5717" s="391"/>
      <c r="D5717" s="391"/>
      <c r="E5717" s="391"/>
      <c r="F5717" s="391"/>
      <c r="G5717" s="391"/>
      <c r="H5717" s="394"/>
    </row>
    <row r="5718" spans="1:20" ht="15.75" customHeight="1" x14ac:dyDescent="0.25">
      <c r="A5718" s="392"/>
      <c r="B5718" s="391"/>
      <c r="C5718" s="391"/>
      <c r="D5718" s="391"/>
      <c r="E5718" s="390"/>
      <c r="F5718" s="392"/>
      <c r="G5718" s="390"/>
      <c r="H5718" s="394"/>
    </row>
    <row r="5719" spans="1:20" ht="15.75" customHeight="1" x14ac:dyDescent="0.25">
      <c r="A5719" s="392"/>
      <c r="B5719" s="391"/>
      <c r="C5719" s="391"/>
      <c r="D5719" s="391"/>
      <c r="E5719" s="390"/>
      <c r="F5719" s="392"/>
      <c r="G5719" s="390"/>
      <c r="H5719" s="394"/>
      <c r="I5719" s="390"/>
      <c r="J5719" s="390"/>
      <c r="K5719" s="390"/>
      <c r="L5719" s="390"/>
      <c r="M5719" s="390"/>
      <c r="N5719" s="390"/>
      <c r="O5719" s="390"/>
      <c r="P5719" s="390"/>
      <c r="Q5719" s="390"/>
      <c r="R5719" s="390"/>
      <c r="S5719" s="390"/>
      <c r="T5719" s="390"/>
    </row>
    <row r="5720" spans="1:20" ht="15.75" customHeight="1" x14ac:dyDescent="0.25">
      <c r="A5720" s="390" t="s">
        <v>20</v>
      </c>
      <c r="B5720" s="390"/>
      <c r="C5720" s="390"/>
      <c r="D5720" s="391"/>
      <c r="E5720" s="390"/>
      <c r="F5720" s="392"/>
      <c r="G5720" s="390"/>
      <c r="H5720" s="394"/>
      <c r="I5720" s="390"/>
      <c r="J5720" s="390"/>
      <c r="K5720" s="390"/>
      <c r="L5720" s="390"/>
      <c r="M5720" s="390"/>
      <c r="N5720" s="390"/>
      <c r="O5720" s="390"/>
      <c r="P5720" s="390"/>
      <c r="Q5720" s="390"/>
      <c r="R5720" s="390"/>
      <c r="S5720" s="390"/>
      <c r="T5720" s="390"/>
    </row>
    <row r="5721" spans="1:20" ht="15.75" customHeight="1" x14ac:dyDescent="0.25">
      <c r="A5721" s="390" t="inlineStr">
        <is>
          <t>Dealer-002</t>
        </is>
      </c>
      <c r="B5721" s="390"/>
      <c r="C5721" s="390"/>
      <c r="D5721" s="391"/>
      <c r="E5721" s="390"/>
      <c r="F5721" s="395" t="s">
        <v>18</v>
      </c>
      <c r="G5721" s="390" t="s">
        <v>825</v>
      </c>
      <c r="H5721" s="394"/>
      <c r="I5721" s="390"/>
      <c r="J5721" s="390"/>
      <c r="K5721" s="390"/>
      <c r="L5721" s="390"/>
      <c r="M5721" s="390"/>
      <c r="N5721" s="390"/>
      <c r="O5721" s="390"/>
      <c r="P5721" s="390"/>
      <c r="Q5721" s="390"/>
      <c r="R5721" s="390"/>
      <c r="S5721" s="390"/>
      <c r="T5721" s="390"/>
    </row>
    <row r="5722" spans="1:20" ht="15.75" customHeight="1" x14ac:dyDescent="0.25">
      <c r="A5722" s="390" t="inlineStr">
        <is>
          <t>Address line (redacted)</t>
        </is>
      </c>
      <c r="B5722" s="390"/>
      <c r="C5722" s="390"/>
      <c r="D5722" s="391"/>
      <c r="E5722" s="390"/>
      <c r="F5722" s="393" t="s">
        <v>21</v>
      </c>
      <c r="G5722" s="390" t="s">
        <v>1699</v>
      </c>
      <c r="H5722" s="394"/>
      <c r="I5722" s="390"/>
      <c r="J5722" s="390"/>
      <c r="K5722" s="390"/>
      <c r="L5722" s="390"/>
      <c r="M5722" s="390"/>
      <c r="N5722" s="390"/>
      <c r="O5722" s="390"/>
      <c r="P5722" s="390"/>
      <c r="Q5722" s="390"/>
      <c r="R5722" s="390"/>
      <c r="S5722" s="390"/>
      <c r="T5722" s="390"/>
    </row>
    <row r="5723" spans="1:20" ht="15.75" customHeight="1" x14ac:dyDescent="0.25">
      <c r="A5723" s="390" t="inlineStr">
        <is>
          <t>Address line (redacted)</t>
        </is>
      </c>
      <c r="B5723" s="390"/>
      <c r="C5723" s="390"/>
      <c r="D5723" s="391"/>
      <c r="E5723" s="390"/>
      <c r="F5723" s="391"/>
      <c r="G5723" s="390"/>
      <c r="H5723" s="394"/>
    </row>
    <row r="5724" spans="1:20" ht="15.75" customHeight="1" x14ac:dyDescent="0.25">
      <c r="A5724" s="390"/>
      <c r="B5724" s="390"/>
      <c r="C5724" s="393"/>
      <c r="D5724" s="391"/>
      <c r="E5724" s="390"/>
      <c r="F5724" s="391"/>
      <c r="G5724" s="390"/>
      <c r="H5724" s="394"/>
    </row>
    <row r="5725" spans="1:20" ht="15.75" customHeight="1" x14ac:dyDescent="0.25">
      <c r="A5725" s="390"/>
      <c r="B5725" s="390"/>
      <c r="C5725" s="390"/>
      <c r="D5725" s="391"/>
      <c r="E5725" s="390"/>
      <c r="F5725" s="391"/>
      <c r="G5725" s="390"/>
      <c r="H5725" s="394"/>
    </row>
    <row r="5726" spans="1:20" ht="15.75" customHeight="1" x14ac:dyDescent="0.25">
      <c r="A5726" s="390" t="s">
        <v>30</v>
      </c>
      <c r="B5726" s="390"/>
      <c r="C5726" s="390"/>
      <c r="D5726" s="391"/>
      <c r="E5726" s="390"/>
      <c r="F5726" s="391"/>
      <c r="G5726" s="390"/>
      <c r="H5726" s="394"/>
    </row>
    <row r="5727" spans="1:20" ht="15.75" customHeight="1" x14ac:dyDescent="0.25">
      <c r="A5727" s="390"/>
      <c r="B5727" s="390"/>
      <c r="C5727" s="390"/>
      <c r="D5727" s="391"/>
      <c r="E5727" s="390"/>
      <c r="F5727" s="391"/>
      <c r="G5727" s="390"/>
      <c r="H5727" s="394"/>
    </row>
    <row r="5728" spans="1:20" ht="15.75" customHeight="1" x14ac:dyDescent="0.25">
      <c r="A5728" s="390" t="s">
        <v>1322</v>
      </c>
      <c r="B5728" s="390"/>
      <c r="C5728" s="390"/>
      <c r="D5728" s="391"/>
      <c r="E5728" s="390"/>
      <c r="F5728" s="391"/>
      <c r="G5728" s="390"/>
      <c r="H5728" s="394"/>
    </row>
    <row r="5729" spans="1:8" ht="15.75" customHeight="1" x14ac:dyDescent="0.25">
      <c r="A5729" s="390" t="s">
        <v>1328</v>
      </c>
      <c r="B5729" s="390"/>
      <c r="C5729" s="390"/>
      <c r="D5729" s="391"/>
      <c r="E5729" s="390"/>
      <c r="F5729" s="391"/>
      <c r="G5729" s="390"/>
      <c r="H5729" s="394"/>
    </row>
    <row r="5730" spans="1:8" ht="15.75" customHeight="1" x14ac:dyDescent="0.25">
      <c r="A5730" s="390"/>
      <c r="B5730" s="390"/>
      <c r="C5730" s="390"/>
      <c r="D5730" s="391"/>
      <c r="E5730" s="390"/>
      <c r="F5730" s="391"/>
      <c r="G5730" s="390"/>
      <c r="H5730" s="394"/>
    </row>
    <row r="5731" spans="1:8" ht="15.75" customHeight="1" x14ac:dyDescent="0.25">
      <c r="A5731" s="399" t="s">
        <v>33</v>
      </c>
      <c r="B5731" s="400" t="s">
        <v>6</v>
      </c>
      <c r="C5731" s="400"/>
      <c r="D5731" s="401" t="s">
        <v>37</v>
      </c>
      <c r="E5731" s="402" t="s">
        <v>1309</v>
      </c>
      <c r="F5731" s="609" t="s">
        <v>7</v>
      </c>
      <c r="G5731" s="400" t="s">
        <v>43</v>
      </c>
      <c r="H5731" s="405" t="s">
        <v>44</v>
      </c>
    </row>
    <row r="5732" spans="1:8" ht="15.75" customHeight="1" x14ac:dyDescent="0.25">
      <c r="A5732" s="610"/>
      <c r="B5732" s="611"/>
      <c r="C5732" s="611"/>
      <c r="D5732" s="612"/>
      <c r="E5732" s="613"/>
      <c r="F5732" s="614"/>
      <c r="G5732" s="611"/>
      <c r="H5732" s="615"/>
    </row>
    <row r="5733" spans="1:8" ht="15.75" customHeight="1" x14ac:dyDescent="0.25">
      <c r="A5733" s="412"/>
      <c r="B5733" s="654" t="s">
        <v>1681</v>
      </c>
      <c r="C5733" s="654"/>
      <c r="D5733" s="415"/>
      <c r="E5733" s="415"/>
      <c r="F5733" s="415"/>
      <c r="G5733" s="415"/>
      <c r="H5733" s="416"/>
    </row>
    <row r="5734" spans="1:8" ht="15.75" customHeight="1" x14ac:dyDescent="0.25">
      <c r="A5734" s="581" t="s">
        <v>55</v>
      </c>
      <c r="B5734" s="582" t="s">
        <v>1692</v>
      </c>
      <c r="C5734" s="582" t="s">
        <v>1693</v>
      </c>
      <c r="D5734" s="415">
        <v>10</v>
      </c>
      <c r="E5734" s="415">
        <v>1</v>
      </c>
      <c r="F5734" s="415">
        <f>+E5734*D5734</f>
      </c>
      <c r="G5734" s="415">
        <v>1</v>
      </c>
      <c r="H5734" s="589">
        <f>+G5734*F5734</f>
      </c>
    </row>
    <row r="5735" spans="1:8" ht="15.75" customHeight="1" x14ac:dyDescent="0.25">
      <c r="A5735" s="581" t="s">
        <v>59</v>
      </c>
      <c r="B5735" s="582" t="s">
        <v>1694</v>
      </c>
      <c r="C5735" s="582" t="s">
        <v>1695</v>
      </c>
      <c r="D5735" s="415"/>
      <c r="E5735" s="415"/>
      <c r="F5735" s="415"/>
      <c r="G5735" s="415"/>
      <c r="H5735" s="589"/>
    </row>
    <row r="5736" spans="1:8" ht="15.75" customHeight="1" x14ac:dyDescent="0.25">
      <c r="A5736" s="581" t="s">
        <v>67</v>
      </c>
      <c r="B5736" s="582" t="s">
        <v>1700</v>
      </c>
      <c r="C5736" s="582" t="s">
        <v>1697</v>
      </c>
      <c r="D5736" s="415"/>
      <c r="E5736" s="415"/>
      <c r="F5736" s="415"/>
      <c r="G5736" s="415"/>
      <c r="H5736" s="589"/>
    </row>
    <row r="5737" spans="1:8" ht="15.75" customHeight="1" x14ac:dyDescent="0.25">
      <c r="A5737" s="581"/>
      <c r="B5737" s="582"/>
      <c r="C5737" s="582"/>
      <c r="D5737" s="415"/>
      <c r="E5737" s="415"/>
      <c r="F5737" s="415"/>
      <c r="G5737" s="415"/>
      <c r="H5737" s="589"/>
    </row>
    <row r="5738" spans="1:8" ht="15.75" customHeight="1" x14ac:dyDescent="0.25">
      <c r="A5738" s="430"/>
      <c r="B5738" s="409"/>
      <c r="C5738" s="393"/>
      <c r="D5738" s="427"/>
      <c r="E5738" s="427"/>
      <c r="F5738" s="428"/>
      <c r="G5738" s="427"/>
      <c r="H5738" s="429"/>
    </row>
    <row r="5739" spans="1:8" ht="15.75" customHeight="1" x14ac:dyDescent="0.25">
      <c r="A5739" s="432"/>
      <c r="B5739" s="433"/>
      <c r="C5739" s="434" t="s">
        <v>85</v>
      </c>
      <c r="D5739" s="659">
        <f>SUM(D5733:D5738)</f>
      </c>
      <c r="E5739" s="401"/>
      <c r="F5739" s="660"/>
      <c r="G5739" s="661"/>
      <c r="H5739" s="623">
        <f>SUM(H5733:H5738)</f>
      </c>
    </row>
    <row r="5740" spans="1:8" ht="15.75" customHeight="1" x14ac:dyDescent="0.25">
      <c r="A5740" s="439"/>
      <c r="B5740" s="440"/>
      <c r="C5740" s="440"/>
      <c r="D5740" s="441"/>
      <c r="E5740" s="440"/>
      <c r="F5740" s="442"/>
      <c r="G5740" s="443"/>
      <c r="H5740" s="444"/>
    </row>
    <row r="5741" spans="1:8" ht="15.75" customHeight="1" x14ac:dyDescent="0.25">
      <c r="A5741" s="392"/>
      <c r="B5741" s="391"/>
      <c r="C5741" s="391"/>
      <c r="D5741" s="391"/>
      <c r="E5741" s="390"/>
      <c r="F5741" s="392"/>
      <c r="G5741" s="390"/>
      <c r="H5741" s="394"/>
    </row>
    <row r="5742" spans="1:8" ht="15.75" customHeight="1" x14ac:dyDescent="0.25">
      <c r="A5742" s="445"/>
      <c r="B5742" s="445"/>
      <c r="C5742" s="445"/>
      <c r="D5742" s="446" t="s">
        <v>97</v>
      </c>
      <c r="E5742" s="445" t="s">
        <v>98</v>
      </c>
      <c r="F5742" s="445"/>
      <c r="G5742" s="390"/>
      <c r="H5742" s="394"/>
    </row>
    <row r="5743" spans="1:8" ht="15.75" customHeight="1" x14ac:dyDescent="0.25">
      <c r="A5743" s="390"/>
      <c r="B5743" s="390"/>
      <c r="C5743" s="390"/>
      <c r="D5743" s="391"/>
      <c r="E5743" s="390"/>
      <c r="F5743" s="390"/>
      <c r="G5743" s="390"/>
      <c r="H5743" s="394"/>
    </row>
    <row r="5744" spans="1:8" ht="15.75" customHeight="1" x14ac:dyDescent="0.25">
      <c r="A5744" s="390"/>
      <c r="B5744" s="390"/>
      <c r="C5744" s="390"/>
      <c r="D5744" s="391"/>
      <c r="E5744" s="390"/>
      <c r="F5744" s="390"/>
      <c r="G5744" s="390"/>
      <c r="H5744" s="394"/>
    </row>
    <row r="5745" spans="1:8" ht="15.75" customHeight="1" x14ac:dyDescent="0.25">
      <c r="A5745" s="445"/>
      <c r="B5745" s="445"/>
      <c r="C5745" s="445"/>
      <c r="D5745" s="446"/>
      <c r="E5745" s="445" t="s">
        <v>99</v>
      </c>
      <c r="F5745" s="445"/>
      <c r="G5745" s="390"/>
      <c r="H5745" s="394"/>
    </row>
    <row r="5746" spans="1:8" ht="15.75" customHeight="1" x14ac:dyDescent="0.25">
      <c r="D5746" s="4"/>
      <c r="H5746" s="4"/>
    </row>
    <row r="5747" spans="1:8" ht="15.75" customHeight="1" x14ac:dyDescent="0.25">
      <c r="D5747" s="4"/>
      <c r="H5747" s="4"/>
    </row>
    <row r="5748" spans="1:8" ht="15.75" customHeight="1" x14ac:dyDescent="0.25">
      <c r="D5748" s="4"/>
      <c r="H5748" s="4"/>
    </row>
    <row r="5749" spans="1:8" ht="15.75" customHeight="1" x14ac:dyDescent="0.25">
      <c r="D5749" s="4"/>
      <c r="H5749" s="4"/>
    </row>
    <row r="5750" spans="1:8" ht="15.75" customHeight="1" x14ac:dyDescent="0.25">
      <c r="D5750" s="4"/>
      <c r="H5750" s="4"/>
    </row>
    <row r="5751" spans="1:8" ht="15.75" customHeight="1" x14ac:dyDescent="0.25">
      <c r="D5751" s="4"/>
      <c r="H5751" s="4"/>
    </row>
    <row r="5752" spans="1:8" ht="15.75" customHeight="1" x14ac:dyDescent="0.25">
      <c r="D5752" s="4"/>
      <c r="H5752" s="4"/>
    </row>
    <row r="5753" spans="1:8" ht="15.75" customHeight="1" x14ac:dyDescent="0.25">
      <c r="D5753" s="4"/>
      <c r="H5753" s="4"/>
    </row>
    <row r="5754" spans="1:8" ht="15.75" customHeight="1" x14ac:dyDescent="0.25">
      <c r="D5754" s="4"/>
      <c r="H5754" s="4"/>
    </row>
    <row r="5755" spans="1:8" ht="15.75" customHeight="1" x14ac:dyDescent="0.25">
      <c r="D5755" s="4"/>
      <c r="H5755" s="4"/>
    </row>
    <row r="5756" spans="1:8" ht="15.75" customHeight="1" x14ac:dyDescent="0.25">
      <c r="D5756" s="4"/>
      <c r="H5756" s="4"/>
    </row>
    <row r="5757" spans="1:8" ht="15.75" customHeight="1" x14ac:dyDescent="0.25">
      <c r="D5757" s="4"/>
      <c r="H5757" s="4"/>
    </row>
    <row r="5758" spans="1:8" ht="15.75" customHeight="1" x14ac:dyDescent="0.25">
      <c r="D5758" s="4"/>
      <c r="H5758" s="4"/>
    </row>
    <row r="5759" spans="1:8" ht="15.75" customHeight="1" x14ac:dyDescent="0.25">
      <c r="D5759" s="4"/>
      <c r="H5759" s="4"/>
    </row>
    <row r="5760" spans="1:8" ht="15.75" customHeight="1" x14ac:dyDescent="0.25">
      <c r="D5760" s="4"/>
      <c r="H5760" s="4"/>
    </row>
    <row r="5761" spans="1:8" ht="15.75" customHeight="1" x14ac:dyDescent="0.25">
      <c r="D5761" s="4"/>
      <c r="H5761" s="4"/>
    </row>
    <row r="5762" spans="1:8" ht="15.75" customHeight="1" x14ac:dyDescent="0.25">
      <c r="D5762" s="4"/>
      <c r="H5762" s="4"/>
    </row>
    <row r="5763" spans="1:8" ht="15.75" customHeight="1" x14ac:dyDescent="0.25">
      <c r="A5763" s="392" t="s">
        <v>14</v>
      </c>
      <c r="B5763" s="391"/>
      <c r="C5763" s="391"/>
      <c r="D5763" s="391"/>
      <c r="E5763" s="391"/>
      <c r="F5763" s="391"/>
      <c r="G5763" s="391"/>
      <c r="H5763" s="394"/>
    </row>
    <row r="5764" spans="1:8" ht="15.75" customHeight="1" x14ac:dyDescent="0.25">
      <c r="A5764" s="392"/>
      <c r="B5764" s="391"/>
      <c r="C5764" s="391"/>
      <c r="D5764" s="391"/>
      <c r="E5764" s="390"/>
      <c r="F5764" s="392"/>
      <c r="G5764" s="390"/>
      <c r="H5764" s="394"/>
    </row>
    <row r="5765" spans="1:8" ht="15.75" customHeight="1" x14ac:dyDescent="0.25">
      <c r="A5765" s="392"/>
      <c r="B5765" s="391"/>
      <c r="C5765" s="391"/>
      <c r="D5765" s="391"/>
      <c r="E5765" s="390"/>
      <c r="F5765" s="392"/>
      <c r="G5765" s="390"/>
      <c r="H5765" s="394"/>
    </row>
    <row r="5766" spans="1:8" ht="15.75" customHeight="1" x14ac:dyDescent="0.25">
      <c r="A5766" s="390" t="s">
        <v>20</v>
      </c>
      <c r="B5766" s="390"/>
      <c r="C5766" s="390"/>
      <c r="D5766" s="391"/>
      <c r="E5766" s="390"/>
      <c r="F5766" s="392"/>
      <c r="G5766" s="390"/>
      <c r="H5766" s="394"/>
    </row>
    <row r="5767" spans="1:8" ht="15.75" customHeight="1" x14ac:dyDescent="0.25">
      <c r="A5767" s="390" t="inlineStr">
        <is>
          <t>Dealer-004</t>
        </is>
      </c>
      <c r="B5767" s="390"/>
      <c r="C5767" s="390"/>
      <c r="D5767" s="391"/>
      <c r="E5767" s="390"/>
      <c r="F5767" s="395" t="s">
        <v>18</v>
      </c>
      <c r="G5767" s="390" t="s">
        <v>825</v>
      </c>
      <c r="H5767" s="394"/>
    </row>
    <row r="5768" spans="1:8" ht="15.75" customHeight="1" x14ac:dyDescent="0.25">
      <c r="A5768" s="390" t="inlineStr">
        <is>
          <t>Address line (redacted)</t>
        </is>
      </c>
      <c r="B5768" s="390"/>
      <c r="C5768" s="390"/>
      <c r="D5768" s="391"/>
      <c r="E5768" s="390"/>
      <c r="F5768" s="393" t="s">
        <v>21</v>
      </c>
      <c r="G5768" s="390" t="s">
        <v>1701</v>
      </c>
      <c r="H5768" s="394"/>
    </row>
    <row r="5769" spans="1:8" ht="15.75" customHeight="1" x14ac:dyDescent="0.25">
      <c r="A5769" s="390" t="inlineStr">
        <is>
          <t>Address line (redacted)</t>
        </is>
      </c>
      <c r="B5769" s="390"/>
      <c r="C5769" s="390"/>
      <c r="D5769" s="391"/>
      <c r="E5769" s="390"/>
      <c r="F5769" s="391"/>
      <c r="G5769" s="390"/>
      <c r="H5769" s="394"/>
    </row>
    <row r="5770" spans="1:8" ht="15.75" customHeight="1" x14ac:dyDescent="0.25">
      <c r="A5770" s="390"/>
      <c r="B5770" s="390"/>
      <c r="C5770" s="393"/>
      <c r="D5770" s="391"/>
      <c r="E5770" s="390"/>
      <c r="F5770" s="391"/>
      <c r="G5770" s="390"/>
      <c r="H5770" s="394"/>
    </row>
    <row r="5771" spans="1:8" ht="15.75" customHeight="1" x14ac:dyDescent="0.25">
      <c r="A5771" s="390"/>
      <c r="B5771" s="390"/>
      <c r="C5771" s="390"/>
      <c r="D5771" s="391"/>
      <c r="E5771" s="390"/>
      <c r="F5771" s="391"/>
      <c r="G5771" s="390"/>
      <c r="H5771" s="394"/>
    </row>
    <row r="5772" spans="1:8" ht="15.75" customHeight="1" x14ac:dyDescent="0.25">
      <c r="A5772" s="390" t="s">
        <v>30</v>
      </c>
      <c r="B5772" s="390"/>
      <c r="C5772" s="390"/>
      <c r="D5772" s="391"/>
      <c r="E5772" s="390"/>
      <c r="F5772" s="391"/>
      <c r="G5772" s="390"/>
      <c r="H5772" s="394"/>
    </row>
    <row r="5773" spans="1:8" ht="15.75" customHeight="1" x14ac:dyDescent="0.25">
      <c r="A5773" s="390"/>
      <c r="B5773" s="390"/>
      <c r="C5773" s="390"/>
      <c r="D5773" s="391"/>
      <c r="E5773" s="390"/>
      <c r="F5773" s="391"/>
      <c r="G5773" s="390"/>
      <c r="H5773" s="394"/>
    </row>
    <row r="5774" spans="1:8" ht="15.75" customHeight="1" x14ac:dyDescent="0.25">
      <c r="A5774" s="390" t="s">
        <v>1322</v>
      </c>
      <c r="B5774" s="390"/>
      <c r="C5774" s="390"/>
      <c r="D5774" s="391"/>
      <c r="E5774" s="390"/>
      <c r="F5774" s="391"/>
      <c r="G5774" s="390"/>
      <c r="H5774" s="394"/>
    </row>
    <row r="5775" spans="1:8" ht="15.75" customHeight="1" x14ac:dyDescent="0.25">
      <c r="A5775" s="390" t="s">
        <v>1328</v>
      </c>
      <c r="B5775" s="390"/>
      <c r="C5775" s="390"/>
      <c r="D5775" s="391"/>
      <c r="E5775" s="390"/>
      <c r="F5775" s="391"/>
      <c r="G5775" s="390"/>
      <c r="H5775" s="394"/>
    </row>
    <row r="5776" spans="1:8" ht="15.75" customHeight="1" x14ac:dyDescent="0.25">
      <c r="A5776" s="390"/>
      <c r="B5776" s="390"/>
      <c r="C5776" s="390"/>
      <c r="D5776" s="391"/>
      <c r="E5776" s="390"/>
      <c r="F5776" s="391"/>
      <c r="G5776" s="390"/>
      <c r="H5776" s="394"/>
    </row>
    <row r="5777" spans="1:8" ht="15.75" customHeight="1" x14ac:dyDescent="0.25">
      <c r="A5777" s="399" t="s">
        <v>33</v>
      </c>
      <c r="B5777" s="400" t="s">
        <v>6</v>
      </c>
      <c r="C5777" s="400"/>
      <c r="D5777" s="401" t="s">
        <v>37</v>
      </c>
      <c r="E5777" s="402" t="s">
        <v>1309</v>
      </c>
      <c r="F5777" s="609" t="s">
        <v>7</v>
      </c>
      <c r="G5777" s="400" t="s">
        <v>43</v>
      </c>
      <c r="H5777" s="405" t="s">
        <v>44</v>
      </c>
    </row>
    <row r="5778" spans="1:8" ht="15.75" customHeight="1" x14ac:dyDescent="0.25">
      <c r="A5778" s="610"/>
      <c r="B5778" s="611"/>
      <c r="C5778" s="611"/>
      <c r="D5778" s="612"/>
      <c r="E5778" s="613"/>
      <c r="F5778" s="614"/>
      <c r="G5778" s="611"/>
      <c r="H5778" s="615"/>
    </row>
    <row r="5779" spans="1:8" ht="15.75" customHeight="1" x14ac:dyDescent="0.25">
      <c r="A5779" s="412"/>
      <c r="B5779" s="654" t="s">
        <v>1681</v>
      </c>
      <c r="C5779" s="654"/>
      <c r="D5779" s="415"/>
      <c r="E5779" s="415"/>
      <c r="F5779" s="415"/>
      <c r="G5779" s="415"/>
      <c r="H5779" s="416"/>
    </row>
    <row r="5780" spans="1:8" ht="15.75" customHeight="1" x14ac:dyDescent="0.25">
      <c r="A5780" s="581" t="s">
        <v>55</v>
      </c>
      <c r="B5780" s="582" t="s">
        <v>1692</v>
      </c>
      <c r="C5780" s="582" t="s">
        <v>1702</v>
      </c>
      <c r="D5780" s="415">
        <v>30</v>
      </c>
      <c r="E5780" s="415">
        <v>1</v>
      </c>
      <c r="F5780" s="415">
        <f>+E5780*D5780</f>
      </c>
      <c r="G5780" s="415">
        <v>1</v>
      </c>
      <c r="H5780" s="589">
        <f>+G5780*F5780</f>
      </c>
    </row>
    <row r="5781" spans="1:8" ht="15.75" customHeight="1" x14ac:dyDescent="0.25">
      <c r="A5781" s="581" t="s">
        <v>59</v>
      </c>
      <c r="B5781" s="582" t="s">
        <v>1694</v>
      </c>
      <c r="C5781" s="582" t="s">
        <v>1703</v>
      </c>
      <c r="D5781" s="415"/>
      <c r="E5781" s="415"/>
      <c r="F5781" s="415"/>
      <c r="G5781" s="415"/>
      <c r="H5781" s="589"/>
    </row>
    <row r="5782" spans="1:8" ht="15.75" customHeight="1" x14ac:dyDescent="0.25">
      <c r="A5782" s="581" t="s">
        <v>67</v>
      </c>
      <c r="B5782" s="582" t="s">
        <v>1700</v>
      </c>
      <c r="C5782" s="582" t="s">
        <v>1704</v>
      </c>
      <c r="D5782" s="415"/>
      <c r="E5782" s="415"/>
      <c r="F5782" s="415"/>
      <c r="G5782" s="415"/>
      <c r="H5782" s="589"/>
    </row>
    <row r="5783" spans="1:8" ht="15.75" customHeight="1" x14ac:dyDescent="0.25">
      <c r="A5783" s="581"/>
      <c r="B5783" s="582"/>
      <c r="C5783" s="582"/>
      <c r="D5783" s="415"/>
      <c r="E5783" s="415"/>
      <c r="F5783" s="415"/>
      <c r="G5783" s="415"/>
      <c r="H5783" s="589"/>
    </row>
    <row r="5784" spans="1:8" ht="15.75" customHeight="1" x14ac:dyDescent="0.25">
      <c r="A5784" s="430"/>
      <c r="B5784" s="409"/>
      <c r="C5784" s="393"/>
      <c r="D5784" s="427"/>
      <c r="E5784" s="427"/>
      <c r="F5784" s="428"/>
      <c r="G5784" s="427"/>
      <c r="H5784" s="429"/>
    </row>
    <row r="5785" spans="1:8" ht="15.75" customHeight="1" x14ac:dyDescent="0.25">
      <c r="A5785" s="432"/>
      <c r="B5785" s="433"/>
      <c r="C5785" s="434" t="s">
        <v>85</v>
      </c>
      <c r="D5785" s="659">
        <f>SUM(D5779:D5784)</f>
      </c>
      <c r="E5785" s="401"/>
      <c r="F5785" s="660"/>
      <c r="G5785" s="661"/>
      <c r="H5785" s="623">
        <f>SUM(H5779:H5784)</f>
      </c>
    </row>
    <row r="5786" spans="1:8" ht="15.75" customHeight="1" x14ac:dyDescent="0.25">
      <c r="A5786" s="439"/>
      <c r="B5786" s="440"/>
      <c r="C5786" s="440"/>
      <c r="D5786" s="441"/>
      <c r="E5786" s="440"/>
      <c r="F5786" s="442"/>
      <c r="G5786" s="443"/>
      <c r="H5786" s="444"/>
    </row>
    <row r="5787" spans="1:8" ht="15.75" customHeight="1" x14ac:dyDescent="0.25">
      <c r="A5787" s="392"/>
      <c r="B5787" s="391"/>
      <c r="C5787" s="391"/>
      <c r="D5787" s="391"/>
      <c r="E5787" s="390"/>
      <c r="F5787" s="392"/>
      <c r="G5787" s="390"/>
      <c r="H5787" s="394"/>
    </row>
    <row r="5788" spans="1:8" ht="15.75" customHeight="1" x14ac:dyDescent="0.25">
      <c r="A5788" s="445"/>
      <c r="B5788" s="445"/>
      <c r="C5788" s="445"/>
      <c r="D5788" s="446" t="s">
        <v>97</v>
      </c>
      <c r="E5788" s="445" t="s">
        <v>98</v>
      </c>
      <c r="F5788" s="445"/>
      <c r="G5788" s="390"/>
      <c r="H5788" s="394"/>
    </row>
    <row r="5789" spans="1:8" ht="15.75" customHeight="1" x14ac:dyDescent="0.25">
      <c r="A5789" s="390"/>
      <c r="B5789" s="390"/>
      <c r="C5789" s="390"/>
      <c r="D5789" s="391"/>
      <c r="E5789" s="390"/>
      <c r="F5789" s="390"/>
      <c r="G5789" s="390"/>
      <c r="H5789" s="394"/>
    </row>
    <row r="5790" spans="1:8" ht="15.75" customHeight="1" x14ac:dyDescent="0.25">
      <c r="A5790" s="390"/>
      <c r="B5790" s="390"/>
      <c r="C5790" s="390"/>
      <c r="D5790" s="391"/>
      <c r="E5790" s="390"/>
      <c r="F5790" s="390"/>
      <c r="G5790" s="390"/>
      <c r="H5790" s="394"/>
    </row>
    <row r="5791" spans="1:8" ht="15.75" customHeight="1" x14ac:dyDescent="0.25">
      <c r="A5791" s="445"/>
      <c r="B5791" s="445"/>
      <c r="C5791" s="445"/>
      <c r="D5791" s="446"/>
      <c r="E5791" s="445" t="s">
        <v>99</v>
      </c>
      <c r="F5791" s="445"/>
      <c r="G5791" s="390"/>
      <c r="H5791" s="394"/>
    </row>
    <row r="5792" spans="1:8" ht="15.75" customHeight="1" x14ac:dyDescent="0.25">
      <c r="D5792" s="4"/>
      <c r="H5792" s="4"/>
    </row>
    <row r="5793" spans="4:8" ht="15.75" customHeight="1" x14ac:dyDescent="0.25">
      <c r="D5793" s="4"/>
      <c r="H5793" s="4"/>
    </row>
    <row r="5794" spans="4:8" ht="15.75" customHeight="1" x14ac:dyDescent="0.25">
      <c r="D5794" s="4"/>
      <c r="H5794" s="4"/>
    </row>
    <row r="5795" spans="4:8" ht="15.75" customHeight="1" x14ac:dyDescent="0.25">
      <c r="D5795" s="4"/>
      <c r="H5795" s="4"/>
    </row>
    <row r="5796" spans="4:8" ht="15.75" customHeight="1" x14ac:dyDescent="0.25">
      <c r="D5796" s="4"/>
      <c r="H5796" s="4"/>
    </row>
    <row r="5797" spans="4:8" ht="15.75" customHeight="1" x14ac:dyDescent="0.25">
      <c r="D5797" s="4"/>
      <c r="H5797" s="4"/>
    </row>
    <row r="5798" spans="4:8" ht="15.75" customHeight="1" x14ac:dyDescent="0.25">
      <c r="D5798" s="4"/>
      <c r="H5798" s="4"/>
    </row>
    <row r="5799" spans="4:8" ht="15.75" customHeight="1" x14ac:dyDescent="0.25">
      <c r="D5799" s="4"/>
      <c r="H5799" s="4"/>
    </row>
    <row r="5800" spans="4:8" ht="15.75" customHeight="1" x14ac:dyDescent="0.25">
      <c r="D5800" s="4"/>
      <c r="H5800" s="4"/>
    </row>
    <row r="5801" spans="4:8" ht="15.75" customHeight="1" x14ac:dyDescent="0.25">
      <c r="D5801" s="4"/>
      <c r="H5801" s="4"/>
    </row>
    <row r="5802" spans="4:8" ht="15.75" customHeight="1" x14ac:dyDescent="0.25">
      <c r="D5802" s="4"/>
      <c r="H5802" s="4"/>
    </row>
    <row r="5803" spans="4:8" ht="15.75" customHeight="1" x14ac:dyDescent="0.25">
      <c r="D5803" s="4"/>
      <c r="H5803" s="4"/>
    </row>
    <row r="5804" spans="4:8" ht="15.75" customHeight="1" x14ac:dyDescent="0.25">
      <c r="D5804" s="4"/>
      <c r="H5804" s="4"/>
    </row>
    <row r="5805" spans="4:8" ht="15.75" customHeight="1" x14ac:dyDescent="0.25">
      <c r="D5805" s="4"/>
      <c r="H5805" s="4"/>
    </row>
    <row r="5806" spans="4:8" ht="15.75" customHeight="1" x14ac:dyDescent="0.25">
      <c r="D5806" s="4"/>
      <c r="H5806" s="4"/>
    </row>
    <row r="5807" spans="4:8" ht="15.75" customHeight="1" x14ac:dyDescent="0.25">
      <c r="D5807" s="4"/>
      <c r="H5807" s="4"/>
    </row>
    <row r="5808" spans="4:8" ht="15.75" customHeight="1" x14ac:dyDescent="0.25">
      <c r="D5808" s="4"/>
      <c r="H5808" s="4"/>
    </row>
    <row r="5809" spans="1:8" ht="15.75" customHeight="1" x14ac:dyDescent="0.25">
      <c r="A5809" s="392" t="s">
        <v>14</v>
      </c>
      <c r="B5809" s="391"/>
      <c r="C5809" s="391"/>
      <c r="D5809" s="391"/>
      <c r="E5809" s="391"/>
      <c r="F5809" s="391"/>
      <c r="G5809" s="391"/>
      <c r="H5809" s="394"/>
    </row>
    <row r="5810" spans="1:8" ht="15.75" customHeight="1" x14ac:dyDescent="0.25">
      <c r="A5810" s="392"/>
      <c r="B5810" s="391"/>
      <c r="C5810" s="391"/>
      <c r="D5810" s="391"/>
      <c r="E5810" s="390"/>
      <c r="F5810" s="392"/>
      <c r="G5810" s="390"/>
      <c r="H5810" s="394"/>
    </row>
    <row r="5811" spans="1:8" ht="15.75" customHeight="1" x14ac:dyDescent="0.25">
      <c r="A5811" s="392"/>
      <c r="B5811" s="391"/>
      <c r="C5811" s="391"/>
      <c r="D5811" s="391"/>
      <c r="E5811" s="390"/>
      <c r="F5811" s="392"/>
      <c r="G5811" s="390"/>
      <c r="H5811" s="394"/>
    </row>
    <row r="5812" spans="1:8" ht="15.75" customHeight="1" x14ac:dyDescent="0.25">
      <c r="A5812" s="390" t="s">
        <v>20</v>
      </c>
      <c r="B5812" s="390"/>
      <c r="C5812" s="390"/>
      <c r="D5812" s="391"/>
      <c r="E5812" s="390"/>
      <c r="F5812" s="392"/>
      <c r="G5812" s="390"/>
      <c r="H5812" s="394"/>
    </row>
    <row r="5813" spans="1:8" ht="15.75" customHeight="1" x14ac:dyDescent="0.25">
      <c r="A5813" s="390" t="inlineStr">
        <is>
          <t>Dealer-014</t>
        </is>
      </c>
      <c r="B5813" s="390"/>
      <c r="C5813" s="390"/>
      <c r="D5813" s="391"/>
      <c r="E5813" s="390"/>
      <c r="F5813" s="395" t="s">
        <v>18</v>
      </c>
      <c r="G5813" s="390" t="s">
        <v>825</v>
      </c>
      <c r="H5813" s="394"/>
    </row>
    <row r="5814" spans="1:8" ht="15.75" customHeight="1" x14ac:dyDescent="0.25">
      <c r="A5814" s="390" t="inlineStr">
        <is>
          <t>Address line (redacted)</t>
        </is>
      </c>
      <c r="B5814" s="390"/>
      <c r="C5814" s="390"/>
      <c r="D5814" s="391"/>
      <c r="E5814" s="390"/>
      <c r="F5814" s="393" t="s">
        <v>21</v>
      </c>
      <c r="G5814" s="390" t="s">
        <v>1705</v>
      </c>
      <c r="H5814" s="394"/>
    </row>
    <row r="5815" spans="1:8" ht="15.75" customHeight="1" x14ac:dyDescent="0.25">
      <c r="A5815" s="390" t="inlineStr">
        <is>
          <t>Address line (redacted)</t>
        </is>
      </c>
      <c r="B5815" s="390"/>
      <c r="C5815" s="390"/>
      <c r="D5815" s="391"/>
      <c r="E5815" s="390"/>
      <c r="F5815" s="391"/>
      <c r="G5815" s="390"/>
      <c r="H5815" s="394"/>
    </row>
    <row r="5816" spans="1:8" ht="15.75" customHeight="1" x14ac:dyDescent="0.25">
      <c r="A5816" s="390"/>
      <c r="B5816" s="390"/>
      <c r="C5816" s="393"/>
      <c r="D5816" s="391"/>
      <c r="E5816" s="390"/>
      <c r="F5816" s="391"/>
      <c r="G5816" s="390"/>
      <c r="H5816" s="394"/>
    </row>
    <row r="5817" spans="1:8" ht="15.75" customHeight="1" x14ac:dyDescent="0.25">
      <c r="A5817" s="390"/>
      <c r="B5817" s="390"/>
      <c r="C5817" s="390"/>
      <c r="D5817" s="391"/>
      <c r="E5817" s="390"/>
      <c r="F5817" s="391"/>
      <c r="G5817" s="390"/>
      <c r="H5817" s="394"/>
    </row>
    <row r="5818" spans="1:8" ht="15.75" customHeight="1" x14ac:dyDescent="0.25">
      <c r="A5818" s="390" t="s">
        <v>30</v>
      </c>
      <c r="B5818" s="390"/>
      <c r="C5818" s="390"/>
      <c r="D5818" s="391"/>
      <c r="E5818" s="390"/>
      <c r="F5818" s="391"/>
      <c r="G5818" s="390"/>
      <c r="H5818" s="394"/>
    </row>
    <row r="5819" spans="1:8" ht="15.75" customHeight="1" x14ac:dyDescent="0.25">
      <c r="A5819" s="390"/>
      <c r="B5819" s="390"/>
      <c r="C5819" s="390"/>
      <c r="D5819" s="391"/>
      <c r="E5819" s="390"/>
      <c r="F5819" s="391"/>
      <c r="G5819" s="390"/>
      <c r="H5819" s="394"/>
    </row>
    <row r="5820" spans="1:8" ht="15.75" customHeight="1" x14ac:dyDescent="0.25">
      <c r="A5820" s="390" t="s">
        <v>1322</v>
      </c>
      <c r="B5820" s="390"/>
      <c r="C5820" s="390"/>
      <c r="D5820" s="391"/>
      <c r="E5820" s="390"/>
      <c r="F5820" s="391"/>
      <c r="G5820" s="390"/>
      <c r="H5820" s="394"/>
    </row>
    <row r="5821" spans="1:8" ht="15.75" customHeight="1" x14ac:dyDescent="0.25">
      <c r="A5821" s="390" t="s">
        <v>1328</v>
      </c>
      <c r="B5821" s="390"/>
      <c r="C5821" s="390"/>
      <c r="D5821" s="391"/>
      <c r="E5821" s="390"/>
      <c r="F5821" s="391"/>
      <c r="G5821" s="390"/>
      <c r="H5821" s="394"/>
    </row>
    <row r="5822" spans="1:8" ht="15.75" customHeight="1" x14ac:dyDescent="0.25">
      <c r="A5822" s="390"/>
      <c r="B5822" s="390"/>
      <c r="C5822" s="390"/>
      <c r="D5822" s="391"/>
      <c r="E5822" s="390"/>
      <c r="F5822" s="391"/>
      <c r="G5822" s="390"/>
      <c r="H5822" s="394"/>
    </row>
    <row r="5823" spans="1:8" ht="15.75" customHeight="1" x14ac:dyDescent="0.25">
      <c r="A5823" s="399" t="s">
        <v>33</v>
      </c>
      <c r="B5823" s="400" t="s">
        <v>6</v>
      </c>
      <c r="C5823" s="400"/>
      <c r="D5823" s="401" t="s">
        <v>37</v>
      </c>
      <c r="E5823" s="402" t="s">
        <v>1309</v>
      </c>
      <c r="F5823" s="609" t="s">
        <v>7</v>
      </c>
      <c r="G5823" s="400" t="s">
        <v>43</v>
      </c>
      <c r="H5823" s="405" t="s">
        <v>44</v>
      </c>
    </row>
    <row r="5824" spans="1:8" ht="15.75" customHeight="1" x14ac:dyDescent="0.25">
      <c r="A5824" s="610"/>
      <c r="B5824" s="611"/>
      <c r="C5824" s="611"/>
      <c r="D5824" s="612"/>
      <c r="E5824" s="613"/>
      <c r="F5824" s="614"/>
      <c r="G5824" s="611"/>
      <c r="H5824" s="615"/>
    </row>
    <row r="5825" spans="1:8" ht="15.75" customHeight="1" x14ac:dyDescent="0.25">
      <c r="A5825" s="412"/>
      <c r="B5825" s="654" t="s">
        <v>1681</v>
      </c>
      <c r="C5825" s="654"/>
      <c r="D5825" s="415"/>
      <c r="E5825" s="415"/>
      <c r="F5825" s="415"/>
      <c r="G5825" s="415"/>
      <c r="H5825" s="416"/>
    </row>
    <row r="5826" spans="1:8" ht="15.75" customHeight="1" x14ac:dyDescent="0.25">
      <c r="A5826" s="581" t="s">
        <v>55</v>
      </c>
      <c r="B5826" s="582" t="s">
        <v>1692</v>
      </c>
      <c r="C5826" s="582" t="s">
        <v>1706</v>
      </c>
      <c r="D5826" s="415">
        <v>16</v>
      </c>
      <c r="E5826" s="415">
        <v>1</v>
      </c>
      <c r="F5826" s="415">
        <f>+E5826*D5826</f>
      </c>
      <c r="G5826" s="415">
        <v>1</v>
      </c>
      <c r="H5826" s="589">
        <f>+G5826*F5826</f>
      </c>
    </row>
    <row r="5827" spans="1:8" ht="15.75" customHeight="1" x14ac:dyDescent="0.25">
      <c r="A5827" s="581" t="s">
        <v>59</v>
      </c>
      <c r="B5827" s="582" t="s">
        <v>1694</v>
      </c>
      <c r="C5827" s="582" t="s">
        <v>1685</v>
      </c>
      <c r="D5827" s="415"/>
      <c r="E5827" s="415"/>
      <c r="F5827" s="415"/>
      <c r="G5827" s="415"/>
      <c r="H5827" s="589"/>
    </row>
    <row r="5828" spans="1:8" ht="15.75" customHeight="1" x14ac:dyDescent="0.25">
      <c r="A5828" s="581" t="s">
        <v>67</v>
      </c>
      <c r="B5828" s="582" t="s">
        <v>1700</v>
      </c>
      <c r="C5828" s="582" t="s">
        <v>1707</v>
      </c>
      <c r="D5828" s="415"/>
      <c r="E5828" s="415"/>
      <c r="F5828" s="415"/>
      <c r="G5828" s="415"/>
      <c r="H5828" s="589"/>
    </row>
    <row r="5829" spans="1:8" ht="15.75" customHeight="1" x14ac:dyDescent="0.25">
      <c r="A5829" s="581"/>
      <c r="B5829" s="582"/>
      <c r="C5829" s="582"/>
      <c r="D5829" s="415"/>
      <c r="E5829" s="415"/>
      <c r="F5829" s="415"/>
      <c r="G5829" s="415"/>
      <c r="H5829" s="589"/>
    </row>
    <row r="5830" spans="1:8" ht="15.75" customHeight="1" x14ac:dyDescent="0.25">
      <c r="A5830" s="430"/>
      <c r="B5830" s="409"/>
      <c r="C5830" s="393"/>
      <c r="D5830" s="427"/>
      <c r="E5830" s="427"/>
      <c r="F5830" s="428"/>
      <c r="G5830" s="427"/>
      <c r="H5830" s="429"/>
    </row>
    <row r="5831" spans="1:8" ht="15.75" customHeight="1" x14ac:dyDescent="0.25">
      <c r="A5831" s="432"/>
      <c r="B5831" s="433"/>
      <c r="C5831" s="434" t="s">
        <v>85</v>
      </c>
      <c r="D5831" s="659">
        <f>SUM(D5825:D5830)</f>
      </c>
      <c r="E5831" s="401"/>
      <c r="F5831" s="660"/>
      <c r="G5831" s="661"/>
      <c r="H5831" s="623">
        <f>SUM(H5825:H5830)</f>
      </c>
    </row>
    <row r="5832" spans="1:8" ht="15.75" customHeight="1" x14ac:dyDescent="0.25">
      <c r="A5832" s="439"/>
      <c r="B5832" s="440"/>
      <c r="C5832" s="440"/>
      <c r="D5832" s="441"/>
      <c r="E5832" s="440"/>
      <c r="F5832" s="442"/>
      <c r="G5832" s="443"/>
      <c r="H5832" s="444"/>
    </row>
    <row r="5833" spans="1:8" ht="15.75" customHeight="1" x14ac:dyDescent="0.25">
      <c r="A5833" s="392"/>
      <c r="B5833" s="391"/>
      <c r="C5833" s="391"/>
      <c r="D5833" s="391"/>
      <c r="E5833" s="390"/>
      <c r="F5833" s="392"/>
      <c r="G5833" s="390"/>
      <c r="H5833" s="394"/>
    </row>
    <row r="5834" spans="1:8" ht="15.75" customHeight="1" x14ac:dyDescent="0.25">
      <c r="A5834" s="445"/>
      <c r="B5834" s="445"/>
      <c r="C5834" s="445"/>
      <c r="D5834" s="446" t="s">
        <v>97</v>
      </c>
      <c r="E5834" s="445" t="s">
        <v>98</v>
      </c>
      <c r="F5834" s="445"/>
      <c r="G5834" s="390"/>
      <c r="H5834" s="394"/>
    </row>
    <row r="5835" spans="1:8" ht="15.75" customHeight="1" x14ac:dyDescent="0.25">
      <c r="A5835" s="390"/>
      <c r="B5835" s="390"/>
      <c r="C5835" s="390"/>
      <c r="D5835" s="391"/>
      <c r="E5835" s="390"/>
      <c r="F5835" s="390"/>
      <c r="G5835" s="390"/>
      <c r="H5835" s="394"/>
    </row>
    <row r="5836" spans="1:8" ht="15.75" customHeight="1" x14ac:dyDescent="0.25">
      <c r="A5836" s="390"/>
      <c r="B5836" s="390"/>
      <c r="C5836" s="390"/>
      <c r="D5836" s="391"/>
      <c r="E5836" s="390"/>
      <c r="F5836" s="390"/>
      <c r="G5836" s="390"/>
      <c r="H5836" s="394"/>
    </row>
    <row r="5837" spans="1:8" ht="15.75" customHeight="1" x14ac:dyDescent="0.25">
      <c r="A5837" s="445"/>
      <c r="B5837" s="445"/>
      <c r="C5837" s="445"/>
      <c r="D5837" s="446"/>
      <c r="E5837" s="445" t="s">
        <v>99</v>
      </c>
      <c r="F5837" s="445"/>
      <c r="G5837" s="390"/>
      <c r="H5837" s="394"/>
    </row>
    <row r="5838" spans="1:8" ht="15.75" customHeight="1" x14ac:dyDescent="0.25">
      <c r="D5838" s="4"/>
      <c r="H5838" s="4"/>
    </row>
    <row r="5839" spans="1:8" ht="15.75" customHeight="1" x14ac:dyDescent="0.25">
      <c r="D5839" s="4"/>
      <c r="H5839" s="4"/>
    </row>
    <row r="5840" spans="1:8" ht="15.75" customHeight="1" x14ac:dyDescent="0.25">
      <c r="D5840" s="4"/>
      <c r="H5840" s="4"/>
    </row>
    <row r="5841" spans="1:8" ht="15.75" customHeight="1" x14ac:dyDescent="0.25">
      <c r="D5841" s="4"/>
      <c r="H5841" s="4"/>
    </row>
    <row r="5842" spans="1:8" ht="15.75" customHeight="1" x14ac:dyDescent="0.25">
      <c r="D5842" s="4"/>
      <c r="H5842" s="4"/>
    </row>
    <row r="5843" spans="1:8" ht="15.75" customHeight="1" x14ac:dyDescent="0.25">
      <c r="D5843" s="4"/>
      <c r="H5843" s="4"/>
    </row>
    <row r="5844" spans="1:8" ht="15.75" customHeight="1" x14ac:dyDescent="0.25">
      <c r="D5844" s="4"/>
      <c r="H5844" s="4"/>
    </row>
    <row r="5845" spans="1:8" ht="15.75" customHeight="1" x14ac:dyDescent="0.25">
      <c r="D5845" s="4"/>
      <c r="H5845" s="4"/>
    </row>
    <row r="5846" spans="1:8" ht="15.75" customHeight="1" x14ac:dyDescent="0.25">
      <c r="D5846" s="4"/>
      <c r="H5846" s="4"/>
    </row>
    <row r="5847" spans="1:8" ht="15.75" customHeight="1" x14ac:dyDescent="0.25">
      <c r="D5847" s="4"/>
      <c r="H5847" s="4"/>
    </row>
    <row r="5848" spans="1:8" ht="15.75" customHeight="1" x14ac:dyDescent="0.25">
      <c r="D5848" s="4"/>
      <c r="H5848" s="4"/>
    </row>
    <row r="5849" spans="1:8" ht="15.75" customHeight="1" x14ac:dyDescent="0.25">
      <c r="D5849" s="4"/>
      <c r="H5849" s="4"/>
    </row>
    <row r="5850" spans="1:8" ht="15.75" customHeight="1" x14ac:dyDescent="0.25">
      <c r="D5850" s="4"/>
      <c r="H5850" s="4"/>
    </row>
    <row r="5851" spans="1:8" ht="15.75" customHeight="1" x14ac:dyDescent="0.25">
      <c r="D5851" s="4"/>
      <c r="H5851" s="4"/>
    </row>
    <row r="5852" spans="1:8" ht="15.75" customHeight="1" x14ac:dyDescent="0.25">
      <c r="D5852" s="4"/>
      <c r="H5852" s="4"/>
    </row>
    <row r="5853" spans="1:8" ht="15.75" customHeight="1" x14ac:dyDescent="0.25">
      <c r="D5853" s="4"/>
      <c r="H5853" s="4"/>
    </row>
    <row r="5854" spans="1:8" ht="15.75" customHeight="1" x14ac:dyDescent="0.25">
      <c r="D5854" s="4"/>
      <c r="H5854" s="4"/>
    </row>
    <row r="5855" spans="1:8" ht="15.75" customHeight="1" x14ac:dyDescent="0.25">
      <c r="A5855" s="392" t="s">
        <v>14</v>
      </c>
      <c r="B5855" s="391"/>
      <c r="C5855" s="391"/>
      <c r="D5855" s="391"/>
      <c r="E5855" s="391"/>
      <c r="F5855" s="391"/>
      <c r="G5855" s="391"/>
      <c r="H5855" s="394"/>
    </row>
    <row r="5856" spans="1:8" ht="15.75" customHeight="1" x14ac:dyDescent="0.25">
      <c r="A5856" s="392"/>
      <c r="B5856" s="391"/>
      <c r="C5856" s="391"/>
      <c r="D5856" s="391"/>
      <c r="E5856" s="390"/>
      <c r="F5856" s="392"/>
      <c r="G5856" s="390"/>
      <c r="H5856" s="394"/>
    </row>
    <row r="5857" spans="1:8" ht="15.75" customHeight="1" x14ac:dyDescent="0.25">
      <c r="A5857" s="392"/>
      <c r="B5857" s="391"/>
      <c r="C5857" s="391"/>
      <c r="D5857" s="391"/>
      <c r="E5857" s="390"/>
      <c r="F5857" s="392"/>
      <c r="G5857" s="390"/>
      <c r="H5857" s="394"/>
    </row>
    <row r="5858" spans="1:8" ht="15.75" customHeight="1" x14ac:dyDescent="0.25">
      <c r="A5858" s="390" t="s">
        <v>20</v>
      </c>
      <c r="B5858" s="390"/>
      <c r="C5858" s="390"/>
      <c r="D5858" s="391"/>
      <c r="E5858" s="390"/>
      <c r="F5858" s="392"/>
      <c r="G5858" s="390"/>
      <c r="H5858" s="394"/>
    </row>
    <row r="5859" spans="1:8" ht="15.75" customHeight="1" x14ac:dyDescent="0.25">
      <c r="A5859" s="390" t="inlineStr">
        <is>
          <t>Dealer-002</t>
        </is>
      </c>
      <c r="B5859" s="390"/>
      <c r="C5859" s="390"/>
      <c r="D5859" s="391"/>
      <c r="E5859" s="390"/>
      <c r="F5859" s="395" t="s">
        <v>18</v>
      </c>
      <c r="G5859" s="390" t="s">
        <v>828</v>
      </c>
      <c r="H5859" s="394"/>
    </row>
    <row r="5860" spans="1:8" ht="15.75" customHeight="1" x14ac:dyDescent="0.25">
      <c r="A5860" s="390" t="inlineStr">
        <is>
          <t>Address line (redacted)</t>
        </is>
      </c>
      <c r="B5860" s="390"/>
      <c r="C5860" s="390"/>
      <c r="D5860" s="391"/>
      <c r="E5860" s="390"/>
      <c r="F5860" s="393" t="s">
        <v>21</v>
      </c>
      <c r="G5860" s="390" t="s">
        <v>1708</v>
      </c>
      <c r="H5860" s="394"/>
    </row>
    <row r="5861" spans="1:8" ht="15.75" customHeight="1" x14ac:dyDescent="0.25">
      <c r="A5861" s="390" t="inlineStr">
        <is>
          <t>Address line (redacted)</t>
        </is>
      </c>
      <c r="B5861" s="390"/>
      <c r="C5861" s="390"/>
      <c r="D5861" s="391"/>
      <c r="E5861" s="390"/>
      <c r="F5861" s="391"/>
      <c r="G5861" s="390"/>
      <c r="H5861" s="394"/>
    </row>
    <row r="5862" spans="1:8" ht="15.75" customHeight="1" x14ac:dyDescent="0.25">
      <c r="A5862" s="390"/>
      <c r="B5862" s="390"/>
      <c r="C5862" s="393"/>
      <c r="D5862" s="391"/>
      <c r="E5862" s="390"/>
      <c r="F5862" s="391"/>
      <c r="G5862" s="390"/>
      <c r="H5862" s="394"/>
    </row>
    <row r="5863" spans="1:8" ht="15.75" customHeight="1" x14ac:dyDescent="0.25">
      <c r="A5863" s="390"/>
      <c r="B5863" s="390"/>
      <c r="C5863" s="390"/>
      <c r="D5863" s="391"/>
      <c r="E5863" s="390"/>
      <c r="F5863" s="391"/>
      <c r="G5863" s="390"/>
      <c r="H5863" s="394"/>
    </row>
    <row r="5864" spans="1:8" ht="15.75" customHeight="1" x14ac:dyDescent="0.25">
      <c r="A5864" s="390" t="s">
        <v>30</v>
      </c>
      <c r="B5864" s="390"/>
      <c r="C5864" s="390"/>
      <c r="D5864" s="391"/>
      <c r="E5864" s="390"/>
      <c r="F5864" s="391"/>
      <c r="G5864" s="390"/>
      <c r="H5864" s="394"/>
    </row>
    <row r="5865" spans="1:8" ht="15.75" customHeight="1" x14ac:dyDescent="0.25">
      <c r="A5865" s="390"/>
      <c r="B5865" s="390"/>
      <c r="C5865" s="390"/>
      <c r="D5865" s="391"/>
      <c r="E5865" s="390"/>
      <c r="F5865" s="391"/>
      <c r="G5865" s="390"/>
      <c r="H5865" s="394"/>
    </row>
    <row r="5866" spans="1:8" ht="15.75" customHeight="1" x14ac:dyDescent="0.25">
      <c r="A5866" s="390" t="s">
        <v>1322</v>
      </c>
      <c r="B5866" s="390"/>
      <c r="C5866" s="390"/>
      <c r="D5866" s="391"/>
      <c r="E5866" s="390"/>
      <c r="F5866" s="391"/>
      <c r="G5866" s="390"/>
      <c r="H5866" s="394"/>
    </row>
    <row r="5867" spans="1:8" ht="15.75" customHeight="1" x14ac:dyDescent="0.25">
      <c r="A5867" s="390" t="s">
        <v>1328</v>
      </c>
      <c r="B5867" s="390"/>
      <c r="C5867" s="390"/>
      <c r="D5867" s="391"/>
      <c r="E5867" s="390"/>
      <c r="F5867" s="391"/>
      <c r="G5867" s="390"/>
      <c r="H5867" s="394"/>
    </row>
    <row r="5868" spans="1:8" ht="15.75" customHeight="1" x14ac:dyDescent="0.25">
      <c r="A5868" s="390"/>
      <c r="B5868" s="390"/>
      <c r="C5868" s="390"/>
      <c r="D5868" s="391"/>
      <c r="E5868" s="390"/>
      <c r="F5868" s="391"/>
      <c r="G5868" s="390"/>
      <c r="H5868" s="394"/>
    </row>
    <row r="5869" spans="1:8" ht="15.75" customHeight="1" x14ac:dyDescent="0.25">
      <c r="A5869" s="399" t="s">
        <v>33</v>
      </c>
      <c r="B5869" s="400" t="s">
        <v>6</v>
      </c>
      <c r="C5869" s="400"/>
      <c r="D5869" s="401" t="s">
        <v>37</v>
      </c>
      <c r="E5869" s="402" t="s">
        <v>1309</v>
      </c>
      <c r="F5869" s="609" t="s">
        <v>7</v>
      </c>
      <c r="G5869" s="400" t="s">
        <v>43</v>
      </c>
      <c r="H5869" s="405" t="s">
        <v>44</v>
      </c>
    </row>
    <row r="5870" spans="1:8" ht="15.75" customHeight="1" x14ac:dyDescent="0.25">
      <c r="A5870" s="610"/>
      <c r="B5870" s="611"/>
      <c r="C5870" s="611"/>
      <c r="D5870" s="612"/>
      <c r="E5870" s="613"/>
      <c r="F5870" s="614"/>
      <c r="G5870" s="611"/>
      <c r="H5870" s="615"/>
    </row>
    <row r="5871" spans="1:8" ht="15.75" customHeight="1" x14ac:dyDescent="0.25">
      <c r="A5871" s="412"/>
      <c r="B5871" s="654" t="s">
        <v>531</v>
      </c>
      <c r="C5871" s="654"/>
      <c r="D5871" s="415"/>
      <c r="E5871" s="415"/>
      <c r="F5871" s="415"/>
      <c r="G5871" s="415"/>
      <c r="H5871" s="416"/>
    </row>
    <row r="5872" spans="1:8" ht="15.75" customHeight="1" x14ac:dyDescent="0.25">
      <c r="A5872" s="581" t="s">
        <v>55</v>
      </c>
      <c r="B5872" s="582" t="s">
        <v>1249</v>
      </c>
      <c r="C5872" s="582"/>
      <c r="D5872" s="415">
        <v>2</v>
      </c>
      <c r="E5872" s="415">
        <v>10</v>
      </c>
      <c r="F5872" s="415">
        <f t="shared" ref="F5872:F5873" si="174">+E5872*D5872</f>
      </c>
      <c r="G5872" s="415">
        <v>1</v>
      </c>
      <c r="H5872" s="589">
        <f t="shared" ref="H5872:H5873" si="175">+G5872*F5872</f>
      </c>
    </row>
    <row r="5873" spans="1:8" ht="15.75" customHeight="1" x14ac:dyDescent="0.25">
      <c r="A5873" s="581" t="s">
        <v>59</v>
      </c>
      <c r="B5873" s="582" t="s">
        <v>563</v>
      </c>
      <c r="C5873" s="582"/>
      <c r="D5873" s="415">
        <v>3</v>
      </c>
      <c r="E5873" s="415">
        <v>10</v>
      </c>
      <c r="F5873" s="415">
        <f t="shared" si="174"/>
      </c>
      <c r="G5873" s="415">
        <v>1</v>
      </c>
      <c r="H5873" s="589">
        <f t="shared" si="175"/>
      </c>
    </row>
    <row r="5874" spans="1:8" ht="15.75" customHeight="1" x14ac:dyDescent="0.25">
      <c r="A5874" s="581"/>
      <c r="B5874" s="654" t="s">
        <v>674</v>
      </c>
      <c r="C5874" s="654"/>
      <c r="D5874" s="415"/>
      <c r="E5874" s="415"/>
      <c r="F5874" s="415"/>
      <c r="G5874" s="415"/>
      <c r="H5874" s="589"/>
    </row>
    <row r="5875" spans="1:8" ht="15.75" customHeight="1" x14ac:dyDescent="0.25">
      <c r="A5875" s="581" t="s">
        <v>67</v>
      </c>
      <c r="B5875" s="644" t="s">
        <v>239</v>
      </c>
      <c r="C5875" s="654"/>
      <c r="D5875" s="415">
        <v>3</v>
      </c>
      <c r="E5875" s="415">
        <v>2</v>
      </c>
      <c r="F5875" s="415">
        <f>+E5875*D5875</f>
      </c>
      <c r="G5875" s="415">
        <v>1</v>
      </c>
      <c r="H5875" s="589">
        <f>+G5875*F5875</f>
      </c>
    </row>
    <row r="5876" spans="1:8" ht="15.75" customHeight="1" x14ac:dyDescent="0.25">
      <c r="A5876" s="581"/>
      <c r="B5876" s="654" t="s">
        <v>1329</v>
      </c>
      <c r="C5876" s="654"/>
      <c r="D5876" s="415"/>
      <c r="E5876" s="415"/>
      <c r="F5876" s="415"/>
      <c r="G5876" s="415"/>
      <c r="H5876" s="589"/>
    </row>
    <row r="5877" spans="1:8" ht="15.75" customHeight="1" x14ac:dyDescent="0.25">
      <c r="A5877" s="581" t="s">
        <v>485</v>
      </c>
      <c r="B5877" s="644" t="s">
        <v>1709</v>
      </c>
      <c r="C5877" s="644" t="s">
        <v>445</v>
      </c>
      <c r="D5877" s="592">
        <v>1</v>
      </c>
      <c r="E5877" s="415">
        <v>100</v>
      </c>
      <c r="F5877" s="415">
        <v>100</v>
      </c>
      <c r="G5877" s="415">
        <v>1</v>
      </c>
      <c r="H5877" s="589">
        <f t="shared" ref="H5877:H5879" si="176">+G5877*F5877</f>
      </c>
    </row>
    <row r="5878" spans="1:8" ht="15.75" customHeight="1" x14ac:dyDescent="0.25">
      <c r="A5878" s="581" t="s">
        <v>486</v>
      </c>
      <c r="B5878" s="644" t="s">
        <v>1710</v>
      </c>
      <c r="C5878" s="644" t="s">
        <v>450</v>
      </c>
      <c r="D5878" s="626"/>
      <c r="E5878" s="415">
        <v>100</v>
      </c>
      <c r="F5878" s="415">
        <v>100</v>
      </c>
      <c r="G5878" s="415">
        <v>1</v>
      </c>
      <c r="H5878" s="589">
        <f t="shared" si="176"/>
      </c>
    </row>
    <row r="5879" spans="1:8" ht="15.75" customHeight="1" x14ac:dyDescent="0.25">
      <c r="A5879" s="581" t="s">
        <v>489</v>
      </c>
      <c r="B5879" s="644" t="s">
        <v>1711</v>
      </c>
      <c r="C5879" s="644" t="s">
        <v>406</v>
      </c>
      <c r="D5879" s="415">
        <v>1</v>
      </c>
      <c r="E5879" s="415">
        <v>100</v>
      </c>
      <c r="F5879" s="415">
        <v>100</v>
      </c>
      <c r="G5879" s="415">
        <v>1</v>
      </c>
      <c r="H5879" s="589">
        <f t="shared" si="176"/>
      </c>
    </row>
    <row r="5880" spans="1:8" ht="15.75" customHeight="1" x14ac:dyDescent="0.25">
      <c r="A5880" s="581"/>
      <c r="B5880" s="654"/>
      <c r="C5880" s="654"/>
      <c r="D5880" s="415"/>
      <c r="E5880" s="415"/>
      <c r="F5880" s="415"/>
      <c r="G5880" s="415"/>
      <c r="H5880" s="589"/>
    </row>
    <row r="5881" spans="1:8" ht="15.75" customHeight="1" x14ac:dyDescent="0.25">
      <c r="A5881" s="581"/>
      <c r="B5881" s="654"/>
      <c r="C5881" s="654"/>
      <c r="D5881" s="415"/>
      <c r="E5881" s="415"/>
      <c r="F5881" s="415"/>
      <c r="G5881" s="415"/>
      <c r="H5881" s="589"/>
    </row>
    <row r="5882" spans="1:8" ht="15.75" customHeight="1" x14ac:dyDescent="0.25">
      <c r="A5882" s="581"/>
      <c r="B5882" s="582"/>
      <c r="C5882" s="582"/>
      <c r="D5882" s="415"/>
      <c r="E5882" s="415"/>
      <c r="F5882" s="415"/>
      <c r="G5882" s="415"/>
      <c r="H5882" s="589"/>
    </row>
    <row r="5883" spans="1:8" ht="15.75" customHeight="1" x14ac:dyDescent="0.25">
      <c r="A5883" s="430"/>
      <c r="B5883" s="409"/>
      <c r="C5883" s="393"/>
      <c r="D5883" s="427"/>
      <c r="E5883" s="427"/>
      <c r="F5883" s="428"/>
      <c r="G5883" s="427"/>
      <c r="H5883" s="429"/>
    </row>
    <row r="5884" spans="1:8" ht="15.75" customHeight="1" x14ac:dyDescent="0.25">
      <c r="A5884" s="432"/>
      <c r="B5884" s="433"/>
      <c r="C5884" s="434" t="s">
        <v>85</v>
      </c>
      <c r="D5884" s="659">
        <f>SUM(D5871:D5883)</f>
      </c>
      <c r="E5884" s="401"/>
      <c r="F5884" s="660"/>
      <c r="G5884" s="661"/>
      <c r="H5884" s="623">
        <f>SUM(H5871:H5883)</f>
      </c>
    </row>
    <row r="5885" spans="1:8" ht="15.75" customHeight="1" x14ac:dyDescent="0.25">
      <c r="A5885" s="439"/>
      <c r="B5885" s="440"/>
      <c r="C5885" s="440"/>
      <c r="D5885" s="441"/>
      <c r="E5885" s="440"/>
      <c r="F5885" s="442"/>
      <c r="G5885" s="443"/>
      <c r="H5885" s="444"/>
    </row>
    <row r="5886" spans="1:8" ht="15.75" customHeight="1" x14ac:dyDescent="0.25">
      <c r="A5886" s="392"/>
      <c r="B5886" s="391"/>
      <c r="C5886" s="391"/>
      <c r="D5886" s="391"/>
      <c r="E5886" s="390"/>
      <c r="F5886" s="392"/>
      <c r="G5886" s="390"/>
      <c r="H5886" s="394"/>
    </row>
    <row r="5887" spans="1:8" ht="15.75" customHeight="1" x14ac:dyDescent="0.25">
      <c r="A5887" s="445"/>
      <c r="B5887" s="445"/>
      <c r="C5887" s="445"/>
      <c r="D5887" s="446" t="s">
        <v>97</v>
      </c>
      <c r="E5887" s="445" t="s">
        <v>98</v>
      </c>
      <c r="F5887" s="445"/>
      <c r="G5887" s="390"/>
      <c r="H5887" s="394"/>
    </row>
    <row r="5888" spans="1:8" ht="15.75" customHeight="1" x14ac:dyDescent="0.25">
      <c r="A5888" s="390"/>
      <c r="B5888" s="390"/>
      <c r="C5888" s="390"/>
      <c r="D5888" s="391"/>
      <c r="E5888" s="390"/>
      <c r="F5888" s="390"/>
      <c r="G5888" s="390"/>
      <c r="H5888" s="394"/>
    </row>
    <row r="5889" spans="1:8" ht="15.75" customHeight="1" x14ac:dyDescent="0.25">
      <c r="A5889" s="390"/>
      <c r="B5889" s="390"/>
      <c r="C5889" s="390"/>
      <c r="D5889" s="391"/>
      <c r="E5889" s="390"/>
      <c r="F5889" s="390"/>
      <c r="G5889" s="390"/>
      <c r="H5889" s="394"/>
    </row>
    <row r="5890" spans="1:8" ht="15.75" customHeight="1" x14ac:dyDescent="0.25">
      <c r="A5890" s="445"/>
      <c r="B5890" s="445"/>
      <c r="C5890" s="445"/>
      <c r="D5890" s="446"/>
      <c r="E5890" s="445" t="s">
        <v>99</v>
      </c>
      <c r="F5890" s="445"/>
      <c r="G5890" s="390"/>
      <c r="H5890" s="394"/>
    </row>
    <row r="5891" spans="1:8" ht="15.75" customHeight="1" x14ac:dyDescent="0.25">
      <c r="D5891" s="4"/>
      <c r="H5891" s="4"/>
    </row>
    <row r="5892" spans="1:8" ht="15.75" customHeight="1" x14ac:dyDescent="0.25">
      <c r="D5892" s="4"/>
      <c r="H5892" s="4"/>
    </row>
    <row r="5893" spans="1:8" ht="15.75" customHeight="1" x14ac:dyDescent="0.25">
      <c r="D5893" s="4"/>
      <c r="H5893" s="4"/>
    </row>
    <row r="5894" spans="1:8" ht="15.75" customHeight="1" x14ac:dyDescent="0.25">
      <c r="D5894" s="4"/>
      <c r="H5894" s="4"/>
    </row>
    <row r="5895" spans="1:8" ht="15.75" customHeight="1" x14ac:dyDescent="0.25">
      <c r="D5895" s="4"/>
      <c r="H5895" s="4"/>
    </row>
    <row r="5896" spans="1:8" ht="15.75" customHeight="1" x14ac:dyDescent="0.25">
      <c r="D5896" s="4"/>
      <c r="H5896" s="4"/>
    </row>
    <row r="5897" spans="1:8" ht="15.75" customHeight="1" x14ac:dyDescent="0.25">
      <c r="D5897" s="4"/>
      <c r="H5897" s="4"/>
    </row>
    <row r="5898" spans="1:8" ht="15.75" customHeight="1" x14ac:dyDescent="0.25">
      <c r="D5898" s="4"/>
      <c r="H5898" s="4"/>
    </row>
    <row r="5899" spans="1:8" ht="15.75" customHeight="1" x14ac:dyDescent="0.25">
      <c r="D5899" s="4"/>
      <c r="H5899" s="4"/>
    </row>
    <row r="5900" spans="1:8" ht="15.75" customHeight="1" x14ac:dyDescent="0.25">
      <c r="D5900" s="4"/>
      <c r="H5900" s="4"/>
    </row>
    <row r="5901" spans="1:8" ht="15.75" customHeight="1" x14ac:dyDescent="0.25">
      <c r="A5901" s="398" t="s">
        <v>14</v>
      </c>
      <c r="B5901" s="398"/>
      <c r="C5901" s="398"/>
      <c r="D5901" s="398"/>
      <c r="E5901" s="398"/>
      <c r="F5901" s="398"/>
      <c r="G5901" s="398"/>
      <c r="H5901" s="398"/>
    </row>
    <row r="5902" spans="1:8" ht="15.75" customHeight="1" x14ac:dyDescent="0.25">
      <c r="A5902" s="390"/>
      <c r="B5902" s="390"/>
      <c r="C5902" s="390"/>
      <c r="D5902" s="391"/>
      <c r="E5902" s="390"/>
      <c r="F5902" s="390"/>
      <c r="G5902" s="390"/>
      <c r="H5902" s="398"/>
    </row>
    <row r="5903" spans="1:8" ht="15.75" customHeight="1" x14ac:dyDescent="0.25">
      <c r="A5903" s="390"/>
      <c r="B5903" s="390"/>
      <c r="C5903" s="391"/>
      <c r="D5903" s="392"/>
      <c r="E5903" s="393"/>
      <c r="F5903" s="393"/>
      <c r="G5903" s="393"/>
      <c r="H5903" s="394"/>
    </row>
    <row r="5904" spans="1:8" ht="15.75" customHeight="1" x14ac:dyDescent="0.25">
      <c r="A5904" s="390" t="s">
        <v>20</v>
      </c>
      <c r="B5904" s="390"/>
      <c r="C5904" s="390"/>
      <c r="D5904" s="391"/>
      <c r="E5904" s="390"/>
      <c r="F5904" s="395" t="s">
        <v>18</v>
      </c>
      <c r="G5904" s="396" t="s">
        <v>830</v>
      </c>
      <c r="H5904" s="397"/>
    </row>
    <row r="5905" spans="1:8" ht="15.75" customHeight="1" x14ac:dyDescent="0.25">
      <c r="A5905" s="390" t="inlineStr">
        <is>
          <t>Dealer-009</t>
        </is>
      </c>
      <c r="B5905" s="390"/>
      <c r="C5905" s="390" t="inlineStr">
        <is>
          <t>ATTN: Contact-001</t>
        </is>
      </c>
      <c r="D5905" s="391"/>
      <c r="E5905" s="390"/>
      <c r="F5905" s="395" t="s">
        <v>21</v>
      </c>
      <c r="G5905" s="390" t="s">
        <v>1461</v>
      </c>
      <c r="H5905" s="391"/>
    </row>
    <row r="5906" spans="1:8" ht="15.75" customHeight="1" x14ac:dyDescent="0.25">
      <c r="A5906" s="390" t="inlineStr">
        <is>
          <t>Address line (redacted)</t>
        </is>
      </c>
      <c r="B5906" s="390"/>
      <c r="C5906" s="390"/>
      <c r="D5906" s="391"/>
      <c r="E5906" s="395"/>
      <c r="F5906" s="390"/>
      <c r="G5906" s="390"/>
      <c r="H5906" s="394"/>
    </row>
    <row r="5907" spans="1:8" ht="15.75" customHeight="1" x14ac:dyDescent="0.25">
      <c r="A5907" s="390" t="inlineStr">
        <is>
          <t>Address line (redacted)</t>
        </is>
      </c>
      <c r="B5907" s="390"/>
      <c r="C5907" s="390"/>
      <c r="D5907" s="398"/>
      <c r="E5907" s="390"/>
      <c r="F5907" s="391"/>
      <c r="G5907" s="390"/>
      <c r="H5907" s="394"/>
    </row>
    <row r="5908" spans="1:8" ht="15.75" customHeight="1" x14ac:dyDescent="0.25">
      <c r="D5908" s="398"/>
      <c r="E5908" s="390"/>
      <c r="F5908" s="391"/>
      <c r="G5908" s="390"/>
      <c r="H5908" s="394"/>
    </row>
    <row r="5909" spans="1:8" ht="15.75" customHeight="1" x14ac:dyDescent="0.25">
      <c r="A5909" s="390" t="s">
        <v>30</v>
      </c>
      <c r="B5909" s="390"/>
      <c r="C5909" s="390"/>
      <c r="D5909" s="391"/>
      <c r="E5909" s="390"/>
      <c r="F5909" s="391"/>
      <c r="G5909" s="390"/>
      <c r="H5909" s="394"/>
    </row>
    <row r="5910" spans="1:8" ht="15.75" customHeight="1" x14ac:dyDescent="0.25">
      <c r="A5910" s="390"/>
      <c r="B5910" s="390"/>
      <c r="C5910" s="390"/>
      <c r="D5910" s="391"/>
      <c r="E5910" s="390"/>
      <c r="F5910" s="391"/>
      <c r="G5910" s="390"/>
      <c r="H5910" s="394"/>
    </row>
    <row r="5911" spans="1:8" ht="15.75" customHeight="1" x14ac:dyDescent="0.25">
      <c r="A5911" s="390" t="s">
        <v>716</v>
      </c>
      <c r="B5911" s="390"/>
      <c r="C5911" s="390"/>
      <c r="D5911" s="391"/>
      <c r="E5911" s="390"/>
      <c r="F5911" s="391"/>
      <c r="G5911" s="390"/>
      <c r="H5911" s="394"/>
    </row>
    <row r="5912" spans="1:8" ht="15.75" customHeight="1" x14ac:dyDescent="0.25">
      <c r="A5912" s="390" t="s">
        <v>717</v>
      </c>
      <c r="B5912" s="390"/>
      <c r="C5912" s="390"/>
      <c r="D5912" s="391"/>
      <c r="E5912" s="390"/>
      <c r="F5912" s="391"/>
      <c r="G5912" s="390"/>
      <c r="H5912" s="394"/>
    </row>
    <row r="5913" spans="1:8" ht="15.75" customHeight="1" x14ac:dyDescent="0.25">
      <c r="A5913" s="390"/>
      <c r="B5913" s="390"/>
      <c r="C5913" s="390"/>
      <c r="D5913" s="391"/>
      <c r="E5913" s="390"/>
      <c r="F5913" s="391"/>
      <c r="G5913" s="390"/>
      <c r="H5913" s="394"/>
    </row>
    <row r="5914" spans="1:8" ht="15.75" customHeight="1" x14ac:dyDescent="0.25">
      <c r="A5914" s="399" t="s">
        <v>33</v>
      </c>
      <c r="B5914" s="400" t="s">
        <v>6</v>
      </c>
      <c r="C5914" s="400"/>
      <c r="D5914" s="401" t="s">
        <v>37</v>
      </c>
      <c r="E5914" s="402" t="s">
        <v>38</v>
      </c>
      <c r="F5914" s="403" t="s">
        <v>7</v>
      </c>
      <c r="G5914" s="404" t="s">
        <v>43</v>
      </c>
      <c r="H5914" s="405" t="s">
        <v>44</v>
      </c>
    </row>
    <row r="5915" spans="1:8" ht="15.75" customHeight="1" x14ac:dyDescent="0.25">
      <c r="A5915" s="406"/>
      <c r="B5915" s="407"/>
      <c r="C5915" s="393"/>
      <c r="D5915" s="408"/>
      <c r="E5915" s="408"/>
      <c r="F5915" s="409"/>
      <c r="G5915" s="410"/>
      <c r="H5915" s="411"/>
    </row>
    <row r="5916" spans="1:8" ht="15.75" customHeight="1" x14ac:dyDescent="0.25">
      <c r="A5916" s="412" t="s">
        <v>55</v>
      </c>
      <c r="B5916" s="708" t="s">
        <v>1681</v>
      </c>
      <c r="C5916" s="709"/>
      <c r="D5916" s="415">
        <v>15</v>
      </c>
      <c r="E5916" s="415">
        <v>1</v>
      </c>
      <c r="F5916" s="415">
        <f>+E5916*D5916</f>
      </c>
      <c r="G5916" s="415">
        <v>1</v>
      </c>
      <c r="H5916" s="589">
        <f>+G5916*F5916</f>
      </c>
    </row>
    <row r="5917" spans="1:8" ht="15.75" customHeight="1" x14ac:dyDescent="0.25">
      <c r="A5917" s="412"/>
      <c r="B5917" s="644" t="s">
        <v>1682</v>
      </c>
      <c r="C5917" s="418" t="s">
        <v>1683</v>
      </c>
      <c r="D5917" s="415"/>
      <c r="E5917" s="415"/>
      <c r="F5917" s="415"/>
      <c r="G5917" s="415"/>
      <c r="H5917" s="589"/>
    </row>
    <row r="5918" spans="1:8" ht="15.75" customHeight="1" x14ac:dyDescent="0.25">
      <c r="A5918" s="412"/>
      <c r="B5918" s="701" t="s">
        <v>1684</v>
      </c>
      <c r="C5918" s="700" t="s">
        <v>1712</v>
      </c>
      <c r="D5918" s="415"/>
      <c r="E5918" s="415"/>
      <c r="F5918" s="415"/>
      <c r="G5918" s="415"/>
      <c r="H5918" s="589"/>
    </row>
    <row r="5919" spans="1:8" ht="15.75" customHeight="1" x14ac:dyDescent="0.25">
      <c r="A5919" s="412"/>
      <c r="B5919" s="644" t="s">
        <v>1686</v>
      </c>
      <c r="C5919" s="418" t="s">
        <v>1707</v>
      </c>
      <c r="D5919" s="415"/>
      <c r="E5919" s="415"/>
      <c r="F5919" s="415"/>
      <c r="G5919" s="415"/>
      <c r="H5919" s="589"/>
    </row>
    <row r="5920" spans="1:8" ht="15.75" customHeight="1" x14ac:dyDescent="0.25">
      <c r="A5920" s="412"/>
      <c r="B5920" s="624"/>
      <c r="C5920" s="625"/>
      <c r="D5920" s="415"/>
      <c r="E5920" s="415"/>
      <c r="F5920" s="415"/>
      <c r="G5920" s="415"/>
      <c r="H5920" s="416"/>
    </row>
    <row r="5921" spans="1:8" ht="15.75" customHeight="1" x14ac:dyDescent="0.25">
      <c r="A5921" s="412" t="s">
        <v>59</v>
      </c>
      <c r="B5921" s="708" t="s">
        <v>573</v>
      </c>
      <c r="C5921" s="709"/>
      <c r="D5921" s="415">
        <v>1</v>
      </c>
      <c r="E5921" s="415">
        <v>5</v>
      </c>
      <c r="F5921" s="415">
        <f>+E5921*D5921</f>
      </c>
      <c r="G5921" s="415">
        <v>1</v>
      </c>
      <c r="H5921" s="589">
        <f>+G5921*F5921</f>
      </c>
    </row>
    <row r="5922" spans="1:8" ht="15.75" customHeight="1" x14ac:dyDescent="0.25">
      <c r="A5922" s="412"/>
      <c r="B5922" s="644" t="s">
        <v>143</v>
      </c>
      <c r="C5922" s="418" t="s">
        <v>339</v>
      </c>
      <c r="D5922" s="415"/>
      <c r="E5922" s="415"/>
      <c r="F5922" s="415"/>
      <c r="G5922" s="415"/>
      <c r="H5922" s="589"/>
    </row>
    <row r="5923" spans="1:8" ht="15.75" customHeight="1" x14ac:dyDescent="0.25">
      <c r="A5923" s="412"/>
      <c r="B5923" s="701"/>
      <c r="C5923" s="700"/>
      <c r="D5923" s="415"/>
      <c r="E5923" s="415"/>
      <c r="F5923" s="415"/>
      <c r="G5923" s="415"/>
      <c r="H5923" s="589"/>
    </row>
    <row r="5924" spans="1:8" ht="15.75" customHeight="1" x14ac:dyDescent="0.25">
      <c r="A5924" s="412"/>
      <c r="B5924" s="644"/>
      <c r="C5924" s="418"/>
      <c r="D5924" s="415"/>
      <c r="E5924" s="415"/>
      <c r="F5924" s="415"/>
      <c r="G5924" s="415"/>
      <c r="H5924" s="589"/>
    </row>
    <row r="5925" spans="1:8" ht="15.75" customHeight="1" x14ac:dyDescent="0.25">
      <c r="A5925" s="502"/>
      <c r="B5925" s="503"/>
      <c r="C5925" s="390"/>
      <c r="D5925" s="427"/>
      <c r="E5925" s="427"/>
      <c r="F5925" s="391"/>
      <c r="G5925" s="427"/>
      <c r="H5925" s="429"/>
    </row>
    <row r="5926" spans="1:8" ht="15.75" customHeight="1" x14ac:dyDescent="0.25">
      <c r="A5926" s="432"/>
      <c r="B5926" s="433"/>
      <c r="C5926" s="434" t="s">
        <v>85</v>
      </c>
      <c r="D5926" s="435">
        <f>SUM(D5916:D5925)</f>
      </c>
      <c r="E5926" s="435"/>
      <c r="F5926" s="436"/>
      <c r="G5926" s="437"/>
      <c r="H5926" s="438">
        <f>SUM(H5916:H5925)</f>
      </c>
    </row>
    <row r="5927" spans="1:8" ht="15.75" customHeight="1" x14ac:dyDescent="0.25">
      <c r="A5927" s="439"/>
      <c r="B5927" s="440"/>
      <c r="C5927" s="440"/>
      <c r="D5927" s="441"/>
      <c r="E5927" s="440"/>
      <c r="F5927" s="442"/>
      <c r="G5927" s="443"/>
      <c r="H5927" s="444"/>
    </row>
    <row r="5928" spans="1:8" ht="15.75" customHeight="1" x14ac:dyDescent="0.25">
      <c r="A5928" s="565" t="s">
        <v>1852</v>
      </c>
      <c r="B5928" s="565"/>
      <c r="C5928" s="565"/>
      <c r="D5928" s="565"/>
      <c r="E5928" s="565"/>
      <c r="F5928" s="565"/>
      <c r="G5928" s="565"/>
      <c r="H5928" s="565"/>
    </row>
    <row r="5929" spans="1:8" ht="15.75" customHeight="1" x14ac:dyDescent="0.25">
      <c r="A5929" s="445"/>
      <c r="B5929" s="445"/>
      <c r="C5929" s="445"/>
      <c r="D5929" s="446" t="s">
        <v>97</v>
      </c>
      <c r="E5929" s="445" t="s">
        <v>98</v>
      </c>
      <c r="F5929" s="445"/>
      <c r="G5929" s="390"/>
      <c r="H5929" s="394"/>
    </row>
    <row r="5930" spans="1:8" ht="15.75" customHeight="1" x14ac:dyDescent="0.25">
      <c r="A5930" s="390"/>
      <c r="B5930" s="390"/>
      <c r="C5930" s="390"/>
      <c r="D5930" s="391"/>
      <c r="E5930" s="390"/>
      <c r="F5930" s="390"/>
      <c r="G5930" s="390"/>
      <c r="H5930" s="394"/>
    </row>
    <row r="5931" spans="1:8" ht="15.75" customHeight="1" x14ac:dyDescent="0.25">
      <c r="A5931" s="390"/>
      <c r="B5931" s="390"/>
      <c r="C5931" s="390"/>
      <c r="D5931" s="391"/>
      <c r="E5931" s="390"/>
      <c r="F5931" s="390"/>
      <c r="G5931" s="390"/>
      <c r="H5931" s="394"/>
    </row>
    <row r="5932" spans="1:8" ht="15.75" customHeight="1" x14ac:dyDescent="0.25">
      <c r="A5932" s="445"/>
      <c r="B5932" s="445"/>
      <c r="C5932" s="445"/>
      <c r="D5932" s="446"/>
      <c r="E5932" s="445" t="s">
        <v>99</v>
      </c>
      <c r="F5932" s="445"/>
      <c r="G5932" s="390"/>
      <c r="H5932" s="394"/>
    </row>
    <row r="5933" spans="1:8" ht="15.75" customHeight="1" x14ac:dyDescent="0.25">
      <c r="D5933" s="4"/>
      <c r="H5933" s="4"/>
    </row>
    <row r="5934" spans="1:8" ht="15.75" customHeight="1" x14ac:dyDescent="0.25">
      <c r="D5934" s="4"/>
      <c r="H5934" s="4"/>
    </row>
    <row r="5935" spans="1:8" ht="15.75" customHeight="1" x14ac:dyDescent="0.25">
      <c r="D5935" s="4"/>
      <c r="H5935" s="4"/>
    </row>
    <row r="5936" spans="1:8" ht="15.75" customHeight="1" x14ac:dyDescent="0.25">
      <c r="D5936" s="4"/>
      <c r="H5936" s="4"/>
    </row>
    <row r="5937" spans="1:8" ht="15.75" customHeight="1" x14ac:dyDescent="0.25">
      <c r="D5937" s="4"/>
      <c r="H5937" s="4"/>
    </row>
    <row r="5938" spans="1:8" ht="15.75" customHeight="1" x14ac:dyDescent="0.25">
      <c r="D5938" s="4"/>
      <c r="H5938" s="4"/>
    </row>
    <row r="5939" spans="1:8" ht="15.75" customHeight="1" x14ac:dyDescent="0.25">
      <c r="D5939" s="4"/>
      <c r="H5939" s="4"/>
    </row>
    <row r="5940" spans="1:8" ht="15.75" customHeight="1" x14ac:dyDescent="0.25">
      <c r="D5940" s="4"/>
      <c r="H5940" s="4"/>
    </row>
    <row r="5941" spans="1:8" ht="15.75" customHeight="1" x14ac:dyDescent="0.25">
      <c r="D5941" s="4"/>
      <c r="H5941" s="4"/>
    </row>
    <row r="5942" spans="1:8" ht="15.75" customHeight="1" x14ac:dyDescent="0.25">
      <c r="D5942" s="4"/>
      <c r="H5942" s="4"/>
    </row>
    <row r="5943" spans="1:8" ht="15.75" customHeight="1" x14ac:dyDescent="0.25">
      <c r="D5943" s="4"/>
      <c r="H5943" s="4"/>
    </row>
    <row r="5944" spans="1:8" ht="15.75" customHeight="1" x14ac:dyDescent="0.25">
      <c r="D5944" s="4"/>
      <c r="H5944" s="4"/>
    </row>
    <row r="5945" spans="1:8" ht="15.75" customHeight="1" x14ac:dyDescent="0.25">
      <c r="D5945" s="4"/>
      <c r="H5945" s="4"/>
    </row>
    <row r="5946" spans="1:8" ht="15.75" customHeight="1" x14ac:dyDescent="0.25">
      <c r="D5946" s="4"/>
      <c r="H5946" s="4"/>
    </row>
    <row r="5947" spans="1:8" ht="15.75" customHeight="1" x14ac:dyDescent="0.25">
      <c r="A5947" s="103" t="s">
        <v>14</v>
      </c>
      <c r="B5947" s="103"/>
      <c r="C5947" s="103"/>
      <c r="D5947" s="103"/>
      <c r="E5947" s="103"/>
      <c r="F5947" s="103"/>
      <c r="G5947" s="103"/>
      <c r="H5947" s="103"/>
    </row>
    <row r="5948" spans="1:8" ht="15.75" customHeight="1" x14ac:dyDescent="0.25">
      <c r="D5948" s="4"/>
      <c r="H5948" s="8"/>
    </row>
    <row r="5949" spans="1:8" ht="15.75" customHeight="1" x14ac:dyDescent="0.25">
      <c r="A5949" s="15"/>
      <c r="B5949" s="15"/>
      <c r="C5949" s="16"/>
      <c r="D5949" s="17"/>
      <c r="E5949" s="18"/>
      <c r="F5949" s="18"/>
      <c r="G5949" s="18"/>
      <c r="H5949" s="19"/>
    </row>
    <row r="5950" spans="1:8" ht="15.75" customHeight="1" x14ac:dyDescent="0.3">
      <c r="A5950" s="25"/>
      <c r="B5950" s="25"/>
      <c r="C5950" s="25"/>
      <c r="D5950" s="26"/>
      <c r="E5950" s="25"/>
      <c r="F5950" s="22" t="s">
        <v>18</v>
      </c>
      <c r="G5950" s="23" t="s">
        <v>832</v>
      </c>
      <c r="H5950" s="24"/>
    </row>
    <row r="5951" spans="1:8" ht="15.75" customHeight="1" x14ac:dyDescent="0.3">
      <c r="A5951" s="25" t="s">
        <v>20</v>
      </c>
      <c r="B5951" s="25"/>
      <c r="C5951" s="25"/>
      <c r="D5951" s="26"/>
      <c r="E5951" s="25"/>
      <c r="F5951" s="22" t="s">
        <v>21</v>
      </c>
      <c r="G5951" s="25" t="s">
        <v>1520</v>
      </c>
      <c r="H5951" s="26"/>
    </row>
    <row r="5952" spans="1:8" ht="15.75" customHeight="1" x14ac:dyDescent="0.3">
      <c r="A5952" s="25" t="inlineStr">
        <is>
          <t>Dealer-003</t>
        </is>
      </c>
      <c r="B5952" s="25"/>
      <c r="C5952" s="25"/>
      <c r="D5952" s="26"/>
      <c r="E5952" s="22"/>
      <c r="F5952" s="25"/>
      <c r="G5952" s="25"/>
      <c r="H5952" s="106"/>
    </row>
    <row r="5953" spans="1:8" ht="15.75" customHeight="1" x14ac:dyDescent="0.3">
      <c r="A5953" s="25" t="inlineStr">
        <is>
          <t>Address line (redacted)</t>
        </is>
      </c>
      <c r="B5953" s="25"/>
      <c r="C5953" s="25"/>
      <c r="D5953" s="109"/>
      <c r="E5953" s="25"/>
      <c r="F5953" s="26"/>
      <c r="G5953" s="25"/>
      <c r="H5953" s="106"/>
    </row>
    <row r="5954" spans="1:8" ht="15.75" customHeight="1" x14ac:dyDescent="0.3">
      <c r="A5954" s="25" t="inlineStr">
        <is>
          <t>Address line (redacted)</t>
        </is>
      </c>
      <c r="B5954" s="25"/>
      <c r="C5954" s="25"/>
      <c r="D5954" s="109"/>
      <c r="E5954" s="25"/>
      <c r="F5954" s="26"/>
      <c r="G5954" s="25"/>
      <c r="H5954" s="106"/>
    </row>
    <row r="5955" spans="1:8" ht="15.75" customHeight="1" x14ac:dyDescent="0.3">
      <c r="A5955" s="114"/>
      <c r="B5955" s="25"/>
      <c r="C5955" s="25"/>
      <c r="D5955" s="26"/>
      <c r="E5955" s="25"/>
      <c r="F5955" s="26"/>
      <c r="G5955" s="25"/>
      <c r="H5955" s="106"/>
    </row>
    <row r="5956" spans="1:8" ht="15.75" customHeight="1" x14ac:dyDescent="0.3">
      <c r="A5956" s="25" t="s">
        <v>30</v>
      </c>
      <c r="B5956" s="25"/>
      <c r="C5956" s="25"/>
      <c r="D5956" s="26"/>
      <c r="E5956" s="25"/>
      <c r="F5956" s="26"/>
      <c r="G5956" s="25"/>
      <c r="H5956" s="106"/>
    </row>
    <row r="5957" spans="1:8" ht="15.75" customHeight="1" x14ac:dyDescent="0.3">
      <c r="A5957" s="25"/>
      <c r="B5957" s="25"/>
      <c r="C5957" s="25"/>
      <c r="D5957" s="26"/>
      <c r="E5957" s="25"/>
      <c r="F5957" s="26"/>
      <c r="G5957" s="25"/>
      <c r="H5957" s="106"/>
    </row>
    <row r="5958" spans="1:8" ht="15.75" customHeight="1" x14ac:dyDescent="0.3">
      <c r="A5958" s="25" t="s">
        <v>31</v>
      </c>
      <c r="B5958" s="25"/>
      <c r="C5958" s="25"/>
      <c r="D5958" s="26"/>
      <c r="E5958" s="25"/>
      <c r="F5958" s="26"/>
      <c r="G5958" s="25"/>
      <c r="H5958" s="106"/>
    </row>
    <row r="5959" spans="1:8" ht="15.75" customHeight="1" x14ac:dyDescent="0.3">
      <c r="A5959" s="25" t="s">
        <v>32</v>
      </c>
      <c r="B5959" s="25"/>
      <c r="C5959" s="25"/>
      <c r="D5959" s="26"/>
      <c r="E5959" s="25"/>
      <c r="F5959" s="26"/>
      <c r="G5959" s="25"/>
      <c r="H5959" s="106"/>
    </row>
    <row r="5960" spans="1:8" ht="15.75" customHeight="1" x14ac:dyDescent="0.3">
      <c r="A5960" s="25"/>
      <c r="B5960" s="25"/>
      <c r="C5960" s="25"/>
      <c r="D5960" s="26"/>
      <c r="E5960" s="25"/>
      <c r="F5960" s="26"/>
      <c r="G5960" s="25"/>
      <c r="H5960" s="106"/>
    </row>
    <row r="5961" spans="1:8" ht="15.75" customHeight="1" x14ac:dyDescent="0.3">
      <c r="A5961" s="118" t="s">
        <v>33</v>
      </c>
      <c r="B5961" s="121" t="s">
        <v>6</v>
      </c>
      <c r="C5961" s="121"/>
      <c r="D5961" s="123" t="s">
        <v>37</v>
      </c>
      <c r="E5961" s="125" t="s">
        <v>38</v>
      </c>
      <c r="F5961" s="127" t="s">
        <v>7</v>
      </c>
      <c r="G5961" s="129" t="s">
        <v>43</v>
      </c>
      <c r="H5961" s="130" t="s">
        <v>44</v>
      </c>
    </row>
    <row r="5962" spans="1:8" ht="15.75" customHeight="1" x14ac:dyDescent="0.3">
      <c r="A5962" s="133"/>
      <c r="B5962" s="135"/>
      <c r="C5962" s="136"/>
      <c r="D5962" s="138"/>
      <c r="E5962" s="138"/>
      <c r="F5962" s="139"/>
      <c r="G5962" s="141"/>
      <c r="H5962" s="143"/>
    </row>
    <row r="5963" spans="1:8" ht="15.75" customHeight="1" x14ac:dyDescent="0.3">
      <c r="A5963" s="145"/>
      <c r="B5963" s="147" t="s">
        <v>674</v>
      </c>
      <c r="C5963" s="148"/>
      <c r="D5963" s="149"/>
      <c r="E5963" s="149"/>
      <c r="F5963" s="26"/>
      <c r="G5963" s="149"/>
      <c r="H5963" s="151"/>
    </row>
    <row r="5964" spans="1:8" ht="15.75" customHeight="1" x14ac:dyDescent="0.3">
      <c r="A5964" s="145" t="s">
        <v>55</v>
      </c>
      <c r="B5964" s="153" t="s">
        <v>482</v>
      </c>
      <c r="C5964" s="154"/>
      <c r="D5964" s="149">
        <v>5</v>
      </c>
      <c r="E5964" s="149">
        <v>1</v>
      </c>
      <c r="F5964" s="26">
        <f>+E5964*D5964</f>
      </c>
      <c r="G5964" s="149">
        <v>1</v>
      </c>
      <c r="H5964" s="151">
        <f>+G5964*F5964</f>
      </c>
    </row>
    <row r="5965" spans="1:8" ht="15.75" customHeight="1" x14ac:dyDescent="0.3">
      <c r="A5965" s="145"/>
      <c r="B5965" s="161"/>
      <c r="C5965" s="25"/>
      <c r="D5965" s="149"/>
      <c r="E5965" s="149"/>
      <c r="F5965" s="26"/>
      <c r="G5965" s="149"/>
      <c r="H5965" s="151"/>
    </row>
    <row r="5966" spans="1:8" ht="15.75" customHeight="1" x14ac:dyDescent="0.3">
      <c r="A5966" s="145"/>
      <c r="B5966" s="162" t="s">
        <v>531</v>
      </c>
      <c r="C5966" s="163"/>
      <c r="D5966" s="149"/>
      <c r="E5966" s="149"/>
      <c r="F5966" s="26"/>
      <c r="G5966" s="149"/>
      <c r="H5966" s="151"/>
    </row>
    <row r="5967" spans="1:8" ht="15.75" customHeight="1" x14ac:dyDescent="0.3">
      <c r="A5967" s="145" t="s">
        <v>59</v>
      </c>
      <c r="B5967" s="164" t="s">
        <v>890</v>
      </c>
      <c r="C5967" s="153"/>
      <c r="D5967" s="149">
        <v>5</v>
      </c>
      <c r="E5967" s="149">
        <v>10</v>
      </c>
      <c r="F5967" s="26">
        <f>+E5967*D5967</f>
      </c>
      <c r="G5967" s="149">
        <v>1</v>
      </c>
      <c r="H5967" s="151">
        <f>+G5967*F5967</f>
      </c>
    </row>
    <row r="5968" spans="1:8" ht="15.75" customHeight="1" x14ac:dyDescent="0.3">
      <c r="A5968" s="145"/>
      <c r="B5968" s="174"/>
      <c r="C5968" s="25"/>
      <c r="D5968" s="149"/>
      <c r="E5968" s="149"/>
      <c r="F5968" s="26"/>
      <c r="G5968" s="149"/>
      <c r="H5968" s="151"/>
    </row>
    <row r="5969" spans="1:8" ht="15.75" customHeight="1" x14ac:dyDescent="0.3">
      <c r="A5969" s="145"/>
      <c r="B5969" s="174"/>
      <c r="C5969" s="25"/>
      <c r="D5969" s="149"/>
      <c r="E5969" s="149"/>
      <c r="F5969" s="26"/>
      <c r="G5969" s="149"/>
      <c r="H5969" s="151"/>
    </row>
    <row r="5970" spans="1:8" ht="15.75" customHeight="1" x14ac:dyDescent="0.3">
      <c r="A5970" s="145"/>
      <c r="B5970" s="174"/>
      <c r="C5970" s="25"/>
      <c r="D5970" s="149"/>
      <c r="E5970" s="149"/>
      <c r="F5970" s="26"/>
      <c r="G5970" s="149"/>
      <c r="H5970" s="151"/>
    </row>
    <row r="5971" spans="1:8" ht="15.75" customHeight="1" x14ac:dyDescent="0.3">
      <c r="A5971" s="145"/>
      <c r="B5971" s="174"/>
      <c r="C5971" s="25"/>
      <c r="D5971" s="149"/>
      <c r="E5971" s="149"/>
      <c r="F5971" s="26"/>
      <c r="G5971" s="149"/>
      <c r="H5971" s="151"/>
    </row>
    <row r="5972" spans="1:8" ht="15.75" customHeight="1" x14ac:dyDescent="0.3">
      <c r="A5972" s="145"/>
      <c r="B5972" s="174"/>
      <c r="C5972" s="25"/>
      <c r="D5972" s="149"/>
      <c r="E5972" s="149"/>
      <c r="F5972" s="26"/>
      <c r="G5972" s="149"/>
      <c r="H5972" s="151"/>
    </row>
    <row r="5973" spans="1:8" ht="15.75" customHeight="1" x14ac:dyDescent="0.3">
      <c r="A5973" s="145"/>
      <c r="B5973" s="174"/>
      <c r="C5973" s="25"/>
      <c r="D5973" s="149"/>
      <c r="E5973" s="149"/>
      <c r="F5973" s="26"/>
      <c r="G5973" s="149"/>
      <c r="H5973" s="151"/>
    </row>
    <row r="5974" spans="1:8" ht="15.75" customHeight="1" x14ac:dyDescent="0.3">
      <c r="A5974" s="177"/>
      <c r="B5974" s="139"/>
      <c r="C5974" s="136"/>
      <c r="D5974" s="149"/>
      <c r="E5974" s="149"/>
      <c r="F5974" s="179"/>
      <c r="G5974" s="181"/>
      <c r="H5974" s="151"/>
    </row>
    <row r="5975" spans="1:8" ht="15.75" customHeight="1" x14ac:dyDescent="0.3">
      <c r="A5975" s="183"/>
      <c r="B5975" s="184"/>
      <c r="C5975" s="185" t="s">
        <v>85</v>
      </c>
      <c r="D5975" s="186">
        <f>SUM(D5963:D5974)</f>
      </c>
      <c r="E5975" s="186"/>
      <c r="F5975" s="187"/>
      <c r="G5975" s="188"/>
      <c r="H5975" s="189">
        <f>SUM(H5964:H5974)</f>
      </c>
    </row>
    <row r="5976" spans="1:8" ht="15.75" customHeight="1" x14ac:dyDescent="0.3">
      <c r="A5976" s="190"/>
      <c r="B5976" s="191"/>
      <c r="C5976" s="191"/>
      <c r="D5976" s="192"/>
      <c r="E5976" s="191"/>
      <c r="F5976" s="193"/>
      <c r="G5976" s="194"/>
      <c r="H5976" s="195"/>
    </row>
    <row r="5977" spans="1:8" ht="15.75" customHeight="1" x14ac:dyDescent="0.3">
      <c r="A5977" s="196"/>
      <c r="B5977" s="26"/>
      <c r="C5977" s="26"/>
      <c r="D5977" s="26"/>
      <c r="E5977" s="25"/>
      <c r="F5977" s="196"/>
      <c r="G5977" s="25"/>
      <c r="H5977" s="106"/>
    </row>
    <row r="5978" spans="1:8" ht="15.75" customHeight="1" x14ac:dyDescent="0.3">
      <c r="A5978" s="197"/>
      <c r="B5978" s="197"/>
      <c r="C5978" s="197"/>
      <c r="D5978" s="198" t="s">
        <v>97</v>
      </c>
      <c r="E5978" s="197" t="s">
        <v>98</v>
      </c>
      <c r="F5978" s="197"/>
      <c r="G5978" s="25"/>
      <c r="H5978" s="106"/>
    </row>
    <row r="5979" spans="1:8" ht="15.75" customHeight="1" x14ac:dyDescent="0.3">
      <c r="A5979" s="25"/>
      <c r="B5979" s="25"/>
      <c r="C5979" s="25"/>
      <c r="D5979" s="26"/>
      <c r="E5979" s="25"/>
      <c r="F5979" s="25"/>
      <c r="G5979" s="25"/>
      <c r="H5979" s="106"/>
    </row>
    <row r="5980" spans="1:8" ht="15.75" customHeight="1" x14ac:dyDescent="0.3">
      <c r="A5980" s="25"/>
      <c r="B5980" s="25"/>
      <c r="C5980" s="25"/>
      <c r="D5980" s="26"/>
      <c r="E5980" s="25"/>
      <c r="F5980" s="25"/>
      <c r="G5980" s="25"/>
      <c r="H5980" s="106"/>
    </row>
    <row r="5981" spans="1:8" ht="15.75" customHeight="1" x14ac:dyDescent="0.3">
      <c r="A5981" s="197"/>
      <c r="B5981" s="197"/>
      <c r="C5981" s="197"/>
      <c r="D5981" s="198"/>
      <c r="E5981" s="197" t="s">
        <v>99</v>
      </c>
      <c r="F5981" s="197"/>
      <c r="G5981" s="25"/>
      <c r="H5981" s="106"/>
    </row>
    <row r="5982" spans="1:8" ht="15.75" customHeight="1" x14ac:dyDescent="0.25">
      <c r="D5982" s="4"/>
      <c r="H5982" s="4"/>
    </row>
    <row r="5983" spans="1:8" ht="15.75" customHeight="1" x14ac:dyDescent="0.25">
      <c r="D5983" s="4"/>
      <c r="H5983" s="4"/>
    </row>
    <row r="5984" spans="1:8" ht="15.75" customHeight="1" x14ac:dyDescent="0.25">
      <c r="D5984" s="4"/>
      <c r="H5984" s="4"/>
    </row>
    <row r="5985" spans="1:8" ht="15.75" customHeight="1" x14ac:dyDescent="0.25">
      <c r="D5985" s="4"/>
      <c r="H5985" s="4"/>
    </row>
    <row r="5986" spans="1:8" ht="15.75" customHeight="1" x14ac:dyDescent="0.25">
      <c r="D5986" s="4"/>
      <c r="H5986" s="4"/>
    </row>
    <row r="5987" spans="1:8" ht="15.75" customHeight="1" x14ac:dyDescent="0.25">
      <c r="D5987" s="4"/>
      <c r="H5987" s="4"/>
    </row>
    <row r="5988" spans="1:8" ht="15.75" customHeight="1" x14ac:dyDescent="0.25">
      <c r="D5988" s="4"/>
      <c r="H5988" s="4"/>
    </row>
    <row r="5989" spans="1:8" ht="15.75" customHeight="1" x14ac:dyDescent="0.25">
      <c r="D5989" s="4"/>
      <c r="H5989" s="4"/>
    </row>
    <row r="5990" spans="1:8" ht="15.75" customHeight="1" x14ac:dyDescent="0.25">
      <c r="D5990" s="4"/>
      <c r="H5990" s="4"/>
    </row>
    <row r="5991" spans="1:8" ht="15.75" customHeight="1" x14ac:dyDescent="0.25">
      <c r="A5991" s="392" t="s">
        <v>14</v>
      </c>
      <c r="B5991" s="391"/>
      <c r="C5991" s="391"/>
      <c r="D5991" s="391"/>
      <c r="E5991" s="391"/>
      <c r="F5991" s="391"/>
      <c r="G5991" s="391"/>
      <c r="H5991" s="394"/>
    </row>
    <row r="5992" spans="1:8" ht="15.75" customHeight="1" x14ac:dyDescent="0.25">
      <c r="A5992" s="392"/>
      <c r="B5992" s="391"/>
      <c r="C5992" s="391"/>
      <c r="D5992" s="391"/>
      <c r="E5992" s="390"/>
      <c r="F5992" s="392"/>
      <c r="G5992" s="390"/>
      <c r="H5992" s="394"/>
    </row>
    <row r="5993" spans="1:8" ht="15.75" customHeight="1" x14ac:dyDescent="0.25">
      <c r="A5993" s="392"/>
      <c r="B5993" s="391"/>
      <c r="C5993" s="391"/>
      <c r="D5993" s="391"/>
      <c r="E5993" s="390"/>
      <c r="F5993" s="392"/>
      <c r="G5993" s="390"/>
      <c r="H5993" s="394"/>
    </row>
    <row r="5994" spans="1:8" ht="15.75" customHeight="1" x14ac:dyDescent="0.25">
      <c r="A5994" s="390" t="s">
        <v>20</v>
      </c>
      <c r="B5994" s="390"/>
      <c r="C5994" s="390"/>
      <c r="D5994" s="391"/>
      <c r="E5994" s="390"/>
      <c r="F5994" s="392"/>
      <c r="G5994" s="390"/>
      <c r="H5994" s="394"/>
    </row>
    <row r="5995" spans="1:8" ht="15.75" customHeight="1" x14ac:dyDescent="0.3">
      <c r="A5995" s="390" t="inlineStr">
        <is>
          <t>Dealer-002</t>
        </is>
      </c>
      <c r="B5995" s="390"/>
      <c r="C5995" s="390"/>
      <c r="D5995" s="391"/>
      <c r="E5995" s="390"/>
      <c r="F5995" s="395" t="s">
        <v>18</v>
      </c>
      <c r="G5995" s="23" t="s">
        <v>832</v>
      </c>
      <c r="H5995" s="394"/>
    </row>
    <row r="5996" spans="1:8" ht="15.75" customHeight="1" x14ac:dyDescent="0.25">
      <c r="A5996" s="390" t="inlineStr">
        <is>
          <t>Address line (redacted)</t>
        </is>
      </c>
      <c r="B5996" s="390"/>
      <c r="C5996" s="390"/>
      <c r="D5996" s="391"/>
      <c r="E5996" s="390"/>
      <c r="F5996" s="393" t="s">
        <v>21</v>
      </c>
      <c r="G5996" s="390" t="s">
        <v>1713</v>
      </c>
      <c r="H5996" s="394"/>
    </row>
    <row r="5997" spans="1:8" ht="15.75" customHeight="1" x14ac:dyDescent="0.25">
      <c r="A5997" s="390" t="inlineStr">
        <is>
          <t>Address line (redacted)</t>
        </is>
      </c>
      <c r="B5997" s="390"/>
      <c r="C5997" s="390"/>
      <c r="D5997" s="391"/>
      <c r="E5997" s="390"/>
      <c r="F5997" s="391"/>
      <c r="G5997" s="390"/>
      <c r="H5997" s="394"/>
    </row>
    <row r="5998" spans="1:8" ht="15.75" customHeight="1" x14ac:dyDescent="0.25">
      <c r="A5998" s="390"/>
      <c r="B5998" s="390"/>
      <c r="C5998" s="393"/>
      <c r="D5998" s="391"/>
      <c r="E5998" s="390"/>
      <c r="F5998" s="391"/>
      <c r="G5998" s="390"/>
      <c r="H5998" s="394"/>
    </row>
    <row r="5999" spans="1:8" ht="15.75" customHeight="1" x14ac:dyDescent="0.25">
      <c r="A5999" s="390"/>
      <c r="B5999" s="390"/>
      <c r="C5999" s="390"/>
      <c r="D5999" s="391"/>
      <c r="E5999" s="390"/>
      <c r="F5999" s="391"/>
      <c r="G5999" s="390"/>
      <c r="H5999" s="394"/>
    </row>
    <row r="6000" spans="1:8" ht="15.75" customHeight="1" x14ac:dyDescent="0.25">
      <c r="A6000" s="390" t="s">
        <v>30</v>
      </c>
      <c r="B6000" s="390"/>
      <c r="C6000" s="390"/>
      <c r="D6000" s="391"/>
      <c r="E6000" s="390"/>
      <c r="F6000" s="391"/>
      <c r="G6000" s="390"/>
      <c r="H6000" s="394"/>
    </row>
    <row r="6001" spans="1:8" ht="15.75" customHeight="1" x14ac:dyDescent="0.25">
      <c r="A6001" s="390"/>
      <c r="B6001" s="390"/>
      <c r="C6001" s="390"/>
      <c r="D6001" s="391"/>
      <c r="E6001" s="390"/>
      <c r="F6001" s="391"/>
      <c r="G6001" s="390"/>
      <c r="H6001" s="394"/>
    </row>
    <row r="6002" spans="1:8" ht="15.75" customHeight="1" x14ac:dyDescent="0.25">
      <c r="A6002" s="390" t="s">
        <v>1322</v>
      </c>
      <c r="B6002" s="390"/>
      <c r="C6002" s="390"/>
      <c r="D6002" s="391"/>
      <c r="E6002" s="390"/>
      <c r="F6002" s="391"/>
      <c r="G6002" s="390"/>
      <c r="H6002" s="394"/>
    </row>
    <row r="6003" spans="1:8" ht="15.75" customHeight="1" x14ac:dyDescent="0.25">
      <c r="A6003" s="390" t="s">
        <v>1328</v>
      </c>
      <c r="B6003" s="390"/>
      <c r="C6003" s="390"/>
      <c r="D6003" s="391"/>
      <c r="E6003" s="390"/>
      <c r="F6003" s="391"/>
      <c r="G6003" s="390"/>
      <c r="H6003" s="394"/>
    </row>
    <row r="6004" spans="1:8" ht="15.75" customHeight="1" x14ac:dyDescent="0.25">
      <c r="A6004" s="390"/>
      <c r="B6004" s="390"/>
      <c r="C6004" s="390"/>
      <c r="D6004" s="391"/>
      <c r="E6004" s="390"/>
      <c r="F6004" s="391"/>
      <c r="G6004" s="390"/>
      <c r="H6004" s="394"/>
    </row>
    <row r="6005" spans="1:8" ht="15.75" customHeight="1" x14ac:dyDescent="0.25">
      <c r="A6005" s="399" t="s">
        <v>33</v>
      </c>
      <c r="B6005" s="400" t="s">
        <v>6</v>
      </c>
      <c r="C6005" s="400"/>
      <c r="D6005" s="401" t="s">
        <v>37</v>
      </c>
      <c r="E6005" s="402" t="s">
        <v>1309</v>
      </c>
      <c r="F6005" s="609" t="s">
        <v>7</v>
      </c>
      <c r="G6005" s="400" t="s">
        <v>43</v>
      </c>
      <c r="H6005" s="405" t="s">
        <v>44</v>
      </c>
    </row>
    <row r="6006" spans="1:8" ht="15.75" customHeight="1" x14ac:dyDescent="0.25">
      <c r="A6006" s="610"/>
      <c r="B6006" s="611"/>
      <c r="C6006" s="611"/>
      <c r="D6006" s="612"/>
      <c r="E6006" s="613"/>
      <c r="F6006" s="614"/>
      <c r="G6006" s="611"/>
      <c r="H6006" s="615"/>
    </row>
    <row r="6007" spans="1:8" ht="15.75" customHeight="1" x14ac:dyDescent="0.25">
      <c r="A6007" s="412"/>
      <c r="B6007" s="654" t="s">
        <v>1356</v>
      </c>
      <c r="C6007" s="654"/>
      <c r="D6007" s="415"/>
      <c r="E6007" s="415"/>
      <c r="F6007" s="415"/>
      <c r="G6007" s="415"/>
      <c r="H6007" s="416"/>
    </row>
    <row r="6008" spans="1:8" ht="15.75" customHeight="1" x14ac:dyDescent="0.25">
      <c r="A6008" s="581" t="s">
        <v>55</v>
      </c>
      <c r="B6008" s="582" t="s">
        <v>60</v>
      </c>
      <c r="C6008" s="582" t="s">
        <v>142</v>
      </c>
      <c r="D6008" s="415">
        <v>2</v>
      </c>
      <c r="E6008" s="415">
        <v>5</v>
      </c>
      <c r="F6008" s="415">
        <f>+E6008*D6008</f>
      </c>
      <c r="G6008" s="415">
        <v>1</v>
      </c>
      <c r="H6008" s="589">
        <f>+G6008*F6008</f>
      </c>
    </row>
    <row r="6009" spans="1:8" ht="15.75" customHeight="1" x14ac:dyDescent="0.25">
      <c r="A6009" s="581"/>
      <c r="B6009" s="654"/>
      <c r="C6009" s="654"/>
      <c r="D6009" s="415"/>
      <c r="E6009" s="415"/>
      <c r="F6009" s="415"/>
      <c r="G6009" s="415"/>
      <c r="H6009" s="589"/>
    </row>
    <row r="6010" spans="1:8" ht="15.75" customHeight="1" x14ac:dyDescent="0.25">
      <c r="A6010" s="581"/>
      <c r="B6010" s="654"/>
      <c r="C6010" s="654"/>
      <c r="D6010" s="415"/>
      <c r="E6010" s="415"/>
      <c r="F6010" s="415"/>
      <c r="G6010" s="415"/>
      <c r="H6010" s="589"/>
    </row>
    <row r="6011" spans="1:8" ht="15.75" customHeight="1" x14ac:dyDescent="0.25">
      <c r="A6011" s="581"/>
      <c r="B6011" s="582"/>
      <c r="C6011" s="582"/>
      <c r="D6011" s="415"/>
      <c r="E6011" s="415"/>
      <c r="F6011" s="415"/>
      <c r="G6011" s="415"/>
      <c r="H6011" s="589"/>
    </row>
    <row r="6012" spans="1:8" ht="15.75" customHeight="1" x14ac:dyDescent="0.25">
      <c r="A6012" s="430"/>
      <c r="B6012" s="409"/>
      <c r="C6012" s="393"/>
      <c r="D6012" s="427"/>
      <c r="E6012" s="427"/>
      <c r="F6012" s="428"/>
      <c r="G6012" s="427"/>
      <c r="H6012" s="429"/>
    </row>
    <row r="6013" spans="1:8" ht="15.75" customHeight="1" x14ac:dyDescent="0.25">
      <c r="A6013" s="432"/>
      <c r="B6013" s="433"/>
      <c r="C6013" s="434" t="s">
        <v>85</v>
      </c>
      <c r="D6013" s="659">
        <f>SUM(D6007:D6012)</f>
      </c>
      <c r="E6013" s="401"/>
      <c r="F6013" s="660"/>
      <c r="G6013" s="661"/>
      <c r="H6013" s="623">
        <f>SUM(H6007:H6012)</f>
      </c>
    </row>
    <row r="6014" spans="1:8" ht="15.75" customHeight="1" x14ac:dyDescent="0.25">
      <c r="A6014" s="439"/>
      <c r="B6014" s="440"/>
      <c r="C6014" s="440"/>
      <c r="D6014" s="441"/>
      <c r="E6014" s="440"/>
      <c r="F6014" s="442"/>
      <c r="G6014" s="443"/>
      <c r="H6014" s="444"/>
    </row>
    <row r="6015" spans="1:8" ht="15.75" customHeight="1" x14ac:dyDescent="0.25">
      <c r="A6015" s="392"/>
      <c r="B6015" s="391"/>
      <c r="C6015" s="391"/>
      <c r="D6015" s="391"/>
      <c r="E6015" s="390"/>
      <c r="F6015" s="392"/>
      <c r="G6015" s="390"/>
      <c r="H6015" s="394"/>
    </row>
    <row r="6016" spans="1:8" ht="15.75" customHeight="1" x14ac:dyDescent="0.25">
      <c r="A6016" s="445"/>
      <c r="B6016" s="445"/>
      <c r="C6016" s="445"/>
      <c r="D6016" s="446" t="s">
        <v>97</v>
      </c>
      <c r="E6016" s="445" t="s">
        <v>98</v>
      </c>
      <c r="F6016" s="445"/>
      <c r="G6016" s="390"/>
      <c r="H6016" s="394"/>
    </row>
    <row r="6017" spans="1:8" ht="15.75" customHeight="1" x14ac:dyDescent="0.25">
      <c r="A6017" s="390"/>
      <c r="B6017" s="390"/>
      <c r="C6017" s="390"/>
      <c r="D6017" s="391"/>
      <c r="E6017" s="390"/>
      <c r="F6017" s="390"/>
      <c r="G6017" s="390"/>
      <c r="H6017" s="394"/>
    </row>
    <row r="6018" spans="1:8" ht="15.75" customHeight="1" x14ac:dyDescent="0.25">
      <c r="A6018" s="390"/>
      <c r="B6018" s="390"/>
      <c r="C6018" s="390"/>
      <c r="D6018" s="391"/>
      <c r="E6018" s="390"/>
      <c r="F6018" s="390"/>
      <c r="G6018" s="390"/>
      <c r="H6018" s="394"/>
    </row>
    <row r="6019" spans="1:8" ht="15.75" customHeight="1" x14ac:dyDescent="0.25">
      <c r="A6019" s="445"/>
      <c r="B6019" s="445"/>
      <c r="C6019" s="445"/>
      <c r="D6019" s="446"/>
      <c r="E6019" s="445" t="s">
        <v>99</v>
      </c>
      <c r="F6019" s="445"/>
      <c r="G6019" s="390"/>
      <c r="H6019" s="394"/>
    </row>
    <row r="6020" spans="1:8" ht="15.75" customHeight="1" x14ac:dyDescent="0.25">
      <c r="D6020" s="4"/>
      <c r="H6020" s="4"/>
    </row>
    <row r="6021" spans="1:8" ht="15.75" customHeight="1" x14ac:dyDescent="0.25">
      <c r="D6021" s="4"/>
      <c r="H6021" s="4"/>
    </row>
    <row r="6022" spans="1:8" ht="15.75" customHeight="1" x14ac:dyDescent="0.25">
      <c r="D6022" s="4"/>
      <c r="H6022" s="4"/>
    </row>
    <row r="6023" spans="1:8" ht="15.75" customHeight="1" x14ac:dyDescent="0.25">
      <c r="D6023" s="4"/>
      <c r="H6023" s="4"/>
    </row>
    <row r="6024" spans="1:8" ht="15.75" customHeight="1" x14ac:dyDescent="0.25">
      <c r="D6024" s="4"/>
      <c r="H6024" s="4"/>
    </row>
    <row r="6025" spans="1:8" ht="15.75" customHeight="1" x14ac:dyDescent="0.25">
      <c r="D6025" s="4"/>
      <c r="H6025" s="4"/>
    </row>
    <row r="6026" spans="1:8" ht="15.75" customHeight="1" x14ac:dyDescent="0.25">
      <c r="D6026" s="4"/>
      <c r="H6026" s="4"/>
    </row>
    <row r="6027" spans="1:8" ht="15.75" customHeight="1" x14ac:dyDescent="0.25">
      <c r="D6027" s="4"/>
      <c r="H6027" s="4"/>
    </row>
    <row r="6028" spans="1:8" ht="15.75" customHeight="1" x14ac:dyDescent="0.25">
      <c r="D6028" s="4"/>
      <c r="H6028" s="4"/>
    </row>
    <row r="6029" spans="1:8" ht="15.75" customHeight="1" x14ac:dyDescent="0.25">
      <c r="D6029" s="4"/>
      <c r="H6029" s="4"/>
    </row>
    <row r="6030" spans="1:8" ht="15.75" customHeight="1" x14ac:dyDescent="0.25">
      <c r="D6030" s="4"/>
      <c r="H6030" s="4"/>
    </row>
    <row r="6031" spans="1:8" ht="15.75" customHeight="1" x14ac:dyDescent="0.25">
      <c r="D6031" s="4"/>
      <c r="H6031" s="4"/>
    </row>
    <row r="6032" spans="1:8" ht="15.75" customHeight="1" x14ac:dyDescent="0.25">
      <c r="D6032" s="4"/>
      <c r="H6032" s="4"/>
    </row>
    <row r="6033" spans="1:8" ht="15.75" customHeight="1" x14ac:dyDescent="0.25">
      <c r="D6033" s="4"/>
      <c r="H6033" s="4"/>
    </row>
    <row r="6034" spans="1:8" ht="15.75" customHeight="1" x14ac:dyDescent="0.25">
      <c r="D6034" s="4"/>
      <c r="H6034" s="4"/>
    </row>
    <row r="6035" spans="1:8" ht="15.75" customHeight="1" x14ac:dyDescent="0.25">
      <c r="D6035" s="4"/>
      <c r="H6035" s="4"/>
    </row>
    <row r="6036" spans="1:8" ht="15.75" customHeight="1" x14ac:dyDescent="0.25">
      <c r="D6036" s="4"/>
      <c r="H6036" s="4"/>
    </row>
    <row r="6037" spans="1:8" ht="15.75" customHeight="1" x14ac:dyDescent="0.25">
      <c r="A6037" s="14" t="s">
        <v>14</v>
      </c>
      <c r="B6037" s="14"/>
      <c r="C6037" s="14"/>
      <c r="D6037" s="14"/>
      <c r="E6037" s="14"/>
      <c r="F6037" s="14"/>
      <c r="G6037" s="14"/>
      <c r="H6037" s="14"/>
    </row>
    <row r="6038" spans="1:8" ht="15.75" customHeight="1" x14ac:dyDescent="0.25">
      <c r="D6038" s="4"/>
      <c r="H6038" s="8"/>
    </row>
    <row r="6039" spans="1:8" ht="15.75" customHeight="1" x14ac:dyDescent="0.25">
      <c r="A6039" s="15"/>
      <c r="B6039" s="15"/>
      <c r="C6039" s="16"/>
      <c r="D6039" s="17"/>
      <c r="E6039" s="18"/>
      <c r="F6039" s="18"/>
      <c r="G6039" s="18"/>
      <c r="H6039" s="19"/>
    </row>
    <row r="6040" spans="1:8" ht="15.75" customHeight="1" x14ac:dyDescent="0.3">
      <c r="A6040" s="25"/>
      <c r="B6040" s="25"/>
      <c r="C6040" s="25"/>
      <c r="D6040" s="26"/>
      <c r="E6040" s="25"/>
      <c r="F6040" s="22" t="s">
        <v>18</v>
      </c>
      <c r="G6040" s="23" t="s">
        <v>832</v>
      </c>
      <c r="H6040" s="24"/>
    </row>
    <row r="6041" spans="1:8" ht="15.75" customHeight="1" x14ac:dyDescent="0.3">
      <c r="A6041" s="25" t="s">
        <v>20</v>
      </c>
      <c r="B6041" s="25"/>
      <c r="C6041" s="25"/>
      <c r="D6041" s="26"/>
      <c r="E6041" s="25"/>
      <c r="F6041" s="22" t="s">
        <v>21</v>
      </c>
      <c r="G6041" s="25" t="s">
        <v>1442</v>
      </c>
      <c r="H6041" s="26"/>
    </row>
    <row r="6042" spans="1:8" ht="15.75" customHeight="1" x14ac:dyDescent="0.3">
      <c r="A6042" s="25" t="inlineStr">
        <is>
          <t>Dealer-004</t>
        </is>
      </c>
      <c r="B6042" s="25"/>
      <c r="C6042" s="25"/>
      <c r="D6042" s="109"/>
      <c r="E6042" s="25"/>
      <c r="F6042" s="26"/>
      <c r="G6042" s="25"/>
      <c r="H6042" s="106"/>
    </row>
    <row r="6043" spans="1:8" ht="15.75" customHeight="1" x14ac:dyDescent="0.3">
      <c r="A6043" s="25" t="inlineStr">
        <is>
          <t>Address line (redacted)</t>
        </is>
      </c>
      <c r="B6043" s="25"/>
      <c r="C6043" s="25"/>
      <c r="D6043" s="109"/>
      <c r="E6043" s="25"/>
      <c r="F6043" s="26"/>
      <c r="G6043" s="25"/>
      <c r="H6043" s="106"/>
    </row>
    <row r="6044" spans="1:8" ht="15.75" customHeight="1" x14ac:dyDescent="0.3">
      <c r="A6044" s="25" t="inlineStr">
        <is>
          <t>Address line (redacted)</t>
        </is>
      </c>
      <c r="B6044" s="25"/>
      <c r="C6044" s="25"/>
      <c r="D6044" s="26"/>
      <c r="E6044" s="25"/>
      <c r="F6044" s="26"/>
      <c r="G6044" s="25"/>
      <c r="H6044" s="106"/>
    </row>
    <row r="6045" spans="1:8" ht="15.75" customHeight="1" x14ac:dyDescent="0.3">
      <c r="A6045" s="25"/>
      <c r="B6045" s="25"/>
      <c r="C6045" s="25"/>
      <c r="D6045" s="26"/>
      <c r="E6045" s="25"/>
      <c r="F6045" s="26"/>
      <c r="G6045" s="25"/>
      <c r="H6045" s="106"/>
    </row>
    <row r="6046" spans="1:8" ht="15.75" customHeight="1" x14ac:dyDescent="0.3">
      <c r="A6046" s="25" t="s">
        <v>30</v>
      </c>
      <c r="B6046" s="25"/>
      <c r="C6046" s="25"/>
      <c r="D6046" s="26"/>
      <c r="E6046" s="25"/>
      <c r="F6046" s="26"/>
      <c r="G6046" s="25"/>
      <c r="H6046" s="106"/>
    </row>
    <row r="6047" spans="1:8" ht="15.75" customHeight="1" x14ac:dyDescent="0.3">
      <c r="A6047" s="25"/>
      <c r="B6047" s="25"/>
      <c r="C6047" s="25"/>
      <c r="D6047" s="26"/>
      <c r="E6047" s="25"/>
      <c r="F6047" s="26"/>
      <c r="G6047" s="25"/>
      <c r="H6047" s="106"/>
    </row>
    <row r="6048" spans="1:8" ht="15.75" customHeight="1" x14ac:dyDescent="0.3">
      <c r="A6048" s="25" t="s">
        <v>31</v>
      </c>
      <c r="B6048" s="25"/>
      <c r="C6048" s="25"/>
      <c r="D6048" s="26"/>
      <c r="E6048" s="25"/>
      <c r="F6048" s="26"/>
      <c r="G6048" s="25"/>
      <c r="H6048" s="106"/>
    </row>
    <row r="6049" spans="1:8" ht="15.75" customHeight="1" x14ac:dyDescent="0.3">
      <c r="A6049" s="25" t="s">
        <v>32</v>
      </c>
      <c r="B6049" s="25"/>
      <c r="C6049" s="25"/>
      <c r="D6049" s="26"/>
      <c r="E6049" s="25"/>
      <c r="F6049" s="26"/>
      <c r="G6049" s="25"/>
      <c r="H6049" s="106"/>
    </row>
    <row r="6050" spans="1:8" ht="15.75" customHeight="1" x14ac:dyDescent="0.3">
      <c r="A6050" s="25"/>
      <c r="B6050" s="25"/>
      <c r="C6050" s="25"/>
      <c r="D6050" s="26"/>
      <c r="E6050" s="25"/>
      <c r="F6050" s="26"/>
      <c r="G6050" s="25"/>
      <c r="H6050" s="106"/>
    </row>
    <row r="6051" spans="1:8" ht="15.75" customHeight="1" x14ac:dyDescent="0.3">
      <c r="A6051" s="118" t="s">
        <v>33</v>
      </c>
      <c r="B6051" s="121" t="s">
        <v>6</v>
      </c>
      <c r="C6051" s="121"/>
      <c r="D6051" s="123" t="s">
        <v>37</v>
      </c>
      <c r="E6051" s="125" t="s">
        <v>38</v>
      </c>
      <c r="F6051" s="127" t="s">
        <v>7</v>
      </c>
      <c r="G6051" s="129" t="s">
        <v>43</v>
      </c>
      <c r="H6051" s="130" t="s">
        <v>44</v>
      </c>
    </row>
    <row r="6052" spans="1:8" ht="15.75" customHeight="1" x14ac:dyDescent="0.3">
      <c r="A6052" s="133"/>
      <c r="B6052" s="135"/>
      <c r="C6052" s="136"/>
      <c r="D6052" s="138"/>
      <c r="E6052" s="138"/>
      <c r="F6052" s="139"/>
      <c r="G6052" s="141"/>
      <c r="H6052" s="143"/>
    </row>
    <row r="6053" spans="1:8" ht="15.75" customHeight="1" x14ac:dyDescent="0.3">
      <c r="A6053" s="145"/>
      <c r="B6053" s="147"/>
      <c r="C6053" s="148"/>
      <c r="D6053" s="149"/>
      <c r="E6053" s="149"/>
      <c r="F6053" s="26"/>
      <c r="G6053" s="149"/>
      <c r="H6053" s="151"/>
    </row>
    <row r="6054" spans="1:8" ht="15.75" customHeight="1" x14ac:dyDescent="0.3">
      <c r="A6054" s="145" t="s">
        <v>55</v>
      </c>
      <c r="B6054" s="153" t="s">
        <v>1441</v>
      </c>
      <c r="C6054" s="154"/>
      <c r="D6054" s="149">
        <v>10</v>
      </c>
      <c r="E6054" s="149">
        <v>1</v>
      </c>
      <c r="F6054" s="149">
        <v>10</v>
      </c>
      <c r="G6054" s="149">
        <v>1</v>
      </c>
      <c r="H6054" s="151">
        <f>+G6054*F6054</f>
      </c>
    </row>
    <row r="6055" spans="1:8" ht="15.75" customHeight="1" x14ac:dyDescent="0.3">
      <c r="A6055" s="145"/>
      <c r="B6055" s="161" t="s">
        <v>1447</v>
      </c>
      <c r="C6055" s="25"/>
      <c r="D6055" s="149">
        <v>1</v>
      </c>
      <c r="E6055" s="149">
        <v>10</v>
      </c>
      <c r="F6055" s="26">
        <v>10</v>
      </c>
      <c r="G6055" s="710" t="s">
        <v>1435</v>
      </c>
      <c r="H6055" s="151"/>
    </row>
    <row r="6056" spans="1:8" ht="15.75" customHeight="1" x14ac:dyDescent="0.3">
      <c r="A6056" s="145"/>
      <c r="B6056" s="174"/>
      <c r="C6056" s="25"/>
      <c r="D6056" s="149"/>
      <c r="E6056" s="149"/>
      <c r="F6056" s="26"/>
      <c r="G6056" s="149"/>
      <c r="H6056" s="151"/>
    </row>
    <row r="6057" spans="1:8" ht="15.75" customHeight="1" x14ac:dyDescent="0.3">
      <c r="A6057" s="145"/>
      <c r="B6057" s="174"/>
      <c r="C6057" s="25"/>
      <c r="D6057" s="149"/>
      <c r="E6057" s="149"/>
      <c r="F6057" s="26"/>
      <c r="G6057" s="149"/>
      <c r="H6057" s="151"/>
    </row>
    <row r="6058" spans="1:8" ht="15.75" customHeight="1" x14ac:dyDescent="0.3">
      <c r="A6058" s="145"/>
      <c r="B6058" s="174"/>
      <c r="C6058" s="25"/>
      <c r="D6058" s="149"/>
      <c r="E6058" s="149"/>
      <c r="F6058" s="26"/>
      <c r="G6058" s="149"/>
      <c r="H6058" s="151"/>
    </row>
    <row r="6059" spans="1:8" ht="15.75" customHeight="1" x14ac:dyDescent="0.3">
      <c r="A6059" s="145"/>
      <c r="B6059" s="174"/>
      <c r="C6059" s="25"/>
      <c r="D6059" s="149"/>
      <c r="E6059" s="149"/>
      <c r="F6059" s="26"/>
      <c r="G6059" s="149"/>
      <c r="H6059" s="151"/>
    </row>
    <row r="6060" spans="1:8" ht="15.75" customHeight="1" x14ac:dyDescent="0.3">
      <c r="A6060" s="145"/>
      <c r="B6060" s="174"/>
      <c r="C6060" s="25"/>
      <c r="D6060" s="149"/>
      <c r="E6060" s="149"/>
      <c r="F6060" s="26"/>
      <c r="G6060" s="149"/>
      <c r="H6060" s="151"/>
    </row>
    <row r="6061" spans="1:8" ht="15.75" customHeight="1" x14ac:dyDescent="0.3">
      <c r="A6061" s="177"/>
      <c r="B6061" s="139"/>
      <c r="C6061" s="136"/>
      <c r="D6061" s="149"/>
      <c r="E6061" s="149"/>
      <c r="F6061" s="179"/>
      <c r="G6061" s="181"/>
      <c r="H6061" s="151"/>
    </row>
    <row r="6062" spans="1:8" ht="15.75" customHeight="1" x14ac:dyDescent="0.3">
      <c r="A6062" s="183"/>
      <c r="B6062" s="184"/>
      <c r="C6062" s="185" t="s">
        <v>85</v>
      </c>
      <c r="D6062" s="186">
        <f>SUM(D6053:D6061)</f>
      </c>
      <c r="E6062" s="186"/>
      <c r="F6062" s="187">
        <f>SUM(F6053:F6061)</f>
      </c>
      <c r="G6062" s="188"/>
      <c r="H6062" s="189">
        <f>SUM(H6054:H6061)</f>
      </c>
    </row>
    <row r="6063" spans="1:8" ht="15.75" customHeight="1" x14ac:dyDescent="0.3">
      <c r="A6063" s="190"/>
      <c r="B6063" s="191"/>
      <c r="C6063" s="191"/>
      <c r="D6063" s="192"/>
      <c r="E6063" s="191"/>
      <c r="F6063" s="193"/>
      <c r="G6063" s="194"/>
      <c r="H6063" s="195"/>
    </row>
    <row r="6064" spans="1:8" ht="15.75" customHeight="1" x14ac:dyDescent="0.3">
      <c r="A6064" s="196" t="s">
        <v>1831</v>
      </c>
      <c r="B6064" s="26"/>
      <c r="C6064" s="26"/>
      <c r="D6064" s="26"/>
      <c r="E6064" s="25"/>
      <c r="F6064" s="196"/>
      <c r="G6064" s="25"/>
      <c r="H6064" s="106"/>
    </row>
    <row r="6065" spans="1:8" ht="15.75" customHeight="1" x14ac:dyDescent="0.3">
      <c r="A6065" s="197"/>
      <c r="B6065" s="197"/>
      <c r="C6065" s="197"/>
      <c r="D6065" s="198" t="s">
        <v>97</v>
      </c>
      <c r="E6065" s="197" t="s">
        <v>98</v>
      </c>
      <c r="F6065" s="197"/>
      <c r="G6065" s="25"/>
      <c r="H6065" s="106"/>
    </row>
    <row r="6066" spans="1:8" ht="15.75" customHeight="1" x14ac:dyDescent="0.3">
      <c r="A6066" s="25"/>
      <c r="B6066" s="25"/>
      <c r="C6066" s="25"/>
      <c r="D6066" s="26"/>
      <c r="E6066" s="25"/>
      <c r="F6066" s="25"/>
      <c r="G6066" s="25"/>
      <c r="H6066" s="106"/>
    </row>
    <row r="6067" spans="1:8" ht="15.75" customHeight="1" x14ac:dyDescent="0.3">
      <c r="A6067" s="25"/>
      <c r="B6067" s="25"/>
      <c r="C6067" s="25"/>
      <c r="D6067" s="26"/>
      <c r="E6067" s="25"/>
      <c r="F6067" s="25"/>
      <c r="G6067" s="25"/>
      <c r="H6067" s="106"/>
    </row>
    <row r="6068" spans="1:8" ht="15.75" customHeight="1" x14ac:dyDescent="0.3">
      <c r="A6068" s="197"/>
      <c r="B6068" s="197"/>
      <c r="C6068" s="197"/>
      <c r="D6068" s="198"/>
      <c r="E6068" s="197" t="s">
        <v>99</v>
      </c>
      <c r="F6068" s="197"/>
      <c r="G6068" s="25"/>
      <c r="H6068" s="106"/>
    </row>
    <row r="6069" spans="1:8" ht="15.75" customHeight="1" x14ac:dyDescent="0.25">
      <c r="D6069" s="4"/>
      <c r="H6069" s="4"/>
    </row>
    <row r="6070" spans="1:8" ht="15.75" customHeight="1" x14ac:dyDescent="0.25">
      <c r="D6070" s="4"/>
      <c r="H6070" s="4"/>
    </row>
    <row r="6071" spans="1:8" ht="15.75" customHeight="1" x14ac:dyDescent="0.25">
      <c r="D6071" s="4"/>
      <c r="H6071" s="4"/>
    </row>
    <row r="6072" spans="1:8" ht="15.75" customHeight="1" x14ac:dyDescent="0.25">
      <c r="D6072" s="4"/>
      <c r="H6072" s="4"/>
    </row>
    <row r="6073" spans="1:8" ht="15.75" customHeight="1" x14ac:dyDescent="0.25">
      <c r="D6073" s="4"/>
      <c r="H6073" s="4"/>
    </row>
    <row r="6074" spans="1:8" ht="15.75" customHeight="1" x14ac:dyDescent="0.25">
      <c r="D6074" s="4"/>
      <c r="H6074" s="4"/>
    </row>
    <row r="6075" spans="1:8" ht="15.75" customHeight="1" x14ac:dyDescent="0.25">
      <c r="D6075" s="4"/>
      <c r="H6075" s="4"/>
    </row>
    <row r="6076" spans="1:8" ht="15.75" customHeight="1" x14ac:dyDescent="0.25">
      <c r="D6076" s="4"/>
      <c r="H6076" s="4"/>
    </row>
    <row r="6077" spans="1:8" ht="15.75" customHeight="1" x14ac:dyDescent="0.25">
      <c r="D6077" s="4"/>
      <c r="H6077" s="4"/>
    </row>
    <row r="6078" spans="1:8" ht="15.75" customHeight="1" x14ac:dyDescent="0.25">
      <c r="D6078" s="4"/>
      <c r="H6078" s="4"/>
    </row>
    <row r="6079" spans="1:8" ht="15.75" customHeight="1" x14ac:dyDescent="0.25">
      <c r="D6079" s="4"/>
      <c r="H6079" s="4"/>
    </row>
    <row r="6080" spans="1:8" ht="15.75" customHeight="1" x14ac:dyDescent="0.25">
      <c r="D6080" s="4"/>
      <c r="H6080" s="4"/>
    </row>
    <row r="6081" spans="1:8" ht="15.75" customHeight="1" x14ac:dyDescent="0.25">
      <c r="A6081" s="392" t="s">
        <v>14</v>
      </c>
      <c r="B6081" s="391"/>
      <c r="C6081" s="391"/>
      <c r="D6081" s="391"/>
      <c r="E6081" s="391"/>
      <c r="F6081" s="391"/>
      <c r="G6081" s="391"/>
      <c r="H6081" s="394"/>
    </row>
    <row r="6082" spans="1:8" ht="15.75" customHeight="1" x14ac:dyDescent="0.25">
      <c r="A6082" s="392"/>
      <c r="B6082" s="391"/>
      <c r="C6082" s="391"/>
      <c r="D6082" s="391"/>
      <c r="E6082" s="390"/>
      <c r="F6082" s="392"/>
      <c r="G6082" s="390"/>
      <c r="H6082" s="394"/>
    </row>
    <row r="6083" spans="1:8" ht="15.75" customHeight="1" x14ac:dyDescent="0.25">
      <c r="A6083" s="392"/>
      <c r="B6083" s="391"/>
      <c r="C6083" s="391"/>
      <c r="D6083" s="391"/>
      <c r="E6083" s="390"/>
      <c r="F6083" s="392"/>
      <c r="G6083" s="390"/>
      <c r="H6083" s="394"/>
    </row>
    <row r="6084" spans="1:8" ht="15.75" customHeight="1" x14ac:dyDescent="0.25">
      <c r="A6084" s="390" t="s">
        <v>20</v>
      </c>
      <c r="B6084" s="390"/>
      <c r="C6084" s="390"/>
      <c r="D6084" s="391"/>
      <c r="E6084" s="390"/>
      <c r="F6084" s="392"/>
      <c r="G6084" s="390"/>
      <c r="H6084" s="394"/>
    </row>
    <row r="6085" spans="1:8" ht="15.75" customHeight="1" x14ac:dyDescent="0.3">
      <c r="A6085" s="390" t="inlineStr">
        <is>
          <t>Dealer-002</t>
        </is>
      </c>
      <c r="B6085" s="390"/>
      <c r="C6085" s="390"/>
      <c r="D6085" s="391"/>
      <c r="E6085" s="390"/>
      <c r="F6085" s="395" t="s">
        <v>18</v>
      </c>
      <c r="G6085" s="23" t="s">
        <v>837</v>
      </c>
      <c r="H6085" s="394"/>
    </row>
    <row r="6086" spans="1:8" ht="15.75" customHeight="1" x14ac:dyDescent="0.25">
      <c r="A6086" s="390" t="inlineStr">
        <is>
          <t>Address line (redacted)</t>
        </is>
      </c>
      <c r="B6086" s="390"/>
      <c r="C6086" s="390"/>
      <c r="D6086" s="391"/>
      <c r="E6086" s="390"/>
      <c r="F6086" s="393" t="s">
        <v>21</v>
      </c>
      <c r="G6086" s="390" t="s">
        <v>1714</v>
      </c>
      <c r="H6086" s="394"/>
    </row>
    <row r="6087" spans="1:8" ht="15.75" customHeight="1" x14ac:dyDescent="0.25">
      <c r="A6087" s="390" t="inlineStr">
        <is>
          <t>Address line (redacted)</t>
        </is>
      </c>
      <c r="B6087" s="390"/>
      <c r="C6087" s="390"/>
      <c r="D6087" s="391"/>
      <c r="E6087" s="390"/>
      <c r="F6087" s="391"/>
      <c r="G6087" s="390"/>
      <c r="H6087" s="394"/>
    </row>
    <row r="6088" spans="1:8" ht="15.75" customHeight="1" x14ac:dyDescent="0.25">
      <c r="A6088" s="390"/>
      <c r="B6088" s="390"/>
      <c r="C6088" s="393"/>
      <c r="D6088" s="391"/>
      <c r="E6088" s="390"/>
      <c r="F6088" s="391"/>
      <c r="G6088" s="390"/>
      <c r="H6088" s="394"/>
    </row>
    <row r="6089" spans="1:8" ht="15.75" customHeight="1" x14ac:dyDescent="0.25">
      <c r="A6089" s="390"/>
      <c r="B6089" s="390"/>
      <c r="C6089" s="390"/>
      <c r="D6089" s="391"/>
      <c r="E6089" s="390"/>
      <c r="F6089" s="391"/>
      <c r="G6089" s="390"/>
      <c r="H6089" s="394"/>
    </row>
    <row r="6090" spans="1:8" ht="15.75" customHeight="1" x14ac:dyDescent="0.25">
      <c r="A6090" s="390" t="s">
        <v>30</v>
      </c>
      <c r="B6090" s="390"/>
      <c r="C6090" s="390"/>
      <c r="D6090" s="391"/>
      <c r="E6090" s="390"/>
      <c r="F6090" s="391"/>
      <c r="G6090" s="390"/>
      <c r="H6090" s="394"/>
    </row>
    <row r="6091" spans="1:8" ht="15.75" customHeight="1" x14ac:dyDescent="0.25">
      <c r="A6091" s="390"/>
      <c r="B6091" s="390"/>
      <c r="C6091" s="390"/>
      <c r="D6091" s="391"/>
      <c r="E6091" s="390"/>
      <c r="F6091" s="391"/>
      <c r="G6091" s="390"/>
      <c r="H6091" s="394"/>
    </row>
    <row r="6092" spans="1:8" ht="15.75" customHeight="1" x14ac:dyDescent="0.25">
      <c r="A6092" s="390" t="s">
        <v>1322</v>
      </c>
      <c r="B6092" s="390"/>
      <c r="C6092" s="390"/>
      <c r="D6092" s="391"/>
      <c r="E6092" s="390"/>
      <c r="F6092" s="391"/>
      <c r="G6092" s="390"/>
      <c r="H6092" s="394"/>
    </row>
    <row r="6093" spans="1:8" ht="15.75" customHeight="1" x14ac:dyDescent="0.25">
      <c r="A6093" s="390" t="s">
        <v>1328</v>
      </c>
      <c r="B6093" s="390"/>
      <c r="C6093" s="390"/>
      <c r="D6093" s="391"/>
      <c r="E6093" s="390"/>
      <c r="F6093" s="391"/>
      <c r="G6093" s="390"/>
      <c r="H6093" s="394"/>
    </row>
    <row r="6094" spans="1:8" ht="15.75" customHeight="1" x14ac:dyDescent="0.25">
      <c r="A6094" s="390"/>
      <c r="B6094" s="390"/>
      <c r="C6094" s="390"/>
      <c r="D6094" s="391"/>
      <c r="E6094" s="390"/>
      <c r="F6094" s="391"/>
      <c r="G6094" s="390"/>
      <c r="H6094" s="394"/>
    </row>
    <row r="6095" spans="1:8" ht="15.75" customHeight="1" x14ac:dyDescent="0.25">
      <c r="A6095" s="399" t="s">
        <v>33</v>
      </c>
      <c r="B6095" s="400" t="s">
        <v>6</v>
      </c>
      <c r="C6095" s="400"/>
      <c r="D6095" s="401" t="s">
        <v>37</v>
      </c>
      <c r="E6095" s="402" t="s">
        <v>1309</v>
      </c>
      <c r="F6095" s="609" t="s">
        <v>7</v>
      </c>
      <c r="G6095" s="400" t="s">
        <v>43</v>
      </c>
      <c r="H6095" s="405" t="s">
        <v>44</v>
      </c>
    </row>
    <row r="6096" spans="1:8" ht="15.75" customHeight="1" x14ac:dyDescent="0.25">
      <c r="A6096" s="610"/>
      <c r="B6096" s="611"/>
      <c r="C6096" s="611"/>
      <c r="D6096" s="612"/>
      <c r="E6096" s="613"/>
      <c r="F6096" s="614"/>
      <c r="G6096" s="611"/>
      <c r="H6096" s="615"/>
    </row>
    <row r="6097" spans="1:8" ht="15.75" customHeight="1" x14ac:dyDescent="0.25">
      <c r="A6097" s="412"/>
      <c r="B6097" s="654" t="s">
        <v>1356</v>
      </c>
      <c r="C6097" s="654"/>
      <c r="D6097" s="415"/>
      <c r="E6097" s="415"/>
      <c r="F6097" s="415"/>
      <c r="G6097" s="415"/>
      <c r="H6097" s="416"/>
    </row>
    <row r="6098" spans="1:8" ht="15.75" customHeight="1" x14ac:dyDescent="0.25">
      <c r="A6098" s="581" t="s">
        <v>55</v>
      </c>
      <c r="B6098" s="582" t="s">
        <v>1715</v>
      </c>
      <c r="C6098" s="582" t="s">
        <v>94</v>
      </c>
      <c r="D6098" s="415">
        <v>2</v>
      </c>
      <c r="E6098" s="415">
        <v>5</v>
      </c>
      <c r="F6098" s="415">
        <f>+E6098*D6098</f>
      </c>
      <c r="G6098" s="415">
        <v>1</v>
      </c>
      <c r="H6098" s="589">
        <f>+G6098*F6098</f>
      </c>
    </row>
    <row r="6099" spans="1:8" ht="15.75" customHeight="1" x14ac:dyDescent="0.25">
      <c r="A6099" s="581"/>
      <c r="B6099" s="654"/>
      <c r="C6099" s="654"/>
      <c r="D6099" s="415"/>
      <c r="E6099" s="415"/>
      <c r="F6099" s="415"/>
      <c r="G6099" s="415"/>
      <c r="H6099" s="589"/>
    </row>
    <row r="6100" spans="1:8" ht="15.75" customHeight="1" x14ac:dyDescent="0.25">
      <c r="A6100" s="581"/>
      <c r="B6100" s="654"/>
      <c r="C6100" s="654"/>
      <c r="D6100" s="415"/>
      <c r="E6100" s="415"/>
      <c r="F6100" s="415"/>
      <c r="G6100" s="415"/>
      <c r="H6100" s="589"/>
    </row>
    <row r="6101" spans="1:8" ht="15.75" customHeight="1" x14ac:dyDescent="0.25">
      <c r="A6101" s="581"/>
      <c r="B6101" s="582"/>
      <c r="C6101" s="582"/>
      <c r="D6101" s="415"/>
      <c r="E6101" s="415"/>
      <c r="F6101" s="415"/>
      <c r="G6101" s="415"/>
      <c r="H6101" s="589"/>
    </row>
    <row r="6102" spans="1:8" ht="15.75" customHeight="1" x14ac:dyDescent="0.25">
      <c r="A6102" s="430"/>
      <c r="B6102" s="409"/>
      <c r="C6102" s="393"/>
      <c r="D6102" s="427"/>
      <c r="E6102" s="427"/>
      <c r="F6102" s="428"/>
      <c r="G6102" s="427"/>
      <c r="H6102" s="429"/>
    </row>
    <row r="6103" spans="1:8" ht="15.75" customHeight="1" x14ac:dyDescent="0.25">
      <c r="A6103" s="432"/>
      <c r="B6103" s="433"/>
      <c r="C6103" s="434" t="s">
        <v>85</v>
      </c>
      <c r="D6103" s="659">
        <f>SUM(D6097:D6102)</f>
      </c>
      <c r="E6103" s="401"/>
      <c r="F6103" s="660"/>
      <c r="G6103" s="661"/>
      <c r="H6103" s="623">
        <f>SUM(H6097:H6102)</f>
      </c>
    </row>
    <row r="6104" spans="1:8" ht="15.75" customHeight="1" x14ac:dyDescent="0.25">
      <c r="A6104" s="439"/>
      <c r="B6104" s="440"/>
      <c r="C6104" s="440"/>
      <c r="D6104" s="441"/>
      <c r="E6104" s="440"/>
      <c r="F6104" s="442"/>
      <c r="G6104" s="443"/>
      <c r="H6104" s="444"/>
    </row>
    <row r="6105" spans="1:8" ht="15.75" customHeight="1" x14ac:dyDescent="0.25">
      <c r="A6105" s="392"/>
      <c r="B6105" s="391"/>
      <c r="C6105" s="391"/>
      <c r="D6105" s="391"/>
      <c r="E6105" s="390"/>
      <c r="F6105" s="392"/>
      <c r="G6105" s="390"/>
      <c r="H6105" s="394"/>
    </row>
    <row r="6106" spans="1:8" ht="15.75" customHeight="1" x14ac:dyDescent="0.25">
      <c r="A6106" s="445"/>
      <c r="B6106" s="445"/>
      <c r="C6106" s="445"/>
      <c r="D6106" s="446" t="s">
        <v>97</v>
      </c>
      <c r="E6106" s="445" t="s">
        <v>98</v>
      </c>
      <c r="F6106" s="445"/>
      <c r="G6106" s="390"/>
      <c r="H6106" s="394"/>
    </row>
    <row r="6107" spans="1:8" ht="15.75" customHeight="1" x14ac:dyDescent="0.25">
      <c r="A6107" s="390"/>
      <c r="B6107" s="390"/>
      <c r="C6107" s="390"/>
      <c r="D6107" s="391"/>
      <c r="E6107" s="390"/>
      <c r="F6107" s="390"/>
      <c r="G6107" s="390"/>
      <c r="H6107" s="394"/>
    </row>
    <row r="6108" spans="1:8" ht="15.75" customHeight="1" x14ac:dyDescent="0.25">
      <c r="A6108" s="390"/>
      <c r="B6108" s="390"/>
      <c r="C6108" s="390"/>
      <c r="D6108" s="391"/>
      <c r="E6108" s="390"/>
      <c r="F6108" s="390"/>
      <c r="G6108" s="390"/>
      <c r="H6108" s="394"/>
    </row>
    <row r="6109" spans="1:8" ht="15.75" customHeight="1" x14ac:dyDescent="0.25">
      <c r="A6109" s="445"/>
      <c r="B6109" s="445"/>
      <c r="C6109" s="445"/>
      <c r="D6109" s="446"/>
      <c r="E6109" s="445" t="s">
        <v>99</v>
      </c>
      <c r="F6109" s="445"/>
      <c r="G6109" s="390"/>
      <c r="H6109" s="394"/>
    </row>
    <row r="6110" spans="1:8" ht="15.75" customHeight="1" x14ac:dyDescent="0.25">
      <c r="D6110" s="4"/>
      <c r="H6110" s="4"/>
    </row>
    <row r="6111" spans="1:8" ht="15.75" customHeight="1" x14ac:dyDescent="0.25">
      <c r="D6111" s="4"/>
      <c r="H6111" s="4"/>
    </row>
    <row r="6112" spans="1:8" ht="15.75" customHeight="1" x14ac:dyDescent="0.25">
      <c r="D6112" s="4"/>
      <c r="H6112" s="4"/>
    </row>
    <row r="6113" spans="1:8" ht="15.75" customHeight="1" x14ac:dyDescent="0.25">
      <c r="D6113" s="4"/>
      <c r="H6113" s="4"/>
    </row>
    <row r="6114" spans="1:8" ht="15.75" customHeight="1" x14ac:dyDescent="0.25">
      <c r="D6114" s="4"/>
      <c r="H6114" s="4"/>
    </row>
    <row r="6115" spans="1:8" ht="15.75" customHeight="1" x14ac:dyDescent="0.25">
      <c r="D6115" s="4"/>
      <c r="H6115" s="4"/>
    </row>
    <row r="6116" spans="1:8" ht="15.75" customHeight="1" x14ac:dyDescent="0.25">
      <c r="D6116" s="4"/>
      <c r="H6116" s="4"/>
    </row>
    <row r="6117" spans="1:8" ht="15.75" customHeight="1" x14ac:dyDescent="0.25">
      <c r="D6117" s="4"/>
      <c r="H6117" s="4"/>
    </row>
    <row r="6118" spans="1:8" ht="15.75" customHeight="1" x14ac:dyDescent="0.25">
      <c r="D6118" s="4"/>
      <c r="H6118" s="4"/>
    </row>
    <row r="6119" spans="1:8" ht="15.75" customHeight="1" x14ac:dyDescent="0.25">
      <c r="D6119" s="4"/>
      <c r="H6119" s="4"/>
    </row>
    <row r="6120" spans="1:8" ht="15.75" customHeight="1" x14ac:dyDescent="0.25">
      <c r="D6120" s="4"/>
      <c r="H6120" s="4"/>
    </row>
    <row r="6121" spans="1:8" ht="15.75" customHeight="1" x14ac:dyDescent="0.25">
      <c r="D6121" s="4"/>
      <c r="H6121" s="4"/>
    </row>
    <row r="6122" spans="1:8" ht="15.75" customHeight="1" x14ac:dyDescent="0.25">
      <c r="D6122" s="4"/>
      <c r="H6122" s="4"/>
    </row>
    <row r="6123" spans="1:8" ht="15.75" customHeight="1" x14ac:dyDescent="0.25">
      <c r="D6123" s="4"/>
      <c r="H6123" s="4"/>
    </row>
    <row r="6124" spans="1:8" ht="15.75" customHeight="1" x14ac:dyDescent="0.25">
      <c r="D6124" s="4"/>
      <c r="H6124" s="4"/>
    </row>
    <row r="6125" spans="1:8" ht="15.75" customHeight="1" x14ac:dyDescent="0.25">
      <c r="D6125" s="4"/>
      <c r="H6125" s="4"/>
    </row>
    <row r="6126" spans="1:8" ht="15.75" customHeight="1" x14ac:dyDescent="0.25">
      <c r="D6126" s="4"/>
      <c r="H6126" s="4"/>
    </row>
    <row r="6127" spans="1:8" ht="15.75" customHeight="1" x14ac:dyDescent="0.25">
      <c r="A6127" s="398" t="s">
        <v>14</v>
      </c>
      <c r="B6127" s="398"/>
      <c r="C6127" s="398"/>
      <c r="D6127" s="398"/>
      <c r="E6127" s="398"/>
      <c r="F6127" s="398"/>
      <c r="G6127" s="398"/>
      <c r="H6127" s="398"/>
    </row>
    <row r="6128" spans="1:8" ht="15.75" customHeight="1" x14ac:dyDescent="0.25">
      <c r="A6128" s="390"/>
      <c r="B6128" s="390"/>
      <c r="C6128" s="390"/>
      <c r="D6128" s="391"/>
      <c r="E6128" s="390"/>
      <c r="F6128" s="390"/>
      <c r="G6128" s="390"/>
      <c r="H6128" s="398"/>
    </row>
    <row r="6129" spans="1:8" ht="15.75" customHeight="1" x14ac:dyDescent="0.25">
      <c r="A6129" s="390"/>
      <c r="B6129" s="390"/>
      <c r="C6129" s="391"/>
      <c r="D6129" s="392"/>
      <c r="E6129" s="393"/>
      <c r="F6129" s="393"/>
      <c r="G6129" s="393"/>
      <c r="H6129" s="394"/>
    </row>
    <row r="6130" spans="1:8" ht="15.75" customHeight="1" x14ac:dyDescent="0.25">
      <c r="A6130" s="390"/>
      <c r="B6130" s="390"/>
      <c r="C6130" s="390"/>
      <c r="D6130" s="391"/>
      <c r="E6130" s="390"/>
      <c r="F6130" s="395" t="s">
        <v>18</v>
      </c>
      <c r="G6130" s="396" t="s">
        <v>837</v>
      </c>
      <c r="H6130" s="397"/>
    </row>
    <row r="6131" spans="1:8" ht="15.75" customHeight="1" x14ac:dyDescent="0.25">
      <c r="A6131" s="390" t="s">
        <v>20</v>
      </c>
      <c r="B6131" s="390"/>
      <c r="C6131" s="390"/>
      <c r="D6131" s="391"/>
      <c r="E6131" s="390"/>
      <c r="F6131" s="395" t="s">
        <v>21</v>
      </c>
      <c r="G6131" s="390" t="s">
        <v>1716</v>
      </c>
      <c r="H6131" s="391"/>
    </row>
    <row r="6132" spans="1:8" ht="15.75" customHeight="1" x14ac:dyDescent="0.25">
      <c r="A6132" s="390" t="inlineStr">
        <is>
          <t>Dealer-009</t>
        </is>
      </c>
      <c r="B6132" s="390"/>
      <c r="C6132" s="390" t="inlineStr">
        <is>
          <t>ATTN: Contact-001</t>
        </is>
      </c>
      <c r="D6132" s="391"/>
      <c r="E6132" s="395"/>
      <c r="F6132" s="390"/>
      <c r="G6132" s="390"/>
      <c r="H6132" s="394"/>
    </row>
    <row r="6133" spans="1:8" ht="15.75" customHeight="1" x14ac:dyDescent="0.25">
      <c r="A6133" s="390" t="inlineStr">
        <is>
          <t>Address line (redacted)</t>
        </is>
      </c>
      <c r="B6133" s="390"/>
      <c r="C6133" s="390"/>
      <c r="D6133" s="398"/>
      <c r="E6133" s="390"/>
      <c r="F6133" s="391"/>
      <c r="G6133" s="390"/>
      <c r="H6133" s="394"/>
    </row>
    <row r="6134" spans="1:8" ht="15.75" customHeight="1" x14ac:dyDescent="0.25">
      <c r="A6134" s="390" t="inlineStr">
        <is>
          <t>Address line (redacted)</t>
        </is>
      </c>
      <c r="B6134" s="390"/>
      <c r="C6134" s="390"/>
      <c r="D6134" s="398"/>
      <c r="E6134" s="390"/>
      <c r="F6134" s="391"/>
      <c r="G6134" s="390"/>
      <c r="H6134" s="394"/>
    </row>
    <row r="6135" spans="1:8" ht="15.75" customHeight="1" x14ac:dyDescent="0.25">
      <c r="A6135" s="447"/>
      <c r="B6135" s="390"/>
      <c r="C6135" s="390"/>
      <c r="D6135" s="391"/>
      <c r="E6135" s="390"/>
      <c r="F6135" s="391"/>
      <c r="G6135" s="390"/>
      <c r="H6135" s="394"/>
    </row>
    <row r="6136" spans="1:8" ht="15.75" customHeight="1" x14ac:dyDescent="0.25">
      <c r="A6136" s="390" t="s">
        <v>30</v>
      </c>
      <c r="B6136" s="390"/>
      <c r="C6136" s="390"/>
      <c r="D6136" s="391"/>
      <c r="E6136" s="390"/>
      <c r="F6136" s="391"/>
      <c r="G6136" s="390"/>
      <c r="H6136" s="394"/>
    </row>
    <row r="6137" spans="1:8" ht="15.75" customHeight="1" x14ac:dyDescent="0.25">
      <c r="A6137" s="390"/>
      <c r="B6137" s="390"/>
      <c r="C6137" s="390"/>
      <c r="D6137" s="391"/>
      <c r="E6137" s="390"/>
      <c r="F6137" s="391"/>
      <c r="G6137" s="390"/>
      <c r="H6137" s="394"/>
    </row>
    <row r="6138" spans="1:8" ht="15.75" customHeight="1" x14ac:dyDescent="0.25">
      <c r="A6138" s="390" t="s">
        <v>31</v>
      </c>
      <c r="B6138" s="390"/>
      <c r="C6138" s="390"/>
      <c r="D6138" s="391"/>
      <c r="E6138" s="390"/>
      <c r="F6138" s="391"/>
      <c r="G6138" s="390"/>
      <c r="H6138" s="394"/>
    </row>
    <row r="6139" spans="1:8" ht="15.75" customHeight="1" x14ac:dyDescent="0.25">
      <c r="A6139" s="390" t="s">
        <v>32</v>
      </c>
      <c r="B6139" s="390"/>
      <c r="C6139" s="390"/>
      <c r="D6139" s="391"/>
      <c r="E6139" s="390"/>
      <c r="F6139" s="391"/>
      <c r="G6139" s="390"/>
      <c r="H6139" s="394"/>
    </row>
    <row r="6140" spans="1:8" ht="15.75" customHeight="1" x14ac:dyDescent="0.25">
      <c r="A6140" s="390"/>
      <c r="B6140" s="390"/>
      <c r="C6140" s="390"/>
      <c r="D6140" s="391"/>
      <c r="E6140" s="390"/>
      <c r="F6140" s="391"/>
      <c r="G6140" s="390"/>
      <c r="H6140" s="394"/>
    </row>
    <row r="6141" spans="1:8" ht="15.75" customHeight="1" x14ac:dyDescent="0.25">
      <c r="A6141" s="399" t="s">
        <v>33</v>
      </c>
      <c r="B6141" s="400" t="s">
        <v>6</v>
      </c>
      <c r="C6141" s="400"/>
      <c r="D6141" s="401" t="s">
        <v>37</v>
      </c>
      <c r="E6141" s="402" t="s">
        <v>38</v>
      </c>
      <c r="F6141" s="403" t="s">
        <v>7</v>
      </c>
      <c r="G6141" s="404" t="s">
        <v>43</v>
      </c>
      <c r="H6141" s="405" t="s">
        <v>44</v>
      </c>
    </row>
    <row r="6142" spans="1:8" ht="15.75" customHeight="1" x14ac:dyDescent="0.25">
      <c r="A6142" s="406"/>
      <c r="B6142" s="407"/>
      <c r="C6142" s="393"/>
      <c r="D6142" s="408"/>
      <c r="E6142" s="408"/>
      <c r="F6142" s="409"/>
      <c r="G6142" s="410"/>
      <c r="H6142" s="411"/>
    </row>
    <row r="6143" spans="1:8" ht="15.75" customHeight="1" x14ac:dyDescent="0.25">
      <c r="A6143" s="556"/>
      <c r="B6143" s="557" t="s">
        <v>1187</v>
      </c>
      <c r="C6143" s="558"/>
      <c r="D6143" s="408"/>
      <c r="E6143" s="408"/>
      <c r="F6143" s="398"/>
      <c r="G6143" s="408"/>
      <c r="H6143" s="559"/>
    </row>
    <row r="6144" spans="1:8" ht="15.75" customHeight="1" x14ac:dyDescent="0.25">
      <c r="A6144" s="425" t="s">
        <v>55</v>
      </c>
      <c r="B6144" s="448" t="s">
        <v>1717</v>
      </c>
      <c r="C6144" s="507" t="s">
        <v>445</v>
      </c>
      <c r="D6144" s="427">
        <v>1</v>
      </c>
      <c r="E6144" s="427">
        <v>300</v>
      </c>
      <c r="F6144" s="391">
        <f>+E6144*D6144</f>
      </c>
      <c r="G6144" s="427">
        <v>1</v>
      </c>
      <c r="H6144" s="429">
        <f>+G6144*F6144</f>
      </c>
    </row>
    <row r="6145" spans="1:8" ht="15.75" customHeight="1" x14ac:dyDescent="0.25">
      <c r="A6145" s="425"/>
      <c r="B6145" s="557" t="s">
        <v>590</v>
      </c>
      <c r="C6145" s="558"/>
      <c r="D6145" s="427"/>
      <c r="E6145" s="427"/>
      <c r="F6145" s="391"/>
      <c r="G6145" s="427"/>
      <c r="H6145" s="429"/>
    </row>
    <row r="6146" spans="1:8" ht="15.75" customHeight="1" x14ac:dyDescent="0.25">
      <c r="A6146" s="425" t="s">
        <v>59</v>
      </c>
      <c r="B6146" s="448" t="s">
        <v>138</v>
      </c>
      <c r="C6146" s="451" t="s">
        <v>384</v>
      </c>
      <c r="D6146" s="427">
        <v>1</v>
      </c>
      <c r="E6146" s="427">
        <v>6</v>
      </c>
      <c r="F6146" s="391">
        <f t="shared" ref="F6146:F6147" si="177">+E6146*D6146</f>
      </c>
      <c r="G6146" s="427">
        <v>1</v>
      </c>
      <c r="H6146" s="429">
        <f t="shared" ref="H6146:H6147" si="178">+G6146*F6146</f>
      </c>
    </row>
    <row r="6147" spans="1:8" ht="15.75" customHeight="1" x14ac:dyDescent="0.25">
      <c r="A6147" s="425" t="s">
        <v>67</v>
      </c>
      <c r="B6147" s="448" t="s">
        <v>1718</v>
      </c>
      <c r="C6147" s="451" t="s">
        <v>379</v>
      </c>
      <c r="D6147" s="427">
        <v>1</v>
      </c>
      <c r="E6147" s="427">
        <v>6</v>
      </c>
      <c r="F6147" s="391">
        <f t="shared" si="177"/>
      </c>
      <c r="G6147" s="427">
        <v>1</v>
      </c>
      <c r="H6147" s="429">
        <f t="shared" si="178"/>
      </c>
    </row>
    <row r="6148" spans="1:8" ht="15.75" customHeight="1" x14ac:dyDescent="0.25">
      <c r="A6148" s="425"/>
      <c r="B6148" s="557" t="s">
        <v>1329</v>
      </c>
      <c r="C6148" s="558"/>
      <c r="D6148" s="427"/>
      <c r="E6148" s="427"/>
      <c r="F6148" s="391"/>
      <c r="G6148" s="427"/>
      <c r="H6148" s="429"/>
    </row>
    <row r="6149" spans="1:8" ht="15.75" customHeight="1" x14ac:dyDescent="0.25">
      <c r="A6149" s="425" t="s">
        <v>485</v>
      </c>
      <c r="B6149" s="448" t="s">
        <v>1719</v>
      </c>
      <c r="C6149" s="451" t="s">
        <v>419</v>
      </c>
      <c r="D6149" s="427">
        <v>1</v>
      </c>
      <c r="E6149" s="427">
        <v>200</v>
      </c>
      <c r="F6149" s="391">
        <f>+E6149*D6149</f>
      </c>
      <c r="G6149" s="427">
        <v>1</v>
      </c>
      <c r="H6149" s="429">
        <f>+G6149*F6149</f>
      </c>
    </row>
    <row r="6150" spans="1:8" ht="15.75" customHeight="1" x14ac:dyDescent="0.25">
      <c r="A6150" s="425"/>
      <c r="B6150" s="557" t="s">
        <v>1239</v>
      </c>
      <c r="C6150" s="558"/>
      <c r="D6150" s="427"/>
      <c r="E6150" s="427"/>
      <c r="F6150" s="391"/>
      <c r="G6150" s="427"/>
      <c r="H6150" s="429"/>
    </row>
    <row r="6151" spans="1:8" ht="15.75" customHeight="1" x14ac:dyDescent="0.25">
      <c r="A6151" s="425" t="s">
        <v>486</v>
      </c>
      <c r="B6151" s="448" t="s">
        <v>145</v>
      </c>
      <c r="C6151" s="451" t="s">
        <v>383</v>
      </c>
      <c r="D6151" s="427">
        <v>1</v>
      </c>
      <c r="E6151" s="427">
        <v>25</v>
      </c>
      <c r="F6151" s="391">
        <v>25</v>
      </c>
      <c r="G6151" s="427">
        <v>1</v>
      </c>
      <c r="H6151" s="429">
        <f t="shared" ref="H6151:H6152" si="179">+G6151*F6151</f>
      </c>
    </row>
    <row r="6152" spans="1:8" ht="15.75" customHeight="1" x14ac:dyDescent="0.25">
      <c r="A6152" s="425" t="s">
        <v>489</v>
      </c>
      <c r="B6152" s="448" t="s">
        <v>250</v>
      </c>
      <c r="C6152" s="451" t="s">
        <v>424</v>
      </c>
      <c r="D6152" s="427">
        <v>1</v>
      </c>
      <c r="E6152" s="427">
        <v>25</v>
      </c>
      <c r="F6152" s="391">
        <v>25</v>
      </c>
      <c r="G6152" s="427">
        <v>1</v>
      </c>
      <c r="H6152" s="429">
        <f t="shared" si="179"/>
      </c>
    </row>
    <row r="6153" spans="1:8" ht="15.75" customHeight="1" x14ac:dyDescent="0.25">
      <c r="A6153" s="425"/>
      <c r="B6153" s="557" t="s">
        <v>674</v>
      </c>
      <c r="C6153" s="558"/>
      <c r="D6153" s="427"/>
      <c r="E6153" s="427"/>
      <c r="F6153" s="391"/>
      <c r="G6153" s="427"/>
      <c r="H6153" s="429"/>
    </row>
    <row r="6154" spans="1:8" ht="15.75" customHeight="1" x14ac:dyDescent="0.25">
      <c r="A6154" s="502" t="s">
        <v>490</v>
      </c>
      <c r="B6154" s="503" t="s">
        <v>239</v>
      </c>
      <c r="C6154" s="390"/>
      <c r="D6154" s="427">
        <v>2</v>
      </c>
      <c r="E6154" s="427">
        <v>2</v>
      </c>
      <c r="F6154" s="391">
        <v>4</v>
      </c>
      <c r="G6154" s="427">
        <v>1</v>
      </c>
      <c r="H6154" s="429">
        <f>+G6154*F6154</f>
      </c>
    </row>
    <row r="6155" spans="1:8" ht="15.75" customHeight="1" x14ac:dyDescent="0.25">
      <c r="A6155" s="502"/>
      <c r="B6155" s="503"/>
      <c r="C6155" s="390"/>
      <c r="D6155" s="427"/>
      <c r="E6155" s="427"/>
      <c r="F6155" s="391"/>
      <c r="G6155" s="427"/>
      <c r="H6155" s="429"/>
    </row>
    <row r="6156" spans="1:8" ht="15.75" customHeight="1" x14ac:dyDescent="0.25">
      <c r="A6156" s="502"/>
      <c r="B6156" s="503"/>
      <c r="C6156" s="390"/>
      <c r="D6156" s="427"/>
      <c r="E6156" s="427"/>
      <c r="F6156" s="391"/>
      <c r="G6156" s="427"/>
      <c r="H6156" s="429"/>
    </row>
    <row r="6157" spans="1:8" ht="15.75" customHeight="1" x14ac:dyDescent="0.25">
      <c r="A6157" s="502"/>
      <c r="B6157" s="503"/>
      <c r="C6157" s="390"/>
      <c r="D6157" s="427"/>
      <c r="E6157" s="427"/>
      <c r="F6157" s="391"/>
      <c r="G6157" s="427"/>
      <c r="H6157" s="429"/>
    </row>
    <row r="6158" spans="1:8" ht="15.75" customHeight="1" x14ac:dyDescent="0.25">
      <c r="A6158" s="432"/>
      <c r="B6158" s="433"/>
      <c r="C6158" s="434" t="s">
        <v>85</v>
      </c>
      <c r="D6158" s="435">
        <f>SUM(D6144:D6157)</f>
      </c>
      <c r="E6158" s="435"/>
      <c r="F6158" s="436"/>
      <c r="G6158" s="437"/>
      <c r="H6158" s="438">
        <f>SUM(H6144:H6157)</f>
      </c>
    </row>
    <row r="6159" spans="1:8" ht="15.75" customHeight="1" x14ac:dyDescent="0.25">
      <c r="A6159" s="439"/>
      <c r="B6159" s="440"/>
      <c r="C6159" s="440"/>
      <c r="D6159" s="441"/>
      <c r="E6159" s="440"/>
      <c r="F6159" s="442"/>
      <c r="G6159" s="443"/>
      <c r="H6159" s="444"/>
    </row>
    <row r="6160" spans="1:8" ht="15.75" customHeight="1" x14ac:dyDescent="0.25">
      <c r="A6160" s="565" t="s">
        <v>1215</v>
      </c>
      <c r="B6160" s="565"/>
      <c r="C6160" s="565"/>
      <c r="D6160" s="565"/>
      <c r="E6160" s="565"/>
      <c r="F6160" s="565"/>
      <c r="G6160" s="565"/>
      <c r="H6160" s="565"/>
    </row>
    <row r="6161" spans="1:8" ht="15.75" customHeight="1" x14ac:dyDescent="0.25">
      <c r="A6161" s="445"/>
      <c r="B6161" s="445"/>
      <c r="C6161" s="445"/>
      <c r="D6161" s="446" t="s">
        <v>97</v>
      </c>
      <c r="E6161" s="445" t="s">
        <v>98</v>
      </c>
      <c r="F6161" s="445"/>
      <c r="G6161" s="390"/>
      <c r="H6161" s="394"/>
    </row>
    <row r="6162" spans="1:8" ht="15.75" customHeight="1" x14ac:dyDescent="0.25">
      <c r="A6162" s="390"/>
      <c r="B6162" s="390"/>
      <c r="C6162" s="390"/>
      <c r="D6162" s="391"/>
      <c r="E6162" s="390"/>
      <c r="F6162" s="390"/>
      <c r="G6162" s="390"/>
      <c r="H6162" s="394"/>
    </row>
    <row r="6163" spans="1:8" ht="15.75" customHeight="1" x14ac:dyDescent="0.25">
      <c r="A6163" s="390"/>
      <c r="B6163" s="390"/>
      <c r="C6163" s="390"/>
      <c r="D6163" s="391"/>
      <c r="E6163" s="390"/>
      <c r="F6163" s="390"/>
      <c r="G6163" s="390"/>
      <c r="H6163" s="394"/>
    </row>
    <row r="6164" spans="1:8" ht="15.75" customHeight="1" x14ac:dyDescent="0.25">
      <c r="A6164" s="445"/>
      <c r="B6164" s="445"/>
      <c r="C6164" s="445"/>
      <c r="D6164" s="446"/>
      <c r="E6164" s="445" t="s">
        <v>99</v>
      </c>
      <c r="F6164" s="445"/>
      <c r="G6164" s="390"/>
      <c r="H6164" s="394"/>
    </row>
    <row r="6165" spans="1:8" ht="15.75" customHeight="1" x14ac:dyDescent="0.25">
      <c r="D6165" s="4"/>
      <c r="H6165" s="4"/>
    </row>
    <row r="6166" spans="1:8" ht="15.75" customHeight="1" x14ac:dyDescent="0.25">
      <c r="D6166" s="4"/>
      <c r="H6166" s="4"/>
    </row>
    <row r="6167" spans="1:8" ht="15.75" customHeight="1" x14ac:dyDescent="0.25">
      <c r="D6167" s="4"/>
      <c r="H6167" s="4"/>
    </row>
    <row r="6168" spans="1:8" ht="15.75" customHeight="1" x14ac:dyDescent="0.25">
      <c r="D6168" s="4"/>
      <c r="H6168" s="4"/>
    </row>
    <row r="6169" spans="1:8" ht="15.75" customHeight="1" x14ac:dyDescent="0.25">
      <c r="D6169" s="4"/>
      <c r="H6169" s="4"/>
    </row>
    <row r="6170" spans="1:8" ht="15.75" customHeight="1" x14ac:dyDescent="0.25">
      <c r="D6170" s="4"/>
      <c r="H6170" s="4"/>
    </row>
    <row r="6171" spans="1:8" ht="15.75" customHeight="1" x14ac:dyDescent="0.25">
      <c r="D6171" s="4"/>
      <c r="H6171" s="4"/>
    </row>
    <row r="6172" spans="1:8" ht="15.75" customHeight="1" x14ac:dyDescent="0.25">
      <c r="D6172" s="4"/>
      <c r="H6172" s="4"/>
    </row>
    <row r="6173" spans="1:8" ht="15.75" customHeight="1" x14ac:dyDescent="0.25">
      <c r="A6173" s="398" t="s">
        <v>14</v>
      </c>
      <c r="B6173" s="398"/>
      <c r="C6173" s="398"/>
      <c r="D6173" s="398"/>
      <c r="E6173" s="398"/>
      <c r="F6173" s="398"/>
      <c r="G6173" s="398"/>
      <c r="H6173" s="398"/>
    </row>
    <row r="6174" spans="1:8" ht="15.75" customHeight="1" x14ac:dyDescent="0.25">
      <c r="A6174" s="390"/>
      <c r="B6174" s="390"/>
      <c r="C6174" s="390"/>
      <c r="D6174" s="391"/>
      <c r="E6174" s="390"/>
      <c r="F6174" s="390"/>
      <c r="G6174" s="390"/>
      <c r="H6174" s="398"/>
    </row>
    <row r="6175" spans="1:8" ht="15.75" customHeight="1" x14ac:dyDescent="0.25">
      <c r="A6175" s="390"/>
      <c r="B6175" s="390"/>
      <c r="C6175" s="391"/>
      <c r="D6175" s="392"/>
      <c r="E6175" s="393"/>
      <c r="F6175" s="393"/>
      <c r="G6175" s="393"/>
      <c r="H6175" s="394"/>
    </row>
    <row r="6176" spans="1:8" ht="15.75" customHeight="1" x14ac:dyDescent="0.25">
      <c r="A6176" s="390"/>
      <c r="B6176" s="390"/>
      <c r="C6176" s="390"/>
      <c r="D6176" s="391"/>
      <c r="E6176" s="390"/>
      <c r="F6176" s="395" t="s">
        <v>18</v>
      </c>
      <c r="G6176" s="396" t="s">
        <v>843</v>
      </c>
      <c r="H6176" s="397"/>
    </row>
    <row r="6177" spans="1:8" ht="15.75" customHeight="1" x14ac:dyDescent="0.25">
      <c r="A6177" s="390" t="s">
        <v>20</v>
      </c>
      <c r="B6177" s="390"/>
      <c r="C6177" s="390"/>
      <c r="D6177" s="391"/>
      <c r="E6177" s="390"/>
      <c r="F6177" s="395" t="s">
        <v>21</v>
      </c>
      <c r="G6177" s="390" t="s">
        <v>1414</v>
      </c>
      <c r="H6177" s="391"/>
    </row>
    <row r="6178" spans="1:8" ht="15.75" customHeight="1" x14ac:dyDescent="0.25">
      <c r="A6178" s="390" t="inlineStr">
        <is>
          <t>Dealer-009</t>
        </is>
      </c>
      <c r="B6178" s="390"/>
      <c r="C6178" s="390" t="inlineStr">
        <is>
          <t>ATTN: Contact-001</t>
        </is>
      </c>
      <c r="D6178" s="391"/>
      <c r="E6178" s="395"/>
      <c r="F6178" s="390"/>
      <c r="G6178" s="390"/>
      <c r="H6178" s="394"/>
    </row>
    <row r="6179" spans="1:8" ht="15.75" customHeight="1" x14ac:dyDescent="0.25">
      <c r="A6179" s="390" t="inlineStr">
        <is>
          <t>Address line (redacted)</t>
        </is>
      </c>
      <c r="B6179" s="390"/>
      <c r="C6179" s="390"/>
      <c r="D6179" s="398"/>
      <c r="E6179" s="390"/>
      <c r="F6179" s="391"/>
      <c r="G6179" s="390"/>
      <c r="H6179" s="394"/>
    </row>
    <row r="6180" spans="1:8" ht="15.75" customHeight="1" x14ac:dyDescent="0.25">
      <c r="A6180" s="390" t="inlineStr">
        <is>
          <t>Address line (redacted)</t>
        </is>
      </c>
      <c r="B6180" s="390"/>
      <c r="C6180" s="390"/>
      <c r="D6180" s="398"/>
      <c r="E6180" s="390"/>
      <c r="F6180" s="391"/>
      <c r="G6180" s="390"/>
      <c r="H6180" s="394"/>
    </row>
    <row r="6181" spans="1:8" ht="15.75" customHeight="1" x14ac:dyDescent="0.25">
      <c r="A6181" s="447"/>
      <c r="B6181" s="390"/>
      <c r="C6181" s="390"/>
      <c r="D6181" s="391"/>
      <c r="E6181" s="390"/>
      <c r="F6181" s="391"/>
      <c r="G6181" s="390"/>
      <c r="H6181" s="394"/>
    </row>
    <row r="6182" spans="1:8" ht="15.75" customHeight="1" x14ac:dyDescent="0.25">
      <c r="A6182" s="390" t="s">
        <v>30</v>
      </c>
      <c r="B6182" s="390"/>
      <c r="C6182" s="390"/>
      <c r="D6182" s="391"/>
      <c r="E6182" s="390"/>
      <c r="F6182" s="391"/>
      <c r="G6182" s="390"/>
      <c r="H6182" s="394"/>
    </row>
    <row r="6183" spans="1:8" ht="15.75" customHeight="1" x14ac:dyDescent="0.25">
      <c r="A6183" s="390"/>
      <c r="B6183" s="390"/>
      <c r="C6183" s="390"/>
      <c r="D6183" s="391"/>
      <c r="E6183" s="390"/>
      <c r="F6183" s="391"/>
      <c r="G6183" s="390"/>
      <c r="H6183" s="394"/>
    </row>
    <row r="6184" spans="1:8" ht="15.75" customHeight="1" x14ac:dyDescent="0.25">
      <c r="A6184" s="390" t="s">
        <v>31</v>
      </c>
      <c r="B6184" s="390"/>
      <c r="C6184" s="390"/>
      <c r="D6184" s="391"/>
      <c r="E6184" s="390"/>
      <c r="F6184" s="391"/>
      <c r="G6184" s="390"/>
      <c r="H6184" s="394"/>
    </row>
    <row r="6185" spans="1:8" ht="15.75" customHeight="1" x14ac:dyDescent="0.25">
      <c r="A6185" s="390" t="s">
        <v>32</v>
      </c>
      <c r="B6185" s="390"/>
      <c r="C6185" s="390"/>
      <c r="D6185" s="391"/>
      <c r="E6185" s="390"/>
      <c r="F6185" s="391"/>
      <c r="G6185" s="390"/>
      <c r="H6185" s="394"/>
    </row>
    <row r="6186" spans="1:8" ht="15.75" customHeight="1" x14ac:dyDescent="0.25">
      <c r="A6186" s="390"/>
      <c r="B6186" s="390"/>
      <c r="C6186" s="390"/>
      <c r="D6186" s="391"/>
      <c r="E6186" s="390"/>
      <c r="F6186" s="391"/>
      <c r="G6186" s="390"/>
      <c r="H6186" s="394"/>
    </row>
    <row r="6187" spans="1:8" ht="15.75" customHeight="1" x14ac:dyDescent="0.25">
      <c r="A6187" s="399" t="s">
        <v>33</v>
      </c>
      <c r="B6187" s="400" t="s">
        <v>6</v>
      </c>
      <c r="C6187" s="400"/>
      <c r="D6187" s="401" t="s">
        <v>37</v>
      </c>
      <c r="E6187" s="402" t="s">
        <v>38</v>
      </c>
      <c r="F6187" s="403" t="s">
        <v>7</v>
      </c>
      <c r="G6187" s="404" t="s">
        <v>43</v>
      </c>
      <c r="H6187" s="405" t="s">
        <v>44</v>
      </c>
    </row>
    <row r="6188" spans="1:8" ht="15.75" customHeight="1" x14ac:dyDescent="0.25">
      <c r="A6188" s="406"/>
      <c r="B6188" s="407"/>
      <c r="C6188" s="393"/>
      <c r="D6188" s="408"/>
      <c r="E6188" s="408"/>
      <c r="F6188" s="409"/>
      <c r="G6188" s="410"/>
      <c r="H6188" s="411"/>
    </row>
    <row r="6189" spans="1:8" ht="15.75" customHeight="1" x14ac:dyDescent="0.25">
      <c r="A6189" s="556"/>
      <c r="B6189" s="557" t="s">
        <v>674</v>
      </c>
      <c r="C6189" s="558"/>
      <c r="D6189" s="408"/>
      <c r="E6189" s="408"/>
      <c r="F6189" s="398"/>
      <c r="G6189" s="408"/>
      <c r="H6189" s="559"/>
    </row>
    <row r="6190" spans="1:8" ht="15.75" customHeight="1" x14ac:dyDescent="0.25">
      <c r="A6190" s="425" t="s">
        <v>55</v>
      </c>
      <c r="B6190" s="448" t="s">
        <v>239</v>
      </c>
      <c r="C6190" s="507" t="s">
        <v>445</v>
      </c>
      <c r="D6190" s="427">
        <v>4</v>
      </c>
      <c r="E6190" s="427">
        <v>2</v>
      </c>
      <c r="F6190" s="391">
        <f t="shared" ref="F6190:F6192" si="180">+E6190*D6190</f>
      </c>
      <c r="G6190" s="427">
        <v>1</v>
      </c>
      <c r="H6190" s="429">
        <f t="shared" ref="H6190:H6191" si="181">+G6190*F6190</f>
      </c>
    </row>
    <row r="6191" spans="1:8" ht="15.75" customHeight="1" x14ac:dyDescent="0.25">
      <c r="A6191" s="425" t="s">
        <v>59</v>
      </c>
      <c r="B6191" s="448" t="s">
        <v>1076</v>
      </c>
      <c r="C6191" s="451" t="s">
        <v>1164</v>
      </c>
      <c r="D6191" s="427">
        <v>20</v>
      </c>
      <c r="E6191" s="427">
        <v>1</v>
      </c>
      <c r="F6191" s="391">
        <f t="shared" si="180"/>
      </c>
      <c r="G6191" s="427">
        <v>1</v>
      </c>
      <c r="H6191" s="429">
        <f t="shared" si="181"/>
      </c>
    </row>
    <row r="6192" spans="1:8" ht="15.75" customHeight="1" x14ac:dyDescent="0.25">
      <c r="A6192" s="425"/>
      <c r="B6192" s="448" t="s">
        <v>1447</v>
      </c>
      <c r="C6192" s="451"/>
      <c r="D6192" s="427">
        <v>2</v>
      </c>
      <c r="E6192" s="427">
        <v>10</v>
      </c>
      <c r="F6192" s="391">
        <f t="shared" si="180"/>
      </c>
      <c r="G6192" s="711" t="s">
        <v>1865</v>
      </c>
      <c r="H6192" s="429"/>
    </row>
    <row r="6193" spans="1:8" ht="15.75" customHeight="1" x14ac:dyDescent="0.25">
      <c r="A6193" s="425"/>
      <c r="B6193" s="557" t="s">
        <v>50</v>
      </c>
      <c r="C6193" s="558"/>
      <c r="D6193" s="427"/>
      <c r="E6193" s="427"/>
      <c r="F6193" s="391"/>
      <c r="G6193" s="711"/>
      <c r="H6193" s="429"/>
    </row>
    <row r="6194" spans="1:8" ht="15.75" customHeight="1" x14ac:dyDescent="0.25">
      <c r="A6194" s="425" t="s">
        <v>67</v>
      </c>
      <c r="B6194" s="448" t="s">
        <v>145</v>
      </c>
      <c r="C6194" s="451" t="s">
        <v>383</v>
      </c>
      <c r="D6194" s="427">
        <v>1</v>
      </c>
      <c r="E6194" s="427">
        <v>25</v>
      </c>
      <c r="F6194" s="391">
        <f t="shared" ref="F6194:F6196" si="182">+E6194*D6194</f>
      </c>
      <c r="G6194" s="712">
        <v>1</v>
      </c>
      <c r="H6194" s="429">
        <f t="shared" ref="H6194:H6196" si="183">+G6194*F6194</f>
      </c>
    </row>
    <row r="6195" spans="1:8" ht="15.75" customHeight="1" x14ac:dyDescent="0.25">
      <c r="A6195" s="425" t="s">
        <v>485</v>
      </c>
      <c r="B6195" s="448" t="s">
        <v>126</v>
      </c>
      <c r="C6195" s="451" t="s">
        <v>434</v>
      </c>
      <c r="D6195" s="427">
        <v>1</v>
      </c>
      <c r="E6195" s="427">
        <v>25</v>
      </c>
      <c r="F6195" s="391">
        <f t="shared" si="182"/>
      </c>
      <c r="G6195" s="712">
        <v>1</v>
      </c>
      <c r="H6195" s="429">
        <f t="shared" si="183"/>
      </c>
    </row>
    <row r="6196" spans="1:8" ht="15.75" customHeight="1" x14ac:dyDescent="0.25">
      <c r="A6196" s="425" t="s">
        <v>486</v>
      </c>
      <c r="B6196" s="448" t="s">
        <v>295</v>
      </c>
      <c r="C6196" s="451" t="s">
        <v>424</v>
      </c>
      <c r="D6196" s="427">
        <v>1</v>
      </c>
      <c r="E6196" s="427">
        <v>25</v>
      </c>
      <c r="F6196" s="391">
        <f t="shared" si="182"/>
      </c>
      <c r="G6196" s="712">
        <v>1</v>
      </c>
      <c r="H6196" s="429">
        <f t="shared" si="183"/>
      </c>
    </row>
    <row r="6197" spans="1:8" ht="15.75" customHeight="1" x14ac:dyDescent="0.25">
      <c r="A6197" s="425"/>
      <c r="B6197" s="557" t="s">
        <v>590</v>
      </c>
      <c r="C6197" s="558"/>
      <c r="D6197" s="427"/>
      <c r="E6197" s="427"/>
      <c r="F6197" s="391"/>
      <c r="G6197" s="427"/>
      <c r="H6197" s="429"/>
    </row>
    <row r="6198" spans="1:8" ht="15.75" customHeight="1" x14ac:dyDescent="0.25">
      <c r="A6198" s="425" t="s">
        <v>489</v>
      </c>
      <c r="B6198" s="448" t="s">
        <v>136</v>
      </c>
      <c r="C6198" s="451" t="s">
        <v>387</v>
      </c>
      <c r="D6198" s="427">
        <v>1</v>
      </c>
      <c r="E6198" s="427">
        <v>6</v>
      </c>
      <c r="F6198" s="391">
        <f>+E6198*D6198</f>
      </c>
      <c r="G6198" s="427">
        <v>1</v>
      </c>
      <c r="H6198" s="429">
        <f>+G6198*F6198</f>
      </c>
    </row>
    <row r="6199" spans="1:8" ht="15.75" customHeight="1" x14ac:dyDescent="0.25">
      <c r="A6199" s="425"/>
      <c r="B6199" s="557" t="s">
        <v>1356</v>
      </c>
      <c r="C6199" s="558"/>
      <c r="D6199" s="427"/>
      <c r="E6199" s="427"/>
      <c r="F6199" s="391"/>
      <c r="G6199" s="427"/>
      <c r="H6199" s="429"/>
    </row>
    <row r="6200" spans="1:8" ht="15.75" customHeight="1" x14ac:dyDescent="0.25">
      <c r="A6200" s="425" t="s">
        <v>490</v>
      </c>
      <c r="B6200" s="448" t="s">
        <v>315</v>
      </c>
      <c r="C6200" s="451" t="s">
        <v>298</v>
      </c>
      <c r="D6200" s="427">
        <v>2</v>
      </c>
      <c r="E6200" s="427">
        <v>5</v>
      </c>
      <c r="F6200" s="391">
        <f t="shared" ref="F6200:F6201" si="184">+E6200*D6200</f>
      </c>
      <c r="G6200" s="427">
        <v>1</v>
      </c>
      <c r="H6200" s="429">
        <f t="shared" ref="H6200:H6201" si="185">+G6200*F6200</f>
      </c>
    </row>
    <row r="6201" spans="1:8" ht="15.75" customHeight="1" x14ac:dyDescent="0.25">
      <c r="A6201" s="425" t="s">
        <v>781</v>
      </c>
      <c r="B6201" s="448" t="s">
        <v>126</v>
      </c>
      <c r="C6201" s="451" t="s">
        <v>325</v>
      </c>
      <c r="D6201" s="427">
        <v>1</v>
      </c>
      <c r="E6201" s="427">
        <v>5</v>
      </c>
      <c r="F6201" s="391">
        <f t="shared" si="184"/>
      </c>
      <c r="G6201" s="427">
        <v>1</v>
      </c>
      <c r="H6201" s="429">
        <f t="shared" si="185"/>
      </c>
    </row>
    <row r="6202" spans="1:8" ht="15.75" customHeight="1" x14ac:dyDescent="0.25">
      <c r="A6202" s="425"/>
      <c r="B6202" s="557"/>
      <c r="C6202" s="558"/>
      <c r="D6202" s="427"/>
      <c r="E6202" s="427"/>
      <c r="F6202" s="391"/>
      <c r="G6202" s="427"/>
      <c r="H6202" s="429"/>
    </row>
    <row r="6203" spans="1:8" ht="15.75" customHeight="1" x14ac:dyDescent="0.25">
      <c r="A6203" s="502"/>
      <c r="B6203" s="503"/>
      <c r="C6203" s="390"/>
      <c r="D6203" s="427"/>
      <c r="E6203" s="427"/>
      <c r="F6203" s="391"/>
      <c r="G6203" s="427"/>
      <c r="H6203" s="429"/>
    </row>
    <row r="6204" spans="1:8" ht="15.75" customHeight="1" x14ac:dyDescent="0.25">
      <c r="A6204" s="502"/>
      <c r="B6204" s="503"/>
      <c r="C6204" s="390"/>
      <c r="D6204" s="427"/>
      <c r="E6204" s="427"/>
      <c r="F6204" s="391"/>
      <c r="G6204" s="427"/>
      <c r="H6204" s="429"/>
    </row>
    <row r="6205" spans="1:8" ht="15.75" customHeight="1" x14ac:dyDescent="0.25">
      <c r="A6205" s="502"/>
      <c r="B6205" s="503"/>
      <c r="C6205" s="390"/>
      <c r="D6205" s="427"/>
      <c r="E6205" s="427"/>
      <c r="F6205" s="391"/>
      <c r="G6205" s="427"/>
      <c r="H6205" s="429"/>
    </row>
    <row r="6206" spans="1:8" ht="15.75" customHeight="1" x14ac:dyDescent="0.25">
      <c r="A6206" s="502"/>
      <c r="B6206" s="503"/>
      <c r="C6206" s="390"/>
      <c r="D6206" s="427"/>
      <c r="E6206" s="427"/>
      <c r="F6206" s="391"/>
      <c r="G6206" s="427"/>
      <c r="H6206" s="429"/>
    </row>
    <row r="6207" spans="1:8" ht="15.75" customHeight="1" x14ac:dyDescent="0.25">
      <c r="A6207" s="432"/>
      <c r="B6207" s="433"/>
      <c r="C6207" s="434" t="s">
        <v>85</v>
      </c>
      <c r="D6207" s="435">
        <f>SUM(D6190:D6206)</f>
      </c>
      <c r="E6207" s="435"/>
      <c r="F6207" s="436"/>
      <c r="G6207" s="437"/>
      <c r="H6207" s="438">
        <f>SUM(H6190:H6206)</f>
      </c>
    </row>
    <row r="6208" spans="1:8" ht="15.75" customHeight="1" x14ac:dyDescent="0.25">
      <c r="A6208" s="439"/>
      <c r="B6208" s="440"/>
      <c r="C6208" s="440"/>
      <c r="D6208" s="441"/>
      <c r="E6208" s="440"/>
      <c r="F6208" s="442"/>
      <c r="G6208" s="443"/>
      <c r="H6208" s="444"/>
    </row>
    <row r="6209" spans="1:8" ht="15.75" customHeight="1" x14ac:dyDescent="0.25">
      <c r="A6209" s="565" t="s">
        <v>1215</v>
      </c>
      <c r="B6209" s="565"/>
      <c r="C6209" s="565"/>
      <c r="D6209" s="565"/>
      <c r="E6209" s="565"/>
      <c r="F6209" s="565"/>
      <c r="G6209" s="565"/>
      <c r="H6209" s="565"/>
    </row>
    <row r="6210" spans="1:8" ht="15.75" customHeight="1" x14ac:dyDescent="0.25">
      <c r="A6210" s="445"/>
      <c r="B6210" s="445"/>
      <c r="C6210" s="445"/>
      <c r="D6210" s="446" t="s">
        <v>97</v>
      </c>
      <c r="E6210" s="445" t="s">
        <v>98</v>
      </c>
      <c r="F6210" s="445"/>
      <c r="G6210" s="390"/>
      <c r="H6210" s="394"/>
    </row>
    <row r="6211" spans="1:8" ht="15.75" customHeight="1" x14ac:dyDescent="0.25">
      <c r="A6211" s="390"/>
      <c r="B6211" s="390"/>
      <c r="C6211" s="390"/>
      <c r="D6211" s="391"/>
      <c r="E6211" s="390"/>
      <c r="F6211" s="390"/>
      <c r="G6211" s="390"/>
      <c r="H6211" s="394"/>
    </row>
    <row r="6212" spans="1:8" ht="15.75" customHeight="1" x14ac:dyDescent="0.25">
      <c r="A6212" s="390"/>
      <c r="B6212" s="390"/>
      <c r="C6212" s="390"/>
      <c r="D6212" s="391"/>
      <c r="E6212" s="390"/>
      <c r="F6212" s="390"/>
      <c r="G6212" s="390"/>
      <c r="H6212" s="394"/>
    </row>
    <row r="6213" spans="1:8" ht="15.75" customHeight="1" x14ac:dyDescent="0.25">
      <c r="A6213" s="445"/>
      <c r="B6213" s="445"/>
      <c r="C6213" s="445"/>
      <c r="D6213" s="446"/>
      <c r="E6213" s="445" t="s">
        <v>99</v>
      </c>
      <c r="F6213" s="445"/>
      <c r="G6213" s="390"/>
      <c r="H6213" s="394"/>
    </row>
    <row r="6214" spans="1:8" ht="15.75" customHeight="1" x14ac:dyDescent="0.25">
      <c r="D6214" s="4"/>
      <c r="H6214" s="4"/>
    </row>
    <row r="6215" spans="1:8" ht="15.75" customHeight="1" x14ac:dyDescent="0.25">
      <c r="D6215" s="4"/>
      <c r="H6215" s="4"/>
    </row>
    <row r="6216" spans="1:8" ht="15.75" customHeight="1" x14ac:dyDescent="0.25">
      <c r="D6216" s="4"/>
      <c r="H6216" s="4"/>
    </row>
    <row r="6217" spans="1:8" ht="15.75" customHeight="1" x14ac:dyDescent="0.25">
      <c r="D6217" s="4"/>
      <c r="H6217" s="4"/>
    </row>
    <row r="6218" spans="1:8" ht="15.75" customHeight="1" x14ac:dyDescent="0.25">
      <c r="D6218" s="4"/>
      <c r="H6218" s="4"/>
    </row>
    <row r="6219" spans="1:8" ht="15.75" customHeight="1" x14ac:dyDescent="0.25">
      <c r="D6219" s="4"/>
      <c r="H6219" s="4"/>
    </row>
    <row r="6220" spans="1:8" ht="15.75" customHeight="1" x14ac:dyDescent="0.25">
      <c r="D6220" s="4"/>
      <c r="H6220" s="4"/>
    </row>
    <row r="6221" spans="1:8" ht="15.75" customHeight="1" x14ac:dyDescent="0.25">
      <c r="D6221" s="4"/>
      <c r="H6221" s="4"/>
    </row>
    <row r="6222" spans="1:8" ht="15.75" customHeight="1" x14ac:dyDescent="0.25">
      <c r="D6222" s="4"/>
      <c r="H6222" s="4"/>
    </row>
    <row r="6223" spans="1:8" ht="15.75" customHeight="1" x14ac:dyDescent="0.25">
      <c r="A6223" s="392" t="s">
        <v>14</v>
      </c>
      <c r="B6223" s="391"/>
      <c r="C6223" s="391"/>
      <c r="D6223" s="391"/>
      <c r="E6223" s="391"/>
      <c r="F6223" s="391"/>
      <c r="G6223" s="391"/>
      <c r="H6223" s="394"/>
    </row>
    <row r="6224" spans="1:8" ht="15.75" customHeight="1" x14ac:dyDescent="0.25">
      <c r="A6224" s="392"/>
      <c r="B6224" s="391"/>
      <c r="C6224" s="391"/>
      <c r="D6224" s="391"/>
      <c r="E6224" s="390"/>
      <c r="F6224" s="392"/>
      <c r="G6224" s="390"/>
      <c r="H6224" s="394"/>
    </row>
    <row r="6225" spans="1:8" ht="15.75" customHeight="1" x14ac:dyDescent="0.25">
      <c r="A6225" s="392"/>
      <c r="B6225" s="391"/>
      <c r="C6225" s="391"/>
      <c r="D6225" s="391"/>
      <c r="E6225" s="390"/>
      <c r="F6225" s="392"/>
      <c r="G6225" s="390"/>
      <c r="H6225" s="394"/>
    </row>
    <row r="6226" spans="1:8" ht="15.75" customHeight="1" x14ac:dyDescent="0.25">
      <c r="A6226" s="390" t="s">
        <v>20</v>
      </c>
      <c r="B6226" s="390"/>
      <c r="C6226" s="390"/>
      <c r="D6226" s="391"/>
      <c r="E6226" s="390"/>
      <c r="F6226" s="392"/>
      <c r="G6226" s="390"/>
      <c r="H6226" s="394"/>
    </row>
    <row r="6227" spans="1:8" ht="15.75" customHeight="1" x14ac:dyDescent="0.25">
      <c r="A6227" s="390" t="inlineStr">
        <is>
          <t>Dealer-013</t>
        </is>
      </c>
      <c r="B6227" s="390"/>
      <c r="C6227" s="390" t="inlineStr">
        <is>
          <t>ATTN: Contact-003</t>
        </is>
      </c>
      <c r="D6227" s="391"/>
      <c r="E6227" s="390"/>
      <c r="F6227" s="395" t="s">
        <v>18</v>
      </c>
      <c r="G6227" s="390" t="s">
        <v>843</v>
      </c>
      <c r="H6227" s="394"/>
    </row>
    <row r="6228" spans="1:8" ht="15.75" customHeight="1" x14ac:dyDescent="0.25">
      <c r="A6228" s="390" t="inlineStr">
        <is>
          <t>Address line (redacted)</t>
        </is>
      </c>
      <c r="B6228" s="390"/>
      <c r="C6228" s="390"/>
      <c r="D6228" s="391"/>
      <c r="E6228" s="390"/>
      <c r="F6228" s="393" t="s">
        <v>21</v>
      </c>
      <c r="G6228" s="390" t="s">
        <v>1721</v>
      </c>
      <c r="H6228" s="394"/>
    </row>
    <row r="6229" spans="1:8" ht="15.75" customHeight="1" x14ac:dyDescent="0.25">
      <c r="A6229" s="390" t="inlineStr">
        <is>
          <t>Address line (redacted)</t>
        </is>
      </c>
      <c r="B6229" s="390"/>
      <c r="C6229" s="390"/>
      <c r="D6229" s="391"/>
      <c r="E6229" s="390"/>
      <c r="F6229" s="391"/>
      <c r="G6229" s="390"/>
      <c r="H6229" s="394"/>
    </row>
    <row r="6230" spans="1:8" ht="15.75" customHeight="1" x14ac:dyDescent="0.25">
      <c r="A6230" s="390"/>
      <c r="B6230" s="390"/>
      <c r="C6230" s="393"/>
      <c r="D6230" s="391"/>
      <c r="E6230" s="390"/>
      <c r="F6230" s="391"/>
      <c r="G6230" s="390"/>
      <c r="H6230" s="394"/>
    </row>
    <row r="6231" spans="1:8" ht="15.75" customHeight="1" x14ac:dyDescent="0.25">
      <c r="A6231" s="390"/>
      <c r="B6231" s="390"/>
      <c r="C6231" s="390"/>
      <c r="D6231" s="391"/>
      <c r="E6231" s="390"/>
      <c r="F6231" s="391"/>
      <c r="G6231" s="390"/>
      <c r="H6231" s="394"/>
    </row>
    <row r="6232" spans="1:8" ht="15.75" customHeight="1" x14ac:dyDescent="0.25">
      <c r="A6232" s="390" t="s">
        <v>30</v>
      </c>
      <c r="B6232" s="390"/>
      <c r="C6232" s="390"/>
      <c r="D6232" s="391"/>
      <c r="E6232" s="390"/>
      <c r="F6232" s="391"/>
      <c r="G6232" s="390"/>
      <c r="H6232" s="394"/>
    </row>
    <row r="6233" spans="1:8" ht="15.75" customHeight="1" x14ac:dyDescent="0.25">
      <c r="A6233" s="390"/>
      <c r="B6233" s="390"/>
      <c r="C6233" s="390"/>
      <c r="D6233" s="391"/>
      <c r="E6233" s="390"/>
      <c r="F6233" s="391"/>
      <c r="G6233" s="390"/>
      <c r="H6233" s="394"/>
    </row>
    <row r="6234" spans="1:8" ht="15.75" customHeight="1" x14ac:dyDescent="0.25">
      <c r="A6234" s="390" t="s">
        <v>1322</v>
      </c>
      <c r="B6234" s="390"/>
      <c r="C6234" s="390"/>
      <c r="D6234" s="391"/>
      <c r="E6234" s="390"/>
      <c r="F6234" s="391"/>
      <c r="G6234" s="390"/>
      <c r="H6234" s="394"/>
    </row>
    <row r="6235" spans="1:8" ht="15.75" customHeight="1" x14ac:dyDescent="0.25">
      <c r="A6235" s="390" t="s">
        <v>1328</v>
      </c>
      <c r="B6235" s="390"/>
      <c r="C6235" s="390"/>
      <c r="D6235" s="391"/>
      <c r="E6235" s="390"/>
      <c r="F6235" s="391"/>
      <c r="G6235" s="390"/>
      <c r="H6235" s="394"/>
    </row>
    <row r="6236" spans="1:8" ht="15.75" customHeight="1" x14ac:dyDescent="0.25">
      <c r="A6236" s="390"/>
      <c r="B6236" s="390"/>
      <c r="C6236" s="390"/>
      <c r="D6236" s="391"/>
      <c r="E6236" s="390"/>
      <c r="F6236" s="391"/>
      <c r="G6236" s="390"/>
      <c r="H6236" s="394"/>
    </row>
    <row r="6237" spans="1:8" ht="15.75" customHeight="1" x14ac:dyDescent="0.25">
      <c r="A6237" s="399" t="s">
        <v>33</v>
      </c>
      <c r="B6237" s="400" t="s">
        <v>6</v>
      </c>
      <c r="C6237" s="400"/>
      <c r="D6237" s="401" t="s">
        <v>37</v>
      </c>
      <c r="E6237" s="402" t="s">
        <v>1309</v>
      </c>
      <c r="F6237" s="609" t="s">
        <v>7</v>
      </c>
      <c r="G6237" s="400" t="s">
        <v>43</v>
      </c>
      <c r="H6237" s="405" t="s">
        <v>44</v>
      </c>
    </row>
    <row r="6238" spans="1:8" ht="15.75" customHeight="1" x14ac:dyDescent="0.25">
      <c r="A6238" s="610"/>
      <c r="B6238" s="611"/>
      <c r="C6238" s="611"/>
      <c r="D6238" s="612"/>
      <c r="E6238" s="613"/>
      <c r="F6238" s="614"/>
      <c r="G6238" s="611"/>
      <c r="H6238" s="615"/>
    </row>
    <row r="6239" spans="1:8" ht="15.75" customHeight="1" x14ac:dyDescent="0.25">
      <c r="A6239" s="412"/>
      <c r="B6239" s="654" t="s">
        <v>1356</v>
      </c>
      <c r="C6239" s="654"/>
      <c r="D6239" s="415"/>
      <c r="E6239" s="415"/>
      <c r="F6239" s="415"/>
      <c r="G6239" s="415"/>
      <c r="H6239" s="416"/>
    </row>
    <row r="6240" spans="1:8" ht="15.75" customHeight="1" x14ac:dyDescent="0.25">
      <c r="A6240" s="581" t="s">
        <v>55</v>
      </c>
      <c r="B6240" s="582" t="s">
        <v>138</v>
      </c>
      <c r="C6240" s="582" t="s">
        <v>335</v>
      </c>
      <c r="D6240" s="415">
        <v>1</v>
      </c>
      <c r="E6240" s="415">
        <v>5</v>
      </c>
      <c r="F6240" s="415">
        <f>+E6240*D6240</f>
      </c>
      <c r="G6240" s="415">
        <v>1</v>
      </c>
      <c r="H6240" s="589">
        <f>+G6240*F6240</f>
      </c>
    </row>
    <row r="6241" spans="1:8" ht="15.75" customHeight="1" x14ac:dyDescent="0.25">
      <c r="A6241" s="581"/>
      <c r="B6241" s="582"/>
      <c r="C6241" s="582"/>
      <c r="D6241" s="415"/>
      <c r="E6241" s="415"/>
      <c r="F6241" s="415"/>
      <c r="G6241" s="415"/>
      <c r="H6241" s="589"/>
    </row>
    <row r="6242" spans="1:8" ht="15.75" customHeight="1" x14ac:dyDescent="0.25">
      <c r="A6242" s="430"/>
      <c r="B6242" s="409"/>
      <c r="C6242" s="393"/>
      <c r="D6242" s="427"/>
      <c r="E6242" s="427"/>
      <c r="F6242" s="428"/>
      <c r="G6242" s="427"/>
      <c r="H6242" s="429"/>
    </row>
    <row r="6243" spans="1:8" ht="15.75" customHeight="1" x14ac:dyDescent="0.25">
      <c r="A6243" s="432"/>
      <c r="B6243" s="433"/>
      <c r="C6243" s="434" t="s">
        <v>85</v>
      </c>
      <c r="D6243" s="659">
        <f>SUM(D6239:D6242)</f>
      </c>
      <c r="E6243" s="401"/>
      <c r="F6243" s="660"/>
      <c r="G6243" s="661"/>
      <c r="H6243" s="623">
        <f>SUM(H6239:H6242)</f>
      </c>
    </row>
    <row r="6244" spans="1:8" ht="15.75" customHeight="1" x14ac:dyDescent="0.25">
      <c r="A6244" s="439"/>
      <c r="B6244" s="440"/>
      <c r="C6244" s="440"/>
      <c r="D6244" s="441"/>
      <c r="E6244" s="440"/>
      <c r="F6244" s="442"/>
      <c r="G6244" s="443"/>
      <c r="H6244" s="444"/>
    </row>
    <row r="6245" spans="1:8" ht="15.75" customHeight="1" x14ac:dyDescent="0.25">
      <c r="A6245" s="392"/>
      <c r="B6245" s="391"/>
      <c r="C6245" s="391"/>
      <c r="D6245" s="391"/>
      <c r="E6245" s="390"/>
      <c r="F6245" s="392"/>
      <c r="G6245" s="390"/>
      <c r="H6245" s="394"/>
    </row>
    <row r="6246" spans="1:8" ht="15.75" customHeight="1" x14ac:dyDescent="0.25">
      <c r="A6246" s="445"/>
      <c r="B6246" s="445"/>
      <c r="C6246" s="445"/>
      <c r="D6246" s="446" t="s">
        <v>97</v>
      </c>
      <c r="E6246" s="445" t="s">
        <v>98</v>
      </c>
      <c r="F6246" s="445"/>
      <c r="G6246" s="390"/>
      <c r="H6246" s="394"/>
    </row>
    <row r="6247" spans="1:8" ht="15.75" customHeight="1" x14ac:dyDescent="0.25">
      <c r="A6247" s="390"/>
      <c r="B6247" s="390"/>
      <c r="C6247" s="390"/>
      <c r="D6247" s="391"/>
      <c r="E6247" s="390"/>
      <c r="F6247" s="390"/>
      <c r="G6247" s="390"/>
      <c r="H6247" s="394"/>
    </row>
    <row r="6248" spans="1:8" ht="15.75" customHeight="1" x14ac:dyDescent="0.25">
      <c r="A6248" s="390"/>
      <c r="B6248" s="390"/>
      <c r="C6248" s="390"/>
      <c r="D6248" s="391"/>
      <c r="E6248" s="390"/>
      <c r="F6248" s="390"/>
      <c r="G6248" s="390"/>
      <c r="H6248" s="394"/>
    </row>
    <row r="6249" spans="1:8" ht="15.75" customHeight="1" x14ac:dyDescent="0.25">
      <c r="A6249" s="445"/>
      <c r="B6249" s="445"/>
      <c r="C6249" s="445"/>
      <c r="D6249" s="446"/>
      <c r="E6249" s="445" t="s">
        <v>99</v>
      </c>
      <c r="F6249" s="445"/>
      <c r="G6249" s="390"/>
      <c r="H6249" s="394"/>
    </row>
    <row r="6250" spans="1:8" ht="15.75" customHeight="1" x14ac:dyDescent="0.25">
      <c r="D6250" s="4"/>
      <c r="H6250" s="4"/>
    </row>
    <row r="6251" spans="1:8" ht="15.75" customHeight="1" x14ac:dyDescent="0.25">
      <c r="D6251" s="4"/>
      <c r="H6251" s="4"/>
    </row>
    <row r="6252" spans="1:8" ht="15.75" customHeight="1" x14ac:dyDescent="0.25">
      <c r="D6252" s="4"/>
      <c r="H6252" s="4"/>
    </row>
    <row r="6253" spans="1:8" ht="15.75" customHeight="1" x14ac:dyDescent="0.25">
      <c r="D6253" s="4"/>
      <c r="H6253" s="4"/>
    </row>
    <row r="6254" spans="1:8" ht="15.75" customHeight="1" x14ac:dyDescent="0.25">
      <c r="D6254" s="4"/>
      <c r="H6254" s="4"/>
    </row>
    <row r="6255" spans="1:8" ht="15.75" customHeight="1" x14ac:dyDescent="0.25">
      <c r="D6255" s="4"/>
      <c r="H6255" s="4"/>
    </row>
    <row r="6256" spans="1:8" ht="15.75" customHeight="1" x14ac:dyDescent="0.25">
      <c r="D6256" s="4"/>
      <c r="H6256" s="4"/>
    </row>
    <row r="6257" spans="1:8" ht="15.75" customHeight="1" x14ac:dyDescent="0.25">
      <c r="D6257" s="4"/>
      <c r="H6257" s="4"/>
    </row>
    <row r="6258" spans="1:8" ht="15.75" customHeight="1" x14ac:dyDescent="0.25">
      <c r="D6258" s="4"/>
      <c r="H6258" s="4"/>
    </row>
    <row r="6259" spans="1:8" ht="15.75" customHeight="1" x14ac:dyDescent="0.25">
      <c r="D6259" s="4"/>
      <c r="H6259" s="4"/>
    </row>
    <row r="6260" spans="1:8" ht="15.75" customHeight="1" x14ac:dyDescent="0.25">
      <c r="D6260" s="4"/>
      <c r="H6260" s="4"/>
    </row>
    <row r="6261" spans="1:8" ht="15.75" customHeight="1" x14ac:dyDescent="0.25">
      <c r="D6261" s="4"/>
      <c r="H6261" s="4"/>
    </row>
    <row r="6262" spans="1:8" ht="15.75" customHeight="1" x14ac:dyDescent="0.25">
      <c r="D6262" s="4"/>
      <c r="H6262" s="4"/>
    </row>
    <row r="6263" spans="1:8" ht="15.75" customHeight="1" x14ac:dyDescent="0.25">
      <c r="D6263" s="4"/>
      <c r="H6263" s="4"/>
    </row>
    <row r="6264" spans="1:8" ht="15.75" customHeight="1" x14ac:dyDescent="0.25">
      <c r="D6264" s="4"/>
      <c r="H6264" s="4"/>
    </row>
    <row r="6265" spans="1:8" ht="15.75" customHeight="1" x14ac:dyDescent="0.25">
      <c r="A6265" s="103" t="s">
        <v>14</v>
      </c>
      <c r="B6265" s="103"/>
      <c r="C6265" s="103"/>
      <c r="D6265" s="103"/>
      <c r="E6265" s="103"/>
      <c r="F6265" s="103"/>
      <c r="G6265" s="103"/>
      <c r="H6265" s="103"/>
    </row>
    <row r="6266" spans="1:8" ht="15.75" customHeight="1" x14ac:dyDescent="0.25">
      <c r="D6266" s="4"/>
      <c r="H6266" s="8"/>
    </row>
    <row r="6267" spans="1:8" ht="15.75" customHeight="1" x14ac:dyDescent="0.25">
      <c r="A6267" s="15"/>
      <c r="B6267" s="15"/>
      <c r="C6267" s="16"/>
      <c r="D6267" s="17"/>
      <c r="E6267" s="18"/>
      <c r="F6267" s="18"/>
      <c r="G6267" s="18"/>
      <c r="H6267" s="19"/>
    </row>
    <row r="6268" spans="1:8" ht="15.75" customHeight="1" x14ac:dyDescent="0.3">
      <c r="A6268" s="25"/>
      <c r="B6268" s="25"/>
      <c r="C6268" s="25"/>
      <c r="D6268" s="26"/>
      <c r="E6268" s="25"/>
      <c r="F6268" s="22" t="s">
        <v>18</v>
      </c>
      <c r="G6268" s="23" t="s">
        <v>843</v>
      </c>
      <c r="H6268" s="24"/>
    </row>
    <row r="6269" spans="1:8" ht="15.75" customHeight="1" x14ac:dyDescent="0.3">
      <c r="A6269" s="25" t="s">
        <v>20</v>
      </c>
      <c r="B6269" s="25"/>
      <c r="C6269" s="25"/>
      <c r="D6269" s="26"/>
      <c r="E6269" s="25"/>
      <c r="F6269" s="22" t="s">
        <v>21</v>
      </c>
      <c r="G6269" s="25" t="s">
        <v>1722</v>
      </c>
      <c r="H6269" s="26"/>
    </row>
    <row r="6270" spans="1:8" ht="15.75" customHeight="1" x14ac:dyDescent="0.3">
      <c r="A6270" s="25" t="inlineStr">
        <is>
          <t>Dealer-003</t>
        </is>
      </c>
      <c r="B6270" s="25"/>
      <c r="C6270" s="25"/>
      <c r="D6270" s="26"/>
      <c r="E6270" s="22"/>
      <c r="F6270" s="25"/>
      <c r="G6270" s="25"/>
      <c r="H6270" s="106"/>
    </row>
    <row r="6271" spans="1:8" ht="15.75" customHeight="1" x14ac:dyDescent="0.3">
      <c r="A6271" s="25" t="inlineStr">
        <is>
          <t>Address line (redacted)</t>
        </is>
      </c>
      <c r="B6271" s="25"/>
      <c r="C6271" s="25"/>
      <c r="D6271" s="109"/>
      <c r="E6271" s="25"/>
      <c r="F6271" s="26"/>
      <c r="G6271" s="25"/>
      <c r="H6271" s="106"/>
    </row>
    <row r="6272" spans="1:8" ht="15.75" customHeight="1" x14ac:dyDescent="0.3">
      <c r="A6272" s="25" t="inlineStr">
        <is>
          <t>Address line (redacted)</t>
        </is>
      </c>
      <c r="B6272" s="25"/>
      <c r="C6272" s="25"/>
      <c r="D6272" s="109"/>
      <c r="E6272" s="25"/>
      <c r="F6272" s="26"/>
      <c r="G6272" s="25"/>
      <c r="H6272" s="106"/>
    </row>
    <row r="6273" spans="1:8" ht="15.75" customHeight="1" x14ac:dyDescent="0.3">
      <c r="A6273" s="114"/>
      <c r="B6273" s="25"/>
      <c r="C6273" s="25"/>
      <c r="D6273" s="26"/>
      <c r="E6273" s="25"/>
      <c r="F6273" s="26"/>
      <c r="G6273" s="25"/>
      <c r="H6273" s="106"/>
    </row>
    <row r="6274" spans="1:8" ht="15.75" customHeight="1" x14ac:dyDescent="0.3">
      <c r="A6274" s="25" t="s">
        <v>30</v>
      </c>
      <c r="B6274" s="25"/>
      <c r="C6274" s="25"/>
      <c r="D6274" s="26"/>
      <c r="E6274" s="25"/>
      <c r="F6274" s="26"/>
      <c r="G6274" s="25"/>
      <c r="H6274" s="106"/>
    </row>
    <row r="6275" spans="1:8" ht="15.75" customHeight="1" x14ac:dyDescent="0.3">
      <c r="A6275" s="25"/>
      <c r="B6275" s="25"/>
      <c r="C6275" s="25"/>
      <c r="D6275" s="26"/>
      <c r="E6275" s="25"/>
      <c r="F6275" s="26"/>
      <c r="G6275" s="25"/>
      <c r="H6275" s="106"/>
    </row>
    <row r="6276" spans="1:8" ht="15.75" customHeight="1" x14ac:dyDescent="0.3">
      <c r="A6276" s="25" t="s">
        <v>31</v>
      </c>
      <c r="B6276" s="25"/>
      <c r="C6276" s="25"/>
      <c r="D6276" s="26"/>
      <c r="E6276" s="25"/>
      <c r="F6276" s="26"/>
      <c r="G6276" s="25"/>
      <c r="H6276" s="106"/>
    </row>
    <row r="6277" spans="1:8" ht="15.75" customHeight="1" x14ac:dyDescent="0.3">
      <c r="A6277" s="25" t="s">
        <v>32</v>
      </c>
      <c r="B6277" s="25"/>
      <c r="C6277" s="25"/>
      <c r="D6277" s="26"/>
      <c r="E6277" s="25"/>
      <c r="F6277" s="26"/>
      <c r="G6277" s="25"/>
      <c r="H6277" s="106"/>
    </row>
    <row r="6278" spans="1:8" ht="15.75" customHeight="1" x14ac:dyDescent="0.3">
      <c r="A6278" s="25"/>
      <c r="B6278" s="25"/>
      <c r="C6278" s="25"/>
      <c r="D6278" s="26"/>
      <c r="E6278" s="25"/>
      <c r="F6278" s="26"/>
      <c r="G6278" s="25"/>
      <c r="H6278" s="106"/>
    </row>
    <row r="6279" spans="1:8" ht="15.75" customHeight="1" x14ac:dyDescent="0.3">
      <c r="A6279" s="118" t="s">
        <v>33</v>
      </c>
      <c r="B6279" s="121" t="s">
        <v>6</v>
      </c>
      <c r="C6279" s="121"/>
      <c r="D6279" s="123" t="s">
        <v>37</v>
      </c>
      <c r="E6279" s="125" t="s">
        <v>38</v>
      </c>
      <c r="F6279" s="127" t="s">
        <v>7</v>
      </c>
      <c r="G6279" s="129" t="s">
        <v>43</v>
      </c>
      <c r="H6279" s="130" t="s">
        <v>44</v>
      </c>
    </row>
    <row r="6280" spans="1:8" ht="15.75" customHeight="1" x14ac:dyDescent="0.3">
      <c r="A6280" s="133"/>
      <c r="B6280" s="135"/>
      <c r="C6280" s="136"/>
      <c r="D6280" s="138"/>
      <c r="E6280" s="138"/>
      <c r="F6280" s="139"/>
      <c r="G6280" s="141"/>
      <c r="H6280" s="143"/>
    </row>
    <row r="6281" spans="1:8" ht="15.75" customHeight="1" x14ac:dyDescent="0.3">
      <c r="A6281" s="145"/>
      <c r="B6281" s="162" t="s">
        <v>51</v>
      </c>
      <c r="C6281" s="163"/>
      <c r="D6281" s="149"/>
      <c r="E6281" s="149"/>
      <c r="F6281" s="26"/>
      <c r="G6281" s="149"/>
      <c r="H6281" s="151"/>
    </row>
    <row r="6282" spans="1:8" ht="15.75" customHeight="1" x14ac:dyDescent="0.3">
      <c r="A6282" s="145" t="s">
        <v>55</v>
      </c>
      <c r="B6282" s="164" t="s">
        <v>76</v>
      </c>
      <c r="C6282" s="153" t="s">
        <v>376</v>
      </c>
      <c r="D6282" s="149">
        <v>5</v>
      </c>
      <c r="E6282" s="149">
        <v>6</v>
      </c>
      <c r="F6282" s="26">
        <f>+E6282*D6282</f>
      </c>
      <c r="G6282" s="149">
        <v>1</v>
      </c>
      <c r="H6282" s="151">
        <f>+G6282*F6282</f>
      </c>
    </row>
    <row r="6283" spans="1:8" ht="15.75" customHeight="1" x14ac:dyDescent="0.3">
      <c r="A6283" s="145"/>
      <c r="B6283" s="174"/>
      <c r="C6283" s="25"/>
      <c r="D6283" s="149"/>
      <c r="E6283" s="149"/>
      <c r="F6283" s="26"/>
      <c r="G6283" s="149"/>
      <c r="H6283" s="151"/>
    </row>
    <row r="6284" spans="1:8" ht="15.75" customHeight="1" x14ac:dyDescent="0.3">
      <c r="A6284" s="145"/>
      <c r="B6284" s="174"/>
      <c r="C6284" s="25"/>
      <c r="D6284" s="149"/>
      <c r="E6284" s="149"/>
      <c r="F6284" s="26"/>
      <c r="G6284" s="149"/>
      <c r="H6284" s="151"/>
    </row>
    <row r="6285" spans="1:8" ht="15.75" customHeight="1" x14ac:dyDescent="0.3">
      <c r="A6285" s="145"/>
      <c r="B6285" s="174"/>
      <c r="C6285" s="25"/>
      <c r="D6285" s="149"/>
      <c r="E6285" s="149"/>
      <c r="F6285" s="26"/>
      <c r="G6285" s="149"/>
      <c r="H6285" s="151"/>
    </row>
    <row r="6286" spans="1:8" ht="15.75" customHeight="1" x14ac:dyDescent="0.3">
      <c r="A6286" s="145"/>
      <c r="B6286" s="174"/>
      <c r="C6286" s="25"/>
      <c r="D6286" s="149"/>
      <c r="E6286" s="149"/>
      <c r="F6286" s="26"/>
      <c r="G6286" s="149"/>
      <c r="H6286" s="151"/>
    </row>
    <row r="6287" spans="1:8" ht="15.75" customHeight="1" x14ac:dyDescent="0.3">
      <c r="A6287" s="145"/>
      <c r="B6287" s="174"/>
      <c r="C6287" s="25"/>
      <c r="D6287" s="149"/>
      <c r="E6287" s="149"/>
      <c r="F6287" s="26"/>
      <c r="G6287" s="149"/>
      <c r="H6287" s="151"/>
    </row>
    <row r="6288" spans="1:8" ht="15.75" customHeight="1" x14ac:dyDescent="0.3">
      <c r="A6288" s="145"/>
      <c r="B6288" s="174"/>
      <c r="C6288" s="25"/>
      <c r="D6288" s="149"/>
      <c r="E6288" s="149"/>
      <c r="F6288" s="26"/>
      <c r="G6288" s="149"/>
      <c r="H6288" s="151"/>
    </row>
    <row r="6289" spans="1:8" ht="15.75" customHeight="1" x14ac:dyDescent="0.3">
      <c r="A6289" s="177"/>
      <c r="B6289" s="139"/>
      <c r="C6289" s="136"/>
      <c r="D6289" s="149"/>
      <c r="E6289" s="149"/>
      <c r="F6289" s="179"/>
      <c r="G6289" s="181"/>
      <c r="H6289" s="151"/>
    </row>
    <row r="6290" spans="1:8" ht="15.75" customHeight="1" x14ac:dyDescent="0.3">
      <c r="A6290" s="183"/>
      <c r="B6290" s="184"/>
      <c r="C6290" s="185" t="s">
        <v>85</v>
      </c>
      <c r="D6290" s="186">
        <f>SUM(D6281:D6289)</f>
      </c>
      <c r="E6290" s="186"/>
      <c r="F6290" s="187"/>
      <c r="G6290" s="188"/>
      <c r="H6290" s="189">
        <f>SUM(H6281:H6289)</f>
      </c>
    </row>
    <row r="6291" spans="1:8" ht="15.75" customHeight="1" x14ac:dyDescent="0.3">
      <c r="A6291" s="190"/>
      <c r="B6291" s="191"/>
      <c r="C6291" s="191"/>
      <c r="D6291" s="192"/>
      <c r="E6291" s="191"/>
      <c r="F6291" s="193"/>
      <c r="G6291" s="194"/>
      <c r="H6291" s="195"/>
    </row>
    <row r="6292" spans="1:8" ht="15.75" customHeight="1" x14ac:dyDescent="0.3">
      <c r="A6292" s="196"/>
      <c r="B6292" s="26"/>
      <c r="C6292" s="26"/>
      <c r="D6292" s="26"/>
      <c r="E6292" s="25"/>
      <c r="F6292" s="196"/>
      <c r="G6292" s="25"/>
      <c r="H6292" s="106"/>
    </row>
    <row r="6293" spans="1:8" ht="15.75" customHeight="1" x14ac:dyDescent="0.3">
      <c r="A6293" s="197"/>
      <c r="B6293" s="197"/>
      <c r="C6293" s="197"/>
      <c r="D6293" s="198" t="s">
        <v>97</v>
      </c>
      <c r="E6293" s="197" t="s">
        <v>98</v>
      </c>
      <c r="F6293" s="197"/>
      <c r="G6293" s="25"/>
      <c r="H6293" s="106"/>
    </row>
    <row r="6294" spans="1:8" ht="15.75" customHeight="1" x14ac:dyDescent="0.3">
      <c r="A6294" s="25"/>
      <c r="B6294" s="25"/>
      <c r="C6294" s="25"/>
      <c r="D6294" s="26"/>
      <c r="E6294" s="25"/>
      <c r="F6294" s="25"/>
      <c r="G6294" s="25"/>
      <c r="H6294" s="106"/>
    </row>
    <row r="6295" spans="1:8" ht="15.75" customHeight="1" x14ac:dyDescent="0.3">
      <c r="A6295" s="25"/>
      <c r="B6295" s="25"/>
      <c r="C6295" s="25"/>
      <c r="D6295" s="26"/>
      <c r="E6295" s="25"/>
      <c r="F6295" s="25"/>
      <c r="G6295" s="25"/>
      <c r="H6295" s="106"/>
    </row>
    <row r="6296" spans="1:8" ht="15.75" customHeight="1" x14ac:dyDescent="0.3">
      <c r="A6296" s="197"/>
      <c r="B6296" s="197"/>
      <c r="C6296" s="197"/>
      <c r="D6296" s="198"/>
      <c r="E6296" s="197" t="s">
        <v>99</v>
      </c>
      <c r="F6296" s="197"/>
      <c r="G6296" s="25"/>
      <c r="H6296" s="106"/>
    </row>
    <row r="6297" spans="1:8" ht="15.75" customHeight="1" x14ac:dyDescent="0.25">
      <c r="D6297" s="4"/>
      <c r="H6297" s="4"/>
    </row>
    <row r="6298" spans="1:8" ht="15.75" customHeight="1" x14ac:dyDescent="0.25">
      <c r="D6298" s="4"/>
      <c r="H6298" s="4"/>
    </row>
    <row r="6299" spans="1:8" ht="15.75" customHeight="1" x14ac:dyDescent="0.25">
      <c r="D6299" s="4"/>
      <c r="H6299" s="4"/>
    </row>
    <row r="6300" spans="1:8" ht="15.75" customHeight="1" x14ac:dyDescent="0.25">
      <c r="D6300" s="4"/>
      <c r="H6300" s="4"/>
    </row>
    <row r="6301" spans="1:8" ht="15.75" customHeight="1" x14ac:dyDescent="0.25">
      <c r="D6301" s="4"/>
      <c r="H6301" s="4"/>
    </row>
    <row r="6302" spans="1:8" ht="15.75" customHeight="1" x14ac:dyDescent="0.25">
      <c r="D6302" s="4"/>
      <c r="H6302" s="4"/>
    </row>
    <row r="6303" spans="1:8" ht="15.75" customHeight="1" x14ac:dyDescent="0.25">
      <c r="D6303" s="4"/>
      <c r="H6303" s="4"/>
    </row>
    <row r="6304" spans="1:8" ht="15.75" customHeight="1" x14ac:dyDescent="0.25">
      <c r="D6304" s="4"/>
      <c r="H6304" s="4"/>
    </row>
    <row r="6305" spans="1:20" ht="15.75" customHeight="1" x14ac:dyDescent="0.25">
      <c r="D6305" s="4"/>
      <c r="H6305" s="4"/>
    </row>
    <row r="6306" spans="1:20" ht="15.75" customHeight="1" x14ac:dyDescent="0.25">
      <c r="D6306" s="4"/>
      <c r="H6306" s="4"/>
    </row>
    <row r="6307" spans="1:20" ht="15.75" customHeight="1" x14ac:dyDescent="0.25">
      <c r="D6307" s="4"/>
      <c r="H6307" s="4"/>
    </row>
    <row r="6308" spans="1:20" ht="15.75" customHeight="1" x14ac:dyDescent="0.25">
      <c r="D6308" s="4"/>
      <c r="H6308" s="4"/>
    </row>
    <row r="6309" spans="1:20" ht="15.75" customHeight="1" x14ac:dyDescent="0.25">
      <c r="A6309" s="103" t="s">
        <v>14</v>
      </c>
      <c r="B6309" s="103"/>
      <c r="C6309" s="103"/>
      <c r="D6309" s="103"/>
      <c r="E6309" s="103"/>
      <c r="F6309" s="103"/>
      <c r="G6309" s="103"/>
      <c r="H6309" s="103"/>
    </row>
    <row r="6310" spans="1:20" ht="15.75" customHeight="1" x14ac:dyDescent="0.25">
      <c r="D6310" s="4"/>
      <c r="H6310" s="8"/>
    </row>
    <row r="6311" spans="1:20" ht="15.75" customHeight="1" x14ac:dyDescent="0.25">
      <c r="A6311" s="15"/>
      <c r="B6311" s="15"/>
      <c r="C6311" s="16"/>
      <c r="D6311" s="17"/>
      <c r="E6311" s="18"/>
      <c r="F6311" s="18"/>
      <c r="G6311" s="18"/>
      <c r="H6311" s="19"/>
      <c r="I6311" s="390"/>
      <c r="J6311" s="390"/>
      <c r="K6311" s="390"/>
      <c r="L6311" s="390"/>
      <c r="M6311" s="390"/>
      <c r="N6311" s="390"/>
      <c r="O6311" s="390"/>
      <c r="P6311" s="390"/>
      <c r="Q6311" s="390"/>
      <c r="R6311" s="390"/>
      <c r="S6311" s="390"/>
      <c r="T6311" s="390"/>
    </row>
    <row r="6312" spans="1:20" ht="15.75" customHeight="1" x14ac:dyDescent="0.25">
      <c r="A6312" s="390"/>
      <c r="B6312" s="390"/>
      <c r="C6312" s="390"/>
      <c r="D6312" s="391"/>
      <c r="E6312" s="390"/>
      <c r="F6312" s="395" t="s">
        <v>18</v>
      </c>
      <c r="G6312" s="396" t="s">
        <v>847</v>
      </c>
      <c r="H6312" s="397"/>
      <c r="I6312" s="390"/>
      <c r="J6312" s="390"/>
      <c r="K6312" s="390"/>
      <c r="L6312" s="390"/>
      <c r="M6312" s="390"/>
      <c r="N6312" s="390"/>
      <c r="O6312" s="390"/>
      <c r="P6312" s="390"/>
      <c r="Q6312" s="390"/>
      <c r="R6312" s="390"/>
      <c r="S6312" s="390"/>
      <c r="T6312" s="390"/>
    </row>
    <row r="6313" spans="1:20" ht="15.75" customHeight="1" x14ac:dyDescent="0.25">
      <c r="A6313" s="390" t="s">
        <v>20</v>
      </c>
      <c r="B6313" s="390"/>
      <c r="C6313" s="390"/>
      <c r="D6313" s="391"/>
      <c r="E6313" s="390"/>
      <c r="F6313" s="395" t="s">
        <v>21</v>
      </c>
      <c r="G6313" s="390" t="s">
        <v>1723</v>
      </c>
      <c r="H6313" s="391"/>
      <c r="I6313" s="390"/>
      <c r="J6313" s="390"/>
      <c r="K6313" s="390"/>
      <c r="L6313" s="390"/>
      <c r="M6313" s="390"/>
      <c r="N6313" s="390"/>
      <c r="O6313" s="390"/>
      <c r="P6313" s="390"/>
      <c r="Q6313" s="390"/>
      <c r="R6313" s="390"/>
      <c r="S6313" s="390"/>
      <c r="T6313" s="390"/>
    </row>
    <row r="6314" spans="1:20" ht="15.75" customHeight="1" x14ac:dyDescent="0.25">
      <c r="A6314" s="390" t="inlineStr">
        <is>
          <t>Dealer-003</t>
        </is>
      </c>
      <c r="B6314" s="390"/>
      <c r="C6314" s="390"/>
      <c r="D6314" s="391"/>
      <c r="E6314" s="395"/>
      <c r="F6314" s="390"/>
      <c r="G6314" s="390"/>
      <c r="H6314" s="394"/>
      <c r="I6314" s="390"/>
      <c r="J6314" s="390"/>
      <c r="K6314" s="390"/>
      <c r="L6314" s="390"/>
      <c r="M6314" s="390"/>
      <c r="N6314" s="390"/>
      <c r="O6314" s="390"/>
      <c r="P6314" s="390"/>
      <c r="Q6314" s="390"/>
      <c r="R6314" s="390"/>
      <c r="S6314" s="390"/>
      <c r="T6314" s="390"/>
    </row>
    <row r="6315" spans="1:20" ht="15.75" customHeight="1" x14ac:dyDescent="0.25">
      <c r="A6315" s="390" t="inlineStr">
        <is>
          <t>Address line (redacted)</t>
        </is>
      </c>
      <c r="B6315" s="390"/>
      <c r="C6315" s="390"/>
      <c r="D6315" s="398"/>
      <c r="E6315" s="390"/>
      <c r="F6315" s="391"/>
      <c r="G6315" s="390"/>
      <c r="H6315" s="394"/>
      <c r="I6315" s="390"/>
      <c r="J6315" s="390"/>
      <c r="K6315" s="390"/>
      <c r="L6315" s="390"/>
      <c r="M6315" s="390"/>
      <c r="N6315" s="390"/>
      <c r="O6315" s="390"/>
      <c r="P6315" s="390"/>
      <c r="Q6315" s="390"/>
      <c r="R6315" s="390"/>
      <c r="S6315" s="390"/>
      <c r="T6315" s="390"/>
    </row>
    <row r="6316" spans="1:20" ht="15.75" customHeight="1" x14ac:dyDescent="0.25">
      <c r="A6316" s="390" t="inlineStr">
        <is>
          <t>Address line (redacted)</t>
        </is>
      </c>
      <c r="B6316" s="390"/>
      <c r="C6316" s="390"/>
      <c r="D6316" s="398"/>
      <c r="E6316" s="390"/>
      <c r="F6316" s="391"/>
      <c r="G6316" s="390"/>
      <c r="H6316" s="394"/>
      <c r="I6316" s="390"/>
      <c r="J6316" s="390"/>
      <c r="K6316" s="390"/>
      <c r="L6316" s="390"/>
      <c r="M6316" s="390"/>
      <c r="N6316" s="390"/>
      <c r="O6316" s="390"/>
      <c r="P6316" s="390"/>
      <c r="Q6316" s="390"/>
      <c r="R6316" s="390"/>
      <c r="S6316" s="390"/>
      <c r="T6316" s="390"/>
    </row>
    <row r="6317" spans="1:20" ht="15.75" customHeight="1" x14ac:dyDescent="0.25">
      <c r="A6317" s="447"/>
      <c r="B6317" s="390"/>
      <c r="C6317" s="390"/>
      <c r="D6317" s="391"/>
      <c r="E6317" s="390"/>
      <c r="F6317" s="391"/>
      <c r="G6317" s="390"/>
      <c r="H6317" s="394"/>
      <c r="I6317" s="390"/>
      <c r="J6317" s="390"/>
      <c r="K6317" s="390"/>
      <c r="L6317" s="390"/>
      <c r="M6317" s="390"/>
      <c r="N6317" s="390"/>
      <c r="O6317" s="390"/>
      <c r="P6317" s="390"/>
      <c r="Q6317" s="390"/>
      <c r="R6317" s="390"/>
      <c r="S6317" s="390"/>
      <c r="T6317" s="390"/>
    </row>
    <row r="6318" spans="1:20" ht="15.75" customHeight="1" x14ac:dyDescent="0.25">
      <c r="A6318" s="390" t="s">
        <v>30</v>
      </c>
      <c r="B6318" s="390"/>
      <c r="C6318" s="390"/>
      <c r="D6318" s="391"/>
      <c r="E6318" s="390"/>
      <c r="F6318" s="391"/>
      <c r="G6318" s="390"/>
      <c r="H6318" s="394"/>
      <c r="I6318" s="390"/>
      <c r="J6318" s="390"/>
      <c r="K6318" s="390"/>
      <c r="L6318" s="390"/>
      <c r="M6318" s="390"/>
      <c r="N6318" s="390"/>
      <c r="O6318" s="390"/>
      <c r="P6318" s="390"/>
      <c r="Q6318" s="390"/>
      <c r="R6318" s="390"/>
      <c r="S6318" s="390"/>
      <c r="T6318" s="390"/>
    </row>
    <row r="6319" spans="1:20" ht="15.75" customHeight="1" x14ac:dyDescent="0.25">
      <c r="A6319" s="390"/>
      <c r="B6319" s="390"/>
      <c r="C6319" s="390"/>
      <c r="D6319" s="391"/>
      <c r="E6319" s="390"/>
      <c r="F6319" s="391"/>
      <c r="G6319" s="390"/>
      <c r="H6319" s="394"/>
      <c r="I6319" s="390"/>
      <c r="J6319" s="390"/>
      <c r="K6319" s="390"/>
      <c r="L6319" s="390"/>
      <c r="M6319" s="390"/>
      <c r="N6319" s="390"/>
      <c r="O6319" s="390"/>
      <c r="P6319" s="390"/>
      <c r="Q6319" s="390"/>
      <c r="R6319" s="390"/>
      <c r="S6319" s="390"/>
      <c r="T6319" s="390"/>
    </row>
    <row r="6320" spans="1:20" ht="15.75" customHeight="1" x14ac:dyDescent="0.25">
      <c r="A6320" s="390" t="s">
        <v>1322</v>
      </c>
      <c r="B6320" s="390"/>
      <c r="C6320" s="390"/>
      <c r="D6320" s="391"/>
      <c r="E6320" s="390"/>
      <c r="F6320" s="391"/>
      <c r="G6320" s="390"/>
      <c r="H6320" s="394"/>
      <c r="I6320" s="390"/>
      <c r="J6320" s="390"/>
      <c r="K6320" s="390"/>
      <c r="L6320" s="390"/>
      <c r="M6320" s="390"/>
      <c r="N6320" s="390"/>
      <c r="O6320" s="390"/>
      <c r="P6320" s="390"/>
      <c r="Q6320" s="390"/>
      <c r="R6320" s="390"/>
      <c r="S6320" s="390"/>
      <c r="T6320" s="390"/>
    </row>
    <row r="6321" spans="1:20" ht="15.75" customHeight="1" x14ac:dyDescent="0.25">
      <c r="A6321" s="390" t="s">
        <v>1328</v>
      </c>
      <c r="B6321" s="390"/>
      <c r="C6321" s="390"/>
      <c r="D6321" s="391"/>
      <c r="E6321" s="390"/>
      <c r="F6321" s="391"/>
      <c r="G6321" s="390"/>
      <c r="H6321" s="394"/>
      <c r="I6321" s="390"/>
      <c r="J6321" s="390"/>
      <c r="K6321" s="390"/>
      <c r="L6321" s="390"/>
      <c r="M6321" s="390"/>
      <c r="N6321" s="390"/>
      <c r="O6321" s="390"/>
      <c r="P6321" s="390"/>
      <c r="Q6321" s="390"/>
      <c r="R6321" s="390"/>
      <c r="S6321" s="390"/>
      <c r="T6321" s="390"/>
    </row>
    <row r="6322" spans="1:20" ht="15.75" customHeight="1" x14ac:dyDescent="0.25">
      <c r="A6322" s="390"/>
      <c r="B6322" s="390"/>
      <c r="C6322" s="390"/>
      <c r="D6322" s="391"/>
      <c r="E6322" s="390"/>
      <c r="F6322" s="391"/>
      <c r="G6322" s="390"/>
      <c r="H6322" s="394"/>
      <c r="I6322" s="390"/>
      <c r="J6322" s="390"/>
      <c r="K6322" s="390"/>
      <c r="L6322" s="390"/>
      <c r="M6322" s="390"/>
      <c r="N6322" s="390"/>
      <c r="O6322" s="390"/>
      <c r="P6322" s="390"/>
      <c r="Q6322" s="390"/>
      <c r="R6322" s="390"/>
      <c r="S6322" s="390"/>
      <c r="T6322" s="390"/>
    </row>
    <row r="6323" spans="1:20" ht="15.75" customHeight="1" x14ac:dyDescent="0.25">
      <c r="A6323" s="399" t="s">
        <v>33</v>
      </c>
      <c r="B6323" s="400" t="s">
        <v>6</v>
      </c>
      <c r="C6323" s="400"/>
      <c r="D6323" s="401" t="s">
        <v>37</v>
      </c>
      <c r="E6323" s="402" t="s">
        <v>38</v>
      </c>
      <c r="F6323" s="403" t="s">
        <v>7</v>
      </c>
      <c r="G6323" s="404" t="s">
        <v>43</v>
      </c>
      <c r="H6323" s="405" t="s">
        <v>44</v>
      </c>
      <c r="I6323" s="390"/>
      <c r="J6323" s="390"/>
      <c r="K6323" s="390"/>
      <c r="L6323" s="390"/>
      <c r="M6323" s="390"/>
      <c r="N6323" s="390"/>
      <c r="O6323" s="390"/>
      <c r="P6323" s="390"/>
      <c r="Q6323" s="390"/>
      <c r="R6323" s="390"/>
      <c r="S6323" s="390"/>
      <c r="T6323" s="390"/>
    </row>
    <row r="6324" spans="1:20" ht="15.75" customHeight="1" x14ac:dyDescent="0.25">
      <c r="A6324" s="406"/>
      <c r="B6324" s="407"/>
      <c r="C6324" s="393"/>
      <c r="D6324" s="408"/>
      <c r="E6324" s="408"/>
      <c r="F6324" s="409"/>
      <c r="G6324" s="410"/>
      <c r="H6324" s="411"/>
      <c r="I6324" s="390"/>
      <c r="J6324" s="390"/>
      <c r="K6324" s="390"/>
      <c r="L6324" s="390"/>
      <c r="M6324" s="390"/>
      <c r="N6324" s="390"/>
      <c r="O6324" s="390"/>
      <c r="P6324" s="390"/>
      <c r="Q6324" s="390"/>
      <c r="R6324" s="390"/>
      <c r="S6324" s="390"/>
      <c r="T6324" s="390"/>
    </row>
    <row r="6325" spans="1:20" ht="15.75" customHeight="1" x14ac:dyDescent="0.25">
      <c r="A6325" s="425"/>
      <c r="B6325" s="557" t="s">
        <v>1724</v>
      </c>
      <c r="C6325" s="558"/>
      <c r="D6325" s="427"/>
      <c r="E6325" s="427"/>
      <c r="F6325" s="391"/>
      <c r="G6325" s="427"/>
      <c r="H6325" s="429"/>
      <c r="I6325" s="390"/>
      <c r="J6325" s="390"/>
      <c r="K6325" s="390"/>
      <c r="L6325" s="390"/>
      <c r="M6325" s="390"/>
      <c r="N6325" s="390"/>
      <c r="O6325" s="390"/>
      <c r="P6325" s="390"/>
      <c r="Q6325" s="390"/>
      <c r="R6325" s="390"/>
      <c r="S6325" s="390"/>
      <c r="T6325" s="390"/>
    </row>
    <row r="6326" spans="1:20" ht="15.75" customHeight="1" x14ac:dyDescent="0.25">
      <c r="A6326" s="425" t="s">
        <v>55</v>
      </c>
      <c r="B6326" s="585" t="s">
        <v>1719</v>
      </c>
      <c r="C6326" s="588" t="s">
        <v>419</v>
      </c>
      <c r="D6326" s="427">
        <v>4</v>
      </c>
      <c r="E6326" s="427">
        <v>200</v>
      </c>
      <c r="F6326" s="391">
        <f>+E6326*D6326</f>
      </c>
      <c r="G6326" s="427">
        <v>1</v>
      </c>
      <c r="H6326" s="429">
        <f>+G6326*F6326</f>
      </c>
      <c r="I6326" s="390"/>
      <c r="J6326" s="390"/>
      <c r="K6326" s="390"/>
      <c r="L6326" s="390"/>
      <c r="M6326" s="390"/>
      <c r="N6326" s="390"/>
      <c r="O6326" s="390"/>
      <c r="P6326" s="390"/>
      <c r="Q6326" s="390"/>
      <c r="R6326" s="390"/>
      <c r="S6326" s="390"/>
      <c r="T6326" s="390"/>
    </row>
    <row r="6327" spans="1:20" ht="15.75" customHeight="1" x14ac:dyDescent="0.25">
      <c r="A6327" s="425"/>
      <c r="B6327" s="448"/>
      <c r="C6327" s="390"/>
      <c r="D6327" s="427"/>
      <c r="E6327" s="427"/>
      <c r="F6327" s="391"/>
      <c r="G6327" s="427"/>
      <c r="H6327" s="429"/>
      <c r="I6327" s="390"/>
      <c r="J6327" s="390"/>
      <c r="K6327" s="390"/>
      <c r="L6327" s="390"/>
      <c r="M6327" s="390"/>
      <c r="N6327" s="390"/>
      <c r="O6327" s="390"/>
      <c r="P6327" s="390"/>
      <c r="Q6327" s="390"/>
      <c r="R6327" s="390"/>
      <c r="S6327" s="390"/>
      <c r="T6327" s="390"/>
    </row>
    <row r="6328" spans="1:20" ht="15.75" customHeight="1" x14ac:dyDescent="0.25">
      <c r="A6328" s="425"/>
      <c r="B6328" s="426"/>
      <c r="C6328" s="390"/>
      <c r="D6328" s="427"/>
      <c r="E6328" s="427"/>
      <c r="F6328" s="391"/>
      <c r="G6328" s="427"/>
      <c r="H6328" s="429"/>
      <c r="I6328" s="390"/>
      <c r="J6328" s="390"/>
      <c r="K6328" s="390"/>
      <c r="L6328" s="390"/>
      <c r="M6328" s="390"/>
      <c r="N6328" s="390"/>
      <c r="O6328" s="390"/>
      <c r="P6328" s="390"/>
      <c r="Q6328" s="390"/>
      <c r="R6328" s="390"/>
      <c r="S6328" s="390"/>
      <c r="T6328" s="390"/>
    </row>
    <row r="6329" spans="1:20" ht="15.75" customHeight="1" x14ac:dyDescent="0.25">
      <c r="A6329" s="425"/>
      <c r="B6329" s="426"/>
      <c r="C6329" s="390"/>
      <c r="D6329" s="427"/>
      <c r="E6329" s="427"/>
      <c r="F6329" s="391"/>
      <c r="G6329" s="427"/>
      <c r="H6329" s="429"/>
      <c r="I6329" s="390"/>
      <c r="J6329" s="390"/>
      <c r="K6329" s="390"/>
      <c r="L6329" s="390"/>
      <c r="M6329" s="390"/>
      <c r="N6329" s="390"/>
      <c r="O6329" s="390"/>
      <c r="P6329" s="390"/>
      <c r="Q6329" s="390"/>
      <c r="R6329" s="390"/>
      <c r="S6329" s="390"/>
      <c r="T6329" s="390"/>
    </row>
    <row r="6330" spans="1:20" ht="15.75" customHeight="1" x14ac:dyDescent="0.25">
      <c r="A6330" s="425"/>
      <c r="B6330" s="426"/>
      <c r="C6330" s="390"/>
      <c r="D6330" s="427"/>
      <c r="E6330" s="427"/>
      <c r="F6330" s="391"/>
      <c r="G6330" s="427"/>
      <c r="H6330" s="429"/>
      <c r="I6330" s="390"/>
      <c r="J6330" s="390"/>
      <c r="K6330" s="390"/>
      <c r="L6330" s="390"/>
      <c r="M6330" s="390"/>
      <c r="N6330" s="390"/>
      <c r="O6330" s="390"/>
      <c r="P6330" s="390"/>
      <c r="Q6330" s="390"/>
      <c r="R6330" s="390"/>
      <c r="S6330" s="390"/>
      <c r="T6330" s="390"/>
    </row>
    <row r="6331" spans="1:20" ht="15.75" customHeight="1" x14ac:dyDescent="0.25">
      <c r="A6331" s="425"/>
      <c r="B6331" s="426"/>
      <c r="C6331" s="390"/>
      <c r="D6331" s="427"/>
      <c r="E6331" s="427"/>
      <c r="F6331" s="391"/>
      <c r="G6331" s="427"/>
      <c r="H6331" s="429"/>
      <c r="I6331" s="390"/>
      <c r="J6331" s="390"/>
      <c r="K6331" s="390"/>
      <c r="L6331" s="390"/>
      <c r="M6331" s="390"/>
      <c r="N6331" s="390"/>
      <c r="O6331" s="390"/>
      <c r="P6331" s="390"/>
      <c r="Q6331" s="390"/>
      <c r="R6331" s="390"/>
      <c r="S6331" s="390"/>
      <c r="T6331" s="390"/>
    </row>
    <row r="6332" spans="1:20" ht="15.75" customHeight="1" x14ac:dyDescent="0.25">
      <c r="A6332" s="425"/>
      <c r="B6332" s="426"/>
      <c r="C6332" s="390"/>
      <c r="D6332" s="427"/>
      <c r="E6332" s="427"/>
      <c r="F6332" s="391"/>
      <c r="G6332" s="427"/>
      <c r="H6332" s="429"/>
      <c r="I6332" s="390"/>
      <c r="J6332" s="390"/>
      <c r="K6332" s="390"/>
      <c r="L6332" s="390"/>
      <c r="M6332" s="390"/>
      <c r="N6332" s="390"/>
      <c r="O6332" s="390"/>
      <c r="P6332" s="390"/>
      <c r="Q6332" s="390"/>
      <c r="R6332" s="390"/>
      <c r="S6332" s="390"/>
      <c r="T6332" s="390"/>
    </row>
    <row r="6333" spans="1:20" ht="15.75" customHeight="1" x14ac:dyDescent="0.25">
      <c r="A6333" s="430"/>
      <c r="B6333" s="409"/>
      <c r="C6333" s="393"/>
      <c r="D6333" s="427"/>
      <c r="E6333" s="427"/>
      <c r="F6333" s="428"/>
      <c r="G6333" s="431"/>
      <c r="H6333" s="429"/>
      <c r="I6333" s="390"/>
      <c r="J6333" s="390"/>
      <c r="K6333" s="390"/>
      <c r="L6333" s="390"/>
      <c r="M6333" s="390"/>
      <c r="N6333" s="390"/>
      <c r="O6333" s="390"/>
      <c r="P6333" s="390"/>
      <c r="Q6333" s="390"/>
      <c r="R6333" s="390"/>
      <c r="S6333" s="390"/>
      <c r="T6333" s="390"/>
    </row>
    <row r="6334" spans="1:20" ht="15.75" customHeight="1" x14ac:dyDescent="0.25">
      <c r="A6334" s="432"/>
      <c r="B6334" s="433"/>
      <c r="C6334" s="434" t="s">
        <v>85</v>
      </c>
      <c r="D6334" s="435">
        <f>SUM(D6325:D6333)</f>
      </c>
      <c r="E6334" s="435"/>
      <c r="F6334" s="436"/>
      <c r="G6334" s="437"/>
      <c r="H6334" s="438">
        <f>SUM(H6326:H6333)</f>
      </c>
      <c r="I6334" s="390"/>
      <c r="J6334" s="390"/>
      <c r="K6334" s="390"/>
      <c r="L6334" s="390"/>
      <c r="M6334" s="390"/>
      <c r="N6334" s="390"/>
      <c r="O6334" s="390"/>
      <c r="P6334" s="390"/>
      <c r="Q6334" s="390"/>
      <c r="R6334" s="390"/>
      <c r="S6334" s="390"/>
      <c r="T6334" s="390"/>
    </row>
    <row r="6335" spans="1:20" ht="15.75" customHeight="1" x14ac:dyDescent="0.25">
      <c r="A6335" s="439"/>
      <c r="B6335" s="440"/>
      <c r="C6335" s="440"/>
      <c r="D6335" s="441"/>
      <c r="E6335" s="440"/>
      <c r="F6335" s="442"/>
      <c r="G6335" s="443"/>
      <c r="H6335" s="444"/>
      <c r="I6335" s="390"/>
      <c r="J6335" s="390"/>
      <c r="K6335" s="390"/>
      <c r="L6335" s="390"/>
      <c r="M6335" s="390"/>
      <c r="N6335" s="390"/>
      <c r="O6335" s="390"/>
      <c r="P6335" s="390"/>
      <c r="Q6335" s="390"/>
      <c r="R6335" s="390"/>
      <c r="S6335" s="390"/>
      <c r="T6335" s="390"/>
    </row>
    <row r="6336" spans="1:20" ht="15.75" customHeight="1" x14ac:dyDescent="0.25">
      <c r="A6336" s="392"/>
      <c r="B6336" s="391"/>
      <c r="C6336" s="391"/>
      <c r="D6336" s="391"/>
      <c r="E6336" s="390"/>
      <c r="F6336" s="392"/>
      <c r="G6336" s="390"/>
      <c r="H6336" s="394"/>
      <c r="I6336" s="390"/>
      <c r="J6336" s="390"/>
      <c r="K6336" s="390"/>
      <c r="L6336" s="390"/>
      <c r="M6336" s="390"/>
      <c r="N6336" s="390"/>
      <c r="O6336" s="390"/>
      <c r="P6336" s="390"/>
      <c r="Q6336" s="390"/>
      <c r="R6336" s="390"/>
      <c r="S6336" s="390"/>
      <c r="T6336" s="390"/>
    </row>
    <row r="6337" spans="1:20" ht="15.75" customHeight="1" x14ac:dyDescent="0.25">
      <c r="A6337" s="445"/>
      <c r="B6337" s="445"/>
      <c r="C6337" s="445"/>
      <c r="D6337" s="446" t="s">
        <v>97</v>
      </c>
      <c r="E6337" s="445" t="s">
        <v>98</v>
      </c>
      <c r="F6337" s="445"/>
      <c r="G6337" s="390"/>
      <c r="H6337" s="394"/>
      <c r="I6337" s="390"/>
      <c r="J6337" s="390"/>
      <c r="K6337" s="390"/>
      <c r="L6337" s="390"/>
      <c r="M6337" s="390"/>
      <c r="N6337" s="390"/>
      <c r="O6337" s="390"/>
      <c r="P6337" s="390"/>
      <c r="Q6337" s="390"/>
      <c r="R6337" s="390"/>
      <c r="S6337" s="390"/>
      <c r="T6337" s="390"/>
    </row>
    <row r="6338" spans="1:20" ht="15.75" customHeight="1" x14ac:dyDescent="0.25">
      <c r="A6338" s="390"/>
      <c r="B6338" s="390"/>
      <c r="C6338" s="390"/>
      <c r="D6338" s="391"/>
      <c r="E6338" s="390"/>
      <c r="F6338" s="390"/>
      <c r="G6338" s="390"/>
      <c r="H6338" s="394"/>
      <c r="I6338" s="390"/>
      <c r="J6338" s="390"/>
      <c r="K6338" s="390"/>
      <c r="L6338" s="390"/>
      <c r="M6338" s="390"/>
      <c r="N6338" s="390"/>
      <c r="O6338" s="390"/>
      <c r="P6338" s="390"/>
      <c r="Q6338" s="390"/>
      <c r="R6338" s="390"/>
      <c r="S6338" s="390"/>
      <c r="T6338" s="390"/>
    </row>
    <row r="6339" spans="1:20" ht="15.75" customHeight="1" x14ac:dyDescent="0.25">
      <c r="A6339" s="390"/>
      <c r="B6339" s="390"/>
      <c r="C6339" s="390"/>
      <c r="D6339" s="391"/>
      <c r="E6339" s="390"/>
      <c r="F6339" s="390"/>
      <c r="G6339" s="390"/>
      <c r="H6339" s="394"/>
      <c r="I6339" s="390"/>
      <c r="J6339" s="390"/>
      <c r="K6339" s="390"/>
      <c r="L6339" s="390"/>
      <c r="M6339" s="390"/>
      <c r="N6339" s="390"/>
      <c r="O6339" s="390"/>
      <c r="P6339" s="390"/>
      <c r="Q6339" s="390"/>
      <c r="R6339" s="390"/>
      <c r="S6339" s="390"/>
      <c r="T6339" s="390"/>
    </row>
    <row r="6340" spans="1:20" ht="15.75" customHeight="1" x14ac:dyDescent="0.25">
      <c r="A6340" s="445"/>
      <c r="B6340" s="445"/>
      <c r="C6340" s="445"/>
      <c r="D6340" s="446"/>
      <c r="E6340" s="445" t="s">
        <v>99</v>
      </c>
      <c r="F6340" s="445"/>
      <c r="G6340" s="390"/>
      <c r="H6340" s="394"/>
      <c r="I6340" s="390"/>
      <c r="J6340" s="390"/>
      <c r="K6340" s="390"/>
      <c r="L6340" s="390"/>
      <c r="M6340" s="390"/>
      <c r="N6340" s="390"/>
      <c r="O6340" s="390"/>
      <c r="P6340" s="390"/>
      <c r="Q6340" s="390"/>
      <c r="R6340" s="390"/>
      <c r="S6340" s="390"/>
      <c r="T6340" s="390"/>
    </row>
    <row r="6341" spans="1:20" ht="15.75" customHeight="1" x14ac:dyDescent="0.25">
      <c r="A6341" s="390"/>
      <c r="B6341" s="390"/>
      <c r="C6341" s="390"/>
      <c r="D6341" s="391"/>
      <c r="E6341" s="390"/>
      <c r="F6341" s="390"/>
      <c r="G6341" s="390"/>
      <c r="H6341" s="391"/>
      <c r="I6341" s="390"/>
      <c r="J6341" s="390"/>
      <c r="K6341" s="390"/>
      <c r="L6341" s="390"/>
      <c r="M6341" s="390"/>
      <c r="N6341" s="390"/>
      <c r="O6341" s="390"/>
      <c r="P6341" s="390"/>
      <c r="Q6341" s="390"/>
      <c r="R6341" s="390"/>
      <c r="S6341" s="390"/>
      <c r="T6341" s="390"/>
    </row>
    <row r="6342" spans="1:20" ht="15.75" customHeight="1" x14ac:dyDescent="0.25">
      <c r="A6342" s="390"/>
      <c r="B6342" s="390"/>
      <c r="C6342" s="390"/>
      <c r="D6342" s="391"/>
      <c r="E6342" s="390"/>
      <c r="F6342" s="390"/>
      <c r="G6342" s="390"/>
      <c r="H6342" s="391"/>
      <c r="I6342" s="390"/>
      <c r="J6342" s="390"/>
      <c r="K6342" s="390"/>
      <c r="L6342" s="390"/>
      <c r="M6342" s="390"/>
      <c r="N6342" s="390"/>
      <c r="O6342" s="390"/>
      <c r="P6342" s="390"/>
      <c r="Q6342" s="390"/>
      <c r="R6342" s="390"/>
      <c r="S6342" s="390"/>
      <c r="T6342" s="390"/>
    </row>
    <row r="6343" spans="1:20" ht="15.75" customHeight="1" x14ac:dyDescent="0.25">
      <c r="A6343" s="390"/>
      <c r="B6343" s="390"/>
      <c r="C6343" s="390"/>
      <c r="D6343" s="391"/>
      <c r="E6343" s="390"/>
      <c r="F6343" s="390"/>
      <c r="G6343" s="390"/>
      <c r="H6343" s="391"/>
      <c r="I6343" s="390"/>
      <c r="J6343" s="390"/>
      <c r="K6343" s="390"/>
      <c r="L6343" s="390"/>
      <c r="M6343" s="390"/>
      <c r="N6343" s="390"/>
      <c r="O6343" s="390"/>
      <c r="P6343" s="390"/>
      <c r="Q6343" s="390"/>
      <c r="R6343" s="390"/>
      <c r="S6343" s="390"/>
      <c r="T6343" s="390"/>
    </row>
    <row r="6344" spans="1:20" ht="15.75" customHeight="1" x14ac:dyDescent="0.25">
      <c r="A6344" s="390"/>
      <c r="B6344" s="390"/>
      <c r="C6344" s="390"/>
      <c r="D6344" s="391"/>
      <c r="E6344" s="390"/>
      <c r="F6344" s="390"/>
      <c r="G6344" s="390"/>
      <c r="H6344" s="391"/>
      <c r="I6344" s="390"/>
      <c r="J6344" s="390"/>
      <c r="K6344" s="390"/>
      <c r="L6344" s="390"/>
      <c r="M6344" s="390"/>
      <c r="N6344" s="390"/>
      <c r="O6344" s="390"/>
      <c r="P6344" s="390"/>
      <c r="Q6344" s="390"/>
      <c r="R6344" s="390"/>
      <c r="S6344" s="390"/>
      <c r="T6344" s="390"/>
    </row>
    <row r="6345" spans="1:20" ht="15.75" customHeight="1" x14ac:dyDescent="0.25">
      <c r="A6345" s="390"/>
      <c r="B6345" s="390"/>
      <c r="C6345" s="390"/>
      <c r="D6345" s="391"/>
      <c r="E6345" s="390"/>
      <c r="F6345" s="390"/>
      <c r="G6345" s="390"/>
      <c r="H6345" s="391"/>
      <c r="I6345" s="390"/>
      <c r="J6345" s="390"/>
      <c r="K6345" s="390"/>
      <c r="L6345" s="390"/>
      <c r="M6345" s="390"/>
      <c r="N6345" s="390"/>
      <c r="O6345" s="390"/>
      <c r="P6345" s="390"/>
      <c r="Q6345" s="390"/>
      <c r="R6345" s="390"/>
      <c r="S6345" s="390"/>
      <c r="T6345" s="390"/>
    </row>
    <row r="6346" spans="1:20" ht="15.75" customHeight="1" x14ac:dyDescent="0.25">
      <c r="A6346" s="390"/>
      <c r="B6346" s="390"/>
      <c r="C6346" s="390"/>
      <c r="D6346" s="391"/>
      <c r="E6346" s="390"/>
      <c r="F6346" s="390"/>
      <c r="G6346" s="390"/>
      <c r="H6346" s="391"/>
      <c r="I6346" s="390"/>
      <c r="J6346" s="390"/>
      <c r="K6346" s="390"/>
      <c r="L6346" s="390"/>
      <c r="M6346" s="390"/>
      <c r="N6346" s="390"/>
      <c r="O6346" s="390"/>
      <c r="P6346" s="390"/>
      <c r="Q6346" s="390"/>
      <c r="R6346" s="390"/>
      <c r="S6346" s="390"/>
      <c r="T6346" s="390"/>
    </row>
    <row r="6347" spans="1:20" ht="15.75" customHeight="1" x14ac:dyDescent="0.25">
      <c r="A6347" s="390"/>
      <c r="B6347" s="390"/>
      <c r="C6347" s="390"/>
      <c r="D6347" s="391"/>
      <c r="E6347" s="390"/>
      <c r="F6347" s="390"/>
      <c r="G6347" s="390"/>
      <c r="H6347" s="391"/>
      <c r="I6347" s="390"/>
      <c r="J6347" s="390"/>
      <c r="K6347" s="390"/>
      <c r="L6347" s="390"/>
      <c r="M6347" s="390"/>
      <c r="N6347" s="390"/>
      <c r="O6347" s="390"/>
      <c r="P6347" s="390"/>
      <c r="Q6347" s="390"/>
      <c r="R6347" s="390"/>
      <c r="S6347" s="390"/>
      <c r="T6347" s="390"/>
    </row>
    <row r="6348" spans="1:20" ht="15.75" customHeight="1" x14ac:dyDescent="0.25">
      <c r="A6348" s="390"/>
      <c r="B6348" s="390"/>
      <c r="C6348" s="390"/>
      <c r="D6348" s="391"/>
      <c r="E6348" s="390"/>
      <c r="F6348" s="390"/>
      <c r="G6348" s="390"/>
      <c r="H6348" s="391"/>
      <c r="I6348" s="390"/>
      <c r="J6348" s="390"/>
      <c r="K6348" s="390"/>
      <c r="L6348" s="390"/>
      <c r="M6348" s="390"/>
      <c r="N6348" s="390"/>
      <c r="O6348" s="390"/>
      <c r="P6348" s="390"/>
      <c r="Q6348" s="390"/>
      <c r="R6348" s="390"/>
      <c r="S6348" s="390"/>
      <c r="T6348" s="390"/>
    </row>
    <row r="6349" spans="1:20" ht="15.75" customHeight="1" x14ac:dyDescent="0.25">
      <c r="A6349" s="390"/>
      <c r="B6349" s="390"/>
      <c r="C6349" s="390"/>
      <c r="D6349" s="391"/>
      <c r="E6349" s="390"/>
      <c r="F6349" s="390"/>
      <c r="G6349" s="390"/>
      <c r="H6349" s="391"/>
      <c r="I6349" s="390"/>
      <c r="J6349" s="390"/>
      <c r="K6349" s="390"/>
      <c r="L6349" s="390"/>
      <c r="M6349" s="390"/>
      <c r="N6349" s="390"/>
      <c r="O6349" s="390"/>
      <c r="P6349" s="390"/>
      <c r="Q6349" s="390"/>
      <c r="R6349" s="390"/>
      <c r="S6349" s="390"/>
      <c r="T6349" s="390"/>
    </row>
    <row r="6350" spans="1:20" ht="15.75" customHeight="1" x14ac:dyDescent="0.25">
      <c r="A6350" s="390"/>
      <c r="B6350" s="390"/>
      <c r="C6350" s="390"/>
      <c r="D6350" s="391"/>
      <c r="E6350" s="390"/>
      <c r="F6350" s="390"/>
      <c r="G6350" s="390"/>
      <c r="H6350" s="391"/>
      <c r="I6350" s="390"/>
      <c r="J6350" s="390"/>
      <c r="K6350" s="390"/>
      <c r="L6350" s="390"/>
      <c r="M6350" s="390"/>
      <c r="N6350" s="390"/>
      <c r="O6350" s="390"/>
      <c r="P6350" s="390"/>
      <c r="Q6350" s="390"/>
      <c r="R6350" s="390"/>
      <c r="S6350" s="390"/>
      <c r="T6350" s="390"/>
    </row>
    <row r="6351" spans="1:20" ht="15.75" customHeight="1" x14ac:dyDescent="0.25">
      <c r="A6351" s="390"/>
      <c r="B6351" s="390"/>
      <c r="C6351" s="390"/>
      <c r="D6351" s="391"/>
      <c r="E6351" s="390"/>
      <c r="F6351" s="390"/>
      <c r="G6351" s="390"/>
      <c r="H6351" s="391"/>
    </row>
    <row r="6352" spans="1:20" ht="15.75" customHeight="1" x14ac:dyDescent="0.25">
      <c r="D6352" s="4"/>
      <c r="H6352" s="4"/>
    </row>
    <row r="6353" spans="1:8" ht="15.75" customHeight="1" x14ac:dyDescent="0.25">
      <c r="D6353" s="4"/>
      <c r="H6353" s="4"/>
    </row>
    <row r="6354" spans="1:8" ht="15.75" customHeight="1" x14ac:dyDescent="0.25">
      <c r="D6354" s="4"/>
      <c r="H6354" s="4"/>
    </row>
    <row r="6355" spans="1:8" ht="15.75" customHeight="1" x14ac:dyDescent="0.25">
      <c r="D6355" s="4"/>
      <c r="H6355" s="4"/>
    </row>
    <row r="6356" spans="1:8" ht="15.75" customHeight="1" x14ac:dyDescent="0.25">
      <c r="D6356" s="4"/>
      <c r="H6356" s="4"/>
    </row>
    <row r="6357" spans="1:8" ht="15.75" customHeight="1" x14ac:dyDescent="0.25">
      <c r="D6357" s="4"/>
      <c r="H6357" s="4"/>
    </row>
    <row r="6358" spans="1:8" ht="15.75" customHeight="1" x14ac:dyDescent="0.25">
      <c r="D6358" s="4"/>
      <c r="H6358" s="4"/>
    </row>
    <row r="6359" spans="1:8" ht="15.75" customHeight="1" x14ac:dyDescent="0.25">
      <c r="D6359" s="4"/>
      <c r="H6359" s="4"/>
    </row>
    <row r="6360" spans="1:8" ht="15.75" customHeight="1" x14ac:dyDescent="0.25">
      <c r="D6360" s="4"/>
      <c r="H6360" s="4"/>
    </row>
    <row r="6361" spans="1:8" ht="15.75" customHeight="1" x14ac:dyDescent="0.25">
      <c r="D6361" s="4"/>
      <c r="H6361" s="4"/>
    </row>
    <row r="6362" spans="1:8" ht="15.75" customHeight="1" x14ac:dyDescent="0.25">
      <c r="D6362" s="4"/>
      <c r="H6362" s="4"/>
    </row>
    <row r="6363" spans="1:8" ht="15.75" customHeight="1" x14ac:dyDescent="0.25">
      <c r="A6363" s="398" t="s">
        <v>14</v>
      </c>
      <c r="B6363" s="391"/>
      <c r="C6363" s="391"/>
      <c r="D6363" s="391"/>
      <c r="E6363" s="391"/>
      <c r="F6363" s="391"/>
      <c r="G6363" s="391"/>
      <c r="H6363" s="394"/>
    </row>
    <row r="6364" spans="1:8" ht="15.75" customHeight="1" x14ac:dyDescent="0.25">
      <c r="A6364" s="390"/>
      <c r="B6364" s="390"/>
      <c r="C6364" s="390"/>
      <c r="D6364" s="392"/>
      <c r="E6364" s="569"/>
      <c r="F6364" s="391"/>
      <c r="G6364" s="390"/>
      <c r="H6364" s="394"/>
    </row>
    <row r="6365" spans="1:8" ht="15.75" customHeight="1" x14ac:dyDescent="0.25">
      <c r="A6365" s="390"/>
      <c r="B6365" s="390"/>
      <c r="C6365" s="390"/>
      <c r="D6365" s="391"/>
      <c r="E6365" s="390"/>
      <c r="F6365" s="395" t="s">
        <v>18</v>
      </c>
      <c r="G6365" s="390" t="s">
        <v>849</v>
      </c>
      <c r="H6365" s="394"/>
    </row>
    <row r="6366" spans="1:8" ht="15.75" customHeight="1" x14ac:dyDescent="0.25">
      <c r="A6366" s="390"/>
      <c r="B6366" s="390"/>
      <c r="C6366" s="390"/>
      <c r="D6366" s="391"/>
      <c r="E6366" s="390"/>
      <c r="F6366" s="393" t="s">
        <v>21</v>
      </c>
      <c r="G6366" s="390" t="s">
        <v>1725</v>
      </c>
      <c r="H6366" s="394"/>
    </row>
    <row r="6367" spans="1:8" ht="15.75" customHeight="1" x14ac:dyDescent="0.25">
      <c r="A6367" s="390" t="s">
        <v>20</v>
      </c>
      <c r="B6367" s="390"/>
      <c r="C6367" s="390"/>
      <c r="D6367" s="391"/>
      <c r="E6367" s="390"/>
      <c r="F6367" s="391"/>
      <c r="G6367" s="390"/>
      <c r="H6367" s="394"/>
    </row>
    <row r="6368" spans="1:8" ht="15.75" customHeight="1" x14ac:dyDescent="0.25">
      <c r="A6368" s="390" t="inlineStr">
        <is>
          <t>Dealer-011</t>
        </is>
      </c>
      <c r="B6368" s="390"/>
      <c r="C6368" s="390" t="inlineStr">
        <is>
          <t>ATTN: Contact-002</t>
        </is>
      </c>
      <c r="D6368" s="391"/>
      <c r="E6368" s="390"/>
      <c r="F6368" s="391"/>
      <c r="G6368" s="390"/>
      <c r="H6368" s="394"/>
    </row>
    <row r="6369" spans="1:8" ht="15.75" customHeight="1" x14ac:dyDescent="0.25">
      <c r="A6369" s="390" t="inlineStr">
        <is>
          <t>Address line (redacted)</t>
        </is>
      </c>
      <c r="B6369" s="390"/>
      <c r="C6369" s="390"/>
      <c r="D6369" s="391"/>
      <c r="E6369" s="390"/>
      <c r="F6369" s="391"/>
      <c r="G6369" s="390"/>
      <c r="H6369" s="394"/>
    </row>
    <row r="6370" spans="1:8" ht="15.75" customHeight="1" x14ac:dyDescent="0.25">
      <c r="A6370" s="390" t="inlineStr">
        <is>
          <t>Address line (redacted)</t>
        </is>
      </c>
      <c r="B6370" s="390"/>
      <c r="C6370" s="390"/>
      <c r="D6370" s="391"/>
      <c r="E6370" s="390"/>
      <c r="F6370" s="391"/>
      <c r="G6370" s="390"/>
      <c r="H6370" s="394"/>
    </row>
    <row r="6371" spans="1:8" ht="15.75" customHeight="1" x14ac:dyDescent="0.25">
      <c r="A6371" s="390" t="inlineStr">
        <is>
          <t>Address line (redacted)</t>
        </is>
      </c>
      <c r="B6371" s="390"/>
      <c r="C6371" s="390"/>
      <c r="D6371" s="391"/>
      <c r="E6371" s="390"/>
      <c r="F6371" s="391"/>
      <c r="G6371" s="390"/>
      <c r="H6371" s="394"/>
    </row>
    <row r="6372" spans="1:8" ht="15.75" customHeight="1" x14ac:dyDescent="0.25">
      <c r="A6372" s="390"/>
      <c r="B6372" s="390"/>
      <c r="C6372" s="390"/>
      <c r="D6372" s="391"/>
      <c r="E6372" s="390"/>
      <c r="F6372" s="391"/>
      <c r="G6372" s="390"/>
      <c r="H6372" s="394"/>
    </row>
    <row r="6373" spans="1:8" ht="15.75" customHeight="1" x14ac:dyDescent="0.25">
      <c r="A6373" s="390"/>
      <c r="B6373" s="390"/>
      <c r="C6373" s="390"/>
      <c r="D6373" s="391"/>
      <c r="E6373" s="390"/>
      <c r="F6373" s="391"/>
      <c r="G6373" s="390"/>
      <c r="H6373" s="394"/>
    </row>
    <row r="6374" spans="1:8" ht="15.75" customHeight="1" x14ac:dyDescent="0.25">
      <c r="A6374" s="390"/>
      <c r="B6374" s="390"/>
      <c r="C6374" s="390"/>
      <c r="D6374" s="391"/>
      <c r="E6374" s="390"/>
      <c r="F6374" s="391"/>
      <c r="G6374" s="390"/>
      <c r="H6374" s="394"/>
    </row>
    <row r="6375" spans="1:8" ht="15.75" customHeight="1" x14ac:dyDescent="0.25">
      <c r="A6375" s="390" t="s">
        <v>30</v>
      </c>
      <c r="B6375" s="390"/>
      <c r="C6375" s="390"/>
      <c r="D6375" s="391"/>
      <c r="E6375" s="390"/>
      <c r="F6375" s="391"/>
      <c r="G6375" s="390"/>
      <c r="H6375" s="394"/>
    </row>
    <row r="6376" spans="1:8" ht="15.75" customHeight="1" x14ac:dyDescent="0.25">
      <c r="A6376" s="390"/>
      <c r="B6376" s="390"/>
      <c r="C6376" s="390"/>
      <c r="D6376" s="391"/>
      <c r="E6376" s="390"/>
      <c r="F6376" s="391"/>
      <c r="G6376" s="390"/>
      <c r="H6376" s="394"/>
    </row>
    <row r="6377" spans="1:8" ht="15.75" customHeight="1" x14ac:dyDescent="0.25">
      <c r="A6377" s="390" t="s">
        <v>1322</v>
      </c>
      <c r="B6377" s="390"/>
      <c r="C6377" s="390"/>
      <c r="D6377" s="391"/>
      <c r="E6377" s="390"/>
      <c r="F6377" s="391"/>
      <c r="G6377" s="390"/>
      <c r="H6377" s="394"/>
    </row>
    <row r="6378" spans="1:8" ht="15.75" customHeight="1" x14ac:dyDescent="0.25">
      <c r="A6378" s="390" t="s">
        <v>1328</v>
      </c>
      <c r="B6378" s="390"/>
      <c r="C6378" s="390"/>
      <c r="D6378" s="391"/>
      <c r="E6378" s="390"/>
      <c r="F6378" s="391"/>
      <c r="G6378" s="390"/>
      <c r="H6378" s="394"/>
    </row>
    <row r="6379" spans="1:8" ht="15.75" customHeight="1" x14ac:dyDescent="0.25">
      <c r="A6379" s="390"/>
      <c r="B6379" s="390"/>
      <c r="C6379" s="390"/>
      <c r="D6379" s="391"/>
      <c r="E6379" s="390"/>
      <c r="F6379" s="391"/>
      <c r="G6379" s="390"/>
      <c r="H6379" s="394"/>
    </row>
    <row r="6380" spans="1:8" ht="15.75" customHeight="1" x14ac:dyDescent="0.25">
      <c r="A6380" s="399" t="s">
        <v>33</v>
      </c>
      <c r="B6380" s="400" t="s">
        <v>6</v>
      </c>
      <c r="C6380" s="400"/>
      <c r="D6380" s="401" t="s">
        <v>37</v>
      </c>
      <c r="E6380" s="402" t="s">
        <v>38</v>
      </c>
      <c r="F6380" s="403" t="s">
        <v>7</v>
      </c>
      <c r="G6380" s="404" t="s">
        <v>43</v>
      </c>
      <c r="H6380" s="405" t="s">
        <v>44</v>
      </c>
    </row>
    <row r="6381" spans="1:8" ht="15.75" customHeight="1" x14ac:dyDescent="0.25">
      <c r="A6381" s="406"/>
      <c r="B6381" s="407"/>
      <c r="C6381" s="393"/>
      <c r="D6381" s="410"/>
      <c r="E6381" s="408"/>
      <c r="F6381" s="409"/>
      <c r="G6381" s="410"/>
      <c r="H6381" s="411"/>
    </row>
    <row r="6382" spans="1:8" ht="15.75" customHeight="1" x14ac:dyDescent="0.25">
      <c r="A6382" s="412"/>
      <c r="B6382" s="654" t="s">
        <v>1239</v>
      </c>
      <c r="C6382" s="654"/>
      <c r="D6382" s="415"/>
      <c r="E6382" s="415"/>
      <c r="F6382" s="415"/>
      <c r="G6382" s="415"/>
      <c r="H6382" s="416"/>
    </row>
    <row r="6383" spans="1:8" ht="15.75" customHeight="1" x14ac:dyDescent="0.25">
      <c r="A6383" s="412" t="s">
        <v>55</v>
      </c>
      <c r="B6383" s="644" t="s">
        <v>127</v>
      </c>
      <c r="C6383" s="418" t="s">
        <v>439</v>
      </c>
      <c r="D6383" s="415">
        <v>1</v>
      </c>
      <c r="E6383" s="415">
        <v>25</v>
      </c>
      <c r="F6383" s="415">
        <f>+E6383*D6383</f>
      </c>
      <c r="G6383" s="415">
        <v>1</v>
      </c>
      <c r="H6383" s="416">
        <f>+G6383*F6383</f>
      </c>
    </row>
    <row r="6384" spans="1:8" ht="15.75" customHeight="1" x14ac:dyDescent="0.25">
      <c r="A6384" s="581"/>
      <c r="B6384" s="654" t="s">
        <v>590</v>
      </c>
      <c r="C6384" s="654"/>
      <c r="D6384" s="415"/>
      <c r="E6384" s="415"/>
      <c r="F6384" s="415"/>
      <c r="G6384" s="415"/>
      <c r="H6384" s="416"/>
    </row>
    <row r="6385" spans="1:8" ht="15.75" customHeight="1" x14ac:dyDescent="0.25">
      <c r="A6385" s="581" t="s">
        <v>67</v>
      </c>
      <c r="B6385" s="582" t="s">
        <v>599</v>
      </c>
      <c r="C6385" s="418" t="s">
        <v>372</v>
      </c>
      <c r="D6385" s="415">
        <v>1</v>
      </c>
      <c r="E6385" s="415">
        <v>6</v>
      </c>
      <c r="F6385" s="415">
        <f t="shared" ref="F6385:F6393" si="186">+E6385*D6385</f>
      </c>
      <c r="G6385" s="415">
        <v>1</v>
      </c>
      <c r="H6385" s="416">
        <f t="shared" ref="H6385:H6393" si="187">+G6385*F6385</f>
      </c>
    </row>
    <row r="6386" spans="1:8" ht="15.75" customHeight="1" x14ac:dyDescent="0.25">
      <c r="A6386" s="581" t="s">
        <v>485</v>
      </c>
      <c r="B6386" s="582" t="s">
        <v>63</v>
      </c>
      <c r="C6386" s="418" t="s">
        <v>371</v>
      </c>
      <c r="D6386" s="415">
        <v>1</v>
      </c>
      <c r="E6386" s="415">
        <v>6</v>
      </c>
      <c r="F6386" s="415">
        <f t="shared" si="186"/>
      </c>
      <c r="G6386" s="415">
        <v>1</v>
      </c>
      <c r="H6386" s="416">
        <f t="shared" si="187"/>
      </c>
    </row>
    <row r="6387" spans="1:8" ht="15.75" customHeight="1" x14ac:dyDescent="0.25">
      <c r="A6387" s="581" t="s">
        <v>486</v>
      </c>
      <c r="B6387" s="582" t="s">
        <v>80</v>
      </c>
      <c r="C6387" s="418" t="s">
        <v>376</v>
      </c>
      <c r="D6387" s="415">
        <v>1</v>
      </c>
      <c r="E6387" s="415">
        <v>6</v>
      </c>
      <c r="F6387" s="415">
        <f t="shared" si="186"/>
      </c>
      <c r="G6387" s="415">
        <v>1</v>
      </c>
      <c r="H6387" s="416">
        <f t="shared" si="187"/>
      </c>
    </row>
    <row r="6388" spans="1:8" ht="15.75" customHeight="1" x14ac:dyDescent="0.25">
      <c r="A6388" s="656" t="s">
        <v>489</v>
      </c>
      <c r="B6388" s="585" t="s">
        <v>145</v>
      </c>
      <c r="C6388" s="418" t="s">
        <v>381</v>
      </c>
      <c r="D6388" s="415">
        <v>1</v>
      </c>
      <c r="E6388" s="415">
        <v>6</v>
      </c>
      <c r="F6388" s="415">
        <f t="shared" si="186"/>
      </c>
      <c r="G6388" s="588">
        <v>1</v>
      </c>
      <c r="H6388" s="416">
        <f t="shared" si="187"/>
      </c>
    </row>
    <row r="6389" spans="1:8" ht="15.75" customHeight="1" x14ac:dyDescent="0.25">
      <c r="A6389" s="656" t="s">
        <v>490</v>
      </c>
      <c r="B6389" s="585" t="s">
        <v>125</v>
      </c>
      <c r="C6389" s="418" t="s">
        <v>386</v>
      </c>
      <c r="D6389" s="415">
        <v>2</v>
      </c>
      <c r="E6389" s="415">
        <v>4</v>
      </c>
      <c r="F6389" s="415">
        <f t="shared" si="186"/>
      </c>
      <c r="G6389" s="588">
        <v>1</v>
      </c>
      <c r="H6389" s="416">
        <f t="shared" si="187"/>
      </c>
    </row>
    <row r="6390" spans="1:8" ht="15.75" customHeight="1" x14ac:dyDescent="0.25">
      <c r="A6390" s="656" t="s">
        <v>781</v>
      </c>
      <c r="B6390" s="585" t="s">
        <v>136</v>
      </c>
      <c r="C6390" s="418" t="s">
        <v>387</v>
      </c>
      <c r="D6390" s="415">
        <v>1</v>
      </c>
      <c r="E6390" s="415">
        <v>6</v>
      </c>
      <c r="F6390" s="415">
        <f t="shared" si="186"/>
      </c>
      <c r="G6390" s="588">
        <v>1</v>
      </c>
      <c r="H6390" s="416">
        <f t="shared" si="187"/>
      </c>
    </row>
    <row r="6391" spans="1:8" ht="15.75" customHeight="1" x14ac:dyDescent="0.25">
      <c r="A6391" s="656" t="s">
        <v>785</v>
      </c>
      <c r="B6391" s="418" t="s">
        <v>127</v>
      </c>
      <c r="C6391" s="418" t="s">
        <v>398</v>
      </c>
      <c r="D6391" s="415">
        <v>1</v>
      </c>
      <c r="E6391" s="415">
        <v>6</v>
      </c>
      <c r="F6391" s="415">
        <f t="shared" si="186"/>
      </c>
      <c r="G6391" s="588">
        <v>1</v>
      </c>
      <c r="H6391" s="416">
        <f t="shared" si="187"/>
      </c>
    </row>
    <row r="6392" spans="1:8" ht="15.75" customHeight="1" x14ac:dyDescent="0.25">
      <c r="A6392" s="656" t="s">
        <v>787</v>
      </c>
      <c r="B6392" s="418" t="s">
        <v>905</v>
      </c>
      <c r="C6392" s="418" t="s">
        <v>401</v>
      </c>
      <c r="D6392" s="415">
        <v>1</v>
      </c>
      <c r="E6392" s="415">
        <v>6</v>
      </c>
      <c r="F6392" s="415">
        <f t="shared" si="186"/>
      </c>
      <c r="G6392" s="588">
        <v>1</v>
      </c>
      <c r="H6392" s="416">
        <f t="shared" si="187"/>
      </c>
    </row>
    <row r="6393" spans="1:8" ht="15.75" customHeight="1" x14ac:dyDescent="0.25">
      <c r="A6393" s="656" t="s">
        <v>790</v>
      </c>
      <c r="B6393" s="418" t="s">
        <v>1728</v>
      </c>
      <c r="C6393" s="418" t="s">
        <v>402</v>
      </c>
      <c r="D6393" s="415">
        <v>1</v>
      </c>
      <c r="E6393" s="415">
        <v>6</v>
      </c>
      <c r="F6393" s="415">
        <f t="shared" si="186"/>
      </c>
      <c r="G6393" s="588">
        <v>1</v>
      </c>
      <c r="H6393" s="416">
        <f t="shared" si="187"/>
      </c>
    </row>
    <row r="6394" spans="1:8" ht="15.75" customHeight="1" x14ac:dyDescent="0.25">
      <c r="A6394" s="656"/>
      <c r="B6394" s="418"/>
      <c r="C6394" s="582"/>
      <c r="D6394" s="415"/>
      <c r="E6394" s="415"/>
      <c r="F6394" s="588"/>
      <c r="G6394" s="588"/>
      <c r="H6394" s="416"/>
    </row>
    <row r="6395" spans="1:8" ht="15.75" customHeight="1" x14ac:dyDescent="0.25">
      <c r="A6395" s="587"/>
      <c r="B6395" s="418"/>
      <c r="C6395" s="582"/>
      <c r="D6395" s="415"/>
      <c r="E6395" s="415"/>
      <c r="F6395" s="588"/>
      <c r="G6395" s="588"/>
      <c r="H6395" s="416"/>
    </row>
    <row r="6396" spans="1:8" ht="15.75" customHeight="1" x14ac:dyDescent="0.25">
      <c r="A6396" s="587"/>
      <c r="B6396" s="418"/>
      <c r="C6396" s="582"/>
      <c r="D6396" s="415"/>
      <c r="E6396" s="415"/>
      <c r="F6396" s="588"/>
      <c r="G6396" s="588"/>
      <c r="H6396" s="416"/>
    </row>
    <row r="6397" spans="1:8" ht="15.75" customHeight="1" x14ac:dyDescent="0.25">
      <c r="A6397" s="430"/>
      <c r="B6397" s="409"/>
      <c r="C6397" s="393"/>
      <c r="D6397" s="427"/>
      <c r="E6397" s="427"/>
      <c r="F6397" s="428"/>
      <c r="G6397" s="431"/>
      <c r="H6397" s="429"/>
    </row>
    <row r="6398" spans="1:8" ht="15.75" customHeight="1" x14ac:dyDescent="0.25">
      <c r="A6398" s="432"/>
      <c r="B6398" s="433"/>
      <c r="C6398" s="434" t="s">
        <v>85</v>
      </c>
      <c r="D6398" s="436">
        <f>SUM(D6383:D6397)</f>
      </c>
      <c r="E6398" s="436"/>
      <c r="F6398" s="436"/>
      <c r="G6398" s="437"/>
      <c r="H6398" s="623">
        <f>SUM(H6383:H6397)</f>
      </c>
    </row>
    <row r="6399" spans="1:8" ht="15.75" customHeight="1" x14ac:dyDescent="0.25">
      <c r="A6399" s="439"/>
      <c r="B6399" s="440"/>
      <c r="C6399" s="440"/>
      <c r="D6399" s="441"/>
      <c r="E6399" s="440"/>
      <c r="F6399" s="442"/>
      <c r="G6399" s="443"/>
      <c r="H6399" s="444"/>
    </row>
    <row r="6400" spans="1:8" ht="15.75" customHeight="1" x14ac:dyDescent="0.25">
      <c r="A6400" s="392"/>
      <c r="B6400" s="391"/>
      <c r="C6400" s="391"/>
      <c r="D6400" s="391"/>
      <c r="E6400" s="390"/>
      <c r="F6400" s="392"/>
      <c r="G6400" s="390"/>
      <c r="H6400" s="394"/>
    </row>
    <row r="6401" spans="1:8" ht="15.75" customHeight="1" x14ac:dyDescent="0.25">
      <c r="A6401" s="445"/>
      <c r="B6401" s="445"/>
      <c r="C6401" s="445"/>
      <c r="D6401" s="446" t="s">
        <v>97</v>
      </c>
      <c r="E6401" s="445" t="s">
        <v>98</v>
      </c>
      <c r="F6401" s="445"/>
      <c r="G6401" s="390"/>
      <c r="H6401" s="394"/>
    </row>
    <row r="6402" spans="1:8" ht="15.75" customHeight="1" x14ac:dyDescent="0.25">
      <c r="A6402" s="390"/>
      <c r="B6402" s="390"/>
      <c r="C6402" s="390"/>
      <c r="D6402" s="391"/>
      <c r="E6402" s="390"/>
      <c r="F6402" s="390"/>
      <c r="G6402" s="390"/>
      <c r="H6402" s="394"/>
    </row>
    <row r="6403" spans="1:8" ht="15.75" customHeight="1" x14ac:dyDescent="0.25">
      <c r="A6403" s="390"/>
      <c r="B6403" s="390"/>
      <c r="C6403" s="390"/>
      <c r="D6403" s="391"/>
      <c r="E6403" s="390"/>
      <c r="F6403" s="390"/>
      <c r="G6403" s="390"/>
      <c r="H6403" s="394"/>
    </row>
    <row r="6404" spans="1:8" ht="15.75" customHeight="1" x14ac:dyDescent="0.25">
      <c r="A6404" s="445"/>
      <c r="B6404" s="445"/>
      <c r="C6404" s="445"/>
      <c r="D6404" s="446"/>
      <c r="E6404" s="445" t="s">
        <v>99</v>
      </c>
      <c r="F6404" s="445"/>
      <c r="G6404" s="390"/>
      <c r="H6404" s="394"/>
    </row>
    <row r="6405" spans="1:8" ht="15.75" customHeight="1" x14ac:dyDescent="0.25">
      <c r="D6405" s="4"/>
      <c r="H6405" s="4"/>
    </row>
    <row r="6406" spans="1:8" ht="15.75" customHeight="1" x14ac:dyDescent="0.25">
      <c r="D6406" s="4"/>
      <c r="H6406" s="4"/>
    </row>
    <row r="6407" spans="1:8" ht="15.75" customHeight="1" x14ac:dyDescent="0.25">
      <c r="D6407" s="4"/>
      <c r="H6407" s="4"/>
    </row>
    <row r="6408" spans="1:8" ht="15.75" customHeight="1" x14ac:dyDescent="0.25">
      <c r="D6408" s="4"/>
      <c r="H6408" s="4"/>
    </row>
    <row r="6409" spans="1:8" ht="15.75" customHeight="1" x14ac:dyDescent="0.25">
      <c r="A6409" s="103" t="s">
        <v>14</v>
      </c>
      <c r="B6409" s="103"/>
      <c r="C6409" s="103"/>
      <c r="D6409" s="103"/>
      <c r="E6409" s="103"/>
      <c r="F6409" s="103"/>
      <c r="G6409" s="103"/>
      <c r="H6409" s="103"/>
    </row>
    <row r="6410" spans="1:8" ht="15.75" customHeight="1" x14ac:dyDescent="0.25">
      <c r="D6410" s="4"/>
      <c r="H6410" s="8"/>
    </row>
    <row r="6411" spans="1:8" ht="15.75" customHeight="1" x14ac:dyDescent="0.25">
      <c r="A6411" s="15"/>
      <c r="B6411" s="15"/>
      <c r="C6411" s="16"/>
      <c r="D6411" s="17"/>
      <c r="E6411" s="18"/>
      <c r="F6411" s="18"/>
      <c r="G6411" s="18"/>
      <c r="H6411" s="19"/>
    </row>
    <row r="6412" spans="1:8" ht="15.75" customHeight="1" x14ac:dyDescent="0.25">
      <c r="A6412" s="390"/>
      <c r="B6412" s="390"/>
      <c r="C6412" s="390"/>
      <c r="D6412" s="391"/>
      <c r="E6412" s="390"/>
      <c r="F6412" s="395" t="s">
        <v>18</v>
      </c>
      <c r="G6412" s="396" t="s">
        <v>849</v>
      </c>
      <c r="H6412" s="397"/>
    </row>
    <row r="6413" spans="1:8" ht="15.75" customHeight="1" x14ac:dyDescent="0.25">
      <c r="A6413" s="390" t="s">
        <v>20</v>
      </c>
      <c r="B6413" s="390"/>
      <c r="C6413" s="390"/>
      <c r="D6413" s="391"/>
      <c r="E6413" s="390"/>
      <c r="F6413" s="395" t="s">
        <v>21</v>
      </c>
      <c r="G6413" s="390" t="s">
        <v>1729</v>
      </c>
      <c r="H6413" s="391"/>
    </row>
    <row r="6414" spans="1:8" ht="15.75" customHeight="1" x14ac:dyDescent="0.25">
      <c r="A6414" s="390" t="inlineStr">
        <is>
          <t>Dealer-003</t>
        </is>
      </c>
      <c r="B6414" s="390"/>
      <c r="C6414" s="390"/>
      <c r="D6414" s="391"/>
      <c r="E6414" s="395"/>
      <c r="F6414" s="390"/>
      <c r="G6414" s="390"/>
      <c r="H6414" s="394"/>
    </row>
    <row r="6415" spans="1:8" ht="15.75" customHeight="1" x14ac:dyDescent="0.25">
      <c r="A6415" s="390" t="inlineStr">
        <is>
          <t>Address line (redacted)</t>
        </is>
      </c>
      <c r="B6415" s="390"/>
      <c r="C6415" s="390"/>
      <c r="D6415" s="398"/>
      <c r="E6415" s="390"/>
      <c r="F6415" s="391"/>
      <c r="G6415" s="390"/>
      <c r="H6415" s="394"/>
    </row>
    <row r="6416" spans="1:8" ht="15.75" customHeight="1" x14ac:dyDescent="0.25">
      <c r="A6416" s="390" t="inlineStr">
        <is>
          <t>Address line (redacted)</t>
        </is>
      </c>
      <c r="B6416" s="390"/>
      <c r="C6416" s="390"/>
      <c r="D6416" s="398"/>
      <c r="E6416" s="390"/>
      <c r="F6416" s="391"/>
      <c r="G6416" s="390"/>
      <c r="H6416" s="394"/>
    </row>
    <row r="6417" spans="1:8" ht="15.75" customHeight="1" x14ac:dyDescent="0.25">
      <c r="A6417" s="447"/>
      <c r="B6417" s="390"/>
      <c r="C6417" s="390"/>
      <c r="D6417" s="391"/>
      <c r="E6417" s="390"/>
      <c r="F6417" s="391"/>
      <c r="G6417" s="390"/>
      <c r="H6417" s="394"/>
    </row>
    <row r="6418" spans="1:8" ht="15.75" customHeight="1" x14ac:dyDescent="0.25">
      <c r="A6418" s="390" t="s">
        <v>30</v>
      </c>
      <c r="B6418" s="390"/>
      <c r="C6418" s="390"/>
      <c r="D6418" s="391"/>
      <c r="E6418" s="390"/>
      <c r="F6418" s="391"/>
      <c r="G6418" s="390"/>
      <c r="H6418" s="394"/>
    </row>
    <row r="6419" spans="1:8" ht="15.75" customHeight="1" x14ac:dyDescent="0.25">
      <c r="A6419" s="390"/>
      <c r="B6419" s="390"/>
      <c r="C6419" s="390"/>
      <c r="D6419" s="391"/>
      <c r="E6419" s="390"/>
      <c r="F6419" s="391"/>
      <c r="G6419" s="390"/>
      <c r="H6419" s="394"/>
    </row>
    <row r="6420" spans="1:8" ht="15.75" customHeight="1" x14ac:dyDescent="0.25">
      <c r="A6420" s="390" t="s">
        <v>1322</v>
      </c>
      <c r="B6420" s="390"/>
      <c r="C6420" s="390"/>
      <c r="D6420" s="391"/>
      <c r="E6420" s="390"/>
      <c r="F6420" s="391"/>
      <c r="G6420" s="390"/>
      <c r="H6420" s="394"/>
    </row>
    <row r="6421" spans="1:8" ht="15.75" customHeight="1" x14ac:dyDescent="0.25">
      <c r="A6421" s="390" t="s">
        <v>1328</v>
      </c>
      <c r="B6421" s="390"/>
      <c r="C6421" s="390"/>
      <c r="D6421" s="391"/>
      <c r="E6421" s="390"/>
      <c r="F6421" s="391"/>
      <c r="G6421" s="390"/>
      <c r="H6421" s="394"/>
    </row>
    <row r="6422" spans="1:8" ht="15.75" customHeight="1" x14ac:dyDescent="0.25">
      <c r="A6422" s="390"/>
      <c r="B6422" s="390"/>
      <c r="C6422" s="390"/>
      <c r="D6422" s="391"/>
      <c r="E6422" s="390"/>
      <c r="F6422" s="391"/>
      <c r="G6422" s="390"/>
      <c r="H6422" s="394"/>
    </row>
    <row r="6423" spans="1:8" ht="15.75" customHeight="1" x14ac:dyDescent="0.25">
      <c r="A6423" s="399" t="s">
        <v>33</v>
      </c>
      <c r="B6423" s="400" t="s">
        <v>6</v>
      </c>
      <c r="C6423" s="400"/>
      <c r="D6423" s="401" t="s">
        <v>37</v>
      </c>
      <c r="E6423" s="402" t="s">
        <v>38</v>
      </c>
      <c r="F6423" s="403" t="s">
        <v>7</v>
      </c>
      <c r="G6423" s="404" t="s">
        <v>43</v>
      </c>
      <c r="H6423" s="405" t="s">
        <v>44</v>
      </c>
    </row>
    <row r="6424" spans="1:8" ht="15.75" customHeight="1" x14ac:dyDescent="0.25">
      <c r="A6424" s="406"/>
      <c r="B6424" s="407"/>
      <c r="C6424" s="393"/>
      <c r="D6424" s="408"/>
      <c r="E6424" s="408"/>
      <c r="F6424" s="409"/>
      <c r="G6424" s="410"/>
      <c r="H6424" s="411"/>
    </row>
    <row r="6425" spans="1:8" ht="15.75" customHeight="1" x14ac:dyDescent="0.25">
      <c r="A6425" s="425"/>
      <c r="B6425" s="557" t="s">
        <v>1239</v>
      </c>
      <c r="C6425" s="560"/>
      <c r="D6425" s="427"/>
      <c r="E6425" s="427"/>
      <c r="F6425" s="391"/>
      <c r="G6425" s="427"/>
      <c r="H6425" s="429"/>
    </row>
    <row r="6426" spans="1:8" ht="15.75" customHeight="1" x14ac:dyDescent="0.25">
      <c r="A6426" s="425" t="s">
        <v>55</v>
      </c>
      <c r="B6426" s="713" t="s">
        <v>60</v>
      </c>
      <c r="C6426" s="567" t="s">
        <v>61</v>
      </c>
      <c r="D6426" s="427">
        <v>4</v>
      </c>
      <c r="E6426" s="427">
        <v>25</v>
      </c>
      <c r="F6426" s="391">
        <f t="shared" ref="F6426:F6428" si="188">+E6426*D6426</f>
      </c>
      <c r="G6426" s="427">
        <v>1</v>
      </c>
      <c r="H6426" s="429">
        <f t="shared" ref="H6426:H6428" si="189">+G6426*F6426</f>
      </c>
    </row>
    <row r="6427" spans="1:8" ht="15.75" customHeight="1" x14ac:dyDescent="0.25">
      <c r="A6427" s="425" t="s">
        <v>59</v>
      </c>
      <c r="B6427" s="448" t="s">
        <v>1958</v>
      </c>
      <c r="C6427" s="567" t="s">
        <v>434</v>
      </c>
      <c r="D6427" s="427">
        <v>1</v>
      </c>
      <c r="E6427" s="427">
        <v>25</v>
      </c>
      <c r="F6427" s="391">
        <f t="shared" si="188"/>
      </c>
      <c r="G6427" s="427">
        <v>1</v>
      </c>
      <c r="H6427" s="429">
        <f t="shared" si="189"/>
      </c>
    </row>
    <row r="6428" spans="1:8" ht="15.75" customHeight="1" x14ac:dyDescent="0.25">
      <c r="A6428" s="425" t="s">
        <v>67</v>
      </c>
      <c r="B6428" s="503" t="s">
        <v>15</v>
      </c>
      <c r="C6428" s="567" t="s">
        <v>442</v>
      </c>
      <c r="D6428" s="427">
        <v>2</v>
      </c>
      <c r="E6428" s="427">
        <v>25</v>
      </c>
      <c r="F6428" s="391">
        <f t="shared" si="188"/>
      </c>
      <c r="G6428" s="427">
        <v>1</v>
      </c>
      <c r="H6428" s="429">
        <f t="shared" si="189"/>
      </c>
    </row>
    <row r="6429" spans="1:8" ht="15.75" customHeight="1" x14ac:dyDescent="0.25">
      <c r="A6429" s="425"/>
      <c r="B6429" s="557" t="s">
        <v>1730</v>
      </c>
      <c r="C6429" s="560"/>
      <c r="D6429" s="427"/>
      <c r="E6429" s="427"/>
      <c r="F6429" s="391"/>
      <c r="G6429" s="427"/>
      <c r="H6429" s="429"/>
    </row>
    <row r="6430" spans="1:8" ht="15.75" customHeight="1" x14ac:dyDescent="0.25">
      <c r="A6430" s="425" t="s">
        <v>485</v>
      </c>
      <c r="B6430" s="503" t="s">
        <v>78</v>
      </c>
      <c r="C6430" s="391" t="s">
        <v>5</v>
      </c>
      <c r="D6430" s="427">
        <v>5</v>
      </c>
      <c r="E6430" s="427">
        <v>24</v>
      </c>
      <c r="F6430" s="391">
        <f>+E6430*D6430</f>
      </c>
      <c r="G6430" s="427">
        <v>1</v>
      </c>
      <c r="H6430" s="429">
        <f>+G6430*F6430</f>
      </c>
    </row>
    <row r="6431" spans="1:8" ht="15.75" customHeight="1" x14ac:dyDescent="0.25">
      <c r="A6431" s="425"/>
      <c r="B6431" s="426"/>
      <c r="C6431" s="390"/>
      <c r="D6431" s="427"/>
      <c r="E6431" s="427"/>
      <c r="F6431" s="391"/>
      <c r="G6431" s="427"/>
      <c r="H6431" s="429"/>
    </row>
    <row r="6432" spans="1:8" ht="15.75" customHeight="1" x14ac:dyDescent="0.25">
      <c r="A6432" s="425"/>
      <c r="B6432" s="426"/>
      <c r="C6432" s="390"/>
      <c r="D6432" s="427"/>
      <c r="E6432" s="427"/>
      <c r="F6432" s="391"/>
      <c r="G6432" s="427"/>
      <c r="H6432" s="429"/>
    </row>
    <row r="6433" spans="1:8" ht="15.75" customHeight="1" x14ac:dyDescent="0.25">
      <c r="A6433" s="430"/>
      <c r="B6433" s="409"/>
      <c r="C6433" s="393"/>
      <c r="D6433" s="427"/>
      <c r="E6433" s="427"/>
      <c r="F6433" s="428"/>
      <c r="G6433" s="431"/>
      <c r="H6433" s="429"/>
    </row>
    <row r="6434" spans="1:8" ht="15.75" customHeight="1" x14ac:dyDescent="0.25">
      <c r="A6434" s="432"/>
      <c r="B6434" s="433"/>
      <c r="C6434" s="434" t="s">
        <v>85</v>
      </c>
      <c r="D6434" s="435">
        <f>SUM(D6425:D6433)</f>
      </c>
      <c r="E6434" s="435"/>
      <c r="F6434" s="436"/>
      <c r="G6434" s="437"/>
      <c r="H6434" s="438">
        <f>SUM(H6426:H6433)</f>
      </c>
    </row>
    <row r="6435" spans="1:8" ht="15.75" customHeight="1" x14ac:dyDescent="0.25">
      <c r="A6435" s="439"/>
      <c r="B6435" s="440"/>
      <c r="C6435" s="440"/>
      <c r="D6435" s="441"/>
      <c r="E6435" s="440"/>
      <c r="F6435" s="442"/>
      <c r="G6435" s="443"/>
      <c r="H6435" s="444"/>
    </row>
    <row r="6436" spans="1:8" ht="15.75" customHeight="1" x14ac:dyDescent="0.25">
      <c r="A6436" s="392"/>
      <c r="B6436" s="391"/>
      <c r="C6436" s="391"/>
      <c r="D6436" s="391"/>
      <c r="E6436" s="390"/>
      <c r="F6436" s="392"/>
      <c r="G6436" s="390"/>
      <c r="H6436" s="394"/>
    </row>
    <row r="6437" spans="1:8" ht="15.75" customHeight="1" x14ac:dyDescent="0.25">
      <c r="A6437" s="445"/>
      <c r="B6437" s="445"/>
      <c r="C6437" s="445"/>
      <c r="D6437" s="446" t="s">
        <v>97</v>
      </c>
      <c r="E6437" s="445" t="s">
        <v>98</v>
      </c>
      <c r="F6437" s="445"/>
      <c r="G6437" s="390"/>
      <c r="H6437" s="394"/>
    </row>
    <row r="6438" spans="1:8" ht="15.75" customHeight="1" x14ac:dyDescent="0.25">
      <c r="A6438" s="390"/>
      <c r="B6438" s="390"/>
      <c r="C6438" s="390"/>
      <c r="D6438" s="391"/>
      <c r="E6438" s="390"/>
      <c r="F6438" s="390"/>
      <c r="G6438" s="390"/>
      <c r="H6438" s="394"/>
    </row>
    <row r="6439" spans="1:8" ht="15.75" customHeight="1" x14ac:dyDescent="0.25">
      <c r="A6439" s="390"/>
      <c r="B6439" s="390"/>
      <c r="C6439" s="390"/>
      <c r="D6439" s="391"/>
      <c r="E6439" s="390"/>
      <c r="F6439" s="390"/>
      <c r="G6439" s="390"/>
      <c r="H6439" s="394"/>
    </row>
    <row r="6440" spans="1:8" ht="15.75" customHeight="1" x14ac:dyDescent="0.25">
      <c r="A6440" s="445"/>
      <c r="B6440" s="445"/>
      <c r="C6440" s="445"/>
      <c r="D6440" s="446"/>
      <c r="E6440" s="445" t="s">
        <v>99</v>
      </c>
      <c r="F6440" s="445"/>
      <c r="G6440" s="390"/>
      <c r="H6440" s="394"/>
    </row>
    <row r="6441" spans="1:8" ht="15.75" customHeight="1" x14ac:dyDescent="0.25">
      <c r="D6441" s="4"/>
      <c r="H6441" s="4"/>
    </row>
    <row r="6442" spans="1:8" ht="15.75" customHeight="1" x14ac:dyDescent="0.25">
      <c r="D6442" s="4"/>
      <c r="H6442" s="4"/>
    </row>
    <row r="6443" spans="1:8" ht="15.75" customHeight="1" x14ac:dyDescent="0.25">
      <c r="D6443" s="4"/>
      <c r="H6443" s="4"/>
    </row>
    <row r="6444" spans="1:8" ht="15.75" customHeight="1" x14ac:dyDescent="0.25">
      <c r="D6444" s="4"/>
      <c r="H6444" s="4"/>
    </row>
    <row r="6445" spans="1:8" ht="15.75" customHeight="1" x14ac:dyDescent="0.25">
      <c r="D6445" s="4"/>
      <c r="H6445" s="4"/>
    </row>
    <row r="6446" spans="1:8" ht="15.75" customHeight="1" x14ac:dyDescent="0.25">
      <c r="D6446" s="4"/>
      <c r="H6446" s="4"/>
    </row>
    <row r="6447" spans="1:8" ht="15.75" customHeight="1" x14ac:dyDescent="0.25">
      <c r="D6447" s="4"/>
      <c r="H6447" s="4"/>
    </row>
    <row r="6448" spans="1:8" ht="15.75" customHeight="1" x14ac:dyDescent="0.25">
      <c r="D6448" s="4"/>
      <c r="H6448" s="4"/>
    </row>
    <row r="6449" spans="1:8" ht="15.75" customHeight="1" x14ac:dyDescent="0.25">
      <c r="D6449" s="4"/>
      <c r="H6449" s="4"/>
    </row>
    <row r="6450" spans="1:8" ht="15.75" customHeight="1" x14ac:dyDescent="0.25">
      <c r="D6450" s="4"/>
      <c r="H6450" s="4"/>
    </row>
    <row r="6451" spans="1:8" ht="15.75" customHeight="1" x14ac:dyDescent="0.25">
      <c r="D6451" s="4"/>
      <c r="H6451" s="4"/>
    </row>
    <row r="6452" spans="1:8" ht="15.75" customHeight="1" x14ac:dyDescent="0.25">
      <c r="D6452" s="4"/>
      <c r="H6452" s="4"/>
    </row>
    <row r="6453" spans="1:8" ht="15.75" customHeight="1" x14ac:dyDescent="0.25">
      <c r="D6453" s="4"/>
      <c r="H6453" s="4"/>
    </row>
    <row r="6454" spans="1:8" ht="15.75" customHeight="1" x14ac:dyDescent="0.25">
      <c r="A6454" s="103" t="s">
        <v>14</v>
      </c>
      <c r="B6454" s="103"/>
      <c r="C6454" s="103"/>
      <c r="D6454" s="103"/>
      <c r="E6454" s="103"/>
      <c r="F6454" s="103"/>
      <c r="G6454" s="103"/>
      <c r="H6454" s="103"/>
    </row>
    <row r="6455" spans="1:8" ht="15.75" customHeight="1" x14ac:dyDescent="0.25">
      <c r="D6455" s="4"/>
      <c r="H6455" s="8"/>
    </row>
    <row r="6456" spans="1:8" ht="15.75" customHeight="1" x14ac:dyDescent="0.25">
      <c r="A6456" s="15"/>
      <c r="B6456" s="15"/>
      <c r="C6456" s="16"/>
      <c r="D6456" s="17"/>
      <c r="E6456" s="18"/>
      <c r="F6456" s="18"/>
      <c r="G6456" s="18"/>
      <c r="H6456" s="19"/>
    </row>
    <row r="6457" spans="1:8" ht="15.75" customHeight="1" x14ac:dyDescent="0.25">
      <c r="A6457" s="390"/>
      <c r="B6457" s="390"/>
      <c r="C6457" s="390"/>
      <c r="D6457" s="391"/>
      <c r="E6457" s="390"/>
      <c r="F6457" s="395" t="s">
        <v>18</v>
      </c>
      <c r="G6457" s="396" t="s">
        <v>849</v>
      </c>
      <c r="H6457" s="397"/>
    </row>
    <row r="6458" spans="1:8" ht="15.75" customHeight="1" x14ac:dyDescent="0.25">
      <c r="A6458" s="390" t="s">
        <v>20</v>
      </c>
      <c r="B6458" s="390"/>
      <c r="C6458" s="390"/>
      <c r="D6458" s="391"/>
      <c r="E6458" s="390"/>
      <c r="F6458" s="395" t="s">
        <v>21</v>
      </c>
      <c r="G6458" s="390" t="s">
        <v>1731</v>
      </c>
      <c r="H6458" s="391"/>
    </row>
    <row r="6459" spans="1:8" ht="15.75" customHeight="1" x14ac:dyDescent="0.25">
      <c r="A6459" s="390" t="inlineStr">
        <is>
          <t>Dealer-003</t>
        </is>
      </c>
      <c r="B6459" s="390"/>
      <c r="C6459" s="390"/>
      <c r="D6459" s="391"/>
      <c r="E6459" s="395"/>
      <c r="F6459" s="390"/>
      <c r="G6459" s="390"/>
      <c r="H6459" s="394"/>
    </row>
    <row r="6460" spans="1:8" ht="15.75" customHeight="1" x14ac:dyDescent="0.25">
      <c r="A6460" s="390" t="inlineStr">
        <is>
          <t>Address line (redacted)</t>
        </is>
      </c>
      <c r="B6460" s="390"/>
      <c r="C6460" s="390"/>
      <c r="D6460" s="398"/>
      <c r="E6460" s="390"/>
      <c r="F6460" s="391"/>
      <c r="G6460" s="390"/>
      <c r="H6460" s="394"/>
    </row>
    <row r="6461" spans="1:8" ht="15.75" customHeight="1" x14ac:dyDescent="0.25">
      <c r="A6461" s="390" t="inlineStr">
        <is>
          <t>Address line (redacted)</t>
        </is>
      </c>
      <c r="B6461" s="390"/>
      <c r="C6461" s="390"/>
      <c r="D6461" s="398"/>
      <c r="E6461" s="390"/>
      <c r="F6461" s="391"/>
      <c r="G6461" s="390"/>
      <c r="H6461" s="394"/>
    </row>
    <row r="6462" spans="1:8" ht="15.75" customHeight="1" x14ac:dyDescent="0.25">
      <c r="A6462" s="447"/>
      <c r="B6462" s="390"/>
      <c r="C6462" s="390"/>
      <c r="D6462" s="391"/>
      <c r="E6462" s="390"/>
      <c r="F6462" s="391"/>
      <c r="G6462" s="390"/>
      <c r="H6462" s="394"/>
    </row>
    <row r="6463" spans="1:8" ht="15.75" customHeight="1" x14ac:dyDescent="0.25">
      <c r="A6463" s="390" t="s">
        <v>30</v>
      </c>
      <c r="B6463" s="390"/>
      <c r="C6463" s="390"/>
      <c r="D6463" s="391"/>
      <c r="E6463" s="390"/>
      <c r="F6463" s="391"/>
      <c r="G6463" s="390"/>
      <c r="H6463" s="394"/>
    </row>
    <row r="6464" spans="1:8" ht="15.75" customHeight="1" x14ac:dyDescent="0.25">
      <c r="A6464" s="390"/>
      <c r="B6464" s="390"/>
      <c r="C6464" s="390"/>
      <c r="D6464" s="391"/>
      <c r="E6464" s="390"/>
      <c r="F6464" s="391"/>
      <c r="G6464" s="390"/>
      <c r="H6464" s="394"/>
    </row>
    <row r="6465" spans="1:8" ht="15.75" customHeight="1" x14ac:dyDescent="0.25">
      <c r="A6465" s="390" t="s">
        <v>1322</v>
      </c>
      <c r="B6465" s="390"/>
      <c r="C6465" s="390"/>
      <c r="D6465" s="391"/>
      <c r="E6465" s="390"/>
      <c r="F6465" s="391"/>
      <c r="G6465" s="390"/>
      <c r="H6465" s="394"/>
    </row>
    <row r="6466" spans="1:8" ht="15.75" customHeight="1" x14ac:dyDescent="0.25">
      <c r="A6466" s="390" t="s">
        <v>1328</v>
      </c>
      <c r="B6466" s="390"/>
      <c r="C6466" s="390"/>
      <c r="D6466" s="391"/>
      <c r="E6466" s="390"/>
      <c r="F6466" s="391"/>
      <c r="G6466" s="390"/>
      <c r="H6466" s="394"/>
    </row>
    <row r="6467" spans="1:8" ht="15.75" customHeight="1" x14ac:dyDescent="0.25">
      <c r="A6467" s="390"/>
      <c r="B6467" s="390"/>
      <c r="C6467" s="390"/>
      <c r="D6467" s="391"/>
      <c r="E6467" s="390"/>
      <c r="F6467" s="391"/>
      <c r="G6467" s="390"/>
      <c r="H6467" s="394"/>
    </row>
    <row r="6468" spans="1:8" ht="15.75" customHeight="1" x14ac:dyDescent="0.25">
      <c r="A6468" s="399" t="s">
        <v>33</v>
      </c>
      <c r="B6468" s="400" t="s">
        <v>6</v>
      </c>
      <c r="C6468" s="400"/>
      <c r="D6468" s="401" t="s">
        <v>37</v>
      </c>
      <c r="E6468" s="402" t="s">
        <v>38</v>
      </c>
      <c r="F6468" s="403" t="s">
        <v>7</v>
      </c>
      <c r="G6468" s="404" t="s">
        <v>43</v>
      </c>
      <c r="H6468" s="405" t="s">
        <v>44</v>
      </c>
    </row>
    <row r="6469" spans="1:8" ht="15.75" customHeight="1" x14ac:dyDescent="0.25">
      <c r="A6469" s="406"/>
      <c r="B6469" s="407"/>
      <c r="C6469" s="393"/>
      <c r="D6469" s="408"/>
      <c r="E6469" s="408"/>
      <c r="F6469" s="409"/>
      <c r="G6469" s="410"/>
      <c r="H6469" s="411"/>
    </row>
    <row r="6470" spans="1:8" ht="15.75" customHeight="1" x14ac:dyDescent="0.25">
      <c r="A6470" s="425"/>
      <c r="B6470" s="557" t="s">
        <v>1239</v>
      </c>
      <c r="C6470" s="558"/>
      <c r="D6470" s="427"/>
      <c r="E6470" s="427"/>
      <c r="F6470" s="391"/>
      <c r="G6470" s="427"/>
      <c r="H6470" s="429"/>
    </row>
    <row r="6471" spans="1:8" ht="15.75" customHeight="1" x14ac:dyDescent="0.25">
      <c r="A6471" s="425" t="s">
        <v>55</v>
      </c>
      <c r="B6471" s="585" t="s">
        <v>1732</v>
      </c>
      <c r="C6471" s="588" t="s">
        <v>433</v>
      </c>
      <c r="D6471" s="427">
        <v>4</v>
      </c>
      <c r="E6471" s="427">
        <v>25</v>
      </c>
      <c r="F6471" s="391">
        <f>+E6471*D6471</f>
      </c>
      <c r="G6471" s="427">
        <v>1</v>
      </c>
      <c r="H6471" s="429">
        <f>+G6471*F6471</f>
      </c>
    </row>
    <row r="6472" spans="1:8" ht="15.75" customHeight="1" x14ac:dyDescent="0.25">
      <c r="A6472" s="425"/>
      <c r="B6472" s="448"/>
      <c r="C6472" s="390"/>
      <c r="D6472" s="427"/>
      <c r="E6472" s="427"/>
      <c r="F6472" s="391"/>
      <c r="G6472" s="427"/>
      <c r="H6472" s="429"/>
    </row>
    <row r="6473" spans="1:8" ht="15.75" customHeight="1" x14ac:dyDescent="0.25">
      <c r="A6473" s="425"/>
      <c r="B6473" s="426"/>
      <c r="C6473" s="390"/>
      <c r="D6473" s="427"/>
      <c r="E6473" s="427"/>
      <c r="F6473" s="391"/>
      <c r="G6473" s="427"/>
      <c r="H6473" s="429"/>
    </row>
    <row r="6474" spans="1:8" ht="15.75" customHeight="1" x14ac:dyDescent="0.25">
      <c r="A6474" s="425"/>
      <c r="B6474" s="426"/>
      <c r="C6474" s="390"/>
      <c r="D6474" s="427"/>
      <c r="E6474" s="427"/>
      <c r="F6474" s="391"/>
      <c r="G6474" s="427"/>
      <c r="H6474" s="429"/>
    </row>
    <row r="6475" spans="1:8" ht="15.75" customHeight="1" x14ac:dyDescent="0.25">
      <c r="A6475" s="425"/>
      <c r="B6475" s="426"/>
      <c r="C6475" s="390"/>
      <c r="D6475" s="427"/>
      <c r="E6475" s="427"/>
      <c r="F6475" s="391"/>
      <c r="G6475" s="427"/>
      <c r="H6475" s="429"/>
    </row>
    <row r="6476" spans="1:8" ht="15.75" customHeight="1" x14ac:dyDescent="0.25">
      <c r="A6476" s="425"/>
      <c r="B6476" s="426"/>
      <c r="C6476" s="390"/>
      <c r="D6476" s="427"/>
      <c r="E6476" s="427"/>
      <c r="F6476" s="391"/>
      <c r="G6476" s="427"/>
      <c r="H6476" s="429"/>
    </row>
    <row r="6477" spans="1:8" ht="15.75" customHeight="1" x14ac:dyDescent="0.25">
      <c r="A6477" s="425"/>
      <c r="B6477" s="426"/>
      <c r="C6477" s="390"/>
      <c r="D6477" s="427"/>
      <c r="E6477" s="427"/>
      <c r="F6477" s="391"/>
      <c r="G6477" s="427"/>
      <c r="H6477" s="429"/>
    </row>
    <row r="6478" spans="1:8" ht="15.75" customHeight="1" x14ac:dyDescent="0.25">
      <c r="A6478" s="430"/>
      <c r="B6478" s="409"/>
      <c r="C6478" s="393"/>
      <c r="D6478" s="427"/>
      <c r="E6478" s="427"/>
      <c r="F6478" s="428"/>
      <c r="G6478" s="431"/>
      <c r="H6478" s="429"/>
    </row>
    <row r="6479" spans="1:8" ht="15.75" customHeight="1" x14ac:dyDescent="0.25">
      <c r="A6479" s="432"/>
      <c r="B6479" s="433"/>
      <c r="C6479" s="434" t="s">
        <v>85</v>
      </c>
      <c r="D6479" s="435">
        <f>SUM(D6470:D6478)</f>
      </c>
      <c r="E6479" s="435"/>
      <c r="F6479" s="436"/>
      <c r="G6479" s="437"/>
      <c r="H6479" s="438">
        <f>SUM(H6471:H6478)</f>
      </c>
    </row>
    <row r="6480" spans="1:8" ht="15.75" customHeight="1" x14ac:dyDescent="0.25">
      <c r="A6480" s="439"/>
      <c r="B6480" s="440"/>
      <c r="C6480" s="440"/>
      <c r="D6480" s="441"/>
      <c r="E6480" s="440"/>
      <c r="F6480" s="442"/>
      <c r="G6480" s="443"/>
      <c r="H6480" s="444"/>
    </row>
    <row r="6481" spans="1:8" ht="15.75" customHeight="1" x14ac:dyDescent="0.25">
      <c r="A6481" s="392"/>
      <c r="B6481" s="391"/>
      <c r="C6481" s="391"/>
      <c r="D6481" s="391"/>
      <c r="E6481" s="390"/>
      <c r="F6481" s="392"/>
      <c r="G6481" s="390"/>
      <c r="H6481" s="394"/>
    </row>
    <row r="6482" spans="1:8" ht="15.75" customHeight="1" x14ac:dyDescent="0.25">
      <c r="A6482" s="445"/>
      <c r="B6482" s="445"/>
      <c r="C6482" s="445"/>
      <c r="D6482" s="446" t="s">
        <v>97</v>
      </c>
      <c r="E6482" s="445" t="s">
        <v>98</v>
      </c>
      <c r="F6482" s="445"/>
      <c r="G6482" s="390"/>
      <c r="H6482" s="394"/>
    </row>
    <row r="6483" spans="1:8" ht="15.75" customHeight="1" x14ac:dyDescent="0.25">
      <c r="A6483" s="390"/>
      <c r="B6483" s="390"/>
      <c r="C6483" s="390"/>
      <c r="D6483" s="391"/>
      <c r="E6483" s="390"/>
      <c r="F6483" s="390"/>
      <c r="G6483" s="390"/>
      <c r="H6483" s="394"/>
    </row>
    <row r="6484" spans="1:8" ht="15.75" customHeight="1" x14ac:dyDescent="0.25">
      <c r="A6484" s="390"/>
      <c r="B6484" s="390"/>
      <c r="C6484" s="390"/>
      <c r="D6484" s="391"/>
      <c r="E6484" s="390"/>
      <c r="F6484" s="390"/>
      <c r="G6484" s="390"/>
      <c r="H6484" s="394"/>
    </row>
    <row r="6485" spans="1:8" ht="15.75" customHeight="1" x14ac:dyDescent="0.25">
      <c r="A6485" s="445"/>
      <c r="B6485" s="445"/>
      <c r="C6485" s="445"/>
      <c r="D6485" s="446"/>
      <c r="E6485" s="445" t="s">
        <v>99</v>
      </c>
      <c r="F6485" s="445"/>
      <c r="G6485" s="390"/>
      <c r="H6485" s="394"/>
    </row>
    <row r="6486" spans="1:8" ht="15.75" customHeight="1" x14ac:dyDescent="0.25">
      <c r="D6486" s="4"/>
      <c r="H6486" s="4"/>
    </row>
    <row r="6487" spans="1:8" ht="15.75" customHeight="1" x14ac:dyDescent="0.25">
      <c r="D6487" s="4"/>
      <c r="H6487" s="4"/>
    </row>
    <row r="6488" spans="1:8" ht="15.75" customHeight="1" x14ac:dyDescent="0.25">
      <c r="D6488" s="4"/>
      <c r="H6488" s="4"/>
    </row>
    <row r="6489" spans="1:8" ht="15.75" customHeight="1" x14ac:dyDescent="0.25">
      <c r="D6489" s="4"/>
      <c r="H6489" s="4"/>
    </row>
    <row r="6490" spans="1:8" ht="15.75" customHeight="1" x14ac:dyDescent="0.25">
      <c r="D6490" s="4"/>
      <c r="H6490" s="4"/>
    </row>
    <row r="6491" spans="1:8" ht="15.75" customHeight="1" x14ac:dyDescent="0.25">
      <c r="D6491" s="4"/>
      <c r="H6491" s="4"/>
    </row>
    <row r="6492" spans="1:8" ht="15.75" customHeight="1" x14ac:dyDescent="0.25">
      <c r="D6492" s="4"/>
      <c r="H6492" s="4"/>
    </row>
    <row r="6493" spans="1:8" ht="15.75" customHeight="1" x14ac:dyDescent="0.25">
      <c r="D6493" s="4"/>
      <c r="H6493" s="4"/>
    </row>
    <row r="6494" spans="1:8" ht="15.75" customHeight="1" x14ac:dyDescent="0.25">
      <c r="D6494" s="4"/>
      <c r="H6494" s="4"/>
    </row>
    <row r="6495" spans="1:8" ht="15.75" customHeight="1" x14ac:dyDescent="0.25">
      <c r="D6495" s="4"/>
      <c r="H6495" s="4"/>
    </row>
    <row r="6496" spans="1:8" ht="15.75" customHeight="1" x14ac:dyDescent="0.25">
      <c r="D6496" s="4"/>
      <c r="H6496" s="4"/>
    </row>
    <row r="6497" spans="1:8" ht="15.75" customHeight="1" x14ac:dyDescent="0.25">
      <c r="D6497" s="4"/>
      <c r="H6497" s="4"/>
    </row>
    <row r="6498" spans="1:8" ht="15.75" customHeight="1" x14ac:dyDescent="0.25">
      <c r="D6498" s="4"/>
      <c r="H6498" s="4"/>
    </row>
    <row r="6499" spans="1:8" ht="15.75" customHeight="1" x14ac:dyDescent="0.25">
      <c r="A6499" s="398" t="s">
        <v>14</v>
      </c>
      <c r="B6499" s="398"/>
      <c r="C6499" s="398"/>
      <c r="D6499" s="398"/>
      <c r="E6499" s="398"/>
      <c r="F6499" s="398"/>
      <c r="G6499" s="398"/>
      <c r="H6499" s="398"/>
    </row>
    <row r="6500" spans="1:8" ht="15.75" customHeight="1" x14ac:dyDescent="0.25">
      <c r="A6500" s="390"/>
      <c r="B6500" s="390"/>
      <c r="C6500" s="390"/>
      <c r="D6500" s="391"/>
      <c r="E6500" s="390"/>
      <c r="F6500" s="390"/>
      <c r="G6500" s="390"/>
      <c r="H6500" s="398"/>
    </row>
    <row r="6501" spans="1:8" ht="15.75" customHeight="1" x14ac:dyDescent="0.25">
      <c r="A6501" s="390"/>
      <c r="B6501" s="390"/>
      <c r="C6501" s="391"/>
      <c r="D6501" s="392"/>
      <c r="E6501" s="393"/>
      <c r="F6501" s="393"/>
      <c r="G6501" s="393"/>
      <c r="H6501" s="394"/>
    </row>
    <row r="6502" spans="1:8" ht="15.75" customHeight="1" x14ac:dyDescent="0.25">
      <c r="A6502" s="390"/>
      <c r="B6502" s="390"/>
      <c r="C6502" s="390"/>
      <c r="D6502" s="391"/>
      <c r="E6502" s="390"/>
      <c r="F6502" s="395" t="s">
        <v>18</v>
      </c>
      <c r="G6502" s="396" t="s">
        <v>858</v>
      </c>
      <c r="H6502" s="397"/>
    </row>
    <row r="6503" spans="1:8" ht="15.75" customHeight="1" x14ac:dyDescent="0.25">
      <c r="A6503" s="390" t="s">
        <v>20</v>
      </c>
      <c r="B6503" s="390"/>
      <c r="C6503" s="390"/>
      <c r="D6503" s="391"/>
      <c r="E6503" s="390"/>
      <c r="F6503" s="395" t="s">
        <v>21</v>
      </c>
      <c r="G6503" s="390" t="s">
        <v>1422</v>
      </c>
      <c r="H6503" s="391"/>
    </row>
    <row r="6504" spans="1:8" ht="15.75" customHeight="1" x14ac:dyDescent="0.25">
      <c r="A6504" s="390" t="inlineStr">
        <is>
          <t>Dealer-009</t>
        </is>
      </c>
      <c r="B6504" s="390"/>
      <c r="C6504" s="390" t="inlineStr">
        <is>
          <t>ATTN: Contact-001</t>
        </is>
      </c>
      <c r="D6504" s="391"/>
      <c r="E6504" s="395"/>
      <c r="F6504" s="390"/>
      <c r="G6504" s="390"/>
      <c r="H6504" s="394"/>
    </row>
    <row r="6505" spans="1:8" ht="15.75" customHeight="1" x14ac:dyDescent="0.25">
      <c r="A6505" s="390" t="inlineStr">
        <is>
          <t>Address line (redacted)</t>
        </is>
      </c>
      <c r="B6505" s="390"/>
      <c r="C6505" s="390"/>
      <c r="D6505" s="398"/>
      <c r="E6505" s="390"/>
      <c r="F6505" s="391"/>
      <c r="G6505" s="390"/>
      <c r="H6505" s="394"/>
    </row>
    <row r="6506" spans="1:8" ht="15.75" customHeight="1" x14ac:dyDescent="0.25">
      <c r="A6506" s="390" t="inlineStr">
        <is>
          <t>Address line (redacted)</t>
        </is>
      </c>
      <c r="B6506" s="390"/>
      <c r="C6506" s="390"/>
      <c r="D6506" s="398"/>
      <c r="E6506" s="390"/>
      <c r="F6506" s="391"/>
      <c r="G6506" s="390"/>
      <c r="H6506" s="394"/>
    </row>
    <row r="6507" spans="1:8" ht="15.75" customHeight="1" x14ac:dyDescent="0.25">
      <c r="A6507" s="447"/>
      <c r="B6507" s="390"/>
      <c r="C6507" s="390"/>
      <c r="D6507" s="391"/>
      <c r="E6507" s="390"/>
      <c r="F6507" s="391"/>
      <c r="G6507" s="390"/>
      <c r="H6507" s="394"/>
    </row>
    <row r="6508" spans="1:8" ht="15.75" customHeight="1" x14ac:dyDescent="0.25">
      <c r="A6508" s="390" t="s">
        <v>30</v>
      </c>
      <c r="B6508" s="390"/>
      <c r="C6508" s="390"/>
      <c r="D6508" s="391"/>
      <c r="E6508" s="390"/>
      <c r="F6508" s="391"/>
      <c r="G6508" s="390"/>
      <c r="H6508" s="394"/>
    </row>
    <row r="6509" spans="1:8" ht="15.75" customHeight="1" x14ac:dyDescent="0.25">
      <c r="A6509" s="390"/>
      <c r="B6509" s="390"/>
      <c r="C6509" s="390"/>
      <c r="D6509" s="391"/>
      <c r="E6509" s="390"/>
      <c r="F6509" s="391"/>
      <c r="G6509" s="390"/>
      <c r="H6509" s="394"/>
    </row>
    <row r="6510" spans="1:8" ht="15.75" customHeight="1" x14ac:dyDescent="0.25">
      <c r="A6510" s="390" t="s">
        <v>1322</v>
      </c>
      <c r="B6510" s="390"/>
      <c r="C6510" s="390"/>
      <c r="D6510" s="391"/>
      <c r="E6510" s="390"/>
      <c r="F6510" s="391"/>
      <c r="G6510" s="390"/>
      <c r="H6510" s="394"/>
    </row>
    <row r="6511" spans="1:8" ht="15.75" customHeight="1" x14ac:dyDescent="0.25">
      <c r="A6511" s="390" t="s">
        <v>1328</v>
      </c>
      <c r="B6511" s="390"/>
      <c r="C6511" s="390"/>
      <c r="D6511" s="391"/>
      <c r="E6511" s="390"/>
      <c r="F6511" s="391"/>
      <c r="G6511" s="390"/>
      <c r="H6511" s="394"/>
    </row>
    <row r="6512" spans="1:8" ht="15.75" customHeight="1" x14ac:dyDescent="0.25">
      <c r="A6512" s="390"/>
      <c r="B6512" s="390"/>
      <c r="C6512" s="390"/>
      <c r="D6512" s="391"/>
      <c r="E6512" s="390"/>
      <c r="F6512" s="391"/>
      <c r="G6512" s="390"/>
      <c r="H6512" s="394"/>
    </row>
    <row r="6513" spans="1:8" ht="15.75" customHeight="1" x14ac:dyDescent="0.25">
      <c r="A6513" s="399" t="s">
        <v>33</v>
      </c>
      <c r="B6513" s="400" t="s">
        <v>6</v>
      </c>
      <c r="C6513" s="400"/>
      <c r="D6513" s="401" t="s">
        <v>37</v>
      </c>
      <c r="E6513" s="402" t="s">
        <v>38</v>
      </c>
      <c r="F6513" s="403" t="s">
        <v>7</v>
      </c>
      <c r="G6513" s="404" t="s">
        <v>43</v>
      </c>
      <c r="H6513" s="405" t="s">
        <v>44</v>
      </c>
    </row>
    <row r="6514" spans="1:8" ht="15.75" customHeight="1" x14ac:dyDescent="0.25">
      <c r="A6514" s="406"/>
      <c r="B6514" s="407"/>
      <c r="C6514" s="393"/>
      <c r="D6514" s="408"/>
      <c r="E6514" s="408"/>
      <c r="F6514" s="409"/>
      <c r="G6514" s="410"/>
      <c r="H6514" s="411"/>
    </row>
    <row r="6515" spans="1:8" ht="15.75" customHeight="1" x14ac:dyDescent="0.25">
      <c r="A6515" s="556"/>
      <c r="B6515" s="557" t="s">
        <v>1187</v>
      </c>
      <c r="C6515" s="558"/>
      <c r="D6515" s="408"/>
      <c r="E6515" s="408"/>
      <c r="F6515" s="398"/>
      <c r="G6515" s="408"/>
      <c r="H6515" s="559"/>
    </row>
    <row r="6516" spans="1:8" ht="15.75" customHeight="1" x14ac:dyDescent="0.25">
      <c r="A6516" s="425" t="s">
        <v>55</v>
      </c>
      <c r="B6516" s="448" t="s">
        <v>1733</v>
      </c>
      <c r="C6516" s="507" t="s">
        <v>1179</v>
      </c>
      <c r="D6516" s="427">
        <v>1</v>
      </c>
      <c r="E6516" s="427">
        <v>300</v>
      </c>
      <c r="F6516" s="391">
        <f>+E6516*D6516</f>
      </c>
      <c r="G6516" s="427">
        <v>1</v>
      </c>
      <c r="H6516" s="429">
        <f>+G6516*F6516</f>
      </c>
    </row>
    <row r="6517" spans="1:8" ht="15.75" customHeight="1" x14ac:dyDescent="0.25">
      <c r="A6517" s="425"/>
      <c r="B6517" s="557" t="s">
        <v>1734</v>
      </c>
      <c r="C6517" s="558"/>
      <c r="D6517" s="427"/>
      <c r="E6517" s="427"/>
      <c r="F6517" s="391"/>
      <c r="G6517" s="427"/>
      <c r="H6517" s="429"/>
    </row>
    <row r="6518" spans="1:8" ht="15.75" customHeight="1" x14ac:dyDescent="0.25">
      <c r="A6518" s="425" t="s">
        <v>59</v>
      </c>
      <c r="B6518" s="448" t="s">
        <v>1735</v>
      </c>
      <c r="C6518" s="451"/>
      <c r="D6518" s="427">
        <v>5</v>
      </c>
      <c r="E6518" s="427">
        <v>5</v>
      </c>
      <c r="F6518" s="391">
        <f>+E6518*D6518</f>
      </c>
      <c r="G6518" s="427">
        <v>1</v>
      </c>
      <c r="H6518" s="429">
        <f>+G6518*F6518</f>
      </c>
    </row>
    <row r="6519" spans="1:8" ht="15.75" customHeight="1" x14ac:dyDescent="0.25">
      <c r="A6519" s="425"/>
      <c r="B6519" s="557" t="s">
        <v>674</v>
      </c>
      <c r="C6519" s="558"/>
      <c r="D6519" s="427"/>
      <c r="E6519" s="427"/>
      <c r="F6519" s="391"/>
      <c r="G6519" s="427"/>
      <c r="H6519" s="429"/>
    </row>
    <row r="6520" spans="1:8" ht="15.75" customHeight="1" x14ac:dyDescent="0.25">
      <c r="A6520" s="425" t="s">
        <v>67</v>
      </c>
      <c r="B6520" s="448" t="s">
        <v>1076</v>
      </c>
      <c r="C6520" s="451" t="s">
        <v>1164</v>
      </c>
      <c r="D6520" s="427">
        <v>10</v>
      </c>
      <c r="E6520" s="427">
        <v>1</v>
      </c>
      <c r="F6520" s="391">
        <f t="shared" ref="F6520:F6521" si="190">+E6520*D6520</f>
      </c>
      <c r="G6520" s="427">
        <v>1</v>
      </c>
      <c r="H6520" s="429">
        <f>+G6520*F6520</f>
      </c>
    </row>
    <row r="6521" spans="1:8" ht="15.75" customHeight="1" x14ac:dyDescent="0.25">
      <c r="A6521" s="502"/>
      <c r="B6521" s="503" t="s">
        <v>1434</v>
      </c>
      <c r="C6521" s="390"/>
      <c r="D6521" s="427">
        <v>1</v>
      </c>
      <c r="E6521" s="427">
        <v>10</v>
      </c>
      <c r="F6521" s="391">
        <f t="shared" si="190"/>
      </c>
      <c r="G6521" s="671" t="s">
        <v>1435</v>
      </c>
      <c r="H6521" s="429"/>
    </row>
    <row r="6522" spans="1:8" ht="27.75" customHeight="1" x14ac:dyDescent="0.25">
      <c r="A6522" s="502"/>
      <c r="B6522" s="557" t="s">
        <v>1736</v>
      </c>
      <c r="C6522" s="558"/>
      <c r="D6522" s="427"/>
      <c r="E6522" s="427"/>
      <c r="F6522" s="391"/>
      <c r="G6522" s="671"/>
      <c r="H6522" s="429"/>
    </row>
    <row r="6523" spans="1:8" ht="27" customHeight="1" x14ac:dyDescent="0.25">
      <c r="A6523" s="714" t="s">
        <v>485</v>
      </c>
      <c r="B6523" s="715" t="s">
        <v>1737</v>
      </c>
      <c r="C6523" s="567" t="s">
        <v>371</v>
      </c>
      <c r="D6523" s="427">
        <v>1</v>
      </c>
      <c r="E6523" s="427">
        <v>6</v>
      </c>
      <c r="F6523" s="391">
        <v>6</v>
      </c>
      <c r="G6523" s="716" t="s">
        <v>1968</v>
      </c>
      <c r="H6523" s="717"/>
    </row>
    <row r="6524" spans="1:8" ht="15.75" customHeight="1" x14ac:dyDescent="0.25">
      <c r="A6524" s="502" t="s">
        <v>486</v>
      </c>
      <c r="B6524" s="715" t="s">
        <v>1737</v>
      </c>
      <c r="C6524" s="567" t="s">
        <v>371</v>
      </c>
      <c r="D6524" s="427">
        <v>4</v>
      </c>
      <c r="E6524" s="427">
        <v>1</v>
      </c>
      <c r="F6524" s="391">
        <v>4</v>
      </c>
      <c r="G6524" s="716" t="s">
        <v>1968</v>
      </c>
      <c r="H6524" s="717"/>
    </row>
    <row r="6525" spans="1:8" ht="15.75" customHeight="1" x14ac:dyDescent="0.25">
      <c r="A6525" s="502"/>
      <c r="B6525" s="503"/>
      <c r="C6525" s="390"/>
      <c r="D6525" s="427"/>
      <c r="E6525" s="427"/>
      <c r="F6525" s="391"/>
      <c r="G6525" s="427"/>
      <c r="H6525" s="429"/>
    </row>
    <row r="6526" spans="1:8" ht="15.75" customHeight="1" x14ac:dyDescent="0.25">
      <c r="A6526" s="502"/>
      <c r="B6526" s="503"/>
      <c r="C6526" s="390"/>
      <c r="D6526" s="427"/>
      <c r="E6526" s="427"/>
      <c r="F6526" s="391"/>
      <c r="G6526" s="427"/>
      <c r="H6526" s="429"/>
    </row>
    <row r="6527" spans="1:8" ht="15.75" customHeight="1" x14ac:dyDescent="0.25">
      <c r="A6527" s="432"/>
      <c r="B6527" s="433"/>
      <c r="C6527" s="434" t="s">
        <v>85</v>
      </c>
      <c r="D6527" s="435">
        <f>SUM(D6516:D6526)</f>
      </c>
      <c r="E6527" s="435"/>
      <c r="F6527" s="436"/>
      <c r="G6527" s="437"/>
      <c r="H6527" s="438">
        <f>SUM(H6516:H6526)</f>
      </c>
    </row>
    <row r="6528" spans="1:8" ht="15.75" customHeight="1" x14ac:dyDescent="0.25">
      <c r="A6528" s="439"/>
      <c r="B6528" s="440"/>
      <c r="C6528" s="440"/>
      <c r="D6528" s="441"/>
      <c r="E6528" s="440"/>
      <c r="F6528" s="442"/>
      <c r="G6528" s="443"/>
      <c r="H6528" s="444"/>
    </row>
    <row r="6529" spans="1:8" ht="15.75" customHeight="1" x14ac:dyDescent="0.25">
      <c r="A6529" s="565" t="s">
        <v>1215</v>
      </c>
      <c r="B6529" s="565"/>
      <c r="C6529" s="565"/>
      <c r="D6529" s="565"/>
      <c r="E6529" s="565"/>
      <c r="F6529" s="565"/>
      <c r="G6529" s="565"/>
      <c r="H6529" s="565"/>
    </row>
    <row r="6530" spans="1:8" ht="15.75" customHeight="1" x14ac:dyDescent="0.25">
      <c r="A6530" s="445"/>
      <c r="B6530" s="445"/>
      <c r="C6530" s="445"/>
      <c r="D6530" s="446" t="s">
        <v>97</v>
      </c>
      <c r="E6530" s="445" t="s">
        <v>98</v>
      </c>
      <c r="F6530" s="445"/>
      <c r="G6530" s="390"/>
      <c r="H6530" s="394"/>
    </row>
    <row r="6531" spans="1:8" ht="15.75" customHeight="1" x14ac:dyDescent="0.25">
      <c r="A6531" s="390"/>
      <c r="B6531" s="390"/>
      <c r="C6531" s="390"/>
      <c r="D6531" s="391"/>
      <c r="E6531" s="390"/>
      <c r="F6531" s="390"/>
      <c r="G6531" s="390"/>
      <c r="H6531" s="394"/>
    </row>
    <row r="6532" spans="1:8" ht="15.75" customHeight="1" x14ac:dyDescent="0.25">
      <c r="A6532" s="390"/>
      <c r="B6532" s="390"/>
      <c r="C6532" s="390"/>
      <c r="D6532" s="391"/>
      <c r="E6532" s="390"/>
      <c r="F6532" s="390"/>
      <c r="G6532" s="390"/>
      <c r="H6532" s="394"/>
    </row>
    <row r="6533" spans="1:8" ht="15.75" customHeight="1" x14ac:dyDescent="0.25">
      <c r="A6533" s="445"/>
      <c r="B6533" s="445"/>
      <c r="C6533" s="445"/>
      <c r="D6533" s="446"/>
      <c r="E6533" s="445" t="s">
        <v>99</v>
      </c>
      <c r="F6533" s="445"/>
      <c r="G6533" s="390"/>
      <c r="H6533" s="394"/>
    </row>
    <row r="6534" spans="1:8" ht="15.75" customHeight="1" x14ac:dyDescent="0.25">
      <c r="D6534" s="4"/>
      <c r="H6534" s="4"/>
    </row>
    <row r="6535" spans="1:8" ht="15.75" customHeight="1" x14ac:dyDescent="0.25">
      <c r="D6535" s="4"/>
      <c r="H6535" s="4"/>
    </row>
    <row r="6536" spans="1:8" ht="15.75" customHeight="1" x14ac:dyDescent="0.25">
      <c r="D6536" s="4"/>
      <c r="H6536" s="4"/>
    </row>
    <row r="6537" spans="1:8" ht="15.75" customHeight="1" x14ac:dyDescent="0.25">
      <c r="D6537" s="4"/>
      <c r="H6537" s="4"/>
    </row>
    <row r="6538" spans="1:8" ht="15.75" customHeight="1" x14ac:dyDescent="0.25">
      <c r="D6538" s="4"/>
      <c r="H6538" s="4"/>
    </row>
    <row r="6539" spans="1:8" ht="15.75" customHeight="1" x14ac:dyDescent="0.25">
      <c r="D6539" s="4"/>
      <c r="H6539" s="4"/>
    </row>
    <row r="6540" spans="1:8" ht="15.75" customHeight="1" x14ac:dyDescent="0.25">
      <c r="D6540" s="4"/>
      <c r="H6540" s="4"/>
    </row>
    <row r="6541" spans="1:8" ht="15.75" customHeight="1" x14ac:dyDescent="0.25">
      <c r="D6541" s="4"/>
      <c r="H6541" s="4"/>
    </row>
    <row r="6542" spans="1:8" ht="15.75" customHeight="1" x14ac:dyDescent="0.25">
      <c r="A6542" s="103" t="s">
        <v>14</v>
      </c>
      <c r="B6542" s="103"/>
      <c r="C6542" s="103"/>
      <c r="D6542" s="103"/>
      <c r="E6542" s="103"/>
      <c r="F6542" s="103"/>
      <c r="G6542" s="103"/>
      <c r="H6542" s="103"/>
    </row>
    <row r="6543" spans="1:8" ht="15.75" customHeight="1" x14ac:dyDescent="0.25">
      <c r="D6543" s="4"/>
      <c r="H6543" s="8"/>
    </row>
    <row r="6544" spans="1:8" ht="15.75" customHeight="1" x14ac:dyDescent="0.25">
      <c r="A6544" s="15"/>
      <c r="B6544" s="15"/>
      <c r="C6544" s="16"/>
      <c r="D6544" s="17"/>
      <c r="E6544" s="18"/>
      <c r="F6544" s="18"/>
      <c r="G6544" s="18"/>
      <c r="H6544" s="19"/>
    </row>
    <row r="6545" spans="1:8" ht="15.75" customHeight="1" x14ac:dyDescent="0.25">
      <c r="A6545" s="390"/>
      <c r="B6545" s="390"/>
      <c r="C6545" s="390"/>
      <c r="D6545" s="391"/>
      <c r="E6545" s="390"/>
      <c r="F6545" s="395" t="s">
        <v>18</v>
      </c>
      <c r="G6545" s="396" t="s">
        <v>858</v>
      </c>
      <c r="H6545" s="397"/>
    </row>
    <row r="6546" spans="1:8" ht="15.75" customHeight="1" x14ac:dyDescent="0.25">
      <c r="A6546" s="390" t="s">
        <v>20</v>
      </c>
      <c r="B6546" s="390"/>
      <c r="C6546" s="390"/>
      <c r="D6546" s="391"/>
      <c r="E6546" s="390"/>
      <c r="F6546" s="395" t="s">
        <v>21</v>
      </c>
      <c r="G6546" s="390" t="s">
        <v>1738</v>
      </c>
      <c r="H6546" s="391"/>
    </row>
    <row r="6547" spans="1:8" ht="15.75" customHeight="1" x14ac:dyDescent="0.25">
      <c r="A6547" s="390" t="inlineStr">
        <is>
          <t>Dealer-003</t>
        </is>
      </c>
      <c r="B6547" s="390"/>
      <c r="C6547" s="390"/>
      <c r="D6547" s="391"/>
      <c r="E6547" s="395"/>
      <c r="F6547" s="390"/>
      <c r="G6547" s="390"/>
      <c r="H6547" s="394"/>
    </row>
    <row r="6548" spans="1:8" ht="15.75" customHeight="1" x14ac:dyDescent="0.25">
      <c r="A6548" s="390" t="inlineStr">
        <is>
          <t>Address line (redacted)</t>
        </is>
      </c>
      <c r="B6548" s="390"/>
      <c r="C6548" s="390"/>
      <c r="D6548" s="398"/>
      <c r="E6548" s="390"/>
      <c r="F6548" s="391"/>
      <c r="G6548" s="390"/>
      <c r="H6548" s="394"/>
    </row>
    <row r="6549" spans="1:8" ht="15.75" customHeight="1" x14ac:dyDescent="0.25">
      <c r="A6549" s="390" t="inlineStr">
        <is>
          <t>Address line (redacted)</t>
        </is>
      </c>
      <c r="B6549" s="390"/>
      <c r="C6549" s="390"/>
      <c r="D6549" s="398"/>
      <c r="E6549" s="390"/>
      <c r="F6549" s="391"/>
      <c r="G6549" s="390"/>
      <c r="H6549" s="394"/>
    </row>
    <row r="6550" spans="1:8" ht="15.75" customHeight="1" x14ac:dyDescent="0.25">
      <c r="A6550" s="447"/>
      <c r="B6550" s="390"/>
      <c r="C6550" s="390"/>
      <c r="D6550" s="391"/>
      <c r="E6550" s="390"/>
      <c r="F6550" s="391"/>
      <c r="G6550" s="390"/>
      <c r="H6550" s="394"/>
    </row>
    <row r="6551" spans="1:8" ht="15.75" customHeight="1" x14ac:dyDescent="0.25">
      <c r="A6551" s="390" t="s">
        <v>30</v>
      </c>
      <c r="B6551" s="390"/>
      <c r="C6551" s="390"/>
      <c r="D6551" s="391"/>
      <c r="E6551" s="390"/>
      <c r="F6551" s="391"/>
      <c r="G6551" s="390"/>
      <c r="H6551" s="394"/>
    </row>
    <row r="6552" spans="1:8" ht="15.75" customHeight="1" x14ac:dyDescent="0.25">
      <c r="A6552" s="390"/>
      <c r="B6552" s="390"/>
      <c r="C6552" s="390"/>
      <c r="D6552" s="391"/>
      <c r="E6552" s="390"/>
      <c r="F6552" s="391"/>
      <c r="G6552" s="390"/>
      <c r="H6552" s="394"/>
    </row>
    <row r="6553" spans="1:8" ht="15.75" customHeight="1" x14ac:dyDescent="0.25">
      <c r="A6553" s="390" t="s">
        <v>1322</v>
      </c>
      <c r="B6553" s="390"/>
      <c r="C6553" s="390"/>
      <c r="D6553" s="391"/>
      <c r="E6553" s="390"/>
      <c r="F6553" s="391"/>
      <c r="G6553" s="390"/>
      <c r="H6553" s="394"/>
    </row>
    <row r="6554" spans="1:8" ht="15.75" customHeight="1" x14ac:dyDescent="0.25">
      <c r="A6554" s="390" t="s">
        <v>1328</v>
      </c>
      <c r="B6554" s="390"/>
      <c r="C6554" s="390"/>
      <c r="D6554" s="391"/>
      <c r="E6554" s="390"/>
      <c r="F6554" s="391"/>
      <c r="G6554" s="390"/>
      <c r="H6554" s="394"/>
    </row>
    <row r="6555" spans="1:8" ht="15.75" customHeight="1" x14ac:dyDescent="0.25">
      <c r="A6555" s="390"/>
      <c r="B6555" s="390"/>
      <c r="C6555" s="390"/>
      <c r="D6555" s="391"/>
      <c r="E6555" s="390"/>
      <c r="F6555" s="391"/>
      <c r="G6555" s="390"/>
      <c r="H6555" s="394"/>
    </row>
    <row r="6556" spans="1:8" ht="15.75" customHeight="1" x14ac:dyDescent="0.25">
      <c r="A6556" s="399" t="s">
        <v>33</v>
      </c>
      <c r="B6556" s="400" t="s">
        <v>6</v>
      </c>
      <c r="C6556" s="400"/>
      <c r="D6556" s="401" t="s">
        <v>37</v>
      </c>
      <c r="E6556" s="402" t="s">
        <v>38</v>
      </c>
      <c r="F6556" s="403" t="s">
        <v>7</v>
      </c>
      <c r="G6556" s="404" t="s">
        <v>43</v>
      </c>
      <c r="H6556" s="405" t="s">
        <v>44</v>
      </c>
    </row>
    <row r="6557" spans="1:8" ht="15.75" customHeight="1" x14ac:dyDescent="0.25">
      <c r="A6557" s="406"/>
      <c r="B6557" s="407"/>
      <c r="C6557" s="393"/>
      <c r="D6557" s="408"/>
      <c r="E6557" s="408"/>
      <c r="F6557" s="409"/>
      <c r="G6557" s="410"/>
      <c r="H6557" s="411"/>
    </row>
    <row r="6558" spans="1:8" ht="15.75" customHeight="1" x14ac:dyDescent="0.25">
      <c r="A6558" s="425"/>
      <c r="B6558" s="557" t="s">
        <v>1357</v>
      </c>
      <c r="C6558" s="558"/>
      <c r="D6558" s="427"/>
      <c r="E6558" s="427"/>
      <c r="F6558" s="391"/>
      <c r="G6558" s="427"/>
      <c r="H6558" s="429"/>
    </row>
    <row r="6559" spans="1:8" ht="15.75" customHeight="1" x14ac:dyDescent="0.25">
      <c r="A6559" s="425" t="s">
        <v>55</v>
      </c>
      <c r="B6559" s="585" t="s">
        <v>56</v>
      </c>
      <c r="C6559" s="588" t="s">
        <v>406</v>
      </c>
      <c r="D6559" s="427">
        <v>1</v>
      </c>
      <c r="E6559" s="427">
        <v>200</v>
      </c>
      <c r="F6559" s="391">
        <f>+E6559*D6559</f>
      </c>
      <c r="G6559" s="427">
        <v>1</v>
      </c>
      <c r="H6559" s="429">
        <f>+G6559*F6559</f>
      </c>
    </row>
    <row r="6560" spans="1:8" ht="15.75" customHeight="1" x14ac:dyDescent="0.25">
      <c r="A6560" s="425"/>
      <c r="B6560" s="448"/>
      <c r="C6560" s="390"/>
      <c r="D6560" s="427"/>
      <c r="E6560" s="427"/>
      <c r="F6560" s="391"/>
      <c r="G6560" s="427"/>
      <c r="H6560" s="429"/>
    </row>
    <row r="6561" spans="1:8" ht="15.75" customHeight="1" x14ac:dyDescent="0.25">
      <c r="A6561" s="425"/>
      <c r="B6561" s="426"/>
      <c r="C6561" s="390"/>
      <c r="D6561" s="427"/>
      <c r="E6561" s="427"/>
      <c r="F6561" s="391"/>
      <c r="G6561" s="427"/>
      <c r="H6561" s="429"/>
    </row>
    <row r="6562" spans="1:8" ht="15.75" customHeight="1" x14ac:dyDescent="0.25">
      <c r="A6562" s="425"/>
      <c r="B6562" s="426"/>
      <c r="C6562" s="390"/>
      <c r="D6562" s="427"/>
      <c r="E6562" s="427"/>
      <c r="F6562" s="391"/>
      <c r="G6562" s="427"/>
      <c r="H6562" s="429"/>
    </row>
    <row r="6563" spans="1:8" ht="15.75" customHeight="1" x14ac:dyDescent="0.25">
      <c r="A6563" s="425"/>
      <c r="B6563" s="426"/>
      <c r="C6563" s="390"/>
      <c r="D6563" s="427"/>
      <c r="E6563" s="427"/>
      <c r="F6563" s="391"/>
      <c r="G6563" s="427"/>
      <c r="H6563" s="429"/>
    </row>
    <row r="6564" spans="1:8" ht="15.75" customHeight="1" x14ac:dyDescent="0.25">
      <c r="A6564" s="425"/>
      <c r="B6564" s="426"/>
      <c r="C6564" s="390"/>
      <c r="D6564" s="427"/>
      <c r="E6564" s="427"/>
      <c r="F6564" s="391"/>
      <c r="G6564" s="427"/>
      <c r="H6564" s="429"/>
    </row>
    <row r="6565" spans="1:8" ht="15.75" customHeight="1" x14ac:dyDescent="0.25">
      <c r="A6565" s="425"/>
      <c r="B6565" s="426"/>
      <c r="C6565" s="390"/>
      <c r="D6565" s="427"/>
      <c r="E6565" s="427"/>
      <c r="F6565" s="391"/>
      <c r="G6565" s="427"/>
      <c r="H6565" s="429"/>
    </row>
    <row r="6566" spans="1:8" ht="15.75" customHeight="1" x14ac:dyDescent="0.25">
      <c r="A6566" s="430"/>
      <c r="B6566" s="409"/>
      <c r="C6566" s="393"/>
      <c r="D6566" s="427"/>
      <c r="E6566" s="427"/>
      <c r="F6566" s="428"/>
      <c r="G6566" s="431"/>
      <c r="H6566" s="429"/>
    </row>
    <row r="6567" spans="1:8" ht="15.75" customHeight="1" x14ac:dyDescent="0.25">
      <c r="A6567" s="432"/>
      <c r="B6567" s="433"/>
      <c r="C6567" s="434" t="s">
        <v>85</v>
      </c>
      <c r="D6567" s="435">
        <f>SUM(D6558:D6566)</f>
      </c>
      <c r="E6567" s="435"/>
      <c r="F6567" s="436"/>
      <c r="G6567" s="437"/>
      <c r="H6567" s="438">
        <f>SUM(H6559:H6566)</f>
      </c>
    </row>
    <row r="6568" spans="1:8" ht="15.75" customHeight="1" x14ac:dyDescent="0.25">
      <c r="A6568" s="439"/>
      <c r="B6568" s="440"/>
      <c r="C6568" s="440"/>
      <c r="D6568" s="441"/>
      <c r="E6568" s="440"/>
      <c r="F6568" s="442"/>
      <c r="G6568" s="443"/>
      <c r="H6568" s="444"/>
    </row>
    <row r="6569" spans="1:8" ht="15.75" customHeight="1" x14ac:dyDescent="0.25">
      <c r="A6569" s="392"/>
      <c r="B6569" s="391"/>
      <c r="C6569" s="391"/>
      <c r="D6569" s="391"/>
      <c r="E6569" s="390"/>
      <c r="F6569" s="392"/>
      <c r="G6569" s="390"/>
      <c r="H6569" s="394"/>
    </row>
    <row r="6570" spans="1:8" ht="15.75" customHeight="1" x14ac:dyDescent="0.25">
      <c r="A6570" s="445"/>
      <c r="B6570" s="445"/>
      <c r="C6570" s="445"/>
      <c r="D6570" s="446" t="s">
        <v>97</v>
      </c>
      <c r="E6570" s="445" t="s">
        <v>98</v>
      </c>
      <c r="F6570" s="445"/>
      <c r="G6570" s="390"/>
      <c r="H6570" s="394"/>
    </row>
    <row r="6571" spans="1:8" ht="15.75" customHeight="1" x14ac:dyDescent="0.25">
      <c r="A6571" s="390"/>
      <c r="B6571" s="390"/>
      <c r="C6571" s="390"/>
      <c r="D6571" s="391"/>
      <c r="E6571" s="390"/>
      <c r="F6571" s="390"/>
      <c r="G6571" s="390"/>
      <c r="H6571" s="394"/>
    </row>
    <row r="6572" spans="1:8" ht="15.75" customHeight="1" x14ac:dyDescent="0.25">
      <c r="A6572" s="390"/>
      <c r="B6572" s="390"/>
      <c r="C6572" s="390"/>
      <c r="D6572" s="391"/>
      <c r="E6572" s="390"/>
      <c r="F6572" s="390"/>
      <c r="G6572" s="390"/>
      <c r="H6572" s="394"/>
    </row>
    <row r="6573" spans="1:8" ht="15.75" customHeight="1" x14ac:dyDescent="0.25">
      <c r="A6573" s="445"/>
      <c r="B6573" s="445"/>
      <c r="C6573" s="445"/>
      <c r="D6573" s="446"/>
      <c r="E6573" s="445" t="s">
        <v>99</v>
      </c>
      <c r="F6573" s="445"/>
      <c r="G6573" s="390"/>
      <c r="H6573" s="394"/>
    </row>
    <row r="6574" spans="1:8" ht="15.75" customHeight="1" x14ac:dyDescent="0.25">
      <c r="D6574" s="4"/>
      <c r="H6574" s="4"/>
    </row>
    <row r="6575" spans="1:8" ht="15.75" customHeight="1" x14ac:dyDescent="0.25">
      <c r="D6575" s="4"/>
      <c r="H6575" s="4"/>
    </row>
    <row r="6576" spans="1:8" ht="15.75" customHeight="1" x14ac:dyDescent="0.25">
      <c r="D6576" s="4"/>
      <c r="H6576" s="4"/>
    </row>
    <row r="6577" spans="1:8" ht="15.75" customHeight="1" x14ac:dyDescent="0.25">
      <c r="D6577" s="4"/>
      <c r="H6577" s="4"/>
    </row>
    <row r="6578" spans="1:8" ht="15.75" customHeight="1" x14ac:dyDescent="0.25">
      <c r="D6578" s="4"/>
      <c r="H6578" s="4"/>
    </row>
    <row r="6579" spans="1:8" ht="15.75" customHeight="1" x14ac:dyDescent="0.25">
      <c r="D6579" s="4"/>
      <c r="H6579" s="4"/>
    </row>
    <row r="6580" spans="1:8" ht="15.75" customHeight="1" x14ac:dyDescent="0.25">
      <c r="D6580" s="4"/>
      <c r="H6580" s="4"/>
    </row>
    <row r="6581" spans="1:8" ht="15.75" customHeight="1" x14ac:dyDescent="0.25">
      <c r="D6581" s="4"/>
      <c r="H6581" s="4"/>
    </row>
    <row r="6582" spans="1:8" ht="15.75" customHeight="1" x14ac:dyDescent="0.25">
      <c r="D6582" s="4"/>
      <c r="H6582" s="4"/>
    </row>
    <row r="6583" spans="1:8" ht="15.75" customHeight="1" x14ac:dyDescent="0.25">
      <c r="D6583" s="4"/>
      <c r="H6583" s="4"/>
    </row>
    <row r="6584" spans="1:8" ht="15.75" customHeight="1" x14ac:dyDescent="0.25">
      <c r="D6584" s="4"/>
      <c r="H6584" s="4"/>
    </row>
    <row r="6585" spans="1:8" ht="15.75" customHeight="1" x14ac:dyDescent="0.25">
      <c r="D6585" s="4"/>
      <c r="H6585" s="4"/>
    </row>
    <row r="6586" spans="1:8" ht="15.75" customHeight="1" x14ac:dyDescent="0.25">
      <c r="D6586" s="4"/>
      <c r="H6586" s="4"/>
    </row>
    <row r="6587" spans="1:8" ht="15.75" customHeight="1" x14ac:dyDescent="0.25">
      <c r="A6587" s="398" t="s">
        <v>14</v>
      </c>
      <c r="B6587" s="398"/>
      <c r="C6587" s="398"/>
      <c r="D6587" s="398"/>
      <c r="E6587" s="398"/>
      <c r="F6587" s="398"/>
      <c r="G6587" s="398"/>
      <c r="H6587" s="398"/>
    </row>
    <row r="6588" spans="1:8" ht="15.75" customHeight="1" x14ac:dyDescent="0.25">
      <c r="A6588" s="390"/>
      <c r="B6588" s="390"/>
      <c r="C6588" s="390"/>
      <c r="D6588" s="391"/>
      <c r="E6588" s="390"/>
      <c r="F6588" s="390"/>
      <c r="G6588" s="390"/>
      <c r="H6588" s="398"/>
    </row>
    <row r="6589" spans="1:8" ht="15.75" customHeight="1" x14ac:dyDescent="0.25">
      <c r="A6589" s="390"/>
      <c r="B6589" s="390"/>
      <c r="C6589" s="391"/>
      <c r="D6589" s="392"/>
      <c r="E6589" s="393"/>
      <c r="F6589" s="393"/>
      <c r="G6589" s="393"/>
      <c r="H6589" s="394"/>
    </row>
    <row r="6590" spans="1:8" ht="15.75" customHeight="1" x14ac:dyDescent="0.25">
      <c r="A6590" s="390"/>
      <c r="B6590" s="390"/>
      <c r="C6590" s="390"/>
      <c r="D6590" s="391"/>
      <c r="E6590" s="390"/>
      <c r="F6590" s="395" t="s">
        <v>18</v>
      </c>
      <c r="G6590" s="396" t="s">
        <v>866</v>
      </c>
      <c r="H6590" s="397"/>
    </row>
    <row r="6591" spans="1:8" ht="15.75" customHeight="1" x14ac:dyDescent="0.25">
      <c r="A6591" s="390" t="s">
        <v>20</v>
      </c>
      <c r="B6591" s="390"/>
      <c r="C6591" s="390"/>
      <c r="D6591" s="391"/>
      <c r="E6591" s="390"/>
      <c r="F6591" s="395" t="s">
        <v>21</v>
      </c>
      <c r="G6591" s="390" t="s">
        <v>1428</v>
      </c>
      <c r="H6591" s="391"/>
    </row>
    <row r="6592" spans="1:8" ht="15.75" customHeight="1" x14ac:dyDescent="0.25">
      <c r="A6592" s="390" t="inlineStr">
        <is>
          <t>Dealer-009</t>
        </is>
      </c>
      <c r="B6592" s="390"/>
      <c r="C6592" s="390" t="inlineStr">
        <is>
          <t>ATTN: Contact-001</t>
        </is>
      </c>
      <c r="D6592" s="391"/>
      <c r="E6592" s="395"/>
      <c r="F6592" s="390"/>
      <c r="G6592" s="390"/>
      <c r="H6592" s="394"/>
    </row>
    <row r="6593" spans="1:8" ht="15.75" customHeight="1" x14ac:dyDescent="0.25">
      <c r="A6593" s="390" t="inlineStr">
        <is>
          <t>Address line (redacted)</t>
        </is>
      </c>
      <c r="B6593" s="390"/>
      <c r="C6593" s="390"/>
      <c r="D6593" s="398"/>
      <c r="E6593" s="390"/>
      <c r="F6593" s="391"/>
      <c r="G6593" s="390"/>
      <c r="H6593" s="394"/>
    </row>
    <row r="6594" spans="1:8" ht="15.75" customHeight="1" x14ac:dyDescent="0.25">
      <c r="A6594" s="390" t="inlineStr">
        <is>
          <t>Address line (redacted)</t>
        </is>
      </c>
      <c r="B6594" s="390"/>
      <c r="C6594" s="390"/>
      <c r="D6594" s="398"/>
      <c r="E6594" s="390"/>
      <c r="F6594" s="391"/>
      <c r="G6594" s="390"/>
      <c r="H6594" s="394"/>
    </row>
    <row r="6595" spans="1:8" ht="15.75" customHeight="1" x14ac:dyDescent="0.25">
      <c r="A6595" s="447"/>
      <c r="B6595" s="390"/>
      <c r="C6595" s="390"/>
      <c r="D6595" s="391"/>
      <c r="E6595" s="390"/>
      <c r="F6595" s="391"/>
      <c r="G6595" s="390"/>
      <c r="H6595" s="394"/>
    </row>
    <row r="6596" spans="1:8" ht="15.75" customHeight="1" x14ac:dyDescent="0.25">
      <c r="A6596" s="390" t="s">
        <v>30</v>
      </c>
      <c r="B6596" s="390"/>
      <c r="C6596" s="390"/>
      <c r="D6596" s="391"/>
      <c r="E6596" s="390"/>
      <c r="F6596" s="391"/>
      <c r="G6596" s="390"/>
      <c r="H6596" s="394"/>
    </row>
    <row r="6597" spans="1:8" ht="15.75" customHeight="1" x14ac:dyDescent="0.25">
      <c r="A6597" s="390"/>
      <c r="B6597" s="390"/>
      <c r="C6597" s="390"/>
      <c r="D6597" s="391"/>
      <c r="E6597" s="390"/>
      <c r="F6597" s="391"/>
      <c r="G6597" s="390"/>
      <c r="H6597" s="394"/>
    </row>
    <row r="6598" spans="1:8" ht="15.75" customHeight="1" x14ac:dyDescent="0.25">
      <c r="A6598" s="390" t="s">
        <v>1322</v>
      </c>
      <c r="B6598" s="390"/>
      <c r="C6598" s="390"/>
      <c r="D6598" s="391"/>
      <c r="E6598" s="390"/>
      <c r="F6598" s="391"/>
      <c r="G6598" s="390"/>
      <c r="H6598" s="394"/>
    </row>
    <row r="6599" spans="1:8" ht="15.75" customHeight="1" x14ac:dyDescent="0.25">
      <c r="A6599" s="390" t="s">
        <v>1328</v>
      </c>
      <c r="B6599" s="390"/>
      <c r="C6599" s="390"/>
      <c r="D6599" s="391"/>
      <c r="E6599" s="390"/>
      <c r="F6599" s="391"/>
      <c r="G6599" s="390"/>
      <c r="H6599" s="394"/>
    </row>
    <row r="6600" spans="1:8" ht="15.75" customHeight="1" x14ac:dyDescent="0.25">
      <c r="A6600" s="390"/>
      <c r="B6600" s="390"/>
      <c r="C6600" s="390"/>
      <c r="D6600" s="391"/>
      <c r="E6600" s="390"/>
      <c r="F6600" s="391"/>
      <c r="G6600" s="390"/>
      <c r="H6600" s="394"/>
    </row>
    <row r="6601" spans="1:8" ht="15.75" customHeight="1" x14ac:dyDescent="0.25">
      <c r="A6601" s="399" t="s">
        <v>33</v>
      </c>
      <c r="B6601" s="400" t="s">
        <v>6</v>
      </c>
      <c r="C6601" s="400"/>
      <c r="D6601" s="401" t="s">
        <v>37</v>
      </c>
      <c r="E6601" s="402" t="s">
        <v>38</v>
      </c>
      <c r="F6601" s="403" t="s">
        <v>7</v>
      </c>
      <c r="G6601" s="404" t="s">
        <v>43</v>
      </c>
      <c r="H6601" s="405" t="s">
        <v>44</v>
      </c>
    </row>
    <row r="6602" spans="1:8" ht="15.75" customHeight="1" x14ac:dyDescent="0.25">
      <c r="A6602" s="406"/>
      <c r="B6602" s="407"/>
      <c r="C6602" s="393"/>
      <c r="D6602" s="408"/>
      <c r="E6602" s="408"/>
      <c r="F6602" s="409"/>
      <c r="G6602" s="410"/>
      <c r="H6602" s="411"/>
    </row>
    <row r="6603" spans="1:8" ht="15.75" customHeight="1" x14ac:dyDescent="0.25">
      <c r="A6603" s="556"/>
      <c r="B6603" s="557" t="s">
        <v>1187</v>
      </c>
      <c r="C6603" s="558"/>
      <c r="D6603" s="408"/>
      <c r="E6603" s="408"/>
      <c r="F6603" s="398"/>
      <c r="G6603" s="408"/>
      <c r="H6603" s="559"/>
    </row>
    <row r="6604" spans="1:8" ht="15.75" customHeight="1" x14ac:dyDescent="0.25">
      <c r="A6604" s="425" t="s">
        <v>55</v>
      </c>
      <c r="B6604" s="448" t="s">
        <v>1739</v>
      </c>
      <c r="C6604" s="507" t="s">
        <v>445</v>
      </c>
      <c r="D6604" s="427">
        <v>1</v>
      </c>
      <c r="E6604" s="427">
        <v>48</v>
      </c>
      <c r="F6604" s="391">
        <f>+E6604*D6604</f>
      </c>
      <c r="G6604" s="427">
        <v>1</v>
      </c>
      <c r="H6604" s="429">
        <f>+G6604*F6604</f>
      </c>
    </row>
    <row r="6605" spans="1:8" ht="15.75" customHeight="1" x14ac:dyDescent="0.25">
      <c r="A6605" s="425"/>
      <c r="B6605" s="557" t="s">
        <v>674</v>
      </c>
      <c r="C6605" s="558"/>
      <c r="D6605" s="427"/>
      <c r="E6605" s="427"/>
      <c r="F6605" s="391"/>
      <c r="G6605" s="427"/>
      <c r="H6605" s="429"/>
    </row>
    <row r="6606" spans="1:8" ht="15.75" customHeight="1" x14ac:dyDescent="0.25">
      <c r="A6606" s="425" t="s">
        <v>59</v>
      </c>
      <c r="B6606" s="448" t="s">
        <v>1076</v>
      </c>
      <c r="C6606" s="451" t="s">
        <v>1164</v>
      </c>
      <c r="D6606" s="427">
        <v>20</v>
      </c>
      <c r="E6606" s="427">
        <v>1</v>
      </c>
      <c r="F6606" s="391">
        <f t="shared" ref="F6606:F6607" si="191">+E6606*D6606</f>
      </c>
      <c r="G6606" s="427">
        <v>1</v>
      </c>
      <c r="H6606" s="429">
        <f>+G6606*F6606</f>
      </c>
    </row>
    <row r="6607" spans="1:8" ht="15.75" customHeight="1" x14ac:dyDescent="0.25">
      <c r="A6607" s="502"/>
      <c r="B6607" s="503" t="s">
        <v>1434</v>
      </c>
      <c r="C6607" s="390"/>
      <c r="D6607" s="427">
        <v>2</v>
      </c>
      <c r="E6607" s="427">
        <v>10</v>
      </c>
      <c r="F6607" s="391">
        <f t="shared" si="191"/>
      </c>
      <c r="G6607" s="671" t="s">
        <v>1435</v>
      </c>
      <c r="H6607" s="429"/>
    </row>
    <row r="6608" spans="1:8" ht="15.75" customHeight="1" x14ac:dyDescent="0.25">
      <c r="A6608" s="502" t="s">
        <v>67</v>
      </c>
      <c r="B6608" s="503" t="s">
        <v>1740</v>
      </c>
      <c r="C6608" s="390"/>
      <c r="D6608" s="427">
        <v>1</v>
      </c>
      <c r="E6608" s="427">
        <v>1</v>
      </c>
      <c r="F6608" s="391">
        <v>1</v>
      </c>
      <c r="G6608" s="428">
        <v>1</v>
      </c>
      <c r="H6608" s="429">
        <f>+G6608*F6608</f>
      </c>
    </row>
    <row r="6609" spans="1:8" ht="15.75" customHeight="1" x14ac:dyDescent="0.25">
      <c r="A6609" s="502"/>
      <c r="B6609" s="557" t="s">
        <v>1239</v>
      </c>
      <c r="C6609" s="558"/>
      <c r="D6609" s="427"/>
      <c r="E6609" s="427"/>
      <c r="F6609" s="391"/>
      <c r="G6609" s="630"/>
      <c r="H6609" s="429"/>
    </row>
    <row r="6610" spans="1:8" ht="15.75" customHeight="1" x14ac:dyDescent="0.25">
      <c r="A6610" s="502" t="s">
        <v>485</v>
      </c>
      <c r="B6610" s="718" t="s">
        <v>1741</v>
      </c>
      <c r="C6610" s="567" t="s">
        <v>433</v>
      </c>
      <c r="D6610" s="427">
        <v>1</v>
      </c>
      <c r="E6610" s="427">
        <v>25</v>
      </c>
      <c r="F6610" s="391">
        <f t="shared" ref="F6610:F6614" si="192">+E6610*D6610</f>
      </c>
      <c r="G6610" s="719">
        <v>1</v>
      </c>
      <c r="H6610" s="429">
        <f t="shared" ref="H6610:H6614" si="193">+G6610*F6610</f>
      </c>
    </row>
    <row r="6611" spans="1:8" ht="15.75" customHeight="1" x14ac:dyDescent="0.25">
      <c r="A6611" s="502" t="s">
        <v>486</v>
      </c>
      <c r="B6611" s="718" t="s">
        <v>1742</v>
      </c>
      <c r="C6611" s="567" t="s">
        <v>432</v>
      </c>
      <c r="D6611" s="427">
        <v>2</v>
      </c>
      <c r="E6611" s="427">
        <v>25</v>
      </c>
      <c r="F6611" s="391">
        <f t="shared" si="192"/>
      </c>
      <c r="G6611" s="427">
        <v>1</v>
      </c>
      <c r="H6611" s="429">
        <f t="shared" si="193"/>
      </c>
    </row>
    <row r="6612" spans="1:8" ht="15.75" customHeight="1" x14ac:dyDescent="0.25">
      <c r="A6612" s="502" t="s">
        <v>489</v>
      </c>
      <c r="B6612" s="718" t="s">
        <v>15</v>
      </c>
      <c r="C6612" s="567" t="s">
        <v>442</v>
      </c>
      <c r="D6612" s="427">
        <v>1</v>
      </c>
      <c r="E6612" s="427">
        <v>25</v>
      </c>
      <c r="F6612" s="391">
        <f t="shared" si="192"/>
      </c>
      <c r="G6612" s="427">
        <v>1</v>
      </c>
      <c r="H6612" s="429">
        <f t="shared" si="193"/>
      </c>
    </row>
    <row r="6613" spans="1:8" ht="15.75" customHeight="1" x14ac:dyDescent="0.25">
      <c r="A6613" s="502" t="s">
        <v>490</v>
      </c>
      <c r="B6613" s="718" t="s">
        <v>295</v>
      </c>
      <c r="C6613" s="567" t="s">
        <v>424</v>
      </c>
      <c r="D6613" s="427">
        <v>1</v>
      </c>
      <c r="E6613" s="427">
        <v>25</v>
      </c>
      <c r="F6613" s="391">
        <f t="shared" si="192"/>
      </c>
      <c r="G6613" s="427">
        <v>1</v>
      </c>
      <c r="H6613" s="429">
        <f t="shared" si="193"/>
      </c>
    </row>
    <row r="6614" spans="1:8" ht="15.75" customHeight="1" x14ac:dyDescent="0.25">
      <c r="A6614" s="502" t="s">
        <v>781</v>
      </c>
      <c r="B6614" s="718" t="s">
        <v>145</v>
      </c>
      <c r="C6614" s="567" t="s">
        <v>383</v>
      </c>
      <c r="D6614" s="427">
        <v>1</v>
      </c>
      <c r="E6614" s="427">
        <v>25</v>
      </c>
      <c r="F6614" s="391">
        <f t="shared" si="192"/>
      </c>
      <c r="G6614" s="427">
        <v>1</v>
      </c>
      <c r="H6614" s="429">
        <f t="shared" si="193"/>
      </c>
    </row>
    <row r="6615" spans="1:8" ht="15.75" customHeight="1" x14ac:dyDescent="0.25">
      <c r="A6615" s="502"/>
      <c r="B6615" s="557" t="s">
        <v>1744</v>
      </c>
      <c r="C6615" s="558"/>
      <c r="D6615" s="427"/>
      <c r="E6615" s="427"/>
      <c r="F6615" s="391"/>
      <c r="G6615" s="427"/>
      <c r="H6615" s="429"/>
    </row>
    <row r="6616" spans="1:8" ht="15.75" customHeight="1" x14ac:dyDescent="0.25">
      <c r="A6616" s="502" t="s">
        <v>785</v>
      </c>
      <c r="B6616" s="718" t="s">
        <v>1745</v>
      </c>
      <c r="C6616" s="567"/>
      <c r="D6616" s="427">
        <v>3</v>
      </c>
      <c r="E6616" s="427">
        <v>10</v>
      </c>
      <c r="F6616" s="391">
        <f>+E6616*D6616</f>
      </c>
      <c r="G6616" s="427">
        <v>1</v>
      </c>
      <c r="H6616" s="429">
        <f>+G6616*F6616</f>
      </c>
    </row>
    <row r="6617" spans="1:8" ht="15.75" customHeight="1" x14ac:dyDescent="0.25">
      <c r="A6617" s="502"/>
      <c r="B6617" s="557" t="s">
        <v>590</v>
      </c>
      <c r="C6617" s="558"/>
      <c r="D6617" s="427"/>
      <c r="E6617" s="427"/>
      <c r="F6617" s="391"/>
      <c r="G6617" s="427"/>
      <c r="H6617" s="429"/>
    </row>
    <row r="6618" spans="1:8" ht="15.75" customHeight="1" x14ac:dyDescent="0.25">
      <c r="A6618" s="502"/>
      <c r="B6618" s="448" t="s">
        <v>1746</v>
      </c>
      <c r="C6618" s="507" t="s">
        <v>387</v>
      </c>
      <c r="D6618" s="427">
        <v>1</v>
      </c>
      <c r="E6618" s="427">
        <v>6</v>
      </c>
      <c r="F6618" s="391">
        <f t="shared" ref="F6618:F6619" si="194">+E6618*D6618</f>
      </c>
      <c r="G6618" s="427">
        <v>1</v>
      </c>
      <c r="H6618" s="429">
        <f t="shared" ref="H6618:H6619" si="195">+G6618*F6618</f>
      </c>
    </row>
    <row r="6619" spans="1:8" ht="15.75" customHeight="1" x14ac:dyDescent="0.25">
      <c r="A6619" s="502"/>
      <c r="B6619" s="718" t="s">
        <v>685</v>
      </c>
      <c r="C6619" s="507" t="s">
        <v>359</v>
      </c>
      <c r="D6619" s="427">
        <v>1</v>
      </c>
      <c r="E6619" s="427">
        <v>6</v>
      </c>
      <c r="F6619" s="391">
        <f t="shared" si="194"/>
      </c>
      <c r="G6619" s="427">
        <v>1</v>
      </c>
      <c r="H6619" s="429">
        <f t="shared" si="195"/>
      </c>
    </row>
    <row r="6620" spans="1:8" ht="15.75" customHeight="1" x14ac:dyDescent="0.25">
      <c r="A6620" s="502"/>
      <c r="B6620" s="557" t="s">
        <v>531</v>
      </c>
      <c r="C6620" s="558"/>
      <c r="D6620" s="427"/>
      <c r="E6620" s="427"/>
      <c r="F6620" s="391"/>
      <c r="G6620" s="427"/>
      <c r="H6620" s="429"/>
    </row>
    <row r="6621" spans="1:8" ht="15.75" customHeight="1" x14ac:dyDescent="0.25">
      <c r="A6621" s="502"/>
      <c r="B6621" s="718" t="s">
        <v>1747</v>
      </c>
      <c r="C6621" s="567"/>
      <c r="D6621" s="427">
        <v>1</v>
      </c>
      <c r="E6621" s="427">
        <v>5</v>
      </c>
      <c r="F6621" s="391">
        <f>+E6621*D6621</f>
      </c>
      <c r="G6621" s="427">
        <v>1</v>
      </c>
      <c r="H6621" s="429">
        <f>+G6621*F6621</f>
      </c>
    </row>
    <row r="6622" spans="1:8" ht="15.75" customHeight="1" x14ac:dyDescent="0.25">
      <c r="A6622" s="502"/>
      <c r="B6622" s="557" t="s">
        <v>1748</v>
      </c>
      <c r="C6622" s="558"/>
      <c r="D6622" s="427"/>
      <c r="E6622" s="427"/>
      <c r="F6622" s="391"/>
      <c r="G6622" s="427"/>
      <c r="H6622" s="429"/>
    </row>
    <row r="6623" spans="1:8" ht="15.75" customHeight="1" x14ac:dyDescent="0.25">
      <c r="A6623" s="502"/>
      <c r="B6623" s="718" t="s">
        <v>1719</v>
      </c>
      <c r="C6623" s="567" t="s">
        <v>419</v>
      </c>
      <c r="D6623" s="427">
        <v>2</v>
      </c>
      <c r="E6623" s="427">
        <v>200</v>
      </c>
      <c r="F6623" s="391">
        <f>+E6623*D6623</f>
      </c>
      <c r="G6623" s="427">
        <v>1</v>
      </c>
      <c r="H6623" s="429">
        <f>+G6623*F6623</f>
      </c>
    </row>
    <row r="6624" spans="1:8" ht="15.75" customHeight="1" x14ac:dyDescent="0.25">
      <c r="A6624" s="502"/>
      <c r="B6624" s="503"/>
      <c r="C6624" s="390"/>
      <c r="D6624" s="427"/>
      <c r="E6624" s="427"/>
      <c r="F6624" s="391"/>
      <c r="G6624" s="427"/>
      <c r="H6624" s="429"/>
    </row>
    <row r="6625" spans="1:8" ht="15.75" customHeight="1" x14ac:dyDescent="0.25">
      <c r="A6625" s="432"/>
      <c r="B6625" s="433"/>
      <c r="C6625" s="434" t="s">
        <v>85</v>
      </c>
      <c r="D6625" s="435">
        <f>SUM(D6604:D6624)</f>
      </c>
      <c r="E6625" s="435"/>
      <c r="F6625" s="436"/>
      <c r="G6625" s="437"/>
      <c r="H6625" s="438">
        <f>SUM(H6604:H6624)</f>
      </c>
    </row>
    <row r="6626" spans="1:8" ht="15.75" customHeight="1" x14ac:dyDescent="0.25">
      <c r="A6626" s="439"/>
      <c r="B6626" s="440"/>
      <c r="C6626" s="440"/>
      <c r="D6626" s="441"/>
      <c r="E6626" s="440"/>
      <c r="F6626" s="442"/>
      <c r="G6626" s="443"/>
      <c r="H6626" s="444"/>
    </row>
    <row r="6627" spans="1:8" ht="15.75" customHeight="1" x14ac:dyDescent="0.25">
      <c r="A6627" s="565" t="s">
        <v>1215</v>
      </c>
      <c r="B6627" s="565"/>
      <c r="C6627" s="565"/>
      <c r="D6627" s="565"/>
      <c r="E6627" s="565"/>
      <c r="F6627" s="565"/>
      <c r="G6627" s="565"/>
      <c r="H6627" s="565"/>
    </row>
    <row r="6628" spans="1:8" ht="15.75" customHeight="1" x14ac:dyDescent="0.25">
      <c r="A6628" s="445"/>
      <c r="B6628" s="445"/>
      <c r="C6628" s="445"/>
      <c r="D6628" s="446" t="s">
        <v>97</v>
      </c>
      <c r="E6628" s="445" t="s">
        <v>98</v>
      </c>
      <c r="F6628" s="445"/>
      <c r="G6628" s="390"/>
      <c r="H6628" s="394"/>
    </row>
    <row r="6629" spans="1:8" ht="15.75" customHeight="1" x14ac:dyDescent="0.25">
      <c r="A6629" s="390"/>
      <c r="B6629" s="390"/>
      <c r="C6629" s="390"/>
      <c r="D6629" s="391"/>
      <c r="E6629" s="390"/>
      <c r="F6629" s="390"/>
      <c r="G6629" s="390"/>
      <c r="H6629" s="394"/>
    </row>
    <row r="6630" spans="1:8" ht="15.75" customHeight="1" x14ac:dyDescent="0.25">
      <c r="A6630" s="390"/>
      <c r="B6630" s="390"/>
      <c r="C6630" s="390"/>
      <c r="D6630" s="391"/>
      <c r="E6630" s="390"/>
      <c r="F6630" s="390"/>
      <c r="G6630" s="390"/>
      <c r="H6630" s="394"/>
    </row>
    <row r="6631" spans="1:8" ht="15.75" customHeight="1" x14ac:dyDescent="0.25">
      <c r="A6631" s="445"/>
      <c r="B6631" s="445"/>
      <c r="C6631" s="445"/>
      <c r="D6631" s="446"/>
      <c r="E6631" s="445" t="s">
        <v>99</v>
      </c>
      <c r="F6631" s="445"/>
      <c r="G6631" s="390"/>
      <c r="H6631" s="394"/>
    </row>
    <row r="6632" spans="1:8" ht="15.75" customHeight="1" x14ac:dyDescent="0.25">
      <c r="D6632" s="4"/>
      <c r="H6632" s="4"/>
    </row>
    <row r="6633" spans="1:8" ht="15.75" customHeight="1" x14ac:dyDescent="0.25">
      <c r="A6633" s="398" t="s">
        <v>14</v>
      </c>
      <c r="B6633" s="398"/>
      <c r="C6633" s="398"/>
      <c r="D6633" s="398"/>
      <c r="E6633" s="398"/>
      <c r="F6633" s="398"/>
      <c r="G6633" s="398"/>
      <c r="H6633" s="398"/>
    </row>
    <row r="6634" spans="1:8" ht="15.75" customHeight="1" x14ac:dyDescent="0.25">
      <c r="A6634" s="390"/>
      <c r="B6634" s="390"/>
      <c r="C6634" s="390"/>
      <c r="D6634" s="391"/>
      <c r="E6634" s="390"/>
      <c r="F6634" s="390"/>
      <c r="G6634" s="390"/>
      <c r="H6634" s="398"/>
    </row>
    <row r="6635" spans="1:8" ht="15.75" customHeight="1" x14ac:dyDescent="0.25">
      <c r="A6635" s="390"/>
      <c r="B6635" s="390"/>
      <c r="C6635" s="391"/>
      <c r="D6635" s="392"/>
      <c r="E6635" s="393"/>
      <c r="F6635" s="393"/>
      <c r="G6635" s="393"/>
      <c r="H6635" s="394"/>
    </row>
    <row r="6636" spans="1:8" ht="15.75" customHeight="1" x14ac:dyDescent="0.25">
      <c r="A6636" s="390"/>
      <c r="B6636" s="390"/>
      <c r="C6636" s="390"/>
      <c r="D6636" s="391"/>
      <c r="E6636" s="390"/>
      <c r="F6636" s="395" t="s">
        <v>18</v>
      </c>
      <c r="G6636" s="396" t="s">
        <v>866</v>
      </c>
      <c r="H6636" s="397"/>
    </row>
    <row r="6637" spans="1:8" ht="15.75" customHeight="1" x14ac:dyDescent="0.25">
      <c r="A6637" s="390" t="s">
        <v>20</v>
      </c>
      <c r="B6637" s="390"/>
      <c r="C6637" s="390"/>
      <c r="D6637" s="391"/>
      <c r="E6637" s="390"/>
      <c r="F6637" s="395" t="s">
        <v>21</v>
      </c>
      <c r="G6637" s="390" t="s">
        <v>1749</v>
      </c>
      <c r="H6637" s="391"/>
    </row>
    <row r="6638" spans="1:8" ht="15.75" customHeight="1" x14ac:dyDescent="0.25">
      <c r="A6638" s="390" t="inlineStr">
        <is>
          <t>Dealer-004</t>
        </is>
      </c>
      <c r="B6638" s="390"/>
      <c r="C6638" s="390" t="inlineStr">
        <is>
          <t>ATTN: Contact-004</t>
        </is>
      </c>
      <c r="D6638" s="391"/>
      <c r="E6638" s="395"/>
      <c r="F6638" s="390"/>
      <c r="G6638" s="390"/>
      <c r="H6638" s="394"/>
    </row>
    <row r="6639" spans="1:8" ht="15.75" customHeight="1" x14ac:dyDescent="0.25">
      <c r="A6639" s="390" t="inlineStr">
        <is>
          <t>Address line (redacted)</t>
        </is>
      </c>
      <c r="B6639" s="390"/>
      <c r="C6639" s="390"/>
      <c r="D6639" s="398"/>
      <c r="E6639" s="390"/>
      <c r="F6639" s="391"/>
      <c r="G6639" s="390"/>
      <c r="H6639" s="394"/>
    </row>
    <row r="6640" spans="1:8" ht="15.75" customHeight="1" x14ac:dyDescent="0.25">
      <c r="A6640" s="390" t="inlineStr">
        <is>
          <t>Address line (redacted)</t>
        </is>
      </c>
      <c r="B6640" s="390"/>
      <c r="C6640" s="390"/>
      <c r="D6640" s="398"/>
      <c r="E6640" s="390"/>
      <c r="F6640" s="391"/>
      <c r="G6640" s="390"/>
      <c r="H6640" s="394"/>
    </row>
    <row r="6641" spans="1:8" ht="15.75" customHeight="1" x14ac:dyDescent="0.25">
      <c r="A6641" s="447"/>
      <c r="B6641" s="390"/>
      <c r="C6641" s="390"/>
      <c r="D6641" s="391"/>
      <c r="E6641" s="390"/>
      <c r="F6641" s="391"/>
      <c r="G6641" s="390"/>
      <c r="H6641" s="394"/>
    </row>
    <row r="6642" spans="1:8" ht="15.75" customHeight="1" x14ac:dyDescent="0.25">
      <c r="A6642" s="390" t="s">
        <v>30</v>
      </c>
      <c r="B6642" s="390"/>
      <c r="C6642" s="390"/>
      <c r="D6642" s="391"/>
      <c r="E6642" s="390"/>
      <c r="F6642" s="391"/>
      <c r="G6642" s="390"/>
      <c r="H6642" s="394"/>
    </row>
    <row r="6643" spans="1:8" ht="15.75" customHeight="1" x14ac:dyDescent="0.25">
      <c r="A6643" s="390"/>
      <c r="B6643" s="390"/>
      <c r="C6643" s="390"/>
      <c r="D6643" s="391"/>
      <c r="E6643" s="390"/>
      <c r="F6643" s="391"/>
      <c r="G6643" s="390"/>
      <c r="H6643" s="394"/>
    </row>
    <row r="6644" spans="1:8" ht="15.75" customHeight="1" x14ac:dyDescent="0.25">
      <c r="A6644" s="390" t="s">
        <v>1322</v>
      </c>
      <c r="B6644" s="390"/>
      <c r="C6644" s="390"/>
      <c r="D6644" s="391"/>
      <c r="E6644" s="390"/>
      <c r="F6644" s="391"/>
      <c r="G6644" s="390"/>
      <c r="H6644" s="394"/>
    </row>
    <row r="6645" spans="1:8" ht="15.75" customHeight="1" x14ac:dyDescent="0.25">
      <c r="A6645" s="390" t="s">
        <v>1328</v>
      </c>
      <c r="B6645" s="390"/>
      <c r="C6645" s="390"/>
      <c r="D6645" s="391"/>
      <c r="E6645" s="390"/>
      <c r="F6645" s="391"/>
      <c r="G6645" s="390"/>
      <c r="H6645" s="394"/>
    </row>
    <row r="6646" spans="1:8" ht="15.75" customHeight="1" x14ac:dyDescent="0.25">
      <c r="A6646" s="390"/>
      <c r="B6646" s="390"/>
      <c r="C6646" s="390"/>
      <c r="D6646" s="391"/>
      <c r="E6646" s="390"/>
      <c r="F6646" s="391"/>
      <c r="G6646" s="390"/>
      <c r="H6646" s="394"/>
    </row>
    <row r="6647" spans="1:8" ht="15.75" customHeight="1" x14ac:dyDescent="0.25">
      <c r="A6647" s="399" t="s">
        <v>33</v>
      </c>
      <c r="B6647" s="400" t="s">
        <v>6</v>
      </c>
      <c r="C6647" s="400"/>
      <c r="D6647" s="401" t="s">
        <v>37</v>
      </c>
      <c r="E6647" s="402" t="s">
        <v>38</v>
      </c>
      <c r="F6647" s="403" t="s">
        <v>7</v>
      </c>
      <c r="G6647" s="404" t="s">
        <v>43</v>
      </c>
      <c r="H6647" s="405" t="s">
        <v>44</v>
      </c>
    </row>
    <row r="6648" spans="1:8" ht="15.75" customHeight="1" x14ac:dyDescent="0.25">
      <c r="A6648" s="406"/>
      <c r="B6648" s="407"/>
      <c r="C6648" s="393"/>
      <c r="D6648" s="408"/>
      <c r="E6648" s="408"/>
      <c r="F6648" s="409"/>
      <c r="G6648" s="410"/>
      <c r="H6648" s="411"/>
    </row>
    <row r="6649" spans="1:8" ht="15.75" customHeight="1" x14ac:dyDescent="0.25">
      <c r="A6649" s="425"/>
      <c r="B6649" s="557" t="s">
        <v>674</v>
      </c>
      <c r="C6649" s="558"/>
      <c r="D6649" s="427"/>
      <c r="E6649" s="427"/>
      <c r="F6649" s="391"/>
      <c r="G6649" s="427"/>
      <c r="H6649" s="429"/>
    </row>
    <row r="6650" spans="1:8" ht="15.75" customHeight="1" x14ac:dyDescent="0.25">
      <c r="A6650" s="425" t="s">
        <v>55</v>
      </c>
      <c r="B6650" s="448" t="s">
        <v>239</v>
      </c>
      <c r="C6650" s="451"/>
      <c r="D6650" s="427">
        <v>3</v>
      </c>
      <c r="E6650" s="427">
        <v>2</v>
      </c>
      <c r="F6650" s="391">
        <f>+E6650*D6650</f>
      </c>
      <c r="G6650" s="427">
        <v>1</v>
      </c>
      <c r="H6650" s="429">
        <f>+G6650*F6650</f>
      </c>
    </row>
    <row r="6651" spans="1:8" ht="15.75" customHeight="1" x14ac:dyDescent="0.25">
      <c r="A6651" s="502"/>
      <c r="B6651" s="715"/>
      <c r="C6651" s="567"/>
      <c r="D6651" s="427"/>
      <c r="E6651" s="427"/>
      <c r="F6651" s="391"/>
      <c r="G6651" s="427"/>
      <c r="H6651" s="429"/>
    </row>
    <row r="6652" spans="1:8" ht="15.75" customHeight="1" x14ac:dyDescent="0.25">
      <c r="A6652" s="502"/>
      <c r="B6652" s="715"/>
      <c r="C6652" s="567"/>
      <c r="D6652" s="427"/>
      <c r="E6652" s="427"/>
      <c r="F6652" s="391"/>
      <c r="G6652" s="427"/>
      <c r="H6652" s="429"/>
    </row>
    <row r="6653" spans="1:8" ht="15.75" customHeight="1" x14ac:dyDescent="0.25">
      <c r="A6653" s="502"/>
      <c r="B6653" s="715"/>
      <c r="C6653" s="567"/>
      <c r="D6653" s="427"/>
      <c r="E6653" s="427"/>
      <c r="F6653" s="391"/>
      <c r="G6653" s="427"/>
      <c r="H6653" s="429"/>
    </row>
    <row r="6654" spans="1:8" ht="15.75" customHeight="1" x14ac:dyDescent="0.25">
      <c r="A6654" s="502"/>
      <c r="B6654" s="503"/>
      <c r="C6654" s="390"/>
      <c r="D6654" s="427"/>
      <c r="E6654" s="427"/>
      <c r="F6654" s="391"/>
      <c r="G6654" s="427"/>
      <c r="H6654" s="429"/>
    </row>
    <row r="6655" spans="1:8" ht="15.75" customHeight="1" x14ac:dyDescent="0.25">
      <c r="A6655" s="432"/>
      <c r="B6655" s="433"/>
      <c r="C6655" s="434" t="s">
        <v>85</v>
      </c>
      <c r="D6655" s="435">
        <f>SUM(D6649:D6654)</f>
      </c>
      <c r="E6655" s="435"/>
      <c r="F6655" s="436"/>
      <c r="G6655" s="437"/>
      <c r="H6655" s="438">
        <f>SUM(H6649:H6654)</f>
      </c>
    </row>
    <row r="6656" spans="1:8" ht="15.75" customHeight="1" x14ac:dyDescent="0.25">
      <c r="A6656" s="439"/>
      <c r="B6656" s="440"/>
      <c r="C6656" s="440"/>
      <c r="D6656" s="441"/>
      <c r="E6656" s="440"/>
      <c r="F6656" s="442"/>
      <c r="G6656" s="443"/>
      <c r="H6656" s="444"/>
    </row>
    <row r="6657" spans="1:8" ht="15.75" customHeight="1" x14ac:dyDescent="0.25">
      <c r="A6657" s="565" t="s">
        <v>1215</v>
      </c>
      <c r="B6657" s="565"/>
      <c r="C6657" s="565"/>
      <c r="D6657" s="565"/>
      <c r="E6657" s="565"/>
      <c r="F6657" s="565"/>
      <c r="G6657" s="565"/>
      <c r="H6657" s="565"/>
    </row>
    <row r="6658" spans="1:8" ht="15.75" customHeight="1" x14ac:dyDescent="0.25">
      <c r="A6658" s="445"/>
      <c r="B6658" s="445"/>
      <c r="C6658" s="445"/>
      <c r="D6658" s="446" t="s">
        <v>97</v>
      </c>
      <c r="E6658" s="445" t="s">
        <v>98</v>
      </c>
      <c r="F6658" s="445"/>
      <c r="G6658" s="390"/>
      <c r="H6658" s="394"/>
    </row>
    <row r="6659" spans="1:8" ht="15.75" customHeight="1" x14ac:dyDescent="0.25">
      <c r="A6659" s="390"/>
      <c r="B6659" s="390"/>
      <c r="C6659" s="390"/>
      <c r="D6659" s="391"/>
      <c r="E6659" s="390"/>
      <c r="F6659" s="390"/>
      <c r="G6659" s="390"/>
      <c r="H6659" s="394"/>
    </row>
    <row r="6660" spans="1:8" ht="15.75" customHeight="1" x14ac:dyDescent="0.25">
      <c r="A6660" s="390"/>
      <c r="B6660" s="390"/>
      <c r="C6660" s="390"/>
      <c r="D6660" s="391"/>
      <c r="E6660" s="390"/>
      <c r="F6660" s="390"/>
      <c r="G6660" s="390"/>
      <c r="H6660" s="394"/>
    </row>
    <row r="6661" spans="1:8" ht="15.75" customHeight="1" x14ac:dyDescent="0.25">
      <c r="A6661" s="445"/>
      <c r="B6661" s="445"/>
      <c r="C6661" s="445"/>
      <c r="D6661" s="446"/>
      <c r="E6661" s="445" t="s">
        <v>99</v>
      </c>
      <c r="F6661" s="445"/>
      <c r="G6661" s="390"/>
      <c r="H6661" s="394"/>
    </row>
    <row r="6662" spans="1:8" ht="15.75" customHeight="1" x14ac:dyDescent="0.25">
      <c r="D6662" s="4"/>
      <c r="H6662" s="4"/>
    </row>
    <row r="6663" spans="1:8" ht="15.75" customHeight="1" x14ac:dyDescent="0.25">
      <c r="D6663" s="4"/>
      <c r="H6663" s="4"/>
    </row>
    <row r="6664" spans="1:8" ht="15.75" customHeight="1" x14ac:dyDescent="0.25">
      <c r="D6664" s="4"/>
      <c r="H6664" s="4"/>
    </row>
    <row r="6665" spans="1:8" ht="15.75" customHeight="1" x14ac:dyDescent="0.25">
      <c r="D6665" s="4"/>
      <c r="H6665" s="4"/>
    </row>
    <row r="6666" spans="1:8" ht="15.75" customHeight="1" x14ac:dyDescent="0.25">
      <c r="D6666" s="4"/>
      <c r="H6666" s="4"/>
    </row>
    <row r="6667" spans="1:8" ht="15.75" customHeight="1" x14ac:dyDescent="0.25">
      <c r="D6667" s="4"/>
      <c r="H6667" s="4"/>
    </row>
    <row r="6668" spans="1:8" ht="15.75" customHeight="1" x14ac:dyDescent="0.25">
      <c r="D6668" s="4"/>
      <c r="H6668" s="4"/>
    </row>
    <row r="6669" spans="1:8" ht="15.75" customHeight="1" x14ac:dyDescent="0.25">
      <c r="D6669" s="4"/>
      <c r="H6669" s="4"/>
    </row>
    <row r="6670" spans="1:8" ht="15.75" customHeight="1" x14ac:dyDescent="0.25">
      <c r="D6670" s="4"/>
      <c r="H6670" s="4"/>
    </row>
    <row r="6671" spans="1:8" ht="15.75" customHeight="1" x14ac:dyDescent="0.25">
      <c r="D6671" s="4"/>
      <c r="H6671" s="4"/>
    </row>
    <row r="6672" spans="1:8" ht="15.75" customHeight="1" x14ac:dyDescent="0.25">
      <c r="D6672" s="4"/>
      <c r="H6672" s="4"/>
    </row>
    <row r="6673" spans="1:8" ht="15.75" customHeight="1" x14ac:dyDescent="0.25">
      <c r="D6673" s="4"/>
      <c r="H6673" s="4"/>
    </row>
    <row r="6674" spans="1:8" ht="15.75" customHeight="1" x14ac:dyDescent="0.25">
      <c r="D6674" s="4"/>
      <c r="H6674" s="4"/>
    </row>
    <row r="6675" spans="1:8" ht="15.75" customHeight="1" x14ac:dyDescent="0.25">
      <c r="D6675" s="4"/>
      <c r="H6675" s="4"/>
    </row>
    <row r="6676" spans="1:8" ht="15.75" customHeight="1" x14ac:dyDescent="0.25">
      <c r="D6676" s="4"/>
      <c r="H6676" s="4"/>
    </row>
    <row r="6677" spans="1:8" ht="15.75" customHeight="1" x14ac:dyDescent="0.25">
      <c r="D6677" s="4"/>
      <c r="H6677" s="4"/>
    </row>
    <row r="6678" spans="1:8" ht="15.75" customHeight="1" x14ac:dyDescent="0.25">
      <c r="D6678" s="4"/>
      <c r="H6678" s="4"/>
    </row>
    <row r="6679" spans="1:8" ht="15.75" customHeight="1" x14ac:dyDescent="0.25">
      <c r="A6679" s="398" t="s">
        <v>14</v>
      </c>
      <c r="B6679" s="391"/>
      <c r="C6679" s="391"/>
      <c r="D6679" s="391"/>
      <c r="E6679" s="391"/>
      <c r="F6679" s="391"/>
      <c r="G6679" s="391"/>
      <c r="H6679" s="394"/>
    </row>
    <row r="6680" spans="1:8" ht="15.75" customHeight="1" x14ac:dyDescent="0.25">
      <c r="A6680" s="390"/>
      <c r="B6680" s="390"/>
      <c r="C6680" s="390"/>
      <c r="D6680" s="392"/>
      <c r="E6680" s="569"/>
      <c r="F6680" s="391"/>
      <c r="G6680" s="390"/>
      <c r="H6680" s="394"/>
    </row>
    <row r="6681" spans="1:8" ht="15.75" customHeight="1" x14ac:dyDescent="0.25">
      <c r="A6681" s="390"/>
      <c r="B6681" s="390"/>
      <c r="C6681" s="390"/>
      <c r="D6681" s="391"/>
      <c r="E6681" s="390"/>
      <c r="F6681" s="395" t="s">
        <v>18</v>
      </c>
      <c r="G6681" s="390" t="s">
        <v>869</v>
      </c>
      <c r="H6681" s="394"/>
    </row>
    <row r="6682" spans="1:8" ht="15.75" customHeight="1" x14ac:dyDescent="0.25">
      <c r="A6682" s="390"/>
      <c r="B6682" s="390"/>
      <c r="C6682" s="390"/>
      <c r="D6682" s="391"/>
      <c r="E6682" s="390"/>
      <c r="F6682" s="393" t="s">
        <v>21</v>
      </c>
      <c r="G6682" s="390" t="s">
        <v>1502</v>
      </c>
      <c r="H6682" s="394"/>
    </row>
    <row r="6683" spans="1:8" ht="15.75" customHeight="1" x14ac:dyDescent="0.25">
      <c r="A6683" s="390" t="s">
        <v>20</v>
      </c>
      <c r="B6683" s="390"/>
      <c r="C6683" s="390"/>
      <c r="D6683" s="391"/>
      <c r="E6683" s="390"/>
      <c r="F6683" s="391"/>
      <c r="G6683" s="390"/>
      <c r="H6683" s="394"/>
    </row>
    <row r="6684" spans="1:8" ht="15.75" customHeight="1" x14ac:dyDescent="0.25">
      <c r="A6684" s="390" t="inlineStr">
        <is>
          <t>Dealer-011</t>
        </is>
      </c>
      <c r="B6684" s="390"/>
      <c r="C6684" s="390" t="inlineStr">
        <is>
          <t>ATTN: Contact-002</t>
        </is>
      </c>
      <c r="D6684" s="391"/>
      <c r="E6684" s="390"/>
      <c r="F6684" s="391"/>
      <c r="G6684" s="390"/>
      <c r="H6684" s="394"/>
    </row>
    <row r="6685" spans="1:8" ht="15.75" customHeight="1" x14ac:dyDescent="0.25">
      <c r="A6685" s="390" t="inlineStr">
        <is>
          <t>Address line (redacted)</t>
        </is>
      </c>
      <c r="B6685" s="390"/>
      <c r="C6685" s="390"/>
      <c r="D6685" s="391"/>
      <c r="E6685" s="390"/>
      <c r="F6685" s="391"/>
      <c r="G6685" s="390"/>
      <c r="H6685" s="394"/>
    </row>
    <row r="6686" spans="1:8" ht="15.75" customHeight="1" x14ac:dyDescent="0.25">
      <c r="A6686" s="390" t="inlineStr">
        <is>
          <t>Address line (redacted)</t>
        </is>
      </c>
      <c r="B6686" s="390"/>
      <c r="C6686" s="390"/>
      <c r="D6686" s="391"/>
      <c r="E6686" s="390"/>
      <c r="F6686" s="391"/>
      <c r="G6686" s="390"/>
      <c r="H6686" s="394"/>
    </row>
    <row r="6687" spans="1:8" ht="15.75" customHeight="1" x14ac:dyDescent="0.25">
      <c r="A6687" s="390" t="inlineStr">
        <is>
          <t>Address line (redacted)</t>
        </is>
      </c>
      <c r="B6687" s="390"/>
      <c r="C6687" s="390"/>
      <c r="D6687" s="391"/>
      <c r="E6687" s="390"/>
      <c r="F6687" s="391"/>
      <c r="G6687" s="390"/>
      <c r="H6687" s="394"/>
    </row>
    <row r="6688" spans="1:8" ht="15.75" customHeight="1" x14ac:dyDescent="0.25">
      <c r="A6688" s="390"/>
      <c r="B6688" s="390"/>
      <c r="C6688" s="390"/>
      <c r="D6688" s="391"/>
      <c r="E6688" s="390"/>
      <c r="F6688" s="391"/>
      <c r="G6688" s="390"/>
      <c r="H6688" s="394"/>
    </row>
    <row r="6689" spans="1:8" ht="15.75" customHeight="1" x14ac:dyDescent="0.25">
      <c r="A6689" s="390" t="s">
        <v>30</v>
      </c>
      <c r="B6689" s="390"/>
      <c r="C6689" s="390"/>
      <c r="D6689" s="391"/>
      <c r="E6689" s="390"/>
      <c r="F6689" s="391"/>
      <c r="G6689" s="390"/>
      <c r="H6689" s="394"/>
    </row>
    <row r="6690" spans="1:8" ht="15.75" customHeight="1" x14ac:dyDescent="0.25">
      <c r="A6690" s="390"/>
      <c r="B6690" s="390"/>
      <c r="C6690" s="390"/>
      <c r="D6690" s="391"/>
      <c r="E6690" s="390"/>
      <c r="F6690" s="391"/>
      <c r="G6690" s="390"/>
      <c r="H6690" s="394"/>
    </row>
    <row r="6691" spans="1:8" ht="15.75" customHeight="1" x14ac:dyDescent="0.25">
      <c r="A6691" s="390" t="s">
        <v>1322</v>
      </c>
      <c r="B6691" s="390"/>
      <c r="C6691" s="390"/>
      <c r="D6691" s="391"/>
      <c r="E6691" s="390"/>
      <c r="F6691" s="391"/>
      <c r="G6691" s="390"/>
      <c r="H6691" s="394"/>
    </row>
    <row r="6692" spans="1:8" ht="15.75" customHeight="1" x14ac:dyDescent="0.25">
      <c r="A6692" s="390" t="s">
        <v>1328</v>
      </c>
      <c r="B6692" s="390"/>
      <c r="C6692" s="390"/>
      <c r="D6692" s="391"/>
      <c r="E6692" s="390"/>
      <c r="F6692" s="391"/>
      <c r="G6692" s="390"/>
      <c r="H6692" s="394"/>
    </row>
    <row r="6693" spans="1:8" ht="15.75" customHeight="1" x14ac:dyDescent="0.25">
      <c r="A6693" s="390"/>
      <c r="B6693" s="390"/>
      <c r="C6693" s="390"/>
      <c r="D6693" s="391"/>
      <c r="E6693" s="390"/>
      <c r="F6693" s="391"/>
      <c r="G6693" s="390"/>
      <c r="H6693" s="394"/>
    </row>
    <row r="6694" spans="1:8" ht="15.75" customHeight="1" x14ac:dyDescent="0.25">
      <c r="A6694" s="399" t="s">
        <v>33</v>
      </c>
      <c r="B6694" s="400" t="s">
        <v>6</v>
      </c>
      <c r="C6694" s="400"/>
      <c r="D6694" s="401" t="s">
        <v>37</v>
      </c>
      <c r="E6694" s="402" t="s">
        <v>38</v>
      </c>
      <c r="F6694" s="403" t="s">
        <v>7</v>
      </c>
      <c r="G6694" s="404" t="s">
        <v>43</v>
      </c>
      <c r="H6694" s="405" t="s">
        <v>44</v>
      </c>
    </row>
    <row r="6695" spans="1:8" ht="15.75" customHeight="1" x14ac:dyDescent="0.25">
      <c r="A6695" s="406"/>
      <c r="B6695" s="407"/>
      <c r="C6695" s="393"/>
      <c r="D6695" s="410"/>
      <c r="E6695" s="408"/>
      <c r="F6695" s="409"/>
      <c r="G6695" s="410"/>
      <c r="H6695" s="411"/>
    </row>
    <row r="6696" spans="1:8" ht="15.75" customHeight="1" x14ac:dyDescent="0.25">
      <c r="A6696" s="412"/>
      <c r="B6696" s="654" t="s">
        <v>531</v>
      </c>
      <c r="C6696" s="654"/>
      <c r="D6696" s="415"/>
      <c r="E6696" s="415"/>
      <c r="F6696" s="415"/>
      <c r="G6696" s="415"/>
      <c r="H6696" s="416"/>
    </row>
    <row r="6697" spans="1:8" ht="15.75" customHeight="1" x14ac:dyDescent="0.25">
      <c r="A6697" s="412" t="s">
        <v>55</v>
      </c>
      <c r="B6697" s="644" t="s">
        <v>1249</v>
      </c>
      <c r="C6697" s="418"/>
      <c r="D6697" s="415">
        <v>5</v>
      </c>
      <c r="E6697" s="415">
        <v>10</v>
      </c>
      <c r="F6697" s="415">
        <f t="shared" ref="F6697:F6698" si="196">+E6697*D6697</f>
      </c>
      <c r="G6697" s="415">
        <v>1</v>
      </c>
      <c r="H6697" s="416">
        <f t="shared" ref="H6697:H6698" si="197">+G6697*F6697</f>
      </c>
    </row>
    <row r="6698" spans="1:8" ht="15.75" customHeight="1" x14ac:dyDescent="0.25">
      <c r="A6698" s="581" t="s">
        <v>59</v>
      </c>
      <c r="B6698" s="582" t="s">
        <v>563</v>
      </c>
      <c r="C6698" s="582"/>
      <c r="D6698" s="415">
        <v>5</v>
      </c>
      <c r="E6698" s="415">
        <v>10</v>
      </c>
      <c r="F6698" s="415">
        <f t="shared" si="196"/>
      </c>
      <c r="G6698" s="415">
        <v>1</v>
      </c>
      <c r="H6698" s="416">
        <f t="shared" si="197"/>
      </c>
    </row>
    <row r="6699" spans="1:8" ht="15.75" customHeight="1" x14ac:dyDescent="0.25">
      <c r="A6699" s="581"/>
      <c r="B6699" s="654" t="s">
        <v>1503</v>
      </c>
      <c r="C6699" s="654"/>
      <c r="D6699" s="415"/>
      <c r="E6699" s="415"/>
      <c r="F6699" s="415"/>
      <c r="G6699" s="415"/>
      <c r="H6699" s="416"/>
    </row>
    <row r="6700" spans="1:8" ht="15.75" customHeight="1" x14ac:dyDescent="0.25">
      <c r="A6700" s="581" t="s">
        <v>67</v>
      </c>
      <c r="B6700" s="582" t="s">
        <v>1504</v>
      </c>
      <c r="C6700" s="582" t="s">
        <v>1505</v>
      </c>
      <c r="D6700" s="415">
        <v>4</v>
      </c>
      <c r="E6700" s="415">
        <v>100</v>
      </c>
      <c r="F6700" s="415">
        <f>+E6700*D6700</f>
      </c>
      <c r="G6700" s="415">
        <v>1</v>
      </c>
      <c r="H6700" s="416">
        <f>+G6700*F6700</f>
      </c>
    </row>
    <row r="6701" spans="1:8" ht="15.75" customHeight="1" x14ac:dyDescent="0.25">
      <c r="A6701" s="656"/>
      <c r="B6701" s="584" t="s">
        <v>1297</v>
      </c>
      <c r="C6701" s="584"/>
      <c r="D6701" s="415"/>
      <c r="E6701" s="582"/>
      <c r="F6701" s="585"/>
      <c r="G6701" s="584"/>
      <c r="H6701" s="586"/>
    </row>
    <row r="6702" spans="1:8" ht="15.75" customHeight="1" x14ac:dyDescent="0.25">
      <c r="A6702" s="656" t="s">
        <v>485</v>
      </c>
      <c r="B6702" s="585" t="s">
        <v>63</v>
      </c>
      <c r="C6702" s="585" t="s">
        <v>371</v>
      </c>
      <c r="D6702" s="415">
        <v>1</v>
      </c>
      <c r="E6702" s="415">
        <v>6</v>
      </c>
      <c r="F6702" s="588">
        <f t="shared" ref="F6702:F6703" si="198">+E6702*D6702</f>
      </c>
      <c r="G6702" s="588">
        <v>1</v>
      </c>
      <c r="H6702" s="416">
        <f t="shared" ref="H6702:H6703" si="199">+G6702*F6702</f>
      </c>
    </row>
    <row r="6703" spans="1:8" ht="15.75" customHeight="1" x14ac:dyDescent="0.25">
      <c r="A6703" s="656" t="s">
        <v>486</v>
      </c>
      <c r="B6703" s="585" t="s">
        <v>599</v>
      </c>
      <c r="C6703" s="585" t="s">
        <v>372</v>
      </c>
      <c r="D6703" s="415">
        <v>1</v>
      </c>
      <c r="E6703" s="415">
        <v>6</v>
      </c>
      <c r="F6703" s="588">
        <f t="shared" si="198"/>
      </c>
      <c r="G6703" s="588">
        <v>1</v>
      </c>
      <c r="H6703" s="416">
        <f t="shared" si="199"/>
      </c>
    </row>
    <row r="6704" spans="1:8" ht="15.75" customHeight="1" x14ac:dyDescent="0.25">
      <c r="A6704" s="587"/>
      <c r="B6704" s="418"/>
      <c r="C6704" s="582"/>
      <c r="D6704" s="415"/>
      <c r="E6704" s="415"/>
      <c r="F6704" s="588"/>
      <c r="G6704" s="588"/>
      <c r="H6704" s="416"/>
    </row>
    <row r="6705" spans="1:8" ht="15.75" customHeight="1" x14ac:dyDescent="0.25">
      <c r="A6705" s="587"/>
      <c r="B6705" s="418"/>
      <c r="C6705" s="582"/>
      <c r="D6705" s="415"/>
      <c r="E6705" s="415"/>
      <c r="F6705" s="588"/>
      <c r="G6705" s="588"/>
      <c r="H6705" s="416"/>
    </row>
    <row r="6706" spans="1:8" ht="15.75" customHeight="1" x14ac:dyDescent="0.25">
      <c r="A6706" s="430"/>
      <c r="B6706" s="409"/>
      <c r="C6706" s="393"/>
      <c r="D6706" s="427"/>
      <c r="E6706" s="427"/>
      <c r="F6706" s="428"/>
      <c r="G6706" s="431"/>
      <c r="H6706" s="429"/>
    </row>
    <row r="6707" spans="1:8" ht="15.75" customHeight="1" x14ac:dyDescent="0.25">
      <c r="A6707" s="432"/>
      <c r="B6707" s="433"/>
      <c r="C6707" s="434" t="s">
        <v>85</v>
      </c>
      <c r="D6707" s="436">
        <f>SUM(D6697:D6706)</f>
      </c>
      <c r="E6707" s="436"/>
      <c r="F6707" s="436"/>
      <c r="G6707" s="437"/>
      <c r="H6707" s="623">
        <f>SUM(H6697:H6706)</f>
      </c>
    </row>
    <row r="6708" spans="1:8" ht="15.75" customHeight="1" x14ac:dyDescent="0.25">
      <c r="A6708" s="439"/>
      <c r="B6708" s="440"/>
      <c r="C6708" s="440"/>
      <c r="D6708" s="441"/>
      <c r="E6708" s="440"/>
      <c r="F6708" s="442"/>
      <c r="G6708" s="443"/>
      <c r="H6708" s="444"/>
    </row>
    <row r="6709" spans="1:8" ht="15.75" customHeight="1" x14ac:dyDescent="0.25">
      <c r="A6709" s="392"/>
      <c r="B6709" s="391"/>
      <c r="C6709" s="391"/>
      <c r="D6709" s="391"/>
      <c r="E6709" s="390"/>
      <c r="F6709" s="392"/>
      <c r="G6709" s="390"/>
      <c r="H6709" s="394"/>
    </row>
    <row r="6710" spans="1:8" ht="15.75" customHeight="1" x14ac:dyDescent="0.25">
      <c r="A6710" s="445"/>
      <c r="B6710" s="445"/>
      <c r="C6710" s="445"/>
      <c r="D6710" s="446" t="s">
        <v>97</v>
      </c>
      <c r="E6710" s="445" t="s">
        <v>98</v>
      </c>
      <c r="F6710" s="445"/>
      <c r="G6710" s="390"/>
      <c r="H6710" s="394"/>
    </row>
    <row r="6711" spans="1:8" ht="15.75" customHeight="1" x14ac:dyDescent="0.25">
      <c r="A6711" s="390"/>
      <c r="B6711" s="390"/>
      <c r="C6711" s="390"/>
      <c r="D6711" s="391"/>
      <c r="E6711" s="390"/>
      <c r="F6711" s="390"/>
      <c r="G6711" s="390"/>
      <c r="H6711" s="394"/>
    </row>
    <row r="6712" spans="1:8" ht="15.75" customHeight="1" x14ac:dyDescent="0.25">
      <c r="A6712" s="390"/>
      <c r="B6712" s="390"/>
      <c r="C6712" s="390"/>
      <c r="D6712" s="391"/>
      <c r="E6712" s="390"/>
      <c r="F6712" s="390"/>
      <c r="G6712" s="390"/>
      <c r="H6712" s="394"/>
    </row>
    <row r="6713" spans="1:8" ht="15.75" customHeight="1" x14ac:dyDescent="0.25">
      <c r="A6713" s="445"/>
      <c r="B6713" s="445"/>
      <c r="C6713" s="445"/>
      <c r="D6713" s="446"/>
      <c r="E6713" s="445" t="s">
        <v>99</v>
      </c>
      <c r="F6713" s="445"/>
      <c r="G6713" s="390"/>
      <c r="H6713" s="394"/>
    </row>
    <row r="6714" spans="1:8" ht="15.75" customHeight="1" x14ac:dyDescent="0.25">
      <c r="D6714" s="4"/>
      <c r="H6714" s="4"/>
    </row>
    <row r="6715" spans="1:8" ht="15.75" customHeight="1" x14ac:dyDescent="0.25">
      <c r="D6715" s="4"/>
      <c r="H6715" s="4"/>
    </row>
    <row r="6716" spans="1:8" ht="15.75" customHeight="1" x14ac:dyDescent="0.25">
      <c r="D6716" s="4"/>
      <c r="H6716" s="4"/>
    </row>
    <row r="6717" spans="1:8" ht="15.75" customHeight="1" x14ac:dyDescent="0.25">
      <c r="D6717" s="4"/>
      <c r="H6717" s="4"/>
    </row>
    <row r="6718" spans="1:8" ht="15.75" customHeight="1" x14ac:dyDescent="0.25">
      <c r="D6718" s="4"/>
      <c r="H6718" s="4"/>
    </row>
    <row r="6719" spans="1:8" ht="15.75" customHeight="1" x14ac:dyDescent="0.25">
      <c r="D6719" s="4"/>
      <c r="H6719" s="4"/>
    </row>
    <row r="6720" spans="1:8" ht="15.75" customHeight="1" x14ac:dyDescent="0.25">
      <c r="D6720" s="4"/>
      <c r="H6720" s="4"/>
    </row>
    <row r="6721" spans="1:20" ht="15.75" customHeight="1" x14ac:dyDescent="0.25">
      <c r="D6721" s="4"/>
      <c r="H6721" s="4"/>
    </row>
    <row r="6722" spans="1:20" ht="15.75" customHeight="1" x14ac:dyDescent="0.25">
      <c r="D6722" s="4"/>
      <c r="H6722" s="4"/>
    </row>
    <row r="6723" spans="1:20" ht="15.75" customHeight="1" x14ac:dyDescent="0.25">
      <c r="D6723" s="4"/>
      <c r="H6723" s="4"/>
    </row>
    <row r="6724" spans="1:20" ht="15.75" customHeight="1" x14ac:dyDescent="0.25">
      <c r="D6724" s="4"/>
      <c r="H6724" s="4"/>
    </row>
    <row r="6725" spans="1:20" ht="15.75" customHeight="1" x14ac:dyDescent="0.25">
      <c r="A6725" s="14" t="s">
        <v>14</v>
      </c>
      <c r="B6725" s="14"/>
      <c r="C6725" s="14"/>
      <c r="D6725" s="14"/>
      <c r="E6725" s="14"/>
      <c r="F6725" s="14"/>
      <c r="G6725" s="14"/>
      <c r="H6725" s="14"/>
    </row>
    <row r="6726" spans="1:20" ht="15.75" customHeight="1" x14ac:dyDescent="0.25">
      <c r="D6726" s="4"/>
      <c r="H6726" s="8"/>
    </row>
    <row r="6727" spans="1:20" ht="15.75" customHeight="1" x14ac:dyDescent="0.3">
      <c r="A6727" s="233"/>
      <c r="B6727" s="233"/>
      <c r="C6727" s="234"/>
      <c r="D6727" s="235"/>
      <c r="E6727" s="236"/>
      <c r="F6727" s="236"/>
      <c r="G6727" s="236"/>
      <c r="H6727" s="237"/>
      <c r="I6727" s="390"/>
      <c r="J6727" s="390"/>
      <c r="K6727" s="390"/>
      <c r="L6727" s="390"/>
      <c r="M6727" s="390"/>
      <c r="N6727" s="390"/>
      <c r="O6727" s="390"/>
      <c r="P6727" s="390"/>
      <c r="Q6727" s="390"/>
      <c r="R6727" s="390"/>
      <c r="S6727" s="390"/>
      <c r="T6727" s="390"/>
    </row>
    <row r="6728" spans="1:20" ht="15.75" customHeight="1" x14ac:dyDescent="0.25">
      <c r="A6728" s="390"/>
      <c r="B6728" s="390"/>
      <c r="C6728" s="390"/>
      <c r="D6728" s="391"/>
      <c r="E6728" s="390"/>
      <c r="F6728" s="395" t="s">
        <v>18</v>
      </c>
      <c r="G6728" s="396" t="s">
        <v>871</v>
      </c>
      <c r="H6728" s="397"/>
      <c r="I6728" s="390"/>
      <c r="J6728" s="390"/>
      <c r="K6728" s="390"/>
      <c r="L6728" s="390"/>
      <c r="M6728" s="390"/>
      <c r="N6728" s="390"/>
      <c r="O6728" s="390"/>
      <c r="P6728" s="390"/>
      <c r="Q6728" s="390"/>
      <c r="R6728" s="390"/>
      <c r="S6728" s="390"/>
      <c r="T6728" s="390"/>
    </row>
    <row r="6729" spans="1:20" ht="15.75" customHeight="1" x14ac:dyDescent="0.25">
      <c r="A6729" s="390" t="s">
        <v>20</v>
      </c>
      <c r="B6729" s="390"/>
      <c r="C6729" s="390"/>
      <c r="D6729" s="391"/>
      <c r="E6729" s="390"/>
      <c r="F6729" s="395" t="s">
        <v>21</v>
      </c>
      <c r="G6729" s="390" t="s">
        <v>1750</v>
      </c>
      <c r="H6729" s="391"/>
      <c r="I6729" s="390"/>
      <c r="J6729" s="390"/>
      <c r="K6729" s="390"/>
      <c r="L6729" s="390"/>
      <c r="M6729" s="390"/>
      <c r="N6729" s="390"/>
      <c r="O6729" s="390"/>
      <c r="P6729" s="390"/>
      <c r="Q6729" s="390"/>
      <c r="R6729" s="390"/>
      <c r="S6729" s="390"/>
      <c r="T6729" s="390"/>
    </row>
    <row r="6730" spans="1:20" ht="15.75" customHeight="1" x14ac:dyDescent="0.25">
      <c r="A6730" s="390" t="inlineStr">
        <is>
          <t>Dealer-002</t>
        </is>
      </c>
      <c r="B6730" s="390"/>
      <c r="C6730" s="390"/>
      <c r="D6730" s="391"/>
      <c r="E6730" s="395"/>
      <c r="F6730" s="390"/>
      <c r="G6730" s="390"/>
      <c r="H6730" s="394"/>
      <c r="I6730" s="390"/>
      <c r="J6730" s="390"/>
      <c r="K6730" s="390"/>
      <c r="L6730" s="390"/>
      <c r="M6730" s="390"/>
      <c r="N6730" s="390"/>
      <c r="O6730" s="390"/>
      <c r="P6730" s="390"/>
      <c r="Q6730" s="390"/>
      <c r="R6730" s="390"/>
      <c r="S6730" s="390"/>
      <c r="T6730" s="390"/>
    </row>
    <row r="6731" spans="1:20" ht="15.75" customHeight="1" x14ac:dyDescent="0.25">
      <c r="A6731" s="390" t="inlineStr">
        <is>
          <t>Address line (redacted)</t>
        </is>
      </c>
      <c r="B6731" s="390"/>
      <c r="C6731" s="390"/>
      <c r="D6731" s="398"/>
      <c r="E6731" s="390"/>
      <c r="F6731" s="391"/>
      <c r="G6731" s="390"/>
      <c r="H6731" s="394"/>
      <c r="I6731" s="390"/>
      <c r="J6731" s="390"/>
      <c r="K6731" s="390"/>
      <c r="L6731" s="390"/>
      <c r="M6731" s="390"/>
      <c r="N6731" s="390"/>
      <c r="O6731" s="390"/>
      <c r="P6731" s="390"/>
      <c r="Q6731" s="390"/>
      <c r="R6731" s="390"/>
      <c r="S6731" s="390"/>
      <c r="T6731" s="390"/>
    </row>
    <row r="6732" spans="1:20" ht="15.75" customHeight="1" x14ac:dyDescent="0.25">
      <c r="A6732" s="390" t="inlineStr">
        <is>
          <t>Address line (redacted)</t>
        </is>
      </c>
      <c r="B6732" s="390"/>
      <c r="C6732" s="390"/>
      <c r="D6732" s="398"/>
      <c r="E6732" s="390"/>
      <c r="F6732" s="391"/>
      <c r="G6732" s="390"/>
      <c r="H6732" s="394"/>
      <c r="I6732" s="56"/>
      <c r="J6732" s="56"/>
      <c r="K6732" s="56"/>
      <c r="L6732" s="56"/>
      <c r="M6732" s="56"/>
      <c r="N6732" s="56"/>
      <c r="O6732" s="56"/>
      <c r="P6732" s="56"/>
      <c r="Q6732" s="56"/>
      <c r="R6732" s="56"/>
      <c r="S6732" s="56"/>
      <c r="T6732" s="56"/>
    </row>
    <row r="6733" spans="1:20" ht="15.75" customHeight="1" x14ac:dyDescent="0.25">
      <c r="A6733" s="31"/>
      <c r="B6733" s="720"/>
      <c r="C6733" s="720"/>
      <c r="D6733" s="721"/>
      <c r="E6733" s="720"/>
      <c r="F6733" s="721"/>
      <c r="G6733" s="720"/>
      <c r="H6733" s="722"/>
      <c r="I6733" s="56"/>
      <c r="J6733" s="56"/>
      <c r="K6733" s="56"/>
      <c r="L6733" s="56"/>
      <c r="M6733" s="56"/>
      <c r="N6733" s="56"/>
      <c r="O6733" s="56"/>
      <c r="P6733" s="56"/>
      <c r="Q6733" s="56"/>
      <c r="R6733" s="56"/>
      <c r="S6733" s="56"/>
      <c r="T6733" s="56"/>
    </row>
    <row r="6734" spans="1:20" ht="15.75" customHeight="1" x14ac:dyDescent="0.25">
      <c r="A6734" s="720" t="s">
        <v>30</v>
      </c>
      <c r="B6734" s="720"/>
      <c r="C6734" s="720"/>
      <c r="D6734" s="721"/>
      <c r="E6734" s="720"/>
      <c r="F6734" s="721"/>
      <c r="G6734" s="720"/>
      <c r="H6734" s="722"/>
      <c r="I6734" s="56"/>
      <c r="J6734" s="56"/>
      <c r="K6734" s="56"/>
      <c r="L6734" s="56"/>
      <c r="M6734" s="56"/>
      <c r="N6734" s="56"/>
      <c r="O6734" s="56"/>
      <c r="P6734" s="56"/>
      <c r="Q6734" s="56"/>
      <c r="R6734" s="56"/>
      <c r="S6734" s="56"/>
      <c r="T6734" s="56"/>
    </row>
    <row r="6735" spans="1:20" ht="15.75" customHeight="1" x14ac:dyDescent="0.25">
      <c r="A6735" s="720"/>
      <c r="B6735" s="720"/>
      <c r="C6735" s="720"/>
      <c r="D6735" s="721"/>
      <c r="E6735" s="720"/>
      <c r="F6735" s="721"/>
      <c r="G6735" s="720"/>
      <c r="H6735" s="722"/>
      <c r="I6735" s="56"/>
      <c r="J6735" s="56"/>
      <c r="K6735" s="56"/>
      <c r="L6735" s="56"/>
      <c r="M6735" s="56"/>
      <c r="N6735" s="56"/>
      <c r="O6735" s="56"/>
      <c r="P6735" s="56"/>
      <c r="Q6735" s="56"/>
      <c r="R6735" s="56"/>
      <c r="S6735" s="56"/>
      <c r="T6735" s="56"/>
    </row>
    <row r="6736" spans="1:20" ht="15.75" customHeight="1" x14ac:dyDescent="0.25">
      <c r="A6736" s="390" t="s">
        <v>1322</v>
      </c>
      <c r="B6736" s="720"/>
      <c r="C6736" s="720"/>
      <c r="D6736" s="721"/>
      <c r="E6736" s="720"/>
      <c r="F6736" s="721"/>
      <c r="G6736" s="720"/>
      <c r="H6736" s="722"/>
      <c r="I6736" s="56"/>
      <c r="J6736" s="56"/>
      <c r="K6736" s="56"/>
      <c r="L6736" s="56"/>
      <c r="M6736" s="56"/>
      <c r="N6736" s="56"/>
      <c r="O6736" s="56"/>
      <c r="P6736" s="56"/>
      <c r="Q6736" s="56"/>
      <c r="R6736" s="56"/>
      <c r="S6736" s="56"/>
      <c r="T6736" s="56"/>
    </row>
    <row r="6737" spans="1:20" ht="15.75" customHeight="1" x14ac:dyDescent="0.25">
      <c r="A6737" s="390" t="s">
        <v>1328</v>
      </c>
      <c r="B6737" s="720"/>
      <c r="C6737" s="720"/>
      <c r="D6737" s="721"/>
      <c r="E6737" s="720"/>
      <c r="F6737" s="721"/>
      <c r="G6737" s="720"/>
      <c r="H6737" s="722"/>
      <c r="I6737" s="56"/>
      <c r="J6737" s="56"/>
      <c r="K6737" s="56"/>
      <c r="L6737" s="56"/>
      <c r="M6737" s="56"/>
      <c r="N6737" s="56"/>
      <c r="O6737" s="56"/>
      <c r="P6737" s="56"/>
      <c r="Q6737" s="56"/>
      <c r="R6737" s="56"/>
      <c r="S6737" s="56"/>
      <c r="T6737" s="56"/>
    </row>
    <row r="6738" spans="1:20" ht="15.75" customHeight="1" x14ac:dyDescent="0.25">
      <c r="A6738" s="720"/>
      <c r="B6738" s="720"/>
      <c r="C6738" s="720"/>
      <c r="D6738" s="721"/>
      <c r="E6738" s="720"/>
      <c r="F6738" s="721"/>
      <c r="G6738" s="720"/>
      <c r="H6738" s="722"/>
      <c r="I6738" s="56"/>
      <c r="J6738" s="56"/>
      <c r="K6738" s="56"/>
      <c r="L6738" s="56"/>
      <c r="M6738" s="56"/>
      <c r="N6738" s="56"/>
      <c r="O6738" s="56"/>
      <c r="P6738" s="56"/>
      <c r="Q6738" s="56"/>
      <c r="R6738" s="56"/>
      <c r="S6738" s="56"/>
      <c r="T6738" s="56"/>
    </row>
    <row r="6739" spans="1:20" ht="15.75" customHeight="1" x14ac:dyDescent="0.25">
      <c r="A6739" s="723" t="s">
        <v>33</v>
      </c>
      <c r="B6739" s="724" t="s">
        <v>6</v>
      </c>
      <c r="C6739" s="724"/>
      <c r="D6739" s="725" t="s">
        <v>37</v>
      </c>
      <c r="E6739" s="726" t="s">
        <v>38</v>
      </c>
      <c r="F6739" s="727" t="s">
        <v>7</v>
      </c>
      <c r="G6739" s="728" t="s">
        <v>43</v>
      </c>
      <c r="H6739" s="729" t="s">
        <v>44</v>
      </c>
      <c r="I6739" s="56"/>
      <c r="J6739" s="56"/>
      <c r="K6739" s="56"/>
      <c r="L6739" s="56"/>
      <c r="M6739" s="56"/>
      <c r="N6739" s="56"/>
      <c r="O6739" s="56"/>
      <c r="P6739" s="56"/>
      <c r="Q6739" s="56"/>
      <c r="R6739" s="56"/>
      <c r="S6739" s="56"/>
      <c r="T6739" s="56"/>
    </row>
    <row r="6740" spans="1:20" ht="15" customHeight="1" x14ac:dyDescent="0.25">
      <c r="A6740" s="730"/>
      <c r="B6740" s="731"/>
      <c r="C6740" s="732"/>
      <c r="D6740" s="733"/>
      <c r="E6740" s="733"/>
      <c r="F6740" s="734"/>
      <c r="G6740" s="735"/>
      <c r="H6740" s="736"/>
      <c r="I6740" s="390"/>
      <c r="J6740" s="390"/>
      <c r="K6740" s="390"/>
      <c r="L6740" s="390"/>
      <c r="M6740" s="390"/>
      <c r="N6740" s="390"/>
      <c r="O6740" s="390"/>
      <c r="P6740" s="390"/>
      <c r="Q6740" s="390"/>
      <c r="R6740" s="390"/>
      <c r="S6740" s="390"/>
      <c r="T6740" s="390"/>
    </row>
    <row r="6741" spans="1:20" ht="15" customHeight="1" x14ac:dyDescent="0.25">
      <c r="A6741" s="425"/>
      <c r="B6741" s="557" t="s">
        <v>573</v>
      </c>
      <c r="C6741" s="558"/>
      <c r="D6741" s="427"/>
      <c r="E6741" s="427"/>
      <c r="F6741" s="391"/>
      <c r="G6741" s="427"/>
      <c r="H6741" s="429"/>
      <c r="I6741" s="390"/>
      <c r="J6741" s="390"/>
      <c r="K6741" s="390"/>
      <c r="L6741" s="390"/>
      <c r="M6741" s="390"/>
      <c r="N6741" s="390"/>
      <c r="O6741" s="390"/>
      <c r="P6741" s="390"/>
      <c r="Q6741" s="390"/>
      <c r="R6741" s="390"/>
      <c r="S6741" s="390"/>
      <c r="T6741" s="390"/>
    </row>
    <row r="6742" spans="1:20" ht="15" customHeight="1" x14ac:dyDescent="0.25">
      <c r="A6742" s="425" t="s">
        <v>55</v>
      </c>
      <c r="B6742" s="448" t="s">
        <v>118</v>
      </c>
      <c r="C6742" s="449" t="s">
        <v>204</v>
      </c>
      <c r="D6742" s="427">
        <v>1</v>
      </c>
      <c r="E6742" s="427">
        <v>5</v>
      </c>
      <c r="F6742" s="391">
        <f>+E6742*D6742</f>
      </c>
      <c r="G6742" s="427">
        <v>1</v>
      </c>
      <c r="H6742" s="429">
        <f>+G6742*F6742</f>
      </c>
      <c r="I6742" s="390"/>
      <c r="J6742" s="390"/>
      <c r="K6742" s="390"/>
      <c r="L6742" s="390"/>
      <c r="M6742" s="390"/>
      <c r="N6742" s="390"/>
      <c r="O6742" s="390"/>
      <c r="P6742" s="390"/>
      <c r="Q6742" s="390"/>
      <c r="R6742" s="390"/>
      <c r="S6742" s="390"/>
      <c r="T6742" s="390"/>
    </row>
    <row r="6743" spans="1:20" ht="15" customHeight="1" x14ac:dyDescent="0.25">
      <c r="A6743" s="425"/>
      <c r="B6743" s="557" t="s">
        <v>674</v>
      </c>
      <c r="C6743" s="558"/>
      <c r="D6743" s="427"/>
      <c r="E6743" s="427"/>
      <c r="F6743" s="391"/>
      <c r="G6743" s="427"/>
      <c r="H6743" s="429"/>
      <c r="I6743" s="390"/>
      <c r="J6743" s="390"/>
      <c r="K6743" s="390"/>
      <c r="L6743" s="390"/>
      <c r="M6743" s="390"/>
      <c r="N6743" s="390"/>
      <c r="O6743" s="390"/>
      <c r="P6743" s="390"/>
      <c r="Q6743" s="390"/>
      <c r="R6743" s="390"/>
      <c r="S6743" s="390"/>
      <c r="T6743" s="390"/>
    </row>
    <row r="6744" spans="1:20" ht="15" customHeight="1" x14ac:dyDescent="0.25">
      <c r="A6744" s="425" t="s">
        <v>59</v>
      </c>
      <c r="B6744" s="448" t="s">
        <v>239</v>
      </c>
      <c r="C6744" s="449"/>
      <c r="D6744" s="427">
        <v>3</v>
      </c>
      <c r="E6744" s="427">
        <v>2</v>
      </c>
      <c r="F6744" s="391">
        <f>+E6744*D6744</f>
      </c>
      <c r="G6744" s="427">
        <v>1</v>
      </c>
      <c r="H6744" s="429">
        <f>+G6744*F6744</f>
      </c>
      <c r="I6744" s="390"/>
      <c r="J6744" s="390"/>
      <c r="K6744" s="390"/>
      <c r="L6744" s="390"/>
      <c r="M6744" s="390"/>
      <c r="N6744" s="390"/>
      <c r="O6744" s="390"/>
      <c r="P6744" s="390"/>
      <c r="Q6744" s="390"/>
      <c r="R6744" s="390"/>
      <c r="S6744" s="390"/>
      <c r="T6744" s="390"/>
    </row>
    <row r="6745" spans="1:20" ht="15" customHeight="1" x14ac:dyDescent="0.25">
      <c r="A6745" s="425"/>
      <c r="B6745" s="557" t="s">
        <v>531</v>
      </c>
      <c r="C6745" s="558"/>
      <c r="D6745" s="427"/>
      <c r="E6745" s="427"/>
      <c r="F6745" s="391"/>
      <c r="G6745" s="427"/>
      <c r="H6745" s="429"/>
      <c r="I6745" s="390"/>
      <c r="J6745" s="390"/>
      <c r="K6745" s="390"/>
      <c r="L6745" s="390"/>
      <c r="M6745" s="390"/>
      <c r="N6745" s="390"/>
      <c r="O6745" s="390"/>
      <c r="P6745" s="390"/>
      <c r="Q6745" s="390"/>
      <c r="R6745" s="390"/>
      <c r="S6745" s="390"/>
      <c r="T6745" s="390"/>
    </row>
    <row r="6746" spans="1:20" ht="15" customHeight="1" x14ac:dyDescent="0.25">
      <c r="A6746" s="425" t="s">
        <v>67</v>
      </c>
      <c r="B6746" s="448" t="s">
        <v>1249</v>
      </c>
      <c r="C6746" s="390"/>
      <c r="D6746" s="427">
        <v>3</v>
      </c>
      <c r="E6746" s="427">
        <v>10</v>
      </c>
      <c r="F6746" s="391">
        <f t="shared" ref="F6746:F6747" si="200">+E6746*D6746</f>
      </c>
      <c r="G6746" s="427">
        <v>1</v>
      </c>
      <c r="H6746" s="429">
        <f t="shared" ref="H6746:H6747" si="201">+G6746*F6746</f>
      </c>
      <c r="I6746" s="390"/>
      <c r="J6746" s="390"/>
      <c r="K6746" s="390"/>
      <c r="L6746" s="390"/>
      <c r="M6746" s="390"/>
      <c r="N6746" s="390"/>
      <c r="O6746" s="390"/>
      <c r="P6746" s="390"/>
      <c r="Q6746" s="390"/>
      <c r="R6746" s="390"/>
      <c r="S6746" s="390"/>
      <c r="T6746" s="390"/>
    </row>
    <row r="6747" spans="1:20" ht="15" customHeight="1" x14ac:dyDescent="0.25">
      <c r="A6747" s="502" t="s">
        <v>485</v>
      </c>
      <c r="B6747" s="630" t="s">
        <v>563</v>
      </c>
      <c r="C6747" s="658"/>
      <c r="D6747" s="427">
        <v>3</v>
      </c>
      <c r="E6747" s="427">
        <v>10</v>
      </c>
      <c r="F6747" s="391">
        <f t="shared" si="200"/>
      </c>
      <c r="G6747" s="427">
        <v>1</v>
      </c>
      <c r="H6747" s="429">
        <f t="shared" si="201"/>
      </c>
      <c r="I6747" s="390"/>
      <c r="J6747" s="390"/>
      <c r="K6747" s="390"/>
      <c r="L6747" s="390"/>
      <c r="M6747" s="390"/>
      <c r="N6747" s="390"/>
      <c r="O6747" s="390"/>
      <c r="P6747" s="390"/>
      <c r="Q6747" s="390"/>
      <c r="R6747" s="390"/>
      <c r="S6747" s="390"/>
      <c r="T6747" s="390"/>
    </row>
    <row r="6748" spans="1:20" ht="15" customHeight="1" x14ac:dyDescent="0.25">
      <c r="A6748" s="737"/>
      <c r="B6748" s="738" t="s">
        <v>1297</v>
      </c>
      <c r="C6748" s="573"/>
      <c r="D6748" s="427"/>
      <c r="E6748" s="427"/>
      <c r="F6748" s="391"/>
      <c r="G6748" s="427"/>
      <c r="H6748" s="429"/>
      <c r="I6748" s="390"/>
      <c r="J6748" s="390"/>
      <c r="K6748" s="390"/>
      <c r="L6748" s="390"/>
      <c r="M6748" s="390"/>
      <c r="N6748" s="390"/>
      <c r="O6748" s="390"/>
      <c r="P6748" s="390"/>
      <c r="Q6748" s="390"/>
      <c r="R6748" s="390"/>
      <c r="S6748" s="390"/>
      <c r="T6748" s="390"/>
    </row>
    <row r="6749" spans="1:20" ht="15" customHeight="1" x14ac:dyDescent="0.25">
      <c r="A6749" s="737" t="s">
        <v>490</v>
      </c>
      <c r="B6749" s="713" t="s">
        <v>138</v>
      </c>
      <c r="C6749" s="631" t="s">
        <v>384</v>
      </c>
      <c r="D6749" s="427">
        <v>1</v>
      </c>
      <c r="E6749" s="427">
        <v>6</v>
      </c>
      <c r="F6749" s="391">
        <f>+E6749*D6749</f>
      </c>
      <c r="G6749" s="427">
        <v>1</v>
      </c>
      <c r="H6749" s="429">
        <f>+G6749*F6749</f>
      </c>
      <c r="I6749" s="390"/>
      <c r="J6749" s="390"/>
      <c r="K6749" s="390"/>
      <c r="L6749" s="390"/>
      <c r="M6749" s="390"/>
      <c r="N6749" s="390"/>
      <c r="O6749" s="390"/>
      <c r="P6749" s="390"/>
      <c r="Q6749" s="390"/>
      <c r="R6749" s="390"/>
      <c r="S6749" s="390"/>
      <c r="T6749" s="390"/>
    </row>
    <row r="6750" spans="1:20" ht="15.75" customHeight="1" x14ac:dyDescent="0.25">
      <c r="A6750" s="425"/>
      <c r="B6750" s="448"/>
      <c r="C6750" s="390"/>
      <c r="D6750" s="427"/>
      <c r="E6750" s="427"/>
      <c r="F6750" s="391"/>
      <c r="G6750" s="427"/>
      <c r="H6750" s="429"/>
      <c r="I6750" s="739"/>
      <c r="J6750" s="739"/>
      <c r="K6750" s="739"/>
      <c r="L6750" s="739"/>
      <c r="M6750" s="739"/>
      <c r="N6750" s="739"/>
      <c r="O6750" s="739"/>
      <c r="P6750" s="739"/>
      <c r="Q6750" s="739"/>
      <c r="R6750" s="739"/>
      <c r="S6750" s="739"/>
      <c r="T6750" s="739"/>
    </row>
    <row r="6751" spans="1:20" ht="15.75" customHeight="1" x14ac:dyDescent="0.25">
      <c r="A6751" s="740"/>
      <c r="B6751" s="741" t="s">
        <v>1751</v>
      </c>
      <c r="C6751" s="742" t="s">
        <v>1752</v>
      </c>
      <c r="D6751" s="743"/>
      <c r="E6751" s="743"/>
      <c r="F6751" s="744"/>
      <c r="G6751" s="743">
        <v>1</v>
      </c>
      <c r="H6751" s="745">
        <f>+G6751*5</f>
      </c>
      <c r="I6751" s="56"/>
      <c r="J6751" s="56"/>
      <c r="K6751" s="56"/>
      <c r="L6751" s="56"/>
      <c r="M6751" s="56"/>
      <c r="N6751" s="56"/>
      <c r="O6751" s="56"/>
      <c r="P6751" s="56"/>
      <c r="Q6751" s="56"/>
      <c r="R6751" s="56"/>
      <c r="S6751" s="56"/>
      <c r="T6751" s="56"/>
    </row>
    <row r="6752" spans="1:20" ht="15.75" customHeight="1" x14ac:dyDescent="0.25">
      <c r="A6752" s="746"/>
      <c r="B6752" s="747"/>
      <c r="C6752" s="720"/>
      <c r="D6752" s="748"/>
      <c r="E6752" s="748"/>
      <c r="F6752" s="721"/>
      <c r="G6752" s="748"/>
      <c r="H6752" s="749"/>
      <c r="I6752" s="56"/>
      <c r="J6752" s="56"/>
      <c r="K6752" s="56"/>
      <c r="L6752" s="56"/>
      <c r="M6752" s="56"/>
      <c r="N6752" s="56"/>
      <c r="O6752" s="56"/>
      <c r="P6752" s="56"/>
      <c r="Q6752" s="56"/>
      <c r="R6752" s="56"/>
      <c r="S6752" s="56"/>
      <c r="T6752" s="56"/>
    </row>
    <row r="6753" spans="1:20" ht="15.75" customHeight="1" x14ac:dyDescent="0.25">
      <c r="A6753" s="750"/>
      <c r="B6753" s="734"/>
      <c r="C6753" s="732"/>
      <c r="D6753" s="748"/>
      <c r="E6753" s="748"/>
      <c r="F6753" s="751"/>
      <c r="G6753" s="752"/>
      <c r="H6753" s="749"/>
      <c r="I6753" s="56"/>
      <c r="J6753" s="56"/>
      <c r="K6753" s="56"/>
      <c r="L6753" s="56"/>
      <c r="M6753" s="56"/>
      <c r="N6753" s="56"/>
      <c r="O6753" s="56"/>
      <c r="P6753" s="56"/>
      <c r="Q6753" s="56"/>
      <c r="R6753" s="56"/>
      <c r="S6753" s="56"/>
      <c r="T6753" s="56"/>
    </row>
    <row r="6754" spans="1:20" ht="15.75" customHeight="1" x14ac:dyDescent="0.25">
      <c r="A6754" s="753"/>
      <c r="B6754" s="754"/>
      <c r="C6754" s="755" t="s">
        <v>85</v>
      </c>
      <c r="D6754" s="756">
        <f>SUM(D6742:D6753)</f>
      </c>
      <c r="E6754" s="756"/>
      <c r="F6754" s="757"/>
      <c r="G6754" s="758"/>
      <c r="H6754" s="759">
        <f>+H6742+H6744+H6746+H6747+H6749-H6751</f>
      </c>
      <c r="I6754" s="56"/>
      <c r="J6754" s="56"/>
      <c r="K6754" s="56"/>
      <c r="L6754" s="56"/>
      <c r="M6754" s="56"/>
      <c r="N6754" s="56"/>
      <c r="O6754" s="56"/>
      <c r="P6754" s="56"/>
      <c r="Q6754" s="56"/>
      <c r="R6754" s="56"/>
      <c r="S6754" s="56"/>
      <c r="T6754" s="56"/>
    </row>
    <row r="6755" spans="1:20" ht="15.75" customHeight="1" x14ac:dyDescent="0.25">
      <c r="A6755" s="760"/>
      <c r="B6755" s="761"/>
      <c r="C6755" s="761"/>
      <c r="D6755" s="762"/>
      <c r="E6755" s="761"/>
      <c r="F6755" s="763"/>
      <c r="G6755" s="764"/>
      <c r="H6755" s="765"/>
      <c r="I6755" s="56"/>
      <c r="J6755" s="56"/>
      <c r="K6755" s="56"/>
      <c r="L6755" s="56"/>
      <c r="M6755" s="56"/>
      <c r="N6755" s="56"/>
      <c r="O6755" s="56"/>
      <c r="P6755" s="56"/>
      <c r="Q6755" s="56"/>
      <c r="R6755" s="56"/>
      <c r="S6755" s="56"/>
      <c r="T6755" s="56"/>
    </row>
    <row r="6756" spans="1:20" ht="15.75" customHeight="1" x14ac:dyDescent="0.25">
      <c r="A6756" s="766"/>
      <c r="B6756" s="721"/>
      <c r="C6756" s="721"/>
      <c r="D6756" s="721"/>
      <c r="E6756" s="720"/>
      <c r="F6756" s="766"/>
      <c r="G6756" s="720"/>
      <c r="H6756" s="722"/>
      <c r="I6756" s="56"/>
      <c r="J6756" s="56"/>
      <c r="K6756" s="56"/>
      <c r="L6756" s="56"/>
      <c r="M6756" s="56"/>
      <c r="N6756" s="56"/>
      <c r="O6756" s="56"/>
      <c r="P6756" s="56"/>
      <c r="Q6756" s="56"/>
      <c r="R6756" s="56"/>
      <c r="S6756" s="56"/>
      <c r="T6756" s="56"/>
    </row>
    <row r="6757" spans="1:20" ht="15.75" customHeight="1" x14ac:dyDescent="0.25">
      <c r="A6757" s="767"/>
      <c r="B6757" s="767"/>
      <c r="C6757" s="767"/>
      <c r="D6757" s="768" t="s">
        <v>97</v>
      </c>
      <c r="E6757" s="769" t="s">
        <v>98</v>
      </c>
      <c r="F6757" s="769"/>
      <c r="G6757" s="720"/>
      <c r="H6757" s="722"/>
      <c r="I6757" s="56"/>
      <c r="J6757" s="56"/>
      <c r="K6757" s="56"/>
      <c r="L6757" s="56"/>
      <c r="M6757" s="56"/>
      <c r="N6757" s="56"/>
      <c r="O6757" s="56"/>
      <c r="P6757" s="56"/>
      <c r="Q6757" s="56"/>
      <c r="R6757" s="56"/>
      <c r="S6757" s="56"/>
      <c r="T6757" s="56"/>
    </row>
    <row r="6758" spans="1:20" ht="15.75" customHeight="1" x14ac:dyDescent="0.25">
      <c r="A6758" s="720"/>
      <c r="B6758" s="720"/>
      <c r="C6758" s="720"/>
      <c r="D6758" s="770"/>
      <c r="E6758" s="771"/>
      <c r="F6758" s="771"/>
      <c r="G6758" s="720"/>
      <c r="H6758" s="722"/>
      <c r="I6758" s="56"/>
      <c r="J6758" s="56"/>
      <c r="K6758" s="56"/>
      <c r="L6758" s="56"/>
      <c r="M6758" s="56"/>
      <c r="N6758" s="56"/>
      <c r="O6758" s="56"/>
      <c r="P6758" s="56"/>
      <c r="Q6758" s="56"/>
      <c r="R6758" s="56"/>
      <c r="S6758" s="56"/>
      <c r="T6758" s="56"/>
    </row>
    <row r="6759" spans="1:20" ht="15.75" customHeight="1" x14ac:dyDescent="0.25">
      <c r="A6759" s="720"/>
      <c r="B6759" s="720"/>
      <c r="C6759" s="720"/>
      <c r="D6759" s="770"/>
      <c r="E6759" s="771"/>
      <c r="F6759" s="771"/>
      <c r="G6759" s="720"/>
      <c r="H6759" s="722"/>
      <c r="I6759" s="56"/>
      <c r="J6759" s="56"/>
      <c r="K6759" s="56"/>
      <c r="L6759" s="56"/>
      <c r="M6759" s="56"/>
      <c r="N6759" s="56"/>
      <c r="O6759" s="56"/>
      <c r="P6759" s="56"/>
      <c r="Q6759" s="56"/>
      <c r="R6759" s="56"/>
      <c r="S6759" s="56"/>
      <c r="T6759" s="56"/>
    </row>
    <row r="6760" spans="1:20" ht="15.75" customHeight="1" x14ac:dyDescent="0.25">
      <c r="A6760" s="767"/>
      <c r="B6760" s="767"/>
      <c r="C6760" s="767"/>
      <c r="D6760" s="768"/>
      <c r="E6760" s="769" t="s">
        <v>99</v>
      </c>
      <c r="F6760" s="769"/>
      <c r="G6760" s="720"/>
      <c r="H6760" s="722"/>
    </row>
    <row r="6761" spans="1:20" ht="15.75" customHeight="1" x14ac:dyDescent="0.25">
      <c r="D6761" s="4"/>
      <c r="H6761" s="4"/>
    </row>
    <row r="6762" spans="1:20" ht="15.75" customHeight="1" x14ac:dyDescent="0.25">
      <c r="D6762" s="4"/>
      <c r="H6762" s="4"/>
    </row>
    <row r="6763" spans="1:20" ht="15.75" customHeight="1" x14ac:dyDescent="0.25">
      <c r="D6763" s="4"/>
      <c r="H6763" s="4"/>
    </row>
    <row r="6764" spans="1:20" ht="15.75" customHeight="1" x14ac:dyDescent="0.25">
      <c r="D6764" s="4"/>
      <c r="H6764" s="4"/>
    </row>
    <row r="6765" spans="1:20" ht="15.75" customHeight="1" x14ac:dyDescent="0.25">
      <c r="D6765" s="4"/>
      <c r="H6765" s="4"/>
    </row>
    <row r="6766" spans="1:20" ht="15.75" customHeight="1" x14ac:dyDescent="0.25">
      <c r="D6766" s="4"/>
      <c r="H6766" s="4"/>
    </row>
    <row r="6767" spans="1:20" ht="15.75" customHeight="1" x14ac:dyDescent="0.25">
      <c r="D6767" s="4"/>
      <c r="H6767" s="4"/>
    </row>
    <row r="6768" spans="1:20" ht="15.75" customHeight="1" x14ac:dyDescent="0.25">
      <c r="D6768" s="4"/>
      <c r="H6768" s="4"/>
    </row>
    <row r="6769" spans="1:8" ht="15.75" customHeight="1" x14ac:dyDescent="0.25">
      <c r="D6769" s="4"/>
      <c r="H6769" s="4"/>
    </row>
    <row r="6770" spans="1:8" ht="15.75" customHeight="1" x14ac:dyDescent="0.25">
      <c r="D6770" s="4"/>
      <c r="H6770" s="4"/>
    </row>
    <row r="6771" spans="1:8" ht="15.75" customHeight="1" x14ac:dyDescent="0.25">
      <c r="D6771" s="4"/>
      <c r="H6771" s="4"/>
    </row>
    <row r="6772" spans="1:8" ht="15.75" customHeight="1" x14ac:dyDescent="0.25">
      <c r="A6772" s="14" t="s">
        <v>14</v>
      </c>
      <c r="B6772" s="14"/>
      <c r="C6772" s="14"/>
      <c r="D6772" s="14"/>
      <c r="E6772" s="14"/>
      <c r="F6772" s="14"/>
      <c r="G6772" s="14"/>
      <c r="H6772" s="14"/>
    </row>
    <row r="6773" spans="1:8" ht="15.75" customHeight="1" x14ac:dyDescent="0.25">
      <c r="D6773" s="4"/>
      <c r="H6773" s="8"/>
    </row>
    <row r="6774" spans="1:8" ht="15.75" customHeight="1" x14ac:dyDescent="0.3">
      <c r="A6774" s="233"/>
      <c r="B6774" s="233"/>
      <c r="C6774" s="234"/>
      <c r="D6774" s="235"/>
      <c r="E6774" s="236"/>
      <c r="F6774" s="236"/>
      <c r="G6774" s="236"/>
      <c r="H6774" s="237"/>
    </row>
    <row r="6775" spans="1:8" ht="15.75" customHeight="1" x14ac:dyDescent="0.25">
      <c r="A6775" s="390"/>
      <c r="B6775" s="390"/>
      <c r="C6775" s="390"/>
      <c r="D6775" s="391"/>
      <c r="E6775" s="390"/>
      <c r="F6775" s="395" t="s">
        <v>18</v>
      </c>
      <c r="G6775" s="396" t="s">
        <v>873</v>
      </c>
      <c r="H6775" s="397"/>
    </row>
    <row r="6776" spans="1:8" ht="15.75" customHeight="1" x14ac:dyDescent="0.25">
      <c r="A6776" s="390" t="s">
        <v>20</v>
      </c>
      <c r="B6776" s="390"/>
      <c r="C6776" s="390"/>
      <c r="D6776" s="391"/>
      <c r="E6776" s="390"/>
      <c r="F6776" s="395" t="s">
        <v>21</v>
      </c>
      <c r="G6776" s="390" t="s">
        <v>1471</v>
      </c>
      <c r="H6776" s="391"/>
    </row>
    <row r="6777" spans="1:8" ht="15.75" customHeight="1" x14ac:dyDescent="0.25">
      <c r="A6777" s="390" t="inlineStr">
        <is>
          <t>Dealer-002</t>
        </is>
      </c>
      <c r="B6777" s="390"/>
      <c r="C6777" s="390"/>
      <c r="D6777" s="391"/>
      <c r="E6777" s="395"/>
      <c r="F6777" s="390"/>
      <c r="G6777" s="390"/>
      <c r="H6777" s="394"/>
    </row>
    <row r="6778" spans="1:8" ht="15.75" customHeight="1" x14ac:dyDescent="0.25">
      <c r="A6778" s="390" t="inlineStr">
        <is>
          <t>Address line (redacted)</t>
        </is>
      </c>
      <c r="B6778" s="390"/>
      <c r="C6778" s="390"/>
      <c r="D6778" s="398"/>
      <c r="E6778" s="390"/>
      <c r="F6778" s="391"/>
      <c r="G6778" s="390"/>
      <c r="H6778" s="394"/>
    </row>
    <row r="6779" spans="1:8" ht="15.75" customHeight="1" x14ac:dyDescent="0.25">
      <c r="A6779" s="390" t="inlineStr">
        <is>
          <t>Address line (redacted)</t>
        </is>
      </c>
      <c r="B6779" s="390"/>
      <c r="C6779" s="390"/>
      <c r="D6779" s="398"/>
      <c r="E6779" s="390"/>
      <c r="F6779" s="391"/>
      <c r="G6779" s="390"/>
      <c r="H6779" s="394"/>
    </row>
    <row r="6780" spans="1:8" ht="15.75" customHeight="1" x14ac:dyDescent="0.25">
      <c r="A6780" s="31"/>
      <c r="B6780" s="720"/>
      <c r="C6780" s="720"/>
      <c r="D6780" s="721"/>
      <c r="E6780" s="720"/>
      <c r="F6780" s="721"/>
      <c r="G6780" s="720"/>
      <c r="H6780" s="722"/>
    </row>
    <row r="6781" spans="1:8" ht="15.75" customHeight="1" x14ac:dyDescent="0.25">
      <c r="A6781" s="720" t="s">
        <v>30</v>
      </c>
      <c r="B6781" s="720"/>
      <c r="C6781" s="720"/>
      <c r="D6781" s="721"/>
      <c r="E6781" s="720"/>
      <c r="F6781" s="721"/>
      <c r="G6781" s="720"/>
      <c r="H6781" s="722"/>
    </row>
    <row r="6782" spans="1:8" ht="15.75" customHeight="1" x14ac:dyDescent="0.25">
      <c r="A6782" s="720"/>
      <c r="B6782" s="720"/>
      <c r="C6782" s="720"/>
      <c r="D6782" s="721"/>
      <c r="E6782" s="720"/>
      <c r="F6782" s="721"/>
      <c r="G6782" s="720"/>
      <c r="H6782" s="722"/>
    </row>
    <row r="6783" spans="1:8" ht="15.75" customHeight="1" x14ac:dyDescent="0.25">
      <c r="A6783" s="390" t="s">
        <v>1322</v>
      </c>
      <c r="B6783" s="720"/>
      <c r="C6783" s="720"/>
      <c r="D6783" s="721"/>
      <c r="E6783" s="720"/>
      <c r="F6783" s="721"/>
      <c r="G6783" s="720"/>
      <c r="H6783" s="722"/>
    </row>
    <row r="6784" spans="1:8" ht="15.75" customHeight="1" x14ac:dyDescent="0.25">
      <c r="A6784" s="390" t="s">
        <v>1328</v>
      </c>
      <c r="B6784" s="720"/>
      <c r="C6784" s="720"/>
      <c r="D6784" s="721"/>
      <c r="E6784" s="720"/>
      <c r="F6784" s="721"/>
      <c r="G6784" s="720"/>
      <c r="H6784" s="722"/>
    </row>
    <row r="6785" spans="1:8" ht="15.75" customHeight="1" x14ac:dyDescent="0.25">
      <c r="A6785" s="720"/>
      <c r="B6785" s="720"/>
      <c r="C6785" s="720"/>
      <c r="D6785" s="721"/>
      <c r="E6785" s="720"/>
      <c r="F6785" s="721"/>
      <c r="G6785" s="720"/>
      <c r="H6785" s="722"/>
    </row>
    <row r="6786" spans="1:8" ht="15.75" customHeight="1" x14ac:dyDescent="0.25">
      <c r="A6786" s="723" t="s">
        <v>33</v>
      </c>
      <c r="B6786" s="724" t="s">
        <v>6</v>
      </c>
      <c r="C6786" s="724"/>
      <c r="D6786" s="725" t="s">
        <v>37</v>
      </c>
      <c r="E6786" s="726" t="s">
        <v>38</v>
      </c>
      <c r="F6786" s="727" t="s">
        <v>7</v>
      </c>
      <c r="G6786" s="728" t="s">
        <v>43</v>
      </c>
      <c r="H6786" s="729" t="s">
        <v>44</v>
      </c>
    </row>
    <row r="6787" spans="1:8" ht="15.75" customHeight="1" x14ac:dyDescent="0.25">
      <c r="A6787" s="730"/>
      <c r="B6787" s="731"/>
      <c r="C6787" s="732"/>
      <c r="D6787" s="733"/>
      <c r="E6787" s="733"/>
      <c r="F6787" s="734"/>
      <c r="G6787" s="735"/>
      <c r="H6787" s="736"/>
    </row>
    <row r="6788" spans="1:8" ht="15.75" customHeight="1" x14ac:dyDescent="0.25">
      <c r="A6788" s="425"/>
      <c r="B6788" s="557" t="s">
        <v>1472</v>
      </c>
      <c r="C6788" s="558"/>
      <c r="D6788" s="427"/>
      <c r="E6788" s="427"/>
      <c r="F6788" s="391"/>
      <c r="G6788" s="427"/>
      <c r="H6788" s="429"/>
    </row>
    <row r="6789" spans="1:8" ht="15.75" customHeight="1" x14ac:dyDescent="0.25">
      <c r="A6789" s="425" t="s">
        <v>55</v>
      </c>
      <c r="B6789" s="448" t="s">
        <v>1473</v>
      </c>
      <c r="C6789" s="449" t="s">
        <v>1474</v>
      </c>
      <c r="D6789" s="427">
        <v>2</v>
      </c>
      <c r="E6789" s="427">
        <v>1</v>
      </c>
      <c r="F6789" s="391">
        <f>+E6789*D6789</f>
      </c>
      <c r="G6789" s="427">
        <v>1</v>
      </c>
      <c r="H6789" s="429">
        <f>+G6789*F6789</f>
      </c>
    </row>
    <row r="6790" spans="1:8" ht="15.75" customHeight="1" x14ac:dyDescent="0.25">
      <c r="A6790" s="425"/>
      <c r="B6790" s="557"/>
      <c r="C6790" s="558"/>
      <c r="D6790" s="427"/>
      <c r="E6790" s="427"/>
      <c r="F6790" s="391"/>
      <c r="G6790" s="427"/>
      <c r="H6790" s="429"/>
    </row>
    <row r="6791" spans="1:8" ht="15.75" customHeight="1" x14ac:dyDescent="0.25">
      <c r="A6791" s="425"/>
      <c r="B6791" s="448"/>
      <c r="C6791" s="449"/>
      <c r="D6791" s="427"/>
      <c r="E6791" s="427"/>
      <c r="F6791" s="391"/>
      <c r="G6791" s="427"/>
      <c r="H6791" s="429"/>
    </row>
    <row r="6792" spans="1:8" ht="15.75" customHeight="1" x14ac:dyDescent="0.25">
      <c r="A6792" s="425"/>
      <c r="B6792" s="557"/>
      <c r="C6792" s="558"/>
      <c r="D6792" s="427"/>
      <c r="E6792" s="427"/>
      <c r="F6792" s="391"/>
      <c r="G6792" s="427"/>
      <c r="H6792" s="429"/>
    </row>
    <row r="6793" spans="1:8" ht="15.75" customHeight="1" x14ac:dyDescent="0.25">
      <c r="A6793" s="425"/>
      <c r="B6793" s="448"/>
      <c r="C6793" s="390"/>
      <c r="D6793" s="427"/>
      <c r="E6793" s="427"/>
      <c r="F6793" s="391"/>
      <c r="G6793" s="427"/>
      <c r="H6793" s="429"/>
    </row>
    <row r="6794" spans="1:8" ht="15.75" customHeight="1" x14ac:dyDescent="0.25">
      <c r="A6794" s="502"/>
      <c r="B6794" s="630"/>
      <c r="C6794" s="658"/>
      <c r="D6794" s="427"/>
      <c r="E6794" s="427"/>
      <c r="F6794" s="391"/>
      <c r="G6794" s="427"/>
      <c r="H6794" s="429"/>
    </row>
    <row r="6795" spans="1:8" ht="15.75" customHeight="1" x14ac:dyDescent="0.25">
      <c r="A6795" s="737"/>
      <c r="B6795" s="738"/>
      <c r="C6795" s="573"/>
      <c r="D6795" s="427"/>
      <c r="E6795" s="427"/>
      <c r="F6795" s="391"/>
      <c r="G6795" s="427"/>
      <c r="H6795" s="429"/>
    </row>
    <row r="6796" spans="1:8" ht="15.75" customHeight="1" x14ac:dyDescent="0.25">
      <c r="A6796" s="737"/>
      <c r="B6796" s="713"/>
      <c r="C6796" s="631"/>
      <c r="D6796" s="427"/>
      <c r="E6796" s="427"/>
      <c r="F6796" s="391"/>
      <c r="G6796" s="427"/>
      <c r="H6796" s="429"/>
    </row>
    <row r="6797" spans="1:8" ht="15.75" customHeight="1" x14ac:dyDescent="0.25">
      <c r="A6797" s="425"/>
      <c r="B6797" s="448"/>
      <c r="C6797" s="390"/>
      <c r="D6797" s="427"/>
      <c r="E6797" s="427"/>
      <c r="F6797" s="391"/>
      <c r="G6797" s="427"/>
      <c r="H6797" s="429"/>
    </row>
    <row r="6798" spans="1:8" ht="15.75" customHeight="1" x14ac:dyDescent="0.25">
      <c r="A6798" s="746"/>
      <c r="B6798" s="772"/>
      <c r="C6798" s="720"/>
      <c r="D6798" s="748"/>
      <c r="E6798" s="748"/>
      <c r="F6798" s="721"/>
      <c r="G6798" s="748"/>
      <c r="H6798" s="749"/>
    </row>
    <row r="6799" spans="1:8" ht="15.75" customHeight="1" x14ac:dyDescent="0.25">
      <c r="A6799" s="746"/>
      <c r="B6799" s="747"/>
      <c r="C6799" s="720"/>
      <c r="D6799" s="748"/>
      <c r="E6799" s="748"/>
      <c r="F6799" s="721"/>
      <c r="G6799" s="748"/>
      <c r="H6799" s="749"/>
    </row>
    <row r="6800" spans="1:8" ht="15.75" customHeight="1" x14ac:dyDescent="0.25">
      <c r="A6800" s="750"/>
      <c r="B6800" s="734"/>
      <c r="C6800" s="732"/>
      <c r="D6800" s="748"/>
      <c r="E6800" s="748"/>
      <c r="F6800" s="751"/>
      <c r="G6800" s="752"/>
      <c r="H6800" s="749"/>
    </row>
    <row r="6801" spans="1:8" ht="15.75" customHeight="1" x14ac:dyDescent="0.25">
      <c r="A6801" s="753"/>
      <c r="B6801" s="754"/>
      <c r="C6801" s="755" t="s">
        <v>85</v>
      </c>
      <c r="D6801" s="756">
        <f>SUM(D6789:D6800)</f>
      </c>
      <c r="E6801" s="756"/>
      <c r="F6801" s="757"/>
      <c r="G6801" s="758"/>
      <c r="H6801" s="759">
        <f>SUM(H6789:H6800)</f>
      </c>
    </row>
    <row r="6802" spans="1:8" ht="15.75" customHeight="1" x14ac:dyDescent="0.25">
      <c r="A6802" s="760"/>
      <c r="B6802" s="761"/>
      <c r="C6802" s="761"/>
      <c r="D6802" s="762"/>
      <c r="E6802" s="761"/>
      <c r="F6802" s="763"/>
      <c r="G6802" s="764"/>
      <c r="H6802" s="765"/>
    </row>
    <row r="6803" spans="1:8" ht="15.75" customHeight="1" x14ac:dyDescent="0.25">
      <c r="A6803" s="766"/>
      <c r="B6803" s="721"/>
      <c r="C6803" s="721"/>
      <c r="D6803" s="721"/>
      <c r="E6803" s="720"/>
      <c r="F6803" s="766"/>
      <c r="G6803" s="720"/>
      <c r="H6803" s="722"/>
    </row>
    <row r="6804" spans="1:8" ht="15.75" customHeight="1" x14ac:dyDescent="0.25">
      <c r="A6804" s="767"/>
      <c r="B6804" s="767"/>
      <c r="C6804" s="767"/>
      <c r="D6804" s="768" t="s">
        <v>97</v>
      </c>
      <c r="E6804" s="769" t="s">
        <v>98</v>
      </c>
      <c r="F6804" s="769"/>
      <c r="G6804" s="720"/>
      <c r="H6804" s="722"/>
    </row>
    <row r="6805" spans="1:8" ht="15.75" customHeight="1" x14ac:dyDescent="0.25">
      <c r="A6805" s="720"/>
      <c r="B6805" s="720"/>
      <c r="C6805" s="720"/>
      <c r="D6805" s="770"/>
      <c r="E6805" s="771"/>
      <c r="F6805" s="771"/>
      <c r="G6805" s="720"/>
      <c r="H6805" s="722"/>
    </row>
    <row r="6806" spans="1:8" ht="15.75" customHeight="1" x14ac:dyDescent="0.25">
      <c r="A6806" s="720"/>
      <c r="B6806" s="720"/>
      <c r="C6806" s="720"/>
      <c r="D6806" s="770"/>
      <c r="E6806" s="771"/>
      <c r="F6806" s="771"/>
      <c r="G6806" s="720"/>
      <c r="H6806" s="722"/>
    </row>
    <row r="6807" spans="1:8" ht="15.75" customHeight="1" x14ac:dyDescent="0.25">
      <c r="A6807" s="767"/>
      <c r="B6807" s="767"/>
      <c r="C6807" s="767"/>
      <c r="D6807" s="768"/>
      <c r="E6807" s="769" t="s">
        <v>99</v>
      </c>
      <c r="F6807" s="769"/>
      <c r="G6807" s="720"/>
      <c r="H6807" s="722"/>
    </row>
    <row r="6808" spans="1:8" ht="15.75" customHeight="1" x14ac:dyDescent="0.25">
      <c r="D6808" s="4"/>
      <c r="H6808" s="4"/>
    </row>
    <row r="6809" spans="1:8" ht="15.75" customHeight="1" x14ac:dyDescent="0.25">
      <c r="D6809" s="4"/>
      <c r="H6809" s="4"/>
    </row>
    <row r="6810" spans="1:8" ht="15.75" customHeight="1" x14ac:dyDescent="0.25">
      <c r="D6810" s="4"/>
      <c r="H6810" s="4"/>
    </row>
    <row r="6811" spans="1:8" ht="15.75" customHeight="1" x14ac:dyDescent="0.25">
      <c r="D6811" s="4"/>
      <c r="H6811" s="4"/>
    </row>
    <row r="6812" spans="1:8" ht="15.75" customHeight="1" x14ac:dyDescent="0.25">
      <c r="D6812" s="4"/>
      <c r="H6812" s="4"/>
    </row>
    <row r="6813" spans="1:8" ht="15.75" customHeight="1" x14ac:dyDescent="0.25">
      <c r="D6813" s="4"/>
      <c r="H6813" s="4"/>
    </row>
    <row r="6814" spans="1:8" ht="15.75" customHeight="1" x14ac:dyDescent="0.25">
      <c r="D6814" s="4"/>
      <c r="H6814" s="4"/>
    </row>
    <row r="6815" spans="1:8" ht="15.75" customHeight="1" x14ac:dyDescent="0.25">
      <c r="D6815" s="4"/>
      <c r="H6815" s="4"/>
    </row>
    <row r="6816" spans="1:8" ht="15.75" customHeight="1" x14ac:dyDescent="0.25">
      <c r="D6816" s="4"/>
      <c r="H6816" s="4"/>
    </row>
    <row r="6817" spans="1:8" ht="15.75" customHeight="1" x14ac:dyDescent="0.25">
      <c r="A6817" s="14" t="s">
        <v>14</v>
      </c>
      <c r="B6817" s="14"/>
      <c r="C6817" s="14"/>
      <c r="D6817" s="14"/>
      <c r="E6817" s="14"/>
      <c r="F6817" s="14"/>
      <c r="G6817" s="14"/>
      <c r="H6817" s="14"/>
    </row>
    <row r="6818" spans="1:8" ht="15.75" customHeight="1" x14ac:dyDescent="0.25">
      <c r="D6818" s="4"/>
      <c r="H6818" s="8"/>
    </row>
    <row r="6819" spans="1:8" ht="15.75" customHeight="1" x14ac:dyDescent="0.3">
      <c r="A6819" s="233"/>
      <c r="B6819" s="233"/>
      <c r="C6819" s="234"/>
      <c r="D6819" s="235"/>
      <c r="E6819" s="236"/>
      <c r="F6819" s="236"/>
      <c r="G6819" s="236"/>
      <c r="H6819" s="237"/>
    </row>
    <row r="6820" spans="1:8" ht="15.75" customHeight="1" x14ac:dyDescent="0.25">
      <c r="A6820" s="390"/>
      <c r="B6820" s="390"/>
      <c r="C6820" s="390"/>
      <c r="D6820" s="391"/>
      <c r="E6820" s="390"/>
      <c r="F6820" s="395" t="s">
        <v>18</v>
      </c>
      <c r="G6820" s="396" t="s">
        <v>875</v>
      </c>
      <c r="H6820" s="397"/>
    </row>
    <row r="6821" spans="1:8" ht="15.75" customHeight="1" x14ac:dyDescent="0.25">
      <c r="A6821" s="390" t="s">
        <v>20</v>
      </c>
      <c r="B6821" s="390"/>
      <c r="C6821" s="390"/>
      <c r="D6821" s="391"/>
      <c r="E6821" s="390"/>
      <c r="F6821" s="395" t="s">
        <v>21</v>
      </c>
      <c r="G6821" s="390" t="s">
        <v>1753</v>
      </c>
      <c r="H6821" s="391"/>
    </row>
    <row r="6822" spans="1:8" ht="15.75" customHeight="1" x14ac:dyDescent="0.25">
      <c r="A6822" s="390" t="inlineStr">
        <is>
          <t>Dealer-002</t>
        </is>
      </c>
      <c r="B6822" s="390"/>
      <c r="C6822" s="390"/>
      <c r="D6822" s="391"/>
      <c r="E6822" s="395"/>
      <c r="F6822" s="390"/>
      <c r="G6822" s="390"/>
      <c r="H6822" s="394"/>
    </row>
    <row r="6823" spans="1:8" ht="15.75" customHeight="1" x14ac:dyDescent="0.25">
      <c r="A6823" s="390" t="inlineStr">
        <is>
          <t>Address line (redacted)</t>
        </is>
      </c>
      <c r="B6823" s="390"/>
      <c r="C6823" s="390"/>
      <c r="D6823" s="398"/>
      <c r="E6823" s="390"/>
      <c r="F6823" s="391"/>
      <c r="G6823" s="390"/>
      <c r="H6823" s="394"/>
    </row>
    <row r="6824" spans="1:8" ht="15.75" customHeight="1" x14ac:dyDescent="0.25">
      <c r="A6824" s="390" t="inlineStr">
        <is>
          <t>Address line (redacted)</t>
        </is>
      </c>
      <c r="B6824" s="390"/>
      <c r="C6824" s="390"/>
      <c r="D6824" s="398"/>
      <c r="E6824" s="390"/>
      <c r="F6824" s="391"/>
      <c r="G6824" s="390"/>
      <c r="H6824" s="394"/>
    </row>
    <row r="6825" spans="1:8" ht="15.75" customHeight="1" x14ac:dyDescent="0.25">
      <c r="A6825" s="31"/>
      <c r="B6825" s="720"/>
      <c r="C6825" s="720"/>
      <c r="D6825" s="721"/>
      <c r="E6825" s="720"/>
      <c r="F6825" s="721"/>
      <c r="G6825" s="720"/>
      <c r="H6825" s="722"/>
    </row>
    <row r="6826" spans="1:8" ht="15.75" customHeight="1" x14ac:dyDescent="0.25">
      <c r="A6826" s="720" t="s">
        <v>30</v>
      </c>
      <c r="B6826" s="720"/>
      <c r="C6826" s="720"/>
      <c r="D6826" s="721"/>
      <c r="E6826" s="720"/>
      <c r="F6826" s="721"/>
      <c r="G6826" s="720"/>
      <c r="H6826" s="722"/>
    </row>
    <row r="6827" spans="1:8" ht="15.75" customHeight="1" x14ac:dyDescent="0.25">
      <c r="A6827" s="720"/>
      <c r="B6827" s="720"/>
      <c r="C6827" s="720"/>
      <c r="D6827" s="721"/>
      <c r="E6827" s="720"/>
      <c r="F6827" s="721"/>
      <c r="G6827" s="720"/>
      <c r="H6827" s="722"/>
    </row>
    <row r="6828" spans="1:8" ht="15.75" customHeight="1" x14ac:dyDescent="0.25">
      <c r="A6828" s="390" t="s">
        <v>1322</v>
      </c>
      <c r="B6828" s="720"/>
      <c r="C6828" s="720"/>
      <c r="D6828" s="721"/>
      <c r="E6828" s="720"/>
      <c r="F6828" s="721"/>
      <c r="G6828" s="720"/>
      <c r="H6828" s="722"/>
    </row>
    <row r="6829" spans="1:8" ht="15.75" customHeight="1" x14ac:dyDescent="0.25">
      <c r="A6829" s="390" t="s">
        <v>1328</v>
      </c>
      <c r="B6829" s="720"/>
      <c r="C6829" s="720"/>
      <c r="D6829" s="721"/>
      <c r="E6829" s="720"/>
      <c r="F6829" s="721"/>
      <c r="G6829" s="720"/>
      <c r="H6829" s="722"/>
    </row>
    <row r="6830" spans="1:8" ht="15.75" customHeight="1" x14ac:dyDescent="0.25">
      <c r="A6830" s="720"/>
      <c r="B6830" s="720"/>
      <c r="C6830" s="720"/>
      <c r="D6830" s="721"/>
      <c r="E6830" s="720"/>
      <c r="F6830" s="721"/>
      <c r="G6830" s="720"/>
      <c r="H6830" s="722"/>
    </row>
    <row r="6831" spans="1:8" ht="15.75" customHeight="1" x14ac:dyDescent="0.25">
      <c r="A6831" s="723" t="s">
        <v>33</v>
      </c>
      <c r="B6831" s="724" t="s">
        <v>6</v>
      </c>
      <c r="C6831" s="724"/>
      <c r="D6831" s="725" t="s">
        <v>37</v>
      </c>
      <c r="E6831" s="726" t="s">
        <v>38</v>
      </c>
      <c r="F6831" s="727" t="s">
        <v>7</v>
      </c>
      <c r="G6831" s="728" t="s">
        <v>43</v>
      </c>
      <c r="H6831" s="729" t="s">
        <v>44</v>
      </c>
    </row>
    <row r="6832" spans="1:8" ht="15.75" customHeight="1" x14ac:dyDescent="0.25">
      <c r="A6832" s="730"/>
      <c r="B6832" s="731"/>
      <c r="C6832" s="732"/>
      <c r="D6832" s="733"/>
      <c r="E6832" s="733"/>
      <c r="F6832" s="734"/>
      <c r="G6832" s="735"/>
      <c r="H6832" s="736"/>
    </row>
    <row r="6833" spans="1:8" ht="15.75" customHeight="1" x14ac:dyDescent="0.25">
      <c r="A6833" s="425"/>
      <c r="B6833" s="557" t="s">
        <v>1754</v>
      </c>
      <c r="C6833" s="558"/>
      <c r="D6833" s="427"/>
      <c r="E6833" s="427"/>
      <c r="F6833" s="391"/>
      <c r="G6833" s="427"/>
      <c r="H6833" s="429"/>
    </row>
    <row r="6834" spans="1:8" ht="15.75" customHeight="1" x14ac:dyDescent="0.25">
      <c r="A6834" s="425" t="s">
        <v>55</v>
      </c>
      <c r="B6834" s="448" t="s">
        <v>1735</v>
      </c>
      <c r="C6834" s="449"/>
      <c r="D6834" s="427">
        <v>2</v>
      </c>
      <c r="E6834" s="427">
        <v>5</v>
      </c>
      <c r="F6834" s="391">
        <f>+E6834*D6834</f>
      </c>
      <c r="G6834" s="427">
        <v>1</v>
      </c>
      <c r="H6834" s="429">
        <f>+G6834*F6834</f>
      </c>
    </row>
    <row r="6835" spans="1:8" ht="15.75" customHeight="1" x14ac:dyDescent="0.25">
      <c r="A6835" s="425"/>
      <c r="B6835" s="557"/>
      <c r="C6835" s="558"/>
      <c r="D6835" s="427"/>
      <c r="E6835" s="427"/>
      <c r="F6835" s="391"/>
      <c r="G6835" s="427"/>
      <c r="H6835" s="429"/>
    </row>
    <row r="6836" spans="1:8" ht="15.75" customHeight="1" x14ac:dyDescent="0.25">
      <c r="A6836" s="425"/>
      <c r="B6836" s="448"/>
      <c r="C6836" s="449"/>
      <c r="D6836" s="427"/>
      <c r="E6836" s="427"/>
      <c r="F6836" s="391"/>
      <c r="G6836" s="427"/>
      <c r="H6836" s="429"/>
    </row>
    <row r="6837" spans="1:8" ht="15.75" customHeight="1" x14ac:dyDescent="0.25">
      <c r="A6837" s="425"/>
      <c r="B6837" s="557"/>
      <c r="C6837" s="558"/>
      <c r="D6837" s="427"/>
      <c r="E6837" s="427"/>
      <c r="F6837" s="391"/>
      <c r="G6837" s="427"/>
      <c r="H6837" s="429"/>
    </row>
    <row r="6838" spans="1:8" ht="15.75" customHeight="1" x14ac:dyDescent="0.25">
      <c r="A6838" s="425"/>
      <c r="B6838" s="448"/>
      <c r="C6838" s="390"/>
      <c r="D6838" s="427"/>
      <c r="E6838" s="427"/>
      <c r="F6838" s="391"/>
      <c r="G6838" s="427"/>
      <c r="H6838" s="429"/>
    </row>
    <row r="6839" spans="1:8" ht="15.75" customHeight="1" x14ac:dyDescent="0.25">
      <c r="A6839" s="502"/>
      <c r="B6839" s="630"/>
      <c r="C6839" s="658"/>
      <c r="D6839" s="427"/>
      <c r="E6839" s="427"/>
      <c r="F6839" s="391"/>
      <c r="G6839" s="427"/>
      <c r="H6839" s="429"/>
    </row>
    <row r="6840" spans="1:8" ht="15.75" customHeight="1" x14ac:dyDescent="0.25">
      <c r="A6840" s="737"/>
      <c r="B6840" s="738"/>
      <c r="C6840" s="573"/>
      <c r="D6840" s="427"/>
      <c r="E6840" s="427"/>
      <c r="F6840" s="391"/>
      <c r="G6840" s="427"/>
      <c r="H6840" s="429"/>
    </row>
    <row r="6841" spans="1:8" ht="15.75" customHeight="1" x14ac:dyDescent="0.25">
      <c r="A6841" s="737"/>
      <c r="B6841" s="713"/>
      <c r="C6841" s="631"/>
      <c r="D6841" s="427"/>
      <c r="E6841" s="427"/>
      <c r="F6841" s="391"/>
      <c r="G6841" s="427"/>
      <c r="H6841" s="429"/>
    </row>
    <row r="6842" spans="1:8" ht="15.75" customHeight="1" x14ac:dyDescent="0.25">
      <c r="A6842" s="425"/>
      <c r="B6842" s="448"/>
      <c r="C6842" s="390"/>
      <c r="D6842" s="427"/>
      <c r="E6842" s="427"/>
      <c r="F6842" s="391"/>
      <c r="G6842" s="427"/>
      <c r="H6842" s="429"/>
    </row>
    <row r="6843" spans="1:8" ht="15.75" customHeight="1" x14ac:dyDescent="0.25">
      <c r="A6843" s="746"/>
      <c r="B6843" s="772"/>
      <c r="C6843" s="720"/>
      <c r="D6843" s="748"/>
      <c r="E6843" s="748"/>
      <c r="F6843" s="721"/>
      <c r="G6843" s="748"/>
      <c r="H6843" s="749"/>
    </row>
    <row r="6844" spans="1:8" ht="15.75" customHeight="1" x14ac:dyDescent="0.25">
      <c r="A6844" s="746"/>
      <c r="B6844" s="747"/>
      <c r="C6844" s="720"/>
      <c r="D6844" s="748"/>
      <c r="E6844" s="748"/>
      <c r="F6844" s="721"/>
      <c r="G6844" s="748"/>
      <c r="H6844" s="749"/>
    </row>
    <row r="6845" spans="1:8" ht="15.75" customHeight="1" x14ac:dyDescent="0.25">
      <c r="A6845" s="750"/>
      <c r="B6845" s="734"/>
      <c r="C6845" s="732"/>
      <c r="D6845" s="748"/>
      <c r="E6845" s="748"/>
      <c r="F6845" s="751"/>
      <c r="G6845" s="752"/>
      <c r="H6845" s="749"/>
    </row>
    <row r="6846" spans="1:8" ht="15.75" customHeight="1" x14ac:dyDescent="0.25">
      <c r="A6846" s="753"/>
      <c r="B6846" s="754"/>
      <c r="C6846" s="755" t="s">
        <v>85</v>
      </c>
      <c r="D6846" s="756">
        <f>SUM(D6834:D6845)</f>
      </c>
      <c r="E6846" s="756"/>
      <c r="F6846" s="757"/>
      <c r="G6846" s="758"/>
      <c r="H6846" s="759">
        <f>SUM(H6834:H6845)</f>
      </c>
    </row>
    <row r="6847" spans="1:8" ht="15.75" customHeight="1" x14ac:dyDescent="0.25">
      <c r="A6847" s="760"/>
      <c r="B6847" s="761"/>
      <c r="C6847" s="761"/>
      <c r="D6847" s="762"/>
      <c r="E6847" s="761"/>
      <c r="F6847" s="763"/>
      <c r="G6847" s="764"/>
      <c r="H6847" s="765"/>
    </row>
    <row r="6848" spans="1:8" ht="15.75" customHeight="1" x14ac:dyDescent="0.25">
      <c r="A6848" s="766"/>
      <c r="B6848" s="721"/>
      <c r="C6848" s="721"/>
      <c r="D6848" s="721"/>
      <c r="E6848" s="720"/>
      <c r="F6848" s="766"/>
      <c r="G6848" s="720"/>
      <c r="H6848" s="722"/>
    </row>
    <row r="6849" spans="1:8" ht="15.75" customHeight="1" x14ac:dyDescent="0.25">
      <c r="A6849" s="767"/>
      <c r="B6849" s="767"/>
      <c r="C6849" s="767"/>
      <c r="D6849" s="768" t="s">
        <v>97</v>
      </c>
      <c r="E6849" s="769" t="s">
        <v>98</v>
      </c>
      <c r="F6849" s="769"/>
      <c r="G6849" s="720"/>
      <c r="H6849" s="722"/>
    </row>
    <row r="6850" spans="1:8" ht="15.75" customHeight="1" x14ac:dyDescent="0.25">
      <c r="A6850" s="720"/>
      <c r="B6850" s="720"/>
      <c r="C6850" s="720"/>
      <c r="D6850" s="770"/>
      <c r="E6850" s="771"/>
      <c r="F6850" s="771"/>
      <c r="G6850" s="720"/>
      <c r="H6850" s="722"/>
    </row>
    <row r="6851" spans="1:8" ht="15.75" customHeight="1" x14ac:dyDescent="0.25">
      <c r="A6851" s="720"/>
      <c r="B6851" s="720"/>
      <c r="C6851" s="720"/>
      <c r="D6851" s="770"/>
      <c r="E6851" s="771"/>
      <c r="F6851" s="771"/>
      <c r="G6851" s="720"/>
      <c r="H6851" s="722"/>
    </row>
    <row r="6852" spans="1:8" ht="15.75" customHeight="1" x14ac:dyDescent="0.25">
      <c r="A6852" s="767"/>
      <c r="B6852" s="767"/>
      <c r="C6852" s="767"/>
      <c r="D6852" s="768"/>
      <c r="E6852" s="769" t="s">
        <v>99</v>
      </c>
      <c r="F6852" s="769"/>
      <c r="G6852" s="720"/>
      <c r="H6852" s="722"/>
    </row>
    <row r="6853" spans="1:8" ht="15.75" customHeight="1" x14ac:dyDescent="0.25">
      <c r="D6853" s="4"/>
      <c r="H6853" s="4"/>
    </row>
    <row r="6854" spans="1:8" ht="15.75" customHeight="1" x14ac:dyDescent="0.25">
      <c r="D6854" s="4"/>
      <c r="H6854" s="4"/>
    </row>
    <row r="6855" spans="1:8" ht="15.75" customHeight="1" x14ac:dyDescent="0.25">
      <c r="D6855" s="4"/>
      <c r="H6855" s="4"/>
    </row>
    <row r="6856" spans="1:8" ht="15.75" customHeight="1" x14ac:dyDescent="0.25">
      <c r="D6856" s="4"/>
      <c r="H6856" s="4"/>
    </row>
    <row r="6857" spans="1:8" ht="15.75" customHeight="1" x14ac:dyDescent="0.25">
      <c r="D6857" s="4"/>
      <c r="H6857" s="4"/>
    </row>
    <row r="6858" spans="1:8" ht="15.75" customHeight="1" x14ac:dyDescent="0.25">
      <c r="D6858" s="4"/>
      <c r="H6858" s="4"/>
    </row>
    <row r="6859" spans="1:8" ht="15.75" customHeight="1" x14ac:dyDescent="0.25">
      <c r="D6859" s="4"/>
      <c r="H6859" s="4"/>
    </row>
    <row r="6860" spans="1:8" ht="15.75" customHeight="1" x14ac:dyDescent="0.25">
      <c r="D6860" s="4"/>
      <c r="H6860" s="4"/>
    </row>
    <row r="6861" spans="1:8" ht="15.75" customHeight="1" x14ac:dyDescent="0.25">
      <c r="D6861" s="4"/>
      <c r="H6861" s="4"/>
    </row>
    <row r="6862" spans="1:8" ht="15.75" customHeight="1" x14ac:dyDescent="0.25">
      <c r="A6862" s="566" t="s">
        <v>14</v>
      </c>
      <c r="B6862" s="567"/>
      <c r="C6862" s="567"/>
      <c r="D6862" s="567"/>
      <c r="E6862" s="567"/>
      <c r="F6862" s="567"/>
      <c r="G6862" s="567"/>
      <c r="H6862" s="568"/>
    </row>
    <row r="6863" spans="1:8" ht="15.75" customHeight="1" x14ac:dyDescent="0.25">
      <c r="A6863" s="390"/>
      <c r="B6863" s="390"/>
      <c r="C6863" s="391"/>
      <c r="D6863" s="392"/>
      <c r="E6863" s="569"/>
      <c r="F6863" s="391"/>
      <c r="G6863" s="390"/>
      <c r="H6863" s="394"/>
    </row>
    <row r="6864" spans="1:8" ht="15.75" customHeight="1" x14ac:dyDescent="0.25">
      <c r="A6864" s="390"/>
      <c r="B6864" s="390"/>
      <c r="C6864" s="390"/>
      <c r="D6864" s="391"/>
      <c r="E6864" s="390"/>
      <c r="F6864" s="395" t="s">
        <v>18</v>
      </c>
      <c r="G6864" s="396" t="s">
        <v>875</v>
      </c>
      <c r="H6864" s="394"/>
    </row>
    <row r="6865" spans="1:8" ht="15.75" customHeight="1" x14ac:dyDescent="0.25">
      <c r="A6865" s="390" t="s">
        <v>20</v>
      </c>
      <c r="B6865" s="390"/>
      <c r="C6865" s="390"/>
      <c r="D6865" s="391"/>
      <c r="E6865" s="390"/>
      <c r="F6865" s="395" t="s">
        <v>21</v>
      </c>
      <c r="G6865" s="390" t="s">
        <v>1755</v>
      </c>
      <c r="H6865" s="394"/>
    </row>
    <row r="6866" spans="1:8" ht="15.75" customHeight="1" x14ac:dyDescent="0.25">
      <c r="A6866" s="390" t="inlineStr">
        <is>
          <t>Dealer-010</t>
        </is>
      </c>
      <c r="B6866" s="390"/>
      <c r="C6866" s="390"/>
      <c r="D6866" s="391"/>
      <c r="E6866" s="390"/>
      <c r="F6866" s="391"/>
      <c r="G6866" s="390"/>
      <c r="H6866" s="394"/>
    </row>
    <row r="6867" spans="1:8" ht="15.75" customHeight="1" x14ac:dyDescent="0.25">
      <c r="A6867" s="390" t="inlineStr">
        <is>
          <t>Address line (redacted)</t>
        </is>
      </c>
      <c r="B6867" s="390"/>
      <c r="C6867" s="390"/>
      <c r="D6867" s="398"/>
      <c r="E6867" s="390"/>
      <c r="F6867" s="391"/>
      <c r="G6867" s="390"/>
      <c r="H6867" s="394"/>
    </row>
    <row r="6868" spans="1:8" ht="15.75" customHeight="1" x14ac:dyDescent="0.25">
      <c r="A6868" s="390" t="inlineStr">
        <is>
          <t>Address line (redacted)</t>
        </is>
      </c>
      <c r="B6868" s="390"/>
      <c r="C6868" s="390"/>
      <c r="D6868" s="398"/>
      <c r="E6868" s="390"/>
      <c r="F6868" s="391"/>
      <c r="G6868" s="390"/>
      <c r="H6868" s="394"/>
    </row>
    <row r="6869" spans="1:8" ht="15.75" customHeight="1" x14ac:dyDescent="0.25">
      <c r="A6869" s="390" t="inlineStr">
        <is>
          <t>Address line (redacted)</t>
        </is>
      </c>
      <c r="B6869" s="390"/>
      <c r="C6869" s="390"/>
      <c r="D6869" s="398"/>
      <c r="E6869" s="390"/>
      <c r="F6869" s="391"/>
      <c r="G6869" s="390"/>
      <c r="H6869" s="394"/>
    </row>
    <row r="6870" spans="1:8" ht="15.75" customHeight="1" x14ac:dyDescent="0.25">
      <c r="A6870" s="390"/>
      <c r="B6870" s="390"/>
      <c r="C6870" s="390"/>
      <c r="D6870" s="398"/>
      <c r="E6870" s="390"/>
      <c r="F6870" s="391"/>
      <c r="G6870" s="390"/>
      <c r="H6870" s="394"/>
    </row>
    <row r="6871" spans="1:8" ht="15.75" customHeight="1" x14ac:dyDescent="0.25">
      <c r="A6871" s="390" t="s">
        <v>30</v>
      </c>
      <c r="B6871" s="390"/>
      <c r="C6871" s="390"/>
      <c r="D6871" s="391"/>
      <c r="E6871" s="390"/>
      <c r="F6871" s="391"/>
      <c r="G6871" s="390"/>
      <c r="H6871" s="394"/>
    </row>
    <row r="6872" spans="1:8" ht="15.75" customHeight="1" x14ac:dyDescent="0.25">
      <c r="A6872" s="390"/>
      <c r="B6872" s="390"/>
      <c r="C6872" s="390"/>
      <c r="D6872" s="391"/>
      <c r="E6872" s="390"/>
      <c r="F6872" s="391"/>
      <c r="G6872" s="390"/>
      <c r="H6872" s="394"/>
    </row>
    <row r="6873" spans="1:8" ht="15.75" customHeight="1" x14ac:dyDescent="0.25">
      <c r="A6873" s="390" t="s">
        <v>31</v>
      </c>
      <c r="B6873" s="390"/>
      <c r="C6873" s="390"/>
      <c r="D6873" s="391"/>
      <c r="E6873" s="390"/>
      <c r="F6873" s="391"/>
      <c r="G6873" s="390"/>
      <c r="H6873" s="394"/>
    </row>
    <row r="6874" spans="1:8" ht="15.75" customHeight="1" x14ac:dyDescent="0.25">
      <c r="A6874" s="390" t="s">
        <v>32</v>
      </c>
      <c r="B6874" s="390"/>
      <c r="C6874" s="390"/>
      <c r="D6874" s="391"/>
      <c r="E6874" s="390"/>
      <c r="F6874" s="391"/>
      <c r="G6874" s="390"/>
      <c r="H6874" s="394"/>
    </row>
    <row r="6875" spans="1:8" ht="15.75" customHeight="1" x14ac:dyDescent="0.25">
      <c r="A6875" s="390"/>
      <c r="B6875" s="390"/>
      <c r="C6875" s="390"/>
      <c r="D6875" s="391"/>
      <c r="E6875" s="390"/>
      <c r="F6875" s="391"/>
      <c r="G6875" s="390"/>
      <c r="H6875" s="394"/>
    </row>
    <row r="6876" spans="1:8" ht="15.75" customHeight="1" x14ac:dyDescent="0.25">
      <c r="A6876" s="399" t="s">
        <v>33</v>
      </c>
      <c r="B6876" s="400" t="s">
        <v>6</v>
      </c>
      <c r="C6876" s="400"/>
      <c r="D6876" s="401" t="s">
        <v>37</v>
      </c>
      <c r="E6876" s="402" t="s">
        <v>38</v>
      </c>
      <c r="F6876" s="403" t="s">
        <v>7</v>
      </c>
      <c r="G6876" s="404" t="s">
        <v>43</v>
      </c>
      <c r="H6876" s="405" t="s">
        <v>44</v>
      </c>
    </row>
    <row r="6877" spans="1:8" ht="15.75" customHeight="1" x14ac:dyDescent="0.25">
      <c r="A6877" s="406"/>
      <c r="B6877" s="407"/>
      <c r="C6877" s="393"/>
      <c r="D6877" s="408"/>
      <c r="E6877" s="408"/>
      <c r="F6877" s="409"/>
      <c r="G6877" s="410"/>
      <c r="H6877" s="411"/>
    </row>
    <row r="6878" spans="1:8" ht="15.75" customHeight="1" x14ac:dyDescent="0.25">
      <c r="A6878" s="571"/>
      <c r="B6878" s="773" t="s">
        <v>531</v>
      </c>
      <c r="C6878" s="774"/>
      <c r="D6878" s="427"/>
      <c r="E6878" s="427"/>
      <c r="F6878" s="391"/>
      <c r="G6878" s="427"/>
      <c r="H6878" s="429"/>
    </row>
    <row r="6879" spans="1:8" ht="15.75" customHeight="1" x14ac:dyDescent="0.25">
      <c r="A6879" s="425" t="s">
        <v>55</v>
      </c>
      <c r="B6879" s="448" t="s">
        <v>1249</v>
      </c>
      <c r="C6879" s="574"/>
      <c r="D6879" s="427">
        <v>2</v>
      </c>
      <c r="E6879" s="427">
        <v>10</v>
      </c>
      <c r="F6879" s="391">
        <f>+E6879*D6879</f>
      </c>
      <c r="G6879" s="427">
        <v>1</v>
      </c>
      <c r="H6879" s="429">
        <f>+G6879*F6879</f>
      </c>
    </row>
    <row r="6880" spans="1:8" ht="15.75" customHeight="1" x14ac:dyDescent="0.25">
      <c r="A6880" s="425"/>
      <c r="B6880" s="773" t="s">
        <v>1356</v>
      </c>
      <c r="C6880" s="774"/>
      <c r="D6880" s="427"/>
      <c r="E6880" s="427"/>
      <c r="F6880" s="391"/>
      <c r="G6880" s="427"/>
      <c r="H6880" s="429"/>
    </row>
    <row r="6881" spans="1:8" ht="15.75" customHeight="1" x14ac:dyDescent="0.25">
      <c r="A6881" s="425" t="s">
        <v>59</v>
      </c>
      <c r="B6881" s="448" t="s">
        <v>3</v>
      </c>
      <c r="C6881" s="775" t="s">
        <v>4</v>
      </c>
      <c r="D6881" s="427">
        <v>1</v>
      </c>
      <c r="E6881" s="427">
        <v>5</v>
      </c>
      <c r="F6881" s="391">
        <f>+E6881*D6881</f>
      </c>
      <c r="G6881" s="427">
        <v>1</v>
      </c>
      <c r="H6881" s="429">
        <f>+G6881*F6881</f>
      </c>
    </row>
    <row r="6882" spans="1:8" ht="15.75" customHeight="1" x14ac:dyDescent="0.25">
      <c r="A6882" s="425"/>
      <c r="B6882" s="448"/>
      <c r="C6882" s="574"/>
      <c r="D6882" s="427"/>
      <c r="E6882" s="427"/>
      <c r="F6882" s="391"/>
      <c r="G6882" s="427"/>
      <c r="H6882" s="429"/>
    </row>
    <row r="6883" spans="1:8" ht="15.75" customHeight="1" x14ac:dyDescent="0.25">
      <c r="A6883" s="430"/>
      <c r="B6883" s="409"/>
      <c r="C6883" s="393"/>
      <c r="D6883" s="427"/>
      <c r="E6883" s="427"/>
      <c r="F6883" s="428"/>
      <c r="G6883" s="431"/>
      <c r="H6883" s="429"/>
    </row>
    <row r="6884" spans="1:8" ht="15.75" customHeight="1" x14ac:dyDescent="0.25">
      <c r="A6884" s="432"/>
      <c r="B6884" s="433"/>
      <c r="C6884" s="434" t="s">
        <v>85</v>
      </c>
      <c r="D6884" s="435">
        <f>SUM(D6878:D6883)</f>
      </c>
      <c r="E6884" s="435"/>
      <c r="F6884" s="436">
        <f>SUM(F6878:F6883)</f>
      </c>
      <c r="G6884" s="437"/>
      <c r="H6884" s="438">
        <f>SUM(H6878:H6883)</f>
      </c>
    </row>
    <row r="6885" spans="1:8" ht="15.75" customHeight="1" x14ac:dyDescent="0.25">
      <c r="A6885" s="439"/>
      <c r="B6885" s="440"/>
      <c r="C6885" s="440"/>
      <c r="D6885" s="441"/>
      <c r="E6885" s="440"/>
      <c r="F6885" s="442"/>
      <c r="G6885" s="443"/>
      <c r="H6885" s="444"/>
    </row>
    <row r="6886" spans="1:8" ht="15.75" customHeight="1" x14ac:dyDescent="0.25">
      <c r="A6886" s="565" t="s">
        <v>2027</v>
      </c>
      <c r="B6886" s="565"/>
      <c r="C6886" s="565"/>
      <c r="D6886" s="565"/>
      <c r="E6886" s="565"/>
      <c r="F6886" s="565"/>
      <c r="G6886" s="565"/>
      <c r="H6886" s="565"/>
    </row>
    <row r="6887" spans="1:8" ht="15.75" customHeight="1" x14ac:dyDescent="0.25">
      <c r="A6887" s="445"/>
      <c r="B6887" s="445"/>
      <c r="C6887" s="445"/>
      <c r="D6887" s="446" t="s">
        <v>97</v>
      </c>
      <c r="E6887" s="445" t="s">
        <v>98</v>
      </c>
      <c r="F6887" s="445"/>
      <c r="G6887" s="390"/>
      <c r="H6887" s="394"/>
    </row>
    <row r="6888" spans="1:8" ht="15.75" customHeight="1" x14ac:dyDescent="0.25">
      <c r="A6888" s="390"/>
      <c r="B6888" s="390"/>
      <c r="C6888" s="390"/>
      <c r="D6888" s="391"/>
      <c r="E6888" s="390"/>
      <c r="F6888" s="390"/>
      <c r="G6888" s="390"/>
      <c r="H6888" s="394"/>
    </row>
    <row r="6889" spans="1:8" ht="15.75" customHeight="1" x14ac:dyDescent="0.25">
      <c r="A6889" s="390"/>
      <c r="B6889" s="390"/>
      <c r="C6889" s="390"/>
      <c r="D6889" s="391"/>
      <c r="E6889" s="390"/>
      <c r="F6889" s="390"/>
      <c r="G6889" s="390"/>
      <c r="H6889" s="394"/>
    </row>
    <row r="6890" spans="1:8" ht="15.75" customHeight="1" x14ac:dyDescent="0.25">
      <c r="A6890" s="445"/>
      <c r="B6890" s="445"/>
      <c r="C6890" s="445"/>
      <c r="D6890" s="446"/>
      <c r="E6890" s="445" t="s">
        <v>99</v>
      </c>
      <c r="F6890" s="445"/>
      <c r="G6890" s="390"/>
      <c r="H6890" s="394"/>
    </row>
    <row r="6891" spans="1:8" ht="15.75" customHeight="1" x14ac:dyDescent="0.25">
      <c r="D6891" s="4"/>
      <c r="H6891" s="4"/>
    </row>
    <row r="6892" spans="1:8" ht="15.75" customHeight="1" x14ac:dyDescent="0.25">
      <c r="D6892" s="4"/>
      <c r="H6892" s="4"/>
    </row>
    <row r="6893" spans="1:8" ht="15.75" customHeight="1" x14ac:dyDescent="0.25">
      <c r="D6893" s="4"/>
      <c r="H6893" s="4"/>
    </row>
    <row r="6894" spans="1:8" ht="15.75" customHeight="1" x14ac:dyDescent="0.25">
      <c r="D6894" s="4"/>
      <c r="H6894" s="4"/>
    </row>
    <row r="6895" spans="1:8" ht="15.75" customHeight="1" x14ac:dyDescent="0.25">
      <c r="D6895" s="4"/>
      <c r="H6895" s="4"/>
    </row>
    <row r="6896" spans="1:8" ht="15.75" customHeight="1" x14ac:dyDescent="0.25">
      <c r="D6896" s="4"/>
      <c r="H6896" s="4"/>
    </row>
    <row r="6897" spans="1:8" ht="15.75" customHeight="1" x14ac:dyDescent="0.25">
      <c r="D6897" s="4"/>
      <c r="H6897" s="4"/>
    </row>
    <row r="6898" spans="1:8" ht="15.75" customHeight="1" x14ac:dyDescent="0.25">
      <c r="D6898" s="4"/>
      <c r="H6898" s="4"/>
    </row>
    <row r="6899" spans="1:8" ht="15.75" customHeight="1" x14ac:dyDescent="0.25">
      <c r="D6899" s="4"/>
      <c r="H6899" s="4"/>
    </row>
    <row r="6900" spans="1:8" ht="15.75" customHeight="1" x14ac:dyDescent="0.25">
      <c r="D6900" s="4"/>
      <c r="H6900" s="4"/>
    </row>
    <row r="6901" spans="1:8" ht="15.75" customHeight="1" x14ac:dyDescent="0.25">
      <c r="D6901" s="4"/>
      <c r="H6901" s="4"/>
    </row>
    <row r="6902" spans="1:8" ht="15.75" customHeight="1" x14ac:dyDescent="0.25">
      <c r="D6902" s="4"/>
      <c r="H6902" s="4"/>
    </row>
    <row r="6903" spans="1:8" ht="15.75" customHeight="1" x14ac:dyDescent="0.25">
      <c r="D6903" s="4"/>
      <c r="H6903" s="4"/>
    </row>
    <row r="6904" spans="1:8" ht="15.75" customHeight="1" x14ac:dyDescent="0.25">
      <c r="D6904" s="4"/>
      <c r="H6904" s="4"/>
    </row>
    <row r="6905" spans="1:8" ht="15.75" customHeight="1" x14ac:dyDescent="0.25">
      <c r="D6905" s="4"/>
      <c r="H6905" s="4"/>
    </row>
    <row r="6906" spans="1:8" ht="15.75" customHeight="1" x14ac:dyDescent="0.25">
      <c r="D6906" s="4"/>
      <c r="H6906" s="4"/>
    </row>
    <row r="6907" spans="1:8" ht="15.75" customHeight="1" x14ac:dyDescent="0.25">
      <c r="D6907" s="4"/>
      <c r="H6907" s="4"/>
    </row>
    <row r="6908" spans="1:8" ht="15.75" customHeight="1" x14ac:dyDescent="0.25">
      <c r="A6908" s="392" t="s">
        <v>14</v>
      </c>
      <c r="B6908" s="391"/>
      <c r="C6908" s="391"/>
      <c r="D6908" s="391"/>
      <c r="E6908" s="391"/>
      <c r="F6908" s="391"/>
      <c r="G6908" s="391"/>
      <c r="H6908" s="394"/>
    </row>
    <row r="6909" spans="1:8" ht="15.75" customHeight="1" x14ac:dyDescent="0.25">
      <c r="A6909" s="392"/>
      <c r="B6909" s="391"/>
      <c r="C6909" s="391"/>
      <c r="D6909" s="391"/>
      <c r="E6909" s="390"/>
      <c r="F6909" s="392"/>
      <c r="G6909" s="390"/>
      <c r="H6909" s="394"/>
    </row>
    <row r="6910" spans="1:8" ht="15.75" customHeight="1" x14ac:dyDescent="0.25">
      <c r="A6910" s="392"/>
      <c r="B6910" s="391"/>
      <c r="C6910" s="391"/>
      <c r="D6910" s="391"/>
      <c r="E6910" s="390"/>
      <c r="F6910" s="392"/>
      <c r="G6910" s="390"/>
      <c r="H6910" s="394"/>
    </row>
    <row r="6911" spans="1:8" ht="15.75" customHeight="1" x14ac:dyDescent="0.25">
      <c r="A6911" s="390" t="s">
        <v>20</v>
      </c>
      <c r="B6911" s="390"/>
      <c r="C6911" s="390"/>
      <c r="D6911" s="391"/>
      <c r="E6911" s="390"/>
      <c r="F6911" s="392"/>
      <c r="G6911" s="390"/>
      <c r="H6911" s="394"/>
    </row>
    <row r="6912" spans="1:8" ht="15.75" customHeight="1" x14ac:dyDescent="0.25">
      <c r="A6912" s="390" t="inlineStr">
        <is>
          <t>Dealer-003</t>
        </is>
      </c>
      <c r="B6912" s="390"/>
      <c r="C6912" s="390"/>
      <c r="D6912" s="391"/>
      <c r="E6912" s="390"/>
      <c r="F6912" s="395" t="s">
        <v>18</v>
      </c>
      <c r="G6912" s="390" t="s">
        <v>880</v>
      </c>
      <c r="H6912" s="394"/>
    </row>
    <row r="6913" spans="1:8" ht="15.75" customHeight="1" x14ac:dyDescent="0.25">
      <c r="A6913" s="390" t="inlineStr">
        <is>
          <t>Address line (redacted)</t>
        </is>
      </c>
      <c r="B6913" s="390"/>
      <c r="C6913" s="390"/>
      <c r="D6913" s="391"/>
      <c r="E6913" s="390"/>
      <c r="F6913" s="393" t="s">
        <v>21</v>
      </c>
      <c r="G6913" s="390" t="s">
        <v>1756</v>
      </c>
      <c r="H6913" s="394"/>
    </row>
    <row r="6914" spans="1:8" ht="15.75" customHeight="1" x14ac:dyDescent="0.25">
      <c r="A6914" s="390" t="inlineStr">
        <is>
          <t>Address line (redacted)</t>
        </is>
      </c>
      <c r="B6914" s="390"/>
      <c r="C6914" s="390"/>
      <c r="D6914" s="391"/>
      <c r="E6914" s="390"/>
      <c r="F6914" s="391"/>
      <c r="G6914" s="390"/>
      <c r="H6914" s="394"/>
    </row>
    <row r="6915" spans="1:8" ht="15.75" customHeight="1" x14ac:dyDescent="0.25">
      <c r="A6915" s="390"/>
      <c r="B6915" s="390"/>
      <c r="C6915" s="393"/>
      <c r="D6915" s="391"/>
      <c r="E6915" s="390"/>
      <c r="F6915" s="391"/>
      <c r="G6915" s="390"/>
      <c r="H6915" s="394"/>
    </row>
    <row r="6916" spans="1:8" ht="15.75" customHeight="1" x14ac:dyDescent="0.25">
      <c r="A6916" s="390"/>
      <c r="B6916" s="390"/>
      <c r="C6916" s="390"/>
      <c r="D6916" s="391"/>
      <c r="E6916" s="390"/>
      <c r="F6916" s="391"/>
      <c r="G6916" s="390"/>
      <c r="H6916" s="394"/>
    </row>
    <row r="6917" spans="1:8" ht="15.75" customHeight="1" x14ac:dyDescent="0.25">
      <c r="A6917" s="390" t="s">
        <v>30</v>
      </c>
      <c r="B6917" s="390"/>
      <c r="C6917" s="390"/>
      <c r="D6917" s="391"/>
      <c r="E6917" s="390"/>
      <c r="F6917" s="391"/>
      <c r="G6917" s="390"/>
      <c r="H6917" s="394"/>
    </row>
    <row r="6918" spans="1:8" ht="15.75" customHeight="1" x14ac:dyDescent="0.25">
      <c r="A6918" s="390"/>
      <c r="B6918" s="390"/>
      <c r="C6918" s="390"/>
      <c r="D6918" s="391"/>
      <c r="E6918" s="390"/>
      <c r="F6918" s="391"/>
      <c r="G6918" s="390"/>
      <c r="H6918" s="394"/>
    </row>
    <row r="6919" spans="1:8" ht="15.75" customHeight="1" x14ac:dyDescent="0.25">
      <c r="A6919" s="390" t="s">
        <v>1322</v>
      </c>
      <c r="B6919" s="390"/>
      <c r="C6919" s="390"/>
      <c r="D6919" s="391"/>
      <c r="E6919" s="390"/>
      <c r="F6919" s="391"/>
      <c r="G6919" s="390"/>
      <c r="H6919" s="394"/>
    </row>
    <row r="6920" spans="1:8" ht="15.75" customHeight="1" x14ac:dyDescent="0.25">
      <c r="A6920" s="390" t="s">
        <v>1328</v>
      </c>
      <c r="B6920" s="390"/>
      <c r="C6920" s="390"/>
      <c r="D6920" s="391"/>
      <c r="E6920" s="390"/>
      <c r="F6920" s="391"/>
      <c r="G6920" s="390"/>
      <c r="H6920" s="394"/>
    </row>
    <row r="6921" spans="1:8" ht="15.75" customHeight="1" x14ac:dyDescent="0.25">
      <c r="A6921" s="390"/>
      <c r="B6921" s="390"/>
      <c r="C6921" s="390"/>
      <c r="D6921" s="391"/>
      <c r="E6921" s="390"/>
      <c r="F6921" s="391"/>
      <c r="G6921" s="390"/>
      <c r="H6921" s="394"/>
    </row>
    <row r="6922" spans="1:8" ht="15.75" customHeight="1" x14ac:dyDescent="0.25">
      <c r="A6922" s="399" t="s">
        <v>33</v>
      </c>
      <c r="B6922" s="400" t="s">
        <v>6</v>
      </c>
      <c r="C6922" s="400"/>
      <c r="D6922" s="401" t="s">
        <v>37</v>
      </c>
      <c r="E6922" s="402" t="s">
        <v>1309</v>
      </c>
      <c r="F6922" s="609" t="s">
        <v>7</v>
      </c>
      <c r="G6922" s="400" t="s">
        <v>43</v>
      </c>
      <c r="H6922" s="405" t="s">
        <v>44</v>
      </c>
    </row>
    <row r="6923" spans="1:8" ht="15.75" customHeight="1" x14ac:dyDescent="0.25">
      <c r="A6923" s="610"/>
      <c r="B6923" s="611"/>
      <c r="C6923" s="611"/>
      <c r="D6923" s="612"/>
      <c r="E6923" s="613"/>
      <c r="F6923" s="614"/>
      <c r="G6923" s="611"/>
      <c r="H6923" s="615"/>
    </row>
    <row r="6924" spans="1:8" ht="15.75" customHeight="1" x14ac:dyDescent="0.25">
      <c r="A6924" s="412"/>
      <c r="B6924" s="654" t="s">
        <v>674</v>
      </c>
      <c r="C6924" s="654"/>
      <c r="D6924" s="415"/>
      <c r="E6924" s="415"/>
      <c r="F6924" s="415"/>
      <c r="G6924" s="415"/>
      <c r="H6924" s="416"/>
    </row>
    <row r="6925" spans="1:8" ht="15.75" customHeight="1" x14ac:dyDescent="0.25">
      <c r="A6925" s="581" t="s">
        <v>55</v>
      </c>
      <c r="B6925" s="582" t="s">
        <v>239</v>
      </c>
      <c r="C6925" s="582"/>
      <c r="D6925" s="415">
        <v>10</v>
      </c>
      <c r="E6925" s="415">
        <v>2</v>
      </c>
      <c r="F6925" s="415">
        <f>+E6925*D6925</f>
      </c>
      <c r="G6925" s="415">
        <v>1</v>
      </c>
      <c r="H6925" s="589">
        <f>+G6925*F6925</f>
      </c>
    </row>
    <row r="6926" spans="1:8" ht="15.75" customHeight="1" x14ac:dyDescent="0.25">
      <c r="A6926" s="581"/>
      <c r="B6926" s="654" t="s">
        <v>573</v>
      </c>
      <c r="C6926" s="654"/>
      <c r="D6926" s="415"/>
      <c r="E6926" s="415"/>
      <c r="F6926" s="415"/>
      <c r="G6926" s="415"/>
      <c r="H6926" s="589"/>
    </row>
    <row r="6927" spans="1:8" ht="15.75" customHeight="1" x14ac:dyDescent="0.25">
      <c r="A6927" s="581" t="s">
        <v>59</v>
      </c>
      <c r="B6927" s="582" t="s">
        <v>3</v>
      </c>
      <c r="C6927" s="582" t="s">
        <v>4</v>
      </c>
      <c r="D6927" s="415">
        <v>6</v>
      </c>
      <c r="E6927" s="415">
        <v>5</v>
      </c>
      <c r="F6927" s="415">
        <f>+E6927*D6927</f>
      </c>
      <c r="G6927" s="415">
        <v>1</v>
      </c>
      <c r="H6927" s="589">
        <f>+G6927*F6927</f>
      </c>
    </row>
    <row r="6928" spans="1:8" ht="15.75" customHeight="1" x14ac:dyDescent="0.25">
      <c r="A6928" s="581"/>
      <c r="B6928" s="582"/>
      <c r="C6928" s="582"/>
      <c r="D6928" s="415"/>
      <c r="E6928" s="415"/>
      <c r="F6928" s="415"/>
      <c r="G6928" s="415"/>
      <c r="H6928" s="589"/>
    </row>
    <row r="6929" spans="1:8" ht="15.75" customHeight="1" x14ac:dyDescent="0.25">
      <c r="A6929" s="581"/>
      <c r="B6929" s="582"/>
      <c r="C6929" s="582"/>
      <c r="D6929" s="415"/>
      <c r="E6929" s="415"/>
      <c r="F6929" s="415"/>
      <c r="G6929" s="415"/>
      <c r="H6929" s="589"/>
    </row>
    <row r="6930" spans="1:8" ht="15.75" customHeight="1" x14ac:dyDescent="0.25">
      <c r="A6930" s="581"/>
      <c r="B6930" s="582"/>
      <c r="C6930" s="582"/>
      <c r="D6930" s="415"/>
      <c r="E6930" s="415"/>
      <c r="F6930" s="415"/>
      <c r="G6930" s="415"/>
      <c r="H6930" s="589"/>
    </row>
    <row r="6931" spans="1:8" ht="15.75" customHeight="1" x14ac:dyDescent="0.25">
      <c r="A6931" s="430"/>
      <c r="B6931" s="409"/>
      <c r="C6931" s="393"/>
      <c r="D6931" s="427"/>
      <c r="E6931" s="427"/>
      <c r="F6931" s="428"/>
      <c r="G6931" s="427"/>
      <c r="H6931" s="429"/>
    </row>
    <row r="6932" spans="1:8" ht="15.75" customHeight="1" x14ac:dyDescent="0.25">
      <c r="A6932" s="432"/>
      <c r="B6932" s="433"/>
      <c r="C6932" s="434" t="s">
        <v>85</v>
      </c>
      <c r="D6932" s="659">
        <f>SUM(D6924:D6931)</f>
      </c>
      <c r="E6932" s="401"/>
      <c r="F6932" s="660"/>
      <c r="G6932" s="661"/>
      <c r="H6932" s="623">
        <f>SUM(H6924:H6931)</f>
      </c>
    </row>
    <row r="6933" spans="1:8" ht="15.75" customHeight="1" x14ac:dyDescent="0.25">
      <c r="A6933" s="439"/>
      <c r="B6933" s="440"/>
      <c r="C6933" s="440"/>
      <c r="D6933" s="441"/>
      <c r="E6933" s="440"/>
      <c r="F6933" s="442"/>
      <c r="G6933" s="443"/>
      <c r="H6933" s="444"/>
    </row>
    <row r="6934" spans="1:8" ht="15.75" customHeight="1" x14ac:dyDescent="0.25">
      <c r="A6934" s="392"/>
      <c r="B6934" s="391"/>
      <c r="C6934" s="391"/>
      <c r="D6934" s="391"/>
      <c r="E6934" s="390"/>
      <c r="F6934" s="392"/>
      <c r="G6934" s="390"/>
      <c r="H6934" s="394"/>
    </row>
    <row r="6935" spans="1:8" ht="15.75" customHeight="1" x14ac:dyDescent="0.25">
      <c r="A6935" s="445"/>
      <c r="B6935" s="445"/>
      <c r="C6935" s="445"/>
      <c r="D6935" s="446" t="s">
        <v>97</v>
      </c>
      <c r="E6935" s="445" t="s">
        <v>98</v>
      </c>
      <c r="F6935" s="445"/>
      <c r="G6935" s="390"/>
      <c r="H6935" s="394"/>
    </row>
    <row r="6936" spans="1:8" ht="15.75" customHeight="1" x14ac:dyDescent="0.25">
      <c r="A6936" s="390"/>
      <c r="B6936" s="390"/>
      <c r="C6936" s="390"/>
      <c r="D6936" s="391"/>
      <c r="E6936" s="390"/>
      <c r="F6936" s="390"/>
      <c r="G6936" s="390"/>
      <c r="H6936" s="394"/>
    </row>
    <row r="6937" spans="1:8" ht="15.75" customHeight="1" x14ac:dyDescent="0.25">
      <c r="A6937" s="390"/>
      <c r="B6937" s="390"/>
      <c r="C6937" s="390"/>
      <c r="D6937" s="391"/>
      <c r="E6937" s="390"/>
      <c r="F6937" s="390"/>
      <c r="G6937" s="390"/>
      <c r="H6937" s="394"/>
    </row>
    <row r="6938" spans="1:8" ht="15.75" customHeight="1" x14ac:dyDescent="0.25">
      <c r="A6938" s="445"/>
      <c r="B6938" s="445"/>
      <c r="C6938" s="445"/>
      <c r="D6938" s="446"/>
      <c r="E6938" s="445" t="s">
        <v>99</v>
      </c>
      <c r="F6938" s="445"/>
      <c r="G6938" s="390"/>
      <c r="H6938" s="394"/>
    </row>
    <row r="6939" spans="1:8" ht="15.75" customHeight="1" x14ac:dyDescent="0.25">
      <c r="D6939" s="4"/>
      <c r="H6939" s="4"/>
    </row>
    <row r="6940" spans="1:8" ht="15.75" customHeight="1" x14ac:dyDescent="0.25">
      <c r="D6940" s="4"/>
      <c r="H6940" s="4"/>
    </row>
    <row r="6941" spans="1:8" ht="15.75" customHeight="1" x14ac:dyDescent="0.25">
      <c r="D6941" s="4"/>
      <c r="H6941" s="4"/>
    </row>
    <row r="6942" spans="1:8" ht="15.75" customHeight="1" x14ac:dyDescent="0.25">
      <c r="D6942" s="4"/>
      <c r="H6942" s="4"/>
    </row>
    <row r="6943" spans="1:8" ht="15.75" customHeight="1" x14ac:dyDescent="0.25">
      <c r="D6943" s="4"/>
      <c r="H6943" s="4"/>
    </row>
    <row r="6944" spans="1:8" ht="15.75" customHeight="1" x14ac:dyDescent="0.25">
      <c r="D6944" s="4"/>
      <c r="H6944" s="4"/>
    </row>
    <row r="6945" spans="1:8" ht="15.75" customHeight="1" x14ac:dyDescent="0.25">
      <c r="D6945" s="4"/>
      <c r="H6945" s="4"/>
    </row>
    <row r="6946" spans="1:8" ht="15.75" customHeight="1" x14ac:dyDescent="0.25">
      <c r="D6946" s="4"/>
      <c r="H6946" s="4"/>
    </row>
    <row r="6947" spans="1:8" ht="15.75" customHeight="1" x14ac:dyDescent="0.25">
      <c r="D6947" s="4"/>
      <c r="H6947" s="4"/>
    </row>
    <row r="6948" spans="1:8" ht="15.75" customHeight="1" x14ac:dyDescent="0.25">
      <c r="D6948" s="4"/>
      <c r="H6948" s="4"/>
    </row>
    <row r="6949" spans="1:8" ht="15.75" customHeight="1" x14ac:dyDescent="0.25">
      <c r="D6949" s="4"/>
      <c r="H6949" s="4"/>
    </row>
    <row r="6950" spans="1:8" ht="15.75" customHeight="1" x14ac:dyDescent="0.25">
      <c r="D6950" s="4"/>
      <c r="H6950" s="4"/>
    </row>
    <row r="6951" spans="1:8" ht="15.75" customHeight="1" x14ac:dyDescent="0.25">
      <c r="D6951" s="4"/>
      <c r="H6951" s="4"/>
    </row>
    <row r="6952" spans="1:8" ht="15.75" customHeight="1" x14ac:dyDescent="0.25">
      <c r="D6952" s="4"/>
      <c r="H6952" s="4"/>
    </row>
    <row r="6953" spans="1:8" ht="15.75" customHeight="1" x14ac:dyDescent="0.25">
      <c r="D6953" s="4"/>
      <c r="H6953" s="4"/>
    </row>
    <row r="6954" spans="1:8" ht="15.75" customHeight="1" x14ac:dyDescent="0.25">
      <c r="A6954" s="8" t="s">
        <v>14</v>
      </c>
      <c r="B6954" s="8"/>
      <c r="C6954" s="8"/>
      <c r="D6954" s="8"/>
      <c r="E6954" s="8"/>
      <c r="F6954" s="8"/>
      <c r="G6954" s="8"/>
      <c r="H6954" s="8"/>
    </row>
    <row r="6955" spans="1:8" ht="15.75" customHeight="1" x14ac:dyDescent="0.25">
      <c r="A6955" s="388"/>
      <c r="B6955" s="388"/>
      <c r="C6955" s="388"/>
      <c r="D6955" s="389"/>
      <c r="E6955" s="388"/>
      <c r="F6955" s="388"/>
      <c r="G6955" s="388"/>
      <c r="H6955" s="8"/>
    </row>
    <row r="6956" spans="1:8" ht="15.75" customHeight="1" x14ac:dyDescent="0.25">
      <c r="A6956" s="390"/>
      <c r="B6956" s="390"/>
      <c r="C6956" s="391"/>
      <c r="D6956" s="392"/>
      <c r="E6956" s="393"/>
      <c r="F6956" s="393"/>
      <c r="G6956" s="393"/>
      <c r="H6956" s="394"/>
    </row>
    <row r="6957" spans="1:8" ht="15.75" customHeight="1" x14ac:dyDescent="0.25">
      <c r="A6957" s="390"/>
      <c r="B6957" s="390"/>
      <c r="C6957" s="390"/>
      <c r="D6957" s="391"/>
      <c r="E6957" s="390"/>
      <c r="F6957" s="395" t="s">
        <v>18</v>
      </c>
      <c r="G6957" s="396" t="s">
        <v>880</v>
      </c>
      <c r="H6957" s="397"/>
    </row>
    <row r="6958" spans="1:8" ht="15.75" customHeight="1" x14ac:dyDescent="0.25">
      <c r="A6958" s="390" t="s">
        <v>20</v>
      </c>
      <c r="B6958" s="390"/>
      <c r="C6958" s="390"/>
      <c r="D6958" s="391"/>
      <c r="E6958" s="390"/>
      <c r="F6958" s="395" t="s">
        <v>21</v>
      </c>
      <c r="G6958" s="390" t="s">
        <v>1757</v>
      </c>
      <c r="H6958" s="391"/>
    </row>
    <row r="6959" spans="1:8" ht="15.75" customHeight="1" x14ac:dyDescent="0.25">
      <c r="A6959" s="390" t="inlineStr">
        <is>
          <t>Dealer-004</t>
        </is>
      </c>
      <c r="B6959" s="390"/>
      <c r="C6959" s="390"/>
      <c r="D6959" s="398"/>
      <c r="E6959" s="390"/>
      <c r="F6959" s="391"/>
      <c r="G6959" s="390"/>
      <c r="H6959" s="394"/>
    </row>
    <row r="6960" spans="1:8" ht="15.75" customHeight="1" x14ac:dyDescent="0.25">
      <c r="A6960" s="390" t="inlineStr">
        <is>
          <t>Address line (redacted)</t>
        </is>
      </c>
      <c r="B6960" s="390"/>
      <c r="C6960" s="390"/>
      <c r="D6960" s="398"/>
      <c r="E6960" s="390"/>
      <c r="F6960" s="391"/>
      <c r="G6960" s="390"/>
      <c r="H6960" s="394"/>
    </row>
    <row r="6961" spans="1:8" ht="15.75" customHeight="1" x14ac:dyDescent="0.25">
      <c r="A6961" s="390" t="inlineStr">
        <is>
          <t>Address line (redacted)</t>
        </is>
      </c>
      <c r="B6961" s="390"/>
      <c r="C6961" s="390"/>
      <c r="D6961" s="391"/>
      <c r="E6961" s="390"/>
      <c r="F6961" s="391"/>
      <c r="G6961" s="390"/>
      <c r="H6961" s="394"/>
    </row>
    <row r="6962" spans="1:8" ht="15.75" customHeight="1" x14ac:dyDescent="0.25">
      <c r="A6962" s="390"/>
      <c r="B6962" s="390"/>
      <c r="C6962" s="390"/>
      <c r="D6962" s="391"/>
      <c r="E6962" s="390"/>
      <c r="F6962" s="391"/>
      <c r="G6962" s="390"/>
      <c r="H6962" s="394"/>
    </row>
    <row r="6963" spans="1:8" ht="15.75" customHeight="1" x14ac:dyDescent="0.25">
      <c r="A6963" s="390" t="s">
        <v>30</v>
      </c>
      <c r="B6963" s="390"/>
      <c r="C6963" s="390"/>
      <c r="D6963" s="391"/>
      <c r="E6963" s="390"/>
      <c r="F6963" s="391"/>
      <c r="G6963" s="390"/>
      <c r="H6963" s="394"/>
    </row>
    <row r="6964" spans="1:8" ht="15.75" customHeight="1" x14ac:dyDescent="0.25">
      <c r="A6964" s="390"/>
      <c r="B6964" s="390"/>
      <c r="C6964" s="390"/>
      <c r="D6964" s="391"/>
      <c r="E6964" s="390"/>
      <c r="F6964" s="391"/>
      <c r="G6964" s="390"/>
      <c r="H6964" s="394"/>
    </row>
    <row r="6965" spans="1:8" ht="15.75" customHeight="1" x14ac:dyDescent="0.25">
      <c r="A6965" s="390" t="s">
        <v>716</v>
      </c>
      <c r="B6965" s="390"/>
      <c r="C6965" s="390"/>
      <c r="D6965" s="391"/>
      <c r="E6965" s="390"/>
      <c r="F6965" s="391"/>
      <c r="G6965" s="390"/>
      <c r="H6965" s="394"/>
    </row>
    <row r="6966" spans="1:8" ht="15.75" customHeight="1" x14ac:dyDescent="0.25">
      <c r="A6966" s="390" t="s">
        <v>717</v>
      </c>
      <c r="B6966" s="390"/>
      <c r="C6966" s="390"/>
      <c r="D6966" s="391"/>
      <c r="E6966" s="390"/>
      <c r="F6966" s="391"/>
      <c r="G6966" s="390"/>
      <c r="H6966" s="394"/>
    </row>
    <row r="6967" spans="1:8" ht="15.75" customHeight="1" x14ac:dyDescent="0.25">
      <c r="A6967" s="390"/>
      <c r="B6967" s="390"/>
      <c r="C6967" s="390"/>
      <c r="D6967" s="391"/>
      <c r="E6967" s="390"/>
      <c r="F6967" s="391"/>
      <c r="G6967" s="390"/>
      <c r="H6967" s="394"/>
    </row>
    <row r="6968" spans="1:8" ht="15.75" customHeight="1" x14ac:dyDescent="0.25">
      <c r="A6968" s="399" t="s">
        <v>33</v>
      </c>
      <c r="B6968" s="400" t="s">
        <v>6</v>
      </c>
      <c r="C6968" s="400"/>
      <c r="D6968" s="401" t="s">
        <v>37</v>
      </c>
      <c r="E6968" s="402" t="s">
        <v>38</v>
      </c>
      <c r="F6968" s="403" t="s">
        <v>7</v>
      </c>
      <c r="G6968" s="404" t="s">
        <v>43</v>
      </c>
      <c r="H6968" s="405" t="s">
        <v>44</v>
      </c>
    </row>
    <row r="6969" spans="1:8" ht="15.75" customHeight="1" x14ac:dyDescent="0.25">
      <c r="A6969" s="406"/>
      <c r="B6969" s="407"/>
      <c r="C6969" s="393"/>
      <c r="D6969" s="408"/>
      <c r="E6969" s="408"/>
      <c r="F6969" s="409"/>
      <c r="G6969" s="410"/>
      <c r="H6969" s="411"/>
    </row>
    <row r="6970" spans="1:8" ht="15.75" customHeight="1" x14ac:dyDescent="0.25">
      <c r="A6970" s="581"/>
      <c r="B6970" s="654" t="s">
        <v>573</v>
      </c>
      <c r="C6970" s="654"/>
      <c r="D6970" s="415"/>
      <c r="E6970" s="415"/>
      <c r="F6970" s="415"/>
      <c r="G6970" s="415"/>
      <c r="H6970" s="589"/>
    </row>
    <row r="6971" spans="1:8" ht="15.75" customHeight="1" x14ac:dyDescent="0.25">
      <c r="A6971" s="581" t="s">
        <v>55</v>
      </c>
      <c r="B6971" s="582" t="s">
        <v>3</v>
      </c>
      <c r="C6971" s="582" t="s">
        <v>4</v>
      </c>
      <c r="D6971" s="415">
        <v>5</v>
      </c>
      <c r="E6971" s="415">
        <v>5</v>
      </c>
      <c r="F6971" s="415">
        <f>+E6971*D6971</f>
      </c>
      <c r="G6971" s="415">
        <v>1</v>
      </c>
      <c r="H6971" s="589">
        <f>+G6971*F6971</f>
      </c>
    </row>
    <row r="6972" spans="1:8" ht="15.75" customHeight="1" x14ac:dyDescent="0.25">
      <c r="A6972" s="412"/>
      <c r="B6972" s="654" t="s">
        <v>50</v>
      </c>
      <c r="C6972" s="654"/>
      <c r="D6972" s="415"/>
      <c r="E6972" s="415"/>
      <c r="F6972" s="415"/>
      <c r="G6972" s="415"/>
      <c r="H6972" s="416"/>
    </row>
    <row r="6973" spans="1:8" ht="15.75" customHeight="1" x14ac:dyDescent="0.25">
      <c r="A6973" s="412" t="s">
        <v>59</v>
      </c>
      <c r="B6973" s="417" t="s">
        <v>126</v>
      </c>
      <c r="C6973" s="418" t="s">
        <v>434</v>
      </c>
      <c r="D6973" s="415">
        <v>2</v>
      </c>
      <c r="E6973" s="415">
        <v>25</v>
      </c>
      <c r="F6973" s="415">
        <f>+E6973*D6973</f>
      </c>
      <c r="G6973" s="415">
        <v>1</v>
      </c>
      <c r="H6973" s="589">
        <f>+G6973*F6973</f>
      </c>
    </row>
    <row r="6974" spans="1:8" ht="15.75" customHeight="1" x14ac:dyDescent="0.25">
      <c r="A6974" s="412"/>
      <c r="B6974" s="654" t="s">
        <v>73</v>
      </c>
      <c r="C6974" s="654"/>
      <c r="D6974" s="415"/>
      <c r="E6974" s="415"/>
      <c r="F6974" s="415"/>
      <c r="G6974" s="415"/>
      <c r="H6974" s="416"/>
    </row>
    <row r="6975" spans="1:8" ht="15.75" customHeight="1" x14ac:dyDescent="0.25">
      <c r="A6975" s="412" t="s">
        <v>67</v>
      </c>
      <c r="B6975" s="417" t="s">
        <v>226</v>
      </c>
      <c r="C6975" s="418" t="s">
        <v>449</v>
      </c>
      <c r="D6975" s="415">
        <v>1</v>
      </c>
      <c r="E6975" s="415">
        <v>249</v>
      </c>
      <c r="F6975" s="415">
        <v>249</v>
      </c>
      <c r="G6975" s="415">
        <v>1</v>
      </c>
      <c r="H6975" s="416">
        <f>+G6975*F6975</f>
      </c>
    </row>
    <row r="6976" spans="1:8" ht="15.75" customHeight="1" x14ac:dyDescent="0.25">
      <c r="A6976" s="412"/>
      <c r="B6976" s="419"/>
      <c r="C6976" s="418"/>
      <c r="D6976" s="415"/>
      <c r="E6976" s="415"/>
      <c r="F6976" s="415"/>
      <c r="G6976" s="415"/>
      <c r="H6976" s="416"/>
    </row>
    <row r="6977" spans="1:8" ht="15.75" customHeight="1" x14ac:dyDescent="0.25">
      <c r="A6977" s="412"/>
      <c r="B6977" s="419"/>
      <c r="C6977" s="418"/>
      <c r="D6977" s="415"/>
      <c r="E6977" s="415"/>
      <c r="F6977" s="415"/>
      <c r="G6977" s="415"/>
      <c r="H6977" s="416"/>
    </row>
    <row r="6978" spans="1:8" ht="15.75" customHeight="1" x14ac:dyDescent="0.25">
      <c r="A6978" s="425"/>
      <c r="B6978" s="426"/>
      <c r="C6978" s="390"/>
      <c r="D6978" s="427"/>
      <c r="E6978" s="427"/>
      <c r="F6978" s="428"/>
      <c r="G6978" s="427"/>
      <c r="H6978" s="429"/>
    </row>
    <row r="6979" spans="1:8" ht="15.75" customHeight="1" x14ac:dyDescent="0.25">
      <c r="A6979" s="425"/>
      <c r="B6979" s="426"/>
      <c r="C6979" s="390"/>
      <c r="D6979" s="427"/>
      <c r="E6979" s="427"/>
      <c r="F6979" s="428"/>
      <c r="G6979" s="427"/>
      <c r="H6979" s="429"/>
    </row>
    <row r="6980" spans="1:8" ht="15.75" customHeight="1" x14ac:dyDescent="0.25">
      <c r="A6980" s="425"/>
      <c r="B6980" s="426"/>
      <c r="C6980" s="390"/>
      <c r="D6980" s="427"/>
      <c r="E6980" s="427"/>
      <c r="F6980" s="428"/>
      <c r="G6980" s="427"/>
      <c r="H6980" s="429"/>
    </row>
    <row r="6981" spans="1:8" ht="15.75" customHeight="1" x14ac:dyDescent="0.25">
      <c r="A6981" s="425"/>
      <c r="B6981" s="426"/>
      <c r="C6981" s="390"/>
      <c r="D6981" s="427"/>
      <c r="E6981" s="427"/>
      <c r="F6981" s="428"/>
      <c r="G6981" s="427"/>
      <c r="H6981" s="429"/>
    </row>
    <row r="6982" spans="1:8" ht="15.75" customHeight="1" x14ac:dyDescent="0.25">
      <c r="A6982" s="425"/>
      <c r="B6982" s="426"/>
      <c r="C6982" s="390"/>
      <c r="D6982" s="427"/>
      <c r="E6982" s="427"/>
      <c r="F6982" s="428"/>
      <c r="G6982" s="427"/>
      <c r="H6982" s="429"/>
    </row>
    <row r="6983" spans="1:8" ht="15.75" customHeight="1" x14ac:dyDescent="0.25">
      <c r="A6983" s="430"/>
      <c r="B6983" s="409"/>
      <c r="C6983" s="393"/>
      <c r="D6983" s="427"/>
      <c r="E6983" s="427"/>
      <c r="F6983" s="428"/>
      <c r="G6983" s="431"/>
      <c r="H6983" s="429"/>
    </row>
    <row r="6984" spans="1:8" ht="15.75" customHeight="1" x14ac:dyDescent="0.25">
      <c r="A6984" s="432"/>
      <c r="B6984" s="433"/>
      <c r="C6984" s="434" t="s">
        <v>85</v>
      </c>
      <c r="D6984" s="435">
        <f>SUM(D6971:D6983)</f>
      </c>
      <c r="E6984" s="435"/>
      <c r="F6984" s="436"/>
      <c r="G6984" s="437"/>
      <c r="H6984" s="438">
        <f>SUM(H6971:H6983)</f>
      </c>
    </row>
    <row r="6985" spans="1:8" ht="15.75" customHeight="1" x14ac:dyDescent="0.25">
      <c r="A6985" s="439"/>
      <c r="B6985" s="440"/>
      <c r="C6985" s="440"/>
      <c r="D6985" s="441"/>
      <c r="E6985" s="440"/>
      <c r="F6985" s="442"/>
      <c r="G6985" s="443"/>
      <c r="H6985" s="444"/>
    </row>
    <row r="6986" spans="1:8" ht="15.75" customHeight="1" x14ac:dyDescent="0.25">
      <c r="A6986" s="392" t="s">
        <v>913</v>
      </c>
      <c r="B6986" s="391"/>
      <c r="C6986" s="391"/>
      <c r="D6986" s="391"/>
      <c r="E6986" s="390"/>
      <c r="F6986" s="392"/>
      <c r="G6986" s="390"/>
      <c r="H6986" s="394"/>
    </row>
    <row r="6987" spans="1:8" ht="15.75" customHeight="1" x14ac:dyDescent="0.25">
      <c r="A6987" s="445"/>
      <c r="B6987" s="445"/>
      <c r="C6987" s="445"/>
      <c r="D6987" s="446" t="s">
        <v>97</v>
      </c>
      <c r="E6987" s="445" t="s">
        <v>98</v>
      </c>
      <c r="F6987" s="445"/>
      <c r="G6987" s="390"/>
      <c r="H6987" s="394"/>
    </row>
    <row r="6988" spans="1:8" ht="15.75" customHeight="1" x14ac:dyDescent="0.25">
      <c r="A6988" s="390"/>
      <c r="B6988" s="390"/>
      <c r="C6988" s="390"/>
      <c r="D6988" s="391"/>
      <c r="E6988" s="390"/>
      <c r="F6988" s="390"/>
      <c r="G6988" s="390"/>
      <c r="H6988" s="394"/>
    </row>
    <row r="6989" spans="1:8" ht="15.75" customHeight="1" x14ac:dyDescent="0.25">
      <c r="A6989" s="390"/>
      <c r="B6989" s="390"/>
      <c r="C6989" s="390"/>
      <c r="D6989" s="391"/>
      <c r="E6989" s="390"/>
      <c r="F6989" s="390"/>
      <c r="G6989" s="390"/>
      <c r="H6989" s="394"/>
    </row>
    <row r="6990" spans="1:8" ht="15.75" customHeight="1" x14ac:dyDescent="0.25">
      <c r="A6990" s="445"/>
      <c r="B6990" s="445"/>
      <c r="C6990" s="445"/>
      <c r="D6990" s="446"/>
      <c r="E6990" s="445" t="s">
        <v>99</v>
      </c>
      <c r="F6990" s="445"/>
      <c r="G6990" s="390"/>
      <c r="H6990" s="394"/>
    </row>
    <row r="6991" spans="1:8" ht="15.75" customHeight="1" x14ac:dyDescent="0.25">
      <c r="D6991" s="4"/>
      <c r="H6991" s="4"/>
    </row>
    <row r="6992" spans="1:8" ht="15.75" customHeight="1" x14ac:dyDescent="0.25">
      <c r="D6992" s="4"/>
      <c r="H6992" s="4"/>
    </row>
    <row r="6993" spans="1:8" ht="15.75" customHeight="1" x14ac:dyDescent="0.25">
      <c r="D6993" s="4"/>
      <c r="H6993" s="4"/>
    </row>
    <row r="6994" spans="1:8" ht="15.75" customHeight="1" x14ac:dyDescent="0.25">
      <c r="D6994" s="4"/>
      <c r="H6994" s="4"/>
    </row>
    <row r="6995" spans="1:8" ht="15.75" customHeight="1" x14ac:dyDescent="0.25">
      <c r="D6995" s="4"/>
      <c r="H6995" s="4"/>
    </row>
    <row r="6996" spans="1:8" ht="15.75" customHeight="1" x14ac:dyDescent="0.25">
      <c r="D6996" s="4"/>
      <c r="H6996" s="4"/>
    </row>
    <row r="6997" spans="1:8" ht="15.75" customHeight="1" x14ac:dyDescent="0.25">
      <c r="D6997" s="4"/>
      <c r="H6997" s="4"/>
    </row>
    <row r="6998" spans="1:8" ht="15.75" customHeight="1" x14ac:dyDescent="0.25">
      <c r="D6998" s="4"/>
      <c r="H6998" s="4"/>
    </row>
    <row r="6999" spans="1:8" ht="15.75" customHeight="1" x14ac:dyDescent="0.25">
      <c r="D6999" s="4"/>
      <c r="H6999" s="4"/>
    </row>
    <row r="7000" spans="1:8" ht="15.75" customHeight="1" x14ac:dyDescent="0.25">
      <c r="A7000" s="14" t="s">
        <v>14</v>
      </c>
      <c r="B7000" s="14"/>
      <c r="C7000" s="14"/>
      <c r="D7000" s="14"/>
      <c r="E7000" s="14"/>
      <c r="F7000" s="14"/>
      <c r="G7000" s="14"/>
      <c r="H7000" s="14"/>
    </row>
    <row r="7001" spans="1:8" ht="15.75" customHeight="1" x14ac:dyDescent="0.25">
      <c r="D7001" s="4"/>
      <c r="H7001" s="8"/>
    </row>
    <row r="7002" spans="1:8" ht="15.75" customHeight="1" x14ac:dyDescent="0.3">
      <c r="A7002" s="233"/>
      <c r="B7002" s="233"/>
      <c r="C7002" s="234"/>
      <c r="D7002" s="235"/>
      <c r="E7002" s="236"/>
      <c r="F7002" s="236"/>
      <c r="G7002" s="236"/>
      <c r="H7002" s="237"/>
    </row>
    <row r="7003" spans="1:8" ht="15.75" customHeight="1" x14ac:dyDescent="0.25">
      <c r="A7003" s="390"/>
      <c r="B7003" s="390"/>
      <c r="C7003" s="390"/>
      <c r="D7003" s="391"/>
      <c r="E7003" s="390"/>
      <c r="F7003" s="395" t="s">
        <v>18</v>
      </c>
      <c r="G7003" s="396" t="s">
        <v>880</v>
      </c>
      <c r="H7003" s="397"/>
    </row>
    <row r="7004" spans="1:8" ht="15.75" customHeight="1" x14ac:dyDescent="0.25">
      <c r="A7004" s="390" t="s">
        <v>20</v>
      </c>
      <c r="B7004" s="390"/>
      <c r="C7004" s="390"/>
      <c r="D7004" s="391"/>
      <c r="E7004" s="390"/>
      <c r="F7004" s="395" t="s">
        <v>21</v>
      </c>
      <c r="G7004" s="390" t="s">
        <v>1758</v>
      </c>
      <c r="H7004" s="391"/>
    </row>
    <row r="7005" spans="1:8" ht="15.75" customHeight="1" x14ac:dyDescent="0.25">
      <c r="A7005" s="390" t="inlineStr">
        <is>
          <t>Dealer-002</t>
        </is>
      </c>
      <c r="B7005" s="390"/>
      <c r="C7005" s="390"/>
      <c r="D7005" s="391"/>
      <c r="E7005" s="395"/>
      <c r="F7005" s="390"/>
      <c r="G7005" s="390"/>
      <c r="H7005" s="394"/>
    </row>
    <row r="7006" spans="1:8" ht="15.75" customHeight="1" x14ac:dyDescent="0.25">
      <c r="A7006" s="390" t="inlineStr">
        <is>
          <t>Address line (redacted)</t>
        </is>
      </c>
      <c r="B7006" s="390"/>
      <c r="C7006" s="390"/>
      <c r="D7006" s="398"/>
      <c r="E7006" s="390"/>
      <c r="F7006" s="391"/>
      <c r="G7006" s="390"/>
      <c r="H7006" s="394"/>
    </row>
    <row r="7007" spans="1:8" ht="15.75" customHeight="1" x14ac:dyDescent="0.25">
      <c r="A7007" s="390" t="inlineStr">
        <is>
          <t>Address line (redacted)</t>
        </is>
      </c>
      <c r="B7007" s="390"/>
      <c r="C7007" s="390"/>
      <c r="D7007" s="398"/>
      <c r="E7007" s="390"/>
      <c r="F7007" s="391"/>
      <c r="G7007" s="390"/>
      <c r="H7007" s="394"/>
    </row>
    <row r="7008" spans="1:8" ht="15.75" customHeight="1" x14ac:dyDescent="0.25">
      <c r="A7008" s="31"/>
      <c r="B7008" s="720"/>
      <c r="C7008" s="720"/>
      <c r="D7008" s="721"/>
      <c r="E7008" s="720"/>
      <c r="F7008" s="721"/>
      <c r="G7008" s="720"/>
      <c r="H7008" s="722"/>
    </row>
    <row r="7009" spans="1:8" ht="15.75" customHeight="1" x14ac:dyDescent="0.25">
      <c r="A7009" s="720" t="s">
        <v>30</v>
      </c>
      <c r="B7009" s="720"/>
      <c r="C7009" s="720"/>
      <c r="D7009" s="721"/>
      <c r="E7009" s="720"/>
      <c r="F7009" s="721"/>
      <c r="G7009" s="720"/>
      <c r="H7009" s="722"/>
    </row>
    <row r="7010" spans="1:8" ht="15.75" customHeight="1" x14ac:dyDescent="0.25">
      <c r="A7010" s="720"/>
      <c r="B7010" s="720"/>
      <c r="C7010" s="720"/>
      <c r="D7010" s="721"/>
      <c r="E7010" s="720"/>
      <c r="F7010" s="721"/>
      <c r="G7010" s="720"/>
      <c r="H7010" s="722"/>
    </row>
    <row r="7011" spans="1:8" ht="15.75" customHeight="1" x14ac:dyDescent="0.25">
      <c r="A7011" s="390" t="s">
        <v>1322</v>
      </c>
      <c r="B7011" s="720"/>
      <c r="C7011" s="720"/>
      <c r="D7011" s="721"/>
      <c r="E7011" s="720"/>
      <c r="F7011" s="721"/>
      <c r="G7011" s="720"/>
      <c r="H7011" s="722"/>
    </row>
    <row r="7012" spans="1:8" ht="15.75" customHeight="1" x14ac:dyDescent="0.25">
      <c r="A7012" s="390" t="s">
        <v>1328</v>
      </c>
      <c r="B7012" s="720"/>
      <c r="C7012" s="720"/>
      <c r="D7012" s="721"/>
      <c r="E7012" s="720"/>
      <c r="F7012" s="721"/>
      <c r="G7012" s="720"/>
      <c r="H7012" s="722"/>
    </row>
    <row r="7013" spans="1:8" ht="15.75" customHeight="1" x14ac:dyDescent="0.25">
      <c r="A7013" s="720"/>
      <c r="B7013" s="720"/>
      <c r="C7013" s="720"/>
      <c r="D7013" s="721"/>
      <c r="E7013" s="720"/>
      <c r="F7013" s="721"/>
      <c r="G7013" s="720"/>
      <c r="H7013" s="722"/>
    </row>
    <row r="7014" spans="1:8" ht="15.75" customHeight="1" x14ac:dyDescent="0.25">
      <c r="A7014" s="723" t="s">
        <v>33</v>
      </c>
      <c r="B7014" s="724" t="s">
        <v>6</v>
      </c>
      <c r="C7014" s="724"/>
      <c r="D7014" s="725" t="s">
        <v>37</v>
      </c>
      <c r="E7014" s="726" t="s">
        <v>38</v>
      </c>
      <c r="F7014" s="727" t="s">
        <v>7</v>
      </c>
      <c r="G7014" s="728" t="s">
        <v>43</v>
      </c>
      <c r="H7014" s="729" t="s">
        <v>44</v>
      </c>
    </row>
    <row r="7015" spans="1:8" ht="15.75" customHeight="1" x14ac:dyDescent="0.25">
      <c r="A7015" s="730"/>
      <c r="B7015" s="731"/>
      <c r="C7015" s="732"/>
      <c r="D7015" s="733"/>
      <c r="E7015" s="733"/>
      <c r="F7015" s="734"/>
      <c r="G7015" s="735"/>
      <c r="H7015" s="736"/>
    </row>
    <row r="7016" spans="1:8" ht="15.75" customHeight="1" x14ac:dyDescent="0.25">
      <c r="A7016" s="425"/>
      <c r="B7016" s="557" t="s">
        <v>590</v>
      </c>
      <c r="C7016" s="558"/>
      <c r="D7016" s="427"/>
      <c r="E7016" s="427"/>
      <c r="F7016" s="391"/>
      <c r="G7016" s="427"/>
      <c r="H7016" s="429"/>
    </row>
    <row r="7017" spans="1:8" ht="15.75" customHeight="1" x14ac:dyDescent="0.25">
      <c r="A7017" s="425" t="s">
        <v>55</v>
      </c>
      <c r="B7017" s="448" t="s">
        <v>80</v>
      </c>
      <c r="C7017" s="449" t="s">
        <v>376</v>
      </c>
      <c r="D7017" s="427">
        <v>1</v>
      </c>
      <c r="E7017" s="427">
        <v>6</v>
      </c>
      <c r="F7017" s="391">
        <f>+E7017*D7017</f>
      </c>
      <c r="G7017" s="427">
        <v>1</v>
      </c>
      <c r="H7017" s="429">
        <f>+G7017*F7017</f>
      </c>
    </row>
    <row r="7018" spans="1:8" ht="15.75" customHeight="1" x14ac:dyDescent="0.25">
      <c r="A7018" s="425"/>
      <c r="B7018" s="557"/>
      <c r="C7018" s="558"/>
      <c r="D7018" s="427"/>
      <c r="E7018" s="427"/>
      <c r="F7018" s="391"/>
      <c r="G7018" s="427"/>
      <c r="H7018" s="429"/>
    </row>
    <row r="7019" spans="1:8" ht="15.75" customHeight="1" x14ac:dyDescent="0.25">
      <c r="A7019" s="425"/>
      <c r="B7019" s="448"/>
      <c r="C7019" s="449"/>
      <c r="D7019" s="427"/>
      <c r="E7019" s="427"/>
      <c r="F7019" s="391"/>
      <c r="G7019" s="427"/>
      <c r="H7019" s="429"/>
    </row>
    <row r="7020" spans="1:8" ht="15.75" customHeight="1" x14ac:dyDescent="0.25">
      <c r="A7020" s="425"/>
      <c r="B7020" s="557"/>
      <c r="C7020" s="558"/>
      <c r="D7020" s="427"/>
      <c r="E7020" s="427"/>
      <c r="F7020" s="391"/>
      <c r="G7020" s="427"/>
      <c r="H7020" s="429"/>
    </row>
    <row r="7021" spans="1:8" ht="15.75" customHeight="1" x14ac:dyDescent="0.25">
      <c r="A7021" s="425"/>
      <c r="B7021" s="448"/>
      <c r="C7021" s="390"/>
      <c r="D7021" s="427"/>
      <c r="E7021" s="427"/>
      <c r="F7021" s="391"/>
      <c r="G7021" s="427"/>
      <c r="H7021" s="429"/>
    </row>
    <row r="7022" spans="1:8" ht="15.75" customHeight="1" x14ac:dyDescent="0.25">
      <c r="A7022" s="502"/>
      <c r="B7022" s="630"/>
      <c r="C7022" s="658"/>
      <c r="D7022" s="427"/>
      <c r="E7022" s="427"/>
      <c r="F7022" s="391"/>
      <c r="G7022" s="427"/>
      <c r="H7022" s="429"/>
    </row>
    <row r="7023" spans="1:8" ht="15.75" customHeight="1" x14ac:dyDescent="0.25">
      <c r="A7023" s="737"/>
      <c r="B7023" s="738"/>
      <c r="C7023" s="573"/>
      <c r="D7023" s="427"/>
      <c r="E7023" s="427"/>
      <c r="F7023" s="391"/>
      <c r="G7023" s="427"/>
      <c r="H7023" s="429"/>
    </row>
    <row r="7024" spans="1:8" ht="15.75" customHeight="1" x14ac:dyDescent="0.25">
      <c r="A7024" s="737"/>
      <c r="B7024" s="713"/>
      <c r="C7024" s="631"/>
      <c r="D7024" s="427"/>
      <c r="E7024" s="427"/>
      <c r="F7024" s="391"/>
      <c r="G7024" s="427"/>
      <c r="H7024" s="429"/>
    </row>
    <row r="7025" spans="1:8" ht="15.75" customHeight="1" x14ac:dyDescent="0.25">
      <c r="A7025" s="425"/>
      <c r="B7025" s="448"/>
      <c r="C7025" s="390"/>
      <c r="D7025" s="427"/>
      <c r="E7025" s="427"/>
      <c r="F7025" s="391"/>
      <c r="G7025" s="427"/>
      <c r="H7025" s="429"/>
    </row>
    <row r="7026" spans="1:8" ht="15.75" customHeight="1" x14ac:dyDescent="0.25">
      <c r="A7026" s="746"/>
      <c r="B7026" s="772"/>
      <c r="C7026" s="720"/>
      <c r="D7026" s="748"/>
      <c r="E7026" s="748"/>
      <c r="F7026" s="721"/>
      <c r="G7026" s="748"/>
      <c r="H7026" s="749"/>
    </row>
    <row r="7027" spans="1:8" ht="15.75" customHeight="1" x14ac:dyDescent="0.25">
      <c r="A7027" s="746"/>
      <c r="B7027" s="747"/>
      <c r="C7027" s="720"/>
      <c r="D7027" s="748"/>
      <c r="E7027" s="748"/>
      <c r="F7027" s="721"/>
      <c r="G7027" s="748"/>
      <c r="H7027" s="749"/>
    </row>
    <row r="7028" spans="1:8" ht="15.75" customHeight="1" x14ac:dyDescent="0.25">
      <c r="A7028" s="750"/>
      <c r="B7028" s="734"/>
      <c r="C7028" s="732"/>
      <c r="D7028" s="748"/>
      <c r="E7028" s="748"/>
      <c r="F7028" s="751"/>
      <c r="G7028" s="752"/>
      <c r="H7028" s="749"/>
    </row>
    <row r="7029" spans="1:8" ht="15.75" customHeight="1" x14ac:dyDescent="0.25">
      <c r="A7029" s="753"/>
      <c r="B7029" s="754"/>
      <c r="C7029" s="755" t="s">
        <v>85</v>
      </c>
      <c r="D7029" s="756">
        <f>SUM(D7017:D7028)</f>
      </c>
      <c r="E7029" s="756"/>
      <c r="F7029" s="757"/>
      <c r="G7029" s="758"/>
      <c r="H7029" s="759">
        <f>SUM(H7017:H7028)</f>
      </c>
    </row>
    <row r="7030" spans="1:8" ht="15.75" customHeight="1" x14ac:dyDescent="0.25">
      <c r="A7030" s="760"/>
      <c r="B7030" s="761"/>
      <c r="C7030" s="761"/>
      <c r="D7030" s="762"/>
      <c r="E7030" s="761"/>
      <c r="F7030" s="763"/>
      <c r="G7030" s="764"/>
      <c r="H7030" s="765"/>
    </row>
    <row r="7031" spans="1:8" ht="15.75" customHeight="1" x14ac:dyDescent="0.25">
      <c r="A7031" s="766"/>
      <c r="B7031" s="721"/>
      <c r="C7031" s="721"/>
      <c r="D7031" s="721"/>
      <c r="E7031" s="720"/>
      <c r="F7031" s="766"/>
      <c r="G7031" s="720"/>
      <c r="H7031" s="722"/>
    </row>
    <row r="7032" spans="1:8" ht="15.75" customHeight="1" x14ac:dyDescent="0.25">
      <c r="A7032" s="767"/>
      <c r="B7032" s="767"/>
      <c r="C7032" s="767"/>
      <c r="D7032" s="768" t="s">
        <v>97</v>
      </c>
      <c r="E7032" s="769" t="s">
        <v>98</v>
      </c>
      <c r="F7032" s="769"/>
      <c r="G7032" s="720"/>
      <c r="H7032" s="722"/>
    </row>
    <row r="7033" spans="1:8" ht="15.75" customHeight="1" x14ac:dyDescent="0.25">
      <c r="A7033" s="720"/>
      <c r="B7033" s="720"/>
      <c r="C7033" s="720"/>
      <c r="D7033" s="770"/>
      <c r="E7033" s="771"/>
      <c r="F7033" s="771"/>
      <c r="G7033" s="720"/>
      <c r="H7033" s="722"/>
    </row>
    <row r="7034" spans="1:8" ht="15.75" customHeight="1" x14ac:dyDescent="0.25">
      <c r="A7034" s="720"/>
      <c r="B7034" s="720"/>
      <c r="C7034" s="720"/>
      <c r="D7034" s="770"/>
      <c r="E7034" s="771"/>
      <c r="F7034" s="771"/>
      <c r="G7034" s="720"/>
      <c r="H7034" s="722"/>
    </row>
    <row r="7035" spans="1:8" ht="15.75" customHeight="1" x14ac:dyDescent="0.25">
      <c r="A7035" s="767"/>
      <c r="B7035" s="767"/>
      <c r="C7035" s="767"/>
      <c r="D7035" s="768"/>
      <c r="E7035" s="769" t="s">
        <v>99</v>
      </c>
      <c r="F7035" s="769"/>
      <c r="G7035" s="720"/>
      <c r="H7035" s="722"/>
    </row>
    <row r="7036" spans="1:8" ht="15.75" customHeight="1" x14ac:dyDescent="0.25">
      <c r="D7036" s="4"/>
      <c r="H7036" s="4"/>
    </row>
    <row r="7037" spans="1:8" ht="15.75" customHeight="1" x14ac:dyDescent="0.25">
      <c r="D7037" s="4"/>
      <c r="H7037" s="4"/>
    </row>
    <row r="7038" spans="1:8" ht="15.75" customHeight="1" x14ac:dyDescent="0.25">
      <c r="D7038" s="4"/>
      <c r="H7038" s="4"/>
    </row>
    <row r="7039" spans="1:8" ht="15.75" customHeight="1" x14ac:dyDescent="0.25">
      <c r="D7039" s="4"/>
      <c r="H7039" s="4"/>
    </row>
    <row r="7040" spans="1:8" ht="15.75" customHeight="1" x14ac:dyDescent="0.25">
      <c r="D7040" s="4"/>
      <c r="H7040" s="4"/>
    </row>
    <row r="7041" spans="1:8" ht="15.75" customHeight="1" x14ac:dyDescent="0.25">
      <c r="D7041" s="4"/>
      <c r="H7041" s="4"/>
    </row>
    <row r="7042" spans="1:8" ht="15.75" customHeight="1" x14ac:dyDescent="0.25">
      <c r="D7042" s="4"/>
      <c r="H7042" s="4"/>
    </row>
    <row r="7043" spans="1:8" ht="15.75" customHeight="1" x14ac:dyDescent="0.25">
      <c r="D7043" s="4"/>
      <c r="H7043" s="4"/>
    </row>
    <row r="7044" spans="1:8" ht="15.75" customHeight="1" x14ac:dyDescent="0.25">
      <c r="D7044" s="4"/>
      <c r="H7044" s="4"/>
    </row>
    <row r="7045" spans="1:8" ht="15.75" customHeight="1" x14ac:dyDescent="0.25">
      <c r="A7045" s="14" t="s">
        <v>14</v>
      </c>
      <c r="B7045" s="14"/>
      <c r="C7045" s="14"/>
      <c r="D7045" s="14"/>
      <c r="E7045" s="14"/>
      <c r="F7045" s="14"/>
      <c r="G7045" s="14"/>
      <c r="H7045" s="14"/>
    </row>
    <row r="7046" spans="1:8" ht="15.75" customHeight="1" x14ac:dyDescent="0.25">
      <c r="D7046" s="4"/>
      <c r="H7046" s="8"/>
    </row>
    <row r="7047" spans="1:8" ht="15.75" customHeight="1" x14ac:dyDescent="0.3">
      <c r="A7047" s="233"/>
      <c r="B7047" s="233"/>
      <c r="C7047" s="234"/>
      <c r="D7047" s="235"/>
      <c r="E7047" s="236"/>
      <c r="F7047" s="236"/>
      <c r="G7047" s="236"/>
      <c r="H7047" s="237"/>
    </row>
    <row r="7048" spans="1:8" ht="15.75" customHeight="1" x14ac:dyDescent="0.25">
      <c r="A7048" s="390"/>
      <c r="B7048" s="390"/>
      <c r="C7048" s="390"/>
      <c r="D7048" s="391"/>
      <c r="E7048" s="390"/>
      <c r="F7048" s="395" t="s">
        <v>18</v>
      </c>
      <c r="G7048" s="396" t="s">
        <v>884</v>
      </c>
      <c r="H7048" s="397"/>
    </row>
    <row r="7049" spans="1:8" ht="15.75" customHeight="1" x14ac:dyDescent="0.25">
      <c r="A7049" s="390" t="s">
        <v>20</v>
      </c>
      <c r="B7049" s="390"/>
      <c r="C7049" s="390"/>
      <c r="D7049" s="391"/>
      <c r="E7049" s="390"/>
      <c r="F7049" s="395" t="s">
        <v>21</v>
      </c>
      <c r="G7049" s="390" t="s">
        <v>1759</v>
      </c>
      <c r="H7049" s="391"/>
    </row>
    <row r="7050" spans="1:8" ht="15.75" customHeight="1" x14ac:dyDescent="0.25">
      <c r="A7050" s="390" t="inlineStr">
        <is>
          <t>Dealer-002</t>
        </is>
      </c>
      <c r="B7050" s="390"/>
      <c r="C7050" s="390"/>
      <c r="D7050" s="391"/>
      <c r="E7050" s="395"/>
      <c r="F7050" s="390"/>
      <c r="G7050" s="390"/>
      <c r="H7050" s="394"/>
    </row>
    <row r="7051" spans="1:8" ht="15.75" customHeight="1" x14ac:dyDescent="0.25">
      <c r="A7051" s="390" t="inlineStr">
        <is>
          <t>Address line (redacted)</t>
        </is>
      </c>
      <c r="B7051" s="390"/>
      <c r="C7051" s="390"/>
      <c r="D7051" s="398"/>
      <c r="E7051" s="390"/>
      <c r="F7051" s="391"/>
      <c r="G7051" s="390"/>
      <c r="H7051" s="394"/>
    </row>
    <row r="7052" spans="1:8" ht="15.75" customHeight="1" x14ac:dyDescent="0.25">
      <c r="A7052" s="390" t="inlineStr">
        <is>
          <t>Address line (redacted)</t>
        </is>
      </c>
      <c r="B7052" s="390"/>
      <c r="C7052" s="390"/>
      <c r="D7052" s="398"/>
      <c r="E7052" s="390"/>
      <c r="F7052" s="391"/>
      <c r="G7052" s="390"/>
      <c r="H7052" s="394"/>
    </row>
    <row r="7053" spans="1:8" ht="15.75" customHeight="1" x14ac:dyDescent="0.25">
      <c r="A7053" s="31"/>
      <c r="B7053" s="720"/>
      <c r="C7053" s="720"/>
      <c r="D7053" s="721"/>
      <c r="E7053" s="720"/>
      <c r="F7053" s="721"/>
      <c r="G7053" s="720"/>
      <c r="H7053" s="722"/>
    </row>
    <row r="7054" spans="1:8" ht="15.75" customHeight="1" x14ac:dyDescent="0.25">
      <c r="A7054" s="720" t="s">
        <v>30</v>
      </c>
      <c r="B7054" s="720"/>
      <c r="C7054" s="720"/>
      <c r="D7054" s="721"/>
      <c r="E7054" s="720"/>
      <c r="F7054" s="721"/>
      <c r="G7054" s="720"/>
      <c r="H7054" s="722"/>
    </row>
    <row r="7055" spans="1:8" ht="15.75" customHeight="1" x14ac:dyDescent="0.25">
      <c r="A7055" s="720"/>
      <c r="B7055" s="720"/>
      <c r="C7055" s="720"/>
      <c r="D7055" s="721"/>
      <c r="E7055" s="720"/>
      <c r="F7055" s="721"/>
      <c r="G7055" s="720"/>
      <c r="H7055" s="722"/>
    </row>
    <row r="7056" spans="1:8" ht="15.75" customHeight="1" x14ac:dyDescent="0.25">
      <c r="A7056" s="390" t="s">
        <v>1322</v>
      </c>
      <c r="B7056" s="720"/>
      <c r="C7056" s="720"/>
      <c r="D7056" s="721"/>
      <c r="E7056" s="720"/>
      <c r="F7056" s="721"/>
      <c r="G7056" s="720"/>
      <c r="H7056" s="722"/>
    </row>
    <row r="7057" spans="1:8" ht="15.75" customHeight="1" x14ac:dyDescent="0.25">
      <c r="A7057" s="390" t="s">
        <v>1328</v>
      </c>
      <c r="B7057" s="720"/>
      <c r="C7057" s="720"/>
      <c r="D7057" s="721"/>
      <c r="E7057" s="720"/>
      <c r="F7057" s="721"/>
      <c r="G7057" s="720"/>
      <c r="H7057" s="722"/>
    </row>
    <row r="7058" spans="1:8" ht="15.75" customHeight="1" x14ac:dyDescent="0.25">
      <c r="A7058" s="720"/>
      <c r="B7058" s="720"/>
      <c r="C7058" s="720"/>
      <c r="D7058" s="721"/>
      <c r="E7058" s="720"/>
      <c r="F7058" s="721"/>
      <c r="G7058" s="720"/>
      <c r="H7058" s="722"/>
    </row>
    <row r="7059" spans="1:8" ht="15.75" customHeight="1" x14ac:dyDescent="0.25">
      <c r="A7059" s="723" t="s">
        <v>33</v>
      </c>
      <c r="B7059" s="724" t="s">
        <v>6</v>
      </c>
      <c r="C7059" s="724"/>
      <c r="D7059" s="725" t="s">
        <v>37</v>
      </c>
      <c r="E7059" s="726" t="s">
        <v>38</v>
      </c>
      <c r="F7059" s="727" t="s">
        <v>7</v>
      </c>
      <c r="G7059" s="728" t="s">
        <v>43</v>
      </c>
      <c r="H7059" s="729" t="s">
        <v>44</v>
      </c>
    </row>
    <row r="7060" spans="1:8" ht="15.75" customHeight="1" x14ac:dyDescent="0.25">
      <c r="A7060" s="730"/>
      <c r="B7060" s="731"/>
      <c r="C7060" s="732"/>
      <c r="D7060" s="733"/>
      <c r="E7060" s="733"/>
      <c r="F7060" s="734"/>
      <c r="G7060" s="735"/>
      <c r="H7060" s="736"/>
    </row>
    <row r="7061" spans="1:8" ht="15.75" customHeight="1" x14ac:dyDescent="0.25">
      <c r="A7061" s="425"/>
      <c r="B7061" s="557" t="s">
        <v>1356</v>
      </c>
      <c r="C7061" s="558"/>
      <c r="D7061" s="427"/>
      <c r="E7061" s="427"/>
      <c r="F7061" s="391"/>
      <c r="G7061" s="427"/>
      <c r="H7061" s="429"/>
    </row>
    <row r="7062" spans="1:8" ht="15.75" customHeight="1" x14ac:dyDescent="0.25">
      <c r="A7062" s="425" t="s">
        <v>55</v>
      </c>
      <c r="B7062" s="448" t="s">
        <v>1760</v>
      </c>
      <c r="C7062" s="449" t="s">
        <v>66</v>
      </c>
      <c r="D7062" s="427">
        <v>1</v>
      </c>
      <c r="E7062" s="427">
        <v>5</v>
      </c>
      <c r="F7062" s="391">
        <f>+E7062*D7062</f>
      </c>
      <c r="G7062" s="427">
        <v>1</v>
      </c>
      <c r="H7062" s="429">
        <f>+G7062*F7062</f>
      </c>
    </row>
    <row r="7063" spans="1:8" ht="15.75" customHeight="1" x14ac:dyDescent="0.25">
      <c r="A7063" s="425"/>
      <c r="B7063" s="557"/>
      <c r="C7063" s="558"/>
      <c r="D7063" s="427"/>
      <c r="E7063" s="427"/>
      <c r="F7063" s="391"/>
      <c r="G7063" s="427"/>
      <c r="H7063" s="429"/>
    </row>
    <row r="7064" spans="1:8" ht="15.75" customHeight="1" x14ac:dyDescent="0.25">
      <c r="A7064" s="425"/>
      <c r="B7064" s="448"/>
      <c r="C7064" s="449"/>
      <c r="D7064" s="427"/>
      <c r="E7064" s="427"/>
      <c r="F7064" s="391"/>
      <c r="G7064" s="427"/>
      <c r="H7064" s="429"/>
    </row>
    <row r="7065" spans="1:8" ht="15.75" customHeight="1" x14ac:dyDescent="0.25">
      <c r="A7065" s="425"/>
      <c r="B7065" s="557"/>
      <c r="C7065" s="558"/>
      <c r="D7065" s="427"/>
      <c r="E7065" s="427"/>
      <c r="F7065" s="391"/>
      <c r="G7065" s="427"/>
      <c r="H7065" s="429"/>
    </row>
    <row r="7066" spans="1:8" ht="15.75" customHeight="1" x14ac:dyDescent="0.25">
      <c r="A7066" s="425"/>
      <c r="B7066" s="448"/>
      <c r="C7066" s="390"/>
      <c r="D7066" s="427"/>
      <c r="E7066" s="427"/>
      <c r="F7066" s="391"/>
      <c r="G7066" s="427"/>
      <c r="H7066" s="429"/>
    </row>
    <row r="7067" spans="1:8" ht="15.75" customHeight="1" x14ac:dyDescent="0.25">
      <c r="A7067" s="502"/>
      <c r="B7067" s="630"/>
      <c r="C7067" s="658"/>
      <c r="D7067" s="427"/>
      <c r="E7067" s="427"/>
      <c r="F7067" s="391"/>
      <c r="G7067" s="427"/>
      <c r="H7067" s="429"/>
    </row>
    <row r="7068" spans="1:8" ht="15.75" customHeight="1" x14ac:dyDescent="0.25">
      <c r="A7068" s="737"/>
      <c r="B7068" s="738"/>
      <c r="C7068" s="573"/>
      <c r="D7068" s="427"/>
      <c r="E7068" s="427"/>
      <c r="F7068" s="391"/>
      <c r="G7068" s="427"/>
      <c r="H7068" s="429"/>
    </row>
    <row r="7069" spans="1:8" ht="15.75" customHeight="1" x14ac:dyDescent="0.25">
      <c r="A7069" s="737"/>
      <c r="B7069" s="713"/>
      <c r="C7069" s="631"/>
      <c r="D7069" s="427"/>
      <c r="E7069" s="427"/>
      <c r="F7069" s="391"/>
      <c r="G7069" s="427"/>
      <c r="H7069" s="429"/>
    </row>
    <row r="7070" spans="1:8" ht="15.75" customHeight="1" x14ac:dyDescent="0.25">
      <c r="A7070" s="425"/>
      <c r="B7070" s="448"/>
      <c r="C7070" s="390"/>
      <c r="D7070" s="427"/>
      <c r="E7070" s="427"/>
      <c r="F7070" s="391"/>
      <c r="G7070" s="427"/>
      <c r="H7070" s="429"/>
    </row>
    <row r="7071" spans="1:8" ht="15.75" customHeight="1" x14ac:dyDescent="0.25">
      <c r="A7071" s="746"/>
      <c r="B7071" s="772"/>
      <c r="C7071" s="720"/>
      <c r="D7071" s="748"/>
      <c r="E7071" s="748"/>
      <c r="F7071" s="721"/>
      <c r="G7071" s="748"/>
      <c r="H7071" s="749"/>
    </row>
    <row r="7072" spans="1:8" ht="15.75" customHeight="1" x14ac:dyDescent="0.25">
      <c r="A7072" s="746"/>
      <c r="B7072" s="747"/>
      <c r="C7072" s="720"/>
      <c r="D7072" s="748"/>
      <c r="E7072" s="748"/>
      <c r="F7072" s="721"/>
      <c r="G7072" s="748"/>
      <c r="H7072" s="749"/>
    </row>
    <row r="7073" spans="1:8" ht="15.75" customHeight="1" x14ac:dyDescent="0.25">
      <c r="A7073" s="750"/>
      <c r="B7073" s="734"/>
      <c r="C7073" s="732"/>
      <c r="D7073" s="748"/>
      <c r="E7073" s="748"/>
      <c r="F7073" s="751"/>
      <c r="G7073" s="752"/>
      <c r="H7073" s="749"/>
    </row>
    <row r="7074" spans="1:8" ht="15.75" customHeight="1" x14ac:dyDescent="0.25">
      <c r="A7074" s="753"/>
      <c r="B7074" s="754"/>
      <c r="C7074" s="755" t="s">
        <v>85</v>
      </c>
      <c r="D7074" s="756">
        <f>SUM(D7062:D7073)</f>
      </c>
      <c r="E7074" s="756"/>
      <c r="F7074" s="757"/>
      <c r="G7074" s="758"/>
      <c r="H7074" s="759">
        <f>SUM(H7062:H7073)</f>
      </c>
    </row>
    <row r="7075" spans="1:8" ht="15.75" customHeight="1" x14ac:dyDescent="0.25">
      <c r="A7075" s="760"/>
      <c r="B7075" s="761"/>
      <c r="C7075" s="761"/>
      <c r="D7075" s="762"/>
      <c r="E7075" s="761"/>
      <c r="F7075" s="763"/>
      <c r="G7075" s="764"/>
      <c r="H7075" s="765"/>
    </row>
    <row r="7076" spans="1:8" ht="15.75" customHeight="1" x14ac:dyDescent="0.25">
      <c r="A7076" s="766"/>
      <c r="B7076" s="721"/>
      <c r="C7076" s="721"/>
      <c r="D7076" s="721"/>
      <c r="E7076" s="720"/>
      <c r="F7076" s="766"/>
      <c r="G7076" s="720"/>
      <c r="H7076" s="722"/>
    </row>
    <row r="7077" spans="1:8" ht="15.75" customHeight="1" x14ac:dyDescent="0.25">
      <c r="A7077" s="767"/>
      <c r="B7077" s="767"/>
      <c r="C7077" s="767"/>
      <c r="D7077" s="768" t="s">
        <v>97</v>
      </c>
      <c r="E7077" s="769" t="s">
        <v>98</v>
      </c>
      <c r="F7077" s="769"/>
      <c r="G7077" s="720"/>
      <c r="H7077" s="722"/>
    </row>
    <row r="7078" spans="1:8" ht="15.75" customHeight="1" x14ac:dyDescent="0.25">
      <c r="A7078" s="720"/>
      <c r="B7078" s="720"/>
      <c r="C7078" s="720"/>
      <c r="D7078" s="770"/>
      <c r="E7078" s="771"/>
      <c r="F7078" s="771"/>
      <c r="G7078" s="720"/>
      <c r="H7078" s="722"/>
    </row>
    <row r="7079" spans="1:8" ht="15.75" customHeight="1" x14ac:dyDescent="0.25">
      <c r="A7079" s="720"/>
      <c r="B7079" s="720"/>
      <c r="C7079" s="720"/>
      <c r="D7079" s="770"/>
      <c r="E7079" s="771"/>
      <c r="F7079" s="771"/>
      <c r="G7079" s="720"/>
      <c r="H7079" s="722"/>
    </row>
    <row r="7080" spans="1:8" ht="15.75" customHeight="1" x14ac:dyDescent="0.25">
      <c r="A7080" s="767"/>
      <c r="B7080" s="767"/>
      <c r="C7080" s="767"/>
      <c r="D7080" s="768"/>
      <c r="E7080" s="769" t="s">
        <v>99</v>
      </c>
      <c r="F7080" s="769"/>
      <c r="G7080" s="720"/>
      <c r="H7080" s="722"/>
    </row>
    <row r="7081" spans="1:8" ht="15.75" customHeight="1" x14ac:dyDescent="0.25">
      <c r="D7081" s="4"/>
      <c r="H7081" s="4"/>
    </row>
    <row r="7082" spans="1:8" ht="15.75" customHeight="1" x14ac:dyDescent="0.25">
      <c r="D7082" s="4"/>
      <c r="H7082" s="4"/>
    </row>
    <row r="7083" spans="1:8" ht="15.75" customHeight="1" x14ac:dyDescent="0.25">
      <c r="D7083" s="4"/>
      <c r="H7083" s="4"/>
    </row>
    <row r="7084" spans="1:8" ht="15.75" customHeight="1" x14ac:dyDescent="0.25">
      <c r="D7084" s="4"/>
      <c r="H7084" s="4"/>
    </row>
    <row r="7085" spans="1:8" ht="15.75" customHeight="1" x14ac:dyDescent="0.25">
      <c r="D7085" s="4"/>
      <c r="H7085" s="4"/>
    </row>
    <row r="7086" spans="1:8" ht="15.75" customHeight="1" x14ac:dyDescent="0.25">
      <c r="D7086" s="4"/>
      <c r="H7086" s="4"/>
    </row>
    <row r="7087" spans="1:8" ht="15.75" customHeight="1" x14ac:dyDescent="0.25">
      <c r="D7087" s="4"/>
      <c r="H7087" s="4"/>
    </row>
    <row r="7088" spans="1:8" ht="15.75" customHeight="1" x14ac:dyDescent="0.25">
      <c r="D7088" s="4"/>
      <c r="H7088" s="4"/>
    </row>
    <row r="7089" spans="1:8" ht="15.75" customHeight="1" x14ac:dyDescent="0.25">
      <c r="D7089" s="4"/>
      <c r="H7089" s="4"/>
    </row>
    <row r="7090" spans="1:8" ht="15.75" customHeight="1" x14ac:dyDescent="0.25">
      <c r="A7090" s="398" t="s">
        <v>14</v>
      </c>
      <c r="B7090" s="398"/>
      <c r="C7090" s="398"/>
      <c r="D7090" s="398"/>
      <c r="E7090" s="398"/>
      <c r="F7090" s="398"/>
      <c r="G7090" s="398"/>
      <c r="H7090" s="398"/>
    </row>
    <row r="7091" spans="1:8" ht="15.75" customHeight="1" x14ac:dyDescent="0.25">
      <c r="A7091" s="390"/>
      <c r="B7091" s="390"/>
      <c r="C7091" s="390"/>
      <c r="D7091" s="391"/>
      <c r="E7091" s="390"/>
      <c r="F7091" s="390"/>
      <c r="G7091" s="390"/>
      <c r="H7091" s="398"/>
    </row>
    <row r="7092" spans="1:8" ht="15.75" customHeight="1" x14ac:dyDescent="0.25">
      <c r="A7092" s="390"/>
      <c r="B7092" s="390"/>
      <c r="C7092" s="391"/>
      <c r="D7092" s="392"/>
      <c r="E7092" s="393"/>
      <c r="F7092" s="393"/>
      <c r="G7092" s="393"/>
      <c r="H7092" s="394"/>
    </row>
    <row r="7093" spans="1:8" ht="15.75" customHeight="1" x14ac:dyDescent="0.25">
      <c r="A7093" s="390"/>
      <c r="B7093" s="390"/>
      <c r="C7093" s="390"/>
      <c r="D7093" s="391"/>
      <c r="E7093" s="390"/>
      <c r="F7093" s="395" t="s">
        <v>18</v>
      </c>
      <c r="G7093" s="396" t="s">
        <v>884</v>
      </c>
      <c r="H7093" s="397"/>
    </row>
    <row r="7094" spans="1:8" ht="15.75" customHeight="1" x14ac:dyDescent="0.25">
      <c r="A7094" s="390" t="s">
        <v>20</v>
      </c>
      <c r="B7094" s="390"/>
      <c r="C7094" s="390"/>
      <c r="D7094" s="391"/>
      <c r="E7094" s="390"/>
      <c r="F7094" s="395" t="s">
        <v>21</v>
      </c>
      <c r="G7094" s="390" t="s">
        <v>1761</v>
      </c>
      <c r="H7094" s="391"/>
    </row>
    <row r="7095" spans="1:8" ht="15.75" customHeight="1" x14ac:dyDescent="0.25">
      <c r="A7095" s="390" t="inlineStr">
        <is>
          <t>Dealer-009</t>
        </is>
      </c>
      <c r="B7095" s="390"/>
      <c r="C7095" s="390" t="inlineStr">
        <is>
          <t>ATTN: Contact-001</t>
        </is>
      </c>
      <c r="D7095" s="391"/>
      <c r="E7095" s="395"/>
      <c r="F7095" s="390"/>
      <c r="G7095" s="390"/>
      <c r="H7095" s="394"/>
    </row>
    <row r="7096" spans="1:8" ht="15.75" customHeight="1" x14ac:dyDescent="0.25">
      <c r="A7096" s="390" t="inlineStr">
        <is>
          <t>Address line (redacted)</t>
        </is>
      </c>
      <c r="B7096" s="390"/>
      <c r="C7096" s="390"/>
      <c r="D7096" s="398"/>
      <c r="E7096" s="390"/>
      <c r="F7096" s="391"/>
      <c r="G7096" s="390"/>
      <c r="H7096" s="394"/>
    </row>
    <row r="7097" spans="1:8" ht="15.75" customHeight="1" x14ac:dyDescent="0.25">
      <c r="A7097" s="390" t="inlineStr">
        <is>
          <t>Address line (redacted)</t>
        </is>
      </c>
      <c r="B7097" s="390"/>
      <c r="C7097" s="390"/>
      <c r="D7097" s="398"/>
      <c r="E7097" s="390"/>
      <c r="F7097" s="391"/>
      <c r="G7097" s="390"/>
      <c r="H7097" s="394"/>
    </row>
    <row r="7098" spans="1:8" ht="15.75" customHeight="1" x14ac:dyDescent="0.25">
      <c r="A7098" s="447"/>
      <c r="B7098" s="390"/>
      <c r="C7098" s="390"/>
      <c r="D7098" s="391"/>
      <c r="E7098" s="390"/>
      <c r="F7098" s="391"/>
      <c r="G7098" s="390"/>
      <c r="H7098" s="394"/>
    </row>
    <row r="7099" spans="1:8" ht="15.75" customHeight="1" x14ac:dyDescent="0.25">
      <c r="A7099" s="390" t="s">
        <v>30</v>
      </c>
      <c r="B7099" s="390"/>
      <c r="C7099" s="390"/>
      <c r="D7099" s="391"/>
      <c r="E7099" s="390"/>
      <c r="F7099" s="391"/>
      <c r="G7099" s="390"/>
      <c r="H7099" s="394"/>
    </row>
    <row r="7100" spans="1:8" ht="15.75" customHeight="1" x14ac:dyDescent="0.25">
      <c r="A7100" s="390"/>
      <c r="B7100" s="390"/>
      <c r="C7100" s="390"/>
      <c r="D7100" s="391"/>
      <c r="E7100" s="390"/>
      <c r="F7100" s="391"/>
      <c r="G7100" s="390"/>
      <c r="H7100" s="394"/>
    </row>
    <row r="7101" spans="1:8" ht="15.75" customHeight="1" x14ac:dyDescent="0.25">
      <c r="A7101" s="390" t="s">
        <v>31</v>
      </c>
      <c r="B7101" s="390"/>
      <c r="C7101" s="390"/>
      <c r="D7101" s="391"/>
      <c r="E7101" s="390"/>
      <c r="F7101" s="391"/>
      <c r="G7101" s="390"/>
      <c r="H7101" s="394"/>
    </row>
    <row r="7102" spans="1:8" ht="15.75" customHeight="1" x14ac:dyDescent="0.25">
      <c r="A7102" s="390" t="s">
        <v>32</v>
      </c>
      <c r="B7102" s="390"/>
      <c r="C7102" s="390"/>
      <c r="D7102" s="391"/>
      <c r="E7102" s="390"/>
      <c r="F7102" s="391"/>
      <c r="G7102" s="390"/>
      <c r="H7102" s="394"/>
    </row>
    <row r="7103" spans="1:8" ht="15.75" customHeight="1" x14ac:dyDescent="0.25">
      <c r="A7103" s="390"/>
      <c r="B7103" s="390"/>
      <c r="C7103" s="390"/>
      <c r="D7103" s="391"/>
      <c r="E7103" s="390"/>
      <c r="F7103" s="391"/>
      <c r="G7103" s="390"/>
      <c r="H7103" s="394"/>
    </row>
    <row r="7104" spans="1:8" ht="15.75" customHeight="1" x14ac:dyDescent="0.25">
      <c r="A7104" s="399" t="s">
        <v>33</v>
      </c>
      <c r="B7104" s="400" t="s">
        <v>6</v>
      </c>
      <c r="C7104" s="400"/>
      <c r="D7104" s="401" t="s">
        <v>37</v>
      </c>
      <c r="E7104" s="402" t="s">
        <v>38</v>
      </c>
      <c r="F7104" s="403" t="s">
        <v>7</v>
      </c>
      <c r="G7104" s="404" t="s">
        <v>43</v>
      </c>
      <c r="H7104" s="405" t="s">
        <v>44</v>
      </c>
    </row>
    <row r="7105" spans="1:8" ht="15.75" customHeight="1" x14ac:dyDescent="0.25">
      <c r="A7105" s="406"/>
      <c r="B7105" s="407"/>
      <c r="C7105" s="393"/>
      <c r="D7105" s="408"/>
      <c r="E7105" s="408"/>
      <c r="F7105" s="409"/>
      <c r="G7105" s="410"/>
      <c r="H7105" s="411"/>
    </row>
    <row r="7106" spans="1:8" ht="15.75" customHeight="1" x14ac:dyDescent="0.25">
      <c r="A7106" s="556"/>
      <c r="B7106" s="557" t="s">
        <v>1102</v>
      </c>
      <c r="C7106" s="558"/>
      <c r="D7106" s="408"/>
      <c r="E7106" s="408"/>
      <c r="F7106" s="398"/>
      <c r="G7106" s="408"/>
      <c r="H7106" s="559"/>
    </row>
    <row r="7107" spans="1:8" ht="15.75" customHeight="1" x14ac:dyDescent="0.25">
      <c r="A7107" s="425" t="s">
        <v>55</v>
      </c>
      <c r="B7107" s="448" t="s">
        <v>63</v>
      </c>
      <c r="C7107" s="507" t="s">
        <v>54</v>
      </c>
      <c r="D7107" s="427">
        <v>2</v>
      </c>
      <c r="E7107" s="427">
        <v>5</v>
      </c>
      <c r="F7107" s="391">
        <f t="shared" ref="F7107:F7109" si="202">+E7107*D7107</f>
      </c>
      <c r="G7107" s="427">
        <v>1</v>
      </c>
      <c r="H7107" s="429">
        <f t="shared" ref="H7107:H7109" si="203">+G7107*F7107</f>
      </c>
    </row>
    <row r="7108" spans="1:8" ht="15.75" customHeight="1" x14ac:dyDescent="0.25">
      <c r="A7108" s="425" t="s">
        <v>59</v>
      </c>
      <c r="B7108" s="448" t="s">
        <v>664</v>
      </c>
      <c r="C7108" s="507"/>
      <c r="D7108" s="427">
        <v>2</v>
      </c>
      <c r="E7108" s="427">
        <v>5</v>
      </c>
      <c r="F7108" s="391">
        <f t="shared" si="202"/>
      </c>
      <c r="G7108" s="427">
        <v>1</v>
      </c>
      <c r="H7108" s="429">
        <f t="shared" si="203"/>
      </c>
    </row>
    <row r="7109" spans="1:8" ht="15.75" customHeight="1" x14ac:dyDescent="0.25">
      <c r="A7109" s="425" t="s">
        <v>67</v>
      </c>
      <c r="B7109" s="448" t="s">
        <v>669</v>
      </c>
      <c r="C7109" s="507"/>
      <c r="D7109" s="427">
        <v>1</v>
      </c>
      <c r="E7109" s="427">
        <v>5</v>
      </c>
      <c r="F7109" s="391">
        <f t="shared" si="202"/>
      </c>
      <c r="G7109" s="427">
        <v>1</v>
      </c>
      <c r="H7109" s="429">
        <f t="shared" si="203"/>
      </c>
    </row>
    <row r="7110" spans="1:8" ht="15.75" customHeight="1" x14ac:dyDescent="0.25">
      <c r="A7110" s="425"/>
      <c r="B7110" s="557" t="s">
        <v>590</v>
      </c>
      <c r="C7110" s="558"/>
      <c r="D7110" s="427"/>
      <c r="E7110" s="427"/>
      <c r="F7110" s="391"/>
      <c r="G7110" s="427"/>
      <c r="H7110" s="429"/>
    </row>
    <row r="7111" spans="1:8" ht="15.75" customHeight="1" x14ac:dyDescent="0.25">
      <c r="A7111" s="425" t="s">
        <v>485</v>
      </c>
      <c r="B7111" s="448" t="s">
        <v>136</v>
      </c>
      <c r="C7111" s="449" t="s">
        <v>387</v>
      </c>
      <c r="D7111" s="427">
        <v>2</v>
      </c>
      <c r="E7111" s="427">
        <v>6</v>
      </c>
      <c r="F7111" s="391">
        <f t="shared" ref="F7111:F7115" si="204">+E7111*D7111</f>
      </c>
      <c r="G7111" s="427">
        <v>1</v>
      </c>
      <c r="H7111" s="429">
        <f t="shared" ref="H7111:H7115" si="205">+G7111*F7111</f>
      </c>
    </row>
    <row r="7112" spans="1:8" ht="15.75" customHeight="1" x14ac:dyDescent="0.25">
      <c r="A7112" s="425" t="s">
        <v>489</v>
      </c>
      <c r="B7112" s="448" t="s">
        <v>696</v>
      </c>
      <c r="C7112" s="449" t="s">
        <v>362</v>
      </c>
      <c r="D7112" s="427">
        <v>1</v>
      </c>
      <c r="E7112" s="427">
        <v>6</v>
      </c>
      <c r="F7112" s="391">
        <f t="shared" si="204"/>
      </c>
      <c r="G7112" s="427">
        <v>1</v>
      </c>
      <c r="H7112" s="429">
        <f t="shared" si="205"/>
      </c>
    </row>
    <row r="7113" spans="1:8" ht="15.75" customHeight="1" x14ac:dyDescent="0.25">
      <c r="A7113" s="425" t="s">
        <v>490</v>
      </c>
      <c r="B7113" s="448" t="s">
        <v>80</v>
      </c>
      <c r="C7113" s="390" t="s">
        <v>376</v>
      </c>
      <c r="D7113" s="427">
        <v>2</v>
      </c>
      <c r="E7113" s="427">
        <v>6</v>
      </c>
      <c r="F7113" s="391">
        <f t="shared" si="204"/>
      </c>
      <c r="G7113" s="427">
        <v>1</v>
      </c>
      <c r="H7113" s="429">
        <f t="shared" si="205"/>
      </c>
    </row>
    <row r="7114" spans="1:8" ht="15.75" customHeight="1" x14ac:dyDescent="0.25">
      <c r="A7114" s="425" t="s">
        <v>781</v>
      </c>
      <c r="B7114" s="448" t="s">
        <v>1718</v>
      </c>
      <c r="C7114" s="390" t="s">
        <v>379</v>
      </c>
      <c r="D7114" s="427">
        <v>1</v>
      </c>
      <c r="E7114" s="427">
        <v>6</v>
      </c>
      <c r="F7114" s="391">
        <f t="shared" si="204"/>
      </c>
      <c r="G7114" s="427">
        <v>1</v>
      </c>
      <c r="H7114" s="429">
        <f t="shared" si="205"/>
      </c>
    </row>
    <row r="7115" spans="1:8" ht="15.75" customHeight="1" x14ac:dyDescent="0.25">
      <c r="A7115" s="425" t="s">
        <v>785</v>
      </c>
      <c r="B7115" s="448" t="s">
        <v>685</v>
      </c>
      <c r="C7115" s="390" t="s">
        <v>359</v>
      </c>
      <c r="D7115" s="427">
        <v>1</v>
      </c>
      <c r="E7115" s="427">
        <v>6</v>
      </c>
      <c r="F7115" s="391">
        <f t="shared" si="204"/>
      </c>
      <c r="G7115" s="427">
        <v>1</v>
      </c>
      <c r="H7115" s="429">
        <f t="shared" si="205"/>
      </c>
    </row>
    <row r="7116" spans="1:8" ht="15.75" customHeight="1" x14ac:dyDescent="0.25">
      <c r="A7116" s="425"/>
      <c r="B7116" s="557" t="s">
        <v>50</v>
      </c>
      <c r="C7116" s="558"/>
      <c r="D7116" s="427"/>
      <c r="E7116" s="427"/>
      <c r="F7116" s="391"/>
      <c r="G7116" s="427"/>
      <c r="H7116" s="429"/>
    </row>
    <row r="7117" spans="1:8" ht="15.75" customHeight="1" x14ac:dyDescent="0.25">
      <c r="A7117" s="502" t="s">
        <v>787</v>
      </c>
      <c r="B7117" s="503" t="s">
        <v>60</v>
      </c>
      <c r="C7117" s="390" t="s">
        <v>61</v>
      </c>
      <c r="D7117" s="427">
        <v>4</v>
      </c>
      <c r="E7117" s="427">
        <v>25</v>
      </c>
      <c r="F7117" s="391">
        <f t="shared" ref="F7117:F7118" si="206">+E7117*D7117</f>
      </c>
      <c r="G7117" s="427">
        <v>1</v>
      </c>
      <c r="H7117" s="429">
        <f t="shared" ref="H7117:H7118" si="207">+G7117*F7117</f>
      </c>
    </row>
    <row r="7118" spans="1:8" ht="15.75" customHeight="1" x14ac:dyDescent="0.25">
      <c r="A7118" s="502" t="s">
        <v>790</v>
      </c>
      <c r="B7118" s="503" t="s">
        <v>126</v>
      </c>
      <c r="C7118" s="390" t="s">
        <v>434</v>
      </c>
      <c r="D7118" s="427">
        <v>2</v>
      </c>
      <c r="E7118" s="427">
        <v>25</v>
      </c>
      <c r="F7118" s="391">
        <f t="shared" si="206"/>
      </c>
      <c r="G7118" s="427">
        <v>1</v>
      </c>
      <c r="H7118" s="429">
        <f t="shared" si="207"/>
      </c>
    </row>
    <row r="7119" spans="1:8" ht="15.75" customHeight="1" x14ac:dyDescent="0.25">
      <c r="A7119" s="425"/>
      <c r="B7119" s="557" t="s">
        <v>674</v>
      </c>
      <c r="C7119" s="560"/>
      <c r="D7119" s="427"/>
      <c r="E7119" s="427"/>
      <c r="F7119" s="391"/>
      <c r="G7119" s="427"/>
      <c r="H7119" s="429"/>
    </row>
    <row r="7120" spans="1:8" ht="15.75" customHeight="1" x14ac:dyDescent="0.25">
      <c r="A7120" s="502" t="s">
        <v>792</v>
      </c>
      <c r="B7120" s="503" t="s">
        <v>931</v>
      </c>
      <c r="C7120" s="777" t="s">
        <v>1762</v>
      </c>
      <c r="D7120" s="427">
        <v>20</v>
      </c>
      <c r="E7120" s="427">
        <v>1</v>
      </c>
      <c r="F7120" s="391">
        <f t="shared" ref="F7120:F7121" si="208">+E7120*D7120</f>
      </c>
      <c r="G7120" s="427">
        <v>1</v>
      </c>
      <c r="H7120" s="429">
        <f>+G7120*F7120</f>
      </c>
    </row>
    <row r="7121" spans="1:8" ht="15.75" customHeight="1" x14ac:dyDescent="0.25">
      <c r="A7121" s="502" t="s">
        <v>796</v>
      </c>
      <c r="B7121" s="503" t="s">
        <v>931</v>
      </c>
      <c r="C7121" s="390" t="s">
        <v>1763</v>
      </c>
      <c r="D7121" s="427">
        <v>2</v>
      </c>
      <c r="E7121" s="427">
        <v>10</v>
      </c>
      <c r="F7121" s="391">
        <f t="shared" si="208"/>
      </c>
      <c r="G7121" s="671" t="s">
        <v>1435</v>
      </c>
      <c r="H7121" s="429"/>
    </row>
    <row r="7122" spans="1:8" ht="15.75" customHeight="1" x14ac:dyDescent="0.25">
      <c r="A7122" s="502"/>
      <c r="B7122" s="503"/>
      <c r="C7122" s="390"/>
      <c r="D7122" s="427"/>
      <c r="E7122" s="427"/>
      <c r="F7122" s="391"/>
      <c r="G7122" s="427"/>
      <c r="H7122" s="429"/>
    </row>
    <row r="7123" spans="1:8" ht="15.75" customHeight="1" x14ac:dyDescent="0.25">
      <c r="A7123" s="432"/>
      <c r="B7123" s="433"/>
      <c r="C7123" s="434" t="s">
        <v>85</v>
      </c>
      <c r="D7123" s="435">
        <f>SUM(D7107:D7122)</f>
      </c>
      <c r="E7123" s="435"/>
      <c r="F7123" s="436"/>
      <c r="G7123" s="437"/>
      <c r="H7123" s="438">
        <f>SUM(H7107:H7122)</f>
      </c>
    </row>
    <row r="7124" spans="1:8" ht="15.75" customHeight="1" x14ac:dyDescent="0.25">
      <c r="A7124" s="439"/>
      <c r="B7124" s="440"/>
      <c r="C7124" s="440"/>
      <c r="D7124" s="441"/>
      <c r="E7124" s="440"/>
      <c r="F7124" s="442"/>
      <c r="G7124" s="443"/>
      <c r="H7124" s="444"/>
    </row>
    <row r="7125" spans="1:8" ht="15.75" customHeight="1" x14ac:dyDescent="0.25">
      <c r="A7125" s="565" t="s">
        <v>1215</v>
      </c>
      <c r="B7125" s="565"/>
      <c r="C7125" s="565"/>
      <c r="D7125" s="565"/>
      <c r="E7125" s="565"/>
      <c r="F7125" s="565"/>
      <c r="G7125" s="565"/>
      <c r="H7125" s="565"/>
    </row>
    <row r="7126" spans="1:8" ht="15.75" customHeight="1" x14ac:dyDescent="0.25">
      <c r="A7126" s="445"/>
      <c r="B7126" s="445"/>
      <c r="C7126" s="445"/>
      <c r="D7126" s="446" t="s">
        <v>97</v>
      </c>
      <c r="E7126" s="445" t="s">
        <v>98</v>
      </c>
      <c r="F7126" s="445"/>
      <c r="G7126" s="390"/>
      <c r="H7126" s="394"/>
    </row>
    <row r="7127" spans="1:8" ht="15.75" customHeight="1" x14ac:dyDescent="0.25">
      <c r="A7127" s="390"/>
      <c r="B7127" s="390"/>
      <c r="C7127" s="390"/>
      <c r="D7127" s="391"/>
      <c r="E7127" s="390"/>
      <c r="F7127" s="390"/>
      <c r="G7127" s="390"/>
      <c r="H7127" s="394"/>
    </row>
    <row r="7128" spans="1:8" ht="15.75" customHeight="1" x14ac:dyDescent="0.25">
      <c r="A7128" s="390"/>
      <c r="B7128" s="390"/>
      <c r="C7128" s="390"/>
      <c r="D7128" s="391"/>
      <c r="E7128" s="390"/>
      <c r="F7128" s="390"/>
      <c r="G7128" s="390"/>
      <c r="H7128" s="394"/>
    </row>
    <row r="7129" spans="1:8" ht="15.75" customHeight="1" x14ac:dyDescent="0.25">
      <c r="A7129" s="445"/>
      <c r="B7129" s="445"/>
      <c r="C7129" s="445"/>
      <c r="D7129" s="446"/>
      <c r="E7129" s="445" t="s">
        <v>99</v>
      </c>
      <c r="F7129" s="445"/>
      <c r="G7129" s="390"/>
      <c r="H7129" s="394"/>
    </row>
    <row r="7130" spans="1:8" ht="15.75" customHeight="1" x14ac:dyDescent="0.25">
      <c r="D7130" s="4"/>
      <c r="H7130" s="4"/>
    </row>
    <row r="7131" spans="1:8" ht="15.75" customHeight="1" x14ac:dyDescent="0.25">
      <c r="D7131" s="4"/>
      <c r="H7131" s="4"/>
    </row>
    <row r="7132" spans="1:8" ht="15.75" customHeight="1" x14ac:dyDescent="0.25">
      <c r="D7132" s="4"/>
      <c r="H7132" s="4"/>
    </row>
    <row r="7133" spans="1:8" ht="15.75" customHeight="1" x14ac:dyDescent="0.25">
      <c r="D7133" s="4"/>
      <c r="H7133" s="4"/>
    </row>
    <row r="7134" spans="1:8" ht="15.75" customHeight="1" x14ac:dyDescent="0.25">
      <c r="D7134" s="4"/>
      <c r="H7134" s="4"/>
    </row>
    <row r="7135" spans="1:8" ht="15.75" customHeight="1" x14ac:dyDescent="0.25">
      <c r="D7135" s="4"/>
      <c r="H7135" s="4"/>
    </row>
    <row r="7136" spans="1:8" ht="15.75" customHeight="1" x14ac:dyDescent="0.25">
      <c r="A7136" s="398" t="s">
        <v>14</v>
      </c>
      <c r="B7136" s="398"/>
      <c r="C7136" s="398"/>
      <c r="D7136" s="398"/>
      <c r="E7136" s="398"/>
      <c r="F7136" s="398"/>
      <c r="G7136" s="398"/>
      <c r="H7136" s="398"/>
    </row>
    <row r="7137" spans="1:8" ht="15.75" customHeight="1" x14ac:dyDescent="0.25">
      <c r="A7137" s="390"/>
      <c r="B7137" s="390"/>
      <c r="C7137" s="390"/>
      <c r="D7137" s="391"/>
      <c r="E7137" s="390"/>
      <c r="F7137" s="390"/>
      <c r="G7137" s="390"/>
      <c r="H7137" s="398"/>
    </row>
    <row r="7138" spans="1:8" ht="15.75" customHeight="1" x14ac:dyDescent="0.25">
      <c r="A7138" s="390"/>
      <c r="B7138" s="390"/>
      <c r="C7138" s="391"/>
      <c r="D7138" s="392"/>
      <c r="E7138" s="393"/>
      <c r="F7138" s="393"/>
      <c r="G7138" s="393"/>
      <c r="H7138" s="394"/>
    </row>
    <row r="7139" spans="1:8" ht="15.75" customHeight="1" x14ac:dyDescent="0.25">
      <c r="A7139" s="390"/>
      <c r="B7139" s="390"/>
      <c r="C7139" s="390"/>
      <c r="D7139" s="391"/>
      <c r="E7139" s="390"/>
      <c r="F7139" s="395" t="s">
        <v>18</v>
      </c>
      <c r="G7139" s="396" t="s">
        <v>884</v>
      </c>
      <c r="H7139" s="397"/>
    </row>
    <row r="7140" spans="1:8" ht="15.75" customHeight="1" x14ac:dyDescent="0.25">
      <c r="A7140" s="390" t="s">
        <v>20</v>
      </c>
      <c r="B7140" s="390"/>
      <c r="C7140" s="390"/>
      <c r="D7140" s="391"/>
      <c r="E7140" s="390"/>
      <c r="F7140" s="395" t="s">
        <v>21</v>
      </c>
      <c r="G7140" s="390" t="s">
        <v>1764</v>
      </c>
      <c r="H7140" s="391"/>
    </row>
    <row r="7141" spans="1:8" ht="15.75" customHeight="1" x14ac:dyDescent="0.25">
      <c r="A7141" s="390" t="inlineStr">
        <is>
          <t>Dealer-009</t>
        </is>
      </c>
      <c r="B7141" s="390"/>
      <c r="C7141" s="390" t="inlineStr">
        <is>
          <t>ATTN: Contact-001</t>
        </is>
      </c>
      <c r="D7141" s="391"/>
      <c r="E7141" s="395"/>
      <c r="F7141" s="390"/>
      <c r="G7141" s="390"/>
      <c r="H7141" s="394"/>
    </row>
    <row r="7142" spans="1:8" ht="15.75" customHeight="1" x14ac:dyDescent="0.25">
      <c r="A7142" s="390" t="inlineStr">
        <is>
          <t>Address line (redacted)</t>
        </is>
      </c>
      <c r="B7142" s="390"/>
      <c r="C7142" s="390"/>
      <c r="D7142" s="398"/>
      <c r="E7142" s="390"/>
      <c r="F7142" s="391"/>
      <c r="G7142" s="390"/>
      <c r="H7142" s="394"/>
    </row>
    <row r="7143" spans="1:8" ht="15.75" customHeight="1" x14ac:dyDescent="0.25">
      <c r="A7143" s="390" t="inlineStr">
        <is>
          <t>Address line (redacted)</t>
        </is>
      </c>
      <c r="B7143" s="390"/>
      <c r="C7143" s="390"/>
      <c r="D7143" s="398"/>
      <c r="E7143" s="390"/>
      <c r="F7143" s="391"/>
      <c r="G7143" s="390"/>
      <c r="H7143" s="394"/>
    </row>
    <row r="7144" spans="1:8" ht="15.75" customHeight="1" x14ac:dyDescent="0.25">
      <c r="A7144" s="447"/>
      <c r="B7144" s="390"/>
      <c r="C7144" s="390"/>
      <c r="D7144" s="391"/>
      <c r="E7144" s="390"/>
      <c r="F7144" s="391"/>
      <c r="G7144" s="390"/>
      <c r="H7144" s="394"/>
    </row>
    <row r="7145" spans="1:8" ht="15.75" customHeight="1" x14ac:dyDescent="0.25">
      <c r="A7145" s="390" t="s">
        <v>30</v>
      </c>
      <c r="B7145" s="390"/>
      <c r="C7145" s="390"/>
      <c r="D7145" s="391"/>
      <c r="E7145" s="390"/>
      <c r="F7145" s="391"/>
      <c r="G7145" s="390"/>
      <c r="H7145" s="394"/>
    </row>
    <row r="7146" spans="1:8" ht="15.75" customHeight="1" x14ac:dyDescent="0.25">
      <c r="A7146" s="390"/>
      <c r="B7146" s="390"/>
      <c r="C7146" s="390"/>
      <c r="D7146" s="391"/>
      <c r="E7146" s="390"/>
      <c r="F7146" s="391"/>
      <c r="G7146" s="390"/>
      <c r="H7146" s="394"/>
    </row>
    <row r="7147" spans="1:8" ht="15.75" customHeight="1" x14ac:dyDescent="0.25">
      <c r="A7147" s="390" t="s">
        <v>31</v>
      </c>
      <c r="B7147" s="390"/>
      <c r="C7147" s="390"/>
      <c r="D7147" s="391"/>
      <c r="E7147" s="390"/>
      <c r="F7147" s="391"/>
      <c r="G7147" s="390"/>
      <c r="H7147" s="394"/>
    </row>
    <row r="7148" spans="1:8" ht="15.75" customHeight="1" x14ac:dyDescent="0.25">
      <c r="A7148" s="390" t="s">
        <v>32</v>
      </c>
      <c r="B7148" s="390"/>
      <c r="C7148" s="390"/>
      <c r="D7148" s="391"/>
      <c r="E7148" s="390"/>
      <c r="F7148" s="391"/>
      <c r="G7148" s="390"/>
      <c r="H7148" s="394"/>
    </row>
    <row r="7149" spans="1:8" ht="15.75" customHeight="1" x14ac:dyDescent="0.25">
      <c r="A7149" s="390"/>
      <c r="B7149" s="390"/>
      <c r="C7149" s="390"/>
      <c r="D7149" s="391"/>
      <c r="E7149" s="390"/>
      <c r="F7149" s="391"/>
      <c r="G7149" s="390"/>
      <c r="H7149" s="394"/>
    </row>
    <row r="7150" spans="1:8" ht="15.75" customHeight="1" x14ac:dyDescent="0.25">
      <c r="A7150" s="399" t="s">
        <v>33</v>
      </c>
      <c r="B7150" s="400" t="s">
        <v>6</v>
      </c>
      <c r="C7150" s="400"/>
      <c r="D7150" s="401" t="s">
        <v>37</v>
      </c>
      <c r="E7150" s="402" t="s">
        <v>38</v>
      </c>
      <c r="F7150" s="403" t="s">
        <v>7</v>
      </c>
      <c r="G7150" s="404" t="s">
        <v>43</v>
      </c>
      <c r="H7150" s="405" t="s">
        <v>44</v>
      </c>
    </row>
    <row r="7151" spans="1:8" ht="15.75" customHeight="1" x14ac:dyDescent="0.25">
      <c r="A7151" s="406"/>
      <c r="B7151" s="407"/>
      <c r="C7151" s="393"/>
      <c r="D7151" s="408"/>
      <c r="E7151" s="408"/>
      <c r="F7151" s="409"/>
      <c r="G7151" s="410"/>
      <c r="H7151" s="411"/>
    </row>
    <row r="7152" spans="1:8" ht="15.75" customHeight="1" x14ac:dyDescent="0.25">
      <c r="A7152" s="556"/>
      <c r="B7152" s="557" t="s">
        <v>1102</v>
      </c>
      <c r="C7152" s="558"/>
      <c r="D7152" s="408"/>
      <c r="E7152" s="408"/>
      <c r="F7152" s="398"/>
      <c r="G7152" s="408"/>
      <c r="H7152" s="559"/>
    </row>
    <row r="7153" spans="1:8" ht="15.75" customHeight="1" x14ac:dyDescent="0.25">
      <c r="A7153" s="425"/>
      <c r="B7153" s="448"/>
      <c r="C7153" s="507"/>
      <c r="D7153" s="427"/>
      <c r="E7153" s="427"/>
      <c r="F7153" s="391"/>
      <c r="G7153" s="427"/>
      <c r="H7153" s="429"/>
    </row>
    <row r="7154" spans="1:8" ht="15.75" customHeight="1" x14ac:dyDescent="0.25">
      <c r="A7154" s="425" t="s">
        <v>55</v>
      </c>
      <c r="B7154" s="448" t="s">
        <v>673</v>
      </c>
      <c r="C7154" s="507"/>
      <c r="D7154" s="427">
        <v>3</v>
      </c>
      <c r="E7154" s="427">
        <v>5</v>
      </c>
      <c r="F7154" s="391">
        <f>+E7154*D7154</f>
      </c>
      <c r="G7154" s="427">
        <v>1</v>
      </c>
      <c r="H7154" s="429">
        <f>+G7154*F7154</f>
      </c>
    </row>
    <row r="7155" spans="1:8" ht="15.75" customHeight="1" x14ac:dyDescent="0.25">
      <c r="A7155" s="425"/>
      <c r="B7155" s="448"/>
      <c r="C7155" s="507"/>
      <c r="D7155" s="427"/>
      <c r="E7155" s="427"/>
      <c r="F7155" s="391"/>
      <c r="G7155" s="427"/>
      <c r="H7155" s="429"/>
    </row>
    <row r="7156" spans="1:8" ht="15.75" customHeight="1" x14ac:dyDescent="0.25">
      <c r="A7156" s="502"/>
      <c r="B7156" s="503"/>
      <c r="C7156" s="390"/>
      <c r="D7156" s="427"/>
      <c r="E7156" s="427"/>
      <c r="F7156" s="391"/>
      <c r="G7156" s="427"/>
      <c r="H7156" s="429"/>
    </row>
    <row r="7157" spans="1:8" ht="15.75" customHeight="1" x14ac:dyDescent="0.25">
      <c r="A7157" s="502"/>
      <c r="B7157" s="503"/>
      <c r="C7157" s="390"/>
      <c r="D7157" s="427"/>
      <c r="E7157" s="427"/>
      <c r="F7157" s="391"/>
      <c r="G7157" s="427"/>
      <c r="H7157" s="429"/>
    </row>
    <row r="7158" spans="1:8" ht="15.75" customHeight="1" x14ac:dyDescent="0.25">
      <c r="A7158" s="425"/>
      <c r="B7158" s="557"/>
      <c r="C7158" s="560"/>
      <c r="D7158" s="427"/>
      <c r="E7158" s="427"/>
      <c r="F7158" s="391"/>
      <c r="G7158" s="427"/>
      <c r="H7158" s="429"/>
    </row>
    <row r="7159" spans="1:8" ht="15.75" customHeight="1" x14ac:dyDescent="0.25">
      <c r="A7159" s="502"/>
      <c r="B7159" s="503"/>
      <c r="C7159" s="777"/>
      <c r="D7159" s="427"/>
      <c r="E7159" s="427"/>
      <c r="F7159" s="391"/>
      <c r="G7159" s="427"/>
      <c r="H7159" s="429"/>
    </row>
    <row r="7160" spans="1:8" ht="15.75" customHeight="1" x14ac:dyDescent="0.25">
      <c r="A7160" s="502"/>
      <c r="B7160" s="503"/>
      <c r="C7160" s="390"/>
      <c r="D7160" s="427"/>
      <c r="E7160" s="427"/>
      <c r="F7160" s="391"/>
      <c r="G7160" s="671"/>
      <c r="H7160" s="429"/>
    </row>
    <row r="7161" spans="1:8" ht="15.75" customHeight="1" x14ac:dyDescent="0.25">
      <c r="A7161" s="502"/>
      <c r="B7161" s="503"/>
      <c r="C7161" s="390"/>
      <c r="D7161" s="427"/>
      <c r="E7161" s="427"/>
      <c r="F7161" s="391"/>
      <c r="G7161" s="427"/>
      <c r="H7161" s="429"/>
    </row>
    <row r="7162" spans="1:8" ht="15.75" customHeight="1" x14ac:dyDescent="0.25">
      <c r="A7162" s="432"/>
      <c r="B7162" s="433"/>
      <c r="C7162" s="434" t="s">
        <v>85</v>
      </c>
      <c r="D7162" s="435">
        <f>SUM(D7153:D7161)</f>
      </c>
      <c r="E7162" s="435"/>
      <c r="F7162" s="436"/>
      <c r="G7162" s="437"/>
      <c r="H7162" s="438">
        <f>SUM(H7153:H7161)</f>
      </c>
    </row>
    <row r="7163" spans="1:8" ht="15.75" customHeight="1" x14ac:dyDescent="0.25">
      <c r="A7163" s="439"/>
      <c r="B7163" s="440"/>
      <c r="C7163" s="440"/>
      <c r="D7163" s="441"/>
      <c r="E7163" s="440"/>
      <c r="F7163" s="442"/>
      <c r="G7163" s="443"/>
      <c r="H7163" s="444"/>
    </row>
    <row r="7164" spans="1:8" ht="15.75" customHeight="1" x14ac:dyDescent="0.25">
      <c r="A7164" s="565" t="s">
        <v>1215</v>
      </c>
      <c r="B7164" s="565"/>
      <c r="C7164" s="565"/>
      <c r="D7164" s="565"/>
      <c r="E7164" s="565"/>
      <c r="F7164" s="565"/>
      <c r="G7164" s="565"/>
      <c r="H7164" s="565"/>
    </row>
    <row r="7165" spans="1:8" ht="15.75" customHeight="1" x14ac:dyDescent="0.25">
      <c r="A7165" s="445"/>
      <c r="B7165" s="445"/>
      <c r="C7165" s="445"/>
      <c r="D7165" s="446" t="s">
        <v>97</v>
      </c>
      <c r="E7165" s="445" t="s">
        <v>98</v>
      </c>
      <c r="F7165" s="445"/>
      <c r="G7165" s="390"/>
      <c r="H7165" s="394"/>
    </row>
    <row r="7166" spans="1:8" ht="15.75" customHeight="1" x14ac:dyDescent="0.25">
      <c r="A7166" s="390"/>
      <c r="B7166" s="390"/>
      <c r="C7166" s="390"/>
      <c r="D7166" s="391"/>
      <c r="E7166" s="390"/>
      <c r="F7166" s="390"/>
      <c r="G7166" s="390"/>
      <c r="H7166" s="394"/>
    </row>
    <row r="7167" spans="1:8" ht="15.75" customHeight="1" x14ac:dyDescent="0.25">
      <c r="A7167" s="390"/>
      <c r="B7167" s="390"/>
      <c r="C7167" s="390"/>
      <c r="D7167" s="391"/>
      <c r="E7167" s="390"/>
      <c r="F7167" s="390"/>
      <c r="G7167" s="390"/>
      <c r="H7167" s="394"/>
    </row>
    <row r="7168" spans="1:8" ht="15.75" customHeight="1" x14ac:dyDescent="0.25">
      <c r="A7168" s="445"/>
      <c r="B7168" s="445"/>
      <c r="C7168" s="445"/>
      <c r="D7168" s="446"/>
      <c r="E7168" s="445" t="s">
        <v>99</v>
      </c>
      <c r="F7168" s="445"/>
      <c r="G7168" s="390"/>
      <c r="H7168" s="394"/>
    </row>
    <row r="7169" spans="1:8" ht="15.75" customHeight="1" x14ac:dyDescent="0.25">
      <c r="D7169" s="4"/>
      <c r="H7169" s="4"/>
    </row>
    <row r="7170" spans="1:8" ht="15.75" customHeight="1" x14ac:dyDescent="0.25">
      <c r="D7170" s="4"/>
      <c r="H7170" s="4"/>
    </row>
    <row r="7171" spans="1:8" ht="15.75" customHeight="1" x14ac:dyDescent="0.25">
      <c r="D7171" s="4"/>
      <c r="H7171" s="4"/>
    </row>
    <row r="7172" spans="1:8" ht="15.75" customHeight="1" x14ac:dyDescent="0.25">
      <c r="D7172" s="4"/>
      <c r="H7172" s="4"/>
    </row>
    <row r="7173" spans="1:8" ht="15.75" customHeight="1" x14ac:dyDescent="0.25">
      <c r="D7173" s="4"/>
      <c r="H7173" s="4"/>
    </row>
    <row r="7174" spans="1:8" ht="15.75" customHeight="1" x14ac:dyDescent="0.25">
      <c r="D7174" s="4"/>
      <c r="H7174" s="4"/>
    </row>
    <row r="7175" spans="1:8" ht="15.75" customHeight="1" x14ac:dyDescent="0.25">
      <c r="D7175" s="4"/>
      <c r="H7175" s="4"/>
    </row>
    <row r="7176" spans="1:8" ht="15.75" customHeight="1" x14ac:dyDescent="0.25">
      <c r="D7176" s="4"/>
      <c r="H7176" s="4"/>
    </row>
    <row r="7177" spans="1:8" ht="15.75" customHeight="1" x14ac:dyDescent="0.25">
      <c r="D7177" s="4"/>
      <c r="H7177" s="4"/>
    </row>
    <row r="7178" spans="1:8" ht="15.75" customHeight="1" x14ac:dyDescent="0.25">
      <c r="D7178" s="4"/>
      <c r="H7178" s="4"/>
    </row>
    <row r="7179" spans="1:8" ht="15.75" customHeight="1" x14ac:dyDescent="0.25">
      <c r="D7179" s="4"/>
      <c r="H7179" s="4"/>
    </row>
    <row r="7180" spans="1:8" ht="15.75" customHeight="1" x14ac:dyDescent="0.25">
      <c r="D7180" s="4"/>
      <c r="H7180" s="4"/>
    </row>
    <row r="7181" spans="1:8" ht="15.75" customHeight="1" x14ac:dyDescent="0.25">
      <c r="D7181" s="4"/>
      <c r="H7181" s="4"/>
    </row>
    <row r="7182" spans="1:8" ht="15.75" customHeight="1" x14ac:dyDescent="0.25">
      <c r="A7182" s="398" t="s">
        <v>14</v>
      </c>
      <c r="B7182" s="398"/>
      <c r="C7182" s="398"/>
      <c r="D7182" s="398"/>
      <c r="E7182" s="398"/>
      <c r="F7182" s="398"/>
      <c r="G7182" s="398"/>
      <c r="H7182" s="398"/>
    </row>
    <row r="7183" spans="1:8" ht="15.75" customHeight="1" x14ac:dyDescent="0.25">
      <c r="A7183" s="390"/>
      <c r="B7183" s="390"/>
      <c r="C7183" s="390"/>
      <c r="D7183" s="391"/>
      <c r="E7183" s="390"/>
      <c r="F7183" s="390"/>
      <c r="G7183" s="390"/>
      <c r="H7183" s="398"/>
    </row>
    <row r="7184" spans="1:8" ht="15.75" customHeight="1" x14ac:dyDescent="0.25">
      <c r="A7184" s="390"/>
      <c r="B7184" s="390"/>
      <c r="C7184" s="391"/>
      <c r="D7184" s="392"/>
      <c r="E7184" s="393"/>
      <c r="F7184" s="393"/>
      <c r="G7184" s="393"/>
      <c r="H7184" s="394"/>
    </row>
    <row r="7185" spans="1:8" ht="15.75" customHeight="1" x14ac:dyDescent="0.25">
      <c r="A7185" s="390"/>
      <c r="B7185" s="390"/>
      <c r="C7185" s="390"/>
      <c r="D7185" s="391"/>
      <c r="E7185" s="390"/>
      <c r="F7185" s="395" t="s">
        <v>18</v>
      </c>
      <c r="G7185" s="396" t="s">
        <v>894</v>
      </c>
      <c r="H7185" s="397"/>
    </row>
    <row r="7186" spans="1:8" ht="15.75" customHeight="1" x14ac:dyDescent="0.25">
      <c r="A7186" s="390" t="s">
        <v>20</v>
      </c>
      <c r="B7186" s="390"/>
      <c r="C7186" s="390"/>
      <c r="D7186" s="391"/>
      <c r="E7186" s="390"/>
      <c r="F7186" s="395" t="s">
        <v>21</v>
      </c>
      <c r="G7186" s="390" t="s">
        <v>1765</v>
      </c>
      <c r="H7186" s="391"/>
    </row>
    <row r="7187" spans="1:8" ht="15.75" customHeight="1" x14ac:dyDescent="0.25">
      <c r="A7187" s="390" t="inlineStr">
        <is>
          <t>Dealer-009</t>
        </is>
      </c>
      <c r="B7187" s="390"/>
      <c r="C7187" s="390" t="inlineStr">
        <is>
          <t>ATTN: Contact-001</t>
        </is>
      </c>
      <c r="D7187" s="391"/>
      <c r="E7187" s="395"/>
      <c r="F7187" s="390"/>
      <c r="G7187" s="390"/>
      <c r="H7187" s="394"/>
    </row>
    <row r="7188" spans="1:8" ht="15.75" customHeight="1" x14ac:dyDescent="0.25">
      <c r="A7188" s="390" t="inlineStr">
        <is>
          <t>Address line (redacted)</t>
        </is>
      </c>
      <c r="B7188" s="390"/>
      <c r="C7188" s="390"/>
      <c r="D7188" s="398"/>
      <c r="E7188" s="390"/>
      <c r="F7188" s="391"/>
      <c r="G7188" s="390"/>
      <c r="H7188" s="394"/>
    </row>
    <row r="7189" spans="1:8" ht="15.75" customHeight="1" x14ac:dyDescent="0.25">
      <c r="A7189" s="390" t="inlineStr">
        <is>
          <t>Address line (redacted)</t>
        </is>
      </c>
      <c r="B7189" s="390"/>
      <c r="C7189" s="390"/>
      <c r="D7189" s="398"/>
      <c r="E7189" s="390"/>
      <c r="F7189" s="391"/>
      <c r="G7189" s="390"/>
      <c r="H7189" s="394"/>
    </row>
    <row r="7190" spans="1:8" ht="15.75" customHeight="1" x14ac:dyDescent="0.25">
      <c r="A7190" s="447"/>
      <c r="B7190" s="390"/>
      <c r="C7190" s="390"/>
      <c r="D7190" s="391"/>
      <c r="E7190" s="390"/>
      <c r="F7190" s="391"/>
      <c r="G7190" s="390"/>
      <c r="H7190" s="394"/>
    </row>
    <row r="7191" spans="1:8" ht="15.75" customHeight="1" x14ac:dyDescent="0.25">
      <c r="A7191" s="390" t="s">
        <v>30</v>
      </c>
      <c r="B7191" s="390"/>
      <c r="C7191" s="390"/>
      <c r="D7191" s="391"/>
      <c r="E7191" s="390"/>
      <c r="F7191" s="391"/>
      <c r="G7191" s="390"/>
      <c r="H7191" s="394"/>
    </row>
    <row r="7192" spans="1:8" ht="15.75" customHeight="1" x14ac:dyDescent="0.25">
      <c r="A7192" s="390"/>
      <c r="B7192" s="390"/>
      <c r="C7192" s="390"/>
      <c r="D7192" s="391"/>
      <c r="E7192" s="390"/>
      <c r="F7192" s="391"/>
      <c r="G7192" s="390"/>
      <c r="H7192" s="394"/>
    </row>
    <row r="7193" spans="1:8" ht="15.75" customHeight="1" x14ac:dyDescent="0.25">
      <c r="A7193" s="390" t="s">
        <v>31</v>
      </c>
      <c r="B7193" s="390"/>
      <c r="C7193" s="390"/>
      <c r="D7193" s="391"/>
      <c r="E7193" s="390"/>
      <c r="F7193" s="391"/>
      <c r="G7193" s="390"/>
      <c r="H7193" s="394"/>
    </row>
    <row r="7194" spans="1:8" ht="15.75" customHeight="1" x14ac:dyDescent="0.25">
      <c r="A7194" s="390" t="s">
        <v>32</v>
      </c>
      <c r="B7194" s="390"/>
      <c r="C7194" s="390"/>
      <c r="D7194" s="391"/>
      <c r="E7194" s="390"/>
      <c r="F7194" s="391"/>
      <c r="G7194" s="390"/>
      <c r="H7194" s="394"/>
    </row>
    <row r="7195" spans="1:8" ht="15.75" customHeight="1" x14ac:dyDescent="0.25">
      <c r="A7195" s="390"/>
      <c r="B7195" s="390"/>
      <c r="C7195" s="390"/>
      <c r="D7195" s="391"/>
      <c r="E7195" s="390"/>
      <c r="F7195" s="391"/>
      <c r="G7195" s="390"/>
      <c r="H7195" s="394"/>
    </row>
    <row r="7196" spans="1:8" ht="15.75" customHeight="1" x14ac:dyDescent="0.25">
      <c r="A7196" s="399" t="s">
        <v>33</v>
      </c>
      <c r="B7196" s="400" t="s">
        <v>6</v>
      </c>
      <c r="C7196" s="400"/>
      <c r="D7196" s="401" t="s">
        <v>37</v>
      </c>
      <c r="E7196" s="402" t="s">
        <v>38</v>
      </c>
      <c r="F7196" s="403" t="s">
        <v>7</v>
      </c>
      <c r="G7196" s="404" t="s">
        <v>43</v>
      </c>
      <c r="H7196" s="405" t="s">
        <v>44</v>
      </c>
    </row>
    <row r="7197" spans="1:8" ht="15.75" customHeight="1" x14ac:dyDescent="0.25">
      <c r="A7197" s="406"/>
      <c r="B7197" s="407"/>
      <c r="C7197" s="393"/>
      <c r="D7197" s="408"/>
      <c r="E7197" s="408"/>
      <c r="F7197" s="409"/>
      <c r="G7197" s="410"/>
      <c r="H7197" s="411"/>
    </row>
    <row r="7198" spans="1:8" ht="15.75" customHeight="1" x14ac:dyDescent="0.25">
      <c r="A7198" s="556"/>
      <c r="B7198" s="557" t="s">
        <v>1102</v>
      </c>
      <c r="C7198" s="558"/>
      <c r="D7198" s="408"/>
      <c r="E7198" s="408"/>
      <c r="F7198" s="398"/>
      <c r="G7198" s="408"/>
      <c r="H7198" s="559"/>
    </row>
    <row r="7199" spans="1:8" ht="15.75" customHeight="1" x14ac:dyDescent="0.25">
      <c r="A7199" s="425" t="s">
        <v>55</v>
      </c>
      <c r="B7199" s="448" t="s">
        <v>1766</v>
      </c>
      <c r="C7199" s="507" t="s">
        <v>25</v>
      </c>
      <c r="D7199" s="427">
        <v>13</v>
      </c>
      <c r="E7199" s="427">
        <v>5</v>
      </c>
      <c r="F7199" s="391">
        <f t="shared" ref="F7199:F7203" si="209">+E7199*D7199</f>
      </c>
      <c r="G7199" s="427">
        <v>1</v>
      </c>
      <c r="H7199" s="429">
        <f t="shared" ref="H7199:H7203" si="210">+G7199*F7199</f>
      </c>
    </row>
    <row r="7200" spans="1:8" ht="15.75" customHeight="1" x14ac:dyDescent="0.25">
      <c r="A7200" s="425" t="s">
        <v>59</v>
      </c>
      <c r="B7200" s="448" t="s">
        <v>45</v>
      </c>
      <c r="C7200" s="507" t="s">
        <v>41</v>
      </c>
      <c r="D7200" s="427">
        <v>4</v>
      </c>
      <c r="E7200" s="427">
        <v>5</v>
      </c>
      <c r="F7200" s="391">
        <f t="shared" si="209"/>
      </c>
      <c r="G7200" s="427">
        <v>1</v>
      </c>
      <c r="H7200" s="429">
        <f t="shared" si="210"/>
      </c>
    </row>
    <row r="7201" spans="1:8" ht="15.75" customHeight="1" x14ac:dyDescent="0.25">
      <c r="A7201" s="425" t="s">
        <v>67</v>
      </c>
      <c r="B7201" s="448" t="s">
        <v>1767</v>
      </c>
      <c r="C7201" s="507" t="s">
        <v>87</v>
      </c>
      <c r="D7201" s="427">
        <v>2</v>
      </c>
      <c r="E7201" s="427">
        <v>5</v>
      </c>
      <c r="F7201" s="391">
        <f t="shared" si="209"/>
      </c>
      <c r="G7201" s="427">
        <v>1</v>
      </c>
      <c r="H7201" s="429">
        <f t="shared" si="210"/>
      </c>
    </row>
    <row r="7202" spans="1:8" ht="15.75" customHeight="1" x14ac:dyDescent="0.25">
      <c r="A7202" s="425" t="s">
        <v>485</v>
      </c>
      <c r="B7202" s="448" t="s">
        <v>1768</v>
      </c>
      <c r="C7202" s="507" t="s">
        <v>1512</v>
      </c>
      <c r="D7202" s="427">
        <v>5</v>
      </c>
      <c r="E7202" s="427">
        <v>10</v>
      </c>
      <c r="F7202" s="391">
        <f t="shared" si="209"/>
      </c>
      <c r="G7202" s="427">
        <v>1</v>
      </c>
      <c r="H7202" s="429">
        <f t="shared" si="210"/>
      </c>
    </row>
    <row r="7203" spans="1:8" ht="15.75" customHeight="1" x14ac:dyDescent="0.25">
      <c r="A7203" s="425" t="s">
        <v>486</v>
      </c>
      <c r="B7203" s="448" t="s">
        <v>1768</v>
      </c>
      <c r="C7203" s="507" t="s">
        <v>1481</v>
      </c>
      <c r="D7203" s="427">
        <v>3</v>
      </c>
      <c r="E7203" s="427">
        <v>10</v>
      </c>
      <c r="F7203" s="391">
        <f t="shared" si="209"/>
      </c>
      <c r="G7203" s="427">
        <v>1</v>
      </c>
      <c r="H7203" s="429">
        <f t="shared" si="210"/>
      </c>
    </row>
    <row r="7204" spans="1:8" ht="15.75" customHeight="1" x14ac:dyDescent="0.25">
      <c r="A7204" s="425"/>
      <c r="B7204" s="557" t="s">
        <v>1769</v>
      </c>
      <c r="C7204" s="558"/>
      <c r="D7204" s="427"/>
      <c r="E7204" s="427"/>
      <c r="F7204" s="391"/>
      <c r="G7204" s="427"/>
      <c r="H7204" s="429"/>
    </row>
    <row r="7205" spans="1:8" ht="15.75" customHeight="1" x14ac:dyDescent="0.25">
      <c r="A7205" s="425" t="s">
        <v>489</v>
      </c>
      <c r="B7205" s="448" t="s">
        <v>1770</v>
      </c>
      <c r="C7205" s="507" t="s">
        <v>1512</v>
      </c>
      <c r="D7205" s="427">
        <v>5</v>
      </c>
      <c r="E7205" s="427">
        <v>10</v>
      </c>
      <c r="F7205" s="391">
        <f>+E7205*D7205</f>
      </c>
      <c r="G7205" s="427">
        <v>1</v>
      </c>
      <c r="H7205" s="429">
        <f>+G7205*F7205</f>
      </c>
    </row>
    <row r="7206" spans="1:8" ht="15.75" customHeight="1" x14ac:dyDescent="0.25">
      <c r="A7206" s="425"/>
      <c r="B7206" s="557" t="s">
        <v>50</v>
      </c>
      <c r="C7206" s="558"/>
      <c r="D7206" s="427"/>
      <c r="E7206" s="427"/>
      <c r="F7206" s="391"/>
      <c r="G7206" s="427"/>
      <c r="H7206" s="429"/>
    </row>
    <row r="7207" spans="1:8" ht="15.75" customHeight="1" x14ac:dyDescent="0.25">
      <c r="A7207" s="502" t="s">
        <v>490</v>
      </c>
      <c r="B7207" s="503" t="s">
        <v>1771</v>
      </c>
      <c r="C7207" s="390" t="s">
        <v>109</v>
      </c>
      <c r="D7207" s="427">
        <v>24</v>
      </c>
      <c r="E7207" s="427">
        <v>25</v>
      </c>
      <c r="F7207" s="391">
        <f t="shared" ref="F7207:F7210" si="211">+E7207*D7207</f>
      </c>
      <c r="G7207" s="427">
        <v>1</v>
      </c>
      <c r="H7207" s="429">
        <f t="shared" ref="H7207:H7210" si="212">+G7207*F7207</f>
      </c>
    </row>
    <row r="7208" spans="1:8" ht="15.75" customHeight="1" x14ac:dyDescent="0.25">
      <c r="A7208" s="502" t="s">
        <v>781</v>
      </c>
      <c r="B7208" s="503" t="s">
        <v>226</v>
      </c>
      <c r="C7208" s="390" t="s">
        <v>427</v>
      </c>
      <c r="D7208" s="427">
        <v>3</v>
      </c>
      <c r="E7208" s="427">
        <v>25</v>
      </c>
      <c r="F7208" s="391">
        <f t="shared" si="211"/>
      </c>
      <c r="G7208" s="427">
        <v>1</v>
      </c>
      <c r="H7208" s="429">
        <f t="shared" si="212"/>
      </c>
    </row>
    <row r="7209" spans="1:8" ht="15.75" customHeight="1" x14ac:dyDescent="0.25">
      <c r="A7209" s="502" t="s">
        <v>785</v>
      </c>
      <c r="B7209" s="503" t="s">
        <v>68</v>
      </c>
      <c r="C7209" s="390" t="s">
        <v>69</v>
      </c>
      <c r="D7209" s="427">
        <v>4</v>
      </c>
      <c r="E7209" s="427">
        <v>25</v>
      </c>
      <c r="F7209" s="391">
        <f t="shared" si="211"/>
      </c>
      <c r="G7209" s="427">
        <v>1</v>
      </c>
      <c r="H7209" s="429">
        <f t="shared" si="212"/>
      </c>
    </row>
    <row r="7210" spans="1:8" ht="15.75" customHeight="1" x14ac:dyDescent="0.25">
      <c r="A7210" s="502" t="s">
        <v>787</v>
      </c>
      <c r="B7210" s="503" t="s">
        <v>1772</v>
      </c>
      <c r="C7210" s="390" t="s">
        <v>435</v>
      </c>
      <c r="D7210" s="427">
        <v>4</v>
      </c>
      <c r="E7210" s="427">
        <v>25</v>
      </c>
      <c r="F7210" s="391">
        <f t="shared" si="211"/>
      </c>
      <c r="G7210" s="427">
        <v>1</v>
      </c>
      <c r="H7210" s="429">
        <f t="shared" si="212"/>
      </c>
    </row>
    <row r="7211" spans="1:8" ht="15.75" customHeight="1" x14ac:dyDescent="0.25">
      <c r="A7211" s="425"/>
      <c r="B7211" s="557" t="s">
        <v>73</v>
      </c>
      <c r="C7211" s="560"/>
      <c r="D7211" s="427"/>
      <c r="E7211" s="427"/>
      <c r="F7211" s="391"/>
      <c r="G7211" s="427"/>
      <c r="H7211" s="429"/>
    </row>
    <row r="7212" spans="1:8" ht="15.75" customHeight="1" x14ac:dyDescent="0.25">
      <c r="A7212" s="502" t="s">
        <v>790</v>
      </c>
      <c r="B7212" s="503" t="s">
        <v>1773</v>
      </c>
      <c r="C7212" s="777"/>
      <c r="D7212" s="633">
        <v>1</v>
      </c>
      <c r="E7212" s="427">
        <v>300</v>
      </c>
      <c r="F7212" s="391">
        <f>+E7212*D7212</f>
      </c>
      <c r="G7212" s="427">
        <v>1</v>
      </c>
      <c r="H7212" s="429">
        <f t="shared" ref="H7212:H7213" si="213">+G7212*F7212</f>
      </c>
    </row>
    <row r="7213" spans="1:8" ht="15.75" customHeight="1" x14ac:dyDescent="0.25">
      <c r="A7213" s="502" t="s">
        <v>792</v>
      </c>
      <c r="B7213" s="503" t="s">
        <v>1775</v>
      </c>
      <c r="C7213" s="390"/>
      <c r="D7213" s="633"/>
      <c r="E7213" s="427">
        <v>100</v>
      </c>
      <c r="F7213" s="391">
        <v>100</v>
      </c>
      <c r="G7213" s="427">
        <v>1</v>
      </c>
      <c r="H7213" s="429">
        <f t="shared" si="213"/>
      </c>
    </row>
    <row r="7214" spans="1:8" ht="15.75" customHeight="1" x14ac:dyDescent="0.25">
      <c r="A7214" s="502"/>
      <c r="B7214" s="557" t="s">
        <v>1329</v>
      </c>
      <c r="C7214" s="560"/>
      <c r="D7214" s="633"/>
      <c r="E7214" s="427"/>
      <c r="F7214" s="391"/>
      <c r="G7214" s="427"/>
      <c r="H7214" s="429"/>
    </row>
    <row r="7215" spans="1:8" ht="15.75" customHeight="1" x14ac:dyDescent="0.25">
      <c r="A7215" s="502" t="s">
        <v>796</v>
      </c>
      <c r="B7215" s="503" t="s">
        <v>1512</v>
      </c>
      <c r="C7215" s="390"/>
      <c r="D7215" s="427">
        <v>2</v>
      </c>
      <c r="E7215" s="427">
        <v>100</v>
      </c>
      <c r="F7215" s="391">
        <f t="shared" ref="F7215:F7216" si="214">+E7215*D7215</f>
      </c>
      <c r="G7215" s="427">
        <v>1</v>
      </c>
      <c r="H7215" s="429">
        <f t="shared" ref="H7215:H7216" si="215">+G7215*F7215</f>
      </c>
    </row>
    <row r="7216" spans="1:8" ht="15.75" customHeight="1" x14ac:dyDescent="0.25">
      <c r="A7216" s="502" t="s">
        <v>1571</v>
      </c>
      <c r="B7216" s="503" t="s">
        <v>260</v>
      </c>
      <c r="C7216" s="390"/>
      <c r="D7216" s="633">
        <v>1</v>
      </c>
      <c r="E7216" s="427">
        <v>150</v>
      </c>
      <c r="F7216" s="391">
        <f t="shared" si="214"/>
      </c>
      <c r="G7216" s="427">
        <v>1</v>
      </c>
      <c r="H7216" s="429">
        <f t="shared" si="215"/>
      </c>
    </row>
    <row r="7217" spans="1:8" ht="15.75" customHeight="1" x14ac:dyDescent="0.25">
      <c r="A7217" s="502"/>
      <c r="B7217" s="503"/>
      <c r="C7217" s="390"/>
      <c r="D7217" s="633"/>
      <c r="E7217" s="427"/>
      <c r="F7217" s="391"/>
      <c r="G7217" s="427"/>
      <c r="H7217" s="429"/>
    </row>
    <row r="7218" spans="1:8" ht="15.75" customHeight="1" x14ac:dyDescent="0.25">
      <c r="A7218" s="502"/>
      <c r="B7218" s="503"/>
      <c r="C7218" s="390"/>
      <c r="D7218" s="427"/>
      <c r="E7218" s="427"/>
      <c r="F7218" s="391"/>
      <c r="G7218" s="427"/>
      <c r="H7218" s="429"/>
    </row>
    <row r="7219" spans="1:8" ht="15.75" customHeight="1" x14ac:dyDescent="0.25">
      <c r="A7219" s="432"/>
      <c r="B7219" s="433"/>
      <c r="C7219" s="434" t="s">
        <v>85</v>
      </c>
      <c r="D7219" s="435">
        <f>SUM(D7199:D7218)</f>
      </c>
      <c r="E7219" s="435"/>
      <c r="F7219" s="436"/>
      <c r="G7219" s="437"/>
      <c r="H7219" s="438">
        <f>SUM(H7199:H7218)</f>
      </c>
    </row>
    <row r="7220" spans="1:8" ht="15.75" customHeight="1" x14ac:dyDescent="0.25">
      <c r="A7220" s="439"/>
      <c r="B7220" s="440"/>
      <c r="C7220" s="440"/>
      <c r="D7220" s="441"/>
      <c r="E7220" s="440"/>
      <c r="F7220" s="442"/>
      <c r="G7220" s="443"/>
      <c r="H7220" s="444"/>
    </row>
    <row r="7221" spans="1:8" ht="15.75" customHeight="1" x14ac:dyDescent="0.25">
      <c r="A7221" s="565" t="s">
        <v>1215</v>
      </c>
      <c r="B7221" s="565"/>
      <c r="C7221" s="565"/>
      <c r="D7221" s="565"/>
      <c r="E7221" s="565"/>
      <c r="F7221" s="565"/>
      <c r="G7221" s="565"/>
      <c r="H7221" s="565"/>
    </row>
    <row r="7222" spans="1:8" ht="15.75" customHeight="1" x14ac:dyDescent="0.25">
      <c r="A7222" s="445"/>
      <c r="B7222" s="445"/>
      <c r="C7222" s="445"/>
      <c r="D7222" s="446" t="s">
        <v>97</v>
      </c>
      <c r="E7222" s="445" t="s">
        <v>98</v>
      </c>
      <c r="F7222" s="445"/>
      <c r="G7222" s="390"/>
      <c r="H7222" s="394"/>
    </row>
    <row r="7223" spans="1:8" ht="15.75" customHeight="1" x14ac:dyDescent="0.25">
      <c r="A7223" s="390"/>
      <c r="B7223" s="390"/>
      <c r="C7223" s="390"/>
      <c r="D7223" s="391"/>
      <c r="E7223" s="390"/>
      <c r="F7223" s="390"/>
      <c r="G7223" s="390"/>
      <c r="H7223" s="394"/>
    </row>
    <row r="7224" spans="1:8" ht="15.75" customHeight="1" x14ac:dyDescent="0.25">
      <c r="A7224" s="390"/>
      <c r="B7224" s="390"/>
      <c r="C7224" s="390"/>
      <c r="D7224" s="391"/>
      <c r="E7224" s="390"/>
      <c r="F7224" s="390"/>
      <c r="G7224" s="390"/>
      <c r="H7224" s="394"/>
    </row>
    <row r="7225" spans="1:8" ht="15.75" customHeight="1" x14ac:dyDescent="0.25">
      <c r="A7225" s="445"/>
      <c r="B7225" s="445"/>
      <c r="C7225" s="445"/>
      <c r="D7225" s="446"/>
      <c r="E7225" s="445" t="s">
        <v>99</v>
      </c>
      <c r="F7225" s="445"/>
      <c r="G7225" s="390"/>
      <c r="H7225" s="394"/>
    </row>
    <row r="7226" spans="1:8" ht="15.75" customHeight="1" x14ac:dyDescent="0.25">
      <c r="D7226" s="4"/>
      <c r="H7226" s="4"/>
    </row>
    <row r="7227" spans="1:8" ht="15.75" customHeight="1" x14ac:dyDescent="0.25">
      <c r="D7227" s="4"/>
      <c r="H7227" s="4"/>
    </row>
    <row r="7228" spans="1:8" ht="15.75" customHeight="1" x14ac:dyDescent="0.25">
      <c r="A7228" s="392" t="s">
        <v>14</v>
      </c>
      <c r="B7228" s="391"/>
      <c r="C7228" s="391"/>
      <c r="D7228" s="391"/>
      <c r="E7228" s="391"/>
      <c r="F7228" s="391"/>
      <c r="G7228" s="391"/>
      <c r="H7228" s="394"/>
    </row>
    <row r="7229" spans="1:8" ht="15.75" customHeight="1" x14ac:dyDescent="0.25">
      <c r="A7229" s="392"/>
      <c r="B7229" s="391"/>
      <c r="C7229" s="391"/>
      <c r="D7229" s="391"/>
      <c r="E7229" s="390"/>
      <c r="F7229" s="392"/>
      <c r="G7229" s="390"/>
      <c r="H7229" s="394"/>
    </row>
    <row r="7230" spans="1:8" ht="15.75" customHeight="1" x14ac:dyDescent="0.25">
      <c r="A7230" s="392"/>
      <c r="B7230" s="391"/>
      <c r="C7230" s="391"/>
      <c r="D7230" s="391"/>
      <c r="E7230" s="390"/>
      <c r="F7230" s="392"/>
      <c r="G7230" s="390"/>
      <c r="H7230" s="394"/>
    </row>
    <row r="7231" spans="1:8" ht="15.75" customHeight="1" x14ac:dyDescent="0.25">
      <c r="A7231" s="390" t="s">
        <v>20</v>
      </c>
      <c r="B7231" s="390"/>
      <c r="C7231" s="390"/>
      <c r="D7231" s="391"/>
      <c r="E7231" s="390"/>
      <c r="F7231" s="392"/>
      <c r="G7231" s="390"/>
      <c r="H7231" s="394"/>
    </row>
    <row r="7232" spans="1:8" ht="15.75" customHeight="1" x14ac:dyDescent="0.25">
      <c r="A7232" s="390" t="inlineStr">
        <is>
          <t>Dealer-003</t>
        </is>
      </c>
      <c r="B7232" s="390"/>
      <c r="C7232" s="390"/>
      <c r="D7232" s="391"/>
      <c r="E7232" s="390"/>
      <c r="F7232" s="395" t="s">
        <v>18</v>
      </c>
      <c r="G7232" s="390" t="s">
        <v>894</v>
      </c>
      <c r="H7232" s="394"/>
    </row>
    <row r="7233" spans="1:8" ht="15.75" customHeight="1" x14ac:dyDescent="0.25">
      <c r="A7233" s="390" t="inlineStr">
        <is>
          <t>Address line (redacted)</t>
        </is>
      </c>
      <c r="B7233" s="390"/>
      <c r="C7233" s="390"/>
      <c r="D7233" s="391"/>
      <c r="E7233" s="390"/>
      <c r="F7233" s="393" t="s">
        <v>21</v>
      </c>
      <c r="G7233" s="390" t="s">
        <v>1776</v>
      </c>
      <c r="H7233" s="394"/>
    </row>
    <row r="7234" spans="1:8" ht="15.75" customHeight="1" x14ac:dyDescent="0.25">
      <c r="A7234" s="390" t="inlineStr">
        <is>
          <t>Address line (redacted)</t>
        </is>
      </c>
      <c r="B7234" s="390"/>
      <c r="C7234" s="390"/>
      <c r="D7234" s="391"/>
      <c r="E7234" s="390"/>
      <c r="F7234" s="391"/>
      <c r="G7234" s="390"/>
      <c r="H7234" s="394"/>
    </row>
    <row r="7235" spans="1:8" ht="15.75" customHeight="1" x14ac:dyDescent="0.25">
      <c r="A7235" s="390"/>
      <c r="B7235" s="390"/>
      <c r="C7235" s="393"/>
      <c r="D7235" s="391"/>
      <c r="E7235" s="390"/>
      <c r="F7235" s="391"/>
      <c r="G7235" s="390"/>
      <c r="H7235" s="394"/>
    </row>
    <row r="7236" spans="1:8" ht="15.75" customHeight="1" x14ac:dyDescent="0.25">
      <c r="A7236" s="390"/>
      <c r="B7236" s="390"/>
      <c r="C7236" s="390"/>
      <c r="D7236" s="391"/>
      <c r="E7236" s="390"/>
      <c r="F7236" s="391"/>
      <c r="G7236" s="390"/>
      <c r="H7236" s="394"/>
    </row>
    <row r="7237" spans="1:8" ht="15.75" customHeight="1" x14ac:dyDescent="0.25">
      <c r="A7237" s="390" t="s">
        <v>30</v>
      </c>
      <c r="B7237" s="390"/>
      <c r="C7237" s="390"/>
      <c r="D7237" s="391"/>
      <c r="E7237" s="390"/>
      <c r="F7237" s="391"/>
      <c r="G7237" s="390"/>
      <c r="H7237" s="394"/>
    </row>
    <row r="7238" spans="1:8" ht="15.75" customHeight="1" x14ac:dyDescent="0.25">
      <c r="A7238" s="390"/>
      <c r="B7238" s="390"/>
      <c r="C7238" s="390"/>
      <c r="D7238" s="391"/>
      <c r="E7238" s="390"/>
      <c r="F7238" s="391"/>
      <c r="G7238" s="390"/>
      <c r="H7238" s="394"/>
    </row>
    <row r="7239" spans="1:8" ht="15.75" customHeight="1" x14ac:dyDescent="0.25">
      <c r="A7239" s="390" t="s">
        <v>1322</v>
      </c>
      <c r="B7239" s="390"/>
      <c r="C7239" s="390"/>
      <c r="D7239" s="391"/>
      <c r="E7239" s="390"/>
      <c r="F7239" s="391"/>
      <c r="G7239" s="390"/>
      <c r="H7239" s="394"/>
    </row>
    <row r="7240" spans="1:8" ht="15.75" customHeight="1" x14ac:dyDescent="0.25">
      <c r="A7240" s="390" t="s">
        <v>1328</v>
      </c>
      <c r="B7240" s="390"/>
      <c r="C7240" s="390"/>
      <c r="D7240" s="391"/>
      <c r="E7240" s="390"/>
      <c r="F7240" s="391"/>
      <c r="G7240" s="390"/>
      <c r="H7240" s="394"/>
    </row>
    <row r="7241" spans="1:8" ht="15.75" customHeight="1" x14ac:dyDescent="0.25">
      <c r="A7241" s="390"/>
      <c r="B7241" s="390"/>
      <c r="C7241" s="390"/>
      <c r="D7241" s="391"/>
      <c r="E7241" s="390"/>
      <c r="F7241" s="391"/>
      <c r="G7241" s="390"/>
      <c r="H7241" s="394"/>
    </row>
    <row r="7242" spans="1:8" ht="15.75" customHeight="1" x14ac:dyDescent="0.25">
      <c r="A7242" s="399" t="s">
        <v>33</v>
      </c>
      <c r="B7242" s="400" t="s">
        <v>6</v>
      </c>
      <c r="C7242" s="400"/>
      <c r="D7242" s="401" t="s">
        <v>37</v>
      </c>
      <c r="E7242" s="402" t="s">
        <v>1309</v>
      </c>
      <c r="F7242" s="609" t="s">
        <v>7</v>
      </c>
      <c r="G7242" s="400" t="s">
        <v>43</v>
      </c>
      <c r="H7242" s="405" t="s">
        <v>44</v>
      </c>
    </row>
    <row r="7243" spans="1:8" ht="15.75" customHeight="1" x14ac:dyDescent="0.25">
      <c r="A7243" s="610"/>
      <c r="B7243" s="611"/>
      <c r="C7243" s="611"/>
      <c r="D7243" s="612"/>
      <c r="E7243" s="613"/>
      <c r="F7243" s="614"/>
      <c r="G7243" s="611"/>
      <c r="H7243" s="615"/>
    </row>
    <row r="7244" spans="1:8" ht="15.75" customHeight="1" x14ac:dyDescent="0.25">
      <c r="A7244" s="780"/>
      <c r="B7244" s="654" t="s">
        <v>1102</v>
      </c>
      <c r="C7244" s="654"/>
      <c r="D7244" s="578"/>
      <c r="E7244" s="578"/>
      <c r="F7244" s="578"/>
      <c r="G7244" s="578"/>
      <c r="H7244" s="580"/>
    </row>
    <row r="7245" spans="1:8" ht="15.75" customHeight="1" x14ac:dyDescent="0.25">
      <c r="A7245" s="412" t="s">
        <v>55</v>
      </c>
      <c r="B7245" s="644" t="s">
        <v>1777</v>
      </c>
      <c r="C7245" s="420"/>
      <c r="D7245" s="415">
        <v>20</v>
      </c>
      <c r="E7245" s="415">
        <v>5</v>
      </c>
      <c r="F7245" s="415">
        <f>+E7245*D7245</f>
      </c>
      <c r="G7245" s="415">
        <v>1</v>
      </c>
      <c r="H7245" s="416">
        <f>+G7245*F7245</f>
      </c>
    </row>
    <row r="7246" spans="1:8" ht="15.75" customHeight="1" x14ac:dyDescent="0.25">
      <c r="A7246" s="412"/>
      <c r="B7246" s="654" t="s">
        <v>1769</v>
      </c>
      <c r="C7246" s="654"/>
      <c r="D7246" s="415"/>
      <c r="E7246" s="415"/>
      <c r="F7246" s="415"/>
      <c r="G7246" s="415"/>
      <c r="H7246" s="416"/>
    </row>
    <row r="7247" spans="1:8" ht="15.75" customHeight="1" x14ac:dyDescent="0.25">
      <c r="A7247" s="412" t="s">
        <v>59</v>
      </c>
      <c r="B7247" s="644" t="s">
        <v>1770</v>
      </c>
      <c r="C7247" s="420" t="s">
        <v>1512</v>
      </c>
      <c r="D7247" s="415">
        <v>5</v>
      </c>
      <c r="E7247" s="415">
        <v>10</v>
      </c>
      <c r="F7247" s="415">
        <f t="shared" ref="F7247:F7248" si="216">+E7247*D7247</f>
      </c>
      <c r="G7247" s="415">
        <v>1</v>
      </c>
      <c r="H7247" s="416">
        <f t="shared" ref="H7247:H7248" si="217">+G7247*F7247</f>
      </c>
    </row>
    <row r="7248" spans="1:8" ht="15.75" customHeight="1" x14ac:dyDescent="0.25">
      <c r="A7248" s="412"/>
      <c r="B7248" s="644" t="s">
        <v>1770</v>
      </c>
      <c r="C7248" s="420" t="s">
        <v>1481</v>
      </c>
      <c r="D7248" s="415">
        <v>5</v>
      </c>
      <c r="E7248" s="415">
        <v>10</v>
      </c>
      <c r="F7248" s="415">
        <f t="shared" si="216"/>
      </c>
      <c r="G7248" s="415">
        <v>1</v>
      </c>
      <c r="H7248" s="416">
        <f t="shared" si="217"/>
      </c>
    </row>
    <row r="7249" spans="1:8" ht="15.75" customHeight="1" x14ac:dyDescent="0.25">
      <c r="A7249" s="412"/>
      <c r="B7249" s="654" t="s">
        <v>50</v>
      </c>
      <c r="C7249" s="654"/>
      <c r="D7249" s="415"/>
      <c r="E7249" s="415"/>
      <c r="F7249" s="415"/>
      <c r="G7249" s="415"/>
      <c r="H7249" s="416"/>
    </row>
    <row r="7250" spans="1:8" ht="15.75" customHeight="1" x14ac:dyDescent="0.25">
      <c r="A7250" s="581" t="s">
        <v>67</v>
      </c>
      <c r="B7250" s="417" t="s">
        <v>1771</v>
      </c>
      <c r="C7250" s="418" t="s">
        <v>109</v>
      </c>
      <c r="D7250" s="415">
        <v>16</v>
      </c>
      <c r="E7250" s="415">
        <v>25</v>
      </c>
      <c r="F7250" s="415">
        <f t="shared" ref="F7250:F7251" si="218">+E7250*D7250</f>
      </c>
      <c r="G7250" s="415">
        <v>1</v>
      </c>
      <c r="H7250" s="416">
        <f t="shared" ref="H7250:H7251" si="219">+G7250*F7250</f>
      </c>
    </row>
    <row r="7251" spans="1:8" ht="15.75" customHeight="1" x14ac:dyDescent="0.25">
      <c r="A7251" s="581" t="s">
        <v>485</v>
      </c>
      <c r="B7251" s="417" t="s">
        <v>68</v>
      </c>
      <c r="C7251" s="418" t="s">
        <v>69</v>
      </c>
      <c r="D7251" s="415">
        <v>8</v>
      </c>
      <c r="E7251" s="415">
        <v>25</v>
      </c>
      <c r="F7251" s="415">
        <f t="shared" si="218"/>
      </c>
      <c r="G7251" s="415">
        <v>1</v>
      </c>
      <c r="H7251" s="416">
        <f t="shared" si="219"/>
      </c>
    </row>
    <row r="7252" spans="1:8" ht="15.75" customHeight="1" x14ac:dyDescent="0.25">
      <c r="A7252" s="581"/>
      <c r="B7252" s="654" t="s">
        <v>1329</v>
      </c>
      <c r="C7252" s="654"/>
      <c r="D7252" s="588"/>
      <c r="E7252" s="415"/>
      <c r="F7252" s="415"/>
      <c r="G7252" s="415"/>
      <c r="H7252" s="416"/>
    </row>
    <row r="7253" spans="1:8" ht="15.75" customHeight="1" x14ac:dyDescent="0.25">
      <c r="A7253" s="581" t="s">
        <v>486</v>
      </c>
      <c r="B7253" s="417" t="s">
        <v>260</v>
      </c>
      <c r="C7253" s="418" t="s">
        <v>1295</v>
      </c>
      <c r="D7253" s="588">
        <v>1</v>
      </c>
      <c r="E7253" s="415">
        <v>100</v>
      </c>
      <c r="F7253" s="415">
        <f>+E7253*D7253</f>
      </c>
      <c r="G7253" s="415">
        <v>1</v>
      </c>
      <c r="H7253" s="416">
        <f>+G7253*F7253</f>
      </c>
    </row>
    <row r="7254" spans="1:8" ht="15.75" customHeight="1" x14ac:dyDescent="0.25">
      <c r="A7254" s="581"/>
      <c r="B7254" s="582"/>
      <c r="C7254" s="582"/>
      <c r="D7254" s="415"/>
      <c r="E7254" s="415"/>
      <c r="F7254" s="415"/>
      <c r="G7254" s="415"/>
      <c r="H7254" s="589"/>
    </row>
    <row r="7255" spans="1:8" ht="15.75" customHeight="1" x14ac:dyDescent="0.25">
      <c r="A7255" s="430"/>
      <c r="B7255" s="409"/>
      <c r="C7255" s="393"/>
      <c r="D7255" s="427"/>
      <c r="E7255" s="427"/>
      <c r="F7255" s="428"/>
      <c r="G7255" s="427"/>
      <c r="H7255" s="429"/>
    </row>
    <row r="7256" spans="1:8" ht="15.75" customHeight="1" x14ac:dyDescent="0.25">
      <c r="A7256" s="432"/>
      <c r="B7256" s="433"/>
      <c r="C7256" s="434" t="s">
        <v>85</v>
      </c>
      <c r="D7256" s="659">
        <f>SUM(D7245:D7255)</f>
      </c>
      <c r="E7256" s="401"/>
      <c r="F7256" s="660"/>
      <c r="G7256" s="661"/>
      <c r="H7256" s="623">
        <f>SUM(H7245:H7255)</f>
      </c>
    </row>
    <row r="7257" spans="1:8" ht="15.75" customHeight="1" x14ac:dyDescent="0.25">
      <c r="A7257" s="439"/>
      <c r="B7257" s="440"/>
      <c r="C7257" s="440"/>
      <c r="D7257" s="441"/>
      <c r="E7257" s="440"/>
      <c r="F7257" s="442"/>
      <c r="G7257" s="443"/>
      <c r="H7257" s="444"/>
    </row>
    <row r="7258" spans="1:8" ht="15.75" customHeight="1" x14ac:dyDescent="0.25">
      <c r="A7258" s="392"/>
      <c r="B7258" s="391"/>
      <c r="C7258" s="391"/>
      <c r="D7258" s="391"/>
      <c r="E7258" s="390"/>
      <c r="F7258" s="392"/>
      <c r="G7258" s="390"/>
      <c r="H7258" s="394"/>
    </row>
    <row r="7259" spans="1:8" ht="15.75" customHeight="1" x14ac:dyDescent="0.25">
      <c r="A7259" s="445"/>
      <c r="B7259" s="445"/>
      <c r="C7259" s="445"/>
      <c r="D7259" s="446" t="s">
        <v>97</v>
      </c>
      <c r="E7259" s="445" t="s">
        <v>98</v>
      </c>
      <c r="F7259" s="445"/>
      <c r="G7259" s="390"/>
      <c r="H7259" s="394"/>
    </row>
    <row r="7260" spans="1:8" ht="15.75" customHeight="1" x14ac:dyDescent="0.25">
      <c r="A7260" s="390"/>
      <c r="B7260" s="390"/>
      <c r="C7260" s="390"/>
      <c r="D7260" s="391"/>
      <c r="E7260" s="390"/>
      <c r="F7260" s="390"/>
      <c r="G7260" s="390"/>
      <c r="H7260" s="394"/>
    </row>
    <row r="7261" spans="1:8" ht="15.75" customHeight="1" x14ac:dyDescent="0.25">
      <c r="A7261" s="390"/>
      <c r="B7261" s="390"/>
      <c r="C7261" s="390"/>
      <c r="D7261" s="391"/>
      <c r="E7261" s="390"/>
      <c r="F7261" s="390"/>
      <c r="G7261" s="390"/>
      <c r="H7261" s="394"/>
    </row>
    <row r="7262" spans="1:8" ht="15.75" customHeight="1" x14ac:dyDescent="0.25">
      <c r="A7262" s="445"/>
      <c r="B7262" s="445"/>
      <c r="C7262" s="445"/>
      <c r="D7262" s="446"/>
      <c r="E7262" s="445" t="s">
        <v>99</v>
      </c>
      <c r="F7262" s="445"/>
      <c r="G7262" s="390"/>
      <c r="H7262" s="394"/>
    </row>
    <row r="7263" spans="1:8" ht="15.75" customHeight="1" x14ac:dyDescent="0.25">
      <c r="D7263" s="4"/>
      <c r="H7263" s="4"/>
    </row>
    <row r="7264" spans="1:8" ht="15.75" customHeight="1" x14ac:dyDescent="0.25">
      <c r="D7264" s="4"/>
      <c r="H7264" s="4"/>
    </row>
    <row r="7265" spans="1:8" ht="15.75" customHeight="1" x14ac:dyDescent="0.25">
      <c r="D7265" s="4"/>
      <c r="H7265" s="4"/>
    </row>
    <row r="7266" spans="1:8" ht="15.75" customHeight="1" x14ac:dyDescent="0.25">
      <c r="D7266" s="4"/>
      <c r="H7266" s="4"/>
    </row>
    <row r="7267" spans="1:8" ht="15.75" customHeight="1" x14ac:dyDescent="0.25">
      <c r="D7267" s="4"/>
      <c r="H7267" s="4"/>
    </row>
    <row r="7268" spans="1:8" ht="15.75" customHeight="1" x14ac:dyDescent="0.25">
      <c r="D7268" s="4"/>
      <c r="H7268" s="4"/>
    </row>
    <row r="7269" spans="1:8" ht="15.75" customHeight="1" x14ac:dyDescent="0.25">
      <c r="D7269" s="4"/>
      <c r="H7269" s="4"/>
    </row>
    <row r="7270" spans="1:8" ht="15.75" customHeight="1" x14ac:dyDescent="0.25">
      <c r="D7270" s="4"/>
      <c r="H7270" s="4"/>
    </row>
    <row r="7271" spans="1:8" ht="15.75" customHeight="1" x14ac:dyDescent="0.25">
      <c r="D7271" s="4"/>
      <c r="H7271" s="4"/>
    </row>
    <row r="7272" spans="1:8" ht="15.75" customHeight="1" x14ac:dyDescent="0.25">
      <c r="D7272" s="4"/>
      <c r="H7272" s="4"/>
    </row>
    <row r="7273" spans="1:8" ht="15.75" customHeight="1" x14ac:dyDescent="0.25">
      <c r="D7273" s="4"/>
      <c r="H7273" s="4"/>
    </row>
    <row r="7274" spans="1:8" ht="15.75" customHeight="1" x14ac:dyDescent="0.25">
      <c r="A7274" s="392" t="s">
        <v>14</v>
      </c>
      <c r="B7274" s="391"/>
      <c r="C7274" s="391"/>
      <c r="D7274" s="391"/>
      <c r="E7274" s="391"/>
      <c r="F7274" s="391"/>
      <c r="G7274" s="391"/>
      <c r="H7274" s="394"/>
    </row>
    <row r="7275" spans="1:8" ht="15.75" customHeight="1" x14ac:dyDescent="0.25">
      <c r="A7275" s="392"/>
      <c r="B7275" s="391"/>
      <c r="C7275" s="391"/>
      <c r="D7275" s="391"/>
      <c r="E7275" s="390"/>
      <c r="F7275" s="392"/>
      <c r="G7275" s="390"/>
      <c r="H7275" s="394"/>
    </row>
    <row r="7276" spans="1:8" ht="15.75" customHeight="1" x14ac:dyDescent="0.25">
      <c r="A7276" s="392"/>
      <c r="B7276" s="391"/>
      <c r="C7276" s="391"/>
      <c r="D7276" s="391"/>
      <c r="E7276" s="390"/>
      <c r="F7276" s="392"/>
      <c r="G7276" s="390"/>
      <c r="H7276" s="394"/>
    </row>
    <row r="7277" spans="1:8" ht="15.75" customHeight="1" x14ac:dyDescent="0.25">
      <c r="A7277" s="390" t="s">
        <v>20</v>
      </c>
      <c r="B7277" s="390"/>
      <c r="C7277" s="390"/>
      <c r="D7277" s="391"/>
      <c r="E7277" s="390"/>
      <c r="F7277" s="392"/>
      <c r="G7277" s="390"/>
      <c r="H7277" s="394"/>
    </row>
    <row r="7278" spans="1:8" ht="15.75" customHeight="1" x14ac:dyDescent="0.25">
      <c r="A7278" s="390" t="inlineStr">
        <is>
          <t>Dealer-002</t>
        </is>
      </c>
      <c r="B7278" s="390"/>
      <c r="C7278" s="390"/>
      <c r="D7278" s="391"/>
      <c r="E7278" s="390"/>
      <c r="F7278" s="395" t="s">
        <v>18</v>
      </c>
      <c r="G7278" s="390" t="s">
        <v>894</v>
      </c>
      <c r="H7278" s="394"/>
    </row>
    <row r="7279" spans="1:8" ht="15.75" customHeight="1" x14ac:dyDescent="0.25">
      <c r="A7279" s="390" t="inlineStr">
        <is>
          <t>Address line (redacted)</t>
        </is>
      </c>
      <c r="B7279" s="390"/>
      <c r="C7279" s="390"/>
      <c r="D7279" s="391"/>
      <c r="E7279" s="390"/>
      <c r="F7279" s="393" t="s">
        <v>21</v>
      </c>
      <c r="G7279" s="390" t="s">
        <v>1778</v>
      </c>
      <c r="H7279" s="394"/>
    </row>
    <row r="7280" spans="1:8" ht="15.75" customHeight="1" x14ac:dyDescent="0.25">
      <c r="A7280" s="390" t="inlineStr">
        <is>
          <t>Address line (redacted)</t>
        </is>
      </c>
      <c r="B7280" s="390"/>
      <c r="C7280" s="390"/>
      <c r="D7280" s="391"/>
      <c r="E7280" s="390"/>
      <c r="F7280" s="391"/>
      <c r="G7280" s="390"/>
      <c r="H7280" s="394"/>
    </row>
    <row r="7281" spans="1:8" ht="15.75" customHeight="1" x14ac:dyDescent="0.25">
      <c r="A7281" s="390"/>
      <c r="B7281" s="390"/>
      <c r="C7281" s="393"/>
      <c r="D7281" s="391"/>
      <c r="E7281" s="390"/>
      <c r="F7281" s="391"/>
      <c r="G7281" s="390"/>
      <c r="H7281" s="394"/>
    </row>
    <row r="7282" spans="1:8" ht="15.75" customHeight="1" x14ac:dyDescent="0.25">
      <c r="A7282" s="390"/>
      <c r="B7282" s="390"/>
      <c r="C7282" s="390"/>
      <c r="D7282" s="391"/>
      <c r="E7282" s="390"/>
      <c r="F7282" s="391"/>
      <c r="G7282" s="390"/>
      <c r="H7282" s="394"/>
    </row>
    <row r="7283" spans="1:8" ht="15.75" customHeight="1" x14ac:dyDescent="0.25">
      <c r="A7283" s="390" t="s">
        <v>30</v>
      </c>
      <c r="B7283" s="390"/>
      <c r="C7283" s="390"/>
      <c r="D7283" s="391"/>
      <c r="E7283" s="390"/>
      <c r="F7283" s="391"/>
      <c r="G7283" s="390"/>
      <c r="H7283" s="394"/>
    </row>
    <row r="7284" spans="1:8" ht="15.75" customHeight="1" x14ac:dyDescent="0.25">
      <c r="A7284" s="390"/>
      <c r="B7284" s="390"/>
      <c r="C7284" s="390"/>
      <c r="D7284" s="391"/>
      <c r="E7284" s="390"/>
      <c r="F7284" s="391"/>
      <c r="G7284" s="390"/>
      <c r="H7284" s="394"/>
    </row>
    <row r="7285" spans="1:8" ht="15.75" customHeight="1" x14ac:dyDescent="0.25">
      <c r="A7285" s="390" t="s">
        <v>1322</v>
      </c>
      <c r="B7285" s="390"/>
      <c r="C7285" s="390"/>
      <c r="D7285" s="391"/>
      <c r="E7285" s="390"/>
      <c r="F7285" s="391"/>
      <c r="G7285" s="390"/>
      <c r="H7285" s="394"/>
    </row>
    <row r="7286" spans="1:8" ht="15.75" customHeight="1" x14ac:dyDescent="0.25">
      <c r="A7286" s="390" t="s">
        <v>1328</v>
      </c>
      <c r="B7286" s="390"/>
      <c r="C7286" s="390"/>
      <c r="D7286" s="391"/>
      <c r="E7286" s="390"/>
      <c r="F7286" s="391"/>
      <c r="G7286" s="390"/>
      <c r="H7286" s="394"/>
    </row>
    <row r="7287" spans="1:8" ht="15.75" customHeight="1" x14ac:dyDescent="0.25">
      <c r="A7287" s="390"/>
      <c r="B7287" s="390"/>
      <c r="C7287" s="390"/>
      <c r="D7287" s="391"/>
      <c r="E7287" s="390"/>
      <c r="F7287" s="391"/>
      <c r="G7287" s="390"/>
      <c r="H7287" s="394"/>
    </row>
    <row r="7288" spans="1:8" ht="15.75" customHeight="1" x14ac:dyDescent="0.25">
      <c r="A7288" s="399" t="s">
        <v>33</v>
      </c>
      <c r="B7288" s="400" t="s">
        <v>6</v>
      </c>
      <c r="C7288" s="400"/>
      <c r="D7288" s="401" t="s">
        <v>37</v>
      </c>
      <c r="E7288" s="402" t="s">
        <v>1309</v>
      </c>
      <c r="F7288" s="609" t="s">
        <v>7</v>
      </c>
      <c r="G7288" s="400" t="s">
        <v>43</v>
      </c>
      <c r="H7288" s="405" t="s">
        <v>44</v>
      </c>
    </row>
    <row r="7289" spans="1:8" ht="15.75" customHeight="1" x14ac:dyDescent="0.25">
      <c r="A7289" s="610"/>
      <c r="B7289" s="611"/>
      <c r="C7289" s="611"/>
      <c r="D7289" s="612"/>
      <c r="E7289" s="613"/>
      <c r="F7289" s="614"/>
      <c r="G7289" s="611"/>
      <c r="H7289" s="615"/>
    </row>
    <row r="7290" spans="1:8" ht="15.75" customHeight="1" x14ac:dyDescent="0.25">
      <c r="A7290" s="412"/>
      <c r="B7290" s="654" t="s">
        <v>50</v>
      </c>
      <c r="C7290" s="654"/>
      <c r="D7290" s="415"/>
      <c r="E7290" s="415"/>
      <c r="F7290" s="415"/>
      <c r="G7290" s="415"/>
      <c r="H7290" s="416"/>
    </row>
    <row r="7291" spans="1:8" ht="15.75" customHeight="1" x14ac:dyDescent="0.25">
      <c r="A7291" s="581" t="s">
        <v>55</v>
      </c>
      <c r="B7291" s="417" t="s">
        <v>1771</v>
      </c>
      <c r="C7291" s="418" t="s">
        <v>109</v>
      </c>
      <c r="D7291" s="415">
        <v>8</v>
      </c>
      <c r="E7291" s="415">
        <v>25</v>
      </c>
      <c r="F7291" s="415">
        <f>+E7291*D7291</f>
      </c>
      <c r="G7291" s="415">
        <v>1</v>
      </c>
      <c r="H7291" s="416">
        <f>+G7291*F7291</f>
      </c>
    </row>
    <row r="7292" spans="1:8" ht="15.75" customHeight="1" x14ac:dyDescent="0.25">
      <c r="A7292" s="581"/>
      <c r="B7292" s="654" t="s">
        <v>1329</v>
      </c>
      <c r="C7292" s="654"/>
      <c r="D7292" s="588"/>
      <c r="E7292" s="415"/>
      <c r="F7292" s="415"/>
      <c r="G7292" s="415"/>
      <c r="H7292" s="416"/>
    </row>
    <row r="7293" spans="1:8" ht="15.75" customHeight="1" x14ac:dyDescent="0.25">
      <c r="A7293" s="581" t="s">
        <v>59</v>
      </c>
      <c r="B7293" s="417" t="s">
        <v>260</v>
      </c>
      <c r="C7293" s="418" t="s">
        <v>1295</v>
      </c>
      <c r="D7293" s="592">
        <v>1</v>
      </c>
      <c r="E7293" s="415">
        <v>100</v>
      </c>
      <c r="F7293" s="415">
        <f>+E7293*D7293</f>
      </c>
      <c r="G7293" s="415">
        <v>1</v>
      </c>
      <c r="H7293" s="416">
        <f t="shared" ref="H7293:H7294" si="220">+G7293*F7293</f>
      </c>
    </row>
    <row r="7294" spans="1:8" ht="15.75" customHeight="1" x14ac:dyDescent="0.25">
      <c r="A7294" s="581" t="s">
        <v>67</v>
      </c>
      <c r="B7294" s="417" t="s">
        <v>1779</v>
      </c>
      <c r="C7294" s="418"/>
      <c r="D7294" s="626"/>
      <c r="E7294" s="415">
        <v>100</v>
      </c>
      <c r="F7294" s="415">
        <v>100</v>
      </c>
      <c r="G7294" s="415">
        <v>1</v>
      </c>
      <c r="H7294" s="416">
        <f t="shared" si="220"/>
      </c>
    </row>
    <row r="7295" spans="1:8" ht="15.75" customHeight="1" x14ac:dyDescent="0.25">
      <c r="A7295" s="581"/>
      <c r="B7295" s="417"/>
      <c r="C7295" s="418"/>
      <c r="D7295" s="588"/>
      <c r="E7295" s="415"/>
      <c r="F7295" s="415"/>
      <c r="G7295" s="415"/>
      <c r="H7295" s="416"/>
    </row>
    <row r="7296" spans="1:8" ht="15.75" customHeight="1" x14ac:dyDescent="0.25">
      <c r="A7296" s="581"/>
      <c r="B7296" s="582"/>
      <c r="C7296" s="582"/>
      <c r="D7296" s="415"/>
      <c r="E7296" s="415"/>
      <c r="F7296" s="415"/>
      <c r="G7296" s="415"/>
      <c r="H7296" s="589"/>
    </row>
    <row r="7297" spans="1:8" ht="15.75" customHeight="1" x14ac:dyDescent="0.25">
      <c r="A7297" s="430"/>
      <c r="B7297" s="409"/>
      <c r="C7297" s="393"/>
      <c r="D7297" s="427"/>
      <c r="E7297" s="427"/>
      <c r="F7297" s="428"/>
      <c r="G7297" s="427"/>
      <c r="H7297" s="429"/>
    </row>
    <row r="7298" spans="1:8" ht="15.75" customHeight="1" x14ac:dyDescent="0.25">
      <c r="A7298" s="432"/>
      <c r="B7298" s="433"/>
      <c r="C7298" s="434" t="s">
        <v>85</v>
      </c>
      <c r="D7298" s="659">
        <f>SUM(D7290:D7297)</f>
      </c>
      <c r="E7298" s="401"/>
      <c r="F7298" s="660"/>
      <c r="G7298" s="661"/>
      <c r="H7298" s="623">
        <f>SUM(H7290:H7297)</f>
      </c>
    </row>
    <row r="7299" spans="1:8" ht="15.75" customHeight="1" x14ac:dyDescent="0.25">
      <c r="A7299" s="439"/>
      <c r="B7299" s="440"/>
      <c r="C7299" s="440"/>
      <c r="D7299" s="441"/>
      <c r="E7299" s="440"/>
      <c r="F7299" s="442"/>
      <c r="G7299" s="443"/>
      <c r="H7299" s="444"/>
    </row>
    <row r="7300" spans="1:8" ht="15.75" customHeight="1" x14ac:dyDescent="0.25">
      <c r="A7300" s="565" t="s">
        <v>1215</v>
      </c>
      <c r="B7300" s="565"/>
      <c r="C7300" s="565"/>
      <c r="D7300" s="565"/>
      <c r="E7300" s="565"/>
      <c r="F7300" s="565"/>
      <c r="G7300" s="565"/>
      <c r="H7300" s="565"/>
    </row>
    <row r="7301" spans="1:8" ht="15.75" customHeight="1" x14ac:dyDescent="0.25">
      <c r="A7301" s="445"/>
      <c r="B7301" s="445"/>
      <c r="C7301" s="445"/>
      <c r="D7301" s="446" t="s">
        <v>97</v>
      </c>
      <c r="E7301" s="445" t="s">
        <v>98</v>
      </c>
      <c r="F7301" s="445"/>
      <c r="G7301" s="390"/>
      <c r="H7301" s="394"/>
    </row>
    <row r="7302" spans="1:8" ht="15.75" customHeight="1" x14ac:dyDescent="0.25">
      <c r="A7302" s="390"/>
      <c r="B7302" s="390"/>
      <c r="C7302" s="390"/>
      <c r="D7302" s="391"/>
      <c r="E7302" s="390"/>
      <c r="F7302" s="390"/>
      <c r="G7302" s="390"/>
      <c r="H7302" s="394"/>
    </row>
    <row r="7303" spans="1:8" ht="15.75" customHeight="1" x14ac:dyDescent="0.25">
      <c r="A7303" s="390"/>
      <c r="B7303" s="390"/>
      <c r="C7303" s="390"/>
      <c r="D7303" s="391"/>
      <c r="E7303" s="390"/>
      <c r="F7303" s="390"/>
      <c r="G7303" s="390"/>
      <c r="H7303" s="394"/>
    </row>
    <row r="7304" spans="1:8" ht="15.75" customHeight="1" x14ac:dyDescent="0.25">
      <c r="A7304" s="445"/>
      <c r="B7304" s="445"/>
      <c r="C7304" s="445"/>
      <c r="D7304" s="446"/>
      <c r="E7304" s="445" t="s">
        <v>99</v>
      </c>
      <c r="F7304" s="445"/>
      <c r="G7304" s="390"/>
      <c r="H7304" s="394"/>
    </row>
    <row r="7305" spans="1:8" ht="15.75" customHeight="1" x14ac:dyDescent="0.25">
      <c r="D7305" s="4"/>
      <c r="H7305" s="4"/>
    </row>
    <row r="7306" spans="1:8" ht="15.75" customHeight="1" x14ac:dyDescent="0.25">
      <c r="D7306" s="4"/>
      <c r="H7306" s="4"/>
    </row>
    <row r="7307" spans="1:8" ht="15.75" customHeight="1" x14ac:dyDescent="0.25">
      <c r="D7307" s="4"/>
      <c r="H7307" s="4"/>
    </row>
    <row r="7308" spans="1:8" ht="15.75" customHeight="1" x14ac:dyDescent="0.25">
      <c r="D7308" s="4"/>
      <c r="H7308" s="4"/>
    </row>
    <row r="7309" spans="1:8" ht="15.75" customHeight="1" x14ac:dyDescent="0.25">
      <c r="D7309" s="4"/>
      <c r="H7309" s="4"/>
    </row>
    <row r="7310" spans="1:8" ht="15.75" customHeight="1" x14ac:dyDescent="0.25">
      <c r="D7310" s="4"/>
      <c r="H7310" s="4"/>
    </row>
    <row r="7311" spans="1:8" ht="15.75" customHeight="1" x14ac:dyDescent="0.25">
      <c r="D7311" s="4"/>
      <c r="H7311" s="4"/>
    </row>
    <row r="7312" spans="1:8" ht="15.75" customHeight="1" x14ac:dyDescent="0.25">
      <c r="D7312" s="4"/>
      <c r="H7312" s="4"/>
    </row>
    <row r="7313" spans="1:8" ht="15.75" customHeight="1" x14ac:dyDescent="0.25">
      <c r="D7313" s="4"/>
      <c r="H7313" s="4"/>
    </row>
    <row r="7314" spans="1:8" ht="15.75" customHeight="1" x14ac:dyDescent="0.25">
      <c r="D7314" s="4"/>
      <c r="H7314" s="4"/>
    </row>
    <row r="7315" spans="1:8" ht="15.75" customHeight="1" x14ac:dyDescent="0.25">
      <c r="D7315" s="4"/>
      <c r="H7315" s="4"/>
    </row>
    <row r="7316" spans="1:8" ht="15.75" customHeight="1" x14ac:dyDescent="0.25">
      <c r="D7316" s="4"/>
      <c r="H7316" s="4"/>
    </row>
    <row r="7317" spans="1:8" ht="15.75" customHeight="1" x14ac:dyDescent="0.25">
      <c r="D7317" s="4"/>
      <c r="H7317" s="4"/>
    </row>
    <row r="7318" spans="1:8" ht="15.75" customHeight="1" x14ac:dyDescent="0.25">
      <c r="D7318" s="4"/>
      <c r="H7318" s="4"/>
    </row>
    <row r="7319" spans="1:8" ht="15.75" customHeight="1" x14ac:dyDescent="0.25">
      <c r="D7319" s="4"/>
      <c r="H7319" s="4"/>
    </row>
    <row r="7320" spans="1:8" ht="15.75" customHeight="1" x14ac:dyDescent="0.25">
      <c r="A7320" s="392" t="s">
        <v>14</v>
      </c>
      <c r="B7320" s="391"/>
      <c r="C7320" s="391"/>
      <c r="D7320" s="391"/>
      <c r="E7320" s="391"/>
      <c r="F7320" s="391"/>
      <c r="G7320" s="391"/>
      <c r="H7320" s="394"/>
    </row>
    <row r="7321" spans="1:8" ht="15.75" customHeight="1" x14ac:dyDescent="0.25">
      <c r="A7321" s="392"/>
      <c r="B7321" s="391"/>
      <c r="C7321" s="391"/>
      <c r="D7321" s="391"/>
      <c r="E7321" s="390"/>
      <c r="F7321" s="392"/>
      <c r="G7321" s="390"/>
      <c r="H7321" s="394"/>
    </row>
    <row r="7322" spans="1:8" ht="15.75" customHeight="1" x14ac:dyDescent="0.25">
      <c r="A7322" s="392"/>
      <c r="B7322" s="391"/>
      <c r="C7322" s="391"/>
      <c r="D7322" s="391"/>
      <c r="E7322" s="390"/>
      <c r="F7322" s="392"/>
      <c r="G7322" s="390"/>
      <c r="H7322" s="394"/>
    </row>
    <row r="7323" spans="1:8" ht="15.75" customHeight="1" x14ac:dyDescent="0.25">
      <c r="A7323" s="390" t="s">
        <v>20</v>
      </c>
      <c r="B7323" s="390"/>
      <c r="C7323" s="390"/>
      <c r="D7323" s="391"/>
      <c r="E7323" s="390"/>
      <c r="F7323" s="392"/>
      <c r="G7323" s="390"/>
      <c r="H7323" s="394"/>
    </row>
    <row r="7324" spans="1:8" ht="15.75" customHeight="1" x14ac:dyDescent="0.25">
      <c r="A7324" s="390" t="inlineStr">
        <is>
          <t>Dealer-013</t>
        </is>
      </c>
      <c r="B7324" s="390"/>
      <c r="C7324" s="390" t="inlineStr">
        <is>
          <t>ATTN: Contact-003</t>
        </is>
      </c>
      <c r="D7324" s="391"/>
      <c r="E7324" s="390"/>
      <c r="F7324" s="395" t="s">
        <v>18</v>
      </c>
      <c r="G7324" s="390" t="s">
        <v>894</v>
      </c>
      <c r="H7324" s="394"/>
    </row>
    <row r="7325" spans="1:8" ht="15.75" customHeight="1" x14ac:dyDescent="0.25">
      <c r="A7325" s="390" t="inlineStr">
        <is>
          <t>Address line (redacted)</t>
        </is>
      </c>
      <c r="B7325" s="390"/>
      <c r="C7325" s="390"/>
      <c r="D7325" s="391"/>
      <c r="E7325" s="390"/>
      <c r="F7325" s="393" t="s">
        <v>21</v>
      </c>
      <c r="G7325" s="390" t="s">
        <v>1780</v>
      </c>
      <c r="H7325" s="394"/>
    </row>
    <row r="7326" spans="1:8" ht="15.75" customHeight="1" x14ac:dyDescent="0.25">
      <c r="A7326" s="390" t="inlineStr">
        <is>
          <t>Address line (redacted)</t>
        </is>
      </c>
      <c r="B7326" s="390"/>
      <c r="C7326" s="390"/>
      <c r="D7326" s="391"/>
      <c r="E7326" s="390"/>
      <c r="F7326" s="391"/>
      <c r="G7326" s="390"/>
      <c r="H7326" s="394"/>
    </row>
    <row r="7327" spans="1:8" ht="15.75" customHeight="1" x14ac:dyDescent="0.25">
      <c r="A7327" s="390"/>
      <c r="B7327" s="390"/>
      <c r="C7327" s="393"/>
      <c r="D7327" s="391"/>
      <c r="E7327" s="390"/>
      <c r="F7327" s="391"/>
      <c r="G7327" s="390"/>
      <c r="H7327" s="394"/>
    </row>
    <row r="7328" spans="1:8" ht="15.75" customHeight="1" x14ac:dyDescent="0.25">
      <c r="A7328" s="390"/>
      <c r="B7328" s="390"/>
      <c r="C7328" s="390"/>
      <c r="D7328" s="391"/>
      <c r="E7328" s="390"/>
      <c r="F7328" s="391"/>
      <c r="G7328" s="390"/>
      <c r="H7328" s="394"/>
    </row>
    <row r="7329" spans="1:8" ht="15.75" customHeight="1" x14ac:dyDescent="0.25">
      <c r="A7329" s="390" t="s">
        <v>30</v>
      </c>
      <c r="B7329" s="390"/>
      <c r="C7329" s="390"/>
      <c r="D7329" s="391"/>
      <c r="E7329" s="390"/>
      <c r="F7329" s="391"/>
      <c r="G7329" s="390"/>
      <c r="H7329" s="394"/>
    </row>
    <row r="7330" spans="1:8" ht="15.75" customHeight="1" x14ac:dyDescent="0.25">
      <c r="A7330" s="390"/>
      <c r="B7330" s="390"/>
      <c r="C7330" s="390"/>
      <c r="D7330" s="391"/>
      <c r="E7330" s="390"/>
      <c r="F7330" s="391"/>
      <c r="G7330" s="390"/>
      <c r="H7330" s="394"/>
    </row>
    <row r="7331" spans="1:8" ht="15.75" customHeight="1" x14ac:dyDescent="0.25">
      <c r="A7331" s="390" t="s">
        <v>1322</v>
      </c>
      <c r="B7331" s="390"/>
      <c r="C7331" s="390"/>
      <c r="D7331" s="391"/>
      <c r="E7331" s="390"/>
      <c r="F7331" s="391"/>
      <c r="G7331" s="390"/>
      <c r="H7331" s="394"/>
    </row>
    <row r="7332" spans="1:8" ht="15.75" customHeight="1" x14ac:dyDescent="0.25">
      <c r="A7332" s="390" t="s">
        <v>1328</v>
      </c>
      <c r="B7332" s="390"/>
      <c r="C7332" s="390"/>
      <c r="D7332" s="391"/>
      <c r="E7332" s="390"/>
      <c r="F7332" s="391"/>
      <c r="G7332" s="390"/>
      <c r="H7332" s="394"/>
    </row>
    <row r="7333" spans="1:8" ht="15.75" customHeight="1" x14ac:dyDescent="0.25">
      <c r="A7333" s="390"/>
      <c r="B7333" s="390"/>
      <c r="C7333" s="390"/>
      <c r="D7333" s="391"/>
      <c r="E7333" s="390"/>
      <c r="F7333" s="391"/>
      <c r="G7333" s="390"/>
      <c r="H7333" s="394"/>
    </row>
    <row r="7334" spans="1:8" ht="15.75" customHeight="1" x14ac:dyDescent="0.25">
      <c r="A7334" s="399" t="s">
        <v>33</v>
      </c>
      <c r="B7334" s="400" t="s">
        <v>6</v>
      </c>
      <c r="C7334" s="400"/>
      <c r="D7334" s="401" t="s">
        <v>37</v>
      </c>
      <c r="E7334" s="402" t="s">
        <v>1309</v>
      </c>
      <c r="F7334" s="609" t="s">
        <v>7</v>
      </c>
      <c r="G7334" s="400" t="s">
        <v>43</v>
      </c>
      <c r="H7334" s="405" t="s">
        <v>44</v>
      </c>
    </row>
    <row r="7335" spans="1:8" ht="15.75" customHeight="1" x14ac:dyDescent="0.25">
      <c r="A7335" s="610"/>
      <c r="B7335" s="611"/>
      <c r="C7335" s="611"/>
      <c r="D7335" s="612"/>
      <c r="E7335" s="613"/>
      <c r="F7335" s="614"/>
      <c r="G7335" s="611"/>
      <c r="H7335" s="615"/>
    </row>
    <row r="7336" spans="1:8" ht="15.75" customHeight="1" x14ac:dyDescent="0.25">
      <c r="A7336" s="780"/>
      <c r="B7336" s="654" t="s">
        <v>1102</v>
      </c>
      <c r="C7336" s="654"/>
      <c r="D7336" s="578"/>
      <c r="E7336" s="578"/>
      <c r="F7336" s="578"/>
      <c r="G7336" s="578"/>
      <c r="H7336" s="580"/>
    </row>
    <row r="7337" spans="1:8" ht="15.75" customHeight="1" x14ac:dyDescent="0.25">
      <c r="A7337" s="412" t="s">
        <v>55</v>
      </c>
      <c r="B7337" s="644" t="s">
        <v>1766</v>
      </c>
      <c r="C7337" s="420" t="s">
        <v>25</v>
      </c>
      <c r="D7337" s="415">
        <v>5</v>
      </c>
      <c r="E7337" s="415">
        <v>5</v>
      </c>
      <c r="F7337" s="415">
        <f t="shared" ref="F7337:F7339" si="221">+E7337*D7337</f>
      </c>
      <c r="G7337" s="415">
        <v>1</v>
      </c>
      <c r="H7337" s="416">
        <f t="shared" ref="H7337:H7339" si="222">+G7337*F7337</f>
      </c>
    </row>
    <row r="7338" spans="1:8" ht="15.75" customHeight="1" x14ac:dyDescent="0.25">
      <c r="A7338" s="412" t="s">
        <v>59</v>
      </c>
      <c r="B7338" s="644" t="s">
        <v>3</v>
      </c>
      <c r="C7338" s="420" t="s">
        <v>41</v>
      </c>
      <c r="D7338" s="415">
        <v>4</v>
      </c>
      <c r="E7338" s="415">
        <v>5</v>
      </c>
      <c r="F7338" s="415">
        <f t="shared" si="221"/>
      </c>
      <c r="G7338" s="415">
        <v>1</v>
      </c>
      <c r="H7338" s="416">
        <f t="shared" si="222"/>
      </c>
    </row>
    <row r="7339" spans="1:8" ht="15.75" customHeight="1" x14ac:dyDescent="0.25">
      <c r="A7339" s="412" t="s">
        <v>67</v>
      </c>
      <c r="B7339" s="644" t="s">
        <v>127</v>
      </c>
      <c r="C7339" s="420"/>
      <c r="D7339" s="415">
        <v>6</v>
      </c>
      <c r="E7339" s="415">
        <v>5</v>
      </c>
      <c r="F7339" s="415">
        <f t="shared" si="221"/>
      </c>
      <c r="G7339" s="415">
        <v>1</v>
      </c>
      <c r="H7339" s="416">
        <f t="shared" si="222"/>
      </c>
    </row>
    <row r="7340" spans="1:8" ht="15.75" customHeight="1" x14ac:dyDescent="0.25">
      <c r="A7340" s="412"/>
      <c r="B7340" s="654" t="s">
        <v>50</v>
      </c>
      <c r="C7340" s="654"/>
      <c r="D7340" s="415"/>
      <c r="E7340" s="415"/>
      <c r="F7340" s="415"/>
      <c r="G7340" s="415"/>
      <c r="H7340" s="416"/>
    </row>
    <row r="7341" spans="1:8" ht="15.75" customHeight="1" x14ac:dyDescent="0.25">
      <c r="A7341" s="581" t="s">
        <v>485</v>
      </c>
      <c r="B7341" s="417" t="s">
        <v>1771</v>
      </c>
      <c r="C7341" s="418" t="s">
        <v>109</v>
      </c>
      <c r="D7341" s="415">
        <v>8</v>
      </c>
      <c r="E7341" s="415">
        <v>25</v>
      </c>
      <c r="F7341" s="415">
        <f>+E7341*D7341</f>
      </c>
      <c r="G7341" s="415">
        <v>1</v>
      </c>
      <c r="H7341" s="416">
        <f>+G7341*F7341</f>
      </c>
    </row>
    <row r="7342" spans="1:8" ht="15.75" customHeight="1" x14ac:dyDescent="0.25">
      <c r="A7342" s="581"/>
      <c r="B7342" s="417"/>
      <c r="C7342" s="418"/>
      <c r="D7342" s="588"/>
      <c r="E7342" s="415"/>
      <c r="F7342" s="415"/>
      <c r="G7342" s="415"/>
      <c r="H7342" s="416"/>
    </row>
    <row r="7343" spans="1:8" ht="15.75" customHeight="1" x14ac:dyDescent="0.25">
      <c r="A7343" s="581"/>
      <c r="B7343" s="582"/>
      <c r="C7343" s="582"/>
      <c r="D7343" s="415"/>
      <c r="E7343" s="415"/>
      <c r="F7343" s="415"/>
      <c r="G7343" s="415"/>
      <c r="H7343" s="589"/>
    </row>
    <row r="7344" spans="1:8" ht="15.75" customHeight="1" x14ac:dyDescent="0.25">
      <c r="A7344" s="430"/>
      <c r="B7344" s="409"/>
      <c r="C7344" s="393"/>
      <c r="D7344" s="427"/>
      <c r="E7344" s="427"/>
      <c r="F7344" s="428"/>
      <c r="G7344" s="427"/>
      <c r="H7344" s="429"/>
    </row>
    <row r="7345" spans="1:8" ht="15.75" customHeight="1" x14ac:dyDescent="0.25">
      <c r="A7345" s="432"/>
      <c r="B7345" s="433"/>
      <c r="C7345" s="434" t="s">
        <v>85</v>
      </c>
      <c r="D7345" s="659">
        <f>SUM(D7337:D7344)</f>
      </c>
      <c r="E7345" s="401"/>
      <c r="F7345" s="660"/>
      <c r="G7345" s="661"/>
      <c r="H7345" s="623">
        <f>SUM(H7337:H7344)</f>
      </c>
    </row>
    <row r="7346" spans="1:8" ht="15.75" customHeight="1" x14ac:dyDescent="0.25">
      <c r="A7346" s="439"/>
      <c r="B7346" s="440"/>
      <c r="C7346" s="440"/>
      <c r="D7346" s="441"/>
      <c r="E7346" s="440"/>
      <c r="F7346" s="442"/>
      <c r="G7346" s="443"/>
      <c r="H7346" s="444"/>
    </row>
    <row r="7347" spans="1:8" ht="15.75" customHeight="1" x14ac:dyDescent="0.25">
      <c r="A7347" s="565" t="s">
        <v>1215</v>
      </c>
      <c r="B7347" s="565"/>
      <c r="C7347" s="565"/>
      <c r="D7347" s="565"/>
      <c r="E7347" s="565"/>
      <c r="F7347" s="565"/>
      <c r="G7347" s="565"/>
      <c r="H7347" s="565"/>
    </row>
    <row r="7348" spans="1:8" ht="15.75" customHeight="1" x14ac:dyDescent="0.25">
      <c r="A7348" s="445"/>
      <c r="B7348" s="445"/>
      <c r="C7348" s="445"/>
      <c r="D7348" s="446" t="s">
        <v>97</v>
      </c>
      <c r="E7348" s="445" t="s">
        <v>98</v>
      </c>
      <c r="F7348" s="445"/>
      <c r="G7348" s="390"/>
      <c r="H7348" s="394"/>
    </row>
    <row r="7349" spans="1:8" ht="15.75" customHeight="1" x14ac:dyDescent="0.25">
      <c r="A7349" s="390"/>
      <c r="B7349" s="390"/>
      <c r="C7349" s="390"/>
      <c r="D7349" s="391"/>
      <c r="E7349" s="390"/>
      <c r="F7349" s="390"/>
      <c r="G7349" s="390"/>
      <c r="H7349" s="394"/>
    </row>
    <row r="7350" spans="1:8" ht="15.75" customHeight="1" x14ac:dyDescent="0.25">
      <c r="A7350" s="390"/>
      <c r="B7350" s="390"/>
      <c r="C7350" s="390"/>
      <c r="D7350" s="391"/>
      <c r="E7350" s="390"/>
      <c r="F7350" s="390"/>
      <c r="G7350" s="390"/>
      <c r="H7350" s="394"/>
    </row>
    <row r="7351" spans="1:8" ht="15.75" customHeight="1" x14ac:dyDescent="0.25">
      <c r="A7351" s="445"/>
      <c r="B7351" s="445"/>
      <c r="C7351" s="445"/>
      <c r="D7351" s="446"/>
      <c r="E7351" s="445" t="s">
        <v>99</v>
      </c>
      <c r="F7351" s="445"/>
      <c r="G7351" s="390"/>
      <c r="H7351" s="394"/>
    </row>
    <row r="7352" spans="1:8" ht="15.75" customHeight="1" x14ac:dyDescent="0.25">
      <c r="D7352" s="4"/>
      <c r="H7352" s="4"/>
    </row>
    <row r="7353" spans="1:8" ht="15.75" customHeight="1" x14ac:dyDescent="0.25">
      <c r="D7353" s="4"/>
      <c r="H7353" s="4"/>
    </row>
    <row r="7354" spans="1:8" ht="15.75" customHeight="1" x14ac:dyDescent="0.25">
      <c r="D7354" s="4"/>
      <c r="H7354" s="4"/>
    </row>
    <row r="7355" spans="1:8" ht="15.75" customHeight="1" x14ac:dyDescent="0.25">
      <c r="D7355" s="4"/>
      <c r="H7355" s="4"/>
    </row>
    <row r="7356" spans="1:8" ht="15.75" customHeight="1" x14ac:dyDescent="0.25">
      <c r="D7356" s="4"/>
      <c r="H7356" s="4"/>
    </row>
    <row r="7357" spans="1:8" ht="15.75" customHeight="1" x14ac:dyDescent="0.25">
      <c r="D7357" s="4"/>
      <c r="H7357" s="4"/>
    </row>
    <row r="7358" spans="1:8" ht="15.75" customHeight="1" x14ac:dyDescent="0.25">
      <c r="D7358" s="4"/>
      <c r="H7358" s="4"/>
    </row>
    <row r="7359" spans="1:8" ht="15.75" customHeight="1" x14ac:dyDescent="0.25">
      <c r="D7359" s="4"/>
      <c r="H7359" s="4"/>
    </row>
    <row r="7360" spans="1:8" ht="15.75" customHeight="1" x14ac:dyDescent="0.25">
      <c r="D7360" s="4"/>
      <c r="H7360" s="4"/>
    </row>
    <row r="7361" spans="1:8" ht="15.75" customHeight="1" x14ac:dyDescent="0.25">
      <c r="D7361" s="4"/>
      <c r="H7361" s="4"/>
    </row>
    <row r="7362" spans="1:8" ht="15.75" customHeight="1" x14ac:dyDescent="0.25">
      <c r="D7362" s="4"/>
      <c r="H7362" s="4"/>
    </row>
    <row r="7363" spans="1:8" ht="15.75" customHeight="1" x14ac:dyDescent="0.25">
      <c r="D7363" s="4"/>
      <c r="H7363" s="4"/>
    </row>
    <row r="7364" spans="1:8" ht="15.75" customHeight="1" x14ac:dyDescent="0.25">
      <c r="D7364" s="4"/>
      <c r="H7364" s="4"/>
    </row>
    <row r="7365" spans="1:8" ht="15.75" customHeight="1" x14ac:dyDescent="0.25">
      <c r="D7365" s="4"/>
      <c r="H7365" s="4"/>
    </row>
    <row r="7366" spans="1:8" ht="15.75" customHeight="1" x14ac:dyDescent="0.25">
      <c r="A7366" s="398" t="s">
        <v>14</v>
      </c>
      <c r="B7366" s="398"/>
      <c r="C7366" s="398"/>
      <c r="D7366" s="398"/>
      <c r="E7366" s="398"/>
      <c r="F7366" s="398"/>
      <c r="G7366" s="398"/>
      <c r="H7366" s="398"/>
    </row>
    <row r="7367" spans="1:8" ht="15.75" customHeight="1" x14ac:dyDescent="0.25">
      <c r="A7367" s="390"/>
      <c r="B7367" s="390"/>
      <c r="C7367" s="390"/>
      <c r="D7367" s="391"/>
      <c r="E7367" s="390"/>
      <c r="F7367" s="390"/>
      <c r="G7367" s="390"/>
      <c r="H7367" s="398"/>
    </row>
    <row r="7368" spans="1:8" ht="15.75" customHeight="1" x14ac:dyDescent="0.25">
      <c r="A7368" s="390"/>
      <c r="B7368" s="390"/>
      <c r="C7368" s="391"/>
      <c r="D7368" s="392"/>
      <c r="E7368" s="393"/>
      <c r="F7368" s="393"/>
      <c r="G7368" s="393"/>
      <c r="H7368" s="394"/>
    </row>
    <row r="7369" spans="1:8" ht="15.75" customHeight="1" x14ac:dyDescent="0.25">
      <c r="A7369" s="390"/>
      <c r="B7369" s="390"/>
      <c r="C7369" s="390"/>
      <c r="D7369" s="391"/>
      <c r="E7369" s="390"/>
      <c r="F7369" s="395" t="s">
        <v>18</v>
      </c>
      <c r="G7369" s="396" t="s">
        <v>901</v>
      </c>
      <c r="H7369" s="397"/>
    </row>
    <row r="7370" spans="1:8" ht="15.75" customHeight="1" x14ac:dyDescent="0.25">
      <c r="A7370" s="390" t="s">
        <v>20</v>
      </c>
      <c r="B7370" s="390"/>
      <c r="C7370" s="390"/>
      <c r="D7370" s="391"/>
      <c r="E7370" s="390"/>
      <c r="F7370" s="395" t="s">
        <v>21</v>
      </c>
      <c r="G7370" s="390" t="s">
        <v>1781</v>
      </c>
      <c r="H7370" s="391"/>
    </row>
    <row r="7371" spans="1:8" ht="15.75" customHeight="1" x14ac:dyDescent="0.25">
      <c r="A7371" s="390" t="inlineStr">
        <is>
          <t>Dealer-009</t>
        </is>
      </c>
      <c r="B7371" s="390"/>
      <c r="C7371" s="390" t="inlineStr">
        <is>
          <t>ATTN: Contact-001</t>
        </is>
      </c>
      <c r="D7371" s="391"/>
      <c r="E7371" s="395"/>
      <c r="F7371" s="390"/>
      <c r="G7371" s="390"/>
      <c r="H7371" s="394"/>
    </row>
    <row r="7372" spans="1:8" ht="15.75" customHeight="1" x14ac:dyDescent="0.25">
      <c r="A7372" s="390" t="inlineStr">
        <is>
          <t>Address line (redacted)</t>
        </is>
      </c>
      <c r="B7372" s="390"/>
      <c r="C7372" s="390"/>
      <c r="D7372" s="398"/>
      <c r="E7372" s="390"/>
      <c r="F7372" s="391"/>
      <c r="G7372" s="390"/>
      <c r="H7372" s="394"/>
    </row>
    <row r="7373" spans="1:8" ht="15.75" customHeight="1" x14ac:dyDescent="0.25">
      <c r="A7373" s="390" t="inlineStr">
        <is>
          <t>Address line (redacted)</t>
        </is>
      </c>
      <c r="B7373" s="390"/>
      <c r="C7373" s="390"/>
      <c r="D7373" s="398"/>
      <c r="E7373" s="390"/>
      <c r="F7373" s="391"/>
      <c r="G7373" s="390"/>
      <c r="H7373" s="394"/>
    </row>
    <row r="7374" spans="1:8" ht="15.75" customHeight="1" x14ac:dyDescent="0.25">
      <c r="A7374" s="447"/>
      <c r="B7374" s="390"/>
      <c r="C7374" s="390"/>
      <c r="D7374" s="391"/>
      <c r="E7374" s="390"/>
      <c r="F7374" s="391"/>
      <c r="G7374" s="390"/>
      <c r="H7374" s="394"/>
    </row>
    <row r="7375" spans="1:8" ht="15.75" customHeight="1" x14ac:dyDescent="0.25">
      <c r="A7375" s="390" t="s">
        <v>30</v>
      </c>
      <c r="B7375" s="390"/>
      <c r="C7375" s="390"/>
      <c r="D7375" s="391"/>
      <c r="E7375" s="390"/>
      <c r="F7375" s="391"/>
      <c r="G7375" s="390"/>
      <c r="H7375" s="394"/>
    </row>
    <row r="7376" spans="1:8" ht="15.75" customHeight="1" x14ac:dyDescent="0.25">
      <c r="A7376" s="390"/>
      <c r="B7376" s="390"/>
      <c r="C7376" s="390"/>
      <c r="D7376" s="391"/>
      <c r="E7376" s="390"/>
      <c r="F7376" s="391"/>
      <c r="G7376" s="390"/>
      <c r="H7376" s="394"/>
    </row>
    <row r="7377" spans="1:8" ht="15.75" customHeight="1" x14ac:dyDescent="0.25">
      <c r="A7377" s="390" t="s">
        <v>31</v>
      </c>
      <c r="B7377" s="390"/>
      <c r="C7377" s="390"/>
      <c r="D7377" s="391"/>
      <c r="E7377" s="390"/>
      <c r="F7377" s="391"/>
      <c r="G7377" s="390"/>
      <c r="H7377" s="394"/>
    </row>
    <row r="7378" spans="1:8" ht="15.75" customHeight="1" x14ac:dyDescent="0.25">
      <c r="A7378" s="390" t="s">
        <v>32</v>
      </c>
      <c r="B7378" s="390"/>
      <c r="C7378" s="390"/>
      <c r="D7378" s="391"/>
      <c r="E7378" s="390"/>
      <c r="F7378" s="391"/>
      <c r="G7378" s="390"/>
      <c r="H7378" s="394"/>
    </row>
    <row r="7379" spans="1:8" ht="15.75" customHeight="1" x14ac:dyDescent="0.25">
      <c r="A7379" s="390"/>
      <c r="B7379" s="390"/>
      <c r="C7379" s="390"/>
      <c r="D7379" s="391"/>
      <c r="E7379" s="390"/>
      <c r="F7379" s="391"/>
      <c r="G7379" s="390"/>
      <c r="H7379" s="394"/>
    </row>
    <row r="7380" spans="1:8" ht="15.75" customHeight="1" x14ac:dyDescent="0.25">
      <c r="A7380" s="399" t="s">
        <v>33</v>
      </c>
      <c r="B7380" s="400" t="s">
        <v>6</v>
      </c>
      <c r="C7380" s="400"/>
      <c r="D7380" s="401" t="s">
        <v>37</v>
      </c>
      <c r="E7380" s="402" t="s">
        <v>38</v>
      </c>
      <c r="F7380" s="403" t="s">
        <v>7</v>
      </c>
      <c r="G7380" s="404" t="s">
        <v>43</v>
      </c>
      <c r="H7380" s="405" t="s">
        <v>44</v>
      </c>
    </row>
    <row r="7381" spans="1:8" ht="15.75" customHeight="1" x14ac:dyDescent="0.25">
      <c r="A7381" s="406"/>
      <c r="B7381" s="407"/>
      <c r="C7381" s="393"/>
      <c r="D7381" s="408"/>
      <c r="E7381" s="408"/>
      <c r="F7381" s="409"/>
      <c r="G7381" s="410"/>
      <c r="H7381" s="411"/>
    </row>
    <row r="7382" spans="1:8" ht="15.75" customHeight="1" x14ac:dyDescent="0.25">
      <c r="A7382" s="556"/>
      <c r="B7382" s="557" t="s">
        <v>1782</v>
      </c>
      <c r="C7382" s="558"/>
      <c r="D7382" s="408"/>
      <c r="E7382" s="408"/>
      <c r="F7382" s="398"/>
      <c r="G7382" s="408"/>
      <c r="H7382" s="559"/>
    </row>
    <row r="7383" spans="1:8" ht="15.75" customHeight="1" x14ac:dyDescent="0.25">
      <c r="A7383" s="425" t="s">
        <v>55</v>
      </c>
      <c r="B7383" s="448" t="s">
        <v>1735</v>
      </c>
      <c r="C7383" s="507"/>
      <c r="D7383" s="427">
        <v>11</v>
      </c>
      <c r="E7383" s="427">
        <v>5</v>
      </c>
      <c r="F7383" s="391">
        <f>+E7383*D7383</f>
      </c>
      <c r="G7383" s="427">
        <v>1</v>
      </c>
      <c r="H7383" s="429">
        <f>+G7383*F7383</f>
      </c>
    </row>
    <row r="7384" spans="1:8" ht="15.75" customHeight="1" x14ac:dyDescent="0.25">
      <c r="A7384" s="425"/>
      <c r="B7384" s="557"/>
      <c r="C7384" s="560"/>
      <c r="D7384" s="427"/>
      <c r="E7384" s="427"/>
      <c r="F7384" s="391"/>
      <c r="G7384" s="427"/>
      <c r="H7384" s="429"/>
    </row>
    <row r="7385" spans="1:8" ht="15.75" customHeight="1" x14ac:dyDescent="0.25">
      <c r="A7385" s="502"/>
      <c r="B7385" s="503"/>
      <c r="C7385" s="777"/>
      <c r="D7385" s="633"/>
      <c r="E7385" s="427"/>
      <c r="F7385" s="391"/>
      <c r="G7385" s="427"/>
      <c r="H7385" s="429"/>
    </row>
    <row r="7386" spans="1:8" ht="15.75" customHeight="1" x14ac:dyDescent="0.25">
      <c r="A7386" s="502"/>
      <c r="B7386" s="503"/>
      <c r="C7386" s="390"/>
      <c r="D7386" s="633"/>
      <c r="E7386" s="427"/>
      <c r="F7386" s="391"/>
      <c r="G7386" s="427"/>
      <c r="H7386" s="429"/>
    </row>
    <row r="7387" spans="1:8" ht="15.75" customHeight="1" x14ac:dyDescent="0.25">
      <c r="A7387" s="502"/>
      <c r="B7387" s="557"/>
      <c r="C7387" s="560"/>
      <c r="D7387" s="633"/>
      <c r="E7387" s="427"/>
      <c r="F7387" s="391"/>
      <c r="G7387" s="427"/>
      <c r="H7387" s="429"/>
    </row>
    <row r="7388" spans="1:8" ht="15.75" customHeight="1" x14ac:dyDescent="0.25">
      <c r="A7388" s="502"/>
      <c r="B7388" s="503"/>
      <c r="C7388" s="390"/>
      <c r="D7388" s="427"/>
      <c r="E7388" s="427"/>
      <c r="F7388" s="391"/>
      <c r="G7388" s="427"/>
      <c r="H7388" s="429"/>
    </row>
    <row r="7389" spans="1:8" ht="15.75" customHeight="1" x14ac:dyDescent="0.25">
      <c r="A7389" s="502"/>
      <c r="B7389" s="503"/>
      <c r="C7389" s="390"/>
      <c r="D7389" s="633"/>
      <c r="E7389" s="427"/>
      <c r="F7389" s="391"/>
      <c r="G7389" s="427"/>
      <c r="H7389" s="429"/>
    </row>
    <row r="7390" spans="1:8" ht="15.75" customHeight="1" x14ac:dyDescent="0.25">
      <c r="A7390" s="502"/>
      <c r="B7390" s="503"/>
      <c r="C7390" s="390"/>
      <c r="D7390" s="633"/>
      <c r="E7390" s="427"/>
      <c r="F7390" s="391"/>
      <c r="G7390" s="427"/>
      <c r="H7390" s="429"/>
    </row>
    <row r="7391" spans="1:8" ht="15.75" customHeight="1" x14ac:dyDescent="0.25">
      <c r="A7391" s="502"/>
      <c r="B7391" s="503"/>
      <c r="C7391" s="390"/>
      <c r="D7391" s="427"/>
      <c r="E7391" s="427"/>
      <c r="F7391" s="391"/>
      <c r="G7391" s="427"/>
      <c r="H7391" s="429"/>
    </row>
    <row r="7392" spans="1:8" ht="15.75" customHeight="1" x14ac:dyDescent="0.25">
      <c r="A7392" s="432"/>
      <c r="B7392" s="433"/>
      <c r="C7392" s="434" t="s">
        <v>85</v>
      </c>
      <c r="D7392" s="435">
        <f>SUM(D7383:D7391)</f>
      </c>
      <c r="E7392" s="435"/>
      <c r="F7392" s="436"/>
      <c r="G7392" s="437"/>
      <c r="H7392" s="438">
        <f>SUM(H7383:H7391)</f>
      </c>
    </row>
    <row r="7393" spans="1:8" ht="15.75" customHeight="1" x14ac:dyDescent="0.25">
      <c r="A7393" s="439"/>
      <c r="B7393" s="440"/>
      <c r="C7393" s="440"/>
      <c r="D7393" s="441"/>
      <c r="E7393" s="440"/>
      <c r="F7393" s="442"/>
      <c r="G7393" s="443"/>
      <c r="H7393" s="444"/>
    </row>
    <row r="7394" spans="1:8" ht="15.75" customHeight="1" x14ac:dyDescent="0.25">
      <c r="A7394" s="565" t="s">
        <v>1215</v>
      </c>
      <c r="B7394" s="565"/>
      <c r="C7394" s="565"/>
      <c r="D7394" s="565"/>
      <c r="E7394" s="565"/>
      <c r="F7394" s="565"/>
      <c r="G7394" s="565"/>
      <c r="H7394" s="565"/>
    </row>
    <row r="7395" spans="1:8" ht="15.75" customHeight="1" x14ac:dyDescent="0.25">
      <c r="A7395" s="445"/>
      <c r="B7395" s="445"/>
      <c r="C7395" s="445"/>
      <c r="D7395" s="446" t="s">
        <v>97</v>
      </c>
      <c r="E7395" s="445" t="s">
        <v>98</v>
      </c>
      <c r="F7395" s="445"/>
      <c r="G7395" s="390"/>
      <c r="H7395" s="394"/>
    </row>
    <row r="7396" spans="1:8" ht="15.75" customHeight="1" x14ac:dyDescent="0.25">
      <c r="A7396" s="390"/>
      <c r="B7396" s="390"/>
      <c r="C7396" s="390"/>
      <c r="D7396" s="391"/>
      <c r="E7396" s="390"/>
      <c r="F7396" s="390"/>
      <c r="G7396" s="390"/>
      <c r="H7396" s="394"/>
    </row>
    <row r="7397" spans="1:8" ht="15.75" customHeight="1" x14ac:dyDescent="0.25">
      <c r="A7397" s="390"/>
      <c r="B7397" s="390"/>
      <c r="C7397" s="390"/>
      <c r="D7397" s="391"/>
      <c r="E7397" s="390"/>
      <c r="F7397" s="390"/>
      <c r="G7397" s="390"/>
      <c r="H7397" s="394"/>
    </row>
    <row r="7398" spans="1:8" ht="15.75" customHeight="1" x14ac:dyDescent="0.25">
      <c r="A7398" s="445"/>
      <c r="B7398" s="445"/>
      <c r="C7398" s="445"/>
      <c r="D7398" s="446"/>
      <c r="E7398" s="445" t="s">
        <v>99</v>
      </c>
      <c r="F7398" s="445"/>
      <c r="G7398" s="390"/>
      <c r="H7398" s="394"/>
    </row>
    <row r="7399" spans="1:8" ht="15.75" customHeight="1" x14ac:dyDescent="0.25">
      <c r="D7399" s="4"/>
      <c r="H7399" s="4"/>
    </row>
    <row r="7400" spans="1:8" ht="15.75" customHeight="1" x14ac:dyDescent="0.25">
      <c r="D7400" s="4"/>
      <c r="H7400" s="4"/>
    </row>
    <row r="7401" spans="1:8" ht="15.75" customHeight="1" x14ac:dyDescent="0.25">
      <c r="D7401" s="4"/>
      <c r="H7401" s="4"/>
    </row>
    <row r="7402" spans="1:8" ht="15.75" customHeight="1" x14ac:dyDescent="0.25">
      <c r="D7402" s="4"/>
      <c r="H7402" s="4"/>
    </row>
    <row r="7403" spans="1:8" ht="15.75" customHeight="1" x14ac:dyDescent="0.25">
      <c r="D7403" s="4"/>
      <c r="H7403" s="4"/>
    </row>
    <row r="7404" spans="1:8" ht="15.75" customHeight="1" x14ac:dyDescent="0.25">
      <c r="D7404" s="4"/>
      <c r="H7404" s="4"/>
    </row>
    <row r="7405" spans="1:8" ht="15.75" customHeight="1" x14ac:dyDescent="0.25">
      <c r="D7405" s="4"/>
      <c r="H7405" s="4"/>
    </row>
    <row r="7406" spans="1:8" ht="15.75" customHeight="1" x14ac:dyDescent="0.25">
      <c r="D7406" s="4"/>
      <c r="H7406" s="4"/>
    </row>
    <row r="7407" spans="1:8" ht="15.75" customHeight="1" x14ac:dyDescent="0.25">
      <c r="D7407" s="4"/>
      <c r="H7407" s="4"/>
    </row>
    <row r="7408" spans="1:8" ht="15.75" customHeight="1" x14ac:dyDescent="0.25">
      <c r="D7408" s="4"/>
      <c r="H7408" s="4"/>
    </row>
    <row r="7409" spans="1:8" ht="15.75" customHeight="1" x14ac:dyDescent="0.25">
      <c r="D7409" s="4"/>
      <c r="H7409" s="4"/>
    </row>
    <row r="7410" spans="1:8" ht="15.75" customHeight="1" x14ac:dyDescent="0.25">
      <c r="D7410" s="4"/>
      <c r="H7410" s="4"/>
    </row>
    <row r="7411" spans="1:8" ht="15.75" customHeight="1" x14ac:dyDescent="0.25">
      <c r="D7411" s="4"/>
      <c r="H7411" s="4"/>
    </row>
    <row r="7412" spans="1:8" ht="15.75" customHeight="1" x14ac:dyDescent="0.25">
      <c r="A7412" s="398" t="s">
        <v>14</v>
      </c>
      <c r="B7412" s="398"/>
      <c r="C7412" s="398"/>
      <c r="D7412" s="398"/>
      <c r="E7412" s="398"/>
      <c r="F7412" s="398"/>
      <c r="G7412" s="398"/>
      <c r="H7412" s="398"/>
    </row>
    <row r="7413" spans="1:8" ht="15.75" customHeight="1" x14ac:dyDescent="0.25">
      <c r="A7413" s="390"/>
      <c r="B7413" s="390"/>
      <c r="C7413" s="390"/>
      <c r="D7413" s="391"/>
      <c r="E7413" s="390"/>
      <c r="F7413" s="390"/>
      <c r="G7413" s="390"/>
      <c r="H7413" s="398"/>
    </row>
    <row r="7414" spans="1:8" ht="15.75" customHeight="1" x14ac:dyDescent="0.25">
      <c r="A7414" s="390"/>
      <c r="B7414" s="390"/>
      <c r="C7414" s="391"/>
      <c r="D7414" s="392"/>
      <c r="E7414" s="393"/>
      <c r="F7414" s="393"/>
      <c r="G7414" s="393"/>
      <c r="H7414" s="394"/>
    </row>
    <row r="7415" spans="1:8" ht="15.75" customHeight="1" x14ac:dyDescent="0.25">
      <c r="A7415" s="390"/>
      <c r="B7415" s="390"/>
      <c r="C7415" s="390"/>
      <c r="D7415" s="391"/>
      <c r="E7415" s="390"/>
      <c r="F7415" s="395" t="s">
        <v>18</v>
      </c>
      <c r="G7415" s="396" t="s">
        <v>908</v>
      </c>
      <c r="H7415" s="397"/>
    </row>
    <row r="7416" spans="1:8" ht="15.75" customHeight="1" x14ac:dyDescent="0.25">
      <c r="A7416" s="390" t="s">
        <v>20</v>
      </c>
      <c r="B7416" s="390"/>
      <c r="C7416" s="390"/>
      <c r="D7416" s="391"/>
      <c r="E7416" s="390"/>
      <c r="F7416" s="395" t="s">
        <v>21</v>
      </c>
      <c r="G7416" s="390" t="s">
        <v>1783</v>
      </c>
      <c r="H7416" s="391"/>
    </row>
    <row r="7417" spans="1:8" ht="15.75" customHeight="1" x14ac:dyDescent="0.25">
      <c r="A7417" s="390" t="inlineStr">
        <is>
          <t>Dealer-009</t>
        </is>
      </c>
      <c r="B7417" s="390"/>
      <c r="C7417" s="390" t="inlineStr">
        <is>
          <t>ATTN: Contact-001</t>
        </is>
      </c>
      <c r="D7417" s="391"/>
      <c r="E7417" s="395"/>
      <c r="F7417" s="390"/>
      <c r="G7417" s="390"/>
      <c r="H7417" s="394"/>
    </row>
    <row r="7418" spans="1:8" ht="15.75" customHeight="1" x14ac:dyDescent="0.25">
      <c r="A7418" s="390" t="inlineStr">
        <is>
          <t>Address line (redacted)</t>
        </is>
      </c>
      <c r="B7418" s="390"/>
      <c r="C7418" s="390"/>
      <c r="D7418" s="398"/>
      <c r="E7418" s="390"/>
      <c r="F7418" s="391"/>
      <c r="G7418" s="390"/>
      <c r="H7418" s="394"/>
    </row>
    <row r="7419" spans="1:8" ht="15.75" customHeight="1" x14ac:dyDescent="0.25">
      <c r="A7419" s="390" t="inlineStr">
        <is>
          <t>Address line (redacted)</t>
        </is>
      </c>
      <c r="B7419" s="390"/>
      <c r="C7419" s="390"/>
      <c r="D7419" s="398"/>
      <c r="E7419" s="390"/>
      <c r="F7419" s="391"/>
      <c r="G7419" s="390"/>
      <c r="H7419" s="394"/>
    </row>
    <row r="7420" spans="1:8" ht="15.75" customHeight="1" x14ac:dyDescent="0.25">
      <c r="A7420" s="447"/>
      <c r="B7420" s="390"/>
      <c r="C7420" s="390"/>
      <c r="D7420" s="391"/>
      <c r="E7420" s="390"/>
      <c r="F7420" s="391"/>
      <c r="G7420" s="390"/>
      <c r="H7420" s="394"/>
    </row>
    <row r="7421" spans="1:8" ht="15.75" customHeight="1" x14ac:dyDescent="0.25">
      <c r="A7421" s="390" t="s">
        <v>30</v>
      </c>
      <c r="B7421" s="390"/>
      <c r="C7421" s="390"/>
      <c r="D7421" s="391"/>
      <c r="E7421" s="390"/>
      <c r="F7421" s="391"/>
      <c r="G7421" s="390"/>
      <c r="H7421" s="394"/>
    </row>
    <row r="7422" spans="1:8" ht="15.75" customHeight="1" x14ac:dyDescent="0.25">
      <c r="A7422" s="390"/>
      <c r="B7422" s="390"/>
      <c r="C7422" s="390"/>
      <c r="D7422" s="391"/>
      <c r="E7422" s="390"/>
      <c r="F7422" s="391"/>
      <c r="G7422" s="390"/>
      <c r="H7422" s="394"/>
    </row>
    <row r="7423" spans="1:8" ht="15.75" customHeight="1" x14ac:dyDescent="0.25">
      <c r="A7423" s="390" t="s">
        <v>31</v>
      </c>
      <c r="B7423" s="390"/>
      <c r="C7423" s="390"/>
      <c r="D7423" s="391"/>
      <c r="E7423" s="390"/>
      <c r="F7423" s="391"/>
      <c r="G7423" s="390"/>
      <c r="H7423" s="394"/>
    </row>
    <row r="7424" spans="1:8" ht="15.75" customHeight="1" x14ac:dyDescent="0.25">
      <c r="A7424" s="390" t="s">
        <v>32</v>
      </c>
      <c r="B7424" s="390"/>
      <c r="C7424" s="390"/>
      <c r="D7424" s="391"/>
      <c r="E7424" s="390"/>
      <c r="F7424" s="391"/>
      <c r="G7424" s="390"/>
      <c r="H7424" s="394"/>
    </row>
    <row r="7425" spans="1:8" ht="15.75" customHeight="1" x14ac:dyDescent="0.25">
      <c r="A7425" s="390"/>
      <c r="B7425" s="390"/>
      <c r="C7425" s="390"/>
      <c r="D7425" s="391"/>
      <c r="E7425" s="390"/>
      <c r="F7425" s="391"/>
      <c r="G7425" s="390"/>
      <c r="H7425" s="394"/>
    </row>
    <row r="7426" spans="1:8" ht="15.75" customHeight="1" x14ac:dyDescent="0.25">
      <c r="A7426" s="399" t="s">
        <v>33</v>
      </c>
      <c r="B7426" s="400" t="s">
        <v>6</v>
      </c>
      <c r="C7426" s="400"/>
      <c r="D7426" s="401" t="s">
        <v>37</v>
      </c>
      <c r="E7426" s="402" t="s">
        <v>38</v>
      </c>
      <c r="F7426" s="403" t="s">
        <v>7</v>
      </c>
      <c r="G7426" s="404" t="s">
        <v>43</v>
      </c>
      <c r="H7426" s="405" t="s">
        <v>44</v>
      </c>
    </row>
    <row r="7427" spans="1:8" ht="15.75" customHeight="1" x14ac:dyDescent="0.25">
      <c r="A7427" s="406"/>
      <c r="B7427" s="407"/>
      <c r="C7427" s="393"/>
      <c r="D7427" s="408"/>
      <c r="E7427" s="408"/>
      <c r="F7427" s="409"/>
      <c r="G7427" s="410"/>
      <c r="H7427" s="411"/>
    </row>
    <row r="7428" spans="1:8" ht="15.75" customHeight="1" x14ac:dyDescent="0.25">
      <c r="A7428" s="556"/>
      <c r="B7428" s="557" t="s">
        <v>1102</v>
      </c>
      <c r="C7428" s="558"/>
      <c r="D7428" s="408"/>
      <c r="E7428" s="408"/>
      <c r="F7428" s="398"/>
      <c r="G7428" s="408"/>
      <c r="H7428" s="559"/>
    </row>
    <row r="7429" spans="1:8" ht="15.75" customHeight="1" x14ac:dyDescent="0.25">
      <c r="A7429" s="425" t="s">
        <v>55</v>
      </c>
      <c r="B7429" s="448" t="s">
        <v>1325</v>
      </c>
      <c r="C7429" s="507" t="s">
        <v>339</v>
      </c>
      <c r="D7429" s="427">
        <v>1</v>
      </c>
      <c r="E7429" s="427">
        <v>5</v>
      </c>
      <c r="F7429" s="391">
        <f t="shared" ref="F7429:F7431" si="223">+E7429*D7429</f>
      </c>
      <c r="G7429" s="427">
        <v>1</v>
      </c>
      <c r="H7429" s="429">
        <f t="shared" ref="H7429:H7431" si="224">+G7429*F7429</f>
      </c>
    </row>
    <row r="7430" spans="1:8" ht="15.75" customHeight="1" x14ac:dyDescent="0.25">
      <c r="A7430" s="425" t="s">
        <v>59</v>
      </c>
      <c r="B7430" s="448" t="s">
        <v>60</v>
      </c>
      <c r="C7430" s="507" t="s">
        <v>142</v>
      </c>
      <c r="D7430" s="427">
        <v>1</v>
      </c>
      <c r="E7430" s="427">
        <v>5</v>
      </c>
      <c r="F7430" s="391">
        <f t="shared" si="223"/>
      </c>
      <c r="G7430" s="427">
        <v>1</v>
      </c>
      <c r="H7430" s="429">
        <f t="shared" si="224"/>
      </c>
    </row>
    <row r="7431" spans="1:8" ht="15.75" customHeight="1" x14ac:dyDescent="0.25">
      <c r="A7431" s="425" t="s">
        <v>67</v>
      </c>
      <c r="B7431" s="448" t="s">
        <v>1784</v>
      </c>
      <c r="C7431" s="507" t="s">
        <v>96</v>
      </c>
      <c r="D7431" s="427">
        <v>1</v>
      </c>
      <c r="E7431" s="427">
        <v>5</v>
      </c>
      <c r="F7431" s="391">
        <f t="shared" si="223"/>
      </c>
      <c r="G7431" s="427">
        <v>1</v>
      </c>
      <c r="H7431" s="429">
        <f t="shared" si="224"/>
      </c>
    </row>
    <row r="7432" spans="1:8" ht="15.75" customHeight="1" x14ac:dyDescent="0.25">
      <c r="A7432" s="425"/>
      <c r="B7432" s="557" t="s">
        <v>590</v>
      </c>
      <c r="C7432" s="558"/>
      <c r="D7432" s="427"/>
      <c r="E7432" s="427"/>
      <c r="F7432" s="391"/>
      <c r="G7432" s="427"/>
      <c r="H7432" s="429"/>
    </row>
    <row r="7433" spans="1:8" ht="15.75" customHeight="1" x14ac:dyDescent="0.25">
      <c r="A7433" s="425" t="s">
        <v>485</v>
      </c>
      <c r="B7433" s="448" t="s">
        <v>158</v>
      </c>
      <c r="C7433" s="390" t="s">
        <v>390</v>
      </c>
      <c r="D7433" s="427">
        <v>1</v>
      </c>
      <c r="E7433" s="427">
        <v>6</v>
      </c>
      <c r="F7433" s="391">
        <f t="shared" ref="F7433:F7437" si="225">+E7433*D7433</f>
      </c>
      <c r="G7433" s="427">
        <v>1</v>
      </c>
      <c r="H7433" s="429">
        <f t="shared" ref="H7433:H7437" si="226">+G7433*F7433</f>
      </c>
    </row>
    <row r="7434" spans="1:8" ht="15.75" customHeight="1" x14ac:dyDescent="0.25">
      <c r="A7434" s="425" t="s">
        <v>486</v>
      </c>
      <c r="B7434" s="448" t="s">
        <v>80</v>
      </c>
      <c r="C7434" s="390" t="s">
        <v>376</v>
      </c>
      <c r="D7434" s="427">
        <v>2</v>
      </c>
      <c r="E7434" s="427">
        <v>6</v>
      </c>
      <c r="F7434" s="391">
        <f t="shared" si="225"/>
      </c>
      <c r="G7434" s="427">
        <v>1</v>
      </c>
      <c r="H7434" s="429">
        <f t="shared" si="226"/>
      </c>
    </row>
    <row r="7435" spans="1:8" ht="15.75" customHeight="1" x14ac:dyDescent="0.25">
      <c r="A7435" s="425" t="s">
        <v>489</v>
      </c>
      <c r="B7435" s="448" t="s">
        <v>1718</v>
      </c>
      <c r="C7435" s="390" t="s">
        <v>379</v>
      </c>
      <c r="D7435" s="427">
        <v>1</v>
      </c>
      <c r="E7435" s="427">
        <v>6</v>
      </c>
      <c r="F7435" s="391">
        <f t="shared" si="225"/>
      </c>
      <c r="G7435" s="427">
        <v>1</v>
      </c>
      <c r="H7435" s="429">
        <f t="shared" si="226"/>
      </c>
    </row>
    <row r="7436" spans="1:8" ht="15.75" customHeight="1" x14ac:dyDescent="0.25">
      <c r="A7436" s="425" t="s">
        <v>490</v>
      </c>
      <c r="B7436" s="448" t="s">
        <v>685</v>
      </c>
      <c r="C7436" s="390" t="s">
        <v>359</v>
      </c>
      <c r="D7436" s="427">
        <v>1</v>
      </c>
      <c r="E7436" s="427">
        <v>6</v>
      </c>
      <c r="F7436" s="391">
        <f t="shared" si="225"/>
      </c>
      <c r="G7436" s="427">
        <v>1</v>
      </c>
      <c r="H7436" s="429">
        <f t="shared" si="226"/>
      </c>
    </row>
    <row r="7437" spans="1:8" ht="15.75" customHeight="1" x14ac:dyDescent="0.25">
      <c r="A7437" s="425" t="s">
        <v>781</v>
      </c>
      <c r="B7437" s="448" t="s">
        <v>139</v>
      </c>
      <c r="C7437" s="390" t="s">
        <v>1349</v>
      </c>
      <c r="D7437" s="427">
        <v>1</v>
      </c>
      <c r="E7437" s="427">
        <v>6</v>
      </c>
      <c r="F7437" s="391">
        <f t="shared" si="225"/>
      </c>
      <c r="G7437" s="427">
        <v>1</v>
      </c>
      <c r="H7437" s="429">
        <f t="shared" si="226"/>
      </c>
    </row>
    <row r="7438" spans="1:8" ht="15.75" customHeight="1" x14ac:dyDescent="0.25">
      <c r="A7438" s="425"/>
      <c r="B7438" s="557" t="s">
        <v>50</v>
      </c>
      <c r="C7438" s="558"/>
      <c r="D7438" s="427"/>
      <c r="E7438" s="427"/>
      <c r="F7438" s="391"/>
      <c r="G7438" s="427"/>
      <c r="H7438" s="429"/>
    </row>
    <row r="7439" spans="1:8" ht="15.75" customHeight="1" x14ac:dyDescent="0.25">
      <c r="A7439" s="502" t="s">
        <v>785</v>
      </c>
      <c r="B7439" s="503" t="s">
        <v>127</v>
      </c>
      <c r="C7439" s="390" t="s">
        <v>439</v>
      </c>
      <c r="D7439" s="427">
        <v>1</v>
      </c>
      <c r="E7439" s="427">
        <v>25</v>
      </c>
      <c r="F7439" s="391">
        <f>+E7439*D7439</f>
      </c>
      <c r="G7439" s="427">
        <v>1</v>
      </c>
      <c r="H7439" s="429">
        <f>+G7439*F7439</f>
      </c>
    </row>
    <row r="7440" spans="1:8" ht="15.75" customHeight="1" x14ac:dyDescent="0.25">
      <c r="A7440" s="425"/>
      <c r="B7440" s="557" t="s">
        <v>674</v>
      </c>
      <c r="C7440" s="560"/>
      <c r="D7440" s="427"/>
      <c r="E7440" s="427"/>
      <c r="F7440" s="391"/>
      <c r="G7440" s="427"/>
      <c r="H7440" s="429"/>
    </row>
    <row r="7441" spans="1:8" ht="15.75" customHeight="1" x14ac:dyDescent="0.25">
      <c r="A7441" s="502" t="s">
        <v>787</v>
      </c>
      <c r="B7441" s="503" t="s">
        <v>931</v>
      </c>
      <c r="C7441" s="777" t="s">
        <v>1762</v>
      </c>
      <c r="D7441" s="427">
        <v>5</v>
      </c>
      <c r="E7441" s="427">
        <v>1</v>
      </c>
      <c r="F7441" s="391">
        <f>+E7441*D7441</f>
      </c>
      <c r="G7441" s="427">
        <v>1</v>
      </c>
      <c r="H7441" s="429">
        <f>+G7441*F7441</f>
      </c>
    </row>
    <row r="7442" spans="1:8" ht="15.75" customHeight="1" x14ac:dyDescent="0.25">
      <c r="A7442" s="502"/>
      <c r="B7442" s="503"/>
      <c r="C7442" s="777"/>
      <c r="D7442" s="427"/>
      <c r="E7442" s="427"/>
      <c r="F7442" s="391"/>
      <c r="G7442" s="427"/>
      <c r="H7442" s="429"/>
    </row>
    <row r="7443" spans="1:8" ht="15.75" customHeight="1" x14ac:dyDescent="0.25">
      <c r="A7443" s="502"/>
      <c r="B7443" s="557" t="s">
        <v>1329</v>
      </c>
      <c r="C7443" s="560"/>
      <c r="D7443" s="427"/>
      <c r="E7443" s="427"/>
      <c r="F7443" s="391"/>
      <c r="G7443" s="427"/>
      <c r="H7443" s="429"/>
    </row>
    <row r="7444" spans="1:8" ht="15.75" customHeight="1" x14ac:dyDescent="0.25">
      <c r="A7444" s="502" t="s">
        <v>790</v>
      </c>
      <c r="B7444" s="503" t="s">
        <v>1785</v>
      </c>
      <c r="C7444" s="390" t="s">
        <v>1786</v>
      </c>
      <c r="D7444" s="427">
        <v>2</v>
      </c>
      <c r="E7444" s="427">
        <v>24</v>
      </c>
      <c r="F7444" s="391">
        <f>+E7444*D7444</f>
      </c>
      <c r="G7444" s="427">
        <v>1</v>
      </c>
      <c r="H7444" s="429">
        <f>+G7444*F7444</f>
      </c>
    </row>
    <row r="7445" spans="1:8" ht="15.75" customHeight="1" x14ac:dyDescent="0.25">
      <c r="A7445" s="502"/>
      <c r="B7445" s="503"/>
      <c r="C7445" s="390"/>
      <c r="D7445" s="427"/>
      <c r="E7445" s="427"/>
      <c r="F7445" s="391"/>
      <c r="G7445" s="427"/>
      <c r="H7445" s="429"/>
    </row>
    <row r="7446" spans="1:8" ht="15.75" customHeight="1" x14ac:dyDescent="0.25">
      <c r="A7446" s="432"/>
      <c r="B7446" s="433"/>
      <c r="C7446" s="434" t="s">
        <v>85</v>
      </c>
      <c r="D7446" s="435">
        <f>SUM(D7429:D7445)</f>
      </c>
      <c r="E7446" s="435"/>
      <c r="F7446" s="436"/>
      <c r="G7446" s="437"/>
      <c r="H7446" s="438">
        <f>SUM(H7429:H7445)</f>
      </c>
    </row>
    <row r="7447" spans="1:8" ht="15.75" customHeight="1" x14ac:dyDescent="0.25">
      <c r="A7447" s="439"/>
      <c r="B7447" s="440"/>
      <c r="C7447" s="440"/>
      <c r="D7447" s="441"/>
      <c r="E7447" s="440"/>
      <c r="F7447" s="442"/>
      <c r="G7447" s="443"/>
      <c r="H7447" s="444"/>
    </row>
    <row r="7448" spans="1:8" ht="15.75" customHeight="1" x14ac:dyDescent="0.25">
      <c r="A7448" s="565" t="s">
        <v>1215</v>
      </c>
      <c r="B7448" s="565"/>
      <c r="C7448" s="565"/>
      <c r="D7448" s="565"/>
      <c r="E7448" s="565"/>
      <c r="F7448" s="565"/>
      <c r="G7448" s="565"/>
      <c r="H7448" s="565"/>
    </row>
    <row r="7449" spans="1:8" ht="15.75" customHeight="1" x14ac:dyDescent="0.25">
      <c r="A7449" s="445"/>
      <c r="B7449" s="445"/>
      <c r="C7449" s="445"/>
      <c r="D7449" s="446" t="s">
        <v>97</v>
      </c>
      <c r="E7449" s="445" t="s">
        <v>98</v>
      </c>
      <c r="F7449" s="445"/>
      <c r="G7449" s="390"/>
      <c r="H7449" s="394"/>
    </row>
    <row r="7450" spans="1:8" ht="15.75" customHeight="1" x14ac:dyDescent="0.25">
      <c r="A7450" s="390"/>
      <c r="B7450" s="390"/>
      <c r="C7450" s="390"/>
      <c r="D7450" s="391"/>
      <c r="E7450" s="390"/>
      <c r="F7450" s="390"/>
      <c r="G7450" s="390"/>
      <c r="H7450" s="394"/>
    </row>
    <row r="7451" spans="1:8" ht="15.75" customHeight="1" x14ac:dyDescent="0.25">
      <c r="A7451" s="390"/>
      <c r="B7451" s="390"/>
      <c r="C7451" s="390"/>
      <c r="D7451" s="391"/>
      <c r="E7451" s="390"/>
      <c r="F7451" s="390"/>
      <c r="G7451" s="390"/>
      <c r="H7451" s="394"/>
    </row>
    <row r="7452" spans="1:8" ht="15.75" customHeight="1" x14ac:dyDescent="0.25">
      <c r="A7452" s="445"/>
      <c r="B7452" s="445"/>
      <c r="C7452" s="445"/>
      <c r="D7452" s="446"/>
      <c r="E7452" s="445" t="s">
        <v>99</v>
      </c>
      <c r="F7452" s="445"/>
      <c r="G7452" s="390"/>
      <c r="H7452" s="394"/>
    </row>
    <row r="7453" spans="1:8" ht="15.75" customHeight="1" x14ac:dyDescent="0.25">
      <c r="D7453" s="4"/>
      <c r="H7453" s="4"/>
    </row>
    <row r="7454" spans="1:8" ht="15.75" customHeight="1" x14ac:dyDescent="0.25">
      <c r="D7454" s="4"/>
      <c r="H7454" s="4"/>
    </row>
    <row r="7455" spans="1:8" ht="15.75" customHeight="1" x14ac:dyDescent="0.25">
      <c r="D7455" s="4"/>
      <c r="H7455" s="4"/>
    </row>
    <row r="7456" spans="1:8" ht="15.75" customHeight="1" x14ac:dyDescent="0.25">
      <c r="D7456" s="4"/>
      <c r="H7456" s="4"/>
    </row>
    <row r="7457" spans="1:8" ht="15.75" customHeight="1" x14ac:dyDescent="0.25">
      <c r="D7457" s="4"/>
      <c r="H7457" s="4"/>
    </row>
    <row r="7458" spans="1:8" ht="15.75" customHeight="1" x14ac:dyDescent="0.25">
      <c r="A7458" s="566" t="s">
        <v>14</v>
      </c>
      <c r="B7458" s="567"/>
      <c r="C7458" s="567"/>
      <c r="D7458" s="567"/>
      <c r="E7458" s="567"/>
      <c r="F7458" s="567"/>
      <c r="G7458" s="567"/>
      <c r="H7458" s="568"/>
    </row>
    <row r="7459" spans="1:8" ht="15.75" customHeight="1" x14ac:dyDescent="0.25">
      <c r="A7459" s="390"/>
      <c r="B7459" s="390"/>
      <c r="C7459" s="391"/>
      <c r="D7459" s="392"/>
      <c r="E7459" s="569"/>
      <c r="F7459" s="391"/>
      <c r="G7459" s="390"/>
      <c r="H7459" s="394"/>
    </row>
    <row r="7460" spans="1:8" ht="15.75" customHeight="1" x14ac:dyDescent="0.25">
      <c r="A7460" s="390"/>
      <c r="B7460" s="390"/>
      <c r="C7460" s="390"/>
      <c r="D7460" s="391"/>
      <c r="E7460" s="390"/>
      <c r="F7460" s="395" t="s">
        <v>18</v>
      </c>
      <c r="G7460" s="396" t="s">
        <v>910</v>
      </c>
      <c r="H7460" s="394"/>
    </row>
    <row r="7461" spans="1:8" ht="15.75" customHeight="1" x14ac:dyDescent="0.25">
      <c r="A7461" s="390" t="s">
        <v>20</v>
      </c>
      <c r="B7461" s="390"/>
      <c r="C7461" s="390"/>
      <c r="D7461" s="391"/>
      <c r="E7461" s="390"/>
      <c r="F7461" s="395" t="s">
        <v>21</v>
      </c>
      <c r="G7461" s="390" t="s">
        <v>1787</v>
      </c>
      <c r="H7461" s="394"/>
    </row>
    <row r="7462" spans="1:8" ht="15.75" customHeight="1" x14ac:dyDescent="0.25">
      <c r="A7462" s="390" t="inlineStr">
        <is>
          <t>Dealer-010</t>
        </is>
      </c>
      <c r="B7462" s="390"/>
      <c r="C7462" s="390"/>
      <c r="D7462" s="391"/>
      <c r="E7462" s="390"/>
      <c r="F7462" s="391"/>
      <c r="G7462" s="390"/>
      <c r="H7462" s="394"/>
    </row>
    <row r="7463" spans="1:8" ht="15.75" customHeight="1" x14ac:dyDescent="0.25">
      <c r="A7463" s="390" t="inlineStr">
        <is>
          <t>Address line (redacted)</t>
        </is>
      </c>
      <c r="B7463" s="390"/>
      <c r="C7463" s="390"/>
      <c r="D7463" s="398"/>
      <c r="E7463" s="390"/>
      <c r="F7463" s="391"/>
      <c r="G7463" s="390"/>
      <c r="H7463" s="394"/>
    </row>
    <row r="7464" spans="1:8" ht="15.75" customHeight="1" x14ac:dyDescent="0.25">
      <c r="A7464" s="390" t="inlineStr">
        <is>
          <t>Address line (redacted)</t>
        </is>
      </c>
      <c r="B7464" s="390"/>
      <c r="C7464" s="390"/>
      <c r="D7464" s="398"/>
      <c r="E7464" s="390"/>
      <c r="F7464" s="391"/>
      <c r="G7464" s="390"/>
      <c r="H7464" s="394"/>
    </row>
    <row r="7465" spans="1:8" ht="15.75" customHeight="1" x14ac:dyDescent="0.25">
      <c r="A7465" s="390" t="inlineStr">
        <is>
          <t>Address line (redacted)</t>
        </is>
      </c>
      <c r="B7465" s="390"/>
      <c r="C7465" s="390"/>
      <c r="D7465" s="398"/>
      <c r="E7465" s="390"/>
      <c r="F7465" s="391"/>
      <c r="G7465" s="390"/>
      <c r="H7465" s="394"/>
    </row>
    <row r="7466" spans="1:8" ht="15.75" customHeight="1" x14ac:dyDescent="0.25">
      <c r="A7466" s="390"/>
      <c r="B7466" s="390"/>
      <c r="C7466" s="390"/>
      <c r="D7466" s="398"/>
      <c r="E7466" s="390"/>
      <c r="F7466" s="391"/>
      <c r="G7466" s="390"/>
      <c r="H7466" s="394"/>
    </row>
    <row r="7467" spans="1:8" ht="15.75" customHeight="1" x14ac:dyDescent="0.25">
      <c r="A7467" s="390" t="s">
        <v>30</v>
      </c>
      <c r="B7467" s="390"/>
      <c r="C7467" s="390"/>
      <c r="D7467" s="391"/>
      <c r="E7467" s="390"/>
      <c r="F7467" s="391"/>
      <c r="G7467" s="390"/>
      <c r="H7467" s="394"/>
    </row>
    <row r="7468" spans="1:8" ht="15.75" customHeight="1" x14ac:dyDescent="0.25">
      <c r="A7468" s="390"/>
      <c r="B7468" s="390"/>
      <c r="C7468" s="390"/>
      <c r="D7468" s="391"/>
      <c r="E7468" s="390"/>
      <c r="F7468" s="391"/>
      <c r="G7468" s="390"/>
      <c r="H7468" s="394"/>
    </row>
    <row r="7469" spans="1:8" ht="15.75" customHeight="1" x14ac:dyDescent="0.25">
      <c r="A7469" s="390" t="s">
        <v>1322</v>
      </c>
      <c r="B7469" s="390"/>
      <c r="C7469" s="390"/>
      <c r="D7469" s="391"/>
      <c r="E7469" s="390"/>
      <c r="F7469" s="391"/>
      <c r="G7469" s="390"/>
      <c r="H7469" s="394"/>
    </row>
    <row r="7470" spans="1:8" ht="15.75" customHeight="1" x14ac:dyDescent="0.25">
      <c r="A7470" s="390" t="s">
        <v>1328</v>
      </c>
      <c r="B7470" s="390"/>
      <c r="C7470" s="390"/>
      <c r="D7470" s="391"/>
      <c r="E7470" s="390"/>
      <c r="F7470" s="391"/>
      <c r="G7470" s="390"/>
      <c r="H7470" s="394"/>
    </row>
    <row r="7471" spans="1:8" ht="15.75" customHeight="1" x14ac:dyDescent="0.25">
      <c r="A7471" s="390"/>
      <c r="B7471" s="390"/>
      <c r="C7471" s="390"/>
      <c r="D7471" s="391"/>
      <c r="E7471" s="390"/>
      <c r="F7471" s="391"/>
      <c r="G7471" s="390"/>
      <c r="H7471" s="394"/>
    </row>
    <row r="7472" spans="1:8" ht="15.75" customHeight="1" x14ac:dyDescent="0.25">
      <c r="A7472" s="399" t="s">
        <v>33</v>
      </c>
      <c r="B7472" s="400" t="s">
        <v>6</v>
      </c>
      <c r="C7472" s="400"/>
      <c r="D7472" s="401" t="s">
        <v>37</v>
      </c>
      <c r="E7472" s="402" t="s">
        <v>38</v>
      </c>
      <c r="F7472" s="403" t="s">
        <v>7</v>
      </c>
      <c r="G7472" s="404" t="s">
        <v>43</v>
      </c>
      <c r="H7472" s="405" t="s">
        <v>44</v>
      </c>
    </row>
    <row r="7473" spans="1:8" ht="15.75" customHeight="1" x14ac:dyDescent="0.25">
      <c r="A7473" s="406"/>
      <c r="B7473" s="407"/>
      <c r="C7473" s="393"/>
      <c r="D7473" s="408"/>
      <c r="E7473" s="408"/>
      <c r="F7473" s="409"/>
      <c r="G7473" s="410"/>
      <c r="H7473" s="411"/>
    </row>
    <row r="7474" spans="1:8" ht="15.75" customHeight="1" x14ac:dyDescent="0.25">
      <c r="A7474" s="412" t="s">
        <v>55</v>
      </c>
      <c r="B7474" s="708" t="s">
        <v>1681</v>
      </c>
      <c r="C7474" s="709"/>
      <c r="D7474" s="415">
        <v>7</v>
      </c>
      <c r="E7474" s="415">
        <v>100</v>
      </c>
      <c r="F7474" s="415">
        <f>+E7474*D7474</f>
      </c>
      <c r="G7474" s="415">
        <v>1</v>
      </c>
      <c r="H7474" s="589">
        <f>+G7474*F7474</f>
      </c>
    </row>
    <row r="7475" spans="1:8" ht="15.75" customHeight="1" x14ac:dyDescent="0.25">
      <c r="A7475" s="412"/>
      <c r="B7475" s="701" t="s">
        <v>1684</v>
      </c>
      <c r="C7475" s="700" t="s">
        <v>1788</v>
      </c>
      <c r="D7475" s="415"/>
      <c r="E7475" s="415"/>
      <c r="F7475" s="415"/>
      <c r="G7475" s="415" t="s">
        <v>2100</v>
      </c>
      <c r="H7475" s="589"/>
    </row>
    <row r="7476" spans="1:8" ht="15.75" customHeight="1" x14ac:dyDescent="0.25">
      <c r="A7476" s="425"/>
      <c r="B7476" s="448"/>
      <c r="C7476" s="574"/>
      <c r="D7476" s="427"/>
      <c r="E7476" s="427"/>
      <c r="F7476" s="391"/>
      <c r="G7476" s="427"/>
      <c r="H7476" s="429"/>
    </row>
    <row r="7477" spans="1:8" ht="15.75" customHeight="1" x14ac:dyDescent="0.25">
      <c r="A7477" s="425"/>
      <c r="B7477" s="448"/>
      <c r="C7477" s="574"/>
      <c r="D7477" s="427"/>
      <c r="E7477" s="427"/>
      <c r="F7477" s="391"/>
      <c r="G7477" s="427"/>
      <c r="H7477" s="429"/>
    </row>
    <row r="7478" spans="1:8" ht="15.75" customHeight="1" x14ac:dyDescent="0.25">
      <c r="A7478" s="430"/>
      <c r="B7478" s="409"/>
      <c r="C7478" s="393"/>
      <c r="D7478" s="427"/>
      <c r="E7478" s="427"/>
      <c r="F7478" s="428"/>
      <c r="G7478" s="431"/>
      <c r="H7478" s="429"/>
    </row>
    <row r="7479" spans="1:8" ht="15.75" customHeight="1" x14ac:dyDescent="0.25">
      <c r="A7479" s="432"/>
      <c r="B7479" s="433"/>
      <c r="C7479" s="434" t="s">
        <v>85</v>
      </c>
      <c r="D7479" s="435">
        <f>SUM(D7474:D7478)</f>
      </c>
      <c r="E7479" s="435"/>
      <c r="F7479" s="436">
        <f>SUM(F7474:F7478)</f>
      </c>
      <c r="G7479" s="437"/>
      <c r="H7479" s="438">
        <f>SUM(H7474:H7478)</f>
      </c>
    </row>
    <row r="7480" spans="1:8" ht="15.75" customHeight="1" x14ac:dyDescent="0.25">
      <c r="A7480" s="439"/>
      <c r="B7480" s="440"/>
      <c r="C7480" s="440"/>
      <c r="D7480" s="441"/>
      <c r="E7480" s="440"/>
      <c r="F7480" s="442"/>
      <c r="G7480" s="443"/>
      <c r="H7480" s="444"/>
    </row>
    <row r="7481" spans="1:8" ht="15.75" customHeight="1" x14ac:dyDescent="0.25">
      <c r="A7481" s="392"/>
      <c r="B7481" s="391"/>
      <c r="C7481" s="391"/>
      <c r="D7481" s="391"/>
      <c r="E7481" s="390"/>
      <c r="F7481" s="392"/>
      <c r="G7481" s="390"/>
      <c r="H7481" s="394"/>
    </row>
    <row r="7482" spans="1:8" ht="15.75" customHeight="1" x14ac:dyDescent="0.25">
      <c r="A7482" s="445"/>
      <c r="B7482" s="445"/>
      <c r="C7482" s="445"/>
      <c r="D7482" s="446" t="s">
        <v>97</v>
      </c>
      <c r="E7482" s="445" t="s">
        <v>98</v>
      </c>
      <c r="F7482" s="445"/>
      <c r="G7482" s="390"/>
      <c r="H7482" s="394"/>
    </row>
    <row r="7483" spans="1:8" ht="15.75" customHeight="1" x14ac:dyDescent="0.25">
      <c r="A7483" s="390"/>
      <c r="B7483" s="390"/>
      <c r="C7483" s="390"/>
      <c r="D7483" s="391"/>
      <c r="E7483" s="390"/>
      <c r="F7483" s="390"/>
      <c r="G7483" s="390"/>
      <c r="H7483" s="394"/>
    </row>
    <row r="7484" spans="1:8" ht="15.75" customHeight="1" x14ac:dyDescent="0.25">
      <c r="A7484" s="390"/>
      <c r="B7484" s="390"/>
      <c r="C7484" s="390"/>
      <c r="D7484" s="391"/>
      <c r="E7484" s="390"/>
      <c r="F7484" s="390"/>
      <c r="G7484" s="390"/>
      <c r="H7484" s="394"/>
    </row>
    <row r="7485" spans="1:8" ht="15.75" customHeight="1" x14ac:dyDescent="0.25">
      <c r="A7485" s="445"/>
      <c r="B7485" s="445"/>
      <c r="C7485" s="445"/>
      <c r="D7485" s="446"/>
      <c r="E7485" s="445" t="s">
        <v>99</v>
      </c>
      <c r="F7485" s="445"/>
      <c r="G7485" s="390"/>
      <c r="H7485" s="394"/>
    </row>
    <row r="7486" spans="1:8" ht="15.75" customHeight="1" x14ac:dyDescent="0.25">
      <c r="D7486" s="4"/>
      <c r="H7486" s="4"/>
    </row>
    <row r="7487" spans="1:8" ht="15.75" customHeight="1" x14ac:dyDescent="0.25">
      <c r="D7487" s="4"/>
      <c r="H7487" s="4"/>
    </row>
    <row r="7488" spans="1:8" ht="15.75" customHeight="1" x14ac:dyDescent="0.25">
      <c r="D7488" s="4"/>
      <c r="H7488" s="4"/>
    </row>
    <row r="7489" spans="1:8" ht="15.75" customHeight="1" x14ac:dyDescent="0.25">
      <c r="D7489" s="4"/>
      <c r="H7489" s="4"/>
    </row>
    <row r="7490" spans="1:8" ht="15.75" customHeight="1" x14ac:dyDescent="0.25">
      <c r="D7490" s="4"/>
      <c r="H7490" s="4"/>
    </row>
    <row r="7491" spans="1:8" ht="15.75" customHeight="1" x14ac:dyDescent="0.25">
      <c r="D7491" s="4"/>
      <c r="H7491" s="4"/>
    </row>
    <row r="7492" spans="1:8" ht="15.75" customHeight="1" x14ac:dyDescent="0.25">
      <c r="D7492" s="4"/>
      <c r="H7492" s="4"/>
    </row>
    <row r="7493" spans="1:8" ht="15.75" customHeight="1" x14ac:dyDescent="0.25">
      <c r="D7493" s="4"/>
      <c r="H7493" s="4"/>
    </row>
    <row r="7494" spans="1:8" ht="15.75" customHeight="1" x14ac:dyDescent="0.25">
      <c r="D7494" s="4"/>
      <c r="H7494" s="4"/>
    </row>
    <row r="7495" spans="1:8" ht="15.75" customHeight="1" x14ac:dyDescent="0.25">
      <c r="D7495" s="4"/>
      <c r="H7495" s="4"/>
    </row>
    <row r="7496" spans="1:8" ht="15.75" customHeight="1" x14ac:dyDescent="0.25">
      <c r="D7496" s="4"/>
      <c r="H7496" s="4"/>
    </row>
    <row r="7497" spans="1:8" ht="15.75" customHeight="1" x14ac:dyDescent="0.25">
      <c r="D7497" s="4"/>
      <c r="H7497" s="4"/>
    </row>
    <row r="7498" spans="1:8" ht="15.75" customHeight="1" x14ac:dyDescent="0.25">
      <c r="D7498" s="4"/>
      <c r="H7498" s="4"/>
    </row>
    <row r="7499" spans="1:8" ht="15.75" customHeight="1" x14ac:dyDescent="0.25">
      <c r="D7499" s="4"/>
      <c r="H7499" s="4"/>
    </row>
    <row r="7500" spans="1:8" ht="15.75" customHeight="1" x14ac:dyDescent="0.25">
      <c r="D7500" s="4"/>
      <c r="H7500" s="4"/>
    </row>
    <row r="7501" spans="1:8" ht="15.75" customHeight="1" x14ac:dyDescent="0.25">
      <c r="D7501" s="4"/>
      <c r="H7501" s="4"/>
    </row>
    <row r="7502" spans="1:8" ht="15.75" customHeight="1" x14ac:dyDescent="0.25">
      <c r="D7502" s="4"/>
      <c r="H7502" s="4"/>
    </row>
    <row r="7503" spans="1:8" ht="15.75" customHeight="1" x14ac:dyDescent="0.25">
      <c r="D7503" s="4"/>
      <c r="H7503" s="4"/>
    </row>
    <row r="7504" spans="1:8" ht="15.75" customHeight="1" x14ac:dyDescent="0.25">
      <c r="A7504" s="398" t="s">
        <v>14</v>
      </c>
      <c r="B7504" s="398"/>
      <c r="C7504" s="398"/>
      <c r="D7504" s="398"/>
      <c r="E7504" s="398"/>
      <c r="F7504" s="398"/>
      <c r="G7504" s="398"/>
      <c r="H7504" s="398"/>
    </row>
    <row r="7505" spans="1:8" ht="15.75" customHeight="1" x14ac:dyDescent="0.25">
      <c r="A7505" s="390"/>
      <c r="B7505" s="390"/>
      <c r="C7505" s="390"/>
      <c r="D7505" s="391"/>
      <c r="E7505" s="390"/>
      <c r="F7505" s="390"/>
      <c r="G7505" s="390"/>
      <c r="H7505" s="398"/>
    </row>
    <row r="7506" spans="1:8" ht="15.75" customHeight="1" x14ac:dyDescent="0.25">
      <c r="A7506" s="390"/>
      <c r="B7506" s="390"/>
      <c r="C7506" s="391"/>
      <c r="D7506" s="392"/>
      <c r="E7506" s="393"/>
      <c r="F7506" s="393"/>
      <c r="G7506" s="393"/>
      <c r="H7506" s="394"/>
    </row>
    <row r="7507" spans="1:8" ht="15.75" customHeight="1" x14ac:dyDescent="0.25">
      <c r="A7507" s="390"/>
      <c r="B7507" s="390"/>
      <c r="C7507" s="390"/>
      <c r="D7507" s="391"/>
      <c r="E7507" s="390"/>
      <c r="F7507" s="395" t="s">
        <v>18</v>
      </c>
      <c r="G7507" s="396" t="s">
        <v>915</v>
      </c>
      <c r="H7507" s="397"/>
    </row>
    <row r="7508" spans="1:8" ht="15.75" customHeight="1" x14ac:dyDescent="0.25">
      <c r="A7508" s="390" t="s">
        <v>20</v>
      </c>
      <c r="B7508" s="390"/>
      <c r="C7508" s="390"/>
      <c r="D7508" s="391"/>
      <c r="E7508" s="390"/>
      <c r="F7508" s="395" t="s">
        <v>21</v>
      </c>
      <c r="G7508" s="390" t="s">
        <v>1789</v>
      </c>
      <c r="H7508" s="391"/>
    </row>
    <row r="7509" spans="1:8" ht="15.75" customHeight="1" x14ac:dyDescent="0.25">
      <c r="A7509" s="390" t="inlineStr">
        <is>
          <t>Dealer-009</t>
        </is>
      </c>
      <c r="B7509" s="390"/>
      <c r="C7509" s="390" t="inlineStr">
        <is>
          <t>ATTN: Contact-001</t>
        </is>
      </c>
      <c r="D7509" s="391"/>
      <c r="E7509" s="395"/>
      <c r="F7509" s="390"/>
      <c r="G7509" s="390"/>
      <c r="H7509" s="394"/>
    </row>
    <row r="7510" spans="1:8" ht="15.75" customHeight="1" x14ac:dyDescent="0.25">
      <c r="A7510" s="390" t="inlineStr">
        <is>
          <t>Address line (redacted)</t>
        </is>
      </c>
      <c r="B7510" s="390"/>
      <c r="C7510" s="390"/>
      <c r="D7510" s="398"/>
      <c r="E7510" s="390"/>
      <c r="F7510" s="391"/>
      <c r="G7510" s="390"/>
      <c r="H7510" s="394"/>
    </row>
    <row r="7511" spans="1:8" ht="15.75" customHeight="1" x14ac:dyDescent="0.25">
      <c r="A7511" s="390" t="inlineStr">
        <is>
          <t>Address line (redacted)</t>
        </is>
      </c>
      <c r="B7511" s="390"/>
      <c r="C7511" s="390"/>
      <c r="D7511" s="398"/>
      <c r="E7511" s="390"/>
      <c r="F7511" s="391"/>
      <c r="G7511" s="390"/>
      <c r="H7511" s="394"/>
    </row>
    <row r="7512" spans="1:8" ht="15.75" customHeight="1" x14ac:dyDescent="0.25">
      <c r="A7512" s="447"/>
      <c r="B7512" s="390"/>
      <c r="C7512" s="390"/>
      <c r="D7512" s="391"/>
      <c r="E7512" s="390"/>
      <c r="F7512" s="391"/>
      <c r="G7512" s="390"/>
      <c r="H7512" s="394"/>
    </row>
    <row r="7513" spans="1:8" ht="15.75" customHeight="1" x14ac:dyDescent="0.25">
      <c r="A7513" s="390" t="s">
        <v>30</v>
      </c>
      <c r="B7513" s="390"/>
      <c r="C7513" s="390"/>
      <c r="D7513" s="391"/>
      <c r="E7513" s="390"/>
      <c r="F7513" s="391"/>
      <c r="G7513" s="390"/>
      <c r="H7513" s="394"/>
    </row>
    <row r="7514" spans="1:8" ht="15.75" customHeight="1" x14ac:dyDescent="0.25">
      <c r="A7514" s="390"/>
      <c r="B7514" s="390"/>
      <c r="C7514" s="390"/>
      <c r="D7514" s="391"/>
      <c r="E7514" s="390"/>
      <c r="F7514" s="391"/>
      <c r="G7514" s="390"/>
      <c r="H7514" s="394"/>
    </row>
    <row r="7515" spans="1:8" ht="15.75" customHeight="1" x14ac:dyDescent="0.25">
      <c r="A7515" s="390" t="s">
        <v>31</v>
      </c>
      <c r="B7515" s="390"/>
      <c r="C7515" s="390"/>
      <c r="D7515" s="391"/>
      <c r="E7515" s="390"/>
      <c r="F7515" s="391"/>
      <c r="G7515" s="390"/>
      <c r="H7515" s="394"/>
    </row>
    <row r="7516" spans="1:8" ht="15.75" customHeight="1" x14ac:dyDescent="0.25">
      <c r="A7516" s="390" t="s">
        <v>32</v>
      </c>
      <c r="B7516" s="390"/>
      <c r="C7516" s="390"/>
      <c r="D7516" s="391"/>
      <c r="E7516" s="390"/>
      <c r="F7516" s="391"/>
      <c r="G7516" s="390"/>
      <c r="H7516" s="394"/>
    </row>
    <row r="7517" spans="1:8" ht="15.75" customHeight="1" x14ac:dyDescent="0.25">
      <c r="A7517" s="390"/>
      <c r="B7517" s="390"/>
      <c r="C7517" s="390"/>
      <c r="D7517" s="391"/>
      <c r="E7517" s="390"/>
      <c r="F7517" s="391"/>
      <c r="G7517" s="390"/>
      <c r="H7517" s="394"/>
    </row>
    <row r="7518" spans="1:8" ht="15.75" customHeight="1" x14ac:dyDescent="0.25">
      <c r="A7518" s="399" t="s">
        <v>33</v>
      </c>
      <c r="B7518" s="400" t="s">
        <v>6</v>
      </c>
      <c r="C7518" s="400"/>
      <c r="D7518" s="401" t="s">
        <v>37</v>
      </c>
      <c r="E7518" s="402" t="s">
        <v>38</v>
      </c>
      <c r="F7518" s="403" t="s">
        <v>7</v>
      </c>
      <c r="G7518" s="404" t="s">
        <v>43</v>
      </c>
      <c r="H7518" s="405" t="s">
        <v>44</v>
      </c>
    </row>
    <row r="7519" spans="1:8" ht="15.75" customHeight="1" x14ac:dyDescent="0.25">
      <c r="A7519" s="406"/>
      <c r="B7519" s="407"/>
      <c r="C7519" s="393"/>
      <c r="D7519" s="408"/>
      <c r="E7519" s="408"/>
      <c r="F7519" s="409"/>
      <c r="G7519" s="410"/>
      <c r="H7519" s="411"/>
    </row>
    <row r="7520" spans="1:8" ht="15.75" customHeight="1" x14ac:dyDescent="0.25">
      <c r="A7520" s="556"/>
      <c r="B7520" s="557" t="s">
        <v>1102</v>
      </c>
      <c r="C7520" s="558"/>
      <c r="D7520" s="408"/>
      <c r="E7520" s="408"/>
      <c r="F7520" s="398"/>
      <c r="G7520" s="408"/>
      <c r="H7520" s="559"/>
    </row>
    <row r="7521" spans="1:8" ht="15.75" customHeight="1" x14ac:dyDescent="0.25">
      <c r="A7521" s="425" t="s">
        <v>55</v>
      </c>
      <c r="B7521" s="448" t="s">
        <v>1790</v>
      </c>
      <c r="C7521" s="507" t="s">
        <v>41</v>
      </c>
      <c r="D7521" s="427">
        <v>5</v>
      </c>
      <c r="E7521" s="427">
        <v>5</v>
      </c>
      <c r="F7521" s="391">
        <f>+E7521*D7521</f>
      </c>
      <c r="G7521" s="427">
        <v>1</v>
      </c>
      <c r="H7521" s="429">
        <f>+G7521*F7521</f>
      </c>
    </row>
    <row r="7522" spans="1:8" ht="15.75" customHeight="1" x14ac:dyDescent="0.25">
      <c r="A7522" s="425"/>
      <c r="B7522" s="557" t="s">
        <v>50</v>
      </c>
      <c r="C7522" s="558"/>
      <c r="D7522" s="427"/>
      <c r="E7522" s="427"/>
      <c r="F7522" s="391"/>
      <c r="G7522" s="427"/>
      <c r="H7522" s="429"/>
    </row>
    <row r="7523" spans="1:8" ht="15.75" customHeight="1" x14ac:dyDescent="0.25">
      <c r="A7523" s="425" t="s">
        <v>59</v>
      </c>
      <c r="B7523" s="448" t="s">
        <v>2101</v>
      </c>
      <c r="C7523" s="449" t="s">
        <v>109</v>
      </c>
      <c r="D7523" s="427">
        <f>600/25</f>
      </c>
      <c r="E7523" s="427">
        <v>25</v>
      </c>
      <c r="F7523" s="391">
        <f t="shared" ref="F7523:F7525" si="227">+E7523*D7523</f>
      </c>
      <c r="G7523" s="427">
        <v>1</v>
      </c>
      <c r="H7523" s="429">
        <f t="shared" ref="H7523:H7525" si="228">+G7523*F7523</f>
      </c>
    </row>
    <row r="7524" spans="1:8" ht="15.75" customHeight="1" x14ac:dyDescent="0.25">
      <c r="A7524" s="502" t="s">
        <v>67</v>
      </c>
      <c r="B7524" s="503" t="s">
        <v>68</v>
      </c>
      <c r="C7524" s="390" t="s">
        <v>69</v>
      </c>
      <c r="D7524" s="427">
        <f>200/25</f>
      </c>
      <c r="E7524" s="427">
        <v>25</v>
      </c>
      <c r="F7524" s="391">
        <f t="shared" si="227"/>
      </c>
      <c r="G7524" s="427">
        <v>1</v>
      </c>
      <c r="H7524" s="429">
        <f t="shared" si="228"/>
      </c>
    </row>
    <row r="7525" spans="1:8" ht="15.75" customHeight="1" x14ac:dyDescent="0.25">
      <c r="A7525" s="502" t="s">
        <v>485</v>
      </c>
      <c r="B7525" s="503" t="s">
        <v>1772</v>
      </c>
      <c r="C7525" s="390" t="s">
        <v>435</v>
      </c>
      <c r="D7525" s="427">
        <v>2</v>
      </c>
      <c r="E7525" s="427">
        <v>25</v>
      </c>
      <c r="F7525" s="391">
        <f t="shared" si="227"/>
      </c>
      <c r="G7525" s="427">
        <v>1</v>
      </c>
      <c r="H7525" s="429">
        <f t="shared" si="228"/>
      </c>
    </row>
    <row r="7526" spans="1:8" ht="15.75" customHeight="1" x14ac:dyDescent="0.25">
      <c r="A7526" s="425"/>
      <c r="B7526" s="557" t="s">
        <v>1344</v>
      </c>
      <c r="C7526" s="560"/>
      <c r="D7526" s="427"/>
      <c r="E7526" s="427"/>
      <c r="F7526" s="391"/>
      <c r="G7526" s="427"/>
      <c r="H7526" s="429"/>
    </row>
    <row r="7527" spans="1:8" ht="15.75" customHeight="1" x14ac:dyDescent="0.25">
      <c r="A7527" s="502" t="s">
        <v>486</v>
      </c>
      <c r="B7527" s="503" t="s">
        <v>2102</v>
      </c>
      <c r="C7527" s="777" t="s">
        <v>1295</v>
      </c>
      <c r="D7527" s="427">
        <v>1</v>
      </c>
      <c r="E7527" s="427">
        <v>150</v>
      </c>
      <c r="F7527" s="391">
        <f>+E7527*D7527</f>
      </c>
      <c r="G7527" s="427">
        <v>1</v>
      </c>
      <c r="H7527" s="429">
        <f>+G7527*F7527</f>
      </c>
    </row>
    <row r="7528" spans="1:8" ht="15.75" customHeight="1" x14ac:dyDescent="0.25">
      <c r="A7528" s="502"/>
      <c r="B7528" s="503"/>
      <c r="C7528" s="390"/>
      <c r="D7528" s="427"/>
      <c r="E7528" s="427"/>
      <c r="F7528" s="391"/>
      <c r="G7528" s="671"/>
      <c r="H7528" s="429"/>
    </row>
    <row r="7529" spans="1:8" ht="15.75" customHeight="1" x14ac:dyDescent="0.25">
      <c r="A7529" s="502"/>
      <c r="B7529" s="503"/>
      <c r="C7529" s="390"/>
      <c r="D7529" s="427"/>
      <c r="E7529" s="427"/>
      <c r="F7529" s="391"/>
      <c r="G7529" s="427"/>
      <c r="H7529" s="429"/>
    </row>
    <row r="7530" spans="1:8" ht="15.75" customHeight="1" x14ac:dyDescent="0.25">
      <c r="A7530" s="432"/>
      <c r="B7530" s="433"/>
      <c r="C7530" s="434" t="s">
        <v>85</v>
      </c>
      <c r="D7530" s="435">
        <f>SUM(D7521:D7529)</f>
      </c>
      <c r="E7530" s="435"/>
      <c r="F7530" s="436"/>
      <c r="G7530" s="437"/>
      <c r="H7530" s="438">
        <f>SUM(H7521:H7529)</f>
      </c>
    </row>
    <row r="7531" spans="1:8" ht="15.75" customHeight="1" x14ac:dyDescent="0.25">
      <c r="A7531" s="439"/>
      <c r="B7531" s="440"/>
      <c r="C7531" s="440"/>
      <c r="D7531" s="441"/>
      <c r="E7531" s="440"/>
      <c r="F7531" s="442"/>
      <c r="G7531" s="443"/>
      <c r="H7531" s="444"/>
    </row>
    <row r="7532" spans="1:8" ht="15.75" customHeight="1" x14ac:dyDescent="0.25">
      <c r="A7532" s="565" t="s">
        <v>1215</v>
      </c>
      <c r="B7532" s="565"/>
      <c r="C7532" s="565"/>
      <c r="D7532" s="565"/>
      <c r="E7532" s="565"/>
      <c r="F7532" s="565"/>
      <c r="G7532" s="565"/>
      <c r="H7532" s="565"/>
    </row>
    <row r="7533" spans="1:8" ht="15.75" customHeight="1" x14ac:dyDescent="0.25">
      <c r="A7533" s="445"/>
      <c r="B7533" s="445"/>
      <c r="C7533" s="445"/>
      <c r="D7533" s="446" t="s">
        <v>97</v>
      </c>
      <c r="E7533" s="445" t="s">
        <v>98</v>
      </c>
      <c r="F7533" s="445"/>
      <c r="G7533" s="390"/>
      <c r="H7533" s="394"/>
    </row>
    <row r="7534" spans="1:8" ht="15.75" customHeight="1" x14ac:dyDescent="0.25">
      <c r="A7534" s="390"/>
      <c r="B7534" s="390"/>
      <c r="C7534" s="390"/>
      <c r="D7534" s="391"/>
      <c r="E7534" s="390"/>
      <c r="F7534" s="390"/>
      <c r="G7534" s="390"/>
      <c r="H7534" s="394"/>
    </row>
    <row r="7535" spans="1:8" ht="15.75" customHeight="1" x14ac:dyDescent="0.25">
      <c r="A7535" s="390"/>
      <c r="B7535" s="390"/>
      <c r="C7535" s="390"/>
      <c r="D7535" s="391"/>
      <c r="E7535" s="390"/>
      <c r="F7535" s="390"/>
      <c r="G7535" s="390"/>
      <c r="H7535" s="394"/>
    </row>
    <row r="7536" spans="1:8" ht="15.75" customHeight="1" x14ac:dyDescent="0.25">
      <c r="A7536" s="445"/>
      <c r="B7536" s="445"/>
      <c r="C7536" s="445"/>
      <c r="D7536" s="446"/>
      <c r="E7536" s="445" t="s">
        <v>99</v>
      </c>
      <c r="F7536" s="445"/>
      <c r="G7536" s="390"/>
      <c r="H7536" s="394"/>
    </row>
    <row r="7537" spans="1:8" ht="15.75" customHeight="1" x14ac:dyDescent="0.25">
      <c r="D7537" s="4"/>
      <c r="H7537" s="4"/>
    </row>
    <row r="7538" spans="1:8" ht="15.75" customHeight="1" x14ac:dyDescent="0.25">
      <c r="D7538" s="4"/>
      <c r="H7538" s="4"/>
    </row>
    <row r="7539" spans="1:8" ht="15.75" customHeight="1" x14ac:dyDescent="0.25">
      <c r="D7539" s="4"/>
      <c r="H7539" s="4"/>
    </row>
    <row r="7540" spans="1:8" ht="15.75" customHeight="1" x14ac:dyDescent="0.25">
      <c r="D7540" s="4"/>
      <c r="H7540" s="4"/>
    </row>
    <row r="7541" spans="1:8" ht="15.75" customHeight="1" x14ac:dyDescent="0.25">
      <c r="D7541" s="4"/>
      <c r="H7541" s="4"/>
    </row>
    <row r="7542" spans="1:8" ht="15.75" customHeight="1" x14ac:dyDescent="0.25">
      <c r="D7542" s="4"/>
      <c r="H7542" s="4"/>
    </row>
    <row r="7543" spans="1:8" ht="15.75" customHeight="1" x14ac:dyDescent="0.25">
      <c r="D7543" s="4"/>
      <c r="H7543" s="4"/>
    </row>
    <row r="7544" spans="1:8" ht="15.75" customHeight="1" x14ac:dyDescent="0.25">
      <c r="D7544" s="4"/>
      <c r="H7544" s="4"/>
    </row>
    <row r="7545" spans="1:8" ht="15.75" customHeight="1" x14ac:dyDescent="0.25">
      <c r="D7545" s="4"/>
      <c r="H7545" s="4"/>
    </row>
    <row r="7546" spans="1:8" ht="15.75" customHeight="1" x14ac:dyDescent="0.25">
      <c r="D7546" s="4"/>
      <c r="H7546" s="4"/>
    </row>
    <row r="7547" spans="1:8" ht="15.75" customHeight="1" x14ac:dyDescent="0.25">
      <c r="D7547" s="4"/>
      <c r="H7547" s="4"/>
    </row>
    <row r="7548" spans="1:8" ht="15.75" customHeight="1" x14ac:dyDescent="0.25">
      <c r="D7548" s="4"/>
      <c r="H7548" s="4"/>
    </row>
    <row r="7549" spans="1:8" ht="15.75" customHeight="1" x14ac:dyDescent="0.25">
      <c r="D7549" s="4"/>
      <c r="H7549" s="4"/>
    </row>
    <row r="7550" spans="1:8" ht="15.75" customHeight="1" x14ac:dyDescent="0.25">
      <c r="A7550" s="398" t="s">
        <v>14</v>
      </c>
      <c r="B7550" s="398"/>
      <c r="C7550" s="398"/>
      <c r="D7550" s="398"/>
      <c r="E7550" s="398"/>
      <c r="F7550" s="398"/>
      <c r="G7550" s="398"/>
      <c r="H7550" s="398"/>
    </row>
    <row r="7551" spans="1:8" ht="15.75" customHeight="1" x14ac:dyDescent="0.25">
      <c r="A7551" s="390"/>
      <c r="B7551" s="390"/>
      <c r="C7551" s="390"/>
      <c r="D7551" s="391"/>
      <c r="E7551" s="390"/>
      <c r="F7551" s="390"/>
      <c r="G7551" s="390"/>
      <c r="H7551" s="398"/>
    </row>
    <row r="7552" spans="1:8" ht="15.75" customHeight="1" x14ac:dyDescent="0.25">
      <c r="A7552" s="390"/>
      <c r="B7552" s="390"/>
      <c r="C7552" s="391"/>
      <c r="D7552" s="392"/>
      <c r="E7552" s="393"/>
      <c r="F7552" s="393"/>
      <c r="G7552" s="393"/>
      <c r="H7552" s="394"/>
    </row>
    <row r="7553" spans="1:8" ht="15.75" customHeight="1" x14ac:dyDescent="0.25">
      <c r="A7553" s="390"/>
      <c r="B7553" s="390"/>
      <c r="C7553" s="390"/>
      <c r="D7553" s="391"/>
      <c r="E7553" s="390"/>
      <c r="F7553" s="395" t="s">
        <v>18</v>
      </c>
      <c r="G7553" s="396" t="s">
        <v>917</v>
      </c>
      <c r="H7553" s="397"/>
    </row>
    <row r="7554" spans="1:8" ht="15.75" customHeight="1" x14ac:dyDescent="0.25">
      <c r="A7554" s="390" t="s">
        <v>20</v>
      </c>
      <c r="B7554" s="390"/>
      <c r="C7554" s="390"/>
      <c r="D7554" s="391"/>
      <c r="E7554" s="390"/>
      <c r="F7554" s="395" t="s">
        <v>21</v>
      </c>
      <c r="G7554" s="390" t="s">
        <v>1415</v>
      </c>
      <c r="H7554" s="391"/>
    </row>
    <row r="7555" spans="1:8" ht="15.75" customHeight="1" x14ac:dyDescent="0.25">
      <c r="A7555" s="390" t="inlineStr">
        <is>
          <t>Dealer-009</t>
        </is>
      </c>
      <c r="B7555" s="390"/>
      <c r="C7555" s="390" t="inlineStr">
        <is>
          <t>ATTN: Contact-001</t>
        </is>
      </c>
      <c r="D7555" s="391"/>
      <c r="E7555" s="395"/>
      <c r="F7555" s="390"/>
      <c r="G7555" s="390"/>
      <c r="H7555" s="394"/>
    </row>
    <row r="7556" spans="1:8" ht="15.75" customHeight="1" x14ac:dyDescent="0.25">
      <c r="A7556" s="390" t="inlineStr">
        <is>
          <t>Address line (redacted)</t>
        </is>
      </c>
      <c r="B7556" s="390"/>
      <c r="C7556" s="390"/>
      <c r="D7556" s="398"/>
      <c r="E7556" s="390"/>
      <c r="F7556" s="391"/>
      <c r="G7556" s="390"/>
      <c r="H7556" s="394"/>
    </row>
    <row r="7557" spans="1:8" ht="15.75" customHeight="1" x14ac:dyDescent="0.25">
      <c r="A7557" s="390" t="inlineStr">
        <is>
          <t>Address line (redacted)</t>
        </is>
      </c>
      <c r="B7557" s="390"/>
      <c r="C7557" s="390"/>
      <c r="D7557" s="398"/>
      <c r="E7557" s="390"/>
      <c r="F7557" s="391"/>
      <c r="G7557" s="390"/>
      <c r="H7557" s="394"/>
    </row>
    <row r="7558" spans="1:8" ht="15.75" customHeight="1" x14ac:dyDescent="0.25">
      <c r="A7558" s="447"/>
      <c r="B7558" s="390"/>
      <c r="C7558" s="390"/>
      <c r="D7558" s="391"/>
      <c r="E7558" s="390"/>
      <c r="F7558" s="391"/>
      <c r="G7558" s="390"/>
      <c r="H7558" s="394"/>
    </row>
    <row r="7559" spans="1:8" ht="15.75" customHeight="1" x14ac:dyDescent="0.25">
      <c r="A7559" s="390" t="s">
        <v>30</v>
      </c>
      <c r="B7559" s="390"/>
      <c r="C7559" s="390"/>
      <c r="D7559" s="391"/>
      <c r="E7559" s="390"/>
      <c r="F7559" s="391"/>
      <c r="G7559" s="390"/>
      <c r="H7559" s="394"/>
    </row>
    <row r="7560" spans="1:8" ht="15.75" customHeight="1" x14ac:dyDescent="0.25">
      <c r="A7560" s="390"/>
      <c r="B7560" s="390"/>
      <c r="C7560" s="390"/>
      <c r="D7560" s="391"/>
      <c r="E7560" s="390"/>
      <c r="F7560" s="391"/>
      <c r="G7560" s="390"/>
      <c r="H7560" s="394"/>
    </row>
    <row r="7561" spans="1:8" ht="15.75" customHeight="1" x14ac:dyDescent="0.25">
      <c r="A7561" s="390" t="s">
        <v>31</v>
      </c>
      <c r="B7561" s="390"/>
      <c r="C7561" s="390"/>
      <c r="D7561" s="391"/>
      <c r="E7561" s="390"/>
      <c r="F7561" s="391"/>
      <c r="G7561" s="390"/>
      <c r="H7561" s="394"/>
    </row>
    <row r="7562" spans="1:8" ht="15.75" customHeight="1" x14ac:dyDescent="0.25">
      <c r="A7562" s="390" t="s">
        <v>32</v>
      </c>
      <c r="B7562" s="390"/>
      <c r="C7562" s="390"/>
      <c r="D7562" s="391"/>
      <c r="E7562" s="390"/>
      <c r="F7562" s="391"/>
      <c r="G7562" s="390"/>
      <c r="H7562" s="394"/>
    </row>
    <row r="7563" spans="1:8" ht="15.75" customHeight="1" x14ac:dyDescent="0.25">
      <c r="A7563" s="390"/>
      <c r="B7563" s="390"/>
      <c r="C7563" s="390"/>
      <c r="D7563" s="391"/>
      <c r="E7563" s="390"/>
      <c r="F7563" s="391"/>
      <c r="G7563" s="390"/>
      <c r="H7563" s="394"/>
    </row>
    <row r="7564" spans="1:8" ht="15.75" customHeight="1" x14ac:dyDescent="0.25">
      <c r="A7564" s="399" t="s">
        <v>33</v>
      </c>
      <c r="B7564" s="400" t="s">
        <v>6</v>
      </c>
      <c r="C7564" s="400"/>
      <c r="D7564" s="401" t="s">
        <v>37</v>
      </c>
      <c r="E7564" s="402" t="s">
        <v>38</v>
      </c>
      <c r="F7564" s="403" t="s">
        <v>7</v>
      </c>
      <c r="G7564" s="404" t="s">
        <v>43</v>
      </c>
      <c r="H7564" s="405" t="s">
        <v>44</v>
      </c>
    </row>
    <row r="7565" spans="1:8" ht="15.75" customHeight="1" x14ac:dyDescent="0.25">
      <c r="A7565" s="406"/>
      <c r="B7565" s="407"/>
      <c r="C7565" s="393"/>
      <c r="D7565" s="408"/>
      <c r="E7565" s="408"/>
      <c r="F7565" s="409"/>
      <c r="G7565" s="410"/>
      <c r="H7565" s="411"/>
    </row>
    <row r="7566" spans="1:8" ht="15.75" customHeight="1" x14ac:dyDescent="0.25">
      <c r="A7566" s="556"/>
      <c r="B7566" s="557" t="s">
        <v>1416</v>
      </c>
      <c r="C7566" s="558"/>
      <c r="D7566" s="408"/>
      <c r="E7566" s="408"/>
      <c r="F7566" s="398"/>
      <c r="G7566" s="408"/>
      <c r="H7566" s="559"/>
    </row>
    <row r="7567" spans="1:8" ht="15.75" customHeight="1" x14ac:dyDescent="0.25">
      <c r="A7567" s="425" t="s">
        <v>55</v>
      </c>
      <c r="B7567" s="448" t="s">
        <v>1417</v>
      </c>
      <c r="C7567" s="507"/>
      <c r="D7567" s="427">
        <v>10</v>
      </c>
      <c r="E7567" s="427">
        <v>1</v>
      </c>
      <c r="F7567" s="391">
        <f>+E7567*D7567</f>
      </c>
      <c r="G7567" s="427">
        <v>1</v>
      </c>
      <c r="H7567" s="429">
        <f>+G7567*F7567</f>
      </c>
    </row>
    <row r="7568" spans="1:8" ht="15.75" customHeight="1" x14ac:dyDescent="0.25">
      <c r="A7568" s="425"/>
      <c r="B7568" s="557"/>
      <c r="C7568" s="558"/>
      <c r="D7568" s="427"/>
      <c r="E7568" s="427"/>
      <c r="F7568" s="391"/>
      <c r="G7568" s="427"/>
      <c r="H7568" s="429"/>
    </row>
    <row r="7569" spans="1:8" ht="15.75" customHeight="1" x14ac:dyDescent="0.25">
      <c r="A7569" s="425"/>
      <c r="B7569" s="448"/>
      <c r="C7569" s="449"/>
      <c r="D7569" s="427"/>
      <c r="E7569" s="427"/>
      <c r="F7569" s="391"/>
      <c r="G7569" s="427"/>
      <c r="H7569" s="429"/>
    </row>
    <row r="7570" spans="1:8" ht="15.75" customHeight="1" x14ac:dyDescent="0.25">
      <c r="A7570" s="502"/>
      <c r="B7570" s="503"/>
      <c r="C7570" s="390"/>
      <c r="D7570" s="427"/>
      <c r="E7570" s="427"/>
      <c r="F7570" s="391"/>
      <c r="G7570" s="427"/>
      <c r="H7570" s="429"/>
    </row>
    <row r="7571" spans="1:8" ht="15.75" customHeight="1" x14ac:dyDescent="0.25">
      <c r="A7571" s="502"/>
      <c r="B7571" s="503"/>
      <c r="C7571" s="390"/>
      <c r="D7571" s="427"/>
      <c r="E7571" s="427"/>
      <c r="F7571" s="391"/>
      <c r="G7571" s="427"/>
      <c r="H7571" s="429"/>
    </row>
    <row r="7572" spans="1:8" ht="15.75" customHeight="1" x14ac:dyDescent="0.25">
      <c r="A7572" s="425"/>
      <c r="B7572" s="557"/>
      <c r="C7572" s="560"/>
      <c r="D7572" s="427"/>
      <c r="E7572" s="427"/>
      <c r="F7572" s="391"/>
      <c r="G7572" s="427"/>
      <c r="H7572" s="429"/>
    </row>
    <row r="7573" spans="1:8" ht="15.75" customHeight="1" x14ac:dyDescent="0.25">
      <c r="A7573" s="502"/>
      <c r="B7573" s="503"/>
      <c r="C7573" s="777"/>
      <c r="D7573" s="427"/>
      <c r="E7573" s="427"/>
      <c r="F7573" s="391"/>
      <c r="G7573" s="427"/>
      <c r="H7573" s="429"/>
    </row>
    <row r="7574" spans="1:8" ht="15.75" customHeight="1" x14ac:dyDescent="0.25">
      <c r="A7574" s="502"/>
      <c r="B7574" s="503"/>
      <c r="C7574" s="390"/>
      <c r="D7574" s="427"/>
      <c r="E7574" s="427"/>
      <c r="F7574" s="391"/>
      <c r="G7574" s="671"/>
      <c r="H7574" s="429"/>
    </row>
    <row r="7575" spans="1:8" ht="15.75" customHeight="1" x14ac:dyDescent="0.25">
      <c r="A7575" s="502"/>
      <c r="B7575" s="503"/>
      <c r="C7575" s="390"/>
      <c r="D7575" s="427"/>
      <c r="E7575" s="427"/>
      <c r="F7575" s="391"/>
      <c r="G7575" s="427"/>
      <c r="H7575" s="429"/>
    </row>
    <row r="7576" spans="1:8" ht="15.75" customHeight="1" x14ac:dyDescent="0.25">
      <c r="A7576" s="432"/>
      <c r="B7576" s="433"/>
      <c r="C7576" s="434" t="s">
        <v>85</v>
      </c>
      <c r="D7576" s="435">
        <f>SUM(D7567:D7575)</f>
      </c>
      <c r="E7576" s="435"/>
      <c r="F7576" s="436"/>
      <c r="G7576" s="437"/>
      <c r="H7576" s="438">
        <f>SUM(H7567:H7575)</f>
      </c>
    </row>
    <row r="7577" spans="1:8" ht="15.75" customHeight="1" x14ac:dyDescent="0.25">
      <c r="A7577" s="439"/>
      <c r="B7577" s="440"/>
      <c r="C7577" s="440"/>
      <c r="D7577" s="441"/>
      <c r="E7577" s="440"/>
      <c r="F7577" s="442"/>
      <c r="G7577" s="443"/>
      <c r="H7577" s="444"/>
    </row>
    <row r="7578" spans="1:8" ht="15.75" customHeight="1" x14ac:dyDescent="0.25">
      <c r="A7578" s="565" t="s">
        <v>1215</v>
      </c>
      <c r="B7578" s="565"/>
      <c r="C7578" s="565"/>
      <c r="D7578" s="565"/>
      <c r="E7578" s="565"/>
      <c r="F7578" s="565"/>
      <c r="G7578" s="565"/>
      <c r="H7578" s="565"/>
    </row>
    <row r="7579" spans="1:8" ht="15.75" customHeight="1" x14ac:dyDescent="0.25">
      <c r="A7579" s="445"/>
      <c r="B7579" s="445"/>
      <c r="C7579" s="445"/>
      <c r="D7579" s="446" t="s">
        <v>97</v>
      </c>
      <c r="E7579" s="445" t="s">
        <v>98</v>
      </c>
      <c r="F7579" s="445"/>
      <c r="G7579" s="390"/>
      <c r="H7579" s="394"/>
    </row>
    <row r="7580" spans="1:8" ht="15.75" customHeight="1" x14ac:dyDescent="0.25">
      <c r="A7580" s="390"/>
      <c r="B7580" s="390"/>
      <c r="C7580" s="390"/>
      <c r="D7580" s="391"/>
      <c r="E7580" s="390"/>
      <c r="F7580" s="390"/>
      <c r="G7580" s="390"/>
      <c r="H7580" s="394"/>
    </row>
    <row r="7581" spans="1:8" ht="15.75" customHeight="1" x14ac:dyDescent="0.25">
      <c r="A7581" s="390"/>
      <c r="B7581" s="390"/>
      <c r="C7581" s="390"/>
      <c r="D7581" s="391"/>
      <c r="E7581" s="390"/>
      <c r="F7581" s="390"/>
      <c r="G7581" s="390"/>
      <c r="H7581" s="394"/>
    </row>
    <row r="7582" spans="1:8" ht="15.75" customHeight="1" x14ac:dyDescent="0.25">
      <c r="A7582" s="445"/>
      <c r="B7582" s="445"/>
      <c r="C7582" s="445"/>
      <c r="D7582" s="446"/>
      <c r="E7582" s="445" t="s">
        <v>99</v>
      </c>
      <c r="F7582" s="445"/>
      <c r="G7582" s="390"/>
      <c r="H7582" s="394"/>
    </row>
    <row r="7583" spans="1:8" ht="15.75" customHeight="1" x14ac:dyDescent="0.25">
      <c r="D7583" s="4"/>
      <c r="H7583" s="4"/>
    </row>
    <row r="7584" spans="1:8" ht="15.75" customHeight="1" x14ac:dyDescent="0.25">
      <c r="D7584" s="4"/>
      <c r="H7584" s="4"/>
    </row>
    <row r="7585" spans="1:8" ht="15.75" customHeight="1" x14ac:dyDescent="0.25">
      <c r="D7585" s="4"/>
      <c r="H7585" s="4"/>
    </row>
    <row r="7586" spans="1:8" ht="15.75" customHeight="1" x14ac:dyDescent="0.25">
      <c r="D7586" s="4"/>
      <c r="H7586" s="4"/>
    </row>
    <row r="7587" spans="1:8" ht="15.75" customHeight="1" x14ac:dyDescent="0.25">
      <c r="D7587" s="4"/>
      <c r="H7587" s="4"/>
    </row>
    <row r="7588" spans="1:8" ht="15.75" customHeight="1" x14ac:dyDescent="0.25">
      <c r="D7588" s="4"/>
      <c r="H7588" s="4"/>
    </row>
    <row r="7589" spans="1:8" ht="15.75" customHeight="1" x14ac:dyDescent="0.25">
      <c r="D7589" s="4"/>
      <c r="H7589" s="4"/>
    </row>
    <row r="7590" spans="1:8" ht="15.75" customHeight="1" x14ac:dyDescent="0.25">
      <c r="D7590" s="4"/>
      <c r="H7590" s="4"/>
    </row>
    <row r="7591" spans="1:8" ht="15.75" customHeight="1" x14ac:dyDescent="0.25">
      <c r="D7591" s="4"/>
      <c r="H7591" s="4"/>
    </row>
    <row r="7592" spans="1:8" ht="15.75" customHeight="1" x14ac:dyDescent="0.25">
      <c r="D7592" s="4"/>
      <c r="H7592" s="4"/>
    </row>
    <row r="7593" spans="1:8" ht="15.75" customHeight="1" x14ac:dyDescent="0.25">
      <c r="D7593" s="4"/>
      <c r="H7593" s="4"/>
    </row>
    <row r="7594" spans="1:8" ht="15.75" customHeight="1" x14ac:dyDescent="0.25">
      <c r="D7594" s="4"/>
      <c r="H7594" s="4"/>
    </row>
    <row r="7595" spans="1:8" ht="15.75" customHeight="1" x14ac:dyDescent="0.25">
      <c r="D7595" s="4"/>
      <c r="H7595" s="4"/>
    </row>
    <row r="7596" spans="1:8" ht="15.75" customHeight="1" x14ac:dyDescent="0.25">
      <c r="A7596" s="392" t="s">
        <v>14</v>
      </c>
      <c r="B7596" s="391"/>
      <c r="C7596" s="391"/>
      <c r="D7596" s="391"/>
      <c r="E7596" s="391"/>
      <c r="F7596" s="391"/>
      <c r="G7596" s="391"/>
      <c r="H7596" s="394"/>
    </row>
    <row r="7597" spans="1:8" ht="15.75" customHeight="1" x14ac:dyDescent="0.25">
      <c r="A7597" s="392"/>
      <c r="B7597" s="391"/>
      <c r="C7597" s="391"/>
      <c r="D7597" s="391"/>
      <c r="E7597" s="390"/>
      <c r="F7597" s="392"/>
      <c r="G7597" s="390"/>
      <c r="H7597" s="394"/>
    </row>
    <row r="7598" spans="1:8" ht="15.75" customHeight="1" x14ac:dyDescent="0.25">
      <c r="A7598" s="392"/>
      <c r="B7598" s="391"/>
      <c r="C7598" s="391"/>
      <c r="D7598" s="391"/>
      <c r="E7598" s="390"/>
      <c r="F7598" s="392"/>
      <c r="G7598" s="390"/>
      <c r="H7598" s="394"/>
    </row>
    <row r="7599" spans="1:8" ht="15.75" customHeight="1" x14ac:dyDescent="0.25">
      <c r="A7599" s="390" t="s">
        <v>20</v>
      </c>
      <c r="B7599" s="390"/>
      <c r="C7599" s="390"/>
      <c r="D7599" s="391"/>
      <c r="E7599" s="390"/>
      <c r="F7599" s="392"/>
      <c r="G7599" s="390"/>
      <c r="H7599" s="394"/>
    </row>
    <row r="7600" spans="1:8" ht="15.75" customHeight="1" x14ac:dyDescent="0.25">
      <c r="A7600" s="390" t="inlineStr">
        <is>
          <t>Dealer-003</t>
        </is>
      </c>
      <c r="B7600" s="390"/>
      <c r="C7600" s="390"/>
      <c r="D7600" s="391"/>
      <c r="E7600" s="390"/>
      <c r="F7600" s="395" t="s">
        <v>18</v>
      </c>
      <c r="G7600" s="390" t="s">
        <v>917</v>
      </c>
      <c r="H7600" s="394"/>
    </row>
    <row r="7601" spans="1:8" ht="15.75" customHeight="1" x14ac:dyDescent="0.25">
      <c r="A7601" s="390" t="inlineStr">
        <is>
          <t>Address line (redacted)</t>
        </is>
      </c>
      <c r="B7601" s="390"/>
      <c r="C7601" s="390"/>
      <c r="D7601" s="391"/>
      <c r="E7601" s="390"/>
      <c r="F7601" s="393" t="s">
        <v>21</v>
      </c>
      <c r="G7601" s="390" t="s">
        <v>1792</v>
      </c>
      <c r="H7601" s="394"/>
    </row>
    <row r="7602" spans="1:8" ht="15.75" customHeight="1" x14ac:dyDescent="0.25">
      <c r="A7602" s="390" t="inlineStr">
        <is>
          <t>Address line (redacted)</t>
        </is>
      </c>
      <c r="B7602" s="390"/>
      <c r="C7602" s="390"/>
      <c r="D7602" s="391"/>
      <c r="E7602" s="390"/>
      <c r="F7602" s="391"/>
      <c r="G7602" s="390"/>
      <c r="H7602" s="394"/>
    </row>
    <row r="7603" spans="1:8" ht="15.75" customHeight="1" x14ac:dyDescent="0.25">
      <c r="A7603" s="390"/>
      <c r="B7603" s="390"/>
      <c r="C7603" s="393"/>
      <c r="D7603" s="391"/>
      <c r="E7603" s="390"/>
      <c r="F7603" s="391"/>
      <c r="G7603" s="390"/>
      <c r="H7603" s="394"/>
    </row>
    <row r="7604" spans="1:8" ht="15.75" customHeight="1" x14ac:dyDescent="0.25">
      <c r="A7604" s="390"/>
      <c r="B7604" s="390"/>
      <c r="C7604" s="390"/>
      <c r="D7604" s="391"/>
      <c r="E7604" s="390"/>
      <c r="F7604" s="391"/>
      <c r="G7604" s="390"/>
      <c r="H7604" s="394"/>
    </row>
    <row r="7605" spans="1:8" ht="15.75" customHeight="1" x14ac:dyDescent="0.25">
      <c r="A7605" s="390" t="s">
        <v>30</v>
      </c>
      <c r="B7605" s="390"/>
      <c r="C7605" s="390"/>
      <c r="D7605" s="391"/>
      <c r="E7605" s="390"/>
      <c r="F7605" s="391"/>
      <c r="G7605" s="390"/>
      <c r="H7605" s="394"/>
    </row>
    <row r="7606" spans="1:8" ht="15.75" customHeight="1" x14ac:dyDescent="0.25">
      <c r="A7606" s="390"/>
      <c r="B7606" s="390"/>
      <c r="C7606" s="390"/>
      <c r="D7606" s="391"/>
      <c r="E7606" s="390"/>
      <c r="F7606" s="391"/>
      <c r="G7606" s="390"/>
      <c r="H7606" s="394"/>
    </row>
    <row r="7607" spans="1:8" ht="15.75" customHeight="1" x14ac:dyDescent="0.25">
      <c r="A7607" s="390" t="s">
        <v>1322</v>
      </c>
      <c r="B7607" s="390"/>
      <c r="C7607" s="390"/>
      <c r="D7607" s="391"/>
      <c r="E7607" s="390"/>
      <c r="F7607" s="391"/>
      <c r="G7607" s="390"/>
      <c r="H7607" s="394"/>
    </row>
    <row r="7608" spans="1:8" ht="15.75" customHeight="1" x14ac:dyDescent="0.25">
      <c r="A7608" s="390" t="s">
        <v>1328</v>
      </c>
      <c r="B7608" s="390"/>
      <c r="C7608" s="390"/>
      <c r="D7608" s="391"/>
      <c r="E7608" s="390"/>
      <c r="F7608" s="391"/>
      <c r="G7608" s="390"/>
      <c r="H7608" s="394"/>
    </row>
    <row r="7609" spans="1:8" ht="15.75" customHeight="1" x14ac:dyDescent="0.25">
      <c r="A7609" s="390"/>
      <c r="B7609" s="390"/>
      <c r="C7609" s="390"/>
      <c r="D7609" s="391"/>
      <c r="E7609" s="390"/>
      <c r="F7609" s="391"/>
      <c r="G7609" s="390"/>
      <c r="H7609" s="394"/>
    </row>
    <row r="7610" spans="1:8" ht="15.75" customHeight="1" x14ac:dyDescent="0.25">
      <c r="A7610" s="399" t="s">
        <v>33</v>
      </c>
      <c r="B7610" s="400" t="s">
        <v>6</v>
      </c>
      <c r="C7610" s="400"/>
      <c r="D7610" s="401" t="s">
        <v>37</v>
      </c>
      <c r="E7610" s="402" t="s">
        <v>1309</v>
      </c>
      <c r="F7610" s="609" t="s">
        <v>7</v>
      </c>
      <c r="G7610" s="400" t="s">
        <v>43</v>
      </c>
      <c r="H7610" s="405" t="s">
        <v>44</v>
      </c>
    </row>
    <row r="7611" spans="1:8" ht="15.75" customHeight="1" x14ac:dyDescent="0.25">
      <c r="A7611" s="610"/>
      <c r="B7611" s="611"/>
      <c r="C7611" s="611"/>
      <c r="D7611" s="612"/>
      <c r="E7611" s="613"/>
      <c r="F7611" s="614"/>
      <c r="G7611" s="611"/>
      <c r="H7611" s="615"/>
    </row>
    <row r="7612" spans="1:8" ht="15.75" customHeight="1" x14ac:dyDescent="0.25">
      <c r="A7612" s="780"/>
      <c r="B7612" s="654"/>
      <c r="C7612" s="654"/>
      <c r="D7612" s="578"/>
      <c r="E7612" s="578"/>
      <c r="F7612" s="578"/>
      <c r="G7612" s="578"/>
      <c r="H7612" s="580"/>
    </row>
    <row r="7613" spans="1:8" ht="15.75" customHeight="1" x14ac:dyDescent="0.25">
      <c r="A7613" s="412"/>
      <c r="B7613" s="644"/>
      <c r="C7613" s="420"/>
      <c r="D7613" s="415"/>
      <c r="E7613" s="415"/>
      <c r="F7613" s="415"/>
      <c r="G7613" s="415"/>
      <c r="H7613" s="416"/>
    </row>
    <row r="7614" spans="1:8" ht="15.75" customHeight="1" x14ac:dyDescent="0.25">
      <c r="A7614" s="412"/>
      <c r="B7614" s="654" t="s">
        <v>1793</v>
      </c>
      <c r="C7614" s="654"/>
      <c r="D7614" s="415"/>
      <c r="E7614" s="415"/>
      <c r="F7614" s="415"/>
      <c r="G7614" s="415"/>
      <c r="H7614" s="416"/>
    </row>
    <row r="7615" spans="1:8" ht="15.75" customHeight="1" x14ac:dyDescent="0.25">
      <c r="A7615" s="412">
        <v>1</v>
      </c>
      <c r="B7615" s="644" t="s">
        <v>1794</v>
      </c>
      <c r="C7615" s="420" t="s">
        <v>25</v>
      </c>
      <c r="D7615" s="415">
        <v>5</v>
      </c>
      <c r="E7615" s="415">
        <v>5</v>
      </c>
      <c r="F7615" s="415">
        <f>+E7615*D7615</f>
      </c>
      <c r="G7615" s="415">
        <v>1</v>
      </c>
      <c r="H7615" s="416">
        <f>+G7615*F7615</f>
      </c>
    </row>
    <row r="7616" spans="1:8" ht="15.75" customHeight="1" x14ac:dyDescent="0.25">
      <c r="A7616" s="412"/>
      <c r="B7616" s="644"/>
      <c r="C7616" s="420"/>
      <c r="D7616" s="415"/>
      <c r="E7616" s="415"/>
      <c r="F7616" s="415"/>
      <c r="G7616" s="415"/>
      <c r="H7616" s="416"/>
    </row>
    <row r="7617" spans="1:8" ht="15.75" customHeight="1" x14ac:dyDescent="0.25">
      <c r="A7617" s="412"/>
      <c r="B7617" s="654" t="s">
        <v>50</v>
      </c>
      <c r="C7617" s="654"/>
      <c r="D7617" s="415"/>
      <c r="E7617" s="415"/>
      <c r="F7617" s="415"/>
      <c r="G7617" s="415"/>
      <c r="H7617" s="416"/>
    </row>
    <row r="7618" spans="1:8" ht="15.75" customHeight="1" x14ac:dyDescent="0.25">
      <c r="A7618" s="581">
        <v>2</v>
      </c>
      <c r="B7618" s="417" t="s">
        <v>1795</v>
      </c>
      <c r="C7618" s="418" t="s">
        <v>57</v>
      </c>
      <c r="D7618" s="415">
        <v>1</v>
      </c>
      <c r="E7618" s="415">
        <v>25</v>
      </c>
      <c r="F7618" s="415">
        <f>+E7618*D7618</f>
      </c>
      <c r="G7618" s="415">
        <v>1</v>
      </c>
      <c r="H7618" s="416">
        <f>+G7618*F7618</f>
      </c>
    </row>
    <row r="7619" spans="1:8" ht="15.75" customHeight="1" x14ac:dyDescent="0.25">
      <c r="A7619" s="581"/>
      <c r="B7619" s="417"/>
      <c r="C7619" s="418"/>
      <c r="D7619" s="415"/>
      <c r="E7619" s="415"/>
      <c r="F7619" s="415"/>
      <c r="G7619" s="415"/>
      <c r="H7619" s="416"/>
    </row>
    <row r="7620" spans="1:8" ht="15.75" customHeight="1" x14ac:dyDescent="0.25">
      <c r="A7620" s="581"/>
      <c r="B7620" s="654"/>
      <c r="C7620" s="654"/>
      <c r="D7620" s="588"/>
      <c r="E7620" s="415"/>
      <c r="F7620" s="415"/>
      <c r="G7620" s="415"/>
      <c r="H7620" s="416"/>
    </row>
    <row r="7621" spans="1:8" ht="15.75" customHeight="1" x14ac:dyDescent="0.25">
      <c r="A7621" s="581"/>
      <c r="B7621" s="417"/>
      <c r="C7621" s="418"/>
      <c r="D7621" s="588"/>
      <c r="E7621" s="415"/>
      <c r="F7621" s="415"/>
      <c r="G7621" s="415"/>
      <c r="H7621" s="416"/>
    </row>
    <row r="7622" spans="1:8" ht="15.75" customHeight="1" x14ac:dyDescent="0.25">
      <c r="A7622" s="581"/>
      <c r="B7622" s="582"/>
      <c r="C7622" s="582"/>
      <c r="D7622" s="415"/>
      <c r="E7622" s="415"/>
      <c r="F7622" s="415"/>
      <c r="G7622" s="415"/>
      <c r="H7622" s="589"/>
    </row>
    <row r="7623" spans="1:8" ht="15.75" customHeight="1" x14ac:dyDescent="0.25">
      <c r="A7623" s="430"/>
      <c r="B7623" s="409"/>
      <c r="C7623" s="393"/>
      <c r="D7623" s="427"/>
      <c r="E7623" s="427"/>
      <c r="F7623" s="428"/>
      <c r="G7623" s="427"/>
      <c r="H7623" s="429"/>
    </row>
    <row r="7624" spans="1:8" ht="15.75" customHeight="1" x14ac:dyDescent="0.25">
      <c r="A7624" s="432"/>
      <c r="B7624" s="433"/>
      <c r="C7624" s="434" t="s">
        <v>85</v>
      </c>
      <c r="D7624" s="659">
        <f>SUM(D7613:D7623)</f>
      </c>
      <c r="E7624" s="401"/>
      <c r="F7624" s="660"/>
      <c r="G7624" s="661"/>
      <c r="H7624" s="623">
        <f>SUM(H7613:H7623)</f>
      </c>
    </row>
    <row r="7625" spans="1:8" ht="15.75" customHeight="1" x14ac:dyDescent="0.25">
      <c r="A7625" s="439"/>
      <c r="B7625" s="440"/>
      <c r="C7625" s="440"/>
      <c r="D7625" s="441"/>
      <c r="E7625" s="440"/>
      <c r="F7625" s="442"/>
      <c r="G7625" s="443"/>
      <c r="H7625" s="444"/>
    </row>
    <row r="7626" spans="1:8" ht="15.75" customHeight="1" x14ac:dyDescent="0.25">
      <c r="A7626" s="392"/>
      <c r="B7626" s="391"/>
      <c r="C7626" s="391"/>
      <c r="D7626" s="391"/>
      <c r="E7626" s="390"/>
      <c r="F7626" s="392"/>
      <c r="G7626" s="390"/>
      <c r="H7626" s="394"/>
    </row>
    <row r="7627" spans="1:8" ht="15.75" customHeight="1" x14ac:dyDescent="0.25">
      <c r="A7627" s="445"/>
      <c r="B7627" s="445"/>
      <c r="C7627" s="445"/>
      <c r="D7627" s="446" t="s">
        <v>97</v>
      </c>
      <c r="E7627" s="445" t="s">
        <v>98</v>
      </c>
      <c r="F7627" s="445"/>
      <c r="G7627" s="390"/>
      <c r="H7627" s="394"/>
    </row>
    <row r="7628" spans="1:8" ht="15.75" customHeight="1" x14ac:dyDescent="0.25">
      <c r="A7628" s="390"/>
      <c r="B7628" s="390"/>
      <c r="C7628" s="390"/>
      <c r="D7628" s="391"/>
      <c r="E7628" s="390"/>
      <c r="F7628" s="390"/>
      <c r="G7628" s="390"/>
      <c r="H7628" s="394"/>
    </row>
    <row r="7629" spans="1:8" ht="15.75" customHeight="1" x14ac:dyDescent="0.25">
      <c r="A7629" s="390"/>
      <c r="B7629" s="390"/>
      <c r="C7629" s="390"/>
      <c r="D7629" s="391"/>
      <c r="E7629" s="390"/>
      <c r="F7629" s="390"/>
      <c r="G7629" s="390"/>
      <c r="H7629" s="394"/>
    </row>
    <row r="7630" spans="1:8" ht="15.75" customHeight="1" x14ac:dyDescent="0.25">
      <c r="A7630" s="445"/>
      <c r="B7630" s="445"/>
      <c r="C7630" s="445"/>
      <c r="D7630" s="446"/>
      <c r="E7630" s="445" t="s">
        <v>99</v>
      </c>
      <c r="F7630" s="445"/>
      <c r="G7630" s="390"/>
      <c r="H7630" s="394"/>
    </row>
    <row r="7631" spans="1:8" ht="15.75" customHeight="1" x14ac:dyDescent="0.25">
      <c r="D7631" s="4"/>
      <c r="H7631" s="4"/>
    </row>
    <row r="7632" spans="1:8" ht="15.75" customHeight="1" x14ac:dyDescent="0.25">
      <c r="D7632" s="4"/>
      <c r="H7632" s="4"/>
    </row>
    <row r="7633" spans="4:8" ht="15.75" customHeight="1" x14ac:dyDescent="0.25">
      <c r="D7633" s="4"/>
      <c r="H7633" s="4"/>
    </row>
    <row r="7634" spans="4:8" ht="15.75" customHeight="1" x14ac:dyDescent="0.25">
      <c r="D7634" s="4"/>
      <c r="H7634" s="4"/>
    </row>
    <row r="7635" spans="4:8" ht="15.75" customHeight="1" x14ac:dyDescent="0.25">
      <c r="D7635" s="4"/>
      <c r="H7635" s="4"/>
    </row>
    <row r="7636" spans="4:8" ht="15.75" customHeight="1" x14ac:dyDescent="0.25">
      <c r="D7636" s="4"/>
      <c r="H7636" s="4"/>
    </row>
    <row r="7637" spans="4:8" ht="15.75" customHeight="1" x14ac:dyDescent="0.25">
      <c r="D7637" s="4"/>
      <c r="H7637" s="4"/>
    </row>
    <row r="7638" spans="4:8" ht="15.75" customHeight="1" x14ac:dyDescent="0.25">
      <c r="D7638" s="4"/>
      <c r="H7638" s="4"/>
    </row>
    <row r="7639" spans="4:8" ht="15.75" customHeight="1" x14ac:dyDescent="0.25">
      <c r="D7639" s="4"/>
      <c r="H7639" s="4"/>
    </row>
    <row r="7640" spans="4:8" ht="15.75" customHeight="1" x14ac:dyDescent="0.25">
      <c r="D7640" s="4"/>
      <c r="H7640" s="4"/>
    </row>
    <row r="7641" spans="4:8" ht="15.75" customHeight="1" x14ac:dyDescent="0.25">
      <c r="D7641" s="4"/>
      <c r="H7641" s="4"/>
    </row>
    <row r="7642" spans="4:8" ht="15.75" customHeight="1" x14ac:dyDescent="0.25">
      <c r="D7642" s="4"/>
      <c r="H7642" s="4"/>
    </row>
    <row r="7643" spans="4:8" ht="15.75" customHeight="1" x14ac:dyDescent="0.25">
      <c r="D7643" s="4"/>
      <c r="H7643" s="4"/>
    </row>
    <row r="7644" spans="4:8" ht="15.75" customHeight="1" x14ac:dyDescent="0.25">
      <c r="D7644" s="4"/>
      <c r="H7644" s="4"/>
    </row>
    <row r="7645" spans="4:8" ht="15.75" customHeight="1" x14ac:dyDescent="0.25">
      <c r="D7645" s="4"/>
      <c r="H7645" s="4"/>
    </row>
    <row r="7646" spans="4:8" ht="15.75" customHeight="1" x14ac:dyDescent="0.25">
      <c r="D7646" s="4"/>
      <c r="H7646" s="4"/>
    </row>
    <row r="7647" spans="4:8" ht="15.75" customHeight="1" x14ac:dyDescent="0.25">
      <c r="D7647" s="4"/>
      <c r="H7647" s="4"/>
    </row>
    <row r="7648" spans="4:8" ht="15.75" customHeight="1" x14ac:dyDescent="0.25">
      <c r="D7648" s="4"/>
      <c r="H7648" s="4"/>
    </row>
    <row r="7649" spans="1:20" ht="15.75" customHeight="1" x14ac:dyDescent="0.25">
      <c r="D7649" s="4"/>
      <c r="H7649" s="4"/>
    </row>
    <row r="7650" spans="1:20" ht="15.75" customHeight="1" x14ac:dyDescent="0.25">
      <c r="D7650" s="4"/>
      <c r="H7650" s="4"/>
    </row>
    <row r="7651" spans="1:20" ht="15.75" customHeight="1" x14ac:dyDescent="0.25">
      <c r="D7651" s="4"/>
      <c r="H7651" s="4"/>
    </row>
    <row r="7652" spans="1:20" ht="15.75" customHeight="1" x14ac:dyDescent="0.25">
      <c r="D7652" s="4"/>
      <c r="H7652" s="4"/>
    </row>
    <row r="7653" spans="1:20" ht="15.75" customHeight="1" x14ac:dyDescent="0.25">
      <c r="D7653" s="4"/>
      <c r="H7653" s="4"/>
    </row>
    <row r="7654" spans="1:20" ht="15.75" customHeight="1" x14ac:dyDescent="0.25">
      <c r="D7654" s="4"/>
      <c r="H7654" s="4"/>
    </row>
    <row r="7655" spans="1:20" ht="15.75" customHeight="1" x14ac:dyDescent="0.25">
      <c r="D7655" s="4"/>
      <c r="H7655" s="4"/>
    </row>
    <row r="7656" spans="1:20" ht="15.75" customHeight="1" x14ac:dyDescent="0.25">
      <c r="D7656" s="4"/>
      <c r="H7656" s="4"/>
    </row>
    <row r="7657" spans="1:20" ht="15.75" customHeight="1" x14ac:dyDescent="0.25">
      <c r="D7657" s="4"/>
      <c r="H7657" s="4"/>
    </row>
    <row r="7658" spans="1:20" ht="15.75" customHeight="1" x14ac:dyDescent="0.25">
      <c r="D7658" s="4"/>
      <c r="H7658" s="4"/>
    </row>
    <row r="7659" spans="1:20" ht="15.75" customHeight="1" x14ac:dyDescent="0.25">
      <c r="D7659" s="4"/>
      <c r="H7659" s="4"/>
    </row>
    <row r="7660" spans="1:20" ht="15.75" customHeight="1" x14ac:dyDescent="0.25">
      <c r="D7660" s="4"/>
      <c r="H7660" s="4"/>
    </row>
    <row r="7661" spans="1:20" ht="15.75" customHeight="1" x14ac:dyDescent="0.25">
      <c r="D7661" s="4"/>
      <c r="H7661" s="4"/>
    </row>
    <row r="7662" spans="1:20" ht="15.75" customHeight="1" x14ac:dyDescent="0.25">
      <c r="D7662" s="4"/>
      <c r="H7662" s="4"/>
      <c r="I7662" s="720"/>
      <c r="J7662" s="720"/>
      <c r="K7662" s="720"/>
      <c r="L7662" s="720"/>
      <c r="M7662" s="720"/>
      <c r="N7662" s="720"/>
      <c r="O7662" s="720"/>
      <c r="P7662" s="720"/>
      <c r="Q7662" s="720"/>
      <c r="R7662" s="720"/>
      <c r="S7662" s="720"/>
      <c r="T7662" s="720"/>
    </row>
    <row r="7663" spans="1:20" ht="15.75" customHeight="1" x14ac:dyDescent="0.25">
      <c r="A7663" s="783" t="s">
        <v>14</v>
      </c>
      <c r="B7663" s="783"/>
      <c r="C7663" s="783"/>
      <c r="D7663" s="783"/>
      <c r="E7663" s="783"/>
      <c r="F7663" s="783"/>
      <c r="G7663" s="783"/>
      <c r="H7663" s="783"/>
      <c r="I7663" s="720"/>
      <c r="J7663" s="720"/>
      <c r="K7663" s="720"/>
      <c r="L7663" s="720"/>
      <c r="M7663" s="720"/>
      <c r="N7663" s="720"/>
      <c r="O7663" s="720"/>
      <c r="P7663" s="720"/>
      <c r="Q7663" s="720"/>
      <c r="R7663" s="720"/>
      <c r="S7663" s="720"/>
      <c r="T7663" s="720"/>
    </row>
    <row r="7664" spans="1:20" ht="15.75" customHeight="1" x14ac:dyDescent="0.25">
      <c r="A7664" s="720"/>
      <c r="B7664" s="720"/>
      <c r="C7664" s="720"/>
      <c r="D7664" s="721"/>
      <c r="E7664" s="720"/>
      <c r="F7664" s="720"/>
      <c r="G7664" s="720"/>
      <c r="H7664" s="783"/>
      <c r="I7664" s="720"/>
      <c r="J7664" s="720"/>
      <c r="K7664" s="720"/>
      <c r="L7664" s="720"/>
      <c r="M7664" s="720"/>
      <c r="N7664" s="720"/>
      <c r="O7664" s="720"/>
      <c r="P7664" s="720"/>
      <c r="Q7664" s="720"/>
      <c r="R7664" s="720"/>
      <c r="S7664" s="720"/>
      <c r="T7664" s="720"/>
    </row>
    <row r="7665" spans="1:20" ht="15.75" customHeight="1" x14ac:dyDescent="0.25">
      <c r="A7665" s="720"/>
      <c r="B7665" s="720"/>
      <c r="C7665" s="721"/>
      <c r="D7665" s="766"/>
      <c r="E7665" s="732"/>
      <c r="F7665" s="732"/>
      <c r="G7665" s="732"/>
      <c r="H7665" s="722"/>
      <c r="I7665" s="720"/>
      <c r="J7665" s="720"/>
      <c r="K7665" s="720"/>
      <c r="L7665" s="720"/>
      <c r="M7665" s="720"/>
      <c r="N7665" s="720"/>
      <c r="O7665" s="720"/>
      <c r="P7665" s="720"/>
      <c r="Q7665" s="720"/>
      <c r="R7665" s="720"/>
      <c r="S7665" s="720"/>
      <c r="T7665" s="720"/>
    </row>
    <row r="7666" spans="1:20" ht="15.75" customHeight="1" x14ac:dyDescent="0.25">
      <c r="A7666" s="720"/>
      <c r="B7666" s="720"/>
      <c r="C7666" s="720"/>
      <c r="D7666" s="721"/>
      <c r="E7666" s="784" t="s">
        <v>18</v>
      </c>
      <c r="F7666" s="785" t="s">
        <v>923</v>
      </c>
      <c r="G7666" s="720"/>
      <c r="H7666" s="786"/>
      <c r="I7666" s="720"/>
      <c r="J7666" s="720"/>
      <c r="K7666" s="720"/>
      <c r="L7666" s="720"/>
      <c r="M7666" s="720"/>
      <c r="N7666" s="720"/>
      <c r="O7666" s="720"/>
      <c r="P7666" s="720"/>
      <c r="Q7666" s="720"/>
      <c r="R7666" s="720"/>
      <c r="S7666" s="720"/>
      <c r="T7666" s="720"/>
    </row>
    <row r="7667" spans="1:20" ht="15.75" customHeight="1" x14ac:dyDescent="0.25">
      <c r="A7667" s="720" t="s">
        <v>20</v>
      </c>
      <c r="B7667" s="720"/>
      <c r="C7667" s="720"/>
      <c r="D7667" s="721"/>
      <c r="E7667" s="784" t="s">
        <v>21</v>
      </c>
      <c r="F7667" s="720" t="s">
        <v>2107</v>
      </c>
      <c r="G7667" s="720"/>
      <c r="H7667" s="721"/>
      <c r="I7667" s="720"/>
      <c r="J7667" s="720"/>
      <c r="K7667" s="720"/>
      <c r="L7667" s="720"/>
      <c r="M7667" s="720"/>
      <c r="N7667" s="720"/>
      <c r="O7667" s="720"/>
      <c r="P7667" s="720"/>
      <c r="Q7667" s="720"/>
      <c r="R7667" s="720"/>
      <c r="S7667" s="720"/>
      <c r="T7667" s="720"/>
    </row>
    <row r="7668" spans="1:20" ht="15.75" customHeight="1" x14ac:dyDescent="0.25">
      <c r="A7668" s="720" t="inlineStr">
        <is>
          <t>Dealer-001</t>
        </is>
      </c>
      <c r="B7668" s="720"/>
      <c r="C7668" s="720"/>
      <c r="D7668" s="721"/>
      <c r="E7668" s="784"/>
      <c r="F7668" s="720"/>
      <c r="G7668" s="720"/>
      <c r="H7668" s="722"/>
      <c r="I7668" s="720"/>
      <c r="J7668" s="720"/>
      <c r="K7668" s="720"/>
      <c r="L7668" s="720"/>
      <c r="M7668" s="720"/>
      <c r="N7668" s="720"/>
      <c r="O7668" s="720"/>
      <c r="P7668" s="720"/>
      <c r="Q7668" s="720"/>
      <c r="R7668" s="720"/>
      <c r="S7668" s="720"/>
      <c r="T7668" s="720"/>
    </row>
    <row r="7669" spans="1:20" ht="15.75" customHeight="1" x14ac:dyDescent="0.25">
      <c r="A7669" s="720" t="inlineStr">
        <is>
          <t>Address line (redacted)</t>
        </is>
      </c>
      <c r="B7669" s="720"/>
      <c r="C7669" s="720"/>
      <c r="D7669" s="783"/>
      <c r="E7669" s="720"/>
      <c r="F7669" s="721"/>
      <c r="G7669" s="720"/>
      <c r="H7669" s="722"/>
      <c r="I7669" s="720"/>
      <c r="J7669" s="720"/>
      <c r="K7669" s="720"/>
      <c r="L7669" s="720"/>
      <c r="M7669" s="720"/>
      <c r="N7669" s="720"/>
      <c r="O7669" s="720"/>
      <c r="P7669" s="720"/>
      <c r="Q7669" s="720"/>
      <c r="R7669" s="720"/>
      <c r="S7669" s="720"/>
      <c r="T7669" s="720"/>
    </row>
    <row r="7670" spans="1:20" ht="15.75" customHeight="1" x14ac:dyDescent="0.25">
      <c r="A7670" s="720"/>
      <c r="B7670" s="720"/>
      <c r="C7670" s="720"/>
      <c r="D7670" s="783"/>
      <c r="E7670" s="720"/>
      <c r="F7670" s="721"/>
      <c r="G7670" s="720"/>
      <c r="H7670" s="722"/>
      <c r="I7670" s="720"/>
      <c r="J7670" s="720"/>
      <c r="K7670" s="720"/>
      <c r="L7670" s="720"/>
      <c r="M7670" s="720"/>
      <c r="N7670" s="720"/>
      <c r="O7670" s="720"/>
      <c r="P7670" s="720"/>
      <c r="Q7670" s="720"/>
      <c r="R7670" s="720"/>
      <c r="S7670" s="720"/>
      <c r="T7670" s="720"/>
    </row>
    <row r="7671" spans="1:20" ht="15.75" customHeight="1" x14ac:dyDescent="0.25">
      <c r="A7671" s="720" t="inlineStr">
        <is>
          <t>Through: Transporter-001</t>
        </is>
      </c>
      <c r="B7671" s="720"/>
      <c r="C7671" s="720"/>
      <c r="D7671" s="783"/>
      <c r="E7671" s="720"/>
      <c r="F7671" s="721"/>
      <c r="G7671" s="720"/>
      <c r="H7671" s="722"/>
      <c r="I7671" s="720"/>
      <c r="J7671" s="720"/>
      <c r="K7671" s="720"/>
      <c r="L7671" s="720"/>
      <c r="M7671" s="720"/>
      <c r="N7671" s="720"/>
      <c r="O7671" s="720"/>
      <c r="P7671" s="720"/>
      <c r="Q7671" s="720"/>
      <c r="R7671" s="720"/>
      <c r="S7671" s="720"/>
      <c r="T7671" s="720"/>
    </row>
    <row r="7672" spans="1:20" ht="15.75" customHeight="1" x14ac:dyDescent="0.25">
      <c r="A7672" s="720"/>
      <c r="B7672" s="720" t="inlineStr">
        <is>
          <t>Address line (redacted)</t>
        </is>
      </c>
      <c r="C7672" s="720"/>
      <c r="D7672" s="783"/>
      <c r="E7672" s="720"/>
      <c r="F7672" s="721"/>
      <c r="G7672" s="720"/>
      <c r="H7672" s="722"/>
      <c r="I7672" s="720"/>
      <c r="J7672" s="720"/>
      <c r="K7672" s="720"/>
      <c r="L7672" s="720"/>
      <c r="M7672" s="720"/>
      <c r="N7672" s="720"/>
      <c r="O7672" s="720"/>
      <c r="P7672" s="720"/>
      <c r="Q7672" s="720"/>
      <c r="R7672" s="720"/>
      <c r="S7672" s="720"/>
      <c r="T7672" s="720"/>
    </row>
    <row r="7673" spans="1:20" ht="15.75" customHeight="1" x14ac:dyDescent="0.25">
      <c r="A7673" s="720"/>
      <c r="B7673" s="720" t="inlineStr">
        <is>
          <t>Address line (redacted)</t>
        </is>
      </c>
      <c r="C7673" s="720"/>
      <c r="D7673" s="783"/>
      <c r="E7673" s="720"/>
      <c r="F7673" s="721"/>
      <c r="G7673" s="720"/>
      <c r="H7673" s="722"/>
      <c r="I7673" s="720"/>
      <c r="J7673" s="720"/>
      <c r="K7673" s="720"/>
      <c r="L7673" s="720"/>
      <c r="M7673" s="720"/>
      <c r="N7673" s="720"/>
      <c r="O7673" s="720"/>
      <c r="P7673" s="720"/>
      <c r="Q7673" s="720"/>
      <c r="R7673" s="720"/>
      <c r="S7673" s="720"/>
      <c r="T7673" s="720"/>
    </row>
    <row r="7674" spans="1:20" ht="15.75" customHeight="1" x14ac:dyDescent="0.25">
      <c r="A7674" s="720"/>
      <c r="B7674" s="720"/>
      <c r="C7674" s="720"/>
      <c r="D7674" s="783"/>
      <c r="E7674" s="720"/>
      <c r="F7674" s="721"/>
      <c r="G7674" s="720"/>
      <c r="H7674" s="722"/>
      <c r="I7674" s="720"/>
      <c r="J7674" s="720"/>
      <c r="K7674" s="720"/>
      <c r="L7674" s="720"/>
      <c r="M7674" s="720"/>
      <c r="N7674" s="720"/>
      <c r="O7674" s="720"/>
      <c r="P7674" s="720"/>
      <c r="Q7674" s="720"/>
      <c r="R7674" s="720"/>
      <c r="S7674" s="720"/>
      <c r="T7674" s="720"/>
    </row>
    <row r="7675" spans="1:20" ht="15.75" customHeight="1" x14ac:dyDescent="0.25">
      <c r="A7675" s="720" t="s">
        <v>30</v>
      </c>
      <c r="B7675" s="720"/>
      <c r="C7675" s="720"/>
      <c r="D7675" s="721"/>
      <c r="E7675" s="720"/>
      <c r="F7675" s="721"/>
      <c r="G7675" s="720"/>
      <c r="H7675" s="722"/>
      <c r="I7675" s="720"/>
      <c r="J7675" s="720"/>
      <c r="K7675" s="720"/>
      <c r="L7675" s="720"/>
      <c r="M7675" s="720"/>
      <c r="N7675" s="720"/>
      <c r="O7675" s="720"/>
      <c r="P7675" s="720"/>
      <c r="Q7675" s="720"/>
      <c r="R7675" s="720"/>
      <c r="S7675" s="720"/>
      <c r="T7675" s="720"/>
    </row>
    <row r="7676" spans="1:20" ht="15.75" customHeight="1" x14ac:dyDescent="0.25">
      <c r="A7676" s="720" t="s">
        <v>31</v>
      </c>
      <c r="B7676" s="720"/>
      <c r="C7676" s="720"/>
      <c r="D7676" s="721"/>
      <c r="E7676" s="720"/>
      <c r="F7676" s="721"/>
      <c r="G7676" s="720"/>
      <c r="H7676" s="722"/>
      <c r="I7676" s="720"/>
      <c r="J7676" s="720"/>
      <c r="K7676" s="720"/>
      <c r="L7676" s="720"/>
      <c r="M7676" s="720"/>
      <c r="N7676" s="720"/>
      <c r="O7676" s="720"/>
      <c r="P7676" s="720"/>
      <c r="Q7676" s="720"/>
      <c r="R7676" s="720"/>
      <c r="S7676" s="720"/>
      <c r="T7676" s="720"/>
    </row>
    <row r="7677" spans="1:20" ht="15.75" customHeight="1" x14ac:dyDescent="0.25">
      <c r="A7677" s="720" t="s">
        <v>32</v>
      </c>
      <c r="B7677" s="720"/>
      <c r="C7677" s="720"/>
      <c r="D7677" s="721"/>
      <c r="E7677" s="720"/>
      <c r="F7677" s="721"/>
      <c r="G7677" s="720"/>
      <c r="H7677" s="722"/>
      <c r="I7677" s="720"/>
      <c r="J7677" s="720"/>
      <c r="K7677" s="720"/>
      <c r="L7677" s="720"/>
      <c r="M7677" s="720"/>
      <c r="N7677" s="720"/>
      <c r="O7677" s="720"/>
      <c r="P7677" s="720"/>
      <c r="Q7677" s="720"/>
      <c r="R7677" s="720"/>
      <c r="S7677" s="720"/>
      <c r="T7677" s="720"/>
    </row>
    <row r="7678" spans="1:20" ht="15.75" customHeight="1" x14ac:dyDescent="0.25">
      <c r="A7678" s="723" t="s">
        <v>33</v>
      </c>
      <c r="B7678" s="724" t="s">
        <v>6</v>
      </c>
      <c r="C7678" s="724"/>
      <c r="D7678" s="725" t="s">
        <v>37</v>
      </c>
      <c r="E7678" s="726" t="s">
        <v>38</v>
      </c>
      <c r="F7678" s="727" t="s">
        <v>7</v>
      </c>
      <c r="G7678" s="728" t="s">
        <v>43</v>
      </c>
      <c r="H7678" s="729" t="s">
        <v>44</v>
      </c>
      <c r="I7678" s="720"/>
      <c r="J7678" s="720"/>
      <c r="K7678" s="720"/>
      <c r="L7678" s="720"/>
      <c r="M7678" s="720"/>
      <c r="N7678" s="720"/>
      <c r="O7678" s="720"/>
      <c r="P7678" s="720"/>
      <c r="Q7678" s="720"/>
      <c r="R7678" s="720"/>
      <c r="S7678" s="720"/>
      <c r="T7678" s="720"/>
    </row>
    <row r="7679" spans="1:20" ht="15.75" customHeight="1" x14ac:dyDescent="0.25">
      <c r="A7679" s="730"/>
      <c r="B7679" s="731"/>
      <c r="C7679" s="732"/>
      <c r="D7679" s="733"/>
      <c r="E7679" s="733"/>
      <c r="F7679" s="734"/>
      <c r="G7679" s="735"/>
      <c r="H7679" s="736"/>
      <c r="I7679" s="720"/>
      <c r="J7679" s="720"/>
      <c r="K7679" s="720"/>
      <c r="L7679" s="720"/>
      <c r="M7679" s="720"/>
      <c r="N7679" s="720"/>
      <c r="O7679" s="720"/>
      <c r="P7679" s="720"/>
      <c r="Q7679" s="720"/>
      <c r="R7679" s="720"/>
      <c r="S7679" s="720"/>
      <c r="T7679" s="720"/>
    </row>
    <row r="7680" spans="1:20" ht="15.75" customHeight="1" x14ac:dyDescent="0.25">
      <c r="A7680" s="746"/>
      <c r="B7680" s="787" t="s">
        <v>50</v>
      </c>
      <c r="C7680" s="788"/>
      <c r="D7680" s="748"/>
      <c r="E7680" s="748"/>
      <c r="F7680" s="721"/>
      <c r="G7680" s="748"/>
      <c r="H7680" s="749"/>
      <c r="I7680" s="720"/>
      <c r="J7680" s="720"/>
      <c r="K7680" s="720"/>
      <c r="L7680" s="720"/>
      <c r="M7680" s="720"/>
      <c r="N7680" s="720"/>
      <c r="O7680" s="720"/>
      <c r="P7680" s="720"/>
      <c r="Q7680" s="720"/>
      <c r="R7680" s="720"/>
      <c r="S7680" s="720"/>
      <c r="T7680" s="720"/>
    </row>
    <row r="7681" spans="1:20" ht="15.75" customHeight="1" x14ac:dyDescent="0.25">
      <c r="A7681" s="746" t="s">
        <v>55</v>
      </c>
      <c r="B7681" s="772" t="s">
        <v>1796</v>
      </c>
      <c r="C7681" s="720" t="s">
        <v>439</v>
      </c>
      <c r="D7681" s="748">
        <v>1</v>
      </c>
      <c r="E7681" s="748">
        <v>25</v>
      </c>
      <c r="F7681" s="721">
        <f t="shared" ref="F7681:F7683" si="229">+E7681*D7681</f>
      </c>
      <c r="G7681" s="748">
        <v>1</v>
      </c>
      <c r="H7681" s="749">
        <f t="shared" ref="H7681:H7683" si="230">+G7681*F7681</f>
      </c>
      <c r="I7681" s="720"/>
      <c r="J7681" s="720"/>
      <c r="K7681" s="720"/>
      <c r="L7681" s="720"/>
      <c r="M7681" s="720"/>
      <c r="N7681" s="720"/>
      <c r="O7681" s="720"/>
      <c r="P7681" s="720"/>
      <c r="Q7681" s="720"/>
      <c r="R7681" s="720"/>
      <c r="S7681" s="720"/>
      <c r="T7681" s="720"/>
    </row>
    <row r="7682" spans="1:20" ht="15.75" customHeight="1" x14ac:dyDescent="0.25">
      <c r="A7682" s="746" t="s">
        <v>59</v>
      </c>
      <c r="B7682" s="772" t="s">
        <v>1797</v>
      </c>
      <c r="C7682" s="720" t="s">
        <v>422</v>
      </c>
      <c r="D7682" s="748">
        <v>1</v>
      </c>
      <c r="E7682" s="748">
        <v>25</v>
      </c>
      <c r="F7682" s="721">
        <f t="shared" si="229"/>
      </c>
      <c r="G7682" s="748">
        <v>1</v>
      </c>
      <c r="H7682" s="749">
        <f t="shared" si="230"/>
      </c>
      <c r="I7682" s="720"/>
      <c r="J7682" s="720"/>
      <c r="K7682" s="720"/>
      <c r="L7682" s="720"/>
      <c r="M7682" s="720"/>
      <c r="N7682" s="720"/>
      <c r="O7682" s="720"/>
      <c r="P7682" s="720"/>
      <c r="Q7682" s="720"/>
      <c r="R7682" s="720"/>
      <c r="S7682" s="720"/>
      <c r="T7682" s="720"/>
    </row>
    <row r="7683" spans="1:20" ht="15.75" customHeight="1" x14ac:dyDescent="0.25">
      <c r="A7683" s="746" t="s">
        <v>67</v>
      </c>
      <c r="B7683" s="772" t="s">
        <v>1798</v>
      </c>
      <c r="C7683" s="720" t="s">
        <v>434</v>
      </c>
      <c r="D7683" s="748">
        <v>1</v>
      </c>
      <c r="E7683" s="748">
        <v>25</v>
      </c>
      <c r="F7683" s="721">
        <f t="shared" si="229"/>
      </c>
      <c r="G7683" s="748">
        <v>1</v>
      </c>
      <c r="H7683" s="749">
        <f t="shared" si="230"/>
      </c>
      <c r="I7683" s="720"/>
      <c r="J7683" s="720"/>
      <c r="K7683" s="720"/>
      <c r="L7683" s="720"/>
      <c r="M7683" s="720"/>
      <c r="N7683" s="720"/>
      <c r="O7683" s="720"/>
      <c r="P7683" s="720"/>
      <c r="Q7683" s="720"/>
      <c r="R7683" s="720"/>
      <c r="S7683" s="720"/>
      <c r="T7683" s="720"/>
    </row>
    <row r="7684" spans="1:20" ht="15.75" customHeight="1" x14ac:dyDescent="0.25">
      <c r="A7684" s="746"/>
      <c r="B7684" s="789" t="s">
        <v>2108</v>
      </c>
      <c r="C7684" s="720"/>
      <c r="D7684" s="748"/>
      <c r="E7684" s="748"/>
      <c r="F7684" s="721"/>
      <c r="G7684" s="748"/>
      <c r="H7684" s="749"/>
      <c r="I7684" s="720"/>
      <c r="J7684" s="720"/>
      <c r="K7684" s="720"/>
      <c r="L7684" s="720"/>
      <c r="M7684" s="720"/>
      <c r="N7684" s="720"/>
      <c r="O7684" s="720"/>
      <c r="P7684" s="720"/>
      <c r="Q7684" s="720"/>
      <c r="R7684" s="720"/>
      <c r="S7684" s="720"/>
      <c r="T7684" s="720"/>
    </row>
    <row r="7685" spans="1:20" ht="15.75" customHeight="1" x14ac:dyDescent="0.25">
      <c r="A7685" s="746" t="s">
        <v>485</v>
      </c>
      <c r="B7685" s="772" t="s">
        <v>1799</v>
      </c>
      <c r="C7685" s="720" t="s">
        <v>54</v>
      </c>
      <c r="D7685" s="748">
        <v>1</v>
      </c>
      <c r="E7685" s="748">
        <v>5</v>
      </c>
      <c r="F7685" s="721">
        <f t="shared" ref="F7685:F7689" si="231">+E7685*D7685</f>
      </c>
      <c r="G7685" s="748">
        <v>1</v>
      </c>
      <c r="H7685" s="749">
        <f t="shared" ref="H7685:H7689" si="232">+G7685*F7685</f>
      </c>
      <c r="I7685" s="720"/>
      <c r="J7685" s="720"/>
      <c r="K7685" s="720"/>
      <c r="L7685" s="720"/>
      <c r="M7685" s="720"/>
      <c r="N7685" s="720"/>
      <c r="O7685" s="720"/>
      <c r="P7685" s="720"/>
      <c r="Q7685" s="720"/>
      <c r="R7685" s="720"/>
      <c r="S7685" s="720"/>
      <c r="T7685" s="720"/>
    </row>
    <row r="7686" spans="1:20" ht="15.75" customHeight="1" x14ac:dyDescent="0.25">
      <c r="A7686" s="746" t="s">
        <v>486</v>
      </c>
      <c r="B7686" s="772" t="s">
        <v>1800</v>
      </c>
      <c r="C7686" s="720" t="s">
        <v>94</v>
      </c>
      <c r="D7686" s="748">
        <v>1</v>
      </c>
      <c r="E7686" s="748">
        <v>5</v>
      </c>
      <c r="F7686" s="721">
        <f t="shared" si="231"/>
      </c>
      <c r="G7686" s="748">
        <v>1</v>
      </c>
      <c r="H7686" s="749">
        <f t="shared" si="232"/>
      </c>
      <c r="I7686" s="720"/>
      <c r="J7686" s="720"/>
      <c r="K7686" s="720"/>
      <c r="L7686" s="720"/>
      <c r="M7686" s="720"/>
      <c r="N7686" s="720"/>
      <c r="O7686" s="720"/>
      <c r="P7686" s="720"/>
      <c r="Q7686" s="720"/>
      <c r="R7686" s="720"/>
      <c r="S7686" s="720"/>
      <c r="T7686" s="720"/>
    </row>
    <row r="7687" spans="1:20" ht="15.75" customHeight="1" x14ac:dyDescent="0.25">
      <c r="A7687" s="746" t="s">
        <v>489</v>
      </c>
      <c r="B7687" s="772" t="s">
        <v>1801</v>
      </c>
      <c r="C7687" s="720" t="s">
        <v>337</v>
      </c>
      <c r="D7687" s="748">
        <v>1</v>
      </c>
      <c r="E7687" s="748">
        <v>5</v>
      </c>
      <c r="F7687" s="721">
        <f t="shared" si="231"/>
      </c>
      <c r="G7687" s="748">
        <v>1</v>
      </c>
      <c r="H7687" s="749">
        <f t="shared" si="232"/>
      </c>
      <c r="I7687" s="720"/>
      <c r="J7687" s="720"/>
      <c r="K7687" s="720"/>
      <c r="L7687" s="720"/>
      <c r="M7687" s="720"/>
      <c r="N7687" s="720"/>
      <c r="O7687" s="720"/>
      <c r="P7687" s="720"/>
      <c r="Q7687" s="720"/>
      <c r="R7687" s="720"/>
      <c r="S7687" s="720"/>
      <c r="T7687" s="720"/>
    </row>
    <row r="7688" spans="1:20" ht="15.75" customHeight="1" x14ac:dyDescent="0.25">
      <c r="A7688" s="746" t="s">
        <v>490</v>
      </c>
      <c r="B7688" s="790" t="s">
        <v>1804</v>
      </c>
      <c r="C7688" s="720" t="s">
        <v>339</v>
      </c>
      <c r="D7688" s="748">
        <v>1</v>
      </c>
      <c r="E7688" s="748">
        <v>5</v>
      </c>
      <c r="F7688" s="721">
        <f t="shared" si="231"/>
      </c>
      <c r="G7688" s="748">
        <v>1</v>
      </c>
      <c r="H7688" s="749">
        <f t="shared" si="232"/>
      </c>
      <c r="I7688" s="720"/>
      <c r="J7688" s="720"/>
      <c r="K7688" s="720"/>
      <c r="L7688" s="720"/>
      <c r="M7688" s="720"/>
      <c r="N7688" s="720"/>
      <c r="O7688" s="720"/>
      <c r="P7688" s="720"/>
      <c r="Q7688" s="720"/>
      <c r="R7688" s="720"/>
      <c r="S7688" s="720"/>
      <c r="T7688" s="720"/>
    </row>
    <row r="7689" spans="1:20" ht="15.75" customHeight="1" x14ac:dyDescent="0.25">
      <c r="A7689" s="746" t="s">
        <v>781</v>
      </c>
      <c r="B7689" s="790" t="s">
        <v>1805</v>
      </c>
      <c r="C7689" s="720" t="s">
        <v>298</v>
      </c>
      <c r="D7689" s="748">
        <v>1</v>
      </c>
      <c r="E7689" s="791">
        <v>5</v>
      </c>
      <c r="F7689" s="792">
        <f t="shared" si="231"/>
      </c>
      <c r="G7689" s="748">
        <v>1</v>
      </c>
      <c r="H7689" s="749">
        <f t="shared" si="232"/>
      </c>
      <c r="I7689" s="720"/>
      <c r="J7689" s="720"/>
      <c r="K7689" s="720"/>
      <c r="L7689" s="720"/>
      <c r="M7689" s="720"/>
      <c r="N7689" s="720"/>
      <c r="O7689" s="720"/>
      <c r="P7689" s="720"/>
      <c r="Q7689" s="720"/>
      <c r="R7689" s="720"/>
      <c r="S7689" s="720"/>
      <c r="T7689" s="720"/>
    </row>
    <row r="7690" spans="1:20" ht="15.75" customHeight="1" x14ac:dyDescent="0.25">
      <c r="A7690" s="746"/>
      <c r="B7690" s="790" t="s">
        <v>2112</v>
      </c>
      <c r="C7690" s="720"/>
      <c r="D7690" s="748"/>
      <c r="E7690" s="748"/>
      <c r="F7690" s="721"/>
      <c r="G7690" s="748"/>
      <c r="H7690" s="749"/>
      <c r="I7690" s="720"/>
      <c r="J7690" s="720"/>
      <c r="K7690" s="720"/>
      <c r="L7690" s="720"/>
      <c r="M7690" s="720"/>
      <c r="N7690" s="720"/>
      <c r="O7690" s="720"/>
      <c r="P7690" s="720"/>
      <c r="Q7690" s="720"/>
      <c r="R7690" s="720"/>
      <c r="S7690" s="720"/>
      <c r="T7690" s="720"/>
    </row>
    <row r="7691" spans="1:20" ht="15.75" customHeight="1" x14ac:dyDescent="0.25">
      <c r="A7691" s="746" t="s">
        <v>785</v>
      </c>
      <c r="B7691" s="790" t="s">
        <v>1516</v>
      </c>
      <c r="C7691" s="720" t="s">
        <v>376</v>
      </c>
      <c r="D7691" s="748">
        <v>2</v>
      </c>
      <c r="E7691" s="748">
        <v>6</v>
      </c>
      <c r="F7691" s="721">
        <f t="shared" ref="F7691:F7692" si="233">+E7691*D7691</f>
      </c>
      <c r="G7691" s="748">
        <v>1</v>
      </c>
      <c r="H7691" s="749">
        <f t="shared" ref="H7691:H7692" si="234">+G7691*F7691</f>
      </c>
      <c r="I7691" s="720"/>
      <c r="J7691" s="720"/>
      <c r="K7691" s="720"/>
      <c r="L7691" s="720"/>
      <c r="M7691" s="720"/>
      <c r="N7691" s="720"/>
      <c r="O7691" s="720"/>
      <c r="P7691" s="720"/>
      <c r="Q7691" s="720"/>
      <c r="R7691" s="720"/>
      <c r="S7691" s="720"/>
      <c r="T7691" s="720"/>
    </row>
    <row r="7692" spans="1:20" ht="15.75" customHeight="1" x14ac:dyDescent="0.25">
      <c r="A7692" s="746" t="s">
        <v>787</v>
      </c>
      <c r="B7692" s="790" t="s">
        <v>1806</v>
      </c>
      <c r="C7692" s="720" t="s">
        <v>375</v>
      </c>
      <c r="D7692" s="748">
        <v>1</v>
      </c>
      <c r="E7692" s="748">
        <v>6</v>
      </c>
      <c r="F7692" s="721">
        <f t="shared" si="233"/>
      </c>
      <c r="G7692" s="748">
        <v>1</v>
      </c>
      <c r="H7692" s="749">
        <f t="shared" si="234"/>
      </c>
      <c r="I7692" s="732"/>
      <c r="J7692" s="732"/>
      <c r="K7692" s="732"/>
      <c r="L7692" s="732"/>
      <c r="M7692" s="732"/>
      <c r="N7692" s="732"/>
      <c r="O7692" s="732"/>
      <c r="P7692" s="732"/>
      <c r="Q7692" s="732"/>
      <c r="R7692" s="732"/>
      <c r="S7692" s="732"/>
      <c r="T7692" s="732"/>
    </row>
    <row r="7693" spans="1:20" ht="15.75" customHeight="1" x14ac:dyDescent="0.25">
      <c r="A7693" s="740"/>
      <c r="B7693" s="793"/>
      <c r="C7693" s="732" t="s">
        <v>2113</v>
      </c>
      <c r="D7693" s="733"/>
      <c r="E7693" s="733"/>
      <c r="F7693" s="783"/>
      <c r="G7693" s="733"/>
      <c r="H7693" s="794">
        <v>1</v>
      </c>
      <c r="I7693" s="720"/>
      <c r="J7693" s="720"/>
      <c r="K7693" s="720"/>
      <c r="L7693" s="720"/>
      <c r="M7693" s="720"/>
      <c r="N7693" s="720"/>
      <c r="O7693" s="720"/>
      <c r="P7693" s="720"/>
      <c r="Q7693" s="720"/>
      <c r="R7693" s="720"/>
      <c r="S7693" s="720"/>
      <c r="T7693" s="720"/>
    </row>
    <row r="7694" spans="1:20" ht="15.75" customHeight="1" x14ac:dyDescent="0.25">
      <c r="A7694" s="795"/>
      <c r="B7694" s="734"/>
      <c r="C7694" s="732"/>
      <c r="D7694" s="748"/>
      <c r="E7694" s="748"/>
      <c r="F7694" s="751"/>
      <c r="G7694" s="752"/>
      <c r="H7694" s="749"/>
      <c r="I7694" s="720"/>
      <c r="J7694" s="720"/>
      <c r="K7694" s="720"/>
      <c r="L7694" s="720"/>
      <c r="M7694" s="720"/>
      <c r="N7694" s="720"/>
      <c r="O7694" s="720"/>
      <c r="P7694" s="720"/>
      <c r="Q7694" s="720"/>
      <c r="R7694" s="720"/>
      <c r="S7694" s="720"/>
      <c r="T7694" s="720"/>
    </row>
    <row r="7695" spans="1:20" ht="15.75" customHeight="1" x14ac:dyDescent="0.25">
      <c r="A7695" s="753"/>
      <c r="B7695" s="754"/>
      <c r="C7695" s="796" t="s">
        <v>85</v>
      </c>
      <c r="D7695" s="756">
        <f>SUM(D7680:D7694)</f>
      </c>
      <c r="E7695" s="756"/>
      <c r="F7695" s="757"/>
      <c r="G7695" s="758"/>
      <c r="H7695" s="759">
        <f>SUM(H7681:H7694)</f>
      </c>
      <c r="I7695" s="720"/>
      <c r="J7695" s="720"/>
      <c r="K7695" s="720"/>
      <c r="L7695" s="720"/>
      <c r="M7695" s="720"/>
      <c r="N7695" s="720"/>
      <c r="O7695" s="720"/>
      <c r="P7695" s="720"/>
      <c r="Q7695" s="720"/>
      <c r="R7695" s="720"/>
      <c r="S7695" s="720"/>
      <c r="T7695" s="720"/>
    </row>
    <row r="7696" spans="1:20" ht="15.75" customHeight="1" x14ac:dyDescent="0.25">
      <c r="A7696" s="730"/>
      <c r="B7696" s="732"/>
      <c r="C7696" s="797"/>
      <c r="D7696" s="783"/>
      <c r="E7696" s="783"/>
      <c r="F7696" s="783"/>
      <c r="G7696" s="798"/>
      <c r="H7696" s="799"/>
      <c r="I7696" s="720"/>
      <c r="J7696" s="720"/>
      <c r="K7696" s="720"/>
      <c r="L7696" s="720"/>
      <c r="M7696" s="720"/>
      <c r="N7696" s="720"/>
      <c r="O7696" s="720"/>
      <c r="P7696" s="720"/>
      <c r="Q7696" s="720"/>
      <c r="R7696" s="720"/>
      <c r="S7696" s="720"/>
      <c r="T7696" s="720"/>
    </row>
    <row r="7697" spans="1:20" ht="15.75" customHeight="1" x14ac:dyDescent="0.25">
      <c r="A7697" s="730"/>
      <c r="B7697" s="732"/>
      <c r="C7697" s="800" t="s">
        <v>2114</v>
      </c>
      <c r="D7697" s="783"/>
      <c r="E7697" s="783"/>
      <c r="F7697" s="783"/>
      <c r="G7697" s="798"/>
      <c r="H7697" s="799"/>
      <c r="I7697" s="720"/>
      <c r="J7697" s="720"/>
      <c r="K7697" s="720"/>
      <c r="L7697" s="720"/>
      <c r="M7697" s="720"/>
      <c r="N7697" s="720"/>
      <c r="O7697" s="720"/>
      <c r="P7697" s="720"/>
      <c r="Q7697" s="720"/>
      <c r="R7697" s="720"/>
      <c r="S7697" s="720"/>
      <c r="T7697" s="720"/>
    </row>
    <row r="7698" spans="1:20" ht="15.75" customHeight="1" x14ac:dyDescent="0.25">
      <c r="A7698" s="730"/>
      <c r="B7698" s="732"/>
      <c r="C7698" s="797" t="s">
        <v>2115</v>
      </c>
      <c r="D7698" s="783">
        <v>1</v>
      </c>
      <c r="E7698" s="783">
        <v>1</v>
      </c>
      <c r="F7698" s="783">
        <v>1</v>
      </c>
      <c r="G7698" s="798">
        <v>1</v>
      </c>
      <c r="H7698" s="799">
        <f t="shared" ref="H7698:H7700" si="235">+G7698*F7698</f>
      </c>
      <c r="I7698" s="720"/>
      <c r="J7698" s="720"/>
      <c r="K7698" s="720"/>
      <c r="L7698" s="720"/>
      <c r="M7698" s="720"/>
      <c r="N7698" s="720"/>
      <c r="O7698" s="720"/>
      <c r="P7698" s="720"/>
      <c r="Q7698" s="720"/>
      <c r="R7698" s="720"/>
      <c r="S7698" s="720"/>
      <c r="T7698" s="720"/>
    </row>
    <row r="7699" spans="1:20" ht="15.75" customHeight="1" x14ac:dyDescent="0.25">
      <c r="A7699" s="732" t="s">
        <v>2116</v>
      </c>
      <c r="B7699" s="732"/>
      <c r="C7699" s="797"/>
      <c r="D7699" s="783">
        <v>1</v>
      </c>
      <c r="E7699" s="783">
        <v>1</v>
      </c>
      <c r="F7699" s="783">
        <v>1</v>
      </c>
      <c r="G7699" s="798">
        <v>1</v>
      </c>
      <c r="H7699" s="799">
        <f t="shared" si="235"/>
      </c>
      <c r="I7699" s="720"/>
      <c r="J7699" s="720"/>
      <c r="K7699" s="720"/>
      <c r="L7699" s="720"/>
      <c r="M7699" s="720"/>
      <c r="N7699" s="720"/>
      <c r="O7699" s="720"/>
      <c r="P7699" s="720"/>
      <c r="Q7699" s="720"/>
      <c r="R7699" s="720"/>
      <c r="S7699" s="720"/>
      <c r="T7699" s="720"/>
    </row>
    <row r="7700" spans="1:20" ht="15.75" customHeight="1" x14ac:dyDescent="0.25">
      <c r="A7700" s="730"/>
      <c r="B7700" s="732"/>
      <c r="C7700" s="797" t="s">
        <v>2117</v>
      </c>
      <c r="D7700" s="801">
        <v>1</v>
      </c>
      <c r="E7700" s="801">
        <v>5</v>
      </c>
      <c r="F7700" s="801">
        <v>5</v>
      </c>
      <c r="G7700" s="802">
        <v>1</v>
      </c>
      <c r="H7700" s="803">
        <f t="shared" si="235"/>
      </c>
      <c r="I7700" s="720"/>
      <c r="J7700" s="720"/>
      <c r="K7700" s="720"/>
      <c r="L7700" s="720"/>
      <c r="M7700" s="720"/>
      <c r="N7700" s="720"/>
      <c r="O7700" s="720"/>
      <c r="P7700" s="720"/>
      <c r="Q7700" s="720"/>
      <c r="R7700" s="720"/>
      <c r="S7700" s="720"/>
      <c r="T7700" s="720"/>
    </row>
    <row r="7701" spans="1:20" ht="15.75" customHeight="1" x14ac:dyDescent="0.25">
      <c r="A7701" s="730"/>
      <c r="B7701" s="732"/>
      <c r="C7701" s="797"/>
      <c r="D7701" s="783" t="s">
        <v>2119</v>
      </c>
      <c r="E7701" s="783"/>
      <c r="F7701" s="783"/>
      <c r="G7701" s="798"/>
      <c r="H7701" s="799">
        <f>+H7695-H7698-H7699-H7700</f>
      </c>
      <c r="I7701" s="720"/>
      <c r="J7701" s="720"/>
      <c r="K7701" s="720"/>
      <c r="L7701" s="720"/>
      <c r="M7701" s="720"/>
      <c r="N7701" s="720"/>
      <c r="O7701" s="720"/>
      <c r="P7701" s="720"/>
      <c r="Q7701" s="720"/>
      <c r="R7701" s="720"/>
      <c r="S7701" s="720"/>
      <c r="T7701" s="720"/>
    </row>
    <row r="7702" spans="1:20" ht="15.75" customHeight="1" x14ac:dyDescent="0.25">
      <c r="A7702" s="760"/>
      <c r="B7702" s="761"/>
      <c r="C7702" s="761"/>
      <c r="D7702" s="762"/>
      <c r="E7702" s="761"/>
      <c r="F7702" s="761"/>
      <c r="G7702" s="764"/>
      <c r="H7702" s="803"/>
      <c r="I7702" s="720"/>
      <c r="J7702" s="720"/>
      <c r="K7702" s="720"/>
      <c r="L7702" s="720"/>
      <c r="M7702" s="720"/>
      <c r="N7702" s="720"/>
      <c r="O7702" s="720"/>
      <c r="P7702" s="720"/>
      <c r="Q7702" s="720"/>
      <c r="R7702" s="720"/>
      <c r="S7702" s="720"/>
      <c r="T7702" s="720"/>
    </row>
    <row r="7703" spans="1:20" ht="15.75" customHeight="1" x14ac:dyDescent="0.25">
      <c r="A7703" s="766"/>
      <c r="B7703" s="721"/>
      <c r="C7703" s="721"/>
      <c r="D7703" s="721"/>
      <c r="E7703" s="720"/>
      <c r="F7703" s="766"/>
      <c r="G7703" s="720"/>
      <c r="H7703" s="722"/>
      <c r="I7703" s="720"/>
      <c r="J7703" s="720"/>
      <c r="K7703" s="720"/>
      <c r="L7703" s="720"/>
      <c r="M7703" s="720"/>
      <c r="N7703" s="720"/>
      <c r="O7703" s="720"/>
      <c r="P7703" s="720"/>
      <c r="Q7703" s="720"/>
      <c r="R7703" s="720"/>
      <c r="S7703" s="720"/>
      <c r="T7703" s="720"/>
    </row>
    <row r="7704" spans="1:20" ht="15.75" customHeight="1" x14ac:dyDescent="0.25">
      <c r="A7704" s="767"/>
      <c r="B7704" s="767"/>
      <c r="C7704" s="767"/>
      <c r="D7704" s="804" t="s">
        <v>97</v>
      </c>
      <c r="E7704" s="767" t="s">
        <v>98</v>
      </c>
      <c r="F7704" s="767"/>
      <c r="G7704" s="720"/>
      <c r="H7704" s="722"/>
      <c r="I7704" s="720"/>
      <c r="J7704" s="720"/>
      <c r="K7704" s="720"/>
      <c r="L7704" s="720"/>
      <c r="M7704" s="720"/>
      <c r="N7704" s="720"/>
      <c r="O7704" s="720"/>
      <c r="P7704" s="720"/>
      <c r="Q7704" s="720"/>
      <c r="R7704" s="720"/>
      <c r="S7704" s="720"/>
      <c r="T7704" s="720"/>
    </row>
    <row r="7705" spans="1:20" ht="15.75" customHeight="1" x14ac:dyDescent="0.25">
      <c r="A7705" s="720"/>
      <c r="B7705" s="720"/>
      <c r="C7705" s="720"/>
      <c r="D7705" s="721"/>
      <c r="E7705" s="720"/>
      <c r="F7705" s="720"/>
      <c r="G7705" s="720"/>
      <c r="H7705" s="722"/>
      <c r="I7705" s="720"/>
      <c r="J7705" s="720"/>
      <c r="K7705" s="720"/>
      <c r="L7705" s="720"/>
      <c r="M7705" s="720"/>
      <c r="N7705" s="720"/>
      <c r="O7705" s="720"/>
      <c r="P7705" s="720"/>
      <c r="Q7705" s="720"/>
      <c r="R7705" s="720"/>
      <c r="S7705" s="720"/>
      <c r="T7705" s="720"/>
    </row>
    <row r="7706" spans="1:20" ht="15.75" customHeight="1" x14ac:dyDescent="0.25">
      <c r="A7706" s="720"/>
      <c r="B7706" s="720"/>
      <c r="C7706" s="720"/>
      <c r="D7706" s="721"/>
      <c r="E7706" s="720"/>
      <c r="F7706" s="720"/>
      <c r="G7706" s="720"/>
      <c r="H7706" s="722"/>
      <c r="I7706" s="720"/>
      <c r="J7706" s="720"/>
      <c r="K7706" s="720"/>
      <c r="L7706" s="720"/>
      <c r="M7706" s="720"/>
      <c r="N7706" s="720"/>
      <c r="O7706" s="720"/>
      <c r="P7706" s="720"/>
      <c r="Q7706" s="720"/>
      <c r="R7706" s="720"/>
      <c r="S7706" s="720"/>
      <c r="T7706" s="720"/>
    </row>
    <row r="7707" spans="1:20" ht="15.75" customHeight="1" x14ac:dyDescent="0.25">
      <c r="A7707" s="767"/>
      <c r="B7707" s="767"/>
      <c r="C7707" s="767"/>
      <c r="D7707" s="804"/>
      <c r="E7707" s="767" t="s">
        <v>99</v>
      </c>
      <c r="F7707" s="767"/>
      <c r="G7707" s="720"/>
      <c r="H7707" s="722"/>
      <c r="I7707" s="720"/>
      <c r="J7707" s="720"/>
      <c r="K7707" s="720"/>
      <c r="L7707" s="720"/>
      <c r="M7707" s="720"/>
      <c r="N7707" s="720"/>
      <c r="O7707" s="720"/>
      <c r="P7707" s="720"/>
      <c r="Q7707" s="720"/>
      <c r="R7707" s="720"/>
      <c r="S7707" s="720"/>
      <c r="T7707" s="720"/>
    </row>
    <row r="7708" spans="1:20" ht="15.75" customHeight="1" x14ac:dyDescent="0.25">
      <c r="A7708" s="767"/>
      <c r="B7708" s="767"/>
      <c r="C7708" s="767"/>
      <c r="D7708" s="804"/>
      <c r="E7708" s="767"/>
      <c r="F7708" s="767"/>
      <c r="G7708" s="720"/>
      <c r="H7708" s="722"/>
      <c r="I7708" s="720"/>
      <c r="J7708" s="720"/>
      <c r="K7708" s="720"/>
      <c r="L7708" s="720"/>
      <c r="M7708" s="720"/>
      <c r="N7708" s="720"/>
      <c r="O7708" s="720"/>
      <c r="P7708" s="720"/>
      <c r="Q7708" s="720"/>
      <c r="R7708" s="720"/>
      <c r="S7708" s="720"/>
      <c r="T7708" s="720"/>
    </row>
    <row r="7709" spans="1:20" ht="15.75" customHeight="1" x14ac:dyDescent="0.25">
      <c r="A7709" s="767"/>
      <c r="B7709" s="767"/>
      <c r="C7709" s="767"/>
      <c r="D7709" s="804"/>
      <c r="E7709" s="767"/>
      <c r="F7709" s="767"/>
      <c r="G7709" s="720"/>
      <c r="H7709" s="722"/>
      <c r="I7709" s="720"/>
      <c r="J7709" s="720"/>
      <c r="K7709" s="720"/>
      <c r="L7709" s="720"/>
      <c r="M7709" s="720"/>
      <c r="N7709" s="720"/>
      <c r="O7709" s="720"/>
      <c r="P7709" s="720"/>
      <c r="Q7709" s="720"/>
      <c r="R7709" s="720"/>
      <c r="S7709" s="720"/>
      <c r="T7709" s="720"/>
    </row>
    <row r="7710" spans="1:20" ht="15.75" customHeight="1" x14ac:dyDescent="0.25">
      <c r="A7710" s="767"/>
      <c r="B7710" s="767"/>
      <c r="C7710" s="767"/>
      <c r="D7710" s="804"/>
      <c r="E7710" s="767"/>
      <c r="F7710" s="767"/>
      <c r="G7710" s="720"/>
      <c r="H7710" s="722"/>
      <c r="I7710" s="720"/>
      <c r="J7710" s="720"/>
      <c r="K7710" s="720"/>
      <c r="L7710" s="720"/>
      <c r="M7710" s="720"/>
      <c r="N7710" s="720"/>
      <c r="O7710" s="720"/>
      <c r="P7710" s="720"/>
      <c r="Q7710" s="720"/>
      <c r="R7710" s="720"/>
      <c r="S7710" s="720"/>
      <c r="T7710" s="720"/>
    </row>
    <row r="7711" spans="1:20" ht="15.75" customHeight="1" x14ac:dyDescent="0.25">
      <c r="A7711" s="767"/>
      <c r="B7711" s="767"/>
      <c r="C7711" s="767"/>
      <c r="D7711" s="804"/>
      <c r="E7711" s="767"/>
      <c r="F7711" s="767"/>
      <c r="G7711" s="720"/>
      <c r="H7711" s="722"/>
      <c r="I7711" s="720"/>
      <c r="J7711" s="720"/>
      <c r="K7711" s="720"/>
      <c r="L7711" s="720"/>
      <c r="M7711" s="720"/>
      <c r="N7711" s="720"/>
      <c r="O7711" s="720"/>
      <c r="P7711" s="720"/>
      <c r="Q7711" s="720"/>
      <c r="R7711" s="720"/>
      <c r="S7711" s="720"/>
      <c r="T7711" s="720"/>
    </row>
    <row r="7712" spans="1:20" ht="15.75" customHeight="1" x14ac:dyDescent="0.25">
      <c r="A7712" s="767"/>
      <c r="B7712" s="767"/>
      <c r="C7712" s="767"/>
      <c r="D7712" s="804"/>
      <c r="E7712" s="767"/>
      <c r="F7712" s="767"/>
      <c r="G7712" s="720"/>
      <c r="H7712" s="722"/>
      <c r="I7712" s="720"/>
      <c r="J7712" s="720"/>
      <c r="K7712" s="720"/>
      <c r="L7712" s="720"/>
      <c r="M7712" s="720"/>
      <c r="N7712" s="720"/>
      <c r="O7712" s="720"/>
      <c r="P7712" s="720"/>
      <c r="Q7712" s="720"/>
      <c r="R7712" s="720"/>
      <c r="S7712" s="720"/>
      <c r="T7712" s="720"/>
    </row>
    <row r="7713" spans="1:20" ht="15.75" customHeight="1" x14ac:dyDescent="0.25">
      <c r="A7713" s="767"/>
      <c r="B7713" s="767"/>
      <c r="C7713" s="767"/>
      <c r="D7713" s="804"/>
      <c r="E7713" s="767"/>
      <c r="F7713" s="767"/>
      <c r="G7713" s="720"/>
      <c r="H7713" s="722"/>
      <c r="I7713" s="720"/>
      <c r="J7713" s="720"/>
      <c r="K7713" s="720"/>
      <c r="L7713" s="720"/>
      <c r="M7713" s="720"/>
      <c r="N7713" s="720"/>
      <c r="O7713" s="720"/>
      <c r="P7713" s="720"/>
      <c r="Q7713" s="720"/>
      <c r="R7713" s="720"/>
      <c r="S7713" s="720"/>
      <c r="T7713" s="720"/>
    </row>
    <row r="7714" spans="1:20" ht="15.75" customHeight="1" x14ac:dyDescent="0.25">
      <c r="A7714" s="767"/>
      <c r="B7714" s="767"/>
      <c r="C7714" s="767"/>
      <c r="D7714" s="804"/>
      <c r="E7714" s="767"/>
      <c r="F7714" s="767"/>
      <c r="G7714" s="720"/>
      <c r="H7714" s="722"/>
      <c r="I7714" s="720"/>
      <c r="J7714" s="720"/>
      <c r="K7714" s="720"/>
      <c r="L7714" s="720"/>
      <c r="M7714" s="720"/>
      <c r="N7714" s="720"/>
      <c r="O7714" s="720"/>
      <c r="P7714" s="720"/>
      <c r="Q7714" s="720"/>
      <c r="R7714" s="720"/>
      <c r="S7714" s="720"/>
      <c r="T7714" s="720"/>
    </row>
    <row r="7715" spans="1:20" ht="15.75" customHeight="1" x14ac:dyDescent="0.25">
      <c r="A7715" s="767"/>
      <c r="B7715" s="767"/>
      <c r="C7715" s="767"/>
      <c r="D7715" s="804"/>
      <c r="E7715" s="767"/>
      <c r="F7715" s="767"/>
      <c r="G7715" s="720"/>
      <c r="H7715" s="722"/>
    </row>
    <row r="7716" spans="1:20" ht="15.75" customHeight="1" x14ac:dyDescent="0.25">
      <c r="D7716" s="4"/>
      <c r="H7716" s="4"/>
    </row>
    <row r="7717" spans="1:20" ht="15.75" customHeight="1" x14ac:dyDescent="0.25">
      <c r="A7717" s="398" t="s">
        <v>14</v>
      </c>
      <c r="B7717" s="398"/>
      <c r="C7717" s="398"/>
      <c r="D7717" s="398"/>
      <c r="E7717" s="398"/>
      <c r="F7717" s="398"/>
      <c r="G7717" s="398"/>
      <c r="H7717" s="398"/>
    </row>
    <row r="7718" spans="1:20" ht="15.75" customHeight="1" x14ac:dyDescent="0.25">
      <c r="A7718" s="390"/>
      <c r="B7718" s="390"/>
      <c r="C7718" s="390"/>
      <c r="D7718" s="391"/>
      <c r="E7718" s="390"/>
      <c r="F7718" s="390"/>
      <c r="G7718" s="390"/>
      <c r="H7718" s="398"/>
    </row>
    <row r="7719" spans="1:20" ht="15.75" customHeight="1" x14ac:dyDescent="0.25">
      <c r="A7719" s="390"/>
      <c r="B7719" s="390"/>
      <c r="C7719" s="391"/>
      <c r="D7719" s="392"/>
      <c r="E7719" s="393"/>
      <c r="F7719" s="393"/>
      <c r="G7719" s="393"/>
      <c r="H7719" s="394"/>
    </row>
    <row r="7720" spans="1:20" ht="15.75" customHeight="1" x14ac:dyDescent="0.25">
      <c r="A7720" s="390"/>
      <c r="B7720" s="390"/>
      <c r="C7720" s="390"/>
      <c r="D7720" s="391"/>
      <c r="E7720" s="390"/>
      <c r="F7720" s="395" t="s">
        <v>18</v>
      </c>
      <c r="G7720" s="396" t="s">
        <v>923</v>
      </c>
      <c r="H7720" s="397"/>
    </row>
    <row r="7721" spans="1:20" ht="15.75" customHeight="1" x14ac:dyDescent="0.25">
      <c r="A7721" s="390" t="s">
        <v>20</v>
      </c>
      <c r="B7721" s="390"/>
      <c r="C7721" s="390"/>
      <c r="D7721" s="391"/>
      <c r="E7721" s="390"/>
      <c r="F7721" s="395" t="s">
        <v>21</v>
      </c>
      <c r="G7721" s="390" t="s">
        <v>1423</v>
      </c>
      <c r="H7721" s="391"/>
    </row>
    <row r="7722" spans="1:20" ht="15.75" customHeight="1" x14ac:dyDescent="0.25">
      <c r="A7722" s="390" t="inlineStr">
        <is>
          <t>Dealer-009</t>
        </is>
      </c>
      <c r="B7722" s="390"/>
      <c r="C7722" s="390" t="inlineStr">
        <is>
          <t>ATTN: Contact-001</t>
        </is>
      </c>
      <c r="D7722" s="391"/>
      <c r="E7722" s="395"/>
      <c r="F7722" s="390"/>
      <c r="G7722" s="390"/>
      <c r="H7722" s="394"/>
    </row>
    <row r="7723" spans="1:20" ht="15.75" customHeight="1" x14ac:dyDescent="0.25">
      <c r="A7723" s="390" t="inlineStr">
        <is>
          <t>Address line (redacted)</t>
        </is>
      </c>
      <c r="B7723" s="390"/>
      <c r="C7723" s="390"/>
      <c r="D7723" s="398"/>
      <c r="E7723" s="390"/>
      <c r="F7723" s="391"/>
      <c r="G7723" s="390"/>
      <c r="H7723" s="394"/>
    </row>
    <row r="7724" spans="1:20" ht="15.75" customHeight="1" x14ac:dyDescent="0.25">
      <c r="A7724" s="390" t="inlineStr">
        <is>
          <t>Address line (redacted)</t>
        </is>
      </c>
      <c r="B7724" s="390"/>
      <c r="C7724" s="390"/>
      <c r="D7724" s="398"/>
      <c r="E7724" s="390"/>
      <c r="F7724" s="391"/>
      <c r="G7724" s="390"/>
      <c r="H7724" s="394"/>
    </row>
    <row r="7725" spans="1:20" ht="15.75" customHeight="1" x14ac:dyDescent="0.25">
      <c r="A7725" s="447"/>
      <c r="B7725" s="390"/>
      <c r="C7725" s="390"/>
      <c r="D7725" s="391"/>
      <c r="E7725" s="390"/>
      <c r="F7725" s="391"/>
      <c r="G7725" s="390"/>
      <c r="H7725" s="394"/>
    </row>
    <row r="7726" spans="1:20" ht="15.75" customHeight="1" x14ac:dyDescent="0.25">
      <c r="A7726" s="390" t="s">
        <v>30</v>
      </c>
      <c r="B7726" s="390"/>
      <c r="C7726" s="390"/>
      <c r="D7726" s="391"/>
      <c r="E7726" s="390"/>
      <c r="F7726" s="391"/>
      <c r="G7726" s="390"/>
      <c r="H7726" s="394"/>
    </row>
    <row r="7727" spans="1:20" ht="15.75" customHeight="1" x14ac:dyDescent="0.25">
      <c r="A7727" s="390"/>
      <c r="B7727" s="390"/>
      <c r="C7727" s="390"/>
      <c r="D7727" s="391"/>
      <c r="E7727" s="390"/>
      <c r="F7727" s="391"/>
      <c r="G7727" s="390"/>
      <c r="H7727" s="394"/>
    </row>
    <row r="7728" spans="1:20" ht="15.75" customHeight="1" x14ac:dyDescent="0.25">
      <c r="A7728" s="390" t="s">
        <v>31</v>
      </c>
      <c r="B7728" s="390"/>
      <c r="C7728" s="390"/>
      <c r="D7728" s="391"/>
      <c r="E7728" s="390"/>
      <c r="F7728" s="391"/>
      <c r="G7728" s="390"/>
      <c r="H7728" s="394"/>
    </row>
    <row r="7729" spans="1:8" ht="15.75" customHeight="1" x14ac:dyDescent="0.25">
      <c r="A7729" s="390" t="s">
        <v>32</v>
      </c>
      <c r="B7729" s="390"/>
      <c r="C7729" s="390"/>
      <c r="D7729" s="391"/>
      <c r="E7729" s="390"/>
      <c r="F7729" s="391"/>
      <c r="G7729" s="390"/>
      <c r="H7729" s="394"/>
    </row>
    <row r="7730" spans="1:8" ht="15.75" customHeight="1" x14ac:dyDescent="0.25">
      <c r="A7730" s="390"/>
      <c r="B7730" s="390"/>
      <c r="C7730" s="390"/>
      <c r="D7730" s="391"/>
      <c r="E7730" s="390"/>
      <c r="F7730" s="391"/>
      <c r="G7730" s="390"/>
      <c r="H7730" s="394"/>
    </row>
    <row r="7731" spans="1:8" ht="15.75" customHeight="1" x14ac:dyDescent="0.25">
      <c r="A7731" s="399" t="s">
        <v>33</v>
      </c>
      <c r="B7731" s="400" t="s">
        <v>6</v>
      </c>
      <c r="C7731" s="400"/>
      <c r="D7731" s="401" t="s">
        <v>37</v>
      </c>
      <c r="E7731" s="402" t="s">
        <v>38</v>
      </c>
      <c r="F7731" s="403" t="s">
        <v>7</v>
      </c>
      <c r="G7731" s="404" t="s">
        <v>43</v>
      </c>
      <c r="H7731" s="405" t="s">
        <v>44</v>
      </c>
    </row>
    <row r="7732" spans="1:8" ht="15.75" customHeight="1" x14ac:dyDescent="0.25">
      <c r="A7732" s="406"/>
      <c r="B7732" s="407"/>
      <c r="C7732" s="393"/>
      <c r="D7732" s="408"/>
      <c r="E7732" s="408"/>
      <c r="F7732" s="409"/>
      <c r="G7732" s="410"/>
      <c r="H7732" s="411"/>
    </row>
    <row r="7733" spans="1:8" ht="15.75" customHeight="1" x14ac:dyDescent="0.25">
      <c r="A7733" s="556"/>
      <c r="B7733" s="557" t="s">
        <v>1416</v>
      </c>
      <c r="C7733" s="558"/>
      <c r="D7733" s="408"/>
      <c r="E7733" s="408"/>
      <c r="F7733" s="398"/>
      <c r="G7733" s="408"/>
      <c r="H7733" s="559"/>
    </row>
    <row r="7734" spans="1:8" ht="15.75" customHeight="1" x14ac:dyDescent="0.25">
      <c r="A7734" s="425" t="s">
        <v>55</v>
      </c>
      <c r="B7734" s="448" t="s">
        <v>1417</v>
      </c>
      <c r="C7734" s="507"/>
      <c r="D7734" s="427">
        <v>5</v>
      </c>
      <c r="E7734" s="427">
        <v>1</v>
      </c>
      <c r="F7734" s="391">
        <f>+E7734*D7734</f>
      </c>
      <c r="G7734" s="427">
        <v>1</v>
      </c>
      <c r="H7734" s="429">
        <f>+G7734*F7734</f>
      </c>
    </row>
    <row r="7735" spans="1:8" ht="15.75" customHeight="1" x14ac:dyDescent="0.25">
      <c r="A7735" s="425"/>
      <c r="B7735" s="557" t="s">
        <v>1807</v>
      </c>
      <c r="C7735" s="558"/>
      <c r="D7735" s="427"/>
      <c r="E7735" s="427"/>
      <c r="F7735" s="391"/>
      <c r="G7735" s="427"/>
      <c r="H7735" s="429"/>
    </row>
    <row r="7736" spans="1:8" ht="15.75" customHeight="1" x14ac:dyDescent="0.25">
      <c r="A7736" s="425" t="s">
        <v>59</v>
      </c>
      <c r="B7736" s="448" t="s">
        <v>1808</v>
      </c>
      <c r="C7736" s="449" t="s">
        <v>25</v>
      </c>
      <c r="D7736" s="427">
        <v>5</v>
      </c>
      <c r="E7736" s="427">
        <v>5</v>
      </c>
      <c r="F7736" s="391">
        <v>25</v>
      </c>
      <c r="G7736" s="427">
        <v>1</v>
      </c>
      <c r="H7736" s="429">
        <f>+G7736*F7736</f>
      </c>
    </row>
    <row r="7737" spans="1:8" ht="15.75" customHeight="1" x14ac:dyDescent="0.25">
      <c r="A7737" s="502"/>
      <c r="B7737" s="503"/>
      <c r="C7737" s="390"/>
      <c r="D7737" s="427"/>
      <c r="E7737" s="427"/>
      <c r="F7737" s="391"/>
      <c r="G7737" s="427"/>
      <c r="H7737" s="429"/>
    </row>
    <row r="7738" spans="1:8" ht="15.75" customHeight="1" x14ac:dyDescent="0.25">
      <c r="A7738" s="502"/>
      <c r="B7738" s="503"/>
      <c r="C7738" s="390"/>
      <c r="D7738" s="427"/>
      <c r="E7738" s="427"/>
      <c r="F7738" s="391"/>
      <c r="G7738" s="427"/>
      <c r="H7738" s="429"/>
    </row>
    <row r="7739" spans="1:8" ht="15.75" customHeight="1" x14ac:dyDescent="0.25">
      <c r="A7739" s="425"/>
      <c r="B7739" s="557"/>
      <c r="C7739" s="560"/>
      <c r="D7739" s="427"/>
      <c r="E7739" s="427"/>
      <c r="F7739" s="391"/>
      <c r="G7739" s="427"/>
      <c r="H7739" s="429"/>
    </row>
    <row r="7740" spans="1:8" ht="15.75" customHeight="1" x14ac:dyDescent="0.25">
      <c r="A7740" s="502"/>
      <c r="B7740" s="503"/>
      <c r="C7740" s="777"/>
      <c r="D7740" s="427"/>
      <c r="E7740" s="427"/>
      <c r="F7740" s="391"/>
      <c r="G7740" s="427"/>
      <c r="H7740" s="429"/>
    </row>
    <row r="7741" spans="1:8" ht="15.75" customHeight="1" x14ac:dyDescent="0.25">
      <c r="A7741" s="502"/>
      <c r="B7741" s="503"/>
      <c r="C7741" s="390"/>
      <c r="D7741" s="427"/>
      <c r="E7741" s="427"/>
      <c r="F7741" s="391"/>
      <c r="G7741" s="671"/>
      <c r="H7741" s="429"/>
    </row>
    <row r="7742" spans="1:8" ht="15.75" customHeight="1" x14ac:dyDescent="0.25">
      <c r="A7742" s="502"/>
      <c r="B7742" s="503"/>
      <c r="C7742" s="390"/>
      <c r="D7742" s="427"/>
      <c r="E7742" s="427"/>
      <c r="F7742" s="391"/>
      <c r="G7742" s="427"/>
      <c r="H7742" s="429"/>
    </row>
    <row r="7743" spans="1:8" ht="15.75" customHeight="1" x14ac:dyDescent="0.25">
      <c r="A7743" s="432"/>
      <c r="B7743" s="433"/>
      <c r="C7743" s="434" t="s">
        <v>85</v>
      </c>
      <c r="D7743" s="435">
        <f>SUM(D7734:D7742)</f>
      </c>
      <c r="E7743" s="435"/>
      <c r="F7743" s="436"/>
      <c r="G7743" s="437"/>
      <c r="H7743" s="438">
        <f>SUM(H7734:H7742)</f>
      </c>
    </row>
    <row r="7744" spans="1:8" ht="15.75" customHeight="1" x14ac:dyDescent="0.25">
      <c r="A7744" s="439"/>
      <c r="B7744" s="440"/>
      <c r="C7744" s="440"/>
      <c r="D7744" s="441"/>
      <c r="E7744" s="440"/>
      <c r="F7744" s="442"/>
      <c r="G7744" s="443"/>
      <c r="H7744" s="444"/>
    </row>
    <row r="7745" spans="1:8" ht="15.75" customHeight="1" x14ac:dyDescent="0.25">
      <c r="A7745" s="565" t="s">
        <v>1215</v>
      </c>
      <c r="B7745" s="565"/>
      <c r="C7745" s="565"/>
      <c r="D7745" s="565"/>
      <c r="E7745" s="565"/>
      <c r="F7745" s="565"/>
      <c r="G7745" s="565"/>
      <c r="H7745" s="565"/>
    </row>
    <row r="7746" spans="1:8" ht="15.75" customHeight="1" x14ac:dyDescent="0.25">
      <c r="A7746" s="445"/>
      <c r="B7746" s="445"/>
      <c r="C7746" s="445"/>
      <c r="D7746" s="446" t="s">
        <v>97</v>
      </c>
      <c r="E7746" s="445" t="s">
        <v>98</v>
      </c>
      <c r="F7746" s="445"/>
      <c r="G7746" s="390"/>
      <c r="H7746" s="394"/>
    </row>
    <row r="7747" spans="1:8" ht="15.75" customHeight="1" x14ac:dyDescent="0.25">
      <c r="A7747" s="390"/>
      <c r="B7747" s="390"/>
      <c r="C7747" s="390"/>
      <c r="D7747" s="391"/>
      <c r="E7747" s="390"/>
      <c r="F7747" s="390"/>
      <c r="G7747" s="390"/>
      <c r="H7747" s="394"/>
    </row>
    <row r="7748" spans="1:8" ht="15.75" customHeight="1" x14ac:dyDescent="0.25">
      <c r="A7748" s="390"/>
      <c r="B7748" s="390"/>
      <c r="C7748" s="390"/>
      <c r="D7748" s="391"/>
      <c r="E7748" s="390"/>
      <c r="F7748" s="390"/>
      <c r="G7748" s="390"/>
      <c r="H7748" s="394"/>
    </row>
    <row r="7749" spans="1:8" ht="15.75" customHeight="1" x14ac:dyDescent="0.25">
      <c r="A7749" s="445"/>
      <c r="B7749" s="445"/>
      <c r="C7749" s="445"/>
      <c r="D7749" s="446"/>
      <c r="E7749" s="445" t="s">
        <v>99</v>
      </c>
      <c r="F7749" s="445"/>
      <c r="G7749" s="390"/>
      <c r="H7749" s="394"/>
    </row>
    <row r="7750" spans="1:8" ht="15.75" customHeight="1" x14ac:dyDescent="0.25">
      <c r="D7750" s="4"/>
      <c r="H7750" s="4"/>
    </row>
    <row r="7751" spans="1:8" ht="15.75" customHeight="1" x14ac:dyDescent="0.25">
      <c r="D7751" s="4"/>
      <c r="H7751" s="4"/>
    </row>
    <row r="7752" spans="1:8" ht="15.75" customHeight="1" x14ac:dyDescent="0.25">
      <c r="D7752" s="4"/>
      <c r="H7752" s="4"/>
    </row>
    <row r="7753" spans="1:8" ht="15.75" customHeight="1" x14ac:dyDescent="0.25">
      <c r="D7753" s="4"/>
      <c r="H7753" s="4"/>
    </row>
    <row r="7754" spans="1:8" ht="15.75" customHeight="1" x14ac:dyDescent="0.25">
      <c r="D7754" s="4"/>
      <c r="H7754" s="4"/>
    </row>
    <row r="7755" spans="1:8" ht="15.75" customHeight="1" x14ac:dyDescent="0.25">
      <c r="D7755" s="4"/>
      <c r="H7755" s="4"/>
    </row>
    <row r="7756" spans="1:8" ht="15.75" customHeight="1" x14ac:dyDescent="0.25">
      <c r="D7756" s="4"/>
      <c r="H7756" s="4"/>
    </row>
    <row r="7757" spans="1:8" ht="15.75" customHeight="1" x14ac:dyDescent="0.25">
      <c r="D7757" s="4"/>
      <c r="H7757" s="4"/>
    </row>
    <row r="7758" spans="1:8" ht="15.75" customHeight="1" x14ac:dyDescent="0.25">
      <c r="D7758" s="4"/>
      <c r="H7758" s="4"/>
    </row>
    <row r="7759" spans="1:8" ht="15.75" customHeight="1" x14ac:dyDescent="0.25">
      <c r="D7759" s="4"/>
      <c r="H7759" s="4"/>
    </row>
    <row r="7760" spans="1:8" ht="15.75" customHeight="1" x14ac:dyDescent="0.25">
      <c r="D7760" s="4"/>
      <c r="H7760" s="4"/>
    </row>
    <row r="7761" spans="1:8" ht="15.75" customHeight="1" x14ac:dyDescent="0.25">
      <c r="D7761" s="4"/>
      <c r="H7761" s="4"/>
    </row>
    <row r="7762" spans="1:8" ht="15.75" customHeight="1" x14ac:dyDescent="0.25">
      <c r="D7762" s="4"/>
      <c r="H7762" s="4"/>
    </row>
    <row r="7763" spans="1:8" ht="15.75" customHeight="1" x14ac:dyDescent="0.25">
      <c r="A7763" s="392" t="s">
        <v>14</v>
      </c>
      <c r="B7763" s="391"/>
      <c r="C7763" s="391"/>
      <c r="D7763" s="391"/>
      <c r="E7763" s="391"/>
      <c r="F7763" s="391"/>
      <c r="G7763" s="391"/>
      <c r="H7763" s="394"/>
    </row>
    <row r="7764" spans="1:8" ht="15.75" customHeight="1" x14ac:dyDescent="0.25">
      <c r="A7764" s="392"/>
      <c r="B7764" s="391"/>
      <c r="C7764" s="391"/>
      <c r="D7764" s="391"/>
      <c r="E7764" s="390"/>
      <c r="F7764" s="392"/>
      <c r="G7764" s="390"/>
      <c r="H7764" s="394"/>
    </row>
    <row r="7765" spans="1:8" ht="15.75" customHeight="1" x14ac:dyDescent="0.25">
      <c r="A7765" s="390" t="s">
        <v>20</v>
      </c>
      <c r="B7765" s="390"/>
      <c r="C7765" s="390"/>
      <c r="D7765" s="391"/>
      <c r="E7765" s="390"/>
      <c r="F7765" s="392"/>
      <c r="G7765" s="390"/>
      <c r="H7765" s="394"/>
    </row>
    <row r="7766" spans="1:8" ht="15.75" customHeight="1" x14ac:dyDescent="0.25">
      <c r="A7766" s="390" t="inlineStr">
        <is>
          <t>Dealer-003</t>
        </is>
      </c>
      <c r="B7766" s="390"/>
      <c r="C7766" s="390"/>
      <c r="D7766" s="391"/>
      <c r="E7766" s="390"/>
      <c r="F7766" s="395" t="s">
        <v>18</v>
      </c>
      <c r="G7766" s="390" t="s">
        <v>928</v>
      </c>
      <c r="H7766" s="394"/>
    </row>
    <row r="7767" spans="1:8" ht="15.75" customHeight="1" x14ac:dyDescent="0.25">
      <c r="A7767" s="390" t="inlineStr">
        <is>
          <t>Address line (redacted)</t>
        </is>
      </c>
      <c r="B7767" s="390"/>
      <c r="C7767" s="390"/>
      <c r="D7767" s="391"/>
      <c r="E7767" s="390"/>
      <c r="F7767" s="393" t="s">
        <v>21</v>
      </c>
      <c r="G7767" s="390" t="s">
        <v>1809</v>
      </c>
      <c r="H7767" s="394"/>
    </row>
    <row r="7768" spans="1:8" ht="15.75" customHeight="1" x14ac:dyDescent="0.25">
      <c r="A7768" s="390" t="inlineStr">
        <is>
          <t>Address line (redacted)</t>
        </is>
      </c>
      <c r="B7768" s="390"/>
      <c r="C7768" s="390"/>
      <c r="D7768" s="391"/>
      <c r="E7768" s="390"/>
      <c r="F7768" s="391"/>
      <c r="G7768" s="390"/>
      <c r="H7768" s="394"/>
    </row>
    <row r="7769" spans="1:8" ht="15.75" customHeight="1" x14ac:dyDescent="0.25">
      <c r="A7769" s="390"/>
      <c r="B7769" s="390"/>
      <c r="C7769" s="393"/>
      <c r="D7769" s="391"/>
      <c r="E7769" s="390"/>
      <c r="F7769" s="391"/>
      <c r="G7769" s="390"/>
      <c r="H7769" s="394"/>
    </row>
    <row r="7770" spans="1:8" ht="15.75" customHeight="1" x14ac:dyDescent="0.25">
      <c r="A7770" s="390"/>
      <c r="B7770" s="390"/>
      <c r="C7770" s="390"/>
      <c r="D7770" s="391"/>
      <c r="E7770" s="390"/>
      <c r="F7770" s="391"/>
      <c r="G7770" s="390"/>
      <c r="H7770" s="394"/>
    </row>
    <row r="7771" spans="1:8" ht="15.75" customHeight="1" x14ac:dyDescent="0.25">
      <c r="A7771" s="390" t="s">
        <v>30</v>
      </c>
      <c r="B7771" s="390"/>
      <c r="C7771" s="390"/>
      <c r="D7771" s="391"/>
      <c r="E7771" s="390"/>
      <c r="F7771" s="391"/>
      <c r="G7771" s="390"/>
      <c r="H7771" s="394"/>
    </row>
    <row r="7772" spans="1:8" ht="15.75" customHeight="1" x14ac:dyDescent="0.25">
      <c r="A7772" s="390"/>
      <c r="B7772" s="390"/>
      <c r="C7772" s="390"/>
      <c r="D7772" s="391"/>
      <c r="E7772" s="390"/>
      <c r="F7772" s="391"/>
      <c r="G7772" s="390"/>
      <c r="H7772" s="394"/>
    </row>
    <row r="7773" spans="1:8" ht="15.75" customHeight="1" x14ac:dyDescent="0.25">
      <c r="A7773" s="390" t="s">
        <v>1322</v>
      </c>
      <c r="B7773" s="390"/>
      <c r="C7773" s="390"/>
      <c r="D7773" s="391"/>
      <c r="E7773" s="390"/>
      <c r="F7773" s="391"/>
      <c r="G7773" s="390"/>
      <c r="H7773" s="394"/>
    </row>
    <row r="7774" spans="1:8" ht="15.75" customHeight="1" x14ac:dyDescent="0.25">
      <c r="A7774" s="390" t="s">
        <v>1328</v>
      </c>
      <c r="B7774" s="390"/>
      <c r="C7774" s="390"/>
      <c r="D7774" s="391"/>
      <c r="E7774" s="390"/>
      <c r="F7774" s="391"/>
      <c r="G7774" s="390"/>
      <c r="H7774" s="394"/>
    </row>
    <row r="7775" spans="1:8" ht="15.75" customHeight="1" x14ac:dyDescent="0.25">
      <c r="A7775" s="390"/>
      <c r="B7775" s="390"/>
      <c r="C7775" s="390"/>
      <c r="D7775" s="391"/>
      <c r="E7775" s="390"/>
      <c r="F7775" s="391"/>
      <c r="G7775" s="390"/>
      <c r="H7775" s="394"/>
    </row>
    <row r="7776" spans="1:8" ht="15.75" customHeight="1" x14ac:dyDescent="0.25">
      <c r="A7776" s="399" t="s">
        <v>33</v>
      </c>
      <c r="B7776" s="400" t="s">
        <v>6</v>
      </c>
      <c r="C7776" s="400"/>
      <c r="D7776" s="401" t="s">
        <v>37</v>
      </c>
      <c r="E7776" s="402" t="s">
        <v>1309</v>
      </c>
      <c r="F7776" s="609" t="s">
        <v>7</v>
      </c>
      <c r="G7776" s="400" t="s">
        <v>43</v>
      </c>
      <c r="H7776" s="405" t="s">
        <v>44</v>
      </c>
    </row>
    <row r="7777" spans="1:8" ht="15.75" customHeight="1" x14ac:dyDescent="0.25">
      <c r="A7777" s="610"/>
      <c r="B7777" s="611"/>
      <c r="C7777" s="611"/>
      <c r="D7777" s="612"/>
      <c r="E7777" s="613"/>
      <c r="F7777" s="614"/>
      <c r="G7777" s="611"/>
      <c r="H7777" s="615"/>
    </row>
    <row r="7778" spans="1:8" ht="15.75" customHeight="1" x14ac:dyDescent="0.25">
      <c r="A7778" s="412"/>
      <c r="B7778" s="654" t="s">
        <v>1793</v>
      </c>
      <c r="C7778" s="654"/>
      <c r="D7778" s="415"/>
      <c r="E7778" s="415"/>
      <c r="F7778" s="415"/>
      <c r="G7778" s="415"/>
      <c r="H7778" s="416"/>
    </row>
    <row r="7779" spans="1:8" ht="15.75" customHeight="1" x14ac:dyDescent="0.25">
      <c r="A7779" s="412">
        <v>1</v>
      </c>
      <c r="B7779" s="644" t="s">
        <v>1794</v>
      </c>
      <c r="C7779" s="420" t="s">
        <v>25</v>
      </c>
      <c r="D7779" s="415">
        <v>2</v>
      </c>
      <c r="E7779" s="415">
        <v>5</v>
      </c>
      <c r="F7779" s="415">
        <f t="shared" ref="F7779:F7780" si="236">+E7779*D7779</f>
      </c>
      <c r="G7779" s="415">
        <v>1</v>
      </c>
      <c r="H7779" s="416">
        <f t="shared" ref="H7779:H7780" si="237">+G7779*F7779</f>
      </c>
    </row>
    <row r="7780" spans="1:8" ht="15.75" customHeight="1" x14ac:dyDescent="0.25">
      <c r="A7780" s="412">
        <v>2</v>
      </c>
      <c r="B7780" s="644" t="s">
        <v>1552</v>
      </c>
      <c r="C7780" s="420" t="s">
        <v>330</v>
      </c>
      <c r="D7780" s="415">
        <v>5</v>
      </c>
      <c r="E7780" s="415">
        <v>5</v>
      </c>
      <c r="F7780" s="415">
        <f t="shared" si="236"/>
      </c>
      <c r="G7780" s="415">
        <v>1</v>
      </c>
      <c r="H7780" s="416">
        <f t="shared" si="237"/>
      </c>
    </row>
    <row r="7781" spans="1:8" ht="15.75" customHeight="1" x14ac:dyDescent="0.25">
      <c r="A7781" s="412"/>
      <c r="B7781" s="654"/>
      <c r="C7781" s="654"/>
      <c r="D7781" s="415"/>
      <c r="E7781" s="415"/>
      <c r="F7781" s="415"/>
      <c r="G7781" s="415"/>
      <c r="H7781" s="416"/>
    </row>
    <row r="7782" spans="1:8" ht="15.75" customHeight="1" x14ac:dyDescent="0.25">
      <c r="A7782" s="581"/>
      <c r="B7782" s="417"/>
      <c r="C7782" s="418"/>
      <c r="D7782" s="415"/>
      <c r="E7782" s="415"/>
      <c r="F7782" s="415"/>
      <c r="G7782" s="415"/>
      <c r="H7782" s="416"/>
    </row>
    <row r="7783" spans="1:8" ht="15.75" customHeight="1" x14ac:dyDescent="0.25">
      <c r="A7783" s="581"/>
      <c r="B7783" s="417"/>
      <c r="C7783" s="418"/>
      <c r="D7783" s="415"/>
      <c r="E7783" s="415"/>
      <c r="F7783" s="415"/>
      <c r="G7783" s="415"/>
      <c r="H7783" s="416"/>
    </row>
    <row r="7784" spans="1:8" ht="15.75" customHeight="1" x14ac:dyDescent="0.25">
      <c r="A7784" s="581"/>
      <c r="B7784" s="654"/>
      <c r="C7784" s="654"/>
      <c r="D7784" s="588"/>
      <c r="E7784" s="415"/>
      <c r="F7784" s="415"/>
      <c r="G7784" s="415"/>
      <c r="H7784" s="416"/>
    </row>
    <row r="7785" spans="1:8" ht="15.75" customHeight="1" x14ac:dyDescent="0.25">
      <c r="A7785" s="581"/>
      <c r="B7785" s="417"/>
      <c r="C7785" s="418"/>
      <c r="D7785" s="588"/>
      <c r="E7785" s="415"/>
      <c r="F7785" s="415"/>
      <c r="G7785" s="415"/>
      <c r="H7785" s="416"/>
    </row>
    <row r="7786" spans="1:8" ht="15.75" customHeight="1" x14ac:dyDescent="0.25">
      <c r="A7786" s="581"/>
      <c r="B7786" s="582"/>
      <c r="C7786" s="582"/>
      <c r="D7786" s="415"/>
      <c r="E7786" s="415"/>
      <c r="F7786" s="415"/>
      <c r="G7786" s="415"/>
      <c r="H7786" s="589"/>
    </row>
    <row r="7787" spans="1:8" ht="15.75" customHeight="1" x14ac:dyDescent="0.25">
      <c r="A7787" s="430"/>
      <c r="B7787" s="409"/>
      <c r="C7787" s="393"/>
      <c r="D7787" s="427"/>
      <c r="E7787" s="427"/>
      <c r="F7787" s="428"/>
      <c r="G7787" s="427"/>
      <c r="H7787" s="429"/>
    </row>
    <row r="7788" spans="1:8" ht="15.75" customHeight="1" x14ac:dyDescent="0.25">
      <c r="A7788" s="432"/>
      <c r="B7788" s="433"/>
      <c r="C7788" s="434" t="s">
        <v>85</v>
      </c>
      <c r="D7788" s="659">
        <f>SUM(D7778:D7787)</f>
      </c>
      <c r="E7788" s="401"/>
      <c r="F7788" s="660"/>
      <c r="G7788" s="661"/>
      <c r="H7788" s="623">
        <f>SUM(H7778:H7787)</f>
      </c>
    </row>
    <row r="7789" spans="1:8" ht="15.75" customHeight="1" x14ac:dyDescent="0.25">
      <c r="A7789" s="439"/>
      <c r="B7789" s="440"/>
      <c r="C7789" s="440"/>
      <c r="D7789" s="441"/>
      <c r="E7789" s="440"/>
      <c r="F7789" s="442"/>
      <c r="G7789" s="443"/>
      <c r="H7789" s="444"/>
    </row>
    <row r="7790" spans="1:8" ht="15.75" customHeight="1" x14ac:dyDescent="0.25">
      <c r="A7790" s="392"/>
      <c r="B7790" s="391"/>
      <c r="C7790" s="391"/>
      <c r="D7790" s="391"/>
      <c r="E7790" s="390"/>
      <c r="F7790" s="392"/>
      <c r="G7790" s="390"/>
      <c r="H7790" s="394"/>
    </row>
    <row r="7791" spans="1:8" ht="15.75" customHeight="1" x14ac:dyDescent="0.25">
      <c r="A7791" s="445"/>
      <c r="B7791" s="445"/>
      <c r="C7791" s="445"/>
      <c r="D7791" s="446" t="s">
        <v>97</v>
      </c>
      <c r="E7791" s="445" t="s">
        <v>98</v>
      </c>
      <c r="F7791" s="445"/>
      <c r="G7791" s="390"/>
      <c r="H7791" s="394"/>
    </row>
    <row r="7792" spans="1:8" ht="15.75" customHeight="1" x14ac:dyDescent="0.25">
      <c r="A7792" s="390"/>
      <c r="B7792" s="390"/>
      <c r="C7792" s="390"/>
      <c r="D7792" s="391"/>
      <c r="E7792" s="390"/>
      <c r="F7792" s="390"/>
      <c r="G7792" s="390"/>
      <c r="H7792" s="394"/>
    </row>
    <row r="7793" spans="1:8" ht="15.75" customHeight="1" x14ac:dyDescent="0.25">
      <c r="A7793" s="390"/>
      <c r="B7793" s="390"/>
      <c r="C7793" s="390"/>
      <c r="D7793" s="391"/>
      <c r="E7793" s="390"/>
      <c r="F7793" s="390"/>
      <c r="G7793" s="390"/>
      <c r="H7793" s="394"/>
    </row>
    <row r="7794" spans="1:8" ht="15.75" customHeight="1" x14ac:dyDescent="0.25">
      <c r="A7794" s="445"/>
      <c r="B7794" s="445"/>
      <c r="C7794" s="445"/>
      <c r="D7794" s="446"/>
      <c r="E7794" s="445" t="s">
        <v>99</v>
      </c>
      <c r="F7794" s="445"/>
      <c r="G7794" s="390"/>
      <c r="H7794" s="394"/>
    </row>
    <row r="7795" spans="1:8" ht="15.75" customHeight="1" x14ac:dyDescent="0.25">
      <c r="D7795" s="4"/>
      <c r="H7795" s="4"/>
    </row>
    <row r="7796" spans="1:8" ht="15.75" customHeight="1" x14ac:dyDescent="0.25">
      <c r="D7796" s="4"/>
      <c r="H7796" s="4"/>
    </row>
    <row r="7797" spans="1:8" ht="15.75" customHeight="1" x14ac:dyDescent="0.25">
      <c r="D7797" s="4"/>
      <c r="H7797" s="4"/>
    </row>
    <row r="7798" spans="1:8" ht="15.75" customHeight="1" x14ac:dyDescent="0.25">
      <c r="D7798" s="4"/>
      <c r="H7798" s="4"/>
    </row>
    <row r="7799" spans="1:8" ht="15.75" customHeight="1" x14ac:dyDescent="0.25">
      <c r="D7799" s="4"/>
      <c r="H7799" s="4"/>
    </row>
    <row r="7800" spans="1:8" ht="15.75" customHeight="1" x14ac:dyDescent="0.25">
      <c r="D7800" s="4"/>
      <c r="H7800" s="4"/>
    </row>
    <row r="7801" spans="1:8" ht="15.75" customHeight="1" x14ac:dyDescent="0.25">
      <c r="D7801" s="4"/>
      <c r="H7801" s="4"/>
    </row>
    <row r="7802" spans="1:8" ht="15.75" customHeight="1" x14ac:dyDescent="0.25">
      <c r="D7802" s="4"/>
      <c r="H7802" s="4"/>
    </row>
    <row r="7803" spans="1:8" ht="15.75" customHeight="1" x14ac:dyDescent="0.25">
      <c r="D7803" s="4"/>
      <c r="H7803" s="4"/>
    </row>
    <row r="7804" spans="1:8" ht="15.75" customHeight="1" x14ac:dyDescent="0.25">
      <c r="D7804" s="4"/>
      <c r="H7804" s="4"/>
    </row>
    <row r="7805" spans="1:8" ht="15.75" customHeight="1" x14ac:dyDescent="0.25">
      <c r="D7805" s="4"/>
      <c r="H7805" s="4"/>
    </row>
    <row r="7806" spans="1:8" ht="15.75" customHeight="1" x14ac:dyDescent="0.25">
      <c r="D7806" s="4"/>
      <c r="H7806" s="4"/>
    </row>
    <row r="7807" spans="1:8" ht="15.75" customHeight="1" x14ac:dyDescent="0.25">
      <c r="D7807" s="4"/>
      <c r="H7807" s="4"/>
    </row>
    <row r="7808" spans="1:8" ht="15.75" customHeight="1" x14ac:dyDescent="0.25">
      <c r="D7808" s="4"/>
      <c r="H7808" s="4"/>
    </row>
    <row r="7809" spans="1:20" ht="15.75" customHeight="1" x14ac:dyDescent="0.25">
      <c r="A7809" s="392" t="s">
        <v>14</v>
      </c>
      <c r="B7809" s="391"/>
      <c r="C7809" s="391"/>
      <c r="D7809" s="391"/>
      <c r="E7809" s="391"/>
      <c r="F7809" s="391"/>
      <c r="G7809" s="391"/>
      <c r="H7809" s="394"/>
    </row>
    <row r="7810" spans="1:20" ht="15.75" customHeight="1" x14ac:dyDescent="0.25">
      <c r="A7810" s="392"/>
      <c r="B7810" s="391"/>
      <c r="C7810" s="391"/>
      <c r="D7810" s="391"/>
      <c r="E7810" s="390"/>
      <c r="F7810" s="392"/>
      <c r="G7810" s="390"/>
      <c r="H7810" s="394"/>
    </row>
    <row r="7811" spans="1:20" ht="15.75" customHeight="1" x14ac:dyDescent="0.25">
      <c r="A7811" s="390" t="s">
        <v>20</v>
      </c>
      <c r="B7811" s="390"/>
      <c r="C7811" s="390"/>
      <c r="D7811" s="391"/>
      <c r="E7811" s="390"/>
      <c r="F7811" s="392"/>
      <c r="G7811" s="390"/>
      <c r="H7811" s="394"/>
    </row>
    <row r="7812" spans="1:20" ht="15.75" customHeight="1" x14ac:dyDescent="0.25">
      <c r="A7812" s="390" t="inlineStr">
        <is>
          <t>Dealer-015</t>
        </is>
      </c>
      <c r="B7812" s="390"/>
      <c r="C7812" s="390"/>
      <c r="D7812" s="391"/>
      <c r="E7812" s="390"/>
      <c r="F7812" s="395" t="s">
        <v>18</v>
      </c>
      <c r="G7812" s="390" t="s">
        <v>517</v>
      </c>
      <c r="H7812" s="394"/>
    </row>
    <row r="7813" spans="1:20" ht="15.75" customHeight="1" x14ac:dyDescent="0.25">
      <c r="A7813" s="390" t="inlineStr">
        <is>
          <t>Address line (redacted)</t>
        </is>
      </c>
      <c r="B7813" s="390"/>
      <c r="C7813" s="390"/>
      <c r="D7813" s="391"/>
      <c r="E7813" s="390"/>
      <c r="F7813" s="393" t="s">
        <v>21</v>
      </c>
      <c r="G7813" s="390" t="s">
        <v>1810</v>
      </c>
      <c r="H7813" s="394"/>
    </row>
    <row r="7814" spans="1:20" ht="15.75" customHeight="1" x14ac:dyDescent="0.25">
      <c r="A7814" s="390" t="inlineStr">
        <is>
          <t>Address line (redacted)</t>
        </is>
      </c>
      <c r="B7814" s="390"/>
      <c r="C7814" s="390"/>
      <c r="D7814" s="391"/>
      <c r="E7814" s="390"/>
      <c r="F7814" s="391"/>
      <c r="G7814" s="390"/>
      <c r="H7814" s="394"/>
    </row>
    <row r="7815" spans="1:20" ht="15.75" customHeight="1" x14ac:dyDescent="0.25">
      <c r="A7815" s="390"/>
      <c r="B7815" s="390"/>
      <c r="C7815" s="393"/>
      <c r="D7815" s="391"/>
      <c r="E7815" s="390"/>
      <c r="F7815" s="391"/>
      <c r="G7815" s="390"/>
      <c r="H7815" s="394"/>
      <c r="I7815" s="674"/>
      <c r="J7815" s="674"/>
      <c r="K7815" s="674"/>
      <c r="L7815" s="674"/>
      <c r="M7815" s="674"/>
      <c r="N7815" s="674"/>
      <c r="O7815" s="674"/>
      <c r="P7815" s="674"/>
      <c r="Q7815" s="674"/>
      <c r="R7815" s="674"/>
      <c r="S7815" s="674"/>
      <c r="T7815" s="674"/>
    </row>
    <row r="7816" spans="1:20" ht="15.75" customHeight="1" x14ac:dyDescent="0.25">
      <c r="A7816" s="393" t="s">
        <v>2124</v>
      </c>
      <c r="B7816" s="393"/>
      <c r="C7816" s="393"/>
      <c r="D7816" s="398"/>
      <c r="E7816" s="393"/>
      <c r="F7816" s="398"/>
      <c r="G7816" s="393"/>
      <c r="H7816" s="606"/>
      <c r="I7816" s="674"/>
      <c r="J7816" s="674"/>
      <c r="K7816" s="674"/>
      <c r="L7816" s="674"/>
      <c r="M7816" s="674"/>
      <c r="N7816" s="674"/>
      <c r="O7816" s="674"/>
      <c r="P7816" s="674"/>
      <c r="Q7816" s="674"/>
      <c r="R7816" s="674"/>
      <c r="S7816" s="674"/>
      <c r="T7816" s="674"/>
    </row>
    <row r="7817" spans="1:20" ht="15.75" customHeight="1" x14ac:dyDescent="0.25">
      <c r="A7817" s="393" t="inlineStr">
        <is>
          <t>Address line (redacted)</t>
        </is>
      </c>
      <c r="B7817" s="393"/>
      <c r="C7817" s="393"/>
      <c r="D7817" s="398"/>
      <c r="E7817" s="393"/>
      <c r="F7817" s="398"/>
      <c r="G7817" s="393"/>
      <c r="H7817" s="606"/>
      <c r="I7817" s="674"/>
      <c r="J7817" s="674"/>
      <c r="K7817" s="674"/>
      <c r="L7817" s="674"/>
      <c r="M7817" s="674"/>
      <c r="N7817" s="674"/>
      <c r="O7817" s="674"/>
      <c r="P7817" s="674"/>
      <c r="Q7817" s="674"/>
      <c r="R7817" s="674"/>
      <c r="S7817" s="674"/>
      <c r="T7817" s="674"/>
    </row>
    <row r="7818" spans="1:20" ht="15.75" customHeight="1" x14ac:dyDescent="0.25">
      <c r="A7818" s="393" t="inlineStr">
        <is>
          <t>Address line (redacted)</t>
        </is>
      </c>
      <c r="B7818" s="393"/>
      <c r="C7818" s="393"/>
      <c r="D7818" s="398"/>
      <c r="E7818" s="393"/>
      <c r="F7818" s="398"/>
      <c r="G7818" s="393"/>
      <c r="H7818" s="606"/>
    </row>
    <row r="7819" spans="1:20" ht="15.75" customHeight="1" x14ac:dyDescent="0.25">
      <c r="A7819" s="390"/>
      <c r="B7819" s="390"/>
      <c r="C7819" s="393"/>
      <c r="D7819" s="391"/>
      <c r="E7819" s="390"/>
      <c r="F7819" s="391"/>
      <c r="G7819" s="390"/>
      <c r="H7819" s="394"/>
    </row>
    <row r="7820" spans="1:20" ht="15.75" customHeight="1" x14ac:dyDescent="0.25">
      <c r="A7820" s="390"/>
      <c r="B7820" s="390"/>
      <c r="C7820" s="390"/>
      <c r="D7820" s="391"/>
      <c r="E7820" s="390"/>
      <c r="F7820" s="391"/>
      <c r="G7820" s="390"/>
      <c r="H7820" s="394"/>
    </row>
    <row r="7821" spans="1:20" ht="15.75" customHeight="1" x14ac:dyDescent="0.25">
      <c r="A7821" s="390" t="s">
        <v>30</v>
      </c>
      <c r="B7821" s="390"/>
      <c r="C7821" s="390"/>
      <c r="D7821" s="391"/>
      <c r="E7821" s="390"/>
      <c r="F7821" s="391"/>
      <c r="G7821" s="390"/>
      <c r="H7821" s="394"/>
    </row>
    <row r="7822" spans="1:20" ht="15.75" customHeight="1" x14ac:dyDescent="0.25">
      <c r="A7822" s="390"/>
      <c r="B7822" s="390"/>
      <c r="C7822" s="390"/>
      <c r="D7822" s="391"/>
      <c r="E7822" s="390"/>
      <c r="F7822" s="391"/>
      <c r="G7822" s="390"/>
      <c r="H7822" s="394"/>
    </row>
    <row r="7823" spans="1:20" ht="15.75" customHeight="1" x14ac:dyDescent="0.25">
      <c r="A7823" s="390" t="s">
        <v>1322</v>
      </c>
      <c r="B7823" s="390"/>
      <c r="C7823" s="390"/>
      <c r="D7823" s="391"/>
      <c r="E7823" s="390"/>
      <c r="F7823" s="391"/>
      <c r="G7823" s="390"/>
      <c r="H7823" s="394"/>
    </row>
    <row r="7824" spans="1:20" ht="15.75" customHeight="1" x14ac:dyDescent="0.25">
      <c r="A7824" s="390" t="s">
        <v>1328</v>
      </c>
      <c r="B7824" s="390"/>
      <c r="C7824" s="390"/>
      <c r="D7824" s="391"/>
      <c r="E7824" s="390"/>
      <c r="F7824" s="391"/>
      <c r="G7824" s="390"/>
      <c r="H7824" s="394"/>
    </row>
    <row r="7825" spans="1:8" ht="15.75" customHeight="1" x14ac:dyDescent="0.25">
      <c r="A7825" s="390"/>
      <c r="B7825" s="390"/>
      <c r="C7825" s="390"/>
      <c r="D7825" s="391"/>
      <c r="E7825" s="390"/>
      <c r="F7825" s="391"/>
      <c r="G7825" s="390"/>
      <c r="H7825" s="394"/>
    </row>
    <row r="7826" spans="1:8" ht="15.75" customHeight="1" x14ac:dyDescent="0.25">
      <c r="A7826" s="399" t="s">
        <v>33</v>
      </c>
      <c r="B7826" s="400" t="s">
        <v>6</v>
      </c>
      <c r="C7826" s="400"/>
      <c r="D7826" s="401" t="s">
        <v>37</v>
      </c>
      <c r="E7826" s="402" t="s">
        <v>1309</v>
      </c>
      <c r="F7826" s="609" t="s">
        <v>7</v>
      </c>
      <c r="G7826" s="400" t="s">
        <v>43</v>
      </c>
      <c r="H7826" s="405" t="s">
        <v>44</v>
      </c>
    </row>
    <row r="7827" spans="1:8" ht="15.75" customHeight="1" x14ac:dyDescent="0.25">
      <c r="A7827" s="610"/>
      <c r="B7827" s="611"/>
      <c r="C7827" s="611"/>
      <c r="D7827" s="612"/>
      <c r="E7827" s="613"/>
      <c r="F7827" s="614"/>
      <c r="G7827" s="611"/>
      <c r="H7827" s="615"/>
    </row>
    <row r="7828" spans="1:8" ht="15.75" customHeight="1" x14ac:dyDescent="0.25">
      <c r="A7828" s="412"/>
      <c r="B7828" s="654" t="s">
        <v>1811</v>
      </c>
      <c r="C7828" s="654"/>
      <c r="D7828" s="415"/>
      <c r="E7828" s="415"/>
      <c r="F7828" s="415"/>
      <c r="G7828" s="415"/>
      <c r="H7828" s="416"/>
    </row>
    <row r="7829" spans="1:8" ht="15.75" customHeight="1" x14ac:dyDescent="0.25">
      <c r="A7829" s="412">
        <v>1</v>
      </c>
      <c r="B7829" s="644" t="s">
        <v>1812</v>
      </c>
      <c r="C7829" s="420"/>
      <c r="D7829" s="415">
        <v>350</v>
      </c>
      <c r="E7829" s="415">
        <v>28</v>
      </c>
      <c r="F7829" s="415">
        <f>+E7829*D7829</f>
      </c>
      <c r="G7829" s="415">
        <v>1</v>
      </c>
      <c r="H7829" s="416">
        <f>+G7829*F7829</f>
      </c>
    </row>
    <row r="7830" spans="1:8" ht="15.75" customHeight="1" x14ac:dyDescent="0.25">
      <c r="A7830" s="412"/>
      <c r="B7830" s="644"/>
      <c r="C7830" s="420"/>
      <c r="D7830" s="415"/>
      <c r="E7830" s="415"/>
      <c r="F7830" s="415"/>
      <c r="G7830" s="415"/>
      <c r="H7830" s="416"/>
    </row>
    <row r="7831" spans="1:8" ht="15.75" customHeight="1" x14ac:dyDescent="0.25">
      <c r="A7831" s="412"/>
      <c r="B7831" s="654"/>
      <c r="C7831" s="654"/>
      <c r="D7831" s="415"/>
      <c r="E7831" s="415"/>
      <c r="F7831" s="415"/>
      <c r="G7831" s="415"/>
      <c r="H7831" s="416"/>
    </row>
    <row r="7832" spans="1:8" ht="15.75" customHeight="1" x14ac:dyDescent="0.25">
      <c r="A7832" s="581"/>
      <c r="B7832" s="417"/>
      <c r="C7832" s="418"/>
      <c r="D7832" s="415"/>
      <c r="E7832" s="415"/>
      <c r="F7832" s="415"/>
      <c r="G7832" s="415"/>
      <c r="H7832" s="416"/>
    </row>
    <row r="7833" spans="1:8" ht="15.75" customHeight="1" x14ac:dyDescent="0.25">
      <c r="A7833" s="581"/>
      <c r="B7833" s="417"/>
      <c r="C7833" s="418"/>
      <c r="D7833" s="415"/>
      <c r="E7833" s="415"/>
      <c r="F7833" s="415"/>
      <c r="G7833" s="415"/>
      <c r="H7833" s="416"/>
    </row>
    <row r="7834" spans="1:8" ht="15.75" customHeight="1" x14ac:dyDescent="0.25">
      <c r="A7834" s="581"/>
      <c r="B7834" s="654"/>
      <c r="C7834" s="654"/>
      <c r="D7834" s="588"/>
      <c r="E7834" s="415"/>
      <c r="F7834" s="415"/>
      <c r="G7834" s="415"/>
      <c r="H7834" s="416"/>
    </row>
    <row r="7835" spans="1:8" ht="15.75" customHeight="1" x14ac:dyDescent="0.25">
      <c r="A7835" s="581"/>
      <c r="B7835" s="417"/>
      <c r="C7835" s="418"/>
      <c r="D7835" s="588"/>
      <c r="E7835" s="415"/>
      <c r="F7835" s="415"/>
      <c r="G7835" s="415"/>
      <c r="H7835" s="416"/>
    </row>
    <row r="7836" spans="1:8" ht="15.75" customHeight="1" x14ac:dyDescent="0.25">
      <c r="A7836" s="581"/>
      <c r="B7836" s="582"/>
      <c r="C7836" s="582"/>
      <c r="D7836" s="415"/>
      <c r="E7836" s="415"/>
      <c r="F7836" s="415"/>
      <c r="G7836" s="415"/>
      <c r="H7836" s="589"/>
    </row>
    <row r="7837" spans="1:8" ht="15.75" customHeight="1" x14ac:dyDescent="0.25">
      <c r="A7837" s="430"/>
      <c r="B7837" s="409"/>
      <c r="C7837" s="393"/>
      <c r="D7837" s="427"/>
      <c r="E7837" s="427"/>
      <c r="F7837" s="428"/>
      <c r="G7837" s="427"/>
      <c r="H7837" s="429"/>
    </row>
    <row r="7838" spans="1:8" ht="15.75" customHeight="1" x14ac:dyDescent="0.25">
      <c r="A7838" s="432"/>
      <c r="B7838" s="433"/>
      <c r="C7838" s="434" t="s">
        <v>85</v>
      </c>
      <c r="D7838" s="659">
        <f>SUM(D7828:D7837)</f>
      </c>
      <c r="E7838" s="401"/>
      <c r="F7838" s="660"/>
      <c r="G7838" s="661"/>
      <c r="H7838" s="623">
        <f>SUM(H7828:H7837)</f>
      </c>
    </row>
    <row r="7839" spans="1:8" ht="15.75" customHeight="1" x14ac:dyDescent="0.25">
      <c r="A7839" s="439"/>
      <c r="B7839" s="440"/>
      <c r="C7839" s="440"/>
      <c r="D7839" s="441"/>
      <c r="E7839" s="440"/>
      <c r="F7839" s="442"/>
      <c r="G7839" s="443"/>
      <c r="H7839" s="444"/>
    </row>
    <row r="7840" spans="1:8" ht="15.75" customHeight="1" x14ac:dyDescent="0.25">
      <c r="A7840" s="392"/>
      <c r="B7840" s="391"/>
      <c r="C7840" s="391"/>
      <c r="D7840" s="391"/>
      <c r="E7840" s="390"/>
      <c r="F7840" s="392"/>
      <c r="G7840" s="390"/>
      <c r="H7840" s="394"/>
    </row>
    <row r="7841" spans="1:8" ht="15.75" customHeight="1" x14ac:dyDescent="0.25">
      <c r="A7841" s="445"/>
      <c r="B7841" s="445"/>
      <c r="C7841" s="445"/>
      <c r="D7841" s="446" t="s">
        <v>97</v>
      </c>
      <c r="E7841" s="445" t="s">
        <v>98</v>
      </c>
      <c r="F7841" s="445"/>
      <c r="G7841" s="390"/>
      <c r="H7841" s="394"/>
    </row>
    <row r="7842" spans="1:8" ht="15.75" customHeight="1" x14ac:dyDescent="0.25">
      <c r="A7842" s="390"/>
      <c r="B7842" s="390"/>
      <c r="C7842" s="390"/>
      <c r="D7842" s="391"/>
      <c r="E7842" s="390"/>
      <c r="F7842" s="390"/>
      <c r="G7842" s="390"/>
      <c r="H7842" s="394"/>
    </row>
    <row r="7843" spans="1:8" ht="15.75" customHeight="1" x14ac:dyDescent="0.25">
      <c r="A7843" s="390"/>
      <c r="B7843" s="390"/>
      <c r="C7843" s="390"/>
      <c r="D7843" s="391"/>
      <c r="E7843" s="390"/>
      <c r="F7843" s="390"/>
      <c r="G7843" s="390"/>
      <c r="H7843" s="394"/>
    </row>
    <row r="7844" spans="1:8" ht="15.75" customHeight="1" x14ac:dyDescent="0.25">
      <c r="A7844" s="445"/>
      <c r="B7844" s="445"/>
      <c r="C7844" s="445"/>
      <c r="D7844" s="446"/>
      <c r="E7844" s="445" t="s">
        <v>99</v>
      </c>
      <c r="F7844" s="445"/>
      <c r="G7844" s="390"/>
      <c r="H7844" s="394"/>
    </row>
    <row r="7845" spans="1:8" ht="15.75" customHeight="1" x14ac:dyDescent="0.25">
      <c r="D7845" s="4"/>
      <c r="H7845" s="4"/>
    </row>
    <row r="7846" spans="1:8" ht="15.75" customHeight="1" x14ac:dyDescent="0.25">
      <c r="D7846" s="4"/>
      <c r="H7846" s="4"/>
    </row>
    <row r="7847" spans="1:8" ht="15.75" customHeight="1" x14ac:dyDescent="0.25">
      <c r="D7847" s="4"/>
      <c r="H7847" s="4"/>
    </row>
    <row r="7848" spans="1:8" ht="15.75" customHeight="1" x14ac:dyDescent="0.25">
      <c r="D7848" s="4"/>
      <c r="H7848" s="4"/>
    </row>
    <row r="7849" spans="1:8" ht="15.75" customHeight="1" x14ac:dyDescent="0.25">
      <c r="D7849" s="4"/>
      <c r="H7849" s="4"/>
    </row>
    <row r="7850" spans="1:8" ht="15.75" customHeight="1" x14ac:dyDescent="0.25">
      <c r="D7850" s="4"/>
      <c r="H7850" s="4"/>
    </row>
    <row r="7851" spans="1:8" ht="15.75" customHeight="1" x14ac:dyDescent="0.25">
      <c r="D7851" s="4"/>
      <c r="H7851" s="4"/>
    </row>
    <row r="7852" spans="1:8" ht="15.75" customHeight="1" x14ac:dyDescent="0.25">
      <c r="D7852" s="4"/>
      <c r="H7852" s="4"/>
    </row>
    <row r="7853" spans="1:8" ht="15.75" customHeight="1" x14ac:dyDescent="0.25">
      <c r="D7853" s="4"/>
      <c r="H7853" s="4"/>
    </row>
    <row r="7854" spans="1:8" ht="15.75" customHeight="1" x14ac:dyDescent="0.25">
      <c r="D7854" s="4"/>
      <c r="H7854" s="4"/>
    </row>
    <row r="7855" spans="1:8" ht="15.75" customHeight="1" x14ac:dyDescent="0.25">
      <c r="A7855" s="392" t="s">
        <v>14</v>
      </c>
      <c r="B7855" s="391"/>
      <c r="C7855" s="391"/>
      <c r="D7855" s="391"/>
      <c r="E7855" s="391"/>
      <c r="F7855" s="391"/>
      <c r="G7855" s="391"/>
      <c r="H7855" s="394"/>
    </row>
    <row r="7856" spans="1:8" ht="15.75" customHeight="1" x14ac:dyDescent="0.25">
      <c r="A7856" s="392"/>
      <c r="B7856" s="391"/>
      <c r="C7856" s="391"/>
      <c r="D7856" s="391"/>
      <c r="E7856" s="390"/>
      <c r="F7856" s="392"/>
      <c r="G7856" s="390"/>
      <c r="H7856" s="394"/>
    </row>
    <row r="7857" spans="1:8" ht="15.75" customHeight="1" x14ac:dyDescent="0.25">
      <c r="A7857" s="390" t="s">
        <v>20</v>
      </c>
      <c r="B7857" s="390"/>
      <c r="C7857" s="390"/>
      <c r="D7857" s="391"/>
      <c r="E7857" s="390"/>
      <c r="F7857" s="392"/>
      <c r="G7857" s="390"/>
      <c r="H7857" s="394"/>
    </row>
    <row r="7858" spans="1:8" ht="15.75" customHeight="1" x14ac:dyDescent="0.25">
      <c r="A7858" s="390" t="inlineStr">
        <is>
          <t>Dealer-015</t>
        </is>
      </c>
      <c r="B7858" s="390"/>
      <c r="C7858" s="390"/>
      <c r="D7858" s="391"/>
      <c r="E7858" s="390"/>
      <c r="F7858" s="395" t="s">
        <v>18</v>
      </c>
      <c r="G7858" s="390" t="s">
        <v>935</v>
      </c>
      <c r="H7858" s="394"/>
    </row>
    <row r="7859" spans="1:8" ht="15.75" customHeight="1" x14ac:dyDescent="0.25">
      <c r="A7859" s="390" t="inlineStr">
        <is>
          <t>Address line (redacted)</t>
        </is>
      </c>
      <c r="B7859" s="390"/>
      <c r="C7859" s="390"/>
      <c r="D7859" s="391"/>
      <c r="E7859" s="390"/>
      <c r="F7859" s="393" t="s">
        <v>21</v>
      </c>
      <c r="G7859" s="390" t="s">
        <v>1813</v>
      </c>
      <c r="H7859" s="394"/>
    </row>
    <row r="7860" spans="1:8" ht="15.75" customHeight="1" x14ac:dyDescent="0.25">
      <c r="A7860" s="390" t="inlineStr">
        <is>
          <t>Address line (redacted)</t>
        </is>
      </c>
      <c r="B7860" s="390"/>
      <c r="C7860" s="390"/>
      <c r="D7860" s="391"/>
      <c r="E7860" s="390"/>
      <c r="F7860" s="391"/>
      <c r="G7860" s="390"/>
      <c r="H7860" s="394"/>
    </row>
    <row r="7861" spans="1:8" ht="15.75" customHeight="1" x14ac:dyDescent="0.25">
      <c r="A7861" s="390"/>
      <c r="B7861" s="390"/>
      <c r="C7861" s="393"/>
      <c r="D7861" s="391"/>
      <c r="E7861" s="390"/>
      <c r="F7861" s="391"/>
      <c r="G7861" s="390"/>
      <c r="H7861" s="394"/>
    </row>
    <row r="7862" spans="1:8" ht="15.75" customHeight="1" x14ac:dyDescent="0.25">
      <c r="A7862" s="393" t="s">
        <v>2124</v>
      </c>
      <c r="B7862" s="393"/>
      <c r="C7862" s="393"/>
      <c r="D7862" s="398"/>
      <c r="E7862" s="393"/>
      <c r="F7862" s="398"/>
      <c r="G7862" s="393"/>
      <c r="H7862" s="606"/>
    </row>
    <row r="7863" spans="1:8" ht="15.75" customHeight="1" x14ac:dyDescent="0.25">
      <c r="A7863" s="393" t="inlineStr">
        <is>
          <t>Address line (redacted)</t>
        </is>
      </c>
      <c r="B7863" s="393"/>
      <c r="C7863" s="393"/>
      <c r="D7863" s="398"/>
      <c r="E7863" s="393"/>
      <c r="F7863" s="398"/>
      <c r="G7863" s="393"/>
      <c r="H7863" s="606"/>
    </row>
    <row r="7864" spans="1:8" ht="15.75" customHeight="1" x14ac:dyDescent="0.25">
      <c r="A7864" s="393" t="inlineStr">
        <is>
          <t>Address line (redacted)</t>
        </is>
      </c>
      <c r="B7864" s="393"/>
      <c r="C7864" s="393"/>
      <c r="D7864" s="398"/>
      <c r="E7864" s="393"/>
      <c r="F7864" s="398"/>
      <c r="G7864" s="393"/>
      <c r="H7864" s="606"/>
    </row>
    <row r="7865" spans="1:8" ht="15.75" customHeight="1" x14ac:dyDescent="0.25">
      <c r="A7865" s="390"/>
      <c r="B7865" s="390"/>
      <c r="C7865" s="393"/>
      <c r="D7865" s="391"/>
      <c r="E7865" s="390"/>
      <c r="F7865" s="391"/>
      <c r="G7865" s="390"/>
      <c r="H7865" s="394"/>
    </row>
    <row r="7866" spans="1:8" ht="15.75" customHeight="1" x14ac:dyDescent="0.25">
      <c r="A7866" s="390"/>
      <c r="B7866" s="390"/>
      <c r="C7866" s="390"/>
      <c r="D7866" s="391"/>
      <c r="E7866" s="390"/>
      <c r="F7866" s="391"/>
      <c r="G7866" s="390"/>
      <c r="H7866" s="394"/>
    </row>
    <row r="7867" spans="1:8" ht="15.75" customHeight="1" x14ac:dyDescent="0.25">
      <c r="A7867" s="390" t="s">
        <v>30</v>
      </c>
      <c r="B7867" s="390"/>
      <c r="C7867" s="390"/>
      <c r="D7867" s="391"/>
      <c r="E7867" s="390"/>
      <c r="F7867" s="391"/>
      <c r="G7867" s="390"/>
      <c r="H7867" s="394"/>
    </row>
    <row r="7868" spans="1:8" ht="15.75" customHeight="1" x14ac:dyDescent="0.25">
      <c r="A7868" s="390"/>
      <c r="B7868" s="390"/>
      <c r="C7868" s="390"/>
      <c r="D7868" s="391"/>
      <c r="E7868" s="390"/>
      <c r="F7868" s="391"/>
      <c r="G7868" s="390"/>
      <c r="H7868" s="394"/>
    </row>
    <row r="7869" spans="1:8" ht="15.75" customHeight="1" x14ac:dyDescent="0.25">
      <c r="A7869" s="390" t="s">
        <v>1322</v>
      </c>
      <c r="B7869" s="390"/>
      <c r="C7869" s="390"/>
      <c r="D7869" s="391"/>
      <c r="E7869" s="390"/>
      <c r="F7869" s="391"/>
      <c r="G7869" s="390"/>
      <c r="H7869" s="394"/>
    </row>
    <row r="7870" spans="1:8" ht="15.75" customHeight="1" x14ac:dyDescent="0.25">
      <c r="A7870" s="390" t="s">
        <v>1328</v>
      </c>
      <c r="B7870" s="390"/>
      <c r="C7870" s="390"/>
      <c r="D7870" s="391"/>
      <c r="E7870" s="390"/>
      <c r="F7870" s="391"/>
      <c r="G7870" s="390"/>
      <c r="H7870" s="394"/>
    </row>
    <row r="7871" spans="1:8" ht="15.75" customHeight="1" x14ac:dyDescent="0.25">
      <c r="A7871" s="390"/>
      <c r="B7871" s="390"/>
      <c r="C7871" s="390"/>
      <c r="D7871" s="391"/>
      <c r="E7871" s="390"/>
      <c r="F7871" s="391"/>
      <c r="G7871" s="390"/>
      <c r="H7871" s="394"/>
    </row>
    <row r="7872" spans="1:8" ht="15.75" customHeight="1" x14ac:dyDescent="0.25">
      <c r="A7872" s="399" t="s">
        <v>33</v>
      </c>
      <c r="B7872" s="400" t="s">
        <v>6</v>
      </c>
      <c r="C7872" s="400"/>
      <c r="D7872" s="401" t="s">
        <v>37</v>
      </c>
      <c r="E7872" s="402" t="s">
        <v>1309</v>
      </c>
      <c r="F7872" s="609" t="s">
        <v>7</v>
      </c>
      <c r="G7872" s="400" t="s">
        <v>43</v>
      </c>
      <c r="H7872" s="405" t="s">
        <v>44</v>
      </c>
    </row>
    <row r="7873" spans="1:8" ht="15.75" customHeight="1" x14ac:dyDescent="0.25">
      <c r="A7873" s="610"/>
      <c r="B7873" s="611"/>
      <c r="C7873" s="611"/>
      <c r="D7873" s="612"/>
      <c r="E7873" s="613"/>
      <c r="F7873" s="614"/>
      <c r="G7873" s="611"/>
      <c r="H7873" s="615"/>
    </row>
    <row r="7874" spans="1:8" ht="15.75" customHeight="1" x14ac:dyDescent="0.25">
      <c r="A7874" s="412"/>
      <c r="B7874" s="654" t="s">
        <v>1811</v>
      </c>
      <c r="C7874" s="654"/>
      <c r="D7874" s="415"/>
      <c r="E7874" s="415"/>
      <c r="F7874" s="415"/>
      <c r="G7874" s="415"/>
      <c r="H7874" s="416"/>
    </row>
    <row r="7875" spans="1:8" ht="15.75" customHeight="1" x14ac:dyDescent="0.25">
      <c r="A7875" s="412">
        <v>1</v>
      </c>
      <c r="B7875" s="644" t="s">
        <v>1812</v>
      </c>
      <c r="C7875" s="420"/>
      <c r="D7875" s="415">
        <v>328</v>
      </c>
      <c r="E7875" s="415">
        <v>28</v>
      </c>
      <c r="F7875" s="415">
        <f>+E7875*D7875</f>
      </c>
      <c r="G7875" s="415">
        <v>1</v>
      </c>
      <c r="H7875" s="416">
        <f>+G7875*F7875</f>
      </c>
    </row>
    <row r="7876" spans="1:8" ht="15.75" customHeight="1" x14ac:dyDescent="0.25">
      <c r="A7876" s="412"/>
      <c r="B7876" s="644"/>
      <c r="C7876" s="420"/>
      <c r="D7876" s="415"/>
      <c r="E7876" s="415"/>
      <c r="F7876" s="415"/>
      <c r="G7876" s="415"/>
      <c r="H7876" s="416"/>
    </row>
    <row r="7877" spans="1:8" ht="15.75" customHeight="1" x14ac:dyDescent="0.25">
      <c r="A7877" s="412"/>
      <c r="B7877" s="654"/>
      <c r="C7877" s="654"/>
      <c r="D7877" s="415"/>
      <c r="E7877" s="415"/>
      <c r="F7877" s="415"/>
      <c r="G7877" s="415"/>
      <c r="H7877" s="416"/>
    </row>
    <row r="7878" spans="1:8" ht="15.75" customHeight="1" x14ac:dyDescent="0.25">
      <c r="A7878" s="581"/>
      <c r="B7878" s="417"/>
      <c r="C7878" s="418"/>
      <c r="D7878" s="415"/>
      <c r="E7878" s="415"/>
      <c r="F7878" s="415"/>
      <c r="G7878" s="415"/>
      <c r="H7878" s="416"/>
    </row>
    <row r="7879" spans="1:8" ht="15.75" customHeight="1" x14ac:dyDescent="0.25">
      <c r="A7879" s="581"/>
      <c r="B7879" s="417"/>
      <c r="C7879" s="418"/>
      <c r="D7879" s="415"/>
      <c r="E7879" s="415"/>
      <c r="F7879" s="415"/>
      <c r="G7879" s="415"/>
      <c r="H7879" s="416"/>
    </row>
    <row r="7880" spans="1:8" ht="15.75" customHeight="1" x14ac:dyDescent="0.25">
      <c r="A7880" s="581"/>
      <c r="B7880" s="654"/>
      <c r="C7880" s="654"/>
      <c r="D7880" s="588"/>
      <c r="E7880" s="415"/>
      <c r="F7880" s="415"/>
      <c r="G7880" s="415"/>
      <c r="H7880" s="416"/>
    </row>
    <row r="7881" spans="1:8" ht="15.75" customHeight="1" x14ac:dyDescent="0.25">
      <c r="A7881" s="581"/>
      <c r="B7881" s="417"/>
      <c r="C7881" s="418"/>
      <c r="D7881" s="588"/>
      <c r="E7881" s="415"/>
      <c r="F7881" s="415"/>
      <c r="G7881" s="415"/>
      <c r="H7881" s="416"/>
    </row>
    <row r="7882" spans="1:8" ht="15.75" customHeight="1" x14ac:dyDescent="0.25">
      <c r="A7882" s="581"/>
      <c r="B7882" s="582"/>
      <c r="C7882" s="582"/>
      <c r="D7882" s="415"/>
      <c r="E7882" s="415"/>
      <c r="F7882" s="415"/>
      <c r="G7882" s="415"/>
      <c r="H7882" s="589"/>
    </row>
    <row r="7883" spans="1:8" ht="15.75" customHeight="1" x14ac:dyDescent="0.25">
      <c r="A7883" s="430"/>
      <c r="B7883" s="409"/>
      <c r="C7883" s="393"/>
      <c r="D7883" s="427"/>
      <c r="E7883" s="427"/>
      <c r="F7883" s="428"/>
      <c r="G7883" s="427"/>
      <c r="H7883" s="429"/>
    </row>
    <row r="7884" spans="1:8" ht="15.75" customHeight="1" x14ac:dyDescent="0.25">
      <c r="A7884" s="432"/>
      <c r="B7884" s="433"/>
      <c r="C7884" s="434" t="s">
        <v>85</v>
      </c>
      <c r="D7884" s="659">
        <f>SUM(D7874:D7883)</f>
      </c>
      <c r="E7884" s="401"/>
      <c r="F7884" s="660"/>
      <c r="G7884" s="661"/>
      <c r="H7884" s="623">
        <f>SUM(H7874:H7883)</f>
      </c>
    </row>
    <row r="7885" spans="1:8" ht="15.75" customHeight="1" x14ac:dyDescent="0.25">
      <c r="A7885" s="439"/>
      <c r="B7885" s="440"/>
      <c r="C7885" s="440"/>
      <c r="D7885" s="441"/>
      <c r="E7885" s="440"/>
      <c r="F7885" s="442"/>
      <c r="G7885" s="443"/>
      <c r="H7885" s="444"/>
    </row>
    <row r="7886" spans="1:8" ht="15.75" customHeight="1" x14ac:dyDescent="0.25">
      <c r="A7886" s="392"/>
      <c r="B7886" s="391"/>
      <c r="C7886" s="391"/>
      <c r="D7886" s="391"/>
      <c r="E7886" s="390"/>
      <c r="F7886" s="392"/>
      <c r="G7886" s="390"/>
      <c r="H7886" s="394"/>
    </row>
    <row r="7887" spans="1:8" ht="15.75" customHeight="1" x14ac:dyDescent="0.25">
      <c r="A7887" s="445"/>
      <c r="B7887" s="445"/>
      <c r="C7887" s="445"/>
      <c r="D7887" s="446" t="s">
        <v>97</v>
      </c>
      <c r="E7887" s="445" t="s">
        <v>98</v>
      </c>
      <c r="F7887" s="445"/>
      <c r="G7887" s="390"/>
      <c r="H7887" s="394"/>
    </row>
    <row r="7888" spans="1:8" ht="15.75" customHeight="1" x14ac:dyDescent="0.25">
      <c r="A7888" s="390"/>
      <c r="B7888" s="390"/>
      <c r="C7888" s="390"/>
      <c r="D7888" s="391"/>
      <c r="E7888" s="390"/>
      <c r="F7888" s="390"/>
      <c r="G7888" s="390"/>
      <c r="H7888" s="394"/>
    </row>
    <row r="7889" spans="1:8" ht="15.75" customHeight="1" x14ac:dyDescent="0.25">
      <c r="A7889" s="390"/>
      <c r="B7889" s="390"/>
      <c r="C7889" s="390"/>
      <c r="D7889" s="391"/>
      <c r="E7889" s="390"/>
      <c r="F7889" s="390"/>
      <c r="G7889" s="390"/>
      <c r="H7889" s="394"/>
    </row>
    <row r="7890" spans="1:8" ht="15.75" customHeight="1" x14ac:dyDescent="0.25">
      <c r="A7890" s="445"/>
      <c r="B7890" s="445"/>
      <c r="C7890" s="445"/>
      <c r="D7890" s="446"/>
      <c r="E7890" s="445" t="s">
        <v>99</v>
      </c>
      <c r="F7890" s="445"/>
      <c r="G7890" s="390"/>
      <c r="H7890" s="394"/>
    </row>
    <row r="7891" spans="1:8" ht="15.75" customHeight="1" x14ac:dyDescent="0.25">
      <c r="D7891" s="4"/>
      <c r="H7891" s="4"/>
    </row>
    <row r="7892" spans="1:8" ht="15.75" customHeight="1" x14ac:dyDescent="0.25">
      <c r="D7892" s="4"/>
      <c r="H7892" s="4"/>
    </row>
    <row r="7893" spans="1:8" ht="15.75" customHeight="1" x14ac:dyDescent="0.25">
      <c r="D7893" s="4"/>
      <c r="H7893" s="4"/>
    </row>
    <row r="7894" spans="1:8" ht="15.75" customHeight="1" x14ac:dyDescent="0.25">
      <c r="D7894" s="4"/>
      <c r="H7894" s="4"/>
    </row>
    <row r="7895" spans="1:8" ht="15.75" customHeight="1" x14ac:dyDescent="0.25">
      <c r="D7895" s="4"/>
      <c r="H7895" s="4"/>
    </row>
    <row r="7896" spans="1:8" ht="15.75" customHeight="1" x14ac:dyDescent="0.25">
      <c r="D7896" s="4"/>
      <c r="H7896" s="4"/>
    </row>
    <row r="7897" spans="1:8" ht="15.75" customHeight="1" x14ac:dyDescent="0.25">
      <c r="D7897" s="4"/>
      <c r="H7897" s="4"/>
    </row>
    <row r="7898" spans="1:8" ht="15.75" customHeight="1" x14ac:dyDescent="0.25">
      <c r="D7898" s="4"/>
      <c r="H7898" s="4"/>
    </row>
    <row r="7899" spans="1:8" ht="15.75" customHeight="1" x14ac:dyDescent="0.25">
      <c r="D7899" s="4"/>
      <c r="H7899" s="4"/>
    </row>
    <row r="7900" spans="1:8" ht="15.75" customHeight="1" x14ac:dyDescent="0.25">
      <c r="D7900" s="4"/>
      <c r="H7900" s="4"/>
    </row>
    <row r="7901" spans="1:8" ht="15.75" customHeight="1" x14ac:dyDescent="0.25">
      <c r="A7901" s="392" t="s">
        <v>14</v>
      </c>
      <c r="B7901" s="391"/>
      <c r="C7901" s="391"/>
      <c r="D7901" s="391"/>
      <c r="E7901" s="391"/>
      <c r="F7901" s="391"/>
      <c r="G7901" s="391"/>
      <c r="H7901" s="394"/>
    </row>
    <row r="7902" spans="1:8" ht="15.75" customHeight="1" x14ac:dyDescent="0.25">
      <c r="A7902" s="392"/>
      <c r="B7902" s="391"/>
      <c r="C7902" s="391"/>
      <c r="D7902" s="391"/>
      <c r="E7902" s="390"/>
      <c r="F7902" s="392"/>
      <c r="G7902" s="390"/>
      <c r="H7902" s="394"/>
    </row>
    <row r="7903" spans="1:8" ht="15.75" customHeight="1" x14ac:dyDescent="0.25">
      <c r="A7903" s="390"/>
      <c r="B7903" s="390"/>
      <c r="C7903" s="390"/>
      <c r="D7903" s="391"/>
      <c r="E7903" s="390"/>
      <c r="F7903" s="392"/>
      <c r="G7903" s="390"/>
      <c r="H7903" s="394"/>
    </row>
    <row r="7904" spans="1:8" ht="15.75" customHeight="1" x14ac:dyDescent="0.3">
      <c r="A7904" s="805" t="s">
        <v>2128</v>
      </c>
      <c r="B7904" s="805"/>
      <c r="C7904" s="805"/>
      <c r="D7904" s="391"/>
      <c r="E7904" s="390"/>
      <c r="F7904" s="395" t="s">
        <v>18</v>
      </c>
      <c r="G7904" s="390" t="s">
        <v>935</v>
      </c>
      <c r="H7904" s="394"/>
    </row>
    <row r="7905" spans="1:8" ht="15.75" customHeight="1" x14ac:dyDescent="0.3">
      <c r="A7905" s="805" t="inlineStr">
        <is>
          <t>Dealer-016</t>
        </is>
      </c>
      <c r="B7905" s="805"/>
      <c r="C7905" s="805"/>
      <c r="D7905" s="391"/>
      <c r="E7905" s="390"/>
      <c r="F7905" s="393" t="s">
        <v>21</v>
      </c>
      <c r="G7905" s="390" t="s">
        <v>1814</v>
      </c>
      <c r="H7905" s="394"/>
    </row>
    <row r="7906" spans="1:8" ht="15.75" customHeight="1" x14ac:dyDescent="0.3">
      <c r="A7906" s="805" t="inlineStr">
        <is>
          <t>Dealer-017</t>
        </is>
      </c>
      <c r="B7906" s="805"/>
      <c r="C7906" s="805"/>
      <c r="D7906" s="391"/>
      <c r="E7906" s="390"/>
      <c r="F7906" s="391"/>
      <c r="G7906" s="390"/>
      <c r="H7906" s="394"/>
    </row>
    <row r="7907" spans="1:8" ht="15.75" customHeight="1" x14ac:dyDescent="0.3">
      <c r="A7907" s="805" t="inlineStr">
        <is>
          <t>Address line (redacted)</t>
        </is>
      </c>
      <c r="B7907" s="805"/>
      <c r="C7907" s="805"/>
      <c r="D7907" s="391"/>
      <c r="E7907" s="390"/>
      <c r="F7907" s="391"/>
      <c r="G7907" s="390"/>
      <c r="H7907" s="394"/>
    </row>
    <row r="7908" spans="1:8" ht="15.75" customHeight="1" x14ac:dyDescent="0.3">
      <c r="A7908" s="805" t="inlineStr">
        <is>
          <t>Address line (redacted)</t>
        </is>
      </c>
      <c r="B7908" s="805"/>
      <c r="C7908" s="805"/>
      <c r="D7908" s="398"/>
      <c r="E7908" s="393"/>
      <c r="F7908" s="398"/>
      <c r="G7908" s="393"/>
      <c r="H7908" s="606"/>
    </row>
    <row r="7909" spans="1:8" ht="15.75" customHeight="1" x14ac:dyDescent="0.25">
      <c r="A7909" s="390"/>
      <c r="B7909" s="390"/>
      <c r="C7909" s="390"/>
      <c r="D7909" s="391"/>
      <c r="E7909" s="390"/>
      <c r="F7909" s="391"/>
      <c r="G7909" s="390"/>
      <c r="H7909" s="394"/>
    </row>
    <row r="7910" spans="1:8" ht="15.75" customHeight="1" x14ac:dyDescent="0.25">
      <c r="A7910" s="390" t="s">
        <v>30</v>
      </c>
      <c r="B7910" s="390"/>
      <c r="C7910" s="390"/>
      <c r="D7910" s="391"/>
      <c r="E7910" s="390"/>
      <c r="F7910" s="391"/>
      <c r="G7910" s="390"/>
      <c r="H7910" s="394"/>
    </row>
    <row r="7911" spans="1:8" ht="15.75" customHeight="1" x14ac:dyDescent="0.25">
      <c r="A7911" s="390"/>
      <c r="B7911" s="390"/>
      <c r="C7911" s="390"/>
      <c r="D7911" s="391"/>
      <c r="E7911" s="390"/>
      <c r="F7911" s="391"/>
      <c r="G7911" s="390"/>
      <c r="H7911" s="394"/>
    </row>
    <row r="7912" spans="1:8" ht="15.75" customHeight="1" x14ac:dyDescent="0.25">
      <c r="A7912" s="390" t="s">
        <v>1322</v>
      </c>
      <c r="B7912" s="390"/>
      <c r="C7912" s="390"/>
      <c r="D7912" s="391"/>
      <c r="E7912" s="390"/>
      <c r="F7912" s="391"/>
      <c r="G7912" s="390"/>
      <c r="H7912" s="394"/>
    </row>
    <row r="7913" spans="1:8" ht="15.75" customHeight="1" x14ac:dyDescent="0.25">
      <c r="A7913" s="390" t="s">
        <v>1328</v>
      </c>
      <c r="B7913" s="390"/>
      <c r="C7913" s="390"/>
      <c r="D7913" s="391"/>
      <c r="E7913" s="390"/>
      <c r="F7913" s="391"/>
      <c r="G7913" s="390"/>
      <c r="H7913" s="394"/>
    </row>
    <row r="7914" spans="1:8" ht="15.75" customHeight="1" x14ac:dyDescent="0.25">
      <c r="A7914" s="390"/>
      <c r="B7914" s="390"/>
      <c r="C7914" s="390"/>
      <c r="D7914" s="391"/>
      <c r="E7914" s="390"/>
      <c r="F7914" s="391"/>
      <c r="G7914" s="390"/>
      <c r="H7914" s="394"/>
    </row>
    <row r="7915" spans="1:8" ht="15.75" customHeight="1" x14ac:dyDescent="0.25">
      <c r="A7915" s="399" t="s">
        <v>33</v>
      </c>
      <c r="B7915" s="400" t="s">
        <v>6</v>
      </c>
      <c r="C7915" s="400"/>
      <c r="D7915" s="401" t="s">
        <v>37</v>
      </c>
      <c r="E7915" s="402" t="s">
        <v>1309</v>
      </c>
      <c r="F7915" s="609" t="s">
        <v>7</v>
      </c>
      <c r="G7915" s="400" t="s">
        <v>43</v>
      </c>
      <c r="H7915" s="405" t="s">
        <v>44</v>
      </c>
    </row>
    <row r="7916" spans="1:8" ht="15.75" customHeight="1" x14ac:dyDescent="0.25">
      <c r="A7916" s="610"/>
      <c r="B7916" s="611"/>
      <c r="C7916" s="611"/>
      <c r="D7916" s="612"/>
      <c r="E7916" s="613"/>
      <c r="F7916" s="614"/>
      <c r="G7916" s="611"/>
      <c r="H7916" s="615"/>
    </row>
    <row r="7917" spans="1:8" ht="15.75" customHeight="1" x14ac:dyDescent="0.25">
      <c r="A7917" s="412"/>
      <c r="B7917" s="654"/>
      <c r="C7917" s="654"/>
      <c r="D7917" s="415"/>
      <c r="E7917" s="415"/>
      <c r="F7917" s="415"/>
      <c r="G7917" s="415"/>
      <c r="H7917" s="416"/>
    </row>
    <row r="7918" spans="1:8" ht="15.75" customHeight="1" x14ac:dyDescent="0.25">
      <c r="A7918" s="412">
        <v>1</v>
      </c>
      <c r="B7918" s="644" t="s">
        <v>1315</v>
      </c>
      <c r="C7918" s="420"/>
      <c r="D7918" s="415">
        <v>28</v>
      </c>
      <c r="E7918" s="415">
        <v>300</v>
      </c>
      <c r="F7918" s="415">
        <f>+E7918*D7918</f>
      </c>
      <c r="G7918" s="415">
        <v>0</v>
      </c>
      <c r="H7918" s="416">
        <f>+G7918*F7918</f>
      </c>
    </row>
    <row r="7919" spans="1:8" ht="15.75" customHeight="1" x14ac:dyDescent="0.25">
      <c r="A7919" s="412"/>
      <c r="B7919" s="644"/>
      <c r="C7919" s="420"/>
      <c r="D7919" s="415"/>
      <c r="E7919" s="415"/>
      <c r="F7919" s="415"/>
      <c r="G7919" s="415"/>
      <c r="H7919" s="416"/>
    </row>
    <row r="7920" spans="1:8" ht="15.75" customHeight="1" x14ac:dyDescent="0.25">
      <c r="A7920" s="412"/>
      <c r="B7920" s="654"/>
      <c r="C7920" s="654"/>
      <c r="D7920" s="415"/>
      <c r="E7920" s="415"/>
      <c r="F7920" s="415"/>
      <c r="G7920" s="415"/>
      <c r="H7920" s="416"/>
    </row>
    <row r="7921" spans="1:8" ht="15.75" customHeight="1" x14ac:dyDescent="0.25">
      <c r="A7921" s="581"/>
      <c r="B7921" s="417"/>
      <c r="C7921" s="418"/>
      <c r="D7921" s="415"/>
      <c r="E7921" s="415"/>
      <c r="F7921" s="415"/>
      <c r="G7921" s="415"/>
      <c r="H7921" s="416"/>
    </row>
    <row r="7922" spans="1:8" ht="15.75" customHeight="1" x14ac:dyDescent="0.25">
      <c r="A7922" s="581"/>
      <c r="B7922" s="417"/>
      <c r="C7922" s="418"/>
      <c r="D7922" s="415"/>
      <c r="E7922" s="415"/>
      <c r="F7922" s="415"/>
      <c r="G7922" s="415"/>
      <c r="H7922" s="416"/>
    </row>
    <row r="7923" spans="1:8" ht="15.75" customHeight="1" x14ac:dyDescent="0.25">
      <c r="A7923" s="581"/>
      <c r="B7923" s="654"/>
      <c r="C7923" s="654"/>
      <c r="D7923" s="588"/>
      <c r="E7923" s="415"/>
      <c r="F7923" s="415"/>
      <c r="G7923" s="415"/>
      <c r="H7923" s="416"/>
    </row>
    <row r="7924" spans="1:8" ht="15.75" customHeight="1" x14ac:dyDescent="0.25">
      <c r="A7924" s="581"/>
      <c r="B7924" s="417"/>
      <c r="C7924" s="418"/>
      <c r="D7924" s="588"/>
      <c r="E7924" s="415"/>
      <c r="F7924" s="415"/>
      <c r="G7924" s="415"/>
      <c r="H7924" s="416"/>
    </row>
    <row r="7925" spans="1:8" ht="15.75" customHeight="1" x14ac:dyDescent="0.25">
      <c r="A7925" s="581"/>
      <c r="B7925" s="582"/>
      <c r="C7925" s="582"/>
      <c r="D7925" s="415"/>
      <c r="E7925" s="415"/>
      <c r="F7925" s="415"/>
      <c r="G7925" s="415"/>
      <c r="H7925" s="589"/>
    </row>
    <row r="7926" spans="1:8" ht="15.75" customHeight="1" x14ac:dyDescent="0.25">
      <c r="A7926" s="430"/>
      <c r="B7926" s="409"/>
      <c r="C7926" s="393"/>
      <c r="D7926" s="427"/>
      <c r="E7926" s="427"/>
      <c r="F7926" s="428"/>
      <c r="G7926" s="427"/>
      <c r="H7926" s="429"/>
    </row>
    <row r="7927" spans="1:8" ht="15.75" customHeight="1" x14ac:dyDescent="0.25">
      <c r="A7927" s="432"/>
      <c r="B7927" s="433"/>
      <c r="C7927" s="434" t="s">
        <v>85</v>
      </c>
      <c r="D7927" s="659">
        <f>SUM(D7917:D7926)</f>
      </c>
      <c r="E7927" s="401"/>
      <c r="F7927" s="660"/>
      <c r="G7927" s="661"/>
      <c r="H7927" s="623">
        <f>SUM(H7917:H7926)</f>
      </c>
    </row>
    <row r="7928" spans="1:8" ht="15.75" customHeight="1" x14ac:dyDescent="0.25">
      <c r="A7928" s="439"/>
      <c r="B7928" s="440"/>
      <c r="C7928" s="440"/>
      <c r="D7928" s="441"/>
      <c r="E7928" s="440"/>
      <c r="F7928" s="442"/>
      <c r="G7928" s="443"/>
      <c r="H7928" s="444"/>
    </row>
    <row r="7929" spans="1:8" ht="15.75" customHeight="1" x14ac:dyDescent="0.25">
      <c r="A7929" s="392"/>
      <c r="B7929" s="391"/>
      <c r="C7929" s="391"/>
      <c r="D7929" s="391"/>
      <c r="E7929" s="390"/>
      <c r="F7929" s="392"/>
      <c r="G7929" s="390"/>
      <c r="H7929" s="394"/>
    </row>
    <row r="7930" spans="1:8" ht="15.75" customHeight="1" x14ac:dyDescent="0.25">
      <c r="A7930" s="445"/>
      <c r="B7930" s="445"/>
      <c r="C7930" s="445"/>
      <c r="D7930" s="446" t="s">
        <v>97</v>
      </c>
      <c r="E7930" s="445" t="s">
        <v>98</v>
      </c>
      <c r="F7930" s="445"/>
      <c r="G7930" s="390"/>
      <c r="H7930" s="394"/>
    </row>
    <row r="7931" spans="1:8" ht="15.75" customHeight="1" x14ac:dyDescent="0.25">
      <c r="A7931" s="390"/>
      <c r="B7931" s="390"/>
      <c r="C7931" s="390"/>
      <c r="D7931" s="391"/>
      <c r="E7931" s="390"/>
      <c r="F7931" s="390"/>
      <c r="G7931" s="390"/>
      <c r="H7931" s="394"/>
    </row>
    <row r="7932" spans="1:8" ht="15.75" customHeight="1" x14ac:dyDescent="0.25">
      <c r="A7932" s="390"/>
      <c r="B7932" s="390"/>
      <c r="C7932" s="390"/>
      <c r="D7932" s="391"/>
      <c r="E7932" s="390"/>
      <c r="F7932" s="390"/>
      <c r="G7932" s="390"/>
      <c r="H7932" s="394"/>
    </row>
    <row r="7933" spans="1:8" ht="15.75" customHeight="1" x14ac:dyDescent="0.25">
      <c r="A7933" s="445"/>
      <c r="B7933" s="445"/>
      <c r="C7933" s="445"/>
      <c r="D7933" s="446"/>
      <c r="E7933" s="445" t="s">
        <v>99</v>
      </c>
      <c r="F7933" s="445"/>
      <c r="G7933" s="390"/>
      <c r="H7933" s="394"/>
    </row>
    <row r="7934" spans="1:8" ht="15.75" customHeight="1" x14ac:dyDescent="0.25">
      <c r="D7934" s="4"/>
      <c r="H7934" s="4"/>
    </row>
    <row r="7935" spans="1:8" ht="15.75" customHeight="1" x14ac:dyDescent="0.25">
      <c r="D7935" s="4"/>
      <c r="H7935" s="4"/>
    </row>
    <row r="7936" spans="1:8" ht="15.75" customHeight="1" x14ac:dyDescent="0.25">
      <c r="D7936" s="4"/>
      <c r="H7936" s="4"/>
    </row>
    <row r="7937" spans="1:8" ht="15.75" customHeight="1" x14ac:dyDescent="0.25">
      <c r="D7937" s="4"/>
      <c r="H7937" s="4"/>
    </row>
    <row r="7938" spans="1:8" ht="15.75" customHeight="1" x14ac:dyDescent="0.25">
      <c r="D7938" s="4"/>
      <c r="H7938" s="4"/>
    </row>
    <row r="7939" spans="1:8" ht="15.75" customHeight="1" x14ac:dyDescent="0.25">
      <c r="D7939" s="4"/>
      <c r="H7939" s="4"/>
    </row>
    <row r="7940" spans="1:8" ht="15.75" customHeight="1" x14ac:dyDescent="0.25">
      <c r="D7940" s="4"/>
      <c r="H7940" s="4"/>
    </row>
    <row r="7941" spans="1:8" ht="15.75" customHeight="1" x14ac:dyDescent="0.25">
      <c r="D7941" s="4"/>
      <c r="H7941" s="4"/>
    </row>
    <row r="7942" spans="1:8" ht="15.75" customHeight="1" x14ac:dyDescent="0.25">
      <c r="D7942" s="4"/>
      <c r="H7942" s="4"/>
    </row>
    <row r="7943" spans="1:8" ht="15.75" customHeight="1" x14ac:dyDescent="0.25">
      <c r="D7943" s="4"/>
      <c r="H7943" s="4"/>
    </row>
    <row r="7944" spans="1:8" ht="15.75" customHeight="1" x14ac:dyDescent="0.25">
      <c r="D7944" s="4"/>
      <c r="H7944" s="4"/>
    </row>
    <row r="7945" spans="1:8" ht="15.75" customHeight="1" x14ac:dyDescent="0.25">
      <c r="D7945" s="4"/>
      <c r="H7945" s="4"/>
    </row>
    <row r="7946" spans="1:8" ht="15.75" customHeight="1" x14ac:dyDescent="0.25">
      <c r="A7946" s="398" t="s">
        <v>14</v>
      </c>
      <c r="B7946" s="398"/>
      <c r="C7946" s="398"/>
      <c r="D7946" s="398"/>
      <c r="E7946" s="398"/>
      <c r="F7946" s="398"/>
      <c r="G7946" s="398"/>
      <c r="H7946" s="398"/>
    </row>
    <row r="7947" spans="1:8" ht="15.75" customHeight="1" x14ac:dyDescent="0.25">
      <c r="A7947" s="390"/>
      <c r="B7947" s="390"/>
      <c r="C7947" s="390"/>
      <c r="D7947" s="391"/>
      <c r="E7947" s="390"/>
      <c r="F7947" s="395" t="s">
        <v>18</v>
      </c>
      <c r="G7947" s="396" t="s">
        <v>935</v>
      </c>
      <c r="H7947" s="397"/>
    </row>
    <row r="7948" spans="1:8" ht="15.75" customHeight="1" x14ac:dyDescent="0.25">
      <c r="A7948" s="390" t="s">
        <v>20</v>
      </c>
      <c r="B7948" s="390"/>
      <c r="C7948" s="390"/>
      <c r="D7948" s="391"/>
      <c r="E7948" s="390"/>
      <c r="F7948" s="395" t="s">
        <v>21</v>
      </c>
      <c r="G7948" s="390" t="s">
        <v>1438</v>
      </c>
      <c r="H7948" s="391"/>
    </row>
    <row r="7949" spans="1:8" ht="15.75" customHeight="1" x14ac:dyDescent="0.25">
      <c r="A7949" s="390" t="inlineStr">
        <is>
          <t>Dealer-009</t>
        </is>
      </c>
      <c r="B7949" s="390"/>
      <c r="C7949" s="390" t="inlineStr">
        <is>
          <t>ATTN: Contact-001</t>
        </is>
      </c>
      <c r="D7949" s="391"/>
      <c r="E7949" s="395"/>
      <c r="F7949" s="390"/>
      <c r="G7949" s="390"/>
      <c r="H7949" s="394"/>
    </row>
    <row r="7950" spans="1:8" ht="15.75" customHeight="1" x14ac:dyDescent="0.25">
      <c r="A7950" s="390" t="inlineStr">
        <is>
          <t>Address line (redacted)</t>
        </is>
      </c>
      <c r="B7950" s="390"/>
      <c r="C7950" s="390"/>
      <c r="D7950" s="398"/>
      <c r="E7950" s="390"/>
      <c r="F7950" s="391"/>
      <c r="G7950" s="390"/>
      <c r="H7950" s="394"/>
    </row>
    <row r="7951" spans="1:8" ht="15.75" customHeight="1" x14ac:dyDescent="0.25">
      <c r="A7951" s="390" t="inlineStr">
        <is>
          <t>Address line (redacted)</t>
        </is>
      </c>
      <c r="B7951" s="390"/>
      <c r="C7951" s="390"/>
      <c r="D7951" s="398"/>
      <c r="E7951" s="390"/>
      <c r="F7951" s="391"/>
      <c r="G7951" s="390"/>
      <c r="H7951" s="394"/>
    </row>
    <row r="7952" spans="1:8" ht="15.75" customHeight="1" x14ac:dyDescent="0.25">
      <c r="A7952" s="447"/>
      <c r="B7952" s="390"/>
      <c r="C7952" s="390"/>
      <c r="D7952" s="391"/>
      <c r="E7952" s="390"/>
      <c r="F7952" s="391"/>
      <c r="G7952" s="390"/>
      <c r="H7952" s="394"/>
    </row>
    <row r="7953" spans="1:8" ht="15.75" customHeight="1" x14ac:dyDescent="0.25">
      <c r="A7953" s="390" t="s">
        <v>30</v>
      </c>
      <c r="B7953" s="390"/>
      <c r="C7953" s="390"/>
      <c r="D7953" s="391"/>
      <c r="E7953" s="390"/>
      <c r="F7953" s="391"/>
      <c r="G7953" s="390"/>
      <c r="H7953" s="394"/>
    </row>
    <row r="7954" spans="1:8" ht="15.75" customHeight="1" x14ac:dyDescent="0.25">
      <c r="A7954" s="390" t="s">
        <v>1322</v>
      </c>
      <c r="B7954" s="390"/>
      <c r="C7954" s="390"/>
      <c r="D7954" s="391"/>
      <c r="E7954" s="390"/>
      <c r="F7954" s="391"/>
      <c r="G7954" s="390"/>
      <c r="H7954" s="394"/>
    </row>
    <row r="7955" spans="1:8" ht="15.75" customHeight="1" x14ac:dyDescent="0.25">
      <c r="A7955" s="390" t="s">
        <v>1328</v>
      </c>
      <c r="B7955" s="390"/>
      <c r="C7955" s="390"/>
      <c r="D7955" s="391"/>
      <c r="E7955" s="390"/>
      <c r="F7955" s="391"/>
      <c r="G7955" s="390"/>
      <c r="H7955" s="394"/>
    </row>
    <row r="7956" spans="1:8" ht="15.75" customHeight="1" x14ac:dyDescent="0.25">
      <c r="A7956" s="399" t="s">
        <v>33</v>
      </c>
      <c r="B7956" s="400" t="s">
        <v>6</v>
      </c>
      <c r="C7956" s="400"/>
      <c r="D7956" s="401" t="s">
        <v>37</v>
      </c>
      <c r="E7956" s="402" t="s">
        <v>38</v>
      </c>
      <c r="F7956" s="403" t="s">
        <v>7</v>
      </c>
      <c r="G7956" s="404" t="s">
        <v>43</v>
      </c>
      <c r="H7956" s="405" t="s">
        <v>44</v>
      </c>
    </row>
    <row r="7957" spans="1:8" ht="15.75" customHeight="1" x14ac:dyDescent="0.25">
      <c r="A7957" s="406"/>
      <c r="B7957" s="407"/>
      <c r="C7957" s="393"/>
      <c r="D7957" s="408"/>
      <c r="E7957" s="408"/>
      <c r="F7957" s="409"/>
      <c r="G7957" s="410"/>
      <c r="H7957" s="411"/>
    </row>
    <row r="7958" spans="1:8" ht="15.75" customHeight="1" x14ac:dyDescent="0.25">
      <c r="A7958" s="556"/>
      <c r="B7958" s="557" t="s">
        <v>73</v>
      </c>
      <c r="C7958" s="558"/>
      <c r="D7958" s="408"/>
      <c r="E7958" s="408"/>
      <c r="F7958" s="398"/>
      <c r="G7958" s="408"/>
      <c r="H7958" s="559"/>
    </row>
    <row r="7959" spans="1:8" ht="15.75" customHeight="1" x14ac:dyDescent="0.25">
      <c r="A7959" s="425" t="s">
        <v>55</v>
      </c>
      <c r="B7959" s="448">
        <v>507</v>
      </c>
      <c r="C7959" s="507" t="s">
        <v>1815</v>
      </c>
      <c r="D7959" s="427">
        <v>1</v>
      </c>
      <c r="E7959" s="427">
        <v>100</v>
      </c>
      <c r="F7959" s="391">
        <f>+E7959*D7959</f>
      </c>
      <c r="G7959" s="427">
        <v>1</v>
      </c>
      <c r="H7959" s="429">
        <f>+G7959*F7959</f>
      </c>
    </row>
    <row r="7960" spans="1:8" ht="15.75" customHeight="1" x14ac:dyDescent="0.25">
      <c r="A7960" s="425"/>
      <c r="B7960" s="557" t="s">
        <v>1816</v>
      </c>
      <c r="C7960" s="558"/>
      <c r="D7960" s="427"/>
      <c r="E7960" s="427"/>
      <c r="F7960" s="391"/>
      <c r="G7960" s="427"/>
      <c r="H7960" s="429"/>
    </row>
    <row r="7961" spans="1:8" ht="15.75" customHeight="1" x14ac:dyDescent="0.25">
      <c r="A7961" s="425" t="s">
        <v>59</v>
      </c>
      <c r="B7961" s="448" t="s">
        <v>1817</v>
      </c>
      <c r="C7961" s="507" t="s">
        <v>5</v>
      </c>
      <c r="D7961" s="427">
        <v>2</v>
      </c>
      <c r="E7961" s="427">
        <v>24</v>
      </c>
      <c r="F7961" s="391">
        <f t="shared" ref="F7961:F7962" si="238">+E7961*D7961</f>
      </c>
      <c r="G7961" s="427">
        <v>1</v>
      </c>
      <c r="H7961" s="429">
        <f t="shared" ref="H7961:H7962" si="239">+G7961*F7961</f>
      </c>
    </row>
    <row r="7962" spans="1:8" ht="15.75" customHeight="1" x14ac:dyDescent="0.25">
      <c r="A7962" s="425" t="s">
        <v>67</v>
      </c>
      <c r="B7962" s="448" t="s">
        <v>1453</v>
      </c>
      <c r="C7962" s="507" t="s">
        <v>12</v>
      </c>
      <c r="D7962" s="427">
        <v>2</v>
      </c>
      <c r="E7962" s="427">
        <v>24</v>
      </c>
      <c r="F7962" s="391">
        <f t="shared" si="238"/>
      </c>
      <c r="G7962" s="427">
        <v>1</v>
      </c>
      <c r="H7962" s="429">
        <f t="shared" si="239"/>
      </c>
    </row>
    <row r="7963" spans="1:8" ht="15.75" customHeight="1" x14ac:dyDescent="0.25">
      <c r="A7963" s="425"/>
      <c r="B7963" s="557" t="s">
        <v>674</v>
      </c>
      <c r="C7963" s="558"/>
      <c r="D7963" s="427"/>
      <c r="E7963" s="427"/>
      <c r="F7963" s="391"/>
      <c r="G7963" s="427"/>
      <c r="H7963" s="429"/>
    </row>
    <row r="7964" spans="1:8" ht="15.75" customHeight="1" x14ac:dyDescent="0.25">
      <c r="A7964" s="425" t="s">
        <v>485</v>
      </c>
      <c r="B7964" s="448" t="s">
        <v>1076</v>
      </c>
      <c r="C7964" s="451" t="s">
        <v>1164</v>
      </c>
      <c r="D7964" s="427">
        <v>20</v>
      </c>
      <c r="E7964" s="427">
        <v>1</v>
      </c>
      <c r="F7964" s="391">
        <f t="shared" ref="F7964:F7965" si="240">+E7964*D7964</f>
      </c>
      <c r="G7964" s="427">
        <v>1</v>
      </c>
      <c r="H7964" s="429">
        <f>+G7964*F7964</f>
      </c>
    </row>
    <row r="7965" spans="1:8" ht="15.75" customHeight="1" x14ac:dyDescent="0.25">
      <c r="A7965" s="502" t="s">
        <v>486</v>
      </c>
      <c r="B7965" s="503" t="s">
        <v>1434</v>
      </c>
      <c r="C7965" s="390"/>
      <c r="D7965" s="427">
        <v>2</v>
      </c>
      <c r="E7965" s="427">
        <v>10</v>
      </c>
      <c r="F7965" s="391">
        <f t="shared" si="240"/>
      </c>
      <c r="G7965" s="675" t="s">
        <v>1435</v>
      </c>
      <c r="H7965" s="429"/>
    </row>
    <row r="7966" spans="1:8" ht="15.75" customHeight="1" x14ac:dyDescent="0.25">
      <c r="A7966" s="502"/>
      <c r="B7966" s="557" t="s">
        <v>590</v>
      </c>
      <c r="C7966" s="558"/>
      <c r="D7966" s="427"/>
      <c r="E7966" s="427"/>
      <c r="F7966" s="391"/>
      <c r="G7966" s="675"/>
      <c r="H7966" s="429"/>
    </row>
    <row r="7967" spans="1:8" ht="15.75" customHeight="1" x14ac:dyDescent="0.25">
      <c r="A7967" s="502" t="s">
        <v>489</v>
      </c>
      <c r="B7967" s="448" t="s">
        <v>127</v>
      </c>
      <c r="C7967" s="507" t="s">
        <v>398</v>
      </c>
      <c r="D7967" s="427">
        <v>1</v>
      </c>
      <c r="E7967" s="427">
        <v>6</v>
      </c>
      <c r="F7967" s="391">
        <f t="shared" ref="F7967:F7969" si="241">+E7967*D7967</f>
      </c>
      <c r="G7967" s="427">
        <v>1</v>
      </c>
      <c r="H7967" s="429">
        <f t="shared" ref="H7967:H7969" si="242">+G7967*F7967</f>
      </c>
    </row>
    <row r="7968" spans="1:8" ht="15.75" customHeight="1" x14ac:dyDescent="0.25">
      <c r="A7968" s="502" t="s">
        <v>490</v>
      </c>
      <c r="B7968" s="718" t="s">
        <v>68</v>
      </c>
      <c r="C7968" s="507" t="s">
        <v>375</v>
      </c>
      <c r="D7968" s="427">
        <v>6</v>
      </c>
      <c r="E7968" s="427">
        <v>1</v>
      </c>
      <c r="F7968" s="391">
        <f t="shared" si="241"/>
      </c>
      <c r="G7968" s="427">
        <v>1</v>
      </c>
      <c r="H7968" s="429">
        <f t="shared" si="242"/>
      </c>
    </row>
    <row r="7969" spans="1:8" ht="15.75" customHeight="1" x14ac:dyDescent="0.25">
      <c r="A7969" s="502" t="s">
        <v>781</v>
      </c>
      <c r="B7969" s="718" t="s">
        <v>1718</v>
      </c>
      <c r="C7969" s="507" t="s">
        <v>379</v>
      </c>
      <c r="D7969" s="427">
        <v>1</v>
      </c>
      <c r="E7969" s="427">
        <v>6</v>
      </c>
      <c r="F7969" s="391">
        <f t="shared" si="241"/>
      </c>
      <c r="G7969" s="427">
        <v>1</v>
      </c>
      <c r="H7969" s="429">
        <f t="shared" si="242"/>
      </c>
    </row>
    <row r="7970" spans="1:8" ht="15.75" customHeight="1" x14ac:dyDescent="0.25">
      <c r="A7970" s="502"/>
      <c r="B7970" s="557" t="s">
        <v>1356</v>
      </c>
      <c r="C7970" s="558"/>
      <c r="D7970" s="427"/>
      <c r="E7970" s="427"/>
      <c r="F7970" s="391"/>
      <c r="G7970" s="675"/>
      <c r="H7970" s="429"/>
    </row>
    <row r="7971" spans="1:8" ht="15.75" customHeight="1" x14ac:dyDescent="0.25">
      <c r="A7971" s="502" t="s">
        <v>785</v>
      </c>
      <c r="B7971" s="503" t="s">
        <v>125</v>
      </c>
      <c r="C7971" s="390" t="s">
        <v>324</v>
      </c>
      <c r="D7971" s="427">
        <v>2</v>
      </c>
      <c r="E7971" s="427">
        <v>5</v>
      </c>
      <c r="F7971" s="391">
        <f t="shared" ref="F7971:F7978" si="243">+E7971*D7971</f>
      </c>
      <c r="G7971" s="427">
        <v>1</v>
      </c>
      <c r="H7971" s="429">
        <f t="shared" ref="H7971:H7978" si="244">+G7971*F7971</f>
      </c>
    </row>
    <row r="7972" spans="1:8" ht="15.75" customHeight="1" x14ac:dyDescent="0.25">
      <c r="A7972" s="502" t="s">
        <v>787</v>
      </c>
      <c r="B7972" s="503" t="s">
        <v>131</v>
      </c>
      <c r="C7972" s="390" t="s">
        <v>329</v>
      </c>
      <c r="D7972" s="427">
        <v>2</v>
      </c>
      <c r="E7972" s="427">
        <v>5</v>
      </c>
      <c r="F7972" s="391">
        <f t="shared" si="243"/>
      </c>
      <c r="G7972" s="427">
        <v>1</v>
      </c>
      <c r="H7972" s="429">
        <f t="shared" si="244"/>
      </c>
    </row>
    <row r="7973" spans="1:8" ht="15.75" customHeight="1" x14ac:dyDescent="0.25">
      <c r="A7973" s="502" t="s">
        <v>790</v>
      </c>
      <c r="B7973" s="503" t="s">
        <v>127</v>
      </c>
      <c r="C7973" s="390" t="s">
        <v>326</v>
      </c>
      <c r="D7973" s="427">
        <v>2</v>
      </c>
      <c r="E7973" s="427">
        <v>5</v>
      </c>
      <c r="F7973" s="391">
        <f t="shared" si="243"/>
      </c>
      <c r="G7973" s="427">
        <v>1</v>
      </c>
      <c r="H7973" s="429">
        <f t="shared" si="244"/>
      </c>
    </row>
    <row r="7974" spans="1:8" ht="15.75" customHeight="1" x14ac:dyDescent="0.25">
      <c r="A7974" s="502" t="s">
        <v>792</v>
      </c>
      <c r="B7974" s="503" t="s">
        <v>120</v>
      </c>
      <c r="C7974" s="390" t="s">
        <v>298</v>
      </c>
      <c r="D7974" s="427">
        <v>1</v>
      </c>
      <c r="E7974" s="427">
        <v>5</v>
      </c>
      <c r="F7974" s="391">
        <f t="shared" si="243"/>
      </c>
      <c r="G7974" s="427">
        <v>1</v>
      </c>
      <c r="H7974" s="429">
        <f t="shared" si="244"/>
      </c>
    </row>
    <row r="7975" spans="1:8" ht="15.75" customHeight="1" x14ac:dyDescent="0.25">
      <c r="A7975" s="502" t="s">
        <v>796</v>
      </c>
      <c r="B7975" s="503" t="s">
        <v>618</v>
      </c>
      <c r="C7975" s="390" t="s">
        <v>87</v>
      </c>
      <c r="D7975" s="427">
        <v>2</v>
      </c>
      <c r="E7975" s="427">
        <v>5</v>
      </c>
      <c r="F7975" s="391">
        <f t="shared" si="243"/>
      </c>
      <c r="G7975" s="427">
        <v>1</v>
      </c>
      <c r="H7975" s="429">
        <f t="shared" si="244"/>
      </c>
    </row>
    <row r="7976" spans="1:8" ht="15.75" customHeight="1" x14ac:dyDescent="0.25">
      <c r="A7976" s="502" t="s">
        <v>1571</v>
      </c>
      <c r="B7976" s="503" t="s">
        <v>139</v>
      </c>
      <c r="C7976" s="390" t="s">
        <v>336</v>
      </c>
      <c r="D7976" s="427">
        <v>1</v>
      </c>
      <c r="E7976" s="427">
        <v>5</v>
      </c>
      <c r="F7976" s="391">
        <f t="shared" si="243"/>
      </c>
      <c r="G7976" s="427">
        <v>1</v>
      </c>
      <c r="H7976" s="429">
        <f t="shared" si="244"/>
      </c>
    </row>
    <row r="7977" spans="1:8" ht="15.75" customHeight="1" x14ac:dyDescent="0.25">
      <c r="A7977" s="502" t="s">
        <v>1572</v>
      </c>
      <c r="B7977" s="503" t="s">
        <v>655</v>
      </c>
      <c r="C7977" s="390" t="s">
        <v>94</v>
      </c>
      <c r="D7977" s="427">
        <v>1</v>
      </c>
      <c r="E7977" s="427">
        <v>5</v>
      </c>
      <c r="F7977" s="391">
        <f t="shared" si="243"/>
      </c>
      <c r="G7977" s="427">
        <v>1</v>
      </c>
      <c r="H7977" s="429">
        <f t="shared" si="244"/>
      </c>
    </row>
    <row r="7978" spans="1:8" ht="15.75" customHeight="1" x14ac:dyDescent="0.25">
      <c r="A7978" s="502">
        <v>16</v>
      </c>
      <c r="B7978" s="503" t="s">
        <v>63</v>
      </c>
      <c r="C7978" s="390" t="s">
        <v>54</v>
      </c>
      <c r="D7978" s="427">
        <v>1</v>
      </c>
      <c r="E7978" s="427">
        <v>5</v>
      </c>
      <c r="F7978" s="391">
        <f t="shared" si="243"/>
      </c>
      <c r="G7978" s="427">
        <v>1</v>
      </c>
      <c r="H7978" s="429">
        <f t="shared" si="244"/>
      </c>
    </row>
    <row r="7979" spans="1:8" ht="15.75" customHeight="1" x14ac:dyDescent="0.25">
      <c r="A7979" s="502"/>
      <c r="B7979" s="557" t="s">
        <v>1819</v>
      </c>
      <c r="C7979" s="558"/>
      <c r="D7979" s="427"/>
      <c r="E7979" s="427"/>
      <c r="F7979" s="391"/>
      <c r="G7979" s="427"/>
      <c r="H7979" s="429"/>
    </row>
    <row r="7980" spans="1:8" ht="15.75" customHeight="1" x14ac:dyDescent="0.25">
      <c r="A7980" s="502" t="s">
        <v>1573</v>
      </c>
      <c r="B7980" s="718" t="s">
        <v>1631</v>
      </c>
      <c r="C7980" s="567"/>
      <c r="D7980" s="427">
        <v>2</v>
      </c>
      <c r="E7980" s="427">
        <v>10</v>
      </c>
      <c r="F7980" s="391">
        <f>+E7980*D7980</f>
      </c>
      <c r="G7980" s="427">
        <v>1</v>
      </c>
      <c r="H7980" s="429">
        <f>+G7980*F7980</f>
      </c>
    </row>
    <row r="7981" spans="1:8" ht="15.75" customHeight="1" x14ac:dyDescent="0.25">
      <c r="A7981" s="502"/>
      <c r="B7981" s="557" t="s">
        <v>1820</v>
      </c>
      <c r="C7981" s="558"/>
      <c r="D7981" s="427"/>
      <c r="E7981" s="427"/>
      <c r="F7981" s="391"/>
      <c r="G7981" s="427"/>
      <c r="H7981" s="429"/>
    </row>
    <row r="7982" spans="1:8" ht="15.75" customHeight="1" x14ac:dyDescent="0.25">
      <c r="A7982" s="502" t="s">
        <v>2138</v>
      </c>
      <c r="B7982" s="718" t="s">
        <v>1505</v>
      </c>
      <c r="C7982" s="567"/>
      <c r="D7982" s="427">
        <v>1</v>
      </c>
      <c r="E7982" s="427">
        <v>100</v>
      </c>
      <c r="F7982" s="391">
        <f t="shared" ref="F7982:F7984" si="245">+E7982*D7982</f>
      </c>
      <c r="G7982" s="427">
        <v>1</v>
      </c>
      <c r="H7982" s="429">
        <f t="shared" ref="H7982:H7984" si="246">+G7982*F7982</f>
      </c>
    </row>
    <row r="7983" spans="1:8" ht="15.75" customHeight="1" x14ac:dyDescent="0.25">
      <c r="A7983" s="502" t="s">
        <v>2139</v>
      </c>
      <c r="B7983" s="718" t="s">
        <v>1474</v>
      </c>
      <c r="C7983" s="567"/>
      <c r="D7983" s="427">
        <v>2</v>
      </c>
      <c r="E7983" s="427">
        <v>100</v>
      </c>
      <c r="F7983" s="391">
        <f t="shared" si="245"/>
      </c>
      <c r="G7983" s="427">
        <v>1</v>
      </c>
      <c r="H7983" s="429">
        <f t="shared" si="246"/>
      </c>
    </row>
    <row r="7984" spans="1:8" ht="15.75" customHeight="1" x14ac:dyDescent="0.25">
      <c r="A7984" s="502" t="s">
        <v>2140</v>
      </c>
      <c r="B7984" s="718" t="s">
        <v>1821</v>
      </c>
      <c r="C7984" s="567"/>
      <c r="D7984" s="427">
        <v>3</v>
      </c>
      <c r="E7984" s="427">
        <v>100</v>
      </c>
      <c r="F7984" s="391">
        <f t="shared" si="245"/>
      </c>
      <c r="G7984" s="427">
        <v>1</v>
      </c>
      <c r="H7984" s="429">
        <f t="shared" si="246"/>
      </c>
    </row>
    <row r="7985" spans="1:8" ht="15.75" customHeight="1" x14ac:dyDescent="0.25">
      <c r="A7985" s="432"/>
      <c r="B7985" s="433"/>
      <c r="C7985" s="434" t="s">
        <v>85</v>
      </c>
      <c r="D7985" s="435">
        <f>SUM(D7959:D7984)</f>
      </c>
      <c r="E7985" s="435"/>
      <c r="F7985" s="436"/>
      <c r="G7985" s="437"/>
      <c r="H7985" s="438">
        <f>SUM(H7959:H7984)</f>
      </c>
    </row>
    <row r="7986" spans="1:8" ht="15.75" customHeight="1" x14ac:dyDescent="0.25">
      <c r="A7986" s="439"/>
      <c r="B7986" s="440"/>
      <c r="C7986" s="440"/>
      <c r="D7986" s="441"/>
      <c r="E7986" s="440"/>
      <c r="F7986" s="442"/>
      <c r="G7986" s="443"/>
      <c r="H7986" s="444"/>
    </row>
    <row r="7987" spans="1:8" ht="15.75" customHeight="1" x14ac:dyDescent="0.25">
      <c r="A7987" s="565" t="s">
        <v>1215</v>
      </c>
      <c r="B7987" s="565"/>
      <c r="C7987" s="565"/>
      <c r="D7987" s="565"/>
      <c r="E7987" s="565"/>
      <c r="F7987" s="565"/>
      <c r="G7987" s="565"/>
      <c r="H7987" s="565"/>
    </row>
    <row r="7988" spans="1:8" ht="15.75" customHeight="1" x14ac:dyDescent="0.25">
      <c r="A7988" s="445"/>
      <c r="B7988" s="445"/>
      <c r="C7988" s="445"/>
      <c r="D7988" s="446" t="s">
        <v>97</v>
      </c>
      <c r="E7988" s="445" t="s">
        <v>98</v>
      </c>
      <c r="F7988" s="445"/>
      <c r="G7988" s="390"/>
      <c r="H7988" s="394"/>
    </row>
    <row r="7989" spans="1:8" ht="15.75" customHeight="1" x14ac:dyDescent="0.25">
      <c r="A7989" s="390"/>
      <c r="B7989" s="390"/>
      <c r="C7989" s="390"/>
      <c r="D7989" s="391"/>
      <c r="E7989" s="390"/>
      <c r="F7989" s="390"/>
      <c r="G7989" s="390"/>
      <c r="H7989" s="394"/>
    </row>
    <row r="7990" spans="1:8" ht="15.75" customHeight="1" x14ac:dyDescent="0.25">
      <c r="A7990" s="445"/>
      <c r="B7990" s="445"/>
      <c r="C7990" s="445"/>
      <c r="D7990" s="446"/>
      <c r="E7990" s="445" t="s">
        <v>99</v>
      </c>
      <c r="F7990" s="445"/>
      <c r="G7990" s="390"/>
      <c r="H7990" s="394"/>
    </row>
    <row r="7991" spans="1:8" ht="15.75" customHeight="1" x14ac:dyDescent="0.25">
      <c r="A7991" s="445"/>
      <c r="B7991" s="445"/>
      <c r="C7991" s="445"/>
      <c r="D7991" s="446"/>
      <c r="E7991" s="445"/>
      <c r="F7991" s="445"/>
      <c r="G7991" s="390"/>
      <c r="H7991" s="394"/>
    </row>
    <row r="7992" spans="1:8" ht="15.75" customHeight="1" x14ac:dyDescent="0.25">
      <c r="A7992" s="398" t="s">
        <v>14</v>
      </c>
      <c r="B7992" s="398"/>
      <c r="C7992" s="398"/>
      <c r="D7992" s="398"/>
      <c r="E7992" s="398"/>
      <c r="F7992" s="398"/>
      <c r="G7992" s="398"/>
      <c r="H7992" s="398"/>
    </row>
    <row r="7993" spans="1:8" ht="15.75" customHeight="1" x14ac:dyDescent="0.25">
      <c r="A7993" s="398"/>
      <c r="B7993" s="398"/>
      <c r="C7993" s="398"/>
      <c r="D7993" s="398"/>
      <c r="E7993" s="398"/>
      <c r="F7993" s="398"/>
      <c r="G7993" s="398"/>
      <c r="H7993" s="398"/>
    </row>
    <row r="7994" spans="1:8" ht="15.75" customHeight="1" x14ac:dyDescent="0.25">
      <c r="A7994" s="398"/>
      <c r="B7994" s="398"/>
      <c r="C7994" s="398"/>
      <c r="D7994" s="398"/>
      <c r="E7994" s="398"/>
      <c r="F7994" s="398"/>
      <c r="G7994" s="398"/>
      <c r="H7994" s="398"/>
    </row>
    <row r="7995" spans="1:8" ht="15.75" customHeight="1" x14ac:dyDescent="0.25">
      <c r="A7995" s="390"/>
      <c r="B7995" s="390"/>
      <c r="C7995" s="390"/>
      <c r="D7995" s="391"/>
      <c r="E7995" s="390"/>
      <c r="F7995" s="395" t="s">
        <v>18</v>
      </c>
      <c r="G7995" s="396" t="s">
        <v>941</v>
      </c>
      <c r="H7995" s="397"/>
    </row>
    <row r="7996" spans="1:8" ht="15.75" customHeight="1" x14ac:dyDescent="0.25">
      <c r="A7996" s="390" t="s">
        <v>20</v>
      </c>
      <c r="B7996" s="390"/>
      <c r="C7996" s="390"/>
      <c r="D7996" s="391"/>
      <c r="E7996" s="390"/>
      <c r="F7996" s="395" t="s">
        <v>21</v>
      </c>
      <c r="G7996" s="390" t="s">
        <v>1439</v>
      </c>
      <c r="H7996" s="391"/>
    </row>
    <row r="7997" spans="1:8" ht="15.75" customHeight="1" x14ac:dyDescent="0.25">
      <c r="A7997" s="390" t="inlineStr">
        <is>
          <t>Dealer-009</t>
        </is>
      </c>
      <c r="B7997" s="390"/>
      <c r="C7997" s="390" t="inlineStr">
        <is>
          <t>ATTN: Contact-001</t>
        </is>
      </c>
      <c r="D7997" s="391"/>
      <c r="E7997" s="395"/>
      <c r="F7997" s="390"/>
      <c r="G7997" s="390"/>
      <c r="H7997" s="394"/>
    </row>
    <row r="7998" spans="1:8" ht="15.75" customHeight="1" x14ac:dyDescent="0.25">
      <c r="A7998" s="390" t="inlineStr">
        <is>
          <t>Address line (redacted)</t>
        </is>
      </c>
      <c r="B7998" s="390"/>
      <c r="C7998" s="390"/>
      <c r="D7998" s="398"/>
      <c r="E7998" s="390"/>
      <c r="F7998" s="391"/>
      <c r="G7998" s="390"/>
      <c r="H7998" s="394"/>
    </row>
    <row r="7999" spans="1:8" ht="15.75" customHeight="1" x14ac:dyDescent="0.25">
      <c r="A7999" s="390" t="inlineStr">
        <is>
          <t>Address line (redacted)</t>
        </is>
      </c>
      <c r="B7999" s="390"/>
      <c r="C7999" s="390"/>
      <c r="D7999" s="398"/>
      <c r="E7999" s="390"/>
      <c r="F7999" s="391"/>
      <c r="G7999" s="390"/>
      <c r="H7999" s="394"/>
    </row>
    <row r="8000" spans="1:8" ht="15.75" customHeight="1" x14ac:dyDescent="0.25">
      <c r="A8000" s="447"/>
      <c r="B8000" s="390"/>
      <c r="C8000" s="390"/>
      <c r="D8000" s="391"/>
      <c r="E8000" s="390"/>
      <c r="F8000" s="391"/>
      <c r="G8000" s="390"/>
      <c r="H8000" s="394"/>
    </row>
    <row r="8001" spans="1:8" ht="15.75" customHeight="1" x14ac:dyDescent="0.25">
      <c r="A8001" s="390" t="s">
        <v>30</v>
      </c>
      <c r="B8001" s="390"/>
      <c r="C8001" s="390"/>
      <c r="D8001" s="391"/>
      <c r="E8001" s="390"/>
      <c r="F8001" s="391"/>
      <c r="G8001" s="390"/>
      <c r="H8001" s="394"/>
    </row>
    <row r="8002" spans="1:8" ht="15.75" customHeight="1" x14ac:dyDescent="0.25">
      <c r="A8002" s="390"/>
      <c r="B8002" s="390"/>
      <c r="C8002" s="390"/>
      <c r="D8002" s="391"/>
      <c r="E8002" s="390"/>
      <c r="F8002" s="391"/>
      <c r="G8002" s="390"/>
      <c r="H8002" s="394"/>
    </row>
    <row r="8003" spans="1:8" ht="15.75" customHeight="1" x14ac:dyDescent="0.25">
      <c r="A8003" s="390" t="s">
        <v>1322</v>
      </c>
      <c r="B8003" s="390"/>
      <c r="C8003" s="390"/>
      <c r="D8003" s="391"/>
      <c r="E8003" s="390"/>
      <c r="F8003" s="391"/>
      <c r="G8003" s="390"/>
      <c r="H8003" s="394"/>
    </row>
    <row r="8004" spans="1:8" ht="15.75" customHeight="1" x14ac:dyDescent="0.25">
      <c r="A8004" s="390" t="s">
        <v>1328</v>
      </c>
      <c r="B8004" s="390"/>
      <c r="C8004" s="390"/>
      <c r="D8004" s="391"/>
      <c r="E8004" s="390"/>
      <c r="F8004" s="391"/>
      <c r="G8004" s="390"/>
      <c r="H8004" s="394"/>
    </row>
    <row r="8005" spans="1:8" ht="15.75" customHeight="1" x14ac:dyDescent="0.25">
      <c r="A8005" s="399" t="s">
        <v>33</v>
      </c>
      <c r="B8005" s="400" t="s">
        <v>6</v>
      </c>
      <c r="C8005" s="400"/>
      <c r="D8005" s="401" t="s">
        <v>37</v>
      </c>
      <c r="E8005" s="402" t="s">
        <v>38</v>
      </c>
      <c r="F8005" s="403" t="s">
        <v>7</v>
      </c>
      <c r="G8005" s="404" t="s">
        <v>43</v>
      </c>
      <c r="H8005" s="405" t="s">
        <v>44</v>
      </c>
    </row>
    <row r="8006" spans="1:8" ht="15.75" customHeight="1" x14ac:dyDescent="0.25">
      <c r="A8006" s="406"/>
      <c r="B8006" s="407"/>
      <c r="C8006" s="393"/>
      <c r="D8006" s="408"/>
      <c r="E8006" s="408"/>
      <c r="F8006" s="409"/>
      <c r="G8006" s="410"/>
      <c r="H8006" s="411"/>
    </row>
    <row r="8007" spans="1:8" ht="15.75" customHeight="1" x14ac:dyDescent="0.25">
      <c r="A8007" s="502"/>
      <c r="B8007" s="557" t="s">
        <v>590</v>
      </c>
      <c r="C8007" s="558"/>
      <c r="D8007" s="427"/>
      <c r="E8007" s="427"/>
      <c r="F8007" s="391"/>
      <c r="G8007" s="675"/>
      <c r="H8007" s="429"/>
    </row>
    <row r="8008" spans="1:8" ht="15.75" customHeight="1" x14ac:dyDescent="0.25">
      <c r="A8008" s="502" t="s">
        <v>55</v>
      </c>
      <c r="B8008" s="448" t="s">
        <v>80</v>
      </c>
      <c r="C8008" s="507" t="s">
        <v>376</v>
      </c>
      <c r="D8008" s="427">
        <v>2</v>
      </c>
      <c r="E8008" s="427">
        <v>6</v>
      </c>
      <c r="F8008" s="391">
        <f>+E8008*D8008</f>
      </c>
      <c r="G8008" s="427">
        <v>1</v>
      </c>
      <c r="H8008" s="429">
        <f>+G8008*F8008</f>
      </c>
    </row>
    <row r="8009" spans="1:8" ht="15.75" customHeight="1" x14ac:dyDescent="0.25">
      <c r="A8009" s="502"/>
      <c r="B8009" s="557" t="s">
        <v>1822</v>
      </c>
      <c r="C8009" s="558"/>
      <c r="D8009" s="427"/>
      <c r="E8009" s="427"/>
      <c r="F8009" s="391"/>
      <c r="G8009" s="675"/>
      <c r="H8009" s="429"/>
    </row>
    <row r="8010" spans="1:8" ht="15.75" customHeight="1" x14ac:dyDescent="0.25">
      <c r="A8010" s="502" t="s">
        <v>59</v>
      </c>
      <c r="B8010" s="503" t="s">
        <v>1823</v>
      </c>
      <c r="C8010" s="390"/>
      <c r="D8010" s="427">
        <v>2</v>
      </c>
      <c r="E8010" s="427">
        <v>5</v>
      </c>
      <c r="F8010" s="391">
        <f t="shared" ref="F8010:F8011" si="247">+E8010*D8010</f>
      </c>
      <c r="G8010" s="427">
        <v>1</v>
      </c>
      <c r="H8010" s="429">
        <f t="shared" ref="H8010:H8011" si="248">+G8010*F8010</f>
      </c>
    </row>
    <row r="8011" spans="1:8" ht="15.75" customHeight="1" x14ac:dyDescent="0.25">
      <c r="A8011" s="502" t="s">
        <v>67</v>
      </c>
      <c r="B8011" s="503" t="s">
        <v>1824</v>
      </c>
      <c r="C8011" s="390"/>
      <c r="D8011" s="427">
        <v>1</v>
      </c>
      <c r="E8011" s="427">
        <v>5</v>
      </c>
      <c r="F8011" s="391">
        <f t="shared" si="247"/>
      </c>
      <c r="G8011" s="427">
        <v>1</v>
      </c>
      <c r="H8011" s="429">
        <f t="shared" si="248"/>
      </c>
    </row>
    <row r="8012" spans="1:8" ht="15.75" customHeight="1" x14ac:dyDescent="0.25">
      <c r="A8012" s="502"/>
      <c r="B8012" s="557" t="s">
        <v>1356</v>
      </c>
      <c r="C8012" s="558"/>
      <c r="D8012" s="427"/>
      <c r="E8012" s="427"/>
      <c r="F8012" s="391"/>
      <c r="G8012" s="675"/>
      <c r="H8012" s="429"/>
    </row>
    <row r="8013" spans="1:8" ht="15.75" customHeight="1" x14ac:dyDescent="0.25">
      <c r="A8013" s="502"/>
      <c r="B8013" s="503" t="s">
        <v>63</v>
      </c>
      <c r="C8013" s="390" t="s">
        <v>54</v>
      </c>
      <c r="D8013" s="427">
        <v>1</v>
      </c>
      <c r="E8013" s="427">
        <v>5</v>
      </c>
      <c r="F8013" s="391">
        <f>+E8013*D8013</f>
      </c>
      <c r="G8013" s="427">
        <v>1</v>
      </c>
      <c r="H8013" s="429">
        <f>+G8013*F8013</f>
      </c>
    </row>
    <row r="8014" spans="1:8" ht="15.75" customHeight="1" x14ac:dyDescent="0.25">
      <c r="A8014" s="502"/>
      <c r="B8014" s="557" t="s">
        <v>674</v>
      </c>
      <c r="C8014" s="558"/>
      <c r="D8014" s="427"/>
      <c r="E8014" s="427"/>
      <c r="F8014" s="391"/>
      <c r="G8014" s="427"/>
      <c r="H8014" s="429"/>
    </row>
    <row r="8015" spans="1:8" ht="15.75" customHeight="1" x14ac:dyDescent="0.25">
      <c r="A8015" s="502"/>
      <c r="B8015" s="448" t="s">
        <v>1076</v>
      </c>
      <c r="C8015" s="451" t="s">
        <v>1164</v>
      </c>
      <c r="D8015" s="427">
        <v>10</v>
      </c>
      <c r="E8015" s="427">
        <v>1</v>
      </c>
      <c r="F8015" s="391">
        <f t="shared" ref="F8015:F8016" si="249">+E8015*D8015</f>
      </c>
      <c r="G8015" s="427">
        <v>1</v>
      </c>
      <c r="H8015" s="429">
        <f>+G8015*F8015</f>
      </c>
    </row>
    <row r="8016" spans="1:8" ht="15.75" customHeight="1" x14ac:dyDescent="0.25">
      <c r="A8016" s="502"/>
      <c r="B8016" s="503" t="s">
        <v>1434</v>
      </c>
      <c r="C8016" s="390"/>
      <c r="D8016" s="427">
        <v>1</v>
      </c>
      <c r="E8016" s="427">
        <v>10</v>
      </c>
      <c r="F8016" s="391">
        <f t="shared" si="249"/>
      </c>
      <c r="G8016" s="675" t="s">
        <v>1435</v>
      </c>
      <c r="H8016" s="429"/>
    </row>
    <row r="8017" spans="1:8" ht="15.75" customHeight="1" x14ac:dyDescent="0.25">
      <c r="A8017" s="432"/>
      <c r="B8017" s="433"/>
      <c r="C8017" s="434" t="s">
        <v>85</v>
      </c>
      <c r="D8017" s="435">
        <f>SUM(D8008:D8016)</f>
      </c>
      <c r="E8017" s="435"/>
      <c r="F8017" s="436"/>
      <c r="G8017" s="437"/>
      <c r="H8017" s="438">
        <f>SUM(H8008:H8016)</f>
      </c>
    </row>
    <row r="8018" spans="1:8" ht="15.75" customHeight="1" x14ac:dyDescent="0.25">
      <c r="A8018" s="439"/>
      <c r="B8018" s="440"/>
      <c r="C8018" s="440"/>
      <c r="D8018" s="441"/>
      <c r="E8018" s="440"/>
      <c r="F8018" s="442"/>
      <c r="G8018" s="443"/>
      <c r="H8018" s="444"/>
    </row>
    <row r="8019" spans="1:8" ht="15.75" customHeight="1" x14ac:dyDescent="0.25">
      <c r="A8019" s="565" t="s">
        <v>1215</v>
      </c>
      <c r="B8019" s="565"/>
      <c r="C8019" s="565"/>
      <c r="D8019" s="565"/>
      <c r="E8019" s="565"/>
      <c r="F8019" s="565"/>
      <c r="G8019" s="565"/>
      <c r="H8019" s="565"/>
    </row>
    <row r="8020" spans="1:8" ht="15.75" customHeight="1" x14ac:dyDescent="0.25">
      <c r="A8020" s="445"/>
      <c r="B8020" s="445"/>
      <c r="C8020" s="445"/>
      <c r="D8020" s="446" t="s">
        <v>97</v>
      </c>
      <c r="E8020" s="445" t="s">
        <v>98</v>
      </c>
      <c r="F8020" s="445"/>
      <c r="G8020" s="390"/>
      <c r="H8020" s="394"/>
    </row>
    <row r="8021" spans="1:8" ht="15.75" customHeight="1" x14ac:dyDescent="0.25">
      <c r="A8021" s="445"/>
      <c r="B8021" s="445"/>
      <c r="C8021" s="445"/>
      <c r="D8021" s="446"/>
      <c r="E8021" s="445"/>
      <c r="F8021" s="445"/>
      <c r="G8021" s="390"/>
      <c r="H8021" s="394"/>
    </row>
    <row r="8022" spans="1:8" ht="15.75" customHeight="1" x14ac:dyDescent="0.25">
      <c r="A8022" s="445"/>
      <c r="B8022" s="445"/>
      <c r="C8022" s="445"/>
      <c r="D8022" s="446"/>
      <c r="E8022" s="445"/>
      <c r="F8022" s="445"/>
      <c r="G8022" s="390"/>
      <c r="H8022" s="394"/>
    </row>
    <row r="8023" spans="1:8" ht="15.75" customHeight="1" x14ac:dyDescent="0.25">
      <c r="A8023" s="390"/>
      <c r="B8023" s="390"/>
      <c r="C8023" s="390"/>
      <c r="D8023" s="391"/>
      <c r="E8023" s="390"/>
      <c r="F8023" s="390"/>
      <c r="G8023" s="390"/>
      <c r="H8023" s="394"/>
    </row>
    <row r="8024" spans="1:8" ht="15.75" customHeight="1" x14ac:dyDescent="0.25">
      <c r="A8024" s="445"/>
      <c r="B8024" s="445"/>
      <c r="C8024" s="445"/>
      <c r="D8024" s="446"/>
      <c r="E8024" s="445" t="s">
        <v>99</v>
      </c>
      <c r="F8024" s="445"/>
      <c r="G8024" s="390"/>
      <c r="H8024" s="394"/>
    </row>
    <row r="8025" spans="1:8" ht="15.75" customHeight="1" x14ac:dyDescent="0.25">
      <c r="D8025" s="4"/>
      <c r="H8025" s="4"/>
    </row>
    <row r="8026" spans="1:8" ht="15.75" customHeight="1" x14ac:dyDescent="0.25">
      <c r="D8026" s="4"/>
      <c r="H8026" s="4"/>
    </row>
    <row r="8027" spans="1:8" ht="15.75" customHeight="1" x14ac:dyDescent="0.25">
      <c r="D8027" s="4"/>
      <c r="H8027" s="4"/>
    </row>
    <row r="8028" spans="1:8" ht="15.75" customHeight="1" x14ac:dyDescent="0.25">
      <c r="D8028" s="4"/>
      <c r="H8028" s="4"/>
    </row>
    <row r="8029" spans="1:8" ht="15.75" customHeight="1" x14ac:dyDescent="0.25">
      <c r="D8029" s="4"/>
      <c r="H8029" s="4"/>
    </row>
    <row r="8030" spans="1:8" ht="15.75" customHeight="1" x14ac:dyDescent="0.25">
      <c r="D8030" s="4"/>
      <c r="H8030" s="4"/>
    </row>
    <row r="8031" spans="1:8" ht="15.75" customHeight="1" x14ac:dyDescent="0.25">
      <c r="D8031" s="4"/>
      <c r="H8031" s="4"/>
    </row>
    <row r="8032" spans="1:8" ht="15.75" customHeight="1" x14ac:dyDescent="0.25">
      <c r="D8032" s="4"/>
      <c r="H8032" s="4"/>
    </row>
    <row r="8033" spans="1:8" ht="15.75" customHeight="1" x14ac:dyDescent="0.25">
      <c r="D8033" s="4"/>
      <c r="H8033" s="4"/>
    </row>
    <row r="8034" spans="1:8" ht="15.75" customHeight="1" x14ac:dyDescent="0.25">
      <c r="D8034" s="4"/>
      <c r="H8034" s="4"/>
    </row>
    <row r="8035" spans="1:8" ht="15.75" customHeight="1" x14ac:dyDescent="0.25">
      <c r="D8035" s="4"/>
      <c r="H8035" s="4"/>
    </row>
    <row r="8036" spans="1:8" ht="15.75" customHeight="1" x14ac:dyDescent="0.25">
      <c r="D8036" s="4"/>
      <c r="H8036" s="4"/>
    </row>
    <row r="8037" spans="1:8" ht="15.75" customHeight="1" x14ac:dyDescent="0.25">
      <c r="D8037" s="4"/>
      <c r="H8037" s="4"/>
    </row>
    <row r="8038" spans="1:8" ht="15.75" customHeight="1" x14ac:dyDescent="0.25">
      <c r="A8038" s="398" t="s">
        <v>14</v>
      </c>
      <c r="B8038" s="398"/>
      <c r="C8038" s="398"/>
      <c r="D8038" s="398"/>
      <c r="E8038" s="398"/>
      <c r="F8038" s="398"/>
      <c r="G8038" s="398"/>
      <c r="H8038" s="398"/>
    </row>
    <row r="8039" spans="1:8" ht="15.75" customHeight="1" x14ac:dyDescent="0.25">
      <c r="A8039" s="398"/>
      <c r="B8039" s="398"/>
      <c r="C8039" s="398"/>
      <c r="D8039" s="398"/>
      <c r="E8039" s="398"/>
      <c r="F8039" s="398"/>
      <c r="G8039" s="398"/>
      <c r="H8039" s="398"/>
    </row>
    <row r="8040" spans="1:8" ht="15.75" customHeight="1" x14ac:dyDescent="0.25">
      <c r="A8040" s="398"/>
      <c r="B8040" s="398"/>
      <c r="C8040" s="398"/>
      <c r="D8040" s="398"/>
      <c r="E8040" s="398"/>
      <c r="F8040" s="398"/>
      <c r="G8040" s="398"/>
      <c r="H8040" s="398"/>
    </row>
    <row r="8041" spans="1:8" ht="15.75" customHeight="1" x14ac:dyDescent="0.25">
      <c r="A8041" s="390"/>
      <c r="B8041" s="390"/>
      <c r="C8041" s="390"/>
      <c r="D8041" s="391"/>
      <c r="E8041" s="390"/>
      <c r="F8041" s="395" t="s">
        <v>18</v>
      </c>
      <c r="G8041" s="396" t="s">
        <v>941</v>
      </c>
      <c r="H8041" s="397"/>
    </row>
    <row r="8042" spans="1:8" ht="15.75" customHeight="1" x14ac:dyDescent="0.25">
      <c r="A8042" s="390" t="s">
        <v>20</v>
      </c>
      <c r="B8042" s="390"/>
      <c r="C8042" s="390"/>
      <c r="D8042" s="391"/>
      <c r="E8042" s="390"/>
      <c r="F8042" s="395" t="s">
        <v>21</v>
      </c>
      <c r="G8042" s="390" t="s">
        <v>1825</v>
      </c>
      <c r="H8042" s="391"/>
    </row>
    <row r="8043" spans="1:8" ht="15.75" customHeight="1" x14ac:dyDescent="0.25">
      <c r="A8043" s="390" t="inlineStr">
        <is>
          <t>Dealer-018</t>
        </is>
      </c>
      <c r="B8043" s="390"/>
      <c r="C8043" s="390"/>
      <c r="D8043" s="391"/>
      <c r="E8043" s="395"/>
      <c r="F8043" s="390"/>
      <c r="G8043" s="390"/>
      <c r="H8043" s="394"/>
    </row>
    <row r="8044" spans="1:8" ht="15.75" customHeight="1" x14ac:dyDescent="0.25">
      <c r="A8044" s="390" t="inlineStr">
        <is>
          <t>Address line (redacted)</t>
        </is>
      </c>
      <c r="B8044" s="390"/>
      <c r="C8044" s="390"/>
      <c r="D8044" s="398"/>
      <c r="E8044" s="390"/>
      <c r="F8044" s="391"/>
      <c r="G8044" s="390"/>
      <c r="H8044" s="394"/>
    </row>
    <row r="8045" spans="1:8" ht="15.75" customHeight="1" x14ac:dyDescent="0.25">
      <c r="A8045" s="390"/>
      <c r="B8045" s="390"/>
      <c r="C8045" s="390"/>
      <c r="D8045" s="398"/>
      <c r="E8045" s="390"/>
      <c r="F8045" s="391"/>
      <c r="G8045" s="390"/>
      <c r="H8045" s="394"/>
    </row>
    <row r="8046" spans="1:8" ht="15.75" customHeight="1" x14ac:dyDescent="0.25">
      <c r="A8046" s="447"/>
      <c r="B8046" s="390"/>
      <c r="C8046" s="390"/>
      <c r="D8046" s="391"/>
      <c r="E8046" s="390"/>
      <c r="F8046" s="391"/>
      <c r="G8046" s="390"/>
      <c r="H8046" s="394"/>
    </row>
    <row r="8047" spans="1:8" ht="15.75" customHeight="1" x14ac:dyDescent="0.25">
      <c r="A8047" s="390" t="s">
        <v>30</v>
      </c>
      <c r="B8047" s="390"/>
      <c r="C8047" s="390"/>
      <c r="D8047" s="391"/>
      <c r="E8047" s="390"/>
      <c r="F8047" s="391"/>
      <c r="G8047" s="390"/>
      <c r="H8047" s="394"/>
    </row>
    <row r="8048" spans="1:8" ht="15.75" customHeight="1" x14ac:dyDescent="0.25">
      <c r="A8048" s="390"/>
      <c r="B8048" s="390"/>
      <c r="C8048" s="390"/>
      <c r="D8048" s="391"/>
      <c r="E8048" s="390"/>
      <c r="F8048" s="391"/>
      <c r="G8048" s="390"/>
      <c r="H8048" s="394"/>
    </row>
    <row r="8049" spans="1:8" ht="15.75" customHeight="1" x14ac:dyDescent="0.25">
      <c r="A8049" s="390" t="s">
        <v>1322</v>
      </c>
      <c r="B8049" s="390"/>
      <c r="C8049" s="390"/>
      <c r="D8049" s="391"/>
      <c r="E8049" s="390"/>
      <c r="F8049" s="391"/>
      <c r="G8049" s="390"/>
      <c r="H8049" s="394"/>
    </row>
    <row r="8050" spans="1:8" ht="15.75" customHeight="1" x14ac:dyDescent="0.25">
      <c r="A8050" s="390" t="s">
        <v>1328</v>
      </c>
      <c r="B8050" s="390"/>
      <c r="C8050" s="390"/>
      <c r="D8050" s="391"/>
      <c r="E8050" s="390"/>
      <c r="F8050" s="391"/>
      <c r="G8050" s="390"/>
      <c r="H8050" s="394"/>
    </row>
    <row r="8051" spans="1:8" ht="15.75" customHeight="1" x14ac:dyDescent="0.25">
      <c r="A8051" s="399" t="s">
        <v>33</v>
      </c>
      <c r="B8051" s="400" t="s">
        <v>6</v>
      </c>
      <c r="C8051" s="400"/>
      <c r="D8051" s="401" t="s">
        <v>37</v>
      </c>
      <c r="E8051" s="402" t="s">
        <v>38</v>
      </c>
      <c r="F8051" s="403" t="s">
        <v>7</v>
      </c>
      <c r="G8051" s="404" t="s">
        <v>43</v>
      </c>
      <c r="H8051" s="405" t="s">
        <v>44</v>
      </c>
    </row>
    <row r="8052" spans="1:8" ht="15.75" customHeight="1" x14ac:dyDescent="0.25">
      <c r="A8052" s="406"/>
      <c r="B8052" s="407"/>
      <c r="C8052" s="393"/>
      <c r="D8052" s="408"/>
      <c r="E8052" s="408"/>
      <c r="F8052" s="409"/>
      <c r="G8052" s="410"/>
      <c r="H8052" s="411"/>
    </row>
    <row r="8053" spans="1:8" ht="15.75" customHeight="1" x14ac:dyDescent="0.25">
      <c r="A8053" s="502"/>
      <c r="B8053" s="557" t="s">
        <v>1822</v>
      </c>
      <c r="C8053" s="558"/>
      <c r="D8053" s="427"/>
      <c r="E8053" s="427"/>
      <c r="F8053" s="391"/>
      <c r="G8053" s="675"/>
      <c r="H8053" s="429"/>
    </row>
    <row r="8054" spans="1:8" ht="15.75" customHeight="1" x14ac:dyDescent="0.25">
      <c r="A8054" s="502" t="s">
        <v>55</v>
      </c>
      <c r="B8054" s="503" t="s">
        <v>1826</v>
      </c>
      <c r="C8054" s="390" t="s">
        <v>330</v>
      </c>
      <c r="D8054" s="427">
        <v>2</v>
      </c>
      <c r="E8054" s="427">
        <v>5</v>
      </c>
      <c r="F8054" s="391">
        <f t="shared" ref="F8054:F8055" si="250">+E8054*D8054</f>
      </c>
      <c r="G8054" s="427">
        <v>1</v>
      </c>
      <c r="H8054" s="429">
        <f t="shared" ref="H8054:H8055" si="251">+G8054*F8054</f>
      </c>
    </row>
    <row r="8055" spans="1:8" ht="15.75" customHeight="1" x14ac:dyDescent="0.25">
      <c r="A8055" s="502" t="s">
        <v>59</v>
      </c>
      <c r="B8055" s="503" t="s">
        <v>68</v>
      </c>
      <c r="C8055" s="390" t="s">
        <v>91</v>
      </c>
      <c r="D8055" s="427">
        <v>2</v>
      </c>
      <c r="E8055" s="427">
        <v>5</v>
      </c>
      <c r="F8055" s="391">
        <f t="shared" si="250"/>
      </c>
      <c r="G8055" s="427">
        <v>1</v>
      </c>
      <c r="H8055" s="429">
        <f t="shared" si="251"/>
      </c>
    </row>
    <row r="8056" spans="1:8" ht="15.75" customHeight="1" x14ac:dyDescent="0.25">
      <c r="A8056" s="502"/>
      <c r="B8056" s="557"/>
      <c r="C8056" s="558"/>
      <c r="D8056" s="427"/>
      <c r="E8056" s="427"/>
      <c r="F8056" s="391"/>
      <c r="G8056" s="427"/>
      <c r="H8056" s="429"/>
    </row>
    <row r="8057" spans="1:8" ht="15.75" customHeight="1" x14ac:dyDescent="0.25">
      <c r="A8057" s="502"/>
      <c r="B8057" s="718"/>
      <c r="C8057" s="567"/>
      <c r="D8057" s="427"/>
      <c r="E8057" s="427"/>
      <c r="F8057" s="391"/>
      <c r="G8057" s="427"/>
      <c r="H8057" s="429"/>
    </row>
    <row r="8058" spans="1:8" ht="15.75" customHeight="1" x14ac:dyDescent="0.25">
      <c r="A8058" s="502"/>
      <c r="B8058" s="718"/>
      <c r="C8058" s="567"/>
      <c r="D8058" s="427"/>
      <c r="E8058" s="427"/>
      <c r="F8058" s="391"/>
      <c r="G8058" s="427"/>
      <c r="H8058" s="429"/>
    </row>
    <row r="8059" spans="1:8" ht="15.75" customHeight="1" x14ac:dyDescent="0.25">
      <c r="A8059" s="502"/>
      <c r="B8059" s="718"/>
      <c r="C8059" s="567"/>
      <c r="D8059" s="427"/>
      <c r="E8059" s="427"/>
      <c r="F8059" s="391"/>
      <c r="G8059" s="427"/>
      <c r="H8059" s="429"/>
    </row>
    <row r="8060" spans="1:8" ht="15.75" customHeight="1" x14ac:dyDescent="0.25">
      <c r="A8060" s="432"/>
      <c r="B8060" s="433"/>
      <c r="C8060" s="434" t="s">
        <v>85</v>
      </c>
      <c r="D8060" s="435">
        <f>SUM(D8053:D8059)</f>
      </c>
      <c r="E8060" s="435"/>
      <c r="F8060" s="436"/>
      <c r="G8060" s="437"/>
      <c r="H8060" s="438">
        <f>SUM(H8053:H8059)</f>
      </c>
    </row>
    <row r="8061" spans="1:8" ht="15.75" customHeight="1" x14ac:dyDescent="0.25">
      <c r="A8061" s="439"/>
      <c r="B8061" s="440"/>
      <c r="C8061" s="440"/>
      <c r="D8061" s="441"/>
      <c r="E8061" s="440"/>
      <c r="F8061" s="442"/>
      <c r="G8061" s="443"/>
      <c r="H8061" s="444"/>
    </row>
    <row r="8062" spans="1:8" ht="15.75" customHeight="1" x14ac:dyDescent="0.25">
      <c r="A8062" s="565" t="s">
        <v>1215</v>
      </c>
      <c r="B8062" s="565"/>
      <c r="C8062" s="565"/>
      <c r="D8062" s="565"/>
      <c r="E8062" s="565"/>
      <c r="F8062" s="565"/>
      <c r="G8062" s="565"/>
      <c r="H8062" s="565"/>
    </row>
    <row r="8063" spans="1:8" ht="15.75" customHeight="1" x14ac:dyDescent="0.25">
      <c r="A8063" s="445"/>
      <c r="B8063" s="445"/>
      <c r="C8063" s="445"/>
      <c r="D8063" s="446" t="s">
        <v>97</v>
      </c>
      <c r="E8063" s="445" t="s">
        <v>98</v>
      </c>
      <c r="F8063" s="445"/>
      <c r="G8063" s="390"/>
      <c r="H8063" s="394"/>
    </row>
    <row r="8064" spans="1:8" ht="15.75" customHeight="1" x14ac:dyDescent="0.25">
      <c r="A8064" s="445"/>
      <c r="B8064" s="445"/>
      <c r="C8064" s="445"/>
      <c r="D8064" s="446"/>
      <c r="E8064" s="445"/>
      <c r="F8064" s="445"/>
      <c r="G8064" s="390"/>
      <c r="H8064" s="394"/>
    </row>
    <row r="8065" spans="1:8" ht="15.75" customHeight="1" x14ac:dyDescent="0.25">
      <c r="A8065" s="445"/>
      <c r="B8065" s="445"/>
      <c r="C8065" s="445"/>
      <c r="D8065" s="446"/>
      <c r="E8065" s="445"/>
      <c r="F8065" s="445"/>
      <c r="G8065" s="390"/>
      <c r="H8065" s="394"/>
    </row>
    <row r="8066" spans="1:8" ht="15.75" customHeight="1" x14ac:dyDescent="0.25">
      <c r="A8066" s="445"/>
      <c r="B8066" s="445"/>
      <c r="C8066" s="445"/>
      <c r="D8066" s="446"/>
      <c r="E8066" s="445" t="s">
        <v>99</v>
      </c>
      <c r="F8066" s="445"/>
      <c r="G8066" s="390"/>
      <c r="H8066" s="394"/>
    </row>
    <row r="8067" spans="1:8" ht="15.75" customHeight="1" x14ac:dyDescent="0.25">
      <c r="D8067" s="4"/>
      <c r="H8067" s="4"/>
    </row>
    <row r="8068" spans="1:8" ht="15.75" customHeight="1" x14ac:dyDescent="0.25">
      <c r="D8068" s="4"/>
      <c r="H8068" s="4"/>
    </row>
    <row r="8069" spans="1:8" ht="15.75" customHeight="1" x14ac:dyDescent="0.25">
      <c r="D8069" s="4"/>
      <c r="H8069" s="4"/>
    </row>
    <row r="8070" spans="1:8" ht="15.75" customHeight="1" x14ac:dyDescent="0.25">
      <c r="D8070" s="4"/>
      <c r="H8070" s="4"/>
    </row>
    <row r="8071" spans="1:8" ht="15.75" customHeight="1" x14ac:dyDescent="0.25">
      <c r="D8071" s="4"/>
      <c r="H8071" s="4"/>
    </row>
    <row r="8072" spans="1:8" ht="15.75" customHeight="1" x14ac:dyDescent="0.25">
      <c r="D8072" s="4"/>
      <c r="H8072" s="4"/>
    </row>
    <row r="8073" spans="1:8" ht="15.75" customHeight="1" x14ac:dyDescent="0.25">
      <c r="D8073" s="4"/>
      <c r="H8073" s="4"/>
    </row>
    <row r="8074" spans="1:8" ht="15.75" customHeight="1" x14ac:dyDescent="0.25">
      <c r="D8074" s="4"/>
      <c r="H8074" s="4"/>
    </row>
    <row r="8075" spans="1:8" ht="15.75" customHeight="1" x14ac:dyDescent="0.25">
      <c r="D8075" s="4"/>
      <c r="H8075" s="4"/>
    </row>
    <row r="8076" spans="1:8" ht="15.75" customHeight="1" x14ac:dyDescent="0.25">
      <c r="D8076" s="4"/>
      <c r="H8076" s="4"/>
    </row>
    <row r="8077" spans="1:8" ht="15.75" customHeight="1" x14ac:dyDescent="0.25">
      <c r="D8077" s="4"/>
      <c r="H8077" s="4"/>
    </row>
    <row r="8078" spans="1:8" ht="15.75" customHeight="1" x14ac:dyDescent="0.25">
      <c r="D8078" s="4"/>
      <c r="H8078" s="4"/>
    </row>
    <row r="8079" spans="1:8" ht="15.75" customHeight="1" x14ac:dyDescent="0.25">
      <c r="D8079" s="4"/>
      <c r="H8079" s="4"/>
    </row>
    <row r="8080" spans="1:8" ht="15.75" customHeight="1" x14ac:dyDescent="0.25">
      <c r="D8080" s="4"/>
      <c r="H8080" s="4"/>
    </row>
    <row r="8081" spans="1:8" ht="15.75" customHeight="1" x14ac:dyDescent="0.25">
      <c r="D8081" s="4"/>
      <c r="H8081" s="4"/>
    </row>
    <row r="8082" spans="1:8" ht="15.75" customHeight="1" x14ac:dyDescent="0.25">
      <c r="D8082" s="4"/>
      <c r="H8082" s="4"/>
    </row>
    <row r="8083" spans="1:8" ht="15.75" customHeight="1" x14ac:dyDescent="0.25">
      <c r="D8083" s="4"/>
      <c r="H8083" s="4"/>
    </row>
    <row r="8084" spans="1:8" ht="15.75" customHeight="1" x14ac:dyDescent="0.25">
      <c r="A8084" s="392" t="s">
        <v>14</v>
      </c>
      <c r="B8084" s="391"/>
      <c r="C8084" s="391"/>
      <c r="D8084" s="391"/>
      <c r="E8084" s="391"/>
      <c r="F8084" s="391"/>
      <c r="G8084" s="391"/>
      <c r="H8084" s="394"/>
    </row>
    <row r="8085" spans="1:8" ht="15.75" customHeight="1" x14ac:dyDescent="0.25">
      <c r="A8085" s="392"/>
      <c r="B8085" s="391"/>
      <c r="C8085" s="391"/>
      <c r="D8085" s="391"/>
      <c r="E8085" s="390"/>
      <c r="F8085" s="392"/>
      <c r="G8085" s="390"/>
      <c r="H8085" s="394"/>
    </row>
    <row r="8086" spans="1:8" ht="15.75" customHeight="1" x14ac:dyDescent="0.25">
      <c r="A8086" s="392"/>
      <c r="B8086" s="391"/>
      <c r="C8086" s="391"/>
      <c r="D8086" s="391"/>
      <c r="E8086" s="390"/>
      <c r="F8086" s="392"/>
      <c r="G8086" s="390"/>
      <c r="H8086" s="394"/>
    </row>
    <row r="8087" spans="1:8" ht="15.75" customHeight="1" x14ac:dyDescent="0.25">
      <c r="A8087" s="390" t="s">
        <v>20</v>
      </c>
      <c r="B8087" s="390"/>
      <c r="C8087" s="390"/>
      <c r="D8087" s="391"/>
      <c r="E8087" s="390"/>
      <c r="F8087" s="392"/>
      <c r="G8087" s="390"/>
      <c r="H8087" s="394"/>
    </row>
    <row r="8088" spans="1:8" ht="15.75" customHeight="1" x14ac:dyDescent="0.25">
      <c r="A8088" s="390" t="inlineStr">
        <is>
          <t>Dealer-002</t>
        </is>
      </c>
      <c r="B8088" s="390"/>
      <c r="C8088" s="390"/>
      <c r="D8088" s="391"/>
      <c r="E8088" s="390"/>
      <c r="F8088" s="395" t="s">
        <v>18</v>
      </c>
      <c r="G8088" s="390" t="s">
        <v>945</v>
      </c>
      <c r="H8088" s="394"/>
    </row>
    <row r="8089" spans="1:8" ht="15.75" customHeight="1" x14ac:dyDescent="0.25">
      <c r="A8089" s="390" t="inlineStr">
        <is>
          <t>Address line (redacted)</t>
        </is>
      </c>
      <c r="B8089" s="390"/>
      <c r="C8089" s="390"/>
      <c r="D8089" s="391"/>
      <c r="E8089" s="390"/>
      <c r="F8089" s="393" t="s">
        <v>21</v>
      </c>
      <c r="G8089" s="390" t="s">
        <v>1827</v>
      </c>
      <c r="H8089" s="394"/>
    </row>
    <row r="8090" spans="1:8" ht="15.75" customHeight="1" x14ac:dyDescent="0.25">
      <c r="A8090" s="390" t="inlineStr">
        <is>
          <t>Address line (redacted)</t>
        </is>
      </c>
      <c r="B8090" s="390"/>
      <c r="C8090" s="390"/>
      <c r="D8090" s="391"/>
      <c r="E8090" s="390"/>
      <c r="F8090" s="391"/>
      <c r="G8090" s="390"/>
      <c r="H8090" s="394"/>
    </row>
    <row r="8091" spans="1:8" ht="15.75" customHeight="1" x14ac:dyDescent="0.25">
      <c r="A8091" s="390"/>
      <c r="B8091" s="390"/>
      <c r="C8091" s="393"/>
      <c r="D8091" s="391"/>
      <c r="E8091" s="390"/>
      <c r="F8091" s="391"/>
      <c r="G8091" s="390"/>
      <c r="H8091" s="394"/>
    </row>
    <row r="8092" spans="1:8" ht="15.75" customHeight="1" x14ac:dyDescent="0.25">
      <c r="A8092" s="390"/>
      <c r="B8092" s="390"/>
      <c r="C8092" s="390"/>
      <c r="D8092" s="391"/>
      <c r="E8092" s="390"/>
      <c r="F8092" s="391"/>
      <c r="G8092" s="390"/>
      <c r="H8092" s="394"/>
    </row>
    <row r="8093" spans="1:8" ht="15.75" customHeight="1" x14ac:dyDescent="0.25">
      <c r="A8093" s="390" t="s">
        <v>30</v>
      </c>
      <c r="B8093" s="390"/>
      <c r="C8093" s="390"/>
      <c r="D8093" s="391"/>
      <c r="E8093" s="390"/>
      <c r="F8093" s="391"/>
      <c r="G8093" s="390"/>
      <c r="H8093" s="394"/>
    </row>
    <row r="8094" spans="1:8" ht="15.75" customHeight="1" x14ac:dyDescent="0.25">
      <c r="A8094" s="390"/>
      <c r="B8094" s="390"/>
      <c r="C8094" s="390"/>
      <c r="D8094" s="391"/>
      <c r="E8094" s="390"/>
      <c r="F8094" s="391"/>
      <c r="G8094" s="390"/>
      <c r="H8094" s="394"/>
    </row>
    <row r="8095" spans="1:8" ht="15.75" customHeight="1" x14ac:dyDescent="0.25">
      <c r="A8095" s="390" t="s">
        <v>1322</v>
      </c>
      <c r="B8095" s="390"/>
      <c r="C8095" s="390"/>
      <c r="D8095" s="391"/>
      <c r="E8095" s="390"/>
      <c r="F8095" s="391"/>
      <c r="G8095" s="390"/>
      <c r="H8095" s="394"/>
    </row>
    <row r="8096" spans="1:8" ht="15.75" customHeight="1" x14ac:dyDescent="0.25">
      <c r="A8096" s="390" t="s">
        <v>1328</v>
      </c>
      <c r="B8096" s="390"/>
      <c r="C8096" s="390"/>
      <c r="D8096" s="391"/>
      <c r="E8096" s="390"/>
      <c r="F8096" s="391"/>
      <c r="G8096" s="390"/>
      <c r="H8096" s="394"/>
    </row>
    <row r="8097" spans="1:8" ht="15.75" customHeight="1" x14ac:dyDescent="0.25">
      <c r="A8097" s="390"/>
      <c r="B8097" s="390"/>
      <c r="C8097" s="390"/>
      <c r="D8097" s="391"/>
      <c r="E8097" s="390"/>
      <c r="F8097" s="391"/>
      <c r="G8097" s="390"/>
      <c r="H8097" s="394"/>
    </row>
    <row r="8098" spans="1:8" ht="15.75" customHeight="1" x14ac:dyDescent="0.25">
      <c r="A8098" s="399" t="s">
        <v>33</v>
      </c>
      <c r="B8098" s="400" t="s">
        <v>6</v>
      </c>
      <c r="C8098" s="400"/>
      <c r="D8098" s="401" t="s">
        <v>37</v>
      </c>
      <c r="E8098" s="402" t="s">
        <v>1309</v>
      </c>
      <c r="F8098" s="609" t="s">
        <v>7</v>
      </c>
      <c r="G8098" s="400" t="s">
        <v>43</v>
      </c>
      <c r="H8098" s="405" t="s">
        <v>44</v>
      </c>
    </row>
    <row r="8099" spans="1:8" ht="15.75" customHeight="1" x14ac:dyDescent="0.25">
      <c r="A8099" s="610"/>
      <c r="B8099" s="611"/>
      <c r="C8099" s="611"/>
      <c r="D8099" s="612"/>
      <c r="E8099" s="613"/>
      <c r="F8099" s="614"/>
      <c r="G8099" s="611"/>
      <c r="H8099" s="615"/>
    </row>
    <row r="8100" spans="1:8" ht="15.75" customHeight="1" x14ac:dyDescent="0.25">
      <c r="A8100" s="581"/>
      <c r="B8100" s="654" t="s">
        <v>674</v>
      </c>
      <c r="C8100" s="654"/>
      <c r="D8100" s="415"/>
      <c r="E8100" s="415"/>
      <c r="F8100" s="415"/>
      <c r="G8100" s="415"/>
      <c r="H8100" s="589"/>
    </row>
    <row r="8101" spans="1:8" ht="15.75" customHeight="1" x14ac:dyDescent="0.25">
      <c r="A8101" s="581" t="s">
        <v>55</v>
      </c>
      <c r="B8101" s="644" t="s">
        <v>239</v>
      </c>
      <c r="C8101" s="654"/>
      <c r="D8101" s="415">
        <v>3</v>
      </c>
      <c r="E8101" s="415">
        <v>2</v>
      </c>
      <c r="F8101" s="415">
        <f>+E8101*D8101</f>
      </c>
      <c r="G8101" s="415">
        <v>1</v>
      </c>
      <c r="H8101" s="589">
        <f>+G8101*F8101</f>
      </c>
    </row>
    <row r="8102" spans="1:8" ht="15.75" customHeight="1" x14ac:dyDescent="0.25">
      <c r="A8102" s="581"/>
      <c r="B8102" s="654" t="s">
        <v>590</v>
      </c>
      <c r="C8102" s="654"/>
      <c r="D8102" s="415"/>
      <c r="E8102" s="415"/>
      <c r="F8102" s="415"/>
      <c r="G8102" s="415"/>
      <c r="H8102" s="589"/>
    </row>
    <row r="8103" spans="1:8" ht="15.75" customHeight="1" x14ac:dyDescent="0.25">
      <c r="A8103" s="581" t="s">
        <v>59</v>
      </c>
      <c r="B8103" s="644" t="s">
        <v>127</v>
      </c>
      <c r="C8103" s="644" t="s">
        <v>398</v>
      </c>
      <c r="D8103" s="592">
        <v>2</v>
      </c>
      <c r="E8103" s="415">
        <v>6</v>
      </c>
      <c r="F8103" s="415">
        <f t="shared" ref="F8103:F8104" si="252">+E8103*D8103</f>
      </c>
      <c r="G8103" s="415">
        <v>1</v>
      </c>
      <c r="H8103" s="589">
        <f t="shared" ref="H8103:H8104" si="253">+G8103*F8103</f>
      </c>
    </row>
    <row r="8104" spans="1:8" ht="15.75" customHeight="1" x14ac:dyDescent="0.25">
      <c r="A8104" s="581" t="s">
        <v>67</v>
      </c>
      <c r="B8104" s="644" t="s">
        <v>127</v>
      </c>
      <c r="C8104" s="644" t="s">
        <v>398</v>
      </c>
      <c r="D8104" s="592">
        <v>1</v>
      </c>
      <c r="E8104" s="415">
        <v>4</v>
      </c>
      <c r="F8104" s="415">
        <f t="shared" si="252"/>
      </c>
      <c r="G8104" s="415">
        <v>1</v>
      </c>
      <c r="H8104" s="589">
        <f t="shared" si="253"/>
      </c>
    </row>
    <row r="8105" spans="1:8" ht="15.75" customHeight="1" x14ac:dyDescent="0.25">
      <c r="A8105" s="581"/>
      <c r="B8105" s="654" t="s">
        <v>531</v>
      </c>
      <c r="C8105" s="654"/>
      <c r="D8105" s="415"/>
      <c r="E8105" s="415"/>
      <c r="F8105" s="415"/>
      <c r="G8105" s="415"/>
      <c r="H8105" s="589"/>
    </row>
    <row r="8106" spans="1:8" ht="15.75" customHeight="1" x14ac:dyDescent="0.25">
      <c r="A8106" s="581" t="s">
        <v>485</v>
      </c>
      <c r="B8106" s="582" t="s">
        <v>563</v>
      </c>
      <c r="C8106" s="582"/>
      <c r="D8106" s="415">
        <v>2</v>
      </c>
      <c r="E8106" s="415">
        <v>10</v>
      </c>
      <c r="F8106" s="415">
        <f>+E8106*D8106</f>
      </c>
      <c r="G8106" s="415">
        <v>1</v>
      </c>
      <c r="H8106" s="589">
        <f>+G8106*F8106</f>
      </c>
    </row>
    <row r="8107" spans="1:8" ht="15.75" customHeight="1" x14ac:dyDescent="0.25">
      <c r="A8107" s="430"/>
      <c r="B8107" s="409"/>
      <c r="C8107" s="393"/>
      <c r="D8107" s="427"/>
      <c r="E8107" s="427"/>
      <c r="F8107" s="428"/>
      <c r="G8107" s="427"/>
      <c r="H8107" s="429"/>
    </row>
    <row r="8108" spans="1:8" ht="15.75" customHeight="1" x14ac:dyDescent="0.25">
      <c r="A8108" s="432"/>
      <c r="B8108" s="433"/>
      <c r="C8108" s="434" t="s">
        <v>85</v>
      </c>
      <c r="D8108" s="659">
        <f>SUM(D8100:D8107)</f>
      </c>
      <c r="E8108" s="401"/>
      <c r="F8108" s="660"/>
      <c r="G8108" s="661"/>
      <c r="H8108" s="623">
        <f>SUM(H8100:H8107)</f>
      </c>
    </row>
    <row r="8109" spans="1:8" ht="15.75" customHeight="1" x14ac:dyDescent="0.25">
      <c r="A8109" s="439"/>
      <c r="B8109" s="440"/>
      <c r="C8109" s="440"/>
      <c r="D8109" s="441"/>
      <c r="E8109" s="440"/>
      <c r="F8109" s="442"/>
      <c r="G8109" s="443"/>
      <c r="H8109" s="444"/>
    </row>
    <row r="8110" spans="1:8" ht="15.75" customHeight="1" x14ac:dyDescent="0.25">
      <c r="A8110" s="392"/>
      <c r="B8110" s="391"/>
      <c r="C8110" s="391"/>
      <c r="D8110" s="391"/>
      <c r="E8110" s="390"/>
      <c r="F8110" s="392"/>
      <c r="G8110" s="390"/>
      <c r="H8110" s="394"/>
    </row>
    <row r="8111" spans="1:8" ht="15.75" customHeight="1" x14ac:dyDescent="0.25">
      <c r="A8111" s="445"/>
      <c r="B8111" s="445"/>
      <c r="C8111" s="445"/>
      <c r="D8111" s="446" t="s">
        <v>97</v>
      </c>
      <c r="E8111" s="445" t="s">
        <v>98</v>
      </c>
      <c r="F8111" s="445"/>
      <c r="G8111" s="390"/>
      <c r="H8111" s="394"/>
    </row>
    <row r="8112" spans="1:8" ht="15.75" customHeight="1" x14ac:dyDescent="0.25">
      <c r="A8112" s="390"/>
      <c r="B8112" s="390"/>
      <c r="C8112" s="390"/>
      <c r="D8112" s="391"/>
      <c r="E8112" s="390"/>
      <c r="F8112" s="390"/>
      <c r="G8112" s="390"/>
      <c r="H8112" s="394"/>
    </row>
    <row r="8113" spans="1:8" ht="15.75" customHeight="1" x14ac:dyDescent="0.25">
      <c r="A8113" s="390"/>
      <c r="B8113" s="390"/>
      <c r="C8113" s="390"/>
      <c r="D8113" s="391"/>
      <c r="E8113" s="390"/>
      <c r="F8113" s="390"/>
      <c r="G8113" s="390"/>
      <c r="H8113" s="394"/>
    </row>
    <row r="8114" spans="1:8" ht="15.75" customHeight="1" x14ac:dyDescent="0.25">
      <c r="A8114" s="445"/>
      <c r="B8114" s="445"/>
      <c r="C8114" s="445"/>
      <c r="D8114" s="446"/>
      <c r="E8114" s="445" t="s">
        <v>99</v>
      </c>
      <c r="F8114" s="445"/>
      <c r="G8114" s="390"/>
      <c r="H8114" s="394"/>
    </row>
    <row r="8115" spans="1:8" ht="15.75" customHeight="1" x14ac:dyDescent="0.25">
      <c r="D8115" s="4"/>
      <c r="H8115" s="4"/>
    </row>
    <row r="8116" spans="1:8" ht="15.75" customHeight="1" x14ac:dyDescent="0.25">
      <c r="D8116" s="4"/>
      <c r="H8116" s="4"/>
    </row>
    <row r="8117" spans="1:8" ht="15.75" customHeight="1" x14ac:dyDescent="0.25">
      <c r="D8117" s="4"/>
      <c r="H8117" s="4"/>
    </row>
    <row r="8118" spans="1:8" ht="15.75" customHeight="1" x14ac:dyDescent="0.25">
      <c r="D8118" s="4"/>
      <c r="H8118" s="4"/>
    </row>
    <row r="8119" spans="1:8" ht="15.75" customHeight="1" x14ac:dyDescent="0.25">
      <c r="D8119" s="4"/>
      <c r="H8119" s="4"/>
    </row>
    <row r="8120" spans="1:8" ht="15.75" customHeight="1" x14ac:dyDescent="0.25">
      <c r="D8120" s="4"/>
      <c r="H8120" s="4"/>
    </row>
    <row r="8121" spans="1:8" ht="15.75" customHeight="1" x14ac:dyDescent="0.25">
      <c r="D8121" s="4"/>
      <c r="H8121" s="4"/>
    </row>
    <row r="8122" spans="1:8" ht="15.75" customHeight="1" x14ac:dyDescent="0.25">
      <c r="D8122" s="4"/>
      <c r="H8122" s="4"/>
    </row>
    <row r="8123" spans="1:8" ht="15.75" customHeight="1" x14ac:dyDescent="0.25">
      <c r="D8123" s="4"/>
      <c r="H8123" s="4"/>
    </row>
    <row r="8124" spans="1:8" ht="15.75" customHeight="1" x14ac:dyDescent="0.25">
      <c r="D8124" s="4"/>
      <c r="H8124" s="4"/>
    </row>
    <row r="8125" spans="1:8" ht="15.75" customHeight="1" x14ac:dyDescent="0.25">
      <c r="D8125" s="4"/>
      <c r="H8125" s="4"/>
    </row>
    <row r="8126" spans="1:8" ht="15.75" customHeight="1" x14ac:dyDescent="0.25">
      <c r="D8126" s="4"/>
      <c r="H8126" s="4"/>
    </row>
    <row r="8127" spans="1:8" ht="15.75" customHeight="1" x14ac:dyDescent="0.25">
      <c r="D8127" s="4"/>
      <c r="H8127" s="4"/>
    </row>
    <row r="8128" spans="1:8" ht="15.75" customHeight="1" x14ac:dyDescent="0.25">
      <c r="D8128" s="4"/>
      <c r="H8128" s="4"/>
    </row>
    <row r="8129" spans="1:8" ht="15.75" customHeight="1" x14ac:dyDescent="0.25">
      <c r="D8129" s="4"/>
      <c r="H8129" s="4"/>
    </row>
    <row r="8130" spans="1:8" ht="15.75" customHeight="1" x14ac:dyDescent="0.25">
      <c r="A8130" s="392" t="s">
        <v>14</v>
      </c>
      <c r="B8130" s="391"/>
      <c r="C8130" s="391"/>
      <c r="D8130" s="391"/>
      <c r="E8130" s="391"/>
      <c r="F8130" s="391"/>
      <c r="G8130" s="391"/>
      <c r="H8130" s="394"/>
    </row>
    <row r="8131" spans="1:8" ht="15.75" customHeight="1" x14ac:dyDescent="0.25">
      <c r="A8131" s="392"/>
      <c r="B8131" s="391"/>
      <c r="C8131" s="391"/>
      <c r="D8131" s="391"/>
      <c r="E8131" s="390"/>
      <c r="F8131" s="392"/>
      <c r="G8131" s="390"/>
      <c r="H8131" s="394"/>
    </row>
    <row r="8132" spans="1:8" ht="15.75" customHeight="1" x14ac:dyDescent="0.25">
      <c r="A8132" s="392"/>
      <c r="B8132" s="391"/>
      <c r="C8132" s="391"/>
      <c r="D8132" s="391"/>
      <c r="E8132" s="390"/>
      <c r="F8132" s="392"/>
      <c r="G8132" s="390"/>
      <c r="H8132" s="394"/>
    </row>
    <row r="8133" spans="1:8" ht="15.75" customHeight="1" x14ac:dyDescent="0.25">
      <c r="A8133" s="390" t="s">
        <v>20</v>
      </c>
      <c r="B8133" s="390"/>
      <c r="C8133" s="390"/>
      <c r="D8133" s="391"/>
      <c r="E8133" s="390"/>
      <c r="F8133" s="392"/>
      <c r="G8133" s="390"/>
      <c r="H8133" s="394"/>
    </row>
    <row r="8134" spans="1:8" ht="15.75" customHeight="1" x14ac:dyDescent="0.25">
      <c r="A8134" s="390" t="inlineStr">
        <is>
          <t>Dealer-003</t>
        </is>
      </c>
      <c r="B8134" s="390"/>
      <c r="C8134" s="390"/>
      <c r="D8134" s="391"/>
      <c r="E8134" s="390"/>
      <c r="F8134" s="395" t="s">
        <v>18</v>
      </c>
      <c r="G8134" s="390" t="s">
        <v>945</v>
      </c>
      <c r="H8134" s="394"/>
    </row>
    <row r="8135" spans="1:8" ht="15.75" customHeight="1" x14ac:dyDescent="0.25">
      <c r="A8135" s="390" t="inlineStr">
        <is>
          <t>Address line (redacted)</t>
        </is>
      </c>
      <c r="B8135" s="390"/>
      <c r="C8135" s="390"/>
      <c r="D8135" s="391"/>
      <c r="E8135" s="390"/>
      <c r="F8135" s="393" t="s">
        <v>21</v>
      </c>
      <c r="G8135" s="390" t="s">
        <v>1828</v>
      </c>
      <c r="H8135" s="394"/>
    </row>
    <row r="8136" spans="1:8" ht="15.75" customHeight="1" x14ac:dyDescent="0.25">
      <c r="A8136" s="390" t="inlineStr">
        <is>
          <t>Address line (redacted)</t>
        </is>
      </c>
      <c r="B8136" s="390"/>
      <c r="C8136" s="390"/>
      <c r="D8136" s="391"/>
      <c r="E8136" s="390"/>
      <c r="F8136" s="391"/>
      <c r="G8136" s="390"/>
      <c r="H8136" s="394"/>
    </row>
    <row r="8137" spans="1:8" ht="15.75" customHeight="1" x14ac:dyDescent="0.25">
      <c r="A8137" s="390"/>
      <c r="B8137" s="390"/>
      <c r="C8137" s="393"/>
      <c r="D8137" s="391"/>
      <c r="E8137" s="390"/>
      <c r="F8137" s="391"/>
      <c r="G8137" s="390"/>
      <c r="H8137" s="394"/>
    </row>
    <row r="8138" spans="1:8" ht="15.75" customHeight="1" x14ac:dyDescent="0.25">
      <c r="A8138" s="390"/>
      <c r="B8138" s="390"/>
      <c r="C8138" s="390"/>
      <c r="D8138" s="391"/>
      <c r="E8138" s="390"/>
      <c r="F8138" s="391"/>
      <c r="G8138" s="390"/>
      <c r="H8138" s="394"/>
    </row>
    <row r="8139" spans="1:8" ht="15.75" customHeight="1" x14ac:dyDescent="0.25">
      <c r="A8139" s="390" t="s">
        <v>30</v>
      </c>
      <c r="B8139" s="390"/>
      <c r="C8139" s="390"/>
      <c r="D8139" s="391"/>
      <c r="E8139" s="390"/>
      <c r="F8139" s="391"/>
      <c r="G8139" s="390"/>
      <c r="H8139" s="394"/>
    </row>
    <row r="8140" spans="1:8" ht="15.75" customHeight="1" x14ac:dyDescent="0.25">
      <c r="A8140" s="390"/>
      <c r="B8140" s="390"/>
      <c r="C8140" s="390"/>
      <c r="D8140" s="391"/>
      <c r="E8140" s="390"/>
      <c r="F8140" s="391"/>
      <c r="G8140" s="390"/>
      <c r="H8140" s="394"/>
    </row>
    <row r="8141" spans="1:8" ht="15.75" customHeight="1" x14ac:dyDescent="0.25">
      <c r="A8141" s="390" t="s">
        <v>1322</v>
      </c>
      <c r="B8141" s="390"/>
      <c r="C8141" s="390"/>
      <c r="D8141" s="391"/>
      <c r="E8141" s="390"/>
      <c r="F8141" s="391"/>
      <c r="G8141" s="390"/>
      <c r="H8141" s="394"/>
    </row>
    <row r="8142" spans="1:8" ht="15.75" customHeight="1" x14ac:dyDescent="0.25">
      <c r="A8142" s="390" t="s">
        <v>1328</v>
      </c>
      <c r="B8142" s="390"/>
      <c r="C8142" s="390"/>
      <c r="D8142" s="391"/>
      <c r="E8142" s="390"/>
      <c r="F8142" s="391"/>
      <c r="G8142" s="390"/>
      <c r="H8142" s="394"/>
    </row>
    <row r="8143" spans="1:8" ht="15.75" customHeight="1" x14ac:dyDescent="0.25">
      <c r="A8143" s="390"/>
      <c r="B8143" s="390"/>
      <c r="C8143" s="390"/>
      <c r="D8143" s="391"/>
      <c r="E8143" s="390"/>
      <c r="F8143" s="391"/>
      <c r="G8143" s="390"/>
      <c r="H8143" s="394"/>
    </row>
    <row r="8144" spans="1:8" ht="15.75" customHeight="1" x14ac:dyDescent="0.25">
      <c r="A8144" s="399" t="s">
        <v>33</v>
      </c>
      <c r="B8144" s="400" t="s">
        <v>6</v>
      </c>
      <c r="C8144" s="400"/>
      <c r="D8144" s="401" t="s">
        <v>37</v>
      </c>
      <c r="E8144" s="402" t="s">
        <v>1309</v>
      </c>
      <c r="F8144" s="609" t="s">
        <v>7</v>
      </c>
      <c r="G8144" s="400" t="s">
        <v>43</v>
      </c>
      <c r="H8144" s="405" t="s">
        <v>44</v>
      </c>
    </row>
    <row r="8145" spans="1:8" ht="15.75" customHeight="1" x14ac:dyDescent="0.25">
      <c r="A8145" s="610"/>
      <c r="B8145" s="611"/>
      <c r="C8145" s="611"/>
      <c r="D8145" s="612"/>
      <c r="E8145" s="613"/>
      <c r="F8145" s="614"/>
      <c r="G8145" s="611"/>
      <c r="H8145" s="615"/>
    </row>
    <row r="8146" spans="1:8" ht="15.75" customHeight="1" x14ac:dyDescent="0.25">
      <c r="A8146" s="780"/>
      <c r="B8146" s="654" t="s">
        <v>1102</v>
      </c>
      <c r="C8146" s="654"/>
      <c r="D8146" s="578"/>
      <c r="E8146" s="578"/>
      <c r="F8146" s="578"/>
      <c r="G8146" s="578"/>
      <c r="H8146" s="580"/>
    </row>
    <row r="8147" spans="1:8" ht="15.75" customHeight="1" x14ac:dyDescent="0.25">
      <c r="A8147" s="412" t="s">
        <v>55</v>
      </c>
      <c r="B8147" s="644" t="s">
        <v>81</v>
      </c>
      <c r="C8147" s="420" t="s">
        <v>82</v>
      </c>
      <c r="D8147" s="415">
        <v>2</v>
      </c>
      <c r="E8147" s="415">
        <v>5</v>
      </c>
      <c r="F8147" s="415">
        <f t="shared" ref="F8147:F8153" si="254">+E8147*D8147</f>
      </c>
      <c r="G8147" s="415">
        <v>1</v>
      </c>
      <c r="H8147" s="416">
        <f t="shared" ref="H8147:H8153" si="255">+G8147*F8147</f>
      </c>
    </row>
    <row r="8148" spans="1:8" ht="15.75" customHeight="1" x14ac:dyDescent="0.25">
      <c r="A8148" s="412" t="s">
        <v>59</v>
      </c>
      <c r="B8148" s="644" t="s">
        <v>80</v>
      </c>
      <c r="C8148" s="420" t="s">
        <v>77</v>
      </c>
      <c r="D8148" s="415">
        <v>4</v>
      </c>
      <c r="E8148" s="415">
        <v>5</v>
      </c>
      <c r="F8148" s="415">
        <f t="shared" si="254"/>
      </c>
      <c r="G8148" s="415">
        <v>1</v>
      </c>
      <c r="H8148" s="416">
        <f t="shared" si="255"/>
      </c>
    </row>
    <row r="8149" spans="1:8" ht="15.75" customHeight="1" x14ac:dyDescent="0.25">
      <c r="A8149" s="412" t="s">
        <v>485</v>
      </c>
      <c r="B8149" s="644" t="s">
        <v>618</v>
      </c>
      <c r="C8149" s="420" t="s">
        <v>87</v>
      </c>
      <c r="D8149" s="415">
        <v>2</v>
      </c>
      <c r="E8149" s="415">
        <v>5</v>
      </c>
      <c r="F8149" s="415">
        <f t="shared" si="254"/>
      </c>
      <c r="G8149" s="415">
        <v>1</v>
      </c>
      <c r="H8149" s="416">
        <f t="shared" si="255"/>
      </c>
    </row>
    <row r="8150" spans="1:8" ht="15.75" customHeight="1" x14ac:dyDescent="0.25">
      <c r="A8150" s="412" t="s">
        <v>486</v>
      </c>
      <c r="B8150" s="644" t="s">
        <v>655</v>
      </c>
      <c r="C8150" s="420" t="s">
        <v>94</v>
      </c>
      <c r="D8150" s="415">
        <v>2</v>
      </c>
      <c r="E8150" s="415">
        <v>5</v>
      </c>
      <c r="F8150" s="415">
        <f t="shared" si="254"/>
      </c>
      <c r="G8150" s="415">
        <v>1</v>
      </c>
      <c r="H8150" s="416">
        <f t="shared" si="255"/>
      </c>
    </row>
    <row r="8151" spans="1:8" ht="15.75" customHeight="1" x14ac:dyDescent="0.25">
      <c r="A8151" s="412" t="s">
        <v>489</v>
      </c>
      <c r="B8151" s="644" t="s">
        <v>125</v>
      </c>
      <c r="C8151" s="420" t="s">
        <v>324</v>
      </c>
      <c r="D8151" s="415">
        <v>2</v>
      </c>
      <c r="E8151" s="415">
        <v>5</v>
      </c>
      <c r="F8151" s="415">
        <f t="shared" si="254"/>
      </c>
      <c r="G8151" s="415">
        <v>1</v>
      </c>
      <c r="H8151" s="416">
        <f t="shared" si="255"/>
      </c>
    </row>
    <row r="8152" spans="1:8" ht="15.75" customHeight="1" x14ac:dyDescent="0.25">
      <c r="A8152" s="412" t="s">
        <v>490</v>
      </c>
      <c r="B8152" s="644" t="s">
        <v>45</v>
      </c>
      <c r="C8152" s="420" t="s">
        <v>41</v>
      </c>
      <c r="D8152" s="415">
        <v>1</v>
      </c>
      <c r="E8152" s="415">
        <v>5</v>
      </c>
      <c r="F8152" s="415">
        <f t="shared" si="254"/>
      </c>
      <c r="G8152" s="415">
        <v>1</v>
      </c>
      <c r="H8152" s="416">
        <f t="shared" si="255"/>
      </c>
    </row>
    <row r="8153" spans="1:8" ht="15.75" customHeight="1" x14ac:dyDescent="0.25">
      <c r="A8153" s="412" t="s">
        <v>781</v>
      </c>
      <c r="B8153" s="644" t="s">
        <v>1829</v>
      </c>
      <c r="C8153" s="420" t="s">
        <v>331</v>
      </c>
      <c r="D8153" s="415">
        <v>2</v>
      </c>
      <c r="E8153" s="415">
        <v>5</v>
      </c>
      <c r="F8153" s="415">
        <f t="shared" si="254"/>
      </c>
      <c r="G8153" s="415">
        <v>1</v>
      </c>
      <c r="H8153" s="416">
        <f t="shared" si="255"/>
      </c>
    </row>
    <row r="8154" spans="1:8" ht="15.75" customHeight="1" x14ac:dyDescent="0.25">
      <c r="A8154" s="412"/>
      <c r="B8154" s="654" t="s">
        <v>1822</v>
      </c>
      <c r="C8154" s="654"/>
      <c r="D8154" s="415"/>
      <c r="E8154" s="415"/>
      <c r="F8154" s="415"/>
      <c r="G8154" s="415"/>
      <c r="H8154" s="416"/>
    </row>
    <row r="8155" spans="1:8" ht="15.75" customHeight="1" x14ac:dyDescent="0.25">
      <c r="A8155" s="412" t="s">
        <v>785</v>
      </c>
      <c r="B8155" s="644" t="s">
        <v>1830</v>
      </c>
      <c r="C8155" s="420"/>
      <c r="D8155" s="415">
        <v>2</v>
      </c>
      <c r="E8155" s="415">
        <v>10</v>
      </c>
      <c r="F8155" s="415">
        <f t="shared" ref="F8155:F8156" si="256">+E8155*D8155</f>
      </c>
      <c r="G8155" s="415">
        <v>1</v>
      </c>
      <c r="H8155" s="416">
        <f t="shared" ref="H8155:H8156" si="257">+G8155*F8155</f>
      </c>
    </row>
    <row r="8156" spans="1:8" ht="15.75" customHeight="1" x14ac:dyDescent="0.25">
      <c r="A8156" s="412" t="s">
        <v>787</v>
      </c>
      <c r="B8156" s="644" t="s">
        <v>1745</v>
      </c>
      <c r="C8156" s="420"/>
      <c r="D8156" s="415">
        <v>2</v>
      </c>
      <c r="E8156" s="415">
        <v>10</v>
      </c>
      <c r="F8156" s="415">
        <f t="shared" si="256"/>
      </c>
      <c r="G8156" s="415">
        <v>1</v>
      </c>
      <c r="H8156" s="416">
        <f t="shared" si="257"/>
      </c>
    </row>
    <row r="8157" spans="1:8" ht="15.75" customHeight="1" x14ac:dyDescent="0.25">
      <c r="A8157" s="412"/>
      <c r="B8157" s="654" t="s">
        <v>590</v>
      </c>
      <c r="C8157" s="654"/>
      <c r="D8157" s="415"/>
      <c r="E8157" s="415"/>
      <c r="F8157" s="415"/>
      <c r="G8157" s="415"/>
      <c r="H8157" s="416"/>
    </row>
    <row r="8158" spans="1:8" ht="15.75" customHeight="1" x14ac:dyDescent="0.25">
      <c r="A8158" s="412" t="s">
        <v>790</v>
      </c>
      <c r="B8158" s="644" t="s">
        <v>815</v>
      </c>
      <c r="C8158" s="420" t="s">
        <v>385</v>
      </c>
      <c r="D8158" s="415">
        <v>2</v>
      </c>
      <c r="E8158" s="415">
        <v>6</v>
      </c>
      <c r="F8158" s="415">
        <f>+E8158*D8158</f>
      </c>
      <c r="G8158" s="415">
        <v>1</v>
      </c>
      <c r="H8158" s="416">
        <f>+G8158*F8158</f>
      </c>
    </row>
    <row r="8159" spans="1:8" ht="15.75" customHeight="1" x14ac:dyDescent="0.25">
      <c r="A8159" s="412"/>
      <c r="B8159" s="654" t="s">
        <v>1832</v>
      </c>
      <c r="C8159" s="654"/>
      <c r="D8159" s="415"/>
      <c r="E8159" s="415"/>
      <c r="F8159" s="415"/>
      <c r="G8159" s="415"/>
      <c r="H8159" s="416"/>
    </row>
    <row r="8160" spans="1:8" ht="15.75" customHeight="1" x14ac:dyDescent="0.25">
      <c r="A8160" s="581" t="s">
        <v>792</v>
      </c>
      <c r="B8160" s="417" t="s">
        <v>1833</v>
      </c>
      <c r="C8160" s="418" t="s">
        <v>445</v>
      </c>
      <c r="D8160" s="415">
        <v>1</v>
      </c>
      <c r="E8160" s="415">
        <v>25</v>
      </c>
      <c r="F8160" s="415">
        <f>+E8160*D8160</f>
      </c>
      <c r="G8160" s="415">
        <v>1</v>
      </c>
      <c r="H8160" s="416">
        <f>+G8160*F8160</f>
      </c>
    </row>
    <row r="8161" spans="1:8" ht="15.75" customHeight="1" x14ac:dyDescent="0.25">
      <c r="A8161" s="581"/>
      <c r="B8161" s="654" t="s">
        <v>1834</v>
      </c>
      <c r="C8161" s="654"/>
      <c r="D8161" s="415"/>
      <c r="E8161" s="415"/>
      <c r="F8161" s="415"/>
      <c r="G8161" s="415"/>
      <c r="H8161" s="416"/>
    </row>
    <row r="8162" spans="1:8" ht="15.75" customHeight="1" x14ac:dyDescent="0.25">
      <c r="A8162" s="581" t="s">
        <v>796</v>
      </c>
      <c r="B8162" s="417" t="s">
        <v>1077</v>
      </c>
      <c r="C8162" s="418" t="s">
        <v>5</v>
      </c>
      <c r="D8162" s="415">
        <v>5</v>
      </c>
      <c r="E8162" s="415">
        <v>24</v>
      </c>
      <c r="F8162" s="415">
        <f>+E8162*D8162</f>
      </c>
      <c r="G8162" s="415">
        <v>1</v>
      </c>
      <c r="H8162" s="416">
        <f>+G8162*F8162</f>
      </c>
    </row>
    <row r="8163" spans="1:8" ht="15.75" customHeight="1" x14ac:dyDescent="0.25">
      <c r="A8163" s="581"/>
      <c r="B8163" s="417"/>
      <c r="C8163" s="418"/>
      <c r="D8163" s="415"/>
      <c r="E8163" s="415"/>
      <c r="F8163" s="415"/>
      <c r="G8163" s="415"/>
      <c r="H8163" s="416"/>
    </row>
    <row r="8164" spans="1:8" ht="15.75" customHeight="1" x14ac:dyDescent="0.25">
      <c r="A8164" s="581"/>
      <c r="B8164" s="582"/>
      <c r="C8164" s="582"/>
      <c r="D8164" s="415"/>
      <c r="E8164" s="415"/>
      <c r="F8164" s="415"/>
      <c r="G8164" s="415"/>
      <c r="H8164" s="589"/>
    </row>
    <row r="8165" spans="1:8" ht="15.75" customHeight="1" x14ac:dyDescent="0.25">
      <c r="A8165" s="430"/>
      <c r="B8165" s="409"/>
      <c r="C8165" s="393"/>
      <c r="D8165" s="427"/>
      <c r="E8165" s="427"/>
      <c r="F8165" s="428"/>
      <c r="G8165" s="427"/>
      <c r="H8165" s="429"/>
    </row>
    <row r="8166" spans="1:8" ht="15.75" customHeight="1" x14ac:dyDescent="0.25">
      <c r="A8166" s="432"/>
      <c r="B8166" s="433"/>
      <c r="C8166" s="434" t="s">
        <v>85</v>
      </c>
      <c r="D8166" s="659">
        <f>SUM(D8147:D8165)</f>
      </c>
      <c r="E8166" s="401"/>
      <c r="F8166" s="660"/>
      <c r="G8166" s="661"/>
      <c r="H8166" s="623">
        <f>SUM(H8147:H8165)</f>
      </c>
    </row>
    <row r="8167" spans="1:8" ht="15.75" customHeight="1" x14ac:dyDescent="0.25">
      <c r="A8167" s="439"/>
      <c r="B8167" s="440"/>
      <c r="C8167" s="440"/>
      <c r="D8167" s="441"/>
      <c r="E8167" s="440"/>
      <c r="F8167" s="442"/>
      <c r="G8167" s="443"/>
      <c r="H8167" s="444"/>
    </row>
    <row r="8168" spans="1:8" ht="15.75" customHeight="1" x14ac:dyDescent="0.25">
      <c r="A8168" s="392"/>
      <c r="B8168" s="391"/>
      <c r="C8168" s="391"/>
      <c r="D8168" s="391"/>
      <c r="E8168" s="390"/>
      <c r="F8168" s="392"/>
      <c r="G8168" s="390"/>
      <c r="H8168" s="394"/>
    </row>
    <row r="8169" spans="1:8" ht="15.75" customHeight="1" x14ac:dyDescent="0.25">
      <c r="A8169" s="445"/>
      <c r="B8169" s="445"/>
      <c r="C8169" s="445"/>
      <c r="D8169" s="446" t="s">
        <v>97</v>
      </c>
      <c r="E8169" s="445" t="s">
        <v>98</v>
      </c>
      <c r="F8169" s="445"/>
      <c r="G8169" s="390"/>
      <c r="H8169" s="394"/>
    </row>
    <row r="8170" spans="1:8" ht="15.75" customHeight="1" x14ac:dyDescent="0.25">
      <c r="A8170" s="390"/>
      <c r="B8170" s="390"/>
      <c r="C8170" s="390"/>
      <c r="D8170" s="391"/>
      <c r="E8170" s="390"/>
      <c r="F8170" s="390"/>
      <c r="G8170" s="390"/>
      <c r="H8170" s="394"/>
    </row>
    <row r="8171" spans="1:8" ht="15.75" customHeight="1" x14ac:dyDescent="0.25">
      <c r="A8171" s="390"/>
      <c r="B8171" s="390"/>
      <c r="C8171" s="390"/>
      <c r="D8171" s="391"/>
      <c r="E8171" s="390"/>
      <c r="F8171" s="390"/>
      <c r="G8171" s="390"/>
      <c r="H8171" s="394"/>
    </row>
    <row r="8172" spans="1:8" ht="15.75" customHeight="1" x14ac:dyDescent="0.25">
      <c r="A8172" s="445"/>
      <c r="B8172" s="445"/>
      <c r="C8172" s="445"/>
      <c r="D8172" s="446"/>
      <c r="E8172" s="445" t="s">
        <v>99</v>
      </c>
      <c r="F8172" s="445"/>
      <c r="G8172" s="390"/>
      <c r="H8172" s="394"/>
    </row>
    <row r="8173" spans="1:8" ht="15.75" customHeight="1" x14ac:dyDescent="0.25">
      <c r="D8173" s="4"/>
      <c r="H8173" s="4"/>
    </row>
    <row r="8174" spans="1:8" ht="15.75" customHeight="1" x14ac:dyDescent="0.25">
      <c r="D8174" s="4"/>
      <c r="H8174" s="4"/>
    </row>
    <row r="8175" spans="1:8" ht="15.75" customHeight="1" x14ac:dyDescent="0.25">
      <c r="D8175" s="4"/>
      <c r="H8175" s="4"/>
    </row>
    <row r="8176" spans="1:8" ht="15.75" customHeight="1" x14ac:dyDescent="0.25">
      <c r="A8176" s="392" t="s">
        <v>14</v>
      </c>
      <c r="B8176" s="391"/>
      <c r="C8176" s="391"/>
      <c r="D8176" s="391"/>
      <c r="E8176" s="391"/>
      <c r="F8176" s="391"/>
      <c r="G8176" s="391"/>
      <c r="H8176" s="394"/>
    </row>
    <row r="8177" spans="1:8" ht="15.75" customHeight="1" x14ac:dyDescent="0.25">
      <c r="A8177" s="392"/>
      <c r="B8177" s="391"/>
      <c r="C8177" s="391"/>
      <c r="D8177" s="391"/>
      <c r="E8177" s="390"/>
      <c r="F8177" s="392"/>
      <c r="G8177" s="390"/>
      <c r="H8177" s="394"/>
    </row>
    <row r="8178" spans="1:8" ht="15.75" customHeight="1" x14ac:dyDescent="0.25">
      <c r="A8178" s="392"/>
      <c r="B8178" s="391"/>
      <c r="C8178" s="391"/>
      <c r="D8178" s="391"/>
      <c r="E8178" s="390"/>
      <c r="F8178" s="392"/>
      <c r="G8178" s="390"/>
      <c r="H8178" s="394"/>
    </row>
    <row r="8179" spans="1:8" ht="15.75" customHeight="1" x14ac:dyDescent="0.25">
      <c r="A8179" s="390" t="s">
        <v>20</v>
      </c>
      <c r="B8179" s="390"/>
      <c r="C8179" s="390"/>
      <c r="D8179" s="391"/>
      <c r="E8179" s="390"/>
      <c r="F8179" s="392"/>
      <c r="G8179" s="390"/>
      <c r="H8179" s="394"/>
    </row>
    <row r="8180" spans="1:8" ht="15.75" customHeight="1" x14ac:dyDescent="0.25">
      <c r="A8180" s="390" t="inlineStr">
        <is>
          <t>Dealer-002</t>
        </is>
      </c>
      <c r="B8180" s="390"/>
      <c r="C8180" s="390"/>
      <c r="D8180" s="391"/>
      <c r="E8180" s="390"/>
      <c r="F8180" s="395" t="s">
        <v>18</v>
      </c>
      <c r="G8180" s="390" t="s">
        <v>951</v>
      </c>
      <c r="H8180" s="394"/>
    </row>
    <row r="8181" spans="1:8" ht="15.75" customHeight="1" x14ac:dyDescent="0.25">
      <c r="A8181" s="390" t="inlineStr">
        <is>
          <t>Address line (redacted)</t>
        </is>
      </c>
      <c r="B8181" s="390"/>
      <c r="C8181" s="390"/>
      <c r="D8181" s="391"/>
      <c r="E8181" s="390"/>
      <c r="F8181" s="393" t="s">
        <v>21</v>
      </c>
      <c r="G8181" s="390" t="s">
        <v>1835</v>
      </c>
      <c r="H8181" s="394"/>
    </row>
    <row r="8182" spans="1:8" ht="15.75" customHeight="1" x14ac:dyDescent="0.25">
      <c r="A8182" s="390" t="inlineStr">
        <is>
          <t>Address line (redacted)</t>
        </is>
      </c>
      <c r="B8182" s="390"/>
      <c r="C8182" s="390"/>
      <c r="D8182" s="391"/>
      <c r="E8182" s="390"/>
      <c r="F8182" s="391"/>
      <c r="G8182" s="390"/>
      <c r="H8182" s="394"/>
    </row>
    <row r="8183" spans="1:8" ht="15.75" customHeight="1" x14ac:dyDescent="0.25">
      <c r="A8183" s="390"/>
      <c r="B8183" s="390"/>
      <c r="C8183" s="393"/>
      <c r="D8183" s="391"/>
      <c r="E8183" s="390"/>
      <c r="F8183" s="391"/>
      <c r="G8183" s="390"/>
      <c r="H8183" s="394"/>
    </row>
    <row r="8184" spans="1:8" ht="15.75" customHeight="1" x14ac:dyDescent="0.25">
      <c r="A8184" s="390"/>
      <c r="B8184" s="390"/>
      <c r="C8184" s="390"/>
      <c r="D8184" s="391"/>
      <c r="E8184" s="390"/>
      <c r="F8184" s="391"/>
      <c r="G8184" s="390"/>
      <c r="H8184" s="394"/>
    </row>
    <row r="8185" spans="1:8" ht="15.75" customHeight="1" x14ac:dyDescent="0.25">
      <c r="A8185" s="390" t="s">
        <v>30</v>
      </c>
      <c r="B8185" s="390"/>
      <c r="C8185" s="390"/>
      <c r="D8185" s="391"/>
      <c r="E8185" s="390"/>
      <c r="F8185" s="391"/>
      <c r="G8185" s="390"/>
      <c r="H8185" s="394"/>
    </row>
    <row r="8186" spans="1:8" ht="15.75" customHeight="1" x14ac:dyDescent="0.25">
      <c r="A8186" s="390"/>
      <c r="B8186" s="390"/>
      <c r="C8186" s="390"/>
      <c r="D8186" s="391"/>
      <c r="E8186" s="390"/>
      <c r="F8186" s="391"/>
      <c r="G8186" s="390"/>
      <c r="H8186" s="394"/>
    </row>
    <row r="8187" spans="1:8" ht="15.75" customHeight="1" x14ac:dyDescent="0.25">
      <c r="A8187" s="390" t="s">
        <v>1322</v>
      </c>
      <c r="B8187" s="390"/>
      <c r="C8187" s="390"/>
      <c r="D8187" s="391"/>
      <c r="E8187" s="390"/>
      <c r="F8187" s="391"/>
      <c r="G8187" s="390"/>
      <c r="H8187" s="394"/>
    </row>
    <row r="8188" spans="1:8" ht="15.75" customHeight="1" x14ac:dyDescent="0.25">
      <c r="A8188" s="390" t="s">
        <v>1328</v>
      </c>
      <c r="B8188" s="390"/>
      <c r="C8188" s="390"/>
      <c r="D8188" s="391"/>
      <c r="E8188" s="390"/>
      <c r="F8188" s="391"/>
      <c r="G8188" s="390"/>
      <c r="H8188" s="394"/>
    </row>
    <row r="8189" spans="1:8" ht="15.75" customHeight="1" x14ac:dyDescent="0.25">
      <c r="A8189" s="390"/>
      <c r="B8189" s="390"/>
      <c r="C8189" s="390"/>
      <c r="D8189" s="391"/>
      <c r="E8189" s="390"/>
      <c r="F8189" s="391"/>
      <c r="G8189" s="390"/>
      <c r="H8189" s="394"/>
    </row>
    <row r="8190" spans="1:8" ht="15.75" customHeight="1" x14ac:dyDescent="0.25">
      <c r="A8190" s="399" t="s">
        <v>33</v>
      </c>
      <c r="B8190" s="400" t="s">
        <v>6</v>
      </c>
      <c r="C8190" s="400"/>
      <c r="D8190" s="401" t="s">
        <v>37</v>
      </c>
      <c r="E8190" s="402" t="s">
        <v>1309</v>
      </c>
      <c r="F8190" s="609" t="s">
        <v>7</v>
      </c>
      <c r="G8190" s="400" t="s">
        <v>43</v>
      </c>
      <c r="H8190" s="405" t="s">
        <v>44</v>
      </c>
    </row>
    <row r="8191" spans="1:8" ht="15.75" customHeight="1" x14ac:dyDescent="0.25">
      <c r="A8191" s="610"/>
      <c r="B8191" s="611"/>
      <c r="C8191" s="611"/>
      <c r="D8191" s="612"/>
      <c r="E8191" s="613"/>
      <c r="F8191" s="614"/>
      <c r="G8191" s="611"/>
      <c r="H8191" s="615"/>
    </row>
    <row r="8192" spans="1:8" ht="15.75" customHeight="1" x14ac:dyDescent="0.25">
      <c r="A8192" s="581"/>
      <c r="B8192" s="654" t="s">
        <v>1102</v>
      </c>
      <c r="C8192" s="654"/>
      <c r="D8192" s="415"/>
      <c r="E8192" s="415"/>
      <c r="F8192" s="415"/>
      <c r="G8192" s="415"/>
      <c r="H8192" s="589"/>
    </row>
    <row r="8193" spans="1:8" ht="15.75" customHeight="1" x14ac:dyDescent="0.25">
      <c r="A8193" s="581" t="s">
        <v>55</v>
      </c>
      <c r="B8193" s="644" t="s">
        <v>80</v>
      </c>
      <c r="C8193" s="644" t="s">
        <v>77</v>
      </c>
      <c r="D8193" s="592">
        <v>1</v>
      </c>
      <c r="E8193" s="415">
        <v>5</v>
      </c>
      <c r="F8193" s="415">
        <f>+E8193</f>
      </c>
      <c r="G8193" s="415">
        <v>1</v>
      </c>
      <c r="H8193" s="589">
        <f>+G8193*F8193</f>
      </c>
    </row>
    <row r="8194" spans="1:8" ht="15.75" customHeight="1" x14ac:dyDescent="0.25">
      <c r="A8194" s="581"/>
      <c r="B8194" s="654" t="s">
        <v>531</v>
      </c>
      <c r="C8194" s="654"/>
      <c r="D8194" s="415"/>
      <c r="E8194" s="415"/>
      <c r="F8194" s="415"/>
      <c r="G8194" s="415"/>
      <c r="H8194" s="589"/>
    </row>
    <row r="8195" spans="1:8" ht="15.75" customHeight="1" x14ac:dyDescent="0.25">
      <c r="A8195" s="581" t="s">
        <v>67</v>
      </c>
      <c r="B8195" s="582" t="s">
        <v>1836</v>
      </c>
      <c r="C8195" s="582"/>
      <c r="D8195" s="415">
        <v>1</v>
      </c>
      <c r="E8195" s="415">
        <v>5</v>
      </c>
      <c r="F8195" s="415">
        <f>+E8195*D8195</f>
      </c>
      <c r="G8195" s="415">
        <v>1</v>
      </c>
      <c r="H8195" s="589">
        <f>+G8195*F8195</f>
      </c>
    </row>
    <row r="8196" spans="1:8" ht="15.75" customHeight="1" x14ac:dyDescent="0.25">
      <c r="A8196" s="430"/>
      <c r="B8196" s="409"/>
      <c r="C8196" s="393"/>
      <c r="D8196" s="427"/>
      <c r="E8196" s="427"/>
      <c r="F8196" s="428"/>
      <c r="G8196" s="427"/>
      <c r="H8196" s="429"/>
    </row>
    <row r="8197" spans="1:8" ht="15.75" customHeight="1" x14ac:dyDescent="0.25">
      <c r="A8197" s="432"/>
      <c r="B8197" s="433"/>
      <c r="C8197" s="434" t="s">
        <v>85</v>
      </c>
      <c r="D8197" s="659">
        <f>SUM(D8192:D8196)</f>
      </c>
      <c r="E8197" s="401"/>
      <c r="F8197" s="660"/>
      <c r="G8197" s="661"/>
      <c r="H8197" s="623">
        <f>SUM(H8192:H8196)</f>
      </c>
    </row>
    <row r="8198" spans="1:8" ht="15.75" customHeight="1" x14ac:dyDescent="0.25">
      <c r="A8198" s="439"/>
      <c r="B8198" s="440"/>
      <c r="C8198" s="440"/>
      <c r="D8198" s="441"/>
      <c r="E8198" s="440"/>
      <c r="F8198" s="442"/>
      <c r="G8198" s="443"/>
      <c r="H8198" s="444"/>
    </row>
    <row r="8199" spans="1:8" ht="15.75" customHeight="1" x14ac:dyDescent="0.25">
      <c r="A8199" s="392"/>
      <c r="B8199" s="391"/>
      <c r="C8199" s="391"/>
      <c r="D8199" s="391"/>
      <c r="E8199" s="390"/>
      <c r="F8199" s="392"/>
      <c r="G8199" s="390"/>
      <c r="H8199" s="394"/>
    </row>
    <row r="8200" spans="1:8" ht="15.75" customHeight="1" x14ac:dyDescent="0.25">
      <c r="A8200" s="445"/>
      <c r="B8200" s="445"/>
      <c r="C8200" s="445"/>
      <c r="D8200" s="446" t="s">
        <v>97</v>
      </c>
      <c r="E8200" s="445" t="s">
        <v>98</v>
      </c>
      <c r="F8200" s="445"/>
      <c r="G8200" s="390"/>
      <c r="H8200" s="394"/>
    </row>
    <row r="8201" spans="1:8" ht="15.75" customHeight="1" x14ac:dyDescent="0.25">
      <c r="A8201" s="390"/>
      <c r="B8201" s="390"/>
      <c r="C8201" s="390"/>
      <c r="D8201" s="391"/>
      <c r="E8201" s="390"/>
      <c r="F8201" s="390"/>
      <c r="G8201" s="390"/>
      <c r="H8201" s="394"/>
    </row>
    <row r="8202" spans="1:8" ht="15.75" customHeight="1" x14ac:dyDescent="0.25">
      <c r="A8202" s="390"/>
      <c r="B8202" s="390"/>
      <c r="C8202" s="390"/>
      <c r="D8202" s="391"/>
      <c r="E8202" s="390"/>
      <c r="F8202" s="390"/>
      <c r="G8202" s="390"/>
      <c r="H8202" s="394"/>
    </row>
    <row r="8203" spans="1:8" ht="15.75" customHeight="1" x14ac:dyDescent="0.25">
      <c r="A8203" s="445"/>
      <c r="B8203" s="445"/>
      <c r="C8203" s="445"/>
      <c r="D8203" s="446"/>
      <c r="E8203" s="445" t="s">
        <v>99</v>
      </c>
      <c r="F8203" s="445"/>
      <c r="G8203" s="390"/>
      <c r="H8203" s="394"/>
    </row>
    <row r="8204" spans="1:8" ht="15.75" customHeight="1" x14ac:dyDescent="0.25">
      <c r="D8204" s="4"/>
      <c r="H8204" s="4"/>
    </row>
    <row r="8205" spans="1:8" ht="15.75" customHeight="1" x14ac:dyDescent="0.25">
      <c r="D8205" s="4"/>
      <c r="H8205" s="4"/>
    </row>
    <row r="8206" spans="1:8" ht="15.75" customHeight="1" x14ac:dyDescent="0.25">
      <c r="D8206" s="4"/>
      <c r="H8206" s="4"/>
    </row>
    <row r="8207" spans="1:8" ht="15.75" customHeight="1" x14ac:dyDescent="0.25">
      <c r="D8207" s="4"/>
      <c r="H8207" s="4"/>
    </row>
    <row r="8208" spans="1:8" ht="15.75" customHeight="1" x14ac:dyDescent="0.25">
      <c r="D8208" s="4"/>
      <c r="H8208" s="4"/>
    </row>
    <row r="8209" spans="1:8" ht="15.75" customHeight="1" x14ac:dyDescent="0.25">
      <c r="D8209" s="4"/>
      <c r="H8209" s="4"/>
    </row>
    <row r="8210" spans="1:8" ht="15.75" customHeight="1" x14ac:dyDescent="0.25">
      <c r="D8210" s="4"/>
      <c r="H8210" s="4"/>
    </row>
    <row r="8211" spans="1:8" ht="15.75" customHeight="1" x14ac:dyDescent="0.25">
      <c r="D8211" s="4"/>
      <c r="H8211" s="4"/>
    </row>
    <row r="8212" spans="1:8" ht="15.75" customHeight="1" x14ac:dyDescent="0.25">
      <c r="D8212" s="4"/>
      <c r="H8212" s="4"/>
    </row>
    <row r="8213" spans="1:8" ht="15.75" customHeight="1" x14ac:dyDescent="0.25">
      <c r="D8213" s="4"/>
      <c r="H8213" s="4"/>
    </row>
    <row r="8214" spans="1:8" ht="15.75" customHeight="1" x14ac:dyDescent="0.25">
      <c r="D8214" s="4"/>
      <c r="H8214" s="4"/>
    </row>
    <row r="8215" spans="1:8" ht="15.75" customHeight="1" x14ac:dyDescent="0.25">
      <c r="D8215" s="4"/>
      <c r="H8215" s="4"/>
    </row>
    <row r="8216" spans="1:8" ht="15.75" customHeight="1" x14ac:dyDescent="0.25">
      <c r="D8216" s="4"/>
      <c r="H8216" s="4"/>
    </row>
    <row r="8217" spans="1:8" ht="15.75" customHeight="1" x14ac:dyDescent="0.25">
      <c r="D8217" s="4"/>
      <c r="H8217" s="4"/>
    </row>
    <row r="8218" spans="1:8" ht="15.75" customHeight="1" x14ac:dyDescent="0.25">
      <c r="D8218" s="4"/>
      <c r="H8218" s="4"/>
    </row>
    <row r="8219" spans="1:8" ht="15.75" customHeight="1" x14ac:dyDescent="0.25">
      <c r="D8219" s="4"/>
      <c r="H8219" s="4"/>
    </row>
    <row r="8220" spans="1:8" ht="15.75" customHeight="1" x14ac:dyDescent="0.25">
      <c r="D8220" s="4"/>
      <c r="H8220" s="4"/>
    </row>
    <row r="8221" spans="1:8" ht="15.75" customHeight="1" x14ac:dyDescent="0.25">
      <c r="D8221" s="4"/>
      <c r="H8221" s="4"/>
    </row>
    <row r="8222" spans="1:8" ht="15.75" customHeight="1" x14ac:dyDescent="0.25">
      <c r="A8222" s="392" t="s">
        <v>14</v>
      </c>
      <c r="B8222" s="391"/>
      <c r="C8222" s="391"/>
      <c r="D8222" s="391"/>
      <c r="E8222" s="391"/>
      <c r="F8222" s="391"/>
      <c r="G8222" s="391"/>
      <c r="H8222" s="394"/>
    </row>
    <row r="8223" spans="1:8" ht="15.75" customHeight="1" x14ac:dyDescent="0.25">
      <c r="A8223" s="392"/>
      <c r="B8223" s="391"/>
      <c r="C8223" s="391"/>
      <c r="D8223" s="391"/>
      <c r="E8223" s="390"/>
      <c r="F8223" s="392"/>
      <c r="G8223" s="390"/>
      <c r="H8223" s="394"/>
    </row>
    <row r="8224" spans="1:8" ht="15.75" customHeight="1" x14ac:dyDescent="0.25">
      <c r="A8224" s="392"/>
      <c r="B8224" s="391"/>
      <c r="C8224" s="391"/>
      <c r="D8224" s="391"/>
      <c r="E8224" s="390"/>
      <c r="F8224" s="392"/>
      <c r="G8224" s="390"/>
      <c r="H8224" s="394"/>
    </row>
    <row r="8225" spans="1:8" ht="15.75" customHeight="1" x14ac:dyDescent="0.25">
      <c r="A8225" s="390" t="s">
        <v>20</v>
      </c>
      <c r="B8225" s="390"/>
      <c r="C8225" s="390"/>
      <c r="D8225" s="391"/>
      <c r="E8225" s="390"/>
      <c r="F8225" s="392"/>
      <c r="G8225" s="390"/>
      <c r="H8225" s="394"/>
    </row>
    <row r="8226" spans="1:8" ht="15.75" customHeight="1" x14ac:dyDescent="0.25">
      <c r="A8226" s="390" t="inlineStr">
        <is>
          <t>Dealer-003</t>
        </is>
      </c>
      <c r="B8226" s="390"/>
      <c r="C8226" s="390"/>
      <c r="D8226" s="391"/>
      <c r="E8226" s="390"/>
      <c r="F8226" s="395" t="s">
        <v>18</v>
      </c>
      <c r="G8226" s="390" t="s">
        <v>951</v>
      </c>
      <c r="H8226" s="394"/>
    </row>
    <row r="8227" spans="1:8" ht="15.75" customHeight="1" x14ac:dyDescent="0.25">
      <c r="A8227" s="390" t="inlineStr">
        <is>
          <t>Address line (redacted)</t>
        </is>
      </c>
      <c r="B8227" s="390"/>
      <c r="C8227" s="390"/>
      <c r="D8227" s="391"/>
      <c r="E8227" s="390"/>
      <c r="F8227" s="393" t="s">
        <v>21</v>
      </c>
      <c r="G8227" s="390" t="s">
        <v>1837</v>
      </c>
      <c r="H8227" s="394"/>
    </row>
    <row r="8228" spans="1:8" ht="15.75" customHeight="1" x14ac:dyDescent="0.25">
      <c r="A8228" s="390" t="inlineStr">
        <is>
          <t>Address line (redacted)</t>
        </is>
      </c>
      <c r="B8228" s="390"/>
      <c r="C8228" s="390"/>
      <c r="D8228" s="391"/>
      <c r="E8228" s="390"/>
      <c r="F8228" s="391"/>
      <c r="G8228" s="390"/>
      <c r="H8228" s="394"/>
    </row>
    <row r="8229" spans="1:8" ht="15.75" customHeight="1" x14ac:dyDescent="0.25">
      <c r="A8229" s="390"/>
      <c r="B8229" s="390"/>
      <c r="C8229" s="393"/>
      <c r="D8229" s="391"/>
      <c r="E8229" s="390"/>
      <c r="F8229" s="391"/>
      <c r="G8229" s="390"/>
      <c r="H8229" s="394"/>
    </row>
    <row r="8230" spans="1:8" ht="15.75" customHeight="1" x14ac:dyDescent="0.25">
      <c r="A8230" s="390"/>
      <c r="B8230" s="390"/>
      <c r="C8230" s="390"/>
      <c r="D8230" s="391"/>
      <c r="E8230" s="390"/>
      <c r="F8230" s="391"/>
      <c r="G8230" s="390"/>
      <c r="H8230" s="394"/>
    </row>
    <row r="8231" spans="1:8" ht="15.75" customHeight="1" x14ac:dyDescent="0.25">
      <c r="A8231" s="390" t="s">
        <v>30</v>
      </c>
      <c r="B8231" s="390"/>
      <c r="C8231" s="390"/>
      <c r="D8231" s="391"/>
      <c r="E8231" s="390"/>
      <c r="F8231" s="391"/>
      <c r="G8231" s="390"/>
      <c r="H8231" s="394"/>
    </row>
    <row r="8232" spans="1:8" ht="15.75" customHeight="1" x14ac:dyDescent="0.25">
      <c r="A8232" s="390"/>
      <c r="B8232" s="390"/>
      <c r="C8232" s="390"/>
      <c r="D8232" s="391"/>
      <c r="E8232" s="390"/>
      <c r="F8232" s="391"/>
      <c r="G8232" s="390"/>
      <c r="H8232" s="394"/>
    </row>
    <row r="8233" spans="1:8" ht="15.75" customHeight="1" x14ac:dyDescent="0.25">
      <c r="A8233" s="390" t="s">
        <v>1322</v>
      </c>
      <c r="B8233" s="390"/>
      <c r="C8233" s="390"/>
      <c r="D8233" s="391"/>
      <c r="E8233" s="390"/>
      <c r="F8233" s="391"/>
      <c r="G8233" s="390"/>
      <c r="H8233" s="394"/>
    </row>
    <row r="8234" spans="1:8" ht="15.75" customHeight="1" x14ac:dyDescent="0.25">
      <c r="A8234" s="390" t="s">
        <v>1328</v>
      </c>
      <c r="B8234" s="390"/>
      <c r="C8234" s="390"/>
      <c r="D8234" s="391"/>
      <c r="E8234" s="390"/>
      <c r="F8234" s="391"/>
      <c r="G8234" s="390"/>
      <c r="H8234" s="394"/>
    </row>
    <row r="8235" spans="1:8" ht="15.75" customHeight="1" x14ac:dyDescent="0.25">
      <c r="A8235" s="390"/>
      <c r="B8235" s="390"/>
      <c r="C8235" s="390"/>
      <c r="D8235" s="391"/>
      <c r="E8235" s="390"/>
      <c r="F8235" s="391"/>
      <c r="G8235" s="390"/>
      <c r="H8235" s="394"/>
    </row>
    <row r="8236" spans="1:8" ht="15.75" customHeight="1" x14ac:dyDescent="0.25">
      <c r="A8236" s="399" t="s">
        <v>33</v>
      </c>
      <c r="B8236" s="400" t="s">
        <v>6</v>
      </c>
      <c r="C8236" s="400"/>
      <c r="D8236" s="401" t="s">
        <v>37</v>
      </c>
      <c r="E8236" s="402" t="s">
        <v>1309</v>
      </c>
      <c r="F8236" s="609" t="s">
        <v>7</v>
      </c>
      <c r="G8236" s="400" t="s">
        <v>43</v>
      </c>
      <c r="H8236" s="405" t="s">
        <v>44</v>
      </c>
    </row>
    <row r="8237" spans="1:8" ht="15.75" customHeight="1" x14ac:dyDescent="0.25">
      <c r="A8237" s="610"/>
      <c r="B8237" s="611"/>
      <c r="C8237" s="611"/>
      <c r="D8237" s="612"/>
      <c r="E8237" s="613"/>
      <c r="F8237" s="614"/>
      <c r="G8237" s="611"/>
      <c r="H8237" s="615"/>
    </row>
    <row r="8238" spans="1:8" ht="15.75" customHeight="1" x14ac:dyDescent="0.25">
      <c r="A8238" s="412"/>
      <c r="B8238" s="654" t="s">
        <v>1822</v>
      </c>
      <c r="C8238" s="654"/>
      <c r="D8238" s="415"/>
      <c r="E8238" s="415"/>
      <c r="F8238" s="415"/>
      <c r="G8238" s="415"/>
      <c r="H8238" s="416"/>
    </row>
    <row r="8239" spans="1:8" ht="15.75" customHeight="1" x14ac:dyDescent="0.25">
      <c r="A8239" s="412" t="s">
        <v>785</v>
      </c>
      <c r="B8239" s="644" t="s">
        <v>1830</v>
      </c>
      <c r="C8239" s="420"/>
      <c r="D8239" s="415">
        <v>5</v>
      </c>
      <c r="E8239" s="415">
        <v>10</v>
      </c>
      <c r="F8239" s="415">
        <f>+E8239*D8239</f>
      </c>
      <c r="G8239" s="415">
        <v>1</v>
      </c>
      <c r="H8239" s="416">
        <f>+G8239*F8239</f>
      </c>
    </row>
    <row r="8240" spans="1:8" ht="15.75" customHeight="1" x14ac:dyDescent="0.25">
      <c r="A8240" s="581"/>
      <c r="B8240" s="417"/>
      <c r="C8240" s="418"/>
      <c r="D8240" s="415"/>
      <c r="E8240" s="415"/>
      <c r="F8240" s="415"/>
      <c r="G8240" s="415"/>
      <c r="H8240" s="416"/>
    </row>
    <row r="8241" spans="1:8" ht="15.75" customHeight="1" x14ac:dyDescent="0.25">
      <c r="A8241" s="581"/>
      <c r="B8241" s="582"/>
      <c r="C8241" s="582"/>
      <c r="D8241" s="415"/>
      <c r="E8241" s="415"/>
      <c r="F8241" s="415"/>
      <c r="G8241" s="415"/>
      <c r="H8241" s="589"/>
    </row>
    <row r="8242" spans="1:8" ht="15.75" customHeight="1" x14ac:dyDescent="0.25">
      <c r="A8242" s="430"/>
      <c r="B8242" s="409"/>
      <c r="C8242" s="393"/>
      <c r="D8242" s="427"/>
      <c r="E8242" s="427"/>
      <c r="F8242" s="428"/>
      <c r="G8242" s="427"/>
      <c r="H8242" s="429"/>
    </row>
    <row r="8243" spans="1:8" ht="15.75" customHeight="1" x14ac:dyDescent="0.25">
      <c r="A8243" s="432"/>
      <c r="B8243" s="433"/>
      <c r="C8243" s="434" t="s">
        <v>85</v>
      </c>
      <c r="D8243" s="659">
        <f>SUM(D8238:D8242)</f>
      </c>
      <c r="E8243" s="401"/>
      <c r="F8243" s="660"/>
      <c r="G8243" s="661"/>
      <c r="H8243" s="623">
        <f>SUM(H8238:H8242)</f>
      </c>
    </row>
    <row r="8244" spans="1:8" ht="15.75" customHeight="1" x14ac:dyDescent="0.25">
      <c r="A8244" s="439"/>
      <c r="B8244" s="440"/>
      <c r="C8244" s="440"/>
      <c r="D8244" s="441"/>
      <c r="E8244" s="440"/>
      <c r="F8244" s="442"/>
      <c r="G8244" s="443"/>
      <c r="H8244" s="444"/>
    </row>
    <row r="8245" spans="1:8" ht="15.75" customHeight="1" x14ac:dyDescent="0.25">
      <c r="A8245" s="392"/>
      <c r="B8245" s="391"/>
      <c r="C8245" s="391"/>
      <c r="D8245" s="391"/>
      <c r="E8245" s="390"/>
      <c r="F8245" s="392"/>
      <c r="G8245" s="390"/>
      <c r="H8245" s="394"/>
    </row>
    <row r="8246" spans="1:8" ht="15.75" customHeight="1" x14ac:dyDescent="0.25">
      <c r="A8246" s="445"/>
      <c r="B8246" s="445"/>
      <c r="C8246" s="445"/>
      <c r="D8246" s="446" t="s">
        <v>97</v>
      </c>
      <c r="E8246" s="445" t="s">
        <v>98</v>
      </c>
      <c r="F8246" s="445"/>
      <c r="G8246" s="390"/>
      <c r="H8246" s="394"/>
    </row>
    <row r="8247" spans="1:8" ht="15.75" customHeight="1" x14ac:dyDescent="0.25">
      <c r="A8247" s="390"/>
      <c r="B8247" s="390"/>
      <c r="C8247" s="390"/>
      <c r="D8247" s="391"/>
      <c r="E8247" s="390"/>
      <c r="F8247" s="390"/>
      <c r="G8247" s="390"/>
      <c r="H8247" s="394"/>
    </row>
    <row r="8248" spans="1:8" ht="15.75" customHeight="1" x14ac:dyDescent="0.25">
      <c r="A8248" s="390"/>
      <c r="B8248" s="390"/>
      <c r="C8248" s="390"/>
      <c r="D8248" s="391"/>
      <c r="E8248" s="390"/>
      <c r="F8248" s="390"/>
      <c r="G8248" s="390"/>
      <c r="H8248" s="394"/>
    </row>
    <row r="8249" spans="1:8" ht="15.75" customHeight="1" x14ac:dyDescent="0.25">
      <c r="A8249" s="445"/>
      <c r="B8249" s="445"/>
      <c r="C8249" s="445"/>
      <c r="D8249" s="446"/>
      <c r="E8249" s="445" t="s">
        <v>99</v>
      </c>
      <c r="F8249" s="445"/>
      <c r="G8249" s="390"/>
      <c r="H8249" s="394"/>
    </row>
    <row r="8250" spans="1:8" ht="15.75" customHeight="1" x14ac:dyDescent="0.25">
      <c r="D8250" s="4"/>
      <c r="H8250" s="4"/>
    </row>
    <row r="8251" spans="1:8" ht="15.75" customHeight="1" x14ac:dyDescent="0.25">
      <c r="D8251" s="4"/>
      <c r="H8251" s="4"/>
    </row>
    <row r="8252" spans="1:8" ht="15.75" customHeight="1" x14ac:dyDescent="0.25">
      <c r="D8252" s="4"/>
      <c r="H8252" s="4"/>
    </row>
    <row r="8253" spans="1:8" ht="15.75" customHeight="1" x14ac:dyDescent="0.25">
      <c r="D8253" s="4"/>
      <c r="H8253" s="4"/>
    </row>
    <row r="8254" spans="1:8" ht="15.75" customHeight="1" x14ac:dyDescent="0.25">
      <c r="D8254" s="4"/>
      <c r="H8254" s="4"/>
    </row>
    <row r="8255" spans="1:8" ht="15.75" customHeight="1" x14ac:dyDescent="0.25">
      <c r="D8255" s="4"/>
      <c r="H8255" s="4"/>
    </row>
    <row r="8256" spans="1:8" ht="15.75" customHeight="1" x14ac:dyDescent="0.25">
      <c r="D8256" s="4"/>
      <c r="H8256" s="4"/>
    </row>
    <row r="8257" spans="1:8" ht="15.75" customHeight="1" x14ac:dyDescent="0.25">
      <c r="D8257" s="4"/>
      <c r="H8257" s="4"/>
    </row>
    <row r="8258" spans="1:8" ht="15.75" customHeight="1" x14ac:dyDescent="0.25">
      <c r="D8258" s="4"/>
      <c r="H8258" s="4"/>
    </row>
    <row r="8259" spans="1:8" ht="15.75" customHeight="1" x14ac:dyDescent="0.25">
      <c r="D8259" s="4"/>
      <c r="H8259" s="4"/>
    </row>
    <row r="8260" spans="1:8" ht="15.75" customHeight="1" x14ac:dyDescent="0.25">
      <c r="D8260" s="4"/>
      <c r="H8260" s="4"/>
    </row>
    <row r="8261" spans="1:8" ht="15.75" customHeight="1" x14ac:dyDescent="0.25">
      <c r="D8261" s="4"/>
      <c r="H8261" s="4"/>
    </row>
    <row r="8262" spans="1:8" ht="15.75" customHeight="1" x14ac:dyDescent="0.25">
      <c r="D8262" s="4"/>
      <c r="H8262" s="4"/>
    </row>
    <row r="8263" spans="1:8" ht="15.75" customHeight="1" x14ac:dyDescent="0.25">
      <c r="D8263" s="4"/>
      <c r="H8263" s="4"/>
    </row>
    <row r="8264" spans="1:8" ht="15.75" customHeight="1" x14ac:dyDescent="0.25">
      <c r="D8264" s="4"/>
      <c r="H8264" s="4"/>
    </row>
    <row r="8265" spans="1:8" ht="15.75" customHeight="1" x14ac:dyDescent="0.25">
      <c r="D8265" s="4"/>
      <c r="H8265" s="4"/>
    </row>
    <row r="8266" spans="1:8" ht="15.75" customHeight="1" x14ac:dyDescent="0.25">
      <c r="D8266" s="4"/>
      <c r="H8266" s="4"/>
    </row>
    <row r="8267" spans="1:8" ht="15.75" customHeight="1" x14ac:dyDescent="0.25">
      <c r="D8267" s="4"/>
      <c r="H8267" s="4"/>
    </row>
    <row r="8268" spans="1:8" ht="15.75" customHeight="1" x14ac:dyDescent="0.25">
      <c r="A8268" s="398" t="s">
        <v>14</v>
      </c>
      <c r="B8268" s="398"/>
      <c r="C8268" s="398"/>
      <c r="D8268" s="398"/>
      <c r="E8268" s="398"/>
      <c r="F8268" s="398"/>
      <c r="G8268" s="398"/>
      <c r="H8268" s="398"/>
    </row>
    <row r="8269" spans="1:8" ht="15.75" customHeight="1" x14ac:dyDescent="0.25">
      <c r="A8269" s="398"/>
      <c r="B8269" s="398"/>
      <c r="C8269" s="398"/>
      <c r="D8269" s="398"/>
      <c r="E8269" s="398"/>
      <c r="F8269" s="398"/>
      <c r="G8269" s="398"/>
      <c r="H8269" s="398"/>
    </row>
    <row r="8270" spans="1:8" ht="15.75" customHeight="1" x14ac:dyDescent="0.25">
      <c r="A8270" s="390"/>
      <c r="B8270" s="390"/>
      <c r="C8270" s="390"/>
      <c r="D8270" s="391"/>
      <c r="E8270" s="390"/>
      <c r="F8270" s="395" t="s">
        <v>18</v>
      </c>
      <c r="G8270" s="396" t="s">
        <v>958</v>
      </c>
      <c r="H8270" s="397"/>
    </row>
    <row r="8271" spans="1:8" ht="15.75" customHeight="1" x14ac:dyDescent="0.25">
      <c r="A8271" s="390" t="s">
        <v>20</v>
      </c>
      <c r="B8271" s="390"/>
      <c r="C8271" s="390"/>
      <c r="D8271" s="391"/>
      <c r="E8271" s="390"/>
      <c r="F8271" s="395" t="s">
        <v>21</v>
      </c>
      <c r="G8271" s="390" t="s">
        <v>1838</v>
      </c>
      <c r="H8271" s="391"/>
    </row>
    <row r="8272" spans="1:8" ht="15.75" customHeight="1" x14ac:dyDescent="0.25">
      <c r="A8272" s="390" t="inlineStr">
        <is>
          <t>Dealer-009</t>
        </is>
      </c>
      <c r="B8272" s="390"/>
      <c r="C8272" s="390" t="inlineStr">
        <is>
          <t>ATTN: Contact-001</t>
        </is>
      </c>
      <c r="D8272" s="391"/>
      <c r="E8272" s="395"/>
      <c r="F8272" s="390"/>
      <c r="G8272" s="390"/>
      <c r="H8272" s="394"/>
    </row>
    <row r="8273" spans="1:8" ht="15.75" customHeight="1" x14ac:dyDescent="0.25">
      <c r="A8273" s="390" t="inlineStr">
        <is>
          <t>Address line (redacted)</t>
        </is>
      </c>
      <c r="B8273" s="390"/>
      <c r="C8273" s="390"/>
      <c r="D8273" s="398"/>
      <c r="E8273" s="390"/>
      <c r="F8273" s="391"/>
      <c r="G8273" s="390"/>
      <c r="H8273" s="394"/>
    </row>
    <row r="8274" spans="1:8" ht="15.75" customHeight="1" x14ac:dyDescent="0.25">
      <c r="A8274" s="390" t="inlineStr">
        <is>
          <t>Address line (redacted)</t>
        </is>
      </c>
      <c r="B8274" s="390"/>
      <c r="C8274" s="390"/>
      <c r="D8274" s="398"/>
      <c r="E8274" s="390"/>
      <c r="F8274" s="391"/>
      <c r="G8274" s="390"/>
      <c r="H8274" s="394"/>
    </row>
    <row r="8275" spans="1:8" ht="15.75" customHeight="1" x14ac:dyDescent="0.25">
      <c r="A8275" s="447"/>
      <c r="B8275" s="390"/>
      <c r="C8275" s="390"/>
      <c r="D8275" s="391"/>
      <c r="E8275" s="390"/>
      <c r="F8275" s="391"/>
      <c r="G8275" s="390"/>
      <c r="H8275" s="394"/>
    </row>
    <row r="8276" spans="1:8" ht="15.75" customHeight="1" x14ac:dyDescent="0.25">
      <c r="A8276" s="390" t="s">
        <v>30</v>
      </c>
      <c r="B8276" s="390"/>
      <c r="C8276" s="390"/>
      <c r="D8276" s="391"/>
      <c r="E8276" s="390"/>
      <c r="F8276" s="391"/>
      <c r="G8276" s="390"/>
      <c r="H8276" s="394"/>
    </row>
    <row r="8277" spans="1:8" ht="15.75" customHeight="1" x14ac:dyDescent="0.25">
      <c r="A8277" s="390" t="s">
        <v>1322</v>
      </c>
      <c r="B8277" s="390"/>
      <c r="C8277" s="390"/>
      <c r="D8277" s="391"/>
      <c r="E8277" s="390"/>
      <c r="F8277" s="391"/>
      <c r="G8277" s="390"/>
      <c r="H8277" s="394"/>
    </row>
    <row r="8278" spans="1:8" ht="15.75" customHeight="1" x14ac:dyDescent="0.25">
      <c r="A8278" s="390" t="s">
        <v>1328</v>
      </c>
      <c r="B8278" s="390"/>
      <c r="C8278" s="390"/>
      <c r="D8278" s="391"/>
      <c r="E8278" s="390"/>
      <c r="F8278" s="391"/>
      <c r="G8278" s="390"/>
      <c r="H8278" s="394"/>
    </row>
    <row r="8279" spans="1:8" ht="15.75" customHeight="1" x14ac:dyDescent="0.25">
      <c r="A8279" s="399" t="s">
        <v>33</v>
      </c>
      <c r="B8279" s="400" t="s">
        <v>6</v>
      </c>
      <c r="C8279" s="400"/>
      <c r="D8279" s="401" t="s">
        <v>37</v>
      </c>
      <c r="E8279" s="402" t="s">
        <v>38</v>
      </c>
      <c r="F8279" s="403" t="s">
        <v>7</v>
      </c>
      <c r="G8279" s="404" t="s">
        <v>43</v>
      </c>
      <c r="H8279" s="405" t="s">
        <v>44</v>
      </c>
    </row>
    <row r="8280" spans="1:8" ht="15.75" customHeight="1" x14ac:dyDescent="0.25">
      <c r="A8280" s="406"/>
      <c r="B8280" s="407"/>
      <c r="C8280" s="393"/>
      <c r="D8280" s="408"/>
      <c r="E8280" s="408"/>
      <c r="F8280" s="409"/>
      <c r="G8280" s="410"/>
      <c r="H8280" s="411"/>
    </row>
    <row r="8281" spans="1:8" ht="15.75" customHeight="1" x14ac:dyDescent="0.25">
      <c r="A8281" s="425"/>
      <c r="B8281" s="557" t="s">
        <v>1365</v>
      </c>
      <c r="C8281" s="558"/>
      <c r="D8281" s="427"/>
      <c r="E8281" s="427"/>
      <c r="F8281" s="391"/>
      <c r="G8281" s="427"/>
      <c r="H8281" s="429"/>
    </row>
    <row r="8282" spans="1:8" ht="15.75" customHeight="1" x14ac:dyDescent="0.25">
      <c r="A8282" s="425" t="s">
        <v>55</v>
      </c>
      <c r="B8282" s="448">
        <v>508</v>
      </c>
      <c r="C8282" s="507"/>
      <c r="D8282" s="427">
        <v>1</v>
      </c>
      <c r="E8282" s="427">
        <v>4</v>
      </c>
      <c r="F8282" s="391">
        <f>+E8282*D8282</f>
      </c>
      <c r="G8282" s="427">
        <v>1</v>
      </c>
      <c r="H8282" s="429">
        <f>+G8282*F8282</f>
      </c>
    </row>
    <row r="8283" spans="1:8" ht="15.75" customHeight="1" x14ac:dyDescent="0.25">
      <c r="A8283" s="502"/>
      <c r="B8283" s="557" t="s">
        <v>590</v>
      </c>
      <c r="C8283" s="558"/>
      <c r="D8283" s="427"/>
      <c r="E8283" s="427"/>
      <c r="F8283" s="391"/>
      <c r="G8283" s="675"/>
      <c r="H8283" s="429"/>
    </row>
    <row r="8284" spans="1:8" ht="15.75" customHeight="1" x14ac:dyDescent="0.25">
      <c r="A8284" s="502" t="s">
        <v>59</v>
      </c>
      <c r="B8284" s="718" t="s">
        <v>56</v>
      </c>
      <c r="C8284" s="507" t="s">
        <v>1839</v>
      </c>
      <c r="D8284" s="427">
        <v>1</v>
      </c>
      <c r="E8284" s="427">
        <v>6</v>
      </c>
      <c r="F8284" s="391">
        <f t="shared" ref="F8284:F8286" si="258">+E8284*D8284</f>
      </c>
      <c r="G8284" s="427">
        <v>1</v>
      </c>
      <c r="H8284" s="429">
        <f t="shared" ref="H8284:H8286" si="259">+G8284*F8284</f>
      </c>
    </row>
    <row r="8285" spans="1:8" ht="15.75" customHeight="1" x14ac:dyDescent="0.25">
      <c r="A8285" s="502" t="s">
        <v>67</v>
      </c>
      <c r="B8285" s="718" t="s">
        <v>1718</v>
      </c>
      <c r="C8285" s="507" t="s">
        <v>379</v>
      </c>
      <c r="D8285" s="427">
        <v>2</v>
      </c>
      <c r="E8285" s="427">
        <v>6</v>
      </c>
      <c r="F8285" s="391">
        <f t="shared" si="258"/>
      </c>
      <c r="G8285" s="427">
        <v>1</v>
      </c>
      <c r="H8285" s="429">
        <f t="shared" si="259"/>
      </c>
    </row>
    <row r="8286" spans="1:8" ht="15.75" customHeight="1" x14ac:dyDescent="0.25">
      <c r="A8286" s="502" t="s">
        <v>485</v>
      </c>
      <c r="B8286" s="718" t="s">
        <v>134</v>
      </c>
      <c r="C8286" s="507" t="s">
        <v>367</v>
      </c>
      <c r="D8286" s="427">
        <v>1</v>
      </c>
      <c r="E8286" s="427">
        <v>6</v>
      </c>
      <c r="F8286" s="391">
        <f t="shared" si="258"/>
      </c>
      <c r="G8286" s="427">
        <v>1</v>
      </c>
      <c r="H8286" s="429">
        <f t="shared" si="259"/>
      </c>
    </row>
    <row r="8287" spans="1:8" ht="15.75" customHeight="1" x14ac:dyDescent="0.25">
      <c r="A8287" s="502"/>
      <c r="B8287" s="718"/>
      <c r="C8287" s="507"/>
      <c r="D8287" s="427"/>
      <c r="E8287" s="427"/>
      <c r="F8287" s="391"/>
      <c r="G8287" s="427"/>
      <c r="H8287" s="429"/>
    </row>
    <row r="8288" spans="1:8" ht="15.75" customHeight="1" x14ac:dyDescent="0.25">
      <c r="A8288" s="502"/>
      <c r="B8288" s="557" t="s">
        <v>1356</v>
      </c>
      <c r="C8288" s="558"/>
      <c r="D8288" s="427"/>
      <c r="E8288" s="427"/>
      <c r="F8288" s="391"/>
      <c r="G8288" s="675"/>
      <c r="H8288" s="429"/>
    </row>
    <row r="8289" spans="1:8" ht="15.75" customHeight="1" x14ac:dyDescent="0.25">
      <c r="A8289" s="502" t="s">
        <v>486</v>
      </c>
      <c r="B8289" s="503" t="s">
        <v>1203</v>
      </c>
      <c r="C8289" s="390" t="s">
        <v>47</v>
      </c>
      <c r="D8289" s="427">
        <v>1</v>
      </c>
      <c r="E8289" s="427">
        <v>5</v>
      </c>
      <c r="F8289" s="391">
        <f t="shared" ref="F8289:F8293" si="260">+E8289*D8289</f>
      </c>
      <c r="G8289" s="427">
        <v>1</v>
      </c>
      <c r="H8289" s="429">
        <f t="shared" ref="H8289:H8293" si="261">+G8289*F8289</f>
      </c>
    </row>
    <row r="8290" spans="1:8" ht="15.75" customHeight="1" x14ac:dyDescent="0.25">
      <c r="A8290" s="502" t="s">
        <v>489</v>
      </c>
      <c r="B8290" s="503" t="s">
        <v>131</v>
      </c>
      <c r="C8290" s="390" t="s">
        <v>329</v>
      </c>
      <c r="D8290" s="427">
        <v>2</v>
      </c>
      <c r="E8290" s="427">
        <v>5</v>
      </c>
      <c r="F8290" s="391">
        <f t="shared" si="260"/>
      </c>
      <c r="G8290" s="427">
        <v>1</v>
      </c>
      <c r="H8290" s="429">
        <f t="shared" si="261"/>
      </c>
    </row>
    <row r="8291" spans="1:8" ht="15.75" customHeight="1" x14ac:dyDescent="0.25">
      <c r="A8291" s="502" t="s">
        <v>490</v>
      </c>
      <c r="B8291" s="503" t="s">
        <v>126</v>
      </c>
      <c r="C8291" s="390" t="s">
        <v>1840</v>
      </c>
      <c r="D8291" s="427">
        <v>1</v>
      </c>
      <c r="E8291" s="427">
        <v>5</v>
      </c>
      <c r="F8291" s="391">
        <f t="shared" si="260"/>
      </c>
      <c r="G8291" s="427">
        <v>1</v>
      </c>
      <c r="H8291" s="429">
        <f t="shared" si="261"/>
      </c>
    </row>
    <row r="8292" spans="1:8" ht="15.75" customHeight="1" x14ac:dyDescent="0.25">
      <c r="A8292" s="502" t="s">
        <v>781</v>
      </c>
      <c r="B8292" s="503" t="s">
        <v>80</v>
      </c>
      <c r="C8292" s="390" t="s">
        <v>77</v>
      </c>
      <c r="D8292" s="427">
        <v>2</v>
      </c>
      <c r="E8292" s="427">
        <v>5</v>
      </c>
      <c r="F8292" s="391">
        <f t="shared" si="260"/>
      </c>
      <c r="G8292" s="427">
        <v>1</v>
      </c>
      <c r="H8292" s="429">
        <f t="shared" si="261"/>
      </c>
    </row>
    <row r="8293" spans="1:8" ht="15.75" customHeight="1" x14ac:dyDescent="0.25">
      <c r="A8293" s="502" t="s">
        <v>785</v>
      </c>
      <c r="B8293" s="503" t="s">
        <v>1841</v>
      </c>
      <c r="C8293" s="390" t="s">
        <v>330</v>
      </c>
      <c r="D8293" s="427">
        <v>1</v>
      </c>
      <c r="E8293" s="427">
        <v>5</v>
      </c>
      <c r="F8293" s="391">
        <f t="shared" si="260"/>
      </c>
      <c r="G8293" s="427">
        <v>1</v>
      </c>
      <c r="H8293" s="429">
        <f t="shared" si="261"/>
      </c>
    </row>
    <row r="8294" spans="1:8" ht="15.75" customHeight="1" x14ac:dyDescent="0.25">
      <c r="A8294" s="502"/>
      <c r="B8294" s="557" t="s">
        <v>1842</v>
      </c>
      <c r="C8294" s="558"/>
      <c r="D8294" s="427"/>
      <c r="E8294" s="427"/>
      <c r="F8294" s="391"/>
      <c r="G8294" s="427"/>
      <c r="H8294" s="429"/>
    </row>
    <row r="8295" spans="1:8" ht="15.75" customHeight="1" x14ac:dyDescent="0.25">
      <c r="A8295" s="502" t="s">
        <v>787</v>
      </c>
      <c r="B8295" s="718" t="s">
        <v>1824</v>
      </c>
      <c r="C8295" s="567"/>
      <c r="D8295" s="427">
        <v>1</v>
      </c>
      <c r="E8295" s="427">
        <v>5</v>
      </c>
      <c r="F8295" s="391">
        <f>+E8295*D8295</f>
      </c>
      <c r="G8295" s="427">
        <v>1</v>
      </c>
      <c r="H8295" s="429">
        <f>+G8295*F8295</f>
      </c>
    </row>
    <row r="8296" spans="1:8" ht="15.75" customHeight="1" x14ac:dyDescent="0.25">
      <c r="A8296" s="502"/>
      <c r="B8296" s="557" t="s">
        <v>1819</v>
      </c>
      <c r="C8296" s="558"/>
      <c r="D8296" s="427"/>
      <c r="E8296" s="427"/>
      <c r="F8296" s="391"/>
      <c r="G8296" s="427"/>
      <c r="H8296" s="429"/>
    </row>
    <row r="8297" spans="1:8" ht="15.75" customHeight="1" x14ac:dyDescent="0.25">
      <c r="A8297" s="502" t="s">
        <v>790</v>
      </c>
      <c r="B8297" s="718" t="s">
        <v>1768</v>
      </c>
      <c r="C8297" s="567" t="s">
        <v>1843</v>
      </c>
      <c r="D8297" s="427">
        <v>1</v>
      </c>
      <c r="E8297" s="427">
        <v>10</v>
      </c>
      <c r="F8297" s="391">
        <f t="shared" ref="F8297:F8298" si="262">+E8297*D8297</f>
      </c>
      <c r="G8297" s="427">
        <v>1</v>
      </c>
      <c r="H8297" s="429">
        <f t="shared" ref="H8297:H8298" si="263">+G8297*F8297</f>
      </c>
    </row>
    <row r="8298" spans="1:8" ht="15.75" customHeight="1" x14ac:dyDescent="0.25">
      <c r="A8298" s="502" t="s">
        <v>792</v>
      </c>
      <c r="B8298" s="718" t="s">
        <v>1649</v>
      </c>
      <c r="C8298" s="567"/>
      <c r="D8298" s="427">
        <v>1</v>
      </c>
      <c r="E8298" s="427">
        <v>10</v>
      </c>
      <c r="F8298" s="391">
        <f t="shared" si="262"/>
      </c>
      <c r="G8298" s="427">
        <v>1</v>
      </c>
      <c r="H8298" s="429">
        <f t="shared" si="263"/>
      </c>
    </row>
    <row r="8299" spans="1:8" ht="15.75" customHeight="1" x14ac:dyDescent="0.25">
      <c r="A8299" s="502"/>
      <c r="B8299" s="557" t="s">
        <v>1239</v>
      </c>
      <c r="C8299" s="558"/>
      <c r="D8299" s="427"/>
      <c r="E8299" s="427"/>
      <c r="F8299" s="391"/>
      <c r="G8299" s="427"/>
      <c r="H8299" s="429"/>
    </row>
    <row r="8300" spans="1:8" ht="15.75" customHeight="1" x14ac:dyDescent="0.25">
      <c r="A8300" s="502" t="s">
        <v>796</v>
      </c>
      <c r="B8300" s="718" t="s">
        <v>1274</v>
      </c>
      <c r="C8300" s="567" t="s">
        <v>427</v>
      </c>
      <c r="D8300" s="427">
        <v>1</v>
      </c>
      <c r="E8300" s="427">
        <v>25</v>
      </c>
      <c r="F8300" s="391">
        <f>+E8300*D8300</f>
      </c>
      <c r="G8300" s="427">
        <v>1</v>
      </c>
      <c r="H8300" s="429">
        <f>+G8300*F8300</f>
      </c>
    </row>
    <row r="8301" spans="1:8" ht="15.75" customHeight="1" x14ac:dyDescent="0.25">
      <c r="A8301" s="432"/>
      <c r="B8301" s="433"/>
      <c r="C8301" s="434" t="s">
        <v>85</v>
      </c>
      <c r="D8301" s="435">
        <f>SUM(D8281:D8300)</f>
      </c>
      <c r="E8301" s="435"/>
      <c r="F8301" s="436"/>
      <c r="G8301" s="437"/>
      <c r="H8301" s="438">
        <f>SUM(H8281:H8300)</f>
      </c>
    </row>
    <row r="8302" spans="1:8" ht="15.75" customHeight="1" x14ac:dyDescent="0.25">
      <c r="A8302" s="439"/>
      <c r="B8302" s="440"/>
      <c r="C8302" s="440"/>
      <c r="D8302" s="441"/>
      <c r="E8302" s="440"/>
      <c r="F8302" s="442"/>
      <c r="G8302" s="443"/>
      <c r="H8302" s="444"/>
    </row>
    <row r="8303" spans="1:8" ht="15.75" customHeight="1" x14ac:dyDescent="0.25">
      <c r="A8303" s="565" t="s">
        <v>1215</v>
      </c>
      <c r="B8303" s="565"/>
      <c r="C8303" s="565"/>
      <c r="D8303" s="565"/>
      <c r="E8303" s="565"/>
      <c r="F8303" s="565"/>
      <c r="G8303" s="565"/>
      <c r="H8303" s="565"/>
    </row>
    <row r="8304" spans="1:8" ht="15.75" customHeight="1" x14ac:dyDescent="0.25">
      <c r="A8304" s="445"/>
      <c r="B8304" s="445"/>
      <c r="C8304" s="445"/>
      <c r="D8304" s="446" t="s">
        <v>97</v>
      </c>
      <c r="E8304" s="445" t="s">
        <v>98</v>
      </c>
      <c r="F8304" s="445"/>
      <c r="G8304" s="390"/>
      <c r="H8304" s="394"/>
    </row>
    <row r="8305" spans="1:8" ht="15.75" customHeight="1" x14ac:dyDescent="0.25">
      <c r="A8305" s="390"/>
      <c r="B8305" s="390"/>
      <c r="C8305" s="390"/>
      <c r="D8305" s="391"/>
      <c r="E8305" s="390"/>
      <c r="F8305" s="390"/>
      <c r="G8305" s="390"/>
      <c r="H8305" s="394"/>
    </row>
    <row r="8306" spans="1:8" ht="15.75" customHeight="1" x14ac:dyDescent="0.25">
      <c r="A8306" s="445"/>
      <c r="B8306" s="445"/>
      <c r="C8306" s="445"/>
      <c r="D8306" s="446"/>
      <c r="E8306" s="445" t="s">
        <v>99</v>
      </c>
      <c r="F8306" s="445"/>
      <c r="G8306" s="390"/>
      <c r="H8306" s="394"/>
    </row>
    <row r="8307" spans="1:8" ht="15.75" customHeight="1" x14ac:dyDescent="0.25">
      <c r="D8307" s="4"/>
      <c r="H8307" s="4"/>
    </row>
    <row r="8308" spans="1:8" ht="15.75" customHeight="1" x14ac:dyDescent="0.25">
      <c r="D8308" s="4"/>
      <c r="H8308" s="4"/>
    </row>
    <row r="8309" spans="1:8" ht="15.75" customHeight="1" x14ac:dyDescent="0.25">
      <c r="D8309" s="4"/>
      <c r="H8309" s="4"/>
    </row>
    <row r="8310" spans="1:8" ht="15.75" customHeight="1" x14ac:dyDescent="0.25">
      <c r="D8310" s="4"/>
      <c r="H8310" s="4"/>
    </row>
    <row r="8311" spans="1:8" ht="15.75" customHeight="1" x14ac:dyDescent="0.25">
      <c r="D8311" s="4"/>
      <c r="H8311" s="4"/>
    </row>
    <row r="8312" spans="1:8" ht="15.75" customHeight="1" x14ac:dyDescent="0.25">
      <c r="D8312" s="4"/>
      <c r="H8312" s="4"/>
    </row>
    <row r="8313" spans="1:8" ht="15.75" customHeight="1" x14ac:dyDescent="0.25">
      <c r="D8313" s="4"/>
      <c r="H8313" s="4"/>
    </row>
    <row r="8314" spans="1:8" ht="15.75" customHeight="1" x14ac:dyDescent="0.25">
      <c r="A8314" s="398" t="s">
        <v>14</v>
      </c>
      <c r="B8314" s="398"/>
      <c r="C8314" s="398"/>
      <c r="D8314" s="398"/>
      <c r="E8314" s="398"/>
      <c r="F8314" s="398"/>
      <c r="G8314" s="398"/>
      <c r="H8314" s="398"/>
    </row>
    <row r="8315" spans="1:8" ht="15.75" customHeight="1" x14ac:dyDescent="0.25">
      <c r="A8315" s="398"/>
      <c r="B8315" s="398"/>
      <c r="C8315" s="398"/>
      <c r="D8315" s="398"/>
      <c r="E8315" s="398"/>
      <c r="F8315" s="398"/>
      <c r="G8315" s="398"/>
      <c r="H8315" s="398"/>
    </row>
    <row r="8316" spans="1:8" ht="15.75" customHeight="1" x14ac:dyDescent="0.25">
      <c r="A8316" s="390"/>
      <c r="B8316" s="390"/>
      <c r="C8316" s="390"/>
      <c r="D8316" s="391"/>
      <c r="E8316" s="390"/>
      <c r="F8316" s="395" t="s">
        <v>18</v>
      </c>
      <c r="G8316" s="396" t="s">
        <v>962</v>
      </c>
      <c r="H8316" s="397"/>
    </row>
    <row r="8317" spans="1:8" ht="15.75" customHeight="1" x14ac:dyDescent="0.25">
      <c r="A8317" s="390" t="s">
        <v>20</v>
      </c>
      <c r="B8317" s="390"/>
      <c r="C8317" s="390"/>
      <c r="D8317" s="391"/>
      <c r="E8317" s="390"/>
      <c r="F8317" s="395" t="s">
        <v>21</v>
      </c>
      <c r="G8317" s="390" t="s">
        <v>1845</v>
      </c>
      <c r="H8317" s="391"/>
    </row>
    <row r="8318" spans="1:8" ht="15.75" customHeight="1" x14ac:dyDescent="0.25">
      <c r="A8318" s="390" t="inlineStr">
        <is>
          <t>Dealer-009</t>
        </is>
      </c>
      <c r="B8318" s="390"/>
      <c r="C8318" s="390" t="inlineStr">
        <is>
          <t>ATTN: Contact-001</t>
        </is>
      </c>
      <c r="D8318" s="391"/>
      <c r="E8318" s="395"/>
      <c r="F8318" s="390"/>
      <c r="G8318" s="390"/>
      <c r="H8318" s="394"/>
    </row>
    <row r="8319" spans="1:8" ht="15.75" customHeight="1" x14ac:dyDescent="0.25">
      <c r="A8319" s="390" t="inlineStr">
        <is>
          <t>Address line (redacted)</t>
        </is>
      </c>
      <c r="B8319" s="390"/>
      <c r="C8319" s="390"/>
      <c r="D8319" s="398"/>
      <c r="E8319" s="390"/>
      <c r="F8319" s="391"/>
      <c r="G8319" s="390"/>
      <c r="H8319" s="394"/>
    </row>
    <row r="8320" spans="1:8" ht="15.75" customHeight="1" x14ac:dyDescent="0.25">
      <c r="A8320" s="390" t="inlineStr">
        <is>
          <t>Address line (redacted)</t>
        </is>
      </c>
      <c r="B8320" s="390"/>
      <c r="C8320" s="390"/>
      <c r="D8320" s="398"/>
      <c r="E8320" s="390"/>
      <c r="F8320" s="391"/>
      <c r="G8320" s="390"/>
      <c r="H8320" s="394"/>
    </row>
    <row r="8321" spans="1:8" ht="15.75" customHeight="1" x14ac:dyDescent="0.25">
      <c r="A8321" s="447"/>
      <c r="B8321" s="390"/>
      <c r="C8321" s="390"/>
      <c r="D8321" s="391"/>
      <c r="E8321" s="390"/>
      <c r="F8321" s="391"/>
      <c r="G8321" s="390"/>
      <c r="H8321" s="394"/>
    </row>
    <row r="8322" spans="1:8" ht="15.75" customHeight="1" x14ac:dyDescent="0.25">
      <c r="A8322" s="390" t="s">
        <v>30</v>
      </c>
      <c r="B8322" s="390"/>
      <c r="C8322" s="390"/>
      <c r="D8322" s="391"/>
      <c r="E8322" s="390"/>
      <c r="F8322" s="391"/>
      <c r="G8322" s="390"/>
      <c r="H8322" s="394"/>
    </row>
    <row r="8323" spans="1:8" ht="15.75" customHeight="1" x14ac:dyDescent="0.25">
      <c r="A8323" s="390"/>
      <c r="B8323" s="390"/>
      <c r="C8323" s="390"/>
      <c r="D8323" s="391"/>
      <c r="E8323" s="390"/>
      <c r="F8323" s="391"/>
      <c r="G8323" s="390"/>
      <c r="H8323" s="394"/>
    </row>
    <row r="8324" spans="1:8" ht="15.75" customHeight="1" x14ac:dyDescent="0.25">
      <c r="A8324" s="390" t="s">
        <v>1322</v>
      </c>
      <c r="B8324" s="390"/>
      <c r="C8324" s="390"/>
      <c r="D8324" s="391"/>
      <c r="E8324" s="390"/>
      <c r="F8324" s="391"/>
      <c r="G8324" s="390"/>
      <c r="H8324" s="394"/>
    </row>
    <row r="8325" spans="1:8" ht="15.75" customHeight="1" x14ac:dyDescent="0.25">
      <c r="A8325" s="390" t="s">
        <v>1328</v>
      </c>
      <c r="B8325" s="390"/>
      <c r="C8325" s="390"/>
      <c r="D8325" s="391"/>
      <c r="E8325" s="390"/>
      <c r="F8325" s="391"/>
      <c r="G8325" s="390"/>
      <c r="H8325" s="394"/>
    </row>
    <row r="8326" spans="1:8" ht="15.75" customHeight="1" x14ac:dyDescent="0.25">
      <c r="A8326" s="399" t="s">
        <v>33</v>
      </c>
      <c r="B8326" s="400" t="s">
        <v>6</v>
      </c>
      <c r="C8326" s="400"/>
      <c r="D8326" s="401" t="s">
        <v>37</v>
      </c>
      <c r="E8326" s="402" t="s">
        <v>38</v>
      </c>
      <c r="F8326" s="403" t="s">
        <v>7</v>
      </c>
      <c r="G8326" s="404" t="s">
        <v>43</v>
      </c>
      <c r="H8326" s="405" t="s">
        <v>44</v>
      </c>
    </row>
    <row r="8327" spans="1:8" ht="15.75" customHeight="1" x14ac:dyDescent="0.25">
      <c r="A8327" s="406"/>
      <c r="B8327" s="407"/>
      <c r="C8327" s="393"/>
      <c r="D8327" s="408"/>
      <c r="E8327" s="408"/>
      <c r="F8327" s="409"/>
      <c r="G8327" s="410"/>
      <c r="H8327" s="411"/>
    </row>
    <row r="8328" spans="1:8" ht="15.75" customHeight="1" x14ac:dyDescent="0.25">
      <c r="A8328" s="581"/>
      <c r="B8328" s="654" t="s">
        <v>590</v>
      </c>
      <c r="C8328" s="654"/>
      <c r="D8328" s="415"/>
      <c r="E8328" s="415"/>
      <c r="F8328" s="415"/>
      <c r="G8328" s="579"/>
      <c r="H8328" s="416"/>
    </row>
    <row r="8329" spans="1:8" ht="15.75" customHeight="1" x14ac:dyDescent="0.25">
      <c r="A8329" s="581" t="s">
        <v>55</v>
      </c>
      <c r="B8329" s="590" t="s">
        <v>1737</v>
      </c>
      <c r="C8329" s="420" t="s">
        <v>371</v>
      </c>
      <c r="D8329" s="415">
        <v>5</v>
      </c>
      <c r="E8329" s="415">
        <v>6</v>
      </c>
      <c r="F8329" s="415">
        <f t="shared" ref="F8329:F8331" si="264">+E8329*D8329</f>
      </c>
      <c r="G8329" s="415">
        <v>1</v>
      </c>
      <c r="H8329" s="416">
        <f t="shared" ref="H8329:H8331" si="265">+G8329*F8329</f>
      </c>
    </row>
    <row r="8330" spans="1:8" ht="15.75" customHeight="1" x14ac:dyDescent="0.25">
      <c r="A8330" s="581" t="s">
        <v>59</v>
      </c>
      <c r="B8330" s="590" t="s">
        <v>1737</v>
      </c>
      <c r="C8330" s="420" t="s">
        <v>371</v>
      </c>
      <c r="D8330" s="415">
        <v>2</v>
      </c>
      <c r="E8330" s="415">
        <v>1</v>
      </c>
      <c r="F8330" s="415">
        <f t="shared" si="264"/>
      </c>
      <c r="G8330" s="415">
        <v>1</v>
      </c>
      <c r="H8330" s="416">
        <f t="shared" si="265"/>
      </c>
    </row>
    <row r="8331" spans="1:8" ht="15.75" customHeight="1" x14ac:dyDescent="0.25">
      <c r="A8331" s="581" t="s">
        <v>67</v>
      </c>
      <c r="B8331" s="590" t="s">
        <v>1846</v>
      </c>
      <c r="C8331" s="420" t="s">
        <v>401</v>
      </c>
      <c r="D8331" s="415">
        <v>2</v>
      </c>
      <c r="E8331" s="415">
        <v>6</v>
      </c>
      <c r="F8331" s="415">
        <f t="shared" si="264"/>
      </c>
      <c r="G8331" s="415">
        <v>1</v>
      </c>
      <c r="H8331" s="416">
        <f t="shared" si="265"/>
      </c>
    </row>
    <row r="8332" spans="1:8" ht="15.75" customHeight="1" x14ac:dyDescent="0.25">
      <c r="A8332" s="581"/>
      <c r="B8332" s="654" t="s">
        <v>1842</v>
      </c>
      <c r="C8332" s="654"/>
      <c r="D8332" s="415"/>
      <c r="E8332" s="415"/>
      <c r="F8332" s="415"/>
      <c r="G8332" s="415"/>
      <c r="H8332" s="416"/>
    </row>
    <row r="8333" spans="1:8" ht="15.75" customHeight="1" x14ac:dyDescent="0.25">
      <c r="A8333" s="581" t="s">
        <v>485</v>
      </c>
      <c r="B8333" s="806" t="s">
        <v>669</v>
      </c>
      <c r="C8333" s="807"/>
      <c r="D8333" s="415">
        <v>2</v>
      </c>
      <c r="E8333" s="415">
        <v>5</v>
      </c>
      <c r="F8333" s="415">
        <f t="shared" ref="F8333:F8334" si="266">+E8333*D8333</f>
      </c>
      <c r="G8333" s="415">
        <v>1</v>
      </c>
      <c r="H8333" s="416">
        <f t="shared" ref="H8333:H8334" si="267">+G8333*F8333</f>
      </c>
    </row>
    <row r="8334" spans="1:8" ht="15.75" customHeight="1" x14ac:dyDescent="0.25">
      <c r="A8334" s="581" t="s">
        <v>486</v>
      </c>
      <c r="B8334" s="590" t="s">
        <v>673</v>
      </c>
      <c r="C8334" s="588"/>
      <c r="D8334" s="415">
        <v>2</v>
      </c>
      <c r="E8334" s="415">
        <v>5</v>
      </c>
      <c r="F8334" s="415">
        <f t="shared" si="266"/>
      </c>
      <c r="G8334" s="415">
        <v>1</v>
      </c>
      <c r="H8334" s="416">
        <f t="shared" si="267"/>
      </c>
    </row>
    <row r="8335" spans="1:8" ht="15.75" customHeight="1" x14ac:dyDescent="0.25">
      <c r="A8335" s="581"/>
      <c r="B8335" s="654" t="s">
        <v>1239</v>
      </c>
      <c r="C8335" s="654"/>
      <c r="D8335" s="415"/>
      <c r="E8335" s="415"/>
      <c r="F8335" s="415"/>
      <c r="G8335" s="415"/>
      <c r="H8335" s="416"/>
    </row>
    <row r="8336" spans="1:8" ht="15.75" customHeight="1" x14ac:dyDescent="0.25">
      <c r="A8336" s="581" t="s">
        <v>489</v>
      </c>
      <c r="B8336" s="590" t="s">
        <v>226</v>
      </c>
      <c r="C8336" s="588" t="s">
        <v>427</v>
      </c>
      <c r="D8336" s="415">
        <v>2</v>
      </c>
      <c r="E8336" s="415">
        <v>25</v>
      </c>
      <c r="F8336" s="415">
        <f>+E8336*D8336</f>
      </c>
      <c r="G8336" s="415">
        <v>1</v>
      </c>
      <c r="H8336" s="416">
        <f>+G8336*F8336</f>
      </c>
    </row>
    <row r="8337" spans="1:8" ht="15.75" customHeight="1" x14ac:dyDescent="0.25">
      <c r="A8337" s="581"/>
      <c r="B8337" s="590"/>
      <c r="C8337" s="588"/>
      <c r="D8337" s="415"/>
      <c r="E8337" s="415"/>
      <c r="F8337" s="415"/>
      <c r="G8337" s="415"/>
      <c r="H8337" s="416"/>
    </row>
    <row r="8338" spans="1:8" ht="15.75" customHeight="1" x14ac:dyDescent="0.25">
      <c r="A8338" s="502"/>
      <c r="B8338" s="557"/>
      <c r="C8338" s="558"/>
      <c r="D8338" s="427"/>
      <c r="E8338" s="427"/>
      <c r="F8338" s="391"/>
      <c r="G8338" s="427"/>
      <c r="H8338" s="429"/>
    </row>
    <row r="8339" spans="1:8" ht="15.75" customHeight="1" x14ac:dyDescent="0.25">
      <c r="A8339" s="502"/>
      <c r="B8339" s="718"/>
      <c r="C8339" s="567"/>
      <c r="D8339" s="427"/>
      <c r="E8339" s="427"/>
      <c r="F8339" s="391"/>
      <c r="G8339" s="427"/>
      <c r="H8339" s="429"/>
    </row>
    <row r="8340" spans="1:8" ht="15.75" customHeight="1" x14ac:dyDescent="0.25">
      <c r="A8340" s="432"/>
      <c r="B8340" s="433"/>
      <c r="C8340" s="434" t="s">
        <v>85</v>
      </c>
      <c r="D8340" s="435">
        <f>SUM(D8328:D8339)</f>
      </c>
      <c r="E8340" s="435"/>
      <c r="F8340" s="436"/>
      <c r="G8340" s="437"/>
      <c r="H8340" s="438">
        <f>SUM(H8329:H8339)</f>
      </c>
    </row>
    <row r="8341" spans="1:8" ht="15.75" customHeight="1" x14ac:dyDescent="0.25">
      <c r="A8341" s="439"/>
      <c r="B8341" s="440"/>
      <c r="C8341" s="440"/>
      <c r="D8341" s="441"/>
      <c r="E8341" s="440"/>
      <c r="F8341" s="442"/>
      <c r="G8341" s="443"/>
      <c r="H8341" s="444"/>
    </row>
    <row r="8342" spans="1:8" ht="15.75" customHeight="1" x14ac:dyDescent="0.25">
      <c r="A8342" s="565" t="s">
        <v>1215</v>
      </c>
      <c r="B8342" s="565"/>
      <c r="C8342" s="565"/>
      <c r="D8342" s="565"/>
      <c r="E8342" s="565"/>
      <c r="F8342" s="565"/>
      <c r="G8342" s="565"/>
      <c r="H8342" s="565"/>
    </row>
    <row r="8343" spans="1:8" ht="15.75" customHeight="1" x14ac:dyDescent="0.25">
      <c r="A8343" s="445"/>
      <c r="B8343" s="445"/>
      <c r="C8343" s="445"/>
      <c r="D8343" s="446" t="s">
        <v>97</v>
      </c>
      <c r="E8343" s="445" t="s">
        <v>98</v>
      </c>
      <c r="F8343" s="445"/>
      <c r="G8343" s="390"/>
      <c r="H8343" s="394"/>
    </row>
    <row r="8344" spans="1:8" ht="15.75" customHeight="1" x14ac:dyDescent="0.25">
      <c r="A8344" s="390"/>
      <c r="B8344" s="390"/>
      <c r="C8344" s="390"/>
      <c r="D8344" s="391"/>
      <c r="E8344" s="390"/>
      <c r="F8344" s="390"/>
      <c r="G8344" s="390"/>
      <c r="H8344" s="394"/>
    </row>
    <row r="8345" spans="1:8" ht="15.75" customHeight="1" x14ac:dyDescent="0.25">
      <c r="A8345" s="445"/>
      <c r="B8345" s="445"/>
      <c r="C8345" s="445"/>
      <c r="D8345" s="446"/>
      <c r="E8345" s="445" t="s">
        <v>99</v>
      </c>
      <c r="F8345" s="445"/>
      <c r="G8345" s="390"/>
      <c r="H8345" s="394"/>
    </row>
    <row r="8346" spans="1:8" ht="15.75" customHeight="1" x14ac:dyDescent="0.25">
      <c r="D8346" s="4"/>
      <c r="H8346" s="4"/>
    </row>
    <row r="8347" spans="1:8" ht="15.75" customHeight="1" x14ac:dyDescent="0.25">
      <c r="D8347" s="4"/>
      <c r="H8347" s="4"/>
    </row>
    <row r="8348" spans="1:8" ht="15.75" customHeight="1" x14ac:dyDescent="0.25">
      <c r="D8348" s="4"/>
      <c r="H8348" s="4"/>
    </row>
    <row r="8349" spans="1:8" ht="15.75" customHeight="1" x14ac:dyDescent="0.25">
      <c r="D8349" s="4"/>
      <c r="H8349" s="4"/>
    </row>
    <row r="8350" spans="1:8" ht="15.75" customHeight="1" x14ac:dyDescent="0.25">
      <c r="D8350" s="4"/>
      <c r="H8350" s="4"/>
    </row>
    <row r="8351" spans="1:8" ht="15.75" customHeight="1" x14ac:dyDescent="0.25">
      <c r="D8351" s="4"/>
      <c r="H8351" s="4"/>
    </row>
    <row r="8352" spans="1:8" ht="15.75" customHeight="1" x14ac:dyDescent="0.25">
      <c r="D8352" s="4"/>
      <c r="H8352" s="4"/>
    </row>
    <row r="8353" spans="1:8" ht="15.75" customHeight="1" x14ac:dyDescent="0.25">
      <c r="D8353" s="4"/>
      <c r="H8353" s="4"/>
    </row>
    <row r="8354" spans="1:8" ht="15.75" customHeight="1" x14ac:dyDescent="0.25">
      <c r="D8354" s="4"/>
      <c r="H8354" s="4"/>
    </row>
    <row r="8355" spans="1:8" ht="15.75" customHeight="1" x14ac:dyDescent="0.25">
      <c r="D8355" s="4"/>
      <c r="H8355" s="4"/>
    </row>
    <row r="8356" spans="1:8" ht="15.75" customHeight="1" x14ac:dyDescent="0.25">
      <c r="D8356" s="4"/>
      <c r="H8356" s="4"/>
    </row>
    <row r="8357" spans="1:8" ht="15.75" customHeight="1" x14ac:dyDescent="0.25">
      <c r="D8357" s="4"/>
      <c r="H8357" s="4"/>
    </row>
    <row r="8358" spans="1:8" ht="15.75" customHeight="1" x14ac:dyDescent="0.25">
      <c r="D8358" s="4"/>
      <c r="H8358" s="4"/>
    </row>
    <row r="8359" spans="1:8" ht="15.75" customHeight="1" x14ac:dyDescent="0.25">
      <c r="D8359" s="4"/>
      <c r="H8359" s="4"/>
    </row>
    <row r="8360" spans="1:8" ht="15.75" customHeight="1" x14ac:dyDescent="0.25">
      <c r="A8360" s="566" t="s">
        <v>14</v>
      </c>
      <c r="B8360" s="567"/>
      <c r="C8360" s="567"/>
      <c r="D8360" s="567"/>
      <c r="E8360" s="567"/>
      <c r="F8360" s="567"/>
      <c r="G8360" s="567"/>
      <c r="H8360" s="568"/>
    </row>
    <row r="8361" spans="1:8" ht="15.75" customHeight="1" x14ac:dyDescent="0.25">
      <c r="A8361" s="390"/>
      <c r="B8361" s="390"/>
      <c r="C8361" s="391"/>
      <c r="D8361" s="392"/>
      <c r="E8361" s="569"/>
      <c r="F8361" s="391"/>
      <c r="G8361" s="390"/>
      <c r="H8361" s="394"/>
    </row>
    <row r="8362" spans="1:8" ht="15.75" customHeight="1" x14ac:dyDescent="0.25">
      <c r="A8362" s="390"/>
      <c r="B8362" s="390"/>
      <c r="C8362" s="390"/>
      <c r="D8362" s="391"/>
      <c r="E8362" s="390"/>
      <c r="F8362" s="395" t="s">
        <v>18</v>
      </c>
      <c r="G8362" s="396" t="s">
        <v>964</v>
      </c>
      <c r="H8362" s="394"/>
    </row>
    <row r="8363" spans="1:8" ht="15.75" customHeight="1" x14ac:dyDescent="0.25">
      <c r="A8363" s="390" t="s">
        <v>20</v>
      </c>
      <c r="B8363" s="390"/>
      <c r="C8363" s="390"/>
      <c r="D8363" s="391"/>
      <c r="E8363" s="390"/>
      <c r="F8363" s="395" t="s">
        <v>21</v>
      </c>
      <c r="G8363" s="390" t="s">
        <v>1847</v>
      </c>
      <c r="H8363" s="394"/>
    </row>
    <row r="8364" spans="1:8" ht="15.75" customHeight="1" x14ac:dyDescent="0.25">
      <c r="A8364" s="390" t="inlineStr">
        <is>
          <t>Dealer-010</t>
        </is>
      </c>
      <c r="B8364" s="390"/>
      <c r="C8364" s="390"/>
      <c r="D8364" s="391"/>
      <c r="E8364" s="390"/>
      <c r="F8364" s="391"/>
      <c r="G8364" s="390"/>
      <c r="H8364" s="394"/>
    </row>
    <row r="8365" spans="1:8" ht="15.75" customHeight="1" x14ac:dyDescent="0.25">
      <c r="A8365" s="390" t="inlineStr">
        <is>
          <t>Address line (redacted)</t>
        </is>
      </c>
      <c r="B8365" s="390"/>
      <c r="C8365" s="390"/>
      <c r="D8365" s="398"/>
      <c r="E8365" s="390"/>
      <c r="F8365" s="391"/>
      <c r="G8365" s="390"/>
      <c r="H8365" s="394"/>
    </row>
    <row r="8366" spans="1:8" ht="15.75" customHeight="1" x14ac:dyDescent="0.25">
      <c r="A8366" s="390" t="inlineStr">
        <is>
          <t>Address line (redacted)</t>
        </is>
      </c>
      <c r="B8366" s="390"/>
      <c r="C8366" s="390"/>
      <c r="D8366" s="398"/>
      <c r="E8366" s="390"/>
      <c r="F8366" s="391"/>
      <c r="G8366" s="390"/>
      <c r="H8366" s="394"/>
    </row>
    <row r="8367" spans="1:8" ht="15.75" customHeight="1" x14ac:dyDescent="0.25">
      <c r="A8367" s="390" t="inlineStr">
        <is>
          <t>Address line (redacted)</t>
        </is>
      </c>
      <c r="B8367" s="390"/>
      <c r="C8367" s="390"/>
      <c r="D8367" s="398"/>
      <c r="E8367" s="390"/>
      <c r="F8367" s="391"/>
      <c r="G8367" s="390"/>
      <c r="H8367" s="394"/>
    </row>
    <row r="8368" spans="1:8" ht="15.75" customHeight="1" x14ac:dyDescent="0.25">
      <c r="A8368" s="390"/>
      <c r="B8368" s="390"/>
      <c r="C8368" s="390"/>
      <c r="D8368" s="398"/>
      <c r="E8368" s="390"/>
      <c r="F8368" s="391"/>
      <c r="G8368" s="390"/>
      <c r="H8368" s="394"/>
    </row>
    <row r="8369" spans="1:8" ht="15.75" customHeight="1" x14ac:dyDescent="0.25">
      <c r="A8369" s="390" t="s">
        <v>30</v>
      </c>
      <c r="B8369" s="390"/>
      <c r="C8369" s="390"/>
      <c r="D8369" s="391"/>
      <c r="E8369" s="390"/>
      <c r="F8369" s="391"/>
      <c r="G8369" s="390"/>
      <c r="H8369" s="394"/>
    </row>
    <row r="8370" spans="1:8" ht="15.75" customHeight="1" x14ac:dyDescent="0.25">
      <c r="A8370" s="390"/>
      <c r="B8370" s="390"/>
      <c r="C8370" s="390"/>
      <c r="D8370" s="391"/>
      <c r="E8370" s="390"/>
      <c r="F8370" s="391"/>
      <c r="G8370" s="390"/>
      <c r="H8370" s="394"/>
    </row>
    <row r="8371" spans="1:8" ht="15.75" customHeight="1" x14ac:dyDescent="0.25">
      <c r="A8371" s="390" t="s">
        <v>1322</v>
      </c>
      <c r="B8371" s="390"/>
      <c r="C8371" s="390"/>
      <c r="D8371" s="391"/>
      <c r="E8371" s="390"/>
      <c r="F8371" s="391"/>
      <c r="G8371" s="390"/>
      <c r="H8371" s="394"/>
    </row>
    <row r="8372" spans="1:8" ht="15.75" customHeight="1" x14ac:dyDescent="0.25">
      <c r="A8372" s="390" t="s">
        <v>1328</v>
      </c>
      <c r="B8372" s="390"/>
      <c r="C8372" s="390"/>
      <c r="D8372" s="391"/>
      <c r="E8372" s="390"/>
      <c r="F8372" s="391"/>
      <c r="G8372" s="390"/>
      <c r="H8372" s="394"/>
    </row>
    <row r="8373" spans="1:8" ht="15.75" customHeight="1" x14ac:dyDescent="0.25">
      <c r="A8373" s="390"/>
      <c r="B8373" s="390"/>
      <c r="C8373" s="390"/>
      <c r="D8373" s="391"/>
      <c r="E8373" s="390"/>
      <c r="F8373" s="391"/>
      <c r="G8373" s="390"/>
      <c r="H8373" s="394"/>
    </row>
    <row r="8374" spans="1:8" ht="15.75" customHeight="1" x14ac:dyDescent="0.25">
      <c r="A8374" s="399" t="s">
        <v>33</v>
      </c>
      <c r="B8374" s="400" t="s">
        <v>6</v>
      </c>
      <c r="C8374" s="400"/>
      <c r="D8374" s="401" t="s">
        <v>37</v>
      </c>
      <c r="E8374" s="402" t="s">
        <v>38</v>
      </c>
      <c r="F8374" s="403" t="s">
        <v>7</v>
      </c>
      <c r="G8374" s="404" t="s">
        <v>43</v>
      </c>
      <c r="H8374" s="405" t="s">
        <v>44</v>
      </c>
    </row>
    <row r="8375" spans="1:8" ht="15.75" customHeight="1" x14ac:dyDescent="0.25">
      <c r="A8375" s="406"/>
      <c r="B8375" s="407"/>
      <c r="C8375" s="393"/>
      <c r="D8375" s="408"/>
      <c r="E8375" s="408"/>
      <c r="F8375" s="409"/>
      <c r="G8375" s="410"/>
      <c r="H8375" s="411"/>
    </row>
    <row r="8376" spans="1:8" ht="15.75" customHeight="1" x14ac:dyDescent="0.25">
      <c r="A8376" s="571"/>
      <c r="B8376" s="773" t="s">
        <v>1681</v>
      </c>
      <c r="C8376" s="573"/>
      <c r="D8376" s="427"/>
      <c r="E8376" s="427"/>
      <c r="F8376" s="391"/>
      <c r="G8376" s="427"/>
      <c r="H8376" s="429"/>
    </row>
    <row r="8377" spans="1:8" ht="15.75" customHeight="1" x14ac:dyDescent="0.25">
      <c r="A8377" s="425" t="s">
        <v>55</v>
      </c>
      <c r="B8377" s="448" t="s">
        <v>1474</v>
      </c>
      <c r="C8377" s="574" t="s">
        <v>1848</v>
      </c>
      <c r="D8377" s="427">
        <v>7</v>
      </c>
      <c r="E8377" s="427">
        <v>100</v>
      </c>
      <c r="F8377" s="391">
        <f>+E8377*D8377</f>
      </c>
      <c r="G8377" s="427">
        <v>1</v>
      </c>
      <c r="H8377" s="429">
        <f>+G8377*F8377</f>
      </c>
    </row>
    <row r="8378" spans="1:8" ht="15.75" customHeight="1" x14ac:dyDescent="0.25">
      <c r="A8378" s="425"/>
      <c r="B8378" s="448"/>
      <c r="C8378" s="574"/>
      <c r="D8378" s="427"/>
      <c r="E8378" s="427"/>
      <c r="F8378" s="391"/>
      <c r="G8378" s="427"/>
      <c r="H8378" s="429"/>
    </row>
    <row r="8379" spans="1:8" ht="15.75" customHeight="1" x14ac:dyDescent="0.25">
      <c r="A8379" s="425"/>
      <c r="B8379" s="448"/>
      <c r="C8379" s="574"/>
      <c r="D8379" s="427"/>
      <c r="E8379" s="427"/>
      <c r="F8379" s="391"/>
      <c r="G8379" s="427"/>
      <c r="H8379" s="429"/>
    </row>
    <row r="8380" spans="1:8" ht="15.75" customHeight="1" x14ac:dyDescent="0.25">
      <c r="A8380" s="425"/>
      <c r="B8380" s="448"/>
      <c r="C8380" s="574"/>
      <c r="D8380" s="427"/>
      <c r="E8380" s="427"/>
      <c r="F8380" s="391"/>
      <c r="G8380" s="427"/>
      <c r="H8380" s="429"/>
    </row>
    <row r="8381" spans="1:8" ht="15.75" customHeight="1" x14ac:dyDescent="0.25">
      <c r="A8381" s="430"/>
      <c r="B8381" s="409"/>
      <c r="C8381" s="393"/>
      <c r="D8381" s="427"/>
      <c r="E8381" s="427"/>
      <c r="F8381" s="428"/>
      <c r="G8381" s="431"/>
      <c r="H8381" s="429"/>
    </row>
    <row r="8382" spans="1:8" ht="15.75" customHeight="1" x14ac:dyDescent="0.25">
      <c r="A8382" s="432"/>
      <c r="B8382" s="433"/>
      <c r="C8382" s="434" t="s">
        <v>85</v>
      </c>
      <c r="D8382" s="435">
        <f>SUM(D8376:D8381)</f>
      </c>
      <c r="E8382" s="435"/>
      <c r="F8382" s="436">
        <f>SUM(F8376:F8381)</f>
      </c>
      <c r="G8382" s="437"/>
      <c r="H8382" s="438">
        <f>SUM(H8376:H8381)</f>
      </c>
    </row>
    <row r="8383" spans="1:8" ht="15.75" customHeight="1" x14ac:dyDescent="0.25">
      <c r="A8383" s="439"/>
      <c r="B8383" s="440"/>
      <c r="C8383" s="440"/>
      <c r="D8383" s="441"/>
      <c r="E8383" s="440"/>
      <c r="F8383" s="442"/>
      <c r="G8383" s="443"/>
      <c r="H8383" s="444"/>
    </row>
    <row r="8384" spans="1:8" ht="15.75" customHeight="1" x14ac:dyDescent="0.25">
      <c r="A8384" s="392"/>
      <c r="B8384" s="391"/>
      <c r="C8384" s="391"/>
      <c r="D8384" s="391"/>
      <c r="E8384" s="390"/>
      <c r="F8384" s="392"/>
      <c r="G8384" s="390"/>
      <c r="H8384" s="394"/>
    </row>
    <row r="8385" spans="1:8" ht="15.75" customHeight="1" x14ac:dyDescent="0.25">
      <c r="A8385" s="445"/>
      <c r="B8385" s="445"/>
      <c r="C8385" s="445"/>
      <c r="D8385" s="446" t="s">
        <v>97</v>
      </c>
      <c r="E8385" s="445" t="s">
        <v>98</v>
      </c>
      <c r="F8385" s="445"/>
      <c r="G8385" s="390"/>
      <c r="H8385" s="394"/>
    </row>
    <row r="8386" spans="1:8" ht="15.75" customHeight="1" x14ac:dyDescent="0.25">
      <c r="A8386" s="390"/>
      <c r="B8386" s="390"/>
      <c r="C8386" s="390"/>
      <c r="D8386" s="391"/>
      <c r="E8386" s="390"/>
      <c r="F8386" s="390"/>
      <c r="G8386" s="390"/>
      <c r="H8386" s="394"/>
    </row>
    <row r="8387" spans="1:8" ht="15.75" customHeight="1" x14ac:dyDescent="0.25">
      <c r="A8387" s="390"/>
      <c r="B8387" s="390"/>
      <c r="C8387" s="390"/>
      <c r="D8387" s="391"/>
      <c r="E8387" s="390"/>
      <c r="F8387" s="390"/>
      <c r="G8387" s="390"/>
      <c r="H8387" s="394"/>
    </row>
    <row r="8388" spans="1:8" ht="15.75" customHeight="1" x14ac:dyDescent="0.25">
      <c r="A8388" s="445"/>
      <c r="B8388" s="445"/>
      <c r="C8388" s="445"/>
      <c r="D8388" s="446"/>
      <c r="E8388" s="445" t="s">
        <v>99</v>
      </c>
      <c r="F8388" s="445"/>
      <c r="G8388" s="390"/>
      <c r="H8388" s="394"/>
    </row>
    <row r="8389" spans="1:8" ht="15.75" customHeight="1" x14ac:dyDescent="0.25">
      <c r="D8389" s="4"/>
      <c r="H8389" s="4"/>
    </row>
    <row r="8390" spans="1:8" ht="15.75" customHeight="1" x14ac:dyDescent="0.25">
      <c r="D8390" s="4"/>
      <c r="H8390" s="4"/>
    </row>
    <row r="8391" spans="1:8" ht="15.75" customHeight="1" x14ac:dyDescent="0.25">
      <c r="D8391" s="4"/>
      <c r="H8391" s="4"/>
    </row>
    <row r="8392" spans="1:8" ht="15.75" customHeight="1" x14ac:dyDescent="0.25">
      <c r="D8392" s="4"/>
      <c r="H8392" s="4"/>
    </row>
    <row r="8393" spans="1:8" ht="15.75" customHeight="1" x14ac:dyDescent="0.25">
      <c r="D8393" s="4"/>
      <c r="H8393" s="4"/>
    </row>
    <row r="8394" spans="1:8" ht="15.75" customHeight="1" x14ac:dyDescent="0.25">
      <c r="D8394" s="4"/>
      <c r="H8394" s="4"/>
    </row>
    <row r="8395" spans="1:8" ht="15.75" customHeight="1" x14ac:dyDescent="0.25">
      <c r="D8395" s="4"/>
      <c r="H8395" s="4"/>
    </row>
    <row r="8396" spans="1:8" ht="15.75" customHeight="1" x14ac:dyDescent="0.25">
      <c r="D8396" s="4"/>
      <c r="H8396" s="4"/>
    </row>
    <row r="8397" spans="1:8" ht="15.75" customHeight="1" x14ac:dyDescent="0.25">
      <c r="D8397" s="4"/>
      <c r="H8397" s="4"/>
    </row>
    <row r="8398" spans="1:8" ht="15.75" customHeight="1" x14ac:dyDescent="0.25">
      <c r="D8398" s="4"/>
      <c r="H8398" s="4"/>
    </row>
    <row r="8399" spans="1:8" ht="15.75" customHeight="1" x14ac:dyDescent="0.25">
      <c r="D8399" s="4"/>
      <c r="H8399" s="4"/>
    </row>
    <row r="8400" spans="1:8" ht="15.75" customHeight="1" x14ac:dyDescent="0.25">
      <c r="D8400" s="4"/>
      <c r="H8400" s="4"/>
    </row>
    <row r="8401" spans="1:8" ht="15.75" customHeight="1" x14ac:dyDescent="0.25">
      <c r="D8401" s="4"/>
      <c r="H8401" s="4"/>
    </row>
    <row r="8402" spans="1:8" ht="15.75" customHeight="1" x14ac:dyDescent="0.25">
      <c r="D8402" s="4"/>
      <c r="H8402" s="4"/>
    </row>
    <row r="8403" spans="1:8" ht="15.75" customHeight="1" x14ac:dyDescent="0.25">
      <c r="D8403" s="4"/>
      <c r="H8403" s="4"/>
    </row>
    <row r="8404" spans="1:8" ht="15.75" customHeight="1" x14ac:dyDescent="0.25">
      <c r="D8404" s="4"/>
      <c r="H8404" s="4"/>
    </row>
    <row r="8405" spans="1:8" ht="15.75" customHeight="1" x14ac:dyDescent="0.25">
      <c r="D8405" s="4"/>
      <c r="H8405" s="4"/>
    </row>
    <row r="8406" spans="1:8" ht="15.75" customHeight="1" x14ac:dyDescent="0.25">
      <c r="A8406" s="8" t="s">
        <v>14</v>
      </c>
      <c r="B8406" s="8"/>
      <c r="C8406" s="8"/>
      <c r="D8406" s="8"/>
      <c r="E8406" s="8"/>
      <c r="F8406" s="8"/>
      <c r="G8406" s="8"/>
      <c r="H8406" s="8"/>
    </row>
    <row r="8407" spans="1:8" ht="15.75" customHeight="1" x14ac:dyDescent="0.25">
      <c r="A8407" s="388"/>
      <c r="B8407" s="388"/>
      <c r="C8407" s="388"/>
      <c r="D8407" s="389"/>
      <c r="E8407" s="388"/>
      <c r="F8407" s="388"/>
      <c r="G8407" s="388"/>
      <c r="H8407" s="8"/>
    </row>
    <row r="8408" spans="1:8" ht="15.75" customHeight="1" x14ac:dyDescent="0.25">
      <c r="A8408" s="388"/>
      <c r="B8408" s="388"/>
      <c r="C8408" s="389"/>
      <c r="D8408" s="510"/>
      <c r="E8408" s="7"/>
      <c r="F8408" s="7"/>
      <c r="G8408" s="7"/>
      <c r="H8408" s="511"/>
    </row>
    <row r="8409" spans="1:8" ht="15.75" customHeight="1" x14ac:dyDescent="0.25">
      <c r="A8409" s="388"/>
      <c r="B8409" s="388"/>
      <c r="C8409" s="388"/>
      <c r="D8409" s="389"/>
      <c r="E8409" s="388"/>
      <c r="F8409" s="512" t="s">
        <v>18</v>
      </c>
      <c r="G8409" s="513" t="s">
        <v>964</v>
      </c>
      <c r="H8409" s="514"/>
    </row>
    <row r="8410" spans="1:8" ht="15.75" customHeight="1" x14ac:dyDescent="0.25">
      <c r="A8410" s="388" t="s">
        <v>20</v>
      </c>
      <c r="B8410" s="388"/>
      <c r="C8410" s="388"/>
      <c r="D8410" s="389"/>
      <c r="E8410" s="388"/>
      <c r="F8410" s="512" t="s">
        <v>21</v>
      </c>
      <c r="G8410" s="388" t="s">
        <v>1849</v>
      </c>
      <c r="H8410" s="389"/>
    </row>
    <row r="8411" spans="1:8" ht="15.75" customHeight="1" x14ac:dyDescent="0.25">
      <c r="A8411" s="388" t="inlineStr">
        <is>
          <t>Dealer-001</t>
        </is>
      </c>
      <c r="B8411" s="388"/>
      <c r="C8411" s="388"/>
      <c r="D8411" s="389"/>
      <c r="E8411" s="512"/>
      <c r="F8411" s="388"/>
      <c r="G8411" s="388"/>
      <c r="H8411" s="511"/>
    </row>
    <row r="8412" spans="1:8" ht="15.75" customHeight="1" x14ac:dyDescent="0.25">
      <c r="A8412" s="388" t="inlineStr">
        <is>
          <t>Address line (redacted)</t>
        </is>
      </c>
      <c r="B8412" s="388"/>
      <c r="C8412" s="388"/>
      <c r="D8412" s="8"/>
      <c r="E8412" s="388"/>
      <c r="F8412" s="389"/>
      <c r="G8412" s="388"/>
      <c r="H8412" s="511"/>
    </row>
    <row r="8413" spans="1:8" ht="15.75" customHeight="1" x14ac:dyDescent="0.25">
      <c r="A8413" s="388"/>
      <c r="B8413" s="388"/>
      <c r="C8413" s="388"/>
      <c r="D8413" s="8"/>
      <c r="E8413" s="388"/>
      <c r="F8413" s="389"/>
      <c r="G8413" s="388"/>
      <c r="H8413" s="511"/>
    </row>
    <row r="8414" spans="1:8" ht="15.75" customHeight="1" x14ac:dyDescent="0.25">
      <c r="A8414" s="388" t="inlineStr">
        <is>
          <t>Through: Transporter-001</t>
        </is>
      </c>
      <c r="B8414" s="388"/>
      <c r="C8414" s="388"/>
      <c r="D8414" s="8"/>
      <c r="E8414" s="388"/>
      <c r="F8414" s="389"/>
      <c r="G8414" s="388"/>
      <c r="H8414" s="511"/>
    </row>
    <row r="8415" spans="1:8" ht="15.75" customHeight="1" x14ac:dyDescent="0.25">
      <c r="A8415" s="388"/>
      <c r="B8415" s="388" t="inlineStr">
        <is>
          <t>Address line (redacted)</t>
        </is>
      </c>
      <c r="C8415" s="388"/>
      <c r="D8415" s="8"/>
      <c r="E8415" s="388"/>
      <c r="F8415" s="389"/>
      <c r="G8415" s="388"/>
      <c r="H8415" s="511"/>
    </row>
    <row r="8416" spans="1:8" ht="15.75" customHeight="1" x14ac:dyDescent="0.25">
      <c r="A8416" s="388"/>
      <c r="B8416" s="388" t="inlineStr">
        <is>
          <t>Address line (redacted)</t>
        </is>
      </c>
      <c r="C8416" s="388"/>
      <c r="D8416" s="8"/>
      <c r="E8416" s="388"/>
      <c r="F8416" s="389"/>
      <c r="G8416" s="388"/>
      <c r="H8416" s="511"/>
    </row>
    <row r="8417" spans="1:8" ht="15.75" customHeight="1" x14ac:dyDescent="0.25">
      <c r="A8417" s="388"/>
      <c r="B8417" s="388"/>
      <c r="C8417" s="388"/>
      <c r="D8417" s="8"/>
      <c r="E8417" s="388"/>
      <c r="F8417" s="389"/>
      <c r="G8417" s="388"/>
      <c r="H8417" s="511"/>
    </row>
    <row r="8418" spans="1:8" ht="15.75" customHeight="1" x14ac:dyDescent="0.25">
      <c r="A8418" s="388" t="s">
        <v>30</v>
      </c>
      <c r="B8418" s="388"/>
      <c r="C8418" s="388"/>
      <c r="D8418" s="389"/>
      <c r="E8418" s="388"/>
      <c r="F8418" s="389"/>
      <c r="G8418" s="388"/>
      <c r="H8418" s="511"/>
    </row>
    <row r="8419" spans="1:8" ht="15.75" customHeight="1" x14ac:dyDescent="0.25">
      <c r="A8419" s="388"/>
      <c r="B8419" s="388"/>
      <c r="C8419" s="388"/>
      <c r="D8419" s="389"/>
      <c r="E8419" s="388"/>
      <c r="F8419" s="389"/>
      <c r="G8419" s="388"/>
      <c r="H8419" s="511"/>
    </row>
    <row r="8420" spans="1:8" ht="15.75" customHeight="1" x14ac:dyDescent="0.25">
      <c r="A8420" s="388" t="s">
        <v>716</v>
      </c>
      <c r="B8420" s="388"/>
      <c r="C8420" s="388"/>
      <c r="D8420" s="389"/>
      <c r="E8420" s="388"/>
      <c r="F8420" s="389"/>
      <c r="G8420" s="388"/>
      <c r="H8420" s="511"/>
    </row>
    <row r="8421" spans="1:8" ht="15.75" customHeight="1" x14ac:dyDescent="0.25">
      <c r="A8421" s="388" t="s">
        <v>717</v>
      </c>
      <c r="B8421" s="388"/>
      <c r="C8421" s="388"/>
      <c r="D8421" s="389"/>
      <c r="E8421" s="388"/>
      <c r="F8421" s="389"/>
      <c r="G8421" s="388"/>
      <c r="H8421" s="511"/>
    </row>
    <row r="8422" spans="1:8" ht="15.75" customHeight="1" x14ac:dyDescent="0.25">
      <c r="A8422" s="388"/>
      <c r="B8422" s="388"/>
      <c r="C8422" s="388"/>
      <c r="D8422" s="389"/>
      <c r="E8422" s="388"/>
      <c r="F8422" s="389"/>
      <c r="G8422" s="388"/>
      <c r="H8422" s="511"/>
    </row>
    <row r="8423" spans="1:8" ht="15.75" customHeight="1" x14ac:dyDescent="0.25">
      <c r="A8423" s="515" t="s">
        <v>33</v>
      </c>
      <c r="B8423" s="516" t="s">
        <v>6</v>
      </c>
      <c r="C8423" s="516"/>
      <c r="D8423" s="517" t="s">
        <v>37</v>
      </c>
      <c r="E8423" s="518" t="s">
        <v>38</v>
      </c>
      <c r="F8423" s="519" t="s">
        <v>7</v>
      </c>
      <c r="G8423" s="520" t="s">
        <v>43</v>
      </c>
      <c r="H8423" s="522" t="s">
        <v>44</v>
      </c>
    </row>
    <row r="8424" spans="1:8" ht="15.75" customHeight="1" x14ac:dyDescent="0.25">
      <c r="A8424" s="523"/>
      <c r="B8424" s="524"/>
      <c r="C8424" s="7"/>
      <c r="D8424" s="525"/>
      <c r="E8424" s="525"/>
      <c r="F8424" s="526"/>
      <c r="G8424" s="527"/>
      <c r="H8424" s="528"/>
    </row>
    <row r="8425" spans="1:8" ht="15.75" customHeight="1" x14ac:dyDescent="0.25">
      <c r="A8425" s="808"/>
      <c r="B8425" s="654" t="s">
        <v>590</v>
      </c>
      <c r="C8425" s="654"/>
      <c r="D8425" s="809"/>
      <c r="E8425" s="809"/>
      <c r="F8425" s="809"/>
      <c r="G8425" s="809"/>
      <c r="H8425" s="810"/>
    </row>
    <row r="8426" spans="1:8" ht="15.75" customHeight="1" x14ac:dyDescent="0.25">
      <c r="A8426" s="808" t="s">
        <v>55</v>
      </c>
      <c r="B8426" s="811" t="s">
        <v>2164</v>
      </c>
      <c r="C8426" s="812" t="s">
        <v>375</v>
      </c>
      <c r="D8426" s="809">
        <v>2</v>
      </c>
      <c r="E8426" s="809">
        <v>6</v>
      </c>
      <c r="F8426" s="809">
        <f t="shared" ref="F8426:F8428" si="268">+E8426*D8426</f>
      </c>
      <c r="G8426" s="809">
        <v>1</v>
      </c>
      <c r="H8426" s="810">
        <f t="shared" ref="H8426:H8428" si="269">+G8426*F8426</f>
      </c>
    </row>
    <row r="8427" spans="1:8" ht="15.75" customHeight="1" x14ac:dyDescent="0.25">
      <c r="A8427" s="808" t="s">
        <v>59</v>
      </c>
      <c r="B8427" s="811" t="s">
        <v>134</v>
      </c>
      <c r="C8427" s="812" t="s">
        <v>367</v>
      </c>
      <c r="D8427" s="809">
        <v>1</v>
      </c>
      <c r="E8427" s="809">
        <v>6</v>
      </c>
      <c r="F8427" s="809">
        <f t="shared" si="268"/>
      </c>
      <c r="G8427" s="809">
        <v>1</v>
      </c>
      <c r="H8427" s="810">
        <f t="shared" si="269"/>
      </c>
    </row>
    <row r="8428" spans="1:8" ht="15.75" customHeight="1" x14ac:dyDescent="0.25">
      <c r="A8428" s="808" t="s">
        <v>67</v>
      </c>
      <c r="B8428" s="811" t="s">
        <v>1718</v>
      </c>
      <c r="C8428" s="812" t="s">
        <v>379</v>
      </c>
      <c r="D8428" s="809">
        <v>1</v>
      </c>
      <c r="E8428" s="809">
        <v>6</v>
      </c>
      <c r="F8428" s="809">
        <f t="shared" si="268"/>
      </c>
      <c r="G8428" s="809">
        <v>1</v>
      </c>
      <c r="H8428" s="810">
        <f t="shared" si="269"/>
      </c>
    </row>
    <row r="8429" spans="1:8" ht="15.75" customHeight="1" x14ac:dyDescent="0.25">
      <c r="A8429" s="808"/>
      <c r="B8429" s="654" t="s">
        <v>1207</v>
      </c>
      <c r="C8429" s="654"/>
      <c r="D8429" s="809"/>
      <c r="E8429" s="809"/>
      <c r="F8429" s="809"/>
      <c r="G8429" s="809"/>
      <c r="H8429" s="810"/>
    </row>
    <row r="8430" spans="1:8" ht="15.75" customHeight="1" x14ac:dyDescent="0.25">
      <c r="A8430" s="808" t="s">
        <v>485</v>
      </c>
      <c r="B8430" s="811" t="s">
        <v>134</v>
      </c>
      <c r="C8430" s="812"/>
      <c r="D8430" s="809">
        <v>19</v>
      </c>
      <c r="E8430" s="809">
        <v>1</v>
      </c>
      <c r="F8430" s="809">
        <f t="shared" ref="F8430:F8431" si="270">+E8430*D8430</f>
      </c>
      <c r="G8430" s="809">
        <v>1</v>
      </c>
      <c r="H8430" s="810">
        <f t="shared" ref="H8430:H8431" si="271">+G8430*F8430</f>
      </c>
    </row>
    <row r="8431" spans="1:8" ht="15.75" customHeight="1" x14ac:dyDescent="0.25">
      <c r="A8431" s="808" t="s">
        <v>486</v>
      </c>
      <c r="B8431" s="811" t="s">
        <v>2164</v>
      </c>
      <c r="C8431" s="812"/>
      <c r="D8431" s="809">
        <v>9</v>
      </c>
      <c r="E8431" s="809">
        <v>1</v>
      </c>
      <c r="F8431" s="809">
        <f t="shared" si="270"/>
      </c>
      <c r="G8431" s="809">
        <v>1</v>
      </c>
      <c r="H8431" s="810">
        <f t="shared" si="271"/>
      </c>
    </row>
    <row r="8432" spans="1:8" ht="15.75" customHeight="1" x14ac:dyDescent="0.25">
      <c r="A8432" s="808"/>
      <c r="B8432" s="811"/>
      <c r="C8432" s="812"/>
      <c r="D8432" s="809"/>
      <c r="E8432" s="809"/>
      <c r="F8432" s="809"/>
      <c r="G8432" s="809"/>
      <c r="H8432" s="810"/>
    </row>
    <row r="8433" spans="1:8" ht="15.75" customHeight="1" x14ac:dyDescent="0.25">
      <c r="A8433" s="529"/>
      <c r="B8433" s="535"/>
      <c r="C8433" s="388"/>
      <c r="D8433" s="532"/>
      <c r="E8433" s="532"/>
      <c r="F8433" s="389"/>
      <c r="G8433" s="532"/>
      <c r="H8433" s="533"/>
    </row>
    <row r="8434" spans="1:8" ht="15.75" customHeight="1" x14ac:dyDescent="0.25">
      <c r="A8434" s="536"/>
      <c r="B8434" s="526"/>
      <c r="C8434" s="7"/>
      <c r="D8434" s="532"/>
      <c r="E8434" s="532"/>
      <c r="F8434" s="537"/>
      <c r="G8434" s="538"/>
      <c r="H8434" s="533"/>
    </row>
    <row r="8435" spans="1:8" ht="15.75" customHeight="1" x14ac:dyDescent="0.25">
      <c r="A8435" s="539"/>
      <c r="B8435" s="540"/>
      <c r="C8435" s="541" t="s">
        <v>85</v>
      </c>
      <c r="D8435" s="542">
        <f>SUM(D8426:D8434)</f>
      </c>
      <c r="E8435" s="542"/>
      <c r="F8435" s="543">
        <f>SUM(F8426:F8434)</f>
      </c>
      <c r="G8435" s="544"/>
      <c r="H8435" s="546">
        <f>SUM(H8426:H8434)</f>
      </c>
    </row>
    <row r="8436" spans="1:8" ht="15.75" customHeight="1" x14ac:dyDescent="0.25">
      <c r="A8436" s="547"/>
      <c r="B8436" s="548"/>
      <c r="C8436" s="548"/>
      <c r="D8436" s="549"/>
      <c r="E8436" s="548"/>
      <c r="F8436" s="550"/>
      <c r="G8436" s="551"/>
      <c r="H8436" s="552"/>
    </row>
    <row r="8437" spans="1:8" ht="15.75" customHeight="1" x14ac:dyDescent="0.25">
      <c r="A8437" s="510"/>
      <c r="B8437" s="389"/>
      <c r="C8437" s="389"/>
      <c r="D8437" s="389"/>
      <c r="E8437" s="388"/>
      <c r="F8437" s="510"/>
      <c r="G8437" s="388"/>
      <c r="H8437" s="511"/>
    </row>
    <row r="8438" spans="1:8" ht="15.75" customHeight="1" x14ac:dyDescent="0.25">
      <c r="A8438" s="553"/>
      <c r="B8438" s="553"/>
      <c r="C8438" s="553"/>
      <c r="D8438" s="554" t="s">
        <v>97</v>
      </c>
      <c r="E8438" s="553" t="s">
        <v>98</v>
      </c>
      <c r="F8438" s="553"/>
      <c r="G8438" s="388"/>
      <c r="H8438" s="511"/>
    </row>
    <row r="8439" spans="1:8" ht="15.75" customHeight="1" x14ac:dyDescent="0.25">
      <c r="A8439" s="388"/>
      <c r="B8439" s="388"/>
      <c r="C8439" s="388"/>
      <c r="D8439" s="389"/>
      <c r="E8439" s="388"/>
      <c r="F8439" s="388"/>
      <c r="G8439" s="388"/>
      <c r="H8439" s="511"/>
    </row>
    <row r="8440" spans="1:8" ht="15.75" customHeight="1" x14ac:dyDescent="0.25">
      <c r="A8440" s="388"/>
      <c r="B8440" s="388"/>
      <c r="C8440" s="388"/>
      <c r="D8440" s="389"/>
      <c r="E8440" s="388"/>
      <c r="F8440" s="388"/>
      <c r="G8440" s="388"/>
      <c r="H8440" s="511"/>
    </row>
    <row r="8441" spans="1:8" ht="15.75" customHeight="1" x14ac:dyDescent="0.25">
      <c r="A8441" s="553"/>
      <c r="B8441" s="553"/>
      <c r="C8441" s="553"/>
      <c r="D8441" s="554"/>
      <c r="E8441" s="553" t="s">
        <v>99</v>
      </c>
      <c r="F8441" s="553"/>
      <c r="G8441" s="388"/>
      <c r="H8441" s="511"/>
    </row>
    <row r="8442" spans="1:8" ht="15.75" customHeight="1" x14ac:dyDescent="0.25">
      <c r="D8442" s="4"/>
      <c r="H8442" s="4"/>
    </row>
    <row r="8443" spans="1:8" ht="15.75" customHeight="1" x14ac:dyDescent="0.25">
      <c r="D8443" s="4"/>
      <c r="H8443" s="4"/>
    </row>
    <row r="8444" spans="1:8" ht="15.75" customHeight="1" x14ac:dyDescent="0.25">
      <c r="D8444" s="4"/>
      <c r="H8444" s="4"/>
    </row>
    <row r="8445" spans="1:8" ht="15.75" customHeight="1" x14ac:dyDescent="0.25">
      <c r="D8445" s="4"/>
      <c r="H8445" s="4"/>
    </row>
    <row r="8446" spans="1:8" ht="15.75" customHeight="1" x14ac:dyDescent="0.25">
      <c r="D8446" s="4"/>
      <c r="H8446" s="4"/>
    </row>
    <row r="8447" spans="1:8" ht="15.75" customHeight="1" x14ac:dyDescent="0.25">
      <c r="D8447" s="4"/>
      <c r="H8447" s="4"/>
    </row>
    <row r="8448" spans="1:8" ht="15.75" customHeight="1" x14ac:dyDescent="0.25">
      <c r="D8448" s="4"/>
      <c r="H8448" s="4"/>
    </row>
    <row r="8449" spans="1:8" ht="15.75" customHeight="1" x14ac:dyDescent="0.25">
      <c r="D8449" s="4"/>
      <c r="H8449" s="4"/>
    </row>
    <row r="8450" spans="1:8" ht="15.75" customHeight="1" x14ac:dyDescent="0.25">
      <c r="D8450" s="4"/>
      <c r="H8450" s="4"/>
    </row>
    <row r="8451" spans="1:8" ht="15.75" customHeight="1" x14ac:dyDescent="0.25">
      <c r="D8451" s="4"/>
      <c r="H8451" s="4"/>
    </row>
    <row r="8452" spans="1:8" ht="15.75" customHeight="1" x14ac:dyDescent="0.25">
      <c r="A8452" s="392" t="s">
        <v>14</v>
      </c>
      <c r="B8452" s="391"/>
      <c r="C8452" s="391"/>
      <c r="D8452" s="391"/>
      <c r="E8452" s="391"/>
      <c r="F8452" s="391"/>
      <c r="G8452" s="391"/>
      <c r="H8452" s="394"/>
    </row>
    <row r="8453" spans="1:8" ht="15.75" customHeight="1" x14ac:dyDescent="0.25">
      <c r="A8453" s="392"/>
      <c r="B8453" s="391"/>
      <c r="C8453" s="391"/>
      <c r="D8453" s="391"/>
      <c r="E8453" s="390"/>
      <c r="F8453" s="392"/>
      <c r="G8453" s="390"/>
      <c r="H8453" s="394"/>
    </row>
    <row r="8454" spans="1:8" ht="15.75" customHeight="1" x14ac:dyDescent="0.25">
      <c r="A8454" s="392"/>
      <c r="B8454" s="391"/>
      <c r="C8454" s="391"/>
      <c r="D8454" s="391"/>
      <c r="E8454" s="390"/>
      <c r="F8454" s="392"/>
      <c r="G8454" s="390"/>
      <c r="H8454" s="394"/>
    </row>
    <row r="8455" spans="1:8" ht="15.75" customHeight="1" x14ac:dyDescent="0.25">
      <c r="A8455" s="390" t="s">
        <v>20</v>
      </c>
      <c r="B8455" s="390"/>
      <c r="C8455" s="390"/>
      <c r="D8455" s="391"/>
      <c r="E8455" s="390"/>
      <c r="F8455" s="392"/>
      <c r="G8455" s="390"/>
      <c r="H8455" s="394"/>
    </row>
    <row r="8456" spans="1:8" ht="15.75" customHeight="1" x14ac:dyDescent="0.25">
      <c r="A8456" s="390" t="inlineStr">
        <is>
          <t>Dealer-003</t>
        </is>
      </c>
      <c r="B8456" s="390"/>
      <c r="C8456" s="390"/>
      <c r="D8456" s="391"/>
      <c r="E8456" s="390"/>
      <c r="F8456" s="395" t="s">
        <v>18</v>
      </c>
      <c r="G8456" s="390" t="s">
        <v>964</v>
      </c>
      <c r="H8456" s="394"/>
    </row>
    <row r="8457" spans="1:8" ht="15.75" customHeight="1" x14ac:dyDescent="0.25">
      <c r="A8457" s="390" t="inlineStr">
        <is>
          <t>Address line (redacted)</t>
        </is>
      </c>
      <c r="B8457" s="390"/>
      <c r="C8457" s="390"/>
      <c r="D8457" s="391"/>
      <c r="E8457" s="390"/>
      <c r="F8457" s="393" t="s">
        <v>21</v>
      </c>
      <c r="G8457" s="390" t="s">
        <v>1418</v>
      </c>
      <c r="H8457" s="394"/>
    </row>
    <row r="8458" spans="1:8" ht="15.75" customHeight="1" x14ac:dyDescent="0.25">
      <c r="A8458" s="390" t="inlineStr">
        <is>
          <t>Address line (redacted)</t>
        </is>
      </c>
      <c r="B8458" s="390"/>
      <c r="C8458" s="390"/>
      <c r="D8458" s="391"/>
      <c r="E8458" s="390"/>
      <c r="F8458" s="391"/>
      <c r="G8458" s="390"/>
      <c r="H8458" s="394"/>
    </row>
    <row r="8459" spans="1:8" ht="15.75" customHeight="1" x14ac:dyDescent="0.25">
      <c r="A8459" s="390"/>
      <c r="B8459" s="390"/>
      <c r="C8459" s="393"/>
      <c r="D8459" s="391"/>
      <c r="E8459" s="390"/>
      <c r="F8459" s="391"/>
      <c r="G8459" s="390"/>
      <c r="H8459" s="394"/>
    </row>
    <row r="8460" spans="1:8" ht="15.75" customHeight="1" x14ac:dyDescent="0.25">
      <c r="A8460" s="390"/>
      <c r="B8460" s="390"/>
      <c r="C8460" s="390"/>
      <c r="D8460" s="391"/>
      <c r="E8460" s="390"/>
      <c r="F8460" s="391"/>
      <c r="G8460" s="390"/>
      <c r="H8460" s="394"/>
    </row>
    <row r="8461" spans="1:8" ht="15.75" customHeight="1" x14ac:dyDescent="0.25">
      <c r="A8461" s="390" t="s">
        <v>30</v>
      </c>
      <c r="B8461" s="390"/>
      <c r="C8461" s="390"/>
      <c r="D8461" s="391"/>
      <c r="E8461" s="390"/>
      <c r="F8461" s="391"/>
      <c r="G8461" s="390"/>
      <c r="H8461" s="394"/>
    </row>
    <row r="8462" spans="1:8" ht="15.75" customHeight="1" x14ac:dyDescent="0.25">
      <c r="A8462" s="390"/>
      <c r="B8462" s="390"/>
      <c r="C8462" s="390"/>
      <c r="D8462" s="391"/>
      <c r="E8462" s="390"/>
      <c r="F8462" s="391"/>
      <c r="G8462" s="390"/>
      <c r="H8462" s="394"/>
    </row>
    <row r="8463" spans="1:8" ht="15.75" customHeight="1" x14ac:dyDescent="0.25">
      <c r="A8463" s="390" t="s">
        <v>1322</v>
      </c>
      <c r="B8463" s="390"/>
      <c r="C8463" s="390"/>
      <c r="D8463" s="391"/>
      <c r="E8463" s="390"/>
      <c r="F8463" s="391"/>
      <c r="G8463" s="390"/>
      <c r="H8463" s="394"/>
    </row>
    <row r="8464" spans="1:8" ht="15.75" customHeight="1" x14ac:dyDescent="0.25">
      <c r="A8464" s="390" t="s">
        <v>1328</v>
      </c>
      <c r="B8464" s="390"/>
      <c r="C8464" s="390"/>
      <c r="D8464" s="391"/>
      <c r="E8464" s="390"/>
      <c r="F8464" s="391"/>
      <c r="G8464" s="390"/>
      <c r="H8464" s="394"/>
    </row>
    <row r="8465" spans="1:8" ht="15.75" customHeight="1" x14ac:dyDescent="0.25">
      <c r="A8465" s="390"/>
      <c r="B8465" s="390"/>
      <c r="C8465" s="390"/>
      <c r="D8465" s="391"/>
      <c r="E8465" s="390"/>
      <c r="F8465" s="391"/>
      <c r="G8465" s="390"/>
      <c r="H8465" s="394"/>
    </row>
    <row r="8466" spans="1:8" ht="15.75" customHeight="1" x14ac:dyDescent="0.25">
      <c r="A8466" s="399" t="s">
        <v>33</v>
      </c>
      <c r="B8466" s="400" t="s">
        <v>6</v>
      </c>
      <c r="C8466" s="400"/>
      <c r="D8466" s="401" t="s">
        <v>37</v>
      </c>
      <c r="E8466" s="402" t="s">
        <v>1309</v>
      </c>
      <c r="F8466" s="609" t="s">
        <v>7</v>
      </c>
      <c r="G8466" s="400" t="s">
        <v>43</v>
      </c>
      <c r="H8466" s="405" t="s">
        <v>44</v>
      </c>
    </row>
    <row r="8467" spans="1:8" ht="15.75" customHeight="1" x14ac:dyDescent="0.25">
      <c r="A8467" s="610"/>
      <c r="B8467" s="611"/>
      <c r="C8467" s="611"/>
      <c r="D8467" s="612"/>
      <c r="E8467" s="613"/>
      <c r="F8467" s="614"/>
      <c r="G8467" s="611"/>
      <c r="H8467" s="615"/>
    </row>
    <row r="8468" spans="1:8" ht="15.75" customHeight="1" x14ac:dyDescent="0.25">
      <c r="A8468" s="780"/>
      <c r="B8468" s="654" t="s">
        <v>1102</v>
      </c>
      <c r="C8468" s="654"/>
      <c r="D8468" s="578"/>
      <c r="E8468" s="578"/>
      <c r="F8468" s="578"/>
      <c r="G8468" s="578"/>
      <c r="H8468" s="580"/>
    </row>
    <row r="8469" spans="1:8" ht="15.75" customHeight="1" x14ac:dyDescent="0.25">
      <c r="A8469" s="412" t="s">
        <v>55</v>
      </c>
      <c r="B8469" s="644" t="s">
        <v>1850</v>
      </c>
      <c r="C8469" s="420" t="s">
        <v>298</v>
      </c>
      <c r="D8469" s="415">
        <v>4</v>
      </c>
      <c r="E8469" s="415">
        <v>5</v>
      </c>
      <c r="F8469" s="415">
        <f t="shared" ref="F8469:F8470" si="272">+E8469*D8469</f>
      </c>
      <c r="G8469" s="415">
        <v>1</v>
      </c>
      <c r="H8469" s="416">
        <f t="shared" ref="H8469:H8470" si="273">+G8469*F8469</f>
      </c>
    </row>
    <row r="8470" spans="1:8" ht="15.75" customHeight="1" x14ac:dyDescent="0.25">
      <c r="A8470" s="412" t="s">
        <v>59</v>
      </c>
      <c r="B8470" s="644" t="s">
        <v>1552</v>
      </c>
      <c r="C8470" s="420" t="s">
        <v>330</v>
      </c>
      <c r="D8470" s="415">
        <v>8</v>
      </c>
      <c r="E8470" s="415">
        <v>5</v>
      </c>
      <c r="F8470" s="415">
        <f t="shared" si="272"/>
      </c>
      <c r="G8470" s="415">
        <v>1</v>
      </c>
      <c r="H8470" s="416">
        <f t="shared" si="273"/>
      </c>
    </row>
    <row r="8471" spans="1:8" ht="15.75" customHeight="1" x14ac:dyDescent="0.25">
      <c r="A8471" s="412"/>
      <c r="B8471" s="654" t="s">
        <v>1822</v>
      </c>
      <c r="C8471" s="654"/>
      <c r="D8471" s="415"/>
      <c r="E8471" s="415"/>
      <c r="F8471" s="415"/>
      <c r="G8471" s="415"/>
      <c r="H8471" s="416"/>
    </row>
    <row r="8472" spans="1:8" ht="15.75" customHeight="1" x14ac:dyDescent="0.25">
      <c r="A8472" s="412" t="s">
        <v>67</v>
      </c>
      <c r="B8472" s="644" t="s">
        <v>1830</v>
      </c>
      <c r="C8472" s="420"/>
      <c r="D8472" s="415">
        <v>2</v>
      </c>
      <c r="E8472" s="415">
        <v>10</v>
      </c>
      <c r="F8472" s="415">
        <f t="shared" ref="F8472:F8474" si="274">+E8472*D8472</f>
      </c>
      <c r="G8472" s="415">
        <v>1</v>
      </c>
      <c r="H8472" s="416">
        <f t="shared" ref="H8472:H8474" si="275">+G8472*F8472</f>
      </c>
    </row>
    <row r="8473" spans="1:8" ht="15.75" customHeight="1" x14ac:dyDescent="0.25">
      <c r="A8473" s="412" t="s">
        <v>485</v>
      </c>
      <c r="B8473" s="644" t="s">
        <v>1770</v>
      </c>
      <c r="C8473" s="420"/>
      <c r="D8473" s="415">
        <v>10</v>
      </c>
      <c r="E8473" s="415">
        <v>10</v>
      </c>
      <c r="F8473" s="415">
        <f t="shared" si="274"/>
      </c>
      <c r="G8473" s="415">
        <v>1</v>
      </c>
      <c r="H8473" s="416">
        <f t="shared" si="275"/>
      </c>
    </row>
    <row r="8474" spans="1:8" ht="15.75" customHeight="1" x14ac:dyDescent="0.25">
      <c r="A8474" s="412" t="s">
        <v>486</v>
      </c>
      <c r="B8474" s="644" t="s">
        <v>1851</v>
      </c>
      <c r="C8474" s="420"/>
      <c r="D8474" s="415">
        <v>5</v>
      </c>
      <c r="E8474" s="415">
        <v>10</v>
      </c>
      <c r="F8474" s="415">
        <f t="shared" si="274"/>
      </c>
      <c r="G8474" s="415">
        <v>1</v>
      </c>
      <c r="H8474" s="416">
        <f t="shared" si="275"/>
      </c>
    </row>
    <row r="8475" spans="1:8" ht="15.75" customHeight="1" x14ac:dyDescent="0.25">
      <c r="A8475" s="412"/>
      <c r="B8475" s="654" t="s">
        <v>674</v>
      </c>
      <c r="C8475" s="654"/>
      <c r="D8475" s="415"/>
      <c r="E8475" s="415"/>
      <c r="F8475" s="415"/>
      <c r="G8475" s="415"/>
      <c r="H8475" s="416"/>
    </row>
    <row r="8476" spans="1:8" ht="15.75" customHeight="1" x14ac:dyDescent="0.25">
      <c r="A8476" s="412" t="s">
        <v>489</v>
      </c>
      <c r="B8476" s="644" t="s">
        <v>1076</v>
      </c>
      <c r="C8476" s="420"/>
      <c r="D8476" s="415">
        <v>50</v>
      </c>
      <c r="E8476" s="415">
        <v>1</v>
      </c>
      <c r="F8476" s="415">
        <f>+E8476*D8476</f>
      </c>
      <c r="G8476" s="415">
        <v>1</v>
      </c>
      <c r="H8476" s="416">
        <f>+G8476*F8476</f>
      </c>
    </row>
    <row r="8477" spans="1:8" ht="15.75" customHeight="1" x14ac:dyDescent="0.25">
      <c r="A8477" s="412"/>
      <c r="B8477" s="654" t="s">
        <v>1187</v>
      </c>
      <c r="C8477" s="654"/>
      <c r="D8477" s="415"/>
      <c r="E8477" s="415"/>
      <c r="F8477" s="415"/>
      <c r="G8477" s="415"/>
      <c r="H8477" s="416"/>
    </row>
    <row r="8478" spans="1:8" ht="15.75" customHeight="1" x14ac:dyDescent="0.25">
      <c r="A8478" s="581" t="s">
        <v>490</v>
      </c>
      <c r="B8478" s="417" t="s">
        <v>1853</v>
      </c>
      <c r="C8478" s="418" t="s">
        <v>1815</v>
      </c>
      <c r="D8478" s="415">
        <v>1</v>
      </c>
      <c r="E8478" s="415">
        <v>250</v>
      </c>
      <c r="F8478" s="415">
        <f>+E8478*D8478</f>
      </c>
      <c r="G8478" s="415">
        <v>1</v>
      </c>
      <c r="H8478" s="416">
        <f t="shared" ref="H8478:H8479" si="276">+G8478*F8478</f>
      </c>
    </row>
    <row r="8479" spans="1:8" ht="15.75" customHeight="1" x14ac:dyDescent="0.25">
      <c r="A8479" s="581" t="s">
        <v>781</v>
      </c>
      <c r="B8479" s="417" t="s">
        <v>1524</v>
      </c>
      <c r="C8479" s="418" t="s">
        <v>1525</v>
      </c>
      <c r="D8479" s="626"/>
      <c r="E8479" s="415">
        <v>100</v>
      </c>
      <c r="F8479" s="415">
        <v>100</v>
      </c>
      <c r="G8479" s="415">
        <v>1</v>
      </c>
      <c r="H8479" s="416">
        <f t="shared" si="276"/>
      </c>
    </row>
    <row r="8480" spans="1:8" ht="15.75" customHeight="1" x14ac:dyDescent="0.25">
      <c r="A8480" s="581"/>
      <c r="B8480" s="654" t="s">
        <v>1239</v>
      </c>
      <c r="C8480" s="654"/>
      <c r="D8480" s="626"/>
      <c r="E8480" s="415"/>
      <c r="F8480" s="415"/>
      <c r="G8480" s="415"/>
      <c r="H8480" s="416"/>
    </row>
    <row r="8481" spans="1:8" ht="15.75" customHeight="1" x14ac:dyDescent="0.25">
      <c r="A8481" s="581" t="s">
        <v>785</v>
      </c>
      <c r="B8481" s="417" t="s">
        <v>218</v>
      </c>
      <c r="C8481" s="418" t="s">
        <v>440</v>
      </c>
      <c r="D8481" s="626">
        <v>1</v>
      </c>
      <c r="E8481" s="415">
        <v>25</v>
      </c>
      <c r="F8481" s="415">
        <f t="shared" ref="F8481:F8482" si="277">+E8481*D8481</f>
      </c>
      <c r="G8481" s="415">
        <v>1</v>
      </c>
      <c r="H8481" s="416">
        <f t="shared" ref="H8481:H8482" si="278">+G8481*F8481</f>
      </c>
    </row>
    <row r="8482" spans="1:8" ht="15.75" customHeight="1" x14ac:dyDescent="0.25">
      <c r="A8482" s="581" t="s">
        <v>787</v>
      </c>
      <c r="B8482" s="417" t="s">
        <v>250</v>
      </c>
      <c r="C8482" s="418" t="s">
        <v>424</v>
      </c>
      <c r="D8482" s="415">
        <v>2</v>
      </c>
      <c r="E8482" s="415">
        <v>25</v>
      </c>
      <c r="F8482" s="415">
        <f t="shared" si="277"/>
      </c>
      <c r="G8482" s="415">
        <v>1</v>
      </c>
      <c r="H8482" s="416">
        <f t="shared" si="278"/>
      </c>
    </row>
    <row r="8483" spans="1:8" ht="15.75" customHeight="1" x14ac:dyDescent="0.25">
      <c r="A8483" s="581"/>
      <c r="B8483" s="582"/>
      <c r="C8483" s="582"/>
      <c r="D8483" s="415"/>
      <c r="E8483" s="415"/>
      <c r="F8483" s="415"/>
      <c r="G8483" s="415"/>
      <c r="H8483" s="589"/>
    </row>
    <row r="8484" spans="1:8" ht="15.75" customHeight="1" x14ac:dyDescent="0.25">
      <c r="A8484" s="430"/>
      <c r="B8484" s="409"/>
      <c r="C8484" s="393"/>
      <c r="D8484" s="427"/>
      <c r="E8484" s="427"/>
      <c r="F8484" s="428"/>
      <c r="G8484" s="427"/>
      <c r="H8484" s="429"/>
    </row>
    <row r="8485" spans="1:8" ht="15.75" customHeight="1" x14ac:dyDescent="0.25">
      <c r="A8485" s="432"/>
      <c r="B8485" s="433"/>
      <c r="C8485" s="434" t="s">
        <v>85</v>
      </c>
      <c r="D8485" s="659">
        <f>SUM(D8469:D8484)</f>
      </c>
      <c r="E8485" s="401"/>
      <c r="F8485" s="660"/>
      <c r="G8485" s="661"/>
      <c r="H8485" s="623">
        <f>SUM(H8469:H8484)</f>
      </c>
    </row>
    <row r="8486" spans="1:8" ht="15.75" customHeight="1" x14ac:dyDescent="0.25">
      <c r="A8486" s="439"/>
      <c r="B8486" s="440"/>
      <c r="C8486" s="440"/>
      <c r="D8486" s="441"/>
      <c r="E8486" s="440"/>
      <c r="F8486" s="442"/>
      <c r="G8486" s="443"/>
      <c r="H8486" s="444"/>
    </row>
    <row r="8487" spans="1:8" ht="15.75" customHeight="1" x14ac:dyDescent="0.25">
      <c r="A8487" s="392"/>
      <c r="B8487" s="391"/>
      <c r="C8487" s="391"/>
      <c r="D8487" s="391"/>
      <c r="E8487" s="390"/>
      <c r="F8487" s="392"/>
      <c r="G8487" s="390"/>
      <c r="H8487" s="394"/>
    </row>
    <row r="8488" spans="1:8" ht="15.75" customHeight="1" x14ac:dyDescent="0.25">
      <c r="A8488" s="445"/>
      <c r="B8488" s="445"/>
      <c r="C8488" s="445"/>
      <c r="D8488" s="446" t="s">
        <v>97</v>
      </c>
      <c r="E8488" s="445" t="s">
        <v>98</v>
      </c>
      <c r="F8488" s="445"/>
      <c r="G8488" s="390"/>
      <c r="H8488" s="394"/>
    </row>
    <row r="8489" spans="1:8" ht="15.75" customHeight="1" x14ac:dyDescent="0.25">
      <c r="A8489" s="390"/>
      <c r="B8489" s="390"/>
      <c r="C8489" s="390"/>
      <c r="D8489" s="391"/>
      <c r="E8489" s="390"/>
      <c r="F8489" s="390"/>
      <c r="G8489" s="390"/>
      <c r="H8489" s="394"/>
    </row>
    <row r="8490" spans="1:8" ht="15.75" customHeight="1" x14ac:dyDescent="0.25">
      <c r="A8490" s="390"/>
      <c r="B8490" s="390"/>
      <c r="C8490" s="390"/>
      <c r="D8490" s="391"/>
      <c r="E8490" s="390"/>
      <c r="F8490" s="390"/>
      <c r="G8490" s="390"/>
      <c r="H8490" s="394"/>
    </row>
    <row r="8491" spans="1:8" ht="15.75" customHeight="1" x14ac:dyDescent="0.25">
      <c r="A8491" s="445"/>
      <c r="B8491" s="445"/>
      <c r="C8491" s="445"/>
      <c r="D8491" s="446"/>
      <c r="E8491" s="445" t="s">
        <v>99</v>
      </c>
      <c r="F8491" s="445"/>
      <c r="G8491" s="390"/>
      <c r="H8491" s="394"/>
    </row>
    <row r="8492" spans="1:8" ht="15.75" customHeight="1" x14ac:dyDescent="0.25">
      <c r="D8492" s="4"/>
      <c r="H8492" s="4"/>
    </row>
    <row r="8493" spans="1:8" ht="15.75" customHeight="1" x14ac:dyDescent="0.25">
      <c r="D8493" s="4"/>
      <c r="H8493" s="4"/>
    </row>
    <row r="8494" spans="1:8" ht="15.75" customHeight="1" x14ac:dyDescent="0.25">
      <c r="D8494" s="4"/>
      <c r="H8494" s="4"/>
    </row>
    <row r="8495" spans="1:8" ht="15.75" customHeight="1" x14ac:dyDescent="0.25">
      <c r="D8495" s="4"/>
      <c r="H8495" s="4"/>
    </row>
    <row r="8496" spans="1:8" ht="15.75" customHeight="1" x14ac:dyDescent="0.25">
      <c r="D8496" s="4"/>
      <c r="H8496" s="4"/>
    </row>
    <row r="8497" spans="1:8" ht="15.75" customHeight="1" x14ac:dyDescent="0.25">
      <c r="D8497" s="4"/>
      <c r="H8497" s="4"/>
    </row>
    <row r="8498" spans="1:8" ht="15.75" customHeight="1" x14ac:dyDescent="0.25">
      <c r="A8498" s="398" t="s">
        <v>14</v>
      </c>
      <c r="B8498" s="398"/>
      <c r="C8498" s="398"/>
      <c r="D8498" s="398"/>
      <c r="E8498" s="398"/>
      <c r="F8498" s="398"/>
      <c r="G8498" s="398"/>
      <c r="H8498" s="398"/>
    </row>
    <row r="8499" spans="1:8" ht="15.75" customHeight="1" x14ac:dyDescent="0.25">
      <c r="A8499" s="398"/>
      <c r="B8499" s="398"/>
      <c r="C8499" s="398"/>
      <c r="D8499" s="398"/>
      <c r="E8499" s="398"/>
      <c r="F8499" s="398"/>
      <c r="G8499" s="398"/>
      <c r="H8499" s="398"/>
    </row>
    <row r="8500" spans="1:8" ht="15.75" customHeight="1" x14ac:dyDescent="0.25">
      <c r="A8500" s="390"/>
      <c r="B8500" s="390"/>
      <c r="C8500" s="390"/>
      <c r="D8500" s="391"/>
      <c r="E8500" s="390"/>
      <c r="F8500" s="395" t="s">
        <v>18</v>
      </c>
      <c r="G8500" s="396" t="s">
        <v>964</v>
      </c>
      <c r="H8500" s="397"/>
    </row>
    <row r="8501" spans="1:8" ht="15.75" customHeight="1" x14ac:dyDescent="0.25">
      <c r="A8501" s="390" t="s">
        <v>20</v>
      </c>
      <c r="B8501" s="390"/>
      <c r="C8501" s="390"/>
      <c r="D8501" s="391"/>
      <c r="E8501" s="390"/>
      <c r="F8501" s="395" t="s">
        <v>21</v>
      </c>
      <c r="G8501" s="390" t="s">
        <v>1855</v>
      </c>
      <c r="H8501" s="391"/>
    </row>
    <row r="8502" spans="1:8" ht="15.75" customHeight="1" x14ac:dyDescent="0.25">
      <c r="A8502" s="390" t="inlineStr">
        <is>
          <t>Dealer-009</t>
        </is>
      </c>
      <c r="B8502" s="390"/>
      <c r="C8502" s="390" t="inlineStr">
        <is>
          <t>ATTN: Contact-001</t>
        </is>
      </c>
      <c r="D8502" s="391"/>
      <c r="E8502" s="395"/>
      <c r="F8502" s="390"/>
      <c r="G8502" s="390"/>
      <c r="H8502" s="394"/>
    </row>
    <row r="8503" spans="1:8" ht="15.75" customHeight="1" x14ac:dyDescent="0.25">
      <c r="A8503" s="390" t="inlineStr">
        <is>
          <t>Address line (redacted)</t>
        </is>
      </c>
      <c r="B8503" s="390"/>
      <c r="C8503" s="390"/>
      <c r="D8503" s="398"/>
      <c r="E8503" s="390"/>
      <c r="F8503" s="391"/>
      <c r="G8503" s="390"/>
      <c r="H8503" s="394"/>
    </row>
    <row r="8504" spans="1:8" ht="15.75" customHeight="1" x14ac:dyDescent="0.25">
      <c r="A8504" s="390" t="inlineStr">
        <is>
          <t>Address line (redacted)</t>
        </is>
      </c>
      <c r="B8504" s="390"/>
      <c r="C8504" s="390"/>
      <c r="D8504" s="398"/>
      <c r="E8504" s="390"/>
      <c r="F8504" s="391"/>
      <c r="G8504" s="390"/>
      <c r="H8504" s="394"/>
    </row>
    <row r="8505" spans="1:8" ht="15.75" customHeight="1" x14ac:dyDescent="0.25">
      <c r="A8505" s="447"/>
      <c r="B8505" s="390"/>
      <c r="C8505" s="390"/>
      <c r="D8505" s="391"/>
      <c r="E8505" s="390"/>
      <c r="F8505" s="391"/>
      <c r="G8505" s="390"/>
      <c r="H8505" s="394"/>
    </row>
    <row r="8506" spans="1:8" ht="15.75" customHeight="1" x14ac:dyDescent="0.25">
      <c r="A8506" s="390" t="s">
        <v>30</v>
      </c>
      <c r="B8506" s="390"/>
      <c r="C8506" s="390"/>
      <c r="D8506" s="391"/>
      <c r="E8506" s="390"/>
      <c r="F8506" s="391"/>
      <c r="G8506" s="390"/>
      <c r="H8506" s="394"/>
    </row>
    <row r="8507" spans="1:8" ht="15.75" customHeight="1" x14ac:dyDescent="0.25">
      <c r="A8507" s="390" t="s">
        <v>1322</v>
      </c>
      <c r="B8507" s="390"/>
      <c r="C8507" s="390"/>
      <c r="D8507" s="391"/>
      <c r="E8507" s="390"/>
      <c r="F8507" s="391"/>
      <c r="G8507" s="390"/>
      <c r="H8507" s="394"/>
    </row>
    <row r="8508" spans="1:8" ht="15.75" customHeight="1" x14ac:dyDescent="0.25">
      <c r="A8508" s="390" t="s">
        <v>1328</v>
      </c>
      <c r="B8508" s="390"/>
      <c r="C8508" s="390"/>
      <c r="D8508" s="391"/>
      <c r="E8508" s="390"/>
      <c r="F8508" s="391"/>
      <c r="G8508" s="390"/>
      <c r="H8508" s="394"/>
    </row>
    <row r="8509" spans="1:8" ht="15.75" customHeight="1" x14ac:dyDescent="0.25">
      <c r="A8509" s="399" t="s">
        <v>33</v>
      </c>
      <c r="B8509" s="400" t="s">
        <v>6</v>
      </c>
      <c r="C8509" s="400"/>
      <c r="D8509" s="401" t="s">
        <v>37</v>
      </c>
      <c r="E8509" s="402" t="s">
        <v>38</v>
      </c>
      <c r="F8509" s="403" t="s">
        <v>7</v>
      </c>
      <c r="G8509" s="404" t="s">
        <v>43</v>
      </c>
      <c r="H8509" s="405" t="s">
        <v>44</v>
      </c>
    </row>
    <row r="8510" spans="1:8" ht="15.75" customHeight="1" x14ac:dyDescent="0.25">
      <c r="A8510" s="406"/>
      <c r="B8510" s="407"/>
      <c r="C8510" s="393"/>
      <c r="D8510" s="408"/>
      <c r="E8510" s="408"/>
      <c r="F8510" s="409"/>
      <c r="G8510" s="410"/>
      <c r="H8510" s="411"/>
    </row>
    <row r="8511" spans="1:8" ht="15.75" customHeight="1" x14ac:dyDescent="0.25">
      <c r="A8511" s="502"/>
      <c r="B8511" s="557" t="s">
        <v>590</v>
      </c>
      <c r="C8511" s="558"/>
      <c r="D8511" s="427"/>
      <c r="E8511" s="427"/>
      <c r="F8511" s="391"/>
      <c r="G8511" s="675"/>
      <c r="H8511" s="429"/>
    </row>
    <row r="8512" spans="1:8" ht="15.75" customHeight="1" x14ac:dyDescent="0.25">
      <c r="A8512" s="502" t="s">
        <v>55</v>
      </c>
      <c r="B8512" s="718" t="s">
        <v>123</v>
      </c>
      <c r="C8512" s="451" t="s">
        <v>401</v>
      </c>
      <c r="D8512" s="427">
        <v>1</v>
      </c>
      <c r="E8512" s="427">
        <v>6</v>
      </c>
      <c r="F8512" s="391">
        <f t="shared" ref="F8512:F8513" si="279">+E8512*D8512</f>
      </c>
      <c r="G8512" s="427">
        <v>1</v>
      </c>
      <c r="H8512" s="429">
        <f t="shared" ref="H8512:H8513" si="280">+G8512*F8512</f>
      </c>
    </row>
    <row r="8513" spans="1:20" ht="15.75" customHeight="1" x14ac:dyDescent="0.25">
      <c r="A8513" s="502" t="s">
        <v>59</v>
      </c>
      <c r="B8513" s="718" t="s">
        <v>1578</v>
      </c>
      <c r="C8513" s="451" t="s">
        <v>402</v>
      </c>
      <c r="D8513" s="427">
        <v>2</v>
      </c>
      <c r="E8513" s="427">
        <v>6</v>
      </c>
      <c r="F8513" s="391">
        <f t="shared" si="279"/>
      </c>
      <c r="G8513" s="427">
        <v>1</v>
      </c>
      <c r="H8513" s="429">
        <f t="shared" si="280"/>
      </c>
    </row>
    <row r="8514" spans="1:20" ht="15.75" customHeight="1" x14ac:dyDescent="0.25">
      <c r="A8514" s="502"/>
      <c r="B8514" s="557" t="s">
        <v>1356</v>
      </c>
      <c r="C8514" s="560"/>
      <c r="D8514" s="427"/>
      <c r="E8514" s="427"/>
      <c r="F8514" s="391"/>
      <c r="G8514" s="675"/>
      <c r="H8514" s="429"/>
    </row>
    <row r="8515" spans="1:20" ht="15.75" customHeight="1" x14ac:dyDescent="0.25">
      <c r="A8515" s="502" t="s">
        <v>67</v>
      </c>
      <c r="B8515" s="503" t="s">
        <v>131</v>
      </c>
      <c r="C8515" s="390" t="s">
        <v>329</v>
      </c>
      <c r="D8515" s="427">
        <v>2</v>
      </c>
      <c r="E8515" s="427">
        <v>5</v>
      </c>
      <c r="F8515" s="391">
        <f t="shared" ref="F8515:F8517" si="281">+E8515*D8515</f>
      </c>
      <c r="G8515" s="427">
        <v>1</v>
      </c>
      <c r="H8515" s="429">
        <f t="shared" ref="H8515:H8517" si="282">+G8515*F8515</f>
      </c>
    </row>
    <row r="8516" spans="1:20" ht="15.75" customHeight="1" x14ac:dyDescent="0.25">
      <c r="A8516" s="502" t="s">
        <v>485</v>
      </c>
      <c r="B8516" s="503" t="s">
        <v>118</v>
      </c>
      <c r="C8516" s="390" t="s">
        <v>1599</v>
      </c>
      <c r="D8516" s="427">
        <v>2</v>
      </c>
      <c r="E8516" s="427">
        <v>5</v>
      </c>
      <c r="F8516" s="391">
        <f t="shared" si="281"/>
      </c>
      <c r="G8516" s="427">
        <v>1</v>
      </c>
      <c r="H8516" s="429">
        <f t="shared" si="282"/>
      </c>
    </row>
    <row r="8517" spans="1:20" ht="15.75" customHeight="1" x14ac:dyDescent="0.25">
      <c r="A8517" s="502" t="s">
        <v>486</v>
      </c>
      <c r="B8517" s="503" t="s">
        <v>2172</v>
      </c>
      <c r="C8517" s="390" t="s">
        <v>16</v>
      </c>
      <c r="D8517" s="427">
        <v>1</v>
      </c>
      <c r="E8517" s="427">
        <v>5</v>
      </c>
      <c r="F8517" s="391">
        <f t="shared" si="281"/>
      </c>
      <c r="G8517" s="427">
        <v>1</v>
      </c>
      <c r="H8517" s="429">
        <f t="shared" si="282"/>
      </c>
    </row>
    <row r="8518" spans="1:20" ht="15.75" customHeight="1" x14ac:dyDescent="0.25">
      <c r="A8518" s="502"/>
      <c r="B8518" s="557" t="s">
        <v>1842</v>
      </c>
      <c r="C8518" s="560"/>
      <c r="D8518" s="427"/>
      <c r="E8518" s="427"/>
      <c r="F8518" s="391"/>
      <c r="G8518" s="427"/>
      <c r="H8518" s="429"/>
    </row>
    <row r="8519" spans="1:20" ht="15.75" customHeight="1" x14ac:dyDescent="0.25">
      <c r="A8519" s="502" t="s">
        <v>489</v>
      </c>
      <c r="B8519" s="718" t="s">
        <v>1770</v>
      </c>
      <c r="C8519" s="567"/>
      <c r="D8519" s="427">
        <v>5</v>
      </c>
      <c r="E8519" s="428">
        <v>10</v>
      </c>
      <c r="F8519" s="428">
        <f t="shared" ref="F8519:F8520" si="283">+E8519*D8519</f>
      </c>
      <c r="G8519" s="427">
        <v>1</v>
      </c>
      <c r="H8519" s="429">
        <f t="shared" ref="H8519:H8520" si="284">+G8519*F8519</f>
      </c>
    </row>
    <row r="8520" spans="1:20" ht="15.75" customHeight="1" x14ac:dyDescent="0.25">
      <c r="A8520" s="502" t="s">
        <v>490</v>
      </c>
      <c r="B8520" s="718" t="s">
        <v>1823</v>
      </c>
      <c r="C8520" s="567"/>
      <c r="D8520" s="427">
        <v>2</v>
      </c>
      <c r="E8520" s="428">
        <v>5</v>
      </c>
      <c r="F8520" s="428">
        <f t="shared" si="283"/>
      </c>
      <c r="G8520" s="427">
        <v>1</v>
      </c>
      <c r="H8520" s="429">
        <f t="shared" si="284"/>
      </c>
    </row>
    <row r="8521" spans="1:20" ht="15.75" customHeight="1" x14ac:dyDescent="0.25">
      <c r="A8521" s="502"/>
      <c r="B8521" s="557" t="s">
        <v>1567</v>
      </c>
      <c r="C8521" s="560"/>
      <c r="D8521" s="428"/>
      <c r="E8521" s="428"/>
      <c r="F8521" s="428"/>
      <c r="G8521" s="427"/>
      <c r="H8521" s="429"/>
    </row>
    <row r="8522" spans="1:20" ht="15.75" customHeight="1" x14ac:dyDescent="0.25">
      <c r="A8522" s="502" t="s">
        <v>781</v>
      </c>
      <c r="B8522" s="718" t="s">
        <v>1512</v>
      </c>
      <c r="C8522" s="567"/>
      <c r="D8522" s="428">
        <v>1</v>
      </c>
      <c r="E8522" s="428">
        <v>100</v>
      </c>
      <c r="F8522" s="428">
        <f t="shared" ref="F8522:F8523" si="285">+E8522*D8522</f>
      </c>
      <c r="G8522" s="427">
        <v>1</v>
      </c>
      <c r="H8522" s="429">
        <f t="shared" ref="H8522:H8523" si="286">+G8522*F8522</f>
      </c>
    </row>
    <row r="8523" spans="1:20" ht="15.75" customHeight="1" x14ac:dyDescent="0.25">
      <c r="A8523" s="502" t="s">
        <v>785</v>
      </c>
      <c r="B8523" s="718" t="s">
        <v>1719</v>
      </c>
      <c r="C8523" s="567"/>
      <c r="D8523" s="428">
        <v>1</v>
      </c>
      <c r="E8523" s="428">
        <v>200</v>
      </c>
      <c r="F8523" s="428">
        <f t="shared" si="285"/>
      </c>
      <c r="G8523" s="427">
        <v>1</v>
      </c>
      <c r="H8523" s="429">
        <f t="shared" si="286"/>
      </c>
    </row>
    <row r="8524" spans="1:20" ht="15.75" customHeight="1" x14ac:dyDescent="0.25">
      <c r="A8524" s="502"/>
      <c r="B8524" s="557" t="s">
        <v>1816</v>
      </c>
      <c r="C8524" s="560"/>
      <c r="D8524" s="428"/>
      <c r="E8524" s="428"/>
      <c r="F8524" s="428"/>
      <c r="G8524" s="427"/>
      <c r="H8524" s="429"/>
    </row>
    <row r="8525" spans="1:20" ht="15.75" customHeight="1" x14ac:dyDescent="0.25">
      <c r="A8525" s="502" t="s">
        <v>787</v>
      </c>
      <c r="B8525" s="718" t="s">
        <v>1453</v>
      </c>
      <c r="C8525" s="813" t="s">
        <v>12</v>
      </c>
      <c r="D8525" s="428">
        <v>4</v>
      </c>
      <c r="E8525" s="428">
        <v>24</v>
      </c>
      <c r="F8525" s="428">
        <f t="shared" ref="F8525:F8527" si="287">+E8525*D8525</f>
      </c>
      <c r="G8525" s="427">
        <v>1</v>
      </c>
      <c r="H8525" s="429">
        <f t="shared" ref="H8525:H8526" si="288">+G8525*F8525</f>
      </c>
    </row>
    <row r="8526" spans="1:20" ht="15.75" customHeight="1" x14ac:dyDescent="0.25">
      <c r="A8526" s="502" t="s">
        <v>790</v>
      </c>
      <c r="B8526" s="718" t="s">
        <v>2173</v>
      </c>
      <c r="C8526" s="631" t="s">
        <v>5</v>
      </c>
      <c r="D8526" s="428">
        <v>12</v>
      </c>
      <c r="E8526" s="428">
        <v>24</v>
      </c>
      <c r="F8526" s="428">
        <f t="shared" si="287"/>
      </c>
      <c r="G8526" s="428">
        <v>1</v>
      </c>
      <c r="H8526" s="429">
        <f t="shared" si="288"/>
      </c>
      <c r="I8526" s="674"/>
      <c r="J8526" s="674"/>
      <c r="K8526" s="674"/>
      <c r="L8526" s="674"/>
      <c r="M8526" s="674"/>
      <c r="N8526" s="674"/>
      <c r="O8526" s="674"/>
      <c r="P8526" s="674"/>
      <c r="Q8526" s="674"/>
      <c r="R8526" s="674"/>
      <c r="S8526" s="674"/>
      <c r="T8526" s="674"/>
    </row>
    <row r="8527" spans="1:20" ht="15.75" customHeight="1" x14ac:dyDescent="0.25">
      <c r="A8527" s="814" t="s">
        <v>792</v>
      </c>
      <c r="B8527" s="815" t="s">
        <v>2173</v>
      </c>
      <c r="C8527" s="816" t="s">
        <v>5</v>
      </c>
      <c r="D8527" s="817">
        <v>1</v>
      </c>
      <c r="E8527" s="817">
        <v>24</v>
      </c>
      <c r="F8527" s="817">
        <f t="shared" si="287"/>
      </c>
      <c r="G8527" s="817" t="s">
        <v>1856</v>
      </c>
      <c r="H8527" s="818" t="s">
        <v>1856</v>
      </c>
    </row>
    <row r="8528" spans="1:20" ht="15.75" customHeight="1" x14ac:dyDescent="0.25">
      <c r="A8528" s="502"/>
      <c r="B8528" s="718"/>
      <c r="C8528" s="567"/>
      <c r="D8528" s="819"/>
      <c r="E8528" s="819"/>
      <c r="F8528" s="819"/>
      <c r="G8528" s="819"/>
      <c r="H8528" s="444"/>
    </row>
    <row r="8529" spans="1:8" ht="15.75" customHeight="1" x14ac:dyDescent="0.25">
      <c r="A8529" s="432"/>
      <c r="B8529" s="433"/>
      <c r="C8529" s="434" t="s">
        <v>85</v>
      </c>
      <c r="D8529" s="435">
        <f>SUM(D8512:D8528)</f>
      </c>
      <c r="E8529" s="435"/>
      <c r="F8529" s="436"/>
      <c r="G8529" s="437"/>
      <c r="H8529" s="438">
        <f>SUM(H8512:H8528)</f>
      </c>
    </row>
    <row r="8530" spans="1:8" ht="15.75" customHeight="1" x14ac:dyDescent="0.25">
      <c r="A8530" s="406"/>
      <c r="B8530" s="607"/>
      <c r="C8530" s="820" t="s">
        <v>2174</v>
      </c>
      <c r="D8530" s="821"/>
      <c r="E8530" s="821"/>
      <c r="F8530" s="821"/>
      <c r="G8530" s="822"/>
      <c r="H8530" s="823">
        <v>1</v>
      </c>
    </row>
    <row r="8531" spans="1:8" ht="15.75" customHeight="1" x14ac:dyDescent="0.25">
      <c r="A8531" s="406"/>
      <c r="B8531" s="393"/>
      <c r="C8531" s="605"/>
      <c r="D8531" s="435"/>
      <c r="E8531" s="824"/>
      <c r="F8531" s="824" t="s">
        <v>2175</v>
      </c>
      <c r="G8531" s="437"/>
      <c r="H8531" s="438">
        <f>+H8529-H8530</f>
      </c>
    </row>
    <row r="8532" spans="1:8" ht="15.75" customHeight="1" x14ac:dyDescent="0.25">
      <c r="A8532" s="439"/>
      <c r="B8532" s="440"/>
      <c r="C8532" s="440"/>
      <c r="D8532" s="441"/>
      <c r="E8532" s="440"/>
      <c r="F8532" s="442"/>
      <c r="G8532" s="443"/>
      <c r="H8532" s="444"/>
    </row>
    <row r="8533" spans="1:8" ht="15.75" customHeight="1" x14ac:dyDescent="0.25">
      <c r="A8533" s="565" t="s">
        <v>1215</v>
      </c>
      <c r="B8533" s="565"/>
      <c r="C8533" s="565"/>
      <c r="D8533" s="565"/>
      <c r="E8533" s="565"/>
      <c r="F8533" s="565"/>
      <c r="G8533" s="565"/>
      <c r="H8533" s="565"/>
    </row>
    <row r="8534" spans="1:8" ht="15.75" customHeight="1" x14ac:dyDescent="0.25">
      <c r="A8534" s="445"/>
      <c r="B8534" s="445"/>
      <c r="C8534" s="445"/>
      <c r="D8534" s="446" t="s">
        <v>97</v>
      </c>
      <c r="E8534" s="445" t="s">
        <v>98</v>
      </c>
      <c r="F8534" s="445"/>
      <c r="G8534" s="390"/>
      <c r="H8534" s="394"/>
    </row>
    <row r="8535" spans="1:8" ht="15.75" customHeight="1" x14ac:dyDescent="0.25">
      <c r="A8535" s="390"/>
      <c r="B8535" s="390"/>
      <c r="C8535" s="390"/>
      <c r="D8535" s="391"/>
      <c r="E8535" s="390"/>
      <c r="F8535" s="390"/>
      <c r="G8535" s="390"/>
      <c r="H8535" s="394"/>
    </row>
    <row r="8536" spans="1:8" ht="15.75" customHeight="1" x14ac:dyDescent="0.25">
      <c r="A8536" s="445"/>
      <c r="B8536" s="445"/>
      <c r="C8536" s="445"/>
      <c r="D8536" s="446"/>
      <c r="E8536" s="445" t="s">
        <v>99</v>
      </c>
      <c r="F8536" s="445"/>
      <c r="G8536" s="390"/>
      <c r="H8536" s="394"/>
    </row>
    <row r="8537" spans="1:8" ht="15.75" customHeight="1" x14ac:dyDescent="0.25">
      <c r="D8537" s="4"/>
      <c r="H8537" s="4"/>
    </row>
    <row r="8538" spans="1:8" ht="15.75" customHeight="1" x14ac:dyDescent="0.25">
      <c r="D8538" s="4"/>
      <c r="H8538" s="4"/>
    </row>
    <row r="8539" spans="1:8" ht="15.75" customHeight="1" x14ac:dyDescent="0.25">
      <c r="D8539" s="4"/>
      <c r="H8539" s="4"/>
    </row>
    <row r="8540" spans="1:8" ht="15.75" customHeight="1" x14ac:dyDescent="0.25">
      <c r="D8540" s="4"/>
      <c r="H8540" s="4"/>
    </row>
    <row r="8541" spans="1:8" ht="15.75" customHeight="1" x14ac:dyDescent="0.25">
      <c r="D8541" s="4"/>
      <c r="H8541" s="4"/>
    </row>
    <row r="8542" spans="1:8" ht="15.75" customHeight="1" x14ac:dyDescent="0.25">
      <c r="D8542" s="4"/>
      <c r="H8542" s="4"/>
    </row>
    <row r="8543" spans="1:8" ht="15.75" customHeight="1" x14ac:dyDescent="0.25">
      <c r="A8543" s="8" t="s">
        <v>14</v>
      </c>
      <c r="B8543" s="8"/>
      <c r="C8543" s="8"/>
      <c r="D8543" s="8"/>
      <c r="E8543" s="8"/>
      <c r="F8543" s="8"/>
      <c r="G8543" s="8"/>
      <c r="H8543" s="8"/>
    </row>
    <row r="8544" spans="1:8" ht="15.75" customHeight="1" x14ac:dyDescent="0.25">
      <c r="A8544" s="388"/>
      <c r="B8544" s="388"/>
      <c r="C8544" s="388"/>
      <c r="D8544" s="389"/>
      <c r="E8544" s="388"/>
      <c r="F8544" s="388"/>
      <c r="G8544" s="388"/>
      <c r="H8544" s="8"/>
    </row>
    <row r="8545" spans="1:8" ht="15.75" customHeight="1" x14ac:dyDescent="0.25">
      <c r="A8545" s="390"/>
      <c r="B8545" s="390"/>
      <c r="C8545" s="391"/>
      <c r="D8545" s="392"/>
      <c r="E8545" s="393"/>
      <c r="F8545" s="393"/>
      <c r="G8545" s="393"/>
      <c r="H8545" s="394"/>
    </row>
    <row r="8546" spans="1:8" ht="15.75" customHeight="1" x14ac:dyDescent="0.25">
      <c r="A8546" s="390"/>
      <c r="B8546" s="390"/>
      <c r="C8546" s="390"/>
      <c r="D8546" s="391"/>
      <c r="E8546" s="390"/>
      <c r="F8546" s="395" t="s">
        <v>18</v>
      </c>
      <c r="G8546" s="396" t="s">
        <v>970</v>
      </c>
      <c r="H8546" s="397"/>
    </row>
    <row r="8547" spans="1:8" ht="15.75" customHeight="1" x14ac:dyDescent="0.25">
      <c r="A8547" s="390" t="s">
        <v>20</v>
      </c>
      <c r="B8547" s="390"/>
      <c r="C8547" s="390"/>
      <c r="D8547" s="391"/>
      <c r="E8547" s="390"/>
      <c r="F8547" s="395" t="s">
        <v>21</v>
      </c>
      <c r="G8547" s="390" t="s">
        <v>1857</v>
      </c>
      <c r="H8547" s="391"/>
    </row>
    <row r="8548" spans="1:8" ht="15.75" customHeight="1" x14ac:dyDescent="0.25">
      <c r="A8548" s="390" t="inlineStr">
        <is>
          <t>Dealer-004</t>
        </is>
      </c>
      <c r="B8548" s="390"/>
      <c r="C8548" s="390"/>
      <c r="D8548" s="398"/>
      <c r="E8548" s="390"/>
      <c r="F8548" s="391"/>
      <c r="G8548" s="390"/>
      <c r="H8548" s="394"/>
    </row>
    <row r="8549" spans="1:8" ht="15.75" customHeight="1" x14ac:dyDescent="0.25">
      <c r="A8549" s="390" t="inlineStr">
        <is>
          <t>Address line (redacted)</t>
        </is>
      </c>
      <c r="B8549" s="390"/>
      <c r="C8549" s="390"/>
      <c r="D8549" s="398"/>
      <c r="E8549" s="390"/>
      <c r="F8549" s="391"/>
      <c r="G8549" s="390"/>
      <c r="H8549" s="394"/>
    </row>
    <row r="8550" spans="1:8" ht="15.75" customHeight="1" x14ac:dyDescent="0.25">
      <c r="A8550" s="390" t="inlineStr">
        <is>
          <t>Address line (redacted)</t>
        </is>
      </c>
      <c r="B8550" s="390"/>
      <c r="C8550" s="390"/>
      <c r="D8550" s="391"/>
      <c r="E8550" s="390"/>
      <c r="F8550" s="391"/>
      <c r="G8550" s="390"/>
      <c r="H8550" s="394"/>
    </row>
    <row r="8551" spans="1:8" ht="15.75" customHeight="1" x14ac:dyDescent="0.25">
      <c r="A8551" s="390"/>
      <c r="B8551" s="390"/>
      <c r="C8551" s="390"/>
      <c r="D8551" s="391"/>
      <c r="E8551" s="390"/>
      <c r="F8551" s="391"/>
      <c r="G8551" s="390"/>
      <c r="H8551" s="394"/>
    </row>
    <row r="8552" spans="1:8" ht="15.75" customHeight="1" x14ac:dyDescent="0.25">
      <c r="A8552" s="390" t="s">
        <v>30</v>
      </c>
      <c r="B8552" s="390"/>
      <c r="C8552" s="390"/>
      <c r="D8552" s="391"/>
      <c r="E8552" s="390"/>
      <c r="F8552" s="391"/>
      <c r="G8552" s="390"/>
      <c r="H8552" s="394"/>
    </row>
    <row r="8553" spans="1:8" ht="15.75" customHeight="1" x14ac:dyDescent="0.25">
      <c r="A8553" s="390"/>
      <c r="B8553" s="390"/>
      <c r="C8553" s="390"/>
      <c r="D8553" s="391"/>
      <c r="E8553" s="390"/>
      <c r="F8553" s="391"/>
      <c r="G8553" s="390"/>
      <c r="H8553" s="394"/>
    </row>
    <row r="8554" spans="1:8" ht="15.75" customHeight="1" x14ac:dyDescent="0.25">
      <c r="A8554" s="390" t="s">
        <v>716</v>
      </c>
      <c r="B8554" s="390"/>
      <c r="C8554" s="390"/>
      <c r="D8554" s="391"/>
      <c r="E8554" s="390"/>
      <c r="F8554" s="391"/>
      <c r="G8554" s="390"/>
      <c r="H8554" s="394"/>
    </row>
    <row r="8555" spans="1:8" ht="15.75" customHeight="1" x14ac:dyDescent="0.25">
      <c r="A8555" s="390" t="s">
        <v>717</v>
      </c>
      <c r="B8555" s="390"/>
      <c r="C8555" s="390"/>
      <c r="D8555" s="391"/>
      <c r="E8555" s="390"/>
      <c r="F8555" s="391"/>
      <c r="G8555" s="390"/>
      <c r="H8555" s="394"/>
    </row>
    <row r="8556" spans="1:8" ht="15.75" customHeight="1" x14ac:dyDescent="0.25">
      <c r="A8556" s="390"/>
      <c r="B8556" s="390"/>
      <c r="C8556" s="390"/>
      <c r="D8556" s="391"/>
      <c r="E8556" s="390"/>
      <c r="F8556" s="391"/>
      <c r="G8556" s="390"/>
      <c r="H8556" s="394"/>
    </row>
    <row r="8557" spans="1:8" ht="15.75" customHeight="1" x14ac:dyDescent="0.25">
      <c r="A8557" s="399" t="s">
        <v>33</v>
      </c>
      <c r="B8557" s="400" t="s">
        <v>6</v>
      </c>
      <c r="C8557" s="400"/>
      <c r="D8557" s="401" t="s">
        <v>37</v>
      </c>
      <c r="E8557" s="402" t="s">
        <v>38</v>
      </c>
      <c r="F8557" s="403" t="s">
        <v>7</v>
      </c>
      <c r="G8557" s="404" t="s">
        <v>43</v>
      </c>
      <c r="H8557" s="405" t="s">
        <v>44</v>
      </c>
    </row>
    <row r="8558" spans="1:8" ht="15.75" customHeight="1" x14ac:dyDescent="0.25">
      <c r="A8558" s="406"/>
      <c r="B8558" s="407"/>
      <c r="C8558" s="393"/>
      <c r="D8558" s="408"/>
      <c r="E8558" s="408"/>
      <c r="F8558" s="409"/>
      <c r="G8558" s="410"/>
      <c r="H8558" s="411"/>
    </row>
    <row r="8559" spans="1:8" ht="15.75" customHeight="1" x14ac:dyDescent="0.25">
      <c r="A8559" s="412"/>
      <c r="B8559" s="654" t="s">
        <v>1356</v>
      </c>
      <c r="C8559" s="654"/>
      <c r="D8559" s="415"/>
      <c r="E8559" s="415"/>
      <c r="F8559" s="415"/>
      <c r="G8559" s="579"/>
      <c r="H8559" s="416"/>
    </row>
    <row r="8560" spans="1:8" ht="15.75" customHeight="1" x14ac:dyDescent="0.25">
      <c r="A8560" s="412" t="s">
        <v>55</v>
      </c>
      <c r="B8560" s="417" t="s">
        <v>131</v>
      </c>
      <c r="C8560" s="418" t="s">
        <v>329</v>
      </c>
      <c r="D8560" s="415">
        <v>4</v>
      </c>
      <c r="E8560" s="415">
        <v>5</v>
      </c>
      <c r="F8560" s="415">
        <f t="shared" ref="F8560:F8561" si="289">+E8560*D8560</f>
      </c>
      <c r="G8560" s="415">
        <v>1</v>
      </c>
      <c r="H8560" s="416">
        <f t="shared" ref="H8560:H8561" si="290">+G8560*F8560</f>
      </c>
    </row>
    <row r="8561" spans="1:8" ht="15.75" customHeight="1" x14ac:dyDescent="0.25">
      <c r="A8561" s="412" t="s">
        <v>59</v>
      </c>
      <c r="B8561" s="417" t="s">
        <v>127</v>
      </c>
      <c r="C8561" s="418" t="s">
        <v>326</v>
      </c>
      <c r="D8561" s="415">
        <v>4</v>
      </c>
      <c r="E8561" s="415">
        <v>5</v>
      </c>
      <c r="F8561" s="415">
        <f t="shared" si="289"/>
      </c>
      <c r="G8561" s="415">
        <v>1</v>
      </c>
      <c r="H8561" s="416">
        <f t="shared" si="290"/>
      </c>
    </row>
    <row r="8562" spans="1:8" ht="15.75" customHeight="1" x14ac:dyDescent="0.25">
      <c r="A8562" s="412"/>
      <c r="B8562" s="417"/>
      <c r="C8562" s="418"/>
      <c r="D8562" s="415"/>
      <c r="E8562" s="415"/>
      <c r="F8562" s="415"/>
      <c r="G8562" s="415"/>
      <c r="H8562" s="416"/>
    </row>
    <row r="8563" spans="1:8" ht="15.75" customHeight="1" x14ac:dyDescent="0.25">
      <c r="A8563" s="412"/>
      <c r="B8563" s="419"/>
      <c r="C8563" s="418"/>
      <c r="D8563" s="415"/>
      <c r="E8563" s="415"/>
      <c r="F8563" s="415"/>
      <c r="G8563" s="415"/>
      <c r="H8563" s="416"/>
    </row>
    <row r="8564" spans="1:8" ht="15.75" customHeight="1" x14ac:dyDescent="0.25">
      <c r="A8564" s="425"/>
      <c r="B8564" s="426"/>
      <c r="C8564" s="390"/>
      <c r="D8564" s="427"/>
      <c r="E8564" s="427"/>
      <c r="F8564" s="428"/>
      <c r="G8564" s="427"/>
      <c r="H8564" s="429"/>
    </row>
    <row r="8565" spans="1:8" ht="15.75" customHeight="1" x14ac:dyDescent="0.25">
      <c r="A8565" s="425"/>
      <c r="B8565" s="426"/>
      <c r="C8565" s="390"/>
      <c r="D8565" s="427"/>
      <c r="E8565" s="427"/>
      <c r="F8565" s="428"/>
      <c r="G8565" s="427"/>
      <c r="H8565" s="429"/>
    </row>
    <row r="8566" spans="1:8" ht="15.75" customHeight="1" x14ac:dyDescent="0.25">
      <c r="A8566" s="425"/>
      <c r="B8566" s="426"/>
      <c r="C8566" s="390"/>
      <c r="D8566" s="427"/>
      <c r="E8566" s="427"/>
      <c r="F8566" s="428"/>
      <c r="G8566" s="427"/>
      <c r="H8566" s="429"/>
    </row>
    <row r="8567" spans="1:8" ht="15.75" customHeight="1" x14ac:dyDescent="0.25">
      <c r="A8567" s="430"/>
      <c r="B8567" s="409"/>
      <c r="C8567" s="393"/>
      <c r="D8567" s="427"/>
      <c r="E8567" s="427"/>
      <c r="F8567" s="428"/>
      <c r="G8567" s="431"/>
      <c r="H8567" s="429"/>
    </row>
    <row r="8568" spans="1:8" ht="15.75" customHeight="1" x14ac:dyDescent="0.25">
      <c r="A8568" s="432"/>
      <c r="B8568" s="433"/>
      <c r="C8568" s="434" t="s">
        <v>85</v>
      </c>
      <c r="D8568" s="435">
        <f>SUM(D8559:D8567)</f>
      </c>
      <c r="E8568" s="435"/>
      <c r="F8568" s="436"/>
      <c r="G8568" s="437"/>
      <c r="H8568" s="438">
        <f>SUM(H8560:H8567)</f>
      </c>
    </row>
    <row r="8569" spans="1:8" ht="15.75" customHeight="1" x14ac:dyDescent="0.25">
      <c r="A8569" s="439"/>
      <c r="B8569" s="440"/>
      <c r="C8569" s="440"/>
      <c r="D8569" s="441"/>
      <c r="E8569" s="440"/>
      <c r="F8569" s="442"/>
      <c r="G8569" s="443"/>
      <c r="H8569" s="444"/>
    </row>
    <row r="8570" spans="1:8" ht="15.75" customHeight="1" x14ac:dyDescent="0.25">
      <c r="A8570" s="392" t="s">
        <v>913</v>
      </c>
      <c r="B8570" s="391"/>
      <c r="C8570" s="391"/>
      <c r="D8570" s="391"/>
      <c r="E8570" s="390"/>
      <c r="F8570" s="392"/>
      <c r="G8570" s="390"/>
      <c r="H8570" s="394"/>
    </row>
    <row r="8571" spans="1:8" ht="15.75" customHeight="1" x14ac:dyDescent="0.25">
      <c r="A8571" s="445"/>
      <c r="B8571" s="445"/>
      <c r="C8571" s="445"/>
      <c r="D8571" s="446" t="s">
        <v>97</v>
      </c>
      <c r="E8571" s="445" t="s">
        <v>98</v>
      </c>
      <c r="F8571" s="445"/>
      <c r="G8571" s="390"/>
      <c r="H8571" s="394"/>
    </row>
    <row r="8572" spans="1:8" ht="15.75" customHeight="1" x14ac:dyDescent="0.25">
      <c r="A8572" s="390"/>
      <c r="B8572" s="390"/>
      <c r="C8572" s="390"/>
      <c r="D8572" s="391"/>
      <c r="E8572" s="390"/>
      <c r="F8572" s="390"/>
      <c r="G8572" s="390"/>
      <c r="H8572" s="394"/>
    </row>
    <row r="8573" spans="1:8" ht="15.75" customHeight="1" x14ac:dyDescent="0.25">
      <c r="A8573" s="390"/>
      <c r="B8573" s="390"/>
      <c r="C8573" s="390"/>
      <c r="D8573" s="391"/>
      <c r="E8573" s="390"/>
      <c r="F8573" s="390"/>
      <c r="G8573" s="390"/>
      <c r="H8573" s="394"/>
    </row>
    <row r="8574" spans="1:8" ht="15.75" customHeight="1" x14ac:dyDescent="0.25">
      <c r="A8574" s="445"/>
      <c r="B8574" s="445"/>
      <c r="C8574" s="445"/>
      <c r="D8574" s="446"/>
      <c r="E8574" s="445" t="s">
        <v>99</v>
      </c>
      <c r="F8574" s="445"/>
      <c r="G8574" s="390"/>
      <c r="H8574" s="394"/>
    </row>
    <row r="8575" spans="1:8" ht="15.75" customHeight="1" x14ac:dyDescent="0.25">
      <c r="D8575" s="4"/>
      <c r="H8575" s="4"/>
    </row>
    <row r="8576" spans="1:8" ht="15.75" customHeight="1" x14ac:dyDescent="0.25">
      <c r="D8576" s="4"/>
      <c r="H8576" s="4"/>
    </row>
    <row r="8577" spans="1:8" ht="15.75" customHeight="1" x14ac:dyDescent="0.25">
      <c r="D8577" s="4"/>
      <c r="H8577" s="4"/>
    </row>
    <row r="8578" spans="1:8" ht="15.75" customHeight="1" x14ac:dyDescent="0.25">
      <c r="D8578" s="4"/>
      <c r="H8578" s="4"/>
    </row>
    <row r="8579" spans="1:8" ht="15.75" customHeight="1" x14ac:dyDescent="0.25">
      <c r="D8579" s="4"/>
      <c r="H8579" s="4"/>
    </row>
    <row r="8580" spans="1:8" ht="15.75" customHeight="1" x14ac:dyDescent="0.25">
      <c r="D8580" s="4"/>
      <c r="H8580" s="4"/>
    </row>
    <row r="8581" spans="1:8" ht="15.75" customHeight="1" x14ac:dyDescent="0.25">
      <c r="D8581" s="4"/>
      <c r="H8581" s="4"/>
    </row>
    <row r="8582" spans="1:8" ht="15.75" customHeight="1" x14ac:dyDescent="0.25">
      <c r="D8582" s="4"/>
      <c r="H8582" s="4"/>
    </row>
    <row r="8583" spans="1:8" ht="15.75" customHeight="1" x14ac:dyDescent="0.25">
      <c r="D8583" s="4"/>
      <c r="H8583" s="4"/>
    </row>
    <row r="8584" spans="1:8" ht="15.75" customHeight="1" x14ac:dyDescent="0.25">
      <c r="D8584" s="4"/>
      <c r="H8584" s="4"/>
    </row>
    <row r="8585" spans="1:8" ht="15.75" customHeight="1" x14ac:dyDescent="0.25">
      <c r="D8585" s="4"/>
      <c r="H8585" s="4"/>
    </row>
    <row r="8586" spans="1:8" ht="15.75" customHeight="1" x14ac:dyDescent="0.25">
      <c r="D8586" s="4"/>
      <c r="H8586" s="4"/>
    </row>
    <row r="8587" spans="1:8" ht="15.75" customHeight="1" x14ac:dyDescent="0.25">
      <c r="D8587" s="4"/>
      <c r="H8587" s="4"/>
    </row>
    <row r="8588" spans="1:8" ht="15.75" customHeight="1" x14ac:dyDescent="0.25">
      <c r="D8588" s="4"/>
      <c r="H8588" s="4"/>
    </row>
    <row r="8589" spans="1:8" ht="15.75" customHeight="1" x14ac:dyDescent="0.25">
      <c r="A8589" s="8" t="s">
        <v>14</v>
      </c>
      <c r="B8589" s="8"/>
      <c r="C8589" s="8"/>
      <c r="D8589" s="8"/>
      <c r="E8589" s="8"/>
      <c r="F8589" s="8"/>
      <c r="G8589" s="8"/>
      <c r="H8589" s="8"/>
    </row>
    <row r="8590" spans="1:8" ht="15.75" customHeight="1" x14ac:dyDescent="0.25">
      <c r="A8590" s="388"/>
      <c r="B8590" s="388"/>
      <c r="C8590" s="388"/>
      <c r="D8590" s="389"/>
      <c r="E8590" s="388"/>
      <c r="F8590" s="388"/>
      <c r="G8590" s="388"/>
      <c r="H8590" s="8"/>
    </row>
    <row r="8591" spans="1:8" ht="15.75" customHeight="1" x14ac:dyDescent="0.25">
      <c r="A8591" s="390"/>
      <c r="B8591" s="390"/>
      <c r="C8591" s="391"/>
      <c r="D8591" s="392"/>
      <c r="E8591" s="393"/>
      <c r="F8591" s="393"/>
      <c r="G8591" s="393"/>
      <c r="H8591" s="394"/>
    </row>
    <row r="8592" spans="1:8" ht="15.75" customHeight="1" x14ac:dyDescent="0.25">
      <c r="A8592" s="390"/>
      <c r="B8592" s="390"/>
      <c r="C8592" s="390"/>
      <c r="D8592" s="391"/>
      <c r="E8592" s="390"/>
      <c r="F8592" s="395" t="s">
        <v>18</v>
      </c>
      <c r="G8592" s="396" t="s">
        <v>970</v>
      </c>
      <c r="H8592" s="397"/>
    </row>
    <row r="8593" spans="1:8" ht="15.75" customHeight="1" x14ac:dyDescent="0.25">
      <c r="A8593" s="390" t="s">
        <v>20</v>
      </c>
      <c r="B8593" s="390"/>
      <c r="C8593" s="390"/>
      <c r="D8593" s="391"/>
      <c r="E8593" s="390"/>
      <c r="F8593" s="395" t="s">
        <v>21</v>
      </c>
      <c r="G8593" s="390" t="s">
        <v>1492</v>
      </c>
      <c r="H8593" s="391"/>
    </row>
    <row r="8594" spans="1:8" ht="15.75" customHeight="1" x14ac:dyDescent="0.25">
      <c r="A8594" s="390" t="inlineStr">
        <is>
          <t>Dealer-019</t>
        </is>
      </c>
      <c r="B8594" s="390"/>
      <c r="C8594" s="390"/>
      <c r="D8594" s="398"/>
      <c r="E8594" s="390"/>
      <c r="F8594" s="391"/>
      <c r="G8594" s="390"/>
      <c r="H8594" s="394"/>
    </row>
    <row r="8595" spans="1:8" ht="15.75" customHeight="1" x14ac:dyDescent="0.25">
      <c r="A8595" s="390" t="inlineStr">
        <is>
          <t>Address line (redacted)</t>
        </is>
      </c>
      <c r="B8595" s="390"/>
      <c r="C8595" s="390"/>
      <c r="D8595" s="398"/>
      <c r="E8595" s="390"/>
      <c r="F8595" s="391"/>
      <c r="G8595" s="390"/>
      <c r="H8595" s="394"/>
    </row>
    <row r="8596" spans="1:8" ht="15.75" customHeight="1" x14ac:dyDescent="0.25">
      <c r="A8596" s="390"/>
      <c r="B8596" s="390"/>
      <c r="C8596" s="390"/>
      <c r="D8596" s="391"/>
      <c r="E8596" s="390"/>
      <c r="F8596" s="391"/>
      <c r="G8596" s="390"/>
      <c r="H8596" s="394"/>
    </row>
    <row r="8597" spans="1:8" ht="15.75" customHeight="1" x14ac:dyDescent="0.25">
      <c r="A8597" s="390"/>
      <c r="B8597" s="390"/>
      <c r="C8597" s="390"/>
      <c r="D8597" s="391"/>
      <c r="E8597" s="390"/>
      <c r="F8597" s="391"/>
      <c r="G8597" s="390"/>
      <c r="H8597" s="394"/>
    </row>
    <row r="8598" spans="1:8" ht="15.75" customHeight="1" x14ac:dyDescent="0.25">
      <c r="A8598" s="390" t="s">
        <v>30</v>
      </c>
      <c r="B8598" s="390"/>
      <c r="C8598" s="390"/>
      <c r="D8598" s="391"/>
      <c r="E8598" s="390"/>
      <c r="F8598" s="391"/>
      <c r="G8598" s="390"/>
      <c r="H8598" s="394"/>
    </row>
    <row r="8599" spans="1:8" ht="15.75" customHeight="1" x14ac:dyDescent="0.25">
      <c r="A8599" s="390"/>
      <c r="B8599" s="390"/>
      <c r="C8599" s="390"/>
      <c r="D8599" s="391"/>
      <c r="E8599" s="390"/>
      <c r="F8599" s="391"/>
      <c r="G8599" s="390"/>
      <c r="H8599" s="394"/>
    </row>
    <row r="8600" spans="1:8" ht="15.75" customHeight="1" x14ac:dyDescent="0.25">
      <c r="A8600" s="390" t="s">
        <v>716</v>
      </c>
      <c r="B8600" s="390"/>
      <c r="C8600" s="390"/>
      <c r="D8600" s="391"/>
      <c r="E8600" s="390"/>
      <c r="F8600" s="391"/>
      <c r="G8600" s="390"/>
      <c r="H8600" s="394"/>
    </row>
    <row r="8601" spans="1:8" ht="15.75" customHeight="1" x14ac:dyDescent="0.25">
      <c r="A8601" s="390" t="s">
        <v>717</v>
      </c>
      <c r="B8601" s="390"/>
      <c r="C8601" s="390"/>
      <c r="D8601" s="391"/>
      <c r="E8601" s="390"/>
      <c r="F8601" s="391"/>
      <c r="G8601" s="390"/>
      <c r="H8601" s="394"/>
    </row>
    <row r="8602" spans="1:8" ht="15.75" customHeight="1" x14ac:dyDescent="0.25">
      <c r="A8602" s="390"/>
      <c r="B8602" s="390"/>
      <c r="C8602" s="390"/>
      <c r="D8602" s="391"/>
      <c r="E8602" s="390"/>
      <c r="F8602" s="391"/>
      <c r="G8602" s="390"/>
      <c r="H8602" s="394"/>
    </row>
    <row r="8603" spans="1:8" ht="15.75" customHeight="1" x14ac:dyDescent="0.25">
      <c r="A8603" s="399" t="s">
        <v>33</v>
      </c>
      <c r="B8603" s="400" t="s">
        <v>6</v>
      </c>
      <c r="C8603" s="400"/>
      <c r="D8603" s="401" t="s">
        <v>37</v>
      </c>
      <c r="E8603" s="402" t="s">
        <v>38</v>
      </c>
      <c r="F8603" s="403" t="s">
        <v>7</v>
      </c>
      <c r="G8603" s="404" t="s">
        <v>43</v>
      </c>
      <c r="H8603" s="405" t="s">
        <v>44</v>
      </c>
    </row>
    <row r="8604" spans="1:8" ht="15.75" customHeight="1" x14ac:dyDescent="0.25">
      <c r="A8604" s="406"/>
      <c r="B8604" s="407"/>
      <c r="C8604" s="393"/>
      <c r="D8604" s="408"/>
      <c r="E8604" s="408"/>
      <c r="F8604" s="409"/>
      <c r="G8604" s="410"/>
      <c r="H8604" s="411"/>
    </row>
    <row r="8605" spans="1:8" ht="15.75" customHeight="1" x14ac:dyDescent="0.25">
      <c r="A8605" s="412"/>
      <c r="B8605" s="654" t="s">
        <v>1061</v>
      </c>
      <c r="C8605" s="654"/>
      <c r="D8605" s="415"/>
      <c r="E8605" s="415"/>
      <c r="F8605" s="415"/>
      <c r="G8605" s="579"/>
      <c r="H8605" s="416"/>
    </row>
    <row r="8606" spans="1:8" ht="15.75" customHeight="1" x14ac:dyDescent="0.25">
      <c r="A8606" s="412" t="s">
        <v>55</v>
      </c>
      <c r="B8606" s="417" t="s">
        <v>1493</v>
      </c>
      <c r="C8606" s="418"/>
      <c r="D8606" s="415">
        <v>1</v>
      </c>
      <c r="E8606" s="415">
        <v>40</v>
      </c>
      <c r="F8606" s="415">
        <v>40</v>
      </c>
      <c r="G8606" s="415">
        <v>0</v>
      </c>
      <c r="H8606" s="416">
        <v>0</v>
      </c>
    </row>
    <row r="8607" spans="1:8" ht="15.75" customHeight="1" x14ac:dyDescent="0.25">
      <c r="A8607" s="412"/>
      <c r="B8607" s="417"/>
      <c r="C8607" s="418"/>
      <c r="D8607" s="415"/>
      <c r="E8607" s="415"/>
      <c r="F8607" s="415"/>
      <c r="G8607" s="415"/>
      <c r="H8607" s="416"/>
    </row>
    <row r="8608" spans="1:8" ht="15.75" customHeight="1" x14ac:dyDescent="0.25">
      <c r="A8608" s="412"/>
      <c r="B8608" s="417"/>
      <c r="C8608" s="418"/>
      <c r="D8608" s="415"/>
      <c r="E8608" s="415"/>
      <c r="F8608" s="415"/>
      <c r="G8608" s="415"/>
      <c r="H8608" s="416"/>
    </row>
    <row r="8609" spans="1:8" ht="15.75" customHeight="1" x14ac:dyDescent="0.25">
      <c r="A8609" s="412"/>
      <c r="B8609" s="419"/>
      <c r="C8609" s="418"/>
      <c r="D8609" s="415"/>
      <c r="E8609" s="415"/>
      <c r="F8609" s="415"/>
      <c r="G8609" s="415"/>
      <c r="H8609" s="416"/>
    </row>
    <row r="8610" spans="1:8" ht="15.75" customHeight="1" x14ac:dyDescent="0.25">
      <c r="A8610" s="425"/>
      <c r="B8610" s="426"/>
      <c r="C8610" s="390"/>
      <c r="D8610" s="427"/>
      <c r="E8610" s="427"/>
      <c r="F8610" s="428"/>
      <c r="G8610" s="427"/>
      <c r="H8610" s="429"/>
    </row>
    <row r="8611" spans="1:8" ht="15.75" customHeight="1" x14ac:dyDescent="0.25">
      <c r="A8611" s="425"/>
      <c r="B8611" s="426"/>
      <c r="C8611" s="390"/>
      <c r="D8611" s="427"/>
      <c r="E8611" s="427"/>
      <c r="F8611" s="428"/>
      <c r="G8611" s="427"/>
      <c r="H8611" s="429"/>
    </row>
    <row r="8612" spans="1:8" ht="15.75" customHeight="1" x14ac:dyDescent="0.25">
      <c r="A8612" s="425"/>
      <c r="B8612" s="426"/>
      <c r="C8612" s="390"/>
      <c r="D8612" s="427"/>
      <c r="E8612" s="427"/>
      <c r="F8612" s="428"/>
      <c r="G8612" s="427"/>
      <c r="H8612" s="429"/>
    </row>
    <row r="8613" spans="1:8" ht="15.75" customHeight="1" x14ac:dyDescent="0.25">
      <c r="A8613" s="430"/>
      <c r="B8613" s="409"/>
      <c r="C8613" s="393"/>
      <c r="D8613" s="427"/>
      <c r="E8613" s="427"/>
      <c r="F8613" s="428"/>
      <c r="G8613" s="431"/>
      <c r="H8613" s="429"/>
    </row>
    <row r="8614" spans="1:8" ht="15.75" customHeight="1" x14ac:dyDescent="0.25">
      <c r="A8614" s="432"/>
      <c r="B8614" s="433"/>
      <c r="C8614" s="434" t="s">
        <v>85</v>
      </c>
      <c r="D8614" s="435">
        <f>SUM(D8605:D8613)</f>
      </c>
      <c r="E8614" s="435"/>
      <c r="F8614" s="436"/>
      <c r="G8614" s="437"/>
      <c r="H8614" s="438">
        <f>SUM(H8606:H8613)</f>
      </c>
    </row>
    <row r="8615" spans="1:8" ht="15.75" customHeight="1" x14ac:dyDescent="0.25">
      <c r="A8615" s="439"/>
      <c r="B8615" s="440"/>
      <c r="C8615" s="440"/>
      <c r="D8615" s="441"/>
      <c r="E8615" s="440"/>
      <c r="F8615" s="442"/>
      <c r="G8615" s="443"/>
      <c r="H8615" s="444"/>
    </row>
    <row r="8616" spans="1:8" ht="15.75" customHeight="1" x14ac:dyDescent="0.25">
      <c r="A8616" s="392" t="s">
        <v>913</v>
      </c>
      <c r="B8616" s="391"/>
      <c r="C8616" s="391"/>
      <c r="D8616" s="391"/>
      <c r="E8616" s="390"/>
      <c r="F8616" s="392"/>
      <c r="G8616" s="390"/>
      <c r="H8616" s="394"/>
    </row>
    <row r="8617" spans="1:8" ht="15.75" customHeight="1" x14ac:dyDescent="0.25">
      <c r="A8617" s="445"/>
      <c r="B8617" s="445"/>
      <c r="C8617" s="445"/>
      <c r="D8617" s="446" t="s">
        <v>97</v>
      </c>
      <c r="E8617" s="445" t="s">
        <v>98</v>
      </c>
      <c r="F8617" s="445"/>
      <c r="G8617" s="390"/>
      <c r="H8617" s="394"/>
    </row>
    <row r="8618" spans="1:8" ht="15.75" customHeight="1" x14ac:dyDescent="0.25">
      <c r="A8618" s="390"/>
      <c r="B8618" s="390"/>
      <c r="C8618" s="390"/>
      <c r="D8618" s="391"/>
      <c r="E8618" s="390"/>
      <c r="F8618" s="390"/>
      <c r="G8618" s="390"/>
      <c r="H8618" s="394"/>
    </row>
    <row r="8619" spans="1:8" ht="15.75" customHeight="1" x14ac:dyDescent="0.25">
      <c r="A8619" s="390"/>
      <c r="B8619" s="390"/>
      <c r="C8619" s="390"/>
      <c r="D8619" s="391"/>
      <c r="E8619" s="390"/>
      <c r="F8619" s="390"/>
      <c r="G8619" s="390"/>
      <c r="H8619" s="394"/>
    </row>
    <row r="8620" spans="1:8" ht="15.75" customHeight="1" x14ac:dyDescent="0.25">
      <c r="A8620" s="445"/>
      <c r="B8620" s="445"/>
      <c r="C8620" s="445"/>
      <c r="D8620" s="446"/>
      <c r="E8620" s="445" t="s">
        <v>99</v>
      </c>
      <c r="F8620" s="445"/>
      <c r="G8620" s="390"/>
      <c r="H8620" s="394"/>
    </row>
    <row r="8621" spans="1:8" ht="15.75" customHeight="1" x14ac:dyDescent="0.25">
      <c r="D8621" s="4"/>
      <c r="H8621" s="4"/>
    </row>
    <row r="8622" spans="1:8" ht="15.75" customHeight="1" x14ac:dyDescent="0.25">
      <c r="D8622" s="4"/>
      <c r="H8622" s="4"/>
    </row>
    <row r="8623" spans="1:8" ht="15.75" customHeight="1" x14ac:dyDescent="0.25">
      <c r="D8623" s="4"/>
      <c r="H8623" s="4"/>
    </row>
    <row r="8624" spans="1:8" ht="15.75" customHeight="1" x14ac:dyDescent="0.25">
      <c r="D8624" s="4"/>
      <c r="H8624" s="4"/>
    </row>
    <row r="8625" spans="1:8" ht="15.75" customHeight="1" x14ac:dyDescent="0.25">
      <c r="D8625" s="4"/>
      <c r="H8625" s="4"/>
    </row>
    <row r="8626" spans="1:8" ht="15.75" customHeight="1" x14ac:dyDescent="0.25">
      <c r="D8626" s="4"/>
      <c r="H8626" s="4"/>
    </row>
    <row r="8627" spans="1:8" ht="15.75" customHeight="1" x14ac:dyDescent="0.25">
      <c r="D8627" s="4"/>
      <c r="H8627" s="4"/>
    </row>
    <row r="8628" spans="1:8" ht="15.75" customHeight="1" x14ac:dyDescent="0.25">
      <c r="D8628" s="4"/>
      <c r="H8628" s="4"/>
    </row>
    <row r="8629" spans="1:8" ht="15.75" customHeight="1" x14ac:dyDescent="0.25">
      <c r="D8629" s="4"/>
      <c r="H8629" s="4"/>
    </row>
    <row r="8630" spans="1:8" ht="15.75" customHeight="1" x14ac:dyDescent="0.25">
      <c r="D8630" s="4"/>
      <c r="H8630" s="4"/>
    </row>
    <row r="8631" spans="1:8" ht="15.75" customHeight="1" x14ac:dyDescent="0.25">
      <c r="D8631" s="4"/>
      <c r="H8631" s="4"/>
    </row>
    <row r="8632" spans="1:8" ht="15.75" customHeight="1" x14ac:dyDescent="0.25">
      <c r="D8632" s="4"/>
      <c r="H8632" s="4"/>
    </row>
    <row r="8633" spans="1:8" ht="15.75" customHeight="1" x14ac:dyDescent="0.25">
      <c r="D8633" s="4"/>
      <c r="H8633" s="4"/>
    </row>
    <row r="8634" spans="1:8" ht="15.75" customHeight="1" x14ac:dyDescent="0.25">
      <c r="D8634" s="4"/>
      <c r="H8634" s="4"/>
    </row>
    <row r="8635" spans="1:8" ht="15.75" customHeight="1" x14ac:dyDescent="0.25">
      <c r="A8635" s="8" t="s">
        <v>14</v>
      </c>
      <c r="B8635" s="8"/>
      <c r="C8635" s="8"/>
      <c r="D8635" s="8"/>
      <c r="E8635" s="8"/>
      <c r="F8635" s="8"/>
      <c r="G8635" s="8"/>
      <c r="H8635" s="8"/>
    </row>
    <row r="8636" spans="1:8" ht="15.75" customHeight="1" x14ac:dyDescent="0.25">
      <c r="A8636" s="388"/>
      <c r="B8636" s="388"/>
      <c r="C8636" s="388"/>
      <c r="D8636" s="389"/>
      <c r="E8636" s="388"/>
      <c r="F8636" s="388"/>
      <c r="G8636" s="388"/>
      <c r="H8636" s="8"/>
    </row>
    <row r="8637" spans="1:8" ht="15.75" customHeight="1" x14ac:dyDescent="0.25">
      <c r="A8637" s="390"/>
      <c r="B8637" s="390"/>
      <c r="C8637" s="391"/>
      <c r="D8637" s="392"/>
      <c r="E8637" s="393"/>
      <c r="F8637" s="393"/>
      <c r="G8637" s="393"/>
      <c r="H8637" s="394"/>
    </row>
    <row r="8638" spans="1:8" ht="15.75" customHeight="1" x14ac:dyDescent="0.25">
      <c r="A8638" s="390"/>
      <c r="B8638" s="390"/>
      <c r="C8638" s="390"/>
      <c r="D8638" s="391"/>
      <c r="E8638" s="390"/>
      <c r="F8638" s="395" t="s">
        <v>18</v>
      </c>
      <c r="G8638" s="396" t="s">
        <v>975</v>
      </c>
      <c r="H8638" s="397"/>
    </row>
    <row r="8639" spans="1:8" ht="15.75" customHeight="1" x14ac:dyDescent="0.25">
      <c r="A8639" s="390" t="s">
        <v>20</v>
      </c>
      <c r="B8639" s="390"/>
      <c r="C8639" s="390"/>
      <c r="D8639" s="391"/>
      <c r="E8639" s="390"/>
      <c r="F8639" s="395" t="s">
        <v>21</v>
      </c>
      <c r="G8639" s="390" t="s">
        <v>1419</v>
      </c>
      <c r="H8639" s="391"/>
    </row>
    <row r="8640" spans="1:8" ht="15.75" customHeight="1" x14ac:dyDescent="0.25">
      <c r="A8640" s="390" t="inlineStr">
        <is>
          <t>Dealer-004</t>
        </is>
      </c>
      <c r="B8640" s="390"/>
      <c r="C8640" s="390"/>
      <c r="D8640" s="398"/>
      <c r="E8640" s="390"/>
      <c r="F8640" s="391"/>
      <c r="G8640" s="390"/>
      <c r="H8640" s="394"/>
    </row>
    <row r="8641" spans="1:8" ht="15.75" customHeight="1" x14ac:dyDescent="0.25">
      <c r="A8641" s="390" t="inlineStr">
        <is>
          <t>Address line (redacted)</t>
        </is>
      </c>
      <c r="B8641" s="390"/>
      <c r="C8641" s="390"/>
      <c r="D8641" s="398"/>
      <c r="E8641" s="390"/>
      <c r="F8641" s="391"/>
      <c r="G8641" s="390"/>
      <c r="H8641" s="394"/>
    </row>
    <row r="8642" spans="1:8" ht="15.75" customHeight="1" x14ac:dyDescent="0.25">
      <c r="A8642" s="390" t="inlineStr">
        <is>
          <t>Address line (redacted)</t>
        </is>
      </c>
      <c r="B8642" s="390"/>
      <c r="C8642" s="390"/>
      <c r="D8642" s="391"/>
      <c r="E8642" s="390"/>
      <c r="F8642" s="391"/>
      <c r="G8642" s="390"/>
      <c r="H8642" s="394"/>
    </row>
    <row r="8643" spans="1:8" ht="15.75" customHeight="1" x14ac:dyDescent="0.25">
      <c r="A8643" s="390"/>
      <c r="B8643" s="390"/>
      <c r="C8643" s="390"/>
      <c r="D8643" s="391"/>
      <c r="E8643" s="390"/>
      <c r="F8643" s="391"/>
      <c r="G8643" s="390"/>
      <c r="H8643" s="394"/>
    </row>
    <row r="8644" spans="1:8" ht="15.75" customHeight="1" x14ac:dyDescent="0.25">
      <c r="A8644" s="390" t="s">
        <v>30</v>
      </c>
      <c r="B8644" s="390"/>
      <c r="C8644" s="390"/>
      <c r="D8644" s="391"/>
      <c r="E8644" s="390"/>
      <c r="F8644" s="391"/>
      <c r="G8644" s="390"/>
      <c r="H8644" s="394"/>
    </row>
    <row r="8645" spans="1:8" ht="15.75" customHeight="1" x14ac:dyDescent="0.25">
      <c r="A8645" s="390"/>
      <c r="B8645" s="390"/>
      <c r="C8645" s="390"/>
      <c r="D8645" s="391"/>
      <c r="E8645" s="390"/>
      <c r="F8645" s="391"/>
      <c r="G8645" s="390"/>
      <c r="H8645" s="394"/>
    </row>
    <row r="8646" spans="1:8" ht="15.75" customHeight="1" x14ac:dyDescent="0.25">
      <c r="A8646" s="390" t="s">
        <v>716</v>
      </c>
      <c r="B8646" s="390"/>
      <c r="C8646" s="390"/>
      <c r="D8646" s="391"/>
      <c r="E8646" s="390"/>
      <c r="F8646" s="391"/>
      <c r="G8646" s="390"/>
      <c r="H8646" s="394"/>
    </row>
    <row r="8647" spans="1:8" ht="15.75" customHeight="1" x14ac:dyDescent="0.25">
      <c r="A8647" s="390" t="s">
        <v>717</v>
      </c>
      <c r="B8647" s="390"/>
      <c r="C8647" s="390"/>
      <c r="D8647" s="391"/>
      <c r="E8647" s="390"/>
      <c r="F8647" s="391"/>
      <c r="G8647" s="390"/>
      <c r="H8647" s="394"/>
    </row>
    <row r="8648" spans="1:8" ht="15.75" customHeight="1" x14ac:dyDescent="0.25">
      <c r="A8648" s="390"/>
      <c r="B8648" s="390"/>
      <c r="C8648" s="390"/>
      <c r="D8648" s="391"/>
      <c r="E8648" s="390"/>
      <c r="F8648" s="391"/>
      <c r="G8648" s="390"/>
      <c r="H8648" s="394"/>
    </row>
    <row r="8649" spans="1:8" ht="15.75" customHeight="1" x14ac:dyDescent="0.25">
      <c r="A8649" s="399" t="s">
        <v>33</v>
      </c>
      <c r="B8649" s="400" t="s">
        <v>6</v>
      </c>
      <c r="C8649" s="400"/>
      <c r="D8649" s="401" t="s">
        <v>37</v>
      </c>
      <c r="E8649" s="402" t="s">
        <v>38</v>
      </c>
      <c r="F8649" s="403" t="s">
        <v>7</v>
      </c>
      <c r="G8649" s="404" t="s">
        <v>43</v>
      </c>
      <c r="H8649" s="405" t="s">
        <v>44</v>
      </c>
    </row>
    <row r="8650" spans="1:8" ht="15.75" customHeight="1" x14ac:dyDescent="0.25">
      <c r="A8650" s="406"/>
      <c r="B8650" s="407"/>
      <c r="C8650" s="393"/>
      <c r="D8650" s="408"/>
      <c r="E8650" s="408"/>
      <c r="F8650" s="409"/>
      <c r="G8650" s="410"/>
      <c r="H8650" s="411"/>
    </row>
    <row r="8651" spans="1:8" ht="15.75" customHeight="1" x14ac:dyDescent="0.25">
      <c r="A8651" s="412"/>
      <c r="B8651" s="654" t="s">
        <v>674</v>
      </c>
      <c r="C8651" s="654"/>
      <c r="D8651" s="415"/>
      <c r="E8651" s="415"/>
      <c r="F8651" s="415"/>
      <c r="G8651" s="579"/>
      <c r="H8651" s="416"/>
    </row>
    <row r="8652" spans="1:8" ht="15.75" customHeight="1" x14ac:dyDescent="0.25">
      <c r="A8652" s="412" t="s">
        <v>55</v>
      </c>
      <c r="B8652" s="417" t="s">
        <v>1076</v>
      </c>
      <c r="C8652" s="418" t="s">
        <v>1164</v>
      </c>
      <c r="D8652" s="415">
        <v>10</v>
      </c>
      <c r="E8652" s="415">
        <v>1</v>
      </c>
      <c r="F8652" s="415">
        <f t="shared" ref="F8652:F8653" si="291">+E8652*D8652</f>
      </c>
      <c r="G8652" s="415">
        <v>1</v>
      </c>
      <c r="H8652" s="416">
        <f>+G8652*F8652</f>
      </c>
    </row>
    <row r="8653" spans="1:8" ht="15.75" customHeight="1" x14ac:dyDescent="0.25">
      <c r="A8653" s="412" t="s">
        <v>59</v>
      </c>
      <c r="B8653" s="417" t="s">
        <v>1447</v>
      </c>
      <c r="C8653" s="418"/>
      <c r="D8653" s="415">
        <v>1</v>
      </c>
      <c r="E8653" s="415">
        <v>10</v>
      </c>
      <c r="F8653" s="415">
        <f t="shared" si="291"/>
      </c>
      <c r="G8653" s="582" t="s">
        <v>1435</v>
      </c>
      <c r="H8653" s="416"/>
    </row>
    <row r="8654" spans="1:8" ht="15.75" customHeight="1" x14ac:dyDescent="0.25">
      <c r="A8654" s="412"/>
      <c r="B8654" s="654" t="s">
        <v>590</v>
      </c>
      <c r="C8654" s="654"/>
      <c r="D8654" s="415"/>
      <c r="E8654" s="415"/>
      <c r="F8654" s="415"/>
      <c r="G8654" s="415"/>
      <c r="H8654" s="416"/>
    </row>
    <row r="8655" spans="1:8" ht="15.75" customHeight="1" x14ac:dyDescent="0.25">
      <c r="A8655" s="412" t="s">
        <v>67</v>
      </c>
      <c r="B8655" s="590" t="s">
        <v>158</v>
      </c>
      <c r="C8655" s="644" t="s">
        <v>390</v>
      </c>
      <c r="D8655" s="415">
        <v>1</v>
      </c>
      <c r="E8655" s="415">
        <v>6</v>
      </c>
      <c r="F8655" s="415">
        <f t="shared" ref="F8655:F8656" si="292">+E8655*D8655</f>
      </c>
      <c r="G8655" s="415">
        <v>1</v>
      </c>
      <c r="H8655" s="416">
        <f t="shared" ref="H8655:H8656" si="293">+G8655*F8655</f>
      </c>
    </row>
    <row r="8656" spans="1:8" ht="15.75" customHeight="1" x14ac:dyDescent="0.25">
      <c r="A8656" s="412" t="s">
        <v>485</v>
      </c>
      <c r="B8656" s="590" t="s">
        <v>158</v>
      </c>
      <c r="C8656" s="644" t="s">
        <v>390</v>
      </c>
      <c r="D8656" s="415">
        <v>1</v>
      </c>
      <c r="E8656" s="415">
        <v>4</v>
      </c>
      <c r="F8656" s="415">
        <f t="shared" si="292"/>
      </c>
      <c r="G8656" s="415">
        <v>1</v>
      </c>
      <c r="H8656" s="416">
        <f t="shared" si="293"/>
      </c>
    </row>
    <row r="8657" spans="1:8" ht="15.75" customHeight="1" x14ac:dyDescent="0.25">
      <c r="A8657" s="412"/>
      <c r="B8657" s="654" t="s">
        <v>1356</v>
      </c>
      <c r="C8657" s="654"/>
      <c r="D8657" s="415"/>
      <c r="E8657" s="415"/>
      <c r="F8657" s="415"/>
      <c r="G8657" s="415"/>
      <c r="H8657" s="416"/>
    </row>
    <row r="8658" spans="1:8" ht="15.75" customHeight="1" x14ac:dyDescent="0.25">
      <c r="A8658" s="412" t="s">
        <v>485</v>
      </c>
      <c r="B8658" s="590" t="s">
        <v>618</v>
      </c>
      <c r="C8658" s="644" t="s">
        <v>87</v>
      </c>
      <c r="D8658" s="415">
        <v>4</v>
      </c>
      <c r="E8658" s="415">
        <v>5</v>
      </c>
      <c r="F8658" s="415">
        <f>+E8658*D8658</f>
      </c>
      <c r="G8658" s="415">
        <v>1</v>
      </c>
      <c r="H8658" s="416">
        <f>+G8658*F8658</f>
      </c>
    </row>
    <row r="8659" spans="1:8" ht="15.75" customHeight="1" x14ac:dyDescent="0.25">
      <c r="A8659" s="412"/>
      <c r="B8659" s="590"/>
      <c r="C8659" s="644"/>
      <c r="D8659" s="415"/>
      <c r="E8659" s="415"/>
      <c r="F8659" s="415"/>
      <c r="G8659" s="415"/>
      <c r="H8659" s="416"/>
    </row>
    <row r="8660" spans="1:8" ht="15.75" customHeight="1" x14ac:dyDescent="0.25">
      <c r="A8660" s="412"/>
      <c r="B8660" s="590"/>
      <c r="C8660" s="644"/>
      <c r="D8660" s="415"/>
      <c r="E8660" s="415"/>
      <c r="F8660" s="415"/>
      <c r="G8660" s="415"/>
      <c r="H8660" s="416"/>
    </row>
    <row r="8661" spans="1:8" ht="15.75" customHeight="1" x14ac:dyDescent="0.25">
      <c r="A8661" s="412"/>
      <c r="B8661" s="419"/>
      <c r="C8661" s="418"/>
      <c r="D8661" s="415"/>
      <c r="E8661" s="415"/>
      <c r="F8661" s="415"/>
      <c r="G8661" s="415"/>
      <c r="H8661" s="416"/>
    </row>
    <row r="8662" spans="1:8" ht="15.75" customHeight="1" x14ac:dyDescent="0.25">
      <c r="A8662" s="425"/>
      <c r="B8662" s="426"/>
      <c r="C8662" s="390"/>
      <c r="D8662" s="427"/>
      <c r="E8662" s="427"/>
      <c r="F8662" s="428"/>
      <c r="G8662" s="427"/>
      <c r="H8662" s="429"/>
    </row>
    <row r="8663" spans="1:8" ht="15.75" customHeight="1" x14ac:dyDescent="0.25">
      <c r="A8663" s="425"/>
      <c r="B8663" s="426"/>
      <c r="C8663" s="390"/>
      <c r="D8663" s="427"/>
      <c r="E8663" s="427"/>
      <c r="F8663" s="428"/>
      <c r="G8663" s="427"/>
      <c r="H8663" s="429"/>
    </row>
    <row r="8664" spans="1:8" ht="15.75" customHeight="1" x14ac:dyDescent="0.25">
      <c r="A8664" s="430"/>
      <c r="B8664" s="409"/>
      <c r="C8664" s="393"/>
      <c r="D8664" s="427"/>
      <c r="E8664" s="427"/>
      <c r="F8664" s="428"/>
      <c r="G8664" s="431"/>
      <c r="H8664" s="429"/>
    </row>
    <row r="8665" spans="1:8" ht="15.75" customHeight="1" x14ac:dyDescent="0.25">
      <c r="A8665" s="432"/>
      <c r="B8665" s="433"/>
      <c r="C8665" s="434" t="s">
        <v>85</v>
      </c>
      <c r="D8665" s="435">
        <f>SUM(D8652:D8664)</f>
      </c>
      <c r="E8665" s="435"/>
      <c r="F8665" s="436"/>
      <c r="G8665" s="437"/>
      <c r="H8665" s="438">
        <f>SUM(H8652:H8664)</f>
      </c>
    </row>
    <row r="8666" spans="1:8" ht="15.75" customHeight="1" x14ac:dyDescent="0.25">
      <c r="A8666" s="439"/>
      <c r="B8666" s="440"/>
      <c r="C8666" s="440"/>
      <c r="D8666" s="441"/>
      <c r="E8666" s="440"/>
      <c r="F8666" s="442"/>
      <c r="G8666" s="443"/>
      <c r="H8666" s="444"/>
    </row>
    <row r="8667" spans="1:8" ht="15.75" customHeight="1" x14ac:dyDescent="0.25">
      <c r="A8667" s="392" t="s">
        <v>913</v>
      </c>
      <c r="B8667" s="391"/>
      <c r="C8667" s="391"/>
      <c r="D8667" s="391"/>
      <c r="E8667" s="390"/>
      <c r="F8667" s="392"/>
      <c r="G8667" s="390"/>
      <c r="H8667" s="394"/>
    </row>
    <row r="8668" spans="1:8" ht="15.75" customHeight="1" x14ac:dyDescent="0.25">
      <c r="A8668" s="445"/>
      <c r="B8668" s="445"/>
      <c r="C8668" s="445"/>
      <c r="D8668" s="446" t="s">
        <v>97</v>
      </c>
      <c r="E8668" s="445" t="s">
        <v>98</v>
      </c>
      <c r="F8668" s="445"/>
      <c r="G8668" s="390"/>
      <c r="H8668" s="394"/>
    </row>
    <row r="8669" spans="1:8" ht="15.75" customHeight="1" x14ac:dyDescent="0.25">
      <c r="A8669" s="390"/>
      <c r="B8669" s="390"/>
      <c r="C8669" s="390"/>
      <c r="D8669" s="391"/>
      <c r="E8669" s="390"/>
      <c r="F8669" s="390"/>
      <c r="G8669" s="390"/>
      <c r="H8669" s="394"/>
    </row>
    <row r="8670" spans="1:8" ht="15.75" customHeight="1" x14ac:dyDescent="0.25">
      <c r="A8670" s="390"/>
      <c r="B8670" s="390"/>
      <c r="C8670" s="390"/>
      <c r="D8670" s="391"/>
      <c r="E8670" s="390"/>
      <c r="F8670" s="390"/>
      <c r="G8670" s="390"/>
      <c r="H8670" s="394"/>
    </row>
    <row r="8671" spans="1:8" ht="15.75" customHeight="1" x14ac:dyDescent="0.25">
      <c r="A8671" s="445"/>
      <c r="B8671" s="445"/>
      <c r="C8671" s="445"/>
      <c r="D8671" s="446"/>
      <c r="E8671" s="445" t="s">
        <v>99</v>
      </c>
      <c r="F8671" s="445"/>
      <c r="G8671" s="390"/>
      <c r="H8671" s="394"/>
    </row>
    <row r="8672" spans="1:8" ht="15.75" customHeight="1" x14ac:dyDescent="0.25">
      <c r="D8672" s="4"/>
      <c r="H8672" s="4"/>
    </row>
    <row r="8673" spans="1:8" ht="15.75" customHeight="1" x14ac:dyDescent="0.25">
      <c r="D8673" s="4"/>
      <c r="H8673" s="4"/>
    </row>
    <row r="8674" spans="1:8" ht="15.75" customHeight="1" x14ac:dyDescent="0.25">
      <c r="D8674" s="4"/>
      <c r="H8674" s="4"/>
    </row>
    <row r="8675" spans="1:8" ht="15.75" customHeight="1" x14ac:dyDescent="0.25">
      <c r="D8675" s="4"/>
      <c r="H8675" s="4"/>
    </row>
    <row r="8676" spans="1:8" ht="15.75" customHeight="1" x14ac:dyDescent="0.25">
      <c r="D8676" s="4"/>
      <c r="H8676" s="4"/>
    </row>
    <row r="8677" spans="1:8" ht="15.75" customHeight="1" x14ac:dyDescent="0.25">
      <c r="D8677" s="4"/>
      <c r="H8677" s="4"/>
    </row>
    <row r="8678" spans="1:8" ht="15.75" customHeight="1" x14ac:dyDescent="0.25">
      <c r="D8678" s="4"/>
      <c r="H8678" s="4"/>
    </row>
    <row r="8679" spans="1:8" ht="15.75" customHeight="1" x14ac:dyDescent="0.25">
      <c r="D8679" s="4"/>
      <c r="H8679" s="4"/>
    </row>
    <row r="8680" spans="1:8" ht="15.75" customHeight="1" x14ac:dyDescent="0.25">
      <c r="D8680" s="4"/>
      <c r="H8680" s="4"/>
    </row>
    <row r="8681" spans="1:8" ht="15.75" customHeight="1" x14ac:dyDescent="0.25">
      <c r="D8681" s="4"/>
      <c r="H8681" s="4"/>
    </row>
    <row r="8682" spans="1:8" ht="15.75" customHeight="1" x14ac:dyDescent="0.25">
      <c r="A8682" s="8" t="s">
        <v>14</v>
      </c>
      <c r="B8682" s="8"/>
      <c r="C8682" s="8"/>
      <c r="D8682" s="8"/>
      <c r="E8682" s="8"/>
      <c r="F8682" s="8"/>
      <c r="G8682" s="8"/>
      <c r="H8682" s="8"/>
    </row>
    <row r="8683" spans="1:8" ht="15.75" customHeight="1" x14ac:dyDescent="0.25">
      <c r="A8683" s="388"/>
      <c r="B8683" s="388"/>
      <c r="C8683" s="388"/>
      <c r="D8683" s="389"/>
      <c r="E8683" s="388"/>
      <c r="F8683" s="388"/>
      <c r="G8683" s="388"/>
      <c r="H8683" s="8"/>
    </row>
    <row r="8684" spans="1:8" ht="15.75" customHeight="1" x14ac:dyDescent="0.25">
      <c r="A8684" s="390"/>
      <c r="B8684" s="390"/>
      <c r="C8684" s="391"/>
      <c r="D8684" s="392"/>
      <c r="E8684" s="393"/>
      <c r="F8684" s="393"/>
      <c r="G8684" s="393"/>
      <c r="H8684" s="394"/>
    </row>
    <row r="8685" spans="1:8" ht="15.75" customHeight="1" x14ac:dyDescent="0.25">
      <c r="A8685" s="390"/>
      <c r="B8685" s="390"/>
      <c r="C8685" s="390"/>
      <c r="D8685" s="391"/>
      <c r="E8685" s="390"/>
      <c r="F8685" s="395" t="s">
        <v>18</v>
      </c>
      <c r="G8685" s="396" t="s">
        <v>975</v>
      </c>
      <c r="H8685" s="397"/>
    </row>
    <row r="8686" spans="1:8" ht="15.75" customHeight="1" x14ac:dyDescent="0.25">
      <c r="A8686" s="390" t="s">
        <v>20</v>
      </c>
      <c r="B8686" s="390"/>
      <c r="C8686" s="390"/>
      <c r="D8686" s="391"/>
      <c r="E8686" s="390"/>
      <c r="F8686" s="395" t="s">
        <v>21</v>
      </c>
      <c r="G8686" s="390" t="s">
        <v>1858</v>
      </c>
      <c r="H8686" s="391"/>
    </row>
    <row r="8687" spans="1:8" ht="15.75" customHeight="1" x14ac:dyDescent="0.25">
      <c r="A8687" s="390" t="inlineStr">
        <is>
          <t>Dealer-003</t>
        </is>
      </c>
      <c r="B8687" s="390"/>
      <c r="C8687" s="390"/>
      <c r="D8687" s="398"/>
      <c r="E8687" s="390"/>
      <c r="F8687" s="391"/>
      <c r="G8687" s="390"/>
      <c r="H8687" s="394"/>
    </row>
    <row r="8688" spans="1:8" ht="15.75" customHeight="1" x14ac:dyDescent="0.25">
      <c r="A8688" s="390" t="inlineStr">
        <is>
          <t>Address line (redacted)</t>
        </is>
      </c>
      <c r="B8688" s="390"/>
      <c r="C8688" s="390"/>
      <c r="D8688" s="398"/>
      <c r="E8688" s="390"/>
      <c r="F8688" s="391"/>
      <c r="G8688" s="390"/>
      <c r="H8688" s="394"/>
    </row>
    <row r="8689" spans="1:8" ht="15.75" customHeight="1" x14ac:dyDescent="0.25">
      <c r="A8689" s="390" t="inlineStr">
        <is>
          <t>Address line (redacted)</t>
        </is>
      </c>
      <c r="B8689" s="390"/>
      <c r="C8689" s="390"/>
      <c r="D8689" s="391"/>
      <c r="E8689" s="390"/>
      <c r="F8689" s="391"/>
      <c r="G8689" s="390"/>
      <c r="H8689" s="394"/>
    </row>
    <row r="8690" spans="1:8" ht="15.75" customHeight="1" x14ac:dyDescent="0.25">
      <c r="A8690" s="390"/>
      <c r="B8690" s="390"/>
      <c r="C8690" s="390"/>
      <c r="D8690" s="391"/>
      <c r="E8690" s="390"/>
      <c r="F8690" s="391"/>
      <c r="G8690" s="390"/>
      <c r="H8690" s="394"/>
    </row>
    <row r="8691" spans="1:8" ht="15.75" customHeight="1" x14ac:dyDescent="0.25">
      <c r="A8691" s="390" t="s">
        <v>30</v>
      </c>
      <c r="B8691" s="390"/>
      <c r="C8691" s="390"/>
      <c r="D8691" s="391"/>
      <c r="E8691" s="390"/>
      <c r="F8691" s="391"/>
      <c r="G8691" s="390"/>
      <c r="H8691" s="394"/>
    </row>
    <row r="8692" spans="1:8" ht="15.75" customHeight="1" x14ac:dyDescent="0.25">
      <c r="A8692" s="390"/>
      <c r="B8692" s="390"/>
      <c r="C8692" s="390"/>
      <c r="D8692" s="391"/>
      <c r="E8692" s="390"/>
      <c r="F8692" s="391"/>
      <c r="G8692" s="390"/>
      <c r="H8692" s="394"/>
    </row>
    <row r="8693" spans="1:8" ht="15.75" customHeight="1" x14ac:dyDescent="0.25">
      <c r="A8693" s="390" t="s">
        <v>716</v>
      </c>
      <c r="B8693" s="390"/>
      <c r="C8693" s="390"/>
      <c r="D8693" s="391"/>
      <c r="E8693" s="390"/>
      <c r="F8693" s="391"/>
      <c r="G8693" s="390"/>
      <c r="H8693" s="394"/>
    </row>
    <row r="8694" spans="1:8" ht="15.75" customHeight="1" x14ac:dyDescent="0.25">
      <c r="A8694" s="390" t="s">
        <v>717</v>
      </c>
      <c r="B8694" s="390"/>
      <c r="C8694" s="390"/>
      <c r="D8694" s="391"/>
      <c r="E8694" s="390"/>
      <c r="F8694" s="391"/>
      <c r="G8694" s="390"/>
      <c r="H8694" s="394"/>
    </row>
    <row r="8695" spans="1:8" ht="15.75" customHeight="1" x14ac:dyDescent="0.25">
      <c r="A8695" s="390"/>
      <c r="B8695" s="390"/>
      <c r="C8695" s="390"/>
      <c r="D8695" s="391"/>
      <c r="E8695" s="390"/>
      <c r="F8695" s="391"/>
      <c r="G8695" s="390"/>
      <c r="H8695" s="394"/>
    </row>
    <row r="8696" spans="1:8" ht="15.75" customHeight="1" x14ac:dyDescent="0.25">
      <c r="A8696" s="399" t="s">
        <v>33</v>
      </c>
      <c r="B8696" s="400" t="s">
        <v>6</v>
      </c>
      <c r="C8696" s="400"/>
      <c r="D8696" s="401" t="s">
        <v>37</v>
      </c>
      <c r="E8696" s="402" t="s">
        <v>38</v>
      </c>
      <c r="F8696" s="403" t="s">
        <v>7</v>
      </c>
      <c r="G8696" s="404" t="s">
        <v>43</v>
      </c>
      <c r="H8696" s="405" t="s">
        <v>44</v>
      </c>
    </row>
    <row r="8697" spans="1:8" ht="15.75" customHeight="1" x14ac:dyDescent="0.25">
      <c r="A8697" s="406"/>
      <c r="B8697" s="407"/>
      <c r="C8697" s="393"/>
      <c r="D8697" s="408"/>
      <c r="E8697" s="408"/>
      <c r="F8697" s="409"/>
      <c r="G8697" s="410"/>
      <c r="H8697" s="411"/>
    </row>
    <row r="8698" spans="1:8" ht="15.75" customHeight="1" x14ac:dyDescent="0.25">
      <c r="A8698" s="412"/>
      <c r="B8698" s="654" t="s">
        <v>1187</v>
      </c>
      <c r="C8698" s="654"/>
      <c r="D8698" s="415"/>
      <c r="E8698" s="415"/>
      <c r="F8698" s="415"/>
      <c r="G8698" s="579"/>
      <c r="H8698" s="416"/>
    </row>
    <row r="8699" spans="1:8" ht="15.75" customHeight="1" x14ac:dyDescent="0.25">
      <c r="A8699" s="412" t="s">
        <v>55</v>
      </c>
      <c r="B8699" s="417" t="s">
        <v>131</v>
      </c>
      <c r="C8699" s="418" t="s">
        <v>451</v>
      </c>
      <c r="D8699" s="415">
        <v>1</v>
      </c>
      <c r="E8699" s="415">
        <v>50</v>
      </c>
      <c r="F8699" s="415">
        <f>+E8699*D8699</f>
      </c>
      <c r="G8699" s="415">
        <v>1</v>
      </c>
      <c r="H8699" s="416">
        <f>+G8699*F8699</f>
      </c>
    </row>
    <row r="8700" spans="1:8" ht="15.75" customHeight="1" x14ac:dyDescent="0.25">
      <c r="A8700" s="412"/>
      <c r="B8700" s="417"/>
      <c r="C8700" s="418"/>
      <c r="D8700" s="415"/>
      <c r="E8700" s="415"/>
      <c r="F8700" s="415"/>
      <c r="G8700" s="415"/>
      <c r="H8700" s="416"/>
    </row>
    <row r="8701" spans="1:8" ht="15.75" customHeight="1" x14ac:dyDescent="0.25">
      <c r="A8701" s="412"/>
      <c r="B8701" s="417"/>
      <c r="C8701" s="418"/>
      <c r="D8701" s="415"/>
      <c r="E8701" s="415"/>
      <c r="F8701" s="415"/>
      <c r="G8701" s="415"/>
      <c r="H8701" s="416"/>
    </row>
    <row r="8702" spans="1:8" ht="15.75" customHeight="1" x14ac:dyDescent="0.25">
      <c r="A8702" s="412"/>
      <c r="B8702" s="419"/>
      <c r="C8702" s="418"/>
      <c r="D8702" s="415"/>
      <c r="E8702" s="415"/>
      <c r="F8702" s="415"/>
      <c r="G8702" s="415"/>
      <c r="H8702" s="416"/>
    </row>
    <row r="8703" spans="1:8" ht="15.75" customHeight="1" x14ac:dyDescent="0.25">
      <c r="A8703" s="425"/>
      <c r="B8703" s="426"/>
      <c r="C8703" s="390"/>
      <c r="D8703" s="427"/>
      <c r="E8703" s="427"/>
      <c r="F8703" s="428"/>
      <c r="G8703" s="427"/>
      <c r="H8703" s="429"/>
    </row>
    <row r="8704" spans="1:8" ht="15.75" customHeight="1" x14ac:dyDescent="0.25">
      <c r="A8704" s="425"/>
      <c r="B8704" s="426"/>
      <c r="C8704" s="390"/>
      <c r="D8704" s="427"/>
      <c r="E8704" s="427"/>
      <c r="F8704" s="428"/>
      <c r="G8704" s="427"/>
      <c r="H8704" s="429"/>
    </row>
    <row r="8705" spans="1:8" ht="15.75" customHeight="1" x14ac:dyDescent="0.25">
      <c r="A8705" s="425"/>
      <c r="B8705" s="426"/>
      <c r="C8705" s="390"/>
      <c r="D8705" s="427"/>
      <c r="E8705" s="427"/>
      <c r="F8705" s="428"/>
      <c r="G8705" s="427"/>
      <c r="H8705" s="429"/>
    </row>
    <row r="8706" spans="1:8" ht="15.75" customHeight="1" x14ac:dyDescent="0.25">
      <c r="A8706" s="430"/>
      <c r="B8706" s="409"/>
      <c r="C8706" s="393"/>
      <c r="D8706" s="427"/>
      <c r="E8706" s="427"/>
      <c r="F8706" s="428"/>
      <c r="G8706" s="431"/>
      <c r="H8706" s="429"/>
    </row>
    <row r="8707" spans="1:8" ht="15.75" customHeight="1" x14ac:dyDescent="0.25">
      <c r="A8707" s="432"/>
      <c r="B8707" s="433"/>
      <c r="C8707" s="434" t="s">
        <v>85</v>
      </c>
      <c r="D8707" s="435">
        <f>SUM(D8698:D8706)</f>
      </c>
      <c r="E8707" s="435"/>
      <c r="F8707" s="436"/>
      <c r="G8707" s="437"/>
      <c r="H8707" s="438">
        <f>SUM(H8699:H8706)</f>
      </c>
    </row>
    <row r="8708" spans="1:8" ht="15.75" customHeight="1" x14ac:dyDescent="0.25">
      <c r="A8708" s="439"/>
      <c r="B8708" s="440"/>
      <c r="C8708" s="440"/>
      <c r="D8708" s="441"/>
      <c r="E8708" s="440"/>
      <c r="F8708" s="442"/>
      <c r="G8708" s="443"/>
      <c r="H8708" s="444"/>
    </row>
    <row r="8709" spans="1:8" ht="15.75" customHeight="1" x14ac:dyDescent="0.25">
      <c r="A8709" s="392" t="s">
        <v>913</v>
      </c>
      <c r="B8709" s="391"/>
      <c r="C8709" s="391"/>
      <c r="D8709" s="391"/>
      <c r="E8709" s="390"/>
      <c r="F8709" s="392"/>
      <c r="G8709" s="390"/>
      <c r="H8709" s="394"/>
    </row>
    <row r="8710" spans="1:8" ht="15.75" customHeight="1" x14ac:dyDescent="0.25">
      <c r="A8710" s="445"/>
      <c r="B8710" s="445"/>
      <c r="C8710" s="445"/>
      <c r="D8710" s="446" t="s">
        <v>97</v>
      </c>
      <c r="E8710" s="445" t="s">
        <v>98</v>
      </c>
      <c r="F8710" s="445"/>
      <c r="G8710" s="390"/>
      <c r="H8710" s="394"/>
    </row>
    <row r="8711" spans="1:8" ht="15.75" customHeight="1" x14ac:dyDescent="0.25">
      <c r="A8711" s="390"/>
      <c r="B8711" s="390"/>
      <c r="C8711" s="390"/>
      <c r="D8711" s="391"/>
      <c r="E8711" s="390"/>
      <c r="F8711" s="390"/>
      <c r="G8711" s="390"/>
      <c r="H8711" s="394"/>
    </row>
    <row r="8712" spans="1:8" ht="15.75" customHeight="1" x14ac:dyDescent="0.25">
      <c r="A8712" s="390"/>
      <c r="B8712" s="390"/>
      <c r="C8712" s="390"/>
      <c r="D8712" s="391"/>
      <c r="E8712" s="390"/>
      <c r="F8712" s="390"/>
      <c r="G8712" s="390"/>
      <c r="H8712" s="394"/>
    </row>
    <row r="8713" spans="1:8" ht="15.75" customHeight="1" x14ac:dyDescent="0.25">
      <c r="A8713" s="445"/>
      <c r="B8713" s="445"/>
      <c r="C8713" s="445"/>
      <c r="D8713" s="446"/>
      <c r="E8713" s="445" t="s">
        <v>99</v>
      </c>
      <c r="F8713" s="445"/>
      <c r="G8713" s="390"/>
      <c r="H8713" s="394"/>
    </row>
    <row r="8714" spans="1:8" ht="15.75" customHeight="1" x14ac:dyDescent="0.25">
      <c r="D8714" s="4"/>
      <c r="H8714" s="4"/>
    </row>
    <row r="8715" spans="1:8" ht="15.75" customHeight="1" x14ac:dyDescent="0.25">
      <c r="D8715" s="4"/>
      <c r="H8715" s="4"/>
    </row>
    <row r="8716" spans="1:8" ht="15.75" customHeight="1" x14ac:dyDescent="0.25">
      <c r="D8716" s="4"/>
      <c r="H8716" s="4"/>
    </row>
    <row r="8717" spans="1:8" ht="15.75" customHeight="1" x14ac:dyDescent="0.25">
      <c r="D8717" s="4"/>
      <c r="H8717" s="4"/>
    </row>
    <row r="8718" spans="1:8" ht="15.75" customHeight="1" x14ac:dyDescent="0.25">
      <c r="D8718" s="4"/>
      <c r="H8718" s="4"/>
    </row>
    <row r="8719" spans="1:8" ht="15.75" customHeight="1" x14ac:dyDescent="0.25">
      <c r="D8719" s="4"/>
      <c r="H8719" s="4"/>
    </row>
    <row r="8720" spans="1:8" ht="15.75" customHeight="1" x14ac:dyDescent="0.25">
      <c r="D8720" s="4"/>
      <c r="H8720" s="4"/>
    </row>
    <row r="8721" spans="1:8" ht="15.75" customHeight="1" x14ac:dyDescent="0.25">
      <c r="D8721" s="4"/>
      <c r="H8721" s="4"/>
    </row>
    <row r="8722" spans="1:8" ht="15.75" customHeight="1" x14ac:dyDescent="0.25">
      <c r="D8722" s="4"/>
      <c r="H8722" s="4"/>
    </row>
    <row r="8723" spans="1:8" ht="15.75" customHeight="1" x14ac:dyDescent="0.25">
      <c r="D8723" s="4"/>
      <c r="H8723" s="4"/>
    </row>
    <row r="8724" spans="1:8" ht="15.75" customHeight="1" x14ac:dyDescent="0.25">
      <c r="D8724" s="4"/>
      <c r="H8724" s="4"/>
    </row>
    <row r="8725" spans="1:8" ht="15.75" customHeight="1" x14ac:dyDescent="0.25">
      <c r="D8725" s="4"/>
      <c r="H8725" s="4"/>
    </row>
    <row r="8726" spans="1:8" ht="15.75" customHeight="1" x14ac:dyDescent="0.25">
      <c r="D8726" s="4"/>
      <c r="H8726" s="4"/>
    </row>
    <row r="8727" spans="1:8" ht="15.75" customHeight="1" x14ac:dyDescent="0.25">
      <c r="D8727" s="4"/>
      <c r="H8727" s="4"/>
    </row>
    <row r="8728" spans="1:8" ht="15.75" customHeight="1" x14ac:dyDescent="0.25">
      <c r="A8728" s="398" t="s">
        <v>14</v>
      </c>
      <c r="B8728" s="398"/>
      <c r="C8728" s="398"/>
      <c r="D8728" s="398"/>
      <c r="E8728" s="398"/>
      <c r="F8728" s="398"/>
      <c r="G8728" s="398"/>
      <c r="H8728" s="398"/>
    </row>
    <row r="8729" spans="1:8" ht="15.75" customHeight="1" x14ac:dyDescent="0.25">
      <c r="A8729" s="398"/>
      <c r="B8729" s="398"/>
      <c r="C8729" s="398"/>
      <c r="D8729" s="398"/>
      <c r="E8729" s="398"/>
      <c r="F8729" s="398"/>
      <c r="G8729" s="398"/>
      <c r="H8729" s="398"/>
    </row>
    <row r="8730" spans="1:8" ht="15.75" customHeight="1" x14ac:dyDescent="0.25">
      <c r="A8730" s="398"/>
      <c r="B8730" s="398"/>
      <c r="C8730" s="398"/>
      <c r="D8730" s="398"/>
      <c r="E8730" s="398"/>
      <c r="F8730" s="398"/>
      <c r="G8730" s="398"/>
      <c r="H8730" s="398"/>
    </row>
    <row r="8731" spans="1:8" ht="15.75" customHeight="1" x14ac:dyDescent="0.25">
      <c r="A8731" s="390"/>
      <c r="B8731" s="390"/>
      <c r="C8731" s="390"/>
      <c r="D8731" s="391"/>
      <c r="E8731" s="390"/>
      <c r="F8731" s="395" t="s">
        <v>18</v>
      </c>
      <c r="G8731" s="396" t="s">
        <v>975</v>
      </c>
      <c r="H8731" s="397"/>
    </row>
    <row r="8732" spans="1:8" ht="15.75" customHeight="1" x14ac:dyDescent="0.25">
      <c r="A8732" s="390" t="s">
        <v>20</v>
      </c>
      <c r="B8732" s="390"/>
      <c r="C8732" s="390"/>
      <c r="D8732" s="391"/>
      <c r="E8732" s="390"/>
      <c r="F8732" s="395" t="s">
        <v>21</v>
      </c>
      <c r="G8732" s="390" t="s">
        <v>1859</v>
      </c>
      <c r="H8732" s="391"/>
    </row>
    <row r="8733" spans="1:8" ht="15.75" customHeight="1" x14ac:dyDescent="0.25">
      <c r="A8733" s="390" t="inlineStr">
        <is>
          <t>Dealer-018</t>
        </is>
      </c>
      <c r="B8733" s="390"/>
      <c r="C8733" s="390"/>
      <c r="D8733" s="391"/>
      <c r="E8733" s="395"/>
      <c r="F8733" s="390"/>
      <c r="G8733" s="390"/>
      <c r="H8733" s="394"/>
    </row>
    <row r="8734" spans="1:8" ht="15.75" customHeight="1" x14ac:dyDescent="0.25">
      <c r="A8734" s="390" t="inlineStr">
        <is>
          <t>Address line (redacted)</t>
        </is>
      </c>
      <c r="B8734" s="390"/>
      <c r="C8734" s="390"/>
      <c r="D8734" s="398"/>
      <c r="E8734" s="390"/>
      <c r="F8734" s="391"/>
      <c r="G8734" s="390"/>
      <c r="H8734" s="394"/>
    </row>
    <row r="8735" spans="1:8" ht="15.75" customHeight="1" x14ac:dyDescent="0.25">
      <c r="A8735" s="390"/>
      <c r="B8735" s="390"/>
      <c r="C8735" s="390"/>
      <c r="D8735" s="398"/>
      <c r="E8735" s="390"/>
      <c r="F8735" s="391"/>
      <c r="G8735" s="390"/>
      <c r="H8735" s="394"/>
    </row>
    <row r="8736" spans="1:8" ht="15.75" customHeight="1" x14ac:dyDescent="0.25">
      <c r="A8736" s="447"/>
      <c r="B8736" s="390"/>
      <c r="C8736" s="390"/>
      <c r="D8736" s="391"/>
      <c r="E8736" s="390"/>
      <c r="F8736" s="391"/>
      <c r="G8736" s="390"/>
      <c r="H8736" s="394"/>
    </row>
    <row r="8737" spans="1:8" ht="15.75" customHeight="1" x14ac:dyDescent="0.25">
      <c r="A8737" s="390" t="s">
        <v>30</v>
      </c>
      <c r="B8737" s="390"/>
      <c r="C8737" s="390"/>
      <c r="D8737" s="391"/>
      <c r="E8737" s="390"/>
      <c r="F8737" s="391"/>
      <c r="G8737" s="390"/>
      <c r="H8737" s="394"/>
    </row>
    <row r="8738" spans="1:8" ht="15.75" customHeight="1" x14ac:dyDescent="0.25">
      <c r="A8738" s="390"/>
      <c r="B8738" s="390"/>
      <c r="C8738" s="390"/>
      <c r="D8738" s="391"/>
      <c r="E8738" s="390"/>
      <c r="F8738" s="391"/>
      <c r="G8738" s="390"/>
      <c r="H8738" s="394"/>
    </row>
    <row r="8739" spans="1:8" ht="15.75" customHeight="1" x14ac:dyDescent="0.25">
      <c r="A8739" s="390" t="s">
        <v>1322</v>
      </c>
      <c r="B8739" s="390"/>
      <c r="C8739" s="390"/>
      <c r="D8739" s="391"/>
      <c r="E8739" s="390"/>
      <c r="F8739" s="391"/>
      <c r="G8739" s="390"/>
      <c r="H8739" s="394"/>
    </row>
    <row r="8740" spans="1:8" ht="15.75" customHeight="1" x14ac:dyDescent="0.25">
      <c r="A8740" s="390" t="s">
        <v>1328</v>
      </c>
      <c r="B8740" s="390"/>
      <c r="C8740" s="390"/>
      <c r="D8740" s="391"/>
      <c r="E8740" s="390"/>
      <c r="F8740" s="391"/>
      <c r="G8740" s="390"/>
      <c r="H8740" s="394"/>
    </row>
    <row r="8741" spans="1:8" ht="15.75" customHeight="1" x14ac:dyDescent="0.25">
      <c r="A8741" s="399" t="s">
        <v>33</v>
      </c>
      <c r="B8741" s="400" t="s">
        <v>6</v>
      </c>
      <c r="C8741" s="400"/>
      <c r="D8741" s="401" t="s">
        <v>37</v>
      </c>
      <c r="E8741" s="402" t="s">
        <v>38</v>
      </c>
      <c r="F8741" s="403" t="s">
        <v>7</v>
      </c>
      <c r="G8741" s="404" t="s">
        <v>43</v>
      </c>
      <c r="H8741" s="405" t="s">
        <v>44</v>
      </c>
    </row>
    <row r="8742" spans="1:8" ht="15.75" customHeight="1" x14ac:dyDescent="0.25">
      <c r="A8742" s="406"/>
      <c r="B8742" s="407"/>
      <c r="C8742" s="393"/>
      <c r="D8742" s="408"/>
      <c r="E8742" s="408"/>
      <c r="F8742" s="409"/>
      <c r="G8742" s="410"/>
      <c r="H8742" s="411"/>
    </row>
    <row r="8743" spans="1:8" ht="15.75" customHeight="1" x14ac:dyDescent="0.25">
      <c r="A8743" s="502"/>
      <c r="B8743" s="557" t="s">
        <v>1102</v>
      </c>
      <c r="C8743" s="558"/>
      <c r="D8743" s="427"/>
      <c r="E8743" s="427"/>
      <c r="F8743" s="391"/>
      <c r="G8743" s="675"/>
      <c r="H8743" s="429"/>
    </row>
    <row r="8744" spans="1:8" ht="15.75" customHeight="1" x14ac:dyDescent="0.25">
      <c r="A8744" s="502" t="s">
        <v>55</v>
      </c>
      <c r="B8744" s="503" t="s">
        <v>68</v>
      </c>
      <c r="C8744" s="390" t="s">
        <v>91</v>
      </c>
      <c r="D8744" s="427">
        <v>2</v>
      </c>
      <c r="E8744" s="427">
        <v>5</v>
      </c>
      <c r="F8744" s="391">
        <f>+E8744*D8744</f>
      </c>
      <c r="G8744" s="427">
        <v>1</v>
      </c>
      <c r="H8744" s="429">
        <f>+G8744*F8744</f>
      </c>
    </row>
    <row r="8745" spans="1:8" ht="15.75" customHeight="1" x14ac:dyDescent="0.25">
      <c r="A8745" s="502"/>
      <c r="B8745" s="557" t="s">
        <v>531</v>
      </c>
      <c r="C8745" s="558"/>
      <c r="D8745" s="427"/>
      <c r="E8745" s="427"/>
      <c r="F8745" s="391"/>
      <c r="G8745" s="427"/>
      <c r="H8745" s="429"/>
    </row>
    <row r="8746" spans="1:8" ht="15.75" customHeight="1" x14ac:dyDescent="0.25">
      <c r="A8746" s="502" t="s">
        <v>59</v>
      </c>
      <c r="B8746" s="503" t="s">
        <v>2180</v>
      </c>
      <c r="C8746" s="825" t="s">
        <v>467</v>
      </c>
      <c r="D8746" s="427">
        <v>4</v>
      </c>
      <c r="E8746" s="427">
        <v>5</v>
      </c>
      <c r="F8746" s="391">
        <f t="shared" ref="F8746:F8748" si="294">+E8746*D8746</f>
      </c>
      <c r="G8746" s="427">
        <v>1</v>
      </c>
      <c r="H8746" s="429">
        <f t="shared" ref="H8746:H8748" si="295">+G8746*F8746</f>
      </c>
    </row>
    <row r="8747" spans="1:8" ht="15.75" customHeight="1" x14ac:dyDescent="0.25">
      <c r="A8747" s="502" t="s">
        <v>67</v>
      </c>
      <c r="B8747" s="503" t="s">
        <v>2181</v>
      </c>
      <c r="C8747" s="825" t="s">
        <v>465</v>
      </c>
      <c r="D8747" s="427">
        <v>1</v>
      </c>
      <c r="E8747" s="427">
        <v>10</v>
      </c>
      <c r="F8747" s="391">
        <f t="shared" si="294"/>
      </c>
      <c r="G8747" s="427">
        <v>1</v>
      </c>
      <c r="H8747" s="429">
        <f t="shared" si="295"/>
      </c>
    </row>
    <row r="8748" spans="1:8" ht="15.75" customHeight="1" x14ac:dyDescent="0.25">
      <c r="A8748" s="502" t="s">
        <v>485</v>
      </c>
      <c r="B8748" s="826" t="s">
        <v>2182</v>
      </c>
      <c r="C8748" s="825" t="s">
        <v>1863</v>
      </c>
      <c r="D8748" s="427">
        <v>2</v>
      </c>
      <c r="E8748" s="427">
        <v>5</v>
      </c>
      <c r="F8748" s="391">
        <f t="shared" si="294"/>
      </c>
      <c r="G8748" s="427">
        <v>1</v>
      </c>
      <c r="H8748" s="429">
        <f t="shared" si="295"/>
      </c>
    </row>
    <row r="8749" spans="1:8" ht="15.75" customHeight="1" x14ac:dyDescent="0.25">
      <c r="A8749" s="502"/>
      <c r="B8749" s="718"/>
      <c r="C8749" s="567"/>
      <c r="D8749" s="427"/>
      <c r="E8749" s="427"/>
      <c r="F8749" s="391"/>
      <c r="G8749" s="427"/>
      <c r="H8749" s="429"/>
    </row>
    <row r="8750" spans="1:8" ht="15.75" customHeight="1" x14ac:dyDescent="0.25">
      <c r="A8750" s="502"/>
      <c r="B8750" s="718"/>
      <c r="C8750" s="567"/>
      <c r="D8750" s="427"/>
      <c r="E8750" s="427"/>
      <c r="F8750" s="391"/>
      <c r="G8750" s="427"/>
      <c r="H8750" s="429"/>
    </row>
    <row r="8751" spans="1:8" ht="15.75" customHeight="1" x14ac:dyDescent="0.25">
      <c r="A8751" s="502"/>
      <c r="B8751" s="718"/>
      <c r="C8751" s="567"/>
      <c r="D8751" s="427"/>
      <c r="E8751" s="427"/>
      <c r="F8751" s="391"/>
      <c r="G8751" s="427"/>
      <c r="H8751" s="429"/>
    </row>
    <row r="8752" spans="1:8" ht="15.75" customHeight="1" x14ac:dyDescent="0.25">
      <c r="A8752" s="432"/>
      <c r="B8752" s="433"/>
      <c r="C8752" s="434" t="s">
        <v>85</v>
      </c>
      <c r="D8752" s="435">
        <f>SUM(D8743:D8751)</f>
      </c>
      <c r="E8752" s="435"/>
      <c r="F8752" s="436"/>
      <c r="G8752" s="437"/>
      <c r="H8752" s="438">
        <f>SUM(H8744:H8751)</f>
      </c>
    </row>
    <row r="8753" spans="1:8" ht="15.75" customHeight="1" x14ac:dyDescent="0.25">
      <c r="A8753" s="439"/>
      <c r="B8753" s="440"/>
      <c r="C8753" s="440"/>
      <c r="D8753" s="441"/>
      <c r="E8753" s="440"/>
      <c r="F8753" s="442"/>
      <c r="G8753" s="443"/>
      <c r="H8753" s="444"/>
    </row>
    <row r="8754" spans="1:8" ht="15.75" customHeight="1" x14ac:dyDescent="0.25">
      <c r="A8754" s="565" t="s">
        <v>1215</v>
      </c>
      <c r="B8754" s="565"/>
      <c r="C8754" s="565"/>
      <c r="D8754" s="565"/>
      <c r="E8754" s="565"/>
      <c r="F8754" s="565"/>
      <c r="G8754" s="565"/>
      <c r="H8754" s="565"/>
    </row>
    <row r="8755" spans="1:8" ht="15.75" customHeight="1" x14ac:dyDescent="0.25">
      <c r="A8755" s="445"/>
      <c r="B8755" s="445"/>
      <c r="C8755" s="445"/>
      <c r="D8755" s="446" t="s">
        <v>97</v>
      </c>
      <c r="E8755" s="445" t="s">
        <v>98</v>
      </c>
      <c r="F8755" s="445"/>
      <c r="G8755" s="390"/>
      <c r="H8755" s="394"/>
    </row>
    <row r="8756" spans="1:8" ht="15.75" customHeight="1" x14ac:dyDescent="0.25">
      <c r="A8756" s="445"/>
      <c r="B8756" s="445"/>
      <c r="C8756" s="445"/>
      <c r="D8756" s="446"/>
      <c r="E8756" s="445"/>
      <c r="F8756" s="445"/>
      <c r="G8756" s="390"/>
      <c r="H8756" s="394"/>
    </row>
    <row r="8757" spans="1:8" ht="15.75" customHeight="1" x14ac:dyDescent="0.25">
      <c r="A8757" s="445"/>
      <c r="B8757" s="445"/>
      <c r="C8757" s="445"/>
      <c r="D8757" s="446"/>
      <c r="E8757" s="445"/>
      <c r="F8757" s="445"/>
      <c r="G8757" s="390"/>
      <c r="H8757" s="394"/>
    </row>
    <row r="8758" spans="1:8" ht="15.75" customHeight="1" x14ac:dyDescent="0.25">
      <c r="A8758" s="445"/>
      <c r="B8758" s="445"/>
      <c r="C8758" s="445"/>
      <c r="D8758" s="446"/>
      <c r="E8758" s="445" t="s">
        <v>99</v>
      </c>
      <c r="F8758" s="445"/>
      <c r="G8758" s="390"/>
      <c r="H8758" s="394"/>
    </row>
    <row r="8759" spans="1:8" ht="15.75" customHeight="1" x14ac:dyDescent="0.25">
      <c r="D8759" s="4"/>
      <c r="H8759" s="4"/>
    </row>
    <row r="8760" spans="1:8" ht="15.75" customHeight="1" x14ac:dyDescent="0.25">
      <c r="D8760" s="4"/>
      <c r="H8760" s="4"/>
    </row>
    <row r="8761" spans="1:8" ht="15.75" customHeight="1" x14ac:dyDescent="0.25">
      <c r="D8761" s="4"/>
      <c r="H8761" s="4"/>
    </row>
    <row r="8762" spans="1:8" ht="15.75" customHeight="1" x14ac:dyDescent="0.25">
      <c r="D8762" s="4"/>
      <c r="H8762" s="4"/>
    </row>
    <row r="8763" spans="1:8" ht="15.75" customHeight="1" x14ac:dyDescent="0.25">
      <c r="D8763" s="4"/>
      <c r="H8763" s="4"/>
    </row>
    <row r="8764" spans="1:8" ht="15.75" customHeight="1" x14ac:dyDescent="0.25">
      <c r="D8764" s="4"/>
      <c r="H8764" s="4"/>
    </row>
    <row r="8765" spans="1:8" ht="15.75" customHeight="1" x14ac:dyDescent="0.25">
      <c r="D8765" s="4"/>
      <c r="H8765" s="4"/>
    </row>
    <row r="8766" spans="1:8" ht="15.75" customHeight="1" x14ac:dyDescent="0.25">
      <c r="D8766" s="4"/>
      <c r="H8766" s="4"/>
    </row>
    <row r="8767" spans="1:8" ht="15.75" customHeight="1" x14ac:dyDescent="0.25">
      <c r="D8767" s="4"/>
      <c r="H8767" s="4"/>
    </row>
    <row r="8768" spans="1:8" ht="15.75" customHeight="1" x14ac:dyDescent="0.25">
      <c r="D8768" s="4"/>
      <c r="H8768" s="4"/>
    </row>
    <row r="8769" spans="1:8" ht="15.75" customHeight="1" x14ac:dyDescent="0.25">
      <c r="D8769" s="4"/>
      <c r="H8769" s="4"/>
    </row>
    <row r="8770" spans="1:8" ht="15.75" customHeight="1" x14ac:dyDescent="0.25">
      <c r="D8770" s="4"/>
      <c r="H8770" s="4"/>
    </row>
    <row r="8771" spans="1:8" ht="15.75" customHeight="1" x14ac:dyDescent="0.25">
      <c r="D8771" s="4"/>
      <c r="H8771" s="4"/>
    </row>
    <row r="8772" spans="1:8" ht="15.75" customHeight="1" x14ac:dyDescent="0.25">
      <c r="D8772" s="4"/>
      <c r="H8772" s="4"/>
    </row>
    <row r="8773" spans="1:8" ht="15.75" customHeight="1" x14ac:dyDescent="0.25">
      <c r="A8773" s="8" t="s">
        <v>14</v>
      </c>
      <c r="B8773" s="8"/>
      <c r="C8773" s="8"/>
      <c r="D8773" s="8"/>
      <c r="E8773" s="8"/>
      <c r="F8773" s="8"/>
      <c r="G8773" s="8"/>
      <c r="H8773" s="8"/>
    </row>
    <row r="8774" spans="1:8" ht="15.75" customHeight="1" x14ac:dyDescent="0.25">
      <c r="A8774" s="388"/>
      <c r="B8774" s="388"/>
      <c r="C8774" s="388"/>
      <c r="D8774" s="389"/>
      <c r="E8774" s="388"/>
      <c r="F8774" s="388"/>
      <c r="G8774" s="388"/>
      <c r="H8774" s="8"/>
    </row>
    <row r="8775" spans="1:8" ht="15.75" customHeight="1" x14ac:dyDescent="0.25">
      <c r="A8775" s="388"/>
      <c r="B8775" s="388"/>
      <c r="C8775" s="389"/>
      <c r="D8775" s="510"/>
      <c r="E8775" s="7"/>
      <c r="F8775" s="7"/>
      <c r="G8775" s="7"/>
      <c r="H8775" s="511"/>
    </row>
    <row r="8776" spans="1:8" ht="15.75" customHeight="1" x14ac:dyDescent="0.25">
      <c r="A8776" s="388"/>
      <c r="B8776" s="388"/>
      <c r="C8776" s="388"/>
      <c r="D8776" s="389"/>
      <c r="E8776" s="388"/>
      <c r="F8776" s="512" t="s">
        <v>18</v>
      </c>
      <c r="G8776" s="513" t="s">
        <v>975</v>
      </c>
      <c r="H8776" s="514"/>
    </row>
    <row r="8777" spans="1:8" ht="15.75" customHeight="1" x14ac:dyDescent="0.25">
      <c r="A8777" s="388" t="s">
        <v>20</v>
      </c>
      <c r="B8777" s="388"/>
      <c r="C8777" s="388"/>
      <c r="D8777" s="389"/>
      <c r="E8777" s="388"/>
      <c r="F8777" s="512" t="s">
        <v>21</v>
      </c>
      <c r="G8777" s="388" t="s">
        <v>1864</v>
      </c>
      <c r="H8777" s="389"/>
    </row>
    <row r="8778" spans="1:8" ht="15.75" customHeight="1" x14ac:dyDescent="0.25">
      <c r="A8778" s="388" t="inlineStr">
        <is>
          <t>Dealer-001</t>
        </is>
      </c>
      <c r="B8778" s="388"/>
      <c r="C8778" s="388"/>
      <c r="D8778" s="389"/>
      <c r="E8778" s="512"/>
      <c r="F8778" s="388"/>
      <c r="G8778" s="388"/>
      <c r="H8778" s="511"/>
    </row>
    <row r="8779" spans="1:8" ht="15.75" customHeight="1" x14ac:dyDescent="0.25">
      <c r="A8779" s="388" t="inlineStr">
        <is>
          <t>Address line (redacted)</t>
        </is>
      </c>
      <c r="B8779" s="388"/>
      <c r="C8779" s="388"/>
      <c r="D8779" s="8"/>
      <c r="E8779" s="388"/>
      <c r="F8779" s="389"/>
      <c r="G8779" s="388"/>
      <c r="H8779" s="511"/>
    </row>
    <row r="8780" spans="1:8" ht="15.75" customHeight="1" x14ac:dyDescent="0.25">
      <c r="A8780" s="388"/>
      <c r="B8780" s="388"/>
      <c r="C8780" s="388"/>
      <c r="D8780" s="8"/>
      <c r="E8780" s="388"/>
      <c r="F8780" s="389"/>
      <c r="G8780" s="388"/>
      <c r="H8780" s="511"/>
    </row>
    <row r="8781" spans="1:8" ht="15.75" customHeight="1" x14ac:dyDescent="0.25">
      <c r="A8781" s="388" t="inlineStr">
        <is>
          <t>Through: Transporter-001</t>
        </is>
      </c>
      <c r="B8781" s="388"/>
      <c r="C8781" s="388"/>
      <c r="D8781" s="8"/>
      <c r="E8781" s="388"/>
      <c r="F8781" s="389"/>
      <c r="G8781" s="388"/>
      <c r="H8781" s="511"/>
    </row>
    <row r="8782" spans="1:8" ht="15.75" customHeight="1" x14ac:dyDescent="0.25">
      <c r="A8782" s="388"/>
      <c r="B8782" s="388" t="inlineStr">
        <is>
          <t>Address line (redacted)</t>
        </is>
      </c>
      <c r="C8782" s="388"/>
      <c r="D8782" s="8"/>
      <c r="E8782" s="388"/>
      <c r="F8782" s="389"/>
      <c r="G8782" s="388"/>
      <c r="H8782" s="511"/>
    </row>
    <row r="8783" spans="1:8" ht="15.75" customHeight="1" x14ac:dyDescent="0.25">
      <c r="A8783" s="388"/>
      <c r="B8783" s="388" t="inlineStr">
        <is>
          <t>Address line (redacted)</t>
        </is>
      </c>
      <c r="C8783" s="388"/>
      <c r="D8783" s="8"/>
      <c r="E8783" s="388"/>
      <c r="F8783" s="389"/>
      <c r="G8783" s="388"/>
      <c r="H8783" s="511"/>
    </row>
    <row r="8784" spans="1:8" ht="15.75" customHeight="1" x14ac:dyDescent="0.25">
      <c r="A8784" s="388"/>
      <c r="B8784" s="388"/>
      <c r="C8784" s="388"/>
      <c r="D8784" s="8"/>
      <c r="E8784" s="388"/>
      <c r="F8784" s="389"/>
      <c r="G8784" s="388"/>
      <c r="H8784" s="511"/>
    </row>
    <row r="8785" spans="1:8" ht="15.75" customHeight="1" x14ac:dyDescent="0.25">
      <c r="A8785" s="388" t="s">
        <v>30</v>
      </c>
      <c r="B8785" s="388"/>
      <c r="C8785" s="388"/>
      <c r="D8785" s="389"/>
      <c r="E8785" s="388"/>
      <c r="F8785" s="389"/>
      <c r="G8785" s="388"/>
      <c r="H8785" s="511"/>
    </row>
    <row r="8786" spans="1:8" ht="15.75" customHeight="1" x14ac:dyDescent="0.25">
      <c r="A8786" s="388"/>
      <c r="B8786" s="388"/>
      <c r="C8786" s="388"/>
      <c r="D8786" s="389"/>
      <c r="E8786" s="388"/>
      <c r="F8786" s="389"/>
      <c r="G8786" s="388"/>
      <c r="H8786" s="511"/>
    </row>
    <row r="8787" spans="1:8" ht="15.75" customHeight="1" x14ac:dyDescent="0.25">
      <c r="A8787" s="388" t="s">
        <v>716</v>
      </c>
      <c r="B8787" s="388"/>
      <c r="C8787" s="388"/>
      <c r="D8787" s="389"/>
      <c r="E8787" s="388"/>
      <c r="F8787" s="389"/>
      <c r="G8787" s="388"/>
      <c r="H8787" s="511"/>
    </row>
    <row r="8788" spans="1:8" ht="15.75" customHeight="1" x14ac:dyDescent="0.25">
      <c r="A8788" s="388" t="s">
        <v>717</v>
      </c>
      <c r="B8788" s="388"/>
      <c r="C8788" s="388"/>
      <c r="D8788" s="389"/>
      <c r="E8788" s="388"/>
      <c r="F8788" s="389"/>
      <c r="G8788" s="388"/>
      <c r="H8788" s="511"/>
    </row>
    <row r="8789" spans="1:8" ht="15.75" customHeight="1" x14ac:dyDescent="0.25">
      <c r="A8789" s="388"/>
      <c r="B8789" s="388"/>
      <c r="C8789" s="388"/>
      <c r="D8789" s="389"/>
      <c r="E8789" s="388"/>
      <c r="F8789" s="389"/>
      <c r="G8789" s="388"/>
      <c r="H8789" s="511"/>
    </row>
    <row r="8790" spans="1:8" ht="15.75" customHeight="1" x14ac:dyDescent="0.25">
      <c r="A8790" s="515" t="s">
        <v>33</v>
      </c>
      <c r="B8790" s="516" t="s">
        <v>6</v>
      </c>
      <c r="C8790" s="516"/>
      <c r="D8790" s="517" t="s">
        <v>37</v>
      </c>
      <c r="E8790" s="518" t="s">
        <v>38</v>
      </c>
      <c r="F8790" s="519" t="s">
        <v>7</v>
      </c>
      <c r="G8790" s="520" t="s">
        <v>43</v>
      </c>
      <c r="H8790" s="522" t="s">
        <v>44</v>
      </c>
    </row>
    <row r="8791" spans="1:8" ht="15.75" customHeight="1" x14ac:dyDescent="0.25">
      <c r="A8791" s="523"/>
      <c r="B8791" s="524"/>
      <c r="C8791" s="7"/>
      <c r="D8791" s="525"/>
      <c r="E8791" s="525"/>
      <c r="F8791" s="526"/>
      <c r="G8791" s="527"/>
      <c r="H8791" s="528"/>
    </row>
    <row r="8792" spans="1:8" ht="15.75" customHeight="1" x14ac:dyDescent="0.25">
      <c r="A8792" s="808"/>
      <c r="B8792" s="654" t="s">
        <v>590</v>
      </c>
      <c r="C8792" s="654"/>
      <c r="D8792" s="809"/>
      <c r="E8792" s="809"/>
      <c r="F8792" s="809"/>
      <c r="G8792" s="809"/>
      <c r="H8792" s="810"/>
    </row>
    <row r="8793" spans="1:8" ht="15.75" customHeight="1" x14ac:dyDescent="0.25">
      <c r="A8793" s="808" t="s">
        <v>55</v>
      </c>
      <c r="B8793" s="811" t="s">
        <v>56</v>
      </c>
      <c r="C8793" s="812" t="s">
        <v>368</v>
      </c>
      <c r="D8793" s="809">
        <v>3</v>
      </c>
      <c r="E8793" s="809">
        <v>6</v>
      </c>
      <c r="F8793" s="809">
        <f t="shared" ref="F8793:F8794" si="296">+E8793*D8793</f>
      </c>
      <c r="G8793" s="809">
        <v>1</v>
      </c>
      <c r="H8793" s="810">
        <f t="shared" ref="H8793:H8794" si="297">+G8793*F8793</f>
      </c>
    </row>
    <row r="8794" spans="1:8" ht="15.75" customHeight="1" x14ac:dyDescent="0.25">
      <c r="A8794" s="808" t="s">
        <v>59</v>
      </c>
      <c r="B8794" s="811" t="s">
        <v>56</v>
      </c>
      <c r="C8794" s="812" t="s">
        <v>368</v>
      </c>
      <c r="D8794" s="809">
        <v>1</v>
      </c>
      <c r="E8794" s="809">
        <v>4</v>
      </c>
      <c r="F8794" s="809">
        <f t="shared" si="296"/>
      </c>
      <c r="G8794" s="809">
        <v>1</v>
      </c>
      <c r="H8794" s="810">
        <f t="shared" si="297"/>
      </c>
    </row>
    <row r="8795" spans="1:8" ht="15.75" customHeight="1" x14ac:dyDescent="0.25">
      <c r="A8795" s="808"/>
      <c r="B8795" s="811"/>
      <c r="C8795" s="812"/>
      <c r="D8795" s="809"/>
      <c r="E8795" s="809"/>
      <c r="F8795" s="809"/>
      <c r="G8795" s="809"/>
      <c r="H8795" s="810"/>
    </row>
    <row r="8796" spans="1:8" ht="15.75" customHeight="1" x14ac:dyDescent="0.25">
      <c r="A8796" s="529"/>
      <c r="B8796" s="535"/>
      <c r="C8796" s="388"/>
      <c r="D8796" s="532"/>
      <c r="E8796" s="532"/>
      <c r="F8796" s="389"/>
      <c r="G8796" s="532"/>
      <c r="H8796" s="533"/>
    </row>
    <row r="8797" spans="1:8" ht="15.75" customHeight="1" x14ac:dyDescent="0.25">
      <c r="A8797" s="536"/>
      <c r="B8797" s="526"/>
      <c r="C8797" s="7"/>
      <c r="D8797" s="532"/>
      <c r="E8797" s="532"/>
      <c r="F8797" s="537"/>
      <c r="G8797" s="538"/>
      <c r="H8797" s="533"/>
    </row>
    <row r="8798" spans="1:8" ht="15.75" customHeight="1" x14ac:dyDescent="0.25">
      <c r="A8798" s="539"/>
      <c r="B8798" s="540"/>
      <c r="C8798" s="541" t="s">
        <v>85</v>
      </c>
      <c r="D8798" s="542">
        <f>SUM(D8793:D8797)</f>
      </c>
      <c r="E8798" s="542"/>
      <c r="F8798" s="543">
        <f>SUM(F8793:F8797)</f>
      </c>
      <c r="G8798" s="544"/>
      <c r="H8798" s="546">
        <f>SUM(H8793:H8797)</f>
      </c>
    </row>
    <row r="8799" spans="1:8" ht="15.75" customHeight="1" x14ac:dyDescent="0.25">
      <c r="A8799" s="547"/>
      <c r="B8799" s="548"/>
      <c r="C8799" s="548"/>
      <c r="D8799" s="549"/>
      <c r="E8799" s="548"/>
      <c r="F8799" s="550"/>
      <c r="G8799" s="551"/>
      <c r="H8799" s="552"/>
    </row>
    <row r="8800" spans="1:8" ht="15.75" customHeight="1" x14ac:dyDescent="0.25">
      <c r="A8800" s="510"/>
      <c r="B8800" s="389"/>
      <c r="C8800" s="389"/>
      <c r="D8800" s="389"/>
      <c r="E8800" s="388"/>
      <c r="F8800" s="510"/>
      <c r="G8800" s="388"/>
      <c r="H8800" s="511"/>
    </row>
    <row r="8801" spans="1:8" ht="15.75" customHeight="1" x14ac:dyDescent="0.25">
      <c r="A8801" s="553"/>
      <c r="B8801" s="553"/>
      <c r="C8801" s="553"/>
      <c r="D8801" s="554" t="s">
        <v>97</v>
      </c>
      <c r="E8801" s="553" t="s">
        <v>98</v>
      </c>
      <c r="F8801" s="553"/>
      <c r="G8801" s="388"/>
      <c r="H8801" s="511"/>
    </row>
    <row r="8802" spans="1:8" ht="15.75" customHeight="1" x14ac:dyDescent="0.25">
      <c r="A8802" s="388"/>
      <c r="B8802" s="388"/>
      <c r="C8802" s="388"/>
      <c r="D8802" s="389"/>
      <c r="E8802" s="388"/>
      <c r="F8802" s="388"/>
      <c r="G8802" s="388"/>
      <c r="H8802" s="511"/>
    </row>
    <row r="8803" spans="1:8" ht="15.75" customHeight="1" x14ac:dyDescent="0.25">
      <c r="A8803" s="388"/>
      <c r="B8803" s="388"/>
      <c r="C8803" s="388"/>
      <c r="D8803" s="389"/>
      <c r="E8803" s="388"/>
      <c r="F8803" s="388"/>
      <c r="G8803" s="388"/>
      <c r="H8803" s="511"/>
    </row>
    <row r="8804" spans="1:8" ht="15.75" customHeight="1" x14ac:dyDescent="0.25">
      <c r="A8804" s="553"/>
      <c r="B8804" s="553"/>
      <c r="C8804" s="553"/>
      <c r="D8804" s="554"/>
      <c r="E8804" s="553" t="s">
        <v>99</v>
      </c>
      <c r="F8804" s="553"/>
      <c r="G8804" s="388"/>
      <c r="H8804" s="511"/>
    </row>
    <row r="8805" spans="1:8" ht="15.75" customHeight="1" x14ac:dyDescent="0.25">
      <c r="D8805" s="4"/>
      <c r="H8805" s="4"/>
    </row>
    <row r="8806" spans="1:8" ht="15.75" customHeight="1" x14ac:dyDescent="0.25">
      <c r="D8806" s="4"/>
      <c r="H8806" s="4"/>
    </row>
    <row r="8807" spans="1:8" ht="15.75" customHeight="1" x14ac:dyDescent="0.25">
      <c r="D8807" s="4"/>
      <c r="H8807" s="4"/>
    </row>
    <row r="8808" spans="1:8" ht="15.75" customHeight="1" x14ac:dyDescent="0.25">
      <c r="D8808" s="4"/>
      <c r="H8808" s="4"/>
    </row>
    <row r="8809" spans="1:8" ht="15.75" customHeight="1" x14ac:dyDescent="0.25">
      <c r="D8809" s="4"/>
      <c r="H8809" s="4"/>
    </row>
    <row r="8810" spans="1:8" ht="15.75" customHeight="1" x14ac:dyDescent="0.25">
      <c r="D8810" s="4"/>
      <c r="H8810" s="4"/>
    </row>
    <row r="8811" spans="1:8" ht="15.75" customHeight="1" x14ac:dyDescent="0.25">
      <c r="D8811" s="4"/>
      <c r="H8811" s="4"/>
    </row>
    <row r="8812" spans="1:8" ht="15.75" customHeight="1" x14ac:dyDescent="0.25">
      <c r="D8812" s="4"/>
      <c r="H8812" s="4"/>
    </row>
    <row r="8813" spans="1:8" ht="15.75" customHeight="1" x14ac:dyDescent="0.25">
      <c r="D8813" s="4"/>
      <c r="H8813" s="4"/>
    </row>
    <row r="8814" spans="1:8" ht="15.75" customHeight="1" x14ac:dyDescent="0.25">
      <c r="D8814" s="4"/>
      <c r="H8814" s="4"/>
    </row>
    <row r="8815" spans="1:8" ht="15.75" customHeight="1" x14ac:dyDescent="0.25">
      <c r="D8815" s="4"/>
      <c r="H8815" s="4"/>
    </row>
    <row r="8816" spans="1:8" ht="15.75" customHeight="1" x14ac:dyDescent="0.25">
      <c r="D8816" s="4"/>
      <c r="H8816" s="4"/>
    </row>
    <row r="8817" spans="1:8" ht="15.75" customHeight="1" x14ac:dyDescent="0.25">
      <c r="D8817" s="4"/>
      <c r="H8817" s="4"/>
    </row>
    <row r="8818" spans="1:8" ht="15.75" customHeight="1" x14ac:dyDescent="0.25">
      <c r="D8818" s="4"/>
      <c r="H8818" s="4"/>
    </row>
    <row r="8819" spans="1:8" ht="15.75" customHeight="1" x14ac:dyDescent="0.25">
      <c r="A8819" s="398" t="s">
        <v>14</v>
      </c>
      <c r="B8819" s="391"/>
      <c r="C8819" s="391"/>
      <c r="D8819" s="391"/>
      <c r="E8819" s="391"/>
      <c r="F8819" s="391"/>
      <c r="G8819" s="391"/>
      <c r="H8819" s="394"/>
    </row>
    <row r="8820" spans="1:8" ht="15.75" customHeight="1" x14ac:dyDescent="0.25">
      <c r="A8820" s="390"/>
      <c r="B8820" s="390"/>
      <c r="C8820" s="390"/>
      <c r="D8820" s="392"/>
      <c r="E8820" s="569"/>
      <c r="F8820" s="391"/>
      <c r="G8820" s="390"/>
      <c r="H8820" s="394"/>
    </row>
    <row r="8821" spans="1:8" ht="15.75" customHeight="1" x14ac:dyDescent="0.25">
      <c r="A8821" s="390"/>
      <c r="B8821" s="390"/>
      <c r="C8821" s="390"/>
      <c r="D8821" s="391"/>
      <c r="E8821" s="390"/>
      <c r="F8821" s="395" t="s">
        <v>18</v>
      </c>
      <c r="G8821" s="390" t="s">
        <v>980</v>
      </c>
      <c r="H8821" s="394"/>
    </row>
    <row r="8822" spans="1:8" ht="15.75" customHeight="1" x14ac:dyDescent="0.25">
      <c r="A8822" s="390"/>
      <c r="B8822" s="390"/>
      <c r="C8822" s="390"/>
      <c r="D8822" s="391"/>
      <c r="E8822" s="390"/>
      <c r="F8822" s="393" t="s">
        <v>21</v>
      </c>
      <c r="G8822" s="390" t="s">
        <v>1866</v>
      </c>
      <c r="H8822" s="394"/>
    </row>
    <row r="8823" spans="1:8" ht="15.75" customHeight="1" x14ac:dyDescent="0.25">
      <c r="A8823" s="390" t="s">
        <v>20</v>
      </c>
      <c r="B8823" s="390"/>
      <c r="C8823" s="390"/>
      <c r="D8823" s="391"/>
      <c r="E8823" s="390"/>
      <c r="F8823" s="391"/>
      <c r="G8823" s="390"/>
      <c r="H8823" s="394"/>
    </row>
    <row r="8824" spans="1:8" ht="15.75" customHeight="1" x14ac:dyDescent="0.25">
      <c r="A8824" s="390" t="inlineStr">
        <is>
          <t>Dealer-011</t>
        </is>
      </c>
      <c r="B8824" s="390"/>
      <c r="C8824" s="390" t="inlineStr">
        <is>
          <t>ATTN: Contact-002</t>
        </is>
      </c>
      <c r="D8824" s="391"/>
      <c r="E8824" s="390"/>
      <c r="F8824" s="391"/>
      <c r="G8824" s="390"/>
      <c r="H8824" s="394"/>
    </row>
    <row r="8825" spans="1:8" ht="15.75" customHeight="1" x14ac:dyDescent="0.25">
      <c r="A8825" s="390" t="inlineStr">
        <is>
          <t>Address line (redacted)</t>
        </is>
      </c>
      <c r="B8825" s="390"/>
      <c r="C8825" s="390"/>
      <c r="D8825" s="391"/>
      <c r="E8825" s="390"/>
      <c r="F8825" s="391"/>
      <c r="G8825" s="390"/>
      <c r="H8825" s="394"/>
    </row>
    <row r="8826" spans="1:8" ht="15.75" customHeight="1" x14ac:dyDescent="0.25">
      <c r="A8826" s="390" t="inlineStr">
        <is>
          <t>Address line (redacted)</t>
        </is>
      </c>
      <c r="B8826" s="390"/>
      <c r="C8826" s="390"/>
      <c r="D8826" s="391"/>
      <c r="E8826" s="390"/>
      <c r="F8826" s="391"/>
      <c r="G8826" s="390"/>
      <c r="H8826" s="394"/>
    </row>
    <row r="8827" spans="1:8" ht="15.75" customHeight="1" x14ac:dyDescent="0.25">
      <c r="A8827" s="390" t="inlineStr">
        <is>
          <t>Address line (redacted)</t>
        </is>
      </c>
      <c r="B8827" s="390"/>
      <c r="C8827" s="390"/>
      <c r="D8827" s="391"/>
      <c r="E8827" s="390"/>
      <c r="F8827" s="391"/>
      <c r="G8827" s="390"/>
      <c r="H8827" s="394"/>
    </row>
    <row r="8828" spans="1:8" ht="15.75" customHeight="1" x14ac:dyDescent="0.25">
      <c r="A8828" s="390"/>
      <c r="B8828" s="390"/>
      <c r="C8828" s="390"/>
      <c r="D8828" s="391"/>
      <c r="E8828" s="390"/>
      <c r="F8828" s="391"/>
      <c r="G8828" s="390"/>
      <c r="H8828" s="394"/>
    </row>
    <row r="8829" spans="1:8" ht="15.75" customHeight="1" x14ac:dyDescent="0.25">
      <c r="A8829" s="390"/>
      <c r="B8829" s="390"/>
      <c r="C8829" s="390"/>
      <c r="D8829" s="391"/>
      <c r="E8829" s="390"/>
      <c r="F8829" s="391"/>
      <c r="G8829" s="390"/>
      <c r="H8829" s="394"/>
    </row>
    <row r="8830" spans="1:8" ht="15.75" customHeight="1" x14ac:dyDescent="0.25">
      <c r="A8830" s="390"/>
      <c r="B8830" s="390"/>
      <c r="C8830" s="390"/>
      <c r="D8830" s="391"/>
      <c r="E8830" s="390"/>
      <c r="F8830" s="391"/>
      <c r="G8830" s="390"/>
      <c r="H8830" s="394"/>
    </row>
    <row r="8831" spans="1:8" ht="15.75" customHeight="1" x14ac:dyDescent="0.25">
      <c r="A8831" s="390" t="s">
        <v>30</v>
      </c>
      <c r="B8831" s="390"/>
      <c r="C8831" s="390"/>
      <c r="D8831" s="391"/>
      <c r="E8831" s="390"/>
      <c r="F8831" s="391"/>
      <c r="G8831" s="390"/>
      <c r="H8831" s="394"/>
    </row>
    <row r="8832" spans="1:8" ht="15.75" customHeight="1" x14ac:dyDescent="0.25">
      <c r="A8832" s="390"/>
      <c r="B8832" s="390"/>
      <c r="C8832" s="390"/>
      <c r="D8832" s="391"/>
      <c r="E8832" s="390"/>
      <c r="F8832" s="391"/>
      <c r="G8832" s="390"/>
      <c r="H8832" s="394"/>
    </row>
    <row r="8833" spans="1:8" ht="15.75" customHeight="1" x14ac:dyDescent="0.25">
      <c r="A8833" s="390" t="s">
        <v>1322</v>
      </c>
      <c r="B8833" s="390"/>
      <c r="C8833" s="390"/>
      <c r="D8833" s="391"/>
      <c r="E8833" s="390"/>
      <c r="F8833" s="391"/>
      <c r="G8833" s="390"/>
      <c r="H8833" s="394"/>
    </row>
    <row r="8834" spans="1:8" ht="15.75" customHeight="1" x14ac:dyDescent="0.25">
      <c r="A8834" s="390" t="s">
        <v>1328</v>
      </c>
      <c r="B8834" s="390"/>
      <c r="C8834" s="390"/>
      <c r="D8834" s="391"/>
      <c r="E8834" s="390"/>
      <c r="F8834" s="391"/>
      <c r="G8834" s="390"/>
      <c r="H8834" s="394"/>
    </row>
    <row r="8835" spans="1:8" ht="15.75" customHeight="1" x14ac:dyDescent="0.25">
      <c r="A8835" s="390"/>
      <c r="B8835" s="390"/>
      <c r="C8835" s="390"/>
      <c r="D8835" s="391"/>
      <c r="E8835" s="390"/>
      <c r="F8835" s="391"/>
      <c r="G8835" s="390"/>
      <c r="H8835" s="394"/>
    </row>
    <row r="8836" spans="1:8" ht="15.75" customHeight="1" x14ac:dyDescent="0.25">
      <c r="A8836" s="399" t="s">
        <v>33</v>
      </c>
      <c r="B8836" s="400" t="s">
        <v>6</v>
      </c>
      <c r="C8836" s="400"/>
      <c r="D8836" s="401" t="s">
        <v>37</v>
      </c>
      <c r="E8836" s="402" t="s">
        <v>38</v>
      </c>
      <c r="F8836" s="403" t="s">
        <v>7</v>
      </c>
      <c r="G8836" s="404" t="s">
        <v>43</v>
      </c>
      <c r="H8836" s="405" t="s">
        <v>44</v>
      </c>
    </row>
    <row r="8837" spans="1:8" ht="15.75" customHeight="1" x14ac:dyDescent="0.25">
      <c r="A8837" s="406"/>
      <c r="B8837" s="407"/>
      <c r="C8837" s="393"/>
      <c r="D8837" s="410"/>
      <c r="E8837" s="408"/>
      <c r="F8837" s="409"/>
      <c r="G8837" s="410"/>
      <c r="H8837" s="411"/>
    </row>
    <row r="8838" spans="1:8" ht="15.75" customHeight="1" x14ac:dyDescent="0.25">
      <c r="A8838" s="412"/>
      <c r="B8838" s="654" t="s">
        <v>1356</v>
      </c>
      <c r="C8838" s="654"/>
      <c r="D8838" s="415"/>
      <c r="E8838" s="415"/>
      <c r="F8838" s="415"/>
      <c r="G8838" s="415"/>
      <c r="H8838" s="416"/>
    </row>
    <row r="8839" spans="1:8" ht="15.75" customHeight="1" x14ac:dyDescent="0.25">
      <c r="A8839" s="412" t="s">
        <v>55</v>
      </c>
      <c r="B8839" s="644" t="s">
        <v>63</v>
      </c>
      <c r="C8839" s="418" t="s">
        <v>54</v>
      </c>
      <c r="D8839" s="415">
        <v>2</v>
      </c>
      <c r="E8839" s="415">
        <v>5</v>
      </c>
      <c r="F8839" s="415">
        <f>+E8839*D8839</f>
      </c>
      <c r="G8839" s="415">
        <v>1</v>
      </c>
      <c r="H8839" s="416">
        <f>+G8839*F8839</f>
      </c>
    </row>
    <row r="8840" spans="1:8" ht="15.75" customHeight="1" x14ac:dyDescent="0.25">
      <c r="A8840" s="581"/>
      <c r="B8840" s="582"/>
      <c r="C8840" s="582"/>
      <c r="D8840" s="415"/>
      <c r="E8840" s="415"/>
      <c r="F8840" s="415"/>
      <c r="G8840" s="415"/>
      <c r="H8840" s="416"/>
    </row>
    <row r="8841" spans="1:8" ht="15.75" customHeight="1" x14ac:dyDescent="0.25">
      <c r="A8841" s="583"/>
      <c r="B8841" s="585"/>
      <c r="C8841" s="585"/>
      <c r="D8841" s="415"/>
      <c r="E8841" s="415"/>
      <c r="F8841" s="588"/>
      <c r="G8841" s="588"/>
      <c r="H8841" s="416"/>
    </row>
    <row r="8842" spans="1:8" ht="15.75" customHeight="1" x14ac:dyDescent="0.25">
      <c r="A8842" s="587"/>
      <c r="B8842" s="418"/>
      <c r="C8842" s="585"/>
      <c r="D8842" s="415"/>
      <c r="E8842" s="415"/>
      <c r="F8842" s="588"/>
      <c r="G8842" s="588"/>
      <c r="H8842" s="416"/>
    </row>
    <row r="8843" spans="1:8" ht="15.75" customHeight="1" x14ac:dyDescent="0.25">
      <c r="A8843" s="430"/>
      <c r="B8843" s="409"/>
      <c r="C8843" s="393"/>
      <c r="D8843" s="427"/>
      <c r="E8843" s="427"/>
      <c r="F8843" s="428"/>
      <c r="G8843" s="431"/>
      <c r="H8843" s="429"/>
    </row>
    <row r="8844" spans="1:8" ht="15.75" customHeight="1" x14ac:dyDescent="0.25">
      <c r="A8844" s="432"/>
      <c r="B8844" s="433"/>
      <c r="C8844" s="434" t="s">
        <v>85</v>
      </c>
      <c r="D8844" s="436">
        <f>SUM(D8839:D8843)</f>
      </c>
      <c r="E8844" s="436"/>
      <c r="F8844" s="436"/>
      <c r="G8844" s="437"/>
      <c r="H8844" s="623">
        <f>SUM(H8839:H8843)</f>
      </c>
    </row>
    <row r="8845" spans="1:8" ht="15.75" customHeight="1" x14ac:dyDescent="0.25">
      <c r="A8845" s="439"/>
      <c r="B8845" s="440"/>
      <c r="C8845" s="440"/>
      <c r="D8845" s="441"/>
      <c r="E8845" s="440"/>
      <c r="F8845" s="442"/>
      <c r="G8845" s="443"/>
      <c r="H8845" s="444"/>
    </row>
    <row r="8846" spans="1:8" ht="15.75" customHeight="1" x14ac:dyDescent="0.3">
      <c r="A8846" s="196" t="s">
        <v>1831</v>
      </c>
      <c r="B8846" s="391"/>
      <c r="C8846" s="391"/>
      <c r="D8846" s="391"/>
      <c r="E8846" s="390"/>
      <c r="F8846" s="392"/>
      <c r="G8846" s="390"/>
      <c r="H8846" s="394"/>
    </row>
    <row r="8847" spans="1:8" ht="15.75" customHeight="1" x14ac:dyDescent="0.25">
      <c r="A8847" s="445"/>
      <c r="B8847" s="445"/>
      <c r="C8847" s="445"/>
      <c r="D8847" s="446" t="s">
        <v>97</v>
      </c>
      <c r="E8847" s="445" t="s">
        <v>98</v>
      </c>
      <c r="F8847" s="445"/>
      <c r="G8847" s="390"/>
      <c r="H8847" s="394"/>
    </row>
    <row r="8848" spans="1:8" ht="15.75" customHeight="1" x14ac:dyDescent="0.25">
      <c r="A8848" s="390"/>
      <c r="B8848" s="390"/>
      <c r="C8848" s="390"/>
      <c r="D8848" s="391"/>
      <c r="E8848" s="390"/>
      <c r="F8848" s="390"/>
      <c r="G8848" s="390"/>
      <c r="H8848" s="394"/>
    </row>
    <row r="8849" spans="1:8" ht="15.75" customHeight="1" x14ac:dyDescent="0.25">
      <c r="A8849" s="390"/>
      <c r="B8849" s="390"/>
      <c r="C8849" s="390"/>
      <c r="D8849" s="391"/>
      <c r="E8849" s="390"/>
      <c r="F8849" s="390"/>
      <c r="G8849" s="390"/>
      <c r="H8849" s="394"/>
    </row>
    <row r="8850" spans="1:8" ht="15.75" customHeight="1" x14ac:dyDescent="0.25">
      <c r="A8850" s="445"/>
      <c r="B8850" s="445"/>
      <c r="C8850" s="445"/>
      <c r="D8850" s="446"/>
      <c r="E8850" s="445" t="s">
        <v>99</v>
      </c>
      <c r="F8850" s="445"/>
      <c r="G8850" s="390"/>
      <c r="H8850" s="394"/>
    </row>
    <row r="8851" spans="1:8" ht="15.75" customHeight="1" x14ac:dyDescent="0.25">
      <c r="D8851" s="4"/>
      <c r="H8851" s="4"/>
    </row>
    <row r="8852" spans="1:8" ht="15.75" customHeight="1" x14ac:dyDescent="0.25">
      <c r="D8852" s="4"/>
      <c r="H8852" s="4"/>
    </row>
    <row r="8853" spans="1:8" ht="15.75" customHeight="1" x14ac:dyDescent="0.25">
      <c r="D8853" s="4"/>
      <c r="H8853" s="4"/>
    </row>
    <row r="8854" spans="1:8" ht="15.75" customHeight="1" x14ac:dyDescent="0.25">
      <c r="D8854" s="4"/>
      <c r="H8854" s="4"/>
    </row>
    <row r="8855" spans="1:8" ht="15.75" customHeight="1" x14ac:dyDescent="0.25">
      <c r="D8855" s="4"/>
      <c r="H8855" s="4"/>
    </row>
    <row r="8856" spans="1:8" ht="15.75" customHeight="1" x14ac:dyDescent="0.25">
      <c r="D8856" s="4"/>
      <c r="H8856" s="4"/>
    </row>
    <row r="8857" spans="1:8" ht="15.75" customHeight="1" x14ac:dyDescent="0.25">
      <c r="D8857" s="4"/>
      <c r="H8857" s="4"/>
    </row>
    <row r="8858" spans="1:8" ht="15.75" customHeight="1" x14ac:dyDescent="0.25">
      <c r="D8858" s="4"/>
      <c r="H8858" s="4"/>
    </row>
    <row r="8859" spans="1:8" ht="15.75" customHeight="1" x14ac:dyDescent="0.25">
      <c r="D8859" s="4"/>
      <c r="H8859" s="4"/>
    </row>
    <row r="8860" spans="1:8" ht="15.75" customHeight="1" x14ac:dyDescent="0.25">
      <c r="D8860" s="4"/>
      <c r="H8860" s="4"/>
    </row>
    <row r="8861" spans="1:8" ht="15.75" customHeight="1" x14ac:dyDescent="0.25">
      <c r="D8861" s="4"/>
      <c r="H8861" s="4"/>
    </row>
    <row r="8862" spans="1:8" ht="15.75" customHeight="1" x14ac:dyDescent="0.25">
      <c r="D8862" s="4"/>
      <c r="H8862" s="4"/>
    </row>
    <row r="8863" spans="1:8" ht="15.75" customHeight="1" x14ac:dyDescent="0.25">
      <c r="D8863" s="4"/>
      <c r="H8863" s="4"/>
    </row>
    <row r="8864" spans="1:8" ht="15.75" customHeight="1" x14ac:dyDescent="0.25">
      <c r="D8864" s="4"/>
      <c r="H8864" s="4"/>
    </row>
    <row r="8865" spans="1:8" ht="15.75" customHeight="1" x14ac:dyDescent="0.25">
      <c r="A8865" s="8" t="s">
        <v>14</v>
      </c>
      <c r="B8865" s="8"/>
      <c r="C8865" s="8"/>
      <c r="D8865" s="8"/>
      <c r="E8865" s="8"/>
      <c r="F8865" s="8"/>
      <c r="G8865" s="8"/>
      <c r="H8865" s="8"/>
    </row>
    <row r="8866" spans="1:8" ht="15.75" customHeight="1" x14ac:dyDescent="0.25">
      <c r="A8866" s="388"/>
      <c r="B8866" s="388"/>
      <c r="C8866" s="388"/>
      <c r="D8866" s="389"/>
      <c r="E8866" s="388"/>
      <c r="F8866" s="388"/>
      <c r="G8866" s="388"/>
      <c r="H8866" s="8"/>
    </row>
    <row r="8867" spans="1:8" ht="15.75" customHeight="1" x14ac:dyDescent="0.25">
      <c r="A8867" s="390"/>
      <c r="B8867" s="390"/>
      <c r="C8867" s="391"/>
      <c r="D8867" s="392"/>
      <c r="E8867" s="393"/>
      <c r="F8867" s="393"/>
      <c r="G8867" s="393"/>
      <c r="H8867" s="394"/>
    </row>
    <row r="8868" spans="1:8" ht="15.75" customHeight="1" x14ac:dyDescent="0.25">
      <c r="A8868" s="390"/>
      <c r="B8868" s="390"/>
      <c r="C8868" s="390"/>
      <c r="D8868" s="391"/>
      <c r="E8868" s="390"/>
      <c r="F8868" s="395" t="s">
        <v>18</v>
      </c>
      <c r="G8868" s="396" t="s">
        <v>980</v>
      </c>
      <c r="H8868" s="397"/>
    </row>
    <row r="8869" spans="1:8" ht="15.75" customHeight="1" x14ac:dyDescent="0.25">
      <c r="A8869" s="390" t="s">
        <v>20</v>
      </c>
      <c r="B8869" s="390"/>
      <c r="C8869" s="390"/>
      <c r="D8869" s="391"/>
      <c r="E8869" s="390"/>
      <c r="F8869" s="395" t="s">
        <v>21</v>
      </c>
      <c r="G8869" s="390" t="s">
        <v>1867</v>
      </c>
      <c r="H8869" s="391"/>
    </row>
    <row r="8870" spans="1:8" ht="15.75" customHeight="1" x14ac:dyDescent="0.25">
      <c r="A8870" s="390" t="inlineStr">
        <is>
          <t>Dealer-004</t>
        </is>
      </c>
      <c r="B8870" s="390"/>
      <c r="C8870" s="390"/>
      <c r="D8870" s="398"/>
      <c r="E8870" s="390"/>
      <c r="F8870" s="391"/>
      <c r="G8870" s="390"/>
      <c r="H8870" s="394"/>
    </row>
    <row r="8871" spans="1:8" ht="15.75" customHeight="1" x14ac:dyDescent="0.25">
      <c r="A8871" s="390" t="inlineStr">
        <is>
          <t>Address line (redacted)</t>
        </is>
      </c>
      <c r="B8871" s="390"/>
      <c r="C8871" s="390"/>
      <c r="D8871" s="398"/>
      <c r="E8871" s="390"/>
      <c r="F8871" s="391"/>
      <c r="G8871" s="390"/>
      <c r="H8871" s="394"/>
    </row>
    <row r="8872" spans="1:8" ht="15.75" customHeight="1" x14ac:dyDescent="0.25">
      <c r="A8872" s="390" t="inlineStr">
        <is>
          <t>Address line (redacted)</t>
        </is>
      </c>
      <c r="B8872" s="390"/>
      <c r="C8872" s="390"/>
      <c r="D8872" s="391"/>
      <c r="E8872" s="390"/>
      <c r="F8872" s="391"/>
      <c r="G8872" s="390"/>
      <c r="H8872" s="394"/>
    </row>
    <row r="8873" spans="1:8" ht="15.75" customHeight="1" x14ac:dyDescent="0.25">
      <c r="A8873" s="390"/>
      <c r="B8873" s="390"/>
      <c r="C8873" s="390"/>
      <c r="D8873" s="391"/>
      <c r="E8873" s="390"/>
      <c r="F8873" s="391"/>
      <c r="G8873" s="390"/>
      <c r="H8873" s="394"/>
    </row>
    <row r="8874" spans="1:8" ht="15.75" customHeight="1" x14ac:dyDescent="0.25">
      <c r="A8874" s="390" t="s">
        <v>30</v>
      </c>
      <c r="B8874" s="390"/>
      <c r="C8874" s="390"/>
      <c r="D8874" s="391"/>
      <c r="E8874" s="390"/>
      <c r="F8874" s="391"/>
      <c r="G8874" s="390"/>
      <c r="H8874" s="394"/>
    </row>
    <row r="8875" spans="1:8" ht="15.75" customHeight="1" x14ac:dyDescent="0.25">
      <c r="A8875" s="390"/>
      <c r="B8875" s="390"/>
      <c r="C8875" s="390"/>
      <c r="D8875" s="391"/>
      <c r="E8875" s="390"/>
      <c r="F8875" s="391"/>
      <c r="G8875" s="390"/>
      <c r="H8875" s="394"/>
    </row>
    <row r="8876" spans="1:8" ht="15.75" customHeight="1" x14ac:dyDescent="0.25">
      <c r="A8876" s="390" t="s">
        <v>716</v>
      </c>
      <c r="B8876" s="390"/>
      <c r="C8876" s="390"/>
      <c r="D8876" s="391"/>
      <c r="E8876" s="390"/>
      <c r="F8876" s="391"/>
      <c r="G8876" s="390"/>
      <c r="H8876" s="394"/>
    </row>
    <row r="8877" spans="1:8" ht="15.75" customHeight="1" x14ac:dyDescent="0.25">
      <c r="A8877" s="390" t="s">
        <v>717</v>
      </c>
      <c r="B8877" s="390"/>
      <c r="C8877" s="390"/>
      <c r="D8877" s="391"/>
      <c r="E8877" s="390"/>
      <c r="F8877" s="391"/>
      <c r="G8877" s="390"/>
      <c r="H8877" s="394"/>
    </row>
    <row r="8878" spans="1:8" ht="15.75" customHeight="1" x14ac:dyDescent="0.25">
      <c r="A8878" s="390"/>
      <c r="B8878" s="390"/>
      <c r="C8878" s="390"/>
      <c r="D8878" s="391"/>
      <c r="E8878" s="390"/>
      <c r="F8878" s="391"/>
      <c r="G8878" s="390"/>
      <c r="H8878" s="394"/>
    </row>
    <row r="8879" spans="1:8" ht="15.75" customHeight="1" x14ac:dyDescent="0.25">
      <c r="A8879" s="399" t="s">
        <v>33</v>
      </c>
      <c r="B8879" s="400" t="s">
        <v>6</v>
      </c>
      <c r="C8879" s="400"/>
      <c r="D8879" s="401" t="s">
        <v>37</v>
      </c>
      <c r="E8879" s="402" t="s">
        <v>38</v>
      </c>
      <c r="F8879" s="403" t="s">
        <v>7</v>
      </c>
      <c r="G8879" s="404" t="s">
        <v>43</v>
      </c>
      <c r="H8879" s="405" t="s">
        <v>44</v>
      </c>
    </row>
    <row r="8880" spans="1:8" ht="15.75" customHeight="1" x14ac:dyDescent="0.25">
      <c r="A8880" s="406"/>
      <c r="B8880" s="407"/>
      <c r="C8880" s="393"/>
      <c r="D8880" s="408"/>
      <c r="E8880" s="408"/>
      <c r="F8880" s="409"/>
      <c r="G8880" s="410"/>
      <c r="H8880" s="411"/>
    </row>
    <row r="8881" spans="1:8" ht="15.75" customHeight="1" x14ac:dyDescent="0.25">
      <c r="A8881" s="412"/>
      <c r="B8881" s="413" t="s">
        <v>1868</v>
      </c>
      <c r="C8881" s="414"/>
      <c r="D8881" s="415"/>
      <c r="E8881" s="415"/>
      <c r="F8881" s="415"/>
      <c r="G8881" s="415"/>
      <c r="H8881" s="416"/>
    </row>
    <row r="8882" spans="1:8" ht="15.75" customHeight="1" x14ac:dyDescent="0.25">
      <c r="A8882" s="412" t="s">
        <v>55</v>
      </c>
      <c r="B8882" s="417" t="s">
        <v>1628</v>
      </c>
      <c r="C8882" s="418"/>
      <c r="D8882" s="415">
        <v>2</v>
      </c>
      <c r="E8882" s="415">
        <v>10</v>
      </c>
      <c r="F8882" s="415">
        <f>+E8882*D8882</f>
      </c>
      <c r="G8882" s="415">
        <v>1</v>
      </c>
      <c r="H8882" s="416">
        <f>+G8882*F8882</f>
      </c>
    </row>
    <row r="8883" spans="1:8" ht="15.75" customHeight="1" x14ac:dyDescent="0.25">
      <c r="A8883" s="412"/>
      <c r="B8883" s="422" t="s">
        <v>590</v>
      </c>
      <c r="C8883" s="422"/>
      <c r="D8883" s="415"/>
      <c r="E8883" s="415"/>
      <c r="F8883" s="415"/>
      <c r="G8883" s="415"/>
      <c r="H8883" s="416"/>
    </row>
    <row r="8884" spans="1:8" ht="15.75" customHeight="1" x14ac:dyDescent="0.25">
      <c r="A8884" s="412" t="s">
        <v>59</v>
      </c>
      <c r="B8884" s="417" t="s">
        <v>1718</v>
      </c>
      <c r="C8884" s="418" t="s">
        <v>379</v>
      </c>
      <c r="D8884" s="415">
        <v>1</v>
      </c>
      <c r="E8884" s="415">
        <v>4</v>
      </c>
      <c r="F8884" s="415">
        <f>+E8884*D8884</f>
      </c>
      <c r="G8884" s="415">
        <v>1</v>
      </c>
      <c r="H8884" s="416">
        <f>+G8884*F8884</f>
      </c>
    </row>
    <row r="8885" spans="1:8" ht="15.75" customHeight="1" x14ac:dyDescent="0.25">
      <c r="A8885" s="425"/>
      <c r="B8885" s="426"/>
      <c r="C8885" s="390"/>
      <c r="D8885" s="427"/>
      <c r="E8885" s="427"/>
      <c r="F8885" s="428"/>
      <c r="G8885" s="427"/>
      <c r="H8885" s="429"/>
    </row>
    <row r="8886" spans="1:8" ht="15.75" customHeight="1" x14ac:dyDescent="0.25">
      <c r="A8886" s="425"/>
      <c r="B8886" s="426"/>
      <c r="C8886" s="390"/>
      <c r="D8886" s="427"/>
      <c r="E8886" s="427"/>
      <c r="F8886" s="428"/>
      <c r="G8886" s="427"/>
      <c r="H8886" s="429"/>
    </row>
    <row r="8887" spans="1:8" ht="15.75" customHeight="1" x14ac:dyDescent="0.25">
      <c r="A8887" s="425"/>
      <c r="B8887" s="426"/>
      <c r="C8887" s="390"/>
      <c r="D8887" s="427"/>
      <c r="E8887" s="427"/>
      <c r="F8887" s="428"/>
      <c r="G8887" s="427"/>
      <c r="H8887" s="429"/>
    </row>
    <row r="8888" spans="1:8" ht="15.75" customHeight="1" x14ac:dyDescent="0.25">
      <c r="A8888" s="430"/>
      <c r="B8888" s="409"/>
      <c r="C8888" s="393"/>
      <c r="D8888" s="427"/>
      <c r="E8888" s="427"/>
      <c r="F8888" s="428"/>
      <c r="G8888" s="431"/>
      <c r="H8888" s="429"/>
    </row>
    <row r="8889" spans="1:8" ht="15.75" customHeight="1" x14ac:dyDescent="0.25">
      <c r="A8889" s="432"/>
      <c r="B8889" s="433"/>
      <c r="C8889" s="434" t="s">
        <v>85</v>
      </c>
      <c r="D8889" s="435">
        <f>SUM(D8881:D8888)</f>
      </c>
      <c r="E8889" s="435"/>
      <c r="F8889" s="436"/>
      <c r="G8889" s="437"/>
      <c r="H8889" s="438">
        <f>SUM(H8882:H8888)</f>
      </c>
    </row>
    <row r="8890" spans="1:8" ht="15.75" customHeight="1" x14ac:dyDescent="0.25">
      <c r="A8890" s="439"/>
      <c r="B8890" s="440"/>
      <c r="C8890" s="440"/>
      <c r="D8890" s="441"/>
      <c r="E8890" s="440"/>
      <c r="F8890" s="442"/>
      <c r="G8890" s="443"/>
      <c r="H8890" s="444"/>
    </row>
    <row r="8891" spans="1:8" ht="15.75" customHeight="1" x14ac:dyDescent="0.25">
      <c r="A8891" s="392" t="s">
        <v>913</v>
      </c>
      <c r="B8891" s="391"/>
      <c r="C8891" s="391"/>
      <c r="D8891" s="391"/>
      <c r="E8891" s="390"/>
      <c r="F8891" s="392"/>
      <c r="G8891" s="390"/>
      <c r="H8891" s="394"/>
    </row>
    <row r="8892" spans="1:8" ht="15.75" customHeight="1" x14ac:dyDescent="0.25">
      <c r="A8892" s="445"/>
      <c r="B8892" s="445"/>
      <c r="C8892" s="445"/>
      <c r="D8892" s="446" t="s">
        <v>97</v>
      </c>
      <c r="E8892" s="445" t="s">
        <v>98</v>
      </c>
      <c r="F8892" s="445"/>
      <c r="G8892" s="390"/>
      <c r="H8892" s="394"/>
    </row>
    <row r="8893" spans="1:8" ht="15.75" customHeight="1" x14ac:dyDescent="0.25">
      <c r="A8893" s="390"/>
      <c r="B8893" s="390"/>
      <c r="C8893" s="390"/>
      <c r="D8893" s="391"/>
      <c r="E8893" s="390"/>
      <c r="F8893" s="390"/>
      <c r="G8893" s="390"/>
      <c r="H8893" s="394"/>
    </row>
    <row r="8894" spans="1:8" ht="15.75" customHeight="1" x14ac:dyDescent="0.25">
      <c r="A8894" s="390"/>
      <c r="B8894" s="390"/>
      <c r="C8894" s="390"/>
      <c r="D8894" s="391"/>
      <c r="E8894" s="390"/>
      <c r="F8894" s="390"/>
      <c r="G8894" s="390"/>
      <c r="H8894" s="394"/>
    </row>
    <row r="8895" spans="1:8" ht="15.75" customHeight="1" x14ac:dyDescent="0.25">
      <c r="A8895" s="445"/>
      <c r="B8895" s="445"/>
      <c r="C8895" s="445"/>
      <c r="D8895" s="446"/>
      <c r="E8895" s="445" t="s">
        <v>99</v>
      </c>
      <c r="F8895" s="445"/>
      <c r="G8895" s="390"/>
      <c r="H8895" s="394"/>
    </row>
    <row r="8896" spans="1:8" ht="15.75" customHeight="1" x14ac:dyDescent="0.25">
      <c r="D8896" s="4"/>
      <c r="H8896" s="4"/>
    </row>
    <row r="8897" spans="1:8" ht="15.75" customHeight="1" x14ac:dyDescent="0.25">
      <c r="D8897" s="4"/>
      <c r="H8897" s="4"/>
    </row>
    <row r="8898" spans="1:8" ht="15.75" customHeight="1" x14ac:dyDescent="0.25">
      <c r="D8898" s="4"/>
      <c r="H8898" s="4"/>
    </row>
    <row r="8899" spans="1:8" ht="15.75" customHeight="1" x14ac:dyDescent="0.25">
      <c r="D8899" s="4"/>
      <c r="H8899" s="4"/>
    </row>
    <row r="8900" spans="1:8" ht="15.75" customHeight="1" x14ac:dyDescent="0.25">
      <c r="D8900" s="4"/>
      <c r="H8900" s="4"/>
    </row>
    <row r="8901" spans="1:8" ht="15.75" customHeight="1" x14ac:dyDescent="0.25">
      <c r="D8901" s="4"/>
      <c r="H8901" s="4"/>
    </row>
    <row r="8902" spans="1:8" ht="15.75" customHeight="1" x14ac:dyDescent="0.25">
      <c r="D8902" s="4"/>
      <c r="H8902" s="4"/>
    </row>
    <row r="8903" spans="1:8" ht="15.75" customHeight="1" x14ac:dyDescent="0.25">
      <c r="D8903" s="4"/>
      <c r="H8903" s="4"/>
    </row>
    <row r="8904" spans="1:8" ht="15.75" customHeight="1" x14ac:dyDescent="0.25">
      <c r="D8904" s="4"/>
      <c r="H8904" s="4"/>
    </row>
    <row r="8905" spans="1:8" ht="15.75" customHeight="1" x14ac:dyDescent="0.25">
      <c r="D8905" s="4"/>
      <c r="H8905" s="4"/>
    </row>
    <row r="8906" spans="1:8" ht="15.75" customHeight="1" x14ac:dyDescent="0.25">
      <c r="D8906" s="4"/>
      <c r="H8906" s="4"/>
    </row>
    <row r="8907" spans="1:8" ht="15.75" customHeight="1" x14ac:dyDescent="0.25">
      <c r="D8907" s="4"/>
      <c r="H8907" s="4"/>
    </row>
    <row r="8908" spans="1:8" ht="15.75" customHeight="1" x14ac:dyDescent="0.25">
      <c r="D8908" s="4"/>
      <c r="H8908" s="4"/>
    </row>
    <row r="8909" spans="1:8" ht="15.75" customHeight="1" x14ac:dyDescent="0.25">
      <c r="D8909" s="4"/>
      <c r="H8909" s="4"/>
    </row>
    <row r="8910" spans="1:8" ht="15.75" customHeight="1" x14ac:dyDescent="0.25">
      <c r="D8910" s="4"/>
      <c r="H8910" s="4"/>
    </row>
    <row r="8911" spans="1:8" ht="15.75" customHeight="1" x14ac:dyDescent="0.25">
      <c r="A8911" s="398" t="s">
        <v>14</v>
      </c>
      <c r="B8911" s="398"/>
      <c r="C8911" s="398"/>
      <c r="D8911" s="398"/>
      <c r="E8911" s="398"/>
      <c r="F8911" s="398"/>
      <c r="G8911" s="398"/>
      <c r="H8911" s="398"/>
    </row>
    <row r="8912" spans="1:8" ht="15.75" customHeight="1" x14ac:dyDescent="0.25">
      <c r="A8912" s="398"/>
      <c r="B8912" s="398"/>
      <c r="C8912" s="398"/>
      <c r="D8912" s="398"/>
      <c r="E8912" s="398"/>
      <c r="F8912" s="398"/>
      <c r="G8912" s="398"/>
      <c r="H8912" s="398"/>
    </row>
    <row r="8913" spans="1:8" ht="15.75" customHeight="1" x14ac:dyDescent="0.25">
      <c r="A8913" s="390"/>
      <c r="B8913" s="390"/>
      <c r="C8913" s="390"/>
      <c r="D8913" s="391"/>
      <c r="E8913" s="390"/>
      <c r="F8913" s="395" t="s">
        <v>18</v>
      </c>
      <c r="G8913" s="396" t="s">
        <v>980</v>
      </c>
      <c r="H8913" s="397"/>
    </row>
    <row r="8914" spans="1:8" ht="15.75" customHeight="1" x14ac:dyDescent="0.25">
      <c r="A8914" s="390" t="s">
        <v>20</v>
      </c>
      <c r="B8914" s="390"/>
      <c r="C8914" s="390"/>
      <c r="D8914" s="391"/>
      <c r="E8914" s="390"/>
      <c r="F8914" s="395" t="s">
        <v>21</v>
      </c>
      <c r="G8914" s="390" t="s">
        <v>1424</v>
      </c>
      <c r="H8914" s="391"/>
    </row>
    <row r="8915" spans="1:8" ht="15.75" customHeight="1" x14ac:dyDescent="0.25">
      <c r="A8915" s="390" t="inlineStr">
        <is>
          <t>Dealer-009</t>
        </is>
      </c>
      <c r="B8915" s="390"/>
      <c r="C8915" s="390" t="inlineStr">
        <is>
          <t>ATTN: Contact-001</t>
        </is>
      </c>
      <c r="D8915" s="391"/>
      <c r="E8915" s="395"/>
      <c r="F8915" s="390"/>
      <c r="G8915" s="390"/>
      <c r="H8915" s="394"/>
    </row>
    <row r="8916" spans="1:8" ht="15.75" customHeight="1" x14ac:dyDescent="0.25">
      <c r="A8916" s="390" t="inlineStr">
        <is>
          <t>Address line (redacted)</t>
        </is>
      </c>
      <c r="B8916" s="390"/>
      <c r="C8916" s="390"/>
      <c r="D8916" s="398"/>
      <c r="E8916" s="390"/>
      <c r="F8916" s="391"/>
      <c r="G8916" s="390"/>
      <c r="H8916" s="394"/>
    </row>
    <row r="8917" spans="1:8" ht="15.75" customHeight="1" x14ac:dyDescent="0.25">
      <c r="A8917" s="390" t="inlineStr">
        <is>
          <t>Address line (redacted)</t>
        </is>
      </c>
      <c r="B8917" s="390"/>
      <c r="C8917" s="390"/>
      <c r="D8917" s="398"/>
      <c r="E8917" s="390"/>
      <c r="F8917" s="391"/>
      <c r="G8917" s="390"/>
      <c r="H8917" s="394"/>
    </row>
    <row r="8918" spans="1:8" ht="15.75" customHeight="1" x14ac:dyDescent="0.25">
      <c r="A8918" s="447"/>
      <c r="B8918" s="390"/>
      <c r="C8918" s="390"/>
      <c r="D8918" s="391"/>
      <c r="E8918" s="390"/>
      <c r="F8918" s="391"/>
      <c r="G8918" s="390"/>
      <c r="H8918" s="394"/>
    </row>
    <row r="8919" spans="1:8" ht="15.75" customHeight="1" x14ac:dyDescent="0.25">
      <c r="A8919" s="390" t="s">
        <v>30</v>
      </c>
      <c r="B8919" s="390"/>
      <c r="C8919" s="390"/>
      <c r="D8919" s="391"/>
      <c r="E8919" s="390"/>
      <c r="F8919" s="391"/>
      <c r="G8919" s="390"/>
      <c r="H8919" s="394"/>
    </row>
    <row r="8920" spans="1:8" ht="15.75" customHeight="1" x14ac:dyDescent="0.25">
      <c r="A8920" s="390" t="s">
        <v>1322</v>
      </c>
      <c r="B8920" s="390"/>
      <c r="C8920" s="390"/>
      <c r="D8920" s="391"/>
      <c r="E8920" s="390"/>
      <c r="F8920" s="391"/>
      <c r="G8920" s="390"/>
      <c r="H8920" s="394"/>
    </row>
    <row r="8921" spans="1:8" ht="15.75" customHeight="1" x14ac:dyDescent="0.25">
      <c r="A8921" s="390" t="s">
        <v>1328</v>
      </c>
      <c r="B8921" s="390"/>
      <c r="C8921" s="390"/>
      <c r="D8921" s="391"/>
      <c r="E8921" s="390"/>
      <c r="F8921" s="391"/>
      <c r="G8921" s="390"/>
      <c r="H8921" s="394"/>
    </row>
    <row r="8922" spans="1:8" ht="15.75" customHeight="1" x14ac:dyDescent="0.25">
      <c r="A8922" s="399" t="s">
        <v>33</v>
      </c>
      <c r="B8922" s="400" t="s">
        <v>6</v>
      </c>
      <c r="C8922" s="400"/>
      <c r="D8922" s="401" t="s">
        <v>37</v>
      </c>
      <c r="E8922" s="402" t="s">
        <v>38</v>
      </c>
      <c r="F8922" s="403" t="s">
        <v>7</v>
      </c>
      <c r="G8922" s="404" t="s">
        <v>43</v>
      </c>
      <c r="H8922" s="405" t="s">
        <v>44</v>
      </c>
    </row>
    <row r="8923" spans="1:8" ht="15.75" customHeight="1" x14ac:dyDescent="0.25">
      <c r="A8923" s="406"/>
      <c r="B8923" s="407"/>
      <c r="C8923" s="393"/>
      <c r="D8923" s="408"/>
      <c r="E8923" s="408"/>
      <c r="F8923" s="409"/>
      <c r="G8923" s="410"/>
      <c r="H8923" s="411"/>
    </row>
    <row r="8924" spans="1:8" ht="15.75" customHeight="1" x14ac:dyDescent="0.25">
      <c r="A8924" s="502"/>
      <c r="B8924" s="557" t="s">
        <v>590</v>
      </c>
      <c r="C8924" s="558"/>
      <c r="D8924" s="427"/>
      <c r="E8924" s="427"/>
      <c r="F8924" s="391"/>
      <c r="G8924" s="675"/>
      <c r="H8924" s="429"/>
    </row>
    <row r="8925" spans="1:8" ht="15.75" customHeight="1" x14ac:dyDescent="0.25">
      <c r="A8925" s="502" t="s">
        <v>55</v>
      </c>
      <c r="B8925" s="718" t="s">
        <v>1718</v>
      </c>
      <c r="C8925" s="418" t="s">
        <v>379</v>
      </c>
      <c r="D8925" s="427">
        <v>1</v>
      </c>
      <c r="E8925" s="427">
        <v>5</v>
      </c>
      <c r="F8925" s="391">
        <f>+E8925*D8925</f>
      </c>
      <c r="G8925" s="427">
        <v>1</v>
      </c>
      <c r="H8925" s="429">
        <f>+G8925*F8925</f>
      </c>
    </row>
    <row r="8926" spans="1:8" ht="15.75" customHeight="1" x14ac:dyDescent="0.25">
      <c r="A8926" s="502"/>
      <c r="B8926" s="557" t="s">
        <v>1356</v>
      </c>
      <c r="C8926" s="560"/>
      <c r="D8926" s="427"/>
      <c r="E8926" s="427"/>
      <c r="F8926" s="391"/>
      <c r="G8926" s="675"/>
      <c r="H8926" s="429"/>
    </row>
    <row r="8927" spans="1:8" ht="15.75" customHeight="1" x14ac:dyDescent="0.25">
      <c r="A8927" s="502" t="s">
        <v>67</v>
      </c>
      <c r="B8927" s="503" t="s">
        <v>63</v>
      </c>
      <c r="C8927" s="390" t="s">
        <v>54</v>
      </c>
      <c r="D8927" s="427">
        <v>2</v>
      </c>
      <c r="E8927" s="427">
        <v>5</v>
      </c>
      <c r="F8927" s="391">
        <f>+E8927*D8927</f>
      </c>
      <c r="G8927" s="427">
        <v>1</v>
      </c>
      <c r="H8927" s="429">
        <f>+G8927*F8927</f>
      </c>
    </row>
    <row r="8928" spans="1:8" ht="15.75" customHeight="1" x14ac:dyDescent="0.25">
      <c r="A8928" s="502"/>
      <c r="B8928" s="557" t="s">
        <v>1869</v>
      </c>
      <c r="C8928" s="560"/>
      <c r="D8928" s="427"/>
      <c r="E8928" s="427"/>
      <c r="F8928" s="391"/>
      <c r="G8928" s="427"/>
      <c r="H8928" s="429"/>
    </row>
    <row r="8929" spans="1:8" ht="15.75" customHeight="1" x14ac:dyDescent="0.25">
      <c r="A8929" s="502" t="s">
        <v>489</v>
      </c>
      <c r="B8929" s="718" t="s">
        <v>1649</v>
      </c>
      <c r="C8929" s="567"/>
      <c r="D8929" s="427">
        <v>3</v>
      </c>
      <c r="E8929" s="428">
        <v>10</v>
      </c>
      <c r="F8929" s="428">
        <f>+E8929*D8929</f>
      </c>
      <c r="G8929" s="427">
        <v>1</v>
      </c>
      <c r="H8929" s="429">
        <f>+G8929*F8929</f>
      </c>
    </row>
    <row r="8930" spans="1:8" ht="15.75" customHeight="1" x14ac:dyDescent="0.25">
      <c r="A8930" s="502"/>
      <c r="B8930" s="557" t="s">
        <v>674</v>
      </c>
      <c r="C8930" s="560"/>
      <c r="D8930" s="428"/>
      <c r="E8930" s="428"/>
      <c r="F8930" s="428"/>
      <c r="G8930" s="427"/>
      <c r="H8930" s="429"/>
    </row>
    <row r="8931" spans="1:8" ht="15.75" customHeight="1" x14ac:dyDescent="0.25">
      <c r="A8931" s="502" t="s">
        <v>781</v>
      </c>
      <c r="B8931" s="718" t="s">
        <v>1076</v>
      </c>
      <c r="C8931" s="567" t="s">
        <v>1164</v>
      </c>
      <c r="D8931" s="428">
        <v>5</v>
      </c>
      <c r="E8931" s="428">
        <v>1</v>
      </c>
      <c r="F8931" s="428">
        <f>+E8931*D8931</f>
      </c>
      <c r="G8931" s="427">
        <v>1</v>
      </c>
      <c r="H8931" s="429">
        <f>+G8931*F8931</f>
      </c>
    </row>
    <row r="8932" spans="1:8" ht="15.75" customHeight="1" x14ac:dyDescent="0.25">
      <c r="A8932" s="502"/>
      <c r="B8932" s="557" t="s">
        <v>1239</v>
      </c>
      <c r="C8932" s="560"/>
      <c r="D8932" s="428"/>
      <c r="E8932" s="428"/>
      <c r="F8932" s="428"/>
      <c r="G8932" s="427"/>
      <c r="H8932" s="429"/>
    </row>
    <row r="8933" spans="1:8" ht="15.75" customHeight="1" x14ac:dyDescent="0.25">
      <c r="A8933" s="502" t="s">
        <v>787</v>
      </c>
      <c r="B8933" s="718" t="s">
        <v>60</v>
      </c>
      <c r="C8933" s="813" t="s">
        <v>61</v>
      </c>
      <c r="D8933" s="428">
        <v>4</v>
      </c>
      <c r="E8933" s="428">
        <v>25</v>
      </c>
      <c r="F8933" s="428">
        <f>+E8933*D8933</f>
      </c>
      <c r="G8933" s="427">
        <v>1</v>
      </c>
      <c r="H8933" s="429">
        <f>+G8933*F8933</f>
      </c>
    </row>
    <row r="8934" spans="1:8" ht="15.75" customHeight="1" x14ac:dyDescent="0.25">
      <c r="A8934" s="502"/>
      <c r="B8934" s="718"/>
      <c r="C8934" s="567"/>
      <c r="D8934" s="819"/>
      <c r="E8934" s="819"/>
      <c r="F8934" s="819"/>
      <c r="G8934" s="819"/>
      <c r="H8934" s="444"/>
    </row>
    <row r="8935" spans="1:8" ht="15.75" customHeight="1" x14ac:dyDescent="0.25">
      <c r="A8935" s="432"/>
      <c r="B8935" s="433"/>
      <c r="C8935" s="434" t="s">
        <v>85</v>
      </c>
      <c r="D8935" s="435">
        <f>SUM(D8925:D8934)</f>
      </c>
      <c r="E8935" s="435"/>
      <c r="F8935" s="436"/>
      <c r="G8935" s="437"/>
      <c r="H8935" s="438">
        <f>SUM(H8925:H8934)</f>
      </c>
    </row>
    <row r="8936" spans="1:8" ht="15.75" customHeight="1" x14ac:dyDescent="0.25">
      <c r="A8936" s="439"/>
      <c r="B8936" s="440"/>
      <c r="C8936" s="440"/>
      <c r="D8936" s="441"/>
      <c r="E8936" s="440"/>
      <c r="F8936" s="442"/>
      <c r="G8936" s="443"/>
      <c r="H8936" s="444"/>
    </row>
    <row r="8937" spans="1:8" ht="15.75" customHeight="1" x14ac:dyDescent="0.25">
      <c r="A8937" s="565" t="s">
        <v>1215</v>
      </c>
      <c r="B8937" s="565"/>
      <c r="C8937" s="565"/>
      <c r="D8937" s="565"/>
      <c r="E8937" s="565"/>
      <c r="F8937" s="565"/>
      <c r="G8937" s="565"/>
      <c r="H8937" s="565"/>
    </row>
    <row r="8938" spans="1:8" ht="15.75" customHeight="1" x14ac:dyDescent="0.25">
      <c r="A8938" s="445"/>
      <c r="B8938" s="445"/>
      <c r="C8938" s="445"/>
      <c r="D8938" s="446" t="s">
        <v>97</v>
      </c>
      <c r="E8938" s="445" t="s">
        <v>98</v>
      </c>
      <c r="F8938" s="445"/>
      <c r="G8938" s="390"/>
      <c r="H8938" s="394"/>
    </row>
    <row r="8939" spans="1:8" ht="15.75" customHeight="1" x14ac:dyDescent="0.25">
      <c r="A8939" s="390"/>
      <c r="B8939" s="390"/>
      <c r="C8939" s="390"/>
      <c r="D8939" s="391"/>
      <c r="E8939" s="390"/>
      <c r="F8939" s="390"/>
      <c r="G8939" s="390"/>
      <c r="H8939" s="394"/>
    </row>
    <row r="8940" spans="1:8" ht="15.75" customHeight="1" x14ac:dyDescent="0.25">
      <c r="A8940" s="445"/>
      <c r="B8940" s="445"/>
      <c r="C8940" s="445"/>
      <c r="D8940" s="446"/>
      <c r="E8940" s="445" t="s">
        <v>99</v>
      </c>
      <c r="F8940" s="445"/>
      <c r="G8940" s="390"/>
      <c r="H8940" s="394"/>
    </row>
    <row r="8941" spans="1:8" ht="15.75" customHeight="1" x14ac:dyDescent="0.25">
      <c r="D8941" s="4"/>
      <c r="H8941" s="4"/>
    </row>
    <row r="8942" spans="1:8" ht="15.75" customHeight="1" x14ac:dyDescent="0.25">
      <c r="D8942" s="4"/>
      <c r="H8942" s="4"/>
    </row>
    <row r="8943" spans="1:8" ht="15.75" customHeight="1" x14ac:dyDescent="0.25">
      <c r="D8943" s="4"/>
      <c r="H8943" s="4"/>
    </row>
    <row r="8944" spans="1:8" ht="15.75" customHeight="1" x14ac:dyDescent="0.25">
      <c r="D8944" s="4"/>
      <c r="H8944" s="4"/>
    </row>
    <row r="8945" spans="1:8" ht="15.75" customHeight="1" x14ac:dyDescent="0.25">
      <c r="D8945" s="4"/>
      <c r="H8945" s="4"/>
    </row>
    <row r="8946" spans="1:8" ht="15.75" customHeight="1" x14ac:dyDescent="0.25">
      <c r="D8946" s="4"/>
      <c r="H8946" s="4"/>
    </row>
    <row r="8947" spans="1:8" ht="15.75" customHeight="1" x14ac:dyDescent="0.25">
      <c r="D8947" s="4"/>
      <c r="H8947" s="4"/>
    </row>
    <row r="8948" spans="1:8" ht="15.75" customHeight="1" x14ac:dyDescent="0.25">
      <c r="D8948" s="4"/>
      <c r="H8948" s="4"/>
    </row>
    <row r="8949" spans="1:8" ht="15.75" customHeight="1" x14ac:dyDescent="0.25">
      <c r="D8949" s="4"/>
      <c r="H8949" s="4"/>
    </row>
    <row r="8950" spans="1:8" ht="15.75" customHeight="1" x14ac:dyDescent="0.25">
      <c r="D8950" s="4"/>
      <c r="H8950" s="4"/>
    </row>
    <row r="8951" spans="1:8" ht="15.75" customHeight="1" x14ac:dyDescent="0.25">
      <c r="D8951" s="4"/>
      <c r="H8951" s="4"/>
    </row>
    <row r="8952" spans="1:8" ht="15.75" customHeight="1" x14ac:dyDescent="0.25">
      <c r="D8952" s="4"/>
      <c r="H8952" s="4"/>
    </row>
    <row r="8953" spans="1:8" ht="15.75" customHeight="1" x14ac:dyDescent="0.25">
      <c r="D8953" s="4"/>
      <c r="H8953" s="4"/>
    </row>
    <row r="8954" spans="1:8" ht="15.75" customHeight="1" x14ac:dyDescent="0.25">
      <c r="D8954" s="4"/>
      <c r="H8954" s="4"/>
    </row>
    <row r="8955" spans="1:8" ht="15.75" customHeight="1" x14ac:dyDescent="0.25">
      <c r="D8955" s="4"/>
      <c r="H8955" s="4"/>
    </row>
    <row r="8956" spans="1:8" ht="15.75" customHeight="1" x14ac:dyDescent="0.25">
      <c r="D8956" s="4"/>
      <c r="H8956" s="4"/>
    </row>
    <row r="8957" spans="1:8" ht="15.75" customHeight="1" x14ac:dyDescent="0.25">
      <c r="A8957" s="398" t="s">
        <v>14</v>
      </c>
      <c r="B8957" s="398"/>
      <c r="C8957" s="398"/>
      <c r="D8957" s="398"/>
      <c r="E8957" s="398"/>
      <c r="F8957" s="398"/>
      <c r="G8957" s="398"/>
      <c r="H8957" s="398"/>
    </row>
    <row r="8958" spans="1:8" ht="15.75" customHeight="1" x14ac:dyDescent="0.25">
      <c r="A8958" s="398"/>
      <c r="B8958" s="398"/>
      <c r="C8958" s="398"/>
      <c r="D8958" s="398"/>
      <c r="E8958" s="398"/>
      <c r="F8958" s="398"/>
      <c r="G8958" s="398"/>
      <c r="H8958" s="398"/>
    </row>
    <row r="8959" spans="1:8" ht="15.75" customHeight="1" x14ac:dyDescent="0.25">
      <c r="A8959" s="398"/>
      <c r="B8959" s="398"/>
      <c r="C8959" s="398"/>
      <c r="D8959" s="398"/>
      <c r="E8959" s="398"/>
      <c r="F8959" s="398"/>
      <c r="G8959" s="398"/>
      <c r="H8959" s="398"/>
    </row>
    <row r="8960" spans="1:8" ht="15.75" customHeight="1" x14ac:dyDescent="0.25">
      <c r="A8960" s="390"/>
      <c r="B8960" s="390"/>
      <c r="C8960" s="390"/>
      <c r="D8960" s="391"/>
      <c r="E8960" s="390"/>
      <c r="F8960" s="395" t="s">
        <v>18</v>
      </c>
      <c r="G8960" s="396" t="s">
        <v>984</v>
      </c>
      <c r="H8960" s="397"/>
    </row>
    <row r="8961" spans="1:8" ht="15.75" customHeight="1" x14ac:dyDescent="0.25">
      <c r="A8961" s="390" t="s">
        <v>20</v>
      </c>
      <c r="B8961" s="390"/>
      <c r="C8961" s="390"/>
      <c r="D8961" s="391"/>
      <c r="E8961" s="390"/>
      <c r="F8961" s="395" t="s">
        <v>21</v>
      </c>
      <c r="G8961" s="390" t="s">
        <v>1872</v>
      </c>
      <c r="H8961" s="391"/>
    </row>
    <row r="8962" spans="1:8" ht="15.75" customHeight="1" x14ac:dyDescent="0.25">
      <c r="A8962" s="390" t="inlineStr">
        <is>
          <t>Dealer-018</t>
        </is>
      </c>
      <c r="B8962" s="390"/>
      <c r="C8962" s="390"/>
      <c r="D8962" s="391"/>
      <c r="E8962" s="395"/>
      <c r="F8962" s="390"/>
      <c r="G8962" s="390"/>
      <c r="H8962" s="394"/>
    </row>
    <row r="8963" spans="1:8" ht="15.75" customHeight="1" x14ac:dyDescent="0.25">
      <c r="A8963" s="390" t="inlineStr">
        <is>
          <t>Address line (redacted)</t>
        </is>
      </c>
      <c r="B8963" s="390"/>
      <c r="C8963" s="390"/>
      <c r="D8963" s="398"/>
      <c r="E8963" s="390"/>
      <c r="F8963" s="391"/>
      <c r="G8963" s="390"/>
      <c r="H8963" s="394"/>
    </row>
    <row r="8964" spans="1:8" ht="15.75" customHeight="1" x14ac:dyDescent="0.25">
      <c r="A8964" s="390"/>
      <c r="B8964" s="390"/>
      <c r="C8964" s="390"/>
      <c r="D8964" s="398"/>
      <c r="E8964" s="390"/>
      <c r="F8964" s="391"/>
      <c r="G8964" s="390"/>
      <c r="H8964" s="394"/>
    </row>
    <row r="8965" spans="1:8" ht="15.75" customHeight="1" x14ac:dyDescent="0.25">
      <c r="A8965" s="447"/>
      <c r="B8965" s="390"/>
      <c r="C8965" s="390"/>
      <c r="D8965" s="391"/>
      <c r="E8965" s="390"/>
      <c r="F8965" s="391"/>
      <c r="G8965" s="390"/>
      <c r="H8965" s="394"/>
    </row>
    <row r="8966" spans="1:8" ht="15.75" customHeight="1" x14ac:dyDescent="0.25">
      <c r="A8966" s="390" t="s">
        <v>30</v>
      </c>
      <c r="B8966" s="390"/>
      <c r="C8966" s="390"/>
      <c r="D8966" s="391"/>
      <c r="E8966" s="390"/>
      <c r="F8966" s="391"/>
      <c r="G8966" s="390"/>
      <c r="H8966" s="394"/>
    </row>
    <row r="8967" spans="1:8" ht="15.75" customHeight="1" x14ac:dyDescent="0.25">
      <c r="A8967" s="390"/>
      <c r="B8967" s="390"/>
      <c r="C8967" s="390"/>
      <c r="D8967" s="391"/>
      <c r="E8967" s="390"/>
      <c r="F8967" s="391"/>
      <c r="G8967" s="390"/>
      <c r="H8967" s="394"/>
    </row>
    <row r="8968" spans="1:8" ht="15.75" customHeight="1" x14ac:dyDescent="0.25">
      <c r="A8968" s="390" t="s">
        <v>1322</v>
      </c>
      <c r="B8968" s="390"/>
      <c r="C8968" s="390"/>
      <c r="D8968" s="391"/>
      <c r="E8968" s="390"/>
      <c r="F8968" s="391"/>
      <c r="G8968" s="390"/>
      <c r="H8968" s="394"/>
    </row>
    <row r="8969" spans="1:8" ht="15.75" customHeight="1" x14ac:dyDescent="0.25">
      <c r="A8969" s="390" t="s">
        <v>1328</v>
      </c>
      <c r="B8969" s="390"/>
      <c r="C8969" s="390"/>
      <c r="D8969" s="391"/>
      <c r="E8969" s="390"/>
      <c r="F8969" s="391"/>
      <c r="G8969" s="390"/>
      <c r="H8969" s="394"/>
    </row>
    <row r="8970" spans="1:8" ht="15.75" customHeight="1" x14ac:dyDescent="0.25">
      <c r="A8970" s="399" t="s">
        <v>33</v>
      </c>
      <c r="B8970" s="400" t="s">
        <v>6</v>
      </c>
      <c r="C8970" s="400"/>
      <c r="D8970" s="401" t="s">
        <v>37</v>
      </c>
      <c r="E8970" s="402" t="s">
        <v>38</v>
      </c>
      <c r="F8970" s="403" t="s">
        <v>7</v>
      </c>
      <c r="G8970" s="404" t="s">
        <v>43</v>
      </c>
      <c r="H8970" s="405" t="s">
        <v>44</v>
      </c>
    </row>
    <row r="8971" spans="1:8" ht="15.75" customHeight="1" x14ac:dyDescent="0.25">
      <c r="A8971" s="406"/>
      <c r="B8971" s="407"/>
      <c r="C8971" s="393"/>
      <c r="D8971" s="408"/>
      <c r="E8971" s="408"/>
      <c r="F8971" s="409"/>
      <c r="G8971" s="410"/>
      <c r="H8971" s="411"/>
    </row>
    <row r="8972" spans="1:8" ht="15.75" customHeight="1" x14ac:dyDescent="0.25">
      <c r="A8972" s="502"/>
      <c r="B8972" s="557" t="s">
        <v>1873</v>
      </c>
      <c r="C8972" s="558"/>
      <c r="D8972" s="427"/>
      <c r="E8972" s="427"/>
      <c r="F8972" s="391"/>
      <c r="G8972" s="675"/>
      <c r="H8972" s="429"/>
    </row>
    <row r="8973" spans="1:8" ht="15.75" customHeight="1" x14ac:dyDescent="0.25">
      <c r="A8973" s="502" t="s">
        <v>55</v>
      </c>
      <c r="B8973" s="503" t="s">
        <v>1631</v>
      </c>
      <c r="C8973" s="390"/>
      <c r="D8973" s="427">
        <v>2</v>
      </c>
      <c r="E8973" s="427">
        <v>10</v>
      </c>
      <c r="F8973" s="391">
        <f t="shared" ref="F8973:F8974" si="298">+E8973*D8973</f>
      </c>
      <c r="G8973" s="427">
        <v>1</v>
      </c>
      <c r="H8973" s="429">
        <f t="shared" ref="H8973:H8974" si="299">+G8973*F8973</f>
      </c>
    </row>
    <row r="8974" spans="1:8" ht="15.75" customHeight="1" x14ac:dyDescent="0.25">
      <c r="A8974" s="502" t="s">
        <v>59</v>
      </c>
      <c r="B8974" s="503" t="s">
        <v>1650</v>
      </c>
      <c r="C8974" s="390"/>
      <c r="D8974" s="427">
        <v>2</v>
      </c>
      <c r="E8974" s="427">
        <v>10</v>
      </c>
      <c r="F8974" s="391">
        <f t="shared" si="298"/>
      </c>
      <c r="G8974" s="427">
        <v>1</v>
      </c>
      <c r="H8974" s="429">
        <f t="shared" si="299"/>
      </c>
    </row>
    <row r="8975" spans="1:8" ht="15.75" customHeight="1" x14ac:dyDescent="0.25">
      <c r="A8975" s="502"/>
      <c r="B8975" s="557"/>
      <c r="C8975" s="558"/>
      <c r="D8975" s="427"/>
      <c r="E8975" s="427"/>
      <c r="F8975" s="391"/>
      <c r="G8975" s="427"/>
      <c r="H8975" s="429"/>
    </row>
    <row r="8976" spans="1:8" ht="15.75" customHeight="1" x14ac:dyDescent="0.25">
      <c r="A8976" s="502"/>
      <c r="B8976" s="503"/>
      <c r="C8976" s="825"/>
      <c r="D8976" s="427"/>
      <c r="E8976" s="427"/>
      <c r="F8976" s="391"/>
      <c r="G8976" s="427"/>
      <c r="H8976" s="429"/>
    </row>
    <row r="8977" spans="1:8" ht="15.75" customHeight="1" x14ac:dyDescent="0.25">
      <c r="A8977" s="502"/>
      <c r="B8977" s="503"/>
      <c r="C8977" s="825"/>
      <c r="D8977" s="427"/>
      <c r="E8977" s="427"/>
      <c r="F8977" s="391"/>
      <c r="G8977" s="427"/>
      <c r="H8977" s="429"/>
    </row>
    <row r="8978" spans="1:8" ht="15.75" customHeight="1" x14ac:dyDescent="0.25">
      <c r="A8978" s="502"/>
      <c r="B8978" s="826"/>
      <c r="C8978" s="825"/>
      <c r="D8978" s="427"/>
      <c r="E8978" s="427"/>
      <c r="F8978" s="391"/>
      <c r="G8978" s="427"/>
      <c r="H8978" s="429"/>
    </row>
    <row r="8979" spans="1:8" ht="15.75" customHeight="1" x14ac:dyDescent="0.25">
      <c r="A8979" s="502"/>
      <c r="B8979" s="718"/>
      <c r="C8979" s="567"/>
      <c r="D8979" s="427"/>
      <c r="E8979" s="427"/>
      <c r="F8979" s="391"/>
      <c r="G8979" s="427"/>
      <c r="H8979" s="429"/>
    </row>
    <row r="8980" spans="1:8" ht="15.75" customHeight="1" x14ac:dyDescent="0.25">
      <c r="A8980" s="502"/>
      <c r="B8980" s="718"/>
      <c r="C8980" s="567"/>
      <c r="D8980" s="427"/>
      <c r="E8980" s="427"/>
      <c r="F8980" s="391"/>
      <c r="G8980" s="427"/>
      <c r="H8980" s="429"/>
    </row>
    <row r="8981" spans="1:8" ht="15.75" customHeight="1" x14ac:dyDescent="0.25">
      <c r="A8981" s="502"/>
      <c r="B8981" s="718"/>
      <c r="C8981" s="567"/>
      <c r="D8981" s="427"/>
      <c r="E8981" s="427"/>
      <c r="F8981" s="391"/>
      <c r="G8981" s="427"/>
      <c r="H8981" s="429"/>
    </row>
    <row r="8982" spans="1:8" ht="15.75" customHeight="1" x14ac:dyDescent="0.25">
      <c r="A8982" s="432"/>
      <c r="B8982" s="433"/>
      <c r="C8982" s="434" t="s">
        <v>85</v>
      </c>
      <c r="D8982" s="435">
        <f>SUM(D8972:D8981)</f>
      </c>
      <c r="E8982" s="435"/>
      <c r="F8982" s="436"/>
      <c r="G8982" s="437"/>
      <c r="H8982" s="438">
        <f>SUM(H8973:H8981)</f>
      </c>
    </row>
    <row r="8983" spans="1:8" ht="15.75" customHeight="1" x14ac:dyDescent="0.25">
      <c r="A8983" s="439"/>
      <c r="B8983" s="440"/>
      <c r="C8983" s="440"/>
      <c r="D8983" s="441"/>
      <c r="E8983" s="440"/>
      <c r="F8983" s="442"/>
      <c r="G8983" s="443"/>
      <c r="H8983" s="444"/>
    </row>
    <row r="8984" spans="1:8" ht="15.75" customHeight="1" x14ac:dyDescent="0.25">
      <c r="A8984" s="565" t="s">
        <v>1215</v>
      </c>
      <c r="B8984" s="565"/>
      <c r="C8984" s="565"/>
      <c r="D8984" s="565"/>
      <c r="E8984" s="565"/>
      <c r="F8984" s="565"/>
      <c r="G8984" s="565"/>
      <c r="H8984" s="565"/>
    </row>
    <row r="8985" spans="1:8" ht="15.75" customHeight="1" x14ac:dyDescent="0.25">
      <c r="A8985" s="445"/>
      <c r="B8985" s="445"/>
      <c r="C8985" s="445"/>
      <c r="D8985" s="446" t="s">
        <v>97</v>
      </c>
      <c r="E8985" s="445" t="s">
        <v>98</v>
      </c>
      <c r="F8985" s="445"/>
      <c r="G8985" s="390"/>
      <c r="H8985" s="394"/>
    </row>
    <row r="8986" spans="1:8" ht="15.75" customHeight="1" x14ac:dyDescent="0.25">
      <c r="A8986" s="445"/>
      <c r="B8986" s="445"/>
      <c r="C8986" s="445"/>
      <c r="D8986" s="446"/>
      <c r="E8986" s="445"/>
      <c r="F8986" s="445"/>
      <c r="G8986" s="390"/>
      <c r="H8986" s="394"/>
    </row>
    <row r="8987" spans="1:8" ht="15.75" customHeight="1" x14ac:dyDescent="0.25">
      <c r="A8987" s="445"/>
      <c r="B8987" s="445"/>
      <c r="C8987" s="445"/>
      <c r="D8987" s="446"/>
      <c r="E8987" s="445"/>
      <c r="F8987" s="445"/>
      <c r="G8987" s="390"/>
      <c r="H8987" s="394"/>
    </row>
    <row r="8988" spans="1:8" ht="15.75" customHeight="1" x14ac:dyDescent="0.25">
      <c r="A8988" s="445"/>
      <c r="B8988" s="445"/>
      <c r="C8988" s="445"/>
      <c r="D8988" s="446"/>
      <c r="E8988" s="445" t="s">
        <v>99</v>
      </c>
      <c r="F8988" s="445"/>
      <c r="G8988" s="390"/>
      <c r="H8988" s="394"/>
    </row>
    <row r="8989" spans="1:8" ht="15.75" customHeight="1" x14ac:dyDescent="0.25">
      <c r="D8989" s="4"/>
      <c r="H8989" s="4"/>
    </row>
    <row r="8990" spans="1:8" ht="15.75" customHeight="1" x14ac:dyDescent="0.25">
      <c r="D8990" s="4"/>
      <c r="H8990" s="4"/>
    </row>
    <row r="8991" spans="1:8" ht="15.75" customHeight="1" x14ac:dyDescent="0.25">
      <c r="D8991" s="4"/>
      <c r="H8991" s="4"/>
    </row>
    <row r="8992" spans="1:8" ht="15.75" customHeight="1" x14ac:dyDescent="0.25">
      <c r="D8992" s="4"/>
      <c r="H8992" s="4"/>
    </row>
    <row r="8993" spans="1:8" ht="15.75" customHeight="1" x14ac:dyDescent="0.25">
      <c r="D8993" s="4"/>
      <c r="H8993" s="4"/>
    </row>
    <row r="8994" spans="1:8" ht="15.75" customHeight="1" x14ac:dyDescent="0.25">
      <c r="D8994" s="4"/>
      <c r="H8994" s="4"/>
    </row>
    <row r="8995" spans="1:8" ht="15.75" customHeight="1" x14ac:dyDescent="0.25">
      <c r="D8995" s="4"/>
      <c r="H8995" s="4"/>
    </row>
    <row r="8996" spans="1:8" ht="15.75" customHeight="1" x14ac:dyDescent="0.25">
      <c r="D8996" s="4"/>
      <c r="H8996" s="4"/>
    </row>
    <row r="8997" spans="1:8" ht="15.75" customHeight="1" x14ac:dyDescent="0.25">
      <c r="D8997" s="4"/>
      <c r="H8997" s="4"/>
    </row>
    <row r="8998" spans="1:8" ht="15.75" customHeight="1" x14ac:dyDescent="0.25">
      <c r="D8998" s="4"/>
      <c r="H8998" s="4"/>
    </row>
    <row r="8999" spans="1:8" ht="15.75" customHeight="1" x14ac:dyDescent="0.25">
      <c r="D8999" s="4"/>
      <c r="H8999" s="4"/>
    </row>
    <row r="9000" spans="1:8" ht="15.75" customHeight="1" x14ac:dyDescent="0.25">
      <c r="D9000" s="4"/>
      <c r="H9000" s="4"/>
    </row>
    <row r="9001" spans="1:8" ht="15.75" customHeight="1" x14ac:dyDescent="0.25">
      <c r="D9001" s="4"/>
      <c r="H9001" s="4"/>
    </row>
    <row r="9002" spans="1:8" ht="15.75" customHeight="1" x14ac:dyDescent="0.25">
      <c r="D9002" s="4"/>
      <c r="H9002" s="4"/>
    </row>
    <row r="9003" spans="1:8" ht="15.75" customHeight="1" x14ac:dyDescent="0.25">
      <c r="A9003" s="398" t="s">
        <v>14</v>
      </c>
      <c r="B9003" s="398"/>
      <c r="C9003" s="398"/>
      <c r="D9003" s="398"/>
      <c r="E9003" s="398"/>
      <c r="F9003" s="398"/>
      <c r="G9003" s="398"/>
      <c r="H9003" s="398"/>
    </row>
    <row r="9004" spans="1:8" ht="15.75" customHeight="1" x14ac:dyDescent="0.25">
      <c r="A9004" s="398"/>
      <c r="B9004" s="398"/>
      <c r="C9004" s="398"/>
      <c r="D9004" s="398"/>
      <c r="E9004" s="398"/>
      <c r="F9004" s="398"/>
      <c r="G9004" s="398"/>
      <c r="H9004" s="398"/>
    </row>
    <row r="9005" spans="1:8" ht="15.75" customHeight="1" x14ac:dyDescent="0.25">
      <c r="A9005" s="390"/>
      <c r="B9005" s="390"/>
      <c r="C9005" s="390"/>
      <c r="D9005" s="391"/>
      <c r="E9005" s="390"/>
      <c r="F9005" s="395" t="s">
        <v>18</v>
      </c>
      <c r="G9005" s="396" t="s">
        <v>984</v>
      </c>
      <c r="H9005" s="397"/>
    </row>
    <row r="9006" spans="1:8" ht="15.75" customHeight="1" x14ac:dyDescent="0.25">
      <c r="A9006" s="390" t="s">
        <v>20</v>
      </c>
      <c r="B9006" s="390"/>
      <c r="C9006" s="390"/>
      <c r="D9006" s="391"/>
      <c r="E9006" s="390"/>
      <c r="F9006" s="395" t="s">
        <v>21</v>
      </c>
      <c r="G9006" s="390" t="s">
        <v>1874</v>
      </c>
      <c r="H9006" s="391"/>
    </row>
    <row r="9007" spans="1:8" ht="15.75" customHeight="1" x14ac:dyDescent="0.25">
      <c r="A9007" s="390" t="inlineStr">
        <is>
          <t>Dealer-009</t>
        </is>
      </c>
      <c r="B9007" s="390"/>
      <c r="C9007" s="390" t="inlineStr">
        <is>
          <t>ATTN: Contact-001</t>
        </is>
      </c>
      <c r="D9007" s="391"/>
      <c r="E9007" s="395"/>
      <c r="F9007" s="390"/>
      <c r="G9007" s="390"/>
      <c r="H9007" s="394"/>
    </row>
    <row r="9008" spans="1:8" ht="15.75" customHeight="1" x14ac:dyDescent="0.25">
      <c r="A9008" s="390" t="inlineStr">
        <is>
          <t>Address line (redacted)</t>
        </is>
      </c>
      <c r="B9008" s="390"/>
      <c r="C9008" s="390"/>
      <c r="D9008" s="398"/>
      <c r="E9008" s="390"/>
      <c r="F9008" s="391"/>
      <c r="G9008" s="390"/>
      <c r="H9008" s="394"/>
    </row>
    <row r="9009" spans="1:8" ht="15.75" customHeight="1" x14ac:dyDescent="0.25">
      <c r="A9009" s="390" t="inlineStr">
        <is>
          <t>Address line (redacted)</t>
        </is>
      </c>
      <c r="B9009" s="390"/>
      <c r="C9009" s="390"/>
      <c r="D9009" s="398"/>
      <c r="E9009" s="390"/>
      <c r="F9009" s="391"/>
      <c r="G9009" s="390"/>
      <c r="H9009" s="394"/>
    </row>
    <row r="9010" spans="1:8" ht="15.75" customHeight="1" x14ac:dyDescent="0.25">
      <c r="A9010" s="447"/>
      <c r="B9010" s="390"/>
      <c r="C9010" s="390"/>
      <c r="D9010" s="391"/>
      <c r="E9010" s="390"/>
      <c r="F9010" s="391"/>
      <c r="G9010" s="390"/>
      <c r="H9010" s="394"/>
    </row>
    <row r="9011" spans="1:8" ht="15.75" customHeight="1" x14ac:dyDescent="0.25">
      <c r="A9011" s="390" t="s">
        <v>30</v>
      </c>
      <c r="B9011" s="390"/>
      <c r="C9011" s="390"/>
      <c r="D9011" s="391"/>
      <c r="E9011" s="390"/>
      <c r="F9011" s="391"/>
      <c r="G9011" s="390"/>
      <c r="H9011" s="394"/>
    </row>
    <row r="9012" spans="1:8" ht="15.75" customHeight="1" x14ac:dyDescent="0.25">
      <c r="A9012" s="390" t="s">
        <v>1322</v>
      </c>
      <c r="B9012" s="390"/>
      <c r="C9012" s="390"/>
      <c r="D9012" s="391"/>
      <c r="E9012" s="390"/>
      <c r="F9012" s="391"/>
      <c r="G9012" s="390"/>
      <c r="H9012" s="394"/>
    </row>
    <row r="9013" spans="1:8" ht="15.75" customHeight="1" x14ac:dyDescent="0.25">
      <c r="A9013" s="390" t="s">
        <v>1328</v>
      </c>
      <c r="B9013" s="390"/>
      <c r="C9013" s="390"/>
      <c r="D9013" s="391"/>
      <c r="E9013" s="390"/>
      <c r="F9013" s="391"/>
      <c r="G9013" s="390"/>
      <c r="H9013" s="394"/>
    </row>
    <row r="9014" spans="1:8" ht="15.75" customHeight="1" x14ac:dyDescent="0.25">
      <c r="A9014" s="399" t="s">
        <v>33</v>
      </c>
      <c r="B9014" s="400" t="s">
        <v>6</v>
      </c>
      <c r="C9014" s="400"/>
      <c r="D9014" s="401" t="s">
        <v>37</v>
      </c>
      <c r="E9014" s="402" t="s">
        <v>38</v>
      </c>
      <c r="F9014" s="403" t="s">
        <v>7</v>
      </c>
      <c r="G9014" s="404" t="s">
        <v>43</v>
      </c>
      <c r="H9014" s="405" t="s">
        <v>44</v>
      </c>
    </row>
    <row r="9015" spans="1:8" ht="15.75" customHeight="1" x14ac:dyDescent="0.25">
      <c r="A9015" s="406"/>
      <c r="B9015" s="407"/>
      <c r="C9015" s="393"/>
      <c r="D9015" s="408"/>
      <c r="E9015" s="408"/>
      <c r="F9015" s="409"/>
      <c r="G9015" s="410"/>
      <c r="H9015" s="411"/>
    </row>
    <row r="9016" spans="1:8" ht="15.75" customHeight="1" x14ac:dyDescent="0.25">
      <c r="A9016" s="502"/>
      <c r="B9016" s="557" t="s">
        <v>590</v>
      </c>
      <c r="C9016" s="560"/>
      <c r="D9016" s="427"/>
      <c r="E9016" s="427"/>
      <c r="F9016" s="391"/>
      <c r="G9016" s="675"/>
      <c r="H9016" s="429"/>
    </row>
    <row r="9017" spans="1:8" ht="15.75" customHeight="1" x14ac:dyDescent="0.25">
      <c r="A9017" s="502" t="s">
        <v>55</v>
      </c>
      <c r="B9017" s="718" t="s">
        <v>139</v>
      </c>
      <c r="C9017" s="390" t="s">
        <v>2185</v>
      </c>
      <c r="D9017" s="427">
        <v>1</v>
      </c>
      <c r="E9017" s="427">
        <v>6</v>
      </c>
      <c r="F9017" s="391">
        <f>+E9017*D9017</f>
      </c>
      <c r="G9017" s="427">
        <v>1</v>
      </c>
      <c r="H9017" s="429">
        <f>+G9017*F9017</f>
      </c>
    </row>
    <row r="9018" spans="1:8" ht="15.75" customHeight="1" x14ac:dyDescent="0.25">
      <c r="A9018" s="502"/>
      <c r="B9018" s="557" t="s">
        <v>1356</v>
      </c>
      <c r="C9018" s="560"/>
      <c r="D9018" s="427"/>
      <c r="E9018" s="427"/>
      <c r="F9018" s="391"/>
      <c r="G9018" s="675"/>
      <c r="H9018" s="429"/>
    </row>
    <row r="9019" spans="1:8" ht="15.75" customHeight="1" x14ac:dyDescent="0.25">
      <c r="A9019" s="502" t="s">
        <v>59</v>
      </c>
      <c r="B9019" s="503" t="s">
        <v>126</v>
      </c>
      <c r="C9019" s="390" t="s">
        <v>1840</v>
      </c>
      <c r="D9019" s="427">
        <v>1</v>
      </c>
      <c r="E9019" s="427">
        <v>5</v>
      </c>
      <c r="F9019" s="391">
        <f t="shared" ref="F9019:F9020" si="300">+E9019*D9019</f>
      </c>
      <c r="G9019" s="427">
        <v>1</v>
      </c>
      <c r="H9019" s="429">
        <f t="shared" ref="H9019:H9020" si="301">+G9019*F9019</f>
      </c>
    </row>
    <row r="9020" spans="1:8" ht="15.75" customHeight="1" x14ac:dyDescent="0.25">
      <c r="A9020" s="502" t="s">
        <v>67</v>
      </c>
      <c r="B9020" s="503" t="s">
        <v>105</v>
      </c>
      <c r="C9020" s="390" t="s">
        <v>96</v>
      </c>
      <c r="D9020" s="427">
        <v>1</v>
      </c>
      <c r="E9020" s="427">
        <v>5</v>
      </c>
      <c r="F9020" s="391">
        <f t="shared" si="300"/>
      </c>
      <c r="G9020" s="427">
        <v>1</v>
      </c>
      <c r="H9020" s="429">
        <f t="shared" si="301"/>
      </c>
    </row>
    <row r="9021" spans="1:8" ht="15.75" customHeight="1" x14ac:dyDescent="0.25">
      <c r="A9021" s="502"/>
      <c r="B9021" s="557" t="s">
        <v>1834</v>
      </c>
      <c r="C9021" s="560"/>
      <c r="D9021" s="427"/>
      <c r="E9021" s="427"/>
      <c r="F9021" s="391"/>
      <c r="G9021" s="427"/>
      <c r="H9021" s="429"/>
    </row>
    <row r="9022" spans="1:8" ht="15.75" customHeight="1" x14ac:dyDescent="0.25">
      <c r="A9022" s="502" t="s">
        <v>485</v>
      </c>
      <c r="B9022" s="718" t="s">
        <v>1453</v>
      </c>
      <c r="C9022" s="567"/>
      <c r="D9022" s="427">
        <v>2</v>
      </c>
      <c r="E9022" s="428">
        <v>24</v>
      </c>
      <c r="F9022" s="428">
        <f>+E9022*D9022</f>
      </c>
      <c r="G9022" s="427">
        <v>1</v>
      </c>
      <c r="H9022" s="429">
        <f>+G9022*F9022</f>
      </c>
    </row>
    <row r="9023" spans="1:8" ht="15.75" customHeight="1" x14ac:dyDescent="0.25">
      <c r="A9023" s="502"/>
      <c r="B9023" s="557" t="s">
        <v>1239</v>
      </c>
      <c r="C9023" s="560"/>
      <c r="D9023" s="428"/>
      <c r="E9023" s="428"/>
      <c r="F9023" s="428"/>
      <c r="G9023" s="427"/>
      <c r="H9023" s="429"/>
    </row>
    <row r="9024" spans="1:8" ht="15.75" customHeight="1" x14ac:dyDescent="0.25">
      <c r="A9024" s="502" t="s">
        <v>486</v>
      </c>
      <c r="B9024" s="718" t="s">
        <v>60</v>
      </c>
      <c r="C9024" s="813" t="s">
        <v>61</v>
      </c>
      <c r="D9024" s="428">
        <v>2</v>
      </c>
      <c r="E9024" s="428">
        <v>25</v>
      </c>
      <c r="F9024" s="428">
        <f>+E9024*D9024</f>
      </c>
      <c r="G9024" s="427">
        <v>1</v>
      </c>
      <c r="H9024" s="429">
        <f>+G9024*F9024</f>
      </c>
    </row>
    <row r="9025" spans="1:8" ht="15.75" customHeight="1" x14ac:dyDescent="0.25">
      <c r="A9025" s="502"/>
      <c r="B9025" s="718"/>
      <c r="C9025" s="567"/>
      <c r="D9025" s="819"/>
      <c r="E9025" s="819"/>
      <c r="F9025" s="819"/>
      <c r="G9025" s="819"/>
      <c r="H9025" s="444"/>
    </row>
    <row r="9026" spans="1:8" ht="15.75" customHeight="1" x14ac:dyDescent="0.25">
      <c r="A9026" s="432"/>
      <c r="B9026" s="433"/>
      <c r="C9026" s="434" t="s">
        <v>85</v>
      </c>
      <c r="D9026" s="435">
        <f>SUM(D9017:D9025)</f>
      </c>
      <c r="E9026" s="435"/>
      <c r="F9026" s="436"/>
      <c r="G9026" s="437"/>
      <c r="H9026" s="438">
        <f>SUM(H9017:H9025)</f>
      </c>
    </row>
    <row r="9027" spans="1:8" ht="15.75" customHeight="1" x14ac:dyDescent="0.25">
      <c r="A9027" s="439"/>
      <c r="B9027" s="440"/>
      <c r="C9027" s="440"/>
      <c r="D9027" s="441"/>
      <c r="E9027" s="440"/>
      <c r="F9027" s="442"/>
      <c r="G9027" s="443"/>
      <c r="H9027" s="444"/>
    </row>
    <row r="9028" spans="1:8" ht="15.75" customHeight="1" x14ac:dyDescent="0.25">
      <c r="A9028" s="565" t="s">
        <v>1215</v>
      </c>
      <c r="B9028" s="565"/>
      <c r="C9028" s="565"/>
      <c r="D9028" s="565"/>
      <c r="E9028" s="565"/>
      <c r="F9028" s="565"/>
      <c r="G9028" s="565"/>
      <c r="H9028" s="565"/>
    </row>
    <row r="9029" spans="1:8" ht="15.75" customHeight="1" x14ac:dyDescent="0.25">
      <c r="A9029" s="445"/>
      <c r="B9029" s="445"/>
      <c r="C9029" s="445"/>
      <c r="D9029" s="446" t="s">
        <v>97</v>
      </c>
      <c r="E9029" s="445" t="s">
        <v>98</v>
      </c>
      <c r="F9029" s="445"/>
      <c r="G9029" s="390"/>
      <c r="H9029" s="394"/>
    </row>
    <row r="9030" spans="1:8" ht="15.75" customHeight="1" x14ac:dyDescent="0.25">
      <c r="A9030" s="390"/>
      <c r="B9030" s="390"/>
      <c r="C9030" s="390"/>
      <c r="D9030" s="391"/>
      <c r="E9030" s="390"/>
      <c r="F9030" s="390"/>
      <c r="G9030" s="390"/>
      <c r="H9030" s="394"/>
    </row>
    <row r="9031" spans="1:8" ht="15.75" customHeight="1" x14ac:dyDescent="0.25">
      <c r="A9031" s="445"/>
      <c r="B9031" s="445"/>
      <c r="C9031" s="445"/>
      <c r="D9031" s="446"/>
      <c r="E9031" s="445" t="s">
        <v>99</v>
      </c>
      <c r="F9031" s="445"/>
      <c r="G9031" s="390"/>
      <c r="H9031" s="394"/>
    </row>
    <row r="9032" spans="1:8" ht="15.75" customHeight="1" x14ac:dyDescent="0.25">
      <c r="D9032" s="4"/>
      <c r="H9032" s="4"/>
    </row>
    <row r="9033" spans="1:8" ht="15.75" customHeight="1" x14ac:dyDescent="0.25">
      <c r="D9033" s="4"/>
      <c r="H9033" s="4"/>
    </row>
    <row r="9034" spans="1:8" ht="15.75" customHeight="1" x14ac:dyDescent="0.25">
      <c r="D9034" s="4"/>
      <c r="H9034" s="4"/>
    </row>
    <row r="9035" spans="1:8" ht="15.75" customHeight="1" x14ac:dyDescent="0.25">
      <c r="D9035" s="4"/>
      <c r="H9035" s="4"/>
    </row>
    <row r="9036" spans="1:8" ht="15.75" customHeight="1" x14ac:dyDescent="0.25">
      <c r="D9036" s="4"/>
      <c r="H9036" s="4"/>
    </row>
    <row r="9037" spans="1:8" ht="15.75" customHeight="1" x14ac:dyDescent="0.25">
      <c r="D9037" s="4"/>
      <c r="H9037" s="4"/>
    </row>
    <row r="9038" spans="1:8" ht="15.75" customHeight="1" x14ac:dyDescent="0.25">
      <c r="D9038" s="4"/>
      <c r="H9038" s="4"/>
    </row>
    <row r="9039" spans="1:8" ht="15.75" customHeight="1" x14ac:dyDescent="0.25">
      <c r="D9039" s="4"/>
      <c r="H9039" s="4"/>
    </row>
    <row r="9040" spans="1:8" ht="15.75" customHeight="1" x14ac:dyDescent="0.25">
      <c r="D9040" s="4"/>
      <c r="H9040" s="4"/>
    </row>
    <row r="9041" spans="1:8" ht="15.75" customHeight="1" x14ac:dyDescent="0.25">
      <c r="D9041" s="4"/>
      <c r="H9041" s="4"/>
    </row>
    <row r="9042" spans="1:8" ht="15.75" customHeight="1" x14ac:dyDescent="0.25">
      <c r="D9042" s="4"/>
      <c r="H9042" s="4"/>
    </row>
    <row r="9043" spans="1:8" ht="15.75" customHeight="1" x14ac:dyDescent="0.25">
      <c r="D9043" s="4"/>
      <c r="H9043" s="4"/>
    </row>
    <row r="9044" spans="1:8" ht="15.75" customHeight="1" x14ac:dyDescent="0.25">
      <c r="D9044" s="4"/>
      <c r="H9044" s="4"/>
    </row>
    <row r="9045" spans="1:8" ht="15.75" customHeight="1" x14ac:dyDescent="0.25">
      <c r="D9045" s="4"/>
      <c r="H9045" s="4"/>
    </row>
    <row r="9046" spans="1:8" ht="15.75" customHeight="1" x14ac:dyDescent="0.25">
      <c r="D9046" s="4"/>
      <c r="H9046" s="4"/>
    </row>
    <row r="9047" spans="1:8" ht="15.75" customHeight="1" x14ac:dyDescent="0.25">
      <c r="D9047" s="4"/>
      <c r="H9047" s="4"/>
    </row>
    <row r="9048" spans="1:8" ht="15.75" customHeight="1" x14ac:dyDescent="0.25">
      <c r="D9048" s="4"/>
      <c r="H9048" s="4"/>
    </row>
    <row r="9049" spans="1:8" ht="15.75" customHeight="1" x14ac:dyDescent="0.25">
      <c r="A9049" s="392" t="s">
        <v>14</v>
      </c>
      <c r="B9049" s="391"/>
      <c r="C9049" s="391"/>
      <c r="D9049" s="391"/>
      <c r="E9049" s="391"/>
      <c r="F9049" s="391"/>
      <c r="G9049" s="391"/>
      <c r="H9049" s="394"/>
    </row>
    <row r="9050" spans="1:8" ht="15.75" customHeight="1" x14ac:dyDescent="0.25">
      <c r="A9050" s="392"/>
      <c r="B9050" s="391"/>
      <c r="C9050" s="391"/>
      <c r="D9050" s="391"/>
      <c r="E9050" s="390"/>
      <c r="F9050" s="392"/>
      <c r="G9050" s="390"/>
      <c r="H9050" s="394"/>
    </row>
    <row r="9051" spans="1:8" ht="15.75" customHeight="1" x14ac:dyDescent="0.25">
      <c r="A9051" s="392"/>
      <c r="B9051" s="391"/>
      <c r="C9051" s="391"/>
      <c r="D9051" s="391"/>
      <c r="E9051" s="390"/>
      <c r="F9051" s="392"/>
      <c r="G9051" s="390"/>
      <c r="H9051" s="394"/>
    </row>
    <row r="9052" spans="1:8" ht="15.75" customHeight="1" x14ac:dyDescent="0.25">
      <c r="A9052" s="390" t="s">
        <v>20</v>
      </c>
      <c r="B9052" s="390"/>
      <c r="C9052" s="390"/>
      <c r="D9052" s="391"/>
      <c r="E9052" s="390"/>
      <c r="F9052" s="392"/>
      <c r="G9052" s="390"/>
      <c r="H9052" s="394"/>
    </row>
    <row r="9053" spans="1:8" ht="15.75" customHeight="1" x14ac:dyDescent="0.25">
      <c r="A9053" s="390" t="inlineStr">
        <is>
          <t>Dealer-013</t>
        </is>
      </c>
      <c r="B9053" s="390"/>
      <c r="C9053" s="390" t="inlineStr">
        <is>
          <t>ATTN: Contact-003</t>
        </is>
      </c>
      <c r="D9053" s="391"/>
      <c r="E9053" s="390"/>
      <c r="F9053" s="395" t="s">
        <v>18</v>
      </c>
      <c r="G9053" s="390" t="s">
        <v>989</v>
      </c>
      <c r="H9053" s="394"/>
    </row>
    <row r="9054" spans="1:8" ht="15.75" customHeight="1" x14ac:dyDescent="0.25">
      <c r="A9054" s="390" t="inlineStr">
        <is>
          <t>Address line (redacted)</t>
        </is>
      </c>
      <c r="B9054" s="390"/>
      <c r="C9054" s="390"/>
      <c r="D9054" s="391"/>
      <c r="E9054" s="390"/>
      <c r="F9054" s="393" t="s">
        <v>21</v>
      </c>
      <c r="G9054" s="390" t="s">
        <v>1876</v>
      </c>
      <c r="H9054" s="394"/>
    </row>
    <row r="9055" spans="1:8" ht="15.75" customHeight="1" x14ac:dyDescent="0.25">
      <c r="A9055" s="390" t="inlineStr">
        <is>
          <t>Address line (redacted)</t>
        </is>
      </c>
      <c r="B9055" s="390"/>
      <c r="C9055" s="390"/>
      <c r="D9055" s="391"/>
      <c r="E9055" s="390"/>
      <c r="F9055" s="391"/>
      <c r="G9055" s="390"/>
      <c r="H9055" s="394"/>
    </row>
    <row r="9056" spans="1:8" ht="15.75" customHeight="1" x14ac:dyDescent="0.25">
      <c r="A9056" s="390"/>
      <c r="B9056" s="390"/>
      <c r="C9056" s="393"/>
      <c r="D9056" s="391"/>
      <c r="E9056" s="390"/>
      <c r="F9056" s="391"/>
      <c r="G9056" s="390"/>
      <c r="H9056" s="394"/>
    </row>
    <row r="9057" spans="1:20" ht="15.75" customHeight="1" x14ac:dyDescent="0.25">
      <c r="A9057" s="390"/>
      <c r="B9057" s="390"/>
      <c r="C9057" s="390"/>
      <c r="D9057" s="391"/>
      <c r="E9057" s="390"/>
      <c r="F9057" s="391"/>
      <c r="G9057" s="390"/>
      <c r="H9057" s="394"/>
    </row>
    <row r="9058" spans="1:20" ht="15.75" customHeight="1" x14ac:dyDescent="0.25">
      <c r="A9058" s="390" t="s">
        <v>30</v>
      </c>
      <c r="B9058" s="390"/>
      <c r="C9058" s="390"/>
      <c r="D9058" s="391"/>
      <c r="E9058" s="390"/>
      <c r="F9058" s="391"/>
      <c r="G9058" s="390"/>
      <c r="H9058" s="394"/>
    </row>
    <row r="9059" spans="1:20" ht="15.75" customHeight="1" x14ac:dyDescent="0.25">
      <c r="A9059" s="390"/>
      <c r="B9059" s="390"/>
      <c r="C9059" s="390"/>
      <c r="D9059" s="391"/>
      <c r="E9059" s="390"/>
      <c r="F9059" s="391"/>
      <c r="G9059" s="390"/>
      <c r="H9059" s="394"/>
    </row>
    <row r="9060" spans="1:20" ht="15.75" customHeight="1" x14ac:dyDescent="0.25">
      <c r="A9060" s="390" t="s">
        <v>1322</v>
      </c>
      <c r="B9060" s="390"/>
      <c r="C9060" s="390"/>
      <c r="D9060" s="391"/>
      <c r="E9060" s="390"/>
      <c r="F9060" s="391"/>
      <c r="G9060" s="390"/>
      <c r="H9060" s="394"/>
    </row>
    <row r="9061" spans="1:20" ht="15.75" customHeight="1" x14ac:dyDescent="0.25">
      <c r="A9061" s="390" t="s">
        <v>1328</v>
      </c>
      <c r="B9061" s="390"/>
      <c r="C9061" s="390"/>
      <c r="D9061" s="391"/>
      <c r="E9061" s="390"/>
      <c r="F9061" s="391"/>
      <c r="G9061" s="390"/>
      <c r="H9061" s="394"/>
    </row>
    <row r="9062" spans="1:20" ht="15.75" customHeight="1" x14ac:dyDescent="0.25">
      <c r="A9062" s="390"/>
      <c r="B9062" s="390"/>
      <c r="C9062" s="390"/>
      <c r="D9062" s="391"/>
      <c r="E9062" s="390"/>
      <c r="F9062" s="391"/>
      <c r="G9062" s="390"/>
      <c r="H9062" s="394"/>
    </row>
    <row r="9063" spans="1:20" ht="15.75" customHeight="1" x14ac:dyDescent="0.25">
      <c r="A9063" s="399" t="s">
        <v>33</v>
      </c>
      <c r="B9063" s="400" t="s">
        <v>6</v>
      </c>
      <c r="C9063" s="400"/>
      <c r="D9063" s="401" t="s">
        <v>37</v>
      </c>
      <c r="E9063" s="402" t="s">
        <v>1309</v>
      </c>
      <c r="F9063" s="609" t="s">
        <v>7</v>
      </c>
      <c r="G9063" s="400" t="s">
        <v>43</v>
      </c>
      <c r="H9063" s="405" t="s">
        <v>44</v>
      </c>
    </row>
    <row r="9064" spans="1:20" ht="15.75" customHeight="1" x14ac:dyDescent="0.25">
      <c r="A9064" s="610"/>
      <c r="B9064" s="611"/>
      <c r="C9064" s="611"/>
      <c r="D9064" s="612"/>
      <c r="E9064" s="613"/>
      <c r="F9064" s="614"/>
      <c r="G9064" s="611"/>
      <c r="H9064" s="615"/>
    </row>
    <row r="9065" spans="1:20" ht="15.75" customHeight="1" x14ac:dyDescent="0.25">
      <c r="A9065" s="412"/>
      <c r="B9065" s="654" t="s">
        <v>677</v>
      </c>
      <c r="C9065" s="654"/>
      <c r="D9065" s="415"/>
      <c r="E9065" s="415"/>
      <c r="F9065" s="415"/>
      <c r="G9065" s="415"/>
      <c r="H9065" s="416"/>
    </row>
    <row r="9066" spans="1:20" ht="15.75" customHeight="1" x14ac:dyDescent="0.25">
      <c r="A9066" s="581" t="s">
        <v>55</v>
      </c>
      <c r="B9066" s="582" t="s">
        <v>1077</v>
      </c>
      <c r="C9066" s="582" t="s">
        <v>5</v>
      </c>
      <c r="D9066" s="415">
        <v>12</v>
      </c>
      <c r="E9066" s="415">
        <v>24</v>
      </c>
      <c r="F9066" s="415">
        <f t="shared" ref="F9066:F9067" si="302">+E9066*D9066</f>
      </c>
      <c r="G9066" s="415">
        <v>1</v>
      </c>
      <c r="H9066" s="589">
        <f>+G9066*F9066</f>
      </c>
      <c r="I9066" s="827"/>
      <c r="J9066" s="827"/>
      <c r="K9066" s="827"/>
      <c r="L9066" s="827"/>
      <c r="M9066" s="827"/>
      <c r="N9066" s="827"/>
      <c r="O9066" s="827"/>
      <c r="P9066" s="827"/>
      <c r="Q9066" s="827"/>
      <c r="R9066" s="827"/>
      <c r="S9066" s="827"/>
      <c r="T9066" s="827"/>
    </row>
    <row r="9067" spans="1:20" ht="15.75" customHeight="1" x14ac:dyDescent="0.25">
      <c r="A9067" s="828" t="s">
        <v>59</v>
      </c>
      <c r="B9067" s="705" t="s">
        <v>1077</v>
      </c>
      <c r="C9067" s="705" t="s">
        <v>5</v>
      </c>
      <c r="D9067" s="707">
        <v>1</v>
      </c>
      <c r="E9067" s="707">
        <v>24</v>
      </c>
      <c r="F9067" s="707">
        <f t="shared" si="302"/>
      </c>
      <c r="G9067" s="705" t="s">
        <v>2187</v>
      </c>
      <c r="H9067" s="829"/>
    </row>
    <row r="9068" spans="1:20" ht="15.75" customHeight="1" x14ac:dyDescent="0.25">
      <c r="A9068" s="581"/>
      <c r="B9068" s="582"/>
      <c r="C9068" s="582"/>
      <c r="D9068" s="415"/>
      <c r="E9068" s="415"/>
      <c r="F9068" s="415"/>
      <c r="G9068" s="415"/>
      <c r="H9068" s="589"/>
    </row>
    <row r="9069" spans="1:20" ht="15.75" customHeight="1" x14ac:dyDescent="0.25">
      <c r="A9069" s="430"/>
      <c r="B9069" s="409"/>
      <c r="C9069" s="393"/>
      <c r="D9069" s="427"/>
      <c r="E9069" s="427"/>
      <c r="F9069" s="428"/>
      <c r="G9069" s="427"/>
      <c r="H9069" s="429"/>
    </row>
    <row r="9070" spans="1:20" ht="15.75" customHeight="1" x14ac:dyDescent="0.25">
      <c r="A9070" s="432"/>
      <c r="B9070" s="433"/>
      <c r="C9070" s="434" t="s">
        <v>85</v>
      </c>
      <c r="D9070" s="659">
        <f>SUM(D9065:D9069)</f>
      </c>
      <c r="E9070" s="401"/>
      <c r="F9070" s="660"/>
      <c r="G9070" s="661"/>
      <c r="H9070" s="623">
        <f>SUM(H9065:H9069)</f>
      </c>
    </row>
    <row r="9071" spans="1:20" ht="15.75" customHeight="1" x14ac:dyDescent="0.25">
      <c r="A9071" s="439"/>
      <c r="B9071" s="440"/>
      <c r="C9071" s="440"/>
      <c r="D9071" s="441"/>
      <c r="E9071" s="440"/>
      <c r="F9071" s="442"/>
      <c r="G9071" s="443"/>
      <c r="H9071" s="444"/>
    </row>
    <row r="9072" spans="1:20" ht="15.75" customHeight="1" x14ac:dyDescent="0.25">
      <c r="A9072" s="392"/>
      <c r="B9072" s="391"/>
      <c r="C9072" s="391"/>
      <c r="D9072" s="391"/>
      <c r="E9072" s="390"/>
      <c r="F9072" s="392"/>
      <c r="G9072" s="390"/>
      <c r="H9072" s="394"/>
    </row>
    <row r="9073" spans="1:8" ht="15.75" customHeight="1" x14ac:dyDescent="0.25">
      <c r="A9073" s="445"/>
      <c r="B9073" s="445"/>
      <c r="C9073" s="445"/>
      <c r="D9073" s="446" t="s">
        <v>97</v>
      </c>
      <c r="E9073" s="445" t="s">
        <v>98</v>
      </c>
      <c r="F9073" s="445"/>
      <c r="G9073" s="390"/>
      <c r="H9073" s="394"/>
    </row>
    <row r="9074" spans="1:8" ht="15.75" customHeight="1" x14ac:dyDescent="0.25">
      <c r="A9074" s="390"/>
      <c r="B9074" s="390"/>
      <c r="C9074" s="390"/>
      <c r="D9074" s="391"/>
      <c r="E9074" s="390"/>
      <c r="F9074" s="390"/>
      <c r="G9074" s="390"/>
      <c r="H9074" s="394"/>
    </row>
    <row r="9075" spans="1:8" ht="15.75" customHeight="1" x14ac:dyDescent="0.25">
      <c r="A9075" s="390"/>
      <c r="B9075" s="390"/>
      <c r="C9075" s="390"/>
      <c r="D9075" s="391"/>
      <c r="E9075" s="390"/>
      <c r="F9075" s="390"/>
      <c r="G9075" s="390"/>
      <c r="H9075" s="394"/>
    </row>
    <row r="9076" spans="1:8" ht="15.75" customHeight="1" x14ac:dyDescent="0.25">
      <c r="A9076" s="445"/>
      <c r="B9076" s="445"/>
      <c r="C9076" s="445"/>
      <c r="D9076" s="446"/>
      <c r="E9076" s="445" t="s">
        <v>99</v>
      </c>
      <c r="F9076" s="445"/>
      <c r="G9076" s="390"/>
      <c r="H9076" s="394"/>
    </row>
    <row r="9077" spans="1:8" ht="15.75" customHeight="1" x14ac:dyDescent="0.25">
      <c r="D9077" s="4"/>
      <c r="H9077" s="4"/>
    </row>
    <row r="9078" spans="1:8" ht="15.75" customHeight="1" x14ac:dyDescent="0.25">
      <c r="D9078" s="4"/>
      <c r="H9078" s="4"/>
    </row>
    <row r="9079" spans="1:8" ht="15.75" customHeight="1" x14ac:dyDescent="0.25">
      <c r="D9079" s="4"/>
      <c r="H9079" s="4"/>
    </row>
    <row r="9080" spans="1:8" ht="15.75" customHeight="1" x14ac:dyDescent="0.25">
      <c r="D9080" s="4"/>
      <c r="H9080" s="4"/>
    </row>
    <row r="9081" spans="1:8" ht="15.75" customHeight="1" x14ac:dyDescent="0.25">
      <c r="D9081" s="4"/>
      <c r="H9081" s="4"/>
    </row>
    <row r="9082" spans="1:8" ht="15.75" customHeight="1" x14ac:dyDescent="0.25">
      <c r="D9082" s="4"/>
      <c r="H9082" s="4"/>
    </row>
    <row r="9083" spans="1:8" ht="15.75" customHeight="1" x14ac:dyDescent="0.25">
      <c r="D9083" s="4"/>
      <c r="H9083" s="4"/>
    </row>
    <row r="9084" spans="1:8" ht="15.75" customHeight="1" x14ac:dyDescent="0.25">
      <c r="D9084" s="4"/>
      <c r="H9084" s="4"/>
    </row>
    <row r="9085" spans="1:8" ht="15.75" customHeight="1" x14ac:dyDescent="0.25">
      <c r="D9085" s="4"/>
      <c r="H9085" s="4"/>
    </row>
    <row r="9086" spans="1:8" ht="15.75" customHeight="1" x14ac:dyDescent="0.25">
      <c r="D9086" s="4"/>
      <c r="H9086" s="4"/>
    </row>
    <row r="9087" spans="1:8" ht="15.75" customHeight="1" x14ac:dyDescent="0.25">
      <c r="D9087" s="4"/>
      <c r="H9087" s="4"/>
    </row>
    <row r="9088" spans="1:8" ht="15.75" customHeight="1" x14ac:dyDescent="0.25">
      <c r="D9088" s="4"/>
      <c r="H9088" s="4"/>
    </row>
    <row r="9089" spans="1:8" ht="15.75" customHeight="1" x14ac:dyDescent="0.25">
      <c r="D9089" s="4"/>
      <c r="H9089" s="4"/>
    </row>
    <row r="9090" spans="1:8" ht="15.75" customHeight="1" x14ac:dyDescent="0.25">
      <c r="D9090" s="4"/>
      <c r="H9090" s="4"/>
    </row>
    <row r="9091" spans="1:8" ht="15.75" customHeight="1" x14ac:dyDescent="0.25">
      <c r="D9091" s="4"/>
      <c r="H9091" s="4"/>
    </row>
    <row r="9092" spans="1:8" ht="15.75" customHeight="1" x14ac:dyDescent="0.25">
      <c r="D9092" s="4"/>
      <c r="H9092" s="4"/>
    </row>
    <row r="9093" spans="1:8" ht="15.75" customHeight="1" x14ac:dyDescent="0.25">
      <c r="D9093" s="4"/>
      <c r="H9093" s="4"/>
    </row>
    <row r="9094" spans="1:8" ht="15.75" customHeight="1" x14ac:dyDescent="0.25">
      <c r="D9094" s="4"/>
      <c r="H9094" s="4"/>
    </row>
    <row r="9095" spans="1:8" ht="15.75" customHeight="1" x14ac:dyDescent="0.25">
      <c r="A9095" s="398" t="s">
        <v>14</v>
      </c>
      <c r="B9095" s="398"/>
      <c r="C9095" s="398"/>
      <c r="D9095" s="398"/>
      <c r="E9095" s="398"/>
      <c r="F9095" s="398"/>
      <c r="G9095" s="398"/>
      <c r="H9095" s="398"/>
    </row>
    <row r="9096" spans="1:8" ht="15.75" customHeight="1" x14ac:dyDescent="0.25">
      <c r="A9096" s="398"/>
      <c r="B9096" s="398"/>
      <c r="C9096" s="398"/>
      <c r="D9096" s="398"/>
      <c r="E9096" s="398"/>
      <c r="F9096" s="398"/>
      <c r="G9096" s="398"/>
      <c r="H9096" s="398"/>
    </row>
    <row r="9097" spans="1:8" ht="15.75" customHeight="1" x14ac:dyDescent="0.25">
      <c r="A9097" s="398"/>
      <c r="B9097" s="398"/>
      <c r="C9097" s="398"/>
      <c r="D9097" s="398"/>
      <c r="E9097" s="398"/>
      <c r="F9097" s="398"/>
      <c r="G9097" s="398"/>
      <c r="H9097" s="398"/>
    </row>
    <row r="9098" spans="1:8" ht="15.75" customHeight="1" x14ac:dyDescent="0.25">
      <c r="A9098" s="390"/>
      <c r="B9098" s="390"/>
      <c r="C9098" s="390"/>
      <c r="D9098" s="391"/>
      <c r="E9098" s="390"/>
      <c r="F9098" s="395" t="s">
        <v>18</v>
      </c>
      <c r="G9098" s="396" t="s">
        <v>989</v>
      </c>
      <c r="H9098" s="397"/>
    </row>
    <row r="9099" spans="1:8" ht="15.75" customHeight="1" x14ac:dyDescent="0.25">
      <c r="A9099" s="390" t="s">
        <v>20</v>
      </c>
      <c r="B9099" s="390"/>
      <c r="C9099" s="390"/>
      <c r="D9099" s="391"/>
      <c r="E9099" s="390"/>
      <c r="F9099" s="395" t="s">
        <v>21</v>
      </c>
      <c r="G9099" s="390" t="s">
        <v>1877</v>
      </c>
      <c r="H9099" s="391"/>
    </row>
    <row r="9100" spans="1:8" ht="15.75" customHeight="1" x14ac:dyDescent="0.25">
      <c r="A9100" s="390" t="inlineStr">
        <is>
          <t>Dealer-018</t>
        </is>
      </c>
      <c r="B9100" s="390"/>
      <c r="C9100" s="390"/>
      <c r="D9100" s="391"/>
      <c r="E9100" s="395"/>
      <c r="F9100" s="390"/>
      <c r="G9100" s="390"/>
      <c r="H9100" s="394"/>
    </row>
    <row r="9101" spans="1:8" ht="15.75" customHeight="1" x14ac:dyDescent="0.25">
      <c r="A9101" s="390" t="inlineStr">
        <is>
          <t>Address line (redacted)</t>
        </is>
      </c>
      <c r="B9101" s="390"/>
      <c r="C9101" s="390"/>
      <c r="D9101" s="398"/>
      <c r="E9101" s="390"/>
      <c r="F9101" s="391"/>
      <c r="G9101" s="390"/>
      <c r="H9101" s="394"/>
    </row>
    <row r="9102" spans="1:8" ht="15.75" customHeight="1" x14ac:dyDescent="0.25">
      <c r="A9102" s="390"/>
      <c r="B9102" s="390"/>
      <c r="C9102" s="390"/>
      <c r="D9102" s="398"/>
      <c r="E9102" s="390"/>
      <c r="F9102" s="391"/>
      <c r="G9102" s="390"/>
      <c r="H9102" s="394"/>
    </row>
    <row r="9103" spans="1:8" ht="15.75" customHeight="1" x14ac:dyDescent="0.25">
      <c r="A9103" s="447"/>
      <c r="B9103" s="390"/>
      <c r="C9103" s="390"/>
      <c r="D9103" s="391"/>
      <c r="E9103" s="390"/>
      <c r="F9103" s="391"/>
      <c r="G9103" s="390"/>
      <c r="H9103" s="394"/>
    </row>
    <row r="9104" spans="1:8" ht="15.75" customHeight="1" x14ac:dyDescent="0.25">
      <c r="A9104" s="390" t="s">
        <v>30</v>
      </c>
      <c r="B9104" s="390"/>
      <c r="C9104" s="390"/>
      <c r="D9104" s="391"/>
      <c r="E9104" s="390"/>
      <c r="F9104" s="391"/>
      <c r="G9104" s="390"/>
      <c r="H9104" s="394"/>
    </row>
    <row r="9105" spans="1:8" ht="15.75" customHeight="1" x14ac:dyDescent="0.25">
      <c r="A9105" s="390"/>
      <c r="B9105" s="390"/>
      <c r="C9105" s="390"/>
      <c r="D9105" s="391"/>
      <c r="E9105" s="390"/>
      <c r="F9105" s="391"/>
      <c r="G9105" s="390"/>
      <c r="H9105" s="394"/>
    </row>
    <row r="9106" spans="1:8" ht="15.75" customHeight="1" x14ac:dyDescent="0.25">
      <c r="A9106" s="390" t="s">
        <v>1322</v>
      </c>
      <c r="B9106" s="390"/>
      <c r="C9106" s="390"/>
      <c r="D9106" s="391"/>
      <c r="E9106" s="390"/>
      <c r="F9106" s="391"/>
      <c r="G9106" s="390"/>
      <c r="H9106" s="394"/>
    </row>
    <row r="9107" spans="1:8" ht="15.75" customHeight="1" x14ac:dyDescent="0.25">
      <c r="A9107" s="390" t="s">
        <v>1328</v>
      </c>
      <c r="B9107" s="390"/>
      <c r="C9107" s="390"/>
      <c r="D9107" s="391"/>
      <c r="E9107" s="390"/>
      <c r="F9107" s="391"/>
      <c r="G9107" s="390"/>
      <c r="H9107" s="394"/>
    </row>
    <row r="9108" spans="1:8" ht="15.75" customHeight="1" x14ac:dyDescent="0.25">
      <c r="A9108" s="399" t="s">
        <v>33</v>
      </c>
      <c r="B9108" s="400" t="s">
        <v>6</v>
      </c>
      <c r="C9108" s="400"/>
      <c r="D9108" s="401" t="s">
        <v>37</v>
      </c>
      <c r="E9108" s="402" t="s">
        <v>38</v>
      </c>
      <c r="F9108" s="403" t="s">
        <v>7</v>
      </c>
      <c r="G9108" s="404" t="s">
        <v>43</v>
      </c>
      <c r="H9108" s="405" t="s">
        <v>44</v>
      </c>
    </row>
    <row r="9109" spans="1:8" ht="15.75" customHeight="1" x14ac:dyDescent="0.25">
      <c r="A9109" s="406"/>
      <c r="B9109" s="407"/>
      <c r="C9109" s="393"/>
      <c r="D9109" s="408"/>
      <c r="E9109" s="408"/>
      <c r="F9109" s="409"/>
      <c r="G9109" s="410"/>
      <c r="H9109" s="411"/>
    </row>
    <row r="9110" spans="1:8" ht="15.75" customHeight="1" x14ac:dyDescent="0.25">
      <c r="A9110" s="502"/>
      <c r="B9110" s="557" t="s">
        <v>1873</v>
      </c>
      <c r="C9110" s="558"/>
      <c r="D9110" s="427"/>
      <c r="E9110" s="427"/>
      <c r="F9110" s="391"/>
      <c r="G9110" s="675"/>
      <c r="H9110" s="429"/>
    </row>
    <row r="9111" spans="1:8" ht="15.75" customHeight="1" x14ac:dyDescent="0.25">
      <c r="A9111" s="502" t="s">
        <v>55</v>
      </c>
      <c r="B9111" s="503" t="s">
        <v>1768</v>
      </c>
      <c r="C9111" s="390" t="s">
        <v>1843</v>
      </c>
      <c r="D9111" s="427">
        <v>2</v>
      </c>
      <c r="E9111" s="427">
        <v>10</v>
      </c>
      <c r="F9111" s="391">
        <f>+E9111*D9111</f>
      </c>
      <c r="G9111" s="427">
        <v>1</v>
      </c>
      <c r="H9111" s="429">
        <f>+G9111*F9111</f>
      </c>
    </row>
    <row r="9112" spans="1:8" ht="15.75" customHeight="1" x14ac:dyDescent="0.25">
      <c r="A9112" s="502"/>
      <c r="B9112" s="557" t="s">
        <v>1822</v>
      </c>
      <c r="C9112" s="558"/>
      <c r="D9112" s="427"/>
      <c r="E9112" s="427"/>
      <c r="F9112" s="391"/>
      <c r="G9112" s="427"/>
      <c r="H9112" s="429"/>
    </row>
    <row r="9113" spans="1:8" ht="15.75" customHeight="1" x14ac:dyDescent="0.25">
      <c r="A9113" s="502" t="s">
        <v>59</v>
      </c>
      <c r="B9113" s="503" t="s">
        <v>1851</v>
      </c>
      <c r="C9113" s="390" t="s">
        <v>1843</v>
      </c>
      <c r="D9113" s="427">
        <v>2</v>
      </c>
      <c r="E9113" s="427">
        <v>10</v>
      </c>
      <c r="F9113" s="391">
        <f>+E9113*D9113</f>
      </c>
      <c r="G9113" s="427">
        <v>1</v>
      </c>
      <c r="H9113" s="429">
        <f>+G9113*F9113</f>
      </c>
    </row>
    <row r="9114" spans="1:8" ht="15.75" customHeight="1" x14ac:dyDescent="0.25">
      <c r="A9114" s="502"/>
      <c r="B9114" s="557"/>
      <c r="C9114" s="558"/>
      <c r="D9114" s="427"/>
      <c r="E9114" s="427"/>
      <c r="F9114" s="391"/>
      <c r="G9114" s="427"/>
      <c r="H9114" s="429"/>
    </row>
    <row r="9115" spans="1:8" ht="15.75" customHeight="1" x14ac:dyDescent="0.25">
      <c r="A9115" s="502"/>
      <c r="B9115" s="503"/>
      <c r="C9115" s="825"/>
      <c r="D9115" s="427"/>
      <c r="E9115" s="427"/>
      <c r="F9115" s="391"/>
      <c r="G9115" s="427"/>
      <c r="H9115" s="429"/>
    </row>
    <row r="9116" spans="1:8" ht="15.75" customHeight="1" x14ac:dyDescent="0.25">
      <c r="A9116" s="502"/>
      <c r="B9116" s="503"/>
      <c r="C9116" s="825"/>
      <c r="D9116" s="427"/>
      <c r="E9116" s="427"/>
      <c r="F9116" s="391"/>
      <c r="G9116" s="427"/>
      <c r="H9116" s="429"/>
    </row>
    <row r="9117" spans="1:8" ht="15.75" customHeight="1" x14ac:dyDescent="0.25">
      <c r="A9117" s="502"/>
      <c r="B9117" s="826"/>
      <c r="C9117" s="825"/>
      <c r="D9117" s="427"/>
      <c r="E9117" s="427"/>
      <c r="F9117" s="391"/>
      <c r="G9117" s="427"/>
      <c r="H9117" s="429"/>
    </row>
    <row r="9118" spans="1:8" ht="15.75" customHeight="1" x14ac:dyDescent="0.25">
      <c r="A9118" s="502"/>
      <c r="B9118" s="718"/>
      <c r="C9118" s="567"/>
      <c r="D9118" s="427"/>
      <c r="E9118" s="427"/>
      <c r="F9118" s="391"/>
      <c r="G9118" s="427"/>
      <c r="H9118" s="429"/>
    </row>
    <row r="9119" spans="1:8" ht="15.75" customHeight="1" x14ac:dyDescent="0.25">
      <c r="A9119" s="502"/>
      <c r="B9119" s="718"/>
      <c r="C9119" s="567"/>
      <c r="D9119" s="427"/>
      <c r="E9119" s="427"/>
      <c r="F9119" s="391"/>
      <c r="G9119" s="427"/>
      <c r="H9119" s="429"/>
    </row>
    <row r="9120" spans="1:8" ht="15.75" customHeight="1" x14ac:dyDescent="0.25">
      <c r="A9120" s="502"/>
      <c r="B9120" s="718"/>
      <c r="C9120" s="567"/>
      <c r="D9120" s="427"/>
      <c r="E9120" s="427"/>
      <c r="F9120" s="391"/>
      <c r="G9120" s="427"/>
      <c r="H9120" s="429"/>
    </row>
    <row r="9121" spans="1:8" ht="15.75" customHeight="1" x14ac:dyDescent="0.25">
      <c r="A9121" s="432"/>
      <c r="B9121" s="433"/>
      <c r="C9121" s="434" t="s">
        <v>85</v>
      </c>
      <c r="D9121" s="435">
        <f>SUM(D9110:D9120)</f>
      </c>
      <c r="E9121" s="435"/>
      <c r="F9121" s="436"/>
      <c r="G9121" s="437"/>
      <c r="H9121" s="438">
        <f>SUM(H9111:H9120)</f>
      </c>
    </row>
    <row r="9122" spans="1:8" ht="15.75" customHeight="1" x14ac:dyDescent="0.25">
      <c r="A9122" s="439"/>
      <c r="B9122" s="440"/>
      <c r="C9122" s="440"/>
      <c r="D9122" s="441"/>
      <c r="E9122" s="440"/>
      <c r="F9122" s="442"/>
      <c r="G9122" s="443"/>
      <c r="H9122" s="444"/>
    </row>
    <row r="9123" spans="1:8" ht="15.75" customHeight="1" x14ac:dyDescent="0.25">
      <c r="A9123" s="565" t="s">
        <v>1215</v>
      </c>
      <c r="B9123" s="565"/>
      <c r="C9123" s="565"/>
      <c r="D9123" s="565"/>
      <c r="E9123" s="565"/>
      <c r="F9123" s="565"/>
      <c r="G9123" s="565"/>
      <c r="H9123" s="565"/>
    </row>
    <row r="9124" spans="1:8" ht="15.75" customHeight="1" x14ac:dyDescent="0.25">
      <c r="A9124" s="445"/>
      <c r="B9124" s="445"/>
      <c r="C9124" s="445"/>
      <c r="D9124" s="446" t="s">
        <v>97</v>
      </c>
      <c r="E9124" s="445" t="s">
        <v>98</v>
      </c>
      <c r="F9124" s="445"/>
      <c r="G9124" s="390"/>
      <c r="H9124" s="394"/>
    </row>
    <row r="9125" spans="1:8" ht="15.75" customHeight="1" x14ac:dyDescent="0.25">
      <c r="A9125" s="445"/>
      <c r="B9125" s="445"/>
      <c r="C9125" s="445"/>
      <c r="D9125" s="446"/>
      <c r="E9125" s="445"/>
      <c r="F9125" s="445"/>
      <c r="G9125" s="390"/>
      <c r="H9125" s="394"/>
    </row>
    <row r="9126" spans="1:8" ht="15.75" customHeight="1" x14ac:dyDescent="0.25">
      <c r="A9126" s="445"/>
      <c r="B9126" s="445"/>
      <c r="C9126" s="445"/>
      <c r="D9126" s="446"/>
      <c r="E9126" s="445"/>
      <c r="F9126" s="445"/>
      <c r="G9126" s="390"/>
      <c r="H9126" s="394"/>
    </row>
    <row r="9127" spans="1:8" ht="15.75" customHeight="1" x14ac:dyDescent="0.25">
      <c r="A9127" s="445"/>
      <c r="B9127" s="445"/>
      <c r="C9127" s="445"/>
      <c r="D9127" s="446"/>
      <c r="E9127" s="445" t="s">
        <v>99</v>
      </c>
      <c r="F9127" s="445"/>
      <c r="G9127" s="390"/>
      <c r="H9127" s="394"/>
    </row>
    <row r="9128" spans="1:8" ht="15.75" customHeight="1" x14ac:dyDescent="0.25">
      <c r="D9128" s="4"/>
      <c r="H9128" s="4"/>
    </row>
    <row r="9129" spans="1:8" ht="15.75" customHeight="1" x14ac:dyDescent="0.25">
      <c r="D9129" s="4"/>
      <c r="H9129" s="4"/>
    </row>
    <row r="9130" spans="1:8" ht="15.75" customHeight="1" x14ac:dyDescent="0.25">
      <c r="D9130" s="4"/>
      <c r="H9130" s="4"/>
    </row>
    <row r="9131" spans="1:8" ht="15.75" customHeight="1" x14ac:dyDescent="0.25">
      <c r="D9131" s="4"/>
      <c r="H9131" s="4"/>
    </row>
    <row r="9132" spans="1:8" ht="15.75" customHeight="1" x14ac:dyDescent="0.25">
      <c r="D9132" s="4"/>
      <c r="H9132" s="4"/>
    </row>
    <row r="9133" spans="1:8" ht="15.75" customHeight="1" x14ac:dyDescent="0.25">
      <c r="D9133" s="4"/>
      <c r="H9133" s="4"/>
    </row>
    <row r="9134" spans="1:8" ht="15.75" customHeight="1" x14ac:dyDescent="0.25">
      <c r="D9134" s="4"/>
      <c r="H9134" s="4"/>
    </row>
    <row r="9135" spans="1:8" ht="15.75" customHeight="1" x14ac:dyDescent="0.25">
      <c r="D9135" s="4"/>
      <c r="H9135" s="4"/>
    </row>
    <row r="9136" spans="1:8" ht="15.75" customHeight="1" x14ac:dyDescent="0.25">
      <c r="D9136" s="4"/>
      <c r="H9136" s="4"/>
    </row>
    <row r="9137" spans="1:8" ht="15.75" customHeight="1" x14ac:dyDescent="0.25">
      <c r="D9137" s="4"/>
      <c r="H9137" s="4"/>
    </row>
    <row r="9138" spans="1:8" ht="15.75" customHeight="1" x14ac:dyDescent="0.25">
      <c r="D9138" s="4"/>
      <c r="H9138" s="4"/>
    </row>
    <row r="9139" spans="1:8" ht="15.75" customHeight="1" x14ac:dyDescent="0.25">
      <c r="D9139" s="4"/>
      <c r="H9139" s="4"/>
    </row>
    <row r="9140" spans="1:8" ht="15.75" customHeight="1" x14ac:dyDescent="0.25">
      <c r="D9140" s="4"/>
      <c r="H9140" s="4"/>
    </row>
    <row r="9141" spans="1:8" ht="15.75" customHeight="1" x14ac:dyDescent="0.25">
      <c r="A9141" s="398" t="s">
        <v>14</v>
      </c>
      <c r="B9141" s="398"/>
      <c r="C9141" s="398"/>
      <c r="D9141" s="398"/>
      <c r="E9141" s="398"/>
      <c r="F9141" s="398"/>
      <c r="G9141" s="398"/>
      <c r="H9141" s="398"/>
    </row>
    <row r="9142" spans="1:8" ht="15.75" customHeight="1" x14ac:dyDescent="0.25">
      <c r="A9142" s="398"/>
      <c r="B9142" s="398"/>
      <c r="C9142" s="398"/>
      <c r="D9142" s="398"/>
      <c r="E9142" s="398"/>
      <c r="F9142" s="398"/>
      <c r="G9142" s="398"/>
      <c r="H9142" s="398"/>
    </row>
    <row r="9143" spans="1:8" ht="15.75" customHeight="1" x14ac:dyDescent="0.25">
      <c r="A9143" s="390"/>
      <c r="B9143" s="390"/>
      <c r="C9143" s="390"/>
      <c r="D9143" s="391"/>
      <c r="E9143" s="390"/>
      <c r="F9143" s="395" t="s">
        <v>18</v>
      </c>
      <c r="G9143" s="396" t="s">
        <v>993</v>
      </c>
      <c r="H9143" s="397"/>
    </row>
    <row r="9144" spans="1:8" ht="15.75" customHeight="1" x14ac:dyDescent="0.25">
      <c r="A9144" s="390" t="s">
        <v>20</v>
      </c>
      <c r="B9144" s="390"/>
      <c r="C9144" s="390"/>
      <c r="D9144" s="391"/>
      <c r="E9144" s="390"/>
      <c r="F9144" s="395" t="s">
        <v>21</v>
      </c>
      <c r="G9144" s="390" t="s">
        <v>1878</v>
      </c>
      <c r="H9144" s="391"/>
    </row>
    <row r="9145" spans="1:8" ht="15.75" customHeight="1" x14ac:dyDescent="0.25">
      <c r="A9145" s="390" t="inlineStr">
        <is>
          <t>Dealer-009</t>
        </is>
      </c>
      <c r="B9145" s="390"/>
      <c r="C9145" s="390" t="inlineStr">
        <is>
          <t>ATTN: Contact-001</t>
        </is>
      </c>
      <c r="D9145" s="391"/>
      <c r="E9145" s="395"/>
      <c r="F9145" s="390"/>
      <c r="G9145" s="390"/>
      <c r="H9145" s="394"/>
    </row>
    <row r="9146" spans="1:8" ht="15.75" customHeight="1" x14ac:dyDescent="0.25">
      <c r="A9146" s="390" t="inlineStr">
        <is>
          <t>Address line (redacted)</t>
        </is>
      </c>
      <c r="B9146" s="390"/>
      <c r="C9146" s="390"/>
      <c r="D9146" s="398"/>
      <c r="E9146" s="390"/>
      <c r="F9146" s="391"/>
      <c r="G9146" s="390"/>
      <c r="H9146" s="394"/>
    </row>
    <row r="9147" spans="1:8" ht="15.75" customHeight="1" x14ac:dyDescent="0.25">
      <c r="A9147" s="390" t="inlineStr">
        <is>
          <t>Address line (redacted)</t>
        </is>
      </c>
      <c r="B9147" s="390"/>
      <c r="C9147" s="390"/>
      <c r="D9147" s="398"/>
      <c r="E9147" s="390"/>
      <c r="F9147" s="391"/>
      <c r="G9147" s="390"/>
      <c r="H9147" s="394"/>
    </row>
    <row r="9148" spans="1:8" ht="15.75" customHeight="1" x14ac:dyDescent="0.25">
      <c r="A9148" s="447"/>
      <c r="B9148" s="390"/>
      <c r="C9148" s="390"/>
      <c r="D9148" s="391"/>
      <c r="E9148" s="390"/>
      <c r="F9148" s="391"/>
      <c r="G9148" s="390"/>
      <c r="H9148" s="394"/>
    </row>
    <row r="9149" spans="1:8" ht="15.75" customHeight="1" x14ac:dyDescent="0.25">
      <c r="A9149" s="390" t="s">
        <v>30</v>
      </c>
      <c r="B9149" s="390"/>
      <c r="C9149" s="390"/>
      <c r="D9149" s="391"/>
      <c r="E9149" s="390"/>
      <c r="F9149" s="391"/>
      <c r="G9149" s="390"/>
      <c r="H9149" s="394"/>
    </row>
    <row r="9150" spans="1:8" ht="15.75" customHeight="1" x14ac:dyDescent="0.25">
      <c r="A9150" s="390" t="s">
        <v>1322</v>
      </c>
      <c r="B9150" s="390"/>
      <c r="C9150" s="390"/>
      <c r="D9150" s="391"/>
      <c r="E9150" s="390"/>
      <c r="F9150" s="391"/>
      <c r="G9150" s="390"/>
      <c r="H9150" s="394"/>
    </row>
    <row r="9151" spans="1:8" ht="15.75" customHeight="1" x14ac:dyDescent="0.25">
      <c r="A9151" s="390" t="s">
        <v>1328</v>
      </c>
      <c r="B9151" s="390"/>
      <c r="C9151" s="390"/>
      <c r="D9151" s="391"/>
      <c r="E9151" s="390"/>
      <c r="F9151" s="391"/>
      <c r="G9151" s="390"/>
      <c r="H9151" s="394"/>
    </row>
    <row r="9152" spans="1:8" ht="15.75" customHeight="1" x14ac:dyDescent="0.25">
      <c r="A9152" s="399" t="s">
        <v>33</v>
      </c>
      <c r="B9152" s="400" t="s">
        <v>6</v>
      </c>
      <c r="C9152" s="400"/>
      <c r="D9152" s="401" t="s">
        <v>37</v>
      </c>
      <c r="E9152" s="402" t="s">
        <v>38</v>
      </c>
      <c r="F9152" s="403" t="s">
        <v>7</v>
      </c>
      <c r="G9152" s="404" t="s">
        <v>43</v>
      </c>
      <c r="H9152" s="405" t="s">
        <v>44</v>
      </c>
    </row>
    <row r="9153" spans="1:8" ht="15.75" customHeight="1" x14ac:dyDescent="0.25">
      <c r="A9153" s="406"/>
      <c r="B9153" s="407"/>
      <c r="C9153" s="393"/>
      <c r="D9153" s="408"/>
      <c r="E9153" s="408"/>
      <c r="F9153" s="409"/>
      <c r="G9153" s="410"/>
      <c r="H9153" s="411"/>
    </row>
    <row r="9154" spans="1:8" ht="15.75" customHeight="1" x14ac:dyDescent="0.25">
      <c r="A9154" s="502"/>
      <c r="B9154" s="557" t="s">
        <v>590</v>
      </c>
      <c r="C9154" s="560"/>
      <c r="D9154" s="427"/>
      <c r="E9154" s="427"/>
      <c r="F9154" s="391"/>
      <c r="G9154" s="675"/>
      <c r="H9154" s="429"/>
    </row>
    <row r="9155" spans="1:8" ht="15.75" customHeight="1" x14ac:dyDescent="0.25">
      <c r="A9155" s="502" t="s">
        <v>55</v>
      </c>
      <c r="B9155" s="718" t="s">
        <v>685</v>
      </c>
      <c r="C9155" s="390" t="s">
        <v>2188</v>
      </c>
      <c r="D9155" s="427">
        <v>1</v>
      </c>
      <c r="E9155" s="427">
        <v>6</v>
      </c>
      <c r="F9155" s="391">
        <f t="shared" ref="F9155:F9157" si="303">+E9155*D9155</f>
      </c>
      <c r="G9155" s="427">
        <v>1</v>
      </c>
      <c r="H9155" s="429">
        <f t="shared" ref="H9155:H9157" si="304">+G9155*F9155</f>
      </c>
    </row>
    <row r="9156" spans="1:8" ht="15.75" customHeight="1" x14ac:dyDescent="0.25">
      <c r="A9156" s="502" t="s">
        <v>59</v>
      </c>
      <c r="B9156" s="718" t="s">
        <v>685</v>
      </c>
      <c r="C9156" s="390" t="s">
        <v>2188</v>
      </c>
      <c r="D9156" s="427">
        <v>1</v>
      </c>
      <c r="E9156" s="427">
        <v>2</v>
      </c>
      <c r="F9156" s="391">
        <f t="shared" si="303"/>
      </c>
      <c r="G9156" s="427">
        <v>1</v>
      </c>
      <c r="H9156" s="429">
        <f t="shared" si="304"/>
      </c>
    </row>
    <row r="9157" spans="1:8" ht="15.75" customHeight="1" x14ac:dyDescent="0.25">
      <c r="A9157" s="502" t="s">
        <v>67</v>
      </c>
      <c r="B9157" s="718" t="s">
        <v>125</v>
      </c>
      <c r="C9157" s="390" t="s">
        <v>2189</v>
      </c>
      <c r="D9157" s="427">
        <v>1</v>
      </c>
      <c r="E9157" s="427">
        <v>4</v>
      </c>
      <c r="F9157" s="391">
        <f t="shared" si="303"/>
      </c>
      <c r="G9157" s="427">
        <v>1</v>
      </c>
      <c r="H9157" s="429">
        <f t="shared" si="304"/>
      </c>
    </row>
    <row r="9158" spans="1:8" ht="15.75" customHeight="1" x14ac:dyDescent="0.25">
      <c r="A9158" s="502"/>
      <c r="B9158" s="557" t="s">
        <v>1356</v>
      </c>
      <c r="C9158" s="560"/>
      <c r="D9158" s="427"/>
      <c r="E9158" s="427"/>
      <c r="F9158" s="391"/>
      <c r="G9158" s="675"/>
      <c r="H9158" s="429"/>
    </row>
    <row r="9159" spans="1:8" ht="15.75" customHeight="1" x14ac:dyDescent="0.25">
      <c r="A9159" s="502" t="s">
        <v>485</v>
      </c>
      <c r="B9159" s="503" t="s">
        <v>80</v>
      </c>
      <c r="C9159" s="390" t="s">
        <v>77</v>
      </c>
      <c r="D9159" s="427">
        <v>1</v>
      </c>
      <c r="E9159" s="427">
        <v>5</v>
      </c>
      <c r="F9159" s="391">
        <f>+E9159*D9159</f>
      </c>
      <c r="G9159" s="427">
        <v>1</v>
      </c>
      <c r="H9159" s="429">
        <f>+G9159*F9159</f>
      </c>
    </row>
    <row r="9160" spans="1:8" ht="15.75" customHeight="1" x14ac:dyDescent="0.25">
      <c r="A9160" s="502"/>
      <c r="B9160" s="557" t="s">
        <v>1834</v>
      </c>
      <c r="C9160" s="560"/>
      <c r="D9160" s="427"/>
      <c r="E9160" s="427"/>
      <c r="F9160" s="391"/>
      <c r="G9160" s="427"/>
      <c r="H9160" s="429"/>
    </row>
    <row r="9161" spans="1:8" ht="15.75" customHeight="1" x14ac:dyDescent="0.25">
      <c r="A9161" s="502" t="s">
        <v>486</v>
      </c>
      <c r="B9161" s="718" t="s">
        <v>2173</v>
      </c>
      <c r="C9161" s="631" t="s">
        <v>5</v>
      </c>
      <c r="D9161" s="427">
        <v>12</v>
      </c>
      <c r="E9161" s="428">
        <v>24</v>
      </c>
      <c r="F9161" s="428">
        <f>+E9161*D9161</f>
      </c>
      <c r="G9161" s="427">
        <v>1</v>
      </c>
      <c r="H9161" s="429">
        <f>+G9161*F9161</f>
      </c>
    </row>
    <row r="9162" spans="1:8" ht="15.75" customHeight="1" x14ac:dyDescent="0.25">
      <c r="A9162" s="502" t="s">
        <v>489</v>
      </c>
      <c r="B9162" s="718" t="s">
        <v>2173</v>
      </c>
      <c r="C9162" s="631" t="s">
        <v>5</v>
      </c>
      <c r="D9162" s="427">
        <v>1</v>
      </c>
      <c r="E9162" s="428">
        <v>24</v>
      </c>
      <c r="F9162" s="428">
        <v>24</v>
      </c>
      <c r="G9162" s="830" t="s">
        <v>2187</v>
      </c>
      <c r="H9162" s="831"/>
    </row>
    <row r="9163" spans="1:8" ht="15.75" customHeight="1" x14ac:dyDescent="0.25">
      <c r="A9163" s="502" t="s">
        <v>490</v>
      </c>
      <c r="B9163" s="718" t="s">
        <v>2173</v>
      </c>
      <c r="C9163" s="631" t="s">
        <v>5</v>
      </c>
      <c r="D9163" s="633">
        <v>1</v>
      </c>
      <c r="E9163" s="633">
        <v>24</v>
      </c>
      <c r="F9163" s="428">
        <v>22.153846154</v>
      </c>
      <c r="G9163" s="427">
        <v>1</v>
      </c>
      <c r="H9163" s="429">
        <f>+G9163*F9163</f>
      </c>
    </row>
    <row r="9164" spans="1:8" ht="15.75" customHeight="1" x14ac:dyDescent="0.25">
      <c r="A9164" s="502" t="s">
        <v>781</v>
      </c>
      <c r="B9164" s="718" t="s">
        <v>2173</v>
      </c>
      <c r="C9164" s="631" t="s">
        <v>5</v>
      </c>
      <c r="D9164" s="633"/>
      <c r="E9164" s="633"/>
      <c r="F9164" s="428">
        <f>+E9163-F9163</f>
      </c>
      <c r="G9164" s="830" t="s">
        <v>2187</v>
      </c>
      <c r="H9164" s="831"/>
    </row>
    <row r="9165" spans="1:8" ht="15.75" customHeight="1" x14ac:dyDescent="0.25">
      <c r="A9165" s="502"/>
      <c r="B9165" s="557" t="s">
        <v>1681</v>
      </c>
      <c r="C9165" s="560"/>
      <c r="D9165" s="428"/>
      <c r="E9165" s="428"/>
      <c r="F9165" s="428"/>
      <c r="G9165" s="427"/>
      <c r="H9165" s="429"/>
    </row>
    <row r="9166" spans="1:8" ht="15.75" customHeight="1" x14ac:dyDescent="0.25">
      <c r="A9166" s="502" t="s">
        <v>785</v>
      </c>
      <c r="B9166" s="718" t="s">
        <v>1880</v>
      </c>
      <c r="C9166" s="718" t="s">
        <v>1505</v>
      </c>
      <c r="D9166" s="428">
        <v>2</v>
      </c>
      <c r="E9166" s="428">
        <v>100</v>
      </c>
      <c r="F9166" s="428">
        <f t="shared" ref="F9166:F9169" si="305">+E9166*D9166</f>
      </c>
      <c r="G9166" s="427">
        <v>1</v>
      </c>
      <c r="H9166" s="429">
        <f t="shared" ref="H9166:H9168" si="306">+G9166*F9166</f>
      </c>
    </row>
    <row r="9167" spans="1:8" ht="15.75" customHeight="1" x14ac:dyDescent="0.25">
      <c r="A9167" s="502" t="s">
        <v>787</v>
      </c>
      <c r="B9167" s="718" t="s">
        <v>1848</v>
      </c>
      <c r="C9167" s="718" t="s">
        <v>1474</v>
      </c>
      <c r="D9167" s="428">
        <v>14</v>
      </c>
      <c r="E9167" s="428">
        <v>100</v>
      </c>
      <c r="F9167" s="428">
        <f t="shared" si="305"/>
      </c>
      <c r="G9167" s="427">
        <v>1</v>
      </c>
      <c r="H9167" s="429">
        <f t="shared" si="306"/>
      </c>
    </row>
    <row r="9168" spans="1:8" ht="15.75" customHeight="1" x14ac:dyDescent="0.25">
      <c r="A9168" s="502" t="s">
        <v>790</v>
      </c>
      <c r="B9168" s="718" t="s">
        <v>1882</v>
      </c>
      <c r="C9168" s="718" t="s">
        <v>1821</v>
      </c>
      <c r="D9168" s="428">
        <v>8</v>
      </c>
      <c r="E9168" s="428">
        <v>100</v>
      </c>
      <c r="F9168" s="428">
        <f t="shared" si="305"/>
      </c>
      <c r="G9168" s="427">
        <v>1</v>
      </c>
      <c r="H9168" s="429">
        <f t="shared" si="306"/>
      </c>
    </row>
    <row r="9169" spans="1:8" ht="15.75" customHeight="1" x14ac:dyDescent="0.25">
      <c r="A9169" s="502" t="s">
        <v>792</v>
      </c>
      <c r="B9169" s="718" t="s">
        <v>1848</v>
      </c>
      <c r="C9169" s="718" t="s">
        <v>1474</v>
      </c>
      <c r="D9169" s="428">
        <v>2</v>
      </c>
      <c r="E9169" s="428">
        <v>100</v>
      </c>
      <c r="F9169" s="428">
        <f t="shared" si="305"/>
      </c>
      <c r="G9169" s="830" t="s">
        <v>2187</v>
      </c>
      <c r="H9169" s="831"/>
    </row>
    <row r="9170" spans="1:8" ht="15.75" customHeight="1" x14ac:dyDescent="0.25">
      <c r="A9170" s="502"/>
      <c r="B9170" s="718"/>
      <c r="C9170" s="813"/>
      <c r="D9170" s="428"/>
      <c r="E9170" s="428"/>
      <c r="F9170" s="428"/>
      <c r="G9170" s="428"/>
      <c r="H9170" s="429"/>
    </row>
    <row r="9171" spans="1:8" ht="15.75" customHeight="1" x14ac:dyDescent="0.25">
      <c r="A9171" s="502"/>
      <c r="B9171" s="718"/>
      <c r="C9171" s="567"/>
      <c r="D9171" s="819"/>
      <c r="E9171" s="819"/>
      <c r="F9171" s="819"/>
      <c r="G9171" s="819"/>
      <c r="H9171" s="444"/>
    </row>
    <row r="9172" spans="1:8" ht="15.75" customHeight="1" x14ac:dyDescent="0.25">
      <c r="A9172" s="432"/>
      <c r="B9172" s="433"/>
      <c r="C9172" s="434" t="s">
        <v>85</v>
      </c>
      <c r="D9172" s="435">
        <f>SUM(D9155:D9171)</f>
      </c>
      <c r="E9172" s="435"/>
      <c r="F9172" s="436"/>
      <c r="G9172" s="437"/>
      <c r="H9172" s="438">
        <f>SUM(H9155:H9171)</f>
      </c>
    </row>
    <row r="9173" spans="1:8" ht="15.75" customHeight="1" x14ac:dyDescent="0.25">
      <c r="A9173" s="439"/>
      <c r="B9173" s="440"/>
      <c r="C9173" s="440"/>
      <c r="D9173" s="441"/>
      <c r="E9173" s="440"/>
      <c r="F9173" s="442"/>
      <c r="G9173" s="443"/>
      <c r="H9173" s="444"/>
    </row>
    <row r="9174" spans="1:8" ht="15.75" customHeight="1" x14ac:dyDescent="0.25">
      <c r="A9174" s="565" t="s">
        <v>1215</v>
      </c>
      <c r="B9174" s="565"/>
      <c r="C9174" s="565"/>
      <c r="D9174" s="565"/>
      <c r="E9174" s="565"/>
      <c r="F9174" s="565"/>
      <c r="G9174" s="565"/>
      <c r="H9174" s="565"/>
    </row>
    <row r="9175" spans="1:8" ht="15.75" customHeight="1" x14ac:dyDescent="0.25">
      <c r="A9175" s="445"/>
      <c r="B9175" s="445"/>
      <c r="C9175" s="445"/>
      <c r="D9175" s="446" t="s">
        <v>97</v>
      </c>
      <c r="E9175" s="445" t="s">
        <v>98</v>
      </c>
      <c r="F9175" s="445"/>
      <c r="G9175" s="390"/>
      <c r="H9175" s="394"/>
    </row>
    <row r="9176" spans="1:8" ht="15.75" customHeight="1" x14ac:dyDescent="0.25">
      <c r="A9176" s="390"/>
      <c r="B9176" s="390"/>
      <c r="C9176" s="390"/>
      <c r="D9176" s="391"/>
      <c r="E9176" s="390"/>
      <c r="F9176" s="390"/>
      <c r="G9176" s="390"/>
      <c r="H9176" s="394"/>
    </row>
    <row r="9177" spans="1:8" ht="15.75" customHeight="1" x14ac:dyDescent="0.25">
      <c r="A9177" s="445"/>
      <c r="B9177" s="445"/>
      <c r="C9177" s="445"/>
      <c r="D9177" s="446"/>
      <c r="E9177" s="445" t="s">
        <v>99</v>
      </c>
      <c r="F9177" s="445"/>
      <c r="G9177" s="390"/>
      <c r="H9177" s="394"/>
    </row>
    <row r="9178" spans="1:8" ht="15.75" customHeight="1" x14ac:dyDescent="0.25">
      <c r="D9178" s="4"/>
      <c r="H9178" s="4"/>
    </row>
    <row r="9179" spans="1:8" ht="15.75" customHeight="1" x14ac:dyDescent="0.25">
      <c r="D9179" s="4"/>
      <c r="H9179" s="4"/>
    </row>
    <row r="9180" spans="1:8" ht="15.75" customHeight="1" x14ac:dyDescent="0.25">
      <c r="D9180" s="4"/>
      <c r="H9180" s="4"/>
    </row>
    <row r="9181" spans="1:8" ht="15.75" customHeight="1" x14ac:dyDescent="0.25">
      <c r="D9181" s="4"/>
      <c r="H9181" s="4"/>
    </row>
    <row r="9182" spans="1:8" ht="15.75" customHeight="1" x14ac:dyDescent="0.25">
      <c r="D9182" s="4"/>
      <c r="H9182" s="4"/>
    </row>
    <row r="9183" spans="1:8" ht="15.75" customHeight="1" x14ac:dyDescent="0.25">
      <c r="D9183" s="4"/>
      <c r="H9183" s="4"/>
    </row>
    <row r="9184" spans="1:8" ht="15.75" customHeight="1" x14ac:dyDescent="0.25">
      <c r="D9184" s="4"/>
      <c r="H9184" s="4"/>
    </row>
    <row r="9185" spans="1:8" ht="15.75" customHeight="1" x14ac:dyDescent="0.25">
      <c r="D9185" s="4"/>
      <c r="H9185" s="4"/>
    </row>
    <row r="9186" spans="1:8" ht="15.75" customHeight="1" x14ac:dyDescent="0.25">
      <c r="D9186" s="4"/>
      <c r="H9186" s="4"/>
    </row>
    <row r="9187" spans="1:8" ht="15.75" customHeight="1" x14ac:dyDescent="0.25">
      <c r="A9187" s="398" t="s">
        <v>14</v>
      </c>
      <c r="B9187" s="398"/>
      <c r="C9187" s="398"/>
      <c r="D9187" s="398"/>
      <c r="E9187" s="398"/>
      <c r="F9187" s="398"/>
      <c r="G9187" s="398"/>
      <c r="H9187" s="398"/>
    </row>
    <row r="9188" spans="1:8" ht="15.75" customHeight="1" x14ac:dyDescent="0.25">
      <c r="A9188" s="398"/>
      <c r="B9188" s="398"/>
      <c r="C9188" s="398"/>
      <c r="D9188" s="398"/>
      <c r="E9188" s="398"/>
      <c r="F9188" s="398"/>
      <c r="G9188" s="398"/>
      <c r="H9188" s="398"/>
    </row>
    <row r="9189" spans="1:8" ht="15.75" customHeight="1" x14ac:dyDescent="0.25">
      <c r="A9189" s="390"/>
      <c r="B9189" s="390"/>
      <c r="C9189" s="390"/>
      <c r="D9189" s="391"/>
      <c r="E9189" s="390"/>
      <c r="F9189" s="395" t="s">
        <v>18</v>
      </c>
      <c r="G9189" s="396" t="s">
        <v>995</v>
      </c>
      <c r="H9189" s="397"/>
    </row>
    <row r="9190" spans="1:8" ht="15.75" customHeight="1" x14ac:dyDescent="0.25">
      <c r="A9190" s="390" t="s">
        <v>20</v>
      </c>
      <c r="B9190" s="390"/>
      <c r="C9190" s="390"/>
      <c r="D9190" s="391"/>
      <c r="E9190" s="390"/>
      <c r="F9190" s="395" t="s">
        <v>21</v>
      </c>
      <c r="G9190" s="390" t="s">
        <v>1885</v>
      </c>
      <c r="H9190" s="391"/>
    </row>
    <row r="9191" spans="1:8" ht="15.75" customHeight="1" x14ac:dyDescent="0.25">
      <c r="A9191" s="390" t="inlineStr">
        <is>
          <t>Dealer-004</t>
        </is>
      </c>
      <c r="B9191" s="390"/>
      <c r="C9191" s="390"/>
      <c r="D9191" s="391"/>
      <c r="E9191" s="395"/>
      <c r="F9191" s="390"/>
      <c r="G9191" s="390"/>
      <c r="H9191" s="394"/>
    </row>
    <row r="9192" spans="1:8" ht="15.75" customHeight="1" x14ac:dyDescent="0.25">
      <c r="A9192" s="390" t="inlineStr">
        <is>
          <t>Address line (redacted)</t>
        </is>
      </c>
      <c r="B9192" s="390"/>
      <c r="C9192" s="390"/>
      <c r="D9192" s="398"/>
      <c r="E9192" s="390"/>
      <c r="F9192" s="391"/>
      <c r="G9192" s="390"/>
      <c r="H9192" s="394"/>
    </row>
    <row r="9193" spans="1:8" ht="15.75" customHeight="1" x14ac:dyDescent="0.25">
      <c r="A9193" s="390" t="inlineStr">
        <is>
          <t>Address line (redacted)</t>
        </is>
      </c>
      <c r="B9193" s="390"/>
      <c r="C9193" s="390"/>
      <c r="D9193" s="398"/>
      <c r="E9193" s="390"/>
      <c r="F9193" s="391"/>
      <c r="G9193" s="390"/>
      <c r="H9193" s="394"/>
    </row>
    <row r="9194" spans="1:8" ht="15.75" customHeight="1" x14ac:dyDescent="0.25">
      <c r="A9194" s="447"/>
      <c r="B9194" s="390"/>
      <c r="C9194" s="390"/>
      <c r="D9194" s="391"/>
      <c r="E9194" s="390"/>
      <c r="F9194" s="391"/>
      <c r="G9194" s="390"/>
      <c r="H9194" s="394"/>
    </row>
    <row r="9195" spans="1:8" ht="15.75" customHeight="1" x14ac:dyDescent="0.25">
      <c r="A9195" s="390" t="s">
        <v>30</v>
      </c>
      <c r="B9195" s="390"/>
      <c r="C9195" s="390"/>
      <c r="D9195" s="391"/>
      <c r="E9195" s="390"/>
      <c r="F9195" s="391"/>
      <c r="G9195" s="390"/>
      <c r="H9195" s="394"/>
    </row>
    <row r="9196" spans="1:8" ht="15.75" customHeight="1" x14ac:dyDescent="0.25">
      <c r="A9196" s="390" t="s">
        <v>1322</v>
      </c>
      <c r="B9196" s="390"/>
      <c r="C9196" s="390"/>
      <c r="D9196" s="391"/>
      <c r="E9196" s="390"/>
      <c r="F9196" s="391"/>
      <c r="G9196" s="390"/>
      <c r="H9196" s="394"/>
    </row>
    <row r="9197" spans="1:8" ht="15.75" customHeight="1" x14ac:dyDescent="0.25">
      <c r="A9197" s="390" t="s">
        <v>1328</v>
      </c>
      <c r="B9197" s="390"/>
      <c r="C9197" s="390"/>
      <c r="D9197" s="391"/>
      <c r="E9197" s="390"/>
      <c r="F9197" s="391"/>
      <c r="G9197" s="390"/>
      <c r="H9197" s="394"/>
    </row>
    <row r="9198" spans="1:8" ht="15.75" customHeight="1" x14ac:dyDescent="0.25">
      <c r="A9198" s="399" t="s">
        <v>33</v>
      </c>
      <c r="B9198" s="400" t="s">
        <v>6</v>
      </c>
      <c r="C9198" s="400"/>
      <c r="D9198" s="401" t="s">
        <v>37</v>
      </c>
      <c r="E9198" s="402" t="s">
        <v>38</v>
      </c>
      <c r="F9198" s="403" t="s">
        <v>7</v>
      </c>
      <c r="G9198" s="404" t="s">
        <v>43</v>
      </c>
      <c r="H9198" s="405" t="s">
        <v>44</v>
      </c>
    </row>
    <row r="9199" spans="1:8" ht="15.75" customHeight="1" x14ac:dyDescent="0.25">
      <c r="A9199" s="406"/>
      <c r="B9199" s="407"/>
      <c r="C9199" s="393"/>
      <c r="D9199" s="408"/>
      <c r="E9199" s="408"/>
      <c r="F9199" s="409"/>
      <c r="G9199" s="410"/>
      <c r="H9199" s="411"/>
    </row>
    <row r="9200" spans="1:8" ht="15.75" customHeight="1" x14ac:dyDescent="0.25">
      <c r="A9200" s="502"/>
      <c r="B9200" s="557" t="s">
        <v>1681</v>
      </c>
      <c r="C9200" s="560"/>
      <c r="D9200" s="428"/>
      <c r="E9200" s="428"/>
      <c r="F9200" s="428"/>
      <c r="G9200" s="427"/>
      <c r="H9200" s="429"/>
    </row>
    <row r="9201" spans="1:8" ht="15.75" customHeight="1" x14ac:dyDescent="0.25">
      <c r="A9201" s="502" t="s">
        <v>55</v>
      </c>
      <c r="B9201" s="718" t="s">
        <v>1880</v>
      </c>
      <c r="C9201" s="718" t="s">
        <v>1505</v>
      </c>
      <c r="D9201" s="428">
        <v>2</v>
      </c>
      <c r="E9201" s="428">
        <v>100</v>
      </c>
      <c r="F9201" s="428">
        <f t="shared" ref="F9201:F9204" si="307">+E9201*D9201</f>
      </c>
      <c r="G9201" s="427">
        <v>1</v>
      </c>
      <c r="H9201" s="429">
        <f t="shared" ref="H9201:H9203" si="308">+G9201*F9201</f>
      </c>
    </row>
    <row r="9202" spans="1:8" ht="15.75" customHeight="1" x14ac:dyDescent="0.25">
      <c r="A9202" s="502" t="s">
        <v>59</v>
      </c>
      <c r="B9202" s="718" t="s">
        <v>1848</v>
      </c>
      <c r="C9202" s="718" t="s">
        <v>1474</v>
      </c>
      <c r="D9202" s="428">
        <v>14</v>
      </c>
      <c r="E9202" s="428">
        <v>100</v>
      </c>
      <c r="F9202" s="428">
        <f t="shared" si="307"/>
      </c>
      <c r="G9202" s="427">
        <v>1</v>
      </c>
      <c r="H9202" s="429">
        <f t="shared" si="308"/>
      </c>
    </row>
    <row r="9203" spans="1:8" ht="15.75" customHeight="1" x14ac:dyDescent="0.25">
      <c r="A9203" s="502" t="s">
        <v>67</v>
      </c>
      <c r="B9203" s="718" t="s">
        <v>1882</v>
      </c>
      <c r="C9203" s="718" t="s">
        <v>1821</v>
      </c>
      <c r="D9203" s="428">
        <v>8</v>
      </c>
      <c r="E9203" s="428">
        <v>100</v>
      </c>
      <c r="F9203" s="428">
        <f t="shared" si="307"/>
      </c>
      <c r="G9203" s="427">
        <v>1</v>
      </c>
      <c r="H9203" s="429">
        <f t="shared" si="308"/>
      </c>
    </row>
    <row r="9204" spans="1:8" ht="15.75" customHeight="1" x14ac:dyDescent="0.25">
      <c r="A9204" s="502" t="s">
        <v>485</v>
      </c>
      <c r="B9204" s="718" t="s">
        <v>1848</v>
      </c>
      <c r="C9204" s="718" t="s">
        <v>1474</v>
      </c>
      <c r="D9204" s="428">
        <v>2</v>
      </c>
      <c r="E9204" s="428">
        <v>100</v>
      </c>
      <c r="F9204" s="428">
        <f t="shared" si="307"/>
      </c>
      <c r="G9204" s="830" t="s">
        <v>2187</v>
      </c>
      <c r="H9204" s="831"/>
    </row>
    <row r="9205" spans="1:8" ht="15.75" customHeight="1" x14ac:dyDescent="0.25">
      <c r="A9205" s="502"/>
      <c r="B9205" s="718"/>
      <c r="C9205" s="832"/>
      <c r="D9205" s="428"/>
      <c r="E9205" s="428"/>
      <c r="F9205" s="428"/>
      <c r="G9205" s="833"/>
      <c r="H9205" s="429"/>
    </row>
    <row r="9206" spans="1:8" ht="15.75" customHeight="1" x14ac:dyDescent="0.25">
      <c r="A9206" s="502"/>
      <c r="B9206" s="718"/>
      <c r="C9206" s="832"/>
      <c r="D9206" s="428"/>
      <c r="E9206" s="621" t="s">
        <v>2195</v>
      </c>
      <c r="F9206" s="428"/>
      <c r="G9206" s="833"/>
      <c r="H9206" s="429">
        <v>1</v>
      </c>
    </row>
    <row r="9207" spans="1:8" ht="15.75" customHeight="1" x14ac:dyDescent="0.25">
      <c r="A9207" s="502"/>
      <c r="B9207" s="718"/>
      <c r="C9207" s="813"/>
      <c r="D9207" s="428"/>
      <c r="E9207" s="428"/>
      <c r="F9207" s="428"/>
      <c r="G9207" s="428"/>
      <c r="H9207" s="429"/>
    </row>
    <row r="9208" spans="1:8" ht="15.75" customHeight="1" x14ac:dyDescent="0.25">
      <c r="A9208" s="502"/>
      <c r="B9208" s="718"/>
      <c r="C9208" s="567"/>
      <c r="D9208" s="819"/>
      <c r="E9208" s="819"/>
      <c r="F9208" s="819"/>
      <c r="G9208" s="819"/>
      <c r="H9208" s="444"/>
    </row>
    <row r="9209" spans="1:8" ht="15.75" customHeight="1" x14ac:dyDescent="0.25">
      <c r="A9209" s="432"/>
      <c r="B9209" s="433"/>
      <c r="C9209" s="434" t="s">
        <v>85</v>
      </c>
      <c r="D9209" s="435">
        <f>SUM(D9200:D9208)</f>
      </c>
      <c r="E9209" s="435"/>
      <c r="F9209" s="436"/>
      <c r="G9209" s="437"/>
      <c r="H9209" s="438">
        <f>SUM(H9200:H9208)</f>
      </c>
    </row>
    <row r="9210" spans="1:8" ht="15.75" customHeight="1" x14ac:dyDescent="0.25">
      <c r="A9210" s="439"/>
      <c r="B9210" s="440"/>
      <c r="C9210" s="440"/>
      <c r="D9210" s="441"/>
      <c r="E9210" s="440"/>
      <c r="F9210" s="442"/>
      <c r="G9210" s="443"/>
      <c r="H9210" s="444"/>
    </row>
    <row r="9211" spans="1:8" ht="15.75" customHeight="1" x14ac:dyDescent="0.25">
      <c r="A9211" s="834"/>
      <c r="B9211" s="565"/>
      <c r="C9211" s="565"/>
      <c r="D9211" s="565"/>
      <c r="E9211" s="565"/>
      <c r="F9211" s="565"/>
      <c r="G9211" s="565"/>
      <c r="H9211" s="565"/>
    </row>
    <row r="9212" spans="1:8" ht="15.75" customHeight="1" x14ac:dyDescent="0.25">
      <c r="A9212" s="445"/>
      <c r="B9212" s="445"/>
      <c r="C9212" s="445"/>
      <c r="D9212" s="446" t="s">
        <v>97</v>
      </c>
      <c r="E9212" s="445" t="s">
        <v>98</v>
      </c>
      <c r="F9212" s="445"/>
      <c r="G9212" s="390"/>
      <c r="H9212" s="394"/>
    </row>
    <row r="9213" spans="1:8" ht="15.75" customHeight="1" x14ac:dyDescent="0.25">
      <c r="A9213" s="390"/>
      <c r="B9213" s="390"/>
      <c r="C9213" s="390"/>
      <c r="D9213" s="391"/>
      <c r="E9213" s="390"/>
      <c r="F9213" s="390"/>
      <c r="G9213" s="390"/>
      <c r="H9213" s="394"/>
    </row>
    <row r="9214" spans="1:8" ht="15.75" customHeight="1" x14ac:dyDescent="0.25">
      <c r="A9214" s="445"/>
      <c r="B9214" s="445"/>
      <c r="C9214" s="445"/>
      <c r="D9214" s="446"/>
      <c r="E9214" s="445" t="s">
        <v>99</v>
      </c>
      <c r="F9214" s="445"/>
      <c r="G9214" s="390"/>
      <c r="H9214" s="394"/>
    </row>
    <row r="9215" spans="1:8" ht="15.75" customHeight="1" x14ac:dyDescent="0.25">
      <c r="D9215" s="4"/>
      <c r="H9215" s="4"/>
    </row>
    <row r="9216" spans="1:8" ht="15.75" customHeight="1" x14ac:dyDescent="0.25">
      <c r="D9216" s="4"/>
      <c r="H9216" s="4"/>
    </row>
    <row r="9217" spans="4:8" ht="15.75" customHeight="1" x14ac:dyDescent="0.25">
      <c r="D9217" s="4"/>
      <c r="H9217" s="4"/>
    </row>
    <row r="9218" spans="4:8" ht="15.75" customHeight="1" x14ac:dyDescent="0.25">
      <c r="D9218" s="4"/>
      <c r="H9218" s="4"/>
    </row>
    <row r="9219" spans="4:8" ht="15.75" customHeight="1" x14ac:dyDescent="0.25">
      <c r="D9219" s="4"/>
      <c r="H9219" s="4"/>
    </row>
    <row r="9220" spans="4:8" ht="15.75" customHeight="1" x14ac:dyDescent="0.25">
      <c r="D9220" s="4"/>
      <c r="H9220" s="4"/>
    </row>
    <row r="9221" spans="4:8" ht="15.75" customHeight="1" x14ac:dyDescent="0.25">
      <c r="D9221" s="4"/>
      <c r="H9221" s="4"/>
    </row>
    <row r="9222" spans="4:8" ht="15.75" customHeight="1" x14ac:dyDescent="0.25">
      <c r="D9222" s="4"/>
      <c r="H9222" s="4"/>
    </row>
    <row r="9223" spans="4:8" ht="15.75" customHeight="1" x14ac:dyDescent="0.25">
      <c r="D9223" s="4"/>
      <c r="H9223" s="4"/>
    </row>
    <row r="9224" spans="4:8" ht="15.75" customHeight="1" x14ac:dyDescent="0.25">
      <c r="D9224" s="4"/>
      <c r="H9224" s="4"/>
    </row>
    <row r="9225" spans="4:8" ht="15.75" customHeight="1" x14ac:dyDescent="0.25">
      <c r="D9225" s="4"/>
      <c r="H9225" s="4"/>
    </row>
    <row r="9226" spans="4:8" ht="15.75" customHeight="1" x14ac:dyDescent="0.25">
      <c r="D9226" s="4"/>
      <c r="H9226" s="4"/>
    </row>
    <row r="9227" spans="4:8" ht="15.75" customHeight="1" x14ac:dyDescent="0.25">
      <c r="D9227" s="4"/>
      <c r="H9227" s="4"/>
    </row>
    <row r="9228" spans="4:8" ht="15.75" customHeight="1" x14ac:dyDescent="0.25">
      <c r="D9228" s="4"/>
      <c r="H9228" s="4"/>
    </row>
    <row r="9229" spans="4:8" ht="15.75" customHeight="1" x14ac:dyDescent="0.25">
      <c r="D9229" s="4"/>
      <c r="H9229" s="4"/>
    </row>
    <row r="9230" spans="4:8" ht="15.75" customHeight="1" x14ac:dyDescent="0.25">
      <c r="D9230" s="4"/>
      <c r="H9230" s="4"/>
    </row>
    <row r="9231" spans="4:8" ht="15.75" customHeight="1" x14ac:dyDescent="0.25">
      <c r="D9231" s="4"/>
      <c r="H9231" s="4"/>
    </row>
    <row r="9232" spans="4:8" ht="15.75" customHeight="1" x14ac:dyDescent="0.25">
      <c r="D9232" s="4"/>
      <c r="H9232" s="4"/>
    </row>
    <row r="9233" spans="1:8" ht="15.75" customHeight="1" x14ac:dyDescent="0.25">
      <c r="A9233" s="398" t="s">
        <v>14</v>
      </c>
      <c r="B9233" s="398"/>
      <c r="C9233" s="398"/>
      <c r="D9233" s="398"/>
      <c r="E9233" s="398"/>
      <c r="F9233" s="398"/>
      <c r="G9233" s="398"/>
      <c r="H9233" s="398"/>
    </row>
    <row r="9234" spans="1:8" ht="15.75" customHeight="1" x14ac:dyDescent="0.25">
      <c r="A9234" s="398"/>
      <c r="B9234" s="398"/>
      <c r="C9234" s="398"/>
      <c r="D9234" s="398"/>
      <c r="E9234" s="398"/>
      <c r="F9234" s="398"/>
      <c r="G9234" s="398"/>
      <c r="H9234" s="398"/>
    </row>
    <row r="9235" spans="1:8" ht="15.75" customHeight="1" x14ac:dyDescent="0.25">
      <c r="A9235" s="390"/>
      <c r="B9235" s="390"/>
      <c r="C9235" s="390"/>
      <c r="D9235" s="391"/>
      <c r="E9235" s="390"/>
      <c r="F9235" s="395" t="s">
        <v>18</v>
      </c>
      <c r="G9235" s="396" t="s">
        <v>997</v>
      </c>
      <c r="H9235" s="397"/>
    </row>
    <row r="9236" spans="1:8" ht="15.75" customHeight="1" x14ac:dyDescent="0.25">
      <c r="A9236" s="390" t="s">
        <v>20</v>
      </c>
      <c r="B9236" s="390"/>
      <c r="C9236" s="390"/>
      <c r="D9236" s="391"/>
      <c r="E9236" s="390"/>
      <c r="F9236" s="395" t="s">
        <v>21</v>
      </c>
      <c r="G9236" s="390" t="s">
        <v>1431</v>
      </c>
      <c r="H9236" s="391"/>
    </row>
    <row r="9237" spans="1:8" ht="15.75" customHeight="1" x14ac:dyDescent="0.25">
      <c r="A9237" s="390" t="inlineStr">
        <is>
          <t>Dealer-009</t>
        </is>
      </c>
      <c r="B9237" s="390"/>
      <c r="C9237" s="390" t="inlineStr">
        <is>
          <t>ATTN: Contact-001</t>
        </is>
      </c>
      <c r="D9237" s="391"/>
      <c r="E9237" s="395"/>
      <c r="F9237" s="390"/>
      <c r="G9237" s="390"/>
      <c r="H9237" s="394"/>
    </row>
    <row r="9238" spans="1:8" ht="15.75" customHeight="1" x14ac:dyDescent="0.25">
      <c r="A9238" s="390" t="inlineStr">
        <is>
          <t>Address line (redacted)</t>
        </is>
      </c>
      <c r="B9238" s="390"/>
      <c r="C9238" s="390"/>
      <c r="D9238" s="398"/>
      <c r="E9238" s="390"/>
      <c r="F9238" s="391"/>
      <c r="G9238" s="390"/>
      <c r="H9238" s="394"/>
    </row>
    <row r="9239" spans="1:8" ht="15.75" customHeight="1" x14ac:dyDescent="0.25">
      <c r="A9239" s="390" t="inlineStr">
        <is>
          <t>Address line (redacted)</t>
        </is>
      </c>
      <c r="B9239" s="390"/>
      <c r="C9239" s="390"/>
      <c r="D9239" s="398"/>
      <c r="E9239" s="390"/>
      <c r="F9239" s="391"/>
      <c r="G9239" s="390"/>
      <c r="H9239" s="394"/>
    </row>
    <row r="9240" spans="1:8" ht="15.75" customHeight="1" x14ac:dyDescent="0.25">
      <c r="A9240" s="447"/>
      <c r="B9240" s="390"/>
      <c r="C9240" s="390"/>
      <c r="D9240" s="391"/>
      <c r="E9240" s="390"/>
      <c r="F9240" s="391"/>
      <c r="G9240" s="390"/>
      <c r="H9240" s="394"/>
    </row>
    <row r="9241" spans="1:8" ht="15.75" customHeight="1" x14ac:dyDescent="0.25">
      <c r="A9241" s="390" t="s">
        <v>30</v>
      </c>
      <c r="B9241" s="390"/>
      <c r="C9241" s="390"/>
      <c r="D9241" s="391"/>
      <c r="E9241" s="390"/>
      <c r="F9241" s="391"/>
      <c r="G9241" s="390"/>
      <c r="H9241" s="394"/>
    </row>
    <row r="9242" spans="1:8" ht="15.75" customHeight="1" x14ac:dyDescent="0.25">
      <c r="A9242" s="390" t="s">
        <v>1322</v>
      </c>
      <c r="B9242" s="390"/>
      <c r="C9242" s="390"/>
      <c r="D9242" s="391"/>
      <c r="E9242" s="390"/>
      <c r="F9242" s="391"/>
      <c r="G9242" s="390"/>
      <c r="H9242" s="394"/>
    </row>
    <row r="9243" spans="1:8" ht="15.75" customHeight="1" x14ac:dyDescent="0.25">
      <c r="A9243" s="390" t="s">
        <v>1328</v>
      </c>
      <c r="B9243" s="390"/>
      <c r="C9243" s="390"/>
      <c r="D9243" s="391"/>
      <c r="E9243" s="390"/>
      <c r="F9243" s="391"/>
      <c r="G9243" s="390"/>
      <c r="H9243" s="394"/>
    </row>
    <row r="9244" spans="1:8" ht="15.75" customHeight="1" x14ac:dyDescent="0.25">
      <c r="A9244" s="399" t="s">
        <v>33</v>
      </c>
      <c r="B9244" s="400" t="s">
        <v>6</v>
      </c>
      <c r="C9244" s="400"/>
      <c r="D9244" s="401" t="s">
        <v>37</v>
      </c>
      <c r="E9244" s="402" t="s">
        <v>38</v>
      </c>
      <c r="F9244" s="403" t="s">
        <v>7</v>
      </c>
      <c r="G9244" s="404" t="s">
        <v>43</v>
      </c>
      <c r="H9244" s="405" t="s">
        <v>44</v>
      </c>
    </row>
    <row r="9245" spans="1:8" ht="15.75" customHeight="1" x14ac:dyDescent="0.25">
      <c r="A9245" s="406"/>
      <c r="B9245" s="407"/>
      <c r="C9245" s="393"/>
      <c r="D9245" s="408"/>
      <c r="E9245" s="408"/>
      <c r="F9245" s="409"/>
      <c r="G9245" s="410"/>
      <c r="H9245" s="411"/>
    </row>
    <row r="9246" spans="1:8" ht="15.75" customHeight="1" x14ac:dyDescent="0.25">
      <c r="A9246" s="502"/>
      <c r="B9246" s="557" t="s">
        <v>674</v>
      </c>
      <c r="C9246" s="560"/>
      <c r="D9246" s="427"/>
      <c r="E9246" s="427"/>
      <c r="F9246" s="391"/>
      <c r="G9246" s="675"/>
      <c r="H9246" s="429"/>
    </row>
    <row r="9247" spans="1:8" ht="15.75" customHeight="1" x14ac:dyDescent="0.25">
      <c r="A9247" s="502" t="s">
        <v>55</v>
      </c>
      <c r="B9247" s="718" t="s">
        <v>1076</v>
      </c>
      <c r="C9247" s="390" t="s">
        <v>1164</v>
      </c>
      <c r="D9247" s="427">
        <v>20</v>
      </c>
      <c r="E9247" s="427">
        <v>1</v>
      </c>
      <c r="F9247" s="391">
        <f t="shared" ref="F9247:F9248" si="309">+E9247*D9247</f>
      </c>
      <c r="G9247" s="427">
        <v>1</v>
      </c>
      <c r="H9247" s="429">
        <f t="shared" ref="H9247:H9248" si="310">+G9247*F9247</f>
      </c>
    </row>
    <row r="9248" spans="1:8" ht="15.75" customHeight="1" x14ac:dyDescent="0.25">
      <c r="A9248" s="502" t="s">
        <v>59</v>
      </c>
      <c r="B9248" s="718" t="s">
        <v>1509</v>
      </c>
      <c r="C9248" s="390"/>
      <c r="D9248" s="427">
        <v>5</v>
      </c>
      <c r="E9248" s="427">
        <v>1</v>
      </c>
      <c r="F9248" s="391">
        <f t="shared" si="309"/>
      </c>
      <c r="G9248" s="427">
        <v>1</v>
      </c>
      <c r="H9248" s="429">
        <f t="shared" si="310"/>
      </c>
    </row>
    <row r="9249" spans="1:8" ht="15.75" customHeight="1" x14ac:dyDescent="0.25">
      <c r="A9249" s="502"/>
      <c r="B9249" s="557" t="s">
        <v>1873</v>
      </c>
      <c r="C9249" s="560"/>
      <c r="D9249" s="427"/>
      <c r="E9249" s="428"/>
      <c r="F9249" s="428"/>
      <c r="G9249" s="427"/>
      <c r="H9249" s="429"/>
    </row>
    <row r="9250" spans="1:8" ht="15.75" customHeight="1" x14ac:dyDescent="0.25">
      <c r="A9250" s="502" t="s">
        <v>67</v>
      </c>
      <c r="B9250" s="718" t="s">
        <v>1768</v>
      </c>
      <c r="C9250" s="832"/>
      <c r="D9250" s="427">
        <v>3</v>
      </c>
      <c r="E9250" s="428">
        <v>10</v>
      </c>
      <c r="F9250" s="428">
        <f t="shared" ref="F9250:F9252" si="311">+E9250*D9250</f>
      </c>
      <c r="G9250" s="427">
        <v>1</v>
      </c>
      <c r="H9250" s="429">
        <f t="shared" ref="H9250:H9252" si="312">+G9250*F9250</f>
      </c>
    </row>
    <row r="9251" spans="1:8" ht="15.75" customHeight="1" x14ac:dyDescent="0.25">
      <c r="A9251" s="502" t="s">
        <v>485</v>
      </c>
      <c r="B9251" s="718" t="s">
        <v>1768</v>
      </c>
      <c r="C9251" s="832"/>
      <c r="D9251" s="427">
        <v>1</v>
      </c>
      <c r="E9251" s="428">
        <v>9</v>
      </c>
      <c r="F9251" s="428">
        <f t="shared" si="311"/>
      </c>
      <c r="G9251" s="427">
        <v>1</v>
      </c>
      <c r="H9251" s="429">
        <f t="shared" si="312"/>
      </c>
    </row>
    <row r="9252" spans="1:8" ht="15.75" customHeight="1" x14ac:dyDescent="0.25">
      <c r="A9252" s="502" t="s">
        <v>486</v>
      </c>
      <c r="B9252" s="718" t="s">
        <v>1631</v>
      </c>
      <c r="C9252" s="832"/>
      <c r="D9252" s="427">
        <v>1</v>
      </c>
      <c r="E9252" s="428">
        <v>10</v>
      </c>
      <c r="F9252" s="428">
        <f t="shared" si="311"/>
      </c>
      <c r="G9252" s="427">
        <v>1</v>
      </c>
      <c r="H9252" s="429">
        <f t="shared" si="312"/>
      </c>
    </row>
    <row r="9253" spans="1:8" ht="15.75" customHeight="1" x14ac:dyDescent="0.25">
      <c r="A9253" s="502"/>
      <c r="B9253" s="718"/>
      <c r="C9253" s="832"/>
      <c r="D9253" s="427"/>
      <c r="E9253" s="428"/>
      <c r="F9253" s="428"/>
      <c r="G9253" s="427"/>
      <c r="H9253" s="429"/>
    </row>
    <row r="9254" spans="1:8" ht="15.75" customHeight="1" x14ac:dyDescent="0.25">
      <c r="A9254" s="502"/>
      <c r="B9254" s="718"/>
      <c r="C9254" s="832"/>
      <c r="D9254" s="427"/>
      <c r="E9254" s="428"/>
      <c r="F9254" s="428"/>
      <c r="G9254" s="675"/>
      <c r="H9254" s="429"/>
    </row>
    <row r="9255" spans="1:8" ht="15.75" customHeight="1" x14ac:dyDescent="0.25">
      <c r="A9255" s="502"/>
      <c r="B9255" s="718"/>
      <c r="C9255" s="813"/>
      <c r="D9255" s="427"/>
      <c r="E9255" s="428"/>
      <c r="F9255" s="428"/>
      <c r="G9255" s="428"/>
      <c r="H9255" s="429"/>
    </row>
    <row r="9256" spans="1:8" ht="15.75" customHeight="1" x14ac:dyDescent="0.25">
      <c r="A9256" s="502"/>
      <c r="B9256" s="718"/>
      <c r="C9256" s="567"/>
      <c r="D9256" s="819"/>
      <c r="E9256" s="819"/>
      <c r="F9256" s="819"/>
      <c r="G9256" s="819"/>
      <c r="H9256" s="444"/>
    </row>
    <row r="9257" spans="1:8" ht="15.75" customHeight="1" x14ac:dyDescent="0.25">
      <c r="A9257" s="432"/>
      <c r="B9257" s="433"/>
      <c r="C9257" s="434" t="s">
        <v>85</v>
      </c>
      <c r="D9257" s="435">
        <f>SUM(D9247:D9256)</f>
      </c>
      <c r="E9257" s="435"/>
      <c r="F9257" s="436"/>
      <c r="G9257" s="437"/>
      <c r="H9257" s="438">
        <f>SUM(H9247:H9256)</f>
      </c>
    </row>
    <row r="9258" spans="1:8" ht="15.75" customHeight="1" x14ac:dyDescent="0.25">
      <c r="A9258" s="439"/>
      <c r="B9258" s="440"/>
      <c r="C9258" s="440"/>
      <c r="D9258" s="441"/>
      <c r="E9258" s="440"/>
      <c r="F9258" s="442"/>
      <c r="G9258" s="443"/>
      <c r="H9258" s="444"/>
    </row>
    <row r="9259" spans="1:8" ht="15.75" customHeight="1" x14ac:dyDescent="0.25">
      <c r="A9259" s="565" t="s">
        <v>1215</v>
      </c>
      <c r="B9259" s="565"/>
      <c r="C9259" s="565"/>
      <c r="D9259" s="565"/>
      <c r="E9259" s="565"/>
      <c r="F9259" s="565"/>
      <c r="G9259" s="565"/>
      <c r="H9259" s="565"/>
    </row>
    <row r="9260" spans="1:8" ht="15.75" customHeight="1" x14ac:dyDescent="0.25">
      <c r="A9260" s="445"/>
      <c r="B9260" s="445"/>
      <c r="C9260" s="445"/>
      <c r="D9260" s="446" t="s">
        <v>97</v>
      </c>
      <c r="E9260" s="445" t="s">
        <v>98</v>
      </c>
      <c r="F9260" s="445"/>
      <c r="G9260" s="390"/>
      <c r="H9260" s="394"/>
    </row>
    <row r="9261" spans="1:8" ht="15.75" customHeight="1" x14ac:dyDescent="0.25">
      <c r="A9261" s="390"/>
      <c r="B9261" s="390"/>
      <c r="C9261" s="390"/>
      <c r="D9261" s="391"/>
      <c r="E9261" s="390"/>
      <c r="F9261" s="390"/>
      <c r="G9261" s="390"/>
      <c r="H9261" s="394"/>
    </row>
    <row r="9262" spans="1:8" ht="15.75" customHeight="1" x14ac:dyDescent="0.25">
      <c r="A9262" s="445"/>
      <c r="B9262" s="445"/>
      <c r="C9262" s="445"/>
      <c r="D9262" s="446"/>
      <c r="E9262" s="445" t="s">
        <v>99</v>
      </c>
      <c r="F9262" s="445"/>
      <c r="G9262" s="390"/>
      <c r="H9262" s="394"/>
    </row>
    <row r="9263" spans="1:8" ht="15.75" customHeight="1" x14ac:dyDescent="0.25">
      <c r="D9263" s="4"/>
      <c r="H9263" s="4"/>
    </row>
    <row r="9264" spans="1:8" ht="15.75" customHeight="1" x14ac:dyDescent="0.25">
      <c r="D9264" s="4"/>
      <c r="H9264" s="4"/>
    </row>
    <row r="9265" spans="1:8" ht="15.75" customHeight="1" x14ac:dyDescent="0.25">
      <c r="D9265" s="4"/>
      <c r="H9265" s="4"/>
    </row>
    <row r="9266" spans="1:8" ht="15.75" customHeight="1" x14ac:dyDescent="0.25">
      <c r="D9266" s="4"/>
      <c r="H9266" s="4"/>
    </row>
    <row r="9267" spans="1:8" ht="15.75" customHeight="1" x14ac:dyDescent="0.25">
      <c r="D9267" s="4"/>
      <c r="H9267" s="4"/>
    </row>
    <row r="9268" spans="1:8" ht="15.75" customHeight="1" x14ac:dyDescent="0.25">
      <c r="D9268" s="4"/>
      <c r="H9268" s="4"/>
    </row>
    <row r="9269" spans="1:8" ht="15.75" customHeight="1" x14ac:dyDescent="0.25">
      <c r="D9269" s="4"/>
      <c r="H9269" s="4"/>
    </row>
    <row r="9270" spans="1:8" ht="15.75" customHeight="1" x14ac:dyDescent="0.25">
      <c r="D9270" s="4"/>
      <c r="H9270" s="4"/>
    </row>
    <row r="9271" spans="1:8" ht="15.75" customHeight="1" x14ac:dyDescent="0.25">
      <c r="D9271" s="4"/>
      <c r="H9271" s="4"/>
    </row>
    <row r="9272" spans="1:8" ht="15.75" customHeight="1" x14ac:dyDescent="0.25">
      <c r="D9272" s="4"/>
      <c r="H9272" s="4"/>
    </row>
    <row r="9273" spans="1:8" ht="15.75" customHeight="1" x14ac:dyDescent="0.25">
      <c r="D9273" s="4"/>
      <c r="H9273" s="4"/>
    </row>
    <row r="9274" spans="1:8" ht="15.75" customHeight="1" x14ac:dyDescent="0.25">
      <c r="D9274" s="4"/>
      <c r="H9274" s="4"/>
    </row>
    <row r="9275" spans="1:8" ht="15.75" customHeight="1" x14ac:dyDescent="0.25">
      <c r="D9275" s="4"/>
      <c r="H9275" s="4"/>
    </row>
    <row r="9276" spans="1:8" ht="15.75" customHeight="1" x14ac:dyDescent="0.25">
      <c r="D9276" s="4"/>
      <c r="H9276" s="4"/>
    </row>
    <row r="9277" spans="1:8" ht="15.75" customHeight="1" x14ac:dyDescent="0.25">
      <c r="D9277" s="4"/>
      <c r="H9277" s="4"/>
    </row>
    <row r="9278" spans="1:8" ht="15.75" customHeight="1" x14ac:dyDescent="0.25">
      <c r="D9278" s="4"/>
      <c r="H9278" s="4"/>
    </row>
    <row r="9279" spans="1:8" ht="15.75" customHeight="1" x14ac:dyDescent="0.25">
      <c r="A9279" s="398" t="s">
        <v>14</v>
      </c>
      <c r="B9279" s="391"/>
      <c r="C9279" s="391"/>
      <c r="D9279" s="391"/>
      <c r="E9279" s="391"/>
      <c r="F9279" s="391"/>
      <c r="G9279" s="391"/>
      <c r="H9279" s="394"/>
    </row>
    <row r="9280" spans="1:8" ht="15.75" customHeight="1" x14ac:dyDescent="0.25">
      <c r="A9280" s="390"/>
      <c r="B9280" s="390"/>
      <c r="C9280" s="390"/>
      <c r="D9280" s="392"/>
      <c r="E9280" s="569"/>
      <c r="F9280" s="391"/>
      <c r="G9280" s="390"/>
      <c r="H9280" s="394"/>
    </row>
    <row r="9281" spans="1:8" ht="15.75" customHeight="1" x14ac:dyDescent="0.25">
      <c r="A9281" s="390"/>
      <c r="B9281" s="390"/>
      <c r="C9281" s="390"/>
      <c r="D9281" s="391"/>
      <c r="E9281" s="390"/>
      <c r="F9281" s="395" t="s">
        <v>18</v>
      </c>
      <c r="G9281" s="390" t="s">
        <v>1001</v>
      </c>
      <c r="H9281" s="394"/>
    </row>
    <row r="9282" spans="1:8" ht="15.75" customHeight="1" x14ac:dyDescent="0.25">
      <c r="A9282" s="390"/>
      <c r="B9282" s="390"/>
      <c r="C9282" s="390"/>
      <c r="D9282" s="391"/>
      <c r="E9282" s="390"/>
      <c r="F9282" s="393" t="s">
        <v>21</v>
      </c>
      <c r="G9282" s="390" t="s">
        <v>1886</v>
      </c>
      <c r="H9282" s="394"/>
    </row>
    <row r="9283" spans="1:8" ht="15.75" customHeight="1" x14ac:dyDescent="0.25">
      <c r="A9283" s="390" t="s">
        <v>20</v>
      </c>
      <c r="B9283" s="390"/>
      <c r="C9283" s="390"/>
      <c r="D9283" s="391"/>
      <c r="E9283" s="390"/>
      <c r="F9283" s="391"/>
      <c r="G9283" s="390"/>
      <c r="H9283" s="394"/>
    </row>
    <row r="9284" spans="1:8" ht="15.75" customHeight="1" x14ac:dyDescent="0.25">
      <c r="A9284" s="390" t="inlineStr">
        <is>
          <t>Dealer-003</t>
        </is>
      </c>
      <c r="B9284" s="390"/>
      <c r="C9284" s="398"/>
      <c r="D9284" s="391"/>
      <c r="E9284" s="390"/>
      <c r="F9284" s="391"/>
      <c r="G9284" s="390"/>
      <c r="H9284" s="394"/>
    </row>
    <row r="9285" spans="1:8" ht="15.75" customHeight="1" x14ac:dyDescent="0.25">
      <c r="A9285" s="390" t="inlineStr">
        <is>
          <t>Address line (redacted)</t>
        </is>
      </c>
      <c r="B9285" s="390"/>
      <c r="C9285" s="390"/>
      <c r="D9285" s="391"/>
      <c r="E9285" s="390"/>
      <c r="F9285" s="391"/>
      <c r="G9285" s="390"/>
      <c r="H9285" s="394"/>
    </row>
    <row r="9286" spans="1:8" ht="15.75" customHeight="1" x14ac:dyDescent="0.25">
      <c r="A9286" s="390" t="inlineStr">
        <is>
          <t>Address line (redacted)</t>
        </is>
      </c>
      <c r="B9286" s="390"/>
      <c r="C9286" s="390"/>
      <c r="D9286" s="391"/>
      <c r="E9286" s="390"/>
      <c r="F9286" s="391"/>
      <c r="G9286" s="390"/>
      <c r="H9286" s="394"/>
    </row>
    <row r="9287" spans="1:8" ht="15.75" customHeight="1" x14ac:dyDescent="0.25">
      <c r="A9287" s="390"/>
      <c r="B9287" s="390"/>
      <c r="C9287" s="390"/>
      <c r="D9287" s="391"/>
      <c r="E9287" s="390"/>
      <c r="F9287" s="391"/>
      <c r="G9287" s="390"/>
      <c r="H9287" s="394"/>
    </row>
    <row r="9288" spans="1:8" ht="15.75" customHeight="1" x14ac:dyDescent="0.25">
      <c r="A9288" s="390" t="s">
        <v>30</v>
      </c>
      <c r="B9288" s="390"/>
      <c r="C9288" s="390"/>
      <c r="D9288" s="391"/>
      <c r="E9288" s="390"/>
      <c r="F9288" s="391"/>
      <c r="G9288" s="390"/>
      <c r="H9288" s="394"/>
    </row>
    <row r="9289" spans="1:8" ht="15.75" customHeight="1" x14ac:dyDescent="0.25">
      <c r="A9289" s="390"/>
      <c r="B9289" s="390"/>
      <c r="C9289" s="390"/>
      <c r="D9289" s="391"/>
      <c r="E9289" s="390"/>
      <c r="F9289" s="391"/>
      <c r="G9289" s="390"/>
      <c r="H9289" s="394"/>
    </row>
    <row r="9290" spans="1:8" ht="15.75" customHeight="1" x14ac:dyDescent="0.25">
      <c r="A9290" s="390" t="s">
        <v>1322</v>
      </c>
      <c r="B9290" s="390"/>
      <c r="C9290" s="390"/>
      <c r="D9290" s="391"/>
      <c r="E9290" s="390"/>
      <c r="F9290" s="391"/>
      <c r="G9290" s="390"/>
      <c r="H9290" s="394"/>
    </row>
    <row r="9291" spans="1:8" ht="15.75" customHeight="1" x14ac:dyDescent="0.25">
      <c r="A9291" s="390" t="s">
        <v>1328</v>
      </c>
      <c r="B9291" s="390"/>
      <c r="C9291" s="390"/>
      <c r="D9291" s="391"/>
      <c r="E9291" s="390"/>
      <c r="F9291" s="391"/>
      <c r="G9291" s="390"/>
      <c r="H9291" s="394"/>
    </row>
    <row r="9292" spans="1:8" ht="15.75" customHeight="1" x14ac:dyDescent="0.25">
      <c r="A9292" s="390"/>
      <c r="B9292" s="390"/>
      <c r="C9292" s="390"/>
      <c r="D9292" s="391"/>
      <c r="E9292" s="390"/>
      <c r="F9292" s="391"/>
      <c r="G9292" s="390"/>
      <c r="H9292" s="394"/>
    </row>
    <row r="9293" spans="1:8" ht="15.75" customHeight="1" x14ac:dyDescent="0.25">
      <c r="A9293" s="399" t="s">
        <v>33</v>
      </c>
      <c r="B9293" s="400" t="s">
        <v>6</v>
      </c>
      <c r="C9293" s="400"/>
      <c r="D9293" s="401" t="s">
        <v>37</v>
      </c>
      <c r="E9293" s="402" t="s">
        <v>38</v>
      </c>
      <c r="F9293" s="403" t="s">
        <v>7</v>
      </c>
      <c r="G9293" s="404" t="s">
        <v>43</v>
      </c>
      <c r="H9293" s="405" t="s">
        <v>44</v>
      </c>
    </row>
    <row r="9294" spans="1:8" ht="15.75" customHeight="1" x14ac:dyDescent="0.25">
      <c r="A9294" s="406"/>
      <c r="B9294" s="407"/>
      <c r="C9294" s="393"/>
      <c r="D9294" s="410"/>
      <c r="E9294" s="408"/>
      <c r="F9294" s="409"/>
      <c r="G9294" s="410"/>
      <c r="H9294" s="411"/>
    </row>
    <row r="9295" spans="1:8" ht="15.75" customHeight="1" x14ac:dyDescent="0.25">
      <c r="A9295" s="583"/>
      <c r="B9295" s="584" t="s">
        <v>1102</v>
      </c>
      <c r="C9295" s="584"/>
      <c r="D9295" s="415"/>
      <c r="E9295" s="582"/>
      <c r="F9295" s="585"/>
      <c r="G9295" s="584"/>
      <c r="H9295" s="586"/>
    </row>
    <row r="9296" spans="1:8" ht="15.75" customHeight="1" x14ac:dyDescent="0.25">
      <c r="A9296" s="581">
        <v>1</v>
      </c>
      <c r="B9296" s="582" t="s">
        <v>45</v>
      </c>
      <c r="C9296" s="582" t="s">
        <v>41</v>
      </c>
      <c r="D9296" s="415">
        <v>10</v>
      </c>
      <c r="E9296" s="415">
        <v>5</v>
      </c>
      <c r="F9296" s="415">
        <f t="shared" ref="F9296:F9302" si="313">+E9296*D9296</f>
      </c>
      <c r="G9296" s="415">
        <v>1</v>
      </c>
      <c r="H9296" s="416">
        <f t="shared" ref="H9296:H9302" si="314">+G9296*F9296</f>
      </c>
    </row>
    <row r="9297" spans="1:8" ht="15.75" customHeight="1" x14ac:dyDescent="0.25">
      <c r="A9297" s="581">
        <v>2</v>
      </c>
      <c r="B9297" s="582" t="s">
        <v>75</v>
      </c>
      <c r="C9297" s="582" t="s">
        <v>66</v>
      </c>
      <c r="D9297" s="415">
        <v>4</v>
      </c>
      <c r="E9297" s="415">
        <v>5</v>
      </c>
      <c r="F9297" s="415">
        <f t="shared" si="313"/>
      </c>
      <c r="G9297" s="415">
        <v>1</v>
      </c>
      <c r="H9297" s="416">
        <f t="shared" si="314"/>
      </c>
    </row>
    <row r="9298" spans="1:8" ht="15.75" customHeight="1" x14ac:dyDescent="0.25">
      <c r="A9298" s="581">
        <v>3</v>
      </c>
      <c r="B9298" s="582" t="s">
        <v>68</v>
      </c>
      <c r="C9298" s="582" t="s">
        <v>91</v>
      </c>
      <c r="D9298" s="415">
        <v>7</v>
      </c>
      <c r="E9298" s="415">
        <v>5</v>
      </c>
      <c r="F9298" s="415">
        <f t="shared" si="313"/>
      </c>
      <c r="G9298" s="415">
        <v>1</v>
      </c>
      <c r="H9298" s="416">
        <f t="shared" si="314"/>
      </c>
    </row>
    <row r="9299" spans="1:8" ht="15.75" customHeight="1" x14ac:dyDescent="0.25">
      <c r="A9299" s="581">
        <v>4</v>
      </c>
      <c r="B9299" s="582" t="s">
        <v>1887</v>
      </c>
      <c r="C9299" s="582" t="s">
        <v>142</v>
      </c>
      <c r="D9299" s="415">
        <v>5</v>
      </c>
      <c r="E9299" s="415">
        <v>5</v>
      </c>
      <c r="F9299" s="415">
        <f t="shared" si="313"/>
      </c>
      <c r="G9299" s="415">
        <v>1</v>
      </c>
      <c r="H9299" s="416">
        <f t="shared" si="314"/>
      </c>
    </row>
    <row r="9300" spans="1:8" ht="15.75" customHeight="1" x14ac:dyDescent="0.25">
      <c r="A9300" s="581">
        <v>5</v>
      </c>
      <c r="B9300" s="582" t="s">
        <v>125</v>
      </c>
      <c r="C9300" s="582" t="s">
        <v>324</v>
      </c>
      <c r="D9300" s="415">
        <v>2</v>
      </c>
      <c r="E9300" s="415">
        <v>5</v>
      </c>
      <c r="F9300" s="415">
        <f t="shared" si="313"/>
      </c>
      <c r="G9300" s="415">
        <v>1</v>
      </c>
      <c r="H9300" s="416">
        <f t="shared" si="314"/>
      </c>
    </row>
    <row r="9301" spans="1:8" ht="15.75" customHeight="1" x14ac:dyDescent="0.25">
      <c r="A9301" s="581">
        <v>6</v>
      </c>
      <c r="B9301" s="582" t="s">
        <v>127</v>
      </c>
      <c r="C9301" s="582" t="s">
        <v>326</v>
      </c>
      <c r="D9301" s="415">
        <v>8</v>
      </c>
      <c r="E9301" s="415">
        <v>5</v>
      </c>
      <c r="F9301" s="415">
        <f t="shared" si="313"/>
      </c>
      <c r="G9301" s="415">
        <v>1</v>
      </c>
      <c r="H9301" s="416">
        <f t="shared" si="314"/>
      </c>
    </row>
    <row r="9302" spans="1:8" ht="15.75" customHeight="1" x14ac:dyDescent="0.25">
      <c r="A9302" s="581">
        <v>7</v>
      </c>
      <c r="B9302" s="582" t="s">
        <v>144</v>
      </c>
      <c r="C9302" s="582" t="s">
        <v>340</v>
      </c>
      <c r="D9302" s="415">
        <v>4</v>
      </c>
      <c r="E9302" s="415">
        <v>5</v>
      </c>
      <c r="F9302" s="415">
        <f t="shared" si="313"/>
      </c>
      <c r="G9302" s="415">
        <v>1</v>
      </c>
      <c r="H9302" s="416">
        <f t="shared" si="314"/>
      </c>
    </row>
    <row r="9303" spans="1:8" ht="15.75" customHeight="1" x14ac:dyDescent="0.25">
      <c r="A9303" s="583"/>
      <c r="B9303" s="835" t="s">
        <v>1239</v>
      </c>
      <c r="C9303" s="836"/>
      <c r="D9303" s="415"/>
      <c r="E9303" s="582"/>
      <c r="F9303" s="585"/>
      <c r="G9303" s="584"/>
      <c r="H9303" s="586"/>
    </row>
    <row r="9304" spans="1:8" ht="15.75" customHeight="1" x14ac:dyDescent="0.25">
      <c r="A9304" s="656">
        <v>8</v>
      </c>
      <c r="B9304" s="418" t="s">
        <v>226</v>
      </c>
      <c r="C9304" s="585" t="s">
        <v>427</v>
      </c>
      <c r="D9304" s="588">
        <v>2</v>
      </c>
      <c r="E9304" s="415">
        <v>25</v>
      </c>
      <c r="F9304" s="588">
        <f>+E9304*D9304</f>
      </c>
      <c r="G9304" s="588">
        <v>1</v>
      </c>
      <c r="H9304" s="589">
        <f>+G9304*F9304</f>
      </c>
    </row>
    <row r="9305" spans="1:8" ht="15.75" customHeight="1" x14ac:dyDescent="0.25">
      <c r="A9305" s="587"/>
      <c r="B9305" s="627"/>
      <c r="C9305" s="585"/>
      <c r="D9305" s="588"/>
      <c r="E9305" s="415"/>
      <c r="F9305" s="588"/>
      <c r="G9305" s="588"/>
      <c r="H9305" s="589"/>
    </row>
    <row r="9306" spans="1:8" ht="15.75" customHeight="1" x14ac:dyDescent="0.25">
      <c r="A9306" s="587"/>
      <c r="B9306" s="418"/>
      <c r="C9306" s="585"/>
      <c r="D9306" s="415"/>
      <c r="E9306" s="415"/>
      <c r="F9306" s="588"/>
      <c r="G9306" s="588"/>
      <c r="H9306" s="589"/>
    </row>
    <row r="9307" spans="1:8" ht="15.75" customHeight="1" x14ac:dyDescent="0.25">
      <c r="A9307" s="587"/>
      <c r="B9307" s="418"/>
      <c r="C9307" s="582"/>
      <c r="D9307" s="415"/>
      <c r="E9307" s="415"/>
      <c r="F9307" s="588"/>
      <c r="G9307" s="588"/>
      <c r="H9307" s="589"/>
    </row>
    <row r="9308" spans="1:8" ht="15.75" customHeight="1" x14ac:dyDescent="0.25">
      <c r="A9308" s="587"/>
      <c r="B9308" s="590"/>
      <c r="C9308" s="585"/>
      <c r="D9308" s="415"/>
      <c r="E9308" s="415"/>
      <c r="F9308" s="588"/>
      <c r="G9308" s="588"/>
      <c r="H9308" s="589"/>
    </row>
    <row r="9309" spans="1:8" ht="15.75" customHeight="1" x14ac:dyDescent="0.25">
      <c r="A9309" s="587"/>
      <c r="B9309" s="418"/>
      <c r="C9309" s="585"/>
      <c r="D9309" s="588"/>
      <c r="E9309" s="415"/>
      <c r="F9309" s="588"/>
      <c r="G9309" s="588"/>
      <c r="H9309" s="589"/>
    </row>
    <row r="9310" spans="1:8" ht="15.75" customHeight="1" x14ac:dyDescent="0.25">
      <c r="A9310" s="587"/>
      <c r="B9310" s="582"/>
      <c r="C9310" s="585"/>
      <c r="D9310" s="415"/>
      <c r="E9310" s="415"/>
      <c r="F9310" s="588"/>
      <c r="G9310" s="588"/>
      <c r="H9310" s="586"/>
    </row>
    <row r="9311" spans="1:8" ht="15.75" customHeight="1" x14ac:dyDescent="0.25">
      <c r="A9311" s="430"/>
      <c r="B9311" s="409"/>
      <c r="C9311" s="393"/>
      <c r="D9311" s="427"/>
      <c r="E9311" s="427"/>
      <c r="F9311" s="428"/>
      <c r="G9311" s="431"/>
      <c r="H9311" s="429"/>
    </row>
    <row r="9312" spans="1:8" ht="15.75" customHeight="1" x14ac:dyDescent="0.25">
      <c r="A9312" s="432"/>
      <c r="B9312" s="433"/>
      <c r="C9312" s="434" t="s">
        <v>85</v>
      </c>
      <c r="D9312" s="436">
        <f>SUM(D9296:D9311)</f>
      </c>
      <c r="E9312" s="436"/>
      <c r="F9312" s="436"/>
      <c r="G9312" s="437"/>
      <c r="H9312" s="623">
        <f>SUM(H9296:H9311)</f>
      </c>
    </row>
    <row r="9313" spans="1:8" ht="15.75" customHeight="1" x14ac:dyDescent="0.25">
      <c r="A9313" s="439"/>
      <c r="B9313" s="440"/>
      <c r="C9313" s="440"/>
      <c r="D9313" s="441"/>
      <c r="E9313" s="440"/>
      <c r="F9313" s="442"/>
      <c r="G9313" s="443"/>
      <c r="H9313" s="444"/>
    </row>
    <row r="9314" spans="1:8" ht="15.75" customHeight="1" x14ac:dyDescent="0.25">
      <c r="A9314" s="392"/>
      <c r="B9314" s="391"/>
      <c r="C9314" s="391"/>
      <c r="D9314" s="391"/>
      <c r="E9314" s="390"/>
      <c r="F9314" s="392"/>
      <c r="G9314" s="390"/>
      <c r="H9314" s="394"/>
    </row>
    <row r="9315" spans="1:8" ht="15.75" customHeight="1" x14ac:dyDescent="0.25">
      <c r="A9315" s="445"/>
      <c r="B9315" s="445"/>
      <c r="C9315" s="445"/>
      <c r="D9315" s="446" t="s">
        <v>97</v>
      </c>
      <c r="E9315" s="445" t="s">
        <v>98</v>
      </c>
      <c r="F9315" s="445"/>
      <c r="G9315" s="390"/>
      <c r="H9315" s="394"/>
    </row>
    <row r="9316" spans="1:8" ht="15.75" customHeight="1" x14ac:dyDescent="0.25">
      <c r="A9316" s="390"/>
      <c r="B9316" s="390"/>
      <c r="C9316" s="390"/>
      <c r="D9316" s="391"/>
      <c r="E9316" s="390"/>
      <c r="F9316" s="390"/>
      <c r="G9316" s="390"/>
      <c r="H9316" s="394"/>
    </row>
    <row r="9317" spans="1:8" ht="15.75" customHeight="1" x14ac:dyDescent="0.25">
      <c r="A9317" s="390"/>
      <c r="B9317" s="390"/>
      <c r="C9317" s="390"/>
      <c r="D9317" s="391"/>
      <c r="E9317" s="390"/>
      <c r="F9317" s="390"/>
      <c r="G9317" s="390"/>
      <c r="H9317" s="394"/>
    </row>
    <row r="9318" spans="1:8" ht="15.75" customHeight="1" x14ac:dyDescent="0.25">
      <c r="A9318" s="445"/>
      <c r="B9318" s="445"/>
      <c r="C9318" s="445"/>
      <c r="D9318" s="446"/>
      <c r="E9318" s="445" t="s">
        <v>99</v>
      </c>
      <c r="F9318" s="445"/>
      <c r="G9318" s="390"/>
      <c r="H9318" s="394"/>
    </row>
    <row r="9319" spans="1:8" ht="15.75" customHeight="1" x14ac:dyDescent="0.25">
      <c r="D9319" s="4"/>
      <c r="H9319" s="4"/>
    </row>
    <row r="9320" spans="1:8" ht="15.75" customHeight="1" x14ac:dyDescent="0.25">
      <c r="D9320" s="4"/>
      <c r="H9320" s="4"/>
    </row>
    <row r="9321" spans="1:8" ht="15.75" customHeight="1" x14ac:dyDescent="0.25">
      <c r="D9321" s="4"/>
      <c r="H9321" s="4"/>
    </row>
    <row r="9322" spans="1:8" ht="15.75" customHeight="1" x14ac:dyDescent="0.25">
      <c r="D9322" s="4"/>
      <c r="H9322" s="4"/>
    </row>
    <row r="9323" spans="1:8" ht="15.75" customHeight="1" x14ac:dyDescent="0.25">
      <c r="D9323" s="4"/>
      <c r="H9323" s="4"/>
    </row>
    <row r="9324" spans="1:8" ht="15.75" customHeight="1" x14ac:dyDescent="0.25">
      <c r="D9324" s="4"/>
      <c r="H9324" s="4"/>
    </row>
    <row r="9325" spans="1:8" ht="15.75" customHeight="1" x14ac:dyDescent="0.25">
      <c r="A9325" s="398" t="s">
        <v>14</v>
      </c>
      <c r="B9325" s="398"/>
      <c r="C9325" s="398"/>
      <c r="D9325" s="398"/>
      <c r="E9325" s="398"/>
      <c r="F9325" s="398"/>
      <c r="G9325" s="398"/>
      <c r="H9325" s="398"/>
    </row>
    <row r="9326" spans="1:8" ht="15.75" customHeight="1" x14ac:dyDescent="0.25">
      <c r="A9326" s="398"/>
      <c r="B9326" s="398"/>
      <c r="C9326" s="398"/>
      <c r="D9326" s="398"/>
      <c r="E9326" s="398"/>
      <c r="F9326" s="398"/>
      <c r="G9326" s="398"/>
      <c r="H9326" s="398"/>
    </row>
    <row r="9327" spans="1:8" ht="15.75" customHeight="1" x14ac:dyDescent="0.25">
      <c r="A9327" s="398"/>
      <c r="B9327" s="398"/>
      <c r="C9327" s="398"/>
      <c r="D9327" s="398"/>
      <c r="E9327" s="398"/>
      <c r="F9327" s="398"/>
      <c r="G9327" s="398"/>
      <c r="H9327" s="398"/>
    </row>
    <row r="9328" spans="1:8" ht="15.75" customHeight="1" x14ac:dyDescent="0.25">
      <c r="A9328" s="390"/>
      <c r="B9328" s="390"/>
      <c r="C9328" s="390"/>
      <c r="D9328" s="391"/>
      <c r="E9328" s="390"/>
      <c r="F9328" s="395" t="s">
        <v>18</v>
      </c>
      <c r="G9328" s="396" t="s">
        <v>1003</v>
      </c>
      <c r="H9328" s="397"/>
    </row>
    <row r="9329" spans="1:8" ht="15.75" customHeight="1" x14ac:dyDescent="0.25">
      <c r="A9329" s="390" t="s">
        <v>20</v>
      </c>
      <c r="B9329" s="390"/>
      <c r="C9329" s="390"/>
      <c r="D9329" s="391"/>
      <c r="E9329" s="390"/>
      <c r="F9329" s="395" t="s">
        <v>21</v>
      </c>
      <c r="G9329" s="390" t="s">
        <v>1888</v>
      </c>
      <c r="H9329" s="391"/>
    </row>
    <row r="9330" spans="1:8" ht="15.75" customHeight="1" x14ac:dyDescent="0.25">
      <c r="A9330" s="390" t="inlineStr">
        <is>
          <t>Dealer-018</t>
        </is>
      </c>
      <c r="B9330" s="390"/>
      <c r="C9330" s="390"/>
      <c r="D9330" s="391"/>
      <c r="E9330" s="395"/>
      <c r="F9330" s="390"/>
      <c r="G9330" s="390"/>
      <c r="H9330" s="394"/>
    </row>
    <row r="9331" spans="1:8" ht="15.75" customHeight="1" x14ac:dyDescent="0.25">
      <c r="A9331" s="390" t="inlineStr">
        <is>
          <t>Address line (redacted)</t>
        </is>
      </c>
      <c r="B9331" s="390"/>
      <c r="C9331" s="390"/>
      <c r="D9331" s="398"/>
      <c r="E9331" s="390"/>
      <c r="F9331" s="391"/>
      <c r="G9331" s="390"/>
      <c r="H9331" s="394"/>
    </row>
    <row r="9332" spans="1:8" ht="15.75" customHeight="1" x14ac:dyDescent="0.25">
      <c r="A9332" s="390"/>
      <c r="B9332" s="390"/>
      <c r="C9332" s="390"/>
      <c r="D9332" s="398"/>
      <c r="E9332" s="390"/>
      <c r="F9332" s="391"/>
      <c r="G9332" s="390"/>
      <c r="H9332" s="394"/>
    </row>
    <row r="9333" spans="1:8" ht="15.75" customHeight="1" x14ac:dyDescent="0.25">
      <c r="A9333" s="447"/>
      <c r="B9333" s="390"/>
      <c r="C9333" s="390"/>
      <c r="D9333" s="391"/>
      <c r="E9333" s="390"/>
      <c r="F9333" s="391"/>
      <c r="G9333" s="390"/>
      <c r="H9333" s="394"/>
    </row>
    <row r="9334" spans="1:8" ht="15.75" customHeight="1" x14ac:dyDescent="0.25">
      <c r="A9334" s="390" t="s">
        <v>30</v>
      </c>
      <c r="B9334" s="390"/>
      <c r="C9334" s="390"/>
      <c r="D9334" s="391"/>
      <c r="E9334" s="390"/>
      <c r="F9334" s="391"/>
      <c r="G9334" s="390"/>
      <c r="H9334" s="394"/>
    </row>
    <row r="9335" spans="1:8" ht="15.75" customHeight="1" x14ac:dyDescent="0.25">
      <c r="A9335" s="390"/>
      <c r="B9335" s="390"/>
      <c r="C9335" s="390"/>
      <c r="D9335" s="391"/>
      <c r="E9335" s="390"/>
      <c r="F9335" s="391"/>
      <c r="G9335" s="390"/>
      <c r="H9335" s="394"/>
    </row>
    <row r="9336" spans="1:8" ht="15.75" customHeight="1" x14ac:dyDescent="0.25">
      <c r="A9336" s="390" t="s">
        <v>1322</v>
      </c>
      <c r="B9336" s="390"/>
      <c r="C9336" s="390"/>
      <c r="D9336" s="391"/>
      <c r="E9336" s="390"/>
      <c r="F9336" s="391"/>
      <c r="G9336" s="390"/>
      <c r="H9336" s="394"/>
    </row>
    <row r="9337" spans="1:8" ht="15.75" customHeight="1" x14ac:dyDescent="0.25">
      <c r="A9337" s="390" t="s">
        <v>1328</v>
      </c>
      <c r="B9337" s="390"/>
      <c r="C9337" s="390"/>
      <c r="D9337" s="391"/>
      <c r="E9337" s="390"/>
      <c r="F9337" s="391"/>
      <c r="G9337" s="390"/>
      <c r="H9337" s="394"/>
    </row>
    <row r="9338" spans="1:8" ht="15.75" customHeight="1" x14ac:dyDescent="0.25">
      <c r="A9338" s="399" t="s">
        <v>33</v>
      </c>
      <c r="B9338" s="400" t="s">
        <v>6</v>
      </c>
      <c r="C9338" s="400"/>
      <c r="D9338" s="401" t="s">
        <v>37</v>
      </c>
      <c r="E9338" s="402" t="s">
        <v>38</v>
      </c>
      <c r="F9338" s="403" t="s">
        <v>7</v>
      </c>
      <c r="G9338" s="404" t="s">
        <v>43</v>
      </c>
      <c r="H9338" s="405" t="s">
        <v>44</v>
      </c>
    </row>
    <row r="9339" spans="1:8" ht="15.75" customHeight="1" x14ac:dyDescent="0.25">
      <c r="A9339" s="406"/>
      <c r="B9339" s="407"/>
      <c r="C9339" s="393"/>
      <c r="D9339" s="408"/>
      <c r="E9339" s="408"/>
      <c r="F9339" s="409"/>
      <c r="G9339" s="410"/>
      <c r="H9339" s="411"/>
    </row>
    <row r="9340" spans="1:8" ht="15.75" customHeight="1" x14ac:dyDescent="0.25">
      <c r="A9340" s="502"/>
      <c r="B9340" s="557" t="s">
        <v>1873</v>
      </c>
      <c r="C9340" s="558"/>
      <c r="D9340" s="427"/>
      <c r="E9340" s="427"/>
      <c r="F9340" s="391"/>
      <c r="G9340" s="675"/>
      <c r="H9340" s="429"/>
    </row>
    <row r="9341" spans="1:8" ht="15.75" customHeight="1" x14ac:dyDescent="0.25">
      <c r="A9341" s="502" t="s">
        <v>55</v>
      </c>
      <c r="B9341" s="837" t="s">
        <v>2197</v>
      </c>
      <c r="C9341" s="838" t="s">
        <v>1880</v>
      </c>
      <c r="D9341" s="839">
        <v>2</v>
      </c>
      <c r="E9341" s="427">
        <v>100</v>
      </c>
      <c r="F9341" s="391">
        <f>+E9341*D9341</f>
      </c>
      <c r="G9341" s="427">
        <v>1</v>
      </c>
      <c r="H9341" s="429">
        <f>+G9341*F9341</f>
      </c>
    </row>
    <row r="9342" spans="1:8" ht="15.75" customHeight="1" x14ac:dyDescent="0.25">
      <c r="A9342" s="502"/>
      <c r="B9342" s="557"/>
      <c r="C9342" s="558"/>
      <c r="D9342" s="427"/>
      <c r="E9342" s="427"/>
      <c r="F9342" s="391"/>
      <c r="G9342" s="675"/>
      <c r="H9342" s="429"/>
    </row>
    <row r="9343" spans="1:8" ht="15.75" customHeight="1" x14ac:dyDescent="0.25">
      <c r="A9343" s="502" t="s">
        <v>59</v>
      </c>
      <c r="B9343" s="837" t="s">
        <v>2198</v>
      </c>
      <c r="C9343" s="576" t="s">
        <v>1848</v>
      </c>
      <c r="D9343" s="427">
        <v>14</v>
      </c>
      <c r="E9343" s="427">
        <v>100</v>
      </c>
      <c r="F9343" s="391">
        <f>+E9343*D9343</f>
      </c>
      <c r="G9343" s="427">
        <v>1</v>
      </c>
      <c r="H9343" s="429">
        <f>+G9343*F9343</f>
      </c>
    </row>
    <row r="9344" spans="1:8" ht="15.75" customHeight="1" x14ac:dyDescent="0.25">
      <c r="A9344" s="502"/>
      <c r="B9344" s="557"/>
      <c r="C9344" s="576"/>
      <c r="D9344" s="427"/>
      <c r="E9344" s="427"/>
      <c r="F9344" s="391"/>
      <c r="G9344" s="675"/>
      <c r="H9344" s="429"/>
    </row>
    <row r="9345" spans="1:8" ht="15.75" customHeight="1" x14ac:dyDescent="0.25">
      <c r="A9345" s="502" t="s">
        <v>67</v>
      </c>
      <c r="B9345" s="837" t="s">
        <v>2199</v>
      </c>
      <c r="C9345" s="576" t="s">
        <v>1882</v>
      </c>
      <c r="D9345" s="427">
        <v>8</v>
      </c>
      <c r="E9345" s="427">
        <v>100</v>
      </c>
      <c r="F9345" s="391">
        <f>+E9345*D9345</f>
      </c>
      <c r="G9345" s="427">
        <v>1</v>
      </c>
      <c r="H9345" s="429">
        <f>+G9345*F9345</f>
      </c>
    </row>
    <row r="9346" spans="1:8" ht="15.75" customHeight="1" x14ac:dyDescent="0.25">
      <c r="A9346" s="502"/>
      <c r="B9346" s="557"/>
      <c r="C9346" s="558"/>
      <c r="D9346" s="427"/>
      <c r="E9346" s="427"/>
      <c r="F9346" s="391"/>
      <c r="G9346" s="675"/>
      <c r="H9346" s="429"/>
    </row>
    <row r="9347" spans="1:8" ht="15.75" customHeight="1" x14ac:dyDescent="0.25">
      <c r="A9347" s="502" t="s">
        <v>485</v>
      </c>
      <c r="B9347" s="837" t="s">
        <v>2197</v>
      </c>
      <c r="C9347" s="840" t="s">
        <v>1880</v>
      </c>
      <c r="D9347" s="427">
        <v>1</v>
      </c>
      <c r="E9347" s="427">
        <v>100</v>
      </c>
      <c r="F9347" s="391">
        <f>+E9347*D9347</f>
      </c>
      <c r="G9347" s="841" t="s">
        <v>1856</v>
      </c>
      <c r="H9347" s="429"/>
    </row>
    <row r="9348" spans="1:8" ht="15.75" customHeight="1" x14ac:dyDescent="0.25">
      <c r="A9348" s="502"/>
      <c r="B9348" s="503"/>
      <c r="C9348" s="825"/>
      <c r="D9348" s="427"/>
      <c r="E9348" s="427"/>
      <c r="F9348" s="391"/>
      <c r="G9348" s="427"/>
      <c r="H9348" s="429"/>
    </row>
    <row r="9349" spans="1:8" ht="15.75" customHeight="1" x14ac:dyDescent="0.25">
      <c r="A9349" s="502" t="s">
        <v>486</v>
      </c>
      <c r="B9349" s="837" t="s">
        <v>2199</v>
      </c>
      <c r="C9349" s="840" t="s">
        <v>1882</v>
      </c>
      <c r="D9349" s="427">
        <v>1</v>
      </c>
      <c r="E9349" s="427">
        <v>100</v>
      </c>
      <c r="F9349" s="391">
        <f>+E9349*D9349</f>
      </c>
      <c r="G9349" s="841" t="s">
        <v>1856</v>
      </c>
      <c r="H9349" s="429"/>
    </row>
    <row r="9350" spans="1:8" ht="15.75" customHeight="1" x14ac:dyDescent="0.25">
      <c r="A9350" s="502"/>
      <c r="B9350" s="837"/>
      <c r="C9350" s="840"/>
      <c r="D9350" s="427"/>
      <c r="E9350" s="427"/>
      <c r="F9350" s="391"/>
      <c r="G9350" s="842"/>
      <c r="H9350" s="843"/>
    </row>
    <row r="9351" spans="1:8" ht="15.75" customHeight="1" x14ac:dyDescent="0.25">
      <c r="A9351" s="502"/>
      <c r="B9351" s="837"/>
      <c r="C9351" s="840"/>
      <c r="D9351" s="427"/>
      <c r="E9351" s="427"/>
      <c r="F9351" s="391"/>
      <c r="G9351" s="427" t="s">
        <v>85</v>
      </c>
      <c r="H9351" s="429">
        <f>SUM(H9341:H9350)</f>
      </c>
    </row>
    <row r="9352" spans="1:8" ht="15.75" customHeight="1" x14ac:dyDescent="0.25">
      <c r="A9352" s="502"/>
      <c r="B9352" s="718"/>
      <c r="C9352" s="844"/>
      <c r="D9352" s="841"/>
      <c r="E9352" s="845" t="s">
        <v>2201</v>
      </c>
      <c r="F9352" s="608"/>
      <c r="G9352" s="841"/>
      <c r="H9352" s="429"/>
    </row>
    <row r="9353" spans="1:8" ht="15.75" customHeight="1" x14ac:dyDescent="0.25">
      <c r="A9353" s="502"/>
      <c r="B9353" s="718"/>
      <c r="C9353" s="567"/>
      <c r="D9353" s="427"/>
      <c r="E9353" s="408"/>
      <c r="F9353" s="391"/>
      <c r="G9353" s="427"/>
      <c r="H9353" s="429"/>
    </row>
    <row r="9354" spans="1:8" ht="15.75" customHeight="1" x14ac:dyDescent="0.25">
      <c r="A9354" s="502"/>
      <c r="B9354" s="718"/>
      <c r="C9354" s="567"/>
      <c r="D9354" s="427"/>
      <c r="E9354" s="427"/>
      <c r="F9354" s="391"/>
      <c r="G9354" s="427"/>
      <c r="H9354" s="429"/>
    </row>
    <row r="9355" spans="1:8" ht="15.75" customHeight="1" x14ac:dyDescent="0.25">
      <c r="A9355" s="432"/>
      <c r="B9355" s="433"/>
      <c r="C9355" s="434" t="s">
        <v>85</v>
      </c>
      <c r="D9355" s="435">
        <f>SUM(D9340:D9354)</f>
      </c>
      <c r="E9355" s="435"/>
      <c r="F9355" s="436"/>
      <c r="G9355" s="437"/>
      <c r="H9355" s="438">
        <f>+H9351-H9352</f>
      </c>
    </row>
    <row r="9356" spans="1:8" ht="15.75" customHeight="1" x14ac:dyDescent="0.25">
      <c r="A9356" s="439"/>
      <c r="B9356" s="440"/>
      <c r="C9356" s="440"/>
      <c r="D9356" s="441"/>
      <c r="E9356" s="440"/>
      <c r="F9356" s="442"/>
      <c r="G9356" s="443"/>
      <c r="H9356" s="444"/>
    </row>
    <row r="9357" spans="1:8" ht="15.75" customHeight="1" x14ac:dyDescent="0.25">
      <c r="A9357" s="565" t="s">
        <v>2202</v>
      </c>
      <c r="B9357" s="565"/>
      <c r="C9357" s="565"/>
      <c r="D9357" s="565"/>
      <c r="E9357" s="565"/>
      <c r="F9357" s="565"/>
      <c r="G9357" s="565"/>
      <c r="H9357" s="565"/>
    </row>
    <row r="9358" spans="1:8" ht="15.75" customHeight="1" x14ac:dyDescent="0.25">
      <c r="A9358" s="445"/>
      <c r="B9358" s="445"/>
      <c r="C9358" s="445"/>
      <c r="D9358" s="446" t="s">
        <v>97</v>
      </c>
      <c r="E9358" s="445" t="s">
        <v>98</v>
      </c>
      <c r="F9358" s="445"/>
      <c r="G9358" s="390"/>
      <c r="H9358" s="394"/>
    </row>
    <row r="9359" spans="1:8" ht="15.75" customHeight="1" x14ac:dyDescent="0.25">
      <c r="A9359" s="445"/>
      <c r="B9359" s="445"/>
      <c r="C9359" s="445"/>
      <c r="D9359" s="446"/>
      <c r="E9359" s="445"/>
      <c r="F9359" s="445"/>
      <c r="G9359" s="390"/>
      <c r="H9359" s="394"/>
    </row>
    <row r="9360" spans="1:8" ht="15.75" customHeight="1" x14ac:dyDescent="0.25">
      <c r="A9360" s="445"/>
      <c r="B9360" s="445"/>
      <c r="C9360" s="445"/>
      <c r="D9360" s="446"/>
      <c r="E9360" s="445"/>
      <c r="F9360" s="445"/>
      <c r="G9360" s="390"/>
      <c r="H9360" s="394"/>
    </row>
    <row r="9361" spans="1:8" ht="15.75" customHeight="1" x14ac:dyDescent="0.25">
      <c r="A9361" s="445"/>
      <c r="B9361" s="445"/>
      <c r="C9361" s="445"/>
      <c r="D9361" s="446"/>
      <c r="E9361" s="445" t="s">
        <v>99</v>
      </c>
      <c r="F9361" s="445"/>
      <c r="G9361" s="390"/>
      <c r="H9361" s="394"/>
    </row>
    <row r="9362" spans="1:8" ht="15.75" customHeight="1" x14ac:dyDescent="0.25">
      <c r="D9362" s="4"/>
      <c r="H9362" s="4"/>
    </row>
    <row r="9363" spans="1:8" ht="15.75" customHeight="1" x14ac:dyDescent="0.25">
      <c r="D9363" s="4"/>
      <c r="H9363" s="4"/>
    </row>
    <row r="9364" spans="1:8" ht="15.75" customHeight="1" x14ac:dyDescent="0.25">
      <c r="D9364" s="4"/>
      <c r="H9364" s="4"/>
    </row>
    <row r="9365" spans="1:8" ht="15.75" customHeight="1" x14ac:dyDescent="0.25">
      <c r="D9365" s="4"/>
      <c r="H9365" s="4"/>
    </row>
    <row r="9366" spans="1:8" ht="15.75" customHeight="1" x14ac:dyDescent="0.25">
      <c r="D9366" s="4"/>
      <c r="H9366" s="4"/>
    </row>
    <row r="9367" spans="1:8" ht="15.75" customHeight="1" x14ac:dyDescent="0.25">
      <c r="D9367" s="4"/>
      <c r="H9367" s="4"/>
    </row>
    <row r="9368" spans="1:8" ht="15.75" customHeight="1" x14ac:dyDescent="0.25">
      <c r="D9368" s="4"/>
      <c r="H9368" s="4"/>
    </row>
    <row r="9369" spans="1:8" ht="15.75" customHeight="1" x14ac:dyDescent="0.25">
      <c r="D9369" s="4"/>
      <c r="H9369" s="4"/>
    </row>
    <row r="9370" spans="1:8" ht="15.75" customHeight="1" x14ac:dyDescent="0.25">
      <c r="D9370" s="4"/>
      <c r="H9370" s="4"/>
    </row>
    <row r="9371" spans="1:8" ht="15.75" customHeight="1" x14ac:dyDescent="0.25">
      <c r="A9371" s="392" t="s">
        <v>14</v>
      </c>
      <c r="B9371" s="391"/>
      <c r="C9371" s="391"/>
      <c r="D9371" s="391"/>
      <c r="E9371" s="391"/>
      <c r="F9371" s="391"/>
      <c r="G9371" s="391"/>
      <c r="H9371" s="394"/>
    </row>
    <row r="9372" spans="1:8" ht="15.75" customHeight="1" x14ac:dyDescent="0.25">
      <c r="A9372" s="392"/>
      <c r="B9372" s="391"/>
      <c r="C9372" s="391"/>
      <c r="D9372" s="391"/>
      <c r="E9372" s="390"/>
      <c r="F9372" s="392"/>
      <c r="G9372" s="390"/>
      <c r="H9372" s="394"/>
    </row>
    <row r="9373" spans="1:8" ht="15.75" customHeight="1" x14ac:dyDescent="0.25">
      <c r="A9373" s="392"/>
      <c r="B9373" s="391"/>
      <c r="C9373" s="391"/>
      <c r="D9373" s="391"/>
      <c r="E9373" s="390"/>
      <c r="F9373" s="392"/>
      <c r="G9373" s="390"/>
      <c r="H9373" s="394"/>
    </row>
    <row r="9374" spans="1:8" ht="15.75" customHeight="1" x14ac:dyDescent="0.25">
      <c r="A9374" s="390" t="s">
        <v>20</v>
      </c>
      <c r="B9374" s="390"/>
      <c r="C9374" s="390"/>
      <c r="D9374" s="391"/>
      <c r="E9374" s="390"/>
      <c r="F9374" s="392"/>
      <c r="G9374" s="390"/>
      <c r="H9374" s="394"/>
    </row>
    <row r="9375" spans="1:8" ht="15.75" customHeight="1" x14ac:dyDescent="0.3">
      <c r="A9375" s="390" t="inlineStr">
        <is>
          <t>Dealer-002</t>
        </is>
      </c>
      <c r="B9375" s="390"/>
      <c r="C9375" s="390"/>
      <c r="D9375" s="391"/>
      <c r="E9375" s="390"/>
      <c r="F9375" s="395" t="s">
        <v>18</v>
      </c>
      <c r="G9375" s="23" t="s">
        <v>1003</v>
      </c>
      <c r="H9375" s="394"/>
    </row>
    <row r="9376" spans="1:8" ht="15.75" customHeight="1" x14ac:dyDescent="0.25">
      <c r="A9376" s="390" t="inlineStr">
        <is>
          <t>Address line (redacted)</t>
        </is>
      </c>
      <c r="B9376" s="390"/>
      <c r="C9376" s="390"/>
      <c r="D9376" s="391"/>
      <c r="E9376" s="390"/>
      <c r="F9376" s="393" t="s">
        <v>21</v>
      </c>
      <c r="G9376" s="390" t="s">
        <v>1893</v>
      </c>
      <c r="H9376" s="394"/>
    </row>
    <row r="9377" spans="1:8" ht="15.75" customHeight="1" x14ac:dyDescent="0.25">
      <c r="A9377" s="390" t="inlineStr">
        <is>
          <t>Address line (redacted)</t>
        </is>
      </c>
      <c r="B9377" s="390"/>
      <c r="C9377" s="390"/>
      <c r="D9377" s="391"/>
      <c r="E9377" s="390"/>
      <c r="F9377" s="391"/>
      <c r="G9377" s="390"/>
      <c r="H9377" s="394"/>
    </row>
    <row r="9378" spans="1:8" ht="15.75" customHeight="1" x14ac:dyDescent="0.25">
      <c r="A9378" s="390"/>
      <c r="B9378" s="390"/>
      <c r="C9378" s="393"/>
      <c r="D9378" s="391"/>
      <c r="E9378" s="390"/>
      <c r="F9378" s="391"/>
      <c r="G9378" s="390"/>
      <c r="H9378" s="394"/>
    </row>
    <row r="9379" spans="1:8" ht="15.75" customHeight="1" x14ac:dyDescent="0.25">
      <c r="A9379" s="390"/>
      <c r="B9379" s="390"/>
      <c r="C9379" s="390"/>
      <c r="D9379" s="391"/>
      <c r="E9379" s="390"/>
      <c r="F9379" s="391"/>
      <c r="G9379" s="390"/>
      <c r="H9379" s="394"/>
    </row>
    <row r="9380" spans="1:8" ht="15.75" customHeight="1" x14ac:dyDescent="0.25">
      <c r="A9380" s="390" t="s">
        <v>30</v>
      </c>
      <c r="B9380" s="390"/>
      <c r="C9380" s="390"/>
      <c r="D9380" s="391"/>
      <c r="E9380" s="390"/>
      <c r="F9380" s="391"/>
      <c r="G9380" s="390"/>
      <c r="H9380" s="394"/>
    </row>
    <row r="9381" spans="1:8" ht="15.75" customHeight="1" x14ac:dyDescent="0.25">
      <c r="A9381" s="390"/>
      <c r="B9381" s="390"/>
      <c r="C9381" s="390"/>
      <c r="D9381" s="391"/>
      <c r="E9381" s="390"/>
      <c r="F9381" s="391"/>
      <c r="G9381" s="390"/>
      <c r="H9381" s="394"/>
    </row>
    <row r="9382" spans="1:8" ht="15.75" customHeight="1" x14ac:dyDescent="0.25">
      <c r="A9382" s="390" t="s">
        <v>1322</v>
      </c>
      <c r="B9382" s="390"/>
      <c r="C9382" s="390"/>
      <c r="D9382" s="391"/>
      <c r="E9382" s="390"/>
      <c r="F9382" s="391"/>
      <c r="G9382" s="390"/>
      <c r="H9382" s="394"/>
    </row>
    <row r="9383" spans="1:8" ht="15.75" customHeight="1" x14ac:dyDescent="0.25">
      <c r="A9383" s="390" t="s">
        <v>1328</v>
      </c>
      <c r="B9383" s="390"/>
      <c r="C9383" s="390"/>
      <c r="D9383" s="391"/>
      <c r="E9383" s="390"/>
      <c r="F9383" s="391"/>
      <c r="G9383" s="390"/>
      <c r="H9383" s="394"/>
    </row>
    <row r="9384" spans="1:8" ht="15.75" customHeight="1" x14ac:dyDescent="0.25">
      <c r="A9384" s="390"/>
      <c r="B9384" s="390"/>
      <c r="C9384" s="390"/>
      <c r="D9384" s="391"/>
      <c r="E9384" s="390"/>
      <c r="F9384" s="391"/>
      <c r="G9384" s="390"/>
      <c r="H9384" s="394"/>
    </row>
    <row r="9385" spans="1:8" ht="15.75" customHeight="1" x14ac:dyDescent="0.25">
      <c r="A9385" s="399" t="s">
        <v>33</v>
      </c>
      <c r="B9385" s="400" t="s">
        <v>6</v>
      </c>
      <c r="C9385" s="400"/>
      <c r="D9385" s="401" t="s">
        <v>37</v>
      </c>
      <c r="E9385" s="402" t="s">
        <v>1309</v>
      </c>
      <c r="F9385" s="609" t="s">
        <v>7</v>
      </c>
      <c r="G9385" s="400" t="s">
        <v>43</v>
      </c>
      <c r="H9385" s="405" t="s">
        <v>44</v>
      </c>
    </row>
    <row r="9386" spans="1:8" ht="15.75" customHeight="1" x14ac:dyDescent="0.25">
      <c r="A9386" s="610"/>
      <c r="B9386" s="611"/>
      <c r="C9386" s="611"/>
      <c r="D9386" s="612"/>
      <c r="E9386" s="613"/>
      <c r="F9386" s="614"/>
      <c r="G9386" s="611"/>
      <c r="H9386" s="615"/>
    </row>
    <row r="9387" spans="1:8" ht="15.75" customHeight="1" x14ac:dyDescent="0.25">
      <c r="A9387" s="412"/>
      <c r="B9387" s="654" t="s">
        <v>1356</v>
      </c>
      <c r="C9387" s="654"/>
      <c r="D9387" s="415"/>
      <c r="E9387" s="415"/>
      <c r="F9387" s="415"/>
      <c r="G9387" s="415"/>
      <c r="H9387" s="416"/>
    </row>
    <row r="9388" spans="1:8" ht="15.75" customHeight="1" x14ac:dyDescent="0.25">
      <c r="A9388" s="581" t="s">
        <v>55</v>
      </c>
      <c r="B9388" s="582" t="s">
        <v>63</v>
      </c>
      <c r="C9388" s="582" t="s">
        <v>54</v>
      </c>
      <c r="D9388" s="415">
        <v>1</v>
      </c>
      <c r="E9388" s="415">
        <v>5</v>
      </c>
      <c r="F9388" s="415">
        <f t="shared" ref="F9388:F9391" si="315">+E9388*D9388</f>
      </c>
      <c r="G9388" s="415">
        <v>1</v>
      </c>
      <c r="H9388" s="589">
        <f t="shared" ref="H9388:H9391" si="316">+G9388*F9388</f>
      </c>
    </row>
    <row r="9389" spans="1:8" ht="15.75" customHeight="1" x14ac:dyDescent="0.25">
      <c r="A9389" s="581" t="s">
        <v>59</v>
      </c>
      <c r="B9389" s="582" t="s">
        <v>131</v>
      </c>
      <c r="C9389" s="582" t="s">
        <v>329</v>
      </c>
      <c r="D9389" s="415">
        <v>1</v>
      </c>
      <c r="E9389" s="415">
        <v>5</v>
      </c>
      <c r="F9389" s="415">
        <f t="shared" si="315"/>
      </c>
      <c r="G9389" s="415">
        <v>1</v>
      </c>
      <c r="H9389" s="589">
        <f t="shared" si="316"/>
      </c>
    </row>
    <row r="9390" spans="1:8" ht="15.75" customHeight="1" x14ac:dyDescent="0.25">
      <c r="A9390" s="581" t="s">
        <v>67</v>
      </c>
      <c r="B9390" s="582" t="s">
        <v>80</v>
      </c>
      <c r="C9390" s="582" t="s">
        <v>77</v>
      </c>
      <c r="D9390" s="415">
        <v>1</v>
      </c>
      <c r="E9390" s="415">
        <v>5</v>
      </c>
      <c r="F9390" s="415">
        <f t="shared" si="315"/>
      </c>
      <c r="G9390" s="415">
        <v>1</v>
      </c>
      <c r="H9390" s="589">
        <f t="shared" si="316"/>
      </c>
    </row>
    <row r="9391" spans="1:8" ht="15.75" customHeight="1" x14ac:dyDescent="0.25">
      <c r="A9391" s="581" t="s">
        <v>485</v>
      </c>
      <c r="B9391" s="846" t="s">
        <v>1894</v>
      </c>
      <c r="C9391" s="847" t="s">
        <v>332</v>
      </c>
      <c r="D9391" s="415">
        <v>1</v>
      </c>
      <c r="E9391" s="415">
        <v>5</v>
      </c>
      <c r="F9391" s="415">
        <f t="shared" si="315"/>
      </c>
      <c r="G9391" s="415">
        <v>1</v>
      </c>
      <c r="H9391" s="589">
        <f t="shared" si="316"/>
      </c>
    </row>
    <row r="9392" spans="1:8" ht="15.75" customHeight="1" x14ac:dyDescent="0.25">
      <c r="A9392" s="581"/>
      <c r="B9392" s="654"/>
      <c r="C9392" s="654"/>
      <c r="D9392" s="415"/>
      <c r="E9392" s="415"/>
      <c r="F9392" s="415"/>
      <c r="G9392" s="415"/>
      <c r="H9392" s="589"/>
    </row>
    <row r="9393" spans="1:8" ht="15.75" customHeight="1" x14ac:dyDescent="0.25">
      <c r="A9393" s="581"/>
      <c r="B9393" s="582"/>
      <c r="C9393" s="582"/>
      <c r="D9393" s="415"/>
      <c r="E9393" s="415"/>
      <c r="F9393" s="415"/>
      <c r="G9393" s="415"/>
      <c r="H9393" s="589"/>
    </row>
    <row r="9394" spans="1:8" ht="15.75" customHeight="1" x14ac:dyDescent="0.25">
      <c r="A9394" s="430"/>
      <c r="B9394" s="409"/>
      <c r="C9394" s="393"/>
      <c r="D9394" s="427"/>
      <c r="E9394" s="427"/>
      <c r="F9394" s="428"/>
      <c r="G9394" s="427"/>
      <c r="H9394" s="429"/>
    </row>
    <row r="9395" spans="1:8" ht="15.75" customHeight="1" x14ac:dyDescent="0.25">
      <c r="A9395" s="432"/>
      <c r="B9395" s="433"/>
      <c r="C9395" s="434" t="s">
        <v>85</v>
      </c>
      <c r="D9395" s="659">
        <f>SUM(D9387:D9394)</f>
      </c>
      <c r="E9395" s="401"/>
      <c r="F9395" s="660"/>
      <c r="G9395" s="661"/>
      <c r="H9395" s="623">
        <f>SUM(H9387:H9394)</f>
      </c>
    </row>
    <row r="9396" spans="1:8" ht="15.75" customHeight="1" x14ac:dyDescent="0.25">
      <c r="A9396" s="439"/>
      <c r="B9396" s="440"/>
      <c r="C9396" s="440"/>
      <c r="D9396" s="441"/>
      <c r="E9396" s="440"/>
      <c r="F9396" s="442"/>
      <c r="G9396" s="443"/>
      <c r="H9396" s="444"/>
    </row>
    <row r="9397" spans="1:8" ht="15.75" customHeight="1" x14ac:dyDescent="0.25">
      <c r="A9397" s="392"/>
      <c r="B9397" s="391"/>
      <c r="C9397" s="391"/>
      <c r="D9397" s="391"/>
      <c r="E9397" s="390"/>
      <c r="F9397" s="392"/>
      <c r="G9397" s="390"/>
      <c r="H9397" s="394"/>
    </row>
    <row r="9398" spans="1:8" ht="15.75" customHeight="1" x14ac:dyDescent="0.25">
      <c r="A9398" s="445"/>
      <c r="B9398" s="445"/>
      <c r="C9398" s="445"/>
      <c r="D9398" s="446" t="s">
        <v>97</v>
      </c>
      <c r="E9398" s="445" t="s">
        <v>98</v>
      </c>
      <c r="F9398" s="445"/>
      <c r="G9398" s="390"/>
      <c r="H9398" s="394"/>
    </row>
    <row r="9399" spans="1:8" ht="15.75" customHeight="1" x14ac:dyDescent="0.25">
      <c r="A9399" s="390"/>
      <c r="B9399" s="390"/>
      <c r="C9399" s="390"/>
      <c r="D9399" s="391"/>
      <c r="E9399" s="390"/>
      <c r="F9399" s="390"/>
      <c r="G9399" s="390"/>
      <c r="H9399" s="394"/>
    </row>
    <row r="9400" spans="1:8" ht="15.75" customHeight="1" x14ac:dyDescent="0.25">
      <c r="A9400" s="390"/>
      <c r="B9400" s="390"/>
      <c r="C9400" s="390"/>
      <c r="D9400" s="391"/>
      <c r="E9400" s="390"/>
      <c r="F9400" s="390"/>
      <c r="G9400" s="390"/>
      <c r="H9400" s="394"/>
    </row>
    <row r="9401" spans="1:8" ht="15.75" customHeight="1" x14ac:dyDescent="0.25">
      <c r="A9401" s="445"/>
      <c r="B9401" s="445"/>
      <c r="C9401" s="445"/>
      <c r="D9401" s="446"/>
      <c r="E9401" s="445" t="s">
        <v>99</v>
      </c>
      <c r="F9401" s="445"/>
      <c r="G9401" s="390"/>
      <c r="H9401" s="394"/>
    </row>
    <row r="9402" spans="1:8" ht="15.75" customHeight="1" x14ac:dyDescent="0.25">
      <c r="D9402" s="4"/>
      <c r="H9402" s="4"/>
    </row>
    <row r="9403" spans="1:8" ht="15.75" customHeight="1" x14ac:dyDescent="0.25">
      <c r="D9403" s="4"/>
      <c r="H9403" s="4"/>
    </row>
    <row r="9404" spans="1:8" ht="15.75" customHeight="1" x14ac:dyDescent="0.25">
      <c r="D9404" s="4"/>
      <c r="H9404" s="4"/>
    </row>
    <row r="9405" spans="1:8" ht="15.75" customHeight="1" x14ac:dyDescent="0.25">
      <c r="D9405" s="4"/>
      <c r="H9405" s="4"/>
    </row>
    <row r="9406" spans="1:8" ht="15.75" customHeight="1" x14ac:dyDescent="0.25">
      <c r="D9406" s="4"/>
      <c r="H9406" s="4"/>
    </row>
    <row r="9407" spans="1:8" ht="15.75" customHeight="1" x14ac:dyDescent="0.25">
      <c r="D9407" s="4"/>
      <c r="H9407" s="4"/>
    </row>
    <row r="9408" spans="1:8" ht="15.75" customHeight="1" x14ac:dyDescent="0.25">
      <c r="D9408" s="4"/>
      <c r="H9408" s="4"/>
    </row>
    <row r="9409" spans="1:8" ht="15.75" customHeight="1" x14ac:dyDescent="0.25">
      <c r="D9409" s="4"/>
      <c r="H9409" s="4"/>
    </row>
    <row r="9410" spans="1:8" ht="15.75" customHeight="1" x14ac:dyDescent="0.25">
      <c r="D9410" s="4"/>
      <c r="H9410" s="4"/>
    </row>
    <row r="9411" spans="1:8" ht="15.75" customHeight="1" x14ac:dyDescent="0.25">
      <c r="D9411" s="4"/>
      <c r="H9411" s="4"/>
    </row>
    <row r="9412" spans="1:8" ht="15.75" customHeight="1" x14ac:dyDescent="0.25">
      <c r="D9412" s="4"/>
      <c r="H9412" s="4"/>
    </row>
    <row r="9413" spans="1:8" ht="15.75" customHeight="1" x14ac:dyDescent="0.25">
      <c r="D9413" s="4"/>
      <c r="H9413" s="4"/>
    </row>
    <row r="9414" spans="1:8" ht="15.75" customHeight="1" x14ac:dyDescent="0.25">
      <c r="D9414" s="4"/>
      <c r="H9414" s="4"/>
    </row>
    <row r="9415" spans="1:8" ht="15.75" customHeight="1" x14ac:dyDescent="0.25">
      <c r="D9415" s="4"/>
      <c r="H9415" s="4"/>
    </row>
    <row r="9416" spans="1:8" ht="15.75" customHeight="1" x14ac:dyDescent="0.25">
      <c r="D9416" s="4"/>
      <c r="H9416" s="4"/>
    </row>
    <row r="9417" spans="1:8" ht="15.75" customHeight="1" x14ac:dyDescent="0.25">
      <c r="A9417" s="398" t="s">
        <v>14</v>
      </c>
      <c r="B9417" s="398"/>
      <c r="C9417" s="398"/>
      <c r="D9417" s="398"/>
      <c r="E9417" s="398"/>
      <c r="F9417" s="398"/>
      <c r="G9417" s="398"/>
      <c r="H9417" s="398"/>
    </row>
    <row r="9418" spans="1:8" ht="15.75" customHeight="1" x14ac:dyDescent="0.25">
      <c r="A9418" s="398"/>
      <c r="B9418" s="398"/>
      <c r="C9418" s="398"/>
      <c r="D9418" s="398"/>
      <c r="E9418" s="398"/>
      <c r="F9418" s="398"/>
      <c r="G9418" s="398"/>
      <c r="H9418" s="398"/>
    </row>
    <row r="9419" spans="1:8" ht="15.75" customHeight="1" x14ac:dyDescent="0.25">
      <c r="A9419" s="390"/>
      <c r="B9419" s="390"/>
      <c r="C9419" s="390"/>
      <c r="D9419" s="391"/>
      <c r="E9419" s="390"/>
      <c r="F9419" s="395" t="s">
        <v>18</v>
      </c>
      <c r="G9419" s="396" t="s">
        <v>1007</v>
      </c>
      <c r="H9419" s="397"/>
    </row>
    <row r="9420" spans="1:8" ht="15.75" customHeight="1" x14ac:dyDescent="0.25">
      <c r="A9420" s="390" t="s">
        <v>20</v>
      </c>
      <c r="B9420" s="390"/>
      <c r="C9420" s="390"/>
      <c r="D9420" s="391"/>
      <c r="E9420" s="390"/>
      <c r="F9420" s="395" t="s">
        <v>21</v>
      </c>
      <c r="G9420" s="390" t="s">
        <v>1895</v>
      </c>
      <c r="H9420" s="391"/>
    </row>
    <row r="9421" spans="1:8" ht="15.75" customHeight="1" x14ac:dyDescent="0.25">
      <c r="A9421" s="390" t="inlineStr">
        <is>
          <t>Dealer-009</t>
        </is>
      </c>
      <c r="B9421" s="390"/>
      <c r="C9421" s="390"/>
      <c r="D9421" s="391"/>
      <c r="E9421" s="395"/>
      <c r="F9421" s="390"/>
      <c r="G9421" s="390"/>
      <c r="H9421" s="394"/>
    </row>
    <row r="9422" spans="1:8" ht="15.75" customHeight="1" x14ac:dyDescent="0.25">
      <c r="A9422" s="390" t="inlineStr">
        <is>
          <t>Address line (redacted)</t>
        </is>
      </c>
      <c r="B9422" s="390"/>
      <c r="C9422" s="390"/>
      <c r="D9422" s="398"/>
      <c r="E9422" s="390"/>
      <c r="F9422" s="391"/>
      <c r="G9422" s="390"/>
      <c r="H9422" s="394"/>
    </row>
    <row r="9423" spans="1:8" ht="15.75" customHeight="1" x14ac:dyDescent="0.25">
      <c r="A9423" s="390" t="inlineStr">
        <is>
          <t>Address line (redacted)</t>
        </is>
      </c>
      <c r="B9423" s="390"/>
      <c r="C9423" s="390"/>
      <c r="D9423" s="398"/>
      <c r="E9423" s="390"/>
      <c r="F9423" s="391"/>
      <c r="G9423" s="390"/>
      <c r="H9423" s="394"/>
    </row>
    <row r="9424" spans="1:8" ht="15.75" customHeight="1" x14ac:dyDescent="0.25">
      <c r="A9424" s="447"/>
      <c r="B9424" s="390"/>
      <c r="C9424" s="390"/>
      <c r="D9424" s="391"/>
      <c r="E9424" s="390"/>
      <c r="F9424" s="391"/>
      <c r="G9424" s="390"/>
      <c r="H9424" s="394"/>
    </row>
    <row r="9425" spans="1:8" ht="15.75" customHeight="1" x14ac:dyDescent="0.25">
      <c r="A9425" s="390" t="s">
        <v>30</v>
      </c>
      <c r="B9425" s="390"/>
      <c r="C9425" s="390"/>
      <c r="D9425" s="391"/>
      <c r="E9425" s="390"/>
      <c r="F9425" s="391"/>
      <c r="G9425" s="390"/>
      <c r="H9425" s="394"/>
    </row>
    <row r="9426" spans="1:8" ht="15.75" customHeight="1" x14ac:dyDescent="0.25">
      <c r="A9426" s="390" t="s">
        <v>1322</v>
      </c>
      <c r="B9426" s="390"/>
      <c r="C9426" s="390"/>
      <c r="D9426" s="391"/>
      <c r="E9426" s="390"/>
      <c r="F9426" s="391"/>
      <c r="G9426" s="390"/>
      <c r="H9426" s="394"/>
    </row>
    <row r="9427" spans="1:8" ht="15.75" customHeight="1" x14ac:dyDescent="0.25">
      <c r="A9427" s="390" t="s">
        <v>1328</v>
      </c>
      <c r="B9427" s="390"/>
      <c r="C9427" s="390"/>
      <c r="D9427" s="391"/>
      <c r="E9427" s="390"/>
      <c r="F9427" s="391"/>
      <c r="G9427" s="390"/>
      <c r="H9427" s="394"/>
    </row>
    <row r="9428" spans="1:8" ht="15.75" customHeight="1" x14ac:dyDescent="0.25">
      <c r="A9428" s="399" t="s">
        <v>33</v>
      </c>
      <c r="B9428" s="400" t="s">
        <v>6</v>
      </c>
      <c r="C9428" s="400"/>
      <c r="D9428" s="401" t="s">
        <v>37</v>
      </c>
      <c r="E9428" s="402" t="s">
        <v>38</v>
      </c>
      <c r="F9428" s="403" t="s">
        <v>7</v>
      </c>
      <c r="G9428" s="404" t="s">
        <v>43</v>
      </c>
      <c r="H9428" s="405" t="s">
        <v>44</v>
      </c>
    </row>
    <row r="9429" spans="1:8" ht="15.75" customHeight="1" x14ac:dyDescent="0.25">
      <c r="A9429" s="406"/>
      <c r="B9429" s="407"/>
      <c r="C9429" s="393"/>
      <c r="D9429" s="408"/>
      <c r="E9429" s="408"/>
      <c r="F9429" s="409"/>
      <c r="G9429" s="410"/>
      <c r="H9429" s="411"/>
    </row>
    <row r="9430" spans="1:8" ht="15.75" customHeight="1" x14ac:dyDescent="0.25">
      <c r="A9430" s="502"/>
      <c r="B9430" s="557" t="s">
        <v>1681</v>
      </c>
      <c r="C9430" s="560"/>
      <c r="D9430" s="428"/>
      <c r="E9430" s="428"/>
      <c r="F9430" s="428"/>
      <c r="G9430" s="427"/>
      <c r="H9430" s="429"/>
    </row>
    <row r="9431" spans="1:8" ht="15.75" customHeight="1" x14ac:dyDescent="0.25">
      <c r="A9431" s="502" t="s">
        <v>55</v>
      </c>
      <c r="B9431" s="718" t="s">
        <v>1880</v>
      </c>
      <c r="C9431" s="718" t="s">
        <v>1505</v>
      </c>
      <c r="D9431" s="428">
        <v>2</v>
      </c>
      <c r="E9431" s="428">
        <v>100</v>
      </c>
      <c r="F9431" s="428">
        <f t="shared" ref="F9431:F9435" si="317">+E9431*D9431</f>
      </c>
      <c r="G9431" s="427">
        <v>1</v>
      </c>
      <c r="H9431" s="429">
        <f t="shared" ref="H9431:H9433" si="318">+G9431*F9431</f>
      </c>
    </row>
    <row r="9432" spans="1:8" ht="15.75" customHeight="1" x14ac:dyDescent="0.25">
      <c r="A9432" s="502" t="s">
        <v>59</v>
      </c>
      <c r="B9432" s="718" t="s">
        <v>1848</v>
      </c>
      <c r="C9432" s="718" t="s">
        <v>1474</v>
      </c>
      <c r="D9432" s="428">
        <v>14</v>
      </c>
      <c r="E9432" s="428">
        <v>100</v>
      </c>
      <c r="F9432" s="428">
        <f t="shared" si="317"/>
      </c>
      <c r="G9432" s="427">
        <v>1</v>
      </c>
      <c r="H9432" s="429">
        <f t="shared" si="318"/>
      </c>
    </row>
    <row r="9433" spans="1:8" ht="15.75" customHeight="1" x14ac:dyDescent="0.25">
      <c r="A9433" s="502" t="s">
        <v>67</v>
      </c>
      <c r="B9433" s="718" t="s">
        <v>1882</v>
      </c>
      <c r="C9433" s="718" t="s">
        <v>1821</v>
      </c>
      <c r="D9433" s="428">
        <v>8</v>
      </c>
      <c r="E9433" s="428">
        <v>100</v>
      </c>
      <c r="F9433" s="428">
        <f t="shared" si="317"/>
      </c>
      <c r="G9433" s="427">
        <v>1</v>
      </c>
      <c r="H9433" s="429">
        <f t="shared" si="318"/>
      </c>
    </row>
    <row r="9434" spans="1:8" ht="15.75" customHeight="1" x14ac:dyDescent="0.25">
      <c r="A9434" s="502" t="s">
        <v>485</v>
      </c>
      <c r="B9434" s="718" t="s">
        <v>1882</v>
      </c>
      <c r="C9434" s="718" t="s">
        <v>1821</v>
      </c>
      <c r="D9434" s="428">
        <v>1</v>
      </c>
      <c r="E9434" s="428">
        <v>100</v>
      </c>
      <c r="F9434" s="428">
        <f t="shared" si="317"/>
      </c>
      <c r="G9434" s="830" t="s">
        <v>2187</v>
      </c>
      <c r="H9434" s="831"/>
    </row>
    <row r="9435" spans="1:8" ht="15.75" customHeight="1" x14ac:dyDescent="0.25">
      <c r="A9435" s="502" t="s">
        <v>486</v>
      </c>
      <c r="B9435" s="718" t="s">
        <v>1898</v>
      </c>
      <c r="C9435" s="832" t="s">
        <v>1505</v>
      </c>
      <c r="D9435" s="428">
        <v>1</v>
      </c>
      <c r="E9435" s="428">
        <v>100</v>
      </c>
      <c r="F9435" s="428">
        <f t="shared" si="317"/>
      </c>
      <c r="G9435" s="848" t="s">
        <v>2187</v>
      </c>
      <c r="H9435" s="831"/>
    </row>
    <row r="9436" spans="1:8" ht="15.75" customHeight="1" x14ac:dyDescent="0.25">
      <c r="A9436" s="502"/>
      <c r="B9436" s="557" t="s">
        <v>1900</v>
      </c>
      <c r="C9436" s="560"/>
      <c r="D9436" s="428"/>
      <c r="E9436" s="428"/>
      <c r="F9436" s="428"/>
      <c r="G9436" s="833"/>
      <c r="H9436" s="429"/>
    </row>
    <row r="9437" spans="1:8" ht="15.75" customHeight="1" x14ac:dyDescent="0.25">
      <c r="A9437" s="502" t="s">
        <v>489</v>
      </c>
      <c r="B9437" s="718" t="s">
        <v>1626</v>
      </c>
      <c r="C9437" s="832"/>
      <c r="D9437" s="428">
        <v>2</v>
      </c>
      <c r="E9437" s="428">
        <v>10</v>
      </c>
      <c r="F9437" s="428">
        <v>20</v>
      </c>
      <c r="G9437" s="428">
        <v>1</v>
      </c>
      <c r="H9437" s="429">
        <f t="shared" ref="H9437:H9438" si="319">G9437*F9437</f>
      </c>
    </row>
    <row r="9438" spans="1:8" ht="15.75" customHeight="1" x14ac:dyDescent="0.25">
      <c r="A9438" s="502" t="s">
        <v>490</v>
      </c>
      <c r="B9438" s="718" t="s">
        <v>1823</v>
      </c>
      <c r="C9438" s="813"/>
      <c r="D9438" s="428">
        <v>3</v>
      </c>
      <c r="E9438" s="428">
        <v>5</v>
      </c>
      <c r="F9438" s="428">
        <v>15</v>
      </c>
      <c r="G9438" s="428">
        <v>1</v>
      </c>
      <c r="H9438" s="429">
        <f t="shared" si="319"/>
      </c>
    </row>
    <row r="9439" spans="1:8" ht="15.75" customHeight="1" x14ac:dyDescent="0.25">
      <c r="A9439" s="502"/>
      <c r="B9439" s="718"/>
      <c r="C9439" s="567"/>
      <c r="D9439" s="819"/>
      <c r="E9439" s="819"/>
      <c r="F9439" s="819"/>
      <c r="G9439" s="819"/>
      <c r="H9439" s="444"/>
    </row>
    <row r="9440" spans="1:8" ht="15.75" customHeight="1" x14ac:dyDescent="0.25">
      <c r="A9440" s="432"/>
      <c r="B9440" s="433"/>
      <c r="C9440" s="434" t="s">
        <v>85</v>
      </c>
      <c r="D9440" s="435">
        <f>SUM(D9430:D9439)</f>
      </c>
      <c r="E9440" s="435"/>
      <c r="F9440" s="436"/>
      <c r="G9440" s="437"/>
      <c r="H9440" s="438">
        <f>SUM(H9431:H9439)</f>
      </c>
    </row>
    <row r="9441" spans="1:8" ht="15.75" customHeight="1" x14ac:dyDescent="0.25">
      <c r="A9441" s="439"/>
      <c r="B9441" s="440"/>
      <c r="C9441" s="440"/>
      <c r="D9441" s="441"/>
      <c r="E9441" s="440"/>
      <c r="F9441" s="442"/>
      <c r="G9441" s="443"/>
      <c r="H9441" s="444"/>
    </row>
    <row r="9442" spans="1:8" ht="15.75" customHeight="1" x14ac:dyDescent="0.25">
      <c r="A9442" s="834"/>
      <c r="B9442" s="565"/>
      <c r="C9442" s="565"/>
      <c r="D9442" s="565"/>
      <c r="E9442" s="565"/>
      <c r="F9442" s="565"/>
      <c r="G9442" s="565"/>
      <c r="H9442" s="565"/>
    </row>
    <row r="9443" spans="1:8" ht="15.75" customHeight="1" x14ac:dyDescent="0.25">
      <c r="A9443" s="445"/>
      <c r="B9443" s="445"/>
      <c r="C9443" s="445"/>
      <c r="D9443" s="446" t="s">
        <v>97</v>
      </c>
      <c r="E9443" s="445" t="s">
        <v>98</v>
      </c>
      <c r="F9443" s="445"/>
      <c r="G9443" s="390"/>
      <c r="H9443" s="394"/>
    </row>
    <row r="9444" spans="1:8" ht="15.75" customHeight="1" x14ac:dyDescent="0.25">
      <c r="A9444" s="390"/>
      <c r="B9444" s="390"/>
      <c r="C9444" s="390"/>
      <c r="D9444" s="391"/>
      <c r="E9444" s="390"/>
      <c r="F9444" s="390"/>
      <c r="G9444" s="390"/>
      <c r="H9444" s="394"/>
    </row>
    <row r="9445" spans="1:8" ht="15.75" customHeight="1" x14ac:dyDescent="0.25">
      <c r="A9445" s="445"/>
      <c r="B9445" s="445"/>
      <c r="C9445" s="445"/>
      <c r="D9445" s="446"/>
      <c r="E9445" s="445" t="s">
        <v>99</v>
      </c>
      <c r="F9445" s="445"/>
      <c r="G9445" s="390"/>
      <c r="H9445" s="394"/>
    </row>
    <row r="9446" spans="1:8" ht="15.75" customHeight="1" x14ac:dyDescent="0.25">
      <c r="D9446" s="4"/>
      <c r="H9446" s="4"/>
    </row>
    <row r="9447" spans="1:8" ht="15.75" customHeight="1" x14ac:dyDescent="0.25">
      <c r="D9447" s="4"/>
      <c r="H9447" s="4"/>
    </row>
    <row r="9448" spans="1:8" ht="15.75" customHeight="1" x14ac:dyDescent="0.25">
      <c r="D9448" s="4"/>
      <c r="H9448" s="4"/>
    </row>
    <row r="9449" spans="1:8" ht="15.75" customHeight="1" x14ac:dyDescent="0.25">
      <c r="D9449" s="4"/>
      <c r="H9449" s="4"/>
    </row>
    <row r="9450" spans="1:8" ht="15.75" customHeight="1" x14ac:dyDescent="0.25">
      <c r="D9450" s="4"/>
      <c r="H9450" s="4"/>
    </row>
    <row r="9451" spans="1:8" ht="15.75" customHeight="1" x14ac:dyDescent="0.25">
      <c r="D9451" s="4"/>
      <c r="H9451" s="4"/>
    </row>
    <row r="9452" spans="1:8" ht="15.75" customHeight="1" x14ac:dyDescent="0.25">
      <c r="D9452" s="4"/>
      <c r="H9452" s="4"/>
    </row>
    <row r="9453" spans="1:8" ht="15.75" customHeight="1" x14ac:dyDescent="0.25">
      <c r="D9453" s="4"/>
      <c r="H9453" s="4"/>
    </row>
    <row r="9454" spans="1:8" ht="15.75" customHeight="1" x14ac:dyDescent="0.25">
      <c r="D9454" s="4"/>
      <c r="H9454" s="4"/>
    </row>
    <row r="9455" spans="1:8" ht="15.75" customHeight="1" x14ac:dyDescent="0.25">
      <c r="D9455" s="4"/>
      <c r="H9455" s="4"/>
    </row>
    <row r="9456" spans="1:8" ht="15.75" customHeight="1" x14ac:dyDescent="0.25">
      <c r="D9456" s="4"/>
      <c r="H9456" s="4"/>
    </row>
    <row r="9457" spans="1:8" ht="15.75" customHeight="1" x14ac:dyDescent="0.25">
      <c r="D9457" s="4"/>
      <c r="H9457" s="4"/>
    </row>
    <row r="9458" spans="1:8" ht="15.75" customHeight="1" x14ac:dyDescent="0.25">
      <c r="D9458" s="4"/>
      <c r="H9458" s="4"/>
    </row>
    <row r="9459" spans="1:8" ht="15.75" customHeight="1" x14ac:dyDescent="0.25">
      <c r="D9459" s="4"/>
      <c r="H9459" s="4"/>
    </row>
    <row r="9460" spans="1:8" ht="15.75" customHeight="1" x14ac:dyDescent="0.25">
      <c r="D9460" s="4"/>
      <c r="H9460" s="4"/>
    </row>
    <row r="9461" spans="1:8" ht="15.75" customHeight="1" x14ac:dyDescent="0.25">
      <c r="D9461" s="4"/>
      <c r="H9461" s="4"/>
    </row>
    <row r="9462" spans="1:8" ht="15.75" customHeight="1" x14ac:dyDescent="0.25">
      <c r="D9462" s="4"/>
      <c r="H9462" s="4"/>
    </row>
    <row r="9463" spans="1:8" ht="15.75" customHeight="1" x14ac:dyDescent="0.25">
      <c r="A9463" s="398" t="s">
        <v>14</v>
      </c>
      <c r="B9463" s="398"/>
      <c r="C9463" s="398"/>
      <c r="D9463" s="398"/>
      <c r="E9463" s="398"/>
      <c r="F9463" s="398"/>
      <c r="G9463" s="398"/>
      <c r="H9463" s="398"/>
    </row>
    <row r="9464" spans="1:8" ht="15.75" customHeight="1" x14ac:dyDescent="0.25">
      <c r="A9464" s="398"/>
      <c r="B9464" s="398"/>
      <c r="C9464" s="398"/>
      <c r="D9464" s="398"/>
      <c r="E9464" s="398"/>
      <c r="F9464" s="398"/>
      <c r="G9464" s="398"/>
      <c r="H9464" s="398"/>
    </row>
    <row r="9465" spans="1:8" ht="15.75" customHeight="1" x14ac:dyDescent="0.25">
      <c r="A9465" s="390"/>
      <c r="B9465" s="390"/>
      <c r="C9465" s="390"/>
      <c r="D9465" s="391"/>
      <c r="E9465" s="390"/>
      <c r="F9465" s="395" t="s">
        <v>18</v>
      </c>
      <c r="G9465" s="396" t="s">
        <v>1007</v>
      </c>
      <c r="H9465" s="397"/>
    </row>
    <row r="9466" spans="1:8" ht="15.75" customHeight="1" x14ac:dyDescent="0.25">
      <c r="A9466" s="390" t="s">
        <v>20</v>
      </c>
      <c r="B9466" s="390"/>
      <c r="C9466" s="390"/>
      <c r="D9466" s="391"/>
      <c r="E9466" s="390"/>
      <c r="F9466" s="395" t="s">
        <v>21</v>
      </c>
      <c r="G9466" s="390" t="s">
        <v>1901</v>
      </c>
      <c r="H9466" s="391"/>
    </row>
    <row r="9467" spans="1:8" ht="15.75" customHeight="1" x14ac:dyDescent="0.25">
      <c r="A9467" s="390" t="inlineStr">
        <is>
          <t>Dealer-009</t>
        </is>
      </c>
      <c r="B9467" s="390"/>
      <c r="C9467" s="390"/>
      <c r="D9467" s="391"/>
      <c r="E9467" s="395"/>
      <c r="F9467" s="390"/>
      <c r="G9467" s="390"/>
      <c r="H9467" s="394"/>
    </row>
    <row r="9468" spans="1:8" ht="15.75" customHeight="1" x14ac:dyDescent="0.25">
      <c r="A9468" s="390" t="inlineStr">
        <is>
          <t>Address line (redacted)</t>
        </is>
      </c>
      <c r="B9468" s="390"/>
      <c r="C9468" s="390"/>
      <c r="D9468" s="398"/>
      <c r="E9468" s="390"/>
      <c r="F9468" s="391"/>
      <c r="G9468" s="390"/>
      <c r="H9468" s="394"/>
    </row>
    <row r="9469" spans="1:8" ht="15.75" customHeight="1" x14ac:dyDescent="0.25">
      <c r="A9469" s="390" t="inlineStr">
        <is>
          <t>Address line (redacted)</t>
        </is>
      </c>
      <c r="B9469" s="390"/>
      <c r="C9469" s="390"/>
      <c r="D9469" s="398"/>
      <c r="E9469" s="390"/>
      <c r="F9469" s="391"/>
      <c r="G9469" s="390"/>
      <c r="H9469" s="394"/>
    </row>
    <row r="9470" spans="1:8" ht="15.75" customHeight="1" x14ac:dyDescent="0.25">
      <c r="A9470" s="447"/>
      <c r="B9470" s="390"/>
      <c r="C9470" s="390"/>
      <c r="D9470" s="391"/>
      <c r="E9470" s="390"/>
      <c r="F9470" s="391"/>
      <c r="G9470" s="390"/>
      <c r="H9470" s="394"/>
    </row>
    <row r="9471" spans="1:8" ht="15.75" customHeight="1" x14ac:dyDescent="0.25">
      <c r="A9471" s="390" t="s">
        <v>30</v>
      </c>
      <c r="B9471" s="390"/>
      <c r="C9471" s="390"/>
      <c r="D9471" s="391"/>
      <c r="E9471" s="390"/>
      <c r="F9471" s="391"/>
      <c r="G9471" s="390"/>
      <c r="H9471" s="394"/>
    </row>
    <row r="9472" spans="1:8" ht="15.75" customHeight="1" x14ac:dyDescent="0.25">
      <c r="A9472" s="390" t="s">
        <v>1322</v>
      </c>
      <c r="B9472" s="390"/>
      <c r="C9472" s="390"/>
      <c r="D9472" s="391"/>
      <c r="E9472" s="390"/>
      <c r="F9472" s="391"/>
      <c r="G9472" s="390"/>
      <c r="H9472" s="394"/>
    </row>
    <row r="9473" spans="1:8" ht="15.75" customHeight="1" x14ac:dyDescent="0.25">
      <c r="A9473" s="390" t="s">
        <v>1328</v>
      </c>
      <c r="B9473" s="390"/>
      <c r="C9473" s="390"/>
      <c r="D9473" s="391"/>
      <c r="E9473" s="390"/>
      <c r="F9473" s="391"/>
      <c r="G9473" s="390"/>
      <c r="H9473" s="394"/>
    </row>
    <row r="9474" spans="1:8" ht="15.75" customHeight="1" x14ac:dyDescent="0.25">
      <c r="A9474" s="399" t="s">
        <v>33</v>
      </c>
      <c r="B9474" s="400" t="s">
        <v>6</v>
      </c>
      <c r="C9474" s="400"/>
      <c r="D9474" s="401" t="s">
        <v>37</v>
      </c>
      <c r="E9474" s="402" t="s">
        <v>38</v>
      </c>
      <c r="F9474" s="403" t="s">
        <v>7</v>
      </c>
      <c r="G9474" s="404" t="s">
        <v>43</v>
      </c>
      <c r="H9474" s="405" t="s">
        <v>44</v>
      </c>
    </row>
    <row r="9475" spans="1:8" ht="15.75" customHeight="1" x14ac:dyDescent="0.25">
      <c r="A9475" s="406"/>
      <c r="B9475" s="407"/>
      <c r="C9475" s="393"/>
      <c r="D9475" s="408"/>
      <c r="E9475" s="408"/>
      <c r="F9475" s="409"/>
      <c r="G9475" s="410"/>
      <c r="H9475" s="411"/>
    </row>
    <row r="9476" spans="1:8" ht="15.75" customHeight="1" x14ac:dyDescent="0.25">
      <c r="A9476" s="502"/>
      <c r="B9476" s="557" t="s">
        <v>1902</v>
      </c>
      <c r="C9476" s="560"/>
      <c r="D9476" s="428"/>
      <c r="E9476" s="428"/>
      <c r="F9476" s="428"/>
      <c r="G9476" s="833"/>
      <c r="H9476" s="429"/>
    </row>
    <row r="9477" spans="1:8" ht="15.75" customHeight="1" x14ac:dyDescent="0.25">
      <c r="A9477" s="502" t="s">
        <v>55</v>
      </c>
      <c r="B9477" s="718" t="s">
        <v>118</v>
      </c>
      <c r="C9477" s="832" t="s">
        <v>1599</v>
      </c>
      <c r="D9477" s="428">
        <v>2</v>
      </c>
      <c r="E9477" s="428">
        <v>5</v>
      </c>
      <c r="F9477" s="428">
        <f>+E9477*D9477</f>
      </c>
      <c r="G9477" s="428">
        <v>1</v>
      </c>
      <c r="H9477" s="429">
        <f>G9477*F9477</f>
      </c>
    </row>
    <row r="9478" spans="1:8" ht="15.75" customHeight="1" x14ac:dyDescent="0.25">
      <c r="A9478" s="502"/>
      <c r="B9478" s="718"/>
      <c r="C9478" s="813"/>
      <c r="D9478" s="428"/>
      <c r="E9478" s="428"/>
      <c r="F9478" s="428"/>
      <c r="G9478" s="428"/>
      <c r="H9478" s="429"/>
    </row>
    <row r="9479" spans="1:8" ht="15.75" customHeight="1" x14ac:dyDescent="0.25">
      <c r="A9479" s="502"/>
      <c r="B9479" s="718"/>
      <c r="C9479" s="813"/>
      <c r="D9479" s="428"/>
      <c r="E9479" s="428"/>
      <c r="F9479" s="428"/>
      <c r="G9479" s="428"/>
      <c r="H9479" s="429"/>
    </row>
    <row r="9480" spans="1:8" ht="15.75" customHeight="1" x14ac:dyDescent="0.25">
      <c r="A9480" s="502"/>
      <c r="B9480" s="718"/>
      <c r="C9480" s="813"/>
      <c r="D9480" s="428"/>
      <c r="E9480" s="428"/>
      <c r="F9480" s="428"/>
      <c r="G9480" s="428"/>
      <c r="H9480" s="429"/>
    </row>
    <row r="9481" spans="1:8" ht="15.75" customHeight="1" x14ac:dyDescent="0.25">
      <c r="A9481" s="502"/>
      <c r="B9481" s="718"/>
      <c r="C9481" s="813"/>
      <c r="D9481" s="428"/>
      <c r="E9481" s="428"/>
      <c r="F9481" s="428"/>
      <c r="G9481" s="428"/>
      <c r="H9481" s="429"/>
    </row>
    <row r="9482" spans="1:8" ht="15.75" customHeight="1" x14ac:dyDescent="0.25">
      <c r="A9482" s="502"/>
      <c r="B9482" s="718"/>
      <c r="C9482" s="813"/>
      <c r="D9482" s="428"/>
      <c r="E9482" s="428"/>
      <c r="F9482" s="428"/>
      <c r="G9482" s="428"/>
      <c r="H9482" s="429"/>
    </row>
    <row r="9483" spans="1:8" ht="15.75" customHeight="1" x14ac:dyDescent="0.25">
      <c r="A9483" s="502"/>
      <c r="B9483" s="718"/>
      <c r="C9483" s="813"/>
      <c r="D9483" s="428"/>
      <c r="E9483" s="428"/>
      <c r="F9483" s="428"/>
      <c r="G9483" s="428"/>
      <c r="H9483" s="429"/>
    </row>
    <row r="9484" spans="1:8" ht="15.75" customHeight="1" x14ac:dyDescent="0.25">
      <c r="A9484" s="502"/>
      <c r="B9484" s="718"/>
      <c r="C9484" s="813"/>
      <c r="D9484" s="428"/>
      <c r="E9484" s="428"/>
      <c r="F9484" s="428"/>
      <c r="G9484" s="428"/>
      <c r="H9484" s="429"/>
    </row>
    <row r="9485" spans="1:8" ht="15.75" customHeight="1" x14ac:dyDescent="0.25">
      <c r="A9485" s="502"/>
      <c r="B9485" s="718"/>
      <c r="C9485" s="813"/>
      <c r="D9485" s="428"/>
      <c r="E9485" s="428"/>
      <c r="F9485" s="428"/>
      <c r="G9485" s="428"/>
      <c r="H9485" s="429"/>
    </row>
    <row r="9486" spans="1:8" ht="15.75" customHeight="1" x14ac:dyDescent="0.25">
      <c r="A9486" s="502"/>
      <c r="B9486" s="718"/>
      <c r="C9486" s="813"/>
      <c r="D9486" s="428"/>
      <c r="E9486" s="428"/>
      <c r="F9486" s="428"/>
      <c r="G9486" s="428"/>
      <c r="H9486" s="429"/>
    </row>
    <row r="9487" spans="1:8" ht="15.75" customHeight="1" x14ac:dyDescent="0.25">
      <c r="A9487" s="502"/>
      <c r="B9487" s="718"/>
      <c r="C9487" s="813"/>
      <c r="D9487" s="428"/>
      <c r="E9487" s="428"/>
      <c r="F9487" s="428"/>
      <c r="G9487" s="428"/>
      <c r="H9487" s="429"/>
    </row>
    <row r="9488" spans="1:8" ht="15.75" customHeight="1" x14ac:dyDescent="0.25">
      <c r="A9488" s="502"/>
      <c r="B9488" s="718"/>
      <c r="C9488" s="567"/>
      <c r="D9488" s="819"/>
      <c r="E9488" s="819"/>
      <c r="F9488" s="819"/>
      <c r="G9488" s="819"/>
      <c r="H9488" s="444"/>
    </row>
    <row r="9489" spans="1:8" ht="15.75" customHeight="1" x14ac:dyDescent="0.25">
      <c r="A9489" s="432"/>
      <c r="B9489" s="433"/>
      <c r="C9489" s="434" t="s">
        <v>85</v>
      </c>
      <c r="D9489" s="435">
        <f>SUM(D9476:D9488)</f>
      </c>
      <c r="E9489" s="435"/>
      <c r="F9489" s="436"/>
      <c r="G9489" s="437"/>
      <c r="H9489" s="438">
        <f>SUM(H9476:H9488)</f>
      </c>
    </row>
    <row r="9490" spans="1:8" ht="15.75" customHeight="1" x14ac:dyDescent="0.25">
      <c r="A9490" s="439"/>
      <c r="B9490" s="440"/>
      <c r="C9490" s="440"/>
      <c r="D9490" s="441"/>
      <c r="E9490" s="440"/>
      <c r="F9490" s="442"/>
      <c r="G9490" s="443"/>
      <c r="H9490" s="444"/>
    </row>
    <row r="9491" spans="1:8" ht="15.75" customHeight="1" x14ac:dyDescent="0.25">
      <c r="A9491" s="834"/>
      <c r="B9491" s="565"/>
      <c r="C9491" s="565"/>
      <c r="D9491" s="565"/>
      <c r="E9491" s="565"/>
      <c r="F9491" s="565"/>
      <c r="G9491" s="565"/>
      <c r="H9491" s="565"/>
    </row>
    <row r="9492" spans="1:8" ht="15.75" customHeight="1" x14ac:dyDescent="0.25">
      <c r="A9492" s="445"/>
      <c r="B9492" s="445"/>
      <c r="C9492" s="445"/>
      <c r="D9492" s="446" t="s">
        <v>97</v>
      </c>
      <c r="E9492" s="445" t="s">
        <v>98</v>
      </c>
      <c r="F9492" s="445"/>
      <c r="G9492" s="390"/>
      <c r="H9492" s="394"/>
    </row>
    <row r="9493" spans="1:8" ht="15.75" customHeight="1" x14ac:dyDescent="0.25">
      <c r="A9493" s="390"/>
      <c r="B9493" s="390"/>
      <c r="C9493" s="390"/>
      <c r="D9493" s="391"/>
      <c r="E9493" s="390"/>
      <c r="F9493" s="390"/>
      <c r="G9493" s="390"/>
      <c r="H9493" s="394"/>
    </row>
    <row r="9494" spans="1:8" ht="15.75" customHeight="1" x14ac:dyDescent="0.25">
      <c r="A9494" s="445"/>
      <c r="B9494" s="445"/>
      <c r="C9494" s="445"/>
      <c r="D9494" s="446"/>
      <c r="E9494" s="445" t="s">
        <v>99</v>
      </c>
      <c r="F9494" s="445"/>
      <c r="G9494" s="390"/>
      <c r="H9494" s="394"/>
    </row>
    <row r="9495" spans="1:8" ht="15.75" customHeight="1" x14ac:dyDescent="0.25">
      <c r="D9495" s="4"/>
      <c r="H9495" s="4"/>
    </row>
    <row r="9496" spans="1:8" ht="15.75" customHeight="1" x14ac:dyDescent="0.25">
      <c r="D9496" s="4"/>
      <c r="H9496" s="4"/>
    </row>
    <row r="9497" spans="1:8" ht="15.75" customHeight="1" x14ac:dyDescent="0.25">
      <c r="D9497" s="4"/>
      <c r="H9497" s="4"/>
    </row>
    <row r="9498" spans="1:8" ht="15.75" customHeight="1" x14ac:dyDescent="0.25">
      <c r="D9498" s="4"/>
      <c r="H9498" s="4"/>
    </row>
    <row r="9499" spans="1:8" ht="15.75" customHeight="1" x14ac:dyDescent="0.25">
      <c r="D9499" s="4"/>
      <c r="H9499" s="4"/>
    </row>
    <row r="9500" spans="1:8" ht="15.75" customHeight="1" x14ac:dyDescent="0.25">
      <c r="D9500" s="4"/>
      <c r="H9500" s="4"/>
    </row>
    <row r="9501" spans="1:8" ht="15.75" customHeight="1" x14ac:dyDescent="0.25">
      <c r="D9501" s="4"/>
      <c r="H9501" s="4"/>
    </row>
    <row r="9502" spans="1:8" ht="15.75" customHeight="1" x14ac:dyDescent="0.25">
      <c r="D9502" s="4"/>
      <c r="H9502" s="4"/>
    </row>
    <row r="9503" spans="1:8" ht="15.75" customHeight="1" x14ac:dyDescent="0.25">
      <c r="D9503" s="4"/>
      <c r="H9503" s="4"/>
    </row>
    <row r="9504" spans="1:8" ht="15.75" customHeight="1" x14ac:dyDescent="0.25">
      <c r="D9504" s="4"/>
      <c r="H9504" s="4"/>
    </row>
    <row r="9505" spans="1:8" ht="15.75" customHeight="1" x14ac:dyDescent="0.25">
      <c r="D9505" s="4"/>
      <c r="H9505" s="4"/>
    </row>
    <row r="9506" spans="1:8" ht="15.75" customHeight="1" x14ac:dyDescent="0.25">
      <c r="D9506" s="4"/>
      <c r="H9506" s="4"/>
    </row>
    <row r="9507" spans="1:8" ht="15.75" customHeight="1" x14ac:dyDescent="0.25">
      <c r="D9507" s="4"/>
      <c r="H9507" s="4"/>
    </row>
    <row r="9508" spans="1:8" ht="15.75" customHeight="1" x14ac:dyDescent="0.25">
      <c r="D9508" s="4"/>
      <c r="H9508" s="4"/>
    </row>
    <row r="9509" spans="1:8" ht="15.75" customHeight="1" x14ac:dyDescent="0.25">
      <c r="A9509" s="392" t="s">
        <v>14</v>
      </c>
      <c r="B9509" s="391"/>
      <c r="C9509" s="391"/>
      <c r="D9509" s="391"/>
      <c r="E9509" s="391"/>
      <c r="F9509" s="391"/>
      <c r="G9509" s="391"/>
      <c r="H9509" s="394"/>
    </row>
    <row r="9510" spans="1:8" ht="15.75" customHeight="1" x14ac:dyDescent="0.25">
      <c r="A9510" s="392"/>
      <c r="B9510" s="391"/>
      <c r="C9510" s="391"/>
      <c r="D9510" s="391"/>
      <c r="E9510" s="390"/>
      <c r="F9510" s="392"/>
      <c r="G9510" s="390"/>
      <c r="H9510" s="394"/>
    </row>
    <row r="9511" spans="1:8" ht="15.75" customHeight="1" x14ac:dyDescent="0.25">
      <c r="A9511" s="390" t="s">
        <v>20</v>
      </c>
      <c r="B9511" s="390"/>
      <c r="C9511" s="390"/>
      <c r="D9511" s="391"/>
      <c r="E9511" s="390"/>
      <c r="F9511" s="392"/>
      <c r="G9511" s="390"/>
      <c r="H9511" s="394"/>
    </row>
    <row r="9512" spans="1:8" ht="15.75" customHeight="1" x14ac:dyDescent="0.25">
      <c r="A9512" s="390" t="inlineStr">
        <is>
          <t>Dealer-015</t>
        </is>
      </c>
      <c r="B9512" s="390"/>
      <c r="C9512" s="390"/>
      <c r="D9512" s="391"/>
      <c r="E9512" s="390"/>
      <c r="F9512" s="395" t="s">
        <v>18</v>
      </c>
      <c r="G9512" s="390" t="s">
        <v>1011</v>
      </c>
      <c r="H9512" s="394"/>
    </row>
    <row r="9513" spans="1:8" ht="15.75" customHeight="1" x14ac:dyDescent="0.25">
      <c r="A9513" s="390" t="inlineStr">
        <is>
          <t>Address line (redacted)</t>
        </is>
      </c>
      <c r="B9513" s="390"/>
      <c r="C9513" s="390"/>
      <c r="D9513" s="391"/>
      <c r="E9513" s="390"/>
      <c r="F9513" s="393" t="s">
        <v>21</v>
      </c>
      <c r="G9513" s="390" t="s">
        <v>1904</v>
      </c>
      <c r="H9513" s="394"/>
    </row>
    <row r="9514" spans="1:8" ht="15.75" customHeight="1" x14ac:dyDescent="0.25">
      <c r="A9514" s="390" t="inlineStr">
        <is>
          <t>Address line (redacted)</t>
        </is>
      </c>
      <c r="B9514" s="390"/>
      <c r="C9514" s="390"/>
      <c r="D9514" s="391"/>
      <c r="E9514" s="390"/>
      <c r="F9514" s="391"/>
      <c r="G9514" s="390"/>
      <c r="H9514" s="394"/>
    </row>
    <row r="9515" spans="1:8" ht="15.75" customHeight="1" x14ac:dyDescent="0.25">
      <c r="A9515" s="390"/>
      <c r="B9515" s="390"/>
      <c r="C9515" s="393"/>
      <c r="D9515" s="391"/>
      <c r="E9515" s="390"/>
      <c r="F9515" s="391"/>
      <c r="G9515" s="390"/>
      <c r="H9515" s="394"/>
    </row>
    <row r="9516" spans="1:8" ht="15.75" customHeight="1" x14ac:dyDescent="0.25">
      <c r="A9516" s="393" t="s">
        <v>2124</v>
      </c>
      <c r="B9516" s="393"/>
      <c r="C9516" s="393"/>
      <c r="D9516" s="398"/>
      <c r="E9516" s="393"/>
      <c r="F9516" s="398"/>
      <c r="G9516" s="393"/>
      <c r="H9516" s="606"/>
    </row>
    <row r="9517" spans="1:8" ht="15.75" customHeight="1" x14ac:dyDescent="0.25">
      <c r="A9517" s="393" t="inlineStr">
        <is>
          <t>Address line (redacted)</t>
        </is>
      </c>
      <c r="B9517" s="393"/>
      <c r="C9517" s="393"/>
      <c r="D9517" s="398"/>
      <c r="E9517" s="393"/>
      <c r="F9517" s="398"/>
      <c r="G9517" s="393"/>
      <c r="H9517" s="606"/>
    </row>
    <row r="9518" spans="1:8" ht="15.75" customHeight="1" x14ac:dyDescent="0.25">
      <c r="A9518" s="393" t="inlineStr">
        <is>
          <t>Address line (redacted)</t>
        </is>
      </c>
      <c r="B9518" s="393"/>
      <c r="C9518" s="393"/>
      <c r="D9518" s="398"/>
      <c r="E9518" s="393"/>
      <c r="F9518" s="398"/>
      <c r="G9518" s="393"/>
      <c r="H9518" s="606"/>
    </row>
    <row r="9519" spans="1:8" ht="15.75" customHeight="1" x14ac:dyDescent="0.25">
      <c r="A9519" s="390"/>
      <c r="B9519" s="390"/>
      <c r="C9519" s="393"/>
      <c r="D9519" s="391"/>
      <c r="E9519" s="390"/>
      <c r="F9519" s="391"/>
      <c r="G9519" s="390"/>
      <c r="H9519" s="394"/>
    </row>
    <row r="9520" spans="1:8" ht="15.75" customHeight="1" x14ac:dyDescent="0.25">
      <c r="A9520" s="390"/>
      <c r="B9520" s="390"/>
      <c r="C9520" s="390"/>
      <c r="D9520" s="391"/>
      <c r="E9520" s="390"/>
      <c r="F9520" s="391"/>
      <c r="G9520" s="390"/>
      <c r="H9520" s="394"/>
    </row>
    <row r="9521" spans="1:8" ht="15.75" customHeight="1" x14ac:dyDescent="0.25">
      <c r="A9521" s="390" t="s">
        <v>30</v>
      </c>
      <c r="B9521" s="390"/>
      <c r="C9521" s="390"/>
      <c r="D9521" s="391"/>
      <c r="E9521" s="390"/>
      <c r="F9521" s="391"/>
      <c r="G9521" s="390"/>
      <c r="H9521" s="394"/>
    </row>
    <row r="9522" spans="1:8" ht="15.75" customHeight="1" x14ac:dyDescent="0.25">
      <c r="A9522" s="390"/>
      <c r="B9522" s="390"/>
      <c r="C9522" s="390"/>
      <c r="D9522" s="391"/>
      <c r="E9522" s="390"/>
      <c r="F9522" s="391"/>
      <c r="G9522" s="390"/>
      <c r="H9522" s="394"/>
    </row>
    <row r="9523" spans="1:8" ht="15.75" customHeight="1" x14ac:dyDescent="0.25">
      <c r="A9523" s="390" t="s">
        <v>1322</v>
      </c>
      <c r="B9523" s="390"/>
      <c r="C9523" s="390"/>
      <c r="D9523" s="391"/>
      <c r="E9523" s="390"/>
      <c r="F9523" s="391"/>
      <c r="G9523" s="390"/>
      <c r="H9523" s="394"/>
    </row>
    <row r="9524" spans="1:8" ht="15.75" customHeight="1" x14ac:dyDescent="0.25">
      <c r="A9524" s="390" t="s">
        <v>1328</v>
      </c>
      <c r="B9524" s="390"/>
      <c r="C9524" s="390"/>
      <c r="D9524" s="391"/>
      <c r="E9524" s="390"/>
      <c r="F9524" s="391"/>
      <c r="G9524" s="390"/>
      <c r="H9524" s="394"/>
    </row>
    <row r="9525" spans="1:8" ht="15.75" customHeight="1" x14ac:dyDescent="0.25">
      <c r="A9525" s="390"/>
      <c r="B9525" s="390"/>
      <c r="C9525" s="390"/>
      <c r="D9525" s="391"/>
      <c r="E9525" s="390"/>
      <c r="F9525" s="391"/>
      <c r="G9525" s="390"/>
      <c r="H9525" s="394"/>
    </row>
    <row r="9526" spans="1:8" ht="15.75" customHeight="1" x14ac:dyDescent="0.25">
      <c r="A9526" s="399" t="s">
        <v>33</v>
      </c>
      <c r="B9526" s="400" t="s">
        <v>6</v>
      </c>
      <c r="C9526" s="400"/>
      <c r="D9526" s="401" t="s">
        <v>37</v>
      </c>
      <c r="E9526" s="402" t="s">
        <v>1309</v>
      </c>
      <c r="F9526" s="609" t="s">
        <v>7</v>
      </c>
      <c r="G9526" s="400" t="s">
        <v>43</v>
      </c>
      <c r="H9526" s="405" t="s">
        <v>44</v>
      </c>
    </row>
    <row r="9527" spans="1:8" ht="15.75" customHeight="1" x14ac:dyDescent="0.25">
      <c r="A9527" s="610"/>
      <c r="B9527" s="611"/>
      <c r="C9527" s="611"/>
      <c r="D9527" s="612"/>
      <c r="E9527" s="613"/>
      <c r="F9527" s="614"/>
      <c r="G9527" s="611"/>
      <c r="H9527" s="615"/>
    </row>
    <row r="9528" spans="1:8" ht="15.75" customHeight="1" x14ac:dyDescent="0.25">
      <c r="A9528" s="412"/>
      <c r="B9528" s="654" t="s">
        <v>1811</v>
      </c>
      <c r="C9528" s="654"/>
      <c r="D9528" s="415"/>
      <c r="E9528" s="415"/>
      <c r="F9528" s="415"/>
      <c r="G9528" s="415"/>
      <c r="H9528" s="416"/>
    </row>
    <row r="9529" spans="1:8" ht="15.75" customHeight="1" x14ac:dyDescent="0.25">
      <c r="A9529" s="412">
        <v>1</v>
      </c>
      <c r="B9529" s="644" t="s">
        <v>1812</v>
      </c>
      <c r="C9529" s="420"/>
      <c r="D9529" s="415">
        <v>113</v>
      </c>
      <c r="E9529" s="415">
        <v>28</v>
      </c>
      <c r="F9529" s="415">
        <f>+E9529*D9529</f>
      </c>
      <c r="G9529" s="415">
        <v>1</v>
      </c>
      <c r="H9529" s="416">
        <f>+G9529*F9529</f>
      </c>
    </row>
    <row r="9530" spans="1:8" ht="15.75" customHeight="1" x14ac:dyDescent="0.25">
      <c r="A9530" s="412"/>
      <c r="B9530" s="644"/>
      <c r="C9530" s="420"/>
      <c r="D9530" s="415"/>
      <c r="E9530" s="415"/>
      <c r="F9530" s="415"/>
      <c r="G9530" s="415"/>
      <c r="H9530" s="416"/>
    </row>
    <row r="9531" spans="1:8" ht="15.75" customHeight="1" x14ac:dyDescent="0.25">
      <c r="A9531" s="412"/>
      <c r="B9531" s="654"/>
      <c r="C9531" s="654"/>
      <c r="D9531" s="415"/>
      <c r="E9531" s="415"/>
      <c r="F9531" s="415"/>
      <c r="G9531" s="415"/>
      <c r="H9531" s="416"/>
    </row>
    <row r="9532" spans="1:8" ht="15.75" customHeight="1" x14ac:dyDescent="0.25">
      <c r="A9532" s="581"/>
      <c r="B9532" s="417"/>
      <c r="C9532" s="418"/>
      <c r="D9532" s="415"/>
      <c r="E9532" s="415"/>
      <c r="F9532" s="415"/>
      <c r="G9532" s="415"/>
      <c r="H9532" s="416"/>
    </row>
    <row r="9533" spans="1:8" ht="15.75" customHeight="1" x14ac:dyDescent="0.25">
      <c r="A9533" s="581"/>
      <c r="B9533" s="417"/>
      <c r="C9533" s="418"/>
      <c r="D9533" s="415"/>
      <c r="E9533" s="415"/>
      <c r="F9533" s="415"/>
      <c r="G9533" s="415"/>
      <c r="H9533" s="416"/>
    </row>
    <row r="9534" spans="1:8" ht="15.75" customHeight="1" x14ac:dyDescent="0.25">
      <c r="A9534" s="581"/>
      <c r="B9534" s="654"/>
      <c r="C9534" s="654"/>
      <c r="D9534" s="588"/>
      <c r="E9534" s="415"/>
      <c r="F9534" s="415"/>
      <c r="G9534" s="415"/>
      <c r="H9534" s="416"/>
    </row>
    <row r="9535" spans="1:8" ht="15.75" customHeight="1" x14ac:dyDescent="0.25">
      <c r="A9535" s="581"/>
      <c r="B9535" s="417"/>
      <c r="C9535" s="418"/>
      <c r="D9535" s="588"/>
      <c r="E9535" s="415"/>
      <c r="F9535" s="415"/>
      <c r="G9535" s="415"/>
      <c r="H9535" s="416"/>
    </row>
    <row r="9536" spans="1:8" ht="15.75" customHeight="1" x14ac:dyDescent="0.25">
      <c r="A9536" s="581"/>
      <c r="B9536" s="582"/>
      <c r="C9536" s="582"/>
      <c r="D9536" s="415"/>
      <c r="E9536" s="415"/>
      <c r="F9536" s="415"/>
      <c r="G9536" s="415"/>
      <c r="H9536" s="589"/>
    </row>
    <row r="9537" spans="1:8" ht="15.75" customHeight="1" x14ac:dyDescent="0.25">
      <c r="A9537" s="430"/>
      <c r="B9537" s="409"/>
      <c r="C9537" s="393"/>
      <c r="D9537" s="427"/>
      <c r="E9537" s="427"/>
      <c r="F9537" s="428"/>
      <c r="G9537" s="427"/>
      <c r="H9537" s="429"/>
    </row>
    <row r="9538" spans="1:8" ht="15.75" customHeight="1" x14ac:dyDescent="0.25">
      <c r="A9538" s="432"/>
      <c r="B9538" s="433"/>
      <c r="C9538" s="434" t="s">
        <v>85</v>
      </c>
      <c r="D9538" s="659">
        <f>SUM(D9528:D9537)</f>
      </c>
      <c r="E9538" s="401"/>
      <c r="F9538" s="660"/>
      <c r="G9538" s="661"/>
      <c r="H9538" s="623">
        <f>SUM(H9528:H9537)</f>
      </c>
    </row>
    <row r="9539" spans="1:8" ht="15.75" customHeight="1" x14ac:dyDescent="0.25">
      <c r="A9539" s="439"/>
      <c r="B9539" s="440"/>
      <c r="C9539" s="440"/>
      <c r="D9539" s="441"/>
      <c r="E9539" s="440"/>
      <c r="F9539" s="442"/>
      <c r="G9539" s="443"/>
      <c r="H9539" s="444"/>
    </row>
    <row r="9540" spans="1:8" ht="15.75" customHeight="1" x14ac:dyDescent="0.25">
      <c r="A9540" s="392"/>
      <c r="B9540" s="391"/>
      <c r="C9540" s="391"/>
      <c r="D9540" s="391"/>
      <c r="E9540" s="390"/>
      <c r="F9540" s="392"/>
      <c r="G9540" s="390"/>
      <c r="H9540" s="394"/>
    </row>
    <row r="9541" spans="1:8" ht="15.75" customHeight="1" x14ac:dyDescent="0.25">
      <c r="A9541" s="445"/>
      <c r="B9541" s="445"/>
      <c r="C9541" s="445"/>
      <c r="D9541" s="446" t="s">
        <v>97</v>
      </c>
      <c r="E9541" s="445" t="s">
        <v>98</v>
      </c>
      <c r="F9541" s="445"/>
      <c r="G9541" s="390"/>
      <c r="H9541" s="394"/>
    </row>
    <row r="9542" spans="1:8" ht="15.75" customHeight="1" x14ac:dyDescent="0.25">
      <c r="A9542" s="390"/>
      <c r="B9542" s="390"/>
      <c r="C9542" s="390"/>
      <c r="D9542" s="391"/>
      <c r="E9542" s="390"/>
      <c r="F9542" s="390"/>
      <c r="G9542" s="390"/>
      <c r="H9542" s="394"/>
    </row>
    <row r="9543" spans="1:8" ht="15.75" customHeight="1" x14ac:dyDescent="0.25">
      <c r="A9543" s="390"/>
      <c r="B9543" s="390"/>
      <c r="C9543" s="390"/>
      <c r="D9543" s="391"/>
      <c r="E9543" s="390"/>
      <c r="F9543" s="390"/>
      <c r="G9543" s="390"/>
      <c r="H9543" s="394"/>
    </row>
    <row r="9544" spans="1:8" ht="15.75" customHeight="1" x14ac:dyDescent="0.25">
      <c r="A9544" s="445"/>
      <c r="B9544" s="445"/>
      <c r="C9544" s="445"/>
      <c r="D9544" s="446"/>
      <c r="E9544" s="445" t="s">
        <v>99</v>
      </c>
      <c r="F9544" s="445"/>
      <c r="G9544" s="390"/>
      <c r="H9544" s="394"/>
    </row>
    <row r="9545" spans="1:8" ht="15.75" customHeight="1" x14ac:dyDescent="0.25">
      <c r="D9545" s="4"/>
      <c r="H9545" s="4"/>
    </row>
    <row r="9546" spans="1:8" ht="15.75" customHeight="1" x14ac:dyDescent="0.25">
      <c r="D9546" s="4"/>
      <c r="H9546" s="4"/>
    </row>
    <row r="9547" spans="1:8" ht="15.75" customHeight="1" x14ac:dyDescent="0.25">
      <c r="D9547" s="4"/>
      <c r="H9547" s="4"/>
    </row>
    <row r="9548" spans="1:8" ht="15.75" customHeight="1" x14ac:dyDescent="0.25">
      <c r="D9548" s="4"/>
      <c r="H9548" s="4"/>
    </row>
    <row r="9549" spans="1:8" ht="15.75" customHeight="1" x14ac:dyDescent="0.25">
      <c r="D9549" s="4"/>
      <c r="H9549" s="4"/>
    </row>
    <row r="9550" spans="1:8" ht="15.75" customHeight="1" x14ac:dyDescent="0.25">
      <c r="D9550" s="4"/>
      <c r="H9550" s="4"/>
    </row>
    <row r="9551" spans="1:8" ht="15.75" customHeight="1" x14ac:dyDescent="0.25">
      <c r="D9551" s="4"/>
      <c r="H9551" s="4"/>
    </row>
    <row r="9552" spans="1:8" ht="15.75" customHeight="1" x14ac:dyDescent="0.25">
      <c r="D9552" s="4"/>
      <c r="H9552" s="4"/>
    </row>
    <row r="9553" spans="1:8" ht="15.75" customHeight="1" x14ac:dyDescent="0.25">
      <c r="D9553" s="4"/>
      <c r="H9553" s="4"/>
    </row>
    <row r="9554" spans="1:8" ht="15.75" customHeight="1" x14ac:dyDescent="0.25">
      <c r="D9554" s="4"/>
      <c r="H9554" s="4"/>
    </row>
    <row r="9555" spans="1:8" ht="15.75" customHeight="1" x14ac:dyDescent="0.25">
      <c r="A9555" s="392" t="s">
        <v>14</v>
      </c>
      <c r="B9555" s="391"/>
      <c r="C9555" s="391"/>
      <c r="D9555" s="391"/>
      <c r="E9555" s="391"/>
      <c r="F9555" s="391"/>
      <c r="G9555" s="391"/>
      <c r="H9555" s="394"/>
    </row>
    <row r="9556" spans="1:8" ht="15.75" customHeight="1" x14ac:dyDescent="0.25">
      <c r="A9556" s="392"/>
      <c r="B9556" s="391"/>
      <c r="C9556" s="391"/>
      <c r="D9556" s="391"/>
      <c r="E9556" s="390"/>
      <c r="F9556" s="392"/>
      <c r="G9556" s="390"/>
      <c r="H9556" s="394"/>
    </row>
    <row r="9557" spans="1:8" ht="15.75" customHeight="1" x14ac:dyDescent="0.25">
      <c r="A9557" s="390" t="s">
        <v>20</v>
      </c>
      <c r="B9557" s="390"/>
      <c r="C9557" s="390"/>
      <c r="D9557" s="391"/>
      <c r="E9557" s="390"/>
      <c r="F9557" s="392"/>
      <c r="G9557" s="390"/>
      <c r="H9557" s="394"/>
    </row>
    <row r="9558" spans="1:8" ht="15.75" customHeight="1" x14ac:dyDescent="0.25">
      <c r="A9558" s="390" t="inlineStr">
        <is>
          <t>Dealer-015</t>
        </is>
      </c>
      <c r="B9558" s="390"/>
      <c r="C9558" s="390"/>
      <c r="D9558" s="391"/>
      <c r="E9558" s="390"/>
      <c r="F9558" s="395" t="s">
        <v>18</v>
      </c>
      <c r="G9558" s="390" t="s">
        <v>1014</v>
      </c>
      <c r="H9558" s="394"/>
    </row>
    <row r="9559" spans="1:8" ht="15.75" customHeight="1" x14ac:dyDescent="0.25">
      <c r="A9559" s="390" t="inlineStr">
        <is>
          <t>Address line (redacted)</t>
        </is>
      </c>
      <c r="B9559" s="390"/>
      <c r="C9559" s="390"/>
      <c r="D9559" s="391"/>
      <c r="E9559" s="390"/>
      <c r="F9559" s="393" t="s">
        <v>21</v>
      </c>
      <c r="G9559" s="390" t="s">
        <v>1905</v>
      </c>
      <c r="H9559" s="394"/>
    </row>
    <row r="9560" spans="1:8" ht="15.75" customHeight="1" x14ac:dyDescent="0.25">
      <c r="A9560" s="390" t="inlineStr">
        <is>
          <t>Address line (redacted)</t>
        </is>
      </c>
      <c r="B9560" s="390"/>
      <c r="C9560" s="390"/>
      <c r="D9560" s="391"/>
      <c r="E9560" s="390"/>
      <c r="F9560" s="391"/>
      <c r="G9560" s="390"/>
      <c r="H9560" s="394"/>
    </row>
    <row r="9561" spans="1:8" ht="15.75" customHeight="1" x14ac:dyDescent="0.25">
      <c r="A9561" s="390"/>
      <c r="B9561" s="390"/>
      <c r="C9561" s="393"/>
      <c r="D9561" s="391"/>
      <c r="E9561" s="390"/>
      <c r="F9561" s="391"/>
      <c r="G9561" s="390"/>
      <c r="H9561" s="394"/>
    </row>
    <row r="9562" spans="1:8" ht="15.75" customHeight="1" x14ac:dyDescent="0.25">
      <c r="A9562" s="393" t="s">
        <v>2124</v>
      </c>
      <c r="B9562" s="393"/>
      <c r="C9562" s="393"/>
      <c r="D9562" s="398"/>
      <c r="E9562" s="393"/>
      <c r="F9562" s="398"/>
      <c r="G9562" s="393"/>
      <c r="H9562" s="606"/>
    </row>
    <row r="9563" spans="1:8" ht="15.75" customHeight="1" x14ac:dyDescent="0.25">
      <c r="A9563" s="393" t="inlineStr">
        <is>
          <t>Address line (redacted)</t>
        </is>
      </c>
      <c r="B9563" s="393"/>
      <c r="C9563" s="393"/>
      <c r="D9563" s="398"/>
      <c r="E9563" s="393"/>
      <c r="F9563" s="398"/>
      <c r="G9563" s="393"/>
      <c r="H9563" s="606"/>
    </row>
    <row r="9564" spans="1:8" ht="15.75" customHeight="1" x14ac:dyDescent="0.25">
      <c r="A9564" s="393" t="inlineStr">
        <is>
          <t>Address line (redacted)</t>
        </is>
      </c>
      <c r="B9564" s="393"/>
      <c r="C9564" s="393"/>
      <c r="D9564" s="398"/>
      <c r="E9564" s="393"/>
      <c r="F9564" s="398"/>
      <c r="G9564" s="393"/>
      <c r="H9564" s="606"/>
    </row>
    <row r="9565" spans="1:8" ht="15.75" customHeight="1" x14ac:dyDescent="0.25">
      <c r="A9565" s="390"/>
      <c r="B9565" s="390"/>
      <c r="C9565" s="393"/>
      <c r="D9565" s="391"/>
      <c r="E9565" s="390"/>
      <c r="F9565" s="391"/>
      <c r="G9565" s="390"/>
      <c r="H9565" s="394"/>
    </row>
    <row r="9566" spans="1:8" ht="15.75" customHeight="1" x14ac:dyDescent="0.25">
      <c r="A9566" s="390"/>
      <c r="B9566" s="390"/>
      <c r="C9566" s="390"/>
      <c r="D9566" s="391"/>
      <c r="E9566" s="390"/>
      <c r="F9566" s="391"/>
      <c r="G9566" s="390"/>
      <c r="H9566" s="394"/>
    </row>
    <row r="9567" spans="1:8" ht="15.75" customHeight="1" x14ac:dyDescent="0.25">
      <c r="A9567" s="390" t="s">
        <v>30</v>
      </c>
      <c r="B9567" s="390"/>
      <c r="C9567" s="390"/>
      <c r="D9567" s="391"/>
      <c r="E9567" s="390"/>
      <c r="F9567" s="391"/>
      <c r="G9567" s="390"/>
      <c r="H9567" s="394"/>
    </row>
    <row r="9568" spans="1:8" ht="15.75" customHeight="1" x14ac:dyDescent="0.25">
      <c r="A9568" s="390"/>
      <c r="B9568" s="390"/>
      <c r="C9568" s="390"/>
      <c r="D9568" s="391"/>
      <c r="E9568" s="390"/>
      <c r="F9568" s="391"/>
      <c r="G9568" s="390"/>
      <c r="H9568" s="394"/>
    </row>
    <row r="9569" spans="1:8" ht="15.75" customHeight="1" x14ac:dyDescent="0.25">
      <c r="A9569" s="390" t="s">
        <v>1322</v>
      </c>
      <c r="B9569" s="390"/>
      <c r="C9569" s="390"/>
      <c r="D9569" s="391"/>
      <c r="E9569" s="390"/>
      <c r="F9569" s="391"/>
      <c r="G9569" s="390"/>
      <c r="H9569" s="394"/>
    </row>
    <row r="9570" spans="1:8" ht="15.75" customHeight="1" x14ac:dyDescent="0.25">
      <c r="A9570" s="390" t="s">
        <v>1328</v>
      </c>
      <c r="B9570" s="390"/>
      <c r="C9570" s="390"/>
      <c r="D9570" s="391"/>
      <c r="E9570" s="390"/>
      <c r="F9570" s="391"/>
      <c r="G9570" s="390"/>
      <c r="H9570" s="394"/>
    </row>
    <row r="9571" spans="1:8" ht="15.75" customHeight="1" x14ac:dyDescent="0.25">
      <c r="A9571" s="390"/>
      <c r="B9571" s="390"/>
      <c r="C9571" s="390"/>
      <c r="D9571" s="391"/>
      <c r="E9571" s="390"/>
      <c r="F9571" s="391"/>
      <c r="G9571" s="390"/>
      <c r="H9571" s="394"/>
    </row>
    <row r="9572" spans="1:8" ht="15.75" customHeight="1" x14ac:dyDescent="0.25">
      <c r="A9572" s="399" t="s">
        <v>33</v>
      </c>
      <c r="B9572" s="400" t="s">
        <v>6</v>
      </c>
      <c r="C9572" s="400"/>
      <c r="D9572" s="401" t="s">
        <v>37</v>
      </c>
      <c r="E9572" s="402" t="s">
        <v>1309</v>
      </c>
      <c r="F9572" s="609" t="s">
        <v>7</v>
      </c>
      <c r="G9572" s="400" t="s">
        <v>43</v>
      </c>
      <c r="H9572" s="405" t="s">
        <v>44</v>
      </c>
    </row>
    <row r="9573" spans="1:8" ht="15.75" customHeight="1" x14ac:dyDescent="0.25">
      <c r="A9573" s="610"/>
      <c r="B9573" s="611"/>
      <c r="C9573" s="611"/>
      <c r="D9573" s="612"/>
      <c r="E9573" s="613"/>
      <c r="F9573" s="614"/>
      <c r="G9573" s="611"/>
      <c r="H9573" s="615"/>
    </row>
    <row r="9574" spans="1:8" ht="15.75" customHeight="1" x14ac:dyDescent="0.25">
      <c r="A9574" s="412"/>
      <c r="B9574" s="654" t="s">
        <v>1811</v>
      </c>
      <c r="C9574" s="654"/>
      <c r="D9574" s="415"/>
      <c r="E9574" s="415"/>
      <c r="F9574" s="415"/>
      <c r="G9574" s="415"/>
      <c r="H9574" s="416"/>
    </row>
    <row r="9575" spans="1:8" ht="15.75" customHeight="1" x14ac:dyDescent="0.25">
      <c r="A9575" s="412">
        <v>1</v>
      </c>
      <c r="B9575" s="644" t="s">
        <v>1812</v>
      </c>
      <c r="C9575" s="420"/>
      <c r="D9575" s="415">
        <v>117</v>
      </c>
      <c r="E9575" s="415">
        <v>28</v>
      </c>
      <c r="F9575" s="415">
        <f>+E9575*D9575</f>
      </c>
      <c r="G9575" s="415">
        <v>1</v>
      </c>
      <c r="H9575" s="416">
        <f>+G9575*F9575</f>
      </c>
    </row>
    <row r="9576" spans="1:8" ht="15.75" customHeight="1" x14ac:dyDescent="0.25">
      <c r="A9576" s="412"/>
      <c r="B9576" s="644"/>
      <c r="C9576" s="420"/>
      <c r="D9576" s="415"/>
      <c r="E9576" s="415"/>
      <c r="F9576" s="415"/>
      <c r="G9576" s="415"/>
      <c r="H9576" s="416"/>
    </row>
    <row r="9577" spans="1:8" ht="15.75" customHeight="1" x14ac:dyDescent="0.25">
      <c r="A9577" s="412"/>
      <c r="B9577" s="654"/>
      <c r="C9577" s="654"/>
      <c r="D9577" s="415"/>
      <c r="E9577" s="415"/>
      <c r="F9577" s="415"/>
      <c r="G9577" s="415"/>
      <c r="H9577" s="416"/>
    </row>
    <row r="9578" spans="1:8" ht="15.75" customHeight="1" x14ac:dyDescent="0.25">
      <c r="A9578" s="581"/>
      <c r="B9578" s="417"/>
      <c r="C9578" s="418"/>
      <c r="D9578" s="415"/>
      <c r="E9578" s="415"/>
      <c r="F9578" s="415"/>
      <c r="G9578" s="415"/>
      <c r="H9578" s="416"/>
    </row>
    <row r="9579" spans="1:8" ht="15.75" customHeight="1" x14ac:dyDescent="0.25">
      <c r="A9579" s="581"/>
      <c r="B9579" s="417"/>
      <c r="C9579" s="418"/>
      <c r="D9579" s="415"/>
      <c r="E9579" s="415"/>
      <c r="F9579" s="415"/>
      <c r="G9579" s="415"/>
      <c r="H9579" s="416"/>
    </row>
    <row r="9580" spans="1:8" ht="15.75" customHeight="1" x14ac:dyDescent="0.25">
      <c r="A9580" s="581"/>
      <c r="B9580" s="654"/>
      <c r="C9580" s="654"/>
      <c r="D9580" s="588"/>
      <c r="E9580" s="415"/>
      <c r="F9580" s="415"/>
      <c r="G9580" s="415"/>
      <c r="H9580" s="416"/>
    </row>
    <row r="9581" spans="1:8" ht="15.75" customHeight="1" x14ac:dyDescent="0.25">
      <c r="A9581" s="581"/>
      <c r="B9581" s="417"/>
      <c r="C9581" s="418"/>
      <c r="D9581" s="588"/>
      <c r="E9581" s="415"/>
      <c r="F9581" s="415"/>
      <c r="G9581" s="415"/>
      <c r="H9581" s="416"/>
    </row>
    <row r="9582" spans="1:8" ht="15.75" customHeight="1" x14ac:dyDescent="0.25">
      <c r="A9582" s="581"/>
      <c r="B9582" s="582"/>
      <c r="C9582" s="582"/>
      <c r="D9582" s="415"/>
      <c r="E9582" s="415"/>
      <c r="F9582" s="415"/>
      <c r="G9582" s="415"/>
      <c r="H9582" s="589"/>
    </row>
    <row r="9583" spans="1:8" ht="15.75" customHeight="1" x14ac:dyDescent="0.25">
      <c r="A9583" s="430"/>
      <c r="B9583" s="409"/>
      <c r="C9583" s="393"/>
      <c r="D9583" s="427"/>
      <c r="E9583" s="427"/>
      <c r="F9583" s="428"/>
      <c r="G9583" s="427"/>
      <c r="H9583" s="429"/>
    </row>
    <row r="9584" spans="1:8" ht="15.75" customHeight="1" x14ac:dyDescent="0.25">
      <c r="A9584" s="432"/>
      <c r="B9584" s="433"/>
      <c r="C9584" s="434" t="s">
        <v>85</v>
      </c>
      <c r="D9584" s="659">
        <f>SUM(D9574:D9583)</f>
      </c>
      <c r="E9584" s="401"/>
      <c r="F9584" s="660"/>
      <c r="G9584" s="661"/>
      <c r="H9584" s="623">
        <f>SUM(H9574:H9583)</f>
      </c>
    </row>
    <row r="9585" spans="1:8" ht="15.75" customHeight="1" x14ac:dyDescent="0.25">
      <c r="A9585" s="439"/>
      <c r="B9585" s="440"/>
      <c r="C9585" s="440"/>
      <c r="D9585" s="441"/>
      <c r="E9585" s="440"/>
      <c r="F9585" s="442"/>
      <c r="G9585" s="443"/>
      <c r="H9585" s="444"/>
    </row>
    <row r="9586" spans="1:8" ht="15.75" customHeight="1" x14ac:dyDescent="0.25">
      <c r="A9586" s="392"/>
      <c r="B9586" s="391"/>
      <c r="C9586" s="391"/>
      <c r="D9586" s="391"/>
      <c r="E9586" s="390"/>
      <c r="F9586" s="392"/>
      <c r="G9586" s="390"/>
      <c r="H9586" s="394"/>
    </row>
    <row r="9587" spans="1:8" ht="15.75" customHeight="1" x14ac:dyDescent="0.25">
      <c r="A9587" s="445"/>
      <c r="B9587" s="445"/>
      <c r="C9587" s="445"/>
      <c r="D9587" s="446" t="s">
        <v>97</v>
      </c>
      <c r="E9587" s="445" t="s">
        <v>98</v>
      </c>
      <c r="F9587" s="445"/>
      <c r="G9587" s="390"/>
      <c r="H9587" s="394"/>
    </row>
    <row r="9588" spans="1:8" ht="15.75" customHeight="1" x14ac:dyDescent="0.25">
      <c r="A9588" s="390"/>
      <c r="B9588" s="390"/>
      <c r="C9588" s="390"/>
      <c r="D9588" s="391"/>
      <c r="E9588" s="390"/>
      <c r="F9588" s="390"/>
      <c r="G9588" s="390"/>
      <c r="H9588" s="394"/>
    </row>
    <row r="9589" spans="1:8" ht="15.75" customHeight="1" x14ac:dyDescent="0.25">
      <c r="A9589" s="390"/>
      <c r="B9589" s="390"/>
      <c r="C9589" s="390"/>
      <c r="D9589" s="391"/>
      <c r="E9589" s="390"/>
      <c r="F9589" s="390"/>
      <c r="G9589" s="390"/>
      <c r="H9589" s="394"/>
    </row>
    <row r="9590" spans="1:8" ht="15.75" customHeight="1" x14ac:dyDescent="0.25">
      <c r="A9590" s="445"/>
      <c r="B9590" s="445"/>
      <c r="C9590" s="445"/>
      <c r="D9590" s="446"/>
      <c r="E9590" s="445" t="s">
        <v>99</v>
      </c>
      <c r="F9590" s="445"/>
      <c r="G9590" s="390"/>
      <c r="H9590" s="394"/>
    </row>
    <row r="9591" spans="1:8" ht="15.75" customHeight="1" x14ac:dyDescent="0.25">
      <c r="D9591" s="4"/>
      <c r="H9591" s="4"/>
    </row>
    <row r="9592" spans="1:8" ht="15.75" customHeight="1" x14ac:dyDescent="0.25">
      <c r="D9592" s="4"/>
      <c r="H9592" s="4"/>
    </row>
    <row r="9593" spans="1:8" ht="15.75" customHeight="1" x14ac:dyDescent="0.25">
      <c r="D9593" s="4"/>
      <c r="H9593" s="4"/>
    </row>
    <row r="9594" spans="1:8" ht="15.75" customHeight="1" x14ac:dyDescent="0.25">
      <c r="D9594" s="4"/>
      <c r="H9594" s="4"/>
    </row>
    <row r="9595" spans="1:8" ht="15.75" customHeight="1" x14ac:dyDescent="0.25">
      <c r="D9595" s="4"/>
      <c r="H9595" s="4"/>
    </row>
    <row r="9596" spans="1:8" ht="15.75" customHeight="1" x14ac:dyDescent="0.25">
      <c r="D9596" s="4"/>
      <c r="H9596" s="4"/>
    </row>
    <row r="9597" spans="1:8" ht="15.75" customHeight="1" x14ac:dyDescent="0.25">
      <c r="D9597" s="4"/>
      <c r="H9597" s="4"/>
    </row>
    <row r="9598" spans="1:8" ht="15.75" customHeight="1" x14ac:dyDescent="0.25">
      <c r="D9598" s="4"/>
      <c r="H9598" s="4"/>
    </row>
    <row r="9599" spans="1:8" ht="15.75" customHeight="1" x14ac:dyDescent="0.25">
      <c r="D9599" s="4"/>
      <c r="H9599" s="4"/>
    </row>
    <row r="9600" spans="1:8" ht="15.75" customHeight="1" x14ac:dyDescent="0.25">
      <c r="D9600" s="4"/>
      <c r="H9600" s="4"/>
    </row>
    <row r="9601" spans="1:10" ht="15.75" customHeight="1" x14ac:dyDescent="0.25">
      <c r="A9601" s="398" t="s">
        <v>14</v>
      </c>
      <c r="B9601" s="398"/>
      <c r="C9601" s="398"/>
      <c r="D9601" s="398"/>
      <c r="E9601" s="398"/>
      <c r="F9601" s="398"/>
      <c r="G9601" s="398"/>
      <c r="H9601" s="398"/>
    </row>
    <row r="9602" spans="1:10" ht="15.75" customHeight="1" x14ac:dyDescent="0.25">
      <c r="A9602" s="398"/>
      <c r="B9602" s="398"/>
      <c r="C9602" s="398"/>
      <c r="D9602" s="398"/>
      <c r="E9602" s="398"/>
      <c r="F9602" s="398"/>
      <c r="G9602" s="398"/>
      <c r="H9602" s="398"/>
    </row>
    <row r="9603" spans="1:10" ht="15.75" customHeight="1" x14ac:dyDescent="0.25">
      <c r="A9603" s="390"/>
      <c r="B9603" s="390"/>
      <c r="C9603" s="390"/>
      <c r="D9603" s="391"/>
      <c r="E9603" s="390"/>
      <c r="F9603" s="395" t="s">
        <v>18</v>
      </c>
      <c r="G9603" s="396" t="s">
        <v>1014</v>
      </c>
      <c r="H9603" s="397"/>
    </row>
    <row r="9604" spans="1:10" ht="15.75" customHeight="1" x14ac:dyDescent="0.25">
      <c r="A9604" s="390" t="s">
        <v>20</v>
      </c>
      <c r="B9604" s="390"/>
      <c r="C9604" s="390"/>
      <c r="D9604" s="391"/>
      <c r="E9604" s="390"/>
      <c r="F9604" s="395" t="s">
        <v>21</v>
      </c>
      <c r="G9604" s="390" t="s">
        <v>1510</v>
      </c>
      <c r="H9604" s="391"/>
    </row>
    <row r="9605" spans="1:10" ht="15.75" customHeight="1" x14ac:dyDescent="0.25">
      <c r="A9605" s="390" t="inlineStr">
        <is>
          <t>Dealer-009</t>
        </is>
      </c>
      <c r="B9605" s="390"/>
      <c r="C9605" s="390"/>
      <c r="D9605" s="391"/>
      <c r="E9605" s="395"/>
      <c r="F9605" s="390"/>
      <c r="G9605" s="390"/>
      <c r="H9605" s="394"/>
    </row>
    <row r="9606" spans="1:10" ht="15.75" customHeight="1" x14ac:dyDescent="0.25">
      <c r="A9606" s="390" t="inlineStr">
        <is>
          <t>Address line (redacted)</t>
        </is>
      </c>
      <c r="B9606" s="390"/>
      <c r="C9606" s="390"/>
      <c r="D9606" s="398"/>
      <c r="E9606" s="390"/>
      <c r="F9606" s="391"/>
      <c r="G9606" s="390"/>
      <c r="H9606" s="394"/>
      <c r="J9606" s="1300" cm="1">
        <f t="array" ref="J9606">SUMPRODUCT(--ISNUMBER(SEARCH("86064",C1:C16504)),IFERROR(D1:D16504*E1:E16504,0))</f>
      </c>
    </row>
    <row r="9607" spans="1:10" ht="15.75" customHeight="1" x14ac:dyDescent="0.25">
      <c r="A9607" s="390" t="inlineStr">
        <is>
          <t>Address line (redacted)</t>
        </is>
      </c>
      <c r="B9607" s="390"/>
      <c r="C9607" s="390"/>
      <c r="D9607" s="398"/>
      <c r="E9607" s="390"/>
      <c r="F9607" s="391"/>
      <c r="G9607" s="390"/>
      <c r="H9607" s="394"/>
    </row>
    <row r="9608" spans="1:10" ht="15.75" customHeight="1" x14ac:dyDescent="0.25">
      <c r="A9608" s="447"/>
      <c r="B9608" s="390"/>
      <c r="C9608" s="390"/>
      <c r="D9608" s="391"/>
      <c r="E9608" s="390"/>
      <c r="F9608" s="391"/>
      <c r="G9608" s="390"/>
      <c r="H9608" s="394"/>
    </row>
    <row r="9609" spans="1:10" ht="15.75" customHeight="1" x14ac:dyDescent="0.25">
      <c r="A9609" s="390" t="s">
        <v>30</v>
      </c>
      <c r="B9609" s="390"/>
      <c r="C9609" s="390"/>
      <c r="D9609" s="391"/>
      <c r="E9609" s="390"/>
      <c r="F9609" s="391"/>
      <c r="G9609" s="390"/>
      <c r="H9609" s="394"/>
    </row>
    <row r="9610" spans="1:10" ht="15.75" customHeight="1" x14ac:dyDescent="0.25">
      <c r="A9610" s="390" t="s">
        <v>1322</v>
      </c>
      <c r="B9610" s="390"/>
      <c r="C9610" s="390"/>
      <c r="D9610" s="391"/>
      <c r="E9610" s="390"/>
      <c r="F9610" s="391"/>
      <c r="G9610" s="390"/>
      <c r="H9610" s="394"/>
    </row>
    <row r="9611" spans="1:10" ht="15.75" customHeight="1" x14ac:dyDescent="0.25">
      <c r="A9611" s="390" t="s">
        <v>1328</v>
      </c>
      <c r="B9611" s="390"/>
      <c r="C9611" s="390"/>
      <c r="D9611" s="391"/>
      <c r="E9611" s="390"/>
      <c r="F9611" s="391"/>
      <c r="G9611" s="390"/>
      <c r="H9611" s="394"/>
    </row>
    <row r="9612" spans="1:10" ht="15.75" customHeight="1" x14ac:dyDescent="0.25">
      <c r="A9612" s="399" t="s">
        <v>33</v>
      </c>
      <c r="B9612" s="400" t="s">
        <v>6</v>
      </c>
      <c r="C9612" s="400"/>
      <c r="D9612" s="401" t="s">
        <v>37</v>
      </c>
      <c r="E9612" s="402" t="s">
        <v>38</v>
      </c>
      <c r="F9612" s="403" t="s">
        <v>7</v>
      </c>
      <c r="G9612" s="404" t="s">
        <v>43</v>
      </c>
      <c r="H9612" s="405" t="s">
        <v>44</v>
      </c>
    </row>
    <row r="9613" spans="1:10" ht="15.75" customHeight="1" x14ac:dyDescent="0.25">
      <c r="A9613" s="406"/>
      <c r="B9613" s="407"/>
      <c r="C9613" s="393"/>
      <c r="D9613" s="408"/>
      <c r="E9613" s="408"/>
      <c r="F9613" s="409"/>
      <c r="G9613" s="410"/>
      <c r="H9613" s="411"/>
    </row>
    <row r="9614" spans="1:10" ht="15.75" customHeight="1" x14ac:dyDescent="0.25">
      <c r="A9614" s="502"/>
      <c r="B9614" s="557" t="s">
        <v>1902</v>
      </c>
      <c r="C9614" s="560"/>
      <c r="D9614" s="428"/>
      <c r="E9614" s="428"/>
      <c r="F9614" s="428"/>
      <c r="G9614" s="833"/>
      <c r="H9614" s="429"/>
    </row>
    <row r="9615" spans="1:10" ht="15.75" customHeight="1" x14ac:dyDescent="0.25">
      <c r="A9615" s="502" t="s">
        <v>55</v>
      </c>
      <c r="B9615" s="718" t="s">
        <v>118</v>
      </c>
      <c r="C9615" s="832" t="s">
        <v>204</v>
      </c>
      <c r="D9615" s="428">
        <v>1</v>
      </c>
      <c r="E9615" s="428">
        <v>5</v>
      </c>
      <c r="F9615" s="428">
        <f t="shared" ref="F9615:F9617" si="320">+E9615*D9615</f>
      </c>
      <c r="G9615" s="428">
        <v>1</v>
      </c>
      <c r="H9615" s="429">
        <f t="shared" ref="H9615:H9617" si="321">G9615*F9615</f>
      </c>
    </row>
    <row r="9616" spans="1:10" ht="15.75" customHeight="1" x14ac:dyDescent="0.25">
      <c r="A9616" s="502" t="s">
        <v>59</v>
      </c>
      <c r="B9616" s="718" t="s">
        <v>1907</v>
      </c>
      <c r="C9616" s="832" t="s">
        <v>87</v>
      </c>
      <c r="D9616" s="428">
        <v>1</v>
      </c>
      <c r="E9616" s="428">
        <v>5</v>
      </c>
      <c r="F9616" s="428">
        <f t="shared" si="320"/>
      </c>
      <c r="G9616" s="428">
        <v>1</v>
      </c>
      <c r="H9616" s="429">
        <f t="shared" si="321"/>
      </c>
    </row>
    <row r="9617" spans="1:8" ht="15.75" customHeight="1" x14ac:dyDescent="0.25">
      <c r="A9617" s="502" t="s">
        <v>67</v>
      </c>
      <c r="B9617" s="718" t="s">
        <v>125</v>
      </c>
      <c r="C9617" s="832" t="s">
        <v>324</v>
      </c>
      <c r="D9617" s="428">
        <v>1</v>
      </c>
      <c r="E9617" s="428">
        <v>5</v>
      </c>
      <c r="F9617" s="428">
        <f t="shared" si="320"/>
      </c>
      <c r="G9617" s="428">
        <v>1</v>
      </c>
      <c r="H9617" s="429">
        <f t="shared" si="321"/>
      </c>
    </row>
    <row r="9618" spans="1:8" ht="15.75" customHeight="1" x14ac:dyDescent="0.25">
      <c r="A9618" s="502"/>
      <c r="B9618" s="557" t="s">
        <v>1908</v>
      </c>
      <c r="C9618" s="560"/>
      <c r="D9618" s="428"/>
      <c r="E9618" s="428"/>
      <c r="F9618" s="428"/>
      <c r="G9618" s="428"/>
      <c r="H9618" s="429"/>
    </row>
    <row r="9619" spans="1:8" ht="15.75" customHeight="1" x14ac:dyDescent="0.25">
      <c r="A9619" s="502" t="s">
        <v>485</v>
      </c>
      <c r="B9619" s="718" t="s">
        <v>1824</v>
      </c>
      <c r="C9619" s="813"/>
      <c r="D9619" s="428">
        <v>3</v>
      </c>
      <c r="E9619" s="428">
        <v>5</v>
      </c>
      <c r="F9619" s="428">
        <f>+E9619*D9619</f>
      </c>
      <c r="G9619" s="428">
        <v>1</v>
      </c>
      <c r="H9619" s="429">
        <f>+G9619*F9619</f>
      </c>
    </row>
    <row r="9620" spans="1:8" ht="15.75" customHeight="1" x14ac:dyDescent="0.25">
      <c r="A9620" s="502"/>
      <c r="B9620" s="557" t="s">
        <v>674</v>
      </c>
      <c r="C9620" s="560"/>
      <c r="D9620" s="428"/>
      <c r="E9620" s="428"/>
      <c r="F9620" s="428"/>
      <c r="G9620" s="428"/>
      <c r="H9620" s="429"/>
    </row>
    <row r="9621" spans="1:8" ht="15.75" customHeight="1" x14ac:dyDescent="0.25">
      <c r="A9621" s="502" t="s">
        <v>486</v>
      </c>
      <c r="B9621" s="718" t="s">
        <v>1509</v>
      </c>
      <c r="C9621" s="813"/>
      <c r="D9621" s="428">
        <v>5</v>
      </c>
      <c r="E9621" s="428">
        <v>1</v>
      </c>
      <c r="F9621" s="428">
        <f>+E9621*D9621</f>
      </c>
      <c r="G9621" s="428">
        <v>1</v>
      </c>
      <c r="H9621" s="429">
        <f>+G9621*F9621</f>
      </c>
    </row>
    <row r="9622" spans="1:8" ht="15.75" customHeight="1" x14ac:dyDescent="0.25">
      <c r="A9622" s="502"/>
      <c r="B9622" s="718"/>
      <c r="C9622" s="813"/>
      <c r="D9622" s="428"/>
      <c r="E9622" s="428"/>
      <c r="F9622" s="428"/>
      <c r="G9622" s="428"/>
      <c r="H9622" s="429"/>
    </row>
    <row r="9623" spans="1:8" ht="15.75" customHeight="1" x14ac:dyDescent="0.25">
      <c r="A9623" s="502"/>
      <c r="B9623" s="718"/>
      <c r="C9623" s="813"/>
      <c r="D9623" s="428"/>
      <c r="E9623" s="428"/>
      <c r="F9623" s="428"/>
      <c r="G9623" s="428"/>
      <c r="H9623" s="429"/>
    </row>
    <row r="9624" spans="1:8" ht="15.75" customHeight="1" x14ac:dyDescent="0.25">
      <c r="A9624" s="502"/>
      <c r="B9624" s="718"/>
      <c r="C9624" s="813"/>
      <c r="D9624" s="428"/>
      <c r="E9624" s="428"/>
      <c r="F9624" s="428"/>
      <c r="G9624" s="428"/>
      <c r="H9624" s="429"/>
    </row>
    <row r="9625" spans="1:8" ht="15.75" customHeight="1" x14ac:dyDescent="0.25">
      <c r="A9625" s="502"/>
      <c r="B9625" s="718"/>
      <c r="C9625" s="813"/>
      <c r="D9625" s="428"/>
      <c r="E9625" s="428"/>
      <c r="F9625" s="428"/>
      <c r="G9625" s="428"/>
      <c r="H9625" s="429"/>
    </row>
    <row r="9626" spans="1:8" ht="15.75" customHeight="1" x14ac:dyDescent="0.25">
      <c r="A9626" s="502"/>
      <c r="B9626" s="718"/>
      <c r="C9626" s="567"/>
      <c r="D9626" s="819"/>
      <c r="E9626" s="819"/>
      <c r="F9626" s="819"/>
      <c r="G9626" s="819"/>
      <c r="H9626" s="444"/>
    </row>
    <row r="9627" spans="1:8" ht="15.75" customHeight="1" x14ac:dyDescent="0.25">
      <c r="A9627" s="432"/>
      <c r="B9627" s="433"/>
      <c r="C9627" s="434" t="s">
        <v>85</v>
      </c>
      <c r="D9627" s="435">
        <f>SUM(D9615:D9626)</f>
      </c>
      <c r="E9627" s="435"/>
      <c r="F9627" s="436"/>
      <c r="G9627" s="437"/>
      <c r="H9627" s="438">
        <f>SUM(H9615:H9626)</f>
      </c>
    </row>
    <row r="9628" spans="1:8" ht="15.75" customHeight="1" x14ac:dyDescent="0.25">
      <c r="A9628" s="439"/>
      <c r="B9628" s="440"/>
      <c r="C9628" s="440"/>
      <c r="D9628" s="441"/>
      <c r="E9628" s="440"/>
      <c r="F9628" s="442"/>
      <c r="G9628" s="443"/>
      <c r="H9628" s="444"/>
    </row>
    <row r="9629" spans="1:8" ht="15.75" customHeight="1" x14ac:dyDescent="0.25">
      <c r="A9629" s="834"/>
      <c r="B9629" s="565"/>
      <c r="C9629" s="565"/>
      <c r="D9629" s="565"/>
      <c r="E9629" s="565"/>
      <c r="F9629" s="565"/>
      <c r="G9629" s="565"/>
      <c r="H9629" s="565"/>
    </row>
    <row r="9630" spans="1:8" ht="15.75" customHeight="1" x14ac:dyDescent="0.25">
      <c r="A9630" s="445"/>
      <c r="B9630" s="445"/>
      <c r="C9630" s="445"/>
      <c r="D9630" s="446" t="s">
        <v>97</v>
      </c>
      <c r="E9630" s="445" t="s">
        <v>98</v>
      </c>
      <c r="F9630" s="445"/>
      <c r="G9630" s="390"/>
      <c r="H9630" s="394"/>
    </row>
    <row r="9631" spans="1:8" ht="15.75" customHeight="1" x14ac:dyDescent="0.25">
      <c r="A9631" s="390"/>
      <c r="B9631" s="390"/>
      <c r="C9631" s="390"/>
      <c r="D9631" s="391"/>
      <c r="E9631" s="390"/>
      <c r="F9631" s="390"/>
      <c r="G9631" s="390"/>
      <c r="H9631" s="394"/>
    </row>
    <row r="9632" spans="1:8" ht="15.75" customHeight="1" x14ac:dyDescent="0.25">
      <c r="A9632" s="445"/>
      <c r="B9632" s="445"/>
      <c r="C9632" s="445"/>
      <c r="D9632" s="446"/>
      <c r="E9632" s="445" t="s">
        <v>99</v>
      </c>
      <c r="F9632" s="445"/>
      <c r="G9632" s="390"/>
      <c r="H9632" s="394"/>
    </row>
    <row r="9633" spans="1:8" ht="15.75" customHeight="1" x14ac:dyDescent="0.25">
      <c r="D9633" s="4"/>
      <c r="H9633" s="4"/>
    </row>
    <row r="9634" spans="1:8" ht="15.75" customHeight="1" x14ac:dyDescent="0.25">
      <c r="D9634" s="4"/>
      <c r="H9634" s="4"/>
    </row>
    <row r="9635" spans="1:8" ht="15.75" customHeight="1" x14ac:dyDescent="0.25">
      <c r="D9635" s="4"/>
      <c r="H9635" s="4"/>
    </row>
    <row r="9636" spans="1:8" ht="15.75" customHeight="1" x14ac:dyDescent="0.25">
      <c r="D9636" s="4"/>
      <c r="H9636" s="4"/>
    </row>
    <row r="9637" spans="1:8" ht="15.75" customHeight="1" x14ac:dyDescent="0.25">
      <c r="D9637" s="4"/>
      <c r="H9637" s="4"/>
    </row>
    <row r="9638" spans="1:8" ht="15.75" customHeight="1" x14ac:dyDescent="0.25">
      <c r="D9638" s="4"/>
      <c r="H9638" s="4"/>
    </row>
    <row r="9639" spans="1:8" ht="15.75" customHeight="1" x14ac:dyDescent="0.25">
      <c r="D9639" s="4"/>
      <c r="H9639" s="4"/>
    </row>
    <row r="9640" spans="1:8" ht="15.75" customHeight="1" x14ac:dyDescent="0.25">
      <c r="D9640" s="4"/>
      <c r="H9640" s="4"/>
    </row>
    <row r="9641" spans="1:8" ht="15.75" customHeight="1" x14ac:dyDescent="0.25">
      <c r="D9641" s="4"/>
      <c r="H9641" s="4"/>
    </row>
    <row r="9642" spans="1:8" ht="15.75" customHeight="1" x14ac:dyDescent="0.25">
      <c r="D9642" s="4"/>
      <c r="H9642" s="4"/>
    </row>
    <row r="9643" spans="1:8" ht="15.75" customHeight="1" x14ac:dyDescent="0.25">
      <c r="D9643" s="4"/>
      <c r="H9643" s="4"/>
    </row>
    <row r="9644" spans="1:8" ht="15.75" customHeight="1" x14ac:dyDescent="0.25">
      <c r="D9644" s="4"/>
      <c r="H9644" s="4"/>
    </row>
    <row r="9645" spans="1:8" ht="15.75" customHeight="1" x14ac:dyDescent="0.25">
      <c r="D9645" s="4"/>
      <c r="H9645" s="4"/>
    </row>
    <row r="9646" spans="1:8" ht="15.75" customHeight="1" x14ac:dyDescent="0.25">
      <c r="D9646" s="4"/>
      <c r="H9646" s="4"/>
    </row>
    <row r="9647" spans="1:8" ht="15.75" customHeight="1" x14ac:dyDescent="0.25">
      <c r="A9647" s="8" t="s">
        <v>14</v>
      </c>
      <c r="B9647" s="8"/>
      <c r="C9647" s="8"/>
      <c r="D9647" s="8"/>
      <c r="E9647" s="8"/>
      <c r="F9647" s="8"/>
      <c r="G9647" s="8"/>
      <c r="H9647" s="8"/>
    </row>
    <row r="9648" spans="1:8" ht="15.75" customHeight="1" x14ac:dyDescent="0.25">
      <c r="A9648" s="388"/>
      <c r="B9648" s="388"/>
      <c r="C9648" s="388"/>
      <c r="D9648" s="389"/>
      <c r="E9648" s="388"/>
      <c r="F9648" s="388"/>
      <c r="G9648" s="388"/>
      <c r="H9648" s="8"/>
    </row>
    <row r="9649" spans="1:8" ht="15.75" customHeight="1" x14ac:dyDescent="0.25">
      <c r="A9649" s="390"/>
      <c r="B9649" s="390"/>
      <c r="C9649" s="391"/>
      <c r="D9649" s="392"/>
      <c r="E9649" s="393"/>
      <c r="F9649" s="393"/>
      <c r="G9649" s="393"/>
      <c r="H9649" s="394"/>
    </row>
    <row r="9650" spans="1:8" ht="15.75" customHeight="1" x14ac:dyDescent="0.25">
      <c r="A9650" s="390"/>
      <c r="B9650" s="390"/>
      <c r="C9650" s="390"/>
      <c r="D9650" s="391"/>
      <c r="E9650" s="390"/>
      <c r="F9650" s="395" t="s">
        <v>18</v>
      </c>
      <c r="G9650" s="396" t="s">
        <v>1019</v>
      </c>
      <c r="H9650" s="397"/>
    </row>
    <row r="9651" spans="1:8" ht="15.75" customHeight="1" x14ac:dyDescent="0.25">
      <c r="A9651" s="390" t="s">
        <v>20</v>
      </c>
      <c r="B9651" s="390"/>
      <c r="C9651" s="390"/>
      <c r="D9651" s="391"/>
      <c r="E9651" s="390"/>
      <c r="F9651" s="395" t="s">
        <v>21</v>
      </c>
      <c r="G9651" s="390" t="s">
        <v>1909</v>
      </c>
      <c r="H9651" s="391"/>
    </row>
    <row r="9652" spans="1:8" ht="15.75" customHeight="1" x14ac:dyDescent="0.25">
      <c r="A9652" s="390" t="inlineStr">
        <is>
          <t>Dealer-004</t>
        </is>
      </c>
      <c r="B9652" s="390"/>
      <c r="C9652" s="390"/>
      <c r="D9652" s="398"/>
      <c r="E9652" s="390"/>
      <c r="F9652" s="391"/>
      <c r="G9652" s="390"/>
      <c r="H9652" s="394"/>
    </row>
    <row r="9653" spans="1:8" ht="15.75" customHeight="1" x14ac:dyDescent="0.25">
      <c r="A9653" s="390" t="inlineStr">
        <is>
          <t>Address line (redacted)</t>
        </is>
      </c>
      <c r="B9653" s="390"/>
      <c r="C9653" s="390"/>
      <c r="D9653" s="398"/>
      <c r="E9653" s="390"/>
      <c r="F9653" s="391"/>
      <c r="G9653" s="390"/>
      <c r="H9653" s="394"/>
    </row>
    <row r="9654" spans="1:8" ht="15.75" customHeight="1" x14ac:dyDescent="0.25">
      <c r="A9654" s="390" t="inlineStr">
        <is>
          <t>Address line (redacted)</t>
        </is>
      </c>
      <c r="B9654" s="390"/>
      <c r="C9654" s="390"/>
      <c r="D9654" s="391"/>
      <c r="E9654" s="390"/>
      <c r="F9654" s="391"/>
      <c r="G9654" s="390"/>
      <c r="H9654" s="394"/>
    </row>
    <row r="9655" spans="1:8" ht="15.75" customHeight="1" x14ac:dyDescent="0.25">
      <c r="A9655" s="390"/>
      <c r="B9655" s="390"/>
      <c r="C9655" s="390"/>
      <c r="D9655" s="391"/>
      <c r="E9655" s="390"/>
      <c r="F9655" s="391"/>
      <c r="G9655" s="390"/>
      <c r="H9655" s="394"/>
    </row>
    <row r="9656" spans="1:8" ht="15.75" customHeight="1" x14ac:dyDescent="0.25">
      <c r="A9656" s="390" t="s">
        <v>30</v>
      </c>
      <c r="B9656" s="390"/>
      <c r="C9656" s="390"/>
      <c r="D9656" s="391"/>
      <c r="E9656" s="390"/>
      <c r="F9656" s="391"/>
      <c r="G9656" s="390"/>
      <c r="H9656" s="394"/>
    </row>
    <row r="9657" spans="1:8" ht="15.75" customHeight="1" x14ac:dyDescent="0.25">
      <c r="A9657" s="390"/>
      <c r="B9657" s="390"/>
      <c r="C9657" s="390"/>
      <c r="D9657" s="391"/>
      <c r="E9657" s="390"/>
      <c r="F9657" s="391"/>
      <c r="G9657" s="390"/>
      <c r="H9657" s="394"/>
    </row>
    <row r="9658" spans="1:8" ht="15.75" customHeight="1" x14ac:dyDescent="0.25">
      <c r="A9658" s="390" t="s">
        <v>716</v>
      </c>
      <c r="B9658" s="390"/>
      <c r="C9658" s="390"/>
      <c r="D9658" s="391"/>
      <c r="E9658" s="390"/>
      <c r="F9658" s="391"/>
      <c r="G9658" s="390"/>
      <c r="H9658" s="394"/>
    </row>
    <row r="9659" spans="1:8" ht="15.75" customHeight="1" x14ac:dyDescent="0.25">
      <c r="A9659" s="390" t="s">
        <v>717</v>
      </c>
      <c r="B9659" s="390"/>
      <c r="C9659" s="390"/>
      <c r="D9659" s="391"/>
      <c r="E9659" s="390"/>
      <c r="F9659" s="391"/>
      <c r="G9659" s="390"/>
      <c r="H9659" s="394"/>
    </row>
    <row r="9660" spans="1:8" ht="15.75" customHeight="1" x14ac:dyDescent="0.25">
      <c r="A9660" s="390"/>
      <c r="B9660" s="390"/>
      <c r="C9660" s="390"/>
      <c r="D9660" s="391"/>
      <c r="E9660" s="390"/>
      <c r="F9660" s="391"/>
      <c r="G9660" s="390"/>
      <c r="H9660" s="394"/>
    </row>
    <row r="9661" spans="1:8" ht="15.75" customHeight="1" x14ac:dyDescent="0.25">
      <c r="A9661" s="399" t="s">
        <v>33</v>
      </c>
      <c r="B9661" s="400" t="s">
        <v>6</v>
      </c>
      <c r="C9661" s="400"/>
      <c r="D9661" s="401" t="s">
        <v>37</v>
      </c>
      <c r="E9661" s="402" t="s">
        <v>38</v>
      </c>
      <c r="F9661" s="403" t="s">
        <v>7</v>
      </c>
      <c r="G9661" s="404" t="s">
        <v>43</v>
      </c>
      <c r="H9661" s="405" t="s">
        <v>44</v>
      </c>
    </row>
    <row r="9662" spans="1:8" ht="15.75" customHeight="1" x14ac:dyDescent="0.25">
      <c r="A9662" s="406"/>
      <c r="B9662" s="407"/>
      <c r="C9662" s="393"/>
      <c r="D9662" s="408"/>
      <c r="E9662" s="408"/>
      <c r="F9662" s="409"/>
      <c r="G9662" s="410"/>
      <c r="H9662" s="411"/>
    </row>
    <row r="9663" spans="1:8" ht="15.75" customHeight="1" x14ac:dyDescent="0.25">
      <c r="A9663" s="412"/>
      <c r="B9663" s="422" t="s">
        <v>1910</v>
      </c>
      <c r="C9663" s="422"/>
      <c r="D9663" s="415"/>
      <c r="E9663" s="415"/>
      <c r="F9663" s="415"/>
      <c r="G9663" s="415"/>
      <c r="H9663" s="416"/>
    </row>
    <row r="9664" spans="1:8" ht="15.75" customHeight="1" x14ac:dyDescent="0.25">
      <c r="A9664" s="412" t="s">
        <v>55</v>
      </c>
      <c r="B9664" s="417" t="s">
        <v>3</v>
      </c>
      <c r="C9664" s="418"/>
      <c r="D9664" s="415">
        <v>1</v>
      </c>
      <c r="E9664" s="415">
        <v>50</v>
      </c>
      <c r="F9664" s="415">
        <f>+E9664*D9664</f>
      </c>
      <c r="G9664" s="415">
        <v>1</v>
      </c>
      <c r="H9664" s="416">
        <f>+G9664*F9664</f>
      </c>
    </row>
    <row r="9665" spans="1:8" ht="15.75" customHeight="1" x14ac:dyDescent="0.25">
      <c r="A9665" s="425"/>
      <c r="B9665" s="426"/>
      <c r="C9665" s="390"/>
      <c r="D9665" s="427"/>
      <c r="E9665" s="427"/>
      <c r="F9665" s="428"/>
      <c r="G9665" s="427"/>
      <c r="H9665" s="429"/>
    </row>
    <row r="9666" spans="1:8" ht="15.75" customHeight="1" x14ac:dyDescent="0.25">
      <c r="A9666" s="425"/>
      <c r="B9666" s="426"/>
      <c r="C9666" s="390"/>
      <c r="D9666" s="427"/>
      <c r="E9666" s="427"/>
      <c r="F9666" s="428"/>
      <c r="G9666" s="427"/>
      <c r="H9666" s="429"/>
    </row>
    <row r="9667" spans="1:8" ht="15.75" customHeight="1" x14ac:dyDescent="0.25">
      <c r="A9667" s="425"/>
      <c r="B9667" s="426"/>
      <c r="C9667" s="390"/>
      <c r="D9667" s="427"/>
      <c r="E9667" s="427"/>
      <c r="F9667" s="428"/>
      <c r="G9667" s="427"/>
      <c r="H9667" s="429"/>
    </row>
    <row r="9668" spans="1:8" ht="15.75" customHeight="1" x14ac:dyDescent="0.25">
      <c r="A9668" s="425"/>
      <c r="B9668" s="426"/>
      <c r="C9668" s="390"/>
      <c r="D9668" s="427"/>
      <c r="E9668" s="427"/>
      <c r="F9668" s="428"/>
      <c r="G9668" s="427"/>
      <c r="H9668" s="429"/>
    </row>
    <row r="9669" spans="1:8" ht="15.75" customHeight="1" x14ac:dyDescent="0.25">
      <c r="A9669" s="425"/>
      <c r="B9669" s="426"/>
      <c r="C9669" s="390"/>
      <c r="D9669" s="427"/>
      <c r="E9669" s="427"/>
      <c r="F9669" s="428"/>
      <c r="G9669" s="427"/>
      <c r="H9669" s="429"/>
    </row>
    <row r="9670" spans="1:8" ht="15.75" customHeight="1" x14ac:dyDescent="0.25">
      <c r="A9670" s="425"/>
      <c r="B9670" s="426"/>
      <c r="C9670" s="390"/>
      <c r="D9670" s="427"/>
      <c r="E9670" s="427"/>
      <c r="F9670" s="428"/>
      <c r="G9670" s="427"/>
      <c r="H9670" s="429"/>
    </row>
    <row r="9671" spans="1:8" ht="15.75" customHeight="1" x14ac:dyDescent="0.25">
      <c r="A9671" s="425"/>
      <c r="B9671" s="426"/>
      <c r="C9671" s="390"/>
      <c r="D9671" s="427"/>
      <c r="E9671" s="427"/>
      <c r="F9671" s="428"/>
      <c r="G9671" s="427"/>
      <c r="H9671" s="429"/>
    </row>
    <row r="9672" spans="1:8" ht="15.75" customHeight="1" x14ac:dyDescent="0.25">
      <c r="A9672" s="425"/>
      <c r="B9672" s="426"/>
      <c r="C9672" s="390"/>
      <c r="D9672" s="427"/>
      <c r="E9672" s="427"/>
      <c r="F9672" s="428"/>
      <c r="G9672" s="427"/>
      <c r="H9672" s="429"/>
    </row>
    <row r="9673" spans="1:8" ht="15.75" customHeight="1" x14ac:dyDescent="0.25">
      <c r="A9673" s="425"/>
      <c r="B9673" s="426"/>
      <c r="C9673" s="390"/>
      <c r="D9673" s="427"/>
      <c r="E9673" s="427"/>
      <c r="F9673" s="428"/>
      <c r="G9673" s="427"/>
      <c r="H9673" s="429"/>
    </row>
    <row r="9674" spans="1:8" ht="15.75" customHeight="1" x14ac:dyDescent="0.25">
      <c r="A9674" s="425"/>
      <c r="B9674" s="426"/>
      <c r="C9674" s="390"/>
      <c r="D9674" s="427"/>
      <c r="E9674" s="427"/>
      <c r="F9674" s="428"/>
      <c r="G9674" s="427"/>
      <c r="H9674" s="429"/>
    </row>
    <row r="9675" spans="1:8" ht="15.75" customHeight="1" x14ac:dyDescent="0.25">
      <c r="A9675" s="425"/>
      <c r="B9675" s="426"/>
      <c r="C9675" s="390"/>
      <c r="D9675" s="427"/>
      <c r="E9675" s="427"/>
      <c r="F9675" s="428"/>
      <c r="G9675" s="427"/>
      <c r="H9675" s="429"/>
    </row>
    <row r="9676" spans="1:8" ht="15.75" customHeight="1" x14ac:dyDescent="0.25">
      <c r="A9676" s="430"/>
      <c r="B9676" s="409"/>
      <c r="C9676" s="393"/>
      <c r="D9676" s="427"/>
      <c r="E9676" s="427"/>
      <c r="F9676" s="428"/>
      <c r="G9676" s="431"/>
      <c r="H9676" s="429"/>
    </row>
    <row r="9677" spans="1:8" ht="15.75" customHeight="1" x14ac:dyDescent="0.25">
      <c r="A9677" s="432"/>
      <c r="B9677" s="433"/>
      <c r="C9677" s="434" t="s">
        <v>85</v>
      </c>
      <c r="D9677" s="435">
        <f>SUM(D9663:D9676)</f>
      </c>
      <c r="E9677" s="435"/>
      <c r="F9677" s="436"/>
      <c r="G9677" s="437"/>
      <c r="H9677" s="438">
        <f>SUM(H9663:H9676)</f>
      </c>
    </row>
    <row r="9678" spans="1:8" ht="15.75" customHeight="1" x14ac:dyDescent="0.25">
      <c r="A9678" s="439"/>
      <c r="B9678" s="440"/>
      <c r="C9678" s="440"/>
      <c r="D9678" s="441"/>
      <c r="E9678" s="440"/>
      <c r="F9678" s="442"/>
      <c r="G9678" s="443"/>
      <c r="H9678" s="444"/>
    </row>
    <row r="9679" spans="1:8" ht="15.75" customHeight="1" x14ac:dyDescent="0.25">
      <c r="A9679" s="392" t="s">
        <v>913</v>
      </c>
      <c r="B9679" s="391"/>
      <c r="C9679" s="391"/>
      <c r="D9679" s="391"/>
      <c r="E9679" s="390"/>
      <c r="F9679" s="392"/>
      <c r="G9679" s="390"/>
      <c r="H9679" s="394"/>
    </row>
    <row r="9680" spans="1:8" ht="15.75" customHeight="1" x14ac:dyDescent="0.25">
      <c r="A9680" s="445"/>
      <c r="B9680" s="445"/>
      <c r="C9680" s="445"/>
      <c r="D9680" s="446" t="s">
        <v>97</v>
      </c>
      <c r="E9680" s="445" t="s">
        <v>98</v>
      </c>
      <c r="F9680" s="445"/>
      <c r="G9680" s="390"/>
      <c r="H9680" s="394"/>
    </row>
    <row r="9681" spans="1:8" ht="15.75" customHeight="1" x14ac:dyDescent="0.25">
      <c r="A9681" s="390"/>
      <c r="B9681" s="390"/>
      <c r="C9681" s="390"/>
      <c r="D9681" s="391"/>
      <c r="E9681" s="390"/>
      <c r="F9681" s="390"/>
      <c r="G9681" s="390"/>
      <c r="H9681" s="394"/>
    </row>
    <row r="9682" spans="1:8" ht="15.75" customHeight="1" x14ac:dyDescent="0.25">
      <c r="A9682" s="390"/>
      <c r="B9682" s="390"/>
      <c r="C9682" s="390"/>
      <c r="D9682" s="391"/>
      <c r="E9682" s="390"/>
      <c r="F9682" s="390"/>
      <c r="G9682" s="390"/>
      <c r="H9682" s="394"/>
    </row>
    <row r="9683" spans="1:8" ht="15.75" customHeight="1" x14ac:dyDescent="0.25">
      <c r="A9683" s="445"/>
      <c r="B9683" s="445"/>
      <c r="C9683" s="445"/>
      <c r="D9683" s="446"/>
      <c r="E9683" s="445" t="s">
        <v>99</v>
      </c>
      <c r="F9683" s="445"/>
      <c r="G9683" s="390"/>
      <c r="H9683" s="394"/>
    </row>
    <row r="9684" spans="1:8" ht="15.75" customHeight="1" x14ac:dyDescent="0.25">
      <c r="D9684" s="4"/>
      <c r="H9684" s="4"/>
    </row>
    <row r="9685" spans="1:8" ht="15.75" customHeight="1" x14ac:dyDescent="0.25">
      <c r="D9685" s="4"/>
      <c r="H9685" s="4"/>
    </row>
    <row r="9686" spans="1:8" ht="15.75" customHeight="1" x14ac:dyDescent="0.25">
      <c r="D9686" s="4"/>
      <c r="H9686" s="4"/>
    </row>
    <row r="9687" spans="1:8" ht="15.75" customHeight="1" x14ac:dyDescent="0.25">
      <c r="D9687" s="4"/>
      <c r="H9687" s="4"/>
    </row>
    <row r="9688" spans="1:8" ht="15.75" customHeight="1" x14ac:dyDescent="0.25">
      <c r="D9688" s="4"/>
      <c r="H9688" s="4"/>
    </row>
    <row r="9689" spans="1:8" ht="15.75" customHeight="1" x14ac:dyDescent="0.25">
      <c r="D9689" s="4"/>
      <c r="H9689" s="4"/>
    </row>
    <row r="9690" spans="1:8" ht="15.75" customHeight="1" x14ac:dyDescent="0.25">
      <c r="D9690" s="4"/>
      <c r="H9690" s="4"/>
    </row>
    <row r="9691" spans="1:8" ht="15.75" customHeight="1" x14ac:dyDescent="0.25">
      <c r="D9691" s="4"/>
      <c r="H9691" s="4"/>
    </row>
    <row r="9692" spans="1:8" ht="15.75" customHeight="1" x14ac:dyDescent="0.25">
      <c r="D9692" s="4"/>
      <c r="H9692" s="4"/>
    </row>
    <row r="9693" spans="1:8" ht="15.75" customHeight="1" x14ac:dyDescent="0.25">
      <c r="A9693" s="398" t="s">
        <v>14</v>
      </c>
      <c r="B9693" s="398"/>
      <c r="C9693" s="398"/>
      <c r="D9693" s="398"/>
      <c r="E9693" s="398"/>
      <c r="F9693" s="398"/>
      <c r="G9693" s="398"/>
      <c r="H9693" s="398"/>
    </row>
    <row r="9694" spans="1:8" ht="15.75" customHeight="1" x14ac:dyDescent="0.25">
      <c r="A9694" s="398"/>
      <c r="B9694" s="398"/>
      <c r="C9694" s="398"/>
      <c r="D9694" s="398"/>
      <c r="E9694" s="398"/>
      <c r="F9694" s="398"/>
      <c r="G9694" s="398"/>
      <c r="H9694" s="398"/>
    </row>
    <row r="9695" spans="1:8" ht="15.75" customHeight="1" x14ac:dyDescent="0.25">
      <c r="A9695" s="390"/>
      <c r="B9695" s="390"/>
      <c r="C9695" s="390"/>
      <c r="D9695" s="391"/>
      <c r="E9695" s="390"/>
      <c r="F9695" s="395" t="s">
        <v>18</v>
      </c>
      <c r="G9695" s="849" t="s">
        <v>1911</v>
      </c>
      <c r="H9695" s="397"/>
    </row>
    <row r="9696" spans="1:8" ht="15.75" customHeight="1" x14ac:dyDescent="0.25">
      <c r="A9696" s="390" t="s">
        <v>20</v>
      </c>
      <c r="B9696" s="390"/>
      <c r="C9696" s="390"/>
      <c r="D9696" s="391"/>
      <c r="E9696" s="390"/>
      <c r="F9696" s="395" t="s">
        <v>21</v>
      </c>
      <c r="G9696" s="390" t="s">
        <v>1912</v>
      </c>
      <c r="H9696" s="391"/>
    </row>
    <row r="9697" spans="1:8" ht="15.75" customHeight="1" x14ac:dyDescent="0.25">
      <c r="A9697" s="390" t="inlineStr">
        <is>
          <t>Dealer-003</t>
        </is>
      </c>
      <c r="B9697" s="390"/>
      <c r="C9697" s="390"/>
      <c r="D9697" s="391"/>
      <c r="E9697" s="395"/>
      <c r="F9697" s="390"/>
      <c r="G9697" s="390"/>
      <c r="H9697" s="394"/>
    </row>
    <row r="9698" spans="1:8" ht="15.75" customHeight="1" x14ac:dyDescent="0.25">
      <c r="A9698" s="390" t="inlineStr">
        <is>
          <t>Address line (redacted)</t>
        </is>
      </c>
      <c r="B9698" s="390"/>
      <c r="C9698" s="390"/>
      <c r="D9698" s="398"/>
      <c r="E9698" s="390"/>
      <c r="F9698" s="391"/>
      <c r="G9698" s="390"/>
      <c r="H9698" s="394"/>
    </row>
    <row r="9699" spans="1:8" ht="15.75" customHeight="1" x14ac:dyDescent="0.25">
      <c r="A9699" s="390" t="inlineStr">
        <is>
          <t>Address line (redacted)</t>
        </is>
      </c>
      <c r="B9699" s="390"/>
      <c r="C9699" s="390"/>
      <c r="D9699" s="398"/>
      <c r="E9699" s="390"/>
      <c r="F9699" s="391"/>
      <c r="G9699" s="390"/>
      <c r="H9699" s="394"/>
    </row>
    <row r="9700" spans="1:8" ht="15.75" customHeight="1" x14ac:dyDescent="0.25">
      <c r="A9700" s="447"/>
      <c r="B9700" s="390"/>
      <c r="C9700" s="390"/>
      <c r="D9700" s="391"/>
      <c r="E9700" s="390"/>
      <c r="F9700" s="391"/>
      <c r="G9700" s="390"/>
      <c r="H9700" s="394"/>
    </row>
    <row r="9701" spans="1:8" ht="15.75" customHeight="1" x14ac:dyDescent="0.25">
      <c r="A9701" s="390" t="s">
        <v>30</v>
      </c>
      <c r="B9701" s="390"/>
      <c r="C9701" s="390"/>
      <c r="D9701" s="391"/>
      <c r="E9701" s="390"/>
      <c r="F9701" s="391"/>
      <c r="G9701" s="390"/>
      <c r="H9701" s="394"/>
    </row>
    <row r="9702" spans="1:8" ht="15.75" customHeight="1" x14ac:dyDescent="0.25">
      <c r="A9702" s="390" t="s">
        <v>1322</v>
      </c>
      <c r="B9702" s="390"/>
      <c r="C9702" s="390"/>
      <c r="D9702" s="391"/>
      <c r="E9702" s="390"/>
      <c r="F9702" s="391"/>
      <c r="G9702" s="390"/>
      <c r="H9702" s="394"/>
    </row>
    <row r="9703" spans="1:8" ht="15.75" customHeight="1" x14ac:dyDescent="0.25">
      <c r="A9703" s="390" t="s">
        <v>1328</v>
      </c>
      <c r="B9703" s="390"/>
      <c r="C9703" s="390"/>
      <c r="D9703" s="391"/>
      <c r="E9703" s="390"/>
      <c r="F9703" s="391"/>
      <c r="G9703" s="390"/>
      <c r="H9703" s="394"/>
    </row>
    <row r="9704" spans="1:8" ht="15.75" customHeight="1" x14ac:dyDescent="0.25">
      <c r="A9704" s="399" t="s">
        <v>33</v>
      </c>
      <c r="B9704" s="400" t="s">
        <v>6</v>
      </c>
      <c r="C9704" s="400"/>
      <c r="D9704" s="401" t="s">
        <v>37</v>
      </c>
      <c r="E9704" s="402" t="s">
        <v>38</v>
      </c>
      <c r="F9704" s="403" t="s">
        <v>7</v>
      </c>
      <c r="G9704" s="404" t="s">
        <v>43</v>
      </c>
      <c r="H9704" s="405" t="s">
        <v>44</v>
      </c>
    </row>
    <row r="9705" spans="1:8" ht="15.75" customHeight="1" x14ac:dyDescent="0.25">
      <c r="A9705" s="406"/>
      <c r="B9705" s="407"/>
      <c r="C9705" s="393"/>
      <c r="D9705" s="408"/>
      <c r="E9705" s="408"/>
      <c r="F9705" s="409"/>
      <c r="G9705" s="410"/>
      <c r="H9705" s="411"/>
    </row>
    <row r="9706" spans="1:8" ht="15.75" customHeight="1" x14ac:dyDescent="0.25">
      <c r="A9706" s="502"/>
      <c r="B9706" s="557" t="s">
        <v>1681</v>
      </c>
      <c r="C9706" s="560"/>
      <c r="D9706" s="428"/>
      <c r="E9706" s="428"/>
      <c r="F9706" s="428"/>
      <c r="G9706" s="427"/>
      <c r="H9706" s="429"/>
    </row>
    <row r="9707" spans="1:8" ht="15.75" customHeight="1" x14ac:dyDescent="0.25">
      <c r="A9707" s="502" t="s">
        <v>55</v>
      </c>
      <c r="B9707" s="718" t="s">
        <v>1880</v>
      </c>
      <c r="C9707" s="718" t="s">
        <v>1505</v>
      </c>
      <c r="D9707" s="428">
        <v>2</v>
      </c>
      <c r="E9707" s="428">
        <v>100</v>
      </c>
      <c r="F9707" s="428">
        <f t="shared" ref="F9707:F9711" si="322">+E9707*D9707</f>
      </c>
      <c r="G9707" s="427">
        <v>1</v>
      </c>
      <c r="H9707" s="429">
        <f t="shared" ref="H9707:H9709" si="323">+G9707*F9707</f>
      </c>
    </row>
    <row r="9708" spans="1:8" ht="15.75" customHeight="1" x14ac:dyDescent="0.25">
      <c r="A9708" s="502" t="s">
        <v>59</v>
      </c>
      <c r="B9708" s="718" t="s">
        <v>1848</v>
      </c>
      <c r="C9708" s="718" t="s">
        <v>1474</v>
      </c>
      <c r="D9708" s="428">
        <v>14</v>
      </c>
      <c r="E9708" s="428">
        <v>100</v>
      </c>
      <c r="F9708" s="428">
        <f t="shared" si="322"/>
      </c>
      <c r="G9708" s="427">
        <v>1</v>
      </c>
      <c r="H9708" s="429">
        <f t="shared" si="323"/>
      </c>
    </row>
    <row r="9709" spans="1:8" ht="15.75" customHeight="1" x14ac:dyDescent="0.25">
      <c r="A9709" s="502" t="s">
        <v>67</v>
      </c>
      <c r="B9709" s="718" t="s">
        <v>1882</v>
      </c>
      <c r="C9709" s="718" t="s">
        <v>1821</v>
      </c>
      <c r="D9709" s="428">
        <v>8</v>
      </c>
      <c r="E9709" s="428">
        <v>100</v>
      </c>
      <c r="F9709" s="428">
        <f t="shared" si="322"/>
      </c>
      <c r="G9709" s="427">
        <v>1</v>
      </c>
      <c r="H9709" s="429">
        <f t="shared" si="323"/>
      </c>
    </row>
    <row r="9710" spans="1:8" ht="15.75" customHeight="1" x14ac:dyDescent="0.25">
      <c r="A9710" s="502" t="s">
        <v>485</v>
      </c>
      <c r="B9710" s="718" t="s">
        <v>1882</v>
      </c>
      <c r="C9710" s="718" t="s">
        <v>1821</v>
      </c>
      <c r="D9710" s="428">
        <v>1</v>
      </c>
      <c r="E9710" s="428">
        <v>100</v>
      </c>
      <c r="F9710" s="428">
        <f t="shared" si="322"/>
      </c>
      <c r="G9710" s="830" t="s">
        <v>2187</v>
      </c>
      <c r="H9710" s="831"/>
    </row>
    <row r="9711" spans="1:8" ht="15.75" customHeight="1" x14ac:dyDescent="0.25">
      <c r="A9711" s="502" t="s">
        <v>486</v>
      </c>
      <c r="B9711" s="718" t="s">
        <v>1898</v>
      </c>
      <c r="C9711" s="832" t="s">
        <v>1505</v>
      </c>
      <c r="D9711" s="428">
        <v>1</v>
      </c>
      <c r="E9711" s="428">
        <v>100</v>
      </c>
      <c r="F9711" s="428">
        <f t="shared" si="322"/>
      </c>
      <c r="G9711" s="848" t="s">
        <v>2187</v>
      </c>
      <c r="H9711" s="831"/>
    </row>
    <row r="9712" spans="1:8" ht="15.75" customHeight="1" x14ac:dyDescent="0.25">
      <c r="A9712" s="502"/>
      <c r="B9712" s="557"/>
      <c r="C9712" s="560"/>
      <c r="D9712" s="428"/>
      <c r="E9712" s="428"/>
      <c r="F9712" s="428"/>
      <c r="G9712" s="833"/>
      <c r="H9712" s="429"/>
    </row>
    <row r="9713" spans="1:8" ht="15.75" customHeight="1" x14ac:dyDescent="0.25">
      <c r="A9713" s="502"/>
      <c r="B9713" s="718"/>
      <c r="C9713" s="832"/>
      <c r="D9713" s="850" t="s">
        <v>2234</v>
      </c>
      <c r="E9713" s="850"/>
      <c r="F9713" s="850"/>
      <c r="G9713" s="850"/>
      <c r="H9713" s="851">
        <v>1</v>
      </c>
    </row>
    <row r="9714" spans="1:8" ht="15.75" customHeight="1" x14ac:dyDescent="0.25">
      <c r="A9714" s="502"/>
      <c r="B9714" s="718"/>
      <c r="C9714" s="813"/>
      <c r="D9714" s="428"/>
      <c r="E9714" s="428"/>
      <c r="F9714" s="428"/>
      <c r="G9714" s="428"/>
      <c r="H9714" s="429"/>
    </row>
    <row r="9715" spans="1:8" ht="15.75" customHeight="1" x14ac:dyDescent="0.25">
      <c r="A9715" s="502"/>
      <c r="B9715" s="718"/>
      <c r="C9715" s="567"/>
      <c r="D9715" s="819"/>
      <c r="E9715" s="819"/>
      <c r="F9715" s="819"/>
      <c r="G9715" s="819"/>
      <c r="H9715" s="444"/>
    </row>
    <row r="9716" spans="1:8" ht="15.75" customHeight="1" x14ac:dyDescent="0.25">
      <c r="A9716" s="432"/>
      <c r="B9716" s="433"/>
      <c r="C9716" s="434" t="s">
        <v>85</v>
      </c>
      <c r="D9716" s="435">
        <f>SUM(D9706:D9715)</f>
      </c>
      <c r="E9716" s="435"/>
      <c r="F9716" s="436"/>
      <c r="G9716" s="437"/>
      <c r="H9716" s="438">
        <f>SUM(H9707:H9715)</f>
      </c>
    </row>
    <row r="9717" spans="1:8" ht="15.75" customHeight="1" x14ac:dyDescent="0.25">
      <c r="A9717" s="439"/>
      <c r="B9717" s="440"/>
      <c r="C9717" s="440"/>
      <c r="D9717" s="441"/>
      <c r="E9717" s="440"/>
      <c r="F9717" s="442"/>
      <c r="G9717" s="443"/>
      <c r="H9717" s="444"/>
    </row>
    <row r="9718" spans="1:8" ht="15.75" customHeight="1" x14ac:dyDescent="0.25">
      <c r="A9718" s="834"/>
      <c r="B9718" s="565"/>
      <c r="C9718" s="565"/>
      <c r="D9718" s="565"/>
      <c r="E9718" s="565"/>
      <c r="F9718" s="565"/>
      <c r="G9718" s="565"/>
      <c r="H9718" s="565"/>
    </row>
    <row r="9719" spans="1:8" ht="15.75" customHeight="1" x14ac:dyDescent="0.25">
      <c r="A9719" s="445"/>
      <c r="B9719" s="445"/>
      <c r="C9719" s="445"/>
      <c r="D9719" s="446" t="s">
        <v>97</v>
      </c>
      <c r="E9719" s="445" t="s">
        <v>98</v>
      </c>
      <c r="F9719" s="445"/>
      <c r="G9719" s="390"/>
      <c r="H9719" s="394"/>
    </row>
    <row r="9720" spans="1:8" ht="15.75" customHeight="1" x14ac:dyDescent="0.25">
      <c r="A9720" s="390"/>
      <c r="B9720" s="390"/>
      <c r="C9720" s="390"/>
      <c r="D9720" s="391"/>
      <c r="E9720" s="390"/>
      <c r="F9720" s="390"/>
      <c r="G9720" s="390"/>
      <c r="H9720" s="394"/>
    </row>
    <row r="9721" spans="1:8" ht="15.75" customHeight="1" x14ac:dyDescent="0.25">
      <c r="A9721" s="445"/>
      <c r="B9721" s="445"/>
      <c r="C9721" s="445"/>
      <c r="D9721" s="446"/>
      <c r="E9721" s="445" t="s">
        <v>99</v>
      </c>
      <c r="F9721" s="445"/>
      <c r="G9721" s="390"/>
      <c r="H9721" s="394"/>
    </row>
    <row r="9722" spans="1:8" ht="15.75" customHeight="1" x14ac:dyDescent="0.25">
      <c r="D9722" s="4"/>
      <c r="H9722" s="4"/>
    </row>
    <row r="9723" spans="1:8" ht="15.75" customHeight="1" x14ac:dyDescent="0.25">
      <c r="D9723" s="4"/>
      <c r="H9723" s="4"/>
    </row>
    <row r="9724" spans="1:8" ht="15.75" customHeight="1" x14ac:dyDescent="0.25">
      <c r="D9724" s="4"/>
      <c r="H9724" s="4"/>
    </row>
    <row r="9725" spans="1:8" ht="15.75" customHeight="1" x14ac:dyDescent="0.25">
      <c r="D9725" s="4"/>
      <c r="H9725" s="4"/>
    </row>
    <row r="9726" spans="1:8" ht="15.75" customHeight="1" x14ac:dyDescent="0.25">
      <c r="D9726" s="4"/>
      <c r="H9726" s="4"/>
    </row>
    <row r="9727" spans="1:8" ht="15.75" customHeight="1" x14ac:dyDescent="0.25">
      <c r="D9727" s="4"/>
      <c r="H9727" s="4"/>
    </row>
    <row r="9728" spans="1:8" ht="15.75" customHeight="1" x14ac:dyDescent="0.25">
      <c r="D9728" s="4"/>
      <c r="H9728" s="4"/>
    </row>
    <row r="9729" spans="1:8" ht="15.75" customHeight="1" x14ac:dyDescent="0.25">
      <c r="D9729" s="4"/>
      <c r="H9729" s="4"/>
    </row>
    <row r="9730" spans="1:8" ht="15.75" customHeight="1" x14ac:dyDescent="0.25">
      <c r="D9730" s="4"/>
      <c r="H9730" s="4"/>
    </row>
    <row r="9731" spans="1:8" ht="15.75" customHeight="1" x14ac:dyDescent="0.25">
      <c r="D9731" s="4"/>
      <c r="H9731" s="4"/>
    </row>
    <row r="9732" spans="1:8" ht="15.75" customHeight="1" x14ac:dyDescent="0.25">
      <c r="D9732" s="4"/>
      <c r="H9732" s="4"/>
    </row>
    <row r="9733" spans="1:8" ht="15.75" customHeight="1" x14ac:dyDescent="0.25">
      <c r="D9733" s="4"/>
      <c r="H9733" s="4"/>
    </row>
    <row r="9734" spans="1:8" ht="15.75" customHeight="1" x14ac:dyDescent="0.25">
      <c r="D9734" s="4"/>
      <c r="H9734" s="4"/>
    </row>
    <row r="9735" spans="1:8" ht="15.75" customHeight="1" x14ac:dyDescent="0.25">
      <c r="D9735" s="4"/>
      <c r="H9735" s="4"/>
    </row>
    <row r="9736" spans="1:8" ht="15.75" customHeight="1" x14ac:dyDescent="0.25">
      <c r="D9736" s="4"/>
      <c r="H9736" s="4"/>
    </row>
    <row r="9737" spans="1:8" ht="15.75" customHeight="1" x14ac:dyDescent="0.25">
      <c r="D9737" s="4"/>
      <c r="H9737" s="4"/>
    </row>
    <row r="9738" spans="1:8" ht="15.75" customHeight="1" x14ac:dyDescent="0.25">
      <c r="D9738" s="4"/>
      <c r="H9738" s="4"/>
    </row>
    <row r="9739" spans="1:8" ht="15.75" customHeight="1" x14ac:dyDescent="0.25">
      <c r="A9739" s="398" t="s">
        <v>14</v>
      </c>
      <c r="B9739" s="398"/>
      <c r="C9739" s="398"/>
      <c r="D9739" s="398"/>
      <c r="E9739" s="398"/>
      <c r="F9739" s="398"/>
      <c r="G9739" s="398"/>
      <c r="H9739" s="398"/>
    </row>
    <row r="9740" spans="1:8" ht="15.75" customHeight="1" x14ac:dyDescent="0.25">
      <c r="A9740" s="398"/>
      <c r="B9740" s="398"/>
      <c r="C9740" s="398"/>
      <c r="D9740" s="398"/>
      <c r="E9740" s="398"/>
      <c r="F9740" s="398"/>
      <c r="G9740" s="398"/>
      <c r="H9740" s="398"/>
    </row>
    <row r="9741" spans="1:8" ht="15.75" customHeight="1" x14ac:dyDescent="0.25">
      <c r="A9741" s="390"/>
      <c r="B9741" s="390"/>
      <c r="C9741" s="390"/>
      <c r="D9741" s="391"/>
      <c r="E9741" s="390"/>
      <c r="F9741" s="395" t="s">
        <v>18</v>
      </c>
      <c r="G9741" s="396" t="s">
        <v>1023</v>
      </c>
      <c r="H9741" s="397"/>
    </row>
    <row r="9742" spans="1:8" ht="15.75" customHeight="1" x14ac:dyDescent="0.25">
      <c r="A9742" s="390" t="s">
        <v>20</v>
      </c>
      <c r="B9742" s="390"/>
      <c r="C9742" s="390"/>
      <c r="D9742" s="391"/>
      <c r="E9742" s="390"/>
      <c r="F9742" s="395" t="s">
        <v>21</v>
      </c>
      <c r="G9742" s="390" t="s">
        <v>1515</v>
      </c>
      <c r="H9742" s="391"/>
    </row>
    <row r="9743" spans="1:8" ht="15.75" customHeight="1" x14ac:dyDescent="0.25">
      <c r="A9743" s="390" t="inlineStr">
        <is>
          <t>Dealer-009</t>
        </is>
      </c>
      <c r="B9743" s="390"/>
      <c r="C9743" s="390"/>
      <c r="D9743" s="391"/>
      <c r="E9743" s="395"/>
      <c r="F9743" s="390"/>
      <c r="G9743" s="390"/>
      <c r="H9743" s="394"/>
    </row>
    <row r="9744" spans="1:8" ht="15.75" customHeight="1" x14ac:dyDescent="0.25">
      <c r="A9744" s="390" t="inlineStr">
        <is>
          <t>Address line (redacted)</t>
        </is>
      </c>
      <c r="B9744" s="390"/>
      <c r="C9744" s="390"/>
      <c r="D9744" s="398"/>
      <c r="E9744" s="390"/>
      <c r="F9744" s="391"/>
      <c r="G9744" s="390"/>
      <c r="H9744" s="394"/>
    </row>
    <row r="9745" spans="1:8" ht="15.75" customHeight="1" x14ac:dyDescent="0.25">
      <c r="A9745" s="390" t="inlineStr">
        <is>
          <t>Address line (redacted)</t>
        </is>
      </c>
      <c r="B9745" s="390"/>
      <c r="C9745" s="390"/>
      <c r="D9745" s="398"/>
      <c r="E9745" s="390"/>
      <c r="F9745" s="391"/>
      <c r="G9745" s="390"/>
      <c r="H9745" s="394"/>
    </row>
    <row r="9746" spans="1:8" ht="15.75" customHeight="1" x14ac:dyDescent="0.25">
      <c r="A9746" s="447"/>
      <c r="B9746" s="390"/>
      <c r="C9746" s="390"/>
      <c r="D9746" s="391"/>
      <c r="E9746" s="390"/>
      <c r="F9746" s="391"/>
      <c r="G9746" s="390"/>
      <c r="H9746" s="394"/>
    </row>
    <row r="9747" spans="1:8" ht="15.75" customHeight="1" x14ac:dyDescent="0.25">
      <c r="A9747" s="390" t="s">
        <v>30</v>
      </c>
      <c r="B9747" s="390"/>
      <c r="C9747" s="390"/>
      <c r="D9747" s="391"/>
      <c r="E9747" s="390"/>
      <c r="F9747" s="391"/>
      <c r="G9747" s="390"/>
      <c r="H9747" s="394"/>
    </row>
    <row r="9748" spans="1:8" ht="15.75" customHeight="1" x14ac:dyDescent="0.25">
      <c r="A9748" s="390" t="s">
        <v>1322</v>
      </c>
      <c r="B9748" s="390"/>
      <c r="C9748" s="390"/>
      <c r="D9748" s="391"/>
      <c r="E9748" s="390"/>
      <c r="F9748" s="391"/>
      <c r="G9748" s="390"/>
      <c r="H9748" s="394"/>
    </row>
    <row r="9749" spans="1:8" ht="15.75" customHeight="1" x14ac:dyDescent="0.25">
      <c r="A9749" s="390" t="s">
        <v>1328</v>
      </c>
      <c r="B9749" s="390"/>
      <c r="C9749" s="390"/>
      <c r="D9749" s="391"/>
      <c r="E9749" s="390"/>
      <c r="F9749" s="391"/>
      <c r="G9749" s="390"/>
      <c r="H9749" s="394"/>
    </row>
    <row r="9750" spans="1:8" ht="15.75" customHeight="1" x14ac:dyDescent="0.25">
      <c r="A9750" s="399" t="s">
        <v>33</v>
      </c>
      <c r="B9750" s="400" t="s">
        <v>6</v>
      </c>
      <c r="C9750" s="400"/>
      <c r="D9750" s="401" t="s">
        <v>37</v>
      </c>
      <c r="E9750" s="402" t="s">
        <v>38</v>
      </c>
      <c r="F9750" s="403" t="s">
        <v>7</v>
      </c>
      <c r="G9750" s="404" t="s">
        <v>43</v>
      </c>
      <c r="H9750" s="405" t="s">
        <v>44</v>
      </c>
    </row>
    <row r="9751" spans="1:8" ht="15.75" customHeight="1" x14ac:dyDescent="0.25">
      <c r="A9751" s="406"/>
      <c r="B9751" s="407"/>
      <c r="C9751" s="393"/>
      <c r="D9751" s="408"/>
      <c r="E9751" s="408"/>
      <c r="F9751" s="409"/>
      <c r="G9751" s="410"/>
      <c r="H9751" s="411"/>
    </row>
    <row r="9752" spans="1:8" ht="15.75" customHeight="1" x14ac:dyDescent="0.25">
      <c r="A9752" s="502"/>
      <c r="B9752" s="557" t="s">
        <v>1681</v>
      </c>
      <c r="C9752" s="560"/>
      <c r="D9752" s="427"/>
      <c r="E9752" s="428"/>
      <c r="F9752" s="428"/>
      <c r="G9752" s="427"/>
      <c r="H9752" s="429"/>
    </row>
    <row r="9753" spans="1:8" ht="15.75" customHeight="1" x14ac:dyDescent="0.25">
      <c r="A9753" s="502" t="s">
        <v>55</v>
      </c>
      <c r="B9753" s="718" t="s">
        <v>1880</v>
      </c>
      <c r="C9753" s="832" t="s">
        <v>1505</v>
      </c>
      <c r="D9753" s="427">
        <v>3</v>
      </c>
      <c r="E9753" s="428">
        <v>100</v>
      </c>
      <c r="F9753" s="428">
        <f t="shared" ref="F9753:F9756" si="324">+E9753*D9753</f>
      </c>
      <c r="G9753" s="427">
        <v>1</v>
      </c>
      <c r="H9753" s="429">
        <f t="shared" ref="H9753:H9755" si="325">+G9753*F9753</f>
      </c>
    </row>
    <row r="9754" spans="1:8" ht="15.75" customHeight="1" x14ac:dyDescent="0.25">
      <c r="A9754" s="502" t="s">
        <v>59</v>
      </c>
      <c r="B9754" s="718" t="s">
        <v>1848</v>
      </c>
      <c r="C9754" s="832" t="s">
        <v>1474</v>
      </c>
      <c r="D9754" s="427">
        <v>22</v>
      </c>
      <c r="E9754" s="428">
        <v>100</v>
      </c>
      <c r="F9754" s="428">
        <f t="shared" si="324"/>
      </c>
      <c r="G9754" s="427">
        <v>1</v>
      </c>
      <c r="H9754" s="429">
        <f t="shared" si="325"/>
      </c>
    </row>
    <row r="9755" spans="1:8" ht="15.75" customHeight="1" x14ac:dyDescent="0.25">
      <c r="A9755" s="502" t="s">
        <v>67</v>
      </c>
      <c r="B9755" s="718" t="s">
        <v>1882</v>
      </c>
      <c r="C9755" s="832" t="s">
        <v>1821</v>
      </c>
      <c r="D9755" s="427">
        <v>15</v>
      </c>
      <c r="E9755" s="428">
        <v>100</v>
      </c>
      <c r="F9755" s="428">
        <f t="shared" si="324"/>
      </c>
      <c r="G9755" s="427">
        <v>1</v>
      </c>
      <c r="H9755" s="429">
        <f t="shared" si="325"/>
      </c>
    </row>
    <row r="9756" spans="1:8" ht="15.75" customHeight="1" x14ac:dyDescent="0.25">
      <c r="A9756" s="502" t="s">
        <v>485</v>
      </c>
      <c r="B9756" s="718" t="s">
        <v>1882</v>
      </c>
      <c r="C9756" s="832" t="s">
        <v>1821</v>
      </c>
      <c r="D9756" s="427">
        <v>3</v>
      </c>
      <c r="E9756" s="428">
        <v>100</v>
      </c>
      <c r="F9756" s="428">
        <f t="shared" si="324"/>
      </c>
      <c r="G9756" s="830" t="s">
        <v>2187</v>
      </c>
      <c r="H9756" s="831"/>
    </row>
    <row r="9757" spans="1:8" ht="15.75" customHeight="1" x14ac:dyDescent="0.25">
      <c r="A9757" s="502"/>
      <c r="B9757" s="557" t="s">
        <v>1754</v>
      </c>
      <c r="C9757" s="560"/>
      <c r="D9757" s="427"/>
      <c r="E9757" s="428"/>
      <c r="F9757" s="428"/>
      <c r="G9757" s="833"/>
      <c r="H9757" s="429"/>
    </row>
    <row r="9758" spans="1:8" ht="15.75" customHeight="1" x14ac:dyDescent="0.25">
      <c r="A9758" s="502" t="s">
        <v>486</v>
      </c>
      <c r="B9758" s="718" t="s">
        <v>1824</v>
      </c>
      <c r="C9758" s="832"/>
      <c r="D9758" s="427">
        <v>4</v>
      </c>
      <c r="E9758" s="428">
        <v>5</v>
      </c>
      <c r="F9758" s="428">
        <f>+E9758*D9758</f>
      </c>
      <c r="G9758" s="428">
        <v>1</v>
      </c>
      <c r="H9758" s="429">
        <f>+G9758*F9758</f>
      </c>
    </row>
    <row r="9759" spans="1:8" ht="15.75" customHeight="1" x14ac:dyDescent="0.25">
      <c r="A9759" s="502"/>
      <c r="B9759" s="557" t="s">
        <v>674</v>
      </c>
      <c r="C9759" s="560"/>
      <c r="D9759" s="427"/>
      <c r="E9759" s="428"/>
      <c r="F9759" s="428"/>
      <c r="G9759" s="833"/>
      <c r="H9759" s="429"/>
    </row>
    <row r="9760" spans="1:8" ht="15.75" customHeight="1" x14ac:dyDescent="0.25">
      <c r="A9760" s="502" t="s">
        <v>489</v>
      </c>
      <c r="B9760" s="448" t="s">
        <v>482</v>
      </c>
      <c r="C9760" s="576"/>
      <c r="D9760" s="427">
        <v>13</v>
      </c>
      <c r="E9760" s="428">
        <v>1</v>
      </c>
      <c r="F9760" s="428">
        <f t="shared" ref="F9760:F9761" si="326">+E9760*D9760</f>
      </c>
      <c r="G9760" s="621">
        <v>1</v>
      </c>
      <c r="H9760" s="429">
        <f>+G9760*F9760</f>
      </c>
    </row>
    <row r="9761" spans="1:8" ht="24.75" customHeight="1" x14ac:dyDescent="0.25">
      <c r="A9761" s="502" t="s">
        <v>490</v>
      </c>
      <c r="B9761" s="448" t="s">
        <v>482</v>
      </c>
      <c r="C9761" s="813"/>
      <c r="D9761" s="428">
        <v>1</v>
      </c>
      <c r="E9761" s="428">
        <v>1</v>
      </c>
      <c r="F9761" s="428">
        <f t="shared" si="326"/>
      </c>
      <c r="G9761" s="830" t="s">
        <v>2187</v>
      </c>
      <c r="H9761" s="831"/>
    </row>
    <row r="9762" spans="1:8" ht="15.75" customHeight="1" x14ac:dyDescent="0.25">
      <c r="A9762" s="502"/>
      <c r="B9762" s="852" t="s">
        <v>2243</v>
      </c>
      <c r="C9762" s="853"/>
      <c r="D9762" s="853"/>
      <c r="E9762" s="853"/>
      <c r="F9762" s="853"/>
      <c r="G9762" s="854"/>
      <c r="H9762" s="444"/>
    </row>
    <row r="9763" spans="1:8" ht="15.75" customHeight="1" x14ac:dyDescent="0.25">
      <c r="A9763" s="432"/>
      <c r="B9763" s="433"/>
      <c r="C9763" s="434" t="s">
        <v>85</v>
      </c>
      <c r="D9763" s="435">
        <f>SUM(D9752:D9762)</f>
      </c>
      <c r="E9763" s="435"/>
      <c r="F9763" s="436"/>
      <c r="G9763" s="437"/>
      <c r="H9763" s="438">
        <f>SUM(H9753:H9762)</f>
      </c>
    </row>
    <row r="9764" spans="1:8" ht="15.75" customHeight="1" x14ac:dyDescent="0.25">
      <c r="A9764" s="439"/>
      <c r="B9764" s="440"/>
      <c r="C9764" s="440"/>
      <c r="D9764" s="441"/>
      <c r="E9764" s="440"/>
      <c r="F9764" s="442"/>
      <c r="G9764" s="443"/>
      <c r="H9764" s="444"/>
    </row>
    <row r="9765" spans="1:8" ht="15.75" customHeight="1" x14ac:dyDescent="0.25">
      <c r="A9765" s="834"/>
      <c r="B9765" s="565"/>
      <c r="C9765" s="565"/>
      <c r="D9765" s="565"/>
      <c r="E9765" s="565"/>
      <c r="F9765" s="565"/>
      <c r="G9765" s="565"/>
      <c r="H9765" s="565"/>
    </row>
    <row r="9766" spans="1:8" ht="15.75" customHeight="1" x14ac:dyDescent="0.25">
      <c r="A9766" s="445"/>
      <c r="B9766" s="445"/>
      <c r="C9766" s="445"/>
      <c r="D9766" s="446" t="s">
        <v>97</v>
      </c>
      <c r="E9766" s="445" t="s">
        <v>98</v>
      </c>
      <c r="F9766" s="445"/>
      <c r="G9766" s="390"/>
      <c r="H9766" s="394"/>
    </row>
    <row r="9767" spans="1:8" ht="15.75" customHeight="1" x14ac:dyDescent="0.25">
      <c r="A9767" s="390"/>
      <c r="B9767" s="390"/>
      <c r="C9767" s="390"/>
      <c r="D9767" s="391"/>
      <c r="E9767" s="390"/>
      <c r="F9767" s="390"/>
      <c r="G9767" s="390"/>
      <c r="H9767" s="394"/>
    </row>
    <row r="9768" spans="1:8" ht="15.75" customHeight="1" x14ac:dyDescent="0.25">
      <c r="A9768" s="445"/>
      <c r="B9768" s="445"/>
      <c r="C9768" s="445"/>
      <c r="D9768" s="446"/>
      <c r="E9768" s="445" t="s">
        <v>99</v>
      </c>
      <c r="F9768" s="445"/>
      <c r="G9768" s="390"/>
      <c r="H9768" s="394"/>
    </row>
    <row r="9769" spans="1:8" ht="15.75" customHeight="1" x14ac:dyDescent="0.25">
      <c r="D9769" s="4"/>
      <c r="H9769" s="4"/>
    </row>
    <row r="9770" spans="1:8" ht="15.75" customHeight="1" x14ac:dyDescent="0.25">
      <c r="D9770" s="4"/>
      <c r="H9770" s="4"/>
    </row>
    <row r="9771" spans="1:8" ht="15.75" customHeight="1" x14ac:dyDescent="0.25">
      <c r="D9771" s="4"/>
      <c r="H9771" s="4"/>
    </row>
    <row r="9772" spans="1:8" ht="15.75" customHeight="1" x14ac:dyDescent="0.25">
      <c r="D9772" s="4"/>
      <c r="H9772" s="4"/>
    </row>
    <row r="9773" spans="1:8" ht="15.75" customHeight="1" x14ac:dyDescent="0.25">
      <c r="D9773" s="4"/>
      <c r="H9773" s="4"/>
    </row>
    <row r="9774" spans="1:8" ht="15.75" customHeight="1" x14ac:dyDescent="0.25">
      <c r="D9774" s="4"/>
      <c r="H9774" s="4"/>
    </row>
    <row r="9775" spans="1:8" ht="15.75" customHeight="1" x14ac:dyDescent="0.25">
      <c r="D9775" s="4"/>
      <c r="H9775" s="4"/>
    </row>
    <row r="9776" spans="1:8" ht="15.75" customHeight="1" x14ac:dyDescent="0.25">
      <c r="D9776" s="4"/>
      <c r="H9776" s="4"/>
    </row>
    <row r="9777" spans="1:8" ht="15.75" customHeight="1" x14ac:dyDescent="0.25">
      <c r="D9777" s="4"/>
      <c r="H9777" s="4"/>
    </row>
    <row r="9778" spans="1:8" ht="15.75" customHeight="1" x14ac:dyDescent="0.25">
      <c r="D9778" s="4"/>
      <c r="H9778" s="4"/>
    </row>
    <row r="9779" spans="1:8" ht="15.75" customHeight="1" x14ac:dyDescent="0.25">
      <c r="D9779" s="4"/>
      <c r="H9779" s="4"/>
    </row>
    <row r="9780" spans="1:8" ht="15.75" customHeight="1" x14ac:dyDescent="0.25">
      <c r="D9780" s="4"/>
      <c r="H9780" s="4"/>
    </row>
    <row r="9781" spans="1:8" ht="15.75" customHeight="1" x14ac:dyDescent="0.25">
      <c r="D9781" s="4"/>
      <c r="H9781" s="4"/>
    </row>
    <row r="9782" spans="1:8" ht="15.75" customHeight="1" x14ac:dyDescent="0.25">
      <c r="D9782" s="4"/>
      <c r="H9782" s="4"/>
    </row>
    <row r="9783" spans="1:8" ht="15.75" customHeight="1" x14ac:dyDescent="0.25">
      <c r="D9783" s="4"/>
      <c r="H9783" s="4"/>
    </row>
    <row r="9784" spans="1:8" ht="15.75" customHeight="1" x14ac:dyDescent="0.25">
      <c r="A9784" s="8" t="s">
        <v>14</v>
      </c>
      <c r="B9784" s="8"/>
      <c r="C9784" s="8"/>
      <c r="D9784" s="8"/>
      <c r="E9784" s="8"/>
      <c r="F9784" s="8"/>
      <c r="G9784" s="8"/>
      <c r="H9784" s="8"/>
    </row>
    <row r="9785" spans="1:8" ht="15.75" customHeight="1" x14ac:dyDescent="0.25">
      <c r="A9785" s="388"/>
      <c r="B9785" s="388"/>
      <c r="C9785" s="388"/>
      <c r="D9785" s="389"/>
      <c r="E9785" s="388"/>
      <c r="F9785" s="388"/>
      <c r="G9785" s="388"/>
      <c r="H9785" s="8"/>
    </row>
    <row r="9786" spans="1:8" ht="15.75" customHeight="1" x14ac:dyDescent="0.25">
      <c r="A9786" s="390"/>
      <c r="B9786" s="390"/>
      <c r="C9786" s="391"/>
      <c r="D9786" s="392"/>
      <c r="E9786" s="393"/>
      <c r="F9786" s="393"/>
      <c r="G9786" s="393"/>
      <c r="H9786" s="394"/>
    </row>
    <row r="9787" spans="1:8" ht="15.75" customHeight="1" x14ac:dyDescent="0.25">
      <c r="A9787" s="390"/>
      <c r="B9787" s="390"/>
      <c r="C9787" s="390"/>
      <c r="D9787" s="391"/>
      <c r="E9787" s="390"/>
      <c r="F9787" s="395" t="s">
        <v>18</v>
      </c>
      <c r="G9787" s="396" t="s">
        <v>1026</v>
      </c>
      <c r="H9787" s="397"/>
    </row>
    <row r="9788" spans="1:8" ht="15.75" customHeight="1" x14ac:dyDescent="0.25">
      <c r="A9788" s="390" t="s">
        <v>20</v>
      </c>
      <c r="B9788" s="390"/>
      <c r="C9788" s="390"/>
      <c r="D9788" s="391"/>
      <c r="E9788" s="390"/>
      <c r="F9788" s="395" t="s">
        <v>21</v>
      </c>
      <c r="G9788" s="390" t="s">
        <v>1462</v>
      </c>
      <c r="H9788" s="391"/>
    </row>
    <row r="9789" spans="1:8" ht="15.75" customHeight="1" x14ac:dyDescent="0.25">
      <c r="A9789" s="390" t="inlineStr">
        <is>
          <t>Dealer-004</t>
        </is>
      </c>
      <c r="B9789" s="390"/>
      <c r="C9789" s="390"/>
      <c r="D9789" s="398"/>
      <c r="E9789" s="390"/>
      <c r="F9789" s="391"/>
      <c r="G9789" s="390"/>
      <c r="H9789" s="394"/>
    </row>
    <row r="9790" spans="1:8" ht="15.75" customHeight="1" x14ac:dyDescent="0.25">
      <c r="A9790" s="390" t="inlineStr">
        <is>
          <t>Address line (redacted)</t>
        </is>
      </c>
      <c r="B9790" s="390"/>
      <c r="C9790" s="390"/>
      <c r="D9790" s="398"/>
      <c r="E9790" s="390"/>
      <c r="F9790" s="391"/>
      <c r="G9790" s="390"/>
      <c r="H9790" s="394"/>
    </row>
    <row r="9791" spans="1:8" ht="15.75" customHeight="1" x14ac:dyDescent="0.25">
      <c r="A9791" s="390" t="inlineStr">
        <is>
          <t>Address line (redacted)</t>
        </is>
      </c>
      <c r="B9791" s="390"/>
      <c r="C9791" s="390"/>
      <c r="D9791" s="391"/>
      <c r="E9791" s="390"/>
      <c r="F9791" s="391"/>
      <c r="G9791" s="390"/>
      <c r="H9791" s="394"/>
    </row>
    <row r="9792" spans="1:8" ht="15.75" customHeight="1" x14ac:dyDescent="0.25">
      <c r="A9792" s="390"/>
      <c r="B9792" s="390"/>
      <c r="C9792" s="390"/>
      <c r="D9792" s="391"/>
      <c r="E9792" s="390"/>
      <c r="F9792" s="391"/>
      <c r="G9792" s="390"/>
      <c r="H9792" s="394"/>
    </row>
    <row r="9793" spans="1:20" ht="15.75" customHeight="1" x14ac:dyDescent="0.25">
      <c r="A9793" s="390" t="s">
        <v>30</v>
      </c>
      <c r="B9793" s="390"/>
      <c r="C9793" s="390"/>
      <c r="D9793" s="391"/>
      <c r="E9793" s="390"/>
      <c r="F9793" s="391"/>
      <c r="G9793" s="390"/>
      <c r="H9793" s="394"/>
    </row>
    <row r="9794" spans="1:20" ht="15.75" customHeight="1" x14ac:dyDescent="0.25">
      <c r="A9794" s="390"/>
      <c r="B9794" s="390"/>
      <c r="C9794" s="390"/>
      <c r="D9794" s="391"/>
      <c r="E9794" s="390"/>
      <c r="F9794" s="391"/>
      <c r="G9794" s="390"/>
      <c r="H9794" s="394"/>
    </row>
    <row r="9795" spans="1:20" ht="15.75" customHeight="1" x14ac:dyDescent="0.25">
      <c r="A9795" s="390" t="s">
        <v>716</v>
      </c>
      <c r="B9795" s="390"/>
      <c r="C9795" s="390"/>
      <c r="D9795" s="391"/>
      <c r="E9795" s="390"/>
      <c r="F9795" s="391"/>
      <c r="G9795" s="390"/>
      <c r="H9795" s="394"/>
    </row>
    <row r="9796" spans="1:20" ht="15.75" customHeight="1" x14ac:dyDescent="0.25">
      <c r="A9796" s="390" t="s">
        <v>717</v>
      </c>
      <c r="B9796" s="390"/>
      <c r="C9796" s="390"/>
      <c r="D9796" s="391"/>
      <c r="E9796" s="390"/>
      <c r="F9796" s="391"/>
      <c r="G9796" s="390"/>
      <c r="H9796" s="394"/>
    </row>
    <row r="9797" spans="1:20" ht="15.75" customHeight="1" x14ac:dyDescent="0.25">
      <c r="A9797" s="390"/>
      <c r="B9797" s="390"/>
      <c r="C9797" s="390"/>
      <c r="D9797" s="391"/>
      <c r="E9797" s="390"/>
      <c r="F9797" s="391"/>
      <c r="G9797" s="390"/>
      <c r="H9797" s="394"/>
    </row>
    <row r="9798" spans="1:20" ht="15.75" customHeight="1" x14ac:dyDescent="0.25">
      <c r="A9798" s="399" t="s">
        <v>33</v>
      </c>
      <c r="B9798" s="400" t="s">
        <v>6</v>
      </c>
      <c r="C9798" s="400"/>
      <c r="D9798" s="401" t="s">
        <v>37</v>
      </c>
      <c r="E9798" s="402" t="s">
        <v>38</v>
      </c>
      <c r="F9798" s="403" t="s">
        <v>7</v>
      </c>
      <c r="G9798" s="404" t="s">
        <v>43</v>
      </c>
      <c r="H9798" s="405" t="s">
        <v>44</v>
      </c>
    </row>
    <row r="9799" spans="1:20" ht="15.75" customHeight="1" x14ac:dyDescent="0.25">
      <c r="A9799" s="406"/>
      <c r="B9799" s="407"/>
      <c r="C9799" s="393"/>
      <c r="D9799" s="408"/>
      <c r="E9799" s="408"/>
      <c r="F9799" s="409"/>
      <c r="G9799" s="410"/>
      <c r="H9799" s="411"/>
    </row>
    <row r="9800" spans="1:20" ht="15.75" customHeight="1" x14ac:dyDescent="0.25">
      <c r="A9800" s="412"/>
      <c r="B9800" s="422" t="s">
        <v>674</v>
      </c>
      <c r="C9800" s="422"/>
      <c r="D9800" s="415"/>
      <c r="E9800" s="415"/>
      <c r="F9800" s="415"/>
      <c r="G9800" s="415"/>
      <c r="H9800" s="416"/>
    </row>
    <row r="9801" spans="1:20" ht="15.75" customHeight="1" x14ac:dyDescent="0.25">
      <c r="A9801" s="412" t="s">
        <v>55</v>
      </c>
      <c r="B9801" s="417" t="s">
        <v>931</v>
      </c>
      <c r="C9801" s="418"/>
      <c r="D9801" s="415">
        <v>20</v>
      </c>
      <c r="E9801" s="415">
        <v>1</v>
      </c>
      <c r="F9801" s="415">
        <f t="shared" ref="F9801:F9802" si="327">+E9801*D9801</f>
      </c>
      <c r="G9801" s="415">
        <v>1</v>
      </c>
      <c r="H9801" s="416">
        <f>+G9801*F9801</f>
      </c>
      <c r="I9801" s="290"/>
      <c r="J9801" s="290"/>
      <c r="K9801" s="290"/>
      <c r="L9801" s="290"/>
      <c r="M9801" s="290"/>
      <c r="N9801" s="290"/>
      <c r="O9801" s="290"/>
      <c r="P9801" s="290"/>
      <c r="Q9801" s="290"/>
      <c r="R9801" s="290"/>
      <c r="S9801" s="290"/>
      <c r="T9801" s="290"/>
    </row>
    <row r="9802" spans="1:20" ht="15.75" customHeight="1" x14ac:dyDescent="0.25">
      <c r="A9802" s="577" t="s">
        <v>59</v>
      </c>
      <c r="B9802" s="417" t="s">
        <v>1463</v>
      </c>
      <c r="C9802" s="418"/>
      <c r="D9802" s="415">
        <v>2</v>
      </c>
      <c r="E9802" s="415">
        <v>10</v>
      </c>
      <c r="F9802" s="415">
        <f t="shared" si="327"/>
      </c>
      <c r="G9802" s="415" t="s">
        <v>1435</v>
      </c>
      <c r="H9802" s="855"/>
    </row>
    <row r="9803" spans="1:20" ht="15.75" customHeight="1" x14ac:dyDescent="0.25">
      <c r="A9803" s="425"/>
      <c r="B9803" s="426"/>
      <c r="C9803" s="390"/>
      <c r="D9803" s="427"/>
      <c r="E9803" s="427"/>
      <c r="F9803" s="428"/>
      <c r="G9803" s="427"/>
      <c r="H9803" s="429"/>
    </row>
    <row r="9804" spans="1:20" ht="15.75" customHeight="1" x14ac:dyDescent="0.25">
      <c r="A9804" s="425"/>
      <c r="B9804" s="426"/>
      <c r="C9804" s="390"/>
      <c r="D9804" s="427"/>
      <c r="E9804" s="427"/>
      <c r="F9804" s="428"/>
      <c r="G9804" s="427"/>
      <c r="H9804" s="429"/>
    </row>
    <row r="9805" spans="1:20" ht="15.75" customHeight="1" x14ac:dyDescent="0.25">
      <c r="A9805" s="425"/>
      <c r="B9805" s="426"/>
      <c r="C9805" s="390"/>
      <c r="D9805" s="427"/>
      <c r="E9805" s="427"/>
      <c r="F9805" s="428"/>
      <c r="G9805" s="427"/>
      <c r="H9805" s="429"/>
    </row>
    <row r="9806" spans="1:20" ht="15.75" customHeight="1" x14ac:dyDescent="0.25">
      <c r="A9806" s="425"/>
      <c r="B9806" s="426"/>
      <c r="C9806" s="390"/>
      <c r="D9806" s="427"/>
      <c r="E9806" s="427"/>
      <c r="F9806" s="428"/>
      <c r="G9806" s="427"/>
      <c r="H9806" s="429"/>
    </row>
    <row r="9807" spans="1:20" ht="15.75" customHeight="1" x14ac:dyDescent="0.25">
      <c r="A9807" s="425"/>
      <c r="B9807" s="426"/>
      <c r="C9807" s="390"/>
      <c r="D9807" s="427"/>
      <c r="E9807" s="427"/>
      <c r="F9807" s="428"/>
      <c r="G9807" s="427"/>
      <c r="H9807" s="429"/>
    </row>
    <row r="9808" spans="1:20" ht="15.75" customHeight="1" x14ac:dyDescent="0.25">
      <c r="A9808" s="425"/>
      <c r="B9808" s="426"/>
      <c r="C9808" s="390"/>
      <c r="D9808" s="427"/>
      <c r="E9808" s="427"/>
      <c r="F9808" s="428"/>
      <c r="G9808" s="427"/>
      <c r="H9808" s="429"/>
    </row>
    <row r="9809" spans="1:8" ht="15.75" customHeight="1" x14ac:dyDescent="0.25">
      <c r="A9809" s="425"/>
      <c r="B9809" s="426"/>
      <c r="C9809" s="390"/>
      <c r="D9809" s="427"/>
      <c r="E9809" s="427"/>
      <c r="F9809" s="428"/>
      <c r="G9809" s="427"/>
      <c r="H9809" s="429"/>
    </row>
    <row r="9810" spans="1:8" ht="15.75" customHeight="1" x14ac:dyDescent="0.25">
      <c r="A9810" s="425"/>
      <c r="B9810" s="426"/>
      <c r="C9810" s="390"/>
      <c r="D9810" s="427"/>
      <c r="E9810" s="427"/>
      <c r="F9810" s="428"/>
      <c r="G9810" s="427"/>
      <c r="H9810" s="429"/>
    </row>
    <row r="9811" spans="1:8" ht="15.75" customHeight="1" x14ac:dyDescent="0.25">
      <c r="A9811" s="425"/>
      <c r="B9811" s="426"/>
      <c r="C9811" s="390"/>
      <c r="D9811" s="427"/>
      <c r="E9811" s="427"/>
      <c r="F9811" s="428"/>
      <c r="G9811" s="427"/>
      <c r="H9811" s="429"/>
    </row>
    <row r="9812" spans="1:8" ht="15.75" customHeight="1" x14ac:dyDescent="0.25">
      <c r="A9812" s="425"/>
      <c r="B9812" s="426"/>
      <c r="C9812" s="390"/>
      <c r="D9812" s="427"/>
      <c r="E9812" s="427"/>
      <c r="F9812" s="428"/>
      <c r="G9812" s="427"/>
      <c r="H9812" s="429"/>
    </row>
    <row r="9813" spans="1:8" ht="15.75" customHeight="1" x14ac:dyDescent="0.25">
      <c r="A9813" s="430"/>
      <c r="B9813" s="409"/>
      <c r="C9813" s="393"/>
      <c r="D9813" s="427"/>
      <c r="E9813" s="427"/>
      <c r="F9813" s="428"/>
      <c r="G9813" s="431"/>
      <c r="H9813" s="429"/>
    </row>
    <row r="9814" spans="1:8" ht="15.75" customHeight="1" x14ac:dyDescent="0.25">
      <c r="A9814" s="432"/>
      <c r="B9814" s="433"/>
      <c r="C9814" s="434" t="s">
        <v>85</v>
      </c>
      <c r="D9814" s="435">
        <f>SUM(D9800:D9813)</f>
      </c>
      <c r="E9814" s="435"/>
      <c r="F9814" s="436"/>
      <c r="G9814" s="437"/>
      <c r="H9814" s="438">
        <f>SUM(H9800:H9813)</f>
      </c>
    </row>
    <row r="9815" spans="1:8" ht="15.75" customHeight="1" x14ac:dyDescent="0.25">
      <c r="A9815" s="439"/>
      <c r="B9815" s="440"/>
      <c r="C9815" s="440"/>
      <c r="D9815" s="441"/>
      <c r="E9815" s="440"/>
      <c r="F9815" s="442"/>
      <c r="G9815" s="443"/>
      <c r="H9815" s="444"/>
    </row>
    <row r="9816" spans="1:8" ht="15.75" customHeight="1" x14ac:dyDescent="0.25">
      <c r="A9816" s="392" t="s">
        <v>913</v>
      </c>
      <c r="B9816" s="391"/>
      <c r="C9816" s="391"/>
      <c r="D9816" s="391"/>
      <c r="E9816" s="390"/>
      <c r="F9816" s="392"/>
      <c r="G9816" s="390"/>
      <c r="H9816" s="394"/>
    </row>
    <row r="9817" spans="1:8" ht="15.75" customHeight="1" x14ac:dyDescent="0.25">
      <c r="A9817" s="445"/>
      <c r="B9817" s="445"/>
      <c r="C9817" s="445"/>
      <c r="D9817" s="446" t="s">
        <v>97</v>
      </c>
      <c r="E9817" s="445" t="s">
        <v>98</v>
      </c>
      <c r="F9817" s="445"/>
      <c r="G9817" s="390"/>
      <c r="H9817" s="394"/>
    </row>
    <row r="9818" spans="1:8" ht="15.75" customHeight="1" x14ac:dyDescent="0.25">
      <c r="A9818" s="390"/>
      <c r="B9818" s="390"/>
      <c r="C9818" s="390"/>
      <c r="D9818" s="391"/>
      <c r="E9818" s="390"/>
      <c r="F9818" s="390"/>
      <c r="G9818" s="390"/>
      <c r="H9818" s="394"/>
    </row>
    <row r="9819" spans="1:8" ht="15.75" customHeight="1" x14ac:dyDescent="0.25">
      <c r="A9819" s="390"/>
      <c r="B9819" s="390"/>
      <c r="C9819" s="390"/>
      <c r="D9819" s="391"/>
      <c r="E9819" s="390"/>
      <c r="F9819" s="390"/>
      <c r="G9819" s="390"/>
      <c r="H9819" s="394"/>
    </row>
    <row r="9820" spans="1:8" ht="15.75" customHeight="1" x14ac:dyDescent="0.25">
      <c r="A9820" s="445"/>
      <c r="B9820" s="445"/>
      <c r="C9820" s="445"/>
      <c r="D9820" s="446"/>
      <c r="E9820" s="445" t="s">
        <v>99</v>
      </c>
      <c r="F9820" s="445"/>
      <c r="G9820" s="390"/>
      <c r="H9820" s="394"/>
    </row>
    <row r="9821" spans="1:8" ht="15.75" customHeight="1" x14ac:dyDescent="0.25">
      <c r="D9821" s="4"/>
      <c r="H9821" s="4"/>
    </row>
    <row r="9822" spans="1:8" ht="15.75" customHeight="1" x14ac:dyDescent="0.25">
      <c r="D9822" s="4"/>
      <c r="H9822" s="4"/>
    </row>
    <row r="9823" spans="1:8" ht="15.75" customHeight="1" x14ac:dyDescent="0.25">
      <c r="D9823" s="4"/>
      <c r="H9823" s="4"/>
    </row>
    <row r="9824" spans="1:8" ht="15.75" customHeight="1" x14ac:dyDescent="0.25">
      <c r="D9824" s="4"/>
      <c r="H9824" s="4"/>
    </row>
    <row r="9825" spans="1:8" ht="15.75" customHeight="1" x14ac:dyDescent="0.25">
      <c r="D9825" s="4"/>
      <c r="H9825" s="4"/>
    </row>
    <row r="9826" spans="1:8" ht="15.75" customHeight="1" x14ac:dyDescent="0.25">
      <c r="D9826" s="4"/>
      <c r="H9826" s="4"/>
    </row>
    <row r="9827" spans="1:8" ht="15.75" customHeight="1" x14ac:dyDescent="0.25">
      <c r="D9827" s="4"/>
      <c r="H9827" s="4"/>
    </row>
    <row r="9828" spans="1:8" ht="15.75" customHeight="1" x14ac:dyDescent="0.25">
      <c r="D9828" s="4"/>
      <c r="H9828" s="4"/>
    </row>
    <row r="9829" spans="1:8" ht="15.75" customHeight="1" x14ac:dyDescent="0.25">
      <c r="D9829" s="4"/>
      <c r="H9829" s="4"/>
    </row>
    <row r="9830" spans="1:8" ht="15.75" customHeight="1" x14ac:dyDescent="0.25">
      <c r="A9830" s="392" t="s">
        <v>14</v>
      </c>
      <c r="B9830" s="391"/>
      <c r="C9830" s="391"/>
      <c r="D9830" s="391"/>
      <c r="E9830" s="391"/>
      <c r="F9830" s="391"/>
      <c r="G9830" s="391"/>
      <c r="H9830" s="394"/>
    </row>
    <row r="9831" spans="1:8" ht="15.75" customHeight="1" x14ac:dyDescent="0.25">
      <c r="A9831" s="392"/>
      <c r="B9831" s="391"/>
      <c r="C9831" s="391"/>
      <c r="D9831" s="391"/>
      <c r="E9831" s="390"/>
      <c r="F9831" s="392"/>
      <c r="G9831" s="390"/>
      <c r="H9831" s="394"/>
    </row>
    <row r="9832" spans="1:8" ht="15.75" customHeight="1" x14ac:dyDescent="0.25">
      <c r="A9832" s="392"/>
      <c r="B9832" s="391"/>
      <c r="C9832" s="391"/>
      <c r="D9832" s="391"/>
      <c r="E9832" s="390"/>
      <c r="F9832" s="392"/>
      <c r="G9832" s="390"/>
      <c r="H9832" s="394"/>
    </row>
    <row r="9833" spans="1:8" ht="15.75" customHeight="1" x14ac:dyDescent="0.25">
      <c r="A9833" s="390" t="s">
        <v>20</v>
      </c>
      <c r="B9833" s="390"/>
      <c r="C9833" s="390"/>
      <c r="D9833" s="391"/>
      <c r="E9833" s="390"/>
      <c r="F9833" s="392"/>
      <c r="G9833" s="390"/>
      <c r="H9833" s="394"/>
    </row>
    <row r="9834" spans="1:8" ht="15.75" customHeight="1" x14ac:dyDescent="0.3">
      <c r="A9834" s="390" t="inlineStr">
        <is>
          <t>Dealer-002</t>
        </is>
      </c>
      <c r="B9834" s="390"/>
      <c r="C9834" s="390"/>
      <c r="D9834" s="391"/>
      <c r="E9834" s="390"/>
      <c r="F9834" s="395" t="s">
        <v>18</v>
      </c>
      <c r="G9834" s="23" t="s">
        <v>1026</v>
      </c>
      <c r="H9834" s="394"/>
    </row>
    <row r="9835" spans="1:8" ht="15.75" customHeight="1" x14ac:dyDescent="0.25">
      <c r="A9835" s="390" t="inlineStr">
        <is>
          <t>Address line (redacted)</t>
        </is>
      </c>
      <c r="B9835" s="390"/>
      <c r="C9835" s="390"/>
      <c r="D9835" s="391"/>
      <c r="E9835" s="390"/>
      <c r="F9835" s="393" t="s">
        <v>21</v>
      </c>
      <c r="G9835" s="390" t="s">
        <v>1918</v>
      </c>
      <c r="H9835" s="394"/>
    </row>
    <row r="9836" spans="1:8" ht="15.75" customHeight="1" x14ac:dyDescent="0.25">
      <c r="A9836" s="390" t="inlineStr">
        <is>
          <t>Address line (redacted)</t>
        </is>
      </c>
      <c r="B9836" s="390"/>
      <c r="C9836" s="390"/>
      <c r="D9836" s="391"/>
      <c r="E9836" s="390"/>
      <c r="F9836" s="391"/>
      <c r="G9836" s="390"/>
      <c r="H9836" s="394"/>
    </row>
    <row r="9837" spans="1:8" ht="15.75" customHeight="1" x14ac:dyDescent="0.25">
      <c r="A9837" s="390"/>
      <c r="B9837" s="390"/>
      <c r="C9837" s="393"/>
      <c r="D9837" s="391"/>
      <c r="E9837" s="390"/>
      <c r="F9837" s="391"/>
      <c r="G9837" s="390"/>
      <c r="H9837" s="394"/>
    </row>
    <row r="9838" spans="1:8" ht="15.75" customHeight="1" x14ac:dyDescent="0.25">
      <c r="A9838" s="390"/>
      <c r="B9838" s="390"/>
      <c r="C9838" s="390"/>
      <c r="D9838" s="391"/>
      <c r="E9838" s="390"/>
      <c r="F9838" s="391"/>
      <c r="G9838" s="390"/>
      <c r="H9838" s="394"/>
    </row>
    <row r="9839" spans="1:8" ht="15.75" customHeight="1" x14ac:dyDescent="0.25">
      <c r="A9839" s="390" t="s">
        <v>30</v>
      </c>
      <c r="B9839" s="390"/>
      <c r="C9839" s="390"/>
      <c r="D9839" s="391"/>
      <c r="E9839" s="390"/>
      <c r="F9839" s="391"/>
      <c r="G9839" s="390"/>
      <c r="H9839" s="394"/>
    </row>
    <row r="9840" spans="1:8" ht="15.75" customHeight="1" x14ac:dyDescent="0.25">
      <c r="A9840" s="390"/>
      <c r="B9840" s="390"/>
      <c r="C9840" s="390"/>
      <c r="D9840" s="391"/>
      <c r="E9840" s="390"/>
      <c r="F9840" s="391"/>
      <c r="G9840" s="390"/>
      <c r="H9840" s="394"/>
    </row>
    <row r="9841" spans="1:8" ht="15.75" customHeight="1" x14ac:dyDescent="0.25">
      <c r="A9841" s="390" t="s">
        <v>1322</v>
      </c>
      <c r="B9841" s="390"/>
      <c r="C9841" s="390"/>
      <c r="D9841" s="391"/>
      <c r="E9841" s="390"/>
      <c r="F9841" s="391"/>
      <c r="G9841" s="390"/>
      <c r="H9841" s="394"/>
    </row>
    <row r="9842" spans="1:8" ht="15.75" customHeight="1" x14ac:dyDescent="0.25">
      <c r="A9842" s="390" t="s">
        <v>1328</v>
      </c>
      <c r="B9842" s="390"/>
      <c r="C9842" s="390"/>
      <c r="D9842" s="391"/>
      <c r="E9842" s="390"/>
      <c r="F9842" s="391"/>
      <c r="G9842" s="390"/>
      <c r="H9842" s="394"/>
    </row>
    <row r="9843" spans="1:8" ht="15.75" customHeight="1" x14ac:dyDescent="0.25">
      <c r="A9843" s="390"/>
      <c r="B9843" s="390"/>
      <c r="C9843" s="390"/>
      <c r="D9843" s="391"/>
      <c r="E9843" s="390"/>
      <c r="F9843" s="391"/>
      <c r="G9843" s="390"/>
      <c r="H9843" s="394"/>
    </row>
    <row r="9844" spans="1:8" ht="15.75" customHeight="1" x14ac:dyDescent="0.25">
      <c r="A9844" s="399" t="s">
        <v>33</v>
      </c>
      <c r="B9844" s="400" t="s">
        <v>6</v>
      </c>
      <c r="C9844" s="400"/>
      <c r="D9844" s="401" t="s">
        <v>37</v>
      </c>
      <c r="E9844" s="402" t="s">
        <v>1309</v>
      </c>
      <c r="F9844" s="609" t="s">
        <v>7</v>
      </c>
      <c r="G9844" s="400" t="s">
        <v>43</v>
      </c>
      <c r="H9844" s="405" t="s">
        <v>44</v>
      </c>
    </row>
    <row r="9845" spans="1:8" ht="15.75" customHeight="1" x14ac:dyDescent="0.25">
      <c r="A9845" s="610"/>
      <c r="B9845" s="611"/>
      <c r="C9845" s="611"/>
      <c r="D9845" s="612"/>
      <c r="E9845" s="613"/>
      <c r="F9845" s="614"/>
      <c r="G9845" s="611"/>
      <c r="H9845" s="615"/>
    </row>
    <row r="9846" spans="1:8" ht="15.75" customHeight="1" x14ac:dyDescent="0.25">
      <c r="A9846" s="412"/>
      <c r="B9846" s="654" t="s">
        <v>1356</v>
      </c>
      <c r="C9846" s="654"/>
      <c r="D9846" s="415"/>
      <c r="E9846" s="415"/>
      <c r="F9846" s="415"/>
      <c r="G9846" s="415"/>
      <c r="H9846" s="416"/>
    </row>
    <row r="9847" spans="1:8" ht="15.75" customHeight="1" x14ac:dyDescent="0.25">
      <c r="A9847" s="581" t="s">
        <v>55</v>
      </c>
      <c r="B9847" s="582" t="s">
        <v>618</v>
      </c>
      <c r="C9847" s="582" t="s">
        <v>87</v>
      </c>
      <c r="D9847" s="415">
        <v>2</v>
      </c>
      <c r="E9847" s="415">
        <v>5</v>
      </c>
      <c r="F9847" s="415">
        <f t="shared" ref="F9847:F9850" si="328">+E9847*D9847</f>
      </c>
      <c r="G9847" s="415">
        <v>1</v>
      </c>
      <c r="H9847" s="589">
        <f t="shared" ref="H9847:H9850" si="329">+G9847*F9847</f>
      </c>
    </row>
    <row r="9848" spans="1:8" ht="15.75" customHeight="1" x14ac:dyDescent="0.25">
      <c r="A9848" s="581" t="s">
        <v>59</v>
      </c>
      <c r="B9848" s="644" t="s">
        <v>136</v>
      </c>
      <c r="C9848" s="582" t="s">
        <v>334</v>
      </c>
      <c r="D9848" s="415">
        <v>1</v>
      </c>
      <c r="E9848" s="415">
        <v>5</v>
      </c>
      <c r="F9848" s="415">
        <f t="shared" si="328"/>
      </c>
      <c r="G9848" s="415">
        <v>1</v>
      </c>
      <c r="H9848" s="589">
        <f t="shared" si="329"/>
      </c>
    </row>
    <row r="9849" spans="1:8" ht="15.75" customHeight="1" x14ac:dyDescent="0.25">
      <c r="A9849" s="581" t="s">
        <v>67</v>
      </c>
      <c r="B9849" s="644" t="s">
        <v>815</v>
      </c>
      <c r="C9849" s="582" t="s">
        <v>84</v>
      </c>
      <c r="D9849" s="415">
        <v>2</v>
      </c>
      <c r="E9849" s="415">
        <v>5</v>
      </c>
      <c r="F9849" s="415">
        <f t="shared" si="328"/>
      </c>
      <c r="G9849" s="415">
        <v>1</v>
      </c>
      <c r="H9849" s="589">
        <f t="shared" si="329"/>
      </c>
    </row>
    <row r="9850" spans="1:8" ht="15.75" customHeight="1" x14ac:dyDescent="0.25">
      <c r="A9850" s="581" t="s">
        <v>485</v>
      </c>
      <c r="B9850" s="644" t="s">
        <v>1334</v>
      </c>
      <c r="C9850" s="582" t="s">
        <v>331</v>
      </c>
      <c r="D9850" s="415">
        <v>4</v>
      </c>
      <c r="E9850" s="415">
        <v>5</v>
      </c>
      <c r="F9850" s="415">
        <f t="shared" si="328"/>
      </c>
      <c r="G9850" s="415">
        <v>1</v>
      </c>
      <c r="H9850" s="589">
        <f t="shared" si="329"/>
      </c>
    </row>
    <row r="9851" spans="1:8" ht="15.75" customHeight="1" x14ac:dyDescent="0.25">
      <c r="A9851" s="581"/>
      <c r="B9851" s="654" t="s">
        <v>531</v>
      </c>
      <c r="C9851" s="654"/>
      <c r="D9851" s="415"/>
      <c r="E9851" s="415"/>
      <c r="F9851" s="415"/>
      <c r="G9851" s="415"/>
      <c r="H9851" s="589"/>
    </row>
    <row r="9852" spans="1:8" ht="15.75" customHeight="1" x14ac:dyDescent="0.25">
      <c r="A9852" s="581" t="s">
        <v>486</v>
      </c>
      <c r="B9852" s="644" t="s">
        <v>1920</v>
      </c>
      <c r="C9852" s="654"/>
      <c r="D9852" s="415">
        <v>1</v>
      </c>
      <c r="E9852" s="415">
        <v>5</v>
      </c>
      <c r="F9852" s="415">
        <f t="shared" ref="F9852:F9853" si="330">+E9852*D9852</f>
      </c>
      <c r="G9852" s="415">
        <v>1</v>
      </c>
      <c r="H9852" s="589">
        <f t="shared" ref="H9852:H9853" si="331">+G9852*F9852</f>
      </c>
    </row>
    <row r="9853" spans="1:8" ht="15.75" customHeight="1" x14ac:dyDescent="0.25">
      <c r="A9853" s="581" t="s">
        <v>489</v>
      </c>
      <c r="B9853" s="644" t="s">
        <v>2253</v>
      </c>
      <c r="C9853" s="654"/>
      <c r="D9853" s="415">
        <v>1</v>
      </c>
      <c r="E9853" s="415">
        <v>10</v>
      </c>
      <c r="F9853" s="415">
        <f t="shared" si="330"/>
      </c>
      <c r="G9853" s="415">
        <v>1</v>
      </c>
      <c r="H9853" s="589">
        <f t="shared" si="331"/>
      </c>
    </row>
    <row r="9854" spans="1:8" ht="15.75" customHeight="1" x14ac:dyDescent="0.25">
      <c r="A9854" s="581"/>
      <c r="B9854" s="582"/>
      <c r="C9854" s="582"/>
      <c r="D9854" s="415"/>
      <c r="E9854" s="415"/>
      <c r="F9854" s="415"/>
      <c r="G9854" s="415"/>
      <c r="H9854" s="589"/>
    </row>
    <row r="9855" spans="1:8" ht="15.75" customHeight="1" x14ac:dyDescent="0.25">
      <c r="A9855" s="430"/>
      <c r="B9855" s="409"/>
      <c r="C9855" s="393"/>
      <c r="D9855" s="427"/>
      <c r="E9855" s="427"/>
      <c r="F9855" s="428"/>
      <c r="G9855" s="427"/>
      <c r="H9855" s="429"/>
    </row>
    <row r="9856" spans="1:8" ht="15.75" customHeight="1" x14ac:dyDescent="0.25">
      <c r="A9856" s="432"/>
      <c r="B9856" s="433"/>
      <c r="C9856" s="434" t="s">
        <v>85</v>
      </c>
      <c r="D9856" s="659">
        <f>SUM(D9847:D9855)</f>
      </c>
      <c r="E9856" s="401"/>
      <c r="F9856" s="660"/>
      <c r="G9856" s="661"/>
      <c r="H9856" s="623">
        <f>SUM(H9846:H9855)</f>
      </c>
    </row>
    <row r="9857" spans="1:8" ht="15.75" customHeight="1" x14ac:dyDescent="0.25">
      <c r="A9857" s="439"/>
      <c r="B9857" s="440"/>
      <c r="C9857" s="440"/>
      <c r="D9857" s="441"/>
      <c r="E9857" s="440"/>
      <c r="F9857" s="442"/>
      <c r="G9857" s="443"/>
      <c r="H9857" s="444"/>
    </row>
    <row r="9858" spans="1:8" ht="15.75" customHeight="1" x14ac:dyDescent="0.25">
      <c r="A9858" s="392"/>
      <c r="B9858" s="391"/>
      <c r="C9858" s="391"/>
      <c r="D9858" s="391"/>
      <c r="E9858" s="390"/>
      <c r="F9858" s="392"/>
      <c r="G9858" s="390"/>
      <c r="H9858" s="394"/>
    </row>
    <row r="9859" spans="1:8" ht="15.75" customHeight="1" x14ac:dyDescent="0.25">
      <c r="A9859" s="445"/>
      <c r="B9859" s="445"/>
      <c r="C9859" s="445"/>
      <c r="D9859" s="446" t="s">
        <v>97</v>
      </c>
      <c r="E9859" s="445" t="s">
        <v>98</v>
      </c>
      <c r="F9859" s="445"/>
      <c r="G9859" s="390"/>
      <c r="H9859" s="394"/>
    </row>
    <row r="9860" spans="1:8" ht="15.75" customHeight="1" x14ac:dyDescent="0.25">
      <c r="A9860" s="390"/>
      <c r="B9860" s="390"/>
      <c r="C9860" s="390"/>
      <c r="D9860" s="391"/>
      <c r="E9860" s="390"/>
      <c r="F9860" s="390"/>
      <c r="G9860" s="390"/>
      <c r="H9860" s="394"/>
    </row>
    <row r="9861" spans="1:8" ht="15.75" customHeight="1" x14ac:dyDescent="0.25">
      <c r="A9861" s="390"/>
      <c r="B9861" s="390"/>
      <c r="C9861" s="390"/>
      <c r="D9861" s="391"/>
      <c r="E9861" s="390"/>
      <c r="F9861" s="390"/>
      <c r="G9861" s="390"/>
      <c r="H9861" s="394"/>
    </row>
    <row r="9862" spans="1:8" ht="15.75" customHeight="1" x14ac:dyDescent="0.25">
      <c r="A9862" s="445"/>
      <c r="B9862" s="445"/>
      <c r="C9862" s="445"/>
      <c r="D9862" s="446"/>
      <c r="E9862" s="445" t="s">
        <v>99</v>
      </c>
      <c r="F9862" s="445"/>
      <c r="G9862" s="390"/>
      <c r="H9862" s="394"/>
    </row>
    <row r="9863" spans="1:8" ht="15.75" customHeight="1" x14ac:dyDescent="0.25">
      <c r="D9863" s="4"/>
      <c r="H9863" s="4"/>
    </row>
    <row r="9864" spans="1:8" ht="15.75" customHeight="1" x14ac:dyDescent="0.25">
      <c r="D9864" s="4"/>
      <c r="H9864" s="4"/>
    </row>
    <row r="9865" spans="1:8" ht="15.75" customHeight="1" x14ac:dyDescent="0.25">
      <c r="D9865" s="4"/>
      <c r="H9865" s="4"/>
    </row>
    <row r="9866" spans="1:8" ht="15.75" customHeight="1" x14ac:dyDescent="0.25">
      <c r="D9866" s="4"/>
      <c r="H9866" s="4"/>
    </row>
    <row r="9867" spans="1:8" ht="15.75" customHeight="1" x14ac:dyDescent="0.25">
      <c r="D9867" s="4"/>
      <c r="H9867" s="4"/>
    </row>
    <row r="9868" spans="1:8" ht="15.75" customHeight="1" x14ac:dyDescent="0.25">
      <c r="D9868" s="4"/>
      <c r="H9868" s="4"/>
    </row>
    <row r="9869" spans="1:8" ht="15.75" customHeight="1" x14ac:dyDescent="0.25">
      <c r="D9869" s="4"/>
      <c r="H9869" s="4"/>
    </row>
    <row r="9870" spans="1:8" ht="15.75" customHeight="1" x14ac:dyDescent="0.25">
      <c r="D9870" s="4"/>
      <c r="H9870" s="4"/>
    </row>
    <row r="9871" spans="1:8" ht="15.75" customHeight="1" x14ac:dyDescent="0.25">
      <c r="D9871" s="4"/>
      <c r="H9871" s="4"/>
    </row>
    <row r="9872" spans="1:8" ht="15.75" customHeight="1" x14ac:dyDescent="0.25">
      <c r="D9872" s="4"/>
      <c r="H9872" s="4"/>
    </row>
    <row r="9873" spans="1:8" ht="15.75" customHeight="1" x14ac:dyDescent="0.25">
      <c r="D9873" s="4"/>
      <c r="H9873" s="4"/>
    </row>
    <row r="9874" spans="1:8" ht="15.75" customHeight="1" x14ac:dyDescent="0.25">
      <c r="D9874" s="4"/>
      <c r="H9874" s="4"/>
    </row>
    <row r="9875" spans="1:8" ht="15.75" customHeight="1" x14ac:dyDescent="0.25">
      <c r="D9875" s="4"/>
      <c r="H9875" s="4"/>
    </row>
    <row r="9876" spans="1:8" ht="15.75" customHeight="1" x14ac:dyDescent="0.25">
      <c r="A9876" s="8" t="s">
        <v>14</v>
      </c>
      <c r="B9876" s="8"/>
      <c r="C9876" s="8"/>
      <c r="D9876" s="8"/>
      <c r="E9876" s="8"/>
      <c r="F9876" s="8"/>
      <c r="G9876" s="8"/>
      <c r="H9876" s="8"/>
    </row>
    <row r="9877" spans="1:8" ht="15.75" customHeight="1" x14ac:dyDescent="0.25">
      <c r="A9877" s="388"/>
      <c r="B9877" s="388"/>
      <c r="C9877" s="388"/>
      <c r="D9877" s="389"/>
      <c r="E9877" s="388"/>
      <c r="F9877" s="388"/>
      <c r="G9877" s="388"/>
      <c r="H9877" s="8"/>
    </row>
    <row r="9878" spans="1:8" ht="15.75" customHeight="1" x14ac:dyDescent="0.25">
      <c r="A9878" s="390"/>
      <c r="B9878" s="390"/>
      <c r="C9878" s="391"/>
      <c r="D9878" s="392"/>
      <c r="E9878" s="393"/>
      <c r="F9878" s="393"/>
      <c r="G9878" s="393"/>
      <c r="H9878" s="394"/>
    </row>
    <row r="9879" spans="1:8" ht="15.75" customHeight="1" x14ac:dyDescent="0.25">
      <c r="A9879" s="390"/>
      <c r="B9879" s="390"/>
      <c r="C9879" s="390"/>
      <c r="D9879" s="391"/>
      <c r="E9879" s="390"/>
      <c r="F9879" s="395" t="s">
        <v>18</v>
      </c>
      <c r="G9879" s="396" t="s">
        <v>1031</v>
      </c>
      <c r="H9879" s="397"/>
    </row>
    <row r="9880" spans="1:8" ht="15.75" customHeight="1" x14ac:dyDescent="0.25">
      <c r="A9880" s="390" t="s">
        <v>20</v>
      </c>
      <c r="B9880" s="390"/>
      <c r="C9880" s="390"/>
      <c r="D9880" s="391"/>
      <c r="E9880" s="390"/>
      <c r="F9880" s="395" t="s">
        <v>21</v>
      </c>
      <c r="G9880" s="390" t="s">
        <v>1922</v>
      </c>
      <c r="H9880" s="391"/>
    </row>
    <row r="9881" spans="1:8" ht="15.75" customHeight="1" x14ac:dyDescent="0.25">
      <c r="A9881" s="390" t="inlineStr">
        <is>
          <t>Dealer-004</t>
        </is>
      </c>
      <c r="B9881" s="390"/>
      <c r="C9881" s="390"/>
      <c r="D9881" s="398"/>
      <c r="E9881" s="390"/>
      <c r="F9881" s="391"/>
      <c r="G9881" s="390"/>
      <c r="H9881" s="394"/>
    </row>
    <row r="9882" spans="1:8" ht="15.75" customHeight="1" x14ac:dyDescent="0.25">
      <c r="A9882" s="390" t="inlineStr">
        <is>
          <t>Address line (redacted)</t>
        </is>
      </c>
      <c r="B9882" s="390"/>
      <c r="C9882" s="390"/>
      <c r="D9882" s="398"/>
      <c r="E9882" s="390"/>
      <c r="F9882" s="391"/>
      <c r="G9882" s="390"/>
      <c r="H9882" s="394"/>
    </row>
    <row r="9883" spans="1:8" ht="15.75" customHeight="1" x14ac:dyDescent="0.25">
      <c r="A9883" s="390" t="inlineStr">
        <is>
          <t>Address line (redacted)</t>
        </is>
      </c>
      <c r="B9883" s="390"/>
      <c r="C9883" s="390"/>
      <c r="D9883" s="391"/>
      <c r="E9883" s="390"/>
      <c r="F9883" s="391"/>
      <c r="G9883" s="390"/>
      <c r="H9883" s="394"/>
    </row>
    <row r="9884" spans="1:8" ht="15.75" customHeight="1" x14ac:dyDescent="0.25">
      <c r="A9884" s="390"/>
      <c r="B9884" s="390"/>
      <c r="C9884" s="390"/>
      <c r="D9884" s="391"/>
      <c r="E9884" s="390"/>
      <c r="F9884" s="391"/>
      <c r="G9884" s="390"/>
      <c r="H9884" s="394"/>
    </row>
    <row r="9885" spans="1:8" ht="15.75" customHeight="1" x14ac:dyDescent="0.25">
      <c r="A9885" s="390" t="s">
        <v>30</v>
      </c>
      <c r="B9885" s="390"/>
      <c r="C9885" s="390"/>
      <c r="D9885" s="391"/>
      <c r="E9885" s="390"/>
      <c r="F9885" s="391"/>
      <c r="G9885" s="390"/>
      <c r="H9885" s="394"/>
    </row>
    <row r="9886" spans="1:8" ht="15.75" customHeight="1" x14ac:dyDescent="0.25">
      <c r="A9886" s="390"/>
      <c r="B9886" s="390"/>
      <c r="C9886" s="390"/>
      <c r="D9886" s="391"/>
      <c r="E9886" s="390"/>
      <c r="F9886" s="391"/>
      <c r="G9886" s="390"/>
      <c r="H9886" s="394"/>
    </row>
    <row r="9887" spans="1:8" ht="15.75" customHeight="1" x14ac:dyDescent="0.25">
      <c r="A9887" s="390" t="s">
        <v>716</v>
      </c>
      <c r="B9887" s="390"/>
      <c r="C9887" s="390"/>
      <c r="D9887" s="391"/>
      <c r="E9887" s="390"/>
      <c r="F9887" s="391"/>
      <c r="G9887" s="390"/>
      <c r="H9887" s="394"/>
    </row>
    <row r="9888" spans="1:8" ht="15.75" customHeight="1" x14ac:dyDescent="0.25">
      <c r="A9888" s="390" t="s">
        <v>717</v>
      </c>
      <c r="B9888" s="390"/>
      <c r="C9888" s="390"/>
      <c r="D9888" s="391"/>
      <c r="E9888" s="390"/>
      <c r="F9888" s="391"/>
      <c r="G9888" s="390"/>
      <c r="H9888" s="394"/>
    </row>
    <row r="9889" spans="1:8" ht="15.75" customHeight="1" x14ac:dyDescent="0.25">
      <c r="A9889" s="390"/>
      <c r="B9889" s="390"/>
      <c r="C9889" s="390"/>
      <c r="D9889" s="391"/>
      <c r="E9889" s="390"/>
      <c r="F9889" s="391"/>
      <c r="G9889" s="390"/>
      <c r="H9889" s="394"/>
    </row>
    <row r="9890" spans="1:8" ht="15.75" customHeight="1" x14ac:dyDescent="0.25">
      <c r="A9890" s="399" t="s">
        <v>33</v>
      </c>
      <c r="B9890" s="400" t="s">
        <v>6</v>
      </c>
      <c r="C9890" s="400"/>
      <c r="D9890" s="401" t="s">
        <v>37</v>
      </c>
      <c r="E9890" s="402" t="s">
        <v>38</v>
      </c>
      <c r="F9890" s="403" t="s">
        <v>7</v>
      </c>
      <c r="G9890" s="404" t="s">
        <v>43</v>
      </c>
      <c r="H9890" s="405" t="s">
        <v>44</v>
      </c>
    </row>
    <row r="9891" spans="1:8" ht="15.75" customHeight="1" x14ac:dyDescent="0.25">
      <c r="A9891" s="406"/>
      <c r="B9891" s="407"/>
      <c r="C9891" s="393"/>
      <c r="D9891" s="408"/>
      <c r="E9891" s="408"/>
      <c r="F9891" s="409"/>
      <c r="G9891" s="410"/>
      <c r="H9891" s="411"/>
    </row>
    <row r="9892" spans="1:8" ht="15.75" customHeight="1" x14ac:dyDescent="0.25">
      <c r="A9892" s="412"/>
      <c r="B9892" s="422" t="s">
        <v>674</v>
      </c>
      <c r="C9892" s="422"/>
      <c r="D9892" s="415"/>
      <c r="E9892" s="415"/>
      <c r="F9892" s="415"/>
      <c r="G9892" s="415"/>
      <c r="H9892" s="416"/>
    </row>
    <row r="9893" spans="1:8" ht="15.75" customHeight="1" x14ac:dyDescent="0.25">
      <c r="A9893" s="412" t="s">
        <v>55</v>
      </c>
      <c r="B9893" s="417" t="s">
        <v>239</v>
      </c>
      <c r="C9893" s="418"/>
      <c r="D9893" s="415">
        <v>5</v>
      </c>
      <c r="E9893" s="415">
        <v>2</v>
      </c>
      <c r="F9893" s="415">
        <f>+E9893*D9893</f>
      </c>
      <c r="G9893" s="415">
        <v>1</v>
      </c>
      <c r="H9893" s="416">
        <f>+G9893*F9893</f>
      </c>
    </row>
    <row r="9894" spans="1:8" ht="15.75" customHeight="1" x14ac:dyDescent="0.25">
      <c r="A9894" s="412" t="s">
        <v>59</v>
      </c>
      <c r="B9894" s="417" t="s">
        <v>239</v>
      </c>
      <c r="C9894" s="418"/>
      <c r="D9894" s="415">
        <v>1</v>
      </c>
      <c r="E9894" s="415">
        <v>1</v>
      </c>
      <c r="F9894" s="415">
        <v>1</v>
      </c>
      <c r="G9894" s="619" t="s">
        <v>1856</v>
      </c>
      <c r="H9894" s="706"/>
    </row>
    <row r="9895" spans="1:8" ht="15.75" customHeight="1" x14ac:dyDescent="0.25">
      <c r="A9895" s="412"/>
      <c r="B9895" s="422" t="s">
        <v>1102</v>
      </c>
      <c r="C9895" s="422"/>
      <c r="D9895" s="415"/>
      <c r="E9895" s="415"/>
      <c r="F9895" s="415"/>
      <c r="G9895" s="415"/>
      <c r="H9895" s="416"/>
    </row>
    <row r="9896" spans="1:8" ht="15.75" customHeight="1" x14ac:dyDescent="0.25">
      <c r="A9896" s="412" t="s">
        <v>67</v>
      </c>
      <c r="B9896" s="417" t="s">
        <v>80</v>
      </c>
      <c r="C9896" s="418" t="s">
        <v>77</v>
      </c>
      <c r="D9896" s="415">
        <v>1</v>
      </c>
      <c r="E9896" s="415">
        <v>5</v>
      </c>
      <c r="F9896" s="415">
        <f t="shared" ref="F9896:F9898" si="332">+E9896*D9896</f>
      </c>
      <c r="G9896" s="415">
        <v>1</v>
      </c>
      <c r="H9896" s="416">
        <f t="shared" ref="H9896:H9898" si="333">+G9896*F9896</f>
      </c>
    </row>
    <row r="9897" spans="1:8" ht="15.75" customHeight="1" x14ac:dyDescent="0.25">
      <c r="A9897" s="412" t="s">
        <v>485</v>
      </c>
      <c r="B9897" s="417" t="s">
        <v>135</v>
      </c>
      <c r="C9897" s="418" t="s">
        <v>333</v>
      </c>
      <c r="D9897" s="415">
        <v>1</v>
      </c>
      <c r="E9897" s="415">
        <v>5</v>
      </c>
      <c r="F9897" s="415">
        <f t="shared" si="332"/>
      </c>
      <c r="G9897" s="415">
        <v>1</v>
      </c>
      <c r="H9897" s="416">
        <f t="shared" si="333"/>
      </c>
    </row>
    <row r="9898" spans="1:8" ht="15.75" customHeight="1" x14ac:dyDescent="0.25">
      <c r="A9898" s="412" t="s">
        <v>486</v>
      </c>
      <c r="B9898" s="417" t="s">
        <v>145</v>
      </c>
      <c r="C9898" s="418" t="s">
        <v>341</v>
      </c>
      <c r="D9898" s="415">
        <v>1</v>
      </c>
      <c r="E9898" s="415">
        <v>5</v>
      </c>
      <c r="F9898" s="415">
        <f t="shared" si="332"/>
      </c>
      <c r="G9898" s="415">
        <v>1</v>
      </c>
      <c r="H9898" s="416">
        <f t="shared" si="333"/>
      </c>
    </row>
    <row r="9899" spans="1:8" ht="15.75" customHeight="1" x14ac:dyDescent="0.25">
      <c r="A9899" s="412"/>
      <c r="B9899" s="422" t="s">
        <v>1868</v>
      </c>
      <c r="C9899" s="422"/>
      <c r="D9899" s="415"/>
      <c r="E9899" s="415"/>
      <c r="F9899" s="415"/>
      <c r="G9899" s="415"/>
      <c r="H9899" s="416"/>
    </row>
    <row r="9900" spans="1:8" ht="15.75" customHeight="1" x14ac:dyDescent="0.25">
      <c r="A9900" s="581" t="s">
        <v>489</v>
      </c>
      <c r="B9900" s="417" t="s">
        <v>1628</v>
      </c>
      <c r="C9900" s="418"/>
      <c r="D9900" s="415">
        <v>2</v>
      </c>
      <c r="E9900" s="415">
        <v>10</v>
      </c>
      <c r="F9900" s="415">
        <f>+E9900*D9900</f>
      </c>
      <c r="G9900" s="856">
        <v>1</v>
      </c>
      <c r="H9900" s="857">
        <f>+G9900*F9900</f>
      </c>
    </row>
    <row r="9901" spans="1:8" ht="15.75" customHeight="1" x14ac:dyDescent="0.25">
      <c r="A9901" s="425"/>
      <c r="B9901" s="426"/>
      <c r="C9901" s="390"/>
      <c r="D9901" s="427"/>
      <c r="E9901" s="427"/>
      <c r="F9901" s="428"/>
      <c r="G9901" s="427"/>
      <c r="H9901" s="429"/>
    </row>
    <row r="9902" spans="1:8" ht="15.75" customHeight="1" x14ac:dyDescent="0.25">
      <c r="A9902" s="425"/>
      <c r="B9902" s="426"/>
      <c r="C9902" s="390"/>
      <c r="D9902" s="427"/>
      <c r="E9902" s="427"/>
      <c r="F9902" s="428"/>
      <c r="G9902" s="427"/>
      <c r="H9902" s="429"/>
    </row>
    <row r="9903" spans="1:8" ht="15.75" customHeight="1" x14ac:dyDescent="0.25">
      <c r="A9903" s="425"/>
      <c r="B9903" s="426"/>
      <c r="C9903" s="390"/>
      <c r="D9903" s="427"/>
      <c r="E9903" s="427"/>
      <c r="F9903" s="428"/>
      <c r="G9903" s="427"/>
      <c r="H9903" s="429"/>
    </row>
    <row r="9904" spans="1:8" ht="15.75" customHeight="1" x14ac:dyDescent="0.25">
      <c r="A9904" s="425"/>
      <c r="B9904" s="426"/>
      <c r="C9904" s="390"/>
      <c r="D9904" s="427"/>
      <c r="E9904" s="427"/>
      <c r="F9904" s="428"/>
      <c r="G9904" s="427"/>
      <c r="H9904" s="429"/>
    </row>
    <row r="9905" spans="1:8" ht="15.75" customHeight="1" x14ac:dyDescent="0.25">
      <c r="A9905" s="430"/>
      <c r="B9905" s="409"/>
      <c r="C9905" s="393"/>
      <c r="D9905" s="427"/>
      <c r="E9905" s="427"/>
      <c r="F9905" s="428"/>
      <c r="G9905" s="431"/>
      <c r="H9905" s="429"/>
    </row>
    <row r="9906" spans="1:8" ht="15.75" customHeight="1" x14ac:dyDescent="0.25">
      <c r="A9906" s="432"/>
      <c r="B9906" s="433"/>
      <c r="C9906" s="434" t="s">
        <v>85</v>
      </c>
      <c r="D9906" s="435">
        <f>SUM(D9892:D9905)</f>
      </c>
      <c r="E9906" s="435"/>
      <c r="F9906" s="436"/>
      <c r="G9906" s="437"/>
      <c r="H9906" s="438">
        <f>SUM(H9893:H9905)</f>
      </c>
    </row>
    <row r="9907" spans="1:8" ht="15.75" customHeight="1" x14ac:dyDescent="0.25">
      <c r="A9907" s="439"/>
      <c r="B9907" s="440"/>
      <c r="C9907" s="440"/>
      <c r="D9907" s="441"/>
      <c r="E9907" s="440"/>
      <c r="F9907" s="442"/>
      <c r="G9907" s="443"/>
      <c r="H9907" s="444"/>
    </row>
    <row r="9908" spans="1:8" ht="15.75" customHeight="1" x14ac:dyDescent="0.25">
      <c r="A9908" s="392" t="s">
        <v>913</v>
      </c>
      <c r="B9908" s="391"/>
      <c r="C9908" s="391"/>
      <c r="D9908" s="391"/>
      <c r="E9908" s="390"/>
      <c r="F9908" s="392"/>
      <c r="G9908" s="390"/>
      <c r="H9908" s="394"/>
    </row>
    <row r="9909" spans="1:8" ht="15.75" customHeight="1" x14ac:dyDescent="0.25">
      <c r="A9909" s="445"/>
      <c r="B9909" s="445"/>
      <c r="C9909" s="445"/>
      <c r="D9909" s="446" t="s">
        <v>97</v>
      </c>
      <c r="E9909" s="445" t="s">
        <v>98</v>
      </c>
      <c r="F9909" s="445"/>
      <c r="G9909" s="390"/>
      <c r="H9909" s="394"/>
    </row>
    <row r="9910" spans="1:8" ht="15.75" customHeight="1" x14ac:dyDescent="0.25">
      <c r="A9910" s="390"/>
      <c r="B9910" s="390"/>
      <c r="C9910" s="390"/>
      <c r="D9910" s="391"/>
      <c r="E9910" s="390"/>
      <c r="F9910" s="390"/>
      <c r="G9910" s="390"/>
      <c r="H9910" s="394"/>
    </row>
    <row r="9911" spans="1:8" ht="15.75" customHeight="1" x14ac:dyDescent="0.25">
      <c r="A9911" s="390"/>
      <c r="B9911" s="390"/>
      <c r="C9911" s="390"/>
      <c r="D9911" s="391"/>
      <c r="E9911" s="390"/>
      <c r="F9911" s="390"/>
      <c r="G9911" s="390"/>
      <c r="H9911" s="394"/>
    </row>
    <row r="9912" spans="1:8" ht="15.75" customHeight="1" x14ac:dyDescent="0.25">
      <c r="A9912" s="445"/>
      <c r="B9912" s="445"/>
      <c r="C9912" s="445"/>
      <c r="D9912" s="446"/>
      <c r="E9912" s="445" t="s">
        <v>99</v>
      </c>
      <c r="F9912" s="445"/>
      <c r="G9912" s="390"/>
      <c r="H9912" s="394"/>
    </row>
    <row r="9913" spans="1:8" ht="15.75" customHeight="1" x14ac:dyDescent="0.25">
      <c r="D9913" s="4"/>
      <c r="H9913" s="4"/>
    </row>
    <row r="9914" spans="1:8" ht="15.75" customHeight="1" x14ac:dyDescent="0.25">
      <c r="D9914" s="4"/>
      <c r="H9914" s="4"/>
    </row>
    <row r="9915" spans="1:8" ht="15.75" customHeight="1" x14ac:dyDescent="0.25">
      <c r="D9915" s="4"/>
      <c r="H9915" s="4"/>
    </row>
    <row r="9916" spans="1:8" ht="15.75" customHeight="1" x14ac:dyDescent="0.25">
      <c r="D9916" s="4"/>
      <c r="H9916" s="4"/>
    </row>
    <row r="9917" spans="1:8" ht="15.75" customHeight="1" x14ac:dyDescent="0.25">
      <c r="D9917" s="4"/>
      <c r="H9917" s="4"/>
    </row>
    <row r="9918" spans="1:8" ht="15.75" customHeight="1" x14ac:dyDescent="0.25">
      <c r="D9918" s="4"/>
      <c r="H9918" s="4"/>
    </row>
    <row r="9919" spans="1:8" ht="15.75" customHeight="1" x14ac:dyDescent="0.25">
      <c r="D9919" s="4"/>
      <c r="H9919" s="4"/>
    </row>
    <row r="9920" spans="1:8" ht="15.75" customHeight="1" x14ac:dyDescent="0.25">
      <c r="D9920" s="4"/>
      <c r="H9920" s="4"/>
    </row>
    <row r="9921" spans="1:8" ht="15.75" customHeight="1" x14ac:dyDescent="0.25">
      <c r="D9921" s="4"/>
      <c r="H9921" s="4"/>
    </row>
    <row r="9922" spans="1:8" ht="15.75" customHeight="1" x14ac:dyDescent="0.25">
      <c r="A9922" s="398" t="s">
        <v>14</v>
      </c>
      <c r="B9922" s="398"/>
      <c r="C9922" s="398"/>
      <c r="D9922" s="398"/>
      <c r="E9922" s="398"/>
      <c r="F9922" s="398"/>
      <c r="G9922" s="398"/>
      <c r="H9922" s="398"/>
    </row>
    <row r="9923" spans="1:8" ht="15.75" customHeight="1" x14ac:dyDescent="0.25">
      <c r="A9923" s="398"/>
      <c r="B9923" s="398"/>
      <c r="C9923" s="398"/>
      <c r="D9923" s="398"/>
      <c r="E9923" s="398"/>
      <c r="F9923" s="398"/>
      <c r="G9923" s="398"/>
      <c r="H9923" s="398"/>
    </row>
    <row r="9924" spans="1:8" ht="15.75" customHeight="1" x14ac:dyDescent="0.25">
      <c r="A9924" s="390"/>
      <c r="B9924" s="390"/>
      <c r="C9924" s="390"/>
      <c r="D9924" s="391"/>
      <c r="E9924" s="390"/>
      <c r="F9924" s="395" t="s">
        <v>18</v>
      </c>
      <c r="G9924" s="396" t="s">
        <v>1033</v>
      </c>
      <c r="H9924" s="397"/>
    </row>
    <row r="9925" spans="1:8" ht="15.75" customHeight="1" x14ac:dyDescent="0.25">
      <c r="A9925" s="390" t="s">
        <v>20</v>
      </c>
      <c r="B9925" s="390"/>
      <c r="C9925" s="390"/>
      <c r="D9925" s="391"/>
      <c r="E9925" s="390"/>
      <c r="F9925" s="395" t="s">
        <v>21</v>
      </c>
      <c r="G9925" s="390" t="s">
        <v>1923</v>
      </c>
      <c r="H9925" s="391"/>
    </row>
    <row r="9926" spans="1:8" ht="15.75" customHeight="1" x14ac:dyDescent="0.25">
      <c r="A9926" s="390" t="inlineStr">
        <is>
          <t>Dealer-009</t>
        </is>
      </c>
      <c r="B9926" s="390"/>
      <c r="C9926" s="390"/>
      <c r="D9926" s="391"/>
      <c r="E9926" s="395"/>
      <c r="F9926" s="390"/>
      <c r="G9926" s="390"/>
      <c r="H9926" s="394"/>
    </row>
    <row r="9927" spans="1:8" ht="15.75" customHeight="1" x14ac:dyDescent="0.25">
      <c r="A9927" s="390" t="inlineStr">
        <is>
          <t>Address line (redacted)</t>
        </is>
      </c>
      <c r="B9927" s="390"/>
      <c r="C9927" s="390"/>
      <c r="D9927" s="398"/>
      <c r="E9927" s="390"/>
      <c r="F9927" s="391"/>
      <c r="G9927" s="390"/>
      <c r="H9927" s="394"/>
    </row>
    <row r="9928" spans="1:8" ht="15.75" customHeight="1" x14ac:dyDescent="0.25">
      <c r="A9928" s="390" t="inlineStr">
        <is>
          <t>Address line (redacted)</t>
        </is>
      </c>
      <c r="B9928" s="390"/>
      <c r="C9928" s="390"/>
      <c r="D9928" s="398"/>
      <c r="E9928" s="390"/>
      <c r="F9928" s="391"/>
      <c r="G9928" s="390"/>
      <c r="H9928" s="394"/>
    </row>
    <row r="9929" spans="1:8" ht="15.75" customHeight="1" x14ac:dyDescent="0.25">
      <c r="A9929" s="447"/>
      <c r="B9929" s="390"/>
      <c r="C9929" s="390"/>
      <c r="D9929" s="391"/>
      <c r="E9929" s="390"/>
      <c r="F9929" s="391"/>
      <c r="G9929" s="390"/>
      <c r="H9929" s="394"/>
    </row>
    <row r="9930" spans="1:8" ht="15.75" customHeight="1" x14ac:dyDescent="0.25">
      <c r="A9930" s="390" t="s">
        <v>30</v>
      </c>
      <c r="B9930" s="390"/>
      <c r="C9930" s="390"/>
      <c r="D9930" s="391"/>
      <c r="E9930" s="390"/>
      <c r="F9930" s="391"/>
      <c r="G9930" s="390"/>
      <c r="H9930" s="394"/>
    </row>
    <row r="9931" spans="1:8" ht="15.75" customHeight="1" x14ac:dyDescent="0.25">
      <c r="A9931" s="390" t="s">
        <v>1322</v>
      </c>
      <c r="B9931" s="390"/>
      <c r="C9931" s="390"/>
      <c r="D9931" s="391"/>
      <c r="E9931" s="390"/>
      <c r="F9931" s="391"/>
      <c r="G9931" s="390"/>
      <c r="H9931" s="394"/>
    </row>
    <row r="9932" spans="1:8" ht="15.75" customHeight="1" x14ac:dyDescent="0.25">
      <c r="A9932" s="390" t="s">
        <v>1328</v>
      </c>
      <c r="B9932" s="390"/>
      <c r="C9932" s="390"/>
      <c r="D9932" s="391"/>
      <c r="E9932" s="390"/>
      <c r="F9932" s="391"/>
      <c r="G9932" s="390"/>
      <c r="H9932" s="394"/>
    </row>
    <row r="9933" spans="1:8" ht="15.75" customHeight="1" x14ac:dyDescent="0.25">
      <c r="A9933" s="399" t="s">
        <v>33</v>
      </c>
      <c r="B9933" s="400" t="s">
        <v>6</v>
      </c>
      <c r="C9933" s="400"/>
      <c r="D9933" s="401" t="s">
        <v>37</v>
      </c>
      <c r="E9933" s="402" t="s">
        <v>38</v>
      </c>
      <c r="F9933" s="403" t="s">
        <v>7</v>
      </c>
      <c r="G9933" s="404" t="s">
        <v>43</v>
      </c>
      <c r="H9933" s="405" t="s">
        <v>44</v>
      </c>
    </row>
    <row r="9934" spans="1:8" ht="15.75" customHeight="1" x14ac:dyDescent="0.25">
      <c r="A9934" s="406"/>
      <c r="B9934" s="407"/>
      <c r="C9934" s="393"/>
      <c r="D9934" s="410"/>
      <c r="E9934" s="858"/>
      <c r="F9934" s="409"/>
      <c r="G9934" s="410"/>
      <c r="H9934" s="411"/>
    </row>
    <row r="9935" spans="1:8" ht="15.75" customHeight="1" x14ac:dyDescent="0.25">
      <c r="A9935" s="502"/>
      <c r="B9935" s="557" t="s">
        <v>1102</v>
      </c>
      <c r="C9935" s="560"/>
      <c r="D9935" s="427"/>
      <c r="E9935" s="391"/>
      <c r="F9935" s="428"/>
      <c r="G9935" s="833"/>
      <c r="H9935" s="429"/>
    </row>
    <row r="9936" spans="1:8" ht="15.75" customHeight="1" x14ac:dyDescent="0.25">
      <c r="A9936" s="502" t="s">
        <v>55</v>
      </c>
      <c r="B9936" s="718" t="s">
        <v>315</v>
      </c>
      <c r="C9936" s="832" t="s">
        <v>298</v>
      </c>
      <c r="D9936" s="427">
        <v>1</v>
      </c>
      <c r="E9936" s="391">
        <v>5</v>
      </c>
      <c r="F9936" s="428">
        <f t="shared" ref="F9936:F9945" si="334">+E9936*D9936</f>
      </c>
      <c r="G9936" s="428">
        <v>1</v>
      </c>
      <c r="H9936" s="429">
        <f t="shared" ref="H9936:H9945" si="335">+G9936*F9936</f>
      </c>
    </row>
    <row r="9937" spans="1:8" ht="15.75" customHeight="1" x14ac:dyDescent="0.25">
      <c r="A9937" s="502" t="s">
        <v>59</v>
      </c>
      <c r="B9937" s="718" t="s">
        <v>1924</v>
      </c>
      <c r="C9937" s="832" t="s">
        <v>96</v>
      </c>
      <c r="D9937" s="427">
        <v>1</v>
      </c>
      <c r="E9937" s="391">
        <v>5</v>
      </c>
      <c r="F9937" s="428">
        <f t="shared" si="334"/>
      </c>
      <c r="G9937" s="428">
        <v>1</v>
      </c>
      <c r="H9937" s="429">
        <f t="shared" si="335"/>
      </c>
    </row>
    <row r="9938" spans="1:8" ht="15.75" customHeight="1" x14ac:dyDescent="0.25">
      <c r="A9938" s="502" t="s">
        <v>67</v>
      </c>
      <c r="B9938" s="718" t="s">
        <v>131</v>
      </c>
      <c r="C9938" s="832" t="s">
        <v>329</v>
      </c>
      <c r="D9938" s="427">
        <v>1</v>
      </c>
      <c r="E9938" s="391">
        <v>5</v>
      </c>
      <c r="F9938" s="428">
        <f t="shared" si="334"/>
      </c>
      <c r="G9938" s="428">
        <v>1</v>
      </c>
      <c r="H9938" s="429">
        <f t="shared" si="335"/>
      </c>
    </row>
    <row r="9939" spans="1:8" ht="15.75" customHeight="1" x14ac:dyDescent="0.25">
      <c r="A9939" s="502" t="s">
        <v>485</v>
      </c>
      <c r="B9939" s="718" t="s">
        <v>801</v>
      </c>
      <c r="C9939" s="832" t="s">
        <v>333</v>
      </c>
      <c r="D9939" s="427">
        <v>1</v>
      </c>
      <c r="E9939" s="391">
        <v>5</v>
      </c>
      <c r="F9939" s="428">
        <f t="shared" si="334"/>
      </c>
      <c r="G9939" s="428">
        <v>1</v>
      </c>
      <c r="H9939" s="429">
        <f t="shared" si="335"/>
      </c>
    </row>
    <row r="9940" spans="1:8" ht="15.75" customHeight="1" x14ac:dyDescent="0.25">
      <c r="A9940" s="502" t="s">
        <v>486</v>
      </c>
      <c r="B9940" s="718" t="s">
        <v>1334</v>
      </c>
      <c r="C9940" s="832" t="s">
        <v>331</v>
      </c>
      <c r="D9940" s="427">
        <v>2</v>
      </c>
      <c r="E9940" s="391">
        <v>5</v>
      </c>
      <c r="F9940" s="428">
        <f t="shared" si="334"/>
      </c>
      <c r="G9940" s="428">
        <v>1</v>
      </c>
      <c r="H9940" s="429">
        <f t="shared" si="335"/>
      </c>
    </row>
    <row r="9941" spans="1:8" ht="15.75" customHeight="1" x14ac:dyDescent="0.25">
      <c r="A9941" s="502" t="s">
        <v>489</v>
      </c>
      <c r="B9941" s="718" t="s">
        <v>655</v>
      </c>
      <c r="C9941" s="832" t="s">
        <v>94</v>
      </c>
      <c r="D9941" s="427">
        <v>1</v>
      </c>
      <c r="E9941" s="391">
        <v>5</v>
      </c>
      <c r="F9941" s="428">
        <f t="shared" si="334"/>
      </c>
      <c r="G9941" s="428">
        <v>1</v>
      </c>
      <c r="H9941" s="429">
        <f t="shared" si="335"/>
      </c>
    </row>
    <row r="9942" spans="1:8" ht="15.75" customHeight="1" x14ac:dyDescent="0.25">
      <c r="A9942" s="502" t="s">
        <v>490</v>
      </c>
      <c r="B9942" s="718" t="s">
        <v>118</v>
      </c>
      <c r="C9942" s="832" t="s">
        <v>1599</v>
      </c>
      <c r="D9942" s="427">
        <v>1</v>
      </c>
      <c r="E9942" s="391">
        <v>5</v>
      </c>
      <c r="F9942" s="428">
        <f t="shared" si="334"/>
      </c>
      <c r="G9942" s="428">
        <v>1</v>
      </c>
      <c r="H9942" s="429">
        <f t="shared" si="335"/>
      </c>
    </row>
    <row r="9943" spans="1:8" ht="15.75" customHeight="1" x14ac:dyDescent="0.25">
      <c r="A9943" s="502" t="s">
        <v>781</v>
      </c>
      <c r="B9943" s="718" t="s">
        <v>126</v>
      </c>
      <c r="C9943" s="832" t="s">
        <v>1840</v>
      </c>
      <c r="D9943" s="427">
        <v>1</v>
      </c>
      <c r="E9943" s="391">
        <v>5</v>
      </c>
      <c r="F9943" s="428">
        <f t="shared" si="334"/>
      </c>
      <c r="G9943" s="428">
        <v>1</v>
      </c>
      <c r="H9943" s="429">
        <f t="shared" si="335"/>
      </c>
    </row>
    <row r="9944" spans="1:8" ht="15.75" customHeight="1" x14ac:dyDescent="0.25">
      <c r="A9944" s="502" t="s">
        <v>785</v>
      </c>
      <c r="B9944" s="718" t="s">
        <v>1203</v>
      </c>
      <c r="C9944" s="832" t="s">
        <v>47</v>
      </c>
      <c r="D9944" s="427">
        <v>1</v>
      </c>
      <c r="E9944" s="391">
        <v>5</v>
      </c>
      <c r="F9944" s="428">
        <f t="shared" si="334"/>
      </c>
      <c r="G9944" s="428">
        <v>1</v>
      </c>
      <c r="H9944" s="429">
        <f t="shared" si="335"/>
      </c>
    </row>
    <row r="9945" spans="1:8" ht="15.75" customHeight="1" x14ac:dyDescent="0.25">
      <c r="A9945" s="502" t="s">
        <v>787</v>
      </c>
      <c r="B9945" s="718" t="s">
        <v>301</v>
      </c>
      <c r="C9945" s="832" t="s">
        <v>66</v>
      </c>
      <c r="D9945" s="427">
        <v>1</v>
      </c>
      <c r="E9945" s="391">
        <v>5</v>
      </c>
      <c r="F9945" s="428">
        <f t="shared" si="334"/>
      </c>
      <c r="G9945" s="428">
        <v>1</v>
      </c>
      <c r="H9945" s="429">
        <f t="shared" si="335"/>
      </c>
    </row>
    <row r="9946" spans="1:8" ht="15.75" customHeight="1" x14ac:dyDescent="0.25">
      <c r="A9946" s="502"/>
      <c r="B9946" s="557" t="s">
        <v>674</v>
      </c>
      <c r="C9946" s="560"/>
      <c r="D9946" s="427"/>
      <c r="E9946" s="391"/>
      <c r="F9946" s="428"/>
      <c r="G9946" s="833"/>
      <c r="H9946" s="429"/>
    </row>
    <row r="9947" spans="1:8" ht="15.75" customHeight="1" x14ac:dyDescent="0.25">
      <c r="A9947" s="502" t="s">
        <v>790</v>
      </c>
      <c r="B9947" s="448" t="s">
        <v>239</v>
      </c>
      <c r="C9947" s="449"/>
      <c r="D9947" s="427">
        <v>10</v>
      </c>
      <c r="E9947" s="391">
        <v>1</v>
      </c>
      <c r="F9947" s="428">
        <f t="shared" ref="F9947:F9948" si="336">+E9947*D9947</f>
      </c>
      <c r="G9947" s="427">
        <v>1</v>
      </c>
      <c r="H9947" s="429">
        <f>+G9947*F9947</f>
      </c>
    </row>
    <row r="9948" spans="1:8" ht="15.75" customHeight="1" x14ac:dyDescent="0.25">
      <c r="A9948" s="502" t="s">
        <v>792</v>
      </c>
      <c r="B9948" s="448" t="s">
        <v>239</v>
      </c>
      <c r="C9948" s="813"/>
      <c r="D9948" s="427">
        <v>1</v>
      </c>
      <c r="E9948" s="391">
        <v>1</v>
      </c>
      <c r="F9948" s="428">
        <f t="shared" si="336"/>
      </c>
      <c r="G9948" s="830" t="s">
        <v>2187</v>
      </c>
      <c r="H9948" s="831"/>
    </row>
    <row r="9949" spans="1:8" ht="15.75" customHeight="1" x14ac:dyDescent="0.25">
      <c r="A9949" s="502"/>
      <c r="B9949" s="557" t="s">
        <v>531</v>
      </c>
      <c r="C9949" s="560"/>
      <c r="D9949" s="427"/>
      <c r="E9949" s="391"/>
      <c r="F9949" s="428"/>
      <c r="G9949" s="675"/>
      <c r="H9949" s="429"/>
    </row>
    <row r="9950" spans="1:8" ht="15.75" customHeight="1" x14ac:dyDescent="0.25">
      <c r="A9950" s="502" t="s">
        <v>796</v>
      </c>
      <c r="B9950" s="448" t="s">
        <v>1925</v>
      </c>
      <c r="C9950" s="813"/>
      <c r="D9950" s="427">
        <v>3</v>
      </c>
      <c r="E9950" s="391">
        <v>5</v>
      </c>
      <c r="F9950" s="428">
        <f>+E9950*D9950</f>
      </c>
      <c r="G9950" s="427">
        <v>1</v>
      </c>
      <c r="H9950" s="429">
        <f>+G9950*F9950</f>
      </c>
    </row>
    <row r="9951" spans="1:8" ht="15.75" customHeight="1" x14ac:dyDescent="0.25">
      <c r="A9951" s="502"/>
      <c r="B9951" s="557" t="s">
        <v>1365</v>
      </c>
      <c r="C9951" s="560"/>
      <c r="D9951" s="427"/>
      <c r="E9951" s="391"/>
      <c r="F9951" s="428"/>
      <c r="G9951" s="675"/>
      <c r="H9951" s="429"/>
    </row>
    <row r="9952" spans="1:8" ht="15.75" customHeight="1" x14ac:dyDescent="0.25">
      <c r="A9952" s="502" t="s">
        <v>1571</v>
      </c>
      <c r="B9952" s="448">
        <v>508</v>
      </c>
      <c r="C9952" s="813"/>
      <c r="D9952" s="427">
        <v>3</v>
      </c>
      <c r="E9952" s="391">
        <v>4</v>
      </c>
      <c r="F9952" s="428">
        <f>+E9952*D9952</f>
      </c>
      <c r="G9952" s="427">
        <v>1</v>
      </c>
      <c r="H9952" s="429">
        <f>+G9952*F9952</f>
      </c>
    </row>
    <row r="9953" spans="1:8" ht="15.75" customHeight="1" x14ac:dyDescent="0.25">
      <c r="A9953" s="502"/>
      <c r="B9953" s="859"/>
      <c r="C9953" s="860"/>
      <c r="D9953" s="861"/>
      <c r="E9953" s="860"/>
      <c r="F9953" s="862"/>
      <c r="G9953" s="863"/>
      <c r="H9953" s="444"/>
    </row>
    <row r="9954" spans="1:8" ht="15.75" customHeight="1" x14ac:dyDescent="0.25">
      <c r="A9954" s="432"/>
      <c r="B9954" s="433"/>
      <c r="C9954" s="434" t="s">
        <v>85</v>
      </c>
      <c r="D9954" s="435">
        <f>SUM(D9935:D9953)</f>
      </c>
      <c r="E9954" s="435"/>
      <c r="F9954" s="436"/>
      <c r="G9954" s="437"/>
      <c r="H9954" s="438">
        <f>SUM(H9935:H9953)</f>
      </c>
    </row>
    <row r="9955" spans="1:8" ht="15.75" customHeight="1" x14ac:dyDescent="0.25">
      <c r="A9955" s="439"/>
      <c r="B9955" s="440"/>
      <c r="C9955" s="440"/>
      <c r="D9955" s="441"/>
      <c r="E9955" s="440"/>
      <c r="F9955" s="442"/>
      <c r="G9955" s="443"/>
      <c r="H9955" s="444"/>
    </row>
    <row r="9956" spans="1:8" ht="15.75" customHeight="1" x14ac:dyDescent="0.25">
      <c r="A9956" s="834"/>
      <c r="B9956" s="565"/>
      <c r="C9956" s="565"/>
      <c r="D9956" s="565"/>
      <c r="E9956" s="565"/>
      <c r="F9956" s="565"/>
      <c r="G9956" s="565"/>
      <c r="H9956" s="565"/>
    </row>
    <row r="9957" spans="1:8" ht="15.75" customHeight="1" x14ac:dyDescent="0.25">
      <c r="A9957" s="445"/>
      <c r="B9957" s="445"/>
      <c r="C9957" s="445"/>
      <c r="D9957" s="446" t="s">
        <v>97</v>
      </c>
      <c r="E9957" s="445" t="s">
        <v>98</v>
      </c>
      <c r="F9957" s="445"/>
      <c r="G9957" s="390"/>
      <c r="H9957" s="394"/>
    </row>
    <row r="9958" spans="1:8" ht="15.75" customHeight="1" x14ac:dyDescent="0.25">
      <c r="A9958" s="390"/>
      <c r="B9958" s="390"/>
      <c r="C9958" s="390"/>
      <c r="D9958" s="391"/>
      <c r="E9958" s="390"/>
      <c r="F9958" s="390"/>
      <c r="G9958" s="390"/>
      <c r="H9958" s="394"/>
    </row>
    <row r="9959" spans="1:8" ht="15.75" customHeight="1" x14ac:dyDescent="0.25">
      <c r="A9959" s="445"/>
      <c r="B9959" s="445"/>
      <c r="C9959" s="445"/>
      <c r="D9959" s="446"/>
      <c r="E9959" s="445" t="s">
        <v>99</v>
      </c>
      <c r="F9959" s="445"/>
      <c r="G9959" s="390"/>
      <c r="H9959" s="394"/>
    </row>
    <row r="9960" spans="1:8" ht="15.75" customHeight="1" x14ac:dyDescent="0.25">
      <c r="D9960" s="4"/>
      <c r="H9960" s="4"/>
    </row>
    <row r="9961" spans="1:8" ht="15.75" customHeight="1" x14ac:dyDescent="0.25">
      <c r="D9961" s="4"/>
      <c r="H9961" s="4"/>
    </row>
    <row r="9962" spans="1:8" ht="15.75" customHeight="1" x14ac:dyDescent="0.25">
      <c r="D9962" s="4"/>
      <c r="H9962" s="4"/>
    </row>
    <row r="9963" spans="1:8" ht="15.75" customHeight="1" x14ac:dyDescent="0.25">
      <c r="D9963" s="4"/>
      <c r="H9963" s="4"/>
    </row>
    <row r="9964" spans="1:8" ht="15.75" customHeight="1" x14ac:dyDescent="0.25">
      <c r="D9964" s="4"/>
      <c r="H9964" s="4"/>
    </row>
    <row r="9965" spans="1:8" ht="15.75" customHeight="1" x14ac:dyDescent="0.25">
      <c r="D9965" s="4"/>
      <c r="H9965" s="4"/>
    </row>
    <row r="9966" spans="1:8" ht="15.75" customHeight="1" x14ac:dyDescent="0.25">
      <c r="D9966" s="4"/>
      <c r="H9966" s="4"/>
    </row>
    <row r="9967" spans="1:8" ht="15.75" customHeight="1" x14ac:dyDescent="0.25">
      <c r="D9967" s="4"/>
      <c r="H9967" s="4"/>
    </row>
    <row r="9968" spans="1:8" ht="15.75" customHeight="1" x14ac:dyDescent="0.25">
      <c r="A9968" s="392" t="s">
        <v>14</v>
      </c>
      <c r="B9968" s="391"/>
      <c r="C9968" s="391"/>
      <c r="D9968" s="391"/>
      <c r="E9968" s="391"/>
      <c r="F9968" s="391"/>
      <c r="G9968" s="391"/>
      <c r="H9968" s="394"/>
    </row>
    <row r="9969" spans="1:8" ht="15.75" customHeight="1" x14ac:dyDescent="0.25">
      <c r="A9969" s="392"/>
      <c r="B9969" s="391"/>
      <c r="C9969" s="391"/>
      <c r="D9969" s="391"/>
      <c r="E9969" s="390"/>
      <c r="F9969" s="392"/>
      <c r="G9969" s="390"/>
      <c r="H9969" s="394"/>
    </row>
    <row r="9970" spans="1:8" ht="15.75" customHeight="1" x14ac:dyDescent="0.25">
      <c r="A9970" s="392"/>
      <c r="B9970" s="391"/>
      <c r="C9970" s="391"/>
      <c r="D9970" s="391"/>
      <c r="E9970" s="390"/>
      <c r="F9970" s="392"/>
      <c r="G9970" s="390"/>
      <c r="H9970" s="394"/>
    </row>
    <row r="9971" spans="1:8" ht="15.75" customHeight="1" x14ac:dyDescent="0.25">
      <c r="A9971" s="390" t="s">
        <v>20</v>
      </c>
      <c r="B9971" s="390"/>
      <c r="C9971" s="390"/>
      <c r="D9971" s="391"/>
      <c r="E9971" s="390"/>
      <c r="F9971" s="392"/>
      <c r="G9971" s="390"/>
      <c r="H9971" s="394"/>
    </row>
    <row r="9972" spans="1:8" ht="15.75" customHeight="1" x14ac:dyDescent="0.3">
      <c r="A9972" s="390" t="inlineStr">
        <is>
          <t>Dealer-002</t>
        </is>
      </c>
      <c r="B9972" s="390"/>
      <c r="C9972" s="390"/>
      <c r="D9972" s="391"/>
      <c r="E9972" s="390"/>
      <c r="F9972" s="395" t="s">
        <v>18</v>
      </c>
      <c r="G9972" s="23" t="s">
        <v>1033</v>
      </c>
      <c r="H9972" s="394"/>
    </row>
    <row r="9973" spans="1:8" ht="15.75" customHeight="1" x14ac:dyDescent="0.25">
      <c r="A9973" s="390" t="inlineStr">
        <is>
          <t>Address line (redacted)</t>
        </is>
      </c>
      <c r="B9973" s="390"/>
      <c r="C9973" s="390"/>
      <c r="D9973" s="391"/>
      <c r="E9973" s="390"/>
      <c r="F9973" s="393" t="s">
        <v>21</v>
      </c>
      <c r="G9973" s="390" t="s">
        <v>1926</v>
      </c>
      <c r="H9973" s="394"/>
    </row>
    <row r="9974" spans="1:8" ht="15.75" customHeight="1" x14ac:dyDescent="0.25">
      <c r="A9974" s="390" t="inlineStr">
        <is>
          <t>Address line (redacted)</t>
        </is>
      </c>
      <c r="B9974" s="390"/>
      <c r="C9974" s="390"/>
      <c r="D9974" s="391"/>
      <c r="E9974" s="390"/>
      <c r="F9974" s="391"/>
      <c r="G9974" s="390"/>
      <c r="H9974" s="394"/>
    </row>
    <row r="9975" spans="1:8" ht="15.75" customHeight="1" x14ac:dyDescent="0.25">
      <c r="A9975" s="390"/>
      <c r="B9975" s="390"/>
      <c r="C9975" s="393"/>
      <c r="D9975" s="391"/>
      <c r="E9975" s="390"/>
      <c r="F9975" s="391"/>
      <c r="G9975" s="390"/>
      <c r="H9975" s="394"/>
    </row>
    <row r="9976" spans="1:8" ht="15.75" customHeight="1" x14ac:dyDescent="0.25">
      <c r="A9976" s="390"/>
      <c r="B9976" s="390"/>
      <c r="C9976" s="390"/>
      <c r="D9976" s="391"/>
      <c r="E9976" s="390"/>
      <c r="F9976" s="391"/>
      <c r="G9976" s="390"/>
      <c r="H9976" s="394"/>
    </row>
    <row r="9977" spans="1:8" ht="15.75" customHeight="1" x14ac:dyDescent="0.25">
      <c r="A9977" s="390" t="s">
        <v>30</v>
      </c>
      <c r="B9977" s="390"/>
      <c r="C9977" s="390"/>
      <c r="D9977" s="391"/>
      <c r="E9977" s="390"/>
      <c r="F9977" s="391"/>
      <c r="G9977" s="390"/>
      <c r="H9977" s="394"/>
    </row>
    <row r="9978" spans="1:8" ht="15.75" customHeight="1" x14ac:dyDescent="0.25">
      <c r="A9978" s="390"/>
      <c r="B9978" s="390"/>
      <c r="C9978" s="390"/>
      <c r="D9978" s="391"/>
      <c r="E9978" s="390"/>
      <c r="F9978" s="391"/>
      <c r="G9978" s="390"/>
      <c r="H9978" s="394"/>
    </row>
    <row r="9979" spans="1:8" ht="15.75" customHeight="1" x14ac:dyDescent="0.25">
      <c r="A9979" s="390" t="s">
        <v>1322</v>
      </c>
      <c r="B9979" s="390"/>
      <c r="C9979" s="390"/>
      <c r="D9979" s="391"/>
      <c r="E9979" s="390"/>
      <c r="F9979" s="391"/>
      <c r="G9979" s="390"/>
      <c r="H9979" s="394"/>
    </row>
    <row r="9980" spans="1:8" ht="15.75" customHeight="1" x14ac:dyDescent="0.25">
      <c r="A9980" s="390" t="s">
        <v>1328</v>
      </c>
      <c r="B9980" s="390"/>
      <c r="C9980" s="390"/>
      <c r="D9980" s="391"/>
      <c r="E9980" s="390"/>
      <c r="F9980" s="391"/>
      <c r="G9980" s="390"/>
      <c r="H9980" s="394"/>
    </row>
    <row r="9981" spans="1:8" ht="15.75" customHeight="1" x14ac:dyDescent="0.25">
      <c r="A9981" s="390"/>
      <c r="B9981" s="390"/>
      <c r="C9981" s="390"/>
      <c r="D9981" s="391"/>
      <c r="E9981" s="390"/>
      <c r="F9981" s="391"/>
      <c r="G9981" s="390"/>
      <c r="H9981" s="394"/>
    </row>
    <row r="9982" spans="1:8" ht="15.75" customHeight="1" x14ac:dyDescent="0.25">
      <c r="A9982" s="399" t="s">
        <v>33</v>
      </c>
      <c r="B9982" s="400" t="s">
        <v>6</v>
      </c>
      <c r="C9982" s="400"/>
      <c r="D9982" s="401" t="s">
        <v>37</v>
      </c>
      <c r="E9982" s="402" t="s">
        <v>1309</v>
      </c>
      <c r="F9982" s="609" t="s">
        <v>7</v>
      </c>
      <c r="G9982" s="400" t="s">
        <v>43</v>
      </c>
      <c r="H9982" s="405" t="s">
        <v>44</v>
      </c>
    </row>
    <row r="9983" spans="1:8" ht="15.75" customHeight="1" x14ac:dyDescent="0.25">
      <c r="A9983" s="610"/>
      <c r="B9983" s="611"/>
      <c r="C9983" s="611"/>
      <c r="D9983" s="612"/>
      <c r="E9983" s="613"/>
      <c r="F9983" s="614"/>
      <c r="G9983" s="611"/>
      <c r="H9983" s="615"/>
    </row>
    <row r="9984" spans="1:8" ht="15.75" customHeight="1" x14ac:dyDescent="0.25">
      <c r="A9984" s="581"/>
      <c r="B9984" s="654" t="s">
        <v>674</v>
      </c>
      <c r="C9984" s="654"/>
      <c r="D9984" s="415"/>
      <c r="E9984" s="415"/>
      <c r="F9984" s="415"/>
      <c r="G9984" s="579"/>
      <c r="H9984" s="416"/>
    </row>
    <row r="9985" spans="1:8" ht="15.75" customHeight="1" x14ac:dyDescent="0.25">
      <c r="A9985" s="581" t="s">
        <v>55</v>
      </c>
      <c r="B9985" s="644" t="s">
        <v>239</v>
      </c>
      <c r="C9985" s="644"/>
      <c r="D9985" s="415">
        <v>10</v>
      </c>
      <c r="E9985" s="415">
        <v>1</v>
      </c>
      <c r="F9985" s="415">
        <f t="shared" ref="F9985:F9986" si="337">+E9985*D9985</f>
      </c>
      <c r="G9985" s="578">
        <v>1</v>
      </c>
      <c r="H9985" s="416">
        <f>+G9985*F9985</f>
      </c>
    </row>
    <row r="9986" spans="1:8" ht="15.75" customHeight="1" x14ac:dyDescent="0.25">
      <c r="A9986" s="581" t="s">
        <v>59</v>
      </c>
      <c r="B9986" s="644" t="s">
        <v>239</v>
      </c>
      <c r="C9986" s="591"/>
      <c r="D9986" s="415">
        <v>1</v>
      </c>
      <c r="E9986" s="415">
        <v>1</v>
      </c>
      <c r="F9986" s="415">
        <f t="shared" si="337"/>
      </c>
      <c r="G9986" s="705" t="s">
        <v>2187</v>
      </c>
      <c r="H9986" s="706"/>
    </row>
    <row r="9987" spans="1:8" ht="15.75" customHeight="1" x14ac:dyDescent="0.25">
      <c r="A9987" s="581"/>
      <c r="B9987" s="644"/>
      <c r="C9987" s="582"/>
      <c r="D9987" s="415"/>
      <c r="E9987" s="415"/>
      <c r="F9987" s="415"/>
      <c r="G9987" s="415"/>
      <c r="H9987" s="589"/>
    </row>
    <row r="9988" spans="1:8" ht="15.75" customHeight="1" x14ac:dyDescent="0.25">
      <c r="A9988" s="581"/>
      <c r="B9988" s="644"/>
      <c r="C9988" s="582"/>
      <c r="D9988" s="415"/>
      <c r="E9988" s="415"/>
      <c r="F9988" s="415"/>
      <c r="G9988" s="415"/>
      <c r="H9988" s="589"/>
    </row>
    <row r="9989" spans="1:8" ht="15.75" customHeight="1" x14ac:dyDescent="0.25">
      <c r="A9989" s="581"/>
      <c r="B9989" s="654"/>
      <c r="C9989" s="654"/>
      <c r="D9989" s="415"/>
      <c r="E9989" s="415"/>
      <c r="F9989" s="415"/>
      <c r="G9989" s="415"/>
      <c r="H9989" s="589"/>
    </row>
    <row r="9990" spans="1:8" ht="15.75" customHeight="1" x14ac:dyDescent="0.25">
      <c r="A9990" s="581"/>
      <c r="B9990" s="644"/>
      <c r="C9990" s="654"/>
      <c r="D9990" s="415"/>
      <c r="E9990" s="415"/>
      <c r="F9990" s="415"/>
      <c r="G9990" s="415"/>
      <c r="H9990" s="589"/>
    </row>
    <row r="9991" spans="1:8" ht="15.75" customHeight="1" x14ac:dyDescent="0.25">
      <c r="A9991" s="581"/>
      <c r="B9991" s="644"/>
      <c r="C9991" s="654"/>
      <c r="D9991" s="415"/>
      <c r="E9991" s="415"/>
      <c r="F9991" s="415"/>
      <c r="G9991" s="415"/>
      <c r="H9991" s="589"/>
    </row>
    <row r="9992" spans="1:8" ht="15.75" customHeight="1" x14ac:dyDescent="0.25">
      <c r="A9992" s="581"/>
      <c r="B9992" s="582"/>
      <c r="C9992" s="582"/>
      <c r="D9992" s="415"/>
      <c r="E9992" s="415"/>
      <c r="F9992" s="415"/>
      <c r="G9992" s="415"/>
      <c r="H9992" s="589"/>
    </row>
    <row r="9993" spans="1:8" ht="15.75" customHeight="1" x14ac:dyDescent="0.25">
      <c r="A9993" s="430"/>
      <c r="B9993" s="409"/>
      <c r="C9993" s="393"/>
      <c r="D9993" s="427"/>
      <c r="E9993" s="427"/>
      <c r="F9993" s="428"/>
      <c r="G9993" s="427"/>
      <c r="H9993" s="429"/>
    </row>
    <row r="9994" spans="1:8" ht="15.75" customHeight="1" x14ac:dyDescent="0.25">
      <c r="A9994" s="432"/>
      <c r="B9994" s="433"/>
      <c r="C9994" s="434" t="s">
        <v>85</v>
      </c>
      <c r="D9994" s="659">
        <f>SUM(D9985:D9993)</f>
      </c>
      <c r="E9994" s="401"/>
      <c r="F9994" s="660"/>
      <c r="G9994" s="661"/>
      <c r="H9994" s="623">
        <f>SUM(H9984:H9993)</f>
      </c>
    </row>
    <row r="9995" spans="1:8" ht="15.75" customHeight="1" x14ac:dyDescent="0.25">
      <c r="A9995" s="439"/>
      <c r="B9995" s="440"/>
      <c r="C9995" s="440"/>
      <c r="D9995" s="441"/>
      <c r="E9995" s="440"/>
      <c r="F9995" s="442"/>
      <c r="G9995" s="443"/>
      <c r="H9995" s="444"/>
    </row>
    <row r="9996" spans="1:8" ht="15.75" customHeight="1" x14ac:dyDescent="0.25">
      <c r="A9996" s="392"/>
      <c r="B9996" s="391"/>
      <c r="C9996" s="391"/>
      <c r="D9996" s="391"/>
      <c r="E9996" s="390"/>
      <c r="F9996" s="392"/>
      <c r="G9996" s="390"/>
      <c r="H9996" s="394"/>
    </row>
    <row r="9997" spans="1:8" ht="15.75" customHeight="1" x14ac:dyDescent="0.25">
      <c r="A9997" s="445"/>
      <c r="B9997" s="445"/>
      <c r="C9997" s="445"/>
      <c r="D9997" s="446" t="s">
        <v>97</v>
      </c>
      <c r="E9997" s="445" t="s">
        <v>98</v>
      </c>
      <c r="F9997" s="445"/>
      <c r="G9997" s="390"/>
      <c r="H9997" s="394"/>
    </row>
    <row r="9998" spans="1:8" ht="15.75" customHeight="1" x14ac:dyDescent="0.25">
      <c r="A9998" s="390"/>
      <c r="B9998" s="390"/>
      <c r="C9998" s="390"/>
      <c r="D9998" s="391"/>
      <c r="E9998" s="390"/>
      <c r="F9998" s="390"/>
      <c r="G9998" s="390"/>
      <c r="H9998" s="394"/>
    </row>
    <row r="9999" spans="1:8" ht="15.75" customHeight="1" x14ac:dyDescent="0.25">
      <c r="A9999" s="390"/>
      <c r="B9999" s="390"/>
      <c r="C9999" s="390"/>
      <c r="D9999" s="391"/>
      <c r="E9999" s="390"/>
      <c r="F9999" s="390"/>
      <c r="G9999" s="390"/>
      <c r="H9999" s="394"/>
    </row>
    <row r="10000" spans="1:8" ht="15.75" customHeight="1" x14ac:dyDescent="0.25">
      <c r="A10000" s="445"/>
      <c r="B10000" s="445"/>
      <c r="C10000" s="445"/>
      <c r="D10000" s="446"/>
      <c r="E10000" s="445" t="s">
        <v>99</v>
      </c>
      <c r="F10000" s="445"/>
      <c r="G10000" s="390"/>
      <c r="H10000" s="394"/>
    </row>
    <row r="10001" spans="1:8" ht="15.75" customHeight="1" x14ac:dyDescent="0.25">
      <c r="D10001" s="4"/>
      <c r="H10001" s="4"/>
    </row>
    <row r="10002" spans="1:8" ht="15.75" customHeight="1" x14ac:dyDescent="0.25">
      <c r="D10002" s="4"/>
      <c r="H10002" s="4"/>
    </row>
    <row r="10003" spans="1:8" ht="15.75" customHeight="1" x14ac:dyDescent="0.25">
      <c r="D10003" s="4"/>
      <c r="H10003" s="4"/>
    </row>
    <row r="10004" spans="1:8" ht="15.75" customHeight="1" x14ac:dyDescent="0.25">
      <c r="D10004" s="4"/>
      <c r="H10004" s="4"/>
    </row>
    <row r="10005" spans="1:8" ht="15.75" customHeight="1" x14ac:dyDescent="0.25">
      <c r="D10005" s="4"/>
      <c r="H10005" s="4"/>
    </row>
    <row r="10006" spans="1:8" ht="15.75" customHeight="1" x14ac:dyDescent="0.25">
      <c r="D10006" s="4"/>
      <c r="H10006" s="4"/>
    </row>
    <row r="10007" spans="1:8" ht="15.75" customHeight="1" x14ac:dyDescent="0.25">
      <c r="D10007" s="4"/>
      <c r="H10007" s="4"/>
    </row>
    <row r="10008" spans="1:8" ht="15.75" customHeight="1" x14ac:dyDescent="0.25">
      <c r="D10008" s="4"/>
      <c r="H10008" s="4"/>
    </row>
    <row r="10009" spans="1:8" ht="15.75" customHeight="1" x14ac:dyDescent="0.25">
      <c r="D10009" s="4"/>
      <c r="H10009" s="4"/>
    </row>
    <row r="10010" spans="1:8" ht="15.75" customHeight="1" x14ac:dyDescent="0.25">
      <c r="D10010" s="4"/>
      <c r="H10010" s="4"/>
    </row>
    <row r="10011" spans="1:8" ht="15.75" customHeight="1" x14ac:dyDescent="0.25">
      <c r="D10011" s="4"/>
      <c r="H10011" s="4"/>
    </row>
    <row r="10012" spans="1:8" ht="15.75" customHeight="1" x14ac:dyDescent="0.25">
      <c r="D10012" s="4"/>
      <c r="H10012" s="4"/>
    </row>
    <row r="10013" spans="1:8" ht="15.75" customHeight="1" x14ac:dyDescent="0.25">
      <c r="D10013" s="4"/>
      <c r="H10013" s="4"/>
    </row>
    <row r="10014" spans="1:8" ht="15.75" customHeight="1" x14ac:dyDescent="0.25">
      <c r="A10014" s="398" t="s">
        <v>14</v>
      </c>
      <c r="B10014" s="398"/>
      <c r="C10014" s="398"/>
      <c r="D10014" s="398"/>
      <c r="E10014" s="398"/>
      <c r="F10014" s="398"/>
      <c r="G10014" s="398"/>
      <c r="H10014" s="398"/>
    </row>
    <row r="10015" spans="1:8" ht="15.75" customHeight="1" x14ac:dyDescent="0.25">
      <c r="A10015" s="398"/>
      <c r="B10015" s="398"/>
      <c r="C10015" s="398"/>
      <c r="D10015" s="398"/>
      <c r="E10015" s="398"/>
      <c r="F10015" s="398"/>
      <c r="G10015" s="398"/>
      <c r="H10015" s="398"/>
    </row>
    <row r="10016" spans="1:8" ht="15.75" customHeight="1" x14ac:dyDescent="0.25">
      <c r="A10016" s="390"/>
      <c r="B10016" s="390"/>
      <c r="C10016" s="390"/>
      <c r="D10016" s="391"/>
      <c r="E10016" s="390"/>
      <c r="F10016" s="395" t="s">
        <v>18</v>
      </c>
      <c r="G10016" s="396" t="s">
        <v>1036</v>
      </c>
      <c r="H10016" s="397"/>
    </row>
    <row r="10017" spans="1:8" ht="15.75" customHeight="1" x14ac:dyDescent="0.25">
      <c r="A10017" s="390" t="s">
        <v>20</v>
      </c>
      <c r="B10017" s="390"/>
      <c r="C10017" s="390"/>
      <c r="D10017" s="391"/>
      <c r="E10017" s="390"/>
      <c r="F10017" s="395" t="s">
        <v>21</v>
      </c>
      <c r="G10017" s="390" t="s">
        <v>1927</v>
      </c>
      <c r="H10017" s="391"/>
    </row>
    <row r="10018" spans="1:8" ht="15.75" customHeight="1" x14ac:dyDescent="0.25">
      <c r="A10018" s="390" t="inlineStr">
        <is>
          <t>Dealer-009</t>
        </is>
      </c>
      <c r="B10018" s="390"/>
      <c r="C10018" s="390"/>
      <c r="D10018" s="391"/>
      <c r="E10018" s="395"/>
      <c r="F10018" s="390"/>
      <c r="G10018" s="390"/>
      <c r="H10018" s="394"/>
    </row>
    <row r="10019" spans="1:8" ht="15.75" customHeight="1" x14ac:dyDescent="0.25">
      <c r="A10019" s="390" t="inlineStr">
        <is>
          <t>Address line (redacted)</t>
        </is>
      </c>
      <c r="B10019" s="390"/>
      <c r="C10019" s="390"/>
      <c r="D10019" s="398"/>
      <c r="E10019" s="390"/>
      <c r="F10019" s="391"/>
      <c r="G10019" s="390"/>
      <c r="H10019" s="394"/>
    </row>
    <row r="10020" spans="1:8" ht="15.75" customHeight="1" x14ac:dyDescent="0.25">
      <c r="A10020" s="390" t="inlineStr">
        <is>
          <t>Address line (redacted)</t>
        </is>
      </c>
      <c r="B10020" s="390"/>
      <c r="C10020" s="390"/>
      <c r="D10020" s="398"/>
      <c r="E10020" s="390"/>
      <c r="F10020" s="391"/>
      <c r="G10020" s="390"/>
      <c r="H10020" s="394"/>
    </row>
    <row r="10021" spans="1:8" ht="15.75" customHeight="1" x14ac:dyDescent="0.25">
      <c r="A10021" s="447"/>
      <c r="B10021" s="390"/>
      <c r="C10021" s="390"/>
      <c r="D10021" s="391"/>
      <c r="E10021" s="390"/>
      <c r="F10021" s="391"/>
      <c r="G10021" s="390"/>
      <c r="H10021" s="394"/>
    </row>
    <row r="10022" spans="1:8" ht="15.75" customHeight="1" x14ac:dyDescent="0.25">
      <c r="A10022" s="390" t="s">
        <v>30</v>
      </c>
      <c r="B10022" s="390"/>
      <c r="C10022" s="390"/>
      <c r="D10022" s="391"/>
      <c r="E10022" s="390"/>
      <c r="F10022" s="391"/>
      <c r="G10022" s="390"/>
      <c r="H10022" s="394"/>
    </row>
    <row r="10023" spans="1:8" ht="15.75" customHeight="1" x14ac:dyDescent="0.25">
      <c r="A10023" s="390" t="s">
        <v>1322</v>
      </c>
      <c r="B10023" s="390"/>
      <c r="C10023" s="390"/>
      <c r="D10023" s="391"/>
      <c r="E10023" s="390"/>
      <c r="F10023" s="391"/>
      <c r="G10023" s="390"/>
      <c r="H10023" s="394"/>
    </row>
    <row r="10024" spans="1:8" ht="15.75" customHeight="1" x14ac:dyDescent="0.25">
      <c r="A10024" s="390" t="s">
        <v>1328</v>
      </c>
      <c r="B10024" s="390"/>
      <c r="C10024" s="390"/>
      <c r="D10024" s="391"/>
      <c r="E10024" s="390"/>
      <c r="F10024" s="391"/>
      <c r="G10024" s="390"/>
      <c r="H10024" s="394"/>
    </row>
    <row r="10025" spans="1:8" ht="15.75" customHeight="1" x14ac:dyDescent="0.25">
      <c r="A10025" s="399" t="s">
        <v>33</v>
      </c>
      <c r="B10025" s="400" t="s">
        <v>6</v>
      </c>
      <c r="C10025" s="400"/>
      <c r="D10025" s="401" t="s">
        <v>37</v>
      </c>
      <c r="E10025" s="402" t="s">
        <v>38</v>
      </c>
      <c r="F10025" s="403" t="s">
        <v>7</v>
      </c>
      <c r="G10025" s="404" t="s">
        <v>43</v>
      </c>
      <c r="H10025" s="405" t="s">
        <v>44</v>
      </c>
    </row>
    <row r="10026" spans="1:8" ht="15.75" customHeight="1" x14ac:dyDescent="0.25">
      <c r="A10026" s="406"/>
      <c r="B10026" s="407"/>
      <c r="C10026" s="393"/>
      <c r="D10026" s="410"/>
      <c r="E10026" s="858"/>
      <c r="F10026" s="409"/>
      <c r="G10026" s="410"/>
      <c r="H10026" s="411"/>
    </row>
    <row r="10027" spans="1:8" ht="15.75" customHeight="1" x14ac:dyDescent="0.25">
      <c r="A10027" s="502"/>
      <c r="B10027" s="557" t="s">
        <v>1365</v>
      </c>
      <c r="C10027" s="560"/>
      <c r="D10027" s="427"/>
      <c r="E10027" s="391"/>
      <c r="F10027" s="428"/>
      <c r="G10027" s="675"/>
      <c r="H10027" s="429"/>
    </row>
    <row r="10028" spans="1:8" ht="15.75" customHeight="1" x14ac:dyDescent="0.25">
      <c r="A10028" s="502" t="s">
        <v>55</v>
      </c>
      <c r="B10028" s="448">
        <v>508</v>
      </c>
      <c r="C10028" s="813"/>
      <c r="D10028" s="427">
        <v>3</v>
      </c>
      <c r="E10028" s="391">
        <v>4</v>
      </c>
      <c r="F10028" s="428">
        <f t="shared" ref="F10028:F10029" si="338">+E10028*D10028</f>
      </c>
      <c r="G10028" s="427">
        <v>1</v>
      </c>
      <c r="H10028" s="429">
        <f t="shared" ref="H10028:H10029" si="339">+G10028*F10028</f>
      </c>
    </row>
    <row r="10029" spans="1:8" ht="15.75" customHeight="1" x14ac:dyDescent="0.25">
      <c r="A10029" s="502" t="s">
        <v>59</v>
      </c>
      <c r="B10029" s="448">
        <v>507</v>
      </c>
      <c r="C10029" s="813"/>
      <c r="D10029" s="427">
        <v>5</v>
      </c>
      <c r="E10029" s="391">
        <v>4</v>
      </c>
      <c r="F10029" s="428">
        <f t="shared" si="338"/>
      </c>
      <c r="G10029" s="427">
        <v>1</v>
      </c>
      <c r="H10029" s="429">
        <f t="shared" si="339"/>
      </c>
    </row>
    <row r="10030" spans="1:8" ht="15.75" customHeight="1" x14ac:dyDescent="0.25">
      <c r="A10030" s="502"/>
      <c r="B10030" s="448"/>
      <c r="C10030" s="813"/>
      <c r="D10030" s="427"/>
      <c r="E10030" s="391"/>
      <c r="F10030" s="428"/>
      <c r="G10030" s="427"/>
      <c r="H10030" s="429"/>
    </row>
    <row r="10031" spans="1:8" ht="15.75" customHeight="1" x14ac:dyDescent="0.25">
      <c r="A10031" s="502"/>
      <c r="B10031" s="448"/>
      <c r="C10031" s="813"/>
      <c r="D10031" s="427"/>
      <c r="E10031" s="391"/>
      <c r="F10031" s="428"/>
      <c r="G10031" s="427"/>
      <c r="H10031" s="429"/>
    </row>
    <row r="10032" spans="1:8" ht="15.75" customHeight="1" x14ac:dyDescent="0.25">
      <c r="A10032" s="502"/>
      <c r="B10032" s="448"/>
      <c r="C10032" s="813"/>
      <c r="D10032" s="427"/>
      <c r="E10032" s="391"/>
      <c r="F10032" s="428"/>
      <c r="G10032" s="427"/>
      <c r="H10032" s="429"/>
    </row>
    <row r="10033" spans="1:8" ht="15.75" customHeight="1" x14ac:dyDescent="0.25">
      <c r="A10033" s="502"/>
      <c r="B10033" s="448"/>
      <c r="C10033" s="813"/>
      <c r="D10033" s="427"/>
      <c r="E10033" s="391"/>
      <c r="F10033" s="428"/>
      <c r="G10033" s="427"/>
      <c r="H10033" s="429"/>
    </row>
    <row r="10034" spans="1:8" ht="15.75" customHeight="1" x14ac:dyDescent="0.25">
      <c r="A10034" s="502"/>
      <c r="B10034" s="859"/>
      <c r="C10034" s="860"/>
      <c r="D10034" s="861"/>
      <c r="E10034" s="860"/>
      <c r="F10034" s="862"/>
      <c r="G10034" s="863"/>
      <c r="H10034" s="444"/>
    </row>
    <row r="10035" spans="1:8" ht="15.75" customHeight="1" x14ac:dyDescent="0.25">
      <c r="A10035" s="432"/>
      <c r="B10035" s="433"/>
      <c r="C10035" s="434" t="s">
        <v>85</v>
      </c>
      <c r="D10035" s="435">
        <f>SUM(D10027:D10034)</f>
      </c>
      <c r="E10035" s="435"/>
      <c r="F10035" s="436">
        <f>SUM(F10028:F10034)</f>
      </c>
      <c r="G10035" s="437"/>
      <c r="H10035" s="438">
        <f>SUM(H10027:H10034)</f>
      </c>
    </row>
    <row r="10036" spans="1:8" ht="15.75" customHeight="1" x14ac:dyDescent="0.25">
      <c r="A10036" s="439"/>
      <c r="B10036" s="440"/>
      <c r="C10036" s="440"/>
      <c r="D10036" s="441"/>
      <c r="E10036" s="440"/>
      <c r="F10036" s="442"/>
      <c r="G10036" s="443"/>
      <c r="H10036" s="444"/>
    </row>
    <row r="10037" spans="1:8" ht="15.75" customHeight="1" x14ac:dyDescent="0.25">
      <c r="A10037" s="834"/>
      <c r="B10037" s="565"/>
      <c r="C10037" s="565"/>
      <c r="D10037" s="565"/>
      <c r="E10037" s="565"/>
      <c r="F10037" s="565"/>
      <c r="G10037" s="565"/>
      <c r="H10037" s="565"/>
    </row>
    <row r="10038" spans="1:8" ht="15.75" customHeight="1" x14ac:dyDescent="0.25">
      <c r="A10038" s="445"/>
      <c r="B10038" s="445"/>
      <c r="C10038" s="445"/>
      <c r="D10038" s="446" t="s">
        <v>97</v>
      </c>
      <c r="E10038" s="445" t="s">
        <v>98</v>
      </c>
      <c r="F10038" s="445"/>
      <c r="G10038" s="390"/>
      <c r="H10038" s="394"/>
    </row>
    <row r="10039" spans="1:8" ht="15.75" customHeight="1" x14ac:dyDescent="0.25">
      <c r="A10039" s="390"/>
      <c r="B10039" s="390"/>
      <c r="C10039" s="390"/>
      <c r="D10039" s="391"/>
      <c r="E10039" s="390"/>
      <c r="F10039" s="390"/>
      <c r="G10039" s="390"/>
      <c r="H10039" s="394"/>
    </row>
    <row r="10040" spans="1:8" ht="15.75" customHeight="1" x14ac:dyDescent="0.25">
      <c r="A10040" s="445"/>
      <c r="B10040" s="445"/>
      <c r="C10040" s="445"/>
      <c r="D10040" s="446"/>
      <c r="E10040" s="445" t="s">
        <v>99</v>
      </c>
      <c r="F10040" s="445"/>
      <c r="G10040" s="390"/>
      <c r="H10040" s="394"/>
    </row>
    <row r="10041" spans="1:8" ht="15.75" customHeight="1" x14ac:dyDescent="0.25">
      <c r="D10041" s="4"/>
      <c r="H10041" s="4"/>
    </row>
    <row r="10042" spans="1:8" ht="15.75" customHeight="1" x14ac:dyDescent="0.25">
      <c r="D10042" s="4"/>
      <c r="H10042" s="4"/>
    </row>
    <row r="10043" spans="1:8" ht="15.75" customHeight="1" x14ac:dyDescent="0.25">
      <c r="D10043" s="4"/>
      <c r="H10043" s="4"/>
    </row>
    <row r="10044" spans="1:8" ht="15.75" customHeight="1" x14ac:dyDescent="0.25">
      <c r="D10044" s="4"/>
      <c r="H10044" s="4"/>
    </row>
    <row r="10045" spans="1:8" ht="15.75" customHeight="1" x14ac:dyDescent="0.25">
      <c r="D10045" s="4"/>
      <c r="H10045" s="4"/>
    </row>
    <row r="10046" spans="1:8" ht="15.75" customHeight="1" x14ac:dyDescent="0.25">
      <c r="D10046" s="4"/>
      <c r="H10046" s="4"/>
    </row>
    <row r="10047" spans="1:8" ht="15.75" customHeight="1" x14ac:dyDescent="0.25">
      <c r="D10047" s="4"/>
      <c r="H10047" s="4"/>
    </row>
    <row r="10048" spans="1:8" ht="15.75" customHeight="1" x14ac:dyDescent="0.25">
      <c r="D10048" s="4"/>
      <c r="H10048" s="4"/>
    </row>
    <row r="10049" spans="1:8" ht="15.75" customHeight="1" x14ac:dyDescent="0.25">
      <c r="D10049" s="4"/>
      <c r="H10049" s="4"/>
    </row>
    <row r="10050" spans="1:8" ht="15.75" customHeight="1" x14ac:dyDescent="0.25">
      <c r="D10050" s="4"/>
      <c r="H10050" s="4"/>
    </row>
    <row r="10051" spans="1:8" ht="15.75" customHeight="1" x14ac:dyDescent="0.25">
      <c r="D10051" s="4"/>
      <c r="H10051" s="4"/>
    </row>
    <row r="10052" spans="1:8" ht="15.75" customHeight="1" x14ac:dyDescent="0.25">
      <c r="D10052" s="4"/>
      <c r="H10052" s="4"/>
    </row>
    <row r="10053" spans="1:8" ht="15.75" customHeight="1" x14ac:dyDescent="0.25">
      <c r="D10053" s="4"/>
      <c r="H10053" s="4"/>
    </row>
    <row r="10054" spans="1:8" ht="15.75" customHeight="1" x14ac:dyDescent="0.25">
      <c r="D10054" s="4"/>
      <c r="H10054" s="4"/>
    </row>
    <row r="10055" spans="1:8" ht="15.75" customHeight="1" x14ac:dyDescent="0.25">
      <c r="D10055" s="4"/>
      <c r="H10055" s="4"/>
    </row>
    <row r="10056" spans="1:8" ht="15.75" customHeight="1" x14ac:dyDescent="0.25">
      <c r="D10056" s="4"/>
      <c r="H10056" s="4"/>
    </row>
    <row r="10057" spans="1:8" ht="15.75" customHeight="1" x14ac:dyDescent="0.25">
      <c r="D10057" s="4"/>
      <c r="H10057" s="4"/>
    </row>
    <row r="10058" spans="1:8" ht="15.75" customHeight="1" x14ac:dyDescent="0.25">
      <c r="D10058" s="4"/>
      <c r="H10058" s="4"/>
    </row>
    <row r="10059" spans="1:8" ht="15.75" customHeight="1" x14ac:dyDescent="0.25">
      <c r="D10059" s="4"/>
      <c r="H10059" s="4"/>
    </row>
    <row r="10060" spans="1:8" ht="15.75" customHeight="1" x14ac:dyDescent="0.25">
      <c r="A10060" s="398" t="s">
        <v>14</v>
      </c>
      <c r="B10060" s="398"/>
      <c r="C10060" s="398"/>
      <c r="D10060" s="398"/>
      <c r="E10060" s="398"/>
      <c r="F10060" s="398"/>
      <c r="G10060" s="398"/>
      <c r="H10060" s="398"/>
    </row>
    <row r="10061" spans="1:8" ht="15.75" customHeight="1" x14ac:dyDescent="0.25">
      <c r="A10061" s="398"/>
      <c r="B10061" s="398"/>
      <c r="C10061" s="398"/>
      <c r="D10061" s="398"/>
      <c r="E10061" s="398"/>
      <c r="F10061" s="398"/>
      <c r="G10061" s="398"/>
      <c r="H10061" s="398"/>
    </row>
    <row r="10062" spans="1:8" ht="15.75" customHeight="1" x14ac:dyDescent="0.25">
      <c r="A10062" s="390"/>
      <c r="B10062" s="390"/>
      <c r="C10062" s="390"/>
      <c r="D10062" s="391"/>
      <c r="E10062" s="390"/>
      <c r="F10062" s="395" t="s">
        <v>18</v>
      </c>
      <c r="G10062" s="396" t="s">
        <v>1036</v>
      </c>
      <c r="H10062" s="397"/>
    </row>
    <row r="10063" spans="1:8" ht="15.75" customHeight="1" x14ac:dyDescent="0.25">
      <c r="A10063" s="390" t="s">
        <v>20</v>
      </c>
      <c r="B10063" s="390"/>
      <c r="C10063" s="390"/>
      <c r="D10063" s="391"/>
      <c r="E10063" s="390"/>
      <c r="F10063" s="395" t="s">
        <v>21</v>
      </c>
      <c r="G10063" s="390" t="s">
        <v>1928</v>
      </c>
      <c r="H10063" s="391"/>
    </row>
    <row r="10064" spans="1:8" ht="15.75" customHeight="1" x14ac:dyDescent="0.25">
      <c r="A10064" s="390" t="inlineStr">
        <is>
          <t>Dealer-002</t>
        </is>
      </c>
      <c r="B10064" s="390"/>
      <c r="C10064" s="390"/>
      <c r="D10064" s="391"/>
      <c r="E10064" s="395"/>
      <c r="F10064" s="390"/>
      <c r="G10064" s="390"/>
      <c r="H10064" s="394"/>
    </row>
    <row r="10065" spans="1:8" ht="15.75" customHeight="1" x14ac:dyDescent="0.25">
      <c r="A10065" s="390" t="inlineStr">
        <is>
          <t>Address line (redacted)</t>
        </is>
      </c>
      <c r="B10065" s="390"/>
      <c r="C10065" s="390"/>
      <c r="D10065" s="398"/>
      <c r="E10065" s="390"/>
      <c r="F10065" s="391"/>
      <c r="G10065" s="390"/>
      <c r="H10065" s="394"/>
    </row>
    <row r="10066" spans="1:8" ht="15.75" customHeight="1" x14ac:dyDescent="0.25">
      <c r="A10066" s="390" t="inlineStr">
        <is>
          <t>Address line (redacted)</t>
        </is>
      </c>
      <c r="B10066" s="390"/>
      <c r="C10066" s="390"/>
      <c r="D10066" s="398"/>
      <c r="E10066" s="390"/>
      <c r="F10066" s="391"/>
      <c r="G10066" s="390"/>
      <c r="H10066" s="394"/>
    </row>
    <row r="10067" spans="1:8" ht="15.75" customHeight="1" x14ac:dyDescent="0.25">
      <c r="A10067" s="447"/>
      <c r="B10067" s="390"/>
      <c r="C10067" s="390"/>
      <c r="D10067" s="391"/>
      <c r="E10067" s="390"/>
      <c r="F10067" s="391"/>
      <c r="G10067" s="390"/>
      <c r="H10067" s="394"/>
    </row>
    <row r="10068" spans="1:8" ht="15.75" customHeight="1" x14ac:dyDescent="0.25">
      <c r="A10068" s="390" t="s">
        <v>30</v>
      </c>
      <c r="B10068" s="390"/>
      <c r="C10068" s="390"/>
      <c r="D10068" s="391"/>
      <c r="E10068" s="390"/>
      <c r="F10068" s="391"/>
      <c r="G10068" s="390"/>
      <c r="H10068" s="394"/>
    </row>
    <row r="10069" spans="1:8" ht="15.75" customHeight="1" x14ac:dyDescent="0.25">
      <c r="A10069" s="390" t="s">
        <v>1322</v>
      </c>
      <c r="B10069" s="390"/>
      <c r="C10069" s="390"/>
      <c r="D10069" s="391"/>
      <c r="E10069" s="390"/>
      <c r="F10069" s="391"/>
      <c r="G10069" s="390"/>
      <c r="H10069" s="394"/>
    </row>
    <row r="10070" spans="1:8" ht="15.75" customHeight="1" x14ac:dyDescent="0.25">
      <c r="A10070" s="390" t="s">
        <v>1328</v>
      </c>
      <c r="B10070" s="390"/>
      <c r="C10070" s="390"/>
      <c r="D10070" s="391"/>
      <c r="E10070" s="390"/>
      <c r="F10070" s="391"/>
      <c r="G10070" s="390"/>
      <c r="H10070" s="394"/>
    </row>
    <row r="10071" spans="1:8" ht="15.75" customHeight="1" x14ac:dyDescent="0.25">
      <c r="A10071" s="399" t="s">
        <v>33</v>
      </c>
      <c r="B10071" s="400" t="s">
        <v>6</v>
      </c>
      <c r="C10071" s="400"/>
      <c r="D10071" s="401" t="s">
        <v>37</v>
      </c>
      <c r="E10071" s="402" t="s">
        <v>38</v>
      </c>
      <c r="F10071" s="403" t="s">
        <v>7</v>
      </c>
      <c r="G10071" s="404" t="s">
        <v>43</v>
      </c>
      <c r="H10071" s="405" t="s">
        <v>44</v>
      </c>
    </row>
    <row r="10072" spans="1:8" ht="15.75" customHeight="1" x14ac:dyDescent="0.25">
      <c r="A10072" s="406"/>
      <c r="B10072" s="407"/>
      <c r="C10072" s="393"/>
      <c r="D10072" s="410"/>
      <c r="E10072" s="858"/>
      <c r="F10072" s="409"/>
      <c r="G10072" s="410"/>
      <c r="H10072" s="411"/>
    </row>
    <row r="10073" spans="1:8" ht="15.75" customHeight="1" x14ac:dyDescent="0.25">
      <c r="A10073" s="502"/>
      <c r="B10073" s="557" t="s">
        <v>1365</v>
      </c>
      <c r="C10073" s="560"/>
      <c r="D10073" s="427"/>
      <c r="E10073" s="391"/>
      <c r="F10073" s="428"/>
      <c r="G10073" s="675"/>
      <c r="H10073" s="429"/>
    </row>
    <row r="10074" spans="1:8" ht="15.75" customHeight="1" x14ac:dyDescent="0.25">
      <c r="A10074" s="502" t="s">
        <v>55</v>
      </c>
      <c r="B10074" s="448">
        <v>508</v>
      </c>
      <c r="C10074" s="813"/>
      <c r="D10074" s="427">
        <v>13</v>
      </c>
      <c r="E10074" s="391">
        <v>4</v>
      </c>
      <c r="F10074" s="428">
        <f>+E10074*D10074</f>
      </c>
      <c r="G10074" s="427">
        <v>1</v>
      </c>
      <c r="H10074" s="429">
        <f>+G10074*F10074</f>
      </c>
    </row>
    <row r="10075" spans="1:8" ht="15.75" customHeight="1" x14ac:dyDescent="0.25">
      <c r="A10075" s="502"/>
      <c r="B10075" s="448"/>
      <c r="C10075" s="813"/>
      <c r="D10075" s="427"/>
      <c r="E10075" s="391"/>
      <c r="F10075" s="428"/>
      <c r="G10075" s="427"/>
      <c r="H10075" s="429"/>
    </row>
    <row r="10076" spans="1:8" ht="15.75" customHeight="1" x14ac:dyDescent="0.25">
      <c r="A10076" s="502"/>
      <c r="B10076" s="448"/>
      <c r="C10076" s="813"/>
      <c r="D10076" s="427"/>
      <c r="E10076" s="391"/>
      <c r="F10076" s="428"/>
      <c r="G10076" s="427"/>
      <c r="H10076" s="429"/>
    </row>
    <row r="10077" spans="1:8" ht="15.75" customHeight="1" x14ac:dyDescent="0.25">
      <c r="A10077" s="502"/>
      <c r="B10077" s="448"/>
      <c r="C10077" s="813"/>
      <c r="D10077" s="427"/>
      <c r="E10077" s="391"/>
      <c r="F10077" s="428"/>
      <c r="G10077" s="427"/>
      <c r="H10077" s="429"/>
    </row>
    <row r="10078" spans="1:8" ht="15.75" customHeight="1" x14ac:dyDescent="0.25">
      <c r="A10078" s="502"/>
      <c r="B10078" s="448"/>
      <c r="C10078" s="813"/>
      <c r="D10078" s="427"/>
      <c r="E10078" s="391"/>
      <c r="F10078" s="428"/>
      <c r="G10078" s="427"/>
      <c r="H10078" s="429"/>
    </row>
    <row r="10079" spans="1:8" ht="15.75" customHeight="1" x14ac:dyDescent="0.25">
      <c r="A10079" s="502"/>
      <c r="B10079" s="448"/>
      <c r="C10079" s="813"/>
      <c r="D10079" s="427"/>
      <c r="E10079" s="391"/>
      <c r="F10079" s="428"/>
      <c r="G10079" s="427"/>
      <c r="H10079" s="429"/>
    </row>
    <row r="10080" spans="1:8" ht="15.75" customHeight="1" x14ac:dyDescent="0.25">
      <c r="A10080" s="502"/>
      <c r="B10080" s="859"/>
      <c r="C10080" s="860"/>
      <c r="D10080" s="861"/>
      <c r="E10080" s="860"/>
      <c r="F10080" s="862"/>
      <c r="G10080" s="863"/>
      <c r="H10080" s="444"/>
    </row>
    <row r="10081" spans="1:8" ht="15.75" customHeight="1" x14ac:dyDescent="0.25">
      <c r="A10081" s="432"/>
      <c r="B10081" s="433"/>
      <c r="C10081" s="434" t="s">
        <v>85</v>
      </c>
      <c r="D10081" s="435">
        <f>SUM(D10073:D10080)</f>
      </c>
      <c r="E10081" s="435"/>
      <c r="F10081" s="436">
        <f>SUM(F10074:F10080)</f>
      </c>
      <c r="G10081" s="437"/>
      <c r="H10081" s="438">
        <f>SUM(H10073:H10080)</f>
      </c>
    </row>
    <row r="10082" spans="1:8" ht="15.75" customHeight="1" x14ac:dyDescent="0.25">
      <c r="A10082" s="439"/>
      <c r="B10082" s="440"/>
      <c r="C10082" s="440"/>
      <c r="D10082" s="441"/>
      <c r="E10082" s="440"/>
      <c r="F10082" s="442"/>
      <c r="G10082" s="443"/>
      <c r="H10082" s="444"/>
    </row>
    <row r="10083" spans="1:8" ht="15.75" customHeight="1" x14ac:dyDescent="0.25">
      <c r="A10083" s="834"/>
      <c r="B10083" s="565"/>
      <c r="C10083" s="565"/>
      <c r="D10083" s="565"/>
      <c r="E10083" s="565"/>
      <c r="F10083" s="565"/>
      <c r="G10083" s="565"/>
      <c r="H10083" s="565"/>
    </row>
    <row r="10084" spans="1:8" ht="15.75" customHeight="1" x14ac:dyDescent="0.25">
      <c r="A10084" s="445"/>
      <c r="B10084" s="445"/>
      <c r="C10084" s="445"/>
      <c r="D10084" s="446" t="s">
        <v>97</v>
      </c>
      <c r="E10084" s="445" t="s">
        <v>98</v>
      </c>
      <c r="F10084" s="445"/>
      <c r="G10084" s="390"/>
      <c r="H10084" s="394"/>
    </row>
    <row r="10085" spans="1:8" ht="15.75" customHeight="1" x14ac:dyDescent="0.25">
      <c r="A10085" s="390"/>
      <c r="B10085" s="390"/>
      <c r="C10085" s="390"/>
      <c r="D10085" s="391"/>
      <c r="E10085" s="390"/>
      <c r="F10085" s="390"/>
      <c r="G10085" s="390"/>
      <c r="H10085" s="394"/>
    </row>
    <row r="10086" spans="1:8" ht="15.75" customHeight="1" x14ac:dyDescent="0.25">
      <c r="A10086" s="445"/>
      <c r="B10086" s="445"/>
      <c r="C10086" s="445"/>
      <c r="D10086" s="446"/>
      <c r="E10086" s="445" t="s">
        <v>99</v>
      </c>
      <c r="F10086" s="445"/>
      <c r="G10086" s="390"/>
      <c r="H10086" s="394"/>
    </row>
    <row r="10087" spans="1:8" ht="15.75" customHeight="1" x14ac:dyDescent="0.25">
      <c r="D10087" s="4"/>
      <c r="H10087" s="4"/>
    </row>
    <row r="10088" spans="1:8" ht="15.75" customHeight="1" x14ac:dyDescent="0.25">
      <c r="D10088" s="4"/>
      <c r="H10088" s="4"/>
    </row>
    <row r="10089" spans="1:8" ht="15.75" customHeight="1" x14ac:dyDescent="0.25">
      <c r="D10089" s="4"/>
      <c r="H10089" s="4"/>
    </row>
    <row r="10090" spans="1:8" ht="15.75" customHeight="1" x14ac:dyDescent="0.25">
      <c r="D10090" s="4"/>
      <c r="H10090" s="4"/>
    </row>
    <row r="10091" spans="1:8" ht="15.75" customHeight="1" x14ac:dyDescent="0.25">
      <c r="D10091" s="4"/>
      <c r="H10091" s="4"/>
    </row>
    <row r="10092" spans="1:8" ht="15.75" customHeight="1" x14ac:dyDescent="0.25">
      <c r="D10092" s="4"/>
      <c r="H10092" s="4"/>
    </row>
    <row r="10093" spans="1:8" ht="15.75" customHeight="1" x14ac:dyDescent="0.25">
      <c r="D10093" s="4"/>
      <c r="H10093" s="4"/>
    </row>
    <row r="10094" spans="1:8" ht="15.75" customHeight="1" x14ac:dyDescent="0.25">
      <c r="D10094" s="4"/>
      <c r="H10094" s="4"/>
    </row>
    <row r="10095" spans="1:8" ht="15.75" customHeight="1" x14ac:dyDescent="0.25">
      <c r="D10095" s="4"/>
      <c r="H10095" s="4"/>
    </row>
    <row r="10096" spans="1:8" ht="15.75" customHeight="1" x14ac:dyDescent="0.25">
      <c r="D10096" s="4"/>
      <c r="H10096" s="4"/>
    </row>
    <row r="10097" spans="1:8" ht="15.75" customHeight="1" x14ac:dyDescent="0.25">
      <c r="D10097" s="4"/>
      <c r="H10097" s="4"/>
    </row>
    <row r="10098" spans="1:8" ht="15.75" customHeight="1" x14ac:dyDescent="0.25">
      <c r="D10098" s="4"/>
      <c r="H10098" s="4"/>
    </row>
    <row r="10099" spans="1:8" ht="15.75" customHeight="1" x14ac:dyDescent="0.25">
      <c r="D10099" s="4"/>
      <c r="H10099" s="4"/>
    </row>
    <row r="10100" spans="1:8" ht="15.75" customHeight="1" x14ac:dyDescent="0.25">
      <c r="D10100" s="4"/>
      <c r="H10100" s="4"/>
    </row>
    <row r="10101" spans="1:8" ht="15.75" customHeight="1" x14ac:dyDescent="0.25">
      <c r="D10101" s="4"/>
      <c r="H10101" s="4"/>
    </row>
    <row r="10102" spans="1:8" ht="15.75" customHeight="1" x14ac:dyDescent="0.25">
      <c r="D10102" s="4"/>
      <c r="H10102" s="4"/>
    </row>
    <row r="10103" spans="1:8" ht="15.75" customHeight="1" x14ac:dyDescent="0.25">
      <c r="D10103" s="4"/>
      <c r="H10103" s="4"/>
    </row>
    <row r="10104" spans="1:8" ht="15.75" customHeight="1" x14ac:dyDescent="0.25">
      <c r="D10104" s="4"/>
      <c r="H10104" s="4"/>
    </row>
    <row r="10105" spans="1:8" ht="15.75" customHeight="1" x14ac:dyDescent="0.25">
      <c r="D10105" s="4"/>
      <c r="H10105" s="4"/>
    </row>
    <row r="10106" spans="1:8" ht="15.75" customHeight="1" x14ac:dyDescent="0.25">
      <c r="A10106" s="392" t="s">
        <v>14</v>
      </c>
      <c r="B10106" s="391"/>
      <c r="C10106" s="391"/>
      <c r="D10106" s="391"/>
      <c r="E10106" s="391"/>
      <c r="F10106" s="391"/>
      <c r="G10106" s="391"/>
      <c r="H10106" s="394"/>
    </row>
    <row r="10107" spans="1:8" ht="15.75" customHeight="1" x14ac:dyDescent="0.25">
      <c r="A10107" s="392"/>
      <c r="B10107" s="391"/>
      <c r="C10107" s="391"/>
      <c r="D10107" s="391"/>
      <c r="E10107" s="390"/>
      <c r="F10107" s="392"/>
      <c r="G10107" s="390"/>
      <c r="H10107" s="394"/>
    </row>
    <row r="10108" spans="1:8" ht="15.75" customHeight="1" x14ac:dyDescent="0.25">
      <c r="A10108" s="392"/>
      <c r="B10108" s="391"/>
      <c r="C10108" s="391"/>
      <c r="D10108" s="391"/>
      <c r="E10108" s="390"/>
      <c r="F10108" s="392"/>
      <c r="G10108" s="390"/>
      <c r="H10108" s="394"/>
    </row>
    <row r="10109" spans="1:8" ht="15.75" customHeight="1" x14ac:dyDescent="0.25">
      <c r="A10109" s="390" t="s">
        <v>20</v>
      </c>
      <c r="B10109" s="390"/>
      <c r="C10109" s="390"/>
      <c r="D10109" s="391"/>
      <c r="E10109" s="390"/>
      <c r="F10109" s="392"/>
      <c r="G10109" s="390"/>
      <c r="H10109" s="394"/>
    </row>
    <row r="10110" spans="1:8" ht="15.75" customHeight="1" x14ac:dyDescent="0.3">
      <c r="A10110" s="390" t="inlineStr">
        <is>
          <t>Dealer-003</t>
        </is>
      </c>
      <c r="B10110" s="390"/>
      <c r="C10110" s="390"/>
      <c r="D10110" s="391"/>
      <c r="E10110" s="390"/>
      <c r="F10110" s="395" t="s">
        <v>18</v>
      </c>
      <c r="G10110" s="23" t="s">
        <v>1036</v>
      </c>
      <c r="H10110" s="394"/>
    </row>
    <row r="10111" spans="1:8" ht="15.75" customHeight="1" x14ac:dyDescent="0.25">
      <c r="A10111" s="390" t="inlineStr">
        <is>
          <t>Address line (redacted)</t>
        </is>
      </c>
      <c r="B10111" s="390"/>
      <c r="C10111" s="390"/>
      <c r="D10111" s="391"/>
      <c r="E10111" s="390"/>
      <c r="F10111" s="393" t="s">
        <v>21</v>
      </c>
      <c r="G10111" s="390" t="s">
        <v>1929</v>
      </c>
      <c r="H10111" s="394"/>
    </row>
    <row r="10112" spans="1:8" ht="15.75" customHeight="1" x14ac:dyDescent="0.25">
      <c r="A10112" s="390" t="inlineStr">
        <is>
          <t>Address line (redacted)</t>
        </is>
      </c>
      <c r="B10112" s="390"/>
      <c r="C10112" s="390"/>
      <c r="D10112" s="391"/>
      <c r="E10112" s="390"/>
      <c r="F10112" s="391"/>
      <c r="G10112" s="390"/>
      <c r="H10112" s="394"/>
    </row>
    <row r="10113" spans="1:8" ht="15.75" customHeight="1" x14ac:dyDescent="0.25">
      <c r="A10113" s="390"/>
      <c r="B10113" s="390"/>
      <c r="C10113" s="393"/>
      <c r="D10113" s="391"/>
      <c r="E10113" s="390"/>
      <c r="F10113" s="391"/>
      <c r="G10113" s="390"/>
      <c r="H10113" s="394"/>
    </row>
    <row r="10114" spans="1:8" ht="15.75" customHeight="1" x14ac:dyDescent="0.25">
      <c r="A10114" s="390"/>
      <c r="B10114" s="390"/>
      <c r="C10114" s="390"/>
      <c r="D10114" s="391"/>
      <c r="E10114" s="390"/>
      <c r="F10114" s="391"/>
      <c r="G10114" s="390"/>
      <c r="H10114" s="394"/>
    </row>
    <row r="10115" spans="1:8" ht="15.75" customHeight="1" x14ac:dyDescent="0.25">
      <c r="A10115" s="390" t="s">
        <v>30</v>
      </c>
      <c r="B10115" s="390"/>
      <c r="C10115" s="390"/>
      <c r="D10115" s="391"/>
      <c r="E10115" s="390"/>
      <c r="F10115" s="391"/>
      <c r="G10115" s="390"/>
      <c r="H10115" s="394"/>
    </row>
    <row r="10116" spans="1:8" ht="15.75" customHeight="1" x14ac:dyDescent="0.25">
      <c r="A10116" s="390"/>
      <c r="B10116" s="390"/>
      <c r="C10116" s="390"/>
      <c r="D10116" s="391"/>
      <c r="E10116" s="390"/>
      <c r="F10116" s="391"/>
      <c r="G10116" s="390"/>
      <c r="H10116" s="394"/>
    </row>
    <row r="10117" spans="1:8" ht="15.75" customHeight="1" x14ac:dyDescent="0.25">
      <c r="A10117" s="390" t="s">
        <v>1322</v>
      </c>
      <c r="B10117" s="390"/>
      <c r="C10117" s="390"/>
      <c r="D10117" s="391"/>
      <c r="E10117" s="390"/>
      <c r="F10117" s="391"/>
      <c r="G10117" s="390"/>
      <c r="H10117" s="394"/>
    </row>
    <row r="10118" spans="1:8" ht="15.75" customHeight="1" x14ac:dyDescent="0.25">
      <c r="A10118" s="390" t="s">
        <v>1328</v>
      </c>
      <c r="B10118" s="390"/>
      <c r="C10118" s="390"/>
      <c r="D10118" s="391"/>
      <c r="E10118" s="390"/>
      <c r="F10118" s="391"/>
      <c r="G10118" s="390"/>
      <c r="H10118" s="394"/>
    </row>
    <row r="10119" spans="1:8" ht="15.75" customHeight="1" x14ac:dyDescent="0.25">
      <c r="A10119" s="390"/>
      <c r="B10119" s="390"/>
      <c r="C10119" s="390"/>
      <c r="D10119" s="391"/>
      <c r="E10119" s="390"/>
      <c r="F10119" s="391"/>
      <c r="G10119" s="390"/>
      <c r="H10119" s="394"/>
    </row>
    <row r="10120" spans="1:8" ht="15.75" customHeight="1" x14ac:dyDescent="0.25">
      <c r="A10120" s="399" t="s">
        <v>33</v>
      </c>
      <c r="B10120" s="400" t="s">
        <v>6</v>
      </c>
      <c r="C10120" s="400"/>
      <c r="D10120" s="401" t="s">
        <v>37</v>
      </c>
      <c r="E10120" s="402" t="s">
        <v>1309</v>
      </c>
      <c r="F10120" s="609" t="s">
        <v>7</v>
      </c>
      <c r="G10120" s="400" t="s">
        <v>43</v>
      </c>
      <c r="H10120" s="405" t="s">
        <v>44</v>
      </c>
    </row>
    <row r="10121" spans="1:8" ht="15.75" customHeight="1" x14ac:dyDescent="0.25">
      <c r="A10121" s="610"/>
      <c r="B10121" s="611"/>
      <c r="C10121" s="611"/>
      <c r="D10121" s="612"/>
      <c r="E10121" s="613"/>
      <c r="F10121" s="614"/>
      <c r="G10121" s="611"/>
      <c r="H10121" s="615"/>
    </row>
    <row r="10122" spans="1:8" ht="15.75" customHeight="1" x14ac:dyDescent="0.25">
      <c r="A10122" s="581"/>
      <c r="B10122" s="654" t="s">
        <v>674</v>
      </c>
      <c r="C10122" s="654"/>
      <c r="D10122" s="415"/>
      <c r="E10122" s="415"/>
      <c r="F10122" s="415"/>
      <c r="G10122" s="579"/>
      <c r="H10122" s="416"/>
    </row>
    <row r="10123" spans="1:8" ht="15.75" customHeight="1" x14ac:dyDescent="0.25">
      <c r="A10123" s="581" t="s">
        <v>55</v>
      </c>
      <c r="B10123" s="644" t="s">
        <v>239</v>
      </c>
      <c r="C10123" s="644"/>
      <c r="D10123" s="415">
        <v>10</v>
      </c>
      <c r="E10123" s="415">
        <v>1</v>
      </c>
      <c r="F10123" s="415">
        <f t="shared" ref="F10123:F10124" si="340">+E10123*D10123</f>
      </c>
      <c r="G10123" s="578">
        <v>1</v>
      </c>
      <c r="H10123" s="416">
        <f>+G10123*F10123</f>
      </c>
    </row>
    <row r="10124" spans="1:8" ht="15.75" customHeight="1" x14ac:dyDescent="0.25">
      <c r="A10124" s="581" t="s">
        <v>59</v>
      </c>
      <c r="B10124" s="644" t="s">
        <v>239</v>
      </c>
      <c r="C10124" s="591"/>
      <c r="D10124" s="415">
        <v>1</v>
      </c>
      <c r="E10124" s="415">
        <v>1</v>
      </c>
      <c r="F10124" s="415">
        <f t="shared" si="340"/>
      </c>
      <c r="G10124" s="705" t="s">
        <v>2187</v>
      </c>
      <c r="H10124" s="706"/>
    </row>
    <row r="10125" spans="1:8" ht="15.75" customHeight="1" x14ac:dyDescent="0.25">
      <c r="A10125" s="581"/>
      <c r="B10125" s="644"/>
      <c r="C10125" s="582"/>
      <c r="D10125" s="415"/>
      <c r="E10125" s="415"/>
      <c r="F10125" s="415"/>
      <c r="G10125" s="415"/>
      <c r="H10125" s="589"/>
    </row>
    <row r="10126" spans="1:8" ht="15.75" customHeight="1" x14ac:dyDescent="0.25">
      <c r="A10126" s="581"/>
      <c r="B10126" s="644"/>
      <c r="C10126" s="582"/>
      <c r="D10126" s="415"/>
      <c r="E10126" s="415"/>
      <c r="F10126" s="415"/>
      <c r="G10126" s="415"/>
      <c r="H10126" s="589"/>
    </row>
    <row r="10127" spans="1:8" ht="15.75" customHeight="1" x14ac:dyDescent="0.25">
      <c r="A10127" s="581"/>
      <c r="B10127" s="654"/>
      <c r="C10127" s="654"/>
      <c r="D10127" s="415"/>
      <c r="E10127" s="415"/>
      <c r="F10127" s="415"/>
      <c r="G10127" s="415"/>
      <c r="H10127" s="589"/>
    </row>
    <row r="10128" spans="1:8" ht="15.75" customHeight="1" x14ac:dyDescent="0.25">
      <c r="A10128" s="581"/>
      <c r="B10128" s="644"/>
      <c r="C10128" s="654"/>
      <c r="D10128" s="415"/>
      <c r="E10128" s="415"/>
      <c r="F10128" s="415"/>
      <c r="G10128" s="415"/>
      <c r="H10128" s="589"/>
    </row>
    <row r="10129" spans="1:8" ht="15.75" customHeight="1" x14ac:dyDescent="0.25">
      <c r="A10129" s="581"/>
      <c r="B10129" s="644"/>
      <c r="C10129" s="654"/>
      <c r="D10129" s="415"/>
      <c r="E10129" s="415"/>
      <c r="F10129" s="415"/>
      <c r="G10129" s="415"/>
      <c r="H10129" s="589"/>
    </row>
    <row r="10130" spans="1:8" ht="15.75" customHeight="1" x14ac:dyDescent="0.25">
      <c r="A10130" s="581"/>
      <c r="B10130" s="582"/>
      <c r="C10130" s="582"/>
      <c r="D10130" s="415"/>
      <c r="E10130" s="415"/>
      <c r="F10130" s="415"/>
      <c r="G10130" s="415"/>
      <c r="H10130" s="589"/>
    </row>
    <row r="10131" spans="1:8" ht="15.75" customHeight="1" x14ac:dyDescent="0.25">
      <c r="A10131" s="430"/>
      <c r="B10131" s="409"/>
      <c r="C10131" s="393"/>
      <c r="D10131" s="427"/>
      <c r="E10131" s="427"/>
      <c r="F10131" s="428"/>
      <c r="G10131" s="427"/>
      <c r="H10131" s="429"/>
    </row>
    <row r="10132" spans="1:8" ht="15.75" customHeight="1" x14ac:dyDescent="0.25">
      <c r="A10132" s="432"/>
      <c r="B10132" s="433"/>
      <c r="C10132" s="434" t="s">
        <v>85</v>
      </c>
      <c r="D10132" s="659">
        <f>SUM(D10123:D10131)</f>
      </c>
      <c r="E10132" s="401"/>
      <c r="F10132" s="864">
        <f>SUM(F10123:F10131)</f>
      </c>
      <c r="G10132" s="661"/>
      <c r="H10132" s="623">
        <f>SUM(H10122:H10131)</f>
      </c>
    </row>
    <row r="10133" spans="1:8" ht="15.75" customHeight="1" x14ac:dyDescent="0.25">
      <c r="A10133" s="439"/>
      <c r="B10133" s="440"/>
      <c r="C10133" s="440"/>
      <c r="D10133" s="441"/>
      <c r="E10133" s="440"/>
      <c r="F10133" s="442"/>
      <c r="G10133" s="443"/>
      <c r="H10133" s="444"/>
    </row>
    <row r="10134" spans="1:8" ht="15.75" customHeight="1" x14ac:dyDescent="0.25">
      <c r="A10134" s="392"/>
      <c r="B10134" s="391"/>
      <c r="C10134" s="391"/>
      <c r="D10134" s="391"/>
      <c r="E10134" s="390"/>
      <c r="F10134" s="392"/>
      <c r="G10134" s="390"/>
      <c r="H10134" s="394"/>
    </row>
    <row r="10135" spans="1:8" ht="15.75" customHeight="1" x14ac:dyDescent="0.25">
      <c r="A10135" s="445"/>
      <c r="B10135" s="445"/>
      <c r="C10135" s="445"/>
      <c r="D10135" s="446" t="s">
        <v>97</v>
      </c>
      <c r="E10135" s="445" t="s">
        <v>98</v>
      </c>
      <c r="F10135" s="445"/>
      <c r="G10135" s="390"/>
      <c r="H10135" s="394"/>
    </row>
    <row r="10136" spans="1:8" ht="15.75" customHeight="1" x14ac:dyDescent="0.25">
      <c r="A10136" s="390"/>
      <c r="B10136" s="390"/>
      <c r="C10136" s="390"/>
      <c r="D10136" s="391"/>
      <c r="E10136" s="390"/>
      <c r="F10136" s="390"/>
      <c r="G10136" s="390"/>
      <c r="H10136" s="394"/>
    </row>
    <row r="10137" spans="1:8" ht="15.75" customHeight="1" x14ac:dyDescent="0.25">
      <c r="A10137" s="390"/>
      <c r="B10137" s="390"/>
      <c r="C10137" s="390"/>
      <c r="D10137" s="391"/>
      <c r="E10137" s="390"/>
      <c r="F10137" s="390"/>
      <c r="G10137" s="390"/>
      <c r="H10137" s="394"/>
    </row>
    <row r="10138" spans="1:8" ht="15.75" customHeight="1" x14ac:dyDescent="0.25">
      <c r="A10138" s="445"/>
      <c r="B10138" s="445"/>
      <c r="C10138" s="445"/>
      <c r="D10138" s="446"/>
      <c r="E10138" s="445" t="s">
        <v>99</v>
      </c>
      <c r="F10138" s="445"/>
      <c r="G10138" s="390"/>
      <c r="H10138" s="394"/>
    </row>
    <row r="10139" spans="1:8" ht="15.75" customHeight="1" x14ac:dyDescent="0.25">
      <c r="D10139" s="4"/>
      <c r="H10139" s="4"/>
    </row>
    <row r="10140" spans="1:8" ht="15.75" customHeight="1" x14ac:dyDescent="0.25">
      <c r="D10140" s="4"/>
      <c r="H10140" s="4"/>
    </row>
    <row r="10141" spans="1:8" ht="15.75" customHeight="1" x14ac:dyDescent="0.25">
      <c r="D10141" s="4"/>
      <c r="H10141" s="4"/>
    </row>
    <row r="10142" spans="1:8" ht="15.75" customHeight="1" x14ac:dyDescent="0.25">
      <c r="D10142" s="4"/>
      <c r="H10142" s="4"/>
    </row>
    <row r="10143" spans="1:8" ht="15.75" customHeight="1" x14ac:dyDescent="0.25">
      <c r="D10143" s="4"/>
      <c r="H10143" s="4"/>
    </row>
    <row r="10144" spans="1:8" ht="15.75" customHeight="1" x14ac:dyDescent="0.25">
      <c r="D10144" s="4"/>
      <c r="H10144" s="4"/>
    </row>
    <row r="10145" spans="1:8" ht="15.75" customHeight="1" x14ac:dyDescent="0.25">
      <c r="D10145" s="4"/>
      <c r="H10145" s="4"/>
    </row>
    <row r="10146" spans="1:8" ht="15.75" customHeight="1" x14ac:dyDescent="0.25">
      <c r="D10146" s="4"/>
      <c r="H10146" s="4"/>
    </row>
    <row r="10147" spans="1:8" ht="15.75" customHeight="1" x14ac:dyDescent="0.25">
      <c r="D10147" s="4"/>
      <c r="H10147" s="4"/>
    </row>
    <row r="10148" spans="1:8" ht="15.75" customHeight="1" x14ac:dyDescent="0.25">
      <c r="D10148" s="4"/>
      <c r="H10148" s="4"/>
    </row>
    <row r="10149" spans="1:8" ht="15.75" customHeight="1" x14ac:dyDescent="0.25">
      <c r="D10149" s="4"/>
      <c r="H10149" s="4"/>
    </row>
    <row r="10150" spans="1:8" ht="15.75" customHeight="1" x14ac:dyDescent="0.25">
      <c r="D10150" s="4"/>
      <c r="H10150" s="4"/>
    </row>
    <row r="10151" spans="1:8" ht="15.75" customHeight="1" x14ac:dyDescent="0.25">
      <c r="D10151" s="4"/>
      <c r="H10151" s="4"/>
    </row>
    <row r="10152" spans="1:8" ht="15.75" customHeight="1" x14ac:dyDescent="0.25">
      <c r="A10152" s="398" t="s">
        <v>14</v>
      </c>
      <c r="B10152" s="398"/>
      <c r="C10152" s="398"/>
      <c r="D10152" s="398"/>
      <c r="E10152" s="398"/>
      <c r="F10152" s="398"/>
      <c r="G10152" s="398"/>
      <c r="H10152" s="398"/>
    </row>
    <row r="10153" spans="1:8" ht="15.75" customHeight="1" x14ac:dyDescent="0.25">
      <c r="A10153" s="398"/>
      <c r="B10153" s="398"/>
      <c r="C10153" s="398"/>
      <c r="D10153" s="398"/>
      <c r="E10153" s="398"/>
      <c r="F10153" s="398"/>
      <c r="G10153" s="398"/>
      <c r="H10153" s="398"/>
    </row>
    <row r="10154" spans="1:8" ht="15.75" customHeight="1" x14ac:dyDescent="0.25">
      <c r="A10154" s="390"/>
      <c r="B10154" s="390"/>
      <c r="C10154" s="390"/>
      <c r="D10154" s="391"/>
      <c r="E10154" s="390"/>
      <c r="F10154" s="395" t="s">
        <v>18</v>
      </c>
      <c r="G10154" s="396" t="s">
        <v>1042</v>
      </c>
      <c r="H10154" s="397"/>
    </row>
    <row r="10155" spans="1:8" ht="15.75" customHeight="1" x14ac:dyDescent="0.25">
      <c r="A10155" s="390" t="s">
        <v>20</v>
      </c>
      <c r="B10155" s="390"/>
      <c r="C10155" s="390"/>
      <c r="D10155" s="391"/>
      <c r="E10155" s="390"/>
      <c r="F10155" s="395" t="s">
        <v>21</v>
      </c>
      <c r="G10155" s="390" t="s">
        <v>1930</v>
      </c>
      <c r="H10155" s="391"/>
    </row>
    <row r="10156" spans="1:8" ht="15.75" customHeight="1" x14ac:dyDescent="0.25">
      <c r="A10156" s="390" t="inlineStr">
        <is>
          <t>Dealer-009</t>
        </is>
      </c>
      <c r="B10156" s="390"/>
      <c r="C10156" s="390"/>
      <c r="D10156" s="391"/>
      <c r="E10156" s="395"/>
      <c r="F10156" s="390"/>
      <c r="G10156" s="390"/>
      <c r="H10156" s="394"/>
    </row>
    <row r="10157" spans="1:8" ht="15.75" customHeight="1" x14ac:dyDescent="0.25">
      <c r="A10157" s="390" t="inlineStr">
        <is>
          <t>Address line (redacted)</t>
        </is>
      </c>
      <c r="B10157" s="390"/>
      <c r="C10157" s="390"/>
      <c r="D10157" s="398"/>
      <c r="E10157" s="390"/>
      <c r="F10157" s="391"/>
      <c r="G10157" s="390"/>
      <c r="H10157" s="394"/>
    </row>
    <row r="10158" spans="1:8" ht="15.75" customHeight="1" x14ac:dyDescent="0.25">
      <c r="A10158" s="390" t="inlineStr">
        <is>
          <t>Address line (redacted)</t>
        </is>
      </c>
      <c r="B10158" s="390"/>
      <c r="C10158" s="390"/>
      <c r="D10158" s="398"/>
      <c r="E10158" s="390"/>
      <c r="F10158" s="391"/>
      <c r="G10158" s="390"/>
      <c r="H10158" s="394"/>
    </row>
    <row r="10159" spans="1:8" ht="15.75" customHeight="1" x14ac:dyDescent="0.25">
      <c r="A10159" s="447"/>
      <c r="B10159" s="390"/>
      <c r="C10159" s="390"/>
      <c r="D10159" s="391"/>
      <c r="E10159" s="390"/>
      <c r="F10159" s="391"/>
      <c r="G10159" s="390"/>
      <c r="H10159" s="394"/>
    </row>
    <row r="10160" spans="1:8" ht="15.75" customHeight="1" x14ac:dyDescent="0.25">
      <c r="A10160" s="390" t="s">
        <v>30</v>
      </c>
      <c r="B10160" s="390"/>
      <c r="C10160" s="390"/>
      <c r="D10160" s="391"/>
      <c r="E10160" s="390"/>
      <c r="F10160" s="391"/>
      <c r="G10160" s="390"/>
      <c r="H10160" s="394"/>
    </row>
    <row r="10161" spans="1:8" ht="15.75" customHeight="1" x14ac:dyDescent="0.25">
      <c r="A10161" s="390" t="s">
        <v>1322</v>
      </c>
      <c r="B10161" s="390"/>
      <c r="C10161" s="390"/>
      <c r="D10161" s="391"/>
      <c r="E10161" s="390"/>
      <c r="F10161" s="391"/>
      <c r="G10161" s="390"/>
      <c r="H10161" s="394"/>
    </row>
    <row r="10162" spans="1:8" ht="15.75" customHeight="1" x14ac:dyDescent="0.25">
      <c r="A10162" s="390" t="s">
        <v>1328</v>
      </c>
      <c r="B10162" s="390"/>
      <c r="C10162" s="390"/>
      <c r="D10162" s="391"/>
      <c r="E10162" s="390"/>
      <c r="F10162" s="391"/>
      <c r="G10162" s="390"/>
      <c r="H10162" s="394"/>
    </row>
    <row r="10163" spans="1:8" ht="15.75" customHeight="1" x14ac:dyDescent="0.25">
      <c r="A10163" s="399" t="s">
        <v>33</v>
      </c>
      <c r="B10163" s="400" t="s">
        <v>6</v>
      </c>
      <c r="C10163" s="400"/>
      <c r="D10163" s="401" t="s">
        <v>37</v>
      </c>
      <c r="E10163" s="402" t="s">
        <v>38</v>
      </c>
      <c r="F10163" s="403" t="s">
        <v>7</v>
      </c>
      <c r="G10163" s="404" t="s">
        <v>43</v>
      </c>
      <c r="H10163" s="405" t="s">
        <v>44</v>
      </c>
    </row>
    <row r="10164" spans="1:8" ht="15.75" customHeight="1" x14ac:dyDescent="0.25">
      <c r="A10164" s="406"/>
      <c r="B10164" s="407"/>
      <c r="C10164" s="393"/>
      <c r="D10164" s="410"/>
      <c r="E10164" s="858"/>
      <c r="F10164" s="409"/>
      <c r="G10164" s="410"/>
      <c r="H10164" s="411"/>
    </row>
    <row r="10165" spans="1:8" ht="15.75" customHeight="1" x14ac:dyDescent="0.25">
      <c r="A10165" s="502"/>
      <c r="B10165" s="557" t="s">
        <v>1102</v>
      </c>
      <c r="C10165" s="560"/>
      <c r="D10165" s="427"/>
      <c r="E10165" s="391"/>
      <c r="F10165" s="428"/>
      <c r="G10165" s="833"/>
      <c r="H10165" s="429"/>
    </row>
    <row r="10166" spans="1:8" ht="15.75" customHeight="1" x14ac:dyDescent="0.25">
      <c r="A10166" s="502" t="s">
        <v>55</v>
      </c>
      <c r="B10166" s="718" t="s">
        <v>81</v>
      </c>
      <c r="C10166" s="832" t="s">
        <v>82</v>
      </c>
      <c r="D10166" s="427">
        <v>3</v>
      </c>
      <c r="E10166" s="391">
        <v>5</v>
      </c>
      <c r="F10166" s="428">
        <f t="shared" ref="F10166:F10170" si="341">+E10166*D10166</f>
      </c>
      <c r="G10166" s="428">
        <v>1</v>
      </c>
      <c r="H10166" s="429">
        <f t="shared" ref="H10166:H10170" si="342">+G10166*F10166</f>
      </c>
    </row>
    <row r="10167" spans="1:8" ht="15.75" customHeight="1" x14ac:dyDescent="0.25">
      <c r="A10167" s="502" t="s">
        <v>59</v>
      </c>
      <c r="B10167" s="718" t="s">
        <v>655</v>
      </c>
      <c r="C10167" s="832" t="s">
        <v>94</v>
      </c>
      <c r="D10167" s="427">
        <v>1</v>
      </c>
      <c r="E10167" s="391">
        <v>5</v>
      </c>
      <c r="F10167" s="428">
        <f t="shared" si="341"/>
      </c>
      <c r="G10167" s="428">
        <v>1</v>
      </c>
      <c r="H10167" s="429">
        <f t="shared" si="342"/>
      </c>
    </row>
    <row r="10168" spans="1:8" ht="15.75" customHeight="1" x14ac:dyDescent="0.25">
      <c r="A10168" s="502" t="s">
        <v>67</v>
      </c>
      <c r="B10168" s="718" t="s">
        <v>1932</v>
      </c>
      <c r="C10168" s="832" t="s">
        <v>87</v>
      </c>
      <c r="D10168" s="427">
        <v>1</v>
      </c>
      <c r="E10168" s="391">
        <v>5</v>
      </c>
      <c r="F10168" s="428">
        <f t="shared" si="341"/>
      </c>
      <c r="G10168" s="428">
        <v>1</v>
      </c>
      <c r="H10168" s="429">
        <f t="shared" si="342"/>
      </c>
    </row>
    <row r="10169" spans="1:8" ht="15.75" customHeight="1" x14ac:dyDescent="0.25">
      <c r="A10169" s="502" t="s">
        <v>485</v>
      </c>
      <c r="B10169" s="718" t="s">
        <v>1334</v>
      </c>
      <c r="C10169" s="832" t="s">
        <v>331</v>
      </c>
      <c r="D10169" s="427">
        <v>2</v>
      </c>
      <c r="E10169" s="391">
        <v>5</v>
      </c>
      <c r="F10169" s="428">
        <f t="shared" si="341"/>
      </c>
      <c r="G10169" s="428">
        <v>1</v>
      </c>
      <c r="H10169" s="429">
        <f t="shared" si="342"/>
      </c>
    </row>
    <row r="10170" spans="1:8" ht="15.75" customHeight="1" x14ac:dyDescent="0.25">
      <c r="A10170" s="502" t="s">
        <v>486</v>
      </c>
      <c r="B10170" s="718" t="s">
        <v>131</v>
      </c>
      <c r="C10170" s="832" t="s">
        <v>329</v>
      </c>
      <c r="D10170" s="427">
        <v>1</v>
      </c>
      <c r="E10170" s="391">
        <v>5</v>
      </c>
      <c r="F10170" s="428">
        <f t="shared" si="341"/>
      </c>
      <c r="G10170" s="428">
        <v>1</v>
      </c>
      <c r="H10170" s="429">
        <f t="shared" si="342"/>
      </c>
    </row>
    <row r="10171" spans="1:8" ht="15.75" customHeight="1" x14ac:dyDescent="0.25">
      <c r="A10171" s="502"/>
      <c r="B10171" s="557" t="s">
        <v>1754</v>
      </c>
      <c r="C10171" s="560"/>
      <c r="D10171" s="427"/>
      <c r="E10171" s="391"/>
      <c r="F10171" s="428"/>
      <c r="G10171" s="428"/>
      <c r="H10171" s="429"/>
    </row>
    <row r="10172" spans="1:8" ht="15.75" customHeight="1" x14ac:dyDescent="0.25">
      <c r="A10172" s="502" t="s">
        <v>489</v>
      </c>
      <c r="B10172" s="718" t="s">
        <v>1830</v>
      </c>
      <c r="C10172" s="832"/>
      <c r="D10172" s="427">
        <v>2</v>
      </c>
      <c r="E10172" s="391">
        <v>10</v>
      </c>
      <c r="F10172" s="428">
        <f>+E10172*D10172</f>
      </c>
      <c r="G10172" s="428">
        <v>1</v>
      </c>
      <c r="H10172" s="429">
        <f>+G10172*F10172</f>
      </c>
    </row>
    <row r="10173" spans="1:8" ht="15.75" customHeight="1" x14ac:dyDescent="0.25">
      <c r="A10173" s="502"/>
      <c r="B10173" s="557" t="s">
        <v>1408</v>
      </c>
      <c r="C10173" s="560"/>
      <c r="D10173" s="427"/>
      <c r="E10173" s="391"/>
      <c r="F10173" s="428"/>
      <c r="G10173" s="833"/>
      <c r="H10173" s="429"/>
    </row>
    <row r="10174" spans="1:8" ht="15.75" customHeight="1" x14ac:dyDescent="0.25">
      <c r="A10174" s="502" t="s">
        <v>490</v>
      </c>
      <c r="B10174" s="826" t="s">
        <v>1933</v>
      </c>
      <c r="C10174" s="825" t="s">
        <v>432</v>
      </c>
      <c r="D10174" s="427">
        <v>2</v>
      </c>
      <c r="E10174" s="391">
        <v>25</v>
      </c>
      <c r="F10174" s="428">
        <f>+E10174*D10174</f>
      </c>
      <c r="G10174" s="427">
        <v>1</v>
      </c>
      <c r="H10174" s="429">
        <f>+G10174*F10174</f>
      </c>
    </row>
    <row r="10175" spans="1:8" ht="15.75" customHeight="1" x14ac:dyDescent="0.25">
      <c r="A10175" s="502"/>
      <c r="B10175" s="448"/>
      <c r="C10175" s="813"/>
      <c r="D10175" s="427"/>
      <c r="E10175" s="391"/>
      <c r="F10175" s="428"/>
      <c r="G10175" s="675"/>
      <c r="H10175" s="429"/>
    </row>
    <row r="10176" spans="1:8" ht="15.75" customHeight="1" x14ac:dyDescent="0.25">
      <c r="A10176" s="502"/>
      <c r="B10176" s="557"/>
      <c r="C10176" s="560"/>
      <c r="D10176" s="427"/>
      <c r="E10176" s="391"/>
      <c r="F10176" s="428"/>
      <c r="G10176" s="675"/>
      <c r="H10176" s="429"/>
    </row>
    <row r="10177" spans="1:8" ht="15.75" customHeight="1" x14ac:dyDescent="0.25">
      <c r="A10177" s="502"/>
      <c r="B10177" s="448"/>
      <c r="C10177" s="813"/>
      <c r="D10177" s="427"/>
      <c r="E10177" s="391"/>
      <c r="F10177" s="428"/>
      <c r="G10177" s="427"/>
      <c r="H10177" s="429"/>
    </row>
    <row r="10178" spans="1:8" ht="15.75" customHeight="1" x14ac:dyDescent="0.25">
      <c r="A10178" s="502"/>
      <c r="B10178" s="557"/>
      <c r="C10178" s="560"/>
      <c r="D10178" s="427"/>
      <c r="E10178" s="391"/>
      <c r="F10178" s="428"/>
      <c r="G10178" s="675"/>
      <c r="H10178" s="429"/>
    </row>
    <row r="10179" spans="1:8" ht="15.75" customHeight="1" x14ac:dyDescent="0.25">
      <c r="A10179" s="502"/>
      <c r="B10179" s="448"/>
      <c r="C10179" s="813"/>
      <c r="D10179" s="427"/>
      <c r="E10179" s="391"/>
      <c r="F10179" s="428"/>
      <c r="G10179" s="427"/>
      <c r="H10179" s="429"/>
    </row>
    <row r="10180" spans="1:8" ht="15.75" customHeight="1" x14ac:dyDescent="0.25">
      <c r="A10180" s="502"/>
      <c r="B10180" s="859"/>
      <c r="C10180" s="860"/>
      <c r="D10180" s="861"/>
      <c r="E10180" s="860"/>
      <c r="F10180" s="862"/>
      <c r="G10180" s="863"/>
      <c r="H10180" s="444"/>
    </row>
    <row r="10181" spans="1:8" ht="15.75" customHeight="1" x14ac:dyDescent="0.25">
      <c r="A10181" s="432"/>
      <c r="B10181" s="433"/>
      <c r="C10181" s="434" t="s">
        <v>85</v>
      </c>
      <c r="D10181" s="435">
        <f>SUM(D10166:D10180)</f>
      </c>
      <c r="E10181" s="435"/>
      <c r="F10181" s="436"/>
      <c r="G10181" s="437"/>
      <c r="H10181" s="438">
        <f>SUM(H10166:H10180)</f>
      </c>
    </row>
    <row r="10182" spans="1:8" ht="15.75" customHeight="1" x14ac:dyDescent="0.25">
      <c r="A10182" s="439"/>
      <c r="B10182" s="440"/>
      <c r="C10182" s="440"/>
      <c r="D10182" s="441"/>
      <c r="E10182" s="440"/>
      <c r="F10182" s="442"/>
      <c r="G10182" s="443"/>
      <c r="H10182" s="444"/>
    </row>
    <row r="10183" spans="1:8" ht="15.75" customHeight="1" x14ac:dyDescent="0.25">
      <c r="A10183" s="834"/>
      <c r="B10183" s="565"/>
      <c r="C10183" s="565"/>
      <c r="D10183" s="565"/>
      <c r="E10183" s="565"/>
      <c r="F10183" s="565"/>
      <c r="G10183" s="565"/>
      <c r="H10183" s="565"/>
    </row>
    <row r="10184" spans="1:8" ht="15.75" customHeight="1" x14ac:dyDescent="0.25">
      <c r="A10184" s="445"/>
      <c r="B10184" s="445"/>
      <c r="C10184" s="445"/>
      <c r="D10184" s="446" t="s">
        <v>97</v>
      </c>
      <c r="E10184" s="445" t="s">
        <v>98</v>
      </c>
      <c r="F10184" s="445"/>
      <c r="G10184" s="390"/>
      <c r="H10184" s="394"/>
    </row>
    <row r="10185" spans="1:8" ht="15.75" customHeight="1" x14ac:dyDescent="0.25">
      <c r="A10185" s="390"/>
      <c r="B10185" s="390"/>
      <c r="C10185" s="390"/>
      <c r="D10185" s="391"/>
      <c r="E10185" s="390"/>
      <c r="F10185" s="390"/>
      <c r="G10185" s="390"/>
      <c r="H10185" s="394"/>
    </row>
    <row r="10186" spans="1:8" ht="15.75" customHeight="1" x14ac:dyDescent="0.25">
      <c r="A10186" s="445"/>
      <c r="B10186" s="445"/>
      <c r="C10186" s="445"/>
      <c r="D10186" s="446"/>
      <c r="E10186" s="445" t="s">
        <v>99</v>
      </c>
      <c r="F10186" s="445"/>
      <c r="G10186" s="390"/>
      <c r="H10186" s="394"/>
    </row>
    <row r="10187" spans="1:8" ht="15.75" customHeight="1" x14ac:dyDescent="0.25">
      <c r="D10187" s="4"/>
      <c r="H10187" s="4"/>
    </row>
    <row r="10188" spans="1:8" ht="15.75" customHeight="1" x14ac:dyDescent="0.25">
      <c r="D10188" s="4"/>
      <c r="H10188" s="4"/>
    </row>
    <row r="10189" spans="1:8" ht="15.75" customHeight="1" x14ac:dyDescent="0.25">
      <c r="D10189" s="4"/>
      <c r="H10189" s="4"/>
    </row>
    <row r="10190" spans="1:8" ht="15.75" customHeight="1" x14ac:dyDescent="0.25">
      <c r="D10190" s="4"/>
      <c r="H10190" s="4"/>
    </row>
    <row r="10191" spans="1:8" ht="15.75" customHeight="1" x14ac:dyDescent="0.25">
      <c r="D10191" s="4"/>
      <c r="H10191" s="4"/>
    </row>
    <row r="10192" spans="1:8" ht="15.75" customHeight="1" x14ac:dyDescent="0.25">
      <c r="D10192" s="4"/>
      <c r="H10192" s="4"/>
    </row>
    <row r="10193" spans="1:8" ht="15.75" customHeight="1" x14ac:dyDescent="0.25">
      <c r="D10193" s="4"/>
      <c r="H10193" s="4"/>
    </row>
    <row r="10194" spans="1:8" ht="15.75" customHeight="1" x14ac:dyDescent="0.25">
      <c r="D10194" s="4"/>
      <c r="H10194" s="4"/>
    </row>
    <row r="10195" spans="1:8" ht="15.75" customHeight="1" x14ac:dyDescent="0.25">
      <c r="D10195" s="4"/>
      <c r="H10195" s="4"/>
    </row>
    <row r="10196" spans="1:8" ht="15.75" customHeight="1" x14ac:dyDescent="0.25">
      <c r="D10196" s="4"/>
      <c r="H10196" s="4"/>
    </row>
    <row r="10197" spans="1:8" ht="15.75" customHeight="1" x14ac:dyDescent="0.25">
      <c r="D10197" s="4"/>
      <c r="H10197" s="4"/>
    </row>
    <row r="10198" spans="1:8" ht="15.75" customHeight="1" x14ac:dyDescent="0.25">
      <c r="A10198" s="398" t="s">
        <v>14</v>
      </c>
      <c r="B10198" s="398"/>
      <c r="C10198" s="398"/>
      <c r="D10198" s="398"/>
      <c r="E10198" s="398"/>
      <c r="F10198" s="398"/>
      <c r="G10198" s="398"/>
      <c r="H10198" s="398"/>
    </row>
    <row r="10199" spans="1:8" ht="15.75" customHeight="1" x14ac:dyDescent="0.25">
      <c r="A10199" s="398"/>
      <c r="B10199" s="398"/>
      <c r="C10199" s="398"/>
      <c r="D10199" s="398"/>
      <c r="E10199" s="398"/>
      <c r="F10199" s="398"/>
      <c r="G10199" s="398"/>
      <c r="H10199" s="398"/>
    </row>
    <row r="10200" spans="1:8" ht="15.75" customHeight="1" x14ac:dyDescent="0.25">
      <c r="A10200" s="390"/>
      <c r="B10200" s="390"/>
      <c r="C10200" s="390"/>
      <c r="D10200" s="391"/>
      <c r="E10200" s="390"/>
      <c r="F10200" s="395" t="s">
        <v>18</v>
      </c>
      <c r="G10200" s="396" t="s">
        <v>1045</v>
      </c>
      <c r="H10200" s="397"/>
    </row>
    <row r="10201" spans="1:8" ht="15.75" customHeight="1" x14ac:dyDescent="0.25">
      <c r="A10201" s="390" t="s">
        <v>20</v>
      </c>
      <c r="B10201" s="390"/>
      <c r="C10201" s="390"/>
      <c r="D10201" s="391"/>
      <c r="E10201" s="390"/>
      <c r="F10201" s="395" t="s">
        <v>21</v>
      </c>
      <c r="G10201" s="390" t="s">
        <v>1451</v>
      </c>
      <c r="H10201" s="391"/>
    </row>
    <row r="10202" spans="1:8" ht="15.75" customHeight="1" x14ac:dyDescent="0.25">
      <c r="A10202" s="390" t="inlineStr">
        <is>
          <t>Dealer-002</t>
        </is>
      </c>
      <c r="B10202" s="390"/>
      <c r="C10202" s="390"/>
      <c r="D10202" s="391"/>
      <c r="E10202" s="395"/>
      <c r="F10202" s="390"/>
      <c r="G10202" s="390"/>
      <c r="H10202" s="394"/>
    </row>
    <row r="10203" spans="1:8" ht="15.75" customHeight="1" x14ac:dyDescent="0.25">
      <c r="A10203" s="390" t="inlineStr">
        <is>
          <t>Address line (redacted)</t>
        </is>
      </c>
      <c r="B10203" s="390"/>
      <c r="C10203" s="390"/>
      <c r="D10203" s="398"/>
      <c r="E10203" s="390"/>
      <c r="F10203" s="391"/>
      <c r="G10203" s="390"/>
      <c r="H10203" s="394"/>
    </row>
    <row r="10204" spans="1:8" ht="15.75" customHeight="1" x14ac:dyDescent="0.25">
      <c r="A10204" s="390" t="inlineStr">
        <is>
          <t>Address line (redacted)</t>
        </is>
      </c>
      <c r="B10204" s="390"/>
      <c r="C10204" s="390"/>
      <c r="D10204" s="398"/>
      <c r="E10204" s="390"/>
      <c r="F10204" s="391"/>
      <c r="G10204" s="390"/>
      <c r="H10204" s="394"/>
    </row>
    <row r="10205" spans="1:8" ht="15.75" customHeight="1" x14ac:dyDescent="0.25">
      <c r="A10205" s="447"/>
      <c r="B10205" s="390"/>
      <c r="C10205" s="390"/>
      <c r="D10205" s="391"/>
      <c r="E10205" s="390"/>
      <c r="F10205" s="391"/>
      <c r="G10205" s="390"/>
      <c r="H10205" s="394"/>
    </row>
    <row r="10206" spans="1:8" ht="15.75" customHeight="1" x14ac:dyDescent="0.25">
      <c r="A10206" s="390" t="s">
        <v>30</v>
      </c>
      <c r="B10206" s="390"/>
      <c r="C10206" s="390"/>
      <c r="D10206" s="391"/>
      <c r="E10206" s="390"/>
      <c r="F10206" s="391"/>
      <c r="G10206" s="390"/>
      <c r="H10206" s="394"/>
    </row>
    <row r="10207" spans="1:8" ht="15.75" customHeight="1" x14ac:dyDescent="0.25">
      <c r="A10207" s="390" t="s">
        <v>1322</v>
      </c>
      <c r="B10207" s="390"/>
      <c r="C10207" s="390"/>
      <c r="D10207" s="391"/>
      <c r="E10207" s="390"/>
      <c r="F10207" s="391"/>
      <c r="G10207" s="390"/>
      <c r="H10207" s="394"/>
    </row>
    <row r="10208" spans="1:8" ht="15.75" customHeight="1" x14ac:dyDescent="0.25">
      <c r="A10208" s="390" t="s">
        <v>1328</v>
      </c>
      <c r="B10208" s="390"/>
      <c r="C10208" s="390"/>
      <c r="D10208" s="391"/>
      <c r="E10208" s="390"/>
      <c r="F10208" s="391"/>
      <c r="G10208" s="390"/>
      <c r="H10208" s="394"/>
    </row>
    <row r="10209" spans="1:8" ht="15.75" customHeight="1" x14ac:dyDescent="0.25">
      <c r="A10209" s="399" t="s">
        <v>33</v>
      </c>
      <c r="B10209" s="400" t="s">
        <v>6</v>
      </c>
      <c r="C10209" s="400"/>
      <c r="D10209" s="401" t="s">
        <v>37</v>
      </c>
      <c r="E10209" s="402" t="s">
        <v>38</v>
      </c>
      <c r="F10209" s="403" t="s">
        <v>7</v>
      </c>
      <c r="G10209" s="404" t="s">
        <v>43</v>
      </c>
      <c r="H10209" s="405" t="s">
        <v>44</v>
      </c>
    </row>
    <row r="10210" spans="1:8" ht="15.75" customHeight="1" x14ac:dyDescent="0.25">
      <c r="A10210" s="406"/>
      <c r="B10210" s="407"/>
      <c r="C10210" s="393"/>
      <c r="D10210" s="410"/>
      <c r="E10210" s="858"/>
      <c r="F10210" s="409"/>
      <c r="G10210" s="410"/>
      <c r="H10210" s="411"/>
    </row>
    <row r="10211" spans="1:8" ht="15.75" customHeight="1" x14ac:dyDescent="0.25">
      <c r="A10211" s="502"/>
      <c r="B10211" s="557" t="s">
        <v>674</v>
      </c>
      <c r="C10211" s="560"/>
      <c r="D10211" s="427"/>
      <c r="E10211" s="391"/>
      <c r="F10211" s="428"/>
      <c r="G10211" s="675"/>
      <c r="H10211" s="429"/>
    </row>
    <row r="10212" spans="1:8" ht="15.75" customHeight="1" x14ac:dyDescent="0.25">
      <c r="A10212" s="502" t="s">
        <v>55</v>
      </c>
      <c r="B10212" s="448" t="s">
        <v>1555</v>
      </c>
      <c r="C10212" s="813" t="s">
        <v>1164</v>
      </c>
      <c r="D10212" s="427">
        <v>25</v>
      </c>
      <c r="E10212" s="391">
        <v>1</v>
      </c>
      <c r="F10212" s="428">
        <f>+E10212*D10212</f>
      </c>
      <c r="G10212" s="427">
        <v>1</v>
      </c>
      <c r="H10212" s="429">
        <f>+G10212*F10212</f>
      </c>
    </row>
    <row r="10213" spans="1:8" ht="15.75" customHeight="1" x14ac:dyDescent="0.25">
      <c r="A10213" s="502" t="s">
        <v>59</v>
      </c>
      <c r="B10213" s="448" t="s">
        <v>1447</v>
      </c>
      <c r="C10213" s="813"/>
      <c r="D10213" s="427">
        <v>2.5</v>
      </c>
      <c r="E10213" s="391">
        <v>10</v>
      </c>
      <c r="F10213" s="428">
        <v>25</v>
      </c>
      <c r="G10213" s="675" t="s">
        <v>1435</v>
      </c>
      <c r="H10213" s="429"/>
    </row>
    <row r="10214" spans="1:8" ht="15.75" customHeight="1" x14ac:dyDescent="0.25">
      <c r="A10214" s="502"/>
      <c r="B10214" s="448"/>
      <c r="C10214" s="813"/>
      <c r="D10214" s="427"/>
      <c r="E10214" s="391"/>
      <c r="F10214" s="428"/>
      <c r="G10214" s="427"/>
      <c r="H10214" s="429"/>
    </row>
    <row r="10215" spans="1:8" ht="15.75" customHeight="1" x14ac:dyDescent="0.25">
      <c r="A10215" s="502"/>
      <c r="B10215" s="448"/>
      <c r="C10215" s="813"/>
      <c r="D10215" s="427"/>
      <c r="E10215" s="391"/>
      <c r="F10215" s="428"/>
      <c r="G10215" s="427"/>
      <c r="H10215" s="429"/>
    </row>
    <row r="10216" spans="1:8" ht="15.75" customHeight="1" x14ac:dyDescent="0.25">
      <c r="A10216" s="502"/>
      <c r="B10216" s="448"/>
      <c r="C10216" s="813"/>
      <c r="D10216" s="427"/>
      <c r="E10216" s="391"/>
      <c r="F10216" s="428"/>
      <c r="G10216" s="427"/>
      <c r="H10216" s="429"/>
    </row>
    <row r="10217" spans="1:8" ht="15.75" customHeight="1" x14ac:dyDescent="0.25">
      <c r="A10217" s="502"/>
      <c r="B10217" s="448"/>
      <c r="C10217" s="813"/>
      <c r="D10217" s="427"/>
      <c r="E10217" s="391"/>
      <c r="F10217" s="428"/>
      <c r="G10217" s="427"/>
      <c r="H10217" s="429"/>
    </row>
    <row r="10218" spans="1:8" ht="15.75" customHeight="1" x14ac:dyDescent="0.25">
      <c r="A10218" s="502"/>
      <c r="B10218" s="859"/>
      <c r="C10218" s="860"/>
      <c r="D10218" s="861"/>
      <c r="E10218" s="860"/>
      <c r="F10218" s="862"/>
      <c r="G10218" s="863"/>
      <c r="H10218" s="444"/>
    </row>
    <row r="10219" spans="1:8" ht="15.75" customHeight="1" x14ac:dyDescent="0.25">
      <c r="A10219" s="432"/>
      <c r="B10219" s="433"/>
      <c r="C10219" s="434" t="s">
        <v>85</v>
      </c>
      <c r="D10219" s="435">
        <f>SUM(D10211:D10218)</f>
      </c>
      <c r="E10219" s="435"/>
      <c r="F10219" s="436">
        <f>SUM(F10212:F10218)</f>
      </c>
      <c r="G10219" s="437"/>
      <c r="H10219" s="438">
        <f>SUM(H10211:H10218)</f>
      </c>
    </row>
    <row r="10220" spans="1:8" ht="15.75" customHeight="1" x14ac:dyDescent="0.25">
      <c r="A10220" s="439"/>
      <c r="B10220" s="440"/>
      <c r="C10220" s="440"/>
      <c r="D10220" s="441"/>
      <c r="E10220" s="440"/>
      <c r="F10220" s="442"/>
      <c r="G10220" s="443"/>
      <c r="H10220" s="444"/>
    </row>
    <row r="10221" spans="1:8" ht="15.75" customHeight="1" x14ac:dyDescent="0.25">
      <c r="A10221" s="834"/>
      <c r="B10221" s="565"/>
      <c r="C10221" s="565"/>
      <c r="D10221" s="565"/>
      <c r="E10221" s="565"/>
      <c r="F10221" s="565"/>
      <c r="G10221" s="565"/>
      <c r="H10221" s="565"/>
    </row>
    <row r="10222" spans="1:8" ht="15.75" customHeight="1" x14ac:dyDescent="0.25">
      <c r="A10222" s="445"/>
      <c r="B10222" s="445"/>
      <c r="C10222" s="445"/>
      <c r="D10222" s="446" t="s">
        <v>97</v>
      </c>
      <c r="E10222" s="445" t="s">
        <v>98</v>
      </c>
      <c r="F10222" s="445"/>
      <c r="G10222" s="390"/>
      <c r="H10222" s="394"/>
    </row>
    <row r="10223" spans="1:8" ht="15.75" customHeight="1" x14ac:dyDescent="0.25">
      <c r="A10223" s="390"/>
      <c r="B10223" s="390"/>
      <c r="C10223" s="390"/>
      <c r="D10223" s="391"/>
      <c r="E10223" s="390"/>
      <c r="F10223" s="390"/>
      <c r="G10223" s="390"/>
      <c r="H10223" s="394"/>
    </row>
    <row r="10224" spans="1:8" ht="15.75" customHeight="1" x14ac:dyDescent="0.25">
      <c r="A10224" s="445"/>
      <c r="B10224" s="445"/>
      <c r="C10224" s="445"/>
      <c r="D10224" s="446"/>
      <c r="E10224" s="445" t="s">
        <v>99</v>
      </c>
      <c r="F10224" s="445"/>
      <c r="G10224" s="390"/>
      <c r="H10224" s="394"/>
    </row>
    <row r="10225" spans="4:8" ht="15.75" customHeight="1" x14ac:dyDescent="0.25">
      <c r="D10225" s="4"/>
      <c r="H10225" s="4"/>
    </row>
    <row r="10226" spans="4:8" ht="15.75" customHeight="1" x14ac:dyDescent="0.25">
      <c r="D10226" s="4"/>
      <c r="H10226" s="4"/>
    </row>
    <row r="10227" spans="4:8" ht="15.75" customHeight="1" x14ac:dyDescent="0.25">
      <c r="D10227" s="4"/>
      <c r="H10227" s="4"/>
    </row>
    <row r="10228" spans="4:8" ht="15.75" customHeight="1" x14ac:dyDescent="0.25">
      <c r="D10228" s="4"/>
      <c r="H10228" s="4"/>
    </row>
    <row r="10229" spans="4:8" ht="15.75" customHeight="1" x14ac:dyDescent="0.25">
      <c r="D10229" s="4"/>
      <c r="H10229" s="4"/>
    </row>
    <row r="10230" spans="4:8" ht="15.75" customHeight="1" x14ac:dyDescent="0.25">
      <c r="D10230" s="4"/>
      <c r="H10230" s="4"/>
    </row>
    <row r="10231" spans="4:8" ht="15.75" customHeight="1" x14ac:dyDescent="0.25">
      <c r="D10231" s="4"/>
      <c r="H10231" s="4"/>
    </row>
    <row r="10232" spans="4:8" ht="15.75" customHeight="1" x14ac:dyDescent="0.25">
      <c r="D10232" s="4"/>
      <c r="H10232" s="4"/>
    </row>
    <row r="10233" spans="4:8" ht="15.75" customHeight="1" x14ac:dyDescent="0.25">
      <c r="D10233" s="4"/>
      <c r="H10233" s="4"/>
    </row>
    <row r="10234" spans="4:8" ht="15.75" customHeight="1" x14ac:dyDescent="0.25">
      <c r="D10234" s="4"/>
      <c r="H10234" s="4"/>
    </row>
    <row r="10235" spans="4:8" ht="15.75" customHeight="1" x14ac:dyDescent="0.25">
      <c r="D10235" s="4"/>
      <c r="H10235" s="4"/>
    </row>
    <row r="10236" spans="4:8" ht="15.75" customHeight="1" x14ac:dyDescent="0.25">
      <c r="D10236" s="4"/>
      <c r="H10236" s="4"/>
    </row>
    <row r="10237" spans="4:8" ht="15.75" customHeight="1" x14ac:dyDescent="0.25">
      <c r="D10237" s="4"/>
      <c r="H10237" s="4"/>
    </row>
    <row r="10238" spans="4:8" ht="15.75" customHeight="1" x14ac:dyDescent="0.25">
      <c r="D10238" s="4"/>
      <c r="H10238" s="4"/>
    </row>
    <row r="10239" spans="4:8" ht="15.75" customHeight="1" x14ac:dyDescent="0.25">
      <c r="D10239" s="4"/>
      <c r="H10239" s="4"/>
    </row>
    <row r="10240" spans="4:8" ht="15.75" customHeight="1" x14ac:dyDescent="0.25">
      <c r="D10240" s="4"/>
      <c r="H10240" s="4"/>
    </row>
    <row r="10241" spans="1:8" ht="15.75" customHeight="1" x14ac:dyDescent="0.25">
      <c r="D10241" s="4"/>
      <c r="H10241" s="4"/>
    </row>
    <row r="10242" spans="1:8" ht="15.75" customHeight="1" x14ac:dyDescent="0.25">
      <c r="D10242" s="4"/>
      <c r="H10242" s="4"/>
    </row>
    <row r="10243" spans="1:8" ht="15.75" customHeight="1" x14ac:dyDescent="0.25">
      <c r="D10243" s="4"/>
      <c r="H10243" s="4"/>
    </row>
    <row r="10244" spans="1:8" ht="15.75" customHeight="1" x14ac:dyDescent="0.25">
      <c r="A10244" s="398" t="s">
        <v>14</v>
      </c>
      <c r="B10244" s="398"/>
      <c r="C10244" s="398"/>
      <c r="D10244" s="398"/>
      <c r="E10244" s="398"/>
      <c r="F10244" s="398"/>
      <c r="G10244" s="398"/>
      <c r="H10244" s="398"/>
    </row>
    <row r="10245" spans="1:8" ht="15.75" customHeight="1" x14ac:dyDescent="0.25">
      <c r="A10245" s="398"/>
      <c r="B10245" s="398"/>
      <c r="C10245" s="398"/>
      <c r="D10245" s="398"/>
      <c r="E10245" s="398"/>
      <c r="F10245" s="398"/>
      <c r="G10245" s="398"/>
      <c r="H10245" s="398"/>
    </row>
    <row r="10246" spans="1:8" ht="15.75" customHeight="1" x14ac:dyDescent="0.25">
      <c r="A10246" s="390"/>
      <c r="B10246" s="390"/>
      <c r="C10246" s="390"/>
      <c r="D10246" s="391"/>
      <c r="E10246" s="390"/>
      <c r="F10246" s="395" t="s">
        <v>18</v>
      </c>
      <c r="G10246" s="396" t="s">
        <v>1047</v>
      </c>
      <c r="H10246" s="397"/>
    </row>
    <row r="10247" spans="1:8" ht="15.75" customHeight="1" x14ac:dyDescent="0.25">
      <c r="A10247" s="390" t="s">
        <v>20</v>
      </c>
      <c r="B10247" s="390"/>
      <c r="C10247" s="390"/>
      <c r="D10247" s="391"/>
      <c r="E10247" s="390"/>
      <c r="F10247" s="395" t="s">
        <v>21</v>
      </c>
      <c r="G10247" s="390" t="s">
        <v>1375</v>
      </c>
      <c r="H10247" s="391"/>
    </row>
    <row r="10248" spans="1:8" ht="15.75" customHeight="1" x14ac:dyDescent="0.25">
      <c r="A10248" s="390" t="inlineStr">
        <is>
          <t>Dealer-009</t>
        </is>
      </c>
      <c r="B10248" s="390"/>
      <c r="C10248" s="390"/>
      <c r="D10248" s="391"/>
      <c r="E10248" s="395"/>
      <c r="F10248" s="390"/>
      <c r="G10248" s="390"/>
      <c r="H10248" s="394"/>
    </row>
    <row r="10249" spans="1:8" ht="15.75" customHeight="1" x14ac:dyDescent="0.25">
      <c r="A10249" s="390" t="inlineStr">
        <is>
          <t>Address line (redacted)</t>
        </is>
      </c>
      <c r="B10249" s="390"/>
      <c r="C10249" s="390"/>
      <c r="D10249" s="398"/>
      <c r="E10249" s="390"/>
      <c r="F10249" s="391"/>
      <c r="G10249" s="390"/>
      <c r="H10249" s="394"/>
    </row>
    <row r="10250" spans="1:8" ht="15.75" customHeight="1" x14ac:dyDescent="0.25">
      <c r="A10250" s="390" t="inlineStr">
        <is>
          <t>Address line (redacted)</t>
        </is>
      </c>
      <c r="B10250" s="390"/>
      <c r="C10250" s="390"/>
      <c r="D10250" s="398"/>
      <c r="E10250" s="390"/>
      <c r="F10250" s="391"/>
      <c r="G10250" s="390"/>
      <c r="H10250" s="394"/>
    </row>
    <row r="10251" spans="1:8" ht="15.75" customHeight="1" x14ac:dyDescent="0.25">
      <c r="A10251" s="447"/>
      <c r="B10251" s="390"/>
      <c r="C10251" s="390"/>
      <c r="D10251" s="391"/>
      <c r="E10251" s="390"/>
      <c r="F10251" s="391"/>
      <c r="G10251" s="390"/>
      <c r="H10251" s="394"/>
    </row>
    <row r="10252" spans="1:8" ht="15.75" customHeight="1" x14ac:dyDescent="0.25">
      <c r="A10252" s="390" t="s">
        <v>30</v>
      </c>
      <c r="B10252" s="390"/>
      <c r="C10252" s="390"/>
      <c r="D10252" s="391"/>
      <c r="E10252" s="390"/>
      <c r="F10252" s="391"/>
      <c r="G10252" s="390"/>
      <c r="H10252" s="394"/>
    </row>
    <row r="10253" spans="1:8" ht="15.75" customHeight="1" x14ac:dyDescent="0.25">
      <c r="A10253" s="390" t="s">
        <v>1322</v>
      </c>
      <c r="B10253" s="390"/>
      <c r="C10253" s="390"/>
      <c r="D10253" s="391"/>
      <c r="E10253" s="390"/>
      <c r="F10253" s="391"/>
      <c r="G10253" s="390"/>
      <c r="H10253" s="394"/>
    </row>
    <row r="10254" spans="1:8" ht="15.75" customHeight="1" x14ac:dyDescent="0.25">
      <c r="A10254" s="390" t="s">
        <v>1328</v>
      </c>
      <c r="B10254" s="390"/>
      <c r="C10254" s="390"/>
      <c r="D10254" s="391"/>
      <c r="E10254" s="390"/>
      <c r="F10254" s="391"/>
      <c r="G10254" s="390"/>
      <c r="H10254" s="394"/>
    </row>
    <row r="10255" spans="1:8" ht="15.75" customHeight="1" x14ac:dyDescent="0.25">
      <c r="A10255" s="399" t="s">
        <v>33</v>
      </c>
      <c r="B10255" s="400" t="s">
        <v>6</v>
      </c>
      <c r="C10255" s="400"/>
      <c r="D10255" s="401" t="s">
        <v>37</v>
      </c>
      <c r="E10255" s="402" t="s">
        <v>38</v>
      </c>
      <c r="F10255" s="403" t="s">
        <v>7</v>
      </c>
      <c r="G10255" s="404" t="s">
        <v>43</v>
      </c>
      <c r="H10255" s="405" t="s">
        <v>44</v>
      </c>
    </row>
    <row r="10256" spans="1:8" ht="15.75" customHeight="1" x14ac:dyDescent="0.25">
      <c r="A10256" s="406"/>
      <c r="B10256" s="407"/>
      <c r="C10256" s="393"/>
      <c r="D10256" s="410"/>
      <c r="E10256" s="858"/>
      <c r="F10256" s="409"/>
      <c r="G10256" s="410"/>
      <c r="H10256" s="411"/>
    </row>
    <row r="10257" spans="1:8" ht="15.75" customHeight="1" x14ac:dyDescent="0.25">
      <c r="A10257" s="502"/>
      <c r="B10257" s="557" t="s">
        <v>1365</v>
      </c>
      <c r="C10257" s="560"/>
      <c r="D10257" s="427"/>
      <c r="E10257" s="391"/>
      <c r="F10257" s="428"/>
      <c r="G10257" s="833"/>
      <c r="H10257" s="429"/>
    </row>
    <row r="10258" spans="1:8" ht="15.75" customHeight="1" x14ac:dyDescent="0.25">
      <c r="A10258" s="502" t="s">
        <v>55</v>
      </c>
      <c r="B10258" s="718">
        <v>507</v>
      </c>
      <c r="C10258" s="832"/>
      <c r="D10258" s="427">
        <v>12</v>
      </c>
      <c r="E10258" s="391">
        <v>4</v>
      </c>
      <c r="F10258" s="428">
        <f t="shared" ref="F10258:F10260" si="343">+E10258*D10258</f>
      </c>
      <c r="G10258" s="428">
        <v>1</v>
      </c>
      <c r="H10258" s="429">
        <f t="shared" ref="H10258:H10260" si="344">+G10258*F10258</f>
      </c>
    </row>
    <row r="10259" spans="1:8" ht="15.75" customHeight="1" x14ac:dyDescent="0.25">
      <c r="A10259" s="502" t="s">
        <v>59</v>
      </c>
      <c r="B10259" s="718">
        <v>508</v>
      </c>
      <c r="C10259" s="832"/>
      <c r="D10259" s="427">
        <v>4</v>
      </c>
      <c r="E10259" s="391">
        <v>4</v>
      </c>
      <c r="F10259" s="428">
        <f t="shared" si="343"/>
      </c>
      <c r="G10259" s="428">
        <v>1</v>
      </c>
      <c r="H10259" s="429">
        <f t="shared" si="344"/>
      </c>
    </row>
    <row r="10260" spans="1:8" ht="15.75" customHeight="1" x14ac:dyDescent="0.25">
      <c r="A10260" s="502" t="s">
        <v>67</v>
      </c>
      <c r="B10260" s="718">
        <v>505</v>
      </c>
      <c r="C10260" s="832"/>
      <c r="D10260" s="427">
        <v>2</v>
      </c>
      <c r="E10260" s="391">
        <v>4</v>
      </c>
      <c r="F10260" s="428">
        <f t="shared" si="343"/>
      </c>
      <c r="G10260" s="428">
        <v>1</v>
      </c>
      <c r="H10260" s="429">
        <f t="shared" si="344"/>
      </c>
    </row>
    <row r="10261" spans="1:8" ht="15.75" customHeight="1" x14ac:dyDescent="0.25">
      <c r="A10261" s="502" t="s">
        <v>485</v>
      </c>
      <c r="B10261" s="718">
        <v>505</v>
      </c>
      <c r="C10261" s="832"/>
      <c r="D10261" s="633">
        <v>1</v>
      </c>
      <c r="E10261" s="633">
        <v>3</v>
      </c>
      <c r="F10261" s="428">
        <v>1</v>
      </c>
      <c r="G10261" s="428" t="s">
        <v>1856</v>
      </c>
      <c r="H10261" s="429"/>
    </row>
    <row r="10262" spans="1:8" ht="15.75" customHeight="1" x14ac:dyDescent="0.25">
      <c r="A10262" s="502" t="s">
        <v>486</v>
      </c>
      <c r="B10262" s="718">
        <v>507</v>
      </c>
      <c r="C10262" s="832"/>
      <c r="D10262" s="633"/>
      <c r="E10262" s="633"/>
      <c r="F10262" s="428">
        <v>1</v>
      </c>
      <c r="G10262" s="428" t="s">
        <v>1856</v>
      </c>
      <c r="H10262" s="429"/>
    </row>
    <row r="10263" spans="1:8" ht="15.75" customHeight="1" x14ac:dyDescent="0.25">
      <c r="A10263" s="502" t="s">
        <v>489</v>
      </c>
      <c r="B10263" s="718">
        <v>508</v>
      </c>
      <c r="C10263" s="832"/>
      <c r="D10263" s="633"/>
      <c r="E10263" s="633"/>
      <c r="F10263" s="428">
        <v>1</v>
      </c>
      <c r="G10263" s="428" t="s">
        <v>1856</v>
      </c>
      <c r="H10263" s="429"/>
    </row>
    <row r="10264" spans="1:8" ht="15.75" customHeight="1" x14ac:dyDescent="0.25">
      <c r="A10264" s="502"/>
      <c r="B10264" s="718"/>
      <c r="C10264" s="832"/>
      <c r="D10264" s="427"/>
      <c r="E10264" s="391"/>
      <c r="F10264" s="428"/>
      <c r="G10264" s="428"/>
      <c r="H10264" s="429"/>
    </row>
    <row r="10265" spans="1:8" ht="15.75" customHeight="1" x14ac:dyDescent="0.25">
      <c r="A10265" s="502"/>
      <c r="B10265" s="557"/>
      <c r="C10265" s="560"/>
      <c r="D10265" s="427"/>
      <c r="E10265" s="391"/>
      <c r="F10265" s="428"/>
      <c r="G10265" s="833"/>
      <c r="H10265" s="429"/>
    </row>
    <row r="10266" spans="1:8" ht="15.75" customHeight="1" x14ac:dyDescent="0.25">
      <c r="A10266" s="502"/>
      <c r="B10266" s="826"/>
      <c r="C10266" s="825"/>
      <c r="D10266" s="427"/>
      <c r="E10266" s="391"/>
      <c r="F10266" s="428"/>
      <c r="G10266" s="427"/>
      <c r="H10266" s="429"/>
    </row>
    <row r="10267" spans="1:8" ht="15.75" customHeight="1" x14ac:dyDescent="0.25">
      <c r="A10267" s="502"/>
      <c r="B10267" s="865"/>
      <c r="C10267" s="866"/>
      <c r="D10267" s="850" t="s">
        <v>2265</v>
      </c>
      <c r="E10267" s="850"/>
      <c r="F10267" s="850"/>
      <c r="G10267" s="850"/>
      <c r="H10267" s="851">
        <v>1</v>
      </c>
    </row>
    <row r="10268" spans="1:8" ht="15.75" customHeight="1" x14ac:dyDescent="0.25">
      <c r="A10268" s="502"/>
      <c r="B10268" s="557"/>
      <c r="C10268" s="560"/>
      <c r="D10268" s="427"/>
      <c r="E10268" s="391"/>
      <c r="F10268" s="428"/>
      <c r="G10268" s="675"/>
      <c r="H10268" s="429"/>
    </row>
    <row r="10269" spans="1:8" ht="15.75" customHeight="1" x14ac:dyDescent="0.25">
      <c r="A10269" s="502"/>
      <c r="B10269" s="448"/>
      <c r="C10269" s="813"/>
      <c r="D10269" s="427"/>
      <c r="E10269" s="391"/>
      <c r="F10269" s="428"/>
      <c r="G10269" s="427"/>
      <c r="H10269" s="429"/>
    </row>
    <row r="10270" spans="1:8" ht="15.75" customHeight="1" x14ac:dyDescent="0.25">
      <c r="A10270" s="502"/>
      <c r="B10270" s="557"/>
      <c r="C10270" s="560"/>
      <c r="D10270" s="427"/>
      <c r="E10270" s="391"/>
      <c r="F10270" s="428"/>
      <c r="G10270" s="675"/>
      <c r="H10270" s="429"/>
    </row>
    <row r="10271" spans="1:8" ht="15.75" customHeight="1" x14ac:dyDescent="0.25">
      <c r="A10271" s="502"/>
      <c r="B10271" s="448"/>
      <c r="C10271" s="813"/>
      <c r="D10271" s="427"/>
      <c r="E10271" s="391"/>
      <c r="F10271" s="428"/>
      <c r="G10271" s="427"/>
      <c r="H10271" s="429"/>
    </row>
    <row r="10272" spans="1:8" ht="15.75" customHeight="1" x14ac:dyDescent="0.25">
      <c r="A10272" s="502"/>
      <c r="B10272" s="859"/>
      <c r="C10272" s="860"/>
      <c r="D10272" s="861"/>
      <c r="E10272" s="860"/>
      <c r="F10272" s="862"/>
      <c r="G10272" s="863"/>
      <c r="H10272" s="444"/>
    </row>
    <row r="10273" spans="1:8" ht="15.75" customHeight="1" x14ac:dyDescent="0.25">
      <c r="A10273" s="432"/>
      <c r="B10273" s="433"/>
      <c r="C10273" s="434" t="s">
        <v>85</v>
      </c>
      <c r="D10273" s="435">
        <f>SUM(D10258:D10272)</f>
      </c>
      <c r="E10273" s="435"/>
      <c r="F10273" s="435">
        <f>SUM(F10258:F10272)</f>
      </c>
      <c r="G10273" s="437"/>
      <c r="H10273" s="438">
        <f>SUM(H10258:H10272)</f>
      </c>
    </row>
    <row r="10274" spans="1:8" ht="15.75" customHeight="1" x14ac:dyDescent="0.25">
      <c r="A10274" s="439"/>
      <c r="B10274" s="440"/>
      <c r="C10274" s="440"/>
      <c r="D10274" s="441"/>
      <c r="E10274" s="440"/>
      <c r="F10274" s="442"/>
      <c r="G10274" s="443"/>
      <c r="H10274" s="444"/>
    </row>
    <row r="10275" spans="1:8" ht="15.75" customHeight="1" x14ac:dyDescent="0.25">
      <c r="A10275" s="834"/>
      <c r="B10275" s="565"/>
      <c r="C10275" s="565"/>
      <c r="D10275" s="565"/>
      <c r="E10275" s="565"/>
      <c r="F10275" s="565"/>
      <c r="G10275" s="565"/>
      <c r="H10275" s="565"/>
    </row>
    <row r="10276" spans="1:8" ht="15.75" customHeight="1" x14ac:dyDescent="0.25">
      <c r="A10276" s="445"/>
      <c r="B10276" s="445"/>
      <c r="C10276" s="445"/>
      <c r="D10276" s="446" t="s">
        <v>97</v>
      </c>
      <c r="E10276" s="445" t="s">
        <v>98</v>
      </c>
      <c r="F10276" s="445"/>
      <c r="G10276" s="390"/>
      <c r="H10276" s="394"/>
    </row>
    <row r="10277" spans="1:8" ht="15.75" customHeight="1" x14ac:dyDescent="0.25">
      <c r="A10277" s="390"/>
      <c r="B10277" s="390"/>
      <c r="C10277" s="390"/>
      <c r="D10277" s="391"/>
      <c r="E10277" s="390"/>
      <c r="F10277" s="390"/>
      <c r="G10277" s="390"/>
      <c r="H10277" s="394"/>
    </row>
    <row r="10278" spans="1:8" ht="15.75" customHeight="1" x14ac:dyDescent="0.25">
      <c r="A10278" s="445"/>
      <c r="B10278" s="445"/>
      <c r="C10278" s="445"/>
      <c r="D10278" s="446"/>
      <c r="E10278" s="445" t="s">
        <v>99</v>
      </c>
      <c r="F10278" s="445"/>
      <c r="G10278" s="390"/>
      <c r="H10278" s="394"/>
    </row>
    <row r="10279" spans="1:8" ht="15.75" customHeight="1" x14ac:dyDescent="0.25">
      <c r="D10279" s="4"/>
      <c r="H10279" s="4"/>
    </row>
    <row r="10280" spans="1:8" ht="15.75" customHeight="1" x14ac:dyDescent="0.25">
      <c r="D10280" s="4"/>
      <c r="H10280" s="4"/>
    </row>
    <row r="10281" spans="1:8" ht="15.75" customHeight="1" x14ac:dyDescent="0.25">
      <c r="D10281" s="4"/>
      <c r="H10281" s="4"/>
    </row>
    <row r="10282" spans="1:8" ht="15.75" customHeight="1" x14ac:dyDescent="0.25">
      <c r="D10282" s="4"/>
      <c r="H10282" s="4"/>
    </row>
    <row r="10283" spans="1:8" ht="15.75" customHeight="1" x14ac:dyDescent="0.25">
      <c r="D10283" s="4"/>
      <c r="H10283" s="4"/>
    </row>
    <row r="10284" spans="1:8" ht="15.75" customHeight="1" x14ac:dyDescent="0.25">
      <c r="D10284" s="4"/>
      <c r="H10284" s="4"/>
    </row>
    <row r="10285" spans="1:8" ht="15.75" customHeight="1" x14ac:dyDescent="0.25">
      <c r="D10285" s="4"/>
      <c r="H10285" s="4"/>
    </row>
    <row r="10286" spans="1:8" ht="15.75" customHeight="1" x14ac:dyDescent="0.25">
      <c r="D10286" s="4"/>
      <c r="H10286" s="4"/>
    </row>
    <row r="10287" spans="1:8" ht="15.75" customHeight="1" x14ac:dyDescent="0.25">
      <c r="D10287" s="4"/>
      <c r="H10287" s="4"/>
    </row>
    <row r="10288" spans="1:8" ht="15.75" customHeight="1" x14ac:dyDescent="0.25">
      <c r="D10288" s="4"/>
      <c r="H10288" s="4"/>
    </row>
    <row r="10289" spans="1:8" ht="15.75" customHeight="1" x14ac:dyDescent="0.25">
      <c r="D10289" s="4"/>
      <c r="H10289" s="4"/>
    </row>
    <row r="10290" spans="1:8" ht="15.75" customHeight="1" x14ac:dyDescent="0.25">
      <c r="A10290" s="398" t="s">
        <v>14</v>
      </c>
      <c r="B10290" s="398"/>
      <c r="C10290" s="398"/>
      <c r="D10290" s="398"/>
      <c r="E10290" s="398"/>
      <c r="F10290" s="398"/>
      <c r="G10290" s="398"/>
      <c r="H10290" s="398"/>
    </row>
    <row r="10291" spans="1:8" ht="15.75" customHeight="1" x14ac:dyDescent="0.25">
      <c r="A10291" s="398"/>
      <c r="B10291" s="398"/>
      <c r="C10291" s="398"/>
      <c r="D10291" s="398"/>
      <c r="E10291" s="398"/>
      <c r="F10291" s="398"/>
      <c r="G10291" s="398"/>
      <c r="H10291" s="398"/>
    </row>
    <row r="10292" spans="1:8" ht="15.75" customHeight="1" x14ac:dyDescent="0.25">
      <c r="A10292" s="398"/>
      <c r="B10292" s="398"/>
      <c r="C10292" s="398"/>
      <c r="D10292" s="398"/>
      <c r="E10292" s="398"/>
      <c r="F10292" s="398"/>
      <c r="G10292" s="398"/>
      <c r="H10292" s="398"/>
    </row>
    <row r="10293" spans="1:8" ht="15.75" customHeight="1" x14ac:dyDescent="0.25">
      <c r="A10293" s="390"/>
      <c r="B10293" s="390"/>
      <c r="C10293" s="390"/>
      <c r="D10293" s="391"/>
      <c r="E10293" s="390"/>
      <c r="F10293" s="395" t="s">
        <v>18</v>
      </c>
      <c r="G10293" s="396" t="s">
        <v>1049</v>
      </c>
      <c r="H10293" s="397"/>
    </row>
    <row r="10294" spans="1:8" ht="15.75" customHeight="1" x14ac:dyDescent="0.25">
      <c r="A10294" s="390" t="s">
        <v>20</v>
      </c>
      <c r="B10294" s="390"/>
      <c r="C10294" s="390"/>
      <c r="D10294" s="391"/>
      <c r="E10294" s="390"/>
      <c r="F10294" s="395" t="s">
        <v>21</v>
      </c>
      <c r="G10294" s="390" t="s">
        <v>1934</v>
      </c>
      <c r="H10294" s="391"/>
    </row>
    <row r="10295" spans="1:8" ht="15.75" customHeight="1" x14ac:dyDescent="0.25">
      <c r="A10295" s="390" t="inlineStr">
        <is>
          <t>Dealer-018</t>
        </is>
      </c>
      <c r="B10295" s="390"/>
      <c r="C10295" s="390"/>
      <c r="D10295" s="391"/>
      <c r="E10295" s="395"/>
      <c r="F10295" s="390"/>
      <c r="G10295" s="390"/>
      <c r="H10295" s="394"/>
    </row>
    <row r="10296" spans="1:8" ht="15.75" customHeight="1" x14ac:dyDescent="0.25">
      <c r="A10296" s="390" t="inlineStr">
        <is>
          <t>Address line (redacted)</t>
        </is>
      </c>
      <c r="B10296" s="390"/>
      <c r="C10296" s="390"/>
      <c r="D10296" s="398"/>
      <c r="E10296" s="390"/>
      <c r="F10296" s="391"/>
      <c r="G10296" s="390"/>
      <c r="H10296" s="394"/>
    </row>
    <row r="10297" spans="1:8" ht="15.75" customHeight="1" x14ac:dyDescent="0.25">
      <c r="A10297" s="390"/>
      <c r="B10297" s="390"/>
      <c r="C10297" s="390"/>
      <c r="D10297" s="398"/>
      <c r="E10297" s="390"/>
      <c r="F10297" s="391"/>
      <c r="G10297" s="390"/>
      <c r="H10297" s="394"/>
    </row>
    <row r="10298" spans="1:8" ht="15.75" customHeight="1" x14ac:dyDescent="0.25">
      <c r="A10298" s="447"/>
      <c r="B10298" s="390"/>
      <c r="C10298" s="390"/>
      <c r="D10298" s="391"/>
      <c r="E10298" s="390"/>
      <c r="F10298" s="391"/>
      <c r="G10298" s="390"/>
      <c r="H10298" s="394"/>
    </row>
    <row r="10299" spans="1:8" ht="15.75" customHeight="1" x14ac:dyDescent="0.25">
      <c r="A10299" s="390" t="s">
        <v>30</v>
      </c>
      <c r="B10299" s="390"/>
      <c r="C10299" s="390"/>
      <c r="D10299" s="391"/>
      <c r="E10299" s="390"/>
      <c r="F10299" s="391"/>
      <c r="G10299" s="390"/>
      <c r="H10299" s="394"/>
    </row>
    <row r="10300" spans="1:8" ht="15.75" customHeight="1" x14ac:dyDescent="0.25">
      <c r="A10300" s="390"/>
      <c r="B10300" s="390"/>
      <c r="C10300" s="390"/>
      <c r="D10300" s="391"/>
      <c r="E10300" s="390"/>
      <c r="F10300" s="391"/>
      <c r="G10300" s="390"/>
      <c r="H10300" s="394"/>
    </row>
    <row r="10301" spans="1:8" ht="15.75" customHeight="1" x14ac:dyDescent="0.25">
      <c r="A10301" s="390" t="s">
        <v>1322</v>
      </c>
      <c r="B10301" s="390"/>
      <c r="C10301" s="390"/>
      <c r="D10301" s="391"/>
      <c r="E10301" s="390"/>
      <c r="F10301" s="391"/>
      <c r="G10301" s="390"/>
      <c r="H10301" s="394"/>
    </row>
    <row r="10302" spans="1:8" ht="15.75" customHeight="1" x14ac:dyDescent="0.25">
      <c r="A10302" s="390" t="s">
        <v>1328</v>
      </c>
      <c r="B10302" s="390"/>
      <c r="C10302" s="390"/>
      <c r="D10302" s="391"/>
      <c r="E10302" s="390"/>
      <c r="F10302" s="391"/>
      <c r="G10302" s="390"/>
      <c r="H10302" s="394"/>
    </row>
    <row r="10303" spans="1:8" ht="15.75" customHeight="1" x14ac:dyDescent="0.25">
      <c r="A10303" s="399" t="s">
        <v>33</v>
      </c>
      <c r="B10303" s="400" t="s">
        <v>6</v>
      </c>
      <c r="C10303" s="400"/>
      <c r="D10303" s="401" t="s">
        <v>37</v>
      </c>
      <c r="E10303" s="402" t="s">
        <v>38</v>
      </c>
      <c r="F10303" s="403" t="s">
        <v>7</v>
      </c>
      <c r="G10303" s="404" t="s">
        <v>43</v>
      </c>
      <c r="H10303" s="405" t="s">
        <v>44</v>
      </c>
    </row>
    <row r="10304" spans="1:8" ht="15.75" customHeight="1" x14ac:dyDescent="0.25">
      <c r="A10304" s="406"/>
      <c r="B10304" s="407"/>
      <c r="C10304" s="393"/>
      <c r="D10304" s="408"/>
      <c r="E10304" s="408"/>
      <c r="F10304" s="409"/>
      <c r="G10304" s="410"/>
      <c r="H10304" s="411"/>
    </row>
    <row r="10305" spans="1:8" ht="15.75" customHeight="1" x14ac:dyDescent="0.25">
      <c r="A10305" s="502"/>
      <c r="B10305" s="557" t="s">
        <v>1102</v>
      </c>
      <c r="C10305" s="558"/>
      <c r="D10305" s="427"/>
      <c r="E10305" s="427"/>
      <c r="F10305" s="391"/>
      <c r="G10305" s="675"/>
      <c r="H10305" s="429"/>
    </row>
    <row r="10306" spans="1:8" ht="15.75" customHeight="1" x14ac:dyDescent="0.25">
      <c r="A10306" s="502" t="s">
        <v>55</v>
      </c>
      <c r="B10306" s="503" t="s">
        <v>131</v>
      </c>
      <c r="C10306" s="390" t="s">
        <v>329</v>
      </c>
      <c r="D10306" s="427">
        <v>7</v>
      </c>
      <c r="E10306" s="427">
        <v>5</v>
      </c>
      <c r="F10306" s="391">
        <f>+E10306*D10306</f>
      </c>
      <c r="G10306" s="427">
        <v>1</v>
      </c>
      <c r="H10306" s="429">
        <f>+G10306*F10306</f>
      </c>
    </row>
    <row r="10307" spans="1:8" ht="15.75" customHeight="1" x14ac:dyDescent="0.25">
      <c r="A10307" s="502"/>
      <c r="B10307" s="503"/>
      <c r="C10307" s="390"/>
      <c r="D10307" s="427"/>
      <c r="E10307" s="427"/>
      <c r="F10307" s="391"/>
      <c r="G10307" s="427"/>
      <c r="H10307" s="429"/>
    </row>
    <row r="10308" spans="1:8" ht="15.75" customHeight="1" x14ac:dyDescent="0.25">
      <c r="A10308" s="502"/>
      <c r="B10308" s="557"/>
      <c r="C10308" s="558"/>
      <c r="D10308" s="427"/>
      <c r="E10308" s="427"/>
      <c r="F10308" s="391"/>
      <c r="G10308" s="427"/>
      <c r="H10308" s="429"/>
    </row>
    <row r="10309" spans="1:8" ht="15.75" customHeight="1" x14ac:dyDescent="0.25">
      <c r="A10309" s="502"/>
      <c r="B10309" s="718"/>
      <c r="C10309" s="567"/>
      <c r="D10309" s="427"/>
      <c r="E10309" s="427"/>
      <c r="F10309" s="391"/>
      <c r="G10309" s="427"/>
      <c r="H10309" s="429"/>
    </row>
    <row r="10310" spans="1:8" ht="15.75" customHeight="1" x14ac:dyDescent="0.25">
      <c r="A10310" s="502"/>
      <c r="B10310" s="718"/>
      <c r="C10310" s="567"/>
      <c r="D10310" s="427"/>
      <c r="E10310" s="427"/>
      <c r="F10310" s="391"/>
      <c r="G10310" s="427"/>
      <c r="H10310" s="429"/>
    </row>
    <row r="10311" spans="1:8" ht="15.75" customHeight="1" x14ac:dyDescent="0.25">
      <c r="A10311" s="502"/>
      <c r="B10311" s="718"/>
      <c r="C10311" s="567"/>
      <c r="D10311" s="427"/>
      <c r="E10311" s="427"/>
      <c r="F10311" s="391"/>
      <c r="G10311" s="427"/>
      <c r="H10311" s="429"/>
    </row>
    <row r="10312" spans="1:8" ht="15.75" customHeight="1" x14ac:dyDescent="0.25">
      <c r="A10312" s="432"/>
      <c r="B10312" s="433"/>
      <c r="C10312" s="434" t="s">
        <v>85</v>
      </c>
      <c r="D10312" s="435">
        <f>SUM(D10305:D10311)</f>
      </c>
      <c r="E10312" s="435"/>
      <c r="F10312" s="436"/>
      <c r="G10312" s="437"/>
      <c r="H10312" s="438">
        <f>SUM(H10305:H10311)</f>
      </c>
    </row>
    <row r="10313" spans="1:8" ht="15.75" customHeight="1" x14ac:dyDescent="0.25">
      <c r="A10313" s="439"/>
      <c r="B10313" s="440"/>
      <c r="C10313" s="440"/>
      <c r="D10313" s="441"/>
      <c r="E10313" s="440"/>
      <c r="F10313" s="442"/>
      <c r="G10313" s="443"/>
      <c r="H10313" s="444"/>
    </row>
    <row r="10314" spans="1:8" ht="15.75" customHeight="1" x14ac:dyDescent="0.25">
      <c r="A10314" s="565" t="s">
        <v>1215</v>
      </c>
      <c r="B10314" s="565"/>
      <c r="C10314" s="565"/>
      <c r="D10314" s="565"/>
      <c r="E10314" s="565"/>
      <c r="F10314" s="565"/>
      <c r="G10314" s="565"/>
      <c r="H10314" s="565"/>
    </row>
    <row r="10315" spans="1:8" ht="15.75" customHeight="1" x14ac:dyDescent="0.25">
      <c r="A10315" s="445"/>
      <c r="B10315" s="445"/>
      <c r="C10315" s="445"/>
      <c r="D10315" s="446" t="s">
        <v>97</v>
      </c>
      <c r="E10315" s="445" t="s">
        <v>98</v>
      </c>
      <c r="F10315" s="445"/>
      <c r="G10315" s="390"/>
      <c r="H10315" s="394"/>
    </row>
    <row r="10316" spans="1:8" ht="15.75" customHeight="1" x14ac:dyDescent="0.25">
      <c r="A10316" s="445"/>
      <c r="B10316" s="445"/>
      <c r="C10316" s="445"/>
      <c r="D10316" s="446"/>
      <c r="E10316" s="445"/>
      <c r="F10316" s="445"/>
      <c r="G10316" s="390"/>
      <c r="H10316" s="394"/>
    </row>
    <row r="10317" spans="1:8" ht="15.75" customHeight="1" x14ac:dyDescent="0.25">
      <c r="A10317" s="445"/>
      <c r="B10317" s="445"/>
      <c r="C10317" s="445"/>
      <c r="D10317" s="446"/>
      <c r="E10317" s="445"/>
      <c r="F10317" s="445"/>
      <c r="G10317" s="390"/>
      <c r="H10317" s="394"/>
    </row>
    <row r="10318" spans="1:8" ht="15.75" customHeight="1" x14ac:dyDescent="0.25">
      <c r="A10318" s="445"/>
      <c r="B10318" s="445"/>
      <c r="C10318" s="445"/>
      <c r="D10318" s="446"/>
      <c r="E10318" s="445" t="s">
        <v>99</v>
      </c>
      <c r="F10318" s="445"/>
      <c r="G10318" s="390"/>
      <c r="H10318" s="394"/>
    </row>
    <row r="10319" spans="1:8" ht="15.75" customHeight="1" x14ac:dyDescent="0.25">
      <c r="D10319" s="4"/>
      <c r="H10319" s="4"/>
    </row>
    <row r="10320" spans="1:8" ht="15.75" customHeight="1" x14ac:dyDescent="0.25">
      <c r="D10320" s="4"/>
      <c r="H10320" s="4"/>
    </row>
    <row r="10321" spans="1:8" ht="15.75" customHeight="1" x14ac:dyDescent="0.25">
      <c r="D10321" s="4"/>
      <c r="H10321" s="4"/>
    </row>
    <row r="10322" spans="1:8" ht="15.75" customHeight="1" x14ac:dyDescent="0.25">
      <c r="D10322" s="4"/>
      <c r="H10322" s="4"/>
    </row>
    <row r="10323" spans="1:8" ht="15.75" customHeight="1" x14ac:dyDescent="0.25">
      <c r="D10323" s="4"/>
      <c r="H10323" s="4"/>
    </row>
    <row r="10324" spans="1:8" ht="15.75" customHeight="1" x14ac:dyDescent="0.25">
      <c r="D10324" s="4"/>
      <c r="H10324" s="4"/>
    </row>
    <row r="10325" spans="1:8" ht="15.75" customHeight="1" x14ac:dyDescent="0.25">
      <c r="D10325" s="4"/>
      <c r="H10325" s="4"/>
    </row>
    <row r="10326" spans="1:8" ht="15.75" customHeight="1" x14ac:dyDescent="0.25">
      <c r="D10326" s="4"/>
      <c r="H10326" s="4"/>
    </row>
    <row r="10327" spans="1:8" ht="15.75" customHeight="1" x14ac:dyDescent="0.25">
      <c r="D10327" s="4"/>
      <c r="H10327" s="4"/>
    </row>
    <row r="10328" spans="1:8" ht="15.75" customHeight="1" x14ac:dyDescent="0.25">
      <c r="D10328" s="4"/>
      <c r="H10328" s="4"/>
    </row>
    <row r="10329" spans="1:8" ht="15.75" customHeight="1" x14ac:dyDescent="0.25">
      <c r="D10329" s="4"/>
      <c r="H10329" s="4"/>
    </row>
    <row r="10330" spans="1:8" ht="15.75" customHeight="1" x14ac:dyDescent="0.25">
      <c r="D10330" s="4"/>
      <c r="H10330" s="4"/>
    </row>
    <row r="10331" spans="1:8" ht="15.75" customHeight="1" x14ac:dyDescent="0.25">
      <c r="D10331" s="4"/>
      <c r="H10331" s="4"/>
    </row>
    <row r="10332" spans="1:8" ht="15.75" customHeight="1" x14ac:dyDescent="0.25">
      <c r="D10332" s="4"/>
      <c r="H10332" s="4"/>
    </row>
    <row r="10333" spans="1:8" ht="15.75" customHeight="1" x14ac:dyDescent="0.25">
      <c r="D10333" s="4"/>
      <c r="H10333" s="4"/>
    </row>
    <row r="10334" spans="1:8" ht="15.75" customHeight="1" x14ac:dyDescent="0.25">
      <c r="D10334" s="4"/>
      <c r="H10334" s="4"/>
    </row>
    <row r="10335" spans="1:8" ht="15.75" customHeight="1" x14ac:dyDescent="0.25">
      <c r="D10335" s="4"/>
      <c r="H10335" s="4"/>
    </row>
    <row r="10336" spans="1:8" ht="15.75" customHeight="1" x14ac:dyDescent="0.25">
      <c r="A10336" s="398" t="s">
        <v>14</v>
      </c>
      <c r="B10336" s="398"/>
      <c r="C10336" s="398"/>
      <c r="D10336" s="398"/>
      <c r="E10336" s="398"/>
      <c r="F10336" s="398"/>
      <c r="G10336" s="398"/>
      <c r="H10336" s="398"/>
    </row>
    <row r="10337" spans="1:8" ht="15.75" customHeight="1" x14ac:dyDescent="0.25">
      <c r="A10337" s="398"/>
      <c r="B10337" s="398"/>
      <c r="C10337" s="398"/>
      <c r="D10337" s="398"/>
      <c r="E10337" s="398"/>
      <c r="F10337" s="398"/>
      <c r="G10337" s="398"/>
      <c r="H10337" s="398"/>
    </row>
    <row r="10338" spans="1:8" ht="15.75" customHeight="1" x14ac:dyDescent="0.25">
      <c r="A10338" s="390"/>
      <c r="B10338" s="390"/>
      <c r="C10338" s="390"/>
      <c r="D10338" s="391"/>
      <c r="E10338" s="390"/>
      <c r="F10338" s="395" t="s">
        <v>18</v>
      </c>
      <c r="G10338" s="396" t="s">
        <v>1049</v>
      </c>
      <c r="H10338" s="397"/>
    </row>
    <row r="10339" spans="1:8" ht="15.75" customHeight="1" x14ac:dyDescent="0.25">
      <c r="A10339" s="390" t="s">
        <v>20</v>
      </c>
      <c r="B10339" s="390"/>
      <c r="C10339" s="390"/>
      <c r="D10339" s="391"/>
      <c r="E10339" s="390"/>
      <c r="F10339" s="395" t="s">
        <v>21</v>
      </c>
      <c r="G10339" s="390" t="s">
        <v>1393</v>
      </c>
      <c r="H10339" s="391"/>
    </row>
    <row r="10340" spans="1:8" ht="15.75" customHeight="1" x14ac:dyDescent="0.25">
      <c r="A10340" s="390" t="inlineStr">
        <is>
          <t>Dealer-009</t>
        </is>
      </c>
      <c r="B10340" s="390"/>
      <c r="C10340" s="390"/>
      <c r="D10340" s="391"/>
      <c r="E10340" s="395"/>
      <c r="F10340" s="390"/>
      <c r="G10340" s="390"/>
      <c r="H10340" s="394"/>
    </row>
    <row r="10341" spans="1:8" ht="15.75" customHeight="1" x14ac:dyDescent="0.25">
      <c r="A10341" s="390" t="inlineStr">
        <is>
          <t>Address line (redacted)</t>
        </is>
      </c>
      <c r="B10341" s="390"/>
      <c r="C10341" s="390"/>
      <c r="D10341" s="398"/>
      <c r="E10341" s="390"/>
      <c r="F10341" s="391"/>
      <c r="G10341" s="390"/>
      <c r="H10341" s="394"/>
    </row>
    <row r="10342" spans="1:8" ht="15.75" customHeight="1" x14ac:dyDescent="0.25">
      <c r="A10342" s="390" t="inlineStr">
        <is>
          <t>Address line (redacted)</t>
        </is>
      </c>
      <c r="B10342" s="390"/>
      <c r="C10342" s="390"/>
      <c r="D10342" s="398"/>
      <c r="E10342" s="390"/>
      <c r="F10342" s="391"/>
      <c r="G10342" s="390"/>
      <c r="H10342" s="394"/>
    </row>
    <row r="10343" spans="1:8" ht="15.75" customHeight="1" x14ac:dyDescent="0.25">
      <c r="A10343" s="447"/>
      <c r="B10343" s="390"/>
      <c r="C10343" s="390"/>
      <c r="D10343" s="391"/>
      <c r="E10343" s="390"/>
      <c r="F10343" s="391"/>
      <c r="G10343" s="390"/>
      <c r="H10343" s="394"/>
    </row>
    <row r="10344" spans="1:8" ht="15.75" customHeight="1" x14ac:dyDescent="0.25">
      <c r="A10344" s="390" t="s">
        <v>30</v>
      </c>
      <c r="B10344" s="390"/>
      <c r="C10344" s="390"/>
      <c r="D10344" s="391"/>
      <c r="E10344" s="390"/>
      <c r="F10344" s="391"/>
      <c r="G10344" s="390"/>
      <c r="H10344" s="394"/>
    </row>
    <row r="10345" spans="1:8" ht="15.75" customHeight="1" x14ac:dyDescent="0.25">
      <c r="A10345" s="390" t="s">
        <v>1322</v>
      </c>
      <c r="B10345" s="390"/>
      <c r="C10345" s="390"/>
      <c r="D10345" s="391"/>
      <c r="E10345" s="390"/>
      <c r="F10345" s="391"/>
      <c r="G10345" s="390"/>
      <c r="H10345" s="394"/>
    </row>
    <row r="10346" spans="1:8" ht="15.75" customHeight="1" x14ac:dyDescent="0.25">
      <c r="A10346" s="390" t="s">
        <v>1328</v>
      </c>
      <c r="B10346" s="390"/>
      <c r="C10346" s="390"/>
      <c r="D10346" s="391"/>
      <c r="E10346" s="390"/>
      <c r="F10346" s="391"/>
      <c r="G10346" s="390"/>
      <c r="H10346" s="394"/>
    </row>
    <row r="10347" spans="1:8" ht="15.75" customHeight="1" x14ac:dyDescent="0.25">
      <c r="A10347" s="399" t="s">
        <v>33</v>
      </c>
      <c r="B10347" s="400" t="s">
        <v>6</v>
      </c>
      <c r="C10347" s="400"/>
      <c r="D10347" s="401" t="s">
        <v>37</v>
      </c>
      <c r="E10347" s="402" t="s">
        <v>38</v>
      </c>
      <c r="F10347" s="403" t="s">
        <v>7</v>
      </c>
      <c r="G10347" s="404" t="s">
        <v>43</v>
      </c>
      <c r="H10347" s="405" t="s">
        <v>44</v>
      </c>
    </row>
    <row r="10348" spans="1:8" ht="15.75" customHeight="1" x14ac:dyDescent="0.25">
      <c r="A10348" s="406"/>
      <c r="B10348" s="407"/>
      <c r="C10348" s="393"/>
      <c r="D10348" s="410"/>
      <c r="E10348" s="858"/>
      <c r="F10348" s="409"/>
      <c r="G10348" s="410"/>
      <c r="H10348" s="411"/>
    </row>
    <row r="10349" spans="1:8" ht="15.75" customHeight="1" x14ac:dyDescent="0.25">
      <c r="A10349" s="502"/>
      <c r="B10349" s="557" t="s">
        <v>1365</v>
      </c>
      <c r="C10349" s="560"/>
      <c r="D10349" s="427"/>
      <c r="E10349" s="391"/>
      <c r="F10349" s="428"/>
      <c r="G10349" s="833"/>
      <c r="H10349" s="429"/>
    </row>
    <row r="10350" spans="1:8" ht="15.75" customHeight="1" x14ac:dyDescent="0.25">
      <c r="A10350" s="502" t="s">
        <v>55</v>
      </c>
      <c r="B10350" s="718">
        <v>510</v>
      </c>
      <c r="C10350" s="832"/>
      <c r="D10350" s="427">
        <v>1</v>
      </c>
      <c r="E10350" s="391">
        <v>4</v>
      </c>
      <c r="F10350" s="428">
        <f>+E10350*D10350</f>
      </c>
      <c r="G10350" s="428">
        <v>1</v>
      </c>
      <c r="H10350" s="429">
        <f>+G10350*F10350</f>
      </c>
    </row>
    <row r="10351" spans="1:8" ht="15.75" customHeight="1" x14ac:dyDescent="0.25">
      <c r="A10351" s="502"/>
      <c r="B10351" s="557" t="s">
        <v>1936</v>
      </c>
      <c r="C10351" s="560"/>
      <c r="D10351" s="427"/>
      <c r="E10351" s="391"/>
      <c r="F10351" s="428"/>
      <c r="G10351" s="428"/>
      <c r="H10351" s="429"/>
    </row>
    <row r="10352" spans="1:8" ht="15.75" customHeight="1" x14ac:dyDescent="0.25">
      <c r="A10352" s="502" t="s">
        <v>59</v>
      </c>
      <c r="B10352" s="718" t="s">
        <v>669</v>
      </c>
      <c r="C10352" s="832"/>
      <c r="D10352" s="427">
        <v>3</v>
      </c>
      <c r="E10352" s="391">
        <v>5</v>
      </c>
      <c r="F10352" s="428">
        <f>+E10352*D10352</f>
      </c>
      <c r="G10352" s="428">
        <v>1</v>
      </c>
      <c r="H10352" s="429">
        <f>+G10352*F10352</f>
      </c>
    </row>
    <row r="10353" spans="1:8" ht="15.75" customHeight="1" x14ac:dyDescent="0.25">
      <c r="A10353" s="502"/>
      <c r="B10353" s="557" t="s">
        <v>590</v>
      </c>
      <c r="C10353" s="560"/>
      <c r="D10353" s="633"/>
      <c r="E10353" s="633"/>
      <c r="F10353" s="428"/>
      <c r="G10353" s="428"/>
      <c r="H10353" s="429"/>
    </row>
    <row r="10354" spans="1:8" ht="15.75" customHeight="1" x14ac:dyDescent="0.25">
      <c r="A10354" s="502" t="s">
        <v>67</v>
      </c>
      <c r="B10354" s="718" t="s">
        <v>696</v>
      </c>
      <c r="C10354" s="832" t="s">
        <v>362</v>
      </c>
      <c r="D10354" s="633">
        <v>1</v>
      </c>
      <c r="E10354" s="633">
        <v>6</v>
      </c>
      <c r="F10354" s="428">
        <f t="shared" ref="F10354:F10355" si="345">+E10354*D10354</f>
      </c>
      <c r="G10354" s="428">
        <v>1</v>
      </c>
      <c r="H10354" s="429">
        <f t="shared" ref="H10354:H10355" si="346">+G10354*F10354</f>
      </c>
    </row>
    <row r="10355" spans="1:8" ht="15.75" customHeight="1" x14ac:dyDescent="0.25">
      <c r="A10355" s="502" t="s">
        <v>485</v>
      </c>
      <c r="B10355" s="718" t="s">
        <v>239</v>
      </c>
      <c r="C10355" s="832" t="s">
        <v>391</v>
      </c>
      <c r="D10355" s="633">
        <v>1</v>
      </c>
      <c r="E10355" s="633">
        <v>6</v>
      </c>
      <c r="F10355" s="428">
        <f t="shared" si="345"/>
      </c>
      <c r="G10355" s="428">
        <v>1</v>
      </c>
      <c r="H10355" s="429">
        <f t="shared" si="346"/>
      </c>
    </row>
    <row r="10356" spans="1:8" ht="15.75" customHeight="1" x14ac:dyDescent="0.25">
      <c r="A10356" s="502"/>
      <c r="B10356" s="718"/>
      <c r="C10356" s="832"/>
      <c r="D10356" s="427"/>
      <c r="E10356" s="391"/>
      <c r="F10356" s="428"/>
      <c r="G10356" s="428"/>
      <c r="H10356" s="429"/>
    </row>
    <row r="10357" spans="1:8" ht="15.75" customHeight="1" x14ac:dyDescent="0.25">
      <c r="A10357" s="502"/>
      <c r="B10357" s="557"/>
      <c r="C10357" s="560"/>
      <c r="D10357" s="427"/>
      <c r="E10357" s="391"/>
      <c r="F10357" s="428"/>
      <c r="G10357" s="833"/>
      <c r="H10357" s="429"/>
    </row>
    <row r="10358" spans="1:8" ht="15.75" customHeight="1" x14ac:dyDescent="0.25">
      <c r="A10358" s="502"/>
      <c r="B10358" s="557"/>
      <c r="C10358" s="560"/>
      <c r="D10358" s="427"/>
      <c r="E10358" s="391"/>
      <c r="F10358" s="428"/>
      <c r="G10358" s="675"/>
      <c r="H10358" s="429"/>
    </row>
    <row r="10359" spans="1:8" ht="15.75" customHeight="1" x14ac:dyDescent="0.25">
      <c r="A10359" s="502"/>
      <c r="B10359" s="448"/>
      <c r="C10359" s="813"/>
      <c r="D10359" s="427"/>
      <c r="E10359" s="391"/>
      <c r="F10359" s="428"/>
      <c r="G10359" s="427"/>
      <c r="H10359" s="429"/>
    </row>
    <row r="10360" spans="1:8" ht="15.75" customHeight="1" x14ac:dyDescent="0.25">
      <c r="A10360" s="502"/>
      <c r="B10360" s="557"/>
      <c r="C10360" s="560"/>
      <c r="D10360" s="427"/>
      <c r="E10360" s="391"/>
      <c r="F10360" s="428"/>
      <c r="G10360" s="675"/>
      <c r="H10360" s="429"/>
    </row>
    <row r="10361" spans="1:8" ht="15.75" customHeight="1" x14ac:dyDescent="0.25">
      <c r="A10361" s="502"/>
      <c r="B10361" s="448"/>
      <c r="C10361" s="813"/>
      <c r="D10361" s="427"/>
      <c r="E10361" s="391"/>
      <c r="F10361" s="428"/>
      <c r="G10361" s="427"/>
      <c r="H10361" s="429"/>
    </row>
    <row r="10362" spans="1:8" ht="15.75" customHeight="1" x14ac:dyDescent="0.25">
      <c r="A10362" s="502"/>
      <c r="B10362" s="859"/>
      <c r="C10362" s="860"/>
      <c r="D10362" s="861"/>
      <c r="E10362" s="860"/>
      <c r="F10362" s="862"/>
      <c r="G10362" s="863"/>
      <c r="H10362" s="444"/>
    </row>
    <row r="10363" spans="1:8" ht="15.75" customHeight="1" x14ac:dyDescent="0.25">
      <c r="A10363" s="432"/>
      <c r="B10363" s="433"/>
      <c r="C10363" s="434" t="s">
        <v>85</v>
      </c>
      <c r="D10363" s="435">
        <f>SUM(D10350:D10362)</f>
      </c>
      <c r="E10363" s="435"/>
      <c r="F10363" s="435">
        <f>SUM(F10350:F10362)</f>
      </c>
      <c r="G10363" s="437"/>
      <c r="H10363" s="438">
        <f>SUM(H10350:H10362)</f>
      </c>
    </row>
    <row r="10364" spans="1:8" ht="15.75" customHeight="1" x14ac:dyDescent="0.25">
      <c r="A10364" s="439"/>
      <c r="B10364" s="440"/>
      <c r="C10364" s="440"/>
      <c r="D10364" s="441"/>
      <c r="E10364" s="440"/>
      <c r="F10364" s="442"/>
      <c r="G10364" s="443"/>
      <c r="H10364" s="444"/>
    </row>
    <row r="10365" spans="1:8" ht="15.75" customHeight="1" x14ac:dyDescent="0.25">
      <c r="A10365" s="834"/>
      <c r="B10365" s="565"/>
      <c r="C10365" s="565"/>
      <c r="D10365" s="565"/>
      <c r="E10365" s="565"/>
      <c r="F10365" s="565"/>
      <c r="G10365" s="565"/>
      <c r="H10365" s="565"/>
    </row>
    <row r="10366" spans="1:8" ht="15.75" customHeight="1" x14ac:dyDescent="0.25">
      <c r="A10366" s="445"/>
      <c r="B10366" s="445"/>
      <c r="C10366" s="445"/>
      <c r="D10366" s="446" t="s">
        <v>97</v>
      </c>
      <c r="E10366" s="445" t="s">
        <v>98</v>
      </c>
      <c r="F10366" s="445"/>
      <c r="G10366" s="390"/>
      <c r="H10366" s="394"/>
    </row>
    <row r="10367" spans="1:8" ht="15.75" customHeight="1" x14ac:dyDescent="0.25">
      <c r="A10367" s="390"/>
      <c r="B10367" s="390"/>
      <c r="C10367" s="390"/>
      <c r="D10367" s="391"/>
      <c r="E10367" s="390"/>
      <c r="F10367" s="390"/>
      <c r="G10367" s="390"/>
      <c r="H10367" s="394"/>
    </row>
    <row r="10368" spans="1:8" ht="15.75" customHeight="1" x14ac:dyDescent="0.25">
      <c r="A10368" s="445"/>
      <c r="B10368" s="445"/>
      <c r="C10368" s="445"/>
      <c r="D10368" s="446"/>
      <c r="E10368" s="445" t="s">
        <v>99</v>
      </c>
      <c r="F10368" s="445"/>
      <c r="G10368" s="390"/>
      <c r="H10368" s="394"/>
    </row>
    <row r="10369" spans="1:8" ht="15.75" customHeight="1" x14ac:dyDescent="0.25">
      <c r="D10369" s="4"/>
      <c r="H10369" s="4"/>
    </row>
    <row r="10370" spans="1:8" ht="15.75" customHeight="1" x14ac:dyDescent="0.25">
      <c r="D10370" s="4"/>
      <c r="H10370" s="4"/>
    </row>
    <row r="10371" spans="1:8" ht="15.75" customHeight="1" x14ac:dyDescent="0.25">
      <c r="D10371" s="4"/>
      <c r="H10371" s="4"/>
    </row>
    <row r="10372" spans="1:8" ht="15.75" customHeight="1" x14ac:dyDescent="0.25">
      <c r="D10372" s="4"/>
      <c r="H10372" s="4"/>
    </row>
    <row r="10373" spans="1:8" ht="15.75" customHeight="1" x14ac:dyDescent="0.25">
      <c r="D10373" s="4"/>
      <c r="H10373" s="4"/>
    </row>
    <row r="10374" spans="1:8" ht="15.75" customHeight="1" x14ac:dyDescent="0.25">
      <c r="D10374" s="4"/>
      <c r="H10374" s="4"/>
    </row>
    <row r="10375" spans="1:8" ht="15.75" customHeight="1" x14ac:dyDescent="0.25">
      <c r="D10375" s="4"/>
      <c r="H10375" s="4"/>
    </row>
    <row r="10376" spans="1:8" ht="15.75" customHeight="1" x14ac:dyDescent="0.25">
      <c r="D10376" s="4"/>
      <c r="H10376" s="4"/>
    </row>
    <row r="10377" spans="1:8" ht="15.75" customHeight="1" x14ac:dyDescent="0.25">
      <c r="D10377" s="4"/>
      <c r="H10377" s="4"/>
    </row>
    <row r="10378" spans="1:8" ht="15.75" customHeight="1" x14ac:dyDescent="0.25">
      <c r="D10378" s="4"/>
      <c r="H10378" s="4"/>
    </row>
    <row r="10379" spans="1:8" ht="15.75" customHeight="1" x14ac:dyDescent="0.25">
      <c r="D10379" s="4"/>
      <c r="H10379" s="4"/>
    </row>
    <row r="10380" spans="1:8" ht="15.75" customHeight="1" x14ac:dyDescent="0.25">
      <c r="D10380" s="4"/>
      <c r="H10380" s="4"/>
    </row>
    <row r="10381" spans="1:8" ht="15.75" customHeight="1" x14ac:dyDescent="0.25">
      <c r="D10381" s="4"/>
      <c r="H10381" s="4"/>
    </row>
    <row r="10382" spans="1:8" ht="15.75" customHeight="1" x14ac:dyDescent="0.25">
      <c r="A10382" s="398" t="s">
        <v>14</v>
      </c>
      <c r="B10382" s="398"/>
      <c r="C10382" s="398"/>
      <c r="D10382" s="398"/>
      <c r="E10382" s="398"/>
      <c r="F10382" s="398"/>
      <c r="G10382" s="398"/>
      <c r="H10382" s="398"/>
    </row>
    <row r="10383" spans="1:8" ht="15.75" customHeight="1" x14ac:dyDescent="0.25">
      <c r="A10383" s="398"/>
      <c r="B10383" s="398"/>
      <c r="C10383" s="398"/>
      <c r="D10383" s="398"/>
      <c r="E10383" s="398"/>
      <c r="F10383" s="398"/>
      <c r="G10383" s="398"/>
      <c r="H10383" s="398"/>
    </row>
    <row r="10384" spans="1:8" ht="15.75" customHeight="1" x14ac:dyDescent="0.25">
      <c r="A10384" s="390"/>
      <c r="B10384" s="390"/>
      <c r="C10384" s="390"/>
      <c r="D10384" s="391"/>
      <c r="E10384" s="390"/>
      <c r="F10384" s="395" t="s">
        <v>18</v>
      </c>
      <c r="G10384" s="396" t="s">
        <v>1052</v>
      </c>
      <c r="H10384" s="397"/>
    </row>
    <row r="10385" spans="1:8" ht="15.75" customHeight="1" x14ac:dyDescent="0.25">
      <c r="A10385" s="390" t="s">
        <v>20</v>
      </c>
      <c r="B10385" s="390"/>
      <c r="C10385" s="390"/>
      <c r="D10385" s="391"/>
      <c r="E10385" s="390"/>
      <c r="F10385" s="395" t="s">
        <v>21</v>
      </c>
      <c r="G10385" s="390" t="s">
        <v>1433</v>
      </c>
      <c r="H10385" s="391"/>
    </row>
    <row r="10386" spans="1:8" ht="15.75" customHeight="1" x14ac:dyDescent="0.25">
      <c r="A10386" s="390" t="inlineStr">
        <is>
          <t>Dealer-009</t>
        </is>
      </c>
      <c r="B10386" s="390"/>
      <c r="C10386" s="390"/>
      <c r="D10386" s="391"/>
      <c r="E10386" s="395"/>
      <c r="F10386" s="390"/>
      <c r="G10386" s="390"/>
      <c r="H10386" s="394"/>
    </row>
    <row r="10387" spans="1:8" ht="15.75" customHeight="1" x14ac:dyDescent="0.25">
      <c r="A10387" s="390" t="inlineStr">
        <is>
          <t>Address line (redacted)</t>
        </is>
      </c>
      <c r="B10387" s="390"/>
      <c r="C10387" s="390"/>
      <c r="D10387" s="398"/>
      <c r="E10387" s="390"/>
      <c r="F10387" s="391"/>
      <c r="G10387" s="390"/>
      <c r="H10387" s="394"/>
    </row>
    <row r="10388" spans="1:8" ht="15.75" customHeight="1" x14ac:dyDescent="0.25">
      <c r="A10388" s="390" t="inlineStr">
        <is>
          <t>Address line (redacted)</t>
        </is>
      </c>
      <c r="B10388" s="390"/>
      <c r="C10388" s="390"/>
      <c r="D10388" s="398"/>
      <c r="E10388" s="390"/>
      <c r="F10388" s="391"/>
      <c r="G10388" s="390"/>
      <c r="H10388" s="394"/>
    </row>
    <row r="10389" spans="1:8" ht="15.75" customHeight="1" x14ac:dyDescent="0.25">
      <c r="A10389" s="447"/>
      <c r="B10389" s="390"/>
      <c r="C10389" s="390"/>
      <c r="D10389" s="391"/>
      <c r="E10389" s="390"/>
      <c r="F10389" s="391"/>
      <c r="G10389" s="390"/>
      <c r="H10389" s="394"/>
    </row>
    <row r="10390" spans="1:8" ht="15.75" customHeight="1" x14ac:dyDescent="0.25">
      <c r="A10390" s="390" t="s">
        <v>30</v>
      </c>
      <c r="B10390" s="390"/>
      <c r="C10390" s="390"/>
      <c r="D10390" s="391"/>
      <c r="E10390" s="390"/>
      <c r="F10390" s="391"/>
      <c r="G10390" s="390"/>
      <c r="H10390" s="394"/>
    </row>
    <row r="10391" spans="1:8" ht="15.75" customHeight="1" x14ac:dyDescent="0.25">
      <c r="A10391" s="390" t="s">
        <v>1322</v>
      </c>
      <c r="B10391" s="390"/>
      <c r="C10391" s="390"/>
      <c r="D10391" s="391"/>
      <c r="E10391" s="390"/>
      <c r="F10391" s="391"/>
      <c r="G10391" s="390"/>
      <c r="H10391" s="394"/>
    </row>
    <row r="10392" spans="1:8" ht="15.75" customHeight="1" x14ac:dyDescent="0.25">
      <c r="A10392" s="390" t="s">
        <v>1328</v>
      </c>
      <c r="B10392" s="390"/>
      <c r="C10392" s="390"/>
      <c r="D10392" s="391"/>
      <c r="E10392" s="390"/>
      <c r="F10392" s="391"/>
      <c r="G10392" s="390"/>
      <c r="H10392" s="394"/>
    </row>
    <row r="10393" spans="1:8" ht="15.75" customHeight="1" x14ac:dyDescent="0.25">
      <c r="A10393" s="399" t="s">
        <v>33</v>
      </c>
      <c r="B10393" s="400" t="s">
        <v>6</v>
      </c>
      <c r="C10393" s="400"/>
      <c r="D10393" s="401" t="s">
        <v>37</v>
      </c>
      <c r="E10393" s="402" t="s">
        <v>38</v>
      </c>
      <c r="F10393" s="403" t="s">
        <v>7</v>
      </c>
      <c r="G10393" s="404" t="s">
        <v>43</v>
      </c>
      <c r="H10393" s="405" t="s">
        <v>44</v>
      </c>
    </row>
    <row r="10394" spans="1:8" ht="15.75" customHeight="1" x14ac:dyDescent="0.25">
      <c r="A10394" s="406"/>
      <c r="B10394" s="407"/>
      <c r="C10394" s="393"/>
      <c r="D10394" s="410"/>
      <c r="E10394" s="858"/>
      <c r="F10394" s="409"/>
      <c r="G10394" s="410"/>
      <c r="H10394" s="411"/>
    </row>
    <row r="10395" spans="1:8" ht="15.75" customHeight="1" x14ac:dyDescent="0.25">
      <c r="A10395" s="502"/>
      <c r="B10395" s="557" t="s">
        <v>674</v>
      </c>
      <c r="C10395" s="560"/>
      <c r="D10395" s="427"/>
      <c r="E10395" s="391"/>
      <c r="F10395" s="428"/>
      <c r="G10395" s="833"/>
      <c r="H10395" s="429"/>
    </row>
    <row r="10396" spans="1:8" ht="15.75" customHeight="1" x14ac:dyDescent="0.25">
      <c r="A10396" s="502" t="s">
        <v>55</v>
      </c>
      <c r="B10396" s="718" t="s">
        <v>1076</v>
      </c>
      <c r="C10396" s="832" t="s">
        <v>1164</v>
      </c>
      <c r="D10396" s="427">
        <v>70</v>
      </c>
      <c r="E10396" s="391">
        <v>1</v>
      </c>
      <c r="F10396" s="428">
        <f t="shared" ref="F10396:F10397" si="347">+E10396*D10396</f>
      </c>
      <c r="G10396" s="428">
        <v>1</v>
      </c>
      <c r="H10396" s="429">
        <f>+G10396*F10396</f>
      </c>
    </row>
    <row r="10397" spans="1:8" ht="15.75" customHeight="1" x14ac:dyDescent="0.25">
      <c r="A10397" s="502" t="s">
        <v>59</v>
      </c>
      <c r="B10397" s="718" t="s">
        <v>1447</v>
      </c>
      <c r="C10397" s="832"/>
      <c r="D10397" s="427">
        <v>5</v>
      </c>
      <c r="E10397" s="391">
        <v>10</v>
      </c>
      <c r="F10397" s="428">
        <f t="shared" si="347"/>
      </c>
      <c r="G10397" s="833" t="s">
        <v>1435</v>
      </c>
      <c r="H10397" s="429"/>
    </row>
    <row r="10398" spans="1:8" ht="15.75" customHeight="1" x14ac:dyDescent="0.25">
      <c r="A10398" s="502"/>
      <c r="B10398" s="557" t="s">
        <v>1936</v>
      </c>
      <c r="C10398" s="560"/>
      <c r="D10398" s="427"/>
      <c r="E10398" s="391"/>
      <c r="F10398" s="428"/>
      <c r="G10398" s="428"/>
      <c r="H10398" s="429"/>
    </row>
    <row r="10399" spans="1:8" ht="15.75" customHeight="1" x14ac:dyDescent="0.25">
      <c r="A10399" s="502" t="s">
        <v>59</v>
      </c>
      <c r="B10399" s="718" t="s">
        <v>669</v>
      </c>
      <c r="C10399" s="832"/>
      <c r="D10399" s="427">
        <v>7</v>
      </c>
      <c r="E10399" s="391">
        <v>5</v>
      </c>
      <c r="F10399" s="428">
        <f>+E10399*D10399</f>
      </c>
      <c r="G10399" s="428">
        <v>1</v>
      </c>
      <c r="H10399" s="429">
        <f>+G10399*F10399</f>
      </c>
    </row>
    <row r="10400" spans="1:8" ht="15.75" customHeight="1" x14ac:dyDescent="0.25">
      <c r="A10400" s="502"/>
      <c r="B10400" s="557"/>
      <c r="C10400" s="560"/>
      <c r="D10400" s="633"/>
      <c r="E10400" s="633"/>
      <c r="F10400" s="428"/>
      <c r="G10400" s="428"/>
      <c r="H10400" s="429"/>
    </row>
    <row r="10401" spans="1:8" ht="15.75" customHeight="1" x14ac:dyDescent="0.25">
      <c r="A10401" s="502"/>
      <c r="B10401" s="718"/>
      <c r="C10401" s="832"/>
      <c r="D10401" s="633"/>
      <c r="E10401" s="633"/>
      <c r="F10401" s="428"/>
      <c r="G10401" s="428"/>
      <c r="H10401" s="429"/>
    </row>
    <row r="10402" spans="1:8" ht="15.75" customHeight="1" x14ac:dyDescent="0.25">
      <c r="A10402" s="502"/>
      <c r="B10402" s="718"/>
      <c r="C10402" s="832"/>
      <c r="D10402" s="633"/>
      <c r="E10402" s="633"/>
      <c r="F10402" s="428"/>
      <c r="G10402" s="428"/>
      <c r="H10402" s="429"/>
    </row>
    <row r="10403" spans="1:8" ht="15.75" customHeight="1" x14ac:dyDescent="0.25">
      <c r="A10403" s="502"/>
      <c r="B10403" s="718"/>
      <c r="C10403" s="832"/>
      <c r="D10403" s="427"/>
      <c r="E10403" s="391"/>
      <c r="F10403" s="428"/>
      <c r="G10403" s="428"/>
      <c r="H10403" s="429"/>
    </row>
    <row r="10404" spans="1:8" ht="15.75" customHeight="1" x14ac:dyDescent="0.25">
      <c r="A10404" s="502"/>
      <c r="B10404" s="557"/>
      <c r="C10404" s="560"/>
      <c r="D10404" s="427"/>
      <c r="E10404" s="391"/>
      <c r="F10404" s="428"/>
      <c r="G10404" s="833"/>
      <c r="H10404" s="429"/>
    </row>
    <row r="10405" spans="1:8" ht="15.75" customHeight="1" x14ac:dyDescent="0.25">
      <c r="A10405" s="502"/>
      <c r="B10405" s="557"/>
      <c r="C10405" s="560"/>
      <c r="D10405" s="427"/>
      <c r="E10405" s="391"/>
      <c r="F10405" s="428"/>
      <c r="G10405" s="675"/>
      <c r="H10405" s="429"/>
    </row>
    <row r="10406" spans="1:8" ht="15.75" customHeight="1" x14ac:dyDescent="0.25">
      <c r="A10406" s="502"/>
      <c r="B10406" s="448"/>
      <c r="C10406" s="813"/>
      <c r="D10406" s="427"/>
      <c r="E10406" s="391"/>
      <c r="F10406" s="428"/>
      <c r="G10406" s="427"/>
      <c r="H10406" s="429"/>
    </row>
    <row r="10407" spans="1:8" ht="15.75" customHeight="1" x14ac:dyDescent="0.25">
      <c r="A10407" s="502"/>
      <c r="B10407" s="557"/>
      <c r="C10407" s="560"/>
      <c r="D10407" s="427"/>
      <c r="E10407" s="391"/>
      <c r="F10407" s="428"/>
      <c r="G10407" s="675"/>
      <c r="H10407" s="429"/>
    </row>
    <row r="10408" spans="1:8" ht="15.75" customHeight="1" x14ac:dyDescent="0.25">
      <c r="A10408" s="502"/>
      <c r="B10408" s="448"/>
      <c r="C10408" s="813"/>
      <c r="D10408" s="427"/>
      <c r="E10408" s="391"/>
      <c r="F10408" s="428"/>
      <c r="G10408" s="427"/>
      <c r="H10408" s="429"/>
    </row>
    <row r="10409" spans="1:8" ht="15.75" customHeight="1" x14ac:dyDescent="0.25">
      <c r="A10409" s="502"/>
      <c r="B10409" s="859"/>
      <c r="C10409" s="860"/>
      <c r="D10409" s="861"/>
      <c r="E10409" s="860"/>
      <c r="F10409" s="862"/>
      <c r="G10409" s="863"/>
      <c r="H10409" s="444"/>
    </row>
    <row r="10410" spans="1:8" ht="15.75" customHeight="1" x14ac:dyDescent="0.25">
      <c r="A10410" s="432"/>
      <c r="B10410" s="433"/>
      <c r="C10410" s="434" t="s">
        <v>85</v>
      </c>
      <c r="D10410" s="435">
        <f>SUM(D10396:D10409)</f>
      </c>
      <c r="E10410" s="435"/>
      <c r="F10410" s="435">
        <f>SUM(F10396:F10409)</f>
      </c>
      <c r="G10410" s="437"/>
      <c r="H10410" s="438">
        <f>SUM(H10396:H10409)</f>
      </c>
    </row>
    <row r="10411" spans="1:8" ht="15.75" customHeight="1" x14ac:dyDescent="0.25">
      <c r="A10411" s="439"/>
      <c r="B10411" s="440"/>
      <c r="C10411" s="440"/>
      <c r="D10411" s="441"/>
      <c r="E10411" s="440"/>
      <c r="F10411" s="442"/>
      <c r="G10411" s="443"/>
      <c r="H10411" s="444"/>
    </row>
    <row r="10412" spans="1:8" ht="15.75" customHeight="1" x14ac:dyDescent="0.25">
      <c r="A10412" s="834"/>
      <c r="B10412" s="565"/>
      <c r="C10412" s="565"/>
      <c r="D10412" s="565"/>
      <c r="E10412" s="565"/>
      <c r="F10412" s="565"/>
      <c r="G10412" s="565"/>
      <c r="H10412" s="565"/>
    </row>
    <row r="10413" spans="1:8" ht="15.75" customHeight="1" x14ac:dyDescent="0.25">
      <c r="A10413" s="445"/>
      <c r="B10413" s="445"/>
      <c r="C10413" s="445"/>
      <c r="D10413" s="446" t="s">
        <v>97</v>
      </c>
      <c r="E10413" s="445" t="s">
        <v>98</v>
      </c>
      <c r="F10413" s="445"/>
      <c r="G10413" s="390"/>
      <c r="H10413" s="394"/>
    </row>
    <row r="10414" spans="1:8" ht="15.75" customHeight="1" x14ac:dyDescent="0.25">
      <c r="A10414" s="390"/>
      <c r="B10414" s="390"/>
      <c r="C10414" s="390"/>
      <c r="D10414" s="391"/>
      <c r="E10414" s="390"/>
      <c r="F10414" s="390"/>
      <c r="G10414" s="390"/>
      <c r="H10414" s="394"/>
    </row>
    <row r="10415" spans="1:8" ht="15.75" customHeight="1" x14ac:dyDescent="0.25">
      <c r="A10415" s="445"/>
      <c r="B10415" s="445"/>
      <c r="C10415" s="445"/>
      <c r="D10415" s="446"/>
      <c r="E10415" s="445" t="s">
        <v>99</v>
      </c>
      <c r="F10415" s="445"/>
      <c r="G10415" s="390"/>
      <c r="H10415" s="394"/>
    </row>
    <row r="10416" spans="1:8" ht="15.75" customHeight="1" x14ac:dyDescent="0.25">
      <c r="D10416" s="4"/>
      <c r="H10416" s="4"/>
    </row>
    <row r="10417" spans="1:8" ht="15.75" customHeight="1" x14ac:dyDescent="0.25">
      <c r="D10417" s="4"/>
      <c r="H10417" s="4"/>
    </row>
    <row r="10418" spans="1:8" ht="15.75" customHeight="1" x14ac:dyDescent="0.25">
      <c r="D10418" s="4"/>
      <c r="H10418" s="4"/>
    </row>
    <row r="10419" spans="1:8" ht="15.75" customHeight="1" x14ac:dyDescent="0.25">
      <c r="D10419" s="4"/>
      <c r="H10419" s="4"/>
    </row>
    <row r="10420" spans="1:8" ht="15.75" customHeight="1" x14ac:dyDescent="0.25">
      <c r="D10420" s="4"/>
      <c r="H10420" s="4"/>
    </row>
    <row r="10421" spans="1:8" ht="15.75" customHeight="1" x14ac:dyDescent="0.25">
      <c r="D10421" s="4"/>
      <c r="H10421" s="4"/>
    </row>
    <row r="10422" spans="1:8" ht="15.75" customHeight="1" x14ac:dyDescent="0.25">
      <c r="D10422" s="4"/>
      <c r="H10422" s="4"/>
    </row>
    <row r="10423" spans="1:8" ht="15.75" customHeight="1" x14ac:dyDescent="0.25">
      <c r="D10423" s="4"/>
      <c r="H10423" s="4"/>
    </row>
    <row r="10424" spans="1:8" ht="15.75" customHeight="1" x14ac:dyDescent="0.25">
      <c r="D10424" s="4"/>
      <c r="H10424" s="4"/>
    </row>
    <row r="10425" spans="1:8" ht="15.75" customHeight="1" x14ac:dyDescent="0.25">
      <c r="D10425" s="4"/>
      <c r="H10425" s="4"/>
    </row>
    <row r="10426" spans="1:8" ht="15.75" customHeight="1" x14ac:dyDescent="0.25">
      <c r="D10426" s="4"/>
      <c r="H10426" s="4"/>
    </row>
    <row r="10427" spans="1:8" ht="15.75" customHeight="1" x14ac:dyDescent="0.25">
      <c r="D10427" s="4"/>
      <c r="H10427" s="4"/>
    </row>
    <row r="10428" spans="1:8" ht="15.75" customHeight="1" x14ac:dyDescent="0.25">
      <c r="D10428" s="4"/>
      <c r="H10428" s="4"/>
    </row>
    <row r="10429" spans="1:8" ht="15.75" customHeight="1" x14ac:dyDescent="0.25">
      <c r="A10429" s="398" t="s">
        <v>14</v>
      </c>
      <c r="B10429" s="398"/>
      <c r="C10429" s="398"/>
      <c r="D10429" s="398"/>
      <c r="E10429" s="398"/>
      <c r="F10429" s="398"/>
      <c r="G10429" s="398"/>
      <c r="H10429" s="398"/>
    </row>
    <row r="10430" spans="1:8" ht="15.75" customHeight="1" x14ac:dyDescent="0.25">
      <c r="A10430" s="398"/>
      <c r="B10430" s="398"/>
      <c r="C10430" s="398"/>
      <c r="D10430" s="398"/>
      <c r="E10430" s="398"/>
      <c r="F10430" s="398"/>
      <c r="G10430" s="398"/>
      <c r="H10430" s="398"/>
    </row>
    <row r="10431" spans="1:8" ht="15.75" customHeight="1" x14ac:dyDescent="0.25">
      <c r="A10431" s="390"/>
      <c r="B10431" s="390"/>
      <c r="C10431" s="390"/>
      <c r="D10431" s="391"/>
      <c r="E10431" s="390"/>
      <c r="F10431" s="395" t="s">
        <v>18</v>
      </c>
      <c r="G10431" s="396" t="s">
        <v>1052</v>
      </c>
      <c r="H10431" s="397"/>
    </row>
    <row r="10432" spans="1:8" ht="15.75" customHeight="1" x14ac:dyDescent="0.25">
      <c r="A10432" s="390" t="s">
        <v>20</v>
      </c>
      <c r="B10432" s="390"/>
      <c r="C10432" s="390"/>
      <c r="D10432" s="391"/>
      <c r="E10432" s="390"/>
      <c r="F10432" s="395" t="s">
        <v>21</v>
      </c>
      <c r="G10432" s="390" t="s">
        <v>1457</v>
      </c>
      <c r="H10432" s="391"/>
    </row>
    <row r="10433" spans="1:8" ht="15.75" customHeight="1" x14ac:dyDescent="0.25">
      <c r="A10433" s="390" t="inlineStr">
        <is>
          <t>Dealer-002</t>
        </is>
      </c>
      <c r="B10433" s="390"/>
      <c r="C10433" s="390"/>
      <c r="D10433" s="391"/>
      <c r="E10433" s="395"/>
      <c r="F10433" s="390"/>
      <c r="G10433" s="390"/>
      <c r="H10433" s="394"/>
    </row>
    <row r="10434" spans="1:8" ht="15.75" customHeight="1" x14ac:dyDescent="0.25">
      <c r="A10434" s="390" t="inlineStr">
        <is>
          <t>Address line (redacted)</t>
        </is>
      </c>
      <c r="B10434" s="390"/>
      <c r="C10434" s="390"/>
      <c r="D10434" s="398"/>
      <c r="E10434" s="390"/>
      <c r="F10434" s="391"/>
      <c r="G10434" s="390"/>
      <c r="H10434" s="394"/>
    </row>
    <row r="10435" spans="1:8" ht="15.75" customHeight="1" x14ac:dyDescent="0.25">
      <c r="A10435" s="390" t="inlineStr">
        <is>
          <t>Address line (redacted)</t>
        </is>
      </c>
      <c r="B10435" s="390"/>
      <c r="C10435" s="390"/>
      <c r="D10435" s="398"/>
      <c r="E10435" s="390"/>
      <c r="F10435" s="391"/>
      <c r="G10435" s="390"/>
      <c r="H10435" s="394"/>
    </row>
    <row r="10436" spans="1:8" ht="15.75" customHeight="1" x14ac:dyDescent="0.25">
      <c r="A10436" s="447"/>
      <c r="B10436" s="390"/>
      <c r="C10436" s="390"/>
      <c r="D10436" s="391"/>
      <c r="E10436" s="390"/>
      <c r="F10436" s="391"/>
      <c r="G10436" s="390"/>
      <c r="H10436" s="394"/>
    </row>
    <row r="10437" spans="1:8" ht="15.75" customHeight="1" x14ac:dyDescent="0.25">
      <c r="A10437" s="390" t="s">
        <v>30</v>
      </c>
      <c r="B10437" s="390"/>
      <c r="C10437" s="390"/>
      <c r="D10437" s="391"/>
      <c r="E10437" s="390"/>
      <c r="F10437" s="391"/>
      <c r="G10437" s="390"/>
      <c r="H10437" s="394"/>
    </row>
    <row r="10438" spans="1:8" ht="15.75" customHeight="1" x14ac:dyDescent="0.25">
      <c r="A10438" s="390" t="s">
        <v>1322</v>
      </c>
      <c r="B10438" s="390"/>
      <c r="C10438" s="390"/>
      <c r="D10438" s="391"/>
      <c r="E10438" s="390"/>
      <c r="F10438" s="391"/>
      <c r="G10438" s="390"/>
      <c r="H10438" s="394"/>
    </row>
    <row r="10439" spans="1:8" ht="15.75" customHeight="1" x14ac:dyDescent="0.25">
      <c r="A10439" s="390" t="s">
        <v>1328</v>
      </c>
      <c r="B10439" s="390"/>
      <c r="C10439" s="390"/>
      <c r="D10439" s="391"/>
      <c r="E10439" s="390"/>
      <c r="F10439" s="391"/>
      <c r="G10439" s="390"/>
      <c r="H10439" s="394"/>
    </row>
    <row r="10440" spans="1:8" ht="15.75" customHeight="1" x14ac:dyDescent="0.25">
      <c r="A10440" s="399" t="s">
        <v>33</v>
      </c>
      <c r="B10440" s="400" t="s">
        <v>6</v>
      </c>
      <c r="C10440" s="400"/>
      <c r="D10440" s="401" t="s">
        <v>37</v>
      </c>
      <c r="E10440" s="402" t="s">
        <v>38</v>
      </c>
      <c r="F10440" s="403" t="s">
        <v>7</v>
      </c>
      <c r="G10440" s="404" t="s">
        <v>43</v>
      </c>
      <c r="H10440" s="405" t="s">
        <v>44</v>
      </c>
    </row>
    <row r="10441" spans="1:8" ht="15.75" customHeight="1" x14ac:dyDescent="0.25">
      <c r="A10441" s="406"/>
      <c r="B10441" s="407"/>
      <c r="C10441" s="393"/>
      <c r="D10441" s="410"/>
      <c r="E10441" s="858"/>
      <c r="F10441" s="409"/>
      <c r="G10441" s="410"/>
      <c r="H10441" s="411"/>
    </row>
    <row r="10442" spans="1:8" ht="15.75" customHeight="1" x14ac:dyDescent="0.25">
      <c r="A10442" s="502"/>
      <c r="B10442" s="557" t="s">
        <v>674</v>
      </c>
      <c r="C10442" s="560"/>
      <c r="D10442" s="427"/>
      <c r="E10442" s="391"/>
      <c r="F10442" s="428"/>
      <c r="G10442" s="675"/>
      <c r="H10442" s="429"/>
    </row>
    <row r="10443" spans="1:8" ht="15.75" customHeight="1" x14ac:dyDescent="0.25">
      <c r="A10443" s="502" t="s">
        <v>55</v>
      </c>
      <c r="B10443" s="448" t="s">
        <v>1555</v>
      </c>
      <c r="C10443" s="813" t="s">
        <v>1164</v>
      </c>
      <c r="D10443" s="427">
        <v>25</v>
      </c>
      <c r="E10443" s="391">
        <v>1</v>
      </c>
      <c r="F10443" s="428">
        <f>+E10443*D10443</f>
      </c>
      <c r="G10443" s="427">
        <v>1</v>
      </c>
      <c r="H10443" s="429">
        <f>+G10443*F10443</f>
      </c>
    </row>
    <row r="10444" spans="1:8" ht="15.75" customHeight="1" x14ac:dyDescent="0.25">
      <c r="A10444" s="502" t="s">
        <v>59</v>
      </c>
      <c r="B10444" s="448" t="s">
        <v>1447</v>
      </c>
      <c r="C10444" s="813"/>
      <c r="D10444" s="427">
        <v>2.5</v>
      </c>
      <c r="E10444" s="391">
        <v>10</v>
      </c>
      <c r="F10444" s="428">
        <v>25</v>
      </c>
      <c r="G10444" s="675" t="s">
        <v>1435</v>
      </c>
      <c r="H10444" s="429"/>
    </row>
    <row r="10445" spans="1:8" ht="15.75" customHeight="1" x14ac:dyDescent="0.25">
      <c r="A10445" s="502"/>
      <c r="B10445" s="557" t="s">
        <v>531</v>
      </c>
      <c r="C10445" s="560"/>
      <c r="D10445" s="427"/>
      <c r="E10445" s="391"/>
      <c r="F10445" s="428"/>
      <c r="G10445" s="427"/>
      <c r="H10445" s="429"/>
    </row>
    <row r="10446" spans="1:8" ht="15.75" customHeight="1" x14ac:dyDescent="0.25">
      <c r="A10446" s="502" t="s">
        <v>67</v>
      </c>
      <c r="B10446" s="448" t="s">
        <v>1937</v>
      </c>
      <c r="C10446" s="813"/>
      <c r="D10446" s="427">
        <v>4</v>
      </c>
      <c r="E10446" s="391">
        <v>10</v>
      </c>
      <c r="F10446" s="428">
        <f t="shared" ref="F10446:F10447" si="348">+E10446*D10446</f>
      </c>
      <c r="G10446" s="427">
        <v>1</v>
      </c>
      <c r="H10446" s="429">
        <f t="shared" ref="H10446:H10447" si="349">+G10446*F10446</f>
      </c>
    </row>
    <row r="10447" spans="1:8" ht="15.75" customHeight="1" x14ac:dyDescent="0.25">
      <c r="A10447" s="502" t="s">
        <v>485</v>
      </c>
      <c r="B10447" s="448" t="s">
        <v>1938</v>
      </c>
      <c r="C10447" s="813"/>
      <c r="D10447" s="427">
        <v>3</v>
      </c>
      <c r="E10447" s="391">
        <v>10</v>
      </c>
      <c r="F10447" s="428">
        <f t="shared" si="348"/>
      </c>
      <c r="G10447" s="427">
        <v>1</v>
      </c>
      <c r="H10447" s="429">
        <f t="shared" si="349"/>
      </c>
    </row>
    <row r="10448" spans="1:8" ht="15.75" customHeight="1" x14ac:dyDescent="0.25">
      <c r="A10448" s="502"/>
      <c r="B10448" s="557" t="s">
        <v>1754</v>
      </c>
      <c r="C10448" s="560"/>
      <c r="D10448" s="427"/>
      <c r="E10448" s="391"/>
      <c r="F10448" s="428"/>
      <c r="G10448" s="427"/>
      <c r="H10448" s="429"/>
    </row>
    <row r="10449" spans="1:8" ht="15.75" customHeight="1" x14ac:dyDescent="0.25">
      <c r="A10449" s="502" t="s">
        <v>486</v>
      </c>
      <c r="B10449" s="448" t="s">
        <v>1851</v>
      </c>
      <c r="C10449" s="813"/>
      <c r="D10449" s="427">
        <v>1</v>
      </c>
      <c r="E10449" s="391">
        <v>10</v>
      </c>
      <c r="F10449" s="428">
        <f>+E10449*D10449</f>
      </c>
      <c r="G10449" s="427">
        <v>1</v>
      </c>
      <c r="H10449" s="429">
        <f>+G10449*F10449</f>
      </c>
    </row>
    <row r="10450" spans="1:8" ht="15.75" customHeight="1" x14ac:dyDescent="0.25">
      <c r="A10450" s="502"/>
      <c r="B10450" s="448"/>
      <c r="C10450" s="813"/>
      <c r="D10450" s="427"/>
      <c r="E10450" s="391"/>
      <c r="F10450" s="428"/>
      <c r="G10450" s="427"/>
      <c r="H10450" s="429"/>
    </row>
    <row r="10451" spans="1:8" ht="15.75" customHeight="1" x14ac:dyDescent="0.25">
      <c r="A10451" s="502"/>
      <c r="B10451" s="859"/>
      <c r="C10451" s="860"/>
      <c r="D10451" s="861"/>
      <c r="E10451" s="860"/>
      <c r="F10451" s="862"/>
      <c r="G10451" s="863"/>
      <c r="H10451" s="444"/>
    </row>
    <row r="10452" spans="1:8" ht="15.75" customHeight="1" x14ac:dyDescent="0.25">
      <c r="A10452" s="432"/>
      <c r="B10452" s="433"/>
      <c r="C10452" s="434" t="s">
        <v>85</v>
      </c>
      <c r="D10452" s="435">
        <f>SUM(D10442:D10451)</f>
      </c>
      <c r="E10452" s="435"/>
      <c r="F10452" s="436">
        <f>SUM(F10443:F10451)</f>
      </c>
      <c r="G10452" s="437"/>
      <c r="H10452" s="438">
        <f>SUM(H10443:H10451)</f>
      </c>
    </row>
    <row r="10453" spans="1:8" ht="15.75" customHeight="1" x14ac:dyDescent="0.25">
      <c r="A10453" s="439"/>
      <c r="B10453" s="440"/>
      <c r="C10453" s="440"/>
      <c r="D10453" s="441"/>
      <c r="E10453" s="440"/>
      <c r="F10453" s="442"/>
      <c r="G10453" s="443"/>
      <c r="H10453" s="444"/>
    </row>
    <row r="10454" spans="1:8" ht="15.75" customHeight="1" x14ac:dyDescent="0.25">
      <c r="A10454" s="834"/>
      <c r="B10454" s="565"/>
      <c r="C10454" s="565"/>
      <c r="D10454" s="565"/>
      <c r="E10454" s="565"/>
      <c r="F10454" s="565"/>
      <c r="G10454" s="565"/>
      <c r="H10454" s="565"/>
    </row>
    <row r="10455" spans="1:8" ht="15.75" customHeight="1" x14ac:dyDescent="0.25">
      <c r="A10455" s="445"/>
      <c r="B10455" s="445"/>
      <c r="C10455" s="445"/>
      <c r="D10455" s="446" t="s">
        <v>97</v>
      </c>
      <c r="E10455" s="445" t="s">
        <v>98</v>
      </c>
      <c r="F10455" s="445"/>
      <c r="G10455" s="390"/>
      <c r="H10455" s="394"/>
    </row>
    <row r="10456" spans="1:8" ht="15.75" customHeight="1" x14ac:dyDescent="0.25">
      <c r="A10456" s="390"/>
      <c r="B10456" s="390"/>
      <c r="C10456" s="390"/>
      <c r="D10456" s="391"/>
      <c r="E10456" s="390"/>
      <c r="F10456" s="390"/>
      <c r="G10456" s="390"/>
      <c r="H10456" s="394"/>
    </row>
    <row r="10457" spans="1:8" ht="15.75" customHeight="1" x14ac:dyDescent="0.25">
      <c r="A10457" s="445"/>
      <c r="B10457" s="445"/>
      <c r="C10457" s="445"/>
      <c r="D10457" s="446"/>
      <c r="E10457" s="445" t="s">
        <v>99</v>
      </c>
      <c r="F10457" s="445"/>
      <c r="G10457" s="390"/>
      <c r="H10457" s="394"/>
    </row>
    <row r="10458" spans="1:8" ht="15.75" customHeight="1" x14ac:dyDescent="0.25">
      <c r="D10458" s="4"/>
      <c r="H10458" s="4"/>
    </row>
    <row r="10459" spans="1:8" ht="15.75" customHeight="1" x14ac:dyDescent="0.25">
      <c r="D10459" s="4"/>
      <c r="H10459" s="4"/>
    </row>
    <row r="10460" spans="1:8" ht="15.75" customHeight="1" x14ac:dyDescent="0.25">
      <c r="D10460" s="4"/>
      <c r="H10460" s="4"/>
    </row>
    <row r="10461" spans="1:8" ht="15.75" customHeight="1" x14ac:dyDescent="0.25">
      <c r="D10461" s="4"/>
      <c r="H10461" s="4"/>
    </row>
    <row r="10462" spans="1:8" ht="15.75" customHeight="1" x14ac:dyDescent="0.25">
      <c r="D10462" s="4"/>
      <c r="H10462" s="4"/>
    </row>
    <row r="10463" spans="1:8" ht="15.75" customHeight="1" x14ac:dyDescent="0.25">
      <c r="D10463" s="4"/>
      <c r="H10463" s="4"/>
    </row>
    <row r="10464" spans="1:8" ht="15.75" customHeight="1" x14ac:dyDescent="0.25">
      <c r="D10464" s="4"/>
      <c r="H10464" s="4"/>
    </row>
    <row r="10465" spans="1:8" ht="15.75" customHeight="1" x14ac:dyDescent="0.25">
      <c r="D10465" s="4"/>
      <c r="H10465" s="4"/>
    </row>
    <row r="10466" spans="1:8" ht="15.75" customHeight="1" x14ac:dyDescent="0.25">
      <c r="D10466" s="4"/>
      <c r="H10466" s="4"/>
    </row>
    <row r="10467" spans="1:8" ht="15.75" customHeight="1" x14ac:dyDescent="0.25">
      <c r="D10467" s="4"/>
      <c r="H10467" s="4"/>
    </row>
    <row r="10468" spans="1:8" ht="15.75" customHeight="1" x14ac:dyDescent="0.25">
      <c r="D10468" s="4"/>
      <c r="H10468" s="4"/>
    </row>
    <row r="10469" spans="1:8" ht="15.75" customHeight="1" x14ac:dyDescent="0.25">
      <c r="D10469" s="4"/>
      <c r="H10469" s="4"/>
    </row>
    <row r="10470" spans="1:8" ht="15.75" customHeight="1" x14ac:dyDescent="0.25">
      <c r="D10470" s="4"/>
      <c r="H10470" s="4"/>
    </row>
    <row r="10471" spans="1:8" ht="15.75" customHeight="1" x14ac:dyDescent="0.25">
      <c r="D10471" s="4"/>
      <c r="H10471" s="4"/>
    </row>
    <row r="10472" spans="1:8" ht="15.75" customHeight="1" x14ac:dyDescent="0.25">
      <c r="D10472" s="4"/>
      <c r="H10472" s="4"/>
    </row>
    <row r="10473" spans="1:8" ht="15.75" customHeight="1" x14ac:dyDescent="0.25">
      <c r="D10473" s="4"/>
      <c r="H10473" s="4"/>
    </row>
    <row r="10474" spans="1:8" ht="15.75" customHeight="1" x14ac:dyDescent="0.25">
      <c r="A10474" s="392" t="s">
        <v>14</v>
      </c>
      <c r="B10474" s="392"/>
      <c r="C10474" s="392"/>
      <c r="D10474" s="392"/>
      <c r="E10474" s="392"/>
      <c r="F10474" s="392"/>
      <c r="G10474" s="392"/>
      <c r="H10474" s="392"/>
    </row>
    <row r="10475" spans="1:8" ht="15.75" customHeight="1" x14ac:dyDescent="0.25">
      <c r="A10475" s="392"/>
      <c r="B10475" s="391"/>
      <c r="C10475" s="391"/>
      <c r="D10475" s="391"/>
      <c r="E10475" s="390"/>
      <c r="F10475" s="392"/>
      <c r="G10475" s="390"/>
      <c r="H10475" s="394"/>
    </row>
    <row r="10476" spans="1:8" ht="15.75" customHeight="1" x14ac:dyDescent="0.25">
      <c r="A10476" s="392"/>
      <c r="B10476" s="391"/>
      <c r="C10476" s="391"/>
      <c r="D10476" s="391"/>
      <c r="E10476" s="390"/>
      <c r="F10476" s="392"/>
      <c r="G10476" s="390"/>
      <c r="H10476" s="394"/>
    </row>
    <row r="10477" spans="1:8" ht="15.75" customHeight="1" x14ac:dyDescent="0.25">
      <c r="A10477" s="390" t="s">
        <v>20</v>
      </c>
      <c r="B10477" s="390"/>
      <c r="C10477" s="390"/>
      <c r="D10477" s="391"/>
      <c r="E10477" s="390"/>
      <c r="F10477" s="392"/>
      <c r="G10477" s="390"/>
      <c r="H10477" s="394"/>
    </row>
    <row r="10478" spans="1:8" ht="15.75" customHeight="1" x14ac:dyDescent="0.3">
      <c r="A10478" s="390" t="inlineStr">
        <is>
          <t>Dealer-003</t>
        </is>
      </c>
      <c r="B10478" s="390"/>
      <c r="C10478" s="390"/>
      <c r="D10478" s="391"/>
      <c r="E10478" s="390"/>
      <c r="F10478" s="395" t="s">
        <v>18</v>
      </c>
      <c r="G10478" s="23" t="s">
        <v>1056</v>
      </c>
      <c r="H10478" s="394"/>
    </row>
    <row r="10479" spans="1:8" ht="15.75" customHeight="1" x14ac:dyDescent="0.25">
      <c r="A10479" s="390" t="inlineStr">
        <is>
          <t>Address line (redacted)</t>
        </is>
      </c>
      <c r="B10479" s="390"/>
      <c r="C10479" s="390"/>
      <c r="D10479" s="391"/>
      <c r="E10479" s="390"/>
      <c r="F10479" s="393" t="s">
        <v>21</v>
      </c>
      <c r="G10479" s="390" t="s">
        <v>1939</v>
      </c>
      <c r="H10479" s="394"/>
    </row>
    <row r="10480" spans="1:8" ht="15.75" customHeight="1" x14ac:dyDescent="0.25">
      <c r="A10480" s="390" t="inlineStr">
        <is>
          <t>Address line (redacted)</t>
        </is>
      </c>
      <c r="B10480" s="390"/>
      <c r="C10480" s="390"/>
      <c r="D10480" s="391"/>
      <c r="E10480" s="390"/>
      <c r="F10480" s="391"/>
      <c r="G10480" s="390"/>
      <c r="H10480" s="394"/>
    </row>
    <row r="10481" spans="1:8" ht="15.75" customHeight="1" x14ac:dyDescent="0.25">
      <c r="A10481" s="390"/>
      <c r="B10481" s="390"/>
      <c r="C10481" s="393"/>
      <c r="D10481" s="391"/>
      <c r="E10481" s="390"/>
      <c r="F10481" s="391"/>
      <c r="G10481" s="390"/>
      <c r="H10481" s="394"/>
    </row>
    <row r="10482" spans="1:8" ht="15.75" customHeight="1" x14ac:dyDescent="0.25">
      <c r="A10482" s="390"/>
      <c r="B10482" s="390"/>
      <c r="C10482" s="390"/>
      <c r="D10482" s="391"/>
      <c r="E10482" s="390"/>
      <c r="F10482" s="391"/>
      <c r="G10482" s="390"/>
      <c r="H10482" s="394"/>
    </row>
    <row r="10483" spans="1:8" ht="15.75" customHeight="1" x14ac:dyDescent="0.25">
      <c r="A10483" s="390" t="s">
        <v>30</v>
      </c>
      <c r="B10483" s="390"/>
      <c r="C10483" s="390"/>
      <c r="D10483" s="391"/>
      <c r="E10483" s="390"/>
      <c r="F10483" s="391"/>
      <c r="G10483" s="390"/>
      <c r="H10483" s="394"/>
    </row>
    <row r="10484" spans="1:8" ht="15.75" customHeight="1" x14ac:dyDescent="0.25">
      <c r="A10484" s="390"/>
      <c r="B10484" s="390"/>
      <c r="C10484" s="390"/>
      <c r="D10484" s="391"/>
      <c r="E10484" s="390"/>
      <c r="F10484" s="391"/>
      <c r="G10484" s="390"/>
      <c r="H10484" s="394"/>
    </row>
    <row r="10485" spans="1:8" ht="15.75" customHeight="1" x14ac:dyDescent="0.25">
      <c r="A10485" s="390" t="s">
        <v>1322</v>
      </c>
      <c r="B10485" s="390"/>
      <c r="C10485" s="390"/>
      <c r="D10485" s="391"/>
      <c r="E10485" s="390"/>
      <c r="F10485" s="391"/>
      <c r="G10485" s="390"/>
      <c r="H10485" s="394"/>
    </row>
    <row r="10486" spans="1:8" ht="15.75" customHeight="1" x14ac:dyDescent="0.25">
      <c r="A10486" s="390" t="s">
        <v>1328</v>
      </c>
      <c r="B10486" s="390"/>
      <c r="C10486" s="390"/>
      <c r="D10486" s="391"/>
      <c r="E10486" s="390"/>
      <c r="F10486" s="391"/>
      <c r="G10486" s="390"/>
      <c r="H10486" s="394"/>
    </row>
    <row r="10487" spans="1:8" ht="15.75" customHeight="1" x14ac:dyDescent="0.25">
      <c r="A10487" s="390"/>
      <c r="B10487" s="390"/>
      <c r="C10487" s="390"/>
      <c r="D10487" s="391"/>
      <c r="E10487" s="390"/>
      <c r="F10487" s="391"/>
      <c r="G10487" s="390"/>
      <c r="H10487" s="394"/>
    </row>
    <row r="10488" spans="1:8" ht="15.75" customHeight="1" x14ac:dyDescent="0.25">
      <c r="A10488" s="399" t="s">
        <v>33</v>
      </c>
      <c r="B10488" s="400" t="s">
        <v>6</v>
      </c>
      <c r="C10488" s="400"/>
      <c r="D10488" s="401" t="s">
        <v>37</v>
      </c>
      <c r="E10488" s="402" t="s">
        <v>1309</v>
      </c>
      <c r="F10488" s="609" t="s">
        <v>7</v>
      </c>
      <c r="G10488" s="400" t="s">
        <v>43</v>
      </c>
      <c r="H10488" s="405" t="s">
        <v>44</v>
      </c>
    </row>
    <row r="10489" spans="1:8" ht="15.75" customHeight="1" x14ac:dyDescent="0.25">
      <c r="A10489" s="610"/>
      <c r="B10489" s="611"/>
      <c r="C10489" s="611"/>
      <c r="D10489" s="612"/>
      <c r="E10489" s="613"/>
      <c r="F10489" s="614"/>
      <c r="G10489" s="611"/>
      <c r="H10489" s="615"/>
    </row>
    <row r="10490" spans="1:8" ht="15.75" customHeight="1" x14ac:dyDescent="0.25">
      <c r="A10490" s="581"/>
      <c r="B10490" s="654" t="s">
        <v>1940</v>
      </c>
      <c r="C10490" s="654"/>
      <c r="D10490" s="415"/>
      <c r="E10490" s="415"/>
      <c r="F10490" s="415"/>
      <c r="G10490" s="579"/>
      <c r="H10490" s="416"/>
    </row>
    <row r="10491" spans="1:8" ht="15.75" customHeight="1" x14ac:dyDescent="0.25">
      <c r="A10491" s="581" t="s">
        <v>55</v>
      </c>
      <c r="B10491" s="644" t="s">
        <v>1824</v>
      </c>
      <c r="C10491" s="644"/>
      <c r="D10491" s="415">
        <v>6</v>
      </c>
      <c r="E10491" s="415">
        <v>5</v>
      </c>
      <c r="F10491" s="415">
        <f>+E10491*D10491</f>
      </c>
      <c r="G10491" s="415">
        <v>1</v>
      </c>
      <c r="H10491" s="416">
        <f>+G10491*F10491</f>
      </c>
    </row>
    <row r="10492" spans="1:8" ht="15.75" customHeight="1" x14ac:dyDescent="0.25">
      <c r="A10492" s="581"/>
      <c r="B10492" s="644"/>
      <c r="C10492" s="582"/>
      <c r="D10492" s="415"/>
      <c r="E10492" s="415"/>
      <c r="F10492" s="415"/>
      <c r="G10492" s="415"/>
      <c r="H10492" s="589"/>
    </row>
    <row r="10493" spans="1:8" ht="15.75" customHeight="1" x14ac:dyDescent="0.25">
      <c r="A10493" s="581"/>
      <c r="B10493" s="644"/>
      <c r="C10493" s="582"/>
      <c r="D10493" s="415"/>
      <c r="E10493" s="415"/>
      <c r="F10493" s="415"/>
      <c r="G10493" s="415"/>
      <c r="H10493" s="589"/>
    </row>
    <row r="10494" spans="1:8" ht="15.75" customHeight="1" x14ac:dyDescent="0.25">
      <c r="A10494" s="581"/>
      <c r="B10494" s="654"/>
      <c r="C10494" s="654"/>
      <c r="D10494" s="415"/>
      <c r="E10494" s="415"/>
      <c r="F10494" s="415"/>
      <c r="G10494" s="415"/>
      <c r="H10494" s="589"/>
    </row>
    <row r="10495" spans="1:8" ht="15.75" customHeight="1" x14ac:dyDescent="0.25">
      <c r="A10495" s="581"/>
      <c r="B10495" s="644"/>
      <c r="C10495" s="654"/>
      <c r="D10495" s="415"/>
      <c r="E10495" s="415"/>
      <c r="F10495" s="415"/>
      <c r="G10495" s="415"/>
      <c r="H10495" s="589"/>
    </row>
    <row r="10496" spans="1:8" ht="15.75" customHeight="1" x14ac:dyDescent="0.25">
      <c r="A10496" s="581"/>
      <c r="B10496" s="644"/>
      <c r="C10496" s="654"/>
      <c r="D10496" s="415"/>
      <c r="E10496" s="415"/>
      <c r="F10496" s="415"/>
      <c r="G10496" s="415"/>
      <c r="H10496" s="589"/>
    </row>
    <row r="10497" spans="1:8" ht="15.75" customHeight="1" x14ac:dyDescent="0.25">
      <c r="A10497" s="581"/>
      <c r="B10497" s="582"/>
      <c r="C10497" s="582"/>
      <c r="D10497" s="415"/>
      <c r="E10497" s="415"/>
      <c r="F10497" s="415"/>
      <c r="G10497" s="415"/>
      <c r="H10497" s="589"/>
    </row>
    <row r="10498" spans="1:8" ht="15.75" customHeight="1" x14ac:dyDescent="0.25">
      <c r="A10498" s="430"/>
      <c r="B10498" s="409"/>
      <c r="C10498" s="393"/>
      <c r="D10498" s="427"/>
      <c r="E10498" s="427"/>
      <c r="F10498" s="428"/>
      <c r="G10498" s="427"/>
      <c r="H10498" s="429"/>
    </row>
    <row r="10499" spans="1:8" ht="15.75" customHeight="1" x14ac:dyDescent="0.25">
      <c r="A10499" s="432"/>
      <c r="B10499" s="433"/>
      <c r="C10499" s="434" t="s">
        <v>85</v>
      </c>
      <c r="D10499" s="659">
        <f>SUM(D10491:D10498)</f>
      </c>
      <c r="E10499" s="401"/>
      <c r="F10499" s="864">
        <f>SUM(F10491:F10498)</f>
      </c>
      <c r="G10499" s="661"/>
      <c r="H10499" s="623">
        <f>SUM(H10490:H10498)</f>
      </c>
    </row>
    <row r="10500" spans="1:8" ht="15.75" customHeight="1" x14ac:dyDescent="0.25">
      <c r="A10500" s="439"/>
      <c r="B10500" s="440"/>
      <c r="C10500" s="440"/>
      <c r="D10500" s="441"/>
      <c r="E10500" s="440"/>
      <c r="F10500" s="442"/>
      <c r="G10500" s="443"/>
      <c r="H10500" s="444"/>
    </row>
    <row r="10501" spans="1:8" ht="15.75" customHeight="1" x14ac:dyDescent="0.25">
      <c r="A10501" s="392"/>
      <c r="B10501" s="391"/>
      <c r="C10501" s="391"/>
      <c r="D10501" s="391"/>
      <c r="E10501" s="390"/>
      <c r="F10501" s="392"/>
      <c r="G10501" s="390"/>
      <c r="H10501" s="394"/>
    </row>
    <row r="10502" spans="1:8" ht="15.75" customHeight="1" x14ac:dyDescent="0.25">
      <c r="A10502" s="445"/>
      <c r="B10502" s="445"/>
      <c r="C10502" s="445"/>
      <c r="D10502" s="446" t="s">
        <v>97</v>
      </c>
      <c r="E10502" s="445" t="s">
        <v>98</v>
      </c>
      <c r="F10502" s="445"/>
      <c r="G10502" s="390"/>
      <c r="H10502" s="394"/>
    </row>
    <row r="10503" spans="1:8" ht="15.75" customHeight="1" x14ac:dyDescent="0.25">
      <c r="A10503" s="390"/>
      <c r="B10503" s="390"/>
      <c r="C10503" s="390"/>
      <c r="D10503" s="391"/>
      <c r="E10503" s="390"/>
      <c r="F10503" s="390"/>
      <c r="G10503" s="390"/>
      <c r="H10503" s="394"/>
    </row>
    <row r="10504" spans="1:8" ht="15.75" customHeight="1" x14ac:dyDescent="0.25">
      <c r="A10504" s="390"/>
      <c r="B10504" s="390"/>
      <c r="C10504" s="390"/>
      <c r="D10504" s="391"/>
      <c r="E10504" s="390"/>
      <c r="F10504" s="390"/>
      <c r="G10504" s="390"/>
      <c r="H10504" s="394"/>
    </row>
    <row r="10505" spans="1:8" ht="15.75" customHeight="1" x14ac:dyDescent="0.25">
      <c r="A10505" s="445"/>
      <c r="B10505" s="445"/>
      <c r="C10505" s="445"/>
      <c r="D10505" s="446"/>
      <c r="E10505" s="445" t="s">
        <v>99</v>
      </c>
      <c r="F10505" s="445"/>
      <c r="G10505" s="390"/>
      <c r="H10505" s="394"/>
    </row>
    <row r="10506" spans="1:8" ht="15.75" customHeight="1" x14ac:dyDescent="0.25">
      <c r="D10506" s="4"/>
      <c r="H10506" s="4"/>
    </row>
    <row r="10507" spans="1:8" ht="15.75" customHeight="1" x14ac:dyDescent="0.25">
      <c r="D10507" s="4"/>
      <c r="H10507" s="4"/>
    </row>
    <row r="10508" spans="1:8" ht="15.75" customHeight="1" x14ac:dyDescent="0.25">
      <c r="D10508" s="4"/>
      <c r="H10508" s="4"/>
    </row>
    <row r="10509" spans="1:8" ht="15.75" customHeight="1" x14ac:dyDescent="0.25">
      <c r="D10509" s="4"/>
      <c r="H10509" s="4"/>
    </row>
    <row r="10510" spans="1:8" ht="15.75" customHeight="1" x14ac:dyDescent="0.25">
      <c r="D10510" s="4"/>
      <c r="H10510" s="4"/>
    </row>
    <row r="10511" spans="1:8" ht="15.75" customHeight="1" x14ac:dyDescent="0.25">
      <c r="D10511" s="4"/>
      <c r="H10511" s="4"/>
    </row>
    <row r="10512" spans="1:8" ht="15.75" customHeight="1" x14ac:dyDescent="0.25">
      <c r="D10512" s="4"/>
      <c r="H10512" s="4"/>
    </row>
    <row r="10513" spans="1:8" ht="15.75" customHeight="1" x14ac:dyDescent="0.25">
      <c r="D10513" s="4"/>
      <c r="H10513" s="4"/>
    </row>
    <row r="10514" spans="1:8" ht="15.75" customHeight="1" x14ac:dyDescent="0.25">
      <c r="D10514" s="4"/>
      <c r="H10514" s="4"/>
    </row>
    <row r="10515" spans="1:8" ht="15.75" customHeight="1" x14ac:dyDescent="0.25">
      <c r="D10515" s="4"/>
      <c r="H10515" s="4"/>
    </row>
    <row r="10516" spans="1:8" ht="15.75" customHeight="1" x14ac:dyDescent="0.25">
      <c r="D10516" s="4"/>
      <c r="H10516" s="4"/>
    </row>
    <row r="10517" spans="1:8" ht="15.75" customHeight="1" x14ac:dyDescent="0.25">
      <c r="D10517" s="4"/>
      <c r="H10517" s="4"/>
    </row>
    <row r="10518" spans="1:8" ht="15.75" customHeight="1" x14ac:dyDescent="0.25">
      <c r="D10518" s="4"/>
      <c r="H10518" s="4"/>
    </row>
    <row r="10519" spans="1:8" ht="15.75" customHeight="1" x14ac:dyDescent="0.25">
      <c r="D10519" s="4"/>
      <c r="H10519" s="4"/>
    </row>
    <row r="10520" spans="1:8" ht="15.75" customHeight="1" x14ac:dyDescent="0.25">
      <c r="A10520" s="8" t="s">
        <v>14</v>
      </c>
      <c r="B10520" s="8"/>
      <c r="C10520" s="8"/>
      <c r="D10520" s="8"/>
      <c r="E10520" s="8"/>
      <c r="F10520" s="8"/>
      <c r="G10520" s="8"/>
      <c r="H10520" s="8"/>
    </row>
    <row r="10521" spans="1:8" ht="15.75" customHeight="1" x14ac:dyDescent="0.25">
      <c r="A10521" s="388"/>
      <c r="B10521" s="388"/>
      <c r="C10521" s="388"/>
      <c r="D10521" s="389"/>
      <c r="E10521" s="388"/>
      <c r="F10521" s="388"/>
      <c r="G10521" s="388"/>
      <c r="H10521" s="8"/>
    </row>
    <row r="10522" spans="1:8" ht="15.75" customHeight="1" x14ac:dyDescent="0.25">
      <c r="A10522" s="390"/>
      <c r="B10522" s="390"/>
      <c r="C10522" s="391"/>
      <c r="D10522" s="392"/>
      <c r="E10522" s="393"/>
      <c r="F10522" s="393"/>
      <c r="G10522" s="393"/>
      <c r="H10522" s="394"/>
    </row>
    <row r="10523" spans="1:8" ht="15.75" customHeight="1" x14ac:dyDescent="0.25">
      <c r="A10523" s="390"/>
      <c r="B10523" s="390"/>
      <c r="C10523" s="390"/>
      <c r="D10523" s="391"/>
      <c r="E10523" s="390"/>
      <c r="F10523" s="395" t="s">
        <v>18</v>
      </c>
      <c r="G10523" s="396" t="s">
        <v>1056</v>
      </c>
      <c r="H10523" s="397"/>
    </row>
    <row r="10524" spans="1:8" ht="15.75" customHeight="1" x14ac:dyDescent="0.25">
      <c r="A10524" s="390" t="s">
        <v>20</v>
      </c>
      <c r="B10524" s="390"/>
      <c r="C10524" s="390"/>
      <c r="D10524" s="391"/>
      <c r="E10524" s="390"/>
      <c r="F10524" s="395" t="s">
        <v>21</v>
      </c>
      <c r="G10524" s="390" t="s">
        <v>1941</v>
      </c>
      <c r="H10524" s="391"/>
    </row>
    <row r="10525" spans="1:8" ht="15.75" customHeight="1" x14ac:dyDescent="0.25">
      <c r="A10525" s="390" t="inlineStr">
        <is>
          <t>Dealer-004</t>
        </is>
      </c>
      <c r="B10525" s="390"/>
      <c r="C10525" s="390"/>
      <c r="D10525" s="398"/>
      <c r="E10525" s="390"/>
      <c r="F10525" s="391"/>
      <c r="G10525" s="390"/>
      <c r="H10525" s="394"/>
    </row>
    <row r="10526" spans="1:8" ht="15.75" customHeight="1" x14ac:dyDescent="0.25">
      <c r="A10526" s="390" t="inlineStr">
        <is>
          <t>Address line (redacted)</t>
        </is>
      </c>
      <c r="B10526" s="390"/>
      <c r="C10526" s="390"/>
      <c r="D10526" s="398"/>
      <c r="E10526" s="390"/>
      <c r="F10526" s="391"/>
      <c r="G10526" s="390"/>
      <c r="H10526" s="394"/>
    </row>
    <row r="10527" spans="1:8" ht="15.75" customHeight="1" x14ac:dyDescent="0.25">
      <c r="A10527" s="390" t="inlineStr">
        <is>
          <t>Address line (redacted)</t>
        </is>
      </c>
      <c r="B10527" s="390"/>
      <c r="C10527" s="390"/>
      <c r="D10527" s="391"/>
      <c r="E10527" s="390"/>
      <c r="F10527" s="391"/>
      <c r="G10527" s="390"/>
      <c r="H10527" s="394"/>
    </row>
    <row r="10528" spans="1:8" ht="15.75" customHeight="1" x14ac:dyDescent="0.25">
      <c r="A10528" s="390"/>
      <c r="B10528" s="390"/>
      <c r="C10528" s="390"/>
      <c r="D10528" s="391"/>
      <c r="E10528" s="390"/>
      <c r="F10528" s="391"/>
      <c r="G10528" s="390"/>
      <c r="H10528" s="394"/>
    </row>
    <row r="10529" spans="1:8" ht="15.75" customHeight="1" x14ac:dyDescent="0.25">
      <c r="A10529" s="390" t="s">
        <v>30</v>
      </c>
      <c r="B10529" s="390"/>
      <c r="C10529" s="390"/>
      <c r="D10529" s="391"/>
      <c r="E10529" s="390"/>
      <c r="F10529" s="391"/>
      <c r="G10529" s="390"/>
      <c r="H10529" s="394"/>
    </row>
    <row r="10530" spans="1:8" ht="15.75" customHeight="1" x14ac:dyDescent="0.25">
      <c r="A10530" s="390"/>
      <c r="B10530" s="390"/>
      <c r="C10530" s="390"/>
      <c r="D10530" s="391"/>
      <c r="E10530" s="390"/>
      <c r="F10530" s="391"/>
      <c r="G10530" s="390"/>
      <c r="H10530" s="394"/>
    </row>
    <row r="10531" spans="1:8" ht="15.75" customHeight="1" x14ac:dyDescent="0.25">
      <c r="A10531" s="390" t="s">
        <v>716</v>
      </c>
      <c r="B10531" s="390"/>
      <c r="C10531" s="390"/>
      <c r="D10531" s="391"/>
      <c r="E10531" s="390"/>
      <c r="F10531" s="391"/>
      <c r="G10531" s="390"/>
      <c r="H10531" s="394"/>
    </row>
    <row r="10532" spans="1:8" ht="15.75" customHeight="1" x14ac:dyDescent="0.25">
      <c r="A10532" s="390" t="s">
        <v>717</v>
      </c>
      <c r="B10532" s="390"/>
      <c r="C10532" s="390"/>
      <c r="D10532" s="391"/>
      <c r="E10532" s="390"/>
      <c r="F10532" s="391"/>
      <c r="G10532" s="390"/>
      <c r="H10532" s="394"/>
    </row>
    <row r="10533" spans="1:8" ht="15.75" customHeight="1" x14ac:dyDescent="0.25">
      <c r="A10533" s="390"/>
      <c r="B10533" s="390"/>
      <c r="C10533" s="390"/>
      <c r="D10533" s="391"/>
      <c r="E10533" s="390"/>
      <c r="F10533" s="391"/>
      <c r="G10533" s="390"/>
      <c r="H10533" s="394"/>
    </row>
    <row r="10534" spans="1:8" ht="15.75" customHeight="1" x14ac:dyDescent="0.25">
      <c r="A10534" s="399" t="s">
        <v>33</v>
      </c>
      <c r="B10534" s="400" t="s">
        <v>6</v>
      </c>
      <c r="C10534" s="400"/>
      <c r="D10534" s="401" t="s">
        <v>37</v>
      </c>
      <c r="E10534" s="402" t="s">
        <v>38</v>
      </c>
      <c r="F10534" s="403" t="s">
        <v>7</v>
      </c>
      <c r="G10534" s="404" t="s">
        <v>43</v>
      </c>
      <c r="H10534" s="405" t="s">
        <v>44</v>
      </c>
    </row>
    <row r="10535" spans="1:8" ht="15.75" customHeight="1" x14ac:dyDescent="0.25">
      <c r="A10535" s="406"/>
      <c r="B10535" s="407"/>
      <c r="C10535" s="393"/>
      <c r="D10535" s="408"/>
      <c r="E10535" s="408"/>
      <c r="F10535" s="409"/>
      <c r="G10535" s="410"/>
      <c r="H10535" s="411"/>
    </row>
    <row r="10536" spans="1:8" ht="15.75" customHeight="1" x14ac:dyDescent="0.25">
      <c r="A10536" s="412"/>
      <c r="B10536" s="422" t="s">
        <v>674</v>
      </c>
      <c r="C10536" s="422"/>
      <c r="D10536" s="415"/>
      <c r="E10536" s="415"/>
      <c r="F10536" s="415"/>
      <c r="G10536" s="415"/>
      <c r="H10536" s="416"/>
    </row>
    <row r="10537" spans="1:8" ht="15.75" customHeight="1" x14ac:dyDescent="0.25">
      <c r="A10537" s="412" t="s">
        <v>55</v>
      </c>
      <c r="B10537" s="417" t="s">
        <v>1942</v>
      </c>
      <c r="C10537" s="418"/>
      <c r="D10537" s="415">
        <v>10</v>
      </c>
      <c r="E10537" s="415">
        <v>1</v>
      </c>
      <c r="F10537" s="415">
        <f>+E10537*D10537</f>
      </c>
      <c r="G10537" s="415">
        <v>1</v>
      </c>
      <c r="H10537" s="416">
        <f>+G10537*F10537</f>
      </c>
    </row>
    <row r="10538" spans="1:8" ht="15.75" customHeight="1" x14ac:dyDescent="0.25">
      <c r="A10538" s="412" t="s">
        <v>59</v>
      </c>
      <c r="B10538" s="417" t="s">
        <v>1942</v>
      </c>
      <c r="C10538" s="418"/>
      <c r="D10538" s="415">
        <v>1</v>
      </c>
      <c r="E10538" s="415">
        <v>1</v>
      </c>
      <c r="F10538" s="415">
        <v>1</v>
      </c>
      <c r="G10538" s="619" t="s">
        <v>1856</v>
      </c>
      <c r="H10538" s="706"/>
    </row>
    <row r="10539" spans="1:8" ht="15.75" customHeight="1" x14ac:dyDescent="0.25">
      <c r="A10539" s="425"/>
      <c r="B10539" s="426"/>
      <c r="C10539" s="390"/>
      <c r="D10539" s="427"/>
      <c r="E10539" s="427"/>
      <c r="F10539" s="428"/>
      <c r="G10539" s="427"/>
      <c r="H10539" s="429"/>
    </row>
    <row r="10540" spans="1:8" ht="15.75" customHeight="1" x14ac:dyDescent="0.25">
      <c r="A10540" s="425"/>
      <c r="B10540" s="426"/>
      <c r="C10540" s="390"/>
      <c r="D10540" s="427"/>
      <c r="E10540" s="427"/>
      <c r="F10540" s="428"/>
      <c r="G10540" s="427"/>
      <c r="H10540" s="429"/>
    </row>
    <row r="10541" spans="1:8" ht="15.75" customHeight="1" x14ac:dyDescent="0.25">
      <c r="A10541" s="425"/>
      <c r="B10541" s="426"/>
      <c r="C10541" s="390"/>
      <c r="D10541" s="427"/>
      <c r="E10541" s="427"/>
      <c r="F10541" s="428"/>
      <c r="G10541" s="427"/>
      <c r="H10541" s="429"/>
    </row>
    <row r="10542" spans="1:8" ht="15.75" customHeight="1" x14ac:dyDescent="0.25">
      <c r="A10542" s="425"/>
      <c r="B10542" s="426"/>
      <c r="C10542" s="390"/>
      <c r="D10542" s="427"/>
      <c r="E10542" s="427"/>
      <c r="F10542" s="428"/>
      <c r="G10542" s="427"/>
      <c r="H10542" s="429"/>
    </row>
    <row r="10543" spans="1:8" ht="15.75" customHeight="1" x14ac:dyDescent="0.25">
      <c r="A10543" s="430"/>
      <c r="B10543" s="409"/>
      <c r="C10543" s="393"/>
      <c r="D10543" s="427"/>
      <c r="E10543" s="427"/>
      <c r="F10543" s="428"/>
      <c r="G10543" s="431"/>
      <c r="H10543" s="429"/>
    </row>
    <row r="10544" spans="1:8" ht="15.75" customHeight="1" x14ac:dyDescent="0.25">
      <c r="A10544" s="432"/>
      <c r="B10544" s="433"/>
      <c r="C10544" s="434" t="s">
        <v>85</v>
      </c>
      <c r="D10544" s="435">
        <f>SUM(D10536:D10543)</f>
      </c>
      <c r="E10544" s="435"/>
      <c r="F10544" s="436"/>
      <c r="G10544" s="437"/>
      <c r="H10544" s="438">
        <f>SUM(H10537:H10543)</f>
      </c>
    </row>
    <row r="10545" spans="1:8" ht="15.75" customHeight="1" x14ac:dyDescent="0.25">
      <c r="A10545" s="439"/>
      <c r="B10545" s="440"/>
      <c r="C10545" s="440"/>
      <c r="D10545" s="441"/>
      <c r="E10545" s="440"/>
      <c r="F10545" s="442"/>
      <c r="G10545" s="443"/>
      <c r="H10545" s="444"/>
    </row>
    <row r="10546" spans="1:8" ht="15.75" customHeight="1" x14ac:dyDescent="0.25">
      <c r="A10546" s="392" t="s">
        <v>913</v>
      </c>
      <c r="B10546" s="391"/>
      <c r="C10546" s="391"/>
      <c r="D10546" s="391"/>
      <c r="E10546" s="390"/>
      <c r="F10546" s="392"/>
      <c r="G10546" s="390"/>
      <c r="H10546" s="394"/>
    </row>
    <row r="10547" spans="1:8" ht="15.75" customHeight="1" x14ac:dyDescent="0.25">
      <c r="A10547" s="445"/>
      <c r="B10547" s="445"/>
      <c r="C10547" s="445"/>
      <c r="D10547" s="446" t="s">
        <v>97</v>
      </c>
      <c r="E10547" s="445" t="s">
        <v>98</v>
      </c>
      <c r="F10547" s="445"/>
      <c r="G10547" s="390"/>
      <c r="H10547" s="394"/>
    </row>
    <row r="10548" spans="1:8" ht="15.75" customHeight="1" x14ac:dyDescent="0.25">
      <c r="A10548" s="390"/>
      <c r="B10548" s="390"/>
      <c r="C10548" s="390"/>
      <c r="D10548" s="391"/>
      <c r="E10548" s="390"/>
      <c r="F10548" s="390"/>
      <c r="G10548" s="390"/>
      <c r="H10548" s="394"/>
    </row>
    <row r="10549" spans="1:8" ht="15.75" customHeight="1" x14ac:dyDescent="0.25">
      <c r="A10549" s="390"/>
      <c r="B10549" s="390"/>
      <c r="C10549" s="390"/>
      <c r="D10549" s="391"/>
      <c r="E10549" s="390"/>
      <c r="F10549" s="390"/>
      <c r="G10549" s="390"/>
      <c r="H10549" s="394"/>
    </row>
    <row r="10550" spans="1:8" ht="15.75" customHeight="1" x14ac:dyDescent="0.25">
      <c r="A10550" s="445"/>
      <c r="B10550" s="445"/>
      <c r="C10550" s="445"/>
      <c r="D10550" s="446"/>
      <c r="E10550" s="445" t="s">
        <v>99</v>
      </c>
      <c r="F10550" s="445"/>
      <c r="G10550" s="390"/>
      <c r="H10550" s="394"/>
    </row>
    <row r="10551" spans="1:8" ht="15.75" customHeight="1" x14ac:dyDescent="0.25">
      <c r="D10551" s="4"/>
      <c r="H10551" s="4"/>
    </row>
    <row r="10552" spans="1:8" ht="15.75" customHeight="1" x14ac:dyDescent="0.25">
      <c r="D10552" s="4"/>
      <c r="H10552" s="4"/>
    </row>
    <row r="10553" spans="1:8" ht="15.75" customHeight="1" x14ac:dyDescent="0.25">
      <c r="D10553" s="4"/>
      <c r="H10553" s="4"/>
    </row>
    <row r="10554" spans="1:8" ht="15.75" customHeight="1" x14ac:dyDescent="0.25">
      <c r="D10554" s="4"/>
      <c r="H10554" s="4"/>
    </row>
    <row r="10555" spans="1:8" ht="15.75" customHeight="1" x14ac:dyDescent="0.25">
      <c r="D10555" s="4"/>
      <c r="H10555" s="4"/>
    </row>
    <row r="10556" spans="1:8" ht="15.75" customHeight="1" x14ac:dyDescent="0.25">
      <c r="D10556" s="4"/>
      <c r="H10556" s="4"/>
    </row>
    <row r="10557" spans="1:8" ht="15.75" customHeight="1" x14ac:dyDescent="0.25">
      <c r="D10557" s="4"/>
      <c r="H10557" s="4"/>
    </row>
    <row r="10558" spans="1:8" ht="15.75" customHeight="1" x14ac:dyDescent="0.25">
      <c r="D10558" s="4"/>
      <c r="H10558" s="4"/>
    </row>
    <row r="10559" spans="1:8" ht="15.75" customHeight="1" x14ac:dyDescent="0.25">
      <c r="D10559" s="4"/>
      <c r="H10559" s="4"/>
    </row>
    <row r="10560" spans="1:8" ht="15.75" customHeight="1" x14ac:dyDescent="0.25">
      <c r="D10560" s="4"/>
      <c r="H10560" s="4"/>
    </row>
    <row r="10561" spans="1:8" ht="15.75" customHeight="1" x14ac:dyDescent="0.25">
      <c r="D10561" s="4"/>
      <c r="H10561" s="4"/>
    </row>
    <row r="10562" spans="1:8" ht="15.75" customHeight="1" x14ac:dyDescent="0.25">
      <c r="D10562" s="4"/>
      <c r="H10562" s="4"/>
    </row>
    <row r="10563" spans="1:8" ht="15.75" customHeight="1" x14ac:dyDescent="0.25">
      <c r="D10563" s="4"/>
      <c r="H10563" s="4"/>
    </row>
    <row r="10564" spans="1:8" ht="15.75" customHeight="1" x14ac:dyDescent="0.25">
      <c r="D10564" s="4"/>
      <c r="H10564" s="4"/>
    </row>
    <row r="10565" spans="1:8" ht="15.75" customHeight="1" x14ac:dyDescent="0.25">
      <c r="D10565" s="4"/>
      <c r="H10565" s="4"/>
    </row>
    <row r="10566" spans="1:8" ht="15.75" customHeight="1" x14ac:dyDescent="0.25">
      <c r="A10566" s="8" t="s">
        <v>14</v>
      </c>
      <c r="B10566" s="8"/>
      <c r="C10566" s="8"/>
      <c r="D10566" s="8"/>
      <c r="E10566" s="8"/>
      <c r="F10566" s="8"/>
      <c r="G10566" s="8"/>
      <c r="H10566" s="8"/>
    </row>
    <row r="10567" spans="1:8" ht="15.75" customHeight="1" x14ac:dyDescent="0.25">
      <c r="A10567" s="388"/>
      <c r="B10567" s="388"/>
      <c r="C10567" s="388"/>
      <c r="D10567" s="389"/>
      <c r="E10567" s="388"/>
      <c r="F10567" s="388"/>
      <c r="G10567" s="388"/>
      <c r="H10567" s="8"/>
    </row>
    <row r="10568" spans="1:8" ht="15.75" customHeight="1" x14ac:dyDescent="0.25">
      <c r="A10568" s="390"/>
      <c r="B10568" s="390"/>
      <c r="C10568" s="391"/>
      <c r="D10568" s="392"/>
      <c r="E10568" s="393"/>
      <c r="F10568" s="393"/>
      <c r="G10568" s="393"/>
      <c r="H10568" s="394"/>
    </row>
    <row r="10569" spans="1:8" ht="15.75" customHeight="1" x14ac:dyDescent="0.25">
      <c r="A10569" s="390"/>
      <c r="B10569" s="390"/>
      <c r="C10569" s="390"/>
      <c r="D10569" s="391"/>
      <c r="E10569" s="390"/>
      <c r="F10569" s="395" t="s">
        <v>18</v>
      </c>
      <c r="G10569" s="396" t="s">
        <v>1539</v>
      </c>
      <c r="H10569" s="397"/>
    </row>
    <row r="10570" spans="1:8" ht="15.75" customHeight="1" x14ac:dyDescent="0.25">
      <c r="A10570" s="390" t="s">
        <v>20</v>
      </c>
      <c r="B10570" s="390"/>
      <c r="C10570" s="390"/>
      <c r="D10570" s="391"/>
      <c r="E10570" s="390"/>
      <c r="F10570" s="395" t="s">
        <v>21</v>
      </c>
      <c r="G10570" s="390" t="s">
        <v>1540</v>
      </c>
      <c r="H10570" s="391"/>
    </row>
    <row r="10571" spans="1:8" ht="15.75" customHeight="1" x14ac:dyDescent="0.25">
      <c r="A10571" s="159" t="inlineStr">
        <is>
          <t>Dealer-020</t>
        </is>
      </c>
      <c r="B10571" s="838"/>
      <c r="C10571" s="390"/>
      <c r="D10571" s="398"/>
      <c r="E10571" s="390"/>
      <c r="F10571" s="391"/>
      <c r="G10571" s="390"/>
      <c r="H10571" s="394"/>
    </row>
    <row r="10572" spans="1:8" ht="15.75" customHeight="1" x14ac:dyDescent="0.25">
      <c r="A10572" s="867" t="inlineStr">
        <is>
          <t>Address line (redacted)</t>
        </is>
      </c>
      <c r="B10572" s="838"/>
      <c r="C10572" s="390"/>
      <c r="D10572" s="398"/>
      <c r="E10572" s="390"/>
      <c r="F10572" s="391"/>
      <c r="G10572" s="390"/>
      <c r="H10572" s="394"/>
    </row>
    <row r="10573" spans="1:8" ht="15.75" customHeight="1" x14ac:dyDescent="0.25">
      <c r="A10573" s="867" t="inlineStr">
        <is>
          <t>Address line (redacted)</t>
        </is>
      </c>
      <c r="B10573" s="838"/>
      <c r="C10573" s="390"/>
      <c r="D10573" s="391"/>
      <c r="E10573" s="390"/>
      <c r="F10573" s="391"/>
      <c r="G10573" s="390"/>
      <c r="H10573" s="394"/>
    </row>
    <row r="10574" spans="1:8" ht="15.75" customHeight="1" x14ac:dyDescent="0.25">
      <c r="A10574" s="867" t="inlineStr">
        <is>
          <t>Address line (redacted)</t>
        </is>
      </c>
      <c r="B10574" s="838"/>
      <c r="C10574" s="390"/>
      <c r="D10574" s="391"/>
      <c r="E10574" s="390"/>
      <c r="F10574" s="391"/>
      <c r="G10574" s="390"/>
      <c r="H10574" s="394"/>
    </row>
    <row r="10575" spans="1:8" ht="15.75" customHeight="1" x14ac:dyDescent="0.25">
      <c r="A10575" s="868"/>
      <c r="B10575" s="838"/>
      <c r="C10575" s="390"/>
      <c r="D10575" s="391"/>
      <c r="E10575" s="390"/>
      <c r="F10575" s="391"/>
      <c r="G10575" s="390"/>
      <c r="H10575" s="394"/>
    </row>
    <row r="10576" spans="1:8" ht="15.75" customHeight="1" x14ac:dyDescent="0.25">
      <c r="A10576" s="390" t="s">
        <v>30</v>
      </c>
      <c r="B10576" s="390"/>
      <c r="C10576" s="390"/>
      <c r="D10576" s="391"/>
      <c r="E10576" s="390"/>
      <c r="F10576" s="391"/>
      <c r="G10576" s="390"/>
      <c r="H10576" s="394"/>
    </row>
    <row r="10577" spans="1:8" ht="15.75" customHeight="1" x14ac:dyDescent="0.25">
      <c r="A10577" s="390"/>
      <c r="B10577" s="390"/>
      <c r="C10577" s="390"/>
      <c r="D10577" s="391"/>
      <c r="E10577" s="390"/>
      <c r="F10577" s="391"/>
      <c r="G10577" s="390"/>
      <c r="H10577" s="394"/>
    </row>
    <row r="10578" spans="1:8" ht="15.75" customHeight="1" x14ac:dyDescent="0.25">
      <c r="A10578" s="390" t="s">
        <v>716</v>
      </c>
      <c r="B10578" s="390"/>
      <c r="C10578" s="390"/>
      <c r="D10578" s="391"/>
      <c r="E10578" s="390"/>
      <c r="F10578" s="391"/>
      <c r="G10578" s="390"/>
      <c r="H10578" s="394"/>
    </row>
    <row r="10579" spans="1:8" ht="15.75" customHeight="1" x14ac:dyDescent="0.25">
      <c r="A10579" s="390" t="s">
        <v>717</v>
      </c>
      <c r="B10579" s="390"/>
      <c r="C10579" s="390"/>
      <c r="D10579" s="391"/>
      <c r="E10579" s="390"/>
      <c r="F10579" s="391"/>
      <c r="G10579" s="390"/>
      <c r="H10579" s="394"/>
    </row>
    <row r="10580" spans="1:8" ht="15.75" customHeight="1" x14ac:dyDescent="0.25">
      <c r="A10580" s="390"/>
      <c r="B10580" s="390"/>
      <c r="C10580" s="390"/>
      <c r="D10580" s="391"/>
      <c r="E10580" s="390"/>
      <c r="F10580" s="391"/>
      <c r="G10580" s="390"/>
      <c r="H10580" s="394"/>
    </row>
    <row r="10581" spans="1:8" ht="15.75" customHeight="1" x14ac:dyDescent="0.25">
      <c r="A10581" s="399" t="s">
        <v>33</v>
      </c>
      <c r="B10581" s="400" t="s">
        <v>6</v>
      </c>
      <c r="C10581" s="400"/>
      <c r="D10581" s="401" t="s">
        <v>37</v>
      </c>
      <c r="E10581" s="402" t="s">
        <v>2270</v>
      </c>
      <c r="F10581" s="403" t="s">
        <v>7</v>
      </c>
      <c r="G10581" s="404" t="s">
        <v>43</v>
      </c>
      <c r="H10581" s="405" t="s">
        <v>44</v>
      </c>
    </row>
    <row r="10582" spans="1:8" ht="15.75" customHeight="1" x14ac:dyDescent="0.25">
      <c r="A10582" s="406"/>
      <c r="B10582" s="407"/>
      <c r="C10582" s="393"/>
      <c r="D10582" s="408"/>
      <c r="E10582" s="408"/>
      <c r="F10582" s="409"/>
      <c r="G10582" s="410"/>
      <c r="H10582" s="411"/>
    </row>
    <row r="10583" spans="1:8" ht="15.75" customHeight="1" x14ac:dyDescent="0.25">
      <c r="A10583" s="412" t="s">
        <v>55</v>
      </c>
      <c r="B10583" s="869" t="s">
        <v>1541</v>
      </c>
      <c r="C10583" s="870" t="s">
        <v>1542</v>
      </c>
      <c r="D10583" s="415">
        <v>7</v>
      </c>
      <c r="E10583" s="415">
        <v>40</v>
      </c>
      <c r="F10583" s="415">
        <f t="shared" ref="F10583:F10585" si="350">+E10583*D10583</f>
      </c>
      <c r="G10583" s="415">
        <v>1</v>
      </c>
      <c r="H10583" s="416">
        <f t="shared" ref="H10583:H10585" si="351">+G10583*F10583</f>
      </c>
    </row>
    <row r="10584" spans="1:8" ht="15.75" customHeight="1" x14ac:dyDescent="0.25">
      <c r="A10584" s="412" t="s">
        <v>59</v>
      </c>
      <c r="B10584" s="869" t="s">
        <v>1541</v>
      </c>
      <c r="C10584" s="870" t="s">
        <v>1543</v>
      </c>
      <c r="D10584" s="415">
        <v>2</v>
      </c>
      <c r="E10584" s="415">
        <v>40</v>
      </c>
      <c r="F10584" s="415">
        <f t="shared" si="350"/>
      </c>
      <c r="G10584" s="415">
        <v>0</v>
      </c>
      <c r="H10584" s="416">
        <f t="shared" si="351"/>
      </c>
    </row>
    <row r="10585" spans="1:8" ht="15.75" customHeight="1" x14ac:dyDescent="0.25">
      <c r="A10585" s="412" t="s">
        <v>67</v>
      </c>
      <c r="B10585" s="869" t="s">
        <v>1541</v>
      </c>
      <c r="C10585" s="870" t="s">
        <v>1543</v>
      </c>
      <c r="D10585" s="415">
        <v>1</v>
      </c>
      <c r="E10585" s="415">
        <v>25</v>
      </c>
      <c r="F10585" s="415">
        <f t="shared" si="350"/>
      </c>
      <c r="G10585" s="415">
        <v>0</v>
      </c>
      <c r="H10585" s="416">
        <f t="shared" si="351"/>
      </c>
    </row>
    <row r="10586" spans="1:8" ht="15.75" customHeight="1" x14ac:dyDescent="0.25">
      <c r="A10586" s="425"/>
      <c r="B10586" s="426"/>
      <c r="C10586" s="390"/>
      <c r="D10586" s="427"/>
      <c r="E10586" s="427"/>
      <c r="F10586" s="428"/>
      <c r="G10586" s="427"/>
      <c r="H10586" s="429"/>
    </row>
    <row r="10587" spans="1:8" ht="15.75" customHeight="1" x14ac:dyDescent="0.25">
      <c r="A10587" s="425"/>
      <c r="B10587" s="426"/>
      <c r="C10587" s="390"/>
      <c r="D10587" s="427"/>
      <c r="E10587" s="427"/>
      <c r="F10587" s="428"/>
      <c r="G10587" s="427"/>
      <c r="H10587" s="429"/>
    </row>
    <row r="10588" spans="1:8" ht="15.75" customHeight="1" x14ac:dyDescent="0.25">
      <c r="A10588" s="430"/>
      <c r="B10588" s="409"/>
      <c r="C10588" s="393"/>
      <c r="D10588" s="427"/>
      <c r="E10588" s="427"/>
      <c r="F10588" s="428"/>
      <c r="G10588" s="431"/>
      <c r="H10588" s="429"/>
    </row>
    <row r="10589" spans="1:8" ht="15.75" customHeight="1" x14ac:dyDescent="0.25">
      <c r="A10589" s="432"/>
      <c r="B10589" s="433"/>
      <c r="C10589" s="434" t="s">
        <v>85</v>
      </c>
      <c r="D10589" s="435">
        <f>SUM(D10583:D10588)</f>
      </c>
      <c r="E10589" s="435"/>
      <c r="F10589" s="436"/>
      <c r="G10589" s="437"/>
      <c r="H10589" s="438">
        <f>SUM(H10583:H10588)</f>
      </c>
    </row>
    <row r="10590" spans="1:8" ht="15.75" customHeight="1" x14ac:dyDescent="0.25">
      <c r="A10590" s="439"/>
      <c r="B10590" s="440"/>
      <c r="C10590" s="440"/>
      <c r="D10590" s="441"/>
      <c r="E10590" s="440"/>
      <c r="F10590" s="442"/>
      <c r="G10590" s="443"/>
      <c r="H10590" s="444"/>
    </row>
    <row r="10591" spans="1:8" ht="15.75" customHeight="1" x14ac:dyDescent="0.25">
      <c r="A10591" s="392"/>
      <c r="B10591" s="391"/>
      <c r="C10591" s="391"/>
      <c r="D10591" s="391"/>
      <c r="E10591" s="390"/>
      <c r="F10591" s="392"/>
      <c r="G10591" s="390"/>
      <c r="H10591" s="394"/>
    </row>
    <row r="10592" spans="1:8" ht="15.75" customHeight="1" x14ac:dyDescent="0.25">
      <c r="A10592" s="445"/>
      <c r="B10592" s="445"/>
      <c r="C10592" s="445"/>
      <c r="D10592" s="446" t="s">
        <v>97</v>
      </c>
      <c r="E10592" s="445" t="s">
        <v>98</v>
      </c>
      <c r="F10592" s="445"/>
      <c r="G10592" s="390"/>
      <c r="H10592" s="394"/>
    </row>
    <row r="10593" spans="1:8" ht="15.75" customHeight="1" x14ac:dyDescent="0.25">
      <c r="A10593" s="390"/>
      <c r="B10593" s="390"/>
      <c r="C10593" s="390"/>
      <c r="D10593" s="391"/>
      <c r="E10593" s="390"/>
      <c r="F10593" s="390"/>
      <c r="G10593" s="390"/>
      <c r="H10593" s="394"/>
    </row>
    <row r="10594" spans="1:8" ht="15.75" customHeight="1" x14ac:dyDescent="0.25">
      <c r="A10594" s="390"/>
      <c r="B10594" s="390"/>
      <c r="C10594" s="390"/>
      <c r="D10594" s="391"/>
      <c r="E10594" s="390"/>
      <c r="F10594" s="390"/>
      <c r="G10594" s="390"/>
      <c r="H10594" s="394"/>
    </row>
    <row r="10595" spans="1:8" ht="15.75" customHeight="1" x14ac:dyDescent="0.25">
      <c r="A10595" s="445"/>
      <c r="B10595" s="445"/>
      <c r="C10595" s="445"/>
      <c r="D10595" s="446"/>
      <c r="E10595" s="445" t="s">
        <v>99</v>
      </c>
      <c r="F10595" s="445"/>
      <c r="G10595" s="390"/>
      <c r="H10595" s="394"/>
    </row>
    <row r="10596" spans="1:8" ht="15.75" customHeight="1" x14ac:dyDescent="0.25">
      <c r="D10596" s="4"/>
      <c r="H10596" s="4"/>
    </row>
    <row r="10597" spans="1:8" ht="15.75" customHeight="1" x14ac:dyDescent="0.25">
      <c r="D10597" s="4"/>
      <c r="H10597" s="4"/>
    </row>
    <row r="10598" spans="1:8" ht="15.75" customHeight="1" x14ac:dyDescent="0.25">
      <c r="D10598" s="4"/>
      <c r="H10598" s="4"/>
    </row>
    <row r="10599" spans="1:8" ht="15.75" customHeight="1" x14ac:dyDescent="0.25">
      <c r="D10599" s="4"/>
      <c r="H10599" s="4"/>
    </row>
    <row r="10600" spans="1:8" ht="15.75" customHeight="1" x14ac:dyDescent="0.25">
      <c r="D10600" s="4"/>
      <c r="H10600" s="4"/>
    </row>
    <row r="10601" spans="1:8" ht="15.75" customHeight="1" x14ac:dyDescent="0.25">
      <c r="D10601" s="4"/>
      <c r="H10601" s="4"/>
    </row>
    <row r="10602" spans="1:8" ht="15.75" customHeight="1" x14ac:dyDescent="0.25">
      <c r="D10602" s="4"/>
      <c r="H10602" s="4"/>
    </row>
    <row r="10603" spans="1:8" ht="15.75" customHeight="1" x14ac:dyDescent="0.25">
      <c r="D10603" s="4"/>
      <c r="H10603" s="4"/>
    </row>
    <row r="10604" spans="1:8" ht="15.75" customHeight="1" x14ac:dyDescent="0.25">
      <c r="D10604" s="4"/>
      <c r="H10604" s="4"/>
    </row>
    <row r="10605" spans="1:8" ht="15.75" customHeight="1" x14ac:dyDescent="0.25">
      <c r="D10605" s="4"/>
      <c r="H10605" s="4"/>
    </row>
    <row r="10606" spans="1:8" ht="15.75" customHeight="1" x14ac:dyDescent="0.25">
      <c r="D10606" s="4"/>
      <c r="H10606" s="4"/>
    </row>
    <row r="10607" spans="1:8" ht="15.75" customHeight="1" x14ac:dyDescent="0.25">
      <c r="D10607" s="4"/>
      <c r="H10607" s="4"/>
    </row>
    <row r="10608" spans="1:8" ht="15.75" customHeight="1" x14ac:dyDescent="0.25">
      <c r="D10608" s="4"/>
      <c r="H10608" s="4"/>
    </row>
    <row r="10609" spans="1:8" ht="15.75" customHeight="1" x14ac:dyDescent="0.25">
      <c r="D10609" s="4"/>
      <c r="H10609" s="4"/>
    </row>
    <row r="10610" spans="1:8" ht="15.75" customHeight="1" x14ac:dyDescent="0.25">
      <c r="D10610" s="4"/>
      <c r="H10610" s="4"/>
    </row>
    <row r="10611" spans="1:8" ht="15.75" customHeight="1" x14ac:dyDescent="0.25">
      <c r="D10611" s="4"/>
      <c r="H10611" s="4"/>
    </row>
    <row r="10612" spans="1:8" ht="15.75" customHeight="1" x14ac:dyDescent="0.25">
      <c r="D10612" s="4"/>
      <c r="H10612" s="4"/>
    </row>
    <row r="10613" spans="1:8" ht="15.75" customHeight="1" x14ac:dyDescent="0.25">
      <c r="D10613" s="4"/>
      <c r="H10613" s="4"/>
    </row>
    <row r="10614" spans="1:8" ht="15.75" customHeight="1" x14ac:dyDescent="0.25">
      <c r="D10614" s="4"/>
      <c r="H10614" s="4"/>
    </row>
    <row r="10615" spans="1:8" ht="15.75" customHeight="1" x14ac:dyDescent="0.25">
      <c r="D10615" s="4"/>
      <c r="H10615" s="4"/>
    </row>
    <row r="10616" spans="1:8" ht="15.75" customHeight="1" x14ac:dyDescent="0.25">
      <c r="D10616" s="4"/>
      <c r="H10616" s="4"/>
    </row>
    <row r="10617" spans="1:8" ht="15.75" customHeight="1" x14ac:dyDescent="0.25">
      <c r="D10617" s="4"/>
      <c r="H10617" s="4"/>
    </row>
    <row r="10618" spans="1:8" ht="15.75" customHeight="1" x14ac:dyDescent="0.25">
      <c r="D10618" s="4"/>
      <c r="H10618" s="4"/>
    </row>
    <row r="10619" spans="1:8" ht="15.75" customHeight="1" x14ac:dyDescent="0.25">
      <c r="A10619" s="8" t="s">
        <v>14</v>
      </c>
      <c r="B10619" s="8"/>
      <c r="C10619" s="8"/>
      <c r="D10619" s="8"/>
      <c r="E10619" s="8"/>
      <c r="F10619" s="8"/>
      <c r="G10619" s="8"/>
      <c r="H10619" s="8"/>
    </row>
    <row r="10620" spans="1:8" ht="15.75" customHeight="1" x14ac:dyDescent="0.25">
      <c r="A10620" s="388"/>
      <c r="B10620" s="388"/>
      <c r="C10620" s="388"/>
      <c r="D10620" s="389"/>
      <c r="E10620" s="388"/>
      <c r="F10620" s="388"/>
      <c r="G10620" s="388"/>
      <c r="H10620" s="8"/>
    </row>
    <row r="10621" spans="1:8" ht="15.75" customHeight="1" x14ac:dyDescent="0.25">
      <c r="A10621" s="390"/>
      <c r="B10621" s="390"/>
      <c r="C10621" s="391"/>
      <c r="D10621" s="392"/>
      <c r="E10621" s="393"/>
      <c r="F10621" s="393"/>
      <c r="G10621" s="393"/>
      <c r="H10621" s="394"/>
    </row>
    <row r="10622" spans="1:8" ht="15.75" customHeight="1" x14ac:dyDescent="0.25">
      <c r="A10622" s="390"/>
      <c r="B10622" s="390"/>
      <c r="C10622" s="390"/>
      <c r="D10622" s="391"/>
      <c r="E10622" s="390"/>
      <c r="F10622" s="395" t="s">
        <v>18</v>
      </c>
      <c r="G10622" s="396" t="s">
        <v>1065</v>
      </c>
      <c r="H10622" s="397"/>
    </row>
    <row r="10623" spans="1:8" ht="15.75" customHeight="1" x14ac:dyDescent="0.25">
      <c r="A10623" s="390" t="s">
        <v>20</v>
      </c>
      <c r="B10623" s="390"/>
      <c r="C10623" s="390"/>
      <c r="D10623" s="391"/>
      <c r="E10623" s="390"/>
      <c r="F10623" s="395" t="s">
        <v>21</v>
      </c>
      <c r="G10623" s="390" t="s">
        <v>1494</v>
      </c>
      <c r="H10623" s="391"/>
    </row>
    <row r="10624" spans="1:8" ht="15.75" customHeight="1" x14ac:dyDescent="0.25">
      <c r="A10624" s="390" t="inlineStr">
        <is>
          <t>Dealer-004</t>
        </is>
      </c>
      <c r="B10624" s="390"/>
      <c r="C10624" s="390"/>
      <c r="D10624" s="398"/>
      <c r="E10624" s="390"/>
      <c r="F10624" s="391"/>
      <c r="G10624" s="390"/>
      <c r="H10624" s="394"/>
    </row>
    <row r="10625" spans="1:8" ht="15.75" customHeight="1" x14ac:dyDescent="0.25">
      <c r="A10625" s="390" t="inlineStr">
        <is>
          <t>Address line (redacted)</t>
        </is>
      </c>
      <c r="B10625" s="390"/>
      <c r="C10625" s="390"/>
      <c r="D10625" s="398"/>
      <c r="E10625" s="390"/>
      <c r="F10625" s="391"/>
      <c r="G10625" s="390"/>
      <c r="H10625" s="394"/>
    </row>
    <row r="10626" spans="1:8" ht="15.75" customHeight="1" x14ac:dyDescent="0.25">
      <c r="A10626" s="390" t="inlineStr">
        <is>
          <t>Address line (redacted)</t>
        </is>
      </c>
      <c r="B10626" s="390"/>
      <c r="C10626" s="390"/>
      <c r="D10626" s="391"/>
      <c r="E10626" s="390"/>
      <c r="F10626" s="391"/>
      <c r="G10626" s="390"/>
      <c r="H10626" s="394"/>
    </row>
    <row r="10627" spans="1:8" ht="15.75" customHeight="1" x14ac:dyDescent="0.25">
      <c r="A10627" s="390"/>
      <c r="B10627" s="390"/>
      <c r="C10627" s="390"/>
      <c r="D10627" s="391"/>
      <c r="E10627" s="390"/>
      <c r="F10627" s="391"/>
      <c r="G10627" s="390"/>
      <c r="H10627" s="394"/>
    </row>
    <row r="10628" spans="1:8" ht="15.75" customHeight="1" x14ac:dyDescent="0.25">
      <c r="A10628" s="393" t="s">
        <v>2271</v>
      </c>
      <c r="B10628" s="390"/>
      <c r="C10628" s="390"/>
      <c r="D10628" s="398" t="inlineStr">
        <is>
          <t>ATTN: Contact-005</t>
        </is>
      </c>
      <c r="E10628" s="390"/>
      <c r="F10628" s="391"/>
      <c r="G10628" s="390"/>
      <c r="H10628" s="394"/>
    </row>
    <row r="10629" spans="1:8" ht="15.75" customHeight="1" x14ac:dyDescent="0.25">
      <c r="A10629" s="390" t="inlineStr">
        <is>
          <t>Address line (redacted)</t>
        </is>
      </c>
      <c r="B10629" s="390"/>
      <c r="C10629" s="390"/>
      <c r="D10629" s="391"/>
      <c r="E10629" s="390"/>
      <c r="F10629" s="391"/>
      <c r="G10629" s="390"/>
      <c r="H10629" s="394"/>
    </row>
    <row r="10630" spans="1:8" ht="15.75" customHeight="1" x14ac:dyDescent="0.25">
      <c r="A10630" s="390" t="inlineStr">
        <is>
          <t>Address line (redacted)</t>
        </is>
      </c>
      <c r="B10630" s="390"/>
      <c r="C10630" s="390"/>
      <c r="D10630" s="391"/>
      <c r="E10630" s="390"/>
      <c r="F10630" s="391"/>
      <c r="G10630" s="390"/>
      <c r="H10630" s="394"/>
    </row>
    <row r="10631" spans="1:8" ht="15.75" customHeight="1" x14ac:dyDescent="0.25">
      <c r="A10631" s="390"/>
      <c r="B10631" s="390"/>
      <c r="C10631" s="390"/>
      <c r="D10631" s="391"/>
      <c r="E10631" s="390"/>
      <c r="F10631" s="391"/>
      <c r="G10631" s="390"/>
      <c r="H10631" s="394"/>
    </row>
    <row r="10632" spans="1:8" ht="15.75" customHeight="1" x14ac:dyDescent="0.25">
      <c r="A10632" s="390"/>
      <c r="B10632" s="390"/>
      <c r="C10632" s="390"/>
      <c r="D10632" s="391"/>
      <c r="E10632" s="390"/>
      <c r="F10632" s="391"/>
      <c r="G10632" s="390"/>
      <c r="H10632" s="394"/>
    </row>
    <row r="10633" spans="1:8" ht="15.75" customHeight="1" x14ac:dyDescent="0.25">
      <c r="A10633" s="390" t="s">
        <v>30</v>
      </c>
      <c r="B10633" s="390"/>
      <c r="C10633" s="390"/>
      <c r="D10633" s="391"/>
      <c r="E10633" s="390"/>
      <c r="F10633" s="391"/>
      <c r="G10633" s="390"/>
      <c r="H10633" s="394"/>
    </row>
    <row r="10634" spans="1:8" ht="15.75" customHeight="1" x14ac:dyDescent="0.25">
      <c r="A10634" s="390"/>
      <c r="B10634" s="390"/>
      <c r="C10634" s="390"/>
      <c r="D10634" s="391"/>
      <c r="E10634" s="390"/>
      <c r="F10634" s="391"/>
      <c r="G10634" s="390"/>
      <c r="H10634" s="394"/>
    </row>
    <row r="10635" spans="1:8" ht="15.75" customHeight="1" x14ac:dyDescent="0.25">
      <c r="A10635" s="390" t="s">
        <v>716</v>
      </c>
      <c r="B10635" s="390"/>
      <c r="C10635" s="390"/>
      <c r="D10635" s="391"/>
      <c r="E10635" s="390"/>
      <c r="F10635" s="391"/>
      <c r="G10635" s="390"/>
      <c r="H10635" s="394"/>
    </row>
    <row r="10636" spans="1:8" ht="15.75" customHeight="1" x14ac:dyDescent="0.25">
      <c r="A10636" s="390" t="s">
        <v>717</v>
      </c>
      <c r="B10636" s="390"/>
      <c r="C10636" s="390"/>
      <c r="D10636" s="391"/>
      <c r="E10636" s="390"/>
      <c r="F10636" s="391"/>
      <c r="G10636" s="390"/>
      <c r="H10636" s="394"/>
    </row>
    <row r="10637" spans="1:8" ht="15.75" customHeight="1" x14ac:dyDescent="0.25">
      <c r="A10637" s="390"/>
      <c r="B10637" s="390"/>
      <c r="C10637" s="390"/>
      <c r="D10637" s="391"/>
      <c r="E10637" s="390"/>
      <c r="F10637" s="391"/>
      <c r="G10637" s="390"/>
      <c r="H10637" s="394"/>
    </row>
    <row r="10638" spans="1:8" ht="15.75" customHeight="1" x14ac:dyDescent="0.25">
      <c r="A10638" s="871" t="s">
        <v>33</v>
      </c>
      <c r="B10638" s="872" t="s">
        <v>6</v>
      </c>
      <c r="C10638" s="872"/>
      <c r="D10638" s="873" t="s">
        <v>37</v>
      </c>
      <c r="E10638" s="874" t="s">
        <v>38</v>
      </c>
      <c r="F10638" s="875" t="s">
        <v>7</v>
      </c>
      <c r="G10638" s="872" t="s">
        <v>43</v>
      </c>
      <c r="H10638" s="876" t="s">
        <v>44</v>
      </c>
    </row>
    <row r="10639" spans="1:8" ht="15.75" customHeight="1" x14ac:dyDescent="0.25">
      <c r="A10639" s="877"/>
      <c r="B10639" s="578"/>
      <c r="C10639" s="627"/>
      <c r="D10639" s="578"/>
      <c r="E10639" s="578"/>
      <c r="F10639" s="878"/>
      <c r="G10639" s="578"/>
      <c r="H10639" s="416"/>
    </row>
    <row r="10640" spans="1:8" ht="15.75" customHeight="1" x14ac:dyDescent="0.25">
      <c r="A10640" s="412"/>
      <c r="B10640" s="422" t="s">
        <v>1102</v>
      </c>
      <c r="C10640" s="422"/>
      <c r="D10640" s="879"/>
      <c r="E10640" s="10"/>
      <c r="F10640" s="415"/>
      <c r="G10640" s="415"/>
      <c r="H10640" s="416"/>
    </row>
    <row r="10641" spans="1:8" ht="15.75" customHeight="1" x14ac:dyDescent="0.25">
      <c r="A10641" s="412">
        <v>1</v>
      </c>
      <c r="B10641" s="10" t="s">
        <v>494</v>
      </c>
      <c r="C10641" s="422"/>
      <c r="D10641" s="879">
        <v>1</v>
      </c>
      <c r="E10641" s="10">
        <v>5</v>
      </c>
      <c r="F10641" s="415">
        <f t="shared" ref="F10641:F10656" si="352">+E10641*D10641</f>
      </c>
      <c r="G10641" s="415">
        <v>1</v>
      </c>
      <c r="H10641" s="416">
        <f t="shared" ref="H10641:H10656" si="353">+G10641*F10641</f>
      </c>
    </row>
    <row r="10642" spans="1:8" ht="15.75" customHeight="1" x14ac:dyDescent="0.25">
      <c r="A10642" s="412">
        <v>2</v>
      </c>
      <c r="B10642" s="10" t="s">
        <v>144</v>
      </c>
      <c r="C10642" s="422"/>
      <c r="D10642" s="879">
        <v>1</v>
      </c>
      <c r="E10642" s="10">
        <v>5</v>
      </c>
      <c r="F10642" s="415">
        <f t="shared" si="352"/>
      </c>
      <c r="G10642" s="415">
        <v>1</v>
      </c>
      <c r="H10642" s="416">
        <f t="shared" si="353"/>
      </c>
    </row>
    <row r="10643" spans="1:8" ht="15.75" customHeight="1" x14ac:dyDescent="0.25">
      <c r="A10643" s="412">
        <v>3</v>
      </c>
      <c r="B10643" s="10" t="s">
        <v>134</v>
      </c>
      <c r="C10643" s="422"/>
      <c r="D10643" s="879">
        <v>1</v>
      </c>
      <c r="E10643" s="10">
        <v>5</v>
      </c>
      <c r="F10643" s="415">
        <f t="shared" si="352"/>
      </c>
      <c r="G10643" s="415">
        <v>1</v>
      </c>
      <c r="H10643" s="416">
        <f t="shared" si="353"/>
      </c>
    </row>
    <row r="10644" spans="1:8" ht="15.75" customHeight="1" x14ac:dyDescent="0.25">
      <c r="A10644" s="412">
        <v>4</v>
      </c>
      <c r="B10644" s="10" t="s">
        <v>63</v>
      </c>
      <c r="C10644" s="422"/>
      <c r="D10644" s="879">
        <v>1</v>
      </c>
      <c r="E10644" s="10">
        <v>5</v>
      </c>
      <c r="F10644" s="415">
        <f t="shared" si="352"/>
      </c>
      <c r="G10644" s="415">
        <v>1</v>
      </c>
      <c r="H10644" s="416">
        <f t="shared" si="353"/>
      </c>
    </row>
    <row r="10645" spans="1:8" ht="15.75" customHeight="1" x14ac:dyDescent="0.25">
      <c r="A10645" s="412">
        <v>5</v>
      </c>
      <c r="B10645" s="10" t="s">
        <v>139</v>
      </c>
      <c r="C10645" s="422"/>
      <c r="D10645" s="879">
        <v>1</v>
      </c>
      <c r="E10645" s="10">
        <v>5</v>
      </c>
      <c r="F10645" s="415">
        <f t="shared" si="352"/>
      </c>
      <c r="G10645" s="415">
        <v>1</v>
      </c>
      <c r="H10645" s="416">
        <f t="shared" si="353"/>
      </c>
    </row>
    <row r="10646" spans="1:8" ht="15.75" customHeight="1" x14ac:dyDescent="0.25">
      <c r="A10646" s="412">
        <v>6</v>
      </c>
      <c r="B10646" s="10" t="s">
        <v>140</v>
      </c>
      <c r="C10646" s="422"/>
      <c r="D10646" s="879">
        <v>1</v>
      </c>
      <c r="E10646" s="10">
        <v>5</v>
      </c>
      <c r="F10646" s="415">
        <f t="shared" si="352"/>
      </c>
      <c r="G10646" s="415">
        <v>1</v>
      </c>
      <c r="H10646" s="416">
        <f t="shared" si="353"/>
      </c>
    </row>
    <row r="10647" spans="1:8" ht="15.75" customHeight="1" x14ac:dyDescent="0.25">
      <c r="A10647" s="412">
        <v>7</v>
      </c>
      <c r="B10647" s="10" t="s">
        <v>1495</v>
      </c>
      <c r="C10647" s="422"/>
      <c r="D10647" s="879">
        <v>1</v>
      </c>
      <c r="E10647" s="10">
        <v>5</v>
      </c>
      <c r="F10647" s="415">
        <f t="shared" si="352"/>
      </c>
      <c r="G10647" s="415">
        <v>1</v>
      </c>
      <c r="H10647" s="416">
        <f t="shared" si="353"/>
      </c>
    </row>
    <row r="10648" spans="1:8" ht="15.75" customHeight="1" x14ac:dyDescent="0.25">
      <c r="A10648" s="412">
        <v>8</v>
      </c>
      <c r="B10648" s="10" t="s">
        <v>145</v>
      </c>
      <c r="C10648" s="422"/>
      <c r="D10648" s="879">
        <v>1</v>
      </c>
      <c r="E10648" s="10">
        <v>5</v>
      </c>
      <c r="F10648" s="415">
        <f t="shared" si="352"/>
      </c>
      <c r="G10648" s="415">
        <v>1</v>
      </c>
      <c r="H10648" s="416">
        <f t="shared" si="353"/>
      </c>
    </row>
    <row r="10649" spans="1:8" ht="15.75" customHeight="1" x14ac:dyDescent="0.25">
      <c r="A10649" s="412">
        <v>9</v>
      </c>
      <c r="B10649" s="10" t="s">
        <v>135</v>
      </c>
      <c r="C10649" s="422"/>
      <c r="D10649" s="879">
        <v>1</v>
      </c>
      <c r="E10649" s="10">
        <v>5</v>
      </c>
      <c r="F10649" s="415">
        <f t="shared" si="352"/>
      </c>
      <c r="G10649" s="415">
        <v>1</v>
      </c>
      <c r="H10649" s="416">
        <f t="shared" si="353"/>
      </c>
    </row>
    <row r="10650" spans="1:8" ht="15.75" customHeight="1" x14ac:dyDescent="0.25">
      <c r="A10650" s="412">
        <v>10</v>
      </c>
      <c r="B10650" s="10" t="s">
        <v>297</v>
      </c>
      <c r="C10650" s="422"/>
      <c r="D10650" s="879">
        <v>1</v>
      </c>
      <c r="E10650" s="10">
        <v>5</v>
      </c>
      <c r="F10650" s="415">
        <f t="shared" si="352"/>
      </c>
      <c r="G10650" s="415">
        <v>1</v>
      </c>
      <c r="H10650" s="416">
        <f t="shared" si="353"/>
      </c>
    </row>
    <row r="10651" spans="1:8" ht="15.75" customHeight="1" x14ac:dyDescent="0.25">
      <c r="A10651" s="412">
        <v>11</v>
      </c>
      <c r="B10651" s="10" t="s">
        <v>138</v>
      </c>
      <c r="C10651" s="422"/>
      <c r="D10651" s="879">
        <v>1</v>
      </c>
      <c r="E10651" s="10">
        <v>5</v>
      </c>
      <c r="F10651" s="415">
        <f t="shared" si="352"/>
      </c>
      <c r="G10651" s="415">
        <v>1</v>
      </c>
      <c r="H10651" s="416">
        <f t="shared" si="353"/>
      </c>
    </row>
    <row r="10652" spans="1:8" ht="15.75" customHeight="1" x14ac:dyDescent="0.25">
      <c r="A10652" s="412">
        <v>12</v>
      </c>
      <c r="B10652" s="10" t="s">
        <v>136</v>
      </c>
      <c r="C10652" s="422"/>
      <c r="D10652" s="879">
        <v>1</v>
      </c>
      <c r="E10652" s="10">
        <v>5</v>
      </c>
      <c r="F10652" s="415">
        <f t="shared" si="352"/>
      </c>
      <c r="G10652" s="415">
        <v>1</v>
      </c>
      <c r="H10652" s="416">
        <f t="shared" si="353"/>
      </c>
    </row>
    <row r="10653" spans="1:8" ht="15.75" customHeight="1" x14ac:dyDescent="0.25">
      <c r="A10653" s="412">
        <v>13</v>
      </c>
      <c r="B10653" s="10" t="s">
        <v>125</v>
      </c>
      <c r="C10653" s="422"/>
      <c r="D10653" s="879">
        <v>1</v>
      </c>
      <c r="E10653" s="10">
        <v>5</v>
      </c>
      <c r="F10653" s="415">
        <f t="shared" si="352"/>
      </c>
      <c r="G10653" s="415">
        <v>1</v>
      </c>
      <c r="H10653" s="416">
        <f t="shared" si="353"/>
      </c>
    </row>
    <row r="10654" spans="1:8" ht="15.75" customHeight="1" x14ac:dyDescent="0.25">
      <c r="A10654" s="412">
        <v>14</v>
      </c>
      <c r="B10654" s="10" t="s">
        <v>129</v>
      </c>
      <c r="C10654" s="422"/>
      <c r="D10654" s="879">
        <v>1</v>
      </c>
      <c r="E10654" s="10">
        <v>5</v>
      </c>
      <c r="F10654" s="415">
        <f t="shared" si="352"/>
      </c>
      <c r="G10654" s="415">
        <v>1</v>
      </c>
      <c r="H10654" s="416">
        <f t="shared" si="353"/>
      </c>
    </row>
    <row r="10655" spans="1:8" ht="15.75" customHeight="1" x14ac:dyDescent="0.25">
      <c r="A10655" s="412">
        <v>15</v>
      </c>
      <c r="B10655" s="10" t="s">
        <v>1556</v>
      </c>
      <c r="C10655" s="422"/>
      <c r="D10655" s="879">
        <v>1</v>
      </c>
      <c r="E10655" s="10">
        <v>5</v>
      </c>
      <c r="F10655" s="415">
        <f t="shared" si="352"/>
      </c>
      <c r="G10655" s="415">
        <v>1</v>
      </c>
      <c r="H10655" s="416">
        <f t="shared" si="353"/>
      </c>
    </row>
    <row r="10656" spans="1:8" ht="15.75" customHeight="1" x14ac:dyDescent="0.25">
      <c r="A10656" s="412">
        <v>16</v>
      </c>
      <c r="B10656" s="10" t="s">
        <v>1585</v>
      </c>
      <c r="C10656" s="422"/>
      <c r="D10656" s="879">
        <v>2</v>
      </c>
      <c r="E10656" s="10">
        <v>5</v>
      </c>
      <c r="F10656" s="415">
        <f t="shared" si="352"/>
      </c>
      <c r="G10656" s="415">
        <v>1</v>
      </c>
      <c r="H10656" s="416">
        <f t="shared" si="353"/>
      </c>
    </row>
    <row r="10657" spans="1:20" ht="15.75" customHeight="1" x14ac:dyDescent="0.25">
      <c r="A10657" s="412"/>
      <c r="B10657" s="422" t="s">
        <v>590</v>
      </c>
      <c r="C10657" s="422"/>
      <c r="D10657" s="415"/>
      <c r="E10657" s="415"/>
      <c r="F10657" s="415"/>
      <c r="G10657" s="415"/>
      <c r="H10657" s="416"/>
    </row>
    <row r="10658" spans="1:20" ht="15.75" customHeight="1" x14ac:dyDescent="0.25">
      <c r="A10658" s="412">
        <v>17</v>
      </c>
      <c r="B10658" s="10" t="s">
        <v>137</v>
      </c>
      <c r="C10658" s="422"/>
      <c r="D10658" s="415">
        <v>1</v>
      </c>
      <c r="E10658" s="415">
        <v>6</v>
      </c>
      <c r="F10658" s="415">
        <f t="shared" ref="F10658:F10660" si="354">+E10658*D10658</f>
      </c>
      <c r="G10658" s="415">
        <v>1</v>
      </c>
      <c r="H10658" s="416">
        <f t="shared" ref="H10658:H10660" si="355">+G10658*F10658</f>
      </c>
    </row>
    <row r="10659" spans="1:20" ht="15.75" customHeight="1" x14ac:dyDescent="0.25">
      <c r="A10659" s="412">
        <v>18</v>
      </c>
      <c r="B10659" s="10" t="s">
        <v>134</v>
      </c>
      <c r="C10659" s="422"/>
      <c r="D10659" s="415">
        <v>1</v>
      </c>
      <c r="E10659" s="415">
        <v>6</v>
      </c>
      <c r="F10659" s="415">
        <f t="shared" si="354"/>
      </c>
      <c r="G10659" s="415">
        <v>1</v>
      </c>
      <c r="H10659" s="416">
        <f t="shared" si="355"/>
      </c>
    </row>
    <row r="10660" spans="1:20" ht="15.75" customHeight="1" x14ac:dyDescent="0.25">
      <c r="A10660" s="880">
        <v>19</v>
      </c>
      <c r="B10660" s="881" t="s">
        <v>727</v>
      </c>
      <c r="C10660" s="882"/>
      <c r="D10660" s="593">
        <v>1</v>
      </c>
      <c r="E10660" s="593">
        <v>6</v>
      </c>
      <c r="F10660" s="593">
        <f t="shared" si="354"/>
      </c>
      <c r="G10660" s="593">
        <v>1</v>
      </c>
      <c r="H10660" s="416">
        <f t="shared" si="355"/>
      </c>
      <c r="I10660" s="674"/>
      <c r="J10660" s="674"/>
      <c r="K10660" s="674"/>
      <c r="L10660" s="674"/>
      <c r="M10660" s="674"/>
      <c r="N10660" s="674"/>
      <c r="O10660" s="674"/>
      <c r="P10660" s="674"/>
      <c r="Q10660" s="674"/>
      <c r="R10660" s="674"/>
      <c r="S10660" s="674"/>
      <c r="T10660" s="674"/>
    </row>
    <row r="10661" spans="1:20" ht="15.75" customHeight="1" x14ac:dyDescent="0.25">
      <c r="A10661" s="560"/>
      <c r="B10661" s="674"/>
      <c r="C10661" s="883" t="s">
        <v>85</v>
      </c>
      <c r="D10661" s="707">
        <f>SUM(D10641:D10660)</f>
      </c>
      <c r="E10661" s="707"/>
      <c r="F10661" s="707"/>
      <c r="G10661" s="707"/>
      <c r="H10661" s="884">
        <f>SUM(H10641:H10660)</f>
      </c>
    </row>
    <row r="10662" spans="1:20" ht="15.75" customHeight="1" x14ac:dyDescent="0.25">
      <c r="A10662" s="451"/>
      <c r="C10662" s="885"/>
      <c r="D10662" s="391"/>
      <c r="E10662" s="391"/>
      <c r="F10662" s="398" t="s">
        <v>2274</v>
      </c>
      <c r="G10662" s="391"/>
      <c r="H10662" s="394"/>
    </row>
    <row r="10663" spans="1:20" ht="15.75" customHeight="1" x14ac:dyDescent="0.25">
      <c r="A10663" s="451"/>
      <c r="C10663" s="885"/>
      <c r="D10663" s="391"/>
      <c r="E10663" s="391"/>
      <c r="F10663" s="391"/>
      <c r="G10663" s="391"/>
      <c r="H10663" s="394"/>
    </row>
    <row r="10664" spans="1:20" ht="15.75" customHeight="1" x14ac:dyDescent="0.25">
      <c r="A10664" s="451"/>
      <c r="C10664" s="885"/>
      <c r="D10664" s="391"/>
      <c r="E10664" s="391"/>
      <c r="F10664" s="391"/>
      <c r="G10664" s="391"/>
      <c r="H10664" s="394"/>
    </row>
    <row r="10665" spans="1:20" ht="15.75" customHeight="1" x14ac:dyDescent="0.25">
      <c r="A10665" s="8" t="s">
        <v>14</v>
      </c>
      <c r="B10665" s="8"/>
      <c r="C10665" s="8"/>
      <c r="D10665" s="8"/>
      <c r="E10665" s="8"/>
      <c r="F10665" s="8"/>
      <c r="G10665" s="8"/>
      <c r="H10665" s="8"/>
    </row>
    <row r="10666" spans="1:20" ht="15.75" customHeight="1" x14ac:dyDescent="0.25">
      <c r="A10666" s="388"/>
      <c r="B10666" s="388"/>
      <c r="C10666" s="388"/>
      <c r="D10666" s="389"/>
      <c r="E10666" s="388"/>
      <c r="F10666" s="388"/>
      <c r="G10666" s="388"/>
      <c r="H10666" s="8"/>
    </row>
    <row r="10667" spans="1:20" ht="15.75" customHeight="1" x14ac:dyDescent="0.25">
      <c r="A10667" s="390"/>
      <c r="B10667" s="390"/>
      <c r="C10667" s="391"/>
      <c r="D10667" s="392"/>
      <c r="E10667" s="393"/>
      <c r="F10667" s="393" t="s">
        <v>2275</v>
      </c>
      <c r="G10667" s="393"/>
      <c r="H10667" s="394"/>
    </row>
    <row r="10668" spans="1:20" ht="15.75" customHeight="1" x14ac:dyDescent="0.25">
      <c r="A10668" s="390"/>
      <c r="B10668" s="390"/>
      <c r="C10668" s="390"/>
      <c r="D10668" s="391"/>
      <c r="E10668" s="390"/>
      <c r="F10668" s="395" t="s">
        <v>18</v>
      </c>
      <c r="G10668" s="396" t="s">
        <v>1065</v>
      </c>
      <c r="H10668" s="397"/>
    </row>
    <row r="10669" spans="1:20" ht="15.75" customHeight="1" x14ac:dyDescent="0.25">
      <c r="A10669" s="390" t="s">
        <v>20</v>
      </c>
      <c r="B10669" s="390"/>
      <c r="C10669" s="390"/>
      <c r="D10669" s="391"/>
      <c r="E10669" s="390"/>
      <c r="F10669" s="395" t="s">
        <v>21</v>
      </c>
      <c r="G10669" s="390" t="s">
        <v>1494</v>
      </c>
      <c r="H10669" s="391"/>
    </row>
    <row r="10670" spans="1:20" ht="15.75" customHeight="1" x14ac:dyDescent="0.25">
      <c r="A10670" s="390" t="inlineStr">
        <is>
          <t>Dealer-004</t>
        </is>
      </c>
      <c r="B10670" s="390"/>
      <c r="C10670" s="390"/>
      <c r="D10670" s="398"/>
      <c r="E10670" s="390"/>
      <c r="F10670" s="391"/>
      <c r="G10670" s="390"/>
      <c r="H10670" s="394"/>
    </row>
    <row r="10671" spans="1:20" ht="15.75" customHeight="1" x14ac:dyDescent="0.25">
      <c r="A10671" s="390" t="inlineStr">
        <is>
          <t>Address line (redacted)</t>
        </is>
      </c>
      <c r="B10671" s="390"/>
      <c r="C10671" s="390"/>
      <c r="D10671" s="398"/>
      <c r="E10671" s="390"/>
      <c r="F10671" s="391"/>
      <c r="G10671" s="390"/>
      <c r="H10671" s="394"/>
    </row>
    <row r="10672" spans="1:20" ht="15.75" customHeight="1" x14ac:dyDescent="0.25">
      <c r="A10672" s="390" t="inlineStr">
        <is>
          <t>Address line (redacted)</t>
        </is>
      </c>
      <c r="B10672" s="390"/>
      <c r="C10672" s="390"/>
      <c r="D10672" s="391"/>
      <c r="E10672" s="390"/>
      <c r="F10672" s="391"/>
      <c r="G10672" s="390"/>
      <c r="H10672" s="394"/>
    </row>
    <row r="10673" spans="1:8" ht="15.75" customHeight="1" x14ac:dyDescent="0.25">
      <c r="A10673" s="390"/>
      <c r="B10673" s="390"/>
      <c r="C10673" s="390"/>
      <c r="D10673" s="391"/>
      <c r="E10673" s="390"/>
      <c r="F10673" s="391"/>
      <c r="G10673" s="390"/>
      <c r="H10673" s="394"/>
    </row>
    <row r="10674" spans="1:8" ht="15.75" customHeight="1" x14ac:dyDescent="0.25">
      <c r="A10674" s="393" t="s">
        <v>2271</v>
      </c>
      <c r="B10674" s="390"/>
      <c r="C10674" s="390"/>
      <c r="D10674" s="391"/>
      <c r="E10674" s="390"/>
      <c r="F10674" s="391"/>
      <c r="G10674" s="390"/>
      <c r="H10674" s="394"/>
    </row>
    <row r="10675" spans="1:8" ht="15.75" customHeight="1" x14ac:dyDescent="0.25">
      <c r="A10675" s="390"/>
      <c r="B10675" s="390"/>
      <c r="C10675" s="390"/>
      <c r="D10675" s="391"/>
      <c r="E10675" s="390"/>
      <c r="F10675" s="391"/>
      <c r="G10675" s="390"/>
      <c r="H10675" s="394"/>
    </row>
    <row r="10676" spans="1:8" ht="15.75" customHeight="1" x14ac:dyDescent="0.25">
      <c r="A10676" s="390"/>
      <c r="B10676" s="390"/>
      <c r="C10676" s="390"/>
      <c r="D10676" s="391"/>
      <c r="E10676" s="390"/>
      <c r="F10676" s="391"/>
      <c r="G10676" s="390"/>
      <c r="H10676" s="394"/>
    </row>
    <row r="10677" spans="1:8" ht="15.75" customHeight="1" x14ac:dyDescent="0.25">
      <c r="A10677" s="390"/>
      <c r="B10677" s="390"/>
      <c r="C10677" s="390"/>
      <c r="D10677" s="391"/>
      <c r="E10677" s="390"/>
      <c r="F10677" s="391"/>
      <c r="G10677" s="390"/>
      <c r="H10677" s="394"/>
    </row>
    <row r="10678" spans="1:8" ht="15.75" customHeight="1" x14ac:dyDescent="0.25">
      <c r="A10678" s="390"/>
      <c r="B10678" s="390"/>
      <c r="C10678" s="390"/>
      <c r="D10678" s="391"/>
      <c r="E10678" s="390"/>
      <c r="F10678" s="391"/>
      <c r="G10678" s="390"/>
      <c r="H10678" s="394"/>
    </row>
    <row r="10679" spans="1:8" ht="15.75" customHeight="1" x14ac:dyDescent="0.25">
      <c r="A10679" s="390" t="s">
        <v>30</v>
      </c>
      <c r="B10679" s="390"/>
      <c r="C10679" s="390"/>
      <c r="D10679" s="391"/>
      <c r="E10679" s="390"/>
      <c r="F10679" s="391"/>
      <c r="G10679" s="390"/>
      <c r="H10679" s="394"/>
    </row>
    <row r="10680" spans="1:8" ht="15.75" customHeight="1" x14ac:dyDescent="0.25">
      <c r="A10680" s="390"/>
      <c r="B10680" s="390"/>
      <c r="C10680" s="390"/>
      <c r="D10680" s="391"/>
      <c r="E10680" s="390"/>
      <c r="F10680" s="391"/>
      <c r="G10680" s="390"/>
      <c r="H10680" s="394"/>
    </row>
    <row r="10681" spans="1:8" ht="15.75" customHeight="1" x14ac:dyDescent="0.25">
      <c r="A10681" s="390" t="s">
        <v>716</v>
      </c>
      <c r="B10681" s="390"/>
      <c r="C10681" s="390"/>
      <c r="D10681" s="391"/>
      <c r="E10681" s="390"/>
      <c r="F10681" s="391"/>
      <c r="G10681" s="390"/>
      <c r="H10681" s="394"/>
    </row>
    <row r="10682" spans="1:8" ht="15.75" customHeight="1" x14ac:dyDescent="0.25">
      <c r="A10682" s="390" t="s">
        <v>717</v>
      </c>
      <c r="B10682" s="390"/>
      <c r="C10682" s="390"/>
      <c r="D10682" s="391"/>
      <c r="E10682" s="390"/>
      <c r="F10682" s="391"/>
      <c r="G10682" s="390"/>
      <c r="H10682" s="394"/>
    </row>
    <row r="10683" spans="1:8" ht="15.75" customHeight="1" x14ac:dyDescent="0.25">
      <c r="A10683" s="886">
        <v>20</v>
      </c>
      <c r="B10683" s="887" t="s">
        <v>1301</v>
      </c>
      <c r="C10683" s="888"/>
      <c r="D10683" s="889">
        <v>1</v>
      </c>
      <c r="E10683" s="889">
        <v>6</v>
      </c>
      <c r="F10683" s="889">
        <f t="shared" ref="F10683:F10695" si="356">+E10683*D10683</f>
      </c>
      <c r="G10683" s="889">
        <v>1</v>
      </c>
      <c r="H10683" s="890">
        <f t="shared" ref="H10683:H10695" si="357">+G10683*F10683</f>
      </c>
    </row>
    <row r="10684" spans="1:8" ht="15.75" customHeight="1" x14ac:dyDescent="0.25">
      <c r="A10684" s="412">
        <v>21</v>
      </c>
      <c r="B10684" s="10" t="s">
        <v>139</v>
      </c>
      <c r="C10684" s="422"/>
      <c r="D10684" s="415">
        <v>1</v>
      </c>
      <c r="E10684" s="415">
        <v>6</v>
      </c>
      <c r="F10684" s="415">
        <f t="shared" si="356"/>
      </c>
      <c r="G10684" s="415">
        <v>1</v>
      </c>
      <c r="H10684" s="890">
        <f t="shared" si="357"/>
      </c>
    </row>
    <row r="10685" spans="1:8" ht="15.75" customHeight="1" x14ac:dyDescent="0.25">
      <c r="A10685" s="886">
        <v>22</v>
      </c>
      <c r="B10685" s="10" t="s">
        <v>140</v>
      </c>
      <c r="C10685" s="422"/>
      <c r="D10685" s="415">
        <v>1</v>
      </c>
      <c r="E10685" s="415">
        <v>6</v>
      </c>
      <c r="F10685" s="415">
        <f t="shared" si="356"/>
      </c>
      <c r="G10685" s="415">
        <v>1</v>
      </c>
      <c r="H10685" s="890">
        <f t="shared" si="357"/>
      </c>
    </row>
    <row r="10686" spans="1:8" ht="15.75" customHeight="1" x14ac:dyDescent="0.25">
      <c r="A10686" s="412">
        <v>23</v>
      </c>
      <c r="B10686" s="10" t="s">
        <v>763</v>
      </c>
      <c r="C10686" s="422"/>
      <c r="D10686" s="415">
        <v>1</v>
      </c>
      <c r="E10686" s="415">
        <v>6</v>
      </c>
      <c r="F10686" s="415">
        <f t="shared" si="356"/>
      </c>
      <c r="G10686" s="415">
        <v>1</v>
      </c>
      <c r="H10686" s="890">
        <f t="shared" si="357"/>
      </c>
    </row>
    <row r="10687" spans="1:8" ht="15.75" customHeight="1" x14ac:dyDescent="0.25">
      <c r="A10687" s="886">
        <v>24</v>
      </c>
      <c r="B10687" s="10" t="s">
        <v>145</v>
      </c>
      <c r="C10687" s="422"/>
      <c r="D10687" s="415">
        <v>1</v>
      </c>
      <c r="E10687" s="415">
        <v>8</v>
      </c>
      <c r="F10687" s="415">
        <f t="shared" si="356"/>
      </c>
      <c r="G10687" s="415">
        <v>1</v>
      </c>
      <c r="H10687" s="890">
        <f t="shared" si="357"/>
      </c>
    </row>
    <row r="10688" spans="1:8" ht="15.75" customHeight="1" x14ac:dyDescent="0.25">
      <c r="A10688" s="412">
        <v>25</v>
      </c>
      <c r="B10688" s="10" t="s">
        <v>1549</v>
      </c>
      <c r="C10688" s="422"/>
      <c r="D10688" s="415">
        <v>1</v>
      </c>
      <c r="E10688" s="415">
        <v>6</v>
      </c>
      <c r="F10688" s="415">
        <f t="shared" si="356"/>
      </c>
      <c r="G10688" s="415">
        <v>1</v>
      </c>
      <c r="H10688" s="890">
        <f t="shared" si="357"/>
      </c>
    </row>
    <row r="10689" spans="1:20" ht="15.75" customHeight="1" x14ac:dyDescent="0.25">
      <c r="A10689" s="886">
        <v>26</v>
      </c>
      <c r="B10689" s="10" t="s">
        <v>138</v>
      </c>
      <c r="C10689" s="422"/>
      <c r="D10689" s="415">
        <v>1</v>
      </c>
      <c r="E10689" s="415">
        <v>6</v>
      </c>
      <c r="F10689" s="415">
        <f t="shared" si="356"/>
      </c>
      <c r="G10689" s="415">
        <v>1</v>
      </c>
      <c r="H10689" s="890">
        <f t="shared" si="357"/>
      </c>
    </row>
    <row r="10690" spans="1:20" ht="15.75" customHeight="1" x14ac:dyDescent="0.25">
      <c r="A10690" s="412">
        <v>27</v>
      </c>
      <c r="B10690" s="10" t="s">
        <v>68</v>
      </c>
      <c r="C10690" s="422"/>
      <c r="D10690" s="415">
        <v>1</v>
      </c>
      <c r="E10690" s="415">
        <v>6</v>
      </c>
      <c r="F10690" s="415">
        <f t="shared" si="356"/>
      </c>
      <c r="G10690" s="415">
        <v>1</v>
      </c>
      <c r="H10690" s="890">
        <f t="shared" si="357"/>
      </c>
    </row>
    <row r="10691" spans="1:20" ht="15.75" customHeight="1" x14ac:dyDescent="0.25">
      <c r="A10691" s="886">
        <v>28</v>
      </c>
      <c r="B10691" s="10" t="s">
        <v>815</v>
      </c>
      <c r="C10691" s="422"/>
      <c r="D10691" s="415">
        <v>1</v>
      </c>
      <c r="E10691" s="415">
        <v>6</v>
      </c>
      <c r="F10691" s="415">
        <f t="shared" si="356"/>
      </c>
      <c r="G10691" s="415">
        <v>1</v>
      </c>
      <c r="H10691" s="890">
        <f t="shared" si="357"/>
      </c>
    </row>
    <row r="10692" spans="1:20" ht="15.75" customHeight="1" x14ac:dyDescent="0.25">
      <c r="A10692" s="412">
        <v>29</v>
      </c>
      <c r="B10692" s="10" t="s">
        <v>125</v>
      </c>
      <c r="C10692" s="422"/>
      <c r="D10692" s="415">
        <v>2</v>
      </c>
      <c r="E10692" s="415">
        <v>4</v>
      </c>
      <c r="F10692" s="415">
        <f t="shared" si="356"/>
      </c>
      <c r="G10692" s="415">
        <v>1</v>
      </c>
      <c r="H10692" s="890">
        <f t="shared" si="357"/>
      </c>
    </row>
    <row r="10693" spans="1:20" ht="15.75" customHeight="1" x14ac:dyDescent="0.25">
      <c r="A10693" s="886">
        <v>30</v>
      </c>
      <c r="B10693" s="10" t="s">
        <v>158</v>
      </c>
      <c r="C10693" s="422"/>
      <c r="D10693" s="415">
        <v>1</v>
      </c>
      <c r="E10693" s="415">
        <v>6</v>
      </c>
      <c r="F10693" s="415">
        <f t="shared" si="356"/>
      </c>
      <c r="G10693" s="415">
        <v>1</v>
      </c>
      <c r="H10693" s="890">
        <f t="shared" si="357"/>
      </c>
    </row>
    <row r="10694" spans="1:20" ht="15.75" customHeight="1" x14ac:dyDescent="0.25">
      <c r="A10694" s="412">
        <v>31</v>
      </c>
      <c r="B10694" s="10" t="s">
        <v>2276</v>
      </c>
      <c r="C10694" s="422"/>
      <c r="D10694" s="415">
        <v>1</v>
      </c>
      <c r="E10694" s="415">
        <v>6</v>
      </c>
      <c r="F10694" s="415">
        <f t="shared" si="356"/>
      </c>
      <c r="G10694" s="415">
        <v>1</v>
      </c>
      <c r="H10694" s="890">
        <f t="shared" si="357"/>
      </c>
    </row>
    <row r="10695" spans="1:20" ht="15.75" customHeight="1" x14ac:dyDescent="0.25">
      <c r="A10695" s="886">
        <v>32</v>
      </c>
      <c r="B10695" s="10" t="s">
        <v>912</v>
      </c>
      <c r="C10695" s="422"/>
      <c r="D10695" s="415">
        <v>1</v>
      </c>
      <c r="E10695" s="415">
        <v>6</v>
      </c>
      <c r="F10695" s="415">
        <f t="shared" si="356"/>
      </c>
      <c r="G10695" s="415">
        <v>1</v>
      </c>
      <c r="H10695" s="890">
        <f t="shared" si="357"/>
      </c>
    </row>
    <row r="10696" spans="1:20" ht="15.75" customHeight="1" x14ac:dyDescent="0.25">
      <c r="A10696" s="412"/>
      <c r="B10696" s="422" t="s">
        <v>1754</v>
      </c>
      <c r="C10696" s="422"/>
      <c r="D10696" s="415"/>
      <c r="E10696" s="415"/>
      <c r="F10696" s="415"/>
      <c r="G10696" s="415"/>
      <c r="H10696" s="416"/>
    </row>
    <row r="10697" spans="1:20" ht="15.75" customHeight="1" x14ac:dyDescent="0.25">
      <c r="A10697" s="412">
        <v>33</v>
      </c>
      <c r="B10697" s="10" t="s">
        <v>1946</v>
      </c>
      <c r="C10697" s="422"/>
      <c r="D10697" s="415">
        <v>1</v>
      </c>
      <c r="E10697" s="415">
        <v>10</v>
      </c>
      <c r="F10697" s="415">
        <f t="shared" ref="F10697:F10701" si="358">+E10697*D10697</f>
      </c>
      <c r="G10697" s="415">
        <v>1</v>
      </c>
      <c r="H10697" s="416">
        <f t="shared" ref="H10697:H10701" si="359">+G10697*F10697</f>
      </c>
    </row>
    <row r="10698" spans="1:20" ht="15.75" customHeight="1" x14ac:dyDescent="0.25">
      <c r="A10698" s="412">
        <v>34</v>
      </c>
      <c r="B10698" s="10" t="s">
        <v>1947</v>
      </c>
      <c r="C10698" s="422"/>
      <c r="D10698" s="415">
        <v>1</v>
      </c>
      <c r="E10698" s="415">
        <v>10</v>
      </c>
      <c r="F10698" s="415">
        <f t="shared" si="358"/>
      </c>
      <c r="G10698" s="415">
        <v>1</v>
      </c>
      <c r="H10698" s="416">
        <f t="shared" si="359"/>
      </c>
    </row>
    <row r="10699" spans="1:20" ht="15.75" customHeight="1" x14ac:dyDescent="0.25">
      <c r="A10699" s="412">
        <v>35</v>
      </c>
      <c r="B10699" s="10" t="s">
        <v>1948</v>
      </c>
      <c r="C10699" s="422"/>
      <c r="D10699" s="415">
        <v>1</v>
      </c>
      <c r="E10699" s="415">
        <v>10</v>
      </c>
      <c r="F10699" s="415">
        <f t="shared" si="358"/>
      </c>
      <c r="G10699" s="415">
        <v>1</v>
      </c>
      <c r="H10699" s="416">
        <f t="shared" si="359"/>
      </c>
    </row>
    <row r="10700" spans="1:20" ht="15.75" customHeight="1" x14ac:dyDescent="0.25">
      <c r="A10700" s="412">
        <v>36</v>
      </c>
      <c r="B10700" s="10" t="s">
        <v>1949</v>
      </c>
      <c r="C10700" s="422"/>
      <c r="D10700" s="415">
        <v>1</v>
      </c>
      <c r="E10700" s="415">
        <v>10</v>
      </c>
      <c r="F10700" s="415">
        <f t="shared" si="358"/>
      </c>
      <c r="G10700" s="415">
        <v>1</v>
      </c>
      <c r="H10700" s="416">
        <f t="shared" si="359"/>
      </c>
    </row>
    <row r="10701" spans="1:20" ht="15.75" customHeight="1" x14ac:dyDescent="0.25">
      <c r="A10701" s="412">
        <v>37</v>
      </c>
      <c r="B10701" s="10" t="s">
        <v>1950</v>
      </c>
      <c r="C10701" s="422"/>
      <c r="D10701" s="415">
        <v>1</v>
      </c>
      <c r="E10701" s="415">
        <v>10</v>
      </c>
      <c r="F10701" s="415">
        <f t="shared" si="358"/>
      </c>
      <c r="G10701" s="415">
        <v>1</v>
      </c>
      <c r="H10701" s="416">
        <f t="shared" si="359"/>
      </c>
    </row>
    <row r="10702" spans="1:20" ht="15.75" customHeight="1" x14ac:dyDescent="0.25">
      <c r="A10702" s="412"/>
      <c r="B10702" s="422" t="s">
        <v>1782</v>
      </c>
      <c r="C10702" s="422"/>
      <c r="D10702" s="415"/>
      <c r="E10702" s="415"/>
      <c r="F10702" s="415"/>
      <c r="G10702" s="415"/>
      <c r="H10702" s="416"/>
    </row>
    <row r="10703" spans="1:20" ht="15.75" customHeight="1" x14ac:dyDescent="0.25">
      <c r="A10703" s="880">
        <v>38</v>
      </c>
      <c r="B10703" s="881" t="s">
        <v>1951</v>
      </c>
      <c r="C10703" s="891"/>
      <c r="D10703" s="892">
        <v>1</v>
      </c>
      <c r="E10703" s="892">
        <v>10</v>
      </c>
      <c r="F10703" s="892">
        <f>+E10703*D10703</f>
      </c>
      <c r="G10703" s="892">
        <v>1</v>
      </c>
      <c r="H10703" s="893">
        <f>+G10703*F10703</f>
      </c>
      <c r="I10703" s="674"/>
      <c r="J10703" s="674"/>
      <c r="K10703" s="674"/>
      <c r="L10703" s="674"/>
      <c r="M10703" s="674"/>
      <c r="N10703" s="674"/>
      <c r="O10703" s="674"/>
      <c r="P10703" s="674"/>
      <c r="Q10703" s="674"/>
      <c r="R10703" s="674"/>
      <c r="S10703" s="674"/>
      <c r="T10703" s="674"/>
    </row>
    <row r="10704" spans="1:20" ht="15.75" customHeight="1" x14ac:dyDescent="0.25">
      <c r="A10704" s="560"/>
      <c r="B10704" s="674"/>
      <c r="C10704" s="885" t="s">
        <v>85</v>
      </c>
      <c r="D10704" s="398">
        <f>SUM(D10683:D10703)</f>
      </c>
      <c r="E10704" s="398"/>
      <c r="F10704" s="398"/>
      <c r="G10704" s="398"/>
      <c r="H10704" s="606">
        <f>SUM(H10683:H10703)</f>
      </c>
    </row>
    <row r="10705" spans="1:8" ht="15.75" customHeight="1" x14ac:dyDescent="0.25">
      <c r="A10705" s="451"/>
      <c r="C10705" s="885"/>
      <c r="D10705" s="391"/>
      <c r="E10705" s="391"/>
      <c r="F10705" s="398" t="s">
        <v>2277</v>
      </c>
      <c r="G10705" s="391"/>
      <c r="H10705" s="394"/>
    </row>
    <row r="10706" spans="1:8" ht="15.75" customHeight="1" x14ac:dyDescent="0.25">
      <c r="A10706" s="451"/>
      <c r="C10706" s="885"/>
      <c r="D10706" s="391"/>
      <c r="E10706" s="391"/>
      <c r="F10706" s="391"/>
      <c r="G10706" s="391"/>
      <c r="H10706" s="394"/>
    </row>
    <row r="10707" spans="1:8" ht="15.75" customHeight="1" x14ac:dyDescent="0.25">
      <c r="A10707" s="451"/>
      <c r="C10707" s="885"/>
      <c r="D10707" s="391"/>
      <c r="E10707" s="391"/>
      <c r="F10707" s="391"/>
      <c r="G10707" s="391"/>
      <c r="H10707" s="394"/>
    </row>
    <row r="10708" spans="1:8" ht="15.75" customHeight="1" x14ac:dyDescent="0.25">
      <c r="A10708" s="451"/>
      <c r="C10708" s="885"/>
      <c r="D10708" s="391"/>
      <c r="E10708" s="391"/>
      <c r="F10708" s="391"/>
      <c r="G10708" s="391"/>
      <c r="H10708" s="394"/>
    </row>
    <row r="10709" spans="1:8" ht="15.75" customHeight="1" x14ac:dyDescent="0.25">
      <c r="A10709" s="451"/>
      <c r="C10709" s="885"/>
      <c r="D10709" s="391"/>
      <c r="E10709" s="391"/>
      <c r="F10709" s="391"/>
      <c r="G10709" s="391"/>
      <c r="H10709" s="394"/>
    </row>
    <row r="10710" spans="1:8" ht="15.75" customHeight="1" x14ac:dyDescent="0.25">
      <c r="A10710" s="451"/>
      <c r="C10710" s="885"/>
      <c r="D10710" s="391"/>
      <c r="E10710" s="391"/>
      <c r="F10710" s="391"/>
      <c r="G10710" s="391"/>
      <c r="H10710" s="394"/>
    </row>
    <row r="10711" spans="1:8" ht="15.75" customHeight="1" x14ac:dyDescent="0.25">
      <c r="A10711" s="8" t="s">
        <v>14</v>
      </c>
      <c r="B10711" s="8"/>
      <c r="C10711" s="8"/>
      <c r="D10711" s="8"/>
      <c r="E10711" s="8"/>
      <c r="F10711" s="8"/>
      <c r="G10711" s="8"/>
      <c r="H10711" s="8"/>
    </row>
    <row r="10712" spans="1:8" ht="15.75" customHeight="1" x14ac:dyDescent="0.25">
      <c r="A10712" s="388"/>
      <c r="B10712" s="388"/>
      <c r="C10712" s="388"/>
      <c r="D10712" s="389"/>
      <c r="E10712" s="388"/>
      <c r="F10712" s="388"/>
      <c r="G10712" s="388"/>
      <c r="H10712" s="8"/>
    </row>
    <row r="10713" spans="1:8" ht="15.75" customHeight="1" x14ac:dyDescent="0.25">
      <c r="A10713" s="390"/>
      <c r="B10713" s="390"/>
      <c r="C10713" s="391"/>
      <c r="D10713" s="392"/>
      <c r="E10713" s="393"/>
      <c r="F10713" s="393" t="s">
        <v>2278</v>
      </c>
      <c r="G10713" s="393"/>
      <c r="H10713" s="394"/>
    </row>
    <row r="10714" spans="1:8" ht="15.75" customHeight="1" x14ac:dyDescent="0.25">
      <c r="A10714" s="390"/>
      <c r="B10714" s="390"/>
      <c r="C10714" s="390"/>
      <c r="D10714" s="391"/>
      <c r="E10714" s="390"/>
      <c r="F10714" s="395" t="s">
        <v>18</v>
      </c>
      <c r="G10714" s="396" t="s">
        <v>1065</v>
      </c>
      <c r="H10714" s="397"/>
    </row>
    <row r="10715" spans="1:8" ht="15.75" customHeight="1" x14ac:dyDescent="0.25">
      <c r="A10715" s="390" t="s">
        <v>20</v>
      </c>
      <c r="B10715" s="390"/>
      <c r="C10715" s="390"/>
      <c r="D10715" s="391"/>
      <c r="E10715" s="390"/>
      <c r="F10715" s="395" t="s">
        <v>21</v>
      </c>
      <c r="G10715" s="390" t="s">
        <v>1494</v>
      </c>
      <c r="H10715" s="391"/>
    </row>
    <row r="10716" spans="1:8" ht="15.75" customHeight="1" x14ac:dyDescent="0.25">
      <c r="A10716" s="390" t="inlineStr">
        <is>
          <t>Dealer-004</t>
        </is>
      </c>
      <c r="B10716" s="390"/>
      <c r="C10716" s="390"/>
      <c r="D10716" s="398"/>
      <c r="E10716" s="390"/>
      <c r="F10716" s="391"/>
      <c r="G10716" s="390"/>
      <c r="H10716" s="394"/>
    </row>
    <row r="10717" spans="1:8" ht="15.75" customHeight="1" x14ac:dyDescent="0.25">
      <c r="A10717" s="390" t="inlineStr">
        <is>
          <t>Address line (redacted)</t>
        </is>
      </c>
      <c r="B10717" s="390"/>
      <c r="C10717" s="390"/>
      <c r="D10717" s="398"/>
      <c r="E10717" s="390"/>
      <c r="F10717" s="391"/>
      <c r="G10717" s="390"/>
      <c r="H10717" s="394"/>
    </row>
    <row r="10718" spans="1:8" ht="15.75" customHeight="1" x14ac:dyDescent="0.25">
      <c r="A10718" s="390" t="inlineStr">
        <is>
          <t>Address line (redacted)</t>
        </is>
      </c>
      <c r="B10718" s="390"/>
      <c r="C10718" s="390"/>
      <c r="D10718" s="391"/>
      <c r="E10718" s="390"/>
      <c r="F10718" s="391"/>
      <c r="G10718" s="390"/>
      <c r="H10718" s="394"/>
    </row>
    <row r="10719" spans="1:8" ht="15.75" customHeight="1" x14ac:dyDescent="0.25">
      <c r="A10719" s="390"/>
      <c r="B10719" s="390"/>
      <c r="C10719" s="390"/>
      <c r="D10719" s="391"/>
      <c r="E10719" s="390"/>
      <c r="F10719" s="391"/>
      <c r="G10719" s="390"/>
      <c r="H10719" s="394"/>
    </row>
    <row r="10720" spans="1:8" ht="15.75" customHeight="1" x14ac:dyDescent="0.25">
      <c r="A10720" s="393" t="s">
        <v>2271</v>
      </c>
      <c r="B10720" s="390"/>
      <c r="C10720" s="390"/>
      <c r="D10720" s="391"/>
      <c r="E10720" s="390"/>
      <c r="F10720" s="391"/>
      <c r="G10720" s="390"/>
      <c r="H10720" s="394"/>
    </row>
    <row r="10721" spans="1:8" ht="15.75" customHeight="1" x14ac:dyDescent="0.25">
      <c r="A10721" s="390"/>
      <c r="B10721" s="390"/>
      <c r="C10721" s="390"/>
      <c r="D10721" s="391"/>
      <c r="E10721" s="390"/>
      <c r="F10721" s="391"/>
      <c r="G10721" s="390"/>
      <c r="H10721" s="394"/>
    </row>
    <row r="10722" spans="1:8" ht="15.75" customHeight="1" x14ac:dyDescent="0.25">
      <c r="A10722" s="390"/>
      <c r="B10722" s="390"/>
      <c r="C10722" s="390"/>
      <c r="D10722" s="391"/>
      <c r="E10722" s="390"/>
      <c r="F10722" s="391"/>
      <c r="G10722" s="390"/>
      <c r="H10722" s="394"/>
    </row>
    <row r="10723" spans="1:8" ht="15.75" customHeight="1" x14ac:dyDescent="0.25">
      <c r="A10723" s="390"/>
      <c r="B10723" s="390"/>
      <c r="C10723" s="390"/>
      <c r="D10723" s="391"/>
      <c r="E10723" s="390"/>
      <c r="F10723" s="391"/>
      <c r="G10723" s="390"/>
      <c r="H10723" s="394"/>
    </row>
    <row r="10724" spans="1:8" ht="15.75" customHeight="1" x14ac:dyDescent="0.25">
      <c r="A10724" s="390"/>
      <c r="B10724" s="390"/>
      <c r="C10724" s="390"/>
      <c r="D10724" s="391"/>
      <c r="E10724" s="390"/>
      <c r="F10724" s="391"/>
      <c r="G10724" s="390"/>
      <c r="H10724" s="394"/>
    </row>
    <row r="10725" spans="1:8" ht="15.75" customHeight="1" x14ac:dyDescent="0.25">
      <c r="A10725" s="390" t="s">
        <v>30</v>
      </c>
      <c r="B10725" s="390"/>
      <c r="C10725" s="390"/>
      <c r="D10725" s="391"/>
      <c r="E10725" s="390"/>
      <c r="F10725" s="391"/>
      <c r="G10725" s="390"/>
      <c r="H10725" s="394"/>
    </row>
    <row r="10726" spans="1:8" ht="15.75" customHeight="1" x14ac:dyDescent="0.25">
      <c r="A10726" s="390"/>
      <c r="B10726" s="390"/>
      <c r="C10726" s="390"/>
      <c r="D10726" s="391"/>
      <c r="E10726" s="390"/>
      <c r="F10726" s="391"/>
      <c r="G10726" s="390"/>
      <c r="H10726" s="394"/>
    </row>
    <row r="10727" spans="1:8" ht="15.75" customHeight="1" x14ac:dyDescent="0.25">
      <c r="A10727" s="390" t="s">
        <v>716</v>
      </c>
      <c r="B10727" s="390"/>
      <c r="C10727" s="390"/>
      <c r="D10727" s="391"/>
      <c r="E10727" s="390"/>
      <c r="F10727" s="391"/>
      <c r="G10727" s="390"/>
      <c r="H10727" s="394"/>
    </row>
    <row r="10728" spans="1:8" ht="15.75" customHeight="1" x14ac:dyDescent="0.25">
      <c r="A10728" s="390" t="s">
        <v>717</v>
      </c>
      <c r="B10728" s="390"/>
      <c r="C10728" s="390"/>
      <c r="D10728" s="391"/>
      <c r="E10728" s="390"/>
      <c r="F10728" s="391"/>
      <c r="G10728" s="390"/>
      <c r="H10728" s="394"/>
    </row>
    <row r="10729" spans="1:8" ht="15.75" customHeight="1" x14ac:dyDescent="0.25">
      <c r="A10729" s="886"/>
      <c r="B10729" s="888" t="s">
        <v>531</v>
      </c>
      <c r="C10729" s="888"/>
      <c r="D10729" s="889"/>
      <c r="E10729" s="889"/>
      <c r="F10729" s="889"/>
      <c r="G10729" s="889"/>
      <c r="H10729" s="890"/>
    </row>
    <row r="10730" spans="1:8" ht="15.75" customHeight="1" x14ac:dyDescent="0.25">
      <c r="A10730" s="412">
        <v>39</v>
      </c>
      <c r="B10730" s="10" t="s">
        <v>1952</v>
      </c>
      <c r="C10730" s="422"/>
      <c r="D10730" s="879">
        <v>2</v>
      </c>
      <c r="E10730" s="10">
        <v>10</v>
      </c>
      <c r="F10730" s="415">
        <f t="shared" ref="F10730:F10735" si="360">+E10730*D10730</f>
      </c>
      <c r="G10730" s="415">
        <v>1</v>
      </c>
      <c r="H10730" s="416">
        <f t="shared" ref="H10730:H10735" si="361">+G10730*F10730</f>
      </c>
    </row>
    <row r="10731" spans="1:8" ht="15.75" customHeight="1" x14ac:dyDescent="0.25">
      <c r="A10731" s="412">
        <v>40</v>
      </c>
      <c r="B10731" s="10" t="s">
        <v>1953</v>
      </c>
      <c r="C10731" s="422"/>
      <c r="D10731" s="879">
        <v>1</v>
      </c>
      <c r="E10731" s="10">
        <v>10</v>
      </c>
      <c r="F10731" s="415">
        <f t="shared" si="360"/>
      </c>
      <c r="G10731" s="415">
        <v>1</v>
      </c>
      <c r="H10731" s="416">
        <f t="shared" si="361"/>
      </c>
    </row>
    <row r="10732" spans="1:8" ht="15.75" customHeight="1" x14ac:dyDescent="0.25">
      <c r="A10732" s="412">
        <v>41</v>
      </c>
      <c r="B10732" s="10" t="s">
        <v>1954</v>
      </c>
      <c r="C10732" s="422"/>
      <c r="D10732" s="879">
        <v>2</v>
      </c>
      <c r="E10732" s="10">
        <v>10</v>
      </c>
      <c r="F10732" s="415">
        <f t="shared" si="360"/>
      </c>
      <c r="G10732" s="415">
        <v>1</v>
      </c>
      <c r="H10732" s="416">
        <f t="shared" si="361"/>
      </c>
    </row>
    <row r="10733" spans="1:8" ht="15.75" customHeight="1" x14ac:dyDescent="0.25">
      <c r="A10733" s="412">
        <v>42</v>
      </c>
      <c r="B10733" s="10" t="s">
        <v>2279</v>
      </c>
      <c r="C10733" s="422"/>
      <c r="D10733" s="879">
        <v>2</v>
      </c>
      <c r="E10733" s="10">
        <v>5</v>
      </c>
      <c r="F10733" s="415">
        <f t="shared" si="360"/>
      </c>
      <c r="G10733" s="415">
        <v>1</v>
      </c>
      <c r="H10733" s="416">
        <f t="shared" si="361"/>
      </c>
    </row>
    <row r="10734" spans="1:8" ht="15.75" customHeight="1" x14ac:dyDescent="0.25">
      <c r="A10734" s="412">
        <v>43</v>
      </c>
      <c r="B10734" s="10" t="s">
        <v>1956</v>
      </c>
      <c r="C10734" s="422"/>
      <c r="D10734" s="879">
        <v>1</v>
      </c>
      <c r="E10734" s="10">
        <v>5</v>
      </c>
      <c r="F10734" s="415">
        <f t="shared" si="360"/>
      </c>
      <c r="G10734" s="415">
        <v>1</v>
      </c>
      <c r="H10734" s="416">
        <f t="shared" si="361"/>
      </c>
    </row>
    <row r="10735" spans="1:8" ht="15.75" customHeight="1" x14ac:dyDescent="0.25">
      <c r="A10735" s="412">
        <v>44</v>
      </c>
      <c r="B10735" s="10" t="s">
        <v>1957</v>
      </c>
      <c r="C10735" s="422"/>
      <c r="D10735" s="879">
        <v>1</v>
      </c>
      <c r="E10735" s="10">
        <v>5</v>
      </c>
      <c r="F10735" s="415">
        <f t="shared" si="360"/>
      </c>
      <c r="G10735" s="415">
        <v>1</v>
      </c>
      <c r="H10735" s="416">
        <f t="shared" si="361"/>
      </c>
    </row>
    <row r="10736" spans="1:8" ht="15.75" customHeight="1" x14ac:dyDescent="0.25">
      <c r="A10736" s="412"/>
      <c r="B10736" s="422" t="s">
        <v>1239</v>
      </c>
      <c r="C10736" s="422"/>
      <c r="D10736" s="415"/>
      <c r="E10736" s="415"/>
      <c r="F10736" s="415"/>
      <c r="G10736" s="415"/>
      <c r="H10736" s="416"/>
    </row>
    <row r="10737" spans="1:20" ht="15.75" customHeight="1" x14ac:dyDescent="0.25">
      <c r="A10737" s="412">
        <v>45</v>
      </c>
      <c r="B10737" s="10" t="s">
        <v>727</v>
      </c>
      <c r="C10737" s="422"/>
      <c r="D10737" s="415">
        <v>1</v>
      </c>
      <c r="E10737" s="415">
        <v>25</v>
      </c>
      <c r="F10737" s="415">
        <f t="shared" ref="F10737:F10739" si="362">+E10737*D10737</f>
      </c>
      <c r="G10737" s="415">
        <v>1</v>
      </c>
      <c r="H10737" s="416">
        <f t="shared" ref="H10737:H10739" si="363">+G10737*F10737</f>
      </c>
    </row>
    <row r="10738" spans="1:20" ht="15.75" customHeight="1" x14ac:dyDescent="0.25">
      <c r="A10738" s="412">
        <v>46</v>
      </c>
      <c r="B10738" s="10" t="s">
        <v>250</v>
      </c>
      <c r="C10738" s="422"/>
      <c r="D10738" s="415">
        <v>1</v>
      </c>
      <c r="E10738" s="415">
        <v>25</v>
      </c>
      <c r="F10738" s="415">
        <f t="shared" si="362"/>
      </c>
      <c r="G10738" s="415">
        <v>1</v>
      </c>
      <c r="H10738" s="416">
        <f t="shared" si="363"/>
      </c>
    </row>
    <row r="10739" spans="1:20" ht="15.75" customHeight="1" x14ac:dyDescent="0.25">
      <c r="A10739" s="412">
        <v>48</v>
      </c>
      <c r="B10739" s="10" t="s">
        <v>218</v>
      </c>
      <c r="C10739" s="422"/>
      <c r="D10739" s="415">
        <v>1</v>
      </c>
      <c r="E10739" s="415">
        <v>24</v>
      </c>
      <c r="F10739" s="415">
        <f t="shared" si="362"/>
      </c>
      <c r="G10739" s="415">
        <v>1</v>
      </c>
      <c r="H10739" s="416">
        <f t="shared" si="363"/>
      </c>
    </row>
    <row r="10740" spans="1:20" ht="15.75" customHeight="1" x14ac:dyDescent="0.25">
      <c r="A10740" s="412"/>
      <c r="B10740" s="422" t="s">
        <v>1959</v>
      </c>
      <c r="C10740" s="422"/>
      <c r="D10740" s="415"/>
      <c r="E10740" s="415"/>
      <c r="F10740" s="415"/>
      <c r="G10740" s="415"/>
      <c r="H10740" s="416"/>
    </row>
    <row r="10741" spans="1:20" ht="15.75" customHeight="1" x14ac:dyDescent="0.25">
      <c r="A10741" s="412">
        <v>49</v>
      </c>
      <c r="B10741" s="10" t="s">
        <v>1960</v>
      </c>
      <c r="C10741" s="422"/>
      <c r="D10741" s="588">
        <v>1</v>
      </c>
      <c r="E10741" s="415">
        <v>100</v>
      </c>
      <c r="F10741" s="415">
        <f t="shared" ref="F10741:F10742" si="364">+E10741</f>
      </c>
      <c r="G10741" s="415">
        <v>1</v>
      </c>
      <c r="H10741" s="416">
        <f t="shared" ref="H10741:H10742" si="365">+G10741*F10741</f>
      </c>
    </row>
    <row r="10742" spans="1:20" ht="15.75" customHeight="1" x14ac:dyDescent="0.25">
      <c r="A10742" s="412">
        <v>50</v>
      </c>
      <c r="B10742" s="10" t="s">
        <v>922</v>
      </c>
      <c r="C10742" s="422"/>
      <c r="D10742" s="588"/>
      <c r="E10742" s="415">
        <v>25</v>
      </c>
      <c r="F10742" s="415">
        <f t="shared" si="364"/>
      </c>
      <c r="G10742" s="415">
        <v>1</v>
      </c>
      <c r="H10742" s="416">
        <f t="shared" si="365"/>
      </c>
    </row>
    <row r="10743" spans="1:20" ht="15.75" customHeight="1" x14ac:dyDescent="0.25">
      <c r="A10743" s="412"/>
      <c r="B10743" s="417"/>
      <c r="C10743" s="418"/>
      <c r="D10743" s="415"/>
      <c r="E10743" s="415"/>
      <c r="F10743" s="415"/>
      <c r="G10743" s="415"/>
      <c r="H10743" s="416"/>
    </row>
    <row r="10744" spans="1:20" ht="15.75" customHeight="1" x14ac:dyDescent="0.25">
      <c r="A10744" s="412"/>
      <c r="B10744" s="417"/>
      <c r="C10744" s="418"/>
      <c r="D10744" s="415"/>
      <c r="E10744" s="705" t="s">
        <v>2280</v>
      </c>
      <c r="F10744" s="619"/>
      <c r="G10744" s="619"/>
      <c r="H10744" s="706">
        <f>+H10661</f>
      </c>
    </row>
    <row r="10745" spans="1:20" ht="15.75" customHeight="1" x14ac:dyDescent="0.25">
      <c r="A10745" s="412"/>
      <c r="B10745" s="419"/>
      <c r="C10745" s="418"/>
      <c r="D10745" s="415"/>
      <c r="E10745" s="705" t="s">
        <v>2281</v>
      </c>
      <c r="F10745" s="619"/>
      <c r="G10745" s="619"/>
      <c r="H10745" s="706">
        <f>+H10704</f>
      </c>
    </row>
    <row r="10746" spans="1:20" ht="15.75" customHeight="1" x14ac:dyDescent="0.25">
      <c r="A10746" s="894"/>
      <c r="B10746" s="878"/>
      <c r="C10746" s="895"/>
      <c r="D10746" s="593"/>
      <c r="E10746" s="705" t="s">
        <v>2282</v>
      </c>
      <c r="F10746" s="619"/>
      <c r="G10746" s="619"/>
      <c r="H10746" s="706">
        <f>+H10742+H10741+H10739+H10738+H10737+H10735+H10734+H10733+H10732+H10731+H10730</f>
      </c>
    </row>
    <row r="10747" spans="1:20" ht="15.75" customHeight="1" x14ac:dyDescent="0.25">
      <c r="A10747" s="877"/>
      <c r="B10747" s="688"/>
      <c r="C10747" s="896"/>
      <c r="D10747" s="401">
        <f>SUM(D10730:D10746)</f>
      </c>
      <c r="E10747" s="401"/>
      <c r="F10747" s="401"/>
      <c r="G10747" s="661"/>
      <c r="H10747" s="438"/>
      <c r="I10747" s="674"/>
      <c r="J10747" s="674"/>
      <c r="K10747" s="674"/>
      <c r="L10747" s="674"/>
      <c r="M10747" s="674"/>
      <c r="N10747" s="674"/>
      <c r="O10747" s="674"/>
      <c r="P10747" s="674"/>
      <c r="Q10747" s="674"/>
      <c r="R10747" s="674"/>
      <c r="S10747" s="674"/>
      <c r="T10747" s="674"/>
    </row>
    <row r="10748" spans="1:20" ht="15.75" customHeight="1" x14ac:dyDescent="0.25">
      <c r="A10748" s="600"/>
      <c r="B10748" s="601"/>
      <c r="C10748" s="897" t="s">
        <v>2283</v>
      </c>
      <c r="D10748" s="898">
        <f>+D10747+D10704+D10661</f>
      </c>
      <c r="E10748" s="897"/>
      <c r="F10748" s="897"/>
      <c r="G10748" s="899"/>
      <c r="H10748" s="900">
        <f>SUM(H10744:H10747)</f>
      </c>
    </row>
    <row r="10749" spans="1:20" ht="15.75" customHeight="1" x14ac:dyDescent="0.25">
      <c r="A10749" s="392" t="s">
        <v>913</v>
      </c>
      <c r="B10749" s="391"/>
      <c r="C10749" s="391"/>
      <c r="D10749" s="391"/>
      <c r="E10749" s="390"/>
      <c r="F10749" s="392"/>
      <c r="G10749" s="390"/>
      <c r="H10749" s="394"/>
    </row>
    <row r="10750" spans="1:20" ht="15.75" customHeight="1" x14ac:dyDescent="0.25">
      <c r="A10750" s="445"/>
      <c r="B10750" s="445"/>
      <c r="C10750" s="445"/>
      <c r="D10750" s="446" t="s">
        <v>97</v>
      </c>
      <c r="E10750" s="445" t="s">
        <v>98</v>
      </c>
      <c r="F10750" s="445"/>
      <c r="G10750" s="390"/>
      <c r="H10750" s="394"/>
    </row>
    <row r="10751" spans="1:20" ht="15.75" customHeight="1" x14ac:dyDescent="0.25">
      <c r="A10751" s="390"/>
      <c r="B10751" s="390"/>
      <c r="C10751" s="390"/>
      <c r="D10751" s="391"/>
      <c r="E10751" s="390"/>
      <c r="F10751" s="390"/>
      <c r="G10751" s="390"/>
      <c r="H10751" s="394"/>
    </row>
    <row r="10752" spans="1:20" ht="15.75" customHeight="1" x14ac:dyDescent="0.25">
      <c r="A10752" s="390"/>
      <c r="B10752" s="390"/>
      <c r="C10752" s="390"/>
      <c r="D10752" s="391"/>
      <c r="E10752" s="390"/>
      <c r="F10752" s="390"/>
      <c r="G10752" s="390"/>
      <c r="H10752" s="394"/>
    </row>
    <row r="10753" spans="1:8" ht="15.75" customHeight="1" x14ac:dyDescent="0.25">
      <c r="A10753" s="445"/>
      <c r="B10753" s="445"/>
      <c r="C10753" s="445"/>
      <c r="D10753" s="446"/>
      <c r="E10753" s="445" t="s">
        <v>99</v>
      </c>
      <c r="F10753" s="445"/>
      <c r="G10753" s="390"/>
      <c r="H10753" s="394"/>
    </row>
    <row r="10754" spans="1:8" ht="15.75" customHeight="1" x14ac:dyDescent="0.25">
      <c r="D10754" s="4"/>
      <c r="H10754" s="4"/>
    </row>
    <row r="10755" spans="1:8" ht="15.75" customHeight="1" x14ac:dyDescent="0.25">
      <c r="D10755" s="4"/>
      <c r="H10755" s="4"/>
    </row>
    <row r="10756" spans="1:8" ht="15.75" customHeight="1" x14ac:dyDescent="0.25">
      <c r="D10756" s="4"/>
      <c r="H10756" s="4"/>
    </row>
    <row r="10757" spans="1:8" ht="15.75" customHeight="1" x14ac:dyDescent="0.25">
      <c r="A10757" s="14" t="s">
        <v>14</v>
      </c>
      <c r="B10757" s="14"/>
      <c r="C10757" s="14"/>
      <c r="D10757" s="14"/>
      <c r="E10757" s="14"/>
      <c r="F10757" s="14"/>
      <c r="G10757" s="14"/>
      <c r="H10757" s="14"/>
    </row>
    <row r="10758" spans="1:8" ht="15.75" customHeight="1" x14ac:dyDescent="0.25">
      <c r="D10758" s="4"/>
      <c r="H10758" s="8"/>
    </row>
    <row r="10759" spans="1:8" ht="15.75" customHeight="1" x14ac:dyDescent="0.3">
      <c r="A10759" s="233"/>
      <c r="B10759" s="233"/>
      <c r="C10759" s="234"/>
      <c r="D10759" s="235"/>
      <c r="E10759" s="236"/>
      <c r="F10759" s="236"/>
      <c r="G10759" s="236"/>
      <c r="H10759" s="237"/>
    </row>
    <row r="10760" spans="1:8" ht="15.75" customHeight="1" x14ac:dyDescent="0.3">
      <c r="A10760" s="233"/>
      <c r="B10760" s="233"/>
      <c r="C10760" s="233"/>
      <c r="D10760" s="234"/>
      <c r="E10760" s="233"/>
      <c r="F10760" s="238" t="s">
        <v>18</v>
      </c>
      <c r="G10760" s="239" t="s">
        <v>1067</v>
      </c>
      <c r="H10760" s="240"/>
    </row>
    <row r="10761" spans="1:8" ht="15.75" customHeight="1" x14ac:dyDescent="0.3">
      <c r="A10761" s="233" t="s">
        <v>20</v>
      </c>
      <c r="B10761" s="233"/>
      <c r="C10761" s="233"/>
      <c r="D10761" s="234"/>
      <c r="E10761" s="233"/>
      <c r="F10761" s="238" t="s">
        <v>21</v>
      </c>
      <c r="G10761" s="233" t="s">
        <v>1506</v>
      </c>
      <c r="H10761" s="234"/>
    </row>
    <row r="10762" spans="1:8" ht="15.75" customHeight="1" x14ac:dyDescent="0.3">
      <c r="A10762" s="233" t="inlineStr">
        <is>
          <t>Dealer-002</t>
        </is>
      </c>
      <c r="B10762" s="233"/>
      <c r="C10762" s="233"/>
      <c r="D10762" s="234"/>
      <c r="E10762" s="238"/>
      <c r="F10762" s="233"/>
      <c r="G10762" s="233"/>
      <c r="H10762" s="237"/>
    </row>
    <row r="10763" spans="1:8" ht="15.75" customHeight="1" x14ac:dyDescent="0.3">
      <c r="A10763" s="233" t="inlineStr">
        <is>
          <t>Address line (redacted)</t>
        </is>
      </c>
      <c r="B10763" s="233"/>
      <c r="C10763" s="233"/>
      <c r="D10763" s="241"/>
      <c r="E10763" s="233"/>
      <c r="F10763" s="234"/>
      <c r="G10763" s="233"/>
      <c r="H10763" s="237"/>
    </row>
    <row r="10764" spans="1:8" ht="15.75" customHeight="1" x14ac:dyDescent="0.3">
      <c r="A10764" s="233" t="inlineStr">
        <is>
          <t>Address line (redacted)</t>
        </is>
      </c>
      <c r="B10764" s="233"/>
      <c r="C10764" s="233"/>
      <c r="D10764" s="241"/>
      <c r="E10764" s="233"/>
      <c r="F10764" s="234"/>
      <c r="G10764" s="233"/>
      <c r="H10764" s="237"/>
    </row>
    <row r="10765" spans="1:8" ht="15.75" customHeight="1" x14ac:dyDescent="0.3">
      <c r="A10765" s="242"/>
      <c r="B10765" s="233"/>
      <c r="C10765" s="233"/>
      <c r="D10765" s="234"/>
      <c r="E10765" s="233"/>
      <c r="F10765" s="234"/>
      <c r="G10765" s="233"/>
      <c r="H10765" s="237"/>
    </row>
    <row r="10766" spans="1:8" ht="15.75" customHeight="1" x14ac:dyDescent="0.3">
      <c r="A10766" s="233" t="s">
        <v>30</v>
      </c>
      <c r="B10766" s="233"/>
      <c r="C10766" s="233"/>
      <c r="D10766" s="234"/>
      <c r="E10766" s="233"/>
      <c r="F10766" s="234"/>
      <c r="G10766" s="233"/>
      <c r="H10766" s="237"/>
    </row>
    <row r="10767" spans="1:8" ht="15.75" customHeight="1" x14ac:dyDescent="0.3">
      <c r="A10767" s="233"/>
      <c r="B10767" s="233"/>
      <c r="C10767" s="233"/>
      <c r="D10767" s="234"/>
      <c r="E10767" s="233"/>
      <c r="F10767" s="234"/>
      <c r="G10767" s="233"/>
      <c r="H10767" s="237"/>
    </row>
    <row r="10768" spans="1:8" ht="15.75" customHeight="1" x14ac:dyDescent="0.3">
      <c r="A10768" s="390" t="s">
        <v>716</v>
      </c>
      <c r="B10768" s="233"/>
      <c r="C10768" s="233"/>
      <c r="D10768" s="234"/>
      <c r="E10768" s="233"/>
      <c r="F10768" s="234"/>
      <c r="G10768" s="233"/>
      <c r="H10768" s="237"/>
    </row>
    <row r="10769" spans="1:8" ht="15.75" customHeight="1" x14ac:dyDescent="0.3">
      <c r="A10769" s="390" t="s">
        <v>717</v>
      </c>
      <c r="B10769" s="233"/>
      <c r="C10769" s="233"/>
      <c r="D10769" s="234"/>
      <c r="E10769" s="233"/>
      <c r="F10769" s="234"/>
      <c r="G10769" s="233"/>
      <c r="H10769" s="237"/>
    </row>
    <row r="10770" spans="1:8" ht="15.75" customHeight="1" x14ac:dyDescent="0.3">
      <c r="A10770" s="233"/>
      <c r="B10770" s="233"/>
      <c r="C10770" s="233"/>
      <c r="D10770" s="234"/>
      <c r="E10770" s="233"/>
      <c r="F10770" s="234"/>
      <c r="G10770" s="233"/>
      <c r="H10770" s="237"/>
    </row>
    <row r="10771" spans="1:8" ht="15.75" customHeight="1" x14ac:dyDescent="0.3">
      <c r="A10771" s="901" t="s">
        <v>33</v>
      </c>
      <c r="B10771" s="902" t="s">
        <v>6</v>
      </c>
      <c r="C10771" s="902"/>
      <c r="D10771" s="903" t="s">
        <v>37</v>
      </c>
      <c r="E10771" s="904" t="s">
        <v>38</v>
      </c>
      <c r="F10771" s="905" t="s">
        <v>7</v>
      </c>
      <c r="G10771" s="902" t="s">
        <v>43</v>
      </c>
      <c r="H10771" s="906" t="s">
        <v>44</v>
      </c>
    </row>
    <row r="10772" spans="1:8" ht="15.75" customHeight="1" x14ac:dyDescent="0.3">
      <c r="A10772" s="907"/>
      <c r="B10772" s="908"/>
      <c r="C10772" s="909"/>
      <c r="D10772" s="908"/>
      <c r="E10772" s="908"/>
      <c r="F10772" s="910"/>
      <c r="G10772" s="908"/>
      <c r="H10772" s="287"/>
    </row>
    <row r="10773" spans="1:8" ht="15.75" customHeight="1" x14ac:dyDescent="0.3">
      <c r="A10773" s="283"/>
      <c r="B10773" s="422" t="s">
        <v>674</v>
      </c>
      <c r="C10773" s="422"/>
      <c r="D10773" s="285"/>
      <c r="E10773" s="285"/>
      <c r="F10773" s="285"/>
      <c r="G10773" s="285"/>
      <c r="H10773" s="287"/>
    </row>
    <row r="10774" spans="1:8" ht="15.75" customHeight="1" x14ac:dyDescent="0.3">
      <c r="A10774" s="283" t="s">
        <v>55</v>
      </c>
      <c r="B10774" s="284" t="s">
        <v>1942</v>
      </c>
      <c r="C10774" s="284"/>
      <c r="D10774" s="285">
        <v>10</v>
      </c>
      <c r="E10774" s="285">
        <v>1</v>
      </c>
      <c r="F10774" s="285">
        <f>+E10774*D10774</f>
      </c>
      <c r="G10774" s="285">
        <v>1</v>
      </c>
      <c r="H10774" s="287">
        <f>+G10774*F10774</f>
      </c>
    </row>
    <row r="10775" spans="1:8" ht="15.75" customHeight="1" x14ac:dyDescent="0.3">
      <c r="A10775" s="283" t="s">
        <v>59</v>
      </c>
      <c r="B10775" s="284" t="s">
        <v>1942</v>
      </c>
      <c r="C10775" s="911"/>
      <c r="D10775" s="285">
        <v>1</v>
      </c>
      <c r="E10775" s="285">
        <v>1</v>
      </c>
      <c r="F10775" s="285">
        <v>1</v>
      </c>
      <c r="G10775" s="912" t="s">
        <v>1856</v>
      </c>
      <c r="H10775" s="287"/>
    </row>
    <row r="10776" spans="1:8" ht="15.75" customHeight="1" x14ac:dyDescent="0.3">
      <c r="A10776" s="283"/>
      <c r="B10776" s="422" t="s">
        <v>1102</v>
      </c>
      <c r="C10776" s="422"/>
      <c r="D10776" s="285"/>
      <c r="E10776" s="285"/>
      <c r="F10776" s="285"/>
      <c r="G10776" s="285"/>
      <c r="H10776" s="287"/>
    </row>
    <row r="10777" spans="1:8" ht="15.75" customHeight="1" x14ac:dyDescent="0.3">
      <c r="A10777" s="283" t="s">
        <v>67</v>
      </c>
      <c r="B10777" s="284" t="s">
        <v>1334</v>
      </c>
      <c r="C10777" s="913" t="s">
        <v>331</v>
      </c>
      <c r="D10777" s="285">
        <v>4</v>
      </c>
      <c r="E10777" s="285">
        <v>5</v>
      </c>
      <c r="F10777" s="285">
        <f>+E10777*D10777</f>
      </c>
      <c r="G10777" s="285">
        <v>1</v>
      </c>
      <c r="H10777" s="287">
        <f t="shared" ref="H10777:H10778" si="366">+G10777*F10777</f>
      </c>
    </row>
    <row r="10778" spans="1:8" ht="15.75" customHeight="1" x14ac:dyDescent="0.3">
      <c r="A10778" s="283" t="s">
        <v>485</v>
      </c>
      <c r="B10778" s="284" t="s">
        <v>1334</v>
      </c>
      <c r="C10778" s="911" t="s">
        <v>1507</v>
      </c>
      <c r="D10778" s="914">
        <v>1</v>
      </c>
      <c r="E10778" s="914">
        <v>5</v>
      </c>
      <c r="F10778" s="285">
        <v>4</v>
      </c>
      <c r="G10778" s="285">
        <v>1</v>
      </c>
      <c r="H10778" s="287">
        <f t="shared" si="366"/>
      </c>
    </row>
    <row r="10779" spans="1:8" ht="15.75" customHeight="1" x14ac:dyDescent="0.3">
      <c r="A10779" s="283" t="s">
        <v>486</v>
      </c>
      <c r="B10779" s="284" t="s">
        <v>1334</v>
      </c>
      <c r="C10779" s="913" t="s">
        <v>331</v>
      </c>
      <c r="D10779" s="914"/>
      <c r="E10779" s="914"/>
      <c r="F10779" s="285">
        <v>1</v>
      </c>
      <c r="G10779" s="912" t="s">
        <v>1856</v>
      </c>
      <c r="H10779" s="287"/>
    </row>
    <row r="10780" spans="1:8" ht="15.75" customHeight="1" x14ac:dyDescent="0.3">
      <c r="A10780" s="283" t="s">
        <v>489</v>
      </c>
      <c r="B10780" s="284" t="s">
        <v>618</v>
      </c>
      <c r="C10780" s="913" t="s">
        <v>87</v>
      </c>
      <c r="D10780" s="285">
        <v>4</v>
      </c>
      <c r="E10780" s="285">
        <v>5</v>
      </c>
      <c r="F10780" s="285">
        <f>+E10780*D10780</f>
      </c>
      <c r="G10780" s="285">
        <v>1</v>
      </c>
      <c r="H10780" s="287">
        <f t="shared" ref="H10780:H10781" si="367">+G10780*F10780</f>
      </c>
    </row>
    <row r="10781" spans="1:8" ht="15.75" customHeight="1" x14ac:dyDescent="0.3">
      <c r="A10781" s="283" t="s">
        <v>490</v>
      </c>
      <c r="B10781" s="284" t="s">
        <v>618</v>
      </c>
      <c r="C10781" s="911" t="s">
        <v>1507</v>
      </c>
      <c r="D10781" s="914">
        <v>1</v>
      </c>
      <c r="E10781" s="914">
        <v>5</v>
      </c>
      <c r="F10781" s="285">
        <v>4</v>
      </c>
      <c r="G10781" s="285">
        <v>1</v>
      </c>
      <c r="H10781" s="287">
        <f t="shared" si="367"/>
      </c>
    </row>
    <row r="10782" spans="1:8" ht="15.75" customHeight="1" x14ac:dyDescent="0.3">
      <c r="A10782" s="283" t="s">
        <v>781</v>
      </c>
      <c r="B10782" s="284" t="s">
        <v>618</v>
      </c>
      <c r="C10782" s="913" t="s">
        <v>87</v>
      </c>
      <c r="D10782" s="914"/>
      <c r="E10782" s="914"/>
      <c r="F10782" s="285">
        <v>1</v>
      </c>
      <c r="G10782" s="912" t="s">
        <v>1856</v>
      </c>
      <c r="H10782" s="287"/>
    </row>
    <row r="10783" spans="1:8" ht="15.75" customHeight="1" x14ac:dyDescent="0.3">
      <c r="A10783" s="283"/>
      <c r="B10783" s="422" t="s">
        <v>590</v>
      </c>
      <c r="C10783" s="422"/>
      <c r="D10783" s="285"/>
      <c r="E10783" s="285"/>
      <c r="F10783" s="285"/>
      <c r="G10783" s="285"/>
      <c r="H10783" s="287"/>
    </row>
    <row r="10784" spans="1:8" ht="15.75" customHeight="1" x14ac:dyDescent="0.3">
      <c r="A10784" s="283" t="s">
        <v>785</v>
      </c>
      <c r="B10784" s="284" t="s">
        <v>134</v>
      </c>
      <c r="C10784" s="915" t="s">
        <v>367</v>
      </c>
      <c r="D10784" s="285">
        <v>1</v>
      </c>
      <c r="E10784" s="285">
        <v>6</v>
      </c>
      <c r="F10784" s="285">
        <f t="shared" ref="F10784:F10785" si="368">+E10784*D10784</f>
      </c>
      <c r="G10784" s="285">
        <v>1</v>
      </c>
      <c r="H10784" s="287">
        <f t="shared" ref="H10784:H10786" si="369">+G10784*F10784</f>
      </c>
    </row>
    <row r="10785" spans="1:8" ht="15.75" customHeight="1" x14ac:dyDescent="0.3">
      <c r="A10785" s="283" t="s">
        <v>787</v>
      </c>
      <c r="B10785" s="284" t="s">
        <v>1301</v>
      </c>
      <c r="C10785" s="915" t="s">
        <v>372</v>
      </c>
      <c r="D10785" s="285">
        <v>3</v>
      </c>
      <c r="E10785" s="285">
        <v>6</v>
      </c>
      <c r="F10785" s="285">
        <f t="shared" si="368"/>
      </c>
      <c r="G10785" s="285">
        <v>1</v>
      </c>
      <c r="H10785" s="287">
        <f t="shared" si="369"/>
      </c>
    </row>
    <row r="10786" spans="1:8" ht="15.75" customHeight="1" x14ac:dyDescent="0.3">
      <c r="A10786" s="283" t="s">
        <v>790</v>
      </c>
      <c r="B10786" s="284" t="s">
        <v>1301</v>
      </c>
      <c r="C10786" s="911" t="s">
        <v>1963</v>
      </c>
      <c r="D10786" s="914">
        <v>1</v>
      </c>
      <c r="E10786" s="914">
        <v>6</v>
      </c>
      <c r="F10786" s="285">
        <v>5</v>
      </c>
      <c r="G10786" s="285">
        <v>1</v>
      </c>
      <c r="H10786" s="287">
        <f t="shared" si="369"/>
      </c>
    </row>
    <row r="10787" spans="1:8" ht="15.75" customHeight="1" x14ac:dyDescent="0.3">
      <c r="A10787" s="283" t="s">
        <v>792</v>
      </c>
      <c r="B10787" s="284" t="s">
        <v>1301</v>
      </c>
      <c r="C10787" s="915" t="s">
        <v>372</v>
      </c>
      <c r="D10787" s="914"/>
      <c r="E10787" s="914"/>
      <c r="F10787" s="285">
        <v>1</v>
      </c>
      <c r="G10787" s="912" t="s">
        <v>1856</v>
      </c>
      <c r="H10787" s="287"/>
    </row>
    <row r="10788" spans="1:8" ht="15.75" customHeight="1" x14ac:dyDescent="0.3">
      <c r="A10788" s="283"/>
      <c r="B10788" s="916"/>
      <c r="C10788" s="917"/>
      <c r="D10788" s="285"/>
      <c r="E10788" s="285"/>
      <c r="F10788" s="285"/>
      <c r="G10788" s="285"/>
      <c r="H10788" s="287"/>
    </row>
    <row r="10789" spans="1:8" ht="15.75" customHeight="1" x14ac:dyDescent="0.3">
      <c r="A10789" s="918"/>
      <c r="B10789" s="910"/>
      <c r="C10789" s="919"/>
      <c r="D10789" s="920"/>
      <c r="E10789" s="920"/>
      <c r="F10789" s="920"/>
      <c r="G10789" s="920"/>
      <c r="H10789" s="921"/>
    </row>
    <row r="10790" spans="1:8" ht="15.75" customHeight="1" x14ac:dyDescent="0.3">
      <c r="A10790" s="907"/>
      <c r="B10790" s="922"/>
      <c r="C10790" s="923" t="s">
        <v>85</v>
      </c>
      <c r="D10790" s="245">
        <f>SUM(D10774:D10789)</f>
      </c>
      <c r="E10790" s="245"/>
      <c r="F10790" s="245"/>
      <c r="G10790" s="924"/>
      <c r="H10790" s="274">
        <f>SUM(H10774:H10789)</f>
      </c>
    </row>
    <row r="10791" spans="1:8" ht="15.75" customHeight="1" x14ac:dyDescent="0.3">
      <c r="A10791" s="925"/>
      <c r="B10791" s="926"/>
      <c r="C10791" s="927"/>
      <c r="D10791" s="267"/>
      <c r="E10791" s="927"/>
      <c r="F10791" s="927"/>
      <c r="G10791" s="928"/>
      <c r="H10791" s="280"/>
    </row>
    <row r="10792" spans="1:8" ht="15.75" customHeight="1" x14ac:dyDescent="0.3">
      <c r="A10792" s="235"/>
      <c r="B10792" s="234"/>
      <c r="C10792" s="234"/>
      <c r="D10792" s="234"/>
      <c r="E10792" s="233"/>
      <c r="F10792" s="235"/>
      <c r="G10792" s="233"/>
      <c r="H10792" s="237"/>
    </row>
    <row r="10793" spans="1:8" ht="15.75" customHeight="1" x14ac:dyDescent="0.3">
      <c r="A10793" s="281"/>
      <c r="B10793" s="281"/>
      <c r="C10793" s="281"/>
      <c r="D10793" s="282" t="s">
        <v>97</v>
      </c>
      <c r="E10793" s="281" t="s">
        <v>98</v>
      </c>
      <c r="F10793" s="281"/>
      <c r="G10793" s="233"/>
      <c r="H10793" s="237"/>
    </row>
    <row r="10794" spans="1:8" ht="15.75" customHeight="1" x14ac:dyDescent="0.3">
      <c r="A10794" s="233"/>
      <c r="B10794" s="233"/>
      <c r="C10794" s="233"/>
      <c r="D10794" s="234"/>
      <c r="E10794" s="233"/>
      <c r="F10794" s="233"/>
      <c r="G10794" s="233"/>
      <c r="H10794" s="237"/>
    </row>
    <row r="10795" spans="1:8" ht="15.75" customHeight="1" x14ac:dyDescent="0.3">
      <c r="A10795" s="233"/>
      <c r="B10795" s="233"/>
      <c r="C10795" s="233"/>
      <c r="D10795" s="234"/>
      <c r="E10795" s="233"/>
      <c r="F10795" s="233"/>
      <c r="G10795" s="233"/>
      <c r="H10795" s="237"/>
    </row>
    <row r="10796" spans="1:8" ht="15.75" customHeight="1" x14ac:dyDescent="0.3">
      <c r="A10796" s="281"/>
      <c r="B10796" s="281"/>
      <c r="C10796" s="281"/>
      <c r="D10796" s="282"/>
      <c r="E10796" s="281" t="s">
        <v>99</v>
      </c>
      <c r="F10796" s="281"/>
      <c r="G10796" s="233"/>
      <c r="H10796" s="237"/>
    </row>
    <row r="10797" spans="1:8" ht="15.75" customHeight="1" x14ac:dyDescent="0.25">
      <c r="D10797" s="4"/>
      <c r="H10797" s="4"/>
    </row>
    <row r="10798" spans="1:8" ht="15.75" customHeight="1" x14ac:dyDescent="0.25">
      <c r="D10798" s="4"/>
      <c r="H10798" s="4"/>
    </row>
    <row r="10799" spans="1:8" ht="15.75" customHeight="1" x14ac:dyDescent="0.25">
      <c r="A10799" s="8" t="s">
        <v>14</v>
      </c>
      <c r="B10799" s="8"/>
      <c r="C10799" s="8"/>
      <c r="D10799" s="8"/>
      <c r="E10799" s="8"/>
      <c r="F10799" s="8"/>
      <c r="G10799" s="8"/>
      <c r="H10799" s="8"/>
    </row>
    <row r="10800" spans="1:8" ht="15.75" customHeight="1" x14ac:dyDescent="0.25">
      <c r="A10800" s="388"/>
      <c r="B10800" s="388"/>
      <c r="C10800" s="388"/>
      <c r="D10800" s="389"/>
      <c r="E10800" s="388"/>
      <c r="F10800" s="388"/>
      <c r="G10800" s="388"/>
      <c r="H10800" s="8"/>
    </row>
    <row r="10801" spans="1:8" ht="15.75" customHeight="1" x14ac:dyDescent="0.25">
      <c r="A10801" s="390"/>
      <c r="B10801" s="390"/>
      <c r="C10801" s="391"/>
      <c r="D10801" s="392"/>
      <c r="E10801" s="393"/>
      <c r="F10801" s="393"/>
      <c r="G10801" s="393"/>
      <c r="H10801" s="394"/>
    </row>
    <row r="10802" spans="1:8" ht="15.75" customHeight="1" x14ac:dyDescent="0.25">
      <c r="A10802" s="390"/>
      <c r="B10802" s="390"/>
      <c r="C10802" s="390"/>
      <c r="D10802" s="391"/>
      <c r="E10802" s="390"/>
      <c r="F10802" s="395" t="s">
        <v>18</v>
      </c>
      <c r="G10802" s="396" t="s">
        <v>1067</v>
      </c>
      <c r="H10802" s="397"/>
    </row>
    <row r="10803" spans="1:8" ht="15.75" customHeight="1" x14ac:dyDescent="0.25">
      <c r="A10803" s="390" t="s">
        <v>20</v>
      </c>
      <c r="B10803" s="390"/>
      <c r="C10803" s="390"/>
      <c r="D10803" s="391"/>
      <c r="E10803" s="390"/>
      <c r="F10803" s="395" t="s">
        <v>21</v>
      </c>
      <c r="G10803" s="390" t="s">
        <v>1964</v>
      </c>
      <c r="H10803" s="391"/>
    </row>
    <row r="10804" spans="1:8" ht="15.75" customHeight="1" x14ac:dyDescent="0.25">
      <c r="A10804" s="390" t="inlineStr">
        <is>
          <t>Dealer-004</t>
        </is>
      </c>
      <c r="B10804" s="390"/>
      <c r="C10804" s="390"/>
      <c r="D10804" s="398"/>
      <c r="E10804" s="390"/>
      <c r="F10804" s="391"/>
      <c r="G10804" s="390"/>
      <c r="H10804" s="394"/>
    </row>
    <row r="10805" spans="1:8" ht="15.75" customHeight="1" x14ac:dyDescent="0.25">
      <c r="A10805" s="390" t="inlineStr">
        <is>
          <t>Address line (redacted)</t>
        </is>
      </c>
      <c r="B10805" s="390"/>
      <c r="C10805" s="390"/>
      <c r="D10805" s="398"/>
      <c r="E10805" s="390"/>
      <c r="F10805" s="391"/>
      <c r="G10805" s="390"/>
      <c r="H10805" s="394"/>
    </row>
    <row r="10806" spans="1:8" ht="15.75" customHeight="1" x14ac:dyDescent="0.25">
      <c r="A10806" s="390" t="inlineStr">
        <is>
          <t>Address line (redacted)</t>
        </is>
      </c>
      <c r="B10806" s="390"/>
      <c r="C10806" s="390"/>
      <c r="D10806" s="391"/>
      <c r="E10806" s="390"/>
      <c r="F10806" s="391"/>
      <c r="G10806" s="390"/>
      <c r="H10806" s="394"/>
    </row>
    <row r="10807" spans="1:8" ht="15.75" customHeight="1" x14ac:dyDescent="0.25">
      <c r="A10807" s="390"/>
      <c r="B10807" s="390"/>
      <c r="C10807" s="390"/>
      <c r="D10807" s="391"/>
      <c r="E10807" s="390"/>
      <c r="F10807" s="391"/>
      <c r="G10807" s="390"/>
      <c r="H10807" s="394"/>
    </row>
    <row r="10808" spans="1:8" ht="15.75" customHeight="1" x14ac:dyDescent="0.25">
      <c r="A10808" s="393"/>
      <c r="B10808" s="390"/>
      <c r="C10808" s="390"/>
      <c r="D10808" s="398"/>
      <c r="E10808" s="390"/>
      <c r="F10808" s="391"/>
      <c r="G10808" s="390"/>
      <c r="H10808" s="394"/>
    </row>
    <row r="10809" spans="1:8" ht="15.75" customHeight="1" x14ac:dyDescent="0.25">
      <c r="A10809" s="390"/>
      <c r="B10809" s="390"/>
      <c r="C10809" s="390"/>
      <c r="D10809" s="391"/>
      <c r="E10809" s="390"/>
      <c r="F10809" s="391"/>
      <c r="G10809" s="390"/>
      <c r="H10809" s="394"/>
    </row>
    <row r="10810" spans="1:8" ht="15.75" customHeight="1" x14ac:dyDescent="0.25">
      <c r="A10810" s="390"/>
      <c r="B10810" s="390"/>
      <c r="C10810" s="390"/>
      <c r="D10810" s="391"/>
      <c r="E10810" s="390"/>
      <c r="F10810" s="391"/>
      <c r="G10810" s="390"/>
      <c r="H10810" s="394"/>
    </row>
    <row r="10811" spans="1:8" ht="15.75" customHeight="1" x14ac:dyDescent="0.25">
      <c r="A10811" s="390"/>
      <c r="B10811" s="390"/>
      <c r="C10811" s="390"/>
      <c r="D10811" s="391"/>
      <c r="E10811" s="390"/>
      <c r="F10811" s="391"/>
      <c r="G10811" s="390"/>
      <c r="H10811" s="394"/>
    </row>
    <row r="10812" spans="1:8" ht="15.75" customHeight="1" x14ac:dyDescent="0.25">
      <c r="A10812" s="390"/>
      <c r="B10812" s="390"/>
      <c r="C10812" s="390"/>
      <c r="D10812" s="391"/>
      <c r="E10812" s="390"/>
      <c r="F10812" s="391"/>
      <c r="G10812" s="390"/>
      <c r="H10812" s="394"/>
    </row>
    <row r="10813" spans="1:8" ht="15.75" customHeight="1" x14ac:dyDescent="0.25">
      <c r="A10813" s="390" t="s">
        <v>30</v>
      </c>
      <c r="B10813" s="390"/>
      <c r="C10813" s="390"/>
      <c r="D10813" s="391"/>
      <c r="E10813" s="390"/>
      <c r="F10813" s="391"/>
      <c r="G10813" s="390"/>
      <c r="H10813" s="394"/>
    </row>
    <row r="10814" spans="1:8" ht="15.75" customHeight="1" x14ac:dyDescent="0.25">
      <c r="A10814" s="390"/>
      <c r="B10814" s="390"/>
      <c r="C10814" s="390"/>
      <c r="D10814" s="391"/>
      <c r="E10814" s="390"/>
      <c r="F10814" s="391"/>
      <c r="G10814" s="390"/>
      <c r="H10814" s="394"/>
    </row>
    <row r="10815" spans="1:8" ht="15.75" customHeight="1" x14ac:dyDescent="0.25">
      <c r="A10815" s="390" t="s">
        <v>716</v>
      </c>
      <c r="B10815" s="390"/>
      <c r="C10815" s="390"/>
      <c r="D10815" s="391"/>
      <c r="E10815" s="390"/>
      <c r="F10815" s="391"/>
      <c r="G10815" s="390"/>
      <c r="H10815" s="394"/>
    </row>
    <row r="10816" spans="1:8" ht="15.75" customHeight="1" x14ac:dyDescent="0.25">
      <c r="A10816" s="390" t="s">
        <v>717</v>
      </c>
      <c r="B10816" s="390"/>
      <c r="C10816" s="390"/>
      <c r="D10816" s="391"/>
      <c r="E10816" s="390"/>
      <c r="F10816" s="391"/>
      <c r="G10816" s="390"/>
      <c r="H10816" s="394"/>
    </row>
    <row r="10817" spans="1:8" ht="15.75" customHeight="1" x14ac:dyDescent="0.25">
      <c r="A10817" s="390"/>
      <c r="B10817" s="390"/>
      <c r="C10817" s="390"/>
      <c r="D10817" s="391"/>
      <c r="E10817" s="390"/>
      <c r="F10817" s="391"/>
      <c r="G10817" s="390"/>
      <c r="H10817" s="394"/>
    </row>
    <row r="10818" spans="1:8" ht="15.75" customHeight="1" x14ac:dyDescent="0.25">
      <c r="A10818" s="871" t="s">
        <v>33</v>
      </c>
      <c r="B10818" s="872" t="s">
        <v>6</v>
      </c>
      <c r="C10818" s="872"/>
      <c r="D10818" s="873" t="s">
        <v>37</v>
      </c>
      <c r="E10818" s="874" t="s">
        <v>38</v>
      </c>
      <c r="F10818" s="875" t="s">
        <v>7</v>
      </c>
      <c r="G10818" s="872" t="s">
        <v>43</v>
      </c>
      <c r="H10818" s="876" t="s">
        <v>44</v>
      </c>
    </row>
    <row r="10819" spans="1:8" ht="15.75" customHeight="1" x14ac:dyDescent="0.25">
      <c r="A10819" s="877"/>
      <c r="B10819" s="578"/>
      <c r="C10819" s="627"/>
      <c r="D10819" s="578"/>
      <c r="E10819" s="578"/>
      <c r="F10819" s="878"/>
      <c r="G10819" s="578"/>
      <c r="H10819" s="416"/>
    </row>
    <row r="10820" spans="1:8" ht="15.75" customHeight="1" x14ac:dyDescent="0.25">
      <c r="A10820" s="412"/>
      <c r="B10820" s="422" t="s">
        <v>1754</v>
      </c>
      <c r="C10820" s="422"/>
      <c r="D10820" s="879"/>
      <c r="E10820" s="10"/>
      <c r="F10820" s="415"/>
      <c r="G10820" s="415"/>
      <c r="H10820" s="416"/>
    </row>
    <row r="10821" spans="1:8" ht="15.75" customHeight="1" x14ac:dyDescent="0.25">
      <c r="A10821" s="412">
        <v>1</v>
      </c>
      <c r="B10821" s="10" t="s">
        <v>1851</v>
      </c>
      <c r="C10821" s="422"/>
      <c r="D10821" s="879">
        <v>1</v>
      </c>
      <c r="E10821" s="10">
        <v>10</v>
      </c>
      <c r="F10821" s="415">
        <f t="shared" ref="F10821:F10822" si="370">+E10821*D10821</f>
      </c>
      <c r="G10821" s="415">
        <v>1</v>
      </c>
      <c r="H10821" s="416">
        <f t="shared" ref="H10821:H10822" si="371">+G10821*F10821</f>
      </c>
    </row>
    <row r="10822" spans="1:8" ht="15.75" customHeight="1" x14ac:dyDescent="0.25">
      <c r="A10822" s="412">
        <v>2</v>
      </c>
      <c r="B10822" s="10" t="s">
        <v>1851</v>
      </c>
      <c r="C10822" s="422"/>
      <c r="D10822" s="929">
        <v>1</v>
      </c>
      <c r="E10822" s="10">
        <v>9</v>
      </c>
      <c r="F10822" s="415">
        <f t="shared" si="370"/>
      </c>
      <c r="G10822" s="415">
        <v>1</v>
      </c>
      <c r="H10822" s="416">
        <f t="shared" si="371"/>
      </c>
    </row>
    <row r="10823" spans="1:8" ht="15.75" customHeight="1" x14ac:dyDescent="0.25">
      <c r="A10823" s="412">
        <v>3</v>
      </c>
      <c r="B10823" s="10" t="s">
        <v>1851</v>
      </c>
      <c r="C10823" s="422" t="s">
        <v>1965</v>
      </c>
      <c r="D10823" s="930"/>
      <c r="E10823" s="10">
        <v>1</v>
      </c>
      <c r="F10823" s="415">
        <v>1</v>
      </c>
      <c r="G10823" s="619" t="s">
        <v>1856</v>
      </c>
      <c r="H10823" s="416"/>
    </row>
    <row r="10824" spans="1:8" ht="15.75" customHeight="1" x14ac:dyDescent="0.25">
      <c r="A10824" s="412"/>
      <c r="B10824" s="10"/>
      <c r="C10824" s="422"/>
      <c r="D10824" s="930"/>
      <c r="E10824" s="10"/>
      <c r="F10824" s="415"/>
      <c r="G10824" s="415"/>
      <c r="H10824" s="416"/>
    </row>
    <row r="10825" spans="1:8" ht="15.75" customHeight="1" x14ac:dyDescent="0.25">
      <c r="A10825" s="412"/>
      <c r="B10825" s="10"/>
      <c r="C10825" s="422"/>
      <c r="D10825" s="930"/>
      <c r="E10825" s="10"/>
      <c r="F10825" s="415"/>
      <c r="G10825" s="415"/>
      <c r="H10825" s="416"/>
    </row>
    <row r="10826" spans="1:8" ht="15.75" customHeight="1" x14ac:dyDescent="0.25">
      <c r="A10826" s="412"/>
      <c r="B10826" s="10"/>
      <c r="C10826" s="422"/>
      <c r="D10826" s="930"/>
      <c r="E10826" s="10"/>
      <c r="F10826" s="415"/>
      <c r="G10826" s="415"/>
      <c r="H10826" s="416"/>
    </row>
    <row r="10827" spans="1:8" ht="15.75" customHeight="1" x14ac:dyDescent="0.25">
      <c r="A10827" s="412"/>
      <c r="B10827" s="10"/>
      <c r="C10827" s="422"/>
      <c r="D10827" s="930"/>
      <c r="E10827" s="10"/>
      <c r="F10827" s="415"/>
      <c r="G10827" s="415"/>
      <c r="H10827" s="416"/>
    </row>
    <row r="10828" spans="1:8" ht="15.75" customHeight="1" x14ac:dyDescent="0.25">
      <c r="A10828" s="412"/>
      <c r="B10828" s="417"/>
      <c r="C10828" s="418"/>
      <c r="D10828" s="415"/>
      <c r="E10828" s="415"/>
      <c r="F10828" s="415"/>
      <c r="G10828" s="415"/>
      <c r="H10828" s="416"/>
    </row>
    <row r="10829" spans="1:8" ht="15.75" customHeight="1" x14ac:dyDescent="0.25">
      <c r="A10829" s="412"/>
      <c r="B10829" s="417"/>
      <c r="C10829" s="418"/>
      <c r="D10829" s="415"/>
      <c r="E10829" s="415"/>
      <c r="F10829" s="415"/>
      <c r="G10829" s="415"/>
      <c r="H10829" s="416"/>
    </row>
    <row r="10830" spans="1:8" ht="15.75" customHeight="1" x14ac:dyDescent="0.25">
      <c r="A10830" s="412"/>
      <c r="B10830" s="419"/>
      <c r="C10830" s="418"/>
      <c r="D10830" s="415"/>
      <c r="E10830" s="415"/>
      <c r="F10830" s="415"/>
      <c r="G10830" s="415"/>
      <c r="H10830" s="416"/>
    </row>
    <row r="10831" spans="1:8" ht="15.75" customHeight="1" x14ac:dyDescent="0.25">
      <c r="A10831" s="894"/>
      <c r="B10831" s="878"/>
      <c r="C10831" s="895"/>
      <c r="D10831" s="593"/>
      <c r="E10831" s="593"/>
      <c r="F10831" s="593"/>
      <c r="G10831" s="593"/>
      <c r="H10831" s="931"/>
    </row>
    <row r="10832" spans="1:8" ht="15.75" customHeight="1" x14ac:dyDescent="0.25">
      <c r="A10832" s="877"/>
      <c r="B10832" s="688"/>
      <c r="C10832" s="896" t="s">
        <v>85</v>
      </c>
      <c r="D10832" s="401">
        <f>SUM(D10821:D10831)</f>
      </c>
      <c r="E10832" s="401"/>
      <c r="F10832" s="401">
        <f>SUM(F10821:F10831)</f>
      </c>
      <c r="G10832" s="661"/>
      <c r="H10832" s="438">
        <f>SUM(H10821:H10831)</f>
      </c>
    </row>
    <row r="10833" spans="1:8" ht="15.75" customHeight="1" x14ac:dyDescent="0.25">
      <c r="A10833" s="932"/>
      <c r="B10833" s="933"/>
      <c r="C10833" s="934"/>
      <c r="D10833" s="431"/>
      <c r="E10833" s="935"/>
      <c r="F10833" s="935"/>
      <c r="G10833" s="936"/>
      <c r="H10833" s="444"/>
    </row>
    <row r="10834" spans="1:8" ht="15.75" customHeight="1" x14ac:dyDescent="0.25">
      <c r="A10834" s="392" t="s">
        <v>913</v>
      </c>
      <c r="B10834" s="391"/>
      <c r="C10834" s="391"/>
      <c r="D10834" s="391"/>
      <c r="E10834" s="390"/>
      <c r="F10834" s="392"/>
      <c r="G10834" s="390"/>
      <c r="H10834" s="394"/>
    </row>
    <row r="10835" spans="1:8" ht="15.75" customHeight="1" x14ac:dyDescent="0.25">
      <c r="A10835" s="445"/>
      <c r="B10835" s="445"/>
      <c r="C10835" s="445"/>
      <c r="D10835" s="446" t="s">
        <v>97</v>
      </c>
      <c r="E10835" s="445" t="s">
        <v>98</v>
      </c>
      <c r="F10835" s="445"/>
      <c r="G10835" s="390"/>
      <c r="H10835" s="394"/>
    </row>
    <row r="10836" spans="1:8" ht="15.75" customHeight="1" x14ac:dyDescent="0.25">
      <c r="A10836" s="390"/>
      <c r="B10836" s="390"/>
      <c r="C10836" s="390"/>
      <c r="D10836" s="391"/>
      <c r="E10836" s="390"/>
      <c r="F10836" s="390"/>
      <c r="G10836" s="390"/>
      <c r="H10836" s="394"/>
    </row>
    <row r="10837" spans="1:8" ht="15.75" customHeight="1" x14ac:dyDescent="0.25">
      <c r="A10837" s="390"/>
      <c r="B10837" s="390"/>
      <c r="C10837" s="390"/>
      <c r="D10837" s="391"/>
      <c r="E10837" s="390"/>
      <c r="F10837" s="390"/>
      <c r="G10837" s="390"/>
      <c r="H10837" s="394"/>
    </row>
    <row r="10838" spans="1:8" ht="15.75" customHeight="1" x14ac:dyDescent="0.25">
      <c r="A10838" s="445"/>
      <c r="B10838" s="445"/>
      <c r="C10838" s="445"/>
      <c r="D10838" s="446"/>
      <c r="E10838" s="445" t="s">
        <v>99</v>
      </c>
      <c r="F10838" s="445"/>
      <c r="G10838" s="390"/>
      <c r="H10838" s="394"/>
    </row>
    <row r="10839" spans="1:8" ht="15.75" customHeight="1" x14ac:dyDescent="0.25">
      <c r="D10839" s="4"/>
      <c r="H10839" s="4"/>
    </row>
    <row r="10840" spans="1:8" ht="15.75" customHeight="1" x14ac:dyDescent="0.25">
      <c r="D10840" s="4"/>
      <c r="H10840" s="4"/>
    </row>
    <row r="10841" spans="1:8" ht="15.75" customHeight="1" x14ac:dyDescent="0.25">
      <c r="D10841" s="4"/>
      <c r="H10841" s="4"/>
    </row>
    <row r="10842" spans="1:8" ht="15.75" customHeight="1" x14ac:dyDescent="0.25">
      <c r="D10842" s="4"/>
      <c r="H10842" s="4"/>
    </row>
    <row r="10843" spans="1:8" ht="15.75" customHeight="1" x14ac:dyDescent="0.25">
      <c r="D10843" s="4"/>
      <c r="H10843" s="4"/>
    </row>
    <row r="10844" spans="1:8" ht="15.75" customHeight="1" x14ac:dyDescent="0.25">
      <c r="D10844" s="4"/>
      <c r="H10844" s="4"/>
    </row>
    <row r="10845" spans="1:8" ht="15.75" customHeight="1" x14ac:dyDescent="0.25">
      <c r="A10845" s="8" t="s">
        <v>14</v>
      </c>
      <c r="B10845" s="8"/>
      <c r="C10845" s="8"/>
      <c r="D10845" s="8"/>
      <c r="E10845" s="8"/>
      <c r="F10845" s="8"/>
      <c r="G10845" s="8"/>
      <c r="H10845" s="8"/>
    </row>
    <row r="10846" spans="1:8" ht="15.75" customHeight="1" x14ac:dyDescent="0.25">
      <c r="A10846" s="388"/>
      <c r="B10846" s="388"/>
      <c r="C10846" s="388"/>
      <c r="D10846" s="389"/>
      <c r="E10846" s="388"/>
      <c r="F10846" s="388"/>
      <c r="G10846" s="388"/>
      <c r="H10846" s="8"/>
    </row>
    <row r="10847" spans="1:8" ht="15.75" customHeight="1" x14ac:dyDescent="0.25">
      <c r="A10847" s="390"/>
      <c r="B10847" s="390"/>
      <c r="C10847" s="391"/>
      <c r="D10847" s="392"/>
      <c r="E10847" s="393"/>
      <c r="F10847" s="393"/>
      <c r="G10847" s="393"/>
      <c r="H10847" s="394"/>
    </row>
    <row r="10848" spans="1:8" ht="15.75" customHeight="1" x14ac:dyDescent="0.25">
      <c r="A10848" s="390"/>
      <c r="B10848" s="390"/>
      <c r="C10848" s="390"/>
      <c r="D10848" s="391"/>
      <c r="E10848" s="390"/>
      <c r="F10848" s="395" t="s">
        <v>18</v>
      </c>
      <c r="G10848" s="396" t="s">
        <v>1067</v>
      </c>
      <c r="H10848" s="397"/>
    </row>
    <row r="10849" spans="1:8" ht="15.75" customHeight="1" x14ac:dyDescent="0.25">
      <c r="A10849" s="390" t="s">
        <v>20</v>
      </c>
      <c r="B10849" s="390"/>
      <c r="C10849" s="390"/>
      <c r="D10849" s="391"/>
      <c r="E10849" s="390"/>
      <c r="F10849" s="395" t="s">
        <v>21</v>
      </c>
      <c r="G10849" s="390" t="s">
        <v>1966</v>
      </c>
      <c r="H10849" s="391"/>
    </row>
    <row r="10850" spans="1:8" ht="15.75" customHeight="1" x14ac:dyDescent="0.25">
      <c r="A10850" s="390" t="inlineStr">
        <is>
          <t>Dealer-004</t>
        </is>
      </c>
      <c r="B10850" s="390"/>
      <c r="C10850" s="390"/>
      <c r="D10850" s="398"/>
      <c r="E10850" s="390"/>
      <c r="F10850" s="391"/>
      <c r="G10850" s="390"/>
      <c r="H10850" s="394"/>
    </row>
    <row r="10851" spans="1:8" ht="15.75" customHeight="1" x14ac:dyDescent="0.25">
      <c r="A10851" s="390" t="inlineStr">
        <is>
          <t>Address line (redacted)</t>
        </is>
      </c>
      <c r="B10851" s="390"/>
      <c r="C10851" s="390"/>
      <c r="D10851" s="398"/>
      <c r="E10851" s="390"/>
      <c r="F10851" s="391"/>
      <c r="G10851" s="390"/>
      <c r="H10851" s="394"/>
    </row>
    <row r="10852" spans="1:8" ht="15.75" customHeight="1" x14ac:dyDescent="0.25">
      <c r="A10852" s="390" t="inlineStr">
        <is>
          <t>Address line (redacted)</t>
        </is>
      </c>
      <c r="B10852" s="390"/>
      <c r="C10852" s="390"/>
      <c r="D10852" s="391"/>
      <c r="E10852" s="390"/>
      <c r="F10852" s="391"/>
      <c r="G10852" s="390"/>
      <c r="H10852" s="394"/>
    </row>
    <row r="10853" spans="1:8" ht="15.75" customHeight="1" x14ac:dyDescent="0.25">
      <c r="A10853" s="390"/>
      <c r="B10853" s="390"/>
      <c r="C10853" s="390"/>
      <c r="D10853" s="391"/>
      <c r="E10853" s="390"/>
      <c r="F10853" s="391"/>
      <c r="G10853" s="390"/>
      <c r="H10853" s="394"/>
    </row>
    <row r="10854" spans="1:8" ht="15.75" customHeight="1" x14ac:dyDescent="0.25">
      <c r="A10854" s="390"/>
      <c r="B10854" s="390"/>
      <c r="C10854" s="390"/>
      <c r="D10854" s="391"/>
      <c r="E10854" s="390"/>
      <c r="F10854" s="391"/>
      <c r="G10854" s="390"/>
      <c r="H10854" s="394"/>
    </row>
    <row r="10855" spans="1:8" ht="15.75" customHeight="1" x14ac:dyDescent="0.25">
      <c r="A10855" s="390"/>
      <c r="B10855" s="390"/>
      <c r="C10855" s="390"/>
      <c r="D10855" s="391"/>
      <c r="E10855" s="390"/>
      <c r="F10855" s="391"/>
      <c r="G10855" s="390"/>
      <c r="H10855" s="394"/>
    </row>
    <row r="10856" spans="1:8" ht="15.75" customHeight="1" x14ac:dyDescent="0.25">
      <c r="A10856" s="390" t="s">
        <v>30</v>
      </c>
      <c r="B10856" s="390"/>
      <c r="C10856" s="390"/>
      <c r="D10856" s="391"/>
      <c r="E10856" s="390"/>
      <c r="F10856" s="391"/>
      <c r="G10856" s="390"/>
      <c r="H10856" s="394"/>
    </row>
    <row r="10857" spans="1:8" ht="15.75" customHeight="1" x14ac:dyDescent="0.25">
      <c r="A10857" s="390"/>
      <c r="B10857" s="390"/>
      <c r="C10857" s="390"/>
      <c r="D10857" s="391"/>
      <c r="E10857" s="390"/>
      <c r="F10857" s="391"/>
      <c r="G10857" s="390"/>
      <c r="H10857" s="394"/>
    </row>
    <row r="10858" spans="1:8" ht="15.75" customHeight="1" x14ac:dyDescent="0.25">
      <c r="A10858" s="390" t="s">
        <v>716</v>
      </c>
      <c r="B10858" s="390"/>
      <c r="C10858" s="390"/>
      <c r="D10858" s="391"/>
      <c r="E10858" s="390"/>
      <c r="F10858" s="391"/>
      <c r="G10858" s="390"/>
      <c r="H10858" s="394"/>
    </row>
    <row r="10859" spans="1:8" ht="15.75" customHeight="1" x14ac:dyDescent="0.25">
      <c r="A10859" s="390" t="s">
        <v>717</v>
      </c>
      <c r="B10859" s="390"/>
      <c r="C10859" s="390"/>
      <c r="D10859" s="391"/>
      <c r="E10859" s="390"/>
      <c r="F10859" s="391"/>
      <c r="G10859" s="390"/>
      <c r="H10859" s="394"/>
    </row>
    <row r="10860" spans="1:8" ht="15.75" customHeight="1" x14ac:dyDescent="0.25">
      <c r="A10860" s="390"/>
      <c r="B10860" s="390"/>
      <c r="C10860" s="390"/>
      <c r="D10860" s="391"/>
      <c r="E10860" s="390"/>
      <c r="F10860" s="391"/>
      <c r="G10860" s="390"/>
      <c r="H10860" s="394"/>
    </row>
    <row r="10861" spans="1:8" ht="15.75" customHeight="1" x14ac:dyDescent="0.25">
      <c r="A10861" s="871" t="s">
        <v>33</v>
      </c>
      <c r="B10861" s="872" t="s">
        <v>6</v>
      </c>
      <c r="C10861" s="872"/>
      <c r="D10861" s="873" t="s">
        <v>37</v>
      </c>
      <c r="E10861" s="874" t="s">
        <v>38</v>
      </c>
      <c r="F10861" s="875" t="s">
        <v>7</v>
      </c>
      <c r="G10861" s="872" t="s">
        <v>43</v>
      </c>
      <c r="H10861" s="876" t="s">
        <v>44</v>
      </c>
    </row>
    <row r="10862" spans="1:8" ht="15.75" customHeight="1" x14ac:dyDescent="0.25">
      <c r="A10862" s="877"/>
      <c r="B10862" s="578"/>
      <c r="C10862" s="627"/>
      <c r="D10862" s="578"/>
      <c r="E10862" s="578"/>
      <c r="F10862" s="878"/>
      <c r="G10862" s="578"/>
      <c r="H10862" s="416"/>
    </row>
    <row r="10863" spans="1:8" ht="15.75" customHeight="1" x14ac:dyDescent="0.25">
      <c r="A10863" s="412"/>
      <c r="B10863" s="422" t="s">
        <v>1754</v>
      </c>
      <c r="C10863" s="422"/>
      <c r="D10863" s="879"/>
      <c r="E10863" s="10"/>
      <c r="F10863" s="415"/>
      <c r="G10863" s="415"/>
      <c r="H10863" s="416"/>
    </row>
    <row r="10864" spans="1:8" ht="15.75" customHeight="1" x14ac:dyDescent="0.25">
      <c r="A10864" s="412">
        <v>1</v>
      </c>
      <c r="B10864" s="10" t="s">
        <v>1851</v>
      </c>
      <c r="C10864" s="422"/>
      <c r="D10864" s="879">
        <v>5</v>
      </c>
      <c r="E10864" s="10">
        <v>10</v>
      </c>
      <c r="F10864" s="415">
        <f t="shared" ref="F10864:F10865" si="372">+E10864*D10864</f>
      </c>
      <c r="G10864" s="415">
        <v>1</v>
      </c>
      <c r="H10864" s="416">
        <f t="shared" ref="H10864:H10865" si="373">+G10864*F10864</f>
      </c>
    </row>
    <row r="10865" spans="1:8" ht="15.75" customHeight="1" x14ac:dyDescent="0.25">
      <c r="A10865" s="412">
        <v>2</v>
      </c>
      <c r="B10865" s="10" t="s">
        <v>1851</v>
      </c>
      <c r="C10865" s="422"/>
      <c r="D10865" s="929">
        <v>1</v>
      </c>
      <c r="E10865" s="10">
        <v>7</v>
      </c>
      <c r="F10865" s="415">
        <f t="shared" si="372"/>
      </c>
      <c r="G10865" s="415">
        <v>1</v>
      </c>
      <c r="H10865" s="416">
        <f t="shared" si="373"/>
      </c>
    </row>
    <row r="10866" spans="1:8" ht="15.75" customHeight="1" x14ac:dyDescent="0.25">
      <c r="A10866" s="412">
        <v>3</v>
      </c>
      <c r="B10866" s="10" t="s">
        <v>1851</v>
      </c>
      <c r="C10866" s="422" t="s">
        <v>1965</v>
      </c>
      <c r="D10866" s="930"/>
      <c r="E10866" s="10">
        <v>3</v>
      </c>
      <c r="F10866" s="415">
        <v>3</v>
      </c>
      <c r="G10866" s="619" t="s">
        <v>1856</v>
      </c>
      <c r="H10866" s="416"/>
    </row>
    <row r="10867" spans="1:8" ht="15.75" customHeight="1" x14ac:dyDescent="0.25">
      <c r="A10867" s="412"/>
      <c r="B10867" s="417"/>
      <c r="C10867" s="418"/>
      <c r="D10867" s="415"/>
      <c r="E10867" s="415"/>
      <c r="F10867" s="415"/>
      <c r="G10867" s="415"/>
      <c r="H10867" s="416"/>
    </row>
    <row r="10868" spans="1:8" ht="15.75" customHeight="1" x14ac:dyDescent="0.25">
      <c r="A10868" s="412"/>
      <c r="B10868" s="417"/>
      <c r="C10868" s="418"/>
      <c r="D10868" s="415"/>
      <c r="E10868" s="415"/>
      <c r="F10868" s="415"/>
      <c r="G10868" s="415"/>
      <c r="H10868" s="416"/>
    </row>
    <row r="10869" spans="1:8" ht="15.75" customHeight="1" x14ac:dyDescent="0.25">
      <c r="A10869" s="412"/>
      <c r="B10869" s="419"/>
      <c r="C10869" s="418"/>
      <c r="D10869" s="415"/>
      <c r="E10869" s="415"/>
      <c r="F10869" s="415"/>
      <c r="G10869" s="415"/>
      <c r="H10869" s="416"/>
    </row>
    <row r="10870" spans="1:8" ht="15.75" customHeight="1" x14ac:dyDescent="0.25">
      <c r="A10870" s="894"/>
      <c r="B10870" s="878"/>
      <c r="C10870" s="895"/>
      <c r="D10870" s="593"/>
      <c r="E10870" s="593"/>
      <c r="F10870" s="593"/>
      <c r="G10870" s="593"/>
      <c r="H10870" s="931"/>
    </row>
    <row r="10871" spans="1:8" ht="15.75" customHeight="1" x14ac:dyDescent="0.25">
      <c r="A10871" s="877"/>
      <c r="B10871" s="688"/>
      <c r="C10871" s="896" t="s">
        <v>85</v>
      </c>
      <c r="D10871" s="401">
        <f>SUM(D10864:D10870)</f>
      </c>
      <c r="E10871" s="401"/>
      <c r="F10871" s="401">
        <f>SUM(F10864:F10870)</f>
      </c>
      <c r="G10871" s="661"/>
      <c r="H10871" s="438">
        <f>SUM(H10864:H10870)</f>
      </c>
    </row>
    <row r="10872" spans="1:8" ht="15.75" customHeight="1" x14ac:dyDescent="0.25">
      <c r="A10872" s="932"/>
      <c r="B10872" s="933"/>
      <c r="C10872" s="934"/>
      <c r="D10872" s="431"/>
      <c r="E10872" s="935"/>
      <c r="F10872" s="935"/>
      <c r="G10872" s="936"/>
      <c r="H10872" s="444"/>
    </row>
    <row r="10873" spans="1:8" ht="15.75" customHeight="1" x14ac:dyDescent="0.25">
      <c r="A10873" s="392" t="s">
        <v>913</v>
      </c>
      <c r="B10873" s="391"/>
      <c r="C10873" s="391"/>
      <c r="D10873" s="391"/>
      <c r="E10873" s="390"/>
      <c r="F10873" s="392"/>
      <c r="G10873" s="390"/>
      <c r="H10873" s="394"/>
    </row>
    <row r="10874" spans="1:8" ht="15.75" customHeight="1" x14ac:dyDescent="0.25">
      <c r="A10874" s="445"/>
      <c r="B10874" s="445"/>
      <c r="C10874" s="445"/>
      <c r="D10874" s="446" t="s">
        <v>97</v>
      </c>
      <c r="E10874" s="445" t="s">
        <v>98</v>
      </c>
      <c r="F10874" s="445"/>
      <c r="G10874" s="390"/>
      <c r="H10874" s="394"/>
    </row>
    <row r="10875" spans="1:8" ht="15.75" customHeight="1" x14ac:dyDescent="0.25">
      <c r="A10875" s="390"/>
      <c r="B10875" s="390"/>
      <c r="C10875" s="390"/>
      <c r="D10875" s="391"/>
      <c r="E10875" s="390"/>
      <c r="F10875" s="390"/>
      <c r="G10875" s="390"/>
      <c r="H10875" s="394"/>
    </row>
    <row r="10876" spans="1:8" ht="15.75" customHeight="1" x14ac:dyDescent="0.25">
      <c r="A10876" s="390"/>
      <c r="B10876" s="390"/>
      <c r="C10876" s="390"/>
      <c r="D10876" s="391"/>
      <c r="E10876" s="390"/>
      <c r="F10876" s="390"/>
      <c r="G10876" s="390"/>
      <c r="H10876" s="394"/>
    </row>
    <row r="10877" spans="1:8" ht="15.75" customHeight="1" x14ac:dyDescent="0.25">
      <c r="A10877" s="445"/>
      <c r="B10877" s="445"/>
      <c r="C10877" s="445"/>
      <c r="D10877" s="446"/>
      <c r="E10877" s="445" t="s">
        <v>99</v>
      </c>
      <c r="F10877" s="445"/>
      <c r="G10877" s="390"/>
      <c r="H10877" s="394"/>
    </row>
    <row r="10878" spans="1:8" ht="15.75" customHeight="1" x14ac:dyDescent="0.25">
      <c r="D10878" s="4"/>
      <c r="H10878" s="4"/>
    </row>
    <row r="10879" spans="1:8" ht="15.75" customHeight="1" x14ac:dyDescent="0.25">
      <c r="D10879" s="4"/>
      <c r="H10879" s="4"/>
    </row>
    <row r="10880" spans="1:8" ht="15.75" customHeight="1" x14ac:dyDescent="0.25">
      <c r="D10880" s="4"/>
      <c r="H10880" s="4"/>
    </row>
    <row r="10881" spans="1:8" ht="15.75" customHeight="1" x14ac:dyDescent="0.25">
      <c r="D10881" s="4"/>
      <c r="H10881" s="4"/>
    </row>
    <row r="10882" spans="1:8" ht="15.75" customHeight="1" x14ac:dyDescent="0.25">
      <c r="D10882" s="4"/>
      <c r="H10882" s="4"/>
    </row>
    <row r="10883" spans="1:8" ht="15.75" customHeight="1" x14ac:dyDescent="0.25">
      <c r="D10883" s="4"/>
      <c r="H10883" s="4"/>
    </row>
    <row r="10884" spans="1:8" ht="15.75" customHeight="1" x14ac:dyDescent="0.25">
      <c r="D10884" s="4"/>
      <c r="H10884" s="4"/>
    </row>
    <row r="10885" spans="1:8" ht="15.75" customHeight="1" x14ac:dyDescent="0.25">
      <c r="D10885" s="4"/>
      <c r="H10885" s="4"/>
    </row>
    <row r="10886" spans="1:8" ht="15.75" customHeight="1" x14ac:dyDescent="0.25">
      <c r="D10886" s="4"/>
      <c r="H10886" s="4"/>
    </row>
    <row r="10887" spans="1:8" ht="15.75" customHeight="1" x14ac:dyDescent="0.25">
      <c r="D10887" s="4"/>
      <c r="H10887" s="4"/>
    </row>
    <row r="10888" spans="1:8" ht="15.75" customHeight="1" x14ac:dyDescent="0.25">
      <c r="D10888" s="4"/>
      <c r="H10888" s="4"/>
    </row>
    <row r="10889" spans="1:8" ht="15.75" customHeight="1" x14ac:dyDescent="0.25">
      <c r="D10889" s="4"/>
      <c r="H10889" s="4"/>
    </row>
    <row r="10890" spans="1:8" ht="15.75" customHeight="1" x14ac:dyDescent="0.25">
      <c r="D10890" s="4"/>
      <c r="H10890" s="4"/>
    </row>
    <row r="10891" spans="1:8" ht="15.75" customHeight="1" x14ac:dyDescent="0.25">
      <c r="A10891" s="8" t="s">
        <v>14</v>
      </c>
      <c r="B10891" s="8"/>
      <c r="C10891" s="8"/>
      <c r="D10891" s="8"/>
      <c r="E10891" s="8"/>
      <c r="F10891" s="8"/>
      <c r="G10891" s="8"/>
      <c r="H10891" s="8"/>
    </row>
    <row r="10892" spans="1:8" ht="15.75" customHeight="1" x14ac:dyDescent="0.25">
      <c r="A10892" s="388"/>
      <c r="B10892" s="388"/>
      <c r="C10892" s="388"/>
      <c r="D10892" s="389"/>
      <c r="E10892" s="388"/>
      <c r="F10892" s="388"/>
      <c r="G10892" s="388"/>
      <c r="H10892" s="8"/>
    </row>
    <row r="10893" spans="1:8" ht="15.75" customHeight="1" x14ac:dyDescent="0.25">
      <c r="A10893" s="390"/>
      <c r="B10893" s="390"/>
      <c r="C10893" s="391"/>
      <c r="D10893" s="392"/>
      <c r="E10893" s="393"/>
      <c r="F10893" s="393"/>
      <c r="G10893" s="393"/>
      <c r="H10893" s="394"/>
    </row>
    <row r="10894" spans="1:8" ht="15.75" customHeight="1" x14ac:dyDescent="0.25">
      <c r="A10894" s="390"/>
      <c r="B10894" s="390"/>
      <c r="C10894" s="390"/>
      <c r="D10894" s="391"/>
      <c r="E10894" s="390"/>
      <c r="F10894" s="395" t="s">
        <v>18</v>
      </c>
      <c r="G10894" s="396" t="s">
        <v>1072</v>
      </c>
      <c r="H10894" s="397"/>
    </row>
    <row r="10895" spans="1:8" ht="15.75" customHeight="1" x14ac:dyDescent="0.25">
      <c r="A10895" s="390" t="s">
        <v>20</v>
      </c>
      <c r="B10895" s="390"/>
      <c r="C10895" s="390"/>
      <c r="D10895" s="391"/>
      <c r="E10895" s="390"/>
      <c r="F10895" s="395" t="s">
        <v>21</v>
      </c>
      <c r="G10895" s="390" t="s">
        <v>1967</v>
      </c>
      <c r="H10895" s="391"/>
    </row>
    <row r="10896" spans="1:8" ht="15.75" customHeight="1" x14ac:dyDescent="0.25">
      <c r="A10896" s="390" t="inlineStr">
        <is>
          <t>Dealer-004</t>
        </is>
      </c>
      <c r="B10896" s="390"/>
      <c r="C10896" s="390"/>
      <c r="D10896" s="398"/>
      <c r="E10896" s="390"/>
      <c r="F10896" s="391"/>
      <c r="G10896" s="390"/>
      <c r="H10896" s="394"/>
    </row>
    <row r="10897" spans="1:8" ht="15.75" customHeight="1" x14ac:dyDescent="0.25">
      <c r="A10897" s="390" t="inlineStr">
        <is>
          <t>Address line (redacted)</t>
        </is>
      </c>
      <c r="B10897" s="390"/>
      <c r="C10897" s="390"/>
      <c r="D10897" s="398"/>
      <c r="E10897" s="390"/>
      <c r="F10897" s="391"/>
      <c r="G10897" s="390"/>
      <c r="H10897" s="394"/>
    </row>
    <row r="10898" spans="1:8" ht="15.75" customHeight="1" x14ac:dyDescent="0.25">
      <c r="A10898" s="390" t="inlineStr">
        <is>
          <t>Address line (redacted)</t>
        </is>
      </c>
      <c r="B10898" s="390"/>
      <c r="C10898" s="390"/>
      <c r="D10898" s="391"/>
      <c r="E10898" s="390"/>
      <c r="F10898" s="391"/>
      <c r="G10898" s="390"/>
      <c r="H10898" s="394"/>
    </row>
    <row r="10899" spans="1:8" ht="15.75" customHeight="1" x14ac:dyDescent="0.25">
      <c r="A10899" s="390"/>
      <c r="B10899" s="390"/>
      <c r="C10899" s="390"/>
      <c r="D10899" s="391"/>
      <c r="E10899" s="390"/>
      <c r="F10899" s="391"/>
      <c r="G10899" s="390"/>
      <c r="H10899" s="394"/>
    </row>
    <row r="10900" spans="1:8" ht="15.75" customHeight="1" x14ac:dyDescent="0.25">
      <c r="A10900" s="390"/>
      <c r="B10900" s="390"/>
      <c r="C10900" s="390"/>
      <c r="D10900" s="391"/>
      <c r="E10900" s="390"/>
      <c r="F10900" s="391"/>
      <c r="G10900" s="390"/>
      <c r="H10900" s="394"/>
    </row>
    <row r="10901" spans="1:8" ht="15.75" customHeight="1" x14ac:dyDescent="0.25">
      <c r="A10901" s="390"/>
      <c r="B10901" s="390"/>
      <c r="C10901" s="390"/>
      <c r="D10901" s="391"/>
      <c r="E10901" s="390"/>
      <c r="F10901" s="391"/>
      <c r="G10901" s="390"/>
      <c r="H10901" s="394"/>
    </row>
    <row r="10902" spans="1:8" ht="15.75" customHeight="1" x14ac:dyDescent="0.25">
      <c r="A10902" s="390" t="s">
        <v>30</v>
      </c>
      <c r="B10902" s="390"/>
      <c r="C10902" s="390"/>
      <c r="D10902" s="391"/>
      <c r="E10902" s="390"/>
      <c r="F10902" s="391"/>
      <c r="G10902" s="390"/>
      <c r="H10902" s="394"/>
    </row>
    <row r="10903" spans="1:8" ht="15.75" customHeight="1" x14ac:dyDescent="0.25">
      <c r="A10903" s="390"/>
      <c r="B10903" s="390"/>
      <c r="C10903" s="390"/>
      <c r="D10903" s="391"/>
      <c r="E10903" s="390"/>
      <c r="F10903" s="391"/>
      <c r="G10903" s="390"/>
      <c r="H10903" s="394"/>
    </row>
    <row r="10904" spans="1:8" ht="15.75" customHeight="1" x14ac:dyDescent="0.25">
      <c r="A10904" s="390" t="s">
        <v>716</v>
      </c>
      <c r="B10904" s="390"/>
      <c r="C10904" s="390"/>
      <c r="D10904" s="391"/>
      <c r="E10904" s="390"/>
      <c r="F10904" s="391"/>
      <c r="G10904" s="390"/>
      <c r="H10904" s="394"/>
    </row>
    <row r="10905" spans="1:8" ht="15.75" customHeight="1" x14ac:dyDescent="0.25">
      <c r="A10905" s="390" t="s">
        <v>717</v>
      </c>
      <c r="B10905" s="390"/>
      <c r="C10905" s="390"/>
      <c r="D10905" s="391"/>
      <c r="E10905" s="390"/>
      <c r="F10905" s="391"/>
      <c r="G10905" s="390"/>
      <c r="H10905" s="394"/>
    </row>
    <row r="10906" spans="1:8" ht="15.75" customHeight="1" x14ac:dyDescent="0.25">
      <c r="A10906" s="390"/>
      <c r="B10906" s="390"/>
      <c r="C10906" s="390"/>
      <c r="D10906" s="391"/>
      <c r="E10906" s="390"/>
      <c r="F10906" s="391"/>
      <c r="G10906" s="390"/>
      <c r="H10906" s="394"/>
    </row>
    <row r="10907" spans="1:8" ht="15.75" customHeight="1" x14ac:dyDescent="0.25">
      <c r="A10907" s="871" t="s">
        <v>33</v>
      </c>
      <c r="B10907" s="872" t="s">
        <v>6</v>
      </c>
      <c r="C10907" s="872"/>
      <c r="D10907" s="873" t="s">
        <v>37</v>
      </c>
      <c r="E10907" s="874" t="s">
        <v>38</v>
      </c>
      <c r="F10907" s="875" t="s">
        <v>7</v>
      </c>
      <c r="G10907" s="872" t="s">
        <v>43</v>
      </c>
      <c r="H10907" s="876" t="s">
        <v>44</v>
      </c>
    </row>
    <row r="10908" spans="1:8" ht="15.75" customHeight="1" x14ac:dyDescent="0.25">
      <c r="A10908" s="877"/>
      <c r="B10908" s="578"/>
      <c r="C10908" s="627"/>
      <c r="D10908" s="578"/>
      <c r="E10908" s="578"/>
      <c r="F10908" s="878"/>
      <c r="G10908" s="578"/>
      <c r="H10908" s="416"/>
    </row>
    <row r="10909" spans="1:8" ht="15.75" customHeight="1" x14ac:dyDescent="0.25">
      <c r="A10909" s="412"/>
      <c r="B10909" s="422" t="s">
        <v>674</v>
      </c>
      <c r="C10909" s="422"/>
      <c r="D10909" s="879"/>
      <c r="E10909" s="10"/>
      <c r="F10909" s="415"/>
      <c r="G10909" s="415"/>
      <c r="H10909" s="416"/>
    </row>
    <row r="10910" spans="1:8" ht="15.75" customHeight="1" x14ac:dyDescent="0.25">
      <c r="A10910" s="412">
        <v>1</v>
      </c>
      <c r="B10910" s="10" t="s">
        <v>1942</v>
      </c>
      <c r="C10910" s="422"/>
      <c r="D10910" s="879">
        <v>50</v>
      </c>
      <c r="E10910" s="879">
        <v>1</v>
      </c>
      <c r="F10910" s="415">
        <f t="shared" ref="F10910:F10911" si="374">+E10910*D10910</f>
      </c>
      <c r="G10910" s="415">
        <v>1</v>
      </c>
      <c r="H10910" s="416">
        <f>+G10910*F10910</f>
      </c>
    </row>
    <row r="10911" spans="1:8" ht="15.75" customHeight="1" x14ac:dyDescent="0.25">
      <c r="A10911" s="412">
        <v>2</v>
      </c>
      <c r="B10911" s="10" t="s">
        <v>1942</v>
      </c>
      <c r="C10911" s="422"/>
      <c r="D10911" s="930">
        <v>5</v>
      </c>
      <c r="E10911" s="879">
        <v>1</v>
      </c>
      <c r="F10911" s="415">
        <f t="shared" si="374"/>
      </c>
      <c r="G10911" s="619" t="s">
        <v>1856</v>
      </c>
      <c r="H10911" s="416"/>
    </row>
    <row r="10912" spans="1:8" ht="15.75" customHeight="1" x14ac:dyDescent="0.25">
      <c r="A10912" s="412" t="s">
        <v>67</v>
      </c>
      <c r="B10912" s="10" t="s">
        <v>1942</v>
      </c>
      <c r="C10912" s="418"/>
      <c r="D10912" s="592">
        <v>6</v>
      </c>
      <c r="E10912" s="415">
        <v>1</v>
      </c>
      <c r="F10912" s="415">
        <v>5.4545000000000003</v>
      </c>
      <c r="G10912" s="415">
        <v>1</v>
      </c>
      <c r="H10912" s="416">
        <f>+G10912*F10912</f>
      </c>
    </row>
    <row r="10913" spans="1:8" ht="15.75" customHeight="1" x14ac:dyDescent="0.25">
      <c r="A10913" s="412" t="s">
        <v>485</v>
      </c>
      <c r="B10913" s="10" t="s">
        <v>1942</v>
      </c>
      <c r="C10913" s="422"/>
      <c r="D10913" s="626"/>
      <c r="E10913" s="879"/>
      <c r="F10913" s="593">
        <v>0.54549999999999998</v>
      </c>
      <c r="G10913" s="619" t="s">
        <v>1856</v>
      </c>
      <c r="H10913" s="416"/>
    </row>
    <row r="10914" spans="1:8" ht="15.75" customHeight="1" x14ac:dyDescent="0.25">
      <c r="A10914" s="412"/>
      <c r="B10914" s="422" t="s">
        <v>1102</v>
      </c>
      <c r="C10914" s="422"/>
      <c r="D10914" s="626"/>
      <c r="E10914" s="879"/>
      <c r="F10914" s="593"/>
      <c r="G10914" s="415"/>
      <c r="H10914" s="416"/>
    </row>
    <row r="10915" spans="1:8" ht="15.75" customHeight="1" x14ac:dyDescent="0.25">
      <c r="A10915" s="412" t="s">
        <v>486</v>
      </c>
      <c r="B10915" s="10" t="s">
        <v>315</v>
      </c>
      <c r="C10915" s="422" t="s">
        <v>298</v>
      </c>
      <c r="D10915" s="626">
        <v>3</v>
      </c>
      <c r="E10915" s="879">
        <v>5</v>
      </c>
      <c r="F10915" s="593">
        <f>+E10915*D10915</f>
      </c>
      <c r="G10915" s="415">
        <v>1</v>
      </c>
      <c r="H10915" s="416">
        <f t="shared" ref="H10915:H10916" si="375">+G10915*F10915</f>
      </c>
    </row>
    <row r="10916" spans="1:8" ht="15.75" customHeight="1" x14ac:dyDescent="0.25">
      <c r="A10916" s="412" t="s">
        <v>489</v>
      </c>
      <c r="B10916" s="10" t="s">
        <v>315</v>
      </c>
      <c r="C10916" s="422" t="s">
        <v>298</v>
      </c>
      <c r="D10916" s="592">
        <v>1</v>
      </c>
      <c r="E10916" s="879">
        <v>5</v>
      </c>
      <c r="F10916" s="593">
        <v>4</v>
      </c>
      <c r="G10916" s="415">
        <v>1</v>
      </c>
      <c r="H10916" s="416">
        <f t="shared" si="375"/>
      </c>
    </row>
    <row r="10917" spans="1:8" ht="15.75" customHeight="1" x14ac:dyDescent="0.25">
      <c r="A10917" s="412" t="s">
        <v>490</v>
      </c>
      <c r="B10917" s="10" t="s">
        <v>315</v>
      </c>
      <c r="C10917" s="422" t="s">
        <v>298</v>
      </c>
      <c r="D10917" s="626"/>
      <c r="E10917" s="879"/>
      <c r="F10917" s="593">
        <v>1</v>
      </c>
      <c r="G10917" s="619" t="s">
        <v>1856</v>
      </c>
      <c r="H10917" s="416"/>
    </row>
    <row r="10918" spans="1:8" ht="15.75" customHeight="1" x14ac:dyDescent="0.25">
      <c r="A10918" s="412"/>
      <c r="B10918" s="937" t="s">
        <v>2284</v>
      </c>
      <c r="C10918" s="883"/>
      <c r="D10918" s="938"/>
      <c r="E10918" s="939"/>
      <c r="F10918" s="940"/>
      <c r="G10918" s="619"/>
      <c r="H10918" s="416"/>
    </row>
    <row r="10919" spans="1:8" ht="15.75" customHeight="1" x14ac:dyDescent="0.25">
      <c r="A10919" s="412"/>
      <c r="B10919" s="419"/>
      <c r="C10919" s="418"/>
      <c r="D10919" s="415"/>
      <c r="E10919" s="415"/>
      <c r="F10919" s="415"/>
      <c r="G10919" s="415"/>
      <c r="H10919" s="416"/>
    </row>
    <row r="10920" spans="1:8" ht="15.75" customHeight="1" x14ac:dyDescent="0.25">
      <c r="A10920" s="894"/>
      <c r="B10920" s="878"/>
      <c r="C10920" s="895"/>
      <c r="D10920" s="593"/>
      <c r="E10920" s="593"/>
      <c r="F10920" s="593"/>
      <c r="G10920" s="593"/>
      <c r="H10920" s="931"/>
    </row>
    <row r="10921" spans="1:8" ht="15.75" customHeight="1" x14ac:dyDescent="0.25">
      <c r="A10921" s="877"/>
      <c r="B10921" s="688"/>
      <c r="C10921" s="896" t="s">
        <v>85</v>
      </c>
      <c r="D10921" s="401">
        <f>SUM(D10910:D10920)</f>
      </c>
      <c r="E10921" s="401"/>
      <c r="F10921" s="401">
        <f>SUM(F10910:F10920)</f>
      </c>
      <c r="G10921" s="661"/>
      <c r="H10921" s="438">
        <f>SUM(H10910:H10920)</f>
      </c>
    </row>
    <row r="10922" spans="1:8" ht="15.75" customHeight="1" x14ac:dyDescent="0.25">
      <c r="A10922" s="932"/>
      <c r="B10922" s="933"/>
      <c r="C10922" s="934"/>
      <c r="D10922" s="431"/>
      <c r="E10922" s="935"/>
      <c r="F10922" s="935"/>
      <c r="G10922" s="936"/>
      <c r="H10922" s="444"/>
    </row>
    <row r="10923" spans="1:8" ht="15.75" customHeight="1" x14ac:dyDescent="0.25">
      <c r="A10923" s="392" t="s">
        <v>913</v>
      </c>
      <c r="B10923" s="391"/>
      <c r="C10923" s="391"/>
      <c r="D10923" s="391"/>
      <c r="E10923" s="390"/>
      <c r="F10923" s="392"/>
      <c r="G10923" s="390"/>
      <c r="H10923" s="394"/>
    </row>
    <row r="10924" spans="1:8" ht="15.75" customHeight="1" x14ac:dyDescent="0.25">
      <c r="A10924" s="445"/>
      <c r="B10924" s="445"/>
      <c r="C10924" s="445"/>
      <c r="D10924" s="446" t="s">
        <v>97</v>
      </c>
      <c r="E10924" s="445" t="s">
        <v>98</v>
      </c>
      <c r="F10924" s="445"/>
      <c r="G10924" s="390"/>
      <c r="H10924" s="394"/>
    </row>
    <row r="10925" spans="1:8" ht="15.75" customHeight="1" x14ac:dyDescent="0.25">
      <c r="A10925" s="390"/>
      <c r="B10925" s="390"/>
      <c r="C10925" s="390"/>
      <c r="D10925" s="391"/>
      <c r="E10925" s="390"/>
      <c r="F10925" s="390"/>
      <c r="G10925" s="390"/>
      <c r="H10925" s="394"/>
    </row>
    <row r="10926" spans="1:8" ht="15.75" customHeight="1" x14ac:dyDescent="0.25">
      <c r="A10926" s="390"/>
      <c r="B10926" s="390"/>
      <c r="C10926" s="390"/>
      <c r="D10926" s="391"/>
      <c r="E10926" s="390"/>
      <c r="F10926" s="390"/>
      <c r="G10926" s="390"/>
      <c r="H10926" s="394"/>
    </row>
    <row r="10927" spans="1:8" ht="15.75" customHeight="1" x14ac:dyDescent="0.25">
      <c r="A10927" s="445"/>
      <c r="B10927" s="445"/>
      <c r="C10927" s="445"/>
      <c r="D10927" s="446"/>
      <c r="E10927" s="445" t="s">
        <v>99</v>
      </c>
      <c r="F10927" s="445"/>
      <c r="G10927" s="390"/>
      <c r="H10927" s="394"/>
    </row>
    <row r="10928" spans="1:8" ht="15.75" customHeight="1" x14ac:dyDescent="0.25">
      <c r="D10928" s="4"/>
      <c r="H10928" s="4"/>
    </row>
    <row r="10929" spans="1:8" ht="15.75" customHeight="1" x14ac:dyDescent="0.25">
      <c r="D10929" s="4"/>
      <c r="H10929" s="4"/>
    </row>
    <row r="10930" spans="1:8" ht="15.75" customHeight="1" x14ac:dyDescent="0.25">
      <c r="D10930" s="4"/>
      <c r="H10930" s="4"/>
    </row>
    <row r="10931" spans="1:8" ht="15.75" customHeight="1" x14ac:dyDescent="0.25">
      <c r="D10931" s="4"/>
      <c r="H10931" s="4"/>
    </row>
    <row r="10932" spans="1:8" ht="15.75" customHeight="1" x14ac:dyDescent="0.25">
      <c r="D10932" s="4"/>
      <c r="H10932" s="4"/>
    </row>
    <row r="10933" spans="1:8" ht="15.75" customHeight="1" x14ac:dyDescent="0.25">
      <c r="D10933" s="4"/>
      <c r="H10933" s="4"/>
    </row>
    <row r="10934" spans="1:8" ht="15.75" customHeight="1" x14ac:dyDescent="0.25">
      <c r="D10934" s="4"/>
      <c r="H10934" s="4"/>
    </row>
    <row r="10935" spans="1:8" ht="15.75" customHeight="1" x14ac:dyDescent="0.25">
      <c r="D10935" s="4"/>
      <c r="H10935" s="4"/>
    </row>
    <row r="10936" spans="1:8" ht="15.75" customHeight="1" x14ac:dyDescent="0.25">
      <c r="D10936" s="4"/>
      <c r="H10936" s="4"/>
    </row>
    <row r="10937" spans="1:8" ht="15.75" customHeight="1" x14ac:dyDescent="0.25">
      <c r="A10937" s="392" t="s">
        <v>14</v>
      </c>
      <c r="B10937" s="392"/>
      <c r="C10937" s="392"/>
      <c r="D10937" s="392"/>
      <c r="E10937" s="392"/>
      <c r="F10937" s="392"/>
      <c r="G10937" s="392"/>
      <c r="H10937" s="392"/>
    </row>
    <row r="10938" spans="1:8" ht="15.75" customHeight="1" x14ac:dyDescent="0.25">
      <c r="A10938" s="392"/>
      <c r="B10938" s="391"/>
      <c r="C10938" s="391"/>
      <c r="D10938" s="391"/>
      <c r="E10938" s="390"/>
      <c r="F10938" s="392"/>
      <c r="G10938" s="390"/>
      <c r="H10938" s="394"/>
    </row>
    <row r="10939" spans="1:8" ht="15.75" customHeight="1" x14ac:dyDescent="0.25">
      <c r="A10939" s="392"/>
      <c r="B10939" s="391"/>
      <c r="C10939" s="391"/>
      <c r="D10939" s="391"/>
      <c r="E10939" s="390"/>
      <c r="F10939" s="392"/>
      <c r="G10939" s="390"/>
      <c r="H10939" s="394"/>
    </row>
    <row r="10940" spans="1:8" ht="15.75" customHeight="1" x14ac:dyDescent="0.25">
      <c r="A10940" s="390" t="s">
        <v>20</v>
      </c>
      <c r="B10940" s="390"/>
      <c r="C10940" s="390"/>
      <c r="D10940" s="391"/>
      <c r="E10940" s="390"/>
      <c r="F10940" s="392"/>
      <c r="G10940" s="390"/>
      <c r="H10940" s="394"/>
    </row>
    <row r="10941" spans="1:8" ht="15.75" customHeight="1" x14ac:dyDescent="0.3">
      <c r="A10941" s="390" t="inlineStr">
        <is>
          <t>Dealer-003</t>
        </is>
      </c>
      <c r="B10941" s="390"/>
      <c r="C10941" s="390"/>
      <c r="D10941" s="391"/>
      <c r="E10941" s="390"/>
      <c r="F10941" s="395" t="s">
        <v>18</v>
      </c>
      <c r="G10941" s="23" t="s">
        <v>1072</v>
      </c>
      <c r="H10941" s="394"/>
    </row>
    <row r="10942" spans="1:8" ht="15.75" customHeight="1" x14ac:dyDescent="0.25">
      <c r="A10942" s="390" t="inlineStr">
        <is>
          <t>Address line (redacted)</t>
        </is>
      </c>
      <c r="B10942" s="390"/>
      <c r="C10942" s="390"/>
      <c r="D10942" s="391"/>
      <c r="E10942" s="390"/>
      <c r="F10942" s="393" t="s">
        <v>21</v>
      </c>
      <c r="G10942" s="390" t="s">
        <v>1970</v>
      </c>
      <c r="H10942" s="394"/>
    </row>
    <row r="10943" spans="1:8" ht="15.75" customHeight="1" x14ac:dyDescent="0.25">
      <c r="A10943" s="390" t="inlineStr">
        <is>
          <t>Address line (redacted)</t>
        </is>
      </c>
      <c r="B10943" s="390"/>
      <c r="C10943" s="390"/>
      <c r="D10943" s="391"/>
      <c r="E10943" s="390"/>
      <c r="F10943" s="391"/>
      <c r="G10943" s="390"/>
      <c r="H10943" s="394"/>
    </row>
    <row r="10944" spans="1:8" ht="15.75" customHeight="1" x14ac:dyDescent="0.25">
      <c r="A10944" s="390"/>
      <c r="B10944" s="390"/>
      <c r="C10944" s="393"/>
      <c r="D10944" s="391"/>
      <c r="E10944" s="390"/>
      <c r="F10944" s="391"/>
      <c r="G10944" s="390"/>
      <c r="H10944" s="394"/>
    </row>
    <row r="10945" spans="1:8" ht="15.75" customHeight="1" x14ac:dyDescent="0.25">
      <c r="A10945" s="390"/>
      <c r="B10945" s="390"/>
      <c r="C10945" s="390"/>
      <c r="D10945" s="391"/>
      <c r="E10945" s="390"/>
      <c r="F10945" s="391"/>
      <c r="G10945" s="390"/>
      <c r="H10945" s="394"/>
    </row>
    <row r="10946" spans="1:8" ht="15.75" customHeight="1" x14ac:dyDescent="0.25">
      <c r="A10946" s="390" t="s">
        <v>30</v>
      </c>
      <c r="B10946" s="390"/>
      <c r="C10946" s="390"/>
      <c r="D10946" s="391"/>
      <c r="E10946" s="390"/>
      <c r="F10946" s="391"/>
      <c r="G10946" s="390"/>
      <c r="H10946" s="394"/>
    </row>
    <row r="10947" spans="1:8" ht="15.75" customHeight="1" x14ac:dyDescent="0.25">
      <c r="A10947" s="390"/>
      <c r="B10947" s="390"/>
      <c r="C10947" s="390"/>
      <c r="D10947" s="391"/>
      <c r="E10947" s="390"/>
      <c r="F10947" s="391"/>
      <c r="G10947" s="390"/>
      <c r="H10947" s="394"/>
    </row>
    <row r="10948" spans="1:8" ht="15.75" customHeight="1" x14ac:dyDescent="0.25">
      <c r="A10948" s="390" t="s">
        <v>1322</v>
      </c>
      <c r="B10948" s="390"/>
      <c r="C10948" s="390"/>
      <c r="D10948" s="391"/>
      <c r="E10948" s="390"/>
      <c r="F10948" s="391"/>
      <c r="G10948" s="390"/>
      <c r="H10948" s="394"/>
    </row>
    <row r="10949" spans="1:8" ht="15.75" customHeight="1" x14ac:dyDescent="0.25">
      <c r="A10949" s="390" t="s">
        <v>1328</v>
      </c>
      <c r="B10949" s="390"/>
      <c r="C10949" s="390"/>
      <c r="D10949" s="391"/>
      <c r="E10949" s="390"/>
      <c r="F10949" s="391"/>
      <c r="G10949" s="390"/>
      <c r="H10949" s="394"/>
    </row>
    <row r="10950" spans="1:8" ht="15.75" customHeight="1" x14ac:dyDescent="0.25">
      <c r="A10950" s="390"/>
      <c r="B10950" s="390"/>
      <c r="C10950" s="390"/>
      <c r="D10950" s="391"/>
      <c r="E10950" s="390"/>
      <c r="F10950" s="391"/>
      <c r="G10950" s="390"/>
      <c r="H10950" s="394"/>
    </row>
    <row r="10951" spans="1:8" ht="15.75" customHeight="1" x14ac:dyDescent="0.25">
      <c r="A10951" s="941" t="s">
        <v>33</v>
      </c>
      <c r="B10951" s="942" t="s">
        <v>6</v>
      </c>
      <c r="C10951" s="943"/>
      <c r="D10951" s="944" t="s">
        <v>37</v>
      </c>
      <c r="E10951" s="402" t="s">
        <v>1309</v>
      </c>
      <c r="F10951" s="609" t="s">
        <v>7</v>
      </c>
      <c r="G10951" s="400" t="s">
        <v>43</v>
      </c>
      <c r="H10951" s="405" t="s">
        <v>44</v>
      </c>
    </row>
    <row r="10952" spans="1:8" ht="15.75" customHeight="1" x14ac:dyDescent="0.25">
      <c r="A10952" s="610"/>
      <c r="B10952" s="611"/>
      <c r="C10952" s="611"/>
      <c r="D10952" s="612"/>
      <c r="E10952" s="613"/>
      <c r="F10952" s="614"/>
      <c r="G10952" s="611"/>
      <c r="H10952" s="615"/>
    </row>
    <row r="10953" spans="1:8" ht="15.75" customHeight="1" x14ac:dyDescent="0.25">
      <c r="A10953" s="581"/>
      <c r="B10953" s="654" t="s">
        <v>1940</v>
      </c>
      <c r="C10953" s="654"/>
      <c r="D10953" s="415"/>
      <c r="E10953" s="415"/>
      <c r="F10953" s="415"/>
      <c r="G10953" s="579"/>
      <c r="H10953" s="416"/>
    </row>
    <row r="10954" spans="1:8" ht="15.75" customHeight="1" x14ac:dyDescent="0.25">
      <c r="A10954" s="581" t="s">
        <v>55</v>
      </c>
      <c r="B10954" s="945" t="s">
        <v>1851</v>
      </c>
      <c r="C10954" s="945"/>
      <c r="D10954" s="415">
        <v>3</v>
      </c>
      <c r="E10954" s="415">
        <v>10</v>
      </c>
      <c r="F10954" s="415">
        <f>+E10954*D10954</f>
      </c>
      <c r="G10954" s="415">
        <v>1</v>
      </c>
      <c r="H10954" s="416">
        <f t="shared" ref="H10954:H10955" si="376">+G10954*F10954</f>
      </c>
    </row>
    <row r="10955" spans="1:8" ht="15.75" customHeight="1" x14ac:dyDescent="0.25">
      <c r="A10955" s="581" t="s">
        <v>59</v>
      </c>
      <c r="B10955" s="945" t="s">
        <v>1851</v>
      </c>
      <c r="C10955" s="582"/>
      <c r="D10955" s="592">
        <v>1</v>
      </c>
      <c r="E10955" s="415">
        <v>10</v>
      </c>
      <c r="F10955" s="415">
        <v>9</v>
      </c>
      <c r="G10955" s="415">
        <v>1</v>
      </c>
      <c r="H10955" s="416">
        <f t="shared" si="376"/>
      </c>
    </row>
    <row r="10956" spans="1:8" ht="15.75" customHeight="1" x14ac:dyDescent="0.25">
      <c r="A10956" s="581" t="s">
        <v>67</v>
      </c>
      <c r="B10956" s="945" t="s">
        <v>1851</v>
      </c>
      <c r="C10956" s="582"/>
      <c r="D10956" s="626"/>
      <c r="E10956" s="415"/>
      <c r="F10956" s="415">
        <v>1</v>
      </c>
      <c r="G10956" s="619" t="s">
        <v>1856</v>
      </c>
      <c r="H10956" s="589"/>
    </row>
    <row r="10957" spans="1:8" ht="15.75" customHeight="1" x14ac:dyDescent="0.25">
      <c r="A10957" s="581"/>
      <c r="B10957" s="654"/>
      <c r="C10957" s="654"/>
      <c r="D10957" s="415"/>
      <c r="E10957" s="415"/>
      <c r="F10957" s="415"/>
      <c r="G10957" s="415"/>
      <c r="H10957" s="589"/>
    </row>
    <row r="10958" spans="1:8" ht="15.75" customHeight="1" x14ac:dyDescent="0.25">
      <c r="A10958" s="581"/>
      <c r="B10958" s="644"/>
      <c r="C10958" s="654"/>
      <c r="D10958" s="415"/>
      <c r="E10958" s="415"/>
      <c r="F10958" s="415"/>
      <c r="G10958" s="415"/>
      <c r="H10958" s="589"/>
    </row>
    <row r="10959" spans="1:8" ht="15.75" customHeight="1" x14ac:dyDescent="0.25">
      <c r="A10959" s="581"/>
      <c r="B10959" s="644"/>
      <c r="C10959" s="654"/>
      <c r="D10959" s="415"/>
      <c r="E10959" s="415"/>
      <c r="F10959" s="415"/>
      <c r="G10959" s="415"/>
      <c r="H10959" s="589"/>
    </row>
    <row r="10960" spans="1:8" ht="15.75" customHeight="1" x14ac:dyDescent="0.25">
      <c r="A10960" s="581"/>
      <c r="B10960" s="582"/>
      <c r="C10960" s="582"/>
      <c r="D10960" s="415"/>
      <c r="E10960" s="415"/>
      <c r="F10960" s="415"/>
      <c r="G10960" s="415"/>
      <c r="H10960" s="589"/>
    </row>
    <row r="10961" spans="1:8" ht="15.75" customHeight="1" x14ac:dyDescent="0.25">
      <c r="A10961" s="430"/>
      <c r="B10961" s="409"/>
      <c r="C10961" s="393"/>
      <c r="D10961" s="427"/>
      <c r="E10961" s="427"/>
      <c r="F10961" s="428"/>
      <c r="G10961" s="427"/>
      <c r="H10961" s="429"/>
    </row>
    <row r="10962" spans="1:8" ht="15.75" customHeight="1" x14ac:dyDescent="0.25">
      <c r="A10962" s="432"/>
      <c r="B10962" s="433"/>
      <c r="C10962" s="434" t="s">
        <v>85</v>
      </c>
      <c r="D10962" s="659">
        <f>SUM(D10954:D10961)</f>
      </c>
      <c r="E10962" s="401"/>
      <c r="F10962" s="864">
        <f>SUM(F10954:F10961)</f>
      </c>
      <c r="G10962" s="661"/>
      <c r="H10962" s="623">
        <f>SUM(H10953:H10961)</f>
      </c>
    </row>
    <row r="10963" spans="1:8" ht="15.75" customHeight="1" x14ac:dyDescent="0.25">
      <c r="A10963" s="439"/>
      <c r="B10963" s="440"/>
      <c r="C10963" s="440"/>
      <c r="D10963" s="441"/>
      <c r="E10963" s="440"/>
      <c r="F10963" s="442"/>
      <c r="G10963" s="443"/>
      <c r="H10963" s="444"/>
    </row>
    <row r="10964" spans="1:8" ht="15.75" customHeight="1" x14ac:dyDescent="0.25">
      <c r="A10964" s="392"/>
      <c r="B10964" s="391"/>
      <c r="C10964" s="391"/>
      <c r="D10964" s="391"/>
      <c r="E10964" s="390"/>
      <c r="F10964" s="392"/>
      <c r="G10964" s="390"/>
      <c r="H10964" s="394"/>
    </row>
    <row r="10965" spans="1:8" ht="15.75" customHeight="1" x14ac:dyDescent="0.25">
      <c r="A10965" s="445"/>
      <c r="B10965" s="445"/>
      <c r="C10965" s="445"/>
      <c r="D10965" s="446" t="s">
        <v>97</v>
      </c>
      <c r="E10965" s="445" t="s">
        <v>98</v>
      </c>
      <c r="F10965" s="445"/>
      <c r="G10965" s="390"/>
      <c r="H10965" s="394"/>
    </row>
    <row r="10966" spans="1:8" ht="15.75" customHeight="1" x14ac:dyDescent="0.25">
      <c r="A10966" s="390"/>
      <c r="B10966" s="390"/>
      <c r="C10966" s="390"/>
      <c r="D10966" s="391"/>
      <c r="E10966" s="390"/>
      <c r="F10966" s="390"/>
      <c r="G10966" s="390"/>
      <c r="H10966" s="394"/>
    </row>
    <row r="10967" spans="1:8" ht="15.75" customHeight="1" x14ac:dyDescent="0.25">
      <c r="A10967" s="390"/>
      <c r="B10967" s="390"/>
      <c r="C10967" s="390"/>
      <c r="D10967" s="391"/>
      <c r="E10967" s="390"/>
      <c r="F10967" s="390"/>
      <c r="G10967" s="390"/>
      <c r="H10967" s="394"/>
    </row>
    <row r="10968" spans="1:8" ht="15.75" customHeight="1" x14ac:dyDescent="0.25">
      <c r="A10968" s="445"/>
      <c r="B10968" s="445"/>
      <c r="C10968" s="445"/>
      <c r="D10968" s="446"/>
      <c r="E10968" s="445" t="s">
        <v>99</v>
      </c>
      <c r="F10968" s="445"/>
      <c r="G10968" s="390"/>
      <c r="H10968" s="394"/>
    </row>
    <row r="10969" spans="1:8" ht="15.75" customHeight="1" x14ac:dyDescent="0.25">
      <c r="D10969" s="4"/>
      <c r="H10969" s="4"/>
    </row>
    <row r="10970" spans="1:8" ht="15.75" customHeight="1" x14ac:dyDescent="0.25">
      <c r="D10970" s="4"/>
      <c r="H10970" s="4"/>
    </row>
    <row r="10971" spans="1:8" ht="15.75" customHeight="1" x14ac:dyDescent="0.25">
      <c r="D10971" s="4"/>
      <c r="H10971" s="4"/>
    </row>
    <row r="10972" spans="1:8" ht="15.75" customHeight="1" x14ac:dyDescent="0.25">
      <c r="D10972" s="4"/>
      <c r="H10972" s="4"/>
    </row>
    <row r="10973" spans="1:8" ht="15.75" customHeight="1" x14ac:dyDescent="0.25">
      <c r="A10973" s="392" t="s">
        <v>14</v>
      </c>
      <c r="B10973" s="392"/>
      <c r="C10973" s="392"/>
      <c r="D10973" s="392"/>
      <c r="E10973" s="392"/>
      <c r="F10973" s="392"/>
      <c r="G10973" s="392"/>
      <c r="H10973" s="392"/>
    </row>
    <row r="10974" spans="1:8" ht="15.75" customHeight="1" x14ac:dyDescent="0.25">
      <c r="A10974" s="392"/>
      <c r="B10974" s="391"/>
      <c r="C10974" s="391"/>
      <c r="D10974" s="391"/>
      <c r="E10974" s="390"/>
      <c r="F10974" s="392"/>
      <c r="G10974" s="390"/>
      <c r="H10974" s="394"/>
    </row>
    <row r="10975" spans="1:8" ht="15.75" customHeight="1" x14ac:dyDescent="0.25">
      <c r="A10975" s="392"/>
      <c r="B10975" s="391"/>
      <c r="C10975" s="391"/>
      <c r="D10975" s="391"/>
      <c r="E10975" s="390"/>
      <c r="F10975" s="392"/>
      <c r="G10975" s="390"/>
      <c r="H10975" s="394"/>
    </row>
    <row r="10976" spans="1:8" ht="15.75" customHeight="1" x14ac:dyDescent="0.25">
      <c r="A10976" s="390" t="s">
        <v>20</v>
      </c>
      <c r="B10976" s="390"/>
      <c r="C10976" s="390"/>
      <c r="D10976" s="391"/>
      <c r="E10976" s="390"/>
      <c r="F10976" s="392"/>
      <c r="G10976" s="390"/>
      <c r="H10976" s="394"/>
    </row>
    <row r="10977" spans="1:8" ht="15.75" customHeight="1" x14ac:dyDescent="0.3">
      <c r="A10977" s="390" t="inlineStr">
        <is>
          <t>Dealer-003</t>
        </is>
      </c>
      <c r="B10977" s="390"/>
      <c r="C10977" s="390"/>
      <c r="D10977" s="391"/>
      <c r="E10977" s="390"/>
      <c r="F10977" s="395" t="s">
        <v>18</v>
      </c>
      <c r="G10977" s="23" t="s">
        <v>1078</v>
      </c>
      <c r="H10977" s="394"/>
    </row>
    <row r="10978" spans="1:8" ht="15.75" customHeight="1" x14ac:dyDescent="0.25">
      <c r="A10978" s="390" t="inlineStr">
        <is>
          <t>Address line (redacted)</t>
        </is>
      </c>
      <c r="B10978" s="390"/>
      <c r="C10978" s="390"/>
      <c r="D10978" s="391"/>
      <c r="E10978" s="390"/>
      <c r="F10978" s="393" t="s">
        <v>21</v>
      </c>
      <c r="G10978" s="390" t="s">
        <v>1562</v>
      </c>
      <c r="H10978" s="394"/>
    </row>
    <row r="10979" spans="1:8" ht="15.75" customHeight="1" x14ac:dyDescent="0.25">
      <c r="A10979" s="390" t="inlineStr">
        <is>
          <t>Address line (redacted)</t>
        </is>
      </c>
      <c r="B10979" s="390"/>
      <c r="C10979" s="390"/>
      <c r="D10979" s="391"/>
      <c r="E10979" s="390"/>
      <c r="F10979" s="391"/>
      <c r="G10979" s="390"/>
      <c r="H10979" s="394"/>
    </row>
    <row r="10980" spans="1:8" ht="15.75" customHeight="1" x14ac:dyDescent="0.25">
      <c r="A10980" s="390"/>
      <c r="B10980" s="390"/>
      <c r="C10980" s="393"/>
      <c r="D10980" s="391"/>
      <c r="E10980" s="390"/>
      <c r="F10980" s="391"/>
      <c r="G10980" s="390"/>
      <c r="H10980" s="394"/>
    </row>
    <row r="10981" spans="1:8" ht="15.75" customHeight="1" x14ac:dyDescent="0.25">
      <c r="A10981" s="390"/>
      <c r="B10981" s="390"/>
      <c r="C10981" s="390"/>
      <c r="D10981" s="391"/>
      <c r="E10981" s="390"/>
      <c r="F10981" s="391"/>
      <c r="G10981" s="390"/>
      <c r="H10981" s="394"/>
    </row>
    <row r="10982" spans="1:8" ht="15.75" customHeight="1" x14ac:dyDescent="0.25">
      <c r="A10982" s="390" t="s">
        <v>30</v>
      </c>
      <c r="B10982" s="390"/>
      <c r="C10982" s="390"/>
      <c r="D10982" s="391"/>
      <c r="E10982" s="390"/>
      <c r="F10982" s="391"/>
      <c r="G10982" s="390"/>
      <c r="H10982" s="394"/>
    </row>
    <row r="10983" spans="1:8" ht="15.75" customHeight="1" x14ac:dyDescent="0.25">
      <c r="A10983" s="390"/>
      <c r="B10983" s="390"/>
      <c r="C10983" s="390"/>
      <c r="D10983" s="391"/>
      <c r="E10983" s="390"/>
      <c r="F10983" s="391"/>
      <c r="G10983" s="390"/>
      <c r="H10983" s="394"/>
    </row>
    <row r="10984" spans="1:8" ht="15.75" customHeight="1" x14ac:dyDescent="0.25">
      <c r="A10984" s="390" t="s">
        <v>1322</v>
      </c>
      <c r="B10984" s="390"/>
      <c r="C10984" s="390"/>
      <c r="D10984" s="391"/>
      <c r="E10984" s="390"/>
      <c r="F10984" s="391"/>
      <c r="G10984" s="390"/>
      <c r="H10984" s="394"/>
    </row>
    <row r="10985" spans="1:8" ht="15.75" customHeight="1" x14ac:dyDescent="0.25">
      <c r="A10985" s="390" t="s">
        <v>1328</v>
      </c>
      <c r="B10985" s="390"/>
      <c r="C10985" s="390"/>
      <c r="D10985" s="391"/>
      <c r="E10985" s="390"/>
      <c r="F10985" s="391"/>
      <c r="G10985" s="390"/>
      <c r="H10985" s="394"/>
    </row>
    <row r="10986" spans="1:8" ht="15.75" customHeight="1" x14ac:dyDescent="0.25">
      <c r="A10986" s="390"/>
      <c r="B10986" s="390"/>
      <c r="C10986" s="390"/>
      <c r="D10986" s="391"/>
      <c r="E10986" s="390"/>
      <c r="F10986" s="391"/>
      <c r="G10986" s="390"/>
      <c r="H10986" s="394"/>
    </row>
    <row r="10987" spans="1:8" ht="15.75" customHeight="1" x14ac:dyDescent="0.25">
      <c r="A10987" s="941" t="s">
        <v>33</v>
      </c>
      <c r="B10987" s="942" t="s">
        <v>6</v>
      </c>
      <c r="C10987" s="943"/>
      <c r="D10987" s="944" t="s">
        <v>37</v>
      </c>
      <c r="E10987" s="402" t="s">
        <v>1309</v>
      </c>
      <c r="F10987" s="609" t="s">
        <v>7</v>
      </c>
      <c r="G10987" s="400" t="s">
        <v>43</v>
      </c>
      <c r="H10987" s="405" t="s">
        <v>44</v>
      </c>
    </row>
    <row r="10988" spans="1:8" ht="15.75" customHeight="1" x14ac:dyDescent="0.25">
      <c r="A10988" s="610"/>
      <c r="B10988" s="611"/>
      <c r="C10988" s="611"/>
      <c r="D10988" s="612"/>
      <c r="E10988" s="613"/>
      <c r="F10988" s="614"/>
      <c r="G10988" s="611"/>
      <c r="H10988" s="615"/>
    </row>
    <row r="10989" spans="1:8" ht="15.75" customHeight="1" x14ac:dyDescent="0.25">
      <c r="A10989" s="581"/>
      <c r="B10989" s="654" t="s">
        <v>1357</v>
      </c>
      <c r="C10989" s="654"/>
      <c r="D10989" s="415"/>
      <c r="E10989" s="415"/>
      <c r="F10989" s="415"/>
      <c r="G10989" s="579"/>
      <c r="H10989" s="416"/>
    </row>
    <row r="10990" spans="1:8" ht="15.75" customHeight="1" x14ac:dyDescent="0.25">
      <c r="A10990" s="581" t="s">
        <v>55</v>
      </c>
      <c r="B10990" s="945" t="s">
        <v>287</v>
      </c>
      <c r="C10990" s="945" t="s">
        <v>1363</v>
      </c>
      <c r="D10990" s="415">
        <v>8</v>
      </c>
      <c r="E10990" s="415">
        <v>25</v>
      </c>
      <c r="F10990" s="415">
        <f>+E10990*D10990</f>
      </c>
      <c r="G10990" s="415">
        <v>1</v>
      </c>
      <c r="H10990" s="416">
        <f>+G10990*F10990</f>
      </c>
    </row>
    <row r="10991" spans="1:8" ht="15.75" customHeight="1" x14ac:dyDescent="0.25">
      <c r="A10991" s="581"/>
      <c r="B10991" s="945"/>
      <c r="C10991" s="582"/>
      <c r="D10991" s="591"/>
      <c r="E10991" s="415"/>
      <c r="F10991" s="415"/>
      <c r="G10991" s="415"/>
      <c r="H10991" s="416"/>
    </row>
    <row r="10992" spans="1:8" ht="15.75" customHeight="1" x14ac:dyDescent="0.25">
      <c r="A10992" s="581"/>
      <c r="B10992" s="945"/>
      <c r="C10992" s="582"/>
      <c r="D10992" s="591"/>
      <c r="E10992" s="415"/>
      <c r="F10992" s="415"/>
      <c r="G10992" s="415"/>
      <c r="H10992" s="589"/>
    </row>
    <row r="10993" spans="1:8" ht="15.75" customHeight="1" x14ac:dyDescent="0.25">
      <c r="A10993" s="581"/>
      <c r="B10993" s="654"/>
      <c r="C10993" s="654"/>
      <c r="D10993" s="415"/>
      <c r="E10993" s="415"/>
      <c r="F10993" s="415"/>
      <c r="G10993" s="415"/>
      <c r="H10993" s="589"/>
    </row>
    <row r="10994" spans="1:8" ht="15.75" customHeight="1" x14ac:dyDescent="0.25">
      <c r="A10994" s="581"/>
      <c r="B10994" s="644"/>
      <c r="C10994" s="654"/>
      <c r="D10994" s="415"/>
      <c r="E10994" s="415"/>
      <c r="F10994" s="415"/>
      <c r="G10994" s="415"/>
      <c r="H10994" s="589"/>
    </row>
    <row r="10995" spans="1:8" ht="15.75" customHeight="1" x14ac:dyDescent="0.25">
      <c r="A10995" s="581"/>
      <c r="B10995" s="644"/>
      <c r="C10995" s="654"/>
      <c r="D10995" s="415"/>
      <c r="E10995" s="415"/>
      <c r="F10995" s="415"/>
      <c r="G10995" s="415"/>
      <c r="H10995" s="589"/>
    </row>
    <row r="10996" spans="1:8" ht="15.75" customHeight="1" x14ac:dyDescent="0.25">
      <c r="A10996" s="581"/>
      <c r="B10996" s="582"/>
      <c r="C10996" s="582"/>
      <c r="D10996" s="415"/>
      <c r="E10996" s="415"/>
      <c r="F10996" s="415"/>
      <c r="G10996" s="415"/>
      <c r="H10996" s="589"/>
    </row>
    <row r="10997" spans="1:8" ht="15.75" customHeight="1" x14ac:dyDescent="0.25">
      <c r="A10997" s="430"/>
      <c r="B10997" s="409"/>
      <c r="C10997" s="393"/>
      <c r="D10997" s="427"/>
      <c r="E10997" s="427"/>
      <c r="F10997" s="428"/>
      <c r="G10997" s="427"/>
      <c r="H10997" s="429"/>
    </row>
    <row r="10998" spans="1:8" ht="15.75" customHeight="1" x14ac:dyDescent="0.25">
      <c r="A10998" s="432"/>
      <c r="B10998" s="433"/>
      <c r="C10998" s="434" t="s">
        <v>85</v>
      </c>
      <c r="D10998" s="659">
        <f>SUM(D10990:D10997)</f>
      </c>
      <c r="E10998" s="401"/>
      <c r="F10998" s="864">
        <f>SUM(F10990:F10997)</f>
      </c>
      <c r="G10998" s="661"/>
      <c r="H10998" s="623">
        <f>SUM(H10989:H10997)</f>
      </c>
    </row>
    <row r="10999" spans="1:8" ht="15.75" customHeight="1" x14ac:dyDescent="0.25">
      <c r="A10999" s="439"/>
      <c r="B10999" s="440"/>
      <c r="C10999" s="440"/>
      <c r="D10999" s="441"/>
      <c r="E10999" s="440"/>
      <c r="F10999" s="442"/>
      <c r="G10999" s="443"/>
      <c r="H10999" s="444"/>
    </row>
    <row r="11000" spans="1:8" ht="15.75" customHeight="1" x14ac:dyDescent="0.25">
      <c r="A11000" s="392"/>
      <c r="B11000" s="391"/>
      <c r="C11000" s="391"/>
      <c r="D11000" s="391"/>
      <c r="E11000" s="390"/>
      <c r="F11000" s="392"/>
      <c r="G11000" s="390"/>
      <c r="H11000" s="394"/>
    </row>
    <row r="11001" spans="1:8" ht="15.75" customHeight="1" x14ac:dyDescent="0.25">
      <c r="A11001" s="445"/>
      <c r="B11001" s="445"/>
      <c r="C11001" s="445"/>
      <c r="D11001" s="446" t="s">
        <v>97</v>
      </c>
      <c r="E11001" s="445" t="s">
        <v>98</v>
      </c>
      <c r="F11001" s="445"/>
      <c r="G11001" s="390"/>
      <c r="H11001" s="394"/>
    </row>
    <row r="11002" spans="1:8" ht="15.75" customHeight="1" x14ac:dyDescent="0.25">
      <c r="A11002" s="390"/>
      <c r="B11002" s="390"/>
      <c r="C11002" s="390"/>
      <c r="D11002" s="391"/>
      <c r="E11002" s="390"/>
      <c r="F11002" s="390"/>
      <c r="G11002" s="390"/>
      <c r="H11002" s="394"/>
    </row>
    <row r="11003" spans="1:8" ht="15.75" customHeight="1" x14ac:dyDescent="0.25">
      <c r="A11003" s="390"/>
      <c r="B11003" s="390"/>
      <c r="C11003" s="390"/>
      <c r="D11003" s="391"/>
      <c r="E11003" s="390"/>
      <c r="F11003" s="390"/>
      <c r="G11003" s="390"/>
      <c r="H11003" s="394"/>
    </row>
    <row r="11004" spans="1:8" ht="15.75" customHeight="1" x14ac:dyDescent="0.25">
      <c r="A11004" s="445"/>
      <c r="B11004" s="445"/>
      <c r="C11004" s="445"/>
      <c r="D11004" s="446"/>
      <c r="E11004" s="445" t="s">
        <v>99</v>
      </c>
      <c r="F11004" s="445"/>
      <c r="G11004" s="390"/>
      <c r="H11004" s="394"/>
    </row>
    <row r="11005" spans="1:8" ht="15.75" customHeight="1" x14ac:dyDescent="0.25">
      <c r="D11005" s="4"/>
      <c r="H11005" s="4"/>
    </row>
    <row r="11006" spans="1:8" ht="15.75" customHeight="1" x14ac:dyDescent="0.25">
      <c r="D11006" s="4"/>
      <c r="H11006" s="4"/>
    </row>
    <row r="11007" spans="1:8" ht="15.75" customHeight="1" x14ac:dyDescent="0.25">
      <c r="D11007" s="4"/>
      <c r="H11007" s="4"/>
    </row>
    <row r="11008" spans="1:8" ht="15.75" customHeight="1" x14ac:dyDescent="0.25">
      <c r="D11008" s="4"/>
      <c r="H11008" s="4"/>
    </row>
    <row r="11009" spans="1:8" ht="15.75" customHeight="1" x14ac:dyDescent="0.25">
      <c r="D11009" s="4"/>
      <c r="H11009" s="4"/>
    </row>
    <row r="11010" spans="1:8" ht="15.75" customHeight="1" x14ac:dyDescent="0.25">
      <c r="D11010" s="4"/>
      <c r="H11010" s="4"/>
    </row>
    <row r="11011" spans="1:8" ht="15.75" customHeight="1" x14ac:dyDescent="0.25">
      <c r="D11011" s="4"/>
      <c r="H11011" s="4"/>
    </row>
    <row r="11012" spans="1:8" ht="15.75" customHeight="1" x14ac:dyDescent="0.25">
      <c r="D11012" s="4"/>
      <c r="H11012" s="4"/>
    </row>
    <row r="11013" spans="1:8" ht="15.75" customHeight="1" x14ac:dyDescent="0.25">
      <c r="D11013" s="4"/>
      <c r="H11013" s="4"/>
    </row>
    <row r="11014" spans="1:8" ht="15.75" customHeight="1" x14ac:dyDescent="0.25">
      <c r="D11014" s="4"/>
      <c r="H11014" s="4"/>
    </row>
    <row r="11015" spans="1:8" ht="15.75" customHeight="1" x14ac:dyDescent="0.25">
      <c r="D11015" s="4"/>
      <c r="H11015" s="4"/>
    </row>
    <row r="11016" spans="1:8" ht="15.75" customHeight="1" x14ac:dyDescent="0.25">
      <c r="D11016" s="4"/>
      <c r="H11016" s="4"/>
    </row>
    <row r="11017" spans="1:8" ht="15.75" customHeight="1" x14ac:dyDescent="0.25">
      <c r="D11017" s="4"/>
      <c r="H11017" s="4"/>
    </row>
    <row r="11018" spans="1:8" ht="15.75" customHeight="1" x14ac:dyDescent="0.25">
      <c r="D11018" s="4"/>
      <c r="H11018" s="4"/>
    </row>
    <row r="11019" spans="1:8" ht="15.75" customHeight="1" x14ac:dyDescent="0.25">
      <c r="A11019" s="8" t="s">
        <v>14</v>
      </c>
      <c r="B11019" s="8"/>
      <c r="C11019" s="8"/>
      <c r="D11019" s="8"/>
      <c r="E11019" s="8"/>
      <c r="F11019" s="8"/>
      <c r="G11019" s="8"/>
      <c r="H11019" s="8"/>
    </row>
    <row r="11020" spans="1:8" ht="15.75" customHeight="1" x14ac:dyDescent="0.25">
      <c r="A11020" s="388"/>
      <c r="B11020" s="388"/>
      <c r="C11020" s="388"/>
      <c r="D11020" s="389"/>
      <c r="E11020" s="388"/>
      <c r="F11020" s="388"/>
      <c r="G11020" s="388"/>
      <c r="H11020" s="8"/>
    </row>
    <row r="11021" spans="1:8" ht="15.75" customHeight="1" x14ac:dyDescent="0.25">
      <c r="A11021" s="390"/>
      <c r="B11021" s="390"/>
      <c r="C11021" s="391"/>
      <c r="D11021" s="392"/>
      <c r="E11021" s="393"/>
      <c r="F11021" s="393"/>
      <c r="G11021" s="393"/>
      <c r="H11021" s="394"/>
    </row>
    <row r="11022" spans="1:8" ht="15.75" customHeight="1" x14ac:dyDescent="0.25">
      <c r="A11022" s="390"/>
      <c r="B11022" s="390"/>
      <c r="C11022" s="390"/>
      <c r="D11022" s="391"/>
      <c r="E11022" s="390"/>
      <c r="F11022" s="395" t="s">
        <v>18</v>
      </c>
      <c r="G11022" s="396" t="s">
        <v>1082</v>
      </c>
      <c r="H11022" s="397"/>
    </row>
    <row r="11023" spans="1:8" ht="15.75" customHeight="1" x14ac:dyDescent="0.25">
      <c r="A11023" s="390" t="s">
        <v>20</v>
      </c>
      <c r="B11023" s="390"/>
      <c r="C11023" s="390"/>
      <c r="D11023" s="391"/>
      <c r="E11023" s="390"/>
      <c r="F11023" s="395" t="s">
        <v>21</v>
      </c>
      <c r="G11023" s="390" t="s">
        <v>1971</v>
      </c>
      <c r="H11023" s="391"/>
    </row>
    <row r="11024" spans="1:8" ht="15.75" customHeight="1" x14ac:dyDescent="0.25">
      <c r="A11024" s="390" t="inlineStr">
        <is>
          <t>Dealer-004</t>
        </is>
      </c>
      <c r="B11024" s="390"/>
      <c r="C11024" s="390"/>
      <c r="D11024" s="398"/>
      <c r="E11024" s="390"/>
      <c r="F11024" s="391"/>
      <c r="G11024" s="390"/>
      <c r="H11024" s="394"/>
    </row>
    <row r="11025" spans="1:20" ht="15.75" customHeight="1" x14ac:dyDescent="0.25">
      <c r="A11025" s="390" t="inlineStr">
        <is>
          <t>Address line (redacted)</t>
        </is>
      </c>
      <c r="B11025" s="390"/>
      <c r="C11025" s="390"/>
      <c r="D11025" s="398"/>
      <c r="E11025" s="390"/>
      <c r="F11025" s="391"/>
      <c r="G11025" s="390"/>
      <c r="H11025" s="394"/>
    </row>
    <row r="11026" spans="1:20" ht="15.75" customHeight="1" x14ac:dyDescent="0.25">
      <c r="A11026" s="390" t="inlineStr">
        <is>
          <t>Address line (redacted)</t>
        </is>
      </c>
      <c r="B11026" s="390"/>
      <c r="C11026" s="390"/>
      <c r="D11026" s="391"/>
      <c r="E11026" s="390"/>
      <c r="F11026" s="391"/>
      <c r="G11026" s="390"/>
      <c r="H11026" s="394"/>
    </row>
    <row r="11027" spans="1:20" ht="15.75" customHeight="1" x14ac:dyDescent="0.25">
      <c r="A11027" s="390"/>
      <c r="B11027" s="390"/>
      <c r="C11027" s="390"/>
      <c r="D11027" s="391"/>
      <c r="E11027" s="390"/>
      <c r="F11027" s="391"/>
      <c r="G11027" s="390"/>
      <c r="H11027" s="394"/>
    </row>
    <row r="11028" spans="1:20" ht="15.75" customHeight="1" x14ac:dyDescent="0.25">
      <c r="A11028" s="390"/>
      <c r="B11028" s="390"/>
      <c r="C11028" s="390"/>
      <c r="D11028" s="391"/>
      <c r="E11028" s="390"/>
      <c r="F11028" s="391"/>
      <c r="G11028" s="390"/>
      <c r="H11028" s="394"/>
    </row>
    <row r="11029" spans="1:20" ht="15.75" customHeight="1" x14ac:dyDescent="0.25">
      <c r="A11029" s="390"/>
      <c r="B11029" s="390"/>
      <c r="C11029" s="390"/>
      <c r="D11029" s="391"/>
      <c r="E11029" s="390"/>
      <c r="F11029" s="391"/>
      <c r="G11029" s="390"/>
      <c r="H11029" s="394"/>
    </row>
    <row r="11030" spans="1:20" ht="15.75" customHeight="1" x14ac:dyDescent="0.25">
      <c r="A11030" s="390" t="s">
        <v>30</v>
      </c>
      <c r="B11030" s="390"/>
      <c r="C11030" s="390"/>
      <c r="D11030" s="391"/>
      <c r="E11030" s="390"/>
      <c r="F11030" s="391"/>
      <c r="G11030" s="390"/>
      <c r="H11030" s="394"/>
    </row>
    <row r="11031" spans="1:20" ht="15.75" customHeight="1" x14ac:dyDescent="0.25">
      <c r="A11031" s="390"/>
      <c r="B11031" s="390"/>
      <c r="C11031" s="390"/>
      <c r="D11031" s="391"/>
      <c r="E11031" s="390"/>
      <c r="F11031" s="391"/>
      <c r="G11031" s="390"/>
      <c r="H11031" s="394"/>
    </row>
    <row r="11032" spans="1:20" ht="15.75" customHeight="1" x14ac:dyDescent="0.25">
      <c r="A11032" s="390" t="s">
        <v>716</v>
      </c>
      <c r="B11032" s="390"/>
      <c r="C11032" s="390"/>
      <c r="D11032" s="391"/>
      <c r="E11032" s="390"/>
      <c r="F11032" s="391"/>
      <c r="G11032" s="390"/>
      <c r="H11032" s="394"/>
    </row>
    <row r="11033" spans="1:20" ht="15.75" customHeight="1" x14ac:dyDescent="0.25">
      <c r="A11033" s="390" t="s">
        <v>717</v>
      </c>
      <c r="B11033" s="390"/>
      <c r="C11033" s="390"/>
      <c r="D11033" s="391"/>
      <c r="E11033" s="390"/>
      <c r="F11033" s="391"/>
      <c r="G11033" s="390"/>
      <c r="H11033" s="394"/>
    </row>
    <row r="11034" spans="1:20" ht="15.75" customHeight="1" x14ac:dyDescent="0.25">
      <c r="A11034" s="390"/>
      <c r="B11034" s="390"/>
      <c r="C11034" s="390"/>
      <c r="D11034" s="391"/>
      <c r="E11034" s="390"/>
      <c r="F11034" s="391"/>
      <c r="G11034" s="390"/>
      <c r="H11034" s="394"/>
      <c r="I11034" s="947"/>
      <c r="J11034" s="947"/>
      <c r="K11034" s="947"/>
      <c r="L11034" s="947"/>
      <c r="M11034" s="947"/>
      <c r="N11034" s="947"/>
      <c r="O11034" s="947"/>
      <c r="P11034" s="947"/>
      <c r="Q11034" s="947"/>
      <c r="R11034" s="947"/>
      <c r="S11034" s="947"/>
      <c r="T11034" s="947"/>
    </row>
    <row r="11035" spans="1:20" ht="19.5" customHeight="1" x14ac:dyDescent="0.25">
      <c r="A11035" s="948" t="s">
        <v>33</v>
      </c>
      <c r="B11035" s="949" t="s">
        <v>6</v>
      </c>
      <c r="C11035" s="950"/>
      <c r="D11035" s="874" t="s">
        <v>37</v>
      </c>
      <c r="E11035" s="874" t="s">
        <v>38</v>
      </c>
      <c r="F11035" s="875" t="s">
        <v>7</v>
      </c>
      <c r="G11035" s="872" t="s">
        <v>43</v>
      </c>
      <c r="H11035" s="876" t="s">
        <v>44</v>
      </c>
    </row>
    <row r="11036" spans="1:20" ht="19.5" customHeight="1" x14ac:dyDescent="0.25">
      <c r="A11036" s="877"/>
      <c r="B11036" s="578"/>
      <c r="C11036" s="627"/>
      <c r="D11036" s="578"/>
      <c r="E11036" s="578"/>
      <c r="F11036" s="878"/>
      <c r="G11036" s="578"/>
      <c r="H11036" s="416"/>
    </row>
    <row r="11037" spans="1:20" ht="19.5" customHeight="1" x14ac:dyDescent="0.25">
      <c r="A11037" s="412"/>
      <c r="B11037" s="422" t="s">
        <v>531</v>
      </c>
      <c r="C11037" s="422"/>
      <c r="D11037" s="879"/>
      <c r="E11037" s="10"/>
      <c r="F11037" s="415"/>
      <c r="G11037" s="415"/>
      <c r="H11037" s="416"/>
    </row>
    <row r="11038" spans="1:20" ht="19.5" customHeight="1" x14ac:dyDescent="0.25">
      <c r="A11038" s="412" t="s">
        <v>55</v>
      </c>
      <c r="B11038" s="10" t="s">
        <v>1972</v>
      </c>
      <c r="C11038" s="422"/>
      <c r="D11038" s="879">
        <v>40</v>
      </c>
      <c r="E11038" s="879">
        <v>10</v>
      </c>
      <c r="F11038" s="415">
        <f>+E11038*D11038</f>
      </c>
      <c r="G11038" s="415">
        <v>1</v>
      </c>
      <c r="H11038" s="416">
        <f>+G11038*F11038</f>
      </c>
    </row>
    <row r="11039" spans="1:20" ht="19.5" customHeight="1" x14ac:dyDescent="0.25">
      <c r="A11039" s="412"/>
      <c r="B11039" s="10"/>
      <c r="C11039" s="422"/>
      <c r="D11039" s="951"/>
      <c r="E11039" s="879"/>
      <c r="F11039" s="415"/>
      <c r="G11039" s="415"/>
      <c r="H11039" s="416"/>
    </row>
    <row r="11040" spans="1:20" ht="19.5" customHeight="1" x14ac:dyDescent="0.25">
      <c r="A11040" s="412"/>
      <c r="B11040" s="10"/>
      <c r="C11040" s="422"/>
      <c r="D11040" s="626"/>
      <c r="E11040" s="879"/>
      <c r="F11040" s="593"/>
      <c r="G11040" s="415"/>
      <c r="H11040" s="416"/>
    </row>
    <row r="11041" spans="1:8" ht="19.5" customHeight="1" x14ac:dyDescent="0.25">
      <c r="A11041" s="412"/>
      <c r="B11041" s="10"/>
      <c r="C11041" s="422"/>
      <c r="D11041" s="626"/>
      <c r="E11041" s="879"/>
      <c r="F11041" s="593"/>
      <c r="G11041" s="415"/>
      <c r="H11041" s="416"/>
    </row>
    <row r="11042" spans="1:8" ht="15.75" customHeight="1" x14ac:dyDescent="0.25">
      <c r="A11042" s="412"/>
      <c r="B11042" s="419"/>
      <c r="C11042" s="418"/>
      <c r="D11042" s="415"/>
      <c r="E11042" s="415"/>
      <c r="F11042" s="415"/>
      <c r="G11042" s="415"/>
      <c r="H11042" s="416"/>
    </row>
    <row r="11043" spans="1:8" ht="15.75" customHeight="1" x14ac:dyDescent="0.25">
      <c r="A11043" s="894"/>
      <c r="B11043" s="878"/>
      <c r="C11043" s="895"/>
      <c r="D11043" s="593"/>
      <c r="E11043" s="593"/>
      <c r="F11043" s="593"/>
      <c r="G11043" s="593"/>
      <c r="H11043" s="931"/>
    </row>
    <row r="11044" spans="1:8" ht="15.75" customHeight="1" x14ac:dyDescent="0.25">
      <c r="A11044" s="877"/>
      <c r="B11044" s="688"/>
      <c r="C11044" s="896" t="s">
        <v>85</v>
      </c>
      <c r="D11044" s="401">
        <f>SUM(D11038:D11043)</f>
      </c>
      <c r="E11044" s="401"/>
      <c r="F11044" s="401">
        <f>SUM(F11038:F11043)</f>
      </c>
      <c r="G11044" s="661"/>
      <c r="H11044" s="438">
        <f>SUM(H11038:H11043)</f>
      </c>
    </row>
    <row r="11045" spans="1:8" ht="15.75" customHeight="1" x14ac:dyDescent="0.25">
      <c r="A11045" s="932"/>
      <c r="B11045" s="933"/>
      <c r="C11045" s="934"/>
      <c r="D11045" s="431"/>
      <c r="E11045" s="935"/>
      <c r="F11045" s="935"/>
      <c r="G11045" s="936"/>
      <c r="H11045" s="444"/>
    </row>
    <row r="11046" spans="1:8" ht="15.75" customHeight="1" x14ac:dyDescent="0.25">
      <c r="A11046" s="392" t="s">
        <v>913</v>
      </c>
      <c r="B11046" s="391"/>
      <c r="C11046" s="391"/>
      <c r="D11046" s="391"/>
      <c r="E11046" s="390"/>
      <c r="F11046" s="392"/>
      <c r="G11046" s="390"/>
      <c r="H11046" s="394"/>
    </row>
    <row r="11047" spans="1:8" ht="15.75" customHeight="1" x14ac:dyDescent="0.25">
      <c r="A11047" s="445"/>
      <c r="B11047" s="445"/>
      <c r="C11047" s="445"/>
      <c r="D11047" s="446" t="s">
        <v>97</v>
      </c>
      <c r="E11047" s="445" t="s">
        <v>98</v>
      </c>
      <c r="F11047" s="445"/>
      <c r="G11047" s="390"/>
      <c r="H11047" s="394"/>
    </row>
    <row r="11048" spans="1:8" ht="15.75" customHeight="1" x14ac:dyDescent="0.25">
      <c r="A11048" s="390"/>
      <c r="B11048" s="390"/>
      <c r="C11048" s="390"/>
      <c r="D11048" s="391"/>
      <c r="E11048" s="390"/>
      <c r="F11048" s="390"/>
      <c r="G11048" s="390"/>
      <c r="H11048" s="394"/>
    </row>
    <row r="11049" spans="1:8" ht="15.75" customHeight="1" x14ac:dyDescent="0.25">
      <c r="A11049" s="390"/>
      <c r="B11049" s="390"/>
      <c r="C11049" s="390"/>
      <c r="D11049" s="391"/>
      <c r="E11049" s="390"/>
      <c r="F11049" s="390"/>
      <c r="G11049" s="390"/>
      <c r="H11049" s="394"/>
    </row>
    <row r="11050" spans="1:8" ht="15.75" customHeight="1" x14ac:dyDescent="0.25">
      <c r="A11050" s="445"/>
      <c r="B11050" s="445"/>
      <c r="C11050" s="445"/>
      <c r="D11050" s="446"/>
      <c r="E11050" s="445" t="s">
        <v>99</v>
      </c>
      <c r="F11050" s="445"/>
      <c r="G11050" s="390"/>
      <c r="H11050" s="394"/>
    </row>
    <row r="11051" spans="1:8" ht="15.75" customHeight="1" x14ac:dyDescent="0.25">
      <c r="D11051" s="4"/>
      <c r="H11051" s="4"/>
    </row>
    <row r="11052" spans="1:8" ht="15.75" customHeight="1" x14ac:dyDescent="0.25">
      <c r="D11052" s="4"/>
      <c r="H11052" s="4"/>
    </row>
    <row r="11053" spans="1:8" ht="15.75" customHeight="1" x14ac:dyDescent="0.25">
      <c r="D11053" s="4"/>
      <c r="H11053" s="4"/>
    </row>
    <row r="11054" spans="1:8" ht="15.75" customHeight="1" x14ac:dyDescent="0.25">
      <c r="D11054" s="4"/>
      <c r="H11054" s="4"/>
    </row>
    <row r="11055" spans="1:8" ht="15.75" customHeight="1" x14ac:dyDescent="0.25">
      <c r="D11055" s="4"/>
      <c r="H11055" s="4"/>
    </row>
    <row r="11056" spans="1:8" ht="15.75" customHeight="1" x14ac:dyDescent="0.25">
      <c r="D11056" s="4"/>
      <c r="H11056" s="4"/>
    </row>
    <row r="11057" spans="1:8" ht="15.75" customHeight="1" x14ac:dyDescent="0.25">
      <c r="D11057" s="4"/>
      <c r="H11057" s="4"/>
    </row>
    <row r="11058" spans="1:8" ht="15.75" customHeight="1" x14ac:dyDescent="0.25">
      <c r="D11058" s="4"/>
      <c r="H11058" s="4"/>
    </row>
    <row r="11059" spans="1:8" ht="15.75" customHeight="1" x14ac:dyDescent="0.25">
      <c r="D11059" s="4"/>
      <c r="H11059" s="4"/>
    </row>
    <row r="11060" spans="1:8" ht="15.75" customHeight="1" x14ac:dyDescent="0.25">
      <c r="D11060" s="4"/>
      <c r="H11060" s="4"/>
    </row>
    <row r="11061" spans="1:8" ht="15.75" customHeight="1" x14ac:dyDescent="0.25">
      <c r="D11061" s="4"/>
      <c r="H11061" s="4"/>
    </row>
    <row r="11062" spans="1:8" ht="15.75" customHeight="1" x14ac:dyDescent="0.25">
      <c r="A11062" s="398" t="s">
        <v>14</v>
      </c>
      <c r="B11062" s="398"/>
      <c r="C11062" s="398"/>
      <c r="D11062" s="398"/>
      <c r="E11062" s="398"/>
      <c r="F11062" s="398"/>
      <c r="G11062" s="398"/>
      <c r="H11062" s="398"/>
    </row>
    <row r="11063" spans="1:8" ht="15.75" customHeight="1" x14ac:dyDescent="0.25">
      <c r="A11063" s="390"/>
      <c r="B11063" s="390"/>
      <c r="C11063" s="390"/>
      <c r="D11063" s="391"/>
      <c r="E11063" s="390"/>
      <c r="F11063" s="390"/>
      <c r="G11063" s="390"/>
      <c r="H11063" s="398"/>
    </row>
    <row r="11064" spans="1:8" ht="15.75" customHeight="1" x14ac:dyDescent="0.25">
      <c r="A11064" s="390"/>
      <c r="B11064" s="390"/>
      <c r="C11064" s="391"/>
      <c r="D11064" s="392"/>
      <c r="E11064" s="393"/>
      <c r="F11064" s="393"/>
      <c r="G11064" s="393"/>
      <c r="H11064" s="394"/>
    </row>
    <row r="11065" spans="1:8" ht="15.75" customHeight="1" x14ac:dyDescent="0.25">
      <c r="A11065" s="390"/>
      <c r="B11065" s="390"/>
      <c r="C11065" s="390"/>
      <c r="D11065" s="391"/>
      <c r="E11065" s="390"/>
      <c r="F11065" s="395" t="s">
        <v>18</v>
      </c>
      <c r="G11065" s="396" t="s">
        <v>1086</v>
      </c>
      <c r="H11065" s="397"/>
    </row>
    <row r="11066" spans="1:8" ht="15.75" customHeight="1" x14ac:dyDescent="0.25">
      <c r="A11066" s="390" t="s">
        <v>20</v>
      </c>
      <c r="B11066" s="390"/>
      <c r="C11066" s="390"/>
      <c r="D11066" s="391"/>
      <c r="E11066" s="390"/>
      <c r="F11066" s="395" t="s">
        <v>21</v>
      </c>
      <c r="G11066" s="390" t="s">
        <v>1914</v>
      </c>
      <c r="H11066" s="391"/>
    </row>
    <row r="11067" spans="1:8" ht="15.75" customHeight="1" x14ac:dyDescent="0.25">
      <c r="A11067" s="390" t="inlineStr">
        <is>
          <t>Dealer-009</t>
        </is>
      </c>
      <c r="B11067" s="390"/>
      <c r="C11067" s="390" t="inlineStr">
        <is>
          <t>ATTN: Contact-001</t>
        </is>
      </c>
      <c r="D11067" s="391"/>
      <c r="E11067" s="395"/>
      <c r="F11067" s="390"/>
      <c r="G11067" s="390"/>
      <c r="H11067" s="394"/>
    </row>
    <row r="11068" spans="1:8" ht="15.75" customHeight="1" x14ac:dyDescent="0.25">
      <c r="A11068" s="390" t="inlineStr">
        <is>
          <t>Address line (redacted)</t>
        </is>
      </c>
      <c r="B11068" s="390"/>
      <c r="C11068" s="390"/>
      <c r="D11068" s="398"/>
      <c r="E11068" s="390"/>
      <c r="F11068" s="391"/>
      <c r="G11068" s="390"/>
      <c r="H11068" s="394"/>
    </row>
    <row r="11069" spans="1:8" ht="15.75" customHeight="1" x14ac:dyDescent="0.25">
      <c r="A11069" s="390" t="inlineStr">
        <is>
          <t>Address line (redacted)</t>
        </is>
      </c>
      <c r="B11069" s="390"/>
      <c r="C11069" s="390"/>
      <c r="D11069" s="398"/>
      <c r="E11069" s="390"/>
      <c r="F11069" s="391"/>
      <c r="G11069" s="390"/>
      <c r="H11069" s="394"/>
    </row>
    <row r="11070" spans="1:8" ht="15.75" customHeight="1" x14ac:dyDescent="0.25">
      <c r="A11070" s="447"/>
      <c r="B11070" s="390"/>
      <c r="C11070" s="390"/>
      <c r="D11070" s="391"/>
      <c r="E11070" s="390"/>
      <c r="F11070" s="391"/>
      <c r="G11070" s="390"/>
      <c r="H11070" s="394"/>
    </row>
    <row r="11071" spans="1:8" ht="15.75" customHeight="1" x14ac:dyDescent="0.25">
      <c r="A11071" s="390" t="s">
        <v>30</v>
      </c>
      <c r="B11071" s="390"/>
      <c r="C11071" s="390"/>
      <c r="D11071" s="391"/>
      <c r="E11071" s="390"/>
      <c r="F11071" s="391"/>
      <c r="G11071" s="390"/>
      <c r="H11071" s="394"/>
    </row>
    <row r="11072" spans="1:8" ht="15.75" customHeight="1" x14ac:dyDescent="0.25">
      <c r="A11072" s="390"/>
      <c r="B11072" s="390"/>
      <c r="C11072" s="390"/>
      <c r="D11072" s="391"/>
      <c r="E11072" s="390"/>
      <c r="F11072" s="391"/>
      <c r="G11072" s="390"/>
      <c r="H11072" s="394"/>
    </row>
    <row r="11073" spans="1:9" ht="15.75" customHeight="1" x14ac:dyDescent="0.25">
      <c r="A11073" s="390" t="s">
        <v>716</v>
      </c>
      <c r="B11073" s="390"/>
      <c r="C11073" s="390"/>
      <c r="D11073" s="391"/>
      <c r="E11073" s="390"/>
      <c r="F11073" s="391"/>
      <c r="G11073" s="390"/>
      <c r="H11073" s="394"/>
    </row>
    <row r="11074" spans="1:9" ht="15.75" customHeight="1" x14ac:dyDescent="0.25">
      <c r="A11074" s="390" t="s">
        <v>717</v>
      </c>
      <c r="B11074" s="390"/>
      <c r="C11074" s="390"/>
      <c r="D11074" s="391"/>
      <c r="E11074" s="390"/>
      <c r="F11074" s="391"/>
      <c r="G11074" s="390"/>
      <c r="H11074" s="394"/>
    </row>
    <row r="11075" spans="1:9" ht="15.75" customHeight="1" x14ac:dyDescent="0.25">
      <c r="A11075" s="390"/>
      <c r="B11075" s="390"/>
      <c r="C11075" s="390"/>
      <c r="D11075" s="391"/>
      <c r="E11075" s="390"/>
      <c r="F11075" s="391"/>
      <c r="G11075" s="390"/>
      <c r="H11075" s="394"/>
    </row>
    <row r="11076" spans="1:9" ht="15.75" customHeight="1" x14ac:dyDescent="0.25">
      <c r="A11076" s="399" t="s">
        <v>33</v>
      </c>
      <c r="B11076" s="400" t="s">
        <v>6</v>
      </c>
      <c r="C11076" s="400"/>
      <c r="D11076" s="401" t="s">
        <v>37</v>
      </c>
      <c r="E11076" s="402" t="s">
        <v>38</v>
      </c>
      <c r="F11076" s="403" t="s">
        <v>7</v>
      </c>
      <c r="G11076" s="404" t="s">
        <v>43</v>
      </c>
      <c r="H11076" s="405" t="s">
        <v>44</v>
      </c>
    </row>
    <row r="11077" spans="1:9" ht="15.75" customHeight="1" x14ac:dyDescent="0.25">
      <c r="A11077" s="406"/>
      <c r="B11077" s="407"/>
      <c r="C11077" s="393"/>
      <c r="D11077" s="408"/>
      <c r="E11077" s="408"/>
      <c r="F11077" s="409"/>
      <c r="G11077" s="410"/>
      <c r="H11077" s="411"/>
    </row>
    <row r="11078" spans="1:9" ht="15.75" customHeight="1" x14ac:dyDescent="0.25">
      <c r="A11078" s="556"/>
      <c r="B11078" s="557" t="s">
        <v>1102</v>
      </c>
      <c r="C11078" s="558"/>
      <c r="D11078" s="408"/>
      <c r="E11078" s="408"/>
      <c r="F11078" s="398"/>
      <c r="G11078" s="408"/>
      <c r="H11078" s="559"/>
    </row>
    <row r="11079" spans="1:9" ht="15.75" customHeight="1" x14ac:dyDescent="0.25">
      <c r="A11079" s="425" t="s">
        <v>55</v>
      </c>
      <c r="B11079" s="448" t="s">
        <v>126</v>
      </c>
      <c r="C11079" s="507" t="s">
        <v>1840</v>
      </c>
      <c r="D11079" s="427">
        <v>1</v>
      </c>
      <c r="E11079" s="427">
        <v>5</v>
      </c>
      <c r="F11079" s="391">
        <f t="shared" ref="F11079:F11081" si="377">+E11079*D11079</f>
      </c>
      <c r="G11079" s="427">
        <v>1</v>
      </c>
      <c r="H11079" s="429">
        <f t="shared" ref="H11079:H11081" si="378">+G11079*F11079</f>
      </c>
    </row>
    <row r="11080" spans="1:9" ht="15.75" customHeight="1" x14ac:dyDescent="0.25">
      <c r="A11080" s="425" t="s">
        <v>59</v>
      </c>
      <c r="B11080" s="448" t="s">
        <v>81</v>
      </c>
      <c r="C11080" s="507" t="s">
        <v>82</v>
      </c>
      <c r="D11080" s="427">
        <v>2</v>
      </c>
      <c r="E11080" s="427">
        <v>5</v>
      </c>
      <c r="F11080" s="391">
        <f t="shared" si="377"/>
      </c>
      <c r="G11080" s="427">
        <v>1</v>
      </c>
      <c r="H11080" s="429">
        <f t="shared" si="378"/>
      </c>
    </row>
    <row r="11081" spans="1:9" ht="15.75" customHeight="1" x14ac:dyDescent="0.25">
      <c r="A11081" s="425" t="s">
        <v>67</v>
      </c>
      <c r="B11081" s="448" t="s">
        <v>15</v>
      </c>
      <c r="C11081" s="507" t="s">
        <v>16</v>
      </c>
      <c r="D11081" s="427">
        <v>1</v>
      </c>
      <c r="E11081" s="427">
        <v>5</v>
      </c>
      <c r="F11081" s="391">
        <f t="shared" si="377"/>
      </c>
      <c r="G11081" s="427">
        <v>1</v>
      </c>
      <c r="H11081" s="429">
        <f t="shared" si="378"/>
      </c>
      <c r="I11081" s="2">
        <f>12+84+4</f>
      </c>
    </row>
    <row r="11082" spans="1:9" ht="15.75" customHeight="1" x14ac:dyDescent="0.25">
      <c r="A11082" s="425"/>
      <c r="B11082" s="557" t="s">
        <v>50</v>
      </c>
      <c r="C11082" s="558"/>
      <c r="D11082" s="427"/>
      <c r="E11082" s="427"/>
      <c r="F11082" s="391"/>
      <c r="G11082" s="427"/>
      <c r="H11082" s="429"/>
    </row>
    <row r="11083" spans="1:9" ht="15.75" customHeight="1" x14ac:dyDescent="0.25">
      <c r="A11083" s="502" t="s">
        <v>485</v>
      </c>
      <c r="B11083" s="503" t="s">
        <v>651</v>
      </c>
      <c r="C11083" s="390" t="s">
        <v>432</v>
      </c>
      <c r="D11083" s="427">
        <v>3</v>
      </c>
      <c r="E11083" s="427">
        <v>25</v>
      </c>
      <c r="F11083" s="391">
        <f t="shared" ref="F11083:F11086" si="379">+E11083*D11083</f>
      </c>
      <c r="G11083" s="427">
        <v>1</v>
      </c>
      <c r="H11083" s="429">
        <f t="shared" ref="H11083:H11086" si="380">+G11083*F11083</f>
      </c>
    </row>
    <row r="11084" spans="1:9" ht="15.75" customHeight="1" x14ac:dyDescent="0.25">
      <c r="A11084" s="502" t="s">
        <v>486</v>
      </c>
      <c r="B11084" s="503" t="s">
        <v>651</v>
      </c>
      <c r="C11084" s="390" t="s">
        <v>432</v>
      </c>
      <c r="D11084" s="427">
        <v>1</v>
      </c>
      <c r="E11084" s="427">
        <v>24</v>
      </c>
      <c r="F11084" s="391">
        <f t="shared" si="379"/>
      </c>
      <c r="G11084" s="427">
        <v>1</v>
      </c>
      <c r="H11084" s="429">
        <f t="shared" si="380"/>
      </c>
    </row>
    <row r="11085" spans="1:9" ht="15.75" customHeight="1" x14ac:dyDescent="0.25">
      <c r="A11085" s="502" t="s">
        <v>489</v>
      </c>
      <c r="B11085" s="503" t="s">
        <v>649</v>
      </c>
      <c r="C11085" s="390" t="s">
        <v>433</v>
      </c>
      <c r="D11085" s="427">
        <v>21</v>
      </c>
      <c r="E11085" s="427">
        <v>25</v>
      </c>
      <c r="F11085" s="391">
        <f t="shared" si="379"/>
      </c>
      <c r="G11085" s="427">
        <v>1</v>
      </c>
      <c r="H11085" s="429">
        <f t="shared" si="380"/>
      </c>
    </row>
    <row r="11086" spans="1:9" ht="15.75" customHeight="1" x14ac:dyDescent="0.25">
      <c r="A11086" s="502" t="s">
        <v>490</v>
      </c>
      <c r="B11086" s="503" t="s">
        <v>649</v>
      </c>
      <c r="C11086" s="390" t="s">
        <v>433</v>
      </c>
      <c r="D11086" s="427">
        <v>1</v>
      </c>
      <c r="E11086" s="427">
        <v>24</v>
      </c>
      <c r="F11086" s="391">
        <f t="shared" si="379"/>
      </c>
      <c r="G11086" s="427">
        <v>1</v>
      </c>
      <c r="H11086" s="429">
        <f t="shared" si="380"/>
      </c>
    </row>
    <row r="11087" spans="1:9" ht="15.75" customHeight="1" x14ac:dyDescent="0.25">
      <c r="A11087" s="425"/>
      <c r="B11087" s="557" t="s">
        <v>1329</v>
      </c>
      <c r="C11087" s="558"/>
      <c r="D11087" s="427"/>
      <c r="E11087" s="427"/>
      <c r="F11087" s="391"/>
      <c r="G11087" s="427"/>
      <c r="H11087" s="429"/>
    </row>
    <row r="11088" spans="1:9" ht="15.75" customHeight="1" x14ac:dyDescent="0.25">
      <c r="A11088" s="502" t="s">
        <v>781</v>
      </c>
      <c r="B11088" s="503" t="s">
        <v>1975</v>
      </c>
      <c r="C11088" s="390"/>
      <c r="D11088" s="427">
        <v>2</v>
      </c>
      <c r="E11088" s="427">
        <v>100</v>
      </c>
      <c r="F11088" s="391">
        <v>198</v>
      </c>
      <c r="G11088" s="427">
        <v>1</v>
      </c>
      <c r="H11088" s="429">
        <f>+G11088*F11088</f>
      </c>
    </row>
    <row r="11089" spans="1:8" ht="15.75" customHeight="1" x14ac:dyDescent="0.25">
      <c r="A11089" s="502"/>
      <c r="B11089" s="503"/>
      <c r="C11089" s="390"/>
      <c r="D11089" s="427"/>
      <c r="E11089" s="427"/>
      <c r="F11089" s="391"/>
      <c r="G11089" s="427"/>
      <c r="H11089" s="429"/>
    </row>
    <row r="11090" spans="1:8" ht="15.75" customHeight="1" x14ac:dyDescent="0.25">
      <c r="A11090" s="502"/>
      <c r="B11090" s="503"/>
      <c r="C11090" s="390"/>
      <c r="D11090" s="427"/>
      <c r="E11090" s="427"/>
      <c r="F11090" s="391"/>
      <c r="G11090" s="427"/>
      <c r="H11090" s="429"/>
    </row>
    <row r="11091" spans="1:8" ht="15.75" customHeight="1" x14ac:dyDescent="0.25">
      <c r="A11091" s="432"/>
      <c r="B11091" s="433"/>
      <c r="C11091" s="434" t="s">
        <v>85</v>
      </c>
      <c r="D11091" s="435">
        <f>SUM(D11079:D11090)</f>
      </c>
      <c r="E11091" s="435"/>
      <c r="F11091" s="436"/>
      <c r="G11091" s="437"/>
      <c r="H11091" s="438">
        <f>SUM(H11079:H11090)</f>
      </c>
    </row>
    <row r="11092" spans="1:8" ht="15.75" customHeight="1" x14ac:dyDescent="0.25">
      <c r="A11092" s="439"/>
      <c r="B11092" s="440"/>
      <c r="C11092" s="440"/>
      <c r="D11092" s="441"/>
      <c r="E11092" s="440"/>
      <c r="F11092" s="442"/>
      <c r="G11092" s="443"/>
      <c r="H11092" s="444"/>
    </row>
    <row r="11093" spans="1:8" ht="15.75" customHeight="1" x14ac:dyDescent="0.25">
      <c r="A11093" s="565" t="s">
        <v>1215</v>
      </c>
      <c r="B11093" s="565"/>
      <c r="C11093" s="565"/>
      <c r="D11093" s="565"/>
      <c r="E11093" s="565"/>
      <c r="F11093" s="565"/>
      <c r="G11093" s="565"/>
      <c r="H11093" s="565"/>
    </row>
    <row r="11094" spans="1:8" ht="15.75" customHeight="1" x14ac:dyDescent="0.25">
      <c r="A11094" s="445"/>
      <c r="B11094" s="445"/>
      <c r="C11094" s="445"/>
      <c r="D11094" s="446" t="s">
        <v>97</v>
      </c>
      <c r="E11094" s="445" t="s">
        <v>98</v>
      </c>
      <c r="F11094" s="445"/>
      <c r="G11094" s="390"/>
      <c r="H11094" s="394"/>
    </row>
    <row r="11095" spans="1:8" ht="15.75" customHeight="1" x14ac:dyDescent="0.25">
      <c r="A11095" s="390"/>
      <c r="B11095" s="390"/>
      <c r="C11095" s="390"/>
      <c r="D11095" s="391"/>
      <c r="E11095" s="390"/>
      <c r="F11095" s="390"/>
      <c r="G11095" s="390"/>
      <c r="H11095" s="394"/>
    </row>
    <row r="11096" spans="1:8" ht="15.75" customHeight="1" x14ac:dyDescent="0.25">
      <c r="A11096" s="390"/>
      <c r="B11096" s="390"/>
      <c r="C11096" s="390"/>
      <c r="D11096" s="391"/>
      <c r="E11096" s="390"/>
      <c r="F11096" s="390"/>
      <c r="G11096" s="390"/>
      <c r="H11096" s="394"/>
    </row>
    <row r="11097" spans="1:8" ht="15.75" customHeight="1" x14ac:dyDescent="0.25">
      <c r="A11097" s="445"/>
      <c r="B11097" s="445"/>
      <c r="C11097" s="445"/>
      <c r="D11097" s="446"/>
      <c r="E11097" s="445" t="s">
        <v>99</v>
      </c>
      <c r="F11097" s="445"/>
      <c r="G11097" s="390"/>
      <c r="H11097" s="394"/>
    </row>
    <row r="11098" spans="1:8" ht="15.75" customHeight="1" x14ac:dyDescent="0.25">
      <c r="D11098" s="4"/>
      <c r="H11098" s="4"/>
    </row>
    <row r="11099" spans="1:8" ht="15.75" customHeight="1" x14ac:dyDescent="0.25">
      <c r="D11099" s="4"/>
      <c r="H11099" s="4"/>
    </row>
    <row r="11100" spans="1:8" ht="15.75" customHeight="1" x14ac:dyDescent="0.25">
      <c r="D11100" s="4"/>
      <c r="H11100" s="4"/>
    </row>
    <row r="11101" spans="1:8" ht="15.75" customHeight="1" x14ac:dyDescent="0.25">
      <c r="D11101" s="4"/>
      <c r="H11101" s="4"/>
    </row>
    <row r="11102" spans="1:8" ht="15.75" customHeight="1" x14ac:dyDescent="0.25">
      <c r="D11102" s="4"/>
      <c r="H11102" s="4"/>
    </row>
    <row r="11103" spans="1:8" ht="15.75" customHeight="1" x14ac:dyDescent="0.25">
      <c r="D11103" s="4"/>
      <c r="H11103" s="4"/>
    </row>
    <row r="11104" spans="1:8" ht="15.75" customHeight="1" x14ac:dyDescent="0.25">
      <c r="D11104" s="4"/>
      <c r="H11104" s="4"/>
    </row>
    <row r="11105" spans="4:8" ht="15.75" customHeight="1" x14ac:dyDescent="0.25">
      <c r="D11105" s="4"/>
      <c r="H11105" s="4"/>
    </row>
    <row r="11106" spans="4:8" ht="15.75" customHeight="1" x14ac:dyDescent="0.25">
      <c r="D11106" s="4"/>
      <c r="H11106" s="4"/>
    </row>
    <row r="11107" spans="4:8" ht="15.75" customHeight="1" x14ac:dyDescent="0.25">
      <c r="D11107" s="4"/>
      <c r="H11107" s="4"/>
    </row>
    <row r="11108" spans="4:8" ht="15.75" customHeight="1" x14ac:dyDescent="0.25">
      <c r="D11108" s="4"/>
      <c r="H11108" s="4"/>
    </row>
    <row r="11109" spans="4:8" ht="15.75" customHeight="1" x14ac:dyDescent="0.25">
      <c r="D11109" s="4"/>
      <c r="H11109" s="4"/>
    </row>
    <row r="11110" spans="4:8" ht="15.75" customHeight="1" x14ac:dyDescent="0.25">
      <c r="D11110" s="4"/>
      <c r="H11110" s="4"/>
    </row>
    <row r="11111" spans="4:8" ht="15.75" customHeight="1" x14ac:dyDescent="0.25">
      <c r="D11111" s="4"/>
      <c r="H11111" s="4"/>
    </row>
    <row r="11112" spans="4:8" ht="15.75" customHeight="1" x14ac:dyDescent="0.25">
      <c r="D11112" s="4"/>
      <c r="H11112" s="4"/>
    </row>
    <row r="11113" spans="4:8" ht="15.75" customHeight="1" x14ac:dyDescent="0.25">
      <c r="D11113" s="4"/>
      <c r="H11113" s="4"/>
    </row>
    <row r="11114" spans="4:8" ht="15.75" customHeight="1" x14ac:dyDescent="0.25">
      <c r="D11114" s="4"/>
      <c r="H11114" s="4"/>
    </row>
    <row r="11115" spans="4:8" ht="15.75" customHeight="1" x14ac:dyDescent="0.25">
      <c r="D11115" s="4"/>
      <c r="H11115" s="4"/>
    </row>
    <row r="11116" spans="4:8" ht="15.75" customHeight="1" x14ac:dyDescent="0.25">
      <c r="D11116" s="4"/>
      <c r="H11116" s="4"/>
    </row>
    <row r="11117" spans="4:8" ht="15.75" customHeight="1" x14ac:dyDescent="0.25">
      <c r="D11117" s="4"/>
      <c r="H11117" s="4"/>
    </row>
    <row r="11118" spans="4:8" ht="15.75" customHeight="1" x14ac:dyDescent="0.25">
      <c r="D11118" s="4"/>
      <c r="H11118" s="4"/>
    </row>
    <row r="11119" spans="4:8" ht="15.75" customHeight="1" x14ac:dyDescent="0.25">
      <c r="D11119" s="4"/>
      <c r="H11119" s="4"/>
    </row>
    <row r="11120" spans="4:8" ht="15.75" customHeight="1" x14ac:dyDescent="0.25">
      <c r="D11120" s="4"/>
      <c r="H11120" s="4"/>
    </row>
    <row r="11121" spans="1:8" ht="15.75" customHeight="1" x14ac:dyDescent="0.25">
      <c r="D11121" s="4"/>
      <c r="H11121" s="4"/>
    </row>
    <row r="11122" spans="1:8" ht="15.75" customHeight="1" x14ac:dyDescent="0.25">
      <c r="D11122" s="4"/>
      <c r="H11122" s="4"/>
    </row>
    <row r="11123" spans="1:8" ht="15.75" customHeight="1" x14ac:dyDescent="0.25">
      <c r="D11123" s="4"/>
      <c r="H11123" s="4"/>
    </row>
    <row r="11124" spans="1:8" ht="15.75" customHeight="1" x14ac:dyDescent="0.25">
      <c r="D11124" s="4"/>
      <c r="H11124" s="4"/>
    </row>
    <row r="11125" spans="1:8" ht="15.75" customHeight="1" x14ac:dyDescent="0.25">
      <c r="D11125" s="4"/>
      <c r="H11125" s="4"/>
    </row>
    <row r="11126" spans="1:8" ht="15.75" customHeight="1" x14ac:dyDescent="0.25">
      <c r="D11126" s="4"/>
      <c r="H11126" s="4"/>
    </row>
    <row r="11127" spans="1:8" ht="15.75" customHeight="1" x14ac:dyDescent="0.25">
      <c r="D11127" s="4"/>
      <c r="H11127" s="4"/>
    </row>
    <row r="11128" spans="1:8" ht="15.75" customHeight="1" x14ac:dyDescent="0.25">
      <c r="D11128" s="4"/>
      <c r="H11128" s="4"/>
    </row>
    <row r="11129" spans="1:8" ht="15.75" customHeight="1" x14ac:dyDescent="0.25">
      <c r="D11129" s="4"/>
      <c r="H11129" s="4"/>
    </row>
    <row r="11130" spans="1:8" ht="15.75" customHeight="1" x14ac:dyDescent="0.25">
      <c r="D11130" s="4"/>
      <c r="H11130" s="4"/>
    </row>
    <row r="11131" spans="1:8" ht="15.75" customHeight="1" x14ac:dyDescent="0.25">
      <c r="A11131" s="8" t="s">
        <v>14</v>
      </c>
      <c r="B11131" s="8"/>
      <c r="C11131" s="8"/>
      <c r="D11131" s="8"/>
      <c r="E11131" s="8"/>
      <c r="F11131" s="8"/>
      <c r="G11131" s="8"/>
      <c r="H11131" s="8"/>
    </row>
    <row r="11132" spans="1:8" ht="15.75" customHeight="1" x14ac:dyDescent="0.25">
      <c r="A11132" s="388"/>
      <c r="B11132" s="388"/>
      <c r="C11132" s="388"/>
      <c r="D11132" s="389"/>
      <c r="E11132" s="388"/>
      <c r="F11132" s="388"/>
      <c r="G11132" s="388"/>
      <c r="H11132" s="8"/>
    </row>
    <row r="11133" spans="1:8" ht="15.75" customHeight="1" x14ac:dyDescent="0.25">
      <c r="A11133" s="390"/>
      <c r="B11133" s="390"/>
      <c r="C11133" s="391"/>
      <c r="D11133" s="392"/>
      <c r="E11133" s="393"/>
      <c r="F11133" s="393"/>
      <c r="G11133" s="393"/>
      <c r="H11133" s="394"/>
    </row>
    <row r="11134" spans="1:8" ht="15.75" customHeight="1" x14ac:dyDescent="0.25">
      <c r="A11134" s="390"/>
      <c r="B11134" s="390"/>
      <c r="C11134" s="390"/>
      <c r="D11134" s="391"/>
      <c r="E11134" s="390"/>
      <c r="F11134" s="395" t="s">
        <v>18</v>
      </c>
      <c r="G11134" s="396" t="s">
        <v>518</v>
      </c>
      <c r="H11134" s="397"/>
    </row>
    <row r="11135" spans="1:8" ht="15.75" customHeight="1" x14ac:dyDescent="0.25">
      <c r="A11135" s="390" t="s">
        <v>20</v>
      </c>
      <c r="B11135" s="390"/>
      <c r="C11135" s="390"/>
      <c r="D11135" s="391"/>
      <c r="E11135" s="390"/>
      <c r="F11135" s="395" t="s">
        <v>21</v>
      </c>
      <c r="G11135" s="390" t="s">
        <v>1544</v>
      </c>
      <c r="H11135" s="391"/>
    </row>
    <row r="11136" spans="1:8" ht="15.75" customHeight="1" x14ac:dyDescent="0.25">
      <c r="A11136" s="390" t="inlineStr">
        <is>
          <t>Dealer-004</t>
        </is>
      </c>
      <c r="B11136" s="390"/>
      <c r="C11136" s="390"/>
      <c r="D11136" s="398"/>
      <c r="E11136" s="390"/>
      <c r="F11136" s="391"/>
      <c r="G11136" s="390"/>
      <c r="H11136" s="394"/>
    </row>
    <row r="11137" spans="1:20" ht="15.75" customHeight="1" x14ac:dyDescent="0.25">
      <c r="A11137" s="390" t="inlineStr">
        <is>
          <t>Address line (redacted)</t>
        </is>
      </c>
      <c r="B11137" s="390"/>
      <c r="C11137" s="390"/>
      <c r="D11137" s="398"/>
      <c r="E11137" s="390"/>
      <c r="F11137" s="391"/>
      <c r="G11137" s="390"/>
      <c r="H11137" s="394"/>
    </row>
    <row r="11138" spans="1:20" ht="15.75" customHeight="1" x14ac:dyDescent="0.25">
      <c r="A11138" s="390" t="inlineStr">
        <is>
          <t>Address line (redacted)</t>
        </is>
      </c>
      <c r="B11138" s="390"/>
      <c r="C11138" s="390"/>
      <c r="D11138" s="391"/>
      <c r="E11138" s="390"/>
      <c r="F11138" s="391"/>
      <c r="G11138" s="390"/>
      <c r="H11138" s="394"/>
    </row>
    <row r="11139" spans="1:20" ht="15.75" customHeight="1" x14ac:dyDescent="0.25">
      <c r="A11139" s="390"/>
      <c r="B11139" s="390"/>
      <c r="C11139" s="390"/>
      <c r="D11139" s="391"/>
      <c r="E11139" s="390"/>
      <c r="F11139" s="391"/>
      <c r="G11139" s="390"/>
      <c r="H11139" s="394"/>
    </row>
    <row r="11140" spans="1:20" ht="15.75" customHeight="1" x14ac:dyDescent="0.25">
      <c r="A11140" s="390" t="s">
        <v>30</v>
      </c>
      <c r="B11140" s="390"/>
      <c r="C11140" s="390"/>
      <c r="D11140" s="391"/>
      <c r="E11140" s="390"/>
      <c r="F11140" s="391"/>
      <c r="G11140" s="390"/>
      <c r="H11140" s="394"/>
    </row>
    <row r="11141" spans="1:20" ht="15.75" customHeight="1" x14ac:dyDescent="0.25">
      <c r="A11141" s="390"/>
      <c r="B11141" s="390"/>
      <c r="C11141" s="390"/>
      <c r="D11141" s="391"/>
      <c r="E11141" s="390"/>
      <c r="F11141" s="391"/>
      <c r="G11141" s="390"/>
      <c r="H11141" s="394"/>
    </row>
    <row r="11142" spans="1:20" ht="15.75" customHeight="1" x14ac:dyDescent="0.25">
      <c r="A11142" s="390" t="s">
        <v>716</v>
      </c>
      <c r="B11142" s="390"/>
      <c r="C11142" s="390"/>
      <c r="D11142" s="391"/>
      <c r="E11142" s="390"/>
      <c r="F11142" s="391"/>
      <c r="G11142" s="390"/>
      <c r="H11142" s="394"/>
    </row>
    <row r="11143" spans="1:20" ht="15.75" customHeight="1" x14ac:dyDescent="0.25">
      <c r="A11143" s="390" t="s">
        <v>717</v>
      </c>
      <c r="B11143" s="390"/>
      <c r="C11143" s="390"/>
      <c r="D11143" s="391"/>
      <c r="E11143" s="390"/>
      <c r="F11143" s="391"/>
      <c r="G11143" s="390"/>
      <c r="H11143" s="394"/>
    </row>
    <row r="11144" spans="1:20" ht="15.75" customHeight="1" x14ac:dyDescent="0.25">
      <c r="A11144" s="390"/>
      <c r="B11144" s="390"/>
      <c r="C11144" s="390"/>
      <c r="D11144" s="391"/>
      <c r="E11144" s="390"/>
      <c r="F11144" s="391"/>
      <c r="G11144" s="390"/>
      <c r="H11144" s="394"/>
    </row>
    <row r="11145" spans="1:20" ht="15.75" customHeight="1" x14ac:dyDescent="0.25">
      <c r="A11145" s="948" t="s">
        <v>33</v>
      </c>
      <c r="B11145" s="949" t="s">
        <v>6</v>
      </c>
      <c r="C11145" s="950"/>
      <c r="D11145" s="874" t="s">
        <v>37</v>
      </c>
      <c r="E11145" s="874" t="s">
        <v>38</v>
      </c>
      <c r="F11145" s="875" t="s">
        <v>7</v>
      </c>
      <c r="G11145" s="872" t="s">
        <v>43</v>
      </c>
      <c r="H11145" s="876" t="s">
        <v>44</v>
      </c>
    </row>
    <row r="11146" spans="1:20" ht="15.75" customHeight="1" x14ac:dyDescent="0.25">
      <c r="A11146" s="877"/>
      <c r="B11146" s="578"/>
      <c r="C11146" s="627"/>
      <c r="D11146" s="578"/>
      <c r="E11146" s="578"/>
      <c r="F11146" s="878"/>
      <c r="G11146" s="578"/>
      <c r="H11146" s="416"/>
      <c r="I11146" s="297"/>
      <c r="J11146" s="297"/>
      <c r="K11146" s="297"/>
      <c r="L11146" s="297"/>
      <c r="M11146" s="297"/>
      <c r="N11146" s="297"/>
      <c r="O11146" s="297"/>
      <c r="P11146" s="297"/>
      <c r="Q11146" s="297"/>
      <c r="R11146" s="297"/>
      <c r="S11146" s="297"/>
      <c r="T11146" s="297"/>
    </row>
    <row r="11147" spans="1:20" ht="15.75" customHeight="1" x14ac:dyDescent="0.25">
      <c r="A11147" s="952"/>
      <c r="B11147" s="953" t="s">
        <v>1976</v>
      </c>
      <c r="C11147" s="953"/>
      <c r="D11147" s="954"/>
      <c r="E11147" s="955"/>
      <c r="F11147" s="956"/>
      <c r="G11147" s="956"/>
      <c r="H11147" s="957"/>
      <c r="I11147" s="390"/>
      <c r="J11147" s="390"/>
      <c r="K11147" s="390"/>
      <c r="L11147" s="390"/>
      <c r="M11147" s="390"/>
      <c r="N11147" s="390"/>
      <c r="O11147" s="390"/>
      <c r="P11147" s="390"/>
      <c r="Q11147" s="390"/>
      <c r="R11147" s="390"/>
      <c r="S11147" s="390"/>
      <c r="T11147" s="390"/>
    </row>
    <row r="11148" spans="1:20" ht="15.75" customHeight="1" x14ac:dyDescent="0.25">
      <c r="A11148" s="412">
        <v>1</v>
      </c>
      <c r="B11148" s="958" t="s">
        <v>1977</v>
      </c>
      <c r="C11148" s="422"/>
      <c r="D11148" s="415">
        <v>9</v>
      </c>
      <c r="E11148" s="415">
        <v>1</v>
      </c>
      <c r="F11148" s="415">
        <f t="shared" ref="F11148:F11156" si="381">+E11148*D11148</f>
      </c>
      <c r="G11148" s="415">
        <v>1</v>
      </c>
      <c r="H11148" s="416">
        <f t="shared" ref="H11148:H11156" si="382">+G11148*F11148</f>
      </c>
      <c r="I11148" s="390"/>
      <c r="J11148" s="390"/>
      <c r="K11148" s="390"/>
      <c r="L11148" s="390"/>
      <c r="M11148" s="390"/>
      <c r="N11148" s="390"/>
      <c r="O11148" s="390"/>
      <c r="P11148" s="390"/>
      <c r="Q11148" s="390"/>
      <c r="R11148" s="390"/>
      <c r="S11148" s="390"/>
      <c r="T11148" s="390"/>
    </row>
    <row r="11149" spans="1:20" ht="15.75" customHeight="1" x14ac:dyDescent="0.25">
      <c r="A11149" s="412">
        <v>2</v>
      </c>
      <c r="B11149" s="959" t="s">
        <v>1978</v>
      </c>
      <c r="C11149" s="422"/>
      <c r="D11149" s="842">
        <v>30</v>
      </c>
      <c r="E11149" s="415">
        <v>1</v>
      </c>
      <c r="F11149" s="415">
        <f t="shared" si="381"/>
      </c>
      <c r="G11149" s="415">
        <v>1</v>
      </c>
      <c r="H11149" s="416">
        <f t="shared" si="382"/>
      </c>
      <c r="I11149" s="390"/>
      <c r="J11149" s="390"/>
      <c r="K11149" s="390"/>
      <c r="L11149" s="390"/>
      <c r="M11149" s="390"/>
      <c r="N11149" s="390"/>
      <c r="O11149" s="390"/>
      <c r="P11149" s="390"/>
      <c r="Q11149" s="390"/>
      <c r="R11149" s="390"/>
      <c r="S11149" s="390"/>
      <c r="T11149" s="390"/>
    </row>
    <row r="11150" spans="1:20" ht="15.75" customHeight="1" x14ac:dyDescent="0.25">
      <c r="A11150" s="412">
        <v>3</v>
      </c>
      <c r="B11150" s="960" t="s">
        <v>1979</v>
      </c>
      <c r="C11150" s="422"/>
      <c r="D11150" s="842">
        <v>30</v>
      </c>
      <c r="E11150" s="415">
        <v>1</v>
      </c>
      <c r="F11150" s="415">
        <f t="shared" si="381"/>
      </c>
      <c r="G11150" s="415">
        <v>1</v>
      </c>
      <c r="H11150" s="416">
        <f t="shared" si="382"/>
      </c>
      <c r="I11150" s="390"/>
      <c r="J11150" s="390"/>
      <c r="K11150" s="390"/>
      <c r="L11150" s="390"/>
      <c r="M11150" s="390"/>
      <c r="N11150" s="390"/>
      <c r="O11150" s="390"/>
      <c r="P11150" s="390"/>
      <c r="Q11150" s="390"/>
      <c r="R11150" s="390"/>
      <c r="S11150" s="390"/>
      <c r="T11150" s="390"/>
    </row>
    <row r="11151" spans="1:20" ht="15.75" customHeight="1" x14ac:dyDescent="0.25">
      <c r="A11151" s="412">
        <v>4</v>
      </c>
      <c r="B11151" s="960" t="s">
        <v>1980</v>
      </c>
      <c r="C11151" s="422"/>
      <c r="D11151" s="842">
        <v>10</v>
      </c>
      <c r="E11151" s="415">
        <v>1</v>
      </c>
      <c r="F11151" s="415">
        <f t="shared" si="381"/>
      </c>
      <c r="G11151" s="415">
        <v>1</v>
      </c>
      <c r="H11151" s="416">
        <f t="shared" si="382"/>
      </c>
      <c r="I11151" s="390"/>
      <c r="J11151" s="390"/>
      <c r="K11151" s="390"/>
      <c r="L11151" s="390"/>
      <c r="M11151" s="390"/>
      <c r="N11151" s="390"/>
      <c r="O11151" s="390"/>
      <c r="P11151" s="390"/>
      <c r="Q11151" s="390"/>
      <c r="R11151" s="390"/>
      <c r="S11151" s="390"/>
      <c r="T11151" s="390"/>
    </row>
    <row r="11152" spans="1:20" ht="15.75" customHeight="1" x14ac:dyDescent="0.25">
      <c r="A11152" s="412">
        <v>5</v>
      </c>
      <c r="B11152" s="960" t="s">
        <v>1981</v>
      </c>
      <c r="C11152" s="422"/>
      <c r="D11152" s="842">
        <v>12</v>
      </c>
      <c r="E11152" s="415">
        <v>1</v>
      </c>
      <c r="F11152" s="415">
        <f t="shared" si="381"/>
      </c>
      <c r="G11152" s="415">
        <v>1</v>
      </c>
      <c r="H11152" s="416">
        <f t="shared" si="382"/>
      </c>
      <c r="I11152" s="390"/>
      <c r="J11152" s="390"/>
      <c r="K11152" s="390"/>
      <c r="L11152" s="390"/>
      <c r="M11152" s="390"/>
      <c r="N11152" s="390"/>
      <c r="O11152" s="390"/>
      <c r="P11152" s="390"/>
      <c r="Q11152" s="390"/>
      <c r="R11152" s="390"/>
      <c r="S11152" s="390"/>
      <c r="T11152" s="390"/>
    </row>
    <row r="11153" spans="1:20" ht="15.75" customHeight="1" x14ac:dyDescent="0.25">
      <c r="A11153" s="412">
        <v>6</v>
      </c>
      <c r="B11153" s="958" t="s">
        <v>1982</v>
      </c>
      <c r="C11153" s="422"/>
      <c r="D11153" s="842">
        <v>8</v>
      </c>
      <c r="E11153" s="415">
        <v>1</v>
      </c>
      <c r="F11153" s="415">
        <f t="shared" si="381"/>
      </c>
      <c r="G11153" s="415">
        <v>1</v>
      </c>
      <c r="H11153" s="416">
        <f t="shared" si="382"/>
      </c>
      <c r="I11153" s="390"/>
      <c r="J11153" s="390"/>
      <c r="K11153" s="390"/>
      <c r="L11153" s="390"/>
      <c r="M11153" s="390"/>
      <c r="N11153" s="390"/>
      <c r="O11153" s="390"/>
      <c r="P11153" s="390"/>
      <c r="Q11153" s="390"/>
      <c r="R11153" s="390"/>
      <c r="S11153" s="390"/>
      <c r="T11153" s="390"/>
    </row>
    <row r="11154" spans="1:20" ht="15.75" customHeight="1" x14ac:dyDescent="0.25">
      <c r="A11154" s="412">
        <v>7</v>
      </c>
      <c r="B11154" s="958" t="s">
        <v>1983</v>
      </c>
      <c r="C11154" s="422"/>
      <c r="D11154" s="842">
        <v>10</v>
      </c>
      <c r="E11154" s="415">
        <v>1</v>
      </c>
      <c r="F11154" s="415">
        <f t="shared" si="381"/>
      </c>
      <c r="G11154" s="415">
        <v>1</v>
      </c>
      <c r="H11154" s="416">
        <f t="shared" si="382"/>
      </c>
      <c r="I11154" s="390"/>
      <c r="J11154" s="390"/>
      <c r="K11154" s="390"/>
      <c r="L11154" s="390"/>
      <c r="M11154" s="390"/>
      <c r="N11154" s="390"/>
      <c r="O11154" s="390"/>
      <c r="P11154" s="390"/>
      <c r="Q11154" s="390"/>
      <c r="R11154" s="390"/>
      <c r="S11154" s="390"/>
      <c r="T11154" s="390"/>
    </row>
    <row r="11155" spans="1:20" ht="15.75" customHeight="1" x14ac:dyDescent="0.25">
      <c r="A11155" s="412">
        <v>8</v>
      </c>
      <c r="B11155" s="960" t="s">
        <v>2285</v>
      </c>
      <c r="C11155" s="422"/>
      <c r="D11155" s="842">
        <v>10</v>
      </c>
      <c r="E11155" s="415">
        <v>1</v>
      </c>
      <c r="F11155" s="415">
        <f t="shared" si="381"/>
      </c>
      <c r="G11155" s="415">
        <v>1</v>
      </c>
      <c r="H11155" s="416">
        <f t="shared" si="382"/>
      </c>
      <c r="I11155" s="390"/>
      <c r="J11155" s="390"/>
      <c r="K11155" s="390"/>
      <c r="L11155" s="390"/>
      <c r="M11155" s="390"/>
      <c r="N11155" s="390"/>
      <c r="O11155" s="390"/>
      <c r="P11155" s="390"/>
      <c r="Q11155" s="390"/>
      <c r="R11155" s="390"/>
      <c r="S11155" s="390"/>
      <c r="T11155" s="390"/>
    </row>
    <row r="11156" spans="1:20" ht="15.75" customHeight="1" x14ac:dyDescent="0.25">
      <c r="A11156" s="412">
        <v>9</v>
      </c>
      <c r="B11156" s="961" t="s">
        <v>1985</v>
      </c>
      <c r="C11156" s="422"/>
      <c r="D11156" s="842">
        <v>5</v>
      </c>
      <c r="E11156" s="415">
        <v>1</v>
      </c>
      <c r="F11156" s="415">
        <f t="shared" si="381"/>
      </c>
      <c r="G11156" s="415">
        <v>1</v>
      </c>
      <c r="H11156" s="416">
        <f t="shared" si="382"/>
      </c>
      <c r="I11156" s="297"/>
      <c r="J11156" s="297"/>
      <c r="K11156" s="297"/>
      <c r="L11156" s="297"/>
      <c r="M11156" s="297"/>
      <c r="N11156" s="297"/>
      <c r="O11156" s="297"/>
      <c r="P11156" s="297"/>
      <c r="Q11156" s="297"/>
      <c r="R11156" s="297"/>
      <c r="S11156" s="297"/>
      <c r="T11156" s="297"/>
    </row>
    <row r="11157" spans="1:20" ht="15.75" customHeight="1" x14ac:dyDescent="0.25">
      <c r="A11157" s="952"/>
      <c r="B11157" s="953" t="s">
        <v>1402</v>
      </c>
      <c r="C11157" s="953"/>
      <c r="D11157" s="962">
        <f>SUM(D11148:D11156)</f>
      </c>
      <c r="E11157" s="954"/>
      <c r="F11157" s="956"/>
      <c r="G11157" s="956"/>
      <c r="H11157" s="957"/>
      <c r="I11157" s="390"/>
      <c r="J11157" s="390"/>
      <c r="K11157" s="390"/>
      <c r="L11157" s="390"/>
      <c r="M11157" s="390"/>
      <c r="N11157" s="390"/>
      <c r="O11157" s="390"/>
      <c r="P11157" s="390"/>
      <c r="Q11157" s="390"/>
      <c r="R11157" s="390"/>
      <c r="S11157" s="390"/>
      <c r="T11157" s="390"/>
    </row>
    <row r="11158" spans="1:20" ht="15.75" customHeight="1" x14ac:dyDescent="0.25">
      <c r="A11158" s="412">
        <v>10</v>
      </c>
      <c r="B11158" s="960" t="s">
        <v>1404</v>
      </c>
      <c r="C11158" s="422"/>
      <c r="D11158" s="842">
        <v>50</v>
      </c>
      <c r="E11158" s="415">
        <v>1</v>
      </c>
      <c r="F11158" s="415">
        <f t="shared" ref="F11158:F11161" si="383">+E11158*D11158</f>
      </c>
      <c r="G11158" s="415">
        <v>1</v>
      </c>
      <c r="H11158" s="416">
        <f t="shared" ref="H11158:H11161" si="384">+G11158*F11158</f>
      </c>
      <c r="I11158" s="390"/>
      <c r="J11158" s="390"/>
      <c r="K11158" s="390"/>
      <c r="L11158" s="390"/>
      <c r="M11158" s="390"/>
      <c r="N11158" s="390"/>
      <c r="O11158" s="390"/>
      <c r="P11158" s="390"/>
      <c r="Q11158" s="390"/>
      <c r="R11158" s="390"/>
      <c r="S11158" s="390"/>
      <c r="T11158" s="390"/>
    </row>
    <row r="11159" spans="1:20" ht="15.75" customHeight="1" x14ac:dyDescent="0.25">
      <c r="A11159" s="412">
        <v>11</v>
      </c>
      <c r="B11159" s="960" t="s">
        <v>2286</v>
      </c>
      <c r="C11159" s="422"/>
      <c r="D11159" s="842">
        <v>15</v>
      </c>
      <c r="E11159" s="415">
        <v>1</v>
      </c>
      <c r="F11159" s="415">
        <f t="shared" si="383"/>
      </c>
      <c r="G11159" s="415">
        <v>1</v>
      </c>
      <c r="H11159" s="416">
        <f t="shared" si="384"/>
      </c>
      <c r="I11159" s="390"/>
      <c r="J11159" s="390"/>
      <c r="K11159" s="390"/>
      <c r="L11159" s="390"/>
      <c r="M11159" s="390"/>
      <c r="N11159" s="390"/>
      <c r="O11159" s="390"/>
      <c r="P11159" s="390"/>
      <c r="Q11159" s="390"/>
      <c r="R11159" s="390"/>
      <c r="S11159" s="390"/>
      <c r="T11159" s="390"/>
    </row>
    <row r="11160" spans="1:20" ht="15.75" customHeight="1" x14ac:dyDescent="0.25">
      <c r="A11160" s="412">
        <v>12</v>
      </c>
      <c r="B11160" s="960" t="s">
        <v>1987</v>
      </c>
      <c r="C11160" s="422"/>
      <c r="D11160" s="842">
        <v>1</v>
      </c>
      <c r="E11160" s="415">
        <v>1</v>
      </c>
      <c r="F11160" s="415">
        <f t="shared" si="383"/>
      </c>
      <c r="G11160" s="415">
        <v>1</v>
      </c>
      <c r="H11160" s="416">
        <f t="shared" si="384"/>
      </c>
      <c r="I11160" s="390"/>
      <c r="J11160" s="390"/>
      <c r="K11160" s="390"/>
      <c r="L11160" s="390"/>
      <c r="M11160" s="390"/>
      <c r="N11160" s="390"/>
      <c r="O11160" s="390"/>
      <c r="P11160" s="390"/>
      <c r="Q11160" s="390"/>
      <c r="R11160" s="390"/>
      <c r="S11160" s="390"/>
      <c r="T11160" s="390"/>
    </row>
    <row r="11161" spans="1:20" ht="15.75" customHeight="1" x14ac:dyDescent="0.25">
      <c r="A11161" s="412">
        <v>13</v>
      </c>
      <c r="B11161" s="960" t="s">
        <v>1988</v>
      </c>
      <c r="C11161" s="422"/>
      <c r="D11161" s="842">
        <v>1</v>
      </c>
      <c r="E11161" s="415">
        <v>1</v>
      </c>
      <c r="F11161" s="415">
        <f t="shared" si="383"/>
      </c>
      <c r="G11161" s="415">
        <v>1</v>
      </c>
      <c r="H11161" s="416">
        <f t="shared" si="384"/>
      </c>
    </row>
    <row r="11162" spans="1:20" ht="15.75" customHeight="1" x14ac:dyDescent="0.25">
      <c r="A11162" s="412"/>
      <c r="B11162" s="953" t="s">
        <v>1489</v>
      </c>
      <c r="C11162" s="953"/>
      <c r="D11162" s="951">
        <f>SUM(D11158:D11161)</f>
      </c>
      <c r="E11162" s="879"/>
      <c r="F11162" s="415"/>
      <c r="G11162" s="415"/>
      <c r="H11162" s="416"/>
      <c r="I11162" s="390"/>
      <c r="J11162" s="390"/>
      <c r="K11162" s="390"/>
      <c r="L11162" s="390"/>
      <c r="M11162" s="390"/>
      <c r="N11162" s="390"/>
      <c r="O11162" s="390"/>
      <c r="P11162" s="390"/>
      <c r="Q11162" s="390"/>
      <c r="R11162" s="390"/>
      <c r="S11162" s="390"/>
      <c r="T11162" s="390"/>
    </row>
    <row r="11163" spans="1:20" ht="15.75" customHeight="1" x14ac:dyDescent="0.25">
      <c r="A11163" s="412">
        <v>14</v>
      </c>
      <c r="B11163" s="961" t="s">
        <v>1989</v>
      </c>
      <c r="C11163" s="422"/>
      <c r="D11163" s="842">
        <v>5</v>
      </c>
      <c r="E11163" s="415">
        <v>1</v>
      </c>
      <c r="F11163" s="415">
        <f t="shared" ref="F11163:F11175" si="385">+E11163*D11163</f>
      </c>
      <c r="G11163" s="415">
        <v>1</v>
      </c>
      <c r="H11163" s="416">
        <f t="shared" ref="H11163:H11175" si="386">+G11163*F11163</f>
      </c>
      <c r="I11163" s="390"/>
      <c r="J11163" s="390"/>
      <c r="K11163" s="390"/>
      <c r="L11163" s="390"/>
      <c r="M11163" s="390"/>
      <c r="N11163" s="390"/>
      <c r="O11163" s="390"/>
      <c r="P11163" s="390"/>
      <c r="Q11163" s="390"/>
      <c r="R11163" s="390"/>
      <c r="S11163" s="390"/>
      <c r="T11163" s="390"/>
    </row>
    <row r="11164" spans="1:20" ht="15.75" customHeight="1" x14ac:dyDescent="0.25">
      <c r="A11164" s="412">
        <v>15</v>
      </c>
      <c r="B11164" s="960" t="s">
        <v>1500</v>
      </c>
      <c r="C11164" s="422"/>
      <c r="D11164" s="842">
        <v>5</v>
      </c>
      <c r="E11164" s="415">
        <v>1</v>
      </c>
      <c r="F11164" s="415">
        <f t="shared" si="385"/>
      </c>
      <c r="G11164" s="415">
        <v>1</v>
      </c>
      <c r="H11164" s="416">
        <f t="shared" si="386"/>
      </c>
      <c r="I11164" s="390"/>
      <c r="J11164" s="390"/>
      <c r="K11164" s="390"/>
      <c r="L11164" s="390"/>
      <c r="M11164" s="390"/>
      <c r="N11164" s="390"/>
      <c r="O11164" s="390"/>
      <c r="P11164" s="390"/>
      <c r="Q11164" s="390"/>
      <c r="R11164" s="390"/>
      <c r="S11164" s="390"/>
      <c r="T11164" s="390"/>
    </row>
    <row r="11165" spans="1:20" ht="15.75" customHeight="1" x14ac:dyDescent="0.25">
      <c r="A11165" s="412">
        <v>16</v>
      </c>
      <c r="B11165" s="960" t="s">
        <v>1991</v>
      </c>
      <c r="C11165" s="422"/>
      <c r="D11165" s="842">
        <v>3</v>
      </c>
      <c r="E11165" s="415">
        <v>1</v>
      </c>
      <c r="F11165" s="415">
        <f t="shared" si="385"/>
      </c>
      <c r="G11165" s="415">
        <v>1</v>
      </c>
      <c r="H11165" s="416">
        <f t="shared" si="386"/>
      </c>
      <c r="I11165" s="390"/>
      <c r="J11165" s="390"/>
      <c r="K11165" s="390"/>
      <c r="L11165" s="390"/>
      <c r="M11165" s="390"/>
      <c r="N11165" s="390"/>
      <c r="O11165" s="390"/>
      <c r="P11165" s="390"/>
      <c r="Q11165" s="390"/>
      <c r="R11165" s="390"/>
      <c r="S11165" s="390"/>
      <c r="T11165" s="390"/>
    </row>
    <row r="11166" spans="1:20" ht="15.75" customHeight="1" x14ac:dyDescent="0.25">
      <c r="A11166" s="412">
        <v>17</v>
      </c>
      <c r="B11166" s="960" t="s">
        <v>1992</v>
      </c>
      <c r="C11166" s="422"/>
      <c r="D11166" s="842">
        <v>2</v>
      </c>
      <c r="E11166" s="415">
        <v>1</v>
      </c>
      <c r="F11166" s="415">
        <f t="shared" si="385"/>
      </c>
      <c r="G11166" s="415">
        <v>1</v>
      </c>
      <c r="H11166" s="416">
        <f t="shared" si="386"/>
      </c>
      <c r="I11166" s="390"/>
      <c r="J11166" s="390"/>
      <c r="K11166" s="390"/>
      <c r="L11166" s="390"/>
      <c r="M11166" s="390"/>
      <c r="N11166" s="390"/>
      <c r="O11166" s="390"/>
      <c r="P11166" s="390"/>
      <c r="Q11166" s="390"/>
      <c r="R11166" s="390"/>
      <c r="S11166" s="390"/>
      <c r="T11166" s="390"/>
    </row>
    <row r="11167" spans="1:20" ht="15.75" customHeight="1" x14ac:dyDescent="0.25">
      <c r="A11167" s="412">
        <v>18</v>
      </c>
      <c r="B11167" s="961" t="s">
        <v>1490</v>
      </c>
      <c r="C11167" s="422"/>
      <c r="D11167" s="842">
        <v>4</v>
      </c>
      <c r="E11167" s="415">
        <v>1</v>
      </c>
      <c r="F11167" s="415">
        <f t="shared" si="385"/>
      </c>
      <c r="G11167" s="415">
        <v>1</v>
      </c>
      <c r="H11167" s="416">
        <f t="shared" si="386"/>
      </c>
      <c r="I11167" s="390"/>
      <c r="J11167" s="390"/>
      <c r="K11167" s="390"/>
      <c r="L11167" s="390"/>
      <c r="M11167" s="390"/>
      <c r="N11167" s="390"/>
      <c r="O11167" s="390"/>
      <c r="P11167" s="390"/>
      <c r="Q11167" s="390"/>
      <c r="R11167" s="390"/>
      <c r="S11167" s="390"/>
      <c r="T11167" s="390"/>
    </row>
    <row r="11168" spans="1:20" ht="15.75" customHeight="1" x14ac:dyDescent="0.25">
      <c r="A11168" s="412">
        <v>19</v>
      </c>
      <c r="B11168" s="960" t="s">
        <v>1993</v>
      </c>
      <c r="C11168" s="422"/>
      <c r="D11168" s="842">
        <v>3</v>
      </c>
      <c r="E11168" s="415">
        <v>1</v>
      </c>
      <c r="F11168" s="415">
        <f t="shared" si="385"/>
      </c>
      <c r="G11168" s="415">
        <v>1</v>
      </c>
      <c r="H11168" s="416">
        <f t="shared" si="386"/>
      </c>
      <c r="I11168" s="390"/>
      <c r="J11168" s="390"/>
      <c r="K11168" s="390"/>
      <c r="L11168" s="390"/>
      <c r="M11168" s="390"/>
      <c r="N11168" s="390"/>
      <c r="O11168" s="390"/>
      <c r="P11168" s="390"/>
      <c r="Q11168" s="390"/>
      <c r="R11168" s="390"/>
      <c r="S11168" s="390"/>
      <c r="T11168" s="390"/>
    </row>
    <row r="11169" spans="1:20" ht="15.75" customHeight="1" x14ac:dyDescent="0.25">
      <c r="A11169" s="412">
        <v>20</v>
      </c>
      <c r="B11169" s="960" t="s">
        <v>1995</v>
      </c>
      <c r="C11169" s="422"/>
      <c r="D11169" s="842">
        <v>3</v>
      </c>
      <c r="E11169" s="415">
        <v>1</v>
      </c>
      <c r="F11169" s="415">
        <f t="shared" si="385"/>
      </c>
      <c r="G11169" s="415">
        <v>1</v>
      </c>
      <c r="H11169" s="416">
        <f t="shared" si="386"/>
      </c>
      <c r="I11169" s="390"/>
      <c r="J11169" s="390"/>
      <c r="K11169" s="390"/>
      <c r="L11169" s="390"/>
      <c r="M11169" s="390"/>
      <c r="N11169" s="390"/>
      <c r="O11169" s="390"/>
      <c r="P11169" s="390"/>
      <c r="Q11169" s="390"/>
      <c r="R11169" s="390"/>
      <c r="S11169" s="390"/>
      <c r="T11169" s="390"/>
    </row>
    <row r="11170" spans="1:20" ht="15.75" customHeight="1" x14ac:dyDescent="0.25">
      <c r="A11170" s="412">
        <v>21</v>
      </c>
      <c r="B11170" s="961" t="s">
        <v>1551</v>
      </c>
      <c r="C11170" s="422"/>
      <c r="D11170" s="415">
        <v>0</v>
      </c>
      <c r="E11170" s="415">
        <v>1</v>
      </c>
      <c r="F11170" s="415">
        <f t="shared" si="385"/>
      </c>
      <c r="G11170" s="415">
        <v>1</v>
      </c>
      <c r="H11170" s="416">
        <f t="shared" si="386"/>
      </c>
      <c r="I11170" s="390"/>
      <c r="J11170" s="390"/>
      <c r="K11170" s="390"/>
      <c r="L11170" s="390"/>
      <c r="M11170" s="390"/>
      <c r="N11170" s="390"/>
      <c r="O11170" s="390"/>
      <c r="P11170" s="390"/>
      <c r="Q11170" s="390"/>
      <c r="R11170" s="390"/>
      <c r="S11170" s="390"/>
      <c r="T11170" s="390"/>
    </row>
    <row r="11171" spans="1:20" ht="15.75" customHeight="1" x14ac:dyDescent="0.25">
      <c r="A11171" s="412">
        <v>22</v>
      </c>
      <c r="B11171" s="961" t="s">
        <v>1997</v>
      </c>
      <c r="C11171" s="422"/>
      <c r="D11171" s="415">
        <v>8</v>
      </c>
      <c r="E11171" s="415">
        <v>1</v>
      </c>
      <c r="F11171" s="415">
        <f t="shared" si="385"/>
      </c>
      <c r="G11171" s="415">
        <v>1</v>
      </c>
      <c r="H11171" s="416">
        <f t="shared" si="386"/>
      </c>
      <c r="I11171" s="390"/>
      <c r="J11171" s="390"/>
      <c r="K11171" s="390"/>
      <c r="L11171" s="390"/>
      <c r="M11171" s="390"/>
      <c r="N11171" s="390"/>
      <c r="O11171" s="390"/>
      <c r="P11171" s="390"/>
      <c r="Q11171" s="390"/>
      <c r="R11171" s="390"/>
      <c r="S11171" s="390"/>
      <c r="T11171" s="390"/>
    </row>
    <row r="11172" spans="1:20" ht="15.75" customHeight="1" x14ac:dyDescent="0.25">
      <c r="A11172" s="412">
        <v>23</v>
      </c>
      <c r="B11172" s="960" t="s">
        <v>2287</v>
      </c>
      <c r="C11172" s="422"/>
      <c r="D11172" s="415">
        <v>50</v>
      </c>
      <c r="E11172" s="415">
        <v>1</v>
      </c>
      <c r="F11172" s="415">
        <f t="shared" si="385"/>
      </c>
      <c r="G11172" s="415">
        <v>1</v>
      </c>
      <c r="H11172" s="416">
        <f t="shared" si="386"/>
      </c>
      <c r="I11172" s="390"/>
      <c r="J11172" s="390"/>
      <c r="K11172" s="390"/>
      <c r="L11172" s="390"/>
      <c r="M11172" s="390"/>
      <c r="N11172" s="390"/>
      <c r="O11172" s="390"/>
      <c r="P11172" s="390"/>
      <c r="Q11172" s="390"/>
      <c r="R11172" s="390"/>
      <c r="S11172" s="390"/>
      <c r="T11172" s="390"/>
    </row>
    <row r="11173" spans="1:20" ht="15.75" customHeight="1" x14ac:dyDescent="0.25">
      <c r="A11173" s="412">
        <v>24</v>
      </c>
      <c r="B11173" s="963" t="s">
        <v>1999</v>
      </c>
      <c r="C11173" s="422"/>
      <c r="D11173" s="415">
        <v>30</v>
      </c>
      <c r="E11173" s="415">
        <v>1</v>
      </c>
      <c r="F11173" s="415">
        <f t="shared" si="385"/>
      </c>
      <c r="G11173" s="415">
        <v>1</v>
      </c>
      <c r="H11173" s="416">
        <f t="shared" si="386"/>
      </c>
      <c r="I11173" s="390"/>
      <c r="J11173" s="390"/>
      <c r="K11173" s="390"/>
      <c r="L11173" s="390"/>
      <c r="M11173" s="390"/>
      <c r="N11173" s="390"/>
      <c r="O11173" s="390"/>
      <c r="P11173" s="390"/>
      <c r="Q11173" s="390"/>
      <c r="R11173" s="390"/>
      <c r="S11173" s="390"/>
      <c r="T11173" s="390"/>
    </row>
    <row r="11174" spans="1:20" ht="15.75" customHeight="1" x14ac:dyDescent="0.25">
      <c r="A11174" s="412">
        <v>25</v>
      </c>
      <c r="B11174" s="961" t="s">
        <v>15</v>
      </c>
      <c r="C11174" s="422"/>
      <c r="D11174" s="415">
        <v>15</v>
      </c>
      <c r="E11174" s="415">
        <v>1</v>
      </c>
      <c r="F11174" s="415">
        <f t="shared" si="385"/>
      </c>
      <c r="G11174" s="415">
        <v>1</v>
      </c>
      <c r="H11174" s="416">
        <f t="shared" si="386"/>
      </c>
      <c r="I11174" s="390"/>
      <c r="J11174" s="390"/>
      <c r="K11174" s="390"/>
      <c r="L11174" s="390"/>
      <c r="M11174" s="390"/>
      <c r="N11174" s="390"/>
      <c r="O11174" s="390"/>
      <c r="P11174" s="390"/>
      <c r="Q11174" s="390"/>
      <c r="R11174" s="390"/>
      <c r="S11174" s="390"/>
      <c r="T11174" s="390"/>
    </row>
    <row r="11175" spans="1:20" ht="15.75" customHeight="1" x14ac:dyDescent="0.25">
      <c r="A11175" s="412">
        <v>26</v>
      </c>
      <c r="B11175" s="960" t="s">
        <v>2000</v>
      </c>
      <c r="C11175" s="422"/>
      <c r="D11175" s="415">
        <v>5</v>
      </c>
      <c r="E11175" s="415">
        <v>1</v>
      </c>
      <c r="F11175" s="415">
        <f t="shared" si="385"/>
      </c>
      <c r="G11175" s="415">
        <v>1</v>
      </c>
      <c r="H11175" s="416">
        <f t="shared" si="386"/>
      </c>
      <c r="I11175" s="390"/>
      <c r="J11175" s="390"/>
      <c r="K11175" s="390"/>
      <c r="L11175" s="390"/>
      <c r="M11175" s="390"/>
      <c r="N11175" s="390"/>
      <c r="O11175" s="390"/>
      <c r="P11175" s="390"/>
      <c r="Q11175" s="390"/>
      <c r="R11175" s="390"/>
      <c r="S11175" s="390"/>
      <c r="T11175" s="390"/>
    </row>
    <row r="11176" spans="1:20" ht="15.75" customHeight="1" x14ac:dyDescent="0.25">
      <c r="A11176" s="412"/>
      <c r="B11176" s="422"/>
      <c r="C11176" s="422"/>
      <c r="D11176" s="578">
        <f>SUM(D11163:D11175)</f>
      </c>
      <c r="E11176" s="415"/>
      <c r="F11176" s="415"/>
      <c r="G11176" s="415"/>
      <c r="H11176" s="416"/>
      <c r="I11176" s="390"/>
      <c r="J11176" s="390"/>
      <c r="K11176" s="390"/>
      <c r="L11176" s="390"/>
      <c r="M11176" s="390"/>
      <c r="N11176" s="390"/>
      <c r="O11176" s="390"/>
      <c r="P11176" s="390"/>
      <c r="Q11176" s="390"/>
      <c r="R11176" s="390"/>
      <c r="S11176" s="390"/>
      <c r="T11176" s="390"/>
    </row>
    <row r="11177" spans="1:20" ht="15.75" customHeight="1" x14ac:dyDescent="0.25">
      <c r="A11177" s="412"/>
      <c r="B11177" s="960"/>
      <c r="C11177" s="422"/>
      <c r="D11177" s="415"/>
      <c r="E11177" s="415"/>
      <c r="F11177" s="415"/>
      <c r="G11177" s="415"/>
      <c r="H11177" s="416"/>
    </row>
    <row r="11178" spans="1:20" ht="15.75" customHeight="1" x14ac:dyDescent="0.3">
      <c r="A11178" s="880"/>
      <c r="B11178" s="964"/>
      <c r="C11178" s="891"/>
      <c r="D11178" s="965"/>
      <c r="E11178" s="965"/>
      <c r="F11178" s="892"/>
      <c r="G11178" s="892"/>
      <c r="H11178" s="893"/>
    </row>
    <row r="11179" spans="1:20" ht="15.75" customHeight="1" x14ac:dyDescent="0.3">
      <c r="A11179" s="451"/>
      <c r="B11179" s="966"/>
      <c r="C11179" s="885"/>
      <c r="D11179" s="4"/>
      <c r="E11179" s="4"/>
      <c r="F11179" s="391"/>
      <c r="G11179" s="391"/>
      <c r="H11179" s="394"/>
    </row>
    <row r="11180" spans="1:20" ht="15.75" customHeight="1" x14ac:dyDescent="0.3">
      <c r="A11180" s="451"/>
      <c r="B11180" s="966"/>
      <c r="C11180" s="885"/>
      <c r="D11180" s="4"/>
      <c r="E11180" s="4"/>
      <c r="F11180" s="398" t="s">
        <v>2288</v>
      </c>
      <c r="G11180" s="391"/>
      <c r="H11180" s="394"/>
    </row>
    <row r="11181" spans="1:20" ht="15.75" customHeight="1" x14ac:dyDescent="0.3">
      <c r="A11181" s="451"/>
      <c r="B11181" s="966"/>
      <c r="C11181" s="885"/>
      <c r="D11181" s="4"/>
      <c r="E11181" s="4"/>
      <c r="F11181" s="391"/>
      <c r="G11181" s="391"/>
      <c r="H11181" s="394"/>
    </row>
    <row r="11182" spans="1:20" ht="15.75" customHeight="1" x14ac:dyDescent="0.3">
      <c r="A11182" s="451"/>
      <c r="B11182" s="966"/>
      <c r="C11182" s="885"/>
      <c r="D11182" s="4"/>
      <c r="E11182" s="4"/>
      <c r="F11182" s="391"/>
      <c r="G11182" s="391"/>
      <c r="H11182" s="394"/>
    </row>
    <row r="11183" spans="1:20" ht="15.75" customHeight="1" x14ac:dyDescent="0.25">
      <c r="A11183" s="8" t="s">
        <v>14</v>
      </c>
      <c r="B11183" s="8"/>
      <c r="C11183" s="8"/>
      <c r="D11183" s="8"/>
      <c r="E11183" s="8"/>
      <c r="F11183" s="8"/>
      <c r="G11183" s="8"/>
      <c r="H11183" s="8"/>
    </row>
    <row r="11184" spans="1:20" ht="15.75" customHeight="1" x14ac:dyDescent="0.25">
      <c r="A11184" s="388"/>
      <c r="B11184" s="388"/>
      <c r="C11184" s="388"/>
      <c r="D11184" s="389"/>
      <c r="E11184" s="388"/>
      <c r="F11184" s="388"/>
      <c r="G11184" s="388"/>
      <c r="H11184" s="8"/>
    </row>
    <row r="11185" spans="1:20" ht="15.75" customHeight="1" x14ac:dyDescent="0.25">
      <c r="A11185" s="390"/>
      <c r="B11185" s="390"/>
      <c r="D11185" s="392"/>
      <c r="E11185" s="393"/>
      <c r="F11185" s="393"/>
      <c r="G11185" s="393"/>
      <c r="H11185" s="394"/>
    </row>
    <row r="11186" spans="1:20" ht="15.75" customHeight="1" x14ac:dyDescent="0.25">
      <c r="A11186" s="390"/>
      <c r="B11186" s="390"/>
      <c r="C11186" s="390"/>
      <c r="D11186" s="391"/>
      <c r="E11186" s="390"/>
      <c r="F11186" s="395" t="s">
        <v>18</v>
      </c>
      <c r="G11186" s="396" t="s">
        <v>518</v>
      </c>
      <c r="H11186" s="397"/>
    </row>
    <row r="11187" spans="1:20" ht="15.75" customHeight="1" x14ac:dyDescent="0.25">
      <c r="A11187" s="390" t="s">
        <v>20</v>
      </c>
      <c r="B11187" s="390"/>
      <c r="C11187" s="398" t="s">
        <v>2289</v>
      </c>
      <c r="D11187" s="391"/>
      <c r="E11187" s="390"/>
      <c r="F11187" s="395" t="s">
        <v>21</v>
      </c>
      <c r="G11187" s="390" t="s">
        <v>1544</v>
      </c>
      <c r="H11187" s="391"/>
    </row>
    <row r="11188" spans="1:20" ht="15.75" customHeight="1" x14ac:dyDescent="0.25">
      <c r="A11188" s="390" t="inlineStr">
        <is>
          <t>Dealer-004</t>
        </is>
      </c>
      <c r="B11188" s="390"/>
      <c r="C11188" s="390"/>
      <c r="D11188" s="398"/>
      <c r="E11188" s="390"/>
      <c r="F11188" s="391"/>
      <c r="G11188" s="390"/>
      <c r="H11188" s="394"/>
    </row>
    <row r="11189" spans="1:20" ht="15.75" customHeight="1" x14ac:dyDescent="0.25">
      <c r="A11189" s="390" t="inlineStr">
        <is>
          <t>Address line (redacted)</t>
        </is>
      </c>
      <c r="B11189" s="390"/>
      <c r="C11189" s="390"/>
      <c r="D11189" s="398"/>
      <c r="E11189" s="390"/>
      <c r="F11189" s="391"/>
      <c r="G11189" s="390"/>
      <c r="H11189" s="394"/>
    </row>
    <row r="11190" spans="1:20" ht="15.75" customHeight="1" x14ac:dyDescent="0.25">
      <c r="A11190" s="390" t="inlineStr">
        <is>
          <t>Address line (redacted)</t>
        </is>
      </c>
      <c r="B11190" s="390"/>
      <c r="C11190" s="390"/>
      <c r="D11190" s="391"/>
      <c r="E11190" s="390"/>
      <c r="F11190" s="391"/>
      <c r="G11190" s="390"/>
      <c r="H11190" s="394"/>
    </row>
    <row r="11191" spans="1:20" ht="15.75" customHeight="1" x14ac:dyDescent="0.25">
      <c r="A11191" s="390"/>
      <c r="B11191" s="390"/>
      <c r="C11191" s="390"/>
      <c r="D11191" s="391"/>
      <c r="E11191" s="390"/>
      <c r="F11191" s="391"/>
      <c r="G11191" s="390"/>
      <c r="H11191" s="394"/>
    </row>
    <row r="11192" spans="1:20" ht="15.75" customHeight="1" x14ac:dyDescent="0.25">
      <c r="A11192" s="390" t="s">
        <v>30</v>
      </c>
      <c r="B11192" s="390"/>
      <c r="C11192" s="390"/>
      <c r="D11192" s="391"/>
      <c r="E11192" s="390"/>
      <c r="F11192" s="391"/>
      <c r="G11192" s="390"/>
      <c r="H11192" s="394"/>
    </row>
    <row r="11193" spans="1:20" ht="15.75" customHeight="1" x14ac:dyDescent="0.25">
      <c r="A11193" s="390"/>
      <c r="B11193" s="390"/>
      <c r="C11193" s="390"/>
      <c r="D11193" s="391"/>
      <c r="E11193" s="390"/>
      <c r="F11193" s="391"/>
      <c r="G11193" s="390"/>
      <c r="H11193" s="394"/>
    </row>
    <row r="11194" spans="1:20" ht="15.75" customHeight="1" x14ac:dyDescent="0.25">
      <c r="A11194" s="390" t="s">
        <v>716</v>
      </c>
      <c r="B11194" s="390"/>
      <c r="C11194" s="390"/>
      <c r="D11194" s="391"/>
      <c r="E11194" s="390"/>
      <c r="F11194" s="391"/>
      <c r="G11194" s="390"/>
      <c r="H11194" s="394"/>
    </row>
    <row r="11195" spans="1:20" ht="15.75" customHeight="1" x14ac:dyDescent="0.25">
      <c r="A11195" s="390" t="s">
        <v>717</v>
      </c>
      <c r="B11195" s="390"/>
      <c r="C11195" s="390"/>
      <c r="D11195" s="391"/>
      <c r="E11195" s="390"/>
      <c r="F11195" s="391"/>
      <c r="G11195" s="390"/>
      <c r="H11195" s="394"/>
    </row>
    <row r="11196" spans="1:20" ht="15.75" customHeight="1" x14ac:dyDescent="0.25">
      <c r="A11196" s="390"/>
      <c r="B11196" s="390"/>
      <c r="C11196" s="390"/>
      <c r="D11196" s="391"/>
      <c r="E11196" s="390"/>
      <c r="F11196" s="391"/>
      <c r="G11196" s="390"/>
      <c r="H11196" s="394"/>
    </row>
    <row r="11197" spans="1:20" ht="15.75" customHeight="1" x14ac:dyDescent="0.25">
      <c r="A11197" s="948" t="s">
        <v>33</v>
      </c>
      <c r="B11197" s="949" t="s">
        <v>6</v>
      </c>
      <c r="C11197" s="950"/>
      <c r="D11197" s="874" t="s">
        <v>37</v>
      </c>
      <c r="E11197" s="874" t="s">
        <v>38</v>
      </c>
      <c r="F11197" s="875" t="s">
        <v>7</v>
      </c>
      <c r="G11197" s="872" t="s">
        <v>43</v>
      </c>
      <c r="H11197" s="876" t="s">
        <v>44</v>
      </c>
    </row>
    <row r="11198" spans="1:20" ht="15.75" customHeight="1" x14ac:dyDescent="0.3">
      <c r="A11198" s="412"/>
      <c r="B11198" s="967"/>
      <c r="C11198" s="422"/>
      <c r="D11198" s="879"/>
      <c r="E11198" s="879"/>
      <c r="F11198" s="415"/>
      <c r="G11198" s="415"/>
      <c r="H11198" s="416"/>
      <c r="I11198" s="390"/>
      <c r="J11198" s="390"/>
      <c r="K11198" s="390"/>
      <c r="L11198" s="390"/>
      <c r="M11198" s="390"/>
      <c r="N11198" s="390"/>
      <c r="O11198" s="390"/>
      <c r="P11198" s="390"/>
      <c r="Q11198" s="390"/>
      <c r="R11198" s="390"/>
      <c r="S11198" s="390"/>
      <c r="T11198" s="390"/>
    </row>
    <row r="11199" spans="1:20" ht="15.75" customHeight="1" x14ac:dyDescent="0.25">
      <c r="A11199" s="412">
        <v>27</v>
      </c>
      <c r="B11199" s="960" t="s">
        <v>2001</v>
      </c>
      <c r="C11199" s="422"/>
      <c r="D11199" s="415">
        <v>7</v>
      </c>
      <c r="E11199" s="415">
        <v>1</v>
      </c>
      <c r="F11199" s="415">
        <f t="shared" ref="F11199:F11203" si="387">+E11199*D11199</f>
      </c>
      <c r="G11199" s="415">
        <v>1</v>
      </c>
      <c r="H11199" s="416">
        <f t="shared" ref="H11199:H11203" si="388">+G11199*F11199</f>
      </c>
      <c r="I11199" s="390"/>
      <c r="J11199" s="390"/>
      <c r="K11199" s="390"/>
      <c r="L11199" s="390"/>
      <c r="M11199" s="390"/>
      <c r="N11199" s="390"/>
      <c r="O11199" s="390"/>
      <c r="P11199" s="390"/>
      <c r="Q11199" s="390"/>
      <c r="R11199" s="390"/>
      <c r="S11199" s="390"/>
      <c r="T11199" s="390"/>
    </row>
    <row r="11200" spans="1:20" ht="15.75" customHeight="1" x14ac:dyDescent="0.25">
      <c r="A11200" s="412">
        <v>28</v>
      </c>
      <c r="B11200" s="959" t="s">
        <v>2290</v>
      </c>
      <c r="C11200" s="422"/>
      <c r="D11200" s="415">
        <v>11</v>
      </c>
      <c r="E11200" s="415">
        <v>1</v>
      </c>
      <c r="F11200" s="415">
        <f t="shared" si="387"/>
      </c>
      <c r="G11200" s="415">
        <v>1</v>
      </c>
      <c r="H11200" s="416">
        <f t="shared" si="388"/>
      </c>
      <c r="I11200" s="390"/>
      <c r="J11200" s="390"/>
      <c r="K11200" s="390"/>
      <c r="L11200" s="390"/>
      <c r="M11200" s="390"/>
      <c r="N11200" s="390"/>
      <c r="O11200" s="390"/>
      <c r="P11200" s="390"/>
      <c r="Q11200" s="390"/>
      <c r="R11200" s="390"/>
      <c r="S11200" s="390"/>
      <c r="T11200" s="390"/>
    </row>
    <row r="11201" spans="1:20" ht="15.75" customHeight="1" x14ac:dyDescent="0.25">
      <c r="A11201" s="412">
        <v>29</v>
      </c>
      <c r="B11201" s="960" t="s">
        <v>2291</v>
      </c>
      <c r="C11201" s="422"/>
      <c r="D11201" s="415">
        <v>3</v>
      </c>
      <c r="E11201" s="415">
        <v>1</v>
      </c>
      <c r="F11201" s="415">
        <f t="shared" si="387"/>
      </c>
      <c r="G11201" s="415">
        <v>1</v>
      </c>
      <c r="H11201" s="416">
        <f t="shared" si="388"/>
      </c>
      <c r="I11201" s="390"/>
      <c r="J11201" s="390"/>
      <c r="K11201" s="390"/>
      <c r="L11201" s="390"/>
      <c r="M11201" s="390"/>
      <c r="N11201" s="390"/>
      <c r="O11201" s="390"/>
      <c r="P11201" s="390"/>
      <c r="Q11201" s="390"/>
      <c r="R11201" s="390"/>
      <c r="S11201" s="390"/>
      <c r="T11201" s="390"/>
    </row>
    <row r="11202" spans="1:20" ht="15.75" customHeight="1" x14ac:dyDescent="0.25">
      <c r="A11202" s="412">
        <v>30</v>
      </c>
      <c r="B11202" s="960" t="s">
        <v>1545</v>
      </c>
      <c r="C11202" s="422"/>
      <c r="D11202" s="415">
        <v>3</v>
      </c>
      <c r="E11202" s="415">
        <v>1</v>
      </c>
      <c r="F11202" s="415">
        <f t="shared" si="387"/>
      </c>
      <c r="G11202" s="415">
        <v>1</v>
      </c>
      <c r="H11202" s="416">
        <f t="shared" si="388"/>
      </c>
      <c r="I11202" s="390"/>
      <c r="J11202" s="390"/>
      <c r="K11202" s="390"/>
      <c r="L11202" s="390"/>
      <c r="M11202" s="390"/>
      <c r="N11202" s="390"/>
      <c r="O11202" s="390"/>
      <c r="P11202" s="390"/>
      <c r="Q11202" s="390"/>
      <c r="R11202" s="390"/>
      <c r="S11202" s="390"/>
      <c r="T11202" s="390"/>
    </row>
    <row r="11203" spans="1:20" ht="15.75" customHeight="1" x14ac:dyDescent="0.25">
      <c r="A11203" s="412">
        <v>31</v>
      </c>
      <c r="B11203" s="960" t="s">
        <v>2004</v>
      </c>
      <c r="C11203" s="422"/>
      <c r="D11203" s="415">
        <v>6</v>
      </c>
      <c r="E11203" s="415">
        <v>1</v>
      </c>
      <c r="F11203" s="415">
        <f t="shared" si="387"/>
      </c>
      <c r="G11203" s="415">
        <v>1</v>
      </c>
      <c r="H11203" s="416">
        <f t="shared" si="388"/>
      </c>
    </row>
    <row r="11204" spans="1:20" ht="15.75" customHeight="1" x14ac:dyDescent="0.25">
      <c r="A11204" s="412"/>
      <c r="B11204" s="419"/>
      <c r="C11204" s="418"/>
      <c r="D11204" s="415">
        <f>SUM(D11199:D11203)</f>
      </c>
      <c r="E11204" s="415"/>
      <c r="F11204" s="415"/>
      <c r="G11204" s="415"/>
      <c r="H11204" s="416"/>
    </row>
    <row r="11205" spans="1:20" ht="15.75" customHeight="1" x14ac:dyDescent="0.25">
      <c r="A11205" s="412"/>
      <c r="B11205" s="419"/>
      <c r="C11205" s="418"/>
      <c r="D11205" s="415"/>
      <c r="E11205" s="415"/>
      <c r="F11205" s="415"/>
      <c r="G11205" s="415"/>
      <c r="H11205" s="416"/>
    </row>
    <row r="11206" spans="1:20" ht="15.75" customHeight="1" x14ac:dyDescent="0.25">
      <c r="A11206" s="894"/>
      <c r="B11206" s="878"/>
      <c r="C11206" s="601"/>
      <c r="D11206" s="892"/>
      <c r="E11206" s="892"/>
      <c r="F11206" s="892"/>
      <c r="G11206" s="892"/>
      <c r="H11206" s="893"/>
      <c r="I11206" s="968"/>
    </row>
    <row r="11207" spans="1:20" ht="15.75" customHeight="1" x14ac:dyDescent="0.25">
      <c r="A11207" s="877"/>
      <c r="B11207" s="627"/>
      <c r="C11207" s="596" t="s">
        <v>85</v>
      </c>
      <c r="D11207" s="612">
        <f>SUM(D11148:D11206)</f>
      </c>
      <c r="E11207" s="612"/>
      <c r="F11207" s="612">
        <f>SUM(F11148:F11206)</f>
      </c>
      <c r="G11207" s="969"/>
      <c r="H11207" s="843">
        <f>+H11203+H11202+H11201+H11200+H11199+H11175+H11174+H11173+H11172+H11171+H11170+H11169+H11168+H11167+H11166+H11165+H11164+H11163+H11161+H11160+H11159+H11158+H11156+H11155+H11154+H11153+H11152+H11151+H11150+H11149+H11148</f>
      </c>
      <c r="I11207" s="968"/>
    </row>
    <row r="11208" spans="1:20" ht="15.75" customHeight="1" x14ac:dyDescent="0.25">
      <c r="A11208" s="877"/>
      <c r="B11208" s="627"/>
      <c r="C11208" s="970"/>
      <c r="D11208" s="578"/>
      <c r="E11208" s="578"/>
      <c r="F11208" s="578"/>
      <c r="G11208" s="971"/>
      <c r="H11208" s="416"/>
      <c r="I11208" s="968"/>
    </row>
    <row r="11209" spans="1:20" ht="15.75" customHeight="1" x14ac:dyDescent="0.25">
      <c r="A11209" s="877"/>
      <c r="B11209" s="883" t="s">
        <v>2005</v>
      </c>
      <c r="C11209" s="883"/>
      <c r="D11209" s="707"/>
      <c r="E11209" s="707"/>
      <c r="F11209" s="707"/>
      <c r="G11209" s="884">
        <v>1</v>
      </c>
      <c r="H11209" s="972">
        <f>+G11209*10</f>
      </c>
      <c r="I11209" s="968"/>
    </row>
    <row r="11210" spans="1:20" ht="15.75" customHeight="1" x14ac:dyDescent="0.25">
      <c r="A11210" s="877"/>
      <c r="B11210" s="627"/>
      <c r="C11210" s="970"/>
      <c r="D11210" s="973"/>
      <c r="E11210" s="973"/>
      <c r="F11210" s="973"/>
      <c r="G11210" s="974"/>
      <c r="H11210" s="931"/>
      <c r="I11210" s="968"/>
    </row>
    <row r="11211" spans="1:20" ht="15.75" customHeight="1" x14ac:dyDescent="0.25">
      <c r="A11211" s="877"/>
      <c r="B11211" s="627"/>
      <c r="C11211" s="975"/>
      <c r="D11211" s="659"/>
      <c r="E11211" s="401" t="s">
        <v>2292</v>
      </c>
      <c r="F11211" s="401" t="s">
        <v>85</v>
      </c>
      <c r="G11211" s="661"/>
      <c r="H11211" s="623">
        <f>+H11207-H11209</f>
      </c>
      <c r="I11211" s="968"/>
    </row>
    <row r="11212" spans="1:20" ht="15.75" customHeight="1" x14ac:dyDescent="0.25">
      <c r="A11212" s="877"/>
      <c r="B11212" s="627"/>
      <c r="C11212" s="970"/>
      <c r="D11212" s="612"/>
      <c r="E11212" s="612"/>
      <c r="F11212" s="612"/>
      <c r="G11212" s="969"/>
      <c r="H11212" s="843"/>
    </row>
    <row r="11213" spans="1:20" ht="15.75" customHeight="1" x14ac:dyDescent="0.25">
      <c r="A11213" s="932"/>
      <c r="B11213" s="933"/>
      <c r="C11213" s="601"/>
      <c r="D11213" s="892"/>
      <c r="E11213" s="933"/>
      <c r="F11213" s="933"/>
      <c r="G11213" s="976"/>
      <c r="H11213" s="893"/>
    </row>
    <row r="11214" spans="1:20" ht="15.75" customHeight="1" x14ac:dyDescent="0.25">
      <c r="A11214" s="392" t="s">
        <v>913</v>
      </c>
      <c r="B11214" s="391"/>
      <c r="C11214" s="391"/>
      <c r="D11214" s="391"/>
      <c r="E11214" s="390"/>
      <c r="F11214" s="392"/>
      <c r="G11214" s="390"/>
      <c r="H11214" s="394"/>
    </row>
    <row r="11215" spans="1:20" ht="15.75" customHeight="1" x14ac:dyDescent="0.25">
      <c r="A11215" s="445"/>
      <c r="B11215" s="445"/>
      <c r="C11215" s="445"/>
      <c r="D11215" s="446" t="s">
        <v>97</v>
      </c>
      <c r="E11215" s="445" t="s">
        <v>98</v>
      </c>
      <c r="F11215" s="445"/>
      <c r="G11215" s="390"/>
      <c r="H11215" s="394"/>
    </row>
    <row r="11216" spans="1:20" ht="15.75" customHeight="1" x14ac:dyDescent="0.25">
      <c r="A11216" s="390"/>
      <c r="B11216" s="390"/>
      <c r="C11216" s="390"/>
      <c r="D11216" s="391"/>
      <c r="E11216" s="390"/>
      <c r="F11216" s="390"/>
      <c r="G11216" s="390"/>
      <c r="H11216" s="394"/>
    </row>
    <row r="11217" spans="1:8" ht="15.75" customHeight="1" x14ac:dyDescent="0.25">
      <c r="A11217" s="390"/>
      <c r="B11217" s="390"/>
      <c r="C11217" s="390"/>
      <c r="D11217" s="391"/>
      <c r="E11217" s="390"/>
      <c r="F11217" s="390"/>
      <c r="G11217" s="390"/>
      <c r="H11217" s="394"/>
    </row>
    <row r="11218" spans="1:8" ht="15.75" customHeight="1" x14ac:dyDescent="0.25">
      <c r="A11218" s="445"/>
      <c r="B11218" s="445"/>
      <c r="C11218" s="445"/>
      <c r="D11218" s="446"/>
      <c r="E11218" s="445" t="s">
        <v>99</v>
      </c>
      <c r="F11218" s="445"/>
      <c r="G11218" s="390"/>
      <c r="H11218" s="394"/>
    </row>
    <row r="11219" spans="1:8" ht="15.75" customHeight="1" x14ac:dyDescent="0.25">
      <c r="D11219" s="4"/>
      <c r="H11219" s="4"/>
    </row>
    <row r="11220" spans="1:8" ht="15.75" customHeight="1" x14ac:dyDescent="0.25">
      <c r="D11220" s="4"/>
      <c r="H11220" s="4"/>
    </row>
    <row r="11221" spans="1:8" ht="15.75" customHeight="1" x14ac:dyDescent="0.25">
      <c r="D11221" s="4"/>
      <c r="H11221" s="4"/>
    </row>
    <row r="11222" spans="1:8" ht="15.75" customHeight="1" x14ac:dyDescent="0.25">
      <c r="D11222" s="4"/>
      <c r="H11222" s="4"/>
    </row>
    <row r="11223" spans="1:8" ht="15.75" customHeight="1" x14ac:dyDescent="0.25">
      <c r="D11223" s="4"/>
      <c r="H11223" s="4"/>
    </row>
    <row r="11224" spans="1:8" ht="15.75" customHeight="1" x14ac:dyDescent="0.25">
      <c r="D11224" s="4"/>
      <c r="H11224" s="4"/>
    </row>
    <row r="11225" spans="1:8" ht="15.75" customHeight="1" x14ac:dyDescent="0.25">
      <c r="D11225" s="4"/>
      <c r="H11225" s="4"/>
    </row>
    <row r="11226" spans="1:8" ht="15.75" customHeight="1" x14ac:dyDescent="0.25">
      <c r="D11226" s="4"/>
      <c r="H11226" s="4"/>
    </row>
    <row r="11227" spans="1:8" ht="15.75" customHeight="1" x14ac:dyDescent="0.25">
      <c r="D11227" s="4"/>
      <c r="H11227" s="4"/>
    </row>
    <row r="11228" spans="1:8" ht="15.75" customHeight="1" x14ac:dyDescent="0.25">
      <c r="D11228" s="4"/>
      <c r="H11228" s="4"/>
    </row>
    <row r="11229" spans="1:8" ht="15.75" customHeight="1" x14ac:dyDescent="0.25">
      <c r="D11229" s="4"/>
      <c r="H11229" s="4"/>
    </row>
    <row r="11230" spans="1:8" ht="15.75" customHeight="1" x14ac:dyDescent="0.25">
      <c r="A11230" s="8" t="s">
        <v>14</v>
      </c>
      <c r="B11230" s="8"/>
      <c r="C11230" s="8"/>
      <c r="D11230" s="8"/>
      <c r="E11230" s="8"/>
      <c r="F11230" s="8"/>
      <c r="G11230" s="8"/>
      <c r="H11230" s="8"/>
    </row>
    <row r="11231" spans="1:8" ht="15.75" customHeight="1" x14ac:dyDescent="0.25">
      <c r="A11231" s="388"/>
      <c r="B11231" s="388"/>
      <c r="C11231" s="388"/>
      <c r="D11231" s="389"/>
      <c r="E11231" s="388"/>
      <c r="F11231" s="388"/>
      <c r="G11231" s="388"/>
      <c r="H11231" s="8"/>
    </row>
    <row r="11232" spans="1:8" ht="15.75" customHeight="1" x14ac:dyDescent="0.25">
      <c r="A11232" s="390"/>
      <c r="B11232" s="390"/>
      <c r="C11232" s="391"/>
      <c r="D11232" s="392"/>
      <c r="E11232" s="393"/>
      <c r="F11232" s="393"/>
      <c r="G11232" s="393"/>
      <c r="H11232" s="394"/>
    </row>
    <row r="11233" spans="1:8" ht="15.75" customHeight="1" x14ac:dyDescent="0.25">
      <c r="A11233" s="390"/>
      <c r="B11233" s="390"/>
      <c r="C11233" s="390"/>
      <c r="D11233" s="391"/>
      <c r="E11233" s="390"/>
      <c r="F11233" s="395" t="s">
        <v>18</v>
      </c>
      <c r="G11233" s="396" t="s">
        <v>518</v>
      </c>
      <c r="H11233" s="397"/>
    </row>
    <row r="11234" spans="1:8" ht="15.75" customHeight="1" x14ac:dyDescent="0.25">
      <c r="A11234" s="390" t="s">
        <v>20</v>
      </c>
      <c r="B11234" s="390"/>
      <c r="C11234" s="390"/>
      <c r="D11234" s="391"/>
      <c r="E11234" s="390"/>
      <c r="F11234" s="395" t="s">
        <v>21</v>
      </c>
      <c r="G11234" s="390" t="s">
        <v>1401</v>
      </c>
      <c r="H11234" s="391"/>
    </row>
    <row r="11235" spans="1:8" ht="15.75" customHeight="1" x14ac:dyDescent="0.25">
      <c r="A11235" s="390" t="inlineStr">
        <is>
          <t>Dealer-009</t>
        </is>
      </c>
      <c r="B11235" s="390"/>
      <c r="C11235" s="390" t="inlineStr">
        <is>
          <t>ATTN: Contact-001</t>
        </is>
      </c>
      <c r="D11235" s="398"/>
      <c r="E11235" s="390"/>
      <c r="F11235" s="391"/>
      <c r="G11235" s="390"/>
      <c r="H11235" s="394"/>
    </row>
    <row r="11236" spans="1:8" ht="15.75" customHeight="1" x14ac:dyDescent="0.25">
      <c r="A11236" s="390" t="inlineStr">
        <is>
          <t>Address line (redacted)</t>
        </is>
      </c>
      <c r="B11236" s="390"/>
      <c r="C11236" s="390"/>
      <c r="D11236" s="398"/>
      <c r="E11236" s="390"/>
      <c r="F11236" s="391"/>
      <c r="G11236" s="390"/>
      <c r="H11236" s="394"/>
    </row>
    <row r="11237" spans="1:8" ht="15.75" customHeight="1" x14ac:dyDescent="0.25">
      <c r="A11237" s="390" t="inlineStr">
        <is>
          <t>Address line (redacted)</t>
        </is>
      </c>
      <c r="B11237" s="390"/>
      <c r="C11237" s="390"/>
      <c r="D11237" s="391"/>
      <c r="E11237" s="390"/>
      <c r="F11237" s="391"/>
      <c r="G11237" s="390"/>
      <c r="H11237" s="394"/>
    </row>
    <row r="11238" spans="1:8" ht="15.75" customHeight="1" x14ac:dyDescent="0.25">
      <c r="A11238" s="390"/>
      <c r="B11238" s="390"/>
      <c r="C11238" s="390"/>
      <c r="D11238" s="391"/>
      <c r="E11238" s="390"/>
      <c r="F11238" s="391"/>
      <c r="G11238" s="390"/>
      <c r="H11238" s="394"/>
    </row>
    <row r="11239" spans="1:8" ht="15.75" customHeight="1" x14ac:dyDescent="0.25">
      <c r="A11239" s="390" t="s">
        <v>30</v>
      </c>
      <c r="B11239" s="390"/>
      <c r="C11239" s="390"/>
      <c r="D11239" s="391"/>
      <c r="E11239" s="390"/>
      <c r="F11239" s="391"/>
      <c r="G11239" s="390"/>
      <c r="H11239" s="394"/>
    </row>
    <row r="11240" spans="1:8" ht="15.75" customHeight="1" x14ac:dyDescent="0.25">
      <c r="A11240" s="390"/>
      <c r="B11240" s="390"/>
      <c r="C11240" s="390"/>
      <c r="D11240" s="391"/>
      <c r="E11240" s="390"/>
      <c r="F11240" s="391"/>
      <c r="G11240" s="390"/>
      <c r="H11240" s="394"/>
    </row>
    <row r="11241" spans="1:8" ht="15.75" customHeight="1" x14ac:dyDescent="0.25">
      <c r="A11241" s="390" t="s">
        <v>716</v>
      </c>
      <c r="B11241" s="390"/>
      <c r="C11241" s="390"/>
      <c r="D11241" s="391"/>
      <c r="E11241" s="390"/>
      <c r="F11241" s="391"/>
      <c r="G11241" s="390"/>
      <c r="H11241" s="394"/>
    </row>
    <row r="11242" spans="1:8" ht="15.75" customHeight="1" x14ac:dyDescent="0.25">
      <c r="A11242" s="390" t="s">
        <v>717</v>
      </c>
      <c r="B11242" s="390"/>
      <c r="C11242" s="390"/>
      <c r="D11242" s="391"/>
      <c r="E11242" s="390"/>
      <c r="F11242" s="391"/>
      <c r="G11242" s="390"/>
      <c r="H11242" s="394"/>
    </row>
    <row r="11243" spans="1:8" ht="15.75" customHeight="1" x14ac:dyDescent="0.25">
      <c r="A11243" s="390"/>
      <c r="B11243" s="390"/>
      <c r="C11243" s="390"/>
      <c r="D11243" s="391"/>
      <c r="E11243" s="390"/>
      <c r="F11243" s="391"/>
      <c r="G11243" s="390"/>
      <c r="H11243" s="394"/>
    </row>
    <row r="11244" spans="1:8" ht="15.75" customHeight="1" x14ac:dyDescent="0.25">
      <c r="A11244" s="948" t="s">
        <v>33</v>
      </c>
      <c r="B11244" s="949" t="s">
        <v>6</v>
      </c>
      <c r="C11244" s="950"/>
      <c r="D11244" s="874" t="s">
        <v>37</v>
      </c>
      <c r="E11244" s="874" t="s">
        <v>38</v>
      </c>
      <c r="F11244" s="875" t="s">
        <v>7</v>
      </c>
      <c r="G11244" s="872" t="s">
        <v>43</v>
      </c>
      <c r="H11244" s="876" t="s">
        <v>44</v>
      </c>
    </row>
    <row r="11245" spans="1:8" ht="15.75" customHeight="1" x14ac:dyDescent="0.25">
      <c r="A11245" s="877"/>
      <c r="B11245" s="578"/>
      <c r="C11245" s="627"/>
      <c r="D11245" s="578"/>
      <c r="E11245" s="578"/>
      <c r="F11245" s="878"/>
      <c r="G11245" s="578"/>
      <c r="H11245" s="416"/>
    </row>
    <row r="11246" spans="1:8" ht="15.75" customHeight="1" x14ac:dyDescent="0.25">
      <c r="A11246" s="952"/>
      <c r="B11246" s="953" t="s">
        <v>1976</v>
      </c>
      <c r="C11246" s="953"/>
      <c r="D11246" s="954"/>
      <c r="E11246" s="955"/>
      <c r="F11246" s="956"/>
      <c r="G11246" s="956"/>
      <c r="H11246" s="957"/>
    </row>
    <row r="11247" spans="1:8" ht="15.75" customHeight="1" x14ac:dyDescent="0.25">
      <c r="A11247" s="412">
        <v>1</v>
      </c>
      <c r="B11247" s="958" t="s">
        <v>1977</v>
      </c>
      <c r="C11247" s="422"/>
      <c r="D11247" s="415">
        <v>2</v>
      </c>
      <c r="E11247" s="415">
        <v>1</v>
      </c>
      <c r="F11247" s="415">
        <f t="shared" ref="F11247:F11255" si="389">+E11247*D11247</f>
      </c>
      <c r="G11247" s="415">
        <v>1</v>
      </c>
      <c r="H11247" s="416">
        <f t="shared" ref="H11247:H11255" si="390">+G11247*F11247</f>
      </c>
    </row>
    <row r="11248" spans="1:8" ht="15.75" customHeight="1" x14ac:dyDescent="0.25">
      <c r="A11248" s="412">
        <v>2</v>
      </c>
      <c r="B11248" s="959" t="s">
        <v>1978</v>
      </c>
      <c r="C11248" s="422"/>
      <c r="D11248" s="842">
        <v>15</v>
      </c>
      <c r="E11248" s="415">
        <v>1</v>
      </c>
      <c r="F11248" s="415">
        <f t="shared" si="389"/>
      </c>
      <c r="G11248" s="415">
        <v>1</v>
      </c>
      <c r="H11248" s="416">
        <f t="shared" si="390"/>
      </c>
    </row>
    <row r="11249" spans="1:8" ht="15.75" customHeight="1" x14ac:dyDescent="0.25">
      <c r="A11249" s="412">
        <v>3</v>
      </c>
      <c r="B11249" s="960" t="s">
        <v>1979</v>
      </c>
      <c r="C11249" s="422"/>
      <c r="D11249" s="842">
        <v>15</v>
      </c>
      <c r="E11249" s="415">
        <v>1</v>
      </c>
      <c r="F11249" s="415">
        <f t="shared" si="389"/>
      </c>
      <c r="G11249" s="415">
        <v>1</v>
      </c>
      <c r="H11249" s="416">
        <f t="shared" si="390"/>
      </c>
    </row>
    <row r="11250" spans="1:8" ht="15.75" customHeight="1" x14ac:dyDescent="0.25">
      <c r="A11250" s="412">
        <v>4</v>
      </c>
      <c r="B11250" s="960" t="s">
        <v>1980</v>
      </c>
      <c r="C11250" s="422"/>
      <c r="D11250" s="842">
        <v>0</v>
      </c>
      <c r="E11250" s="415">
        <v>1</v>
      </c>
      <c r="F11250" s="415">
        <f t="shared" si="389"/>
      </c>
      <c r="G11250" s="415"/>
      <c r="H11250" s="416">
        <f t="shared" si="390"/>
      </c>
    </row>
    <row r="11251" spans="1:8" ht="15.75" customHeight="1" x14ac:dyDescent="0.25">
      <c r="A11251" s="412">
        <v>5</v>
      </c>
      <c r="B11251" s="960" t="s">
        <v>1981</v>
      </c>
      <c r="C11251" s="422"/>
      <c r="D11251" s="842">
        <v>5</v>
      </c>
      <c r="E11251" s="415">
        <v>1</v>
      </c>
      <c r="F11251" s="415">
        <f t="shared" si="389"/>
      </c>
      <c r="G11251" s="415">
        <v>1</v>
      </c>
      <c r="H11251" s="416">
        <f t="shared" si="390"/>
      </c>
    </row>
    <row r="11252" spans="1:8" ht="15.75" customHeight="1" x14ac:dyDescent="0.25">
      <c r="A11252" s="412">
        <v>6</v>
      </c>
      <c r="B11252" s="958" t="s">
        <v>1982</v>
      </c>
      <c r="C11252" s="422"/>
      <c r="D11252" s="842">
        <v>4</v>
      </c>
      <c r="E11252" s="415">
        <v>1</v>
      </c>
      <c r="F11252" s="415">
        <f t="shared" si="389"/>
      </c>
      <c r="G11252" s="415">
        <v>1</v>
      </c>
      <c r="H11252" s="416">
        <f t="shared" si="390"/>
      </c>
    </row>
    <row r="11253" spans="1:8" ht="15.75" customHeight="1" x14ac:dyDescent="0.25">
      <c r="A11253" s="412">
        <v>7</v>
      </c>
      <c r="B11253" s="958" t="s">
        <v>1983</v>
      </c>
      <c r="C11253" s="422"/>
      <c r="D11253" s="842">
        <v>5</v>
      </c>
      <c r="E11253" s="415">
        <v>1</v>
      </c>
      <c r="F11253" s="415">
        <f t="shared" si="389"/>
      </c>
      <c r="G11253" s="415">
        <v>1</v>
      </c>
      <c r="H11253" s="416">
        <f t="shared" si="390"/>
      </c>
    </row>
    <row r="11254" spans="1:8" ht="15.75" customHeight="1" x14ac:dyDescent="0.25">
      <c r="A11254" s="412">
        <v>8</v>
      </c>
      <c r="B11254" s="960" t="s">
        <v>2285</v>
      </c>
      <c r="C11254" s="422"/>
      <c r="D11254" s="842">
        <v>10</v>
      </c>
      <c r="E11254" s="415">
        <v>1</v>
      </c>
      <c r="F11254" s="415">
        <f t="shared" si="389"/>
      </c>
      <c r="G11254" s="415">
        <v>1</v>
      </c>
      <c r="H11254" s="416">
        <f t="shared" si="390"/>
      </c>
    </row>
    <row r="11255" spans="1:8" ht="15.75" customHeight="1" x14ac:dyDescent="0.25">
      <c r="A11255" s="412">
        <v>9</v>
      </c>
      <c r="B11255" s="961" t="s">
        <v>1985</v>
      </c>
      <c r="C11255" s="422"/>
      <c r="D11255" s="842">
        <v>5</v>
      </c>
      <c r="E11255" s="415">
        <v>1</v>
      </c>
      <c r="F11255" s="415">
        <f t="shared" si="389"/>
      </c>
      <c r="G11255" s="415">
        <v>1</v>
      </c>
      <c r="H11255" s="416">
        <f t="shared" si="390"/>
      </c>
    </row>
    <row r="11256" spans="1:8" ht="15.75" customHeight="1" x14ac:dyDescent="0.25">
      <c r="A11256" s="952"/>
      <c r="B11256" s="953" t="s">
        <v>1402</v>
      </c>
      <c r="C11256" s="953"/>
      <c r="D11256" s="962"/>
      <c r="E11256" s="954"/>
      <c r="F11256" s="956"/>
      <c r="G11256" s="956"/>
      <c r="H11256" s="957"/>
    </row>
    <row r="11257" spans="1:8" ht="15.75" customHeight="1" x14ac:dyDescent="0.25">
      <c r="A11257" s="412">
        <v>10</v>
      </c>
      <c r="B11257" s="960" t="s">
        <v>1404</v>
      </c>
      <c r="C11257" s="422"/>
      <c r="D11257" s="842">
        <v>40</v>
      </c>
      <c r="E11257" s="415">
        <v>1</v>
      </c>
      <c r="F11257" s="415">
        <f t="shared" ref="F11257:F11260" si="391">+E11257*D11257</f>
      </c>
      <c r="G11257" s="415">
        <v>1</v>
      </c>
      <c r="H11257" s="416">
        <f t="shared" ref="H11257:H11260" si="392">+G11257*F11257</f>
      </c>
    </row>
    <row r="11258" spans="1:8" ht="15.75" customHeight="1" x14ac:dyDescent="0.25">
      <c r="A11258" s="412">
        <v>11</v>
      </c>
      <c r="B11258" s="960" t="s">
        <v>2286</v>
      </c>
      <c r="C11258" s="422"/>
      <c r="D11258" s="842">
        <v>5</v>
      </c>
      <c r="E11258" s="415">
        <v>1</v>
      </c>
      <c r="F11258" s="415">
        <f t="shared" si="391"/>
      </c>
      <c r="G11258" s="415">
        <v>1</v>
      </c>
      <c r="H11258" s="416">
        <f t="shared" si="392"/>
      </c>
    </row>
    <row r="11259" spans="1:8" ht="15.75" customHeight="1" x14ac:dyDescent="0.25">
      <c r="A11259" s="412">
        <v>12</v>
      </c>
      <c r="B11259" s="960" t="s">
        <v>1987</v>
      </c>
      <c r="C11259" s="422"/>
      <c r="D11259" s="842">
        <v>1</v>
      </c>
      <c r="E11259" s="415">
        <v>1</v>
      </c>
      <c r="F11259" s="415">
        <f t="shared" si="391"/>
      </c>
      <c r="G11259" s="415">
        <v>1</v>
      </c>
      <c r="H11259" s="416">
        <f t="shared" si="392"/>
      </c>
    </row>
    <row r="11260" spans="1:8" ht="15.75" customHeight="1" x14ac:dyDescent="0.25">
      <c r="A11260" s="412">
        <v>13</v>
      </c>
      <c r="B11260" s="960" t="s">
        <v>1988</v>
      </c>
      <c r="C11260" s="422"/>
      <c r="D11260" s="842">
        <v>1</v>
      </c>
      <c r="E11260" s="415">
        <v>1</v>
      </c>
      <c r="F11260" s="415">
        <f t="shared" si="391"/>
      </c>
      <c r="G11260" s="415">
        <v>1</v>
      </c>
      <c r="H11260" s="416">
        <f t="shared" si="392"/>
      </c>
    </row>
    <row r="11261" spans="1:8" ht="15.75" customHeight="1" x14ac:dyDescent="0.25">
      <c r="A11261" s="412"/>
      <c r="B11261" s="953" t="s">
        <v>1489</v>
      </c>
      <c r="C11261" s="953"/>
      <c r="D11261" s="951"/>
      <c r="E11261" s="879"/>
      <c r="F11261" s="415"/>
      <c r="G11261" s="415"/>
      <c r="H11261" s="416"/>
    </row>
    <row r="11262" spans="1:8" ht="15.75" customHeight="1" x14ac:dyDescent="0.25">
      <c r="A11262" s="412">
        <v>14</v>
      </c>
      <c r="B11262" s="961" t="s">
        <v>1989</v>
      </c>
      <c r="C11262" s="422"/>
      <c r="D11262" s="842">
        <v>2</v>
      </c>
      <c r="E11262" s="415">
        <v>1</v>
      </c>
      <c r="F11262" s="415">
        <f t="shared" ref="F11262:F11270" si="393">+E11262*D11262</f>
      </c>
      <c r="G11262" s="415">
        <v>1</v>
      </c>
      <c r="H11262" s="416">
        <f t="shared" ref="H11262:H11270" si="394">+G11262*F11262</f>
      </c>
    </row>
    <row r="11263" spans="1:8" ht="15.75" customHeight="1" x14ac:dyDescent="0.25">
      <c r="A11263" s="412">
        <v>15</v>
      </c>
      <c r="B11263" s="960" t="s">
        <v>1500</v>
      </c>
      <c r="C11263" s="422"/>
      <c r="D11263" s="842">
        <v>2</v>
      </c>
      <c r="E11263" s="415">
        <v>1</v>
      </c>
      <c r="F11263" s="415">
        <f t="shared" si="393"/>
      </c>
      <c r="G11263" s="415">
        <v>1</v>
      </c>
      <c r="H11263" s="416">
        <f t="shared" si="394"/>
      </c>
    </row>
    <row r="11264" spans="1:8" ht="15.75" customHeight="1" x14ac:dyDescent="0.25">
      <c r="A11264" s="412">
        <v>16</v>
      </c>
      <c r="B11264" s="960" t="s">
        <v>1991</v>
      </c>
      <c r="C11264" s="422"/>
      <c r="D11264" s="842">
        <v>2</v>
      </c>
      <c r="E11264" s="415">
        <v>1</v>
      </c>
      <c r="F11264" s="415">
        <f t="shared" si="393"/>
      </c>
      <c r="G11264" s="415">
        <v>1</v>
      </c>
      <c r="H11264" s="416">
        <f t="shared" si="394"/>
      </c>
    </row>
    <row r="11265" spans="1:8" ht="15.75" customHeight="1" x14ac:dyDescent="0.25">
      <c r="A11265" s="412">
        <v>17</v>
      </c>
      <c r="B11265" s="960" t="s">
        <v>1992</v>
      </c>
      <c r="C11265" s="422"/>
      <c r="D11265" s="842">
        <v>1</v>
      </c>
      <c r="E11265" s="415">
        <v>1</v>
      </c>
      <c r="F11265" s="415">
        <f t="shared" si="393"/>
      </c>
      <c r="G11265" s="415">
        <v>1</v>
      </c>
      <c r="H11265" s="416">
        <f t="shared" si="394"/>
      </c>
    </row>
    <row r="11266" spans="1:8" ht="15.75" customHeight="1" x14ac:dyDescent="0.25">
      <c r="A11266" s="412">
        <v>18</v>
      </c>
      <c r="B11266" s="961" t="s">
        <v>1490</v>
      </c>
      <c r="C11266" s="422"/>
      <c r="D11266" s="842">
        <v>2</v>
      </c>
      <c r="E11266" s="415">
        <v>1</v>
      </c>
      <c r="F11266" s="415">
        <f t="shared" si="393"/>
      </c>
      <c r="G11266" s="415">
        <v>1</v>
      </c>
      <c r="H11266" s="416">
        <f t="shared" si="394"/>
      </c>
    </row>
    <row r="11267" spans="1:8" ht="15.75" customHeight="1" x14ac:dyDescent="0.25">
      <c r="A11267" s="412">
        <v>19</v>
      </c>
      <c r="B11267" s="960" t="s">
        <v>1993</v>
      </c>
      <c r="C11267" s="422"/>
      <c r="D11267" s="842">
        <v>2</v>
      </c>
      <c r="E11267" s="415">
        <v>1</v>
      </c>
      <c r="F11267" s="415">
        <f t="shared" si="393"/>
      </c>
      <c r="G11267" s="415">
        <v>1</v>
      </c>
      <c r="H11267" s="416">
        <f t="shared" si="394"/>
      </c>
    </row>
    <row r="11268" spans="1:8" ht="15.75" customHeight="1" x14ac:dyDescent="0.25">
      <c r="A11268" s="412">
        <v>20</v>
      </c>
      <c r="B11268" s="960" t="s">
        <v>1995</v>
      </c>
      <c r="C11268" s="422"/>
      <c r="D11268" s="842">
        <v>3</v>
      </c>
      <c r="E11268" s="415">
        <v>1</v>
      </c>
      <c r="F11268" s="415">
        <f t="shared" si="393"/>
      </c>
      <c r="G11268" s="415">
        <v>1</v>
      </c>
      <c r="H11268" s="416">
        <f t="shared" si="394"/>
      </c>
    </row>
    <row r="11269" spans="1:8" ht="15.75" customHeight="1" x14ac:dyDescent="0.25">
      <c r="A11269" s="412">
        <v>21</v>
      </c>
      <c r="B11269" s="961" t="s">
        <v>1551</v>
      </c>
      <c r="C11269" s="422"/>
      <c r="D11269" s="415">
        <v>1</v>
      </c>
      <c r="E11269" s="415">
        <v>1</v>
      </c>
      <c r="F11269" s="415">
        <f t="shared" si="393"/>
      </c>
      <c r="G11269" s="415">
        <v>1</v>
      </c>
      <c r="H11269" s="416">
        <f t="shared" si="394"/>
      </c>
    </row>
    <row r="11270" spans="1:8" ht="15.75" customHeight="1" x14ac:dyDescent="0.25">
      <c r="A11270" s="412">
        <v>22</v>
      </c>
      <c r="B11270" s="961" t="s">
        <v>1997</v>
      </c>
      <c r="C11270" s="422"/>
      <c r="D11270" s="415">
        <v>5</v>
      </c>
      <c r="E11270" s="415">
        <v>1</v>
      </c>
      <c r="F11270" s="415">
        <f t="shared" si="393"/>
      </c>
      <c r="G11270" s="415">
        <v>1</v>
      </c>
      <c r="H11270" s="416">
        <f t="shared" si="394"/>
      </c>
    </row>
    <row r="11271" spans="1:8" ht="15.75" customHeight="1" x14ac:dyDescent="0.3">
      <c r="A11271" s="880"/>
      <c r="B11271" s="964"/>
      <c r="C11271" s="891"/>
      <c r="D11271" s="965"/>
      <c r="E11271" s="965"/>
      <c r="F11271" s="892"/>
      <c r="G11271" s="892"/>
      <c r="H11271" s="893"/>
    </row>
    <row r="11272" spans="1:8" ht="15.75" customHeight="1" x14ac:dyDescent="0.3">
      <c r="A11272" s="451"/>
      <c r="B11272" s="966"/>
      <c r="C11272" s="885"/>
      <c r="D11272" s="4"/>
      <c r="E11272" s="4"/>
      <c r="F11272" s="391"/>
      <c r="G11272" s="391"/>
      <c r="H11272" s="394"/>
    </row>
    <row r="11273" spans="1:8" ht="15.75" customHeight="1" x14ac:dyDescent="0.3">
      <c r="A11273" s="451"/>
      <c r="B11273" s="966"/>
      <c r="C11273" s="885"/>
      <c r="D11273" s="4"/>
      <c r="E11273" s="4"/>
      <c r="F11273" s="398" t="s">
        <v>2288</v>
      </c>
      <c r="G11273" s="391"/>
      <c r="H11273" s="394"/>
    </row>
    <row r="11274" spans="1:8" ht="15.75" customHeight="1" x14ac:dyDescent="0.3">
      <c r="A11274" s="451"/>
      <c r="B11274" s="966"/>
      <c r="C11274" s="885"/>
      <c r="D11274" s="4"/>
      <c r="E11274" s="4"/>
      <c r="F11274" s="391"/>
      <c r="G11274" s="391"/>
      <c r="H11274" s="394"/>
    </row>
    <row r="11275" spans="1:8" ht="15.75" customHeight="1" x14ac:dyDescent="0.3">
      <c r="A11275" s="451"/>
      <c r="B11275" s="966"/>
      <c r="C11275" s="885"/>
      <c r="D11275" s="4"/>
      <c r="E11275" s="4"/>
      <c r="F11275" s="391"/>
      <c r="G11275" s="391"/>
      <c r="H11275" s="394"/>
    </row>
    <row r="11276" spans="1:8" ht="15.75" customHeight="1" x14ac:dyDescent="0.25">
      <c r="A11276" s="8" t="s">
        <v>14</v>
      </c>
      <c r="B11276" s="8"/>
      <c r="C11276" s="8"/>
      <c r="D11276" s="8"/>
      <c r="E11276" s="8"/>
      <c r="F11276" s="8"/>
      <c r="G11276" s="8"/>
      <c r="H11276" s="8"/>
    </row>
    <row r="11277" spans="1:8" ht="15.75" customHeight="1" x14ac:dyDescent="0.25">
      <c r="A11277" s="388"/>
      <c r="B11277" s="388"/>
      <c r="C11277" s="388"/>
      <c r="D11277" s="389"/>
      <c r="E11277" s="388"/>
      <c r="F11277" s="388"/>
      <c r="G11277" s="388"/>
      <c r="H11277" s="8"/>
    </row>
    <row r="11278" spans="1:8" ht="15.75" customHeight="1" x14ac:dyDescent="0.25">
      <c r="A11278" s="390"/>
      <c r="B11278" s="390"/>
      <c r="C11278" s="398" t="s">
        <v>2289</v>
      </c>
      <c r="D11278" s="392"/>
      <c r="E11278" s="393"/>
      <c r="F11278" s="393"/>
      <c r="G11278" s="393"/>
      <c r="H11278" s="394"/>
    </row>
    <row r="11279" spans="1:8" ht="15.75" customHeight="1" x14ac:dyDescent="0.25">
      <c r="A11279" s="390"/>
      <c r="B11279" s="390"/>
      <c r="C11279" s="390"/>
      <c r="D11279" s="391"/>
      <c r="E11279" s="390"/>
      <c r="F11279" s="395" t="s">
        <v>18</v>
      </c>
      <c r="G11279" s="396" t="s">
        <v>518</v>
      </c>
      <c r="H11279" s="397"/>
    </row>
    <row r="11280" spans="1:8" ht="15.75" customHeight="1" x14ac:dyDescent="0.25">
      <c r="A11280" s="390" t="s">
        <v>20</v>
      </c>
      <c r="B11280" s="390"/>
      <c r="D11280" s="391"/>
      <c r="E11280" s="390"/>
      <c r="F11280" s="395" t="s">
        <v>21</v>
      </c>
      <c r="G11280" s="390" t="s">
        <v>1401</v>
      </c>
      <c r="H11280" s="391"/>
    </row>
    <row r="11281" spans="1:8" ht="15.75" customHeight="1" x14ac:dyDescent="0.25">
      <c r="A11281" s="390" t="inlineStr">
        <is>
          <t>Dealer-009</t>
        </is>
      </c>
      <c r="B11281" s="390"/>
      <c r="C11281" s="390" t="inlineStr">
        <is>
          <t>ATTN: Contact-001</t>
        </is>
      </c>
      <c r="D11281" s="398"/>
      <c r="E11281" s="390"/>
      <c r="F11281" s="391"/>
      <c r="G11281" s="390"/>
      <c r="H11281" s="394"/>
    </row>
    <row r="11282" spans="1:8" ht="15.75" customHeight="1" x14ac:dyDescent="0.25">
      <c r="A11282" s="390" t="inlineStr">
        <is>
          <t>Address line (redacted)</t>
        </is>
      </c>
      <c r="B11282" s="390"/>
      <c r="C11282" s="390"/>
      <c r="D11282" s="398"/>
      <c r="E11282" s="390"/>
      <c r="F11282" s="391"/>
      <c r="G11282" s="390"/>
      <c r="H11282" s="394"/>
    </row>
    <row r="11283" spans="1:8" ht="15.75" customHeight="1" x14ac:dyDescent="0.25">
      <c r="A11283" s="390" t="inlineStr">
        <is>
          <t>Address line (redacted)</t>
        </is>
      </c>
      <c r="B11283" s="390"/>
      <c r="C11283" s="390"/>
      <c r="D11283" s="391"/>
      <c r="E11283" s="390"/>
      <c r="F11283" s="391"/>
      <c r="G11283" s="390"/>
      <c r="H11283" s="394"/>
    </row>
    <row r="11284" spans="1:8" ht="15.75" customHeight="1" x14ac:dyDescent="0.25">
      <c r="A11284" s="390"/>
      <c r="B11284" s="390"/>
      <c r="C11284" s="390"/>
      <c r="D11284" s="391"/>
      <c r="E11284" s="390"/>
      <c r="F11284" s="391"/>
      <c r="G11284" s="390"/>
      <c r="H11284" s="394"/>
    </row>
    <row r="11285" spans="1:8" ht="15.75" customHeight="1" x14ac:dyDescent="0.25">
      <c r="A11285" s="390" t="s">
        <v>30</v>
      </c>
      <c r="B11285" s="390"/>
      <c r="C11285" s="390"/>
      <c r="D11285" s="391"/>
      <c r="E11285" s="390"/>
      <c r="F11285" s="391"/>
      <c r="G11285" s="390"/>
      <c r="H11285" s="394"/>
    </row>
    <row r="11286" spans="1:8" ht="15.75" customHeight="1" x14ac:dyDescent="0.25">
      <c r="A11286" s="390"/>
      <c r="B11286" s="390"/>
      <c r="C11286" s="390"/>
      <c r="D11286" s="391"/>
      <c r="E11286" s="390"/>
      <c r="F11286" s="391"/>
      <c r="G11286" s="390"/>
      <c r="H11286" s="394"/>
    </row>
    <row r="11287" spans="1:8" ht="15.75" customHeight="1" x14ac:dyDescent="0.25">
      <c r="A11287" s="390" t="s">
        <v>716</v>
      </c>
      <c r="B11287" s="390"/>
      <c r="C11287" s="390"/>
      <c r="D11287" s="391"/>
      <c r="E11287" s="390"/>
      <c r="F11287" s="391"/>
      <c r="G11287" s="390"/>
      <c r="H11287" s="394"/>
    </row>
    <row r="11288" spans="1:8" ht="15.75" customHeight="1" x14ac:dyDescent="0.25">
      <c r="A11288" s="390" t="s">
        <v>717</v>
      </c>
      <c r="B11288" s="390"/>
      <c r="C11288" s="390"/>
      <c r="D11288" s="391"/>
      <c r="E11288" s="390"/>
      <c r="F11288" s="391"/>
      <c r="G11288" s="390"/>
      <c r="H11288" s="394"/>
    </row>
    <row r="11289" spans="1:8" ht="15.75" customHeight="1" x14ac:dyDescent="0.25">
      <c r="A11289" s="390"/>
      <c r="B11289" s="390"/>
      <c r="C11289" s="390"/>
      <c r="D11289" s="391"/>
      <c r="E11289" s="390"/>
      <c r="F11289" s="391"/>
      <c r="G11289" s="390"/>
      <c r="H11289" s="394"/>
    </row>
    <row r="11290" spans="1:8" ht="15.75" customHeight="1" x14ac:dyDescent="0.25">
      <c r="A11290" s="948" t="s">
        <v>33</v>
      </c>
      <c r="B11290" s="949" t="s">
        <v>6</v>
      </c>
      <c r="C11290" s="950"/>
      <c r="D11290" s="874" t="s">
        <v>37</v>
      </c>
      <c r="E11290" s="874" t="s">
        <v>38</v>
      </c>
      <c r="F11290" s="875" t="s">
        <v>7</v>
      </c>
      <c r="G11290" s="872" t="s">
        <v>43</v>
      </c>
      <c r="H11290" s="876" t="s">
        <v>44</v>
      </c>
    </row>
    <row r="11291" spans="1:8" ht="15.75" customHeight="1" x14ac:dyDescent="0.3">
      <c r="A11291" s="412"/>
      <c r="B11291" s="967"/>
      <c r="C11291" s="422"/>
      <c r="D11291" s="951"/>
      <c r="E11291" s="879"/>
      <c r="F11291" s="415"/>
      <c r="G11291" s="415"/>
      <c r="H11291" s="416"/>
    </row>
    <row r="11292" spans="1:8" ht="15.75" customHeight="1" x14ac:dyDescent="0.25">
      <c r="A11292" s="412">
        <v>23</v>
      </c>
      <c r="B11292" s="960" t="s">
        <v>2287</v>
      </c>
      <c r="C11292" s="422"/>
      <c r="D11292" s="415">
        <v>50</v>
      </c>
      <c r="E11292" s="415">
        <v>1</v>
      </c>
      <c r="F11292" s="415">
        <f t="shared" ref="F11292:F11300" si="395">+E11292*D11292</f>
      </c>
      <c r="G11292" s="415">
        <v>1</v>
      </c>
      <c r="H11292" s="416">
        <f t="shared" ref="H11292:H11300" si="396">+G11292*F11292</f>
      </c>
    </row>
    <row r="11293" spans="1:8" ht="15.75" customHeight="1" x14ac:dyDescent="0.25">
      <c r="A11293" s="412">
        <v>24</v>
      </c>
      <c r="B11293" s="963" t="s">
        <v>1999</v>
      </c>
      <c r="C11293" s="422"/>
      <c r="D11293" s="415">
        <v>30</v>
      </c>
      <c r="E11293" s="415">
        <v>1</v>
      </c>
      <c r="F11293" s="415">
        <f t="shared" si="395"/>
      </c>
      <c r="G11293" s="415">
        <v>1</v>
      </c>
      <c r="H11293" s="416">
        <f t="shared" si="396"/>
      </c>
    </row>
    <row r="11294" spans="1:8" ht="15.75" customHeight="1" x14ac:dyDescent="0.25">
      <c r="A11294" s="412">
        <v>25</v>
      </c>
      <c r="B11294" s="961" t="s">
        <v>15</v>
      </c>
      <c r="C11294" s="422"/>
      <c r="D11294" s="415">
        <v>8</v>
      </c>
      <c r="E11294" s="415">
        <v>1</v>
      </c>
      <c r="F11294" s="415">
        <f t="shared" si="395"/>
      </c>
      <c r="G11294" s="415">
        <v>1</v>
      </c>
      <c r="H11294" s="416">
        <f t="shared" si="396"/>
      </c>
    </row>
    <row r="11295" spans="1:8" ht="15.75" customHeight="1" x14ac:dyDescent="0.25">
      <c r="A11295" s="412">
        <v>26</v>
      </c>
      <c r="B11295" s="960" t="s">
        <v>2000</v>
      </c>
      <c r="C11295" s="422"/>
      <c r="D11295" s="415">
        <v>5</v>
      </c>
      <c r="E11295" s="415">
        <v>1</v>
      </c>
      <c r="F11295" s="415">
        <f t="shared" si="395"/>
      </c>
      <c r="G11295" s="415">
        <v>1</v>
      </c>
      <c r="H11295" s="416">
        <f t="shared" si="396"/>
      </c>
    </row>
    <row r="11296" spans="1:8" ht="15.75" customHeight="1" x14ac:dyDescent="0.25">
      <c r="A11296" s="412">
        <v>27</v>
      </c>
      <c r="B11296" s="960" t="s">
        <v>2001</v>
      </c>
      <c r="C11296" s="422"/>
      <c r="D11296" s="842">
        <v>5</v>
      </c>
      <c r="E11296" s="415">
        <v>1</v>
      </c>
      <c r="F11296" s="415">
        <f t="shared" si="395"/>
      </c>
      <c r="G11296" s="415">
        <v>1</v>
      </c>
      <c r="H11296" s="416">
        <f t="shared" si="396"/>
      </c>
    </row>
    <row r="11297" spans="1:8" ht="15.75" customHeight="1" x14ac:dyDescent="0.25">
      <c r="A11297" s="412">
        <v>28</v>
      </c>
      <c r="B11297" s="959" t="s">
        <v>2290</v>
      </c>
      <c r="C11297" s="422"/>
      <c r="D11297" s="842">
        <v>5</v>
      </c>
      <c r="E11297" s="415">
        <v>1</v>
      </c>
      <c r="F11297" s="415">
        <f t="shared" si="395"/>
      </c>
      <c r="G11297" s="415">
        <v>1</v>
      </c>
      <c r="H11297" s="416">
        <f t="shared" si="396"/>
      </c>
    </row>
    <row r="11298" spans="1:8" ht="15.75" customHeight="1" x14ac:dyDescent="0.25">
      <c r="A11298" s="412">
        <v>29</v>
      </c>
      <c r="B11298" s="960" t="s">
        <v>2291</v>
      </c>
      <c r="C11298" s="422"/>
      <c r="D11298" s="842">
        <v>2</v>
      </c>
      <c r="E11298" s="415">
        <v>1</v>
      </c>
      <c r="F11298" s="415">
        <f t="shared" si="395"/>
      </c>
      <c r="G11298" s="415">
        <v>1</v>
      </c>
      <c r="H11298" s="416">
        <f t="shared" si="396"/>
      </c>
    </row>
    <row r="11299" spans="1:8" ht="15.75" customHeight="1" x14ac:dyDescent="0.25">
      <c r="A11299" s="412">
        <v>30</v>
      </c>
      <c r="B11299" s="960" t="s">
        <v>1545</v>
      </c>
      <c r="C11299" s="422"/>
      <c r="D11299" s="842">
        <v>2</v>
      </c>
      <c r="E11299" s="415">
        <v>1</v>
      </c>
      <c r="F11299" s="415">
        <f t="shared" si="395"/>
      </c>
      <c r="G11299" s="415">
        <v>1</v>
      </c>
      <c r="H11299" s="416">
        <f t="shared" si="396"/>
      </c>
    </row>
    <row r="11300" spans="1:8" ht="15.75" customHeight="1" x14ac:dyDescent="0.25">
      <c r="A11300" s="412">
        <v>31</v>
      </c>
      <c r="B11300" s="960" t="s">
        <v>2004</v>
      </c>
      <c r="C11300" s="422"/>
      <c r="D11300" s="842">
        <v>4</v>
      </c>
      <c r="E11300" s="415">
        <v>1</v>
      </c>
      <c r="F11300" s="415">
        <f t="shared" si="395"/>
      </c>
      <c r="G11300" s="415">
        <v>1</v>
      </c>
      <c r="H11300" s="416">
        <f t="shared" si="396"/>
      </c>
    </row>
    <row r="11301" spans="1:8" ht="15.75" customHeight="1" x14ac:dyDescent="0.25">
      <c r="A11301" s="412"/>
      <c r="B11301" s="419"/>
      <c r="C11301" s="418"/>
      <c r="D11301" s="415"/>
      <c r="E11301" s="415"/>
      <c r="F11301" s="415"/>
      <c r="G11301" s="415"/>
      <c r="H11301" s="416"/>
    </row>
    <row r="11302" spans="1:8" ht="15.75" customHeight="1" x14ac:dyDescent="0.25">
      <c r="A11302" s="894"/>
      <c r="B11302" s="878"/>
      <c r="C11302" s="895"/>
      <c r="D11302" s="593"/>
      <c r="E11302" s="593"/>
      <c r="F11302" s="593"/>
      <c r="G11302" s="593"/>
      <c r="H11302" s="931"/>
    </row>
    <row r="11303" spans="1:8" ht="15.75" customHeight="1" x14ac:dyDescent="0.25">
      <c r="A11303" s="877"/>
      <c r="B11303" s="688"/>
      <c r="C11303" s="896" t="s">
        <v>85</v>
      </c>
      <c r="D11303" s="401">
        <f>SUM(D11247:D11302)</f>
      </c>
      <c r="E11303" s="401"/>
      <c r="F11303" s="401">
        <f>SUM(F11247:F11302)</f>
      </c>
      <c r="G11303" s="661"/>
      <c r="H11303" s="438">
        <f>+H11300+H11299+H11298+H11297+H11296+H11295+H11294+H11293+H11292+H11270+H11269+H11268+H11267+H11266+H11265+H11264+H11263+H11262+H11260+H11259+H11258+H11257+H11255+H11254+H11253+H11252+H11251+H11250+H11249+H11248+H11247</f>
      </c>
    </row>
    <row r="11304" spans="1:8" ht="15.75" customHeight="1" x14ac:dyDescent="0.25">
      <c r="A11304" s="932"/>
      <c r="B11304" s="933"/>
      <c r="C11304" s="934"/>
      <c r="D11304" s="431"/>
      <c r="E11304" s="935"/>
      <c r="F11304" s="935"/>
      <c r="G11304" s="936"/>
      <c r="H11304" s="444"/>
    </row>
    <row r="11305" spans="1:8" ht="15.75" customHeight="1" x14ac:dyDescent="0.25">
      <c r="A11305" s="392" t="s">
        <v>913</v>
      </c>
      <c r="B11305" s="391"/>
      <c r="C11305" s="391"/>
      <c r="D11305" s="391"/>
      <c r="E11305" s="390"/>
      <c r="F11305" s="392"/>
      <c r="G11305" s="390"/>
      <c r="H11305" s="394"/>
    </row>
    <row r="11306" spans="1:8" ht="15.75" customHeight="1" x14ac:dyDescent="0.25">
      <c r="A11306" s="445"/>
      <c r="B11306" s="445"/>
      <c r="C11306" s="445"/>
      <c r="D11306" s="446" t="s">
        <v>97</v>
      </c>
      <c r="E11306" s="445" t="s">
        <v>98</v>
      </c>
      <c r="F11306" s="445"/>
      <c r="G11306" s="390"/>
      <c r="H11306" s="394"/>
    </row>
    <row r="11307" spans="1:8" ht="15.75" customHeight="1" x14ac:dyDescent="0.25">
      <c r="A11307" s="390"/>
      <c r="B11307" s="390"/>
      <c r="C11307" s="390"/>
      <c r="D11307" s="391"/>
      <c r="E11307" s="390"/>
      <c r="F11307" s="390"/>
      <c r="G11307" s="390"/>
      <c r="H11307" s="394"/>
    </row>
    <row r="11308" spans="1:8" ht="15.75" customHeight="1" x14ac:dyDescent="0.25">
      <c r="A11308" s="390"/>
      <c r="B11308" s="390"/>
      <c r="C11308" s="390"/>
      <c r="D11308" s="391"/>
      <c r="E11308" s="390"/>
      <c r="F11308" s="390"/>
      <c r="G11308" s="390"/>
      <c r="H11308" s="394"/>
    </row>
    <row r="11309" spans="1:8" ht="15.75" customHeight="1" x14ac:dyDescent="0.25">
      <c r="A11309" s="445"/>
      <c r="B11309" s="445"/>
      <c r="C11309" s="445"/>
      <c r="D11309" s="446"/>
      <c r="E11309" s="445" t="s">
        <v>99</v>
      </c>
      <c r="F11309" s="445"/>
      <c r="G11309" s="390"/>
      <c r="H11309" s="394"/>
    </row>
    <row r="11310" spans="1:8" ht="15.75" customHeight="1" x14ac:dyDescent="0.25">
      <c r="D11310" s="4"/>
      <c r="H11310" s="4"/>
    </row>
    <row r="11311" spans="1:8" ht="15.75" customHeight="1" x14ac:dyDescent="0.25">
      <c r="D11311" s="4"/>
      <c r="H11311" s="4"/>
    </row>
    <row r="11312" spans="1:8" ht="15.75" customHeight="1" x14ac:dyDescent="0.25">
      <c r="D11312" s="4"/>
      <c r="H11312" s="4"/>
    </row>
    <row r="11313" spans="1:8" ht="15.75" customHeight="1" x14ac:dyDescent="0.25">
      <c r="D11313" s="4"/>
      <c r="H11313" s="4"/>
    </row>
    <row r="11314" spans="1:8" ht="15.75" customHeight="1" x14ac:dyDescent="0.25">
      <c r="D11314" s="4"/>
      <c r="H11314" s="4"/>
    </row>
    <row r="11315" spans="1:8" ht="15.75" customHeight="1" x14ac:dyDescent="0.25">
      <c r="D11315" s="4"/>
      <c r="H11315" s="4"/>
    </row>
    <row r="11316" spans="1:8" ht="15.75" customHeight="1" x14ac:dyDescent="0.25">
      <c r="D11316" s="4"/>
      <c r="H11316" s="4"/>
    </row>
    <row r="11317" spans="1:8" ht="15.75" customHeight="1" x14ac:dyDescent="0.25">
      <c r="D11317" s="4"/>
      <c r="H11317" s="4"/>
    </row>
    <row r="11318" spans="1:8" ht="15.75" customHeight="1" x14ac:dyDescent="0.25">
      <c r="D11318" s="4"/>
      <c r="H11318" s="4"/>
    </row>
    <row r="11319" spans="1:8" ht="15.75" customHeight="1" x14ac:dyDescent="0.25">
      <c r="D11319" s="4"/>
      <c r="H11319" s="4"/>
    </row>
    <row r="11320" spans="1:8" ht="15.75" customHeight="1" x14ac:dyDescent="0.25">
      <c r="D11320" s="4"/>
      <c r="H11320" s="4"/>
    </row>
    <row r="11321" spans="1:8" ht="15.75" customHeight="1" x14ac:dyDescent="0.25">
      <c r="A11321" s="8" t="s">
        <v>14</v>
      </c>
      <c r="B11321" s="8"/>
      <c r="C11321" s="8"/>
      <c r="D11321" s="8"/>
      <c r="E11321" s="8"/>
      <c r="F11321" s="8"/>
      <c r="G11321" s="8"/>
      <c r="H11321" s="8"/>
    </row>
    <row r="11322" spans="1:8" ht="15.75" customHeight="1" x14ac:dyDescent="0.25">
      <c r="A11322" s="388"/>
      <c r="B11322" s="388"/>
      <c r="C11322" s="388"/>
      <c r="D11322" s="389"/>
      <c r="E11322" s="388"/>
      <c r="F11322" s="388"/>
      <c r="G11322" s="388"/>
      <c r="H11322" s="8"/>
    </row>
    <row r="11323" spans="1:8" ht="15.75" customHeight="1" x14ac:dyDescent="0.25">
      <c r="A11323" s="390"/>
      <c r="B11323" s="390"/>
      <c r="C11323" s="390"/>
      <c r="D11323" s="391"/>
      <c r="E11323" s="390"/>
      <c r="F11323" s="395" t="s">
        <v>18</v>
      </c>
      <c r="G11323" s="396" t="s">
        <v>518</v>
      </c>
      <c r="H11323" s="397"/>
    </row>
    <row r="11324" spans="1:8" ht="15.75" customHeight="1" x14ac:dyDescent="0.25">
      <c r="A11324" s="390" t="s">
        <v>20</v>
      </c>
      <c r="B11324" s="390"/>
      <c r="C11324" s="390"/>
      <c r="D11324" s="391"/>
      <c r="E11324" s="390"/>
      <c r="F11324" s="395" t="s">
        <v>21</v>
      </c>
      <c r="G11324" s="390" t="s">
        <v>1405</v>
      </c>
      <c r="H11324" s="391"/>
    </row>
    <row r="11325" spans="1:8" ht="15.75" customHeight="1" x14ac:dyDescent="0.25">
      <c r="A11325" s="390" t="inlineStr">
        <is>
          <t>Dealer-003</t>
        </is>
      </c>
      <c r="B11325" s="390"/>
      <c r="C11325" s="390"/>
      <c r="D11325" s="398"/>
      <c r="E11325" s="390"/>
      <c r="F11325" s="391"/>
      <c r="G11325" s="390"/>
      <c r="H11325" s="394"/>
    </row>
    <row r="11326" spans="1:8" ht="15.75" customHeight="1" x14ac:dyDescent="0.25">
      <c r="A11326" s="390" t="inlineStr">
        <is>
          <t>Address line (redacted)</t>
        </is>
      </c>
      <c r="B11326" s="390"/>
      <c r="C11326" s="390"/>
      <c r="D11326" s="398"/>
      <c r="E11326" s="390"/>
      <c r="F11326" s="391"/>
      <c r="G11326" s="390"/>
      <c r="H11326" s="394"/>
    </row>
    <row r="11327" spans="1:8" ht="15.75" customHeight="1" x14ac:dyDescent="0.25">
      <c r="A11327" s="390" t="inlineStr">
        <is>
          <t>Address line (redacted)</t>
        </is>
      </c>
      <c r="B11327" s="390"/>
      <c r="C11327" s="390"/>
      <c r="D11327" s="391"/>
      <c r="E11327" s="390"/>
      <c r="F11327" s="391"/>
      <c r="G11327" s="390"/>
      <c r="H11327" s="394"/>
    </row>
    <row r="11328" spans="1:8" ht="15.75" customHeight="1" x14ac:dyDescent="0.25">
      <c r="A11328" s="390"/>
      <c r="B11328" s="390"/>
      <c r="C11328" s="390"/>
      <c r="D11328" s="391"/>
      <c r="E11328" s="390"/>
      <c r="F11328" s="391"/>
      <c r="G11328" s="390"/>
      <c r="H11328" s="394"/>
    </row>
    <row r="11329" spans="1:8" ht="15.75" customHeight="1" x14ac:dyDescent="0.25">
      <c r="A11329" s="390" t="s">
        <v>30</v>
      </c>
      <c r="B11329" s="390"/>
      <c r="C11329" s="390"/>
      <c r="D11329" s="391"/>
      <c r="E11329" s="390"/>
      <c r="F11329" s="391"/>
      <c r="G11329" s="390"/>
      <c r="H11329" s="394"/>
    </row>
    <row r="11330" spans="1:8" ht="15.75" customHeight="1" x14ac:dyDescent="0.25">
      <c r="A11330" s="390"/>
      <c r="B11330" s="390"/>
      <c r="C11330" s="390"/>
      <c r="D11330" s="391"/>
      <c r="E11330" s="390"/>
      <c r="F11330" s="391"/>
      <c r="G11330" s="390"/>
      <c r="H11330" s="394"/>
    </row>
    <row r="11331" spans="1:8" ht="15.75" customHeight="1" x14ac:dyDescent="0.25">
      <c r="A11331" s="390" t="s">
        <v>716</v>
      </c>
      <c r="B11331" s="390"/>
      <c r="C11331" s="390"/>
      <c r="D11331" s="391"/>
      <c r="E11331" s="390"/>
      <c r="F11331" s="391"/>
      <c r="G11331" s="390"/>
      <c r="H11331" s="394"/>
    </row>
    <row r="11332" spans="1:8" ht="15.75" customHeight="1" x14ac:dyDescent="0.25">
      <c r="A11332" s="390" t="s">
        <v>717</v>
      </c>
      <c r="B11332" s="390"/>
      <c r="C11332" s="390"/>
      <c r="D11332" s="391"/>
      <c r="E11332" s="390"/>
      <c r="F11332" s="391"/>
      <c r="G11332" s="390"/>
      <c r="H11332" s="394"/>
    </row>
    <row r="11333" spans="1:8" ht="15.75" customHeight="1" x14ac:dyDescent="0.25">
      <c r="A11333" s="390"/>
      <c r="B11333" s="390"/>
      <c r="C11333" s="390"/>
      <c r="D11333" s="391"/>
      <c r="E11333" s="390"/>
      <c r="F11333" s="391"/>
      <c r="G11333" s="390"/>
      <c r="H11333" s="394"/>
    </row>
    <row r="11334" spans="1:8" ht="15.75" customHeight="1" x14ac:dyDescent="0.25">
      <c r="A11334" s="948" t="s">
        <v>33</v>
      </c>
      <c r="B11334" s="949" t="s">
        <v>6</v>
      </c>
      <c r="C11334" s="950"/>
      <c r="D11334" s="874" t="s">
        <v>37</v>
      </c>
      <c r="E11334" s="874" t="s">
        <v>38</v>
      </c>
      <c r="F11334" s="875" t="s">
        <v>7</v>
      </c>
      <c r="G11334" s="872" t="s">
        <v>43</v>
      </c>
      <c r="H11334" s="876" t="s">
        <v>44</v>
      </c>
    </row>
    <row r="11335" spans="1:8" ht="15.75" customHeight="1" x14ac:dyDescent="0.25">
      <c r="A11335" s="877"/>
      <c r="B11335" s="578"/>
      <c r="C11335" s="627"/>
      <c r="D11335" s="578"/>
      <c r="E11335" s="578"/>
      <c r="F11335" s="878"/>
      <c r="G11335" s="578"/>
      <c r="H11335" s="416"/>
    </row>
    <row r="11336" spans="1:8" ht="12.75" customHeight="1" x14ac:dyDescent="0.25">
      <c r="A11336" s="952"/>
      <c r="B11336" s="953" t="s">
        <v>1976</v>
      </c>
      <c r="C11336" s="953"/>
      <c r="D11336" s="954"/>
      <c r="E11336" s="955"/>
      <c r="F11336" s="956"/>
      <c r="G11336" s="956"/>
      <c r="H11336" s="957"/>
    </row>
    <row r="11337" spans="1:8" ht="12.75" customHeight="1" x14ac:dyDescent="0.25">
      <c r="A11337" s="412">
        <v>1</v>
      </c>
      <c r="B11337" s="958" t="s">
        <v>1977</v>
      </c>
      <c r="C11337" s="422"/>
      <c r="D11337" s="415">
        <v>9</v>
      </c>
      <c r="E11337" s="415">
        <v>1</v>
      </c>
      <c r="F11337" s="415">
        <f t="shared" ref="F11337:F11345" si="397">+E11337*D11337</f>
      </c>
      <c r="G11337" s="415">
        <v>1</v>
      </c>
      <c r="H11337" s="416">
        <f t="shared" ref="H11337:H11345" si="398">+G11337*F11337</f>
      </c>
    </row>
    <row r="11338" spans="1:8" ht="12.75" customHeight="1" x14ac:dyDescent="0.25">
      <c r="A11338" s="412">
        <v>2</v>
      </c>
      <c r="B11338" s="959" t="s">
        <v>1978</v>
      </c>
      <c r="C11338" s="422"/>
      <c r="D11338" s="842">
        <v>35</v>
      </c>
      <c r="E11338" s="415">
        <v>1</v>
      </c>
      <c r="F11338" s="415">
        <f t="shared" si="397"/>
      </c>
      <c r="G11338" s="415">
        <v>1</v>
      </c>
      <c r="H11338" s="416">
        <f t="shared" si="398"/>
      </c>
    </row>
    <row r="11339" spans="1:8" ht="12.75" customHeight="1" x14ac:dyDescent="0.25">
      <c r="A11339" s="412">
        <v>3</v>
      </c>
      <c r="B11339" s="960" t="s">
        <v>1979</v>
      </c>
      <c r="C11339" s="422"/>
      <c r="D11339" s="842">
        <v>35</v>
      </c>
      <c r="E11339" s="415">
        <v>1</v>
      </c>
      <c r="F11339" s="415">
        <f t="shared" si="397"/>
      </c>
      <c r="G11339" s="415">
        <v>1</v>
      </c>
      <c r="H11339" s="416">
        <f t="shared" si="398"/>
      </c>
    </row>
    <row r="11340" spans="1:8" ht="12.75" customHeight="1" x14ac:dyDescent="0.25">
      <c r="A11340" s="412">
        <v>4</v>
      </c>
      <c r="B11340" s="960" t="s">
        <v>1980</v>
      </c>
      <c r="C11340" s="422"/>
      <c r="D11340" s="842">
        <v>10</v>
      </c>
      <c r="E11340" s="415">
        <v>1</v>
      </c>
      <c r="F11340" s="415">
        <f t="shared" si="397"/>
      </c>
      <c r="G11340" s="415">
        <v>1</v>
      </c>
      <c r="H11340" s="416">
        <f t="shared" si="398"/>
      </c>
    </row>
    <row r="11341" spans="1:8" ht="12.75" customHeight="1" x14ac:dyDescent="0.25">
      <c r="A11341" s="412">
        <v>5</v>
      </c>
      <c r="B11341" s="960" t="s">
        <v>1981</v>
      </c>
      <c r="C11341" s="422"/>
      <c r="D11341" s="842">
        <v>13</v>
      </c>
      <c r="E11341" s="415">
        <v>1</v>
      </c>
      <c r="F11341" s="415">
        <f t="shared" si="397"/>
      </c>
      <c r="G11341" s="415">
        <v>1</v>
      </c>
      <c r="H11341" s="416">
        <f t="shared" si="398"/>
      </c>
    </row>
    <row r="11342" spans="1:8" ht="12.75" customHeight="1" x14ac:dyDescent="0.25">
      <c r="A11342" s="412">
        <v>6</v>
      </c>
      <c r="B11342" s="958" t="s">
        <v>1982</v>
      </c>
      <c r="C11342" s="422"/>
      <c r="D11342" s="842">
        <v>8</v>
      </c>
      <c r="E11342" s="415">
        <v>1</v>
      </c>
      <c r="F11342" s="415">
        <f t="shared" si="397"/>
      </c>
      <c r="G11342" s="415">
        <v>1</v>
      </c>
      <c r="H11342" s="416">
        <f t="shared" si="398"/>
      </c>
    </row>
    <row r="11343" spans="1:8" ht="12.75" customHeight="1" x14ac:dyDescent="0.25">
      <c r="A11343" s="412">
        <v>7</v>
      </c>
      <c r="B11343" s="958" t="s">
        <v>1983</v>
      </c>
      <c r="C11343" s="422"/>
      <c r="D11343" s="842">
        <v>10</v>
      </c>
      <c r="E11343" s="415">
        <v>1</v>
      </c>
      <c r="F11343" s="415">
        <f t="shared" si="397"/>
      </c>
      <c r="G11343" s="415">
        <v>1</v>
      </c>
      <c r="H11343" s="416">
        <f t="shared" si="398"/>
      </c>
    </row>
    <row r="11344" spans="1:8" ht="12.75" customHeight="1" x14ac:dyDescent="0.25">
      <c r="A11344" s="412">
        <v>8</v>
      </c>
      <c r="B11344" s="960" t="s">
        <v>2285</v>
      </c>
      <c r="C11344" s="422"/>
      <c r="D11344" s="842">
        <v>10</v>
      </c>
      <c r="E11344" s="415">
        <v>1</v>
      </c>
      <c r="F11344" s="415">
        <f t="shared" si="397"/>
      </c>
      <c r="G11344" s="415">
        <v>1</v>
      </c>
      <c r="H11344" s="416">
        <f t="shared" si="398"/>
      </c>
    </row>
    <row r="11345" spans="1:8" ht="15.75" customHeight="1" x14ac:dyDescent="0.25">
      <c r="A11345" s="412">
        <v>9</v>
      </c>
      <c r="B11345" s="961" t="s">
        <v>1985</v>
      </c>
      <c r="C11345" s="422"/>
      <c r="D11345" s="842">
        <v>5</v>
      </c>
      <c r="E11345" s="415">
        <v>1</v>
      </c>
      <c r="F11345" s="415">
        <f t="shared" si="397"/>
      </c>
      <c r="G11345" s="415">
        <v>1</v>
      </c>
      <c r="H11345" s="416">
        <f t="shared" si="398"/>
      </c>
    </row>
    <row r="11346" spans="1:8" ht="12.75" customHeight="1" x14ac:dyDescent="0.25">
      <c r="A11346" s="952"/>
      <c r="B11346" s="953" t="s">
        <v>1402</v>
      </c>
      <c r="C11346" s="953"/>
      <c r="D11346" s="962"/>
      <c r="E11346" s="954"/>
      <c r="F11346" s="956"/>
      <c r="G11346" s="956"/>
      <c r="H11346" s="957"/>
    </row>
    <row r="11347" spans="1:8" ht="12.75" customHeight="1" x14ac:dyDescent="0.25">
      <c r="A11347" s="412">
        <v>10</v>
      </c>
      <c r="B11347" s="960" t="s">
        <v>1404</v>
      </c>
      <c r="C11347" s="422"/>
      <c r="D11347" s="842">
        <v>60</v>
      </c>
      <c r="E11347" s="415">
        <v>1</v>
      </c>
      <c r="F11347" s="415">
        <f t="shared" ref="F11347:F11350" si="399">+E11347*D11347</f>
      </c>
      <c r="G11347" s="415">
        <v>1</v>
      </c>
      <c r="H11347" s="416">
        <f t="shared" ref="H11347:H11350" si="400">+G11347*F11347</f>
      </c>
    </row>
    <row r="11348" spans="1:8" ht="12.75" customHeight="1" x14ac:dyDescent="0.25">
      <c r="A11348" s="412">
        <v>11</v>
      </c>
      <c r="B11348" s="960" t="s">
        <v>2286</v>
      </c>
      <c r="C11348" s="422"/>
      <c r="D11348" s="842">
        <v>5</v>
      </c>
      <c r="E11348" s="415">
        <v>1</v>
      </c>
      <c r="F11348" s="415">
        <f t="shared" si="399"/>
      </c>
      <c r="G11348" s="415">
        <v>1</v>
      </c>
      <c r="H11348" s="416">
        <f t="shared" si="400"/>
      </c>
    </row>
    <row r="11349" spans="1:8" ht="12.75" customHeight="1" x14ac:dyDescent="0.25">
      <c r="A11349" s="412">
        <v>12</v>
      </c>
      <c r="B11349" s="960" t="s">
        <v>1987</v>
      </c>
      <c r="C11349" s="422"/>
      <c r="D11349" s="842">
        <v>2</v>
      </c>
      <c r="E11349" s="415">
        <v>1</v>
      </c>
      <c r="F11349" s="415">
        <f t="shared" si="399"/>
      </c>
      <c r="G11349" s="415">
        <v>1</v>
      </c>
      <c r="H11349" s="416">
        <f t="shared" si="400"/>
      </c>
    </row>
    <row r="11350" spans="1:8" ht="15.75" customHeight="1" x14ac:dyDescent="0.25">
      <c r="A11350" s="412">
        <v>13</v>
      </c>
      <c r="B11350" s="960" t="s">
        <v>1988</v>
      </c>
      <c r="C11350" s="422"/>
      <c r="D11350" s="842">
        <v>2</v>
      </c>
      <c r="E11350" s="415">
        <v>1</v>
      </c>
      <c r="F11350" s="415">
        <f t="shared" si="399"/>
      </c>
      <c r="G11350" s="415">
        <v>1</v>
      </c>
      <c r="H11350" s="416">
        <f t="shared" si="400"/>
      </c>
    </row>
    <row r="11351" spans="1:8" ht="12.75" customHeight="1" x14ac:dyDescent="0.25">
      <c r="A11351" s="412"/>
      <c r="B11351" s="953" t="s">
        <v>1489</v>
      </c>
      <c r="C11351" s="953"/>
      <c r="D11351" s="951"/>
      <c r="E11351" s="879"/>
      <c r="F11351" s="415"/>
      <c r="G11351" s="415"/>
      <c r="H11351" s="416"/>
    </row>
    <row r="11352" spans="1:8" ht="12.75" customHeight="1" x14ac:dyDescent="0.25">
      <c r="A11352" s="412">
        <v>14</v>
      </c>
      <c r="B11352" s="961" t="s">
        <v>1989</v>
      </c>
      <c r="C11352" s="422"/>
      <c r="D11352" s="842">
        <v>3</v>
      </c>
      <c r="E11352" s="415">
        <v>1</v>
      </c>
      <c r="F11352" s="415">
        <f t="shared" ref="F11352:F11363" si="401">+E11352*D11352</f>
      </c>
      <c r="G11352" s="415">
        <v>1</v>
      </c>
      <c r="H11352" s="416">
        <f t="shared" ref="H11352:H11363" si="402">+G11352*F11352</f>
      </c>
    </row>
    <row r="11353" spans="1:8" ht="12.75" customHeight="1" x14ac:dyDescent="0.25">
      <c r="A11353" s="412">
        <v>15</v>
      </c>
      <c r="B11353" s="960" t="s">
        <v>1500</v>
      </c>
      <c r="C11353" s="422"/>
      <c r="D11353" s="842">
        <v>3</v>
      </c>
      <c r="E11353" s="415">
        <v>1</v>
      </c>
      <c r="F11353" s="415">
        <f t="shared" si="401"/>
      </c>
      <c r="G11353" s="415">
        <v>1</v>
      </c>
      <c r="H11353" s="416">
        <f t="shared" si="402"/>
      </c>
    </row>
    <row r="11354" spans="1:8" ht="12.75" customHeight="1" x14ac:dyDescent="0.25">
      <c r="A11354" s="412">
        <v>16</v>
      </c>
      <c r="B11354" s="960" t="s">
        <v>1991</v>
      </c>
      <c r="C11354" s="422"/>
      <c r="D11354" s="842">
        <v>3</v>
      </c>
      <c r="E11354" s="415">
        <v>1</v>
      </c>
      <c r="F11354" s="415">
        <f t="shared" si="401"/>
      </c>
      <c r="G11354" s="415">
        <v>1</v>
      </c>
      <c r="H11354" s="416">
        <f t="shared" si="402"/>
      </c>
    </row>
    <row r="11355" spans="1:8" ht="12.75" customHeight="1" x14ac:dyDescent="0.25">
      <c r="A11355" s="412">
        <v>17</v>
      </c>
      <c r="B11355" s="960" t="s">
        <v>1992</v>
      </c>
      <c r="C11355" s="422"/>
      <c r="D11355" s="842">
        <v>2</v>
      </c>
      <c r="E11355" s="415">
        <v>1</v>
      </c>
      <c r="F11355" s="415">
        <f t="shared" si="401"/>
      </c>
      <c r="G11355" s="415">
        <v>1</v>
      </c>
      <c r="H11355" s="416">
        <f t="shared" si="402"/>
      </c>
    </row>
    <row r="11356" spans="1:8" ht="12.75" customHeight="1" x14ac:dyDescent="0.25">
      <c r="A11356" s="412">
        <v>18</v>
      </c>
      <c r="B11356" s="961" t="s">
        <v>1490</v>
      </c>
      <c r="C11356" s="422"/>
      <c r="D11356" s="842">
        <v>4</v>
      </c>
      <c r="E11356" s="415">
        <v>1</v>
      </c>
      <c r="F11356" s="415">
        <f t="shared" si="401"/>
      </c>
      <c r="G11356" s="415">
        <v>1</v>
      </c>
      <c r="H11356" s="416">
        <f t="shared" si="402"/>
      </c>
    </row>
    <row r="11357" spans="1:8" ht="12.75" customHeight="1" x14ac:dyDescent="0.25">
      <c r="A11357" s="412">
        <v>19</v>
      </c>
      <c r="B11357" s="960" t="s">
        <v>1993</v>
      </c>
      <c r="C11357" s="422"/>
      <c r="D11357" s="842">
        <v>3</v>
      </c>
      <c r="E11357" s="415">
        <v>1</v>
      </c>
      <c r="F11357" s="415">
        <f t="shared" si="401"/>
      </c>
      <c r="G11357" s="415">
        <v>1</v>
      </c>
      <c r="H11357" s="416">
        <f t="shared" si="402"/>
      </c>
    </row>
    <row r="11358" spans="1:8" ht="12.75" customHeight="1" x14ac:dyDescent="0.25">
      <c r="A11358" s="412">
        <v>20</v>
      </c>
      <c r="B11358" s="960" t="s">
        <v>1995</v>
      </c>
      <c r="C11358" s="422"/>
      <c r="D11358" s="842">
        <v>2</v>
      </c>
      <c r="E11358" s="415">
        <v>1</v>
      </c>
      <c r="F11358" s="415">
        <f t="shared" si="401"/>
      </c>
      <c r="G11358" s="415">
        <v>1</v>
      </c>
      <c r="H11358" s="416">
        <f t="shared" si="402"/>
      </c>
    </row>
    <row r="11359" spans="1:8" ht="12.75" customHeight="1" x14ac:dyDescent="0.25">
      <c r="A11359" s="412">
        <v>21</v>
      </c>
      <c r="B11359" s="961" t="s">
        <v>1551</v>
      </c>
      <c r="C11359" s="422"/>
      <c r="D11359" s="415">
        <v>1</v>
      </c>
      <c r="E11359" s="415">
        <v>1</v>
      </c>
      <c r="F11359" s="415">
        <f t="shared" si="401"/>
      </c>
      <c r="G11359" s="415">
        <v>1</v>
      </c>
      <c r="H11359" s="416">
        <f t="shared" si="402"/>
      </c>
    </row>
    <row r="11360" spans="1:8" ht="12.75" customHeight="1" x14ac:dyDescent="0.25">
      <c r="A11360" s="412">
        <v>22</v>
      </c>
      <c r="B11360" s="961" t="s">
        <v>1997</v>
      </c>
      <c r="C11360" s="422"/>
      <c r="D11360" s="415">
        <v>9</v>
      </c>
      <c r="E11360" s="415">
        <v>1</v>
      </c>
      <c r="F11360" s="415">
        <f t="shared" si="401"/>
      </c>
      <c r="G11360" s="415">
        <v>1</v>
      </c>
      <c r="H11360" s="416">
        <f t="shared" si="402"/>
      </c>
    </row>
    <row r="11361" spans="1:8" ht="12.75" customHeight="1" x14ac:dyDescent="0.25">
      <c r="A11361" s="412">
        <v>23</v>
      </c>
      <c r="B11361" s="960" t="s">
        <v>2287</v>
      </c>
      <c r="C11361" s="422"/>
      <c r="D11361" s="415">
        <v>80</v>
      </c>
      <c r="E11361" s="415">
        <v>1</v>
      </c>
      <c r="F11361" s="415">
        <f t="shared" si="401"/>
      </c>
      <c r="G11361" s="415">
        <v>1</v>
      </c>
      <c r="H11361" s="416">
        <f t="shared" si="402"/>
      </c>
    </row>
    <row r="11362" spans="1:8" ht="12.75" customHeight="1" x14ac:dyDescent="0.25">
      <c r="A11362" s="412">
        <v>24</v>
      </c>
      <c r="B11362" s="963" t="s">
        <v>1999</v>
      </c>
      <c r="C11362" s="422"/>
      <c r="D11362" s="415">
        <v>30</v>
      </c>
      <c r="E11362" s="415">
        <v>1</v>
      </c>
      <c r="F11362" s="415">
        <f t="shared" si="401"/>
      </c>
      <c r="G11362" s="415">
        <v>1</v>
      </c>
      <c r="H11362" s="416">
        <f t="shared" si="402"/>
      </c>
    </row>
    <row r="11363" spans="1:8" ht="12.75" customHeight="1" x14ac:dyDescent="0.25">
      <c r="A11363" s="412">
        <v>26</v>
      </c>
      <c r="B11363" s="960" t="s">
        <v>2000</v>
      </c>
      <c r="C11363" s="422"/>
      <c r="D11363" s="415">
        <v>8</v>
      </c>
      <c r="E11363" s="415">
        <v>1</v>
      </c>
      <c r="F11363" s="415">
        <f t="shared" si="401"/>
      </c>
      <c r="G11363" s="415">
        <v>1</v>
      </c>
      <c r="H11363" s="416">
        <f t="shared" si="402"/>
      </c>
    </row>
    <row r="11364" spans="1:8" ht="12.75" customHeight="1" x14ac:dyDescent="0.25">
      <c r="A11364" s="412"/>
      <c r="B11364" s="960"/>
      <c r="C11364" s="422"/>
      <c r="D11364" s="415"/>
      <c r="E11364" s="415"/>
      <c r="F11364" s="415"/>
      <c r="G11364" s="415"/>
      <c r="H11364" s="416"/>
    </row>
    <row r="11365" spans="1:8" ht="15.75" customHeight="1" x14ac:dyDescent="0.3">
      <c r="A11365" s="880"/>
      <c r="B11365" s="964"/>
      <c r="C11365" s="891"/>
      <c r="D11365" s="965"/>
      <c r="E11365" s="965"/>
      <c r="F11365" s="892"/>
      <c r="G11365" s="892"/>
      <c r="H11365" s="893"/>
    </row>
    <row r="11366" spans="1:8" ht="15.75" customHeight="1" x14ac:dyDescent="0.3">
      <c r="A11366" s="451"/>
      <c r="B11366" s="966"/>
      <c r="C11366" s="885"/>
      <c r="D11366" s="4"/>
      <c r="E11366" s="4"/>
      <c r="F11366" s="391"/>
      <c r="G11366" s="391"/>
      <c r="H11366" s="394"/>
    </row>
    <row r="11367" spans="1:8" ht="15.75" customHeight="1" x14ac:dyDescent="0.3">
      <c r="A11367" s="451"/>
      <c r="B11367" s="966"/>
      <c r="C11367" s="885"/>
      <c r="D11367" s="4"/>
      <c r="E11367" s="4"/>
      <c r="F11367" s="398" t="s">
        <v>2288</v>
      </c>
      <c r="G11367" s="391"/>
      <c r="H11367" s="394"/>
    </row>
    <row r="11368" spans="1:8" ht="15.75" customHeight="1" x14ac:dyDescent="0.3">
      <c r="A11368" s="451"/>
      <c r="B11368" s="966"/>
      <c r="C11368" s="885"/>
      <c r="D11368" s="4"/>
      <c r="E11368" s="4"/>
      <c r="F11368" s="391"/>
      <c r="G11368" s="391"/>
      <c r="H11368" s="394"/>
    </row>
    <row r="11369" spans="1:8" ht="15.75" customHeight="1" x14ac:dyDescent="0.3">
      <c r="A11369" s="451"/>
      <c r="B11369" s="966"/>
      <c r="C11369" s="885"/>
      <c r="D11369" s="4"/>
      <c r="E11369" s="4"/>
      <c r="F11369" s="391"/>
      <c r="G11369" s="391"/>
      <c r="H11369" s="394"/>
    </row>
    <row r="11370" spans="1:8" ht="15.75" customHeight="1" x14ac:dyDescent="0.25">
      <c r="A11370" s="8" t="s">
        <v>14</v>
      </c>
      <c r="B11370" s="8"/>
      <c r="C11370" s="8"/>
      <c r="D11370" s="8"/>
      <c r="E11370" s="8"/>
      <c r="F11370" s="8"/>
      <c r="G11370" s="8"/>
      <c r="H11370" s="8"/>
    </row>
    <row r="11371" spans="1:8" ht="15.75" customHeight="1" x14ac:dyDescent="0.25">
      <c r="A11371" s="388"/>
      <c r="B11371" s="388"/>
      <c r="C11371" s="388"/>
      <c r="D11371" s="389"/>
      <c r="E11371" s="388"/>
      <c r="F11371" s="388"/>
      <c r="G11371" s="388"/>
      <c r="H11371" s="8"/>
    </row>
    <row r="11372" spans="1:8" ht="15.75" customHeight="1" x14ac:dyDescent="0.25">
      <c r="A11372" s="390"/>
      <c r="B11372" s="390"/>
      <c r="D11372" s="392"/>
      <c r="E11372" s="393"/>
      <c r="F11372" s="393"/>
      <c r="G11372" s="393"/>
      <c r="H11372" s="394"/>
    </row>
    <row r="11373" spans="1:8" ht="15.75" customHeight="1" x14ac:dyDescent="0.25">
      <c r="A11373" s="390"/>
      <c r="B11373" s="390"/>
      <c r="C11373" s="390"/>
      <c r="D11373" s="391"/>
      <c r="E11373" s="390"/>
      <c r="F11373" s="395" t="s">
        <v>18</v>
      </c>
      <c r="G11373" s="396" t="s">
        <v>518</v>
      </c>
      <c r="H11373" s="397"/>
    </row>
    <row r="11374" spans="1:8" ht="15.75" customHeight="1" x14ac:dyDescent="0.25">
      <c r="A11374" s="390" t="s">
        <v>20</v>
      </c>
      <c r="B11374" s="390"/>
      <c r="C11374" s="398" t="s">
        <v>2289</v>
      </c>
      <c r="D11374" s="391"/>
      <c r="E11374" s="390"/>
      <c r="F11374" s="395" t="s">
        <v>21</v>
      </c>
      <c r="G11374" s="390" t="s">
        <v>1405</v>
      </c>
      <c r="H11374" s="391"/>
    </row>
    <row r="11375" spans="1:8" ht="15.75" customHeight="1" x14ac:dyDescent="0.25">
      <c r="A11375" s="390" t="inlineStr">
        <is>
          <t>Dealer-003</t>
        </is>
      </c>
      <c r="B11375" s="390"/>
      <c r="C11375" s="390"/>
      <c r="D11375" s="398"/>
      <c r="E11375" s="390"/>
      <c r="F11375" s="391"/>
      <c r="G11375" s="390"/>
      <c r="H11375" s="394"/>
    </row>
    <row r="11376" spans="1:8" ht="15.75" customHeight="1" x14ac:dyDescent="0.25">
      <c r="A11376" s="390" t="inlineStr">
        <is>
          <t>Address line (redacted)</t>
        </is>
      </c>
      <c r="B11376" s="390"/>
      <c r="C11376" s="390"/>
      <c r="D11376" s="398"/>
      <c r="E11376" s="390"/>
      <c r="F11376" s="391"/>
      <c r="G11376" s="390"/>
      <c r="H11376" s="394"/>
    </row>
    <row r="11377" spans="1:8" ht="15.75" customHeight="1" x14ac:dyDescent="0.25">
      <c r="A11377" s="390" t="inlineStr">
        <is>
          <t>Address line (redacted)</t>
        </is>
      </c>
      <c r="B11377" s="390"/>
      <c r="C11377" s="390"/>
      <c r="D11377" s="391"/>
      <c r="E11377" s="390"/>
      <c r="F11377" s="391"/>
      <c r="G11377" s="390"/>
      <c r="H11377" s="394"/>
    </row>
    <row r="11378" spans="1:8" ht="15.75" customHeight="1" x14ac:dyDescent="0.25">
      <c r="A11378" s="390"/>
      <c r="B11378" s="390"/>
      <c r="C11378" s="390"/>
      <c r="D11378" s="391"/>
      <c r="E11378" s="390"/>
      <c r="F11378" s="391"/>
      <c r="G11378" s="390"/>
      <c r="H11378" s="394"/>
    </row>
    <row r="11379" spans="1:8" ht="15.75" customHeight="1" x14ac:dyDescent="0.25">
      <c r="A11379" s="390" t="s">
        <v>30</v>
      </c>
      <c r="B11379" s="390"/>
      <c r="C11379" s="390"/>
      <c r="D11379" s="391"/>
      <c r="E11379" s="390"/>
      <c r="F11379" s="391"/>
      <c r="G11379" s="390"/>
      <c r="H11379" s="394"/>
    </row>
    <row r="11380" spans="1:8" ht="15.75" customHeight="1" x14ac:dyDescent="0.25">
      <c r="A11380" s="390"/>
      <c r="B11380" s="390"/>
      <c r="C11380" s="390"/>
      <c r="D11380" s="391"/>
      <c r="E11380" s="390"/>
      <c r="F11380" s="391"/>
      <c r="G11380" s="390"/>
      <c r="H11380" s="394"/>
    </row>
    <row r="11381" spans="1:8" ht="15.75" customHeight="1" x14ac:dyDescent="0.25">
      <c r="A11381" s="390" t="s">
        <v>716</v>
      </c>
      <c r="B11381" s="390"/>
      <c r="C11381" s="390"/>
      <c r="D11381" s="391"/>
      <c r="E11381" s="390"/>
      <c r="F11381" s="391"/>
      <c r="G11381" s="390"/>
      <c r="H11381" s="394"/>
    </row>
    <row r="11382" spans="1:8" ht="15.75" customHeight="1" x14ac:dyDescent="0.25">
      <c r="A11382" s="390" t="s">
        <v>717</v>
      </c>
      <c r="B11382" s="390"/>
      <c r="C11382" s="390"/>
      <c r="D11382" s="391"/>
      <c r="E11382" s="390"/>
      <c r="F11382" s="391"/>
      <c r="G11382" s="390"/>
      <c r="H11382" s="394"/>
    </row>
    <row r="11383" spans="1:8" ht="15.75" customHeight="1" x14ac:dyDescent="0.25">
      <c r="A11383" s="390"/>
      <c r="B11383" s="390"/>
      <c r="C11383" s="390"/>
      <c r="D11383" s="391"/>
      <c r="E11383" s="390"/>
      <c r="F11383" s="391"/>
      <c r="G11383" s="390"/>
      <c r="H11383" s="394"/>
    </row>
    <row r="11384" spans="1:8" ht="15.75" customHeight="1" x14ac:dyDescent="0.25">
      <c r="A11384" s="948" t="s">
        <v>33</v>
      </c>
      <c r="B11384" s="949" t="s">
        <v>6</v>
      </c>
      <c r="C11384" s="950"/>
      <c r="D11384" s="874" t="s">
        <v>37</v>
      </c>
      <c r="E11384" s="874" t="s">
        <v>38</v>
      </c>
      <c r="F11384" s="875" t="s">
        <v>7</v>
      </c>
      <c r="G11384" s="872" t="s">
        <v>43</v>
      </c>
      <c r="H11384" s="876" t="s">
        <v>44</v>
      </c>
    </row>
    <row r="11385" spans="1:8" ht="15.75" customHeight="1" x14ac:dyDescent="0.3">
      <c r="A11385" s="412"/>
      <c r="B11385" s="967"/>
      <c r="C11385" s="422"/>
      <c r="D11385" s="951"/>
      <c r="E11385" s="879"/>
      <c r="F11385" s="415"/>
      <c r="G11385" s="415"/>
      <c r="H11385" s="416"/>
    </row>
    <row r="11386" spans="1:8" ht="15.75" customHeight="1" x14ac:dyDescent="0.25">
      <c r="A11386" s="412">
        <v>27</v>
      </c>
      <c r="B11386" s="960" t="s">
        <v>2001</v>
      </c>
      <c r="C11386" s="422"/>
      <c r="D11386" s="842">
        <v>8</v>
      </c>
      <c r="E11386" s="415">
        <v>1</v>
      </c>
      <c r="F11386" s="415">
        <f t="shared" ref="F11386:F11390" si="403">+E11386*D11386</f>
      </c>
      <c r="G11386" s="415">
        <v>1</v>
      </c>
      <c r="H11386" s="416">
        <f t="shared" ref="H11386:H11390" si="404">+G11386*F11386</f>
      </c>
    </row>
    <row r="11387" spans="1:8" ht="15.75" customHeight="1" x14ac:dyDescent="0.25">
      <c r="A11387" s="412">
        <v>28</v>
      </c>
      <c r="B11387" s="959" t="s">
        <v>2290</v>
      </c>
      <c r="C11387" s="422"/>
      <c r="D11387" s="842">
        <v>11</v>
      </c>
      <c r="E11387" s="415">
        <v>1</v>
      </c>
      <c r="F11387" s="415">
        <f t="shared" si="403"/>
      </c>
      <c r="G11387" s="415">
        <v>1</v>
      </c>
      <c r="H11387" s="416">
        <f t="shared" si="404"/>
      </c>
    </row>
    <row r="11388" spans="1:8" ht="15.75" customHeight="1" x14ac:dyDescent="0.25">
      <c r="A11388" s="412">
        <v>29</v>
      </c>
      <c r="B11388" s="960" t="s">
        <v>2291</v>
      </c>
      <c r="C11388" s="422"/>
      <c r="D11388" s="842">
        <v>4</v>
      </c>
      <c r="E11388" s="415">
        <v>1</v>
      </c>
      <c r="F11388" s="415">
        <f t="shared" si="403"/>
      </c>
      <c r="G11388" s="415">
        <v>1</v>
      </c>
      <c r="H11388" s="416">
        <f t="shared" si="404"/>
      </c>
    </row>
    <row r="11389" spans="1:8" ht="15.75" customHeight="1" x14ac:dyDescent="0.25">
      <c r="A11389" s="412">
        <v>30</v>
      </c>
      <c r="B11389" s="960" t="s">
        <v>1545</v>
      </c>
      <c r="C11389" s="422"/>
      <c r="D11389" s="842">
        <v>4</v>
      </c>
      <c r="E11389" s="415">
        <v>1</v>
      </c>
      <c r="F11389" s="415">
        <f t="shared" si="403"/>
      </c>
      <c r="G11389" s="415">
        <v>1</v>
      </c>
      <c r="H11389" s="416">
        <f t="shared" si="404"/>
      </c>
    </row>
    <row r="11390" spans="1:8" ht="15.75" customHeight="1" x14ac:dyDescent="0.25">
      <c r="A11390" s="412">
        <v>31</v>
      </c>
      <c r="B11390" s="960" t="s">
        <v>2004</v>
      </c>
      <c r="C11390" s="422"/>
      <c r="D11390" s="842">
        <v>8</v>
      </c>
      <c r="E11390" s="415">
        <v>1</v>
      </c>
      <c r="F11390" s="415">
        <f t="shared" si="403"/>
      </c>
      <c r="G11390" s="415">
        <v>1</v>
      </c>
      <c r="H11390" s="416">
        <f t="shared" si="404"/>
      </c>
    </row>
    <row r="11391" spans="1:8" ht="15.75" customHeight="1" x14ac:dyDescent="0.25">
      <c r="A11391" s="412"/>
      <c r="B11391" s="419"/>
      <c r="C11391" s="418"/>
      <c r="D11391" s="415"/>
      <c r="E11391" s="415"/>
      <c r="F11391" s="415"/>
      <c r="G11391" s="415"/>
      <c r="H11391" s="416"/>
    </row>
    <row r="11392" spans="1:8" ht="15.75" customHeight="1" x14ac:dyDescent="0.25">
      <c r="A11392" s="894"/>
      <c r="B11392" s="878"/>
      <c r="C11392" s="895"/>
      <c r="D11392" s="593"/>
      <c r="E11392" s="593"/>
      <c r="F11392" s="593"/>
      <c r="G11392" s="593"/>
      <c r="H11392" s="931"/>
    </row>
    <row r="11393" spans="1:8" ht="15.75" customHeight="1" x14ac:dyDescent="0.25">
      <c r="A11393" s="877"/>
      <c r="B11393" s="688"/>
      <c r="C11393" s="896" t="s">
        <v>85</v>
      </c>
      <c r="D11393" s="401">
        <f>SUM(D11337:D11392)</f>
      </c>
      <c r="E11393" s="401"/>
      <c r="F11393" s="401">
        <f>SUM(F11337:F11392)</f>
      </c>
      <c r="G11393" s="661"/>
      <c r="H11393" s="438">
        <f>+H11390+H11389+H11388+H11387+H11386+H11363+H11362+H11361+H11360+H11359+H11358+H11357+H11356+H11355+H11354+H11353+H11352+H11350+H11349+H11348+H11347+H11345+H11344+H11343+H11342+H11341+H11340+H11339+H11338+H11337</f>
      </c>
    </row>
    <row r="11394" spans="1:8" ht="15.75" customHeight="1" x14ac:dyDescent="0.25">
      <c r="A11394" s="932"/>
      <c r="B11394" s="933"/>
      <c r="C11394" s="934"/>
      <c r="D11394" s="431"/>
      <c r="E11394" s="935"/>
      <c r="F11394" s="935"/>
      <c r="G11394" s="936"/>
      <c r="H11394" s="444"/>
    </row>
    <row r="11395" spans="1:8" ht="15.75" customHeight="1" x14ac:dyDescent="0.25">
      <c r="A11395" s="392" t="s">
        <v>913</v>
      </c>
      <c r="B11395" s="391"/>
      <c r="C11395" s="391"/>
      <c r="D11395" s="391"/>
      <c r="E11395" s="390"/>
      <c r="F11395" s="392"/>
      <c r="G11395" s="390"/>
      <c r="H11395" s="394"/>
    </row>
    <row r="11396" spans="1:8" ht="15.75" customHeight="1" x14ac:dyDescent="0.25">
      <c r="A11396" s="445"/>
      <c r="B11396" s="445"/>
      <c r="C11396" s="445"/>
      <c r="D11396" s="446" t="s">
        <v>97</v>
      </c>
      <c r="E11396" s="445" t="s">
        <v>98</v>
      </c>
      <c r="F11396" s="445"/>
      <c r="G11396" s="390"/>
      <c r="H11396" s="394"/>
    </row>
    <row r="11397" spans="1:8" ht="15.75" customHeight="1" x14ac:dyDescent="0.25">
      <c r="A11397" s="390"/>
      <c r="B11397" s="390"/>
      <c r="C11397" s="390"/>
      <c r="D11397" s="391"/>
      <c r="E11397" s="390"/>
      <c r="F11397" s="390"/>
      <c r="G11397" s="390"/>
      <c r="H11397" s="394"/>
    </row>
    <row r="11398" spans="1:8" ht="15.75" customHeight="1" x14ac:dyDescent="0.25">
      <c r="A11398" s="390"/>
      <c r="B11398" s="390"/>
      <c r="C11398" s="390"/>
      <c r="D11398" s="391"/>
      <c r="E11398" s="390"/>
      <c r="F11398" s="390"/>
      <c r="G11398" s="390"/>
      <c r="H11398" s="394"/>
    </row>
    <row r="11399" spans="1:8" ht="15.75" customHeight="1" x14ac:dyDescent="0.25">
      <c r="A11399" s="445"/>
      <c r="B11399" s="445"/>
      <c r="C11399" s="445"/>
      <c r="D11399" s="446"/>
      <c r="E11399" s="445" t="s">
        <v>99</v>
      </c>
      <c r="F11399" s="445"/>
      <c r="G11399" s="390"/>
      <c r="H11399" s="394"/>
    </row>
    <row r="11400" spans="1:8" ht="15.75" customHeight="1" x14ac:dyDescent="0.25">
      <c r="D11400" s="4"/>
      <c r="H11400" s="4"/>
    </row>
    <row r="11401" spans="1:8" ht="15.75" customHeight="1" x14ac:dyDescent="0.25">
      <c r="D11401" s="4"/>
      <c r="H11401" s="4"/>
    </row>
    <row r="11402" spans="1:8" ht="15.75" customHeight="1" x14ac:dyDescent="0.25">
      <c r="D11402" s="4"/>
      <c r="H11402" s="4"/>
    </row>
    <row r="11403" spans="1:8" ht="15.75" customHeight="1" x14ac:dyDescent="0.25">
      <c r="D11403" s="4"/>
      <c r="H11403" s="4"/>
    </row>
    <row r="11404" spans="1:8" ht="15.75" customHeight="1" x14ac:dyDescent="0.25">
      <c r="D11404" s="4"/>
      <c r="H11404" s="4"/>
    </row>
    <row r="11405" spans="1:8" ht="15.75" customHeight="1" x14ac:dyDescent="0.25">
      <c r="D11405" s="4"/>
      <c r="H11405" s="4"/>
    </row>
    <row r="11406" spans="1:8" ht="15.75" customHeight="1" x14ac:dyDescent="0.25">
      <c r="D11406" s="4"/>
      <c r="H11406" s="4"/>
    </row>
    <row r="11407" spans="1:8" ht="15.75" customHeight="1" x14ac:dyDescent="0.25">
      <c r="D11407" s="4"/>
      <c r="H11407" s="4"/>
    </row>
    <row r="11408" spans="1:8" ht="15.75" customHeight="1" x14ac:dyDescent="0.25">
      <c r="D11408" s="4"/>
      <c r="H11408" s="4"/>
    </row>
    <row r="11409" spans="1:8" ht="15.75" customHeight="1" x14ac:dyDescent="0.25">
      <c r="D11409" s="4"/>
      <c r="H11409" s="4"/>
    </row>
    <row r="11410" spans="1:8" ht="15.75" customHeight="1" x14ac:dyDescent="0.25">
      <c r="D11410" s="4"/>
      <c r="H11410" s="4"/>
    </row>
    <row r="11411" spans="1:8" ht="15.75" customHeight="1" x14ac:dyDescent="0.25">
      <c r="D11411" s="4"/>
      <c r="H11411" s="4"/>
    </row>
    <row r="11412" spans="1:8" ht="15.75" customHeight="1" x14ac:dyDescent="0.25">
      <c r="D11412" s="4"/>
      <c r="H11412" s="4"/>
    </row>
    <row r="11413" spans="1:8" ht="15.75" customHeight="1" x14ac:dyDescent="0.25">
      <c r="D11413" s="4"/>
      <c r="H11413" s="4"/>
    </row>
    <row r="11414" spans="1:8" ht="15.75" customHeight="1" x14ac:dyDescent="0.25">
      <c r="D11414" s="4"/>
      <c r="H11414" s="4"/>
    </row>
    <row r="11415" spans="1:8" ht="15.75" customHeight="1" x14ac:dyDescent="0.25">
      <c r="D11415" s="4"/>
      <c r="H11415" s="4"/>
    </row>
    <row r="11416" spans="1:8" ht="15.75" customHeight="1" x14ac:dyDescent="0.25">
      <c r="A11416" s="8" t="s">
        <v>14</v>
      </c>
      <c r="B11416" s="8"/>
      <c r="C11416" s="8"/>
      <c r="D11416" s="8"/>
      <c r="E11416" s="8"/>
      <c r="F11416" s="8"/>
      <c r="G11416" s="8"/>
      <c r="H11416" s="8"/>
    </row>
    <row r="11417" spans="1:8" ht="15.75" customHeight="1" x14ac:dyDescent="0.25">
      <c r="A11417" s="388"/>
      <c r="B11417" s="388"/>
      <c r="C11417" s="388"/>
      <c r="D11417" s="389"/>
      <c r="E11417" s="388"/>
      <c r="F11417" s="388"/>
      <c r="G11417" s="388"/>
      <c r="H11417" s="8"/>
    </row>
    <row r="11418" spans="1:8" ht="15.75" customHeight="1" x14ac:dyDescent="0.25">
      <c r="A11418" s="390"/>
      <c r="B11418" s="390"/>
      <c r="C11418" s="390"/>
      <c r="D11418" s="391"/>
      <c r="E11418" s="390"/>
      <c r="F11418" s="395" t="s">
        <v>18</v>
      </c>
      <c r="G11418" s="396" t="s">
        <v>518</v>
      </c>
      <c r="H11418" s="397"/>
    </row>
    <row r="11419" spans="1:8" ht="15.75" customHeight="1" x14ac:dyDescent="0.25">
      <c r="A11419" s="390" t="s">
        <v>20</v>
      </c>
      <c r="B11419" s="390"/>
      <c r="C11419" s="390"/>
      <c r="D11419" s="391"/>
      <c r="E11419" s="390"/>
      <c r="F11419" s="395" t="s">
        <v>21</v>
      </c>
      <c r="G11419" s="390" t="s">
        <v>1407</v>
      </c>
      <c r="H11419" s="391"/>
    </row>
    <row r="11420" spans="1:8" ht="15.75" customHeight="1" x14ac:dyDescent="0.25">
      <c r="A11420" s="390" t="inlineStr">
        <is>
          <t>Dealer-002</t>
        </is>
      </c>
      <c r="B11420" s="390"/>
      <c r="C11420" s="390"/>
      <c r="D11420" s="398"/>
      <c r="E11420" s="390"/>
      <c r="F11420" s="391"/>
      <c r="G11420" s="390"/>
      <c r="H11420" s="394"/>
    </row>
    <row r="11421" spans="1:8" ht="15.75" customHeight="1" x14ac:dyDescent="0.25">
      <c r="A11421" s="390" t="inlineStr">
        <is>
          <t>Address line (redacted)</t>
        </is>
      </c>
      <c r="B11421" s="390"/>
      <c r="C11421" s="390"/>
      <c r="D11421" s="398"/>
      <c r="E11421" s="390"/>
      <c r="F11421" s="391"/>
      <c r="G11421" s="390"/>
      <c r="H11421" s="394"/>
    </row>
    <row r="11422" spans="1:8" ht="15.75" customHeight="1" x14ac:dyDescent="0.25">
      <c r="A11422" s="390" t="inlineStr">
        <is>
          <t>Address line (redacted)</t>
        </is>
      </c>
      <c r="B11422" s="390"/>
      <c r="C11422" s="390"/>
      <c r="D11422" s="391"/>
      <c r="E11422" s="390"/>
      <c r="F11422" s="391"/>
      <c r="G11422" s="390"/>
      <c r="H11422" s="394"/>
    </row>
    <row r="11423" spans="1:8" ht="15.75" customHeight="1" x14ac:dyDescent="0.25">
      <c r="A11423" s="390"/>
      <c r="B11423" s="390"/>
      <c r="C11423" s="390"/>
      <c r="D11423" s="391"/>
      <c r="E11423" s="390"/>
      <c r="F11423" s="391"/>
      <c r="G11423" s="390"/>
      <c r="H11423" s="394"/>
    </row>
    <row r="11424" spans="1:8" ht="15.75" customHeight="1" x14ac:dyDescent="0.25">
      <c r="A11424" s="390" t="s">
        <v>30</v>
      </c>
      <c r="B11424" s="390"/>
      <c r="C11424" s="390"/>
      <c r="D11424" s="391"/>
      <c r="E11424" s="390"/>
      <c r="F11424" s="391"/>
      <c r="G11424" s="390"/>
      <c r="H11424" s="394"/>
    </row>
    <row r="11425" spans="1:8" ht="15.75" customHeight="1" x14ac:dyDescent="0.25">
      <c r="A11425" s="390"/>
      <c r="B11425" s="390"/>
      <c r="C11425" s="390"/>
      <c r="D11425" s="391"/>
      <c r="E11425" s="390"/>
      <c r="F11425" s="391"/>
      <c r="G11425" s="390"/>
      <c r="H11425" s="394"/>
    </row>
    <row r="11426" spans="1:8" ht="15.75" customHeight="1" x14ac:dyDescent="0.25">
      <c r="A11426" s="390" t="s">
        <v>716</v>
      </c>
      <c r="B11426" s="390"/>
      <c r="C11426" s="390"/>
      <c r="D11426" s="391"/>
      <c r="E11426" s="390"/>
      <c r="F11426" s="391"/>
      <c r="G11426" s="390"/>
      <c r="H11426" s="394"/>
    </row>
    <row r="11427" spans="1:8" ht="15.75" customHeight="1" x14ac:dyDescent="0.25">
      <c r="A11427" s="390" t="s">
        <v>717</v>
      </c>
      <c r="B11427" s="390"/>
      <c r="C11427" s="390"/>
      <c r="D11427" s="391"/>
      <c r="E11427" s="390"/>
      <c r="F11427" s="391"/>
      <c r="G11427" s="390"/>
      <c r="H11427" s="394"/>
    </row>
    <row r="11428" spans="1:8" ht="15.75" customHeight="1" x14ac:dyDescent="0.25">
      <c r="A11428" s="390"/>
      <c r="B11428" s="390"/>
      <c r="C11428" s="390"/>
      <c r="D11428" s="391"/>
      <c r="E11428" s="390"/>
      <c r="F11428" s="391"/>
      <c r="G11428" s="390"/>
      <c r="H11428" s="394"/>
    </row>
    <row r="11429" spans="1:8" ht="15.75" customHeight="1" x14ac:dyDescent="0.25">
      <c r="A11429" s="948" t="s">
        <v>33</v>
      </c>
      <c r="B11429" s="949" t="s">
        <v>6</v>
      </c>
      <c r="C11429" s="950"/>
      <c r="D11429" s="874" t="s">
        <v>37</v>
      </c>
      <c r="E11429" s="874" t="s">
        <v>38</v>
      </c>
      <c r="F11429" s="875" t="s">
        <v>7</v>
      </c>
      <c r="G11429" s="872" t="s">
        <v>43</v>
      </c>
      <c r="H11429" s="876" t="s">
        <v>44</v>
      </c>
    </row>
    <row r="11430" spans="1:8" ht="15.75" customHeight="1" x14ac:dyDescent="0.25">
      <c r="A11430" s="877"/>
      <c r="B11430" s="578"/>
      <c r="C11430" s="627"/>
      <c r="D11430" s="578"/>
      <c r="E11430" s="578"/>
      <c r="F11430" s="878"/>
      <c r="G11430" s="578"/>
      <c r="H11430" s="416"/>
    </row>
    <row r="11431" spans="1:8" ht="15.75" customHeight="1" x14ac:dyDescent="0.25">
      <c r="A11431" s="952"/>
      <c r="B11431" s="953" t="s">
        <v>1976</v>
      </c>
      <c r="C11431" s="953"/>
      <c r="D11431" s="954"/>
      <c r="E11431" s="955"/>
      <c r="F11431" s="956"/>
      <c r="G11431" s="956"/>
      <c r="H11431" s="957"/>
    </row>
    <row r="11432" spans="1:8" ht="15.75" customHeight="1" x14ac:dyDescent="0.25">
      <c r="A11432" s="412">
        <v>1</v>
      </c>
      <c r="B11432" s="959" t="s">
        <v>1978</v>
      </c>
      <c r="C11432" s="422"/>
      <c r="D11432" s="842">
        <v>20</v>
      </c>
      <c r="E11432" s="415">
        <v>1</v>
      </c>
      <c r="F11432" s="415">
        <f t="shared" ref="F11432:F11435" si="405">+E11432*D11432</f>
      </c>
      <c r="G11432" s="415">
        <v>1</v>
      </c>
      <c r="H11432" s="416">
        <f t="shared" ref="H11432:H11435" si="406">+G11432*F11432</f>
      </c>
    </row>
    <row r="11433" spans="1:8" ht="15.75" customHeight="1" x14ac:dyDescent="0.25">
      <c r="A11433" s="412">
        <v>2</v>
      </c>
      <c r="B11433" s="960" t="s">
        <v>1979</v>
      </c>
      <c r="C11433" s="422"/>
      <c r="D11433" s="842">
        <v>20</v>
      </c>
      <c r="E11433" s="415">
        <v>1</v>
      </c>
      <c r="F11433" s="415">
        <f t="shared" si="405"/>
      </c>
      <c r="G11433" s="415">
        <v>1</v>
      </c>
      <c r="H11433" s="416">
        <f t="shared" si="406"/>
      </c>
    </row>
    <row r="11434" spans="1:8" ht="15.75" customHeight="1" x14ac:dyDescent="0.25">
      <c r="A11434" s="412">
        <v>3</v>
      </c>
      <c r="B11434" s="958" t="s">
        <v>1983</v>
      </c>
      <c r="C11434" s="422"/>
      <c r="D11434" s="842">
        <v>5</v>
      </c>
      <c r="E11434" s="415">
        <v>1</v>
      </c>
      <c r="F11434" s="415">
        <f t="shared" si="405"/>
      </c>
      <c r="G11434" s="415">
        <v>1</v>
      </c>
      <c r="H11434" s="416">
        <f t="shared" si="406"/>
      </c>
    </row>
    <row r="11435" spans="1:8" ht="15.75" customHeight="1" x14ac:dyDescent="0.25">
      <c r="A11435" s="412">
        <v>4</v>
      </c>
      <c r="B11435" s="961" t="s">
        <v>1985</v>
      </c>
      <c r="C11435" s="422"/>
      <c r="D11435" s="842">
        <v>5</v>
      </c>
      <c r="E11435" s="415">
        <v>1</v>
      </c>
      <c r="F11435" s="415">
        <f t="shared" si="405"/>
      </c>
      <c r="G11435" s="415">
        <v>1</v>
      </c>
      <c r="H11435" s="416">
        <f t="shared" si="406"/>
      </c>
    </row>
    <row r="11436" spans="1:8" ht="15.75" customHeight="1" x14ac:dyDescent="0.25">
      <c r="A11436" s="952"/>
      <c r="B11436" s="953" t="s">
        <v>1402</v>
      </c>
      <c r="C11436" s="953"/>
      <c r="D11436" s="962"/>
      <c r="E11436" s="954"/>
      <c r="F11436" s="956"/>
      <c r="G11436" s="956"/>
      <c r="H11436" s="957"/>
    </row>
    <row r="11437" spans="1:8" ht="15.75" customHeight="1" x14ac:dyDescent="0.25">
      <c r="A11437" s="412">
        <v>5</v>
      </c>
      <c r="B11437" s="960" t="s">
        <v>1404</v>
      </c>
      <c r="C11437" s="422"/>
      <c r="D11437" s="842">
        <v>50</v>
      </c>
      <c r="E11437" s="415">
        <v>1</v>
      </c>
      <c r="F11437" s="415">
        <f t="shared" ref="F11437:F11440" si="407">+E11437*D11437</f>
      </c>
      <c r="G11437" s="415">
        <v>1</v>
      </c>
      <c r="H11437" s="416">
        <f t="shared" ref="H11437:H11440" si="408">+G11437*F11437</f>
      </c>
    </row>
    <row r="11438" spans="1:8" ht="15.75" customHeight="1" x14ac:dyDescent="0.25">
      <c r="A11438" s="412">
        <v>6</v>
      </c>
      <c r="B11438" s="960" t="s">
        <v>2286</v>
      </c>
      <c r="C11438" s="422"/>
      <c r="D11438" s="842">
        <v>5</v>
      </c>
      <c r="E11438" s="415">
        <v>1</v>
      </c>
      <c r="F11438" s="415">
        <f t="shared" si="407"/>
      </c>
      <c r="G11438" s="415">
        <v>1</v>
      </c>
      <c r="H11438" s="416">
        <f t="shared" si="408"/>
      </c>
    </row>
    <row r="11439" spans="1:8" ht="15.75" customHeight="1" x14ac:dyDescent="0.25">
      <c r="A11439" s="412">
        <v>7</v>
      </c>
      <c r="B11439" s="960" t="s">
        <v>1987</v>
      </c>
      <c r="C11439" s="422"/>
      <c r="D11439" s="842">
        <v>1</v>
      </c>
      <c r="E11439" s="415">
        <v>1</v>
      </c>
      <c r="F11439" s="415">
        <f t="shared" si="407"/>
      </c>
      <c r="G11439" s="415">
        <v>1</v>
      </c>
      <c r="H11439" s="416">
        <f t="shared" si="408"/>
      </c>
    </row>
    <row r="11440" spans="1:8" ht="15" customHeight="1" x14ac:dyDescent="0.25">
      <c r="A11440" s="412">
        <v>8</v>
      </c>
      <c r="B11440" s="960" t="s">
        <v>1988</v>
      </c>
      <c r="C11440" s="422"/>
      <c r="D11440" s="842">
        <v>1</v>
      </c>
      <c r="E11440" s="415">
        <v>1</v>
      </c>
      <c r="F11440" s="415">
        <f t="shared" si="407"/>
      </c>
      <c r="G11440" s="415">
        <v>1</v>
      </c>
      <c r="H11440" s="416">
        <f t="shared" si="408"/>
      </c>
    </row>
    <row r="11441" spans="1:8" ht="15.75" customHeight="1" x14ac:dyDescent="0.25">
      <c r="A11441" s="412"/>
      <c r="B11441" s="953" t="s">
        <v>1489</v>
      </c>
      <c r="C11441" s="953"/>
      <c r="D11441" s="951"/>
      <c r="E11441" s="879"/>
      <c r="F11441" s="415"/>
      <c r="G11441" s="415"/>
      <c r="H11441" s="416"/>
    </row>
    <row r="11442" spans="1:8" ht="15.75" customHeight="1" x14ac:dyDescent="0.25">
      <c r="A11442" s="412">
        <v>9</v>
      </c>
      <c r="B11442" s="960" t="s">
        <v>1991</v>
      </c>
      <c r="C11442" s="422"/>
      <c r="D11442" s="842">
        <v>2</v>
      </c>
      <c r="E11442" s="415">
        <v>1</v>
      </c>
      <c r="F11442" s="415">
        <f t="shared" ref="F11442:F11453" si="409">+E11442*D11442</f>
      </c>
      <c r="G11442" s="415">
        <v>1</v>
      </c>
      <c r="H11442" s="416">
        <f t="shared" ref="H11442:H11453" si="410">+G11442*F11442</f>
      </c>
    </row>
    <row r="11443" spans="1:8" ht="15.75" customHeight="1" x14ac:dyDescent="0.25">
      <c r="A11443" s="412">
        <v>10</v>
      </c>
      <c r="B11443" s="960" t="s">
        <v>1992</v>
      </c>
      <c r="C11443" s="422"/>
      <c r="D11443" s="842">
        <v>2</v>
      </c>
      <c r="E11443" s="415">
        <v>1</v>
      </c>
      <c r="F11443" s="415">
        <f t="shared" si="409"/>
      </c>
      <c r="G11443" s="415">
        <v>1</v>
      </c>
      <c r="H11443" s="416">
        <f t="shared" si="410"/>
      </c>
    </row>
    <row r="11444" spans="1:8" ht="15.75" customHeight="1" x14ac:dyDescent="0.25">
      <c r="A11444" s="412">
        <v>11</v>
      </c>
      <c r="B11444" s="960" t="s">
        <v>1993</v>
      </c>
      <c r="C11444" s="422"/>
      <c r="D11444" s="842">
        <v>2</v>
      </c>
      <c r="E11444" s="415">
        <v>1</v>
      </c>
      <c r="F11444" s="415">
        <f t="shared" si="409"/>
      </c>
      <c r="G11444" s="415">
        <v>1</v>
      </c>
      <c r="H11444" s="416">
        <f t="shared" si="410"/>
      </c>
    </row>
    <row r="11445" spans="1:8" ht="15.75" customHeight="1" x14ac:dyDescent="0.25">
      <c r="A11445" s="412">
        <v>12</v>
      </c>
      <c r="B11445" s="961" t="s">
        <v>1997</v>
      </c>
      <c r="C11445" s="422"/>
      <c r="D11445" s="415">
        <v>3</v>
      </c>
      <c r="E11445" s="415">
        <v>1</v>
      </c>
      <c r="F11445" s="415">
        <f t="shared" si="409"/>
      </c>
      <c r="G11445" s="415">
        <v>1</v>
      </c>
      <c r="H11445" s="416">
        <f t="shared" si="410"/>
      </c>
    </row>
    <row r="11446" spans="1:8" ht="15.75" customHeight="1" x14ac:dyDescent="0.25">
      <c r="A11446" s="412">
        <v>13</v>
      </c>
      <c r="B11446" s="960" t="s">
        <v>2287</v>
      </c>
      <c r="C11446" s="422"/>
      <c r="D11446" s="415">
        <v>20</v>
      </c>
      <c r="E11446" s="415">
        <v>1</v>
      </c>
      <c r="F11446" s="415">
        <f t="shared" si="409"/>
      </c>
      <c r="G11446" s="415">
        <v>1</v>
      </c>
      <c r="H11446" s="416">
        <f t="shared" si="410"/>
      </c>
    </row>
    <row r="11447" spans="1:8" ht="15.75" customHeight="1" x14ac:dyDescent="0.25">
      <c r="A11447" s="412">
        <v>14</v>
      </c>
      <c r="B11447" s="963" t="s">
        <v>1999</v>
      </c>
      <c r="C11447" s="422"/>
      <c r="D11447" s="415">
        <v>20</v>
      </c>
      <c r="E11447" s="415">
        <v>1</v>
      </c>
      <c r="F11447" s="415">
        <f t="shared" si="409"/>
      </c>
      <c r="G11447" s="415">
        <v>1</v>
      </c>
      <c r="H11447" s="416">
        <f t="shared" si="410"/>
      </c>
    </row>
    <row r="11448" spans="1:8" ht="15.75" customHeight="1" x14ac:dyDescent="0.25">
      <c r="A11448" s="412">
        <v>15</v>
      </c>
      <c r="B11448" s="961" t="s">
        <v>15</v>
      </c>
      <c r="C11448" s="422"/>
      <c r="D11448" s="415">
        <v>2</v>
      </c>
      <c r="E11448" s="415">
        <v>1</v>
      </c>
      <c r="F11448" s="415">
        <f t="shared" si="409"/>
      </c>
      <c r="G11448" s="415">
        <v>1</v>
      </c>
      <c r="H11448" s="416">
        <f t="shared" si="410"/>
      </c>
    </row>
    <row r="11449" spans="1:8" ht="15.75" customHeight="1" x14ac:dyDescent="0.25">
      <c r="A11449" s="412">
        <v>16</v>
      </c>
      <c r="B11449" s="960" t="s">
        <v>2000</v>
      </c>
      <c r="C11449" s="422"/>
      <c r="D11449" s="415">
        <v>2</v>
      </c>
      <c r="E11449" s="415">
        <v>1</v>
      </c>
      <c r="F11449" s="415">
        <f t="shared" si="409"/>
      </c>
      <c r="G11449" s="415">
        <v>1</v>
      </c>
      <c r="H11449" s="416">
        <f t="shared" si="410"/>
      </c>
    </row>
    <row r="11450" spans="1:8" ht="15.75" customHeight="1" x14ac:dyDescent="0.25">
      <c r="A11450" s="412">
        <v>17</v>
      </c>
      <c r="B11450" s="959" t="s">
        <v>2290</v>
      </c>
      <c r="C11450" s="422"/>
      <c r="D11450" s="842">
        <v>3</v>
      </c>
      <c r="E11450" s="415">
        <v>1</v>
      </c>
      <c r="F11450" s="415">
        <f t="shared" si="409"/>
      </c>
      <c r="G11450" s="415">
        <v>1</v>
      </c>
      <c r="H11450" s="416">
        <f t="shared" si="410"/>
      </c>
    </row>
    <row r="11451" spans="1:8" ht="15.75" customHeight="1" x14ac:dyDescent="0.25">
      <c r="A11451" s="412">
        <v>18</v>
      </c>
      <c r="B11451" s="960" t="s">
        <v>2291</v>
      </c>
      <c r="C11451" s="422"/>
      <c r="D11451" s="842">
        <v>1</v>
      </c>
      <c r="E11451" s="415">
        <v>1</v>
      </c>
      <c r="F11451" s="415">
        <f t="shared" si="409"/>
      </c>
      <c r="G11451" s="415">
        <v>1</v>
      </c>
      <c r="H11451" s="416">
        <f t="shared" si="410"/>
      </c>
    </row>
    <row r="11452" spans="1:8" ht="15.75" customHeight="1" x14ac:dyDescent="0.25">
      <c r="A11452" s="412">
        <v>19</v>
      </c>
      <c r="B11452" s="960" t="s">
        <v>1545</v>
      </c>
      <c r="C11452" s="422"/>
      <c r="D11452" s="842">
        <v>1</v>
      </c>
      <c r="E11452" s="415">
        <v>1</v>
      </c>
      <c r="F11452" s="415">
        <f t="shared" si="409"/>
      </c>
      <c r="G11452" s="415">
        <v>1</v>
      </c>
      <c r="H11452" s="416">
        <f t="shared" si="410"/>
      </c>
    </row>
    <row r="11453" spans="1:8" ht="15.75" customHeight="1" x14ac:dyDescent="0.25">
      <c r="A11453" s="412">
        <v>20</v>
      </c>
      <c r="B11453" s="960" t="s">
        <v>2004</v>
      </c>
      <c r="C11453" s="422"/>
      <c r="D11453" s="842">
        <v>5</v>
      </c>
      <c r="E11453" s="415">
        <v>1</v>
      </c>
      <c r="F11453" s="415">
        <f t="shared" si="409"/>
      </c>
      <c r="G11453" s="415">
        <v>1</v>
      </c>
      <c r="H11453" s="416">
        <f t="shared" si="410"/>
      </c>
    </row>
    <row r="11454" spans="1:8" ht="15.75" customHeight="1" x14ac:dyDescent="0.25">
      <c r="A11454" s="894"/>
      <c r="B11454" s="878"/>
      <c r="C11454" s="895"/>
      <c r="D11454" s="593"/>
      <c r="E11454" s="593"/>
      <c r="F11454" s="593"/>
      <c r="G11454" s="593"/>
      <c r="H11454" s="931"/>
    </row>
    <row r="11455" spans="1:8" ht="15.75" customHeight="1" x14ac:dyDescent="0.25">
      <c r="A11455" s="877"/>
      <c r="B11455" s="688"/>
      <c r="C11455" s="896" t="s">
        <v>85</v>
      </c>
      <c r="D11455" s="401">
        <f>SUM(D11432:D11454)</f>
      </c>
      <c r="E11455" s="401"/>
      <c r="F11455" s="401">
        <f>SUM(F11432:F11454)</f>
      </c>
      <c r="G11455" s="661"/>
      <c r="H11455" s="438">
        <f>SUM(H11432:H11454)</f>
      </c>
    </row>
    <row r="11456" spans="1:8" ht="15.75" customHeight="1" x14ac:dyDescent="0.25">
      <c r="A11456" s="932"/>
      <c r="B11456" s="933"/>
      <c r="C11456" s="934"/>
      <c r="D11456" s="431"/>
      <c r="E11456" s="935"/>
      <c r="F11456" s="935"/>
      <c r="G11456" s="936"/>
      <c r="H11456" s="444"/>
    </row>
    <row r="11457" spans="1:8" ht="15.75" customHeight="1" x14ac:dyDescent="0.25">
      <c r="A11457" s="392" t="s">
        <v>913</v>
      </c>
      <c r="B11457" s="391"/>
      <c r="C11457" s="391"/>
      <c r="D11457" s="391"/>
      <c r="E11457" s="390"/>
      <c r="F11457" s="392"/>
      <c r="G11457" s="390"/>
      <c r="H11457" s="394"/>
    </row>
    <row r="11458" spans="1:8" ht="15.75" customHeight="1" x14ac:dyDescent="0.25">
      <c r="A11458" s="445"/>
      <c r="B11458" s="445"/>
      <c r="C11458" s="445"/>
      <c r="D11458" s="446" t="s">
        <v>97</v>
      </c>
      <c r="E11458" s="445" t="s">
        <v>98</v>
      </c>
      <c r="F11458" s="445"/>
      <c r="G11458" s="390"/>
      <c r="H11458" s="394"/>
    </row>
    <row r="11459" spans="1:8" ht="15.75" customHeight="1" x14ac:dyDescent="0.25">
      <c r="A11459" s="390"/>
      <c r="B11459" s="390"/>
      <c r="C11459" s="390"/>
      <c r="D11459" s="391"/>
      <c r="E11459" s="390"/>
      <c r="F11459" s="390"/>
      <c r="G11459" s="390"/>
      <c r="H11459" s="394"/>
    </row>
    <row r="11460" spans="1:8" ht="15.75" customHeight="1" x14ac:dyDescent="0.25">
      <c r="A11460" s="390"/>
      <c r="B11460" s="390"/>
      <c r="C11460" s="390"/>
      <c r="D11460" s="391"/>
      <c r="E11460" s="390"/>
      <c r="F11460" s="390"/>
      <c r="G11460" s="390"/>
      <c r="H11460" s="394"/>
    </row>
    <row r="11461" spans="1:8" ht="15.75" customHeight="1" x14ac:dyDescent="0.25">
      <c r="A11461" s="445"/>
      <c r="B11461" s="445"/>
      <c r="C11461" s="445"/>
      <c r="D11461" s="446"/>
      <c r="E11461" s="445" t="s">
        <v>99</v>
      </c>
      <c r="F11461" s="445"/>
      <c r="G11461" s="390"/>
      <c r="H11461" s="394"/>
    </row>
    <row r="11462" spans="1:8" ht="15.75" customHeight="1" x14ac:dyDescent="0.25">
      <c r="A11462" s="8" t="s">
        <v>14</v>
      </c>
      <c r="B11462" s="8"/>
      <c r="C11462" s="8"/>
      <c r="D11462" s="8"/>
      <c r="E11462" s="8"/>
      <c r="F11462" s="8"/>
      <c r="G11462" s="8"/>
      <c r="H11462" s="8"/>
    </row>
    <row r="11463" spans="1:8" ht="15.75" customHeight="1" x14ac:dyDescent="0.25">
      <c r="A11463" s="388"/>
      <c r="B11463" s="388"/>
      <c r="C11463" s="388"/>
      <c r="D11463" s="389"/>
      <c r="E11463" s="388"/>
      <c r="F11463" s="388"/>
      <c r="G11463" s="388"/>
      <c r="H11463" s="8"/>
    </row>
    <row r="11464" spans="1:8" ht="15.75" customHeight="1" x14ac:dyDescent="0.25">
      <c r="A11464" s="390"/>
      <c r="B11464" s="390"/>
      <c r="C11464" s="391"/>
      <c r="D11464" s="392"/>
      <c r="E11464" s="393"/>
      <c r="F11464" s="393"/>
      <c r="G11464" s="393"/>
      <c r="H11464" s="394"/>
    </row>
    <row r="11465" spans="1:8" ht="15.75" customHeight="1" x14ac:dyDescent="0.25">
      <c r="A11465" s="390"/>
      <c r="B11465" s="390"/>
      <c r="C11465" s="390"/>
      <c r="D11465" s="391"/>
      <c r="E11465" s="390"/>
      <c r="F11465" s="395" t="s">
        <v>18</v>
      </c>
      <c r="G11465" s="396" t="s">
        <v>518</v>
      </c>
      <c r="H11465" s="397"/>
    </row>
    <row r="11466" spans="1:8" ht="15.75" customHeight="1" x14ac:dyDescent="0.25">
      <c r="A11466" s="390" t="s">
        <v>20</v>
      </c>
      <c r="B11466" s="390"/>
      <c r="C11466" s="390"/>
      <c r="D11466" s="391"/>
      <c r="E11466" s="390"/>
      <c r="F11466" s="395" t="s">
        <v>21</v>
      </c>
      <c r="G11466" s="390" t="s">
        <v>2010</v>
      </c>
      <c r="H11466" s="391"/>
    </row>
    <row r="11467" spans="1:8" ht="15.75" customHeight="1" x14ac:dyDescent="0.25">
      <c r="A11467" s="390" t="inlineStr">
        <is>
          <t>Dealer-004</t>
        </is>
      </c>
      <c r="B11467" s="390"/>
      <c r="C11467" s="390"/>
      <c r="D11467" s="398"/>
      <c r="E11467" s="390"/>
      <c r="F11467" s="391"/>
      <c r="G11467" s="390"/>
      <c r="H11467" s="394"/>
    </row>
    <row r="11468" spans="1:8" ht="15.75" customHeight="1" x14ac:dyDescent="0.25">
      <c r="A11468" s="390" t="inlineStr">
        <is>
          <t>Address line (redacted)</t>
        </is>
      </c>
      <c r="B11468" s="390"/>
      <c r="C11468" s="390"/>
      <c r="D11468" s="398"/>
      <c r="E11468" s="390"/>
      <c r="F11468" s="391"/>
      <c r="G11468" s="390"/>
      <c r="H11468" s="394"/>
    </row>
    <row r="11469" spans="1:8" ht="15.75" customHeight="1" x14ac:dyDescent="0.25">
      <c r="A11469" s="390" t="inlineStr">
        <is>
          <t>Address line (redacted)</t>
        </is>
      </c>
      <c r="B11469" s="390"/>
      <c r="C11469" s="390"/>
      <c r="D11469" s="391"/>
      <c r="E11469" s="390"/>
      <c r="F11469" s="391"/>
      <c r="G11469" s="390"/>
      <c r="H11469" s="394"/>
    </row>
    <row r="11470" spans="1:8" ht="15.75" customHeight="1" x14ac:dyDescent="0.25">
      <c r="A11470" s="390"/>
      <c r="B11470" s="390"/>
      <c r="C11470" s="390"/>
      <c r="D11470" s="391"/>
      <c r="E11470" s="390"/>
      <c r="F11470" s="391"/>
      <c r="G11470" s="390"/>
      <c r="H11470" s="394"/>
    </row>
    <row r="11471" spans="1:8" ht="15.75" customHeight="1" x14ac:dyDescent="0.25">
      <c r="A11471" s="390" t="s">
        <v>30</v>
      </c>
      <c r="B11471" s="390"/>
      <c r="C11471" s="390"/>
      <c r="D11471" s="391"/>
      <c r="E11471" s="390"/>
      <c r="F11471" s="391"/>
      <c r="G11471" s="390"/>
      <c r="H11471" s="394"/>
    </row>
    <row r="11472" spans="1:8" ht="15.75" customHeight="1" x14ac:dyDescent="0.25">
      <c r="A11472" s="390"/>
      <c r="B11472" s="390"/>
      <c r="C11472" s="390"/>
      <c r="D11472" s="391"/>
      <c r="E11472" s="390"/>
      <c r="F11472" s="391"/>
      <c r="G11472" s="390"/>
      <c r="H11472" s="394"/>
    </row>
    <row r="11473" spans="1:8" ht="15.75" customHeight="1" x14ac:dyDescent="0.25">
      <c r="A11473" s="390" t="s">
        <v>716</v>
      </c>
      <c r="B11473" s="390"/>
      <c r="C11473" s="390"/>
      <c r="D11473" s="391"/>
      <c r="E11473" s="390"/>
      <c r="F11473" s="391"/>
      <c r="G11473" s="390"/>
      <c r="H11473" s="394"/>
    </row>
    <row r="11474" spans="1:8" ht="15.75" customHeight="1" x14ac:dyDescent="0.25">
      <c r="A11474" s="390" t="s">
        <v>717</v>
      </c>
      <c r="B11474" s="390"/>
      <c r="C11474" s="390"/>
      <c r="D11474" s="391"/>
      <c r="E11474" s="390"/>
      <c r="F11474" s="391"/>
      <c r="G11474" s="390"/>
      <c r="H11474" s="394"/>
    </row>
    <row r="11475" spans="1:8" ht="15.75" customHeight="1" x14ac:dyDescent="0.25">
      <c r="A11475" s="390"/>
      <c r="B11475" s="390"/>
      <c r="C11475" s="390"/>
      <c r="D11475" s="391"/>
      <c r="E11475" s="390"/>
      <c r="F11475" s="391"/>
      <c r="G11475" s="390"/>
      <c r="H11475" s="394"/>
    </row>
    <row r="11476" spans="1:8" ht="15.75" customHeight="1" x14ac:dyDescent="0.25">
      <c r="A11476" s="948" t="s">
        <v>33</v>
      </c>
      <c r="B11476" s="949" t="s">
        <v>6</v>
      </c>
      <c r="C11476" s="950"/>
      <c r="D11476" s="874" t="s">
        <v>37</v>
      </c>
      <c r="E11476" s="874" t="s">
        <v>38</v>
      </c>
      <c r="F11476" s="875" t="s">
        <v>7</v>
      </c>
      <c r="G11476" s="872" t="s">
        <v>43</v>
      </c>
      <c r="H11476" s="876" t="s">
        <v>44</v>
      </c>
    </row>
    <row r="11477" spans="1:8" ht="15.75" customHeight="1" x14ac:dyDescent="0.25">
      <c r="A11477" s="877"/>
      <c r="B11477" s="578"/>
      <c r="C11477" s="627"/>
      <c r="D11477" s="578"/>
      <c r="E11477" s="578"/>
      <c r="F11477" s="878"/>
      <c r="G11477" s="578"/>
      <c r="H11477" s="416"/>
    </row>
    <row r="11478" spans="1:8" ht="15.75" customHeight="1" x14ac:dyDescent="0.25">
      <c r="A11478" s="412"/>
      <c r="B11478" s="422" t="s">
        <v>531</v>
      </c>
      <c r="C11478" s="422"/>
      <c r="D11478" s="879"/>
      <c r="E11478" s="10"/>
      <c r="F11478" s="415"/>
      <c r="G11478" s="415"/>
      <c r="H11478" s="416"/>
    </row>
    <row r="11479" spans="1:8" ht="15.75" customHeight="1" x14ac:dyDescent="0.25">
      <c r="A11479" s="412" t="s">
        <v>55</v>
      </c>
      <c r="B11479" s="10" t="s">
        <v>2011</v>
      </c>
      <c r="C11479" s="422"/>
      <c r="D11479" s="929">
        <v>1</v>
      </c>
      <c r="E11479" s="929">
        <v>10</v>
      </c>
      <c r="F11479" s="415">
        <v>5</v>
      </c>
      <c r="G11479" s="415">
        <v>1</v>
      </c>
      <c r="H11479" s="416">
        <f t="shared" ref="H11479:H11485" si="411">+G11479*F11479</f>
      </c>
    </row>
    <row r="11480" spans="1:8" ht="15.75" customHeight="1" x14ac:dyDescent="0.25">
      <c r="A11480" s="412" t="s">
        <v>59</v>
      </c>
      <c r="B11480" s="10" t="s">
        <v>2012</v>
      </c>
      <c r="C11480" s="422"/>
      <c r="D11480" s="930"/>
      <c r="E11480" s="930"/>
      <c r="F11480" s="415">
        <v>5</v>
      </c>
      <c r="G11480" s="415">
        <v>1</v>
      </c>
      <c r="H11480" s="416">
        <f t="shared" si="411"/>
      </c>
    </row>
    <row r="11481" spans="1:8" ht="15.75" customHeight="1" x14ac:dyDescent="0.25">
      <c r="A11481" s="412" t="s">
        <v>67</v>
      </c>
      <c r="B11481" s="10" t="s">
        <v>2011</v>
      </c>
      <c r="C11481" s="422"/>
      <c r="D11481" s="626">
        <v>6</v>
      </c>
      <c r="E11481" s="879">
        <v>10</v>
      </c>
      <c r="F11481" s="593">
        <f t="shared" ref="F11481:F11485" si="412">+E11481*D11481</f>
      </c>
      <c r="G11481" s="415">
        <v>1</v>
      </c>
      <c r="H11481" s="416">
        <f t="shared" si="411"/>
      </c>
    </row>
    <row r="11482" spans="1:8" ht="15.75" customHeight="1" x14ac:dyDescent="0.25">
      <c r="A11482" s="412" t="s">
        <v>485</v>
      </c>
      <c r="B11482" s="10" t="s">
        <v>1664</v>
      </c>
      <c r="C11482" s="422"/>
      <c r="D11482" s="626">
        <v>17</v>
      </c>
      <c r="E11482" s="879">
        <v>10</v>
      </c>
      <c r="F11482" s="593">
        <f t="shared" si="412"/>
      </c>
      <c r="G11482" s="415">
        <v>1</v>
      </c>
      <c r="H11482" s="416">
        <f t="shared" si="411"/>
      </c>
    </row>
    <row r="11483" spans="1:8" ht="15.75" customHeight="1" x14ac:dyDescent="0.25">
      <c r="A11483" s="412" t="s">
        <v>486</v>
      </c>
      <c r="B11483" s="10" t="s">
        <v>1664</v>
      </c>
      <c r="C11483" s="422"/>
      <c r="D11483" s="626">
        <v>1</v>
      </c>
      <c r="E11483" s="879">
        <v>9</v>
      </c>
      <c r="F11483" s="593">
        <f t="shared" si="412"/>
      </c>
      <c r="G11483" s="415">
        <v>1</v>
      </c>
      <c r="H11483" s="416">
        <f t="shared" si="411"/>
      </c>
    </row>
    <row r="11484" spans="1:8" ht="15.75" customHeight="1" x14ac:dyDescent="0.25">
      <c r="A11484" s="412" t="s">
        <v>489</v>
      </c>
      <c r="B11484" s="10" t="s">
        <v>2014</v>
      </c>
      <c r="C11484" s="418"/>
      <c r="D11484" s="415">
        <v>4</v>
      </c>
      <c r="E11484" s="415">
        <v>10</v>
      </c>
      <c r="F11484" s="593">
        <f t="shared" si="412"/>
      </c>
      <c r="G11484" s="415">
        <v>1</v>
      </c>
      <c r="H11484" s="416">
        <f t="shared" si="411"/>
      </c>
    </row>
    <row r="11485" spans="1:8" ht="15.75" customHeight="1" x14ac:dyDescent="0.25">
      <c r="A11485" s="412" t="s">
        <v>490</v>
      </c>
      <c r="B11485" s="10" t="s">
        <v>2014</v>
      </c>
      <c r="C11485" s="977"/>
      <c r="D11485" s="593">
        <v>1</v>
      </c>
      <c r="E11485" s="593">
        <v>7</v>
      </c>
      <c r="F11485" s="593">
        <f t="shared" si="412"/>
      </c>
      <c r="G11485" s="593">
        <v>1</v>
      </c>
      <c r="H11485" s="416">
        <f t="shared" si="411"/>
      </c>
    </row>
    <row r="11486" spans="1:8" ht="15.75" customHeight="1" x14ac:dyDescent="0.25">
      <c r="A11486" s="894"/>
      <c r="B11486" s="878"/>
      <c r="C11486" s="895"/>
      <c r="D11486" s="593"/>
      <c r="E11486" s="593"/>
      <c r="F11486" s="593"/>
      <c r="G11486" s="593"/>
      <c r="H11486" s="931"/>
    </row>
    <row r="11487" spans="1:8" ht="15.75" customHeight="1" x14ac:dyDescent="0.25">
      <c r="A11487" s="877"/>
      <c r="B11487" s="688"/>
      <c r="C11487" s="896" t="s">
        <v>85</v>
      </c>
      <c r="D11487" s="401">
        <f>SUM(D11479:D11486)</f>
      </c>
      <c r="E11487" s="401"/>
      <c r="F11487" s="401">
        <f>SUM(F11479:F11486)</f>
      </c>
      <c r="G11487" s="661"/>
      <c r="H11487" s="438">
        <f>SUM(H11479:H11486)</f>
      </c>
    </row>
    <row r="11488" spans="1:8" ht="15.75" customHeight="1" x14ac:dyDescent="0.25">
      <c r="A11488" s="932"/>
      <c r="B11488" s="933"/>
      <c r="C11488" s="934"/>
      <c r="D11488" s="431"/>
      <c r="E11488" s="935"/>
      <c r="F11488" s="935"/>
      <c r="G11488" s="936"/>
      <c r="H11488" s="444"/>
    </row>
    <row r="11489" spans="1:8" ht="15.75" customHeight="1" x14ac:dyDescent="0.25">
      <c r="A11489" s="392" t="s">
        <v>913</v>
      </c>
      <c r="B11489" s="391"/>
      <c r="C11489" s="391"/>
      <c r="D11489" s="391"/>
      <c r="E11489" s="390"/>
      <c r="F11489" s="392"/>
      <c r="G11489" s="390"/>
      <c r="H11489" s="394"/>
    </row>
    <row r="11490" spans="1:8" ht="15.75" customHeight="1" x14ac:dyDescent="0.25">
      <c r="A11490" s="445"/>
      <c r="B11490" s="445"/>
      <c r="C11490" s="445"/>
      <c r="D11490" s="446" t="s">
        <v>97</v>
      </c>
      <c r="E11490" s="445" t="s">
        <v>98</v>
      </c>
      <c r="F11490" s="445"/>
      <c r="G11490" s="390"/>
      <c r="H11490" s="394"/>
    </row>
    <row r="11491" spans="1:8" ht="15.75" customHeight="1" x14ac:dyDescent="0.25">
      <c r="A11491" s="390"/>
      <c r="B11491" s="390"/>
      <c r="C11491" s="390"/>
      <c r="D11491" s="391"/>
      <c r="E11491" s="390"/>
      <c r="F11491" s="390"/>
      <c r="G11491" s="390"/>
      <c r="H11491" s="394"/>
    </row>
    <row r="11492" spans="1:8" ht="15.75" customHeight="1" x14ac:dyDescent="0.25">
      <c r="A11492" s="390"/>
      <c r="B11492" s="390"/>
      <c r="C11492" s="390"/>
      <c r="D11492" s="391"/>
      <c r="E11492" s="390"/>
      <c r="F11492" s="390"/>
      <c r="G11492" s="390"/>
      <c r="H11492" s="394"/>
    </row>
    <row r="11493" spans="1:8" ht="15.75" customHeight="1" x14ac:dyDescent="0.25">
      <c r="A11493" s="445"/>
      <c r="B11493" s="445"/>
      <c r="C11493" s="445"/>
      <c r="D11493" s="446"/>
      <c r="E11493" s="445" t="s">
        <v>99</v>
      </c>
      <c r="F11493" s="445"/>
      <c r="G11493" s="390"/>
      <c r="H11493" s="394"/>
    </row>
    <row r="11494" spans="1:8" ht="15.75" customHeight="1" x14ac:dyDescent="0.25">
      <c r="D11494" s="4"/>
      <c r="H11494" s="4"/>
    </row>
    <row r="11495" spans="1:8" ht="15.75" customHeight="1" x14ac:dyDescent="0.25">
      <c r="D11495" s="4"/>
      <c r="H11495" s="4"/>
    </row>
    <row r="11496" spans="1:8" ht="15.75" customHeight="1" x14ac:dyDescent="0.25">
      <c r="D11496" s="4"/>
      <c r="H11496" s="4"/>
    </row>
    <row r="11497" spans="1:8" ht="15.75" customHeight="1" x14ac:dyDescent="0.25">
      <c r="D11497" s="4"/>
      <c r="H11497" s="4"/>
    </row>
    <row r="11498" spans="1:8" ht="15.75" customHeight="1" x14ac:dyDescent="0.25">
      <c r="D11498" s="4"/>
      <c r="H11498" s="4"/>
    </row>
    <row r="11499" spans="1:8" ht="15.75" customHeight="1" x14ac:dyDescent="0.25">
      <c r="D11499" s="4"/>
      <c r="H11499" s="4"/>
    </row>
    <row r="11500" spans="1:8" ht="15.75" customHeight="1" x14ac:dyDescent="0.25">
      <c r="D11500" s="4"/>
      <c r="H11500" s="4"/>
    </row>
    <row r="11501" spans="1:8" ht="15.75" customHeight="1" x14ac:dyDescent="0.25">
      <c r="D11501" s="4"/>
      <c r="H11501" s="4"/>
    </row>
    <row r="11502" spans="1:8" ht="15.75" customHeight="1" x14ac:dyDescent="0.25">
      <c r="D11502" s="4"/>
      <c r="H11502" s="4"/>
    </row>
    <row r="11503" spans="1:8" ht="15.75" customHeight="1" x14ac:dyDescent="0.25">
      <c r="D11503" s="4"/>
      <c r="H11503" s="4"/>
    </row>
    <row r="11504" spans="1:8" ht="15.75" customHeight="1" x14ac:dyDescent="0.25">
      <c r="D11504" s="4"/>
      <c r="H11504" s="4"/>
    </row>
    <row r="11505" spans="1:8" ht="15.75" customHeight="1" x14ac:dyDescent="0.25">
      <c r="D11505" s="4"/>
      <c r="H11505" s="4"/>
    </row>
    <row r="11506" spans="1:8" ht="15.75" customHeight="1" x14ac:dyDescent="0.25">
      <c r="D11506" s="4"/>
      <c r="H11506" s="4"/>
    </row>
    <row r="11507" spans="1:8" ht="15.75" customHeight="1" x14ac:dyDescent="0.25">
      <c r="D11507" s="4"/>
      <c r="H11507" s="4"/>
    </row>
    <row r="11508" spans="1:8" ht="15.75" customHeight="1" x14ac:dyDescent="0.25">
      <c r="A11508" s="8" t="s">
        <v>14</v>
      </c>
      <c r="B11508" s="8"/>
      <c r="C11508" s="8"/>
      <c r="D11508" s="8"/>
      <c r="E11508" s="8"/>
      <c r="F11508" s="8"/>
      <c r="G11508" s="8"/>
      <c r="H11508" s="8"/>
    </row>
    <row r="11509" spans="1:8" ht="15.75" customHeight="1" x14ac:dyDescent="0.25">
      <c r="A11509" s="388"/>
      <c r="B11509" s="388"/>
      <c r="C11509" s="388"/>
      <c r="D11509" s="389"/>
      <c r="E11509" s="388"/>
      <c r="F11509" s="388"/>
      <c r="G11509" s="388"/>
      <c r="H11509" s="8"/>
    </row>
    <row r="11510" spans="1:8" ht="15.75" customHeight="1" x14ac:dyDescent="0.25">
      <c r="A11510" s="390"/>
      <c r="B11510" s="390"/>
      <c r="C11510" s="390"/>
      <c r="D11510" s="391"/>
      <c r="E11510" s="390"/>
      <c r="F11510" s="395" t="s">
        <v>18</v>
      </c>
      <c r="G11510" s="396" t="s">
        <v>1096</v>
      </c>
      <c r="H11510" s="397"/>
    </row>
    <row r="11511" spans="1:8" ht="15.75" customHeight="1" x14ac:dyDescent="0.25">
      <c r="A11511" s="390" t="s">
        <v>20</v>
      </c>
      <c r="B11511" s="390"/>
      <c r="C11511" s="390"/>
      <c r="D11511" s="391"/>
      <c r="E11511" s="390"/>
      <c r="F11511" s="395" t="s">
        <v>21</v>
      </c>
      <c r="G11511" s="390" t="s">
        <v>2015</v>
      </c>
      <c r="H11511" s="391"/>
    </row>
    <row r="11512" spans="1:8" ht="15.75" customHeight="1" x14ac:dyDescent="0.25">
      <c r="A11512" s="390" t="inlineStr">
        <is>
          <t>Dealer-002</t>
        </is>
      </c>
      <c r="B11512" s="390"/>
      <c r="C11512" s="390"/>
      <c r="D11512" s="398"/>
      <c r="E11512" s="390"/>
      <c r="F11512" s="391"/>
      <c r="G11512" s="390"/>
      <c r="H11512" s="394"/>
    </row>
    <row r="11513" spans="1:8" ht="15.75" customHeight="1" x14ac:dyDescent="0.25">
      <c r="A11513" s="390" t="inlineStr">
        <is>
          <t>Address line (redacted)</t>
        </is>
      </c>
      <c r="B11513" s="390"/>
      <c r="C11513" s="390"/>
      <c r="D11513" s="398"/>
      <c r="E11513" s="390"/>
      <c r="F11513" s="391"/>
      <c r="G11513" s="390"/>
      <c r="H11513" s="394"/>
    </row>
    <row r="11514" spans="1:8" ht="15.75" customHeight="1" x14ac:dyDescent="0.25">
      <c r="A11514" s="390" t="inlineStr">
        <is>
          <t>Address line (redacted)</t>
        </is>
      </c>
      <c r="B11514" s="390"/>
      <c r="C11514" s="390"/>
      <c r="D11514" s="391"/>
      <c r="E11514" s="390"/>
      <c r="F11514" s="391"/>
      <c r="G11514" s="390"/>
      <c r="H11514" s="394"/>
    </row>
    <row r="11515" spans="1:8" ht="15.75" customHeight="1" x14ac:dyDescent="0.25">
      <c r="A11515" s="390"/>
      <c r="B11515" s="390"/>
      <c r="C11515" s="390"/>
      <c r="D11515" s="391"/>
      <c r="E11515" s="390"/>
      <c r="F11515" s="391"/>
      <c r="G11515" s="390"/>
      <c r="H11515" s="394"/>
    </row>
    <row r="11516" spans="1:8" ht="15.75" customHeight="1" x14ac:dyDescent="0.25">
      <c r="A11516" s="390" t="s">
        <v>30</v>
      </c>
      <c r="B11516" s="390"/>
      <c r="C11516" s="390"/>
      <c r="D11516" s="391"/>
      <c r="E11516" s="390"/>
      <c r="F11516" s="391"/>
      <c r="G11516" s="390"/>
      <c r="H11516" s="394"/>
    </row>
    <row r="11517" spans="1:8" ht="15.75" customHeight="1" x14ac:dyDescent="0.25">
      <c r="A11517" s="390"/>
      <c r="B11517" s="390"/>
      <c r="C11517" s="390"/>
      <c r="D11517" s="391"/>
      <c r="E11517" s="390"/>
      <c r="F11517" s="391"/>
      <c r="G11517" s="390"/>
      <c r="H11517" s="394"/>
    </row>
    <row r="11518" spans="1:8" ht="15.75" customHeight="1" x14ac:dyDescent="0.25">
      <c r="A11518" s="390" t="s">
        <v>716</v>
      </c>
      <c r="B11518" s="390"/>
      <c r="C11518" s="390"/>
      <c r="D11518" s="391"/>
      <c r="E11518" s="390"/>
      <c r="F11518" s="391"/>
      <c r="G11518" s="390"/>
      <c r="H11518" s="394"/>
    </row>
    <row r="11519" spans="1:8" ht="15.75" customHeight="1" x14ac:dyDescent="0.25">
      <c r="A11519" s="390" t="s">
        <v>717</v>
      </c>
      <c r="B11519" s="390"/>
      <c r="C11519" s="390"/>
      <c r="D11519" s="391"/>
      <c r="E11519" s="390"/>
      <c r="F11519" s="391"/>
      <c r="G11519" s="390"/>
      <c r="H11519" s="394"/>
    </row>
    <row r="11520" spans="1:8" ht="15.75" customHeight="1" x14ac:dyDescent="0.25">
      <c r="A11520" s="390"/>
      <c r="B11520" s="390"/>
      <c r="C11520" s="390"/>
      <c r="D11520" s="391"/>
      <c r="E11520" s="390"/>
      <c r="F11520" s="391"/>
      <c r="G11520" s="390"/>
      <c r="H11520" s="394"/>
    </row>
    <row r="11521" spans="1:8" ht="15.75" customHeight="1" x14ac:dyDescent="0.25">
      <c r="A11521" s="948" t="s">
        <v>33</v>
      </c>
      <c r="B11521" s="949" t="s">
        <v>6</v>
      </c>
      <c r="C11521" s="950"/>
      <c r="D11521" s="874" t="s">
        <v>37</v>
      </c>
      <c r="E11521" s="874" t="s">
        <v>38</v>
      </c>
      <c r="F11521" s="875" t="s">
        <v>7</v>
      </c>
      <c r="G11521" s="872" t="s">
        <v>43</v>
      </c>
      <c r="H11521" s="876" t="s">
        <v>44</v>
      </c>
    </row>
    <row r="11522" spans="1:8" ht="15.75" customHeight="1" x14ac:dyDescent="0.25">
      <c r="A11522" s="877"/>
      <c r="B11522" s="578"/>
      <c r="C11522" s="627"/>
      <c r="D11522" s="578"/>
      <c r="E11522" s="578"/>
      <c r="F11522" s="878"/>
      <c r="G11522" s="578"/>
      <c r="H11522" s="416"/>
    </row>
    <row r="11523" spans="1:8" ht="15.75" customHeight="1" x14ac:dyDescent="0.25">
      <c r="A11523" s="412"/>
      <c r="B11523" s="953" t="s">
        <v>1489</v>
      </c>
      <c r="C11523" s="953"/>
      <c r="D11523" s="951"/>
      <c r="E11523" s="879"/>
      <c r="F11523" s="415"/>
      <c r="G11523" s="415"/>
      <c r="H11523" s="416"/>
    </row>
    <row r="11524" spans="1:8" ht="15.75" customHeight="1" x14ac:dyDescent="0.25">
      <c r="A11524" s="412" t="s">
        <v>55</v>
      </c>
      <c r="B11524" s="960" t="s">
        <v>15</v>
      </c>
      <c r="C11524" s="422"/>
      <c r="D11524" s="842">
        <v>5</v>
      </c>
      <c r="E11524" s="415">
        <v>1</v>
      </c>
      <c r="F11524" s="415">
        <f>+E11524*D11524</f>
      </c>
      <c r="G11524" s="415">
        <v>1</v>
      </c>
      <c r="H11524" s="416">
        <f>+G11524*F11524</f>
      </c>
    </row>
    <row r="11525" spans="1:8" ht="15.75" customHeight="1" x14ac:dyDescent="0.25">
      <c r="A11525" s="412"/>
      <c r="B11525" s="960"/>
      <c r="C11525" s="422"/>
      <c r="D11525" s="842"/>
      <c r="E11525" s="415"/>
      <c r="F11525" s="415"/>
      <c r="G11525" s="415"/>
      <c r="H11525" s="416"/>
    </row>
    <row r="11526" spans="1:8" ht="15.75" customHeight="1" x14ac:dyDescent="0.25">
      <c r="A11526" s="412"/>
      <c r="B11526" s="960"/>
      <c r="C11526" s="422"/>
      <c r="D11526" s="415"/>
      <c r="E11526" s="415"/>
      <c r="F11526" s="415"/>
      <c r="G11526" s="415"/>
      <c r="H11526" s="416"/>
    </row>
    <row r="11527" spans="1:8" ht="15.75" customHeight="1" x14ac:dyDescent="0.25">
      <c r="A11527" s="412"/>
      <c r="B11527" s="959"/>
      <c r="C11527" s="422"/>
      <c r="D11527" s="842"/>
      <c r="E11527" s="415"/>
      <c r="F11527" s="415"/>
      <c r="G11527" s="415"/>
      <c r="H11527" s="416"/>
    </row>
    <row r="11528" spans="1:8" ht="15.75" customHeight="1" x14ac:dyDescent="0.25">
      <c r="A11528" s="412"/>
      <c r="B11528" s="960"/>
      <c r="C11528" s="422"/>
      <c r="D11528" s="842"/>
      <c r="E11528" s="415"/>
      <c r="F11528" s="415"/>
      <c r="G11528" s="415"/>
      <c r="H11528" s="416"/>
    </row>
    <row r="11529" spans="1:8" ht="15.75" customHeight="1" x14ac:dyDescent="0.25">
      <c r="A11529" s="412"/>
      <c r="B11529" s="960"/>
      <c r="C11529" s="422"/>
      <c r="D11529" s="842"/>
      <c r="E11529" s="415"/>
      <c r="F11529" s="415"/>
      <c r="G11529" s="415"/>
      <c r="H11529" s="416"/>
    </row>
    <row r="11530" spans="1:8" ht="15.75" customHeight="1" x14ac:dyDescent="0.25">
      <c r="A11530" s="412"/>
      <c r="B11530" s="960"/>
      <c r="C11530" s="422"/>
      <c r="D11530" s="842"/>
      <c r="E11530" s="415"/>
      <c r="F11530" s="415"/>
      <c r="G11530" s="415"/>
      <c r="H11530" s="416"/>
    </row>
    <row r="11531" spans="1:8" ht="15.75" customHeight="1" x14ac:dyDescent="0.25">
      <c r="A11531" s="894"/>
      <c r="B11531" s="878"/>
      <c r="C11531" s="895"/>
      <c r="D11531" s="593"/>
      <c r="E11531" s="593"/>
      <c r="F11531" s="593"/>
      <c r="G11531" s="593"/>
      <c r="H11531" s="931"/>
    </row>
    <row r="11532" spans="1:8" ht="15.75" customHeight="1" x14ac:dyDescent="0.25">
      <c r="A11532" s="877"/>
      <c r="B11532" s="688"/>
      <c r="C11532" s="896" t="s">
        <v>85</v>
      </c>
      <c r="D11532" s="401">
        <f>SUM(D11523:D11531)</f>
      </c>
      <c r="E11532" s="401"/>
      <c r="F11532" s="401">
        <f>SUM(F11523:F11531)</f>
      </c>
      <c r="G11532" s="661"/>
      <c r="H11532" s="438">
        <f>SUM(H11523:H11531)</f>
      </c>
    </row>
    <row r="11533" spans="1:8" ht="15.75" customHeight="1" x14ac:dyDescent="0.25">
      <c r="A11533" s="932"/>
      <c r="B11533" s="933"/>
      <c r="C11533" s="934"/>
      <c r="D11533" s="431"/>
      <c r="E11533" s="935"/>
      <c r="F11533" s="935"/>
      <c r="G11533" s="936"/>
      <c r="H11533" s="444"/>
    </row>
    <row r="11534" spans="1:8" ht="15.75" customHeight="1" x14ac:dyDescent="0.25">
      <c r="A11534" s="392" t="s">
        <v>913</v>
      </c>
      <c r="B11534" s="391"/>
      <c r="C11534" s="391"/>
      <c r="D11534" s="391"/>
      <c r="E11534" s="390"/>
      <c r="F11534" s="392"/>
      <c r="G11534" s="390"/>
      <c r="H11534" s="394"/>
    </row>
    <row r="11535" spans="1:8" ht="15.75" customHeight="1" x14ac:dyDescent="0.25">
      <c r="A11535" s="445"/>
      <c r="B11535" s="445"/>
      <c r="C11535" s="445"/>
      <c r="D11535" s="446" t="s">
        <v>97</v>
      </c>
      <c r="E11535" s="445" t="s">
        <v>98</v>
      </c>
      <c r="F11535" s="445"/>
      <c r="G11535" s="390"/>
      <c r="H11535" s="394"/>
    </row>
    <row r="11536" spans="1:8" ht="15.75" customHeight="1" x14ac:dyDescent="0.25">
      <c r="A11536" s="390"/>
      <c r="B11536" s="390"/>
      <c r="C11536" s="390"/>
      <c r="D11536" s="391"/>
      <c r="E11536" s="390"/>
      <c r="F11536" s="390"/>
      <c r="G11536" s="390"/>
      <c r="H11536" s="394"/>
    </row>
    <row r="11537" spans="1:8" ht="15.75" customHeight="1" x14ac:dyDescent="0.25">
      <c r="A11537" s="390"/>
      <c r="B11537" s="390"/>
      <c r="C11537" s="390"/>
      <c r="D11537" s="391"/>
      <c r="E11537" s="390"/>
      <c r="F11537" s="390"/>
      <c r="G11537" s="390"/>
      <c r="H11537" s="394"/>
    </row>
    <row r="11538" spans="1:8" ht="15.75" customHeight="1" x14ac:dyDescent="0.25">
      <c r="A11538" s="445"/>
      <c r="B11538" s="445"/>
      <c r="C11538" s="445"/>
      <c r="D11538" s="446"/>
      <c r="E11538" s="445" t="s">
        <v>99</v>
      </c>
      <c r="F11538" s="445"/>
      <c r="G11538" s="390"/>
      <c r="H11538" s="394"/>
    </row>
    <row r="11539" spans="1:8" ht="15.75" customHeight="1" x14ac:dyDescent="0.25">
      <c r="D11539" s="4"/>
      <c r="H11539" s="4"/>
    </row>
    <row r="11540" spans="1:8" ht="15.75" customHeight="1" x14ac:dyDescent="0.25">
      <c r="D11540" s="4"/>
      <c r="H11540" s="4"/>
    </row>
    <row r="11541" spans="1:8" ht="15.75" customHeight="1" x14ac:dyDescent="0.25">
      <c r="D11541" s="4"/>
      <c r="H11541" s="4"/>
    </row>
    <row r="11542" spans="1:8" ht="15.75" customHeight="1" x14ac:dyDescent="0.25">
      <c r="D11542" s="4"/>
      <c r="H11542" s="4"/>
    </row>
    <row r="11543" spans="1:8" ht="15.75" customHeight="1" x14ac:dyDescent="0.25">
      <c r="D11543" s="4"/>
      <c r="H11543" s="4"/>
    </row>
    <row r="11544" spans="1:8" ht="15.75" customHeight="1" x14ac:dyDescent="0.25">
      <c r="D11544" s="4"/>
      <c r="H11544" s="4"/>
    </row>
    <row r="11545" spans="1:8" ht="15.75" customHeight="1" x14ac:dyDescent="0.25">
      <c r="D11545" s="4"/>
      <c r="H11545" s="4"/>
    </row>
    <row r="11546" spans="1:8" ht="15.75" customHeight="1" x14ac:dyDescent="0.25">
      <c r="D11546" s="4"/>
      <c r="H11546" s="4"/>
    </row>
    <row r="11547" spans="1:8" ht="15.75" customHeight="1" x14ac:dyDescent="0.25">
      <c r="D11547" s="4"/>
      <c r="H11547" s="4"/>
    </row>
    <row r="11548" spans="1:8" ht="15.75" customHeight="1" x14ac:dyDescent="0.25">
      <c r="D11548" s="4"/>
      <c r="H11548" s="4"/>
    </row>
    <row r="11549" spans="1:8" ht="15.75" customHeight="1" x14ac:dyDescent="0.25">
      <c r="D11549" s="4"/>
      <c r="H11549" s="4"/>
    </row>
    <row r="11550" spans="1:8" ht="15.75" customHeight="1" x14ac:dyDescent="0.25">
      <c r="D11550" s="4"/>
      <c r="H11550" s="4"/>
    </row>
    <row r="11551" spans="1:8" ht="15.75" customHeight="1" x14ac:dyDescent="0.25">
      <c r="D11551" s="4"/>
      <c r="H11551" s="4"/>
    </row>
    <row r="11552" spans="1:8" ht="15.75" customHeight="1" x14ac:dyDescent="0.25">
      <c r="D11552" s="4"/>
      <c r="H11552" s="4"/>
    </row>
    <row r="11553" spans="1:8" ht="15.75" customHeight="1" x14ac:dyDescent="0.25">
      <c r="D11553" s="4"/>
      <c r="H11553" s="4"/>
    </row>
    <row r="11554" spans="1:8" ht="15.75" customHeight="1" x14ac:dyDescent="0.25">
      <c r="A11554" s="8" t="s">
        <v>14</v>
      </c>
      <c r="B11554" s="8"/>
      <c r="C11554" s="8"/>
      <c r="D11554" s="8"/>
      <c r="E11554" s="8"/>
      <c r="F11554" s="8"/>
      <c r="G11554" s="8"/>
      <c r="H11554" s="8"/>
    </row>
    <row r="11555" spans="1:8" ht="15.75" customHeight="1" x14ac:dyDescent="0.25">
      <c r="A11555" s="388"/>
      <c r="B11555" s="388"/>
      <c r="C11555" s="388"/>
      <c r="D11555" s="389"/>
      <c r="E11555" s="388"/>
      <c r="F11555" s="388"/>
      <c r="G11555" s="388"/>
      <c r="H11555" s="8"/>
    </row>
    <row r="11556" spans="1:8" ht="15.75" customHeight="1" x14ac:dyDescent="0.25">
      <c r="A11556" s="390"/>
      <c r="B11556" s="390"/>
      <c r="D11556" s="392"/>
      <c r="E11556" s="393"/>
      <c r="F11556" s="393"/>
      <c r="G11556" s="393"/>
      <c r="H11556" s="394"/>
    </row>
    <row r="11557" spans="1:8" ht="15.75" customHeight="1" x14ac:dyDescent="0.25">
      <c r="A11557" s="390"/>
      <c r="B11557" s="390"/>
      <c r="C11557" s="390"/>
      <c r="D11557" s="391"/>
      <c r="E11557" s="390"/>
      <c r="F11557" s="395" t="s">
        <v>18</v>
      </c>
      <c r="G11557" s="396" t="s">
        <v>1099</v>
      </c>
      <c r="H11557" s="397"/>
    </row>
    <row r="11558" spans="1:8" ht="15.75" customHeight="1" x14ac:dyDescent="0.25">
      <c r="A11558" s="390" t="s">
        <v>20</v>
      </c>
      <c r="B11558" s="390"/>
      <c r="C11558" s="398"/>
      <c r="D11558" s="391"/>
      <c r="E11558" s="390"/>
      <c r="F11558" s="395" t="s">
        <v>21</v>
      </c>
      <c r="G11558" s="390" t="s">
        <v>2016</v>
      </c>
      <c r="H11558" s="391"/>
    </row>
    <row r="11559" spans="1:8" ht="15.75" customHeight="1" x14ac:dyDescent="0.25">
      <c r="A11559" s="390" t="inlineStr">
        <is>
          <t>Dealer-003</t>
        </is>
      </c>
      <c r="B11559" s="390"/>
      <c r="C11559" s="390"/>
      <c r="D11559" s="398"/>
      <c r="E11559" s="390"/>
      <c r="F11559" s="391"/>
      <c r="G11559" s="390"/>
      <c r="H11559" s="394"/>
    </row>
    <row r="11560" spans="1:8" ht="15.75" customHeight="1" x14ac:dyDescent="0.25">
      <c r="A11560" s="390" t="inlineStr">
        <is>
          <t>Address line (redacted)</t>
        </is>
      </c>
      <c r="B11560" s="390"/>
      <c r="C11560" s="390"/>
      <c r="D11560" s="398"/>
      <c r="E11560" s="390"/>
      <c r="F11560" s="391"/>
      <c r="G11560" s="390"/>
      <c r="H11560" s="394"/>
    </row>
    <row r="11561" spans="1:8" ht="15.75" customHeight="1" x14ac:dyDescent="0.25">
      <c r="A11561" s="390" t="inlineStr">
        <is>
          <t>Address line (redacted)</t>
        </is>
      </c>
      <c r="B11561" s="390"/>
      <c r="C11561" s="390"/>
      <c r="D11561" s="391"/>
      <c r="E11561" s="390"/>
      <c r="F11561" s="391"/>
      <c r="G11561" s="390"/>
      <c r="H11561" s="394"/>
    </row>
    <row r="11562" spans="1:8" ht="15.75" customHeight="1" x14ac:dyDescent="0.25">
      <c r="A11562" s="390"/>
      <c r="B11562" s="390"/>
      <c r="C11562" s="390"/>
      <c r="D11562" s="391"/>
      <c r="E11562" s="390"/>
      <c r="F11562" s="391"/>
      <c r="G11562" s="390"/>
      <c r="H11562" s="394"/>
    </row>
    <row r="11563" spans="1:8" ht="15.75" customHeight="1" x14ac:dyDescent="0.25">
      <c r="A11563" s="390" t="s">
        <v>30</v>
      </c>
      <c r="B11563" s="390"/>
      <c r="C11563" s="390"/>
      <c r="D11563" s="391"/>
      <c r="E11563" s="390"/>
      <c r="F11563" s="391"/>
      <c r="G11563" s="390"/>
      <c r="H11563" s="394"/>
    </row>
    <row r="11564" spans="1:8" ht="15.75" customHeight="1" x14ac:dyDescent="0.25">
      <c r="A11564" s="390"/>
      <c r="B11564" s="390"/>
      <c r="C11564" s="390"/>
      <c r="D11564" s="391"/>
      <c r="E11564" s="390"/>
      <c r="F11564" s="391"/>
      <c r="G11564" s="390"/>
      <c r="H11564" s="394"/>
    </row>
    <row r="11565" spans="1:8" ht="15.75" customHeight="1" x14ac:dyDescent="0.25">
      <c r="A11565" s="390" t="s">
        <v>716</v>
      </c>
      <c r="B11565" s="390"/>
      <c r="C11565" s="390"/>
      <c r="D11565" s="391"/>
      <c r="E11565" s="390"/>
      <c r="F11565" s="391"/>
      <c r="G11565" s="390"/>
      <c r="H11565" s="394"/>
    </row>
    <row r="11566" spans="1:8" ht="15.75" customHeight="1" x14ac:dyDescent="0.25">
      <c r="A11566" s="390" t="s">
        <v>717</v>
      </c>
      <c r="B11566" s="390"/>
      <c r="C11566" s="390"/>
      <c r="D11566" s="391"/>
      <c r="E11566" s="390"/>
      <c r="F11566" s="391"/>
      <c r="G11566" s="390"/>
      <c r="H11566" s="394"/>
    </row>
    <row r="11567" spans="1:8" ht="15.75" customHeight="1" x14ac:dyDescent="0.25">
      <c r="A11567" s="390"/>
      <c r="B11567" s="390"/>
      <c r="C11567" s="390"/>
      <c r="D11567" s="391"/>
      <c r="E11567" s="390"/>
      <c r="F11567" s="391"/>
      <c r="G11567" s="390"/>
      <c r="H11567" s="394"/>
    </row>
    <row r="11568" spans="1:8" ht="15.75" customHeight="1" x14ac:dyDescent="0.25">
      <c r="A11568" s="948" t="s">
        <v>33</v>
      </c>
      <c r="B11568" s="949" t="s">
        <v>6</v>
      </c>
      <c r="C11568" s="950"/>
      <c r="D11568" s="874" t="s">
        <v>37</v>
      </c>
      <c r="E11568" s="874" t="s">
        <v>38</v>
      </c>
      <c r="F11568" s="875" t="s">
        <v>7</v>
      </c>
      <c r="G11568" s="872" t="s">
        <v>43</v>
      </c>
      <c r="H11568" s="876" t="s">
        <v>44</v>
      </c>
    </row>
    <row r="11569" spans="1:8" ht="15.75" customHeight="1" x14ac:dyDescent="0.3">
      <c r="A11569" s="412"/>
      <c r="B11569" s="967"/>
      <c r="C11569" s="422"/>
      <c r="D11569" s="951"/>
      <c r="E11569" s="879"/>
      <c r="F11569" s="415"/>
      <c r="G11569" s="415"/>
      <c r="H11569" s="416"/>
    </row>
    <row r="11570" spans="1:8" ht="15.75" customHeight="1" x14ac:dyDescent="0.25">
      <c r="A11570" s="412"/>
      <c r="B11570" s="978" t="s">
        <v>2017</v>
      </c>
      <c r="C11570" s="979"/>
      <c r="D11570" s="842"/>
      <c r="E11570" s="415"/>
      <c r="F11570" s="415"/>
      <c r="G11570" s="415"/>
      <c r="H11570" s="416"/>
    </row>
    <row r="11571" spans="1:8" ht="15.75" customHeight="1" x14ac:dyDescent="0.25">
      <c r="A11571" s="412">
        <v>1</v>
      </c>
      <c r="B11571" s="959" t="s">
        <v>2293</v>
      </c>
      <c r="C11571" s="422"/>
      <c r="D11571" s="592">
        <v>2</v>
      </c>
      <c r="E11571" s="415">
        <v>10</v>
      </c>
      <c r="F11571" s="415">
        <v>19</v>
      </c>
      <c r="G11571" s="415">
        <v>1</v>
      </c>
      <c r="H11571" s="416">
        <f>+G11571*F11571</f>
      </c>
    </row>
    <row r="11572" spans="1:8" ht="15.75" customHeight="1" x14ac:dyDescent="0.25">
      <c r="A11572" s="412">
        <v>2</v>
      </c>
      <c r="B11572" s="959" t="s">
        <v>2293</v>
      </c>
      <c r="C11572" s="422"/>
      <c r="D11572" s="626"/>
      <c r="E11572" s="415"/>
      <c r="F11572" s="415">
        <v>1</v>
      </c>
      <c r="G11572" s="619" t="s">
        <v>1856</v>
      </c>
      <c r="H11572" s="416"/>
    </row>
    <row r="11573" spans="1:8" ht="15.75" customHeight="1" x14ac:dyDescent="0.25">
      <c r="A11573" s="412"/>
      <c r="B11573" s="978" t="s">
        <v>2019</v>
      </c>
      <c r="C11573" s="979"/>
      <c r="D11573" s="842"/>
      <c r="E11573" s="415"/>
      <c r="F11573" s="415"/>
      <c r="G11573" s="415"/>
      <c r="H11573" s="416"/>
    </row>
    <row r="11574" spans="1:8" ht="15.75" customHeight="1" x14ac:dyDescent="0.25">
      <c r="A11574" s="412">
        <v>2</v>
      </c>
      <c r="B11574" s="960" t="s">
        <v>2294</v>
      </c>
      <c r="C11574" s="422"/>
      <c r="D11574" s="592">
        <v>14</v>
      </c>
      <c r="E11574" s="592">
        <v>10</v>
      </c>
      <c r="F11574" s="415">
        <v>133.33330000000001</v>
      </c>
      <c r="G11574" s="415">
        <v>1</v>
      </c>
      <c r="H11574" s="416">
        <f>+G11574*F11574</f>
      </c>
    </row>
    <row r="11575" spans="1:8" ht="15.75" customHeight="1" x14ac:dyDescent="0.25">
      <c r="A11575" s="412">
        <v>3</v>
      </c>
      <c r="B11575" s="960" t="s">
        <v>2294</v>
      </c>
      <c r="C11575" s="422"/>
      <c r="D11575" s="626"/>
      <c r="E11575" s="626"/>
      <c r="F11575" s="415">
        <f>140-F11574</f>
      </c>
      <c r="G11575" s="619" t="s">
        <v>1856</v>
      </c>
      <c r="H11575" s="416"/>
    </row>
    <row r="11576" spans="1:8" ht="15.75" customHeight="1" x14ac:dyDescent="0.25">
      <c r="A11576" s="412">
        <v>3</v>
      </c>
      <c r="B11576" s="960" t="s">
        <v>2021</v>
      </c>
      <c r="C11576" s="422"/>
      <c r="D11576" s="842">
        <v>20</v>
      </c>
      <c r="E11576" s="415">
        <v>5</v>
      </c>
      <c r="F11576" s="415">
        <f t="shared" ref="F11576:F11578" si="413">E11576*D11576</f>
      </c>
      <c r="G11576" s="415">
        <v>1</v>
      </c>
      <c r="H11576" s="416">
        <f>+G11576*F11576</f>
      </c>
    </row>
    <row r="11577" spans="1:8" ht="15.75" customHeight="1" x14ac:dyDescent="0.25">
      <c r="A11577" s="412">
        <v>4</v>
      </c>
      <c r="B11577" s="960" t="s">
        <v>2021</v>
      </c>
      <c r="C11577" s="422"/>
      <c r="D11577" s="842">
        <v>1</v>
      </c>
      <c r="E11577" s="415">
        <v>5</v>
      </c>
      <c r="F11577" s="415">
        <f t="shared" si="413"/>
      </c>
      <c r="G11577" s="619" t="s">
        <v>1856</v>
      </c>
      <c r="H11577" s="416"/>
    </row>
    <row r="11578" spans="1:8" ht="15.75" customHeight="1" x14ac:dyDescent="0.25">
      <c r="A11578" s="412">
        <v>5</v>
      </c>
      <c r="B11578" s="980" t="s">
        <v>2022</v>
      </c>
      <c r="C11578" s="418"/>
      <c r="D11578" s="415">
        <v>3</v>
      </c>
      <c r="E11578" s="415">
        <v>10</v>
      </c>
      <c r="F11578" s="415">
        <f t="shared" si="413"/>
      </c>
      <c r="G11578" s="415">
        <v>1</v>
      </c>
      <c r="H11578" s="416">
        <f>+G11578*F11578</f>
      </c>
    </row>
    <row r="11579" spans="1:8" ht="15.75" customHeight="1" x14ac:dyDescent="0.25">
      <c r="A11579" s="412"/>
      <c r="B11579" s="980"/>
      <c r="C11579" s="977"/>
      <c r="D11579" s="593"/>
      <c r="E11579" s="593"/>
      <c r="F11579" s="593"/>
      <c r="G11579" s="593"/>
      <c r="H11579" s="931"/>
    </row>
    <row r="11580" spans="1:8" ht="15.75" customHeight="1" x14ac:dyDescent="0.25">
      <c r="A11580" s="894"/>
      <c r="B11580" s="878"/>
      <c r="C11580" s="895"/>
      <c r="D11580" s="593"/>
      <c r="E11580" s="593"/>
      <c r="F11580" s="593"/>
      <c r="G11580" s="593"/>
      <c r="H11580" s="931"/>
    </row>
    <row r="11581" spans="1:8" ht="15.75" customHeight="1" x14ac:dyDescent="0.25">
      <c r="A11581" s="877"/>
      <c r="B11581" s="688"/>
      <c r="C11581" s="896" t="s">
        <v>85</v>
      </c>
      <c r="D11581" s="401">
        <f>SUM(D11571:D11580)</f>
      </c>
      <c r="E11581" s="401"/>
      <c r="F11581" s="401">
        <f>SUM(F11571:F11580)</f>
      </c>
      <c r="G11581" s="661"/>
      <c r="H11581" s="438">
        <f>SUM(H11571:H11580)</f>
      </c>
    </row>
    <row r="11582" spans="1:8" ht="15.75" customHeight="1" x14ac:dyDescent="0.25">
      <c r="A11582" s="932"/>
      <c r="B11582" s="933"/>
      <c r="C11582" s="934"/>
      <c r="D11582" s="431"/>
      <c r="E11582" s="935"/>
      <c r="F11582" s="935"/>
      <c r="G11582" s="936"/>
      <c r="H11582" s="444"/>
    </row>
    <row r="11583" spans="1:8" ht="15.75" customHeight="1" x14ac:dyDescent="0.25">
      <c r="A11583" s="392" t="s">
        <v>913</v>
      </c>
      <c r="B11583" s="391"/>
      <c r="C11583" s="391"/>
      <c r="D11583" s="391"/>
      <c r="E11583" s="390"/>
      <c r="F11583" s="392"/>
      <c r="G11583" s="390"/>
      <c r="H11583" s="394"/>
    </row>
    <row r="11584" spans="1:8" ht="15.75" customHeight="1" x14ac:dyDescent="0.25">
      <c r="A11584" s="445"/>
      <c r="B11584" s="445"/>
      <c r="C11584" s="445"/>
      <c r="D11584" s="446" t="s">
        <v>97</v>
      </c>
      <c r="E11584" s="445" t="s">
        <v>98</v>
      </c>
      <c r="F11584" s="445"/>
      <c r="G11584" s="390"/>
      <c r="H11584" s="394"/>
    </row>
    <row r="11585" spans="1:8" ht="15.75" customHeight="1" x14ac:dyDescent="0.25">
      <c r="A11585" s="390"/>
      <c r="B11585" s="390"/>
      <c r="C11585" s="390"/>
      <c r="D11585" s="391"/>
      <c r="E11585" s="390"/>
      <c r="F11585" s="390"/>
      <c r="G11585" s="390"/>
      <c r="H11585" s="394"/>
    </row>
    <row r="11586" spans="1:8" ht="15.75" customHeight="1" x14ac:dyDescent="0.25">
      <c r="A11586" s="390"/>
      <c r="B11586" s="390"/>
      <c r="C11586" s="390"/>
      <c r="D11586" s="391"/>
      <c r="E11586" s="390"/>
      <c r="F11586" s="390"/>
      <c r="G11586" s="390"/>
      <c r="H11586" s="394"/>
    </row>
    <row r="11587" spans="1:8" ht="15.75" customHeight="1" x14ac:dyDescent="0.25">
      <c r="A11587" s="445"/>
      <c r="B11587" s="445"/>
      <c r="C11587" s="445"/>
      <c r="D11587" s="446"/>
      <c r="E11587" s="445" t="s">
        <v>99</v>
      </c>
      <c r="F11587" s="445"/>
      <c r="G11587" s="390"/>
      <c r="H11587" s="394"/>
    </row>
    <row r="11588" spans="1:8" ht="15.75" customHeight="1" x14ac:dyDescent="0.25">
      <c r="D11588" s="4"/>
      <c r="H11588" s="4"/>
    </row>
    <row r="11589" spans="1:8" ht="15.75" customHeight="1" x14ac:dyDescent="0.25">
      <c r="D11589" s="4"/>
      <c r="H11589" s="4"/>
    </row>
    <row r="11590" spans="1:8" ht="15.75" customHeight="1" x14ac:dyDescent="0.25">
      <c r="D11590" s="4"/>
      <c r="H11590" s="4"/>
    </row>
    <row r="11591" spans="1:8" ht="15.75" customHeight="1" x14ac:dyDescent="0.25">
      <c r="D11591" s="4"/>
      <c r="H11591" s="4"/>
    </row>
    <row r="11592" spans="1:8" ht="15.75" customHeight="1" x14ac:dyDescent="0.25">
      <c r="D11592" s="4"/>
      <c r="H11592" s="4"/>
    </row>
    <row r="11593" spans="1:8" ht="15.75" customHeight="1" x14ac:dyDescent="0.25">
      <c r="D11593" s="4"/>
      <c r="H11593" s="4"/>
    </row>
    <row r="11594" spans="1:8" ht="15.75" customHeight="1" x14ac:dyDescent="0.25">
      <c r="D11594" s="4"/>
      <c r="H11594" s="4"/>
    </row>
    <row r="11595" spans="1:8" ht="15.75" customHeight="1" x14ac:dyDescent="0.25">
      <c r="D11595" s="4"/>
      <c r="H11595" s="4"/>
    </row>
    <row r="11596" spans="1:8" ht="15.75" customHeight="1" x14ac:dyDescent="0.25">
      <c r="D11596" s="4"/>
      <c r="H11596" s="4"/>
    </row>
    <row r="11597" spans="1:8" ht="15.75" customHeight="1" x14ac:dyDescent="0.25">
      <c r="D11597" s="4"/>
      <c r="H11597" s="4"/>
    </row>
    <row r="11598" spans="1:8" ht="15.75" customHeight="1" x14ac:dyDescent="0.25">
      <c r="D11598" s="4"/>
      <c r="H11598" s="4"/>
    </row>
    <row r="11599" spans="1:8" ht="15.75" customHeight="1" x14ac:dyDescent="0.25">
      <c r="D11599" s="4"/>
      <c r="H11599" s="4"/>
    </row>
    <row r="11600" spans="1:8" ht="15.75" customHeight="1" x14ac:dyDescent="0.25">
      <c r="A11600" s="8" t="s">
        <v>14</v>
      </c>
      <c r="B11600" s="8"/>
      <c r="C11600" s="8"/>
      <c r="D11600" s="8"/>
      <c r="E11600" s="8"/>
      <c r="F11600" s="8"/>
      <c r="G11600" s="8"/>
      <c r="H11600" s="8"/>
    </row>
    <row r="11601" spans="1:8" ht="15.75" customHeight="1" x14ac:dyDescent="0.25">
      <c r="A11601" s="388"/>
      <c r="B11601" s="388"/>
      <c r="C11601" s="388"/>
      <c r="D11601" s="389"/>
      <c r="E11601" s="388"/>
      <c r="F11601" s="388"/>
      <c r="G11601" s="388"/>
      <c r="H11601" s="8"/>
    </row>
    <row r="11602" spans="1:8" ht="15.75" customHeight="1" x14ac:dyDescent="0.25">
      <c r="A11602" s="390"/>
      <c r="B11602" s="390"/>
      <c r="D11602" s="392"/>
      <c r="E11602" s="393"/>
      <c r="F11602" s="393"/>
      <c r="G11602" s="393"/>
      <c r="H11602" s="394"/>
    </row>
    <row r="11603" spans="1:8" ht="15.75" customHeight="1" x14ac:dyDescent="0.25">
      <c r="A11603" s="390"/>
      <c r="B11603" s="390"/>
      <c r="C11603" s="390"/>
      <c r="D11603" s="391"/>
      <c r="E11603" s="390"/>
      <c r="F11603" s="395" t="s">
        <v>18</v>
      </c>
      <c r="G11603" s="396" t="s">
        <v>1099</v>
      </c>
      <c r="H11603" s="397"/>
    </row>
    <row r="11604" spans="1:8" ht="15.75" customHeight="1" x14ac:dyDescent="0.25">
      <c r="A11604" s="390" t="s">
        <v>20</v>
      </c>
      <c r="B11604" s="390"/>
      <c r="D11604" s="391"/>
      <c r="E11604" s="390"/>
      <c r="F11604" s="395" t="s">
        <v>21</v>
      </c>
      <c r="G11604" s="390" t="s">
        <v>2023</v>
      </c>
      <c r="H11604" s="391"/>
    </row>
    <row r="11605" spans="1:8" ht="15.75" customHeight="1" x14ac:dyDescent="0.25">
      <c r="A11605" s="390" t="inlineStr">
        <is>
          <t>Dealer-009</t>
        </is>
      </c>
      <c r="B11605" s="390"/>
      <c r="C11605" s="390" t="inlineStr">
        <is>
          <t>ATTN: Contact-001</t>
        </is>
      </c>
      <c r="D11605" s="398"/>
      <c r="E11605" s="390"/>
      <c r="F11605" s="391"/>
      <c r="G11605" s="390"/>
      <c r="H11605" s="394"/>
    </row>
    <row r="11606" spans="1:8" ht="15.75" customHeight="1" x14ac:dyDescent="0.25">
      <c r="A11606" s="390" t="inlineStr">
        <is>
          <t>Address line (redacted)</t>
        </is>
      </c>
      <c r="B11606" s="390"/>
      <c r="C11606" s="390"/>
      <c r="D11606" s="398"/>
      <c r="E11606" s="390"/>
      <c r="F11606" s="391"/>
      <c r="G11606" s="390"/>
      <c r="H11606" s="394"/>
    </row>
    <row r="11607" spans="1:8" ht="15.75" customHeight="1" x14ac:dyDescent="0.25">
      <c r="A11607" s="390" t="inlineStr">
        <is>
          <t>Address line (redacted)</t>
        </is>
      </c>
      <c r="B11607" s="390"/>
      <c r="C11607" s="390"/>
      <c r="D11607" s="391"/>
      <c r="E11607" s="390"/>
      <c r="F11607" s="391"/>
      <c r="G11607" s="390"/>
      <c r="H11607" s="394"/>
    </row>
    <row r="11608" spans="1:8" ht="15.75" customHeight="1" x14ac:dyDescent="0.25">
      <c r="A11608" s="390"/>
      <c r="B11608" s="390"/>
      <c r="C11608" s="390"/>
      <c r="D11608" s="391"/>
      <c r="E11608" s="390"/>
      <c r="F11608" s="391"/>
      <c r="G11608" s="390"/>
      <c r="H11608" s="394"/>
    </row>
    <row r="11609" spans="1:8" ht="15.75" customHeight="1" x14ac:dyDescent="0.25">
      <c r="A11609" s="390" t="s">
        <v>30</v>
      </c>
      <c r="B11609" s="390"/>
      <c r="C11609" s="390"/>
      <c r="D11609" s="391"/>
      <c r="E11609" s="390"/>
      <c r="F11609" s="391"/>
      <c r="G11609" s="390"/>
      <c r="H11609" s="394"/>
    </row>
    <row r="11610" spans="1:8" ht="15.75" customHeight="1" x14ac:dyDescent="0.25">
      <c r="A11610" s="390"/>
      <c r="B11610" s="390"/>
      <c r="C11610" s="390"/>
      <c r="D11610" s="391"/>
      <c r="E11610" s="390"/>
      <c r="F11610" s="391"/>
      <c r="G11610" s="390"/>
      <c r="H11610" s="394"/>
    </row>
    <row r="11611" spans="1:8" ht="15.75" customHeight="1" x14ac:dyDescent="0.25">
      <c r="A11611" s="390" t="s">
        <v>716</v>
      </c>
      <c r="B11611" s="390"/>
      <c r="C11611" s="390"/>
      <c r="D11611" s="391"/>
      <c r="E11611" s="390"/>
      <c r="F11611" s="391"/>
      <c r="G11611" s="390"/>
      <c r="H11611" s="394"/>
    </row>
    <row r="11612" spans="1:8" ht="15.75" customHeight="1" x14ac:dyDescent="0.25">
      <c r="A11612" s="390" t="s">
        <v>717</v>
      </c>
      <c r="B11612" s="390"/>
      <c r="C11612" s="390"/>
      <c r="D11612" s="391"/>
      <c r="E11612" s="390"/>
      <c r="F11612" s="391"/>
      <c r="G11612" s="390"/>
      <c r="H11612" s="394"/>
    </row>
    <row r="11613" spans="1:8" ht="15.75" customHeight="1" x14ac:dyDescent="0.25">
      <c r="A11613" s="390"/>
      <c r="B11613" s="390"/>
      <c r="C11613" s="390"/>
      <c r="D11613" s="391"/>
      <c r="E11613" s="390"/>
      <c r="F11613" s="391"/>
      <c r="G11613" s="390"/>
      <c r="H11613" s="394"/>
    </row>
    <row r="11614" spans="1:8" ht="15.75" customHeight="1" x14ac:dyDescent="0.25">
      <c r="A11614" s="948" t="s">
        <v>33</v>
      </c>
      <c r="B11614" s="949" t="s">
        <v>6</v>
      </c>
      <c r="C11614" s="950"/>
      <c r="D11614" s="874" t="s">
        <v>37</v>
      </c>
      <c r="E11614" s="874" t="s">
        <v>38</v>
      </c>
      <c r="F11614" s="875" t="s">
        <v>7</v>
      </c>
      <c r="G11614" s="872" t="s">
        <v>43</v>
      </c>
      <c r="H11614" s="876" t="s">
        <v>44</v>
      </c>
    </row>
    <row r="11615" spans="1:8" ht="15.75" customHeight="1" x14ac:dyDescent="0.3">
      <c r="A11615" s="412"/>
      <c r="B11615" s="967"/>
      <c r="C11615" s="422"/>
      <c r="D11615" s="951"/>
      <c r="E11615" s="879"/>
      <c r="F11615" s="415"/>
      <c r="G11615" s="415"/>
      <c r="H11615" s="416"/>
    </row>
    <row r="11616" spans="1:8" ht="15.75" customHeight="1" x14ac:dyDescent="0.25">
      <c r="A11616" s="412"/>
      <c r="B11616" s="960" t="s">
        <v>2017</v>
      </c>
      <c r="C11616" s="422"/>
      <c r="D11616" s="842"/>
      <c r="E11616" s="415"/>
      <c r="F11616" s="415"/>
      <c r="G11616" s="415"/>
      <c r="H11616" s="416"/>
    </row>
    <row r="11617" spans="1:8" ht="15.75" customHeight="1" x14ac:dyDescent="0.25">
      <c r="A11617" s="412">
        <v>1</v>
      </c>
      <c r="B11617" s="959" t="s">
        <v>2293</v>
      </c>
      <c r="C11617" s="422"/>
      <c r="D11617" s="592">
        <v>4</v>
      </c>
      <c r="E11617" s="415">
        <v>10</v>
      </c>
      <c r="F11617" s="415">
        <v>38</v>
      </c>
      <c r="G11617" s="415">
        <v>1</v>
      </c>
      <c r="H11617" s="416">
        <f>+G11617*F11617</f>
      </c>
    </row>
    <row r="11618" spans="1:8" ht="15.75" customHeight="1" x14ac:dyDescent="0.25">
      <c r="A11618" s="412">
        <v>2</v>
      </c>
      <c r="B11618" s="959" t="s">
        <v>2293</v>
      </c>
      <c r="C11618" s="422"/>
      <c r="D11618" s="626"/>
      <c r="E11618" s="415"/>
      <c r="F11618" s="415">
        <v>2</v>
      </c>
      <c r="G11618" s="619" t="s">
        <v>1856</v>
      </c>
      <c r="H11618" s="416"/>
    </row>
    <row r="11619" spans="1:8" ht="15.75" customHeight="1" x14ac:dyDescent="0.25">
      <c r="A11619" s="412"/>
      <c r="B11619" s="960"/>
      <c r="C11619" s="422"/>
      <c r="D11619" s="842"/>
      <c r="E11619" s="415"/>
      <c r="F11619" s="415"/>
      <c r="G11619" s="415"/>
      <c r="H11619" s="416"/>
    </row>
    <row r="11620" spans="1:8" ht="15.75" customHeight="1" x14ac:dyDescent="0.25">
      <c r="A11620" s="412"/>
      <c r="B11620" s="960"/>
      <c r="C11620" s="422"/>
      <c r="D11620" s="842"/>
      <c r="E11620" s="415"/>
      <c r="F11620" s="415"/>
      <c r="G11620" s="415"/>
      <c r="H11620" s="416"/>
    </row>
    <row r="11621" spans="1:8" ht="15.75" customHeight="1" x14ac:dyDescent="0.25">
      <c r="A11621" s="412"/>
      <c r="B11621" s="419"/>
      <c r="C11621" s="418"/>
      <c r="D11621" s="415"/>
      <c r="E11621" s="415"/>
      <c r="F11621" s="415"/>
      <c r="G11621" s="415"/>
      <c r="H11621" s="416"/>
    </row>
    <row r="11622" spans="1:8" ht="15.75" customHeight="1" x14ac:dyDescent="0.25">
      <c r="A11622" s="894"/>
      <c r="B11622" s="878"/>
      <c r="C11622" s="895"/>
      <c r="D11622" s="593"/>
      <c r="E11622" s="593"/>
      <c r="F11622" s="593"/>
      <c r="G11622" s="593"/>
      <c r="H11622" s="931"/>
    </row>
    <row r="11623" spans="1:8" ht="15.75" customHeight="1" x14ac:dyDescent="0.25">
      <c r="A11623" s="877"/>
      <c r="B11623" s="688"/>
      <c r="C11623" s="896" t="s">
        <v>85</v>
      </c>
      <c r="D11623" s="401">
        <v>4</v>
      </c>
      <c r="E11623" s="401"/>
      <c r="F11623" s="401">
        <v>40</v>
      </c>
      <c r="G11623" s="661"/>
      <c r="H11623" s="438">
        <f>SUM(H11617:H11622)</f>
      </c>
    </row>
    <row r="11624" spans="1:8" ht="15.75" customHeight="1" x14ac:dyDescent="0.25">
      <c r="A11624" s="932"/>
      <c r="B11624" s="933"/>
      <c r="C11624" s="934"/>
      <c r="D11624" s="431"/>
      <c r="E11624" s="935"/>
      <c r="F11624" s="935"/>
      <c r="G11624" s="936"/>
      <c r="H11624" s="444"/>
    </row>
    <row r="11625" spans="1:8" ht="15.75" customHeight="1" x14ac:dyDescent="0.25">
      <c r="A11625" s="392" t="s">
        <v>913</v>
      </c>
      <c r="B11625" s="391"/>
      <c r="C11625" s="391"/>
      <c r="D11625" s="391"/>
      <c r="E11625" s="390"/>
      <c r="F11625" s="392"/>
      <c r="G11625" s="390"/>
      <c r="H11625" s="394"/>
    </row>
    <row r="11626" spans="1:8" ht="15.75" customHeight="1" x14ac:dyDescent="0.25">
      <c r="A11626" s="445"/>
      <c r="B11626" s="445"/>
      <c r="C11626" s="445"/>
      <c r="D11626" s="446" t="s">
        <v>97</v>
      </c>
      <c r="E11626" s="445" t="s">
        <v>98</v>
      </c>
      <c r="F11626" s="445"/>
      <c r="G11626" s="390"/>
      <c r="H11626" s="394"/>
    </row>
    <row r="11627" spans="1:8" ht="15.75" customHeight="1" x14ac:dyDescent="0.25">
      <c r="A11627" s="390"/>
      <c r="B11627" s="390"/>
      <c r="C11627" s="390"/>
      <c r="D11627" s="391"/>
      <c r="E11627" s="390"/>
      <c r="F11627" s="390"/>
      <c r="G11627" s="390"/>
      <c r="H11627" s="394"/>
    </row>
    <row r="11628" spans="1:8" ht="15.75" customHeight="1" x14ac:dyDescent="0.25">
      <c r="A11628" s="390"/>
      <c r="B11628" s="390"/>
      <c r="C11628" s="390"/>
      <c r="D11628" s="391"/>
      <c r="E11628" s="390"/>
      <c r="F11628" s="390"/>
      <c r="G11628" s="390"/>
      <c r="H11628" s="394"/>
    </row>
    <row r="11629" spans="1:8" ht="15.75" customHeight="1" x14ac:dyDescent="0.25">
      <c r="A11629" s="445"/>
      <c r="B11629" s="445"/>
      <c r="C11629" s="445"/>
      <c r="D11629" s="446"/>
      <c r="E11629" s="445" t="s">
        <v>99</v>
      </c>
      <c r="F11629" s="445"/>
      <c r="G11629" s="390"/>
      <c r="H11629" s="394"/>
    </row>
    <row r="11630" spans="1:8" ht="15.75" customHeight="1" x14ac:dyDescent="0.25">
      <c r="D11630" s="4"/>
      <c r="H11630" s="4"/>
    </row>
    <row r="11631" spans="1:8" ht="15.75" customHeight="1" x14ac:dyDescent="0.25">
      <c r="D11631" s="4"/>
      <c r="H11631" s="4"/>
    </row>
    <row r="11632" spans="1:8" ht="15.75" customHeight="1" x14ac:dyDescent="0.25">
      <c r="D11632" s="4"/>
      <c r="H11632" s="4"/>
    </row>
    <row r="11633" spans="1:8" ht="15.75" customHeight="1" x14ac:dyDescent="0.25">
      <c r="D11633" s="4"/>
      <c r="H11633" s="4"/>
    </row>
    <row r="11634" spans="1:8" ht="15.75" customHeight="1" x14ac:dyDescent="0.25">
      <c r="D11634" s="4"/>
      <c r="H11634" s="4"/>
    </row>
    <row r="11635" spans="1:8" ht="15.75" customHeight="1" x14ac:dyDescent="0.25">
      <c r="D11635" s="4"/>
      <c r="H11635" s="4"/>
    </row>
    <row r="11636" spans="1:8" ht="15.75" customHeight="1" x14ac:dyDescent="0.25">
      <c r="D11636" s="4"/>
      <c r="H11636" s="4"/>
    </row>
    <row r="11637" spans="1:8" ht="15.75" customHeight="1" x14ac:dyDescent="0.25">
      <c r="D11637" s="4"/>
      <c r="H11637" s="4"/>
    </row>
    <row r="11638" spans="1:8" ht="15.75" customHeight="1" x14ac:dyDescent="0.25">
      <c r="D11638" s="4"/>
      <c r="H11638" s="4"/>
    </row>
    <row r="11639" spans="1:8" ht="15.75" customHeight="1" x14ac:dyDescent="0.25">
      <c r="D11639" s="4"/>
      <c r="H11639" s="4"/>
    </row>
    <row r="11640" spans="1:8" ht="15.75" customHeight="1" x14ac:dyDescent="0.25">
      <c r="D11640" s="4"/>
      <c r="H11640" s="4"/>
    </row>
    <row r="11641" spans="1:8" ht="15.75" customHeight="1" x14ac:dyDescent="0.25">
      <c r="D11641" s="4"/>
      <c r="H11641" s="4"/>
    </row>
    <row r="11642" spans="1:8" ht="15.75" customHeight="1" x14ac:dyDescent="0.25">
      <c r="D11642" s="4"/>
      <c r="H11642" s="4"/>
    </row>
    <row r="11643" spans="1:8" ht="15.75" customHeight="1" x14ac:dyDescent="0.25">
      <c r="D11643" s="4"/>
      <c r="H11643" s="4"/>
    </row>
    <row r="11644" spans="1:8" ht="15.75" customHeight="1" x14ac:dyDescent="0.25">
      <c r="D11644" s="4"/>
      <c r="H11644" s="4"/>
    </row>
    <row r="11645" spans="1:8" ht="15.75" customHeight="1" x14ac:dyDescent="0.25">
      <c r="D11645" s="4"/>
      <c r="H11645" s="4"/>
    </row>
    <row r="11646" spans="1:8" ht="15.75" customHeight="1" x14ac:dyDescent="0.25">
      <c r="A11646" s="8" t="s">
        <v>14</v>
      </c>
      <c r="B11646" s="8"/>
      <c r="C11646" s="8"/>
      <c r="D11646" s="8"/>
      <c r="E11646" s="8"/>
      <c r="F11646" s="8"/>
      <c r="G11646" s="8"/>
      <c r="H11646" s="8"/>
    </row>
    <row r="11647" spans="1:8" ht="15.75" customHeight="1" x14ac:dyDescent="0.25">
      <c r="A11647" s="388"/>
      <c r="B11647" s="388"/>
      <c r="C11647" s="388"/>
      <c r="D11647" s="389"/>
      <c r="E11647" s="388"/>
      <c r="F11647" s="388"/>
      <c r="G11647" s="388"/>
      <c r="H11647" s="8"/>
    </row>
    <row r="11648" spans="1:8" ht="15.75" customHeight="1" x14ac:dyDescent="0.25">
      <c r="A11648" s="390"/>
      <c r="B11648" s="390"/>
      <c r="C11648" s="390"/>
      <c r="D11648" s="391"/>
      <c r="E11648" s="390"/>
      <c r="F11648" s="395" t="s">
        <v>18</v>
      </c>
      <c r="G11648" s="396" t="s">
        <v>1103</v>
      </c>
      <c r="H11648" s="397"/>
    </row>
    <row r="11649" spans="1:20" ht="15.75" customHeight="1" x14ac:dyDescent="0.25">
      <c r="A11649" s="390" t="s">
        <v>20</v>
      </c>
      <c r="B11649" s="390"/>
      <c r="C11649" s="390"/>
      <c r="D11649" s="391"/>
      <c r="E11649" s="390"/>
      <c r="F11649" s="395" t="s">
        <v>21</v>
      </c>
      <c r="G11649" s="390" t="s">
        <v>1470</v>
      </c>
      <c r="H11649" s="391"/>
    </row>
    <row r="11650" spans="1:20" ht="15.75" customHeight="1" x14ac:dyDescent="0.25">
      <c r="A11650" s="390" t="inlineStr">
        <is>
          <t>Dealer-004</t>
        </is>
      </c>
      <c r="B11650" s="390"/>
      <c r="C11650" s="390"/>
      <c r="D11650" s="398"/>
      <c r="E11650" s="390"/>
      <c r="F11650" s="391"/>
      <c r="G11650" s="390"/>
      <c r="H11650" s="394"/>
    </row>
    <row r="11651" spans="1:20" ht="15.75" customHeight="1" x14ac:dyDescent="0.25">
      <c r="A11651" s="390" t="inlineStr">
        <is>
          <t>Address line (redacted)</t>
        </is>
      </c>
      <c r="B11651" s="390"/>
      <c r="C11651" s="390"/>
      <c r="D11651" s="398"/>
      <c r="E11651" s="390"/>
      <c r="F11651" s="391"/>
      <c r="G11651" s="390"/>
      <c r="H11651" s="394"/>
    </row>
    <row r="11652" spans="1:20" ht="15.75" customHeight="1" x14ac:dyDescent="0.25">
      <c r="A11652" s="390" t="inlineStr">
        <is>
          <t>Address line (redacted)</t>
        </is>
      </c>
      <c r="B11652" s="390"/>
      <c r="C11652" s="390"/>
      <c r="D11652" s="391"/>
      <c r="E11652" s="393" t="s">
        <v>2295</v>
      </c>
      <c r="F11652" s="391"/>
      <c r="G11652" s="390"/>
      <c r="H11652" s="394"/>
    </row>
    <row r="11653" spans="1:20" ht="15.75" customHeight="1" x14ac:dyDescent="0.25">
      <c r="A11653" s="390"/>
      <c r="B11653" s="390"/>
      <c r="C11653" s="390"/>
      <c r="D11653" s="391"/>
      <c r="E11653" s="390"/>
      <c r="F11653" s="391"/>
      <c r="G11653" s="390"/>
      <c r="H11653" s="394"/>
      <c r="I11653" s="674"/>
      <c r="J11653" s="674"/>
      <c r="K11653" s="674"/>
      <c r="L11653" s="674"/>
      <c r="M11653" s="674"/>
      <c r="N11653" s="674"/>
      <c r="O11653" s="674"/>
      <c r="P11653" s="674"/>
      <c r="Q11653" s="674"/>
      <c r="R11653" s="674"/>
      <c r="S11653" s="674"/>
      <c r="T11653" s="674"/>
    </row>
    <row r="11654" spans="1:20" ht="15.75" customHeight="1" x14ac:dyDescent="0.25">
      <c r="A11654" s="607" t="inlineStr">
        <is>
          <t>Dealer-021</t>
        </is>
      </c>
      <c r="B11654" s="607"/>
      <c r="C11654" s="607"/>
      <c r="D11654" s="398"/>
      <c r="E11654" s="393" t="inlineStr">
        <is>
          <t>ATTN: Contact-006</t>
        </is>
      </c>
      <c r="F11654" s="398"/>
      <c r="G11654" s="393"/>
      <c r="H11654" s="606"/>
    </row>
    <row r="11655" spans="1:20" ht="15.75" customHeight="1" x14ac:dyDescent="0.25">
      <c r="A11655" s="2" t="inlineStr">
        <is>
          <t>Address line (redacted)</t>
        </is>
      </c>
      <c r="B11655" s="390"/>
      <c r="C11655" s="390"/>
      <c r="D11655" s="391"/>
      <c r="E11655" s="390"/>
      <c r="F11655" s="391"/>
      <c r="G11655" s="390"/>
      <c r="H11655" s="394"/>
    </row>
    <row r="11656" spans="1:20" ht="13.5" customHeight="1" x14ac:dyDescent="0.25">
      <c r="B11656" s="390"/>
      <c r="C11656" s="390"/>
      <c r="D11656" s="391"/>
      <c r="E11656" s="390"/>
      <c r="F11656" s="391"/>
      <c r="G11656" s="390"/>
      <c r="H11656" s="394"/>
    </row>
    <row r="11657" spans="1:20" ht="15.75" customHeight="1" x14ac:dyDescent="0.25">
      <c r="A11657" s="390" t="s">
        <v>30</v>
      </c>
      <c r="B11657" s="390"/>
      <c r="C11657" s="390"/>
      <c r="D11657" s="391"/>
      <c r="E11657" s="390"/>
      <c r="F11657" s="391"/>
      <c r="G11657" s="390"/>
      <c r="H11657" s="394"/>
    </row>
    <row r="11658" spans="1:20" ht="15.75" customHeight="1" x14ac:dyDescent="0.25">
      <c r="A11658" s="390"/>
      <c r="B11658" s="390"/>
      <c r="C11658" s="390"/>
      <c r="D11658" s="391"/>
      <c r="E11658" s="390"/>
      <c r="F11658" s="391"/>
      <c r="G11658" s="390"/>
      <c r="H11658" s="394"/>
    </row>
    <row r="11659" spans="1:20" ht="15.75" customHeight="1" x14ac:dyDescent="0.25">
      <c r="A11659" s="390" t="s">
        <v>716</v>
      </c>
      <c r="B11659" s="390"/>
      <c r="C11659" s="390"/>
      <c r="D11659" s="391"/>
      <c r="E11659" s="390"/>
      <c r="F11659" s="391"/>
      <c r="G11659" s="390"/>
      <c r="H11659" s="394"/>
    </row>
    <row r="11660" spans="1:20" ht="15.75" customHeight="1" x14ac:dyDescent="0.25">
      <c r="A11660" s="390" t="s">
        <v>717</v>
      </c>
      <c r="B11660" s="390"/>
      <c r="C11660" s="390"/>
      <c r="D11660" s="391"/>
      <c r="E11660" s="390"/>
      <c r="F11660" s="391"/>
      <c r="G11660" s="390"/>
      <c r="H11660" s="394"/>
    </row>
    <row r="11661" spans="1:20" ht="15.75" customHeight="1" x14ac:dyDescent="0.25">
      <c r="A11661" s="390"/>
      <c r="B11661" s="390"/>
      <c r="C11661" s="390"/>
      <c r="D11661" s="391"/>
      <c r="E11661" s="390"/>
      <c r="F11661" s="391"/>
      <c r="G11661" s="390"/>
      <c r="H11661" s="394"/>
    </row>
    <row r="11662" spans="1:20" ht="15.75" customHeight="1" x14ac:dyDescent="0.25">
      <c r="A11662" s="948" t="s">
        <v>33</v>
      </c>
      <c r="B11662" s="949" t="s">
        <v>6</v>
      </c>
      <c r="C11662" s="950"/>
      <c r="D11662" s="874" t="s">
        <v>37</v>
      </c>
      <c r="E11662" s="874" t="s">
        <v>38</v>
      </c>
      <c r="F11662" s="875" t="s">
        <v>7</v>
      </c>
      <c r="G11662" s="872" t="s">
        <v>43</v>
      </c>
      <c r="H11662" s="876" t="s">
        <v>44</v>
      </c>
    </row>
    <row r="11663" spans="1:20" ht="15.75" customHeight="1" x14ac:dyDescent="0.25">
      <c r="A11663" s="877"/>
      <c r="B11663" s="578"/>
      <c r="C11663" s="627"/>
      <c r="D11663" s="578"/>
      <c r="E11663" s="578"/>
      <c r="F11663" s="878"/>
      <c r="G11663" s="578"/>
      <c r="H11663" s="416"/>
    </row>
    <row r="11664" spans="1:20" ht="15.75" customHeight="1" x14ac:dyDescent="0.25">
      <c r="A11664" s="412"/>
      <c r="B11664" s="883" t="s">
        <v>2024</v>
      </c>
      <c r="C11664" s="883"/>
      <c r="D11664" s="879"/>
      <c r="E11664" s="10"/>
      <c r="F11664" s="415"/>
      <c r="G11664" s="415"/>
      <c r="H11664" s="416"/>
    </row>
    <row r="11665" spans="1:8" ht="15.75" customHeight="1" x14ac:dyDescent="0.25">
      <c r="A11665" s="412" t="s">
        <v>55</v>
      </c>
      <c r="B11665" s="10" t="s">
        <v>60</v>
      </c>
      <c r="C11665" s="422"/>
      <c r="D11665" s="981">
        <v>4</v>
      </c>
      <c r="E11665" s="981">
        <v>25</v>
      </c>
      <c r="F11665" s="415">
        <f t="shared" ref="F11665:F11667" si="414">+E11665*D11665</f>
      </c>
      <c r="G11665" s="415">
        <v>1</v>
      </c>
      <c r="H11665" s="416">
        <f t="shared" ref="H11665:H11667" si="415">+G11665*F11665</f>
      </c>
    </row>
    <row r="11666" spans="1:8" ht="15.75" customHeight="1" x14ac:dyDescent="0.25">
      <c r="A11666" s="412" t="s">
        <v>59</v>
      </c>
      <c r="B11666" s="10" t="s">
        <v>215</v>
      </c>
      <c r="C11666" s="422"/>
      <c r="D11666" s="981">
        <v>1</v>
      </c>
      <c r="E11666" s="981">
        <v>25</v>
      </c>
      <c r="F11666" s="415">
        <f t="shared" si="414"/>
      </c>
      <c r="G11666" s="415">
        <v>1</v>
      </c>
      <c r="H11666" s="416">
        <f t="shared" si="415"/>
      </c>
    </row>
    <row r="11667" spans="1:8" ht="15.75" customHeight="1" x14ac:dyDescent="0.25">
      <c r="A11667" s="412" t="s">
        <v>67</v>
      </c>
      <c r="B11667" s="10" t="s">
        <v>215</v>
      </c>
      <c r="C11667" s="422"/>
      <c r="D11667" s="588">
        <v>1</v>
      </c>
      <c r="E11667" s="981">
        <v>25</v>
      </c>
      <c r="F11667" s="415">
        <f t="shared" si="414"/>
      </c>
      <c r="G11667" s="415">
        <v>1</v>
      </c>
      <c r="H11667" s="416">
        <f t="shared" si="415"/>
      </c>
    </row>
    <row r="11668" spans="1:8" ht="15.75" customHeight="1" x14ac:dyDescent="0.25">
      <c r="A11668" s="412"/>
      <c r="B11668" s="883" t="s">
        <v>1356</v>
      </c>
      <c r="C11668" s="883"/>
      <c r="D11668" s="588"/>
      <c r="E11668" s="879"/>
      <c r="F11668" s="415"/>
      <c r="G11668" s="415"/>
      <c r="H11668" s="416"/>
    </row>
    <row r="11669" spans="1:8" ht="15.75" customHeight="1" x14ac:dyDescent="0.25">
      <c r="A11669" s="412" t="s">
        <v>485</v>
      </c>
      <c r="B11669" s="417" t="s">
        <v>2026</v>
      </c>
      <c r="C11669" s="422"/>
      <c r="D11669" s="626">
        <v>1</v>
      </c>
      <c r="E11669" s="879">
        <v>5</v>
      </c>
      <c r="F11669" s="593">
        <f t="shared" ref="F11669:F11683" si="416">+E11669*D11669</f>
      </c>
      <c r="G11669" s="415">
        <v>1</v>
      </c>
      <c r="H11669" s="416">
        <f t="shared" ref="H11669:H11684" si="417">+G11669*F11669</f>
      </c>
    </row>
    <row r="11670" spans="1:8" ht="15.75" customHeight="1" x14ac:dyDescent="0.25">
      <c r="A11670" s="412" t="s">
        <v>486</v>
      </c>
      <c r="B11670" s="417" t="s">
        <v>494</v>
      </c>
      <c r="C11670" s="422"/>
      <c r="D11670" s="626">
        <v>1</v>
      </c>
      <c r="E11670" s="879">
        <v>5</v>
      </c>
      <c r="F11670" s="593">
        <f t="shared" si="416"/>
      </c>
      <c r="G11670" s="415">
        <v>1</v>
      </c>
      <c r="H11670" s="416">
        <f t="shared" si="417"/>
      </c>
    </row>
    <row r="11671" spans="1:8" ht="15.75" customHeight="1" x14ac:dyDescent="0.25">
      <c r="A11671" s="412" t="s">
        <v>489</v>
      </c>
      <c r="B11671" s="417" t="s">
        <v>144</v>
      </c>
      <c r="C11671" s="422"/>
      <c r="D11671" s="626">
        <v>1</v>
      </c>
      <c r="E11671" s="879">
        <v>5</v>
      </c>
      <c r="F11671" s="593">
        <f t="shared" si="416"/>
      </c>
      <c r="G11671" s="415">
        <v>1</v>
      </c>
      <c r="H11671" s="416">
        <f t="shared" si="417"/>
      </c>
    </row>
    <row r="11672" spans="1:8" ht="15.75" customHeight="1" x14ac:dyDescent="0.25">
      <c r="A11672" s="412" t="s">
        <v>781</v>
      </c>
      <c r="B11672" s="417" t="s">
        <v>63</v>
      </c>
      <c r="C11672" s="422"/>
      <c r="D11672" s="626">
        <v>1</v>
      </c>
      <c r="E11672" s="879">
        <v>5</v>
      </c>
      <c r="F11672" s="593">
        <f t="shared" si="416"/>
      </c>
      <c r="G11672" s="415">
        <v>1</v>
      </c>
      <c r="H11672" s="416">
        <f t="shared" si="417"/>
      </c>
    </row>
    <row r="11673" spans="1:8" ht="15.75" customHeight="1" x14ac:dyDescent="0.25">
      <c r="A11673" s="412" t="s">
        <v>785</v>
      </c>
      <c r="B11673" s="417" t="s">
        <v>139</v>
      </c>
      <c r="C11673" s="422"/>
      <c r="D11673" s="626">
        <v>1</v>
      </c>
      <c r="E11673" s="879">
        <v>5</v>
      </c>
      <c r="F11673" s="593">
        <f t="shared" si="416"/>
      </c>
      <c r="G11673" s="415">
        <v>1</v>
      </c>
      <c r="H11673" s="416">
        <f t="shared" si="417"/>
      </c>
    </row>
    <row r="11674" spans="1:8" ht="15.75" customHeight="1" x14ac:dyDescent="0.25">
      <c r="A11674" s="412" t="s">
        <v>787</v>
      </c>
      <c r="B11674" s="982" t="s">
        <v>1298</v>
      </c>
      <c r="C11674" s="422"/>
      <c r="D11674" s="626">
        <v>1</v>
      </c>
      <c r="E11674" s="879">
        <v>5</v>
      </c>
      <c r="F11674" s="593">
        <f t="shared" si="416"/>
      </c>
      <c r="G11674" s="415">
        <v>1</v>
      </c>
      <c r="H11674" s="416">
        <f t="shared" si="417"/>
      </c>
    </row>
    <row r="11675" spans="1:8" ht="15.75" customHeight="1" x14ac:dyDescent="0.25">
      <c r="A11675" s="412" t="s">
        <v>790</v>
      </c>
      <c r="B11675" s="982" t="s">
        <v>126</v>
      </c>
      <c r="C11675" s="418"/>
      <c r="D11675" s="626">
        <v>1</v>
      </c>
      <c r="E11675" s="879">
        <v>5</v>
      </c>
      <c r="F11675" s="593">
        <f t="shared" si="416"/>
      </c>
      <c r="G11675" s="415">
        <v>1</v>
      </c>
      <c r="H11675" s="416">
        <f t="shared" si="417"/>
      </c>
    </row>
    <row r="11676" spans="1:8" ht="15.75" customHeight="1" x14ac:dyDescent="0.25">
      <c r="A11676" s="412" t="s">
        <v>792</v>
      </c>
      <c r="B11676" s="982" t="s">
        <v>618</v>
      </c>
      <c r="C11676" s="418"/>
      <c r="D11676" s="626">
        <v>1</v>
      </c>
      <c r="E11676" s="879">
        <v>5</v>
      </c>
      <c r="F11676" s="593">
        <f t="shared" si="416"/>
      </c>
      <c r="G11676" s="593">
        <v>1</v>
      </c>
      <c r="H11676" s="416">
        <f t="shared" si="417"/>
      </c>
    </row>
    <row r="11677" spans="1:8" ht="15.75" customHeight="1" x14ac:dyDescent="0.25">
      <c r="A11677" s="412" t="s">
        <v>796</v>
      </c>
      <c r="B11677" s="982" t="s">
        <v>138</v>
      </c>
      <c r="C11677" s="418"/>
      <c r="D11677" s="626">
        <v>1</v>
      </c>
      <c r="E11677" s="879">
        <v>5</v>
      </c>
      <c r="F11677" s="593">
        <f t="shared" si="416"/>
      </c>
      <c r="G11677" s="593">
        <v>1</v>
      </c>
      <c r="H11677" s="416">
        <f t="shared" si="417"/>
      </c>
    </row>
    <row r="11678" spans="1:8" ht="15.75" customHeight="1" x14ac:dyDescent="0.25">
      <c r="A11678" s="412" t="s">
        <v>1571</v>
      </c>
      <c r="B11678" s="982" t="s">
        <v>39</v>
      </c>
      <c r="C11678" s="418"/>
      <c r="D11678" s="626">
        <v>1</v>
      </c>
      <c r="E11678" s="879">
        <v>5</v>
      </c>
      <c r="F11678" s="593">
        <f t="shared" si="416"/>
      </c>
      <c r="G11678" s="593">
        <v>1</v>
      </c>
      <c r="H11678" s="416">
        <f t="shared" si="417"/>
      </c>
    </row>
    <row r="11679" spans="1:8" ht="15.75" customHeight="1" x14ac:dyDescent="0.25">
      <c r="A11679" s="412" t="s">
        <v>1572</v>
      </c>
      <c r="B11679" s="982" t="s">
        <v>52</v>
      </c>
      <c r="C11679" s="418"/>
      <c r="D11679" s="626">
        <v>1</v>
      </c>
      <c r="E11679" s="879">
        <v>5</v>
      </c>
      <c r="F11679" s="593">
        <f t="shared" si="416"/>
      </c>
      <c r="G11679" s="593">
        <v>1</v>
      </c>
      <c r="H11679" s="416">
        <f t="shared" si="417"/>
      </c>
    </row>
    <row r="11680" spans="1:8" ht="15.75" customHeight="1" x14ac:dyDescent="0.25">
      <c r="A11680" s="412" t="s">
        <v>1573</v>
      </c>
      <c r="B11680" s="982" t="s">
        <v>815</v>
      </c>
      <c r="C11680" s="418"/>
      <c r="D11680" s="626">
        <v>3</v>
      </c>
      <c r="E11680" s="879">
        <v>5</v>
      </c>
      <c r="F11680" s="593">
        <f t="shared" si="416"/>
      </c>
      <c r="G11680" s="593">
        <v>1</v>
      </c>
      <c r="H11680" s="416">
        <f t="shared" si="417"/>
      </c>
    </row>
    <row r="11681" spans="1:8" ht="15.75" customHeight="1" x14ac:dyDescent="0.25">
      <c r="A11681" s="412" t="s">
        <v>2138</v>
      </c>
      <c r="B11681" s="982" t="s">
        <v>125</v>
      </c>
      <c r="C11681" s="418"/>
      <c r="D11681" s="626">
        <v>1</v>
      </c>
      <c r="E11681" s="879">
        <v>5</v>
      </c>
      <c r="F11681" s="593">
        <f t="shared" si="416"/>
      </c>
      <c r="G11681" s="593">
        <v>1</v>
      </c>
      <c r="H11681" s="416">
        <f t="shared" si="417"/>
      </c>
    </row>
    <row r="11682" spans="1:8" ht="15.75" customHeight="1" x14ac:dyDescent="0.25">
      <c r="A11682" s="412" t="s">
        <v>2139</v>
      </c>
      <c r="B11682" s="982" t="s">
        <v>129</v>
      </c>
      <c r="C11682" s="418"/>
      <c r="D11682" s="626">
        <v>1</v>
      </c>
      <c r="E11682" s="879">
        <v>5</v>
      </c>
      <c r="F11682" s="593">
        <f t="shared" si="416"/>
      </c>
      <c r="G11682" s="593">
        <v>1</v>
      </c>
      <c r="H11682" s="416">
        <f t="shared" si="417"/>
      </c>
    </row>
    <row r="11683" spans="1:8" ht="15.75" customHeight="1" x14ac:dyDescent="0.25">
      <c r="A11683" s="412" t="s">
        <v>2140</v>
      </c>
      <c r="B11683" s="982" t="s">
        <v>1334</v>
      </c>
      <c r="C11683" s="418"/>
      <c r="D11683" s="588">
        <v>4</v>
      </c>
      <c r="E11683" s="879">
        <v>5</v>
      </c>
      <c r="F11683" s="593">
        <f t="shared" si="416"/>
      </c>
      <c r="G11683" s="593">
        <v>1</v>
      </c>
      <c r="H11683" s="416">
        <f t="shared" si="417"/>
      </c>
    </row>
    <row r="11684" spans="1:8" ht="15.75" customHeight="1" x14ac:dyDescent="0.25">
      <c r="A11684" s="412" t="s">
        <v>2299</v>
      </c>
      <c r="B11684" s="982" t="s">
        <v>1334</v>
      </c>
      <c r="C11684" s="418"/>
      <c r="D11684" s="588">
        <v>1</v>
      </c>
      <c r="E11684" s="981">
        <v>5</v>
      </c>
      <c r="F11684" s="593">
        <v>4</v>
      </c>
      <c r="G11684" s="593">
        <v>1</v>
      </c>
      <c r="H11684" s="416">
        <f t="shared" si="417"/>
      </c>
    </row>
    <row r="11685" spans="1:8" ht="15.75" customHeight="1" x14ac:dyDescent="0.25">
      <c r="A11685" s="412" t="s">
        <v>2300</v>
      </c>
      <c r="B11685" s="360" t="s">
        <v>1334</v>
      </c>
      <c r="C11685" s="418"/>
      <c r="D11685" s="588"/>
      <c r="E11685" s="981"/>
      <c r="F11685" s="415">
        <v>1</v>
      </c>
      <c r="G11685" s="940" t="s">
        <v>1856</v>
      </c>
      <c r="H11685" s="416"/>
    </row>
    <row r="11686" spans="1:8" ht="15.75" customHeight="1" x14ac:dyDescent="0.25">
      <c r="A11686" s="412" t="s">
        <v>2301</v>
      </c>
      <c r="B11686" s="353" t="s">
        <v>120</v>
      </c>
      <c r="C11686" s="418"/>
      <c r="D11686" s="626">
        <v>1</v>
      </c>
      <c r="E11686" s="879">
        <v>5</v>
      </c>
      <c r="F11686" s="593">
        <f>+E11686*D11686</f>
      </c>
      <c r="G11686" s="593">
        <v>1</v>
      </c>
      <c r="H11686" s="416">
        <f>+G11686*F11686</f>
      </c>
    </row>
    <row r="11687" spans="1:8" ht="15.75" customHeight="1" x14ac:dyDescent="0.25">
      <c r="A11687" s="894"/>
      <c r="B11687" s="983"/>
      <c r="C11687" s="895"/>
      <c r="D11687" s="593"/>
      <c r="E11687" s="593"/>
      <c r="F11687" s="593"/>
      <c r="G11687" s="593"/>
      <c r="H11687" s="931"/>
    </row>
    <row r="11688" spans="1:8" ht="15.75" customHeight="1" x14ac:dyDescent="0.25">
      <c r="A11688" s="877"/>
      <c r="B11688" s="688"/>
      <c r="C11688" s="896" t="s">
        <v>85</v>
      </c>
      <c r="D11688" s="401">
        <f>SUM(D11664:D11687)</f>
      </c>
      <c r="E11688" s="401"/>
      <c r="F11688" s="401">
        <f>SUM(F11665:F11687)</f>
      </c>
      <c r="G11688" s="661"/>
      <c r="H11688" s="661">
        <f>SUM(H11665:H11687)</f>
      </c>
    </row>
    <row r="11689" spans="1:8" ht="15.75" customHeight="1" x14ac:dyDescent="0.25">
      <c r="A11689" s="932"/>
      <c r="B11689" s="933"/>
      <c r="C11689" s="934"/>
      <c r="D11689" s="431"/>
      <c r="E11689" s="935"/>
      <c r="F11689" s="935"/>
      <c r="G11689" s="936"/>
      <c r="H11689" s="444"/>
    </row>
    <row r="11690" spans="1:8" ht="15.75" customHeight="1" x14ac:dyDescent="0.25">
      <c r="A11690" s="392" t="s">
        <v>913</v>
      </c>
      <c r="B11690" s="391"/>
      <c r="C11690" s="391"/>
      <c r="D11690" s="391"/>
      <c r="E11690" s="390"/>
      <c r="F11690" s="392"/>
      <c r="G11690" s="390"/>
      <c r="H11690" s="394"/>
    </row>
    <row r="11691" spans="1:8" ht="15.75" customHeight="1" x14ac:dyDescent="0.25">
      <c r="A11691" s="445"/>
      <c r="B11691" s="445"/>
      <c r="C11691" s="445"/>
      <c r="D11691" s="446"/>
      <c r="E11691" s="445"/>
      <c r="F11691" s="445"/>
      <c r="G11691" s="390"/>
      <c r="H11691" s="394"/>
    </row>
    <row r="11692" spans="1:8" ht="15.75" customHeight="1" x14ac:dyDescent="0.25">
      <c r="A11692" s="8" t="s">
        <v>14</v>
      </c>
      <c r="B11692" s="8"/>
      <c r="C11692" s="8"/>
      <c r="D11692" s="8"/>
      <c r="E11692" s="8"/>
      <c r="F11692" s="8"/>
      <c r="G11692" s="8"/>
      <c r="H11692" s="8"/>
    </row>
    <row r="11693" spans="1:8" ht="15.75" customHeight="1" x14ac:dyDescent="0.25">
      <c r="A11693" s="388"/>
      <c r="B11693" s="388"/>
      <c r="C11693" s="388"/>
      <c r="D11693" s="389"/>
      <c r="E11693" s="388"/>
      <c r="F11693" s="388"/>
      <c r="G11693" s="388"/>
      <c r="H11693" s="8"/>
    </row>
    <row r="11694" spans="1:8" ht="15.75" customHeight="1" x14ac:dyDescent="0.25">
      <c r="A11694" s="390"/>
      <c r="B11694" s="390"/>
      <c r="C11694" s="391"/>
      <c r="D11694" s="392"/>
      <c r="E11694" s="393"/>
      <c r="F11694" s="393"/>
      <c r="G11694" s="393"/>
      <c r="H11694" s="394"/>
    </row>
    <row r="11695" spans="1:8" ht="15.75" customHeight="1" x14ac:dyDescent="0.25">
      <c r="A11695" s="390"/>
      <c r="B11695" s="390"/>
      <c r="C11695" s="390"/>
      <c r="D11695" s="391"/>
      <c r="E11695" s="390"/>
      <c r="F11695" s="395" t="s">
        <v>18</v>
      </c>
      <c r="G11695" s="396" t="s">
        <v>1103</v>
      </c>
      <c r="H11695" s="397"/>
    </row>
    <row r="11696" spans="1:8" ht="15.75" customHeight="1" x14ac:dyDescent="0.25">
      <c r="A11696" s="390" t="s">
        <v>20</v>
      </c>
      <c r="B11696" s="390"/>
      <c r="C11696" s="390"/>
      <c r="D11696" s="391"/>
      <c r="E11696" s="390"/>
      <c r="F11696" s="395" t="s">
        <v>21</v>
      </c>
      <c r="G11696" s="390" t="s">
        <v>1470</v>
      </c>
      <c r="H11696" s="391"/>
    </row>
    <row r="11697" spans="1:8" ht="15.75" customHeight="1" x14ac:dyDescent="0.25">
      <c r="A11697" s="390" t="inlineStr">
        <is>
          <t>Dealer-004</t>
        </is>
      </c>
      <c r="B11697" s="390"/>
      <c r="C11697" s="390"/>
      <c r="D11697" s="398"/>
      <c r="E11697" s="390"/>
      <c r="F11697" s="391"/>
      <c r="G11697" s="390"/>
      <c r="H11697" s="394"/>
    </row>
    <row r="11698" spans="1:8" ht="15.75" customHeight="1" x14ac:dyDescent="0.25">
      <c r="A11698" s="390" t="inlineStr">
        <is>
          <t>Address line (redacted)</t>
        </is>
      </c>
      <c r="B11698" s="390"/>
      <c r="C11698" s="390"/>
      <c r="D11698" s="398"/>
      <c r="E11698" s="393" t="s">
        <v>2289</v>
      </c>
      <c r="F11698" s="391"/>
      <c r="G11698" s="390"/>
      <c r="H11698" s="394"/>
    </row>
    <row r="11699" spans="1:8" ht="15.75" customHeight="1" x14ac:dyDescent="0.25">
      <c r="A11699" s="390" t="inlineStr">
        <is>
          <t>Address line (redacted)</t>
        </is>
      </c>
      <c r="B11699" s="390"/>
      <c r="C11699" s="390"/>
      <c r="D11699" s="391"/>
      <c r="E11699" s="390"/>
      <c r="F11699" s="391"/>
      <c r="G11699" s="390"/>
      <c r="H11699" s="394"/>
    </row>
    <row r="11700" spans="1:8" ht="15.75" customHeight="1" x14ac:dyDescent="0.25">
      <c r="A11700" s="390"/>
      <c r="B11700" s="390"/>
      <c r="C11700" s="390"/>
      <c r="D11700" s="391"/>
      <c r="E11700" s="390"/>
      <c r="F11700" s="391"/>
      <c r="G11700" s="390"/>
      <c r="H11700" s="394"/>
    </row>
    <row r="11701" spans="1:8" ht="15.75" customHeight="1" x14ac:dyDescent="0.25">
      <c r="A11701" s="607" t="inlineStr">
        <is>
          <t>Dealer-021</t>
        </is>
      </c>
      <c r="B11701" s="607"/>
      <c r="C11701" s="607"/>
      <c r="D11701" s="398"/>
      <c r="E11701" s="393" t="inlineStr">
        <is>
          <t>ATTN: Contact-006</t>
        </is>
      </c>
      <c r="F11701" s="398"/>
      <c r="G11701" s="393"/>
      <c r="H11701" s="606"/>
    </row>
    <row r="11702" spans="1:8" ht="15.75" customHeight="1" x14ac:dyDescent="0.25">
      <c r="A11702" s="2" t="inlineStr">
        <is>
          <t>Address line (redacted)</t>
        </is>
      </c>
      <c r="B11702" s="390"/>
      <c r="C11702" s="390"/>
      <c r="D11702" s="391"/>
      <c r="E11702" s="390"/>
      <c r="F11702" s="391"/>
      <c r="G11702" s="390"/>
      <c r="H11702" s="394"/>
    </row>
    <row r="11703" spans="1:8" ht="15.75" customHeight="1" x14ac:dyDescent="0.25">
      <c r="B11703" s="390"/>
      <c r="C11703" s="390"/>
      <c r="D11703" s="391"/>
      <c r="E11703" s="390"/>
      <c r="F11703" s="391"/>
      <c r="G11703" s="390"/>
      <c r="H11703" s="394"/>
    </row>
    <row r="11704" spans="1:8" ht="15.75" customHeight="1" x14ac:dyDescent="0.25">
      <c r="A11704" s="390" t="s">
        <v>30</v>
      </c>
      <c r="B11704" s="390"/>
      <c r="C11704" s="390"/>
      <c r="D11704" s="391"/>
      <c r="E11704" s="390"/>
      <c r="F11704" s="391"/>
      <c r="G11704" s="390"/>
      <c r="H11704" s="394"/>
    </row>
    <row r="11705" spans="1:8" ht="15.75" customHeight="1" x14ac:dyDescent="0.25">
      <c r="A11705" s="390"/>
      <c r="B11705" s="390"/>
      <c r="C11705" s="390"/>
      <c r="D11705" s="391"/>
      <c r="E11705" s="390"/>
      <c r="F11705" s="391"/>
      <c r="G11705" s="390"/>
      <c r="H11705" s="394"/>
    </row>
    <row r="11706" spans="1:8" ht="15.75" customHeight="1" x14ac:dyDescent="0.25">
      <c r="A11706" s="390" t="s">
        <v>716</v>
      </c>
      <c r="B11706" s="390"/>
      <c r="C11706" s="390"/>
      <c r="D11706" s="391"/>
      <c r="E11706" s="390"/>
      <c r="F11706" s="391"/>
      <c r="G11706" s="390"/>
      <c r="H11706" s="394"/>
    </row>
    <row r="11707" spans="1:8" ht="15.75" customHeight="1" x14ac:dyDescent="0.25">
      <c r="A11707" s="390" t="s">
        <v>717</v>
      </c>
      <c r="B11707" s="390"/>
      <c r="C11707" s="390"/>
      <c r="D11707" s="391"/>
      <c r="E11707" s="390"/>
      <c r="F11707" s="391"/>
      <c r="G11707" s="390"/>
      <c r="H11707" s="394"/>
    </row>
    <row r="11708" spans="1:8" ht="15.75" customHeight="1" x14ac:dyDescent="0.25">
      <c r="A11708" s="390"/>
      <c r="B11708" s="390"/>
      <c r="C11708" s="390"/>
      <c r="D11708" s="391"/>
      <c r="E11708" s="390"/>
      <c r="F11708" s="391"/>
      <c r="G11708" s="390"/>
      <c r="H11708" s="394"/>
    </row>
    <row r="11709" spans="1:8" ht="15.75" customHeight="1" x14ac:dyDescent="0.25">
      <c r="A11709" s="948" t="s">
        <v>33</v>
      </c>
      <c r="B11709" s="949" t="s">
        <v>6</v>
      </c>
      <c r="C11709" s="950"/>
      <c r="D11709" s="874" t="s">
        <v>37</v>
      </c>
      <c r="E11709" s="874" t="s">
        <v>38</v>
      </c>
      <c r="F11709" s="875" t="s">
        <v>7</v>
      </c>
      <c r="G11709" s="872" t="s">
        <v>43</v>
      </c>
      <c r="H11709" s="876" t="s">
        <v>44</v>
      </c>
    </row>
    <row r="11710" spans="1:8" ht="15.75" customHeight="1" x14ac:dyDescent="0.25">
      <c r="A11710" s="877"/>
      <c r="B11710" s="578"/>
      <c r="C11710" s="627"/>
      <c r="D11710" s="578"/>
      <c r="E11710" s="578"/>
      <c r="F11710" s="878"/>
      <c r="G11710" s="578"/>
      <c r="H11710" s="416"/>
    </row>
    <row r="11711" spans="1:8" ht="15.75" customHeight="1" x14ac:dyDescent="0.25">
      <c r="A11711" s="412"/>
      <c r="B11711" s="883" t="s">
        <v>1754</v>
      </c>
      <c r="C11711" s="883"/>
      <c r="D11711" s="626"/>
      <c r="E11711" s="951"/>
      <c r="F11711" s="593"/>
      <c r="G11711" s="593"/>
      <c r="H11711" s="416"/>
    </row>
    <row r="11712" spans="1:8" ht="15.75" customHeight="1" x14ac:dyDescent="0.25">
      <c r="A11712" s="412" t="s">
        <v>2302</v>
      </c>
      <c r="B11712" s="984" t="s">
        <v>2028</v>
      </c>
      <c r="C11712" s="418"/>
      <c r="D11712" s="626">
        <v>1</v>
      </c>
      <c r="E11712" s="951">
        <v>10</v>
      </c>
      <c r="F11712" s="593">
        <f t="shared" ref="F11712:F11716" si="418">+E11712*D11712</f>
      </c>
      <c r="G11712" s="593">
        <v>1</v>
      </c>
      <c r="H11712" s="416">
        <f t="shared" ref="H11712:H11716" si="419">+G11712*F11712</f>
      </c>
    </row>
    <row r="11713" spans="1:8" ht="15.75" customHeight="1" x14ac:dyDescent="0.25">
      <c r="A11713" s="412" t="s">
        <v>2303</v>
      </c>
      <c r="B11713" s="984" t="s">
        <v>2029</v>
      </c>
      <c r="C11713" s="418"/>
      <c r="D11713" s="626">
        <v>2</v>
      </c>
      <c r="E11713" s="951">
        <v>10</v>
      </c>
      <c r="F11713" s="593">
        <f t="shared" si="418"/>
      </c>
      <c r="G11713" s="593">
        <v>1</v>
      </c>
      <c r="H11713" s="416">
        <f t="shared" si="419"/>
      </c>
    </row>
    <row r="11714" spans="1:8" ht="15.75" customHeight="1" x14ac:dyDescent="0.25">
      <c r="A11714" s="412" t="s">
        <v>2304</v>
      </c>
      <c r="B11714" s="984" t="s">
        <v>2030</v>
      </c>
      <c r="C11714" s="418"/>
      <c r="D11714" s="626">
        <v>1</v>
      </c>
      <c r="E11714" s="951">
        <v>10</v>
      </c>
      <c r="F11714" s="593">
        <f t="shared" si="418"/>
      </c>
      <c r="G11714" s="593">
        <v>1</v>
      </c>
      <c r="H11714" s="416">
        <f t="shared" si="419"/>
      </c>
    </row>
    <row r="11715" spans="1:8" ht="15.75" customHeight="1" x14ac:dyDescent="0.25">
      <c r="A11715" s="412" t="s">
        <v>2305</v>
      </c>
      <c r="B11715" s="984" t="s">
        <v>2031</v>
      </c>
      <c r="C11715" s="418"/>
      <c r="D11715" s="626">
        <v>1</v>
      </c>
      <c r="E11715" s="951">
        <v>10</v>
      </c>
      <c r="F11715" s="593">
        <f t="shared" si="418"/>
      </c>
      <c r="G11715" s="593">
        <v>1</v>
      </c>
      <c r="H11715" s="416">
        <f t="shared" si="419"/>
      </c>
    </row>
    <row r="11716" spans="1:8" ht="15.75" customHeight="1" x14ac:dyDescent="0.25">
      <c r="A11716" s="412" t="s">
        <v>2306</v>
      </c>
      <c r="B11716" s="984" t="s">
        <v>2032</v>
      </c>
      <c r="C11716" s="418"/>
      <c r="D11716" s="626">
        <v>1</v>
      </c>
      <c r="E11716" s="951">
        <v>10</v>
      </c>
      <c r="F11716" s="593">
        <f t="shared" si="418"/>
      </c>
      <c r="G11716" s="593">
        <v>1</v>
      </c>
      <c r="H11716" s="416">
        <f t="shared" si="419"/>
      </c>
    </row>
    <row r="11717" spans="1:8" ht="15.75" customHeight="1" x14ac:dyDescent="0.25">
      <c r="A11717" s="412"/>
      <c r="B11717" s="984"/>
      <c r="C11717" s="418"/>
      <c r="D11717" s="626"/>
      <c r="E11717" s="951"/>
      <c r="F11717" s="593"/>
      <c r="G11717" s="593"/>
      <c r="H11717" s="416"/>
    </row>
    <row r="11718" spans="1:8" ht="15.75" customHeight="1" x14ac:dyDescent="0.25">
      <c r="A11718" s="412"/>
      <c r="B11718" s="883" t="s">
        <v>1782</v>
      </c>
      <c r="C11718" s="883"/>
      <c r="D11718" s="626"/>
      <c r="E11718" s="951"/>
      <c r="F11718" s="593"/>
      <c r="G11718" s="593"/>
      <c r="H11718" s="416"/>
    </row>
    <row r="11719" spans="1:8" ht="15.75" customHeight="1" x14ac:dyDescent="0.25">
      <c r="A11719" s="412" t="s">
        <v>2307</v>
      </c>
      <c r="B11719" s="984" t="s">
        <v>2033</v>
      </c>
      <c r="C11719" s="418"/>
      <c r="D11719" s="626">
        <v>1</v>
      </c>
      <c r="E11719" s="951">
        <v>10</v>
      </c>
      <c r="F11719" s="593">
        <f t="shared" ref="F11719:F11720" si="420">+E11719*D11719</f>
      </c>
      <c r="G11719" s="593">
        <v>1</v>
      </c>
      <c r="H11719" s="416">
        <f t="shared" ref="H11719:H11720" si="421">+G11719*F11719</f>
      </c>
    </row>
    <row r="11720" spans="1:8" ht="15.75" customHeight="1" x14ac:dyDescent="0.25">
      <c r="A11720" s="412" t="s">
        <v>2308</v>
      </c>
      <c r="B11720" s="984" t="s">
        <v>2034</v>
      </c>
      <c r="C11720" s="418"/>
      <c r="D11720" s="626">
        <v>1</v>
      </c>
      <c r="E11720" s="951">
        <v>10</v>
      </c>
      <c r="F11720" s="593">
        <f t="shared" si="420"/>
      </c>
      <c r="G11720" s="593">
        <v>1</v>
      </c>
      <c r="H11720" s="416">
        <f t="shared" si="421"/>
      </c>
    </row>
    <row r="11721" spans="1:8" ht="15.75" customHeight="1" x14ac:dyDescent="0.25">
      <c r="A11721" s="412"/>
      <c r="B11721" s="883" t="s">
        <v>590</v>
      </c>
      <c r="C11721" s="883"/>
      <c r="D11721" s="626"/>
      <c r="E11721" s="951"/>
      <c r="F11721" s="593"/>
      <c r="G11721" s="593"/>
      <c r="H11721" s="416"/>
    </row>
    <row r="11722" spans="1:8" ht="15.75" customHeight="1" x14ac:dyDescent="0.25">
      <c r="A11722" s="985" t="s">
        <v>2309</v>
      </c>
      <c r="B11722" s="913" t="s">
        <v>301</v>
      </c>
      <c r="C11722" s="913" t="s">
        <v>363</v>
      </c>
      <c r="D11722" s="986">
        <v>1</v>
      </c>
      <c r="E11722" s="987">
        <v>6</v>
      </c>
      <c r="F11722" s="988">
        <f t="shared" ref="F11722:F11725" si="422">+E11722*D11722</f>
      </c>
      <c r="G11722" s="988">
        <v>1</v>
      </c>
      <c r="H11722" s="989">
        <f t="shared" ref="H11722:H11725" si="423">+G11722*F11722</f>
      </c>
    </row>
    <row r="11723" spans="1:8" ht="15.75" customHeight="1" x14ac:dyDescent="0.25">
      <c r="A11723" s="985" t="s">
        <v>2310</v>
      </c>
      <c r="B11723" s="990" t="s">
        <v>199</v>
      </c>
      <c r="C11723" s="913" t="s">
        <v>369</v>
      </c>
      <c r="D11723" s="986">
        <v>2</v>
      </c>
      <c r="E11723" s="987">
        <v>6</v>
      </c>
      <c r="F11723" s="988">
        <f t="shared" si="422"/>
      </c>
      <c r="G11723" s="988">
        <v>1</v>
      </c>
      <c r="H11723" s="989">
        <f t="shared" si="423"/>
      </c>
    </row>
    <row r="11724" spans="1:8" ht="15.75" customHeight="1" x14ac:dyDescent="0.25">
      <c r="A11724" s="985" t="s">
        <v>2311</v>
      </c>
      <c r="B11724" s="913" t="s">
        <v>1301</v>
      </c>
      <c r="C11724" s="913" t="s">
        <v>372</v>
      </c>
      <c r="D11724" s="986">
        <v>2</v>
      </c>
      <c r="E11724" s="987">
        <v>6</v>
      </c>
      <c r="F11724" s="988">
        <f t="shared" si="422"/>
      </c>
      <c r="G11724" s="988">
        <v>1</v>
      </c>
      <c r="H11724" s="989">
        <f t="shared" si="423"/>
      </c>
    </row>
    <row r="11725" spans="1:8" ht="15.75" customHeight="1" x14ac:dyDescent="0.25">
      <c r="A11725" s="985" t="s">
        <v>2312</v>
      </c>
      <c r="B11725" s="990" t="s">
        <v>213</v>
      </c>
      <c r="C11725" s="913" t="s">
        <v>384</v>
      </c>
      <c r="D11725" s="986">
        <v>1</v>
      </c>
      <c r="E11725" s="987">
        <v>6</v>
      </c>
      <c r="F11725" s="988">
        <f t="shared" si="422"/>
      </c>
      <c r="G11725" s="988">
        <v>1</v>
      </c>
      <c r="H11725" s="989">
        <f t="shared" si="423"/>
      </c>
    </row>
    <row r="11726" spans="1:8" ht="15.75" customHeight="1" x14ac:dyDescent="0.25">
      <c r="A11726" s="985"/>
      <c r="B11726" s="991"/>
      <c r="C11726" s="990"/>
      <c r="D11726" s="986"/>
      <c r="E11726" s="986"/>
      <c r="F11726" s="992"/>
      <c r="G11726" s="988"/>
      <c r="H11726" s="989"/>
    </row>
    <row r="11727" spans="1:8" ht="15.75" customHeight="1" x14ac:dyDescent="0.25">
      <c r="A11727" s="412"/>
      <c r="B11727" s="982"/>
      <c r="C11727" s="418"/>
      <c r="D11727" s="626"/>
      <c r="E11727" s="930"/>
      <c r="F11727" s="415"/>
      <c r="G11727" s="593"/>
      <c r="H11727" s="416"/>
    </row>
    <row r="11728" spans="1:8" ht="15.75" customHeight="1" x14ac:dyDescent="0.25">
      <c r="A11728" s="412"/>
      <c r="B11728" s="982"/>
      <c r="C11728" s="418"/>
      <c r="D11728" s="415"/>
      <c r="E11728" s="415"/>
      <c r="F11728" s="415"/>
      <c r="G11728" s="593"/>
      <c r="H11728" s="416"/>
    </row>
    <row r="11729" spans="1:8" ht="15.75" customHeight="1" x14ac:dyDescent="0.25">
      <c r="A11729" s="894"/>
      <c r="B11729" s="983"/>
      <c r="C11729" s="895"/>
      <c r="D11729" s="593"/>
      <c r="E11729" s="593"/>
      <c r="F11729" s="593"/>
      <c r="G11729" s="593"/>
      <c r="H11729" s="931"/>
    </row>
    <row r="11730" spans="1:8" ht="15.75" customHeight="1" x14ac:dyDescent="0.25">
      <c r="A11730" s="877"/>
      <c r="B11730" s="688"/>
      <c r="C11730" s="896" t="s">
        <v>85</v>
      </c>
      <c r="D11730" s="401">
        <f>+D11729+D11728+D11727+D11726+D11725+D11724+D11723+D11722+D11721+D11720+D11719+D11718+D11717+D11716+D11715+D11714+D11713+D11712+D11711+D11688</f>
      </c>
      <c r="E11730" s="401"/>
      <c r="F11730" s="401">
        <f>+F11729+F11728+F11727+F11726+F11725+F11724+F11723+F11722+F11721+F11720+F11719+F11718+F11717+F11716+F11715+F11714+F11713+F11712+F11711+F11688</f>
      </c>
      <c r="G11730" s="661"/>
      <c r="H11730" s="661">
        <f>+H11729+H11728+H11727+H11726+H11725+H11724+H11723+H11722+H11721+H11720+H11719+H11718+H11717+H11716+H11715+H11714+H11713+H11712+H11711+H11688</f>
      </c>
    </row>
    <row r="11731" spans="1:8" ht="15.75" customHeight="1" x14ac:dyDescent="0.25">
      <c r="A11731" s="932"/>
      <c r="B11731" s="933"/>
      <c r="C11731" s="934"/>
      <c r="D11731" s="431"/>
      <c r="E11731" s="935"/>
      <c r="F11731" s="935"/>
      <c r="G11731" s="936"/>
      <c r="H11731" s="444"/>
    </row>
    <row r="11732" spans="1:8" ht="15.75" customHeight="1" x14ac:dyDescent="0.25">
      <c r="A11732" s="392" t="s">
        <v>913</v>
      </c>
      <c r="B11732" s="391"/>
      <c r="C11732" s="391"/>
      <c r="D11732" s="391"/>
      <c r="E11732" s="390"/>
      <c r="F11732" s="392"/>
      <c r="G11732" s="390"/>
      <c r="H11732" s="394"/>
    </row>
    <row r="11733" spans="1:8" ht="15.75" customHeight="1" x14ac:dyDescent="0.25">
      <c r="A11733" s="445"/>
      <c r="B11733" s="445"/>
      <c r="C11733" s="445"/>
      <c r="D11733" s="446" t="s">
        <v>97</v>
      </c>
      <c r="E11733" s="445" t="s">
        <v>98</v>
      </c>
      <c r="F11733" s="445"/>
      <c r="G11733" s="390"/>
      <c r="H11733" s="394"/>
    </row>
    <row r="11734" spans="1:8" ht="15.75" customHeight="1" x14ac:dyDescent="0.25">
      <c r="A11734" s="390"/>
      <c r="B11734" s="390"/>
      <c r="C11734" s="390"/>
      <c r="D11734" s="391"/>
      <c r="E11734" s="390"/>
      <c r="F11734" s="390"/>
      <c r="G11734" s="390"/>
      <c r="H11734" s="394"/>
    </row>
    <row r="11735" spans="1:8" ht="15.75" customHeight="1" x14ac:dyDescent="0.25">
      <c r="A11735" s="390"/>
      <c r="B11735" s="390"/>
      <c r="C11735" s="390"/>
      <c r="D11735" s="391"/>
      <c r="E11735" s="390"/>
      <c r="F11735" s="390"/>
      <c r="G11735" s="390"/>
      <c r="H11735" s="394"/>
    </row>
    <row r="11736" spans="1:8" ht="15.75" customHeight="1" x14ac:dyDescent="0.25">
      <c r="A11736" s="445"/>
      <c r="B11736" s="445"/>
      <c r="C11736" s="445"/>
      <c r="D11736" s="446"/>
      <c r="E11736" s="445" t="s">
        <v>99</v>
      </c>
      <c r="F11736" s="445"/>
      <c r="G11736" s="390"/>
      <c r="H11736" s="394"/>
    </row>
    <row r="11737" spans="1:8" ht="15.75" customHeight="1" x14ac:dyDescent="0.25">
      <c r="A11737" s="445"/>
      <c r="B11737" s="445"/>
      <c r="C11737" s="445"/>
      <c r="D11737" s="446"/>
      <c r="E11737" s="445"/>
      <c r="F11737" s="445"/>
      <c r="G11737" s="390"/>
      <c r="H11737" s="394"/>
    </row>
    <row r="11738" spans="1:8" ht="15.75" customHeight="1" x14ac:dyDescent="0.25">
      <c r="A11738" s="8" t="s">
        <v>14</v>
      </c>
      <c r="B11738" s="8"/>
      <c r="C11738" s="8"/>
      <c r="D11738" s="8"/>
      <c r="E11738" s="8"/>
      <c r="F11738" s="8"/>
      <c r="G11738" s="8"/>
      <c r="H11738" s="8"/>
    </row>
    <row r="11739" spans="1:8" ht="15.75" customHeight="1" x14ac:dyDescent="0.25">
      <c r="A11739" s="388"/>
      <c r="B11739" s="388"/>
      <c r="C11739" s="388"/>
      <c r="D11739" s="389"/>
      <c r="E11739" s="388"/>
      <c r="F11739" s="388"/>
      <c r="G11739" s="388"/>
      <c r="H11739" s="8"/>
    </row>
    <row r="11740" spans="1:8" ht="15.75" customHeight="1" x14ac:dyDescent="0.25">
      <c r="A11740" s="390"/>
      <c r="B11740" s="390"/>
      <c r="D11740" s="392"/>
      <c r="E11740" s="393"/>
      <c r="F11740" s="393"/>
      <c r="G11740" s="393"/>
      <c r="H11740" s="394"/>
    </row>
    <row r="11741" spans="1:8" ht="15.75" customHeight="1" x14ac:dyDescent="0.25">
      <c r="A11741" s="390"/>
      <c r="B11741" s="390"/>
      <c r="C11741" s="390"/>
      <c r="D11741" s="391"/>
      <c r="E11741" s="390"/>
      <c r="F11741" s="395" t="s">
        <v>18</v>
      </c>
      <c r="G11741" s="396" t="s">
        <v>1105</v>
      </c>
      <c r="H11741" s="397"/>
    </row>
    <row r="11742" spans="1:8" ht="15.75" customHeight="1" x14ac:dyDescent="0.25">
      <c r="A11742" s="390" t="s">
        <v>20</v>
      </c>
      <c r="B11742" s="390"/>
      <c r="D11742" s="391"/>
      <c r="E11742" s="390"/>
      <c r="F11742" s="395" t="s">
        <v>21</v>
      </c>
      <c r="G11742" s="390" t="s">
        <v>1379</v>
      </c>
      <c r="H11742" s="391"/>
    </row>
    <row r="11743" spans="1:8" ht="15.75" customHeight="1" x14ac:dyDescent="0.25">
      <c r="A11743" s="390" t="inlineStr">
        <is>
          <t>Dealer-009</t>
        </is>
      </c>
      <c r="B11743" s="390"/>
      <c r="C11743" s="390" t="inlineStr">
        <is>
          <t>ATTN: Contact-001</t>
        </is>
      </c>
      <c r="D11743" s="398"/>
      <c r="E11743" s="390"/>
      <c r="F11743" s="391"/>
      <c r="G11743" s="390"/>
      <c r="H11743" s="394"/>
    </row>
    <row r="11744" spans="1:8" ht="15.75" customHeight="1" x14ac:dyDescent="0.25">
      <c r="A11744" s="390" t="inlineStr">
        <is>
          <t>Address line (redacted)</t>
        </is>
      </c>
      <c r="B11744" s="390"/>
      <c r="C11744" s="390"/>
      <c r="D11744" s="398"/>
      <c r="E11744" s="390"/>
      <c r="F11744" s="391"/>
      <c r="G11744" s="390"/>
      <c r="H11744" s="394"/>
    </row>
    <row r="11745" spans="1:8" ht="15.75" customHeight="1" x14ac:dyDescent="0.25">
      <c r="A11745" s="390" t="inlineStr">
        <is>
          <t>Address line (redacted)</t>
        </is>
      </c>
      <c r="B11745" s="390"/>
      <c r="C11745" s="390"/>
      <c r="D11745" s="391"/>
      <c r="E11745" s="390"/>
      <c r="F11745" s="391"/>
      <c r="G11745" s="390"/>
      <c r="H11745" s="394"/>
    </row>
    <row r="11746" spans="1:8" ht="15.75" customHeight="1" x14ac:dyDescent="0.25">
      <c r="A11746" s="390"/>
      <c r="B11746" s="390"/>
      <c r="C11746" s="390"/>
      <c r="D11746" s="391"/>
      <c r="E11746" s="390"/>
      <c r="F11746" s="391"/>
      <c r="G11746" s="390"/>
      <c r="H11746" s="394"/>
    </row>
    <row r="11747" spans="1:8" ht="15.75" customHeight="1" x14ac:dyDescent="0.25">
      <c r="A11747" s="390" t="s">
        <v>30</v>
      </c>
      <c r="B11747" s="390"/>
      <c r="C11747" s="390"/>
      <c r="D11747" s="391"/>
      <c r="E11747" s="390"/>
      <c r="F11747" s="391"/>
      <c r="G11747" s="390"/>
      <c r="H11747" s="394"/>
    </row>
    <row r="11748" spans="1:8" ht="15.75" customHeight="1" x14ac:dyDescent="0.25">
      <c r="A11748" s="390"/>
      <c r="B11748" s="390"/>
      <c r="C11748" s="390"/>
      <c r="D11748" s="391"/>
      <c r="E11748" s="390"/>
      <c r="F11748" s="391"/>
      <c r="G11748" s="390"/>
      <c r="H11748" s="394"/>
    </row>
    <row r="11749" spans="1:8" ht="15.75" customHeight="1" x14ac:dyDescent="0.25">
      <c r="A11749" s="390" t="s">
        <v>716</v>
      </c>
      <c r="B11749" s="390"/>
      <c r="C11749" s="390"/>
      <c r="D11749" s="391"/>
      <c r="E11749" s="390"/>
      <c r="F11749" s="391"/>
      <c r="G11749" s="390"/>
      <c r="H11749" s="394"/>
    </row>
    <row r="11750" spans="1:8" ht="15.75" customHeight="1" x14ac:dyDescent="0.25">
      <c r="A11750" s="390" t="s">
        <v>717</v>
      </c>
      <c r="B11750" s="390"/>
      <c r="C11750" s="390"/>
      <c r="D11750" s="391"/>
      <c r="E11750" s="390"/>
      <c r="F11750" s="391"/>
      <c r="G11750" s="390"/>
      <c r="H11750" s="394"/>
    </row>
    <row r="11751" spans="1:8" ht="15.75" customHeight="1" x14ac:dyDescent="0.25">
      <c r="A11751" s="390"/>
      <c r="B11751" s="390"/>
      <c r="C11751" s="390"/>
      <c r="D11751" s="391"/>
      <c r="E11751" s="390"/>
      <c r="F11751" s="391"/>
      <c r="G11751" s="390"/>
      <c r="H11751" s="394"/>
    </row>
    <row r="11752" spans="1:8" ht="15.75" customHeight="1" x14ac:dyDescent="0.25">
      <c r="A11752" s="948" t="s">
        <v>33</v>
      </c>
      <c r="B11752" s="949" t="s">
        <v>6</v>
      </c>
      <c r="C11752" s="950"/>
      <c r="D11752" s="874" t="s">
        <v>37</v>
      </c>
      <c r="E11752" s="874" t="s">
        <v>38</v>
      </c>
      <c r="F11752" s="875" t="s">
        <v>7</v>
      </c>
      <c r="G11752" s="872" t="s">
        <v>43</v>
      </c>
      <c r="H11752" s="876" t="s">
        <v>44</v>
      </c>
    </row>
    <row r="11753" spans="1:8" ht="15.75" customHeight="1" x14ac:dyDescent="0.3">
      <c r="A11753" s="412"/>
      <c r="B11753" s="967"/>
      <c r="C11753" s="422"/>
      <c r="D11753" s="951"/>
      <c r="E11753" s="879"/>
      <c r="F11753" s="415"/>
      <c r="G11753" s="415"/>
      <c r="H11753" s="416"/>
    </row>
    <row r="11754" spans="1:8" ht="15.75" customHeight="1" x14ac:dyDescent="0.25">
      <c r="A11754" s="412"/>
      <c r="B11754" s="883" t="s">
        <v>1365</v>
      </c>
      <c r="C11754" s="883"/>
      <c r="D11754" s="842"/>
      <c r="E11754" s="415"/>
      <c r="F11754" s="415"/>
      <c r="G11754" s="415"/>
      <c r="H11754" s="416"/>
    </row>
    <row r="11755" spans="1:8" ht="15.75" customHeight="1" x14ac:dyDescent="0.25">
      <c r="A11755" s="412">
        <v>1</v>
      </c>
      <c r="B11755" s="959">
        <v>505</v>
      </c>
      <c r="C11755" s="422"/>
      <c r="D11755" s="842">
        <v>3</v>
      </c>
      <c r="E11755" s="415">
        <v>4</v>
      </c>
      <c r="F11755" s="415">
        <f t="shared" ref="F11755:F11761" si="424">+E11755*D11755</f>
      </c>
      <c r="G11755" s="415">
        <v>1</v>
      </c>
      <c r="H11755" s="416">
        <f t="shared" ref="H11755:H11758" si="425">+G11755*F11755</f>
      </c>
    </row>
    <row r="11756" spans="1:8" ht="15.75" customHeight="1" x14ac:dyDescent="0.25">
      <c r="A11756" s="412">
        <v>2</v>
      </c>
      <c r="B11756" s="960">
        <v>507</v>
      </c>
      <c r="C11756" s="422"/>
      <c r="D11756" s="842">
        <v>21</v>
      </c>
      <c r="E11756" s="415">
        <v>4</v>
      </c>
      <c r="F11756" s="415">
        <f t="shared" si="424"/>
      </c>
      <c r="G11756" s="415">
        <v>1</v>
      </c>
      <c r="H11756" s="416">
        <f t="shared" si="425"/>
      </c>
    </row>
    <row r="11757" spans="1:8" ht="15.75" customHeight="1" x14ac:dyDescent="0.25">
      <c r="A11757" s="412">
        <v>3</v>
      </c>
      <c r="B11757" s="960">
        <v>508</v>
      </c>
      <c r="C11757" s="422"/>
      <c r="D11757" s="842">
        <v>1</v>
      </c>
      <c r="E11757" s="415">
        <v>4</v>
      </c>
      <c r="F11757" s="415">
        <f t="shared" si="424"/>
      </c>
      <c r="G11757" s="415">
        <v>1</v>
      </c>
      <c r="H11757" s="416">
        <f t="shared" si="425"/>
      </c>
    </row>
    <row r="11758" spans="1:8" ht="15.75" customHeight="1" x14ac:dyDescent="0.25">
      <c r="A11758" s="412">
        <v>4</v>
      </c>
      <c r="B11758" s="960">
        <v>508</v>
      </c>
      <c r="C11758" s="422"/>
      <c r="D11758" s="842">
        <v>1</v>
      </c>
      <c r="E11758" s="415">
        <v>3</v>
      </c>
      <c r="F11758" s="415">
        <f t="shared" si="424"/>
      </c>
      <c r="G11758" s="415">
        <v>1</v>
      </c>
      <c r="H11758" s="416">
        <f t="shared" si="425"/>
      </c>
    </row>
    <row r="11759" spans="1:8" ht="15.75" customHeight="1" x14ac:dyDescent="0.25">
      <c r="A11759" s="412">
        <v>5</v>
      </c>
      <c r="B11759" s="960">
        <v>507</v>
      </c>
      <c r="C11759" s="422"/>
      <c r="D11759" s="842">
        <v>1</v>
      </c>
      <c r="E11759" s="415">
        <v>1</v>
      </c>
      <c r="F11759" s="415">
        <f t="shared" si="424"/>
      </c>
      <c r="G11759" s="619" t="s">
        <v>1856</v>
      </c>
      <c r="H11759" s="416"/>
    </row>
    <row r="11760" spans="1:8" ht="15.75" customHeight="1" x14ac:dyDescent="0.25">
      <c r="A11760" s="412">
        <v>6</v>
      </c>
      <c r="B11760" s="960">
        <v>510</v>
      </c>
      <c r="C11760" s="422"/>
      <c r="D11760" s="842">
        <v>6</v>
      </c>
      <c r="E11760" s="415">
        <v>4</v>
      </c>
      <c r="F11760" s="415">
        <f t="shared" si="424"/>
      </c>
      <c r="G11760" s="415">
        <v>1</v>
      </c>
      <c r="H11760" s="416">
        <f>+G11760*F11760</f>
      </c>
    </row>
    <row r="11761" spans="1:8" ht="15.75" customHeight="1" x14ac:dyDescent="0.25">
      <c r="A11761" s="412">
        <v>7</v>
      </c>
      <c r="B11761" s="960">
        <v>510</v>
      </c>
      <c r="C11761" s="422"/>
      <c r="D11761" s="842">
        <v>1</v>
      </c>
      <c r="E11761" s="415">
        <v>1</v>
      </c>
      <c r="F11761" s="415">
        <f t="shared" si="424"/>
      </c>
      <c r="G11761" s="619" t="s">
        <v>1856</v>
      </c>
      <c r="H11761" s="416"/>
    </row>
    <row r="11762" spans="1:8" ht="15.75" customHeight="1" x14ac:dyDescent="0.25">
      <c r="A11762" s="412"/>
      <c r="B11762" s="883" t="s">
        <v>590</v>
      </c>
      <c r="C11762" s="883"/>
      <c r="D11762" s="842"/>
      <c r="E11762" s="415"/>
      <c r="F11762" s="415"/>
      <c r="G11762" s="415"/>
      <c r="H11762" s="416"/>
    </row>
    <row r="11763" spans="1:8" ht="15.75" customHeight="1" x14ac:dyDescent="0.25">
      <c r="A11763" s="412">
        <v>8</v>
      </c>
      <c r="B11763" s="960" t="s">
        <v>2035</v>
      </c>
      <c r="C11763" s="993" t="s">
        <v>391</v>
      </c>
      <c r="D11763" s="842">
        <v>7</v>
      </c>
      <c r="E11763" s="415">
        <v>6</v>
      </c>
      <c r="F11763" s="415">
        <f>+E11763*D11763</f>
      </c>
      <c r="G11763" s="415">
        <v>1</v>
      </c>
      <c r="H11763" s="416">
        <f t="shared" ref="H11763:H11764" si="426">+G11763*F11763</f>
      </c>
    </row>
    <row r="11764" spans="1:8" ht="15.75" customHeight="1" x14ac:dyDescent="0.25">
      <c r="A11764" s="412">
        <v>9</v>
      </c>
      <c r="B11764" s="960" t="s">
        <v>2035</v>
      </c>
      <c r="C11764" s="993" t="s">
        <v>391</v>
      </c>
      <c r="D11764" s="592">
        <v>1</v>
      </c>
      <c r="E11764" s="592">
        <v>6</v>
      </c>
      <c r="F11764" s="415">
        <v>4</v>
      </c>
      <c r="G11764" s="415">
        <v>1</v>
      </c>
      <c r="H11764" s="416">
        <f t="shared" si="426"/>
      </c>
    </row>
    <row r="11765" spans="1:8" ht="15.75" customHeight="1" x14ac:dyDescent="0.25">
      <c r="A11765" s="412"/>
      <c r="B11765" s="960"/>
      <c r="C11765" s="422"/>
      <c r="D11765" s="626"/>
      <c r="E11765" s="626"/>
      <c r="F11765" s="415">
        <v>2</v>
      </c>
      <c r="G11765" s="619" t="s">
        <v>1856</v>
      </c>
      <c r="H11765" s="416"/>
    </row>
    <row r="11766" spans="1:8" ht="15.75" customHeight="1" x14ac:dyDescent="0.25">
      <c r="A11766" s="412"/>
      <c r="B11766" s="883" t="s">
        <v>1356</v>
      </c>
      <c r="C11766" s="883"/>
      <c r="D11766" s="626"/>
      <c r="E11766" s="626"/>
      <c r="F11766" s="415"/>
      <c r="G11766" s="415"/>
      <c r="H11766" s="416"/>
    </row>
    <row r="11767" spans="1:8" ht="15.75" customHeight="1" x14ac:dyDescent="0.25">
      <c r="A11767" s="412">
        <v>10</v>
      </c>
      <c r="B11767" s="960" t="s">
        <v>2036</v>
      </c>
      <c r="C11767" s="993" t="s">
        <v>16</v>
      </c>
      <c r="D11767" s="626">
        <v>1</v>
      </c>
      <c r="E11767" s="626">
        <v>5</v>
      </c>
      <c r="F11767" s="415">
        <f>+E11767*D11767</f>
      </c>
      <c r="G11767" s="415">
        <v>1</v>
      </c>
      <c r="H11767" s="416">
        <f>+G11767*F11767</f>
      </c>
    </row>
    <row r="11768" spans="1:8" ht="15.75" customHeight="1" x14ac:dyDescent="0.25">
      <c r="A11768" s="412"/>
      <c r="B11768" s="960"/>
      <c r="C11768" s="422"/>
      <c r="D11768" s="626"/>
      <c r="E11768" s="626"/>
      <c r="F11768" s="415"/>
      <c r="G11768" s="415"/>
      <c r="H11768" s="416"/>
    </row>
    <row r="11769" spans="1:8" ht="15.75" customHeight="1" x14ac:dyDescent="0.25">
      <c r="A11769" s="412"/>
      <c r="B11769" s="960"/>
      <c r="C11769" s="422"/>
      <c r="D11769" s="842"/>
      <c r="E11769" s="415"/>
      <c r="F11769" s="415"/>
      <c r="G11769" s="415"/>
      <c r="H11769" s="416"/>
    </row>
    <row r="11770" spans="1:8" ht="15.75" customHeight="1" x14ac:dyDescent="0.25">
      <c r="A11770" s="412"/>
      <c r="B11770" s="960"/>
      <c r="C11770" s="422"/>
      <c r="D11770" s="842"/>
      <c r="E11770" s="415"/>
      <c r="F11770" s="415"/>
      <c r="G11770" s="415"/>
      <c r="H11770" s="416"/>
    </row>
    <row r="11771" spans="1:8" ht="15.75" customHeight="1" x14ac:dyDescent="0.25">
      <c r="A11771" s="412"/>
      <c r="B11771" s="419"/>
      <c r="C11771" s="418"/>
      <c r="D11771" s="415"/>
      <c r="E11771" s="415"/>
      <c r="F11771" s="415"/>
      <c r="G11771" s="415"/>
      <c r="H11771" s="416"/>
    </row>
    <row r="11772" spans="1:8" ht="15.75" customHeight="1" x14ac:dyDescent="0.25">
      <c r="A11772" s="894"/>
      <c r="B11772" s="878"/>
      <c r="C11772" s="895"/>
      <c r="D11772" s="593"/>
      <c r="E11772" s="593"/>
      <c r="F11772" s="593"/>
      <c r="G11772" s="593"/>
      <c r="H11772" s="931"/>
    </row>
    <row r="11773" spans="1:8" ht="15.75" customHeight="1" x14ac:dyDescent="0.25">
      <c r="A11773" s="877"/>
      <c r="B11773" s="688"/>
      <c r="C11773" s="896" t="s">
        <v>85</v>
      </c>
      <c r="D11773" s="401">
        <f>SUM(D11755:D11772)</f>
      </c>
      <c r="E11773" s="401"/>
      <c r="F11773" s="401">
        <f>SUM(F11755:F11772)</f>
      </c>
      <c r="G11773" s="661"/>
      <c r="H11773" s="438">
        <f>SUM(H11755:H11772)</f>
      </c>
    </row>
    <row r="11774" spans="1:8" ht="15.75" customHeight="1" x14ac:dyDescent="0.25">
      <c r="A11774" s="932"/>
      <c r="B11774" s="933"/>
      <c r="C11774" s="934"/>
      <c r="D11774" s="431"/>
      <c r="E11774" s="935"/>
      <c r="F11774" s="935"/>
      <c r="G11774" s="936"/>
      <c r="H11774" s="444"/>
    </row>
    <row r="11775" spans="1:8" ht="15.75" customHeight="1" x14ac:dyDescent="0.25">
      <c r="A11775" s="994" t="s">
        <v>913</v>
      </c>
      <c r="B11775" s="391"/>
      <c r="C11775" s="391"/>
      <c r="D11775" s="391"/>
      <c r="E11775" s="390"/>
      <c r="F11775" s="392"/>
      <c r="G11775" s="390"/>
      <c r="H11775" s="394"/>
    </row>
    <row r="11776" spans="1:8" ht="15.75" customHeight="1" x14ac:dyDescent="0.25">
      <c r="A11776" s="445"/>
      <c r="B11776" s="445"/>
      <c r="C11776" s="445"/>
      <c r="D11776" s="446" t="s">
        <v>97</v>
      </c>
      <c r="E11776" s="445" t="s">
        <v>98</v>
      </c>
      <c r="F11776" s="445"/>
      <c r="G11776" s="390"/>
      <c r="H11776" s="394"/>
    </row>
    <row r="11777" spans="1:8" ht="15.75" customHeight="1" x14ac:dyDescent="0.25">
      <c r="A11777" s="390"/>
      <c r="B11777" s="390"/>
      <c r="C11777" s="390"/>
      <c r="D11777" s="391"/>
      <c r="E11777" s="390"/>
      <c r="F11777" s="390"/>
      <c r="G11777" s="390"/>
      <c r="H11777" s="394"/>
    </row>
    <row r="11778" spans="1:8" ht="15.75" customHeight="1" x14ac:dyDescent="0.25">
      <c r="A11778" s="390"/>
      <c r="B11778" s="390"/>
      <c r="C11778" s="390"/>
      <c r="D11778" s="391"/>
      <c r="E11778" s="390"/>
      <c r="F11778" s="390"/>
      <c r="G11778" s="390"/>
      <c r="H11778" s="394"/>
    </row>
    <row r="11779" spans="1:8" ht="15.75" customHeight="1" x14ac:dyDescent="0.25">
      <c r="A11779" s="445"/>
      <c r="B11779" s="445"/>
      <c r="C11779" s="445"/>
      <c r="D11779" s="446"/>
      <c r="E11779" s="445" t="s">
        <v>99</v>
      </c>
      <c r="F11779" s="445"/>
      <c r="G11779" s="390"/>
      <c r="H11779" s="394"/>
    </row>
    <row r="11780" spans="1:8" ht="15.75" customHeight="1" x14ac:dyDescent="0.25">
      <c r="D11780" s="4"/>
      <c r="H11780" s="4"/>
    </row>
    <row r="11781" spans="1:8" ht="15.75" customHeight="1" x14ac:dyDescent="0.25">
      <c r="D11781" s="4"/>
      <c r="H11781" s="4"/>
    </row>
    <row r="11782" spans="1:8" ht="15.75" customHeight="1" x14ac:dyDescent="0.25">
      <c r="D11782" s="4"/>
      <c r="H11782" s="4"/>
    </row>
    <row r="11783" spans="1:8" ht="15.75" customHeight="1" x14ac:dyDescent="0.25">
      <c r="D11783" s="4"/>
      <c r="H11783" s="4"/>
    </row>
    <row r="11784" spans="1:8" ht="15.75" customHeight="1" x14ac:dyDescent="0.25">
      <c r="D11784" s="4"/>
      <c r="H11784" s="4"/>
    </row>
    <row r="11785" spans="1:8" ht="15.75" customHeight="1" x14ac:dyDescent="0.25">
      <c r="D11785" s="4"/>
      <c r="H11785" s="4"/>
    </row>
    <row r="11786" spans="1:8" ht="15.75" customHeight="1" x14ac:dyDescent="0.25">
      <c r="A11786" s="8" t="s">
        <v>14</v>
      </c>
      <c r="B11786" s="8"/>
      <c r="C11786" s="8"/>
      <c r="D11786" s="8"/>
      <c r="E11786" s="8"/>
      <c r="F11786" s="8"/>
      <c r="G11786" s="8"/>
      <c r="H11786" s="8"/>
    </row>
    <row r="11787" spans="1:8" ht="15.75" customHeight="1" x14ac:dyDescent="0.25">
      <c r="A11787" s="388"/>
      <c r="B11787" s="388"/>
      <c r="C11787" s="388"/>
      <c r="D11787" s="389"/>
      <c r="E11787" s="388"/>
      <c r="F11787" s="388"/>
      <c r="G11787" s="388"/>
      <c r="H11787" s="8"/>
    </row>
    <row r="11788" spans="1:8" ht="15.75" customHeight="1" x14ac:dyDescent="0.25">
      <c r="A11788" s="390"/>
      <c r="B11788" s="390"/>
      <c r="C11788" s="390"/>
      <c r="D11788" s="391"/>
      <c r="E11788" s="390"/>
      <c r="F11788" s="395" t="s">
        <v>18</v>
      </c>
      <c r="G11788" s="396" t="s">
        <v>1105</v>
      </c>
      <c r="H11788" s="397"/>
    </row>
    <row r="11789" spans="1:8" ht="15.75" customHeight="1" x14ac:dyDescent="0.25">
      <c r="A11789" s="390" t="s">
        <v>20</v>
      </c>
      <c r="B11789" s="390"/>
      <c r="C11789" s="390"/>
      <c r="D11789" s="391"/>
      <c r="E11789" s="390"/>
      <c r="F11789" s="395" t="s">
        <v>21</v>
      </c>
      <c r="G11789" s="390" t="s">
        <v>2037</v>
      </c>
      <c r="H11789" s="391"/>
    </row>
    <row r="11790" spans="1:8" ht="15.75" customHeight="1" x14ac:dyDescent="0.25">
      <c r="A11790" s="390" t="inlineStr">
        <is>
          <t>Dealer-002</t>
        </is>
      </c>
      <c r="B11790" s="390"/>
      <c r="C11790" s="390"/>
      <c r="D11790" s="398"/>
      <c r="E11790" s="390"/>
      <c r="F11790" s="391"/>
      <c r="G11790" s="390"/>
      <c r="H11790" s="394"/>
    </row>
    <row r="11791" spans="1:8" ht="15.75" customHeight="1" x14ac:dyDescent="0.25">
      <c r="A11791" s="390" t="inlineStr">
        <is>
          <t>Address line (redacted)</t>
        </is>
      </c>
      <c r="B11791" s="390"/>
      <c r="C11791" s="390"/>
      <c r="D11791" s="398"/>
      <c r="E11791" s="390"/>
      <c r="F11791" s="391"/>
      <c r="G11791" s="390"/>
      <c r="H11791" s="394"/>
    </row>
    <row r="11792" spans="1:8" ht="15.75" customHeight="1" x14ac:dyDescent="0.25">
      <c r="A11792" s="390" t="inlineStr">
        <is>
          <t>Address line (redacted)</t>
        </is>
      </c>
      <c r="B11792" s="390"/>
      <c r="C11792" s="390"/>
      <c r="D11792" s="391"/>
      <c r="E11792" s="390"/>
      <c r="F11792" s="391"/>
      <c r="G11792" s="390"/>
      <c r="H11792" s="394"/>
    </row>
    <row r="11793" spans="1:8" ht="15.75" customHeight="1" x14ac:dyDescent="0.25">
      <c r="A11793" s="390"/>
      <c r="B11793" s="390"/>
      <c r="C11793" s="390"/>
      <c r="D11793" s="391"/>
      <c r="E11793" s="390"/>
      <c r="F11793" s="391"/>
      <c r="G11793" s="390"/>
      <c r="H11793" s="394"/>
    </row>
    <row r="11794" spans="1:8" ht="15.75" customHeight="1" x14ac:dyDescent="0.25">
      <c r="A11794" s="390" t="s">
        <v>30</v>
      </c>
      <c r="B11794" s="390"/>
      <c r="C11794" s="390"/>
      <c r="D11794" s="391"/>
      <c r="E11794" s="390"/>
      <c r="F11794" s="391"/>
      <c r="G11794" s="390"/>
      <c r="H11794" s="394"/>
    </row>
    <row r="11795" spans="1:8" ht="15.75" customHeight="1" x14ac:dyDescent="0.25">
      <c r="A11795" s="390"/>
      <c r="B11795" s="390"/>
      <c r="C11795" s="390"/>
      <c r="D11795" s="391"/>
      <c r="E11795" s="390"/>
      <c r="F11795" s="391"/>
      <c r="G11795" s="390"/>
      <c r="H11795" s="394"/>
    </row>
    <row r="11796" spans="1:8" ht="15.75" customHeight="1" x14ac:dyDescent="0.25">
      <c r="A11796" s="390" t="s">
        <v>716</v>
      </c>
      <c r="B11796" s="390"/>
      <c r="C11796" s="390"/>
      <c r="D11796" s="391"/>
      <c r="E11796" s="390"/>
      <c r="F11796" s="391"/>
      <c r="G11796" s="390"/>
      <c r="H11796" s="394"/>
    </row>
    <row r="11797" spans="1:8" ht="15.75" customHeight="1" x14ac:dyDescent="0.25">
      <c r="A11797" s="390" t="s">
        <v>717</v>
      </c>
      <c r="B11797" s="390"/>
      <c r="C11797" s="390"/>
      <c r="D11797" s="391"/>
      <c r="E11797" s="390"/>
      <c r="F11797" s="391"/>
      <c r="G11797" s="390"/>
      <c r="H11797" s="394"/>
    </row>
    <row r="11798" spans="1:8" ht="15.75" customHeight="1" x14ac:dyDescent="0.25">
      <c r="A11798" s="390"/>
      <c r="B11798" s="390"/>
      <c r="C11798" s="390"/>
      <c r="D11798" s="391"/>
      <c r="E11798" s="390"/>
      <c r="F11798" s="391"/>
      <c r="G11798" s="390"/>
      <c r="H11798" s="394"/>
    </row>
    <row r="11799" spans="1:8" ht="15.75" customHeight="1" x14ac:dyDescent="0.25">
      <c r="A11799" s="948" t="s">
        <v>33</v>
      </c>
      <c r="B11799" s="949" t="s">
        <v>6</v>
      </c>
      <c r="C11799" s="950"/>
      <c r="D11799" s="874" t="s">
        <v>37</v>
      </c>
      <c r="E11799" s="874" t="s">
        <v>38</v>
      </c>
      <c r="F11799" s="875" t="s">
        <v>7</v>
      </c>
      <c r="G11799" s="872" t="s">
        <v>43</v>
      </c>
      <c r="H11799" s="876" t="s">
        <v>44</v>
      </c>
    </row>
    <row r="11800" spans="1:8" ht="15.75" customHeight="1" x14ac:dyDescent="0.25">
      <c r="A11800" s="877"/>
      <c r="B11800" s="578"/>
      <c r="C11800" s="627"/>
      <c r="D11800" s="578"/>
      <c r="E11800" s="578"/>
      <c r="F11800" s="878"/>
      <c r="G11800" s="578"/>
      <c r="H11800" s="416"/>
    </row>
    <row r="11801" spans="1:8" ht="15.75" customHeight="1" x14ac:dyDescent="0.25">
      <c r="A11801" s="412"/>
      <c r="B11801" s="883" t="s">
        <v>1365</v>
      </c>
      <c r="C11801" s="883"/>
      <c r="D11801" s="842"/>
      <c r="E11801" s="415"/>
      <c r="F11801" s="415"/>
      <c r="G11801" s="415"/>
      <c r="H11801" s="416"/>
    </row>
    <row r="11802" spans="1:8" ht="15.75" customHeight="1" x14ac:dyDescent="0.25">
      <c r="A11802" s="412">
        <v>1</v>
      </c>
      <c r="B11802" s="960">
        <v>507</v>
      </c>
      <c r="C11802" s="422"/>
      <c r="D11802" s="842">
        <v>16</v>
      </c>
      <c r="E11802" s="415">
        <v>4</v>
      </c>
      <c r="F11802" s="415">
        <f t="shared" ref="F11802:F11804" si="427">+E11802*D11802</f>
      </c>
      <c r="G11802" s="415">
        <v>1</v>
      </c>
      <c r="H11802" s="416">
        <f t="shared" ref="H11802:H11803" si="428">+G11802*F11802</f>
      </c>
    </row>
    <row r="11803" spans="1:8" ht="15.75" customHeight="1" x14ac:dyDescent="0.25">
      <c r="A11803" s="412">
        <v>2</v>
      </c>
      <c r="B11803" s="960">
        <v>508</v>
      </c>
      <c r="C11803" s="422"/>
      <c r="D11803" s="842">
        <v>34</v>
      </c>
      <c r="E11803" s="415">
        <v>4</v>
      </c>
      <c r="F11803" s="415">
        <f t="shared" si="427"/>
      </c>
      <c r="G11803" s="415">
        <v>1</v>
      </c>
      <c r="H11803" s="416">
        <f t="shared" si="428"/>
      </c>
    </row>
    <row r="11804" spans="1:8" ht="15.75" customHeight="1" x14ac:dyDescent="0.25">
      <c r="A11804" s="412">
        <v>3</v>
      </c>
      <c r="B11804" s="960">
        <v>508</v>
      </c>
      <c r="C11804" s="422"/>
      <c r="D11804" s="842">
        <v>2</v>
      </c>
      <c r="E11804" s="415">
        <v>4</v>
      </c>
      <c r="F11804" s="415">
        <f t="shared" si="427"/>
      </c>
      <c r="G11804" s="619" t="s">
        <v>1856</v>
      </c>
      <c r="H11804" s="416"/>
    </row>
    <row r="11805" spans="1:8" ht="15.75" customHeight="1" x14ac:dyDescent="0.25">
      <c r="A11805" s="412"/>
      <c r="B11805" s="960"/>
      <c r="C11805" s="422"/>
      <c r="D11805" s="842"/>
      <c r="E11805" s="415"/>
      <c r="F11805" s="415"/>
      <c r="G11805" s="415"/>
      <c r="H11805" s="416"/>
    </row>
    <row r="11806" spans="1:8" ht="15.75" customHeight="1" x14ac:dyDescent="0.25">
      <c r="A11806" s="412"/>
      <c r="B11806" s="960"/>
      <c r="C11806" s="422"/>
      <c r="D11806" s="842"/>
      <c r="E11806" s="415"/>
      <c r="F11806" s="415"/>
      <c r="G11806" s="415"/>
      <c r="H11806" s="416"/>
    </row>
    <row r="11807" spans="1:8" ht="15.75" customHeight="1" x14ac:dyDescent="0.25">
      <c r="A11807" s="412"/>
      <c r="B11807" s="960"/>
      <c r="C11807" s="422"/>
      <c r="D11807" s="842"/>
      <c r="E11807" s="415"/>
      <c r="F11807" s="415"/>
      <c r="G11807" s="415"/>
      <c r="H11807" s="416"/>
    </row>
    <row r="11808" spans="1:8" ht="15.75" customHeight="1" x14ac:dyDescent="0.25">
      <c r="A11808" s="894"/>
      <c r="B11808" s="878"/>
      <c r="C11808" s="895"/>
      <c r="D11808" s="593"/>
      <c r="E11808" s="593"/>
      <c r="F11808" s="593"/>
      <c r="G11808" s="593"/>
      <c r="H11808" s="931"/>
    </row>
    <row r="11809" spans="1:8" ht="15.75" customHeight="1" x14ac:dyDescent="0.25">
      <c r="A11809" s="877"/>
      <c r="B11809" s="688"/>
      <c r="C11809" s="896" t="s">
        <v>85</v>
      </c>
      <c r="D11809" s="401">
        <f>SUM(D11801:D11808)</f>
      </c>
      <c r="E11809" s="401"/>
      <c r="F11809" s="401">
        <f>SUM(F11801:F11808)</f>
      </c>
      <c r="G11809" s="661"/>
      <c r="H11809" s="438">
        <f>SUM(H11802:H11808)</f>
      </c>
    </row>
    <row r="11810" spans="1:8" ht="15.75" customHeight="1" x14ac:dyDescent="0.25">
      <c r="A11810" s="932"/>
      <c r="B11810" s="933"/>
      <c r="C11810" s="934"/>
      <c r="D11810" s="431"/>
      <c r="E11810" s="935"/>
      <c r="F11810" s="935"/>
      <c r="G11810" s="936"/>
      <c r="H11810" s="444"/>
    </row>
    <row r="11811" spans="1:8" ht="15.75" customHeight="1" x14ac:dyDescent="0.25">
      <c r="A11811" s="392" t="s">
        <v>913</v>
      </c>
      <c r="B11811" s="391"/>
      <c r="C11811" s="391"/>
      <c r="D11811" s="391"/>
      <c r="E11811" s="390"/>
      <c r="F11811" s="392"/>
      <c r="G11811" s="390"/>
      <c r="H11811" s="394"/>
    </row>
    <row r="11812" spans="1:8" ht="15.75" customHeight="1" x14ac:dyDescent="0.25">
      <c r="A11812" s="445"/>
      <c r="B11812" s="445"/>
      <c r="C11812" s="445"/>
      <c r="D11812" s="446" t="s">
        <v>97</v>
      </c>
      <c r="E11812" s="445" t="s">
        <v>98</v>
      </c>
      <c r="F11812" s="445"/>
      <c r="G11812" s="390"/>
      <c r="H11812" s="394"/>
    </row>
    <row r="11813" spans="1:8" ht="15.75" customHeight="1" x14ac:dyDescent="0.25">
      <c r="A11813" s="390"/>
      <c r="B11813" s="390"/>
      <c r="C11813" s="390"/>
      <c r="D11813" s="391"/>
      <c r="E11813" s="390"/>
      <c r="F11813" s="390"/>
      <c r="G11813" s="390"/>
      <c r="H11813" s="394"/>
    </row>
    <row r="11814" spans="1:8" ht="15.75" customHeight="1" x14ac:dyDescent="0.25">
      <c r="A11814" s="390"/>
      <c r="B11814" s="390"/>
      <c r="C11814" s="390"/>
      <c r="D11814" s="391"/>
      <c r="E11814" s="390"/>
      <c r="F11814" s="390"/>
      <c r="G11814" s="390"/>
      <c r="H11814" s="394"/>
    </row>
    <row r="11815" spans="1:8" ht="15.75" customHeight="1" x14ac:dyDescent="0.25">
      <c r="A11815" s="445"/>
      <c r="B11815" s="445"/>
      <c r="C11815" s="445"/>
      <c r="D11815" s="446"/>
      <c r="E11815" s="445" t="s">
        <v>99</v>
      </c>
      <c r="F11815" s="445"/>
      <c r="G11815" s="390"/>
      <c r="H11815" s="394"/>
    </row>
    <row r="11816" spans="1:8" ht="15.75" customHeight="1" x14ac:dyDescent="0.25">
      <c r="D11816" s="4"/>
      <c r="H11816" s="4"/>
    </row>
    <row r="11817" spans="1:8" ht="15.75" customHeight="1" x14ac:dyDescent="0.25">
      <c r="D11817" s="4"/>
      <c r="H11817" s="4"/>
    </row>
    <row r="11818" spans="1:8" ht="15.75" customHeight="1" x14ac:dyDescent="0.25">
      <c r="D11818" s="4"/>
      <c r="H11818" s="4"/>
    </row>
    <row r="11819" spans="1:8" ht="15.75" customHeight="1" x14ac:dyDescent="0.25">
      <c r="D11819" s="4"/>
      <c r="H11819" s="4"/>
    </row>
    <row r="11820" spans="1:8" ht="15.75" customHeight="1" x14ac:dyDescent="0.25">
      <c r="D11820" s="4"/>
      <c r="H11820" s="4"/>
    </row>
    <row r="11821" spans="1:8" ht="15.75" customHeight="1" x14ac:dyDescent="0.25">
      <c r="D11821" s="4"/>
      <c r="H11821" s="4"/>
    </row>
    <row r="11822" spans="1:8" ht="15.75" customHeight="1" x14ac:dyDescent="0.25">
      <c r="D11822" s="4"/>
      <c r="H11822" s="4"/>
    </row>
    <row r="11823" spans="1:8" ht="15.75" customHeight="1" x14ac:dyDescent="0.25">
      <c r="D11823" s="4"/>
      <c r="H11823" s="4"/>
    </row>
    <row r="11824" spans="1:8" ht="15.75" customHeight="1" x14ac:dyDescent="0.25">
      <c r="D11824" s="4"/>
      <c r="H11824" s="4"/>
    </row>
    <row r="11825" spans="1:8" ht="15.75" customHeight="1" x14ac:dyDescent="0.25">
      <c r="D11825" s="4"/>
      <c r="H11825" s="4"/>
    </row>
    <row r="11826" spans="1:8" ht="15.75" customHeight="1" x14ac:dyDescent="0.25">
      <c r="D11826" s="4"/>
      <c r="H11826" s="4"/>
    </row>
    <row r="11827" spans="1:8" ht="15.75" customHeight="1" x14ac:dyDescent="0.25">
      <c r="D11827" s="4"/>
      <c r="H11827" s="4"/>
    </row>
    <row r="11828" spans="1:8" ht="15.75" customHeight="1" x14ac:dyDescent="0.25">
      <c r="D11828" s="4"/>
      <c r="H11828" s="4"/>
    </row>
    <row r="11829" spans="1:8" ht="15.75" customHeight="1" x14ac:dyDescent="0.25">
      <c r="D11829" s="4"/>
      <c r="H11829" s="4"/>
    </row>
    <row r="11830" spans="1:8" ht="15.75" customHeight="1" x14ac:dyDescent="0.25">
      <c r="A11830" s="8" t="s">
        <v>14</v>
      </c>
      <c r="B11830" s="8"/>
      <c r="C11830" s="8"/>
      <c r="D11830" s="8"/>
      <c r="E11830" s="8"/>
      <c r="F11830" s="8"/>
      <c r="G11830" s="8"/>
      <c r="H11830" s="8"/>
    </row>
    <row r="11831" spans="1:8" ht="15.75" customHeight="1" x14ac:dyDescent="0.25">
      <c r="A11831" s="388"/>
      <c r="B11831" s="388"/>
      <c r="C11831" s="388"/>
      <c r="D11831" s="389"/>
      <c r="E11831" s="388"/>
      <c r="F11831" s="388"/>
      <c r="G11831" s="388"/>
      <c r="H11831" s="8"/>
    </row>
    <row r="11832" spans="1:8" ht="15.75" customHeight="1" x14ac:dyDescent="0.25">
      <c r="A11832" s="390"/>
      <c r="B11832" s="390"/>
      <c r="C11832" s="391"/>
      <c r="D11832" s="392"/>
      <c r="E11832" s="393"/>
      <c r="F11832" s="393"/>
      <c r="G11832" s="393"/>
      <c r="H11832" s="394"/>
    </row>
    <row r="11833" spans="1:8" ht="15.75" customHeight="1" x14ac:dyDescent="0.25">
      <c r="A11833" s="390"/>
      <c r="B11833" s="390"/>
      <c r="C11833" s="390"/>
      <c r="D11833" s="391"/>
      <c r="E11833" s="390"/>
      <c r="F11833" s="395" t="s">
        <v>18</v>
      </c>
      <c r="G11833" s="396" t="s">
        <v>1105</v>
      </c>
      <c r="H11833" s="397"/>
    </row>
    <row r="11834" spans="1:8" ht="15.75" customHeight="1" x14ac:dyDescent="0.25">
      <c r="A11834" s="390" t="s">
        <v>20</v>
      </c>
      <c r="B11834" s="390"/>
      <c r="C11834" s="390"/>
      <c r="D11834" s="391"/>
      <c r="E11834" s="390"/>
      <c r="F11834" s="395" t="s">
        <v>21</v>
      </c>
      <c r="G11834" s="390" t="s">
        <v>1380</v>
      </c>
      <c r="H11834" s="391"/>
    </row>
    <row r="11835" spans="1:8" ht="15.75" customHeight="1" x14ac:dyDescent="0.25">
      <c r="A11835" s="390" t="inlineStr">
        <is>
          <t>Dealer-004</t>
        </is>
      </c>
      <c r="B11835" s="390"/>
      <c r="C11835" s="390"/>
      <c r="D11835" s="398"/>
      <c r="E11835" s="390"/>
      <c r="F11835" s="391"/>
      <c r="G11835" s="390"/>
      <c r="H11835" s="394"/>
    </row>
    <row r="11836" spans="1:8" ht="15.75" customHeight="1" x14ac:dyDescent="0.25">
      <c r="A11836" s="390" t="inlineStr">
        <is>
          <t>Address line (redacted)</t>
        </is>
      </c>
      <c r="B11836" s="390"/>
      <c r="C11836" s="390"/>
      <c r="D11836" s="398"/>
      <c r="E11836" s="393"/>
      <c r="F11836" s="391"/>
      <c r="G11836" s="390"/>
      <c r="H11836" s="394"/>
    </row>
    <row r="11837" spans="1:8" ht="15.75" customHeight="1" x14ac:dyDescent="0.25">
      <c r="A11837" s="390" t="inlineStr">
        <is>
          <t>Address line (redacted)</t>
        </is>
      </c>
      <c r="B11837" s="390"/>
      <c r="C11837" s="390"/>
      <c r="D11837" s="391"/>
      <c r="E11837" s="390"/>
      <c r="F11837" s="391"/>
      <c r="G11837" s="390"/>
      <c r="H11837" s="394"/>
    </row>
    <row r="11838" spans="1:8" ht="15.75" customHeight="1" x14ac:dyDescent="0.25">
      <c r="A11838" s="390"/>
      <c r="B11838" s="390"/>
      <c r="C11838" s="390"/>
      <c r="D11838" s="391"/>
      <c r="E11838" s="390"/>
      <c r="F11838" s="391"/>
      <c r="G11838" s="390"/>
      <c r="H11838" s="394"/>
    </row>
    <row r="11839" spans="1:8" ht="15.75" customHeight="1" x14ac:dyDescent="0.25">
      <c r="A11839" s="390" t="s">
        <v>30</v>
      </c>
      <c r="B11839" s="390"/>
      <c r="C11839" s="390"/>
      <c r="D11839" s="391"/>
      <c r="E11839" s="390"/>
      <c r="F11839" s="391"/>
      <c r="G11839" s="390"/>
      <c r="H11839" s="394"/>
    </row>
    <row r="11840" spans="1:8" ht="15.75" customHeight="1" x14ac:dyDescent="0.25">
      <c r="A11840" s="390"/>
      <c r="B11840" s="390"/>
      <c r="C11840" s="390"/>
      <c r="D11840" s="391"/>
      <c r="E11840" s="390"/>
      <c r="F11840" s="391"/>
      <c r="G11840" s="390"/>
      <c r="H11840" s="394"/>
    </row>
    <row r="11841" spans="1:10" ht="15.75" customHeight="1" x14ac:dyDescent="0.25">
      <c r="A11841" s="390" t="s">
        <v>716</v>
      </c>
      <c r="B11841" s="390"/>
      <c r="C11841" s="390"/>
      <c r="D11841" s="391"/>
      <c r="E11841" s="390"/>
      <c r="F11841" s="391"/>
      <c r="G11841" s="390"/>
      <c r="H11841" s="394"/>
    </row>
    <row r="11842" spans="1:10" ht="15.75" customHeight="1" x14ac:dyDescent="0.25">
      <c r="A11842" s="390" t="s">
        <v>717</v>
      </c>
      <c r="B11842" s="390"/>
      <c r="C11842" s="390"/>
      <c r="D11842" s="391"/>
      <c r="E11842" s="390"/>
      <c r="F11842" s="391"/>
      <c r="G11842" s="390"/>
      <c r="H11842" s="394"/>
    </row>
    <row r="11843" spans="1:10" ht="15.75" customHeight="1" x14ac:dyDescent="0.25">
      <c r="A11843" s="390"/>
      <c r="B11843" s="390"/>
      <c r="C11843" s="390"/>
      <c r="D11843" s="391"/>
      <c r="E11843" s="390"/>
      <c r="F11843" s="391"/>
      <c r="G11843" s="390"/>
      <c r="H11843" s="394"/>
    </row>
    <row r="11844" spans="1:10" ht="15.75" customHeight="1" x14ac:dyDescent="0.25">
      <c r="A11844" s="948" t="s">
        <v>33</v>
      </c>
      <c r="B11844" s="949" t="s">
        <v>6</v>
      </c>
      <c r="C11844" s="950"/>
      <c r="D11844" s="874" t="s">
        <v>37</v>
      </c>
      <c r="E11844" s="874" t="s">
        <v>38</v>
      </c>
      <c r="F11844" s="875" t="s">
        <v>7</v>
      </c>
      <c r="G11844" s="872" t="s">
        <v>43</v>
      </c>
      <c r="H11844" s="876" t="s">
        <v>44</v>
      </c>
    </row>
    <row r="11845" spans="1:10" ht="15.75" customHeight="1" x14ac:dyDescent="0.25">
      <c r="A11845" s="877"/>
      <c r="B11845" s="578"/>
      <c r="C11845" s="627"/>
      <c r="D11845" s="578"/>
      <c r="E11845" s="578"/>
      <c r="F11845" s="878"/>
      <c r="G11845" s="578"/>
      <c r="H11845" s="416"/>
    </row>
    <row r="11846" spans="1:10" ht="15.75" customHeight="1" x14ac:dyDescent="0.25">
      <c r="A11846" s="412"/>
      <c r="B11846" s="883" t="s">
        <v>1365</v>
      </c>
      <c r="C11846" s="883"/>
      <c r="D11846" s="842"/>
      <c r="E11846" s="415"/>
      <c r="F11846" s="415"/>
      <c r="G11846" s="415"/>
      <c r="H11846" s="416"/>
    </row>
    <row r="11847" spans="1:10" ht="15.75" customHeight="1" x14ac:dyDescent="0.25">
      <c r="A11847" s="412">
        <v>1</v>
      </c>
      <c r="B11847" s="960">
        <v>505</v>
      </c>
      <c r="C11847" s="422"/>
      <c r="D11847" s="842">
        <v>1</v>
      </c>
      <c r="E11847" s="415">
        <v>4</v>
      </c>
      <c r="F11847" s="415">
        <f t="shared" ref="F11847:F11848" si="429">+E11847*D11847</f>
      </c>
      <c r="G11847" s="415">
        <v>1</v>
      </c>
      <c r="H11847" s="416">
        <f t="shared" ref="H11847:H11850" si="430">+G11847*F11847</f>
      </c>
    </row>
    <row r="11848" spans="1:10" ht="15.75" customHeight="1" x14ac:dyDescent="0.25">
      <c r="A11848" s="412"/>
      <c r="B11848" s="960">
        <v>505</v>
      </c>
      <c r="C11848" s="422"/>
      <c r="D11848" s="592">
        <v>1</v>
      </c>
      <c r="E11848" s="415">
        <v>2</v>
      </c>
      <c r="F11848" s="415">
        <f t="shared" si="429"/>
      </c>
      <c r="G11848" s="415">
        <v>1</v>
      </c>
      <c r="H11848" s="416">
        <f t="shared" si="430"/>
      </c>
    </row>
    <row r="11849" spans="1:10" ht="15.75" customHeight="1" x14ac:dyDescent="0.25">
      <c r="A11849" s="412"/>
      <c r="B11849" s="960">
        <v>505</v>
      </c>
      <c r="C11849" s="883" t="s">
        <v>1384</v>
      </c>
      <c r="D11849" s="626"/>
      <c r="E11849" s="415">
        <v>1</v>
      </c>
      <c r="F11849" s="415">
        <v>1</v>
      </c>
      <c r="G11849" s="619">
        <v>1</v>
      </c>
      <c r="H11849" s="416">
        <f t="shared" si="430"/>
      </c>
    </row>
    <row r="11850" spans="1:10" ht="15.75" customHeight="1" x14ac:dyDescent="0.25">
      <c r="A11850" s="412">
        <v>2</v>
      </c>
      <c r="B11850" s="960">
        <v>507</v>
      </c>
      <c r="C11850" s="422"/>
      <c r="D11850" s="842">
        <v>11</v>
      </c>
      <c r="E11850" s="415">
        <v>4</v>
      </c>
      <c r="F11850" s="415">
        <f t="shared" ref="F11850:F11851" si="431">+E11850*D11850</f>
      </c>
      <c r="G11850" s="415">
        <v>1</v>
      </c>
      <c r="H11850" s="416">
        <f t="shared" si="430"/>
      </c>
      <c r="I11850" s="2">
        <v>50</v>
      </c>
      <c r="J11850" s="2">
        <v>2</v>
      </c>
    </row>
    <row r="11851" spans="1:10" ht="15.75" customHeight="1" x14ac:dyDescent="0.25">
      <c r="A11851" s="412"/>
      <c r="B11851" s="960">
        <v>507</v>
      </c>
      <c r="C11851" s="422"/>
      <c r="D11851" s="842">
        <v>2</v>
      </c>
      <c r="E11851" s="842">
        <v>1</v>
      </c>
      <c r="F11851" s="415">
        <f t="shared" si="431"/>
      </c>
      <c r="G11851" s="940" t="s">
        <v>1856</v>
      </c>
      <c r="H11851" s="416"/>
    </row>
    <row r="11852" spans="1:10" ht="15.75" customHeight="1" x14ac:dyDescent="0.25">
      <c r="A11852" s="412"/>
      <c r="B11852" s="883" t="s">
        <v>674</v>
      </c>
      <c r="C11852" s="883"/>
      <c r="D11852" s="626"/>
      <c r="E11852" s="951"/>
      <c r="F11852" s="593"/>
      <c r="G11852" s="593"/>
      <c r="H11852" s="416"/>
    </row>
    <row r="11853" spans="1:10" ht="15.75" customHeight="1" x14ac:dyDescent="0.25">
      <c r="A11853" s="412">
        <v>3</v>
      </c>
      <c r="B11853" s="984" t="s">
        <v>239</v>
      </c>
      <c r="C11853" s="995" t="s">
        <v>2038</v>
      </c>
      <c r="D11853" s="626">
        <v>1</v>
      </c>
      <c r="E11853" s="951">
        <v>2</v>
      </c>
      <c r="F11853" s="593">
        <f>+E11853*D11853</f>
      </c>
      <c r="G11853" s="593">
        <v>1</v>
      </c>
      <c r="H11853" s="416">
        <f>+G11853*F11853</f>
      </c>
    </row>
    <row r="11854" spans="1:10" ht="15.75" customHeight="1" x14ac:dyDescent="0.25">
      <c r="A11854" s="412"/>
      <c r="B11854" s="982"/>
      <c r="C11854" s="418"/>
      <c r="D11854" s="415"/>
      <c r="E11854" s="415"/>
      <c r="F11854" s="415"/>
      <c r="G11854" s="593"/>
      <c r="H11854" s="416"/>
    </row>
    <row r="11855" spans="1:10" ht="15.75" customHeight="1" x14ac:dyDescent="0.25">
      <c r="A11855" s="894"/>
      <c r="B11855" s="983"/>
      <c r="C11855" s="895"/>
      <c r="D11855" s="593"/>
      <c r="E11855" s="593"/>
      <c r="F11855" s="593"/>
      <c r="G11855" s="593"/>
      <c r="H11855" s="931"/>
    </row>
    <row r="11856" spans="1:10" ht="15.75" customHeight="1" x14ac:dyDescent="0.25">
      <c r="A11856" s="877"/>
      <c r="B11856" s="688"/>
      <c r="C11856" s="896" t="s">
        <v>85</v>
      </c>
      <c r="D11856" s="401">
        <f>SUM(D11847:D11855)</f>
      </c>
      <c r="E11856" s="401"/>
      <c r="F11856" s="401">
        <f>SUM(F11847:F11855)</f>
      </c>
      <c r="G11856" s="661"/>
      <c r="H11856" s="623">
        <f>SUM(H11847:H11855)</f>
      </c>
    </row>
    <row r="11857" spans="1:8" ht="15.75" customHeight="1" x14ac:dyDescent="0.25">
      <c r="A11857" s="932"/>
      <c r="B11857" s="933"/>
      <c r="C11857" s="934"/>
      <c r="D11857" s="431"/>
      <c r="E11857" s="935"/>
      <c r="F11857" s="935"/>
      <c r="G11857" s="936"/>
      <c r="H11857" s="444"/>
    </row>
    <row r="11858" spans="1:8" ht="15.75" customHeight="1" x14ac:dyDescent="0.25">
      <c r="A11858" s="392" t="s">
        <v>913</v>
      </c>
      <c r="B11858" s="391"/>
      <c r="C11858" s="391"/>
      <c r="D11858" s="391"/>
      <c r="E11858" s="390"/>
      <c r="F11858" s="392"/>
      <c r="G11858" s="390"/>
      <c r="H11858" s="394"/>
    </row>
    <row r="11859" spans="1:8" ht="15.75" customHeight="1" x14ac:dyDescent="0.25">
      <c r="A11859" s="445"/>
      <c r="B11859" s="445"/>
      <c r="C11859" s="445"/>
      <c r="D11859" s="446" t="s">
        <v>97</v>
      </c>
      <c r="E11859" s="445" t="s">
        <v>98</v>
      </c>
      <c r="F11859" s="445"/>
      <c r="G11859" s="390"/>
      <c r="H11859" s="394"/>
    </row>
    <row r="11860" spans="1:8" ht="15.75" customHeight="1" x14ac:dyDescent="0.25">
      <c r="A11860" s="390"/>
      <c r="B11860" s="390"/>
      <c r="C11860" s="390"/>
      <c r="D11860" s="391"/>
      <c r="E11860" s="390"/>
      <c r="F11860" s="390"/>
      <c r="G11860" s="390"/>
      <c r="H11860" s="394"/>
    </row>
    <row r="11861" spans="1:8" ht="15.75" customHeight="1" x14ac:dyDescent="0.25">
      <c r="A11861" s="390"/>
      <c r="B11861" s="390"/>
      <c r="C11861" s="390"/>
      <c r="D11861" s="391"/>
      <c r="E11861" s="390"/>
      <c r="F11861" s="390"/>
      <c r="G11861" s="390"/>
      <c r="H11861" s="394"/>
    </row>
    <row r="11862" spans="1:8" ht="15.75" customHeight="1" x14ac:dyDescent="0.25">
      <c r="A11862" s="445"/>
      <c r="B11862" s="445"/>
      <c r="C11862" s="445"/>
      <c r="D11862" s="446"/>
      <c r="E11862" s="445" t="s">
        <v>99</v>
      </c>
      <c r="F11862" s="445"/>
      <c r="G11862" s="390"/>
      <c r="H11862" s="394"/>
    </row>
    <row r="11863" spans="1:8" ht="15.75" customHeight="1" x14ac:dyDescent="0.25">
      <c r="D11863" s="4"/>
      <c r="H11863" s="4"/>
    </row>
    <row r="11864" spans="1:8" ht="15.75" customHeight="1" x14ac:dyDescent="0.25">
      <c r="D11864" s="4"/>
      <c r="H11864" s="4"/>
    </row>
    <row r="11865" spans="1:8" ht="15.75" customHeight="1" x14ac:dyDescent="0.25">
      <c r="D11865" s="4"/>
      <c r="H11865" s="4"/>
    </row>
    <row r="11866" spans="1:8" ht="15.75" customHeight="1" x14ac:dyDescent="0.25">
      <c r="D11866" s="4"/>
      <c r="H11866" s="4"/>
    </row>
    <row r="11867" spans="1:8" ht="15.75" customHeight="1" x14ac:dyDescent="0.25">
      <c r="D11867" s="4"/>
      <c r="H11867" s="4"/>
    </row>
    <row r="11868" spans="1:8" ht="15.75" customHeight="1" x14ac:dyDescent="0.25">
      <c r="D11868" s="4"/>
      <c r="H11868" s="4"/>
    </row>
    <row r="11869" spans="1:8" ht="15.75" customHeight="1" x14ac:dyDescent="0.25">
      <c r="D11869" s="4"/>
      <c r="H11869" s="4"/>
    </row>
    <row r="11870" spans="1:8" ht="15.75" customHeight="1" x14ac:dyDescent="0.25">
      <c r="D11870" s="4"/>
      <c r="H11870" s="4"/>
    </row>
    <row r="11871" spans="1:8" ht="15.75" customHeight="1" x14ac:dyDescent="0.25">
      <c r="D11871" s="4"/>
      <c r="H11871" s="4"/>
    </row>
    <row r="11872" spans="1:8" ht="15.75" customHeight="1" x14ac:dyDescent="0.25">
      <c r="D11872" s="4"/>
      <c r="H11872" s="4"/>
    </row>
    <row r="11873" spans="1:8" ht="15.75" customHeight="1" x14ac:dyDescent="0.25">
      <c r="D11873" s="4"/>
      <c r="H11873" s="4"/>
    </row>
    <row r="11874" spans="1:8" ht="15.75" customHeight="1" x14ac:dyDescent="0.25">
      <c r="D11874" s="4"/>
      <c r="H11874" s="4"/>
    </row>
    <row r="11875" spans="1:8" ht="15.75" customHeight="1" x14ac:dyDescent="0.25">
      <c r="D11875" s="4"/>
      <c r="H11875" s="4"/>
    </row>
    <row r="11876" spans="1:8" ht="15.75" customHeight="1" x14ac:dyDescent="0.25">
      <c r="D11876" s="4"/>
      <c r="H11876" s="4"/>
    </row>
    <row r="11877" spans="1:8" ht="15.75" customHeight="1" x14ac:dyDescent="0.25">
      <c r="D11877" s="4"/>
      <c r="H11877" s="4"/>
    </row>
    <row r="11878" spans="1:8" ht="15.75" customHeight="1" x14ac:dyDescent="0.25">
      <c r="D11878" s="4"/>
      <c r="H11878" s="4"/>
    </row>
    <row r="11879" spans="1:8" ht="15.75" customHeight="1" x14ac:dyDescent="0.25">
      <c r="A11879" s="8" t="s">
        <v>14</v>
      </c>
      <c r="B11879" s="8"/>
      <c r="C11879" s="8"/>
      <c r="D11879" s="8"/>
      <c r="E11879" s="8"/>
      <c r="F11879" s="8"/>
      <c r="G11879" s="8"/>
      <c r="H11879" s="8"/>
    </row>
    <row r="11880" spans="1:8" ht="15.75" customHeight="1" x14ac:dyDescent="0.25">
      <c r="A11880" s="388"/>
      <c r="B11880" s="388"/>
      <c r="C11880" s="388"/>
      <c r="D11880" s="389"/>
      <c r="E11880" s="388"/>
      <c r="F11880" s="388"/>
      <c r="G11880" s="388"/>
      <c r="H11880" s="8"/>
    </row>
    <row r="11881" spans="1:8" ht="15.75" customHeight="1" x14ac:dyDescent="0.25">
      <c r="A11881" s="390"/>
      <c r="B11881" s="390"/>
      <c r="D11881" s="392"/>
      <c r="E11881" s="393"/>
      <c r="F11881" s="393"/>
      <c r="G11881" s="393"/>
      <c r="H11881" s="394"/>
    </row>
    <row r="11882" spans="1:8" ht="15.75" customHeight="1" x14ac:dyDescent="0.25">
      <c r="A11882" s="390"/>
      <c r="B11882" s="390"/>
      <c r="C11882" s="390"/>
      <c r="D11882" s="391"/>
      <c r="E11882" s="390"/>
      <c r="F11882" s="395" t="s">
        <v>18</v>
      </c>
      <c r="G11882" s="396" t="s">
        <v>1105</v>
      </c>
      <c r="H11882" s="397"/>
    </row>
    <row r="11883" spans="1:8" ht="15.75" customHeight="1" x14ac:dyDescent="0.25">
      <c r="A11883" s="390" t="s">
        <v>20</v>
      </c>
      <c r="B11883" s="390"/>
      <c r="C11883" s="398"/>
      <c r="D11883" s="391"/>
      <c r="E11883" s="390"/>
      <c r="F11883" s="395" t="s">
        <v>21</v>
      </c>
      <c r="G11883" s="390" t="s">
        <v>2039</v>
      </c>
      <c r="H11883" s="391"/>
    </row>
    <row r="11884" spans="1:8" ht="15.75" customHeight="1" x14ac:dyDescent="0.25">
      <c r="A11884" s="390" t="inlineStr">
        <is>
          <t>Dealer-003</t>
        </is>
      </c>
      <c r="B11884" s="390"/>
      <c r="C11884" s="390"/>
      <c r="D11884" s="398"/>
      <c r="E11884" s="390"/>
      <c r="F11884" s="391"/>
      <c r="G11884" s="390"/>
      <c r="H11884" s="394"/>
    </row>
    <row r="11885" spans="1:8" ht="15.75" customHeight="1" x14ac:dyDescent="0.25">
      <c r="A11885" s="390" t="inlineStr">
        <is>
          <t>Address line (redacted)</t>
        </is>
      </c>
      <c r="B11885" s="390"/>
      <c r="C11885" s="390"/>
      <c r="D11885" s="398"/>
      <c r="E11885" s="390"/>
      <c r="F11885" s="391"/>
      <c r="G11885" s="390"/>
      <c r="H11885" s="394"/>
    </row>
    <row r="11886" spans="1:8" ht="15.75" customHeight="1" x14ac:dyDescent="0.25">
      <c r="A11886" s="390" t="inlineStr">
        <is>
          <t>Address line (redacted)</t>
        </is>
      </c>
      <c r="B11886" s="390"/>
      <c r="C11886" s="390"/>
      <c r="D11886" s="391"/>
      <c r="E11886" s="390"/>
      <c r="F11886" s="391"/>
      <c r="G11886" s="390"/>
      <c r="H11886" s="394"/>
    </row>
    <row r="11887" spans="1:8" ht="15.75" customHeight="1" x14ac:dyDescent="0.25">
      <c r="A11887" s="390"/>
      <c r="B11887" s="390"/>
      <c r="C11887" s="390"/>
      <c r="D11887" s="391"/>
      <c r="E11887" s="390"/>
      <c r="F11887" s="391"/>
      <c r="G11887" s="390"/>
      <c r="H11887" s="394"/>
    </row>
    <row r="11888" spans="1:8" ht="15.75" customHeight="1" x14ac:dyDescent="0.25">
      <c r="A11888" s="390" t="s">
        <v>30</v>
      </c>
      <c r="B11888" s="390"/>
      <c r="C11888" s="390"/>
      <c r="D11888" s="391"/>
      <c r="E11888" s="390"/>
      <c r="F11888" s="391"/>
      <c r="G11888" s="390"/>
      <c r="H11888" s="394"/>
    </row>
    <row r="11889" spans="1:8" ht="15.75" customHeight="1" x14ac:dyDescent="0.25">
      <c r="A11889" s="390"/>
      <c r="B11889" s="390"/>
      <c r="C11889" s="390"/>
      <c r="D11889" s="391"/>
      <c r="E11889" s="390"/>
      <c r="F11889" s="391"/>
      <c r="G11889" s="390"/>
      <c r="H11889" s="394"/>
    </row>
    <row r="11890" spans="1:8" ht="15.75" customHeight="1" x14ac:dyDescent="0.25">
      <c r="A11890" s="390" t="s">
        <v>716</v>
      </c>
      <c r="B11890" s="390"/>
      <c r="C11890" s="390"/>
      <c r="D11890" s="391"/>
      <c r="E11890" s="390"/>
      <c r="F11890" s="391"/>
      <c r="G11890" s="390"/>
      <c r="H11890" s="394"/>
    </row>
    <row r="11891" spans="1:8" ht="15.75" customHeight="1" x14ac:dyDescent="0.25">
      <c r="A11891" s="390" t="s">
        <v>717</v>
      </c>
      <c r="B11891" s="390"/>
      <c r="C11891" s="390"/>
      <c r="D11891" s="391"/>
      <c r="E11891" s="390"/>
      <c r="F11891" s="391"/>
      <c r="G11891" s="390"/>
      <c r="H11891" s="394"/>
    </row>
    <row r="11892" spans="1:8" ht="15.75" customHeight="1" x14ac:dyDescent="0.25">
      <c r="A11892" s="390"/>
      <c r="B11892" s="390"/>
      <c r="C11892" s="390"/>
      <c r="D11892" s="391"/>
      <c r="E11892" s="390"/>
      <c r="F11892" s="391"/>
      <c r="G11892" s="390"/>
      <c r="H11892" s="394"/>
    </row>
    <row r="11893" spans="1:8" ht="15.75" customHeight="1" x14ac:dyDescent="0.25">
      <c r="A11893" s="948" t="s">
        <v>33</v>
      </c>
      <c r="B11893" s="949" t="s">
        <v>6</v>
      </c>
      <c r="C11893" s="950"/>
      <c r="D11893" s="874" t="s">
        <v>37</v>
      </c>
      <c r="E11893" s="874" t="s">
        <v>38</v>
      </c>
      <c r="F11893" s="875" t="s">
        <v>7</v>
      </c>
      <c r="G11893" s="872" t="s">
        <v>43</v>
      </c>
      <c r="H11893" s="876" t="s">
        <v>44</v>
      </c>
    </row>
    <row r="11894" spans="1:8" ht="15.75" customHeight="1" x14ac:dyDescent="0.3">
      <c r="A11894" s="412"/>
      <c r="B11894" s="967"/>
      <c r="C11894" s="422"/>
      <c r="D11894" s="951"/>
      <c r="E11894" s="879"/>
      <c r="F11894" s="415"/>
      <c r="G11894" s="415"/>
      <c r="H11894" s="416"/>
    </row>
    <row r="11895" spans="1:8" ht="15.75" customHeight="1" x14ac:dyDescent="0.25">
      <c r="A11895" s="412"/>
      <c r="B11895" s="978" t="s">
        <v>2019</v>
      </c>
      <c r="C11895" s="979"/>
      <c r="D11895" s="842"/>
      <c r="E11895" s="415"/>
      <c r="F11895" s="415"/>
      <c r="G11895" s="415"/>
      <c r="H11895" s="416"/>
    </row>
    <row r="11896" spans="1:8" ht="15.75" customHeight="1" x14ac:dyDescent="0.25">
      <c r="A11896" s="412">
        <v>4</v>
      </c>
      <c r="B11896" s="980" t="s">
        <v>2022</v>
      </c>
      <c r="C11896" s="418"/>
      <c r="D11896" s="996" t="s">
        <v>687</v>
      </c>
      <c r="E11896" s="997"/>
      <c r="F11896" s="997"/>
      <c r="G11896" s="997"/>
      <c r="H11896" s="998"/>
    </row>
    <row r="11897" spans="1:8" ht="15.75" customHeight="1" x14ac:dyDescent="0.25">
      <c r="A11897" s="894"/>
      <c r="B11897" s="878"/>
      <c r="C11897" s="895"/>
      <c r="D11897" s="593"/>
      <c r="E11897" s="593"/>
      <c r="F11897" s="593"/>
      <c r="G11897" s="593"/>
      <c r="H11897" s="931"/>
    </row>
    <row r="11898" spans="1:8" ht="15.75" customHeight="1" x14ac:dyDescent="0.25">
      <c r="A11898" s="877"/>
      <c r="B11898" s="688"/>
      <c r="C11898" s="896" t="s">
        <v>85</v>
      </c>
      <c r="D11898" s="401"/>
      <c r="E11898" s="401"/>
      <c r="F11898" s="401"/>
      <c r="G11898" s="661"/>
      <c r="H11898" s="438"/>
    </row>
    <row r="11899" spans="1:8" ht="15.75" customHeight="1" x14ac:dyDescent="0.25">
      <c r="A11899" s="932"/>
      <c r="B11899" s="933"/>
      <c r="C11899" s="934"/>
      <c r="D11899" s="431"/>
      <c r="E11899" s="935"/>
      <c r="F11899" s="935"/>
      <c r="G11899" s="936"/>
      <c r="H11899" s="444"/>
    </row>
    <row r="11900" spans="1:8" ht="15.75" customHeight="1" x14ac:dyDescent="0.25">
      <c r="A11900" s="392" t="s">
        <v>913</v>
      </c>
      <c r="B11900" s="391"/>
      <c r="C11900" s="391"/>
      <c r="D11900" s="391"/>
      <c r="E11900" s="390"/>
      <c r="F11900" s="392"/>
      <c r="G11900" s="390"/>
      <c r="H11900" s="394"/>
    </row>
    <row r="11901" spans="1:8" ht="15.75" customHeight="1" x14ac:dyDescent="0.25">
      <c r="A11901" s="445"/>
      <c r="B11901" s="445"/>
      <c r="C11901" s="445"/>
      <c r="D11901" s="446" t="s">
        <v>97</v>
      </c>
      <c r="E11901" s="445" t="s">
        <v>98</v>
      </c>
      <c r="F11901" s="445"/>
      <c r="G11901" s="390"/>
      <c r="H11901" s="394"/>
    </row>
    <row r="11902" spans="1:8" ht="15.75" customHeight="1" x14ac:dyDescent="0.25">
      <c r="A11902" s="390"/>
      <c r="B11902" s="390"/>
      <c r="C11902" s="390"/>
      <c r="D11902" s="391"/>
      <c r="E11902" s="390"/>
      <c r="F11902" s="390"/>
      <c r="G11902" s="390"/>
      <c r="H11902" s="394"/>
    </row>
    <row r="11903" spans="1:8" ht="15.75" customHeight="1" x14ac:dyDescent="0.25">
      <c r="A11903" s="390"/>
      <c r="B11903" s="390"/>
      <c r="C11903" s="390"/>
      <c r="D11903" s="391"/>
      <c r="E11903" s="390"/>
      <c r="F11903" s="390"/>
      <c r="G11903" s="390"/>
      <c r="H11903" s="394"/>
    </row>
    <row r="11904" spans="1:8" ht="15.75" customHeight="1" x14ac:dyDescent="0.25">
      <c r="A11904" s="445"/>
      <c r="B11904" s="445"/>
      <c r="C11904" s="445"/>
      <c r="D11904" s="446"/>
      <c r="E11904" s="445" t="s">
        <v>99</v>
      </c>
      <c r="F11904" s="445"/>
      <c r="G11904" s="390"/>
      <c r="H11904" s="394"/>
    </row>
    <row r="11905" spans="4:8" ht="15.75" customHeight="1" x14ac:dyDescent="0.25">
      <c r="D11905" s="4"/>
      <c r="H11905" s="4"/>
    </row>
    <row r="11906" spans="4:8" ht="15.75" customHeight="1" x14ac:dyDescent="0.25">
      <c r="D11906" s="4"/>
      <c r="H11906" s="4"/>
    </row>
    <row r="11907" spans="4:8" ht="15.75" customHeight="1" x14ac:dyDescent="0.25">
      <c r="D11907" s="4"/>
      <c r="H11907" s="4"/>
    </row>
    <row r="11908" spans="4:8" ht="15.75" customHeight="1" x14ac:dyDescent="0.25">
      <c r="D11908" s="4"/>
      <c r="H11908" s="4"/>
    </row>
    <row r="11909" spans="4:8" ht="15.75" customHeight="1" x14ac:dyDescent="0.25">
      <c r="D11909" s="4"/>
      <c r="H11909" s="4"/>
    </row>
    <row r="11910" spans="4:8" ht="15.75" customHeight="1" x14ac:dyDescent="0.25">
      <c r="D11910" s="4"/>
      <c r="H11910" s="4"/>
    </row>
    <row r="11911" spans="4:8" ht="15.75" customHeight="1" x14ac:dyDescent="0.25">
      <c r="D11911" s="4"/>
      <c r="H11911" s="4"/>
    </row>
    <row r="11912" spans="4:8" ht="15.75" customHeight="1" x14ac:dyDescent="0.25">
      <c r="D11912" s="4"/>
      <c r="H11912" s="4"/>
    </row>
    <row r="11913" spans="4:8" ht="15.75" customHeight="1" x14ac:dyDescent="0.25">
      <c r="D11913" s="4"/>
      <c r="H11913" s="4"/>
    </row>
    <row r="11914" spans="4:8" ht="15.75" customHeight="1" x14ac:dyDescent="0.25">
      <c r="D11914" s="4"/>
      <c r="H11914" s="4"/>
    </row>
    <row r="11915" spans="4:8" ht="15.75" customHeight="1" x14ac:dyDescent="0.25">
      <c r="D11915" s="4"/>
      <c r="H11915" s="4"/>
    </row>
    <row r="11916" spans="4:8" ht="15.75" customHeight="1" x14ac:dyDescent="0.25">
      <c r="D11916" s="4"/>
      <c r="H11916" s="4"/>
    </row>
    <row r="11917" spans="4:8" ht="15.75" customHeight="1" x14ac:dyDescent="0.25">
      <c r="D11917" s="4"/>
      <c r="H11917" s="4"/>
    </row>
    <row r="11918" spans="4:8" ht="15.75" customHeight="1" x14ac:dyDescent="0.25">
      <c r="D11918" s="4"/>
      <c r="H11918" s="4"/>
    </row>
    <row r="11919" spans="4:8" ht="15.75" customHeight="1" x14ac:dyDescent="0.25">
      <c r="D11919" s="4"/>
      <c r="H11919" s="4"/>
    </row>
    <row r="11920" spans="4:8" ht="15.75" customHeight="1" x14ac:dyDescent="0.25">
      <c r="D11920" s="4"/>
      <c r="H11920" s="4"/>
    </row>
    <row r="11921" spans="1:8" ht="15.75" customHeight="1" x14ac:dyDescent="0.25">
      <c r="D11921" s="4"/>
      <c r="H11921" s="4"/>
    </row>
    <row r="11922" spans="1:8" ht="15.75" customHeight="1" x14ac:dyDescent="0.25">
      <c r="D11922" s="4"/>
      <c r="H11922" s="4"/>
    </row>
    <row r="11923" spans="1:8" ht="15.75" customHeight="1" x14ac:dyDescent="0.25">
      <c r="A11923" s="398" t="s">
        <v>14</v>
      </c>
      <c r="B11923" s="398"/>
      <c r="C11923" s="398"/>
      <c r="D11923" s="398"/>
      <c r="E11923" s="398"/>
      <c r="F11923" s="398"/>
      <c r="G11923" s="398"/>
      <c r="H11923" s="398"/>
    </row>
    <row r="11924" spans="1:8" ht="15.75" customHeight="1" x14ac:dyDescent="0.25">
      <c r="A11924" s="398"/>
      <c r="B11924" s="398"/>
      <c r="C11924" s="398"/>
      <c r="D11924" s="398"/>
      <c r="E11924" s="398"/>
      <c r="F11924" s="398"/>
      <c r="G11924" s="398"/>
      <c r="H11924" s="398"/>
    </row>
    <row r="11925" spans="1:8" ht="15.75" customHeight="1" x14ac:dyDescent="0.25">
      <c r="A11925" s="398"/>
      <c r="B11925" s="398"/>
      <c r="C11925" s="398"/>
      <c r="D11925" s="398"/>
      <c r="E11925" s="398"/>
      <c r="F11925" s="398"/>
      <c r="G11925" s="398"/>
      <c r="H11925" s="398"/>
    </row>
    <row r="11926" spans="1:8" ht="15.75" customHeight="1" x14ac:dyDescent="0.25">
      <c r="A11926" s="390"/>
      <c r="B11926" s="390"/>
      <c r="C11926" s="390"/>
      <c r="D11926" s="391"/>
      <c r="E11926" s="390"/>
      <c r="F11926" s="395" t="s">
        <v>18</v>
      </c>
      <c r="G11926" s="396" t="s">
        <v>1111</v>
      </c>
      <c r="H11926" s="397"/>
    </row>
    <row r="11927" spans="1:8" ht="15.75" customHeight="1" x14ac:dyDescent="0.25">
      <c r="A11927" s="390" t="s">
        <v>20</v>
      </c>
      <c r="B11927" s="390"/>
      <c r="C11927" s="390"/>
      <c r="D11927" s="391"/>
      <c r="E11927" s="390"/>
      <c r="F11927" s="395" t="s">
        <v>21</v>
      </c>
      <c r="G11927" s="390" t="s">
        <v>2040</v>
      </c>
      <c r="H11927" s="391"/>
    </row>
    <row r="11928" spans="1:8" ht="15.75" customHeight="1" x14ac:dyDescent="0.25">
      <c r="A11928" s="390" t="inlineStr">
        <is>
          <t>Dealer-018</t>
        </is>
      </c>
      <c r="B11928" s="390"/>
      <c r="C11928" s="390"/>
      <c r="D11928" s="391"/>
      <c r="E11928" s="395"/>
      <c r="F11928" s="390"/>
      <c r="G11928" s="390"/>
      <c r="H11928" s="394"/>
    </row>
    <row r="11929" spans="1:8" ht="15.75" customHeight="1" x14ac:dyDescent="0.25">
      <c r="A11929" s="390" t="inlineStr">
        <is>
          <t>Address line (redacted)</t>
        </is>
      </c>
      <c r="B11929" s="390"/>
      <c r="C11929" s="390"/>
      <c r="D11929" s="398"/>
      <c r="E11929" s="390"/>
      <c r="F11929" s="391"/>
      <c r="G11929" s="390"/>
      <c r="H11929" s="394"/>
    </row>
    <row r="11930" spans="1:8" ht="15.75" customHeight="1" x14ac:dyDescent="0.25">
      <c r="A11930" s="390"/>
      <c r="B11930" s="390"/>
      <c r="C11930" s="390"/>
      <c r="D11930" s="398"/>
      <c r="E11930" s="390"/>
      <c r="F11930" s="391"/>
      <c r="G11930" s="390"/>
      <c r="H11930" s="394"/>
    </row>
    <row r="11931" spans="1:8" ht="15.75" customHeight="1" x14ac:dyDescent="0.25">
      <c r="A11931" s="447"/>
      <c r="B11931" s="390"/>
      <c r="C11931" s="390"/>
      <c r="D11931" s="391"/>
      <c r="E11931" s="390"/>
      <c r="F11931" s="391"/>
      <c r="G11931" s="390"/>
      <c r="H11931" s="394"/>
    </row>
    <row r="11932" spans="1:8" ht="15.75" customHeight="1" x14ac:dyDescent="0.25">
      <c r="A11932" s="390" t="s">
        <v>30</v>
      </c>
      <c r="B11932" s="390"/>
      <c r="C11932" s="390"/>
      <c r="D11932" s="391"/>
      <c r="E11932" s="390"/>
      <c r="F11932" s="391"/>
      <c r="G11932" s="390"/>
      <c r="H11932" s="394"/>
    </row>
    <row r="11933" spans="1:8" ht="15.75" customHeight="1" x14ac:dyDescent="0.25">
      <c r="A11933" s="390"/>
      <c r="B11933" s="390"/>
      <c r="C11933" s="390"/>
      <c r="D11933" s="391"/>
      <c r="E11933" s="390"/>
      <c r="F11933" s="391"/>
      <c r="G11933" s="390"/>
      <c r="H11933" s="394"/>
    </row>
    <row r="11934" spans="1:8" ht="15.75" customHeight="1" x14ac:dyDescent="0.25">
      <c r="A11934" s="390" t="s">
        <v>1322</v>
      </c>
      <c r="B11934" s="390"/>
      <c r="C11934" s="390"/>
      <c r="D11934" s="391"/>
      <c r="E11934" s="390"/>
      <c r="F11934" s="391"/>
      <c r="G11934" s="390"/>
      <c r="H11934" s="394"/>
    </row>
    <row r="11935" spans="1:8" ht="15.75" customHeight="1" x14ac:dyDescent="0.25">
      <c r="A11935" s="390" t="s">
        <v>1328</v>
      </c>
      <c r="B11935" s="390"/>
      <c r="C11935" s="390"/>
      <c r="D11935" s="391"/>
      <c r="E11935" s="390"/>
      <c r="F11935" s="391"/>
      <c r="G11935" s="390"/>
      <c r="H11935" s="394"/>
    </row>
    <row r="11936" spans="1:8" ht="15.75" customHeight="1" x14ac:dyDescent="0.25">
      <c r="A11936" s="399" t="s">
        <v>33</v>
      </c>
      <c r="B11936" s="400" t="s">
        <v>6</v>
      </c>
      <c r="C11936" s="400"/>
      <c r="D11936" s="401" t="s">
        <v>37</v>
      </c>
      <c r="E11936" s="402" t="s">
        <v>38</v>
      </c>
      <c r="F11936" s="403" t="s">
        <v>7</v>
      </c>
      <c r="G11936" s="404" t="s">
        <v>43</v>
      </c>
      <c r="H11936" s="405" t="s">
        <v>44</v>
      </c>
    </row>
    <row r="11937" spans="1:8" ht="15.75" customHeight="1" x14ac:dyDescent="0.25">
      <c r="A11937" s="406"/>
      <c r="B11937" s="407"/>
      <c r="C11937" s="393"/>
      <c r="D11937" s="408"/>
      <c r="E11937" s="408"/>
      <c r="F11937" s="409"/>
      <c r="G11937" s="410"/>
      <c r="H11937" s="411"/>
    </row>
    <row r="11938" spans="1:8" ht="15.75" customHeight="1" x14ac:dyDescent="0.25">
      <c r="A11938" s="502"/>
      <c r="B11938" s="999" t="s">
        <v>1782</v>
      </c>
      <c r="C11938" s="1000"/>
      <c r="D11938" s="427"/>
      <c r="E11938" s="427"/>
      <c r="F11938" s="391"/>
      <c r="G11938" s="675"/>
      <c r="H11938" s="429"/>
    </row>
    <row r="11939" spans="1:8" ht="15.75" customHeight="1" x14ac:dyDescent="0.25">
      <c r="A11939" s="502" t="s">
        <v>55</v>
      </c>
      <c r="B11939" s="503" t="s">
        <v>1631</v>
      </c>
      <c r="C11939" s="390"/>
      <c r="D11939" s="427">
        <v>2</v>
      </c>
      <c r="E11939" s="427">
        <v>10</v>
      </c>
      <c r="F11939" s="391">
        <f>+E11939*D11939</f>
      </c>
      <c r="G11939" s="427">
        <v>1</v>
      </c>
      <c r="H11939" s="429">
        <f>+G11939*F11939</f>
      </c>
    </row>
    <row r="11940" spans="1:8" ht="15.75" customHeight="1" x14ac:dyDescent="0.25">
      <c r="A11940" s="502"/>
      <c r="B11940" s="999" t="s">
        <v>674</v>
      </c>
      <c r="C11940" s="1000"/>
      <c r="D11940" s="427"/>
      <c r="E11940" s="427"/>
      <c r="F11940" s="391"/>
      <c r="G11940" s="427"/>
      <c r="H11940" s="429"/>
    </row>
    <row r="11941" spans="1:8" ht="15.75" customHeight="1" x14ac:dyDescent="0.25">
      <c r="A11941" s="502" t="s">
        <v>59</v>
      </c>
      <c r="B11941" s="826" t="s">
        <v>537</v>
      </c>
      <c r="C11941" s="825"/>
      <c r="D11941" s="427">
        <v>2</v>
      </c>
      <c r="E11941" s="427">
        <v>2</v>
      </c>
      <c r="F11941" s="391">
        <f>+E11941*D11941</f>
      </c>
      <c r="G11941" s="427">
        <v>1</v>
      </c>
      <c r="H11941" s="429">
        <f>+G11941*F11941</f>
      </c>
    </row>
    <row r="11942" spans="1:8" ht="15.75" customHeight="1" x14ac:dyDescent="0.25">
      <c r="A11942" s="502"/>
      <c r="B11942" s="718"/>
      <c r="C11942" s="567"/>
      <c r="D11942" s="427"/>
      <c r="E11942" s="427"/>
      <c r="F11942" s="391"/>
      <c r="G11942" s="427"/>
      <c r="H11942" s="429"/>
    </row>
    <row r="11943" spans="1:8" ht="15.75" customHeight="1" x14ac:dyDescent="0.25">
      <c r="A11943" s="502"/>
      <c r="B11943" s="1001" t="s">
        <v>2313</v>
      </c>
      <c r="C11943" s="567"/>
      <c r="D11943" s="427"/>
      <c r="E11943" s="427"/>
      <c r="F11943" s="391"/>
      <c r="G11943" s="427"/>
      <c r="H11943" s="429"/>
    </row>
    <row r="11944" spans="1:8" ht="15.75" customHeight="1" x14ac:dyDescent="0.25">
      <c r="A11944" s="502"/>
      <c r="B11944" s="718"/>
      <c r="C11944" s="567"/>
      <c r="D11944" s="427"/>
      <c r="E11944" s="427"/>
      <c r="F11944" s="391"/>
      <c r="G11944" s="427"/>
      <c r="H11944" s="429"/>
    </row>
    <row r="11945" spans="1:8" ht="15.75" customHeight="1" x14ac:dyDescent="0.25">
      <c r="A11945" s="432"/>
      <c r="B11945" s="433"/>
      <c r="C11945" s="434" t="s">
        <v>85</v>
      </c>
      <c r="D11945" s="435">
        <f>SUM(D11938:D11944)</f>
      </c>
      <c r="E11945" s="435"/>
      <c r="F11945" s="436"/>
      <c r="G11945" s="437"/>
      <c r="H11945" s="438">
        <f>SUM(H11938:H11944)</f>
      </c>
    </row>
    <row r="11946" spans="1:8" ht="15.75" customHeight="1" x14ac:dyDescent="0.25">
      <c r="A11946" s="439"/>
      <c r="B11946" s="440"/>
      <c r="C11946" s="440"/>
      <c r="D11946" s="441"/>
      <c r="E11946" s="440"/>
      <c r="F11946" s="442"/>
      <c r="G11946" s="443"/>
      <c r="H11946" s="444"/>
    </row>
    <row r="11947" spans="1:8" ht="15.75" customHeight="1" x14ac:dyDescent="0.25">
      <c r="A11947" s="565" t="s">
        <v>1215</v>
      </c>
      <c r="B11947" s="565"/>
      <c r="C11947" s="565"/>
      <c r="D11947" s="565"/>
      <c r="E11947" s="565"/>
      <c r="F11947" s="565"/>
      <c r="G11947" s="565"/>
      <c r="H11947" s="565"/>
    </row>
    <row r="11948" spans="1:8" ht="15.75" customHeight="1" x14ac:dyDescent="0.25">
      <c r="A11948" s="445"/>
      <c r="B11948" s="445"/>
      <c r="C11948" s="445"/>
      <c r="D11948" s="446" t="s">
        <v>97</v>
      </c>
      <c r="E11948" s="445" t="s">
        <v>98</v>
      </c>
      <c r="F11948" s="445"/>
      <c r="G11948" s="390"/>
      <c r="H11948" s="394"/>
    </row>
    <row r="11949" spans="1:8" ht="15.75" customHeight="1" x14ac:dyDescent="0.25">
      <c r="A11949" s="445"/>
      <c r="B11949" s="445"/>
      <c r="C11949" s="445"/>
      <c r="D11949" s="446"/>
      <c r="E11949" s="445"/>
      <c r="F11949" s="445"/>
      <c r="G11949" s="390"/>
      <c r="H11949" s="394"/>
    </row>
    <row r="11950" spans="1:8" ht="15.75" customHeight="1" x14ac:dyDescent="0.25">
      <c r="D11950" s="4"/>
      <c r="H11950" s="4"/>
    </row>
    <row r="11951" spans="1:8" ht="15.75" customHeight="1" x14ac:dyDescent="0.25">
      <c r="D11951" s="4"/>
      <c r="E11951" s="445" t="s">
        <v>99</v>
      </c>
      <c r="H11951" s="4"/>
    </row>
    <row r="11952" spans="1:8" ht="15.75" customHeight="1" x14ac:dyDescent="0.25">
      <c r="D11952" s="4"/>
      <c r="H11952" s="4"/>
    </row>
    <row r="11953" spans="4:8" ht="15.75" customHeight="1" x14ac:dyDescent="0.25">
      <c r="D11953" s="4"/>
      <c r="H11953" s="4"/>
    </row>
    <row r="11954" spans="4:8" ht="15.75" customHeight="1" x14ac:dyDescent="0.25">
      <c r="D11954" s="4"/>
      <c r="H11954" s="4"/>
    </row>
    <row r="11955" spans="4:8" ht="15.75" customHeight="1" x14ac:dyDescent="0.25">
      <c r="D11955" s="4"/>
      <c r="H11955" s="4"/>
    </row>
    <row r="11956" spans="4:8" ht="15.75" customHeight="1" x14ac:dyDescent="0.25">
      <c r="D11956" s="4"/>
      <c r="H11956" s="4"/>
    </row>
    <row r="11957" spans="4:8" ht="15.75" customHeight="1" x14ac:dyDescent="0.25">
      <c r="D11957" s="4"/>
      <c r="H11957" s="4"/>
    </row>
    <row r="11958" spans="4:8" ht="15.75" customHeight="1" x14ac:dyDescent="0.25">
      <c r="D11958" s="4"/>
      <c r="H11958" s="4"/>
    </row>
    <row r="11959" spans="4:8" ht="15.75" customHeight="1" x14ac:dyDescent="0.25">
      <c r="D11959" s="4"/>
      <c r="H11959" s="4"/>
    </row>
    <row r="11960" spans="4:8" ht="15.75" customHeight="1" x14ac:dyDescent="0.25">
      <c r="D11960" s="4"/>
      <c r="H11960" s="4"/>
    </row>
    <row r="11961" spans="4:8" ht="15.75" customHeight="1" x14ac:dyDescent="0.25">
      <c r="D11961" s="4"/>
      <c r="H11961" s="4"/>
    </row>
    <row r="11962" spans="4:8" ht="15.75" customHeight="1" x14ac:dyDescent="0.25">
      <c r="D11962" s="4"/>
      <c r="H11962" s="4"/>
    </row>
    <row r="11963" spans="4:8" ht="15.75" customHeight="1" x14ac:dyDescent="0.25">
      <c r="D11963" s="4"/>
      <c r="H11963" s="4"/>
    </row>
    <row r="11964" spans="4:8" ht="15.75" customHeight="1" x14ac:dyDescent="0.25">
      <c r="D11964" s="4"/>
      <c r="H11964" s="4"/>
    </row>
    <row r="11965" spans="4:8" ht="15.75" customHeight="1" x14ac:dyDescent="0.25">
      <c r="D11965" s="4"/>
      <c r="H11965" s="4"/>
    </row>
    <row r="11966" spans="4:8" ht="15.75" customHeight="1" x14ac:dyDescent="0.25">
      <c r="D11966" s="4"/>
      <c r="H11966" s="4"/>
    </row>
    <row r="11967" spans="4:8" ht="15.75" customHeight="1" x14ac:dyDescent="0.25">
      <c r="D11967" s="4"/>
      <c r="H11967" s="4"/>
    </row>
    <row r="11968" spans="4:8" ht="15.75" customHeight="1" x14ac:dyDescent="0.25">
      <c r="D11968" s="4"/>
      <c r="H11968" s="4"/>
    </row>
    <row r="11969" spans="1:14" ht="15.75" customHeight="1" x14ac:dyDescent="0.25">
      <c r="A11969" s="398" t="s">
        <v>14</v>
      </c>
      <c r="B11969" s="398"/>
      <c r="C11969" s="398"/>
      <c r="D11969" s="398"/>
      <c r="E11969" s="398"/>
      <c r="F11969" s="398"/>
      <c r="G11969" s="398"/>
      <c r="H11969" s="398"/>
    </row>
    <row r="11970" spans="1:14" ht="15.75" customHeight="1" x14ac:dyDescent="0.25">
      <c r="A11970" s="398"/>
      <c r="B11970" s="398"/>
      <c r="C11970" s="398"/>
      <c r="D11970" s="398"/>
      <c r="E11970" s="398"/>
      <c r="F11970" s="398"/>
      <c r="G11970" s="398"/>
      <c r="H11970" s="398"/>
    </row>
    <row r="11971" spans="1:14" ht="15.75" customHeight="1" x14ac:dyDescent="0.25">
      <c r="A11971" s="398"/>
      <c r="B11971" s="398"/>
      <c r="C11971" s="398"/>
      <c r="D11971" s="398"/>
      <c r="E11971" s="398"/>
      <c r="F11971" s="398"/>
      <c r="G11971" s="398"/>
      <c r="H11971" s="398"/>
    </row>
    <row r="11972" spans="1:14" ht="15.75" customHeight="1" x14ac:dyDescent="0.25">
      <c r="A11972" s="390"/>
      <c r="B11972" s="390"/>
      <c r="C11972" s="390"/>
      <c r="D11972" s="4"/>
      <c r="E11972" s="390"/>
      <c r="F11972" s="395" t="s">
        <v>18</v>
      </c>
      <c r="G11972" s="396" t="s">
        <v>1111</v>
      </c>
      <c r="H11972" s="397"/>
    </row>
    <row r="11973" spans="1:14" ht="15.75" customHeight="1" x14ac:dyDescent="0.25">
      <c r="A11973" s="390" t="s">
        <v>20</v>
      </c>
      <c r="B11973" s="390"/>
      <c r="C11973" s="390"/>
      <c r="D11973" s="4"/>
      <c r="E11973" s="390"/>
      <c r="F11973" s="395" t="s">
        <v>21</v>
      </c>
      <c r="G11973" s="390" t="s">
        <v>1409</v>
      </c>
      <c r="H11973" s="391"/>
    </row>
    <row r="11974" spans="1:14" ht="15.75" customHeight="1" x14ac:dyDescent="0.3">
      <c r="A11974" s="390" t="inlineStr">
        <is>
          <t>Dealer-016</t>
        </is>
      </c>
      <c r="B11974" s="390"/>
      <c r="C11974" s="390"/>
      <c r="D11974" s="391"/>
      <c r="E11974" s="395"/>
      <c r="F11974" s="390"/>
      <c r="G11974" s="390"/>
      <c r="H11974" s="394"/>
      <c r="I11974" s="805"/>
      <c r="J11974" s="805"/>
    </row>
    <row r="11975" spans="1:14" ht="15.75" customHeight="1" x14ac:dyDescent="0.3">
      <c r="A11975" s="390" t="inlineStr">
        <is>
          <t>Dealer-017</t>
        </is>
      </c>
      <c r="B11975" s="390"/>
      <c r="C11975" s="390"/>
      <c r="D11975" s="398"/>
      <c r="E11975" s="390"/>
      <c r="F11975" s="391"/>
      <c r="G11975" s="390"/>
      <c r="H11975" s="394"/>
      <c r="J11975" s="805"/>
    </row>
    <row r="11976" spans="1:14" ht="15.75" customHeight="1" x14ac:dyDescent="0.3">
      <c r="A11976" s="390" t="inlineStr">
        <is>
          <t>Address line (redacted)</t>
        </is>
      </c>
      <c r="B11976" s="390"/>
      <c r="C11976" s="390"/>
      <c r="D11976" s="398"/>
      <c r="E11976" s="390"/>
      <c r="F11976" s="391"/>
      <c r="G11976" s="390"/>
      <c r="H11976" s="394"/>
      <c r="J11976" s="805"/>
    </row>
    <row r="11977" spans="1:14" ht="15.75" customHeight="1" x14ac:dyDescent="0.3">
      <c r="A11977" s="390" t="inlineStr">
        <is>
          <t>Address line (redacted)</t>
        </is>
      </c>
      <c r="B11977" s="390"/>
      <c r="C11977" s="390"/>
      <c r="D11977" s="391"/>
      <c r="E11977" s="390"/>
      <c r="F11977" s="391"/>
      <c r="G11977" s="390"/>
      <c r="H11977" s="394"/>
      <c r="I11977" s="805"/>
      <c r="J11977" s="805"/>
    </row>
    <row r="11978" spans="1:14" ht="15.75" customHeight="1" x14ac:dyDescent="0.3">
      <c r="A11978" s="390"/>
      <c r="B11978" s="390"/>
      <c r="C11978" s="390"/>
      <c r="D11978" s="391"/>
      <c r="E11978" s="390"/>
      <c r="F11978" s="391"/>
      <c r="G11978" s="390"/>
      <c r="H11978" s="394"/>
      <c r="I11978" s="805"/>
      <c r="J11978" s="805"/>
    </row>
    <row r="11979" spans="1:14" ht="15.75" customHeight="1" x14ac:dyDescent="0.3">
      <c r="A11979" s="390" t="s">
        <v>30</v>
      </c>
      <c r="B11979" s="390"/>
      <c r="C11979" s="390"/>
      <c r="D11979" s="391"/>
      <c r="E11979" s="390"/>
      <c r="F11979" s="391"/>
      <c r="G11979" s="390"/>
      <c r="H11979" s="394"/>
      <c r="I11979" s="805"/>
      <c r="J11979" s="805"/>
    </row>
    <row r="11980" spans="1:14" ht="15.75" customHeight="1" x14ac:dyDescent="0.25">
      <c r="A11980" s="390"/>
      <c r="B11980" s="390"/>
      <c r="C11980" s="390"/>
      <c r="D11980" s="391"/>
      <c r="E11980" s="390"/>
      <c r="F11980" s="391"/>
      <c r="G11980" s="390"/>
      <c r="H11980" s="394"/>
    </row>
    <row r="11981" spans="1:14" ht="15.75" customHeight="1" x14ac:dyDescent="0.25">
      <c r="A11981" s="390" t="s">
        <v>1322</v>
      </c>
      <c r="B11981" s="390"/>
      <c r="C11981" s="390"/>
      <c r="D11981" s="391"/>
      <c r="E11981" s="390"/>
      <c r="F11981" s="391"/>
      <c r="G11981" s="390"/>
      <c r="H11981" s="394"/>
    </row>
    <row r="11982" spans="1:14" ht="15.75" customHeight="1" x14ac:dyDescent="0.25">
      <c r="A11982" s="390" t="s">
        <v>1328</v>
      </c>
      <c r="B11982" s="390"/>
      <c r="C11982" s="390"/>
      <c r="D11982" s="391"/>
      <c r="E11982" s="390"/>
      <c r="F11982" s="391"/>
      <c r="G11982" s="390"/>
      <c r="H11982" s="394"/>
    </row>
    <row r="11983" spans="1:14" ht="15.75" customHeight="1" x14ac:dyDescent="0.25">
      <c r="A11983" s="399" t="s">
        <v>33</v>
      </c>
      <c r="B11983" s="400" t="s">
        <v>6</v>
      </c>
      <c r="C11983" s="400"/>
      <c r="D11983" s="401" t="s">
        <v>37</v>
      </c>
      <c r="E11983" s="402" t="s">
        <v>38</v>
      </c>
      <c r="F11983" s="403" t="s">
        <v>7</v>
      </c>
      <c r="G11983" s="404" t="s">
        <v>43</v>
      </c>
      <c r="H11983" s="405" t="s">
        <v>44</v>
      </c>
    </row>
    <row r="11984" spans="1:14" ht="15.75" customHeight="1" x14ac:dyDescent="0.3">
      <c r="A11984" s="406"/>
      <c r="B11984" s="407"/>
      <c r="C11984" s="393"/>
      <c r="D11984" s="408"/>
      <c r="E11984" s="408"/>
      <c r="F11984" s="409"/>
      <c r="G11984" s="410"/>
      <c r="H11984" s="411"/>
      <c r="I11984" s="1002"/>
      <c r="K11984" s="805"/>
      <c r="L11984" s="1003"/>
      <c r="N11984" s="1003"/>
    </row>
    <row r="11985" spans="1:14" ht="15.75" customHeight="1" x14ac:dyDescent="0.3">
      <c r="A11985" s="502"/>
      <c r="B11985" s="999" t="s">
        <v>1410</v>
      </c>
      <c r="C11985" s="1000"/>
      <c r="D11985" s="427"/>
      <c r="E11985" s="427"/>
      <c r="F11985" s="391"/>
      <c r="G11985" s="675"/>
      <c r="H11985" s="429"/>
      <c r="I11985" s="1002"/>
      <c r="K11985" s="805"/>
      <c r="L11985" s="1003"/>
      <c r="N11985" s="1003"/>
    </row>
    <row r="11986" spans="1:14" ht="15.75" customHeight="1" x14ac:dyDescent="0.3">
      <c r="A11986" s="1002" t="s">
        <v>55</v>
      </c>
      <c r="B11986" s="1004" t="s">
        <v>2041</v>
      </c>
      <c r="C11986" s="1005"/>
      <c r="D11986" s="633">
        <v>6</v>
      </c>
      <c r="E11986" s="427"/>
      <c r="F11986" s="1002">
        <v>500</v>
      </c>
      <c r="G11986" s="427"/>
      <c r="H11986" s="429"/>
      <c r="I11986" s="1002"/>
      <c r="K11986" s="805"/>
      <c r="L11986" s="1003"/>
      <c r="N11986" s="1003"/>
    </row>
    <row r="11987" spans="1:14" ht="15.75" customHeight="1" x14ac:dyDescent="0.3">
      <c r="A11987" s="1002" t="s">
        <v>59</v>
      </c>
      <c r="B11987" s="1004" t="s">
        <v>1411</v>
      </c>
      <c r="C11987" s="1006"/>
      <c r="D11987" s="633"/>
      <c r="E11987" s="427"/>
      <c r="F11987" s="1002">
        <v>1000</v>
      </c>
      <c r="G11987" s="427"/>
      <c r="H11987" s="429"/>
      <c r="I11987" s="1002"/>
      <c r="K11987" s="805"/>
      <c r="L11987" s="1003"/>
      <c r="N11987" s="1003"/>
    </row>
    <row r="11988" spans="1:14" ht="15.75" customHeight="1" x14ac:dyDescent="0.3">
      <c r="A11988" s="1002" t="s">
        <v>67</v>
      </c>
      <c r="B11988" s="1004" t="s">
        <v>1499</v>
      </c>
      <c r="C11988" s="825"/>
      <c r="D11988" s="633"/>
      <c r="E11988" s="427"/>
      <c r="F11988" s="1002">
        <v>2000</v>
      </c>
      <c r="G11988" s="427"/>
      <c r="H11988" s="429"/>
      <c r="I11988" s="1002"/>
      <c r="K11988" s="805"/>
      <c r="L11988" s="1003"/>
      <c r="N11988" s="1003"/>
    </row>
    <row r="11989" spans="1:14" ht="15.75" customHeight="1" x14ac:dyDescent="0.3">
      <c r="A11989" s="1002" t="s">
        <v>485</v>
      </c>
      <c r="B11989" s="1004" t="s">
        <v>1469</v>
      </c>
      <c r="C11989" s="1007"/>
      <c r="D11989" s="633"/>
      <c r="E11989" s="427"/>
      <c r="F11989" s="1002">
        <v>500</v>
      </c>
      <c r="G11989" s="427"/>
      <c r="H11989" s="429"/>
      <c r="I11989" s="1002"/>
      <c r="K11989" s="805"/>
      <c r="L11989" s="1003"/>
      <c r="N11989" s="1003"/>
    </row>
    <row r="11990" spans="1:14" ht="15.75" customHeight="1" x14ac:dyDescent="0.3">
      <c r="A11990" s="1002" t="s">
        <v>486</v>
      </c>
      <c r="B11990" s="1004" t="s">
        <v>1498</v>
      </c>
      <c r="C11990" s="1007"/>
      <c r="D11990" s="633"/>
      <c r="E11990" s="427"/>
      <c r="F11990" s="1002">
        <v>10</v>
      </c>
      <c r="G11990" s="427"/>
      <c r="H11990" s="429"/>
      <c r="I11990" s="1008"/>
      <c r="J11990" s="805"/>
      <c r="K11990" s="805"/>
      <c r="L11990" s="805"/>
      <c r="M11990" s="805"/>
      <c r="N11990" s="805"/>
    </row>
    <row r="11991" spans="1:14" ht="15.75" customHeight="1" x14ac:dyDescent="0.3">
      <c r="A11991" s="1002" t="s">
        <v>489</v>
      </c>
      <c r="B11991" s="1004" t="s">
        <v>89</v>
      </c>
      <c r="C11991" s="1007"/>
      <c r="D11991" s="633"/>
      <c r="E11991" s="427"/>
      <c r="F11991" s="1002">
        <v>1000</v>
      </c>
      <c r="G11991" s="427"/>
      <c r="H11991" s="429"/>
      <c r="I11991" s="1008"/>
      <c r="J11991" s="805"/>
      <c r="K11991" s="805"/>
      <c r="L11991" s="805"/>
      <c r="M11991" s="805"/>
      <c r="N11991" s="805"/>
    </row>
    <row r="11992" spans="1:14" ht="15.75" customHeight="1" x14ac:dyDescent="0.3">
      <c r="A11992" s="502"/>
      <c r="B11992" s="718"/>
      <c r="C11992" s="567"/>
      <c r="D11992" s="427"/>
      <c r="E11992" s="427"/>
      <c r="F11992" s="391"/>
      <c r="G11992" s="427"/>
      <c r="H11992" s="429"/>
      <c r="I11992" s="1008"/>
      <c r="J11992" s="805"/>
      <c r="K11992" s="805"/>
      <c r="L11992" s="805"/>
      <c r="M11992" s="805"/>
      <c r="N11992" s="805"/>
    </row>
    <row r="11993" spans="1:14" ht="15.75" customHeight="1" x14ac:dyDescent="0.25">
      <c r="A11993" s="502"/>
      <c r="B11993" s="718"/>
      <c r="C11993" s="567"/>
      <c r="D11993" s="427"/>
      <c r="E11993" s="427"/>
      <c r="F11993" s="391"/>
      <c r="G11993" s="427"/>
      <c r="H11993" s="429"/>
    </row>
    <row r="11994" spans="1:14" ht="15.75" customHeight="1" x14ac:dyDescent="0.25">
      <c r="A11994" s="502"/>
      <c r="B11994" s="718"/>
      <c r="C11994" s="567"/>
      <c r="D11994" s="427"/>
      <c r="E11994" s="427"/>
      <c r="F11994" s="391"/>
      <c r="G11994" s="427"/>
      <c r="H11994" s="429"/>
    </row>
    <row r="11995" spans="1:14" ht="15.75" customHeight="1" x14ac:dyDescent="0.25">
      <c r="A11995" s="432"/>
      <c r="B11995" s="433"/>
      <c r="C11995" s="434" t="s">
        <v>85</v>
      </c>
      <c r="D11995" s="435">
        <f>SUM(D11985:D11994)</f>
      </c>
      <c r="E11995" s="435"/>
      <c r="F11995" s="436"/>
      <c r="G11995" s="437"/>
      <c r="H11995" s="438">
        <f>SUM(H11985:H11994)</f>
      </c>
    </row>
    <row r="11996" spans="1:14" ht="15.75" customHeight="1" x14ac:dyDescent="0.25">
      <c r="A11996" s="439"/>
      <c r="B11996" s="440"/>
      <c r="C11996" s="440"/>
      <c r="D11996" s="441"/>
      <c r="E11996" s="440"/>
      <c r="F11996" s="442"/>
      <c r="G11996" s="443"/>
      <c r="H11996" s="444"/>
    </row>
    <row r="11997" spans="1:14" ht="15.75" customHeight="1" x14ac:dyDescent="0.25">
      <c r="A11997" s="565"/>
      <c r="B11997" s="565"/>
      <c r="C11997" s="565"/>
      <c r="D11997" s="565"/>
      <c r="E11997" s="565"/>
      <c r="F11997" s="565"/>
      <c r="G11997" s="565"/>
      <c r="H11997" s="565"/>
    </row>
    <row r="11998" spans="1:14" ht="15.75" customHeight="1" x14ac:dyDescent="0.25">
      <c r="A11998" s="445"/>
      <c r="B11998" s="445"/>
      <c r="C11998" s="445"/>
      <c r="D11998" s="446" t="s">
        <v>97</v>
      </c>
      <c r="E11998" s="445" t="s">
        <v>98</v>
      </c>
      <c r="F11998" s="445"/>
      <c r="G11998" s="390"/>
      <c r="H11998" s="394"/>
    </row>
    <row r="11999" spans="1:14" ht="15.75" customHeight="1" x14ac:dyDescent="0.25">
      <c r="A11999" s="445"/>
      <c r="B11999" s="445"/>
      <c r="C11999" s="445"/>
      <c r="D11999" s="446"/>
      <c r="E11999" s="445"/>
      <c r="F11999" s="445"/>
      <c r="G11999" s="390"/>
      <c r="H11999" s="394"/>
    </row>
    <row r="12000" spans="1:14" ht="15.75" customHeight="1" x14ac:dyDescent="0.25">
      <c r="D12000" s="4"/>
      <c r="H12000" s="4"/>
    </row>
    <row r="12001" spans="1:8" ht="15.75" customHeight="1" x14ac:dyDescent="0.25">
      <c r="D12001" s="4"/>
      <c r="E12001" s="445" t="s">
        <v>99</v>
      </c>
      <c r="H12001" s="4"/>
    </row>
    <row r="12002" spans="1:8" ht="15.75" customHeight="1" x14ac:dyDescent="0.25">
      <c r="D12002" s="4"/>
      <c r="H12002" s="4"/>
    </row>
    <row r="12003" spans="1:8" ht="15.75" customHeight="1" x14ac:dyDescent="0.25">
      <c r="D12003" s="4"/>
      <c r="H12003" s="4"/>
    </row>
    <row r="12004" spans="1:8" ht="15.75" customHeight="1" x14ac:dyDescent="0.25">
      <c r="D12004" s="4"/>
      <c r="H12004" s="4"/>
    </row>
    <row r="12005" spans="1:8" ht="15.75" customHeight="1" x14ac:dyDescent="0.25">
      <c r="D12005" s="4"/>
      <c r="H12005" s="4"/>
    </row>
    <row r="12006" spans="1:8" ht="15.75" customHeight="1" x14ac:dyDescent="0.25">
      <c r="D12006" s="4"/>
      <c r="H12006" s="4"/>
    </row>
    <row r="12007" spans="1:8" ht="15.75" customHeight="1" x14ac:dyDescent="0.25">
      <c r="D12007" s="4"/>
      <c r="H12007" s="4"/>
    </row>
    <row r="12008" spans="1:8" ht="15.75" customHeight="1" x14ac:dyDescent="0.25">
      <c r="D12008" s="4"/>
      <c r="H12008" s="4"/>
    </row>
    <row r="12009" spans="1:8" ht="15.75" customHeight="1" x14ac:dyDescent="0.25">
      <c r="D12009" s="4"/>
      <c r="H12009" s="4"/>
    </row>
    <row r="12010" spans="1:8" ht="15.75" customHeight="1" x14ac:dyDescent="0.25">
      <c r="D12010" s="4"/>
      <c r="H12010" s="4"/>
    </row>
    <row r="12011" spans="1:8" ht="15.75" customHeight="1" x14ac:dyDescent="0.25">
      <c r="D12011" s="4"/>
      <c r="H12011" s="4"/>
    </row>
    <row r="12012" spans="1:8" ht="15.75" customHeight="1" x14ac:dyDescent="0.25">
      <c r="A12012" s="8" t="s">
        <v>14</v>
      </c>
      <c r="B12012" s="8"/>
      <c r="C12012" s="8"/>
      <c r="D12012" s="8"/>
      <c r="E12012" s="8"/>
      <c r="F12012" s="8"/>
      <c r="G12012" s="8"/>
      <c r="H12012" s="8"/>
    </row>
    <row r="12013" spans="1:8" ht="15.75" customHeight="1" x14ac:dyDescent="0.25">
      <c r="A12013" s="388"/>
      <c r="B12013" s="388"/>
      <c r="C12013" s="388"/>
      <c r="D12013" s="389"/>
      <c r="E12013" s="388"/>
      <c r="F12013" s="388"/>
      <c r="G12013" s="388"/>
      <c r="H12013" s="8"/>
    </row>
    <row r="12014" spans="1:8" ht="15.75" customHeight="1" x14ac:dyDescent="0.25">
      <c r="A12014" s="390"/>
      <c r="B12014" s="390"/>
      <c r="D12014" s="392"/>
      <c r="E12014" s="393"/>
      <c r="F12014" s="393"/>
      <c r="G12014" s="393"/>
      <c r="H12014" s="394"/>
    </row>
    <row r="12015" spans="1:8" ht="15.75" customHeight="1" x14ac:dyDescent="0.25">
      <c r="A12015" s="390"/>
      <c r="B12015" s="390"/>
      <c r="C12015" s="390"/>
      <c r="D12015" s="391"/>
      <c r="E12015" s="390"/>
      <c r="F12015" s="395" t="s">
        <v>18</v>
      </c>
      <c r="G12015" s="396" t="s">
        <v>1114</v>
      </c>
      <c r="H12015" s="397"/>
    </row>
    <row r="12016" spans="1:8" ht="15.75" customHeight="1" x14ac:dyDescent="0.25">
      <c r="A12016" s="390" t="s">
        <v>20</v>
      </c>
      <c r="B12016" s="390"/>
      <c r="D12016" s="391"/>
      <c r="E12016" s="390"/>
      <c r="F12016" s="395" t="s">
        <v>21</v>
      </c>
      <c r="G12016" s="390" t="s">
        <v>1361</v>
      </c>
      <c r="H12016" s="391"/>
    </row>
    <row r="12017" spans="1:8" ht="15.75" customHeight="1" x14ac:dyDescent="0.25">
      <c r="A12017" s="390" t="inlineStr">
        <is>
          <t>Dealer-003</t>
        </is>
      </c>
      <c r="B12017" s="390"/>
      <c r="C12017" s="390" t="inlineStr">
        <is>
          <t>ATTN: Contact-007</t>
        </is>
      </c>
      <c r="D12017" s="398"/>
      <c r="E12017" s="390"/>
      <c r="F12017" s="391"/>
      <c r="G12017" s="390"/>
      <c r="H12017" s="394"/>
    </row>
    <row r="12018" spans="1:8" ht="15.75" customHeight="1" x14ac:dyDescent="0.25">
      <c r="A12018" s="390" t="inlineStr">
        <is>
          <t>Address line (redacted)</t>
        </is>
      </c>
      <c r="B12018" s="390"/>
      <c r="C12018" s="390"/>
      <c r="D12018" s="398"/>
      <c r="E12018" s="390"/>
      <c r="F12018" s="391"/>
      <c r="G12018" s="390"/>
      <c r="H12018" s="394"/>
    </row>
    <row r="12019" spans="1:8" ht="15.75" customHeight="1" x14ac:dyDescent="0.25">
      <c r="A12019" s="390" t="inlineStr">
        <is>
          <t>Address line (redacted)</t>
        </is>
      </c>
      <c r="B12019" s="390"/>
      <c r="C12019" s="390"/>
      <c r="D12019" s="391"/>
      <c r="E12019" s="390"/>
      <c r="F12019" s="391"/>
      <c r="G12019" s="390"/>
      <c r="H12019" s="394"/>
    </row>
    <row r="12020" spans="1:8" ht="15.75" customHeight="1" x14ac:dyDescent="0.25">
      <c r="A12020" s="390"/>
      <c r="B12020" s="390"/>
      <c r="C12020" s="390"/>
      <c r="D12020" s="391"/>
      <c r="E12020" s="390"/>
      <c r="F12020" s="391"/>
      <c r="G12020" s="390"/>
      <c r="H12020" s="394"/>
    </row>
    <row r="12021" spans="1:8" ht="15.75" customHeight="1" x14ac:dyDescent="0.25">
      <c r="A12021" s="390" t="s">
        <v>30</v>
      </c>
      <c r="B12021" s="390"/>
      <c r="C12021" s="390"/>
      <c r="D12021" s="391"/>
      <c r="E12021" s="390"/>
      <c r="F12021" s="391"/>
      <c r="G12021" s="390"/>
      <c r="H12021" s="394"/>
    </row>
    <row r="12022" spans="1:8" ht="15.75" customHeight="1" x14ac:dyDescent="0.25">
      <c r="A12022" s="390"/>
      <c r="B12022" s="390"/>
      <c r="C12022" s="390"/>
      <c r="D12022" s="391"/>
      <c r="E12022" s="390"/>
      <c r="F12022" s="391"/>
      <c r="G12022" s="390"/>
      <c r="H12022" s="394"/>
    </row>
    <row r="12023" spans="1:8" ht="15.75" customHeight="1" x14ac:dyDescent="0.25">
      <c r="A12023" s="390" t="s">
        <v>716</v>
      </c>
      <c r="B12023" s="390"/>
      <c r="C12023" s="390"/>
      <c r="D12023" s="391"/>
      <c r="E12023" s="390"/>
      <c r="F12023" s="391"/>
      <c r="G12023" s="390"/>
      <c r="H12023" s="394"/>
    </row>
    <row r="12024" spans="1:8" ht="15.75" customHeight="1" x14ac:dyDescent="0.25">
      <c r="A12024" s="390" t="s">
        <v>717</v>
      </c>
      <c r="B12024" s="390"/>
      <c r="C12024" s="390"/>
      <c r="D12024" s="391"/>
      <c r="E12024" s="390"/>
      <c r="F12024" s="391"/>
      <c r="G12024" s="390"/>
      <c r="H12024" s="394"/>
    </row>
    <row r="12025" spans="1:8" ht="15.75" customHeight="1" x14ac:dyDescent="0.25">
      <c r="A12025" s="390"/>
      <c r="B12025" s="390"/>
      <c r="C12025" s="390"/>
      <c r="D12025" s="391"/>
      <c r="E12025" s="390"/>
      <c r="F12025" s="391"/>
      <c r="G12025" s="390"/>
      <c r="H12025" s="394"/>
    </row>
    <row r="12026" spans="1:8" ht="15.75" customHeight="1" x14ac:dyDescent="0.25">
      <c r="A12026" s="948" t="s">
        <v>33</v>
      </c>
      <c r="B12026" s="949" t="s">
        <v>6</v>
      </c>
      <c r="C12026" s="950"/>
      <c r="D12026" s="874" t="s">
        <v>37</v>
      </c>
      <c r="E12026" s="874" t="s">
        <v>38</v>
      </c>
      <c r="F12026" s="875" t="s">
        <v>7</v>
      </c>
      <c r="G12026" s="872" t="s">
        <v>43</v>
      </c>
      <c r="H12026" s="876" t="s">
        <v>44</v>
      </c>
    </row>
    <row r="12027" spans="1:8" ht="15.75" customHeight="1" x14ac:dyDescent="0.3">
      <c r="A12027" s="412"/>
      <c r="B12027" s="967"/>
      <c r="C12027" s="422"/>
      <c r="D12027" s="951"/>
      <c r="E12027" s="879"/>
      <c r="F12027" s="415"/>
      <c r="G12027" s="415"/>
      <c r="H12027" s="416"/>
    </row>
    <row r="12028" spans="1:8" ht="15.75" customHeight="1" x14ac:dyDescent="0.25">
      <c r="A12028" s="412"/>
      <c r="B12028" s="883" t="s">
        <v>1365</v>
      </c>
      <c r="C12028" s="883"/>
      <c r="D12028" s="842"/>
      <c r="E12028" s="415"/>
      <c r="F12028" s="415"/>
      <c r="G12028" s="415"/>
      <c r="H12028" s="416"/>
    </row>
    <row r="12029" spans="1:8" ht="15.75" customHeight="1" x14ac:dyDescent="0.25">
      <c r="A12029" s="412">
        <v>1</v>
      </c>
      <c r="B12029" s="959">
        <v>505</v>
      </c>
      <c r="C12029" s="422"/>
      <c r="D12029" s="842">
        <v>3</v>
      </c>
      <c r="E12029" s="415">
        <v>4</v>
      </c>
      <c r="F12029" s="415">
        <f t="shared" ref="F12029:F12032" si="432">+E12029*D12029</f>
      </c>
      <c r="G12029" s="415">
        <v>1</v>
      </c>
      <c r="H12029" s="416">
        <f t="shared" ref="H12029:H12031" si="433">+G12029*F12029</f>
      </c>
    </row>
    <row r="12030" spans="1:8" ht="15.75" customHeight="1" x14ac:dyDescent="0.25">
      <c r="A12030" s="412">
        <v>2</v>
      </c>
      <c r="B12030" s="960">
        <v>507</v>
      </c>
      <c r="C12030" s="422"/>
      <c r="D12030" s="842">
        <v>43</v>
      </c>
      <c r="E12030" s="415">
        <v>4</v>
      </c>
      <c r="F12030" s="415">
        <f t="shared" si="432"/>
      </c>
      <c r="G12030" s="415">
        <v>1</v>
      </c>
      <c r="H12030" s="416">
        <f t="shared" si="433"/>
      </c>
    </row>
    <row r="12031" spans="1:8" ht="15.75" customHeight="1" x14ac:dyDescent="0.25">
      <c r="A12031" s="412">
        <v>3</v>
      </c>
      <c r="B12031" s="960">
        <v>508</v>
      </c>
      <c r="C12031" s="422"/>
      <c r="D12031" s="842">
        <v>4</v>
      </c>
      <c r="E12031" s="415">
        <v>4</v>
      </c>
      <c r="F12031" s="415">
        <f t="shared" si="432"/>
      </c>
      <c r="G12031" s="415">
        <v>1</v>
      </c>
      <c r="H12031" s="416">
        <f t="shared" si="433"/>
      </c>
    </row>
    <row r="12032" spans="1:8" ht="15.75" customHeight="1" x14ac:dyDescent="0.25">
      <c r="A12032" s="412">
        <v>5</v>
      </c>
      <c r="B12032" s="960">
        <v>507</v>
      </c>
      <c r="C12032" s="422"/>
      <c r="D12032" s="842">
        <v>2</v>
      </c>
      <c r="E12032" s="415">
        <v>4</v>
      </c>
      <c r="F12032" s="415">
        <f t="shared" si="432"/>
      </c>
      <c r="G12032" s="619" t="s">
        <v>1856</v>
      </c>
      <c r="H12032" s="416"/>
    </row>
    <row r="12033" spans="1:8" ht="15.75" customHeight="1" x14ac:dyDescent="0.25">
      <c r="A12033" s="412"/>
      <c r="B12033" s="960"/>
      <c r="C12033" s="422"/>
      <c r="D12033" s="626"/>
      <c r="E12033" s="626"/>
      <c r="F12033" s="415"/>
      <c r="G12033" s="415"/>
      <c r="H12033" s="416"/>
    </row>
    <row r="12034" spans="1:8" ht="15.75" customHeight="1" x14ac:dyDescent="0.25">
      <c r="A12034" s="412"/>
      <c r="B12034" s="960"/>
      <c r="C12034" s="422"/>
      <c r="D12034" s="842"/>
      <c r="E12034" s="415"/>
      <c r="F12034" s="415"/>
      <c r="G12034" s="415"/>
      <c r="H12034" s="416"/>
    </row>
    <row r="12035" spans="1:8" ht="15.75" customHeight="1" x14ac:dyDescent="0.25">
      <c r="A12035" s="412"/>
      <c r="B12035" s="960"/>
      <c r="C12035" s="422"/>
      <c r="D12035" s="842"/>
      <c r="E12035" s="415"/>
      <c r="F12035" s="415"/>
      <c r="G12035" s="415"/>
      <c r="H12035" s="416"/>
    </row>
    <row r="12036" spans="1:8" ht="15.75" customHeight="1" x14ac:dyDescent="0.25">
      <c r="A12036" s="412"/>
      <c r="B12036" s="419"/>
      <c r="C12036" s="418"/>
      <c r="D12036" s="415"/>
      <c r="E12036" s="415"/>
      <c r="F12036" s="415"/>
      <c r="G12036" s="415"/>
      <c r="H12036" s="416"/>
    </row>
    <row r="12037" spans="1:8" ht="15.75" customHeight="1" x14ac:dyDescent="0.25">
      <c r="A12037" s="894"/>
      <c r="B12037" s="878"/>
      <c r="C12037" s="895"/>
      <c r="D12037" s="593"/>
      <c r="E12037" s="593"/>
      <c r="F12037" s="593"/>
      <c r="G12037" s="593"/>
      <c r="H12037" s="931"/>
    </row>
    <row r="12038" spans="1:8" ht="15.75" customHeight="1" x14ac:dyDescent="0.25">
      <c r="A12038" s="877"/>
      <c r="B12038" s="688"/>
      <c r="C12038" s="896" t="s">
        <v>85</v>
      </c>
      <c r="D12038" s="401">
        <f>SUM(D12029:D12037)</f>
      </c>
      <c r="E12038" s="401"/>
      <c r="F12038" s="401">
        <f>SUM(F12029:F12037)</f>
      </c>
      <c r="G12038" s="661"/>
      <c r="H12038" s="438">
        <f>SUM(H12029:H12037)</f>
      </c>
    </row>
    <row r="12039" spans="1:8" ht="15.75" customHeight="1" x14ac:dyDescent="0.25">
      <c r="A12039" s="932"/>
      <c r="B12039" s="933"/>
      <c r="C12039" s="934"/>
      <c r="D12039" s="431"/>
      <c r="E12039" s="935"/>
      <c r="F12039" s="935"/>
      <c r="G12039" s="936"/>
      <c r="H12039" s="444"/>
    </row>
    <row r="12040" spans="1:8" ht="15.75" customHeight="1" x14ac:dyDescent="0.25">
      <c r="A12040" s="994" t="s">
        <v>913</v>
      </c>
      <c r="B12040" s="391"/>
      <c r="C12040" s="391"/>
      <c r="D12040" s="391"/>
      <c r="E12040" s="390"/>
      <c r="F12040" s="392"/>
      <c r="G12040" s="390"/>
      <c r="H12040" s="394"/>
    </row>
    <row r="12041" spans="1:8" ht="15.75" customHeight="1" x14ac:dyDescent="0.25">
      <c r="A12041" s="445"/>
      <c r="B12041" s="445"/>
      <c r="C12041" s="445"/>
      <c r="D12041" s="446" t="s">
        <v>97</v>
      </c>
      <c r="E12041" s="445" t="s">
        <v>98</v>
      </c>
      <c r="F12041" s="445"/>
      <c r="G12041" s="390"/>
      <c r="H12041" s="394"/>
    </row>
    <row r="12042" spans="1:8" ht="15.75" customHeight="1" x14ac:dyDescent="0.25">
      <c r="A12042" s="390"/>
      <c r="B12042" s="390"/>
      <c r="C12042" s="390"/>
      <c r="D12042" s="391"/>
      <c r="E12042" s="390"/>
      <c r="F12042" s="390"/>
      <c r="G12042" s="390"/>
      <c r="H12042" s="394"/>
    </row>
    <row r="12043" spans="1:8" ht="15.75" customHeight="1" x14ac:dyDescent="0.25">
      <c r="A12043" s="390"/>
      <c r="B12043" s="390"/>
      <c r="C12043" s="390"/>
      <c r="D12043" s="391"/>
      <c r="E12043" s="390"/>
      <c r="F12043" s="390"/>
      <c r="G12043" s="390"/>
      <c r="H12043" s="394"/>
    </row>
    <row r="12044" spans="1:8" ht="15.75" customHeight="1" x14ac:dyDescent="0.25">
      <c r="A12044" s="445"/>
      <c r="B12044" s="445"/>
      <c r="C12044" s="445"/>
      <c r="D12044" s="446"/>
      <c r="E12044" s="445" t="s">
        <v>99</v>
      </c>
      <c r="F12044" s="445"/>
      <c r="G12044" s="390"/>
      <c r="H12044" s="394"/>
    </row>
    <row r="12045" spans="1:8" ht="15.75" customHeight="1" x14ac:dyDescent="0.25">
      <c r="D12045" s="4"/>
      <c r="H12045" s="4"/>
    </row>
    <row r="12046" spans="1:8" ht="15.75" customHeight="1" x14ac:dyDescent="0.25">
      <c r="D12046" s="4"/>
      <c r="H12046" s="4"/>
    </row>
    <row r="12047" spans="1:8" ht="15.75" customHeight="1" x14ac:dyDescent="0.25">
      <c r="D12047" s="4"/>
      <c r="H12047" s="4"/>
    </row>
    <row r="12048" spans="1:8" ht="15.75" customHeight="1" x14ac:dyDescent="0.25">
      <c r="D12048" s="4"/>
      <c r="H12048" s="4"/>
    </row>
    <row r="12049" spans="1:8" ht="15.75" customHeight="1" x14ac:dyDescent="0.25">
      <c r="D12049" s="4"/>
      <c r="H12049" s="4"/>
    </row>
    <row r="12050" spans="1:8" ht="15.75" customHeight="1" x14ac:dyDescent="0.25">
      <c r="D12050" s="4"/>
      <c r="H12050" s="4"/>
    </row>
    <row r="12051" spans="1:8" ht="15.75" customHeight="1" x14ac:dyDescent="0.25">
      <c r="D12051" s="4"/>
      <c r="H12051" s="4"/>
    </row>
    <row r="12052" spans="1:8" ht="15.75" customHeight="1" x14ac:dyDescent="0.25">
      <c r="D12052" s="4"/>
      <c r="H12052" s="4"/>
    </row>
    <row r="12053" spans="1:8" ht="15.75" customHeight="1" x14ac:dyDescent="0.25">
      <c r="D12053" s="4"/>
      <c r="H12053" s="4"/>
    </row>
    <row r="12054" spans="1:8" ht="15.75" customHeight="1" x14ac:dyDescent="0.25">
      <c r="D12054" s="4"/>
      <c r="H12054" s="4"/>
    </row>
    <row r="12055" spans="1:8" ht="15.75" customHeight="1" x14ac:dyDescent="0.25">
      <c r="D12055" s="4"/>
      <c r="H12055" s="4"/>
    </row>
    <row r="12056" spans="1:8" ht="15.75" customHeight="1" x14ac:dyDescent="0.25">
      <c r="D12056" s="4"/>
      <c r="H12056" s="4"/>
    </row>
    <row r="12057" spans="1:8" ht="15.75" customHeight="1" x14ac:dyDescent="0.25">
      <c r="D12057" s="4"/>
      <c r="H12057" s="4"/>
    </row>
    <row r="12058" spans="1:8" ht="15.75" customHeight="1" x14ac:dyDescent="0.25">
      <c r="A12058" s="8" t="s">
        <v>14</v>
      </c>
      <c r="B12058" s="8"/>
      <c r="C12058" s="8"/>
      <c r="D12058" s="8"/>
      <c r="E12058" s="8"/>
      <c r="F12058" s="8"/>
      <c r="G12058" s="8"/>
      <c r="H12058" s="8"/>
    </row>
    <row r="12059" spans="1:8" ht="15.75" customHeight="1" x14ac:dyDescent="0.25">
      <c r="A12059" s="388"/>
      <c r="B12059" s="388"/>
      <c r="C12059" s="388"/>
      <c r="D12059" s="389"/>
      <c r="E12059" s="388"/>
      <c r="F12059" s="388"/>
      <c r="G12059" s="388"/>
      <c r="H12059" s="8"/>
    </row>
    <row r="12060" spans="1:8" ht="15.75" customHeight="1" x14ac:dyDescent="0.25">
      <c r="A12060" s="390"/>
      <c r="B12060" s="390"/>
      <c r="D12060" s="392"/>
      <c r="E12060" s="393"/>
      <c r="F12060" s="393"/>
      <c r="G12060" s="393"/>
      <c r="H12060" s="394"/>
    </row>
    <row r="12061" spans="1:8" ht="15.75" customHeight="1" x14ac:dyDescent="0.25">
      <c r="A12061" s="390"/>
      <c r="B12061" s="390"/>
      <c r="C12061" s="390"/>
      <c r="D12061" s="391"/>
      <c r="E12061" s="390"/>
      <c r="F12061" s="395" t="s">
        <v>18</v>
      </c>
      <c r="G12061" s="396" t="s">
        <v>1117</v>
      </c>
      <c r="H12061" s="397"/>
    </row>
    <row r="12062" spans="1:8" ht="15.75" customHeight="1" x14ac:dyDescent="0.25">
      <c r="A12062" s="390" t="s">
        <v>20</v>
      </c>
      <c r="B12062" s="390"/>
      <c r="D12062" s="391"/>
      <c r="E12062" s="390"/>
      <c r="F12062" s="395" t="s">
        <v>21</v>
      </c>
      <c r="G12062" s="390" t="s">
        <v>1915</v>
      </c>
      <c r="H12062" s="391"/>
    </row>
    <row r="12063" spans="1:8" ht="15.75" customHeight="1" x14ac:dyDescent="0.25">
      <c r="A12063" s="390" t="inlineStr">
        <is>
          <t>Dealer-009</t>
        </is>
      </c>
      <c r="B12063" s="390"/>
      <c r="C12063" s="390" t="inlineStr">
        <is>
          <t>ATTN: Contact-001</t>
        </is>
      </c>
      <c r="D12063" s="398"/>
      <c r="E12063" s="390"/>
      <c r="F12063" s="391"/>
      <c r="G12063" s="390"/>
      <c r="H12063" s="394"/>
    </row>
    <row r="12064" spans="1:8" ht="15.75" customHeight="1" x14ac:dyDescent="0.25">
      <c r="A12064" s="390" t="inlineStr">
        <is>
          <t>Address line (redacted)</t>
        </is>
      </c>
      <c r="B12064" s="390"/>
      <c r="C12064" s="390"/>
      <c r="D12064" s="398"/>
      <c r="E12064" s="390"/>
      <c r="F12064" s="391"/>
      <c r="G12064" s="390"/>
      <c r="H12064" s="394"/>
    </row>
    <row r="12065" spans="1:8" ht="15.75" customHeight="1" x14ac:dyDescent="0.25">
      <c r="A12065" s="390" t="inlineStr">
        <is>
          <t>Address line (redacted)</t>
        </is>
      </c>
      <c r="B12065" s="390"/>
      <c r="C12065" s="390"/>
      <c r="D12065" s="391"/>
      <c r="E12065" s="390"/>
      <c r="F12065" s="391"/>
      <c r="G12065" s="390"/>
      <c r="H12065" s="394"/>
    </row>
    <row r="12066" spans="1:8" ht="15.75" customHeight="1" x14ac:dyDescent="0.25">
      <c r="A12066" s="390"/>
      <c r="B12066" s="390"/>
      <c r="C12066" s="390"/>
      <c r="D12066" s="391"/>
      <c r="E12066" s="390"/>
      <c r="F12066" s="391"/>
      <c r="G12066" s="390"/>
      <c r="H12066" s="394"/>
    </row>
    <row r="12067" spans="1:8" ht="15.75" customHeight="1" x14ac:dyDescent="0.25">
      <c r="A12067" s="390" t="s">
        <v>30</v>
      </c>
      <c r="B12067" s="390"/>
      <c r="C12067" s="390"/>
      <c r="D12067" s="391"/>
      <c r="E12067" s="390"/>
      <c r="F12067" s="391"/>
      <c r="G12067" s="390"/>
      <c r="H12067" s="394"/>
    </row>
    <row r="12068" spans="1:8" ht="15.75" customHeight="1" x14ac:dyDescent="0.25">
      <c r="A12068" s="390"/>
      <c r="B12068" s="390"/>
      <c r="C12068" s="390"/>
      <c r="D12068" s="391"/>
      <c r="E12068" s="390"/>
      <c r="F12068" s="391"/>
      <c r="G12068" s="390"/>
      <c r="H12068" s="394"/>
    </row>
    <row r="12069" spans="1:8" ht="15.75" customHeight="1" x14ac:dyDescent="0.25">
      <c r="A12069" s="390" t="s">
        <v>716</v>
      </c>
      <c r="B12069" s="390"/>
      <c r="C12069" s="390"/>
      <c r="D12069" s="391"/>
      <c r="E12069" s="390"/>
      <c r="F12069" s="391"/>
      <c r="G12069" s="390"/>
      <c r="H12069" s="394"/>
    </row>
    <row r="12070" spans="1:8" ht="15.75" customHeight="1" x14ac:dyDescent="0.25">
      <c r="A12070" s="390" t="s">
        <v>717</v>
      </c>
      <c r="B12070" s="390"/>
      <c r="C12070" s="390"/>
      <c r="D12070" s="391"/>
      <c r="E12070" s="390"/>
      <c r="F12070" s="391"/>
      <c r="G12070" s="390"/>
      <c r="H12070" s="394"/>
    </row>
    <row r="12071" spans="1:8" ht="15.75" customHeight="1" x14ac:dyDescent="0.25">
      <c r="A12071" s="390"/>
      <c r="B12071" s="390"/>
      <c r="C12071" s="390"/>
      <c r="D12071" s="391"/>
      <c r="E12071" s="390"/>
      <c r="F12071" s="391"/>
      <c r="G12071" s="390"/>
      <c r="H12071" s="394"/>
    </row>
    <row r="12072" spans="1:8" ht="15.75" customHeight="1" x14ac:dyDescent="0.25">
      <c r="A12072" s="948" t="s">
        <v>33</v>
      </c>
      <c r="B12072" s="949" t="s">
        <v>6</v>
      </c>
      <c r="C12072" s="950"/>
      <c r="D12072" s="874" t="s">
        <v>37</v>
      </c>
      <c r="E12072" s="874" t="s">
        <v>38</v>
      </c>
      <c r="F12072" s="875" t="s">
        <v>7</v>
      </c>
      <c r="G12072" s="872" t="s">
        <v>43</v>
      </c>
      <c r="H12072" s="876" t="s">
        <v>44</v>
      </c>
    </row>
    <row r="12073" spans="1:8" ht="15.75" customHeight="1" x14ac:dyDescent="0.3">
      <c r="A12073" s="412"/>
      <c r="B12073" s="967"/>
      <c r="C12073" s="422"/>
      <c r="D12073" s="951"/>
      <c r="E12073" s="879"/>
      <c r="F12073" s="415"/>
      <c r="G12073" s="415"/>
      <c r="H12073" s="416"/>
    </row>
    <row r="12074" spans="1:8" ht="15.75" customHeight="1" x14ac:dyDescent="0.25">
      <c r="A12074" s="412"/>
      <c r="B12074" s="883" t="s">
        <v>2043</v>
      </c>
      <c r="C12074" s="883"/>
      <c r="D12074" s="842"/>
      <c r="E12074" s="415"/>
      <c r="F12074" s="415"/>
      <c r="G12074" s="415"/>
      <c r="H12074" s="416"/>
    </row>
    <row r="12075" spans="1:8" ht="15.75" customHeight="1" x14ac:dyDescent="0.25">
      <c r="A12075" s="412">
        <v>1</v>
      </c>
      <c r="B12075" s="1009" t="s">
        <v>191</v>
      </c>
      <c r="C12075" s="915" t="s">
        <v>362</v>
      </c>
      <c r="D12075" s="592">
        <v>4</v>
      </c>
      <c r="E12075" s="592">
        <v>6</v>
      </c>
      <c r="F12075" s="1010">
        <v>23</v>
      </c>
      <c r="G12075" s="415">
        <v>1</v>
      </c>
      <c r="H12075" s="416">
        <f>G12075*F12075</f>
      </c>
    </row>
    <row r="12076" spans="1:8" ht="15.75" customHeight="1" x14ac:dyDescent="0.25">
      <c r="A12076" s="412">
        <v>2</v>
      </c>
      <c r="B12076" s="1009" t="s">
        <v>191</v>
      </c>
      <c r="C12076" s="915" t="s">
        <v>362</v>
      </c>
      <c r="D12076" s="626"/>
      <c r="E12076" s="626"/>
      <c r="F12076" s="1010">
        <v>1</v>
      </c>
      <c r="G12076" s="619" t="s">
        <v>1856</v>
      </c>
      <c r="H12076" s="416"/>
    </row>
    <row r="12077" spans="1:8" ht="15.75" customHeight="1" x14ac:dyDescent="0.25">
      <c r="A12077" s="412">
        <v>3</v>
      </c>
      <c r="B12077" s="1009" t="s">
        <v>197</v>
      </c>
      <c r="C12077" s="915" t="s">
        <v>367</v>
      </c>
      <c r="D12077" s="842">
        <v>1</v>
      </c>
      <c r="E12077" s="415">
        <v>6</v>
      </c>
      <c r="F12077" s="1010">
        <f t="shared" ref="F12077:F12079" si="434">E12077*D12077</f>
      </c>
      <c r="G12077" s="415">
        <v>1</v>
      </c>
      <c r="H12077" s="416">
        <f t="shared" ref="H12077:H12080" si="435">G12077*F12077</f>
      </c>
    </row>
    <row r="12078" spans="1:8" ht="15.75" customHeight="1" x14ac:dyDescent="0.25">
      <c r="A12078" s="412">
        <v>4</v>
      </c>
      <c r="B12078" s="1011" t="s">
        <v>143</v>
      </c>
      <c r="C12078" s="915" t="s">
        <v>374</v>
      </c>
      <c r="D12078" s="842">
        <v>2</v>
      </c>
      <c r="E12078" s="415">
        <v>6</v>
      </c>
      <c r="F12078" s="1010">
        <f t="shared" si="434"/>
      </c>
      <c r="G12078" s="415">
        <v>1</v>
      </c>
      <c r="H12078" s="416">
        <f t="shared" si="435"/>
      </c>
    </row>
    <row r="12079" spans="1:8" ht="15.75" customHeight="1" x14ac:dyDescent="0.25">
      <c r="A12079" s="412">
        <v>5</v>
      </c>
      <c r="B12079" s="1009" t="s">
        <v>199</v>
      </c>
      <c r="C12079" s="915" t="s">
        <v>369</v>
      </c>
      <c r="D12079" s="842">
        <v>7</v>
      </c>
      <c r="E12079" s="415">
        <v>6</v>
      </c>
      <c r="F12079" s="1010">
        <f t="shared" si="434"/>
      </c>
      <c r="G12079" s="415">
        <v>1</v>
      </c>
      <c r="H12079" s="416">
        <f t="shared" si="435"/>
      </c>
    </row>
    <row r="12080" spans="1:8" ht="15.75" customHeight="1" x14ac:dyDescent="0.25">
      <c r="A12080" s="412">
        <v>6</v>
      </c>
      <c r="B12080" s="1009" t="s">
        <v>199</v>
      </c>
      <c r="C12080" s="915" t="s">
        <v>369</v>
      </c>
      <c r="D12080" s="592">
        <v>1</v>
      </c>
      <c r="E12080" s="592">
        <v>6</v>
      </c>
      <c r="F12080" s="1010">
        <v>4</v>
      </c>
      <c r="G12080" s="415">
        <v>1</v>
      </c>
      <c r="H12080" s="416">
        <f t="shared" si="435"/>
      </c>
    </row>
    <row r="12081" spans="1:8" ht="15.75" customHeight="1" x14ac:dyDescent="0.25">
      <c r="A12081" s="412">
        <v>7</v>
      </c>
      <c r="B12081" s="1009" t="s">
        <v>199</v>
      </c>
      <c r="C12081" s="915" t="s">
        <v>369</v>
      </c>
      <c r="D12081" s="626"/>
      <c r="E12081" s="626"/>
      <c r="F12081" s="1010">
        <v>2</v>
      </c>
      <c r="G12081" s="619" t="s">
        <v>1856</v>
      </c>
      <c r="H12081" s="416"/>
    </row>
    <row r="12082" spans="1:8" ht="15.75" customHeight="1" x14ac:dyDescent="0.25">
      <c r="A12082" s="412">
        <v>8</v>
      </c>
      <c r="B12082" s="1012" t="s">
        <v>1301</v>
      </c>
      <c r="C12082" s="1013" t="s">
        <v>372</v>
      </c>
      <c r="D12082" s="1014">
        <v>3</v>
      </c>
      <c r="E12082" s="1015">
        <v>6</v>
      </c>
      <c r="F12082" s="1016">
        <f t="shared" ref="F12082:F12097" si="436">E12082*D12082</f>
      </c>
      <c r="G12082" s="1015">
        <v>1</v>
      </c>
      <c r="H12082" s="416">
        <f t="shared" ref="H12082:H12091" si="437">G12082*F12082</f>
      </c>
    </row>
    <row r="12083" spans="1:8" ht="15.75" customHeight="1" x14ac:dyDescent="0.25">
      <c r="A12083" s="412">
        <v>9</v>
      </c>
      <c r="B12083" s="1012" t="s">
        <v>1301</v>
      </c>
      <c r="C12083" s="1013" t="s">
        <v>372</v>
      </c>
      <c r="D12083" s="1014">
        <v>1</v>
      </c>
      <c r="E12083" s="1015">
        <v>4</v>
      </c>
      <c r="F12083" s="1016">
        <f t="shared" si="436"/>
      </c>
      <c r="G12083" s="1015">
        <v>1</v>
      </c>
      <c r="H12083" s="416">
        <f t="shared" si="437"/>
      </c>
    </row>
    <row r="12084" spans="1:8" ht="15.75" customHeight="1" x14ac:dyDescent="0.25">
      <c r="A12084" s="412">
        <v>10</v>
      </c>
      <c r="B12084" s="1009" t="s">
        <v>203</v>
      </c>
      <c r="C12084" s="1017" t="s">
        <v>1349</v>
      </c>
      <c r="D12084" s="842">
        <v>2</v>
      </c>
      <c r="E12084" s="415">
        <v>6</v>
      </c>
      <c r="F12084" s="1010">
        <f t="shared" si="436"/>
      </c>
      <c r="G12084" s="415">
        <v>1</v>
      </c>
      <c r="H12084" s="416">
        <f t="shared" si="437"/>
      </c>
    </row>
    <row r="12085" spans="1:8" ht="15.75" customHeight="1" x14ac:dyDescent="0.25">
      <c r="A12085" s="412">
        <v>11</v>
      </c>
      <c r="B12085" s="1009" t="s">
        <v>206</v>
      </c>
      <c r="C12085" s="915" t="s">
        <v>377</v>
      </c>
      <c r="D12085" s="842">
        <v>2</v>
      </c>
      <c r="E12085" s="415">
        <v>6</v>
      </c>
      <c r="F12085" s="1010">
        <f t="shared" si="436"/>
      </c>
      <c r="G12085" s="415">
        <v>1</v>
      </c>
      <c r="H12085" s="416">
        <f t="shared" si="437"/>
      </c>
    </row>
    <row r="12086" spans="1:8" ht="15.75" customHeight="1" x14ac:dyDescent="0.25">
      <c r="A12086" s="412">
        <v>12</v>
      </c>
      <c r="B12086" s="1009" t="s">
        <v>207</v>
      </c>
      <c r="C12086" s="915" t="s">
        <v>378</v>
      </c>
      <c r="D12086" s="842">
        <v>2</v>
      </c>
      <c r="E12086" s="415">
        <v>6</v>
      </c>
      <c r="F12086" s="1010">
        <f t="shared" si="436"/>
      </c>
      <c r="G12086" s="415">
        <v>1</v>
      </c>
      <c r="H12086" s="416">
        <f t="shared" si="437"/>
      </c>
    </row>
    <row r="12087" spans="1:8" ht="15.75" customHeight="1" x14ac:dyDescent="0.25">
      <c r="A12087" s="412">
        <v>13</v>
      </c>
      <c r="B12087" s="1010" t="s">
        <v>145</v>
      </c>
      <c r="C12087" s="915" t="s">
        <v>381</v>
      </c>
      <c r="D12087" s="842">
        <v>1</v>
      </c>
      <c r="E12087" s="415">
        <v>8</v>
      </c>
      <c r="F12087" s="1010">
        <f t="shared" si="436"/>
      </c>
      <c r="G12087" s="415">
        <v>1</v>
      </c>
      <c r="H12087" s="416">
        <f t="shared" si="437"/>
      </c>
    </row>
    <row r="12088" spans="1:8" ht="15.75" customHeight="1" x14ac:dyDescent="0.25">
      <c r="A12088" s="412">
        <v>14</v>
      </c>
      <c r="B12088" s="1018" t="s">
        <v>1549</v>
      </c>
      <c r="C12088" s="915" t="s">
        <v>383</v>
      </c>
      <c r="D12088" s="842">
        <v>2</v>
      </c>
      <c r="E12088" s="415">
        <v>6</v>
      </c>
      <c r="F12088" s="1010">
        <f t="shared" si="436"/>
      </c>
      <c r="G12088" s="415">
        <v>1</v>
      </c>
      <c r="H12088" s="416">
        <f t="shared" si="437"/>
      </c>
    </row>
    <row r="12089" spans="1:8" ht="15.75" customHeight="1" x14ac:dyDescent="0.25">
      <c r="A12089" s="412">
        <v>15</v>
      </c>
      <c r="B12089" s="1012" t="s">
        <v>213</v>
      </c>
      <c r="C12089" s="1013" t="s">
        <v>384</v>
      </c>
      <c r="D12089" s="1014">
        <v>1</v>
      </c>
      <c r="E12089" s="1015">
        <v>3</v>
      </c>
      <c r="F12089" s="1016">
        <f t="shared" si="436"/>
      </c>
      <c r="G12089" s="1015">
        <v>1</v>
      </c>
      <c r="H12089" s="416">
        <f t="shared" si="437"/>
      </c>
    </row>
    <row r="12090" spans="1:8" ht="15.75" customHeight="1" x14ac:dyDescent="0.25">
      <c r="A12090" s="412">
        <v>16</v>
      </c>
      <c r="B12090" s="1009" t="s">
        <v>441</v>
      </c>
      <c r="C12090" s="915" t="s">
        <v>375</v>
      </c>
      <c r="D12090" s="842">
        <v>2</v>
      </c>
      <c r="E12090" s="415">
        <v>6</v>
      </c>
      <c r="F12090" s="1010">
        <f t="shared" si="436"/>
      </c>
      <c r="G12090" s="415">
        <v>1</v>
      </c>
      <c r="H12090" s="416">
        <f t="shared" si="437"/>
      </c>
    </row>
    <row r="12091" spans="1:8" ht="15.75" customHeight="1" x14ac:dyDescent="0.25">
      <c r="A12091" s="412">
        <v>17</v>
      </c>
      <c r="B12091" s="1009" t="s">
        <v>441</v>
      </c>
      <c r="C12091" s="915" t="s">
        <v>375</v>
      </c>
      <c r="D12091" s="842">
        <v>11</v>
      </c>
      <c r="E12091" s="415">
        <v>1</v>
      </c>
      <c r="F12091" s="1010">
        <f t="shared" si="436"/>
      </c>
      <c r="G12091" s="415">
        <v>1</v>
      </c>
      <c r="H12091" s="416">
        <f t="shared" si="437"/>
      </c>
    </row>
    <row r="12092" spans="1:8" ht="15.75" customHeight="1" x14ac:dyDescent="0.25">
      <c r="A12092" s="412">
        <v>18</v>
      </c>
      <c r="B12092" s="1009" t="s">
        <v>441</v>
      </c>
      <c r="C12092" s="915" t="s">
        <v>375</v>
      </c>
      <c r="D12092" s="842">
        <v>1</v>
      </c>
      <c r="E12092" s="415">
        <v>1</v>
      </c>
      <c r="F12092" s="1010">
        <f t="shared" si="436"/>
      </c>
      <c r="G12092" s="619" t="s">
        <v>1856</v>
      </c>
      <c r="H12092" s="416"/>
    </row>
    <row r="12093" spans="1:8" ht="15.75" customHeight="1" x14ac:dyDescent="0.25">
      <c r="A12093" s="412">
        <v>19</v>
      </c>
      <c r="B12093" s="1009" t="s">
        <v>215</v>
      </c>
      <c r="C12093" s="915" t="s">
        <v>386</v>
      </c>
      <c r="D12093" s="842">
        <v>2</v>
      </c>
      <c r="E12093" s="415">
        <v>4</v>
      </c>
      <c r="F12093" s="1010">
        <f t="shared" si="436"/>
      </c>
      <c r="G12093" s="415">
        <v>1</v>
      </c>
      <c r="H12093" s="416">
        <f t="shared" ref="H12093:H12097" si="438">G12093*F12093</f>
      </c>
    </row>
    <row r="12094" spans="1:8" ht="15.75" customHeight="1" x14ac:dyDescent="0.25">
      <c r="A12094" s="412">
        <v>20</v>
      </c>
      <c r="B12094" s="1018" t="s">
        <v>158</v>
      </c>
      <c r="C12094" s="915" t="s">
        <v>390</v>
      </c>
      <c r="D12094" s="842">
        <v>1</v>
      </c>
      <c r="E12094" s="415">
        <v>6</v>
      </c>
      <c r="F12094" s="1010">
        <f t="shared" si="436"/>
      </c>
      <c r="G12094" s="415">
        <v>1</v>
      </c>
      <c r="H12094" s="416">
        <f t="shared" si="438"/>
      </c>
    </row>
    <row r="12095" spans="1:8" ht="15.75" customHeight="1" x14ac:dyDescent="0.25">
      <c r="A12095" s="412">
        <v>21</v>
      </c>
      <c r="B12095" s="1018" t="s">
        <v>158</v>
      </c>
      <c r="C12095" s="915" t="s">
        <v>390</v>
      </c>
      <c r="D12095" s="842">
        <v>1</v>
      </c>
      <c r="E12095" s="415">
        <v>4</v>
      </c>
      <c r="F12095" s="1010">
        <f t="shared" si="436"/>
      </c>
      <c r="G12095" s="415">
        <v>1</v>
      </c>
      <c r="H12095" s="416">
        <f t="shared" si="438"/>
      </c>
    </row>
    <row r="12096" spans="1:8" ht="15.75" customHeight="1" x14ac:dyDescent="0.25">
      <c r="A12096" s="412">
        <v>22</v>
      </c>
      <c r="B12096" s="1009" t="s">
        <v>232</v>
      </c>
      <c r="C12096" s="915" t="s">
        <v>401</v>
      </c>
      <c r="D12096" s="842">
        <v>1</v>
      </c>
      <c r="E12096" s="415">
        <v>6</v>
      </c>
      <c r="F12096" s="1010">
        <f t="shared" si="436"/>
      </c>
      <c r="G12096" s="415">
        <v>1</v>
      </c>
      <c r="H12096" s="416">
        <f t="shared" si="438"/>
      </c>
    </row>
    <row r="12097" spans="1:8" ht="15.75" customHeight="1" x14ac:dyDescent="0.25">
      <c r="A12097" s="412">
        <v>23</v>
      </c>
      <c r="B12097" s="1009" t="s">
        <v>906</v>
      </c>
      <c r="C12097" s="915" t="s">
        <v>402</v>
      </c>
      <c r="D12097" s="842">
        <v>2</v>
      </c>
      <c r="E12097" s="415">
        <v>6</v>
      </c>
      <c r="F12097" s="1010">
        <f t="shared" si="436"/>
      </c>
      <c r="G12097" s="415">
        <v>1</v>
      </c>
      <c r="H12097" s="416">
        <f t="shared" si="438"/>
      </c>
    </row>
    <row r="12098" spans="1:8" ht="15.75" customHeight="1" x14ac:dyDescent="0.25">
      <c r="A12098" s="880"/>
      <c r="B12098" s="1019"/>
      <c r="C12098" s="1020"/>
      <c r="D12098" s="431"/>
      <c r="E12098" s="892"/>
      <c r="F12098" s="1021"/>
      <c r="G12098" s="892"/>
      <c r="H12098" s="893"/>
    </row>
    <row r="12099" spans="1:8" ht="15.75" customHeight="1" x14ac:dyDescent="0.25">
      <c r="A12099" s="451"/>
      <c r="B12099" s="56"/>
      <c r="C12099" s="1022"/>
      <c r="D12099" s="391"/>
      <c r="E12099" s="391"/>
      <c r="F12099" s="1023"/>
      <c r="G12099" s="391"/>
      <c r="H12099" s="394"/>
    </row>
    <row r="12100" spans="1:8" ht="15.75" customHeight="1" x14ac:dyDescent="0.25">
      <c r="A12100" s="451"/>
      <c r="B12100" s="56"/>
      <c r="C12100" s="1022"/>
      <c r="D12100" s="391"/>
      <c r="E12100" s="391"/>
      <c r="F12100" s="1023"/>
      <c r="G12100" s="391"/>
      <c r="H12100" s="394"/>
    </row>
    <row r="12101" spans="1:8" ht="15.75" customHeight="1" x14ac:dyDescent="0.25">
      <c r="A12101" s="451"/>
      <c r="B12101" s="56"/>
      <c r="C12101" s="1022"/>
      <c r="D12101" s="391"/>
      <c r="E12101" s="391"/>
      <c r="F12101" s="1023"/>
      <c r="G12101" s="391"/>
      <c r="H12101" s="394"/>
    </row>
    <row r="12102" spans="1:8" ht="15.75" customHeight="1" x14ac:dyDescent="0.25">
      <c r="A12102" s="451"/>
      <c r="B12102" s="56"/>
      <c r="C12102" s="1022"/>
      <c r="D12102" s="391"/>
      <c r="E12102" s="391"/>
      <c r="F12102" s="1023"/>
      <c r="G12102" s="391"/>
      <c r="H12102" s="394"/>
    </row>
    <row r="12103" spans="1:8" ht="15.75" customHeight="1" x14ac:dyDescent="0.25">
      <c r="A12103" s="451"/>
      <c r="B12103" s="56"/>
      <c r="C12103" s="1022"/>
      <c r="D12103" s="391"/>
      <c r="E12103" s="391"/>
      <c r="F12103" s="1023"/>
      <c r="G12103" s="391"/>
      <c r="H12103" s="394"/>
    </row>
    <row r="12104" spans="1:8" ht="15.75" customHeight="1" x14ac:dyDescent="0.25">
      <c r="A12104" s="8" t="s">
        <v>14</v>
      </c>
      <c r="B12104" s="8"/>
      <c r="C12104" s="8"/>
      <c r="D12104" s="8"/>
      <c r="E12104" s="8"/>
      <c r="F12104" s="8"/>
      <c r="G12104" s="8"/>
      <c r="H12104" s="8"/>
    </row>
    <row r="12105" spans="1:8" ht="15.75" customHeight="1" x14ac:dyDescent="0.25">
      <c r="A12105" s="388"/>
      <c r="B12105" s="388"/>
      <c r="C12105" s="388"/>
      <c r="D12105" s="389"/>
      <c r="E12105" s="388"/>
      <c r="F12105" s="388"/>
      <c r="G12105" s="388"/>
      <c r="H12105" s="8"/>
    </row>
    <row r="12106" spans="1:8" ht="15.75" customHeight="1" x14ac:dyDescent="0.25">
      <c r="A12106" s="390"/>
      <c r="B12106" s="390"/>
      <c r="D12106" s="392"/>
      <c r="E12106" s="393"/>
      <c r="F12106" s="393"/>
      <c r="G12106" s="393"/>
      <c r="H12106" s="394"/>
    </row>
    <row r="12107" spans="1:8" ht="15.75" customHeight="1" x14ac:dyDescent="0.25">
      <c r="A12107" s="390"/>
      <c r="B12107" s="390"/>
      <c r="C12107" s="390"/>
      <c r="D12107" s="391"/>
      <c r="E12107" s="390"/>
      <c r="F12107" s="395" t="s">
        <v>18</v>
      </c>
      <c r="G12107" s="396" t="s">
        <v>1117</v>
      </c>
      <c r="H12107" s="397"/>
    </row>
    <row r="12108" spans="1:8" ht="15.75" customHeight="1" x14ac:dyDescent="0.25">
      <c r="A12108" s="390" t="s">
        <v>20</v>
      </c>
      <c r="B12108" s="390"/>
      <c r="D12108" s="391"/>
      <c r="E12108" s="390"/>
      <c r="F12108" s="395" t="s">
        <v>21</v>
      </c>
      <c r="G12108" s="390" t="s">
        <v>1915</v>
      </c>
      <c r="H12108" s="391"/>
    </row>
    <row r="12109" spans="1:8" ht="15.75" customHeight="1" x14ac:dyDescent="0.25">
      <c r="A12109" s="390" t="inlineStr">
        <is>
          <t>Dealer-009</t>
        </is>
      </c>
      <c r="B12109" s="390"/>
      <c r="C12109" s="390" t="inlineStr">
        <is>
          <t>ATTN: Contact-001</t>
        </is>
      </c>
      <c r="D12109" s="398"/>
      <c r="E12109" s="390"/>
      <c r="F12109" s="391"/>
      <c r="G12109" s="390"/>
      <c r="H12109" s="394"/>
    </row>
    <row r="12110" spans="1:8" ht="15.75" customHeight="1" x14ac:dyDescent="0.25">
      <c r="A12110" s="390" t="inlineStr">
        <is>
          <t>Address line (redacted)</t>
        </is>
      </c>
      <c r="B12110" s="390"/>
      <c r="C12110" s="390"/>
      <c r="D12110" s="398"/>
      <c r="E12110" s="390"/>
      <c r="F12110" s="391"/>
      <c r="G12110" s="390"/>
      <c r="H12110" s="394"/>
    </row>
    <row r="12111" spans="1:8" ht="15.75" customHeight="1" x14ac:dyDescent="0.25">
      <c r="A12111" s="390" t="inlineStr">
        <is>
          <t>Address line (redacted)</t>
        </is>
      </c>
      <c r="B12111" s="390"/>
      <c r="C12111" s="390"/>
      <c r="D12111" s="391"/>
      <c r="E12111" s="390"/>
      <c r="F12111" s="391"/>
      <c r="G12111" s="390"/>
      <c r="H12111" s="394"/>
    </row>
    <row r="12112" spans="1:8" ht="15.75" customHeight="1" x14ac:dyDescent="0.25">
      <c r="A12112" s="390"/>
      <c r="B12112" s="390"/>
      <c r="C12112" s="390"/>
      <c r="D12112" s="391"/>
      <c r="E12112" s="390"/>
      <c r="F12112" s="391"/>
      <c r="G12112" s="390"/>
      <c r="H12112" s="394"/>
    </row>
    <row r="12113" spans="1:8" ht="15.75" customHeight="1" x14ac:dyDescent="0.25">
      <c r="A12113" s="390" t="s">
        <v>30</v>
      </c>
      <c r="B12113" s="390"/>
      <c r="C12113" s="390"/>
      <c r="D12113" s="391"/>
      <c r="E12113" s="390"/>
      <c r="F12113" s="391"/>
      <c r="G12113" s="390"/>
      <c r="H12113" s="394"/>
    </row>
    <row r="12114" spans="1:8" ht="15.75" customHeight="1" x14ac:dyDescent="0.25">
      <c r="A12114" s="390"/>
      <c r="B12114" s="390"/>
      <c r="C12114" s="390"/>
      <c r="D12114" s="391"/>
      <c r="E12114" s="390"/>
      <c r="F12114" s="391"/>
      <c r="G12114" s="390"/>
      <c r="H12114" s="394"/>
    </row>
    <row r="12115" spans="1:8" ht="15.75" customHeight="1" x14ac:dyDescent="0.25">
      <c r="A12115" s="390" t="s">
        <v>716</v>
      </c>
      <c r="B12115" s="390"/>
      <c r="C12115" s="390"/>
      <c r="D12115" s="391"/>
      <c r="E12115" s="390"/>
      <c r="F12115" s="391"/>
      <c r="G12115" s="390"/>
      <c r="H12115" s="394"/>
    </row>
    <row r="12116" spans="1:8" ht="15.75" customHeight="1" x14ac:dyDescent="0.25">
      <c r="A12116" s="390" t="s">
        <v>717</v>
      </c>
      <c r="B12116" s="390"/>
      <c r="C12116" s="390"/>
      <c r="D12116" s="391"/>
      <c r="E12116" s="390"/>
      <c r="F12116" s="391"/>
      <c r="G12116" s="390"/>
      <c r="H12116" s="394"/>
    </row>
    <row r="12117" spans="1:8" ht="15.75" customHeight="1" x14ac:dyDescent="0.25">
      <c r="A12117" s="390"/>
      <c r="B12117" s="390"/>
      <c r="C12117" s="390"/>
      <c r="D12117" s="391"/>
      <c r="E12117" s="390"/>
      <c r="F12117" s="391"/>
      <c r="G12117" s="390"/>
      <c r="H12117" s="394"/>
    </row>
    <row r="12118" spans="1:8" ht="15.75" customHeight="1" x14ac:dyDescent="0.25">
      <c r="A12118" s="948" t="s">
        <v>33</v>
      </c>
      <c r="B12118" s="949" t="s">
        <v>6</v>
      </c>
      <c r="C12118" s="950"/>
      <c r="D12118" s="874" t="s">
        <v>37</v>
      </c>
      <c r="E12118" s="874" t="s">
        <v>38</v>
      </c>
      <c r="F12118" s="875" t="s">
        <v>7</v>
      </c>
      <c r="G12118" s="872" t="s">
        <v>43</v>
      </c>
      <c r="H12118" s="876" t="s">
        <v>44</v>
      </c>
    </row>
    <row r="12119" spans="1:8" ht="15.75" customHeight="1" x14ac:dyDescent="0.25">
      <c r="A12119" s="412"/>
      <c r="B12119" s="1024"/>
      <c r="C12119" s="1025"/>
      <c r="D12119" s="842"/>
      <c r="E12119" s="415"/>
      <c r="F12119" s="1010"/>
      <c r="G12119" s="415"/>
      <c r="H12119" s="416"/>
    </row>
    <row r="12120" spans="1:8" ht="15.75" customHeight="1" x14ac:dyDescent="0.25">
      <c r="A12120" s="412"/>
      <c r="B12120" s="1026" t="s">
        <v>2046</v>
      </c>
      <c r="C12120" s="1027"/>
      <c r="D12120" s="842"/>
      <c r="E12120" s="415"/>
      <c r="F12120" s="415"/>
      <c r="G12120" s="415"/>
      <c r="H12120" s="416"/>
    </row>
    <row r="12121" spans="1:8" ht="15.75" customHeight="1" x14ac:dyDescent="0.25">
      <c r="A12121" s="412">
        <v>24</v>
      </c>
      <c r="B12121" s="1028" t="s">
        <v>2047</v>
      </c>
      <c r="C12121" s="1029" t="s">
        <v>2048</v>
      </c>
      <c r="D12121" s="842">
        <v>2</v>
      </c>
      <c r="E12121" s="415">
        <v>5</v>
      </c>
      <c r="F12121" s="415">
        <f t="shared" ref="F12121:F12127" si="439">E12121*D12121</f>
      </c>
      <c r="G12121" s="415">
        <v>1</v>
      </c>
      <c r="H12121" s="416">
        <f t="shared" ref="H12121:H12128" si="440">G12121*F12121</f>
      </c>
    </row>
    <row r="12122" spans="1:8" ht="15.75" customHeight="1" x14ac:dyDescent="0.25">
      <c r="A12122" s="412">
        <v>25</v>
      </c>
      <c r="B12122" s="1028" t="s">
        <v>2049</v>
      </c>
      <c r="C12122" s="1029" t="s">
        <v>327</v>
      </c>
      <c r="D12122" s="842">
        <v>2</v>
      </c>
      <c r="E12122" s="415">
        <v>5</v>
      </c>
      <c r="F12122" s="415">
        <f t="shared" si="439"/>
      </c>
      <c r="G12122" s="415">
        <v>1</v>
      </c>
      <c r="H12122" s="416">
        <f t="shared" si="440"/>
      </c>
    </row>
    <row r="12123" spans="1:8" ht="15.75" customHeight="1" x14ac:dyDescent="0.25">
      <c r="A12123" s="412">
        <v>26</v>
      </c>
      <c r="B12123" s="1028" t="s">
        <v>2050</v>
      </c>
      <c r="C12123" s="1029" t="s">
        <v>340</v>
      </c>
      <c r="D12123" s="842">
        <v>4</v>
      </c>
      <c r="E12123" s="415">
        <v>5</v>
      </c>
      <c r="F12123" s="415">
        <f t="shared" si="439"/>
      </c>
      <c r="G12123" s="415">
        <v>1</v>
      </c>
      <c r="H12123" s="416">
        <f t="shared" si="440"/>
      </c>
    </row>
    <row r="12124" spans="1:8" ht="15.75" customHeight="1" x14ac:dyDescent="0.25">
      <c r="A12124" s="412">
        <v>27</v>
      </c>
      <c r="B12124" s="1028" t="s">
        <v>2051</v>
      </c>
      <c r="C12124" s="1029" t="s">
        <v>66</v>
      </c>
      <c r="D12124" s="842">
        <v>2</v>
      </c>
      <c r="E12124" s="415">
        <v>5</v>
      </c>
      <c r="F12124" s="415">
        <f t="shared" si="439"/>
      </c>
      <c r="G12124" s="415">
        <v>1</v>
      </c>
      <c r="H12124" s="416">
        <f t="shared" si="440"/>
      </c>
    </row>
    <row r="12125" spans="1:8" ht="15.75" customHeight="1" x14ac:dyDescent="0.25">
      <c r="A12125" s="412">
        <v>28</v>
      </c>
      <c r="B12125" s="1028" t="s">
        <v>53</v>
      </c>
      <c r="C12125" s="1029" t="s">
        <v>54</v>
      </c>
      <c r="D12125" s="842">
        <v>3</v>
      </c>
      <c r="E12125" s="415">
        <v>5</v>
      </c>
      <c r="F12125" s="415">
        <f t="shared" si="439"/>
      </c>
      <c r="G12125" s="415">
        <v>1</v>
      </c>
      <c r="H12125" s="416">
        <f t="shared" si="440"/>
      </c>
    </row>
    <row r="12126" spans="1:8" ht="15.75" customHeight="1" x14ac:dyDescent="0.25">
      <c r="A12126" s="412">
        <v>29</v>
      </c>
      <c r="B12126" s="1028" t="s">
        <v>278</v>
      </c>
      <c r="C12126" s="1029" t="s">
        <v>325</v>
      </c>
      <c r="D12126" s="842">
        <v>3</v>
      </c>
      <c r="E12126" s="415">
        <v>5</v>
      </c>
      <c r="F12126" s="415">
        <f t="shared" si="439"/>
      </c>
      <c r="G12126" s="415">
        <v>1</v>
      </c>
      <c r="H12126" s="416">
        <f t="shared" si="440"/>
      </c>
    </row>
    <row r="12127" spans="1:8" ht="15.75" customHeight="1" x14ac:dyDescent="0.25">
      <c r="A12127" s="412">
        <v>30</v>
      </c>
      <c r="B12127" s="1028" t="s">
        <v>266</v>
      </c>
      <c r="C12127" s="1029" t="s">
        <v>341</v>
      </c>
      <c r="D12127" s="842">
        <v>1</v>
      </c>
      <c r="E12127" s="415">
        <v>5</v>
      </c>
      <c r="F12127" s="415">
        <f t="shared" si="439"/>
      </c>
      <c r="G12127" s="415">
        <v>1</v>
      </c>
      <c r="H12127" s="416">
        <f t="shared" si="440"/>
      </c>
    </row>
    <row r="12128" spans="1:8" ht="15.75" customHeight="1" x14ac:dyDescent="0.25">
      <c r="A12128" s="412">
        <v>31</v>
      </c>
      <c r="B12128" s="1028" t="s">
        <v>2053</v>
      </c>
      <c r="C12128" s="1029" t="s">
        <v>47</v>
      </c>
      <c r="D12128" s="592">
        <v>5</v>
      </c>
      <c r="E12128" s="592">
        <v>5</v>
      </c>
      <c r="F12128" s="415">
        <v>24</v>
      </c>
      <c r="G12128" s="415">
        <v>1</v>
      </c>
      <c r="H12128" s="416">
        <f t="shared" si="440"/>
      </c>
    </row>
    <row r="12129" spans="1:8" ht="15.75" customHeight="1" x14ac:dyDescent="0.25">
      <c r="A12129" s="412">
        <v>32</v>
      </c>
      <c r="B12129" s="1028" t="s">
        <v>2053</v>
      </c>
      <c r="C12129" s="1029" t="s">
        <v>47</v>
      </c>
      <c r="D12129" s="626"/>
      <c r="E12129" s="626"/>
      <c r="F12129" s="415">
        <v>1</v>
      </c>
      <c r="G12129" s="619" t="s">
        <v>1856</v>
      </c>
      <c r="H12129" s="416"/>
    </row>
    <row r="12130" spans="1:8" ht="15.75" customHeight="1" x14ac:dyDescent="0.25">
      <c r="A12130" s="412">
        <v>33</v>
      </c>
      <c r="B12130" s="1028" t="s">
        <v>2054</v>
      </c>
      <c r="C12130" s="1029" t="s">
        <v>84</v>
      </c>
      <c r="D12130" s="592">
        <v>5</v>
      </c>
      <c r="E12130" s="592">
        <v>5</v>
      </c>
      <c r="F12130" s="415">
        <v>24</v>
      </c>
      <c r="G12130" s="415">
        <v>1</v>
      </c>
      <c r="H12130" s="416">
        <f>G12130*F12130</f>
      </c>
    </row>
    <row r="12131" spans="1:8" ht="15.75" customHeight="1" x14ac:dyDescent="0.25">
      <c r="A12131" s="412">
        <v>34</v>
      </c>
      <c r="B12131" s="1028" t="s">
        <v>2054</v>
      </c>
      <c r="C12131" s="1029" t="s">
        <v>84</v>
      </c>
      <c r="D12131" s="626"/>
      <c r="E12131" s="626"/>
      <c r="F12131" s="415">
        <v>1</v>
      </c>
      <c r="G12131" s="619" t="s">
        <v>1856</v>
      </c>
      <c r="H12131" s="416"/>
    </row>
    <row r="12132" spans="1:8" ht="15.75" customHeight="1" x14ac:dyDescent="0.25">
      <c r="A12132" s="412">
        <v>35</v>
      </c>
      <c r="B12132" s="1028" t="s">
        <v>2055</v>
      </c>
      <c r="C12132" s="1029" t="s">
        <v>16</v>
      </c>
      <c r="D12132" s="842">
        <v>2</v>
      </c>
      <c r="E12132" s="415">
        <v>5</v>
      </c>
      <c r="F12132" s="415">
        <f t="shared" ref="F12132:F12134" si="441">E12132*D12132</f>
      </c>
      <c r="G12132" s="415">
        <v>1</v>
      </c>
      <c r="H12132" s="416">
        <f t="shared" ref="H12132:H12134" si="442">G12132*F12132</f>
      </c>
    </row>
    <row r="12133" spans="1:8" ht="15.75" customHeight="1" x14ac:dyDescent="0.25">
      <c r="A12133" s="412">
        <v>36</v>
      </c>
      <c r="B12133" s="1028" t="s">
        <v>2056</v>
      </c>
      <c r="C12133" s="1029" t="s">
        <v>331</v>
      </c>
      <c r="D12133" s="842">
        <v>4</v>
      </c>
      <c r="E12133" s="415">
        <v>5</v>
      </c>
      <c r="F12133" s="415">
        <f t="shared" si="441"/>
      </c>
      <c r="G12133" s="415">
        <v>1</v>
      </c>
      <c r="H12133" s="416">
        <f t="shared" si="442"/>
      </c>
    </row>
    <row r="12134" spans="1:8" ht="15.75" customHeight="1" x14ac:dyDescent="0.25">
      <c r="A12134" s="412">
        <v>37</v>
      </c>
      <c r="B12134" s="1028" t="s">
        <v>2057</v>
      </c>
      <c r="C12134" s="1029" t="s">
        <v>298</v>
      </c>
      <c r="D12134" s="842">
        <v>4</v>
      </c>
      <c r="E12134" s="415">
        <v>5</v>
      </c>
      <c r="F12134" s="415">
        <f t="shared" si="441"/>
      </c>
      <c r="G12134" s="415">
        <v>1</v>
      </c>
      <c r="H12134" s="416">
        <f t="shared" si="442"/>
      </c>
    </row>
    <row r="12135" spans="1:8" ht="24" customHeight="1" x14ac:dyDescent="0.25">
      <c r="A12135" s="412"/>
      <c r="B12135" s="680" t="s">
        <v>2315</v>
      </c>
      <c r="C12135" s="1030"/>
      <c r="D12135" s="842"/>
      <c r="E12135" s="415"/>
      <c r="F12135" s="415"/>
      <c r="G12135" s="415"/>
      <c r="H12135" s="416"/>
    </row>
    <row r="12136" spans="1:8" ht="15.75" customHeight="1" x14ac:dyDescent="0.25">
      <c r="A12136" s="412"/>
      <c r="B12136" s="419" t="s">
        <v>2316</v>
      </c>
      <c r="C12136" s="1031"/>
      <c r="D12136" s="415"/>
      <c r="E12136" s="415"/>
      <c r="F12136" s="415"/>
      <c r="G12136" s="415"/>
      <c r="H12136" s="416"/>
    </row>
    <row r="12137" spans="1:8" ht="15.75" customHeight="1" x14ac:dyDescent="0.25">
      <c r="A12137" s="894"/>
      <c r="B12137" s="878"/>
      <c r="C12137" s="895"/>
      <c r="D12137" s="593"/>
      <c r="E12137" s="593"/>
      <c r="F12137" s="593"/>
      <c r="G12137" s="593"/>
      <c r="H12137" s="931"/>
    </row>
    <row r="12138" spans="1:8" ht="15.75" customHeight="1" x14ac:dyDescent="0.25">
      <c r="A12138" s="877"/>
      <c r="B12138" s="688"/>
      <c r="C12138" s="896" t="s">
        <v>85</v>
      </c>
      <c r="D12138" s="401">
        <f>SUM(D12074:D12137)</f>
      </c>
      <c r="E12138" s="401"/>
      <c r="F12138" s="401">
        <f>SUM(F12074:F12137)</f>
      </c>
      <c r="G12138" s="661"/>
      <c r="H12138" s="623">
        <f>SUM(H12075:H12137)</f>
      </c>
    </row>
    <row r="12139" spans="1:8" ht="15.75" customHeight="1" x14ac:dyDescent="0.25">
      <c r="A12139" s="932"/>
      <c r="B12139" s="933"/>
      <c r="C12139" s="934"/>
      <c r="D12139" s="431"/>
      <c r="E12139" s="935"/>
      <c r="F12139" s="935"/>
      <c r="G12139" s="936"/>
      <c r="H12139" s="444"/>
    </row>
    <row r="12140" spans="1:8" ht="15.75" customHeight="1" x14ac:dyDescent="0.25">
      <c r="A12140" s="994" t="s">
        <v>913</v>
      </c>
      <c r="B12140" s="391"/>
      <c r="C12140" s="391"/>
      <c r="D12140" s="391"/>
      <c r="E12140" s="390"/>
      <c r="F12140" s="392"/>
      <c r="G12140" s="390"/>
      <c r="H12140" s="394"/>
    </row>
    <row r="12141" spans="1:8" ht="15.75" customHeight="1" x14ac:dyDescent="0.25">
      <c r="A12141" s="445"/>
      <c r="B12141" s="445"/>
      <c r="C12141" s="445"/>
      <c r="D12141" s="446" t="s">
        <v>97</v>
      </c>
      <c r="E12141" s="445" t="s">
        <v>98</v>
      </c>
      <c r="F12141" s="445"/>
      <c r="G12141" s="390"/>
      <c r="H12141" s="394"/>
    </row>
    <row r="12142" spans="1:8" ht="15.75" customHeight="1" x14ac:dyDescent="0.25">
      <c r="A12142" s="393" t="s">
        <v>2317</v>
      </c>
      <c r="B12142" s="390"/>
      <c r="C12142" s="390"/>
      <c r="D12142" s="391"/>
      <c r="E12142" s="390"/>
      <c r="F12142" s="390"/>
      <c r="G12142" s="390"/>
      <c r="H12142" s="394"/>
    </row>
    <row r="12143" spans="1:8" ht="15.75" customHeight="1" x14ac:dyDescent="0.25">
      <c r="A12143" s="390" t="s">
        <v>55</v>
      </c>
      <c r="B12143" s="393" t="s">
        <v>2058</v>
      </c>
      <c r="C12143" s="390"/>
      <c r="D12143" s="391"/>
      <c r="E12143" s="390"/>
      <c r="F12143" s="390"/>
      <c r="G12143" s="390"/>
      <c r="H12143" s="394"/>
    </row>
    <row r="12144" spans="1:8" ht="15.75" customHeight="1" x14ac:dyDescent="0.25">
      <c r="A12144" s="445"/>
      <c r="B12144" s="1032" t="s">
        <v>2059</v>
      </c>
      <c r="C12144" s="445"/>
      <c r="D12144" s="446"/>
      <c r="E12144" s="445" t="s">
        <v>99</v>
      </c>
      <c r="F12144" s="445"/>
      <c r="G12144" s="390"/>
      <c r="H12144" s="394"/>
    </row>
    <row r="12145" spans="1:8" ht="15.75" customHeight="1" x14ac:dyDescent="0.25">
      <c r="A12145" s="2" t="s">
        <v>59</v>
      </c>
      <c r="B12145" s="393" t="s">
        <v>2318</v>
      </c>
      <c r="D12145" s="4"/>
      <c r="H12145" s="4"/>
    </row>
    <row r="12146" spans="1:8" ht="15.75" customHeight="1" x14ac:dyDescent="0.25">
      <c r="B12146" s="1032" t="s">
        <v>2059</v>
      </c>
      <c r="D12146" s="4"/>
      <c r="H12146" s="4"/>
    </row>
    <row r="12147" spans="1:8" ht="15.75" customHeight="1" x14ac:dyDescent="0.25">
      <c r="A12147" s="2" t="s">
        <v>67</v>
      </c>
      <c r="B12147" s="393" t="s">
        <v>2319</v>
      </c>
      <c r="D12147" s="4"/>
      <c r="H12147" s="4"/>
    </row>
    <row r="12148" spans="1:8" ht="15.75" customHeight="1" x14ac:dyDescent="0.25">
      <c r="B12148" s="1032" t="s">
        <v>2059</v>
      </c>
      <c r="D12148" s="4"/>
      <c r="H12148" s="4"/>
    </row>
    <row r="12149" spans="1:8" ht="15.75" customHeight="1" x14ac:dyDescent="0.25">
      <c r="D12149" s="4"/>
      <c r="H12149" s="4"/>
    </row>
    <row r="12150" spans="1:8" ht="15.75" customHeight="1" x14ac:dyDescent="0.25">
      <c r="D12150" s="4"/>
      <c r="H12150" s="4"/>
    </row>
    <row r="12151" spans="1:8" ht="15.75" customHeight="1" x14ac:dyDescent="0.25">
      <c r="D12151" s="4"/>
      <c r="H12151" s="4"/>
    </row>
    <row r="12152" spans="1:8" ht="15.75" customHeight="1" x14ac:dyDescent="0.25">
      <c r="D12152" s="4"/>
      <c r="H12152" s="4"/>
    </row>
    <row r="12153" spans="1:8" ht="15.75" customHeight="1" x14ac:dyDescent="0.25">
      <c r="D12153" s="4"/>
      <c r="H12153" s="4"/>
    </row>
    <row r="12154" spans="1:8" ht="15.75" customHeight="1" x14ac:dyDescent="0.25">
      <c r="D12154" s="4"/>
      <c r="H12154" s="4"/>
    </row>
    <row r="12155" spans="1:8" ht="15.75" customHeight="1" x14ac:dyDescent="0.25">
      <c r="D12155" s="4"/>
      <c r="H12155" s="4"/>
    </row>
    <row r="12156" spans="1:8" ht="15.75" customHeight="1" x14ac:dyDescent="0.25">
      <c r="D12156" s="4"/>
      <c r="H12156" s="4"/>
    </row>
    <row r="12157" spans="1:8" ht="15.75" customHeight="1" x14ac:dyDescent="0.25">
      <c r="D12157" s="4"/>
      <c r="H12157" s="4"/>
    </row>
    <row r="12158" spans="1:8" ht="15.75" customHeight="1" x14ac:dyDescent="0.25">
      <c r="D12158" s="4"/>
      <c r="H12158" s="4"/>
    </row>
    <row r="12159" spans="1:8" ht="15.75" customHeight="1" x14ac:dyDescent="0.25">
      <c r="D12159" s="4"/>
      <c r="H12159" s="4"/>
    </row>
    <row r="12160" spans="1:8" ht="15.75" customHeight="1" x14ac:dyDescent="0.25">
      <c r="D12160" s="4"/>
      <c r="H12160" s="4"/>
    </row>
    <row r="12161" spans="1:8" ht="15.75" customHeight="1" x14ac:dyDescent="0.25">
      <c r="D12161" s="4"/>
      <c r="H12161" s="4"/>
    </row>
    <row r="12162" spans="1:8" ht="15.75" customHeight="1" x14ac:dyDescent="0.25">
      <c r="D12162" s="4"/>
      <c r="H12162" s="4"/>
    </row>
    <row r="12163" spans="1:8" ht="15.75" customHeight="1" x14ac:dyDescent="0.25">
      <c r="D12163" s="4"/>
      <c r="H12163" s="4"/>
    </row>
    <row r="12164" spans="1:8" ht="15.75" customHeight="1" x14ac:dyDescent="0.25">
      <c r="D12164" s="4"/>
      <c r="H12164" s="4"/>
    </row>
    <row r="12165" spans="1:8" ht="15.75" customHeight="1" x14ac:dyDescent="0.25">
      <c r="D12165" s="4"/>
      <c r="H12165" s="4"/>
    </row>
    <row r="12166" spans="1:8" ht="15.75" customHeight="1" x14ac:dyDescent="0.25">
      <c r="D12166" s="4"/>
      <c r="H12166" s="4"/>
    </row>
    <row r="12167" spans="1:8" ht="15.75" customHeight="1" x14ac:dyDescent="0.25">
      <c r="D12167" s="4"/>
      <c r="H12167" s="4"/>
    </row>
    <row r="12168" spans="1:8" ht="15.75" customHeight="1" x14ac:dyDescent="0.25">
      <c r="D12168" s="4"/>
      <c r="H12168" s="4"/>
    </row>
    <row r="12169" spans="1:8" ht="15.75" customHeight="1" x14ac:dyDescent="0.25">
      <c r="D12169" s="4"/>
      <c r="H12169" s="4"/>
    </row>
    <row r="12170" spans="1:8" ht="15.75" customHeight="1" x14ac:dyDescent="0.25">
      <c r="D12170" s="4"/>
      <c r="H12170" s="4"/>
    </row>
    <row r="12171" spans="1:8" ht="15.75" customHeight="1" x14ac:dyDescent="0.25">
      <c r="A12171" s="8" t="s">
        <v>14</v>
      </c>
      <c r="B12171" s="8"/>
      <c r="C12171" s="8"/>
      <c r="D12171" s="8"/>
      <c r="E12171" s="8"/>
      <c r="F12171" s="8"/>
      <c r="G12171" s="8"/>
      <c r="H12171" s="8"/>
    </row>
    <row r="12172" spans="1:8" ht="15.75" customHeight="1" x14ac:dyDescent="0.25">
      <c r="A12172" s="388"/>
      <c r="B12172" s="388"/>
      <c r="C12172" s="388"/>
      <c r="D12172" s="389"/>
      <c r="E12172" s="388"/>
      <c r="F12172" s="388"/>
      <c r="G12172" s="388"/>
      <c r="H12172" s="8"/>
    </row>
    <row r="12173" spans="1:8" ht="15.75" customHeight="1" x14ac:dyDescent="0.25">
      <c r="A12173" s="390"/>
      <c r="B12173" s="390"/>
      <c r="C12173" s="390"/>
      <c r="D12173" s="391"/>
      <c r="E12173" s="390"/>
      <c r="F12173" s="395" t="s">
        <v>18</v>
      </c>
      <c r="G12173" s="396" t="s">
        <v>1117</v>
      </c>
      <c r="H12173" s="397"/>
    </row>
    <row r="12174" spans="1:8" ht="15.75" customHeight="1" x14ac:dyDescent="0.25">
      <c r="A12174" s="390" t="s">
        <v>20</v>
      </c>
      <c r="B12174" s="390"/>
      <c r="D12174" s="391"/>
      <c r="E12174" s="390"/>
      <c r="F12174" s="395" t="s">
        <v>21</v>
      </c>
      <c r="G12174" s="390" t="s">
        <v>1973</v>
      </c>
      <c r="H12174" s="391"/>
    </row>
    <row r="12175" spans="1:8" ht="15.75" customHeight="1" x14ac:dyDescent="0.25">
      <c r="A12175" s="390" t="inlineStr">
        <is>
          <t>Dealer-003</t>
        </is>
      </c>
      <c r="B12175" s="390"/>
      <c r="C12175" s="390" t="inlineStr">
        <is>
          <t>ATTN: Contact-007</t>
        </is>
      </c>
      <c r="D12175" s="398"/>
      <c r="E12175" s="390"/>
      <c r="F12175" s="391"/>
      <c r="G12175" s="390"/>
      <c r="H12175" s="394"/>
    </row>
    <row r="12176" spans="1:8" ht="15.75" customHeight="1" x14ac:dyDescent="0.25">
      <c r="A12176" s="390" t="inlineStr">
        <is>
          <t>Address line (redacted)</t>
        </is>
      </c>
      <c r="B12176" s="390"/>
      <c r="C12176" s="390"/>
      <c r="D12176" s="398"/>
      <c r="E12176" s="390"/>
      <c r="F12176" s="391"/>
      <c r="G12176" s="390"/>
      <c r="H12176" s="394"/>
    </row>
    <row r="12177" spans="1:8" ht="15.75" customHeight="1" x14ac:dyDescent="0.25">
      <c r="A12177" s="390"/>
      <c r="B12177" s="390"/>
      <c r="C12177" s="390"/>
      <c r="D12177" s="391"/>
      <c r="E12177" s="390"/>
      <c r="F12177" s="391"/>
      <c r="G12177" s="390"/>
      <c r="H12177" s="394"/>
    </row>
    <row r="12178" spans="1:8" ht="15.75" customHeight="1" x14ac:dyDescent="0.25">
      <c r="A12178" s="390" t="s">
        <v>30</v>
      </c>
      <c r="B12178" s="390"/>
      <c r="C12178" s="390"/>
      <c r="D12178" s="391"/>
      <c r="E12178" s="390"/>
      <c r="F12178" s="391"/>
      <c r="G12178" s="390"/>
      <c r="H12178" s="394"/>
    </row>
    <row r="12179" spans="1:8" ht="15.75" customHeight="1" x14ac:dyDescent="0.25">
      <c r="A12179" s="390" t="s">
        <v>716</v>
      </c>
      <c r="B12179" s="390"/>
      <c r="C12179" s="390"/>
      <c r="D12179" s="391"/>
      <c r="E12179" s="390"/>
      <c r="F12179" s="391"/>
      <c r="G12179" s="390"/>
      <c r="H12179" s="394"/>
    </row>
    <row r="12180" spans="1:8" ht="15.75" customHeight="1" x14ac:dyDescent="0.25">
      <c r="A12180" s="390" t="s">
        <v>717</v>
      </c>
      <c r="B12180" s="390"/>
      <c r="C12180" s="390"/>
      <c r="D12180" s="391"/>
      <c r="E12180" s="390"/>
      <c r="F12180" s="391"/>
      <c r="G12180" s="390"/>
      <c r="H12180" s="394"/>
    </row>
    <row r="12181" spans="1:8" ht="15.75" customHeight="1" x14ac:dyDescent="0.25">
      <c r="A12181" s="390"/>
      <c r="B12181" s="390"/>
      <c r="C12181" s="390"/>
      <c r="D12181" s="391"/>
      <c r="E12181" s="390"/>
      <c r="F12181" s="391"/>
      <c r="G12181" s="390"/>
      <c r="H12181" s="394"/>
    </row>
    <row r="12182" spans="1:8" ht="15.75" customHeight="1" x14ac:dyDescent="0.25">
      <c r="A12182" s="948" t="s">
        <v>33</v>
      </c>
      <c r="B12182" s="949" t="s">
        <v>6</v>
      </c>
      <c r="C12182" s="950"/>
      <c r="D12182" s="874" t="s">
        <v>37</v>
      </c>
      <c r="E12182" s="874" t="s">
        <v>38</v>
      </c>
      <c r="F12182" s="875" t="s">
        <v>7</v>
      </c>
      <c r="G12182" s="872" t="s">
        <v>43</v>
      </c>
      <c r="H12182" s="876" t="s">
        <v>44</v>
      </c>
    </row>
    <row r="12183" spans="1:8" ht="15.75" customHeight="1" x14ac:dyDescent="0.3">
      <c r="A12183" s="412"/>
      <c r="B12183" s="1033"/>
      <c r="C12183" s="1033"/>
      <c r="D12183" s="879"/>
      <c r="E12183" s="879"/>
      <c r="F12183" s="415"/>
      <c r="G12183" s="415"/>
      <c r="H12183" s="416"/>
    </row>
    <row r="12184" spans="1:8" ht="15.75" customHeight="1" x14ac:dyDescent="0.25">
      <c r="A12184" s="412"/>
      <c r="B12184" s="883" t="s">
        <v>2046</v>
      </c>
      <c r="C12184" s="883"/>
      <c r="D12184" s="415"/>
      <c r="E12184" s="415"/>
      <c r="F12184" s="415"/>
      <c r="G12184" s="415"/>
      <c r="H12184" s="416"/>
    </row>
    <row r="12185" spans="1:8" ht="15.75" customHeight="1" x14ac:dyDescent="0.25">
      <c r="A12185" s="412">
        <v>1</v>
      </c>
      <c r="B12185" s="980" t="s">
        <v>2060</v>
      </c>
      <c r="C12185" s="422" t="s">
        <v>340</v>
      </c>
      <c r="D12185" s="415">
        <v>3</v>
      </c>
      <c r="E12185" s="415">
        <v>5</v>
      </c>
      <c r="F12185" s="415">
        <f t="shared" ref="F12185:F12186" si="443">+E12185*D12185</f>
      </c>
      <c r="G12185" s="415">
        <v>1</v>
      </c>
      <c r="H12185" s="416">
        <f t="shared" ref="H12185:H12187" si="444">+G12185*F12185</f>
      </c>
    </row>
    <row r="12186" spans="1:8" ht="15.75" customHeight="1" x14ac:dyDescent="0.25">
      <c r="A12186" s="412">
        <v>2</v>
      </c>
      <c r="B12186" s="980" t="s">
        <v>2061</v>
      </c>
      <c r="C12186" s="422" t="s">
        <v>66</v>
      </c>
      <c r="D12186" s="415">
        <v>2</v>
      </c>
      <c r="E12186" s="415">
        <v>5</v>
      </c>
      <c r="F12186" s="415">
        <f t="shared" si="443"/>
      </c>
      <c r="G12186" s="415">
        <v>1</v>
      </c>
      <c r="H12186" s="416">
        <f t="shared" si="444"/>
      </c>
    </row>
    <row r="12187" spans="1:8" ht="15.75" customHeight="1" x14ac:dyDescent="0.25">
      <c r="A12187" s="412">
        <v>3</v>
      </c>
      <c r="B12187" s="959" t="s">
        <v>214</v>
      </c>
      <c r="C12187" s="422" t="s">
        <v>84</v>
      </c>
      <c r="D12187" s="588">
        <v>5</v>
      </c>
      <c r="E12187" s="588">
        <v>5</v>
      </c>
      <c r="F12187" s="415">
        <v>24</v>
      </c>
      <c r="G12187" s="415">
        <v>1</v>
      </c>
      <c r="H12187" s="416">
        <f t="shared" si="444"/>
      </c>
    </row>
    <row r="12188" spans="1:8" ht="15.75" customHeight="1" x14ac:dyDescent="0.25">
      <c r="A12188" s="412">
        <v>4</v>
      </c>
      <c r="B12188" s="959" t="s">
        <v>214</v>
      </c>
      <c r="C12188" s="422" t="s">
        <v>84</v>
      </c>
      <c r="D12188" s="588"/>
      <c r="E12188" s="588"/>
      <c r="F12188" s="415">
        <v>1</v>
      </c>
      <c r="G12188" s="619" t="s">
        <v>1856</v>
      </c>
      <c r="H12188" s="416"/>
    </row>
    <row r="12189" spans="1:8" ht="15.75" customHeight="1" x14ac:dyDescent="0.25">
      <c r="A12189" s="412">
        <v>5</v>
      </c>
      <c r="B12189" s="960" t="s">
        <v>1300</v>
      </c>
      <c r="C12189" s="422" t="s">
        <v>332</v>
      </c>
      <c r="D12189" s="415">
        <v>2</v>
      </c>
      <c r="E12189" s="415">
        <v>5</v>
      </c>
      <c r="F12189" s="415">
        <f t="shared" ref="F12189:F12193" si="445">+E12189*D12189</f>
      </c>
      <c r="G12189" s="415">
        <v>1</v>
      </c>
      <c r="H12189" s="416">
        <f t="shared" ref="H12189:H12193" si="446">+G12189*F12189</f>
      </c>
    </row>
    <row r="12190" spans="1:8" ht="15.75" customHeight="1" x14ac:dyDescent="0.25">
      <c r="A12190" s="412">
        <v>6</v>
      </c>
      <c r="B12190" s="960" t="s">
        <v>191</v>
      </c>
      <c r="C12190" s="422" t="s">
        <v>107</v>
      </c>
      <c r="D12190" s="415">
        <v>4</v>
      </c>
      <c r="E12190" s="415">
        <v>5</v>
      </c>
      <c r="F12190" s="415">
        <f t="shared" si="445"/>
      </c>
      <c r="G12190" s="415">
        <v>1</v>
      </c>
      <c r="H12190" s="416">
        <f t="shared" si="446"/>
      </c>
    </row>
    <row r="12191" spans="1:8" ht="15.75" customHeight="1" x14ac:dyDescent="0.25">
      <c r="A12191" s="412">
        <v>7</v>
      </c>
      <c r="B12191" s="960" t="s">
        <v>53</v>
      </c>
      <c r="C12191" s="422" t="s">
        <v>54</v>
      </c>
      <c r="D12191" s="415">
        <v>2</v>
      </c>
      <c r="E12191" s="415">
        <v>5</v>
      </c>
      <c r="F12191" s="415">
        <f t="shared" si="445"/>
      </c>
      <c r="G12191" s="415">
        <v>1</v>
      </c>
      <c r="H12191" s="416">
        <f t="shared" si="446"/>
      </c>
    </row>
    <row r="12192" spans="1:8" ht="15.75" customHeight="1" x14ac:dyDescent="0.25">
      <c r="A12192" s="412">
        <v>8</v>
      </c>
      <c r="B12192" s="960" t="s">
        <v>2063</v>
      </c>
      <c r="C12192" s="422" t="s">
        <v>333</v>
      </c>
      <c r="D12192" s="415">
        <v>1</v>
      </c>
      <c r="E12192" s="415">
        <v>5</v>
      </c>
      <c r="F12192" s="415">
        <f t="shared" si="445"/>
      </c>
      <c r="G12192" s="415">
        <v>1</v>
      </c>
      <c r="H12192" s="416">
        <f t="shared" si="446"/>
      </c>
    </row>
    <row r="12193" spans="1:8" ht="15.75" customHeight="1" x14ac:dyDescent="0.25">
      <c r="A12193" s="412">
        <v>9</v>
      </c>
      <c r="B12193" s="960" t="s">
        <v>227</v>
      </c>
      <c r="C12193" s="422" t="s">
        <v>82</v>
      </c>
      <c r="D12193" s="415">
        <v>2</v>
      </c>
      <c r="E12193" s="415">
        <v>5</v>
      </c>
      <c r="F12193" s="415">
        <f t="shared" si="445"/>
      </c>
      <c r="G12193" s="415">
        <v>1</v>
      </c>
      <c r="H12193" s="416">
        <f t="shared" si="446"/>
      </c>
    </row>
    <row r="12194" spans="1:8" ht="15.75" customHeight="1" x14ac:dyDescent="0.25">
      <c r="A12194" s="412"/>
      <c r="B12194" s="1034" t="s">
        <v>2043</v>
      </c>
      <c r="C12194" s="1034"/>
      <c r="D12194" s="415"/>
      <c r="E12194" s="415"/>
      <c r="F12194" s="415"/>
      <c r="G12194" s="415"/>
      <c r="H12194" s="416"/>
    </row>
    <row r="12195" spans="1:8" ht="15.75" customHeight="1" x14ac:dyDescent="0.25">
      <c r="A12195" s="412">
        <v>10</v>
      </c>
      <c r="B12195" s="980" t="s">
        <v>215</v>
      </c>
      <c r="C12195" s="627" t="s">
        <v>386</v>
      </c>
      <c r="D12195" s="588">
        <v>6</v>
      </c>
      <c r="E12195" s="588">
        <v>4</v>
      </c>
      <c r="F12195" s="415">
        <v>23</v>
      </c>
      <c r="G12195" s="415">
        <v>1</v>
      </c>
      <c r="H12195" s="416">
        <f>G12195*F12195</f>
      </c>
    </row>
    <row r="12196" spans="1:8" ht="15.75" customHeight="1" x14ac:dyDescent="0.25">
      <c r="A12196" s="412">
        <v>11</v>
      </c>
      <c r="B12196" s="980" t="s">
        <v>215</v>
      </c>
      <c r="C12196" s="627" t="s">
        <v>386</v>
      </c>
      <c r="D12196" s="588"/>
      <c r="E12196" s="588"/>
      <c r="F12196" s="415">
        <v>1</v>
      </c>
      <c r="G12196" s="619" t="s">
        <v>1856</v>
      </c>
      <c r="H12196" s="416"/>
    </row>
    <row r="12197" spans="1:8" ht="15.75" customHeight="1" x14ac:dyDescent="0.25">
      <c r="A12197" s="412">
        <v>12</v>
      </c>
      <c r="B12197" s="980" t="s">
        <v>191</v>
      </c>
      <c r="C12197" s="627" t="s">
        <v>362</v>
      </c>
      <c r="D12197" s="588">
        <v>4</v>
      </c>
      <c r="E12197" s="588">
        <v>6</v>
      </c>
      <c r="F12197" s="415">
        <v>23</v>
      </c>
      <c r="G12197" s="415">
        <v>1</v>
      </c>
      <c r="H12197" s="416">
        <f>+G12197*F12197</f>
      </c>
    </row>
    <row r="12198" spans="1:8" ht="15.75" customHeight="1" x14ac:dyDescent="0.25">
      <c r="A12198" s="412">
        <v>13</v>
      </c>
      <c r="B12198" s="980" t="s">
        <v>191</v>
      </c>
      <c r="C12198" s="627" t="s">
        <v>362</v>
      </c>
      <c r="D12198" s="588"/>
      <c r="E12198" s="588"/>
      <c r="F12198" s="415">
        <v>1</v>
      </c>
      <c r="G12198" s="619" t="s">
        <v>1856</v>
      </c>
      <c r="H12198" s="416"/>
    </row>
    <row r="12199" spans="1:8" ht="15.75" customHeight="1" x14ac:dyDescent="0.25">
      <c r="A12199" s="412">
        <v>14</v>
      </c>
      <c r="B12199" s="980" t="s">
        <v>2061</v>
      </c>
      <c r="C12199" s="627" t="s">
        <v>363</v>
      </c>
      <c r="D12199" s="588">
        <v>4</v>
      </c>
      <c r="E12199" s="588">
        <v>6</v>
      </c>
      <c r="F12199" s="415">
        <v>23</v>
      </c>
      <c r="G12199" s="415">
        <v>1</v>
      </c>
      <c r="H12199" s="416">
        <f>+G12199*F12199</f>
      </c>
    </row>
    <row r="12200" spans="1:8" ht="15.75" customHeight="1" x14ac:dyDescent="0.25">
      <c r="A12200" s="412">
        <v>15</v>
      </c>
      <c r="B12200" s="980" t="s">
        <v>2061</v>
      </c>
      <c r="C12200" s="627" t="s">
        <v>363</v>
      </c>
      <c r="D12200" s="588"/>
      <c r="E12200" s="588"/>
      <c r="F12200" s="415">
        <v>1</v>
      </c>
      <c r="G12200" s="619" t="s">
        <v>1856</v>
      </c>
      <c r="H12200" s="416"/>
    </row>
    <row r="12201" spans="1:8" ht="15.75" customHeight="1" x14ac:dyDescent="0.25">
      <c r="A12201" s="412"/>
      <c r="B12201" s="883" t="s">
        <v>2065</v>
      </c>
      <c r="C12201" s="883"/>
      <c r="D12201" s="588"/>
      <c r="E12201" s="588"/>
      <c r="F12201" s="415"/>
      <c r="G12201" s="415"/>
      <c r="H12201" s="416"/>
    </row>
    <row r="12202" spans="1:8" ht="15.75" customHeight="1" x14ac:dyDescent="0.25">
      <c r="A12202" s="412">
        <v>16</v>
      </c>
      <c r="B12202" s="980" t="s">
        <v>643</v>
      </c>
      <c r="C12202" s="627"/>
      <c r="D12202" s="588">
        <v>6</v>
      </c>
      <c r="E12202" s="588">
        <v>10</v>
      </c>
      <c r="F12202" s="415">
        <f t="shared" ref="F12202:F12204" si="447">+E12202*D12202</f>
      </c>
      <c r="G12202" s="415">
        <v>1</v>
      </c>
      <c r="H12202" s="416">
        <f t="shared" ref="H12202:H12204" si="448">+G12202*F12202</f>
      </c>
    </row>
    <row r="12203" spans="1:8" ht="15.75" customHeight="1" x14ac:dyDescent="0.25">
      <c r="A12203" s="412">
        <v>17</v>
      </c>
      <c r="B12203" s="980" t="s">
        <v>658</v>
      </c>
      <c r="C12203" s="627"/>
      <c r="D12203" s="588">
        <v>3</v>
      </c>
      <c r="E12203" s="588">
        <v>10</v>
      </c>
      <c r="F12203" s="415">
        <f t="shared" si="447"/>
      </c>
      <c r="G12203" s="415">
        <v>1</v>
      </c>
      <c r="H12203" s="416">
        <f t="shared" si="448"/>
      </c>
    </row>
    <row r="12204" spans="1:8" ht="15.75" customHeight="1" x14ac:dyDescent="0.25">
      <c r="A12204" s="412">
        <v>18</v>
      </c>
      <c r="B12204" s="980" t="s">
        <v>662</v>
      </c>
      <c r="C12204" s="627"/>
      <c r="D12204" s="588">
        <v>8</v>
      </c>
      <c r="E12204" s="588">
        <v>10</v>
      </c>
      <c r="F12204" s="415">
        <f t="shared" si="447"/>
      </c>
      <c r="G12204" s="415">
        <v>1</v>
      </c>
      <c r="H12204" s="416">
        <f t="shared" si="448"/>
      </c>
    </row>
    <row r="12205" spans="1:8" ht="15.75" customHeight="1" x14ac:dyDescent="0.25">
      <c r="A12205" s="412"/>
      <c r="B12205" s="883" t="s">
        <v>2066</v>
      </c>
      <c r="C12205" s="883"/>
      <c r="D12205" s="588"/>
      <c r="E12205" s="588"/>
      <c r="F12205" s="415"/>
      <c r="G12205" s="415"/>
      <c r="H12205" s="416"/>
    </row>
    <row r="12206" spans="1:8" ht="15.75" customHeight="1" x14ac:dyDescent="0.25">
      <c r="A12206" s="412">
        <v>19</v>
      </c>
      <c r="B12206" s="980" t="s">
        <v>53</v>
      </c>
      <c r="C12206" s="627" t="s">
        <v>429</v>
      </c>
      <c r="D12206" s="588">
        <v>1</v>
      </c>
      <c r="E12206" s="588">
        <v>20</v>
      </c>
      <c r="F12206" s="415">
        <f>+E12206*D12206</f>
      </c>
      <c r="G12206" s="415">
        <v>1</v>
      </c>
      <c r="H12206" s="416">
        <f t="shared" ref="H12206:H12207" si="449">+G12206*F12206</f>
      </c>
    </row>
    <row r="12207" spans="1:8" ht="15.75" customHeight="1" x14ac:dyDescent="0.25">
      <c r="A12207" s="412">
        <v>20</v>
      </c>
      <c r="B12207" s="980" t="s">
        <v>2067</v>
      </c>
      <c r="C12207" s="627" t="s">
        <v>427</v>
      </c>
      <c r="D12207" s="588">
        <v>4</v>
      </c>
      <c r="E12207" s="588">
        <v>25</v>
      </c>
      <c r="F12207" s="415">
        <v>99</v>
      </c>
      <c r="G12207" s="415">
        <v>1</v>
      </c>
      <c r="H12207" s="416">
        <f t="shared" si="449"/>
      </c>
    </row>
    <row r="12208" spans="1:8" ht="15.75" customHeight="1" x14ac:dyDescent="0.25">
      <c r="A12208" s="412"/>
      <c r="B12208" s="980"/>
      <c r="C12208" s="627"/>
      <c r="D12208" s="588"/>
      <c r="E12208" s="588"/>
      <c r="F12208" s="415"/>
      <c r="G12208" s="415"/>
      <c r="H12208" s="416"/>
    </row>
    <row r="12209" spans="1:8" ht="15.75" customHeight="1" x14ac:dyDescent="0.25">
      <c r="A12209" s="894"/>
      <c r="B12209" s="878"/>
      <c r="C12209" s="895"/>
      <c r="D12209" s="593"/>
      <c r="E12209" s="593"/>
      <c r="F12209" s="593"/>
      <c r="G12209" s="593"/>
      <c r="H12209" s="931"/>
    </row>
    <row r="12210" spans="1:8" ht="15.75" customHeight="1" x14ac:dyDescent="0.25">
      <c r="A12210" s="877"/>
      <c r="B12210" s="688"/>
      <c r="C12210" s="896" t="s">
        <v>85</v>
      </c>
      <c r="D12210" s="401">
        <f>SUM(D12185:D12209)</f>
      </c>
      <c r="E12210" s="401"/>
      <c r="F12210" s="401">
        <f>SUM(F12185:F12209)</f>
      </c>
      <c r="G12210" s="661"/>
      <c r="H12210" s="438">
        <f>SUM(H12185:H12209)</f>
      </c>
    </row>
    <row r="12211" spans="1:8" ht="15.75" customHeight="1" x14ac:dyDescent="0.25">
      <c r="A12211" s="932"/>
      <c r="B12211" s="933"/>
      <c r="C12211" s="934"/>
      <c r="D12211" s="431"/>
      <c r="E12211" s="935"/>
      <c r="F12211" s="935"/>
      <c r="G12211" s="936"/>
      <c r="H12211" s="444"/>
    </row>
    <row r="12212" spans="1:8" ht="15.75" customHeight="1" x14ac:dyDescent="0.25">
      <c r="A12212" s="994" t="s">
        <v>913</v>
      </c>
      <c r="B12212" s="391"/>
      <c r="C12212" s="391"/>
      <c r="D12212" s="391"/>
      <c r="E12212" s="390"/>
      <c r="F12212" s="392"/>
      <c r="G12212" s="390"/>
      <c r="H12212" s="394"/>
    </row>
    <row r="12213" spans="1:8" ht="15.75" customHeight="1" x14ac:dyDescent="0.25">
      <c r="A12213" s="445"/>
      <c r="B12213" s="445"/>
      <c r="C12213" s="445"/>
      <c r="D12213" s="446" t="s">
        <v>97</v>
      </c>
      <c r="E12213" s="445" t="s">
        <v>98</v>
      </c>
      <c r="F12213" s="445"/>
      <c r="G12213" s="390"/>
      <c r="H12213" s="394"/>
    </row>
    <row r="12214" spans="1:8" ht="15.75" customHeight="1" x14ac:dyDescent="0.25">
      <c r="A12214" s="390"/>
      <c r="B12214" s="390"/>
      <c r="C12214" s="390"/>
      <c r="D12214" s="391"/>
      <c r="E12214" s="390"/>
      <c r="F12214" s="390"/>
      <c r="G12214" s="390"/>
      <c r="H12214" s="394"/>
    </row>
    <row r="12215" spans="1:8" ht="15.75" customHeight="1" x14ac:dyDescent="0.25">
      <c r="A12215" s="390"/>
      <c r="B12215" s="390"/>
      <c r="C12215" s="390"/>
      <c r="D12215" s="391"/>
      <c r="E12215" s="390"/>
      <c r="F12215" s="390"/>
      <c r="G12215" s="390"/>
      <c r="H12215" s="394"/>
    </row>
    <row r="12216" spans="1:8" ht="15.75" customHeight="1" x14ac:dyDescent="0.25">
      <c r="A12216" s="445"/>
      <c r="B12216" s="445"/>
      <c r="C12216" s="445"/>
      <c r="D12216" s="446"/>
      <c r="E12216" s="445" t="s">
        <v>99</v>
      </c>
      <c r="F12216" s="445"/>
      <c r="G12216" s="390"/>
      <c r="H12216" s="394"/>
    </row>
    <row r="12217" spans="1:8" ht="15.75" customHeight="1" x14ac:dyDescent="0.25">
      <c r="A12217" s="8" t="s">
        <v>14</v>
      </c>
      <c r="B12217" s="8"/>
      <c r="C12217" s="8"/>
      <c r="D12217" s="8"/>
      <c r="E12217" s="8"/>
      <c r="F12217" s="8"/>
      <c r="G12217" s="8"/>
      <c r="H12217" s="8"/>
    </row>
    <row r="12218" spans="1:8" ht="15.75" customHeight="1" x14ac:dyDescent="0.25">
      <c r="A12218" s="388"/>
      <c r="B12218" s="388"/>
      <c r="C12218" s="388"/>
      <c r="D12218" s="389"/>
      <c r="E12218" s="388"/>
      <c r="F12218" s="388"/>
      <c r="G12218" s="388"/>
      <c r="H12218" s="8"/>
    </row>
    <row r="12219" spans="1:8" ht="15.75" customHeight="1" x14ac:dyDescent="0.25">
      <c r="A12219" s="390"/>
      <c r="B12219" s="390"/>
      <c r="C12219" s="390"/>
      <c r="D12219" s="391"/>
      <c r="E12219" s="390"/>
      <c r="F12219" s="395" t="s">
        <v>18</v>
      </c>
      <c r="G12219" s="396" t="s">
        <v>1961</v>
      </c>
      <c r="H12219" s="397"/>
    </row>
    <row r="12220" spans="1:8" ht="15.75" customHeight="1" x14ac:dyDescent="0.25">
      <c r="A12220" s="390" t="s">
        <v>20</v>
      </c>
      <c r="B12220" s="390"/>
      <c r="C12220" s="390"/>
      <c r="D12220" s="391"/>
      <c r="E12220" s="390"/>
      <c r="F12220" s="395" t="s">
        <v>21</v>
      </c>
      <c r="G12220" s="390" t="s">
        <v>1962</v>
      </c>
      <c r="H12220" s="391"/>
    </row>
    <row r="12221" spans="1:8" ht="15.75" customHeight="1" x14ac:dyDescent="0.25">
      <c r="A12221" s="390" t="inlineStr">
        <is>
          <t>Dealer-002</t>
        </is>
      </c>
      <c r="B12221" s="390"/>
      <c r="C12221" s="390"/>
      <c r="D12221" s="398"/>
      <c r="E12221" s="390"/>
      <c r="F12221" s="391"/>
      <c r="G12221" s="390"/>
      <c r="H12221" s="394"/>
    </row>
    <row r="12222" spans="1:8" ht="15.75" customHeight="1" x14ac:dyDescent="0.25">
      <c r="A12222" s="390" t="inlineStr">
        <is>
          <t>Address line (redacted)</t>
        </is>
      </c>
      <c r="B12222" s="390"/>
      <c r="C12222" s="390"/>
      <c r="D12222" s="398"/>
      <c r="E12222" s="390"/>
      <c r="F12222" s="391"/>
      <c r="G12222" s="390"/>
      <c r="H12222" s="394"/>
    </row>
    <row r="12223" spans="1:8" ht="15.75" customHeight="1" x14ac:dyDescent="0.25">
      <c r="A12223" s="390" t="inlineStr">
        <is>
          <t>Address line (redacted)</t>
        </is>
      </c>
      <c r="B12223" s="390"/>
      <c r="C12223" s="390"/>
      <c r="D12223" s="391"/>
      <c r="E12223" s="390"/>
      <c r="F12223" s="391"/>
      <c r="G12223" s="390"/>
      <c r="H12223" s="394"/>
    </row>
    <row r="12224" spans="1:8" ht="15.75" customHeight="1" x14ac:dyDescent="0.25">
      <c r="A12224" s="390"/>
      <c r="B12224" s="390"/>
      <c r="C12224" s="390"/>
      <c r="D12224" s="391"/>
      <c r="E12224" s="390"/>
      <c r="F12224" s="391"/>
      <c r="G12224" s="390"/>
      <c r="H12224" s="394"/>
    </row>
    <row r="12225" spans="1:13" ht="15.75" customHeight="1" x14ac:dyDescent="0.25">
      <c r="A12225" s="390" t="s">
        <v>30</v>
      </c>
      <c r="B12225" s="390"/>
      <c r="C12225" s="390"/>
      <c r="D12225" s="391"/>
      <c r="E12225" s="390"/>
      <c r="F12225" s="391"/>
      <c r="G12225" s="390"/>
      <c r="H12225" s="394"/>
    </row>
    <row r="12226" spans="1:13" ht="15.75" customHeight="1" x14ac:dyDescent="0.25">
      <c r="A12226" s="390"/>
      <c r="B12226" s="390"/>
      <c r="C12226" s="390"/>
      <c r="D12226" s="391"/>
      <c r="E12226" s="390"/>
      <c r="F12226" s="391"/>
      <c r="G12226" s="390"/>
      <c r="H12226" s="394"/>
    </row>
    <row r="12227" spans="1:13" ht="15.75" customHeight="1" x14ac:dyDescent="0.25">
      <c r="A12227" s="390" t="s">
        <v>716</v>
      </c>
      <c r="B12227" s="390"/>
      <c r="C12227" s="390"/>
      <c r="D12227" s="391"/>
      <c r="E12227" s="390"/>
      <c r="F12227" s="391"/>
      <c r="G12227" s="390"/>
      <c r="H12227" s="394"/>
    </row>
    <row r="12228" spans="1:13" ht="15.75" customHeight="1" x14ac:dyDescent="0.25">
      <c r="A12228" s="390" t="s">
        <v>717</v>
      </c>
      <c r="B12228" s="390"/>
      <c r="C12228" s="390"/>
      <c r="D12228" s="391"/>
      <c r="E12228" s="390"/>
      <c r="F12228" s="391"/>
      <c r="G12228" s="390"/>
      <c r="H12228" s="394"/>
    </row>
    <row r="12229" spans="1:13" ht="15.75" customHeight="1" x14ac:dyDescent="0.25">
      <c r="A12229" s="390"/>
      <c r="B12229" s="390"/>
      <c r="C12229" s="390"/>
      <c r="D12229" s="391"/>
      <c r="E12229" s="390"/>
      <c r="F12229" s="391"/>
      <c r="G12229" s="390"/>
      <c r="H12229" s="394"/>
    </row>
    <row r="12230" spans="1:13" ht="15.75" customHeight="1" x14ac:dyDescent="0.25">
      <c r="A12230" s="948" t="s">
        <v>33</v>
      </c>
      <c r="B12230" s="949" t="s">
        <v>6</v>
      </c>
      <c r="C12230" s="950"/>
      <c r="D12230" s="874" t="s">
        <v>37</v>
      </c>
      <c r="E12230" s="874" t="s">
        <v>38</v>
      </c>
      <c r="F12230" s="875" t="s">
        <v>7</v>
      </c>
      <c r="G12230" s="872" t="s">
        <v>43</v>
      </c>
      <c r="H12230" s="876" t="s">
        <v>44</v>
      </c>
    </row>
    <row r="12231" spans="1:13" ht="15.75" customHeight="1" x14ac:dyDescent="0.25">
      <c r="A12231" s="877"/>
      <c r="B12231" s="578"/>
      <c r="C12231" s="627"/>
      <c r="D12231" s="578"/>
      <c r="E12231" s="578"/>
      <c r="F12231" s="878"/>
      <c r="G12231" s="578"/>
      <c r="H12231" s="416"/>
    </row>
    <row r="12232" spans="1:13" ht="15.75" customHeight="1" x14ac:dyDescent="0.25">
      <c r="A12232" s="412"/>
      <c r="B12232" s="883" t="s">
        <v>2046</v>
      </c>
      <c r="C12232" s="883"/>
      <c r="D12232" s="842"/>
      <c r="E12232" s="415"/>
      <c r="F12232" s="415"/>
      <c r="G12232" s="415"/>
      <c r="H12232" s="416"/>
    </row>
    <row r="12233" spans="1:13" ht="15.75" customHeight="1" x14ac:dyDescent="0.25">
      <c r="A12233" s="412"/>
      <c r="B12233" s="417" t="s">
        <v>2068</v>
      </c>
      <c r="C12233" s="993" t="s">
        <v>340</v>
      </c>
      <c r="D12233" s="842">
        <v>2</v>
      </c>
      <c r="E12233" s="415">
        <v>5</v>
      </c>
      <c r="F12233" s="415">
        <f t="shared" ref="F12233:F12234" si="450">E12233*D12233</f>
      </c>
      <c r="G12233" s="415">
        <v>1</v>
      </c>
      <c r="H12233" s="416">
        <f t="shared" ref="H12233:H12235" si="451">+G12233*F12233</f>
      </c>
    </row>
    <row r="12234" spans="1:13" ht="15.75" customHeight="1" x14ac:dyDescent="0.25">
      <c r="A12234" s="412"/>
      <c r="B12234" s="417" t="s">
        <v>1325</v>
      </c>
      <c r="C12234" s="993" t="s">
        <v>339</v>
      </c>
      <c r="D12234" s="842">
        <v>1</v>
      </c>
      <c r="E12234" s="415">
        <v>5</v>
      </c>
      <c r="F12234" s="415">
        <f t="shared" si="450"/>
      </c>
      <c r="G12234" s="415">
        <v>1</v>
      </c>
      <c r="H12234" s="416">
        <f t="shared" si="451"/>
      </c>
    </row>
    <row r="12235" spans="1:13" ht="15.75" customHeight="1" x14ac:dyDescent="0.25">
      <c r="A12235" s="412"/>
      <c r="B12235" s="417" t="s">
        <v>2053</v>
      </c>
      <c r="C12235" s="993" t="s">
        <v>47</v>
      </c>
      <c r="D12235" s="592">
        <v>5</v>
      </c>
      <c r="E12235" s="592">
        <v>5</v>
      </c>
      <c r="F12235" s="415">
        <v>24</v>
      </c>
      <c r="G12235" s="415">
        <v>1</v>
      </c>
      <c r="H12235" s="416">
        <f t="shared" si="451"/>
      </c>
    </row>
    <row r="12236" spans="1:13" ht="15.75" customHeight="1" x14ac:dyDescent="0.25">
      <c r="A12236" s="412"/>
      <c r="B12236" s="417" t="s">
        <v>2053</v>
      </c>
      <c r="C12236" s="993" t="s">
        <v>47</v>
      </c>
      <c r="D12236" s="626"/>
      <c r="E12236" s="626"/>
      <c r="F12236" s="415">
        <v>1</v>
      </c>
      <c r="G12236" s="707" t="s">
        <v>1856</v>
      </c>
      <c r="H12236" s="416"/>
      <c r="I12236" s="1035" t="s">
        <v>2321</v>
      </c>
      <c r="J12236" s="1035"/>
      <c r="K12236" s="1035"/>
      <c r="L12236" s="1035"/>
      <c r="M12236" s="1035"/>
    </row>
    <row r="12237" spans="1:13" ht="15.75" customHeight="1" x14ac:dyDescent="0.25">
      <c r="A12237" s="412"/>
      <c r="B12237" s="417" t="s">
        <v>2069</v>
      </c>
      <c r="C12237" s="993" t="s">
        <v>66</v>
      </c>
      <c r="D12237" s="633">
        <v>2</v>
      </c>
      <c r="E12237" s="633">
        <v>5</v>
      </c>
      <c r="F12237" s="415">
        <f>+E12237*D12237</f>
      </c>
      <c r="G12237" s="415">
        <v>1</v>
      </c>
      <c r="H12237" s="416">
        <f t="shared" ref="H12237:H12238" si="452">+G12237*F12237</f>
      </c>
    </row>
    <row r="12238" spans="1:13" ht="15.75" customHeight="1" x14ac:dyDescent="0.25">
      <c r="A12238" s="412"/>
      <c r="B12238" s="1036" t="s">
        <v>214</v>
      </c>
      <c r="C12238" s="993" t="s">
        <v>84</v>
      </c>
      <c r="D12238" s="592">
        <v>5</v>
      </c>
      <c r="E12238" s="592">
        <v>5</v>
      </c>
      <c r="F12238" s="415">
        <v>24</v>
      </c>
      <c r="G12238" s="415">
        <v>1</v>
      </c>
      <c r="H12238" s="416">
        <f t="shared" si="452"/>
      </c>
    </row>
    <row r="12239" spans="1:13" ht="15.75" customHeight="1" x14ac:dyDescent="0.25">
      <c r="A12239" s="412"/>
      <c r="B12239" s="1036" t="s">
        <v>214</v>
      </c>
      <c r="C12239" s="993" t="s">
        <v>84</v>
      </c>
      <c r="D12239" s="626"/>
      <c r="E12239" s="626"/>
      <c r="F12239" s="415">
        <v>1</v>
      </c>
      <c r="G12239" s="707" t="s">
        <v>1856</v>
      </c>
      <c r="H12239" s="416"/>
    </row>
    <row r="12240" spans="1:13" ht="15.75" customHeight="1" x14ac:dyDescent="0.25">
      <c r="A12240" s="412"/>
      <c r="B12240" s="670" t="s">
        <v>2070</v>
      </c>
      <c r="C12240" s="993" t="s">
        <v>298</v>
      </c>
      <c r="D12240" s="592">
        <v>5</v>
      </c>
      <c r="E12240" s="592">
        <v>5</v>
      </c>
      <c r="F12240" s="415">
        <v>24</v>
      </c>
      <c r="G12240" s="415">
        <v>1</v>
      </c>
      <c r="H12240" s="416">
        <f>+G12240*F12240</f>
      </c>
    </row>
    <row r="12241" spans="1:9" ht="15.75" customHeight="1" x14ac:dyDescent="0.25">
      <c r="A12241" s="412"/>
      <c r="B12241" s="670" t="s">
        <v>2070</v>
      </c>
      <c r="C12241" s="993" t="s">
        <v>298</v>
      </c>
      <c r="D12241" s="626"/>
      <c r="E12241" s="626"/>
      <c r="F12241" s="415">
        <v>1</v>
      </c>
      <c r="G12241" s="707" t="s">
        <v>1856</v>
      </c>
      <c r="H12241" s="416"/>
    </row>
    <row r="12242" spans="1:9" ht="15.75" customHeight="1" x14ac:dyDescent="0.25">
      <c r="A12242" s="412"/>
      <c r="B12242" s="978" t="s">
        <v>2043</v>
      </c>
      <c r="C12242" s="979"/>
      <c r="D12242" s="842"/>
      <c r="E12242" s="415"/>
      <c r="F12242" s="415"/>
      <c r="G12242" s="415"/>
      <c r="H12242" s="416"/>
    </row>
    <row r="12243" spans="1:9" ht="15.75" customHeight="1" x14ac:dyDescent="0.25">
      <c r="A12243" s="412"/>
      <c r="B12243" s="670" t="s">
        <v>199</v>
      </c>
      <c r="C12243" s="993" t="s">
        <v>369</v>
      </c>
      <c r="D12243" s="592">
        <v>4</v>
      </c>
      <c r="E12243" s="592">
        <v>6</v>
      </c>
      <c r="F12243" s="415">
        <v>23</v>
      </c>
      <c r="G12243" s="415">
        <v>1</v>
      </c>
      <c r="H12243" s="416">
        <f>+G12243*F12243</f>
      </c>
    </row>
    <row r="12244" spans="1:9" ht="15.75" customHeight="1" x14ac:dyDescent="0.25">
      <c r="A12244" s="412"/>
      <c r="B12244" s="670" t="s">
        <v>199</v>
      </c>
      <c r="C12244" s="993" t="s">
        <v>369</v>
      </c>
      <c r="D12244" s="626"/>
      <c r="E12244" s="626"/>
      <c r="F12244" s="415">
        <v>1</v>
      </c>
      <c r="G12244" s="707" t="s">
        <v>1856</v>
      </c>
      <c r="H12244" s="416"/>
    </row>
    <row r="12245" spans="1:9" ht="15.75" customHeight="1" x14ac:dyDescent="0.25">
      <c r="A12245" s="412"/>
      <c r="B12245" s="670" t="s">
        <v>206</v>
      </c>
      <c r="C12245" s="993" t="s">
        <v>377</v>
      </c>
      <c r="D12245" s="592">
        <v>8</v>
      </c>
      <c r="E12245" s="592">
        <v>6</v>
      </c>
      <c r="F12245" s="415">
        <v>46</v>
      </c>
      <c r="G12245" s="415">
        <v>1</v>
      </c>
      <c r="H12245" s="416">
        <f>+G12245*F12245</f>
      </c>
    </row>
    <row r="12246" spans="1:9" ht="15.75" customHeight="1" x14ac:dyDescent="0.25">
      <c r="A12246" s="412"/>
      <c r="B12246" s="670" t="s">
        <v>206</v>
      </c>
      <c r="C12246" s="993" t="s">
        <v>377</v>
      </c>
      <c r="D12246" s="626"/>
      <c r="E12246" s="626"/>
      <c r="F12246" s="415">
        <v>2</v>
      </c>
      <c r="G12246" s="707" t="s">
        <v>1856</v>
      </c>
      <c r="H12246" s="416"/>
    </row>
    <row r="12247" spans="1:9" ht="15.75" customHeight="1" x14ac:dyDescent="0.25">
      <c r="A12247" s="412"/>
      <c r="B12247" s="670" t="s">
        <v>2071</v>
      </c>
      <c r="C12247" s="993" t="s">
        <v>383</v>
      </c>
      <c r="D12247" s="842">
        <v>1</v>
      </c>
      <c r="E12247" s="415">
        <v>6</v>
      </c>
      <c r="F12247" s="415">
        <f t="shared" ref="F12247:F12248" si="453">E12247*D12247</f>
      </c>
      <c r="G12247" s="415">
        <v>1</v>
      </c>
      <c r="H12247" s="416">
        <f t="shared" ref="H12247:H12249" si="454">+G12247*F12247</f>
      </c>
    </row>
    <row r="12248" spans="1:9" ht="15.75" customHeight="1" x14ac:dyDescent="0.25">
      <c r="A12248" s="412"/>
      <c r="B12248" s="670" t="s">
        <v>215</v>
      </c>
      <c r="C12248" s="993" t="s">
        <v>386</v>
      </c>
      <c r="D12248" s="842">
        <v>2</v>
      </c>
      <c r="E12248" s="415">
        <v>4</v>
      </c>
      <c r="F12248" s="415">
        <f t="shared" si="453"/>
      </c>
      <c r="G12248" s="415">
        <v>1</v>
      </c>
      <c r="H12248" s="416">
        <f t="shared" si="454"/>
      </c>
    </row>
    <row r="12249" spans="1:9" ht="15.75" customHeight="1" x14ac:dyDescent="0.25">
      <c r="A12249" s="412"/>
      <c r="B12249" s="670" t="s">
        <v>2073</v>
      </c>
      <c r="C12249" s="993" t="s">
        <v>403</v>
      </c>
      <c r="D12249" s="592">
        <v>3</v>
      </c>
      <c r="E12249" s="592">
        <v>8</v>
      </c>
      <c r="F12249" s="415">
        <v>23</v>
      </c>
      <c r="G12249" s="415">
        <v>1</v>
      </c>
      <c r="H12249" s="416">
        <f t="shared" si="454"/>
      </c>
    </row>
    <row r="12250" spans="1:9" ht="15.75" customHeight="1" x14ac:dyDescent="0.25">
      <c r="A12250" s="412"/>
      <c r="B12250" s="670" t="s">
        <v>2073</v>
      </c>
      <c r="C12250" s="993" t="s">
        <v>403</v>
      </c>
      <c r="D12250" s="626"/>
      <c r="E12250" s="626"/>
      <c r="F12250" s="415">
        <v>1</v>
      </c>
      <c r="G12250" s="707" t="s">
        <v>1856</v>
      </c>
      <c r="H12250" s="416"/>
    </row>
    <row r="12251" spans="1:9" ht="15.75" customHeight="1" x14ac:dyDescent="0.25">
      <c r="A12251" s="894"/>
      <c r="B12251" s="878"/>
      <c r="C12251" s="895"/>
      <c r="D12251" s="593"/>
      <c r="E12251" s="593"/>
      <c r="F12251" s="593"/>
      <c r="G12251" s="593"/>
      <c r="H12251" s="931"/>
      <c r="I12251" s="968"/>
    </row>
    <row r="12252" spans="1:9" ht="15.75" customHeight="1" x14ac:dyDescent="0.25">
      <c r="A12252" s="877"/>
      <c r="B12252" s="688"/>
      <c r="C12252" s="896" t="s">
        <v>85</v>
      </c>
      <c r="D12252" s="401">
        <f>SUM(D12233:D12251)</f>
      </c>
      <c r="E12252" s="401"/>
      <c r="F12252" s="401">
        <f>SUM(F12233:F12251)</f>
      </c>
      <c r="G12252" s="661"/>
      <c r="H12252" s="438">
        <f>SUM(H12233:H12251)</f>
      </c>
    </row>
    <row r="12253" spans="1:9" ht="15.75" customHeight="1" x14ac:dyDescent="0.25">
      <c r="A12253" s="932"/>
      <c r="B12253" s="933"/>
      <c r="C12253" s="934"/>
      <c r="D12253" s="431"/>
      <c r="E12253" s="935"/>
      <c r="F12253" s="935"/>
      <c r="G12253" s="936"/>
      <c r="H12253" s="444"/>
    </row>
    <row r="12254" spans="1:9" ht="15.75" customHeight="1" x14ac:dyDescent="0.25">
      <c r="A12254" s="392" t="s">
        <v>913</v>
      </c>
      <c r="B12254" s="391"/>
      <c r="C12254" s="391"/>
      <c r="D12254" s="391"/>
      <c r="E12254" s="390"/>
      <c r="F12254" s="392"/>
      <c r="G12254" s="390"/>
      <c r="H12254" s="394"/>
    </row>
    <row r="12255" spans="1:9" ht="15.75" customHeight="1" x14ac:dyDescent="0.25">
      <c r="A12255" s="445"/>
      <c r="B12255" s="445"/>
      <c r="C12255" s="445"/>
      <c r="D12255" s="446" t="s">
        <v>97</v>
      </c>
      <c r="E12255" s="445" t="s">
        <v>98</v>
      </c>
      <c r="F12255" s="445"/>
      <c r="G12255" s="390"/>
      <c r="H12255" s="394"/>
    </row>
    <row r="12256" spans="1:9" ht="15.75" customHeight="1" x14ac:dyDescent="0.25">
      <c r="A12256" s="390"/>
      <c r="B12256" s="390"/>
      <c r="C12256" s="390"/>
      <c r="D12256" s="391"/>
      <c r="E12256" s="390"/>
      <c r="F12256" s="390"/>
      <c r="G12256" s="390"/>
      <c r="H12256" s="394"/>
    </row>
    <row r="12257" spans="1:8" ht="15.75" customHeight="1" x14ac:dyDescent="0.25">
      <c r="A12257" s="390"/>
      <c r="B12257" s="390"/>
      <c r="C12257" s="390"/>
      <c r="D12257" s="391"/>
      <c r="E12257" s="390"/>
      <c r="F12257" s="390"/>
      <c r="G12257" s="390"/>
      <c r="H12257" s="394"/>
    </row>
    <row r="12258" spans="1:8" ht="15.75" customHeight="1" x14ac:dyDescent="0.25">
      <c r="A12258" s="445"/>
      <c r="B12258" s="445"/>
      <c r="C12258" s="445"/>
      <c r="D12258" s="446"/>
      <c r="E12258" s="445" t="s">
        <v>99</v>
      </c>
      <c r="F12258" s="445"/>
      <c r="G12258" s="390"/>
      <c r="H12258" s="394"/>
    </row>
    <row r="12259" spans="1:8" ht="15.75" customHeight="1" x14ac:dyDescent="0.25">
      <c r="D12259" s="4"/>
      <c r="H12259" s="4"/>
    </row>
    <row r="12260" spans="1:8" ht="15.75" customHeight="1" x14ac:dyDescent="0.25">
      <c r="D12260" s="4"/>
      <c r="H12260" s="4"/>
    </row>
    <row r="12261" spans="1:8" ht="15.75" customHeight="1" x14ac:dyDescent="0.25">
      <c r="D12261" s="4"/>
      <c r="H12261" s="4"/>
    </row>
    <row r="12262" spans="1:8" ht="15.75" customHeight="1" x14ac:dyDescent="0.25">
      <c r="D12262" s="4"/>
      <c r="H12262" s="4"/>
    </row>
    <row r="12263" spans="1:8" ht="15.75" customHeight="1" x14ac:dyDescent="0.25">
      <c r="D12263" s="4"/>
      <c r="H12263" s="4"/>
    </row>
    <row r="12264" spans="1:8" ht="15.75" customHeight="1" x14ac:dyDescent="0.25">
      <c r="D12264" s="4"/>
      <c r="H12264" s="4"/>
    </row>
    <row r="12265" spans="1:8" ht="15.75" customHeight="1" x14ac:dyDescent="0.25">
      <c r="D12265" s="4"/>
      <c r="H12265" s="4"/>
    </row>
    <row r="12266" spans="1:8" ht="15.75" customHeight="1" x14ac:dyDescent="0.25">
      <c r="D12266" s="4"/>
      <c r="H12266" s="4"/>
    </row>
    <row r="12267" spans="1:8" ht="15.75" customHeight="1" x14ac:dyDescent="0.25">
      <c r="D12267" s="4"/>
      <c r="H12267" s="4"/>
    </row>
    <row r="12268" spans="1:8" ht="15.75" customHeight="1" x14ac:dyDescent="0.25">
      <c r="D12268" s="4"/>
      <c r="H12268" s="4"/>
    </row>
    <row r="12269" spans="1:8" ht="15.75" customHeight="1" x14ac:dyDescent="0.25">
      <c r="D12269" s="4"/>
      <c r="H12269" s="4"/>
    </row>
    <row r="12270" spans="1:8" ht="15.75" customHeight="1" x14ac:dyDescent="0.25">
      <c r="D12270" s="4"/>
      <c r="H12270" s="4"/>
    </row>
    <row r="12271" spans="1:8" ht="15.75" customHeight="1" x14ac:dyDescent="0.25">
      <c r="D12271" s="4"/>
      <c r="H12271" s="4"/>
    </row>
    <row r="12272" spans="1:8" ht="15.75" customHeight="1" x14ac:dyDescent="0.25">
      <c r="D12272" s="4"/>
      <c r="H12272" s="4"/>
    </row>
    <row r="12273" spans="1:8" ht="15.75" customHeight="1" x14ac:dyDescent="0.25">
      <c r="D12273" s="4"/>
      <c r="H12273" s="4"/>
    </row>
    <row r="12274" spans="1:8" ht="15.75" customHeight="1" x14ac:dyDescent="0.25">
      <c r="D12274" s="4"/>
      <c r="H12274" s="4"/>
    </row>
    <row r="12275" spans="1:8" ht="15.75" customHeight="1" x14ac:dyDescent="0.25">
      <c r="D12275" s="4"/>
      <c r="H12275" s="4"/>
    </row>
    <row r="12276" spans="1:8" ht="15.75" customHeight="1" x14ac:dyDescent="0.25">
      <c r="D12276" s="4"/>
      <c r="H12276" s="4"/>
    </row>
    <row r="12277" spans="1:8" ht="15.75" customHeight="1" x14ac:dyDescent="0.25">
      <c r="D12277" s="4"/>
      <c r="H12277" s="4"/>
    </row>
    <row r="12278" spans="1:8" ht="15.75" customHeight="1" x14ac:dyDescent="0.25">
      <c r="D12278" s="4"/>
      <c r="H12278" s="4"/>
    </row>
    <row r="12279" spans="1:8" ht="15.75" customHeight="1" x14ac:dyDescent="0.25">
      <c r="D12279" s="4"/>
      <c r="H12279" s="4"/>
    </row>
    <row r="12280" spans="1:8" ht="15.75" customHeight="1" x14ac:dyDescent="0.25">
      <c r="D12280" s="4"/>
      <c r="H12280" s="4"/>
    </row>
    <row r="12281" spans="1:8" ht="15.75" customHeight="1" x14ac:dyDescent="0.25">
      <c r="D12281" s="4"/>
      <c r="H12281" s="4"/>
    </row>
    <row r="12282" spans="1:8" ht="15.75" customHeight="1" x14ac:dyDescent="0.25">
      <c r="D12282" s="4"/>
      <c r="H12282" s="4"/>
    </row>
    <row r="12283" spans="1:8" ht="15.75" customHeight="1" x14ac:dyDescent="0.25">
      <c r="D12283" s="4"/>
      <c r="H12283" s="4"/>
    </row>
    <row r="12284" spans="1:8" ht="15.75" customHeight="1" x14ac:dyDescent="0.25">
      <c r="D12284" s="4"/>
      <c r="H12284" s="4"/>
    </row>
    <row r="12285" spans="1:8" ht="15.75" customHeight="1" x14ac:dyDescent="0.25">
      <c r="D12285" s="4"/>
      <c r="H12285" s="4"/>
    </row>
    <row r="12286" spans="1:8" ht="15.75" customHeight="1" x14ac:dyDescent="0.25">
      <c r="D12286" s="4"/>
      <c r="H12286" s="4"/>
    </row>
    <row r="12287" spans="1:8" ht="15.75" customHeight="1" x14ac:dyDescent="0.25">
      <c r="A12287" s="8" t="s">
        <v>14</v>
      </c>
      <c r="B12287" s="8"/>
      <c r="C12287" s="8"/>
      <c r="D12287" s="8"/>
      <c r="E12287" s="8"/>
      <c r="F12287" s="8"/>
      <c r="G12287" s="8"/>
      <c r="H12287" s="8"/>
    </row>
    <row r="12288" spans="1:8" ht="15.75" customHeight="1" x14ac:dyDescent="0.25">
      <c r="A12288" s="390"/>
      <c r="B12288" s="390"/>
      <c r="C12288" s="390"/>
      <c r="D12288" s="391"/>
      <c r="E12288" s="390"/>
      <c r="F12288" s="395" t="s">
        <v>18</v>
      </c>
      <c r="G12288" s="396" t="s">
        <v>1122</v>
      </c>
      <c r="H12288" s="397"/>
    </row>
    <row r="12289" spans="1:8" ht="15.75" customHeight="1" x14ac:dyDescent="0.25">
      <c r="A12289" s="390" t="s">
        <v>20</v>
      </c>
      <c r="B12289" s="390"/>
      <c r="D12289" s="391"/>
      <c r="E12289" s="390"/>
      <c r="F12289" s="395" t="s">
        <v>21</v>
      </c>
      <c r="G12289" s="390" t="s">
        <v>1574</v>
      </c>
      <c r="H12289" s="391"/>
    </row>
    <row r="12290" spans="1:8" ht="15.75" customHeight="1" x14ac:dyDescent="0.25">
      <c r="A12290" s="390" t="inlineStr">
        <is>
          <t>Dealer-003</t>
        </is>
      </c>
      <c r="B12290" s="390"/>
      <c r="C12290" s="390" t="inlineStr">
        <is>
          <t>ATTN: Contact-007</t>
        </is>
      </c>
      <c r="D12290" s="398"/>
      <c r="E12290" s="390"/>
      <c r="F12290" s="391"/>
      <c r="G12290" s="390"/>
      <c r="H12290" s="394"/>
    </row>
    <row r="12291" spans="1:8" ht="15.75" customHeight="1" x14ac:dyDescent="0.25">
      <c r="A12291" s="390" t="inlineStr">
        <is>
          <t>Address line (redacted)</t>
        </is>
      </c>
      <c r="B12291" s="390"/>
      <c r="C12291" s="390"/>
      <c r="D12291" s="398"/>
      <c r="E12291" s="390"/>
      <c r="F12291" s="391"/>
      <c r="G12291" s="390"/>
      <c r="H12291" s="394"/>
    </row>
    <row r="12292" spans="1:8" ht="15.75" customHeight="1" x14ac:dyDescent="0.25">
      <c r="A12292" s="390"/>
      <c r="B12292" s="390"/>
      <c r="C12292" s="390"/>
      <c r="D12292" s="391"/>
      <c r="E12292" s="390"/>
      <c r="F12292" s="391"/>
      <c r="G12292" s="390"/>
      <c r="H12292" s="394"/>
    </row>
    <row r="12293" spans="1:8" ht="15.75" customHeight="1" x14ac:dyDescent="0.25">
      <c r="A12293" s="390" t="s">
        <v>30</v>
      </c>
      <c r="B12293" s="390"/>
      <c r="C12293" s="390"/>
      <c r="D12293" s="391"/>
      <c r="E12293" s="390"/>
      <c r="F12293" s="391"/>
      <c r="G12293" s="390"/>
      <c r="H12293" s="394"/>
    </row>
    <row r="12294" spans="1:8" ht="15.75" customHeight="1" x14ac:dyDescent="0.25">
      <c r="A12294" s="390" t="s">
        <v>716</v>
      </c>
      <c r="B12294" s="390"/>
      <c r="C12294" s="390"/>
      <c r="D12294" s="391"/>
      <c r="E12294" s="390"/>
      <c r="F12294" s="391"/>
      <c r="G12294" s="390"/>
      <c r="H12294" s="394"/>
    </row>
    <row r="12295" spans="1:8" ht="15.75" customHeight="1" x14ac:dyDescent="0.25">
      <c r="A12295" s="390" t="s">
        <v>717</v>
      </c>
      <c r="B12295" s="390"/>
      <c r="C12295" s="390"/>
      <c r="D12295" s="391"/>
      <c r="E12295" s="390"/>
      <c r="F12295" s="391"/>
      <c r="G12295" s="390"/>
      <c r="H12295" s="394"/>
    </row>
    <row r="12296" spans="1:8" ht="15.75" customHeight="1" x14ac:dyDescent="0.25">
      <c r="A12296" s="390"/>
      <c r="B12296" s="390"/>
      <c r="C12296" s="390"/>
      <c r="D12296" s="391"/>
      <c r="E12296" s="390"/>
      <c r="F12296" s="391"/>
      <c r="G12296" s="390"/>
      <c r="H12296" s="394"/>
    </row>
    <row r="12297" spans="1:8" ht="15.75" customHeight="1" x14ac:dyDescent="0.25">
      <c r="A12297" s="948" t="s">
        <v>33</v>
      </c>
      <c r="B12297" s="949" t="s">
        <v>6</v>
      </c>
      <c r="C12297" s="950"/>
      <c r="D12297" s="874" t="s">
        <v>37</v>
      </c>
      <c r="E12297" s="874" t="s">
        <v>38</v>
      </c>
      <c r="F12297" s="875" t="s">
        <v>7</v>
      </c>
      <c r="G12297" s="872" t="s">
        <v>43</v>
      </c>
      <c r="H12297" s="876" t="s">
        <v>44</v>
      </c>
    </row>
    <row r="12298" spans="1:8" ht="15.75" customHeight="1" x14ac:dyDescent="0.3">
      <c r="A12298" s="412"/>
      <c r="B12298" s="1033"/>
      <c r="C12298" s="1033"/>
      <c r="D12298" s="879"/>
      <c r="E12298" s="879"/>
      <c r="F12298" s="415"/>
      <c r="G12298" s="415"/>
      <c r="H12298" s="416"/>
    </row>
    <row r="12299" spans="1:8" ht="15.75" customHeight="1" x14ac:dyDescent="0.25">
      <c r="A12299" s="412"/>
      <c r="B12299" s="883" t="s">
        <v>2046</v>
      </c>
      <c r="C12299" s="883"/>
      <c r="D12299" s="415"/>
      <c r="E12299" s="415"/>
      <c r="F12299" s="415"/>
      <c r="G12299" s="415"/>
      <c r="H12299" s="416"/>
    </row>
    <row r="12300" spans="1:8" ht="15.75" customHeight="1" x14ac:dyDescent="0.25">
      <c r="A12300" s="412">
        <v>1</v>
      </c>
      <c r="B12300" s="1037" t="s">
        <v>60</v>
      </c>
      <c r="C12300" s="422" t="s">
        <v>142</v>
      </c>
      <c r="D12300" s="592">
        <v>5</v>
      </c>
      <c r="E12300" s="592">
        <v>5</v>
      </c>
      <c r="F12300" s="415">
        <v>24</v>
      </c>
      <c r="G12300" s="415">
        <v>1</v>
      </c>
      <c r="H12300" s="416">
        <f>+G12300*F12300</f>
      </c>
    </row>
    <row r="12301" spans="1:8" ht="15.75" customHeight="1" x14ac:dyDescent="0.25">
      <c r="A12301" s="412">
        <v>2</v>
      </c>
      <c r="B12301" s="1037" t="s">
        <v>60</v>
      </c>
      <c r="C12301" s="422" t="s">
        <v>142</v>
      </c>
      <c r="D12301" s="626"/>
      <c r="E12301" s="626"/>
      <c r="F12301" s="415">
        <v>1</v>
      </c>
      <c r="G12301" s="619" t="s">
        <v>1856</v>
      </c>
      <c r="H12301" s="416"/>
    </row>
    <row r="12302" spans="1:8" ht="15.75" customHeight="1" x14ac:dyDescent="0.25">
      <c r="A12302" s="412">
        <v>3</v>
      </c>
      <c r="B12302" s="1037" t="s">
        <v>60</v>
      </c>
      <c r="C12302" s="422" t="s">
        <v>142</v>
      </c>
      <c r="D12302" s="415">
        <v>1</v>
      </c>
      <c r="E12302" s="415">
        <v>1</v>
      </c>
      <c r="F12302" s="415">
        <v>1</v>
      </c>
      <c r="G12302" s="415">
        <v>1</v>
      </c>
      <c r="H12302" s="416">
        <f t="shared" ref="H12302:H12305" si="455">+G12302*F12302</f>
      </c>
    </row>
    <row r="12303" spans="1:8" ht="15.75" customHeight="1" x14ac:dyDescent="0.25">
      <c r="A12303" s="412">
        <v>4</v>
      </c>
      <c r="B12303" s="1037" t="s">
        <v>655</v>
      </c>
      <c r="C12303" s="422" t="s">
        <v>94</v>
      </c>
      <c r="D12303" s="415">
        <v>4</v>
      </c>
      <c r="E12303" s="415">
        <v>5</v>
      </c>
      <c r="F12303" s="415">
        <f t="shared" ref="F12303:F12304" si="456">+E12303*D12303</f>
      </c>
      <c r="G12303" s="415">
        <v>1</v>
      </c>
      <c r="H12303" s="416">
        <f t="shared" si="455"/>
      </c>
    </row>
    <row r="12304" spans="1:8" ht="15.75" customHeight="1" x14ac:dyDescent="0.25">
      <c r="A12304" s="412">
        <v>5</v>
      </c>
      <c r="B12304" s="1037" t="s">
        <v>655</v>
      </c>
      <c r="C12304" s="422" t="s">
        <v>94</v>
      </c>
      <c r="D12304" s="415">
        <v>2</v>
      </c>
      <c r="E12304" s="415">
        <v>1</v>
      </c>
      <c r="F12304" s="415">
        <f t="shared" si="456"/>
      </c>
      <c r="G12304" s="415">
        <v>1</v>
      </c>
      <c r="H12304" s="416">
        <f t="shared" si="455"/>
      </c>
    </row>
    <row r="12305" spans="1:8" ht="15.75" customHeight="1" x14ac:dyDescent="0.25">
      <c r="A12305" s="412">
        <v>6</v>
      </c>
      <c r="B12305" s="1037" t="s">
        <v>34</v>
      </c>
      <c r="C12305" s="422" t="s">
        <v>25</v>
      </c>
      <c r="D12305" s="592">
        <v>10</v>
      </c>
      <c r="E12305" s="592">
        <v>5</v>
      </c>
      <c r="F12305" s="415">
        <v>48</v>
      </c>
      <c r="G12305" s="415">
        <v>1</v>
      </c>
      <c r="H12305" s="416">
        <f t="shared" si="455"/>
      </c>
    </row>
    <row r="12306" spans="1:8" ht="15.75" customHeight="1" x14ac:dyDescent="0.25">
      <c r="A12306" s="412">
        <v>7</v>
      </c>
      <c r="B12306" s="1037" t="s">
        <v>34</v>
      </c>
      <c r="C12306" s="422" t="s">
        <v>25</v>
      </c>
      <c r="D12306" s="626"/>
      <c r="E12306" s="626"/>
      <c r="F12306" s="415">
        <v>2</v>
      </c>
      <c r="G12306" s="619" t="s">
        <v>1856</v>
      </c>
      <c r="H12306" s="416"/>
    </row>
    <row r="12307" spans="1:8" ht="15.75" customHeight="1" x14ac:dyDescent="0.25">
      <c r="A12307" s="412">
        <v>8</v>
      </c>
      <c r="B12307" s="1037" t="s">
        <v>1552</v>
      </c>
      <c r="C12307" s="993" t="s">
        <v>330</v>
      </c>
      <c r="D12307" s="592">
        <v>10</v>
      </c>
      <c r="E12307" s="592">
        <v>5</v>
      </c>
      <c r="F12307" s="415">
        <v>48</v>
      </c>
      <c r="G12307" s="415">
        <v>1</v>
      </c>
      <c r="H12307" s="416">
        <f>+G12307*F12307</f>
      </c>
    </row>
    <row r="12308" spans="1:8" ht="15.75" customHeight="1" x14ac:dyDescent="0.25">
      <c r="A12308" s="412">
        <v>9</v>
      </c>
      <c r="B12308" s="1037" t="s">
        <v>1552</v>
      </c>
      <c r="C12308" s="993" t="s">
        <v>330</v>
      </c>
      <c r="D12308" s="626"/>
      <c r="E12308" s="626"/>
      <c r="F12308" s="415">
        <v>2</v>
      </c>
      <c r="G12308" s="619" t="s">
        <v>1856</v>
      </c>
      <c r="H12308" s="416"/>
    </row>
    <row r="12309" spans="1:8" ht="15.75" customHeight="1" x14ac:dyDescent="0.25">
      <c r="A12309" s="412">
        <v>10</v>
      </c>
      <c r="B12309" s="1038" t="s">
        <v>3</v>
      </c>
      <c r="C12309" s="993" t="s">
        <v>4</v>
      </c>
      <c r="D12309" s="588">
        <f>75/5</f>
      </c>
      <c r="E12309" s="588">
        <v>5</v>
      </c>
      <c r="F12309" s="415">
        <f>+E12309*D12309</f>
      </c>
      <c r="G12309" s="415">
        <v>1</v>
      </c>
      <c r="H12309" s="416">
        <f t="shared" ref="H12309:H12310" si="457">+G12309*F12309</f>
      </c>
    </row>
    <row r="12310" spans="1:8" ht="15.75" customHeight="1" x14ac:dyDescent="0.25">
      <c r="A12310" s="412">
        <v>11</v>
      </c>
      <c r="B12310" s="1038" t="s">
        <v>68</v>
      </c>
      <c r="C12310" s="993" t="s">
        <v>91</v>
      </c>
      <c r="D12310" s="592">
        <v>5</v>
      </c>
      <c r="E12310" s="592">
        <v>5</v>
      </c>
      <c r="F12310" s="415">
        <v>24</v>
      </c>
      <c r="G12310" s="415">
        <v>1</v>
      </c>
      <c r="H12310" s="416">
        <f t="shared" si="457"/>
      </c>
    </row>
    <row r="12311" spans="1:8" ht="15.75" customHeight="1" x14ac:dyDescent="0.25">
      <c r="A12311" s="412">
        <v>12</v>
      </c>
      <c r="B12311" s="1038" t="s">
        <v>68</v>
      </c>
      <c r="C12311" s="993" t="s">
        <v>91</v>
      </c>
      <c r="D12311" s="626"/>
      <c r="E12311" s="626"/>
      <c r="F12311" s="415">
        <v>1</v>
      </c>
      <c r="G12311" s="619" t="s">
        <v>1856</v>
      </c>
      <c r="H12311" s="416"/>
    </row>
    <row r="12312" spans="1:8" ht="15.75" customHeight="1" x14ac:dyDescent="0.25">
      <c r="A12312" s="412">
        <v>13</v>
      </c>
      <c r="B12312" s="1038" t="s">
        <v>125</v>
      </c>
      <c r="C12312" s="993" t="s">
        <v>324</v>
      </c>
      <c r="D12312" s="626">
        <v>7</v>
      </c>
      <c r="E12312" s="626">
        <v>5</v>
      </c>
      <c r="F12312" s="415">
        <f t="shared" ref="F12312:F12313" si="458">+E12312*D12312</f>
      </c>
      <c r="G12312" s="415">
        <v>1</v>
      </c>
      <c r="H12312" s="416">
        <f t="shared" ref="H12312:H12313" si="459">+G12312*F12312</f>
      </c>
    </row>
    <row r="12313" spans="1:8" ht="15.75" customHeight="1" x14ac:dyDescent="0.25">
      <c r="A12313" s="412">
        <v>14</v>
      </c>
      <c r="B12313" s="1038" t="s">
        <v>127</v>
      </c>
      <c r="C12313" s="993" t="s">
        <v>326</v>
      </c>
      <c r="D12313" s="626">
        <v>10</v>
      </c>
      <c r="E12313" s="626">
        <v>5</v>
      </c>
      <c r="F12313" s="415">
        <f t="shared" si="458"/>
      </c>
      <c r="G12313" s="415">
        <v>1</v>
      </c>
      <c r="H12313" s="416">
        <f t="shared" si="459"/>
      </c>
    </row>
    <row r="12314" spans="1:8" ht="15.75" customHeight="1" x14ac:dyDescent="0.25">
      <c r="A12314" s="412"/>
      <c r="B12314" s="1039" t="s">
        <v>1575</v>
      </c>
      <c r="C12314" s="1039"/>
      <c r="D12314" s="626"/>
      <c r="E12314" s="626"/>
      <c r="F12314" s="415"/>
      <c r="G12314" s="415"/>
      <c r="H12314" s="416"/>
    </row>
    <row r="12315" spans="1:8" ht="15.75" customHeight="1" x14ac:dyDescent="0.25">
      <c r="A12315" s="412">
        <v>15</v>
      </c>
      <c r="B12315" s="670" t="s">
        <v>148</v>
      </c>
      <c r="C12315" s="672" t="s">
        <v>1607</v>
      </c>
      <c r="D12315" s="1040">
        <v>1</v>
      </c>
      <c r="E12315" s="1040">
        <v>1</v>
      </c>
      <c r="F12315" s="1040">
        <v>1</v>
      </c>
      <c r="G12315" s="415">
        <v>1</v>
      </c>
      <c r="H12315" s="416">
        <f t="shared" ref="H12315:H12326" si="460">+G12315*F12315</f>
      </c>
    </row>
    <row r="12316" spans="1:8" ht="15.75" customHeight="1" x14ac:dyDescent="0.25">
      <c r="A12316" s="412">
        <v>16</v>
      </c>
      <c r="B12316" s="670" t="s">
        <v>1576</v>
      </c>
      <c r="C12316" s="672" t="s">
        <v>1608</v>
      </c>
      <c r="D12316" s="1040">
        <v>1</v>
      </c>
      <c r="E12316" s="1040">
        <v>1</v>
      </c>
      <c r="F12316" s="1040">
        <v>1</v>
      </c>
      <c r="G12316" s="415">
        <v>1</v>
      </c>
      <c r="H12316" s="416">
        <f t="shared" si="460"/>
      </c>
    </row>
    <row r="12317" spans="1:8" ht="15.75" customHeight="1" x14ac:dyDescent="0.25">
      <c r="A12317" s="412">
        <v>17</v>
      </c>
      <c r="B12317" s="670" t="s">
        <v>1609</v>
      </c>
      <c r="C12317" s="672" t="s">
        <v>1610</v>
      </c>
      <c r="D12317" s="1040">
        <v>1</v>
      </c>
      <c r="E12317" s="1040">
        <v>1</v>
      </c>
      <c r="F12317" s="1040">
        <v>1</v>
      </c>
      <c r="G12317" s="415">
        <v>1</v>
      </c>
      <c r="H12317" s="416">
        <f t="shared" si="460"/>
      </c>
    </row>
    <row r="12318" spans="1:8" ht="15.75" customHeight="1" x14ac:dyDescent="0.25">
      <c r="A12318" s="412">
        <v>18</v>
      </c>
      <c r="B12318" s="670" t="s">
        <v>1611</v>
      </c>
      <c r="C12318" s="672" t="s">
        <v>345</v>
      </c>
      <c r="D12318" s="1040">
        <v>1</v>
      </c>
      <c r="E12318" s="1040">
        <v>1</v>
      </c>
      <c r="F12318" s="1040">
        <v>1</v>
      </c>
      <c r="G12318" s="415">
        <v>1</v>
      </c>
      <c r="H12318" s="416">
        <f t="shared" si="460"/>
      </c>
    </row>
    <row r="12319" spans="1:8" ht="15.75" customHeight="1" x14ac:dyDescent="0.25">
      <c r="A12319" s="412">
        <v>19</v>
      </c>
      <c r="B12319" s="670" t="s">
        <v>202</v>
      </c>
      <c r="C12319" s="672" t="s">
        <v>346</v>
      </c>
      <c r="D12319" s="1040">
        <v>1</v>
      </c>
      <c r="E12319" s="1040">
        <v>1</v>
      </c>
      <c r="F12319" s="1040">
        <v>1</v>
      </c>
      <c r="G12319" s="415">
        <v>1</v>
      </c>
      <c r="H12319" s="416">
        <f t="shared" si="460"/>
      </c>
    </row>
    <row r="12320" spans="1:8" ht="15.75" customHeight="1" x14ac:dyDescent="0.25">
      <c r="A12320" s="412">
        <v>20</v>
      </c>
      <c r="B12320" s="670" t="s">
        <v>1612</v>
      </c>
      <c r="C12320" s="672" t="s">
        <v>347</v>
      </c>
      <c r="D12320" s="1040">
        <v>1</v>
      </c>
      <c r="E12320" s="1040">
        <v>1</v>
      </c>
      <c r="F12320" s="1040">
        <v>1</v>
      </c>
      <c r="G12320" s="415">
        <v>1</v>
      </c>
      <c r="H12320" s="416">
        <f t="shared" si="460"/>
      </c>
    </row>
    <row r="12321" spans="1:8" ht="15.75" customHeight="1" x14ac:dyDescent="0.25">
      <c r="A12321" s="412">
        <v>21</v>
      </c>
      <c r="B12321" s="670" t="s">
        <v>153</v>
      </c>
      <c r="C12321" s="672" t="s">
        <v>348</v>
      </c>
      <c r="D12321" s="1040">
        <v>1</v>
      </c>
      <c r="E12321" s="1040">
        <v>1</v>
      </c>
      <c r="F12321" s="1040">
        <v>1</v>
      </c>
      <c r="G12321" s="415">
        <v>1</v>
      </c>
      <c r="H12321" s="416">
        <f t="shared" si="460"/>
      </c>
    </row>
    <row r="12322" spans="1:8" ht="15.75" customHeight="1" x14ac:dyDescent="0.25">
      <c r="A12322" s="412">
        <v>22</v>
      </c>
      <c r="B12322" s="670" t="s">
        <v>1613</v>
      </c>
      <c r="C12322" s="672" t="s">
        <v>349</v>
      </c>
      <c r="D12322" s="1040">
        <v>1</v>
      </c>
      <c r="E12322" s="1040">
        <v>1</v>
      </c>
      <c r="F12322" s="1040">
        <v>1</v>
      </c>
      <c r="G12322" s="415">
        <v>1</v>
      </c>
      <c r="H12322" s="416">
        <f t="shared" si="460"/>
      </c>
    </row>
    <row r="12323" spans="1:8" ht="15.75" customHeight="1" x14ac:dyDescent="0.25">
      <c r="A12323" s="412">
        <v>23</v>
      </c>
      <c r="B12323" s="670" t="s">
        <v>200</v>
      </c>
      <c r="C12323" s="672" t="s">
        <v>350</v>
      </c>
      <c r="D12323" s="1040">
        <v>1</v>
      </c>
      <c r="E12323" s="1040">
        <v>1</v>
      </c>
      <c r="F12323" s="1040">
        <v>1</v>
      </c>
      <c r="G12323" s="415">
        <v>1</v>
      </c>
      <c r="H12323" s="416">
        <f t="shared" si="460"/>
      </c>
    </row>
    <row r="12324" spans="1:8" ht="15.75" customHeight="1" x14ac:dyDescent="0.25">
      <c r="A12324" s="412">
        <v>24</v>
      </c>
      <c r="B12324" s="670" t="s">
        <v>571</v>
      </c>
      <c r="C12324" s="672" t="s">
        <v>351</v>
      </c>
      <c r="D12324" s="1040">
        <v>1</v>
      </c>
      <c r="E12324" s="1040">
        <v>1</v>
      </c>
      <c r="F12324" s="1040">
        <v>1</v>
      </c>
      <c r="G12324" s="415">
        <v>1</v>
      </c>
      <c r="H12324" s="416">
        <f t="shared" si="460"/>
      </c>
    </row>
    <row r="12325" spans="1:8" ht="15.75" customHeight="1" x14ac:dyDescent="0.25">
      <c r="A12325" s="412">
        <v>25</v>
      </c>
      <c r="B12325" s="670" t="s">
        <v>157</v>
      </c>
      <c r="C12325" s="672" t="s">
        <v>352</v>
      </c>
      <c r="D12325" s="1040">
        <v>1</v>
      </c>
      <c r="E12325" s="1040">
        <v>1</v>
      </c>
      <c r="F12325" s="1040">
        <v>1</v>
      </c>
      <c r="G12325" s="415">
        <v>1</v>
      </c>
      <c r="H12325" s="416">
        <f t="shared" si="460"/>
      </c>
    </row>
    <row r="12326" spans="1:8" ht="15.75" customHeight="1" x14ac:dyDescent="0.25">
      <c r="A12326" s="412">
        <v>26</v>
      </c>
      <c r="B12326" s="670" t="s">
        <v>158</v>
      </c>
      <c r="C12326" s="672" t="s">
        <v>1614</v>
      </c>
      <c r="D12326" s="1040">
        <v>1</v>
      </c>
      <c r="E12326" s="1040">
        <v>1</v>
      </c>
      <c r="F12326" s="1040">
        <v>1</v>
      </c>
      <c r="G12326" s="415">
        <v>1</v>
      </c>
      <c r="H12326" s="416">
        <f t="shared" si="460"/>
      </c>
    </row>
    <row r="12327" spans="1:8" ht="15.75" customHeight="1" x14ac:dyDescent="0.25">
      <c r="A12327" s="412"/>
      <c r="B12327" s="1034" t="s">
        <v>2043</v>
      </c>
      <c r="C12327" s="1034"/>
      <c r="D12327" s="415"/>
      <c r="E12327" s="415"/>
      <c r="F12327" s="415"/>
      <c r="G12327" s="415"/>
      <c r="H12327" s="416"/>
    </row>
    <row r="12328" spans="1:8" ht="15.75" customHeight="1" x14ac:dyDescent="0.25">
      <c r="A12328" s="412">
        <v>27</v>
      </c>
      <c r="B12328" s="417" t="s">
        <v>136</v>
      </c>
      <c r="C12328" s="627" t="s">
        <v>387</v>
      </c>
      <c r="D12328" s="588">
        <v>4</v>
      </c>
      <c r="E12328" s="588">
        <v>6</v>
      </c>
      <c r="F12328" s="415">
        <v>23</v>
      </c>
      <c r="G12328" s="415">
        <v>1</v>
      </c>
      <c r="H12328" s="416">
        <f>+G12328*F12328</f>
      </c>
    </row>
    <row r="12329" spans="1:8" ht="15.75" customHeight="1" x14ac:dyDescent="0.25">
      <c r="A12329" s="412">
        <v>28</v>
      </c>
      <c r="B12329" s="417" t="s">
        <v>136</v>
      </c>
      <c r="C12329" s="627" t="s">
        <v>387</v>
      </c>
      <c r="D12329" s="588"/>
      <c r="E12329" s="588"/>
      <c r="F12329" s="415">
        <v>1</v>
      </c>
      <c r="G12329" s="619" t="s">
        <v>1856</v>
      </c>
      <c r="H12329" s="416"/>
    </row>
    <row r="12330" spans="1:8" ht="15.75" customHeight="1" x14ac:dyDescent="0.25">
      <c r="A12330" s="412"/>
      <c r="B12330" s="417"/>
      <c r="C12330" s="627"/>
      <c r="D12330" s="588">
        <f>SUM(D12300:D12329)</f>
      </c>
      <c r="E12330" s="588"/>
      <c r="F12330" s="588">
        <f>SUM(F12300:F12329)</f>
      </c>
      <c r="G12330" s="415"/>
      <c r="H12330" s="416">
        <f>SUM(H12300:H12329)</f>
      </c>
    </row>
    <row r="12331" spans="1:8" ht="15.75" customHeight="1" x14ac:dyDescent="0.25">
      <c r="A12331" s="451"/>
      <c r="B12331" s="777"/>
      <c r="C12331" s="393"/>
      <c r="D12331" s="567"/>
      <c r="E12331" s="573" t="s">
        <v>2322</v>
      </c>
      <c r="F12331" s="391"/>
      <c r="G12331" s="391"/>
      <c r="H12331" s="394"/>
    </row>
    <row r="12332" spans="1:8" ht="15.75" customHeight="1" x14ac:dyDescent="0.25">
      <c r="A12332" s="451"/>
      <c r="B12332" s="777"/>
      <c r="C12332" s="393"/>
      <c r="D12332" s="567"/>
      <c r="E12332" s="567"/>
      <c r="F12332" s="391"/>
      <c r="G12332" s="391"/>
      <c r="H12332" s="394"/>
    </row>
    <row r="12333" spans="1:8" ht="15.75" customHeight="1" x14ac:dyDescent="0.25">
      <c r="A12333" s="8" t="s">
        <v>14</v>
      </c>
      <c r="B12333" s="8"/>
      <c r="C12333" s="8"/>
      <c r="D12333" s="8"/>
      <c r="E12333" s="8"/>
      <c r="F12333" s="8"/>
      <c r="G12333" s="8"/>
      <c r="H12333" s="8"/>
    </row>
    <row r="12334" spans="1:8" ht="15.75" customHeight="1" x14ac:dyDescent="0.25">
      <c r="A12334" s="388"/>
      <c r="B12334" s="388"/>
      <c r="C12334" s="388"/>
      <c r="D12334" s="389"/>
      <c r="E12334" s="388"/>
      <c r="F12334" s="388"/>
      <c r="G12334" s="388"/>
      <c r="H12334" s="8"/>
    </row>
    <row r="12335" spans="1:8" ht="15.75" customHeight="1" x14ac:dyDescent="0.25">
      <c r="A12335" s="390"/>
      <c r="B12335" s="390"/>
      <c r="C12335" s="390"/>
      <c r="D12335" s="391"/>
      <c r="E12335" s="390"/>
      <c r="F12335" s="395" t="s">
        <v>18</v>
      </c>
      <c r="G12335" s="396" t="s">
        <v>1122</v>
      </c>
      <c r="H12335" s="397"/>
    </row>
    <row r="12336" spans="1:8" ht="15.75" customHeight="1" x14ac:dyDescent="0.25">
      <c r="A12336" s="390" t="s">
        <v>20</v>
      </c>
      <c r="B12336" s="390"/>
      <c r="D12336" s="391"/>
      <c r="E12336" s="390"/>
      <c r="F12336" s="395" t="s">
        <v>21</v>
      </c>
      <c r="G12336" s="390" t="s">
        <v>1574</v>
      </c>
      <c r="H12336" s="391"/>
    </row>
    <row r="12337" spans="1:8" ht="15.75" customHeight="1" x14ac:dyDescent="0.25">
      <c r="A12337" s="390" t="inlineStr">
        <is>
          <t>Dealer-003</t>
        </is>
      </c>
      <c r="B12337" s="390"/>
      <c r="C12337" s="390" t="inlineStr">
        <is>
          <t>ATTN: Contact-007</t>
        </is>
      </c>
      <c r="D12337" s="398"/>
      <c r="E12337" s="390"/>
      <c r="F12337" s="391"/>
      <c r="G12337" s="390"/>
      <c r="H12337" s="394"/>
    </row>
    <row r="12338" spans="1:8" ht="15.75" customHeight="1" x14ac:dyDescent="0.25">
      <c r="A12338" s="390" t="inlineStr">
        <is>
          <t>Address line (redacted)</t>
        </is>
      </c>
      <c r="B12338" s="390"/>
      <c r="C12338" s="390"/>
      <c r="D12338" s="398"/>
      <c r="E12338" s="390"/>
      <c r="F12338" s="391"/>
      <c r="G12338" s="390"/>
      <c r="H12338" s="394"/>
    </row>
    <row r="12339" spans="1:8" ht="15.75" customHeight="1" x14ac:dyDescent="0.25">
      <c r="A12339" s="390"/>
      <c r="B12339" s="390"/>
      <c r="C12339" s="390"/>
      <c r="D12339" s="391"/>
      <c r="E12339" s="390"/>
      <c r="F12339" s="398" t="s">
        <v>2323</v>
      </c>
      <c r="G12339" s="390"/>
      <c r="H12339" s="394"/>
    </row>
    <row r="12340" spans="1:8" ht="15.75" customHeight="1" x14ac:dyDescent="0.25">
      <c r="A12340" s="390" t="s">
        <v>30</v>
      </c>
      <c r="B12340" s="390"/>
      <c r="C12340" s="390"/>
      <c r="D12340" s="391"/>
      <c r="E12340" s="390"/>
      <c r="F12340" s="391"/>
      <c r="G12340" s="390"/>
      <c r="H12340" s="394"/>
    </row>
    <row r="12341" spans="1:8" ht="15.75" customHeight="1" x14ac:dyDescent="0.25">
      <c r="A12341" s="390" t="s">
        <v>716</v>
      </c>
      <c r="B12341" s="390"/>
      <c r="C12341" s="390"/>
      <c r="D12341" s="391"/>
      <c r="E12341" s="390"/>
      <c r="F12341" s="391"/>
      <c r="G12341" s="390"/>
      <c r="H12341" s="394"/>
    </row>
    <row r="12342" spans="1:8" ht="15.75" customHeight="1" x14ac:dyDescent="0.25">
      <c r="A12342" s="390" t="s">
        <v>717</v>
      </c>
      <c r="B12342" s="390"/>
      <c r="C12342" s="390"/>
      <c r="D12342" s="391"/>
      <c r="E12342" s="390"/>
      <c r="F12342" s="391"/>
      <c r="G12342" s="390"/>
      <c r="H12342" s="394"/>
    </row>
    <row r="12343" spans="1:8" ht="15.75" customHeight="1" x14ac:dyDescent="0.25">
      <c r="A12343" s="390"/>
      <c r="B12343" s="390"/>
      <c r="C12343" s="390"/>
      <c r="D12343" s="391"/>
      <c r="E12343" s="390"/>
      <c r="F12343" s="391"/>
      <c r="G12343" s="390"/>
      <c r="H12343" s="394"/>
    </row>
    <row r="12344" spans="1:8" ht="15.75" customHeight="1" x14ac:dyDescent="0.25">
      <c r="A12344" s="948" t="s">
        <v>33</v>
      </c>
      <c r="B12344" s="949" t="s">
        <v>6</v>
      </c>
      <c r="C12344" s="950"/>
      <c r="D12344" s="874" t="s">
        <v>37</v>
      </c>
      <c r="E12344" s="874" t="s">
        <v>38</v>
      </c>
      <c r="F12344" s="875" t="s">
        <v>7</v>
      </c>
      <c r="G12344" s="872" t="s">
        <v>43</v>
      </c>
      <c r="H12344" s="876" t="s">
        <v>44</v>
      </c>
    </row>
    <row r="12345" spans="1:8" ht="15.75" customHeight="1" x14ac:dyDescent="0.25">
      <c r="A12345" s="412"/>
      <c r="B12345" s="417"/>
      <c r="C12345" s="627"/>
      <c r="D12345" s="588"/>
      <c r="E12345" s="588"/>
      <c r="F12345" s="415"/>
      <c r="G12345" s="415"/>
      <c r="H12345" s="416"/>
    </row>
    <row r="12346" spans="1:8" ht="15.75" customHeight="1" x14ac:dyDescent="0.25">
      <c r="A12346" s="412"/>
      <c r="B12346" s="883" t="s">
        <v>2065</v>
      </c>
      <c r="C12346" s="883"/>
      <c r="D12346" s="588"/>
      <c r="E12346" s="588"/>
      <c r="F12346" s="415"/>
      <c r="G12346" s="415"/>
      <c r="H12346" s="416"/>
    </row>
    <row r="12347" spans="1:8" ht="15.75" customHeight="1" x14ac:dyDescent="0.25">
      <c r="A12347" s="412">
        <v>29</v>
      </c>
      <c r="B12347" s="417" t="s">
        <v>2074</v>
      </c>
      <c r="C12347" s="422" t="s">
        <v>2075</v>
      </c>
      <c r="D12347" s="592">
        <v>12</v>
      </c>
      <c r="E12347" s="592">
        <v>10</v>
      </c>
      <c r="F12347" s="415">
        <v>116</v>
      </c>
      <c r="G12347" s="415">
        <v>1</v>
      </c>
      <c r="H12347" s="416">
        <f>+G12347*F12347</f>
      </c>
    </row>
    <row r="12348" spans="1:8" ht="15.75" customHeight="1" x14ac:dyDescent="0.25">
      <c r="A12348" s="412">
        <v>30</v>
      </c>
      <c r="B12348" s="417" t="s">
        <v>2074</v>
      </c>
      <c r="C12348" s="422" t="s">
        <v>2075</v>
      </c>
      <c r="D12348" s="626"/>
      <c r="E12348" s="626"/>
      <c r="F12348" s="415">
        <v>4</v>
      </c>
      <c r="G12348" s="619" t="s">
        <v>1856</v>
      </c>
      <c r="H12348" s="416"/>
    </row>
    <row r="12349" spans="1:8" ht="15.75" customHeight="1" x14ac:dyDescent="0.25">
      <c r="A12349" s="412">
        <v>31</v>
      </c>
      <c r="B12349" s="417" t="s">
        <v>2076</v>
      </c>
      <c r="C12349" s="422" t="s">
        <v>2077</v>
      </c>
      <c r="D12349" s="592">
        <v>18</v>
      </c>
      <c r="E12349" s="592">
        <v>10</v>
      </c>
      <c r="F12349" s="415">
        <v>174</v>
      </c>
      <c r="G12349" s="415">
        <v>1</v>
      </c>
      <c r="H12349" s="416">
        <f>+G12349*F12349</f>
      </c>
    </row>
    <row r="12350" spans="1:8" ht="15.75" customHeight="1" x14ac:dyDescent="0.25">
      <c r="A12350" s="412">
        <v>32</v>
      </c>
      <c r="B12350" s="417" t="s">
        <v>2076</v>
      </c>
      <c r="C12350" s="422" t="s">
        <v>2077</v>
      </c>
      <c r="D12350" s="626"/>
      <c r="E12350" s="626"/>
      <c r="F12350" s="415">
        <v>6</v>
      </c>
      <c r="G12350" s="619" t="s">
        <v>1856</v>
      </c>
      <c r="H12350" s="416"/>
    </row>
    <row r="12351" spans="1:8" ht="15.75" customHeight="1" x14ac:dyDescent="0.25">
      <c r="A12351" s="412">
        <v>33</v>
      </c>
      <c r="B12351" s="417" t="s">
        <v>2078</v>
      </c>
      <c r="C12351" s="422" t="s">
        <v>2079</v>
      </c>
      <c r="D12351" s="592">
        <v>3</v>
      </c>
      <c r="E12351" s="592">
        <v>10</v>
      </c>
      <c r="F12351" s="415">
        <v>29</v>
      </c>
      <c r="G12351" s="415">
        <v>1</v>
      </c>
      <c r="H12351" s="416">
        <f>+G12351*F12351</f>
      </c>
    </row>
    <row r="12352" spans="1:8" ht="15.75" customHeight="1" x14ac:dyDescent="0.25">
      <c r="A12352" s="412">
        <v>34</v>
      </c>
      <c r="B12352" s="417" t="s">
        <v>2078</v>
      </c>
      <c r="C12352" s="422" t="s">
        <v>2079</v>
      </c>
      <c r="D12352" s="626"/>
      <c r="E12352" s="626"/>
      <c r="F12352" s="415">
        <v>1</v>
      </c>
      <c r="G12352" s="619" t="s">
        <v>1856</v>
      </c>
      <c r="H12352" s="416"/>
    </row>
    <row r="12353" spans="1:9" ht="15.75" customHeight="1" x14ac:dyDescent="0.25">
      <c r="A12353" s="412">
        <v>35</v>
      </c>
      <c r="B12353" s="417" t="s">
        <v>2080</v>
      </c>
      <c r="C12353" s="422" t="s">
        <v>2081</v>
      </c>
      <c r="D12353" s="626">
        <v>10</v>
      </c>
      <c r="E12353" s="626">
        <v>5</v>
      </c>
      <c r="F12353" s="415">
        <f>+E12353*D12353</f>
      </c>
      <c r="G12353" s="415">
        <v>1</v>
      </c>
      <c r="H12353" s="416">
        <f>+G12353*F12353</f>
      </c>
    </row>
    <row r="12354" spans="1:9" ht="15.75" customHeight="1" x14ac:dyDescent="0.25">
      <c r="A12354" s="412"/>
      <c r="B12354" s="883" t="s">
        <v>2082</v>
      </c>
      <c r="C12354" s="883"/>
      <c r="D12354" s="588"/>
      <c r="E12354" s="588"/>
      <c r="F12354" s="415"/>
      <c r="G12354" s="415"/>
      <c r="H12354" s="416"/>
    </row>
    <row r="12355" spans="1:9" ht="15.75" customHeight="1" x14ac:dyDescent="0.25">
      <c r="A12355" s="412">
        <v>36</v>
      </c>
      <c r="B12355" s="417" t="s">
        <v>1777</v>
      </c>
      <c r="C12355" s="627" t="s">
        <v>2083</v>
      </c>
      <c r="D12355" s="588">
        <f>200/5</f>
      </c>
      <c r="E12355" s="588">
        <v>5</v>
      </c>
      <c r="F12355" s="415">
        <f>+E12355*D12355</f>
      </c>
      <c r="G12355" s="415">
        <v>1</v>
      </c>
      <c r="H12355" s="416">
        <f t="shared" ref="H12355:H12356" si="461">+G12355*F12355</f>
      </c>
    </row>
    <row r="12356" spans="1:9" ht="15.75" customHeight="1" x14ac:dyDescent="0.25">
      <c r="A12356" s="412">
        <v>37</v>
      </c>
      <c r="B12356" s="417" t="s">
        <v>2084</v>
      </c>
      <c r="C12356" s="627" t="s">
        <v>2085</v>
      </c>
      <c r="D12356" s="592">
        <v>6</v>
      </c>
      <c r="E12356" s="592">
        <v>10</v>
      </c>
      <c r="F12356" s="415">
        <v>57</v>
      </c>
      <c r="G12356" s="415">
        <v>1</v>
      </c>
      <c r="H12356" s="416">
        <f t="shared" si="461"/>
      </c>
    </row>
    <row r="12357" spans="1:9" ht="15.75" customHeight="1" x14ac:dyDescent="0.25">
      <c r="A12357" s="412">
        <v>38</v>
      </c>
      <c r="B12357" s="417" t="s">
        <v>2084</v>
      </c>
      <c r="C12357" s="627" t="s">
        <v>2085</v>
      </c>
      <c r="D12357" s="626"/>
      <c r="E12357" s="626"/>
      <c r="F12357" s="415">
        <v>3</v>
      </c>
      <c r="G12357" s="619" t="s">
        <v>1856</v>
      </c>
      <c r="H12357" s="416"/>
      <c r="I12357" s="968"/>
    </row>
    <row r="12358" spans="1:9" ht="15.75" customHeight="1" x14ac:dyDescent="0.25">
      <c r="A12358" s="412">
        <v>39</v>
      </c>
      <c r="B12358" s="417" t="s">
        <v>2086</v>
      </c>
      <c r="C12358" s="627" t="s">
        <v>2087</v>
      </c>
      <c r="D12358" s="592">
        <v>6</v>
      </c>
      <c r="E12358" s="592">
        <v>10</v>
      </c>
      <c r="F12358" s="415">
        <v>57</v>
      </c>
      <c r="G12358" s="415">
        <v>1</v>
      </c>
      <c r="H12358" s="416">
        <f>+G12358*F12358</f>
      </c>
    </row>
    <row r="12359" spans="1:9" ht="15.75" customHeight="1" x14ac:dyDescent="0.25">
      <c r="A12359" s="412">
        <v>40</v>
      </c>
      <c r="B12359" s="417" t="s">
        <v>2086</v>
      </c>
      <c r="C12359" s="627" t="s">
        <v>2087</v>
      </c>
      <c r="D12359" s="626"/>
      <c r="E12359" s="626"/>
      <c r="F12359" s="415">
        <v>3</v>
      </c>
      <c r="G12359" s="619" t="s">
        <v>1856</v>
      </c>
      <c r="H12359" s="416"/>
    </row>
    <row r="12360" spans="1:9" ht="15.75" customHeight="1" x14ac:dyDescent="0.25">
      <c r="A12360" s="412"/>
      <c r="B12360" s="417"/>
      <c r="C12360" s="627"/>
      <c r="D12360" s="626"/>
      <c r="E12360" s="626"/>
      <c r="F12360" s="415"/>
      <c r="G12360" s="415"/>
      <c r="H12360" s="416"/>
    </row>
    <row r="12361" spans="1:9" ht="15.75" customHeight="1" x14ac:dyDescent="0.25">
      <c r="A12361" s="412"/>
      <c r="B12361" s="417"/>
      <c r="C12361" s="627"/>
      <c r="D12361" s="626"/>
      <c r="E12361" s="626"/>
      <c r="F12361" s="415"/>
      <c r="G12361" s="415"/>
      <c r="H12361" s="416"/>
    </row>
    <row r="12362" spans="1:9" ht="15.75" customHeight="1" x14ac:dyDescent="0.25">
      <c r="A12362" s="412"/>
      <c r="B12362" s="417"/>
      <c r="C12362" s="627"/>
      <c r="D12362" s="626"/>
      <c r="E12362" s="626"/>
      <c r="F12362" s="415"/>
      <c r="G12362" s="578" t="s">
        <v>85</v>
      </c>
      <c r="H12362" s="580">
        <f>+H12358+H12356+H12355+H12353+H12351+H12349+H12347+H12330</f>
      </c>
    </row>
    <row r="12363" spans="1:9" ht="15.75" customHeight="1" x14ac:dyDescent="0.25">
      <c r="A12363" s="412"/>
      <c r="B12363" s="670"/>
      <c r="C12363" s="672"/>
      <c r="D12363" s="1040"/>
      <c r="E12363" s="1040"/>
      <c r="F12363" s="1040"/>
      <c r="G12363" s="415"/>
      <c r="H12363" s="416"/>
    </row>
    <row r="12364" spans="1:9" ht="15.75" customHeight="1" x14ac:dyDescent="0.25">
      <c r="A12364" s="412"/>
      <c r="B12364" s="417"/>
      <c r="C12364" s="995" t="s">
        <v>2324</v>
      </c>
      <c r="D12364" s="938"/>
      <c r="E12364" s="938"/>
      <c r="F12364" s="619"/>
      <c r="G12364" s="619"/>
      <c r="H12364" s="706">
        <v>1</v>
      </c>
    </row>
    <row r="12365" spans="1:9" ht="15.75" customHeight="1" x14ac:dyDescent="0.25">
      <c r="A12365" s="412"/>
      <c r="B12365" s="980"/>
      <c r="C12365" s="627"/>
      <c r="D12365" s="588"/>
      <c r="E12365" s="588"/>
      <c r="F12365" s="415"/>
      <c r="G12365" s="415"/>
      <c r="H12365" s="416"/>
    </row>
    <row r="12366" spans="1:9" ht="15.75" customHeight="1" x14ac:dyDescent="0.25">
      <c r="A12366" s="894"/>
      <c r="B12366" s="878"/>
      <c r="C12366" s="895"/>
      <c r="D12366" s="593"/>
      <c r="E12366" s="593"/>
      <c r="F12366" s="593"/>
      <c r="G12366" s="593"/>
      <c r="H12366" s="931"/>
      <c r="I12366" s="1041"/>
    </row>
    <row r="12367" spans="1:9" ht="15.75" customHeight="1" x14ac:dyDescent="0.25">
      <c r="A12367" s="877"/>
      <c r="B12367" s="688"/>
      <c r="C12367" s="896" t="s">
        <v>85</v>
      </c>
      <c r="D12367" s="599">
        <f>+D12366+D12365+D12358+D12356+D12355+D12354+D12353+D12351+D12349+D12347+D12346+D12345+D12330</f>
      </c>
      <c r="E12367" s="401"/>
      <c r="F12367" s="599">
        <f>+F12366+F12365+F12358+F12356+F12355+F12354+F12353+F12351+F12349+F12347+F12346+F12345+F12330</f>
      </c>
      <c r="G12367" s="661"/>
      <c r="H12367" s="438">
        <f>+H12362-H12364</f>
      </c>
    </row>
    <row r="12368" spans="1:9" ht="15.75" customHeight="1" x14ac:dyDescent="0.25">
      <c r="A12368" s="932"/>
      <c r="B12368" s="933"/>
      <c r="C12368" s="934"/>
      <c r="D12368" s="431"/>
      <c r="E12368" s="935"/>
      <c r="F12368" s="935"/>
      <c r="G12368" s="936"/>
      <c r="H12368" s="444"/>
    </row>
    <row r="12369" spans="1:8" ht="15.75" customHeight="1" x14ac:dyDescent="0.25">
      <c r="A12369" s="994" t="s">
        <v>913</v>
      </c>
      <c r="B12369" s="391"/>
      <c r="C12369" s="391"/>
      <c r="D12369" s="391"/>
      <c r="E12369" s="390"/>
      <c r="F12369" s="392"/>
      <c r="G12369" s="390"/>
      <c r="H12369" s="394"/>
    </row>
    <row r="12370" spans="1:8" ht="15.75" customHeight="1" x14ac:dyDescent="0.25">
      <c r="A12370" s="445"/>
      <c r="B12370" s="445"/>
      <c r="C12370" s="445"/>
      <c r="D12370" s="446" t="s">
        <v>97</v>
      </c>
      <c r="E12370" s="445" t="s">
        <v>98</v>
      </c>
      <c r="F12370" s="445"/>
      <c r="G12370" s="390"/>
      <c r="H12370" s="394"/>
    </row>
    <row r="12371" spans="1:8" ht="15.75" customHeight="1" x14ac:dyDescent="0.25">
      <c r="A12371" s="390"/>
      <c r="B12371" s="390"/>
      <c r="C12371" s="390"/>
      <c r="D12371" s="391"/>
      <c r="E12371" s="390"/>
      <c r="F12371" s="390"/>
      <c r="G12371" s="390"/>
      <c r="H12371" s="394"/>
    </row>
    <row r="12372" spans="1:8" ht="15.75" customHeight="1" x14ac:dyDescent="0.25">
      <c r="A12372" s="390"/>
      <c r="B12372" s="390"/>
      <c r="C12372" s="390"/>
      <c r="D12372" s="391"/>
      <c r="E12372" s="390"/>
      <c r="F12372" s="390"/>
      <c r="G12372" s="390"/>
      <c r="H12372" s="394"/>
    </row>
    <row r="12373" spans="1:8" ht="15.75" customHeight="1" x14ac:dyDescent="0.25">
      <c r="A12373" s="445"/>
      <c r="B12373" s="445"/>
      <c r="C12373" s="445"/>
      <c r="D12373" s="446"/>
      <c r="E12373" s="445" t="s">
        <v>99</v>
      </c>
      <c r="F12373" s="445"/>
      <c r="G12373" s="390"/>
      <c r="H12373" s="394"/>
    </row>
    <row r="12374" spans="1:8" ht="15.75" customHeight="1" x14ac:dyDescent="0.25">
      <c r="D12374" s="4"/>
      <c r="H12374" s="4"/>
    </row>
    <row r="12375" spans="1:8" ht="15.75" customHeight="1" x14ac:dyDescent="0.25">
      <c r="D12375" s="4"/>
      <c r="H12375" s="4"/>
    </row>
    <row r="12376" spans="1:8" ht="15.75" customHeight="1" x14ac:dyDescent="0.25">
      <c r="D12376" s="4"/>
      <c r="H12376" s="4"/>
    </row>
    <row r="12377" spans="1:8" ht="15.75" customHeight="1" x14ac:dyDescent="0.25">
      <c r="D12377" s="4"/>
      <c r="H12377" s="4"/>
    </row>
    <row r="12378" spans="1:8" ht="15.75" customHeight="1" x14ac:dyDescent="0.25">
      <c r="D12378" s="4"/>
      <c r="H12378" s="4"/>
    </row>
    <row r="12379" spans="1:8" ht="15.75" customHeight="1" x14ac:dyDescent="0.25">
      <c r="D12379" s="4"/>
      <c r="H12379" s="4"/>
    </row>
    <row r="12380" spans="1:8" ht="15.75" customHeight="1" x14ac:dyDescent="0.25">
      <c r="D12380" s="4"/>
      <c r="H12380" s="4"/>
    </row>
    <row r="12381" spans="1:8" ht="15.75" customHeight="1" x14ac:dyDescent="0.25">
      <c r="D12381" s="4"/>
      <c r="H12381" s="4"/>
    </row>
    <row r="12382" spans="1:8" ht="15.75" customHeight="1" x14ac:dyDescent="0.25">
      <c r="D12382" s="4"/>
      <c r="H12382" s="4"/>
    </row>
    <row r="12383" spans="1:8" ht="15.75" customHeight="1" x14ac:dyDescent="0.25">
      <c r="D12383" s="4"/>
      <c r="H12383" s="4"/>
    </row>
    <row r="12384" spans="1:8" ht="15.75" customHeight="1" x14ac:dyDescent="0.25">
      <c r="D12384" s="4"/>
      <c r="H12384" s="4"/>
    </row>
    <row r="12385" spans="4:8" ht="15.75" customHeight="1" x14ac:dyDescent="0.25">
      <c r="D12385" s="4"/>
      <c r="H12385" s="4"/>
    </row>
    <row r="12386" spans="4:8" ht="15.75" customHeight="1" x14ac:dyDescent="0.25">
      <c r="D12386" s="4"/>
      <c r="H12386" s="4"/>
    </row>
    <row r="12387" spans="4:8" ht="15.75" customHeight="1" x14ac:dyDescent="0.25">
      <c r="D12387" s="4"/>
      <c r="H12387" s="4"/>
    </row>
    <row r="12388" spans="4:8" ht="15.75" customHeight="1" x14ac:dyDescent="0.25">
      <c r="D12388" s="4"/>
      <c r="H12388" s="4"/>
    </row>
    <row r="12389" spans="4:8" ht="15.75" customHeight="1" x14ac:dyDescent="0.25">
      <c r="D12389" s="4"/>
      <c r="H12389" s="4"/>
    </row>
    <row r="12390" spans="4:8" ht="15.75" customHeight="1" x14ac:dyDescent="0.25">
      <c r="D12390" s="4"/>
      <c r="H12390" s="4"/>
    </row>
    <row r="12391" spans="4:8" ht="15.75" customHeight="1" x14ac:dyDescent="0.25">
      <c r="D12391" s="4"/>
      <c r="H12391" s="4"/>
    </row>
    <row r="12392" spans="4:8" ht="15.75" customHeight="1" x14ac:dyDescent="0.25">
      <c r="D12392" s="4"/>
      <c r="H12392" s="4"/>
    </row>
    <row r="12393" spans="4:8" ht="15.75" customHeight="1" x14ac:dyDescent="0.25">
      <c r="D12393" s="4"/>
      <c r="H12393" s="4"/>
    </row>
    <row r="12394" spans="4:8" ht="15.75" customHeight="1" x14ac:dyDescent="0.25">
      <c r="D12394" s="4"/>
      <c r="H12394" s="4"/>
    </row>
    <row r="12395" spans="4:8" ht="15.75" customHeight="1" x14ac:dyDescent="0.25">
      <c r="D12395" s="4"/>
      <c r="H12395" s="4"/>
    </row>
    <row r="12396" spans="4:8" ht="15.75" customHeight="1" x14ac:dyDescent="0.25">
      <c r="D12396" s="4"/>
      <c r="H12396" s="4"/>
    </row>
    <row r="12397" spans="4:8" ht="15.75" customHeight="1" x14ac:dyDescent="0.25">
      <c r="D12397" s="4"/>
      <c r="H12397" s="4"/>
    </row>
    <row r="12398" spans="4:8" ht="15.75" customHeight="1" x14ac:dyDescent="0.25">
      <c r="D12398" s="4"/>
      <c r="H12398" s="4"/>
    </row>
    <row r="12399" spans="4:8" ht="15.75" customHeight="1" x14ac:dyDescent="0.25">
      <c r="D12399" s="4"/>
      <c r="H12399" s="4"/>
    </row>
    <row r="12400" spans="4:8" ht="15.75" customHeight="1" x14ac:dyDescent="0.25">
      <c r="D12400" s="4"/>
      <c r="H12400" s="4"/>
    </row>
    <row r="12401" spans="1:8" ht="15.75" customHeight="1" x14ac:dyDescent="0.25">
      <c r="D12401" s="4"/>
      <c r="H12401" s="4"/>
    </row>
    <row r="12402" spans="1:8" ht="15.75" customHeight="1" x14ac:dyDescent="0.25">
      <c r="D12402" s="4"/>
      <c r="H12402" s="4"/>
    </row>
    <row r="12403" spans="1:8" ht="15.75" customHeight="1" x14ac:dyDescent="0.25">
      <c r="D12403" s="4"/>
      <c r="H12403" s="4"/>
    </row>
    <row r="12404" spans="1:8" ht="15.75" customHeight="1" x14ac:dyDescent="0.25">
      <c r="D12404" s="4"/>
      <c r="H12404" s="4"/>
    </row>
    <row r="12405" spans="1:8" ht="15.75" customHeight="1" x14ac:dyDescent="0.25">
      <c r="D12405" s="4"/>
      <c r="H12405" s="4"/>
    </row>
    <row r="12406" spans="1:8" ht="15.75" customHeight="1" x14ac:dyDescent="0.25">
      <c r="D12406" s="4"/>
      <c r="H12406" s="4"/>
    </row>
    <row r="12407" spans="1:8" ht="15.75" customHeight="1" x14ac:dyDescent="0.25">
      <c r="D12407" s="4"/>
      <c r="H12407" s="4"/>
    </row>
    <row r="12408" spans="1:8" ht="15.75" customHeight="1" x14ac:dyDescent="0.25">
      <c r="A12408" s="8" t="s">
        <v>14</v>
      </c>
      <c r="B12408" s="8"/>
      <c r="C12408" s="8"/>
      <c r="D12408" s="8"/>
      <c r="E12408" s="8"/>
      <c r="F12408" s="8"/>
      <c r="G12408" s="8"/>
      <c r="H12408" s="8"/>
    </row>
    <row r="12409" spans="1:8" ht="15.75" customHeight="1" x14ac:dyDescent="0.25">
      <c r="A12409" s="388"/>
      <c r="B12409" s="388"/>
      <c r="C12409" s="388"/>
      <c r="D12409" s="389"/>
      <c r="E12409" s="388"/>
      <c r="F12409" s="388"/>
      <c r="G12409" s="388"/>
      <c r="H12409" s="8"/>
    </row>
    <row r="12410" spans="1:8" ht="15.75" customHeight="1" x14ac:dyDescent="0.25">
      <c r="A12410" s="390"/>
      <c r="B12410" s="390"/>
      <c r="C12410" s="390"/>
      <c r="D12410" s="391"/>
      <c r="E12410" s="390"/>
      <c r="F12410" s="395" t="s">
        <v>18</v>
      </c>
      <c r="G12410" s="396" t="s">
        <v>1125</v>
      </c>
      <c r="H12410" s="397"/>
    </row>
    <row r="12411" spans="1:8" ht="15.75" customHeight="1" x14ac:dyDescent="0.25">
      <c r="A12411" s="390" t="s">
        <v>20</v>
      </c>
      <c r="B12411" s="390"/>
      <c r="D12411" s="391"/>
      <c r="E12411" s="390"/>
      <c r="F12411" s="395" t="s">
        <v>21</v>
      </c>
      <c r="G12411" s="390" t="s">
        <v>1897</v>
      </c>
      <c r="H12411" s="391"/>
    </row>
    <row r="12412" spans="1:8" ht="15.75" customHeight="1" x14ac:dyDescent="0.25">
      <c r="A12412" s="390" t="inlineStr">
        <is>
          <t>Dealer-002</t>
        </is>
      </c>
      <c r="B12412" s="390"/>
      <c r="C12412" s="390"/>
      <c r="D12412" s="398"/>
      <c r="E12412" s="390"/>
      <c r="F12412" s="391"/>
      <c r="G12412" s="390"/>
      <c r="H12412" s="394"/>
    </row>
    <row r="12413" spans="1:8" ht="15.75" customHeight="1" x14ac:dyDescent="0.25">
      <c r="A12413" s="390" t="inlineStr">
        <is>
          <t>Address line (redacted)</t>
        </is>
      </c>
      <c r="B12413" s="390"/>
      <c r="C12413" s="390"/>
      <c r="D12413" s="398"/>
      <c r="E12413" s="390"/>
      <c r="F12413" s="391"/>
      <c r="G12413" s="390"/>
      <c r="H12413" s="394"/>
    </row>
    <row r="12414" spans="1:8" ht="15.75" customHeight="1" x14ac:dyDescent="0.25">
      <c r="A12414" s="390" t="inlineStr">
        <is>
          <t>Address line (redacted)</t>
        </is>
      </c>
      <c r="B12414" s="390"/>
      <c r="C12414" s="390"/>
      <c r="D12414" s="391"/>
      <c r="E12414" s="390"/>
      <c r="F12414" s="391"/>
      <c r="G12414" s="390"/>
      <c r="H12414" s="394"/>
    </row>
    <row r="12415" spans="1:8" ht="15.75" customHeight="1" x14ac:dyDescent="0.25">
      <c r="A12415" s="390"/>
      <c r="B12415" s="390"/>
      <c r="C12415" s="390"/>
      <c r="D12415" s="391"/>
      <c r="E12415" s="390"/>
      <c r="F12415" s="391"/>
      <c r="G12415" s="390"/>
      <c r="H12415" s="394"/>
    </row>
    <row r="12416" spans="1:8" ht="15.75" customHeight="1" x14ac:dyDescent="0.25">
      <c r="A12416" s="390" t="s">
        <v>30</v>
      </c>
      <c r="B12416" s="390"/>
      <c r="C12416" s="390"/>
      <c r="D12416" s="391"/>
      <c r="E12416" s="390"/>
      <c r="F12416" s="391"/>
      <c r="G12416" s="390"/>
      <c r="H12416" s="394"/>
    </row>
    <row r="12417" spans="1:8" ht="15.75" customHeight="1" x14ac:dyDescent="0.25">
      <c r="A12417" s="390" t="s">
        <v>716</v>
      </c>
      <c r="B12417" s="390"/>
      <c r="C12417" s="390"/>
      <c r="D12417" s="391"/>
      <c r="E12417" s="390"/>
      <c r="F12417" s="391"/>
      <c r="G12417" s="390"/>
      <c r="H12417" s="394"/>
    </row>
    <row r="12418" spans="1:8" ht="15.75" customHeight="1" x14ac:dyDescent="0.25">
      <c r="A12418" s="390" t="s">
        <v>717</v>
      </c>
      <c r="B12418" s="390"/>
      <c r="C12418" s="390"/>
      <c r="D12418" s="391"/>
      <c r="E12418" s="390"/>
      <c r="F12418" s="391"/>
      <c r="G12418" s="390"/>
      <c r="H12418" s="394"/>
    </row>
    <row r="12419" spans="1:8" ht="15.75" customHeight="1" x14ac:dyDescent="0.25">
      <c r="A12419" s="390"/>
      <c r="B12419" s="390"/>
      <c r="C12419" s="390"/>
      <c r="D12419" s="391"/>
      <c r="E12419" s="390"/>
      <c r="F12419" s="391"/>
      <c r="G12419" s="390"/>
      <c r="H12419" s="394"/>
    </row>
    <row r="12420" spans="1:8" ht="15.75" customHeight="1" x14ac:dyDescent="0.25">
      <c r="A12420" s="948" t="s">
        <v>33</v>
      </c>
      <c r="B12420" s="949" t="s">
        <v>6</v>
      </c>
      <c r="C12420" s="950"/>
      <c r="D12420" s="874" t="s">
        <v>37</v>
      </c>
      <c r="E12420" s="874" t="s">
        <v>38</v>
      </c>
      <c r="F12420" s="875" t="s">
        <v>7</v>
      </c>
      <c r="G12420" s="872" t="s">
        <v>43</v>
      </c>
      <c r="H12420" s="876" t="s">
        <v>44</v>
      </c>
    </row>
    <row r="12421" spans="1:8" ht="15.75" customHeight="1" x14ac:dyDescent="0.3">
      <c r="A12421" s="412"/>
      <c r="B12421" s="1042"/>
      <c r="C12421" s="1043"/>
      <c r="D12421" s="879"/>
      <c r="E12421" s="879"/>
      <c r="F12421" s="415"/>
      <c r="G12421" s="415"/>
      <c r="H12421" s="416"/>
    </row>
    <row r="12422" spans="1:8" ht="15.75" customHeight="1" x14ac:dyDescent="0.25">
      <c r="A12422" s="412"/>
      <c r="B12422" s="1026" t="s">
        <v>2046</v>
      </c>
      <c r="C12422" s="1027"/>
      <c r="D12422" s="415"/>
      <c r="E12422" s="415"/>
      <c r="F12422" s="415"/>
      <c r="G12422" s="415"/>
      <c r="H12422" s="416"/>
    </row>
    <row r="12423" spans="1:8" ht="15.75" customHeight="1" x14ac:dyDescent="0.25">
      <c r="A12423" s="412">
        <v>1</v>
      </c>
      <c r="B12423" s="1044" t="s">
        <v>118</v>
      </c>
      <c r="C12423" s="993" t="s">
        <v>204</v>
      </c>
      <c r="D12423" s="593">
        <v>2</v>
      </c>
      <c r="E12423" s="593">
        <v>5</v>
      </c>
      <c r="F12423" s="415">
        <f t="shared" ref="F12423:F12425" si="462">+E12423*D12423</f>
      </c>
      <c r="G12423" s="415">
        <v>1</v>
      </c>
      <c r="H12423" s="416">
        <f t="shared" ref="H12423:H12426" si="463">+G12423*F12423</f>
      </c>
    </row>
    <row r="12424" spans="1:8" ht="15.75" customHeight="1" x14ac:dyDescent="0.25">
      <c r="A12424" s="412">
        <v>2</v>
      </c>
      <c r="B12424" s="1044" t="s">
        <v>140</v>
      </c>
      <c r="C12424" s="993" t="s">
        <v>337</v>
      </c>
      <c r="D12424" s="593">
        <v>1</v>
      </c>
      <c r="E12424" s="593">
        <v>5</v>
      </c>
      <c r="F12424" s="415">
        <f t="shared" si="462"/>
      </c>
      <c r="G12424" s="415">
        <v>1</v>
      </c>
      <c r="H12424" s="416">
        <f t="shared" si="463"/>
      </c>
    </row>
    <row r="12425" spans="1:8" ht="15.75" customHeight="1" x14ac:dyDescent="0.25">
      <c r="A12425" s="412">
        <v>3</v>
      </c>
      <c r="B12425" s="1044" t="s">
        <v>80</v>
      </c>
      <c r="C12425" s="993" t="s">
        <v>77</v>
      </c>
      <c r="D12425" s="593">
        <v>2</v>
      </c>
      <c r="E12425" s="593">
        <v>5</v>
      </c>
      <c r="F12425" s="415">
        <f t="shared" si="462"/>
      </c>
      <c r="G12425" s="415">
        <v>1</v>
      </c>
      <c r="H12425" s="416">
        <f t="shared" si="463"/>
      </c>
    </row>
    <row r="12426" spans="1:8" ht="15.75" customHeight="1" x14ac:dyDescent="0.25">
      <c r="A12426" s="412">
        <v>4</v>
      </c>
      <c r="B12426" s="1037" t="s">
        <v>60</v>
      </c>
      <c r="C12426" s="993" t="s">
        <v>142</v>
      </c>
      <c r="D12426" s="592">
        <v>10</v>
      </c>
      <c r="E12426" s="592">
        <v>5</v>
      </c>
      <c r="F12426" s="415">
        <v>48</v>
      </c>
      <c r="G12426" s="415">
        <v>1</v>
      </c>
      <c r="H12426" s="416">
        <f t="shared" si="463"/>
      </c>
    </row>
    <row r="12427" spans="1:8" ht="15.75" customHeight="1" x14ac:dyDescent="0.25">
      <c r="A12427" s="412">
        <v>5</v>
      </c>
      <c r="B12427" s="1037" t="s">
        <v>60</v>
      </c>
      <c r="C12427" s="993" t="s">
        <v>142</v>
      </c>
      <c r="D12427" s="626"/>
      <c r="E12427" s="626"/>
      <c r="F12427" s="415">
        <v>2</v>
      </c>
      <c r="G12427" s="619" t="s">
        <v>1856</v>
      </c>
      <c r="H12427" s="416"/>
    </row>
    <row r="12428" spans="1:8" ht="15.75" customHeight="1" x14ac:dyDescent="0.25">
      <c r="A12428" s="412">
        <v>6</v>
      </c>
      <c r="B12428" s="1037" t="s">
        <v>34</v>
      </c>
      <c r="C12428" s="993" t="s">
        <v>25</v>
      </c>
      <c r="D12428" s="592">
        <v>5</v>
      </c>
      <c r="E12428" s="592">
        <v>5</v>
      </c>
      <c r="F12428" s="415">
        <v>24</v>
      </c>
      <c r="G12428" s="415">
        <v>1</v>
      </c>
      <c r="H12428" s="416">
        <f>+G12428*F12428</f>
      </c>
    </row>
    <row r="12429" spans="1:8" ht="15.75" customHeight="1" x14ac:dyDescent="0.25">
      <c r="A12429" s="412">
        <v>7</v>
      </c>
      <c r="B12429" s="1037" t="s">
        <v>34</v>
      </c>
      <c r="C12429" s="993" t="s">
        <v>25</v>
      </c>
      <c r="D12429" s="626"/>
      <c r="E12429" s="626"/>
      <c r="F12429" s="415">
        <v>1</v>
      </c>
      <c r="G12429" s="619" t="s">
        <v>1856</v>
      </c>
      <c r="H12429" s="416"/>
    </row>
    <row r="12430" spans="1:8" ht="15.75" customHeight="1" x14ac:dyDescent="0.25">
      <c r="A12430" s="412">
        <v>8</v>
      </c>
      <c r="B12430" s="1037" t="s">
        <v>1552</v>
      </c>
      <c r="C12430" s="993" t="s">
        <v>330</v>
      </c>
      <c r="D12430" s="592">
        <v>10</v>
      </c>
      <c r="E12430" s="592">
        <v>5</v>
      </c>
      <c r="F12430" s="415">
        <v>48</v>
      </c>
      <c r="G12430" s="415">
        <v>1</v>
      </c>
      <c r="H12430" s="416">
        <f>+G12430*F12430</f>
      </c>
    </row>
    <row r="12431" spans="1:8" ht="15.75" customHeight="1" x14ac:dyDescent="0.25">
      <c r="A12431" s="412">
        <v>9</v>
      </c>
      <c r="B12431" s="1037" t="s">
        <v>1552</v>
      </c>
      <c r="C12431" s="993" t="s">
        <v>330</v>
      </c>
      <c r="D12431" s="626"/>
      <c r="E12431" s="626"/>
      <c r="F12431" s="415">
        <v>2</v>
      </c>
      <c r="G12431" s="619" t="s">
        <v>1856</v>
      </c>
      <c r="H12431" s="416"/>
    </row>
    <row r="12432" spans="1:8" ht="15.75" customHeight="1" x14ac:dyDescent="0.25">
      <c r="A12432" s="412">
        <v>10</v>
      </c>
      <c r="B12432" s="1038" t="s">
        <v>3</v>
      </c>
      <c r="C12432" s="993" t="s">
        <v>4</v>
      </c>
      <c r="D12432" s="588">
        <v>6</v>
      </c>
      <c r="E12432" s="588">
        <v>5</v>
      </c>
      <c r="F12432" s="415">
        <f>+E12432*D12432</f>
      </c>
      <c r="G12432" s="415">
        <v>1</v>
      </c>
      <c r="H12432" s="416">
        <f t="shared" ref="H12432:H12433" si="464">+G12432*F12432</f>
      </c>
    </row>
    <row r="12433" spans="1:8" ht="15.75" customHeight="1" x14ac:dyDescent="0.25">
      <c r="A12433" s="412">
        <v>11</v>
      </c>
      <c r="B12433" s="1038" t="s">
        <v>618</v>
      </c>
      <c r="C12433" s="993" t="s">
        <v>87</v>
      </c>
      <c r="D12433" s="592">
        <v>5</v>
      </c>
      <c r="E12433" s="592">
        <v>5</v>
      </c>
      <c r="F12433" s="415">
        <v>24</v>
      </c>
      <c r="G12433" s="415">
        <v>1</v>
      </c>
      <c r="H12433" s="416">
        <f t="shared" si="464"/>
      </c>
    </row>
    <row r="12434" spans="1:8" ht="15.75" customHeight="1" x14ac:dyDescent="0.25">
      <c r="A12434" s="412">
        <v>12</v>
      </c>
      <c r="B12434" s="1038" t="s">
        <v>618</v>
      </c>
      <c r="C12434" s="993" t="s">
        <v>87</v>
      </c>
      <c r="D12434" s="626"/>
      <c r="E12434" s="626"/>
      <c r="F12434" s="415">
        <v>1</v>
      </c>
      <c r="G12434" s="619" t="s">
        <v>1856</v>
      </c>
      <c r="H12434" s="416"/>
    </row>
    <row r="12435" spans="1:8" ht="15.75" customHeight="1" x14ac:dyDescent="0.25">
      <c r="A12435" s="412">
        <v>13</v>
      </c>
      <c r="B12435" s="1038" t="s">
        <v>68</v>
      </c>
      <c r="C12435" s="993" t="s">
        <v>91</v>
      </c>
      <c r="D12435" s="592">
        <v>10</v>
      </c>
      <c r="E12435" s="592">
        <v>5</v>
      </c>
      <c r="F12435" s="415">
        <v>48</v>
      </c>
      <c r="G12435" s="415">
        <v>1</v>
      </c>
      <c r="H12435" s="416">
        <f>+G12435*F12435</f>
      </c>
    </row>
    <row r="12436" spans="1:8" ht="15.75" customHeight="1" x14ac:dyDescent="0.25">
      <c r="A12436" s="412">
        <v>14</v>
      </c>
      <c r="B12436" s="1038" t="s">
        <v>68</v>
      </c>
      <c r="C12436" s="993" t="s">
        <v>91</v>
      </c>
      <c r="D12436" s="626"/>
      <c r="E12436" s="626"/>
      <c r="F12436" s="415">
        <v>2</v>
      </c>
      <c r="G12436" s="619" t="s">
        <v>1856</v>
      </c>
      <c r="H12436" s="416"/>
    </row>
    <row r="12437" spans="1:8" ht="15.75" customHeight="1" x14ac:dyDescent="0.25">
      <c r="A12437" s="412">
        <v>15</v>
      </c>
      <c r="B12437" s="1038" t="s">
        <v>127</v>
      </c>
      <c r="C12437" s="993" t="s">
        <v>326</v>
      </c>
      <c r="D12437" s="592">
        <v>10</v>
      </c>
      <c r="E12437" s="592">
        <v>5</v>
      </c>
      <c r="F12437" s="415">
        <v>48</v>
      </c>
      <c r="G12437" s="415">
        <v>1</v>
      </c>
      <c r="H12437" s="416">
        <f>+G12437*F12437</f>
      </c>
    </row>
    <row r="12438" spans="1:8" ht="15.75" customHeight="1" x14ac:dyDescent="0.25">
      <c r="A12438" s="412">
        <v>16</v>
      </c>
      <c r="B12438" s="1038" t="s">
        <v>127</v>
      </c>
      <c r="C12438" s="993" t="s">
        <v>326</v>
      </c>
      <c r="D12438" s="626"/>
      <c r="E12438" s="626"/>
      <c r="F12438" s="415">
        <v>2</v>
      </c>
      <c r="G12438" s="619" t="s">
        <v>1856</v>
      </c>
      <c r="H12438" s="416"/>
    </row>
    <row r="12439" spans="1:8" ht="15.75" customHeight="1" x14ac:dyDescent="0.25">
      <c r="A12439" s="412">
        <v>17</v>
      </c>
      <c r="B12439" s="1045" t="s">
        <v>1829</v>
      </c>
      <c r="C12439" s="993" t="s">
        <v>331</v>
      </c>
      <c r="D12439" s="592">
        <v>5</v>
      </c>
      <c r="E12439" s="592">
        <v>5</v>
      </c>
      <c r="F12439" s="415">
        <v>23.04</v>
      </c>
      <c r="G12439" s="415">
        <v>1</v>
      </c>
      <c r="H12439" s="416">
        <f>+G12439*F12439</f>
      </c>
    </row>
    <row r="12440" spans="1:8" ht="15.75" customHeight="1" x14ac:dyDescent="0.25">
      <c r="A12440" s="412">
        <v>18</v>
      </c>
      <c r="B12440" s="1045" t="s">
        <v>1829</v>
      </c>
      <c r="C12440" s="993" t="s">
        <v>331</v>
      </c>
      <c r="D12440" s="626"/>
      <c r="E12440" s="626"/>
      <c r="F12440" s="415">
        <v>0.96</v>
      </c>
      <c r="G12440" s="619" t="s">
        <v>1856</v>
      </c>
      <c r="H12440" s="416"/>
    </row>
    <row r="12441" spans="1:8" ht="15.75" customHeight="1" x14ac:dyDescent="0.25">
      <c r="A12441" s="412">
        <v>19</v>
      </c>
      <c r="B12441" s="1045" t="s">
        <v>126</v>
      </c>
      <c r="C12441" s="993" t="s">
        <v>1840</v>
      </c>
      <c r="D12441" s="626">
        <v>2</v>
      </c>
      <c r="E12441" s="626">
        <v>5</v>
      </c>
      <c r="F12441" s="415">
        <f>+E12441*D12441</f>
      </c>
      <c r="G12441" s="415">
        <v>1</v>
      </c>
      <c r="H12441" s="416">
        <f>+G12441*F12441</f>
      </c>
    </row>
    <row r="12442" spans="1:8" ht="15.75" customHeight="1" x14ac:dyDescent="0.25">
      <c r="A12442" s="412"/>
      <c r="B12442" s="978" t="s">
        <v>2043</v>
      </c>
      <c r="C12442" s="979"/>
      <c r="D12442" s="415"/>
      <c r="E12442" s="415"/>
      <c r="F12442" s="415"/>
      <c r="G12442" s="415"/>
      <c r="H12442" s="416"/>
    </row>
    <row r="12443" spans="1:8" ht="15.75" customHeight="1" x14ac:dyDescent="0.25">
      <c r="A12443" s="412">
        <v>20</v>
      </c>
      <c r="B12443" s="417" t="s">
        <v>136</v>
      </c>
      <c r="C12443" s="415" t="s">
        <v>387</v>
      </c>
      <c r="D12443" s="592">
        <v>4</v>
      </c>
      <c r="E12443" s="592">
        <v>6</v>
      </c>
      <c r="F12443" s="415">
        <v>23</v>
      </c>
      <c r="G12443" s="415">
        <v>1</v>
      </c>
      <c r="H12443" s="416">
        <f>+G12443*F12443</f>
      </c>
    </row>
    <row r="12444" spans="1:8" ht="15.75" customHeight="1" x14ac:dyDescent="0.25">
      <c r="A12444" s="412">
        <v>21</v>
      </c>
      <c r="B12444" s="417" t="s">
        <v>136</v>
      </c>
      <c r="C12444" s="415" t="s">
        <v>387</v>
      </c>
      <c r="D12444" s="626"/>
      <c r="E12444" s="626"/>
      <c r="F12444" s="415">
        <v>1</v>
      </c>
      <c r="G12444" s="619" t="s">
        <v>1856</v>
      </c>
      <c r="H12444" s="416"/>
    </row>
    <row r="12445" spans="1:8" ht="15.75" customHeight="1" x14ac:dyDescent="0.25">
      <c r="A12445" s="412">
        <v>22</v>
      </c>
      <c r="B12445" s="417" t="s">
        <v>63</v>
      </c>
      <c r="C12445" s="415" t="s">
        <v>371</v>
      </c>
      <c r="D12445" s="592">
        <v>4</v>
      </c>
      <c r="E12445" s="592">
        <v>6</v>
      </c>
      <c r="F12445" s="415">
        <v>23</v>
      </c>
      <c r="G12445" s="619">
        <v>1</v>
      </c>
      <c r="H12445" s="416">
        <f>+G12445*F12445</f>
      </c>
    </row>
    <row r="12446" spans="1:8" ht="15.75" customHeight="1" x14ac:dyDescent="0.25">
      <c r="A12446" s="412">
        <v>23</v>
      </c>
      <c r="B12446" s="417" t="s">
        <v>63</v>
      </c>
      <c r="C12446" s="415" t="s">
        <v>371</v>
      </c>
      <c r="D12446" s="626"/>
      <c r="E12446" s="626"/>
      <c r="F12446" s="415">
        <v>1</v>
      </c>
      <c r="G12446" s="415" t="s">
        <v>1856</v>
      </c>
      <c r="H12446" s="416"/>
    </row>
    <row r="12447" spans="1:8" ht="15.75" customHeight="1" x14ac:dyDescent="0.25">
      <c r="A12447" s="412"/>
      <c r="B12447" s="417"/>
      <c r="C12447" s="993"/>
      <c r="D12447" s="626"/>
      <c r="E12447" s="626"/>
      <c r="F12447" s="415"/>
      <c r="G12447" s="619"/>
      <c r="H12447" s="416"/>
    </row>
    <row r="12448" spans="1:8" ht="15.75" customHeight="1" x14ac:dyDescent="0.25">
      <c r="A12448" s="877"/>
      <c r="B12448" s="688"/>
      <c r="C12448" s="896" t="s">
        <v>85</v>
      </c>
      <c r="D12448" s="599">
        <f>SUM(D12423:D12447)</f>
      </c>
      <c r="E12448" s="401"/>
      <c r="F12448" s="599">
        <f>SUM(F12423:F12447)</f>
      </c>
      <c r="G12448" s="661"/>
      <c r="H12448" s="438">
        <f>SUM(H12423:H12447)</f>
      </c>
    </row>
    <row r="12449" spans="1:8" ht="15.75" customHeight="1" x14ac:dyDescent="0.25">
      <c r="A12449" s="932"/>
      <c r="B12449" s="933"/>
      <c r="C12449" s="934"/>
      <c r="D12449" s="431"/>
      <c r="E12449" s="935"/>
      <c r="F12449" s="935"/>
      <c r="G12449" s="936"/>
      <c r="H12449" s="444"/>
    </row>
    <row r="12450" spans="1:8" ht="15.75" customHeight="1" x14ac:dyDescent="0.25">
      <c r="A12450" s="994" t="s">
        <v>913</v>
      </c>
      <c r="B12450" s="391"/>
      <c r="C12450" s="391"/>
      <c r="D12450" s="391"/>
      <c r="E12450" s="390"/>
      <c r="F12450" s="392"/>
      <c r="G12450" s="390"/>
      <c r="H12450" s="394"/>
    </row>
    <row r="12451" spans="1:8" ht="15.75" customHeight="1" x14ac:dyDescent="0.25">
      <c r="A12451" s="445"/>
      <c r="B12451" s="445"/>
      <c r="C12451" s="445"/>
      <c r="D12451" s="1046" t="s">
        <v>2274</v>
      </c>
      <c r="E12451" s="1046"/>
      <c r="F12451" s="1046"/>
      <c r="G12451" s="390"/>
      <c r="H12451" s="394"/>
    </row>
    <row r="12452" spans="1:8" ht="15.75" customHeight="1" x14ac:dyDescent="0.25">
      <c r="A12452" s="390"/>
      <c r="B12452" s="390"/>
      <c r="C12452" s="390"/>
      <c r="D12452" s="1046"/>
      <c r="E12452" s="1046"/>
      <c r="F12452" s="1046"/>
      <c r="G12452" s="390"/>
      <c r="H12452" s="394"/>
    </row>
    <row r="12453" spans="1:8" ht="15.75" customHeight="1" x14ac:dyDescent="0.25">
      <c r="A12453" s="390"/>
      <c r="B12453" s="390"/>
      <c r="C12453" s="390"/>
      <c r="D12453" s="1046"/>
      <c r="E12453" s="1046"/>
      <c r="F12453" s="1046"/>
      <c r="G12453" s="390"/>
      <c r="H12453" s="394"/>
    </row>
    <row r="12454" spans="1:8" ht="15.75" customHeight="1" x14ac:dyDescent="0.25">
      <c r="A12454" s="8" t="s">
        <v>14</v>
      </c>
      <c r="B12454" s="8"/>
      <c r="C12454" s="8"/>
      <c r="D12454" s="8"/>
      <c r="E12454" s="8"/>
      <c r="F12454" s="8"/>
      <c r="G12454" s="8"/>
      <c r="H12454" s="8"/>
    </row>
    <row r="12455" spans="1:8" ht="15.75" customHeight="1" x14ac:dyDescent="0.25">
      <c r="A12455" s="388"/>
      <c r="B12455" s="388"/>
      <c r="C12455" s="388"/>
      <c r="D12455" s="389"/>
      <c r="E12455" s="388"/>
      <c r="F12455" s="388"/>
      <c r="G12455" s="388"/>
      <c r="H12455" s="8"/>
    </row>
    <row r="12456" spans="1:8" ht="15.75" customHeight="1" x14ac:dyDescent="0.25">
      <c r="A12456" s="390"/>
      <c r="B12456" s="390"/>
      <c r="C12456" s="390"/>
      <c r="D12456" s="391"/>
      <c r="E12456" s="390"/>
      <c r="F12456" s="395" t="s">
        <v>18</v>
      </c>
      <c r="G12456" s="396" t="s">
        <v>1125</v>
      </c>
      <c r="H12456" s="397"/>
    </row>
    <row r="12457" spans="1:8" ht="15.75" customHeight="1" x14ac:dyDescent="0.25">
      <c r="A12457" s="390" t="s">
        <v>20</v>
      </c>
      <c r="B12457" s="390"/>
      <c r="D12457" s="391"/>
      <c r="E12457" s="390"/>
      <c r="F12457" s="395" t="s">
        <v>21</v>
      </c>
      <c r="G12457" s="390" t="s">
        <v>1897</v>
      </c>
      <c r="H12457" s="391"/>
    </row>
    <row r="12458" spans="1:8" ht="15.75" customHeight="1" x14ac:dyDescent="0.25">
      <c r="A12458" s="390" t="inlineStr">
        <is>
          <t>Dealer-002</t>
        </is>
      </c>
      <c r="B12458" s="390"/>
      <c r="C12458" s="390"/>
      <c r="D12458" s="398"/>
      <c r="E12458" s="390"/>
      <c r="F12458" s="391"/>
      <c r="G12458" s="390"/>
      <c r="H12458" s="394"/>
    </row>
    <row r="12459" spans="1:8" ht="15.75" customHeight="1" x14ac:dyDescent="0.25">
      <c r="A12459" s="390" t="inlineStr">
        <is>
          <t>Address line (redacted)</t>
        </is>
      </c>
      <c r="B12459" s="390"/>
      <c r="C12459" s="390"/>
      <c r="D12459" s="1046" t="s">
        <v>2323</v>
      </c>
      <c r="E12459" s="1046"/>
      <c r="F12459" s="1046"/>
      <c r="G12459" s="390"/>
      <c r="H12459" s="394"/>
    </row>
    <row r="12460" spans="1:8" ht="15.75" customHeight="1" x14ac:dyDescent="0.25">
      <c r="A12460" s="390" t="inlineStr">
        <is>
          <t>Address line (redacted)</t>
        </is>
      </c>
      <c r="B12460" s="390"/>
      <c r="C12460" s="390"/>
      <c r="D12460" s="1046"/>
      <c r="E12460" s="1046"/>
      <c r="F12460" s="1046"/>
      <c r="G12460" s="390"/>
      <c r="H12460" s="394"/>
    </row>
    <row r="12461" spans="1:8" ht="15.75" customHeight="1" x14ac:dyDescent="0.25">
      <c r="A12461" s="390"/>
      <c r="B12461" s="390"/>
      <c r="C12461" s="390"/>
      <c r="D12461" s="1046"/>
      <c r="E12461" s="1046"/>
      <c r="F12461" s="1046"/>
      <c r="G12461" s="390"/>
      <c r="H12461" s="394"/>
    </row>
    <row r="12462" spans="1:8" ht="15.75" customHeight="1" x14ac:dyDescent="0.25">
      <c r="A12462" s="390" t="s">
        <v>30</v>
      </c>
      <c r="B12462" s="390"/>
      <c r="C12462" s="390"/>
      <c r="D12462" s="391"/>
      <c r="E12462" s="390"/>
      <c r="F12462" s="391"/>
      <c r="G12462" s="390"/>
      <c r="H12462" s="394"/>
    </row>
    <row r="12463" spans="1:8" ht="15.75" customHeight="1" x14ac:dyDescent="0.25">
      <c r="A12463" s="390" t="s">
        <v>716</v>
      </c>
      <c r="B12463" s="390"/>
      <c r="C12463" s="390"/>
      <c r="D12463" s="391"/>
      <c r="E12463" s="390"/>
      <c r="F12463" s="391"/>
      <c r="G12463" s="390"/>
      <c r="H12463" s="394"/>
    </row>
    <row r="12464" spans="1:8" ht="15.75" customHeight="1" x14ac:dyDescent="0.25">
      <c r="A12464" s="390" t="s">
        <v>717</v>
      </c>
      <c r="B12464" s="390"/>
      <c r="C12464" s="390"/>
      <c r="D12464" s="391"/>
      <c r="E12464" s="390"/>
      <c r="F12464" s="391"/>
      <c r="G12464" s="390"/>
      <c r="H12464" s="394"/>
    </row>
    <row r="12465" spans="1:9" ht="15.75" customHeight="1" x14ac:dyDescent="0.25">
      <c r="A12465" s="390"/>
      <c r="B12465" s="390"/>
      <c r="C12465" s="390"/>
      <c r="D12465" s="391"/>
      <c r="E12465" s="390"/>
      <c r="F12465" s="391"/>
      <c r="G12465" s="390"/>
      <c r="H12465" s="394"/>
    </row>
    <row r="12466" spans="1:9" ht="15.75" customHeight="1" x14ac:dyDescent="0.25">
      <c r="A12466" s="948" t="s">
        <v>33</v>
      </c>
      <c r="B12466" s="949" t="s">
        <v>6</v>
      </c>
      <c r="C12466" s="950"/>
      <c r="D12466" s="874" t="s">
        <v>37</v>
      </c>
      <c r="E12466" s="874" t="s">
        <v>38</v>
      </c>
      <c r="F12466" s="875" t="s">
        <v>7</v>
      </c>
      <c r="G12466" s="872" t="s">
        <v>43</v>
      </c>
      <c r="H12466" s="876" t="s">
        <v>44</v>
      </c>
    </row>
    <row r="12467" spans="1:9" ht="15.75" customHeight="1" x14ac:dyDescent="0.3">
      <c r="A12467" s="412"/>
      <c r="B12467" s="1042"/>
      <c r="C12467" s="1043"/>
      <c r="D12467" s="879"/>
      <c r="E12467" s="879"/>
      <c r="F12467" s="415"/>
      <c r="G12467" s="415"/>
      <c r="H12467" s="416"/>
    </row>
    <row r="12468" spans="1:9" ht="15.75" customHeight="1" x14ac:dyDescent="0.25">
      <c r="A12468" s="412"/>
      <c r="B12468" s="1026" t="s">
        <v>2065</v>
      </c>
      <c r="C12468" s="1027"/>
      <c r="D12468" s="588"/>
      <c r="E12468" s="588"/>
      <c r="F12468" s="415"/>
      <c r="G12468" s="415"/>
      <c r="H12468" s="416"/>
    </row>
    <row r="12469" spans="1:9" ht="15.75" customHeight="1" x14ac:dyDescent="0.25">
      <c r="A12469" s="412">
        <v>24</v>
      </c>
      <c r="B12469" s="417" t="s">
        <v>2074</v>
      </c>
      <c r="C12469" s="993" t="s">
        <v>2075</v>
      </c>
      <c r="D12469" s="592">
        <v>6</v>
      </c>
      <c r="E12469" s="592">
        <v>10</v>
      </c>
      <c r="F12469" s="415">
        <v>58</v>
      </c>
      <c r="G12469" s="415">
        <v>1</v>
      </c>
      <c r="H12469" s="416">
        <f>+G12469*F12469</f>
      </c>
    </row>
    <row r="12470" spans="1:9" ht="15.75" customHeight="1" x14ac:dyDescent="0.25">
      <c r="A12470" s="412">
        <v>25</v>
      </c>
      <c r="B12470" s="417" t="s">
        <v>2074</v>
      </c>
      <c r="C12470" s="993" t="s">
        <v>2075</v>
      </c>
      <c r="D12470" s="626"/>
      <c r="E12470" s="626"/>
      <c r="F12470" s="415">
        <v>2</v>
      </c>
      <c r="G12470" s="619" t="s">
        <v>1856</v>
      </c>
      <c r="H12470" s="416"/>
    </row>
    <row r="12471" spans="1:9" ht="15.75" customHeight="1" x14ac:dyDescent="0.25">
      <c r="A12471" s="412">
        <v>26</v>
      </c>
      <c r="B12471" s="417" t="s">
        <v>2076</v>
      </c>
      <c r="C12471" s="993" t="s">
        <v>2077</v>
      </c>
      <c r="D12471" s="592">
        <v>15</v>
      </c>
      <c r="E12471" s="592">
        <v>10</v>
      </c>
      <c r="F12471" s="415">
        <v>145</v>
      </c>
      <c r="G12471" s="415">
        <v>1</v>
      </c>
      <c r="H12471" s="416">
        <f>+G12471*F12471</f>
      </c>
    </row>
    <row r="12472" spans="1:9" ht="15" customHeight="1" x14ac:dyDescent="0.25">
      <c r="A12472" s="412">
        <v>27</v>
      </c>
      <c r="B12472" s="417" t="s">
        <v>2076</v>
      </c>
      <c r="C12472" s="993" t="s">
        <v>2077</v>
      </c>
      <c r="D12472" s="626"/>
      <c r="E12472" s="626"/>
      <c r="F12472" s="415">
        <v>5</v>
      </c>
      <c r="G12472" s="619" t="s">
        <v>1856</v>
      </c>
      <c r="H12472" s="416"/>
    </row>
    <row r="12473" spans="1:9" ht="15.75" customHeight="1" x14ac:dyDescent="0.25">
      <c r="A12473" s="412"/>
      <c r="B12473" s="1026" t="s">
        <v>2082</v>
      </c>
      <c r="C12473" s="1027"/>
      <c r="D12473" s="588"/>
      <c r="E12473" s="588"/>
      <c r="F12473" s="415"/>
      <c r="G12473" s="415"/>
      <c r="H12473" s="416"/>
    </row>
    <row r="12474" spans="1:9" ht="15.75" customHeight="1" x14ac:dyDescent="0.25">
      <c r="A12474" s="412">
        <v>28</v>
      </c>
      <c r="B12474" s="417" t="s">
        <v>2084</v>
      </c>
      <c r="C12474" s="418" t="s">
        <v>2085</v>
      </c>
      <c r="D12474" s="592">
        <v>6</v>
      </c>
      <c r="E12474" s="592">
        <v>10</v>
      </c>
      <c r="F12474" s="415">
        <v>57</v>
      </c>
      <c r="G12474" s="415">
        <v>1</v>
      </c>
      <c r="H12474" s="416">
        <f>+G12474*F12474</f>
      </c>
    </row>
    <row r="12475" spans="1:9" ht="15.75" customHeight="1" x14ac:dyDescent="0.25">
      <c r="A12475" s="412">
        <v>29</v>
      </c>
      <c r="B12475" s="417" t="s">
        <v>2084</v>
      </c>
      <c r="C12475" s="977" t="s">
        <v>2085</v>
      </c>
      <c r="D12475" s="633"/>
      <c r="E12475" s="633"/>
      <c r="F12475" s="593">
        <v>3</v>
      </c>
      <c r="G12475" s="940" t="s">
        <v>1856</v>
      </c>
      <c r="H12475" s="931"/>
    </row>
    <row r="12476" spans="1:9" ht="15.75" customHeight="1" x14ac:dyDescent="0.25">
      <c r="A12476" s="412">
        <v>30</v>
      </c>
      <c r="B12476" s="417" t="s">
        <v>2086</v>
      </c>
      <c r="C12476" s="418" t="s">
        <v>2085</v>
      </c>
      <c r="D12476" s="588">
        <v>6</v>
      </c>
      <c r="E12476" s="588">
        <v>10</v>
      </c>
      <c r="F12476" s="415">
        <v>57</v>
      </c>
      <c r="G12476" s="415">
        <v>1</v>
      </c>
      <c r="H12476" s="416">
        <f>+G12476*F12476</f>
      </c>
    </row>
    <row r="12477" spans="1:9" ht="15.75" customHeight="1" x14ac:dyDescent="0.25">
      <c r="A12477" s="412">
        <v>31</v>
      </c>
      <c r="B12477" s="417" t="s">
        <v>2086</v>
      </c>
      <c r="C12477" s="418" t="s">
        <v>2085</v>
      </c>
      <c r="D12477" s="588"/>
      <c r="E12477" s="588"/>
      <c r="F12477" s="415">
        <v>3</v>
      </c>
      <c r="G12477" s="619" t="s">
        <v>1856</v>
      </c>
      <c r="H12477" s="416"/>
    </row>
    <row r="12478" spans="1:9" ht="15.75" customHeight="1" x14ac:dyDescent="0.25">
      <c r="A12478" s="412">
        <v>32</v>
      </c>
      <c r="B12478" s="417" t="s">
        <v>2089</v>
      </c>
      <c r="C12478" s="418" t="s">
        <v>2090</v>
      </c>
      <c r="D12478" s="588">
        <v>3</v>
      </c>
      <c r="E12478" s="588">
        <v>10</v>
      </c>
      <c r="F12478" s="415">
        <f>+E12478*D12478</f>
      </c>
      <c r="G12478" s="415">
        <v>1</v>
      </c>
      <c r="H12478" s="416">
        <f>+G12478*F12478</f>
      </c>
      <c r="I12478" s="968"/>
    </row>
    <row r="12479" spans="1:9" ht="15.75" customHeight="1" x14ac:dyDescent="0.25">
      <c r="A12479" s="412"/>
      <c r="B12479" s="1044"/>
      <c r="C12479" s="1005"/>
      <c r="D12479" s="633"/>
      <c r="E12479" s="633"/>
      <c r="F12479" s="427"/>
      <c r="G12479" s="427"/>
      <c r="H12479" s="429"/>
      <c r="I12479" s="1041"/>
    </row>
    <row r="12480" spans="1:9" ht="15.75" customHeight="1" x14ac:dyDescent="0.25">
      <c r="A12480" s="877"/>
      <c r="B12480" s="688"/>
      <c r="C12480" s="896" t="s">
        <v>85</v>
      </c>
      <c r="D12480" s="599">
        <f>+D12478+D12476+D12474+D12471+D12469+D12448</f>
      </c>
      <c r="E12480" s="401"/>
      <c r="F12480" s="599">
        <f>+F12478+F12476+F12474+F12471+F12469+F12448</f>
      </c>
      <c r="G12480" s="661"/>
      <c r="H12480" s="438">
        <f>+H12478+H12476+H12474+H12471+H12469+H12448</f>
      </c>
    </row>
    <row r="12481" spans="1:8" ht="15.75" customHeight="1" x14ac:dyDescent="0.25">
      <c r="A12481" s="932"/>
      <c r="B12481" s="933"/>
      <c r="C12481" s="934"/>
      <c r="D12481" s="431"/>
      <c r="E12481" s="935"/>
      <c r="F12481" s="935"/>
      <c r="G12481" s="936"/>
      <c r="H12481" s="444"/>
    </row>
    <row r="12482" spans="1:8" ht="15.75" customHeight="1" x14ac:dyDescent="0.25">
      <c r="A12482" s="994" t="s">
        <v>913</v>
      </c>
      <c r="B12482" s="391"/>
      <c r="C12482" s="391"/>
      <c r="D12482" s="391"/>
      <c r="E12482" s="390"/>
      <c r="F12482" s="392"/>
      <c r="G12482" s="390"/>
      <c r="H12482" s="394"/>
    </row>
    <row r="12483" spans="1:8" ht="15.75" customHeight="1" x14ac:dyDescent="0.25">
      <c r="A12483" s="445"/>
      <c r="B12483" s="445"/>
      <c r="C12483" s="445"/>
      <c r="D12483" s="446" t="s">
        <v>97</v>
      </c>
      <c r="E12483" s="445" t="s">
        <v>98</v>
      </c>
      <c r="F12483" s="445"/>
      <c r="G12483" s="390"/>
      <c r="H12483" s="394"/>
    </row>
    <row r="12484" spans="1:8" ht="15.75" customHeight="1" x14ac:dyDescent="0.25">
      <c r="A12484" s="390"/>
      <c r="B12484" s="390"/>
      <c r="C12484" s="390"/>
      <c r="D12484" s="391"/>
      <c r="E12484" s="390"/>
      <c r="F12484" s="390"/>
      <c r="G12484" s="390"/>
      <c r="H12484" s="394"/>
    </row>
    <row r="12485" spans="1:8" ht="15.75" customHeight="1" x14ac:dyDescent="0.25">
      <c r="A12485" s="390"/>
      <c r="B12485" s="390"/>
      <c r="C12485" s="390"/>
      <c r="D12485" s="391"/>
      <c r="E12485" s="390"/>
      <c r="F12485" s="390"/>
      <c r="G12485" s="390"/>
      <c r="H12485" s="394"/>
    </row>
    <row r="12486" spans="1:8" ht="15.75" customHeight="1" x14ac:dyDescent="0.25">
      <c r="A12486" s="445"/>
      <c r="B12486" s="445"/>
      <c r="C12486" s="445"/>
      <c r="D12486" s="446"/>
      <c r="E12486" s="445" t="s">
        <v>99</v>
      </c>
      <c r="F12486" s="445"/>
      <c r="G12486" s="390"/>
      <c r="H12486" s="394"/>
    </row>
    <row r="12487" spans="1:8" ht="15.75" customHeight="1" x14ac:dyDescent="0.25">
      <c r="A12487" s="451"/>
      <c r="B12487" s="777"/>
      <c r="C12487" s="393"/>
      <c r="D12487" s="567"/>
      <c r="E12487" s="631"/>
      <c r="F12487" s="391"/>
      <c r="G12487" s="391"/>
      <c r="H12487" s="394"/>
    </row>
    <row r="12488" spans="1:8" ht="15.75" customHeight="1" x14ac:dyDescent="0.25">
      <c r="A12488" s="451"/>
      <c r="B12488" s="777"/>
      <c r="C12488" s="393"/>
      <c r="D12488" s="567"/>
      <c r="E12488" s="631"/>
      <c r="F12488" s="391"/>
      <c r="G12488" s="391"/>
      <c r="H12488" s="394"/>
    </row>
    <row r="12489" spans="1:8" ht="15.75" customHeight="1" x14ac:dyDescent="0.25">
      <c r="A12489" s="451"/>
      <c r="B12489" s="777"/>
      <c r="C12489" s="393"/>
      <c r="D12489" s="567"/>
      <c r="E12489" s="631"/>
      <c r="F12489" s="391"/>
      <c r="G12489" s="391"/>
      <c r="H12489" s="394"/>
    </row>
    <row r="12490" spans="1:8" ht="15.75" customHeight="1" x14ac:dyDescent="0.25">
      <c r="A12490" s="451"/>
      <c r="B12490" s="777"/>
      <c r="C12490" s="393"/>
      <c r="D12490" s="567"/>
      <c r="E12490" s="631"/>
      <c r="F12490" s="391"/>
      <c r="G12490" s="391"/>
      <c r="H12490" s="394"/>
    </row>
    <row r="12491" spans="1:8" ht="15.75" customHeight="1" x14ac:dyDescent="0.25">
      <c r="A12491" s="451"/>
      <c r="B12491" s="777"/>
      <c r="C12491" s="393"/>
      <c r="D12491" s="567"/>
      <c r="E12491" s="631"/>
      <c r="F12491" s="391"/>
      <c r="G12491" s="391"/>
      <c r="H12491" s="394"/>
    </row>
    <row r="12492" spans="1:8" ht="15.75" customHeight="1" x14ac:dyDescent="0.25">
      <c r="A12492" s="451"/>
      <c r="B12492" s="777"/>
      <c r="C12492" s="393"/>
      <c r="D12492" s="567"/>
      <c r="E12492" s="631"/>
      <c r="F12492" s="391"/>
      <c r="G12492" s="391"/>
      <c r="H12492" s="394"/>
    </row>
    <row r="12493" spans="1:8" ht="15.75" customHeight="1" x14ac:dyDescent="0.25">
      <c r="A12493" s="451"/>
      <c r="B12493" s="777"/>
      <c r="C12493" s="393"/>
      <c r="D12493" s="567"/>
      <c r="E12493" s="631"/>
      <c r="F12493" s="391"/>
      <c r="G12493" s="391"/>
      <c r="H12493" s="394"/>
    </row>
    <row r="12494" spans="1:8" ht="15.75" customHeight="1" x14ac:dyDescent="0.25">
      <c r="A12494" s="451"/>
      <c r="B12494" s="777"/>
      <c r="C12494" s="393"/>
      <c r="D12494" s="567"/>
      <c r="E12494" s="631"/>
      <c r="F12494" s="391"/>
      <c r="G12494" s="391"/>
      <c r="H12494" s="394"/>
    </row>
    <row r="12495" spans="1:8" ht="15.75" customHeight="1" x14ac:dyDescent="0.25">
      <c r="A12495" s="451"/>
      <c r="B12495" s="777"/>
      <c r="C12495" s="393"/>
      <c r="D12495" s="567"/>
      <c r="E12495" s="631"/>
      <c r="F12495" s="391"/>
      <c r="G12495" s="391"/>
      <c r="H12495" s="394"/>
    </row>
    <row r="12496" spans="1:8" ht="15.75" customHeight="1" x14ac:dyDescent="0.25">
      <c r="A12496" s="451"/>
      <c r="B12496" s="777"/>
      <c r="C12496" s="393"/>
      <c r="D12496" s="567"/>
      <c r="E12496" s="631"/>
      <c r="F12496" s="391"/>
      <c r="G12496" s="391"/>
      <c r="H12496" s="394"/>
    </row>
    <row r="12497" spans="1:8" ht="15.75" customHeight="1" x14ac:dyDescent="0.25">
      <c r="A12497" s="451"/>
      <c r="B12497" s="777"/>
      <c r="C12497" s="393"/>
      <c r="D12497" s="567"/>
      <c r="E12497" s="631"/>
      <c r="F12497" s="391"/>
      <c r="G12497" s="391"/>
      <c r="H12497" s="394"/>
    </row>
    <row r="12498" spans="1:8" ht="15.75" customHeight="1" x14ac:dyDescent="0.25">
      <c r="A12498" s="451"/>
      <c r="B12498" s="777"/>
      <c r="C12498" s="393"/>
      <c r="D12498" s="567"/>
      <c r="E12498" s="631"/>
      <c r="F12498" s="391"/>
      <c r="G12498" s="391"/>
      <c r="H12498" s="394"/>
    </row>
    <row r="12499" spans="1:8" ht="15.75" customHeight="1" x14ac:dyDescent="0.25">
      <c r="A12499" s="451"/>
      <c r="B12499" s="777"/>
      <c r="C12499" s="393"/>
      <c r="D12499" s="567"/>
      <c r="E12499" s="631"/>
      <c r="F12499" s="391"/>
      <c r="G12499" s="391"/>
      <c r="H12499" s="394"/>
    </row>
    <row r="12500" spans="1:8" ht="15.75" customHeight="1" x14ac:dyDescent="0.25">
      <c r="A12500" s="8" t="s">
        <v>14</v>
      </c>
      <c r="B12500" s="8"/>
      <c r="C12500" s="8"/>
      <c r="D12500" s="8"/>
      <c r="E12500" s="8"/>
      <c r="F12500" s="8"/>
      <c r="G12500" s="8"/>
      <c r="H12500" s="8"/>
    </row>
    <row r="12501" spans="1:8" ht="15.75" customHeight="1" x14ac:dyDescent="0.25">
      <c r="A12501" s="388"/>
      <c r="B12501" s="388"/>
      <c r="C12501" s="388"/>
      <c r="D12501" s="389"/>
      <c r="E12501" s="388"/>
      <c r="F12501" s="388"/>
      <c r="G12501" s="388"/>
      <c r="H12501" s="8"/>
    </row>
    <row r="12502" spans="1:8" ht="15.75" customHeight="1" x14ac:dyDescent="0.25">
      <c r="A12502" s="390"/>
      <c r="B12502" s="390"/>
      <c r="C12502" s="390"/>
      <c r="D12502" s="391"/>
      <c r="E12502" s="390"/>
      <c r="F12502" s="395" t="s">
        <v>18</v>
      </c>
      <c r="G12502" s="396" t="s">
        <v>1122</v>
      </c>
      <c r="H12502" s="397"/>
    </row>
    <row r="12503" spans="1:8" ht="15.75" customHeight="1" x14ac:dyDescent="0.25">
      <c r="A12503" s="390" t="s">
        <v>20</v>
      </c>
      <c r="B12503" s="390"/>
      <c r="D12503" s="391"/>
      <c r="E12503" s="390"/>
      <c r="F12503" s="395" t="s">
        <v>21</v>
      </c>
      <c r="G12503" s="390" t="s">
        <v>1896</v>
      </c>
      <c r="H12503" s="391"/>
    </row>
    <row r="12504" spans="1:8" ht="15.75" customHeight="1" x14ac:dyDescent="0.25">
      <c r="A12504" s="390" t="inlineStr">
        <is>
          <t>Dealer-004</t>
        </is>
      </c>
      <c r="B12504" s="390"/>
      <c r="C12504" s="390" t="inlineStr">
        <is>
          <t>ATTN: Contact-004</t>
        </is>
      </c>
      <c r="D12504" s="398"/>
      <c r="E12504" s="390"/>
      <c r="F12504" s="391"/>
      <c r="G12504" s="390"/>
      <c r="H12504" s="394"/>
    </row>
    <row r="12505" spans="1:8" ht="15.75" customHeight="1" x14ac:dyDescent="0.25">
      <c r="A12505" s="390" t="inlineStr">
        <is>
          <t>Address line (redacted)</t>
        </is>
      </c>
      <c r="B12505" s="390"/>
      <c r="C12505" s="390"/>
      <c r="D12505" s="398"/>
      <c r="E12505" s="390"/>
      <c r="F12505" s="391"/>
      <c r="G12505" s="390"/>
      <c r="H12505" s="394"/>
    </row>
    <row r="12506" spans="1:8" ht="15.75" customHeight="1" x14ac:dyDescent="0.25">
      <c r="A12506" s="390"/>
      <c r="B12506" s="390"/>
      <c r="C12506" s="390"/>
      <c r="D12506" s="391"/>
      <c r="E12506" s="390"/>
      <c r="F12506" s="391"/>
      <c r="G12506" s="390"/>
      <c r="H12506" s="394"/>
    </row>
    <row r="12507" spans="1:8" ht="15.75" customHeight="1" x14ac:dyDescent="0.25">
      <c r="A12507" s="390" t="s">
        <v>30</v>
      </c>
      <c r="B12507" s="390"/>
      <c r="C12507" s="390"/>
      <c r="D12507" s="391"/>
      <c r="E12507" s="390"/>
      <c r="F12507" s="391"/>
      <c r="G12507" s="390"/>
      <c r="H12507" s="394"/>
    </row>
    <row r="12508" spans="1:8" ht="15.75" customHeight="1" x14ac:dyDescent="0.25">
      <c r="A12508" s="390" t="s">
        <v>716</v>
      </c>
      <c r="B12508" s="390"/>
      <c r="C12508" s="390"/>
      <c r="D12508" s="391"/>
      <c r="E12508" s="390"/>
      <c r="F12508" s="391"/>
      <c r="G12508" s="390"/>
      <c r="H12508" s="394"/>
    </row>
    <row r="12509" spans="1:8" ht="15.75" customHeight="1" x14ac:dyDescent="0.25">
      <c r="A12509" s="390" t="s">
        <v>717</v>
      </c>
      <c r="B12509" s="390"/>
      <c r="C12509" s="390"/>
      <c r="D12509" s="391"/>
      <c r="E12509" s="390"/>
      <c r="F12509" s="391"/>
      <c r="G12509" s="390"/>
      <c r="H12509" s="394"/>
    </row>
    <row r="12510" spans="1:8" ht="15.75" customHeight="1" x14ac:dyDescent="0.25">
      <c r="A12510" s="390"/>
      <c r="B12510" s="390"/>
      <c r="C12510" s="390"/>
      <c r="D12510" s="391"/>
      <c r="E12510" s="390"/>
      <c r="F12510" s="391"/>
      <c r="G12510" s="390"/>
      <c r="H12510" s="394"/>
    </row>
    <row r="12511" spans="1:8" ht="15.75" customHeight="1" x14ac:dyDescent="0.25">
      <c r="A12511" s="948" t="s">
        <v>33</v>
      </c>
      <c r="B12511" s="949" t="s">
        <v>6</v>
      </c>
      <c r="C12511" s="950"/>
      <c r="D12511" s="874" t="s">
        <v>37</v>
      </c>
      <c r="E12511" s="874" t="s">
        <v>38</v>
      </c>
      <c r="F12511" s="875" t="s">
        <v>7</v>
      </c>
      <c r="G12511" s="872" t="s">
        <v>43</v>
      </c>
      <c r="H12511" s="876" t="s">
        <v>44</v>
      </c>
    </row>
    <row r="12512" spans="1:8" ht="15.75" customHeight="1" x14ac:dyDescent="0.3">
      <c r="A12512" s="412"/>
      <c r="B12512" s="1033"/>
      <c r="C12512" s="1033"/>
      <c r="D12512" s="879"/>
      <c r="E12512" s="879"/>
      <c r="F12512" s="415"/>
      <c r="G12512" s="415"/>
      <c r="H12512" s="416"/>
    </row>
    <row r="12513" spans="1:8" ht="15.75" customHeight="1" x14ac:dyDescent="0.25">
      <c r="A12513" s="412"/>
      <c r="B12513" s="883" t="s">
        <v>2046</v>
      </c>
      <c r="C12513" s="883"/>
      <c r="D12513" s="415"/>
      <c r="E12513" s="415"/>
      <c r="F12513" s="415"/>
      <c r="G12513" s="415"/>
      <c r="H12513" s="416"/>
    </row>
    <row r="12514" spans="1:8" ht="15.75" customHeight="1" x14ac:dyDescent="0.25">
      <c r="A12514" s="412">
        <v>1</v>
      </c>
      <c r="B12514" s="1047" t="s">
        <v>2091</v>
      </c>
      <c r="C12514" s="422" t="s">
        <v>327</v>
      </c>
      <c r="D12514" s="592">
        <v>5</v>
      </c>
      <c r="E12514" s="592">
        <v>5</v>
      </c>
      <c r="F12514" s="415">
        <f>+E12514*D12514</f>
      </c>
      <c r="G12514" s="415">
        <v>1</v>
      </c>
      <c r="H12514" s="416">
        <f t="shared" ref="H12514:H12518" si="465">+G12514*F12514</f>
      </c>
    </row>
    <row r="12515" spans="1:8" ht="15.75" customHeight="1" x14ac:dyDescent="0.25">
      <c r="A12515" s="412">
        <v>2</v>
      </c>
      <c r="B12515" s="1047" t="s">
        <v>2068</v>
      </c>
      <c r="C12515" s="422" t="s">
        <v>340</v>
      </c>
      <c r="D12515" s="592">
        <v>3</v>
      </c>
      <c r="E12515" s="592">
        <v>5</v>
      </c>
      <c r="F12515" s="415">
        <v>15</v>
      </c>
      <c r="G12515" s="415">
        <v>1</v>
      </c>
      <c r="H12515" s="416">
        <f t="shared" si="465"/>
      </c>
    </row>
    <row r="12516" spans="1:8" ht="15.75" customHeight="1" x14ac:dyDescent="0.25">
      <c r="A12516" s="412">
        <v>3</v>
      </c>
      <c r="B12516" s="1047" t="s">
        <v>1300</v>
      </c>
      <c r="C12516" s="422" t="s">
        <v>332</v>
      </c>
      <c r="D12516" s="592">
        <v>2</v>
      </c>
      <c r="E12516" s="592">
        <v>5</v>
      </c>
      <c r="F12516" s="415">
        <v>10</v>
      </c>
      <c r="G12516" s="415">
        <v>1</v>
      </c>
      <c r="H12516" s="416">
        <f t="shared" si="465"/>
      </c>
    </row>
    <row r="12517" spans="1:8" ht="15.75" customHeight="1" x14ac:dyDescent="0.25">
      <c r="A12517" s="412">
        <v>4</v>
      </c>
      <c r="B12517" s="1047" t="s">
        <v>1325</v>
      </c>
      <c r="C12517" s="422" t="s">
        <v>339</v>
      </c>
      <c r="D12517" s="592">
        <v>2</v>
      </c>
      <c r="E12517" s="592">
        <v>5</v>
      </c>
      <c r="F12517" s="415">
        <v>10</v>
      </c>
      <c r="G12517" s="415">
        <v>1</v>
      </c>
      <c r="H12517" s="416">
        <f t="shared" si="465"/>
      </c>
    </row>
    <row r="12518" spans="1:8" ht="15.75" customHeight="1" x14ac:dyDescent="0.25">
      <c r="A12518" s="412">
        <v>5</v>
      </c>
      <c r="B12518" s="1047" t="s">
        <v>199</v>
      </c>
      <c r="C12518" s="422" t="s">
        <v>142</v>
      </c>
      <c r="D12518" s="592">
        <v>5</v>
      </c>
      <c r="E12518" s="592">
        <v>5</v>
      </c>
      <c r="F12518" s="415">
        <v>24</v>
      </c>
      <c r="G12518" s="415">
        <v>1</v>
      </c>
      <c r="H12518" s="416">
        <f t="shared" si="465"/>
      </c>
    </row>
    <row r="12519" spans="1:8" ht="15.75" customHeight="1" x14ac:dyDescent="0.25">
      <c r="A12519" s="412">
        <v>6</v>
      </c>
      <c r="B12519" s="1047" t="s">
        <v>199</v>
      </c>
      <c r="C12519" s="422" t="s">
        <v>142</v>
      </c>
      <c r="D12519" s="626"/>
      <c r="E12519" s="626"/>
      <c r="F12519" s="415">
        <v>1</v>
      </c>
      <c r="G12519" s="619" t="s">
        <v>1856</v>
      </c>
      <c r="H12519" s="416"/>
    </row>
    <row r="12520" spans="1:8" ht="15.75" customHeight="1" x14ac:dyDescent="0.25">
      <c r="A12520" s="412">
        <v>7</v>
      </c>
      <c r="B12520" s="1047" t="s">
        <v>203</v>
      </c>
      <c r="C12520" s="422" t="s">
        <v>336</v>
      </c>
      <c r="D12520" s="626">
        <v>2</v>
      </c>
      <c r="E12520" s="626">
        <v>5</v>
      </c>
      <c r="F12520" s="415">
        <v>10</v>
      </c>
      <c r="G12520" s="415">
        <v>1</v>
      </c>
      <c r="H12520" s="416">
        <f t="shared" ref="H12520:H12522" si="466">+G12520*F12520</f>
      </c>
    </row>
    <row r="12521" spans="1:8" ht="15.75" customHeight="1" x14ac:dyDescent="0.25">
      <c r="A12521" s="412">
        <v>8</v>
      </c>
      <c r="B12521" s="1037" t="s">
        <v>655</v>
      </c>
      <c r="C12521" s="422" t="s">
        <v>94</v>
      </c>
      <c r="D12521" s="415">
        <v>2</v>
      </c>
      <c r="E12521" s="415">
        <v>5</v>
      </c>
      <c r="F12521" s="415">
        <f>+E12521*D12521</f>
      </c>
      <c r="G12521" s="415">
        <v>1</v>
      </c>
      <c r="H12521" s="416">
        <f t="shared" si="466"/>
      </c>
    </row>
    <row r="12522" spans="1:8" ht="15.75" customHeight="1" x14ac:dyDescent="0.25">
      <c r="A12522" s="412">
        <v>9</v>
      </c>
      <c r="B12522" s="1037" t="s">
        <v>34</v>
      </c>
      <c r="C12522" s="422" t="s">
        <v>25</v>
      </c>
      <c r="D12522" s="592">
        <v>30</v>
      </c>
      <c r="E12522" s="592">
        <v>5</v>
      </c>
      <c r="F12522" s="415">
        <v>144</v>
      </c>
      <c r="G12522" s="415">
        <v>1</v>
      </c>
      <c r="H12522" s="416">
        <f t="shared" si="466"/>
      </c>
    </row>
    <row r="12523" spans="1:8" ht="15.75" customHeight="1" x14ac:dyDescent="0.25">
      <c r="A12523" s="412">
        <v>10</v>
      </c>
      <c r="B12523" s="1037" t="s">
        <v>34</v>
      </c>
      <c r="C12523" s="422" t="s">
        <v>25</v>
      </c>
      <c r="D12523" s="626"/>
      <c r="E12523" s="626"/>
      <c r="F12523" s="415">
        <v>6</v>
      </c>
      <c r="G12523" s="619" t="s">
        <v>1856</v>
      </c>
      <c r="H12523" s="416"/>
    </row>
    <row r="12524" spans="1:8" ht="15.75" customHeight="1" x14ac:dyDescent="0.25">
      <c r="A12524" s="412">
        <v>11</v>
      </c>
      <c r="B12524" s="1037" t="s">
        <v>1552</v>
      </c>
      <c r="C12524" s="422" t="s">
        <v>330</v>
      </c>
      <c r="D12524" s="592">
        <v>10</v>
      </c>
      <c r="E12524" s="592">
        <v>5</v>
      </c>
      <c r="F12524" s="415">
        <v>48</v>
      </c>
      <c r="G12524" s="415">
        <v>1</v>
      </c>
      <c r="H12524" s="416">
        <f>+G12524*F12524</f>
      </c>
    </row>
    <row r="12525" spans="1:8" ht="15.75" customHeight="1" x14ac:dyDescent="0.25">
      <c r="A12525" s="412">
        <v>12</v>
      </c>
      <c r="B12525" s="1037" t="s">
        <v>1552</v>
      </c>
      <c r="C12525" s="422" t="s">
        <v>330</v>
      </c>
      <c r="D12525" s="626"/>
      <c r="E12525" s="626"/>
      <c r="F12525" s="415">
        <v>2</v>
      </c>
      <c r="G12525" s="619" t="s">
        <v>1856</v>
      </c>
      <c r="H12525" s="416"/>
    </row>
    <row r="12526" spans="1:8" ht="15.75" customHeight="1" x14ac:dyDescent="0.25">
      <c r="A12526" s="412">
        <v>13</v>
      </c>
      <c r="B12526" s="1037" t="s">
        <v>2093</v>
      </c>
      <c r="C12526" s="422" t="s">
        <v>77</v>
      </c>
      <c r="D12526" s="626">
        <v>4</v>
      </c>
      <c r="E12526" s="626">
        <v>5</v>
      </c>
      <c r="F12526" s="415">
        <f t="shared" ref="F12526:F12527" si="467">+E12526*D12526</f>
      </c>
      <c r="G12526" s="415">
        <v>1</v>
      </c>
      <c r="H12526" s="416">
        <f t="shared" ref="H12526:H12532" si="468">+G12526*F12526</f>
      </c>
    </row>
    <row r="12527" spans="1:8" ht="15.75" customHeight="1" x14ac:dyDescent="0.25">
      <c r="A12527" s="412">
        <v>14</v>
      </c>
      <c r="B12527" s="1038" t="s">
        <v>3</v>
      </c>
      <c r="C12527" s="422" t="s">
        <v>4</v>
      </c>
      <c r="D12527" s="588">
        <v>5</v>
      </c>
      <c r="E12527" s="588">
        <v>5</v>
      </c>
      <c r="F12527" s="415">
        <f t="shared" si="467"/>
      </c>
      <c r="G12527" s="415">
        <v>1</v>
      </c>
      <c r="H12527" s="416">
        <f t="shared" si="468"/>
      </c>
    </row>
    <row r="12528" spans="1:8" ht="15.75" customHeight="1" x14ac:dyDescent="0.25">
      <c r="A12528" s="412">
        <v>15</v>
      </c>
      <c r="B12528" s="1038" t="s">
        <v>126</v>
      </c>
      <c r="C12528" s="422" t="s">
        <v>1840</v>
      </c>
      <c r="D12528" s="592">
        <v>2</v>
      </c>
      <c r="E12528" s="592">
        <v>5</v>
      </c>
      <c r="F12528" s="415">
        <f t="shared" ref="F12528:F12530" si="469">E12528*D12528</f>
      </c>
      <c r="G12528" s="415">
        <v>1</v>
      </c>
      <c r="H12528" s="416">
        <f t="shared" si="468"/>
      </c>
    </row>
    <row r="12529" spans="1:20" ht="15.75" customHeight="1" x14ac:dyDescent="0.25">
      <c r="A12529" s="412">
        <v>16</v>
      </c>
      <c r="B12529" s="1038" t="s">
        <v>146</v>
      </c>
      <c r="C12529" s="422" t="s">
        <v>342</v>
      </c>
      <c r="D12529" s="592">
        <v>1</v>
      </c>
      <c r="E12529" s="592">
        <v>5</v>
      </c>
      <c r="F12529" s="415">
        <f t="shared" si="469"/>
      </c>
      <c r="G12529" s="415">
        <v>1</v>
      </c>
      <c r="H12529" s="416">
        <f t="shared" si="468"/>
      </c>
    </row>
    <row r="12530" spans="1:20" ht="15.75" customHeight="1" x14ac:dyDescent="0.25">
      <c r="A12530" s="412">
        <v>17</v>
      </c>
      <c r="B12530" s="1038" t="s">
        <v>39</v>
      </c>
      <c r="C12530" s="422" t="s">
        <v>36</v>
      </c>
      <c r="D12530" s="633">
        <v>3</v>
      </c>
      <c r="E12530" s="633">
        <v>5</v>
      </c>
      <c r="F12530" s="415">
        <f t="shared" si="469"/>
      </c>
      <c r="G12530" s="415">
        <v>1</v>
      </c>
      <c r="H12530" s="416">
        <f t="shared" si="468"/>
      </c>
    </row>
    <row r="12531" spans="1:20" ht="15.75" customHeight="1" x14ac:dyDescent="0.25">
      <c r="A12531" s="412">
        <v>18</v>
      </c>
      <c r="B12531" s="1038" t="s">
        <v>125</v>
      </c>
      <c r="C12531" s="422" t="s">
        <v>324</v>
      </c>
      <c r="D12531" s="626">
        <v>3</v>
      </c>
      <c r="E12531" s="626">
        <v>5</v>
      </c>
      <c r="F12531" s="415">
        <f>+E12531*D12531</f>
      </c>
      <c r="G12531" s="415">
        <v>1</v>
      </c>
      <c r="H12531" s="416">
        <f t="shared" si="468"/>
      </c>
    </row>
    <row r="12532" spans="1:20" ht="15.75" customHeight="1" x14ac:dyDescent="0.25">
      <c r="A12532" s="412">
        <v>19</v>
      </c>
      <c r="B12532" s="1038" t="s">
        <v>127</v>
      </c>
      <c r="C12532" s="422" t="s">
        <v>326</v>
      </c>
      <c r="D12532" s="592">
        <v>5</v>
      </c>
      <c r="E12532" s="592">
        <v>5</v>
      </c>
      <c r="F12532" s="415">
        <v>24</v>
      </c>
      <c r="G12532" s="415">
        <v>1</v>
      </c>
      <c r="H12532" s="416">
        <f t="shared" si="468"/>
      </c>
    </row>
    <row r="12533" spans="1:20" ht="15.75" customHeight="1" x14ac:dyDescent="0.25">
      <c r="A12533" s="412">
        <v>20</v>
      </c>
      <c r="B12533" s="1038" t="s">
        <v>127</v>
      </c>
      <c r="C12533" s="422" t="s">
        <v>326</v>
      </c>
      <c r="D12533" s="626"/>
      <c r="E12533" s="626"/>
      <c r="F12533" s="415">
        <v>1</v>
      </c>
      <c r="G12533" s="619" t="s">
        <v>1856</v>
      </c>
      <c r="H12533" s="416"/>
    </row>
    <row r="12534" spans="1:20" ht="15.75" customHeight="1" x14ac:dyDescent="0.25">
      <c r="A12534" s="412"/>
      <c r="B12534" s="1034" t="s">
        <v>2043</v>
      </c>
      <c r="C12534" s="1034"/>
      <c r="D12534" s="415"/>
      <c r="E12534" s="415"/>
      <c r="F12534" s="415"/>
      <c r="G12534" s="415"/>
      <c r="H12534" s="416">
        <f t="shared" ref="H12534:H12535" si="470">+G12534*F12534</f>
      </c>
    </row>
    <row r="12535" spans="1:20" ht="15.75" customHeight="1" x14ac:dyDescent="0.25">
      <c r="A12535" s="412">
        <v>21</v>
      </c>
      <c r="B12535" s="417" t="s">
        <v>143</v>
      </c>
      <c r="C12535" s="627" t="s">
        <v>374</v>
      </c>
      <c r="D12535" s="592">
        <v>4</v>
      </c>
      <c r="E12535" s="592">
        <v>6</v>
      </c>
      <c r="F12535" s="415">
        <v>23</v>
      </c>
      <c r="G12535" s="415">
        <v>1</v>
      </c>
      <c r="H12535" s="416">
        <f t="shared" si="470"/>
      </c>
    </row>
    <row r="12536" spans="1:20" ht="15.75" customHeight="1" x14ac:dyDescent="0.25">
      <c r="A12536" s="412">
        <v>22</v>
      </c>
      <c r="B12536" s="417" t="s">
        <v>143</v>
      </c>
      <c r="C12536" s="627" t="s">
        <v>374</v>
      </c>
      <c r="D12536" s="626"/>
      <c r="E12536" s="626"/>
      <c r="F12536" s="415">
        <v>1</v>
      </c>
      <c r="G12536" s="619" t="s">
        <v>1856</v>
      </c>
      <c r="H12536" s="416"/>
    </row>
    <row r="12537" spans="1:20" ht="15.75" customHeight="1" x14ac:dyDescent="0.25">
      <c r="A12537" s="412">
        <v>23</v>
      </c>
      <c r="B12537" s="417" t="s">
        <v>139</v>
      </c>
      <c r="C12537" s="627" t="s">
        <v>2094</v>
      </c>
      <c r="D12537" s="592">
        <v>4</v>
      </c>
      <c r="E12537" s="592">
        <v>6</v>
      </c>
      <c r="F12537" s="415">
        <v>23</v>
      </c>
      <c r="G12537" s="415">
        <v>1</v>
      </c>
      <c r="H12537" s="416">
        <f>+G12537*F12537</f>
      </c>
    </row>
    <row r="12538" spans="1:20" ht="15.75" customHeight="1" x14ac:dyDescent="0.25">
      <c r="A12538" s="412">
        <v>24</v>
      </c>
      <c r="B12538" s="417" t="s">
        <v>139</v>
      </c>
      <c r="C12538" s="627" t="s">
        <v>2094</v>
      </c>
      <c r="D12538" s="626"/>
      <c r="E12538" s="626"/>
      <c r="F12538" s="415">
        <v>1</v>
      </c>
      <c r="G12538" s="619" t="s">
        <v>1856</v>
      </c>
      <c r="H12538" s="416"/>
    </row>
    <row r="12539" spans="1:20" ht="15.75" customHeight="1" x14ac:dyDescent="0.25">
      <c r="A12539" s="412">
        <v>25</v>
      </c>
      <c r="B12539" s="417" t="s">
        <v>763</v>
      </c>
      <c r="C12539" s="627" t="s">
        <v>378</v>
      </c>
      <c r="D12539" s="592">
        <v>4</v>
      </c>
      <c r="E12539" s="592">
        <v>6</v>
      </c>
      <c r="F12539" s="415">
        <v>23</v>
      </c>
      <c r="G12539" s="415">
        <v>1</v>
      </c>
      <c r="H12539" s="416">
        <f>+G12539*F12539</f>
      </c>
    </row>
    <row r="12540" spans="1:20" ht="15.75" customHeight="1" x14ac:dyDescent="0.25">
      <c r="A12540" s="412">
        <v>26</v>
      </c>
      <c r="B12540" s="417" t="s">
        <v>763</v>
      </c>
      <c r="C12540" s="627" t="s">
        <v>378</v>
      </c>
      <c r="D12540" s="626"/>
      <c r="E12540" s="626"/>
      <c r="F12540" s="415">
        <v>1</v>
      </c>
      <c r="G12540" s="619" t="s">
        <v>1856</v>
      </c>
      <c r="H12540" s="416"/>
    </row>
    <row r="12541" spans="1:20" ht="15.75" customHeight="1" x14ac:dyDescent="0.25">
      <c r="A12541" s="412">
        <v>27</v>
      </c>
      <c r="B12541" s="417" t="s">
        <v>1718</v>
      </c>
      <c r="C12541" s="627" t="s">
        <v>379</v>
      </c>
      <c r="D12541" s="592">
        <v>4</v>
      </c>
      <c r="E12541" s="592">
        <v>6</v>
      </c>
      <c r="F12541" s="415">
        <v>23</v>
      </c>
      <c r="G12541" s="415">
        <v>1</v>
      </c>
      <c r="H12541" s="416">
        <f>+G12541*F12541</f>
      </c>
    </row>
    <row r="12542" spans="1:20" ht="15.75" customHeight="1" x14ac:dyDescent="0.25">
      <c r="A12542" s="412">
        <v>28</v>
      </c>
      <c r="B12542" s="417" t="s">
        <v>1718</v>
      </c>
      <c r="C12542" s="627" t="s">
        <v>379</v>
      </c>
      <c r="D12542" s="626"/>
      <c r="E12542" s="626"/>
      <c r="F12542" s="415">
        <v>1</v>
      </c>
      <c r="G12542" s="619" t="s">
        <v>1856</v>
      </c>
      <c r="H12542" s="416"/>
      <c r="I12542" s="674"/>
      <c r="J12542" s="674"/>
      <c r="K12542" s="674"/>
      <c r="L12542" s="674"/>
      <c r="M12542" s="674"/>
      <c r="N12542" s="674"/>
      <c r="O12542" s="674"/>
      <c r="P12542" s="674"/>
      <c r="Q12542" s="674"/>
      <c r="R12542" s="674"/>
      <c r="S12542" s="674"/>
      <c r="T12542" s="674"/>
    </row>
    <row r="12543" spans="1:20" ht="15.75" customHeight="1" x14ac:dyDescent="0.25">
      <c r="A12543" s="780"/>
      <c r="B12543" s="980"/>
      <c r="C12543" s="627"/>
      <c r="D12543" s="1048">
        <f>SUM(D12514:D12542)</f>
      </c>
      <c r="E12543" s="1048" t="s">
        <v>85</v>
      </c>
      <c r="F12543" s="679" t="s">
        <v>2326</v>
      </c>
      <c r="G12543" s="679" t="s">
        <v>2327</v>
      </c>
      <c r="H12543" s="681">
        <f>SUM(H12514:H12542)</f>
      </c>
    </row>
    <row r="12544" spans="1:20" ht="15.75" customHeight="1" x14ac:dyDescent="0.25">
      <c r="A12544" s="451"/>
      <c r="B12544" s="777"/>
      <c r="C12544" s="393"/>
      <c r="D12544" s="567"/>
      <c r="E12544" s="567"/>
      <c r="F12544" s="1049" t="s">
        <v>2328</v>
      </c>
      <c r="G12544" s="1049"/>
      <c r="H12544" s="1049"/>
    </row>
    <row r="12545" spans="1:8" ht="15.75" customHeight="1" x14ac:dyDescent="0.25">
      <c r="A12545" s="451"/>
      <c r="B12545" s="777"/>
      <c r="C12545" s="393"/>
      <c r="D12545" s="567"/>
      <c r="E12545" s="567"/>
      <c r="F12545" s="391"/>
      <c r="G12545" s="391"/>
      <c r="H12545" s="394"/>
    </row>
    <row r="12546" spans="1:8" ht="15.75" customHeight="1" x14ac:dyDescent="0.25">
      <c r="A12546" s="8" t="s">
        <v>14</v>
      </c>
      <c r="B12546" s="8"/>
      <c r="C12546" s="8"/>
      <c r="D12546" s="8"/>
      <c r="E12546" s="8"/>
      <c r="F12546" s="8"/>
      <c r="G12546" s="8"/>
      <c r="H12546" s="8"/>
    </row>
    <row r="12547" spans="1:8" ht="15.75" customHeight="1" x14ac:dyDescent="0.25">
      <c r="A12547" s="388"/>
      <c r="B12547" s="388"/>
      <c r="C12547" s="388"/>
      <c r="D12547" s="389"/>
      <c r="E12547" s="388"/>
      <c r="F12547" s="388"/>
      <c r="G12547" s="388"/>
      <c r="H12547" s="8"/>
    </row>
    <row r="12548" spans="1:8" ht="15.75" customHeight="1" x14ac:dyDescent="0.25">
      <c r="A12548" s="390"/>
      <c r="B12548" s="390"/>
      <c r="C12548" s="390"/>
      <c r="D12548" s="391"/>
      <c r="E12548" s="390"/>
      <c r="F12548" s="395" t="s">
        <v>18</v>
      </c>
      <c r="G12548" s="396" t="s">
        <v>1122</v>
      </c>
      <c r="H12548" s="397"/>
    </row>
    <row r="12549" spans="1:8" ht="15.75" customHeight="1" x14ac:dyDescent="0.25">
      <c r="A12549" s="390" t="s">
        <v>20</v>
      </c>
      <c r="B12549" s="390"/>
      <c r="D12549" s="391"/>
      <c r="E12549" s="390"/>
      <c r="F12549" s="395" t="s">
        <v>21</v>
      </c>
      <c r="G12549" s="390" t="s">
        <v>1896</v>
      </c>
      <c r="H12549" s="391"/>
    </row>
    <row r="12550" spans="1:8" ht="15.75" customHeight="1" x14ac:dyDescent="0.25">
      <c r="A12550" s="390" t="inlineStr">
        <is>
          <t>Dealer-004</t>
        </is>
      </c>
      <c r="B12550" s="390"/>
      <c r="C12550" s="390" t="inlineStr">
        <is>
          <t>ATTN: Contact-004</t>
        </is>
      </c>
      <c r="D12550" s="398"/>
      <c r="E12550" s="390"/>
      <c r="F12550" s="391"/>
      <c r="G12550" s="390"/>
      <c r="H12550" s="394"/>
    </row>
    <row r="12551" spans="1:8" ht="15.75" customHeight="1" x14ac:dyDescent="0.25">
      <c r="A12551" s="390" t="inlineStr">
        <is>
          <t>Address line (redacted)</t>
        </is>
      </c>
      <c r="B12551" s="390"/>
      <c r="C12551" s="390"/>
      <c r="D12551" s="398"/>
      <c r="E12551" s="1049" t="s">
        <v>2323</v>
      </c>
      <c r="F12551" s="1049"/>
      <c r="G12551" s="1049"/>
      <c r="H12551" s="394"/>
    </row>
    <row r="12552" spans="1:8" ht="15.75" customHeight="1" x14ac:dyDescent="0.25">
      <c r="A12552" s="390" t="inlineStr">
        <is>
          <t>Address line (redacted)</t>
        </is>
      </c>
      <c r="B12552" s="390"/>
      <c r="C12552" s="390"/>
      <c r="D12552" s="391"/>
      <c r="E12552" s="390"/>
      <c r="F12552" s="391"/>
      <c r="G12552" s="390"/>
      <c r="H12552" s="394"/>
    </row>
    <row r="12553" spans="1:8" ht="15.75" customHeight="1" x14ac:dyDescent="0.25">
      <c r="A12553" s="390" t="s">
        <v>30</v>
      </c>
      <c r="B12553" s="390"/>
      <c r="C12553" s="390"/>
      <c r="D12553" s="391"/>
      <c r="E12553" s="390"/>
      <c r="F12553" s="391"/>
      <c r="G12553" s="390"/>
      <c r="H12553" s="394"/>
    </row>
    <row r="12554" spans="1:8" ht="15.75" customHeight="1" x14ac:dyDescent="0.25">
      <c r="A12554" s="390" t="s">
        <v>716</v>
      </c>
      <c r="B12554" s="390"/>
      <c r="C12554" s="390"/>
      <c r="D12554" s="391"/>
      <c r="E12554" s="390"/>
      <c r="F12554" s="391"/>
      <c r="G12554" s="390"/>
      <c r="H12554" s="394"/>
    </row>
    <row r="12555" spans="1:8" ht="15.75" customHeight="1" x14ac:dyDescent="0.25">
      <c r="A12555" s="390" t="s">
        <v>717</v>
      </c>
      <c r="B12555" s="390"/>
      <c r="C12555" s="390"/>
      <c r="D12555" s="391"/>
      <c r="E12555" s="390"/>
      <c r="F12555" s="391"/>
      <c r="G12555" s="390"/>
      <c r="H12555" s="394"/>
    </row>
    <row r="12556" spans="1:8" ht="15.75" customHeight="1" x14ac:dyDescent="0.25">
      <c r="A12556" s="390"/>
      <c r="B12556" s="390"/>
      <c r="C12556" s="390"/>
      <c r="D12556" s="391"/>
      <c r="E12556" s="390"/>
      <c r="F12556" s="391"/>
      <c r="G12556" s="390"/>
      <c r="H12556" s="394"/>
    </row>
    <row r="12557" spans="1:8" ht="15.75" customHeight="1" x14ac:dyDescent="0.25">
      <c r="A12557" s="948" t="s">
        <v>33</v>
      </c>
      <c r="B12557" s="949" t="s">
        <v>6</v>
      </c>
      <c r="C12557" s="950"/>
      <c r="D12557" s="874" t="s">
        <v>37</v>
      </c>
      <c r="E12557" s="874" t="s">
        <v>38</v>
      </c>
      <c r="F12557" s="875" t="s">
        <v>7</v>
      </c>
      <c r="G12557" s="872" t="s">
        <v>43</v>
      </c>
      <c r="H12557" s="876" t="s">
        <v>44</v>
      </c>
    </row>
    <row r="12558" spans="1:8" ht="15.75" customHeight="1" x14ac:dyDescent="0.25">
      <c r="A12558" s="412"/>
      <c r="B12558" s="417"/>
      <c r="C12558" s="627"/>
      <c r="D12558" s="588"/>
      <c r="E12558" s="588"/>
      <c r="F12558" s="415"/>
      <c r="G12558" s="415"/>
      <c r="H12558" s="416"/>
    </row>
    <row r="12559" spans="1:8" ht="15.75" customHeight="1" x14ac:dyDescent="0.25">
      <c r="A12559" s="412"/>
      <c r="B12559" s="883" t="s">
        <v>2065</v>
      </c>
      <c r="C12559" s="883"/>
      <c r="D12559" s="588"/>
      <c r="E12559" s="588"/>
      <c r="F12559" s="415"/>
      <c r="G12559" s="415"/>
      <c r="H12559" s="416"/>
    </row>
    <row r="12560" spans="1:8" ht="15.75" customHeight="1" x14ac:dyDescent="0.25">
      <c r="A12560" s="412">
        <v>29</v>
      </c>
      <c r="B12560" s="417" t="s">
        <v>2074</v>
      </c>
      <c r="C12560" s="422" t="s">
        <v>2075</v>
      </c>
      <c r="D12560" s="592">
        <v>6</v>
      </c>
      <c r="E12560" s="592">
        <v>10</v>
      </c>
      <c r="F12560" s="415">
        <v>58</v>
      </c>
      <c r="G12560" s="415">
        <v>1</v>
      </c>
      <c r="H12560" s="416">
        <f>+G12560*F12560</f>
      </c>
    </row>
    <row r="12561" spans="1:12" ht="15.75" customHeight="1" x14ac:dyDescent="0.25">
      <c r="A12561" s="412">
        <v>30</v>
      </c>
      <c r="B12561" s="417" t="s">
        <v>2074</v>
      </c>
      <c r="C12561" s="422" t="s">
        <v>2075</v>
      </c>
      <c r="D12561" s="626"/>
      <c r="E12561" s="626"/>
      <c r="F12561" s="415">
        <v>2</v>
      </c>
      <c r="G12561" s="619" t="s">
        <v>1856</v>
      </c>
      <c r="H12561" s="416"/>
    </row>
    <row r="12562" spans="1:12" ht="15.75" customHeight="1" x14ac:dyDescent="0.25">
      <c r="A12562" s="412">
        <v>31</v>
      </c>
      <c r="B12562" s="417" t="s">
        <v>2076</v>
      </c>
      <c r="C12562" s="422" t="s">
        <v>2077</v>
      </c>
      <c r="D12562" s="592">
        <v>6</v>
      </c>
      <c r="E12562" s="592">
        <v>10</v>
      </c>
      <c r="F12562" s="415">
        <v>58</v>
      </c>
      <c r="G12562" s="415">
        <v>1</v>
      </c>
      <c r="H12562" s="416">
        <f>+G12562*F12562</f>
      </c>
    </row>
    <row r="12563" spans="1:12" ht="15.75" customHeight="1" x14ac:dyDescent="0.25">
      <c r="A12563" s="412">
        <v>32</v>
      </c>
      <c r="B12563" s="417" t="s">
        <v>2076</v>
      </c>
      <c r="C12563" s="422" t="s">
        <v>2077</v>
      </c>
      <c r="D12563" s="626"/>
      <c r="E12563" s="626"/>
      <c r="F12563" s="415">
        <v>2</v>
      </c>
      <c r="G12563" s="619" t="s">
        <v>1856</v>
      </c>
      <c r="H12563" s="416"/>
    </row>
    <row r="12564" spans="1:12" ht="15.75" customHeight="1" x14ac:dyDescent="0.25">
      <c r="A12564" s="412"/>
      <c r="B12564" s="883" t="s">
        <v>2082</v>
      </c>
      <c r="C12564" s="883"/>
      <c r="D12564" s="588"/>
      <c r="E12564" s="588"/>
      <c r="F12564" s="415"/>
      <c r="G12564" s="415"/>
      <c r="H12564" s="416"/>
      <c r="I12564" s="2">
        <v>310</v>
      </c>
      <c r="J12564" s="2">
        <f t="shared" ref="J12564:J12565" si="471">+I12564/20</f>
      </c>
      <c r="K12564" s="2">
        <f t="shared" ref="K12564:K12565" si="472">+I12564-J12564</f>
      </c>
      <c r="L12564" s="2">
        <f>+I12564/10</f>
      </c>
    </row>
    <row r="12565" spans="1:12" ht="15.75" customHeight="1" x14ac:dyDescent="0.25">
      <c r="A12565" s="420">
        <v>33</v>
      </c>
      <c r="B12565" s="417" t="s">
        <v>2095</v>
      </c>
      <c r="C12565" s="627" t="s">
        <v>2096</v>
      </c>
      <c r="D12565" s="588">
        <v>31</v>
      </c>
      <c r="E12565" s="588">
        <v>10</v>
      </c>
      <c r="F12565" s="415">
        <v>294.5</v>
      </c>
      <c r="G12565" s="415">
        <v>1</v>
      </c>
      <c r="H12565" s="416">
        <f>+G12565*F12565</f>
      </c>
      <c r="I12565" s="2">
        <v>150</v>
      </c>
      <c r="J12565" s="2">
        <f t="shared" si="471"/>
      </c>
      <c r="K12565" s="2">
        <f t="shared" si="472"/>
      </c>
    </row>
    <row r="12566" spans="1:12" ht="15.75" customHeight="1" x14ac:dyDescent="0.25">
      <c r="A12566" s="420">
        <v>34</v>
      </c>
      <c r="B12566" s="417" t="s">
        <v>2095</v>
      </c>
      <c r="C12566" s="627" t="s">
        <v>2096</v>
      </c>
      <c r="D12566" s="588"/>
      <c r="E12566" s="588"/>
      <c r="F12566" s="415">
        <v>15.5</v>
      </c>
      <c r="G12566" s="619" t="s">
        <v>1856</v>
      </c>
      <c r="H12566" s="416"/>
    </row>
    <row r="12567" spans="1:12" ht="15.75" customHeight="1" x14ac:dyDescent="0.25">
      <c r="A12567" s="420">
        <v>35</v>
      </c>
      <c r="B12567" s="417" t="s">
        <v>2097</v>
      </c>
      <c r="C12567" s="627" t="s">
        <v>2098</v>
      </c>
      <c r="D12567" s="588">
        <v>15</v>
      </c>
      <c r="E12567" s="588">
        <v>10</v>
      </c>
      <c r="F12567" s="415">
        <v>142.5</v>
      </c>
      <c r="G12567" s="415">
        <v>1</v>
      </c>
      <c r="H12567" s="416">
        <f>+G12567*F12567</f>
      </c>
    </row>
    <row r="12568" spans="1:12" ht="15.75" customHeight="1" x14ac:dyDescent="0.25">
      <c r="A12568" s="1050">
        <v>36</v>
      </c>
      <c r="B12568" s="417" t="s">
        <v>2097</v>
      </c>
      <c r="C12568" s="627" t="s">
        <v>2098</v>
      </c>
      <c r="D12568" s="588"/>
      <c r="E12568" s="588"/>
      <c r="F12568" s="415">
        <v>7.5</v>
      </c>
      <c r="G12568" s="619" t="s">
        <v>1856</v>
      </c>
      <c r="H12568" s="416"/>
    </row>
    <row r="12569" spans="1:12" ht="15.75" customHeight="1" x14ac:dyDescent="0.25">
      <c r="A12569" s="1050"/>
      <c r="B12569" s="417"/>
      <c r="C12569" s="627"/>
      <c r="D12569" s="588"/>
      <c r="E12569" s="588"/>
      <c r="F12569" s="415"/>
      <c r="G12569" s="415"/>
      <c r="H12569" s="416"/>
    </row>
    <row r="12570" spans="1:12" ht="15.75" customHeight="1" x14ac:dyDescent="0.25">
      <c r="A12570" s="1050"/>
      <c r="B12570" s="417"/>
      <c r="C12570" s="627"/>
      <c r="D12570" s="588"/>
      <c r="E12570" s="588"/>
      <c r="F12570" s="415"/>
      <c r="G12570" s="415"/>
      <c r="H12570" s="416"/>
    </row>
    <row r="12571" spans="1:12" ht="15.75" customHeight="1" x14ac:dyDescent="0.25">
      <c r="A12571" s="412"/>
      <c r="B12571" s="980"/>
      <c r="C12571" s="627"/>
      <c r="D12571" s="588"/>
      <c r="E12571" s="588"/>
      <c r="F12571" s="415"/>
      <c r="G12571" s="415"/>
      <c r="H12571" s="416"/>
    </row>
    <row r="12572" spans="1:12" ht="15.75" customHeight="1" x14ac:dyDescent="0.25">
      <c r="A12572" s="894"/>
      <c r="B12572" s="878"/>
      <c r="C12572" s="895"/>
      <c r="D12572" s="593"/>
      <c r="E12572" s="593"/>
      <c r="F12572" s="593"/>
      <c r="G12572" s="593"/>
      <c r="H12572" s="931"/>
    </row>
    <row r="12573" spans="1:12" ht="15.75" customHeight="1" x14ac:dyDescent="0.25">
      <c r="A12573" s="877"/>
      <c r="B12573" s="688"/>
      <c r="C12573" s="896" t="s">
        <v>85</v>
      </c>
      <c r="D12573" s="599">
        <f>+D12572+D12571+D12570+D12569+D12567+D12565+D12564+D12562+D12560+D12559+D12558+D12543</f>
      </c>
      <c r="E12573" s="401"/>
      <c r="F12573" s="599"/>
      <c r="G12573" s="661"/>
      <c r="H12573" s="438">
        <f>+H12572+H12571+H12570+H12569+H12568+H12567+H12566+H12565+H12564+H12563+H12562+H12561+H12560+H12559+H12558+H12543</f>
      </c>
    </row>
    <row r="12574" spans="1:12" ht="15.75" customHeight="1" x14ac:dyDescent="0.25">
      <c r="A12574" s="932"/>
      <c r="B12574" s="933"/>
      <c r="C12574" s="934"/>
      <c r="D12574" s="431"/>
      <c r="E12574" s="935"/>
      <c r="F12574" s="935"/>
      <c r="G12574" s="936"/>
      <c r="H12574" s="444"/>
    </row>
    <row r="12575" spans="1:12" ht="15.75" customHeight="1" x14ac:dyDescent="0.25">
      <c r="A12575" s="994" t="s">
        <v>913</v>
      </c>
      <c r="B12575" s="391"/>
      <c r="C12575" s="391"/>
      <c r="D12575" s="391"/>
      <c r="E12575" s="390"/>
      <c r="F12575" s="392"/>
      <c r="G12575" s="390"/>
      <c r="H12575" s="394"/>
    </row>
    <row r="12576" spans="1:12" ht="15.75" customHeight="1" x14ac:dyDescent="0.25">
      <c r="A12576" s="445"/>
      <c r="B12576" s="445"/>
      <c r="C12576" s="445"/>
      <c r="D12576" s="446" t="s">
        <v>97</v>
      </c>
      <c r="E12576" s="445" t="s">
        <v>98</v>
      </c>
      <c r="F12576" s="445"/>
      <c r="G12576" s="390"/>
      <c r="H12576" s="394"/>
    </row>
    <row r="12577" spans="1:8" ht="15.75" customHeight="1" x14ac:dyDescent="0.25">
      <c r="A12577" s="390"/>
      <c r="B12577" s="390"/>
      <c r="C12577" s="390"/>
      <c r="D12577" s="391"/>
      <c r="E12577" s="390"/>
      <c r="F12577" s="390"/>
      <c r="G12577" s="390"/>
      <c r="H12577" s="394"/>
    </row>
    <row r="12578" spans="1:8" ht="15.75" customHeight="1" x14ac:dyDescent="0.25">
      <c r="A12578" s="390"/>
      <c r="B12578" s="390"/>
      <c r="C12578" s="390"/>
      <c r="D12578" s="391"/>
      <c r="E12578" s="390"/>
      <c r="F12578" s="390"/>
      <c r="G12578" s="390"/>
      <c r="H12578" s="394"/>
    </row>
    <row r="12579" spans="1:8" ht="15.75" customHeight="1" x14ac:dyDescent="0.25">
      <c r="A12579" s="445"/>
      <c r="B12579" s="445"/>
      <c r="C12579" s="445"/>
      <c r="D12579" s="446"/>
      <c r="E12579" s="445" t="s">
        <v>99</v>
      </c>
      <c r="F12579" s="445"/>
      <c r="G12579" s="390"/>
      <c r="H12579" s="394"/>
    </row>
    <row r="12580" spans="1:8" ht="15.75" customHeight="1" x14ac:dyDescent="0.25">
      <c r="D12580" s="4"/>
      <c r="H12580" s="4"/>
    </row>
    <row r="12581" spans="1:8" ht="15.75" customHeight="1" x14ac:dyDescent="0.25">
      <c r="D12581" s="4"/>
      <c r="H12581" s="4"/>
    </row>
    <row r="12582" spans="1:8" ht="15.75" customHeight="1" x14ac:dyDescent="0.25">
      <c r="D12582" s="4"/>
      <c r="H12582" s="4"/>
    </row>
    <row r="12583" spans="1:8" ht="15.75" customHeight="1" x14ac:dyDescent="0.25">
      <c r="D12583" s="4"/>
      <c r="H12583" s="4"/>
    </row>
    <row r="12584" spans="1:8" ht="15.75" customHeight="1" x14ac:dyDescent="0.25">
      <c r="D12584" s="4"/>
      <c r="H12584" s="4"/>
    </row>
    <row r="12585" spans="1:8" ht="15.75" customHeight="1" x14ac:dyDescent="0.25">
      <c r="D12585" s="4"/>
      <c r="H12585" s="4"/>
    </row>
    <row r="12586" spans="1:8" ht="15.75" customHeight="1" x14ac:dyDescent="0.25">
      <c r="D12586" s="4"/>
      <c r="H12586" s="4"/>
    </row>
    <row r="12587" spans="1:8" ht="15.75" customHeight="1" x14ac:dyDescent="0.25">
      <c r="D12587" s="4"/>
      <c r="H12587" s="4"/>
    </row>
    <row r="12588" spans="1:8" ht="15.75" customHeight="1" x14ac:dyDescent="0.25">
      <c r="D12588" s="4"/>
      <c r="H12588" s="4"/>
    </row>
    <row r="12589" spans="1:8" ht="15.75" customHeight="1" x14ac:dyDescent="0.25">
      <c r="D12589" s="4"/>
      <c r="H12589" s="4"/>
    </row>
    <row r="12590" spans="1:8" ht="15.75" customHeight="1" x14ac:dyDescent="0.25">
      <c r="D12590" s="4"/>
      <c r="H12590" s="4"/>
    </row>
    <row r="12591" spans="1:8" ht="15.75" customHeight="1" x14ac:dyDescent="0.25">
      <c r="D12591" s="4"/>
      <c r="H12591" s="4"/>
    </row>
    <row r="12592" spans="1:8" ht="15.75" customHeight="1" x14ac:dyDescent="0.25">
      <c r="A12592" s="8" t="s">
        <v>14</v>
      </c>
      <c r="B12592" s="8"/>
      <c r="C12592" s="8"/>
      <c r="D12592" s="8"/>
      <c r="E12592" s="8"/>
      <c r="F12592" s="8"/>
      <c r="G12592" s="8"/>
      <c r="H12592" s="8"/>
    </row>
    <row r="12593" spans="1:8" ht="15.75" customHeight="1" x14ac:dyDescent="0.25">
      <c r="A12593" s="388"/>
      <c r="B12593" s="388"/>
      <c r="C12593" s="388"/>
      <c r="D12593" s="389"/>
      <c r="E12593" s="388"/>
      <c r="F12593" s="388"/>
      <c r="G12593" s="388"/>
      <c r="H12593" s="8"/>
    </row>
    <row r="12594" spans="1:8" ht="15.75" customHeight="1" x14ac:dyDescent="0.25">
      <c r="A12594" s="390"/>
      <c r="B12594" s="390"/>
      <c r="C12594" s="390"/>
      <c r="D12594" s="391"/>
      <c r="E12594" s="390"/>
      <c r="F12594" s="395" t="s">
        <v>18</v>
      </c>
      <c r="G12594" s="396" t="s">
        <v>1128</v>
      </c>
      <c r="H12594" s="397"/>
    </row>
    <row r="12595" spans="1:8" ht="15.75" customHeight="1" x14ac:dyDescent="0.25">
      <c r="A12595" s="390" t="s">
        <v>20</v>
      </c>
      <c r="B12595" s="390"/>
      <c r="D12595" s="391"/>
      <c r="E12595" s="390"/>
      <c r="F12595" s="395" t="s">
        <v>21</v>
      </c>
      <c r="G12595" s="390" t="s">
        <v>2099</v>
      </c>
      <c r="H12595" s="391"/>
    </row>
    <row r="12596" spans="1:8" ht="15.75" customHeight="1" x14ac:dyDescent="0.25">
      <c r="A12596" s="390" t="inlineStr">
        <is>
          <t>Dealer-004</t>
        </is>
      </c>
      <c r="B12596" s="390"/>
      <c r="C12596" s="390" t="inlineStr">
        <is>
          <t>ATTN: Contact-004</t>
        </is>
      </c>
      <c r="D12596" s="398"/>
      <c r="E12596" s="390"/>
      <c r="F12596" s="391"/>
      <c r="G12596" s="390"/>
      <c r="H12596" s="394"/>
    </row>
    <row r="12597" spans="1:8" ht="15.75" customHeight="1" x14ac:dyDescent="0.25">
      <c r="A12597" s="390" t="inlineStr">
        <is>
          <t>Address line (redacted)</t>
        </is>
      </c>
      <c r="B12597" s="390"/>
      <c r="C12597" s="390"/>
      <c r="D12597" s="398"/>
      <c r="E12597" s="398"/>
      <c r="F12597" s="398"/>
      <c r="G12597" s="398"/>
      <c r="H12597" s="394"/>
    </row>
    <row r="12598" spans="1:8" ht="15.75" customHeight="1" x14ac:dyDescent="0.25">
      <c r="A12598" s="390" t="inlineStr">
        <is>
          <t>Address line (redacted)</t>
        </is>
      </c>
      <c r="B12598" s="390"/>
      <c r="C12598" s="390"/>
      <c r="D12598" s="391"/>
      <c r="E12598" s="390"/>
      <c r="F12598" s="391"/>
      <c r="G12598" s="390"/>
      <c r="H12598" s="394"/>
    </row>
    <row r="12599" spans="1:8" ht="15.75" customHeight="1" x14ac:dyDescent="0.25">
      <c r="A12599" s="390"/>
      <c r="B12599" s="390"/>
      <c r="C12599" s="390"/>
      <c r="D12599" s="391"/>
      <c r="E12599" s="390"/>
      <c r="F12599" s="391"/>
      <c r="G12599" s="390"/>
      <c r="H12599" s="394"/>
    </row>
    <row r="12600" spans="1:8" ht="15.75" customHeight="1" x14ac:dyDescent="0.25">
      <c r="A12600" s="390" t="s">
        <v>30</v>
      </c>
      <c r="B12600" s="390"/>
      <c r="C12600" s="390"/>
      <c r="D12600" s="391"/>
      <c r="E12600" s="390"/>
      <c r="F12600" s="391"/>
      <c r="G12600" s="390"/>
      <c r="H12600" s="394"/>
    </row>
    <row r="12601" spans="1:8" ht="15.75" customHeight="1" x14ac:dyDescent="0.25">
      <c r="A12601" s="390" t="s">
        <v>716</v>
      </c>
      <c r="B12601" s="390"/>
      <c r="C12601" s="390"/>
      <c r="D12601" s="391"/>
      <c r="E12601" s="390"/>
      <c r="F12601" s="391"/>
      <c r="G12601" s="390"/>
      <c r="H12601" s="394"/>
    </row>
    <row r="12602" spans="1:8" ht="15.75" customHeight="1" x14ac:dyDescent="0.25">
      <c r="A12602" s="390" t="s">
        <v>717</v>
      </c>
      <c r="B12602" s="390"/>
      <c r="C12602" s="390"/>
      <c r="D12602" s="391"/>
      <c r="E12602" s="390"/>
      <c r="F12602" s="391"/>
      <c r="G12602" s="390"/>
      <c r="H12602" s="394"/>
    </row>
    <row r="12603" spans="1:8" ht="15.75" customHeight="1" x14ac:dyDescent="0.25">
      <c r="A12603" s="390"/>
      <c r="B12603" s="390"/>
      <c r="C12603" s="390"/>
      <c r="D12603" s="391"/>
      <c r="E12603" s="390"/>
      <c r="F12603" s="391"/>
      <c r="G12603" s="390"/>
      <c r="H12603" s="394"/>
    </row>
    <row r="12604" spans="1:8" ht="15.75" customHeight="1" x14ac:dyDescent="0.25">
      <c r="A12604" s="948" t="s">
        <v>33</v>
      </c>
      <c r="B12604" s="949" t="s">
        <v>6</v>
      </c>
      <c r="C12604" s="950"/>
      <c r="D12604" s="874" t="s">
        <v>37</v>
      </c>
      <c r="E12604" s="874" t="s">
        <v>38</v>
      </c>
      <c r="F12604" s="875" t="s">
        <v>7</v>
      </c>
      <c r="G12604" s="872" t="s">
        <v>43</v>
      </c>
      <c r="H12604" s="876" t="s">
        <v>44</v>
      </c>
    </row>
    <row r="12605" spans="1:8" ht="15.75" customHeight="1" x14ac:dyDescent="0.25">
      <c r="A12605" s="412"/>
      <c r="B12605" s="417"/>
      <c r="C12605" s="627"/>
      <c r="D12605" s="588"/>
      <c r="E12605" s="588"/>
      <c r="F12605" s="415"/>
      <c r="G12605" s="415"/>
      <c r="H12605" s="416"/>
    </row>
    <row r="12606" spans="1:8" ht="15.75" customHeight="1" x14ac:dyDescent="0.25">
      <c r="A12606" s="412"/>
      <c r="B12606" s="883" t="s">
        <v>1959</v>
      </c>
      <c r="C12606" s="883"/>
      <c r="D12606" s="588"/>
      <c r="E12606" s="588"/>
      <c r="F12606" s="415"/>
      <c r="G12606" s="415"/>
      <c r="H12606" s="416"/>
    </row>
    <row r="12607" spans="1:8" ht="15.75" customHeight="1" x14ac:dyDescent="0.25">
      <c r="A12607" s="412">
        <v>1</v>
      </c>
      <c r="B12607" s="417" t="s">
        <v>3</v>
      </c>
      <c r="C12607" s="422"/>
      <c r="D12607" s="588">
        <v>1</v>
      </c>
      <c r="E12607" s="588">
        <v>101</v>
      </c>
      <c r="F12607" s="415">
        <f>+E12607*D12607</f>
      </c>
      <c r="G12607" s="415">
        <v>1</v>
      </c>
      <c r="H12607" s="416">
        <f>+G12607*F12607</f>
      </c>
    </row>
    <row r="12608" spans="1:8" ht="15.75" customHeight="1" x14ac:dyDescent="0.25">
      <c r="A12608" s="1050"/>
      <c r="B12608" s="417"/>
      <c r="C12608" s="422"/>
      <c r="D12608" s="588"/>
      <c r="E12608" s="588"/>
      <c r="F12608" s="415"/>
      <c r="G12608" s="415"/>
      <c r="H12608" s="416"/>
    </row>
    <row r="12609" spans="1:8" ht="15.75" customHeight="1" x14ac:dyDescent="0.25">
      <c r="A12609" s="1050"/>
      <c r="B12609" s="417"/>
      <c r="C12609" s="422"/>
      <c r="D12609" s="588"/>
      <c r="E12609" s="588"/>
      <c r="F12609" s="415"/>
      <c r="G12609" s="415"/>
      <c r="H12609" s="416"/>
    </row>
    <row r="12610" spans="1:8" ht="15.75" customHeight="1" x14ac:dyDescent="0.25">
      <c r="A12610" s="1050"/>
      <c r="B12610" s="417"/>
      <c r="C12610" s="422"/>
      <c r="D12610" s="588"/>
      <c r="E12610" s="588"/>
      <c r="F12610" s="415"/>
      <c r="G12610" s="415"/>
      <c r="H12610" s="416"/>
    </row>
    <row r="12611" spans="1:8" ht="15.75" customHeight="1" x14ac:dyDescent="0.25">
      <c r="A12611" s="1050"/>
      <c r="B12611" s="417"/>
      <c r="C12611" s="422"/>
      <c r="D12611" s="588"/>
      <c r="E12611" s="588"/>
      <c r="F12611" s="415"/>
      <c r="G12611" s="415"/>
      <c r="H12611" s="416"/>
    </row>
    <row r="12612" spans="1:8" ht="15.75" customHeight="1" x14ac:dyDescent="0.25">
      <c r="A12612" s="1050"/>
      <c r="B12612" s="417"/>
      <c r="C12612" s="627"/>
      <c r="D12612" s="588"/>
      <c r="E12612" s="588"/>
      <c r="F12612" s="415"/>
      <c r="G12612" s="415"/>
      <c r="H12612" s="416"/>
    </row>
    <row r="12613" spans="1:8" ht="15.75" customHeight="1" x14ac:dyDescent="0.25">
      <c r="A12613" s="1050"/>
      <c r="B12613" s="417"/>
      <c r="C12613" s="627"/>
      <c r="D12613" s="588"/>
      <c r="E12613" s="588"/>
      <c r="F12613" s="415"/>
      <c r="G12613" s="415"/>
      <c r="H12613" s="416"/>
    </row>
    <row r="12614" spans="1:8" ht="15.75" customHeight="1" x14ac:dyDescent="0.25">
      <c r="A12614" s="412"/>
      <c r="B12614" s="980"/>
      <c r="C12614" s="627"/>
      <c r="D12614" s="588"/>
      <c r="E12614" s="588"/>
      <c r="F12614" s="415"/>
      <c r="G12614" s="415"/>
      <c r="H12614" s="416"/>
    </row>
    <row r="12615" spans="1:8" ht="15.75" customHeight="1" x14ac:dyDescent="0.25">
      <c r="A12615" s="894"/>
      <c r="B12615" s="878"/>
      <c r="C12615" s="895"/>
      <c r="D12615" s="593"/>
      <c r="E12615" s="593"/>
      <c r="F12615" s="593"/>
      <c r="G12615" s="593"/>
      <c r="H12615" s="931"/>
    </row>
    <row r="12616" spans="1:8" ht="15.75" customHeight="1" x14ac:dyDescent="0.25">
      <c r="A12616" s="877"/>
      <c r="B12616" s="688"/>
      <c r="C12616" s="896" t="s">
        <v>85</v>
      </c>
      <c r="D12616" s="599">
        <f>SUM(D12607:D12615)</f>
      </c>
      <c r="E12616" s="401"/>
      <c r="F12616" s="599">
        <f>SUM(F12606:F12615)</f>
      </c>
      <c r="G12616" s="661"/>
      <c r="H12616" s="438">
        <f>SUM(H12607:H12615)</f>
      </c>
    </row>
    <row r="12617" spans="1:8" ht="15.75" customHeight="1" x14ac:dyDescent="0.25">
      <c r="A12617" s="932"/>
      <c r="B12617" s="933"/>
      <c r="C12617" s="934"/>
      <c r="D12617" s="431"/>
      <c r="E12617" s="935"/>
      <c r="F12617" s="935"/>
      <c r="G12617" s="936"/>
      <c r="H12617" s="444"/>
    </row>
    <row r="12618" spans="1:8" ht="15.75" customHeight="1" x14ac:dyDescent="0.25">
      <c r="A12618" s="994" t="s">
        <v>913</v>
      </c>
      <c r="B12618" s="391"/>
      <c r="C12618" s="391"/>
      <c r="D12618" s="391"/>
      <c r="E12618" s="390"/>
      <c r="F12618" s="392"/>
      <c r="G12618" s="390"/>
      <c r="H12618" s="394"/>
    </row>
    <row r="12619" spans="1:8" ht="15.75" customHeight="1" x14ac:dyDescent="0.25">
      <c r="A12619" s="445"/>
      <c r="B12619" s="445"/>
      <c r="C12619" s="445"/>
      <c r="D12619" s="446" t="s">
        <v>97</v>
      </c>
      <c r="E12619" s="445" t="s">
        <v>98</v>
      </c>
      <c r="F12619" s="445"/>
      <c r="G12619" s="390"/>
      <c r="H12619" s="394"/>
    </row>
    <row r="12620" spans="1:8" ht="15.75" customHeight="1" x14ac:dyDescent="0.25">
      <c r="A12620" s="390"/>
      <c r="B12620" s="390"/>
      <c r="C12620" s="390"/>
      <c r="D12620" s="391"/>
      <c r="E12620" s="390"/>
      <c r="F12620" s="390"/>
      <c r="G12620" s="390"/>
      <c r="H12620" s="394"/>
    </row>
    <row r="12621" spans="1:8" ht="15.75" customHeight="1" x14ac:dyDescent="0.25">
      <c r="A12621" s="390"/>
      <c r="B12621" s="390"/>
      <c r="C12621" s="390"/>
      <c r="D12621" s="391"/>
      <c r="E12621" s="390"/>
      <c r="F12621" s="390"/>
      <c r="G12621" s="390"/>
      <c r="H12621" s="394"/>
    </row>
    <row r="12622" spans="1:8" ht="15.75" customHeight="1" x14ac:dyDescent="0.25">
      <c r="A12622" s="445"/>
      <c r="B12622" s="445"/>
      <c r="C12622" s="445"/>
      <c r="D12622" s="446"/>
      <c r="E12622" s="445" t="s">
        <v>99</v>
      </c>
      <c r="F12622" s="445"/>
      <c r="G12622" s="390"/>
      <c r="H12622" s="394"/>
    </row>
    <row r="12623" spans="1:8" ht="15.75" customHeight="1" x14ac:dyDescent="0.25">
      <c r="D12623" s="4"/>
      <c r="H12623" s="4"/>
    </row>
    <row r="12624" spans="1:8" ht="15.75" customHeight="1" x14ac:dyDescent="0.25">
      <c r="D12624" s="4"/>
      <c r="H12624" s="4"/>
    </row>
    <row r="12625" spans="1:8" ht="15.75" customHeight="1" x14ac:dyDescent="0.25">
      <c r="D12625" s="4"/>
      <c r="H12625" s="4"/>
    </row>
    <row r="12626" spans="1:8" ht="15.75" customHeight="1" x14ac:dyDescent="0.25">
      <c r="D12626" s="4"/>
      <c r="H12626" s="4"/>
    </row>
    <row r="12627" spans="1:8" ht="15.75" customHeight="1" x14ac:dyDescent="0.25">
      <c r="D12627" s="4"/>
      <c r="H12627" s="4"/>
    </row>
    <row r="12628" spans="1:8" ht="15.75" customHeight="1" x14ac:dyDescent="0.25">
      <c r="D12628" s="4"/>
      <c r="H12628" s="4"/>
    </row>
    <row r="12629" spans="1:8" ht="15.75" customHeight="1" x14ac:dyDescent="0.25">
      <c r="D12629" s="4"/>
      <c r="H12629" s="4"/>
    </row>
    <row r="12630" spans="1:8" ht="15.75" customHeight="1" x14ac:dyDescent="0.25">
      <c r="D12630" s="4"/>
      <c r="H12630" s="4"/>
    </row>
    <row r="12631" spans="1:8" ht="15.75" customHeight="1" x14ac:dyDescent="0.25">
      <c r="D12631" s="4"/>
      <c r="H12631" s="4"/>
    </row>
    <row r="12632" spans="1:8" ht="15.75" customHeight="1" x14ac:dyDescent="0.25">
      <c r="D12632" s="4"/>
      <c r="H12632" s="4"/>
    </row>
    <row r="12633" spans="1:8" ht="15.75" customHeight="1" x14ac:dyDescent="0.25">
      <c r="D12633" s="4"/>
      <c r="H12633" s="4"/>
    </row>
    <row r="12634" spans="1:8" ht="15.75" customHeight="1" x14ac:dyDescent="0.25">
      <c r="D12634" s="4"/>
      <c r="H12634" s="4"/>
    </row>
    <row r="12635" spans="1:8" ht="15.75" customHeight="1" x14ac:dyDescent="0.25">
      <c r="D12635" s="4"/>
      <c r="H12635" s="4"/>
    </row>
    <row r="12636" spans="1:8" ht="15.75" customHeight="1" x14ac:dyDescent="0.25">
      <c r="D12636" s="4"/>
      <c r="H12636" s="4"/>
    </row>
    <row r="12637" spans="1:8" ht="15.75" customHeight="1" x14ac:dyDescent="0.25">
      <c r="D12637" s="4"/>
      <c r="H12637" s="4"/>
    </row>
    <row r="12638" spans="1:8" ht="15.75" customHeight="1" x14ac:dyDescent="0.25">
      <c r="A12638" s="8" t="s">
        <v>14</v>
      </c>
      <c r="B12638" s="8"/>
      <c r="C12638" s="8"/>
      <c r="D12638" s="8"/>
      <c r="E12638" s="8"/>
      <c r="F12638" s="8"/>
      <c r="G12638" s="8"/>
      <c r="H12638" s="8"/>
    </row>
    <row r="12639" spans="1:8" ht="15.75" customHeight="1" x14ac:dyDescent="0.25">
      <c r="A12639" s="388"/>
      <c r="B12639" s="388"/>
      <c r="C12639" s="388"/>
      <c r="D12639" s="389"/>
      <c r="E12639" s="388"/>
      <c r="F12639" s="388"/>
      <c r="G12639" s="388"/>
      <c r="H12639" s="8"/>
    </row>
    <row r="12640" spans="1:8" ht="15.75" customHeight="1" x14ac:dyDescent="0.25">
      <c r="A12640" s="390"/>
      <c r="B12640" s="390"/>
      <c r="C12640" s="390"/>
      <c r="D12640" s="391"/>
      <c r="E12640" s="390"/>
      <c r="F12640" s="395" t="s">
        <v>18</v>
      </c>
      <c r="G12640" s="396" t="s">
        <v>1125</v>
      </c>
      <c r="H12640" s="397"/>
    </row>
    <row r="12641" spans="1:8" ht="15.75" customHeight="1" x14ac:dyDescent="0.25">
      <c r="A12641" s="390" t="s">
        <v>20</v>
      </c>
      <c r="B12641" s="390"/>
      <c r="D12641" s="391"/>
      <c r="E12641" s="390"/>
      <c r="F12641" s="395" t="s">
        <v>21</v>
      </c>
      <c r="G12641" s="390" t="s">
        <v>1899</v>
      </c>
      <c r="H12641" s="391"/>
    </row>
    <row r="12642" spans="1:8" ht="15.75" customHeight="1" x14ac:dyDescent="0.25">
      <c r="A12642" s="390" t="inlineStr">
        <is>
          <t>Dealer-009</t>
        </is>
      </c>
      <c r="B12642" s="390"/>
      <c r="C12642" s="390" t="inlineStr">
        <is>
          <t>ATTN: Contact-001</t>
        </is>
      </c>
      <c r="D12642" s="398"/>
      <c r="E12642" s="390"/>
      <c r="F12642" s="391"/>
      <c r="G12642" s="390"/>
      <c r="H12642" s="394"/>
    </row>
    <row r="12643" spans="1:8" ht="15.75" customHeight="1" x14ac:dyDescent="0.25">
      <c r="A12643" s="390" t="inlineStr">
        <is>
          <t>Address line (redacted)</t>
        </is>
      </c>
      <c r="B12643" s="390"/>
      <c r="C12643" s="390"/>
      <c r="D12643" s="398"/>
      <c r="E12643" s="390"/>
      <c r="F12643" s="391"/>
      <c r="G12643" s="390"/>
      <c r="H12643" s="394"/>
    </row>
    <row r="12644" spans="1:8" ht="15.75" customHeight="1" x14ac:dyDescent="0.25">
      <c r="A12644" s="390" t="inlineStr">
        <is>
          <t>Address line (redacted)</t>
        </is>
      </c>
      <c r="B12644" s="390"/>
      <c r="C12644" s="390"/>
      <c r="D12644" s="391"/>
      <c r="E12644" s="390"/>
      <c r="F12644" s="391"/>
      <c r="G12644" s="390"/>
      <c r="H12644" s="394"/>
    </row>
    <row r="12645" spans="1:8" ht="15.75" customHeight="1" x14ac:dyDescent="0.25">
      <c r="A12645" s="390"/>
      <c r="B12645" s="390"/>
      <c r="C12645" s="390"/>
      <c r="D12645" s="391"/>
      <c r="E12645" s="390"/>
      <c r="F12645" s="391"/>
      <c r="G12645" s="390"/>
      <c r="H12645" s="394"/>
    </row>
    <row r="12646" spans="1:8" ht="15.75" customHeight="1" x14ac:dyDescent="0.25">
      <c r="A12646" s="390" t="s">
        <v>30</v>
      </c>
      <c r="B12646" s="390"/>
      <c r="C12646" s="390"/>
      <c r="D12646" s="391"/>
      <c r="E12646" s="390"/>
      <c r="F12646" s="391"/>
      <c r="G12646" s="390"/>
      <c r="H12646" s="394"/>
    </row>
    <row r="12647" spans="1:8" ht="15.75" customHeight="1" x14ac:dyDescent="0.25">
      <c r="A12647" s="390"/>
      <c r="B12647" s="390"/>
      <c r="C12647" s="390"/>
      <c r="D12647" s="391"/>
      <c r="E12647" s="390"/>
      <c r="F12647" s="391"/>
      <c r="G12647" s="390"/>
      <c r="H12647" s="394"/>
    </row>
    <row r="12648" spans="1:8" ht="15.75" customHeight="1" x14ac:dyDescent="0.25">
      <c r="A12648" s="390" t="s">
        <v>716</v>
      </c>
      <c r="B12648" s="390"/>
      <c r="C12648" s="390"/>
      <c r="D12648" s="391"/>
      <c r="E12648" s="390"/>
      <c r="F12648" s="391"/>
      <c r="G12648" s="390"/>
      <c r="H12648" s="394"/>
    </row>
    <row r="12649" spans="1:8" ht="15.75" customHeight="1" x14ac:dyDescent="0.25">
      <c r="A12649" s="390" t="s">
        <v>717</v>
      </c>
      <c r="B12649" s="390"/>
      <c r="C12649" s="390"/>
      <c r="D12649" s="391"/>
      <c r="E12649" s="390"/>
      <c r="F12649" s="391"/>
      <c r="G12649" s="390"/>
      <c r="H12649" s="394"/>
    </row>
    <row r="12650" spans="1:8" ht="15.75" customHeight="1" x14ac:dyDescent="0.25">
      <c r="A12650" s="390"/>
      <c r="B12650" s="390"/>
      <c r="C12650" s="390"/>
      <c r="D12650" s="391"/>
      <c r="E12650" s="390"/>
      <c r="F12650" s="391"/>
      <c r="G12650" s="390"/>
      <c r="H12650" s="394"/>
    </row>
    <row r="12651" spans="1:8" ht="15.75" customHeight="1" x14ac:dyDescent="0.25">
      <c r="A12651" s="948" t="s">
        <v>33</v>
      </c>
      <c r="B12651" s="949" t="s">
        <v>6</v>
      </c>
      <c r="C12651" s="950"/>
      <c r="D12651" s="874" t="s">
        <v>37</v>
      </c>
      <c r="E12651" s="874" t="s">
        <v>38</v>
      </c>
      <c r="F12651" s="875" t="s">
        <v>7</v>
      </c>
      <c r="G12651" s="872" t="s">
        <v>43</v>
      </c>
      <c r="H12651" s="876" t="s">
        <v>44</v>
      </c>
    </row>
    <row r="12652" spans="1:8" ht="15.75" customHeight="1" x14ac:dyDescent="0.3">
      <c r="A12652" s="412"/>
      <c r="B12652" s="1033"/>
      <c r="C12652" s="1033"/>
      <c r="D12652" s="879"/>
      <c r="E12652" s="879"/>
      <c r="F12652" s="415"/>
      <c r="G12652" s="415"/>
      <c r="H12652" s="416"/>
    </row>
    <row r="12653" spans="1:8" ht="15.75" customHeight="1" x14ac:dyDescent="0.25">
      <c r="A12653" s="412"/>
      <c r="B12653" s="883" t="s">
        <v>2046</v>
      </c>
      <c r="C12653" s="883"/>
      <c r="D12653" s="415"/>
      <c r="E12653" s="415"/>
      <c r="F12653" s="415"/>
      <c r="G12653" s="415"/>
      <c r="H12653" s="416"/>
    </row>
    <row r="12654" spans="1:8" ht="15.75" customHeight="1" x14ac:dyDescent="0.25">
      <c r="A12654" s="412">
        <v>1</v>
      </c>
      <c r="B12654" s="1037" t="s">
        <v>655</v>
      </c>
      <c r="C12654" s="422" t="s">
        <v>94</v>
      </c>
      <c r="D12654" s="415">
        <v>3</v>
      </c>
      <c r="E12654" s="415">
        <v>5</v>
      </c>
      <c r="F12654" s="415">
        <f>+E12654*D12654</f>
      </c>
      <c r="G12654" s="415">
        <v>1</v>
      </c>
      <c r="H12654" s="416">
        <f t="shared" ref="H12654:H12655" si="473">+G12654*F12654</f>
      </c>
    </row>
    <row r="12655" spans="1:8" ht="15.75" customHeight="1" x14ac:dyDescent="0.25">
      <c r="A12655" s="412">
        <v>2</v>
      </c>
      <c r="B12655" s="1037" t="s">
        <v>34</v>
      </c>
      <c r="C12655" s="422" t="s">
        <v>25</v>
      </c>
      <c r="D12655" s="592">
        <v>10</v>
      </c>
      <c r="E12655" s="592">
        <v>5</v>
      </c>
      <c r="F12655" s="415">
        <v>48</v>
      </c>
      <c r="G12655" s="415">
        <v>1</v>
      </c>
      <c r="H12655" s="416">
        <f t="shared" si="473"/>
      </c>
    </row>
    <row r="12656" spans="1:8" ht="15.75" customHeight="1" x14ac:dyDescent="0.25">
      <c r="A12656" s="412">
        <v>3</v>
      </c>
      <c r="B12656" s="1037" t="s">
        <v>34</v>
      </c>
      <c r="C12656" s="422" t="s">
        <v>25</v>
      </c>
      <c r="D12656" s="626"/>
      <c r="E12656" s="626"/>
      <c r="F12656" s="415">
        <v>2</v>
      </c>
      <c r="G12656" s="619" t="s">
        <v>1856</v>
      </c>
      <c r="H12656" s="416"/>
    </row>
    <row r="12657" spans="1:8" ht="15.75" customHeight="1" x14ac:dyDescent="0.25">
      <c r="A12657" s="412">
        <v>4</v>
      </c>
      <c r="B12657" s="1037" t="s">
        <v>1552</v>
      </c>
      <c r="C12657" s="422" t="s">
        <v>330</v>
      </c>
      <c r="D12657" s="592">
        <v>5</v>
      </c>
      <c r="E12657" s="592">
        <v>5</v>
      </c>
      <c r="F12657" s="415">
        <v>24</v>
      </c>
      <c r="G12657" s="415">
        <v>1</v>
      </c>
      <c r="H12657" s="416">
        <f>+G12657*F12657</f>
      </c>
    </row>
    <row r="12658" spans="1:8" ht="15.75" customHeight="1" x14ac:dyDescent="0.25">
      <c r="A12658" s="412">
        <v>5</v>
      </c>
      <c r="B12658" s="1037" t="s">
        <v>1552</v>
      </c>
      <c r="C12658" s="422" t="s">
        <v>330</v>
      </c>
      <c r="D12658" s="626"/>
      <c r="E12658" s="626"/>
      <c r="F12658" s="415">
        <v>1</v>
      </c>
      <c r="G12658" s="619" t="s">
        <v>1856</v>
      </c>
      <c r="H12658" s="416"/>
    </row>
    <row r="12659" spans="1:8" ht="15.75" customHeight="1" x14ac:dyDescent="0.25">
      <c r="A12659" s="412">
        <v>6</v>
      </c>
      <c r="B12659" s="1038" t="s">
        <v>3</v>
      </c>
      <c r="C12659" s="422" t="s">
        <v>4</v>
      </c>
      <c r="D12659" s="588">
        <v>4</v>
      </c>
      <c r="E12659" s="588">
        <v>5</v>
      </c>
      <c r="F12659" s="415">
        <f>+E12659*D12659</f>
      </c>
      <c r="G12659" s="415">
        <v>1</v>
      </c>
      <c r="H12659" s="416">
        <f t="shared" ref="H12659:H12660" si="474">+G12659*F12659</f>
      </c>
    </row>
    <row r="12660" spans="1:8" ht="15.75" customHeight="1" x14ac:dyDescent="0.25">
      <c r="A12660" s="412">
        <v>7</v>
      </c>
      <c r="B12660" s="1038" t="s">
        <v>68</v>
      </c>
      <c r="C12660" s="422" t="s">
        <v>91</v>
      </c>
      <c r="D12660" s="592">
        <v>5</v>
      </c>
      <c r="E12660" s="592">
        <v>5</v>
      </c>
      <c r="F12660" s="415">
        <v>24</v>
      </c>
      <c r="G12660" s="415">
        <v>1</v>
      </c>
      <c r="H12660" s="416">
        <f t="shared" si="474"/>
      </c>
    </row>
    <row r="12661" spans="1:8" ht="15.75" customHeight="1" x14ac:dyDescent="0.25">
      <c r="A12661" s="412">
        <v>8</v>
      </c>
      <c r="B12661" s="1038" t="s">
        <v>68</v>
      </c>
      <c r="C12661" s="422" t="s">
        <v>91</v>
      </c>
      <c r="D12661" s="626"/>
      <c r="E12661" s="626"/>
      <c r="F12661" s="415">
        <v>1</v>
      </c>
      <c r="G12661" s="619" t="s">
        <v>1856</v>
      </c>
      <c r="H12661" s="416"/>
    </row>
    <row r="12662" spans="1:8" ht="15.75" customHeight="1" x14ac:dyDescent="0.25">
      <c r="A12662" s="412">
        <v>9</v>
      </c>
      <c r="B12662" s="1038" t="s">
        <v>127</v>
      </c>
      <c r="C12662" s="422" t="s">
        <v>326</v>
      </c>
      <c r="D12662" s="592">
        <v>5</v>
      </c>
      <c r="E12662" s="592">
        <v>5</v>
      </c>
      <c r="F12662" s="415">
        <v>24</v>
      </c>
      <c r="G12662" s="415">
        <v>1</v>
      </c>
      <c r="H12662" s="416">
        <f>+G12662*F12662</f>
      </c>
    </row>
    <row r="12663" spans="1:8" ht="15.75" customHeight="1" x14ac:dyDescent="0.25">
      <c r="A12663" s="412">
        <v>10</v>
      </c>
      <c r="B12663" s="1038" t="s">
        <v>127</v>
      </c>
      <c r="C12663" s="422" t="s">
        <v>326</v>
      </c>
      <c r="D12663" s="626"/>
      <c r="E12663" s="626"/>
      <c r="F12663" s="415">
        <v>1</v>
      </c>
      <c r="G12663" s="619" t="s">
        <v>1856</v>
      </c>
      <c r="H12663" s="416"/>
    </row>
    <row r="12664" spans="1:8" ht="15.75" customHeight="1" x14ac:dyDescent="0.25">
      <c r="A12664" s="412">
        <v>11</v>
      </c>
      <c r="B12664" s="1038" t="s">
        <v>287</v>
      </c>
      <c r="C12664" s="422" t="s">
        <v>331</v>
      </c>
      <c r="D12664" s="592">
        <v>1</v>
      </c>
      <c r="E12664" s="592">
        <v>5</v>
      </c>
      <c r="F12664" s="415">
        <v>4</v>
      </c>
      <c r="G12664" s="415">
        <v>1</v>
      </c>
      <c r="H12664" s="416">
        <f>+G12664*F12664</f>
      </c>
    </row>
    <row r="12665" spans="1:8" ht="15.75" customHeight="1" x14ac:dyDescent="0.25">
      <c r="A12665" s="412">
        <v>12</v>
      </c>
      <c r="B12665" s="1038" t="s">
        <v>287</v>
      </c>
      <c r="C12665" s="422" t="s">
        <v>331</v>
      </c>
      <c r="D12665" s="626"/>
      <c r="E12665" s="626"/>
      <c r="F12665" s="415">
        <v>1</v>
      </c>
      <c r="G12665" s="415"/>
      <c r="H12665" s="416"/>
    </row>
    <row r="12666" spans="1:8" ht="15.75" customHeight="1" x14ac:dyDescent="0.25">
      <c r="A12666" s="412"/>
      <c r="B12666" s="1051" t="s">
        <v>2329</v>
      </c>
      <c r="C12666" s="422"/>
      <c r="D12666" s="626"/>
      <c r="E12666" s="626"/>
      <c r="F12666" s="415"/>
      <c r="G12666" s="415"/>
      <c r="H12666" s="416"/>
    </row>
    <row r="12667" spans="1:8" ht="15.75" customHeight="1" x14ac:dyDescent="0.25">
      <c r="A12667" s="412"/>
      <c r="B12667" s="1034" t="s">
        <v>2043</v>
      </c>
      <c r="C12667" s="1034"/>
      <c r="D12667" s="415"/>
      <c r="E12667" s="415"/>
      <c r="F12667" s="415"/>
      <c r="G12667" s="415"/>
      <c r="H12667" s="416"/>
    </row>
    <row r="12668" spans="1:8" ht="15.75" customHeight="1" x14ac:dyDescent="0.25">
      <c r="A12668" s="412">
        <v>13</v>
      </c>
      <c r="B12668" s="417" t="s">
        <v>1718</v>
      </c>
      <c r="C12668" s="627" t="s">
        <v>379</v>
      </c>
      <c r="D12668" s="592">
        <v>4</v>
      </c>
      <c r="E12668" s="592">
        <v>6</v>
      </c>
      <c r="F12668" s="415">
        <v>23</v>
      </c>
      <c r="G12668" s="415">
        <v>1</v>
      </c>
      <c r="H12668" s="416">
        <f>+G12668*F12668</f>
      </c>
    </row>
    <row r="12669" spans="1:8" ht="15.75" customHeight="1" x14ac:dyDescent="0.25">
      <c r="A12669" s="412">
        <v>14</v>
      </c>
      <c r="B12669" s="417" t="s">
        <v>1718</v>
      </c>
      <c r="C12669" s="627" t="s">
        <v>379</v>
      </c>
      <c r="D12669" s="626"/>
      <c r="E12669" s="626"/>
      <c r="F12669" s="415">
        <v>1</v>
      </c>
      <c r="G12669" s="619" t="s">
        <v>1856</v>
      </c>
      <c r="H12669" s="416"/>
    </row>
    <row r="12670" spans="1:8" ht="15.75" customHeight="1" x14ac:dyDescent="0.25">
      <c r="A12670" s="412">
        <v>15</v>
      </c>
      <c r="B12670" s="417" t="s">
        <v>136</v>
      </c>
      <c r="C12670" s="627" t="s">
        <v>387</v>
      </c>
      <c r="D12670" s="592">
        <v>4</v>
      </c>
      <c r="E12670" s="592">
        <v>6</v>
      </c>
      <c r="F12670" s="415">
        <v>23</v>
      </c>
      <c r="G12670" s="415">
        <v>1</v>
      </c>
      <c r="H12670" s="416">
        <f>+G12670*F12670</f>
      </c>
    </row>
    <row r="12671" spans="1:8" ht="15.75" customHeight="1" x14ac:dyDescent="0.25">
      <c r="A12671" s="412">
        <v>16</v>
      </c>
      <c r="B12671" s="417" t="s">
        <v>136</v>
      </c>
      <c r="C12671" s="627" t="s">
        <v>387</v>
      </c>
      <c r="D12671" s="626"/>
      <c r="E12671" s="626"/>
      <c r="F12671" s="415">
        <v>1</v>
      </c>
      <c r="G12671" s="619" t="s">
        <v>1856</v>
      </c>
      <c r="H12671" s="416"/>
    </row>
    <row r="12672" spans="1:8" ht="15.75" customHeight="1" x14ac:dyDescent="0.25">
      <c r="A12672" s="412">
        <v>17</v>
      </c>
      <c r="B12672" s="417" t="s">
        <v>1737</v>
      </c>
      <c r="C12672" s="627" t="s">
        <v>371</v>
      </c>
      <c r="D12672" s="592">
        <v>4</v>
      </c>
      <c r="E12672" s="592">
        <v>6</v>
      </c>
      <c r="F12672" s="415">
        <v>23</v>
      </c>
      <c r="G12672" s="415">
        <v>1</v>
      </c>
      <c r="H12672" s="416">
        <f>+G12672*F12672</f>
      </c>
    </row>
    <row r="12673" spans="1:8" ht="15.75" customHeight="1" x14ac:dyDescent="0.25">
      <c r="A12673" s="412">
        <v>18</v>
      </c>
      <c r="B12673" s="417" t="s">
        <v>1737</v>
      </c>
      <c r="C12673" s="627" t="s">
        <v>371</v>
      </c>
      <c r="D12673" s="626"/>
      <c r="E12673" s="626"/>
      <c r="F12673" s="415">
        <v>1</v>
      </c>
      <c r="G12673" s="619" t="s">
        <v>1856</v>
      </c>
      <c r="H12673" s="416"/>
    </row>
    <row r="12674" spans="1:8" ht="15.75" customHeight="1" x14ac:dyDescent="0.25">
      <c r="A12674" s="412">
        <v>19</v>
      </c>
      <c r="B12674" s="417" t="s">
        <v>239</v>
      </c>
      <c r="C12674" s="627"/>
      <c r="D12674" s="592">
        <v>4</v>
      </c>
      <c r="E12674" s="592">
        <v>6</v>
      </c>
      <c r="F12674" s="415">
        <v>23</v>
      </c>
      <c r="G12674" s="415">
        <v>1</v>
      </c>
      <c r="H12674" s="416">
        <f>+G12674*F12674</f>
      </c>
    </row>
    <row r="12675" spans="1:8" ht="15.75" customHeight="1" x14ac:dyDescent="0.25">
      <c r="A12675" s="412">
        <v>20</v>
      </c>
      <c r="B12675" s="417" t="s">
        <v>239</v>
      </c>
      <c r="C12675" s="627"/>
      <c r="D12675" s="626"/>
      <c r="E12675" s="626"/>
      <c r="F12675" s="415">
        <v>1</v>
      </c>
      <c r="G12675" s="619" t="s">
        <v>1856</v>
      </c>
      <c r="H12675" s="416"/>
    </row>
    <row r="12676" spans="1:8" ht="15.75" customHeight="1" x14ac:dyDescent="0.25">
      <c r="A12676" s="412"/>
      <c r="B12676" s="417"/>
      <c r="C12676" s="627"/>
      <c r="D12676" s="591"/>
      <c r="E12676" s="591"/>
      <c r="F12676" s="415"/>
      <c r="G12676" s="415"/>
      <c r="H12676" s="416"/>
    </row>
    <row r="12677" spans="1:8" ht="15.75" customHeight="1" x14ac:dyDescent="0.25">
      <c r="A12677" s="412"/>
      <c r="B12677" s="417"/>
      <c r="C12677" s="896" t="s">
        <v>85</v>
      </c>
      <c r="D12677" s="599">
        <f>SUM(D12654:D12676)</f>
      </c>
      <c r="E12677" s="401"/>
      <c r="F12677" s="599">
        <f>SUM(F12654:F12676)</f>
      </c>
      <c r="G12677" s="661"/>
      <c r="H12677" s="438">
        <f>SUM(H12654:H12676)</f>
      </c>
    </row>
    <row r="12678" spans="1:8" ht="15.75" customHeight="1" x14ac:dyDescent="0.25">
      <c r="A12678" s="1052"/>
      <c r="B12678" s="1053"/>
      <c r="C12678" s="601"/>
      <c r="D12678" s="1054"/>
      <c r="E12678" s="1054"/>
      <c r="F12678" s="1055"/>
      <c r="G12678" s="1055"/>
      <c r="H12678" s="1056"/>
    </row>
    <row r="12679" spans="1:8" ht="15.75" customHeight="1" x14ac:dyDescent="0.25">
      <c r="A12679" s="451"/>
      <c r="B12679" s="777"/>
      <c r="C12679" s="393"/>
      <c r="D12679" s="567"/>
      <c r="E12679" s="567"/>
      <c r="F12679" s="642" t="s">
        <v>2328</v>
      </c>
      <c r="G12679" s="642"/>
      <c r="H12679" s="642"/>
    </row>
    <row r="12680" spans="1:8" ht="15.75" customHeight="1" x14ac:dyDescent="0.25">
      <c r="A12680" s="451"/>
      <c r="B12680" s="777"/>
      <c r="C12680" s="393"/>
      <c r="D12680" s="567"/>
      <c r="E12680" s="567"/>
      <c r="F12680" s="391"/>
      <c r="G12680" s="391"/>
      <c r="H12680" s="394"/>
    </row>
    <row r="12681" spans="1:8" ht="15.75" customHeight="1" x14ac:dyDescent="0.25">
      <c r="A12681" s="451"/>
      <c r="B12681" s="777"/>
      <c r="C12681" s="393"/>
      <c r="D12681" s="567"/>
      <c r="E12681" s="567"/>
      <c r="F12681" s="391"/>
      <c r="G12681" s="391"/>
      <c r="H12681" s="394"/>
    </row>
    <row r="12682" spans="1:8" ht="15.75" customHeight="1" x14ac:dyDescent="0.25">
      <c r="A12682" s="451"/>
      <c r="B12682" s="777"/>
      <c r="C12682" s="393"/>
      <c r="D12682" s="567"/>
      <c r="E12682" s="567"/>
      <c r="F12682" s="391"/>
      <c r="G12682" s="391"/>
      <c r="H12682" s="394"/>
    </row>
    <row r="12683" spans="1:8" ht="15.75" customHeight="1" x14ac:dyDescent="0.25">
      <c r="A12683" s="451"/>
      <c r="B12683" s="777"/>
      <c r="C12683" s="393"/>
      <c r="D12683" s="567"/>
      <c r="E12683" s="567"/>
      <c r="F12683" s="391"/>
      <c r="G12683" s="391"/>
      <c r="H12683" s="394"/>
    </row>
    <row r="12684" spans="1:8" ht="15.75" customHeight="1" x14ac:dyDescent="0.25">
      <c r="A12684" s="8" t="s">
        <v>14</v>
      </c>
      <c r="B12684" s="8"/>
      <c r="C12684" s="8"/>
      <c r="D12684" s="8"/>
      <c r="E12684" s="8"/>
      <c r="F12684" s="8"/>
      <c r="G12684" s="8"/>
      <c r="H12684" s="8"/>
    </row>
    <row r="12685" spans="1:8" ht="15.75" customHeight="1" x14ac:dyDescent="0.25">
      <c r="A12685" s="388"/>
      <c r="B12685" s="388"/>
      <c r="C12685" s="388"/>
      <c r="D12685" s="389"/>
      <c r="E12685" s="388"/>
      <c r="F12685" s="388"/>
      <c r="G12685" s="388"/>
      <c r="H12685" s="8"/>
    </row>
    <row r="12686" spans="1:8" ht="15.75" customHeight="1" x14ac:dyDescent="0.25">
      <c r="A12686" s="390"/>
      <c r="B12686" s="390"/>
      <c r="C12686" s="390"/>
      <c r="D12686" s="391"/>
      <c r="E12686" s="390"/>
      <c r="F12686" s="395" t="s">
        <v>18</v>
      </c>
      <c r="G12686" s="396" t="s">
        <v>1125</v>
      </c>
      <c r="H12686" s="397"/>
    </row>
    <row r="12687" spans="1:8" ht="15.75" customHeight="1" x14ac:dyDescent="0.25">
      <c r="A12687" s="390" t="s">
        <v>20</v>
      </c>
      <c r="B12687" s="390"/>
      <c r="D12687" s="391"/>
      <c r="E12687" s="390"/>
      <c r="F12687" s="395" t="s">
        <v>21</v>
      </c>
      <c r="G12687" s="390" t="s">
        <v>1899</v>
      </c>
      <c r="H12687" s="391"/>
    </row>
    <row r="12688" spans="1:8" ht="15.75" customHeight="1" x14ac:dyDescent="0.25">
      <c r="A12688" s="390" t="inlineStr">
        <is>
          <t>Dealer-009</t>
        </is>
      </c>
      <c r="B12688" s="390"/>
      <c r="C12688" s="390" t="inlineStr">
        <is>
          <t>ATTN: Contact-001</t>
        </is>
      </c>
      <c r="D12688" s="398"/>
      <c r="E12688" s="390"/>
      <c r="F12688" s="391"/>
      <c r="G12688" s="390"/>
      <c r="H12688" s="394"/>
    </row>
    <row r="12689" spans="1:8" ht="15.75" customHeight="1" x14ac:dyDescent="0.25">
      <c r="A12689" s="390" t="inlineStr">
        <is>
          <t>Address line (redacted)</t>
        </is>
      </c>
      <c r="B12689" s="390"/>
      <c r="C12689" s="390"/>
      <c r="D12689" s="398"/>
      <c r="E12689" s="1049" t="s">
        <v>1287</v>
      </c>
      <c r="F12689" s="1049"/>
      <c r="G12689" s="1049"/>
      <c r="H12689" s="394"/>
    </row>
    <row r="12690" spans="1:8" ht="15.75" customHeight="1" x14ac:dyDescent="0.25">
      <c r="A12690" s="390" t="inlineStr">
        <is>
          <t>Address line (redacted)</t>
        </is>
      </c>
      <c r="B12690" s="390"/>
      <c r="C12690" s="390"/>
      <c r="D12690" s="391"/>
      <c r="E12690" s="390"/>
      <c r="F12690" s="391"/>
      <c r="G12690" s="390"/>
      <c r="H12690" s="394"/>
    </row>
    <row r="12691" spans="1:8" ht="15.75" customHeight="1" x14ac:dyDescent="0.25">
      <c r="A12691" s="390"/>
      <c r="B12691" s="390"/>
      <c r="C12691" s="390"/>
      <c r="D12691" s="391"/>
      <c r="E12691" s="390"/>
      <c r="F12691" s="391"/>
      <c r="G12691" s="390"/>
      <c r="H12691" s="394"/>
    </row>
    <row r="12692" spans="1:8" ht="15.75" customHeight="1" x14ac:dyDescent="0.25">
      <c r="A12692" s="390" t="s">
        <v>30</v>
      </c>
      <c r="B12692" s="390"/>
      <c r="C12692" s="390"/>
      <c r="D12692" s="391"/>
      <c r="E12692" s="390"/>
      <c r="F12692" s="391"/>
      <c r="G12692" s="390"/>
      <c r="H12692" s="394"/>
    </row>
    <row r="12693" spans="1:8" ht="15.75" customHeight="1" x14ac:dyDescent="0.25">
      <c r="A12693" s="390"/>
      <c r="B12693" s="390"/>
      <c r="C12693" s="390"/>
      <c r="D12693" s="391"/>
      <c r="E12693" s="390"/>
      <c r="F12693" s="391"/>
      <c r="G12693" s="390"/>
      <c r="H12693" s="394"/>
    </row>
    <row r="12694" spans="1:8" ht="15.75" customHeight="1" x14ac:dyDescent="0.25">
      <c r="A12694" s="390" t="s">
        <v>716</v>
      </c>
      <c r="B12694" s="390"/>
      <c r="C12694" s="390"/>
      <c r="D12694" s="391"/>
      <c r="E12694" s="390"/>
      <c r="F12694" s="391"/>
      <c r="G12694" s="390"/>
      <c r="H12694" s="394"/>
    </row>
    <row r="12695" spans="1:8" ht="15.75" customHeight="1" x14ac:dyDescent="0.25">
      <c r="A12695" s="390" t="s">
        <v>717</v>
      </c>
      <c r="B12695" s="390"/>
      <c r="C12695" s="390"/>
      <c r="D12695" s="391"/>
      <c r="E12695" s="390"/>
      <c r="F12695" s="391"/>
      <c r="G12695" s="390"/>
      <c r="H12695" s="394"/>
    </row>
    <row r="12696" spans="1:8" ht="15.75" customHeight="1" x14ac:dyDescent="0.25">
      <c r="A12696" s="390"/>
      <c r="B12696" s="390"/>
      <c r="C12696" s="390"/>
      <c r="D12696" s="391"/>
      <c r="E12696" s="390"/>
      <c r="F12696" s="391"/>
      <c r="G12696" s="390"/>
      <c r="H12696" s="394"/>
    </row>
    <row r="12697" spans="1:8" ht="15.75" customHeight="1" x14ac:dyDescent="0.25">
      <c r="A12697" s="948" t="s">
        <v>33</v>
      </c>
      <c r="B12697" s="949" t="s">
        <v>6</v>
      </c>
      <c r="C12697" s="950"/>
      <c r="D12697" s="874" t="s">
        <v>37</v>
      </c>
      <c r="E12697" s="874" t="s">
        <v>38</v>
      </c>
      <c r="F12697" s="875" t="s">
        <v>7</v>
      </c>
      <c r="G12697" s="872" t="s">
        <v>43</v>
      </c>
      <c r="H12697" s="876" t="s">
        <v>44</v>
      </c>
    </row>
    <row r="12698" spans="1:8" ht="15.75" customHeight="1" x14ac:dyDescent="0.25">
      <c r="A12698" s="412"/>
      <c r="B12698" s="417"/>
      <c r="C12698" s="627"/>
      <c r="D12698" s="588"/>
      <c r="E12698" s="588"/>
      <c r="F12698" s="415"/>
      <c r="G12698" s="415"/>
      <c r="H12698" s="416"/>
    </row>
    <row r="12699" spans="1:8" ht="15.75" customHeight="1" x14ac:dyDescent="0.25">
      <c r="A12699" s="412"/>
      <c r="B12699" s="883" t="s">
        <v>2065</v>
      </c>
      <c r="C12699" s="883"/>
      <c r="D12699" s="588"/>
      <c r="E12699" s="588"/>
      <c r="F12699" s="415"/>
      <c r="G12699" s="415"/>
      <c r="H12699" s="416"/>
    </row>
    <row r="12700" spans="1:8" ht="15.75" customHeight="1" x14ac:dyDescent="0.25">
      <c r="A12700" s="412">
        <v>21</v>
      </c>
      <c r="B12700" s="417" t="s">
        <v>2074</v>
      </c>
      <c r="C12700" s="422" t="s">
        <v>2075</v>
      </c>
      <c r="D12700" s="592">
        <v>6</v>
      </c>
      <c r="E12700" s="592">
        <v>10</v>
      </c>
      <c r="F12700" s="415">
        <v>58</v>
      </c>
      <c r="G12700" s="415">
        <v>1</v>
      </c>
      <c r="H12700" s="416">
        <f>+G12700*F12700</f>
      </c>
    </row>
    <row r="12701" spans="1:8" ht="15.75" customHeight="1" x14ac:dyDescent="0.25">
      <c r="A12701" s="412">
        <v>22</v>
      </c>
      <c r="B12701" s="417" t="s">
        <v>2074</v>
      </c>
      <c r="C12701" s="422" t="s">
        <v>2075</v>
      </c>
      <c r="D12701" s="626"/>
      <c r="E12701" s="626"/>
      <c r="F12701" s="415">
        <v>2</v>
      </c>
      <c r="G12701" s="619" t="s">
        <v>1856</v>
      </c>
      <c r="H12701" s="416"/>
    </row>
    <row r="12702" spans="1:8" ht="15.75" customHeight="1" x14ac:dyDescent="0.25">
      <c r="A12702" s="412">
        <v>23</v>
      </c>
      <c r="B12702" s="417" t="s">
        <v>2076</v>
      </c>
      <c r="C12702" s="422" t="s">
        <v>2077</v>
      </c>
      <c r="D12702" s="592">
        <v>6</v>
      </c>
      <c r="E12702" s="592">
        <v>10</v>
      </c>
      <c r="F12702" s="415">
        <v>58</v>
      </c>
      <c r="G12702" s="415">
        <v>1</v>
      </c>
      <c r="H12702" s="416">
        <f>+G12702*F12702</f>
      </c>
    </row>
    <row r="12703" spans="1:8" ht="15.75" customHeight="1" x14ac:dyDescent="0.25">
      <c r="A12703" s="412">
        <v>24</v>
      </c>
      <c r="B12703" s="417" t="s">
        <v>2076</v>
      </c>
      <c r="C12703" s="422" t="s">
        <v>2077</v>
      </c>
      <c r="D12703" s="626"/>
      <c r="E12703" s="626"/>
      <c r="F12703" s="415">
        <v>2</v>
      </c>
      <c r="G12703" s="619" t="s">
        <v>1856</v>
      </c>
      <c r="H12703" s="416"/>
    </row>
    <row r="12704" spans="1:8" ht="27" customHeight="1" x14ac:dyDescent="0.25">
      <c r="A12704" s="412">
        <v>25</v>
      </c>
      <c r="B12704" s="417" t="s">
        <v>2078</v>
      </c>
      <c r="C12704" s="422" t="s">
        <v>2079</v>
      </c>
      <c r="D12704" s="626">
        <v>2</v>
      </c>
      <c r="E12704" s="626">
        <v>10</v>
      </c>
      <c r="F12704" s="415">
        <f>+E12704*D12704</f>
      </c>
      <c r="G12704" s="415">
        <v>1</v>
      </c>
      <c r="H12704" s="416">
        <f>+G12704*F12704</f>
      </c>
    </row>
    <row r="12705" spans="1:20" ht="15.75" customHeight="1" x14ac:dyDescent="0.25">
      <c r="A12705" s="412"/>
      <c r="B12705" s="1057" t="s">
        <v>2330</v>
      </c>
      <c r="C12705" s="1058"/>
      <c r="D12705" s="1059"/>
      <c r="E12705" s="626"/>
      <c r="F12705" s="415"/>
      <c r="G12705" s="619"/>
      <c r="H12705" s="416"/>
    </row>
    <row r="12706" spans="1:20" ht="15.75" customHeight="1" x14ac:dyDescent="0.25">
      <c r="A12706" s="412"/>
      <c r="B12706" s="883" t="s">
        <v>2082</v>
      </c>
      <c r="C12706" s="883"/>
      <c r="D12706" s="588"/>
      <c r="E12706" s="588"/>
      <c r="F12706" s="415"/>
      <c r="G12706" s="415"/>
      <c r="H12706" s="416"/>
    </row>
    <row r="12707" spans="1:20" ht="15.75" customHeight="1" x14ac:dyDescent="0.25">
      <c r="A12707" s="420">
        <v>26</v>
      </c>
      <c r="B12707" s="417" t="s">
        <v>2095</v>
      </c>
      <c r="C12707" s="627" t="s">
        <v>2096</v>
      </c>
      <c r="D12707" s="588">
        <v>4</v>
      </c>
      <c r="E12707" s="588">
        <v>10</v>
      </c>
      <c r="F12707" s="415">
        <v>38</v>
      </c>
      <c r="G12707" s="415">
        <v>1</v>
      </c>
      <c r="H12707" s="416">
        <f>+G12707*F12707</f>
      </c>
    </row>
    <row r="12708" spans="1:20" ht="15.75" customHeight="1" x14ac:dyDescent="0.25">
      <c r="A12708" s="420">
        <v>27</v>
      </c>
      <c r="B12708" s="417" t="s">
        <v>2095</v>
      </c>
      <c r="C12708" s="627" t="s">
        <v>2096</v>
      </c>
      <c r="D12708" s="588"/>
      <c r="E12708" s="588"/>
      <c r="F12708" s="415">
        <v>2</v>
      </c>
      <c r="G12708" s="619" t="s">
        <v>1856</v>
      </c>
      <c r="H12708" s="416"/>
    </row>
    <row r="12709" spans="1:20" ht="15.75" customHeight="1" x14ac:dyDescent="0.25">
      <c r="A12709" s="420">
        <v>28</v>
      </c>
      <c r="B12709" s="417" t="s">
        <v>2097</v>
      </c>
      <c r="C12709" s="627" t="s">
        <v>2098</v>
      </c>
      <c r="D12709" s="588">
        <v>2</v>
      </c>
      <c r="E12709" s="588">
        <v>10</v>
      </c>
      <c r="F12709" s="415">
        <v>19</v>
      </c>
      <c r="G12709" s="415">
        <v>1</v>
      </c>
      <c r="H12709" s="416">
        <f>+G12709*F12709</f>
      </c>
    </row>
    <row r="12710" spans="1:20" ht="15.75" customHeight="1" x14ac:dyDescent="0.25">
      <c r="A12710" s="420">
        <v>29</v>
      </c>
      <c r="B12710" s="417" t="s">
        <v>2097</v>
      </c>
      <c r="C12710" s="627" t="s">
        <v>2098</v>
      </c>
      <c r="D12710" s="588"/>
      <c r="E12710" s="588"/>
      <c r="F12710" s="415">
        <v>1</v>
      </c>
      <c r="G12710" s="619" t="s">
        <v>1856</v>
      </c>
      <c r="H12710" s="416"/>
    </row>
    <row r="12711" spans="1:20" ht="26.25" customHeight="1" x14ac:dyDescent="0.25">
      <c r="A12711" s="420">
        <v>30</v>
      </c>
      <c r="B12711" s="417" t="s">
        <v>2103</v>
      </c>
      <c r="C12711" s="627" t="s">
        <v>2104</v>
      </c>
      <c r="D12711" s="588">
        <v>2</v>
      </c>
      <c r="E12711" s="588">
        <v>10</v>
      </c>
      <c r="F12711" s="415">
        <f>+E12711*D12711</f>
      </c>
      <c r="G12711" s="415">
        <v>1</v>
      </c>
      <c r="H12711" s="416">
        <f>+G12711*F12711</f>
      </c>
    </row>
    <row r="12712" spans="1:20" ht="15.75" customHeight="1" x14ac:dyDescent="0.25">
      <c r="A12712" s="412"/>
      <c r="B12712" s="1057" t="s">
        <v>2331</v>
      </c>
      <c r="C12712" s="1058"/>
      <c r="D12712" s="1059"/>
      <c r="E12712" s="588"/>
      <c r="F12712" s="415"/>
      <c r="G12712" s="415"/>
      <c r="H12712" s="416"/>
    </row>
    <row r="12713" spans="1:20" ht="15.75" customHeight="1" x14ac:dyDescent="0.25">
      <c r="A12713" s="894"/>
      <c r="B12713" s="878"/>
      <c r="C12713" s="895"/>
      <c r="D12713" s="593"/>
      <c r="E12713" s="593"/>
      <c r="F12713" s="593"/>
      <c r="G12713" s="593"/>
      <c r="H12713" s="416"/>
    </row>
    <row r="12714" spans="1:20" ht="15.75" customHeight="1" x14ac:dyDescent="0.25">
      <c r="A12714" s="877"/>
      <c r="B12714" s="688"/>
      <c r="C12714" s="896" t="s">
        <v>85</v>
      </c>
      <c r="D12714" s="599">
        <f>+D12713+D12712+D12711+D12709+D12707+D12706+D12705+D12704+D12702+D12700+D12699+D12698+D12677</f>
      </c>
      <c r="E12714" s="401"/>
      <c r="F12714" s="599">
        <f>+F12713+F12712+F12711+F12709+F12707+F12706+F12705+F12704+F12702+F12700+F12699+F12698+F12677</f>
      </c>
      <c r="G12714" s="661"/>
      <c r="H12714" s="438">
        <f>+H12713+H12712+H12711+H12710+H12709+H12708+H12707+H12706+H12705+H12704+H12703+H12702+H12701+H12700+H12699+H12698+H12677</f>
      </c>
      <c r="I12714" s="946"/>
      <c r="J12714" s="946"/>
      <c r="K12714" s="946"/>
      <c r="L12714" s="946"/>
      <c r="M12714" s="946"/>
      <c r="N12714" s="946"/>
      <c r="O12714" s="946"/>
      <c r="P12714" s="946"/>
      <c r="Q12714" s="946"/>
      <c r="R12714" s="946"/>
      <c r="S12714" s="946"/>
      <c r="T12714" s="946"/>
    </row>
    <row r="12715" spans="1:20" ht="15.75" customHeight="1" x14ac:dyDescent="0.25">
      <c r="A12715" s="1060"/>
      <c r="B12715" s="1061"/>
      <c r="C12715" s="1062" t="s">
        <v>2332</v>
      </c>
      <c r="D12715" s="1063"/>
      <c r="E12715" s="1064"/>
      <c r="F12715" s="1065"/>
      <c r="G12715" s="1066"/>
      <c r="H12715" s="1067">
        <v>1</v>
      </c>
    </row>
    <row r="12716" spans="1:20" ht="15.75" customHeight="1" x14ac:dyDescent="0.25">
      <c r="A12716" s="1068"/>
      <c r="B12716" s="1069"/>
      <c r="C12716" s="896" t="s">
        <v>2175</v>
      </c>
      <c r="D12716" s="599"/>
      <c r="E12716" s="401"/>
      <c r="F12716" s="599"/>
      <c r="G12716" s="661"/>
      <c r="H12716" s="438">
        <f>+H12714-H12715</f>
      </c>
    </row>
    <row r="12717" spans="1:20" ht="15.75" customHeight="1" x14ac:dyDescent="0.25">
      <c r="A12717" s="932"/>
      <c r="B12717" s="933"/>
      <c r="C12717" s="934"/>
      <c r="D12717" s="431"/>
      <c r="E12717" s="935"/>
      <c r="F12717" s="935"/>
      <c r="G12717" s="936"/>
      <c r="H12717" s="444"/>
    </row>
    <row r="12718" spans="1:20" ht="15.75" customHeight="1" x14ac:dyDescent="0.25">
      <c r="A12718" s="994" t="s">
        <v>913</v>
      </c>
      <c r="B12718" s="391"/>
      <c r="C12718" s="391"/>
      <c r="D12718" s="391"/>
      <c r="E12718" s="390"/>
      <c r="F12718" s="392"/>
      <c r="G12718" s="390"/>
      <c r="H12718" s="394"/>
    </row>
    <row r="12719" spans="1:20" ht="15.75" customHeight="1" x14ac:dyDescent="0.25">
      <c r="A12719" s="445"/>
      <c r="B12719" s="445"/>
      <c r="C12719" s="445"/>
      <c r="D12719" s="446" t="s">
        <v>97</v>
      </c>
      <c r="E12719" s="445" t="s">
        <v>98</v>
      </c>
      <c r="F12719" s="445"/>
      <c r="G12719" s="390"/>
      <c r="H12719" s="394"/>
    </row>
    <row r="12720" spans="1:20" ht="15.75" customHeight="1" x14ac:dyDescent="0.25">
      <c r="A12720" s="390"/>
      <c r="B12720" s="390"/>
      <c r="C12720" s="390"/>
      <c r="D12720" s="391"/>
      <c r="E12720" s="390"/>
      <c r="F12720" s="390"/>
      <c r="G12720" s="390"/>
      <c r="H12720" s="394"/>
    </row>
    <row r="12721" spans="1:8" ht="15.75" customHeight="1" x14ac:dyDescent="0.25">
      <c r="A12721" s="390"/>
      <c r="B12721" s="390"/>
      <c r="C12721" s="390"/>
      <c r="D12721" s="391"/>
      <c r="E12721" s="390"/>
      <c r="F12721" s="390"/>
      <c r="G12721" s="390"/>
      <c r="H12721" s="394"/>
    </row>
    <row r="12722" spans="1:8" ht="15.75" customHeight="1" x14ac:dyDescent="0.25">
      <c r="A12722" s="445"/>
      <c r="B12722" s="445"/>
      <c r="C12722" s="445"/>
      <c r="D12722" s="446"/>
      <c r="E12722" s="445" t="s">
        <v>99</v>
      </c>
      <c r="F12722" s="445"/>
      <c r="G12722" s="390"/>
      <c r="H12722" s="394"/>
    </row>
    <row r="12723" spans="1:8" ht="15.75" customHeight="1" x14ac:dyDescent="0.25">
      <c r="A12723" s="393" t="s">
        <v>2317</v>
      </c>
      <c r="B12723" s="390"/>
      <c r="C12723" s="390"/>
      <c r="D12723" s="4"/>
      <c r="H12723" s="4"/>
    </row>
    <row r="12724" spans="1:8" ht="15.75" customHeight="1" x14ac:dyDescent="0.25">
      <c r="A12724" s="390" t="s">
        <v>55</v>
      </c>
      <c r="B12724" s="393" t="s">
        <v>2333</v>
      </c>
      <c r="C12724" s="390"/>
      <c r="D12724" s="4"/>
      <c r="H12724" s="4"/>
    </row>
    <row r="12725" spans="1:8" ht="15.75" customHeight="1" x14ac:dyDescent="0.25">
      <c r="A12725" s="445"/>
      <c r="B12725" s="1032" t="s">
        <v>2059</v>
      </c>
      <c r="C12725" s="445"/>
      <c r="D12725" s="4"/>
      <c r="H12725" s="4"/>
    </row>
    <row r="12726" spans="1:8" ht="15.75" customHeight="1" x14ac:dyDescent="0.25">
      <c r="B12726" s="393"/>
      <c r="D12726" s="4"/>
      <c r="H12726" s="4"/>
    </row>
    <row r="12727" spans="1:8" ht="15.75" customHeight="1" x14ac:dyDescent="0.25">
      <c r="B12727" s="1032"/>
      <c r="D12727" s="4"/>
      <c r="H12727" s="4"/>
    </row>
    <row r="12728" spans="1:8" ht="15.75" customHeight="1" x14ac:dyDescent="0.25">
      <c r="A12728" s="8" t="s">
        <v>14</v>
      </c>
      <c r="B12728" s="8"/>
      <c r="C12728" s="8"/>
      <c r="D12728" s="8"/>
      <c r="E12728" s="8"/>
      <c r="F12728" s="8"/>
      <c r="G12728" s="8"/>
      <c r="H12728" s="8"/>
    </row>
    <row r="12729" spans="1:8" ht="15.75" customHeight="1" x14ac:dyDescent="0.25">
      <c r="A12729" s="388"/>
      <c r="B12729" s="388"/>
      <c r="C12729" s="388"/>
      <c r="D12729" s="389"/>
      <c r="E12729" s="388"/>
      <c r="F12729" s="388"/>
      <c r="G12729" s="388"/>
      <c r="H12729" s="8"/>
    </row>
    <row r="12730" spans="1:8" ht="15.75" customHeight="1" x14ac:dyDescent="0.25">
      <c r="A12730" s="390"/>
      <c r="B12730" s="390"/>
      <c r="C12730" s="390"/>
      <c r="D12730" s="391"/>
      <c r="E12730" s="390"/>
      <c r="F12730" s="395" t="s">
        <v>18</v>
      </c>
      <c r="G12730" s="396" t="s">
        <v>1128</v>
      </c>
      <c r="H12730" s="397"/>
    </row>
    <row r="12731" spans="1:8" ht="15.75" customHeight="1" x14ac:dyDescent="0.25">
      <c r="A12731" s="390" t="s">
        <v>20</v>
      </c>
      <c r="B12731" s="390"/>
      <c r="C12731" s="390"/>
      <c r="D12731" s="391"/>
      <c r="E12731" s="390"/>
      <c r="F12731" s="395" t="s">
        <v>21</v>
      </c>
      <c r="G12731" s="390" t="s">
        <v>2105</v>
      </c>
      <c r="H12731" s="391"/>
    </row>
    <row r="12732" spans="1:8" ht="15.75" customHeight="1" x14ac:dyDescent="0.25">
      <c r="A12732" s="390" t="inlineStr">
        <is>
          <t>Dealer-011</t>
        </is>
      </c>
      <c r="B12732" s="390"/>
      <c r="C12732" s="390" t="inlineStr">
        <is>
          <t>ATTN: Contact-002</t>
        </is>
      </c>
      <c r="D12732" s="391"/>
      <c r="E12732" s="390"/>
      <c r="F12732" s="391"/>
      <c r="G12732" s="390"/>
      <c r="H12732" s="394"/>
    </row>
    <row r="12733" spans="1:8" ht="15.75" customHeight="1" x14ac:dyDescent="0.25">
      <c r="A12733" s="390" t="inlineStr">
        <is>
          <t>Address line (redacted)</t>
        </is>
      </c>
      <c r="B12733" s="390"/>
      <c r="C12733" s="390"/>
      <c r="D12733" s="391"/>
      <c r="E12733" s="390"/>
      <c r="F12733" s="391"/>
      <c r="G12733" s="390"/>
      <c r="H12733" s="394"/>
    </row>
    <row r="12734" spans="1:8" ht="15.75" customHeight="1" x14ac:dyDescent="0.25">
      <c r="A12734" s="390" t="inlineStr">
        <is>
          <t>Address line (redacted)</t>
        </is>
      </c>
      <c r="B12734" s="390"/>
      <c r="C12734" s="390"/>
      <c r="D12734" s="391"/>
      <c r="E12734" s="390"/>
      <c r="F12734" s="391"/>
      <c r="G12734" s="390"/>
      <c r="H12734" s="394"/>
    </row>
    <row r="12735" spans="1:8" ht="15.75" customHeight="1" x14ac:dyDescent="0.25">
      <c r="A12735" s="390" t="inlineStr">
        <is>
          <t>Address line (redacted)</t>
        </is>
      </c>
      <c r="B12735" s="390"/>
      <c r="C12735" s="390"/>
      <c r="D12735" s="391"/>
      <c r="E12735" s="390"/>
      <c r="F12735" s="391"/>
      <c r="G12735" s="390"/>
      <c r="H12735" s="394"/>
    </row>
    <row r="12736" spans="1:8" ht="15.75" customHeight="1" x14ac:dyDescent="0.25">
      <c r="A12736" s="390"/>
      <c r="B12736" s="390"/>
      <c r="C12736" s="390"/>
      <c r="D12736" s="391"/>
      <c r="E12736" s="390"/>
      <c r="F12736" s="391"/>
      <c r="G12736" s="390"/>
      <c r="H12736" s="394"/>
    </row>
    <row r="12737" spans="1:8" ht="15.75" customHeight="1" x14ac:dyDescent="0.25">
      <c r="A12737" s="390" t="s">
        <v>30</v>
      </c>
      <c r="B12737" s="390"/>
      <c r="C12737" s="390"/>
      <c r="D12737" s="391"/>
      <c r="E12737" s="390"/>
      <c r="F12737" s="391"/>
      <c r="G12737" s="390"/>
      <c r="H12737" s="394"/>
    </row>
    <row r="12738" spans="1:8" ht="15.75" customHeight="1" x14ac:dyDescent="0.25">
      <c r="A12738" s="390"/>
      <c r="B12738" s="390"/>
      <c r="C12738" s="390"/>
      <c r="D12738" s="391"/>
      <c r="E12738" s="390"/>
      <c r="F12738" s="391"/>
      <c r="G12738" s="390"/>
      <c r="H12738" s="394"/>
    </row>
    <row r="12739" spans="1:8" ht="15.75" customHeight="1" x14ac:dyDescent="0.25">
      <c r="A12739" s="390" t="s">
        <v>716</v>
      </c>
      <c r="B12739" s="390"/>
      <c r="C12739" s="390"/>
      <c r="D12739" s="391"/>
      <c r="E12739" s="390"/>
      <c r="F12739" s="391"/>
      <c r="G12739" s="390"/>
      <c r="H12739" s="394"/>
    </row>
    <row r="12740" spans="1:8" ht="15.75" customHeight="1" x14ac:dyDescent="0.25">
      <c r="A12740" s="390" t="s">
        <v>717</v>
      </c>
      <c r="B12740" s="390"/>
      <c r="C12740" s="390"/>
      <c r="D12740" s="391"/>
      <c r="E12740" s="390"/>
      <c r="F12740" s="391"/>
      <c r="G12740" s="390"/>
      <c r="H12740" s="394"/>
    </row>
    <row r="12741" spans="1:8" ht="15.75" customHeight="1" x14ac:dyDescent="0.25">
      <c r="A12741" s="390"/>
      <c r="B12741" s="390"/>
      <c r="C12741" s="390"/>
      <c r="D12741" s="391"/>
      <c r="E12741" s="390"/>
      <c r="F12741" s="391"/>
      <c r="G12741" s="390"/>
      <c r="H12741" s="394"/>
    </row>
    <row r="12742" spans="1:8" ht="15.75" customHeight="1" x14ac:dyDescent="0.25">
      <c r="A12742" s="948" t="s">
        <v>33</v>
      </c>
      <c r="B12742" s="949" t="s">
        <v>6</v>
      </c>
      <c r="C12742" s="950"/>
      <c r="D12742" s="874" t="s">
        <v>37</v>
      </c>
      <c r="E12742" s="874" t="s">
        <v>38</v>
      </c>
      <c r="F12742" s="875" t="s">
        <v>7</v>
      </c>
      <c r="G12742" s="872" t="s">
        <v>43</v>
      </c>
      <c r="H12742" s="876" t="s">
        <v>44</v>
      </c>
    </row>
    <row r="12743" spans="1:8" ht="15.75" customHeight="1" x14ac:dyDescent="0.3">
      <c r="A12743" s="412"/>
      <c r="B12743" s="1033"/>
      <c r="C12743" s="1033"/>
      <c r="D12743" s="879"/>
      <c r="E12743" s="879"/>
      <c r="F12743" s="415"/>
      <c r="G12743" s="415"/>
      <c r="H12743" s="416"/>
    </row>
    <row r="12744" spans="1:8" ht="15.75" customHeight="1" x14ac:dyDescent="0.25">
      <c r="A12744" s="412"/>
      <c r="B12744" s="1034" t="s">
        <v>2043</v>
      </c>
      <c r="C12744" s="1034"/>
      <c r="D12744" s="415"/>
      <c r="E12744" s="415"/>
      <c r="F12744" s="415"/>
      <c r="G12744" s="415"/>
      <c r="H12744" s="416"/>
    </row>
    <row r="12745" spans="1:8" ht="15.75" customHeight="1" x14ac:dyDescent="0.25">
      <c r="A12745" s="412">
        <v>1</v>
      </c>
      <c r="B12745" s="417" t="s">
        <v>1718</v>
      </c>
      <c r="C12745" s="627" t="s">
        <v>379</v>
      </c>
      <c r="D12745" s="592">
        <v>4</v>
      </c>
      <c r="E12745" s="592">
        <v>6</v>
      </c>
      <c r="F12745" s="415">
        <v>23</v>
      </c>
      <c r="G12745" s="415">
        <v>1</v>
      </c>
      <c r="H12745" s="416">
        <f>+G12745*F12745</f>
      </c>
    </row>
    <row r="12746" spans="1:8" ht="15.75" customHeight="1" x14ac:dyDescent="0.25">
      <c r="A12746" s="412">
        <v>2</v>
      </c>
      <c r="B12746" s="417" t="s">
        <v>1718</v>
      </c>
      <c r="C12746" s="627" t="s">
        <v>379</v>
      </c>
      <c r="D12746" s="626"/>
      <c r="E12746" s="626"/>
      <c r="F12746" s="415">
        <v>1</v>
      </c>
      <c r="G12746" s="619" t="s">
        <v>1856</v>
      </c>
      <c r="H12746" s="416"/>
    </row>
    <row r="12747" spans="1:8" ht="15.75" customHeight="1" x14ac:dyDescent="0.25">
      <c r="A12747" s="412"/>
      <c r="B12747" s="883" t="s">
        <v>2082</v>
      </c>
      <c r="C12747" s="883"/>
      <c r="D12747" s="588"/>
      <c r="E12747" s="588"/>
      <c r="F12747" s="415"/>
      <c r="G12747" s="415"/>
      <c r="H12747" s="416"/>
    </row>
    <row r="12748" spans="1:8" ht="15.75" customHeight="1" x14ac:dyDescent="0.25">
      <c r="A12748" s="420">
        <v>3</v>
      </c>
      <c r="B12748" s="417" t="s">
        <v>2089</v>
      </c>
      <c r="C12748" s="627" t="s">
        <v>2090</v>
      </c>
      <c r="D12748" s="588">
        <v>2</v>
      </c>
      <c r="E12748" s="588">
        <v>10</v>
      </c>
      <c r="F12748" s="415">
        <f>+E12748*D12748</f>
      </c>
      <c r="G12748" s="415">
        <v>1</v>
      </c>
      <c r="H12748" s="416">
        <f>+G12748*F12748</f>
      </c>
    </row>
    <row r="12749" spans="1:8" ht="15.75" customHeight="1" x14ac:dyDescent="0.25">
      <c r="A12749" s="420"/>
      <c r="B12749" s="417"/>
      <c r="C12749" s="627"/>
      <c r="D12749" s="588"/>
      <c r="E12749" s="588"/>
      <c r="F12749" s="415"/>
      <c r="G12749" s="415"/>
      <c r="H12749" s="416"/>
    </row>
    <row r="12750" spans="1:8" ht="15.75" customHeight="1" x14ac:dyDescent="0.25">
      <c r="A12750" s="412"/>
      <c r="B12750" s="980"/>
      <c r="C12750" s="627"/>
      <c r="D12750" s="588"/>
      <c r="E12750" s="588"/>
      <c r="F12750" s="415"/>
      <c r="G12750" s="415"/>
      <c r="H12750" s="416"/>
    </row>
    <row r="12751" spans="1:8" ht="15.75" customHeight="1" x14ac:dyDescent="0.25">
      <c r="A12751" s="894"/>
      <c r="B12751" s="878"/>
      <c r="C12751" s="895"/>
      <c r="D12751" s="593"/>
      <c r="E12751" s="593"/>
      <c r="F12751" s="593"/>
      <c r="G12751" s="593"/>
      <c r="H12751" s="931"/>
    </row>
    <row r="12752" spans="1:8" ht="15.75" customHeight="1" x14ac:dyDescent="0.25">
      <c r="A12752" s="877"/>
      <c r="B12752" s="688"/>
      <c r="C12752" s="896" t="s">
        <v>85</v>
      </c>
      <c r="D12752" s="599">
        <f>SUM(D12745:D12751)</f>
      </c>
      <c r="E12752" s="401"/>
      <c r="F12752" s="599">
        <f>SUM(F12745:F12751)</f>
      </c>
      <c r="G12752" s="661"/>
      <c r="H12752" s="438">
        <f>SUM(H12745:H12751)</f>
      </c>
    </row>
    <row r="12753" spans="1:8" ht="15.75" customHeight="1" x14ac:dyDescent="0.25">
      <c r="A12753" s="932"/>
      <c r="B12753" s="933"/>
      <c r="C12753" s="934"/>
      <c r="D12753" s="431"/>
      <c r="E12753" s="935"/>
      <c r="F12753" s="935"/>
      <c r="G12753" s="936"/>
      <c r="H12753" s="444"/>
    </row>
    <row r="12754" spans="1:8" ht="15.75" customHeight="1" x14ac:dyDescent="0.25">
      <c r="A12754" s="994" t="s">
        <v>913</v>
      </c>
      <c r="B12754" s="391"/>
      <c r="C12754" s="391"/>
      <c r="D12754" s="391"/>
      <c r="E12754" s="390"/>
      <c r="F12754" s="392"/>
      <c r="G12754" s="390"/>
      <c r="H12754" s="394"/>
    </row>
    <row r="12755" spans="1:8" ht="15.75" customHeight="1" x14ac:dyDescent="0.25">
      <c r="A12755" s="445"/>
      <c r="B12755" s="445"/>
      <c r="C12755" s="445"/>
      <c r="D12755" s="446" t="s">
        <v>97</v>
      </c>
      <c r="E12755" s="445" t="s">
        <v>98</v>
      </c>
      <c r="F12755" s="445"/>
      <c r="G12755" s="390"/>
      <c r="H12755" s="394"/>
    </row>
    <row r="12756" spans="1:8" ht="15.75" customHeight="1" x14ac:dyDescent="0.25">
      <c r="A12756" s="390"/>
      <c r="B12756" s="390"/>
      <c r="C12756" s="390"/>
      <c r="D12756" s="391"/>
      <c r="E12756" s="390"/>
      <c r="F12756" s="390"/>
      <c r="G12756" s="390"/>
      <c r="H12756" s="394"/>
    </row>
    <row r="12757" spans="1:8" ht="15.75" customHeight="1" x14ac:dyDescent="0.25">
      <c r="A12757" s="390"/>
      <c r="B12757" s="390"/>
      <c r="C12757" s="390"/>
      <c r="D12757" s="391"/>
      <c r="E12757" s="390"/>
      <c r="F12757" s="390"/>
      <c r="G12757" s="390"/>
      <c r="H12757" s="394"/>
    </row>
    <row r="12758" spans="1:8" ht="15.75" customHeight="1" x14ac:dyDescent="0.25">
      <c r="A12758" s="445"/>
      <c r="B12758" s="445"/>
      <c r="C12758" s="445"/>
      <c r="D12758" s="446"/>
      <c r="E12758" s="445" t="s">
        <v>99</v>
      </c>
      <c r="F12758" s="445"/>
      <c r="G12758" s="390"/>
      <c r="H12758" s="394"/>
    </row>
    <row r="12759" spans="1:8" ht="15.75" customHeight="1" x14ac:dyDescent="0.25">
      <c r="D12759" s="4"/>
      <c r="H12759" s="4"/>
    </row>
    <row r="12760" spans="1:8" ht="15.75" customHeight="1" x14ac:dyDescent="0.25">
      <c r="D12760" s="4"/>
      <c r="H12760" s="4"/>
    </row>
    <row r="12761" spans="1:8" ht="15.75" customHeight="1" x14ac:dyDescent="0.25">
      <c r="D12761" s="4"/>
      <c r="H12761" s="4"/>
    </row>
    <row r="12762" spans="1:8" ht="15.75" customHeight="1" x14ac:dyDescent="0.25">
      <c r="D12762" s="4"/>
      <c r="H12762" s="4"/>
    </row>
    <row r="12763" spans="1:8" ht="15.75" customHeight="1" x14ac:dyDescent="0.25">
      <c r="D12763" s="4"/>
      <c r="H12763" s="4"/>
    </row>
    <row r="12764" spans="1:8" ht="15.75" customHeight="1" x14ac:dyDescent="0.25">
      <c r="D12764" s="4"/>
      <c r="H12764" s="4"/>
    </row>
    <row r="12765" spans="1:8" ht="15.75" customHeight="1" x14ac:dyDescent="0.25">
      <c r="D12765" s="4"/>
      <c r="H12765" s="4"/>
    </row>
    <row r="12766" spans="1:8" ht="15.75" customHeight="1" x14ac:dyDescent="0.25">
      <c r="D12766" s="4"/>
      <c r="H12766" s="4"/>
    </row>
    <row r="12767" spans="1:8" ht="15.75" customHeight="1" x14ac:dyDescent="0.25">
      <c r="D12767" s="4"/>
      <c r="H12767" s="4"/>
    </row>
    <row r="12768" spans="1:8" ht="15.75" customHeight="1" x14ac:dyDescent="0.25">
      <c r="D12768" s="4"/>
      <c r="H12768" s="4"/>
    </row>
    <row r="12769" spans="1:8" ht="15.75" customHeight="1" x14ac:dyDescent="0.25">
      <c r="D12769" s="4"/>
      <c r="H12769" s="4"/>
    </row>
    <row r="12770" spans="1:8" ht="15.75" customHeight="1" x14ac:dyDescent="0.25">
      <c r="D12770" s="4"/>
      <c r="H12770" s="4"/>
    </row>
    <row r="12771" spans="1:8" ht="15.75" customHeight="1" x14ac:dyDescent="0.25">
      <c r="D12771" s="4"/>
      <c r="H12771" s="4"/>
    </row>
    <row r="12772" spans="1:8" ht="15.75" customHeight="1" x14ac:dyDescent="0.25">
      <c r="D12772" s="4"/>
      <c r="H12772" s="4"/>
    </row>
    <row r="12773" spans="1:8" ht="15.75" customHeight="1" x14ac:dyDescent="0.25">
      <c r="D12773" s="4"/>
      <c r="H12773" s="4"/>
    </row>
    <row r="12774" spans="1:8" ht="15.75" customHeight="1" x14ac:dyDescent="0.25">
      <c r="A12774" s="8" t="s">
        <v>14</v>
      </c>
      <c r="B12774" s="8"/>
      <c r="C12774" s="8"/>
      <c r="D12774" s="8"/>
      <c r="E12774" s="8"/>
      <c r="F12774" s="8"/>
      <c r="G12774" s="8"/>
      <c r="H12774" s="8"/>
    </row>
    <row r="12775" spans="1:8" ht="15.75" customHeight="1" x14ac:dyDescent="0.25">
      <c r="A12775" s="388"/>
      <c r="B12775" s="388"/>
      <c r="C12775" s="388"/>
      <c r="D12775" s="389"/>
      <c r="E12775" s="388"/>
      <c r="F12775" s="388"/>
      <c r="G12775" s="388"/>
      <c r="H12775" s="8"/>
    </row>
    <row r="12776" spans="1:8" ht="15.75" customHeight="1" x14ac:dyDescent="0.25">
      <c r="A12776" s="390"/>
      <c r="B12776" s="390"/>
      <c r="C12776" s="390"/>
      <c r="D12776" s="391"/>
      <c r="E12776" s="390"/>
      <c r="F12776" s="395" t="s">
        <v>18</v>
      </c>
      <c r="G12776" s="396" t="s">
        <v>1128</v>
      </c>
      <c r="H12776" s="397"/>
    </row>
    <row r="12777" spans="1:8" ht="15.75" customHeight="1" x14ac:dyDescent="0.25">
      <c r="A12777" s="390" t="s">
        <v>20</v>
      </c>
      <c r="B12777" s="390"/>
      <c r="C12777" s="390"/>
      <c r="D12777" s="391"/>
      <c r="E12777" s="390"/>
      <c r="F12777" s="395" t="s">
        <v>21</v>
      </c>
      <c r="G12777" s="390" t="s">
        <v>2106</v>
      </c>
      <c r="H12777" s="391"/>
    </row>
    <row r="12778" spans="1:8" ht="15.75" customHeight="1" x14ac:dyDescent="0.25">
      <c r="A12778" s="390" t="inlineStr">
        <is>
          <t>Dealer-022</t>
        </is>
      </c>
      <c r="B12778" s="390"/>
      <c r="C12778" s="390"/>
      <c r="D12778" s="391"/>
      <c r="E12778" s="390"/>
      <c r="F12778" s="391"/>
      <c r="G12778" s="390"/>
      <c r="H12778" s="394"/>
    </row>
    <row r="12779" spans="1:8" ht="15.75" customHeight="1" x14ac:dyDescent="0.25">
      <c r="A12779" s="390" t="inlineStr">
        <is>
          <t>Address line (redacted)</t>
        </is>
      </c>
      <c r="B12779" s="390"/>
      <c r="C12779" s="390"/>
      <c r="D12779" s="391"/>
      <c r="E12779" s="390"/>
      <c r="F12779" s="391"/>
      <c r="G12779" s="390"/>
      <c r="H12779" s="394"/>
    </row>
    <row r="12780" spans="1:8" ht="15.75" customHeight="1" x14ac:dyDescent="0.25">
      <c r="A12780" s="390"/>
      <c r="B12780" s="390"/>
      <c r="C12780" s="390"/>
      <c r="D12780" s="391"/>
      <c r="E12780" s="390"/>
      <c r="F12780" s="391"/>
      <c r="G12780" s="390"/>
      <c r="H12780" s="394"/>
    </row>
    <row r="12781" spans="1:8" ht="15.75" customHeight="1" x14ac:dyDescent="0.25">
      <c r="A12781" s="390" t="s">
        <v>2335</v>
      </c>
      <c r="B12781" s="390"/>
      <c r="C12781" s="390"/>
      <c r="D12781" s="391"/>
      <c r="E12781" s="390"/>
      <c r="F12781" s="391"/>
      <c r="G12781" s="390"/>
      <c r="H12781" s="394"/>
    </row>
    <row r="12782" spans="1:8" ht="15.75" customHeight="1" x14ac:dyDescent="0.25">
      <c r="A12782" s="390" t="inlineStr">
        <is>
          <t>Dealer-023</t>
        </is>
      </c>
      <c r="B12782" s="390"/>
      <c r="C12782" s="390"/>
      <c r="D12782" s="391"/>
      <c r="E12782" s="390"/>
      <c r="F12782" s="391"/>
      <c r="G12782" s="390"/>
      <c r="H12782" s="394"/>
    </row>
    <row r="12783" spans="1:8" ht="15.75" customHeight="1" x14ac:dyDescent="0.25">
      <c r="A12783" s="390" t="inlineStr">
        <is>
          <t>Address line (redacted)</t>
        </is>
      </c>
      <c r="B12783" s="390"/>
      <c r="C12783" s="390"/>
      <c r="D12783" s="391"/>
      <c r="E12783" s="390"/>
      <c r="F12783" s="391"/>
      <c r="G12783" s="390"/>
      <c r="H12783" s="394"/>
    </row>
    <row r="12784" spans="1:8" ht="15.75" customHeight="1" x14ac:dyDescent="0.25">
      <c r="A12784" s="390"/>
      <c r="B12784" s="390"/>
      <c r="C12784" s="390"/>
      <c r="D12784" s="391"/>
      <c r="E12784" s="390"/>
      <c r="F12784" s="391"/>
      <c r="G12784" s="390"/>
      <c r="H12784" s="394"/>
    </row>
    <row r="12785" spans="1:9" ht="15.75" customHeight="1" x14ac:dyDescent="0.25">
      <c r="A12785" s="390" t="s">
        <v>30</v>
      </c>
      <c r="B12785" s="390"/>
      <c r="C12785" s="390"/>
      <c r="D12785" s="391"/>
      <c r="E12785" s="390"/>
      <c r="F12785" s="391"/>
      <c r="G12785" s="390"/>
      <c r="H12785" s="394"/>
    </row>
    <row r="12786" spans="1:9" ht="15.75" customHeight="1" x14ac:dyDescent="0.25">
      <c r="A12786" s="390"/>
      <c r="B12786" s="390"/>
      <c r="C12786" s="390"/>
      <c r="D12786" s="391"/>
      <c r="E12786" s="390"/>
      <c r="F12786" s="391"/>
      <c r="G12786" s="390"/>
      <c r="H12786" s="394"/>
    </row>
    <row r="12787" spans="1:9" ht="15.75" customHeight="1" x14ac:dyDescent="0.25">
      <c r="A12787" s="390" t="s">
        <v>716</v>
      </c>
      <c r="B12787" s="390"/>
      <c r="C12787" s="390"/>
      <c r="D12787" s="391"/>
      <c r="E12787" s="390"/>
      <c r="F12787" s="391"/>
      <c r="G12787" s="390"/>
      <c r="H12787" s="394"/>
    </row>
    <row r="12788" spans="1:9" ht="15.75" customHeight="1" x14ac:dyDescent="0.25">
      <c r="A12788" s="390" t="s">
        <v>717</v>
      </c>
      <c r="B12788" s="390"/>
      <c r="C12788" s="390"/>
      <c r="D12788" s="391"/>
      <c r="E12788" s="390"/>
      <c r="F12788" s="391"/>
      <c r="G12788" s="390"/>
      <c r="H12788" s="394"/>
    </row>
    <row r="12789" spans="1:9" ht="15.75" customHeight="1" x14ac:dyDescent="0.25">
      <c r="A12789" s="390"/>
      <c r="B12789" s="390"/>
      <c r="C12789" s="390"/>
      <c r="D12789" s="391"/>
      <c r="E12789" s="390"/>
      <c r="F12789" s="391"/>
      <c r="G12789" s="390"/>
      <c r="H12789" s="394"/>
    </row>
    <row r="12790" spans="1:9" ht="15.75" customHeight="1" x14ac:dyDescent="0.25">
      <c r="A12790" s="948" t="s">
        <v>33</v>
      </c>
      <c r="B12790" s="949" t="s">
        <v>6</v>
      </c>
      <c r="C12790" s="950"/>
      <c r="D12790" s="874" t="s">
        <v>37</v>
      </c>
      <c r="E12790" s="874" t="s">
        <v>38</v>
      </c>
      <c r="F12790" s="875" t="s">
        <v>7</v>
      </c>
      <c r="G12790" s="872" t="s">
        <v>43</v>
      </c>
      <c r="H12790" s="876" t="s">
        <v>44</v>
      </c>
    </row>
    <row r="12791" spans="1:9" ht="15.75" customHeight="1" x14ac:dyDescent="0.3">
      <c r="A12791" s="412"/>
      <c r="B12791" s="1033"/>
      <c r="C12791" s="1033"/>
      <c r="D12791" s="879"/>
      <c r="E12791" s="879"/>
      <c r="F12791" s="415"/>
      <c r="G12791" s="415"/>
      <c r="H12791" s="416"/>
    </row>
    <row r="12792" spans="1:9" ht="15.75" customHeight="1" x14ac:dyDescent="0.25">
      <c r="A12792" s="412"/>
      <c r="B12792" s="1034" t="s">
        <v>2043</v>
      </c>
      <c r="C12792" s="1034"/>
      <c r="D12792" s="415"/>
      <c r="E12792" s="415"/>
      <c r="F12792" s="415"/>
      <c r="G12792" s="415"/>
      <c r="H12792" s="416"/>
    </row>
    <row r="12793" spans="1:9" ht="15.75" customHeight="1" x14ac:dyDescent="0.25">
      <c r="A12793" s="412">
        <v>1</v>
      </c>
      <c r="B12793" s="417" t="s">
        <v>239</v>
      </c>
      <c r="C12793" s="627" t="s">
        <v>391</v>
      </c>
      <c r="D12793" s="592">
        <v>3</v>
      </c>
      <c r="E12793" s="592">
        <v>6</v>
      </c>
      <c r="F12793" s="415">
        <v>16</v>
      </c>
      <c r="G12793" s="415">
        <v>1</v>
      </c>
      <c r="H12793" s="416">
        <f>+G12793*F12793</f>
      </c>
      <c r="I12793" s="2">
        <f>+F12794/F12793*100</f>
      </c>
    </row>
    <row r="12794" spans="1:9" ht="15.75" customHeight="1" x14ac:dyDescent="0.25">
      <c r="A12794" s="412">
        <v>2</v>
      </c>
      <c r="B12794" s="417" t="s">
        <v>239</v>
      </c>
      <c r="C12794" s="627" t="s">
        <v>391</v>
      </c>
      <c r="D12794" s="626"/>
      <c r="E12794" s="626"/>
      <c r="F12794" s="415">
        <v>2</v>
      </c>
      <c r="G12794" s="619" t="s">
        <v>1856</v>
      </c>
      <c r="H12794" s="416"/>
    </row>
    <row r="12795" spans="1:9" ht="15.75" customHeight="1" x14ac:dyDescent="0.25">
      <c r="A12795" s="412">
        <v>3</v>
      </c>
      <c r="B12795" s="417" t="s">
        <v>139</v>
      </c>
      <c r="C12795" s="627" t="s">
        <v>1349</v>
      </c>
      <c r="D12795" s="626">
        <v>1</v>
      </c>
      <c r="E12795" s="626">
        <v>6</v>
      </c>
      <c r="F12795" s="415">
        <f t="shared" ref="F12795:F12797" si="475">+E12795*D12795</f>
      </c>
      <c r="G12795" s="415">
        <v>1</v>
      </c>
      <c r="H12795" s="416">
        <f t="shared" ref="H12795:H12797" si="476">+G12795*F12795</f>
      </c>
    </row>
    <row r="12796" spans="1:9" ht="15.75" customHeight="1" x14ac:dyDescent="0.25">
      <c r="A12796" s="412">
        <v>4</v>
      </c>
      <c r="B12796" s="417" t="s">
        <v>815</v>
      </c>
      <c r="C12796" s="627" t="s">
        <v>385</v>
      </c>
      <c r="D12796" s="626">
        <v>1</v>
      </c>
      <c r="E12796" s="626">
        <v>6</v>
      </c>
      <c r="F12796" s="415">
        <f t="shared" si="475"/>
      </c>
      <c r="G12796" s="415">
        <v>1</v>
      </c>
      <c r="H12796" s="416">
        <f t="shared" si="476"/>
      </c>
    </row>
    <row r="12797" spans="1:9" ht="15.75" customHeight="1" x14ac:dyDescent="0.25">
      <c r="A12797" s="412">
        <v>5</v>
      </c>
      <c r="B12797" s="417" t="s">
        <v>158</v>
      </c>
      <c r="C12797" s="627" t="s">
        <v>390</v>
      </c>
      <c r="D12797" s="626">
        <v>1</v>
      </c>
      <c r="E12797" s="626">
        <v>6</v>
      </c>
      <c r="F12797" s="415">
        <f t="shared" si="475"/>
      </c>
      <c r="G12797" s="415">
        <v>1</v>
      </c>
      <c r="H12797" s="416">
        <f t="shared" si="476"/>
      </c>
    </row>
    <row r="12798" spans="1:9" ht="15.75" customHeight="1" x14ac:dyDescent="0.25">
      <c r="A12798" s="412"/>
      <c r="B12798" s="883" t="s">
        <v>2082</v>
      </c>
      <c r="C12798" s="883"/>
      <c r="D12798" s="588"/>
      <c r="E12798" s="588"/>
      <c r="F12798" s="415"/>
      <c r="G12798" s="415"/>
      <c r="H12798" s="416"/>
    </row>
    <row r="12799" spans="1:9" ht="15.75" customHeight="1" x14ac:dyDescent="0.25">
      <c r="A12799" s="420">
        <v>6</v>
      </c>
      <c r="B12799" s="417" t="s">
        <v>2095</v>
      </c>
      <c r="C12799" s="627" t="s">
        <v>2096</v>
      </c>
      <c r="D12799" s="588">
        <v>3</v>
      </c>
      <c r="E12799" s="592">
        <v>10</v>
      </c>
      <c r="F12799" s="415">
        <v>28</v>
      </c>
      <c r="G12799" s="415">
        <v>1</v>
      </c>
      <c r="H12799" s="416">
        <f>+G12799*F12799</f>
      </c>
    </row>
    <row r="12800" spans="1:9" ht="15.75" customHeight="1" x14ac:dyDescent="0.25">
      <c r="A12800" s="420">
        <v>7</v>
      </c>
      <c r="B12800" s="417" t="s">
        <v>2095</v>
      </c>
      <c r="C12800" s="627" t="s">
        <v>2096</v>
      </c>
      <c r="D12800" s="588"/>
      <c r="E12800" s="633"/>
      <c r="F12800" s="415">
        <v>2</v>
      </c>
      <c r="G12800" s="619" t="s">
        <v>1856</v>
      </c>
      <c r="H12800" s="416"/>
    </row>
    <row r="12801" spans="1:8" ht="15.75" customHeight="1" x14ac:dyDescent="0.25">
      <c r="A12801" s="420">
        <v>8</v>
      </c>
      <c r="B12801" s="417" t="s">
        <v>2097</v>
      </c>
      <c r="C12801" s="627" t="s">
        <v>2098</v>
      </c>
      <c r="D12801" s="588">
        <v>1</v>
      </c>
      <c r="E12801" s="633"/>
      <c r="F12801" s="415">
        <v>10</v>
      </c>
      <c r="G12801" s="415">
        <v>1</v>
      </c>
      <c r="H12801" s="416">
        <f>+G12801*F12801</f>
      </c>
    </row>
    <row r="12802" spans="1:8" ht="15.75" customHeight="1" x14ac:dyDescent="0.25">
      <c r="A12802" s="420">
        <v>9</v>
      </c>
      <c r="B12802" s="417" t="s">
        <v>2097</v>
      </c>
      <c r="C12802" s="627" t="s">
        <v>2098</v>
      </c>
      <c r="D12802" s="588"/>
      <c r="E12802" s="626"/>
      <c r="F12802" s="415"/>
      <c r="G12802" s="415"/>
      <c r="H12802" s="416"/>
    </row>
    <row r="12803" spans="1:8" ht="15.75" customHeight="1" x14ac:dyDescent="0.25">
      <c r="A12803" s="1050">
        <v>10</v>
      </c>
      <c r="B12803" s="417" t="s">
        <v>2109</v>
      </c>
      <c r="C12803" s="627"/>
      <c r="D12803" s="592">
        <v>5</v>
      </c>
      <c r="E12803" s="592">
        <v>10</v>
      </c>
      <c r="F12803" s="415">
        <v>47.5</v>
      </c>
      <c r="G12803" s="415">
        <v>1</v>
      </c>
      <c r="H12803" s="416">
        <f>+G12803*F12803</f>
      </c>
    </row>
    <row r="12804" spans="1:8" ht="15.75" customHeight="1" x14ac:dyDescent="0.25">
      <c r="A12804" s="412">
        <v>11</v>
      </c>
      <c r="B12804" s="417" t="s">
        <v>2109</v>
      </c>
      <c r="C12804" s="627"/>
      <c r="D12804" s="626"/>
      <c r="E12804" s="626"/>
      <c r="F12804" s="415">
        <v>2.5</v>
      </c>
      <c r="G12804" s="619" t="s">
        <v>1856</v>
      </c>
      <c r="H12804" s="416"/>
    </row>
    <row r="12805" spans="1:8" ht="15.75" customHeight="1" x14ac:dyDescent="0.25">
      <c r="A12805" s="412"/>
      <c r="B12805" s="1070" t="s">
        <v>2338</v>
      </c>
      <c r="C12805" s="1071"/>
      <c r="D12805" s="633"/>
      <c r="E12805" s="633"/>
      <c r="F12805" s="593"/>
      <c r="G12805" s="593"/>
      <c r="H12805" s="931"/>
    </row>
    <row r="12806" spans="1:8" ht="15.75" customHeight="1" x14ac:dyDescent="0.25">
      <c r="A12806" s="412"/>
      <c r="B12806" s="1072"/>
      <c r="C12806" s="1073"/>
      <c r="D12806" s="633"/>
      <c r="E12806" s="633"/>
      <c r="F12806" s="593"/>
      <c r="G12806" s="593"/>
      <c r="H12806" s="931"/>
    </row>
    <row r="12807" spans="1:8" ht="15.75" customHeight="1" x14ac:dyDescent="0.25">
      <c r="A12807" s="894"/>
      <c r="B12807" s="878"/>
      <c r="C12807" s="895"/>
      <c r="D12807" s="593"/>
      <c r="E12807" s="593"/>
      <c r="F12807" s="593"/>
      <c r="G12807" s="593"/>
      <c r="H12807" s="931"/>
    </row>
    <row r="12808" spans="1:8" ht="15.75" customHeight="1" x14ac:dyDescent="0.25">
      <c r="A12808" s="877"/>
      <c r="B12808" s="688"/>
      <c r="C12808" s="896" t="s">
        <v>85</v>
      </c>
      <c r="D12808" s="599">
        <f>SUM(D12793:D12807)</f>
      </c>
      <c r="E12808" s="401"/>
      <c r="F12808" s="599">
        <f>SUM(F12793:F12807)</f>
      </c>
      <c r="G12808" s="661"/>
      <c r="H12808" s="438">
        <f>SUM(H12793:H12807)</f>
      </c>
    </row>
    <row r="12809" spans="1:8" ht="15.75" customHeight="1" x14ac:dyDescent="0.25">
      <c r="A12809" s="932"/>
      <c r="B12809" s="933"/>
      <c r="C12809" s="934"/>
      <c r="D12809" s="431"/>
      <c r="E12809" s="935"/>
      <c r="F12809" s="935"/>
      <c r="G12809" s="936"/>
      <c r="H12809" s="444"/>
    </row>
    <row r="12810" spans="1:8" ht="15.75" customHeight="1" x14ac:dyDescent="0.25">
      <c r="A12810" s="994" t="s">
        <v>913</v>
      </c>
      <c r="B12810" s="391"/>
      <c r="C12810" s="391"/>
      <c r="D12810" s="391"/>
      <c r="E12810" s="390"/>
      <c r="F12810" s="392"/>
      <c r="G12810" s="390"/>
      <c r="H12810" s="394"/>
    </row>
    <row r="12811" spans="1:8" ht="15.75" customHeight="1" x14ac:dyDescent="0.25">
      <c r="A12811" s="445"/>
      <c r="B12811" s="445"/>
      <c r="C12811" s="445"/>
      <c r="D12811" s="446" t="s">
        <v>97</v>
      </c>
      <c r="E12811" s="445" t="s">
        <v>98</v>
      </c>
      <c r="F12811" s="445"/>
      <c r="G12811" s="390"/>
      <c r="H12811" s="394"/>
    </row>
    <row r="12812" spans="1:8" ht="15.75" customHeight="1" x14ac:dyDescent="0.25">
      <c r="A12812" s="390"/>
      <c r="B12812" s="390"/>
      <c r="C12812" s="390"/>
      <c r="D12812" s="391"/>
      <c r="E12812" s="390"/>
      <c r="F12812" s="390"/>
      <c r="G12812" s="390"/>
      <c r="H12812" s="394"/>
    </row>
    <row r="12813" spans="1:8" ht="15.75" customHeight="1" x14ac:dyDescent="0.25">
      <c r="A12813" s="390"/>
      <c r="B12813" s="390"/>
      <c r="C12813" s="390"/>
      <c r="D12813" s="391"/>
      <c r="E12813" s="390"/>
      <c r="F12813" s="390"/>
      <c r="G12813" s="390"/>
      <c r="H12813" s="394"/>
    </row>
    <row r="12814" spans="1:8" ht="15.75" customHeight="1" x14ac:dyDescent="0.25">
      <c r="A12814" s="445"/>
      <c r="B12814" s="445"/>
      <c r="C12814" s="445"/>
      <c r="D12814" s="446"/>
      <c r="E12814" s="445" t="s">
        <v>99</v>
      </c>
      <c r="F12814" s="445"/>
      <c r="G12814" s="390"/>
      <c r="H12814" s="394"/>
    </row>
    <row r="12815" spans="1:8" ht="15.75" customHeight="1" x14ac:dyDescent="0.25">
      <c r="D12815" s="4"/>
      <c r="H12815" s="4"/>
    </row>
    <row r="12816" spans="1:8" ht="15.75" customHeight="1" x14ac:dyDescent="0.25">
      <c r="D12816" s="4"/>
      <c r="H12816" s="4"/>
    </row>
    <row r="12817" spans="1:8" ht="15.75" customHeight="1" x14ac:dyDescent="0.25">
      <c r="D12817" s="4"/>
      <c r="H12817" s="4"/>
    </row>
    <row r="12818" spans="1:8" ht="15.75" customHeight="1" x14ac:dyDescent="0.25">
      <c r="D12818" s="4"/>
      <c r="H12818" s="4"/>
    </row>
    <row r="12819" spans="1:8" ht="15.75" customHeight="1" x14ac:dyDescent="0.25">
      <c r="D12819" s="4"/>
      <c r="H12819" s="4"/>
    </row>
    <row r="12820" spans="1:8" ht="15.75" customHeight="1" x14ac:dyDescent="0.25">
      <c r="D12820" s="4"/>
      <c r="H12820" s="4"/>
    </row>
    <row r="12821" spans="1:8" ht="15.75" customHeight="1" x14ac:dyDescent="0.25">
      <c r="D12821" s="4"/>
      <c r="H12821" s="4"/>
    </row>
    <row r="12822" spans="1:8" ht="15.75" customHeight="1" x14ac:dyDescent="0.25">
      <c r="D12822" s="4"/>
      <c r="H12822" s="4"/>
    </row>
    <row r="12823" spans="1:8" ht="15.75" customHeight="1" x14ac:dyDescent="0.25">
      <c r="A12823" s="8" t="s">
        <v>14</v>
      </c>
      <c r="B12823" s="8"/>
      <c r="C12823" s="8"/>
      <c r="D12823" s="8"/>
      <c r="E12823" s="8"/>
      <c r="F12823" s="8"/>
      <c r="G12823" s="8"/>
      <c r="H12823" s="8"/>
    </row>
    <row r="12824" spans="1:8" ht="15.75" customHeight="1" x14ac:dyDescent="0.25">
      <c r="A12824" s="388"/>
      <c r="B12824" s="388"/>
      <c r="C12824" s="388"/>
      <c r="D12824" s="389"/>
      <c r="E12824" s="388"/>
      <c r="F12824" s="388"/>
      <c r="G12824" s="388"/>
      <c r="H12824" s="8"/>
    </row>
    <row r="12825" spans="1:8" ht="15.75" customHeight="1" x14ac:dyDescent="0.25">
      <c r="A12825" s="390"/>
      <c r="B12825" s="390"/>
      <c r="C12825" s="390"/>
      <c r="D12825" s="391"/>
      <c r="E12825" s="390"/>
      <c r="F12825" s="395" t="s">
        <v>18</v>
      </c>
      <c r="G12825" s="396" t="s">
        <v>1125</v>
      </c>
      <c r="H12825" s="397"/>
    </row>
    <row r="12826" spans="1:8" ht="15.75" customHeight="1" x14ac:dyDescent="0.25">
      <c r="A12826" s="390" t="s">
        <v>20</v>
      </c>
      <c r="B12826" s="390"/>
      <c r="D12826" s="391"/>
      <c r="E12826" s="390"/>
      <c r="F12826" s="395" t="s">
        <v>21</v>
      </c>
      <c r="G12826" s="390" t="s">
        <v>2110</v>
      </c>
      <c r="H12826" s="391"/>
    </row>
    <row r="12827" spans="1:8" ht="15.75" customHeight="1" x14ac:dyDescent="0.25">
      <c r="A12827" s="390" t="inlineStr">
        <is>
          <t>Dealer-009</t>
        </is>
      </c>
      <c r="B12827" s="390"/>
      <c r="C12827" s="390" t="inlineStr">
        <is>
          <t>ATTN: Contact-001</t>
        </is>
      </c>
      <c r="D12827" s="398"/>
      <c r="E12827" s="390"/>
      <c r="F12827" s="391"/>
      <c r="G12827" s="390"/>
      <c r="H12827" s="394"/>
    </row>
    <row r="12828" spans="1:8" ht="15.75" customHeight="1" x14ac:dyDescent="0.25">
      <c r="A12828" s="390" t="inlineStr">
        <is>
          <t>Address line (redacted)</t>
        </is>
      </c>
      <c r="B12828" s="390"/>
      <c r="C12828" s="390"/>
      <c r="D12828" s="398"/>
      <c r="E12828" s="393"/>
      <c r="F12828" s="393"/>
      <c r="G12828" s="393"/>
      <c r="H12828" s="394"/>
    </row>
    <row r="12829" spans="1:8" ht="15.75" customHeight="1" x14ac:dyDescent="0.25">
      <c r="A12829" s="390" t="inlineStr">
        <is>
          <t>Address line (redacted)</t>
        </is>
      </c>
      <c r="B12829" s="390"/>
      <c r="C12829" s="390"/>
      <c r="D12829" s="391"/>
      <c r="E12829" s="390"/>
      <c r="F12829" s="391"/>
      <c r="G12829" s="390"/>
      <c r="H12829" s="394"/>
    </row>
    <row r="12830" spans="1:8" ht="15.75" customHeight="1" x14ac:dyDescent="0.25">
      <c r="A12830" s="390"/>
      <c r="B12830" s="390"/>
      <c r="C12830" s="390"/>
      <c r="D12830" s="391"/>
      <c r="E12830" s="390"/>
      <c r="F12830" s="391"/>
      <c r="G12830" s="390"/>
      <c r="H12830" s="394"/>
    </row>
    <row r="12831" spans="1:8" ht="15.75" customHeight="1" x14ac:dyDescent="0.25">
      <c r="A12831" s="390" t="s">
        <v>30</v>
      </c>
      <c r="B12831" s="390"/>
      <c r="C12831" s="390"/>
      <c r="D12831" s="391"/>
      <c r="E12831" s="390"/>
      <c r="F12831" s="391"/>
      <c r="G12831" s="390"/>
      <c r="H12831" s="394"/>
    </row>
    <row r="12832" spans="1:8" ht="15.75" customHeight="1" x14ac:dyDescent="0.25">
      <c r="A12832" s="390"/>
      <c r="B12832" s="390"/>
      <c r="C12832" s="390"/>
      <c r="D12832" s="391"/>
      <c r="E12832" s="390"/>
      <c r="F12832" s="391"/>
      <c r="G12832" s="390"/>
      <c r="H12832" s="394"/>
    </row>
    <row r="12833" spans="1:8" ht="15.75" customHeight="1" x14ac:dyDescent="0.25">
      <c r="A12833" s="390" t="s">
        <v>716</v>
      </c>
      <c r="B12833" s="390"/>
      <c r="C12833" s="390"/>
      <c r="D12833" s="391"/>
      <c r="E12833" s="390"/>
      <c r="F12833" s="391"/>
      <c r="G12833" s="390"/>
      <c r="H12833" s="394"/>
    </row>
    <row r="12834" spans="1:8" ht="15.75" customHeight="1" x14ac:dyDescent="0.25">
      <c r="A12834" s="390" t="s">
        <v>717</v>
      </c>
      <c r="B12834" s="390"/>
      <c r="C12834" s="390"/>
      <c r="D12834" s="391"/>
      <c r="E12834" s="390"/>
      <c r="F12834" s="391"/>
      <c r="G12834" s="390"/>
      <c r="H12834" s="394"/>
    </row>
    <row r="12835" spans="1:8" ht="15.75" customHeight="1" x14ac:dyDescent="0.25">
      <c r="A12835" s="390"/>
      <c r="B12835" s="390"/>
      <c r="C12835" s="390"/>
      <c r="D12835" s="391"/>
      <c r="E12835" s="390"/>
      <c r="F12835" s="391"/>
      <c r="G12835" s="390"/>
      <c r="H12835" s="394"/>
    </row>
    <row r="12836" spans="1:8" ht="15.75" customHeight="1" x14ac:dyDescent="0.25">
      <c r="A12836" s="948" t="s">
        <v>33</v>
      </c>
      <c r="B12836" s="949" t="s">
        <v>6</v>
      </c>
      <c r="C12836" s="950"/>
      <c r="D12836" s="874" t="s">
        <v>37</v>
      </c>
      <c r="E12836" s="874" t="s">
        <v>38</v>
      </c>
      <c r="F12836" s="875" t="s">
        <v>7</v>
      </c>
      <c r="G12836" s="872" t="s">
        <v>43</v>
      </c>
      <c r="H12836" s="876" t="s">
        <v>44</v>
      </c>
    </row>
    <row r="12837" spans="1:8" ht="15.75" customHeight="1" x14ac:dyDescent="0.25">
      <c r="A12837" s="412"/>
      <c r="B12837" s="417"/>
      <c r="C12837" s="627"/>
      <c r="D12837" s="588"/>
      <c r="E12837" s="588"/>
      <c r="F12837" s="415"/>
      <c r="G12837" s="415"/>
      <c r="H12837" s="416"/>
    </row>
    <row r="12838" spans="1:8" ht="15.75" customHeight="1" x14ac:dyDescent="0.25">
      <c r="A12838" s="412"/>
      <c r="B12838" s="883" t="s">
        <v>2111</v>
      </c>
      <c r="C12838" s="883"/>
      <c r="D12838" s="588"/>
      <c r="E12838" s="588"/>
      <c r="F12838" s="415"/>
      <c r="G12838" s="415"/>
      <c r="H12838" s="416"/>
    </row>
    <row r="12839" spans="1:8" ht="15.75" customHeight="1" x14ac:dyDescent="0.25">
      <c r="A12839" s="420">
        <v>1</v>
      </c>
      <c r="B12839" s="417" t="s">
        <v>147</v>
      </c>
      <c r="C12839" s="418" t="s">
        <v>343</v>
      </c>
      <c r="D12839" s="588">
        <v>5</v>
      </c>
      <c r="E12839" s="588">
        <v>5</v>
      </c>
      <c r="F12839" s="415">
        <f>+E12839*D12839</f>
      </c>
      <c r="G12839" s="415">
        <v>1</v>
      </c>
      <c r="H12839" s="416">
        <f>+G12839*F12839</f>
      </c>
    </row>
    <row r="12840" spans="1:8" ht="15.75" customHeight="1" x14ac:dyDescent="0.25">
      <c r="A12840" s="1050"/>
      <c r="B12840" s="417"/>
      <c r="C12840" s="977"/>
      <c r="D12840" s="592"/>
      <c r="E12840" s="592"/>
      <c r="F12840" s="593"/>
      <c r="G12840" s="593"/>
      <c r="H12840" s="931"/>
    </row>
    <row r="12841" spans="1:8" ht="15.75" customHeight="1" x14ac:dyDescent="0.25">
      <c r="A12841" s="1050"/>
      <c r="B12841" s="417"/>
      <c r="C12841" s="977"/>
      <c r="D12841" s="592"/>
      <c r="E12841" s="592"/>
      <c r="F12841" s="593"/>
      <c r="G12841" s="593"/>
      <c r="H12841" s="931"/>
    </row>
    <row r="12842" spans="1:8" ht="15.75" customHeight="1" x14ac:dyDescent="0.25">
      <c r="A12842" s="1050"/>
      <c r="B12842" s="417"/>
      <c r="C12842" s="977"/>
      <c r="D12842" s="592"/>
      <c r="E12842" s="592"/>
      <c r="F12842" s="593"/>
      <c r="G12842" s="593"/>
      <c r="H12842" s="931"/>
    </row>
    <row r="12843" spans="1:8" ht="15.75" customHeight="1" x14ac:dyDescent="0.25">
      <c r="A12843" s="1050"/>
      <c r="B12843" s="417"/>
      <c r="C12843" s="977"/>
      <c r="D12843" s="592"/>
      <c r="E12843" s="592"/>
      <c r="F12843" s="593"/>
      <c r="G12843" s="593"/>
      <c r="H12843" s="931"/>
    </row>
    <row r="12844" spans="1:8" ht="15.75" customHeight="1" x14ac:dyDescent="0.25">
      <c r="A12844" s="1050"/>
      <c r="B12844" s="417"/>
      <c r="C12844" s="977"/>
      <c r="D12844" s="592"/>
      <c r="E12844" s="592"/>
      <c r="F12844" s="593"/>
      <c r="G12844" s="593"/>
      <c r="H12844" s="931"/>
    </row>
    <row r="12845" spans="1:8" ht="15.75" customHeight="1" x14ac:dyDescent="0.25">
      <c r="A12845" s="1050"/>
      <c r="B12845" s="417"/>
      <c r="C12845" s="977"/>
      <c r="D12845" s="592"/>
      <c r="E12845" s="592"/>
      <c r="F12845" s="593"/>
      <c r="G12845" s="593"/>
      <c r="H12845" s="931"/>
    </row>
    <row r="12846" spans="1:8" ht="15.75" customHeight="1" x14ac:dyDescent="0.25">
      <c r="A12846" s="1050"/>
      <c r="B12846" s="417"/>
      <c r="C12846" s="977"/>
      <c r="D12846" s="592"/>
      <c r="E12846" s="592"/>
      <c r="F12846" s="593"/>
      <c r="G12846" s="593"/>
      <c r="H12846" s="931"/>
    </row>
    <row r="12847" spans="1:8" ht="15.75" customHeight="1" x14ac:dyDescent="0.25">
      <c r="A12847" s="1050"/>
      <c r="B12847" s="417"/>
      <c r="C12847" s="977"/>
      <c r="D12847" s="592"/>
      <c r="E12847" s="592"/>
      <c r="F12847" s="593"/>
      <c r="G12847" s="593"/>
      <c r="H12847" s="931"/>
    </row>
    <row r="12848" spans="1:8" ht="15.75" customHeight="1" x14ac:dyDescent="0.25">
      <c r="A12848" s="894"/>
      <c r="B12848" s="878"/>
      <c r="C12848" s="895"/>
      <c r="D12848" s="593"/>
      <c r="E12848" s="593"/>
      <c r="F12848" s="593"/>
      <c r="G12848" s="593"/>
      <c r="H12848" s="931"/>
    </row>
    <row r="12849" spans="1:8" ht="15.75" customHeight="1" x14ac:dyDescent="0.25">
      <c r="A12849" s="877"/>
      <c r="B12849" s="688"/>
      <c r="C12849" s="896" t="s">
        <v>85</v>
      </c>
      <c r="D12849" s="599">
        <f>SUM(D12839:D12848)</f>
      </c>
      <c r="E12849" s="401"/>
      <c r="F12849" s="599">
        <f>SUM(F12839:F12848)</f>
      </c>
      <c r="G12849" s="661"/>
      <c r="H12849" s="438">
        <f>SUM(H12839:H12848)</f>
      </c>
    </row>
    <row r="12850" spans="1:8" ht="15.75" customHeight="1" x14ac:dyDescent="0.25">
      <c r="A12850" s="932"/>
      <c r="B12850" s="933"/>
      <c r="C12850" s="934"/>
      <c r="D12850" s="431"/>
      <c r="E12850" s="935"/>
      <c r="F12850" s="935"/>
      <c r="G12850" s="936"/>
      <c r="H12850" s="444"/>
    </row>
    <row r="12851" spans="1:8" ht="15.75" customHeight="1" x14ac:dyDescent="0.25">
      <c r="A12851" s="994" t="s">
        <v>913</v>
      </c>
      <c r="B12851" s="391"/>
      <c r="C12851" s="391"/>
      <c r="D12851" s="391"/>
      <c r="E12851" s="390"/>
      <c r="F12851" s="392"/>
      <c r="G12851" s="390"/>
      <c r="H12851" s="394"/>
    </row>
    <row r="12852" spans="1:8" ht="15.75" customHeight="1" x14ac:dyDescent="0.25">
      <c r="A12852" s="445"/>
      <c r="B12852" s="445"/>
      <c r="C12852" s="445"/>
      <c r="D12852" s="446" t="s">
        <v>97</v>
      </c>
      <c r="E12852" s="445" t="s">
        <v>98</v>
      </c>
      <c r="F12852" s="445"/>
      <c r="G12852" s="390"/>
      <c r="H12852" s="394"/>
    </row>
    <row r="12853" spans="1:8" ht="15.75" customHeight="1" x14ac:dyDescent="0.25">
      <c r="A12853" s="390"/>
      <c r="B12853" s="390"/>
      <c r="C12853" s="390"/>
      <c r="D12853" s="391"/>
      <c r="E12853" s="390"/>
      <c r="F12853" s="390"/>
      <c r="G12853" s="390"/>
      <c r="H12853" s="394"/>
    </row>
    <row r="12854" spans="1:8" ht="15.75" customHeight="1" x14ac:dyDescent="0.25">
      <c r="A12854" s="390"/>
      <c r="B12854" s="390"/>
      <c r="C12854" s="390"/>
      <c r="D12854" s="391"/>
      <c r="E12854" s="390"/>
      <c r="F12854" s="390"/>
      <c r="G12854" s="390"/>
      <c r="H12854" s="394"/>
    </row>
    <row r="12855" spans="1:8" ht="15.75" customHeight="1" x14ac:dyDescent="0.25">
      <c r="A12855" s="445"/>
      <c r="B12855" s="445"/>
      <c r="C12855" s="445"/>
      <c r="D12855" s="446"/>
      <c r="E12855" s="445" t="s">
        <v>99</v>
      </c>
      <c r="F12855" s="445"/>
      <c r="G12855" s="390"/>
      <c r="H12855" s="394"/>
    </row>
    <row r="12856" spans="1:8" ht="15.75" customHeight="1" x14ac:dyDescent="0.25">
      <c r="D12856" s="4"/>
      <c r="H12856" s="4"/>
    </row>
    <row r="12857" spans="1:8" ht="15.75" customHeight="1" x14ac:dyDescent="0.25">
      <c r="D12857" s="4"/>
      <c r="H12857" s="4"/>
    </row>
    <row r="12858" spans="1:8" ht="15.75" customHeight="1" x14ac:dyDescent="0.25">
      <c r="D12858" s="4"/>
      <c r="H12858" s="4"/>
    </row>
    <row r="12859" spans="1:8" ht="15.75" customHeight="1" x14ac:dyDescent="0.25">
      <c r="D12859" s="4"/>
      <c r="H12859" s="4"/>
    </row>
    <row r="12860" spans="1:8" ht="15.75" customHeight="1" x14ac:dyDescent="0.25">
      <c r="D12860" s="4"/>
      <c r="H12860" s="4"/>
    </row>
    <row r="12861" spans="1:8" ht="15.75" customHeight="1" x14ac:dyDescent="0.25">
      <c r="D12861" s="4"/>
      <c r="H12861" s="4"/>
    </row>
    <row r="12862" spans="1:8" ht="15.75" customHeight="1" x14ac:dyDescent="0.25">
      <c r="D12862" s="4"/>
      <c r="H12862" s="4"/>
    </row>
    <row r="12863" spans="1:8" ht="15.75" customHeight="1" x14ac:dyDescent="0.25">
      <c r="D12863" s="4"/>
      <c r="H12863" s="4"/>
    </row>
    <row r="12864" spans="1:8" ht="15.75" customHeight="1" x14ac:dyDescent="0.25">
      <c r="D12864" s="4"/>
      <c r="H12864" s="4"/>
    </row>
    <row r="12865" spans="1:8" ht="15.75" customHeight="1" x14ac:dyDescent="0.25">
      <c r="D12865" s="4"/>
      <c r="H12865" s="4"/>
    </row>
    <row r="12866" spans="1:8" ht="15.75" customHeight="1" x14ac:dyDescent="0.25">
      <c r="A12866" s="292" t="s">
        <v>14</v>
      </c>
      <c r="B12866" s="292"/>
      <c r="C12866" s="292"/>
      <c r="D12866" s="292"/>
      <c r="E12866" s="292"/>
      <c r="F12866" s="292"/>
      <c r="G12866" s="292"/>
      <c r="H12866" s="292"/>
    </row>
    <row r="12867" spans="1:8" ht="15.75" customHeight="1" x14ac:dyDescent="0.25">
      <c r="A12867" s="388"/>
      <c r="B12867" s="388"/>
      <c r="C12867" s="388"/>
      <c r="D12867" s="389"/>
      <c r="E12867" s="388"/>
      <c r="F12867" s="388"/>
      <c r="G12867" s="388"/>
      <c r="H12867" s="8"/>
    </row>
    <row r="12868" spans="1:8" ht="15.75" customHeight="1" x14ac:dyDescent="0.25">
      <c r="A12868" s="390"/>
      <c r="B12868" s="390"/>
      <c r="C12868" s="390"/>
      <c r="D12868" s="391"/>
      <c r="E12868" s="390"/>
      <c r="F12868" s="395" t="s">
        <v>18</v>
      </c>
      <c r="G12868" s="396" t="s">
        <v>1122</v>
      </c>
      <c r="H12868" s="397"/>
    </row>
    <row r="12869" spans="1:8" ht="15.75" customHeight="1" x14ac:dyDescent="0.25">
      <c r="A12869" s="390" t="s">
        <v>20</v>
      </c>
      <c r="B12869" s="390"/>
      <c r="D12869" s="391"/>
      <c r="E12869" s="390"/>
      <c r="F12869" s="395" t="s">
        <v>21</v>
      </c>
      <c r="G12869" s="390" t="s">
        <v>2009</v>
      </c>
      <c r="H12869" s="391"/>
    </row>
    <row r="12870" spans="1:8" ht="15.75" customHeight="1" x14ac:dyDescent="0.25">
      <c r="A12870" s="390" t="inlineStr">
        <is>
          <t>Dealer-004</t>
        </is>
      </c>
      <c r="B12870" s="390"/>
      <c r="C12870" s="390" t="inlineStr">
        <is>
          <t>ATTN: Contact-004</t>
        </is>
      </c>
      <c r="D12870" s="398"/>
      <c r="E12870" s="390"/>
      <c r="F12870" s="391"/>
      <c r="G12870" s="390"/>
      <c r="H12870" s="394"/>
    </row>
    <row r="12871" spans="1:8" ht="15.75" customHeight="1" x14ac:dyDescent="0.25">
      <c r="A12871" s="390" t="inlineStr">
        <is>
          <t>Address line (redacted)</t>
        </is>
      </c>
      <c r="B12871" s="390"/>
      <c r="C12871" s="390"/>
      <c r="D12871" s="398"/>
      <c r="E12871" s="390"/>
      <c r="F12871" s="391"/>
      <c r="G12871" s="390"/>
      <c r="H12871" s="394"/>
    </row>
    <row r="12872" spans="1:8" ht="15.75" customHeight="1" x14ac:dyDescent="0.25">
      <c r="A12872" s="390"/>
      <c r="B12872" s="390"/>
      <c r="C12872" s="390"/>
      <c r="D12872" s="391"/>
      <c r="E12872" s="390"/>
      <c r="F12872" s="391"/>
      <c r="G12872" s="390"/>
      <c r="H12872" s="394"/>
    </row>
    <row r="12873" spans="1:8" ht="15.75" customHeight="1" x14ac:dyDescent="0.25">
      <c r="A12873" s="390" t="s">
        <v>30</v>
      </c>
      <c r="B12873" s="390"/>
      <c r="C12873" s="390"/>
      <c r="D12873" s="391"/>
      <c r="E12873" s="390"/>
      <c r="F12873" s="391"/>
      <c r="G12873" s="390"/>
      <c r="H12873" s="394"/>
    </row>
    <row r="12874" spans="1:8" ht="15.75" customHeight="1" x14ac:dyDescent="0.25">
      <c r="A12874" s="390"/>
      <c r="B12874" s="390"/>
      <c r="C12874" s="390"/>
      <c r="D12874" s="391"/>
      <c r="E12874" s="390"/>
      <c r="F12874" s="391"/>
      <c r="G12874" s="390"/>
      <c r="H12874" s="394"/>
    </row>
    <row r="12875" spans="1:8" ht="15.75" customHeight="1" x14ac:dyDescent="0.25">
      <c r="A12875" s="390" t="s">
        <v>716</v>
      </c>
      <c r="B12875" s="390"/>
      <c r="C12875" s="390"/>
      <c r="D12875" s="391"/>
      <c r="E12875" s="390"/>
      <c r="F12875" s="391"/>
      <c r="G12875" s="390"/>
      <c r="H12875" s="394"/>
    </row>
    <row r="12876" spans="1:8" ht="15.75" customHeight="1" x14ac:dyDescent="0.25">
      <c r="A12876" s="390" t="s">
        <v>717</v>
      </c>
      <c r="B12876" s="390"/>
      <c r="C12876" s="390"/>
      <c r="D12876" s="391"/>
      <c r="E12876" s="390"/>
      <c r="F12876" s="391"/>
      <c r="G12876" s="390"/>
      <c r="H12876" s="394"/>
    </row>
    <row r="12877" spans="1:8" ht="15.75" customHeight="1" x14ac:dyDescent="0.25">
      <c r="A12877" s="390"/>
      <c r="B12877" s="390"/>
      <c r="C12877" s="390"/>
      <c r="D12877" s="391"/>
      <c r="E12877" s="390"/>
      <c r="F12877" s="391"/>
      <c r="G12877" s="390"/>
      <c r="H12877" s="394"/>
    </row>
    <row r="12878" spans="1:8" ht="15.75" customHeight="1" x14ac:dyDescent="0.25">
      <c r="A12878" s="948" t="s">
        <v>33</v>
      </c>
      <c r="B12878" s="949" t="s">
        <v>6</v>
      </c>
      <c r="C12878" s="950"/>
      <c r="D12878" s="874" t="s">
        <v>37</v>
      </c>
      <c r="E12878" s="874" t="s">
        <v>38</v>
      </c>
      <c r="F12878" s="875" t="s">
        <v>7</v>
      </c>
      <c r="G12878" s="872" t="s">
        <v>43</v>
      </c>
      <c r="H12878" s="876" t="s">
        <v>44</v>
      </c>
    </row>
    <row r="12879" spans="1:8" ht="15.75" customHeight="1" x14ac:dyDescent="0.3">
      <c r="A12879" s="412"/>
      <c r="B12879" s="1033"/>
      <c r="C12879" s="1033"/>
      <c r="D12879" s="879"/>
      <c r="E12879" s="879"/>
      <c r="F12879" s="415"/>
      <c r="G12879" s="415"/>
      <c r="H12879" s="416"/>
    </row>
    <row r="12880" spans="1:8" ht="15.75" customHeight="1" x14ac:dyDescent="0.25">
      <c r="A12880" s="412"/>
      <c r="B12880" s="883" t="s">
        <v>2046</v>
      </c>
      <c r="C12880" s="883"/>
      <c r="D12880" s="415"/>
      <c r="E12880" s="415"/>
      <c r="F12880" s="415"/>
      <c r="G12880" s="415"/>
      <c r="H12880" s="416"/>
    </row>
    <row r="12881" spans="1:8" ht="15.75" customHeight="1" x14ac:dyDescent="0.25">
      <c r="A12881" s="412">
        <v>1</v>
      </c>
      <c r="B12881" s="1047" t="s">
        <v>618</v>
      </c>
      <c r="C12881" s="422" t="s">
        <v>87</v>
      </c>
      <c r="D12881" s="592">
        <v>5</v>
      </c>
      <c r="E12881" s="592">
        <v>5</v>
      </c>
      <c r="F12881" s="415">
        <v>24</v>
      </c>
      <c r="G12881" s="415">
        <v>1</v>
      </c>
      <c r="H12881" s="416">
        <f>+G12881*F12881</f>
      </c>
    </row>
    <row r="12882" spans="1:8" ht="15.75" customHeight="1" x14ac:dyDescent="0.25">
      <c r="A12882" s="412">
        <v>2</v>
      </c>
      <c r="B12882" s="1047" t="s">
        <v>618</v>
      </c>
      <c r="C12882" s="422" t="s">
        <v>87</v>
      </c>
      <c r="D12882" s="626"/>
      <c r="E12882" s="626"/>
      <c r="F12882" s="415">
        <v>1</v>
      </c>
      <c r="G12882" s="619" t="s">
        <v>1856</v>
      </c>
      <c r="H12882" s="416"/>
    </row>
    <row r="12883" spans="1:8" ht="15.75" customHeight="1" x14ac:dyDescent="0.25">
      <c r="A12883" s="412"/>
      <c r="B12883" s="417"/>
      <c r="C12883" s="627"/>
      <c r="D12883" s="588"/>
      <c r="E12883" s="588"/>
      <c r="F12883" s="415"/>
      <c r="G12883" s="415"/>
      <c r="H12883" s="416"/>
    </row>
    <row r="12884" spans="1:8" ht="15.75" customHeight="1" x14ac:dyDescent="0.25">
      <c r="A12884" s="1050"/>
      <c r="B12884" s="417"/>
      <c r="C12884" s="627"/>
      <c r="D12884" s="588"/>
      <c r="E12884" s="588"/>
      <c r="F12884" s="415"/>
      <c r="G12884" s="415"/>
      <c r="H12884" s="416"/>
    </row>
    <row r="12885" spans="1:8" ht="15.75" customHeight="1" x14ac:dyDescent="0.25">
      <c r="A12885" s="1050"/>
      <c r="B12885" s="417"/>
      <c r="C12885" s="627"/>
      <c r="D12885" s="588"/>
      <c r="E12885" s="588"/>
      <c r="F12885" s="415"/>
      <c r="G12885" s="415"/>
      <c r="H12885" s="416"/>
    </row>
    <row r="12886" spans="1:8" ht="15.75" customHeight="1" x14ac:dyDescent="0.25">
      <c r="A12886" s="412"/>
      <c r="B12886" s="980"/>
      <c r="C12886" s="627"/>
      <c r="D12886" s="588"/>
      <c r="E12886" s="588"/>
      <c r="F12886" s="415"/>
      <c r="G12886" s="415"/>
      <c r="H12886" s="416"/>
    </row>
    <row r="12887" spans="1:8" ht="15.75" customHeight="1" x14ac:dyDescent="0.25">
      <c r="A12887" s="894"/>
      <c r="B12887" s="878"/>
      <c r="C12887" s="895"/>
      <c r="D12887" s="593"/>
      <c r="E12887" s="593"/>
      <c r="F12887" s="593"/>
      <c r="G12887" s="593"/>
      <c r="H12887" s="931"/>
    </row>
    <row r="12888" spans="1:8" ht="15.75" customHeight="1" x14ac:dyDescent="0.25">
      <c r="A12888" s="877"/>
      <c r="B12888" s="688"/>
      <c r="C12888" s="896" t="s">
        <v>85</v>
      </c>
      <c r="D12888" s="599">
        <f>SUM(D12881:D12887)</f>
      </c>
      <c r="E12888" s="401"/>
      <c r="F12888" s="599">
        <f>SUM(F12881:F12887)</f>
      </c>
      <c r="G12888" s="661"/>
      <c r="H12888" s="438">
        <f>SUM(H12881:H12887)</f>
      </c>
    </row>
    <row r="12889" spans="1:8" ht="15.75" customHeight="1" x14ac:dyDescent="0.25">
      <c r="A12889" s="932"/>
      <c r="B12889" s="933"/>
      <c r="C12889" s="934"/>
      <c r="D12889" s="431"/>
      <c r="E12889" s="935"/>
      <c r="F12889" s="935"/>
      <c r="G12889" s="936"/>
      <c r="H12889" s="444"/>
    </row>
    <row r="12890" spans="1:8" ht="15.75" customHeight="1" x14ac:dyDescent="0.25">
      <c r="A12890" s="994" t="s">
        <v>913</v>
      </c>
      <c r="B12890" s="391"/>
      <c r="C12890" s="391"/>
      <c r="D12890" s="391"/>
      <c r="E12890" s="390"/>
      <c r="F12890" s="392"/>
      <c r="G12890" s="390"/>
      <c r="H12890" s="394"/>
    </row>
    <row r="12891" spans="1:8" ht="15.75" customHeight="1" x14ac:dyDescent="0.25">
      <c r="A12891" s="445"/>
      <c r="B12891" s="445"/>
      <c r="C12891" s="445"/>
      <c r="D12891" s="446" t="s">
        <v>97</v>
      </c>
      <c r="E12891" s="445" t="s">
        <v>98</v>
      </c>
      <c r="F12891" s="445"/>
      <c r="G12891" s="390"/>
      <c r="H12891" s="394"/>
    </row>
    <row r="12892" spans="1:8" ht="15.75" customHeight="1" x14ac:dyDescent="0.25">
      <c r="A12892" s="390"/>
      <c r="B12892" s="390"/>
      <c r="C12892" s="390"/>
      <c r="D12892" s="391"/>
      <c r="E12892" s="390"/>
      <c r="F12892" s="390"/>
      <c r="G12892" s="390"/>
      <c r="H12892" s="394"/>
    </row>
    <row r="12893" spans="1:8" ht="15.75" customHeight="1" x14ac:dyDescent="0.25">
      <c r="A12893" s="390"/>
      <c r="B12893" s="390"/>
      <c r="C12893" s="390"/>
      <c r="D12893" s="391"/>
      <c r="E12893" s="390"/>
      <c r="F12893" s="390"/>
      <c r="G12893" s="390"/>
      <c r="H12893" s="394"/>
    </row>
    <row r="12894" spans="1:8" ht="15.75" customHeight="1" x14ac:dyDescent="0.25">
      <c r="A12894" s="445"/>
      <c r="B12894" s="445"/>
      <c r="C12894" s="445"/>
      <c r="D12894" s="446"/>
      <c r="E12894" s="445" t="s">
        <v>99</v>
      </c>
      <c r="F12894" s="445"/>
      <c r="G12894" s="390"/>
      <c r="H12894" s="394"/>
    </row>
    <row r="12895" spans="1:8" ht="15.75" customHeight="1" x14ac:dyDescent="0.25">
      <c r="D12895" s="4"/>
      <c r="H12895" s="4"/>
    </row>
    <row r="12896" spans="1:8" ht="15.75" customHeight="1" x14ac:dyDescent="0.25">
      <c r="D12896" s="4"/>
      <c r="H12896" s="4"/>
    </row>
    <row r="12897" spans="1:8" ht="15.75" customHeight="1" x14ac:dyDescent="0.25">
      <c r="D12897" s="4"/>
      <c r="H12897" s="4"/>
    </row>
    <row r="12898" spans="1:8" ht="15.75" customHeight="1" x14ac:dyDescent="0.25">
      <c r="D12898" s="4"/>
      <c r="H12898" s="4"/>
    </row>
    <row r="12899" spans="1:8" ht="15.75" customHeight="1" x14ac:dyDescent="0.25">
      <c r="D12899" s="4"/>
      <c r="H12899" s="4"/>
    </row>
    <row r="12900" spans="1:8" ht="15.75" customHeight="1" x14ac:dyDescent="0.25">
      <c r="D12900" s="4"/>
      <c r="H12900" s="4"/>
    </row>
    <row r="12901" spans="1:8" ht="15.75" customHeight="1" x14ac:dyDescent="0.25">
      <c r="D12901" s="4"/>
      <c r="H12901" s="4"/>
    </row>
    <row r="12902" spans="1:8" ht="15.75" customHeight="1" x14ac:dyDescent="0.25">
      <c r="D12902" s="4"/>
      <c r="H12902" s="4"/>
    </row>
    <row r="12903" spans="1:8" ht="15.75" customHeight="1" x14ac:dyDescent="0.25">
      <c r="D12903" s="4"/>
      <c r="H12903" s="4"/>
    </row>
    <row r="12904" spans="1:8" ht="15.75" customHeight="1" x14ac:dyDescent="0.25">
      <c r="D12904" s="4"/>
      <c r="H12904" s="4"/>
    </row>
    <row r="12905" spans="1:8" ht="15.75" customHeight="1" x14ac:dyDescent="0.25">
      <c r="D12905" s="4"/>
      <c r="H12905" s="4"/>
    </row>
    <row r="12906" spans="1:8" ht="15.75" customHeight="1" x14ac:dyDescent="0.25">
      <c r="D12906" s="4"/>
      <c r="H12906" s="4"/>
    </row>
    <row r="12907" spans="1:8" ht="15.75" customHeight="1" x14ac:dyDescent="0.25">
      <c r="D12907" s="4"/>
      <c r="H12907" s="4"/>
    </row>
    <row r="12908" spans="1:8" ht="15.75" customHeight="1" x14ac:dyDescent="0.25">
      <c r="D12908" s="4"/>
      <c r="H12908" s="4"/>
    </row>
    <row r="12909" spans="1:8" ht="15.75" customHeight="1" x14ac:dyDescent="0.25">
      <c r="D12909" s="4"/>
      <c r="H12909" s="4"/>
    </row>
    <row r="12910" spans="1:8" ht="15.75" customHeight="1" x14ac:dyDescent="0.25">
      <c r="D12910" s="4"/>
      <c r="H12910" s="4"/>
    </row>
    <row r="12911" spans="1:8" ht="15.75" customHeight="1" x14ac:dyDescent="0.25">
      <c r="D12911" s="4"/>
      <c r="H12911" s="4"/>
    </row>
    <row r="12912" spans="1:8" ht="15.75" customHeight="1" x14ac:dyDescent="0.25">
      <c r="A12912" s="8" t="s">
        <v>14</v>
      </c>
      <c r="B12912" s="8"/>
      <c r="C12912" s="8"/>
      <c r="D12912" s="8"/>
      <c r="E12912" s="8"/>
      <c r="F12912" s="8"/>
      <c r="G12912" s="8"/>
      <c r="H12912" s="8"/>
    </row>
    <row r="12913" spans="1:8" ht="15.75" customHeight="1" x14ac:dyDescent="0.25">
      <c r="A12913" s="388"/>
      <c r="B12913" s="388"/>
      <c r="C12913" s="388"/>
      <c r="D12913" s="389"/>
      <c r="E12913" s="388"/>
      <c r="F12913" s="388"/>
      <c r="G12913" s="388"/>
      <c r="H12913" s="8"/>
    </row>
    <row r="12914" spans="1:8" ht="15.75" customHeight="1" x14ac:dyDescent="0.25">
      <c r="A12914" s="390"/>
      <c r="B12914" s="390"/>
      <c r="C12914" s="390"/>
      <c r="D12914" s="391"/>
      <c r="E12914" s="390"/>
      <c r="F12914" s="395" t="s">
        <v>18</v>
      </c>
      <c r="G12914" s="396" t="s">
        <v>1140</v>
      </c>
      <c r="H12914" s="397"/>
    </row>
    <row r="12915" spans="1:8" ht="15.75" customHeight="1" x14ac:dyDescent="0.25">
      <c r="A12915" s="390" t="s">
        <v>20</v>
      </c>
      <c r="B12915" s="390"/>
      <c r="C12915" s="390"/>
      <c r="D12915" s="391"/>
      <c r="E12915" s="390"/>
      <c r="F12915" s="395" t="s">
        <v>21</v>
      </c>
      <c r="G12915" s="390" t="s">
        <v>2007</v>
      </c>
      <c r="H12915" s="391"/>
    </row>
    <row r="12916" spans="1:8" ht="15.75" customHeight="1" x14ac:dyDescent="0.25">
      <c r="A12916" s="390" t="inlineStr">
        <is>
          <t>Dealer-004</t>
        </is>
      </c>
      <c r="B12916" s="390"/>
      <c r="C12916" s="390"/>
      <c r="D12916" s="398"/>
      <c r="E12916" s="390"/>
      <c r="F12916" s="391"/>
      <c r="G12916" s="390"/>
      <c r="H12916" s="394"/>
    </row>
    <row r="12917" spans="1:8" ht="15.75" customHeight="1" x14ac:dyDescent="0.25">
      <c r="A12917" s="390" t="inlineStr">
        <is>
          <t>Address line (redacted)</t>
        </is>
      </c>
      <c r="B12917" s="390"/>
      <c r="C12917" s="390"/>
      <c r="D12917" s="398"/>
      <c r="E12917" s="390"/>
      <c r="F12917" s="391"/>
      <c r="G12917" s="390"/>
      <c r="H12917" s="394"/>
    </row>
    <row r="12918" spans="1:8" ht="15.75" customHeight="1" x14ac:dyDescent="0.25">
      <c r="A12918" s="390" t="inlineStr">
        <is>
          <t>Address line (redacted)</t>
        </is>
      </c>
      <c r="B12918" s="390"/>
      <c r="C12918" s="390"/>
      <c r="D12918" s="391"/>
      <c r="G12918" s="390"/>
      <c r="H12918" s="394"/>
    </row>
    <row r="12919" spans="1:8" ht="15.75" customHeight="1" x14ac:dyDescent="0.25">
      <c r="A12919" s="390"/>
      <c r="B12919" s="390"/>
      <c r="C12919" s="390"/>
      <c r="D12919" s="391"/>
      <c r="E12919" s="390"/>
      <c r="F12919" s="391"/>
      <c r="G12919" s="390"/>
      <c r="H12919" s="394"/>
    </row>
    <row r="12920" spans="1:8" ht="15.75" customHeight="1" x14ac:dyDescent="0.25">
      <c r="A12920" s="607" t="inlineStr">
        <is>
          <t>Dealer-021</t>
        </is>
      </c>
      <c r="B12920" s="607"/>
      <c r="C12920" s="607"/>
      <c r="D12920" s="398"/>
      <c r="E12920" s="393" t="inlineStr">
        <is>
          <t>ATTN: Contact-006</t>
        </is>
      </c>
      <c r="F12920" s="398"/>
      <c r="G12920" s="393"/>
      <c r="H12920" s="606"/>
    </row>
    <row r="12921" spans="1:8" ht="15.75" customHeight="1" x14ac:dyDescent="0.25">
      <c r="A12921" s="2" t="inlineStr">
        <is>
          <t>Address line (redacted)</t>
        </is>
      </c>
      <c r="B12921" s="390"/>
      <c r="C12921" s="390"/>
      <c r="D12921" s="391"/>
      <c r="E12921" s="390"/>
      <c r="F12921" s="391"/>
      <c r="G12921" s="390"/>
      <c r="H12921" s="394"/>
    </row>
    <row r="12922" spans="1:8" ht="15.75" customHeight="1" x14ac:dyDescent="0.25">
      <c r="B12922" s="390"/>
      <c r="C12922" s="390"/>
      <c r="D12922" s="391"/>
      <c r="E12922" s="390"/>
      <c r="F12922" s="391"/>
      <c r="G12922" s="390"/>
      <c r="H12922" s="394"/>
    </row>
    <row r="12923" spans="1:8" ht="15.75" customHeight="1" x14ac:dyDescent="0.25">
      <c r="A12923" s="390" t="s">
        <v>30</v>
      </c>
      <c r="B12923" s="390"/>
      <c r="C12923" s="390"/>
      <c r="D12923" s="391"/>
      <c r="E12923" s="390"/>
      <c r="F12923" s="391"/>
      <c r="G12923" s="390"/>
      <c r="H12923" s="394"/>
    </row>
    <row r="12924" spans="1:8" ht="15.75" customHeight="1" x14ac:dyDescent="0.25">
      <c r="A12924" s="390"/>
      <c r="B12924" s="390"/>
      <c r="C12924" s="390"/>
      <c r="D12924" s="391"/>
      <c r="E12924" s="390"/>
      <c r="F12924" s="391"/>
      <c r="G12924" s="390"/>
      <c r="H12924" s="394"/>
    </row>
    <row r="12925" spans="1:8" ht="15.75" customHeight="1" x14ac:dyDescent="0.25">
      <c r="A12925" s="390" t="s">
        <v>716</v>
      </c>
      <c r="B12925" s="390"/>
      <c r="C12925" s="390"/>
      <c r="D12925" s="391"/>
      <c r="E12925" s="390"/>
      <c r="F12925" s="391"/>
      <c r="G12925" s="390"/>
      <c r="H12925" s="394"/>
    </row>
    <row r="12926" spans="1:8" ht="15.75" customHeight="1" x14ac:dyDescent="0.25">
      <c r="A12926" s="390" t="s">
        <v>717</v>
      </c>
      <c r="B12926" s="390"/>
      <c r="C12926" s="390"/>
      <c r="D12926" s="391"/>
      <c r="E12926" s="390"/>
      <c r="F12926" s="391"/>
      <c r="G12926" s="390"/>
      <c r="H12926" s="394"/>
    </row>
    <row r="12927" spans="1:8" ht="15.75" customHeight="1" x14ac:dyDescent="0.25">
      <c r="A12927" s="390"/>
      <c r="B12927" s="390"/>
      <c r="C12927" s="390"/>
      <c r="D12927" s="391"/>
      <c r="E12927" s="390"/>
      <c r="F12927" s="391"/>
      <c r="G12927" s="390"/>
      <c r="H12927" s="394"/>
    </row>
    <row r="12928" spans="1:8" ht="15.75" customHeight="1" x14ac:dyDescent="0.25">
      <c r="A12928" s="948" t="s">
        <v>33</v>
      </c>
      <c r="B12928" s="949" t="s">
        <v>6</v>
      </c>
      <c r="C12928" s="950"/>
      <c r="D12928" s="874" t="s">
        <v>37</v>
      </c>
      <c r="E12928" s="874" t="s">
        <v>38</v>
      </c>
      <c r="F12928" s="875" t="s">
        <v>7</v>
      </c>
      <c r="G12928" s="872" t="s">
        <v>43</v>
      </c>
      <c r="H12928" s="876" t="s">
        <v>44</v>
      </c>
    </row>
    <row r="12929" spans="1:8" ht="15.75" customHeight="1" x14ac:dyDescent="0.25">
      <c r="A12929" s="877"/>
      <c r="B12929" s="578"/>
      <c r="C12929" s="627"/>
      <c r="D12929" s="578"/>
      <c r="E12929" s="578"/>
      <c r="F12929" s="878"/>
      <c r="G12929" s="578"/>
      <c r="H12929" s="416"/>
    </row>
    <row r="12930" spans="1:8" ht="15.75" customHeight="1" x14ac:dyDescent="0.25">
      <c r="A12930" s="412"/>
      <c r="B12930" s="883" t="s">
        <v>1356</v>
      </c>
      <c r="C12930" s="883"/>
      <c r="D12930" s="588"/>
      <c r="E12930" s="879"/>
      <c r="F12930" s="415"/>
      <c r="G12930" s="415"/>
      <c r="H12930" s="416"/>
    </row>
    <row r="12931" spans="1:8" ht="15.75" customHeight="1" x14ac:dyDescent="0.25">
      <c r="A12931" s="412">
        <v>1</v>
      </c>
      <c r="B12931" s="417" t="s">
        <v>143</v>
      </c>
      <c r="C12931" s="993" t="s">
        <v>339</v>
      </c>
      <c r="D12931" s="626">
        <v>1</v>
      </c>
      <c r="E12931" s="879">
        <v>5</v>
      </c>
      <c r="F12931" s="593">
        <f t="shared" ref="F12931:F12942" si="477">+E12931*D12931</f>
      </c>
      <c r="G12931" s="415">
        <v>1</v>
      </c>
      <c r="H12931" s="416">
        <f t="shared" ref="H12931:H12942" si="478">+G12931*F12931</f>
      </c>
    </row>
    <row r="12932" spans="1:8" ht="15.75" customHeight="1" x14ac:dyDescent="0.25">
      <c r="A12932" s="412">
        <v>2</v>
      </c>
      <c r="B12932" s="417" t="s">
        <v>655</v>
      </c>
      <c r="C12932" s="993" t="s">
        <v>94</v>
      </c>
      <c r="D12932" s="626">
        <v>1</v>
      </c>
      <c r="E12932" s="879">
        <v>5</v>
      </c>
      <c r="F12932" s="593">
        <f t="shared" si="477"/>
      </c>
      <c r="G12932" s="415">
        <v>1</v>
      </c>
      <c r="H12932" s="416">
        <f t="shared" si="478"/>
      </c>
    </row>
    <row r="12933" spans="1:8" ht="15.75" customHeight="1" x14ac:dyDescent="0.25">
      <c r="A12933" s="412">
        <v>3</v>
      </c>
      <c r="B12933" s="982" t="s">
        <v>126</v>
      </c>
      <c r="C12933" s="993" t="s">
        <v>325</v>
      </c>
      <c r="D12933" s="626">
        <v>1</v>
      </c>
      <c r="E12933" s="879">
        <v>5</v>
      </c>
      <c r="F12933" s="593">
        <f t="shared" si="477"/>
      </c>
      <c r="G12933" s="415">
        <v>1</v>
      </c>
      <c r="H12933" s="416">
        <f t="shared" si="478"/>
      </c>
    </row>
    <row r="12934" spans="1:8" ht="15.75" customHeight="1" x14ac:dyDescent="0.25">
      <c r="A12934" s="412">
        <v>4</v>
      </c>
      <c r="B12934" s="982" t="s">
        <v>146</v>
      </c>
      <c r="C12934" s="993" t="s">
        <v>342</v>
      </c>
      <c r="D12934" s="626">
        <v>1</v>
      </c>
      <c r="E12934" s="879">
        <v>5</v>
      </c>
      <c r="F12934" s="593">
        <f t="shared" si="477"/>
      </c>
      <c r="G12934" s="593">
        <v>1</v>
      </c>
      <c r="H12934" s="416">
        <f t="shared" si="478"/>
      </c>
    </row>
    <row r="12935" spans="1:8" ht="15.75" customHeight="1" x14ac:dyDescent="0.25">
      <c r="A12935" s="412">
        <v>5</v>
      </c>
      <c r="B12935" s="982" t="s">
        <v>145</v>
      </c>
      <c r="C12935" s="993" t="s">
        <v>341</v>
      </c>
      <c r="D12935" s="626">
        <v>1</v>
      </c>
      <c r="E12935" s="879">
        <v>5</v>
      </c>
      <c r="F12935" s="593">
        <f t="shared" si="477"/>
      </c>
      <c r="G12935" s="593">
        <v>1</v>
      </c>
      <c r="H12935" s="416">
        <f t="shared" si="478"/>
      </c>
    </row>
    <row r="12936" spans="1:8" ht="15.75" customHeight="1" x14ac:dyDescent="0.25">
      <c r="A12936" s="412">
        <v>6</v>
      </c>
      <c r="B12936" s="982" t="s">
        <v>136</v>
      </c>
      <c r="C12936" s="415" t="s">
        <v>334</v>
      </c>
      <c r="D12936" s="626">
        <v>1</v>
      </c>
      <c r="E12936" s="879">
        <v>5</v>
      </c>
      <c r="F12936" s="593">
        <f t="shared" si="477"/>
      </c>
      <c r="G12936" s="593">
        <v>1</v>
      </c>
      <c r="H12936" s="416">
        <f t="shared" si="478"/>
      </c>
    </row>
    <row r="12937" spans="1:8" ht="15.75" customHeight="1" x14ac:dyDescent="0.25">
      <c r="A12937" s="412">
        <v>7</v>
      </c>
      <c r="B12937" s="982" t="s">
        <v>81</v>
      </c>
      <c r="C12937" s="415" t="s">
        <v>82</v>
      </c>
      <c r="D12937" s="626">
        <v>1</v>
      </c>
      <c r="E12937" s="879">
        <v>5</v>
      </c>
      <c r="F12937" s="593">
        <f t="shared" si="477"/>
      </c>
      <c r="G12937" s="593">
        <v>1</v>
      </c>
      <c r="H12937" s="416">
        <f t="shared" si="478"/>
      </c>
    </row>
    <row r="12938" spans="1:8" ht="15.75" customHeight="1" x14ac:dyDescent="0.25">
      <c r="A12938" s="412">
        <v>8</v>
      </c>
      <c r="B12938" s="982" t="s">
        <v>815</v>
      </c>
      <c r="C12938" s="415" t="s">
        <v>84</v>
      </c>
      <c r="D12938" s="626">
        <v>2</v>
      </c>
      <c r="E12938" s="879">
        <v>5</v>
      </c>
      <c r="F12938" s="593">
        <f t="shared" si="477"/>
      </c>
      <c r="G12938" s="593">
        <v>1</v>
      </c>
      <c r="H12938" s="416">
        <f t="shared" si="478"/>
      </c>
    </row>
    <row r="12939" spans="1:8" ht="15.75" customHeight="1" x14ac:dyDescent="0.25">
      <c r="A12939" s="412">
        <v>9</v>
      </c>
      <c r="B12939" s="982" t="s">
        <v>1924</v>
      </c>
      <c r="C12939" s="415" t="s">
        <v>96</v>
      </c>
      <c r="D12939" s="626">
        <v>1</v>
      </c>
      <c r="E12939" s="879">
        <v>5</v>
      </c>
      <c r="F12939" s="593">
        <f t="shared" si="477"/>
      </c>
      <c r="G12939" s="593">
        <v>1</v>
      </c>
      <c r="H12939" s="416">
        <f t="shared" si="478"/>
      </c>
    </row>
    <row r="12940" spans="1:8" ht="15.75" customHeight="1" x14ac:dyDescent="0.25">
      <c r="A12940" s="412">
        <v>10</v>
      </c>
      <c r="B12940" s="982" t="s">
        <v>129</v>
      </c>
      <c r="C12940" s="415" t="s">
        <v>328</v>
      </c>
      <c r="D12940" s="626">
        <v>1</v>
      </c>
      <c r="E12940" s="879">
        <v>5</v>
      </c>
      <c r="F12940" s="593">
        <f t="shared" si="477"/>
      </c>
      <c r="G12940" s="593">
        <v>1</v>
      </c>
      <c r="H12940" s="416">
        <f t="shared" si="478"/>
      </c>
    </row>
    <row r="12941" spans="1:8" ht="15.75" customHeight="1" x14ac:dyDescent="0.25">
      <c r="A12941" s="412">
        <v>11</v>
      </c>
      <c r="B12941" s="982" t="s">
        <v>2118</v>
      </c>
      <c r="C12941" s="415" t="s">
        <v>321</v>
      </c>
      <c r="D12941" s="588">
        <v>1</v>
      </c>
      <c r="E12941" s="879">
        <v>5</v>
      </c>
      <c r="F12941" s="593">
        <f t="shared" si="477"/>
      </c>
      <c r="G12941" s="593">
        <v>1</v>
      </c>
      <c r="H12941" s="416">
        <f t="shared" si="478"/>
      </c>
    </row>
    <row r="12942" spans="1:8" ht="15.75" customHeight="1" x14ac:dyDescent="0.25">
      <c r="A12942" s="412">
        <v>12</v>
      </c>
      <c r="B12942" s="353" t="s">
        <v>120</v>
      </c>
      <c r="C12942" s="415" t="s">
        <v>298</v>
      </c>
      <c r="D12942" s="626">
        <v>2</v>
      </c>
      <c r="E12942" s="879">
        <v>5</v>
      </c>
      <c r="F12942" s="593">
        <f t="shared" si="477"/>
      </c>
      <c r="G12942" s="593">
        <v>1</v>
      </c>
      <c r="H12942" s="416">
        <f t="shared" si="478"/>
      </c>
    </row>
    <row r="12943" spans="1:8" ht="15.75" customHeight="1" x14ac:dyDescent="0.25">
      <c r="A12943" s="412"/>
      <c r="B12943" s="883" t="s">
        <v>1822</v>
      </c>
      <c r="C12943" s="883"/>
      <c r="D12943" s="633"/>
      <c r="E12943" s="1074"/>
      <c r="F12943" s="593"/>
      <c r="G12943" s="593"/>
      <c r="H12943" s="931"/>
    </row>
    <row r="12944" spans="1:8" ht="15.75" customHeight="1" x14ac:dyDescent="0.25">
      <c r="A12944" s="412">
        <v>13</v>
      </c>
      <c r="B12944" s="353" t="s">
        <v>646</v>
      </c>
      <c r="C12944" s="977"/>
      <c r="D12944" s="588">
        <v>1</v>
      </c>
      <c r="E12944" s="879">
        <v>10</v>
      </c>
      <c r="F12944" s="593">
        <f t="shared" ref="F12944:F12945" si="479">+E12944*D12944</f>
      </c>
      <c r="G12944" s="593">
        <v>1</v>
      </c>
      <c r="H12944" s="931">
        <f t="shared" ref="H12944:H12945" si="480">+G12944*F12944</f>
      </c>
    </row>
    <row r="12945" spans="1:8" ht="15.75" customHeight="1" x14ac:dyDescent="0.25">
      <c r="A12945" s="412">
        <v>14</v>
      </c>
      <c r="B12945" s="353" t="s">
        <v>658</v>
      </c>
      <c r="C12945" s="977"/>
      <c r="D12945" s="588">
        <v>2</v>
      </c>
      <c r="E12945" s="879">
        <v>10</v>
      </c>
      <c r="F12945" s="593">
        <f t="shared" si="479"/>
      </c>
      <c r="G12945" s="593">
        <v>1</v>
      </c>
      <c r="H12945" s="931">
        <f t="shared" si="480"/>
      </c>
    </row>
    <row r="12946" spans="1:8" ht="15.75" customHeight="1" x14ac:dyDescent="0.25">
      <c r="A12946" s="412"/>
      <c r="B12946" s="883" t="s">
        <v>1873</v>
      </c>
      <c r="C12946" s="883"/>
      <c r="D12946" s="633"/>
      <c r="E12946" s="1075"/>
      <c r="F12946" s="593"/>
      <c r="G12946" s="593"/>
      <c r="H12946" s="931"/>
    </row>
    <row r="12947" spans="1:8" ht="15.75" customHeight="1" x14ac:dyDescent="0.25">
      <c r="A12947" s="412">
        <v>15</v>
      </c>
      <c r="B12947" s="353" t="s">
        <v>624</v>
      </c>
      <c r="C12947" s="977"/>
      <c r="D12947" s="592">
        <v>3</v>
      </c>
      <c r="E12947" s="929">
        <v>10</v>
      </c>
      <c r="F12947" s="415">
        <v>29</v>
      </c>
      <c r="G12947" s="415">
        <v>1</v>
      </c>
      <c r="H12947" s="931">
        <f>+G12947*F12947</f>
      </c>
    </row>
    <row r="12948" spans="1:8" ht="15.75" customHeight="1" x14ac:dyDescent="0.25">
      <c r="A12948" s="412"/>
      <c r="B12948" s="353"/>
      <c r="C12948" s="977"/>
      <c r="D12948" s="626"/>
      <c r="E12948" s="930"/>
      <c r="F12948" s="415">
        <v>1</v>
      </c>
      <c r="G12948" s="619" t="s">
        <v>1856</v>
      </c>
      <c r="H12948" s="931"/>
    </row>
    <row r="12949" spans="1:8" ht="15.75" customHeight="1" x14ac:dyDescent="0.25">
      <c r="A12949" s="412"/>
      <c r="B12949" s="353"/>
      <c r="C12949" s="977"/>
      <c r="D12949" s="633"/>
      <c r="E12949" s="1075"/>
      <c r="F12949" s="427"/>
      <c r="G12949" s="427"/>
      <c r="H12949" s="931"/>
    </row>
    <row r="12950" spans="1:8" ht="15.75" customHeight="1" x14ac:dyDescent="0.25">
      <c r="A12950" s="412"/>
      <c r="B12950" s="353"/>
      <c r="C12950" s="977"/>
      <c r="D12950" s="633"/>
      <c r="E12950" s="1074"/>
      <c r="F12950" s="593"/>
      <c r="G12950" s="593"/>
      <c r="H12950" s="931"/>
    </row>
    <row r="12951" spans="1:8" ht="15.75" customHeight="1" x14ac:dyDescent="0.25">
      <c r="A12951" s="894"/>
      <c r="B12951" s="983"/>
      <c r="C12951" s="895"/>
      <c r="D12951" s="593"/>
      <c r="E12951" s="593"/>
      <c r="F12951" s="593"/>
      <c r="G12951" s="593"/>
      <c r="H12951" s="931"/>
    </row>
    <row r="12952" spans="1:8" ht="15.75" customHeight="1" x14ac:dyDescent="0.25">
      <c r="A12952" s="877"/>
      <c r="B12952" s="688"/>
      <c r="C12952" s="896" t="s">
        <v>85</v>
      </c>
      <c r="D12952" s="401">
        <f>SUM(D12931:D12951)</f>
      </c>
      <c r="E12952" s="401"/>
      <c r="F12952" s="401">
        <f>SUM(F12931:F12951)</f>
      </c>
      <c r="G12952" s="661"/>
      <c r="H12952" s="623">
        <f>SUM(H12931:H12951)</f>
      </c>
    </row>
    <row r="12953" spans="1:8" ht="15.75" customHeight="1" x14ac:dyDescent="0.25">
      <c r="A12953" s="932"/>
      <c r="B12953" s="933"/>
      <c r="C12953" s="934"/>
      <c r="D12953" s="431"/>
      <c r="E12953" s="935"/>
      <c r="F12953" s="935"/>
      <c r="G12953" s="936"/>
      <c r="H12953" s="444"/>
    </row>
    <row r="12954" spans="1:8" ht="15.75" customHeight="1" x14ac:dyDescent="0.25">
      <c r="A12954" s="392" t="s">
        <v>913</v>
      </c>
      <c r="B12954" s="391"/>
      <c r="C12954" s="391"/>
      <c r="D12954" s="391"/>
      <c r="E12954" s="390"/>
      <c r="F12954" s="392"/>
      <c r="G12954" s="390"/>
      <c r="H12954" s="394"/>
    </row>
    <row r="12955" spans="1:8" ht="15.75" customHeight="1" x14ac:dyDescent="0.25">
      <c r="A12955" s="445"/>
      <c r="B12955" s="445"/>
      <c r="C12955" s="445"/>
      <c r="D12955" s="446"/>
      <c r="E12955" s="607" t="s">
        <v>2339</v>
      </c>
      <c r="F12955" s="608"/>
      <c r="G12955" s="390"/>
      <c r="H12955" s="394"/>
    </row>
    <row r="12956" spans="1:8" ht="15.75" customHeight="1" x14ac:dyDescent="0.25">
      <c r="A12956" s="445"/>
      <c r="B12956" s="445"/>
      <c r="C12956" s="445"/>
      <c r="D12956" s="446"/>
      <c r="E12956" s="445"/>
      <c r="F12956" s="445"/>
      <c r="G12956" s="390"/>
      <c r="H12956" s="394"/>
    </row>
    <row r="12957" spans="1:8" ht="15.75" customHeight="1" x14ac:dyDescent="0.25">
      <c r="A12957" s="445"/>
      <c r="B12957" s="445"/>
      <c r="C12957" s="445"/>
      <c r="D12957" s="446"/>
      <c r="E12957" s="445"/>
      <c r="F12957" s="445"/>
      <c r="G12957" s="390"/>
      <c r="H12957" s="394"/>
    </row>
    <row r="12958" spans="1:8" ht="15.75" customHeight="1" x14ac:dyDescent="0.25">
      <c r="A12958" s="8" t="s">
        <v>14</v>
      </c>
      <c r="B12958" s="8"/>
      <c r="C12958" s="8"/>
      <c r="D12958" s="8"/>
      <c r="E12958" s="8"/>
      <c r="F12958" s="8"/>
      <c r="G12958" s="8"/>
      <c r="H12958" s="8"/>
    </row>
    <row r="12959" spans="1:8" ht="15.75" customHeight="1" x14ac:dyDescent="0.25">
      <c r="A12959" s="388"/>
      <c r="B12959" s="388"/>
      <c r="C12959" s="388"/>
      <c r="D12959" s="389"/>
      <c r="E12959" s="388"/>
      <c r="F12959" s="388"/>
      <c r="G12959" s="388"/>
      <c r="H12959" s="8"/>
    </row>
    <row r="12960" spans="1:8" ht="15.75" customHeight="1" x14ac:dyDescent="0.25">
      <c r="A12960" s="390"/>
      <c r="B12960" s="390"/>
      <c r="C12960" s="391"/>
      <c r="D12960" s="392"/>
      <c r="E12960" s="393"/>
      <c r="F12960" s="393"/>
      <c r="G12960" s="393"/>
      <c r="H12960" s="394"/>
    </row>
    <row r="12961" spans="1:8" ht="15.75" customHeight="1" x14ac:dyDescent="0.25">
      <c r="A12961" s="390"/>
      <c r="B12961" s="390"/>
      <c r="C12961" s="390"/>
      <c r="D12961" s="391"/>
      <c r="E12961" s="390"/>
      <c r="F12961" s="395" t="s">
        <v>18</v>
      </c>
      <c r="G12961" s="396" t="s">
        <v>1140</v>
      </c>
      <c r="H12961" s="397"/>
    </row>
    <row r="12962" spans="1:8" ht="15.75" customHeight="1" x14ac:dyDescent="0.25">
      <c r="A12962" s="390" t="s">
        <v>20</v>
      </c>
      <c r="B12962" s="390"/>
      <c r="C12962" s="390"/>
      <c r="D12962" s="391"/>
      <c r="E12962" s="390"/>
      <c r="F12962" s="395" t="s">
        <v>21</v>
      </c>
      <c r="G12962" s="390" t="s">
        <v>2007</v>
      </c>
      <c r="H12962" s="391"/>
    </row>
    <row r="12963" spans="1:8" ht="15.75" customHeight="1" x14ac:dyDescent="0.25">
      <c r="A12963" s="390" t="inlineStr">
        <is>
          <t>Dealer-004</t>
        </is>
      </c>
      <c r="B12963" s="390"/>
      <c r="C12963" s="390"/>
      <c r="D12963" s="398"/>
      <c r="E12963" s="390"/>
      <c r="F12963" s="391"/>
      <c r="G12963" s="390"/>
      <c r="H12963" s="394"/>
    </row>
    <row r="12964" spans="1:8" ht="15.75" customHeight="1" x14ac:dyDescent="0.25">
      <c r="A12964" s="390" t="inlineStr">
        <is>
          <t>Address line (redacted)</t>
        </is>
      </c>
      <c r="B12964" s="390"/>
      <c r="C12964" s="390"/>
      <c r="D12964" s="398"/>
      <c r="E12964" s="390"/>
      <c r="F12964" s="391"/>
      <c r="G12964" s="390"/>
      <c r="H12964" s="394"/>
    </row>
    <row r="12965" spans="1:8" ht="15.75" customHeight="1" x14ac:dyDescent="0.25">
      <c r="A12965" s="390" t="inlineStr">
        <is>
          <t>Address line (redacted)</t>
        </is>
      </c>
      <c r="B12965" s="390"/>
      <c r="C12965" s="390"/>
      <c r="D12965" s="391"/>
      <c r="E12965" s="607" t="s">
        <v>2289</v>
      </c>
      <c r="F12965" s="608"/>
      <c r="G12965" s="390"/>
      <c r="H12965" s="394"/>
    </row>
    <row r="12966" spans="1:8" ht="15.75" customHeight="1" x14ac:dyDescent="0.25">
      <c r="A12966" s="390"/>
      <c r="B12966" s="390"/>
      <c r="C12966" s="390"/>
      <c r="D12966" s="391"/>
      <c r="E12966" s="390"/>
      <c r="F12966" s="391"/>
      <c r="G12966" s="390"/>
      <c r="H12966" s="394"/>
    </row>
    <row r="12967" spans="1:8" ht="15.75" customHeight="1" x14ac:dyDescent="0.25">
      <c r="A12967" s="607" t="inlineStr">
        <is>
          <t>Dealer-021</t>
        </is>
      </c>
      <c r="B12967" s="607"/>
      <c r="C12967" s="607"/>
      <c r="D12967" s="398"/>
      <c r="E12967" s="393" t="inlineStr">
        <is>
          <t>ATTN: Contact-006</t>
        </is>
      </c>
      <c r="F12967" s="398"/>
      <c r="G12967" s="393"/>
      <c r="H12967" s="606"/>
    </row>
    <row r="12968" spans="1:8" ht="15.75" customHeight="1" x14ac:dyDescent="0.25">
      <c r="A12968" s="2" t="inlineStr">
        <is>
          <t>Address line (redacted)</t>
        </is>
      </c>
      <c r="B12968" s="390"/>
      <c r="C12968" s="390"/>
      <c r="D12968" s="391"/>
      <c r="E12968" s="390"/>
      <c r="F12968" s="391"/>
      <c r="G12968" s="390"/>
      <c r="H12968" s="394"/>
    </row>
    <row r="12969" spans="1:8" ht="15.75" customHeight="1" x14ac:dyDescent="0.25">
      <c r="B12969" s="390"/>
      <c r="C12969" s="390"/>
      <c r="D12969" s="391"/>
      <c r="E12969" s="390"/>
      <c r="F12969" s="391"/>
      <c r="G12969" s="390"/>
      <c r="H12969" s="394"/>
    </row>
    <row r="12970" spans="1:8" ht="15.75" customHeight="1" x14ac:dyDescent="0.25">
      <c r="A12970" s="390" t="s">
        <v>30</v>
      </c>
      <c r="B12970" s="390"/>
      <c r="C12970" s="390"/>
      <c r="D12970" s="391"/>
      <c r="E12970" s="390"/>
      <c r="F12970" s="391"/>
      <c r="G12970" s="390"/>
      <c r="H12970" s="394"/>
    </row>
    <row r="12971" spans="1:8" ht="15.75" customHeight="1" x14ac:dyDescent="0.25">
      <c r="A12971" s="390"/>
      <c r="B12971" s="390"/>
      <c r="C12971" s="390"/>
      <c r="D12971" s="391"/>
      <c r="E12971" s="390"/>
      <c r="F12971" s="391"/>
      <c r="G12971" s="390"/>
      <c r="H12971" s="394"/>
    </row>
    <row r="12972" spans="1:8" ht="15.75" customHeight="1" x14ac:dyDescent="0.25">
      <c r="A12972" s="390" t="s">
        <v>716</v>
      </c>
      <c r="B12972" s="390"/>
      <c r="C12972" s="390"/>
      <c r="D12972" s="391"/>
      <c r="E12972" s="390"/>
      <c r="F12972" s="391"/>
      <c r="G12972" s="390"/>
      <c r="H12972" s="394"/>
    </row>
    <row r="12973" spans="1:8" ht="15.75" customHeight="1" x14ac:dyDescent="0.25">
      <c r="A12973" s="390" t="s">
        <v>717</v>
      </c>
      <c r="B12973" s="390"/>
      <c r="C12973" s="390"/>
      <c r="D12973" s="391"/>
      <c r="E12973" s="390"/>
      <c r="F12973" s="391"/>
      <c r="G12973" s="390"/>
      <c r="H12973" s="394"/>
    </row>
    <row r="12974" spans="1:8" ht="15.75" customHeight="1" x14ac:dyDescent="0.25">
      <c r="A12974" s="390"/>
      <c r="B12974" s="390"/>
      <c r="C12974" s="390"/>
      <c r="D12974" s="391"/>
      <c r="E12974" s="390"/>
      <c r="F12974" s="391"/>
      <c r="G12974" s="390"/>
      <c r="H12974" s="394"/>
    </row>
    <row r="12975" spans="1:8" ht="15.75" customHeight="1" x14ac:dyDescent="0.25">
      <c r="A12975" s="948" t="s">
        <v>33</v>
      </c>
      <c r="B12975" s="949" t="s">
        <v>6</v>
      </c>
      <c r="C12975" s="950"/>
      <c r="D12975" s="874" t="s">
        <v>37</v>
      </c>
      <c r="E12975" s="874" t="s">
        <v>38</v>
      </c>
      <c r="F12975" s="875" t="s">
        <v>7</v>
      </c>
      <c r="G12975" s="872" t="s">
        <v>43</v>
      </c>
      <c r="H12975" s="876" t="s">
        <v>44</v>
      </c>
    </row>
    <row r="12976" spans="1:8" ht="15" customHeight="1" x14ac:dyDescent="0.25">
      <c r="A12976" s="877"/>
      <c r="B12976" s="578"/>
      <c r="C12976" s="627"/>
      <c r="D12976" s="578"/>
      <c r="E12976" s="578"/>
      <c r="F12976" s="878"/>
      <c r="G12976" s="578"/>
      <c r="H12976" s="416"/>
    </row>
    <row r="12977" spans="1:8" ht="15.75" customHeight="1" x14ac:dyDescent="0.25">
      <c r="A12977" s="412"/>
      <c r="B12977" s="883" t="s">
        <v>590</v>
      </c>
      <c r="C12977" s="883"/>
      <c r="D12977" s="633"/>
      <c r="E12977" s="1074"/>
      <c r="F12977" s="593"/>
      <c r="G12977" s="593"/>
      <c r="H12977" s="416"/>
    </row>
    <row r="12978" spans="1:8" ht="15.75" customHeight="1" x14ac:dyDescent="0.25">
      <c r="A12978" s="412">
        <v>16</v>
      </c>
      <c r="B12978" s="353" t="s">
        <v>3</v>
      </c>
      <c r="C12978" s="593" t="s">
        <v>377</v>
      </c>
      <c r="D12978" s="633">
        <v>1</v>
      </c>
      <c r="E12978" s="1074">
        <v>6</v>
      </c>
      <c r="F12978" s="593">
        <f t="shared" ref="F12978:F12981" si="481">+E12978*D12978</f>
      </c>
      <c r="G12978" s="593">
        <v>1</v>
      </c>
      <c r="H12978" s="416">
        <f t="shared" ref="H12978:H12981" si="482">+G12978*F12978</f>
      </c>
    </row>
    <row r="12979" spans="1:8" ht="15.75" customHeight="1" x14ac:dyDescent="0.25">
      <c r="A12979" s="412">
        <v>17</v>
      </c>
      <c r="B12979" s="353" t="s">
        <v>135</v>
      </c>
      <c r="C12979" s="593" t="s">
        <v>383</v>
      </c>
      <c r="D12979" s="633">
        <v>1</v>
      </c>
      <c r="E12979" s="1074">
        <v>6</v>
      </c>
      <c r="F12979" s="593">
        <f t="shared" si="481"/>
      </c>
      <c r="G12979" s="593">
        <v>1</v>
      </c>
      <c r="H12979" s="416">
        <f t="shared" si="482"/>
      </c>
    </row>
    <row r="12980" spans="1:8" ht="15.75" customHeight="1" x14ac:dyDescent="0.25">
      <c r="A12980" s="412">
        <v>18</v>
      </c>
      <c r="B12980" s="353" t="s">
        <v>125</v>
      </c>
      <c r="C12980" s="593" t="s">
        <v>386</v>
      </c>
      <c r="D12980" s="633">
        <v>1</v>
      </c>
      <c r="E12980" s="1074">
        <v>4</v>
      </c>
      <c r="F12980" s="593">
        <f t="shared" si="481"/>
      </c>
      <c r="G12980" s="593">
        <v>1</v>
      </c>
      <c r="H12980" s="416">
        <f t="shared" si="482"/>
      </c>
    </row>
    <row r="12981" spans="1:8" ht="15.75" customHeight="1" x14ac:dyDescent="0.25">
      <c r="A12981" s="412">
        <v>19</v>
      </c>
      <c r="B12981" s="353" t="s">
        <v>1550</v>
      </c>
      <c r="C12981" s="593" t="s">
        <v>403</v>
      </c>
      <c r="D12981" s="633">
        <v>1</v>
      </c>
      <c r="E12981" s="1074">
        <v>8</v>
      </c>
      <c r="F12981" s="593">
        <f t="shared" si="481"/>
      </c>
      <c r="G12981" s="593">
        <v>1</v>
      </c>
      <c r="H12981" s="416">
        <f t="shared" si="482"/>
      </c>
    </row>
    <row r="12982" spans="1:8" ht="15.75" customHeight="1" x14ac:dyDescent="0.25">
      <c r="A12982" s="412"/>
      <c r="B12982" s="982"/>
      <c r="C12982" s="418"/>
      <c r="D12982" s="415"/>
      <c r="E12982" s="415"/>
      <c r="F12982" s="415"/>
      <c r="G12982" s="593"/>
      <c r="H12982" s="416"/>
    </row>
    <row r="12983" spans="1:8" ht="15.75" customHeight="1" x14ac:dyDescent="0.25">
      <c r="A12983" s="894"/>
      <c r="B12983" s="983"/>
      <c r="C12983" s="895"/>
      <c r="D12983" s="593"/>
      <c r="E12983" s="593"/>
      <c r="F12983" s="593"/>
      <c r="G12983" s="593"/>
      <c r="H12983" s="931"/>
    </row>
    <row r="12984" spans="1:8" ht="15.75" customHeight="1" x14ac:dyDescent="0.25">
      <c r="A12984" s="877"/>
      <c r="B12984" s="688"/>
      <c r="C12984" s="896" t="s">
        <v>85</v>
      </c>
      <c r="D12984" s="401">
        <f>+D12981+D12980+D12979+D12978+D12952</f>
      </c>
      <c r="E12984" s="401"/>
      <c r="F12984" s="401">
        <f>+F12981+F12980+F12979+F12978+F12952</f>
      </c>
      <c r="G12984" s="661"/>
      <c r="H12984" s="623">
        <f>+H12983+H12982+H12981+H12980+H12979+H12978+H12952</f>
      </c>
    </row>
    <row r="12985" spans="1:8" ht="15.75" customHeight="1" x14ac:dyDescent="0.25">
      <c r="A12985" s="932"/>
      <c r="B12985" s="933"/>
      <c r="C12985" s="934"/>
      <c r="D12985" s="431"/>
      <c r="E12985" s="935"/>
      <c r="F12985" s="935"/>
      <c r="G12985" s="936"/>
      <c r="H12985" s="444"/>
    </row>
    <row r="12986" spans="1:8" ht="15.75" customHeight="1" x14ac:dyDescent="0.25">
      <c r="A12986" s="392" t="s">
        <v>913</v>
      </c>
      <c r="B12986" s="391"/>
      <c r="C12986" s="391"/>
      <c r="D12986" s="391"/>
      <c r="E12986" s="390"/>
      <c r="F12986" s="392"/>
      <c r="G12986" s="390"/>
      <c r="H12986" s="394"/>
    </row>
    <row r="12987" spans="1:8" ht="15.75" customHeight="1" x14ac:dyDescent="0.25">
      <c r="A12987" s="445"/>
      <c r="B12987" s="445"/>
      <c r="C12987" s="445"/>
      <c r="D12987" s="446" t="s">
        <v>97</v>
      </c>
      <c r="E12987" s="445" t="s">
        <v>98</v>
      </c>
      <c r="F12987" s="445"/>
      <c r="G12987" s="390"/>
      <c r="H12987" s="394"/>
    </row>
    <row r="12988" spans="1:8" ht="15.75" customHeight="1" x14ac:dyDescent="0.25">
      <c r="A12988" s="390"/>
      <c r="B12988" s="390"/>
      <c r="C12988" s="390"/>
      <c r="D12988" s="391"/>
      <c r="E12988" s="390"/>
      <c r="F12988" s="390"/>
      <c r="G12988" s="390"/>
      <c r="H12988" s="394"/>
    </row>
    <row r="12989" spans="1:8" ht="15.75" customHeight="1" x14ac:dyDescent="0.25">
      <c r="A12989" s="390"/>
      <c r="B12989" s="390"/>
      <c r="C12989" s="390"/>
      <c r="D12989" s="391"/>
      <c r="E12989" s="390"/>
      <c r="F12989" s="390"/>
      <c r="G12989" s="390"/>
      <c r="H12989" s="394"/>
    </row>
    <row r="12990" spans="1:8" ht="15.75" customHeight="1" x14ac:dyDescent="0.25">
      <c r="A12990" s="445"/>
      <c r="B12990" s="445"/>
      <c r="C12990" s="445"/>
      <c r="D12990" s="446"/>
      <c r="E12990" s="445" t="s">
        <v>99</v>
      </c>
      <c r="F12990" s="445"/>
      <c r="G12990" s="390"/>
      <c r="H12990" s="394"/>
    </row>
    <row r="12991" spans="1:8" ht="15.75" customHeight="1" x14ac:dyDescent="0.25">
      <c r="D12991" s="4"/>
      <c r="H12991" s="4"/>
    </row>
    <row r="12992" spans="1:8" ht="15.75" customHeight="1" x14ac:dyDescent="0.25">
      <c r="D12992" s="4"/>
      <c r="H12992" s="4"/>
    </row>
    <row r="12993" spans="1:8" ht="15.75" customHeight="1" x14ac:dyDescent="0.25">
      <c r="D12993" s="4"/>
      <c r="H12993" s="4"/>
    </row>
    <row r="12994" spans="1:8" ht="15.75" customHeight="1" x14ac:dyDescent="0.25">
      <c r="D12994" s="4"/>
      <c r="H12994" s="4"/>
    </row>
    <row r="12995" spans="1:8" ht="15.75" customHeight="1" x14ac:dyDescent="0.25">
      <c r="D12995" s="4"/>
      <c r="H12995" s="4"/>
    </row>
    <row r="12996" spans="1:8" ht="15.75" customHeight="1" x14ac:dyDescent="0.25">
      <c r="D12996" s="4"/>
      <c r="H12996" s="4"/>
    </row>
    <row r="12997" spans="1:8" ht="15.75" customHeight="1" x14ac:dyDescent="0.25">
      <c r="D12997" s="4"/>
      <c r="H12997" s="4"/>
    </row>
    <row r="12998" spans="1:8" ht="15.75" customHeight="1" x14ac:dyDescent="0.25">
      <c r="D12998" s="4"/>
      <c r="H12998" s="4"/>
    </row>
    <row r="12999" spans="1:8" ht="15.75" customHeight="1" x14ac:dyDescent="0.25">
      <c r="D12999" s="4"/>
      <c r="H12999" s="4"/>
    </row>
    <row r="13000" spans="1:8" ht="15.75" customHeight="1" x14ac:dyDescent="0.25">
      <c r="D13000" s="4"/>
      <c r="H13000" s="4"/>
    </row>
    <row r="13001" spans="1:8" ht="15.75" customHeight="1" x14ac:dyDescent="0.25">
      <c r="D13001" s="4"/>
      <c r="H13001" s="4"/>
    </row>
    <row r="13002" spans="1:8" ht="15.75" customHeight="1" x14ac:dyDescent="0.25">
      <c r="D13002" s="4"/>
      <c r="H13002" s="4"/>
    </row>
    <row r="13003" spans="1:8" ht="15.75" customHeight="1" x14ac:dyDescent="0.25">
      <c r="D13003" s="4"/>
      <c r="H13003" s="4"/>
    </row>
    <row r="13004" spans="1:8" ht="15.75" customHeight="1" x14ac:dyDescent="0.25">
      <c r="A13004" s="8" t="s">
        <v>14</v>
      </c>
      <c r="B13004" s="8"/>
      <c r="C13004" s="8"/>
      <c r="D13004" s="8"/>
      <c r="E13004" s="8"/>
      <c r="F13004" s="8"/>
      <c r="G13004" s="8"/>
      <c r="H13004" s="8"/>
    </row>
    <row r="13005" spans="1:8" ht="15.75" customHeight="1" x14ac:dyDescent="0.25">
      <c r="A13005" s="388"/>
      <c r="B13005" s="388"/>
      <c r="C13005" s="388"/>
      <c r="D13005" s="389"/>
      <c r="E13005" s="388"/>
      <c r="F13005" s="388"/>
      <c r="G13005" s="388"/>
      <c r="H13005" s="8"/>
    </row>
    <row r="13006" spans="1:8" ht="15.75" customHeight="1" x14ac:dyDescent="0.25">
      <c r="A13006" s="390"/>
      <c r="B13006" s="390"/>
      <c r="C13006" s="390"/>
      <c r="D13006" s="391"/>
      <c r="E13006" s="390"/>
      <c r="F13006" s="395" t="s">
        <v>18</v>
      </c>
      <c r="G13006" s="396" t="s">
        <v>1142</v>
      </c>
      <c r="H13006" s="397"/>
    </row>
    <row r="13007" spans="1:8" ht="15.75" customHeight="1" x14ac:dyDescent="0.25">
      <c r="A13007" s="390" t="s">
        <v>20</v>
      </c>
      <c r="B13007" s="390"/>
      <c r="C13007" s="390"/>
      <c r="D13007" s="391"/>
      <c r="E13007" s="390"/>
      <c r="F13007" s="395" t="s">
        <v>21</v>
      </c>
      <c r="G13007" s="390" t="s">
        <v>1935</v>
      </c>
      <c r="H13007" s="391"/>
    </row>
    <row r="13008" spans="1:8" ht="15.75" customHeight="1" x14ac:dyDescent="0.25">
      <c r="A13008" s="390" t="inlineStr">
        <is>
          <t>Dealer-022</t>
        </is>
      </c>
      <c r="B13008" s="390"/>
      <c r="C13008" s="390"/>
      <c r="D13008" s="391"/>
      <c r="E13008" s="390"/>
      <c r="F13008" s="391"/>
      <c r="G13008" s="390"/>
      <c r="H13008" s="394"/>
    </row>
    <row r="13009" spans="1:8" ht="15.75" customHeight="1" x14ac:dyDescent="0.25">
      <c r="A13009" s="390" t="inlineStr">
        <is>
          <t>Address line (redacted)</t>
        </is>
      </c>
      <c r="B13009" s="390"/>
      <c r="C13009" s="390"/>
      <c r="D13009" s="391"/>
      <c r="E13009" s="390"/>
      <c r="F13009" s="391"/>
      <c r="G13009" s="390"/>
      <c r="H13009" s="394"/>
    </row>
    <row r="13010" spans="1:8" ht="15.75" customHeight="1" x14ac:dyDescent="0.25">
      <c r="A13010" s="390"/>
      <c r="B13010" s="390"/>
      <c r="C13010" s="390"/>
      <c r="D13010" s="391"/>
      <c r="E13010" s="390"/>
      <c r="F13010" s="391"/>
      <c r="G13010" s="390"/>
      <c r="H13010" s="394"/>
    </row>
    <row r="13011" spans="1:8" ht="15.75" customHeight="1" x14ac:dyDescent="0.25">
      <c r="A13011" s="390" t="s">
        <v>2335</v>
      </c>
      <c r="B13011" s="390"/>
      <c r="C13011" s="390"/>
      <c r="D13011" s="391"/>
      <c r="E13011" s="390"/>
      <c r="F13011" s="391"/>
      <c r="G13011" s="390"/>
      <c r="H13011" s="394"/>
    </row>
    <row r="13012" spans="1:8" ht="15.75" customHeight="1" x14ac:dyDescent="0.25">
      <c r="A13012" s="390" t="inlineStr">
        <is>
          <t>Dealer-023</t>
        </is>
      </c>
      <c r="B13012" s="390"/>
      <c r="C13012" s="390"/>
      <c r="D13012" s="391"/>
      <c r="E13012" s="390"/>
      <c r="F13012" s="391"/>
      <c r="G13012" s="390"/>
      <c r="H13012" s="394"/>
    </row>
    <row r="13013" spans="1:8" ht="15.75" customHeight="1" x14ac:dyDescent="0.25">
      <c r="A13013" s="390" t="inlineStr">
        <is>
          <t>Address line (redacted)</t>
        </is>
      </c>
      <c r="B13013" s="390"/>
      <c r="C13013" s="390"/>
      <c r="D13013" s="391"/>
      <c r="E13013" s="390"/>
      <c r="F13013" s="391"/>
      <c r="G13013" s="390"/>
      <c r="H13013" s="394"/>
    </row>
    <row r="13014" spans="1:8" ht="15.75" customHeight="1" x14ac:dyDescent="0.25">
      <c r="A13014" s="390"/>
      <c r="B13014" s="390"/>
      <c r="C13014" s="390"/>
      <c r="D13014" s="391"/>
      <c r="E13014" s="390"/>
      <c r="F13014" s="391"/>
      <c r="G13014" s="390"/>
      <c r="H13014" s="394"/>
    </row>
    <row r="13015" spans="1:8" ht="15.75" customHeight="1" x14ac:dyDescent="0.25">
      <c r="A13015" s="390" t="s">
        <v>30</v>
      </c>
      <c r="B13015" s="390"/>
      <c r="C13015" s="390"/>
      <c r="D13015" s="391"/>
      <c r="E13015" s="390"/>
      <c r="F13015" s="391"/>
      <c r="G13015" s="390"/>
      <c r="H13015" s="394"/>
    </row>
    <row r="13016" spans="1:8" ht="15.75" customHeight="1" x14ac:dyDescent="0.25">
      <c r="A13016" s="390"/>
      <c r="B13016" s="390"/>
      <c r="C13016" s="390"/>
      <c r="D13016" s="391"/>
      <c r="E13016" s="390"/>
      <c r="F13016" s="391"/>
      <c r="G13016" s="390"/>
      <c r="H13016" s="394"/>
    </row>
    <row r="13017" spans="1:8" ht="15.75" customHeight="1" x14ac:dyDescent="0.25">
      <c r="A13017" s="390" t="s">
        <v>716</v>
      </c>
      <c r="B13017" s="390"/>
      <c r="C13017" s="390"/>
      <c r="D13017" s="391"/>
      <c r="E13017" s="390"/>
      <c r="F13017" s="391"/>
      <c r="G13017" s="390"/>
      <c r="H13017" s="394"/>
    </row>
    <row r="13018" spans="1:8" ht="15.75" customHeight="1" x14ac:dyDescent="0.25">
      <c r="A13018" s="390" t="s">
        <v>717</v>
      </c>
      <c r="B13018" s="390"/>
      <c r="C13018" s="390"/>
      <c r="D13018" s="391"/>
      <c r="E13018" s="390"/>
      <c r="F13018" s="391"/>
      <c r="G13018" s="390"/>
      <c r="H13018" s="394"/>
    </row>
    <row r="13019" spans="1:8" ht="15.75" customHeight="1" x14ac:dyDescent="0.25">
      <c r="A13019" s="390"/>
      <c r="B13019" s="390"/>
      <c r="C13019" s="390"/>
      <c r="D13019" s="391"/>
      <c r="E13019" s="390"/>
      <c r="F13019" s="391"/>
      <c r="G13019" s="390"/>
      <c r="H13019" s="394"/>
    </row>
    <row r="13020" spans="1:8" ht="15.75" customHeight="1" x14ac:dyDescent="0.25">
      <c r="A13020" s="948" t="s">
        <v>33</v>
      </c>
      <c r="B13020" s="949" t="s">
        <v>6</v>
      </c>
      <c r="C13020" s="950"/>
      <c r="D13020" s="874" t="s">
        <v>37</v>
      </c>
      <c r="E13020" s="874" t="s">
        <v>38</v>
      </c>
      <c r="F13020" s="875" t="s">
        <v>7</v>
      </c>
      <c r="G13020" s="872" t="s">
        <v>43</v>
      </c>
      <c r="H13020" s="876" t="s">
        <v>44</v>
      </c>
    </row>
    <row r="13021" spans="1:8" ht="15.75" customHeight="1" x14ac:dyDescent="0.3">
      <c r="A13021" s="412"/>
      <c r="B13021" s="1033"/>
      <c r="C13021" s="1033"/>
      <c r="D13021" s="879"/>
      <c r="E13021" s="879"/>
      <c r="F13021" s="415"/>
      <c r="G13021" s="415"/>
      <c r="H13021" s="416"/>
    </row>
    <row r="13022" spans="1:8" ht="15.75" customHeight="1" x14ac:dyDescent="0.25">
      <c r="A13022" s="412"/>
      <c r="B13022" s="1034" t="s">
        <v>2120</v>
      </c>
      <c r="C13022" s="1034"/>
      <c r="D13022" s="415"/>
      <c r="E13022" s="415"/>
      <c r="F13022" s="415"/>
      <c r="G13022" s="415"/>
      <c r="H13022" s="416"/>
    </row>
    <row r="13023" spans="1:8" ht="15.75" customHeight="1" x14ac:dyDescent="0.25">
      <c r="A13023" s="412">
        <v>1</v>
      </c>
      <c r="B13023" s="417" t="s">
        <v>34</v>
      </c>
      <c r="C13023" s="627" t="s">
        <v>25</v>
      </c>
      <c r="D13023" s="592">
        <v>5</v>
      </c>
      <c r="E13023" s="592">
        <v>5</v>
      </c>
      <c r="F13023" s="415">
        <v>24</v>
      </c>
      <c r="G13023" s="415">
        <v>1</v>
      </c>
      <c r="H13023" s="416">
        <f>+G13023*F13023</f>
      </c>
    </row>
    <row r="13024" spans="1:8" ht="15.75" customHeight="1" x14ac:dyDescent="0.25">
      <c r="A13024" s="412">
        <v>2</v>
      </c>
      <c r="B13024" s="417" t="s">
        <v>34</v>
      </c>
      <c r="C13024" s="627" t="s">
        <v>25</v>
      </c>
      <c r="D13024" s="626"/>
      <c r="E13024" s="626"/>
      <c r="F13024" s="415">
        <v>1</v>
      </c>
      <c r="G13024" s="619" t="s">
        <v>1856</v>
      </c>
      <c r="H13024" s="416"/>
    </row>
    <row r="13025" spans="1:8" ht="15.75" customHeight="1" x14ac:dyDescent="0.25">
      <c r="A13025" s="412"/>
      <c r="B13025" s="417"/>
      <c r="C13025" s="895"/>
      <c r="D13025" s="633"/>
      <c r="E13025" s="633"/>
      <c r="F13025" s="593"/>
      <c r="G13025" s="593"/>
      <c r="H13025" s="931"/>
    </row>
    <row r="13026" spans="1:8" ht="15.75" customHeight="1" x14ac:dyDescent="0.25">
      <c r="A13026" s="412"/>
      <c r="B13026" s="1076" t="s">
        <v>2340</v>
      </c>
      <c r="C13026" s="1077"/>
      <c r="D13026" s="633"/>
      <c r="E13026" s="633"/>
      <c r="F13026" s="593"/>
      <c r="G13026" s="593"/>
      <c r="H13026" s="931"/>
    </row>
    <row r="13027" spans="1:8" ht="15.75" customHeight="1" x14ac:dyDescent="0.25">
      <c r="A13027" s="412"/>
      <c r="B13027" s="1078"/>
      <c r="C13027" s="1079"/>
      <c r="D13027" s="633"/>
      <c r="E13027" s="633"/>
      <c r="F13027" s="593"/>
      <c r="G13027" s="593"/>
      <c r="H13027" s="931"/>
    </row>
    <row r="13028" spans="1:8" ht="15.75" customHeight="1" x14ac:dyDescent="0.25">
      <c r="A13028" s="412"/>
      <c r="B13028" s="417"/>
      <c r="C13028" s="895"/>
      <c r="D13028" s="633"/>
      <c r="E13028" s="633"/>
      <c r="F13028" s="593"/>
      <c r="G13028" s="593"/>
      <c r="H13028" s="931"/>
    </row>
    <row r="13029" spans="1:8" ht="15.75" customHeight="1" x14ac:dyDescent="0.25">
      <c r="A13029" s="412"/>
      <c r="B13029" s="417"/>
      <c r="C13029" s="895"/>
      <c r="D13029" s="633"/>
      <c r="E13029" s="633"/>
      <c r="F13029" s="593"/>
      <c r="G13029" s="593"/>
      <c r="H13029" s="931"/>
    </row>
    <row r="13030" spans="1:8" ht="15.75" customHeight="1" x14ac:dyDescent="0.25">
      <c r="A13030" s="894"/>
      <c r="B13030" s="878"/>
      <c r="C13030" s="895"/>
      <c r="D13030" s="593"/>
      <c r="E13030" s="593"/>
      <c r="F13030" s="593"/>
      <c r="G13030" s="593"/>
      <c r="H13030" s="931"/>
    </row>
    <row r="13031" spans="1:8" ht="15.75" customHeight="1" x14ac:dyDescent="0.25">
      <c r="A13031" s="877"/>
      <c r="B13031" s="688"/>
      <c r="C13031" s="896" t="s">
        <v>85</v>
      </c>
      <c r="D13031" s="599">
        <f>SUM(D13023:D13030)</f>
      </c>
      <c r="E13031" s="401"/>
      <c r="F13031" s="599">
        <f>SUM(F13023:F13030)</f>
      </c>
      <c r="G13031" s="661"/>
      <c r="H13031" s="438">
        <f>SUM(H13023:H13030)</f>
      </c>
    </row>
    <row r="13032" spans="1:8" ht="15.75" customHeight="1" x14ac:dyDescent="0.25">
      <c r="A13032" s="932"/>
      <c r="B13032" s="933"/>
      <c r="C13032" s="934"/>
      <c r="D13032" s="431"/>
      <c r="E13032" s="935"/>
      <c r="F13032" s="935"/>
      <c r="G13032" s="936"/>
      <c r="H13032" s="444"/>
    </row>
    <row r="13033" spans="1:8" ht="15.75" customHeight="1" x14ac:dyDescent="0.25">
      <c r="A13033" s="994" t="s">
        <v>2341</v>
      </c>
      <c r="B13033" s="391"/>
      <c r="C13033" s="391"/>
      <c r="D13033" s="391"/>
      <c r="E13033" s="390"/>
      <c r="F13033" s="392"/>
      <c r="G13033" s="390"/>
      <c r="H13033" s="394"/>
    </row>
    <row r="13034" spans="1:8" ht="15.75" customHeight="1" x14ac:dyDescent="0.25">
      <c r="A13034" s="445"/>
      <c r="B13034" s="445"/>
      <c r="C13034" s="445"/>
      <c r="D13034" s="446" t="s">
        <v>97</v>
      </c>
      <c r="E13034" s="445" t="s">
        <v>98</v>
      </c>
      <c r="F13034" s="445"/>
      <c r="G13034" s="390"/>
      <c r="H13034" s="394"/>
    </row>
    <row r="13035" spans="1:8" ht="15.75" customHeight="1" x14ac:dyDescent="0.25">
      <c r="A13035" s="390"/>
      <c r="B13035" s="390"/>
      <c r="C13035" s="390"/>
      <c r="D13035" s="391"/>
      <c r="E13035" s="390"/>
      <c r="F13035" s="390"/>
      <c r="G13035" s="390"/>
      <c r="H13035" s="394"/>
    </row>
    <row r="13036" spans="1:8" ht="15.75" customHeight="1" x14ac:dyDescent="0.25">
      <c r="A13036" s="390"/>
      <c r="B13036" s="390"/>
      <c r="C13036" s="390"/>
      <c r="D13036" s="391"/>
      <c r="E13036" s="390"/>
      <c r="F13036" s="390"/>
      <c r="G13036" s="390"/>
      <c r="H13036" s="394"/>
    </row>
    <row r="13037" spans="1:8" ht="15.75" customHeight="1" x14ac:dyDescent="0.25">
      <c r="A13037" s="445"/>
      <c r="B13037" s="445"/>
      <c r="C13037" s="445"/>
      <c r="D13037" s="446"/>
      <c r="E13037" s="445" t="s">
        <v>99</v>
      </c>
      <c r="F13037" s="445"/>
      <c r="G13037" s="390"/>
      <c r="H13037" s="394"/>
    </row>
    <row r="13038" spans="1:8" ht="15.75" customHeight="1" x14ac:dyDescent="0.25">
      <c r="D13038" s="4"/>
      <c r="H13038" s="4"/>
    </row>
    <row r="13039" spans="1:8" ht="15.75" customHeight="1" x14ac:dyDescent="0.25">
      <c r="D13039" s="4"/>
      <c r="H13039" s="4"/>
    </row>
    <row r="13040" spans="1:8" ht="15.75" customHeight="1" x14ac:dyDescent="0.25">
      <c r="D13040" s="4"/>
      <c r="H13040" s="4"/>
    </row>
    <row r="13041" spans="1:8" ht="15.75" customHeight="1" x14ac:dyDescent="0.25">
      <c r="D13041" s="4"/>
      <c r="H13041" s="4"/>
    </row>
    <row r="13042" spans="1:8" ht="15.75" customHeight="1" x14ac:dyDescent="0.25">
      <c r="D13042" s="4"/>
      <c r="H13042" s="4"/>
    </row>
    <row r="13043" spans="1:8" ht="15.75" customHeight="1" x14ac:dyDescent="0.25">
      <c r="D13043" s="4"/>
      <c r="H13043" s="4"/>
    </row>
    <row r="13044" spans="1:8" ht="15.75" customHeight="1" x14ac:dyDescent="0.25">
      <c r="D13044" s="4"/>
      <c r="H13044" s="4"/>
    </row>
    <row r="13045" spans="1:8" ht="15.75" customHeight="1" x14ac:dyDescent="0.25">
      <c r="D13045" s="4"/>
      <c r="H13045" s="4"/>
    </row>
    <row r="13046" spans="1:8" ht="15.75" customHeight="1" x14ac:dyDescent="0.25">
      <c r="D13046" s="4"/>
      <c r="H13046" s="4"/>
    </row>
    <row r="13047" spans="1:8" ht="15.75" customHeight="1" x14ac:dyDescent="0.25">
      <c r="D13047" s="4"/>
      <c r="H13047" s="4"/>
    </row>
    <row r="13048" spans="1:8" ht="15.75" customHeight="1" x14ac:dyDescent="0.25">
      <c r="D13048" s="4"/>
      <c r="H13048" s="4"/>
    </row>
    <row r="13049" spans="1:8" ht="15.75" customHeight="1" x14ac:dyDescent="0.25">
      <c r="D13049" s="4"/>
      <c r="H13049" s="4"/>
    </row>
    <row r="13050" spans="1:8" ht="15.75" customHeight="1" x14ac:dyDescent="0.25">
      <c r="D13050" s="4"/>
      <c r="H13050" s="4"/>
    </row>
    <row r="13051" spans="1:8" ht="15.75" customHeight="1" x14ac:dyDescent="0.25">
      <c r="D13051" s="4"/>
      <c r="H13051" s="4"/>
    </row>
    <row r="13052" spans="1:8" ht="15.75" customHeight="1" x14ac:dyDescent="0.25">
      <c r="A13052" s="8" t="s">
        <v>14</v>
      </c>
      <c r="B13052" s="8"/>
      <c r="C13052" s="8"/>
      <c r="D13052" s="8"/>
      <c r="E13052" s="8"/>
      <c r="F13052" s="8"/>
      <c r="G13052" s="8"/>
      <c r="H13052" s="8"/>
    </row>
    <row r="13053" spans="1:8" ht="15.75" customHeight="1" x14ac:dyDescent="0.25">
      <c r="A13053" s="388"/>
      <c r="B13053" s="388"/>
      <c r="C13053" s="388"/>
      <c r="D13053" s="389"/>
      <c r="E13053" s="388"/>
      <c r="F13053" s="388"/>
      <c r="G13053" s="388"/>
      <c r="H13053" s="8"/>
    </row>
    <row r="13054" spans="1:8" ht="15.75" customHeight="1" x14ac:dyDescent="0.25">
      <c r="A13054" s="390"/>
      <c r="B13054" s="390"/>
      <c r="C13054" s="390"/>
      <c r="D13054" s="391"/>
      <c r="E13054" s="390"/>
      <c r="F13054" s="395" t="s">
        <v>18</v>
      </c>
      <c r="G13054" s="396" t="s">
        <v>1142</v>
      </c>
      <c r="H13054" s="397"/>
    </row>
    <row r="13055" spans="1:8" ht="15.75" customHeight="1" x14ac:dyDescent="0.25">
      <c r="A13055" s="390" t="s">
        <v>20</v>
      </c>
      <c r="B13055" s="390"/>
      <c r="D13055" s="391"/>
      <c r="E13055" s="390"/>
      <c r="F13055" s="395" t="s">
        <v>21</v>
      </c>
      <c r="G13055" s="390" t="s">
        <v>1917</v>
      </c>
      <c r="H13055" s="391"/>
    </row>
    <row r="13056" spans="1:8" ht="15.75" customHeight="1" x14ac:dyDescent="0.25">
      <c r="A13056" s="390" t="inlineStr">
        <is>
          <t>Dealer-009</t>
        </is>
      </c>
      <c r="B13056" s="390"/>
      <c r="C13056" s="390" t="inlineStr">
        <is>
          <t>ATTN: Contact-001</t>
        </is>
      </c>
      <c r="D13056" s="398"/>
      <c r="E13056" s="390"/>
      <c r="F13056" s="391"/>
      <c r="G13056" s="390"/>
      <c r="H13056" s="394"/>
    </row>
    <row r="13057" spans="1:8" ht="15.75" customHeight="1" x14ac:dyDescent="0.25">
      <c r="A13057" s="390" t="inlineStr">
        <is>
          <t>Address line (redacted)</t>
        </is>
      </c>
      <c r="B13057" s="390"/>
      <c r="C13057" s="390"/>
      <c r="D13057" s="398"/>
      <c r="E13057" s="393"/>
      <c r="F13057" s="393"/>
      <c r="G13057" s="393"/>
      <c r="H13057" s="394"/>
    </row>
    <row r="13058" spans="1:8" ht="15.75" customHeight="1" x14ac:dyDescent="0.25">
      <c r="A13058" s="390" t="inlineStr">
        <is>
          <t>Address line (redacted)</t>
        </is>
      </c>
      <c r="B13058" s="390"/>
      <c r="C13058" s="390"/>
      <c r="D13058" s="391"/>
      <c r="E13058" s="390"/>
      <c r="F13058" s="391"/>
      <c r="G13058" s="390"/>
      <c r="H13058" s="394"/>
    </row>
    <row r="13059" spans="1:8" ht="15.75" customHeight="1" x14ac:dyDescent="0.25">
      <c r="A13059" s="390"/>
      <c r="B13059" s="390"/>
      <c r="C13059" s="390"/>
      <c r="D13059" s="391"/>
      <c r="E13059" s="390"/>
      <c r="F13059" s="391"/>
      <c r="G13059" s="390"/>
      <c r="H13059" s="394"/>
    </row>
    <row r="13060" spans="1:8" ht="15.75" customHeight="1" x14ac:dyDescent="0.25">
      <c r="A13060" s="390" t="s">
        <v>30</v>
      </c>
      <c r="B13060" s="390"/>
      <c r="C13060" s="390"/>
      <c r="D13060" s="391"/>
      <c r="E13060" s="390"/>
      <c r="F13060" s="391"/>
      <c r="G13060" s="390"/>
      <c r="H13060" s="394"/>
    </row>
    <row r="13061" spans="1:8" ht="15.75" customHeight="1" x14ac:dyDescent="0.25">
      <c r="A13061" s="390"/>
      <c r="B13061" s="390"/>
      <c r="C13061" s="390"/>
      <c r="D13061" s="391"/>
      <c r="E13061" s="390"/>
      <c r="F13061" s="391"/>
      <c r="G13061" s="390"/>
      <c r="H13061" s="394"/>
    </row>
    <row r="13062" spans="1:8" ht="15.75" customHeight="1" x14ac:dyDescent="0.25">
      <c r="A13062" s="390" t="s">
        <v>716</v>
      </c>
      <c r="B13062" s="390"/>
      <c r="C13062" s="390"/>
      <c r="D13062" s="391"/>
      <c r="E13062" s="390"/>
      <c r="F13062" s="391"/>
      <c r="G13062" s="390"/>
      <c r="H13062" s="394"/>
    </row>
    <row r="13063" spans="1:8" ht="15.75" customHeight="1" x14ac:dyDescent="0.25">
      <c r="A13063" s="390" t="s">
        <v>717</v>
      </c>
      <c r="B13063" s="390"/>
      <c r="C13063" s="390"/>
      <c r="D13063" s="391"/>
      <c r="E13063" s="390"/>
      <c r="F13063" s="391"/>
      <c r="G13063" s="390"/>
      <c r="H13063" s="394"/>
    </row>
    <row r="13064" spans="1:8" ht="15.75" customHeight="1" x14ac:dyDescent="0.25">
      <c r="A13064" s="390"/>
      <c r="B13064" s="390"/>
      <c r="C13064" s="390"/>
      <c r="D13064" s="391"/>
      <c r="E13064" s="390"/>
      <c r="F13064" s="391"/>
      <c r="G13064" s="390"/>
      <c r="H13064" s="394"/>
    </row>
    <row r="13065" spans="1:8" ht="15.75" customHeight="1" x14ac:dyDescent="0.25">
      <c r="A13065" s="948" t="s">
        <v>33</v>
      </c>
      <c r="B13065" s="949" t="s">
        <v>6</v>
      </c>
      <c r="C13065" s="950"/>
      <c r="D13065" s="874" t="s">
        <v>37</v>
      </c>
      <c r="E13065" s="874" t="s">
        <v>38</v>
      </c>
      <c r="F13065" s="875" t="s">
        <v>7</v>
      </c>
      <c r="G13065" s="872" t="s">
        <v>43</v>
      </c>
      <c r="H13065" s="876" t="s">
        <v>44</v>
      </c>
    </row>
    <row r="13066" spans="1:8" ht="15.75" customHeight="1" x14ac:dyDescent="0.25">
      <c r="A13066" s="412"/>
      <c r="B13066" s="417"/>
      <c r="C13066" s="627"/>
      <c r="D13066" s="588"/>
      <c r="E13066" s="588"/>
      <c r="F13066" s="415"/>
      <c r="G13066" s="415"/>
      <c r="H13066" s="416"/>
    </row>
    <row r="13067" spans="1:8" ht="15.75" customHeight="1" x14ac:dyDescent="0.25">
      <c r="A13067" s="412"/>
      <c r="B13067" s="883" t="s">
        <v>2046</v>
      </c>
      <c r="C13067" s="883"/>
      <c r="D13067" s="588"/>
      <c r="E13067" s="588"/>
      <c r="F13067" s="415"/>
      <c r="G13067" s="415"/>
      <c r="H13067" s="416"/>
    </row>
    <row r="13068" spans="1:8" ht="15.75" customHeight="1" x14ac:dyDescent="0.25">
      <c r="A13068" s="412">
        <v>1</v>
      </c>
      <c r="B13068" s="417" t="s">
        <v>126</v>
      </c>
      <c r="C13068" s="993" t="s">
        <v>1840</v>
      </c>
      <c r="D13068" s="626">
        <v>2</v>
      </c>
      <c r="E13068" s="626">
        <v>5</v>
      </c>
      <c r="F13068" s="415">
        <f t="shared" ref="F13068:F13071" si="483">+E13068*D13068</f>
      </c>
      <c r="G13068" s="415">
        <v>1</v>
      </c>
      <c r="H13068" s="416">
        <f t="shared" ref="H13068:H13071" si="484">+G13068*F13068</f>
      </c>
    </row>
    <row r="13069" spans="1:8" ht="15.75" customHeight="1" x14ac:dyDescent="0.25">
      <c r="A13069" s="412">
        <v>2</v>
      </c>
      <c r="B13069" s="417" t="s">
        <v>81</v>
      </c>
      <c r="C13069" s="993" t="s">
        <v>82</v>
      </c>
      <c r="D13069" s="626">
        <v>3</v>
      </c>
      <c r="E13069" s="626">
        <v>5</v>
      </c>
      <c r="F13069" s="415">
        <f t="shared" si="483"/>
      </c>
      <c r="G13069" s="415">
        <v>1</v>
      </c>
      <c r="H13069" s="416">
        <f t="shared" si="484"/>
      </c>
    </row>
    <row r="13070" spans="1:8" ht="15.75" customHeight="1" x14ac:dyDescent="0.25">
      <c r="A13070" s="412">
        <v>3</v>
      </c>
      <c r="B13070" s="417" t="s">
        <v>15</v>
      </c>
      <c r="C13070" s="993" t="s">
        <v>16</v>
      </c>
      <c r="D13070" s="626">
        <v>2</v>
      </c>
      <c r="E13070" s="626">
        <v>5</v>
      </c>
      <c r="F13070" s="415">
        <f t="shared" si="483"/>
      </c>
      <c r="G13070" s="415">
        <v>1</v>
      </c>
      <c r="H13070" s="416">
        <f t="shared" si="484"/>
      </c>
    </row>
    <row r="13071" spans="1:8" ht="15.75" customHeight="1" x14ac:dyDescent="0.25">
      <c r="A13071" s="412">
        <v>4</v>
      </c>
      <c r="B13071" s="417" t="s">
        <v>315</v>
      </c>
      <c r="C13071" s="993" t="s">
        <v>298</v>
      </c>
      <c r="D13071" s="626">
        <v>2</v>
      </c>
      <c r="E13071" s="626">
        <v>5</v>
      </c>
      <c r="F13071" s="415">
        <f t="shared" si="483"/>
      </c>
      <c r="G13071" s="415">
        <v>1</v>
      </c>
      <c r="H13071" s="416">
        <f t="shared" si="484"/>
      </c>
    </row>
    <row r="13072" spans="1:8" ht="15.75" customHeight="1" x14ac:dyDescent="0.25">
      <c r="A13072" s="412"/>
      <c r="B13072" s="1034" t="s">
        <v>2043</v>
      </c>
      <c r="C13072" s="1034"/>
      <c r="D13072" s="415"/>
      <c r="E13072" s="415"/>
      <c r="F13072" s="415"/>
      <c r="G13072" s="415"/>
      <c r="H13072" s="416"/>
    </row>
    <row r="13073" spans="1:8" ht="15.75" customHeight="1" x14ac:dyDescent="0.25">
      <c r="A13073" s="420">
        <v>5</v>
      </c>
      <c r="B13073" s="417" t="s">
        <v>696</v>
      </c>
      <c r="C13073" s="415" t="s">
        <v>362</v>
      </c>
      <c r="D13073" s="588">
        <v>4</v>
      </c>
      <c r="E13073" s="588">
        <v>6</v>
      </c>
      <c r="F13073" s="415">
        <v>23</v>
      </c>
      <c r="G13073" s="415">
        <v>1</v>
      </c>
      <c r="H13073" s="416">
        <f>+G13073*F13073</f>
      </c>
    </row>
    <row r="13074" spans="1:8" ht="15.75" customHeight="1" x14ac:dyDescent="0.25">
      <c r="A13074" s="420">
        <v>6</v>
      </c>
      <c r="B13074" s="417" t="s">
        <v>696</v>
      </c>
      <c r="C13074" s="415" t="s">
        <v>362</v>
      </c>
      <c r="D13074" s="588"/>
      <c r="E13074" s="588"/>
      <c r="F13074" s="415">
        <v>1</v>
      </c>
      <c r="G13074" s="619" t="s">
        <v>1856</v>
      </c>
      <c r="H13074" s="416"/>
    </row>
    <row r="13075" spans="1:8" ht="15.75" customHeight="1" x14ac:dyDescent="0.25">
      <c r="A13075" s="420">
        <v>7</v>
      </c>
      <c r="B13075" s="417" t="s">
        <v>3</v>
      </c>
      <c r="C13075" s="415" t="s">
        <v>377</v>
      </c>
      <c r="D13075" s="588">
        <v>1</v>
      </c>
      <c r="E13075" s="588">
        <v>4</v>
      </c>
      <c r="F13075" s="415">
        <f t="shared" ref="F13075:F13077" si="485">+E13075*D13075</f>
      </c>
      <c r="G13075" s="415">
        <v>1</v>
      </c>
      <c r="H13075" s="416">
        <f t="shared" ref="H13075:H13078" si="486">+G13075*F13075</f>
      </c>
    </row>
    <row r="13076" spans="1:8" ht="15.75" customHeight="1" x14ac:dyDescent="0.25">
      <c r="A13076" s="420">
        <v>8</v>
      </c>
      <c r="B13076" s="417" t="s">
        <v>763</v>
      </c>
      <c r="C13076" s="415" t="s">
        <v>378</v>
      </c>
      <c r="D13076" s="588">
        <v>1</v>
      </c>
      <c r="E13076" s="588">
        <v>6</v>
      </c>
      <c r="F13076" s="415">
        <f t="shared" si="485"/>
      </c>
      <c r="G13076" s="415">
        <v>1</v>
      </c>
      <c r="H13076" s="416">
        <f t="shared" si="486"/>
      </c>
    </row>
    <row r="13077" spans="1:8" ht="15.75" customHeight="1" x14ac:dyDescent="0.25">
      <c r="A13077" s="420">
        <v>9</v>
      </c>
      <c r="B13077" s="417" t="s">
        <v>763</v>
      </c>
      <c r="C13077" s="415" t="s">
        <v>378</v>
      </c>
      <c r="D13077" s="588">
        <v>1</v>
      </c>
      <c r="E13077" s="588">
        <v>5</v>
      </c>
      <c r="F13077" s="415">
        <f t="shared" si="485"/>
      </c>
      <c r="G13077" s="415">
        <v>1</v>
      </c>
      <c r="H13077" s="416">
        <f t="shared" si="486"/>
      </c>
    </row>
    <row r="13078" spans="1:8" ht="15.75" customHeight="1" x14ac:dyDescent="0.25">
      <c r="A13078" s="420">
        <v>10</v>
      </c>
      <c r="B13078" s="417" t="s">
        <v>68</v>
      </c>
      <c r="C13078" s="415" t="s">
        <v>375</v>
      </c>
      <c r="D13078" s="588">
        <v>4</v>
      </c>
      <c r="E13078" s="588">
        <v>6</v>
      </c>
      <c r="F13078" s="415">
        <v>23</v>
      </c>
      <c r="G13078" s="415">
        <v>1</v>
      </c>
      <c r="H13078" s="416">
        <f t="shared" si="486"/>
      </c>
    </row>
    <row r="13079" spans="1:8" ht="15.75" customHeight="1" x14ac:dyDescent="0.25">
      <c r="A13079" s="420">
        <v>11</v>
      </c>
      <c r="B13079" s="417" t="s">
        <v>68</v>
      </c>
      <c r="C13079" s="415" t="s">
        <v>375</v>
      </c>
      <c r="D13079" s="588"/>
      <c r="E13079" s="588"/>
      <c r="F13079" s="415">
        <v>1</v>
      </c>
      <c r="G13079" s="619" t="s">
        <v>1856</v>
      </c>
      <c r="H13079" s="416"/>
    </row>
    <row r="13080" spans="1:8" ht="15.75" customHeight="1" x14ac:dyDescent="0.25">
      <c r="A13080" s="420">
        <v>12</v>
      </c>
      <c r="B13080" s="417" t="s">
        <v>136</v>
      </c>
      <c r="C13080" s="415" t="s">
        <v>387</v>
      </c>
      <c r="D13080" s="588">
        <v>4</v>
      </c>
      <c r="E13080" s="588">
        <v>6</v>
      </c>
      <c r="F13080" s="415">
        <v>23</v>
      </c>
      <c r="G13080" s="415">
        <v>1</v>
      </c>
      <c r="H13080" s="416">
        <f>+G13080*F13080</f>
      </c>
    </row>
    <row r="13081" spans="1:8" ht="15.75" customHeight="1" x14ac:dyDescent="0.25">
      <c r="A13081" s="420">
        <v>13</v>
      </c>
      <c r="B13081" s="417" t="s">
        <v>136</v>
      </c>
      <c r="C13081" s="415" t="s">
        <v>387</v>
      </c>
      <c r="D13081" s="588"/>
      <c r="E13081" s="588"/>
      <c r="F13081" s="415">
        <v>1</v>
      </c>
      <c r="G13081" s="619" t="s">
        <v>1856</v>
      </c>
      <c r="H13081" s="931"/>
    </row>
    <row r="13082" spans="1:8" ht="15.75" customHeight="1" x14ac:dyDescent="0.25">
      <c r="A13082" s="420">
        <v>14</v>
      </c>
      <c r="B13082" s="417" t="s">
        <v>136</v>
      </c>
      <c r="C13082" s="415" t="s">
        <v>387</v>
      </c>
      <c r="D13082" s="588">
        <v>1</v>
      </c>
      <c r="E13082" s="588">
        <v>6</v>
      </c>
      <c r="F13082" s="415">
        <v>6</v>
      </c>
      <c r="G13082" s="415">
        <v>1</v>
      </c>
      <c r="H13082" s="416">
        <f t="shared" ref="H13082:H13083" si="487">+G13082*F13082</f>
      </c>
    </row>
    <row r="13083" spans="1:8" ht="15.75" customHeight="1" x14ac:dyDescent="0.25">
      <c r="A13083" s="420">
        <v>15</v>
      </c>
      <c r="B13083" s="582" t="s">
        <v>60</v>
      </c>
      <c r="C13083" s="415" t="s">
        <v>593</v>
      </c>
      <c r="D13083" s="415">
        <v>1</v>
      </c>
      <c r="E13083" s="415">
        <v>4</v>
      </c>
      <c r="F13083" s="415">
        <f>+E13083*D13083</f>
      </c>
      <c r="G13083" s="415">
        <v>1</v>
      </c>
      <c r="H13083" s="416">
        <f t="shared" si="487"/>
      </c>
    </row>
    <row r="13084" spans="1:8" ht="15.75" customHeight="1" x14ac:dyDescent="0.25">
      <c r="A13084" s="1080"/>
      <c r="B13084" s="1081"/>
      <c r="C13084" s="1082"/>
      <c r="D13084" s="427"/>
      <c r="E13084" s="427"/>
      <c r="F13084" s="427"/>
      <c r="G13084" s="427"/>
      <c r="H13084" s="429"/>
    </row>
    <row r="13085" spans="1:8" ht="15.75" customHeight="1" x14ac:dyDescent="0.25">
      <c r="A13085" s="877"/>
      <c r="B13085" s="688"/>
      <c r="C13085" s="896" t="s">
        <v>85</v>
      </c>
      <c r="D13085" s="599">
        <f>SUM(D13068:D13083)</f>
      </c>
      <c r="E13085" s="401"/>
      <c r="F13085" s="599">
        <f>SUM(F13068:F13083)</f>
      </c>
      <c r="G13085" s="661"/>
      <c r="H13085" s="438">
        <f>SUM(H13068:H13084)</f>
      </c>
    </row>
    <row r="13086" spans="1:8" ht="15.75" customHeight="1" x14ac:dyDescent="0.25">
      <c r="A13086" s="932"/>
      <c r="B13086" s="933"/>
      <c r="C13086" s="934"/>
      <c r="D13086" s="431"/>
      <c r="E13086" s="935"/>
      <c r="F13086" s="935"/>
      <c r="G13086" s="936"/>
      <c r="H13086" s="444"/>
    </row>
    <row r="13087" spans="1:8" ht="15.75" customHeight="1" x14ac:dyDescent="0.25">
      <c r="A13087" s="994" t="s">
        <v>913</v>
      </c>
      <c r="B13087" s="391"/>
      <c r="C13087" s="391"/>
      <c r="D13087" s="391"/>
      <c r="E13087" s="390"/>
      <c r="F13087" s="392"/>
      <c r="G13087" s="390"/>
      <c r="H13087" s="394"/>
    </row>
    <row r="13088" spans="1:8" ht="15.75" customHeight="1" x14ac:dyDescent="0.25">
      <c r="A13088" s="445"/>
      <c r="B13088" s="445"/>
      <c r="C13088" s="445"/>
      <c r="D13088" s="446" t="s">
        <v>97</v>
      </c>
      <c r="E13088" s="445" t="s">
        <v>98</v>
      </c>
      <c r="F13088" s="445"/>
      <c r="G13088" s="390"/>
      <c r="H13088" s="394"/>
    </row>
    <row r="13089" spans="1:8" ht="15.75" customHeight="1" x14ac:dyDescent="0.25">
      <c r="A13089" s="390"/>
      <c r="B13089" s="390"/>
      <c r="C13089" s="390"/>
      <c r="D13089" s="391"/>
      <c r="E13089" s="390"/>
      <c r="F13089" s="390"/>
      <c r="G13089" s="390"/>
      <c r="H13089" s="394"/>
    </row>
    <row r="13090" spans="1:8" ht="15.75" customHeight="1" x14ac:dyDescent="0.25">
      <c r="A13090" s="390"/>
      <c r="B13090" s="390"/>
      <c r="C13090" s="390"/>
      <c r="D13090" s="391"/>
      <c r="E13090" s="390"/>
      <c r="F13090" s="390"/>
      <c r="G13090" s="390"/>
      <c r="H13090" s="394"/>
    </row>
    <row r="13091" spans="1:8" ht="15.75" customHeight="1" x14ac:dyDescent="0.25">
      <c r="A13091" s="445"/>
      <c r="B13091" s="445"/>
      <c r="C13091" s="445"/>
      <c r="D13091" s="446"/>
      <c r="E13091" s="445" t="s">
        <v>99</v>
      </c>
      <c r="F13091" s="445"/>
      <c r="G13091" s="390"/>
      <c r="H13091" s="394"/>
    </row>
    <row r="13092" spans="1:8" ht="15.75" customHeight="1" x14ac:dyDescent="0.25">
      <c r="D13092" s="4"/>
      <c r="H13092" s="4"/>
    </row>
    <row r="13093" spans="1:8" ht="15.75" customHeight="1" x14ac:dyDescent="0.25">
      <c r="D13093" s="4"/>
      <c r="H13093" s="4"/>
    </row>
    <row r="13094" spans="1:8" ht="15.75" customHeight="1" x14ac:dyDescent="0.25">
      <c r="D13094" s="4"/>
      <c r="H13094" s="4"/>
    </row>
    <row r="13095" spans="1:8" ht="15.75" customHeight="1" x14ac:dyDescent="0.25">
      <c r="D13095" s="4"/>
      <c r="H13095" s="4"/>
    </row>
    <row r="13096" spans="1:8" ht="15.75" customHeight="1" x14ac:dyDescent="0.25">
      <c r="D13096" s="4"/>
      <c r="H13096" s="4"/>
    </row>
    <row r="13097" spans="1:8" ht="15.75" customHeight="1" x14ac:dyDescent="0.25">
      <c r="D13097" s="4"/>
      <c r="H13097" s="4"/>
    </row>
    <row r="13098" spans="1:8" ht="15.75" customHeight="1" x14ac:dyDescent="0.25">
      <c r="D13098" s="4"/>
      <c r="H13098" s="4"/>
    </row>
    <row r="13099" spans="1:8" ht="15.75" customHeight="1" x14ac:dyDescent="0.25">
      <c r="D13099" s="4"/>
      <c r="H13099" s="4"/>
    </row>
    <row r="13100" spans="1:8" ht="15.75" customHeight="1" x14ac:dyDescent="0.25">
      <c r="D13100" s="4"/>
      <c r="H13100" s="4"/>
    </row>
    <row r="13101" spans="1:8" ht="15.75" customHeight="1" x14ac:dyDescent="0.25">
      <c r="D13101" s="4"/>
      <c r="H13101" s="4"/>
    </row>
    <row r="13102" spans="1:8" ht="15.75" customHeight="1" x14ac:dyDescent="0.25">
      <c r="D13102" s="4"/>
      <c r="H13102" s="4"/>
    </row>
    <row r="13103" spans="1:8" ht="15.75" customHeight="1" x14ac:dyDescent="0.25">
      <c r="D13103" s="4"/>
      <c r="H13103" s="4"/>
    </row>
    <row r="13104" spans="1:8" ht="15.75" customHeight="1" x14ac:dyDescent="0.25">
      <c r="D13104" s="4"/>
      <c r="H13104" s="4"/>
    </row>
    <row r="13105" spans="1:8" ht="15.75" customHeight="1" x14ac:dyDescent="0.25">
      <c r="D13105" s="4"/>
      <c r="H13105" s="4"/>
    </row>
    <row r="13106" spans="1:8" ht="15.75" customHeight="1" x14ac:dyDescent="0.25">
      <c r="D13106" s="4"/>
      <c r="H13106" s="4"/>
    </row>
    <row r="13107" spans="1:8" ht="15.75" customHeight="1" x14ac:dyDescent="0.25">
      <c r="D13107" s="4"/>
      <c r="H13107" s="4"/>
    </row>
    <row r="13108" spans="1:8" ht="15.75" customHeight="1" x14ac:dyDescent="0.25">
      <c r="D13108" s="4"/>
      <c r="H13108" s="4"/>
    </row>
    <row r="13109" spans="1:8" ht="15.75" customHeight="1" x14ac:dyDescent="0.25">
      <c r="D13109" s="4"/>
      <c r="H13109" s="4"/>
    </row>
    <row r="13110" spans="1:8" ht="15.75" customHeight="1" x14ac:dyDescent="0.25">
      <c r="D13110" s="4"/>
      <c r="H13110" s="4"/>
    </row>
    <row r="13111" spans="1:8" ht="15.75" customHeight="1" x14ac:dyDescent="0.25">
      <c r="A13111" s="8" t="s">
        <v>14</v>
      </c>
      <c r="B13111" s="8"/>
      <c r="C13111" s="8"/>
      <c r="D13111" s="8"/>
      <c r="E13111" s="8"/>
      <c r="F13111" s="8"/>
      <c r="G13111" s="8"/>
      <c r="H13111" s="8"/>
    </row>
    <row r="13112" spans="1:8" ht="15.75" customHeight="1" x14ac:dyDescent="0.25">
      <c r="A13112" s="388"/>
      <c r="B13112" s="388"/>
      <c r="C13112" s="388"/>
      <c r="D13112" s="389"/>
      <c r="E13112" s="388"/>
      <c r="F13112" s="388"/>
      <c r="G13112" s="388"/>
      <c r="H13112" s="8"/>
    </row>
    <row r="13113" spans="1:8" ht="15.75" customHeight="1" x14ac:dyDescent="0.25">
      <c r="A13113" s="390"/>
      <c r="B13113" s="390"/>
      <c r="C13113" s="390"/>
      <c r="D13113" s="391"/>
      <c r="E13113" s="390"/>
      <c r="F13113" s="395" t="s">
        <v>18</v>
      </c>
      <c r="G13113" s="396" t="s">
        <v>1146</v>
      </c>
      <c r="H13113" s="397"/>
    </row>
    <row r="13114" spans="1:8" ht="15.75" customHeight="1" x14ac:dyDescent="0.25">
      <c r="A13114" s="390" t="s">
        <v>20</v>
      </c>
      <c r="B13114" s="390"/>
      <c r="D13114" s="391"/>
      <c r="E13114" s="390"/>
      <c r="F13114" s="395" t="s">
        <v>21</v>
      </c>
      <c r="G13114" s="390" t="s">
        <v>1945</v>
      </c>
      <c r="H13114" s="391"/>
    </row>
    <row r="13115" spans="1:8" ht="15.75" customHeight="1" x14ac:dyDescent="0.25">
      <c r="A13115" s="390" t="inlineStr">
        <is>
          <t>Dealer-002</t>
        </is>
      </c>
      <c r="B13115" s="390"/>
      <c r="C13115" s="390"/>
      <c r="D13115" s="398"/>
      <c r="E13115" s="390"/>
      <c r="F13115" s="391"/>
      <c r="G13115" s="390"/>
      <c r="H13115" s="394"/>
    </row>
    <row r="13116" spans="1:8" ht="15.75" customHeight="1" x14ac:dyDescent="0.25">
      <c r="A13116" s="390" t="inlineStr">
        <is>
          <t>Address line (redacted)</t>
        </is>
      </c>
      <c r="B13116" s="390"/>
      <c r="C13116" s="390"/>
      <c r="D13116" s="398"/>
      <c r="E13116" s="390"/>
      <c r="F13116" s="391"/>
      <c r="G13116" s="390"/>
      <c r="H13116" s="394"/>
    </row>
    <row r="13117" spans="1:8" ht="15.75" customHeight="1" x14ac:dyDescent="0.25">
      <c r="A13117" s="390" t="inlineStr">
        <is>
          <t>Address line (redacted)</t>
        </is>
      </c>
      <c r="B13117" s="390"/>
      <c r="C13117" s="390"/>
      <c r="D13117" s="391"/>
      <c r="E13117" s="390"/>
      <c r="F13117" s="391"/>
      <c r="G13117" s="390"/>
      <c r="H13117" s="394"/>
    </row>
    <row r="13118" spans="1:8" ht="15.75" customHeight="1" x14ac:dyDescent="0.25">
      <c r="A13118" s="390"/>
      <c r="B13118" s="390"/>
      <c r="C13118" s="390"/>
      <c r="D13118" s="391"/>
      <c r="E13118" s="390"/>
      <c r="F13118" s="391"/>
      <c r="G13118" s="390"/>
      <c r="H13118" s="394"/>
    </row>
    <row r="13119" spans="1:8" ht="15.75" customHeight="1" x14ac:dyDescent="0.25">
      <c r="A13119" s="390" t="s">
        <v>30</v>
      </c>
      <c r="B13119" s="390"/>
      <c r="C13119" s="390"/>
      <c r="D13119" s="391"/>
      <c r="E13119" s="390"/>
      <c r="F13119" s="391"/>
      <c r="G13119" s="390"/>
      <c r="H13119" s="394"/>
    </row>
    <row r="13120" spans="1:8" ht="15.75" customHeight="1" x14ac:dyDescent="0.25">
      <c r="A13120" s="390" t="s">
        <v>716</v>
      </c>
      <c r="B13120" s="390"/>
      <c r="C13120" s="390"/>
      <c r="D13120" s="391"/>
      <c r="E13120" s="390"/>
      <c r="F13120" s="391"/>
      <c r="G13120" s="390"/>
      <c r="H13120" s="394"/>
    </row>
    <row r="13121" spans="1:8" ht="15.75" customHeight="1" x14ac:dyDescent="0.25">
      <c r="A13121" s="390" t="s">
        <v>717</v>
      </c>
      <c r="B13121" s="390"/>
      <c r="C13121" s="390"/>
      <c r="D13121" s="391"/>
      <c r="E13121" s="390"/>
      <c r="F13121" s="391"/>
      <c r="G13121" s="390"/>
      <c r="H13121" s="394"/>
    </row>
    <row r="13122" spans="1:8" ht="15.75" customHeight="1" x14ac:dyDescent="0.25">
      <c r="A13122" s="390"/>
      <c r="B13122" s="390"/>
      <c r="C13122" s="390"/>
      <c r="D13122" s="391"/>
      <c r="E13122" s="390"/>
      <c r="F13122" s="391"/>
      <c r="G13122" s="390"/>
      <c r="H13122" s="394"/>
    </row>
    <row r="13123" spans="1:8" ht="15.75" customHeight="1" x14ac:dyDescent="0.25">
      <c r="A13123" s="948" t="s">
        <v>33</v>
      </c>
      <c r="B13123" s="949" t="s">
        <v>6</v>
      </c>
      <c r="C13123" s="950"/>
      <c r="D13123" s="874" t="s">
        <v>37</v>
      </c>
      <c r="E13123" s="874" t="s">
        <v>38</v>
      </c>
      <c r="F13123" s="875" t="s">
        <v>7</v>
      </c>
      <c r="G13123" s="872" t="s">
        <v>43</v>
      </c>
      <c r="H13123" s="876" t="s">
        <v>44</v>
      </c>
    </row>
    <row r="13124" spans="1:8" ht="15.75" customHeight="1" x14ac:dyDescent="0.3">
      <c r="A13124" s="412"/>
      <c r="B13124" s="1042"/>
      <c r="C13124" s="1043"/>
      <c r="D13124" s="879"/>
      <c r="E13124" s="879"/>
      <c r="F13124" s="415"/>
      <c r="G13124" s="415"/>
      <c r="H13124" s="416"/>
    </row>
    <row r="13125" spans="1:8" ht="15.75" customHeight="1" x14ac:dyDescent="0.25">
      <c r="A13125" s="412"/>
      <c r="B13125" s="1026" t="s">
        <v>2046</v>
      </c>
      <c r="C13125" s="1027"/>
      <c r="D13125" s="415"/>
      <c r="E13125" s="415"/>
      <c r="F13125" s="415"/>
      <c r="G13125" s="415"/>
      <c r="H13125" s="416"/>
    </row>
    <row r="13126" spans="1:8" ht="15.75" customHeight="1" x14ac:dyDescent="0.25">
      <c r="A13126" s="420">
        <v>1</v>
      </c>
      <c r="B13126" s="417" t="s">
        <v>2127</v>
      </c>
      <c r="C13126" s="993" t="s">
        <v>328</v>
      </c>
      <c r="D13126" s="415">
        <v>1</v>
      </c>
      <c r="E13126" s="415">
        <v>5</v>
      </c>
      <c r="F13126" s="415">
        <f t="shared" ref="F13126:F13136" si="488">+E13126*D13126</f>
      </c>
      <c r="G13126" s="415">
        <v>1</v>
      </c>
      <c r="H13126" s="416">
        <f t="shared" ref="H13126:H13136" si="489">+G13126*F13126</f>
      </c>
    </row>
    <row r="13127" spans="1:8" ht="15.75" customHeight="1" x14ac:dyDescent="0.25">
      <c r="A13127" s="420">
        <v>2</v>
      </c>
      <c r="B13127" s="417" t="s">
        <v>815</v>
      </c>
      <c r="C13127" s="993" t="s">
        <v>84</v>
      </c>
      <c r="D13127" s="415">
        <v>2</v>
      </c>
      <c r="E13127" s="415">
        <v>5</v>
      </c>
      <c r="F13127" s="415">
        <f t="shared" si="488"/>
      </c>
      <c r="G13127" s="415">
        <v>1</v>
      </c>
      <c r="H13127" s="416">
        <f t="shared" si="489"/>
      </c>
    </row>
    <row r="13128" spans="1:8" ht="15.75" customHeight="1" x14ac:dyDescent="0.25">
      <c r="A13128" s="420">
        <v>3</v>
      </c>
      <c r="B13128" s="417" t="s">
        <v>494</v>
      </c>
      <c r="C13128" s="993" t="s">
        <v>327</v>
      </c>
      <c r="D13128" s="415">
        <v>2</v>
      </c>
      <c r="E13128" s="415">
        <v>5</v>
      </c>
      <c r="F13128" s="415">
        <f t="shared" si="488"/>
      </c>
      <c r="G13128" s="415">
        <v>1</v>
      </c>
      <c r="H13128" s="416">
        <f t="shared" si="489"/>
      </c>
    </row>
    <row r="13129" spans="1:8" ht="15.75" customHeight="1" x14ac:dyDescent="0.25">
      <c r="A13129" s="420">
        <v>4</v>
      </c>
      <c r="B13129" s="417" t="s">
        <v>122</v>
      </c>
      <c r="C13129" s="993" t="s">
        <v>321</v>
      </c>
      <c r="D13129" s="415">
        <v>2</v>
      </c>
      <c r="E13129" s="415">
        <v>5</v>
      </c>
      <c r="F13129" s="415">
        <f t="shared" si="488"/>
      </c>
      <c r="G13129" s="415">
        <v>1</v>
      </c>
      <c r="H13129" s="416">
        <f t="shared" si="489"/>
      </c>
    </row>
    <row r="13130" spans="1:8" ht="15.75" customHeight="1" x14ac:dyDescent="0.25">
      <c r="A13130" s="420">
        <v>5</v>
      </c>
      <c r="B13130" s="417" t="s">
        <v>1203</v>
      </c>
      <c r="C13130" s="993" t="s">
        <v>47</v>
      </c>
      <c r="D13130" s="415">
        <v>1</v>
      </c>
      <c r="E13130" s="415">
        <v>5</v>
      </c>
      <c r="F13130" s="415">
        <f t="shared" si="488"/>
      </c>
      <c r="G13130" s="415">
        <v>1</v>
      </c>
      <c r="H13130" s="416">
        <f t="shared" si="489"/>
      </c>
    </row>
    <row r="13131" spans="1:8" ht="15.75" customHeight="1" x14ac:dyDescent="0.25">
      <c r="A13131" s="420">
        <v>6</v>
      </c>
      <c r="B13131" s="417" t="s">
        <v>1201</v>
      </c>
      <c r="C13131" s="993" t="s">
        <v>36</v>
      </c>
      <c r="D13131" s="415">
        <v>1</v>
      </c>
      <c r="E13131" s="415">
        <v>5</v>
      </c>
      <c r="F13131" s="415">
        <f t="shared" si="488"/>
      </c>
      <c r="G13131" s="415">
        <v>1</v>
      </c>
      <c r="H13131" s="416">
        <f t="shared" si="489"/>
      </c>
    </row>
    <row r="13132" spans="1:8" ht="15.75" customHeight="1" x14ac:dyDescent="0.25">
      <c r="A13132" s="420">
        <v>7</v>
      </c>
      <c r="B13132" s="1037" t="s">
        <v>146</v>
      </c>
      <c r="C13132" s="993" t="s">
        <v>342</v>
      </c>
      <c r="D13132" s="415">
        <v>1</v>
      </c>
      <c r="E13132" s="415">
        <v>5</v>
      </c>
      <c r="F13132" s="415">
        <f t="shared" si="488"/>
      </c>
      <c r="G13132" s="415">
        <v>1</v>
      </c>
      <c r="H13132" s="416">
        <f t="shared" si="489"/>
      </c>
    </row>
    <row r="13133" spans="1:8" ht="15.75" customHeight="1" x14ac:dyDescent="0.25">
      <c r="A13133" s="420">
        <v>8</v>
      </c>
      <c r="B13133" s="1037" t="s">
        <v>134</v>
      </c>
      <c r="C13133" s="993" t="s">
        <v>332</v>
      </c>
      <c r="D13133" s="415">
        <v>1</v>
      </c>
      <c r="E13133" s="415">
        <v>5</v>
      </c>
      <c r="F13133" s="415">
        <f t="shared" si="488"/>
      </c>
      <c r="G13133" s="415">
        <v>1</v>
      </c>
      <c r="H13133" s="416">
        <f t="shared" si="489"/>
      </c>
    </row>
    <row r="13134" spans="1:8" ht="15.75" customHeight="1" x14ac:dyDescent="0.25">
      <c r="A13134" s="420">
        <v>9</v>
      </c>
      <c r="B13134" s="1037" t="s">
        <v>696</v>
      </c>
      <c r="C13134" s="993" t="s">
        <v>107</v>
      </c>
      <c r="D13134" s="415">
        <v>1</v>
      </c>
      <c r="E13134" s="415">
        <v>5</v>
      </c>
      <c r="F13134" s="415">
        <f t="shared" si="488"/>
      </c>
      <c r="G13134" s="415">
        <v>1</v>
      </c>
      <c r="H13134" s="416">
        <f t="shared" si="489"/>
      </c>
    </row>
    <row r="13135" spans="1:8" ht="15.75" customHeight="1" x14ac:dyDescent="0.25">
      <c r="A13135" s="420">
        <v>10</v>
      </c>
      <c r="B13135" s="1037" t="s">
        <v>301</v>
      </c>
      <c r="C13135" s="993" t="s">
        <v>66</v>
      </c>
      <c r="D13135" s="415">
        <v>1</v>
      </c>
      <c r="E13135" s="415">
        <v>5</v>
      </c>
      <c r="F13135" s="415">
        <f t="shared" si="488"/>
      </c>
      <c r="G13135" s="415">
        <v>1</v>
      </c>
      <c r="H13135" s="416">
        <f t="shared" si="489"/>
      </c>
    </row>
    <row r="13136" spans="1:8" ht="15.75" customHeight="1" x14ac:dyDescent="0.25">
      <c r="A13136" s="420">
        <v>11</v>
      </c>
      <c r="B13136" s="1037" t="s">
        <v>105</v>
      </c>
      <c r="C13136" s="993" t="s">
        <v>96</v>
      </c>
      <c r="D13136" s="415">
        <v>1</v>
      </c>
      <c r="E13136" s="415">
        <v>5</v>
      </c>
      <c r="F13136" s="415">
        <f t="shared" si="488"/>
      </c>
      <c r="G13136" s="415">
        <v>1</v>
      </c>
      <c r="H13136" s="416">
        <f t="shared" si="489"/>
      </c>
    </row>
    <row r="13137" spans="1:8" ht="15.75" customHeight="1" x14ac:dyDescent="0.25">
      <c r="A13137" s="412"/>
      <c r="B13137" s="953" t="s">
        <v>1489</v>
      </c>
      <c r="C13137" s="953"/>
      <c r="D13137" s="951"/>
      <c r="E13137" s="879"/>
      <c r="F13137" s="415"/>
      <c r="G13137" s="415"/>
      <c r="H13137" s="416"/>
    </row>
    <row r="13138" spans="1:8" ht="15.75" customHeight="1" x14ac:dyDescent="0.25">
      <c r="A13138" s="412">
        <v>12</v>
      </c>
      <c r="B13138" s="961" t="s">
        <v>15</v>
      </c>
      <c r="C13138" s="422"/>
      <c r="D13138" s="415">
        <v>10</v>
      </c>
      <c r="E13138" s="415">
        <v>1</v>
      </c>
      <c r="F13138" s="415">
        <f>+E13138*D13138</f>
      </c>
      <c r="G13138" s="415">
        <v>1</v>
      </c>
      <c r="H13138" s="416">
        <f>+G13138*F13138</f>
      </c>
    </row>
    <row r="13139" spans="1:8" ht="15.75" customHeight="1" x14ac:dyDescent="0.25">
      <c r="A13139" s="420"/>
      <c r="B13139" s="417"/>
      <c r="C13139" s="415"/>
      <c r="D13139" s="588"/>
      <c r="E13139" s="588"/>
      <c r="F13139" s="415"/>
      <c r="G13139" s="415"/>
      <c r="H13139" s="416"/>
    </row>
    <row r="13140" spans="1:8" ht="15.75" customHeight="1" x14ac:dyDescent="0.25">
      <c r="A13140" s="412"/>
      <c r="B13140" s="417"/>
      <c r="C13140" s="993"/>
      <c r="D13140" s="626"/>
      <c r="E13140" s="626"/>
      <c r="F13140" s="415"/>
      <c r="G13140" s="415"/>
      <c r="H13140" s="416"/>
    </row>
    <row r="13141" spans="1:8" ht="15.75" customHeight="1" x14ac:dyDescent="0.25">
      <c r="A13141" s="877"/>
      <c r="B13141" s="688"/>
      <c r="C13141" s="896" t="s">
        <v>85</v>
      </c>
      <c r="D13141" s="599">
        <f>SUM(D13126:D13140)</f>
      </c>
      <c r="E13141" s="401"/>
      <c r="F13141" s="599">
        <f>SUM(F13126:F13140)</f>
      </c>
      <c r="G13141" s="661"/>
      <c r="H13141" s="438">
        <f>SUM(H13126:H13140)</f>
      </c>
    </row>
    <row r="13142" spans="1:8" ht="15.75" customHeight="1" x14ac:dyDescent="0.25">
      <c r="A13142" s="932"/>
      <c r="B13142" s="933"/>
      <c r="C13142" s="934"/>
      <c r="D13142" s="431"/>
      <c r="E13142" s="935"/>
      <c r="F13142" s="935"/>
      <c r="G13142" s="936"/>
      <c r="H13142" s="444"/>
    </row>
    <row r="13143" spans="1:8" ht="15.75" customHeight="1" x14ac:dyDescent="0.25">
      <c r="A13143" s="994" t="s">
        <v>913</v>
      </c>
      <c r="B13143" s="391"/>
      <c r="C13143" s="391"/>
      <c r="D13143" s="391"/>
      <c r="E13143" s="390"/>
      <c r="F13143" s="392"/>
      <c r="G13143" s="390"/>
      <c r="H13143" s="394"/>
    </row>
    <row r="13144" spans="1:8" ht="15.75" customHeight="1" x14ac:dyDescent="0.25">
      <c r="A13144" s="445"/>
      <c r="B13144" s="445"/>
      <c r="C13144" s="445"/>
      <c r="D13144" s="446" t="s">
        <v>97</v>
      </c>
      <c r="E13144" s="445" t="s">
        <v>98</v>
      </c>
      <c r="F13144" s="445"/>
      <c r="G13144" s="390"/>
      <c r="H13144" s="394"/>
    </row>
    <row r="13145" spans="1:8" ht="15.75" customHeight="1" x14ac:dyDescent="0.25">
      <c r="A13145" s="390"/>
      <c r="B13145" s="390"/>
      <c r="C13145" s="390"/>
      <c r="D13145" s="391"/>
      <c r="E13145" s="390"/>
      <c r="F13145" s="390"/>
      <c r="G13145" s="390"/>
      <c r="H13145" s="394"/>
    </row>
    <row r="13146" spans="1:8" ht="15.75" customHeight="1" x14ac:dyDescent="0.25">
      <c r="A13146" s="390"/>
      <c r="B13146" s="390"/>
      <c r="C13146" s="390"/>
      <c r="D13146" s="391"/>
      <c r="E13146" s="390"/>
      <c r="F13146" s="390"/>
      <c r="G13146" s="390"/>
      <c r="H13146" s="394"/>
    </row>
    <row r="13147" spans="1:8" ht="15.75" customHeight="1" x14ac:dyDescent="0.25">
      <c r="A13147" s="445"/>
      <c r="B13147" s="445"/>
      <c r="C13147" s="445"/>
      <c r="D13147" s="446"/>
      <c r="E13147" s="445" t="s">
        <v>99</v>
      </c>
      <c r="F13147" s="445"/>
      <c r="G13147" s="390"/>
      <c r="H13147" s="394"/>
    </row>
    <row r="13148" spans="1:8" ht="15.75" customHeight="1" x14ac:dyDescent="0.25">
      <c r="D13148" s="4"/>
      <c r="H13148" s="4"/>
    </row>
    <row r="13149" spans="1:8" ht="15.75" customHeight="1" x14ac:dyDescent="0.25">
      <c r="D13149" s="4"/>
      <c r="H13149" s="4"/>
    </row>
    <row r="13150" spans="1:8" ht="15.75" customHeight="1" x14ac:dyDescent="0.25">
      <c r="D13150" s="4"/>
      <c r="H13150" s="4"/>
    </row>
    <row r="13151" spans="1:8" ht="15.75" customHeight="1" x14ac:dyDescent="0.25">
      <c r="D13151" s="4"/>
      <c r="H13151" s="4"/>
    </row>
    <row r="13152" spans="1:8" ht="15.75" customHeight="1" x14ac:dyDescent="0.25">
      <c r="D13152" s="4"/>
      <c r="H13152" s="4"/>
    </row>
    <row r="13153" spans="1:8" ht="15.75" customHeight="1" x14ac:dyDescent="0.25">
      <c r="D13153" s="4"/>
      <c r="H13153" s="4"/>
    </row>
    <row r="13154" spans="1:8" ht="15.75" customHeight="1" x14ac:dyDescent="0.25">
      <c r="D13154" s="4"/>
      <c r="H13154" s="4"/>
    </row>
    <row r="13155" spans="1:8" ht="15.75" customHeight="1" x14ac:dyDescent="0.25">
      <c r="D13155" s="4"/>
      <c r="H13155" s="4"/>
    </row>
    <row r="13156" spans="1:8" ht="15.75" customHeight="1" x14ac:dyDescent="0.25">
      <c r="D13156" s="4"/>
      <c r="H13156" s="4"/>
    </row>
    <row r="13157" spans="1:8" ht="15.75" customHeight="1" x14ac:dyDescent="0.25">
      <c r="A13157" s="8" t="s">
        <v>14</v>
      </c>
      <c r="B13157" s="8"/>
      <c r="C13157" s="8"/>
      <c r="D13157" s="8"/>
      <c r="E13157" s="8"/>
      <c r="F13157" s="8"/>
      <c r="G13157" s="8"/>
      <c r="H13157" s="8"/>
    </row>
    <row r="13158" spans="1:8" ht="15.75" customHeight="1" x14ac:dyDescent="0.25">
      <c r="A13158" s="388"/>
      <c r="B13158" s="388"/>
      <c r="C13158" s="388"/>
      <c r="D13158" s="389"/>
      <c r="E13158" s="388"/>
      <c r="F13158" s="388"/>
      <c r="G13158" s="388"/>
      <c r="H13158" s="8"/>
    </row>
    <row r="13159" spans="1:8" ht="15.75" customHeight="1" x14ac:dyDescent="0.25">
      <c r="A13159" s="390"/>
      <c r="B13159" s="390"/>
      <c r="C13159" s="390"/>
      <c r="D13159" s="391"/>
      <c r="E13159" s="390"/>
      <c r="F13159" s="395" t="s">
        <v>18</v>
      </c>
      <c r="G13159" s="396" t="s">
        <v>1149</v>
      </c>
      <c r="H13159" s="397"/>
    </row>
    <row r="13160" spans="1:8" ht="15.75" customHeight="1" x14ac:dyDescent="0.25">
      <c r="A13160" s="390" t="s">
        <v>20</v>
      </c>
      <c r="B13160" s="390"/>
      <c r="D13160" s="391"/>
      <c r="E13160" s="390"/>
      <c r="F13160" s="395" t="s">
        <v>21</v>
      </c>
      <c r="G13160" s="390" t="s">
        <v>1990</v>
      </c>
      <c r="H13160" s="391"/>
    </row>
    <row r="13161" spans="1:8" ht="15.75" customHeight="1" x14ac:dyDescent="0.25">
      <c r="A13161" s="390" t="inlineStr">
        <is>
          <t>Dealer-009</t>
        </is>
      </c>
      <c r="B13161" s="390"/>
      <c r="C13161" s="390" t="inlineStr">
        <is>
          <t>ATTN: Contact-001</t>
        </is>
      </c>
      <c r="D13161" s="398"/>
      <c r="E13161" s="390"/>
      <c r="F13161" s="391"/>
      <c r="G13161" s="390"/>
      <c r="H13161" s="394"/>
    </row>
    <row r="13162" spans="1:8" ht="15.75" customHeight="1" x14ac:dyDescent="0.25">
      <c r="A13162" s="390" t="inlineStr">
        <is>
          <t>Address line (redacted)</t>
        </is>
      </c>
      <c r="B13162" s="390"/>
      <c r="C13162" s="390"/>
      <c r="D13162" s="398"/>
      <c r="E13162" s="390"/>
      <c r="F13162" s="391"/>
      <c r="G13162" s="390"/>
      <c r="H13162" s="394"/>
    </row>
    <row r="13163" spans="1:8" ht="15.75" customHeight="1" x14ac:dyDescent="0.25">
      <c r="A13163" s="390" t="inlineStr">
        <is>
          <t>Address line (redacted)</t>
        </is>
      </c>
      <c r="B13163" s="390"/>
      <c r="C13163" s="390"/>
      <c r="D13163" s="391"/>
      <c r="E13163" s="390"/>
      <c r="F13163" s="391"/>
      <c r="G13163" s="390"/>
      <c r="H13163" s="394"/>
    </row>
    <row r="13164" spans="1:8" ht="15.75" customHeight="1" x14ac:dyDescent="0.25">
      <c r="A13164" s="390"/>
      <c r="B13164" s="390"/>
      <c r="C13164" s="390"/>
      <c r="D13164" s="391"/>
      <c r="E13164" s="390"/>
      <c r="F13164" s="391"/>
      <c r="G13164" s="390"/>
      <c r="H13164" s="394"/>
    </row>
    <row r="13165" spans="1:8" ht="15.75" customHeight="1" x14ac:dyDescent="0.25">
      <c r="A13165" s="390" t="s">
        <v>30</v>
      </c>
      <c r="B13165" s="390"/>
      <c r="C13165" s="390"/>
      <c r="D13165" s="391"/>
      <c r="E13165" s="390"/>
      <c r="F13165" s="391"/>
      <c r="G13165" s="390"/>
      <c r="H13165" s="394"/>
    </row>
    <row r="13166" spans="1:8" ht="15.75" customHeight="1" x14ac:dyDescent="0.25">
      <c r="A13166" s="390"/>
      <c r="B13166" s="390"/>
      <c r="C13166" s="390"/>
      <c r="D13166" s="391"/>
      <c r="E13166" s="390"/>
      <c r="F13166" s="391"/>
      <c r="G13166" s="390"/>
      <c r="H13166" s="394"/>
    </row>
    <row r="13167" spans="1:8" ht="15.75" customHeight="1" x14ac:dyDescent="0.25">
      <c r="A13167" s="390" t="s">
        <v>716</v>
      </c>
      <c r="B13167" s="390"/>
      <c r="C13167" s="390"/>
      <c r="D13167" s="391"/>
      <c r="E13167" s="390"/>
      <c r="F13167" s="391"/>
      <c r="G13167" s="390"/>
      <c r="H13167" s="394"/>
    </row>
    <row r="13168" spans="1:8" ht="15.75" customHeight="1" x14ac:dyDescent="0.25">
      <c r="A13168" s="390" t="s">
        <v>717</v>
      </c>
      <c r="B13168" s="390"/>
      <c r="C13168" s="390"/>
      <c r="D13168" s="391"/>
      <c r="E13168" s="390"/>
      <c r="F13168" s="391"/>
      <c r="G13168" s="390"/>
      <c r="H13168" s="394"/>
    </row>
    <row r="13169" spans="1:8" ht="15.75" customHeight="1" x14ac:dyDescent="0.25">
      <c r="A13169" s="390"/>
      <c r="B13169" s="390"/>
      <c r="C13169" s="390"/>
      <c r="D13169" s="391"/>
      <c r="E13169" s="390"/>
      <c r="F13169" s="391"/>
      <c r="G13169" s="390"/>
      <c r="H13169" s="394"/>
    </row>
    <row r="13170" spans="1:8" ht="15.75" customHeight="1" x14ac:dyDescent="0.25">
      <c r="A13170" s="948" t="s">
        <v>33</v>
      </c>
      <c r="B13170" s="949" t="s">
        <v>6</v>
      </c>
      <c r="C13170" s="950"/>
      <c r="D13170" s="874" t="s">
        <v>37</v>
      </c>
      <c r="E13170" s="874" t="s">
        <v>38</v>
      </c>
      <c r="F13170" s="875" t="s">
        <v>7</v>
      </c>
      <c r="G13170" s="872" t="s">
        <v>43</v>
      </c>
      <c r="H13170" s="876" t="s">
        <v>44</v>
      </c>
    </row>
    <row r="13171" spans="1:8" ht="15.75" customHeight="1" x14ac:dyDescent="0.3">
      <c r="A13171" s="412"/>
      <c r="B13171" s="1042"/>
      <c r="C13171" s="1043"/>
      <c r="D13171" s="879"/>
      <c r="E13171" s="879"/>
      <c r="F13171" s="415"/>
      <c r="G13171" s="415"/>
      <c r="H13171" s="416"/>
    </row>
    <row r="13172" spans="1:8" ht="15.75" customHeight="1" x14ac:dyDescent="0.25">
      <c r="A13172" s="412"/>
      <c r="B13172" s="1026" t="s">
        <v>2046</v>
      </c>
      <c r="C13172" s="1027"/>
      <c r="D13172" s="415"/>
      <c r="E13172" s="415"/>
      <c r="F13172" s="415"/>
      <c r="G13172" s="415"/>
      <c r="H13172" s="416"/>
    </row>
    <row r="13173" spans="1:8" ht="15.75" customHeight="1" x14ac:dyDescent="0.25">
      <c r="A13173" s="412">
        <v>1</v>
      </c>
      <c r="B13173" s="417" t="s">
        <v>126</v>
      </c>
      <c r="C13173" s="993" t="s">
        <v>325</v>
      </c>
      <c r="D13173" s="415">
        <v>4</v>
      </c>
      <c r="E13173" s="415">
        <v>5</v>
      </c>
      <c r="F13173" s="415">
        <f t="shared" ref="F13173:F13178" si="490">+E13173*D13173</f>
      </c>
      <c r="G13173" s="415">
        <v>1</v>
      </c>
      <c r="H13173" s="416">
        <f t="shared" ref="H13173:H13178" si="491">+G13173*F13173</f>
      </c>
    </row>
    <row r="13174" spans="1:8" ht="15.75" customHeight="1" x14ac:dyDescent="0.25">
      <c r="A13174" s="412">
        <v>2</v>
      </c>
      <c r="B13174" s="417" t="s">
        <v>494</v>
      </c>
      <c r="C13174" s="993" t="s">
        <v>327</v>
      </c>
      <c r="D13174" s="415">
        <v>4</v>
      </c>
      <c r="E13174" s="415">
        <v>5</v>
      </c>
      <c r="F13174" s="415">
        <f t="shared" si="490"/>
      </c>
      <c r="G13174" s="415">
        <v>1</v>
      </c>
      <c r="H13174" s="416">
        <f t="shared" si="491"/>
      </c>
    </row>
    <row r="13175" spans="1:8" ht="15.75" customHeight="1" x14ac:dyDescent="0.25">
      <c r="A13175" s="412">
        <v>3</v>
      </c>
      <c r="B13175" s="417" t="s">
        <v>118</v>
      </c>
      <c r="C13175" s="993" t="s">
        <v>204</v>
      </c>
      <c r="D13175" s="415">
        <v>2</v>
      </c>
      <c r="E13175" s="415">
        <v>5</v>
      </c>
      <c r="F13175" s="415">
        <f t="shared" si="490"/>
      </c>
      <c r="G13175" s="415">
        <v>1</v>
      </c>
      <c r="H13175" s="416">
        <f t="shared" si="491"/>
      </c>
    </row>
    <row r="13176" spans="1:8" ht="15.75" customHeight="1" x14ac:dyDescent="0.25">
      <c r="A13176" s="412">
        <v>4</v>
      </c>
      <c r="B13176" s="1037" t="s">
        <v>696</v>
      </c>
      <c r="C13176" s="993" t="s">
        <v>107</v>
      </c>
      <c r="D13176" s="415">
        <v>1</v>
      </c>
      <c r="E13176" s="415">
        <v>5</v>
      </c>
      <c r="F13176" s="415">
        <f t="shared" si="490"/>
      </c>
      <c r="G13176" s="415">
        <v>1</v>
      </c>
      <c r="H13176" s="416">
        <f t="shared" si="491"/>
      </c>
    </row>
    <row r="13177" spans="1:8" ht="15.75" customHeight="1" x14ac:dyDescent="0.25">
      <c r="A13177" s="412">
        <v>5</v>
      </c>
      <c r="B13177" s="1037" t="s">
        <v>301</v>
      </c>
      <c r="C13177" s="993" t="s">
        <v>66</v>
      </c>
      <c r="D13177" s="415">
        <v>3</v>
      </c>
      <c r="E13177" s="415">
        <v>5</v>
      </c>
      <c r="F13177" s="415">
        <f t="shared" si="490"/>
      </c>
      <c r="G13177" s="415">
        <v>1</v>
      </c>
      <c r="H13177" s="416">
        <f t="shared" si="491"/>
      </c>
    </row>
    <row r="13178" spans="1:8" ht="15.75" customHeight="1" x14ac:dyDescent="0.25">
      <c r="A13178" s="412">
        <v>6</v>
      </c>
      <c r="B13178" s="1037" t="s">
        <v>105</v>
      </c>
      <c r="C13178" s="993" t="s">
        <v>96</v>
      </c>
      <c r="D13178" s="415">
        <v>6</v>
      </c>
      <c r="E13178" s="415">
        <v>5</v>
      </c>
      <c r="F13178" s="415">
        <f t="shared" si="490"/>
      </c>
      <c r="G13178" s="415">
        <v>1</v>
      </c>
      <c r="H13178" s="416">
        <f t="shared" si="491"/>
      </c>
    </row>
    <row r="13179" spans="1:8" ht="15.75" customHeight="1" x14ac:dyDescent="0.25">
      <c r="A13179" s="412"/>
      <c r="B13179" s="1026" t="s">
        <v>2133</v>
      </c>
      <c r="C13179" s="1027"/>
      <c r="D13179" s="415"/>
      <c r="E13179" s="415"/>
      <c r="F13179" s="415"/>
      <c r="G13179" s="415"/>
      <c r="H13179" s="416"/>
    </row>
    <row r="13180" spans="1:8" ht="15.75" customHeight="1" x14ac:dyDescent="0.25">
      <c r="A13180" s="412">
        <v>7</v>
      </c>
      <c r="B13180" s="1083" t="s">
        <v>2134</v>
      </c>
      <c r="C13180" s="414" t="s">
        <v>2135</v>
      </c>
      <c r="D13180" s="592">
        <v>1</v>
      </c>
      <c r="E13180" s="592">
        <v>8</v>
      </c>
      <c r="F13180" s="415">
        <v>4</v>
      </c>
      <c r="G13180" s="415">
        <v>1</v>
      </c>
      <c r="H13180" s="416">
        <f t="shared" ref="H13180:H13182" si="492">+G13180*F13180</f>
      </c>
    </row>
    <row r="13181" spans="1:8" ht="15.75" customHeight="1" x14ac:dyDescent="0.25">
      <c r="A13181" s="412">
        <v>8</v>
      </c>
      <c r="B13181" s="1083" t="s">
        <v>2136</v>
      </c>
      <c r="C13181" s="414" t="s">
        <v>2135</v>
      </c>
      <c r="D13181" s="626"/>
      <c r="E13181" s="626"/>
      <c r="F13181" s="415">
        <v>4</v>
      </c>
      <c r="G13181" s="415">
        <v>1</v>
      </c>
      <c r="H13181" s="416">
        <f t="shared" si="492"/>
      </c>
    </row>
    <row r="13182" spans="1:8" ht="15.75" customHeight="1" x14ac:dyDescent="0.25">
      <c r="A13182" s="412">
        <v>9</v>
      </c>
      <c r="B13182" s="1083" t="s">
        <v>2137</v>
      </c>
      <c r="C13182" s="414"/>
      <c r="D13182" s="626">
        <v>2</v>
      </c>
      <c r="E13182" s="626">
        <v>10</v>
      </c>
      <c r="F13182" s="415">
        <v>19</v>
      </c>
      <c r="G13182" s="415">
        <v>1</v>
      </c>
      <c r="H13182" s="416">
        <f t="shared" si="492"/>
      </c>
    </row>
    <row r="13183" spans="1:8" ht="15.75" customHeight="1" x14ac:dyDescent="0.25">
      <c r="A13183" s="412">
        <v>10</v>
      </c>
      <c r="B13183" s="1083" t="s">
        <v>2137</v>
      </c>
      <c r="C13183" s="414"/>
      <c r="D13183" s="626"/>
      <c r="E13183" s="626"/>
      <c r="F13183" s="415">
        <v>1</v>
      </c>
      <c r="G13183" s="619" t="s">
        <v>1856</v>
      </c>
      <c r="H13183" s="416"/>
    </row>
    <row r="13184" spans="1:8" ht="15.75" customHeight="1" x14ac:dyDescent="0.25">
      <c r="A13184" s="412">
        <v>11</v>
      </c>
      <c r="B13184" s="1083" t="s">
        <v>2137</v>
      </c>
      <c r="C13184" s="414"/>
      <c r="D13184" s="626">
        <v>1</v>
      </c>
      <c r="E13184" s="626">
        <v>10</v>
      </c>
      <c r="F13184" s="415">
        <f>+E13184*D13184</f>
      </c>
      <c r="G13184" s="415">
        <v>1</v>
      </c>
      <c r="H13184" s="416">
        <f>+G13184*F13184</f>
      </c>
    </row>
    <row r="13185" spans="1:8" ht="15.75" customHeight="1" x14ac:dyDescent="0.25">
      <c r="A13185" s="412"/>
      <c r="B13185" s="1026" t="s">
        <v>2043</v>
      </c>
      <c r="C13185" s="1027"/>
      <c r="D13185" s="415"/>
      <c r="E13185" s="415"/>
      <c r="F13185" s="415"/>
      <c r="G13185" s="415"/>
      <c r="H13185" s="416"/>
    </row>
    <row r="13186" spans="1:8" ht="15.75" customHeight="1" x14ac:dyDescent="0.25">
      <c r="A13186" s="412">
        <v>12</v>
      </c>
      <c r="B13186" s="1037" t="s">
        <v>815</v>
      </c>
      <c r="C13186" s="993" t="s">
        <v>385</v>
      </c>
      <c r="D13186" s="415">
        <v>2</v>
      </c>
      <c r="E13186" s="415">
        <v>6</v>
      </c>
      <c r="F13186" s="415">
        <f t="shared" ref="F13186:F13189" si="493">+E13186*D13186</f>
      </c>
      <c r="G13186" s="415">
        <v>1</v>
      </c>
      <c r="H13186" s="416">
        <f t="shared" ref="H13186:H13190" si="494">+G13186*F13186</f>
      </c>
    </row>
    <row r="13187" spans="1:8" ht="15.75" customHeight="1" x14ac:dyDescent="0.25">
      <c r="A13187" s="412">
        <v>13</v>
      </c>
      <c r="B13187" s="1037" t="s">
        <v>815</v>
      </c>
      <c r="C13187" s="993" t="s">
        <v>385</v>
      </c>
      <c r="D13187" s="415">
        <v>1</v>
      </c>
      <c r="E13187" s="415">
        <v>3</v>
      </c>
      <c r="F13187" s="415">
        <f t="shared" si="493"/>
      </c>
      <c r="G13187" s="415">
        <v>1</v>
      </c>
      <c r="H13187" s="416">
        <f t="shared" si="494"/>
      </c>
    </row>
    <row r="13188" spans="1:8" ht="15.75" customHeight="1" x14ac:dyDescent="0.25">
      <c r="A13188" s="412">
        <v>14</v>
      </c>
      <c r="B13188" s="1037" t="s">
        <v>68</v>
      </c>
      <c r="C13188" s="993" t="s">
        <v>375</v>
      </c>
      <c r="D13188" s="415">
        <v>3</v>
      </c>
      <c r="E13188" s="415">
        <v>6</v>
      </c>
      <c r="F13188" s="415">
        <f t="shared" si="493"/>
      </c>
      <c r="G13188" s="415">
        <v>1</v>
      </c>
      <c r="H13188" s="416">
        <f t="shared" si="494"/>
      </c>
    </row>
    <row r="13189" spans="1:8" ht="15.75" customHeight="1" x14ac:dyDescent="0.25">
      <c r="A13189" s="412">
        <v>15</v>
      </c>
      <c r="B13189" s="1037" t="s">
        <v>68</v>
      </c>
      <c r="C13189" s="993" t="s">
        <v>375</v>
      </c>
      <c r="D13189" s="415">
        <v>2</v>
      </c>
      <c r="E13189" s="415">
        <v>1</v>
      </c>
      <c r="F13189" s="415">
        <f t="shared" si="493"/>
      </c>
      <c r="G13189" s="415">
        <v>1</v>
      </c>
      <c r="H13189" s="416">
        <f t="shared" si="494"/>
      </c>
    </row>
    <row r="13190" spans="1:8" ht="15.75" customHeight="1" x14ac:dyDescent="0.25">
      <c r="A13190" s="412">
        <v>16</v>
      </c>
      <c r="B13190" s="1037" t="s">
        <v>123</v>
      </c>
      <c r="C13190" s="993" t="s">
        <v>401</v>
      </c>
      <c r="D13190" s="592">
        <v>4</v>
      </c>
      <c r="E13190" s="592">
        <v>6</v>
      </c>
      <c r="F13190" s="415">
        <v>23</v>
      </c>
      <c r="G13190" s="415">
        <v>1</v>
      </c>
      <c r="H13190" s="416">
        <f t="shared" si="494"/>
      </c>
    </row>
    <row r="13191" spans="1:8" ht="15.75" customHeight="1" x14ac:dyDescent="0.25">
      <c r="A13191" s="412">
        <v>17</v>
      </c>
      <c r="B13191" s="1037" t="s">
        <v>123</v>
      </c>
      <c r="C13191" s="993" t="s">
        <v>401</v>
      </c>
      <c r="D13191" s="626"/>
      <c r="E13191" s="626"/>
      <c r="F13191" s="415">
        <v>1</v>
      </c>
      <c r="G13191" s="619" t="s">
        <v>1856</v>
      </c>
      <c r="H13191" s="416"/>
    </row>
    <row r="13192" spans="1:8" ht="15.75" customHeight="1" x14ac:dyDescent="0.25">
      <c r="A13192" s="412">
        <v>18</v>
      </c>
      <c r="B13192" s="1037" t="s">
        <v>124</v>
      </c>
      <c r="C13192" s="993" t="s">
        <v>2141</v>
      </c>
      <c r="D13192" s="592">
        <v>4</v>
      </c>
      <c r="E13192" s="592">
        <v>6</v>
      </c>
      <c r="F13192" s="415">
        <v>23</v>
      </c>
      <c r="G13192" s="415">
        <v>1</v>
      </c>
      <c r="H13192" s="416">
        <f>+G13192*F13192</f>
      </c>
    </row>
    <row r="13193" spans="1:8" ht="15.75" customHeight="1" x14ac:dyDescent="0.25">
      <c r="A13193" s="412">
        <v>19</v>
      </c>
      <c r="B13193" s="1037" t="s">
        <v>124</v>
      </c>
      <c r="C13193" s="993" t="s">
        <v>2141</v>
      </c>
      <c r="D13193" s="626"/>
      <c r="E13193" s="626"/>
      <c r="F13193" s="415">
        <v>1</v>
      </c>
      <c r="G13193" s="619" t="s">
        <v>1856</v>
      </c>
      <c r="H13193" s="416"/>
    </row>
    <row r="13194" spans="1:8" ht="15.75" customHeight="1" x14ac:dyDescent="0.25">
      <c r="A13194" s="412">
        <v>20</v>
      </c>
      <c r="B13194" s="1038" t="s">
        <v>301</v>
      </c>
      <c r="C13194" s="993" t="s">
        <v>363</v>
      </c>
      <c r="D13194" s="626">
        <v>3</v>
      </c>
      <c r="E13194" s="626">
        <v>6</v>
      </c>
      <c r="F13194" s="415">
        <f>+E13194*D13194</f>
      </c>
      <c r="G13194" s="415">
        <v>1</v>
      </c>
      <c r="H13194" s="416">
        <f>+G13194*F13194</f>
      </c>
    </row>
    <row r="13195" spans="1:8" ht="15.75" customHeight="1" x14ac:dyDescent="0.25">
      <c r="A13195" s="412"/>
      <c r="B13195" s="1038"/>
      <c r="C13195" s="993"/>
      <c r="D13195" s="626"/>
      <c r="E13195" s="626"/>
      <c r="F13195" s="415"/>
      <c r="G13195" s="415"/>
      <c r="H13195" s="416"/>
    </row>
    <row r="13196" spans="1:8" ht="15.75" customHeight="1" x14ac:dyDescent="0.25">
      <c r="A13196" s="412"/>
      <c r="B13196" s="1038"/>
      <c r="C13196" s="1084"/>
      <c r="D13196" s="633"/>
      <c r="E13196" s="633"/>
      <c r="F13196" s="593"/>
      <c r="G13196" s="593"/>
      <c r="H13196" s="931"/>
    </row>
    <row r="13197" spans="1:8" ht="15.75" customHeight="1" x14ac:dyDescent="0.25">
      <c r="A13197" s="412"/>
      <c r="B13197" s="1045"/>
      <c r="C13197" s="1085"/>
      <c r="D13197" s="864">
        <f>SUM(D13173:D13196)</f>
      </c>
      <c r="E13197" s="864"/>
      <c r="F13197" s="864">
        <f>SUM(F13173:F13196)</f>
      </c>
      <c r="G13197" s="599"/>
      <c r="H13197" s="438">
        <f>SUM(H13173:H13196)</f>
      </c>
    </row>
    <row r="13198" spans="1:8" ht="15.75" customHeight="1" x14ac:dyDescent="0.25">
      <c r="A13198" s="880"/>
      <c r="B13198" s="1086"/>
      <c r="C13198" s="1087"/>
      <c r="D13198" s="1088"/>
      <c r="E13198" s="1088"/>
      <c r="F13198" s="431"/>
      <c r="G13198" s="431"/>
      <c r="H13198" s="444"/>
    </row>
    <row r="13199" spans="1:8" ht="15.75" customHeight="1" x14ac:dyDescent="0.25">
      <c r="A13199" s="451"/>
      <c r="B13199" s="1089"/>
      <c r="C13199" s="1090"/>
      <c r="D13199" s="1091" t="s">
        <v>2274</v>
      </c>
      <c r="E13199" s="844"/>
      <c r="F13199" s="391"/>
      <c r="G13199" s="391"/>
      <c r="H13199" s="394"/>
    </row>
    <row r="13200" spans="1:8" ht="15.75" customHeight="1" x14ac:dyDescent="0.25">
      <c r="A13200" s="451"/>
      <c r="B13200" s="1089"/>
      <c r="C13200" s="1092"/>
      <c r="D13200" s="567"/>
      <c r="E13200" s="567"/>
      <c r="F13200" s="391"/>
      <c r="G13200" s="391"/>
      <c r="H13200" s="394"/>
    </row>
    <row r="13201" spans="1:8" ht="15.75" customHeight="1" x14ac:dyDescent="0.25">
      <c r="A13201" s="451"/>
      <c r="B13201" s="1089"/>
      <c r="C13201" s="1092"/>
      <c r="D13201" s="567"/>
      <c r="E13201" s="567"/>
      <c r="F13201" s="391"/>
      <c r="G13201" s="391"/>
      <c r="H13201" s="394"/>
    </row>
    <row r="13202" spans="1:8" ht="15.75" customHeight="1" x14ac:dyDescent="0.25">
      <c r="A13202" s="451"/>
      <c r="B13202" s="1089"/>
      <c r="C13202" s="1092"/>
      <c r="D13202" s="567"/>
      <c r="E13202" s="567"/>
      <c r="F13202" s="391"/>
      <c r="G13202" s="391"/>
      <c r="H13202" s="394"/>
    </row>
    <row r="13203" spans="1:8" ht="15.75" customHeight="1" x14ac:dyDescent="0.25">
      <c r="A13203" s="8" t="s">
        <v>14</v>
      </c>
      <c r="B13203" s="8"/>
      <c r="C13203" s="8"/>
      <c r="D13203" s="8"/>
      <c r="E13203" s="8"/>
      <c r="F13203" s="8"/>
      <c r="G13203" s="8"/>
      <c r="H13203" s="8"/>
    </row>
    <row r="13204" spans="1:8" ht="15.75" customHeight="1" x14ac:dyDescent="0.25">
      <c r="A13204" s="388"/>
      <c r="B13204" s="388"/>
      <c r="C13204" s="388"/>
      <c r="D13204" s="389"/>
      <c r="E13204" s="388"/>
      <c r="F13204" s="388"/>
      <c r="G13204" s="388"/>
      <c r="H13204" s="8"/>
    </row>
    <row r="13205" spans="1:8" ht="15.75" customHeight="1" x14ac:dyDescent="0.25">
      <c r="A13205" s="390"/>
      <c r="B13205" s="390"/>
      <c r="C13205" s="390"/>
      <c r="D13205" s="391"/>
      <c r="E13205" s="390"/>
      <c r="F13205" s="395" t="s">
        <v>18</v>
      </c>
      <c r="G13205" s="396" t="s">
        <v>1149</v>
      </c>
      <c r="H13205" s="397"/>
    </row>
    <row r="13206" spans="1:8" ht="15.75" customHeight="1" x14ac:dyDescent="0.25">
      <c r="A13206" s="390" t="s">
        <v>20</v>
      </c>
      <c r="B13206" s="390"/>
      <c r="D13206" s="391"/>
      <c r="E13206" s="390"/>
      <c r="F13206" s="395" t="s">
        <v>21</v>
      </c>
      <c r="G13206" s="390" t="s">
        <v>1990</v>
      </c>
      <c r="H13206" s="391"/>
    </row>
    <row r="13207" spans="1:8" ht="15.75" customHeight="1" x14ac:dyDescent="0.25">
      <c r="A13207" s="390" t="inlineStr">
        <is>
          <t>Dealer-009</t>
        </is>
      </c>
      <c r="B13207" s="390"/>
      <c r="C13207" s="390" t="inlineStr">
        <is>
          <t>ATTN: Contact-001</t>
        </is>
      </c>
      <c r="D13207" s="398"/>
      <c r="E13207" s="390"/>
      <c r="F13207" s="391"/>
      <c r="G13207" s="390"/>
      <c r="H13207" s="394"/>
    </row>
    <row r="13208" spans="1:8" ht="15.75" customHeight="1" x14ac:dyDescent="0.25">
      <c r="A13208" s="390" t="inlineStr">
        <is>
          <t>Address line (redacted)</t>
        </is>
      </c>
      <c r="B13208" s="390"/>
      <c r="C13208" s="390"/>
      <c r="D13208" s="398"/>
      <c r="E13208" s="390"/>
      <c r="F13208" s="391"/>
      <c r="G13208" s="390"/>
      <c r="H13208" s="394"/>
    </row>
    <row r="13209" spans="1:8" ht="15.75" customHeight="1" x14ac:dyDescent="0.25">
      <c r="A13209" s="390" t="inlineStr">
        <is>
          <t>Address line (redacted)</t>
        </is>
      </c>
      <c r="B13209" s="390"/>
      <c r="C13209" s="390"/>
      <c r="D13209" s="1093" t="s">
        <v>2323</v>
      </c>
      <c r="E13209" s="1093"/>
      <c r="F13209" s="1093"/>
      <c r="G13209" s="390"/>
      <c r="H13209" s="394"/>
    </row>
    <row r="13210" spans="1:8" ht="15.75" customHeight="1" x14ac:dyDescent="0.25">
      <c r="A13210" s="390"/>
      <c r="B13210" s="390"/>
      <c r="C13210" s="390"/>
      <c r="D13210" s="391"/>
      <c r="E13210" s="390"/>
      <c r="F13210" s="391"/>
      <c r="G13210" s="390"/>
      <c r="H13210" s="394"/>
    </row>
    <row r="13211" spans="1:8" ht="15.75" customHeight="1" x14ac:dyDescent="0.25">
      <c r="A13211" s="390" t="s">
        <v>30</v>
      </c>
      <c r="B13211" s="390"/>
      <c r="C13211" s="390"/>
      <c r="D13211" s="391"/>
      <c r="E13211" s="390"/>
      <c r="F13211" s="391"/>
      <c r="G13211" s="390"/>
      <c r="H13211" s="394"/>
    </row>
    <row r="13212" spans="1:8" ht="15.75" customHeight="1" x14ac:dyDescent="0.25">
      <c r="A13212" s="390"/>
      <c r="B13212" s="390"/>
      <c r="C13212" s="390"/>
      <c r="D13212" s="391"/>
      <c r="E13212" s="390"/>
      <c r="F13212" s="391"/>
      <c r="G13212" s="390"/>
      <c r="H13212" s="394"/>
    </row>
    <row r="13213" spans="1:8" ht="15.75" customHeight="1" x14ac:dyDescent="0.25">
      <c r="A13213" s="390" t="s">
        <v>716</v>
      </c>
      <c r="B13213" s="390"/>
      <c r="C13213" s="390"/>
      <c r="D13213" s="391"/>
      <c r="E13213" s="390"/>
      <c r="F13213" s="391"/>
      <c r="G13213" s="390"/>
      <c r="H13213" s="394"/>
    </row>
    <row r="13214" spans="1:8" ht="15.75" customHeight="1" x14ac:dyDescent="0.25">
      <c r="A13214" s="390" t="s">
        <v>717</v>
      </c>
      <c r="B13214" s="390"/>
      <c r="C13214" s="390"/>
      <c r="D13214" s="391"/>
      <c r="E13214" s="390"/>
      <c r="F13214" s="391"/>
      <c r="G13214" s="390"/>
      <c r="H13214" s="394"/>
    </row>
    <row r="13215" spans="1:8" ht="15.75" customHeight="1" x14ac:dyDescent="0.25">
      <c r="A13215" s="390"/>
      <c r="B13215" s="390"/>
      <c r="C13215" s="390"/>
      <c r="D13215" s="391"/>
      <c r="E13215" s="390"/>
      <c r="F13215" s="391"/>
      <c r="G13215" s="390"/>
      <c r="H13215" s="394"/>
    </row>
    <row r="13216" spans="1:8" ht="15.75" customHeight="1" x14ac:dyDescent="0.25">
      <c r="A13216" s="948" t="s">
        <v>33</v>
      </c>
      <c r="B13216" s="949" t="s">
        <v>6</v>
      </c>
      <c r="C13216" s="950"/>
      <c r="D13216" s="874" t="s">
        <v>37</v>
      </c>
      <c r="E13216" s="874" t="s">
        <v>38</v>
      </c>
      <c r="F13216" s="875" t="s">
        <v>7</v>
      </c>
      <c r="G13216" s="872" t="s">
        <v>43</v>
      </c>
      <c r="H13216" s="876" t="s">
        <v>44</v>
      </c>
    </row>
    <row r="13217" spans="1:8" ht="15.75" customHeight="1" x14ac:dyDescent="0.3">
      <c r="A13217" s="412"/>
      <c r="B13217" s="1042"/>
      <c r="C13217" s="1043"/>
      <c r="D13217" s="879"/>
      <c r="E13217" s="879"/>
      <c r="F13217" s="415"/>
      <c r="G13217" s="415"/>
      <c r="H13217" s="416"/>
    </row>
    <row r="13218" spans="1:8" ht="15.75" customHeight="1" x14ac:dyDescent="0.25">
      <c r="A13218" s="412"/>
      <c r="B13218" s="1026" t="s">
        <v>2066</v>
      </c>
      <c r="C13218" s="1027"/>
      <c r="D13218" s="415"/>
      <c r="E13218" s="415"/>
      <c r="F13218" s="415"/>
      <c r="G13218" s="415"/>
      <c r="H13218" s="416"/>
    </row>
    <row r="13219" spans="1:8" ht="15.75" customHeight="1" x14ac:dyDescent="0.25">
      <c r="A13219" s="420">
        <v>21</v>
      </c>
      <c r="B13219" s="1094" t="s">
        <v>60</v>
      </c>
      <c r="C13219" s="1095" t="s">
        <v>61</v>
      </c>
      <c r="D13219" s="1095">
        <v>2</v>
      </c>
      <c r="E13219" s="1095">
        <v>25</v>
      </c>
      <c r="F13219" s="1095">
        <f t="shared" ref="F13219:F13227" si="495">+E13219*D13219</f>
      </c>
      <c r="G13219" s="415">
        <v>1</v>
      </c>
      <c r="H13219" s="416">
        <f t="shared" ref="H13219:H13227" si="496">+G13219*F13219</f>
      </c>
    </row>
    <row r="13220" spans="1:8" ht="15.75" customHeight="1" x14ac:dyDescent="0.25">
      <c r="A13220" s="420">
        <v>22</v>
      </c>
      <c r="B13220" s="1094" t="s">
        <v>60</v>
      </c>
      <c r="C13220" s="1095" t="s">
        <v>61</v>
      </c>
      <c r="D13220" s="626">
        <v>1</v>
      </c>
      <c r="E13220" s="626">
        <v>24</v>
      </c>
      <c r="F13220" s="1095">
        <f t="shared" si="495"/>
      </c>
      <c r="G13220" s="415">
        <v>1</v>
      </c>
      <c r="H13220" s="416">
        <f t="shared" si="496"/>
      </c>
    </row>
    <row r="13221" spans="1:8" ht="15.75" customHeight="1" x14ac:dyDescent="0.25">
      <c r="A13221" s="420">
        <v>23</v>
      </c>
      <c r="B13221" s="1094" t="s">
        <v>301</v>
      </c>
      <c r="C13221" s="1095" t="s">
        <v>435</v>
      </c>
      <c r="D13221" s="1095">
        <v>10</v>
      </c>
      <c r="E13221" s="1095">
        <v>25</v>
      </c>
      <c r="F13221" s="1095">
        <f t="shared" si="495"/>
      </c>
      <c r="G13221" s="415">
        <v>1</v>
      </c>
      <c r="H13221" s="416">
        <f t="shared" si="496"/>
      </c>
    </row>
    <row r="13222" spans="1:8" ht="15.75" customHeight="1" x14ac:dyDescent="0.25">
      <c r="A13222" s="420">
        <v>24</v>
      </c>
      <c r="B13222" s="1094" t="s">
        <v>301</v>
      </c>
      <c r="C13222" s="1095" t="s">
        <v>435</v>
      </c>
      <c r="D13222" s="1095">
        <v>1</v>
      </c>
      <c r="E13222" s="1095">
        <v>21</v>
      </c>
      <c r="F13222" s="1095">
        <f t="shared" si="495"/>
      </c>
      <c r="G13222" s="415">
        <v>1</v>
      </c>
      <c r="H13222" s="416">
        <f t="shared" si="496"/>
      </c>
    </row>
    <row r="13223" spans="1:8" ht="15.75" customHeight="1" x14ac:dyDescent="0.25">
      <c r="A13223" s="420">
        <v>25</v>
      </c>
      <c r="B13223" s="1094" t="s">
        <v>250</v>
      </c>
      <c r="C13223" s="1095" t="s">
        <v>424</v>
      </c>
      <c r="D13223" s="1095">
        <v>3</v>
      </c>
      <c r="E13223" s="1095">
        <v>25</v>
      </c>
      <c r="F13223" s="1095">
        <f t="shared" si="495"/>
      </c>
      <c r="G13223" s="415">
        <v>1</v>
      </c>
      <c r="H13223" s="416">
        <f t="shared" si="496"/>
      </c>
    </row>
    <row r="13224" spans="1:8" ht="15.75" customHeight="1" x14ac:dyDescent="0.25">
      <c r="A13224" s="420">
        <v>26</v>
      </c>
      <c r="B13224" s="1038" t="s">
        <v>145</v>
      </c>
      <c r="C13224" s="1095" t="s">
        <v>383</v>
      </c>
      <c r="D13224" s="1095">
        <v>4</v>
      </c>
      <c r="E13224" s="1095">
        <v>25</v>
      </c>
      <c r="F13224" s="1095">
        <f t="shared" si="495"/>
      </c>
      <c r="G13224" s="415">
        <v>1</v>
      </c>
      <c r="H13224" s="416">
        <f t="shared" si="496"/>
      </c>
    </row>
    <row r="13225" spans="1:8" ht="15.75" customHeight="1" x14ac:dyDescent="0.25">
      <c r="A13225" s="420">
        <v>27</v>
      </c>
      <c r="B13225" s="1038" t="s">
        <v>145</v>
      </c>
      <c r="C13225" s="1095" t="s">
        <v>383</v>
      </c>
      <c r="D13225" s="1095">
        <v>1</v>
      </c>
      <c r="E13225" s="1095">
        <v>18</v>
      </c>
      <c r="F13225" s="1095">
        <f t="shared" si="495"/>
      </c>
      <c r="G13225" s="415">
        <v>1</v>
      </c>
      <c r="H13225" s="416">
        <f t="shared" si="496"/>
      </c>
    </row>
    <row r="13226" spans="1:8" ht="15.75" customHeight="1" x14ac:dyDescent="0.25">
      <c r="A13226" s="420">
        <v>28</v>
      </c>
      <c r="B13226" s="417" t="s">
        <v>127</v>
      </c>
      <c r="C13226" s="415" t="s">
        <v>439</v>
      </c>
      <c r="D13226" s="626">
        <v>8</v>
      </c>
      <c r="E13226" s="1095">
        <v>25</v>
      </c>
      <c r="F13226" s="1095">
        <f t="shared" si="495"/>
      </c>
      <c r="G13226" s="415">
        <v>1</v>
      </c>
      <c r="H13226" s="416">
        <f t="shared" si="496"/>
      </c>
    </row>
    <row r="13227" spans="1:8" ht="15.75" customHeight="1" x14ac:dyDescent="0.25">
      <c r="A13227" s="420">
        <v>29</v>
      </c>
      <c r="B13227" s="417" t="s">
        <v>127</v>
      </c>
      <c r="C13227" s="415" t="s">
        <v>439</v>
      </c>
      <c r="D13227" s="626">
        <v>1</v>
      </c>
      <c r="E13227" s="1095">
        <v>24</v>
      </c>
      <c r="F13227" s="1095">
        <f t="shared" si="495"/>
      </c>
      <c r="G13227" s="415">
        <v>1</v>
      </c>
      <c r="H13227" s="416">
        <f t="shared" si="496"/>
      </c>
    </row>
    <row r="13228" spans="1:8" ht="15.75" customHeight="1" x14ac:dyDescent="0.25">
      <c r="A13228" s="412"/>
      <c r="B13228" s="417"/>
      <c r="C13228" s="993"/>
      <c r="D13228" s="626"/>
      <c r="E13228" s="626"/>
      <c r="F13228" s="415"/>
      <c r="G13228" s="415"/>
      <c r="H13228" s="416"/>
    </row>
    <row r="13229" spans="1:8" ht="15.75" customHeight="1" x14ac:dyDescent="0.25">
      <c r="A13229" s="877"/>
      <c r="B13229" s="688"/>
      <c r="C13229" s="896" t="s">
        <v>85</v>
      </c>
      <c r="D13229" s="599">
        <f>+D13228+D13227+D13226+D13225+D13224+D13223+D13222+D13221+D13220+D13219+D13197</f>
      </c>
      <c r="E13229" s="401"/>
      <c r="F13229" s="599">
        <f>+F13228+F13227+F13226+F13225+F13224+F13223+F13222+F13221+F13220+F13219+F13197</f>
      </c>
      <c r="G13229" s="661"/>
      <c r="H13229" s="438">
        <f>+H13227+H13226+H13225+H13224+H13223+H13222+H13221+H13220+H13219+H13197</f>
      </c>
    </row>
    <row r="13230" spans="1:8" ht="15.75" customHeight="1" x14ac:dyDescent="0.25">
      <c r="A13230" s="932"/>
      <c r="B13230" s="933"/>
      <c r="C13230" s="934"/>
      <c r="D13230" s="431"/>
      <c r="E13230" s="935"/>
      <c r="F13230" s="935"/>
      <c r="G13230" s="936"/>
      <c r="H13230" s="444"/>
    </row>
    <row r="13231" spans="1:8" ht="15.75" customHeight="1" x14ac:dyDescent="0.25">
      <c r="A13231" s="994" t="s">
        <v>913</v>
      </c>
      <c r="B13231" s="391"/>
      <c r="C13231" s="391"/>
      <c r="D13231" s="391"/>
      <c r="E13231" s="390"/>
      <c r="F13231" s="392"/>
      <c r="G13231" s="390"/>
      <c r="H13231" s="394"/>
    </row>
    <row r="13232" spans="1:8" ht="15.75" customHeight="1" x14ac:dyDescent="0.25">
      <c r="A13232" s="445"/>
      <c r="B13232" s="445"/>
      <c r="C13232" s="445"/>
      <c r="D13232" s="446" t="s">
        <v>97</v>
      </c>
      <c r="E13232" s="445" t="s">
        <v>98</v>
      </c>
      <c r="F13232" s="445"/>
      <c r="G13232" s="390"/>
      <c r="H13232" s="394"/>
    </row>
    <row r="13233" spans="1:8" ht="15.75" customHeight="1" x14ac:dyDescent="0.25">
      <c r="A13233" s="390"/>
      <c r="B13233" s="390"/>
      <c r="C13233" s="390"/>
      <c r="D13233" s="391"/>
      <c r="E13233" s="390"/>
      <c r="F13233" s="390"/>
      <c r="G13233" s="390"/>
      <c r="H13233" s="394"/>
    </row>
    <row r="13234" spans="1:8" ht="15.75" customHeight="1" x14ac:dyDescent="0.25">
      <c r="A13234" s="390"/>
      <c r="B13234" s="390"/>
      <c r="C13234" s="390"/>
      <c r="D13234" s="391"/>
      <c r="E13234" s="390"/>
      <c r="F13234" s="390"/>
      <c r="G13234" s="390"/>
      <c r="H13234" s="394"/>
    </row>
    <row r="13235" spans="1:8" ht="15.75" customHeight="1" x14ac:dyDescent="0.25">
      <c r="A13235" s="390"/>
      <c r="B13235" s="390"/>
      <c r="C13235" s="390"/>
      <c r="D13235" s="391"/>
      <c r="E13235" s="445" t="s">
        <v>99</v>
      </c>
      <c r="F13235" s="390"/>
      <c r="G13235" s="390"/>
      <c r="H13235" s="394"/>
    </row>
    <row r="13236" spans="1:8" ht="15.75" customHeight="1" x14ac:dyDescent="0.25">
      <c r="A13236" s="390"/>
      <c r="B13236" s="390"/>
      <c r="C13236" s="390"/>
      <c r="D13236" s="391"/>
      <c r="E13236" s="445"/>
      <c r="F13236" s="390"/>
      <c r="G13236" s="390"/>
      <c r="H13236" s="394"/>
    </row>
    <row r="13237" spans="1:8" ht="15.75" customHeight="1" x14ac:dyDescent="0.25">
      <c r="A13237" s="390"/>
      <c r="B13237" s="390"/>
      <c r="C13237" s="390"/>
      <c r="D13237" s="391"/>
      <c r="E13237" s="445"/>
      <c r="F13237" s="390"/>
      <c r="G13237" s="390"/>
      <c r="H13237" s="394"/>
    </row>
    <row r="13238" spans="1:8" ht="15.75" customHeight="1" x14ac:dyDescent="0.25">
      <c r="A13238" s="390"/>
      <c r="B13238" s="390"/>
      <c r="C13238" s="390"/>
      <c r="D13238" s="391"/>
      <c r="E13238" s="445"/>
      <c r="F13238" s="390"/>
      <c r="G13238" s="390"/>
      <c r="H13238" s="394"/>
    </row>
    <row r="13239" spans="1:8" ht="15.75" customHeight="1" x14ac:dyDescent="0.25">
      <c r="A13239" s="390"/>
      <c r="B13239" s="390"/>
      <c r="C13239" s="390"/>
      <c r="D13239" s="391"/>
      <c r="E13239" s="445"/>
      <c r="F13239" s="390"/>
      <c r="G13239" s="390"/>
      <c r="H13239" s="394"/>
    </row>
    <row r="13240" spans="1:8" ht="15.75" customHeight="1" x14ac:dyDescent="0.25">
      <c r="A13240" s="390"/>
      <c r="B13240" s="390"/>
      <c r="C13240" s="390"/>
      <c r="D13240" s="391"/>
      <c r="E13240" s="445"/>
      <c r="F13240" s="390"/>
      <c r="G13240" s="390"/>
      <c r="H13240" s="394"/>
    </row>
    <row r="13241" spans="1:8" ht="15.75" customHeight="1" x14ac:dyDescent="0.25">
      <c r="A13241" s="390"/>
      <c r="B13241" s="390"/>
      <c r="C13241" s="390"/>
      <c r="D13241" s="391"/>
      <c r="E13241" s="445"/>
      <c r="F13241" s="390"/>
      <c r="G13241" s="390"/>
      <c r="H13241" s="394"/>
    </row>
    <row r="13242" spans="1:8" ht="15.75" customHeight="1" x14ac:dyDescent="0.25">
      <c r="A13242" s="390"/>
      <c r="B13242" s="390"/>
      <c r="C13242" s="390"/>
      <c r="D13242" s="391"/>
      <c r="E13242" s="445"/>
      <c r="F13242" s="390"/>
      <c r="G13242" s="390"/>
      <c r="H13242" s="394"/>
    </row>
    <row r="13243" spans="1:8" ht="15.75" customHeight="1" x14ac:dyDescent="0.25">
      <c r="A13243" s="390"/>
      <c r="B13243" s="390"/>
      <c r="C13243" s="390"/>
      <c r="D13243" s="391"/>
      <c r="E13243" s="445"/>
      <c r="F13243" s="390"/>
      <c r="G13243" s="390"/>
      <c r="H13243" s="394"/>
    </row>
    <row r="13244" spans="1:8" ht="15.75" customHeight="1" x14ac:dyDescent="0.25">
      <c r="A13244" s="390"/>
      <c r="B13244" s="390"/>
      <c r="C13244" s="390"/>
      <c r="D13244" s="391"/>
      <c r="E13244" s="445"/>
      <c r="F13244" s="390"/>
      <c r="G13244" s="390"/>
      <c r="H13244" s="394"/>
    </row>
    <row r="13245" spans="1:8" ht="15.75" customHeight="1" x14ac:dyDescent="0.25">
      <c r="A13245" s="390"/>
      <c r="B13245" s="390"/>
      <c r="C13245" s="390"/>
      <c r="D13245" s="391"/>
      <c r="E13245" s="445"/>
      <c r="F13245" s="390"/>
      <c r="G13245" s="390"/>
      <c r="H13245" s="394"/>
    </row>
    <row r="13246" spans="1:8" ht="15.75" customHeight="1" x14ac:dyDescent="0.25">
      <c r="A13246" s="390"/>
      <c r="B13246" s="390"/>
      <c r="C13246" s="390"/>
      <c r="D13246" s="391"/>
      <c r="E13246" s="445"/>
      <c r="F13246" s="390"/>
      <c r="G13246" s="390"/>
      <c r="H13246" s="394"/>
    </row>
    <row r="13247" spans="1:8" ht="15.75" customHeight="1" x14ac:dyDescent="0.25">
      <c r="A13247" s="390"/>
      <c r="B13247" s="390"/>
      <c r="C13247" s="390"/>
      <c r="D13247" s="391"/>
      <c r="E13247" s="445"/>
      <c r="F13247" s="390"/>
      <c r="G13247" s="390"/>
      <c r="H13247" s="394"/>
    </row>
    <row r="13248" spans="1:8" ht="15.75" customHeight="1" x14ac:dyDescent="0.25">
      <c r="A13248" s="390"/>
      <c r="B13248" s="390"/>
      <c r="C13248" s="390"/>
      <c r="D13248" s="391"/>
      <c r="E13248" s="445"/>
      <c r="F13248" s="390"/>
      <c r="G13248" s="390"/>
      <c r="H13248" s="394"/>
    </row>
    <row r="13249" spans="1:8" ht="15.75" customHeight="1" x14ac:dyDescent="0.25">
      <c r="A13249" s="390"/>
      <c r="B13249" s="390"/>
      <c r="C13249" s="390"/>
      <c r="D13249" s="391"/>
      <c r="E13249" s="445"/>
      <c r="F13249" s="390"/>
      <c r="G13249" s="390"/>
      <c r="H13249" s="394"/>
    </row>
    <row r="13250" spans="1:8" ht="15.75" customHeight="1" x14ac:dyDescent="0.25">
      <c r="A13250" s="390"/>
      <c r="B13250" s="390"/>
      <c r="C13250" s="390"/>
      <c r="D13250" s="391"/>
      <c r="E13250" s="445"/>
      <c r="F13250" s="390"/>
      <c r="G13250" s="390"/>
      <c r="H13250" s="394"/>
    </row>
    <row r="13251" spans="1:8" ht="15.75" customHeight="1" x14ac:dyDescent="0.25">
      <c r="A13251" s="390"/>
      <c r="B13251" s="390"/>
      <c r="C13251" s="390"/>
      <c r="D13251" s="391"/>
      <c r="E13251" s="445"/>
      <c r="F13251" s="390"/>
      <c r="G13251" s="390"/>
      <c r="H13251" s="394"/>
    </row>
    <row r="13252" spans="1:8" ht="15.75" customHeight="1" x14ac:dyDescent="0.25">
      <c r="A13252" s="390"/>
      <c r="B13252" s="390"/>
      <c r="C13252" s="390"/>
      <c r="D13252" s="391"/>
      <c r="E13252" s="445"/>
      <c r="F13252" s="390"/>
      <c r="G13252" s="390"/>
      <c r="H13252" s="394"/>
    </row>
    <row r="13253" spans="1:8" ht="15.75" customHeight="1" x14ac:dyDescent="0.25">
      <c r="A13253" s="390"/>
      <c r="B13253" s="390"/>
      <c r="C13253" s="390"/>
      <c r="D13253" s="391"/>
      <c r="E13253" s="445"/>
      <c r="F13253" s="390"/>
      <c r="G13253" s="390"/>
      <c r="H13253" s="394"/>
    </row>
    <row r="13254" spans="1:8" ht="15.75" customHeight="1" x14ac:dyDescent="0.25">
      <c r="A13254" s="390"/>
      <c r="B13254" s="390"/>
      <c r="C13254" s="390"/>
      <c r="D13254" s="391"/>
      <c r="E13254" s="445"/>
      <c r="F13254" s="390"/>
      <c r="G13254" s="390"/>
      <c r="H13254" s="394"/>
    </row>
    <row r="13255" spans="1:8" ht="15.75" customHeight="1" x14ac:dyDescent="0.25">
      <c r="A13255" s="390"/>
      <c r="B13255" s="390"/>
      <c r="C13255" s="390"/>
      <c r="D13255" s="391"/>
      <c r="E13255" s="445"/>
      <c r="F13255" s="390"/>
      <c r="G13255" s="390"/>
      <c r="H13255" s="394"/>
    </row>
    <row r="13256" spans="1:8" ht="15.75" customHeight="1" x14ac:dyDescent="0.25">
      <c r="A13256" s="390"/>
      <c r="B13256" s="390"/>
      <c r="C13256" s="390"/>
      <c r="D13256" s="391"/>
      <c r="E13256" s="445"/>
      <c r="F13256" s="390"/>
      <c r="G13256" s="390"/>
      <c r="H13256" s="394"/>
    </row>
    <row r="13257" spans="1:8" ht="15.75" customHeight="1" x14ac:dyDescent="0.25">
      <c r="A13257" s="390"/>
      <c r="B13257" s="390"/>
      <c r="C13257" s="390"/>
      <c r="D13257" s="391"/>
      <c r="E13257" s="445"/>
      <c r="F13257" s="390"/>
      <c r="G13257" s="390"/>
      <c r="H13257" s="394"/>
    </row>
    <row r="13258" spans="1:8" ht="15.75" customHeight="1" x14ac:dyDescent="0.25">
      <c r="A13258" s="390"/>
      <c r="B13258" s="390"/>
      <c r="C13258" s="390"/>
      <c r="D13258" s="391"/>
      <c r="E13258" s="445"/>
      <c r="F13258" s="390"/>
      <c r="G13258" s="390"/>
      <c r="H13258" s="394"/>
    </row>
    <row r="13259" spans="1:8" ht="15.75" customHeight="1" x14ac:dyDescent="0.25">
      <c r="A13259" s="390"/>
      <c r="B13259" s="390"/>
      <c r="C13259" s="390"/>
      <c r="D13259" s="391"/>
      <c r="E13259" s="445"/>
      <c r="F13259" s="390"/>
      <c r="G13259" s="390"/>
      <c r="H13259" s="394"/>
    </row>
    <row r="13260" spans="1:8" ht="15.75" customHeight="1" x14ac:dyDescent="0.25">
      <c r="A13260" s="390"/>
      <c r="B13260" s="390"/>
      <c r="C13260" s="390"/>
      <c r="D13260" s="391"/>
      <c r="E13260" s="445"/>
      <c r="F13260" s="390"/>
      <c r="G13260" s="390"/>
      <c r="H13260" s="394"/>
    </row>
    <row r="13261" spans="1:8" ht="15.75" customHeight="1" x14ac:dyDescent="0.25">
      <c r="A13261" s="390"/>
      <c r="B13261" s="390"/>
      <c r="C13261" s="390"/>
      <c r="D13261" s="391"/>
      <c r="E13261" s="445"/>
      <c r="F13261" s="390"/>
      <c r="G13261" s="390"/>
      <c r="H13261" s="394"/>
    </row>
    <row r="13262" spans="1:8" ht="15.75" customHeight="1" x14ac:dyDescent="0.25">
      <c r="A13262" s="390"/>
      <c r="B13262" s="390"/>
      <c r="C13262" s="390"/>
      <c r="D13262" s="391"/>
      <c r="E13262" s="445"/>
      <c r="F13262" s="390"/>
      <c r="G13262" s="390"/>
      <c r="H13262" s="394"/>
    </row>
    <row r="13263" spans="1:8" ht="15.75" customHeight="1" x14ac:dyDescent="0.25">
      <c r="A13263" s="390"/>
      <c r="B13263" s="390"/>
      <c r="C13263" s="390"/>
      <c r="D13263" s="391"/>
      <c r="E13263" s="445"/>
      <c r="F13263" s="390"/>
      <c r="G13263" s="390"/>
      <c r="H13263" s="394"/>
    </row>
    <row r="13264" spans="1:8" ht="15.75" customHeight="1" x14ac:dyDescent="0.25">
      <c r="A13264" s="390"/>
      <c r="B13264" s="390"/>
      <c r="C13264" s="390"/>
      <c r="D13264" s="391"/>
      <c r="E13264" s="445"/>
      <c r="F13264" s="390"/>
      <c r="G13264" s="390"/>
      <c r="H13264" s="394"/>
    </row>
    <row r="13265" spans="1:8" ht="15.75" customHeight="1" x14ac:dyDescent="0.25">
      <c r="A13265" s="390"/>
      <c r="B13265" s="390"/>
      <c r="C13265" s="390"/>
      <c r="D13265" s="391"/>
      <c r="E13265" s="445"/>
      <c r="F13265" s="390"/>
      <c r="G13265" s="390"/>
      <c r="H13265" s="394"/>
    </row>
    <row r="13266" spans="1:8" ht="15.75" customHeight="1" x14ac:dyDescent="0.25">
      <c r="A13266" s="390"/>
      <c r="B13266" s="390"/>
      <c r="C13266" s="390"/>
      <c r="D13266" s="391"/>
      <c r="E13266" s="445"/>
      <c r="F13266" s="390"/>
      <c r="G13266" s="390"/>
      <c r="H13266" s="394"/>
    </row>
    <row r="13267" spans="1:8" ht="15.75" customHeight="1" x14ac:dyDescent="0.25">
      <c r="A13267" s="390"/>
      <c r="B13267" s="390"/>
      <c r="C13267" s="390"/>
      <c r="D13267" s="391"/>
      <c r="E13267" s="445"/>
      <c r="F13267" s="390"/>
      <c r="G13267" s="390"/>
      <c r="H13267" s="394"/>
    </row>
    <row r="13268" spans="1:8" ht="15.75" customHeight="1" x14ac:dyDescent="0.25">
      <c r="A13268" s="390"/>
      <c r="B13268" s="390"/>
      <c r="C13268" s="390"/>
      <c r="D13268" s="391"/>
      <c r="E13268" s="445"/>
      <c r="F13268" s="390"/>
      <c r="G13268" s="390"/>
      <c r="H13268" s="394"/>
    </row>
    <row r="13269" spans="1:8" ht="15.75" customHeight="1" x14ac:dyDescent="0.25">
      <c r="A13269" s="390"/>
      <c r="B13269" s="390"/>
      <c r="C13269" s="390"/>
      <c r="D13269" s="391"/>
      <c r="E13269" s="445"/>
      <c r="F13269" s="390"/>
      <c r="G13269" s="390"/>
      <c r="H13269" s="394"/>
    </row>
    <row r="13270" spans="1:8" ht="15.75" customHeight="1" x14ac:dyDescent="0.25">
      <c r="A13270" s="390"/>
      <c r="B13270" s="390"/>
      <c r="C13270" s="390"/>
      <c r="D13270" s="391"/>
      <c r="E13270" s="445"/>
      <c r="F13270" s="390"/>
      <c r="G13270" s="390"/>
      <c r="H13270" s="394"/>
    </row>
    <row r="13271" spans="1:8" ht="15.75" customHeight="1" x14ac:dyDescent="0.25">
      <c r="A13271" s="390"/>
      <c r="B13271" s="390"/>
      <c r="C13271" s="390"/>
      <c r="D13271" s="391"/>
      <c r="E13271" s="445"/>
      <c r="F13271" s="390"/>
      <c r="G13271" s="390"/>
      <c r="H13271" s="394"/>
    </row>
    <row r="13272" spans="1:8" ht="15.75" customHeight="1" x14ac:dyDescent="0.25">
      <c r="A13272" s="8" t="s">
        <v>14</v>
      </c>
      <c r="B13272" s="8"/>
      <c r="C13272" s="8"/>
      <c r="D13272" s="8"/>
      <c r="E13272" s="8"/>
      <c r="F13272" s="8"/>
      <c r="G13272" s="8"/>
      <c r="H13272" s="8"/>
    </row>
    <row r="13273" spans="1:8" ht="15.75" customHeight="1" x14ac:dyDescent="0.25">
      <c r="A13273" s="388"/>
      <c r="B13273" s="388"/>
      <c r="C13273" s="388"/>
      <c r="D13273" s="389"/>
      <c r="E13273" s="388"/>
      <c r="F13273" s="388"/>
      <c r="G13273" s="388"/>
      <c r="H13273" s="8"/>
    </row>
    <row r="13274" spans="1:8" ht="15.75" customHeight="1" x14ac:dyDescent="0.25">
      <c r="A13274" s="390"/>
      <c r="B13274" s="390"/>
      <c r="C13274" s="390"/>
      <c r="D13274" s="391"/>
      <c r="E13274" s="390"/>
      <c r="F13274" s="395" t="s">
        <v>18</v>
      </c>
      <c r="G13274" s="396" t="s">
        <v>1149</v>
      </c>
      <c r="H13274" s="397"/>
    </row>
    <row r="13275" spans="1:8" ht="15.75" customHeight="1" x14ac:dyDescent="0.25">
      <c r="A13275" s="390" t="s">
        <v>20</v>
      </c>
      <c r="B13275" s="390"/>
      <c r="D13275" s="391"/>
      <c r="E13275" s="390"/>
      <c r="F13275" s="395" t="s">
        <v>21</v>
      </c>
      <c r="G13275" s="390" t="s">
        <v>2144</v>
      </c>
      <c r="H13275" s="391"/>
    </row>
    <row r="13276" spans="1:8" ht="15.75" customHeight="1" x14ac:dyDescent="0.25">
      <c r="A13276" s="390" t="inlineStr">
        <is>
          <t>Dealer-024</t>
        </is>
      </c>
      <c r="B13276" s="390"/>
      <c r="C13276" s="390" t="inlineStr">
        <is>
          <t>ATTN: Contact-008</t>
        </is>
      </c>
      <c r="D13276" s="398"/>
      <c r="E13276" s="390"/>
      <c r="F13276" s="391"/>
      <c r="G13276" s="390"/>
      <c r="H13276" s="394"/>
    </row>
    <row r="13277" spans="1:8" ht="15.75" customHeight="1" x14ac:dyDescent="0.25">
      <c r="A13277" s="390" t="inlineStr">
        <is>
          <t>Address line (redacted)</t>
        </is>
      </c>
      <c r="B13277" s="390"/>
      <c r="C13277" s="390"/>
      <c r="D13277" s="398"/>
      <c r="E13277" s="390"/>
      <c r="F13277" s="391"/>
      <c r="G13277" s="390"/>
      <c r="H13277" s="394"/>
    </row>
    <row r="13278" spans="1:8" ht="15.75" customHeight="1" x14ac:dyDescent="0.25">
      <c r="A13278" s="390"/>
      <c r="B13278" s="390"/>
      <c r="C13278" s="390"/>
      <c r="D13278" s="391"/>
      <c r="E13278" s="390"/>
      <c r="F13278" s="391"/>
      <c r="G13278" s="390"/>
      <c r="H13278" s="394"/>
    </row>
    <row r="13279" spans="1:8" ht="15.75" customHeight="1" x14ac:dyDescent="0.25">
      <c r="A13279" s="390"/>
      <c r="B13279" s="390"/>
      <c r="C13279" s="390"/>
      <c r="D13279" s="391"/>
      <c r="E13279" s="390"/>
      <c r="F13279" s="391"/>
      <c r="G13279" s="390"/>
      <c r="H13279" s="394"/>
    </row>
    <row r="13280" spans="1:8" ht="15.75" customHeight="1" x14ac:dyDescent="0.25">
      <c r="A13280" s="390" t="s">
        <v>30</v>
      </c>
      <c r="B13280" s="390"/>
      <c r="C13280" s="390"/>
      <c r="D13280" s="391"/>
      <c r="E13280" s="390"/>
      <c r="F13280" s="391"/>
      <c r="G13280" s="390"/>
      <c r="H13280" s="394"/>
    </row>
    <row r="13281" spans="1:9" ht="15.75" customHeight="1" x14ac:dyDescent="0.25">
      <c r="A13281" s="390"/>
      <c r="B13281" s="390"/>
      <c r="C13281" s="390"/>
      <c r="D13281" s="391"/>
      <c r="E13281" s="390"/>
      <c r="F13281" s="391"/>
      <c r="G13281" s="390"/>
      <c r="H13281" s="394"/>
    </row>
    <row r="13282" spans="1:9" ht="15.75" customHeight="1" x14ac:dyDescent="0.25">
      <c r="A13282" s="390" t="s">
        <v>716</v>
      </c>
      <c r="B13282" s="390"/>
      <c r="C13282" s="390"/>
      <c r="D13282" s="391"/>
      <c r="E13282" s="390"/>
      <c r="F13282" s="391"/>
      <c r="G13282" s="390"/>
      <c r="H13282" s="394"/>
    </row>
    <row r="13283" spans="1:9" ht="15.75" customHeight="1" x14ac:dyDescent="0.25">
      <c r="A13283" s="390" t="s">
        <v>717</v>
      </c>
      <c r="B13283" s="390"/>
      <c r="C13283" s="390"/>
      <c r="D13283" s="391"/>
      <c r="E13283" s="390"/>
      <c r="F13283" s="391"/>
      <c r="G13283" s="390"/>
      <c r="H13283" s="394"/>
    </row>
    <row r="13284" spans="1:9" ht="15.75" customHeight="1" x14ac:dyDescent="0.25">
      <c r="A13284" s="390"/>
      <c r="B13284" s="390"/>
      <c r="C13284" s="390"/>
      <c r="D13284" s="391"/>
      <c r="E13284" s="390"/>
      <c r="F13284" s="391"/>
      <c r="G13284" s="390"/>
      <c r="H13284" s="394"/>
    </row>
    <row r="13285" spans="1:9" ht="15.75" customHeight="1" x14ac:dyDescent="0.25">
      <c r="A13285" s="948" t="s">
        <v>33</v>
      </c>
      <c r="B13285" s="949" t="s">
        <v>6</v>
      </c>
      <c r="C13285" s="950"/>
      <c r="D13285" s="874" t="s">
        <v>37</v>
      </c>
      <c r="E13285" s="874" t="s">
        <v>38</v>
      </c>
      <c r="F13285" s="875" t="s">
        <v>7</v>
      </c>
      <c r="G13285" s="872" t="s">
        <v>43</v>
      </c>
      <c r="H13285" s="876" t="s">
        <v>44</v>
      </c>
    </row>
    <row r="13286" spans="1:9" ht="15.75" customHeight="1" x14ac:dyDescent="0.3">
      <c r="A13286" s="412"/>
      <c r="B13286" s="1042"/>
      <c r="C13286" s="1043"/>
      <c r="D13286" s="879"/>
      <c r="E13286" s="879"/>
      <c r="F13286" s="415"/>
      <c r="G13286" s="415"/>
      <c r="H13286" s="416"/>
    </row>
    <row r="13287" spans="1:9" ht="15.75" customHeight="1" x14ac:dyDescent="0.25">
      <c r="A13287" s="412"/>
      <c r="B13287" s="1026" t="s">
        <v>2066</v>
      </c>
      <c r="C13287" s="1027"/>
      <c r="D13287" s="415"/>
      <c r="E13287" s="415"/>
      <c r="F13287" s="415"/>
      <c r="G13287" s="415"/>
      <c r="H13287" s="416"/>
    </row>
    <row r="13288" spans="1:9" ht="15.75" customHeight="1" x14ac:dyDescent="0.25">
      <c r="A13288" s="420">
        <v>1</v>
      </c>
      <c r="B13288" s="1094" t="s">
        <v>127</v>
      </c>
      <c r="C13288" s="1095" t="s">
        <v>439</v>
      </c>
      <c r="D13288" s="1095">
        <v>1</v>
      </c>
      <c r="E13288" s="1095">
        <v>25</v>
      </c>
      <c r="F13288" s="1095">
        <f t="shared" ref="F13288:F13294" si="497">+E13288*D13288</f>
      </c>
      <c r="G13288" s="415">
        <v>1</v>
      </c>
      <c r="H13288" s="416">
        <f t="shared" ref="H13288:H13294" si="498">+G13288*F13288</f>
      </c>
    </row>
    <row r="13289" spans="1:9" ht="15.75" customHeight="1" x14ac:dyDescent="0.25">
      <c r="A13289" s="420">
        <v>2</v>
      </c>
      <c r="B13289" s="1094" t="s">
        <v>63</v>
      </c>
      <c r="C13289" s="1095" t="s">
        <v>429</v>
      </c>
      <c r="D13289" s="1095">
        <v>2</v>
      </c>
      <c r="E13289" s="1095">
        <v>20</v>
      </c>
      <c r="F13289" s="1095">
        <f t="shared" si="497"/>
      </c>
      <c r="G13289" s="415">
        <v>1</v>
      </c>
      <c r="H13289" s="416">
        <f t="shared" si="498"/>
      </c>
    </row>
    <row r="13290" spans="1:9" ht="15.75" customHeight="1" x14ac:dyDescent="0.25">
      <c r="A13290" s="420">
        <v>3</v>
      </c>
      <c r="B13290" s="1094" t="s">
        <v>60</v>
      </c>
      <c r="C13290" s="1095" t="s">
        <v>61</v>
      </c>
      <c r="D13290" s="1095">
        <v>3</v>
      </c>
      <c r="E13290" s="1095">
        <v>25</v>
      </c>
      <c r="F13290" s="1095">
        <f t="shared" si="497"/>
      </c>
      <c r="G13290" s="415">
        <v>1</v>
      </c>
      <c r="H13290" s="416">
        <f t="shared" si="498"/>
      </c>
    </row>
    <row r="13291" spans="1:9" ht="15.75" customHeight="1" x14ac:dyDescent="0.25">
      <c r="A13291" s="420">
        <v>4</v>
      </c>
      <c r="B13291" s="1094" t="s">
        <v>250</v>
      </c>
      <c r="C13291" s="1095" t="s">
        <v>424</v>
      </c>
      <c r="D13291" s="1095">
        <v>2</v>
      </c>
      <c r="E13291" s="1095">
        <v>25</v>
      </c>
      <c r="F13291" s="1095">
        <f t="shared" si="497"/>
      </c>
      <c r="G13291" s="415">
        <v>1</v>
      </c>
      <c r="H13291" s="416">
        <f t="shared" si="498"/>
      </c>
      <c r="I13291" s="2">
        <f>25*8</f>
      </c>
    </row>
    <row r="13292" spans="1:9" ht="15.75" customHeight="1" x14ac:dyDescent="0.25">
      <c r="A13292" s="420">
        <v>5</v>
      </c>
      <c r="B13292" s="1094" t="s">
        <v>865</v>
      </c>
      <c r="C13292" s="1095" t="s">
        <v>422</v>
      </c>
      <c r="D13292" s="1095">
        <v>1</v>
      </c>
      <c r="E13292" s="1095">
        <v>25</v>
      </c>
      <c r="F13292" s="1095">
        <f t="shared" si="497"/>
      </c>
      <c r="G13292" s="415">
        <v>1</v>
      </c>
      <c r="H13292" s="416">
        <f t="shared" si="498"/>
      </c>
    </row>
    <row r="13293" spans="1:9" ht="15.75" customHeight="1" x14ac:dyDescent="0.25">
      <c r="A13293" s="420">
        <v>6</v>
      </c>
      <c r="B13293" s="1094" t="s">
        <v>125</v>
      </c>
      <c r="C13293" s="1095" t="s">
        <v>437</v>
      </c>
      <c r="D13293" s="1095">
        <v>1</v>
      </c>
      <c r="E13293" s="1095">
        <v>25</v>
      </c>
      <c r="F13293" s="1095">
        <f t="shared" si="497"/>
      </c>
      <c r="G13293" s="415">
        <v>1</v>
      </c>
      <c r="H13293" s="416">
        <f t="shared" si="498"/>
      </c>
    </row>
    <row r="13294" spans="1:9" ht="15.75" customHeight="1" x14ac:dyDescent="0.25">
      <c r="A13294" s="420">
        <v>7</v>
      </c>
      <c r="B13294" s="1094" t="s">
        <v>125</v>
      </c>
      <c r="C13294" s="1095" t="s">
        <v>438</v>
      </c>
      <c r="D13294" s="1095">
        <v>1</v>
      </c>
      <c r="E13294" s="1095">
        <v>25</v>
      </c>
      <c r="F13294" s="1095">
        <f t="shared" si="497"/>
      </c>
      <c r="G13294" s="415">
        <v>1</v>
      </c>
      <c r="H13294" s="416">
        <f t="shared" si="498"/>
      </c>
    </row>
    <row r="13295" spans="1:9" ht="15.75" customHeight="1" x14ac:dyDescent="0.25">
      <c r="A13295" s="420"/>
      <c r="B13295" s="1026" t="s">
        <v>1816</v>
      </c>
      <c r="C13295" s="1027"/>
      <c r="D13295" s="415"/>
      <c r="E13295" s="415"/>
      <c r="F13295" s="415"/>
      <c r="G13295" s="415"/>
      <c r="H13295" s="416"/>
    </row>
    <row r="13296" spans="1:9" ht="15.75" customHeight="1" x14ac:dyDescent="0.25">
      <c r="A13296" s="420">
        <v>7</v>
      </c>
      <c r="B13296" s="1083" t="s">
        <v>1454</v>
      </c>
      <c r="C13296" s="414"/>
      <c r="D13296" s="592">
        <v>22</v>
      </c>
      <c r="E13296" s="592">
        <v>24</v>
      </c>
      <c r="F13296" s="415">
        <f t="shared" ref="F13296:F13297" si="499">+E13296*D13296</f>
      </c>
      <c r="G13296" s="415">
        <v>1</v>
      </c>
      <c r="H13296" s="416">
        <f>+G13296*F13296</f>
      </c>
    </row>
    <row r="13297" spans="1:20" ht="15.75" customHeight="1" x14ac:dyDescent="0.25">
      <c r="A13297" s="420">
        <v>8</v>
      </c>
      <c r="B13297" s="1083" t="s">
        <v>1454</v>
      </c>
      <c r="C13297" s="414"/>
      <c r="D13297" s="626">
        <v>2</v>
      </c>
      <c r="E13297" s="626">
        <v>24</v>
      </c>
      <c r="F13297" s="415">
        <f t="shared" si="499"/>
      </c>
      <c r="G13297" s="619" t="s">
        <v>1856</v>
      </c>
      <c r="H13297" s="416"/>
    </row>
    <row r="13298" spans="1:20" ht="15.75" customHeight="1" x14ac:dyDescent="0.25">
      <c r="A13298" s="420"/>
      <c r="B13298" s="417"/>
      <c r="C13298" s="415"/>
      <c r="D13298" s="588"/>
      <c r="E13298" s="588"/>
      <c r="F13298" s="415"/>
      <c r="G13298" s="415"/>
      <c r="H13298" s="416"/>
    </row>
    <row r="13299" spans="1:20" ht="15.75" customHeight="1" x14ac:dyDescent="0.25">
      <c r="A13299" s="1050"/>
      <c r="B13299" s="417"/>
      <c r="C13299" s="1096" t="s">
        <v>2345</v>
      </c>
      <c r="D13299" s="1096"/>
      <c r="E13299" s="1097"/>
      <c r="F13299" s="1097"/>
      <c r="G13299" s="1098"/>
      <c r="H13299" s="706">
        <v>1</v>
      </c>
    </row>
    <row r="13300" spans="1:20" ht="15.75" customHeight="1" x14ac:dyDescent="0.25">
      <c r="A13300" s="412"/>
      <c r="B13300" s="417"/>
      <c r="C13300" s="993"/>
      <c r="D13300" s="626"/>
      <c r="E13300" s="626"/>
      <c r="F13300" s="415"/>
      <c r="G13300" s="415"/>
      <c r="H13300" s="416"/>
    </row>
    <row r="13301" spans="1:20" ht="15.75" customHeight="1" x14ac:dyDescent="0.25">
      <c r="A13301" s="877"/>
      <c r="B13301" s="688"/>
      <c r="C13301" s="896" t="s">
        <v>85</v>
      </c>
      <c r="D13301" s="599">
        <f>SUM(D13288:D13300)</f>
      </c>
      <c r="E13301" s="401"/>
      <c r="F13301" s="599">
        <f>SUM(F13288:F13300)</f>
      </c>
      <c r="G13301" s="661"/>
      <c r="H13301" s="438">
        <f>SUM(H13288:H13300)</f>
      </c>
    </row>
    <row r="13302" spans="1:20" ht="15.75" customHeight="1" x14ac:dyDescent="0.25">
      <c r="A13302" s="1068"/>
      <c r="B13302" s="1069"/>
      <c r="C13302" s="896"/>
      <c r="D13302" s="599"/>
      <c r="E13302" s="401" t="s">
        <v>2346</v>
      </c>
      <c r="F13302" s="599"/>
      <c r="G13302" s="661"/>
      <c r="H13302" s="438">
        <v>1</v>
      </c>
    </row>
    <row r="13303" spans="1:20" ht="15.75" customHeight="1" x14ac:dyDescent="0.25">
      <c r="A13303" s="1068"/>
      <c r="B13303" s="1069"/>
      <c r="C13303" s="1099"/>
      <c r="D13303" s="431"/>
      <c r="E13303" s="603"/>
      <c r="F13303" s="431"/>
      <c r="G13303" s="604"/>
      <c r="H13303" s="444">
        <f>+H13301-H13302</f>
      </c>
    </row>
    <row r="13304" spans="1:20" ht="15.75" customHeight="1" x14ac:dyDescent="0.25">
      <c r="A13304" s="1068"/>
      <c r="B13304" s="1069"/>
      <c r="C13304" s="1100"/>
      <c r="D13304" s="1101"/>
      <c r="E13304" s="1102" t="s">
        <v>2347</v>
      </c>
      <c r="F13304" s="1101"/>
      <c r="G13304" s="1103"/>
      <c r="H13304" s="1104">
        <v>1</v>
      </c>
      <c r="I13304" s="674"/>
      <c r="J13304" s="674"/>
      <c r="K13304" s="674"/>
      <c r="L13304" s="674"/>
      <c r="M13304" s="674"/>
      <c r="N13304" s="674"/>
      <c r="O13304" s="674"/>
      <c r="P13304" s="674"/>
      <c r="Q13304" s="674"/>
      <c r="R13304" s="674"/>
      <c r="S13304" s="674"/>
      <c r="T13304" s="674"/>
    </row>
    <row r="13305" spans="1:20" ht="15.75" customHeight="1" x14ac:dyDescent="0.25">
      <c r="A13305" s="600"/>
      <c r="B13305" s="601"/>
      <c r="C13305" s="934"/>
      <c r="D13305" s="1105"/>
      <c r="E13305" s="1106" t="s">
        <v>2348</v>
      </c>
      <c r="F13305" s="1106"/>
      <c r="G13305" s="1107"/>
      <c r="H13305" s="1108">
        <f>+H13303-H13304</f>
      </c>
    </row>
    <row r="13306" spans="1:20" ht="15.75" customHeight="1" x14ac:dyDescent="0.25">
      <c r="A13306" s="994"/>
      <c r="B13306" s="391"/>
      <c r="C13306" s="391"/>
      <c r="D13306" s="391"/>
      <c r="E13306" s="390"/>
      <c r="F13306" s="392"/>
      <c r="G13306" s="390"/>
      <c r="H13306" s="394"/>
    </row>
    <row r="13307" spans="1:20" ht="15.75" customHeight="1" x14ac:dyDescent="0.25">
      <c r="A13307" s="445"/>
      <c r="B13307" s="445"/>
      <c r="C13307" s="445"/>
      <c r="D13307" s="446" t="s">
        <v>97</v>
      </c>
      <c r="E13307" s="445" t="s">
        <v>98</v>
      </c>
      <c r="F13307" s="445"/>
      <c r="G13307" s="390"/>
      <c r="H13307" s="394"/>
    </row>
    <row r="13308" spans="1:20" ht="15.75" customHeight="1" x14ac:dyDescent="0.25">
      <c r="A13308" s="390"/>
      <c r="B13308" s="390"/>
      <c r="C13308" s="390"/>
      <c r="D13308" s="391"/>
      <c r="E13308" s="390"/>
      <c r="F13308" s="390"/>
      <c r="G13308" s="390"/>
      <c r="H13308" s="394"/>
    </row>
    <row r="13309" spans="1:20" ht="15.75" customHeight="1" x14ac:dyDescent="0.25">
      <c r="A13309" s="390"/>
      <c r="B13309" s="390"/>
      <c r="C13309" s="390"/>
      <c r="D13309" s="391"/>
      <c r="E13309" s="390"/>
      <c r="F13309" s="390"/>
      <c r="G13309" s="390"/>
      <c r="H13309" s="394"/>
    </row>
    <row r="13310" spans="1:20" ht="15.75" customHeight="1" x14ac:dyDescent="0.25">
      <c r="A13310" s="445"/>
      <c r="B13310" s="445"/>
      <c r="C13310" s="445"/>
      <c r="D13310" s="446"/>
      <c r="E13310" s="445" t="s">
        <v>99</v>
      </c>
      <c r="F13310" s="445"/>
      <c r="G13310" s="390"/>
      <c r="H13310" s="394"/>
    </row>
    <row r="13311" spans="1:20" ht="15.75" customHeight="1" x14ac:dyDescent="0.25">
      <c r="D13311" s="4"/>
      <c r="H13311" s="4"/>
    </row>
    <row r="13312" spans="1:20" ht="13.5" customHeight="1" x14ac:dyDescent="0.25">
      <c r="D13312" s="4"/>
      <c r="H13312" s="4"/>
    </row>
    <row r="13313" spans="1:8" ht="13.5" customHeight="1" x14ac:dyDescent="0.25">
      <c r="D13313" s="4"/>
      <c r="H13313" s="4"/>
    </row>
    <row r="13314" spans="1:8" ht="13.5" customHeight="1" x14ac:dyDescent="0.25">
      <c r="D13314" s="4"/>
      <c r="H13314" s="4"/>
    </row>
    <row r="13315" spans="1:8" ht="13.5" customHeight="1" x14ac:dyDescent="0.25">
      <c r="D13315" s="4"/>
      <c r="H13315" s="4"/>
    </row>
    <row r="13316" spans="1:8" ht="13.5" customHeight="1" x14ac:dyDescent="0.25">
      <c r="D13316" s="4"/>
      <c r="H13316" s="4"/>
    </row>
    <row r="13317" spans="1:8" ht="13.5" customHeight="1" x14ac:dyDescent="0.25">
      <c r="D13317" s="4"/>
      <c r="H13317" s="4"/>
    </row>
    <row r="13318" spans="1:8" ht="15.75" customHeight="1" x14ac:dyDescent="0.25">
      <c r="A13318" s="8" t="s">
        <v>14</v>
      </c>
      <c r="B13318" s="8"/>
      <c r="C13318" s="8"/>
      <c r="D13318" s="8"/>
      <c r="E13318" s="8"/>
      <c r="F13318" s="8"/>
      <c r="G13318" s="8"/>
      <c r="H13318" s="8"/>
    </row>
    <row r="13319" spans="1:8" ht="15.75" customHeight="1" x14ac:dyDescent="0.25">
      <c r="A13319" s="388"/>
      <c r="B13319" s="388"/>
      <c r="C13319" s="388"/>
      <c r="D13319" s="389"/>
      <c r="E13319" s="388"/>
      <c r="F13319" s="388"/>
      <c r="G13319" s="388"/>
      <c r="H13319" s="8"/>
    </row>
    <row r="13320" spans="1:8" ht="15.75" customHeight="1" x14ac:dyDescent="0.25">
      <c r="A13320" s="390"/>
      <c r="B13320" s="390"/>
      <c r="C13320" s="393"/>
      <c r="D13320" s="391"/>
      <c r="E13320" s="390"/>
      <c r="F13320" s="395" t="s">
        <v>18</v>
      </c>
      <c r="G13320" s="396" t="s">
        <v>1149</v>
      </c>
      <c r="H13320" s="397"/>
    </row>
    <row r="13321" spans="1:8" ht="15.75" customHeight="1" x14ac:dyDescent="0.25">
      <c r="A13321" s="390" t="s">
        <v>20</v>
      </c>
      <c r="B13321" s="390"/>
      <c r="D13321" s="391"/>
      <c r="E13321" s="390"/>
      <c r="F13321" s="395" t="s">
        <v>21</v>
      </c>
      <c r="G13321" s="390" t="s">
        <v>2145</v>
      </c>
      <c r="H13321" s="391"/>
    </row>
    <row r="13322" spans="1:8" ht="15.75" customHeight="1" x14ac:dyDescent="0.25">
      <c r="A13322" s="390" t="inlineStr">
        <is>
          <t>Dealer-025</t>
        </is>
      </c>
      <c r="B13322" s="390"/>
      <c r="C13322" s="398" t="inlineStr">
        <is>
          <t>Contact-009</t>
        </is>
      </c>
      <c r="D13322" s="398"/>
      <c r="E13322" s="390"/>
      <c r="F13322" s="391"/>
      <c r="G13322" s="390"/>
      <c r="H13322" s="394"/>
    </row>
    <row r="13323" spans="1:8" ht="15.75" customHeight="1" x14ac:dyDescent="0.25">
      <c r="A13323" s="390" t="inlineStr">
        <is>
          <t>Address line (redacted)</t>
        </is>
      </c>
      <c r="B13323" s="390"/>
      <c r="C13323" s="390"/>
      <c r="D13323" s="398"/>
      <c r="E13323" s="390"/>
      <c r="F13323" s="391"/>
      <c r="G13323" s="390"/>
      <c r="H13323" s="394"/>
    </row>
    <row r="13324" spans="1:8" ht="15.75" customHeight="1" x14ac:dyDescent="0.25">
      <c r="A13324" s="390" t="inlineStr">
        <is>
          <t>Address line (redacted)</t>
        </is>
      </c>
      <c r="B13324" s="390"/>
      <c r="C13324" s="390"/>
      <c r="D13324" s="391"/>
      <c r="E13324" s="390"/>
      <c r="F13324" s="391"/>
      <c r="G13324" s="390"/>
      <c r="H13324" s="394"/>
    </row>
    <row r="13325" spans="1:8" ht="15.75" customHeight="1" x14ac:dyDescent="0.25">
      <c r="A13325" s="390"/>
      <c r="B13325" s="390"/>
      <c r="C13325" s="390"/>
      <c r="D13325" s="391"/>
      <c r="E13325" s="390"/>
      <c r="F13325" s="391"/>
      <c r="G13325" s="390"/>
      <c r="H13325" s="394"/>
    </row>
    <row r="13326" spans="1:8" ht="15.75" customHeight="1" x14ac:dyDescent="0.25">
      <c r="A13326" s="390" t="s">
        <v>30</v>
      </c>
      <c r="B13326" s="390"/>
      <c r="C13326" s="390"/>
      <c r="D13326" s="391"/>
      <c r="E13326" s="390"/>
      <c r="F13326" s="391"/>
      <c r="G13326" s="390"/>
      <c r="H13326" s="394"/>
    </row>
    <row r="13327" spans="1:8" ht="15.75" customHeight="1" x14ac:dyDescent="0.25">
      <c r="A13327" s="390"/>
      <c r="B13327" s="390"/>
      <c r="C13327" s="390"/>
      <c r="D13327" s="391"/>
      <c r="E13327" s="390"/>
      <c r="F13327" s="391"/>
      <c r="G13327" s="390"/>
      <c r="H13327" s="394"/>
    </row>
    <row r="13328" spans="1:8" ht="15.75" customHeight="1" x14ac:dyDescent="0.25">
      <c r="A13328" s="390" t="s">
        <v>716</v>
      </c>
      <c r="B13328" s="390"/>
      <c r="C13328" s="390"/>
      <c r="D13328" s="391"/>
      <c r="E13328" s="390"/>
      <c r="F13328" s="391"/>
      <c r="G13328" s="390"/>
      <c r="H13328" s="394"/>
    </row>
    <row r="13329" spans="1:8" ht="15.75" customHeight="1" x14ac:dyDescent="0.25">
      <c r="A13329" s="390" t="s">
        <v>717</v>
      </c>
      <c r="B13329" s="390"/>
      <c r="C13329" s="390"/>
      <c r="D13329" s="391"/>
      <c r="E13329" s="390"/>
      <c r="F13329" s="391"/>
      <c r="G13329" s="390"/>
      <c r="H13329" s="394"/>
    </row>
    <row r="13330" spans="1:8" ht="15.75" customHeight="1" x14ac:dyDescent="0.25">
      <c r="A13330" s="948" t="s">
        <v>33</v>
      </c>
      <c r="B13330" s="949" t="s">
        <v>6</v>
      </c>
      <c r="C13330" s="950"/>
      <c r="D13330" s="874" t="s">
        <v>37</v>
      </c>
      <c r="E13330" s="874" t="s">
        <v>38</v>
      </c>
      <c r="F13330" s="875" t="s">
        <v>7</v>
      </c>
      <c r="G13330" s="872" t="s">
        <v>43</v>
      </c>
      <c r="H13330" s="876" t="s">
        <v>44</v>
      </c>
    </row>
    <row r="13331" spans="1:8" ht="15.75" customHeight="1" x14ac:dyDescent="0.3">
      <c r="A13331" s="412"/>
      <c r="B13331" s="1042"/>
      <c r="C13331" s="1043"/>
      <c r="D13331" s="879"/>
      <c r="E13331" s="879"/>
      <c r="F13331" s="415"/>
      <c r="G13331" s="415"/>
      <c r="H13331" s="416"/>
    </row>
    <row r="13332" spans="1:8" ht="15.75" customHeight="1" x14ac:dyDescent="0.25">
      <c r="A13332" s="412"/>
      <c r="B13332" s="1026" t="s">
        <v>2043</v>
      </c>
      <c r="C13332" s="1027"/>
      <c r="D13332" s="415"/>
      <c r="E13332" s="415"/>
      <c r="F13332" s="415"/>
      <c r="G13332" s="415"/>
      <c r="H13332" s="416"/>
    </row>
    <row r="13333" spans="1:8" ht="15.75" customHeight="1" x14ac:dyDescent="0.25">
      <c r="A13333" s="420">
        <v>1</v>
      </c>
      <c r="B13333" s="1037" t="s">
        <v>696</v>
      </c>
      <c r="C13333" s="993" t="s">
        <v>362</v>
      </c>
      <c r="D13333" s="588">
        <v>4</v>
      </c>
      <c r="E13333" s="588">
        <v>6</v>
      </c>
      <c r="F13333" s="415">
        <v>23</v>
      </c>
      <c r="G13333" s="415">
        <v>1</v>
      </c>
      <c r="H13333" s="416">
        <f>+G13333*F13333</f>
      </c>
    </row>
    <row r="13334" spans="1:8" ht="15.75" customHeight="1" x14ac:dyDescent="0.25">
      <c r="A13334" s="420">
        <v>2</v>
      </c>
      <c r="B13334" s="1037" t="s">
        <v>696</v>
      </c>
      <c r="C13334" s="993" t="s">
        <v>362</v>
      </c>
      <c r="D13334" s="588"/>
      <c r="E13334" s="588"/>
      <c r="F13334" s="415">
        <v>1</v>
      </c>
      <c r="G13334" s="619" t="s">
        <v>1856</v>
      </c>
      <c r="H13334" s="416"/>
    </row>
    <row r="13335" spans="1:8" ht="15.75" customHeight="1" x14ac:dyDescent="0.25">
      <c r="A13335" s="420">
        <v>3</v>
      </c>
      <c r="B13335" s="1037" t="s">
        <v>134</v>
      </c>
      <c r="C13335" s="993" t="s">
        <v>367</v>
      </c>
      <c r="D13335" s="588">
        <v>2</v>
      </c>
      <c r="E13335" s="588">
        <v>6</v>
      </c>
      <c r="F13335" s="415">
        <f t="shared" ref="F13335:F13339" si="500">+E13335*D13335</f>
      </c>
      <c r="G13335" s="415">
        <v>1</v>
      </c>
      <c r="H13335" s="416">
        <f t="shared" ref="H13335:H13340" si="501">+G13335*F13335</f>
      </c>
    </row>
    <row r="13336" spans="1:8" ht="15.75" customHeight="1" x14ac:dyDescent="0.25">
      <c r="A13336" s="420">
        <v>4</v>
      </c>
      <c r="B13336" s="1037" t="s">
        <v>139</v>
      </c>
      <c r="C13336" s="993" t="s">
        <v>1349</v>
      </c>
      <c r="D13336" s="588">
        <v>1</v>
      </c>
      <c r="E13336" s="588">
        <v>6</v>
      </c>
      <c r="F13336" s="415">
        <f t="shared" si="500"/>
      </c>
      <c r="G13336" s="415">
        <v>1</v>
      </c>
      <c r="H13336" s="416">
        <f t="shared" si="501"/>
      </c>
    </row>
    <row r="13337" spans="1:8" ht="15.75" customHeight="1" x14ac:dyDescent="0.25">
      <c r="A13337" s="420">
        <v>5</v>
      </c>
      <c r="B13337" s="1037" t="s">
        <v>139</v>
      </c>
      <c r="C13337" s="993" t="s">
        <v>1349</v>
      </c>
      <c r="D13337" s="588">
        <v>1</v>
      </c>
      <c r="E13337" s="588">
        <v>3</v>
      </c>
      <c r="F13337" s="415">
        <f t="shared" si="500"/>
      </c>
      <c r="G13337" s="415">
        <v>1</v>
      </c>
      <c r="H13337" s="416">
        <f t="shared" si="501"/>
      </c>
    </row>
    <row r="13338" spans="1:8" ht="15.75" customHeight="1" x14ac:dyDescent="0.25">
      <c r="A13338" s="420">
        <v>6</v>
      </c>
      <c r="B13338" s="1037" t="s">
        <v>140</v>
      </c>
      <c r="C13338" s="993" t="s">
        <v>393</v>
      </c>
      <c r="D13338" s="588">
        <v>1</v>
      </c>
      <c r="E13338" s="588">
        <v>1</v>
      </c>
      <c r="F13338" s="415">
        <f t="shared" si="500"/>
      </c>
      <c r="G13338" s="415">
        <v>1</v>
      </c>
      <c r="H13338" s="416">
        <f t="shared" si="501"/>
      </c>
    </row>
    <row r="13339" spans="1:8" ht="15.75" customHeight="1" x14ac:dyDescent="0.25">
      <c r="A13339" s="420">
        <v>7</v>
      </c>
      <c r="B13339" s="1037" t="s">
        <v>158</v>
      </c>
      <c r="C13339" s="993" t="s">
        <v>390</v>
      </c>
      <c r="D13339" s="588">
        <v>2</v>
      </c>
      <c r="E13339" s="588">
        <v>1</v>
      </c>
      <c r="F13339" s="415">
        <f t="shared" si="500"/>
      </c>
      <c r="G13339" s="415">
        <v>1</v>
      </c>
      <c r="H13339" s="416">
        <f t="shared" si="501"/>
      </c>
    </row>
    <row r="13340" spans="1:8" ht="15.75" customHeight="1" x14ac:dyDescent="0.25">
      <c r="A13340" s="420">
        <v>8</v>
      </c>
      <c r="B13340" s="1037" t="s">
        <v>2146</v>
      </c>
      <c r="C13340" s="993" t="s">
        <v>403</v>
      </c>
      <c r="D13340" s="592">
        <v>3</v>
      </c>
      <c r="E13340" s="592">
        <v>8</v>
      </c>
      <c r="F13340" s="415">
        <v>23</v>
      </c>
      <c r="G13340" s="415">
        <v>1</v>
      </c>
      <c r="H13340" s="416">
        <f t="shared" si="501"/>
      </c>
    </row>
    <row r="13341" spans="1:8" ht="15.75" customHeight="1" x14ac:dyDescent="0.25">
      <c r="A13341" s="420">
        <v>9</v>
      </c>
      <c r="B13341" s="1037" t="s">
        <v>2146</v>
      </c>
      <c r="C13341" s="993" t="s">
        <v>403</v>
      </c>
      <c r="D13341" s="626"/>
      <c r="E13341" s="626"/>
      <c r="F13341" s="415">
        <v>1</v>
      </c>
      <c r="G13341" s="619" t="s">
        <v>1856</v>
      </c>
      <c r="H13341" s="416"/>
    </row>
    <row r="13342" spans="1:8" ht="15.75" customHeight="1" x14ac:dyDescent="0.25">
      <c r="A13342" s="420">
        <v>10</v>
      </c>
      <c r="B13342" s="1037" t="s">
        <v>63</v>
      </c>
      <c r="C13342" s="993" t="s">
        <v>371</v>
      </c>
      <c r="D13342" s="588">
        <v>4</v>
      </c>
      <c r="E13342" s="588">
        <v>6</v>
      </c>
      <c r="F13342" s="415">
        <v>23</v>
      </c>
      <c r="G13342" s="415">
        <v>1</v>
      </c>
      <c r="H13342" s="416">
        <f>+G13342*F13342</f>
      </c>
    </row>
    <row r="13343" spans="1:8" ht="15.75" customHeight="1" x14ac:dyDescent="0.25">
      <c r="A13343" s="420">
        <v>11</v>
      </c>
      <c r="B13343" s="1037" t="s">
        <v>63</v>
      </c>
      <c r="C13343" s="993" t="s">
        <v>371</v>
      </c>
      <c r="D13343" s="588"/>
      <c r="E13343" s="588"/>
      <c r="F13343" s="415">
        <v>1</v>
      </c>
      <c r="G13343" s="619" t="s">
        <v>1856</v>
      </c>
      <c r="H13343" s="416"/>
    </row>
    <row r="13344" spans="1:8" ht="15.75" customHeight="1" x14ac:dyDescent="0.25">
      <c r="A13344" s="420">
        <v>12</v>
      </c>
      <c r="B13344" s="417" t="s">
        <v>1718</v>
      </c>
      <c r="C13344" s="993" t="s">
        <v>379</v>
      </c>
      <c r="D13344" s="588">
        <v>2</v>
      </c>
      <c r="E13344" s="588">
        <v>6</v>
      </c>
      <c r="F13344" s="415">
        <f>+E13344*D13344</f>
      </c>
      <c r="G13344" s="415">
        <v>1</v>
      </c>
      <c r="H13344" s="416">
        <f t="shared" ref="H13344:H13345" si="502">+G13344*F13344</f>
      </c>
    </row>
    <row r="13345" spans="1:8" ht="15.75" customHeight="1" x14ac:dyDescent="0.25">
      <c r="A13345" s="420">
        <v>13</v>
      </c>
      <c r="B13345" s="417" t="s">
        <v>125</v>
      </c>
      <c r="C13345" s="415" t="s">
        <v>386</v>
      </c>
      <c r="D13345" s="588">
        <v>6</v>
      </c>
      <c r="E13345" s="588">
        <v>4</v>
      </c>
      <c r="F13345" s="415">
        <v>23</v>
      </c>
      <c r="G13345" s="415">
        <v>1</v>
      </c>
      <c r="H13345" s="416">
        <f t="shared" si="502"/>
      </c>
    </row>
    <row r="13346" spans="1:8" ht="15.75" customHeight="1" x14ac:dyDescent="0.25">
      <c r="A13346" s="420">
        <v>14</v>
      </c>
      <c r="B13346" s="417" t="s">
        <v>125</v>
      </c>
      <c r="C13346" s="415" t="s">
        <v>386</v>
      </c>
      <c r="D13346" s="588"/>
      <c r="E13346" s="588"/>
      <c r="F13346" s="415">
        <v>1</v>
      </c>
      <c r="G13346" s="619" t="s">
        <v>1856</v>
      </c>
      <c r="H13346" s="429"/>
    </row>
    <row r="13347" spans="1:8" ht="15.75" customHeight="1" x14ac:dyDescent="0.25">
      <c r="A13347" s="1080"/>
      <c r="B13347" s="1109"/>
      <c r="C13347" s="1110"/>
      <c r="D13347" s="633"/>
      <c r="E13347" s="633"/>
      <c r="F13347" s="427"/>
      <c r="G13347" s="427"/>
      <c r="H13347" s="429"/>
    </row>
    <row r="13348" spans="1:8" ht="15.75" customHeight="1" x14ac:dyDescent="0.25">
      <c r="A13348" s="877"/>
      <c r="B13348" s="688"/>
      <c r="C13348" s="896" t="s">
        <v>85</v>
      </c>
      <c r="D13348" s="401">
        <f>SUM(D13333:D13347)</f>
      </c>
      <c r="E13348" s="401"/>
      <c r="F13348" s="401">
        <f>SUM(F13333:F13347)</f>
      </c>
      <c r="G13348" s="661"/>
      <c r="H13348" s="623">
        <f>SUM(H13333:H13347)</f>
      </c>
    </row>
    <row r="13349" spans="1:8" ht="15.75" customHeight="1" x14ac:dyDescent="0.25">
      <c r="A13349" s="932"/>
      <c r="B13349" s="933"/>
      <c r="C13349" s="934"/>
      <c r="D13349" s="431"/>
      <c r="E13349" s="935"/>
      <c r="F13349" s="935"/>
      <c r="G13349" s="936"/>
      <c r="H13349" s="444"/>
    </row>
    <row r="13350" spans="1:8" ht="15.75" customHeight="1" x14ac:dyDescent="0.25">
      <c r="A13350" s="994"/>
      <c r="B13350" s="1111" t="s">
        <v>2352</v>
      </c>
      <c r="C13350" s="1112"/>
      <c r="D13350" s="1113"/>
      <c r="E13350" s="390"/>
      <c r="F13350" s="392"/>
      <c r="G13350" s="390"/>
      <c r="H13350" s="394"/>
    </row>
    <row r="13351" spans="1:8" ht="15.75" customHeight="1" x14ac:dyDescent="0.25">
      <c r="A13351" s="1032"/>
      <c r="B13351" s="445"/>
      <c r="C13351" s="445"/>
      <c r="F13351" s="446" t="s">
        <v>97</v>
      </c>
      <c r="G13351" s="445" t="s">
        <v>98</v>
      </c>
      <c r="H13351" s="445"/>
    </row>
    <row r="13352" spans="1:8" ht="15.75" customHeight="1" x14ac:dyDescent="0.25">
      <c r="A13352" s="390"/>
      <c r="B13352" s="390"/>
      <c r="C13352" s="390"/>
      <c r="F13352" s="391"/>
      <c r="G13352" s="390"/>
      <c r="H13352" s="390"/>
    </row>
    <row r="13353" spans="1:8" ht="15.75" customHeight="1" x14ac:dyDescent="0.25">
      <c r="A13353" s="398"/>
      <c r="B13353" s="393"/>
      <c r="C13353" s="393"/>
      <c r="D13353" s="674"/>
      <c r="E13353" s="674"/>
      <c r="F13353" s="391"/>
      <c r="G13353" s="390"/>
      <c r="H13353" s="390"/>
    </row>
    <row r="13354" spans="1:8" ht="15.75" customHeight="1" x14ac:dyDescent="0.25">
      <c r="A13354" s="1114"/>
      <c r="B13354" s="1032"/>
      <c r="C13354" s="1032"/>
      <c r="D13354" s="674"/>
      <c r="E13354" s="674"/>
      <c r="F13354" s="446"/>
      <c r="G13354" s="445" t="s">
        <v>99</v>
      </c>
      <c r="H13354" s="445"/>
    </row>
    <row r="13355" spans="1:8" ht="15.75" customHeight="1" x14ac:dyDescent="0.25">
      <c r="A13355" s="292"/>
      <c r="B13355" s="674"/>
      <c r="C13355" s="674"/>
      <c r="D13355" s="674"/>
      <c r="E13355" s="674"/>
    </row>
    <row r="13356" spans="1:8" ht="15.75" customHeight="1" x14ac:dyDescent="0.25">
      <c r="A13356" s="674"/>
      <c r="B13356" s="674"/>
      <c r="C13356" s="674"/>
      <c r="D13356" s="674"/>
      <c r="E13356" s="674"/>
    </row>
    <row r="13357" spans="1:8" ht="15.75" customHeight="1" x14ac:dyDescent="0.25">
      <c r="D13357" s="4"/>
      <c r="H13357" s="4"/>
    </row>
    <row r="13358" spans="1:8" ht="15.75" customHeight="1" x14ac:dyDescent="0.25">
      <c r="D13358" s="4"/>
      <c r="H13358" s="4"/>
    </row>
    <row r="13359" spans="1:8" ht="15.75" customHeight="1" x14ac:dyDescent="0.25">
      <c r="D13359" s="4"/>
      <c r="H13359" s="4"/>
    </row>
    <row r="13360" spans="1:8" ht="15.75" customHeight="1" x14ac:dyDescent="0.25">
      <c r="D13360" s="4"/>
      <c r="H13360" s="4"/>
    </row>
    <row r="13361" spans="4:8" ht="15.75" customHeight="1" x14ac:dyDescent="0.25">
      <c r="D13361" s="4"/>
      <c r="H13361" s="4"/>
    </row>
    <row r="13362" spans="4:8" ht="15.75" customHeight="1" x14ac:dyDescent="0.25">
      <c r="D13362" s="4"/>
      <c r="H13362" s="4"/>
    </row>
    <row r="13363" spans="4:8" ht="15.75" customHeight="1" x14ac:dyDescent="0.25">
      <c r="D13363" s="4"/>
      <c r="H13363" s="4"/>
    </row>
    <row r="13364" spans="4:8" ht="15.75" customHeight="1" x14ac:dyDescent="0.25">
      <c r="D13364" s="4"/>
      <c r="H13364" s="4"/>
    </row>
    <row r="13365" spans="4:8" ht="15.75" customHeight="1" x14ac:dyDescent="0.25">
      <c r="D13365" s="4"/>
      <c r="H13365" s="4"/>
    </row>
    <row r="13366" spans="4:8" ht="15.75" customHeight="1" x14ac:dyDescent="0.25">
      <c r="D13366" s="4"/>
      <c r="H13366" s="4"/>
    </row>
    <row r="13367" spans="4:8" ht="15.75" customHeight="1" x14ac:dyDescent="0.25">
      <c r="D13367" s="4"/>
      <c r="H13367" s="4"/>
    </row>
    <row r="13368" spans="4:8" ht="15.75" customHeight="1" x14ac:dyDescent="0.25">
      <c r="D13368" s="4"/>
      <c r="H13368" s="4"/>
    </row>
    <row r="13369" spans="4:8" ht="15.75" customHeight="1" x14ac:dyDescent="0.25">
      <c r="D13369" s="4"/>
      <c r="H13369" s="4"/>
    </row>
    <row r="13370" spans="4:8" ht="15.75" customHeight="1" x14ac:dyDescent="0.25">
      <c r="D13370" s="4"/>
      <c r="H13370" s="4"/>
    </row>
    <row r="13371" spans="4:8" ht="15.75" customHeight="1" x14ac:dyDescent="0.25">
      <c r="D13371" s="4"/>
      <c r="H13371" s="4"/>
    </row>
    <row r="13372" spans="4:8" ht="15.75" customHeight="1" x14ac:dyDescent="0.25">
      <c r="D13372" s="4"/>
      <c r="H13372" s="4"/>
    </row>
    <row r="13373" spans="4:8" ht="15.75" customHeight="1" x14ac:dyDescent="0.25">
      <c r="D13373" s="4"/>
      <c r="H13373" s="4"/>
    </row>
    <row r="13374" spans="4:8" ht="15.75" customHeight="1" x14ac:dyDescent="0.25">
      <c r="D13374" s="4"/>
      <c r="H13374" s="4"/>
    </row>
    <row r="13375" spans="4:8" ht="15.75" customHeight="1" x14ac:dyDescent="0.25">
      <c r="D13375" s="4"/>
      <c r="H13375" s="4"/>
    </row>
    <row r="13376" spans="4:8" ht="15.75" customHeight="1" x14ac:dyDescent="0.25">
      <c r="D13376" s="4"/>
      <c r="H13376" s="4"/>
    </row>
    <row r="13377" spans="1:8" ht="15.75" customHeight="1" x14ac:dyDescent="0.25">
      <c r="D13377" s="4"/>
      <c r="H13377" s="4"/>
    </row>
    <row r="13378" spans="1:8" ht="15.75" customHeight="1" x14ac:dyDescent="0.25">
      <c r="D13378" s="4"/>
      <c r="H13378" s="4"/>
    </row>
    <row r="13379" spans="1:8" ht="15.75" customHeight="1" x14ac:dyDescent="0.25">
      <c r="D13379" s="4"/>
      <c r="H13379" s="4"/>
    </row>
    <row r="13380" spans="1:8" ht="15.75" customHeight="1" x14ac:dyDescent="0.25">
      <c r="D13380" s="4"/>
      <c r="H13380" s="4"/>
    </row>
    <row r="13381" spans="1:8" ht="15.75" customHeight="1" x14ac:dyDescent="0.25">
      <c r="D13381" s="4"/>
      <c r="H13381" s="4"/>
    </row>
    <row r="13382" spans="1:8" ht="15.75" customHeight="1" x14ac:dyDescent="0.25">
      <c r="D13382" s="4"/>
      <c r="H13382" s="4"/>
    </row>
    <row r="13383" spans="1:8" ht="15.75" customHeight="1" x14ac:dyDescent="0.25">
      <c r="D13383" s="4"/>
      <c r="H13383" s="4"/>
    </row>
    <row r="13384" spans="1:8" ht="15.75" customHeight="1" x14ac:dyDescent="0.25">
      <c r="D13384" s="4"/>
      <c r="H13384" s="4"/>
    </row>
    <row r="13385" spans="1:8" ht="15.75" customHeight="1" x14ac:dyDescent="0.25">
      <c r="D13385" s="4"/>
      <c r="H13385" s="4"/>
    </row>
    <row r="13386" spans="1:8" ht="15.75" customHeight="1" x14ac:dyDescent="0.25">
      <c r="D13386" s="4"/>
      <c r="H13386" s="4"/>
    </row>
    <row r="13387" spans="1:8" ht="15.75" customHeight="1" x14ac:dyDescent="0.25">
      <c r="A13387" s="8" t="s">
        <v>14</v>
      </c>
      <c r="B13387" s="8"/>
      <c r="C13387" s="8"/>
      <c r="D13387" s="8"/>
      <c r="E13387" s="8"/>
      <c r="F13387" s="8"/>
      <c r="G13387" s="8"/>
      <c r="H13387" s="8"/>
    </row>
    <row r="13388" spans="1:8" ht="15.75" customHeight="1" x14ac:dyDescent="0.25">
      <c r="A13388" s="388"/>
      <c r="B13388" s="388"/>
      <c r="C13388" s="388"/>
      <c r="D13388" s="389"/>
      <c r="E13388" s="388"/>
      <c r="F13388" s="388"/>
      <c r="G13388" s="388"/>
      <c r="H13388" s="8"/>
    </row>
    <row r="13389" spans="1:8" ht="15.75" customHeight="1" x14ac:dyDescent="0.25">
      <c r="A13389" s="390"/>
      <c r="B13389" s="390"/>
      <c r="C13389" s="393"/>
      <c r="D13389" s="391"/>
      <c r="E13389" s="390"/>
      <c r="F13389" s="395" t="s">
        <v>18</v>
      </c>
      <c r="G13389" s="396" t="s">
        <v>1149</v>
      </c>
      <c r="H13389" s="397"/>
    </row>
    <row r="13390" spans="1:8" ht="15.75" customHeight="1" x14ac:dyDescent="0.25">
      <c r="A13390" s="390" t="s">
        <v>20</v>
      </c>
      <c r="B13390" s="390"/>
      <c r="D13390" s="391"/>
      <c r="E13390" s="390"/>
      <c r="F13390" s="395" t="s">
        <v>21</v>
      </c>
      <c r="G13390" s="390" t="s">
        <v>1394</v>
      </c>
      <c r="H13390" s="391"/>
    </row>
    <row r="13391" spans="1:8" ht="15.75" customHeight="1" x14ac:dyDescent="0.25">
      <c r="A13391" s="390" t="inlineStr">
        <is>
          <t>Dealer-026</t>
        </is>
      </c>
      <c r="B13391" s="390"/>
      <c r="C13391" s="398"/>
      <c r="D13391" s="398"/>
      <c r="E13391" s="390"/>
      <c r="F13391" s="391"/>
      <c r="G13391" s="390"/>
      <c r="H13391" s="394"/>
    </row>
    <row r="13392" spans="1:8" ht="15.75" customHeight="1" x14ac:dyDescent="0.25">
      <c r="A13392" s="390" t="inlineStr">
        <is>
          <t>Address line (redacted)</t>
        </is>
      </c>
      <c r="B13392" s="390"/>
      <c r="C13392" s="390"/>
      <c r="D13392" s="398"/>
      <c r="E13392" s="390"/>
      <c r="F13392" s="391"/>
      <c r="G13392" s="390"/>
      <c r="H13392" s="394"/>
    </row>
    <row r="13393" spans="1:8" ht="15.75" customHeight="1" x14ac:dyDescent="0.25">
      <c r="A13393" s="390"/>
      <c r="B13393" s="390"/>
      <c r="C13393" s="390"/>
      <c r="D13393" s="391"/>
      <c r="E13393" s="390"/>
      <c r="F13393" s="391"/>
      <c r="G13393" s="390"/>
      <c r="H13393" s="394"/>
    </row>
    <row r="13394" spans="1:8" ht="15.75" customHeight="1" x14ac:dyDescent="0.25">
      <c r="A13394" s="390"/>
      <c r="B13394" s="390"/>
      <c r="C13394" s="390"/>
      <c r="D13394" s="391"/>
      <c r="E13394" s="390"/>
      <c r="F13394" s="391"/>
      <c r="G13394" s="390"/>
      <c r="H13394" s="394"/>
    </row>
    <row r="13395" spans="1:8" ht="15.75" customHeight="1" x14ac:dyDescent="0.25">
      <c r="A13395" s="390" t="s">
        <v>30</v>
      </c>
      <c r="B13395" s="390"/>
      <c r="C13395" s="390"/>
      <c r="D13395" s="391"/>
      <c r="E13395" s="390"/>
      <c r="F13395" s="391"/>
      <c r="G13395" s="390"/>
      <c r="H13395" s="394"/>
    </row>
    <row r="13396" spans="1:8" ht="15.75" customHeight="1" x14ac:dyDescent="0.25">
      <c r="A13396" s="390"/>
      <c r="B13396" s="390"/>
      <c r="C13396" s="390"/>
      <c r="D13396" s="391"/>
      <c r="E13396" s="390"/>
      <c r="F13396" s="391"/>
      <c r="G13396" s="390"/>
      <c r="H13396" s="394"/>
    </row>
    <row r="13397" spans="1:8" ht="15.75" customHeight="1" x14ac:dyDescent="0.25">
      <c r="A13397" s="390" t="s">
        <v>716</v>
      </c>
      <c r="B13397" s="390"/>
      <c r="C13397" s="390"/>
      <c r="D13397" s="391"/>
      <c r="E13397" s="390"/>
      <c r="F13397" s="391"/>
      <c r="G13397" s="390"/>
      <c r="H13397" s="394"/>
    </row>
    <row r="13398" spans="1:8" ht="15.75" customHeight="1" x14ac:dyDescent="0.25">
      <c r="A13398" s="390" t="s">
        <v>717</v>
      </c>
      <c r="B13398" s="390"/>
      <c r="C13398" s="390"/>
      <c r="D13398" s="391"/>
      <c r="E13398" s="390"/>
      <c r="F13398" s="391"/>
      <c r="G13398" s="390"/>
      <c r="H13398" s="394"/>
    </row>
    <row r="13399" spans="1:8" ht="15.75" customHeight="1" x14ac:dyDescent="0.25">
      <c r="A13399" s="948" t="s">
        <v>33</v>
      </c>
      <c r="B13399" s="949" t="s">
        <v>6</v>
      </c>
      <c r="C13399" s="950"/>
      <c r="D13399" s="874" t="s">
        <v>37</v>
      </c>
      <c r="E13399" s="874" t="s">
        <v>38</v>
      </c>
      <c r="F13399" s="875" t="s">
        <v>7</v>
      </c>
      <c r="G13399" s="872" t="s">
        <v>43</v>
      </c>
      <c r="H13399" s="876" t="s">
        <v>44</v>
      </c>
    </row>
    <row r="13400" spans="1:8" ht="15.75" customHeight="1" x14ac:dyDescent="0.3">
      <c r="A13400" s="412"/>
      <c r="B13400" s="1042"/>
      <c r="C13400" s="1043"/>
      <c r="D13400" s="879"/>
      <c r="E13400" s="879"/>
      <c r="F13400" s="415"/>
      <c r="G13400" s="415"/>
      <c r="H13400" s="416"/>
    </row>
    <row r="13401" spans="1:8" ht="15.75" customHeight="1" x14ac:dyDescent="0.25">
      <c r="A13401" s="412"/>
      <c r="B13401" s="1026" t="s">
        <v>2043</v>
      </c>
      <c r="C13401" s="1027"/>
      <c r="D13401" s="415"/>
      <c r="E13401" s="415"/>
      <c r="F13401" s="415"/>
      <c r="G13401" s="415"/>
      <c r="H13401" s="416"/>
    </row>
    <row r="13402" spans="1:8" ht="15.75" customHeight="1" x14ac:dyDescent="0.25">
      <c r="A13402" s="412">
        <v>1</v>
      </c>
      <c r="B13402" s="417" t="s">
        <v>1718</v>
      </c>
      <c r="C13402" s="993" t="s">
        <v>379</v>
      </c>
      <c r="D13402" s="588">
        <v>1</v>
      </c>
      <c r="E13402" s="588">
        <v>6</v>
      </c>
      <c r="F13402" s="415">
        <f>+E13402*D13402</f>
      </c>
      <c r="G13402" s="415">
        <v>1</v>
      </c>
      <c r="H13402" s="416">
        <f>+G13402*F13402</f>
      </c>
    </row>
    <row r="13403" spans="1:8" ht="15.75" customHeight="1" x14ac:dyDescent="0.25">
      <c r="A13403" s="412"/>
      <c r="B13403" s="1026" t="s">
        <v>1395</v>
      </c>
      <c r="C13403" s="1027"/>
      <c r="D13403" s="588"/>
      <c r="E13403" s="588"/>
      <c r="F13403" s="415"/>
      <c r="G13403" s="415"/>
      <c r="H13403" s="416"/>
    </row>
    <row r="13404" spans="1:8" ht="15.75" customHeight="1" x14ac:dyDescent="0.25">
      <c r="A13404" s="412">
        <v>2</v>
      </c>
      <c r="B13404" s="417" t="s">
        <v>1396</v>
      </c>
      <c r="C13404" s="993"/>
      <c r="D13404" s="588">
        <v>10</v>
      </c>
      <c r="E13404" s="588">
        <v>4</v>
      </c>
      <c r="F13404" s="415">
        <f>+E13404*D13404</f>
      </c>
      <c r="G13404" s="415">
        <v>1</v>
      </c>
      <c r="H13404" s="416">
        <f>+G13404*F13404</f>
      </c>
    </row>
    <row r="13405" spans="1:8" ht="27" customHeight="1" x14ac:dyDescent="0.25">
      <c r="A13405" s="412"/>
      <c r="B13405" s="417"/>
      <c r="C13405" s="993"/>
      <c r="D13405" s="588"/>
      <c r="E13405" s="588"/>
      <c r="F13405" s="578" t="s">
        <v>2354</v>
      </c>
      <c r="G13405" s="415"/>
      <c r="H13405" s="416"/>
    </row>
    <row r="13406" spans="1:8" ht="15.75" customHeight="1" x14ac:dyDescent="0.25">
      <c r="A13406" s="412"/>
      <c r="B13406" s="1115" t="s">
        <v>2355</v>
      </c>
      <c r="C13406" s="415"/>
      <c r="D13406" s="591"/>
      <c r="E13406" s="591"/>
      <c r="F13406" s="415"/>
      <c r="G13406" s="415"/>
      <c r="H13406" s="416"/>
    </row>
    <row r="13407" spans="1:8" ht="15.75" customHeight="1" x14ac:dyDescent="0.25">
      <c r="A13407" s="1080"/>
      <c r="B13407" s="1109"/>
      <c r="C13407" s="1110"/>
      <c r="D13407" s="633"/>
      <c r="E13407" s="592"/>
      <c r="F13407" s="593"/>
      <c r="G13407" s="593"/>
      <c r="H13407" s="931"/>
    </row>
    <row r="13408" spans="1:8" ht="15.75" customHeight="1" x14ac:dyDescent="0.25">
      <c r="A13408" s="877"/>
      <c r="B13408" s="688"/>
      <c r="C13408" s="896" t="s">
        <v>85</v>
      </c>
      <c r="D13408" s="401">
        <f>SUM(D13402:D13407)</f>
      </c>
      <c r="E13408" s="401"/>
      <c r="F13408" s="401">
        <f>SUM(F13402:F13407)</f>
      </c>
      <c r="G13408" s="661"/>
      <c r="H13408" s="623">
        <f>SUM(H13402:H13407)</f>
      </c>
    </row>
    <row r="13409" spans="1:8" ht="15.75" customHeight="1" x14ac:dyDescent="0.25">
      <c r="A13409" s="932"/>
      <c r="B13409" s="933"/>
      <c r="C13409" s="934"/>
      <c r="D13409" s="431"/>
      <c r="E13409" s="935"/>
      <c r="F13409" s="935"/>
      <c r="G13409" s="936"/>
      <c r="H13409" s="444"/>
    </row>
    <row r="13410" spans="1:8" ht="15.75" customHeight="1" x14ac:dyDescent="0.25">
      <c r="A13410" s="994"/>
      <c r="B13410" s="391"/>
      <c r="C13410" s="391"/>
      <c r="D13410" s="391"/>
      <c r="E13410" s="390"/>
      <c r="F13410" s="392"/>
      <c r="G13410" s="390"/>
      <c r="H13410" s="394"/>
    </row>
    <row r="13411" spans="1:8" ht="15.75" customHeight="1" x14ac:dyDescent="0.25">
      <c r="A13411" s="1032"/>
      <c r="B13411" s="445"/>
      <c r="C13411" s="445"/>
      <c r="F13411" s="446" t="s">
        <v>97</v>
      </c>
      <c r="G13411" s="445" t="s">
        <v>98</v>
      </c>
      <c r="H13411" s="445"/>
    </row>
    <row r="13412" spans="1:8" ht="15.75" customHeight="1" x14ac:dyDescent="0.25">
      <c r="A13412" s="390"/>
      <c r="B13412" s="390"/>
      <c r="C13412" s="390"/>
      <c r="F13412" s="391"/>
      <c r="G13412" s="390"/>
      <c r="H13412" s="390"/>
    </row>
    <row r="13413" spans="1:8" ht="15.75" customHeight="1" x14ac:dyDescent="0.25">
      <c r="A13413" s="398"/>
      <c r="B13413" s="393"/>
      <c r="C13413" s="393"/>
      <c r="D13413" s="674"/>
      <c r="E13413" s="674"/>
      <c r="F13413" s="391"/>
      <c r="G13413" s="390"/>
      <c r="H13413" s="390"/>
    </row>
    <row r="13414" spans="1:8" ht="15.75" customHeight="1" x14ac:dyDescent="0.25">
      <c r="A13414" s="1114"/>
      <c r="B13414" s="1032"/>
      <c r="C13414" s="1032"/>
      <c r="D13414" s="674"/>
      <c r="E13414" s="674"/>
      <c r="F13414" s="446"/>
      <c r="G13414" s="445" t="s">
        <v>99</v>
      </c>
      <c r="H13414" s="445"/>
    </row>
    <row r="13415" spans="1:8" ht="15.75" customHeight="1" x14ac:dyDescent="0.25">
      <c r="D13415" s="4"/>
      <c r="H13415" s="4"/>
    </row>
    <row r="13416" spans="1:8" ht="15.75" customHeight="1" x14ac:dyDescent="0.25">
      <c r="D13416" s="4"/>
      <c r="H13416" s="4"/>
    </row>
    <row r="13417" spans="1:8" ht="15.75" customHeight="1" x14ac:dyDescent="0.25">
      <c r="D13417" s="4"/>
      <c r="H13417" s="4"/>
    </row>
    <row r="13418" spans="1:8" ht="15.75" customHeight="1" x14ac:dyDescent="0.25">
      <c r="D13418" s="4"/>
      <c r="H13418" s="4"/>
    </row>
    <row r="13419" spans="1:8" ht="15.75" customHeight="1" x14ac:dyDescent="0.25">
      <c r="D13419" s="4"/>
      <c r="H13419" s="4"/>
    </row>
    <row r="13420" spans="1:8" ht="15.75" customHeight="1" x14ac:dyDescent="0.25">
      <c r="D13420" s="4"/>
      <c r="H13420" s="4"/>
    </row>
    <row r="13421" spans="1:8" ht="15.75" customHeight="1" x14ac:dyDescent="0.25">
      <c r="D13421" s="4"/>
      <c r="H13421" s="4"/>
    </row>
    <row r="13422" spans="1:8" ht="15.75" customHeight="1" x14ac:dyDescent="0.25">
      <c r="D13422" s="4"/>
      <c r="H13422" s="4"/>
    </row>
    <row r="13423" spans="1:8" ht="15.75" customHeight="1" x14ac:dyDescent="0.25">
      <c r="D13423" s="4"/>
      <c r="H13423" s="4"/>
    </row>
    <row r="13424" spans="1:8" ht="15.75" customHeight="1" x14ac:dyDescent="0.25">
      <c r="D13424" s="4"/>
      <c r="H13424" s="4"/>
    </row>
    <row r="13425" spans="1:8" ht="15.75" customHeight="1" x14ac:dyDescent="0.25">
      <c r="D13425" s="4"/>
      <c r="H13425" s="4"/>
    </row>
    <row r="13426" spans="1:8" ht="15.75" customHeight="1" x14ac:dyDescent="0.25">
      <c r="D13426" s="4"/>
      <c r="H13426" s="4"/>
    </row>
    <row r="13427" spans="1:8" ht="15.75" customHeight="1" x14ac:dyDescent="0.25">
      <c r="D13427" s="4"/>
      <c r="H13427" s="4"/>
    </row>
    <row r="13428" spans="1:8" ht="15.75" customHeight="1" x14ac:dyDescent="0.25">
      <c r="D13428" s="4"/>
      <c r="H13428" s="4"/>
    </row>
    <row r="13429" spans="1:8" ht="15.75" customHeight="1" x14ac:dyDescent="0.25">
      <c r="D13429" s="4"/>
      <c r="H13429" s="4"/>
    </row>
    <row r="13430" spans="1:8" ht="15.75" customHeight="1" x14ac:dyDescent="0.25">
      <c r="D13430" s="4"/>
      <c r="H13430" s="4"/>
    </row>
    <row r="13431" spans="1:8" ht="15.75" customHeight="1" x14ac:dyDescent="0.25">
      <c r="D13431" s="4"/>
      <c r="H13431" s="4"/>
    </row>
    <row r="13432" spans="1:8" ht="15.75" customHeight="1" x14ac:dyDescent="0.25">
      <c r="D13432" s="4"/>
      <c r="H13432" s="4"/>
    </row>
    <row r="13433" spans="1:8" ht="15.75" customHeight="1" x14ac:dyDescent="0.25">
      <c r="A13433" s="8" t="s">
        <v>14</v>
      </c>
      <c r="B13433" s="8"/>
      <c r="C13433" s="8"/>
      <c r="D13433" s="8"/>
      <c r="E13433" s="8"/>
      <c r="F13433" s="8"/>
      <c r="G13433" s="8"/>
      <c r="H13433" s="8"/>
    </row>
    <row r="13434" spans="1:8" ht="15.75" customHeight="1" x14ac:dyDescent="0.25">
      <c r="A13434" s="388"/>
      <c r="B13434" s="388"/>
      <c r="C13434" s="388"/>
      <c r="D13434" s="389"/>
      <c r="E13434" s="388"/>
      <c r="F13434" s="388"/>
      <c r="G13434" s="388"/>
      <c r="H13434" s="8"/>
    </row>
    <row r="13435" spans="1:8" ht="15.75" customHeight="1" x14ac:dyDescent="0.25">
      <c r="A13435" s="390"/>
      <c r="B13435" s="390"/>
      <c r="C13435" s="390"/>
      <c r="D13435" s="391"/>
      <c r="E13435" s="390"/>
      <c r="F13435" s="395" t="s">
        <v>18</v>
      </c>
      <c r="G13435" s="396" t="s">
        <v>521</v>
      </c>
      <c r="H13435" s="397"/>
    </row>
    <row r="13436" spans="1:8" ht="15.75" customHeight="1" x14ac:dyDescent="0.25">
      <c r="A13436" s="390" t="s">
        <v>20</v>
      </c>
      <c r="B13436" s="390"/>
      <c r="D13436" s="391"/>
      <c r="E13436" s="390"/>
      <c r="F13436" s="395" t="s">
        <v>21</v>
      </c>
      <c r="G13436" s="390" t="s">
        <v>1563</v>
      </c>
      <c r="H13436" s="391"/>
    </row>
    <row r="13437" spans="1:8" ht="15.75" customHeight="1" x14ac:dyDescent="0.25">
      <c r="A13437" s="390" t="inlineStr">
        <is>
          <t>Dealer-002</t>
        </is>
      </c>
      <c r="B13437" s="390"/>
      <c r="C13437" s="390"/>
      <c r="D13437" s="398"/>
      <c r="E13437" s="390"/>
      <c r="F13437" s="391"/>
      <c r="G13437" s="390"/>
      <c r="H13437" s="394"/>
    </row>
    <row r="13438" spans="1:8" ht="15.75" customHeight="1" x14ac:dyDescent="0.25">
      <c r="A13438" s="390" t="inlineStr">
        <is>
          <t>Address line (redacted)</t>
        </is>
      </c>
      <c r="B13438" s="390"/>
      <c r="C13438" s="390"/>
      <c r="D13438" s="398"/>
      <c r="E13438" s="390"/>
      <c r="F13438" s="391"/>
      <c r="G13438" s="390"/>
      <c r="H13438" s="394"/>
    </row>
    <row r="13439" spans="1:8" ht="15.75" customHeight="1" x14ac:dyDescent="0.25">
      <c r="A13439" s="390" t="inlineStr">
        <is>
          <t>Address line (redacted)</t>
        </is>
      </c>
      <c r="B13439" s="390"/>
      <c r="C13439" s="390"/>
      <c r="D13439" s="391"/>
      <c r="E13439" s="390"/>
      <c r="F13439" s="391"/>
      <c r="G13439" s="390"/>
      <c r="H13439" s="394"/>
    </row>
    <row r="13440" spans="1:8" ht="15.75" customHeight="1" x14ac:dyDescent="0.25">
      <c r="A13440" s="390"/>
      <c r="B13440" s="390"/>
      <c r="C13440" s="390"/>
      <c r="D13440" s="391"/>
      <c r="E13440" s="390"/>
      <c r="F13440" s="391"/>
      <c r="G13440" s="390"/>
      <c r="H13440" s="394"/>
    </row>
    <row r="13441" spans="1:8" ht="15.75" customHeight="1" x14ac:dyDescent="0.25">
      <c r="A13441" s="390" t="s">
        <v>30</v>
      </c>
      <c r="B13441" s="390"/>
      <c r="C13441" s="390"/>
      <c r="D13441" s="391"/>
      <c r="E13441" s="390"/>
      <c r="F13441" s="391"/>
      <c r="G13441" s="390"/>
      <c r="H13441" s="394"/>
    </row>
    <row r="13442" spans="1:8" ht="15.75" customHeight="1" x14ac:dyDescent="0.25">
      <c r="A13442" s="390" t="s">
        <v>716</v>
      </c>
      <c r="B13442" s="390"/>
      <c r="C13442" s="390"/>
      <c r="D13442" s="391"/>
      <c r="E13442" s="390"/>
      <c r="F13442" s="391"/>
      <c r="G13442" s="390"/>
      <c r="H13442" s="394"/>
    </row>
    <row r="13443" spans="1:8" ht="15.75" customHeight="1" x14ac:dyDescent="0.25">
      <c r="A13443" s="390" t="s">
        <v>717</v>
      </c>
      <c r="B13443" s="390"/>
      <c r="C13443" s="390"/>
      <c r="D13443" s="391"/>
      <c r="E13443" s="390"/>
      <c r="F13443" s="391"/>
      <c r="G13443" s="390"/>
      <c r="H13443" s="394"/>
    </row>
    <row r="13444" spans="1:8" ht="15.75" customHeight="1" x14ac:dyDescent="0.25">
      <c r="A13444" s="390"/>
      <c r="B13444" s="390"/>
      <c r="C13444" s="390"/>
      <c r="D13444" s="391"/>
      <c r="E13444" s="390"/>
      <c r="F13444" s="391"/>
      <c r="G13444" s="390"/>
      <c r="H13444" s="394"/>
    </row>
    <row r="13445" spans="1:8" ht="15.75" customHeight="1" x14ac:dyDescent="0.25">
      <c r="A13445" s="948" t="s">
        <v>33</v>
      </c>
      <c r="B13445" s="949" t="s">
        <v>6</v>
      </c>
      <c r="C13445" s="950"/>
      <c r="D13445" s="874" t="s">
        <v>37</v>
      </c>
      <c r="E13445" s="874" t="s">
        <v>38</v>
      </c>
      <c r="F13445" s="875" t="s">
        <v>7</v>
      </c>
      <c r="G13445" s="872" t="s">
        <v>43</v>
      </c>
      <c r="H13445" s="876" t="s">
        <v>44</v>
      </c>
    </row>
    <row r="13446" spans="1:8" ht="15.75" customHeight="1" x14ac:dyDescent="0.3">
      <c r="A13446" s="412"/>
      <c r="B13446" s="1042"/>
      <c r="C13446" s="1043"/>
      <c r="D13446" s="879"/>
      <c r="E13446" s="879"/>
      <c r="F13446" s="415"/>
      <c r="G13446" s="415"/>
      <c r="H13446" s="416"/>
    </row>
    <row r="13447" spans="1:8" ht="15.75" customHeight="1" x14ac:dyDescent="0.25">
      <c r="A13447" s="412"/>
      <c r="B13447" s="953" t="s">
        <v>1239</v>
      </c>
      <c r="C13447" s="953"/>
      <c r="D13447" s="415"/>
      <c r="E13447" s="415"/>
      <c r="F13447" s="415"/>
      <c r="G13447" s="415"/>
      <c r="H13447" s="416"/>
    </row>
    <row r="13448" spans="1:8" ht="15.75" customHeight="1" x14ac:dyDescent="0.25">
      <c r="A13448" s="420">
        <v>1</v>
      </c>
      <c r="B13448" s="1094" t="s">
        <v>127</v>
      </c>
      <c r="C13448" s="1095" t="s">
        <v>439</v>
      </c>
      <c r="D13448" s="415">
        <v>2</v>
      </c>
      <c r="E13448" s="415">
        <v>25</v>
      </c>
      <c r="F13448" s="415">
        <f t="shared" ref="F13448:F13449" si="503">+E13448*D13448</f>
      </c>
      <c r="G13448" s="415">
        <v>1</v>
      </c>
      <c r="H13448" s="416">
        <f t="shared" ref="H13448:H13449" si="504">+G13448*F13448</f>
      </c>
    </row>
    <row r="13449" spans="1:8" ht="15.75" customHeight="1" x14ac:dyDescent="0.25">
      <c r="A13449" s="420">
        <v>2</v>
      </c>
      <c r="B13449" s="1094" t="s">
        <v>145</v>
      </c>
      <c r="C13449" s="1095" t="s">
        <v>383</v>
      </c>
      <c r="D13449" s="415">
        <v>1</v>
      </c>
      <c r="E13449" s="415">
        <v>25</v>
      </c>
      <c r="F13449" s="415">
        <f t="shared" si="503"/>
      </c>
      <c r="G13449" s="415">
        <v>1</v>
      </c>
      <c r="H13449" s="416">
        <f t="shared" si="504"/>
      </c>
    </row>
    <row r="13450" spans="1:8" ht="15.75" customHeight="1" x14ac:dyDescent="0.25">
      <c r="A13450" s="412"/>
      <c r="B13450" s="953" t="s">
        <v>1357</v>
      </c>
      <c r="C13450" s="953"/>
      <c r="D13450" s="951"/>
      <c r="E13450" s="879"/>
      <c r="F13450" s="415"/>
      <c r="G13450" s="415"/>
      <c r="H13450" s="416"/>
    </row>
    <row r="13451" spans="1:8" ht="15.75" customHeight="1" x14ac:dyDescent="0.25">
      <c r="A13451" s="412">
        <v>3</v>
      </c>
      <c r="B13451" s="1116" t="s">
        <v>68</v>
      </c>
      <c r="C13451" s="1117" t="s">
        <v>404</v>
      </c>
      <c r="D13451" s="929">
        <v>4</v>
      </c>
      <c r="E13451" s="929">
        <v>25</v>
      </c>
      <c r="F13451" s="415">
        <v>96</v>
      </c>
      <c r="G13451" s="415">
        <v>1</v>
      </c>
      <c r="H13451" s="416">
        <f>+G13451*F13451</f>
      </c>
    </row>
    <row r="13452" spans="1:8" ht="15.75" customHeight="1" x14ac:dyDescent="0.25">
      <c r="A13452" s="412">
        <v>4</v>
      </c>
      <c r="B13452" s="1116" t="s">
        <v>68</v>
      </c>
      <c r="C13452" s="1117" t="s">
        <v>404</v>
      </c>
      <c r="D13452" s="930"/>
      <c r="E13452" s="930"/>
      <c r="F13452" s="415">
        <v>4</v>
      </c>
      <c r="G13452" s="619" t="s">
        <v>1856</v>
      </c>
      <c r="H13452" s="416"/>
    </row>
    <row r="13453" spans="1:8" ht="15.75" customHeight="1" x14ac:dyDescent="0.25">
      <c r="A13453" s="412">
        <v>5</v>
      </c>
      <c r="B13453" s="1116" t="s">
        <v>2147</v>
      </c>
      <c r="C13453" s="1117" t="s">
        <v>406</v>
      </c>
      <c r="D13453" s="929">
        <v>4</v>
      </c>
      <c r="E13453" s="929">
        <v>25</v>
      </c>
      <c r="F13453" s="415">
        <v>96</v>
      </c>
      <c r="G13453" s="415">
        <v>1</v>
      </c>
      <c r="H13453" s="416">
        <f>+G13453*F13453</f>
      </c>
    </row>
    <row r="13454" spans="1:8" ht="15.75" customHeight="1" x14ac:dyDescent="0.25">
      <c r="A13454" s="412">
        <v>6</v>
      </c>
      <c r="B13454" s="1116" t="s">
        <v>2147</v>
      </c>
      <c r="C13454" s="1117" t="s">
        <v>406</v>
      </c>
      <c r="D13454" s="930"/>
      <c r="E13454" s="930"/>
      <c r="F13454" s="415">
        <v>4</v>
      </c>
      <c r="G13454" s="619" t="s">
        <v>1856</v>
      </c>
      <c r="H13454" s="416"/>
    </row>
    <row r="13455" spans="1:8" ht="15.75" customHeight="1" x14ac:dyDescent="0.25">
      <c r="A13455" s="412">
        <v>7</v>
      </c>
      <c r="B13455" s="1116" t="s">
        <v>250</v>
      </c>
      <c r="C13455" s="1117" t="s">
        <v>410</v>
      </c>
      <c r="D13455" s="929">
        <v>4</v>
      </c>
      <c r="E13455" s="929">
        <v>25</v>
      </c>
      <c r="F13455" s="415">
        <v>96</v>
      </c>
      <c r="G13455" s="415">
        <v>1</v>
      </c>
      <c r="H13455" s="416">
        <f>+G13455*F13455</f>
      </c>
    </row>
    <row r="13456" spans="1:8" ht="15.75" customHeight="1" x14ac:dyDescent="0.25">
      <c r="A13456" s="412">
        <v>8</v>
      </c>
      <c r="B13456" s="1116" t="s">
        <v>250</v>
      </c>
      <c r="C13456" s="1117" t="s">
        <v>410</v>
      </c>
      <c r="D13456" s="930"/>
      <c r="E13456" s="930"/>
      <c r="F13456" s="415">
        <v>4</v>
      </c>
      <c r="G13456" s="619" t="s">
        <v>1856</v>
      </c>
      <c r="H13456" s="416"/>
    </row>
    <row r="13457" spans="1:8" ht="15.75" customHeight="1" x14ac:dyDescent="0.25">
      <c r="A13457" s="412">
        <v>9</v>
      </c>
      <c r="B13457" s="1118" t="s">
        <v>226</v>
      </c>
      <c r="C13457" s="993" t="s">
        <v>413</v>
      </c>
      <c r="D13457" s="929">
        <v>4</v>
      </c>
      <c r="E13457" s="929">
        <v>25</v>
      </c>
      <c r="F13457" s="415">
        <v>96</v>
      </c>
      <c r="G13457" s="415">
        <v>1</v>
      </c>
      <c r="H13457" s="416">
        <f>+G13457*F13457</f>
      </c>
    </row>
    <row r="13458" spans="1:8" ht="15.75" customHeight="1" x14ac:dyDescent="0.25">
      <c r="A13458" s="412">
        <v>10</v>
      </c>
      <c r="B13458" s="1118" t="s">
        <v>226</v>
      </c>
      <c r="C13458" s="993" t="s">
        <v>413</v>
      </c>
      <c r="D13458" s="930"/>
      <c r="E13458" s="930"/>
      <c r="F13458" s="415">
        <v>4</v>
      </c>
      <c r="G13458" s="619" t="s">
        <v>1856</v>
      </c>
      <c r="H13458" s="416"/>
    </row>
    <row r="13459" spans="1:8" ht="15.75" customHeight="1" x14ac:dyDescent="0.25">
      <c r="A13459" s="412">
        <v>11</v>
      </c>
      <c r="B13459" s="1118" t="s">
        <v>2148</v>
      </c>
      <c r="C13459" s="993" t="s">
        <v>414</v>
      </c>
      <c r="D13459" s="929">
        <v>4</v>
      </c>
      <c r="E13459" s="929">
        <v>25</v>
      </c>
      <c r="F13459" s="415">
        <v>96</v>
      </c>
      <c r="G13459" s="415">
        <v>1</v>
      </c>
      <c r="H13459" s="416">
        <f>+G13459*F13459</f>
      </c>
    </row>
    <row r="13460" spans="1:8" ht="15.75" customHeight="1" x14ac:dyDescent="0.25">
      <c r="A13460" s="412">
        <v>12</v>
      </c>
      <c r="B13460" s="1118" t="s">
        <v>2148</v>
      </c>
      <c r="C13460" s="993" t="s">
        <v>414</v>
      </c>
      <c r="D13460" s="930"/>
      <c r="E13460" s="930"/>
      <c r="F13460" s="415">
        <v>4</v>
      </c>
      <c r="G13460" s="619" t="s">
        <v>1856</v>
      </c>
      <c r="H13460" s="416"/>
    </row>
    <row r="13461" spans="1:8" ht="15.75" customHeight="1" x14ac:dyDescent="0.25">
      <c r="A13461" s="412">
        <v>13</v>
      </c>
      <c r="B13461" s="1118" t="s">
        <v>287</v>
      </c>
      <c r="C13461" s="993" t="s">
        <v>1363</v>
      </c>
      <c r="D13461" s="929">
        <v>8</v>
      </c>
      <c r="E13461" s="929">
        <v>25</v>
      </c>
      <c r="F13461" s="415">
        <v>192</v>
      </c>
      <c r="G13461" s="415">
        <v>1</v>
      </c>
      <c r="H13461" s="416">
        <f>+G13461*F13461</f>
      </c>
    </row>
    <row r="13462" spans="1:8" ht="15.75" customHeight="1" x14ac:dyDescent="0.25">
      <c r="A13462" s="412">
        <v>14</v>
      </c>
      <c r="B13462" s="1118" t="s">
        <v>287</v>
      </c>
      <c r="C13462" s="993" t="s">
        <v>1363</v>
      </c>
      <c r="D13462" s="930"/>
      <c r="E13462" s="930"/>
      <c r="F13462" s="415">
        <v>8</v>
      </c>
      <c r="G13462" s="619" t="s">
        <v>1856</v>
      </c>
      <c r="H13462" s="416"/>
    </row>
    <row r="13463" spans="1:8" ht="15.75" customHeight="1" x14ac:dyDescent="0.25">
      <c r="A13463" s="1050"/>
      <c r="B13463" s="953" t="s">
        <v>2149</v>
      </c>
      <c r="C13463" s="953"/>
      <c r="D13463" s="930"/>
      <c r="E13463" s="930"/>
      <c r="F13463" s="415"/>
      <c r="G13463" s="415"/>
      <c r="H13463" s="416"/>
    </row>
    <row r="13464" spans="1:8" ht="15.75" customHeight="1" x14ac:dyDescent="0.25">
      <c r="A13464" s="412">
        <v>15</v>
      </c>
      <c r="B13464" s="670" t="s">
        <v>1611</v>
      </c>
      <c r="C13464" s="672" t="s">
        <v>345</v>
      </c>
      <c r="D13464" s="1040">
        <v>1</v>
      </c>
      <c r="E13464" s="1040">
        <v>1</v>
      </c>
      <c r="F13464" s="1040">
        <v>1</v>
      </c>
      <c r="G13464" s="415">
        <v>1</v>
      </c>
      <c r="H13464" s="416">
        <f>+G13464*F13464</f>
      </c>
    </row>
    <row r="13465" spans="1:8" ht="15.75" customHeight="1" x14ac:dyDescent="0.25">
      <c r="A13465" s="1050"/>
      <c r="B13465" s="953" t="s">
        <v>590</v>
      </c>
      <c r="C13465" s="953"/>
      <c r="D13465" s="930"/>
      <c r="E13465" s="930"/>
      <c r="F13465" s="415"/>
      <c r="G13465" s="415"/>
      <c r="H13465" s="416"/>
    </row>
    <row r="13466" spans="1:8" ht="15.75" customHeight="1" x14ac:dyDescent="0.25">
      <c r="A13466" s="1050">
        <v>16</v>
      </c>
      <c r="B13466" s="1118" t="s">
        <v>63</v>
      </c>
      <c r="C13466" s="993" t="s">
        <v>371</v>
      </c>
      <c r="D13466" s="929">
        <v>4</v>
      </c>
      <c r="E13466" s="929">
        <v>6</v>
      </c>
      <c r="F13466" s="415">
        <v>23</v>
      </c>
      <c r="G13466" s="415">
        <v>1</v>
      </c>
      <c r="H13466" s="416">
        <f>+G13466*F13466</f>
      </c>
    </row>
    <row r="13467" spans="1:8" ht="15.75" customHeight="1" x14ac:dyDescent="0.25">
      <c r="A13467" s="1050">
        <v>17</v>
      </c>
      <c r="B13467" s="1118" t="s">
        <v>63</v>
      </c>
      <c r="C13467" s="993" t="s">
        <v>371</v>
      </c>
      <c r="D13467" s="930"/>
      <c r="E13467" s="930"/>
      <c r="F13467" s="415">
        <v>1</v>
      </c>
      <c r="G13467" s="619" t="s">
        <v>1856</v>
      </c>
      <c r="H13467" s="416"/>
    </row>
    <row r="13468" spans="1:8" ht="15.75" customHeight="1" x14ac:dyDescent="0.25">
      <c r="A13468" s="420">
        <v>18</v>
      </c>
      <c r="B13468" s="1118" t="s">
        <v>63</v>
      </c>
      <c r="C13468" s="993" t="s">
        <v>371</v>
      </c>
      <c r="D13468" s="588">
        <v>1</v>
      </c>
      <c r="E13468" s="930">
        <v>6</v>
      </c>
      <c r="F13468" s="415">
        <f>+E13468*D13468</f>
      </c>
      <c r="G13468" s="415">
        <v>1</v>
      </c>
      <c r="H13468" s="416">
        <f>+G13468*F13468</f>
      </c>
    </row>
    <row r="13469" spans="1:8" ht="15.75" customHeight="1" x14ac:dyDescent="0.25">
      <c r="A13469" s="412"/>
      <c r="B13469" s="417"/>
      <c r="C13469" s="993"/>
      <c r="D13469" s="626"/>
      <c r="E13469" s="626"/>
      <c r="F13469" s="415"/>
      <c r="G13469" s="415"/>
      <c r="H13469" s="416"/>
    </row>
    <row r="13470" spans="1:8" ht="15.75" customHeight="1" x14ac:dyDescent="0.25">
      <c r="A13470" s="877"/>
      <c r="B13470" s="688"/>
      <c r="C13470" s="896" t="s">
        <v>85</v>
      </c>
      <c r="D13470" s="599">
        <f>SUM(D13448:D13469)</f>
      </c>
      <c r="E13470" s="401"/>
      <c r="F13470" s="599">
        <f>SUM(F13448:F13469)</f>
      </c>
      <c r="G13470" s="661"/>
      <c r="H13470" s="438">
        <f>SUM(H13448:H13469)</f>
      </c>
    </row>
    <row r="13471" spans="1:8" ht="15.75" customHeight="1" x14ac:dyDescent="0.25">
      <c r="A13471" s="932"/>
      <c r="B13471" s="933"/>
      <c r="C13471" s="934"/>
      <c r="D13471" s="431"/>
      <c r="E13471" s="935"/>
      <c r="F13471" s="935"/>
      <c r="G13471" s="936"/>
      <c r="H13471" s="444"/>
    </row>
    <row r="13472" spans="1:8" ht="15.75" customHeight="1" x14ac:dyDescent="0.25">
      <c r="A13472" s="994" t="s">
        <v>913</v>
      </c>
      <c r="B13472" s="391"/>
      <c r="C13472" s="391"/>
      <c r="D13472" s="391"/>
      <c r="E13472" s="390"/>
      <c r="F13472" s="392"/>
      <c r="G13472" s="390"/>
      <c r="H13472" s="394"/>
    </row>
    <row r="13473" spans="1:8" ht="15.75" customHeight="1" x14ac:dyDescent="0.25">
      <c r="A13473" s="445"/>
      <c r="B13473" s="445"/>
      <c r="C13473" s="445"/>
      <c r="D13473" s="446" t="s">
        <v>97</v>
      </c>
      <c r="E13473" s="445" t="s">
        <v>98</v>
      </c>
      <c r="F13473" s="445"/>
      <c r="G13473" s="390"/>
      <c r="H13473" s="394"/>
    </row>
    <row r="13474" spans="1:8" ht="15.75" customHeight="1" x14ac:dyDescent="0.25">
      <c r="A13474" s="390"/>
      <c r="B13474" s="390"/>
      <c r="C13474" s="390"/>
      <c r="D13474" s="391"/>
      <c r="E13474" s="390"/>
      <c r="F13474" s="390"/>
      <c r="G13474" s="390"/>
      <c r="H13474" s="394"/>
    </row>
    <row r="13475" spans="1:8" ht="15.75" customHeight="1" x14ac:dyDescent="0.25">
      <c r="A13475" s="390"/>
      <c r="B13475" s="390"/>
      <c r="C13475" s="390"/>
      <c r="D13475" s="391"/>
      <c r="E13475" s="390"/>
      <c r="F13475" s="390"/>
      <c r="G13475" s="390"/>
      <c r="H13475" s="394"/>
    </row>
    <row r="13476" spans="1:8" ht="15.75" customHeight="1" x14ac:dyDescent="0.25">
      <c r="A13476" s="445"/>
      <c r="B13476" s="445"/>
      <c r="C13476" s="445"/>
      <c r="D13476" s="446"/>
      <c r="E13476" s="445" t="s">
        <v>99</v>
      </c>
      <c r="F13476" s="445"/>
      <c r="G13476" s="390"/>
      <c r="H13476" s="394"/>
    </row>
    <row r="13477" spans="1:8" ht="15.75" customHeight="1" x14ac:dyDescent="0.25">
      <c r="A13477" s="8" t="s">
        <v>14</v>
      </c>
      <c r="B13477" s="8"/>
      <c r="C13477" s="8"/>
      <c r="D13477" s="8"/>
      <c r="E13477" s="8"/>
      <c r="F13477" s="8"/>
      <c r="G13477" s="8"/>
      <c r="H13477" s="8"/>
    </row>
    <row r="13478" spans="1:8" ht="15.75" customHeight="1" x14ac:dyDescent="0.25">
      <c r="A13478" s="388"/>
      <c r="B13478" s="388"/>
      <c r="C13478" s="388"/>
      <c r="D13478" s="389"/>
      <c r="E13478" s="388"/>
      <c r="F13478" s="388"/>
      <c r="G13478" s="388"/>
      <c r="H13478" s="8"/>
    </row>
    <row r="13479" spans="1:8" ht="15.75" customHeight="1" x14ac:dyDescent="0.25">
      <c r="A13479" s="390"/>
      <c r="B13479" s="390"/>
      <c r="C13479" s="390"/>
      <c r="D13479" s="391"/>
      <c r="E13479" s="390"/>
      <c r="F13479" s="395" t="s">
        <v>18</v>
      </c>
      <c r="G13479" s="396" t="s">
        <v>1155</v>
      </c>
      <c r="H13479" s="397"/>
    </row>
    <row r="13480" spans="1:8" ht="15.75" customHeight="1" x14ac:dyDescent="0.25">
      <c r="A13480" s="390" t="s">
        <v>20</v>
      </c>
      <c r="B13480" s="390"/>
      <c r="D13480" s="391"/>
      <c r="E13480" s="390"/>
      <c r="F13480" s="395" t="s">
        <v>21</v>
      </c>
      <c r="G13480" s="390" t="s">
        <v>2150</v>
      </c>
      <c r="H13480" s="391"/>
    </row>
    <row r="13481" spans="1:8" ht="15.75" customHeight="1" x14ac:dyDescent="0.25">
      <c r="A13481" s="390" t="inlineStr">
        <is>
          <t>Dealer-003</t>
        </is>
      </c>
      <c r="B13481" s="390"/>
      <c r="C13481" s="390" t="inlineStr">
        <is>
          <t>ATTN: Contact-007</t>
        </is>
      </c>
      <c r="D13481" s="398"/>
      <c r="E13481" s="390"/>
      <c r="F13481" s="391"/>
      <c r="G13481" s="390"/>
      <c r="H13481" s="394"/>
    </row>
    <row r="13482" spans="1:8" ht="15.75" customHeight="1" x14ac:dyDescent="0.25">
      <c r="A13482" s="390" t="inlineStr">
        <is>
          <t>Address line (redacted)</t>
        </is>
      </c>
      <c r="B13482" s="390"/>
      <c r="C13482" s="390"/>
      <c r="D13482" s="398"/>
      <c r="E13482" s="390"/>
      <c r="F13482" s="391"/>
      <c r="G13482" s="390"/>
      <c r="H13482" s="394"/>
    </row>
    <row r="13483" spans="1:8" ht="15.75" customHeight="1" x14ac:dyDescent="0.25">
      <c r="A13483" s="390"/>
      <c r="B13483" s="390"/>
      <c r="C13483" s="390"/>
      <c r="D13483" s="391"/>
      <c r="E13483" s="390"/>
      <c r="F13483" s="391"/>
      <c r="G13483" s="390"/>
      <c r="H13483" s="394"/>
    </row>
    <row r="13484" spans="1:8" ht="15.75" customHeight="1" x14ac:dyDescent="0.25">
      <c r="A13484" s="390" t="s">
        <v>30</v>
      </c>
      <c r="B13484" s="390"/>
      <c r="C13484" s="390"/>
      <c r="D13484" s="391"/>
      <c r="E13484" s="390"/>
      <c r="F13484" s="391"/>
      <c r="G13484" s="390"/>
      <c r="H13484" s="394"/>
    </row>
    <row r="13485" spans="1:8" ht="15.75" customHeight="1" x14ac:dyDescent="0.25">
      <c r="A13485" s="390" t="s">
        <v>716</v>
      </c>
      <c r="B13485" s="390"/>
      <c r="C13485" s="390"/>
      <c r="D13485" s="391"/>
      <c r="E13485" s="390"/>
      <c r="F13485" s="391"/>
      <c r="G13485" s="390"/>
      <c r="H13485" s="394"/>
    </row>
    <row r="13486" spans="1:8" ht="15.75" customHeight="1" x14ac:dyDescent="0.25">
      <c r="A13486" s="390" t="s">
        <v>717</v>
      </c>
      <c r="B13486" s="390"/>
      <c r="C13486" s="390"/>
      <c r="D13486" s="391"/>
      <c r="E13486" s="390"/>
      <c r="F13486" s="391"/>
      <c r="G13486" s="390"/>
      <c r="H13486" s="394"/>
    </row>
    <row r="13487" spans="1:8" ht="15.75" customHeight="1" x14ac:dyDescent="0.25">
      <c r="A13487" s="390"/>
      <c r="B13487" s="390"/>
      <c r="C13487" s="390"/>
      <c r="D13487" s="391"/>
      <c r="E13487" s="390"/>
      <c r="F13487" s="391"/>
      <c r="G13487" s="390"/>
      <c r="H13487" s="394"/>
    </row>
    <row r="13488" spans="1:8" ht="15.75" customHeight="1" x14ac:dyDescent="0.25">
      <c r="A13488" s="948" t="s">
        <v>33</v>
      </c>
      <c r="B13488" s="949" t="s">
        <v>6</v>
      </c>
      <c r="C13488" s="950"/>
      <c r="D13488" s="874" t="s">
        <v>37</v>
      </c>
      <c r="E13488" s="874" t="s">
        <v>38</v>
      </c>
      <c r="F13488" s="875" t="s">
        <v>7</v>
      </c>
      <c r="G13488" s="872" t="s">
        <v>43</v>
      </c>
      <c r="H13488" s="876" t="s">
        <v>44</v>
      </c>
    </row>
    <row r="13489" spans="1:8" ht="15.75" customHeight="1" x14ac:dyDescent="0.3">
      <c r="A13489" s="412"/>
      <c r="B13489" s="1033"/>
      <c r="C13489" s="1033"/>
      <c r="D13489" s="879"/>
      <c r="E13489" s="879"/>
      <c r="F13489" s="415"/>
      <c r="G13489" s="415"/>
      <c r="H13489" s="416"/>
    </row>
    <row r="13490" spans="1:8" ht="15.75" customHeight="1" x14ac:dyDescent="0.25">
      <c r="A13490" s="412"/>
      <c r="B13490" s="883" t="s">
        <v>1452</v>
      </c>
      <c r="C13490" s="883"/>
      <c r="D13490" s="415"/>
      <c r="E13490" s="415"/>
      <c r="F13490" s="415"/>
      <c r="G13490" s="415"/>
      <c r="H13490" s="416"/>
    </row>
    <row r="13491" spans="1:8" ht="15.75" customHeight="1" x14ac:dyDescent="0.25">
      <c r="A13491" s="412">
        <v>1</v>
      </c>
      <c r="B13491" s="1037" t="s">
        <v>1454</v>
      </c>
      <c r="C13491" s="422" t="s">
        <v>12</v>
      </c>
      <c r="D13491" s="588">
        <v>44</v>
      </c>
      <c r="E13491" s="588">
        <v>24</v>
      </c>
      <c r="F13491" s="415">
        <f>+D13491*E13491</f>
      </c>
      <c r="G13491" s="415">
        <v>1</v>
      </c>
      <c r="H13491" s="416">
        <f>+G13491*F13491</f>
      </c>
    </row>
    <row r="13492" spans="1:8" ht="15.75" customHeight="1" x14ac:dyDescent="0.25">
      <c r="A13492" s="412">
        <v>2</v>
      </c>
      <c r="B13492" s="1037" t="s">
        <v>1454</v>
      </c>
      <c r="C13492" s="422" t="s">
        <v>12</v>
      </c>
      <c r="D13492" s="588">
        <v>4</v>
      </c>
      <c r="E13492" s="588"/>
      <c r="F13492" s="415">
        <f>+E13491*D13492</f>
      </c>
      <c r="G13492" s="619" t="s">
        <v>1856</v>
      </c>
      <c r="H13492" s="416"/>
    </row>
    <row r="13493" spans="1:8" ht="15.75" customHeight="1" x14ac:dyDescent="0.25">
      <c r="A13493" s="412"/>
      <c r="B13493" s="980"/>
      <c r="C13493" s="627"/>
      <c r="D13493" s="588"/>
      <c r="E13493" s="588"/>
      <c r="F13493" s="415"/>
      <c r="G13493" s="415"/>
      <c r="H13493" s="416"/>
    </row>
    <row r="13494" spans="1:8" ht="15.75" customHeight="1" x14ac:dyDescent="0.25">
      <c r="A13494" s="894"/>
      <c r="B13494" s="878"/>
      <c r="C13494" s="895"/>
      <c r="D13494" s="593"/>
      <c r="E13494" s="593"/>
      <c r="F13494" s="593"/>
      <c r="G13494" s="593"/>
      <c r="H13494" s="931"/>
    </row>
    <row r="13495" spans="1:8" ht="15.75" customHeight="1" x14ac:dyDescent="0.25">
      <c r="A13495" s="877"/>
      <c r="B13495" s="688"/>
      <c r="C13495" s="896" t="s">
        <v>85</v>
      </c>
      <c r="D13495" s="599">
        <f>SUM(D13491:D13494)</f>
      </c>
      <c r="E13495" s="401"/>
      <c r="F13495" s="599">
        <f>SUM(F13491:F13494)</f>
      </c>
      <c r="G13495" s="661"/>
      <c r="H13495" s="438">
        <f>SUM(H13491:H13494)</f>
      </c>
    </row>
    <row r="13496" spans="1:8" ht="15.75" customHeight="1" x14ac:dyDescent="0.25">
      <c r="A13496" s="932"/>
      <c r="B13496" s="933"/>
      <c r="C13496" s="934"/>
      <c r="D13496" s="431"/>
      <c r="E13496" s="935"/>
      <c r="F13496" s="935"/>
      <c r="G13496" s="936"/>
      <c r="H13496" s="444"/>
    </row>
    <row r="13497" spans="1:8" ht="15.75" customHeight="1" x14ac:dyDescent="0.25">
      <c r="A13497" s="994" t="s">
        <v>913</v>
      </c>
      <c r="B13497" s="391"/>
      <c r="C13497" s="391"/>
      <c r="D13497" s="391"/>
      <c r="E13497" s="390"/>
      <c r="F13497" s="392"/>
      <c r="G13497" s="390"/>
      <c r="H13497" s="394"/>
    </row>
    <row r="13498" spans="1:8" ht="15.75" customHeight="1" x14ac:dyDescent="0.25">
      <c r="A13498" s="445"/>
      <c r="B13498" s="445"/>
      <c r="C13498" s="445"/>
      <c r="D13498" s="446" t="s">
        <v>97</v>
      </c>
      <c r="E13498" s="445" t="s">
        <v>98</v>
      </c>
      <c r="F13498" s="445"/>
      <c r="G13498" s="390"/>
      <c r="H13498" s="394"/>
    </row>
    <row r="13499" spans="1:8" ht="15.75" customHeight="1" x14ac:dyDescent="0.25">
      <c r="A13499" s="390"/>
      <c r="B13499" s="390"/>
      <c r="C13499" s="390"/>
      <c r="D13499" s="391"/>
      <c r="E13499" s="390"/>
      <c r="F13499" s="390"/>
      <c r="G13499" s="390"/>
      <c r="H13499" s="394"/>
    </row>
    <row r="13500" spans="1:8" ht="15.75" customHeight="1" x14ac:dyDescent="0.25">
      <c r="A13500" s="390"/>
      <c r="B13500" s="390"/>
      <c r="C13500" s="390"/>
      <c r="D13500" s="391"/>
      <c r="E13500" s="390"/>
      <c r="F13500" s="390"/>
      <c r="G13500" s="390"/>
      <c r="H13500" s="394"/>
    </row>
    <row r="13501" spans="1:8" ht="15.75" customHeight="1" x14ac:dyDescent="0.25">
      <c r="A13501" s="445"/>
      <c r="B13501" s="445"/>
      <c r="C13501" s="445"/>
      <c r="D13501" s="446"/>
      <c r="E13501" s="445" t="s">
        <v>99</v>
      </c>
      <c r="F13501" s="445"/>
      <c r="G13501" s="390"/>
      <c r="H13501" s="394"/>
    </row>
    <row r="13502" spans="1:8" ht="15.75" customHeight="1" x14ac:dyDescent="0.25">
      <c r="D13502" s="4"/>
      <c r="H13502" s="4"/>
    </row>
    <row r="13503" spans="1:8" ht="15.75" customHeight="1" x14ac:dyDescent="0.25">
      <c r="D13503" s="4"/>
      <c r="H13503" s="4"/>
    </row>
    <row r="13504" spans="1:8" ht="15.75" customHeight="1" x14ac:dyDescent="0.25">
      <c r="D13504" s="4"/>
      <c r="H13504" s="4"/>
    </row>
    <row r="13505" spans="4:8" ht="15.75" customHeight="1" x14ac:dyDescent="0.25">
      <c r="D13505" s="4"/>
      <c r="H13505" s="4"/>
    </row>
    <row r="13506" spans="4:8" ht="15.75" customHeight="1" x14ac:dyDescent="0.25">
      <c r="D13506" s="4"/>
      <c r="H13506" s="4"/>
    </row>
    <row r="13507" spans="4:8" ht="15.75" customHeight="1" x14ac:dyDescent="0.25">
      <c r="D13507" s="4"/>
      <c r="H13507" s="4"/>
    </row>
    <row r="13508" spans="4:8" ht="15.75" customHeight="1" x14ac:dyDescent="0.25">
      <c r="D13508" s="4"/>
      <c r="H13508" s="4"/>
    </row>
    <row r="13509" spans="4:8" ht="15.75" customHeight="1" x14ac:dyDescent="0.25">
      <c r="D13509" s="4"/>
      <c r="H13509" s="4"/>
    </row>
    <row r="13510" spans="4:8" ht="15.75" customHeight="1" x14ac:dyDescent="0.25">
      <c r="D13510" s="4"/>
      <c r="H13510" s="4"/>
    </row>
    <row r="13511" spans="4:8" ht="15.75" customHeight="1" x14ac:dyDescent="0.25">
      <c r="D13511" s="4"/>
      <c r="H13511" s="4"/>
    </row>
    <row r="13512" spans="4:8" ht="15.75" customHeight="1" x14ac:dyDescent="0.25">
      <c r="D13512" s="4"/>
      <c r="H13512" s="4"/>
    </row>
    <row r="13513" spans="4:8" ht="15.75" customHeight="1" x14ac:dyDescent="0.25">
      <c r="D13513" s="4"/>
      <c r="H13513" s="4"/>
    </row>
    <row r="13514" spans="4:8" ht="15.75" customHeight="1" x14ac:dyDescent="0.25">
      <c r="D13514" s="4"/>
      <c r="H13514" s="4"/>
    </row>
    <row r="13515" spans="4:8" ht="15.75" customHeight="1" x14ac:dyDescent="0.25">
      <c r="D13515" s="4"/>
      <c r="H13515" s="4"/>
    </row>
    <row r="13516" spans="4:8" ht="15.75" customHeight="1" x14ac:dyDescent="0.25">
      <c r="D13516" s="4"/>
      <c r="H13516" s="4"/>
    </row>
    <row r="13517" spans="4:8" ht="15.75" customHeight="1" x14ac:dyDescent="0.25">
      <c r="D13517" s="4"/>
      <c r="H13517" s="4"/>
    </row>
    <row r="13518" spans="4:8" ht="15.75" customHeight="1" x14ac:dyDescent="0.25">
      <c r="D13518" s="4"/>
      <c r="H13518" s="4"/>
    </row>
    <row r="13519" spans="4:8" ht="15.75" customHeight="1" x14ac:dyDescent="0.25">
      <c r="D13519" s="4"/>
      <c r="H13519" s="4"/>
    </row>
    <row r="13520" spans="4:8" ht="15.75" customHeight="1" x14ac:dyDescent="0.25">
      <c r="D13520" s="4"/>
      <c r="H13520" s="4"/>
    </row>
    <row r="13521" spans="4:8" ht="15.75" customHeight="1" x14ac:dyDescent="0.25">
      <c r="D13521" s="4"/>
      <c r="H13521" s="4"/>
    </row>
    <row r="13522" spans="4:8" ht="15.75" customHeight="1" x14ac:dyDescent="0.25">
      <c r="D13522" s="4"/>
      <c r="H13522" s="4"/>
    </row>
    <row r="13523" spans="4:8" ht="15.75" customHeight="1" x14ac:dyDescent="0.25">
      <c r="D13523" s="4"/>
      <c r="H13523" s="4"/>
    </row>
    <row r="13524" spans="4:8" ht="15.75" customHeight="1" x14ac:dyDescent="0.25">
      <c r="D13524" s="4"/>
      <c r="H13524" s="4"/>
    </row>
    <row r="13525" spans="4:8" ht="15.75" customHeight="1" x14ac:dyDescent="0.25">
      <c r="D13525" s="4"/>
      <c r="H13525" s="4"/>
    </row>
    <row r="13526" spans="4:8" ht="15.75" customHeight="1" x14ac:dyDescent="0.25">
      <c r="D13526" s="4"/>
      <c r="H13526" s="4"/>
    </row>
    <row r="13527" spans="4:8" ht="15.75" customHeight="1" x14ac:dyDescent="0.25">
      <c r="D13527" s="4"/>
      <c r="H13527" s="4"/>
    </row>
    <row r="13528" spans="4:8" ht="15.75" customHeight="1" x14ac:dyDescent="0.25">
      <c r="D13528" s="4"/>
      <c r="H13528" s="4"/>
    </row>
    <row r="13529" spans="4:8" ht="15.75" customHeight="1" x14ac:dyDescent="0.25">
      <c r="D13529" s="4"/>
      <c r="H13529" s="4"/>
    </row>
    <row r="13530" spans="4:8" ht="15.75" customHeight="1" x14ac:dyDescent="0.25">
      <c r="D13530" s="4"/>
      <c r="H13530" s="4"/>
    </row>
    <row r="13531" spans="4:8" ht="15.75" customHeight="1" x14ac:dyDescent="0.25">
      <c r="D13531" s="4"/>
      <c r="H13531" s="4"/>
    </row>
    <row r="13532" spans="4:8" ht="15.75" customHeight="1" x14ac:dyDescent="0.25">
      <c r="D13532" s="4"/>
      <c r="H13532" s="4"/>
    </row>
    <row r="13533" spans="4:8" ht="15.75" customHeight="1" x14ac:dyDescent="0.25">
      <c r="D13533" s="4"/>
      <c r="H13533" s="4"/>
    </row>
    <row r="13534" spans="4:8" ht="15.75" customHeight="1" x14ac:dyDescent="0.25">
      <c r="D13534" s="4"/>
      <c r="H13534" s="4"/>
    </row>
    <row r="13535" spans="4:8" ht="15.75" customHeight="1" x14ac:dyDescent="0.25">
      <c r="D13535" s="4"/>
      <c r="H13535" s="4"/>
    </row>
    <row r="13536" spans="4:8" ht="15.75" customHeight="1" x14ac:dyDescent="0.25">
      <c r="D13536" s="4"/>
      <c r="H13536" s="4"/>
    </row>
    <row r="13537" spans="1:8" ht="15.75" customHeight="1" x14ac:dyDescent="0.25">
      <c r="D13537" s="4"/>
      <c r="H13537" s="4"/>
    </row>
    <row r="13538" spans="1:8" ht="15.75" customHeight="1" x14ac:dyDescent="0.25">
      <c r="D13538" s="4"/>
      <c r="H13538" s="4"/>
    </row>
    <row r="13539" spans="1:8" ht="15.75" customHeight="1" x14ac:dyDescent="0.25">
      <c r="D13539" s="4"/>
      <c r="H13539" s="4"/>
    </row>
    <row r="13540" spans="1:8" ht="15.75" customHeight="1" x14ac:dyDescent="0.25">
      <c r="D13540" s="4"/>
      <c r="H13540" s="4"/>
    </row>
    <row r="13541" spans="1:8" ht="15.75" customHeight="1" x14ac:dyDescent="0.25">
      <c r="D13541" s="4"/>
      <c r="H13541" s="4"/>
    </row>
    <row r="13542" spans="1:8" ht="15.75" customHeight="1" x14ac:dyDescent="0.25">
      <c r="D13542" s="4"/>
      <c r="H13542" s="4"/>
    </row>
    <row r="13543" spans="1:8" ht="15.75" customHeight="1" x14ac:dyDescent="0.25">
      <c r="A13543" s="8" t="s">
        <v>14</v>
      </c>
      <c r="B13543" s="8"/>
      <c r="C13543" s="8"/>
      <c r="D13543" s="8"/>
      <c r="E13543" s="8"/>
      <c r="F13543" s="8"/>
      <c r="G13543" s="8"/>
      <c r="H13543" s="8"/>
    </row>
    <row r="13544" spans="1:8" ht="15.75" customHeight="1" x14ac:dyDescent="0.25">
      <c r="A13544" s="388"/>
      <c r="B13544" s="388"/>
      <c r="C13544" s="388"/>
      <c r="D13544" s="389"/>
      <c r="E13544" s="388"/>
      <c r="F13544" s="388"/>
      <c r="G13544" s="388"/>
      <c r="H13544" s="8"/>
    </row>
    <row r="13545" spans="1:8" ht="15.75" customHeight="1" x14ac:dyDescent="0.25">
      <c r="A13545" s="390"/>
      <c r="B13545" s="390"/>
      <c r="C13545" s="393"/>
      <c r="D13545" s="391"/>
      <c r="E13545" s="390"/>
      <c r="F13545" s="395" t="s">
        <v>18</v>
      </c>
      <c r="G13545" s="396" t="s">
        <v>1157</v>
      </c>
      <c r="H13545" s="397"/>
    </row>
    <row r="13546" spans="1:8" ht="15.75" customHeight="1" x14ac:dyDescent="0.25">
      <c r="A13546" s="390" t="s">
        <v>20</v>
      </c>
      <c r="B13546" s="390"/>
      <c r="D13546" s="391"/>
      <c r="E13546" s="390"/>
      <c r="F13546" s="395" t="s">
        <v>21</v>
      </c>
      <c r="G13546" s="390" t="s">
        <v>2151</v>
      </c>
      <c r="H13546" s="391"/>
    </row>
    <row r="13547" spans="1:8" ht="15.75" customHeight="1" x14ac:dyDescent="0.25">
      <c r="A13547" s="390" t="inlineStr">
        <is>
          <t>Dealer-026</t>
        </is>
      </c>
      <c r="B13547" s="390"/>
      <c r="C13547" s="398"/>
      <c r="D13547" s="398"/>
      <c r="E13547" s="390"/>
      <c r="F13547" s="391"/>
      <c r="G13547" s="390"/>
      <c r="H13547" s="394"/>
    </row>
    <row r="13548" spans="1:8" ht="15.75" customHeight="1" x14ac:dyDescent="0.25">
      <c r="A13548" s="390" t="inlineStr">
        <is>
          <t>Address line (redacted)</t>
        </is>
      </c>
      <c r="B13548" s="390"/>
      <c r="C13548" s="390"/>
      <c r="D13548" s="398"/>
      <c r="E13548" s="390"/>
      <c r="F13548" s="391"/>
      <c r="G13548" s="390"/>
      <c r="H13548" s="394"/>
    </row>
    <row r="13549" spans="1:8" ht="15.75" customHeight="1" x14ac:dyDescent="0.25">
      <c r="A13549" s="390"/>
      <c r="B13549" s="390"/>
      <c r="C13549" s="390"/>
      <c r="D13549" s="391"/>
      <c r="E13549" s="390"/>
      <c r="F13549" s="391"/>
      <c r="G13549" s="390"/>
      <c r="H13549" s="394"/>
    </row>
    <row r="13550" spans="1:8" ht="15.75" customHeight="1" x14ac:dyDescent="0.25">
      <c r="A13550" s="390"/>
      <c r="B13550" s="390"/>
      <c r="C13550" s="390"/>
      <c r="D13550" s="391"/>
      <c r="E13550" s="390"/>
      <c r="F13550" s="391"/>
      <c r="G13550" s="390"/>
      <c r="H13550" s="394"/>
    </row>
    <row r="13551" spans="1:8" ht="15.75" customHeight="1" x14ac:dyDescent="0.25">
      <c r="A13551" s="390" t="s">
        <v>30</v>
      </c>
      <c r="B13551" s="390"/>
      <c r="C13551" s="390"/>
      <c r="D13551" s="391"/>
      <c r="E13551" s="390"/>
      <c r="F13551" s="391"/>
      <c r="G13551" s="390"/>
      <c r="H13551" s="394"/>
    </row>
    <row r="13552" spans="1:8" ht="15.75" customHeight="1" x14ac:dyDescent="0.25">
      <c r="A13552" s="390"/>
      <c r="B13552" s="390"/>
      <c r="C13552" s="390"/>
      <c r="D13552" s="391"/>
      <c r="E13552" s="390"/>
      <c r="F13552" s="391"/>
      <c r="G13552" s="390"/>
      <c r="H13552" s="394"/>
    </row>
    <row r="13553" spans="1:8" ht="15.75" customHeight="1" x14ac:dyDescent="0.25">
      <c r="A13553" s="390" t="s">
        <v>716</v>
      </c>
      <c r="B13553" s="390"/>
      <c r="C13553" s="390"/>
      <c r="D13553" s="391"/>
      <c r="E13553" s="390"/>
      <c r="F13553" s="391"/>
      <c r="G13553" s="390"/>
      <c r="H13553" s="394"/>
    </row>
    <row r="13554" spans="1:8" ht="15.75" customHeight="1" x14ac:dyDescent="0.25">
      <c r="A13554" s="390" t="s">
        <v>717</v>
      </c>
      <c r="B13554" s="390"/>
      <c r="C13554" s="390"/>
      <c r="D13554" s="391"/>
      <c r="E13554" s="390"/>
      <c r="F13554" s="391"/>
      <c r="G13554" s="390"/>
      <c r="H13554" s="394"/>
    </row>
    <row r="13555" spans="1:8" ht="15.75" customHeight="1" x14ac:dyDescent="0.25">
      <c r="A13555" s="948" t="s">
        <v>33</v>
      </c>
      <c r="B13555" s="949" t="s">
        <v>6</v>
      </c>
      <c r="C13555" s="950"/>
      <c r="D13555" s="874" t="s">
        <v>37</v>
      </c>
      <c r="E13555" s="874" t="s">
        <v>38</v>
      </c>
      <c r="F13555" s="875" t="s">
        <v>7</v>
      </c>
      <c r="G13555" s="872" t="s">
        <v>43</v>
      </c>
      <c r="H13555" s="876" t="s">
        <v>44</v>
      </c>
    </row>
    <row r="13556" spans="1:8" ht="15.75" customHeight="1" x14ac:dyDescent="0.3">
      <c r="A13556" s="412"/>
      <c r="B13556" s="1042"/>
      <c r="C13556" s="1043"/>
      <c r="D13556" s="879"/>
      <c r="E13556" s="879"/>
      <c r="F13556" s="415"/>
      <c r="G13556" s="415"/>
      <c r="H13556" s="416"/>
    </row>
    <row r="13557" spans="1:8" ht="15.75" customHeight="1" x14ac:dyDescent="0.25">
      <c r="A13557" s="412"/>
      <c r="B13557" s="1026" t="s">
        <v>2043</v>
      </c>
      <c r="C13557" s="1027"/>
      <c r="D13557" s="415"/>
      <c r="E13557" s="415"/>
      <c r="F13557" s="415"/>
      <c r="G13557" s="415"/>
      <c r="H13557" s="416"/>
    </row>
    <row r="13558" spans="1:8" ht="15.75" customHeight="1" x14ac:dyDescent="0.25">
      <c r="A13558" s="412">
        <v>1</v>
      </c>
      <c r="B13558" s="417" t="s">
        <v>1718</v>
      </c>
      <c r="C13558" s="993" t="s">
        <v>379</v>
      </c>
      <c r="D13558" s="588">
        <v>2</v>
      </c>
      <c r="E13558" s="588">
        <v>6</v>
      </c>
      <c r="F13558" s="415">
        <f>+E13558*D13558</f>
      </c>
      <c r="G13558" s="415">
        <v>1</v>
      </c>
      <c r="H13558" s="416">
        <f>+G13558*F13558</f>
      </c>
    </row>
    <row r="13559" spans="1:8" ht="15.75" customHeight="1" x14ac:dyDescent="0.25">
      <c r="A13559" s="412"/>
      <c r="B13559" s="1026" t="s">
        <v>2120</v>
      </c>
      <c r="C13559" s="1027"/>
      <c r="D13559" s="588"/>
      <c r="E13559" s="588"/>
      <c r="F13559" s="415"/>
      <c r="G13559" s="415"/>
      <c r="H13559" s="416"/>
    </row>
    <row r="13560" spans="1:8" ht="15.75" customHeight="1" x14ac:dyDescent="0.25">
      <c r="A13560" s="412">
        <v>2</v>
      </c>
      <c r="B13560" s="417" t="s">
        <v>134</v>
      </c>
      <c r="C13560" s="993" t="s">
        <v>332</v>
      </c>
      <c r="D13560" s="588">
        <v>1</v>
      </c>
      <c r="E13560" s="588">
        <v>5</v>
      </c>
      <c r="F13560" s="415">
        <f t="shared" ref="F13560:F13561" si="505">+E13560*D13560</f>
      </c>
      <c r="G13560" s="415">
        <v>1</v>
      </c>
      <c r="H13560" s="416">
        <f t="shared" ref="H13560:H13561" si="506">+G13560*F13560</f>
      </c>
    </row>
    <row r="13561" spans="1:8" ht="15.75" customHeight="1" x14ac:dyDescent="0.25">
      <c r="A13561" s="412">
        <v>3</v>
      </c>
      <c r="B13561" s="417" t="s">
        <v>139</v>
      </c>
      <c r="C13561" s="993" t="s">
        <v>336</v>
      </c>
      <c r="D13561" s="588">
        <v>2</v>
      </c>
      <c r="E13561" s="588">
        <v>5</v>
      </c>
      <c r="F13561" s="415">
        <f t="shared" si="505"/>
      </c>
      <c r="G13561" s="415">
        <v>1</v>
      </c>
      <c r="H13561" s="416">
        <f t="shared" si="506"/>
      </c>
    </row>
    <row r="13562" spans="1:8" ht="25.5" customHeight="1" x14ac:dyDescent="0.25">
      <c r="A13562" s="412"/>
      <c r="B13562" s="417"/>
      <c r="C13562" s="993"/>
      <c r="D13562" s="588"/>
      <c r="E13562" s="588"/>
      <c r="F13562" s="415"/>
      <c r="G13562" s="415"/>
      <c r="H13562" s="416"/>
    </row>
    <row r="13563" spans="1:8" ht="15.75" customHeight="1" x14ac:dyDescent="0.25">
      <c r="A13563" s="412"/>
      <c r="B13563" s="1115" t="s">
        <v>2356</v>
      </c>
      <c r="C13563" s="993"/>
      <c r="D13563" s="588"/>
      <c r="E13563" s="588"/>
      <c r="F13563" s="415"/>
      <c r="G13563" s="415"/>
      <c r="H13563" s="416"/>
    </row>
    <row r="13564" spans="1:8" ht="15.75" customHeight="1" x14ac:dyDescent="0.25">
      <c r="A13564" s="412"/>
      <c r="B13564" s="417"/>
      <c r="C13564" s="415"/>
      <c r="D13564" s="591"/>
      <c r="E13564" s="591"/>
      <c r="F13564" s="415"/>
      <c r="G13564" s="415"/>
      <c r="H13564" s="416"/>
    </row>
    <row r="13565" spans="1:8" ht="15.75" customHeight="1" x14ac:dyDescent="0.25">
      <c r="A13565" s="1080"/>
      <c r="B13565" s="1109"/>
      <c r="C13565" s="1110"/>
      <c r="D13565" s="633"/>
      <c r="E13565" s="592"/>
      <c r="F13565" s="593"/>
      <c r="G13565" s="593"/>
      <c r="H13565" s="931"/>
    </row>
    <row r="13566" spans="1:8" ht="15.75" customHeight="1" x14ac:dyDescent="0.25">
      <c r="A13566" s="877"/>
      <c r="B13566" s="688"/>
      <c r="C13566" s="896" t="s">
        <v>85</v>
      </c>
      <c r="D13566" s="401">
        <f>SUM(D13558:D13565)</f>
      </c>
      <c r="E13566" s="401"/>
      <c r="F13566" s="401">
        <f>SUM(F13558:F13565)</f>
      </c>
      <c r="G13566" s="661"/>
      <c r="H13566" s="623">
        <f>SUM(H13558:H13565)</f>
      </c>
    </row>
    <row r="13567" spans="1:8" ht="15.75" customHeight="1" x14ac:dyDescent="0.25">
      <c r="A13567" s="932"/>
      <c r="B13567" s="933"/>
      <c r="C13567" s="934"/>
      <c r="D13567" s="431"/>
      <c r="E13567" s="935"/>
      <c r="F13567" s="935"/>
      <c r="G13567" s="936"/>
      <c r="H13567" s="444"/>
    </row>
    <row r="13568" spans="1:8" ht="15.75" customHeight="1" x14ac:dyDescent="0.25">
      <c r="A13568" s="994"/>
      <c r="B13568" s="391"/>
      <c r="C13568" s="391"/>
      <c r="D13568" s="391"/>
      <c r="E13568" s="390"/>
      <c r="F13568" s="392"/>
      <c r="G13568" s="390"/>
      <c r="H13568" s="394"/>
    </row>
    <row r="13569" spans="1:8" ht="15.75" customHeight="1" x14ac:dyDescent="0.25">
      <c r="A13569" s="1032"/>
      <c r="B13569" s="445"/>
      <c r="C13569" s="445"/>
      <c r="F13569" s="446" t="s">
        <v>97</v>
      </c>
      <c r="G13569" s="445" t="s">
        <v>98</v>
      </c>
      <c r="H13569" s="445"/>
    </row>
    <row r="13570" spans="1:8" ht="15.75" customHeight="1" x14ac:dyDescent="0.25">
      <c r="A13570" s="390"/>
      <c r="B13570" s="390"/>
      <c r="C13570" s="390"/>
      <c r="F13570" s="391"/>
      <c r="G13570" s="390"/>
      <c r="H13570" s="390"/>
    </row>
    <row r="13571" spans="1:8" ht="15.75" customHeight="1" x14ac:dyDescent="0.25">
      <c r="A13571" s="398"/>
      <c r="B13571" s="393"/>
      <c r="C13571" s="393"/>
      <c r="D13571" s="674"/>
      <c r="E13571" s="674"/>
      <c r="F13571" s="391"/>
      <c r="G13571" s="390"/>
      <c r="H13571" s="390"/>
    </row>
    <row r="13572" spans="1:8" ht="15.75" customHeight="1" x14ac:dyDescent="0.25">
      <c r="A13572" s="1114"/>
      <c r="B13572" s="1032"/>
      <c r="C13572" s="1032"/>
      <c r="D13572" s="674"/>
      <c r="E13572" s="674"/>
      <c r="F13572" s="446"/>
      <c r="G13572" s="445" t="s">
        <v>99</v>
      </c>
      <c r="H13572" s="445"/>
    </row>
    <row r="13573" spans="1:8" ht="15.75" customHeight="1" x14ac:dyDescent="0.25">
      <c r="D13573" s="4"/>
      <c r="H13573" s="4"/>
    </row>
    <row r="13574" spans="1:8" ht="15.75" customHeight="1" x14ac:dyDescent="0.25">
      <c r="D13574" s="4"/>
      <c r="H13574" s="4"/>
    </row>
    <row r="13575" spans="1:8" ht="15.75" customHeight="1" x14ac:dyDescent="0.25">
      <c r="D13575" s="4"/>
      <c r="H13575" s="4"/>
    </row>
    <row r="13576" spans="1:8" ht="15.75" customHeight="1" x14ac:dyDescent="0.25">
      <c r="D13576" s="4"/>
      <c r="H13576" s="4"/>
    </row>
    <row r="13577" spans="1:8" ht="15.75" customHeight="1" x14ac:dyDescent="0.25">
      <c r="D13577" s="4"/>
      <c r="H13577" s="4"/>
    </row>
    <row r="13578" spans="1:8" ht="15.75" customHeight="1" x14ac:dyDescent="0.25">
      <c r="D13578" s="4"/>
      <c r="H13578" s="4"/>
    </row>
    <row r="13579" spans="1:8" ht="15.75" customHeight="1" x14ac:dyDescent="0.25">
      <c r="D13579" s="4"/>
      <c r="H13579" s="4"/>
    </row>
    <row r="13580" spans="1:8" ht="15.75" customHeight="1" x14ac:dyDescent="0.25">
      <c r="D13580" s="4"/>
      <c r="H13580" s="4"/>
    </row>
    <row r="13581" spans="1:8" ht="15.75" customHeight="1" x14ac:dyDescent="0.25">
      <c r="D13581" s="4"/>
      <c r="H13581" s="4"/>
    </row>
    <row r="13582" spans="1:8" ht="15.75" customHeight="1" x14ac:dyDescent="0.25">
      <c r="D13582" s="4"/>
      <c r="H13582" s="4"/>
    </row>
    <row r="13583" spans="1:8" ht="15.75" customHeight="1" x14ac:dyDescent="0.25">
      <c r="D13583" s="4"/>
      <c r="H13583" s="4"/>
    </row>
    <row r="13584" spans="1:8" ht="15.75" customHeight="1" x14ac:dyDescent="0.25">
      <c r="D13584" s="4"/>
      <c r="H13584" s="4"/>
    </row>
    <row r="13585" spans="1:8" ht="15.75" customHeight="1" x14ac:dyDescent="0.25">
      <c r="D13585" s="4"/>
      <c r="H13585" s="4"/>
    </row>
    <row r="13586" spans="1:8" ht="15.75" customHeight="1" x14ac:dyDescent="0.25">
      <c r="D13586" s="4"/>
      <c r="H13586" s="4"/>
    </row>
    <row r="13587" spans="1:8" ht="15.75" customHeight="1" x14ac:dyDescent="0.25">
      <c r="D13587" s="4"/>
      <c r="H13587" s="4"/>
    </row>
    <row r="13588" spans="1:8" ht="15.75" customHeight="1" x14ac:dyDescent="0.25">
      <c r="A13588" s="8" t="s">
        <v>14</v>
      </c>
      <c r="B13588" s="8"/>
      <c r="C13588" s="8"/>
      <c r="D13588" s="8"/>
      <c r="E13588" s="8"/>
      <c r="F13588" s="8"/>
      <c r="G13588" s="8"/>
      <c r="H13588" s="8"/>
    </row>
    <row r="13589" spans="1:8" ht="15.75" customHeight="1" x14ac:dyDescent="0.25">
      <c r="A13589" s="388"/>
      <c r="B13589" s="388"/>
      <c r="C13589" s="388"/>
      <c r="D13589" s="389"/>
      <c r="E13589" s="388"/>
      <c r="F13589" s="388"/>
      <c r="G13589" s="388"/>
      <c r="H13589" s="8"/>
    </row>
    <row r="13590" spans="1:8" ht="15.75" customHeight="1" x14ac:dyDescent="0.25">
      <c r="A13590" s="390"/>
      <c r="B13590" s="390"/>
      <c r="C13590" s="390"/>
      <c r="D13590" s="391"/>
      <c r="E13590" s="390"/>
      <c r="F13590" s="395" t="s">
        <v>18</v>
      </c>
      <c r="G13590" s="396" t="s">
        <v>520</v>
      </c>
      <c r="H13590" s="397"/>
    </row>
    <row r="13591" spans="1:8" ht="15.75" customHeight="1" x14ac:dyDescent="0.25">
      <c r="A13591" s="390" t="s">
        <v>20</v>
      </c>
      <c r="B13591" s="390"/>
      <c r="D13591" s="391"/>
      <c r="E13591" s="390"/>
      <c r="F13591" s="395" t="s">
        <v>21</v>
      </c>
      <c r="G13591" s="390" t="s">
        <v>1564</v>
      </c>
      <c r="H13591" s="391"/>
    </row>
    <row r="13592" spans="1:8" ht="15.75" customHeight="1" x14ac:dyDescent="0.25">
      <c r="A13592" s="390" t="inlineStr">
        <is>
          <t>Dealer-002</t>
        </is>
      </c>
      <c r="B13592" s="390"/>
      <c r="C13592" s="390"/>
      <c r="D13592" s="398"/>
      <c r="E13592" s="390"/>
      <c r="F13592" s="391"/>
      <c r="G13592" s="390"/>
      <c r="H13592" s="394"/>
    </row>
    <row r="13593" spans="1:8" ht="15.75" customHeight="1" x14ac:dyDescent="0.25">
      <c r="A13593" s="390" t="inlineStr">
        <is>
          <t>Address line (redacted)</t>
        </is>
      </c>
      <c r="B13593" s="390"/>
      <c r="C13593" s="390"/>
      <c r="D13593" s="398"/>
      <c r="E13593" s="390"/>
      <c r="F13593" s="391"/>
      <c r="G13593" s="390"/>
      <c r="H13593" s="394"/>
    </row>
    <row r="13594" spans="1:8" ht="15.75" customHeight="1" x14ac:dyDescent="0.25">
      <c r="A13594" s="390" t="inlineStr">
        <is>
          <t>Address line (redacted)</t>
        </is>
      </c>
      <c r="B13594" s="390"/>
      <c r="C13594" s="390"/>
      <c r="D13594" s="391"/>
      <c r="E13594" s="390"/>
      <c r="F13594" s="391"/>
      <c r="G13594" s="390"/>
      <c r="H13594" s="394"/>
    </row>
    <row r="13595" spans="1:8" ht="15.75" customHeight="1" x14ac:dyDescent="0.25">
      <c r="A13595" s="390"/>
      <c r="B13595" s="390"/>
      <c r="C13595" s="390"/>
      <c r="D13595" s="391"/>
      <c r="E13595" s="390"/>
      <c r="F13595" s="391"/>
      <c r="G13595" s="390"/>
      <c r="H13595" s="394"/>
    </row>
    <row r="13596" spans="1:8" ht="15.75" customHeight="1" x14ac:dyDescent="0.25">
      <c r="A13596" s="390" t="s">
        <v>30</v>
      </c>
      <c r="B13596" s="390"/>
      <c r="C13596" s="390"/>
      <c r="D13596" s="391"/>
      <c r="E13596" s="390"/>
      <c r="F13596" s="391"/>
      <c r="G13596" s="390"/>
      <c r="H13596" s="394"/>
    </row>
    <row r="13597" spans="1:8" ht="15.75" customHeight="1" x14ac:dyDescent="0.25">
      <c r="A13597" s="390" t="s">
        <v>716</v>
      </c>
      <c r="B13597" s="390"/>
      <c r="C13597" s="390"/>
      <c r="D13597" s="391"/>
      <c r="E13597" s="390"/>
      <c r="F13597" s="391"/>
      <c r="G13597" s="390"/>
      <c r="H13597" s="394"/>
    </row>
    <row r="13598" spans="1:8" ht="15.75" customHeight="1" x14ac:dyDescent="0.25">
      <c r="A13598" s="390" t="s">
        <v>717</v>
      </c>
      <c r="B13598" s="390"/>
      <c r="C13598" s="390"/>
      <c r="D13598" s="391"/>
      <c r="E13598" s="390"/>
      <c r="F13598" s="391"/>
      <c r="G13598" s="390"/>
      <c r="H13598" s="394"/>
    </row>
    <row r="13599" spans="1:8" ht="15.75" customHeight="1" x14ac:dyDescent="0.25">
      <c r="A13599" s="390"/>
      <c r="B13599" s="390"/>
      <c r="C13599" s="390"/>
      <c r="D13599" s="391"/>
      <c r="E13599" s="390"/>
      <c r="F13599" s="391"/>
      <c r="G13599" s="390"/>
      <c r="H13599" s="394"/>
    </row>
    <row r="13600" spans="1:8" ht="15.75" customHeight="1" x14ac:dyDescent="0.25">
      <c r="A13600" s="948" t="s">
        <v>33</v>
      </c>
      <c r="B13600" s="872" t="s">
        <v>6</v>
      </c>
      <c r="C13600" s="872"/>
      <c r="D13600" s="874" t="s">
        <v>37</v>
      </c>
      <c r="E13600" s="874" t="s">
        <v>38</v>
      </c>
      <c r="F13600" s="875" t="s">
        <v>7</v>
      </c>
      <c r="G13600" s="872" t="s">
        <v>43</v>
      </c>
      <c r="H13600" s="876" t="s">
        <v>44</v>
      </c>
    </row>
    <row r="13601" spans="1:9" ht="15.75" customHeight="1" x14ac:dyDescent="0.3">
      <c r="A13601" s="412"/>
      <c r="B13601" s="1033"/>
      <c r="C13601" s="1033"/>
      <c r="D13601" s="879"/>
      <c r="E13601" s="879"/>
      <c r="F13601" s="415"/>
      <c r="G13601" s="415"/>
      <c r="H13601" s="416"/>
    </row>
    <row r="13602" spans="1:9" ht="15.75" customHeight="1" x14ac:dyDescent="0.25">
      <c r="A13602" s="412"/>
      <c r="B13602" s="953" t="s">
        <v>1239</v>
      </c>
      <c r="C13602" s="953"/>
      <c r="D13602" s="415"/>
      <c r="E13602" s="415"/>
      <c r="F13602" s="415"/>
      <c r="G13602" s="415"/>
      <c r="H13602" s="416"/>
      <c r="I13602" s="2">
        <f t="shared" ref="I13602:I13611" si="507">+G13603*F13603</f>
      </c>
    </row>
    <row r="13603" spans="1:9" ht="15.75" customHeight="1" x14ac:dyDescent="0.25">
      <c r="A13603" s="412">
        <v>1</v>
      </c>
      <c r="B13603" s="1094" t="s">
        <v>56</v>
      </c>
      <c r="C13603" s="1095" t="s">
        <v>57</v>
      </c>
      <c r="D13603" s="588">
        <v>8</v>
      </c>
      <c r="E13603" s="588">
        <v>25</v>
      </c>
      <c r="F13603" s="415">
        <f t="shared" ref="F13603:F13610" si="508">+E13603*D13603</f>
      </c>
      <c r="G13603" s="415">
        <v>1</v>
      </c>
      <c r="H13603" s="416">
        <f t="shared" ref="H13603:H13610" si="509">+G13603*F13603</f>
      </c>
      <c r="I13603" s="2">
        <f t="shared" si="507"/>
      </c>
    </row>
    <row r="13604" spans="1:9" ht="15.75" customHeight="1" x14ac:dyDescent="0.25">
      <c r="A13604" s="412">
        <v>2</v>
      </c>
      <c r="B13604" s="1094" t="s">
        <v>1477</v>
      </c>
      <c r="C13604" s="1095" t="s">
        <v>61</v>
      </c>
      <c r="D13604" s="415">
        <v>8</v>
      </c>
      <c r="E13604" s="415">
        <v>25</v>
      </c>
      <c r="F13604" s="415">
        <f t="shared" si="508"/>
      </c>
      <c r="G13604" s="415">
        <v>1</v>
      </c>
      <c r="H13604" s="416">
        <f t="shared" si="509"/>
      </c>
      <c r="I13604" s="2">
        <f t="shared" si="507"/>
      </c>
    </row>
    <row r="13605" spans="1:9" ht="15.75" customHeight="1" x14ac:dyDescent="0.25">
      <c r="A13605" s="412">
        <v>3</v>
      </c>
      <c r="B13605" s="1094" t="s">
        <v>68</v>
      </c>
      <c r="C13605" s="1095" t="s">
        <v>69</v>
      </c>
      <c r="D13605" s="415">
        <f>250/25</f>
      </c>
      <c r="E13605" s="415">
        <v>25</v>
      </c>
      <c r="F13605" s="415">
        <f t="shared" si="508"/>
      </c>
      <c r="G13605" s="415">
        <v>1</v>
      </c>
      <c r="H13605" s="416">
        <f t="shared" si="509"/>
      </c>
      <c r="I13605" s="2">
        <f t="shared" si="507"/>
      </c>
    </row>
    <row r="13606" spans="1:9" ht="15.75" customHeight="1" x14ac:dyDescent="0.25">
      <c r="A13606" s="412">
        <v>4</v>
      </c>
      <c r="B13606" s="1094" t="s">
        <v>2152</v>
      </c>
      <c r="C13606" s="1095" t="s">
        <v>109</v>
      </c>
      <c r="D13606" s="415">
        <f>300/25</f>
      </c>
      <c r="E13606" s="415">
        <v>25</v>
      </c>
      <c r="F13606" s="415">
        <f t="shared" si="508"/>
      </c>
      <c r="G13606" s="415">
        <v>1</v>
      </c>
      <c r="H13606" s="416">
        <f t="shared" si="509"/>
      </c>
      <c r="I13606" s="2">
        <f t="shared" si="507"/>
      </c>
    </row>
    <row r="13607" spans="1:9" ht="15.75" customHeight="1" x14ac:dyDescent="0.25">
      <c r="A13607" s="412">
        <v>5</v>
      </c>
      <c r="B13607" s="1094" t="s">
        <v>2153</v>
      </c>
      <c r="C13607" s="1095" t="s">
        <v>425</v>
      </c>
      <c r="D13607" s="415">
        <v>4</v>
      </c>
      <c r="E13607" s="415">
        <v>25</v>
      </c>
      <c r="F13607" s="415">
        <f t="shared" si="508"/>
      </c>
      <c r="G13607" s="415">
        <v>1</v>
      </c>
      <c r="H13607" s="416">
        <f t="shared" si="509"/>
      </c>
      <c r="I13607" s="2">
        <f t="shared" si="507"/>
      </c>
    </row>
    <row r="13608" spans="1:9" ht="15.75" customHeight="1" x14ac:dyDescent="0.25">
      <c r="A13608" s="412">
        <v>6</v>
      </c>
      <c r="B13608" s="1094" t="s">
        <v>1131</v>
      </c>
      <c r="C13608" s="1095" t="s">
        <v>426</v>
      </c>
      <c r="D13608" s="415">
        <v>2</v>
      </c>
      <c r="E13608" s="415">
        <v>25</v>
      </c>
      <c r="F13608" s="415">
        <f t="shared" si="508"/>
      </c>
      <c r="G13608" s="415">
        <v>1</v>
      </c>
      <c r="H13608" s="416">
        <f t="shared" si="509"/>
      </c>
      <c r="I13608" s="2">
        <f t="shared" si="507"/>
      </c>
    </row>
    <row r="13609" spans="1:9" ht="15.75" customHeight="1" x14ac:dyDescent="0.25">
      <c r="A13609" s="412">
        <v>7</v>
      </c>
      <c r="B13609" s="1094" t="s">
        <v>138</v>
      </c>
      <c r="C13609" s="1095" t="s">
        <v>431</v>
      </c>
      <c r="D13609" s="415">
        <v>1</v>
      </c>
      <c r="E13609" s="415">
        <v>25</v>
      </c>
      <c r="F13609" s="415">
        <f t="shared" si="508"/>
      </c>
      <c r="G13609" s="415">
        <v>1</v>
      </c>
      <c r="H13609" s="416">
        <f t="shared" si="509"/>
      </c>
      <c r="I13609" s="2">
        <f t="shared" si="507"/>
      </c>
    </row>
    <row r="13610" spans="1:9" ht="15.75" customHeight="1" x14ac:dyDescent="0.25">
      <c r="A13610" s="412">
        <v>8</v>
      </c>
      <c r="B13610" s="1094" t="s">
        <v>190</v>
      </c>
      <c r="C13610" s="1095" t="s">
        <v>423</v>
      </c>
      <c r="D13610" s="415">
        <v>1</v>
      </c>
      <c r="E13610" s="415">
        <v>25</v>
      </c>
      <c r="F13610" s="415">
        <f t="shared" si="508"/>
      </c>
      <c r="G13610" s="415">
        <v>1</v>
      </c>
      <c r="H13610" s="416">
        <f t="shared" si="509"/>
      </c>
      <c r="I13610" s="2">
        <f t="shared" si="507"/>
      </c>
    </row>
    <row r="13611" spans="1:9" ht="15.75" customHeight="1" x14ac:dyDescent="0.25">
      <c r="A13611" s="412"/>
      <c r="B13611" s="953" t="s">
        <v>590</v>
      </c>
      <c r="C13611" s="953"/>
      <c r="D13611" s="981"/>
      <c r="E13611" s="981"/>
      <c r="F13611" s="415"/>
      <c r="G13611" s="415"/>
      <c r="H13611" s="416"/>
      <c r="I13611" s="2">
        <f t="shared" si="507"/>
      </c>
    </row>
    <row r="13612" spans="1:9" ht="15.75" customHeight="1" x14ac:dyDescent="0.25">
      <c r="A13612" s="412">
        <v>9</v>
      </c>
      <c r="B13612" s="1116" t="s">
        <v>187</v>
      </c>
      <c r="C13612" s="1117" t="s">
        <v>187</v>
      </c>
      <c r="D13612" s="929">
        <v>27</v>
      </c>
      <c r="E13612" s="981">
        <v>8</v>
      </c>
      <c r="F13612" s="415">
        <v>207</v>
      </c>
      <c r="G13612" s="415">
        <v>1</v>
      </c>
      <c r="H13612" s="416">
        <f>+G13612*F13612</f>
      </c>
    </row>
    <row r="13613" spans="1:9" ht="15.75" customHeight="1" x14ac:dyDescent="0.25">
      <c r="A13613" s="412">
        <v>10</v>
      </c>
      <c r="B13613" s="1116" t="s">
        <v>187</v>
      </c>
      <c r="C13613" s="1117" t="s">
        <v>187</v>
      </c>
      <c r="D13613" s="930"/>
      <c r="E13613" s="981"/>
      <c r="F13613" s="415">
        <v>9</v>
      </c>
      <c r="G13613" s="619" t="s">
        <v>1856</v>
      </c>
      <c r="H13613" s="416"/>
      <c r="I13613" s="2">
        <f>+G13614*F13614</f>
      </c>
    </row>
    <row r="13614" spans="1:9" ht="15.75" customHeight="1" x14ac:dyDescent="0.25">
      <c r="A13614" s="412">
        <v>11</v>
      </c>
      <c r="B13614" s="1116" t="s">
        <v>56</v>
      </c>
      <c r="C13614" s="1117" t="s">
        <v>368</v>
      </c>
      <c r="D13614" s="981">
        <v>8</v>
      </c>
      <c r="E13614" s="981">
        <v>6</v>
      </c>
      <c r="F13614" s="415">
        <v>46</v>
      </c>
      <c r="G13614" s="415">
        <v>1</v>
      </c>
      <c r="H13614" s="416">
        <f>+G13614*F13614</f>
      </c>
    </row>
    <row r="13615" spans="1:9" ht="15.75" customHeight="1" x14ac:dyDescent="0.25">
      <c r="A13615" s="412">
        <v>12</v>
      </c>
      <c r="B13615" s="1116" t="s">
        <v>56</v>
      </c>
      <c r="C13615" s="1117" t="s">
        <v>368</v>
      </c>
      <c r="D13615" s="981"/>
      <c r="E13615" s="981"/>
      <c r="F13615" s="415">
        <v>2</v>
      </c>
      <c r="G13615" s="619" t="s">
        <v>1856</v>
      </c>
      <c r="H13615" s="416"/>
      <c r="I13615" s="2">
        <f t="shared" ref="I13615:I13618" si="510">+G13616*F13616</f>
      </c>
    </row>
    <row r="13616" spans="1:9" ht="15.75" customHeight="1" x14ac:dyDescent="0.25">
      <c r="A13616" s="412">
        <v>13</v>
      </c>
      <c r="B13616" s="1116" t="s">
        <v>56</v>
      </c>
      <c r="C13616" s="1117" t="s">
        <v>593</v>
      </c>
      <c r="D13616" s="415">
        <v>2</v>
      </c>
      <c r="E13616" s="415">
        <v>6</v>
      </c>
      <c r="F13616" s="415">
        <f t="shared" ref="F13616:F13618" si="511">+E13616*D13616</f>
      </c>
      <c r="G13616" s="415">
        <v>1</v>
      </c>
      <c r="H13616" s="416">
        <f t="shared" ref="H13616:H13619" si="512">+G13616*F13616</f>
      </c>
      <c r="I13616" s="2">
        <f t="shared" si="510"/>
      </c>
    </row>
    <row r="13617" spans="1:9" ht="15.75" customHeight="1" x14ac:dyDescent="0.25">
      <c r="A13617" s="412">
        <v>14</v>
      </c>
      <c r="B13617" s="1116" t="s">
        <v>1298</v>
      </c>
      <c r="C13617" s="1117" t="s">
        <v>393</v>
      </c>
      <c r="D13617" s="981">
        <v>1</v>
      </c>
      <c r="E13617" s="981">
        <v>6</v>
      </c>
      <c r="F13617" s="415">
        <f t="shared" si="511"/>
      </c>
      <c r="G13617" s="415">
        <v>1</v>
      </c>
      <c r="H13617" s="416">
        <f t="shared" si="512"/>
      </c>
      <c r="I13617" s="2">
        <f t="shared" si="510"/>
      </c>
    </row>
    <row r="13618" spans="1:9" ht="15.75" customHeight="1" x14ac:dyDescent="0.25">
      <c r="A13618" s="412">
        <v>15</v>
      </c>
      <c r="B13618" s="1116" t="s">
        <v>146</v>
      </c>
      <c r="C13618" s="1117" t="s">
        <v>380</v>
      </c>
      <c r="D13618" s="981">
        <v>2</v>
      </c>
      <c r="E13618" s="981">
        <v>6</v>
      </c>
      <c r="F13618" s="415">
        <f t="shared" si="511"/>
      </c>
      <c r="G13618" s="415">
        <v>1</v>
      </c>
      <c r="H13618" s="416">
        <f t="shared" si="512"/>
      </c>
      <c r="I13618" s="2">
        <f t="shared" si="510"/>
      </c>
    </row>
    <row r="13619" spans="1:9" ht="15.75" customHeight="1" x14ac:dyDescent="0.25">
      <c r="A13619" s="412">
        <v>16</v>
      </c>
      <c r="B13619" s="1116" t="s">
        <v>15</v>
      </c>
      <c r="C13619" s="1117" t="s">
        <v>388</v>
      </c>
      <c r="D13619" s="929">
        <v>4</v>
      </c>
      <c r="E13619" s="929">
        <v>6</v>
      </c>
      <c r="F13619" s="415">
        <v>23</v>
      </c>
      <c r="G13619" s="415">
        <v>1</v>
      </c>
      <c r="H13619" s="416">
        <f t="shared" si="512"/>
      </c>
    </row>
    <row r="13620" spans="1:9" ht="15.75" customHeight="1" x14ac:dyDescent="0.25">
      <c r="A13620" s="412">
        <v>17</v>
      </c>
      <c r="B13620" s="1116" t="s">
        <v>15</v>
      </c>
      <c r="C13620" s="1117" t="s">
        <v>388</v>
      </c>
      <c r="D13620" s="930"/>
      <c r="E13620" s="930"/>
      <c r="F13620" s="415">
        <v>1</v>
      </c>
      <c r="G13620" s="619" t="s">
        <v>1856</v>
      </c>
      <c r="H13620" s="416"/>
      <c r="I13620" s="2">
        <f t="shared" ref="I13620:I13622" si="513">+G13621*F13621</f>
      </c>
    </row>
    <row r="13621" spans="1:9" ht="15.75" customHeight="1" x14ac:dyDescent="0.25">
      <c r="A13621" s="412">
        <v>18</v>
      </c>
      <c r="B13621" s="1116" t="s">
        <v>105</v>
      </c>
      <c r="C13621" s="1117" t="s">
        <v>2154</v>
      </c>
      <c r="D13621" s="981">
        <v>2</v>
      </c>
      <c r="E13621" s="981">
        <v>6</v>
      </c>
      <c r="F13621" s="415">
        <f t="shared" ref="F13621:F13622" si="514">+E13621*D13621</f>
      </c>
      <c r="G13621" s="415">
        <v>1</v>
      </c>
      <c r="H13621" s="416">
        <f t="shared" ref="H13621:H13623" si="515">+G13621*F13621</f>
      </c>
      <c r="I13621" s="2">
        <f t="shared" si="513"/>
      </c>
    </row>
    <row r="13622" spans="1:9" ht="15.75" customHeight="1" x14ac:dyDescent="0.25">
      <c r="A13622" s="412">
        <v>19</v>
      </c>
      <c r="B13622" s="1118" t="s">
        <v>127</v>
      </c>
      <c r="C13622" s="993" t="s">
        <v>398</v>
      </c>
      <c r="D13622" s="981">
        <v>2</v>
      </c>
      <c r="E13622" s="981">
        <v>6</v>
      </c>
      <c r="F13622" s="415">
        <f t="shared" si="514"/>
      </c>
      <c r="G13622" s="415">
        <v>1</v>
      </c>
      <c r="H13622" s="416">
        <f t="shared" si="515"/>
      </c>
      <c r="I13622" s="2">
        <f t="shared" si="513"/>
      </c>
    </row>
    <row r="13623" spans="1:9" ht="15.75" customHeight="1" x14ac:dyDescent="0.25">
      <c r="A13623" s="412">
        <v>20</v>
      </c>
      <c r="B13623" s="1118" t="s">
        <v>287</v>
      </c>
      <c r="C13623" s="993" t="s">
        <v>400</v>
      </c>
      <c r="D13623" s="929">
        <v>4</v>
      </c>
      <c r="E13623" s="929">
        <v>6</v>
      </c>
      <c r="F13623" s="415">
        <v>23</v>
      </c>
      <c r="G13623" s="415">
        <v>1</v>
      </c>
      <c r="H13623" s="416">
        <f t="shared" si="515"/>
      </c>
    </row>
    <row r="13624" spans="1:9" ht="15.75" customHeight="1" x14ac:dyDescent="0.25">
      <c r="A13624" s="412">
        <v>21</v>
      </c>
      <c r="B13624" s="1118" t="s">
        <v>287</v>
      </c>
      <c r="C13624" s="993" t="s">
        <v>400</v>
      </c>
      <c r="D13624" s="930"/>
      <c r="E13624" s="930"/>
      <c r="F13624" s="415">
        <v>1</v>
      </c>
      <c r="G13624" s="619" t="s">
        <v>1856</v>
      </c>
      <c r="H13624" s="416"/>
      <c r="I13624" s="2">
        <f t="shared" ref="I13624:I13627" si="516">+G13625*F13625</f>
      </c>
    </row>
    <row r="13625" spans="1:9" ht="15.75" customHeight="1" x14ac:dyDescent="0.25">
      <c r="A13625" s="412">
        <v>22</v>
      </c>
      <c r="B13625" s="1118" t="s">
        <v>80</v>
      </c>
      <c r="C13625" s="993" t="s">
        <v>386</v>
      </c>
      <c r="D13625" s="981">
        <v>3</v>
      </c>
      <c r="E13625" s="981">
        <v>5</v>
      </c>
      <c r="F13625" s="415">
        <f>+E13625*D13625</f>
      </c>
      <c r="G13625" s="415">
        <v>1</v>
      </c>
      <c r="H13625" s="416">
        <f>+G13625*F13625</f>
      </c>
      <c r="I13625" s="2">
        <f t="shared" si="516"/>
      </c>
    </row>
    <row r="13626" spans="1:9" ht="15.75" customHeight="1" x14ac:dyDescent="0.25">
      <c r="A13626" s="412"/>
      <c r="B13626" s="953" t="s">
        <v>2357</v>
      </c>
      <c r="C13626" s="953"/>
      <c r="D13626" s="981"/>
      <c r="E13626" s="981"/>
      <c r="F13626" s="415"/>
      <c r="G13626" s="415"/>
      <c r="H13626" s="416"/>
      <c r="I13626" s="2">
        <f t="shared" si="516"/>
      </c>
    </row>
    <row r="13627" spans="1:9" ht="15.75" customHeight="1" x14ac:dyDescent="0.25">
      <c r="A13627" s="412">
        <v>23</v>
      </c>
      <c r="B13627" s="1118">
        <v>507</v>
      </c>
      <c r="C13627" s="993" t="s">
        <v>1815</v>
      </c>
      <c r="D13627" s="981">
        <v>1</v>
      </c>
      <c r="E13627" s="981">
        <v>300</v>
      </c>
      <c r="F13627" s="415">
        <f>+E13627*D13627</f>
      </c>
      <c r="G13627" s="415">
        <v>1</v>
      </c>
      <c r="H13627" s="416">
        <f t="shared" ref="H13627:H13628" si="517">+G13627*F13627</f>
      </c>
      <c r="I13627" s="2">
        <f t="shared" si="516"/>
      </c>
    </row>
    <row r="13628" spans="1:9" ht="15.75" customHeight="1" x14ac:dyDescent="0.25">
      <c r="A13628" s="412">
        <v>24</v>
      </c>
      <c r="B13628" s="1118">
        <v>508</v>
      </c>
      <c r="C13628" s="993" t="s">
        <v>1815</v>
      </c>
      <c r="D13628" s="981"/>
      <c r="E13628" s="981">
        <v>150</v>
      </c>
      <c r="F13628" s="415">
        <f>+E13628*D13627</f>
      </c>
      <c r="G13628" s="415">
        <v>1</v>
      </c>
      <c r="H13628" s="416">
        <f t="shared" si="517"/>
      </c>
    </row>
    <row r="13629" spans="1:9" ht="15.75" customHeight="1" x14ac:dyDescent="0.25">
      <c r="A13629" s="412">
        <v>25</v>
      </c>
      <c r="B13629" s="1118">
        <v>508</v>
      </c>
      <c r="C13629" s="993" t="s">
        <v>1815</v>
      </c>
      <c r="D13629" s="981"/>
      <c r="E13629" s="981">
        <v>50</v>
      </c>
      <c r="F13629" s="415">
        <f>+E13629*D13627</f>
      </c>
      <c r="G13629" s="619" t="s">
        <v>1856</v>
      </c>
      <c r="H13629" s="416"/>
      <c r="I13629" s="2">
        <f>+G13630*F13630</f>
      </c>
    </row>
    <row r="13630" spans="1:9" ht="15.75" customHeight="1" x14ac:dyDescent="0.25">
      <c r="A13630" s="412">
        <v>26</v>
      </c>
      <c r="B13630" s="1118" t="s">
        <v>1514</v>
      </c>
      <c r="C13630" s="993"/>
      <c r="D13630" s="981">
        <v>1</v>
      </c>
      <c r="E13630" s="981">
        <v>100</v>
      </c>
      <c r="F13630" s="415">
        <v>95</v>
      </c>
      <c r="G13630" s="415">
        <v>1</v>
      </c>
      <c r="H13630" s="416">
        <f>+G13630*F13630</f>
      </c>
    </row>
    <row r="13631" spans="1:9" ht="15.75" customHeight="1" x14ac:dyDescent="0.25">
      <c r="A13631" s="412">
        <v>27</v>
      </c>
      <c r="B13631" s="1118" t="s">
        <v>1514</v>
      </c>
      <c r="C13631" s="993"/>
      <c r="D13631" s="981"/>
      <c r="E13631" s="981"/>
      <c r="F13631" s="415">
        <v>5</v>
      </c>
      <c r="G13631" s="619" t="s">
        <v>1856</v>
      </c>
      <c r="H13631" s="416"/>
    </row>
    <row r="13632" spans="1:9" ht="15.75" customHeight="1" x14ac:dyDescent="0.25">
      <c r="A13632" s="412"/>
      <c r="B13632" s="1118"/>
      <c r="C13632" s="883" t="s">
        <v>2358</v>
      </c>
      <c r="D13632" s="981"/>
      <c r="E13632" s="981"/>
      <c r="F13632" s="415"/>
      <c r="G13632" s="415"/>
      <c r="H13632" s="416"/>
    </row>
    <row r="13633" spans="1:9" ht="15.75" customHeight="1" x14ac:dyDescent="0.25">
      <c r="A13633" s="880"/>
      <c r="B13633" s="1119"/>
      <c r="C13633" s="1120"/>
      <c r="D13633" s="1121"/>
      <c r="E13633" s="1121"/>
      <c r="F13633" s="892"/>
      <c r="G13633" s="892"/>
      <c r="H13633" s="893"/>
    </row>
    <row r="13634" spans="1:9" ht="15.75" customHeight="1" x14ac:dyDescent="0.25">
      <c r="A13634" s="8" t="s">
        <v>14</v>
      </c>
      <c r="B13634" s="8"/>
      <c r="C13634" s="8"/>
      <c r="D13634" s="8"/>
      <c r="E13634" s="8"/>
      <c r="F13634" s="8"/>
      <c r="G13634" s="8"/>
      <c r="H13634" s="8"/>
    </row>
    <row r="13635" spans="1:9" ht="15.75" customHeight="1" x14ac:dyDescent="0.25">
      <c r="A13635" s="388"/>
      <c r="B13635" s="388"/>
      <c r="C13635" s="388"/>
      <c r="D13635" s="389"/>
      <c r="E13635" s="388"/>
      <c r="F13635" s="388"/>
      <c r="G13635" s="388"/>
      <c r="H13635" s="8"/>
    </row>
    <row r="13636" spans="1:9" ht="15.75" customHeight="1" x14ac:dyDescent="0.25">
      <c r="A13636" s="390"/>
      <c r="B13636" s="390"/>
      <c r="C13636" s="390"/>
      <c r="D13636" s="391"/>
      <c r="E13636" s="390"/>
      <c r="F13636" s="395" t="s">
        <v>18</v>
      </c>
      <c r="G13636" s="396" t="s">
        <v>520</v>
      </c>
      <c r="H13636" s="397"/>
    </row>
    <row r="13637" spans="1:9" ht="15.75" customHeight="1" x14ac:dyDescent="0.25">
      <c r="A13637" s="390" t="s">
        <v>20</v>
      </c>
      <c r="B13637" s="390"/>
      <c r="D13637" s="391"/>
      <c r="E13637" s="390"/>
      <c r="F13637" s="395" t="s">
        <v>21</v>
      </c>
      <c r="G13637" s="390" t="s">
        <v>1564</v>
      </c>
      <c r="H13637" s="391"/>
    </row>
    <row r="13638" spans="1:9" ht="15.75" customHeight="1" x14ac:dyDescent="0.25">
      <c r="A13638" s="390" t="inlineStr">
        <is>
          <t>Dealer-002</t>
        </is>
      </c>
      <c r="B13638" s="390"/>
      <c r="C13638" s="883" t="s">
        <v>1287</v>
      </c>
      <c r="D13638" s="398"/>
      <c r="E13638" s="390"/>
      <c r="F13638" s="391"/>
      <c r="G13638" s="390"/>
      <c r="H13638" s="394"/>
    </row>
    <row r="13639" spans="1:9" ht="15.75" customHeight="1" x14ac:dyDescent="0.25">
      <c r="A13639" s="390" t="inlineStr">
        <is>
          <t>Address line (redacted)</t>
        </is>
      </c>
      <c r="B13639" s="390"/>
      <c r="C13639" s="390"/>
      <c r="D13639" s="398"/>
      <c r="E13639" s="390"/>
      <c r="F13639" s="391"/>
      <c r="G13639" s="390"/>
      <c r="H13639" s="394"/>
    </row>
    <row r="13640" spans="1:9" ht="15.75" customHeight="1" x14ac:dyDescent="0.25">
      <c r="A13640" s="390" t="inlineStr">
        <is>
          <t>Address line (redacted)</t>
        </is>
      </c>
      <c r="B13640" s="390"/>
      <c r="C13640" s="390"/>
      <c r="D13640" s="391"/>
      <c r="E13640" s="390"/>
      <c r="F13640" s="391"/>
      <c r="G13640" s="390"/>
      <c r="H13640" s="394"/>
    </row>
    <row r="13641" spans="1:9" ht="15.75" customHeight="1" x14ac:dyDescent="0.25">
      <c r="A13641" s="390"/>
      <c r="B13641" s="390"/>
      <c r="C13641" s="390"/>
      <c r="D13641" s="391"/>
      <c r="E13641" s="390"/>
      <c r="F13641" s="391"/>
      <c r="G13641" s="390"/>
      <c r="H13641" s="394"/>
    </row>
    <row r="13642" spans="1:9" ht="15.75" customHeight="1" x14ac:dyDescent="0.25">
      <c r="A13642" s="390" t="s">
        <v>30</v>
      </c>
      <c r="B13642" s="390"/>
      <c r="C13642" s="390"/>
      <c r="D13642" s="391"/>
      <c r="E13642" s="390"/>
      <c r="F13642" s="391"/>
      <c r="G13642" s="390"/>
      <c r="H13642" s="394"/>
    </row>
    <row r="13643" spans="1:9" ht="15.75" customHeight="1" x14ac:dyDescent="0.25">
      <c r="A13643" s="390" t="s">
        <v>716</v>
      </c>
      <c r="B13643" s="390"/>
      <c r="C13643" s="390"/>
      <c r="D13643" s="391"/>
      <c r="E13643" s="390"/>
      <c r="F13643" s="391"/>
      <c r="G13643" s="390"/>
      <c r="H13643" s="394"/>
    </row>
    <row r="13644" spans="1:9" ht="15.75" customHeight="1" x14ac:dyDescent="0.25">
      <c r="A13644" s="390" t="s">
        <v>717</v>
      </c>
      <c r="B13644" s="390"/>
      <c r="C13644" s="390"/>
      <c r="D13644" s="391"/>
      <c r="E13644" s="390"/>
      <c r="F13644" s="391"/>
      <c r="G13644" s="390"/>
      <c r="H13644" s="394"/>
    </row>
    <row r="13645" spans="1:9" ht="15.75" customHeight="1" x14ac:dyDescent="0.25">
      <c r="A13645" s="390"/>
      <c r="B13645" s="390"/>
      <c r="C13645" s="390"/>
      <c r="D13645" s="391"/>
      <c r="E13645" s="390"/>
      <c r="F13645" s="391"/>
      <c r="G13645" s="390"/>
      <c r="H13645" s="394"/>
    </row>
    <row r="13646" spans="1:9" ht="15.75" customHeight="1" x14ac:dyDescent="0.25">
      <c r="A13646" s="948" t="s">
        <v>33</v>
      </c>
      <c r="B13646" s="872" t="s">
        <v>6</v>
      </c>
      <c r="C13646" s="872"/>
      <c r="D13646" s="874" t="s">
        <v>37</v>
      </c>
      <c r="E13646" s="874" t="s">
        <v>38</v>
      </c>
      <c r="F13646" s="875" t="s">
        <v>7</v>
      </c>
      <c r="G13646" s="872" t="s">
        <v>43</v>
      </c>
      <c r="H13646" s="876" t="s">
        <v>44</v>
      </c>
      <c r="I13646" s="2">
        <f t="shared" ref="I13646:I13648" si="518">+G13647*F13647</f>
      </c>
    </row>
    <row r="13647" spans="1:9" ht="15.75" customHeight="1" x14ac:dyDescent="0.25">
      <c r="A13647" s="412"/>
      <c r="B13647" s="1118"/>
      <c r="C13647" s="993"/>
      <c r="D13647" s="981"/>
      <c r="E13647" s="981"/>
      <c r="F13647" s="415"/>
      <c r="G13647" s="415"/>
      <c r="H13647" s="416"/>
      <c r="I13647" s="2">
        <f t="shared" si="518"/>
      </c>
    </row>
    <row r="13648" spans="1:9" ht="15.75" customHeight="1" x14ac:dyDescent="0.25">
      <c r="A13648" s="412"/>
      <c r="B13648" s="953" t="s">
        <v>2357</v>
      </c>
      <c r="C13648" s="953"/>
      <c r="D13648" s="981"/>
      <c r="E13648" s="981"/>
      <c r="F13648" s="415"/>
      <c r="G13648" s="415"/>
      <c r="H13648" s="416"/>
      <c r="I13648" s="2">
        <f t="shared" si="518"/>
      </c>
    </row>
    <row r="13649" spans="1:9" ht="15.75" customHeight="1" x14ac:dyDescent="0.25">
      <c r="A13649" s="412">
        <v>28</v>
      </c>
      <c r="B13649" s="1118" t="s">
        <v>1833</v>
      </c>
      <c r="C13649" s="993" t="s">
        <v>445</v>
      </c>
      <c r="D13649" s="981">
        <v>1</v>
      </c>
      <c r="E13649" s="981">
        <v>500</v>
      </c>
      <c r="F13649" s="415">
        <v>450</v>
      </c>
      <c r="G13649" s="415">
        <v>1</v>
      </c>
      <c r="H13649" s="416">
        <f>+G13649*F13649</f>
      </c>
    </row>
    <row r="13650" spans="1:9" ht="15.75" customHeight="1" x14ac:dyDescent="0.25">
      <c r="A13650" s="412">
        <v>29</v>
      </c>
      <c r="B13650" s="1118" t="s">
        <v>1833</v>
      </c>
      <c r="C13650" s="993" t="s">
        <v>445</v>
      </c>
      <c r="D13650" s="981"/>
      <c r="E13650" s="981"/>
      <c r="F13650" s="415">
        <v>50</v>
      </c>
      <c r="G13650" s="619" t="s">
        <v>1856</v>
      </c>
      <c r="H13650" s="416"/>
      <c r="I13650" s="2">
        <f>+G13651*F13651</f>
      </c>
    </row>
    <row r="13651" spans="1:9" ht="15.75" customHeight="1" x14ac:dyDescent="0.25">
      <c r="A13651" s="412">
        <v>30</v>
      </c>
      <c r="B13651" s="1118" t="s">
        <v>287</v>
      </c>
      <c r="C13651" s="993" t="s">
        <v>1176</v>
      </c>
      <c r="D13651" s="981">
        <v>1</v>
      </c>
      <c r="E13651" s="981">
        <v>100</v>
      </c>
      <c r="F13651" s="415">
        <v>100</v>
      </c>
      <c r="G13651" s="415">
        <v>1</v>
      </c>
      <c r="H13651" s="416">
        <f>+G13651*F13651</f>
      </c>
    </row>
    <row r="13652" spans="1:9" ht="15.75" customHeight="1" x14ac:dyDescent="0.25">
      <c r="A13652" s="412">
        <v>31</v>
      </c>
      <c r="B13652" s="1118" t="s">
        <v>287</v>
      </c>
      <c r="C13652" s="993" t="s">
        <v>1176</v>
      </c>
      <c r="D13652" s="981"/>
      <c r="E13652" s="981"/>
      <c r="F13652" s="415">
        <v>15</v>
      </c>
      <c r="G13652" s="619" t="s">
        <v>1856</v>
      </c>
      <c r="H13652" s="416"/>
      <c r="I13652" s="2">
        <f t="shared" ref="I13652:I13653" si="519">+G13653*F13653</f>
      </c>
    </row>
    <row r="13653" spans="1:9" ht="15.75" customHeight="1" x14ac:dyDescent="0.25">
      <c r="A13653" s="412">
        <v>32</v>
      </c>
      <c r="B13653" s="1118" t="s">
        <v>2155</v>
      </c>
      <c r="C13653" s="993" t="s">
        <v>448</v>
      </c>
      <c r="D13653" s="981">
        <v>1</v>
      </c>
      <c r="E13653" s="981">
        <v>30</v>
      </c>
      <c r="F13653" s="415">
        <v>30</v>
      </c>
      <c r="G13653" s="415">
        <v>1</v>
      </c>
      <c r="H13653" s="416">
        <f t="shared" ref="H13653:H13654" si="520">+G13653*F13653</f>
      </c>
      <c r="I13653" s="2">
        <f t="shared" si="519"/>
      </c>
    </row>
    <row r="13654" spans="1:9" ht="15.75" customHeight="1" x14ac:dyDescent="0.25">
      <c r="A13654" s="412">
        <v>33</v>
      </c>
      <c r="B13654" s="1118" t="s">
        <v>293</v>
      </c>
      <c r="C13654" s="993" t="s">
        <v>450</v>
      </c>
      <c r="D13654" s="981">
        <v>1</v>
      </c>
      <c r="E13654" s="981">
        <v>435</v>
      </c>
      <c r="F13654" s="415">
        <v>435</v>
      </c>
      <c r="G13654" s="415">
        <v>1</v>
      </c>
      <c r="H13654" s="416">
        <f t="shared" si="520"/>
      </c>
    </row>
    <row r="13655" spans="1:9" ht="15.75" customHeight="1" x14ac:dyDescent="0.25">
      <c r="A13655" s="412">
        <v>34</v>
      </c>
      <c r="B13655" s="1118" t="s">
        <v>293</v>
      </c>
      <c r="C13655" s="993" t="s">
        <v>450</v>
      </c>
      <c r="D13655" s="981"/>
      <c r="E13655" s="981">
        <v>65</v>
      </c>
      <c r="F13655" s="415">
        <v>65</v>
      </c>
      <c r="G13655" s="619" t="s">
        <v>1856</v>
      </c>
      <c r="H13655" s="416"/>
      <c r="I13655" s="2">
        <f t="shared" ref="I13655:I13660" si="521">+G13656*F13656</f>
      </c>
    </row>
    <row r="13656" spans="1:9" ht="15.75" customHeight="1" x14ac:dyDescent="0.25">
      <c r="A13656" s="412">
        <v>35</v>
      </c>
      <c r="B13656" s="1118" t="s">
        <v>2156</v>
      </c>
      <c r="C13656" s="993" t="s">
        <v>446</v>
      </c>
      <c r="D13656" s="981">
        <v>1</v>
      </c>
      <c r="E13656" s="981">
        <v>50</v>
      </c>
      <c r="F13656" s="415">
        <v>50</v>
      </c>
      <c r="G13656" s="415">
        <v>1</v>
      </c>
      <c r="H13656" s="416">
        <f t="shared" ref="H13656:H13659" si="522">+G13656*F13656</f>
      </c>
      <c r="I13656" s="2">
        <f t="shared" si="521"/>
      </c>
    </row>
    <row r="13657" spans="1:9" ht="15.75" customHeight="1" x14ac:dyDescent="0.25">
      <c r="A13657" s="412">
        <v>36</v>
      </c>
      <c r="B13657" s="1118" t="s">
        <v>290</v>
      </c>
      <c r="C13657" s="993" t="s">
        <v>447</v>
      </c>
      <c r="D13657" s="981"/>
      <c r="E13657" s="981">
        <v>20</v>
      </c>
      <c r="F13657" s="415">
        <v>20</v>
      </c>
      <c r="G13657" s="415">
        <v>1</v>
      </c>
      <c r="H13657" s="416">
        <f t="shared" si="522"/>
      </c>
      <c r="I13657" s="2">
        <f t="shared" si="521"/>
      </c>
    </row>
    <row r="13658" spans="1:9" ht="15.75" customHeight="1" x14ac:dyDescent="0.25">
      <c r="A13658" s="412">
        <v>37</v>
      </c>
      <c r="B13658" s="1118" t="s">
        <v>301</v>
      </c>
      <c r="C13658" s="993" t="s">
        <v>458</v>
      </c>
      <c r="D13658" s="981">
        <v>1</v>
      </c>
      <c r="E13658" s="981">
        <v>25</v>
      </c>
      <c r="F13658" s="415">
        <v>25</v>
      </c>
      <c r="G13658" s="415">
        <v>1</v>
      </c>
      <c r="H13658" s="416">
        <f t="shared" si="522"/>
      </c>
      <c r="I13658" s="2">
        <f t="shared" si="521"/>
      </c>
    </row>
    <row r="13659" spans="1:9" ht="15.75" customHeight="1" x14ac:dyDescent="0.25">
      <c r="A13659" s="412">
        <v>38</v>
      </c>
      <c r="B13659" s="1118" t="s">
        <v>297</v>
      </c>
      <c r="C13659" s="993" t="s">
        <v>459</v>
      </c>
      <c r="D13659" s="981"/>
      <c r="E13659" s="981">
        <v>20</v>
      </c>
      <c r="F13659" s="415">
        <v>20</v>
      </c>
      <c r="G13659" s="415">
        <v>1</v>
      </c>
      <c r="H13659" s="416">
        <f t="shared" si="522"/>
      </c>
      <c r="I13659" s="2">
        <f t="shared" si="521"/>
      </c>
    </row>
    <row r="13660" spans="1:9" ht="15.75" customHeight="1" x14ac:dyDescent="0.25">
      <c r="A13660" s="412"/>
      <c r="B13660" s="953" t="s">
        <v>1329</v>
      </c>
      <c r="C13660" s="953"/>
      <c r="D13660" s="981"/>
      <c r="E13660" s="981"/>
      <c r="F13660" s="415"/>
      <c r="G13660" s="415"/>
      <c r="H13660" s="416"/>
      <c r="I13660" s="2">
        <f t="shared" si="521"/>
      </c>
    </row>
    <row r="13661" spans="1:9" ht="15.75" customHeight="1" x14ac:dyDescent="0.25">
      <c r="A13661" s="412">
        <v>39</v>
      </c>
      <c r="B13661" s="1118" t="s">
        <v>2359</v>
      </c>
      <c r="C13661" s="993" t="s">
        <v>5</v>
      </c>
      <c r="D13661" s="981">
        <v>24</v>
      </c>
      <c r="E13661" s="981">
        <v>24</v>
      </c>
      <c r="F13661" s="415">
        <f>+D13661*E13661</f>
      </c>
      <c r="G13661" s="415">
        <v>1</v>
      </c>
      <c r="H13661" s="416">
        <f>+G13661*F13661</f>
      </c>
    </row>
    <row r="13662" spans="1:9" ht="15.75" customHeight="1" x14ac:dyDescent="0.25">
      <c r="A13662" s="412">
        <v>40</v>
      </c>
      <c r="B13662" s="1118" t="s">
        <v>2359</v>
      </c>
      <c r="C13662" s="993" t="s">
        <v>5</v>
      </c>
      <c r="D13662" s="588">
        <v>1</v>
      </c>
      <c r="E13662" s="981"/>
      <c r="F13662" s="415">
        <f>+$E$13661*$D$13662</f>
      </c>
      <c r="G13662" s="619" t="s">
        <v>1856</v>
      </c>
      <c r="H13662" s="416"/>
      <c r="I13662" s="2">
        <f>+G13663*F13663</f>
      </c>
    </row>
    <row r="13663" spans="1:9" ht="15.75" customHeight="1" x14ac:dyDescent="0.25">
      <c r="A13663" s="412">
        <v>41</v>
      </c>
      <c r="B13663" s="1118" t="s">
        <v>2157</v>
      </c>
      <c r="C13663" s="993" t="s">
        <v>12</v>
      </c>
      <c r="D13663" s="981">
        <v>22</v>
      </c>
      <c r="E13663" s="981">
        <v>24</v>
      </c>
      <c r="F13663" s="415">
        <f>+D13663*E13663</f>
      </c>
      <c r="G13663" s="415">
        <v>1</v>
      </c>
      <c r="H13663" s="416">
        <f>+G13663*F13663</f>
      </c>
    </row>
    <row r="13664" spans="1:9" ht="15.75" customHeight="1" x14ac:dyDescent="0.25">
      <c r="A13664" s="412">
        <v>42</v>
      </c>
      <c r="B13664" s="1118" t="s">
        <v>2157</v>
      </c>
      <c r="C13664" s="993" t="s">
        <v>12</v>
      </c>
      <c r="D13664" s="588">
        <v>2</v>
      </c>
      <c r="E13664" s="981"/>
      <c r="F13664" s="415">
        <f>+E13663*D13664</f>
      </c>
      <c r="G13664" s="619" t="s">
        <v>1856</v>
      </c>
      <c r="H13664" s="416"/>
      <c r="I13664" s="2">
        <f>+G13665*F13665</f>
      </c>
    </row>
    <row r="13665" spans="1:9" ht="15.75" customHeight="1" x14ac:dyDescent="0.25">
      <c r="A13665" s="412">
        <v>43</v>
      </c>
      <c r="B13665" s="1118" t="s">
        <v>2359</v>
      </c>
      <c r="C13665" s="993" t="s">
        <v>13</v>
      </c>
      <c r="D13665" s="981">
        <v>4</v>
      </c>
      <c r="E13665" s="981">
        <v>6</v>
      </c>
      <c r="F13665" s="415">
        <v>23</v>
      </c>
      <c r="G13665" s="415">
        <v>1</v>
      </c>
      <c r="H13665" s="416">
        <f>+G13665*F13665</f>
      </c>
    </row>
    <row r="13666" spans="1:9" ht="15.75" customHeight="1" x14ac:dyDescent="0.25">
      <c r="A13666" s="412">
        <v>44</v>
      </c>
      <c r="B13666" s="1118" t="s">
        <v>2359</v>
      </c>
      <c r="C13666" s="993" t="s">
        <v>13</v>
      </c>
      <c r="D13666" s="981"/>
      <c r="E13666" s="981"/>
      <c r="F13666" s="415">
        <v>1</v>
      </c>
      <c r="G13666" s="619" t="s">
        <v>1856</v>
      </c>
      <c r="H13666" s="416"/>
      <c r="I13666" s="2">
        <f>+G13667*F13667</f>
      </c>
    </row>
    <row r="13667" spans="1:9" ht="15.75" customHeight="1" x14ac:dyDescent="0.25">
      <c r="A13667" s="412">
        <v>45</v>
      </c>
      <c r="B13667" s="1118" t="s">
        <v>2158</v>
      </c>
      <c r="C13667" s="993"/>
      <c r="D13667" s="981">
        <v>10</v>
      </c>
      <c r="E13667" s="981">
        <v>10</v>
      </c>
      <c r="F13667" s="415">
        <f>+D13667*E13667</f>
      </c>
      <c r="G13667" s="415">
        <v>1</v>
      </c>
      <c r="H13667" s="416">
        <f>+G13667*F13667</f>
      </c>
    </row>
    <row r="13668" spans="1:9" ht="15.75" customHeight="1" x14ac:dyDescent="0.25">
      <c r="A13668" s="412">
        <v>46</v>
      </c>
      <c r="B13668" s="1118" t="s">
        <v>2158</v>
      </c>
      <c r="C13668" s="993"/>
      <c r="D13668" s="588">
        <v>1</v>
      </c>
      <c r="E13668" s="981"/>
      <c r="F13668" s="415">
        <f>+E13667*D13668</f>
      </c>
      <c r="G13668" s="619" t="s">
        <v>1856</v>
      </c>
      <c r="H13668" s="416"/>
      <c r="I13668" s="2">
        <f t="shared" ref="I13668:I13676" si="523">+G13669*F13669</f>
      </c>
    </row>
    <row r="13669" spans="1:9" ht="15.75" customHeight="1" x14ac:dyDescent="0.25">
      <c r="A13669" s="412">
        <v>47</v>
      </c>
      <c r="B13669" s="1118" t="s">
        <v>2159</v>
      </c>
      <c r="C13669" s="993" t="s">
        <v>1481</v>
      </c>
      <c r="D13669" s="588">
        <v>1</v>
      </c>
      <c r="E13669" s="981">
        <v>50</v>
      </c>
      <c r="F13669" s="415">
        <v>50</v>
      </c>
      <c r="G13669" s="415">
        <v>1</v>
      </c>
      <c r="H13669" s="416">
        <f t="shared" ref="H13669:H13673" si="524">+G13669*F13669</f>
      </c>
      <c r="I13669" s="2">
        <f t="shared" si="523"/>
      </c>
    </row>
    <row r="13670" spans="1:9" ht="15.75" customHeight="1" x14ac:dyDescent="0.25">
      <c r="A13670" s="412">
        <v>48</v>
      </c>
      <c r="B13670" s="1118" t="s">
        <v>2160</v>
      </c>
      <c r="C13670" s="993" t="s">
        <v>1512</v>
      </c>
      <c r="D13670" s="588"/>
      <c r="E13670" s="981">
        <v>25</v>
      </c>
      <c r="F13670" s="415">
        <v>25</v>
      </c>
      <c r="G13670" s="415">
        <v>1</v>
      </c>
      <c r="H13670" s="416">
        <f t="shared" si="524"/>
      </c>
      <c r="I13670" s="2">
        <f t="shared" si="523"/>
      </c>
    </row>
    <row r="13671" spans="1:9" ht="15.75" customHeight="1" x14ac:dyDescent="0.25">
      <c r="A13671" s="412">
        <v>49</v>
      </c>
      <c r="B13671" s="1118" t="s">
        <v>1039</v>
      </c>
      <c r="C13671" s="993" t="s">
        <v>2161</v>
      </c>
      <c r="D13671" s="588">
        <v>2</v>
      </c>
      <c r="E13671" s="981">
        <v>100</v>
      </c>
      <c r="F13671" s="415">
        <f t="shared" ref="F13671:F13672" si="525">+E13671*D13671</f>
      </c>
      <c r="G13671" s="415">
        <v>1</v>
      </c>
      <c r="H13671" s="416">
        <f t="shared" si="524"/>
      </c>
      <c r="I13671" s="2">
        <f t="shared" si="523"/>
      </c>
    </row>
    <row r="13672" spans="1:9" ht="15.75" customHeight="1" x14ac:dyDescent="0.25">
      <c r="A13672" s="412">
        <v>50</v>
      </c>
      <c r="B13672" s="1118" t="s">
        <v>242</v>
      </c>
      <c r="C13672" s="993"/>
      <c r="D13672" s="588">
        <v>1</v>
      </c>
      <c r="E13672" s="981">
        <v>24</v>
      </c>
      <c r="F13672" s="415">
        <f t="shared" si="525"/>
      </c>
      <c r="G13672" s="415">
        <v>1</v>
      </c>
      <c r="H13672" s="416">
        <f t="shared" si="524"/>
      </c>
      <c r="I13672" s="2">
        <f t="shared" si="523"/>
      </c>
    </row>
    <row r="13673" spans="1:9" ht="15.75" customHeight="1" x14ac:dyDescent="0.25">
      <c r="A13673" s="412">
        <v>51</v>
      </c>
      <c r="B13673" s="1118" t="s">
        <v>243</v>
      </c>
      <c r="C13673" s="993"/>
      <c r="D13673" s="588">
        <v>1</v>
      </c>
      <c r="E13673" s="981">
        <v>15</v>
      </c>
      <c r="F13673" s="415">
        <v>15</v>
      </c>
      <c r="G13673" s="415">
        <v>1</v>
      </c>
      <c r="H13673" s="416">
        <f t="shared" si="524"/>
      </c>
      <c r="I13673" s="2">
        <f t="shared" si="523"/>
      </c>
    </row>
    <row r="13674" spans="1:9" ht="15.75" customHeight="1" x14ac:dyDescent="0.25">
      <c r="A13674" s="880"/>
      <c r="B13674" s="1119"/>
      <c r="C13674" s="1120"/>
      <c r="D13674" s="1122"/>
      <c r="E13674" s="1121"/>
      <c r="F13674" s="892"/>
      <c r="G13674" s="892"/>
      <c r="H13674" s="893"/>
      <c r="I13674" s="2">
        <f t="shared" si="523"/>
      </c>
    </row>
    <row r="13675" spans="1:9" ht="15.75" customHeight="1" x14ac:dyDescent="0.25">
      <c r="A13675" s="451"/>
      <c r="B13675" s="1123"/>
      <c r="C13675" s="1092"/>
      <c r="D13675" s="567"/>
      <c r="E13675" s="638"/>
      <c r="F13675" s="391"/>
      <c r="G13675" s="391"/>
      <c r="H13675" s="394"/>
      <c r="I13675" s="2">
        <f t="shared" si="523"/>
      </c>
    </row>
    <row r="13676" spans="1:9" ht="15.75" customHeight="1" x14ac:dyDescent="0.25">
      <c r="A13676" s="451"/>
      <c r="B13676" s="1123"/>
      <c r="C13676" s="883" t="s">
        <v>2360</v>
      </c>
      <c r="D13676" s="567"/>
      <c r="E13676" s="638"/>
      <c r="F13676" s="391"/>
      <c r="G13676" s="391"/>
      <c r="H13676" s="394"/>
      <c r="I13676" s="2">
        <f t="shared" si="523"/>
      </c>
    </row>
    <row r="13677" spans="1:9" ht="15.75" customHeight="1" x14ac:dyDescent="0.25">
      <c r="A13677" s="451"/>
      <c r="B13677" s="1123"/>
      <c r="C13677" s="1092"/>
      <c r="D13677" s="567"/>
      <c r="E13677" s="638"/>
      <c r="F13677" s="391"/>
      <c r="G13677" s="391"/>
      <c r="H13677" s="394"/>
    </row>
    <row r="13678" spans="1:9" ht="15.75" customHeight="1" x14ac:dyDescent="0.25">
      <c r="A13678" s="451"/>
      <c r="B13678" s="1123"/>
      <c r="C13678" s="1092"/>
      <c r="D13678" s="567"/>
      <c r="E13678" s="638"/>
      <c r="F13678" s="391"/>
      <c r="G13678" s="391"/>
      <c r="H13678" s="394"/>
    </row>
    <row r="13679" spans="1:9" ht="15.75" customHeight="1" x14ac:dyDescent="0.25">
      <c r="A13679" s="451"/>
      <c r="B13679" s="1123"/>
      <c r="C13679" s="1092"/>
      <c r="D13679" s="567"/>
      <c r="E13679" s="638"/>
      <c r="F13679" s="391"/>
      <c r="G13679" s="391"/>
      <c r="H13679" s="394"/>
      <c r="I13679" s="2">
        <f t="shared" ref="I13679:I13680" si="526">+G13680*F13680</f>
      </c>
    </row>
    <row r="13680" spans="1:9" ht="15.75" customHeight="1" x14ac:dyDescent="0.25">
      <c r="A13680" s="8" t="s">
        <v>14</v>
      </c>
      <c r="B13680" s="8"/>
      <c r="C13680" s="8"/>
      <c r="D13680" s="8"/>
      <c r="E13680" s="8"/>
      <c r="F13680" s="8"/>
      <c r="G13680" s="8"/>
      <c r="H13680" s="8"/>
      <c r="I13680" s="2">
        <f t="shared" si="526"/>
      </c>
    </row>
    <row r="13681" spans="1:9" ht="15.75" customHeight="1" x14ac:dyDescent="0.25">
      <c r="A13681" s="388"/>
      <c r="B13681" s="388"/>
      <c r="C13681" s="388"/>
      <c r="D13681" s="389"/>
      <c r="E13681" s="388"/>
      <c r="F13681" s="388"/>
      <c r="G13681" s="388"/>
      <c r="H13681" s="8"/>
    </row>
    <row r="13682" spans="1:9" ht="15.75" customHeight="1" x14ac:dyDescent="0.25">
      <c r="A13682" s="390"/>
      <c r="B13682" s="390"/>
      <c r="C13682" s="390"/>
      <c r="D13682" s="391"/>
      <c r="E13682" s="390"/>
      <c r="F13682" s="395" t="s">
        <v>18</v>
      </c>
      <c r="G13682" s="396" t="s">
        <v>520</v>
      </c>
      <c r="H13682" s="397"/>
    </row>
    <row r="13683" spans="1:9" ht="15.75" customHeight="1" x14ac:dyDescent="0.25">
      <c r="A13683" s="390" t="s">
        <v>20</v>
      </c>
      <c r="B13683" s="390"/>
      <c r="D13683" s="391"/>
      <c r="E13683" s="390"/>
      <c r="F13683" s="395" t="s">
        <v>21</v>
      </c>
      <c r="G13683" s="390" t="s">
        <v>1564</v>
      </c>
      <c r="H13683" s="391"/>
    </row>
    <row r="13684" spans="1:9" ht="15.75" customHeight="1" x14ac:dyDescent="0.25">
      <c r="A13684" s="390" t="inlineStr">
        <is>
          <t>Dealer-002</t>
        </is>
      </c>
      <c r="B13684" s="390"/>
      <c r="C13684" s="883" t="s">
        <v>2278</v>
      </c>
      <c r="D13684" s="398"/>
      <c r="E13684" s="390"/>
      <c r="F13684" s="391"/>
      <c r="G13684" s="390"/>
      <c r="H13684" s="394"/>
    </row>
    <row r="13685" spans="1:9" ht="15.75" customHeight="1" x14ac:dyDescent="0.25">
      <c r="A13685" s="390" t="inlineStr">
        <is>
          <t>Address line (redacted)</t>
        </is>
      </c>
      <c r="B13685" s="390"/>
      <c r="C13685" s="390"/>
      <c r="D13685" s="398"/>
      <c r="E13685" s="390"/>
      <c r="F13685" s="391"/>
      <c r="G13685" s="390"/>
      <c r="H13685" s="394"/>
    </row>
    <row r="13686" spans="1:9" ht="15.75" customHeight="1" x14ac:dyDescent="0.25">
      <c r="A13686" s="390" t="inlineStr">
        <is>
          <t>Address line (redacted)</t>
        </is>
      </c>
      <c r="B13686" s="390"/>
      <c r="C13686" s="390"/>
      <c r="D13686" s="391"/>
      <c r="E13686" s="390"/>
      <c r="F13686" s="391"/>
      <c r="G13686" s="390"/>
      <c r="H13686" s="394"/>
    </row>
    <row r="13687" spans="1:9" ht="15.75" customHeight="1" x14ac:dyDescent="0.25">
      <c r="A13687" s="390"/>
      <c r="B13687" s="390"/>
      <c r="C13687" s="390"/>
      <c r="D13687" s="391"/>
      <c r="E13687" s="390"/>
      <c r="F13687" s="391"/>
      <c r="G13687" s="390"/>
      <c r="H13687" s="394"/>
    </row>
    <row r="13688" spans="1:9" ht="15.75" customHeight="1" x14ac:dyDescent="0.25">
      <c r="A13688" s="390" t="s">
        <v>30</v>
      </c>
      <c r="B13688" s="390"/>
      <c r="C13688" s="390"/>
      <c r="D13688" s="391"/>
      <c r="E13688" s="390"/>
      <c r="F13688" s="391"/>
      <c r="G13688" s="390"/>
      <c r="H13688" s="394"/>
    </row>
    <row r="13689" spans="1:9" ht="15.75" customHeight="1" x14ac:dyDescent="0.25">
      <c r="A13689" s="390" t="s">
        <v>716</v>
      </c>
      <c r="B13689" s="390"/>
      <c r="C13689" s="390"/>
      <c r="D13689" s="391"/>
      <c r="E13689" s="390"/>
      <c r="F13689" s="391"/>
      <c r="G13689" s="390"/>
      <c r="H13689" s="394"/>
    </row>
    <row r="13690" spans="1:9" ht="15.75" customHeight="1" x14ac:dyDescent="0.25">
      <c r="A13690" s="390" t="s">
        <v>717</v>
      </c>
      <c r="B13690" s="390"/>
      <c r="C13690" s="390"/>
      <c r="D13690" s="391"/>
      <c r="E13690" s="390"/>
      <c r="F13690" s="391"/>
      <c r="G13690" s="390"/>
      <c r="H13690" s="394"/>
    </row>
    <row r="13691" spans="1:9" ht="15.75" customHeight="1" x14ac:dyDescent="0.25">
      <c r="A13691" s="390"/>
      <c r="B13691" s="390"/>
      <c r="C13691" s="390"/>
      <c r="D13691" s="391"/>
      <c r="E13691" s="390"/>
      <c r="F13691" s="391"/>
      <c r="G13691" s="390"/>
      <c r="H13691" s="394"/>
    </row>
    <row r="13692" spans="1:9" ht="15.75" customHeight="1" x14ac:dyDescent="0.25">
      <c r="A13692" s="948" t="s">
        <v>33</v>
      </c>
      <c r="B13692" s="872" t="s">
        <v>6</v>
      </c>
      <c r="C13692" s="872"/>
      <c r="D13692" s="874" t="s">
        <v>37</v>
      </c>
      <c r="E13692" s="874" t="s">
        <v>38</v>
      </c>
      <c r="F13692" s="875" t="s">
        <v>7</v>
      </c>
      <c r="G13692" s="872" t="s">
        <v>43</v>
      </c>
      <c r="H13692" s="876" t="s">
        <v>44</v>
      </c>
      <c r="I13692" s="2">
        <f t="shared" ref="I13692:I13693" si="527">+G13693*F13693</f>
      </c>
    </row>
    <row r="13693" spans="1:9" ht="15.75" customHeight="1" x14ac:dyDescent="0.25">
      <c r="A13693" s="412"/>
      <c r="B13693" s="953" t="s">
        <v>1329</v>
      </c>
      <c r="C13693" s="953"/>
      <c r="D13693" s="981"/>
      <c r="E13693" s="981"/>
      <c r="F13693" s="415"/>
      <c r="G13693" s="415"/>
      <c r="H13693" s="416"/>
      <c r="I13693" s="2">
        <f t="shared" si="527"/>
      </c>
    </row>
    <row r="13694" spans="1:9" ht="15.75" customHeight="1" x14ac:dyDescent="0.25">
      <c r="A13694" s="412">
        <v>52</v>
      </c>
      <c r="B13694" s="1118" t="s">
        <v>922</v>
      </c>
      <c r="C13694" s="993"/>
      <c r="D13694" s="592">
        <v>1</v>
      </c>
      <c r="E13694" s="929">
        <v>200</v>
      </c>
      <c r="F13694" s="415">
        <v>180</v>
      </c>
      <c r="G13694" s="415">
        <v>1</v>
      </c>
      <c r="H13694" s="416">
        <f>+G13694*F13694</f>
      </c>
    </row>
    <row r="13695" spans="1:9" ht="15.75" customHeight="1" x14ac:dyDescent="0.25">
      <c r="A13695" s="412">
        <v>53</v>
      </c>
      <c r="B13695" s="1118" t="s">
        <v>922</v>
      </c>
      <c r="C13695" s="993"/>
      <c r="D13695" s="626"/>
      <c r="E13695" s="930"/>
      <c r="F13695" s="415">
        <v>20</v>
      </c>
      <c r="G13695" s="619" t="s">
        <v>1856</v>
      </c>
      <c r="H13695" s="416"/>
      <c r="I13695" s="2">
        <f t="shared" ref="I13695:I13696" si="528">+G13696*F13696</f>
      </c>
    </row>
    <row r="13696" spans="1:9" ht="15.75" customHeight="1" x14ac:dyDescent="0.25">
      <c r="A13696" s="412"/>
      <c r="B13696" s="953" t="s">
        <v>2162</v>
      </c>
      <c r="C13696" s="953"/>
      <c r="D13696" s="626"/>
      <c r="E13696" s="930"/>
      <c r="F13696" s="415"/>
      <c r="G13696" s="415"/>
      <c r="H13696" s="416"/>
      <c r="I13696" s="2">
        <f t="shared" si="528"/>
      </c>
    </row>
    <row r="13697" spans="1:9" ht="15.75" customHeight="1" x14ac:dyDescent="0.25">
      <c r="A13697" s="412">
        <v>54</v>
      </c>
      <c r="B13697" s="1118" t="s">
        <v>2163</v>
      </c>
      <c r="C13697" s="993"/>
      <c r="D13697" s="981">
        <v>100</v>
      </c>
      <c r="E13697" s="981">
        <v>1</v>
      </c>
      <c r="F13697" s="415">
        <f t="shared" ref="F13697:F13698" si="529">+E13697*D13697</f>
      </c>
      <c r="G13697" s="415">
        <v>1</v>
      </c>
      <c r="H13697" s="416">
        <f>+G13697*F13697</f>
      </c>
    </row>
    <row r="13698" spans="1:9" ht="15.75" customHeight="1" x14ac:dyDescent="0.25">
      <c r="A13698" s="412">
        <v>55</v>
      </c>
      <c r="B13698" s="1118" t="s">
        <v>2163</v>
      </c>
      <c r="C13698" s="993"/>
      <c r="D13698" s="981">
        <v>5</v>
      </c>
      <c r="E13698" s="981">
        <v>1</v>
      </c>
      <c r="F13698" s="415">
        <f t="shared" si="529"/>
      </c>
      <c r="G13698" s="619" t="s">
        <v>1856</v>
      </c>
      <c r="H13698" s="416"/>
      <c r="I13698" s="2">
        <f t="shared" ref="I13698:I13699" si="530">+G13699*F13699</f>
      </c>
    </row>
    <row r="13699" spans="1:9" ht="15.75" customHeight="1" x14ac:dyDescent="0.25">
      <c r="A13699" s="412"/>
      <c r="B13699" s="953" t="s">
        <v>1356</v>
      </c>
      <c r="C13699" s="953"/>
      <c r="D13699" s="626"/>
      <c r="E13699" s="930"/>
      <c r="F13699" s="415"/>
      <c r="G13699" s="415"/>
      <c r="H13699" s="416"/>
      <c r="I13699" s="2">
        <f t="shared" si="530"/>
      </c>
    </row>
    <row r="13700" spans="1:9" ht="15.75" customHeight="1" x14ac:dyDescent="0.25">
      <c r="A13700" s="412">
        <v>56</v>
      </c>
      <c r="B13700" s="1118" t="s">
        <v>56</v>
      </c>
      <c r="C13700" s="993" t="s">
        <v>114</v>
      </c>
      <c r="D13700" s="929">
        <v>7.5</v>
      </c>
      <c r="E13700" s="929">
        <v>10</v>
      </c>
      <c r="F13700" s="415">
        <v>72</v>
      </c>
      <c r="G13700" s="415">
        <v>1</v>
      </c>
      <c r="H13700" s="416">
        <f>+G13700*F13700</f>
      </c>
    </row>
    <row r="13701" spans="1:9" ht="15.75" customHeight="1" x14ac:dyDescent="0.25">
      <c r="A13701" s="412">
        <v>57</v>
      </c>
      <c r="B13701" s="1118" t="s">
        <v>56</v>
      </c>
      <c r="C13701" s="993" t="s">
        <v>114</v>
      </c>
      <c r="D13701" s="930"/>
      <c r="E13701" s="930"/>
      <c r="F13701" s="415">
        <v>3</v>
      </c>
      <c r="G13701" s="619" t="s">
        <v>1856</v>
      </c>
      <c r="H13701" s="416"/>
      <c r="I13701" s="2">
        <f>+G13702*F13702</f>
      </c>
    </row>
    <row r="13702" spans="1:9" ht="15.75" customHeight="1" x14ac:dyDescent="0.25">
      <c r="A13702" s="412">
        <v>58</v>
      </c>
      <c r="B13702" s="1118" t="s">
        <v>320</v>
      </c>
      <c r="C13702" s="993" t="s">
        <v>316</v>
      </c>
      <c r="D13702" s="929">
        <v>2.5</v>
      </c>
      <c r="E13702" s="929">
        <v>10</v>
      </c>
      <c r="F13702" s="415">
        <v>24</v>
      </c>
      <c r="G13702" s="415">
        <v>1</v>
      </c>
      <c r="H13702" s="416">
        <f>+G13702*F13702</f>
      </c>
    </row>
    <row r="13703" spans="1:9" ht="15.75" customHeight="1" x14ac:dyDescent="0.25">
      <c r="A13703" s="412">
        <v>59</v>
      </c>
      <c r="B13703" s="1118" t="s">
        <v>320</v>
      </c>
      <c r="C13703" s="993" t="s">
        <v>316</v>
      </c>
      <c r="D13703" s="930"/>
      <c r="E13703" s="930"/>
      <c r="F13703" s="415">
        <v>1</v>
      </c>
      <c r="G13703" s="619" t="s">
        <v>1856</v>
      </c>
      <c r="H13703" s="416"/>
      <c r="I13703" s="2">
        <f t="shared" ref="I13703:I13726" si="531">+G13704*F13704</f>
      </c>
    </row>
    <row r="13704" spans="1:9" ht="15.75" customHeight="1" x14ac:dyDescent="0.25">
      <c r="A13704" s="412">
        <v>60</v>
      </c>
      <c r="B13704" s="585" t="s">
        <v>123</v>
      </c>
      <c r="C13704" s="993" t="s">
        <v>1577</v>
      </c>
      <c r="D13704" s="626">
        <v>2</v>
      </c>
      <c r="E13704" s="930">
        <v>5</v>
      </c>
      <c r="F13704" s="415">
        <f t="shared" ref="F13704:F13719" si="532">+E13704*D13704</f>
      </c>
      <c r="G13704" s="415">
        <v>1</v>
      </c>
      <c r="H13704" s="416">
        <f t="shared" ref="H13704:H13719" si="533">+G13704*F13704</f>
      </c>
      <c r="I13704" s="2">
        <f t="shared" si="531"/>
      </c>
    </row>
    <row r="13705" spans="1:9" ht="15.75" customHeight="1" x14ac:dyDescent="0.25">
      <c r="A13705" s="412">
        <v>61</v>
      </c>
      <c r="B13705" s="585" t="s">
        <v>1578</v>
      </c>
      <c r="C13705" s="993" t="s">
        <v>1579</v>
      </c>
      <c r="D13705" s="626">
        <v>2</v>
      </c>
      <c r="E13705" s="930">
        <v>5</v>
      </c>
      <c r="F13705" s="415">
        <f t="shared" si="532"/>
      </c>
      <c r="G13705" s="415">
        <v>1</v>
      </c>
      <c r="H13705" s="416">
        <f t="shared" si="533"/>
      </c>
      <c r="I13705" s="2">
        <f t="shared" si="531"/>
      </c>
    </row>
    <row r="13706" spans="1:9" ht="15.75" customHeight="1" x14ac:dyDescent="0.25">
      <c r="A13706" s="412">
        <v>62</v>
      </c>
      <c r="B13706" s="585" t="s">
        <v>2118</v>
      </c>
      <c r="C13706" s="993" t="s">
        <v>321</v>
      </c>
      <c r="D13706" s="626">
        <v>2</v>
      </c>
      <c r="E13706" s="930">
        <v>5</v>
      </c>
      <c r="F13706" s="415">
        <f t="shared" si="532"/>
      </c>
      <c r="G13706" s="415">
        <v>1</v>
      </c>
      <c r="H13706" s="416">
        <f t="shared" si="533"/>
      </c>
      <c r="I13706" s="2">
        <f t="shared" si="531"/>
      </c>
    </row>
    <row r="13707" spans="1:9" ht="15.75" customHeight="1" x14ac:dyDescent="0.25">
      <c r="A13707" s="412">
        <v>63</v>
      </c>
      <c r="B13707" s="585" t="s">
        <v>2127</v>
      </c>
      <c r="C13707" s="993" t="s">
        <v>328</v>
      </c>
      <c r="D13707" s="626">
        <v>2</v>
      </c>
      <c r="E13707" s="930">
        <v>5</v>
      </c>
      <c r="F13707" s="415">
        <f t="shared" si="532"/>
      </c>
      <c r="G13707" s="415">
        <v>1</v>
      </c>
      <c r="H13707" s="416">
        <f t="shared" si="533"/>
      </c>
      <c r="I13707" s="2">
        <f t="shared" si="531"/>
      </c>
    </row>
    <row r="13708" spans="1:9" ht="15.75" customHeight="1" x14ac:dyDescent="0.25">
      <c r="A13708" s="412">
        <v>64</v>
      </c>
      <c r="B13708" s="585" t="s">
        <v>39</v>
      </c>
      <c r="C13708" s="993" t="s">
        <v>36</v>
      </c>
      <c r="D13708" s="626">
        <v>2</v>
      </c>
      <c r="E13708" s="930">
        <v>5</v>
      </c>
      <c r="F13708" s="415">
        <f t="shared" si="532"/>
      </c>
      <c r="G13708" s="415">
        <v>1</v>
      </c>
      <c r="H13708" s="416">
        <f t="shared" si="533"/>
      </c>
      <c r="I13708" s="2">
        <f t="shared" si="531"/>
      </c>
    </row>
    <row r="13709" spans="1:9" ht="15.75" customHeight="1" x14ac:dyDescent="0.25">
      <c r="A13709" s="412">
        <v>65</v>
      </c>
      <c r="B13709" s="585" t="s">
        <v>105</v>
      </c>
      <c r="C13709" s="993" t="s">
        <v>96</v>
      </c>
      <c r="D13709" s="626">
        <v>2</v>
      </c>
      <c r="E13709" s="930">
        <v>5</v>
      </c>
      <c r="F13709" s="415">
        <f t="shared" si="532"/>
      </c>
      <c r="G13709" s="415">
        <v>1</v>
      </c>
      <c r="H13709" s="416">
        <f t="shared" si="533"/>
      </c>
      <c r="I13709" s="2">
        <f t="shared" si="531"/>
      </c>
    </row>
    <row r="13710" spans="1:9" ht="15.75" customHeight="1" x14ac:dyDescent="0.25">
      <c r="A13710" s="412">
        <v>66</v>
      </c>
      <c r="B13710" s="585" t="s">
        <v>136</v>
      </c>
      <c r="C13710" s="993" t="s">
        <v>334</v>
      </c>
      <c r="D13710" s="626">
        <v>2</v>
      </c>
      <c r="E13710" s="930">
        <v>5</v>
      </c>
      <c r="F13710" s="415">
        <f t="shared" si="532"/>
      </c>
      <c r="G13710" s="415">
        <v>1</v>
      </c>
      <c r="H13710" s="416">
        <f t="shared" si="533"/>
      </c>
      <c r="I13710" s="2">
        <f t="shared" si="531"/>
      </c>
    </row>
    <row r="13711" spans="1:9" ht="15.75" customHeight="1" x14ac:dyDescent="0.25">
      <c r="A13711" s="412">
        <v>67</v>
      </c>
      <c r="B13711" s="585" t="s">
        <v>138</v>
      </c>
      <c r="C13711" s="993" t="s">
        <v>335</v>
      </c>
      <c r="D13711" s="626">
        <v>2</v>
      </c>
      <c r="E13711" s="930">
        <v>5</v>
      </c>
      <c r="F13711" s="415">
        <f t="shared" si="532"/>
      </c>
      <c r="G13711" s="415">
        <v>1</v>
      </c>
      <c r="H13711" s="416">
        <f t="shared" si="533"/>
      </c>
      <c r="I13711" s="2">
        <f t="shared" si="531"/>
      </c>
    </row>
    <row r="13712" spans="1:9" ht="15.75" customHeight="1" x14ac:dyDescent="0.25">
      <c r="A13712" s="412">
        <v>68</v>
      </c>
      <c r="B13712" s="585" t="s">
        <v>145</v>
      </c>
      <c r="C13712" s="993" t="s">
        <v>341</v>
      </c>
      <c r="D13712" s="626">
        <v>2</v>
      </c>
      <c r="E13712" s="930">
        <v>5</v>
      </c>
      <c r="F13712" s="415">
        <f t="shared" si="532"/>
      </c>
      <c r="G13712" s="415">
        <v>1</v>
      </c>
      <c r="H13712" s="416">
        <f t="shared" si="533"/>
      </c>
      <c r="I13712" s="2">
        <f t="shared" si="531"/>
      </c>
    </row>
    <row r="13713" spans="1:20" ht="15.75" customHeight="1" x14ac:dyDescent="0.25">
      <c r="A13713" s="412">
        <v>69</v>
      </c>
      <c r="B13713" s="585" t="s">
        <v>146</v>
      </c>
      <c r="C13713" s="993" t="s">
        <v>342</v>
      </c>
      <c r="D13713" s="626">
        <v>2</v>
      </c>
      <c r="E13713" s="930">
        <v>5</v>
      </c>
      <c r="F13713" s="415">
        <f t="shared" si="532"/>
      </c>
      <c r="G13713" s="415">
        <v>1</v>
      </c>
      <c r="H13713" s="416">
        <f t="shared" si="533"/>
      </c>
      <c r="I13713" s="2">
        <f t="shared" si="531"/>
      </c>
    </row>
    <row r="13714" spans="1:20" ht="15.75" customHeight="1" x14ac:dyDescent="0.25">
      <c r="A13714" s="412">
        <v>70</v>
      </c>
      <c r="B13714" s="585" t="s">
        <v>1298</v>
      </c>
      <c r="C13714" s="993" t="s">
        <v>337</v>
      </c>
      <c r="D13714" s="626">
        <v>2</v>
      </c>
      <c r="E13714" s="930">
        <v>5</v>
      </c>
      <c r="F13714" s="415">
        <f t="shared" si="532"/>
      </c>
      <c r="G13714" s="415">
        <v>1</v>
      </c>
      <c r="H13714" s="416">
        <f t="shared" si="533"/>
      </c>
      <c r="I13714" s="2">
        <f t="shared" si="531"/>
      </c>
    </row>
    <row r="13715" spans="1:20" ht="15.75" customHeight="1" x14ac:dyDescent="0.25">
      <c r="A13715" s="412">
        <v>71</v>
      </c>
      <c r="B13715" s="585" t="s">
        <v>134</v>
      </c>
      <c r="C13715" s="993" t="s">
        <v>332</v>
      </c>
      <c r="D13715" s="626">
        <v>2</v>
      </c>
      <c r="E13715" s="930">
        <v>5</v>
      </c>
      <c r="F13715" s="415">
        <f t="shared" si="532"/>
      </c>
      <c r="G13715" s="415">
        <v>1</v>
      </c>
      <c r="H13715" s="416">
        <f t="shared" si="533"/>
      </c>
      <c r="I13715" s="2">
        <f t="shared" si="531"/>
      </c>
      <c r="J13715" s="290"/>
      <c r="K13715" s="290"/>
      <c r="L13715" s="290"/>
      <c r="M13715" s="290"/>
      <c r="N13715" s="290"/>
      <c r="O13715" s="290"/>
      <c r="P13715" s="290"/>
      <c r="Q13715" s="290"/>
      <c r="R13715" s="290"/>
      <c r="S13715" s="290"/>
      <c r="T13715" s="290"/>
    </row>
    <row r="13716" spans="1:20" ht="15.75" customHeight="1" x14ac:dyDescent="0.25">
      <c r="A13716" s="412">
        <v>72</v>
      </c>
      <c r="B13716" s="585" t="s">
        <v>301</v>
      </c>
      <c r="C13716" s="993" t="s">
        <v>66</v>
      </c>
      <c r="D13716" s="626">
        <v>2</v>
      </c>
      <c r="E13716" s="930">
        <v>5</v>
      </c>
      <c r="F13716" s="415">
        <f t="shared" si="532"/>
      </c>
      <c r="G13716" s="415">
        <v>1</v>
      </c>
      <c r="H13716" s="416">
        <f t="shared" si="533"/>
      </c>
      <c r="I13716" s="2">
        <f t="shared" si="531"/>
      </c>
    </row>
    <row r="13717" spans="1:20" ht="15.75" customHeight="1" x14ac:dyDescent="0.25">
      <c r="A13717" s="412">
        <v>73</v>
      </c>
      <c r="B13717" s="585" t="s">
        <v>696</v>
      </c>
      <c r="C13717" s="993" t="s">
        <v>107</v>
      </c>
      <c r="D13717" s="626">
        <v>2</v>
      </c>
      <c r="E13717" s="930">
        <v>5</v>
      </c>
      <c r="F13717" s="415">
        <f t="shared" si="532"/>
      </c>
      <c r="G13717" s="415">
        <v>1</v>
      </c>
      <c r="H13717" s="416">
        <f t="shared" si="533"/>
      </c>
      <c r="I13717" s="2">
        <f t="shared" si="531"/>
      </c>
    </row>
    <row r="13718" spans="1:20" ht="15.75" customHeight="1" x14ac:dyDescent="0.25">
      <c r="A13718" s="412">
        <v>74</v>
      </c>
      <c r="B13718" s="585" t="s">
        <v>118</v>
      </c>
      <c r="C13718" s="993" t="s">
        <v>1599</v>
      </c>
      <c r="D13718" s="626">
        <v>2</v>
      </c>
      <c r="E13718" s="930">
        <v>5</v>
      </c>
      <c r="F13718" s="415">
        <f t="shared" si="532"/>
      </c>
      <c r="G13718" s="415">
        <v>1</v>
      </c>
      <c r="H13718" s="416">
        <f t="shared" si="533"/>
      </c>
      <c r="I13718" s="2">
        <f t="shared" si="531"/>
      </c>
    </row>
    <row r="13719" spans="1:20" ht="15.75" customHeight="1" x14ac:dyDescent="0.25">
      <c r="A13719" s="412">
        <v>75</v>
      </c>
      <c r="B13719" s="585" t="s">
        <v>494</v>
      </c>
      <c r="C13719" s="993" t="s">
        <v>327</v>
      </c>
      <c r="D13719" s="626">
        <v>2</v>
      </c>
      <c r="E13719" s="930">
        <v>5</v>
      </c>
      <c r="F13719" s="415">
        <f t="shared" si="532"/>
      </c>
      <c r="G13719" s="415">
        <v>1</v>
      </c>
      <c r="H13719" s="416">
        <f t="shared" si="533"/>
      </c>
      <c r="I13719" s="2">
        <f t="shared" si="531"/>
      </c>
    </row>
    <row r="13720" spans="1:20" ht="15.75" customHeight="1" x14ac:dyDescent="0.25">
      <c r="A13720" s="412"/>
      <c r="B13720" s="585"/>
      <c r="C13720" s="993"/>
      <c r="D13720" s="626"/>
      <c r="E13720" s="930"/>
      <c r="F13720" s="415"/>
      <c r="G13720" s="415"/>
      <c r="H13720" s="416"/>
      <c r="I13720" s="2">
        <f t="shared" si="531"/>
      </c>
    </row>
    <row r="13721" spans="1:20" ht="15.75" customHeight="1" x14ac:dyDescent="0.25">
      <c r="A13721" s="880"/>
      <c r="B13721" s="1124"/>
      <c r="C13721" s="1120"/>
      <c r="D13721" s="1088"/>
      <c r="E13721" s="1125"/>
      <c r="F13721" s="892"/>
      <c r="G13721" s="892"/>
      <c r="H13721" s="893"/>
      <c r="I13721" s="2">
        <f t="shared" si="531"/>
      </c>
    </row>
    <row r="13722" spans="1:20" ht="15.75" customHeight="1" x14ac:dyDescent="0.25">
      <c r="A13722" s="451"/>
      <c r="B13722" s="631"/>
      <c r="C13722" s="1092"/>
      <c r="D13722" s="567"/>
      <c r="E13722" s="638"/>
      <c r="F13722" s="391"/>
      <c r="G13722" s="391"/>
      <c r="H13722" s="394"/>
      <c r="I13722" s="2">
        <f t="shared" si="531"/>
      </c>
    </row>
    <row r="13723" spans="1:20" ht="15.75" customHeight="1" x14ac:dyDescent="0.25">
      <c r="A13723" s="451"/>
      <c r="B13723" s="631"/>
      <c r="C13723" s="883" t="s">
        <v>2361</v>
      </c>
      <c r="D13723" s="567"/>
      <c r="E13723" s="638"/>
      <c r="F13723" s="391"/>
      <c r="G13723" s="391"/>
      <c r="H13723" s="394"/>
      <c r="I13723" s="2">
        <f t="shared" si="531"/>
      </c>
    </row>
    <row r="13724" spans="1:20" ht="15.75" customHeight="1" x14ac:dyDescent="0.25">
      <c r="A13724" s="451"/>
      <c r="B13724" s="631"/>
      <c r="C13724" s="1092"/>
      <c r="D13724" s="567"/>
      <c r="E13724" s="638"/>
      <c r="F13724" s="391"/>
      <c r="G13724" s="391"/>
      <c r="H13724" s="394"/>
      <c r="I13724" s="2">
        <f t="shared" si="531"/>
      </c>
    </row>
    <row r="13725" spans="1:20" ht="15.75" customHeight="1" x14ac:dyDescent="0.25">
      <c r="A13725" s="451"/>
      <c r="B13725" s="631"/>
      <c r="C13725" s="1092"/>
      <c r="D13725" s="567"/>
      <c r="E13725" s="638"/>
      <c r="F13725" s="391"/>
      <c r="G13725" s="391"/>
      <c r="H13725" s="394"/>
      <c r="I13725" s="2">
        <f t="shared" si="531"/>
      </c>
    </row>
    <row r="13726" spans="1:20" ht="15.75" customHeight="1" x14ac:dyDescent="0.25">
      <c r="A13726" s="8" t="s">
        <v>14</v>
      </c>
      <c r="B13726" s="8"/>
      <c r="C13726" s="8"/>
      <c r="D13726" s="8"/>
      <c r="E13726" s="8"/>
      <c r="F13726" s="8"/>
      <c r="G13726" s="8"/>
      <c r="H13726" s="8"/>
      <c r="I13726" s="2">
        <f t="shared" si="531"/>
      </c>
    </row>
    <row r="13727" spans="1:20" ht="15.75" customHeight="1" x14ac:dyDescent="0.25">
      <c r="A13727" s="388"/>
      <c r="B13727" s="388"/>
      <c r="C13727" s="388"/>
      <c r="D13727" s="389"/>
      <c r="E13727" s="388"/>
      <c r="F13727" s="388"/>
      <c r="G13727" s="388"/>
      <c r="H13727" s="8"/>
    </row>
    <row r="13728" spans="1:20" ht="15.75" customHeight="1" x14ac:dyDescent="0.25">
      <c r="A13728" s="390"/>
      <c r="B13728" s="390"/>
      <c r="C13728" s="390"/>
      <c r="D13728" s="391"/>
      <c r="E13728" s="390"/>
      <c r="F13728" s="395" t="s">
        <v>18</v>
      </c>
      <c r="G13728" s="396" t="s">
        <v>520</v>
      </c>
      <c r="H13728" s="397"/>
    </row>
    <row r="13729" spans="1:9" ht="15.75" customHeight="1" x14ac:dyDescent="0.25">
      <c r="A13729" s="390" t="s">
        <v>20</v>
      </c>
      <c r="B13729" s="390"/>
      <c r="D13729" s="391"/>
      <c r="E13729" s="390"/>
      <c r="F13729" s="395" t="s">
        <v>21</v>
      </c>
      <c r="G13729" s="390" t="s">
        <v>1564</v>
      </c>
      <c r="H13729" s="391"/>
      <c r="I13729" s="2">
        <f t="shared" ref="I13729:I13736" si="534">+G13730*F13730</f>
      </c>
    </row>
    <row r="13730" spans="1:9" ht="15.75" customHeight="1" x14ac:dyDescent="0.25">
      <c r="A13730" s="390" t="inlineStr">
        <is>
          <t>Dealer-002</t>
        </is>
      </c>
      <c r="B13730" s="390"/>
      <c r="C13730" s="883" t="s">
        <v>2362</v>
      </c>
      <c r="D13730" s="398"/>
      <c r="E13730" s="390"/>
      <c r="F13730" s="391"/>
      <c r="G13730" s="390"/>
      <c r="H13730" s="394"/>
      <c r="I13730" s="2">
        <f t="shared" si="534"/>
      </c>
    </row>
    <row r="13731" spans="1:9" ht="15.75" customHeight="1" x14ac:dyDescent="0.25">
      <c r="A13731" s="390" t="inlineStr">
        <is>
          <t>Address line (redacted)</t>
        </is>
      </c>
      <c r="B13731" s="390"/>
      <c r="C13731" s="390"/>
      <c r="D13731" s="398"/>
      <c r="E13731" s="390"/>
      <c r="F13731" s="391"/>
      <c r="G13731" s="390"/>
      <c r="H13731" s="394"/>
      <c r="I13731" s="2">
        <f t="shared" si="534"/>
      </c>
    </row>
    <row r="13732" spans="1:9" ht="15.75" customHeight="1" x14ac:dyDescent="0.25">
      <c r="A13732" s="390" t="inlineStr">
        <is>
          <t>Address line (redacted)</t>
        </is>
      </c>
      <c r="B13732" s="390"/>
      <c r="C13732" s="390"/>
      <c r="D13732" s="391"/>
      <c r="E13732" s="390"/>
      <c r="F13732" s="391"/>
      <c r="G13732" s="390"/>
      <c r="H13732" s="394"/>
      <c r="I13732" s="2">
        <f t="shared" si="534"/>
      </c>
    </row>
    <row r="13733" spans="1:9" ht="15.75" customHeight="1" x14ac:dyDescent="0.25">
      <c r="A13733" s="390"/>
      <c r="B13733" s="390"/>
      <c r="C13733" s="390"/>
      <c r="D13733" s="391"/>
      <c r="E13733" s="390"/>
      <c r="F13733" s="391"/>
      <c r="G13733" s="390"/>
      <c r="H13733" s="394"/>
      <c r="I13733" s="2">
        <f t="shared" si="534"/>
      </c>
    </row>
    <row r="13734" spans="1:9" ht="15.75" customHeight="1" x14ac:dyDescent="0.25">
      <c r="A13734" s="390" t="s">
        <v>30</v>
      </c>
      <c r="B13734" s="390"/>
      <c r="C13734" s="390"/>
      <c r="D13734" s="391"/>
      <c r="E13734" s="390"/>
      <c r="F13734" s="391"/>
      <c r="G13734" s="390"/>
      <c r="H13734" s="394"/>
      <c r="I13734" s="2">
        <f t="shared" si="534"/>
      </c>
    </row>
    <row r="13735" spans="1:9" ht="15.75" customHeight="1" x14ac:dyDescent="0.25">
      <c r="A13735" s="390" t="s">
        <v>716</v>
      </c>
      <c r="B13735" s="390"/>
      <c r="C13735" s="390"/>
      <c r="D13735" s="391"/>
      <c r="E13735" s="390"/>
      <c r="F13735" s="391"/>
      <c r="G13735" s="390"/>
      <c r="H13735" s="394"/>
      <c r="I13735" s="2">
        <f t="shared" si="534"/>
      </c>
    </row>
    <row r="13736" spans="1:9" ht="15.75" customHeight="1" x14ac:dyDescent="0.25">
      <c r="A13736" s="390" t="s">
        <v>717</v>
      </c>
      <c r="B13736" s="390"/>
      <c r="C13736" s="390"/>
      <c r="D13736" s="391"/>
      <c r="E13736" s="390"/>
      <c r="F13736" s="391"/>
      <c r="G13736" s="390"/>
      <c r="H13736" s="394"/>
      <c r="I13736" s="2">
        <f t="shared" si="534"/>
      </c>
    </row>
    <row r="13737" spans="1:9" ht="15.75" customHeight="1" x14ac:dyDescent="0.25">
      <c r="A13737" s="390"/>
      <c r="B13737" s="390"/>
      <c r="C13737" s="390"/>
      <c r="D13737" s="391"/>
      <c r="E13737" s="390"/>
      <c r="F13737" s="391"/>
      <c r="G13737" s="390"/>
      <c r="H13737" s="394"/>
    </row>
    <row r="13738" spans="1:9" ht="15.75" customHeight="1" x14ac:dyDescent="0.25">
      <c r="A13738" s="948" t="s">
        <v>33</v>
      </c>
      <c r="B13738" s="872" t="s">
        <v>6</v>
      </c>
      <c r="C13738" s="872"/>
      <c r="D13738" s="874" t="s">
        <v>37</v>
      </c>
      <c r="E13738" s="874" t="s">
        <v>38</v>
      </c>
      <c r="F13738" s="875" t="s">
        <v>7</v>
      </c>
      <c r="G13738" s="872" t="s">
        <v>43</v>
      </c>
      <c r="H13738" s="876" t="s">
        <v>44</v>
      </c>
      <c r="I13738" s="2">
        <f t="shared" ref="I13738:I13741" si="535">+G13739*F13739</f>
      </c>
    </row>
    <row r="13739" spans="1:9" ht="15.75" customHeight="1" x14ac:dyDescent="0.25">
      <c r="A13739" s="1126"/>
      <c r="B13739" s="611"/>
      <c r="C13739" s="611"/>
      <c r="D13739" s="613"/>
      <c r="E13739" s="613"/>
      <c r="F13739" s="614"/>
      <c r="G13739" s="611"/>
      <c r="H13739" s="615"/>
      <c r="I13739" s="2">
        <f t="shared" si="535"/>
      </c>
    </row>
    <row r="13740" spans="1:9" ht="15.75" customHeight="1" x14ac:dyDescent="0.25">
      <c r="A13740" s="412"/>
      <c r="B13740" s="953" t="s">
        <v>2165</v>
      </c>
      <c r="C13740" s="953"/>
      <c r="D13740" s="626"/>
      <c r="E13740" s="930"/>
      <c r="F13740" s="415"/>
      <c r="G13740" s="415"/>
      <c r="H13740" s="416"/>
      <c r="I13740" s="2">
        <f t="shared" si="535"/>
      </c>
    </row>
    <row r="13741" spans="1:9" ht="15.75" customHeight="1" x14ac:dyDescent="0.25">
      <c r="A13741" s="412">
        <v>76</v>
      </c>
      <c r="B13741" s="585" t="s">
        <v>1745</v>
      </c>
      <c r="C13741" s="993" t="s">
        <v>2166</v>
      </c>
      <c r="D13741" s="626">
        <v>12</v>
      </c>
      <c r="E13741" s="930">
        <v>10</v>
      </c>
      <c r="F13741" s="415">
        <f t="shared" ref="F13741:F13742" si="536">+E13741*D13741</f>
      </c>
      <c r="G13741" s="415">
        <v>1</v>
      </c>
      <c r="H13741" s="416">
        <f t="shared" ref="H13741:H13742" si="537">+G13741*F13741</f>
      </c>
      <c r="I13741" s="2">
        <f t="shared" si="535"/>
      </c>
    </row>
    <row r="13742" spans="1:9" ht="15.75" customHeight="1" x14ac:dyDescent="0.25">
      <c r="A13742" s="412">
        <v>77</v>
      </c>
      <c r="B13742" s="913" t="s">
        <v>2167</v>
      </c>
      <c r="C13742" s="993" t="s">
        <v>2166</v>
      </c>
      <c r="D13742" s="626">
        <v>18</v>
      </c>
      <c r="E13742" s="930">
        <v>10</v>
      </c>
      <c r="F13742" s="415">
        <f t="shared" si="536"/>
      </c>
      <c r="G13742" s="415">
        <v>1</v>
      </c>
      <c r="H13742" s="416">
        <f t="shared" si="537"/>
      </c>
    </row>
    <row r="13743" spans="1:9" ht="15.75" customHeight="1" x14ac:dyDescent="0.25">
      <c r="A13743" s="412"/>
      <c r="B13743" s="1127"/>
      <c r="C13743" s="1084"/>
      <c r="D13743" s="633"/>
      <c r="E13743" s="633"/>
      <c r="F13743" s="593"/>
      <c r="G13743" s="593"/>
      <c r="H13743" s="931"/>
      <c r="I13743" s="2">
        <f>SUM(I13602:I13742)</f>
      </c>
    </row>
    <row r="13744" spans="1:9" ht="15.75" customHeight="1" x14ac:dyDescent="0.25">
      <c r="A13744" s="877"/>
      <c r="B13744" s="688"/>
      <c r="C13744" s="896" t="s">
        <v>85</v>
      </c>
      <c r="D13744" s="599"/>
      <c r="E13744" s="401"/>
      <c r="F13744" s="599"/>
      <c r="G13744" s="661"/>
      <c r="H13744" s="1128">
        <f>+H13742+H13741+H13719+H13718+H13717+H13716+H13715+H13714+H13713+H13712+H13711+H13710+H13709+H13708+H13707+H13706+H13705+H13704+H13702+H13700+H13697+H13694+H13673+H13672+H13671+H13670+H13669+H13667+H13665+H13663+H13661+H13659+H13658+H13657+H13656+H13654+H13653+H13651+H13649+H13630+H13628+H13627+H13625+H13623+H13622+H13621+H13619+H13618+H13617+H13616+H13614+H13612+H13610+H13609+H13608+H13607+H13606+H13605+H13604+H13603</f>
      </c>
    </row>
    <row r="13745" spans="1:8" ht="15.75" customHeight="1" x14ac:dyDescent="0.25">
      <c r="A13745" s="932"/>
      <c r="B13745" s="933"/>
      <c r="C13745" s="934"/>
      <c r="D13745" s="431"/>
      <c r="E13745" s="935"/>
      <c r="F13745" s="935"/>
      <c r="G13745" s="936"/>
      <c r="H13745" s="444"/>
    </row>
    <row r="13746" spans="1:8" ht="15.75" customHeight="1" x14ac:dyDescent="0.25">
      <c r="A13746" s="994" t="s">
        <v>913</v>
      </c>
      <c r="B13746" s="391"/>
      <c r="C13746" s="391"/>
      <c r="D13746" s="391"/>
      <c r="E13746" s="390"/>
      <c r="F13746" s="392"/>
      <c r="G13746" s="390"/>
      <c r="H13746" s="394"/>
    </row>
    <row r="13747" spans="1:8" ht="15.75" customHeight="1" x14ac:dyDescent="0.25">
      <c r="A13747" s="445"/>
      <c r="B13747" s="445"/>
      <c r="C13747" s="445"/>
      <c r="D13747" s="446" t="s">
        <v>97</v>
      </c>
      <c r="E13747" s="445" t="s">
        <v>98</v>
      </c>
      <c r="F13747" s="445"/>
      <c r="G13747" s="390"/>
      <c r="H13747" s="394"/>
    </row>
    <row r="13748" spans="1:8" ht="15.75" customHeight="1" x14ac:dyDescent="0.25">
      <c r="A13748" s="445"/>
      <c r="B13748" s="445"/>
      <c r="C13748" s="445"/>
      <c r="D13748" s="446"/>
      <c r="E13748" s="445"/>
      <c r="F13748" s="445"/>
      <c r="G13748" s="390"/>
      <c r="H13748" s="394"/>
    </row>
    <row r="13749" spans="1:8" ht="15.75" customHeight="1" x14ac:dyDescent="0.25">
      <c r="A13749" s="445"/>
      <c r="B13749" s="445"/>
      <c r="C13749" s="445"/>
      <c r="D13749" s="446"/>
      <c r="E13749" s="445"/>
      <c r="F13749" s="445"/>
      <c r="G13749" s="390"/>
      <c r="H13749" s="394"/>
    </row>
    <row r="13750" spans="1:8" ht="15.75" customHeight="1" x14ac:dyDescent="0.25">
      <c r="A13750" s="445"/>
      <c r="B13750" s="445"/>
      <c r="C13750" s="445"/>
      <c r="D13750" s="446"/>
      <c r="E13750" s="445" t="s">
        <v>99</v>
      </c>
      <c r="F13750" s="445"/>
      <c r="G13750" s="390"/>
      <c r="H13750" s="394"/>
    </row>
    <row r="13751" spans="1:8" ht="15.75" customHeight="1" x14ac:dyDescent="0.25">
      <c r="A13751" s="445"/>
      <c r="B13751" s="445"/>
      <c r="C13751" s="445"/>
      <c r="D13751" s="446"/>
      <c r="E13751" s="445"/>
      <c r="F13751" s="445"/>
      <c r="G13751" s="390"/>
      <c r="H13751" s="394"/>
    </row>
    <row r="13752" spans="1:8" ht="15.75" customHeight="1" x14ac:dyDescent="0.25">
      <c r="A13752" s="445"/>
      <c r="B13752" s="445"/>
      <c r="C13752" s="445"/>
      <c r="D13752" s="446"/>
      <c r="E13752" s="445"/>
      <c r="F13752" s="445"/>
      <c r="G13752" s="390"/>
      <c r="H13752" s="394"/>
    </row>
    <row r="13753" spans="1:8" ht="15.75" customHeight="1" x14ac:dyDescent="0.25">
      <c r="A13753" s="445"/>
      <c r="B13753" s="445"/>
      <c r="C13753" s="445"/>
      <c r="D13753" s="446"/>
      <c r="E13753" s="445"/>
      <c r="F13753" s="445"/>
      <c r="G13753" s="390"/>
      <c r="H13753" s="394"/>
    </row>
    <row r="13754" spans="1:8" ht="15.75" customHeight="1" x14ac:dyDescent="0.25">
      <c r="A13754" s="445"/>
      <c r="B13754" s="445"/>
      <c r="C13754" s="445"/>
      <c r="D13754" s="446"/>
      <c r="E13754" s="445"/>
      <c r="F13754" s="445"/>
      <c r="G13754" s="390"/>
      <c r="H13754" s="394"/>
    </row>
    <row r="13755" spans="1:8" ht="15.75" customHeight="1" x14ac:dyDescent="0.25">
      <c r="A13755" s="445"/>
      <c r="B13755" s="445"/>
      <c r="C13755" s="445"/>
      <c r="D13755" s="446"/>
      <c r="E13755" s="445"/>
      <c r="F13755" s="445"/>
      <c r="G13755" s="390"/>
      <c r="H13755" s="394"/>
    </row>
    <row r="13756" spans="1:8" ht="15.75" customHeight="1" x14ac:dyDescent="0.25">
      <c r="A13756" s="445"/>
      <c r="B13756" s="445"/>
      <c r="C13756" s="445"/>
      <c r="D13756" s="446"/>
      <c r="E13756" s="445"/>
      <c r="F13756" s="445"/>
      <c r="G13756" s="390"/>
      <c r="H13756" s="394"/>
    </row>
    <row r="13757" spans="1:8" ht="15.75" customHeight="1" x14ac:dyDescent="0.25">
      <c r="A13757" s="445"/>
      <c r="B13757" s="445"/>
      <c r="C13757" s="445"/>
      <c r="D13757" s="446"/>
      <c r="E13757" s="445"/>
      <c r="F13757" s="445"/>
      <c r="G13757" s="390"/>
      <c r="H13757" s="394"/>
    </row>
    <row r="13758" spans="1:8" ht="15.75" customHeight="1" x14ac:dyDescent="0.25">
      <c r="A13758" s="445"/>
      <c r="B13758" s="445"/>
      <c r="C13758" s="445"/>
      <c r="D13758" s="446"/>
      <c r="E13758" s="445"/>
      <c r="F13758" s="445"/>
      <c r="G13758" s="390"/>
      <c r="H13758" s="394"/>
    </row>
    <row r="13759" spans="1:8" ht="15.75" customHeight="1" x14ac:dyDescent="0.25">
      <c r="A13759" s="445"/>
      <c r="B13759" s="445"/>
      <c r="C13759" s="445"/>
      <c r="D13759" s="446"/>
      <c r="E13759" s="445"/>
      <c r="F13759" s="445"/>
      <c r="G13759" s="390"/>
      <c r="H13759" s="394"/>
    </row>
    <row r="13760" spans="1:8" ht="15.75" customHeight="1" x14ac:dyDescent="0.25">
      <c r="A13760" s="445"/>
      <c r="B13760" s="445"/>
      <c r="C13760" s="445"/>
      <c r="D13760" s="446"/>
      <c r="E13760" s="445"/>
      <c r="F13760" s="445"/>
      <c r="G13760" s="390"/>
      <c r="H13760" s="394"/>
    </row>
    <row r="13761" spans="1:8" ht="15.75" customHeight="1" x14ac:dyDescent="0.25">
      <c r="A13761" s="445"/>
      <c r="B13761" s="445"/>
      <c r="C13761" s="445"/>
      <c r="D13761" s="446"/>
      <c r="E13761" s="445"/>
      <c r="F13761" s="445"/>
      <c r="G13761" s="390"/>
      <c r="H13761" s="394"/>
    </row>
    <row r="13762" spans="1:8" ht="15.75" customHeight="1" x14ac:dyDescent="0.25">
      <c r="A13762" s="445"/>
      <c r="B13762" s="445"/>
      <c r="C13762" s="445"/>
      <c r="D13762" s="446"/>
      <c r="E13762" s="445"/>
      <c r="F13762" s="445"/>
      <c r="G13762" s="390"/>
      <c r="H13762" s="394"/>
    </row>
    <row r="13763" spans="1:8" ht="15.75" customHeight="1" x14ac:dyDescent="0.25">
      <c r="A13763" s="445"/>
      <c r="B13763" s="445"/>
      <c r="C13763" s="445"/>
      <c r="D13763" s="446"/>
      <c r="E13763" s="445"/>
      <c r="F13763" s="445"/>
      <c r="G13763" s="390"/>
      <c r="H13763" s="394"/>
    </row>
    <row r="13764" spans="1:8" ht="15.75" customHeight="1" x14ac:dyDescent="0.25">
      <c r="A13764" s="445"/>
      <c r="B13764" s="445"/>
      <c r="C13764" s="445"/>
      <c r="D13764" s="446"/>
      <c r="E13764" s="445"/>
      <c r="F13764" s="445"/>
      <c r="G13764" s="390"/>
      <c r="H13764" s="394"/>
    </row>
    <row r="13765" spans="1:8" ht="15.75" customHeight="1" x14ac:dyDescent="0.25">
      <c r="A13765" s="445"/>
      <c r="B13765" s="445"/>
      <c r="C13765" s="445"/>
      <c r="D13765" s="446"/>
      <c r="E13765" s="445"/>
      <c r="F13765" s="445"/>
      <c r="G13765" s="390"/>
      <c r="H13765" s="394"/>
    </row>
    <row r="13766" spans="1:8" ht="15.75" customHeight="1" x14ac:dyDescent="0.25">
      <c r="A13766" s="445"/>
      <c r="B13766" s="445"/>
      <c r="C13766" s="445"/>
      <c r="D13766" s="446"/>
      <c r="E13766" s="445"/>
      <c r="F13766" s="445"/>
      <c r="G13766" s="390"/>
      <c r="H13766" s="394"/>
    </row>
    <row r="13767" spans="1:8" ht="15.75" customHeight="1" x14ac:dyDescent="0.25">
      <c r="A13767" s="445"/>
      <c r="B13767" s="445"/>
      <c r="C13767" s="445"/>
      <c r="D13767" s="446"/>
      <c r="E13767" s="445"/>
      <c r="F13767" s="445"/>
      <c r="G13767" s="390"/>
      <c r="H13767" s="394"/>
    </row>
    <row r="13768" spans="1:8" ht="15.75" customHeight="1" x14ac:dyDescent="0.25">
      <c r="A13768" s="445"/>
      <c r="B13768" s="445"/>
      <c r="C13768" s="445"/>
      <c r="D13768" s="446"/>
      <c r="E13768" s="445"/>
      <c r="F13768" s="445"/>
      <c r="G13768" s="390"/>
      <c r="H13768" s="394"/>
    </row>
    <row r="13769" spans="1:8" ht="15.75" customHeight="1" x14ac:dyDescent="0.25">
      <c r="A13769" s="445"/>
      <c r="B13769" s="445"/>
      <c r="C13769" s="445"/>
      <c r="D13769" s="446"/>
      <c r="E13769" s="445"/>
      <c r="F13769" s="445"/>
      <c r="G13769" s="390"/>
      <c r="H13769" s="394"/>
    </row>
    <row r="13770" spans="1:8" ht="15.75" customHeight="1" x14ac:dyDescent="0.25">
      <c r="A13770" s="445"/>
      <c r="B13770" s="445"/>
      <c r="C13770" s="445"/>
      <c r="D13770" s="446"/>
      <c r="E13770" s="445"/>
      <c r="F13770" s="445"/>
      <c r="G13770" s="390"/>
      <c r="H13770" s="394"/>
    </row>
    <row r="13771" spans="1:8" ht="15.75" customHeight="1" x14ac:dyDescent="0.25">
      <c r="A13771" s="8" t="s">
        <v>14</v>
      </c>
      <c r="B13771" s="8"/>
      <c r="C13771" s="8"/>
      <c r="D13771" s="8"/>
      <c r="E13771" s="8"/>
      <c r="F13771" s="8"/>
      <c r="G13771" s="8"/>
      <c r="H13771" s="8"/>
    </row>
    <row r="13772" spans="1:8" ht="15.75" customHeight="1" x14ac:dyDescent="0.25">
      <c r="A13772" s="388"/>
      <c r="B13772" s="388"/>
      <c r="C13772" s="388"/>
      <c r="D13772" s="389"/>
      <c r="E13772" s="388"/>
      <c r="F13772" s="388"/>
      <c r="G13772" s="388"/>
      <c r="H13772" s="8"/>
    </row>
    <row r="13773" spans="1:8" ht="15.75" customHeight="1" x14ac:dyDescent="0.25">
      <c r="A13773" s="390"/>
      <c r="B13773" s="390"/>
      <c r="C13773" s="390"/>
      <c r="D13773" s="391"/>
      <c r="E13773" s="390"/>
      <c r="F13773" s="395" t="s">
        <v>18</v>
      </c>
      <c r="G13773" s="396" t="s">
        <v>520</v>
      </c>
      <c r="H13773" s="397"/>
    </row>
    <row r="13774" spans="1:8" ht="15.75" customHeight="1" x14ac:dyDescent="0.25">
      <c r="A13774" s="390" t="s">
        <v>20</v>
      </c>
      <c r="B13774" s="390"/>
      <c r="D13774" s="391"/>
      <c r="E13774" s="390"/>
      <c r="F13774" s="395" t="s">
        <v>21</v>
      </c>
      <c r="G13774" s="390" t="s">
        <v>1517</v>
      </c>
      <c r="H13774" s="391"/>
    </row>
    <row r="13775" spans="1:8" ht="15.75" customHeight="1" x14ac:dyDescent="0.25">
      <c r="A13775" s="390" t="inlineStr">
        <is>
          <t>Dealer-003</t>
        </is>
      </c>
      <c r="B13775" s="390"/>
      <c r="C13775" s="393" t="inlineStr">
        <is>
          <t>ATTN: Contact-007</t>
        </is>
      </c>
      <c r="D13775" s="398"/>
      <c r="E13775" s="390"/>
      <c r="F13775" s="391"/>
      <c r="G13775" s="390"/>
      <c r="H13775" s="394"/>
    </row>
    <row r="13776" spans="1:8" ht="15.75" customHeight="1" x14ac:dyDescent="0.25">
      <c r="A13776" s="390" t="inlineStr">
        <is>
          <t>Address line (redacted)</t>
        </is>
      </c>
      <c r="B13776" s="390"/>
      <c r="C13776" s="390"/>
      <c r="D13776" s="398"/>
      <c r="E13776" s="390"/>
      <c r="F13776" s="391"/>
      <c r="G13776" s="390"/>
      <c r="H13776" s="394"/>
    </row>
    <row r="13777" spans="1:8" ht="15.75" customHeight="1" x14ac:dyDescent="0.25">
      <c r="A13777" s="390"/>
      <c r="B13777" s="390"/>
      <c r="C13777" s="390"/>
      <c r="D13777" s="391"/>
      <c r="E13777" s="390"/>
      <c r="F13777" s="391"/>
      <c r="G13777" s="390"/>
      <c r="H13777" s="394"/>
    </row>
    <row r="13778" spans="1:8" ht="15.75" customHeight="1" x14ac:dyDescent="0.25">
      <c r="A13778" s="390" t="s">
        <v>30</v>
      </c>
      <c r="B13778" s="390"/>
      <c r="C13778" s="390"/>
      <c r="D13778" s="391"/>
      <c r="E13778" s="390"/>
      <c r="F13778" s="391"/>
      <c r="G13778" s="390"/>
      <c r="H13778" s="394"/>
    </row>
    <row r="13779" spans="1:8" ht="15.75" customHeight="1" x14ac:dyDescent="0.25">
      <c r="A13779" s="390"/>
      <c r="B13779" s="390"/>
      <c r="C13779" s="390"/>
      <c r="D13779" s="391"/>
      <c r="E13779" s="390"/>
      <c r="F13779" s="391"/>
      <c r="G13779" s="390"/>
      <c r="H13779" s="394"/>
    </row>
    <row r="13780" spans="1:8" ht="15.75" customHeight="1" x14ac:dyDescent="0.25">
      <c r="A13780" s="390" t="s">
        <v>716</v>
      </c>
      <c r="B13780" s="390"/>
      <c r="C13780" s="390"/>
      <c r="D13780" s="391"/>
      <c r="E13780" s="390"/>
      <c r="F13780" s="391"/>
      <c r="G13780" s="390"/>
      <c r="H13780" s="394"/>
    </row>
    <row r="13781" spans="1:8" ht="15.75" customHeight="1" x14ac:dyDescent="0.25">
      <c r="A13781" s="390" t="s">
        <v>717</v>
      </c>
      <c r="B13781" s="390"/>
      <c r="C13781" s="390"/>
      <c r="D13781" s="391"/>
      <c r="E13781" s="390"/>
      <c r="F13781" s="391"/>
      <c r="G13781" s="390"/>
      <c r="H13781" s="394"/>
    </row>
    <row r="13782" spans="1:8" ht="15.75" customHeight="1" x14ac:dyDescent="0.25">
      <c r="A13782" s="390"/>
      <c r="B13782" s="390"/>
      <c r="C13782" s="390"/>
      <c r="D13782" s="391"/>
      <c r="E13782" s="390"/>
      <c r="F13782" s="391"/>
      <c r="G13782" s="390"/>
      <c r="H13782" s="394"/>
    </row>
    <row r="13783" spans="1:8" ht="15.75" customHeight="1" x14ac:dyDescent="0.25">
      <c r="A13783" s="948" t="s">
        <v>33</v>
      </c>
      <c r="B13783" s="949" t="s">
        <v>6</v>
      </c>
      <c r="C13783" s="950"/>
      <c r="D13783" s="874" t="s">
        <v>37</v>
      </c>
      <c r="E13783" s="874" t="s">
        <v>38</v>
      </c>
      <c r="F13783" s="875" t="s">
        <v>7</v>
      </c>
      <c r="G13783" s="872" t="s">
        <v>43</v>
      </c>
      <c r="H13783" s="876" t="s">
        <v>44</v>
      </c>
    </row>
    <row r="13784" spans="1:8" ht="15.75" customHeight="1" x14ac:dyDescent="0.3">
      <c r="A13784" s="412"/>
      <c r="B13784" s="1042"/>
      <c r="C13784" s="1043"/>
      <c r="D13784" s="879"/>
      <c r="E13784" s="879"/>
      <c r="F13784" s="415"/>
      <c r="G13784" s="415"/>
      <c r="H13784" s="416"/>
    </row>
    <row r="13785" spans="1:8" ht="15.75" customHeight="1" x14ac:dyDescent="0.25">
      <c r="A13785" s="412"/>
      <c r="B13785" s="1026" t="s">
        <v>1518</v>
      </c>
      <c r="C13785" s="1027"/>
      <c r="D13785" s="415"/>
      <c r="E13785" s="415"/>
      <c r="F13785" s="415"/>
      <c r="G13785" s="415"/>
      <c r="H13785" s="416"/>
    </row>
    <row r="13786" spans="1:8" ht="15.75" customHeight="1" x14ac:dyDescent="0.25">
      <c r="A13786" s="412">
        <v>1</v>
      </c>
      <c r="B13786" s="1037" t="s">
        <v>482</v>
      </c>
      <c r="C13786" s="422" t="s">
        <v>1519</v>
      </c>
      <c r="D13786" s="588">
        <v>98</v>
      </c>
      <c r="E13786" s="1129">
        <v>1</v>
      </c>
      <c r="F13786" s="415">
        <f>+D13786*E13786</f>
      </c>
      <c r="G13786" s="415">
        <v>1</v>
      </c>
      <c r="H13786" s="416">
        <f>+G13786*F13786</f>
      </c>
    </row>
    <row r="13787" spans="1:8" ht="15" customHeight="1" x14ac:dyDescent="0.25">
      <c r="A13787" s="412"/>
      <c r="B13787" s="1037"/>
      <c r="C13787" s="422"/>
      <c r="D13787" s="588"/>
      <c r="E13787" s="1129"/>
      <c r="F13787" s="415"/>
      <c r="G13787" s="415"/>
      <c r="H13787" s="416"/>
    </row>
    <row r="13788" spans="1:8" ht="15.75" customHeight="1" x14ac:dyDescent="0.25">
      <c r="A13788" s="412"/>
      <c r="B13788" s="1026" t="s">
        <v>590</v>
      </c>
      <c r="C13788" s="1027"/>
      <c r="D13788" s="588"/>
      <c r="E13788" s="1129"/>
      <c r="F13788" s="415"/>
      <c r="G13788" s="415"/>
      <c r="H13788" s="416"/>
    </row>
    <row r="13789" spans="1:8" ht="15.75" customHeight="1" x14ac:dyDescent="0.25">
      <c r="A13789" s="412">
        <v>2</v>
      </c>
      <c r="B13789" s="1037" t="s">
        <v>187</v>
      </c>
      <c r="C13789" s="422" t="s">
        <v>358</v>
      </c>
      <c r="D13789" s="592">
        <v>6</v>
      </c>
      <c r="E13789" s="592">
        <v>8</v>
      </c>
      <c r="F13789" s="415">
        <v>46</v>
      </c>
      <c r="G13789" s="415">
        <v>1</v>
      </c>
      <c r="H13789" s="416">
        <f>+G13789*F13789</f>
      </c>
    </row>
    <row r="13790" spans="1:8" ht="15.75" customHeight="1" x14ac:dyDescent="0.25">
      <c r="A13790" s="412"/>
      <c r="B13790" s="1037"/>
      <c r="C13790" s="422"/>
      <c r="D13790" s="626"/>
      <c r="E13790" s="626"/>
      <c r="F13790" s="415">
        <v>2</v>
      </c>
      <c r="G13790" s="1130"/>
      <c r="H13790" s="416"/>
    </row>
    <row r="13791" spans="1:8" ht="15.75" customHeight="1" x14ac:dyDescent="0.25">
      <c r="A13791" s="412"/>
      <c r="B13791" s="980"/>
      <c r="C13791" s="627"/>
      <c r="D13791" s="588"/>
      <c r="E13791" s="588"/>
      <c r="F13791" s="415"/>
      <c r="G13791" s="415"/>
      <c r="H13791" s="416"/>
    </row>
    <row r="13792" spans="1:8" ht="15.75" customHeight="1" x14ac:dyDescent="0.25">
      <c r="A13792" s="894"/>
      <c r="B13792" s="878"/>
      <c r="C13792" s="895"/>
      <c r="D13792" s="593"/>
      <c r="E13792" s="593"/>
      <c r="F13792" s="593"/>
      <c r="G13792" s="593"/>
      <c r="H13792" s="931"/>
    </row>
    <row r="13793" spans="1:8" ht="15.75" customHeight="1" x14ac:dyDescent="0.25">
      <c r="A13793" s="877"/>
      <c r="B13793" s="688"/>
      <c r="C13793" s="896" t="s">
        <v>85</v>
      </c>
      <c r="D13793" s="599">
        <f>SUM(D13786:D13792)</f>
      </c>
      <c r="E13793" s="401"/>
      <c r="F13793" s="599">
        <f>SUM(F13786:F13792)</f>
      </c>
      <c r="G13793" s="661"/>
      <c r="H13793" s="438">
        <f>SUM(H13786:H13792)</f>
      </c>
    </row>
    <row r="13794" spans="1:8" ht="15.75" customHeight="1" x14ac:dyDescent="0.25">
      <c r="A13794" s="932"/>
      <c r="B13794" s="933"/>
      <c r="C13794" s="934"/>
      <c r="D13794" s="431"/>
      <c r="E13794" s="935"/>
      <c r="F13794" s="935"/>
      <c r="G13794" s="936"/>
      <c r="H13794" s="444"/>
    </row>
    <row r="13795" spans="1:8" ht="15.75" customHeight="1" x14ac:dyDescent="0.25">
      <c r="A13795" s="994" t="s">
        <v>913</v>
      </c>
      <c r="B13795" s="391"/>
      <c r="C13795" s="391"/>
      <c r="D13795" s="391"/>
      <c r="E13795" s="390"/>
      <c r="F13795" s="392"/>
      <c r="G13795" s="390"/>
      <c r="H13795" s="394"/>
    </row>
    <row r="13796" spans="1:8" ht="15.75" customHeight="1" x14ac:dyDescent="0.25">
      <c r="A13796" s="445"/>
      <c r="B13796" s="445"/>
      <c r="C13796" s="445"/>
      <c r="D13796" s="446" t="s">
        <v>97</v>
      </c>
      <c r="E13796" s="445" t="s">
        <v>98</v>
      </c>
      <c r="F13796" s="445"/>
      <c r="G13796" s="390"/>
      <c r="H13796" s="394"/>
    </row>
    <row r="13797" spans="1:8" ht="15.75" customHeight="1" x14ac:dyDescent="0.25">
      <c r="A13797" s="390"/>
      <c r="B13797" s="390"/>
      <c r="C13797" s="390"/>
      <c r="D13797" s="391"/>
      <c r="E13797" s="390"/>
      <c r="F13797" s="390"/>
      <c r="G13797" s="390"/>
      <c r="H13797" s="394"/>
    </row>
    <row r="13798" spans="1:8" ht="15.75" customHeight="1" x14ac:dyDescent="0.25">
      <c r="A13798" s="390"/>
      <c r="B13798" s="390"/>
      <c r="C13798" s="390"/>
      <c r="D13798" s="391"/>
      <c r="E13798" s="390"/>
      <c r="F13798" s="390"/>
      <c r="G13798" s="390"/>
      <c r="H13798" s="394"/>
    </row>
    <row r="13799" spans="1:8" ht="15.75" customHeight="1" x14ac:dyDescent="0.25">
      <c r="A13799" s="445"/>
      <c r="B13799" s="445"/>
      <c r="C13799" s="445"/>
      <c r="D13799" s="446"/>
      <c r="E13799" s="445" t="s">
        <v>99</v>
      </c>
      <c r="F13799" s="445"/>
      <c r="G13799" s="390"/>
      <c r="H13799" s="394"/>
    </row>
    <row r="13800" spans="1:8" ht="15.75" customHeight="1" x14ac:dyDescent="0.25">
      <c r="D13800" s="4"/>
      <c r="H13800" s="4"/>
    </row>
    <row r="13801" spans="1:8" ht="15.75" customHeight="1" x14ac:dyDescent="0.25">
      <c r="D13801" s="4"/>
      <c r="H13801" s="4"/>
    </row>
    <row r="13802" spans="1:8" ht="15.75" customHeight="1" x14ac:dyDescent="0.25">
      <c r="D13802" s="4"/>
      <c r="H13802" s="4"/>
    </row>
    <row r="13803" spans="1:8" ht="15.75" customHeight="1" x14ac:dyDescent="0.25">
      <c r="D13803" s="4"/>
      <c r="H13803" s="4"/>
    </row>
    <row r="13804" spans="1:8" ht="15.75" customHeight="1" x14ac:dyDescent="0.25">
      <c r="D13804" s="4"/>
      <c r="H13804" s="4"/>
    </row>
    <row r="13805" spans="1:8" ht="15.75" customHeight="1" x14ac:dyDescent="0.25">
      <c r="D13805" s="4"/>
      <c r="H13805" s="4"/>
    </row>
    <row r="13806" spans="1:8" ht="15.75" customHeight="1" x14ac:dyDescent="0.25">
      <c r="D13806" s="4"/>
      <c r="H13806" s="4"/>
    </row>
    <row r="13807" spans="1:8" ht="15.75" customHeight="1" x14ac:dyDescent="0.25">
      <c r="D13807" s="4"/>
      <c r="H13807" s="4"/>
    </row>
    <row r="13808" spans="1:8" ht="15.75" customHeight="1" x14ac:dyDescent="0.25">
      <c r="D13808" s="4"/>
      <c r="H13808" s="4"/>
    </row>
    <row r="13809" spans="1:8" ht="15.75" customHeight="1" x14ac:dyDescent="0.25">
      <c r="D13809" s="4"/>
      <c r="H13809" s="4"/>
    </row>
    <row r="13810" spans="1:8" ht="15.75" customHeight="1" x14ac:dyDescent="0.25">
      <c r="D13810" s="4"/>
      <c r="H13810" s="4"/>
    </row>
    <row r="13811" spans="1:8" ht="15.75" customHeight="1" x14ac:dyDescent="0.25">
      <c r="D13811" s="4"/>
      <c r="H13811" s="4"/>
    </row>
    <row r="13812" spans="1:8" ht="15.75" customHeight="1" x14ac:dyDescent="0.25">
      <c r="D13812" s="4"/>
      <c r="H13812" s="4"/>
    </row>
    <row r="13813" spans="1:8" ht="15.75" customHeight="1" x14ac:dyDescent="0.25">
      <c r="D13813" s="4"/>
      <c r="H13813" s="4"/>
    </row>
    <row r="13814" spans="1:8" ht="15.75" customHeight="1" x14ac:dyDescent="0.25">
      <c r="D13814" s="4"/>
      <c r="H13814" s="4"/>
    </row>
    <row r="13815" spans="1:8" ht="15.75" customHeight="1" x14ac:dyDescent="0.25">
      <c r="D13815" s="4"/>
      <c r="H13815" s="4"/>
    </row>
    <row r="13816" spans="1:8" ht="15.75" customHeight="1" x14ac:dyDescent="0.25">
      <c r="D13816" s="4"/>
      <c r="H13816" s="4"/>
    </row>
    <row r="13817" spans="1:8" ht="15.75" customHeight="1" x14ac:dyDescent="0.25">
      <c r="D13817" s="4"/>
      <c r="H13817" s="4"/>
    </row>
    <row r="13818" spans="1:8" ht="15.75" customHeight="1" x14ac:dyDescent="0.25">
      <c r="D13818" s="4"/>
      <c r="H13818" s="4"/>
    </row>
    <row r="13819" spans="1:8" ht="15.75" customHeight="1" x14ac:dyDescent="0.25">
      <c r="A13819" s="292" t="s">
        <v>14</v>
      </c>
      <c r="B13819" s="292"/>
      <c r="C13819" s="292"/>
      <c r="D13819" s="292"/>
      <c r="E13819" s="292"/>
      <c r="F13819" s="292"/>
      <c r="G13819" s="292"/>
      <c r="H13819" s="292"/>
    </row>
    <row r="13820" spans="1:8" ht="15.75" customHeight="1" x14ac:dyDescent="0.25">
      <c r="A13820" s="293"/>
      <c r="B13820" s="293"/>
      <c r="C13820" s="293"/>
      <c r="D13820" s="294"/>
      <c r="E13820" s="293"/>
      <c r="F13820" s="293"/>
      <c r="G13820" s="293"/>
      <c r="H13820" s="295"/>
    </row>
    <row r="13821" spans="1:8" ht="15.75" customHeight="1" x14ac:dyDescent="0.25">
      <c r="A13821" s="293"/>
      <c r="B13821" s="293"/>
      <c r="C13821" s="293"/>
      <c r="D13821" s="294"/>
      <c r="E13821" s="293"/>
      <c r="F13821" s="299" t="s">
        <v>18</v>
      </c>
      <c r="G13821" s="300" t="s">
        <v>1160</v>
      </c>
      <c r="H13821" s="301"/>
    </row>
    <row r="13822" spans="1:8" ht="15.75" customHeight="1" x14ac:dyDescent="0.25">
      <c r="A13822" s="293" t="s">
        <v>20</v>
      </c>
      <c r="B13822" s="293"/>
      <c r="C13822" s="293"/>
      <c r="D13822" s="294"/>
      <c r="E13822" s="293"/>
      <c r="F13822" s="299" t="s">
        <v>21</v>
      </c>
      <c r="G13822" s="293" t="s">
        <v>1566</v>
      </c>
      <c r="H13822" s="294"/>
    </row>
    <row r="13823" spans="1:8" ht="15.75" customHeight="1" x14ac:dyDescent="0.25">
      <c r="A13823" s="293" t="inlineStr">
        <is>
          <t>Dealer-001</t>
        </is>
      </c>
      <c r="B13823" s="293"/>
      <c r="C13823" s="293"/>
      <c r="D13823" s="294"/>
      <c r="E13823" s="299"/>
      <c r="F13823" s="293"/>
      <c r="G13823" s="293"/>
      <c r="H13823" s="298"/>
    </row>
    <row r="13824" spans="1:8" ht="15.75" customHeight="1" x14ac:dyDescent="0.25">
      <c r="A13824" s="293" t="inlineStr">
        <is>
          <t>Address line (redacted)</t>
        </is>
      </c>
      <c r="B13824" s="293"/>
      <c r="C13824" s="293"/>
      <c r="D13824" s="295"/>
      <c r="E13824" s="293"/>
      <c r="F13824" s="294"/>
      <c r="G13824" s="293"/>
      <c r="H13824" s="298"/>
    </row>
    <row r="13825" spans="1:8" ht="15.75" customHeight="1" x14ac:dyDescent="0.25">
      <c r="A13825" s="293"/>
      <c r="B13825" s="293"/>
      <c r="C13825" s="293"/>
      <c r="D13825" s="295"/>
      <c r="E13825" s="293"/>
      <c r="F13825" s="294"/>
      <c r="G13825" s="293"/>
      <c r="H13825" s="298"/>
    </row>
    <row r="13826" spans="1:8" ht="15.75" customHeight="1" x14ac:dyDescent="0.25">
      <c r="A13826" s="293" t="inlineStr">
        <is>
          <t>Through: Transporter-001</t>
        </is>
      </c>
      <c r="B13826" s="293"/>
      <c r="C13826" s="293"/>
      <c r="D13826" s="295"/>
      <c r="E13826" s="293"/>
      <c r="F13826" s="294"/>
      <c r="G13826" s="293"/>
      <c r="H13826" s="298"/>
    </row>
    <row r="13827" spans="1:8" ht="15.75" customHeight="1" x14ac:dyDescent="0.25">
      <c r="A13827" s="293"/>
      <c r="B13827" s="293" t="inlineStr">
        <is>
          <t>Address line (redacted)</t>
        </is>
      </c>
      <c r="C13827" s="293"/>
      <c r="D13827" s="295"/>
      <c r="E13827" s="293"/>
      <c r="F13827" s="294"/>
      <c r="G13827" s="293"/>
      <c r="H13827" s="298"/>
    </row>
    <row r="13828" spans="1:8" ht="15.75" customHeight="1" x14ac:dyDescent="0.25">
      <c r="A13828" s="293"/>
      <c r="B13828" s="293"/>
      <c r="C13828" s="293"/>
      <c r="D13828" s="295"/>
      <c r="E13828" s="293"/>
      <c r="F13828" s="294"/>
      <c r="G13828" s="293"/>
      <c r="H13828" s="298"/>
    </row>
    <row r="13829" spans="1:8" ht="15.75" customHeight="1" x14ac:dyDescent="0.25">
      <c r="A13829" s="293" t="s">
        <v>30</v>
      </c>
      <c r="B13829" s="293"/>
      <c r="C13829" s="293"/>
      <c r="D13829" s="294"/>
      <c r="E13829" s="293"/>
      <c r="F13829" s="294"/>
      <c r="G13829" s="293"/>
      <c r="H13829" s="298"/>
    </row>
    <row r="13830" spans="1:8" ht="15.75" customHeight="1" x14ac:dyDescent="0.25">
      <c r="A13830" s="293" t="s">
        <v>716</v>
      </c>
      <c r="B13830" s="293"/>
      <c r="C13830" s="293"/>
      <c r="D13830" s="294"/>
      <c r="E13830" s="293"/>
      <c r="F13830" s="294"/>
      <c r="G13830" s="293"/>
      <c r="H13830" s="298"/>
    </row>
    <row r="13831" spans="1:8" ht="15.75" customHeight="1" x14ac:dyDescent="0.25">
      <c r="A13831" s="293" t="s">
        <v>717</v>
      </c>
      <c r="B13831" s="293"/>
      <c r="C13831" s="293"/>
      <c r="D13831" s="294"/>
      <c r="E13831" s="293"/>
      <c r="F13831" s="294"/>
      <c r="G13831" s="293"/>
      <c r="H13831" s="298"/>
    </row>
    <row r="13832" spans="1:8" ht="15.75" customHeight="1" x14ac:dyDescent="0.25">
      <c r="A13832" s="293"/>
      <c r="B13832" s="293"/>
      <c r="C13832" s="293"/>
      <c r="D13832" s="294"/>
      <c r="E13832" s="293"/>
      <c r="F13832" s="294"/>
      <c r="G13832" s="293"/>
      <c r="H13832" s="298"/>
    </row>
    <row r="13833" spans="1:8" ht="15.75" customHeight="1" x14ac:dyDescent="0.25">
      <c r="A13833" s="1131" t="s">
        <v>33</v>
      </c>
      <c r="B13833" s="1132" t="s">
        <v>6</v>
      </c>
      <c r="C13833" s="1132"/>
      <c r="D13833" s="1133" t="s">
        <v>37</v>
      </c>
      <c r="E13833" s="1134" t="s">
        <v>38</v>
      </c>
      <c r="F13833" s="1135" t="s">
        <v>7</v>
      </c>
      <c r="G13833" s="1132" t="s">
        <v>43</v>
      </c>
      <c r="H13833" s="1136" t="s">
        <v>44</v>
      </c>
    </row>
    <row r="13834" spans="1:8" ht="15.75" customHeight="1" x14ac:dyDescent="0.25">
      <c r="A13834" s="352"/>
      <c r="B13834" s="883" t="s">
        <v>590</v>
      </c>
      <c r="C13834" s="883"/>
      <c r="D13834" s="355"/>
      <c r="E13834" s="355"/>
      <c r="F13834" s="355"/>
      <c r="G13834" s="355"/>
      <c r="H13834" s="356"/>
    </row>
    <row r="13835" spans="1:8" ht="15.75" customHeight="1" x14ac:dyDescent="0.25">
      <c r="A13835" s="352">
        <v>1</v>
      </c>
      <c r="B13835" s="1137" t="s">
        <v>80</v>
      </c>
      <c r="C13835" s="1138" t="s">
        <v>386</v>
      </c>
      <c r="D13835" s="355">
        <v>9</v>
      </c>
      <c r="E13835" s="355">
        <v>5</v>
      </c>
      <c r="F13835" s="355">
        <f t="shared" ref="F13835:F13841" si="538">+E13835*D13835</f>
      </c>
      <c r="G13835" s="355">
        <v>1</v>
      </c>
      <c r="H13835" s="356">
        <f t="shared" ref="H13835:H13841" si="539">+G13835*F13835</f>
      </c>
    </row>
    <row r="13836" spans="1:8" ht="15.75" customHeight="1" x14ac:dyDescent="0.25">
      <c r="A13836" s="352">
        <v>2</v>
      </c>
      <c r="B13836" s="1137" t="s">
        <v>127</v>
      </c>
      <c r="C13836" s="1138" t="s">
        <v>398</v>
      </c>
      <c r="D13836" s="355">
        <v>2</v>
      </c>
      <c r="E13836" s="355">
        <v>6</v>
      </c>
      <c r="F13836" s="355">
        <f t="shared" si="538"/>
      </c>
      <c r="G13836" s="355">
        <v>1</v>
      </c>
      <c r="H13836" s="356">
        <f t="shared" si="539"/>
      </c>
    </row>
    <row r="13837" spans="1:8" ht="15.75" customHeight="1" x14ac:dyDescent="0.25">
      <c r="A13837" s="352">
        <v>3</v>
      </c>
      <c r="B13837" s="1137" t="s">
        <v>56</v>
      </c>
      <c r="C13837" s="1138" t="s">
        <v>1839</v>
      </c>
      <c r="D13837" s="355">
        <v>3</v>
      </c>
      <c r="E13837" s="355">
        <v>6</v>
      </c>
      <c r="F13837" s="355">
        <f t="shared" si="538"/>
      </c>
      <c r="G13837" s="355">
        <v>1</v>
      </c>
      <c r="H13837" s="356">
        <f t="shared" si="539"/>
      </c>
    </row>
    <row r="13838" spans="1:8" ht="15.75" customHeight="1" x14ac:dyDescent="0.25">
      <c r="A13838" s="352">
        <v>4</v>
      </c>
      <c r="B13838" s="1137" t="s">
        <v>60</v>
      </c>
      <c r="C13838" s="1138" t="s">
        <v>369</v>
      </c>
      <c r="D13838" s="355">
        <v>2</v>
      </c>
      <c r="E13838" s="355">
        <v>6</v>
      </c>
      <c r="F13838" s="355">
        <f t="shared" si="538"/>
      </c>
      <c r="G13838" s="355">
        <v>1</v>
      </c>
      <c r="H13838" s="356">
        <f t="shared" si="539"/>
      </c>
    </row>
    <row r="13839" spans="1:8" ht="15.75" customHeight="1" x14ac:dyDescent="0.25">
      <c r="A13839" s="352">
        <v>5</v>
      </c>
      <c r="B13839" s="1137" t="s">
        <v>1737</v>
      </c>
      <c r="C13839" s="1138" t="s">
        <v>371</v>
      </c>
      <c r="D13839" s="355">
        <v>5</v>
      </c>
      <c r="E13839" s="355">
        <v>6</v>
      </c>
      <c r="F13839" s="355">
        <f t="shared" si="538"/>
      </c>
      <c r="G13839" s="355">
        <v>1</v>
      </c>
      <c r="H13839" s="356">
        <f t="shared" si="539"/>
      </c>
    </row>
    <row r="13840" spans="1:8" ht="15.75" customHeight="1" x14ac:dyDescent="0.25">
      <c r="A13840" s="352">
        <v>6</v>
      </c>
      <c r="B13840" s="1137" t="s">
        <v>15</v>
      </c>
      <c r="C13840" s="1138" t="s">
        <v>388</v>
      </c>
      <c r="D13840" s="355">
        <v>8</v>
      </c>
      <c r="E13840" s="355">
        <v>6</v>
      </c>
      <c r="F13840" s="355">
        <f t="shared" si="538"/>
      </c>
      <c r="G13840" s="355">
        <v>1</v>
      </c>
      <c r="H13840" s="356">
        <f t="shared" si="539"/>
      </c>
    </row>
    <row r="13841" spans="1:8" ht="15.75" customHeight="1" x14ac:dyDescent="0.25">
      <c r="A13841" s="352">
        <v>7</v>
      </c>
      <c r="B13841" s="1137" t="s">
        <v>801</v>
      </c>
      <c r="C13841" s="1138" t="s">
        <v>383</v>
      </c>
      <c r="D13841" s="355">
        <v>1</v>
      </c>
      <c r="E13841" s="355">
        <v>6</v>
      </c>
      <c r="F13841" s="355">
        <f t="shared" si="538"/>
      </c>
      <c r="G13841" s="355">
        <v>1</v>
      </c>
      <c r="H13841" s="356">
        <f t="shared" si="539"/>
      </c>
    </row>
    <row r="13842" spans="1:8" ht="15.75" customHeight="1" x14ac:dyDescent="0.25">
      <c r="A13842" s="352"/>
      <c r="B13842" s="883" t="s">
        <v>1356</v>
      </c>
      <c r="C13842" s="883"/>
      <c r="D13842" s="355"/>
      <c r="E13842" s="355"/>
      <c r="F13842" s="355"/>
      <c r="G13842" s="355"/>
      <c r="H13842" s="356"/>
    </row>
    <row r="13843" spans="1:8" ht="15.75" customHeight="1" x14ac:dyDescent="0.25">
      <c r="A13843" s="352">
        <v>8</v>
      </c>
      <c r="B13843" s="1137" t="s">
        <v>297</v>
      </c>
      <c r="C13843" s="1138" t="s">
        <v>265</v>
      </c>
      <c r="D13843" s="355">
        <v>1</v>
      </c>
      <c r="E13843" s="355">
        <v>5</v>
      </c>
      <c r="F13843" s="355">
        <f t="shared" ref="F13843:F13844" si="540">+E13843*D13843</f>
      </c>
      <c r="G13843" s="355">
        <v>1</v>
      </c>
      <c r="H13843" s="356">
        <f t="shared" ref="H13843:H13844" si="541">+G13843*F13843</f>
      </c>
    </row>
    <row r="13844" spans="1:8" ht="15.75" customHeight="1" x14ac:dyDescent="0.25">
      <c r="A13844" s="352">
        <v>9</v>
      </c>
      <c r="B13844" s="1137" t="s">
        <v>320</v>
      </c>
      <c r="C13844" s="1138" t="s">
        <v>316</v>
      </c>
      <c r="D13844" s="355">
        <v>2</v>
      </c>
      <c r="E13844" s="355">
        <v>10</v>
      </c>
      <c r="F13844" s="355">
        <f t="shared" si="540"/>
      </c>
      <c r="G13844" s="355">
        <v>1</v>
      </c>
      <c r="H13844" s="356">
        <f t="shared" si="541"/>
      </c>
    </row>
    <row r="13845" spans="1:8" ht="15.75" customHeight="1" x14ac:dyDescent="0.25">
      <c r="A13845" s="352"/>
      <c r="B13845" s="883" t="s">
        <v>1239</v>
      </c>
      <c r="C13845" s="883"/>
      <c r="D13845" s="355"/>
      <c r="E13845" s="355"/>
      <c r="F13845" s="355"/>
      <c r="G13845" s="355"/>
      <c r="H13845" s="356"/>
    </row>
    <row r="13846" spans="1:8" ht="15.75" customHeight="1" x14ac:dyDescent="0.25">
      <c r="A13846" s="352">
        <v>10</v>
      </c>
      <c r="B13846" s="1137" t="s">
        <v>2168</v>
      </c>
      <c r="C13846" s="1138" t="s">
        <v>109</v>
      </c>
      <c r="D13846" s="355">
        <v>8</v>
      </c>
      <c r="E13846" s="355">
        <v>25</v>
      </c>
      <c r="F13846" s="355">
        <f t="shared" ref="F13846:F13852" si="542">+E13846*D13846</f>
      </c>
      <c r="G13846" s="355">
        <v>1</v>
      </c>
      <c r="H13846" s="356">
        <f t="shared" ref="H13846:H13852" si="543">+G13846*F13846</f>
      </c>
    </row>
    <row r="13847" spans="1:8" ht="15.75" customHeight="1" x14ac:dyDescent="0.25">
      <c r="A13847" s="352">
        <v>11</v>
      </c>
      <c r="B13847" s="1137" t="s">
        <v>2169</v>
      </c>
      <c r="C13847" s="1138" t="s">
        <v>425</v>
      </c>
      <c r="D13847" s="355">
        <v>2</v>
      </c>
      <c r="E13847" s="355">
        <v>25</v>
      </c>
      <c r="F13847" s="355">
        <f t="shared" si="542"/>
      </c>
      <c r="G13847" s="355">
        <v>1</v>
      </c>
      <c r="H13847" s="356">
        <f t="shared" si="543"/>
      </c>
    </row>
    <row r="13848" spans="1:8" ht="15.75" customHeight="1" x14ac:dyDescent="0.25">
      <c r="A13848" s="352">
        <v>12</v>
      </c>
      <c r="B13848" s="1137" t="s">
        <v>56</v>
      </c>
      <c r="C13848" s="1138" t="s">
        <v>57</v>
      </c>
      <c r="D13848" s="355">
        <v>8</v>
      </c>
      <c r="E13848" s="355">
        <v>25</v>
      </c>
      <c r="F13848" s="355">
        <f t="shared" si="542"/>
      </c>
      <c r="G13848" s="355">
        <v>1</v>
      </c>
      <c r="H13848" s="356">
        <f t="shared" si="543"/>
      </c>
    </row>
    <row r="13849" spans="1:8" ht="15.75" customHeight="1" x14ac:dyDescent="0.25">
      <c r="A13849" s="352">
        <v>13</v>
      </c>
      <c r="B13849" s="1137" t="s">
        <v>60</v>
      </c>
      <c r="C13849" s="1138" t="s">
        <v>61</v>
      </c>
      <c r="D13849" s="355">
        <v>4</v>
      </c>
      <c r="E13849" s="355">
        <v>25</v>
      </c>
      <c r="F13849" s="355">
        <f t="shared" si="542"/>
      </c>
      <c r="G13849" s="355">
        <v>1</v>
      </c>
      <c r="H13849" s="356">
        <f t="shared" si="543"/>
      </c>
    </row>
    <row r="13850" spans="1:8" ht="15.75" customHeight="1" x14ac:dyDescent="0.25">
      <c r="A13850" s="352">
        <v>14</v>
      </c>
      <c r="B13850" s="1137" t="s">
        <v>68</v>
      </c>
      <c r="C13850" s="1138" t="s">
        <v>69</v>
      </c>
      <c r="D13850" s="355">
        <v>8</v>
      </c>
      <c r="E13850" s="355">
        <v>25</v>
      </c>
      <c r="F13850" s="355">
        <f t="shared" si="542"/>
      </c>
      <c r="G13850" s="355">
        <v>1</v>
      </c>
      <c r="H13850" s="356">
        <f t="shared" si="543"/>
      </c>
    </row>
    <row r="13851" spans="1:8" ht="15.75" customHeight="1" x14ac:dyDescent="0.25">
      <c r="A13851" s="352">
        <v>15</v>
      </c>
      <c r="B13851" s="1137" t="s">
        <v>2170</v>
      </c>
      <c r="C13851" s="1138" t="s">
        <v>426</v>
      </c>
      <c r="D13851" s="355">
        <v>1</v>
      </c>
      <c r="E13851" s="355">
        <v>25</v>
      </c>
      <c r="F13851" s="355">
        <f t="shared" si="542"/>
      </c>
      <c r="G13851" s="355">
        <v>1</v>
      </c>
      <c r="H13851" s="356">
        <f t="shared" si="543"/>
      </c>
    </row>
    <row r="13852" spans="1:8" ht="15.75" customHeight="1" x14ac:dyDescent="0.25">
      <c r="A13852" s="352">
        <v>16</v>
      </c>
      <c r="B13852" s="1137" t="s">
        <v>138</v>
      </c>
      <c r="C13852" s="1138" t="s">
        <v>431</v>
      </c>
      <c r="D13852" s="355">
        <v>1</v>
      </c>
      <c r="E13852" s="355">
        <v>25</v>
      </c>
      <c r="F13852" s="355">
        <f t="shared" si="542"/>
      </c>
      <c r="G13852" s="355">
        <v>1</v>
      </c>
      <c r="H13852" s="356">
        <f t="shared" si="543"/>
      </c>
    </row>
    <row r="13853" spans="1:8" ht="15.75" customHeight="1" x14ac:dyDescent="0.25">
      <c r="A13853" s="352"/>
      <c r="B13853" s="883" t="s">
        <v>1567</v>
      </c>
      <c r="C13853" s="883"/>
      <c r="D13853" s="355"/>
      <c r="E13853" s="355"/>
      <c r="F13853" s="355"/>
      <c r="G13853" s="355"/>
      <c r="H13853" s="356"/>
    </row>
    <row r="13854" spans="1:8" ht="15.75" customHeight="1" x14ac:dyDescent="0.25">
      <c r="A13854" s="352">
        <v>17</v>
      </c>
      <c r="B13854" s="1137" t="s">
        <v>1039</v>
      </c>
      <c r="C13854" s="1138" t="s">
        <v>2161</v>
      </c>
      <c r="D13854" s="355">
        <v>5</v>
      </c>
      <c r="E13854" s="355">
        <v>100</v>
      </c>
      <c r="F13854" s="355">
        <f t="shared" ref="F13854:F13856" si="544">+E13854*D13854</f>
      </c>
      <c r="G13854" s="355">
        <v>1</v>
      </c>
      <c r="H13854" s="356">
        <f t="shared" ref="H13854:H13855" si="545">+G13854*F13854</f>
      </c>
    </row>
    <row r="13855" spans="1:8" ht="15.75" customHeight="1" x14ac:dyDescent="0.25">
      <c r="A13855" s="352">
        <v>18</v>
      </c>
      <c r="B13855" s="1137" t="s">
        <v>2171</v>
      </c>
      <c r="C13855" s="1138"/>
      <c r="D13855" s="355">
        <v>10</v>
      </c>
      <c r="E13855" s="355">
        <v>10</v>
      </c>
      <c r="F13855" s="355">
        <f t="shared" si="544"/>
      </c>
      <c r="G13855" s="355">
        <v>1</v>
      </c>
      <c r="H13855" s="356">
        <f t="shared" si="545"/>
      </c>
    </row>
    <row r="13856" spans="1:8" ht="15.75" customHeight="1" x14ac:dyDescent="0.25">
      <c r="A13856" s="352">
        <v>19</v>
      </c>
      <c r="B13856" s="1137" t="s">
        <v>2171</v>
      </c>
      <c r="C13856" s="1138"/>
      <c r="D13856" s="355">
        <v>1</v>
      </c>
      <c r="E13856" s="355">
        <v>10</v>
      </c>
      <c r="F13856" s="355">
        <f t="shared" si="544"/>
      </c>
      <c r="G13856" s="1139" t="s">
        <v>1856</v>
      </c>
      <c r="H13856" s="356"/>
    </row>
    <row r="13857" spans="1:9" ht="15.75" customHeight="1" x14ac:dyDescent="0.25">
      <c r="A13857" s="352">
        <v>20</v>
      </c>
      <c r="B13857" s="1140" t="s">
        <v>1568</v>
      </c>
      <c r="C13857" s="1138" t="s">
        <v>1176</v>
      </c>
      <c r="D13857" s="355">
        <v>1</v>
      </c>
      <c r="E13857" s="355">
        <v>50</v>
      </c>
      <c r="F13857" s="355">
        <v>50</v>
      </c>
      <c r="G13857" s="355">
        <v>1</v>
      </c>
      <c r="H13857" s="356">
        <f>+G13857*F13857</f>
      </c>
    </row>
    <row r="13858" spans="1:9" ht="15.75" customHeight="1" x14ac:dyDescent="0.25">
      <c r="A13858" s="352"/>
      <c r="B13858" s="1141" t="s">
        <v>2364</v>
      </c>
      <c r="C13858" s="1138"/>
      <c r="D13858" s="1142"/>
      <c r="E13858" s="1142"/>
      <c r="F13858" s="1142"/>
      <c r="G13858" s="1142"/>
      <c r="H13858" s="1143"/>
    </row>
    <row r="13859" spans="1:9" ht="15.75" customHeight="1" x14ac:dyDescent="0.25">
      <c r="A13859" s="328"/>
      <c r="B13859" s="1144"/>
      <c r="C13859" s="330" t="s">
        <v>85</v>
      </c>
      <c r="D13859" s="331">
        <f>SUM(D13835:D13858)</f>
      </c>
      <c r="E13859" s="331"/>
      <c r="F13859" s="331">
        <f>SUM(F13835:F13857)</f>
      </c>
      <c r="G13859" s="333"/>
      <c r="H13859" s="334">
        <f>SUM(H13835:H13858)</f>
      </c>
    </row>
    <row r="13860" spans="1:9" ht="15.75" customHeight="1" x14ac:dyDescent="0.25">
      <c r="A13860" s="335"/>
      <c r="B13860" s="336"/>
      <c r="C13860" s="336"/>
      <c r="D13860" s="337"/>
      <c r="E13860" s="336"/>
      <c r="F13860" s="338"/>
      <c r="G13860" s="339"/>
      <c r="H13860" s="340"/>
    </row>
    <row r="13861" spans="1:9" ht="15.75" customHeight="1" x14ac:dyDescent="0.25">
      <c r="A13861" s="341"/>
      <c r="B13861" s="341"/>
      <c r="C13861" s="341"/>
      <c r="D13861" s="342" t="s">
        <v>97</v>
      </c>
      <c r="E13861" s="341" t="s">
        <v>98</v>
      </c>
      <c r="F13861" s="341"/>
      <c r="G13861" s="293"/>
      <c r="H13861" s="298"/>
    </row>
    <row r="13862" spans="1:9" ht="15.75" customHeight="1" x14ac:dyDescent="0.25">
      <c r="A13862" s="293"/>
      <c r="B13862" s="293"/>
      <c r="C13862" s="293"/>
      <c r="D13862" s="294"/>
      <c r="E13862" s="293"/>
      <c r="F13862" s="293"/>
      <c r="G13862" s="293"/>
      <c r="H13862" s="298"/>
    </row>
    <row r="13863" spans="1:9" ht="15.75" customHeight="1" x14ac:dyDescent="0.25">
      <c r="A13863" s="341"/>
      <c r="B13863" s="341"/>
      <c r="C13863" s="341"/>
      <c r="D13863" s="342"/>
      <c r="E13863" s="341" t="s">
        <v>99</v>
      </c>
      <c r="F13863" s="341"/>
      <c r="G13863" s="293"/>
      <c r="H13863" s="298"/>
    </row>
    <row r="13864" spans="1:9" ht="15.75" customHeight="1" x14ac:dyDescent="0.25">
      <c r="A13864" s="341"/>
      <c r="B13864" s="341"/>
      <c r="C13864" s="341"/>
      <c r="D13864" s="342"/>
      <c r="E13864" s="341"/>
      <c r="F13864" s="341"/>
      <c r="G13864" s="293"/>
      <c r="H13864" s="298"/>
    </row>
    <row r="13865" spans="1:9" ht="15.75" customHeight="1" x14ac:dyDescent="0.25">
      <c r="A13865" s="292" t="s">
        <v>14</v>
      </c>
      <c r="B13865" s="292"/>
      <c r="C13865" s="292"/>
      <c r="D13865" s="292"/>
      <c r="E13865" s="292"/>
      <c r="F13865" s="292"/>
      <c r="G13865" s="292"/>
      <c r="H13865" s="292"/>
    </row>
    <row r="13866" spans="1:9" ht="15.75" customHeight="1" x14ac:dyDescent="0.25">
      <c r="A13866" s="293"/>
      <c r="B13866" s="293"/>
      <c r="C13866" s="293"/>
      <c r="D13866" s="294"/>
      <c r="E13866" s="293"/>
      <c r="F13866" s="293"/>
      <c r="G13866" s="293"/>
      <c r="H13866" s="295"/>
    </row>
    <row r="13867" spans="1:9" ht="15.75" customHeight="1" x14ac:dyDescent="0.25">
      <c r="A13867" s="293"/>
      <c r="B13867" s="293"/>
      <c r="C13867" s="294"/>
      <c r="D13867" s="296"/>
      <c r="E13867" s="297"/>
      <c r="F13867" s="297"/>
      <c r="G13867" s="297"/>
      <c r="H13867" s="298"/>
    </row>
    <row r="13868" spans="1:9" ht="15.75" customHeight="1" x14ac:dyDescent="0.25">
      <c r="A13868" s="293"/>
      <c r="B13868" s="293"/>
      <c r="C13868" s="293"/>
      <c r="D13868" s="294"/>
      <c r="E13868" s="293"/>
      <c r="F13868" s="299" t="s">
        <v>18</v>
      </c>
      <c r="G13868" s="300" t="s">
        <v>1229</v>
      </c>
      <c r="H13868" s="301"/>
    </row>
    <row r="13869" spans="1:9" ht="15.75" customHeight="1" x14ac:dyDescent="0.25">
      <c r="A13869" s="390" t="s">
        <v>20</v>
      </c>
      <c r="B13869" s="390"/>
      <c r="D13869" s="294"/>
      <c r="E13869" s="293"/>
      <c r="F13869" s="299" t="s">
        <v>21</v>
      </c>
      <c r="G13869" s="293" t="s">
        <v>1581</v>
      </c>
      <c r="H13869" s="294"/>
    </row>
    <row r="13870" spans="1:9" ht="15.75" customHeight="1" x14ac:dyDescent="0.25">
      <c r="A13870" s="390" t="inlineStr">
        <is>
          <t>Dealer-025</t>
        </is>
      </c>
      <c r="B13870" s="390"/>
      <c r="C13870" s="398" t="inlineStr">
        <is>
          <t>Contact-009</t>
        </is>
      </c>
      <c r="D13870" s="294"/>
      <c r="E13870" s="299"/>
      <c r="F13870" s="293"/>
      <c r="G13870" s="293"/>
      <c r="H13870" s="298"/>
    </row>
    <row r="13871" spans="1:9" ht="15.75" customHeight="1" x14ac:dyDescent="0.25">
      <c r="A13871" s="390" t="inlineStr">
        <is>
          <t>Address line (redacted)</t>
        </is>
      </c>
      <c r="B13871" s="390"/>
      <c r="C13871" s="390"/>
      <c r="D13871" s="295"/>
      <c r="E13871" s="293"/>
      <c r="F13871" s="294"/>
      <c r="G13871" s="293"/>
      <c r="H13871" s="298"/>
    </row>
    <row r="13872" spans="1:9" ht="15.75" customHeight="1" x14ac:dyDescent="0.25">
      <c r="A13872" s="390" t="inlineStr">
        <is>
          <t>Address line (redacted)</t>
        </is>
      </c>
      <c r="B13872" s="390"/>
      <c r="C13872" s="390"/>
      <c r="D13872" s="295"/>
      <c r="E13872" s="293"/>
      <c r="F13872" s="294"/>
      <c r="G13872" s="293"/>
      <c r="H13872" s="298"/>
      <c r="I13872" s="2">
        <v>2</v>
      </c>
    </row>
    <row r="13873" spans="1:9" ht="15.75" customHeight="1" x14ac:dyDescent="0.25">
      <c r="A13873" s="293"/>
      <c r="B13873" s="293"/>
      <c r="C13873" s="293"/>
      <c r="D13873" s="295"/>
      <c r="E13873" s="293"/>
      <c r="F13873" s="294"/>
      <c r="G13873" s="293"/>
      <c r="H13873" s="298"/>
      <c r="I13873" s="2" t="s">
        <v>2365</v>
      </c>
    </row>
    <row r="13874" spans="1:9" ht="15.75" customHeight="1" x14ac:dyDescent="0.25">
      <c r="A13874" s="293" t="s">
        <v>30</v>
      </c>
      <c r="B13874" s="293"/>
      <c r="C13874" s="293"/>
      <c r="D13874" s="294"/>
      <c r="E13874" s="293"/>
      <c r="F13874" s="294"/>
      <c r="G13874" s="293"/>
      <c r="H13874" s="298"/>
    </row>
    <row r="13875" spans="1:9" ht="15.75" customHeight="1" x14ac:dyDescent="0.25">
      <c r="A13875" s="293"/>
      <c r="B13875" s="293"/>
      <c r="C13875" s="293"/>
      <c r="D13875" s="294"/>
      <c r="E13875" s="293"/>
      <c r="F13875" s="294"/>
      <c r="G13875" s="293"/>
      <c r="H13875" s="298"/>
    </row>
    <row r="13876" spans="1:9" ht="15.75" customHeight="1" x14ac:dyDescent="0.25">
      <c r="A13876" s="293" t="s">
        <v>716</v>
      </c>
      <c r="B13876" s="293"/>
      <c r="C13876" s="293"/>
      <c r="D13876" s="294"/>
      <c r="E13876" s="293"/>
      <c r="F13876" s="294"/>
      <c r="G13876" s="293"/>
      <c r="H13876" s="298"/>
    </row>
    <row r="13877" spans="1:9" ht="15.75" customHeight="1" x14ac:dyDescent="0.25">
      <c r="A13877" s="293" t="s">
        <v>717</v>
      </c>
      <c r="B13877" s="293"/>
      <c r="C13877" s="293"/>
      <c r="D13877" s="294"/>
      <c r="E13877" s="293"/>
      <c r="F13877" s="294"/>
      <c r="G13877" s="293"/>
      <c r="H13877" s="298"/>
    </row>
    <row r="13878" spans="1:9" ht="15.75" customHeight="1" x14ac:dyDescent="0.25">
      <c r="A13878" s="293"/>
      <c r="B13878" s="293"/>
      <c r="C13878" s="293"/>
      <c r="D13878" s="294"/>
      <c r="E13878" s="293"/>
      <c r="F13878" s="294"/>
      <c r="G13878" s="293"/>
      <c r="H13878" s="298"/>
    </row>
    <row r="13879" spans="1:9" ht="15.75" customHeight="1" x14ac:dyDescent="0.25">
      <c r="A13879" s="302" t="s">
        <v>33</v>
      </c>
      <c r="B13879" s="303" t="s">
        <v>6</v>
      </c>
      <c r="C13879" s="303"/>
      <c r="D13879" s="304" t="s">
        <v>37</v>
      </c>
      <c r="E13879" s="305" t="s">
        <v>38</v>
      </c>
      <c r="F13879" s="306" t="s">
        <v>7</v>
      </c>
      <c r="G13879" s="307" t="s">
        <v>43</v>
      </c>
      <c r="H13879" s="308" t="s">
        <v>44</v>
      </c>
    </row>
    <row r="13880" spans="1:9" ht="15.75" customHeight="1" x14ac:dyDescent="0.25">
      <c r="A13880" s="309"/>
      <c r="B13880" s="310"/>
      <c r="C13880" s="297"/>
      <c r="D13880" s="311"/>
      <c r="E13880" s="311"/>
      <c r="F13880" s="312"/>
      <c r="G13880" s="313"/>
      <c r="H13880" s="314"/>
    </row>
    <row r="13881" spans="1:9" ht="15.75" customHeight="1" x14ac:dyDescent="0.25">
      <c r="A13881" s="315"/>
      <c r="B13881" s="1026" t="s">
        <v>590</v>
      </c>
      <c r="C13881" s="1027"/>
      <c r="D13881" s="318"/>
      <c r="E13881" s="318"/>
      <c r="F13881" s="294"/>
      <c r="G13881" s="318"/>
      <c r="H13881" s="319"/>
    </row>
    <row r="13882" spans="1:9" ht="15.75" customHeight="1" x14ac:dyDescent="0.25">
      <c r="A13882" s="315">
        <v>1</v>
      </c>
      <c r="B13882" s="320" t="s">
        <v>80</v>
      </c>
      <c r="C13882" s="293" t="s">
        <v>376</v>
      </c>
      <c r="D13882" s="318">
        <v>6</v>
      </c>
      <c r="E13882" s="318">
        <v>5</v>
      </c>
      <c r="F13882" s="294">
        <f t="shared" ref="F13882:F13884" si="546">+E13882*D13882</f>
      </c>
      <c r="G13882" s="318">
        <v>1</v>
      </c>
      <c r="H13882" s="319">
        <f t="shared" ref="H13882:H13884" si="547">+G13882*F13882</f>
      </c>
    </row>
    <row r="13883" spans="1:9" ht="15.75" customHeight="1" x14ac:dyDescent="0.25">
      <c r="A13883" s="315">
        <v>2</v>
      </c>
      <c r="B13883" s="320" t="s">
        <v>56</v>
      </c>
      <c r="C13883" s="293" t="s">
        <v>1839</v>
      </c>
      <c r="D13883" s="318">
        <v>3</v>
      </c>
      <c r="E13883" s="318">
        <v>6</v>
      </c>
      <c r="F13883" s="294">
        <f t="shared" si="546"/>
      </c>
      <c r="G13883" s="318">
        <v>1</v>
      </c>
      <c r="H13883" s="319">
        <f t="shared" si="547"/>
      </c>
    </row>
    <row r="13884" spans="1:9" ht="15.75" customHeight="1" x14ac:dyDescent="0.25">
      <c r="A13884" s="315">
        <v>3</v>
      </c>
      <c r="B13884" s="320" t="s">
        <v>60</v>
      </c>
      <c r="C13884" s="293" t="s">
        <v>369</v>
      </c>
      <c r="D13884" s="318">
        <v>2</v>
      </c>
      <c r="E13884" s="318">
        <v>6</v>
      </c>
      <c r="F13884" s="294">
        <f t="shared" si="546"/>
      </c>
      <c r="G13884" s="318">
        <v>1</v>
      </c>
      <c r="H13884" s="319">
        <f t="shared" si="547"/>
      </c>
    </row>
    <row r="13885" spans="1:9" ht="15.75" customHeight="1" x14ac:dyDescent="0.25">
      <c r="A13885" s="315"/>
      <c r="B13885" s="1026" t="s">
        <v>1356</v>
      </c>
      <c r="C13885" s="1027"/>
      <c r="D13885" s="318"/>
      <c r="E13885" s="318"/>
      <c r="F13885" s="294"/>
      <c r="G13885" s="318"/>
      <c r="H13885" s="319"/>
    </row>
    <row r="13886" spans="1:9" ht="15.75" customHeight="1" x14ac:dyDescent="0.25">
      <c r="A13886" s="315">
        <v>4</v>
      </c>
      <c r="B13886" s="320" t="s">
        <v>320</v>
      </c>
      <c r="C13886" s="293" t="s">
        <v>316</v>
      </c>
      <c r="D13886" s="318">
        <v>3</v>
      </c>
      <c r="E13886" s="318">
        <v>5</v>
      </c>
      <c r="F13886" s="294">
        <f t="shared" ref="F13886:F13888" si="548">+E13886*D13886</f>
      </c>
      <c r="G13886" s="318">
        <v>1</v>
      </c>
      <c r="H13886" s="319">
        <f t="shared" ref="H13886:H13888" si="549">+G13886*F13886</f>
      </c>
    </row>
    <row r="13887" spans="1:9" ht="15.75" customHeight="1" x14ac:dyDescent="0.25">
      <c r="A13887" s="315">
        <v>5</v>
      </c>
      <c r="B13887" s="320" t="s">
        <v>123</v>
      </c>
      <c r="C13887" s="293" t="s">
        <v>1577</v>
      </c>
      <c r="D13887" s="318">
        <v>4</v>
      </c>
      <c r="E13887" s="318">
        <v>5</v>
      </c>
      <c r="F13887" s="294">
        <f t="shared" si="548"/>
      </c>
      <c r="G13887" s="318">
        <v>1</v>
      </c>
      <c r="H13887" s="319">
        <f t="shared" si="549"/>
      </c>
    </row>
    <row r="13888" spans="1:9" ht="15.75" customHeight="1" x14ac:dyDescent="0.25">
      <c r="A13888" s="315">
        <v>6</v>
      </c>
      <c r="B13888" s="320" t="s">
        <v>1578</v>
      </c>
      <c r="C13888" s="293" t="s">
        <v>1582</v>
      </c>
      <c r="D13888" s="318">
        <v>4</v>
      </c>
      <c r="E13888" s="318">
        <v>5</v>
      </c>
      <c r="F13888" s="294">
        <f t="shared" si="548"/>
      </c>
      <c r="G13888" s="318">
        <v>1</v>
      </c>
      <c r="H13888" s="319">
        <f t="shared" si="549"/>
      </c>
    </row>
    <row r="13889" spans="1:8" ht="15.75" customHeight="1" x14ac:dyDescent="0.25">
      <c r="A13889" s="315"/>
      <c r="B13889" s="1026" t="s">
        <v>1239</v>
      </c>
      <c r="C13889" s="1027"/>
      <c r="D13889" s="318"/>
      <c r="E13889" s="318"/>
      <c r="F13889" s="294"/>
      <c r="G13889" s="318"/>
      <c r="H13889" s="319"/>
    </row>
    <row r="13890" spans="1:8" ht="15.75" customHeight="1" x14ac:dyDescent="0.25">
      <c r="A13890" s="315">
        <v>7</v>
      </c>
      <c r="B13890" s="320" t="s">
        <v>68</v>
      </c>
      <c r="C13890" s="293" t="s">
        <v>69</v>
      </c>
      <c r="D13890" s="318">
        <v>4</v>
      </c>
      <c r="E13890" s="318">
        <v>25</v>
      </c>
      <c r="F13890" s="294">
        <f>+E13890*D13890</f>
      </c>
      <c r="G13890" s="318">
        <v>1</v>
      </c>
      <c r="H13890" s="319">
        <f>+G13890*F13890</f>
      </c>
    </row>
    <row r="13891" spans="1:8" ht="15.75" customHeight="1" x14ac:dyDescent="0.25">
      <c r="A13891" s="315"/>
      <c r="B13891" s="1026" t="s">
        <v>1452</v>
      </c>
      <c r="C13891" s="1027"/>
      <c r="D13891" s="318"/>
      <c r="E13891" s="318"/>
      <c r="F13891" s="294"/>
      <c r="G13891" s="318"/>
      <c r="H13891" s="319"/>
    </row>
    <row r="13892" spans="1:8" ht="15.75" customHeight="1" x14ac:dyDescent="0.25">
      <c r="A13892" s="315">
        <v>8</v>
      </c>
      <c r="B13892" s="320" t="s">
        <v>1454</v>
      </c>
      <c r="C13892" s="293" t="s">
        <v>12</v>
      </c>
      <c r="D13892" s="318">
        <v>22</v>
      </c>
      <c r="E13892" s="318">
        <v>24</v>
      </c>
      <c r="F13892" s="294">
        <f t="shared" ref="F13892:F13893" si="550">+E13892*D13892</f>
      </c>
      <c r="G13892" s="318">
        <v>1</v>
      </c>
      <c r="H13892" s="319">
        <f>+G13892*F13892</f>
      </c>
    </row>
    <row r="13893" spans="1:8" ht="15.75" customHeight="1" x14ac:dyDescent="0.25">
      <c r="A13893" s="315">
        <v>9</v>
      </c>
      <c r="B13893" s="320" t="s">
        <v>1454</v>
      </c>
      <c r="C13893" s="293" t="s">
        <v>12</v>
      </c>
      <c r="D13893" s="318">
        <v>2</v>
      </c>
      <c r="E13893" s="318">
        <v>24</v>
      </c>
      <c r="F13893" s="294">
        <f t="shared" si="550"/>
      </c>
      <c r="G13893" s="1145" t="s">
        <v>1856</v>
      </c>
      <c r="H13893" s="319"/>
    </row>
    <row r="13894" spans="1:8" ht="15.75" customHeight="1" x14ac:dyDescent="0.25">
      <c r="A13894" s="315"/>
      <c r="B13894" s="320"/>
      <c r="C13894" s="293"/>
      <c r="D13894" s="318"/>
      <c r="E13894" s="318"/>
      <c r="F13894" s="294"/>
      <c r="G13894" s="318"/>
      <c r="H13894" s="319"/>
    </row>
    <row r="13895" spans="1:8" ht="15.75" customHeight="1" x14ac:dyDescent="0.25">
      <c r="A13895" s="325"/>
      <c r="B13895" s="312"/>
      <c r="C13895" s="297"/>
      <c r="D13895" s="318"/>
      <c r="E13895" s="318"/>
      <c r="F13895" s="326"/>
      <c r="G13895" s="327"/>
      <c r="H13895" s="319"/>
    </row>
    <row r="13896" spans="1:8" ht="15.75" customHeight="1" x14ac:dyDescent="0.25">
      <c r="A13896" s="328"/>
      <c r="B13896" s="329"/>
      <c r="C13896" s="330" t="s">
        <v>85</v>
      </c>
      <c r="D13896" s="331">
        <f>SUM(D13882:D13895)</f>
      </c>
      <c r="E13896" s="331"/>
      <c r="F13896" s="331">
        <f>SUM(F13882:F13895)</f>
      </c>
      <c r="G13896" s="333"/>
      <c r="H13896" s="334">
        <f>SUM(H13882:H13895)</f>
      </c>
    </row>
    <row r="13897" spans="1:8" ht="15.75" customHeight="1" x14ac:dyDescent="0.25">
      <c r="A13897" s="335"/>
      <c r="B13897" s="336"/>
      <c r="C13897" s="336"/>
      <c r="D13897" s="337"/>
      <c r="E13897" s="336"/>
      <c r="F13897" s="338"/>
      <c r="G13897" s="339"/>
      <c r="H13897" s="340"/>
    </row>
    <row r="13898" spans="1:8" ht="15.75" customHeight="1" x14ac:dyDescent="0.25">
      <c r="A13898" s="296"/>
      <c r="B13898" s="294"/>
      <c r="C13898" s="294"/>
      <c r="D13898" s="294"/>
      <c r="E13898" s="293"/>
      <c r="F13898" s="296"/>
      <c r="G13898" s="293"/>
      <c r="H13898" s="298"/>
    </row>
    <row r="13899" spans="1:8" ht="15.75" customHeight="1" x14ac:dyDescent="0.25">
      <c r="A13899" s="341"/>
      <c r="B13899" s="341"/>
      <c r="C13899" s="341"/>
      <c r="D13899" s="342" t="s">
        <v>97</v>
      </c>
      <c r="E13899" s="341" t="s">
        <v>98</v>
      </c>
      <c r="F13899" s="341"/>
      <c r="G13899" s="293"/>
      <c r="H13899" s="298"/>
    </row>
    <row r="13900" spans="1:8" ht="15.75" customHeight="1" x14ac:dyDescent="0.25">
      <c r="A13900" s="293"/>
      <c r="B13900" s="293"/>
      <c r="C13900" s="293"/>
      <c r="D13900" s="294"/>
      <c r="E13900" s="293"/>
      <c r="F13900" s="293"/>
      <c r="G13900" s="293"/>
      <c r="H13900" s="298"/>
    </row>
    <row r="13901" spans="1:8" ht="15.75" customHeight="1" x14ac:dyDescent="0.25">
      <c r="A13901" s="293"/>
      <c r="B13901" s="293"/>
      <c r="C13901" s="293"/>
      <c r="D13901" s="294"/>
      <c r="E13901" s="293"/>
      <c r="F13901" s="293"/>
      <c r="G13901" s="293"/>
      <c r="H13901" s="298"/>
    </row>
    <row r="13902" spans="1:8" ht="15.75" customHeight="1" x14ac:dyDescent="0.25">
      <c r="A13902" s="341"/>
      <c r="B13902" s="341"/>
      <c r="C13902" s="341"/>
      <c r="D13902" s="342"/>
      <c r="E13902" s="341" t="s">
        <v>99</v>
      </c>
      <c r="F13902" s="341"/>
      <c r="G13902" s="293"/>
      <c r="H13902" s="298"/>
    </row>
    <row r="13903" spans="1:8" ht="15.75" customHeight="1" x14ac:dyDescent="0.25">
      <c r="D13903" s="4"/>
      <c r="H13903" s="4"/>
    </row>
    <row r="13904" spans="1:8" ht="15.75" customHeight="1" x14ac:dyDescent="0.25">
      <c r="D13904" s="4"/>
      <c r="H13904" s="4"/>
    </row>
    <row r="13905" spans="1:8" ht="15.75" customHeight="1" x14ac:dyDescent="0.25">
      <c r="D13905" s="4"/>
      <c r="H13905" s="4"/>
    </row>
    <row r="13906" spans="1:8" ht="15.75" customHeight="1" x14ac:dyDescent="0.25">
      <c r="D13906" s="4"/>
      <c r="H13906" s="4"/>
    </row>
    <row r="13907" spans="1:8" ht="15.75" customHeight="1" x14ac:dyDescent="0.25">
      <c r="D13907" s="4"/>
      <c r="H13907" s="4"/>
    </row>
    <row r="13908" spans="1:8" ht="15.75" customHeight="1" x14ac:dyDescent="0.25">
      <c r="D13908" s="4"/>
      <c r="H13908" s="4"/>
    </row>
    <row r="13909" spans="1:8" ht="15.75" customHeight="1" x14ac:dyDescent="0.25">
      <c r="D13909" s="4"/>
      <c r="H13909" s="4"/>
    </row>
    <row r="13910" spans="1:8" ht="15.75" customHeight="1" x14ac:dyDescent="0.25">
      <c r="D13910" s="4"/>
      <c r="H13910" s="4"/>
    </row>
    <row r="13911" spans="1:8" ht="15.75" customHeight="1" x14ac:dyDescent="0.25">
      <c r="A13911" s="8" t="s">
        <v>14</v>
      </c>
      <c r="B13911" s="8"/>
      <c r="C13911" s="8"/>
      <c r="D13911" s="8"/>
      <c r="E13911" s="8"/>
      <c r="F13911" s="8"/>
      <c r="G13911" s="8"/>
      <c r="H13911" s="8"/>
    </row>
    <row r="13912" spans="1:8" ht="15.75" customHeight="1" x14ac:dyDescent="0.25">
      <c r="A13912" s="388"/>
      <c r="B13912" s="388"/>
      <c r="C13912" s="388"/>
      <c r="D13912" s="389"/>
      <c r="E13912" s="388"/>
      <c r="F13912" s="388"/>
      <c r="G13912" s="388"/>
      <c r="H13912" s="8"/>
    </row>
    <row r="13913" spans="1:8" ht="15.75" customHeight="1" x14ac:dyDescent="0.25">
      <c r="A13913" s="390"/>
      <c r="B13913" s="390"/>
      <c r="C13913" s="390"/>
      <c r="D13913" s="391"/>
      <c r="E13913" s="390"/>
      <c r="F13913" s="395" t="s">
        <v>18</v>
      </c>
      <c r="G13913" s="396" t="s">
        <v>1229</v>
      </c>
      <c r="H13913" s="397"/>
    </row>
    <row r="13914" spans="1:8" ht="15.75" customHeight="1" x14ac:dyDescent="0.25">
      <c r="A13914" s="390" t="s">
        <v>20</v>
      </c>
      <c r="B13914" s="390"/>
      <c r="D13914" s="391"/>
      <c r="E13914" s="390"/>
      <c r="F13914" s="395" t="s">
        <v>21</v>
      </c>
      <c r="G13914" s="390" t="s">
        <v>1537</v>
      </c>
      <c r="H13914" s="391"/>
    </row>
    <row r="13915" spans="1:8" ht="15.75" customHeight="1" x14ac:dyDescent="0.25">
      <c r="A13915" s="390" t="inlineStr">
        <is>
          <t>Dealer-003</t>
        </is>
      </c>
      <c r="B13915" s="390"/>
      <c r="C13915" s="393" t="inlineStr">
        <is>
          <t>ATTN: Contact-007</t>
        </is>
      </c>
      <c r="D13915" s="398"/>
      <c r="E13915" s="390"/>
      <c r="F13915" s="391"/>
      <c r="G13915" s="390"/>
      <c r="H13915" s="394"/>
    </row>
    <row r="13916" spans="1:8" ht="15.75" customHeight="1" x14ac:dyDescent="0.25">
      <c r="A13916" s="390" t="inlineStr">
        <is>
          <t>Address line (redacted)</t>
        </is>
      </c>
      <c r="B13916" s="390"/>
      <c r="C13916" s="390"/>
      <c r="D13916" s="398"/>
      <c r="E13916" s="390"/>
      <c r="F13916" s="391"/>
      <c r="G13916" s="390"/>
      <c r="H13916" s="394"/>
    </row>
    <row r="13917" spans="1:8" ht="15.75" customHeight="1" x14ac:dyDescent="0.25">
      <c r="A13917" s="390"/>
      <c r="B13917" s="390"/>
      <c r="C13917" s="390"/>
      <c r="D13917" s="391"/>
      <c r="E13917" s="390"/>
      <c r="F13917" s="391"/>
      <c r="G13917" s="390"/>
      <c r="H13917" s="394"/>
    </row>
    <row r="13918" spans="1:8" ht="15.75" customHeight="1" x14ac:dyDescent="0.25">
      <c r="A13918" s="390" t="s">
        <v>30</v>
      </c>
      <c r="B13918" s="390"/>
      <c r="C13918" s="390"/>
      <c r="D13918" s="391"/>
      <c r="E13918" s="390"/>
      <c r="F13918" s="391"/>
      <c r="G13918" s="390"/>
      <c r="H13918" s="394"/>
    </row>
    <row r="13919" spans="1:8" ht="15.75" customHeight="1" x14ac:dyDescent="0.25">
      <c r="A13919" s="390"/>
      <c r="B13919" s="390"/>
      <c r="C13919" s="390"/>
      <c r="D13919" s="391"/>
      <c r="E13919" s="390"/>
      <c r="F13919" s="391"/>
      <c r="G13919" s="390"/>
      <c r="H13919" s="394"/>
    </row>
    <row r="13920" spans="1:8" ht="15.75" customHeight="1" x14ac:dyDescent="0.25">
      <c r="A13920" s="390" t="s">
        <v>716</v>
      </c>
      <c r="B13920" s="390"/>
      <c r="C13920" s="390"/>
      <c r="D13920" s="391"/>
      <c r="E13920" s="390"/>
      <c r="F13920" s="391"/>
      <c r="G13920" s="390"/>
      <c r="H13920" s="394"/>
    </row>
    <row r="13921" spans="1:8" ht="15.75" customHeight="1" x14ac:dyDescent="0.25">
      <c r="A13921" s="390" t="s">
        <v>717</v>
      </c>
      <c r="B13921" s="390"/>
      <c r="C13921" s="390"/>
      <c r="D13921" s="391"/>
      <c r="E13921" s="390"/>
      <c r="F13921" s="391"/>
      <c r="G13921" s="390"/>
      <c r="H13921" s="394"/>
    </row>
    <row r="13922" spans="1:8" ht="15.75" customHeight="1" x14ac:dyDescent="0.25">
      <c r="A13922" s="390"/>
      <c r="B13922" s="390"/>
      <c r="C13922" s="390"/>
      <c r="D13922" s="391"/>
      <c r="E13922" s="390"/>
      <c r="F13922" s="391"/>
      <c r="G13922" s="390"/>
      <c r="H13922" s="394"/>
    </row>
    <row r="13923" spans="1:8" ht="15.75" customHeight="1" x14ac:dyDescent="0.25">
      <c r="A13923" s="948" t="s">
        <v>33</v>
      </c>
      <c r="B13923" s="872" t="s">
        <v>6</v>
      </c>
      <c r="C13923" s="872"/>
      <c r="D13923" s="874" t="s">
        <v>37</v>
      </c>
      <c r="E13923" s="874" t="s">
        <v>38</v>
      </c>
      <c r="F13923" s="875" t="s">
        <v>7</v>
      </c>
      <c r="G13923" s="872" t="s">
        <v>43</v>
      </c>
      <c r="H13923" s="876" t="s">
        <v>44</v>
      </c>
    </row>
    <row r="13924" spans="1:8" ht="15.75" customHeight="1" x14ac:dyDescent="0.3">
      <c r="A13924" s="412"/>
      <c r="B13924" s="1033"/>
      <c r="C13924" s="1033"/>
      <c r="D13924" s="879"/>
      <c r="E13924" s="879"/>
      <c r="F13924" s="415"/>
      <c r="G13924" s="415"/>
      <c r="H13924" s="416"/>
    </row>
    <row r="13925" spans="1:8" ht="15.75" customHeight="1" x14ac:dyDescent="0.25">
      <c r="A13925" s="412"/>
      <c r="B13925" s="953" t="s">
        <v>1239</v>
      </c>
      <c r="C13925" s="953"/>
      <c r="D13925" s="415"/>
      <c r="E13925" s="415"/>
      <c r="F13925" s="415"/>
      <c r="G13925" s="415"/>
      <c r="H13925" s="416"/>
    </row>
    <row r="13926" spans="1:8" ht="15.75" customHeight="1" x14ac:dyDescent="0.25">
      <c r="A13926" s="412">
        <v>1</v>
      </c>
      <c r="B13926" s="1094" t="s">
        <v>56</v>
      </c>
      <c r="C13926" s="1095" t="s">
        <v>57</v>
      </c>
      <c r="D13926" s="588">
        <v>10</v>
      </c>
      <c r="E13926" s="588">
        <v>25</v>
      </c>
      <c r="F13926" s="415">
        <f t="shared" ref="F13926:F13932" si="551">+E13926*D13926</f>
      </c>
      <c r="G13926" s="415">
        <v>1</v>
      </c>
      <c r="H13926" s="416">
        <f t="shared" ref="H13926:H13932" si="552">+G13926*F13926</f>
      </c>
    </row>
    <row r="13927" spans="1:8" ht="15.75" customHeight="1" x14ac:dyDescent="0.25">
      <c r="A13927" s="412">
        <v>2</v>
      </c>
      <c r="B13927" s="1094" t="s">
        <v>1477</v>
      </c>
      <c r="C13927" s="1095" t="s">
        <v>61</v>
      </c>
      <c r="D13927" s="415">
        <v>8</v>
      </c>
      <c r="E13927" s="415">
        <v>25</v>
      </c>
      <c r="F13927" s="415">
        <f t="shared" si="551"/>
      </c>
      <c r="G13927" s="415">
        <v>1</v>
      </c>
      <c r="H13927" s="416">
        <f t="shared" si="552"/>
      </c>
    </row>
    <row r="13928" spans="1:8" ht="15.75" customHeight="1" x14ac:dyDescent="0.25">
      <c r="A13928" s="412">
        <v>3</v>
      </c>
      <c r="B13928" s="1094" t="s">
        <v>68</v>
      </c>
      <c r="C13928" s="1095" t="s">
        <v>69</v>
      </c>
      <c r="D13928" s="415">
        <f>250/25</f>
      </c>
      <c r="E13928" s="415">
        <v>25</v>
      </c>
      <c r="F13928" s="415">
        <f t="shared" si="551"/>
      </c>
      <c r="G13928" s="415">
        <v>1</v>
      </c>
      <c r="H13928" s="416">
        <f t="shared" si="552"/>
      </c>
    </row>
    <row r="13929" spans="1:8" ht="15.75" customHeight="1" x14ac:dyDescent="0.25">
      <c r="A13929" s="412">
        <v>4</v>
      </c>
      <c r="B13929" s="1094" t="s">
        <v>2152</v>
      </c>
      <c r="C13929" s="1095" t="s">
        <v>109</v>
      </c>
      <c r="D13929" s="415">
        <v>16</v>
      </c>
      <c r="E13929" s="415">
        <v>25</v>
      </c>
      <c r="F13929" s="415">
        <f t="shared" si="551"/>
      </c>
      <c r="G13929" s="415">
        <v>1</v>
      </c>
      <c r="H13929" s="416">
        <f t="shared" si="552"/>
      </c>
    </row>
    <row r="13930" spans="1:8" ht="15.75" customHeight="1" x14ac:dyDescent="0.25">
      <c r="A13930" s="412">
        <v>5</v>
      </c>
      <c r="B13930" s="1094" t="s">
        <v>1131</v>
      </c>
      <c r="C13930" s="1095" t="s">
        <v>426</v>
      </c>
      <c r="D13930" s="415">
        <v>2</v>
      </c>
      <c r="E13930" s="415">
        <v>25</v>
      </c>
      <c r="F13930" s="415">
        <f t="shared" si="551"/>
      </c>
      <c r="G13930" s="415">
        <v>1</v>
      </c>
      <c r="H13930" s="416">
        <f t="shared" si="552"/>
      </c>
    </row>
    <row r="13931" spans="1:8" ht="15.75" customHeight="1" x14ac:dyDescent="0.25">
      <c r="A13931" s="412">
        <v>6</v>
      </c>
      <c r="B13931" s="1094" t="s">
        <v>138</v>
      </c>
      <c r="C13931" s="1095" t="s">
        <v>431</v>
      </c>
      <c r="D13931" s="415">
        <v>2</v>
      </c>
      <c r="E13931" s="415">
        <v>25</v>
      </c>
      <c r="F13931" s="415">
        <f t="shared" si="551"/>
      </c>
      <c r="G13931" s="415">
        <v>1</v>
      </c>
      <c r="H13931" s="416">
        <f t="shared" si="552"/>
      </c>
    </row>
    <row r="13932" spans="1:8" ht="15.75" customHeight="1" x14ac:dyDescent="0.25">
      <c r="A13932" s="412">
        <v>7</v>
      </c>
      <c r="B13932" s="1094" t="s">
        <v>190</v>
      </c>
      <c r="C13932" s="1095" t="s">
        <v>423</v>
      </c>
      <c r="D13932" s="415">
        <v>1</v>
      </c>
      <c r="E13932" s="415">
        <v>25</v>
      </c>
      <c r="F13932" s="415">
        <f t="shared" si="551"/>
      </c>
      <c r="G13932" s="415">
        <v>1</v>
      </c>
      <c r="H13932" s="416">
        <f t="shared" si="552"/>
      </c>
    </row>
    <row r="13933" spans="1:8" ht="15.75" customHeight="1" x14ac:dyDescent="0.25">
      <c r="A13933" s="412"/>
      <c r="B13933" s="953" t="s">
        <v>590</v>
      </c>
      <c r="C13933" s="953"/>
      <c r="D13933" s="981"/>
      <c r="E13933" s="981"/>
      <c r="F13933" s="415"/>
      <c r="G13933" s="415"/>
      <c r="H13933" s="416"/>
    </row>
    <row r="13934" spans="1:8" ht="15.75" customHeight="1" x14ac:dyDescent="0.25">
      <c r="A13934" s="412">
        <v>8</v>
      </c>
      <c r="B13934" s="1116" t="s">
        <v>226</v>
      </c>
      <c r="C13934" s="1117" t="s">
        <v>395</v>
      </c>
      <c r="D13934" s="981">
        <v>4</v>
      </c>
      <c r="E13934" s="981">
        <v>6</v>
      </c>
      <c r="F13934" s="415">
        <v>23</v>
      </c>
      <c r="G13934" s="415">
        <v>1</v>
      </c>
      <c r="H13934" s="416">
        <f>+G13934*F13934</f>
      </c>
    </row>
    <row r="13935" spans="1:8" ht="15.75" customHeight="1" x14ac:dyDescent="0.25">
      <c r="A13935" s="412">
        <v>9</v>
      </c>
      <c r="B13935" s="1116" t="s">
        <v>226</v>
      </c>
      <c r="C13935" s="1117" t="s">
        <v>395</v>
      </c>
      <c r="D13935" s="981"/>
      <c r="E13935" s="981"/>
      <c r="F13935" s="415">
        <v>1</v>
      </c>
      <c r="G13935" s="619" t="s">
        <v>1856</v>
      </c>
      <c r="H13935" s="416"/>
    </row>
    <row r="13936" spans="1:8" ht="15.75" customHeight="1" x14ac:dyDescent="0.25">
      <c r="A13936" s="412">
        <v>10</v>
      </c>
      <c r="B13936" s="1116" t="s">
        <v>136</v>
      </c>
      <c r="C13936" s="1117" t="s">
        <v>387</v>
      </c>
      <c r="D13936" s="981">
        <v>4</v>
      </c>
      <c r="E13936" s="981">
        <v>6</v>
      </c>
      <c r="F13936" s="415">
        <v>23</v>
      </c>
      <c r="G13936" s="415">
        <v>1</v>
      </c>
      <c r="H13936" s="416">
        <f>+G13936*F13936</f>
      </c>
    </row>
    <row r="13937" spans="1:8" ht="15.75" customHeight="1" x14ac:dyDescent="0.25">
      <c r="A13937" s="412">
        <v>11</v>
      </c>
      <c r="B13937" s="1116" t="s">
        <v>136</v>
      </c>
      <c r="C13937" s="1117" t="s">
        <v>387</v>
      </c>
      <c r="D13937" s="981"/>
      <c r="E13937" s="981"/>
      <c r="F13937" s="415">
        <v>1</v>
      </c>
      <c r="G13937" s="619" t="s">
        <v>1856</v>
      </c>
      <c r="H13937" s="416"/>
    </row>
    <row r="13938" spans="1:8" ht="15.75" customHeight="1" x14ac:dyDescent="0.25">
      <c r="A13938" s="412">
        <v>12</v>
      </c>
      <c r="B13938" s="1116" t="s">
        <v>287</v>
      </c>
      <c r="C13938" s="1117" t="s">
        <v>400</v>
      </c>
      <c r="D13938" s="981">
        <v>8</v>
      </c>
      <c r="E13938" s="981">
        <v>6</v>
      </c>
      <c r="F13938" s="415">
        <v>46</v>
      </c>
      <c r="G13938" s="415">
        <v>1</v>
      </c>
      <c r="H13938" s="416">
        <f>+G13938*F13938</f>
      </c>
    </row>
    <row r="13939" spans="1:8" ht="15.75" customHeight="1" x14ac:dyDescent="0.25">
      <c r="A13939" s="412">
        <v>13</v>
      </c>
      <c r="B13939" s="1116" t="s">
        <v>287</v>
      </c>
      <c r="C13939" s="1117" t="s">
        <v>400</v>
      </c>
      <c r="D13939" s="981"/>
      <c r="E13939" s="981"/>
      <c r="F13939" s="415">
        <v>2</v>
      </c>
      <c r="G13939" s="619" t="s">
        <v>1856</v>
      </c>
      <c r="H13939" s="416"/>
    </row>
    <row r="13940" spans="1:8" ht="15.75" customHeight="1" x14ac:dyDescent="0.25">
      <c r="A13940" s="412">
        <v>14</v>
      </c>
      <c r="B13940" s="1094" t="s">
        <v>146</v>
      </c>
      <c r="C13940" s="1095" t="s">
        <v>380</v>
      </c>
      <c r="D13940" s="415">
        <v>2</v>
      </c>
      <c r="E13940" s="415">
        <v>6</v>
      </c>
      <c r="F13940" s="415">
        <f>+E13940*D13940</f>
      </c>
      <c r="G13940" s="415">
        <v>1</v>
      </c>
      <c r="H13940" s="416">
        <f t="shared" ref="H13940:H13942" si="553">+G13940*F13940</f>
      </c>
    </row>
    <row r="13941" spans="1:8" ht="15.75" customHeight="1" x14ac:dyDescent="0.25">
      <c r="A13941" s="412">
        <v>15</v>
      </c>
      <c r="B13941" s="1094" t="s">
        <v>145</v>
      </c>
      <c r="C13941" s="1095" t="s">
        <v>381</v>
      </c>
      <c r="D13941" s="415">
        <v>1</v>
      </c>
      <c r="E13941" s="415">
        <v>6</v>
      </c>
      <c r="F13941" s="415">
        <v>6</v>
      </c>
      <c r="G13941" s="415">
        <v>1</v>
      </c>
      <c r="H13941" s="416">
        <f t="shared" si="553"/>
      </c>
    </row>
    <row r="13942" spans="1:8" ht="15.75" customHeight="1" x14ac:dyDescent="0.25">
      <c r="A13942" s="412">
        <v>16</v>
      </c>
      <c r="B13942" s="1118" t="s">
        <v>80</v>
      </c>
      <c r="C13942" s="993" t="s">
        <v>386</v>
      </c>
      <c r="D13942" s="981">
        <v>3</v>
      </c>
      <c r="E13942" s="981">
        <v>5</v>
      </c>
      <c r="F13942" s="415">
        <f>+E13942*D13942</f>
      </c>
      <c r="G13942" s="415">
        <v>1</v>
      </c>
      <c r="H13942" s="416">
        <f t="shared" si="553"/>
      </c>
    </row>
    <row r="13943" spans="1:8" ht="15.75" customHeight="1" x14ac:dyDescent="0.25">
      <c r="A13943" s="412"/>
      <c r="B13943" s="953" t="s">
        <v>2357</v>
      </c>
      <c r="C13943" s="953"/>
      <c r="D13943" s="981"/>
      <c r="E13943" s="981"/>
      <c r="F13943" s="415"/>
      <c r="G13943" s="415"/>
      <c r="H13943" s="416"/>
    </row>
    <row r="13944" spans="1:8" ht="15.75" customHeight="1" x14ac:dyDescent="0.25">
      <c r="A13944" s="412">
        <v>17</v>
      </c>
      <c r="B13944" s="1118">
        <v>507</v>
      </c>
      <c r="C13944" s="993" t="s">
        <v>1815</v>
      </c>
      <c r="D13944" s="981">
        <v>1</v>
      </c>
      <c r="E13944" s="981">
        <v>300</v>
      </c>
      <c r="F13944" s="415">
        <f>+E13944*D13944</f>
      </c>
      <c r="G13944" s="415">
        <v>1</v>
      </c>
      <c r="H13944" s="416">
        <f t="shared" ref="H13944:H13945" si="554">+G13944*F13944</f>
      </c>
    </row>
    <row r="13945" spans="1:8" ht="15.75" customHeight="1" x14ac:dyDescent="0.25">
      <c r="A13945" s="412">
        <v>18</v>
      </c>
      <c r="B13945" s="1118">
        <v>508</v>
      </c>
      <c r="C13945" s="993" t="s">
        <v>1815</v>
      </c>
      <c r="D13945" s="981"/>
      <c r="E13945" s="981">
        <v>150</v>
      </c>
      <c r="F13945" s="415">
        <f>+E13945*D13944</f>
      </c>
      <c r="G13945" s="415">
        <v>1</v>
      </c>
      <c r="H13945" s="416">
        <f t="shared" si="554"/>
      </c>
    </row>
    <row r="13946" spans="1:8" ht="15.75" customHeight="1" x14ac:dyDescent="0.25">
      <c r="A13946" s="412">
        <v>19</v>
      </c>
      <c r="B13946" s="1118">
        <v>508</v>
      </c>
      <c r="C13946" s="993" t="s">
        <v>1815</v>
      </c>
      <c r="D13946" s="981"/>
      <c r="E13946" s="981">
        <v>50</v>
      </c>
      <c r="F13946" s="415">
        <f>+E13946*D13944</f>
      </c>
      <c r="G13946" s="619" t="s">
        <v>1856</v>
      </c>
      <c r="H13946" s="416"/>
    </row>
    <row r="13947" spans="1:8" ht="15.75" customHeight="1" x14ac:dyDescent="0.25">
      <c r="A13947" s="412">
        <v>20</v>
      </c>
      <c r="B13947" s="1118" t="s">
        <v>1514</v>
      </c>
      <c r="C13947" s="993"/>
      <c r="D13947" s="981">
        <v>3</v>
      </c>
      <c r="E13947" s="981">
        <v>100</v>
      </c>
      <c r="F13947" s="415">
        <v>285</v>
      </c>
      <c r="G13947" s="415">
        <v>1</v>
      </c>
      <c r="H13947" s="416">
        <f>+G13947*F13947</f>
      </c>
    </row>
    <row r="13948" spans="1:8" ht="15.75" customHeight="1" x14ac:dyDescent="0.25">
      <c r="A13948" s="412">
        <v>21</v>
      </c>
      <c r="B13948" s="1118" t="s">
        <v>1514</v>
      </c>
      <c r="C13948" s="993"/>
      <c r="D13948" s="981"/>
      <c r="E13948" s="981"/>
      <c r="F13948" s="415">
        <v>15</v>
      </c>
      <c r="G13948" s="619" t="s">
        <v>1856</v>
      </c>
      <c r="H13948" s="416"/>
    </row>
    <row r="13949" spans="1:8" ht="15.75" customHeight="1" x14ac:dyDescent="0.25">
      <c r="A13949" s="412"/>
      <c r="B13949" s="1118"/>
      <c r="C13949" s="993"/>
      <c r="D13949" s="981"/>
      <c r="E13949" s="981"/>
      <c r="F13949" s="415"/>
      <c r="G13949" s="415"/>
      <c r="H13949" s="416"/>
    </row>
    <row r="13950" spans="1:8" ht="15.75" customHeight="1" x14ac:dyDescent="0.25">
      <c r="A13950" s="412"/>
      <c r="B13950" s="1118"/>
      <c r="C13950" s="883" t="s">
        <v>2358</v>
      </c>
      <c r="D13950" s="981"/>
      <c r="E13950" s="981"/>
      <c r="F13950" s="415"/>
      <c r="G13950" s="415"/>
      <c r="H13950" s="416"/>
    </row>
    <row r="13951" spans="1:8" ht="15.75" customHeight="1" x14ac:dyDescent="0.25">
      <c r="A13951" s="880"/>
      <c r="B13951" s="1119"/>
      <c r="C13951" s="1120"/>
      <c r="D13951" s="1121"/>
      <c r="E13951" s="1121"/>
      <c r="F13951" s="892"/>
      <c r="G13951" s="892"/>
      <c r="H13951" s="893"/>
    </row>
    <row r="13952" spans="1:8" ht="15.75" customHeight="1" x14ac:dyDescent="0.25">
      <c r="A13952" s="451"/>
      <c r="B13952" s="1123"/>
      <c r="C13952" s="1092"/>
      <c r="D13952" s="638"/>
      <c r="E13952" s="638"/>
      <c r="F13952" s="391"/>
      <c r="G13952" s="391"/>
      <c r="H13952" s="394"/>
    </row>
    <row r="13953" spans="1:8" ht="15.75" customHeight="1" x14ac:dyDescent="0.25">
      <c r="A13953" s="451"/>
      <c r="B13953" s="1123"/>
      <c r="C13953" s="1092"/>
      <c r="D13953" s="638"/>
      <c r="E13953" s="638"/>
      <c r="F13953" s="391"/>
      <c r="G13953" s="391"/>
      <c r="H13953" s="394"/>
    </row>
    <row r="13954" spans="1:8" ht="15.75" customHeight="1" x14ac:dyDescent="0.25">
      <c r="A13954" s="451"/>
      <c r="B13954" s="1123"/>
      <c r="C13954" s="1092"/>
      <c r="D13954" s="638"/>
      <c r="E13954" s="638"/>
      <c r="F13954" s="391"/>
      <c r="G13954" s="391"/>
      <c r="H13954" s="394"/>
    </row>
    <row r="13955" spans="1:8" ht="15.75" customHeight="1" x14ac:dyDescent="0.25">
      <c r="A13955" s="451"/>
      <c r="B13955" s="1123"/>
      <c r="C13955" s="1092"/>
      <c r="D13955" s="638"/>
      <c r="E13955" s="638"/>
      <c r="F13955" s="391"/>
      <c r="G13955" s="391"/>
      <c r="H13955" s="394"/>
    </row>
    <row r="13956" spans="1:8" ht="15.75" customHeight="1" x14ac:dyDescent="0.25">
      <c r="A13956" s="451"/>
      <c r="B13956" s="1123"/>
      <c r="C13956" s="1092"/>
      <c r="D13956" s="638"/>
      <c r="E13956" s="638"/>
      <c r="F13956" s="391"/>
      <c r="G13956" s="391"/>
      <c r="H13956" s="394"/>
    </row>
    <row r="13957" spans="1:8" ht="15.75" customHeight="1" x14ac:dyDescent="0.25">
      <c r="A13957" s="8" t="s">
        <v>14</v>
      </c>
      <c r="B13957" s="8"/>
      <c r="C13957" s="8"/>
      <c r="D13957" s="8"/>
      <c r="E13957" s="8"/>
      <c r="F13957" s="8"/>
      <c r="G13957" s="8"/>
      <c r="H13957" s="8"/>
    </row>
    <row r="13958" spans="1:8" ht="15.75" customHeight="1" x14ac:dyDescent="0.25">
      <c r="A13958" s="388"/>
      <c r="B13958" s="388"/>
      <c r="C13958" s="388"/>
      <c r="D13958" s="389"/>
      <c r="E13958" s="388"/>
      <c r="F13958" s="388"/>
      <c r="G13958" s="388"/>
      <c r="H13958" s="8"/>
    </row>
    <row r="13959" spans="1:8" ht="15.75" customHeight="1" x14ac:dyDescent="0.25">
      <c r="A13959" s="390"/>
      <c r="B13959" s="390"/>
      <c r="C13959" s="390"/>
      <c r="D13959" s="391"/>
      <c r="E13959" s="390"/>
      <c r="F13959" s="395" t="s">
        <v>18</v>
      </c>
      <c r="G13959" s="396" t="s">
        <v>1229</v>
      </c>
      <c r="H13959" s="397"/>
    </row>
    <row r="13960" spans="1:8" ht="15.75" customHeight="1" x14ac:dyDescent="0.25">
      <c r="A13960" s="390" t="s">
        <v>20</v>
      </c>
      <c r="B13960" s="390"/>
      <c r="D13960" s="391"/>
      <c r="E13960" s="390"/>
      <c r="F13960" s="395" t="s">
        <v>21</v>
      </c>
      <c r="G13960" s="390" t="s">
        <v>1537</v>
      </c>
      <c r="H13960" s="391"/>
    </row>
    <row r="13961" spans="1:8" ht="15.75" customHeight="1" x14ac:dyDescent="0.25">
      <c r="A13961" s="390" t="inlineStr">
        <is>
          <t>Dealer-003</t>
        </is>
      </c>
      <c r="B13961" s="390"/>
      <c r="C13961" s="393" t="inlineStr">
        <is>
          <t>ATTN: Contact-007</t>
        </is>
      </c>
      <c r="D13961" s="398"/>
      <c r="E13961" s="390"/>
      <c r="F13961" s="391"/>
      <c r="G13961" s="390"/>
      <c r="H13961" s="394"/>
    </row>
    <row r="13962" spans="1:8" ht="15.75" customHeight="1" x14ac:dyDescent="0.25">
      <c r="A13962" s="390" t="inlineStr">
        <is>
          <t>Address line (redacted)</t>
        </is>
      </c>
      <c r="B13962" s="390"/>
      <c r="C13962" s="390"/>
      <c r="D13962" s="398"/>
      <c r="E13962" s="390"/>
      <c r="F13962" s="391"/>
      <c r="G13962" s="390"/>
      <c r="H13962" s="394"/>
    </row>
    <row r="13963" spans="1:8" ht="15.75" customHeight="1" x14ac:dyDescent="0.25">
      <c r="A13963" s="390"/>
      <c r="B13963" s="390"/>
      <c r="C13963" s="883" t="s">
        <v>1287</v>
      </c>
      <c r="D13963" s="391"/>
      <c r="E13963" s="390"/>
      <c r="F13963" s="391"/>
      <c r="G13963" s="390"/>
      <c r="H13963" s="394"/>
    </row>
    <row r="13964" spans="1:8" ht="15.75" customHeight="1" x14ac:dyDescent="0.25">
      <c r="A13964" s="390" t="s">
        <v>30</v>
      </c>
      <c r="B13964" s="390"/>
      <c r="C13964" s="390"/>
      <c r="D13964" s="391"/>
      <c r="E13964" s="390"/>
      <c r="F13964" s="391"/>
      <c r="G13964" s="390"/>
      <c r="H13964" s="394"/>
    </row>
    <row r="13965" spans="1:8" ht="15.75" customHeight="1" x14ac:dyDescent="0.25">
      <c r="A13965" s="390"/>
      <c r="B13965" s="390"/>
      <c r="C13965" s="390"/>
      <c r="D13965" s="391"/>
      <c r="E13965" s="390"/>
      <c r="F13965" s="391"/>
      <c r="G13965" s="390"/>
      <c r="H13965" s="394"/>
    </row>
    <row r="13966" spans="1:8" ht="15.75" customHeight="1" x14ac:dyDescent="0.25">
      <c r="A13966" s="390" t="s">
        <v>716</v>
      </c>
      <c r="B13966" s="390"/>
      <c r="C13966" s="390"/>
      <c r="D13966" s="391"/>
      <c r="E13966" s="390"/>
      <c r="F13966" s="391"/>
      <c r="G13966" s="390"/>
      <c r="H13966" s="394"/>
    </row>
    <row r="13967" spans="1:8" ht="15.75" customHeight="1" x14ac:dyDescent="0.25">
      <c r="A13967" s="390" t="s">
        <v>717</v>
      </c>
      <c r="B13967" s="390"/>
      <c r="C13967" s="390"/>
      <c r="D13967" s="391"/>
      <c r="E13967" s="390"/>
      <c r="F13967" s="391"/>
      <c r="G13967" s="390"/>
      <c r="H13967" s="394"/>
    </row>
    <row r="13968" spans="1:8" ht="15.75" customHeight="1" x14ac:dyDescent="0.25">
      <c r="A13968" s="390"/>
      <c r="B13968" s="390"/>
      <c r="C13968" s="390"/>
      <c r="D13968" s="391"/>
      <c r="E13968" s="390"/>
      <c r="F13968" s="391"/>
      <c r="G13968" s="390"/>
      <c r="H13968" s="394"/>
    </row>
    <row r="13969" spans="1:8" ht="15.75" customHeight="1" x14ac:dyDescent="0.25">
      <c r="A13969" s="948" t="s">
        <v>33</v>
      </c>
      <c r="B13969" s="872" t="s">
        <v>6</v>
      </c>
      <c r="C13969" s="872"/>
      <c r="D13969" s="874" t="s">
        <v>37</v>
      </c>
      <c r="E13969" s="874" t="s">
        <v>38</v>
      </c>
      <c r="F13969" s="875" t="s">
        <v>7</v>
      </c>
      <c r="G13969" s="872" t="s">
        <v>43</v>
      </c>
      <c r="H13969" s="876" t="s">
        <v>44</v>
      </c>
    </row>
    <row r="13970" spans="1:8" ht="15.75" customHeight="1" x14ac:dyDescent="0.25">
      <c r="A13970" s="412"/>
      <c r="B13970" s="1118"/>
      <c r="C13970" s="993"/>
      <c r="D13970" s="981"/>
      <c r="E13970" s="981"/>
      <c r="F13970" s="415"/>
      <c r="G13970" s="415"/>
      <c r="H13970" s="416"/>
    </row>
    <row r="13971" spans="1:8" ht="15.75" customHeight="1" x14ac:dyDescent="0.25">
      <c r="A13971" s="412"/>
      <c r="B13971" s="953" t="s">
        <v>2357</v>
      </c>
      <c r="C13971" s="953"/>
      <c r="D13971" s="981"/>
      <c r="E13971" s="981"/>
      <c r="F13971" s="415"/>
      <c r="G13971" s="415"/>
      <c r="H13971" s="416"/>
    </row>
    <row r="13972" spans="1:8" ht="15.75" customHeight="1" x14ac:dyDescent="0.25">
      <c r="A13972" s="412">
        <v>22</v>
      </c>
      <c r="B13972" s="1118" t="s">
        <v>1833</v>
      </c>
      <c r="C13972" s="993" t="s">
        <v>445</v>
      </c>
      <c r="D13972" s="981">
        <v>1</v>
      </c>
      <c r="E13972" s="981">
        <v>500</v>
      </c>
      <c r="F13972" s="415">
        <v>450</v>
      </c>
      <c r="G13972" s="415">
        <v>1</v>
      </c>
      <c r="H13972" s="416">
        <f>+G13972*F13972</f>
      </c>
    </row>
    <row r="13973" spans="1:8" ht="15.75" customHeight="1" x14ac:dyDescent="0.25">
      <c r="A13973" s="412">
        <v>23</v>
      </c>
      <c r="B13973" s="1118" t="s">
        <v>1833</v>
      </c>
      <c r="C13973" s="993" t="s">
        <v>445</v>
      </c>
      <c r="D13973" s="981"/>
      <c r="E13973" s="981"/>
      <c r="F13973" s="415">
        <v>50</v>
      </c>
      <c r="G13973" s="619" t="s">
        <v>1856</v>
      </c>
      <c r="H13973" s="416"/>
    </row>
    <row r="13974" spans="1:8" ht="15.75" customHeight="1" x14ac:dyDescent="0.25">
      <c r="A13974" s="412">
        <v>24</v>
      </c>
      <c r="B13974" s="1118" t="s">
        <v>287</v>
      </c>
      <c r="C13974" s="993" t="s">
        <v>1176</v>
      </c>
      <c r="D13974" s="981">
        <v>1</v>
      </c>
      <c r="E13974" s="981">
        <v>134</v>
      </c>
      <c r="F13974" s="415">
        <v>116.52</v>
      </c>
      <c r="G13974" s="415">
        <v>1</v>
      </c>
      <c r="H13974" s="416">
        <f>+G13974*F13974</f>
      </c>
    </row>
    <row r="13975" spans="1:8" ht="15.75" customHeight="1" x14ac:dyDescent="0.25">
      <c r="A13975" s="412">
        <v>25</v>
      </c>
      <c r="B13975" s="1118" t="s">
        <v>287</v>
      </c>
      <c r="C13975" s="993" t="s">
        <v>1176</v>
      </c>
      <c r="D13975" s="981"/>
      <c r="E13975" s="981"/>
      <c r="F13975" s="415">
        <v>17.48</v>
      </c>
      <c r="G13975" s="619" t="s">
        <v>1856</v>
      </c>
      <c r="H13975" s="416"/>
    </row>
    <row r="13976" spans="1:8" ht="15.75" customHeight="1" x14ac:dyDescent="0.25">
      <c r="A13976" s="412">
        <v>26</v>
      </c>
      <c r="B13976" s="1118" t="s">
        <v>293</v>
      </c>
      <c r="C13976" s="993" t="s">
        <v>450</v>
      </c>
      <c r="D13976" s="981">
        <v>1</v>
      </c>
      <c r="E13976" s="981">
        <v>435</v>
      </c>
      <c r="F13976" s="415">
        <v>435</v>
      </c>
      <c r="G13976" s="415">
        <v>1</v>
      </c>
      <c r="H13976" s="416">
        <f>+G13976*F13976</f>
      </c>
    </row>
    <row r="13977" spans="1:8" ht="15.75" customHeight="1" x14ac:dyDescent="0.25">
      <c r="A13977" s="412">
        <v>27</v>
      </c>
      <c r="B13977" s="1118" t="s">
        <v>293</v>
      </c>
      <c r="C13977" s="993" t="s">
        <v>450</v>
      </c>
      <c r="D13977" s="981"/>
      <c r="E13977" s="981">
        <v>65</v>
      </c>
      <c r="F13977" s="415">
        <v>65</v>
      </c>
      <c r="G13977" s="619" t="s">
        <v>1856</v>
      </c>
      <c r="H13977" s="416"/>
    </row>
    <row r="13978" spans="1:8" ht="15.75" customHeight="1" x14ac:dyDescent="0.25">
      <c r="A13978" s="412">
        <v>28</v>
      </c>
      <c r="B13978" s="913" t="s">
        <v>2176</v>
      </c>
      <c r="C13978" s="1127" t="s">
        <v>451</v>
      </c>
      <c r="D13978" s="929">
        <v>1</v>
      </c>
      <c r="E13978" s="981"/>
      <c r="F13978" s="415">
        <v>100</v>
      </c>
      <c r="G13978" s="415">
        <v>1</v>
      </c>
      <c r="H13978" s="416">
        <f>+G13978*F13978</f>
      </c>
    </row>
    <row r="13979" spans="1:8" ht="15.75" customHeight="1" x14ac:dyDescent="0.25">
      <c r="A13979" s="412">
        <v>29</v>
      </c>
      <c r="B13979" s="913" t="s">
        <v>2176</v>
      </c>
      <c r="C13979" s="1127" t="s">
        <v>451</v>
      </c>
      <c r="D13979" s="1146"/>
      <c r="E13979" s="981"/>
      <c r="F13979" s="415">
        <v>10</v>
      </c>
      <c r="G13979" s="619" t="s">
        <v>1856</v>
      </c>
      <c r="H13979" s="416"/>
    </row>
    <row r="13980" spans="1:8" ht="15.75" customHeight="1" x14ac:dyDescent="0.25">
      <c r="A13980" s="412">
        <v>30</v>
      </c>
      <c r="B13980" s="1118" t="s">
        <v>290</v>
      </c>
      <c r="C13980" s="993" t="s">
        <v>447</v>
      </c>
      <c r="D13980" s="1146"/>
      <c r="E13980" s="981"/>
      <c r="F13980" s="415">
        <v>100</v>
      </c>
      <c r="G13980" s="415">
        <v>1</v>
      </c>
      <c r="H13980" s="416">
        <f>+G13980*F13980</f>
      </c>
    </row>
    <row r="13981" spans="1:8" ht="15.75" customHeight="1" x14ac:dyDescent="0.25">
      <c r="A13981" s="412">
        <v>31</v>
      </c>
      <c r="B13981" s="1118" t="s">
        <v>290</v>
      </c>
      <c r="C13981" s="993" t="s">
        <v>447</v>
      </c>
      <c r="D13981" s="1146"/>
      <c r="E13981" s="981"/>
      <c r="F13981" s="415">
        <v>15</v>
      </c>
      <c r="G13981" s="619" t="s">
        <v>1856</v>
      </c>
      <c r="H13981" s="416"/>
    </row>
    <row r="13982" spans="1:8" ht="15.75" customHeight="1" x14ac:dyDescent="0.25">
      <c r="A13982" s="412"/>
      <c r="B13982" s="953" t="s">
        <v>1329</v>
      </c>
      <c r="C13982" s="953"/>
      <c r="D13982" s="981"/>
      <c r="E13982" s="981"/>
      <c r="F13982" s="415"/>
      <c r="G13982" s="415"/>
      <c r="H13982" s="416"/>
    </row>
    <row r="13983" spans="1:8" ht="15.75" customHeight="1" x14ac:dyDescent="0.25">
      <c r="A13983" s="412">
        <v>32</v>
      </c>
      <c r="B13983" s="1118" t="s">
        <v>2359</v>
      </c>
      <c r="C13983" s="993" t="s">
        <v>5</v>
      </c>
      <c r="D13983" s="981">
        <v>24</v>
      </c>
      <c r="E13983" s="981">
        <v>24</v>
      </c>
      <c r="F13983" s="415">
        <f>+D13983*E13983</f>
      </c>
      <c r="G13983" s="415">
        <v>1</v>
      </c>
      <c r="H13983" s="416">
        <f>+G13983*F13983</f>
      </c>
    </row>
    <row r="13984" spans="1:8" ht="15.75" customHeight="1" x14ac:dyDescent="0.25">
      <c r="A13984" s="412">
        <v>33</v>
      </c>
      <c r="B13984" s="1118" t="s">
        <v>2359</v>
      </c>
      <c r="C13984" s="993" t="s">
        <v>5</v>
      </c>
      <c r="D13984" s="588">
        <v>1</v>
      </c>
      <c r="E13984" s="981"/>
      <c r="F13984" s="415">
        <f>+$E$13661*$D$13662</f>
      </c>
      <c r="G13984" s="619" t="s">
        <v>1856</v>
      </c>
      <c r="H13984" s="416"/>
    </row>
    <row r="13985" spans="1:8" ht="15.75" customHeight="1" x14ac:dyDescent="0.25">
      <c r="A13985" s="412">
        <v>34</v>
      </c>
      <c r="B13985" s="1118" t="s">
        <v>2359</v>
      </c>
      <c r="C13985" s="993" t="s">
        <v>13</v>
      </c>
      <c r="D13985" s="981">
        <v>8</v>
      </c>
      <c r="E13985" s="981">
        <v>6</v>
      </c>
      <c r="F13985" s="415">
        <v>46</v>
      </c>
      <c r="G13985" s="415">
        <v>1</v>
      </c>
      <c r="H13985" s="416">
        <f>+G13985*F13985</f>
      </c>
    </row>
    <row r="13986" spans="1:8" ht="15.75" customHeight="1" x14ac:dyDescent="0.25">
      <c r="A13986" s="412">
        <v>35</v>
      </c>
      <c r="B13986" s="1118" t="s">
        <v>2359</v>
      </c>
      <c r="C13986" s="993" t="s">
        <v>13</v>
      </c>
      <c r="D13986" s="981"/>
      <c r="E13986" s="981"/>
      <c r="F13986" s="415">
        <v>2</v>
      </c>
      <c r="G13986" s="619" t="s">
        <v>1856</v>
      </c>
      <c r="H13986" s="416"/>
    </row>
    <row r="13987" spans="1:8" ht="15.75" customHeight="1" x14ac:dyDescent="0.25">
      <c r="A13987" s="412">
        <v>36</v>
      </c>
      <c r="B13987" s="1118" t="s">
        <v>2158</v>
      </c>
      <c r="C13987" s="993"/>
      <c r="D13987" s="981">
        <v>10</v>
      </c>
      <c r="E13987" s="981">
        <v>10</v>
      </c>
      <c r="F13987" s="415">
        <f>+D13987*E13987</f>
      </c>
      <c r="G13987" s="415">
        <v>1</v>
      </c>
      <c r="H13987" s="416">
        <f>+G13987*F13987</f>
      </c>
    </row>
    <row r="13988" spans="1:8" ht="15.75" customHeight="1" x14ac:dyDescent="0.25">
      <c r="A13988" s="412">
        <v>37</v>
      </c>
      <c r="B13988" s="1118" t="s">
        <v>2158</v>
      </c>
      <c r="C13988" s="993"/>
      <c r="D13988" s="588">
        <v>1</v>
      </c>
      <c r="E13988" s="981"/>
      <c r="F13988" s="415">
        <f>+E13987*D13988</f>
      </c>
      <c r="G13988" s="619" t="s">
        <v>1856</v>
      </c>
      <c r="H13988" s="416"/>
    </row>
    <row r="13989" spans="1:8" ht="15.75" customHeight="1" x14ac:dyDescent="0.25">
      <c r="A13989" s="412">
        <v>38</v>
      </c>
      <c r="B13989" s="1118" t="s">
        <v>2159</v>
      </c>
      <c r="C13989" s="993" t="s">
        <v>1481</v>
      </c>
      <c r="D13989" s="588">
        <v>1</v>
      </c>
      <c r="E13989" s="981">
        <v>50</v>
      </c>
      <c r="F13989" s="415">
        <v>50</v>
      </c>
      <c r="G13989" s="415">
        <v>1</v>
      </c>
      <c r="H13989" s="416">
        <f t="shared" ref="H13989:H13993" si="555">+G13989*F13989</f>
      </c>
    </row>
    <row r="13990" spans="1:8" ht="15.75" customHeight="1" x14ac:dyDescent="0.25">
      <c r="A13990" s="412">
        <v>39</v>
      </c>
      <c r="B13990" s="1118" t="s">
        <v>2160</v>
      </c>
      <c r="C13990" s="993" t="s">
        <v>1512</v>
      </c>
      <c r="D13990" s="588"/>
      <c r="E13990" s="981">
        <v>25</v>
      </c>
      <c r="F13990" s="415">
        <v>25</v>
      </c>
      <c r="G13990" s="415">
        <v>1</v>
      </c>
      <c r="H13990" s="416">
        <f t="shared" si="555"/>
      </c>
    </row>
    <row r="13991" spans="1:8" ht="15.75" customHeight="1" x14ac:dyDescent="0.25">
      <c r="A13991" s="412">
        <v>40</v>
      </c>
      <c r="B13991" s="1118" t="s">
        <v>1039</v>
      </c>
      <c r="C13991" s="993" t="s">
        <v>419</v>
      </c>
      <c r="D13991" s="588">
        <v>2</v>
      </c>
      <c r="E13991" s="981">
        <v>100</v>
      </c>
      <c r="F13991" s="415">
        <f>+E13991*D13991</f>
      </c>
      <c r="G13991" s="415">
        <v>1</v>
      </c>
      <c r="H13991" s="416">
        <f t="shared" si="555"/>
      </c>
    </row>
    <row r="13992" spans="1:8" ht="15.75" customHeight="1" x14ac:dyDescent="0.25">
      <c r="A13992" s="412">
        <v>41</v>
      </c>
      <c r="B13992" s="1118" t="s">
        <v>242</v>
      </c>
      <c r="C13992" s="993"/>
      <c r="D13992" s="588">
        <v>1</v>
      </c>
      <c r="E13992" s="981">
        <v>25</v>
      </c>
      <c r="F13992" s="415">
        <v>25</v>
      </c>
      <c r="G13992" s="415">
        <v>1</v>
      </c>
      <c r="H13992" s="416">
        <f t="shared" si="555"/>
      </c>
    </row>
    <row r="13993" spans="1:8" ht="15.75" customHeight="1" x14ac:dyDescent="0.25">
      <c r="A13993" s="412">
        <v>42</v>
      </c>
      <c r="B13993" s="1118" t="s">
        <v>243</v>
      </c>
      <c r="C13993" s="993"/>
      <c r="D13993" s="588">
        <v>1</v>
      </c>
      <c r="E13993" s="981">
        <v>10</v>
      </c>
      <c r="F13993" s="415">
        <v>10</v>
      </c>
      <c r="G13993" s="415">
        <v>1</v>
      </c>
      <c r="H13993" s="416">
        <f t="shared" si="555"/>
      </c>
    </row>
    <row r="13994" spans="1:8" ht="15.75" customHeight="1" x14ac:dyDescent="0.25">
      <c r="A13994" s="880"/>
      <c r="B13994" s="1119"/>
      <c r="C13994" s="1120"/>
      <c r="D13994" s="1122"/>
      <c r="E13994" s="1121"/>
      <c r="F13994" s="892"/>
      <c r="G13994" s="892"/>
      <c r="H13994" s="893"/>
    </row>
    <row r="13995" spans="1:8" ht="15.75" customHeight="1" x14ac:dyDescent="0.25">
      <c r="A13995" s="451"/>
      <c r="B13995" s="1123"/>
      <c r="C13995" s="1092"/>
      <c r="D13995" s="567"/>
      <c r="E13995" s="638"/>
      <c r="F13995" s="391"/>
      <c r="G13995" s="391"/>
      <c r="H13995" s="394"/>
    </row>
    <row r="13996" spans="1:8" ht="15.75" customHeight="1" x14ac:dyDescent="0.25">
      <c r="A13996" s="451"/>
      <c r="B13996" s="1123"/>
      <c r="C13996" s="883" t="s">
        <v>2360</v>
      </c>
      <c r="D13996" s="567"/>
      <c r="E13996" s="638"/>
      <c r="F13996" s="391"/>
      <c r="G13996" s="391"/>
      <c r="H13996" s="394"/>
    </row>
    <row r="13997" spans="1:8" ht="15.75" customHeight="1" x14ac:dyDescent="0.25">
      <c r="A13997" s="451"/>
      <c r="B13997" s="1123"/>
      <c r="C13997" s="1092"/>
      <c r="D13997" s="567"/>
      <c r="E13997" s="638"/>
      <c r="F13997" s="391"/>
      <c r="G13997" s="391"/>
      <c r="H13997" s="394"/>
    </row>
    <row r="13998" spans="1:8" ht="15.75" customHeight="1" x14ac:dyDescent="0.25">
      <c r="A13998" s="451"/>
      <c r="B13998" s="1123"/>
      <c r="C13998" s="1092"/>
      <c r="D13998" s="567"/>
      <c r="E13998" s="638"/>
      <c r="F13998" s="391"/>
      <c r="G13998" s="391"/>
      <c r="H13998" s="394"/>
    </row>
    <row r="13999" spans="1:8" ht="15.75" customHeight="1" x14ac:dyDescent="0.25">
      <c r="A13999" s="451"/>
      <c r="B13999" s="1123"/>
      <c r="C13999" s="1092"/>
      <c r="D13999" s="567"/>
      <c r="E13999" s="638"/>
      <c r="F13999" s="391"/>
      <c r="G13999" s="391"/>
      <c r="H13999" s="394"/>
    </row>
    <row r="14000" spans="1:8" ht="15.75" customHeight="1" x14ac:dyDescent="0.25">
      <c r="A14000" s="451"/>
      <c r="B14000" s="1123"/>
      <c r="C14000" s="1092"/>
      <c r="D14000" s="567"/>
      <c r="E14000" s="638"/>
      <c r="F14000" s="391"/>
      <c r="G14000" s="391"/>
      <c r="H14000" s="394"/>
    </row>
    <row r="14001" spans="1:8" ht="15.75" customHeight="1" x14ac:dyDescent="0.25">
      <c r="A14001" s="451"/>
      <c r="B14001" s="1123"/>
      <c r="C14001" s="1092"/>
      <c r="D14001" s="567"/>
      <c r="E14001" s="638"/>
      <c r="F14001" s="391"/>
      <c r="G14001" s="391"/>
      <c r="H14001" s="394"/>
    </row>
    <row r="14002" spans="1:8" ht="15.75" customHeight="1" x14ac:dyDescent="0.25">
      <c r="A14002" s="451"/>
      <c r="B14002" s="1123"/>
      <c r="C14002" s="1092"/>
      <c r="D14002" s="567"/>
      <c r="E14002" s="638"/>
      <c r="F14002" s="391"/>
      <c r="G14002" s="391"/>
      <c r="H14002" s="394"/>
    </row>
    <row r="14003" spans="1:8" ht="15.75" customHeight="1" x14ac:dyDescent="0.25">
      <c r="A14003" s="8" t="s">
        <v>14</v>
      </c>
      <c r="B14003" s="8"/>
      <c r="C14003" s="8"/>
      <c r="D14003" s="8"/>
      <c r="E14003" s="8"/>
      <c r="F14003" s="8"/>
      <c r="G14003" s="8"/>
      <c r="H14003" s="8"/>
    </row>
    <row r="14004" spans="1:8" ht="15.75" customHeight="1" x14ac:dyDescent="0.25">
      <c r="A14004" s="388"/>
      <c r="B14004" s="388"/>
      <c r="C14004" s="388"/>
      <c r="D14004" s="389"/>
      <c r="E14004" s="388"/>
      <c r="F14004" s="388"/>
      <c r="G14004" s="388"/>
      <c r="H14004" s="8"/>
    </row>
    <row r="14005" spans="1:8" ht="15.75" customHeight="1" x14ac:dyDescent="0.25">
      <c r="A14005" s="390"/>
      <c r="B14005" s="390"/>
      <c r="C14005" s="390"/>
      <c r="D14005" s="391"/>
      <c r="E14005" s="390"/>
      <c r="F14005" s="395" t="s">
        <v>18</v>
      </c>
      <c r="G14005" s="396" t="s">
        <v>1229</v>
      </c>
      <c r="H14005" s="397"/>
    </row>
    <row r="14006" spans="1:8" ht="15.75" customHeight="1" x14ac:dyDescent="0.25">
      <c r="A14006" s="390" t="s">
        <v>20</v>
      </c>
      <c r="B14006" s="390"/>
      <c r="D14006" s="391"/>
      <c r="E14006" s="390"/>
      <c r="F14006" s="395" t="s">
        <v>21</v>
      </c>
      <c r="G14006" s="390" t="s">
        <v>1537</v>
      </c>
      <c r="H14006" s="391"/>
    </row>
    <row r="14007" spans="1:8" ht="15.75" customHeight="1" x14ac:dyDescent="0.25">
      <c r="A14007" s="390" t="inlineStr">
        <is>
          <t>Dealer-003</t>
        </is>
      </c>
      <c r="B14007" s="390"/>
      <c r="C14007" s="393" t="inlineStr">
        <is>
          <t>ATTN: Contact-007</t>
        </is>
      </c>
      <c r="D14007" s="398"/>
      <c r="E14007" s="390"/>
      <c r="F14007" s="391"/>
      <c r="G14007" s="390"/>
      <c r="H14007" s="394"/>
    </row>
    <row r="14008" spans="1:8" ht="15.75" customHeight="1" x14ac:dyDescent="0.25">
      <c r="A14008" s="390" t="inlineStr">
        <is>
          <t>Address line (redacted)</t>
        </is>
      </c>
      <c r="B14008" s="390"/>
      <c r="C14008" s="390"/>
      <c r="D14008" s="398"/>
      <c r="E14008" s="390"/>
      <c r="F14008" s="391"/>
      <c r="G14008" s="390"/>
      <c r="H14008" s="394"/>
    </row>
    <row r="14009" spans="1:8" ht="15.75" customHeight="1" x14ac:dyDescent="0.25">
      <c r="A14009" s="390"/>
      <c r="B14009" s="390"/>
      <c r="C14009" s="883" t="s">
        <v>2278</v>
      </c>
      <c r="D14009" s="391"/>
      <c r="E14009" s="390"/>
      <c r="F14009" s="391"/>
      <c r="G14009" s="390"/>
      <c r="H14009" s="394"/>
    </row>
    <row r="14010" spans="1:8" ht="15.75" customHeight="1" x14ac:dyDescent="0.25">
      <c r="A14010" s="390" t="s">
        <v>30</v>
      </c>
      <c r="B14010" s="390"/>
      <c r="C14010" s="390"/>
      <c r="D14010" s="391"/>
      <c r="E14010" s="390"/>
      <c r="F14010" s="391"/>
      <c r="G14010" s="390"/>
      <c r="H14010" s="394"/>
    </row>
    <row r="14011" spans="1:8" ht="15.75" customHeight="1" x14ac:dyDescent="0.25">
      <c r="A14011" s="390" t="s">
        <v>716</v>
      </c>
      <c r="B14011" s="390"/>
      <c r="C14011" s="390"/>
      <c r="D14011" s="391"/>
      <c r="E14011" s="390"/>
      <c r="F14011" s="391"/>
      <c r="G14011" s="390"/>
      <c r="H14011" s="394"/>
    </row>
    <row r="14012" spans="1:8" ht="15.75" customHeight="1" x14ac:dyDescent="0.25">
      <c r="A14012" s="390" t="s">
        <v>717</v>
      </c>
      <c r="B14012" s="390"/>
      <c r="C14012" s="390"/>
      <c r="D14012" s="391"/>
      <c r="E14012" s="390"/>
      <c r="F14012" s="391"/>
      <c r="G14012" s="390"/>
      <c r="H14012" s="394"/>
    </row>
    <row r="14013" spans="1:8" ht="15.75" customHeight="1" x14ac:dyDescent="0.25">
      <c r="A14013" s="390"/>
      <c r="B14013" s="390"/>
      <c r="C14013" s="390"/>
      <c r="D14013" s="391"/>
      <c r="E14013" s="390"/>
      <c r="F14013" s="391"/>
      <c r="G14013" s="390"/>
      <c r="H14013" s="394"/>
    </row>
    <row r="14014" spans="1:8" ht="15.75" customHeight="1" x14ac:dyDescent="0.25">
      <c r="A14014" s="948" t="s">
        <v>33</v>
      </c>
      <c r="B14014" s="872" t="s">
        <v>6</v>
      </c>
      <c r="C14014" s="872"/>
      <c r="D14014" s="874" t="s">
        <v>37</v>
      </c>
      <c r="E14014" s="874" t="s">
        <v>38</v>
      </c>
      <c r="F14014" s="875" t="s">
        <v>7</v>
      </c>
      <c r="G14014" s="872" t="s">
        <v>43</v>
      </c>
      <c r="H14014" s="876" t="s">
        <v>44</v>
      </c>
    </row>
    <row r="14015" spans="1:8" ht="15.75" customHeight="1" x14ac:dyDescent="0.25">
      <c r="A14015" s="412"/>
      <c r="B14015" s="953" t="s">
        <v>2162</v>
      </c>
      <c r="C14015" s="953"/>
      <c r="D14015" s="626"/>
      <c r="E14015" s="930"/>
      <c r="F14015" s="415"/>
      <c r="G14015" s="415"/>
      <c r="H14015" s="416"/>
    </row>
    <row r="14016" spans="1:8" ht="15.75" customHeight="1" x14ac:dyDescent="0.25">
      <c r="A14016" s="412">
        <v>47</v>
      </c>
      <c r="B14016" s="1118">
        <v>404</v>
      </c>
      <c r="C14016" s="993"/>
      <c r="D14016" s="981">
        <v>90</v>
      </c>
      <c r="E14016" s="981">
        <v>1</v>
      </c>
      <c r="F14016" s="415">
        <f>+E14016*D14016</f>
      </c>
      <c r="G14016" s="415">
        <v>1</v>
      </c>
      <c r="H14016" s="416">
        <f>+G14016*F14016</f>
      </c>
    </row>
    <row r="14017" spans="1:8" ht="15.75" customHeight="1" x14ac:dyDescent="0.25">
      <c r="A14017" s="412"/>
      <c r="B14017" s="1147" t="s">
        <v>2366</v>
      </c>
      <c r="C14017" s="1148"/>
      <c r="D14017" s="981"/>
      <c r="E14017" s="981"/>
      <c r="F14017" s="415"/>
      <c r="G14017" s="415"/>
      <c r="H14017" s="416"/>
    </row>
    <row r="14018" spans="1:8" ht="15.75" customHeight="1" x14ac:dyDescent="0.25">
      <c r="A14018" s="412"/>
      <c r="B14018" s="1149"/>
      <c r="C14018" s="1150"/>
      <c r="D14018" s="981"/>
      <c r="E14018" s="981"/>
      <c r="F14018" s="415"/>
      <c r="G14018" s="415"/>
      <c r="H14018" s="416"/>
    </row>
    <row r="14019" spans="1:8" ht="15.75" customHeight="1" x14ac:dyDescent="0.25">
      <c r="A14019" s="412"/>
      <c r="B14019" s="953" t="s">
        <v>1356</v>
      </c>
      <c r="C14019" s="953"/>
      <c r="D14019" s="626"/>
      <c r="E14019" s="930"/>
      <c r="F14019" s="415"/>
      <c r="G14019" s="415"/>
      <c r="H14019" s="416"/>
    </row>
    <row r="14020" spans="1:8" ht="15.75" customHeight="1" x14ac:dyDescent="0.25">
      <c r="A14020" s="412">
        <v>48</v>
      </c>
      <c r="B14020" s="1118" t="s">
        <v>320</v>
      </c>
      <c r="C14020" s="993" t="s">
        <v>316</v>
      </c>
      <c r="D14020" s="929">
        <v>2.5</v>
      </c>
      <c r="E14020" s="929">
        <v>10</v>
      </c>
      <c r="F14020" s="415">
        <v>24</v>
      </c>
      <c r="G14020" s="415">
        <v>1</v>
      </c>
      <c r="H14020" s="416">
        <f>+G14020*F14020</f>
      </c>
    </row>
    <row r="14021" spans="1:8" ht="15.75" customHeight="1" x14ac:dyDescent="0.25">
      <c r="A14021" s="412">
        <v>49</v>
      </c>
      <c r="B14021" s="1118" t="s">
        <v>320</v>
      </c>
      <c r="C14021" s="993" t="s">
        <v>316</v>
      </c>
      <c r="D14021" s="930"/>
      <c r="E14021" s="930"/>
      <c r="F14021" s="415">
        <v>1</v>
      </c>
      <c r="G14021" s="707" t="s">
        <v>1856</v>
      </c>
      <c r="H14021" s="416"/>
    </row>
    <row r="14022" spans="1:8" ht="15.75" customHeight="1" x14ac:dyDescent="0.25">
      <c r="A14022" s="412">
        <v>50</v>
      </c>
      <c r="B14022" s="585" t="s">
        <v>123</v>
      </c>
      <c r="C14022" s="993" t="s">
        <v>1577</v>
      </c>
      <c r="D14022" s="626">
        <v>2</v>
      </c>
      <c r="E14022" s="930">
        <v>5</v>
      </c>
      <c r="F14022" s="415">
        <f>+E14022*D14022</f>
      </c>
      <c r="G14022" s="415">
        <v>1</v>
      </c>
      <c r="H14022" s="416">
        <f t="shared" ref="H14022:H14023" si="556">+G14022*F14022</f>
      </c>
    </row>
    <row r="14023" spans="1:8" ht="15.75" customHeight="1" x14ac:dyDescent="0.25">
      <c r="A14023" s="412">
        <v>51</v>
      </c>
      <c r="B14023" s="585" t="s">
        <v>1578</v>
      </c>
      <c r="C14023" s="993" t="s">
        <v>1579</v>
      </c>
      <c r="D14023" s="592">
        <v>5</v>
      </c>
      <c r="E14023" s="929">
        <v>5</v>
      </c>
      <c r="F14023" s="415">
        <v>24</v>
      </c>
      <c r="G14023" s="415">
        <v>1</v>
      </c>
      <c r="H14023" s="416">
        <f t="shared" si="556"/>
      </c>
    </row>
    <row r="14024" spans="1:8" ht="15.75" customHeight="1" x14ac:dyDescent="0.25">
      <c r="A14024" s="412">
        <v>52</v>
      </c>
      <c r="B14024" s="585" t="s">
        <v>1578</v>
      </c>
      <c r="C14024" s="993" t="s">
        <v>1579</v>
      </c>
      <c r="D14024" s="626"/>
      <c r="E14024" s="930"/>
      <c r="F14024" s="415">
        <v>1</v>
      </c>
      <c r="G14024" s="707" t="s">
        <v>1856</v>
      </c>
      <c r="H14024" s="416"/>
    </row>
    <row r="14025" spans="1:8" ht="15.75" customHeight="1" x14ac:dyDescent="0.25">
      <c r="A14025" s="412">
        <v>53</v>
      </c>
      <c r="B14025" s="585" t="s">
        <v>1538</v>
      </c>
      <c r="C14025" s="993"/>
      <c r="D14025" s="626"/>
      <c r="E14025" s="930"/>
      <c r="F14025" s="415">
        <v>4</v>
      </c>
      <c r="G14025" s="707" t="s">
        <v>1856</v>
      </c>
      <c r="H14025" s="416"/>
    </row>
    <row r="14026" spans="1:8" ht="15.75" customHeight="1" x14ac:dyDescent="0.25">
      <c r="A14026" s="412"/>
      <c r="B14026" s="913"/>
      <c r="C14026" s="993"/>
      <c r="D14026" s="626"/>
      <c r="E14026" s="930"/>
      <c r="F14026" s="415"/>
      <c r="G14026" s="415"/>
      <c r="H14026" s="416"/>
    </row>
    <row r="14027" spans="1:8" ht="15.75" customHeight="1" x14ac:dyDescent="0.25">
      <c r="A14027" s="412"/>
      <c r="B14027" s="1127"/>
      <c r="C14027" s="993"/>
      <c r="D14027" s="626"/>
      <c r="E14027" s="626"/>
      <c r="F14027" s="415"/>
      <c r="G14027" s="415"/>
      <c r="H14027" s="416"/>
    </row>
    <row r="14028" spans="1:8" ht="15.75" customHeight="1" x14ac:dyDescent="0.25">
      <c r="A14028" s="877"/>
      <c r="B14028" s="688"/>
      <c r="C14028" s="896" t="s">
        <v>85</v>
      </c>
      <c r="D14028" s="599"/>
      <c r="E14028" s="401"/>
      <c r="F14028" s="599"/>
      <c r="G14028" s="661"/>
      <c r="H14028" s="438">
        <f>+H14023+H14022+H14020+H14016+H13993+H13992+H13991+H13990+H13989+H13987+H13985+H13983+H13980+H13978+H13976+H13974+H13972+H13947+H13945+H13944+H13942+H13941+H13940+H13938+H13936+H13934+H13932+H13931+H13930+H13929+H13928+H13927+H13926</f>
      </c>
    </row>
    <row r="14029" spans="1:8" ht="15.75" customHeight="1" x14ac:dyDescent="0.25">
      <c r="A14029" s="932"/>
      <c r="B14029" s="933"/>
      <c r="C14029" s="934"/>
      <c r="D14029" s="431"/>
      <c r="E14029" s="935"/>
      <c r="F14029" s="935"/>
      <c r="G14029" s="936"/>
      <c r="H14029" s="444"/>
    </row>
    <row r="14030" spans="1:8" ht="15.75" customHeight="1" x14ac:dyDescent="0.25">
      <c r="A14030" s="994"/>
      <c r="B14030" s="391"/>
      <c r="C14030" s="391"/>
      <c r="D14030" s="391"/>
      <c r="E14030" s="390"/>
      <c r="F14030" s="392"/>
      <c r="G14030" s="390"/>
      <c r="H14030" s="394"/>
    </row>
    <row r="14031" spans="1:8" ht="15.75" customHeight="1" x14ac:dyDescent="0.25">
      <c r="A14031" s="445"/>
      <c r="B14031" s="445"/>
      <c r="C14031" s="445"/>
      <c r="D14031" s="446" t="s">
        <v>97</v>
      </c>
      <c r="E14031" s="445" t="s">
        <v>98</v>
      </c>
      <c r="F14031" s="445"/>
      <c r="G14031" s="390"/>
      <c r="H14031" s="394"/>
    </row>
    <row r="14032" spans="1:8" ht="15.75" customHeight="1" x14ac:dyDescent="0.25">
      <c r="A14032" s="445"/>
      <c r="B14032" s="445"/>
      <c r="C14032" s="445"/>
      <c r="D14032" s="446"/>
      <c r="E14032" s="445"/>
      <c r="F14032" s="445"/>
      <c r="G14032" s="390"/>
      <c r="H14032" s="394"/>
    </row>
    <row r="14033" spans="1:8" ht="15.75" customHeight="1" x14ac:dyDescent="0.25">
      <c r="A14033" s="390"/>
      <c r="B14033" s="390"/>
      <c r="C14033" s="390"/>
      <c r="D14033" s="391"/>
      <c r="E14033" s="390"/>
      <c r="F14033" s="390"/>
      <c r="G14033" s="390"/>
      <c r="H14033" s="394"/>
    </row>
    <row r="14034" spans="1:8" ht="15.75" customHeight="1" x14ac:dyDescent="0.25">
      <c r="A14034" s="445"/>
      <c r="B14034" s="445"/>
      <c r="C14034" s="445"/>
      <c r="D14034" s="446"/>
      <c r="E14034" s="445" t="s">
        <v>99</v>
      </c>
      <c r="F14034" s="445"/>
      <c r="G14034" s="390"/>
      <c r="H14034" s="394"/>
    </row>
    <row r="14035" spans="1:8" ht="15.75" customHeight="1" x14ac:dyDescent="0.25">
      <c r="A14035" s="445"/>
      <c r="B14035" s="445"/>
      <c r="C14035" s="445"/>
      <c r="D14035" s="446"/>
      <c r="E14035" s="445"/>
      <c r="F14035" s="445"/>
      <c r="G14035" s="390"/>
      <c r="H14035" s="394"/>
    </row>
    <row r="14036" spans="1:8" ht="15.75" customHeight="1" x14ac:dyDescent="0.25">
      <c r="D14036" s="4"/>
      <c r="H14036" s="4"/>
    </row>
    <row r="14037" spans="1:8" ht="15.75" customHeight="1" x14ac:dyDescent="0.25">
      <c r="D14037" s="4"/>
      <c r="H14037" s="4"/>
    </row>
    <row r="14038" spans="1:8" ht="15.75" customHeight="1" x14ac:dyDescent="0.25">
      <c r="D14038" s="4"/>
      <c r="H14038" s="4"/>
    </row>
    <row r="14039" spans="1:8" ht="15.75" customHeight="1" x14ac:dyDescent="0.25">
      <c r="D14039" s="4"/>
      <c r="H14039" s="4"/>
    </row>
    <row r="14040" spans="1:8" ht="15.75" customHeight="1" x14ac:dyDescent="0.25">
      <c r="D14040" s="4"/>
      <c r="H14040" s="4"/>
    </row>
    <row r="14041" spans="1:8" ht="15.75" customHeight="1" x14ac:dyDescent="0.25">
      <c r="D14041" s="4"/>
      <c r="H14041" s="4"/>
    </row>
    <row r="14042" spans="1:8" ht="15.75" customHeight="1" x14ac:dyDescent="0.25">
      <c r="D14042" s="4"/>
      <c r="H14042" s="4"/>
    </row>
    <row r="14043" spans="1:8" ht="15.75" customHeight="1" x14ac:dyDescent="0.25">
      <c r="D14043" s="4"/>
      <c r="H14043" s="4"/>
    </row>
    <row r="14044" spans="1:8" ht="15.75" customHeight="1" x14ac:dyDescent="0.25">
      <c r="D14044" s="4"/>
      <c r="H14044" s="4"/>
    </row>
    <row r="14045" spans="1:8" ht="15.75" customHeight="1" x14ac:dyDescent="0.25">
      <c r="D14045" s="4"/>
      <c r="H14045" s="4"/>
    </row>
    <row r="14046" spans="1:8" ht="15.75" customHeight="1" x14ac:dyDescent="0.25">
      <c r="D14046" s="4"/>
      <c r="H14046" s="4"/>
    </row>
    <row r="14047" spans="1:8" ht="15.75" customHeight="1" x14ac:dyDescent="0.25">
      <c r="D14047" s="4"/>
      <c r="H14047" s="4"/>
    </row>
    <row r="14048" spans="1:8" ht="15.75" customHeight="1" x14ac:dyDescent="0.25">
      <c r="A14048" s="8" t="s">
        <v>14</v>
      </c>
      <c r="B14048" s="8"/>
      <c r="C14048" s="8"/>
      <c r="D14048" s="8"/>
      <c r="E14048" s="8"/>
      <c r="F14048" s="8"/>
      <c r="G14048" s="8"/>
      <c r="H14048" s="8"/>
    </row>
    <row r="14049" spans="1:8" ht="15.75" customHeight="1" x14ac:dyDescent="0.25">
      <c r="A14049" s="388"/>
      <c r="B14049" s="388"/>
      <c r="C14049" s="388"/>
      <c r="D14049" s="389"/>
      <c r="E14049" s="388"/>
      <c r="F14049" s="388"/>
      <c r="G14049" s="388"/>
      <c r="H14049" s="8"/>
    </row>
    <row r="14050" spans="1:8" ht="15.75" customHeight="1" x14ac:dyDescent="0.25">
      <c r="A14050" s="390"/>
      <c r="B14050" s="390"/>
      <c r="C14050" s="390"/>
      <c r="D14050" s="391"/>
      <c r="E14050" s="390"/>
      <c r="F14050" s="395" t="s">
        <v>18</v>
      </c>
      <c r="G14050" s="396" t="s">
        <v>1160</v>
      </c>
      <c r="H14050" s="397"/>
    </row>
    <row r="14051" spans="1:8" ht="15.75" customHeight="1" x14ac:dyDescent="0.25">
      <c r="A14051" s="390" t="s">
        <v>20</v>
      </c>
      <c r="B14051" s="390"/>
      <c r="D14051" s="391"/>
      <c r="E14051" s="390"/>
      <c r="F14051" s="395" t="s">
        <v>21</v>
      </c>
      <c r="G14051" s="390" t="s">
        <v>1443</v>
      </c>
      <c r="H14051" s="391"/>
    </row>
    <row r="14052" spans="1:8" ht="15.75" customHeight="1" x14ac:dyDescent="0.25">
      <c r="A14052" s="390" t="inlineStr">
        <is>
          <t>Dealer-004</t>
        </is>
      </c>
      <c r="B14052" s="390"/>
      <c r="C14052" s="393"/>
      <c r="D14052" s="398"/>
      <c r="E14052" s="390"/>
      <c r="F14052" s="391"/>
      <c r="G14052" s="390"/>
      <c r="H14052" s="394"/>
    </row>
    <row r="14053" spans="1:8" ht="15.75" customHeight="1" x14ac:dyDescent="0.25">
      <c r="A14053" s="390" t="inlineStr">
        <is>
          <t>Address line (redacted)</t>
        </is>
      </c>
      <c r="B14053" s="390"/>
      <c r="C14053" s="390"/>
      <c r="D14053" s="398"/>
      <c r="E14053" s="390"/>
      <c r="F14053" s="391"/>
      <c r="G14053" s="390"/>
      <c r="H14053" s="394"/>
    </row>
    <row r="14054" spans="1:8" ht="15.75" customHeight="1" x14ac:dyDescent="0.25">
      <c r="A14054" s="390" t="inlineStr">
        <is>
          <t>Address line (redacted)</t>
        </is>
      </c>
      <c r="B14054" s="390"/>
      <c r="C14054" s="390"/>
      <c r="D14054" s="391"/>
      <c r="E14054" s="390"/>
      <c r="F14054" s="391"/>
      <c r="G14054" s="390"/>
      <c r="H14054" s="394"/>
    </row>
    <row r="14055" spans="1:8" ht="15.75" customHeight="1" x14ac:dyDescent="0.25">
      <c r="A14055" s="390"/>
      <c r="B14055" s="390"/>
      <c r="C14055" s="390"/>
      <c r="D14055" s="391"/>
      <c r="E14055" s="390"/>
      <c r="F14055" s="391"/>
      <c r="G14055" s="390"/>
      <c r="H14055" s="394"/>
    </row>
    <row r="14056" spans="1:8" ht="15.75" customHeight="1" x14ac:dyDescent="0.25">
      <c r="A14056" s="390" t="s">
        <v>30</v>
      </c>
      <c r="B14056" s="390"/>
      <c r="C14056" s="390"/>
      <c r="D14056" s="391"/>
      <c r="E14056" s="390"/>
      <c r="F14056" s="391"/>
      <c r="G14056" s="390"/>
      <c r="H14056" s="394"/>
    </row>
    <row r="14057" spans="1:8" ht="15.75" customHeight="1" x14ac:dyDescent="0.25">
      <c r="A14057" s="390"/>
      <c r="B14057" s="390"/>
      <c r="C14057" s="390"/>
      <c r="D14057" s="391"/>
      <c r="E14057" s="390"/>
      <c r="F14057" s="391"/>
      <c r="G14057" s="390"/>
      <c r="H14057" s="394"/>
    </row>
    <row r="14058" spans="1:8" ht="15.75" customHeight="1" x14ac:dyDescent="0.25">
      <c r="A14058" s="390" t="s">
        <v>716</v>
      </c>
      <c r="B14058" s="390"/>
      <c r="C14058" s="390"/>
      <c r="D14058" s="391"/>
      <c r="E14058" s="390"/>
      <c r="F14058" s="391"/>
      <c r="G14058" s="390"/>
      <c r="H14058" s="394"/>
    </row>
    <row r="14059" spans="1:8" ht="15.75" customHeight="1" x14ac:dyDescent="0.25">
      <c r="A14059" s="390" t="s">
        <v>717</v>
      </c>
      <c r="B14059" s="390"/>
      <c r="C14059" s="390"/>
      <c r="D14059" s="391"/>
      <c r="E14059" s="390"/>
      <c r="F14059" s="391"/>
      <c r="G14059" s="390"/>
      <c r="H14059" s="394"/>
    </row>
    <row r="14060" spans="1:8" ht="15.75" customHeight="1" x14ac:dyDescent="0.25">
      <c r="A14060" s="390"/>
      <c r="B14060" s="390"/>
      <c r="C14060" s="390"/>
      <c r="D14060" s="391"/>
      <c r="E14060" s="390"/>
      <c r="F14060" s="391"/>
      <c r="G14060" s="390"/>
      <c r="H14060" s="394"/>
    </row>
    <row r="14061" spans="1:8" ht="15.75" customHeight="1" x14ac:dyDescent="0.25">
      <c r="A14061" s="948" t="s">
        <v>33</v>
      </c>
      <c r="B14061" s="872" t="s">
        <v>6</v>
      </c>
      <c r="C14061" s="872"/>
      <c r="D14061" s="874" t="s">
        <v>37</v>
      </c>
      <c r="E14061" s="874" t="s">
        <v>38</v>
      </c>
      <c r="F14061" s="875" t="s">
        <v>7</v>
      </c>
      <c r="G14061" s="872" t="s">
        <v>43</v>
      </c>
      <c r="H14061" s="876" t="s">
        <v>44</v>
      </c>
    </row>
    <row r="14062" spans="1:8" ht="15.75" customHeight="1" x14ac:dyDescent="0.3">
      <c r="A14062" s="412"/>
      <c r="B14062" s="1033"/>
      <c r="C14062" s="1033"/>
      <c r="D14062" s="879"/>
      <c r="E14062" s="879"/>
      <c r="F14062" s="415"/>
      <c r="G14062" s="415"/>
      <c r="H14062" s="416"/>
    </row>
    <row r="14063" spans="1:8" ht="15.75" customHeight="1" x14ac:dyDescent="0.25">
      <c r="A14063" s="412"/>
      <c r="B14063" s="953" t="s">
        <v>1239</v>
      </c>
      <c r="C14063" s="953"/>
      <c r="D14063" s="415"/>
      <c r="E14063" s="415"/>
      <c r="F14063" s="415"/>
      <c r="G14063" s="415"/>
      <c r="H14063" s="416"/>
    </row>
    <row r="14064" spans="1:8" ht="15.75" customHeight="1" x14ac:dyDescent="0.25">
      <c r="A14064" s="412">
        <v>1</v>
      </c>
      <c r="B14064" s="1094" t="s">
        <v>56</v>
      </c>
      <c r="C14064" s="1095" t="s">
        <v>57</v>
      </c>
      <c r="D14064" s="588">
        <v>10</v>
      </c>
      <c r="E14064" s="588">
        <v>25</v>
      </c>
      <c r="F14064" s="415">
        <f t="shared" ref="F14064:F14067" si="557">+E14064*D14064</f>
      </c>
      <c r="G14064" s="415">
        <v>1</v>
      </c>
      <c r="H14064" s="416">
        <f t="shared" ref="H14064:H14067" si="558">+G14064*F14064</f>
      </c>
    </row>
    <row r="14065" spans="1:8" ht="15.75" customHeight="1" x14ac:dyDescent="0.25">
      <c r="A14065" s="412">
        <v>2</v>
      </c>
      <c r="B14065" s="1094" t="s">
        <v>1477</v>
      </c>
      <c r="C14065" s="1095" t="s">
        <v>61</v>
      </c>
      <c r="D14065" s="415">
        <v>8</v>
      </c>
      <c r="E14065" s="415">
        <v>25</v>
      </c>
      <c r="F14065" s="415">
        <f t="shared" si="557"/>
      </c>
      <c r="G14065" s="415">
        <v>1</v>
      </c>
      <c r="H14065" s="416">
        <f t="shared" si="558"/>
      </c>
    </row>
    <row r="14066" spans="1:8" ht="15.75" customHeight="1" x14ac:dyDescent="0.25">
      <c r="A14066" s="412">
        <v>3</v>
      </c>
      <c r="B14066" s="1094" t="s">
        <v>68</v>
      </c>
      <c r="C14066" s="1095" t="s">
        <v>69</v>
      </c>
      <c r="D14066" s="415">
        <f>250/25</f>
      </c>
      <c r="E14066" s="415">
        <v>25</v>
      </c>
      <c r="F14066" s="415">
        <f t="shared" si="557"/>
      </c>
      <c r="G14066" s="415">
        <v>1</v>
      </c>
      <c r="H14066" s="416">
        <f t="shared" si="558"/>
      </c>
    </row>
    <row r="14067" spans="1:8" ht="15.75" customHeight="1" x14ac:dyDescent="0.25">
      <c r="A14067" s="412">
        <v>4</v>
      </c>
      <c r="B14067" s="1094" t="s">
        <v>2152</v>
      </c>
      <c r="C14067" s="1095" t="s">
        <v>109</v>
      </c>
      <c r="D14067" s="415">
        <v>16</v>
      </c>
      <c r="E14067" s="415">
        <v>25</v>
      </c>
      <c r="F14067" s="415">
        <f t="shared" si="557"/>
      </c>
      <c r="G14067" s="415">
        <v>1</v>
      </c>
      <c r="H14067" s="416">
        <f t="shared" si="558"/>
      </c>
    </row>
    <row r="14068" spans="1:8" ht="15.75" customHeight="1" x14ac:dyDescent="0.25">
      <c r="A14068" s="412"/>
      <c r="B14068" s="953" t="s">
        <v>590</v>
      </c>
      <c r="C14068" s="953"/>
      <c r="D14068" s="981"/>
      <c r="E14068" s="981"/>
      <c r="F14068" s="415"/>
      <c r="G14068" s="415"/>
      <c r="H14068" s="416"/>
    </row>
    <row r="14069" spans="1:8" ht="15.75" customHeight="1" x14ac:dyDescent="0.25">
      <c r="A14069" s="412">
        <v>5</v>
      </c>
      <c r="B14069" s="1116" t="s">
        <v>56</v>
      </c>
      <c r="C14069" s="1117" t="s">
        <v>368</v>
      </c>
      <c r="D14069" s="981">
        <v>4</v>
      </c>
      <c r="E14069" s="981">
        <v>6</v>
      </c>
      <c r="F14069" s="415">
        <v>23</v>
      </c>
      <c r="G14069" s="415">
        <v>1</v>
      </c>
      <c r="H14069" s="416">
        <f>+G14069*F14069</f>
      </c>
    </row>
    <row r="14070" spans="1:8" ht="15.75" customHeight="1" x14ac:dyDescent="0.25">
      <c r="A14070" s="412">
        <v>6</v>
      </c>
      <c r="B14070" s="1116" t="s">
        <v>56</v>
      </c>
      <c r="C14070" s="1117" t="s">
        <v>368</v>
      </c>
      <c r="D14070" s="981"/>
      <c r="E14070" s="981"/>
      <c r="F14070" s="415">
        <v>1</v>
      </c>
      <c r="G14070" s="619" t="s">
        <v>1856</v>
      </c>
      <c r="H14070" s="416"/>
    </row>
    <row r="14071" spans="1:8" ht="15.75" customHeight="1" x14ac:dyDescent="0.25">
      <c r="A14071" s="412">
        <v>7</v>
      </c>
      <c r="B14071" s="1116" t="s">
        <v>60</v>
      </c>
      <c r="C14071" s="1117" t="s">
        <v>593</v>
      </c>
      <c r="D14071" s="981">
        <v>3</v>
      </c>
      <c r="E14071" s="981">
        <v>6</v>
      </c>
      <c r="F14071" s="415">
        <f t="shared" ref="F14071:F14073" si="559">+E14071*D14071</f>
      </c>
      <c r="G14071" s="415">
        <v>1</v>
      </c>
      <c r="H14071" s="416">
        <f t="shared" ref="H14071:H14074" si="560">+G14071*F14071</f>
      </c>
    </row>
    <row r="14072" spans="1:8" ht="15.75" customHeight="1" x14ac:dyDescent="0.25">
      <c r="A14072" s="412">
        <v>8</v>
      </c>
      <c r="B14072" s="1116" t="s">
        <v>1718</v>
      </c>
      <c r="C14072" s="1117" t="s">
        <v>379</v>
      </c>
      <c r="D14072" s="981">
        <v>3</v>
      </c>
      <c r="E14072" s="981">
        <v>6</v>
      </c>
      <c r="F14072" s="415">
        <f t="shared" si="559"/>
      </c>
      <c r="G14072" s="415">
        <v>1</v>
      </c>
      <c r="H14072" s="416">
        <f t="shared" si="560"/>
      </c>
    </row>
    <row r="14073" spans="1:8" ht="15.75" customHeight="1" x14ac:dyDescent="0.25">
      <c r="A14073" s="412">
        <v>9</v>
      </c>
      <c r="B14073" s="1116" t="s">
        <v>1737</v>
      </c>
      <c r="C14073" s="1117" t="s">
        <v>371</v>
      </c>
      <c r="D14073" s="981">
        <v>5</v>
      </c>
      <c r="E14073" s="981">
        <v>6</v>
      </c>
      <c r="F14073" s="415">
        <f t="shared" si="559"/>
      </c>
      <c r="G14073" s="415">
        <v>1</v>
      </c>
      <c r="H14073" s="416">
        <f t="shared" si="560"/>
      </c>
    </row>
    <row r="14074" spans="1:8" ht="15.75" customHeight="1" x14ac:dyDescent="0.25">
      <c r="A14074" s="412">
        <v>10</v>
      </c>
      <c r="B14074" s="1116" t="s">
        <v>15</v>
      </c>
      <c r="C14074" s="1117" t="s">
        <v>388</v>
      </c>
      <c r="D14074" s="981">
        <v>4</v>
      </c>
      <c r="E14074" s="981">
        <v>6</v>
      </c>
      <c r="F14074" s="415">
        <v>23</v>
      </c>
      <c r="G14074" s="415">
        <v>1</v>
      </c>
      <c r="H14074" s="416">
        <f t="shared" si="560"/>
      </c>
    </row>
    <row r="14075" spans="1:8" ht="15.75" customHeight="1" x14ac:dyDescent="0.25">
      <c r="A14075" s="412">
        <v>11</v>
      </c>
      <c r="B14075" s="1116" t="s">
        <v>15</v>
      </c>
      <c r="C14075" s="1117" t="s">
        <v>388</v>
      </c>
      <c r="D14075" s="981"/>
      <c r="E14075" s="981"/>
      <c r="F14075" s="415">
        <v>1</v>
      </c>
      <c r="G14075" s="619" t="s">
        <v>1856</v>
      </c>
      <c r="H14075" s="416"/>
    </row>
    <row r="14076" spans="1:8" ht="15.75" customHeight="1" x14ac:dyDescent="0.25">
      <c r="A14076" s="412">
        <v>12</v>
      </c>
      <c r="B14076" s="1116" t="s">
        <v>801</v>
      </c>
      <c r="C14076" s="1117" t="s">
        <v>383</v>
      </c>
      <c r="D14076" s="981">
        <v>2</v>
      </c>
      <c r="E14076" s="981">
        <v>6</v>
      </c>
      <c r="F14076" s="415">
        <f>+E14076*D14076</f>
      </c>
      <c r="G14076" s="415">
        <v>1</v>
      </c>
      <c r="H14076" s="416">
        <f t="shared" ref="H14076:H14077" si="561">+G14076*F14076</f>
      </c>
    </row>
    <row r="14077" spans="1:8" ht="15.75" customHeight="1" x14ac:dyDescent="0.25">
      <c r="A14077" s="412">
        <v>13</v>
      </c>
      <c r="B14077" s="1116" t="s">
        <v>105</v>
      </c>
      <c r="C14077" s="1117" t="s">
        <v>2154</v>
      </c>
      <c r="D14077" s="981">
        <v>4</v>
      </c>
      <c r="E14077" s="981">
        <v>6</v>
      </c>
      <c r="F14077" s="415">
        <v>23</v>
      </c>
      <c r="G14077" s="415">
        <v>1</v>
      </c>
      <c r="H14077" s="416">
        <f t="shared" si="561"/>
      </c>
    </row>
    <row r="14078" spans="1:8" ht="15.75" customHeight="1" x14ac:dyDescent="0.25">
      <c r="A14078" s="412">
        <v>14</v>
      </c>
      <c r="B14078" s="1116" t="s">
        <v>105</v>
      </c>
      <c r="C14078" s="1117" t="s">
        <v>2154</v>
      </c>
      <c r="D14078" s="981"/>
      <c r="E14078" s="981"/>
      <c r="F14078" s="415">
        <v>1</v>
      </c>
      <c r="G14078" s="619" t="s">
        <v>1856</v>
      </c>
      <c r="H14078" s="416"/>
    </row>
    <row r="14079" spans="1:8" ht="15.75" customHeight="1" x14ac:dyDescent="0.25">
      <c r="A14079" s="412">
        <v>15</v>
      </c>
      <c r="B14079" s="1116" t="s">
        <v>287</v>
      </c>
      <c r="C14079" s="1117" t="s">
        <v>400</v>
      </c>
      <c r="D14079" s="981">
        <v>8</v>
      </c>
      <c r="E14079" s="981">
        <v>6</v>
      </c>
      <c r="F14079" s="415">
        <v>46</v>
      </c>
      <c r="G14079" s="415">
        <v>1</v>
      </c>
      <c r="H14079" s="416">
        <f>+G14079*F14079</f>
      </c>
    </row>
    <row r="14080" spans="1:8" ht="15.75" customHeight="1" x14ac:dyDescent="0.25">
      <c r="A14080" s="412">
        <v>16</v>
      </c>
      <c r="B14080" s="1116" t="s">
        <v>287</v>
      </c>
      <c r="C14080" s="1117" t="s">
        <v>400</v>
      </c>
      <c r="D14080" s="981"/>
      <c r="E14080" s="981"/>
      <c r="F14080" s="415">
        <v>2</v>
      </c>
      <c r="G14080" s="619" t="s">
        <v>1856</v>
      </c>
      <c r="H14080" s="416"/>
    </row>
    <row r="14081" spans="1:8" ht="15.75" customHeight="1" x14ac:dyDescent="0.25">
      <c r="A14081" s="412">
        <v>17</v>
      </c>
      <c r="B14081" s="1118" t="s">
        <v>80</v>
      </c>
      <c r="C14081" s="993" t="s">
        <v>386</v>
      </c>
      <c r="D14081" s="981">
        <v>3</v>
      </c>
      <c r="E14081" s="981">
        <v>5</v>
      </c>
      <c r="F14081" s="415">
        <f>+E14081*D14081</f>
      </c>
      <c r="G14081" s="415">
        <v>1</v>
      </c>
      <c r="H14081" s="416">
        <f>+G14081*F14081</f>
      </c>
    </row>
    <row r="14082" spans="1:8" ht="15.75" customHeight="1" x14ac:dyDescent="0.25">
      <c r="A14082" s="412"/>
      <c r="B14082" s="953" t="s">
        <v>2357</v>
      </c>
      <c r="C14082" s="953"/>
      <c r="D14082" s="981"/>
      <c r="E14082" s="981"/>
      <c r="F14082" s="415"/>
      <c r="G14082" s="415"/>
      <c r="H14082" s="416"/>
    </row>
    <row r="14083" spans="1:8" ht="15.75" customHeight="1" x14ac:dyDescent="0.25">
      <c r="A14083" s="412">
        <v>18</v>
      </c>
      <c r="B14083" s="1118" t="s">
        <v>1514</v>
      </c>
      <c r="C14083" s="993"/>
      <c r="D14083" s="981">
        <v>1</v>
      </c>
      <c r="E14083" s="981">
        <v>100</v>
      </c>
      <c r="F14083" s="415">
        <v>95</v>
      </c>
      <c r="G14083" s="415">
        <v>1</v>
      </c>
      <c r="H14083" s="416">
        <f>+G14083*F14083</f>
      </c>
    </row>
    <row r="14084" spans="1:8" ht="15.75" customHeight="1" x14ac:dyDescent="0.25">
      <c r="A14084" s="412">
        <v>19</v>
      </c>
      <c r="B14084" s="1118" t="s">
        <v>1514</v>
      </c>
      <c r="C14084" s="993"/>
      <c r="D14084" s="981"/>
      <c r="E14084" s="981"/>
      <c r="F14084" s="415">
        <v>5</v>
      </c>
      <c r="G14084" s="619" t="s">
        <v>1856</v>
      </c>
      <c r="H14084" s="416"/>
    </row>
    <row r="14085" spans="1:8" ht="15.75" customHeight="1" x14ac:dyDescent="0.25">
      <c r="A14085" s="412"/>
      <c r="B14085" s="1118"/>
      <c r="C14085" s="883" t="s">
        <v>2358</v>
      </c>
      <c r="D14085" s="981"/>
      <c r="E14085" s="981"/>
      <c r="F14085" s="415"/>
      <c r="G14085" s="415"/>
      <c r="H14085" s="416"/>
    </row>
    <row r="14086" spans="1:8" ht="15.75" customHeight="1" x14ac:dyDescent="0.25">
      <c r="A14086" s="880"/>
      <c r="B14086" s="1119"/>
      <c r="C14086" s="1120"/>
      <c r="D14086" s="1121"/>
      <c r="E14086" s="1121"/>
      <c r="F14086" s="892"/>
      <c r="G14086" s="892"/>
      <c r="H14086" s="893"/>
    </row>
    <row r="14087" spans="1:8" ht="15.75" customHeight="1" x14ac:dyDescent="0.25">
      <c r="A14087" s="451"/>
      <c r="B14087" s="1123"/>
      <c r="C14087" s="1092"/>
      <c r="D14087" s="638"/>
      <c r="E14087" s="638"/>
      <c r="F14087" s="391"/>
      <c r="G14087" s="391"/>
      <c r="H14087" s="394"/>
    </row>
    <row r="14088" spans="1:8" ht="15.75" customHeight="1" x14ac:dyDescent="0.25">
      <c r="A14088" s="451"/>
      <c r="B14088" s="1123"/>
      <c r="C14088" s="1092"/>
      <c r="D14088" s="638"/>
      <c r="E14088" s="638"/>
      <c r="F14088" s="391"/>
      <c r="G14088" s="391"/>
      <c r="H14088" s="394"/>
    </row>
    <row r="14089" spans="1:8" ht="15.75" customHeight="1" x14ac:dyDescent="0.25">
      <c r="A14089" s="451"/>
      <c r="B14089" s="1123"/>
      <c r="C14089" s="1092"/>
      <c r="D14089" s="638"/>
      <c r="E14089" s="638"/>
      <c r="F14089" s="391"/>
      <c r="G14089" s="391"/>
      <c r="H14089" s="394"/>
    </row>
    <row r="14090" spans="1:8" ht="15.75" customHeight="1" x14ac:dyDescent="0.25">
      <c r="A14090" s="451"/>
      <c r="B14090" s="1123"/>
      <c r="C14090" s="1092"/>
      <c r="D14090" s="638"/>
      <c r="E14090" s="638"/>
      <c r="F14090" s="391"/>
      <c r="G14090" s="391"/>
      <c r="H14090" s="394"/>
    </row>
    <row r="14091" spans="1:8" ht="15.75" customHeight="1" x14ac:dyDescent="0.25">
      <c r="A14091" s="451"/>
      <c r="B14091" s="1123"/>
      <c r="C14091" s="1092"/>
      <c r="D14091" s="638"/>
      <c r="E14091" s="638"/>
      <c r="F14091" s="391"/>
      <c r="G14091" s="391"/>
      <c r="H14091" s="394"/>
    </row>
    <row r="14092" spans="1:8" ht="15.75" customHeight="1" x14ac:dyDescent="0.25">
      <c r="A14092" s="451"/>
      <c r="B14092" s="1123"/>
      <c r="C14092" s="1092"/>
      <c r="D14092" s="638"/>
      <c r="E14092" s="638"/>
      <c r="F14092" s="391"/>
      <c r="G14092" s="391"/>
      <c r="H14092" s="394"/>
    </row>
    <row r="14093" spans="1:8" ht="15.75" customHeight="1" x14ac:dyDescent="0.25">
      <c r="A14093" s="451"/>
      <c r="B14093" s="1123"/>
      <c r="C14093" s="1092"/>
      <c r="D14093" s="638"/>
      <c r="E14093" s="638"/>
      <c r="F14093" s="391"/>
      <c r="G14093" s="391"/>
      <c r="H14093" s="394"/>
    </row>
    <row r="14094" spans="1:8" ht="15.75" customHeight="1" x14ac:dyDescent="0.25">
      <c r="A14094" s="8" t="s">
        <v>14</v>
      </c>
      <c r="B14094" s="8"/>
      <c r="C14094" s="8"/>
      <c r="D14094" s="8"/>
      <c r="E14094" s="8"/>
      <c r="F14094" s="8"/>
      <c r="G14094" s="8"/>
      <c r="H14094" s="8"/>
    </row>
    <row r="14095" spans="1:8" ht="15.75" customHeight="1" x14ac:dyDescent="0.25">
      <c r="A14095" s="388"/>
      <c r="B14095" s="388"/>
      <c r="C14095" s="388"/>
      <c r="D14095" s="389"/>
      <c r="E14095" s="388"/>
      <c r="F14095" s="388"/>
      <c r="G14095" s="388"/>
      <c r="H14095" s="8"/>
    </row>
    <row r="14096" spans="1:8" ht="15.75" customHeight="1" x14ac:dyDescent="0.25">
      <c r="A14096" s="390"/>
      <c r="B14096" s="390"/>
      <c r="C14096" s="390"/>
      <c r="D14096" s="391"/>
      <c r="E14096" s="390"/>
      <c r="F14096" s="395" t="s">
        <v>18</v>
      </c>
      <c r="G14096" s="396" t="s">
        <v>1160</v>
      </c>
      <c r="H14096" s="397"/>
    </row>
    <row r="14097" spans="1:8" ht="15.75" customHeight="1" x14ac:dyDescent="0.25">
      <c r="A14097" s="390" t="s">
        <v>20</v>
      </c>
      <c r="B14097" s="390"/>
      <c r="D14097" s="391"/>
      <c r="E14097" s="390"/>
      <c r="F14097" s="395" t="s">
        <v>21</v>
      </c>
      <c r="G14097" s="390" t="s">
        <v>1443</v>
      </c>
      <c r="H14097" s="391"/>
    </row>
    <row r="14098" spans="1:8" ht="15.75" customHeight="1" x14ac:dyDescent="0.25">
      <c r="A14098" s="390" t="inlineStr">
        <is>
          <t>Dealer-004</t>
        </is>
      </c>
      <c r="B14098" s="390"/>
      <c r="C14098" s="393"/>
      <c r="D14098" s="398"/>
      <c r="E14098" s="390"/>
      <c r="F14098" s="391"/>
      <c r="G14098" s="390"/>
      <c r="H14098" s="394"/>
    </row>
    <row r="14099" spans="1:8" ht="15.75" customHeight="1" x14ac:dyDescent="0.25">
      <c r="A14099" s="390" t="inlineStr">
        <is>
          <t>Address line (redacted)</t>
        </is>
      </c>
      <c r="B14099" s="390"/>
      <c r="C14099" s="390"/>
      <c r="D14099" s="398"/>
      <c r="E14099" s="390"/>
      <c r="F14099" s="391"/>
      <c r="G14099" s="390"/>
      <c r="H14099" s="394"/>
    </row>
    <row r="14100" spans="1:8" ht="15.75" customHeight="1" x14ac:dyDescent="0.25">
      <c r="A14100" s="390" t="inlineStr">
        <is>
          <t>Address line (redacted)</t>
        </is>
      </c>
      <c r="B14100" s="390"/>
      <c r="C14100" s="883" t="s">
        <v>1287</v>
      </c>
      <c r="D14100" s="391"/>
      <c r="E14100" s="390"/>
      <c r="F14100" s="391"/>
      <c r="G14100" s="390"/>
      <c r="H14100" s="394"/>
    </row>
    <row r="14101" spans="1:8" ht="15.75" customHeight="1" x14ac:dyDescent="0.25">
      <c r="A14101" s="390"/>
      <c r="B14101" s="390"/>
      <c r="C14101" s="885"/>
      <c r="D14101" s="391"/>
      <c r="E14101" s="390"/>
      <c r="F14101" s="391"/>
      <c r="G14101" s="390"/>
      <c r="H14101" s="394"/>
    </row>
    <row r="14102" spans="1:8" ht="15.75" customHeight="1" x14ac:dyDescent="0.25">
      <c r="A14102" s="390" t="s">
        <v>30</v>
      </c>
      <c r="B14102" s="390"/>
      <c r="C14102" s="390"/>
      <c r="D14102" s="391"/>
      <c r="E14102" s="390"/>
      <c r="F14102" s="391"/>
      <c r="G14102" s="390"/>
      <c r="H14102" s="394"/>
    </row>
    <row r="14103" spans="1:8" ht="15.75" customHeight="1" x14ac:dyDescent="0.25">
      <c r="A14103" s="390" t="s">
        <v>716</v>
      </c>
      <c r="B14103" s="390"/>
      <c r="C14103" s="390"/>
      <c r="D14103" s="391"/>
      <c r="E14103" s="390"/>
      <c r="F14103" s="391"/>
      <c r="G14103" s="390"/>
      <c r="H14103" s="394"/>
    </row>
    <row r="14104" spans="1:8" ht="15.75" customHeight="1" x14ac:dyDescent="0.25">
      <c r="A14104" s="390" t="s">
        <v>717</v>
      </c>
      <c r="B14104" s="390"/>
      <c r="C14104" s="390"/>
      <c r="D14104" s="391"/>
      <c r="E14104" s="390"/>
      <c r="F14104" s="391"/>
      <c r="G14104" s="390"/>
      <c r="H14104" s="394"/>
    </row>
    <row r="14105" spans="1:8" ht="15.75" customHeight="1" x14ac:dyDescent="0.25">
      <c r="A14105" s="948" t="s">
        <v>33</v>
      </c>
      <c r="B14105" s="872" t="s">
        <v>6</v>
      </c>
      <c r="C14105" s="872"/>
      <c r="D14105" s="874" t="s">
        <v>37</v>
      </c>
      <c r="E14105" s="874" t="s">
        <v>38</v>
      </c>
      <c r="F14105" s="875" t="s">
        <v>7</v>
      </c>
      <c r="G14105" s="872" t="s">
        <v>43</v>
      </c>
      <c r="H14105" s="876" t="s">
        <v>44</v>
      </c>
    </row>
    <row r="14106" spans="1:8" ht="15.75" customHeight="1" x14ac:dyDescent="0.25">
      <c r="A14106" s="412"/>
      <c r="B14106" s="1118"/>
      <c r="C14106" s="993"/>
      <c r="D14106" s="981"/>
      <c r="E14106" s="981"/>
      <c r="F14106" s="415"/>
      <c r="G14106" s="415"/>
      <c r="H14106" s="416"/>
    </row>
    <row r="14107" spans="1:8" ht="15.75" customHeight="1" x14ac:dyDescent="0.25">
      <c r="A14107" s="412"/>
      <c r="B14107" s="953" t="s">
        <v>1329</v>
      </c>
      <c r="C14107" s="953"/>
      <c r="D14107" s="981"/>
      <c r="E14107" s="981"/>
      <c r="F14107" s="415"/>
      <c r="G14107" s="415"/>
      <c r="H14107" s="416"/>
    </row>
    <row r="14108" spans="1:8" ht="15.75" customHeight="1" x14ac:dyDescent="0.25">
      <c r="A14108" s="412">
        <v>24</v>
      </c>
      <c r="B14108" s="913" t="s">
        <v>2367</v>
      </c>
      <c r="C14108" s="993"/>
      <c r="D14108" s="981">
        <v>1</v>
      </c>
      <c r="E14108" s="981">
        <v>50</v>
      </c>
      <c r="F14108" s="588">
        <f t="shared" ref="F14108:F14109" si="562">+D14108*E14108</f>
      </c>
      <c r="G14108" s="588">
        <v>1</v>
      </c>
      <c r="H14108" s="416">
        <f t="shared" ref="H14108:H14109" si="563">+G14108*F14108</f>
      </c>
    </row>
    <row r="14109" spans="1:8" ht="15.75" customHeight="1" x14ac:dyDescent="0.25">
      <c r="A14109" s="412">
        <v>25</v>
      </c>
      <c r="B14109" s="1118" t="s">
        <v>2158</v>
      </c>
      <c r="C14109" s="993"/>
      <c r="D14109" s="981">
        <v>10</v>
      </c>
      <c r="E14109" s="981">
        <v>10</v>
      </c>
      <c r="F14109" s="415">
        <f t="shared" si="562"/>
      </c>
      <c r="G14109" s="415">
        <v>1</v>
      </c>
      <c r="H14109" s="416">
        <f t="shared" si="563"/>
      </c>
    </row>
    <row r="14110" spans="1:8" ht="15.75" customHeight="1" x14ac:dyDescent="0.25">
      <c r="A14110" s="412">
        <v>26</v>
      </c>
      <c r="B14110" s="1118" t="s">
        <v>2158</v>
      </c>
      <c r="C14110" s="993"/>
      <c r="D14110" s="588">
        <v>1</v>
      </c>
      <c r="E14110" s="981"/>
      <c r="F14110" s="415">
        <f>+E14109*D14110</f>
      </c>
      <c r="G14110" s="619" t="s">
        <v>1856</v>
      </c>
      <c r="H14110" s="416"/>
    </row>
    <row r="14111" spans="1:8" ht="15.75" customHeight="1" x14ac:dyDescent="0.25">
      <c r="A14111" s="412">
        <v>27</v>
      </c>
      <c r="B14111" s="1118" t="s">
        <v>2159</v>
      </c>
      <c r="C14111" s="993" t="s">
        <v>1481</v>
      </c>
      <c r="D14111" s="588">
        <v>1</v>
      </c>
      <c r="E14111" s="981">
        <v>50</v>
      </c>
      <c r="F14111" s="415">
        <v>50</v>
      </c>
      <c r="G14111" s="415">
        <v>1</v>
      </c>
      <c r="H14111" s="416">
        <f t="shared" ref="H14111:H14115" si="564">+G14111*F14111</f>
      </c>
    </row>
    <row r="14112" spans="1:8" ht="15.75" customHeight="1" x14ac:dyDescent="0.25">
      <c r="A14112" s="412">
        <v>28</v>
      </c>
      <c r="B14112" s="1118" t="s">
        <v>2160</v>
      </c>
      <c r="C14112" s="993" t="s">
        <v>1512</v>
      </c>
      <c r="D14112" s="588"/>
      <c r="E14112" s="981">
        <v>25</v>
      </c>
      <c r="F14112" s="415">
        <v>25</v>
      </c>
      <c r="G14112" s="415">
        <v>1</v>
      </c>
      <c r="H14112" s="416">
        <f t="shared" si="564"/>
      </c>
    </row>
    <row r="14113" spans="1:20" ht="15.75" customHeight="1" x14ac:dyDescent="0.25">
      <c r="A14113" s="412">
        <v>29</v>
      </c>
      <c r="B14113" s="1118" t="s">
        <v>1039</v>
      </c>
      <c r="C14113" s="993" t="s">
        <v>419</v>
      </c>
      <c r="D14113" s="588">
        <v>3</v>
      </c>
      <c r="E14113" s="981">
        <v>100</v>
      </c>
      <c r="F14113" s="415">
        <f>+E14113*D14113</f>
      </c>
      <c r="G14113" s="415">
        <v>1</v>
      </c>
      <c r="H14113" s="416">
        <f t="shared" si="564"/>
      </c>
    </row>
    <row r="14114" spans="1:20" ht="15.75" customHeight="1" x14ac:dyDescent="0.25">
      <c r="A14114" s="412">
        <v>30</v>
      </c>
      <c r="B14114" s="1118" t="s">
        <v>242</v>
      </c>
      <c r="C14114" s="993"/>
      <c r="D14114" s="588">
        <v>1</v>
      </c>
      <c r="E14114" s="981">
        <v>25</v>
      </c>
      <c r="F14114" s="415">
        <v>25</v>
      </c>
      <c r="G14114" s="415">
        <v>1</v>
      </c>
      <c r="H14114" s="416">
        <f t="shared" si="564"/>
      </c>
    </row>
    <row r="14115" spans="1:20" ht="15.75" customHeight="1" x14ac:dyDescent="0.25">
      <c r="A14115" s="412">
        <v>31</v>
      </c>
      <c r="B14115" s="1118" t="s">
        <v>243</v>
      </c>
      <c r="C14115" s="993"/>
      <c r="D14115" s="588">
        <v>1</v>
      </c>
      <c r="E14115" s="981">
        <v>10</v>
      </c>
      <c r="F14115" s="415">
        <v>10</v>
      </c>
      <c r="G14115" s="415">
        <v>1</v>
      </c>
      <c r="H14115" s="416">
        <f t="shared" si="564"/>
      </c>
    </row>
    <row r="14116" spans="1:20" ht="15.75" customHeight="1" x14ac:dyDescent="0.25">
      <c r="A14116" s="412"/>
      <c r="B14116" s="953" t="s">
        <v>2162</v>
      </c>
      <c r="C14116" s="953"/>
      <c r="D14116" s="626"/>
      <c r="E14116" s="930"/>
      <c r="F14116" s="415"/>
      <c r="G14116" s="415"/>
      <c r="H14116" s="416"/>
    </row>
    <row r="14117" spans="1:20" ht="15.75" customHeight="1" x14ac:dyDescent="0.25">
      <c r="A14117" s="412">
        <v>32</v>
      </c>
      <c r="B14117" s="1118">
        <v>404</v>
      </c>
      <c r="C14117" s="993"/>
      <c r="D14117" s="929">
        <v>75</v>
      </c>
      <c r="E14117" s="929">
        <v>1</v>
      </c>
      <c r="F14117" s="415">
        <v>71.4285</v>
      </c>
      <c r="G14117" s="415">
        <v>1</v>
      </c>
      <c r="H14117" s="416">
        <f>+G14117*F14117</f>
      </c>
    </row>
    <row r="14118" spans="1:20" ht="15.75" customHeight="1" x14ac:dyDescent="0.25">
      <c r="A14118" s="412">
        <v>33</v>
      </c>
      <c r="B14118" s="1118">
        <v>404</v>
      </c>
      <c r="C14118" s="993"/>
      <c r="D14118" s="930"/>
      <c r="E14118" s="930"/>
      <c r="F14118" s="415">
        <v>3.5714000000000001</v>
      </c>
      <c r="G14118" s="619" t="s">
        <v>1856</v>
      </c>
      <c r="H14118" s="416"/>
    </row>
    <row r="14119" spans="1:20" ht="15.75" customHeight="1" x14ac:dyDescent="0.25">
      <c r="A14119" s="412"/>
      <c r="B14119" s="953" t="s">
        <v>1356</v>
      </c>
      <c r="C14119" s="953"/>
      <c r="D14119" s="626"/>
      <c r="E14119" s="930"/>
      <c r="F14119" s="415"/>
      <c r="G14119" s="415"/>
      <c r="H14119" s="416"/>
    </row>
    <row r="14120" spans="1:20" ht="15.75" customHeight="1" x14ac:dyDescent="0.25">
      <c r="A14120" s="412">
        <v>34</v>
      </c>
      <c r="B14120" s="1118" t="s">
        <v>320</v>
      </c>
      <c r="C14120" s="993" t="s">
        <v>316</v>
      </c>
      <c r="D14120" s="929">
        <v>2.5</v>
      </c>
      <c r="E14120" s="929">
        <v>10</v>
      </c>
      <c r="F14120" s="415">
        <v>24</v>
      </c>
      <c r="G14120" s="415">
        <v>1</v>
      </c>
      <c r="H14120" s="416">
        <f>+G14120*F14120</f>
      </c>
    </row>
    <row r="14121" spans="1:20" ht="15.75" customHeight="1" x14ac:dyDescent="0.25">
      <c r="A14121" s="412">
        <v>35</v>
      </c>
      <c r="B14121" s="1118" t="s">
        <v>320</v>
      </c>
      <c r="C14121" s="993" t="s">
        <v>316</v>
      </c>
      <c r="D14121" s="930"/>
      <c r="E14121" s="930"/>
      <c r="F14121" s="415">
        <v>1</v>
      </c>
      <c r="G14121" s="619" t="s">
        <v>1856</v>
      </c>
      <c r="H14121" s="416"/>
    </row>
    <row r="14122" spans="1:20" ht="15.75" customHeight="1" x14ac:dyDescent="0.25">
      <c r="A14122" s="412">
        <v>36</v>
      </c>
      <c r="B14122" s="585" t="s">
        <v>123</v>
      </c>
      <c r="C14122" s="993" t="s">
        <v>1577</v>
      </c>
      <c r="D14122" s="592">
        <v>5</v>
      </c>
      <c r="E14122" s="929">
        <v>5</v>
      </c>
      <c r="F14122" s="415">
        <v>24</v>
      </c>
      <c r="G14122" s="415">
        <v>1</v>
      </c>
      <c r="H14122" s="416">
        <f>+G14122*F14122</f>
      </c>
    </row>
    <row r="14123" spans="1:20" ht="15.75" customHeight="1" x14ac:dyDescent="0.25">
      <c r="A14123" s="412">
        <v>37</v>
      </c>
      <c r="B14123" s="585" t="s">
        <v>123</v>
      </c>
      <c r="C14123" s="993" t="s">
        <v>1577</v>
      </c>
      <c r="D14123" s="626"/>
      <c r="E14123" s="930"/>
      <c r="F14123" s="415">
        <v>1</v>
      </c>
      <c r="G14123" s="619" t="s">
        <v>1856</v>
      </c>
      <c r="H14123" s="416"/>
    </row>
    <row r="14124" spans="1:20" ht="15.75" customHeight="1" x14ac:dyDescent="0.25">
      <c r="A14124" s="412">
        <v>38</v>
      </c>
      <c r="B14124" s="585" t="s">
        <v>1578</v>
      </c>
      <c r="C14124" s="993" t="s">
        <v>1579</v>
      </c>
      <c r="D14124" s="592">
        <v>5</v>
      </c>
      <c r="E14124" s="929">
        <v>5</v>
      </c>
      <c r="F14124" s="415">
        <v>24</v>
      </c>
      <c r="G14124" s="415">
        <v>1</v>
      </c>
      <c r="H14124" s="416">
        <f>+G14124*F14124</f>
      </c>
    </row>
    <row r="14125" spans="1:20" ht="15.75" customHeight="1" x14ac:dyDescent="0.25">
      <c r="A14125" s="412">
        <v>39</v>
      </c>
      <c r="B14125" s="585" t="s">
        <v>1578</v>
      </c>
      <c r="C14125" s="993" t="s">
        <v>1579</v>
      </c>
      <c r="D14125" s="626"/>
      <c r="E14125" s="930"/>
      <c r="F14125" s="415">
        <v>1</v>
      </c>
      <c r="G14125" s="619" t="s">
        <v>1856</v>
      </c>
      <c r="H14125" s="416"/>
    </row>
    <row r="14126" spans="1:20" ht="15.75" customHeight="1" x14ac:dyDescent="0.25">
      <c r="A14126" s="412"/>
      <c r="B14126" s="585"/>
      <c r="C14126" s="1127"/>
      <c r="D14126" s="626"/>
      <c r="E14126" s="930"/>
      <c r="F14126" s="415"/>
      <c r="G14126" s="578"/>
      <c r="H14126" s="416"/>
    </row>
    <row r="14127" spans="1:20" ht="15.75" customHeight="1" x14ac:dyDescent="0.25">
      <c r="A14127" s="412"/>
      <c r="B14127" s="1127"/>
      <c r="C14127" s="993"/>
      <c r="D14127" s="626"/>
      <c r="E14127" s="626"/>
      <c r="F14127" s="415"/>
      <c r="G14127" s="415"/>
      <c r="H14127" s="416"/>
      <c r="I14127" s="674"/>
      <c r="J14127" s="674"/>
      <c r="K14127" s="674"/>
      <c r="L14127" s="674"/>
      <c r="M14127" s="674"/>
      <c r="N14127" s="674"/>
      <c r="O14127" s="674"/>
      <c r="P14127" s="674"/>
      <c r="Q14127" s="674"/>
      <c r="R14127" s="674"/>
      <c r="S14127" s="674"/>
      <c r="T14127" s="674"/>
    </row>
    <row r="14128" spans="1:20" ht="15.75" customHeight="1" x14ac:dyDescent="0.25">
      <c r="A14128" s="877"/>
      <c r="B14128" s="688"/>
      <c r="C14128" s="896" t="s">
        <v>85</v>
      </c>
      <c r="D14128" s="401"/>
      <c r="E14128" s="401"/>
      <c r="F14128" s="401"/>
      <c r="G14128" s="661"/>
      <c r="H14128" s="623">
        <f>+H14124+H14122+H14120+H14117+H14115+H14114+H14113+H14112+H14111+H14109+H14108+H14083+H14081+H14079+H14077+H14076+H14074+H14073+H14072+H14071+H14069+H14067+H14066+H14065+H14064</f>
      </c>
    </row>
    <row r="14129" spans="1:8" ht="15.75" customHeight="1" x14ac:dyDescent="0.25">
      <c r="A14129" s="932"/>
      <c r="B14129" s="933"/>
      <c r="C14129" s="934"/>
      <c r="D14129" s="431"/>
      <c r="E14129" s="935"/>
      <c r="F14129" s="935"/>
      <c r="G14129" s="936"/>
      <c r="H14129" s="444"/>
    </row>
    <row r="14130" spans="1:8" ht="15.75" customHeight="1" x14ac:dyDescent="0.25">
      <c r="A14130" s="994"/>
      <c r="B14130" s="391"/>
      <c r="C14130" s="391"/>
      <c r="D14130" s="391"/>
      <c r="E14130" s="390"/>
      <c r="F14130" s="392"/>
      <c r="G14130" s="390"/>
      <c r="H14130" s="394"/>
    </row>
    <row r="14131" spans="1:8" ht="15.75" customHeight="1" x14ac:dyDescent="0.25">
      <c r="A14131" s="445"/>
      <c r="B14131" s="445"/>
      <c r="C14131" s="445"/>
      <c r="D14131" s="446" t="s">
        <v>97</v>
      </c>
      <c r="E14131" s="445" t="s">
        <v>98</v>
      </c>
      <c r="F14131" s="445"/>
      <c r="G14131" s="390"/>
      <c r="H14131" s="394"/>
    </row>
    <row r="14132" spans="1:8" ht="15.75" customHeight="1" x14ac:dyDescent="0.25">
      <c r="A14132" s="445"/>
      <c r="B14132" s="445"/>
      <c r="C14132" s="445"/>
      <c r="D14132" s="446"/>
      <c r="E14132" s="445"/>
      <c r="F14132" s="445"/>
      <c r="G14132" s="390"/>
      <c r="H14132" s="394"/>
    </row>
    <row r="14133" spans="1:8" ht="15.75" customHeight="1" x14ac:dyDescent="0.25">
      <c r="A14133" s="445"/>
      <c r="B14133" s="445"/>
      <c r="C14133" s="445"/>
      <c r="D14133" s="446"/>
      <c r="E14133" s="445"/>
      <c r="F14133" s="445"/>
      <c r="G14133" s="390"/>
      <c r="H14133" s="394"/>
    </row>
    <row r="14134" spans="1:8" ht="15.75" customHeight="1" x14ac:dyDescent="0.25">
      <c r="A14134" s="445"/>
      <c r="B14134" s="445"/>
      <c r="C14134" s="445"/>
      <c r="D14134" s="446"/>
      <c r="E14134" s="445" t="s">
        <v>99</v>
      </c>
      <c r="F14134" s="445"/>
      <c r="G14134" s="390"/>
      <c r="H14134" s="394"/>
    </row>
    <row r="14135" spans="1:8" ht="15.75" customHeight="1" x14ac:dyDescent="0.25">
      <c r="A14135" s="445"/>
      <c r="B14135" s="445"/>
      <c r="C14135" s="445"/>
      <c r="D14135" s="446"/>
      <c r="E14135" s="445"/>
      <c r="F14135" s="445"/>
      <c r="G14135" s="390"/>
      <c r="H14135" s="394"/>
    </row>
    <row r="14136" spans="1:8" ht="15.75" customHeight="1" x14ac:dyDescent="0.25">
      <c r="A14136" s="445"/>
      <c r="B14136" s="445"/>
      <c r="C14136" s="445"/>
      <c r="D14136" s="446"/>
      <c r="E14136" s="445"/>
      <c r="F14136" s="445"/>
      <c r="G14136" s="390"/>
      <c r="H14136" s="394"/>
    </row>
    <row r="14137" spans="1:8" ht="15.75" customHeight="1" x14ac:dyDescent="0.25">
      <c r="A14137" s="445"/>
      <c r="B14137" s="445"/>
      <c r="C14137" s="445"/>
      <c r="D14137" s="446"/>
      <c r="E14137" s="445"/>
      <c r="F14137" s="445"/>
      <c r="G14137" s="390"/>
      <c r="H14137" s="394"/>
    </row>
    <row r="14138" spans="1:8" ht="15.75" customHeight="1" x14ac:dyDescent="0.25">
      <c r="A14138" s="445"/>
      <c r="B14138" s="445"/>
      <c r="C14138" s="445"/>
      <c r="D14138" s="446"/>
      <c r="E14138" s="445"/>
      <c r="F14138" s="445"/>
      <c r="G14138" s="390"/>
      <c r="H14138" s="394"/>
    </row>
    <row r="14139" spans="1:8" ht="15.75" customHeight="1" x14ac:dyDescent="0.25">
      <c r="A14139" s="8" t="s">
        <v>14</v>
      </c>
      <c r="B14139" s="8"/>
      <c r="C14139" s="8"/>
      <c r="D14139" s="8"/>
      <c r="E14139" s="8"/>
      <c r="F14139" s="8"/>
      <c r="G14139" s="8"/>
      <c r="H14139" s="8"/>
    </row>
    <row r="14140" spans="1:8" ht="15.75" customHeight="1" x14ac:dyDescent="0.25">
      <c r="A14140" s="388"/>
      <c r="B14140" s="388"/>
      <c r="C14140" s="388"/>
      <c r="D14140" s="389"/>
      <c r="E14140" s="388"/>
      <c r="F14140" s="388"/>
      <c r="G14140" s="388"/>
      <c r="H14140" s="8"/>
    </row>
    <row r="14141" spans="1:8" ht="15.75" customHeight="1" x14ac:dyDescent="0.25">
      <c r="A14141" s="390"/>
      <c r="B14141" s="390"/>
      <c r="C14141" s="390"/>
      <c r="D14141" s="391"/>
      <c r="E14141" s="390"/>
      <c r="F14141" s="395" t="s">
        <v>18</v>
      </c>
      <c r="G14141" s="396" t="s">
        <v>1160</v>
      </c>
      <c r="H14141" s="397"/>
    </row>
    <row r="14142" spans="1:8" ht="15.75" customHeight="1" x14ac:dyDescent="0.25">
      <c r="A14142" s="390" t="s">
        <v>20</v>
      </c>
      <c r="B14142" s="390"/>
      <c r="D14142" s="391"/>
      <c r="E14142" s="390"/>
      <c r="F14142" s="395" t="s">
        <v>21</v>
      </c>
      <c r="G14142" s="390" t="s">
        <v>1583</v>
      </c>
      <c r="H14142" s="391"/>
    </row>
    <row r="14143" spans="1:8" ht="15.75" customHeight="1" x14ac:dyDescent="0.25">
      <c r="A14143" s="390" t="inlineStr">
        <is>
          <t>Dealer-024</t>
        </is>
      </c>
      <c r="B14143" s="390"/>
      <c r="C14143" s="390" t="inlineStr">
        <is>
          <t>ATTN: Contact-008</t>
        </is>
      </c>
      <c r="D14143" s="398"/>
      <c r="E14143" s="390"/>
      <c r="F14143" s="391"/>
      <c r="G14143" s="390"/>
      <c r="H14143" s="394"/>
    </row>
    <row r="14144" spans="1:8" ht="15.75" customHeight="1" x14ac:dyDescent="0.25">
      <c r="A14144" s="390" t="inlineStr">
        <is>
          <t>Address line (redacted)</t>
        </is>
      </c>
      <c r="B14144" s="390"/>
      <c r="C14144" s="390"/>
      <c r="D14144" s="398"/>
      <c r="E14144" s="390"/>
      <c r="F14144" s="391"/>
      <c r="G14144" s="390"/>
      <c r="H14144" s="394"/>
    </row>
    <row r="14145" spans="1:8" ht="15.75" customHeight="1" x14ac:dyDescent="0.25">
      <c r="A14145" s="390"/>
      <c r="B14145" s="390"/>
      <c r="C14145" s="390"/>
      <c r="D14145" s="391"/>
      <c r="E14145" s="390"/>
      <c r="F14145" s="391"/>
      <c r="G14145" s="390"/>
      <c r="H14145" s="394"/>
    </row>
    <row r="14146" spans="1:8" ht="15.75" customHeight="1" x14ac:dyDescent="0.25">
      <c r="A14146" s="390" t="s">
        <v>30</v>
      </c>
      <c r="B14146" s="390"/>
      <c r="C14146" s="390"/>
      <c r="D14146" s="391"/>
      <c r="E14146" s="390"/>
      <c r="F14146" s="391"/>
      <c r="G14146" s="390"/>
      <c r="H14146" s="394"/>
    </row>
    <row r="14147" spans="1:8" ht="15.75" customHeight="1" x14ac:dyDescent="0.25">
      <c r="A14147" s="390"/>
      <c r="B14147" s="390"/>
      <c r="C14147" s="390"/>
      <c r="D14147" s="391"/>
      <c r="E14147" s="390"/>
      <c r="F14147" s="391"/>
      <c r="G14147" s="390"/>
      <c r="H14147" s="394"/>
    </row>
    <row r="14148" spans="1:8" ht="15.75" customHeight="1" x14ac:dyDescent="0.25">
      <c r="A14148" s="390" t="s">
        <v>716</v>
      </c>
      <c r="B14148" s="390"/>
      <c r="C14148" s="390"/>
      <c r="D14148" s="391"/>
      <c r="E14148" s="390"/>
      <c r="F14148" s="391"/>
      <c r="G14148" s="390"/>
      <c r="H14148" s="394"/>
    </row>
    <row r="14149" spans="1:8" ht="15.75" customHeight="1" x14ac:dyDescent="0.25">
      <c r="A14149" s="390" t="s">
        <v>717</v>
      </c>
      <c r="B14149" s="390"/>
      <c r="C14149" s="390"/>
      <c r="D14149" s="391"/>
      <c r="E14149" s="390"/>
      <c r="F14149" s="391"/>
      <c r="G14149" s="390"/>
      <c r="H14149" s="394"/>
    </row>
    <row r="14150" spans="1:8" ht="15.75" customHeight="1" x14ac:dyDescent="0.25">
      <c r="A14150" s="390"/>
      <c r="B14150" s="390"/>
      <c r="C14150" s="390"/>
      <c r="D14150" s="391"/>
      <c r="E14150" s="390"/>
      <c r="F14150" s="391"/>
      <c r="G14150" s="390"/>
      <c r="H14150" s="394"/>
    </row>
    <row r="14151" spans="1:8" ht="15.75" customHeight="1" x14ac:dyDescent="0.25">
      <c r="A14151" s="948" t="s">
        <v>33</v>
      </c>
      <c r="B14151" s="872" t="s">
        <v>6</v>
      </c>
      <c r="C14151" s="872"/>
      <c r="D14151" s="874" t="s">
        <v>37</v>
      </c>
      <c r="E14151" s="874" t="s">
        <v>38</v>
      </c>
      <c r="F14151" s="875" t="s">
        <v>7</v>
      </c>
      <c r="G14151" s="872" t="s">
        <v>43</v>
      </c>
      <c r="H14151" s="876" t="s">
        <v>44</v>
      </c>
    </row>
    <row r="14152" spans="1:8" ht="15.75" customHeight="1" x14ac:dyDescent="0.3">
      <c r="A14152" s="412"/>
      <c r="B14152" s="1033"/>
      <c r="C14152" s="1033"/>
      <c r="D14152" s="879"/>
      <c r="E14152" s="879"/>
      <c r="F14152" s="415"/>
      <c r="G14152" s="415"/>
      <c r="H14152" s="416"/>
    </row>
    <row r="14153" spans="1:8" ht="15.75" customHeight="1" x14ac:dyDescent="0.25">
      <c r="A14153" s="412"/>
      <c r="B14153" s="953" t="s">
        <v>1239</v>
      </c>
      <c r="C14153" s="953"/>
      <c r="D14153" s="415"/>
      <c r="E14153" s="415"/>
      <c r="F14153" s="415"/>
      <c r="G14153" s="415"/>
      <c r="H14153" s="416"/>
    </row>
    <row r="14154" spans="1:8" ht="15.75" customHeight="1" x14ac:dyDescent="0.25">
      <c r="A14154" s="412">
        <v>1</v>
      </c>
      <c r="B14154" s="1094" t="s">
        <v>56</v>
      </c>
      <c r="C14154" s="1095" t="s">
        <v>57</v>
      </c>
      <c r="D14154" s="588">
        <v>2</v>
      </c>
      <c r="E14154" s="588">
        <v>25</v>
      </c>
      <c r="F14154" s="415">
        <f t="shared" ref="F14154:F14158" si="565">+E14154*D14154</f>
      </c>
      <c r="G14154" s="415">
        <v>1</v>
      </c>
      <c r="H14154" s="416">
        <f t="shared" ref="H14154:H14158" si="566">+G14154*F14154</f>
      </c>
    </row>
    <row r="14155" spans="1:8" ht="15.75" customHeight="1" x14ac:dyDescent="0.25">
      <c r="A14155" s="412">
        <v>2</v>
      </c>
      <c r="B14155" s="1094" t="s">
        <v>1477</v>
      </c>
      <c r="C14155" s="1095" t="s">
        <v>61</v>
      </c>
      <c r="D14155" s="415">
        <v>2</v>
      </c>
      <c r="E14155" s="415">
        <v>25</v>
      </c>
      <c r="F14155" s="415">
        <f t="shared" si="565"/>
      </c>
      <c r="G14155" s="415">
        <v>1</v>
      </c>
      <c r="H14155" s="416">
        <f t="shared" si="566"/>
      </c>
    </row>
    <row r="14156" spans="1:8" ht="15.75" customHeight="1" x14ac:dyDescent="0.25">
      <c r="A14156" s="412">
        <v>3</v>
      </c>
      <c r="B14156" s="1094" t="s">
        <v>68</v>
      </c>
      <c r="C14156" s="1095" t="s">
        <v>69</v>
      </c>
      <c r="D14156" s="415">
        <v>2</v>
      </c>
      <c r="E14156" s="415">
        <v>25</v>
      </c>
      <c r="F14156" s="415">
        <f t="shared" si="565"/>
      </c>
      <c r="G14156" s="415">
        <v>1</v>
      </c>
      <c r="H14156" s="416">
        <f t="shared" si="566"/>
      </c>
    </row>
    <row r="14157" spans="1:8" ht="15.75" customHeight="1" x14ac:dyDescent="0.25">
      <c r="A14157" s="412">
        <v>4</v>
      </c>
      <c r="B14157" s="1094" t="s">
        <v>2152</v>
      </c>
      <c r="C14157" s="1095" t="s">
        <v>109</v>
      </c>
      <c r="D14157" s="415">
        <v>4</v>
      </c>
      <c r="E14157" s="415">
        <v>25</v>
      </c>
      <c r="F14157" s="415">
        <f t="shared" si="565"/>
      </c>
      <c r="G14157" s="415">
        <v>1</v>
      </c>
      <c r="H14157" s="416">
        <f t="shared" si="566"/>
      </c>
    </row>
    <row r="14158" spans="1:8" ht="15.75" customHeight="1" x14ac:dyDescent="0.25">
      <c r="A14158" s="412">
        <v>5</v>
      </c>
      <c r="B14158" s="1094" t="s">
        <v>2153</v>
      </c>
      <c r="C14158" s="1095" t="s">
        <v>425</v>
      </c>
      <c r="D14158" s="415">
        <v>1</v>
      </c>
      <c r="E14158" s="415">
        <v>25</v>
      </c>
      <c r="F14158" s="415">
        <f t="shared" si="565"/>
      </c>
      <c r="G14158" s="415">
        <v>1</v>
      </c>
      <c r="H14158" s="416">
        <f t="shared" si="566"/>
      </c>
    </row>
    <row r="14159" spans="1:8" ht="15.75" customHeight="1" x14ac:dyDescent="0.25">
      <c r="A14159" s="412"/>
      <c r="B14159" s="953" t="s">
        <v>590</v>
      </c>
      <c r="C14159" s="953"/>
      <c r="D14159" s="981"/>
      <c r="E14159" s="981"/>
      <c r="F14159" s="415"/>
      <c r="G14159" s="415"/>
      <c r="H14159" s="416"/>
    </row>
    <row r="14160" spans="1:8" ht="15.75" customHeight="1" x14ac:dyDescent="0.25">
      <c r="A14160" s="412">
        <v>5</v>
      </c>
      <c r="B14160" s="1116" t="s">
        <v>56</v>
      </c>
      <c r="C14160" s="1117" t="s">
        <v>368</v>
      </c>
      <c r="D14160" s="981">
        <v>2</v>
      </c>
      <c r="E14160" s="981">
        <v>6</v>
      </c>
      <c r="F14160" s="415">
        <f t="shared" ref="F14160:F14161" si="567">+E14160*D14160</f>
      </c>
      <c r="G14160" s="415">
        <v>1</v>
      </c>
      <c r="H14160" s="416">
        <f t="shared" ref="H14160:H14162" si="568">+G14160*F14160</f>
      </c>
    </row>
    <row r="14161" spans="1:8" ht="15.75" customHeight="1" x14ac:dyDescent="0.25">
      <c r="A14161" s="412">
        <v>9</v>
      </c>
      <c r="B14161" s="1116" t="s">
        <v>1737</v>
      </c>
      <c r="C14161" s="1117" t="s">
        <v>371</v>
      </c>
      <c r="D14161" s="981">
        <v>2</v>
      </c>
      <c r="E14161" s="981">
        <v>6</v>
      </c>
      <c r="F14161" s="415">
        <f t="shared" si="567"/>
      </c>
      <c r="G14161" s="415">
        <v>1</v>
      </c>
      <c r="H14161" s="416">
        <f t="shared" si="568"/>
      </c>
    </row>
    <row r="14162" spans="1:8" ht="15.75" customHeight="1" x14ac:dyDescent="0.25">
      <c r="A14162" s="412">
        <v>10</v>
      </c>
      <c r="B14162" s="1116" t="s">
        <v>15</v>
      </c>
      <c r="C14162" s="1117" t="s">
        <v>388</v>
      </c>
      <c r="D14162" s="981">
        <v>4</v>
      </c>
      <c r="E14162" s="981">
        <v>6</v>
      </c>
      <c r="F14162" s="415">
        <v>23</v>
      </c>
      <c r="G14162" s="415">
        <v>1</v>
      </c>
      <c r="H14162" s="416">
        <f t="shared" si="568"/>
      </c>
    </row>
    <row r="14163" spans="1:8" ht="15.75" customHeight="1" x14ac:dyDescent="0.25">
      <c r="A14163" s="412">
        <v>11</v>
      </c>
      <c r="B14163" s="1116" t="s">
        <v>15</v>
      </c>
      <c r="C14163" s="1117" t="s">
        <v>388</v>
      </c>
      <c r="D14163" s="981"/>
      <c r="E14163" s="981"/>
      <c r="F14163" s="415">
        <v>1</v>
      </c>
      <c r="G14163" s="619" t="s">
        <v>1856</v>
      </c>
      <c r="H14163" s="416"/>
    </row>
    <row r="14164" spans="1:8" ht="15.75" customHeight="1" x14ac:dyDescent="0.25">
      <c r="A14164" s="412">
        <v>17</v>
      </c>
      <c r="B14164" s="1118" t="s">
        <v>80</v>
      </c>
      <c r="C14164" s="993" t="s">
        <v>386</v>
      </c>
      <c r="D14164" s="981">
        <v>1</v>
      </c>
      <c r="E14164" s="981">
        <v>5</v>
      </c>
      <c r="F14164" s="415">
        <f>+E14164*D14164</f>
      </c>
      <c r="G14164" s="415">
        <v>1</v>
      </c>
      <c r="H14164" s="416">
        <f>+G14164*F14164</f>
      </c>
    </row>
    <row r="14165" spans="1:8" ht="15.75" customHeight="1" x14ac:dyDescent="0.25">
      <c r="A14165" s="412"/>
      <c r="B14165" s="953" t="s">
        <v>2357</v>
      </c>
      <c r="C14165" s="953"/>
      <c r="D14165" s="981"/>
      <c r="E14165" s="981"/>
      <c r="F14165" s="415"/>
      <c r="G14165" s="415"/>
      <c r="H14165" s="416"/>
    </row>
    <row r="14166" spans="1:8" ht="15.75" customHeight="1" x14ac:dyDescent="0.25">
      <c r="A14166" s="412">
        <v>18</v>
      </c>
      <c r="B14166" s="1118" t="s">
        <v>1514</v>
      </c>
      <c r="C14166" s="993"/>
      <c r="D14166" s="981">
        <v>2</v>
      </c>
      <c r="E14166" s="981">
        <v>100</v>
      </c>
      <c r="F14166" s="415">
        <f>95*2</f>
      </c>
      <c r="G14166" s="415">
        <v>1</v>
      </c>
      <c r="H14166" s="416">
        <f>+G14166*F14166</f>
      </c>
    </row>
    <row r="14167" spans="1:8" ht="15.75" customHeight="1" x14ac:dyDescent="0.25">
      <c r="A14167" s="412">
        <v>19</v>
      </c>
      <c r="B14167" s="1118" t="s">
        <v>1514</v>
      </c>
      <c r="C14167" s="993"/>
      <c r="D14167" s="981"/>
      <c r="E14167" s="981"/>
      <c r="F14167" s="415">
        <v>10</v>
      </c>
      <c r="G14167" s="619" t="s">
        <v>1856</v>
      </c>
      <c r="H14167" s="416"/>
    </row>
    <row r="14168" spans="1:8" ht="15.75" customHeight="1" x14ac:dyDescent="0.25">
      <c r="A14168" s="412"/>
      <c r="B14168" s="953" t="s">
        <v>1329</v>
      </c>
      <c r="C14168" s="953"/>
      <c r="D14168" s="981"/>
      <c r="E14168" s="981"/>
      <c r="F14168" s="415"/>
      <c r="G14168" s="415"/>
      <c r="H14168" s="416"/>
    </row>
    <row r="14169" spans="1:8" ht="15.75" customHeight="1" x14ac:dyDescent="0.25">
      <c r="A14169" s="412">
        <v>36</v>
      </c>
      <c r="B14169" s="1118" t="s">
        <v>2359</v>
      </c>
      <c r="C14169" s="993" t="s">
        <v>5</v>
      </c>
      <c r="D14169" s="981">
        <v>24</v>
      </c>
      <c r="E14169" s="981">
        <v>24</v>
      </c>
      <c r="F14169" s="415">
        <f>+D14169*E14169</f>
      </c>
      <c r="G14169" s="415">
        <v>1</v>
      </c>
      <c r="H14169" s="416">
        <f>+G14169*F14169</f>
      </c>
    </row>
    <row r="14170" spans="1:8" ht="15.75" customHeight="1" x14ac:dyDescent="0.25">
      <c r="A14170" s="412">
        <v>37</v>
      </c>
      <c r="B14170" s="1118" t="s">
        <v>2359</v>
      </c>
      <c r="C14170" s="993" t="s">
        <v>5</v>
      </c>
      <c r="D14170" s="588">
        <v>1</v>
      </c>
      <c r="E14170" s="981"/>
      <c r="F14170" s="415">
        <f>+$E$13661*$D$13662</f>
      </c>
      <c r="G14170" s="619" t="s">
        <v>1856</v>
      </c>
      <c r="H14170" s="416"/>
    </row>
    <row r="14171" spans="1:8" ht="15.75" customHeight="1" x14ac:dyDescent="0.25">
      <c r="A14171" s="412">
        <v>38</v>
      </c>
      <c r="B14171" s="1118" t="s">
        <v>2359</v>
      </c>
      <c r="C14171" s="993" t="s">
        <v>13</v>
      </c>
      <c r="D14171" s="981">
        <v>8</v>
      </c>
      <c r="E14171" s="981">
        <v>6</v>
      </c>
      <c r="F14171" s="415">
        <v>46</v>
      </c>
      <c r="G14171" s="415">
        <v>1</v>
      </c>
      <c r="H14171" s="416">
        <f>+G14171*F14171</f>
      </c>
    </row>
    <row r="14172" spans="1:8" ht="15.75" customHeight="1" x14ac:dyDescent="0.25">
      <c r="A14172" s="412">
        <v>39</v>
      </c>
      <c r="B14172" s="1118" t="s">
        <v>2359</v>
      </c>
      <c r="C14172" s="993" t="s">
        <v>13</v>
      </c>
      <c r="D14172" s="981"/>
      <c r="E14172" s="981"/>
      <c r="F14172" s="415">
        <v>2</v>
      </c>
      <c r="G14172" s="619" t="s">
        <v>1856</v>
      </c>
      <c r="H14172" s="416"/>
    </row>
    <row r="14173" spans="1:8" ht="15.75" customHeight="1" x14ac:dyDescent="0.25">
      <c r="A14173" s="412">
        <v>40</v>
      </c>
      <c r="B14173" s="1118" t="s">
        <v>2158</v>
      </c>
      <c r="C14173" s="993"/>
      <c r="D14173" s="981">
        <v>10</v>
      </c>
      <c r="E14173" s="981">
        <v>10</v>
      </c>
      <c r="F14173" s="415">
        <f>+D14173*E14173</f>
      </c>
      <c r="G14173" s="415">
        <v>1</v>
      </c>
      <c r="H14173" s="416">
        <f>+G14173*F14173</f>
      </c>
    </row>
    <row r="14174" spans="1:8" ht="15.75" customHeight="1" x14ac:dyDescent="0.25">
      <c r="A14174" s="412">
        <v>41</v>
      </c>
      <c r="B14174" s="1118" t="s">
        <v>2158</v>
      </c>
      <c r="C14174" s="993"/>
      <c r="D14174" s="588">
        <v>1</v>
      </c>
      <c r="E14174" s="981"/>
      <c r="F14174" s="415">
        <f>+E14173*D14174</f>
      </c>
      <c r="G14174" s="619" t="s">
        <v>1856</v>
      </c>
      <c r="H14174" s="416"/>
    </row>
    <row r="14175" spans="1:8" ht="15.75" customHeight="1" x14ac:dyDescent="0.25">
      <c r="A14175" s="412">
        <v>29</v>
      </c>
      <c r="B14175" s="1118" t="s">
        <v>1039</v>
      </c>
      <c r="C14175" s="993" t="s">
        <v>419</v>
      </c>
      <c r="D14175" s="588">
        <v>2</v>
      </c>
      <c r="E14175" s="981">
        <v>100</v>
      </c>
      <c r="F14175" s="415">
        <f>+E14175*D14175</f>
      </c>
      <c r="G14175" s="415">
        <v>1</v>
      </c>
      <c r="H14175" s="416">
        <f>+G14175*F14175</f>
      </c>
    </row>
    <row r="14176" spans="1:8" ht="15.75" customHeight="1" x14ac:dyDescent="0.25">
      <c r="A14176" s="412"/>
      <c r="B14176" s="1118"/>
      <c r="C14176" s="993"/>
      <c r="D14176" s="981"/>
      <c r="E14176" s="981"/>
      <c r="F14176" s="415"/>
      <c r="G14176" s="415"/>
      <c r="H14176" s="416"/>
    </row>
    <row r="14177" spans="1:8" ht="15.75" customHeight="1" x14ac:dyDescent="0.25">
      <c r="A14177" s="412"/>
      <c r="B14177" s="1118"/>
      <c r="C14177" s="883" t="s">
        <v>2358</v>
      </c>
      <c r="D14177" s="981"/>
      <c r="E14177" s="981"/>
      <c r="F14177" s="415"/>
      <c r="G14177" s="415"/>
      <c r="H14177" s="416"/>
    </row>
    <row r="14178" spans="1:8" ht="15.75" customHeight="1" x14ac:dyDescent="0.25">
      <c r="A14178" s="880"/>
      <c r="B14178" s="1119"/>
      <c r="C14178" s="1120"/>
      <c r="D14178" s="1121"/>
      <c r="E14178" s="1121"/>
      <c r="F14178" s="892"/>
      <c r="G14178" s="892"/>
      <c r="H14178" s="893"/>
    </row>
    <row r="14179" spans="1:8" ht="15.75" customHeight="1" x14ac:dyDescent="0.25">
      <c r="A14179" s="451"/>
      <c r="B14179" s="1123"/>
      <c r="C14179" s="1092"/>
      <c r="D14179" s="638"/>
      <c r="E14179" s="638"/>
      <c r="F14179" s="391"/>
      <c r="G14179" s="391"/>
      <c r="H14179" s="394"/>
    </row>
    <row r="14180" spans="1:8" ht="15.75" customHeight="1" x14ac:dyDescent="0.25">
      <c r="A14180" s="451"/>
      <c r="B14180" s="1123"/>
      <c r="C14180" s="1092"/>
      <c r="D14180" s="638"/>
      <c r="E14180" s="638"/>
      <c r="F14180" s="391"/>
      <c r="G14180" s="391"/>
      <c r="H14180" s="394"/>
    </row>
    <row r="14181" spans="1:8" ht="15.75" customHeight="1" x14ac:dyDescent="0.25">
      <c r="A14181" s="451"/>
      <c r="B14181" s="1123"/>
      <c r="C14181" s="1092"/>
      <c r="D14181" s="638"/>
      <c r="E14181" s="638"/>
      <c r="F14181" s="391"/>
      <c r="G14181" s="391"/>
      <c r="H14181" s="394"/>
    </row>
    <row r="14182" spans="1:8" ht="15.75" customHeight="1" x14ac:dyDescent="0.25">
      <c r="A14182" s="451"/>
      <c r="B14182" s="1123"/>
      <c r="C14182" s="1092"/>
      <c r="D14182" s="638"/>
      <c r="E14182" s="638"/>
      <c r="F14182" s="391"/>
      <c r="G14182" s="391"/>
      <c r="H14182" s="394"/>
    </row>
    <row r="14183" spans="1:8" ht="15.75" customHeight="1" x14ac:dyDescent="0.25">
      <c r="A14183" s="451"/>
      <c r="B14183" s="1123"/>
      <c r="C14183" s="1092"/>
      <c r="D14183" s="638"/>
      <c r="E14183" s="638"/>
      <c r="F14183" s="391"/>
      <c r="G14183" s="391"/>
      <c r="H14183" s="394"/>
    </row>
    <row r="14184" spans="1:8" ht="15.75" customHeight="1" x14ac:dyDescent="0.25">
      <c r="A14184" s="451"/>
      <c r="B14184" s="1123"/>
      <c r="C14184" s="1092"/>
      <c r="D14184" s="638"/>
      <c r="E14184" s="638"/>
      <c r="F14184" s="391"/>
      <c r="G14184" s="391"/>
      <c r="H14184" s="394"/>
    </row>
    <row r="14185" spans="1:8" ht="15.75" customHeight="1" x14ac:dyDescent="0.25">
      <c r="A14185" s="8" t="s">
        <v>14</v>
      </c>
      <c r="B14185" s="8"/>
      <c r="C14185" s="8"/>
      <c r="D14185" s="8"/>
      <c r="E14185" s="8"/>
      <c r="F14185" s="8"/>
      <c r="G14185" s="8"/>
      <c r="H14185" s="8"/>
    </row>
    <row r="14186" spans="1:8" ht="15.75" customHeight="1" x14ac:dyDescent="0.25">
      <c r="A14186" s="388"/>
      <c r="B14186" s="388"/>
      <c r="C14186" s="388"/>
      <c r="D14186" s="389"/>
      <c r="E14186" s="388"/>
      <c r="F14186" s="388"/>
      <c r="G14186" s="388"/>
      <c r="H14186" s="8"/>
    </row>
    <row r="14187" spans="1:8" ht="15.75" customHeight="1" x14ac:dyDescent="0.25">
      <c r="A14187" s="390"/>
      <c r="B14187" s="390"/>
      <c r="C14187" s="390"/>
      <c r="D14187" s="391"/>
      <c r="E14187" s="390"/>
      <c r="F14187" s="395" t="s">
        <v>18</v>
      </c>
      <c r="G14187" s="396" t="s">
        <v>1160</v>
      </c>
      <c r="H14187" s="397"/>
    </row>
    <row r="14188" spans="1:8" ht="15.75" customHeight="1" x14ac:dyDescent="0.25">
      <c r="A14188" s="390" t="s">
        <v>20</v>
      </c>
      <c r="B14188" s="390"/>
      <c r="D14188" s="391"/>
      <c r="E14188" s="390"/>
      <c r="F14188" s="395" t="s">
        <v>21</v>
      </c>
      <c r="G14188" s="390" t="s">
        <v>1583</v>
      </c>
      <c r="H14188" s="391"/>
    </row>
    <row r="14189" spans="1:8" ht="15.75" customHeight="1" x14ac:dyDescent="0.25">
      <c r="A14189" s="390" t="inlineStr">
        <is>
          <t>Dealer-024</t>
        </is>
      </c>
      <c r="B14189" s="390"/>
      <c r="C14189" s="390" t="inlineStr">
        <is>
          <t>ATTN: Contact-008</t>
        </is>
      </c>
      <c r="D14189" s="398"/>
      <c r="E14189" s="390"/>
      <c r="F14189" s="391"/>
      <c r="G14189" s="390"/>
      <c r="H14189" s="394"/>
    </row>
    <row r="14190" spans="1:8" ht="15.75" customHeight="1" x14ac:dyDescent="0.25">
      <c r="A14190" s="390" t="inlineStr">
        <is>
          <t>Address line (redacted)</t>
        </is>
      </c>
      <c r="B14190" s="390"/>
      <c r="C14190" s="390"/>
      <c r="D14190" s="398"/>
      <c r="E14190" s="390"/>
      <c r="F14190" s="391"/>
      <c r="G14190" s="390"/>
      <c r="H14190" s="394"/>
    </row>
    <row r="14191" spans="1:8" ht="15.75" customHeight="1" x14ac:dyDescent="0.25">
      <c r="A14191" s="390"/>
      <c r="B14191" s="390"/>
      <c r="C14191" s="883" t="s">
        <v>1287</v>
      </c>
      <c r="D14191" s="391"/>
      <c r="E14191" s="390"/>
      <c r="F14191" s="391"/>
      <c r="G14191" s="390"/>
      <c r="H14191" s="394"/>
    </row>
    <row r="14192" spans="1:8" ht="15.75" customHeight="1" x14ac:dyDescent="0.25">
      <c r="A14192" s="390"/>
      <c r="B14192" s="390"/>
      <c r="C14192" s="885"/>
      <c r="D14192" s="391"/>
      <c r="E14192" s="390"/>
      <c r="F14192" s="391"/>
      <c r="G14192" s="390"/>
      <c r="H14192" s="394"/>
    </row>
    <row r="14193" spans="1:8" ht="15.75" customHeight="1" x14ac:dyDescent="0.25">
      <c r="A14193" s="390" t="s">
        <v>30</v>
      </c>
      <c r="B14193" s="390"/>
      <c r="C14193" s="390"/>
      <c r="D14193" s="391"/>
      <c r="E14193" s="390"/>
      <c r="F14193" s="391"/>
      <c r="G14193" s="390"/>
      <c r="H14193" s="394"/>
    </row>
    <row r="14194" spans="1:8" ht="15.75" customHeight="1" x14ac:dyDescent="0.25">
      <c r="A14194" s="390" t="s">
        <v>716</v>
      </c>
      <c r="B14194" s="390"/>
      <c r="C14194" s="390"/>
      <c r="D14194" s="391"/>
      <c r="E14194" s="390"/>
      <c r="F14194" s="391"/>
      <c r="G14194" s="390"/>
      <c r="H14194" s="394"/>
    </row>
    <row r="14195" spans="1:8" ht="15.75" customHeight="1" x14ac:dyDescent="0.25">
      <c r="A14195" s="390" t="s">
        <v>717</v>
      </c>
      <c r="B14195" s="390"/>
      <c r="C14195" s="390"/>
      <c r="D14195" s="391"/>
      <c r="E14195" s="390"/>
      <c r="F14195" s="391"/>
      <c r="G14195" s="390"/>
      <c r="H14195" s="394"/>
    </row>
    <row r="14196" spans="1:8" ht="15.75" customHeight="1" x14ac:dyDescent="0.25">
      <c r="A14196" s="948" t="s">
        <v>33</v>
      </c>
      <c r="B14196" s="872" t="s">
        <v>6</v>
      </c>
      <c r="C14196" s="872"/>
      <c r="D14196" s="874" t="s">
        <v>37</v>
      </c>
      <c r="E14196" s="874" t="s">
        <v>38</v>
      </c>
      <c r="F14196" s="875" t="s">
        <v>7</v>
      </c>
      <c r="G14196" s="872" t="s">
        <v>43</v>
      </c>
      <c r="H14196" s="876" t="s">
        <v>44</v>
      </c>
    </row>
    <row r="14197" spans="1:8" ht="15.75" customHeight="1" x14ac:dyDescent="0.25">
      <c r="A14197" s="412"/>
      <c r="B14197" s="1118"/>
      <c r="C14197" s="993"/>
      <c r="D14197" s="981"/>
      <c r="E14197" s="981"/>
      <c r="F14197" s="415"/>
      <c r="G14197" s="415"/>
      <c r="H14197" s="416"/>
    </row>
    <row r="14198" spans="1:8" ht="15.75" customHeight="1" x14ac:dyDescent="0.25">
      <c r="A14198" s="412"/>
      <c r="B14198" s="953" t="s">
        <v>1356</v>
      </c>
      <c r="C14198" s="953"/>
      <c r="D14198" s="626"/>
      <c r="E14198" s="930"/>
      <c r="F14198" s="415"/>
      <c r="G14198" s="415"/>
      <c r="H14198" s="416"/>
    </row>
    <row r="14199" spans="1:8" ht="15.75" customHeight="1" x14ac:dyDescent="0.25">
      <c r="A14199" s="412">
        <v>36</v>
      </c>
      <c r="B14199" s="585" t="s">
        <v>123</v>
      </c>
      <c r="C14199" s="993" t="s">
        <v>1577</v>
      </c>
      <c r="D14199" s="592">
        <v>2</v>
      </c>
      <c r="E14199" s="929">
        <v>5</v>
      </c>
      <c r="F14199" s="415">
        <f t="shared" ref="F14199:F14200" si="569">+E14199*D14199</f>
      </c>
      <c r="G14199" s="415">
        <v>1</v>
      </c>
      <c r="H14199" s="416">
        <f t="shared" ref="H14199:H14200" si="570">+G14199*F14199</f>
      </c>
    </row>
    <row r="14200" spans="1:8" ht="15.75" customHeight="1" x14ac:dyDescent="0.25">
      <c r="A14200" s="412">
        <v>38</v>
      </c>
      <c r="B14200" s="585" t="s">
        <v>1578</v>
      </c>
      <c r="C14200" s="993" t="s">
        <v>1579</v>
      </c>
      <c r="D14200" s="588">
        <v>4</v>
      </c>
      <c r="E14200" s="981">
        <v>5</v>
      </c>
      <c r="F14200" s="415">
        <f t="shared" si="569"/>
      </c>
      <c r="G14200" s="415">
        <v>1</v>
      </c>
      <c r="H14200" s="416">
        <f t="shared" si="570"/>
      </c>
    </row>
    <row r="14201" spans="1:8" ht="15.75" customHeight="1" x14ac:dyDescent="0.25">
      <c r="A14201" s="412"/>
      <c r="B14201" s="953" t="s">
        <v>1357</v>
      </c>
      <c r="C14201" s="953"/>
      <c r="D14201" s="626"/>
      <c r="E14201" s="930"/>
      <c r="F14201" s="842"/>
      <c r="G14201" s="415"/>
      <c r="H14201" s="416"/>
    </row>
    <row r="14202" spans="1:8" ht="15.75" customHeight="1" x14ac:dyDescent="0.25">
      <c r="A14202" s="412">
        <v>40</v>
      </c>
      <c r="B14202" s="913" t="s">
        <v>2183</v>
      </c>
      <c r="C14202" s="1127" t="s">
        <v>416</v>
      </c>
      <c r="D14202" s="592">
        <v>1</v>
      </c>
      <c r="E14202" s="930"/>
      <c r="F14202" s="415">
        <v>96</v>
      </c>
      <c r="G14202" s="578">
        <v>1</v>
      </c>
      <c r="H14202" s="416">
        <f>+G14202*F14202</f>
      </c>
    </row>
    <row r="14203" spans="1:8" ht="15.75" customHeight="1" x14ac:dyDescent="0.25">
      <c r="A14203" s="412">
        <v>41</v>
      </c>
      <c r="B14203" s="913" t="s">
        <v>2183</v>
      </c>
      <c r="C14203" s="1127" t="s">
        <v>416</v>
      </c>
      <c r="D14203" s="633"/>
      <c r="E14203" s="930"/>
      <c r="F14203" s="415">
        <v>4</v>
      </c>
      <c r="G14203" s="707" t="s">
        <v>1856</v>
      </c>
      <c r="H14203" s="416"/>
    </row>
    <row r="14204" spans="1:8" ht="15.75" customHeight="1" x14ac:dyDescent="0.25">
      <c r="A14204" s="412">
        <v>42</v>
      </c>
      <c r="B14204" s="913" t="s">
        <v>68</v>
      </c>
      <c r="C14204" s="1127" t="s">
        <v>2184</v>
      </c>
      <c r="D14204" s="633"/>
      <c r="E14204" s="930"/>
      <c r="F14204" s="415">
        <v>96</v>
      </c>
      <c r="G14204" s="578">
        <v>1</v>
      </c>
      <c r="H14204" s="416">
        <f>+G14204*F14204</f>
      </c>
    </row>
    <row r="14205" spans="1:8" ht="15.75" customHeight="1" x14ac:dyDescent="0.25">
      <c r="A14205" s="412">
        <v>43</v>
      </c>
      <c r="B14205" s="913" t="s">
        <v>68</v>
      </c>
      <c r="C14205" s="1127" t="s">
        <v>2184</v>
      </c>
      <c r="D14205" s="626"/>
      <c r="E14205" s="930"/>
      <c r="F14205" s="415">
        <v>4</v>
      </c>
      <c r="G14205" s="578" t="s">
        <v>1856</v>
      </c>
      <c r="H14205" s="416"/>
    </row>
    <row r="14206" spans="1:8" ht="15.75" customHeight="1" x14ac:dyDescent="0.25">
      <c r="A14206" s="412"/>
      <c r="B14206" s="913"/>
      <c r="C14206" s="1127"/>
      <c r="D14206" s="626"/>
      <c r="E14206" s="930"/>
      <c r="F14206" s="415"/>
      <c r="G14206" s="578"/>
      <c r="H14206" s="416"/>
    </row>
    <row r="14207" spans="1:8" ht="15.75" customHeight="1" x14ac:dyDescent="0.25">
      <c r="A14207" s="412"/>
      <c r="B14207" s="913"/>
      <c r="C14207" s="1127"/>
      <c r="D14207" s="626"/>
      <c r="E14207" s="930"/>
      <c r="F14207" s="415"/>
      <c r="G14207" s="578"/>
      <c r="H14207" s="416"/>
    </row>
    <row r="14208" spans="1:8" ht="15.75" customHeight="1" x14ac:dyDescent="0.25">
      <c r="A14208" s="412"/>
      <c r="B14208" s="913"/>
      <c r="C14208" s="1127"/>
      <c r="D14208" s="626"/>
      <c r="E14208" s="930"/>
      <c r="F14208" s="415"/>
      <c r="G14208" s="578"/>
      <c r="H14208" s="416"/>
    </row>
    <row r="14209" spans="1:8" ht="15.75" customHeight="1" x14ac:dyDescent="0.25">
      <c r="A14209" s="412"/>
      <c r="B14209" s="913"/>
      <c r="C14209" s="1127"/>
      <c r="D14209" s="626"/>
      <c r="E14209" s="930"/>
      <c r="F14209" s="415"/>
      <c r="G14209" s="578"/>
      <c r="H14209" s="416"/>
    </row>
    <row r="14210" spans="1:8" ht="15.75" customHeight="1" x14ac:dyDescent="0.25">
      <c r="A14210" s="412"/>
      <c r="B14210" s="913"/>
      <c r="C14210" s="1127"/>
      <c r="D14210" s="626"/>
      <c r="E14210" s="930"/>
      <c r="F14210" s="415"/>
      <c r="G14210" s="578"/>
      <c r="H14210" s="416"/>
    </row>
    <row r="14211" spans="1:8" ht="15.75" customHeight="1" x14ac:dyDescent="0.25">
      <c r="A14211" s="412"/>
      <c r="B14211" s="1127"/>
      <c r="C14211" s="993"/>
      <c r="D14211" s="626"/>
      <c r="E14211" s="626"/>
      <c r="F14211" s="415"/>
      <c r="G14211" s="415"/>
      <c r="H14211" s="416"/>
    </row>
    <row r="14212" spans="1:8" ht="15.75" customHeight="1" x14ac:dyDescent="0.25">
      <c r="A14212" s="877"/>
      <c r="B14212" s="688"/>
      <c r="C14212" s="896" t="s">
        <v>85</v>
      </c>
      <c r="D14212" s="599">
        <f>+D14202+D14200+D14199+D14175+D14174+D14173+D14171+D14170+D14169+D14166+D14164+D14162+D14161+D14160+D14158+D14157+D14156+D14155+D14154</f>
      </c>
      <c r="E14212" s="401"/>
      <c r="F14212" s="599"/>
      <c r="G14212" s="661"/>
      <c r="H14212" s="438">
        <f>+H14204+H14202+H14200+H14199+H14175+H14173+H14171+H14169+H14166+H14164+H14162+H14161+H14160+H14158+H14157+H14156+H14155+H14154</f>
      </c>
    </row>
    <row r="14213" spans="1:8" ht="15.75" customHeight="1" x14ac:dyDescent="0.25">
      <c r="A14213" s="932"/>
      <c r="B14213" s="933"/>
      <c r="C14213" s="934"/>
      <c r="D14213" s="431"/>
      <c r="E14213" s="935"/>
      <c r="F14213" s="935"/>
      <c r="G14213" s="936"/>
      <c r="H14213" s="444"/>
    </row>
    <row r="14214" spans="1:8" ht="15.75" customHeight="1" x14ac:dyDescent="0.25">
      <c r="A14214" s="994"/>
      <c r="B14214" s="391"/>
      <c r="C14214" s="391"/>
      <c r="D14214" s="391"/>
      <c r="E14214" s="390"/>
      <c r="F14214" s="392"/>
      <c r="G14214" s="390"/>
      <c r="H14214" s="394"/>
    </row>
    <row r="14215" spans="1:8" ht="15.75" customHeight="1" x14ac:dyDescent="0.25">
      <c r="A14215" s="445"/>
      <c r="B14215" s="445"/>
      <c r="C14215" s="445"/>
      <c r="D14215" s="446" t="s">
        <v>97</v>
      </c>
      <c r="E14215" s="445" t="s">
        <v>98</v>
      </c>
      <c r="F14215" s="445"/>
      <c r="G14215" s="390"/>
      <c r="H14215" s="394"/>
    </row>
    <row r="14216" spans="1:8" ht="15.75" customHeight="1" x14ac:dyDescent="0.25">
      <c r="A14216" s="445"/>
      <c r="B14216" s="445"/>
      <c r="C14216" s="445"/>
      <c r="D14216" s="446"/>
      <c r="E14216" s="445"/>
      <c r="F14216" s="445"/>
      <c r="G14216" s="390"/>
      <c r="H14216" s="394"/>
    </row>
    <row r="14217" spans="1:8" ht="15.75" customHeight="1" x14ac:dyDescent="0.25">
      <c r="A14217" s="445"/>
      <c r="B14217" s="445"/>
      <c r="C14217" s="445"/>
      <c r="D14217" s="446"/>
      <c r="E14217" s="445" t="s">
        <v>99</v>
      </c>
      <c r="F14217" s="445"/>
      <c r="G14217" s="390"/>
      <c r="H14217" s="394"/>
    </row>
    <row r="14218" spans="1:8" ht="15.75" customHeight="1" x14ac:dyDescent="0.25">
      <c r="D14218" s="4"/>
      <c r="H14218" s="4"/>
    </row>
    <row r="14219" spans="1:8" ht="15.75" customHeight="1" x14ac:dyDescent="0.25">
      <c r="D14219" s="4"/>
      <c r="H14219" s="4"/>
    </row>
    <row r="14220" spans="1:8" ht="15.75" customHeight="1" x14ac:dyDescent="0.25">
      <c r="D14220" s="4"/>
      <c r="H14220" s="4"/>
    </row>
    <row r="14221" spans="1:8" ht="15.75" customHeight="1" x14ac:dyDescent="0.25">
      <c r="D14221" s="4"/>
      <c r="H14221" s="4"/>
    </row>
    <row r="14222" spans="1:8" ht="15.75" customHeight="1" x14ac:dyDescent="0.25">
      <c r="D14222" s="4"/>
      <c r="H14222" s="4"/>
    </row>
    <row r="14223" spans="1:8" ht="15.75" customHeight="1" x14ac:dyDescent="0.25">
      <c r="D14223" s="4"/>
      <c r="H14223" s="4"/>
    </row>
    <row r="14224" spans="1:8" ht="15.75" customHeight="1" x14ac:dyDescent="0.25">
      <c r="D14224" s="4"/>
      <c r="H14224" s="4"/>
    </row>
    <row r="14225" spans="1:8" ht="15.75" customHeight="1" x14ac:dyDescent="0.25">
      <c r="D14225" s="4"/>
      <c r="H14225" s="4"/>
    </row>
    <row r="14226" spans="1:8" ht="15.75" customHeight="1" x14ac:dyDescent="0.25">
      <c r="D14226" s="4"/>
      <c r="H14226" s="4"/>
    </row>
    <row r="14227" spans="1:8" ht="15.75" customHeight="1" x14ac:dyDescent="0.25">
      <c r="D14227" s="4"/>
      <c r="H14227" s="4"/>
    </row>
    <row r="14228" spans="1:8" ht="15.75" customHeight="1" x14ac:dyDescent="0.25">
      <c r="D14228" s="4"/>
      <c r="H14228" s="4"/>
    </row>
    <row r="14229" spans="1:8" ht="15.75" customHeight="1" x14ac:dyDescent="0.25">
      <c r="A14229" s="8" t="s">
        <v>14</v>
      </c>
      <c r="B14229" s="8"/>
      <c r="C14229" s="8"/>
      <c r="D14229" s="8"/>
      <c r="E14229" s="8"/>
      <c r="F14229" s="8"/>
      <c r="G14229" s="8"/>
      <c r="H14229" s="8"/>
    </row>
    <row r="14230" spans="1:8" ht="15.75" customHeight="1" x14ac:dyDescent="0.25">
      <c r="A14230" s="388"/>
      <c r="B14230" s="388"/>
      <c r="C14230" s="388"/>
      <c r="D14230" s="389"/>
      <c r="E14230" s="388"/>
      <c r="F14230" s="388"/>
      <c r="G14230" s="388"/>
      <c r="H14230" s="8"/>
    </row>
    <row r="14231" spans="1:8" ht="15.75" customHeight="1" x14ac:dyDescent="0.25">
      <c r="A14231" s="390"/>
      <c r="B14231" s="390"/>
      <c r="C14231" s="390"/>
      <c r="D14231" s="391"/>
      <c r="E14231" s="390"/>
      <c r="F14231" s="395" t="s">
        <v>18</v>
      </c>
      <c r="G14231" s="396" t="s">
        <v>1160</v>
      </c>
      <c r="H14231" s="397"/>
    </row>
    <row r="14232" spans="1:8" ht="15.75" customHeight="1" x14ac:dyDescent="0.25">
      <c r="A14232" s="390" t="s">
        <v>20</v>
      </c>
      <c r="B14232" s="390"/>
      <c r="C14232" s="390"/>
      <c r="D14232" s="391"/>
      <c r="E14232" s="390"/>
      <c r="F14232" s="395" t="s">
        <v>21</v>
      </c>
      <c r="G14232" s="390" t="s">
        <v>1475</v>
      </c>
      <c r="H14232" s="391"/>
    </row>
    <row r="14233" spans="1:8" ht="15.75" customHeight="1" x14ac:dyDescent="0.25">
      <c r="A14233" s="390" t="inlineStr">
        <is>
          <t>Dealer-009</t>
        </is>
      </c>
      <c r="B14233" s="390"/>
      <c r="C14233" s="390" t="inlineStr">
        <is>
          <t>ATTN: Contact-001</t>
        </is>
      </c>
      <c r="D14233" s="398"/>
      <c r="E14233" s="390"/>
      <c r="F14233" s="391"/>
      <c r="G14233" s="390"/>
      <c r="H14233" s="394"/>
    </row>
    <row r="14234" spans="1:8" ht="15.75" customHeight="1" x14ac:dyDescent="0.25">
      <c r="A14234" s="390" t="inlineStr">
        <is>
          <t>Address line (redacted)</t>
        </is>
      </c>
      <c r="B14234" s="390"/>
      <c r="C14234" s="390"/>
      <c r="D14234" s="398"/>
      <c r="E14234" s="390"/>
      <c r="F14234" s="391"/>
      <c r="G14234" s="390"/>
      <c r="H14234" s="394"/>
    </row>
    <row r="14235" spans="1:8" ht="15.75" customHeight="1" x14ac:dyDescent="0.25">
      <c r="A14235" s="390" t="inlineStr">
        <is>
          <t>Address line (redacted)</t>
        </is>
      </c>
      <c r="B14235" s="390"/>
      <c r="C14235" s="390"/>
      <c r="D14235" s="391"/>
      <c r="E14235" s="390"/>
      <c r="F14235" s="391"/>
      <c r="G14235" s="390"/>
      <c r="H14235" s="394"/>
    </row>
    <row r="14236" spans="1:8" ht="15.75" customHeight="1" x14ac:dyDescent="0.25">
      <c r="A14236" s="390"/>
      <c r="B14236" s="390"/>
      <c r="C14236" s="390"/>
      <c r="D14236" s="391"/>
      <c r="E14236" s="390"/>
      <c r="F14236" s="391"/>
      <c r="G14236" s="390"/>
      <c r="H14236" s="394"/>
    </row>
    <row r="14237" spans="1:8" ht="15.75" customHeight="1" x14ac:dyDescent="0.25">
      <c r="A14237" s="390" t="s">
        <v>30</v>
      </c>
      <c r="B14237" s="390"/>
      <c r="C14237" s="390"/>
      <c r="D14237" s="391"/>
      <c r="E14237" s="390"/>
      <c r="F14237" s="391"/>
      <c r="G14237" s="390"/>
      <c r="H14237" s="394"/>
    </row>
    <row r="14238" spans="1:8" ht="15.75" customHeight="1" x14ac:dyDescent="0.25">
      <c r="A14238" s="390" t="s">
        <v>716</v>
      </c>
      <c r="B14238" s="390"/>
      <c r="C14238" s="390"/>
      <c r="D14238" s="391"/>
      <c r="E14238" s="390"/>
      <c r="F14238" s="391"/>
      <c r="G14238" s="390"/>
      <c r="H14238" s="394"/>
    </row>
    <row r="14239" spans="1:8" ht="15.75" customHeight="1" x14ac:dyDescent="0.25">
      <c r="A14239" s="390" t="s">
        <v>717</v>
      </c>
      <c r="B14239" s="390"/>
      <c r="C14239" s="390"/>
      <c r="D14239" s="391"/>
      <c r="E14239" s="390"/>
      <c r="F14239" s="391"/>
      <c r="G14239" s="390"/>
      <c r="H14239" s="394"/>
    </row>
    <row r="14240" spans="1:8" ht="15.75" customHeight="1" x14ac:dyDescent="0.25">
      <c r="A14240" s="390"/>
      <c r="B14240" s="390"/>
      <c r="C14240" s="390"/>
      <c r="D14240" s="391"/>
      <c r="E14240" s="390"/>
      <c r="F14240" s="391"/>
      <c r="G14240" s="390"/>
      <c r="H14240" s="394"/>
    </row>
    <row r="14241" spans="1:8" ht="15.75" customHeight="1" x14ac:dyDescent="0.25">
      <c r="A14241" s="948" t="s">
        <v>33</v>
      </c>
      <c r="B14241" s="872" t="s">
        <v>6</v>
      </c>
      <c r="C14241" s="872"/>
      <c r="D14241" s="874" t="s">
        <v>37</v>
      </c>
      <c r="E14241" s="874" t="s">
        <v>38</v>
      </c>
      <c r="F14241" s="875" t="s">
        <v>7</v>
      </c>
      <c r="G14241" s="872" t="s">
        <v>43</v>
      </c>
      <c r="H14241" s="876" t="s">
        <v>44</v>
      </c>
    </row>
    <row r="14242" spans="1:8" ht="15.75" customHeight="1" x14ac:dyDescent="0.3">
      <c r="A14242" s="412"/>
      <c r="B14242" s="1033"/>
      <c r="C14242" s="1033"/>
      <c r="D14242" s="879"/>
      <c r="E14242" s="879"/>
      <c r="F14242" s="415"/>
      <c r="G14242" s="415"/>
      <c r="H14242" s="416"/>
    </row>
    <row r="14243" spans="1:8" ht="15.75" customHeight="1" x14ac:dyDescent="0.25">
      <c r="A14243" s="412"/>
      <c r="B14243" s="953" t="s">
        <v>1239</v>
      </c>
      <c r="C14243" s="953"/>
      <c r="D14243" s="415"/>
      <c r="E14243" s="415"/>
      <c r="F14243" s="415"/>
      <c r="G14243" s="415"/>
      <c r="H14243" s="416"/>
    </row>
    <row r="14244" spans="1:8" ht="15.75" customHeight="1" x14ac:dyDescent="0.25">
      <c r="A14244" s="412">
        <v>1</v>
      </c>
      <c r="B14244" s="1094" t="s">
        <v>56</v>
      </c>
      <c r="C14244" s="1095" t="s">
        <v>57</v>
      </c>
      <c r="D14244" s="588">
        <v>8</v>
      </c>
      <c r="E14244" s="588">
        <v>25</v>
      </c>
      <c r="F14244" s="415">
        <f t="shared" ref="F14244:F14250" si="571">+E14244*D14244</f>
      </c>
      <c r="G14244" s="415">
        <v>1</v>
      </c>
      <c r="H14244" s="416">
        <f t="shared" ref="H14244:H14250" si="572">+G14244*F14244</f>
      </c>
    </row>
    <row r="14245" spans="1:8" ht="15.75" customHeight="1" x14ac:dyDescent="0.25">
      <c r="A14245" s="412">
        <v>2</v>
      </c>
      <c r="B14245" s="1094" t="s">
        <v>1477</v>
      </c>
      <c r="C14245" s="1095" t="s">
        <v>61</v>
      </c>
      <c r="D14245" s="415">
        <v>8</v>
      </c>
      <c r="E14245" s="415">
        <v>25</v>
      </c>
      <c r="F14245" s="415">
        <f t="shared" si="571"/>
      </c>
      <c r="G14245" s="415">
        <v>1</v>
      </c>
      <c r="H14245" s="416">
        <f t="shared" si="572"/>
      </c>
    </row>
    <row r="14246" spans="1:8" ht="15.75" customHeight="1" x14ac:dyDescent="0.25">
      <c r="A14246" s="412">
        <v>3</v>
      </c>
      <c r="B14246" s="1094" t="s">
        <v>68</v>
      </c>
      <c r="C14246" s="1095" t="s">
        <v>69</v>
      </c>
      <c r="D14246" s="415">
        <f>250/25</f>
      </c>
      <c r="E14246" s="415">
        <v>25</v>
      </c>
      <c r="F14246" s="415">
        <f t="shared" si="571"/>
      </c>
      <c r="G14246" s="415">
        <v>1</v>
      </c>
      <c r="H14246" s="416">
        <f t="shared" si="572"/>
      </c>
    </row>
    <row r="14247" spans="1:8" ht="15.75" customHeight="1" x14ac:dyDescent="0.25">
      <c r="A14247" s="412">
        <v>4</v>
      </c>
      <c r="B14247" s="1094" t="s">
        <v>2152</v>
      </c>
      <c r="C14247" s="1095" t="s">
        <v>109</v>
      </c>
      <c r="D14247" s="415">
        <f>300/25</f>
      </c>
      <c r="E14247" s="415">
        <v>25</v>
      </c>
      <c r="F14247" s="415">
        <f t="shared" si="571"/>
      </c>
      <c r="G14247" s="415">
        <v>1</v>
      </c>
      <c r="H14247" s="416">
        <f t="shared" si="572"/>
      </c>
    </row>
    <row r="14248" spans="1:8" ht="15.75" customHeight="1" x14ac:dyDescent="0.25">
      <c r="A14248" s="412">
        <v>5</v>
      </c>
      <c r="B14248" s="1094" t="s">
        <v>2153</v>
      </c>
      <c r="C14248" s="1095" t="s">
        <v>425</v>
      </c>
      <c r="D14248" s="415">
        <v>4</v>
      </c>
      <c r="E14248" s="415">
        <v>25</v>
      </c>
      <c r="F14248" s="415">
        <f t="shared" si="571"/>
      </c>
      <c r="G14248" s="415">
        <v>1</v>
      </c>
      <c r="H14248" s="416">
        <f t="shared" si="572"/>
      </c>
    </row>
    <row r="14249" spans="1:8" ht="15.75" customHeight="1" x14ac:dyDescent="0.25">
      <c r="A14249" s="412">
        <v>6</v>
      </c>
      <c r="B14249" s="1094" t="s">
        <v>1131</v>
      </c>
      <c r="C14249" s="1095" t="s">
        <v>426</v>
      </c>
      <c r="D14249" s="415">
        <v>2</v>
      </c>
      <c r="E14249" s="415">
        <v>25</v>
      </c>
      <c r="F14249" s="415">
        <f t="shared" si="571"/>
      </c>
      <c r="G14249" s="415">
        <v>1</v>
      </c>
      <c r="H14249" s="416">
        <f t="shared" si="572"/>
      </c>
    </row>
    <row r="14250" spans="1:8" ht="15.75" customHeight="1" x14ac:dyDescent="0.25">
      <c r="A14250" s="412">
        <v>7</v>
      </c>
      <c r="B14250" s="1094" t="s">
        <v>138</v>
      </c>
      <c r="C14250" s="1095" t="s">
        <v>431</v>
      </c>
      <c r="D14250" s="415">
        <v>1</v>
      </c>
      <c r="E14250" s="415">
        <v>25</v>
      </c>
      <c r="F14250" s="415">
        <f t="shared" si="571"/>
      </c>
      <c r="G14250" s="415">
        <v>1</v>
      </c>
      <c r="H14250" s="416">
        <f t="shared" si="572"/>
      </c>
    </row>
    <row r="14251" spans="1:8" ht="15.75" customHeight="1" x14ac:dyDescent="0.25">
      <c r="A14251" s="412">
        <v>8</v>
      </c>
      <c r="B14251" s="1094" t="s">
        <v>687</v>
      </c>
      <c r="C14251" s="1095"/>
      <c r="D14251" s="415"/>
      <c r="E14251" s="415"/>
      <c r="F14251" s="415"/>
      <c r="G14251" s="415"/>
      <c r="H14251" s="416"/>
    </row>
    <row r="14252" spans="1:8" ht="15.75" customHeight="1" x14ac:dyDescent="0.25">
      <c r="A14252" s="412"/>
      <c r="B14252" s="953" t="s">
        <v>590</v>
      </c>
      <c r="C14252" s="953"/>
      <c r="D14252" s="981"/>
      <c r="E14252" s="981"/>
      <c r="F14252" s="415"/>
      <c r="G14252" s="415"/>
      <c r="H14252" s="416"/>
    </row>
    <row r="14253" spans="1:8" ht="15.75" customHeight="1" x14ac:dyDescent="0.25">
      <c r="A14253" s="412">
        <v>9</v>
      </c>
      <c r="B14253" s="1116" t="s">
        <v>187</v>
      </c>
      <c r="C14253" s="1117" t="s">
        <v>187</v>
      </c>
      <c r="D14253" s="929">
        <v>6</v>
      </c>
      <c r="E14253" s="929">
        <v>8</v>
      </c>
      <c r="F14253" s="415">
        <v>46</v>
      </c>
      <c r="G14253" s="415">
        <v>1</v>
      </c>
      <c r="H14253" s="416">
        <f>+G14253*F14253</f>
      </c>
    </row>
    <row r="14254" spans="1:8" ht="15.75" customHeight="1" x14ac:dyDescent="0.25">
      <c r="A14254" s="412">
        <v>10</v>
      </c>
      <c r="B14254" s="1116" t="s">
        <v>187</v>
      </c>
      <c r="C14254" s="1117" t="s">
        <v>187</v>
      </c>
      <c r="D14254" s="930"/>
      <c r="E14254" s="930"/>
      <c r="F14254" s="415">
        <v>2</v>
      </c>
      <c r="G14254" s="619" t="s">
        <v>1856</v>
      </c>
      <c r="H14254" s="416"/>
    </row>
    <row r="14255" spans="1:8" ht="15.75" customHeight="1" x14ac:dyDescent="0.25">
      <c r="A14255" s="412">
        <v>11</v>
      </c>
      <c r="B14255" s="1116" t="s">
        <v>56</v>
      </c>
      <c r="C14255" s="1117" t="s">
        <v>368</v>
      </c>
      <c r="D14255" s="981">
        <v>4</v>
      </c>
      <c r="E14255" s="981">
        <v>6</v>
      </c>
      <c r="F14255" s="415">
        <v>23</v>
      </c>
      <c r="G14255" s="415">
        <v>1</v>
      </c>
      <c r="H14255" s="416">
        <f>+G14255*F14255</f>
      </c>
    </row>
    <row r="14256" spans="1:8" ht="15.75" customHeight="1" x14ac:dyDescent="0.25">
      <c r="A14256" s="412">
        <v>12</v>
      </c>
      <c r="B14256" s="1116" t="s">
        <v>56</v>
      </c>
      <c r="C14256" s="1117" t="s">
        <v>368</v>
      </c>
      <c r="D14256" s="981"/>
      <c r="E14256" s="981"/>
      <c r="F14256" s="415">
        <v>1</v>
      </c>
      <c r="G14256" s="619" t="s">
        <v>1856</v>
      </c>
      <c r="H14256" s="416"/>
    </row>
    <row r="14257" spans="1:8" ht="15.75" customHeight="1" x14ac:dyDescent="0.25">
      <c r="A14257" s="412">
        <v>13</v>
      </c>
      <c r="B14257" s="1116" t="s">
        <v>1477</v>
      </c>
      <c r="C14257" s="1117" t="s">
        <v>593</v>
      </c>
      <c r="D14257" s="415">
        <v>2</v>
      </c>
      <c r="E14257" s="415">
        <v>6</v>
      </c>
      <c r="F14257" s="415">
        <f t="shared" ref="F14257:F14259" si="573">+E14257*D14257</f>
      </c>
      <c r="G14257" s="415">
        <v>1</v>
      </c>
      <c r="H14257" s="416">
        <f t="shared" ref="H14257:H14260" si="574">+G14257*F14257</f>
      </c>
    </row>
    <row r="14258" spans="1:8" ht="15.75" customHeight="1" x14ac:dyDescent="0.25">
      <c r="A14258" s="412">
        <v>14</v>
      </c>
      <c r="B14258" s="1116" t="s">
        <v>1298</v>
      </c>
      <c r="C14258" s="1117" t="s">
        <v>393</v>
      </c>
      <c r="D14258" s="981">
        <v>1</v>
      </c>
      <c r="E14258" s="981">
        <v>6</v>
      </c>
      <c r="F14258" s="415">
        <f t="shared" si="573"/>
      </c>
      <c r="G14258" s="415">
        <v>1</v>
      </c>
      <c r="H14258" s="416">
        <f t="shared" si="574"/>
      </c>
    </row>
    <row r="14259" spans="1:8" ht="15.75" customHeight="1" x14ac:dyDescent="0.25">
      <c r="A14259" s="412">
        <v>15</v>
      </c>
      <c r="B14259" s="1116" t="s">
        <v>146</v>
      </c>
      <c r="C14259" s="1117" t="s">
        <v>380</v>
      </c>
      <c r="D14259" s="981">
        <v>2</v>
      </c>
      <c r="E14259" s="981">
        <v>6</v>
      </c>
      <c r="F14259" s="415">
        <f t="shared" si="573"/>
      </c>
      <c r="G14259" s="415">
        <v>1</v>
      </c>
      <c r="H14259" s="416">
        <f t="shared" si="574"/>
      </c>
    </row>
    <row r="14260" spans="1:8" ht="15.75" customHeight="1" x14ac:dyDescent="0.25">
      <c r="A14260" s="412">
        <v>16</v>
      </c>
      <c r="B14260" s="1116" t="s">
        <v>15</v>
      </c>
      <c r="C14260" s="1117" t="s">
        <v>388</v>
      </c>
      <c r="D14260" s="929">
        <v>4</v>
      </c>
      <c r="E14260" s="981">
        <v>6</v>
      </c>
      <c r="F14260" s="415">
        <v>23</v>
      </c>
      <c r="G14260" s="415">
        <v>1</v>
      </c>
      <c r="H14260" s="416">
        <f t="shared" si="574"/>
      </c>
    </row>
    <row r="14261" spans="1:8" ht="15.75" customHeight="1" x14ac:dyDescent="0.25">
      <c r="A14261" s="412">
        <v>17</v>
      </c>
      <c r="B14261" s="1116" t="s">
        <v>15</v>
      </c>
      <c r="C14261" s="1117" t="s">
        <v>388</v>
      </c>
      <c r="D14261" s="930"/>
      <c r="E14261" s="981"/>
      <c r="F14261" s="415">
        <v>1</v>
      </c>
      <c r="G14261" s="619" t="s">
        <v>1856</v>
      </c>
      <c r="H14261" s="416"/>
    </row>
    <row r="14262" spans="1:8" ht="15.75" customHeight="1" x14ac:dyDescent="0.25">
      <c r="A14262" s="412">
        <v>18</v>
      </c>
      <c r="B14262" s="1116" t="s">
        <v>105</v>
      </c>
      <c r="C14262" s="1117" t="s">
        <v>2154</v>
      </c>
      <c r="D14262" s="981">
        <v>1</v>
      </c>
      <c r="E14262" s="981">
        <v>6</v>
      </c>
      <c r="F14262" s="415">
        <f t="shared" ref="F14262:F14263" si="575">+E14262*D14262</f>
      </c>
      <c r="G14262" s="415">
        <v>1</v>
      </c>
      <c r="H14262" s="416">
        <f t="shared" ref="H14262:H14264" si="576">+G14262*F14262</f>
      </c>
    </row>
    <row r="14263" spans="1:8" ht="15.75" customHeight="1" x14ac:dyDescent="0.25">
      <c r="A14263" s="412">
        <v>19</v>
      </c>
      <c r="B14263" s="1118" t="s">
        <v>127</v>
      </c>
      <c r="C14263" s="993" t="s">
        <v>398</v>
      </c>
      <c r="D14263" s="981">
        <v>2</v>
      </c>
      <c r="E14263" s="981">
        <v>6</v>
      </c>
      <c r="F14263" s="415">
        <f t="shared" si="575"/>
      </c>
      <c r="G14263" s="415">
        <v>1</v>
      </c>
      <c r="H14263" s="416">
        <f t="shared" si="576"/>
      </c>
    </row>
    <row r="14264" spans="1:8" ht="15.75" customHeight="1" x14ac:dyDescent="0.25">
      <c r="A14264" s="412">
        <v>20</v>
      </c>
      <c r="B14264" s="1118" t="s">
        <v>287</v>
      </c>
      <c r="C14264" s="993" t="s">
        <v>400</v>
      </c>
      <c r="D14264" s="981">
        <v>4</v>
      </c>
      <c r="E14264" s="981">
        <v>6</v>
      </c>
      <c r="F14264" s="415">
        <v>23</v>
      </c>
      <c r="G14264" s="415">
        <v>1</v>
      </c>
      <c r="H14264" s="416">
        <f t="shared" si="576"/>
      </c>
    </row>
    <row r="14265" spans="1:8" ht="15.75" customHeight="1" x14ac:dyDescent="0.25">
      <c r="A14265" s="412">
        <v>21</v>
      </c>
      <c r="B14265" s="1118" t="s">
        <v>287</v>
      </c>
      <c r="C14265" s="993" t="s">
        <v>400</v>
      </c>
      <c r="D14265" s="981"/>
      <c r="E14265" s="981"/>
      <c r="F14265" s="415">
        <v>1</v>
      </c>
      <c r="G14265" s="619" t="s">
        <v>1856</v>
      </c>
      <c r="H14265" s="416"/>
    </row>
    <row r="14266" spans="1:8" ht="15.75" customHeight="1" x14ac:dyDescent="0.25">
      <c r="A14266" s="412">
        <v>22</v>
      </c>
      <c r="B14266" s="1118" t="s">
        <v>80</v>
      </c>
      <c r="C14266" s="993" t="s">
        <v>386</v>
      </c>
      <c r="D14266" s="981">
        <v>2</v>
      </c>
      <c r="E14266" s="981">
        <v>5</v>
      </c>
      <c r="F14266" s="415">
        <f t="shared" ref="F14266:F14267" si="577">+E14266*D14266</f>
      </c>
      <c r="G14266" s="415">
        <v>1</v>
      </c>
      <c r="H14266" s="416">
        <f t="shared" ref="H14266:H14268" si="578">+G14266*F14266</f>
      </c>
    </row>
    <row r="14267" spans="1:8" ht="15.75" customHeight="1" x14ac:dyDescent="0.25">
      <c r="A14267" s="412">
        <v>23</v>
      </c>
      <c r="B14267" s="1118" t="s">
        <v>123</v>
      </c>
      <c r="C14267" s="993" t="s">
        <v>401</v>
      </c>
      <c r="D14267" s="981">
        <v>3</v>
      </c>
      <c r="E14267" s="981">
        <v>6</v>
      </c>
      <c r="F14267" s="415">
        <f t="shared" si="577"/>
      </c>
      <c r="G14267" s="415">
        <v>1</v>
      </c>
      <c r="H14267" s="416">
        <f t="shared" si="578"/>
      </c>
    </row>
    <row r="14268" spans="1:8" ht="15.75" customHeight="1" x14ac:dyDescent="0.25">
      <c r="A14268" s="412">
        <v>24</v>
      </c>
      <c r="B14268" s="1118" t="s">
        <v>1578</v>
      </c>
      <c r="C14268" s="993" t="s">
        <v>402</v>
      </c>
      <c r="D14268" s="929">
        <v>4</v>
      </c>
      <c r="E14268" s="981">
        <v>6</v>
      </c>
      <c r="F14268" s="415">
        <v>23</v>
      </c>
      <c r="G14268" s="415">
        <v>1</v>
      </c>
      <c r="H14268" s="416">
        <f t="shared" si="578"/>
      </c>
    </row>
    <row r="14269" spans="1:8" ht="15.75" customHeight="1" x14ac:dyDescent="0.25">
      <c r="A14269" s="412">
        <v>25</v>
      </c>
      <c r="B14269" s="1118" t="s">
        <v>1578</v>
      </c>
      <c r="C14269" s="993" t="s">
        <v>402</v>
      </c>
      <c r="D14269" s="930"/>
      <c r="E14269" s="981"/>
      <c r="F14269" s="415">
        <v>1</v>
      </c>
      <c r="G14269" s="619" t="s">
        <v>1856</v>
      </c>
      <c r="H14269" s="416"/>
    </row>
    <row r="14270" spans="1:8" ht="15.75" customHeight="1" x14ac:dyDescent="0.25">
      <c r="A14270" s="412">
        <v>26</v>
      </c>
      <c r="B14270" s="1118" t="s">
        <v>1718</v>
      </c>
      <c r="C14270" s="993" t="s">
        <v>379</v>
      </c>
      <c r="D14270" s="930">
        <v>1</v>
      </c>
      <c r="E14270" s="981">
        <v>6</v>
      </c>
      <c r="F14270" s="415">
        <f t="shared" ref="F14270:F14271" si="579">+E14270*D14270</f>
      </c>
      <c r="G14270" s="415">
        <v>1</v>
      </c>
      <c r="H14270" s="416">
        <f t="shared" ref="H14270:H14271" si="580">+G14270*F14270</f>
      </c>
    </row>
    <row r="14271" spans="1:8" ht="15.75" customHeight="1" x14ac:dyDescent="0.25">
      <c r="A14271" s="412">
        <v>27</v>
      </c>
      <c r="B14271" s="1118" t="s">
        <v>1737</v>
      </c>
      <c r="C14271" s="993" t="s">
        <v>371</v>
      </c>
      <c r="D14271" s="930">
        <v>2</v>
      </c>
      <c r="E14271" s="981">
        <v>6</v>
      </c>
      <c r="F14271" s="415">
        <f t="shared" si="579"/>
      </c>
      <c r="G14271" s="415">
        <v>1</v>
      </c>
      <c r="H14271" s="416">
        <f t="shared" si="580"/>
      </c>
    </row>
    <row r="14272" spans="1:8" ht="15.75" customHeight="1" x14ac:dyDescent="0.25">
      <c r="A14272" s="412"/>
      <c r="B14272" s="1118"/>
      <c r="C14272" s="883" t="s">
        <v>2358</v>
      </c>
      <c r="D14272" s="981"/>
      <c r="E14272" s="981"/>
      <c r="F14272" s="415"/>
      <c r="G14272" s="415"/>
      <c r="H14272" s="416"/>
    </row>
    <row r="14273" spans="1:8" ht="15.75" customHeight="1" x14ac:dyDescent="0.25">
      <c r="A14273" s="880"/>
      <c r="B14273" s="1119"/>
      <c r="C14273" s="1120"/>
      <c r="D14273" s="1121"/>
      <c r="E14273" s="1121"/>
      <c r="F14273" s="892"/>
      <c r="G14273" s="892"/>
      <c r="H14273" s="893"/>
    </row>
    <row r="14274" spans="1:8" ht="15.75" customHeight="1" x14ac:dyDescent="0.25">
      <c r="A14274" s="451"/>
      <c r="B14274" s="1123"/>
      <c r="C14274" s="1092"/>
      <c r="D14274" s="638"/>
      <c r="E14274" s="638"/>
      <c r="F14274" s="391"/>
      <c r="G14274" s="391"/>
      <c r="H14274" s="394"/>
    </row>
    <row r="14275" spans="1:8" ht="15.75" customHeight="1" x14ac:dyDescent="0.25">
      <c r="A14275" s="8" t="s">
        <v>14</v>
      </c>
      <c r="B14275" s="8"/>
      <c r="C14275" s="8"/>
      <c r="D14275" s="8"/>
      <c r="E14275" s="8"/>
      <c r="F14275" s="8"/>
      <c r="G14275" s="8"/>
      <c r="H14275" s="8"/>
    </row>
    <row r="14276" spans="1:8" ht="15.75" customHeight="1" x14ac:dyDescent="0.25">
      <c r="A14276" s="388"/>
      <c r="B14276" s="388"/>
      <c r="C14276" s="388"/>
      <c r="D14276" s="389"/>
      <c r="E14276" s="388"/>
      <c r="F14276" s="388"/>
      <c r="G14276" s="388"/>
      <c r="H14276" s="8"/>
    </row>
    <row r="14277" spans="1:8" ht="15.75" customHeight="1" x14ac:dyDescent="0.25">
      <c r="A14277" s="390"/>
      <c r="B14277" s="390"/>
      <c r="C14277" s="390"/>
      <c r="D14277" s="391"/>
      <c r="E14277" s="390"/>
      <c r="F14277" s="395" t="s">
        <v>18</v>
      </c>
      <c r="G14277" s="396" t="s">
        <v>1160</v>
      </c>
      <c r="H14277" s="397"/>
    </row>
    <row r="14278" spans="1:8" ht="15.75" customHeight="1" x14ac:dyDescent="0.25">
      <c r="A14278" s="390" t="s">
        <v>20</v>
      </c>
      <c r="B14278" s="390"/>
      <c r="C14278" s="390"/>
      <c r="D14278" s="391"/>
      <c r="E14278" s="390"/>
      <c r="F14278" s="395" t="s">
        <v>21</v>
      </c>
      <c r="G14278" s="390" t="s">
        <v>1475</v>
      </c>
      <c r="H14278" s="391"/>
    </row>
    <row r="14279" spans="1:8" ht="15.75" customHeight="1" x14ac:dyDescent="0.25">
      <c r="A14279" s="390" t="inlineStr">
        <is>
          <t>Dealer-009</t>
        </is>
      </c>
      <c r="B14279" s="390"/>
      <c r="C14279" s="390" t="inlineStr">
        <is>
          <t>ATTN: Contact-001</t>
        </is>
      </c>
      <c r="D14279" s="398"/>
      <c r="E14279" s="390"/>
      <c r="F14279" s="391"/>
      <c r="G14279" s="390"/>
      <c r="H14279" s="394"/>
    </row>
    <row r="14280" spans="1:8" ht="15.75" customHeight="1" x14ac:dyDescent="0.25">
      <c r="A14280" s="390" t="inlineStr">
        <is>
          <t>Address line (redacted)</t>
        </is>
      </c>
      <c r="B14280" s="390"/>
      <c r="C14280" s="390"/>
      <c r="D14280" s="398"/>
      <c r="E14280" s="883" t="s">
        <v>1287</v>
      </c>
      <c r="F14280" s="391"/>
      <c r="G14280" s="390"/>
      <c r="H14280" s="394"/>
    </row>
    <row r="14281" spans="1:8" ht="15.75" customHeight="1" x14ac:dyDescent="0.25">
      <c r="A14281" s="390" t="inlineStr">
        <is>
          <t>Address line (redacted)</t>
        </is>
      </c>
      <c r="B14281" s="390"/>
      <c r="C14281" s="390"/>
      <c r="D14281" s="391"/>
      <c r="E14281" s="390"/>
      <c r="F14281" s="391"/>
      <c r="G14281" s="390"/>
      <c r="H14281" s="394"/>
    </row>
    <row r="14282" spans="1:8" ht="15.75" customHeight="1" x14ac:dyDescent="0.25">
      <c r="A14282" s="390"/>
      <c r="B14282" s="390"/>
      <c r="C14282" s="390"/>
      <c r="D14282" s="391"/>
      <c r="E14282" s="390"/>
      <c r="F14282" s="391"/>
      <c r="G14282" s="390"/>
      <c r="H14282" s="394"/>
    </row>
    <row r="14283" spans="1:8" ht="15.75" customHeight="1" x14ac:dyDescent="0.25">
      <c r="A14283" s="390" t="s">
        <v>30</v>
      </c>
      <c r="B14283" s="390"/>
      <c r="C14283" s="390"/>
      <c r="D14283" s="391"/>
      <c r="E14283" s="390"/>
      <c r="F14283" s="391"/>
      <c r="G14283" s="390"/>
      <c r="H14283" s="394"/>
    </row>
    <row r="14284" spans="1:8" ht="15.75" customHeight="1" x14ac:dyDescent="0.25">
      <c r="A14284" s="390" t="s">
        <v>716</v>
      </c>
      <c r="B14284" s="390"/>
      <c r="C14284" s="390"/>
      <c r="D14284" s="391"/>
      <c r="E14284" s="390"/>
      <c r="F14284" s="391"/>
      <c r="G14284" s="390"/>
      <c r="H14284" s="394"/>
    </row>
    <row r="14285" spans="1:8" ht="15.75" customHeight="1" x14ac:dyDescent="0.25">
      <c r="A14285" s="390" t="s">
        <v>717</v>
      </c>
      <c r="B14285" s="390"/>
      <c r="C14285" s="390"/>
      <c r="D14285" s="391"/>
      <c r="E14285" s="390"/>
      <c r="F14285" s="391"/>
      <c r="G14285" s="390"/>
      <c r="H14285" s="394"/>
    </row>
    <row r="14286" spans="1:8" ht="15.75" customHeight="1" x14ac:dyDescent="0.25">
      <c r="A14286" s="390"/>
      <c r="B14286" s="390"/>
      <c r="C14286" s="390"/>
      <c r="D14286" s="391"/>
      <c r="E14286" s="390"/>
      <c r="F14286" s="391"/>
      <c r="G14286" s="390"/>
      <c r="H14286" s="394"/>
    </row>
    <row r="14287" spans="1:8" ht="15.75" customHeight="1" x14ac:dyDescent="0.25">
      <c r="A14287" s="948" t="s">
        <v>33</v>
      </c>
      <c r="B14287" s="872" t="s">
        <v>6</v>
      </c>
      <c r="C14287" s="872"/>
      <c r="D14287" s="874" t="s">
        <v>37</v>
      </c>
      <c r="E14287" s="874" t="s">
        <v>38</v>
      </c>
      <c r="F14287" s="875" t="s">
        <v>7</v>
      </c>
      <c r="G14287" s="872" t="s">
        <v>43</v>
      </c>
      <c r="H14287" s="876" t="s">
        <v>44</v>
      </c>
    </row>
    <row r="14288" spans="1:8" ht="15.75" customHeight="1" x14ac:dyDescent="0.25">
      <c r="A14288" s="412"/>
      <c r="B14288" s="1118"/>
      <c r="C14288" s="993"/>
      <c r="D14288" s="981"/>
      <c r="E14288" s="981"/>
      <c r="F14288" s="415"/>
      <c r="G14288" s="415"/>
      <c r="H14288" s="416"/>
    </row>
    <row r="14289" spans="1:8" ht="15.75" customHeight="1" x14ac:dyDescent="0.25">
      <c r="A14289" s="412"/>
      <c r="B14289" s="953" t="s">
        <v>590</v>
      </c>
      <c r="C14289" s="953"/>
      <c r="D14289" s="981"/>
      <c r="E14289" s="981"/>
      <c r="F14289" s="415"/>
      <c r="G14289" s="415"/>
      <c r="H14289" s="416"/>
    </row>
    <row r="14290" spans="1:8" ht="15.75" customHeight="1" x14ac:dyDescent="0.25">
      <c r="A14290" s="412">
        <v>28</v>
      </c>
      <c r="B14290" s="1118" t="s">
        <v>136</v>
      </c>
      <c r="C14290" s="993" t="s">
        <v>387</v>
      </c>
      <c r="D14290" s="929">
        <v>4</v>
      </c>
      <c r="E14290" s="981">
        <v>6</v>
      </c>
      <c r="F14290" s="415">
        <v>23</v>
      </c>
      <c r="G14290" s="415">
        <v>1</v>
      </c>
      <c r="H14290" s="416">
        <f>+G14290*F14290</f>
      </c>
    </row>
    <row r="14291" spans="1:8" ht="15.75" customHeight="1" x14ac:dyDescent="0.25">
      <c r="A14291" s="412">
        <v>29</v>
      </c>
      <c r="B14291" s="1118" t="s">
        <v>136</v>
      </c>
      <c r="C14291" s="993" t="s">
        <v>387</v>
      </c>
      <c r="D14291" s="930"/>
      <c r="E14291" s="981"/>
      <c r="F14291" s="415">
        <v>1</v>
      </c>
      <c r="G14291" s="619" t="s">
        <v>1856</v>
      </c>
      <c r="H14291" s="416"/>
    </row>
    <row r="14292" spans="1:8" ht="15.75" customHeight="1" x14ac:dyDescent="0.25">
      <c r="A14292" s="412">
        <v>30</v>
      </c>
      <c r="B14292" s="1118" t="s">
        <v>143</v>
      </c>
      <c r="C14292" s="993" t="s">
        <v>374</v>
      </c>
      <c r="D14292" s="930">
        <v>1</v>
      </c>
      <c r="E14292" s="981">
        <v>6</v>
      </c>
      <c r="F14292" s="415">
        <f t="shared" ref="F14292:F14296" si="581">+E14292*D14292</f>
      </c>
      <c r="G14292" s="415">
        <v>1</v>
      </c>
      <c r="H14292" s="416">
        <f t="shared" ref="H14292:H14296" si="582">+G14292*F14292</f>
      </c>
    </row>
    <row r="14293" spans="1:8" ht="15.75" customHeight="1" x14ac:dyDescent="0.25">
      <c r="A14293" s="412">
        <v>31</v>
      </c>
      <c r="B14293" s="1118" t="s">
        <v>81</v>
      </c>
      <c r="C14293" s="993" t="s">
        <v>396</v>
      </c>
      <c r="D14293" s="930">
        <v>2</v>
      </c>
      <c r="E14293" s="981">
        <v>6</v>
      </c>
      <c r="F14293" s="415">
        <f t="shared" si="581"/>
      </c>
      <c r="G14293" s="415">
        <v>1</v>
      </c>
      <c r="H14293" s="416">
        <f t="shared" si="582"/>
      </c>
    </row>
    <row r="14294" spans="1:8" ht="15.75" customHeight="1" x14ac:dyDescent="0.25">
      <c r="A14294" s="412">
        <v>32</v>
      </c>
      <c r="B14294" s="1118" t="s">
        <v>145</v>
      </c>
      <c r="C14294" s="993" t="s">
        <v>381</v>
      </c>
      <c r="D14294" s="930">
        <v>1</v>
      </c>
      <c r="E14294" s="981">
        <v>6</v>
      </c>
      <c r="F14294" s="415">
        <f t="shared" si="581"/>
      </c>
      <c r="G14294" s="415">
        <v>1</v>
      </c>
      <c r="H14294" s="416">
        <f t="shared" si="582"/>
      </c>
    </row>
    <row r="14295" spans="1:8" ht="15.75" customHeight="1" x14ac:dyDescent="0.25">
      <c r="A14295" s="412">
        <v>33</v>
      </c>
      <c r="B14295" s="1118" t="s">
        <v>301</v>
      </c>
      <c r="C14295" s="993" t="s">
        <v>363</v>
      </c>
      <c r="D14295" s="930">
        <v>1</v>
      </c>
      <c r="E14295" s="981">
        <v>6</v>
      </c>
      <c r="F14295" s="415">
        <f t="shared" si="581"/>
      </c>
      <c r="G14295" s="415">
        <v>1</v>
      </c>
      <c r="H14295" s="416">
        <f t="shared" si="582"/>
      </c>
    </row>
    <row r="14296" spans="1:8" ht="15.75" customHeight="1" x14ac:dyDescent="0.25">
      <c r="A14296" s="412">
        <v>34</v>
      </c>
      <c r="B14296" s="1118" t="s">
        <v>801</v>
      </c>
      <c r="C14296" s="993" t="s">
        <v>383</v>
      </c>
      <c r="D14296" s="930">
        <v>1</v>
      </c>
      <c r="E14296" s="981">
        <v>6</v>
      </c>
      <c r="F14296" s="415">
        <f t="shared" si="581"/>
      </c>
      <c r="G14296" s="415">
        <v>1</v>
      </c>
      <c r="H14296" s="416">
        <f t="shared" si="582"/>
      </c>
    </row>
    <row r="14297" spans="1:8" ht="15.75" customHeight="1" x14ac:dyDescent="0.25">
      <c r="A14297" s="412"/>
      <c r="B14297" s="953" t="s">
        <v>2357</v>
      </c>
      <c r="C14297" s="953"/>
      <c r="D14297" s="981"/>
      <c r="E14297" s="981"/>
      <c r="F14297" s="415"/>
      <c r="G14297" s="415"/>
      <c r="H14297" s="416"/>
    </row>
    <row r="14298" spans="1:8" ht="15.75" customHeight="1" x14ac:dyDescent="0.25">
      <c r="A14298" s="412">
        <v>35</v>
      </c>
      <c r="B14298" s="1118">
        <v>507</v>
      </c>
      <c r="C14298" s="993" t="s">
        <v>1815</v>
      </c>
      <c r="D14298" s="981">
        <v>1</v>
      </c>
      <c r="E14298" s="981">
        <v>300</v>
      </c>
      <c r="F14298" s="415">
        <f>+E14298*D14298</f>
      </c>
      <c r="G14298" s="415">
        <v>1</v>
      </c>
      <c r="H14298" s="416">
        <f t="shared" ref="H14298:H14299" si="583">+G14298*F14298</f>
      </c>
    </row>
    <row r="14299" spans="1:8" ht="15.75" customHeight="1" x14ac:dyDescent="0.25">
      <c r="A14299" s="412">
        <v>36</v>
      </c>
      <c r="B14299" s="1118">
        <v>508</v>
      </c>
      <c r="C14299" s="993" t="s">
        <v>1815</v>
      </c>
      <c r="D14299" s="981"/>
      <c r="E14299" s="981">
        <v>150</v>
      </c>
      <c r="F14299" s="415">
        <f>+E14299*D14298</f>
      </c>
      <c r="G14299" s="415">
        <v>1</v>
      </c>
      <c r="H14299" s="416">
        <f t="shared" si="583"/>
      </c>
    </row>
    <row r="14300" spans="1:8" ht="15.75" customHeight="1" x14ac:dyDescent="0.25">
      <c r="A14300" s="412">
        <v>37</v>
      </c>
      <c r="B14300" s="1118">
        <v>508</v>
      </c>
      <c r="C14300" s="993" t="s">
        <v>1815</v>
      </c>
      <c r="D14300" s="981"/>
      <c r="E14300" s="981">
        <v>50</v>
      </c>
      <c r="F14300" s="415">
        <f>+E14300*D14298</f>
      </c>
      <c r="G14300" s="619" t="s">
        <v>1856</v>
      </c>
      <c r="H14300" s="416"/>
    </row>
    <row r="14301" spans="1:8" ht="15.75" customHeight="1" x14ac:dyDescent="0.25">
      <c r="A14301" s="412">
        <v>38</v>
      </c>
      <c r="B14301" s="1118" t="s">
        <v>1514</v>
      </c>
      <c r="C14301" s="993"/>
      <c r="D14301" s="981">
        <v>2</v>
      </c>
      <c r="E14301" s="981">
        <v>100</v>
      </c>
      <c r="F14301" s="415">
        <v>190</v>
      </c>
      <c r="G14301" s="415">
        <v>1</v>
      </c>
      <c r="H14301" s="416">
        <f>+G14301*F14301</f>
      </c>
    </row>
    <row r="14302" spans="1:8" ht="15.75" customHeight="1" x14ac:dyDescent="0.25">
      <c r="A14302" s="412">
        <v>39</v>
      </c>
      <c r="B14302" s="1118" t="s">
        <v>1514</v>
      </c>
      <c r="C14302" s="993"/>
      <c r="D14302" s="981"/>
      <c r="E14302" s="981"/>
      <c r="F14302" s="415">
        <v>10</v>
      </c>
      <c r="G14302" s="619" t="s">
        <v>1856</v>
      </c>
      <c r="H14302" s="416"/>
    </row>
    <row r="14303" spans="1:8" ht="15.75" customHeight="1" x14ac:dyDescent="0.25">
      <c r="A14303" s="412"/>
      <c r="B14303" s="953" t="s">
        <v>1329</v>
      </c>
      <c r="C14303" s="953"/>
      <c r="D14303" s="981"/>
      <c r="E14303" s="981"/>
      <c r="F14303" s="415"/>
      <c r="G14303" s="415"/>
      <c r="H14303" s="416"/>
    </row>
    <row r="14304" spans="1:8" ht="15.75" customHeight="1" x14ac:dyDescent="0.25">
      <c r="A14304" s="412">
        <v>40</v>
      </c>
      <c r="B14304" s="1118" t="s">
        <v>2359</v>
      </c>
      <c r="C14304" s="993" t="s">
        <v>5</v>
      </c>
      <c r="D14304" s="981">
        <v>21</v>
      </c>
      <c r="E14304" s="981">
        <v>24</v>
      </c>
      <c r="F14304" s="415">
        <v>483.84</v>
      </c>
      <c r="G14304" s="415">
        <v>1</v>
      </c>
      <c r="H14304" s="416">
        <f>+G14304*F14304</f>
      </c>
    </row>
    <row r="14305" spans="1:8" ht="15.75" customHeight="1" x14ac:dyDescent="0.25">
      <c r="A14305" s="412">
        <v>41</v>
      </c>
      <c r="B14305" s="1118" t="s">
        <v>2359</v>
      </c>
      <c r="C14305" s="993" t="s">
        <v>5</v>
      </c>
      <c r="D14305" s="981"/>
      <c r="E14305" s="981"/>
      <c r="F14305" s="415">
        <v>20.16</v>
      </c>
      <c r="G14305" s="619" t="s">
        <v>1856</v>
      </c>
      <c r="H14305" s="416"/>
    </row>
    <row r="14306" spans="1:8" ht="15.75" customHeight="1" x14ac:dyDescent="0.25">
      <c r="A14306" s="412">
        <v>42</v>
      </c>
      <c r="B14306" s="1118" t="s">
        <v>2186</v>
      </c>
      <c r="C14306" s="993" t="s">
        <v>12</v>
      </c>
      <c r="D14306" s="981">
        <v>22</v>
      </c>
      <c r="E14306" s="981">
        <v>24</v>
      </c>
      <c r="F14306" s="415">
        <f>+D14306*E14306</f>
      </c>
      <c r="G14306" s="415">
        <v>1</v>
      </c>
      <c r="H14306" s="416">
        <f>+G14306*F14306</f>
      </c>
    </row>
    <row r="14307" spans="1:8" ht="15.75" customHeight="1" x14ac:dyDescent="0.25">
      <c r="A14307" s="412">
        <v>43</v>
      </c>
      <c r="B14307" s="1118" t="s">
        <v>2186</v>
      </c>
      <c r="C14307" s="993" t="s">
        <v>12</v>
      </c>
      <c r="D14307" s="588">
        <v>2</v>
      </c>
      <c r="E14307" s="981"/>
      <c r="F14307" s="415">
        <f>+E14306*D14307</f>
      </c>
      <c r="G14307" s="619" t="s">
        <v>1856</v>
      </c>
      <c r="H14307" s="416"/>
    </row>
    <row r="14308" spans="1:8" ht="15.75" customHeight="1" x14ac:dyDescent="0.25">
      <c r="A14308" s="412">
        <v>44</v>
      </c>
      <c r="B14308" s="1118" t="s">
        <v>1039</v>
      </c>
      <c r="C14308" s="993" t="s">
        <v>2161</v>
      </c>
      <c r="D14308" s="588">
        <v>1</v>
      </c>
      <c r="E14308" s="981">
        <v>100</v>
      </c>
      <c r="F14308" s="415">
        <f t="shared" ref="F14308:F14309" si="584">+E14308*D14308</f>
      </c>
      <c r="G14308" s="415">
        <v>1</v>
      </c>
      <c r="H14308" s="416">
        <f t="shared" ref="H14308:H14309" si="585">+G14308*F14308</f>
      </c>
    </row>
    <row r="14309" spans="1:8" ht="15.75" customHeight="1" x14ac:dyDescent="0.25">
      <c r="A14309" s="412">
        <v>45</v>
      </c>
      <c r="B14309" s="1118" t="s">
        <v>922</v>
      </c>
      <c r="C14309" s="993"/>
      <c r="D14309" s="588">
        <v>1</v>
      </c>
      <c r="E14309" s="981">
        <v>90</v>
      </c>
      <c r="F14309" s="415">
        <f t="shared" si="584"/>
      </c>
      <c r="G14309" s="415">
        <v>1</v>
      </c>
      <c r="H14309" s="416">
        <f t="shared" si="585"/>
      </c>
    </row>
    <row r="14310" spans="1:8" ht="15.75" customHeight="1" x14ac:dyDescent="0.25">
      <c r="A14310" s="412">
        <v>46</v>
      </c>
      <c r="B14310" s="1118" t="s">
        <v>922</v>
      </c>
      <c r="C14310" s="993"/>
      <c r="D14310" s="588"/>
      <c r="E14310" s="981">
        <v>10</v>
      </c>
      <c r="F14310" s="415">
        <v>10</v>
      </c>
      <c r="G14310" s="619" t="s">
        <v>1856</v>
      </c>
      <c r="H14310" s="416"/>
    </row>
    <row r="14311" spans="1:8" ht="15.75" customHeight="1" x14ac:dyDescent="0.25">
      <c r="A14311" s="412">
        <v>47</v>
      </c>
      <c r="B14311" s="1118" t="s">
        <v>260</v>
      </c>
      <c r="C14311" s="993" t="s">
        <v>1295</v>
      </c>
      <c r="D14311" s="588"/>
      <c r="E14311" s="981">
        <v>150</v>
      </c>
      <c r="F14311" s="415">
        <v>150</v>
      </c>
      <c r="G14311" s="415">
        <v>1</v>
      </c>
      <c r="H14311" s="416">
        <f>+G14311*F14311</f>
      </c>
    </row>
    <row r="14312" spans="1:8" ht="15.75" customHeight="1" x14ac:dyDescent="0.25">
      <c r="A14312" s="412"/>
      <c r="B14312" s="1118"/>
      <c r="C14312" s="993"/>
      <c r="D14312" s="588"/>
      <c r="E14312" s="981"/>
      <c r="F14312" s="415"/>
      <c r="G14312" s="415"/>
      <c r="H14312" s="416"/>
    </row>
    <row r="14313" spans="1:8" ht="15.75" customHeight="1" x14ac:dyDescent="0.25">
      <c r="A14313" s="880"/>
      <c r="B14313" s="1119"/>
      <c r="C14313" s="1120"/>
      <c r="D14313" s="1122"/>
      <c r="E14313" s="1121"/>
      <c r="F14313" s="892"/>
      <c r="G14313" s="892"/>
      <c r="H14313" s="893"/>
    </row>
    <row r="14314" spans="1:8" ht="15.75" customHeight="1" x14ac:dyDescent="0.25">
      <c r="A14314" s="451"/>
      <c r="B14314" s="1123"/>
      <c r="C14314" s="1092"/>
      <c r="D14314" s="567"/>
      <c r="E14314" s="638"/>
      <c r="F14314" s="391"/>
      <c r="G14314" s="391"/>
      <c r="H14314" s="394"/>
    </row>
    <row r="14315" spans="1:8" ht="15.75" customHeight="1" x14ac:dyDescent="0.25">
      <c r="A14315" s="451"/>
      <c r="B14315" s="1123"/>
      <c r="C14315" s="883" t="s">
        <v>2360</v>
      </c>
      <c r="D14315" s="567"/>
      <c r="E14315" s="638"/>
      <c r="F14315" s="391"/>
      <c r="G14315" s="391"/>
      <c r="H14315" s="394"/>
    </row>
    <row r="14316" spans="1:8" ht="15.75" customHeight="1" x14ac:dyDescent="0.25">
      <c r="A14316" s="451"/>
      <c r="B14316" s="1123"/>
      <c r="C14316" s="1092"/>
      <c r="D14316" s="567"/>
      <c r="E14316" s="638"/>
      <c r="F14316" s="391"/>
      <c r="G14316" s="391"/>
      <c r="H14316" s="394"/>
    </row>
    <row r="14317" spans="1:8" ht="15.75" customHeight="1" x14ac:dyDescent="0.25">
      <c r="A14317" s="451"/>
      <c r="B14317" s="1123"/>
      <c r="C14317" s="1092"/>
      <c r="D14317" s="567"/>
      <c r="E14317" s="638"/>
      <c r="F14317" s="391"/>
      <c r="G14317" s="391"/>
      <c r="H14317" s="394"/>
    </row>
    <row r="14318" spans="1:8" ht="15.75" customHeight="1" x14ac:dyDescent="0.25">
      <c r="A14318" s="451"/>
      <c r="B14318" s="1123"/>
      <c r="C14318" s="1092"/>
      <c r="D14318" s="567"/>
      <c r="E14318" s="638"/>
      <c r="F14318" s="391"/>
      <c r="G14318" s="391"/>
      <c r="H14318" s="394"/>
    </row>
    <row r="14319" spans="1:8" ht="15.75" customHeight="1" x14ac:dyDescent="0.25">
      <c r="A14319" s="451"/>
      <c r="B14319" s="1123"/>
      <c r="C14319" s="1092"/>
      <c r="D14319" s="567"/>
      <c r="E14319" s="638"/>
      <c r="F14319" s="391"/>
      <c r="G14319" s="391"/>
      <c r="H14319" s="394"/>
    </row>
    <row r="14320" spans="1:8" ht="15.75" customHeight="1" x14ac:dyDescent="0.25">
      <c r="A14320" s="451"/>
      <c r="B14320" s="1123"/>
      <c r="C14320" s="1092"/>
      <c r="D14320" s="567"/>
      <c r="E14320" s="638"/>
      <c r="F14320" s="391"/>
      <c r="G14320" s="391"/>
      <c r="H14320" s="394"/>
    </row>
    <row r="14321" spans="1:8" ht="15.75" customHeight="1" x14ac:dyDescent="0.25">
      <c r="A14321" s="8" t="s">
        <v>14</v>
      </c>
      <c r="B14321" s="8"/>
      <c r="C14321" s="8"/>
      <c r="D14321" s="8"/>
      <c r="E14321" s="8"/>
      <c r="F14321" s="8"/>
      <c r="G14321" s="8"/>
      <c r="H14321" s="8"/>
    </row>
    <row r="14322" spans="1:8" ht="15.75" customHeight="1" x14ac:dyDescent="0.25">
      <c r="A14322" s="388"/>
      <c r="B14322" s="388"/>
      <c r="C14322" s="388"/>
      <c r="D14322" s="389"/>
      <c r="E14322" s="388"/>
      <c r="F14322" s="388"/>
      <c r="G14322" s="388"/>
      <c r="H14322" s="8"/>
    </row>
    <row r="14323" spans="1:8" ht="15.75" customHeight="1" x14ac:dyDescent="0.25">
      <c r="A14323" s="390"/>
      <c r="B14323" s="390"/>
      <c r="C14323" s="390"/>
      <c r="D14323" s="391"/>
      <c r="E14323" s="390"/>
      <c r="F14323" s="395" t="s">
        <v>18</v>
      </c>
      <c r="G14323" s="396" t="s">
        <v>1160</v>
      </c>
      <c r="H14323" s="397"/>
    </row>
    <row r="14324" spans="1:8" ht="15.75" customHeight="1" x14ac:dyDescent="0.25">
      <c r="A14324" s="390" t="s">
        <v>20</v>
      </c>
      <c r="B14324" s="390"/>
      <c r="C14324" s="390"/>
      <c r="D14324" s="391"/>
      <c r="E14324" s="390"/>
      <c r="F14324" s="395" t="s">
        <v>21</v>
      </c>
      <c r="G14324" s="390" t="s">
        <v>1475</v>
      </c>
      <c r="H14324" s="391"/>
    </row>
    <row r="14325" spans="1:8" ht="15.75" customHeight="1" x14ac:dyDescent="0.25">
      <c r="A14325" s="390" t="inlineStr">
        <is>
          <t>Dealer-009</t>
        </is>
      </c>
      <c r="B14325" s="390"/>
      <c r="C14325" s="390" t="inlineStr">
        <is>
          <t>ATTN: Contact-001</t>
        </is>
      </c>
      <c r="D14325" s="398"/>
      <c r="E14325" s="390"/>
      <c r="F14325" s="391"/>
      <c r="G14325" s="390"/>
      <c r="H14325" s="394"/>
    </row>
    <row r="14326" spans="1:8" ht="15.75" customHeight="1" x14ac:dyDescent="0.25">
      <c r="A14326" s="390" t="inlineStr">
        <is>
          <t>Address line (redacted)</t>
        </is>
      </c>
      <c r="B14326" s="390"/>
      <c r="C14326" s="390"/>
      <c r="D14326" s="398"/>
      <c r="E14326" s="390"/>
      <c r="F14326" s="883" t="s">
        <v>2278</v>
      </c>
      <c r="G14326" s="390"/>
      <c r="H14326" s="394"/>
    </row>
    <row r="14327" spans="1:8" ht="15.75" customHeight="1" x14ac:dyDescent="0.25">
      <c r="A14327" s="390" t="inlineStr">
        <is>
          <t>Address line (redacted)</t>
        </is>
      </c>
      <c r="B14327" s="390"/>
      <c r="C14327" s="390"/>
      <c r="D14327" s="391"/>
      <c r="E14327" s="390"/>
      <c r="F14327" s="391"/>
      <c r="G14327" s="390"/>
      <c r="H14327" s="394"/>
    </row>
    <row r="14328" spans="1:8" ht="15.75" customHeight="1" x14ac:dyDescent="0.25">
      <c r="A14328" s="390"/>
      <c r="B14328" s="390"/>
      <c r="C14328" s="390"/>
      <c r="D14328" s="391"/>
      <c r="E14328" s="390"/>
      <c r="F14328" s="391"/>
      <c r="G14328" s="390"/>
      <c r="H14328" s="394"/>
    </row>
    <row r="14329" spans="1:8" ht="15.75" customHeight="1" x14ac:dyDescent="0.25">
      <c r="A14329" s="390" t="s">
        <v>30</v>
      </c>
      <c r="B14329" s="390"/>
      <c r="C14329" s="390"/>
      <c r="D14329" s="391"/>
      <c r="E14329" s="390"/>
      <c r="F14329" s="391"/>
      <c r="G14329" s="390"/>
      <c r="H14329" s="394"/>
    </row>
    <row r="14330" spans="1:8" ht="15.75" customHeight="1" x14ac:dyDescent="0.25">
      <c r="A14330" s="390" t="s">
        <v>716</v>
      </c>
      <c r="B14330" s="390"/>
      <c r="C14330" s="390"/>
      <c r="D14330" s="391"/>
      <c r="E14330" s="390"/>
      <c r="F14330" s="391"/>
      <c r="G14330" s="390"/>
      <c r="H14330" s="394"/>
    </row>
    <row r="14331" spans="1:8" ht="15.75" customHeight="1" x14ac:dyDescent="0.25">
      <c r="A14331" s="390" t="s">
        <v>717</v>
      </c>
      <c r="B14331" s="390"/>
      <c r="C14331" s="390"/>
      <c r="D14331" s="391"/>
      <c r="E14331" s="390"/>
      <c r="F14331" s="391"/>
      <c r="G14331" s="390"/>
      <c r="H14331" s="394"/>
    </row>
    <row r="14332" spans="1:8" ht="15.75" customHeight="1" x14ac:dyDescent="0.25">
      <c r="A14332" s="390"/>
      <c r="B14332" s="390"/>
      <c r="C14332" s="390"/>
      <c r="D14332" s="391"/>
      <c r="E14332" s="390"/>
      <c r="F14332" s="391"/>
      <c r="G14332" s="390"/>
      <c r="H14332" s="394"/>
    </row>
    <row r="14333" spans="1:8" ht="15.75" customHeight="1" x14ac:dyDescent="0.25">
      <c r="A14333" s="948" t="s">
        <v>33</v>
      </c>
      <c r="B14333" s="872" t="s">
        <v>6</v>
      </c>
      <c r="C14333" s="872"/>
      <c r="D14333" s="874" t="s">
        <v>37</v>
      </c>
      <c r="E14333" s="874" t="s">
        <v>38</v>
      </c>
      <c r="F14333" s="875" t="s">
        <v>7</v>
      </c>
      <c r="G14333" s="872" t="s">
        <v>43</v>
      </c>
      <c r="H14333" s="876" t="s">
        <v>44</v>
      </c>
    </row>
    <row r="14334" spans="1:8" ht="15.75" customHeight="1" x14ac:dyDescent="0.25">
      <c r="A14334" s="412"/>
      <c r="B14334" s="953" t="s">
        <v>2162</v>
      </c>
      <c r="C14334" s="953"/>
      <c r="D14334" s="626"/>
      <c r="E14334" s="930"/>
      <c r="F14334" s="415"/>
      <c r="G14334" s="415"/>
      <c r="H14334" s="416"/>
    </row>
    <row r="14335" spans="1:8" ht="15.75" customHeight="1" x14ac:dyDescent="0.25">
      <c r="A14335" s="412">
        <v>48</v>
      </c>
      <c r="B14335" s="1118" t="s">
        <v>2163</v>
      </c>
      <c r="C14335" s="993"/>
      <c r="D14335" s="929">
        <v>69</v>
      </c>
      <c r="E14335" s="929">
        <v>1</v>
      </c>
      <c r="F14335" s="415">
        <v>65.714299999999994</v>
      </c>
      <c r="G14335" s="415">
        <v>1</v>
      </c>
      <c r="H14335" s="416">
        <f>+G14335*F14335</f>
      </c>
    </row>
    <row r="14336" spans="1:8" ht="15.75" customHeight="1" x14ac:dyDescent="0.25">
      <c r="A14336" s="412">
        <v>49</v>
      </c>
      <c r="B14336" s="1118" t="s">
        <v>2163</v>
      </c>
      <c r="C14336" s="993"/>
      <c r="D14336" s="930"/>
      <c r="E14336" s="930"/>
      <c r="F14336" s="415">
        <v>3.2856999999999998</v>
      </c>
      <c r="G14336" s="619" t="s">
        <v>1856</v>
      </c>
      <c r="H14336" s="416"/>
    </row>
    <row r="14337" spans="1:8" ht="15.75" customHeight="1" x14ac:dyDescent="0.25">
      <c r="A14337" s="412"/>
      <c r="B14337" s="953" t="s">
        <v>1356</v>
      </c>
      <c r="C14337" s="953"/>
      <c r="D14337" s="626"/>
      <c r="E14337" s="930"/>
      <c r="F14337" s="415"/>
      <c r="G14337" s="415"/>
      <c r="H14337" s="416"/>
    </row>
    <row r="14338" spans="1:8" ht="15.75" customHeight="1" x14ac:dyDescent="0.25">
      <c r="A14338" s="412">
        <v>50</v>
      </c>
      <c r="B14338" s="1118" t="s">
        <v>320</v>
      </c>
      <c r="C14338" s="993" t="s">
        <v>316</v>
      </c>
      <c r="D14338" s="929">
        <v>2.5</v>
      </c>
      <c r="E14338" s="929">
        <v>10</v>
      </c>
      <c r="F14338" s="415">
        <v>24</v>
      </c>
      <c r="G14338" s="415">
        <v>1</v>
      </c>
      <c r="H14338" s="416">
        <f>+G14338*F14338</f>
      </c>
    </row>
    <row r="14339" spans="1:8" ht="15.75" customHeight="1" x14ac:dyDescent="0.25">
      <c r="A14339" s="412">
        <v>51</v>
      </c>
      <c r="B14339" s="1118" t="s">
        <v>320</v>
      </c>
      <c r="C14339" s="993" t="s">
        <v>316</v>
      </c>
      <c r="D14339" s="930"/>
      <c r="E14339" s="930"/>
      <c r="F14339" s="415">
        <v>1</v>
      </c>
      <c r="G14339" s="619" t="s">
        <v>1856</v>
      </c>
      <c r="H14339" s="416"/>
    </row>
    <row r="14340" spans="1:8" ht="15.75" customHeight="1" x14ac:dyDescent="0.25">
      <c r="A14340" s="412">
        <v>52</v>
      </c>
      <c r="B14340" s="585" t="s">
        <v>123</v>
      </c>
      <c r="C14340" s="993" t="s">
        <v>1577</v>
      </c>
      <c r="D14340" s="626">
        <v>2</v>
      </c>
      <c r="E14340" s="930">
        <v>5</v>
      </c>
      <c r="F14340" s="415">
        <f>+E14340*D14340</f>
      </c>
      <c r="G14340" s="415">
        <v>1</v>
      </c>
      <c r="H14340" s="416">
        <f t="shared" ref="H14340:H14341" si="586">+G14340*F14340</f>
      </c>
    </row>
    <row r="14341" spans="1:8" ht="15.75" customHeight="1" x14ac:dyDescent="0.25">
      <c r="A14341" s="412">
        <v>53</v>
      </c>
      <c r="B14341" s="585" t="s">
        <v>1578</v>
      </c>
      <c r="C14341" s="993" t="s">
        <v>1579</v>
      </c>
      <c r="D14341" s="592">
        <v>5</v>
      </c>
      <c r="E14341" s="929">
        <v>5</v>
      </c>
      <c r="F14341" s="415">
        <v>24</v>
      </c>
      <c r="G14341" s="415">
        <v>1</v>
      </c>
      <c r="H14341" s="416">
        <f t="shared" si="586"/>
      </c>
    </row>
    <row r="14342" spans="1:8" ht="15.75" customHeight="1" x14ac:dyDescent="0.25">
      <c r="A14342" s="412">
        <v>54</v>
      </c>
      <c r="B14342" s="585" t="s">
        <v>1578</v>
      </c>
      <c r="C14342" s="993" t="s">
        <v>1579</v>
      </c>
      <c r="D14342" s="626"/>
      <c r="E14342" s="930"/>
      <c r="F14342" s="415">
        <v>1</v>
      </c>
      <c r="G14342" s="619" t="s">
        <v>1856</v>
      </c>
      <c r="H14342" s="416"/>
    </row>
    <row r="14343" spans="1:8" ht="15.75" customHeight="1" x14ac:dyDescent="0.25">
      <c r="A14343" s="412">
        <v>55</v>
      </c>
      <c r="B14343" s="585" t="s">
        <v>2127</v>
      </c>
      <c r="C14343" s="993" t="s">
        <v>328</v>
      </c>
      <c r="D14343" s="626">
        <v>3</v>
      </c>
      <c r="E14343" s="930">
        <v>5</v>
      </c>
      <c r="F14343" s="415">
        <f t="shared" ref="F14343:F14351" si="587">+E14343*D14343</f>
      </c>
      <c r="G14343" s="415">
        <v>1</v>
      </c>
      <c r="H14343" s="416">
        <f t="shared" ref="H14343:H14351" si="588">+G14343*F14343</f>
      </c>
    </row>
    <row r="14344" spans="1:8" ht="15.75" customHeight="1" x14ac:dyDescent="0.25">
      <c r="A14344" s="412">
        <v>56</v>
      </c>
      <c r="B14344" s="585" t="s">
        <v>105</v>
      </c>
      <c r="C14344" s="993" t="s">
        <v>96</v>
      </c>
      <c r="D14344" s="626">
        <v>3</v>
      </c>
      <c r="E14344" s="930">
        <v>5</v>
      </c>
      <c r="F14344" s="415">
        <f t="shared" si="587"/>
      </c>
      <c r="G14344" s="415">
        <v>1</v>
      </c>
      <c r="H14344" s="416">
        <f t="shared" si="588"/>
      </c>
    </row>
    <row r="14345" spans="1:8" ht="15.75" customHeight="1" x14ac:dyDescent="0.25">
      <c r="A14345" s="412">
        <v>57</v>
      </c>
      <c r="B14345" s="585" t="s">
        <v>145</v>
      </c>
      <c r="C14345" s="993" t="s">
        <v>341</v>
      </c>
      <c r="D14345" s="626">
        <v>1</v>
      </c>
      <c r="E14345" s="930">
        <v>5</v>
      </c>
      <c r="F14345" s="415">
        <f t="shared" si="587"/>
      </c>
      <c r="G14345" s="415">
        <v>1</v>
      </c>
      <c r="H14345" s="416">
        <f t="shared" si="588"/>
      </c>
    </row>
    <row r="14346" spans="1:8" ht="15.75" customHeight="1" x14ac:dyDescent="0.25">
      <c r="A14346" s="412">
        <v>58</v>
      </c>
      <c r="B14346" s="585" t="s">
        <v>1298</v>
      </c>
      <c r="C14346" s="993" t="s">
        <v>337</v>
      </c>
      <c r="D14346" s="626">
        <v>3</v>
      </c>
      <c r="E14346" s="930">
        <v>5</v>
      </c>
      <c r="F14346" s="415">
        <f t="shared" si="587"/>
      </c>
      <c r="G14346" s="415">
        <v>1</v>
      </c>
      <c r="H14346" s="416">
        <f t="shared" si="588"/>
      </c>
    </row>
    <row r="14347" spans="1:8" ht="15.75" customHeight="1" x14ac:dyDescent="0.25">
      <c r="A14347" s="412">
        <v>59</v>
      </c>
      <c r="B14347" s="585" t="s">
        <v>134</v>
      </c>
      <c r="C14347" s="993" t="s">
        <v>332</v>
      </c>
      <c r="D14347" s="626">
        <v>2</v>
      </c>
      <c r="E14347" s="930">
        <v>5</v>
      </c>
      <c r="F14347" s="415">
        <f t="shared" si="587"/>
      </c>
      <c r="G14347" s="415">
        <v>1</v>
      </c>
      <c r="H14347" s="416">
        <f t="shared" si="588"/>
      </c>
    </row>
    <row r="14348" spans="1:8" ht="15.75" customHeight="1" x14ac:dyDescent="0.25">
      <c r="A14348" s="412">
        <v>60</v>
      </c>
      <c r="B14348" s="585" t="s">
        <v>118</v>
      </c>
      <c r="C14348" s="993" t="s">
        <v>1599</v>
      </c>
      <c r="D14348" s="626">
        <v>1</v>
      </c>
      <c r="E14348" s="930">
        <v>5</v>
      </c>
      <c r="F14348" s="415">
        <f t="shared" si="587"/>
      </c>
      <c r="G14348" s="415">
        <v>1</v>
      </c>
      <c r="H14348" s="416">
        <f t="shared" si="588"/>
      </c>
    </row>
    <row r="14349" spans="1:8" ht="15.75" customHeight="1" x14ac:dyDescent="0.25">
      <c r="A14349" s="412">
        <v>61</v>
      </c>
      <c r="B14349" s="585" t="s">
        <v>494</v>
      </c>
      <c r="C14349" s="993" t="s">
        <v>327</v>
      </c>
      <c r="D14349" s="626">
        <v>1</v>
      </c>
      <c r="E14349" s="930">
        <v>4</v>
      </c>
      <c r="F14349" s="415">
        <f t="shared" si="587"/>
      </c>
      <c r="G14349" s="415">
        <v>1</v>
      </c>
      <c r="H14349" s="416">
        <f t="shared" si="588"/>
      </c>
    </row>
    <row r="14350" spans="1:8" ht="15.75" customHeight="1" x14ac:dyDescent="0.25">
      <c r="A14350" s="412">
        <v>62</v>
      </c>
      <c r="B14350" s="585" t="s">
        <v>2036</v>
      </c>
      <c r="C14350" s="993" t="s">
        <v>16</v>
      </c>
      <c r="D14350" s="626">
        <v>3</v>
      </c>
      <c r="E14350" s="930">
        <v>5</v>
      </c>
      <c r="F14350" s="415">
        <f t="shared" si="587"/>
      </c>
      <c r="G14350" s="415">
        <v>1</v>
      </c>
      <c r="H14350" s="416">
        <f t="shared" si="588"/>
      </c>
    </row>
    <row r="14351" spans="1:8" ht="15.75" customHeight="1" x14ac:dyDescent="0.25">
      <c r="A14351" s="412">
        <v>63</v>
      </c>
      <c r="B14351" s="585" t="s">
        <v>801</v>
      </c>
      <c r="C14351" s="993" t="s">
        <v>333</v>
      </c>
      <c r="D14351" s="626">
        <v>5</v>
      </c>
      <c r="E14351" s="930">
        <v>5</v>
      </c>
      <c r="F14351" s="415">
        <f t="shared" si="587"/>
      </c>
      <c r="G14351" s="415">
        <v>1</v>
      </c>
      <c r="H14351" s="416">
        <f t="shared" si="588"/>
      </c>
    </row>
    <row r="14352" spans="1:8" ht="15.75" customHeight="1" x14ac:dyDescent="0.25">
      <c r="A14352" s="412">
        <v>64</v>
      </c>
      <c r="B14352" s="585" t="s">
        <v>687</v>
      </c>
      <c r="C14352" s="993"/>
      <c r="D14352" s="626"/>
      <c r="E14352" s="930"/>
      <c r="F14352" s="415"/>
      <c r="G14352" s="415"/>
      <c r="H14352" s="416"/>
    </row>
    <row r="14353" spans="1:8" ht="15.75" customHeight="1" x14ac:dyDescent="0.25">
      <c r="A14353" s="412">
        <v>65</v>
      </c>
      <c r="B14353" s="585" t="s">
        <v>139</v>
      </c>
      <c r="C14353" s="993" t="s">
        <v>336</v>
      </c>
      <c r="D14353" s="626">
        <v>3</v>
      </c>
      <c r="E14353" s="930">
        <v>5</v>
      </c>
      <c r="F14353" s="415">
        <f t="shared" ref="F14353:F14354" si="589">+E14353*D14353</f>
      </c>
      <c r="G14353" s="415">
        <v>1</v>
      </c>
      <c r="H14353" s="416">
        <f t="shared" ref="H14353:H14354" si="590">+G14353*F14353</f>
      </c>
    </row>
    <row r="14354" spans="1:8" ht="15.75" customHeight="1" x14ac:dyDescent="0.25">
      <c r="A14354" s="412">
        <v>66</v>
      </c>
      <c r="B14354" s="585" t="s">
        <v>143</v>
      </c>
      <c r="C14354" s="993" t="s">
        <v>339</v>
      </c>
      <c r="D14354" s="626">
        <v>1</v>
      </c>
      <c r="E14354" s="930">
        <v>5</v>
      </c>
      <c r="F14354" s="415">
        <f t="shared" si="589"/>
      </c>
      <c r="G14354" s="415">
        <v>1</v>
      </c>
      <c r="H14354" s="416">
        <f t="shared" si="590"/>
      </c>
    </row>
    <row r="14355" spans="1:8" ht="15.75" customHeight="1" x14ac:dyDescent="0.25">
      <c r="A14355" s="1126">
        <v>67</v>
      </c>
      <c r="B14355" s="611" t="s">
        <v>2368</v>
      </c>
      <c r="C14355" s="611"/>
      <c r="D14355" s="613"/>
      <c r="E14355" s="613"/>
      <c r="F14355" s="614"/>
      <c r="G14355" s="611"/>
      <c r="H14355" s="615"/>
    </row>
    <row r="14356" spans="1:8" ht="15.75" customHeight="1" x14ac:dyDescent="0.25">
      <c r="A14356" s="412"/>
      <c r="B14356" s="913"/>
      <c r="C14356" s="993"/>
      <c r="D14356" s="626"/>
      <c r="E14356" s="930"/>
      <c r="F14356" s="415"/>
      <c r="G14356" s="415"/>
      <c r="H14356" s="416"/>
    </row>
    <row r="14357" spans="1:8" ht="15.75" customHeight="1" x14ac:dyDescent="0.25">
      <c r="A14357" s="412"/>
      <c r="B14357" s="1127"/>
      <c r="C14357" s="993"/>
      <c r="D14357" s="626"/>
      <c r="E14357" s="626"/>
      <c r="F14357" s="415"/>
      <c r="G14357" s="415"/>
      <c r="H14357" s="416"/>
    </row>
    <row r="14358" spans="1:8" ht="15.75" customHeight="1" x14ac:dyDescent="0.25">
      <c r="A14358" s="877"/>
      <c r="B14358" s="688"/>
      <c r="C14358" s="896" t="s">
        <v>85</v>
      </c>
      <c r="D14358" s="599"/>
      <c r="E14358" s="401"/>
      <c r="F14358" s="599"/>
      <c r="G14358" s="661"/>
      <c r="H14358" s="438">
        <f>+H14357+H14356+H14355+H14354+H14353+H14352+H14351+H14350+H14349+H14348+H14347+H14346+H14345+H14344+H14343+H14342+H14341+H14340+H14339+H14338+H14337+H14336+H14335+H14334+H14313+H14312+H14311+H14310+H14309+H14308+H14307+H14306+H14305+H14304+H14303+H14302+H14301+H14300+H14299+H14298+H14297+H14296+H14295+H14294+H14293+H14292+H14291+H14290+H14289+H14288+H14273+H14272+H14271+H14270+H14269+H14268+H14267+H14266+H14265+H14264+H14263+H14262+H14261+H14260+H14259+H14258+H14257+H14256+H14255+H14254+H14253+H14252+H14251+H14250+H14249+H14248+H14247+H14246+H14245+H14244</f>
      </c>
    </row>
    <row r="14359" spans="1:8" ht="15.75" customHeight="1" x14ac:dyDescent="0.25">
      <c r="A14359" s="932"/>
      <c r="B14359" s="933"/>
      <c r="C14359" s="934"/>
      <c r="D14359" s="431"/>
      <c r="E14359" s="935"/>
      <c r="F14359" s="935"/>
      <c r="G14359" s="936"/>
      <c r="H14359" s="444"/>
    </row>
    <row r="14360" spans="1:8" ht="15.75" customHeight="1" x14ac:dyDescent="0.25">
      <c r="A14360" s="994" t="s">
        <v>913</v>
      </c>
      <c r="B14360" s="391"/>
      <c r="C14360" s="391"/>
      <c r="D14360" s="391"/>
      <c r="E14360" s="390"/>
      <c r="F14360" s="392"/>
      <c r="G14360" s="390"/>
      <c r="H14360" s="394"/>
    </row>
    <row r="14361" spans="1:8" ht="15.75" customHeight="1" x14ac:dyDescent="0.25">
      <c r="A14361" s="445"/>
      <c r="B14361" s="445"/>
      <c r="C14361" s="445"/>
      <c r="D14361" s="446" t="s">
        <v>97</v>
      </c>
      <c r="E14361" s="445" t="s">
        <v>98</v>
      </c>
      <c r="F14361" s="445"/>
      <c r="G14361" s="390"/>
      <c r="H14361" s="394"/>
    </row>
    <row r="14362" spans="1:8" ht="15.75" customHeight="1" x14ac:dyDescent="0.25">
      <c r="A14362" s="445"/>
      <c r="B14362" s="445"/>
      <c r="C14362" s="445"/>
      <c r="D14362" s="446"/>
      <c r="E14362" s="445"/>
      <c r="F14362" s="445"/>
      <c r="G14362" s="390"/>
      <c r="H14362" s="394"/>
    </row>
    <row r="14363" spans="1:8" ht="15.75" customHeight="1" x14ac:dyDescent="0.25">
      <c r="A14363" s="445"/>
      <c r="B14363" s="445"/>
      <c r="C14363" s="445"/>
      <c r="D14363" s="446"/>
      <c r="E14363" s="445"/>
      <c r="F14363" s="445"/>
      <c r="G14363" s="390"/>
      <c r="H14363" s="394"/>
    </row>
    <row r="14364" spans="1:8" ht="15.75" customHeight="1" x14ac:dyDescent="0.25">
      <c r="A14364" s="445"/>
      <c r="B14364" s="445"/>
      <c r="C14364" s="445"/>
      <c r="D14364" s="446"/>
      <c r="E14364" s="445" t="s">
        <v>99</v>
      </c>
      <c r="F14364" s="445"/>
      <c r="G14364" s="390"/>
      <c r="H14364" s="394"/>
    </row>
    <row r="14365" spans="1:8" ht="15.75" customHeight="1" x14ac:dyDescent="0.25">
      <c r="D14365" s="4"/>
      <c r="H14365" s="4"/>
    </row>
    <row r="14366" spans="1:8" ht="15.75" customHeight="1" x14ac:dyDescent="0.25">
      <c r="D14366" s="4"/>
      <c r="H14366" s="4"/>
    </row>
    <row r="14367" spans="1:8" ht="15.75" customHeight="1" x14ac:dyDescent="0.25">
      <c r="D14367" s="4"/>
      <c r="H14367" s="4"/>
    </row>
    <row r="14368" spans="1:8" ht="15.75" customHeight="1" x14ac:dyDescent="0.25">
      <c r="D14368" s="4"/>
      <c r="H14368" s="4"/>
    </row>
    <row r="14369" spans="1:8" ht="15.75" customHeight="1" x14ac:dyDescent="0.25">
      <c r="A14369" s="8" t="s">
        <v>14</v>
      </c>
      <c r="B14369" s="8"/>
      <c r="C14369" s="8"/>
      <c r="D14369" s="8"/>
      <c r="E14369" s="8"/>
      <c r="F14369" s="8"/>
      <c r="G14369" s="8"/>
      <c r="H14369" s="8"/>
    </row>
    <row r="14370" spans="1:8" ht="15.75" customHeight="1" x14ac:dyDescent="0.25">
      <c r="A14370" s="388"/>
      <c r="B14370" s="388"/>
      <c r="C14370" s="388"/>
      <c r="D14370" s="389"/>
      <c r="E14370" s="388"/>
      <c r="F14370" s="388"/>
      <c r="G14370" s="388"/>
      <c r="H14370" s="8"/>
    </row>
    <row r="14371" spans="1:8" ht="15.75" customHeight="1" x14ac:dyDescent="0.25">
      <c r="A14371" s="390"/>
      <c r="B14371" s="390"/>
      <c r="C14371" s="390"/>
      <c r="D14371" s="391"/>
      <c r="E14371" s="390"/>
      <c r="F14371" s="395" t="s">
        <v>18</v>
      </c>
      <c r="G14371" s="396" t="s">
        <v>1241</v>
      </c>
      <c r="H14371" s="397"/>
    </row>
    <row r="14372" spans="1:8" ht="15.75" customHeight="1" x14ac:dyDescent="0.25">
      <c r="A14372" s="390" t="s">
        <v>20</v>
      </c>
      <c r="B14372" s="390"/>
      <c r="C14372" s="390"/>
      <c r="D14372" s="391"/>
      <c r="E14372" s="390"/>
      <c r="F14372" s="395" t="s">
        <v>21</v>
      </c>
      <c r="G14372" s="390" t="s">
        <v>1919</v>
      </c>
      <c r="H14372" s="391"/>
    </row>
    <row r="14373" spans="1:8" ht="15.75" customHeight="1" x14ac:dyDescent="0.25">
      <c r="A14373" s="390" t="inlineStr">
        <is>
          <t>Dealer-013</t>
        </is>
      </c>
      <c r="B14373" s="390"/>
      <c r="C14373" s="390" t="inlineStr">
        <is>
          <t>ATTN: Contact-003</t>
        </is>
      </c>
      <c r="D14373" s="398"/>
      <c r="E14373" s="390"/>
      <c r="F14373" s="391"/>
      <c r="G14373" s="390"/>
      <c r="H14373" s="394"/>
    </row>
    <row r="14374" spans="1:8" ht="15.75" customHeight="1" x14ac:dyDescent="0.25">
      <c r="A14374" s="390" t="inlineStr">
        <is>
          <t>Address line (redacted)</t>
        </is>
      </c>
      <c r="B14374" s="390"/>
      <c r="C14374" s="390"/>
      <c r="D14374" s="398"/>
      <c r="E14374" s="390"/>
      <c r="F14374" s="391"/>
      <c r="G14374" s="390"/>
      <c r="H14374" s="394"/>
    </row>
    <row r="14375" spans="1:8" ht="15.75" customHeight="1" x14ac:dyDescent="0.25">
      <c r="A14375" s="390" t="inlineStr">
        <is>
          <t>Address line (redacted)</t>
        </is>
      </c>
      <c r="B14375" s="390"/>
      <c r="C14375" s="390"/>
      <c r="D14375" s="391"/>
      <c r="E14375" s="390"/>
      <c r="F14375" s="391"/>
      <c r="G14375" s="390"/>
      <c r="H14375" s="394"/>
    </row>
    <row r="14376" spans="1:8" ht="15.75" customHeight="1" x14ac:dyDescent="0.25">
      <c r="A14376" s="390"/>
      <c r="B14376" s="390"/>
      <c r="C14376" s="390"/>
      <c r="D14376" s="391"/>
      <c r="E14376" s="390"/>
      <c r="F14376" s="391"/>
      <c r="G14376" s="390"/>
      <c r="H14376" s="394"/>
    </row>
    <row r="14377" spans="1:8" ht="15.75" customHeight="1" x14ac:dyDescent="0.25">
      <c r="A14377" s="390" t="s">
        <v>30</v>
      </c>
      <c r="B14377" s="390"/>
      <c r="C14377" s="390"/>
      <c r="D14377" s="391"/>
      <c r="E14377" s="390"/>
      <c r="F14377" s="391"/>
      <c r="G14377" s="390"/>
      <c r="H14377" s="394"/>
    </row>
    <row r="14378" spans="1:8" ht="15.75" customHeight="1" x14ac:dyDescent="0.25">
      <c r="A14378" s="390"/>
      <c r="B14378" s="390"/>
      <c r="C14378" s="390"/>
      <c r="D14378" s="391"/>
      <c r="E14378" s="390"/>
      <c r="F14378" s="391"/>
      <c r="G14378" s="390"/>
      <c r="H14378" s="394"/>
    </row>
    <row r="14379" spans="1:8" ht="15.75" customHeight="1" x14ac:dyDescent="0.25">
      <c r="A14379" s="390" t="s">
        <v>716</v>
      </c>
      <c r="B14379" s="390"/>
      <c r="C14379" s="390"/>
      <c r="D14379" s="391"/>
      <c r="E14379" s="390"/>
      <c r="F14379" s="391"/>
      <c r="G14379" s="390"/>
      <c r="H14379" s="394"/>
    </row>
    <row r="14380" spans="1:8" ht="15.75" customHeight="1" x14ac:dyDescent="0.25">
      <c r="A14380" s="390" t="s">
        <v>717</v>
      </c>
      <c r="B14380" s="390"/>
      <c r="C14380" s="390"/>
      <c r="D14380" s="391"/>
      <c r="E14380" s="390"/>
      <c r="F14380" s="391"/>
      <c r="G14380" s="390"/>
      <c r="H14380" s="394"/>
    </row>
    <row r="14381" spans="1:8" ht="15.75" customHeight="1" x14ac:dyDescent="0.25">
      <c r="A14381" s="390"/>
      <c r="B14381" s="390"/>
      <c r="C14381" s="390"/>
      <c r="D14381" s="391"/>
      <c r="E14381" s="390"/>
      <c r="F14381" s="391"/>
      <c r="G14381" s="390"/>
      <c r="H14381" s="394"/>
    </row>
    <row r="14382" spans="1:8" ht="15.75" customHeight="1" x14ac:dyDescent="0.25">
      <c r="A14382" s="948" t="s">
        <v>33</v>
      </c>
      <c r="B14382" s="872" t="s">
        <v>6</v>
      </c>
      <c r="C14382" s="872"/>
      <c r="D14382" s="874" t="s">
        <v>37</v>
      </c>
      <c r="E14382" s="874" t="s">
        <v>38</v>
      </c>
      <c r="F14382" s="875" t="s">
        <v>7</v>
      </c>
      <c r="G14382" s="872" t="s">
        <v>43</v>
      </c>
      <c r="H14382" s="876" t="s">
        <v>44</v>
      </c>
    </row>
    <row r="14383" spans="1:8" ht="15.75" customHeight="1" x14ac:dyDescent="0.3">
      <c r="A14383" s="412"/>
      <c r="B14383" s="1033"/>
      <c r="C14383" s="1033"/>
      <c r="D14383" s="879"/>
      <c r="E14383" s="879"/>
      <c r="F14383" s="415"/>
      <c r="G14383" s="415"/>
      <c r="H14383" s="416"/>
    </row>
    <row r="14384" spans="1:8" ht="15.75" customHeight="1" x14ac:dyDescent="0.25">
      <c r="A14384" s="412"/>
      <c r="B14384" s="953" t="s">
        <v>1239</v>
      </c>
      <c r="C14384" s="953"/>
      <c r="D14384" s="415"/>
      <c r="E14384" s="415"/>
      <c r="F14384" s="415"/>
      <c r="G14384" s="415"/>
      <c r="H14384" s="416"/>
    </row>
    <row r="14385" spans="1:8" ht="15.75" customHeight="1" x14ac:dyDescent="0.25">
      <c r="A14385" s="412">
        <v>1</v>
      </c>
      <c r="B14385" s="1094" t="s">
        <v>56</v>
      </c>
      <c r="C14385" s="1095" t="s">
        <v>57</v>
      </c>
      <c r="D14385" s="588">
        <v>4</v>
      </c>
      <c r="E14385" s="588">
        <v>25</v>
      </c>
      <c r="F14385" s="415">
        <f t="shared" ref="F14385:F14388" si="591">+E14385*D14385</f>
      </c>
      <c r="G14385" s="415">
        <v>1</v>
      </c>
      <c r="H14385" s="416">
        <f t="shared" ref="H14385:H14388" si="592">+G14385*F14385</f>
      </c>
    </row>
    <row r="14386" spans="1:8" ht="15.75" customHeight="1" x14ac:dyDescent="0.25">
      <c r="A14386" s="412">
        <v>2</v>
      </c>
      <c r="B14386" s="1094" t="s">
        <v>68</v>
      </c>
      <c r="C14386" s="1095" t="s">
        <v>69</v>
      </c>
      <c r="D14386" s="415">
        <v>2</v>
      </c>
      <c r="E14386" s="415">
        <v>25</v>
      </c>
      <c r="F14386" s="415">
        <f t="shared" si="591"/>
      </c>
      <c r="G14386" s="415">
        <v>1</v>
      </c>
      <c r="H14386" s="416">
        <f t="shared" si="592"/>
      </c>
    </row>
    <row r="14387" spans="1:8" ht="15.75" customHeight="1" x14ac:dyDescent="0.25">
      <c r="A14387" s="412">
        <v>3</v>
      </c>
      <c r="B14387" s="1094" t="s">
        <v>2152</v>
      </c>
      <c r="C14387" s="1095" t="s">
        <v>109</v>
      </c>
      <c r="D14387" s="415">
        <v>10</v>
      </c>
      <c r="E14387" s="415">
        <v>25</v>
      </c>
      <c r="F14387" s="415">
        <f t="shared" si="591"/>
      </c>
      <c r="G14387" s="415">
        <v>1</v>
      </c>
      <c r="H14387" s="416">
        <f t="shared" si="592"/>
      </c>
    </row>
    <row r="14388" spans="1:8" ht="15.75" customHeight="1" x14ac:dyDescent="0.25">
      <c r="A14388" s="412">
        <v>4</v>
      </c>
      <c r="B14388" s="1094" t="s">
        <v>2153</v>
      </c>
      <c r="C14388" s="1095" t="s">
        <v>425</v>
      </c>
      <c r="D14388" s="415">
        <v>2</v>
      </c>
      <c r="E14388" s="415">
        <v>25</v>
      </c>
      <c r="F14388" s="415">
        <f t="shared" si="591"/>
      </c>
      <c r="G14388" s="415">
        <v>1</v>
      </c>
      <c r="H14388" s="416">
        <f t="shared" si="592"/>
      </c>
    </row>
    <row r="14389" spans="1:8" ht="15.75" customHeight="1" x14ac:dyDescent="0.25">
      <c r="A14389" s="412"/>
      <c r="B14389" s="953" t="s">
        <v>590</v>
      </c>
      <c r="C14389" s="953"/>
      <c r="D14389" s="981"/>
      <c r="E14389" s="981"/>
      <c r="F14389" s="415"/>
      <c r="G14389" s="415"/>
      <c r="H14389" s="416"/>
    </row>
    <row r="14390" spans="1:8" ht="15.75" customHeight="1" x14ac:dyDescent="0.25">
      <c r="A14390" s="412">
        <v>5</v>
      </c>
      <c r="B14390" s="1116" t="s">
        <v>56</v>
      </c>
      <c r="C14390" s="1117" t="s">
        <v>368</v>
      </c>
      <c r="D14390" s="981">
        <v>2</v>
      </c>
      <c r="E14390" s="981">
        <v>6</v>
      </c>
      <c r="F14390" s="415">
        <f t="shared" ref="F14390:F14392" si="593">+E14390*D14390</f>
      </c>
      <c r="G14390" s="415">
        <v>1</v>
      </c>
      <c r="H14390" s="416">
        <f t="shared" ref="H14390:H14393" si="594">+G14390*F14390</f>
      </c>
    </row>
    <row r="14391" spans="1:8" ht="15.75" customHeight="1" x14ac:dyDescent="0.25">
      <c r="A14391" s="412">
        <v>6</v>
      </c>
      <c r="B14391" s="1116" t="s">
        <v>127</v>
      </c>
      <c r="C14391" s="1117" t="s">
        <v>398</v>
      </c>
      <c r="D14391" s="981">
        <v>2</v>
      </c>
      <c r="E14391" s="981">
        <v>6</v>
      </c>
      <c r="F14391" s="415">
        <f t="shared" si="593"/>
      </c>
      <c r="G14391" s="415">
        <v>1</v>
      </c>
      <c r="H14391" s="416">
        <f t="shared" si="594"/>
      </c>
    </row>
    <row r="14392" spans="1:8" ht="15.75" customHeight="1" x14ac:dyDescent="0.25">
      <c r="A14392" s="412">
        <v>7</v>
      </c>
      <c r="B14392" s="1116" t="s">
        <v>1737</v>
      </c>
      <c r="C14392" s="1117" t="s">
        <v>371</v>
      </c>
      <c r="D14392" s="981">
        <v>2</v>
      </c>
      <c r="E14392" s="981">
        <v>6</v>
      </c>
      <c r="F14392" s="415">
        <f t="shared" si="593"/>
      </c>
      <c r="G14392" s="415">
        <v>1</v>
      </c>
      <c r="H14392" s="416">
        <f t="shared" si="594"/>
      </c>
    </row>
    <row r="14393" spans="1:8" ht="15.75" customHeight="1" x14ac:dyDescent="0.25">
      <c r="A14393" s="412">
        <v>8</v>
      </c>
      <c r="B14393" s="1116" t="s">
        <v>15</v>
      </c>
      <c r="C14393" s="1117" t="s">
        <v>388</v>
      </c>
      <c r="D14393" s="981">
        <v>4</v>
      </c>
      <c r="E14393" s="981">
        <v>6</v>
      </c>
      <c r="F14393" s="415">
        <v>23</v>
      </c>
      <c r="G14393" s="415">
        <v>1</v>
      </c>
      <c r="H14393" s="416">
        <f t="shared" si="594"/>
      </c>
    </row>
    <row r="14394" spans="1:8" ht="15.75" customHeight="1" x14ac:dyDescent="0.25">
      <c r="A14394" s="412">
        <v>9</v>
      </c>
      <c r="B14394" s="1116" t="s">
        <v>15</v>
      </c>
      <c r="C14394" s="1117" t="s">
        <v>388</v>
      </c>
      <c r="D14394" s="981"/>
      <c r="E14394" s="981"/>
      <c r="F14394" s="415">
        <v>1</v>
      </c>
      <c r="G14394" s="619" t="s">
        <v>1856</v>
      </c>
      <c r="H14394" s="416"/>
    </row>
    <row r="14395" spans="1:8" ht="15.75" customHeight="1" x14ac:dyDescent="0.25">
      <c r="A14395" s="412">
        <v>10</v>
      </c>
      <c r="B14395" s="1116" t="s">
        <v>146</v>
      </c>
      <c r="C14395" s="1117" t="s">
        <v>380</v>
      </c>
      <c r="D14395" s="981">
        <v>1</v>
      </c>
      <c r="E14395" s="981">
        <v>6</v>
      </c>
      <c r="F14395" s="415">
        <f t="shared" ref="F14395:F14396" si="595">+E14395*D14395</f>
      </c>
      <c r="G14395" s="415">
        <v>1</v>
      </c>
      <c r="H14395" s="416">
        <f t="shared" ref="H14395:H14396" si="596">+G14395*F14395</f>
      </c>
    </row>
    <row r="14396" spans="1:8" ht="15.75" customHeight="1" x14ac:dyDescent="0.25">
      <c r="A14396" s="412">
        <v>11</v>
      </c>
      <c r="B14396" s="1118" t="s">
        <v>81</v>
      </c>
      <c r="C14396" s="993" t="s">
        <v>396</v>
      </c>
      <c r="D14396" s="981">
        <v>1</v>
      </c>
      <c r="E14396" s="981">
        <v>6</v>
      </c>
      <c r="F14396" s="415">
        <f t="shared" si="595"/>
      </c>
      <c r="G14396" s="415">
        <v>1</v>
      </c>
      <c r="H14396" s="416">
        <f t="shared" si="596"/>
      </c>
    </row>
    <row r="14397" spans="1:8" ht="15.75" customHeight="1" x14ac:dyDescent="0.25">
      <c r="A14397" s="412"/>
      <c r="B14397" s="953" t="s">
        <v>1329</v>
      </c>
      <c r="C14397" s="953"/>
      <c r="D14397" s="981"/>
      <c r="E14397" s="981"/>
      <c r="F14397" s="415"/>
      <c r="G14397" s="415"/>
      <c r="H14397" s="416"/>
    </row>
    <row r="14398" spans="1:8" ht="15.75" customHeight="1" x14ac:dyDescent="0.25">
      <c r="A14398" s="412">
        <v>12</v>
      </c>
      <c r="B14398" s="1151" t="s">
        <v>1454</v>
      </c>
      <c r="C14398" s="993" t="s">
        <v>12</v>
      </c>
      <c r="D14398" s="981">
        <v>22</v>
      </c>
      <c r="E14398" s="981">
        <v>24</v>
      </c>
      <c r="F14398" s="415">
        <f>+D14398*E14398</f>
      </c>
      <c r="G14398" s="415">
        <v>1</v>
      </c>
      <c r="H14398" s="416">
        <f>+G14398*F14398</f>
      </c>
    </row>
    <row r="14399" spans="1:8" ht="15.75" customHeight="1" x14ac:dyDescent="0.25">
      <c r="A14399" s="412">
        <v>13</v>
      </c>
      <c r="B14399" s="1151" t="s">
        <v>1454</v>
      </c>
      <c r="C14399" s="993" t="s">
        <v>12</v>
      </c>
      <c r="D14399" s="588">
        <v>2</v>
      </c>
      <c r="E14399" s="981"/>
      <c r="F14399" s="415">
        <f>+E14398*D14399</f>
      </c>
      <c r="G14399" s="619" t="s">
        <v>1856</v>
      </c>
      <c r="H14399" s="416"/>
    </row>
    <row r="14400" spans="1:8" ht="15.75" customHeight="1" x14ac:dyDescent="0.25">
      <c r="A14400" s="412">
        <v>14</v>
      </c>
      <c r="B14400" s="1151" t="s">
        <v>260</v>
      </c>
      <c r="C14400" s="993"/>
      <c r="D14400" s="981">
        <v>1</v>
      </c>
      <c r="E14400" s="981">
        <v>100</v>
      </c>
      <c r="F14400" s="415">
        <v>100</v>
      </c>
      <c r="G14400" s="415">
        <v>1</v>
      </c>
      <c r="H14400" s="416">
        <f t="shared" ref="H14400:H14401" si="597">+G14400*F14400</f>
      </c>
    </row>
    <row r="14401" spans="1:8" ht="15.75" customHeight="1" x14ac:dyDescent="0.25">
      <c r="A14401" s="412">
        <v>15</v>
      </c>
      <c r="B14401" s="1118" t="s">
        <v>1039</v>
      </c>
      <c r="C14401" s="993" t="s">
        <v>419</v>
      </c>
      <c r="D14401" s="588">
        <v>2</v>
      </c>
      <c r="E14401" s="981">
        <v>100</v>
      </c>
      <c r="F14401" s="415">
        <f>+E14401*D14401</f>
      </c>
      <c r="G14401" s="415">
        <v>1</v>
      </c>
      <c r="H14401" s="416">
        <f t="shared" si="597"/>
      </c>
    </row>
    <row r="14402" spans="1:8" ht="15.75" customHeight="1" x14ac:dyDescent="0.25">
      <c r="A14402" s="412"/>
      <c r="B14402" s="1118"/>
      <c r="C14402" s="993"/>
      <c r="D14402" s="588"/>
      <c r="E14402" s="981"/>
      <c r="F14402" s="415"/>
      <c r="G14402" s="415"/>
      <c r="H14402" s="416"/>
    </row>
    <row r="14403" spans="1:8" ht="15.75" customHeight="1" x14ac:dyDescent="0.25">
      <c r="A14403" s="412"/>
      <c r="B14403" s="1118"/>
      <c r="C14403" s="993"/>
      <c r="D14403" s="588"/>
      <c r="E14403" s="981"/>
      <c r="F14403" s="415"/>
      <c r="G14403" s="415"/>
      <c r="H14403" s="416"/>
    </row>
    <row r="14404" spans="1:8" ht="15.75" customHeight="1" x14ac:dyDescent="0.25">
      <c r="A14404" s="412"/>
      <c r="B14404" s="1118"/>
      <c r="C14404" s="993"/>
      <c r="D14404" s="588"/>
      <c r="E14404" s="981"/>
      <c r="F14404" s="415"/>
      <c r="G14404" s="415"/>
      <c r="H14404" s="416"/>
    </row>
    <row r="14405" spans="1:8" ht="15.75" customHeight="1" x14ac:dyDescent="0.25">
      <c r="A14405" s="412"/>
      <c r="B14405" s="1118"/>
      <c r="C14405" s="993"/>
      <c r="D14405" s="588"/>
      <c r="E14405" s="981"/>
      <c r="F14405" s="415"/>
      <c r="G14405" s="415"/>
      <c r="H14405" s="416"/>
    </row>
    <row r="14406" spans="1:8" ht="15.75" customHeight="1" x14ac:dyDescent="0.25">
      <c r="A14406" s="412"/>
      <c r="B14406" s="1118"/>
      <c r="C14406" s="993"/>
      <c r="D14406" s="588"/>
      <c r="E14406" s="981"/>
      <c r="F14406" s="415"/>
      <c r="G14406" s="415"/>
      <c r="H14406" s="416"/>
    </row>
    <row r="14407" spans="1:8" ht="15.75" customHeight="1" x14ac:dyDescent="0.25">
      <c r="A14407" s="412"/>
      <c r="B14407" s="1118"/>
      <c r="C14407" s="993"/>
      <c r="D14407" s="981"/>
      <c r="E14407" s="981"/>
      <c r="F14407" s="415"/>
      <c r="G14407" s="415"/>
      <c r="H14407" s="416"/>
    </row>
    <row r="14408" spans="1:8" ht="15.75" customHeight="1" x14ac:dyDescent="0.25">
      <c r="A14408" s="412"/>
      <c r="B14408" s="1118"/>
      <c r="C14408" s="883" t="s">
        <v>2358</v>
      </c>
      <c r="D14408" s="981"/>
      <c r="E14408" s="981"/>
      <c r="F14408" s="415"/>
      <c r="G14408" s="415"/>
      <c r="H14408" s="416"/>
    </row>
    <row r="14409" spans="1:8" ht="15.75" customHeight="1" x14ac:dyDescent="0.25">
      <c r="A14409" s="880"/>
      <c r="B14409" s="1119"/>
      <c r="C14409" s="1120"/>
      <c r="D14409" s="1121"/>
      <c r="E14409" s="1121"/>
      <c r="F14409" s="892"/>
      <c r="G14409" s="892"/>
      <c r="H14409" s="893"/>
    </row>
    <row r="14410" spans="1:8" ht="15.75" customHeight="1" x14ac:dyDescent="0.25">
      <c r="A14410" s="451"/>
      <c r="B14410" s="1123"/>
      <c r="C14410" s="1092"/>
      <c r="D14410" s="638"/>
      <c r="E14410" s="638"/>
      <c r="F14410" s="391"/>
      <c r="G14410" s="391"/>
      <c r="H14410" s="394"/>
    </row>
    <row r="14411" spans="1:8" ht="15.75" customHeight="1" x14ac:dyDescent="0.25">
      <c r="A14411" s="451"/>
      <c r="B14411" s="1123"/>
      <c r="C14411" s="1092"/>
      <c r="D14411" s="638"/>
      <c r="E14411" s="638"/>
      <c r="F14411" s="391"/>
      <c r="G14411" s="391"/>
      <c r="H14411" s="394"/>
    </row>
    <row r="14412" spans="1:8" ht="15.75" customHeight="1" x14ac:dyDescent="0.25">
      <c r="A14412" s="451"/>
      <c r="B14412" s="1123"/>
      <c r="C14412" s="1092"/>
      <c r="D14412" s="638"/>
      <c r="E14412" s="638"/>
      <c r="F14412" s="391"/>
      <c r="G14412" s="391"/>
      <c r="H14412" s="394"/>
    </row>
    <row r="14413" spans="1:8" ht="15.75" customHeight="1" x14ac:dyDescent="0.25">
      <c r="A14413" s="451"/>
      <c r="B14413" s="1123"/>
      <c r="C14413" s="1092"/>
      <c r="D14413" s="638"/>
      <c r="E14413" s="638"/>
      <c r="F14413" s="391"/>
      <c r="G14413" s="391"/>
      <c r="H14413" s="394"/>
    </row>
    <row r="14414" spans="1:8" ht="15.75" customHeight="1" x14ac:dyDescent="0.25">
      <c r="A14414" s="451"/>
      <c r="B14414" s="1123"/>
      <c r="C14414" s="1092"/>
      <c r="D14414" s="638"/>
      <c r="E14414" s="638"/>
      <c r="F14414" s="391"/>
      <c r="G14414" s="391"/>
      <c r="H14414" s="394"/>
    </row>
    <row r="14415" spans="1:8" ht="15.75" customHeight="1" x14ac:dyDescent="0.25">
      <c r="A14415" s="8" t="s">
        <v>14</v>
      </c>
      <c r="B14415" s="8"/>
      <c r="C14415" s="8"/>
      <c r="D14415" s="8"/>
      <c r="E14415" s="8"/>
      <c r="F14415" s="8"/>
      <c r="G14415" s="8"/>
      <c r="H14415" s="8"/>
    </row>
    <row r="14416" spans="1:8" ht="15.75" customHeight="1" x14ac:dyDescent="0.25">
      <c r="A14416" s="388"/>
      <c r="B14416" s="388"/>
      <c r="C14416" s="388"/>
      <c r="D14416" s="389"/>
      <c r="E14416" s="388"/>
      <c r="F14416" s="388"/>
      <c r="G14416" s="388"/>
      <c r="H14416" s="8"/>
    </row>
    <row r="14417" spans="1:8" ht="15.75" customHeight="1" x14ac:dyDescent="0.25">
      <c r="A14417" s="390"/>
      <c r="B14417" s="390"/>
      <c r="C14417" s="390"/>
      <c r="D14417" s="391"/>
      <c r="E14417" s="390"/>
      <c r="F14417" s="395" t="s">
        <v>18</v>
      </c>
      <c r="G14417" s="396" t="s">
        <v>1241</v>
      </c>
      <c r="H14417" s="397"/>
    </row>
    <row r="14418" spans="1:8" ht="15.75" customHeight="1" x14ac:dyDescent="0.25">
      <c r="A14418" s="390" t="s">
        <v>20</v>
      </c>
      <c r="B14418" s="390"/>
      <c r="C14418" s="883" t="s">
        <v>1287</v>
      </c>
      <c r="D14418" s="391"/>
      <c r="E14418" s="390"/>
      <c r="F14418" s="395" t="s">
        <v>21</v>
      </c>
      <c r="G14418" s="390" t="s">
        <v>1919</v>
      </c>
      <c r="H14418" s="391"/>
    </row>
    <row r="14419" spans="1:8" ht="15.75" customHeight="1" x14ac:dyDescent="0.25">
      <c r="A14419" s="390" t="inlineStr">
        <is>
          <t>Dealer-013</t>
        </is>
      </c>
      <c r="B14419" s="390"/>
      <c r="C14419" s="390" t="inlineStr">
        <is>
          <t>ATTN: Contact-003</t>
        </is>
      </c>
      <c r="D14419" s="398"/>
      <c r="E14419" s="390"/>
      <c r="F14419" s="391"/>
      <c r="G14419" s="390"/>
      <c r="H14419" s="394"/>
    </row>
    <row r="14420" spans="1:8" ht="15.75" customHeight="1" x14ac:dyDescent="0.25">
      <c r="A14420" s="390" t="inlineStr">
        <is>
          <t>Address line (redacted)</t>
        </is>
      </c>
      <c r="B14420" s="390"/>
      <c r="C14420" s="390"/>
      <c r="D14420" s="398"/>
      <c r="E14420" s="390"/>
      <c r="F14420" s="391"/>
      <c r="G14420" s="390"/>
      <c r="H14420" s="394"/>
    </row>
    <row r="14421" spans="1:8" ht="15.75" customHeight="1" x14ac:dyDescent="0.25">
      <c r="A14421" s="390" t="inlineStr">
        <is>
          <t>Address line (redacted)</t>
        </is>
      </c>
      <c r="B14421" s="390"/>
      <c r="C14421" s="390"/>
      <c r="D14421" s="391"/>
      <c r="E14421" s="390"/>
      <c r="F14421" s="391"/>
      <c r="G14421" s="390"/>
      <c r="H14421" s="394"/>
    </row>
    <row r="14422" spans="1:8" ht="15.75" customHeight="1" x14ac:dyDescent="0.25">
      <c r="A14422" s="390"/>
      <c r="B14422" s="390"/>
      <c r="C14422" s="885"/>
      <c r="D14422" s="391"/>
      <c r="E14422" s="390"/>
      <c r="F14422" s="391"/>
      <c r="G14422" s="390"/>
      <c r="H14422" s="394"/>
    </row>
    <row r="14423" spans="1:8" ht="15.75" customHeight="1" x14ac:dyDescent="0.25">
      <c r="A14423" s="390" t="s">
        <v>30</v>
      </c>
      <c r="B14423" s="390"/>
      <c r="C14423" s="390"/>
      <c r="D14423" s="391"/>
      <c r="E14423" s="390"/>
      <c r="F14423" s="391"/>
      <c r="G14423" s="390"/>
      <c r="H14423" s="394"/>
    </row>
    <row r="14424" spans="1:8" ht="15.75" customHeight="1" x14ac:dyDescent="0.25">
      <c r="A14424" s="390"/>
      <c r="B14424" s="390"/>
      <c r="C14424" s="390"/>
      <c r="D14424" s="391"/>
      <c r="E14424" s="390"/>
      <c r="F14424" s="391"/>
      <c r="G14424" s="390"/>
      <c r="H14424" s="394"/>
    </row>
    <row r="14425" spans="1:8" ht="15.75" customHeight="1" x14ac:dyDescent="0.25">
      <c r="A14425" s="390" t="s">
        <v>716</v>
      </c>
      <c r="B14425" s="390"/>
      <c r="C14425" s="390"/>
      <c r="D14425" s="391"/>
      <c r="E14425" s="390"/>
      <c r="F14425" s="391"/>
      <c r="G14425" s="390"/>
      <c r="H14425" s="394"/>
    </row>
    <row r="14426" spans="1:8" ht="15.75" customHeight="1" x14ac:dyDescent="0.25">
      <c r="A14426" s="390" t="s">
        <v>717</v>
      </c>
      <c r="B14426" s="390"/>
      <c r="C14426" s="390"/>
      <c r="D14426" s="391"/>
      <c r="E14426" s="390"/>
      <c r="F14426" s="391"/>
      <c r="G14426" s="390"/>
      <c r="H14426" s="394"/>
    </row>
    <row r="14427" spans="1:8" ht="15.75" customHeight="1" x14ac:dyDescent="0.25">
      <c r="A14427" s="948" t="s">
        <v>33</v>
      </c>
      <c r="B14427" s="872" t="s">
        <v>6</v>
      </c>
      <c r="C14427" s="872"/>
      <c r="D14427" s="874" t="s">
        <v>37</v>
      </c>
      <c r="E14427" s="874" t="s">
        <v>38</v>
      </c>
      <c r="F14427" s="875" t="s">
        <v>7</v>
      </c>
      <c r="G14427" s="872" t="s">
        <v>43</v>
      </c>
      <c r="H14427" s="876" t="s">
        <v>44</v>
      </c>
    </row>
    <row r="14428" spans="1:8" ht="15.75" customHeight="1" x14ac:dyDescent="0.25">
      <c r="A14428" s="412"/>
      <c r="B14428" s="1118"/>
      <c r="C14428" s="993"/>
      <c r="D14428" s="981"/>
      <c r="E14428" s="981"/>
      <c r="F14428" s="415"/>
      <c r="G14428" s="415"/>
      <c r="H14428" s="416"/>
    </row>
    <row r="14429" spans="1:8" ht="15.75" customHeight="1" x14ac:dyDescent="0.25">
      <c r="A14429" s="412"/>
      <c r="B14429" s="953" t="s">
        <v>1356</v>
      </c>
      <c r="C14429" s="953"/>
      <c r="D14429" s="626"/>
      <c r="E14429" s="930"/>
      <c r="F14429" s="415"/>
      <c r="G14429" s="415"/>
      <c r="H14429" s="416"/>
    </row>
    <row r="14430" spans="1:8" ht="15.75" customHeight="1" x14ac:dyDescent="0.25">
      <c r="A14430" s="412">
        <v>16</v>
      </c>
      <c r="B14430" s="1118" t="s">
        <v>320</v>
      </c>
      <c r="C14430" s="1127" t="s">
        <v>316</v>
      </c>
      <c r="D14430" s="626">
        <v>1</v>
      </c>
      <c r="E14430" s="930">
        <v>10</v>
      </c>
      <c r="F14430" s="842">
        <f t="shared" ref="F14430:F14439" si="598">+E14430*D14430</f>
      </c>
      <c r="G14430" s="415">
        <v>1</v>
      </c>
      <c r="H14430" s="416">
        <f t="shared" ref="H14430:H14439" si="599">+G14430*F14430</f>
      </c>
    </row>
    <row r="14431" spans="1:8" ht="15.75" customHeight="1" x14ac:dyDescent="0.25">
      <c r="A14431" s="412">
        <v>17</v>
      </c>
      <c r="B14431" s="1118" t="s">
        <v>320</v>
      </c>
      <c r="C14431" s="1127" t="s">
        <v>316</v>
      </c>
      <c r="D14431" s="626">
        <v>1</v>
      </c>
      <c r="E14431" s="930">
        <v>5</v>
      </c>
      <c r="F14431" s="842">
        <f t="shared" si="598"/>
      </c>
      <c r="G14431" s="415">
        <v>1</v>
      </c>
      <c r="H14431" s="416">
        <f t="shared" si="599"/>
      </c>
    </row>
    <row r="14432" spans="1:8" ht="15.75" customHeight="1" x14ac:dyDescent="0.25">
      <c r="A14432" s="412">
        <v>18</v>
      </c>
      <c r="B14432" s="1118" t="s">
        <v>2036</v>
      </c>
      <c r="C14432" s="993" t="s">
        <v>16</v>
      </c>
      <c r="D14432" s="626">
        <v>3</v>
      </c>
      <c r="E14432" s="930">
        <v>5</v>
      </c>
      <c r="F14432" s="842">
        <f t="shared" si="598"/>
      </c>
      <c r="G14432" s="415">
        <v>1</v>
      </c>
      <c r="H14432" s="416">
        <f t="shared" si="599"/>
      </c>
    </row>
    <row r="14433" spans="1:20" ht="15.75" customHeight="1" x14ac:dyDescent="0.25">
      <c r="A14433" s="412">
        <v>19</v>
      </c>
      <c r="B14433" s="1118" t="s">
        <v>696</v>
      </c>
      <c r="C14433" s="993" t="s">
        <v>107</v>
      </c>
      <c r="D14433" s="626">
        <v>3</v>
      </c>
      <c r="E14433" s="930">
        <v>5</v>
      </c>
      <c r="F14433" s="842">
        <f t="shared" si="598"/>
      </c>
      <c r="G14433" s="415">
        <v>1</v>
      </c>
      <c r="H14433" s="416">
        <f t="shared" si="599"/>
      </c>
    </row>
    <row r="14434" spans="1:20" ht="15.75" customHeight="1" x14ac:dyDescent="0.25">
      <c r="A14434" s="412">
        <v>20</v>
      </c>
      <c r="B14434" s="585" t="s">
        <v>2127</v>
      </c>
      <c r="C14434" s="993" t="s">
        <v>328</v>
      </c>
      <c r="D14434" s="626">
        <v>1</v>
      </c>
      <c r="E14434" s="930">
        <v>5</v>
      </c>
      <c r="F14434" s="842">
        <f t="shared" si="598"/>
      </c>
      <c r="G14434" s="415">
        <v>1</v>
      </c>
      <c r="H14434" s="416">
        <f t="shared" si="599"/>
      </c>
    </row>
    <row r="14435" spans="1:20" ht="15.75" customHeight="1" x14ac:dyDescent="0.25">
      <c r="A14435" s="412">
        <v>21</v>
      </c>
      <c r="B14435" s="585" t="s">
        <v>1298</v>
      </c>
      <c r="C14435" s="993" t="s">
        <v>337</v>
      </c>
      <c r="D14435" s="626">
        <v>1</v>
      </c>
      <c r="E14435" s="930">
        <v>5</v>
      </c>
      <c r="F14435" s="842">
        <f t="shared" si="598"/>
      </c>
      <c r="G14435" s="415">
        <v>1</v>
      </c>
      <c r="H14435" s="416">
        <f t="shared" si="599"/>
      </c>
    </row>
    <row r="14436" spans="1:20" ht="15.75" customHeight="1" x14ac:dyDescent="0.25">
      <c r="A14436" s="412">
        <v>22</v>
      </c>
      <c r="B14436" s="585" t="s">
        <v>139</v>
      </c>
      <c r="C14436" s="993" t="s">
        <v>336</v>
      </c>
      <c r="D14436" s="626">
        <v>2</v>
      </c>
      <c r="E14436" s="930">
        <v>5</v>
      </c>
      <c r="F14436" s="842">
        <f t="shared" si="598"/>
      </c>
      <c r="G14436" s="415">
        <v>1</v>
      </c>
      <c r="H14436" s="416">
        <f t="shared" si="599"/>
      </c>
    </row>
    <row r="14437" spans="1:20" ht="15.75" customHeight="1" x14ac:dyDescent="0.25">
      <c r="A14437" s="412">
        <v>23</v>
      </c>
      <c r="B14437" s="585" t="s">
        <v>530</v>
      </c>
      <c r="C14437" s="993" t="s">
        <v>338</v>
      </c>
      <c r="D14437" s="626">
        <v>2</v>
      </c>
      <c r="E14437" s="930">
        <v>5</v>
      </c>
      <c r="F14437" s="842">
        <f t="shared" si="598"/>
      </c>
      <c r="G14437" s="415">
        <v>1</v>
      </c>
      <c r="H14437" s="416">
        <f t="shared" si="599"/>
      </c>
    </row>
    <row r="14438" spans="1:20" ht="15.75" customHeight="1" x14ac:dyDescent="0.25">
      <c r="A14438" s="412">
        <v>24</v>
      </c>
      <c r="B14438" s="913" t="s">
        <v>143</v>
      </c>
      <c r="C14438" s="1127" t="s">
        <v>339</v>
      </c>
      <c r="D14438" s="626">
        <v>2</v>
      </c>
      <c r="E14438" s="930">
        <v>5</v>
      </c>
      <c r="F14438" s="842">
        <f t="shared" si="598"/>
      </c>
      <c r="G14438" s="415">
        <v>1</v>
      </c>
      <c r="H14438" s="416">
        <f t="shared" si="599"/>
      </c>
    </row>
    <row r="14439" spans="1:20" ht="15.75" customHeight="1" x14ac:dyDescent="0.25">
      <c r="A14439" s="412">
        <v>25</v>
      </c>
      <c r="B14439" s="913" t="s">
        <v>122</v>
      </c>
      <c r="C14439" s="1127" t="s">
        <v>321</v>
      </c>
      <c r="D14439" s="626">
        <v>3</v>
      </c>
      <c r="E14439" s="930">
        <v>5</v>
      </c>
      <c r="F14439" s="842">
        <f t="shared" si="598"/>
      </c>
      <c r="G14439" s="415">
        <v>1</v>
      </c>
      <c r="H14439" s="416">
        <f t="shared" si="599"/>
      </c>
    </row>
    <row r="14440" spans="1:20" ht="15.75" customHeight="1" x14ac:dyDescent="0.25">
      <c r="A14440" s="412"/>
      <c r="B14440" s="913"/>
      <c r="C14440" s="1127"/>
      <c r="D14440" s="626"/>
      <c r="E14440" s="930"/>
      <c r="F14440" s="415"/>
      <c r="G14440" s="578"/>
      <c r="H14440" s="416"/>
    </row>
    <row r="14441" spans="1:20" ht="15.75" customHeight="1" x14ac:dyDescent="0.25">
      <c r="A14441" s="412"/>
      <c r="B14441" s="913"/>
      <c r="C14441" s="1127"/>
      <c r="D14441" s="626"/>
      <c r="E14441" s="930"/>
      <c r="F14441" s="415"/>
      <c r="G14441" s="578"/>
      <c r="H14441" s="416"/>
    </row>
    <row r="14442" spans="1:20" ht="15.75" customHeight="1" x14ac:dyDescent="0.25">
      <c r="A14442" s="412"/>
      <c r="B14442" s="913"/>
      <c r="C14442" s="1127"/>
      <c r="D14442" s="626"/>
      <c r="E14442" s="930"/>
      <c r="F14442" s="415"/>
      <c r="G14442" s="578"/>
      <c r="H14442" s="416"/>
    </row>
    <row r="14443" spans="1:20" ht="15.75" customHeight="1" x14ac:dyDescent="0.25">
      <c r="A14443" s="412"/>
      <c r="B14443" s="1127"/>
      <c r="C14443" s="993"/>
      <c r="D14443" s="626"/>
      <c r="E14443" s="626"/>
      <c r="F14443" s="415"/>
      <c r="G14443" s="415"/>
      <c r="H14443" s="416"/>
      <c r="I14443" s="674"/>
      <c r="J14443" s="674"/>
      <c r="K14443" s="674"/>
      <c r="L14443" s="674"/>
      <c r="M14443" s="674"/>
      <c r="N14443" s="674"/>
      <c r="O14443" s="674"/>
      <c r="P14443" s="674"/>
      <c r="Q14443" s="674"/>
      <c r="R14443" s="674"/>
      <c r="S14443" s="674"/>
      <c r="T14443" s="674"/>
    </row>
    <row r="14444" spans="1:20" ht="15.75" customHeight="1" x14ac:dyDescent="0.25">
      <c r="A14444" s="877"/>
      <c r="B14444" s="688"/>
      <c r="C14444" s="896" t="s">
        <v>85</v>
      </c>
      <c r="D14444" s="401"/>
      <c r="E14444" s="401"/>
      <c r="F14444" s="401"/>
      <c r="G14444" s="661"/>
      <c r="H14444" s="623">
        <f>+H14439+H14438+H14437+H14436+H14435+H14434+H14433+H14432+H14431+H14430+H14401+H14400+H14398+H14396+H14395+H14393+H14392+H14391+H14390+H14388+H14387+H14386+H14385</f>
      </c>
    </row>
    <row r="14445" spans="1:20" ht="15.75" customHeight="1" x14ac:dyDescent="0.25">
      <c r="A14445" s="932"/>
      <c r="B14445" s="933"/>
      <c r="C14445" s="934"/>
      <c r="D14445" s="431"/>
      <c r="E14445" s="935"/>
      <c r="F14445" s="935"/>
      <c r="G14445" s="936"/>
      <c r="H14445" s="444"/>
    </row>
    <row r="14446" spans="1:20" ht="15.75" customHeight="1" x14ac:dyDescent="0.25">
      <c r="A14446" s="994"/>
      <c r="B14446" s="391"/>
      <c r="C14446" s="391"/>
      <c r="D14446" s="391"/>
      <c r="E14446" s="390"/>
      <c r="F14446" s="392"/>
      <c r="G14446" s="390"/>
      <c r="H14446" s="394"/>
    </row>
    <row r="14447" spans="1:20" ht="15.75" customHeight="1" x14ac:dyDescent="0.25">
      <c r="A14447" s="445"/>
      <c r="B14447" s="445"/>
      <c r="C14447" s="445"/>
      <c r="D14447" s="446" t="s">
        <v>97</v>
      </c>
      <c r="E14447" s="445" t="s">
        <v>98</v>
      </c>
      <c r="F14447" s="445"/>
      <c r="G14447" s="390"/>
      <c r="H14447" s="394"/>
    </row>
    <row r="14448" spans="1:20" ht="15.75" customHeight="1" x14ac:dyDescent="0.25">
      <c r="A14448" s="445"/>
      <c r="B14448" s="445"/>
      <c r="C14448" s="445"/>
      <c r="D14448" s="446"/>
      <c r="E14448" s="445"/>
      <c r="F14448" s="445"/>
      <c r="G14448" s="390"/>
      <c r="H14448" s="394"/>
    </row>
    <row r="14449" spans="1:8" ht="15.75" customHeight="1" x14ac:dyDescent="0.25">
      <c r="A14449" s="445"/>
      <c r="B14449" s="445"/>
      <c r="C14449" s="445"/>
      <c r="D14449" s="446"/>
      <c r="E14449" s="445" t="s">
        <v>99</v>
      </c>
      <c r="F14449" s="445"/>
      <c r="G14449" s="390"/>
      <c r="H14449" s="394"/>
    </row>
    <row r="14450" spans="1:8" ht="15.75" customHeight="1" x14ac:dyDescent="0.25">
      <c r="D14450" s="4"/>
      <c r="H14450" s="4"/>
    </row>
    <row r="14451" spans="1:8" ht="15.75" customHeight="1" x14ac:dyDescent="0.25">
      <c r="D14451" s="4"/>
      <c r="H14451" s="4"/>
    </row>
    <row r="14452" spans="1:8" ht="15.75" customHeight="1" x14ac:dyDescent="0.25">
      <c r="D14452" s="4"/>
      <c r="H14452" s="4"/>
    </row>
    <row r="14453" spans="1:8" ht="15.75" customHeight="1" x14ac:dyDescent="0.25">
      <c r="D14453" s="4"/>
      <c r="H14453" s="4"/>
    </row>
    <row r="14454" spans="1:8" ht="15.75" customHeight="1" x14ac:dyDescent="0.25">
      <c r="D14454" s="4"/>
      <c r="H14454" s="4"/>
    </row>
    <row r="14455" spans="1:8" ht="15.75" customHeight="1" x14ac:dyDescent="0.25">
      <c r="D14455" s="4"/>
      <c r="H14455" s="4"/>
    </row>
    <row r="14456" spans="1:8" ht="15.75" customHeight="1" x14ac:dyDescent="0.25">
      <c r="D14456" s="4"/>
      <c r="H14456" s="4"/>
    </row>
    <row r="14457" spans="1:8" ht="15.75" customHeight="1" x14ac:dyDescent="0.25">
      <c r="D14457" s="4"/>
      <c r="H14457" s="4"/>
    </row>
    <row r="14458" spans="1:8" ht="15.75" customHeight="1" x14ac:dyDescent="0.25">
      <c r="D14458" s="4"/>
      <c r="H14458" s="4"/>
    </row>
    <row r="14459" spans="1:8" ht="15.75" customHeight="1" x14ac:dyDescent="0.25">
      <c r="D14459" s="4"/>
      <c r="H14459" s="4"/>
    </row>
    <row r="14460" spans="1:8" ht="15.75" customHeight="1" x14ac:dyDescent="0.25">
      <c r="D14460" s="4"/>
      <c r="H14460" s="4"/>
    </row>
    <row r="14461" spans="1:8" ht="15.75" customHeight="1" x14ac:dyDescent="0.25">
      <c r="D14461" s="4"/>
      <c r="H14461" s="4"/>
    </row>
    <row r="14462" spans="1:8" ht="15.75" customHeight="1" x14ac:dyDescent="0.25">
      <c r="A14462" s="8" t="s">
        <v>14</v>
      </c>
      <c r="B14462" s="8"/>
      <c r="C14462" s="8"/>
      <c r="D14462" s="8"/>
      <c r="E14462" s="8"/>
      <c r="F14462" s="8"/>
      <c r="G14462" s="8"/>
      <c r="H14462" s="8"/>
    </row>
    <row r="14463" spans="1:8" ht="15.75" customHeight="1" x14ac:dyDescent="0.25">
      <c r="A14463" s="388"/>
      <c r="B14463" s="388"/>
      <c r="C14463" s="388"/>
      <c r="D14463" s="389"/>
      <c r="E14463" s="388"/>
      <c r="F14463" s="388"/>
      <c r="G14463" s="388"/>
      <c r="H14463" s="8"/>
    </row>
    <row r="14464" spans="1:8" ht="15.75" customHeight="1" x14ac:dyDescent="0.25">
      <c r="A14464" s="390"/>
      <c r="B14464" s="390"/>
      <c r="C14464" s="390"/>
      <c r="D14464" s="391"/>
      <c r="E14464" s="390"/>
      <c r="F14464" s="395" t="s">
        <v>18</v>
      </c>
      <c r="G14464" s="396" t="s">
        <v>1241</v>
      </c>
      <c r="H14464" s="397"/>
    </row>
    <row r="14465" spans="1:8" ht="15.75" customHeight="1" x14ac:dyDescent="0.25">
      <c r="A14465" s="390" t="s">
        <v>20</v>
      </c>
      <c r="B14465" s="390"/>
      <c r="D14465" s="391"/>
      <c r="E14465" s="390"/>
      <c r="F14465" s="395" t="s">
        <v>21</v>
      </c>
      <c r="G14465" s="390" t="s">
        <v>2190</v>
      </c>
      <c r="H14465" s="391"/>
    </row>
    <row r="14466" spans="1:8" ht="15.75" customHeight="1" x14ac:dyDescent="0.25">
      <c r="A14466" s="390" t="inlineStr">
        <is>
          <t>Dealer-003</t>
        </is>
      </c>
      <c r="B14466" s="390"/>
      <c r="C14466" s="393" t="inlineStr">
        <is>
          <t>ATTN: Contact-007</t>
        </is>
      </c>
      <c r="D14466" s="398"/>
      <c r="E14466" s="390"/>
      <c r="F14466" s="391"/>
      <c r="G14466" s="390"/>
      <c r="H14466" s="394"/>
    </row>
    <row r="14467" spans="1:8" ht="15.75" customHeight="1" x14ac:dyDescent="0.25">
      <c r="A14467" s="390" t="inlineStr">
        <is>
          <t>Address line (redacted)</t>
        </is>
      </c>
      <c r="B14467" s="390"/>
      <c r="C14467" s="390"/>
      <c r="D14467" s="398"/>
      <c r="E14467" s="390"/>
      <c r="F14467" s="391"/>
      <c r="G14467" s="390"/>
      <c r="H14467" s="394"/>
    </row>
    <row r="14468" spans="1:8" ht="15.75" customHeight="1" x14ac:dyDescent="0.25">
      <c r="A14468" s="390"/>
      <c r="B14468" s="390"/>
      <c r="C14468" s="390"/>
      <c r="D14468" s="391"/>
      <c r="E14468" s="390"/>
      <c r="F14468" s="391"/>
      <c r="G14468" s="390"/>
      <c r="H14468" s="394"/>
    </row>
    <row r="14469" spans="1:8" ht="15.75" customHeight="1" x14ac:dyDescent="0.25">
      <c r="A14469" s="390" t="s">
        <v>30</v>
      </c>
      <c r="B14469" s="390"/>
      <c r="C14469" s="390"/>
      <c r="D14469" s="391"/>
      <c r="E14469" s="390"/>
      <c r="F14469" s="391"/>
      <c r="G14469" s="390"/>
      <c r="H14469" s="394"/>
    </row>
    <row r="14470" spans="1:8" ht="15.75" customHeight="1" x14ac:dyDescent="0.25">
      <c r="A14470" s="390"/>
      <c r="B14470" s="390"/>
      <c r="C14470" s="390"/>
      <c r="D14470" s="391"/>
      <c r="E14470" s="390"/>
      <c r="F14470" s="391"/>
      <c r="G14470" s="390"/>
      <c r="H14470" s="394"/>
    </row>
    <row r="14471" spans="1:8" ht="15.75" customHeight="1" x14ac:dyDescent="0.25">
      <c r="A14471" s="390" t="s">
        <v>716</v>
      </c>
      <c r="B14471" s="390"/>
      <c r="C14471" s="390"/>
      <c r="D14471" s="391"/>
      <c r="E14471" s="390"/>
      <c r="F14471" s="391"/>
      <c r="G14471" s="390"/>
      <c r="H14471" s="394"/>
    </row>
    <row r="14472" spans="1:8" ht="15.75" customHeight="1" x14ac:dyDescent="0.25">
      <c r="A14472" s="390" t="s">
        <v>717</v>
      </c>
      <c r="B14472" s="390"/>
      <c r="C14472" s="390"/>
      <c r="D14472" s="391"/>
      <c r="E14472" s="390"/>
      <c r="F14472" s="391"/>
      <c r="G14472" s="390"/>
      <c r="H14472" s="394"/>
    </row>
    <row r="14473" spans="1:8" ht="15.75" customHeight="1" x14ac:dyDescent="0.25">
      <c r="A14473" s="390"/>
      <c r="B14473" s="390"/>
      <c r="C14473" s="390"/>
      <c r="D14473" s="391"/>
      <c r="E14473" s="390"/>
      <c r="F14473" s="391"/>
      <c r="G14473" s="390"/>
      <c r="H14473" s="394"/>
    </row>
    <row r="14474" spans="1:8" ht="15.75" customHeight="1" x14ac:dyDescent="0.25">
      <c r="A14474" s="948" t="s">
        <v>33</v>
      </c>
      <c r="B14474" s="872" t="s">
        <v>6</v>
      </c>
      <c r="C14474" s="872"/>
      <c r="D14474" s="874" t="s">
        <v>37</v>
      </c>
      <c r="E14474" s="874" t="s">
        <v>38</v>
      </c>
      <c r="F14474" s="875" t="s">
        <v>7</v>
      </c>
      <c r="G14474" s="872" t="s">
        <v>43</v>
      </c>
      <c r="H14474" s="876" t="s">
        <v>44</v>
      </c>
    </row>
    <row r="14475" spans="1:8" ht="15.75" customHeight="1" x14ac:dyDescent="0.3">
      <c r="A14475" s="412"/>
      <c r="B14475" s="1033"/>
      <c r="C14475" s="1033"/>
      <c r="D14475" s="879"/>
      <c r="E14475" s="879"/>
      <c r="F14475" s="415"/>
      <c r="G14475" s="415"/>
      <c r="H14475" s="416"/>
    </row>
    <row r="14476" spans="1:8" ht="15.75" customHeight="1" x14ac:dyDescent="0.25">
      <c r="A14476" s="412"/>
      <c r="B14476" s="953" t="s">
        <v>2162</v>
      </c>
      <c r="C14476" s="953"/>
      <c r="D14476" s="626"/>
      <c r="E14476" s="930"/>
      <c r="F14476" s="415"/>
      <c r="G14476" s="415"/>
      <c r="H14476" s="416"/>
    </row>
    <row r="14477" spans="1:8" ht="15.75" customHeight="1" x14ac:dyDescent="0.25">
      <c r="A14477" s="412">
        <v>1</v>
      </c>
      <c r="B14477" s="1118">
        <v>404</v>
      </c>
      <c r="C14477" s="993"/>
      <c r="D14477" s="981">
        <v>110</v>
      </c>
      <c r="E14477" s="981">
        <v>1</v>
      </c>
      <c r="F14477" s="415">
        <f t="shared" ref="F14477:F14478" si="600">+E14477*D14477</f>
      </c>
      <c r="G14477" s="415">
        <v>1</v>
      </c>
      <c r="H14477" s="416">
        <f>+G14477*F14477</f>
      </c>
    </row>
    <row r="14478" spans="1:8" ht="15.75" customHeight="1" x14ac:dyDescent="0.25">
      <c r="A14478" s="412">
        <v>2</v>
      </c>
      <c r="B14478" s="1118">
        <v>404</v>
      </c>
      <c r="C14478" s="993"/>
      <c r="D14478" s="981">
        <v>10</v>
      </c>
      <c r="E14478" s="981">
        <v>1</v>
      </c>
      <c r="F14478" s="415">
        <f t="shared" si="600"/>
      </c>
      <c r="G14478" s="619" t="s">
        <v>1856</v>
      </c>
      <c r="H14478" s="416"/>
    </row>
    <row r="14479" spans="1:8" ht="15.75" customHeight="1" x14ac:dyDescent="0.25">
      <c r="A14479" s="412"/>
      <c r="B14479" s="1152" t="s">
        <v>2369</v>
      </c>
      <c r="C14479" s="1153"/>
      <c r="D14479" s="626"/>
      <c r="E14479" s="930"/>
      <c r="F14479" s="415"/>
      <c r="G14479" s="415"/>
      <c r="H14479" s="416"/>
    </row>
    <row r="14480" spans="1:8" ht="15.75" customHeight="1" x14ac:dyDescent="0.25">
      <c r="A14480" s="412"/>
      <c r="B14480" s="1154"/>
      <c r="C14480" s="1155"/>
      <c r="D14480" s="626"/>
      <c r="E14480" s="930"/>
      <c r="F14480" s="415"/>
      <c r="G14480" s="578"/>
      <c r="H14480" s="416"/>
    </row>
    <row r="14481" spans="1:8" ht="15.75" customHeight="1" x14ac:dyDescent="0.25">
      <c r="A14481" s="412"/>
      <c r="B14481" s="1156"/>
      <c r="C14481" s="1157"/>
      <c r="D14481" s="626"/>
      <c r="E14481" s="930"/>
      <c r="F14481" s="415"/>
      <c r="G14481" s="415"/>
      <c r="H14481" s="416"/>
    </row>
    <row r="14482" spans="1:8" ht="15.75" customHeight="1" x14ac:dyDescent="0.25">
      <c r="A14482" s="412"/>
      <c r="B14482" s="585"/>
      <c r="C14482" s="993"/>
      <c r="D14482" s="626"/>
      <c r="E14482" s="930"/>
      <c r="F14482" s="415"/>
      <c r="G14482" s="415"/>
      <c r="H14482" s="416"/>
    </row>
    <row r="14483" spans="1:8" ht="15.75" customHeight="1" x14ac:dyDescent="0.25">
      <c r="A14483" s="412"/>
      <c r="B14483" s="585"/>
      <c r="C14483" s="993"/>
      <c r="D14483" s="626"/>
      <c r="E14483" s="930"/>
      <c r="F14483" s="415"/>
      <c r="G14483" s="578"/>
      <c r="H14483" s="416"/>
    </row>
    <row r="14484" spans="1:8" ht="15.75" customHeight="1" x14ac:dyDescent="0.25">
      <c r="A14484" s="412"/>
      <c r="B14484" s="585"/>
      <c r="C14484" s="993"/>
      <c r="D14484" s="626"/>
      <c r="E14484" s="930"/>
      <c r="F14484" s="415"/>
      <c r="G14484" s="415"/>
      <c r="H14484" s="416"/>
    </row>
    <row r="14485" spans="1:8" ht="15.75" customHeight="1" x14ac:dyDescent="0.25">
      <c r="A14485" s="412"/>
      <c r="B14485" s="585"/>
      <c r="C14485" s="993"/>
      <c r="D14485" s="626"/>
      <c r="E14485" s="930"/>
      <c r="F14485" s="415"/>
      <c r="G14485" s="578"/>
      <c r="H14485" s="416"/>
    </row>
    <row r="14486" spans="1:8" ht="15.75" customHeight="1" x14ac:dyDescent="0.25">
      <c r="A14486" s="412"/>
      <c r="B14486" s="585"/>
      <c r="C14486" s="993"/>
      <c r="D14486" s="626"/>
      <c r="E14486" s="930"/>
      <c r="F14486" s="415"/>
      <c r="G14486" s="578"/>
      <c r="H14486" s="416"/>
    </row>
    <row r="14487" spans="1:8" ht="15.75" customHeight="1" x14ac:dyDescent="0.25">
      <c r="A14487" s="412"/>
      <c r="B14487" s="585"/>
      <c r="C14487" s="993"/>
      <c r="D14487" s="626"/>
      <c r="E14487" s="930"/>
      <c r="F14487" s="415"/>
      <c r="G14487" s="578"/>
      <c r="H14487" s="416"/>
    </row>
    <row r="14488" spans="1:8" ht="15.75" customHeight="1" x14ac:dyDescent="0.25">
      <c r="A14488" s="412"/>
      <c r="B14488" s="913"/>
      <c r="C14488" s="1127"/>
      <c r="D14488" s="626"/>
      <c r="E14488" s="930"/>
      <c r="F14488" s="415"/>
      <c r="G14488" s="578"/>
      <c r="H14488" s="416"/>
    </row>
    <row r="14489" spans="1:8" ht="15.75" customHeight="1" x14ac:dyDescent="0.25">
      <c r="A14489" s="412"/>
      <c r="B14489" s="913"/>
      <c r="C14489" s="1127"/>
      <c r="D14489" s="626"/>
      <c r="E14489" s="930"/>
      <c r="F14489" s="415"/>
      <c r="G14489" s="578"/>
      <c r="H14489" s="416"/>
    </row>
    <row r="14490" spans="1:8" ht="15.75" customHeight="1" x14ac:dyDescent="0.25">
      <c r="A14490" s="412"/>
      <c r="B14490" s="585"/>
      <c r="C14490" s="993"/>
      <c r="D14490" s="626"/>
      <c r="E14490" s="930"/>
      <c r="F14490" s="415"/>
      <c r="G14490" s="578"/>
      <c r="H14490" s="416"/>
    </row>
    <row r="14491" spans="1:8" ht="15.75" customHeight="1" x14ac:dyDescent="0.25">
      <c r="A14491" s="412"/>
      <c r="B14491" s="585"/>
      <c r="C14491" s="993"/>
      <c r="D14491" s="626"/>
      <c r="E14491" s="930"/>
      <c r="F14491" s="415"/>
      <c r="G14491" s="578"/>
      <c r="H14491" s="416"/>
    </row>
    <row r="14492" spans="1:8" ht="15.75" customHeight="1" x14ac:dyDescent="0.25">
      <c r="A14492" s="412"/>
      <c r="B14492" s="913"/>
      <c r="C14492" s="993"/>
      <c r="D14492" s="626"/>
      <c r="E14492" s="930"/>
      <c r="F14492" s="415"/>
      <c r="G14492" s="415"/>
      <c r="H14492" s="416"/>
    </row>
    <row r="14493" spans="1:8" ht="15.75" customHeight="1" x14ac:dyDescent="0.25">
      <c r="A14493" s="412"/>
      <c r="B14493" s="1127"/>
      <c r="C14493" s="993"/>
      <c r="D14493" s="626"/>
      <c r="E14493" s="626"/>
      <c r="F14493" s="415"/>
      <c r="G14493" s="415"/>
      <c r="H14493" s="416"/>
    </row>
    <row r="14494" spans="1:8" ht="15.75" customHeight="1" x14ac:dyDescent="0.25">
      <c r="A14494" s="877"/>
      <c r="B14494" s="688"/>
      <c r="C14494" s="896" t="s">
        <v>85</v>
      </c>
      <c r="D14494" s="599"/>
      <c r="E14494" s="401"/>
      <c r="F14494" s="599"/>
      <c r="G14494" s="661"/>
      <c r="H14494" s="438">
        <f>SUM(H14477:H14493)</f>
      </c>
    </row>
    <row r="14495" spans="1:8" ht="15.75" customHeight="1" x14ac:dyDescent="0.25">
      <c r="A14495" s="932"/>
      <c r="B14495" s="933"/>
      <c r="C14495" s="934"/>
      <c r="D14495" s="431"/>
      <c r="E14495" s="935"/>
      <c r="F14495" s="935"/>
      <c r="G14495" s="936"/>
      <c r="H14495" s="444"/>
    </row>
    <row r="14496" spans="1:8" ht="15.75" customHeight="1" x14ac:dyDescent="0.25">
      <c r="A14496" s="994"/>
      <c r="B14496" s="391"/>
      <c r="C14496" s="391"/>
      <c r="D14496" s="391"/>
      <c r="E14496" s="390"/>
      <c r="F14496" s="392"/>
      <c r="G14496" s="390"/>
      <c r="H14496" s="394"/>
    </row>
    <row r="14497" spans="1:9" ht="15.75" customHeight="1" x14ac:dyDescent="0.25">
      <c r="A14497" s="445"/>
      <c r="B14497" s="445"/>
      <c r="C14497" s="445"/>
      <c r="D14497" s="446" t="s">
        <v>97</v>
      </c>
      <c r="E14497" s="445" t="s">
        <v>98</v>
      </c>
      <c r="F14497" s="445"/>
      <c r="G14497" s="390"/>
      <c r="H14497" s="394"/>
    </row>
    <row r="14498" spans="1:9" ht="15.75" customHeight="1" x14ac:dyDescent="0.25">
      <c r="A14498" s="445"/>
      <c r="B14498" s="445"/>
      <c r="C14498" s="445"/>
      <c r="D14498" s="446"/>
      <c r="E14498" s="445"/>
      <c r="F14498" s="445"/>
      <c r="G14498" s="390"/>
      <c r="H14498" s="394"/>
    </row>
    <row r="14499" spans="1:9" ht="15.75" customHeight="1" x14ac:dyDescent="0.25">
      <c r="A14499" s="390"/>
      <c r="B14499" s="390"/>
      <c r="C14499" s="390"/>
      <c r="D14499" s="391"/>
      <c r="E14499" s="390"/>
      <c r="F14499" s="390"/>
      <c r="G14499" s="390"/>
      <c r="H14499" s="394"/>
    </row>
    <row r="14500" spans="1:9" ht="15.75" customHeight="1" x14ac:dyDescent="0.25">
      <c r="A14500" s="445"/>
      <c r="B14500" s="445"/>
      <c r="C14500" s="445"/>
      <c r="D14500" s="446"/>
      <c r="E14500" s="445" t="s">
        <v>99</v>
      </c>
      <c r="F14500" s="445"/>
      <c r="G14500" s="390"/>
      <c r="H14500" s="394"/>
    </row>
    <row r="14501" spans="1:9" ht="15.75" customHeight="1" x14ac:dyDescent="0.25">
      <c r="A14501" s="445"/>
      <c r="B14501" s="445"/>
      <c r="C14501" s="445"/>
      <c r="D14501" s="446"/>
      <c r="E14501" s="445"/>
      <c r="F14501" s="445"/>
      <c r="G14501" s="390"/>
      <c r="H14501" s="394"/>
    </row>
    <row r="14502" spans="1:9" ht="15.75" customHeight="1" x14ac:dyDescent="0.25">
      <c r="A14502" s="445"/>
      <c r="B14502" s="445"/>
      <c r="C14502" s="445"/>
      <c r="D14502" s="446"/>
      <c r="E14502" s="445"/>
      <c r="F14502" s="445"/>
      <c r="G14502" s="390"/>
      <c r="H14502" s="394"/>
    </row>
    <row r="14503" spans="1:9" ht="15.75" customHeight="1" x14ac:dyDescent="0.25">
      <c r="A14503" s="8" t="s">
        <v>14</v>
      </c>
      <c r="B14503" s="8"/>
      <c r="C14503" s="8"/>
      <c r="D14503" s="8"/>
      <c r="E14503" s="8"/>
      <c r="F14503" s="8"/>
      <c r="G14503" s="8"/>
      <c r="H14503" s="8"/>
    </row>
    <row r="14504" spans="1:9" ht="15.75" customHeight="1" x14ac:dyDescent="0.25">
      <c r="A14504" s="388"/>
      <c r="B14504" s="388"/>
      <c r="C14504" s="388"/>
      <c r="D14504" s="389"/>
      <c r="E14504" s="388"/>
      <c r="F14504" s="388"/>
      <c r="G14504" s="388"/>
      <c r="H14504" s="8"/>
    </row>
    <row r="14505" spans="1:9" ht="15.75" customHeight="1" x14ac:dyDescent="0.25">
      <c r="A14505" s="390"/>
      <c r="B14505" s="390"/>
      <c r="C14505" s="390"/>
      <c r="D14505" s="391"/>
      <c r="E14505" s="390"/>
      <c r="F14505" s="395" t="s">
        <v>18</v>
      </c>
      <c r="G14505" s="396" t="s">
        <v>1245</v>
      </c>
      <c r="H14505" s="397"/>
    </row>
    <row r="14506" spans="1:9" ht="15.75" customHeight="1" x14ac:dyDescent="0.25">
      <c r="A14506" s="390" t="s">
        <v>20</v>
      </c>
      <c r="B14506" s="390"/>
      <c r="D14506" s="391"/>
      <c r="E14506" s="390"/>
      <c r="F14506" s="395" t="s">
        <v>21</v>
      </c>
      <c r="G14506" s="390" t="s">
        <v>2192</v>
      </c>
      <c r="H14506" s="391"/>
    </row>
    <row r="14507" spans="1:9" ht="15.75" customHeight="1" x14ac:dyDescent="0.25">
      <c r="A14507" s="390" t="inlineStr">
        <is>
          <t>Dealer-004</t>
        </is>
      </c>
      <c r="B14507" s="390"/>
      <c r="C14507" s="393"/>
      <c r="D14507" s="398"/>
      <c r="E14507" s="390"/>
      <c r="F14507" s="391"/>
      <c r="G14507" s="390"/>
      <c r="H14507" s="394"/>
    </row>
    <row r="14508" spans="1:9" ht="15.75" customHeight="1" x14ac:dyDescent="0.25">
      <c r="A14508" s="390" t="inlineStr">
        <is>
          <t>Address line (redacted)</t>
        </is>
      </c>
      <c r="B14508" s="390"/>
      <c r="C14508" s="390"/>
      <c r="D14508" s="398"/>
      <c r="E14508" s="390"/>
      <c r="F14508" s="391"/>
      <c r="G14508" s="390"/>
      <c r="H14508" s="394"/>
    </row>
    <row r="14509" spans="1:9" ht="15.75" customHeight="1" x14ac:dyDescent="0.25">
      <c r="A14509" s="390" t="inlineStr">
        <is>
          <t>Address line (redacted)</t>
        </is>
      </c>
      <c r="B14509" s="390"/>
      <c r="C14509" s="390"/>
      <c r="D14509" s="391"/>
      <c r="E14509" s="390"/>
      <c r="F14509" s="391"/>
      <c r="G14509" s="390"/>
      <c r="H14509" s="394"/>
      <c r="I14509" s="2">
        <f>500+600+600+600+600+600+500+500+500+500+500+500+800+500+500+500+500</f>
      </c>
    </row>
    <row r="14510" spans="1:9" ht="15.75" customHeight="1" x14ac:dyDescent="0.25">
      <c r="A14510" s="390"/>
      <c r="B14510" s="390"/>
      <c r="C14510" s="390"/>
      <c r="D14510" s="391"/>
      <c r="E14510" s="390"/>
      <c r="F14510" s="391"/>
      <c r="G14510" s="390"/>
      <c r="H14510" s="394"/>
      <c r="I14510" s="2">
        <v>800</v>
      </c>
    </row>
    <row r="14511" spans="1:9" ht="15.75" customHeight="1" x14ac:dyDescent="0.25">
      <c r="A14511" s="390" t="s">
        <v>30</v>
      </c>
      <c r="B14511" s="390"/>
      <c r="C14511" s="390"/>
      <c r="D14511" s="391"/>
      <c r="E14511" s="390"/>
      <c r="F14511" s="391"/>
      <c r="G14511" s="390"/>
      <c r="H14511" s="394"/>
      <c r="I14511" s="2">
        <v>1600</v>
      </c>
    </row>
    <row r="14512" spans="1:9" ht="15.75" customHeight="1" x14ac:dyDescent="0.25">
      <c r="A14512" s="390"/>
      <c r="B14512" s="390"/>
      <c r="C14512" s="390"/>
      <c r="D14512" s="391"/>
      <c r="E14512" s="390"/>
      <c r="F14512" s="391"/>
      <c r="G14512" s="390"/>
      <c r="H14512" s="394"/>
      <c r="I14512" s="2">
        <v>300</v>
      </c>
    </row>
    <row r="14513" spans="1:9" ht="15.75" customHeight="1" x14ac:dyDescent="0.25">
      <c r="A14513" s="390" t="s">
        <v>716</v>
      </c>
      <c r="B14513" s="390"/>
      <c r="C14513" s="390"/>
      <c r="D14513" s="391"/>
      <c r="E14513" s="390"/>
      <c r="F14513" s="391"/>
      <c r="G14513" s="390"/>
      <c r="H14513" s="394"/>
      <c r="I14513" s="2">
        <f>SUM(I14509:I14512)</f>
      </c>
    </row>
    <row r="14514" spans="1:9" ht="15.75" customHeight="1" x14ac:dyDescent="0.25">
      <c r="A14514" s="390" t="s">
        <v>717</v>
      </c>
      <c r="B14514" s="390"/>
      <c r="C14514" s="390"/>
      <c r="D14514" s="391"/>
      <c r="E14514" s="390"/>
      <c r="F14514" s="391"/>
      <c r="G14514" s="390"/>
      <c r="H14514" s="394"/>
      <c r="I14514" s="2">
        <f>560+180</f>
      </c>
    </row>
    <row r="14515" spans="1:9" ht="15.75" customHeight="1" x14ac:dyDescent="0.25">
      <c r="A14515" s="390"/>
      <c r="B14515" s="390"/>
      <c r="C14515" s="390"/>
      <c r="D14515" s="391"/>
      <c r="E14515" s="390"/>
      <c r="F14515" s="391"/>
      <c r="G14515" s="390"/>
      <c r="H14515" s="394"/>
      <c r="I14515" s="2">
        <f>+I14514+I14513</f>
      </c>
    </row>
    <row r="14516" spans="1:9" ht="15.75" customHeight="1" x14ac:dyDescent="0.25">
      <c r="A14516" s="948" t="s">
        <v>33</v>
      </c>
      <c r="B14516" s="872" t="s">
        <v>6</v>
      </c>
      <c r="C14516" s="872"/>
      <c r="D14516" s="874" t="s">
        <v>37</v>
      </c>
      <c r="E14516" s="874" t="s">
        <v>38</v>
      </c>
      <c r="F14516" s="875" t="s">
        <v>7</v>
      </c>
      <c r="G14516" s="872" t="s">
        <v>43</v>
      </c>
      <c r="H14516" s="876" t="s">
        <v>44</v>
      </c>
      <c r="I14516" s="2">
        <v>11600</v>
      </c>
    </row>
    <row r="14517" spans="1:9" ht="15.75" customHeight="1" x14ac:dyDescent="0.3">
      <c r="A14517" s="412"/>
      <c r="B14517" s="1033"/>
      <c r="C14517" s="1033"/>
      <c r="D14517" s="879"/>
      <c r="E14517" s="879"/>
      <c r="F14517" s="415"/>
      <c r="G14517" s="415"/>
      <c r="H14517" s="416"/>
      <c r="I14517" s="2">
        <f>+I14515-I14516</f>
      </c>
    </row>
    <row r="14518" spans="1:9" ht="15.75" customHeight="1" x14ac:dyDescent="0.25">
      <c r="A14518" s="412"/>
      <c r="B14518" s="953" t="s">
        <v>1452</v>
      </c>
      <c r="C14518" s="953"/>
      <c r="D14518" s="415"/>
      <c r="E14518" s="415"/>
      <c r="F14518" s="415"/>
      <c r="G14518" s="415"/>
      <c r="H14518" s="416"/>
    </row>
    <row r="14519" spans="1:9" ht="15.75" customHeight="1" x14ac:dyDescent="0.25">
      <c r="A14519" s="412">
        <v>1</v>
      </c>
      <c r="B14519" s="1094" t="s">
        <v>1454</v>
      </c>
      <c r="C14519" s="1095" t="s">
        <v>12</v>
      </c>
      <c r="D14519" s="588">
        <v>110</v>
      </c>
      <c r="E14519" s="592">
        <v>24</v>
      </c>
      <c r="F14519" s="415">
        <f>+D14519*E14519</f>
      </c>
      <c r="G14519" s="415">
        <v>1</v>
      </c>
      <c r="H14519" s="416">
        <f>+G14519*F14519</f>
      </c>
    </row>
    <row r="14520" spans="1:9" ht="15.75" customHeight="1" x14ac:dyDescent="0.25">
      <c r="A14520" s="412">
        <v>2</v>
      </c>
      <c r="B14520" s="1094" t="s">
        <v>1454</v>
      </c>
      <c r="C14520" s="1095" t="s">
        <v>12</v>
      </c>
      <c r="D14520" s="588">
        <v>10</v>
      </c>
      <c r="E14520" s="626"/>
      <c r="F14520" s="415">
        <f>10*24</f>
      </c>
      <c r="G14520" s="707" t="s">
        <v>1856</v>
      </c>
      <c r="H14520" s="416"/>
    </row>
    <row r="14521" spans="1:9" ht="15.75" customHeight="1" x14ac:dyDescent="0.25">
      <c r="A14521" s="412"/>
      <c r="B14521" s="953" t="s">
        <v>531</v>
      </c>
      <c r="C14521" s="953"/>
      <c r="D14521" s="981"/>
      <c r="E14521" s="981"/>
      <c r="F14521" s="415"/>
      <c r="G14521" s="415"/>
      <c r="H14521" s="416"/>
    </row>
    <row r="14522" spans="1:9" ht="15.75" customHeight="1" x14ac:dyDescent="0.25">
      <c r="A14522" s="412">
        <v>3</v>
      </c>
      <c r="B14522" s="1116" t="s">
        <v>125</v>
      </c>
      <c r="C14522" s="1117"/>
      <c r="D14522" s="929">
        <v>39</v>
      </c>
      <c r="E14522" s="929">
        <v>5</v>
      </c>
      <c r="F14522" s="415">
        <v>185.715</v>
      </c>
      <c r="G14522" s="415">
        <v>1</v>
      </c>
      <c r="H14522" s="416">
        <f>+G14522*F14522</f>
      </c>
    </row>
    <row r="14523" spans="1:9" ht="15.75" customHeight="1" x14ac:dyDescent="0.25">
      <c r="A14523" s="412"/>
      <c r="B14523" s="585"/>
      <c r="C14523" s="993"/>
      <c r="D14523" s="930"/>
      <c r="E14523" s="930"/>
      <c r="F14523" s="415">
        <v>9.2799999999999994</v>
      </c>
      <c r="G14523" s="707" t="s">
        <v>1856</v>
      </c>
      <c r="H14523" s="416"/>
    </row>
    <row r="14524" spans="1:9" ht="15.75" customHeight="1" x14ac:dyDescent="0.25">
      <c r="A14524" s="412"/>
      <c r="B14524" s="585"/>
      <c r="C14524" s="1127"/>
      <c r="D14524" s="626"/>
      <c r="E14524" s="930"/>
      <c r="F14524" s="415"/>
      <c r="G14524" s="578"/>
      <c r="H14524" s="416"/>
    </row>
    <row r="14525" spans="1:9" ht="15.75" customHeight="1" x14ac:dyDescent="0.25">
      <c r="A14525" s="412"/>
      <c r="B14525" s="585"/>
      <c r="C14525" s="1127"/>
      <c r="D14525" s="626"/>
      <c r="E14525" s="930"/>
      <c r="F14525" s="415"/>
      <c r="G14525" s="578"/>
      <c r="H14525" s="416"/>
    </row>
    <row r="14526" spans="1:9" ht="15.75" customHeight="1" x14ac:dyDescent="0.25">
      <c r="A14526" s="412"/>
      <c r="B14526" s="913"/>
      <c r="C14526" s="993"/>
      <c r="D14526" s="626"/>
      <c r="E14526" s="930"/>
      <c r="F14526" s="415"/>
      <c r="G14526" s="578"/>
      <c r="H14526" s="416"/>
    </row>
    <row r="14527" spans="1:9" ht="15.75" customHeight="1" x14ac:dyDescent="0.25">
      <c r="A14527" s="412"/>
      <c r="B14527" s="913"/>
      <c r="C14527" s="993"/>
      <c r="D14527" s="626"/>
      <c r="E14527" s="930"/>
      <c r="F14527" s="415"/>
      <c r="G14527" s="578"/>
      <c r="H14527" s="416"/>
    </row>
    <row r="14528" spans="1:9" ht="15.75" customHeight="1" x14ac:dyDescent="0.25">
      <c r="A14528" s="412"/>
      <c r="B14528" s="1127"/>
      <c r="C14528" s="993"/>
      <c r="D14528" s="626"/>
      <c r="E14528" s="626"/>
      <c r="F14528" s="415"/>
      <c r="G14528" s="415"/>
      <c r="H14528" s="416"/>
    </row>
    <row r="14529" spans="1:8" ht="15.75" customHeight="1" x14ac:dyDescent="0.25">
      <c r="A14529" s="877"/>
      <c r="B14529" s="688"/>
      <c r="C14529" s="896" t="s">
        <v>85</v>
      </c>
      <c r="D14529" s="599"/>
      <c r="E14529" s="401"/>
      <c r="F14529" s="599"/>
      <c r="G14529" s="661"/>
      <c r="H14529" s="438">
        <f>SUM(H14519:H14528)</f>
      </c>
    </row>
    <row r="14530" spans="1:8" ht="15.75" customHeight="1" x14ac:dyDescent="0.25">
      <c r="A14530" s="932"/>
      <c r="B14530" s="933"/>
      <c r="C14530" s="934"/>
      <c r="D14530" s="431"/>
      <c r="E14530" s="935"/>
      <c r="F14530" s="935"/>
      <c r="G14530" s="936"/>
      <c r="H14530" s="444"/>
    </row>
    <row r="14531" spans="1:8" ht="15.75" customHeight="1" x14ac:dyDescent="0.25">
      <c r="A14531" s="994"/>
      <c r="B14531" s="391"/>
      <c r="C14531" s="391"/>
      <c r="D14531" s="391"/>
      <c r="E14531" s="390"/>
      <c r="F14531" s="392"/>
      <c r="G14531" s="390"/>
      <c r="H14531" s="394"/>
    </row>
    <row r="14532" spans="1:8" ht="15.75" customHeight="1" x14ac:dyDescent="0.25">
      <c r="A14532" s="445"/>
      <c r="B14532" s="445"/>
      <c r="C14532" s="445"/>
      <c r="D14532" s="446" t="s">
        <v>97</v>
      </c>
      <c r="E14532" s="445" t="s">
        <v>98</v>
      </c>
      <c r="F14532" s="445"/>
      <c r="G14532" s="390"/>
      <c r="H14532" s="394"/>
    </row>
    <row r="14533" spans="1:8" ht="15.75" customHeight="1" x14ac:dyDescent="0.25">
      <c r="A14533" s="445"/>
      <c r="B14533" s="445"/>
      <c r="C14533" s="445"/>
      <c r="D14533" s="446"/>
      <c r="E14533" s="445"/>
      <c r="F14533" s="445"/>
      <c r="G14533" s="390"/>
      <c r="H14533" s="394"/>
    </row>
    <row r="14534" spans="1:8" ht="15.75" customHeight="1" x14ac:dyDescent="0.25">
      <c r="A14534" s="445"/>
      <c r="B14534" s="445"/>
      <c r="C14534" s="445"/>
      <c r="D14534" s="446"/>
      <c r="E14534" s="445"/>
      <c r="F14534" s="445"/>
      <c r="G14534" s="390"/>
      <c r="H14534" s="394"/>
    </row>
    <row r="14535" spans="1:8" ht="15.75" customHeight="1" x14ac:dyDescent="0.25">
      <c r="A14535" s="445"/>
      <c r="B14535" s="445"/>
      <c r="C14535" s="445"/>
      <c r="D14535" s="446"/>
      <c r="E14535" s="445" t="s">
        <v>99</v>
      </c>
      <c r="F14535" s="445"/>
      <c r="G14535" s="390"/>
      <c r="H14535" s="394"/>
    </row>
    <row r="14536" spans="1:8" ht="15.75" customHeight="1" x14ac:dyDescent="0.25">
      <c r="A14536" s="445"/>
      <c r="B14536" s="445"/>
      <c r="C14536" s="445"/>
      <c r="D14536" s="446"/>
      <c r="E14536" s="445"/>
      <c r="F14536" s="445"/>
      <c r="G14536" s="390"/>
      <c r="H14536" s="394"/>
    </row>
    <row r="14537" spans="1:8" ht="15.75" customHeight="1" x14ac:dyDescent="0.25">
      <c r="A14537" s="445"/>
      <c r="B14537" s="445"/>
      <c r="C14537" s="445"/>
      <c r="D14537" s="446"/>
      <c r="E14537" s="445"/>
      <c r="F14537" s="445"/>
      <c r="G14537" s="390"/>
      <c r="H14537" s="394"/>
    </row>
    <row r="14538" spans="1:8" ht="15.75" customHeight="1" x14ac:dyDescent="0.25">
      <c r="A14538" s="445"/>
      <c r="B14538" s="445"/>
      <c r="C14538" s="445"/>
      <c r="D14538" s="446"/>
      <c r="E14538" s="445"/>
      <c r="F14538" s="445"/>
      <c r="G14538" s="390"/>
      <c r="H14538" s="394"/>
    </row>
    <row r="14539" spans="1:8" ht="15.75" customHeight="1" x14ac:dyDescent="0.25">
      <c r="A14539" s="445"/>
      <c r="B14539" s="445"/>
      <c r="C14539" s="445"/>
      <c r="D14539" s="446"/>
      <c r="E14539" s="445"/>
      <c r="F14539" s="445"/>
      <c r="G14539" s="390"/>
      <c r="H14539" s="394"/>
    </row>
    <row r="14540" spans="1:8" ht="15.75" customHeight="1" x14ac:dyDescent="0.25">
      <c r="A14540" s="445"/>
      <c r="B14540" s="445"/>
      <c r="C14540" s="445"/>
      <c r="D14540" s="446"/>
      <c r="E14540" s="445"/>
      <c r="F14540" s="445"/>
      <c r="G14540" s="390"/>
      <c r="H14540" s="394"/>
    </row>
    <row r="14541" spans="1:8" ht="15.75" customHeight="1" x14ac:dyDescent="0.25">
      <c r="A14541" s="445"/>
      <c r="B14541" s="445"/>
      <c r="C14541" s="445"/>
      <c r="D14541" s="446"/>
      <c r="E14541" s="445"/>
      <c r="F14541" s="445"/>
      <c r="G14541" s="390"/>
      <c r="H14541" s="394"/>
    </row>
    <row r="14542" spans="1:8" ht="15.75" customHeight="1" x14ac:dyDescent="0.25">
      <c r="A14542" s="445"/>
      <c r="B14542" s="445"/>
      <c r="C14542" s="445"/>
      <c r="D14542" s="446"/>
      <c r="E14542" s="445"/>
      <c r="F14542" s="445"/>
      <c r="G14542" s="390"/>
      <c r="H14542" s="394"/>
    </row>
    <row r="14543" spans="1:8" ht="15.75" customHeight="1" x14ac:dyDescent="0.25">
      <c r="A14543" s="445"/>
      <c r="B14543" s="445"/>
      <c r="C14543" s="445"/>
      <c r="D14543" s="446"/>
      <c r="E14543" s="445"/>
      <c r="F14543" s="445"/>
      <c r="G14543" s="390"/>
      <c r="H14543" s="394"/>
    </row>
    <row r="14544" spans="1:8" ht="15.75" customHeight="1" x14ac:dyDescent="0.25">
      <c r="A14544" s="445"/>
      <c r="B14544" s="445"/>
      <c r="C14544" s="445"/>
      <c r="D14544" s="446"/>
      <c r="E14544" s="445"/>
      <c r="F14544" s="445"/>
      <c r="G14544" s="390"/>
      <c r="H14544" s="394"/>
    </row>
    <row r="14545" spans="1:8" ht="15.75" customHeight="1" x14ac:dyDescent="0.25">
      <c r="A14545" s="445"/>
      <c r="B14545" s="445"/>
      <c r="C14545" s="445"/>
      <c r="D14545" s="446"/>
      <c r="E14545" s="445"/>
      <c r="F14545" s="445"/>
      <c r="G14545" s="390"/>
      <c r="H14545" s="394"/>
    </row>
    <row r="14546" spans="1:8" ht="15.75" customHeight="1" x14ac:dyDescent="0.25">
      <c r="A14546" s="445"/>
      <c r="B14546" s="445"/>
      <c r="C14546" s="445"/>
      <c r="D14546" s="446"/>
      <c r="E14546" s="445"/>
      <c r="F14546" s="445"/>
      <c r="G14546" s="390"/>
      <c r="H14546" s="394"/>
    </row>
    <row r="14547" spans="1:8" ht="15.75" customHeight="1" x14ac:dyDescent="0.25">
      <c r="A14547" s="8" t="s">
        <v>14</v>
      </c>
      <c r="B14547" s="8"/>
      <c r="C14547" s="8"/>
      <c r="D14547" s="8"/>
      <c r="E14547" s="8"/>
      <c r="F14547" s="8"/>
      <c r="G14547" s="8"/>
      <c r="H14547" s="8"/>
    </row>
    <row r="14548" spans="1:8" ht="15.75" customHeight="1" x14ac:dyDescent="0.25">
      <c r="A14548" s="388"/>
      <c r="B14548" s="388"/>
      <c r="C14548" s="388"/>
      <c r="D14548" s="389"/>
      <c r="E14548" s="388"/>
      <c r="F14548" s="388"/>
      <c r="G14548" s="388"/>
      <c r="H14548" s="8"/>
    </row>
    <row r="14549" spans="1:8" ht="15.75" customHeight="1" x14ac:dyDescent="0.25">
      <c r="A14549" s="390"/>
      <c r="B14549" s="390"/>
      <c r="C14549" s="390"/>
      <c r="D14549" s="391"/>
      <c r="E14549" s="390"/>
      <c r="F14549" s="395" t="s">
        <v>18</v>
      </c>
      <c r="G14549" s="396" t="s">
        <v>1245</v>
      </c>
      <c r="H14549" s="397"/>
    </row>
    <row r="14550" spans="1:8" ht="15.75" customHeight="1" x14ac:dyDescent="0.25">
      <c r="A14550" s="390" t="s">
        <v>20</v>
      </c>
      <c r="B14550" s="390"/>
      <c r="D14550" s="391"/>
      <c r="E14550" s="390"/>
      <c r="F14550" s="395" t="s">
        <v>21</v>
      </c>
      <c r="G14550" s="390" t="s">
        <v>2193</v>
      </c>
      <c r="H14550" s="391"/>
    </row>
    <row r="14551" spans="1:8" ht="15.75" customHeight="1" x14ac:dyDescent="0.25">
      <c r="A14551" s="390" t="inlineStr">
        <is>
          <t>Dealer-002</t>
        </is>
      </c>
      <c r="B14551" s="390"/>
      <c r="C14551" s="393"/>
      <c r="D14551" s="398"/>
      <c r="E14551" s="390"/>
      <c r="F14551" s="391"/>
      <c r="G14551" s="390"/>
      <c r="H14551" s="394"/>
    </row>
    <row r="14552" spans="1:8" ht="15.75" customHeight="1" x14ac:dyDescent="0.25">
      <c r="A14552" s="390" t="inlineStr">
        <is>
          <t>Address line (redacted)</t>
        </is>
      </c>
      <c r="B14552" s="390"/>
      <c r="C14552" s="390"/>
      <c r="D14552" s="398"/>
      <c r="E14552" s="390"/>
      <c r="F14552" s="391"/>
      <c r="G14552" s="390"/>
      <c r="H14552" s="394"/>
    </row>
    <row r="14553" spans="1:8" ht="15.75" customHeight="1" x14ac:dyDescent="0.25">
      <c r="A14553" s="390" t="inlineStr">
        <is>
          <t>Address line (redacted)</t>
        </is>
      </c>
      <c r="B14553" s="390"/>
      <c r="C14553" s="390"/>
      <c r="D14553" s="391"/>
      <c r="E14553" s="390"/>
      <c r="F14553" s="391"/>
      <c r="G14553" s="390"/>
      <c r="H14553" s="394"/>
    </row>
    <row r="14554" spans="1:8" ht="15.75" customHeight="1" x14ac:dyDescent="0.25">
      <c r="A14554" s="390"/>
      <c r="B14554" s="390"/>
      <c r="C14554" s="390"/>
      <c r="D14554" s="391"/>
      <c r="E14554" s="390"/>
      <c r="F14554" s="391"/>
      <c r="G14554" s="390"/>
      <c r="H14554" s="394"/>
    </row>
    <row r="14555" spans="1:8" ht="15.75" customHeight="1" x14ac:dyDescent="0.25">
      <c r="A14555" s="390" t="s">
        <v>30</v>
      </c>
      <c r="B14555" s="390"/>
      <c r="C14555" s="390"/>
      <c r="D14555" s="391"/>
      <c r="E14555" s="390"/>
      <c r="F14555" s="391"/>
      <c r="G14555" s="390"/>
      <c r="H14555" s="394"/>
    </row>
    <row r="14556" spans="1:8" ht="15.75" customHeight="1" x14ac:dyDescent="0.25">
      <c r="A14556" s="390"/>
      <c r="B14556" s="390"/>
      <c r="C14556" s="390"/>
      <c r="D14556" s="391"/>
      <c r="E14556" s="390"/>
      <c r="F14556" s="391"/>
      <c r="G14556" s="390"/>
      <c r="H14556" s="394"/>
    </row>
    <row r="14557" spans="1:8" ht="15.75" customHeight="1" x14ac:dyDescent="0.25">
      <c r="A14557" s="390" t="s">
        <v>716</v>
      </c>
      <c r="B14557" s="390"/>
      <c r="C14557" s="390"/>
      <c r="D14557" s="391"/>
      <c r="E14557" s="390"/>
      <c r="F14557" s="391"/>
      <c r="G14557" s="390"/>
      <c r="H14557" s="394"/>
    </row>
    <row r="14558" spans="1:8" ht="15.75" customHeight="1" x14ac:dyDescent="0.25">
      <c r="A14558" s="390" t="s">
        <v>717</v>
      </c>
      <c r="B14558" s="390"/>
      <c r="C14558" s="390"/>
      <c r="D14558" s="391"/>
      <c r="E14558" s="390"/>
      <c r="F14558" s="391"/>
      <c r="G14558" s="390"/>
      <c r="H14558" s="394"/>
    </row>
    <row r="14559" spans="1:8" ht="15.75" customHeight="1" x14ac:dyDescent="0.25">
      <c r="A14559" s="390"/>
      <c r="B14559" s="390"/>
      <c r="C14559" s="390"/>
      <c r="D14559" s="391"/>
      <c r="E14559" s="390"/>
      <c r="F14559" s="391"/>
      <c r="G14559" s="390"/>
      <c r="H14559" s="394"/>
    </row>
    <row r="14560" spans="1:8" ht="15.75" customHeight="1" x14ac:dyDescent="0.25">
      <c r="A14560" s="948" t="s">
        <v>33</v>
      </c>
      <c r="B14560" s="872" t="s">
        <v>6</v>
      </c>
      <c r="C14560" s="872"/>
      <c r="D14560" s="874" t="s">
        <v>37</v>
      </c>
      <c r="E14560" s="874" t="s">
        <v>38</v>
      </c>
      <c r="F14560" s="875" t="s">
        <v>7</v>
      </c>
      <c r="G14560" s="872" t="s">
        <v>43</v>
      </c>
      <c r="H14560" s="876" t="s">
        <v>44</v>
      </c>
    </row>
    <row r="14561" spans="1:8" ht="15.75" customHeight="1" x14ac:dyDescent="0.3">
      <c r="A14561" s="412"/>
      <c r="B14561" s="1033"/>
      <c r="C14561" s="1033"/>
      <c r="D14561" s="879"/>
      <c r="E14561" s="879"/>
      <c r="F14561" s="415"/>
      <c r="G14561" s="415"/>
      <c r="H14561" s="416"/>
    </row>
    <row r="14562" spans="1:8" ht="15.75" customHeight="1" x14ac:dyDescent="0.25">
      <c r="A14562" s="412"/>
      <c r="B14562" s="953" t="s">
        <v>531</v>
      </c>
      <c r="C14562" s="953"/>
      <c r="D14562" s="981"/>
      <c r="E14562" s="981"/>
      <c r="F14562" s="415"/>
      <c r="G14562" s="415"/>
      <c r="H14562" s="416"/>
    </row>
    <row r="14563" spans="1:8" ht="15.75" customHeight="1" x14ac:dyDescent="0.25">
      <c r="A14563" s="412">
        <v>1</v>
      </c>
      <c r="B14563" s="1116" t="s">
        <v>125</v>
      </c>
      <c r="C14563" s="1117"/>
      <c r="D14563" s="981">
        <v>10</v>
      </c>
      <c r="E14563" s="981">
        <v>5</v>
      </c>
      <c r="F14563" s="415">
        <f>+E14563*D14563</f>
      </c>
      <c r="G14563" s="415">
        <v>1</v>
      </c>
      <c r="H14563" s="416">
        <f>+G14563*F14563</f>
      </c>
    </row>
    <row r="14564" spans="1:8" ht="15.75" customHeight="1" x14ac:dyDescent="0.25">
      <c r="A14564" s="412"/>
      <c r="B14564" s="585"/>
      <c r="C14564" s="993"/>
      <c r="D14564" s="626"/>
      <c r="E14564" s="930"/>
      <c r="F14564" s="415"/>
      <c r="G14564" s="415"/>
      <c r="H14564" s="416"/>
    </row>
    <row r="14565" spans="1:8" ht="15.75" customHeight="1" x14ac:dyDescent="0.25">
      <c r="A14565" s="412"/>
      <c r="B14565" s="585"/>
      <c r="C14565" s="1127"/>
      <c r="D14565" s="626"/>
      <c r="E14565" s="930"/>
      <c r="F14565" s="415"/>
      <c r="G14565" s="578"/>
      <c r="H14565" s="416"/>
    </row>
    <row r="14566" spans="1:8" ht="15.75" customHeight="1" x14ac:dyDescent="0.25">
      <c r="A14566" s="412"/>
      <c r="B14566" s="585"/>
      <c r="C14566" s="1127"/>
      <c r="D14566" s="626"/>
      <c r="E14566" s="930"/>
      <c r="F14566" s="415"/>
      <c r="G14566" s="578"/>
      <c r="H14566" s="416"/>
    </row>
    <row r="14567" spans="1:8" ht="15.75" customHeight="1" x14ac:dyDescent="0.25">
      <c r="A14567" s="412"/>
      <c r="B14567" s="913"/>
      <c r="C14567" s="993"/>
      <c r="D14567" s="626"/>
      <c r="E14567" s="930"/>
      <c r="F14567" s="415"/>
      <c r="G14567" s="578"/>
      <c r="H14567" s="416"/>
    </row>
    <row r="14568" spans="1:8" ht="15.75" customHeight="1" x14ac:dyDescent="0.25">
      <c r="A14568" s="412"/>
      <c r="B14568" s="913"/>
      <c r="C14568" s="993"/>
      <c r="D14568" s="626"/>
      <c r="E14568" s="930"/>
      <c r="F14568" s="415"/>
      <c r="G14568" s="578"/>
      <c r="H14568" s="416"/>
    </row>
    <row r="14569" spans="1:8" ht="15.75" customHeight="1" x14ac:dyDescent="0.25">
      <c r="A14569" s="412"/>
      <c r="B14569" s="1127"/>
      <c r="C14569" s="993"/>
      <c r="D14569" s="626"/>
      <c r="E14569" s="626"/>
      <c r="F14569" s="415"/>
      <c r="G14569" s="415"/>
      <c r="H14569" s="416"/>
    </row>
    <row r="14570" spans="1:8" ht="15.75" customHeight="1" x14ac:dyDescent="0.25">
      <c r="A14570" s="877"/>
      <c r="B14570" s="688"/>
      <c r="C14570" s="896" t="s">
        <v>85</v>
      </c>
      <c r="D14570" s="599">
        <f>SUM(D14563:D14569)</f>
      </c>
      <c r="E14570" s="401"/>
      <c r="F14570" s="599">
        <f>SUM(F14563:F14569)</f>
      </c>
      <c r="G14570" s="661"/>
      <c r="H14570" s="438">
        <f>SUM(H14563:H14569)</f>
      </c>
    </row>
    <row r="14571" spans="1:8" ht="15.75" customHeight="1" x14ac:dyDescent="0.25">
      <c r="A14571" s="932"/>
      <c r="B14571" s="933"/>
      <c r="C14571" s="934"/>
      <c r="D14571" s="431"/>
      <c r="E14571" s="935"/>
      <c r="F14571" s="935"/>
      <c r="G14571" s="936"/>
      <c r="H14571" s="444"/>
    </row>
    <row r="14572" spans="1:8" ht="15.75" customHeight="1" x14ac:dyDescent="0.25">
      <c r="A14572" s="994"/>
      <c r="B14572" s="391"/>
      <c r="C14572" s="391"/>
      <c r="D14572" s="391"/>
      <c r="E14572" s="390"/>
      <c r="F14572" s="392"/>
      <c r="G14572" s="390"/>
      <c r="H14572" s="394"/>
    </row>
    <row r="14573" spans="1:8" ht="15.75" customHeight="1" x14ac:dyDescent="0.25">
      <c r="A14573" s="445"/>
      <c r="B14573" s="445"/>
      <c r="C14573" s="445"/>
      <c r="D14573" s="446" t="s">
        <v>97</v>
      </c>
      <c r="E14573" s="445" t="s">
        <v>98</v>
      </c>
      <c r="F14573" s="445"/>
      <c r="G14573" s="390"/>
      <c r="H14573" s="394"/>
    </row>
    <row r="14574" spans="1:8" ht="15.75" customHeight="1" x14ac:dyDescent="0.25">
      <c r="A14574" s="445"/>
      <c r="B14574" s="445"/>
      <c r="C14574" s="445"/>
      <c r="D14574" s="446"/>
      <c r="E14574" s="445"/>
      <c r="F14574" s="445"/>
      <c r="G14574" s="390"/>
      <c r="H14574" s="394"/>
    </row>
    <row r="14575" spans="1:8" ht="15.75" customHeight="1" x14ac:dyDescent="0.25">
      <c r="A14575" s="445"/>
      <c r="B14575" s="445"/>
      <c r="C14575" s="445"/>
      <c r="D14575" s="446"/>
      <c r="E14575" s="445"/>
      <c r="F14575" s="445"/>
      <c r="G14575" s="390"/>
      <c r="H14575" s="394"/>
    </row>
    <row r="14576" spans="1:8" ht="15.75" customHeight="1" x14ac:dyDescent="0.25">
      <c r="A14576" s="445"/>
      <c r="B14576" s="445"/>
      <c r="C14576" s="445"/>
      <c r="D14576" s="446"/>
      <c r="E14576" s="445" t="s">
        <v>99</v>
      </c>
      <c r="F14576" s="445"/>
      <c r="G14576" s="390"/>
      <c r="H14576" s="394"/>
    </row>
    <row r="14577" spans="1:8" ht="15.75" customHeight="1" x14ac:dyDescent="0.25">
      <c r="A14577" s="445"/>
      <c r="B14577" s="445"/>
      <c r="C14577" s="445"/>
      <c r="D14577" s="446"/>
      <c r="E14577" s="445"/>
      <c r="F14577" s="445"/>
      <c r="G14577" s="390"/>
      <c r="H14577" s="394"/>
    </row>
    <row r="14578" spans="1:8" ht="15.75" customHeight="1" x14ac:dyDescent="0.25">
      <c r="A14578" s="445"/>
      <c r="B14578" s="445"/>
      <c r="C14578" s="445"/>
      <c r="D14578" s="446"/>
      <c r="E14578" s="445"/>
      <c r="F14578" s="445"/>
      <c r="G14578" s="390"/>
      <c r="H14578" s="394"/>
    </row>
    <row r="14579" spans="1:8" ht="15.75" customHeight="1" x14ac:dyDescent="0.25">
      <c r="A14579" s="445"/>
      <c r="B14579" s="445"/>
      <c r="C14579" s="445"/>
      <c r="D14579" s="446"/>
      <c r="E14579" s="445"/>
      <c r="F14579" s="445"/>
      <c r="G14579" s="390"/>
      <c r="H14579" s="394"/>
    </row>
    <row r="14580" spans="1:8" ht="15.75" customHeight="1" x14ac:dyDescent="0.25">
      <c r="A14580" s="445"/>
      <c r="B14580" s="445"/>
      <c r="C14580" s="445"/>
      <c r="D14580" s="446"/>
      <c r="E14580" s="445"/>
      <c r="F14580" s="445"/>
      <c r="G14580" s="390"/>
      <c r="H14580" s="394"/>
    </row>
    <row r="14581" spans="1:8" ht="15.75" customHeight="1" x14ac:dyDescent="0.25">
      <c r="A14581" s="445"/>
      <c r="B14581" s="445"/>
      <c r="C14581" s="445"/>
      <c r="D14581" s="446"/>
      <c r="E14581" s="445"/>
      <c r="F14581" s="445"/>
      <c r="G14581" s="390"/>
      <c r="H14581" s="394"/>
    </row>
    <row r="14582" spans="1:8" ht="15.75" customHeight="1" x14ac:dyDescent="0.25">
      <c r="A14582" s="445"/>
      <c r="B14582" s="445"/>
      <c r="C14582" s="445"/>
      <c r="D14582" s="446"/>
      <c r="E14582" s="445"/>
      <c r="F14582" s="445"/>
      <c r="G14582" s="390"/>
      <c r="H14582" s="394"/>
    </row>
    <row r="14583" spans="1:8" ht="15.75" customHeight="1" x14ac:dyDescent="0.25">
      <c r="A14583" s="445"/>
      <c r="B14583" s="445"/>
      <c r="C14583" s="445"/>
      <c r="D14583" s="446"/>
      <c r="E14583" s="445"/>
      <c r="F14583" s="445"/>
      <c r="G14583" s="390"/>
      <c r="H14583" s="394"/>
    </row>
    <row r="14584" spans="1:8" ht="15.75" customHeight="1" x14ac:dyDescent="0.25">
      <c r="A14584" s="445"/>
      <c r="B14584" s="445"/>
      <c r="C14584" s="445"/>
      <c r="D14584" s="446"/>
      <c r="E14584" s="445"/>
      <c r="F14584" s="445"/>
      <c r="G14584" s="390"/>
      <c r="H14584" s="394"/>
    </row>
    <row r="14585" spans="1:8" ht="15.75" customHeight="1" x14ac:dyDescent="0.25">
      <c r="A14585" s="445"/>
      <c r="B14585" s="445"/>
      <c r="C14585" s="445"/>
      <c r="D14585" s="446"/>
      <c r="E14585" s="445"/>
      <c r="F14585" s="445"/>
      <c r="G14585" s="390"/>
      <c r="H14585" s="394"/>
    </row>
    <row r="14586" spans="1:8" ht="15.75" customHeight="1" x14ac:dyDescent="0.25">
      <c r="A14586" s="445"/>
      <c r="B14586" s="445"/>
      <c r="C14586" s="445"/>
      <c r="D14586" s="446"/>
      <c r="E14586" s="445"/>
      <c r="F14586" s="445"/>
      <c r="G14586" s="390"/>
      <c r="H14586" s="394"/>
    </row>
    <row r="14587" spans="1:8" ht="15.75" customHeight="1" x14ac:dyDescent="0.25">
      <c r="A14587" s="445"/>
      <c r="B14587" s="445"/>
      <c r="C14587" s="445"/>
      <c r="D14587" s="446"/>
      <c r="E14587" s="445"/>
      <c r="F14587" s="445"/>
      <c r="G14587" s="390"/>
      <c r="H14587" s="394"/>
    </row>
    <row r="14588" spans="1:8" ht="15.75" customHeight="1" x14ac:dyDescent="0.25">
      <c r="A14588" s="445"/>
      <c r="B14588" s="445"/>
      <c r="C14588" s="445"/>
      <c r="D14588" s="446"/>
      <c r="E14588" s="445"/>
      <c r="F14588" s="445"/>
      <c r="G14588" s="390"/>
      <c r="H14588" s="394"/>
    </row>
    <row r="14589" spans="1:8" ht="15.75" customHeight="1" x14ac:dyDescent="0.25">
      <c r="A14589" s="445"/>
      <c r="B14589" s="445"/>
      <c r="C14589" s="445"/>
      <c r="D14589" s="446"/>
      <c r="E14589" s="445"/>
      <c r="F14589" s="445"/>
      <c r="G14589" s="390"/>
      <c r="H14589" s="394"/>
    </row>
    <row r="14590" spans="1:8" ht="15.75" customHeight="1" x14ac:dyDescent="0.25">
      <c r="A14590" s="445"/>
      <c r="B14590" s="445"/>
      <c r="C14590" s="445"/>
      <c r="D14590" s="446"/>
      <c r="E14590" s="445"/>
      <c r="F14590" s="445"/>
      <c r="G14590" s="390"/>
      <c r="H14590" s="394"/>
    </row>
    <row r="14591" spans="1:8" ht="15.75" customHeight="1" x14ac:dyDescent="0.25">
      <c r="A14591" s="445"/>
      <c r="B14591" s="445"/>
      <c r="C14591" s="445"/>
      <c r="D14591" s="446"/>
      <c r="E14591" s="445"/>
      <c r="F14591" s="445"/>
      <c r="G14591" s="390"/>
      <c r="H14591" s="394"/>
    </row>
    <row r="14592" spans="1:8" ht="15.75" customHeight="1" x14ac:dyDescent="0.25">
      <c r="A14592" s="445"/>
      <c r="B14592" s="445"/>
      <c r="C14592" s="445"/>
      <c r="D14592" s="446"/>
      <c r="E14592" s="445"/>
      <c r="F14592" s="445"/>
      <c r="G14592" s="390"/>
      <c r="H14592" s="394"/>
    </row>
    <row r="14593" spans="1:8" ht="15.75" customHeight="1" x14ac:dyDescent="0.25">
      <c r="A14593" s="8" t="s">
        <v>14</v>
      </c>
      <c r="B14593" s="8"/>
      <c r="C14593" s="8"/>
      <c r="D14593" s="8"/>
      <c r="E14593" s="8"/>
      <c r="F14593" s="8"/>
      <c r="G14593" s="8"/>
      <c r="H14593" s="8"/>
    </row>
    <row r="14594" spans="1:8" ht="15.75" customHeight="1" x14ac:dyDescent="0.25">
      <c r="A14594" s="388"/>
      <c r="B14594" s="388"/>
      <c r="C14594" s="388"/>
      <c r="D14594" s="389"/>
      <c r="E14594" s="388"/>
      <c r="F14594" s="388"/>
      <c r="G14594" s="388"/>
      <c r="H14594" s="8"/>
    </row>
    <row r="14595" spans="1:8" ht="15.75" customHeight="1" x14ac:dyDescent="0.25">
      <c r="A14595" s="390"/>
      <c r="B14595" s="390"/>
      <c r="C14595" s="390"/>
      <c r="D14595" s="391"/>
      <c r="E14595" s="390"/>
      <c r="F14595" s="395" t="s">
        <v>18</v>
      </c>
      <c r="G14595" s="396" t="s">
        <v>1250</v>
      </c>
      <c r="H14595" s="397"/>
    </row>
    <row r="14596" spans="1:8" ht="15.75" customHeight="1" x14ac:dyDescent="0.25">
      <c r="A14596" s="390" t="s">
        <v>20</v>
      </c>
      <c r="B14596" s="390"/>
      <c r="C14596" s="390"/>
      <c r="D14596" s="391"/>
      <c r="E14596" s="390"/>
      <c r="F14596" s="395" t="s">
        <v>21</v>
      </c>
      <c r="G14596" s="390" t="s">
        <v>2194</v>
      </c>
      <c r="H14596" s="391"/>
    </row>
    <row r="14597" spans="1:8" ht="15.75" customHeight="1" x14ac:dyDescent="0.25">
      <c r="A14597" s="390" t="inlineStr">
        <is>
          <t>Dealer-009</t>
        </is>
      </c>
      <c r="B14597" s="390"/>
      <c r="C14597" s="390" t="inlineStr">
        <is>
          <t>ATTN: Contact-001</t>
        </is>
      </c>
      <c r="D14597" s="398"/>
      <c r="E14597" s="390"/>
      <c r="F14597" s="391"/>
      <c r="G14597" s="390"/>
      <c r="H14597" s="394"/>
    </row>
    <row r="14598" spans="1:8" ht="15.75" customHeight="1" x14ac:dyDescent="0.25">
      <c r="A14598" s="390" t="inlineStr">
        <is>
          <t>Address line (redacted)</t>
        </is>
      </c>
      <c r="B14598" s="390"/>
      <c r="C14598" s="390"/>
      <c r="D14598" s="398"/>
      <c r="E14598" s="390"/>
      <c r="F14598" s="391"/>
      <c r="G14598" s="390"/>
      <c r="H14598" s="394"/>
    </row>
    <row r="14599" spans="1:8" ht="15.75" customHeight="1" x14ac:dyDescent="0.25">
      <c r="A14599" s="390" t="inlineStr">
        <is>
          <t>Address line (redacted)</t>
        </is>
      </c>
      <c r="B14599" s="390"/>
      <c r="C14599" s="390"/>
      <c r="D14599" s="391"/>
      <c r="E14599" s="390"/>
      <c r="F14599" s="391"/>
      <c r="G14599" s="390"/>
      <c r="H14599" s="394"/>
    </row>
    <row r="14600" spans="1:8" ht="15.75" customHeight="1" x14ac:dyDescent="0.25">
      <c r="A14600" s="390"/>
      <c r="B14600" s="390"/>
      <c r="C14600" s="390"/>
      <c r="D14600" s="391"/>
      <c r="E14600" s="390"/>
      <c r="F14600" s="391"/>
      <c r="G14600" s="390"/>
      <c r="H14600" s="394"/>
    </row>
    <row r="14601" spans="1:8" ht="15.75" customHeight="1" x14ac:dyDescent="0.25">
      <c r="A14601" s="390" t="s">
        <v>30</v>
      </c>
      <c r="B14601" s="390"/>
      <c r="C14601" s="390"/>
      <c r="D14601" s="391"/>
      <c r="E14601" s="390"/>
      <c r="F14601" s="391"/>
      <c r="G14601" s="390"/>
      <c r="H14601" s="394"/>
    </row>
    <row r="14602" spans="1:8" ht="15.75" customHeight="1" x14ac:dyDescent="0.25">
      <c r="A14602" s="390" t="s">
        <v>716</v>
      </c>
      <c r="B14602" s="390"/>
      <c r="C14602" s="390"/>
      <c r="D14602" s="391"/>
      <c r="E14602" s="390"/>
      <c r="F14602" s="391"/>
      <c r="G14602" s="390"/>
      <c r="H14602" s="394"/>
    </row>
    <row r="14603" spans="1:8" ht="15.75" customHeight="1" x14ac:dyDescent="0.25">
      <c r="A14603" s="390" t="s">
        <v>717</v>
      </c>
      <c r="B14603" s="390"/>
      <c r="C14603" s="390"/>
      <c r="D14603" s="391"/>
      <c r="E14603" s="390"/>
      <c r="F14603" s="391"/>
      <c r="G14603" s="390"/>
      <c r="H14603" s="394"/>
    </row>
    <row r="14604" spans="1:8" ht="15.75" customHeight="1" x14ac:dyDescent="0.25">
      <c r="A14604" s="390"/>
      <c r="B14604" s="390"/>
      <c r="C14604" s="390"/>
      <c r="D14604" s="391"/>
      <c r="E14604" s="390"/>
      <c r="F14604" s="391"/>
      <c r="G14604" s="390"/>
      <c r="H14604" s="394"/>
    </row>
    <row r="14605" spans="1:8" ht="15.75" customHeight="1" x14ac:dyDescent="0.25">
      <c r="A14605" s="948" t="s">
        <v>33</v>
      </c>
      <c r="B14605" s="872" t="s">
        <v>6</v>
      </c>
      <c r="C14605" s="872"/>
      <c r="D14605" s="874" t="s">
        <v>37</v>
      </c>
      <c r="E14605" s="874" t="s">
        <v>38</v>
      </c>
      <c r="F14605" s="875" t="s">
        <v>7</v>
      </c>
      <c r="G14605" s="872" t="s">
        <v>43</v>
      </c>
      <c r="H14605" s="876" t="s">
        <v>44</v>
      </c>
    </row>
    <row r="14606" spans="1:8" ht="15.75" customHeight="1" x14ac:dyDescent="0.3">
      <c r="A14606" s="412"/>
      <c r="B14606" s="1033"/>
      <c r="C14606" s="1033"/>
      <c r="D14606" s="879"/>
      <c r="E14606" s="879"/>
      <c r="F14606" s="415"/>
      <c r="G14606" s="415"/>
      <c r="H14606" s="416"/>
    </row>
    <row r="14607" spans="1:8" ht="15.75" customHeight="1" x14ac:dyDescent="0.25">
      <c r="A14607" s="412"/>
      <c r="B14607" s="953" t="s">
        <v>1239</v>
      </c>
      <c r="C14607" s="953"/>
      <c r="D14607" s="981"/>
      <c r="E14607" s="981"/>
      <c r="F14607" s="415"/>
      <c r="G14607" s="415"/>
      <c r="H14607" s="416"/>
    </row>
    <row r="14608" spans="1:8" ht="15.75" customHeight="1" x14ac:dyDescent="0.25">
      <c r="A14608" s="412">
        <v>1</v>
      </c>
      <c r="B14608" s="1118" t="s">
        <v>108</v>
      </c>
      <c r="C14608" s="993" t="s">
        <v>109</v>
      </c>
      <c r="D14608" s="929">
        <v>60</v>
      </c>
      <c r="E14608" s="929">
        <v>25</v>
      </c>
      <c r="F14608" s="415">
        <f t="shared" ref="F14608:F14610" si="601">+E14608*D14608</f>
      </c>
      <c r="G14608" s="415">
        <v>1</v>
      </c>
      <c r="H14608" s="416">
        <f t="shared" ref="H14608:H14610" si="602">+G14608*F14608</f>
      </c>
    </row>
    <row r="14609" spans="1:8" ht="15.75" customHeight="1" x14ac:dyDescent="0.25">
      <c r="A14609" s="412">
        <v>2</v>
      </c>
      <c r="B14609" s="1118" t="s">
        <v>56</v>
      </c>
      <c r="C14609" s="993" t="s">
        <v>57</v>
      </c>
      <c r="D14609" s="929">
        <f>500/25</f>
      </c>
      <c r="E14609" s="929">
        <v>25</v>
      </c>
      <c r="F14609" s="415">
        <f t="shared" si="601"/>
      </c>
      <c r="G14609" s="415">
        <v>1</v>
      </c>
      <c r="H14609" s="416">
        <f t="shared" si="602"/>
      </c>
    </row>
    <row r="14610" spans="1:8" ht="15.75" customHeight="1" x14ac:dyDescent="0.25">
      <c r="A14610" s="412">
        <v>3</v>
      </c>
      <c r="B14610" s="1118" t="s">
        <v>68</v>
      </c>
      <c r="C14610" s="993" t="s">
        <v>69</v>
      </c>
      <c r="D14610" s="981">
        <f>200/25</f>
      </c>
      <c r="E14610" s="981">
        <v>25</v>
      </c>
      <c r="F14610" s="415">
        <f t="shared" si="601"/>
      </c>
      <c r="G14610" s="415">
        <v>1</v>
      </c>
      <c r="H14610" s="416">
        <f t="shared" si="602"/>
      </c>
    </row>
    <row r="14611" spans="1:8" ht="15.75" customHeight="1" x14ac:dyDescent="0.25">
      <c r="A14611" s="1126"/>
      <c r="B14611" s="611"/>
      <c r="C14611" s="611"/>
      <c r="D14611" s="613"/>
      <c r="E14611" s="613"/>
      <c r="F14611" s="614"/>
      <c r="G14611" s="611"/>
      <c r="H14611" s="615"/>
    </row>
    <row r="14612" spans="1:8" ht="15.75" customHeight="1" x14ac:dyDescent="0.25">
      <c r="A14612" s="412"/>
      <c r="B14612" s="585"/>
      <c r="C14612" s="993"/>
      <c r="D14612" s="626"/>
      <c r="E14612" s="930"/>
      <c r="F14612" s="415"/>
      <c r="G14612" s="415"/>
      <c r="H14612" s="416"/>
    </row>
    <row r="14613" spans="1:8" ht="15.75" customHeight="1" x14ac:dyDescent="0.25">
      <c r="A14613" s="412"/>
      <c r="B14613" s="585"/>
      <c r="C14613" s="993"/>
      <c r="D14613" s="626"/>
      <c r="E14613" s="930"/>
      <c r="F14613" s="415"/>
      <c r="G14613" s="415"/>
      <c r="H14613" s="416"/>
    </row>
    <row r="14614" spans="1:8" ht="15.75" customHeight="1" x14ac:dyDescent="0.25">
      <c r="A14614" s="412"/>
      <c r="B14614" s="913"/>
      <c r="C14614" s="993"/>
      <c r="D14614" s="626"/>
      <c r="E14614" s="930"/>
      <c r="F14614" s="415"/>
      <c r="G14614" s="415"/>
      <c r="H14614" s="416"/>
    </row>
    <row r="14615" spans="1:8" ht="15.75" customHeight="1" x14ac:dyDescent="0.25">
      <c r="A14615" s="412"/>
      <c r="B14615" s="1127"/>
      <c r="C14615" s="993"/>
      <c r="D14615" s="626"/>
      <c r="E14615" s="626"/>
      <c r="F14615" s="415"/>
      <c r="G14615" s="415"/>
      <c r="H14615" s="416"/>
    </row>
    <row r="14616" spans="1:8" ht="15.75" customHeight="1" x14ac:dyDescent="0.25">
      <c r="A14616" s="877"/>
      <c r="B14616" s="688"/>
      <c r="C14616" s="896" t="s">
        <v>85</v>
      </c>
      <c r="D14616" s="599">
        <f>SUM(D14608:D14615)</f>
      </c>
      <c r="E14616" s="401"/>
      <c r="F14616" s="599">
        <f>SUM(F14608:F14615)</f>
      </c>
      <c r="G14616" s="661"/>
      <c r="H14616" s="438">
        <f>SUM(H14608:H14615)</f>
      </c>
    </row>
    <row r="14617" spans="1:8" ht="15.75" customHeight="1" x14ac:dyDescent="0.25">
      <c r="A14617" s="932"/>
      <c r="B14617" s="933"/>
      <c r="C14617" s="934"/>
      <c r="D14617" s="431"/>
      <c r="E14617" s="935"/>
      <c r="F14617" s="935"/>
      <c r="G14617" s="936"/>
      <c r="H14617" s="444"/>
    </row>
    <row r="14618" spans="1:8" ht="15.75" customHeight="1" x14ac:dyDescent="0.25">
      <c r="A14618" s="994" t="s">
        <v>913</v>
      </c>
      <c r="B14618" s="391"/>
      <c r="C14618" s="391"/>
      <c r="D14618" s="391"/>
      <c r="E14618" s="390"/>
      <c r="F14618" s="392"/>
      <c r="G14618" s="390"/>
      <c r="H14618" s="394"/>
    </row>
    <row r="14619" spans="1:8" ht="15.75" customHeight="1" x14ac:dyDescent="0.25">
      <c r="A14619" s="445"/>
      <c r="B14619" s="445"/>
      <c r="C14619" s="445"/>
      <c r="D14619" s="446" t="s">
        <v>97</v>
      </c>
      <c r="E14619" s="445" t="s">
        <v>98</v>
      </c>
      <c r="F14619" s="445"/>
      <c r="G14619" s="390"/>
      <c r="H14619" s="394"/>
    </row>
    <row r="14620" spans="1:8" ht="15.75" customHeight="1" x14ac:dyDescent="0.25">
      <c r="A14620" s="445"/>
      <c r="B14620" s="445"/>
      <c r="C14620" s="445"/>
      <c r="D14620" s="446"/>
      <c r="E14620" s="445"/>
      <c r="F14620" s="445"/>
      <c r="G14620" s="390"/>
      <c r="H14620" s="394"/>
    </row>
    <row r="14621" spans="1:8" ht="15.75" customHeight="1" x14ac:dyDescent="0.25">
      <c r="A14621" s="445"/>
      <c r="B14621" s="445"/>
      <c r="C14621" s="445"/>
      <c r="D14621" s="446"/>
      <c r="E14621" s="445"/>
      <c r="F14621" s="445"/>
      <c r="G14621" s="390"/>
      <c r="H14621" s="394"/>
    </row>
    <row r="14622" spans="1:8" ht="15.75" customHeight="1" x14ac:dyDescent="0.25">
      <c r="A14622" s="445"/>
      <c r="B14622" s="445"/>
      <c r="C14622" s="445"/>
      <c r="D14622" s="446"/>
      <c r="E14622" s="445" t="s">
        <v>2370</v>
      </c>
      <c r="F14622" s="445"/>
      <c r="G14622" s="390"/>
      <c r="H14622" s="394"/>
    </row>
    <row r="14623" spans="1:8" ht="15.75" customHeight="1" x14ac:dyDescent="0.25">
      <c r="A14623" s="445"/>
      <c r="B14623" s="445"/>
      <c r="C14623" s="445"/>
      <c r="D14623" s="446"/>
      <c r="E14623" s="445"/>
      <c r="F14623" s="445"/>
      <c r="G14623" s="390"/>
      <c r="H14623" s="394"/>
    </row>
    <row r="14624" spans="1:8" ht="15.75" customHeight="1" x14ac:dyDescent="0.25">
      <c r="A14624" s="445"/>
      <c r="B14624" s="445"/>
      <c r="C14624" s="445"/>
      <c r="D14624" s="446"/>
      <c r="E14624" s="445"/>
      <c r="F14624" s="445"/>
      <c r="G14624" s="390"/>
      <c r="H14624" s="394"/>
    </row>
    <row r="14625" spans="1:8" ht="15.75" customHeight="1" x14ac:dyDescent="0.25">
      <c r="A14625" s="445"/>
      <c r="B14625" s="445"/>
      <c r="C14625" s="445"/>
      <c r="D14625" s="446"/>
      <c r="E14625" s="445"/>
      <c r="F14625" s="445"/>
      <c r="G14625" s="390"/>
      <c r="H14625" s="394"/>
    </row>
    <row r="14626" spans="1:8" ht="15.75" customHeight="1" x14ac:dyDescent="0.25">
      <c r="A14626" s="445"/>
      <c r="B14626" s="445"/>
      <c r="C14626" s="445"/>
      <c r="D14626" s="446"/>
      <c r="E14626" s="445"/>
      <c r="F14626" s="445"/>
      <c r="G14626" s="390"/>
      <c r="H14626" s="394"/>
    </row>
    <row r="14627" spans="1:8" ht="15.75" customHeight="1" x14ac:dyDescent="0.25">
      <c r="A14627" s="445"/>
      <c r="B14627" s="445"/>
      <c r="C14627" s="445"/>
      <c r="D14627" s="446"/>
      <c r="E14627" s="445"/>
      <c r="F14627" s="445"/>
      <c r="G14627" s="390"/>
      <c r="H14627" s="394"/>
    </row>
    <row r="14628" spans="1:8" ht="15.75" customHeight="1" x14ac:dyDescent="0.25">
      <c r="A14628" s="445"/>
      <c r="B14628" s="445"/>
      <c r="C14628" s="445"/>
      <c r="D14628" s="446"/>
      <c r="E14628" s="445"/>
      <c r="F14628" s="445"/>
      <c r="G14628" s="390"/>
      <c r="H14628" s="394"/>
    </row>
    <row r="14629" spans="1:8" ht="15.75" customHeight="1" x14ac:dyDescent="0.25">
      <c r="A14629" s="445"/>
      <c r="B14629" s="445"/>
      <c r="C14629" s="445"/>
      <c r="D14629" s="446"/>
      <c r="E14629" s="445"/>
      <c r="F14629" s="445"/>
      <c r="G14629" s="390"/>
      <c r="H14629" s="394"/>
    </row>
    <row r="14630" spans="1:8" ht="15.75" customHeight="1" x14ac:dyDescent="0.25">
      <c r="A14630" s="445"/>
      <c r="B14630" s="445"/>
      <c r="C14630" s="445"/>
      <c r="D14630" s="446"/>
      <c r="E14630" s="445"/>
      <c r="F14630" s="445"/>
      <c r="G14630" s="390"/>
      <c r="H14630" s="394"/>
    </row>
    <row r="14631" spans="1:8" ht="15.75" customHeight="1" x14ac:dyDescent="0.25">
      <c r="A14631" s="445"/>
      <c r="B14631" s="445"/>
      <c r="C14631" s="445"/>
      <c r="D14631" s="446"/>
      <c r="E14631" s="445"/>
      <c r="F14631" s="445"/>
      <c r="G14631" s="390"/>
      <c r="H14631" s="394"/>
    </row>
    <row r="14632" spans="1:8" ht="15.75" customHeight="1" x14ac:dyDescent="0.25">
      <c r="A14632" s="445"/>
      <c r="B14632" s="445"/>
      <c r="C14632" s="445"/>
      <c r="D14632" s="446"/>
      <c r="E14632" s="445"/>
      <c r="F14632" s="445"/>
      <c r="G14632" s="390"/>
      <c r="H14632" s="394"/>
    </row>
    <row r="14633" spans="1:8" ht="15.75" customHeight="1" x14ac:dyDescent="0.25">
      <c r="A14633" s="445"/>
      <c r="B14633" s="445"/>
      <c r="C14633" s="445"/>
      <c r="D14633" s="446"/>
      <c r="E14633" s="445"/>
      <c r="F14633" s="445"/>
      <c r="G14633" s="390"/>
      <c r="H14633" s="394"/>
    </row>
    <row r="14634" spans="1:8" ht="15.75" customHeight="1" x14ac:dyDescent="0.25">
      <c r="A14634" s="445"/>
      <c r="B14634" s="445"/>
      <c r="C14634" s="445"/>
      <c r="D14634" s="446"/>
      <c r="E14634" s="445"/>
      <c r="F14634" s="445"/>
      <c r="G14634" s="390"/>
      <c r="H14634" s="394"/>
    </row>
    <row r="14635" spans="1:8" ht="15.75" customHeight="1" x14ac:dyDescent="0.25">
      <c r="A14635" s="445"/>
      <c r="B14635" s="445"/>
      <c r="C14635" s="445"/>
      <c r="D14635" s="446"/>
      <c r="E14635" s="445"/>
      <c r="F14635" s="445"/>
      <c r="G14635" s="390"/>
      <c r="H14635" s="394"/>
    </row>
    <row r="14636" spans="1:8" ht="15.75" customHeight="1" x14ac:dyDescent="0.25">
      <c r="A14636" s="445"/>
      <c r="B14636" s="445"/>
      <c r="C14636" s="445"/>
      <c r="D14636" s="446"/>
      <c r="E14636" s="445"/>
      <c r="F14636" s="445"/>
      <c r="G14636" s="390"/>
      <c r="H14636" s="394"/>
    </row>
    <row r="14637" spans="1:8" ht="15.75" customHeight="1" x14ac:dyDescent="0.25">
      <c r="A14637" s="445"/>
      <c r="B14637" s="445"/>
      <c r="C14637" s="445"/>
      <c r="D14637" s="446"/>
      <c r="E14637" s="445"/>
      <c r="F14637" s="445"/>
      <c r="G14637" s="390"/>
      <c r="H14637" s="394"/>
    </row>
    <row r="14638" spans="1:8" ht="15.75" customHeight="1" x14ac:dyDescent="0.25">
      <c r="A14638" s="445"/>
      <c r="B14638" s="445"/>
      <c r="C14638" s="445"/>
      <c r="D14638" s="446"/>
      <c r="E14638" s="445"/>
      <c r="F14638" s="445"/>
      <c r="G14638" s="390"/>
      <c r="H14638" s="394"/>
    </row>
    <row r="14639" spans="1:8" ht="15.75" customHeight="1" x14ac:dyDescent="0.25">
      <c r="A14639" s="8" t="s">
        <v>14</v>
      </c>
      <c r="B14639" s="8"/>
      <c r="C14639" s="8"/>
      <c r="D14639" s="8"/>
      <c r="E14639" s="8"/>
      <c r="F14639" s="8"/>
      <c r="G14639" s="8"/>
      <c r="H14639" s="8"/>
    </row>
    <row r="14640" spans="1:8" ht="15.75" customHeight="1" x14ac:dyDescent="0.25">
      <c r="A14640" s="388"/>
      <c r="B14640" s="388"/>
      <c r="C14640" s="388"/>
      <c r="D14640" s="389"/>
      <c r="E14640" s="388"/>
      <c r="F14640" s="388"/>
      <c r="G14640" s="388"/>
      <c r="H14640" s="8"/>
    </row>
    <row r="14641" spans="1:8" ht="15.75" customHeight="1" x14ac:dyDescent="0.25">
      <c r="A14641" s="390"/>
      <c r="B14641" s="390"/>
      <c r="C14641" s="390"/>
      <c r="D14641" s="391"/>
      <c r="E14641" s="390"/>
      <c r="F14641" s="395" t="s">
        <v>18</v>
      </c>
      <c r="G14641" s="396" t="s">
        <v>1250</v>
      </c>
      <c r="H14641" s="397"/>
    </row>
    <row r="14642" spans="1:8" ht="15.75" customHeight="1" x14ac:dyDescent="0.25">
      <c r="A14642" s="390" t="s">
        <v>20</v>
      </c>
      <c r="B14642" s="390"/>
      <c r="C14642" s="390"/>
      <c r="D14642" s="391"/>
      <c r="E14642" s="390"/>
      <c r="F14642" s="395" t="s">
        <v>21</v>
      </c>
      <c r="G14642" s="390" t="s">
        <v>1508</v>
      </c>
      <c r="H14642" s="391"/>
    </row>
    <row r="14643" spans="1:8" ht="15.75" customHeight="1" x14ac:dyDescent="0.25">
      <c r="A14643" s="390" t="inlineStr">
        <is>
          <t>Dealer-009</t>
        </is>
      </c>
      <c r="B14643" s="390"/>
      <c r="C14643" s="390" t="inlineStr">
        <is>
          <t>ATTN: Contact-001</t>
        </is>
      </c>
      <c r="D14643" s="398"/>
      <c r="E14643" s="390"/>
      <c r="F14643" s="391"/>
      <c r="G14643" s="390"/>
      <c r="H14643" s="394"/>
    </row>
    <row r="14644" spans="1:8" ht="15.75" customHeight="1" x14ac:dyDescent="0.25">
      <c r="A14644" s="390" t="inlineStr">
        <is>
          <t>Address line (redacted)</t>
        </is>
      </c>
      <c r="B14644" s="390"/>
      <c r="C14644" s="390"/>
      <c r="D14644" s="398"/>
      <c r="E14644" s="390"/>
      <c r="F14644" s="391"/>
      <c r="G14644" s="390"/>
      <c r="H14644" s="394"/>
    </row>
    <row r="14645" spans="1:8" ht="15.75" customHeight="1" x14ac:dyDescent="0.25">
      <c r="A14645" s="390" t="inlineStr">
        <is>
          <t>Address line (redacted)</t>
        </is>
      </c>
      <c r="B14645" s="390"/>
      <c r="C14645" s="390"/>
      <c r="D14645" s="391"/>
      <c r="E14645" s="390"/>
      <c r="F14645" s="391"/>
      <c r="G14645" s="390"/>
      <c r="H14645" s="394"/>
    </row>
    <row r="14646" spans="1:8" ht="15.75" customHeight="1" x14ac:dyDescent="0.25">
      <c r="A14646" s="390"/>
      <c r="B14646" s="390"/>
      <c r="C14646" s="390"/>
      <c r="D14646" s="391"/>
      <c r="E14646" s="390"/>
      <c r="F14646" s="391"/>
      <c r="G14646" s="390"/>
      <c r="H14646" s="394"/>
    </row>
    <row r="14647" spans="1:8" ht="15.75" customHeight="1" x14ac:dyDescent="0.25">
      <c r="A14647" s="390" t="s">
        <v>30</v>
      </c>
      <c r="B14647" s="390"/>
      <c r="C14647" s="390"/>
      <c r="D14647" s="391"/>
      <c r="E14647" s="390"/>
      <c r="F14647" s="391"/>
      <c r="G14647" s="390"/>
      <c r="H14647" s="394"/>
    </row>
    <row r="14648" spans="1:8" ht="15.75" customHeight="1" x14ac:dyDescent="0.25">
      <c r="A14648" s="390" t="s">
        <v>716</v>
      </c>
      <c r="B14648" s="390"/>
      <c r="C14648" s="390"/>
      <c r="D14648" s="391"/>
      <c r="E14648" s="390"/>
      <c r="F14648" s="391"/>
      <c r="G14648" s="390"/>
      <c r="H14648" s="394"/>
    </row>
    <row r="14649" spans="1:8" ht="15.75" customHeight="1" x14ac:dyDescent="0.25">
      <c r="A14649" s="390" t="s">
        <v>717</v>
      </c>
      <c r="B14649" s="390"/>
      <c r="C14649" s="390"/>
      <c r="D14649" s="391"/>
      <c r="E14649" s="390"/>
      <c r="F14649" s="391"/>
      <c r="G14649" s="390"/>
      <c r="H14649" s="394"/>
    </row>
    <row r="14650" spans="1:8" ht="15.75" customHeight="1" x14ac:dyDescent="0.25">
      <c r="A14650" s="390"/>
      <c r="B14650" s="390"/>
      <c r="C14650" s="390"/>
      <c r="D14650" s="391"/>
      <c r="E14650" s="390"/>
      <c r="F14650" s="391"/>
      <c r="G14650" s="390"/>
      <c r="H14650" s="394"/>
    </row>
    <row r="14651" spans="1:8" ht="15.75" customHeight="1" x14ac:dyDescent="0.25">
      <c r="A14651" s="948" t="s">
        <v>33</v>
      </c>
      <c r="B14651" s="872" t="s">
        <v>6</v>
      </c>
      <c r="C14651" s="872"/>
      <c r="D14651" s="874" t="s">
        <v>37</v>
      </c>
      <c r="E14651" s="874" t="s">
        <v>38</v>
      </c>
      <c r="F14651" s="875" t="s">
        <v>7</v>
      </c>
      <c r="G14651" s="872" t="s">
        <v>43</v>
      </c>
      <c r="H14651" s="876" t="s">
        <v>44</v>
      </c>
    </row>
    <row r="14652" spans="1:8" ht="15.75" customHeight="1" x14ac:dyDescent="0.3">
      <c r="A14652" s="412"/>
      <c r="B14652" s="1033"/>
      <c r="C14652" s="1033"/>
      <c r="D14652" s="879"/>
      <c r="E14652" s="879"/>
      <c r="F14652" s="415"/>
      <c r="G14652" s="415"/>
      <c r="H14652" s="416"/>
    </row>
    <row r="14653" spans="1:8" ht="15.75" customHeight="1" x14ac:dyDescent="0.25">
      <c r="A14653" s="412"/>
      <c r="B14653" s="953" t="s">
        <v>590</v>
      </c>
      <c r="C14653" s="953"/>
      <c r="D14653" s="929"/>
      <c r="E14653" s="981"/>
      <c r="F14653" s="415"/>
      <c r="G14653" s="415"/>
      <c r="H14653" s="416"/>
    </row>
    <row r="14654" spans="1:8" ht="15.75" customHeight="1" x14ac:dyDescent="0.25">
      <c r="A14654" s="412">
        <v>1</v>
      </c>
      <c r="B14654" s="1118" t="s">
        <v>287</v>
      </c>
      <c r="C14654" s="993" t="s">
        <v>400</v>
      </c>
      <c r="D14654" s="929">
        <v>2</v>
      </c>
      <c r="E14654" s="981">
        <v>6</v>
      </c>
      <c r="F14654" s="415">
        <f t="shared" ref="F14654:F14660" si="603">+E14654*D14654</f>
      </c>
      <c r="G14654" s="415">
        <v>1</v>
      </c>
      <c r="H14654" s="416">
        <f t="shared" ref="H14654:H14660" si="604">+G14654*F14654</f>
      </c>
    </row>
    <row r="14655" spans="1:8" ht="15.75" customHeight="1" x14ac:dyDescent="0.25">
      <c r="A14655" s="412">
        <v>2</v>
      </c>
      <c r="B14655" s="1118" t="s">
        <v>127</v>
      </c>
      <c r="C14655" s="993" t="s">
        <v>398</v>
      </c>
      <c r="D14655" s="929">
        <v>1</v>
      </c>
      <c r="E14655" s="981">
        <v>6</v>
      </c>
      <c r="F14655" s="415">
        <f t="shared" si="603"/>
      </c>
      <c r="G14655" s="415">
        <v>1</v>
      </c>
      <c r="H14655" s="416">
        <f t="shared" si="604"/>
      </c>
    </row>
    <row r="14656" spans="1:8" ht="15.75" customHeight="1" x14ac:dyDescent="0.25">
      <c r="A14656" s="412">
        <v>3</v>
      </c>
      <c r="B14656" s="1118" t="s">
        <v>15</v>
      </c>
      <c r="C14656" s="993" t="s">
        <v>388</v>
      </c>
      <c r="D14656" s="981">
        <v>1</v>
      </c>
      <c r="E14656" s="981">
        <v>6</v>
      </c>
      <c r="F14656" s="415">
        <f t="shared" si="603"/>
      </c>
      <c r="G14656" s="415">
        <v>1</v>
      </c>
      <c r="H14656" s="416">
        <f t="shared" si="604"/>
      </c>
    </row>
    <row r="14657" spans="1:8" ht="15.75" customHeight="1" x14ac:dyDescent="0.25">
      <c r="A14657" s="412">
        <v>4</v>
      </c>
      <c r="B14657" s="1118" t="s">
        <v>146</v>
      </c>
      <c r="C14657" s="993" t="s">
        <v>380</v>
      </c>
      <c r="D14657" s="981">
        <v>1</v>
      </c>
      <c r="E14657" s="981">
        <v>6</v>
      </c>
      <c r="F14657" s="415">
        <f t="shared" si="603"/>
      </c>
      <c r="G14657" s="415">
        <v>1</v>
      </c>
      <c r="H14657" s="416">
        <f t="shared" si="604"/>
      </c>
    </row>
    <row r="14658" spans="1:8" ht="15.75" customHeight="1" x14ac:dyDescent="0.25">
      <c r="A14658" s="412">
        <v>5</v>
      </c>
      <c r="B14658" s="1118" t="s">
        <v>136</v>
      </c>
      <c r="C14658" s="993" t="s">
        <v>387</v>
      </c>
      <c r="D14658" s="981">
        <v>3</v>
      </c>
      <c r="E14658" s="981">
        <v>6</v>
      </c>
      <c r="F14658" s="415">
        <f t="shared" si="603"/>
      </c>
      <c r="G14658" s="415">
        <v>1</v>
      </c>
      <c r="H14658" s="416">
        <f t="shared" si="604"/>
      </c>
    </row>
    <row r="14659" spans="1:8" ht="15.75" customHeight="1" x14ac:dyDescent="0.25">
      <c r="A14659" s="412">
        <v>6</v>
      </c>
      <c r="B14659" s="1118" t="s">
        <v>113</v>
      </c>
      <c r="C14659" s="993" t="s">
        <v>368</v>
      </c>
      <c r="D14659" s="981">
        <v>1</v>
      </c>
      <c r="E14659" s="981">
        <v>6</v>
      </c>
      <c r="F14659" s="415">
        <f t="shared" si="603"/>
      </c>
      <c r="G14659" s="415">
        <v>1</v>
      </c>
      <c r="H14659" s="416">
        <f t="shared" si="604"/>
      </c>
    </row>
    <row r="14660" spans="1:8" ht="15.75" customHeight="1" x14ac:dyDescent="0.25">
      <c r="A14660" s="412">
        <v>7</v>
      </c>
      <c r="B14660" s="1118" t="s">
        <v>1737</v>
      </c>
      <c r="C14660" s="993" t="s">
        <v>371</v>
      </c>
      <c r="D14660" s="981">
        <v>1</v>
      </c>
      <c r="E14660" s="981">
        <v>6</v>
      </c>
      <c r="F14660" s="415">
        <f t="shared" si="603"/>
      </c>
      <c r="G14660" s="415">
        <v>1</v>
      </c>
      <c r="H14660" s="416">
        <f t="shared" si="604"/>
      </c>
    </row>
    <row r="14661" spans="1:8" ht="15.75" customHeight="1" x14ac:dyDescent="0.25">
      <c r="A14661" s="412"/>
      <c r="B14661" s="953" t="s">
        <v>2357</v>
      </c>
      <c r="C14661" s="953"/>
      <c r="D14661" s="981"/>
      <c r="E14661" s="981"/>
      <c r="F14661" s="415"/>
      <c r="G14661" s="415"/>
      <c r="H14661" s="416"/>
    </row>
    <row r="14662" spans="1:8" ht="15.75" customHeight="1" x14ac:dyDescent="0.25">
      <c r="A14662" s="412">
        <v>8</v>
      </c>
      <c r="B14662" s="1118" t="s">
        <v>1833</v>
      </c>
      <c r="C14662" s="993" t="s">
        <v>445</v>
      </c>
      <c r="D14662" s="981"/>
      <c r="E14662" s="981">
        <v>500</v>
      </c>
      <c r="F14662" s="415">
        <v>450</v>
      </c>
      <c r="G14662" s="415">
        <v>1</v>
      </c>
      <c r="H14662" s="416">
        <f>+G14662*F14662</f>
      </c>
    </row>
    <row r="14663" spans="1:8" ht="15.75" customHeight="1" x14ac:dyDescent="0.25">
      <c r="A14663" s="412">
        <v>9</v>
      </c>
      <c r="B14663" s="1118" t="s">
        <v>1833</v>
      </c>
      <c r="C14663" s="993" t="s">
        <v>445</v>
      </c>
      <c r="D14663" s="981"/>
      <c r="E14663" s="981"/>
      <c r="F14663" s="415">
        <v>50</v>
      </c>
      <c r="G14663" s="619" t="s">
        <v>1856</v>
      </c>
      <c r="H14663" s="416"/>
    </row>
    <row r="14664" spans="1:8" ht="15.75" customHeight="1" x14ac:dyDescent="0.25">
      <c r="A14664" s="412">
        <v>10</v>
      </c>
      <c r="B14664" s="1118" t="s">
        <v>2155</v>
      </c>
      <c r="C14664" s="993" t="s">
        <v>448</v>
      </c>
      <c r="D14664" s="981"/>
      <c r="E14664" s="981">
        <v>30</v>
      </c>
      <c r="F14664" s="415">
        <v>30</v>
      </c>
      <c r="G14664" s="415">
        <v>1</v>
      </c>
      <c r="H14664" s="416">
        <f t="shared" ref="H14664:H14665" si="605">+G14664*F14664</f>
      </c>
    </row>
    <row r="14665" spans="1:8" ht="15.75" customHeight="1" x14ac:dyDescent="0.25">
      <c r="A14665" s="412">
        <v>11</v>
      </c>
      <c r="B14665" s="1118" t="s">
        <v>293</v>
      </c>
      <c r="C14665" s="993" t="s">
        <v>450</v>
      </c>
      <c r="D14665" s="981"/>
      <c r="E14665" s="981">
        <v>435</v>
      </c>
      <c r="F14665" s="415">
        <v>435</v>
      </c>
      <c r="G14665" s="415">
        <v>1</v>
      </c>
      <c r="H14665" s="416">
        <f t="shared" si="605"/>
      </c>
    </row>
    <row r="14666" spans="1:8" ht="15.75" customHeight="1" x14ac:dyDescent="0.25">
      <c r="A14666" s="412">
        <v>12</v>
      </c>
      <c r="B14666" s="1118" t="s">
        <v>293</v>
      </c>
      <c r="C14666" s="993" t="s">
        <v>450</v>
      </c>
      <c r="D14666" s="981"/>
      <c r="E14666" s="981">
        <v>65</v>
      </c>
      <c r="F14666" s="415">
        <v>65</v>
      </c>
      <c r="G14666" s="619" t="s">
        <v>1856</v>
      </c>
      <c r="H14666" s="416"/>
    </row>
    <row r="14667" spans="1:8" ht="15.75" customHeight="1" x14ac:dyDescent="0.25">
      <c r="A14667" s="412">
        <v>13</v>
      </c>
      <c r="B14667" s="1118" t="s">
        <v>2156</v>
      </c>
      <c r="C14667" s="993" t="s">
        <v>446</v>
      </c>
      <c r="D14667" s="981"/>
      <c r="E14667" s="981">
        <v>50</v>
      </c>
      <c r="F14667" s="415">
        <v>50</v>
      </c>
      <c r="G14667" s="415">
        <v>1</v>
      </c>
      <c r="H14667" s="416">
        <f t="shared" ref="H14667:H14671" si="606">+G14667*F14667</f>
      </c>
    </row>
    <row r="14668" spans="1:8" ht="15.75" customHeight="1" x14ac:dyDescent="0.25">
      <c r="A14668" s="412">
        <v>14</v>
      </c>
      <c r="B14668" s="1118" t="s">
        <v>290</v>
      </c>
      <c r="C14668" s="993" t="s">
        <v>447</v>
      </c>
      <c r="D14668" s="981"/>
      <c r="E14668" s="981">
        <v>20</v>
      </c>
      <c r="F14668" s="415">
        <v>20</v>
      </c>
      <c r="G14668" s="415">
        <v>1</v>
      </c>
      <c r="H14668" s="416">
        <f t="shared" si="606"/>
      </c>
    </row>
    <row r="14669" spans="1:8" ht="15.75" customHeight="1" x14ac:dyDescent="0.25">
      <c r="A14669" s="412">
        <v>15</v>
      </c>
      <c r="B14669" s="1118" t="s">
        <v>301</v>
      </c>
      <c r="C14669" s="993" t="s">
        <v>458</v>
      </c>
      <c r="D14669" s="981"/>
      <c r="E14669" s="981">
        <v>25</v>
      </c>
      <c r="F14669" s="415">
        <v>25</v>
      </c>
      <c r="G14669" s="415">
        <v>1</v>
      </c>
      <c r="H14669" s="416">
        <f t="shared" si="606"/>
      </c>
    </row>
    <row r="14670" spans="1:8" ht="15.75" customHeight="1" x14ac:dyDescent="0.25">
      <c r="A14670" s="412">
        <v>16</v>
      </c>
      <c r="B14670" s="1118" t="s">
        <v>297</v>
      </c>
      <c r="C14670" s="993" t="s">
        <v>459</v>
      </c>
      <c r="D14670" s="981"/>
      <c r="E14670" s="981">
        <v>20</v>
      </c>
      <c r="F14670" s="415">
        <v>20</v>
      </c>
      <c r="G14670" s="415">
        <v>1</v>
      </c>
      <c r="H14670" s="416">
        <f t="shared" si="606"/>
      </c>
    </row>
    <row r="14671" spans="1:8" ht="15.75" customHeight="1" x14ac:dyDescent="0.25">
      <c r="A14671" s="412">
        <v>17</v>
      </c>
      <c r="B14671" s="1118" t="s">
        <v>300</v>
      </c>
      <c r="C14671" s="993" t="s">
        <v>457</v>
      </c>
      <c r="D14671" s="981"/>
      <c r="E14671" s="981">
        <v>450</v>
      </c>
      <c r="F14671" s="415">
        <f t="shared" ref="F14671:F14672" si="607">+E14671</f>
      </c>
      <c r="G14671" s="415">
        <v>1</v>
      </c>
      <c r="H14671" s="416">
        <f t="shared" si="606"/>
      </c>
    </row>
    <row r="14672" spans="1:8" ht="15.75" customHeight="1" x14ac:dyDescent="0.25">
      <c r="A14672" s="412">
        <v>18</v>
      </c>
      <c r="B14672" s="1118" t="s">
        <v>300</v>
      </c>
      <c r="C14672" s="993" t="s">
        <v>457</v>
      </c>
      <c r="D14672" s="981"/>
      <c r="E14672" s="981">
        <v>50</v>
      </c>
      <c r="F14672" s="415">
        <f t="shared" si="607"/>
      </c>
      <c r="G14672" s="619" t="s">
        <v>1856</v>
      </c>
      <c r="H14672" s="416"/>
    </row>
    <row r="14673" spans="1:8" ht="15.75" customHeight="1" x14ac:dyDescent="0.25">
      <c r="A14673" s="412"/>
      <c r="B14673" s="953" t="s">
        <v>674</v>
      </c>
      <c r="C14673" s="953"/>
      <c r="D14673" s="930"/>
      <c r="E14673" s="930"/>
      <c r="F14673" s="415"/>
      <c r="G14673" s="415"/>
      <c r="H14673" s="416"/>
    </row>
    <row r="14674" spans="1:8" ht="15.75" customHeight="1" x14ac:dyDescent="0.25">
      <c r="A14674" s="412">
        <v>19</v>
      </c>
      <c r="B14674" s="1118" t="s">
        <v>1509</v>
      </c>
      <c r="C14674" s="993"/>
      <c r="D14674" s="930">
        <v>10</v>
      </c>
      <c r="E14674" s="930">
        <v>2</v>
      </c>
      <c r="F14674" s="415">
        <f>+E14674*D14674</f>
      </c>
      <c r="G14674" s="415">
        <v>1</v>
      </c>
      <c r="H14674" s="416">
        <f>+G14674*F14674</f>
      </c>
    </row>
    <row r="14675" spans="1:8" ht="24" customHeight="1" x14ac:dyDescent="0.25">
      <c r="A14675" s="412"/>
      <c r="B14675" s="1158" t="s">
        <v>2371</v>
      </c>
      <c r="C14675" s="993"/>
      <c r="D14675" s="626"/>
      <c r="E14675" s="930"/>
      <c r="F14675" s="415"/>
      <c r="G14675" s="415"/>
      <c r="H14675" s="416"/>
    </row>
    <row r="14676" spans="1:8" ht="15.75" customHeight="1" x14ac:dyDescent="0.25">
      <c r="A14676" s="412"/>
      <c r="B14676" s="1159"/>
      <c r="C14676" s="993"/>
      <c r="D14676" s="626"/>
      <c r="E14676" s="626"/>
      <c r="F14676" s="415"/>
      <c r="G14676" s="415"/>
      <c r="H14676" s="416"/>
    </row>
    <row r="14677" spans="1:8" ht="15.75" customHeight="1" x14ac:dyDescent="0.25">
      <c r="A14677" s="877"/>
      <c r="B14677" s="688"/>
      <c r="C14677" s="896" t="s">
        <v>85</v>
      </c>
      <c r="D14677" s="599"/>
      <c r="E14677" s="401"/>
      <c r="F14677" s="599"/>
      <c r="G14677" s="661"/>
      <c r="H14677" s="438">
        <f>SUM(H14654:H14676)</f>
      </c>
    </row>
    <row r="14678" spans="1:8" ht="15.75" customHeight="1" x14ac:dyDescent="0.25">
      <c r="A14678" s="932"/>
      <c r="B14678" s="933"/>
      <c r="C14678" s="934"/>
      <c r="D14678" s="431"/>
      <c r="E14678" s="935"/>
      <c r="F14678" s="935"/>
      <c r="G14678" s="936"/>
      <c r="H14678" s="444"/>
    </row>
    <row r="14679" spans="1:8" ht="15.75" customHeight="1" x14ac:dyDescent="0.25">
      <c r="A14679" s="994" t="s">
        <v>913</v>
      </c>
      <c r="B14679" s="391"/>
      <c r="C14679" s="391"/>
      <c r="D14679" s="391"/>
      <c r="E14679" s="390"/>
      <c r="F14679" s="392"/>
      <c r="G14679" s="390"/>
      <c r="H14679" s="394"/>
    </row>
    <row r="14680" spans="1:8" ht="15.75" customHeight="1" x14ac:dyDescent="0.25">
      <c r="A14680" s="445"/>
      <c r="B14680" s="445"/>
      <c r="C14680" s="445"/>
      <c r="D14680" s="446" t="s">
        <v>97</v>
      </c>
      <c r="E14680" s="445" t="s">
        <v>98</v>
      </c>
      <c r="F14680" s="445"/>
      <c r="G14680" s="390"/>
      <c r="H14680" s="394"/>
    </row>
    <row r="14681" spans="1:8" ht="15.75" customHeight="1" x14ac:dyDescent="0.25">
      <c r="A14681" s="445"/>
      <c r="B14681" s="445"/>
      <c r="C14681" s="445"/>
      <c r="D14681" s="446"/>
      <c r="E14681" s="445"/>
      <c r="F14681" s="445"/>
      <c r="G14681" s="390"/>
      <c r="H14681" s="394"/>
    </row>
    <row r="14682" spans="1:8" ht="15.75" customHeight="1" x14ac:dyDescent="0.25">
      <c r="A14682" s="445"/>
      <c r="B14682" s="445"/>
      <c r="C14682" s="445"/>
      <c r="D14682" s="446"/>
      <c r="E14682" s="445"/>
      <c r="F14682" s="445"/>
      <c r="G14682" s="390"/>
      <c r="H14682" s="394"/>
    </row>
    <row r="14683" spans="1:8" ht="15.75" customHeight="1" x14ac:dyDescent="0.25">
      <c r="A14683" s="445"/>
      <c r="B14683" s="445"/>
      <c r="C14683" s="445"/>
      <c r="D14683" s="446"/>
      <c r="E14683" s="445" t="s">
        <v>2370</v>
      </c>
      <c r="F14683" s="445"/>
      <c r="G14683" s="390"/>
      <c r="H14683" s="394"/>
    </row>
    <row r="14684" spans="1:8" ht="15.75" customHeight="1" x14ac:dyDescent="0.25">
      <c r="A14684" s="445"/>
      <c r="B14684" s="445"/>
      <c r="C14684" s="445"/>
      <c r="D14684" s="446"/>
      <c r="E14684" s="445"/>
      <c r="F14684" s="445"/>
      <c r="G14684" s="390"/>
      <c r="H14684" s="394"/>
    </row>
    <row r="14685" spans="1:8" ht="15.75" customHeight="1" x14ac:dyDescent="0.25">
      <c r="A14685" s="8" t="s">
        <v>14</v>
      </c>
      <c r="B14685" s="8"/>
      <c r="C14685" s="8"/>
      <c r="D14685" s="8"/>
      <c r="E14685" s="8"/>
      <c r="F14685" s="8"/>
      <c r="G14685" s="8"/>
      <c r="H14685" s="8"/>
    </row>
    <row r="14686" spans="1:8" ht="15.75" customHeight="1" x14ac:dyDescent="0.25">
      <c r="A14686" s="388"/>
      <c r="B14686" s="388"/>
      <c r="C14686" s="388"/>
      <c r="D14686" s="389"/>
      <c r="E14686" s="388"/>
      <c r="F14686" s="388"/>
      <c r="G14686" s="388"/>
      <c r="H14686" s="8"/>
    </row>
    <row r="14687" spans="1:8" ht="15.75" customHeight="1" x14ac:dyDescent="0.25">
      <c r="D14687" s="391"/>
      <c r="E14687" s="390"/>
      <c r="F14687" s="395" t="s">
        <v>18</v>
      </c>
      <c r="G14687" s="396" t="s">
        <v>1250</v>
      </c>
      <c r="H14687" s="397"/>
    </row>
    <row r="14688" spans="1:8" ht="15.75" customHeight="1" x14ac:dyDescent="0.25">
      <c r="A14688" s="390" t="s">
        <v>20</v>
      </c>
      <c r="B14688" s="390"/>
      <c r="C14688" s="390"/>
      <c r="D14688" s="391"/>
      <c r="E14688" s="390"/>
      <c r="F14688" s="395" t="s">
        <v>21</v>
      </c>
      <c r="G14688" s="390" t="s">
        <v>1921</v>
      </c>
      <c r="H14688" s="391"/>
    </row>
    <row r="14689" spans="1:8" ht="15.75" customHeight="1" x14ac:dyDescent="0.25">
      <c r="A14689" s="390" t="inlineStr">
        <is>
          <t>Dealer-011</t>
        </is>
      </c>
      <c r="B14689" s="390"/>
      <c r="C14689" s="390" t="inlineStr">
        <is>
          <t>ATTN: Contact-002</t>
        </is>
      </c>
      <c r="D14689" s="398"/>
      <c r="E14689" s="390"/>
      <c r="F14689" s="391"/>
      <c r="G14689" s="390"/>
      <c r="H14689" s="394"/>
    </row>
    <row r="14690" spans="1:8" ht="15.75" customHeight="1" x14ac:dyDescent="0.25">
      <c r="A14690" s="390" t="inlineStr">
        <is>
          <t>Address line (redacted)</t>
        </is>
      </c>
      <c r="B14690" s="390"/>
      <c r="C14690" s="390"/>
      <c r="D14690" s="398"/>
      <c r="E14690" s="390"/>
      <c r="F14690" s="391"/>
      <c r="G14690" s="390"/>
      <c r="H14690" s="394"/>
    </row>
    <row r="14691" spans="1:8" ht="15.75" customHeight="1" x14ac:dyDescent="0.25">
      <c r="A14691" s="390" t="inlineStr">
        <is>
          <t>Address line (redacted)</t>
        </is>
      </c>
      <c r="B14691" s="390"/>
      <c r="C14691" s="390"/>
      <c r="D14691" s="391"/>
      <c r="E14691" s="390"/>
      <c r="F14691" s="391"/>
      <c r="G14691" s="390"/>
      <c r="H14691" s="394"/>
    </row>
    <row r="14692" spans="1:8" ht="15.75" customHeight="1" x14ac:dyDescent="0.25">
      <c r="A14692" s="390" t="inlineStr">
        <is>
          <t>Address line (redacted)</t>
        </is>
      </c>
      <c r="B14692" s="390"/>
      <c r="C14692" s="390"/>
      <c r="D14692" s="391"/>
      <c r="E14692" s="390"/>
      <c r="F14692" s="391"/>
      <c r="G14692" s="390"/>
      <c r="H14692" s="394"/>
    </row>
    <row r="14693" spans="1:8" ht="15.75" customHeight="1" x14ac:dyDescent="0.25">
      <c r="A14693" s="390"/>
      <c r="B14693" s="390"/>
      <c r="C14693" s="390"/>
      <c r="D14693" s="391"/>
      <c r="E14693" s="390"/>
      <c r="F14693" s="391"/>
      <c r="G14693" s="390"/>
      <c r="H14693" s="394"/>
    </row>
    <row r="14694" spans="1:8" ht="15.75" customHeight="1" x14ac:dyDescent="0.25">
      <c r="A14694" s="390" t="s">
        <v>30</v>
      </c>
      <c r="B14694" s="390"/>
      <c r="C14694" s="390"/>
      <c r="D14694" s="391"/>
      <c r="E14694" s="390"/>
      <c r="F14694" s="391"/>
      <c r="G14694" s="390"/>
      <c r="H14694" s="394"/>
    </row>
    <row r="14695" spans="1:8" ht="15.75" customHeight="1" x14ac:dyDescent="0.25">
      <c r="A14695" s="390"/>
      <c r="B14695" s="390"/>
      <c r="C14695" s="390"/>
      <c r="D14695" s="391"/>
      <c r="E14695" s="390"/>
      <c r="F14695" s="391"/>
      <c r="G14695" s="390"/>
      <c r="H14695" s="394"/>
    </row>
    <row r="14696" spans="1:8" ht="15.75" customHeight="1" x14ac:dyDescent="0.25">
      <c r="A14696" s="390" t="s">
        <v>716</v>
      </c>
      <c r="B14696" s="390"/>
      <c r="C14696" s="390"/>
      <c r="D14696" s="391"/>
      <c r="E14696" s="390"/>
      <c r="F14696" s="391"/>
      <c r="G14696" s="390"/>
      <c r="H14696" s="394"/>
    </row>
    <row r="14697" spans="1:8" ht="15.75" customHeight="1" x14ac:dyDescent="0.25">
      <c r="A14697" s="390" t="s">
        <v>717</v>
      </c>
      <c r="B14697" s="390"/>
      <c r="C14697" s="390"/>
      <c r="D14697" s="391"/>
      <c r="E14697" s="390"/>
      <c r="F14697" s="391"/>
      <c r="G14697" s="390"/>
      <c r="H14697" s="394"/>
    </row>
    <row r="14698" spans="1:8" ht="15.75" customHeight="1" x14ac:dyDescent="0.25">
      <c r="A14698" s="390"/>
      <c r="B14698" s="390"/>
      <c r="C14698" s="390"/>
      <c r="D14698" s="391"/>
      <c r="E14698" s="390"/>
      <c r="F14698" s="391"/>
      <c r="G14698" s="390"/>
      <c r="H14698" s="394"/>
    </row>
    <row r="14699" spans="1:8" ht="15.75" customHeight="1" x14ac:dyDescent="0.25">
      <c r="A14699" s="948" t="s">
        <v>33</v>
      </c>
      <c r="B14699" s="872" t="s">
        <v>6</v>
      </c>
      <c r="C14699" s="872"/>
      <c r="D14699" s="874" t="s">
        <v>37</v>
      </c>
      <c r="E14699" s="874" t="s">
        <v>38</v>
      </c>
      <c r="F14699" s="875" t="s">
        <v>7</v>
      </c>
      <c r="G14699" s="872" t="s">
        <v>43</v>
      </c>
      <c r="H14699" s="876" t="s">
        <v>44</v>
      </c>
    </row>
    <row r="14700" spans="1:8" ht="15.75" customHeight="1" x14ac:dyDescent="0.3">
      <c r="A14700" s="412"/>
      <c r="B14700" s="1033"/>
      <c r="C14700" s="1033"/>
      <c r="D14700" s="879"/>
      <c r="E14700" s="879"/>
      <c r="F14700" s="415"/>
      <c r="G14700" s="415"/>
      <c r="H14700" s="416"/>
    </row>
    <row r="14701" spans="1:8" ht="15.75" customHeight="1" x14ac:dyDescent="0.25">
      <c r="A14701" s="412"/>
      <c r="B14701" s="953" t="s">
        <v>1239</v>
      </c>
      <c r="C14701" s="953"/>
      <c r="D14701" s="415"/>
      <c r="E14701" s="415"/>
      <c r="F14701" s="415"/>
      <c r="G14701" s="415"/>
      <c r="H14701" s="416"/>
    </row>
    <row r="14702" spans="1:8" ht="15.75" customHeight="1" x14ac:dyDescent="0.25">
      <c r="A14702" s="412">
        <v>1</v>
      </c>
      <c r="B14702" s="1094" t="s">
        <v>56</v>
      </c>
      <c r="C14702" s="1095" t="s">
        <v>57</v>
      </c>
      <c r="D14702" s="588">
        <v>4</v>
      </c>
      <c r="E14702" s="588">
        <v>25</v>
      </c>
      <c r="F14702" s="415">
        <f t="shared" ref="F14702:F14704" si="608">+E14702*D14702</f>
      </c>
      <c r="G14702" s="415">
        <v>1</v>
      </c>
      <c r="H14702" s="416">
        <f t="shared" ref="H14702:H14704" si="609">+G14702*F14702</f>
      </c>
    </row>
    <row r="14703" spans="1:8" ht="15.75" customHeight="1" x14ac:dyDescent="0.25">
      <c r="A14703" s="412">
        <v>2</v>
      </c>
      <c r="B14703" s="1094" t="s">
        <v>68</v>
      </c>
      <c r="C14703" s="1095" t="s">
        <v>69</v>
      </c>
      <c r="D14703" s="415">
        <v>2</v>
      </c>
      <c r="E14703" s="415">
        <v>25</v>
      </c>
      <c r="F14703" s="415">
        <f t="shared" si="608"/>
      </c>
      <c r="G14703" s="415">
        <v>1</v>
      </c>
      <c r="H14703" s="416">
        <f t="shared" si="609"/>
      </c>
    </row>
    <row r="14704" spans="1:8" ht="15.75" customHeight="1" x14ac:dyDescent="0.25">
      <c r="A14704" s="412">
        <v>3</v>
      </c>
      <c r="B14704" s="1094" t="s">
        <v>2152</v>
      </c>
      <c r="C14704" s="1095" t="s">
        <v>109</v>
      </c>
      <c r="D14704" s="415">
        <v>8</v>
      </c>
      <c r="E14704" s="415">
        <v>25</v>
      </c>
      <c r="F14704" s="415">
        <f t="shared" si="608"/>
      </c>
      <c r="G14704" s="415">
        <v>1</v>
      </c>
      <c r="H14704" s="416">
        <f t="shared" si="609"/>
      </c>
    </row>
    <row r="14705" spans="1:8" ht="15.75" customHeight="1" x14ac:dyDescent="0.25">
      <c r="A14705" s="412"/>
      <c r="B14705" s="953" t="s">
        <v>590</v>
      </c>
      <c r="C14705" s="953"/>
      <c r="D14705" s="981"/>
      <c r="E14705" s="981"/>
      <c r="F14705" s="415"/>
      <c r="G14705" s="415"/>
      <c r="H14705" s="416"/>
    </row>
    <row r="14706" spans="1:8" ht="15.75" customHeight="1" x14ac:dyDescent="0.25">
      <c r="A14706" s="412">
        <v>4</v>
      </c>
      <c r="B14706" s="1116" t="s">
        <v>187</v>
      </c>
      <c r="C14706" s="1117" t="s">
        <v>187</v>
      </c>
      <c r="D14706" s="929">
        <v>6</v>
      </c>
      <c r="E14706" s="929">
        <v>8</v>
      </c>
      <c r="F14706" s="415">
        <v>46</v>
      </c>
      <c r="G14706" s="415">
        <v>1</v>
      </c>
      <c r="H14706" s="416">
        <f>+G14706*F14706</f>
      </c>
    </row>
    <row r="14707" spans="1:8" ht="15.75" customHeight="1" x14ac:dyDescent="0.25">
      <c r="A14707" s="412">
        <v>5</v>
      </c>
      <c r="B14707" s="1116" t="s">
        <v>187</v>
      </c>
      <c r="C14707" s="1117" t="s">
        <v>187</v>
      </c>
      <c r="D14707" s="930"/>
      <c r="E14707" s="930"/>
      <c r="F14707" s="415">
        <v>2</v>
      </c>
      <c r="G14707" s="619" t="s">
        <v>1856</v>
      </c>
      <c r="H14707" s="416"/>
    </row>
    <row r="14708" spans="1:8" ht="15.75" customHeight="1" x14ac:dyDescent="0.25">
      <c r="A14708" s="412">
        <v>6</v>
      </c>
      <c r="B14708" s="1116" t="s">
        <v>1737</v>
      </c>
      <c r="C14708" s="1117" t="s">
        <v>371</v>
      </c>
      <c r="D14708" s="930">
        <v>2</v>
      </c>
      <c r="E14708" s="930">
        <v>6</v>
      </c>
      <c r="F14708" s="415">
        <f t="shared" ref="F14708:F14714" si="610">+E14708*D14708</f>
      </c>
      <c r="G14708" s="415">
        <v>1</v>
      </c>
      <c r="H14708" s="416">
        <f t="shared" ref="H14708:H14714" si="611">+G14708*F14708</f>
      </c>
    </row>
    <row r="14709" spans="1:8" ht="15.75" customHeight="1" x14ac:dyDescent="0.25">
      <c r="A14709" s="412">
        <v>7</v>
      </c>
      <c r="B14709" s="1116" t="s">
        <v>143</v>
      </c>
      <c r="C14709" s="1117" t="s">
        <v>374</v>
      </c>
      <c r="D14709" s="930">
        <v>1</v>
      </c>
      <c r="E14709" s="930">
        <v>6</v>
      </c>
      <c r="F14709" s="415">
        <f t="shared" si="610"/>
      </c>
      <c r="G14709" s="415">
        <v>1</v>
      </c>
      <c r="H14709" s="416">
        <f t="shared" si="611"/>
      </c>
    </row>
    <row r="14710" spans="1:8" ht="15.75" customHeight="1" x14ac:dyDescent="0.25">
      <c r="A14710" s="412">
        <v>9</v>
      </c>
      <c r="B14710" s="1116" t="s">
        <v>146</v>
      </c>
      <c r="C14710" s="1117" t="s">
        <v>380</v>
      </c>
      <c r="D14710" s="981">
        <v>2</v>
      </c>
      <c r="E14710" s="981">
        <v>6</v>
      </c>
      <c r="F14710" s="415">
        <f t="shared" si="610"/>
      </c>
      <c r="G14710" s="415">
        <v>1</v>
      </c>
      <c r="H14710" s="416">
        <f t="shared" si="611"/>
      </c>
    </row>
    <row r="14711" spans="1:8" ht="15.75" customHeight="1" x14ac:dyDescent="0.25">
      <c r="A14711" s="412">
        <v>10</v>
      </c>
      <c r="B14711" s="1116" t="s">
        <v>15</v>
      </c>
      <c r="C14711" s="1117" t="s">
        <v>388</v>
      </c>
      <c r="D14711" s="981">
        <v>3</v>
      </c>
      <c r="E14711" s="981">
        <v>6</v>
      </c>
      <c r="F14711" s="415">
        <f t="shared" si="610"/>
      </c>
      <c r="G14711" s="415">
        <v>1</v>
      </c>
      <c r="H14711" s="416">
        <f t="shared" si="611"/>
      </c>
    </row>
    <row r="14712" spans="1:8" ht="15.75" customHeight="1" x14ac:dyDescent="0.25">
      <c r="A14712" s="412">
        <v>11</v>
      </c>
      <c r="B14712" s="1116" t="s">
        <v>123</v>
      </c>
      <c r="C14712" s="1117" t="s">
        <v>2196</v>
      </c>
      <c r="D14712" s="981">
        <v>1</v>
      </c>
      <c r="E14712" s="981">
        <v>6</v>
      </c>
      <c r="F14712" s="415">
        <f t="shared" si="610"/>
      </c>
      <c r="G14712" s="415">
        <v>1</v>
      </c>
      <c r="H14712" s="416">
        <f t="shared" si="611"/>
      </c>
    </row>
    <row r="14713" spans="1:8" ht="15.75" customHeight="1" x14ac:dyDescent="0.25">
      <c r="A14713" s="412">
        <v>12</v>
      </c>
      <c r="B14713" s="1116" t="s">
        <v>124</v>
      </c>
      <c r="C14713" s="1117" t="s">
        <v>402</v>
      </c>
      <c r="D14713" s="981">
        <v>1</v>
      </c>
      <c r="E14713" s="981">
        <v>6</v>
      </c>
      <c r="F14713" s="415">
        <f t="shared" si="610"/>
      </c>
      <c r="G14713" s="415">
        <v>1</v>
      </c>
      <c r="H14713" s="416">
        <f t="shared" si="611"/>
      </c>
    </row>
    <row r="14714" spans="1:8" ht="15.75" customHeight="1" x14ac:dyDescent="0.25">
      <c r="A14714" s="412">
        <v>13</v>
      </c>
      <c r="B14714" s="1116" t="s">
        <v>2146</v>
      </c>
      <c r="C14714" s="1117" t="s">
        <v>403</v>
      </c>
      <c r="D14714" s="981">
        <v>2</v>
      </c>
      <c r="E14714" s="981">
        <v>6</v>
      </c>
      <c r="F14714" s="415">
        <f t="shared" si="610"/>
      </c>
      <c r="G14714" s="415">
        <v>1</v>
      </c>
      <c r="H14714" s="416">
        <f t="shared" si="611"/>
      </c>
    </row>
    <row r="14715" spans="1:8" ht="15.75" customHeight="1" x14ac:dyDescent="0.25">
      <c r="A14715" s="412"/>
      <c r="B14715" s="953" t="s">
        <v>2357</v>
      </c>
      <c r="C14715" s="953"/>
      <c r="D14715" s="981"/>
      <c r="E14715" s="981"/>
      <c r="F14715" s="415"/>
      <c r="G14715" s="415"/>
      <c r="H14715" s="416"/>
    </row>
    <row r="14716" spans="1:8" ht="15.75" customHeight="1" x14ac:dyDescent="0.25">
      <c r="A14716" s="412">
        <v>14</v>
      </c>
      <c r="B14716" s="1118" t="s">
        <v>1514</v>
      </c>
      <c r="C14716" s="993"/>
      <c r="D14716" s="981">
        <v>5</v>
      </c>
      <c r="E14716" s="981">
        <v>100</v>
      </c>
      <c r="F14716" s="415">
        <f>95*D14716</f>
      </c>
      <c r="G14716" s="415">
        <v>1</v>
      </c>
      <c r="H14716" s="416">
        <f>+G14716*F14716</f>
      </c>
    </row>
    <row r="14717" spans="1:8" ht="15.75" customHeight="1" x14ac:dyDescent="0.25">
      <c r="A14717" s="412">
        <v>15</v>
      </c>
      <c r="B14717" s="1118" t="s">
        <v>1514</v>
      </c>
      <c r="C14717" s="993"/>
      <c r="D14717" s="981"/>
      <c r="E14717" s="981"/>
      <c r="F14717" s="415">
        <f>5*D14716</f>
      </c>
      <c r="G14717" s="619" t="s">
        <v>1856</v>
      </c>
      <c r="H14717" s="416"/>
    </row>
    <row r="14718" spans="1:8" ht="15.75" customHeight="1" x14ac:dyDescent="0.25">
      <c r="A14718" s="412">
        <v>16</v>
      </c>
      <c r="B14718" s="1118" t="s">
        <v>293</v>
      </c>
      <c r="C14718" s="1127" t="s">
        <v>450</v>
      </c>
      <c r="D14718" s="929">
        <v>1</v>
      </c>
      <c r="E14718" s="981"/>
      <c r="F14718" s="415">
        <v>200</v>
      </c>
      <c r="G14718" s="415">
        <v>1</v>
      </c>
      <c r="H14718" s="416">
        <f t="shared" ref="H14718:H14722" si="612">+G14718*F14718</f>
      </c>
    </row>
    <row r="14719" spans="1:8" ht="15.75" customHeight="1" x14ac:dyDescent="0.25">
      <c r="A14719" s="412">
        <v>17</v>
      </c>
      <c r="B14719" s="1118" t="s">
        <v>226</v>
      </c>
      <c r="C14719" s="1127" t="s">
        <v>449</v>
      </c>
      <c r="D14719" s="981">
        <v>1</v>
      </c>
      <c r="E14719" s="981"/>
      <c r="F14719" s="415">
        <v>300</v>
      </c>
      <c r="G14719" s="415">
        <v>1</v>
      </c>
      <c r="H14719" s="416">
        <f t="shared" si="612"/>
      </c>
    </row>
    <row r="14720" spans="1:8" ht="15.75" customHeight="1" x14ac:dyDescent="0.25">
      <c r="A14720" s="412">
        <v>18</v>
      </c>
      <c r="B14720" s="1118" t="s">
        <v>300</v>
      </c>
      <c r="C14720" s="1127" t="s">
        <v>457</v>
      </c>
      <c r="D14720" s="929">
        <v>1</v>
      </c>
      <c r="E14720" s="981"/>
      <c r="F14720" s="415">
        <v>200</v>
      </c>
      <c r="G14720" s="415">
        <v>1</v>
      </c>
      <c r="H14720" s="416">
        <f t="shared" si="612"/>
      </c>
    </row>
    <row r="14721" spans="1:8" ht="15.75" customHeight="1" x14ac:dyDescent="0.25">
      <c r="A14721" s="412">
        <v>19</v>
      </c>
      <c r="B14721" s="1118" t="s">
        <v>250</v>
      </c>
      <c r="C14721" s="1127" t="s">
        <v>452</v>
      </c>
      <c r="D14721" s="930"/>
      <c r="E14721" s="981"/>
      <c r="F14721" s="415">
        <v>100</v>
      </c>
      <c r="G14721" s="415">
        <v>1</v>
      </c>
      <c r="H14721" s="416">
        <f t="shared" si="612"/>
      </c>
    </row>
    <row r="14722" spans="1:8" ht="15.75" customHeight="1" x14ac:dyDescent="0.25">
      <c r="A14722" s="412">
        <v>20</v>
      </c>
      <c r="B14722" s="1118" t="s">
        <v>297</v>
      </c>
      <c r="C14722" s="1127" t="s">
        <v>459</v>
      </c>
      <c r="D14722" s="981">
        <v>1</v>
      </c>
      <c r="E14722" s="981"/>
      <c r="F14722" s="415">
        <v>55</v>
      </c>
      <c r="G14722" s="415">
        <v>1</v>
      </c>
      <c r="H14722" s="416">
        <f t="shared" si="612"/>
      </c>
    </row>
    <row r="14723" spans="1:8" ht="15.75" customHeight="1" x14ac:dyDescent="0.25">
      <c r="A14723" s="412"/>
      <c r="B14723" s="1118"/>
      <c r="C14723" s="993"/>
      <c r="D14723" s="981"/>
      <c r="E14723" s="981"/>
      <c r="F14723" s="415"/>
      <c r="G14723" s="415"/>
      <c r="H14723" s="416"/>
    </row>
    <row r="14724" spans="1:8" ht="15.75" customHeight="1" x14ac:dyDescent="0.25">
      <c r="A14724" s="880"/>
      <c r="B14724" s="1119"/>
      <c r="C14724" s="1160" t="s">
        <v>2360</v>
      </c>
      <c r="D14724" s="1122"/>
      <c r="E14724" s="1121"/>
      <c r="F14724" s="892"/>
      <c r="G14724" s="892"/>
      <c r="H14724" s="893"/>
    </row>
    <row r="14725" spans="1:8" ht="15.75" customHeight="1" x14ac:dyDescent="0.25">
      <c r="A14725" s="451"/>
      <c r="B14725" s="1123"/>
      <c r="C14725" s="1092"/>
      <c r="D14725" s="567"/>
      <c r="E14725" s="638"/>
      <c r="F14725" s="391"/>
      <c r="G14725" s="391"/>
      <c r="H14725" s="394"/>
    </row>
    <row r="14726" spans="1:8" ht="15.75" customHeight="1" x14ac:dyDescent="0.25">
      <c r="A14726" s="451"/>
      <c r="B14726" s="1123"/>
      <c r="C14726" s="1092"/>
      <c r="D14726" s="567"/>
      <c r="E14726" s="638"/>
      <c r="F14726" s="391"/>
      <c r="G14726" s="391"/>
      <c r="H14726" s="394"/>
    </row>
    <row r="14727" spans="1:8" ht="15.75" customHeight="1" x14ac:dyDescent="0.25">
      <c r="A14727" s="451"/>
      <c r="B14727" s="1123"/>
      <c r="C14727" s="1092"/>
      <c r="D14727" s="567"/>
      <c r="E14727" s="638"/>
      <c r="F14727" s="391"/>
      <c r="G14727" s="391"/>
      <c r="H14727" s="394"/>
    </row>
    <row r="14728" spans="1:8" ht="15.75" customHeight="1" x14ac:dyDescent="0.25">
      <c r="A14728" s="451"/>
      <c r="B14728" s="1123"/>
      <c r="C14728" s="1092"/>
      <c r="D14728" s="567"/>
      <c r="E14728" s="638"/>
      <c r="F14728" s="391"/>
      <c r="G14728" s="391"/>
      <c r="H14728" s="394"/>
    </row>
    <row r="14729" spans="1:8" ht="15.75" customHeight="1" x14ac:dyDescent="0.25">
      <c r="A14729" s="451"/>
      <c r="B14729" s="1123"/>
      <c r="C14729" s="1092"/>
      <c r="D14729" s="567"/>
      <c r="E14729" s="638"/>
      <c r="F14729" s="391"/>
      <c r="G14729" s="391"/>
      <c r="H14729" s="394"/>
    </row>
    <row r="14730" spans="1:8" ht="15.75" customHeight="1" x14ac:dyDescent="0.25">
      <c r="A14730" s="451"/>
      <c r="B14730" s="1123"/>
      <c r="C14730" s="1092"/>
      <c r="D14730" s="567"/>
      <c r="E14730" s="638"/>
      <c r="F14730" s="391"/>
      <c r="G14730" s="391"/>
      <c r="H14730" s="394"/>
    </row>
    <row r="14731" spans="1:8" ht="15.75" customHeight="1" x14ac:dyDescent="0.25">
      <c r="A14731" s="8" t="s">
        <v>14</v>
      </c>
      <c r="B14731" s="8"/>
      <c r="C14731" s="8"/>
      <c r="D14731" s="8"/>
      <c r="E14731" s="8"/>
      <c r="F14731" s="8"/>
      <c r="G14731" s="8"/>
      <c r="H14731" s="8"/>
    </row>
    <row r="14732" spans="1:8" ht="15.75" customHeight="1" x14ac:dyDescent="0.25">
      <c r="A14732" s="388"/>
      <c r="B14732" s="388"/>
      <c r="C14732" s="388"/>
      <c r="D14732" s="389"/>
      <c r="E14732" s="388"/>
      <c r="F14732" s="388"/>
      <c r="G14732" s="388"/>
      <c r="H14732" s="8"/>
    </row>
    <row r="14733" spans="1:8" ht="15.75" customHeight="1" x14ac:dyDescent="0.25">
      <c r="D14733" s="391"/>
      <c r="E14733" s="390"/>
      <c r="F14733" s="395" t="s">
        <v>18</v>
      </c>
      <c r="G14733" s="396" t="s">
        <v>1250</v>
      </c>
      <c r="H14733" s="397"/>
    </row>
    <row r="14734" spans="1:8" ht="15.75" customHeight="1" x14ac:dyDescent="0.25">
      <c r="A14734" s="390" t="s">
        <v>20</v>
      </c>
      <c r="B14734" s="390"/>
      <c r="C14734" s="390"/>
      <c r="D14734" s="391"/>
      <c r="E14734" s="390"/>
      <c r="F14734" s="395" t="s">
        <v>21</v>
      </c>
      <c r="G14734" s="390" t="s">
        <v>1921</v>
      </c>
      <c r="H14734" s="391"/>
    </row>
    <row r="14735" spans="1:8" ht="15.75" customHeight="1" x14ac:dyDescent="0.25">
      <c r="A14735" s="390" t="inlineStr">
        <is>
          <t>Dealer-011</t>
        </is>
      </c>
      <c r="B14735" s="390"/>
      <c r="C14735" s="390" t="inlineStr">
        <is>
          <t>ATTN: Contact-002</t>
        </is>
      </c>
      <c r="D14735" s="398"/>
      <c r="E14735" s="390"/>
      <c r="F14735" s="391"/>
      <c r="G14735" s="390"/>
      <c r="H14735" s="394"/>
    </row>
    <row r="14736" spans="1:8" ht="15.75" customHeight="1" x14ac:dyDescent="0.25">
      <c r="A14736" s="390" t="inlineStr">
        <is>
          <t>Address line (redacted)</t>
        </is>
      </c>
      <c r="B14736" s="390"/>
      <c r="C14736" s="390"/>
      <c r="D14736" s="398"/>
      <c r="E14736" s="390"/>
      <c r="F14736" s="391"/>
      <c r="G14736" s="390"/>
      <c r="H14736" s="394"/>
    </row>
    <row r="14737" spans="1:8" ht="15.75" customHeight="1" x14ac:dyDescent="0.25">
      <c r="A14737" s="390" t="inlineStr">
        <is>
          <t>Address line (redacted)</t>
        </is>
      </c>
      <c r="B14737" s="390"/>
      <c r="C14737" s="390"/>
      <c r="D14737" s="391"/>
      <c r="E14737" s="390"/>
      <c r="F14737" s="391"/>
      <c r="G14737" s="390"/>
      <c r="H14737" s="394"/>
    </row>
    <row r="14738" spans="1:8" ht="15.75" customHeight="1" x14ac:dyDescent="0.25">
      <c r="A14738" s="390" t="inlineStr">
        <is>
          <t>Address line (redacted)</t>
        </is>
      </c>
      <c r="B14738" s="390"/>
      <c r="C14738" s="883" t="s">
        <v>2323</v>
      </c>
      <c r="D14738" s="391"/>
      <c r="E14738" s="390"/>
      <c r="F14738" s="391"/>
      <c r="G14738" s="390"/>
      <c r="H14738" s="394"/>
    </row>
    <row r="14739" spans="1:8" ht="15.75" customHeight="1" x14ac:dyDescent="0.25">
      <c r="A14739" s="390"/>
      <c r="B14739" s="390"/>
      <c r="C14739" s="390"/>
      <c r="D14739" s="391"/>
      <c r="E14739" s="390"/>
      <c r="F14739" s="391"/>
      <c r="G14739" s="390"/>
      <c r="H14739" s="394"/>
    </row>
    <row r="14740" spans="1:8" ht="15.75" customHeight="1" x14ac:dyDescent="0.25">
      <c r="A14740" s="390" t="s">
        <v>30</v>
      </c>
      <c r="B14740" s="390"/>
      <c r="C14740" s="390"/>
      <c r="D14740" s="391"/>
      <c r="E14740" s="390"/>
      <c r="F14740" s="391"/>
      <c r="G14740" s="390"/>
      <c r="H14740" s="394"/>
    </row>
    <row r="14741" spans="1:8" ht="15.75" customHeight="1" x14ac:dyDescent="0.25">
      <c r="A14741" s="390"/>
      <c r="B14741" s="390"/>
      <c r="C14741" s="390"/>
      <c r="D14741" s="391"/>
      <c r="E14741" s="390"/>
      <c r="F14741" s="391"/>
      <c r="G14741" s="390"/>
      <c r="H14741" s="394"/>
    </row>
    <row r="14742" spans="1:8" ht="15.75" customHeight="1" x14ac:dyDescent="0.25">
      <c r="A14742" s="390" t="s">
        <v>716</v>
      </c>
      <c r="B14742" s="390"/>
      <c r="C14742" s="390"/>
      <c r="D14742" s="391"/>
      <c r="E14742" s="390"/>
      <c r="F14742" s="391"/>
      <c r="G14742" s="390"/>
      <c r="H14742" s="394"/>
    </row>
    <row r="14743" spans="1:8" ht="15.75" customHeight="1" x14ac:dyDescent="0.25">
      <c r="A14743" s="390" t="s">
        <v>717</v>
      </c>
      <c r="B14743" s="390"/>
      <c r="C14743" s="390"/>
      <c r="D14743" s="391"/>
      <c r="E14743" s="390"/>
      <c r="F14743" s="391"/>
      <c r="G14743" s="390"/>
      <c r="H14743" s="394"/>
    </row>
    <row r="14744" spans="1:8" ht="15.75" customHeight="1" x14ac:dyDescent="0.25">
      <c r="A14744" s="390"/>
      <c r="B14744" s="390"/>
      <c r="C14744" s="390"/>
      <c r="D14744" s="391"/>
      <c r="E14744" s="390"/>
      <c r="F14744" s="391"/>
      <c r="G14744" s="390"/>
      <c r="H14744" s="394"/>
    </row>
    <row r="14745" spans="1:8" ht="15.75" customHeight="1" x14ac:dyDescent="0.25">
      <c r="A14745" s="948" t="s">
        <v>33</v>
      </c>
      <c r="B14745" s="872" t="s">
        <v>6</v>
      </c>
      <c r="C14745" s="872"/>
      <c r="D14745" s="874" t="s">
        <v>37</v>
      </c>
      <c r="E14745" s="874" t="s">
        <v>38</v>
      </c>
      <c r="F14745" s="875" t="s">
        <v>7</v>
      </c>
      <c r="G14745" s="872" t="s">
        <v>43</v>
      </c>
      <c r="H14745" s="876" t="s">
        <v>44</v>
      </c>
    </row>
    <row r="14746" spans="1:8" ht="15.75" customHeight="1" x14ac:dyDescent="0.25">
      <c r="A14746" s="1126"/>
      <c r="B14746" s="611"/>
      <c r="C14746" s="611"/>
      <c r="D14746" s="613"/>
      <c r="E14746" s="613"/>
      <c r="F14746" s="614"/>
      <c r="G14746" s="611"/>
      <c r="H14746" s="615"/>
    </row>
    <row r="14747" spans="1:8" ht="15.75" customHeight="1" x14ac:dyDescent="0.25">
      <c r="A14747" s="412"/>
      <c r="B14747" s="953" t="s">
        <v>1356</v>
      </c>
      <c r="C14747" s="953"/>
      <c r="D14747" s="626"/>
      <c r="E14747" s="930"/>
      <c r="F14747" s="415"/>
      <c r="G14747" s="415"/>
      <c r="H14747" s="416"/>
    </row>
    <row r="14748" spans="1:8" ht="15.75" customHeight="1" x14ac:dyDescent="0.25">
      <c r="A14748" s="412">
        <v>21</v>
      </c>
      <c r="B14748" s="1118" t="s">
        <v>320</v>
      </c>
      <c r="C14748" s="993" t="s">
        <v>316</v>
      </c>
      <c r="D14748" s="981">
        <v>2</v>
      </c>
      <c r="E14748" s="981">
        <v>10</v>
      </c>
      <c r="F14748" s="415">
        <f t="shared" ref="F14748:F14753" si="613">+E14748*D14748</f>
      </c>
      <c r="G14748" s="415">
        <v>1</v>
      </c>
      <c r="H14748" s="416">
        <f t="shared" ref="H14748:H14753" si="614">+G14748*F14748</f>
      </c>
    </row>
    <row r="14749" spans="1:8" ht="15.75" customHeight="1" x14ac:dyDescent="0.25">
      <c r="A14749" s="412">
        <v>22</v>
      </c>
      <c r="B14749" s="585" t="s">
        <v>2036</v>
      </c>
      <c r="C14749" s="993" t="s">
        <v>16</v>
      </c>
      <c r="D14749" s="588">
        <v>2</v>
      </c>
      <c r="E14749" s="981">
        <v>5</v>
      </c>
      <c r="F14749" s="415">
        <f t="shared" si="613"/>
      </c>
      <c r="G14749" s="415">
        <v>1</v>
      </c>
      <c r="H14749" s="416">
        <f t="shared" si="614"/>
      </c>
    </row>
    <row r="14750" spans="1:8" ht="15.75" customHeight="1" x14ac:dyDescent="0.25">
      <c r="A14750" s="412">
        <v>23</v>
      </c>
      <c r="B14750" s="585" t="s">
        <v>139</v>
      </c>
      <c r="C14750" s="993" t="s">
        <v>336</v>
      </c>
      <c r="D14750" s="626">
        <v>2</v>
      </c>
      <c r="E14750" s="930">
        <v>5</v>
      </c>
      <c r="F14750" s="415">
        <f t="shared" si="613"/>
      </c>
      <c r="G14750" s="415">
        <v>1</v>
      </c>
      <c r="H14750" s="416">
        <f t="shared" si="614"/>
      </c>
    </row>
    <row r="14751" spans="1:8" ht="15.75" customHeight="1" x14ac:dyDescent="0.25">
      <c r="A14751" s="412">
        <v>24</v>
      </c>
      <c r="B14751" s="585" t="s">
        <v>145</v>
      </c>
      <c r="C14751" s="993" t="s">
        <v>341</v>
      </c>
      <c r="D14751" s="626">
        <v>2</v>
      </c>
      <c r="E14751" s="930">
        <v>5</v>
      </c>
      <c r="F14751" s="415">
        <f t="shared" si="613"/>
      </c>
      <c r="G14751" s="415">
        <v>1</v>
      </c>
      <c r="H14751" s="416">
        <f t="shared" si="614"/>
      </c>
    </row>
    <row r="14752" spans="1:8" ht="15.75" customHeight="1" x14ac:dyDescent="0.25">
      <c r="A14752" s="412">
        <v>25</v>
      </c>
      <c r="B14752" s="585" t="s">
        <v>1298</v>
      </c>
      <c r="C14752" s="993" t="s">
        <v>337</v>
      </c>
      <c r="D14752" s="626">
        <v>2</v>
      </c>
      <c r="E14752" s="930">
        <v>5</v>
      </c>
      <c r="F14752" s="415">
        <f t="shared" si="613"/>
      </c>
      <c r="G14752" s="415">
        <v>1</v>
      </c>
      <c r="H14752" s="416">
        <f t="shared" si="614"/>
      </c>
    </row>
    <row r="14753" spans="1:20" ht="15.75" customHeight="1" x14ac:dyDescent="0.25">
      <c r="A14753" s="412">
        <v>26</v>
      </c>
      <c r="B14753" s="585" t="s">
        <v>134</v>
      </c>
      <c r="C14753" s="993" t="s">
        <v>332</v>
      </c>
      <c r="D14753" s="626">
        <v>2</v>
      </c>
      <c r="E14753" s="930">
        <v>5</v>
      </c>
      <c r="F14753" s="415">
        <f t="shared" si="613"/>
      </c>
      <c r="G14753" s="415">
        <v>1</v>
      </c>
      <c r="H14753" s="416">
        <f t="shared" si="614"/>
      </c>
    </row>
    <row r="14754" spans="1:20" ht="15.75" customHeight="1" x14ac:dyDescent="0.25">
      <c r="A14754" s="412"/>
      <c r="B14754" s="953" t="s">
        <v>1329</v>
      </c>
      <c r="C14754" s="953"/>
      <c r="D14754" s="626"/>
      <c r="E14754" s="930"/>
      <c r="F14754" s="415"/>
      <c r="G14754" s="415"/>
      <c r="H14754" s="416"/>
    </row>
    <row r="14755" spans="1:20" ht="15.75" customHeight="1" x14ac:dyDescent="0.25">
      <c r="A14755" s="412">
        <v>27</v>
      </c>
      <c r="B14755" s="585" t="s">
        <v>689</v>
      </c>
      <c r="C14755" s="993" t="s">
        <v>690</v>
      </c>
      <c r="D14755" s="592">
        <v>1</v>
      </c>
      <c r="E14755" s="929">
        <v>200</v>
      </c>
      <c r="F14755" s="415">
        <v>190</v>
      </c>
      <c r="G14755" s="415">
        <v>1</v>
      </c>
      <c r="H14755" s="416">
        <f>+G14755*F14755</f>
      </c>
    </row>
    <row r="14756" spans="1:20" ht="15.75" customHeight="1" x14ac:dyDescent="0.25">
      <c r="A14756" s="412"/>
      <c r="B14756" s="585" t="s">
        <v>689</v>
      </c>
      <c r="C14756" s="993" t="s">
        <v>690</v>
      </c>
      <c r="D14756" s="626"/>
      <c r="E14756" s="930"/>
      <c r="F14756" s="415">
        <v>10</v>
      </c>
      <c r="G14756" s="619" t="s">
        <v>1856</v>
      </c>
      <c r="H14756" s="416"/>
    </row>
    <row r="14757" spans="1:20" ht="15.75" customHeight="1" x14ac:dyDescent="0.25">
      <c r="A14757" s="412">
        <v>28</v>
      </c>
      <c r="B14757" s="913" t="s">
        <v>2200</v>
      </c>
      <c r="C14757" s="993" t="s">
        <v>690</v>
      </c>
      <c r="D14757" s="592">
        <v>1</v>
      </c>
      <c r="E14757" s="930">
        <v>100</v>
      </c>
      <c r="F14757" s="415">
        <f>+E14757*D14757</f>
      </c>
      <c r="G14757" s="415">
        <v>1</v>
      </c>
      <c r="H14757" s="416">
        <f t="shared" ref="H14757:H14760" si="615">+G14757*F14757</f>
      </c>
    </row>
    <row r="14758" spans="1:20" ht="15.75" customHeight="1" x14ac:dyDescent="0.25">
      <c r="A14758" s="412">
        <v>29</v>
      </c>
      <c r="B14758" s="913" t="s">
        <v>260</v>
      </c>
      <c r="C14758" s="993" t="s">
        <v>887</v>
      </c>
      <c r="D14758" s="626"/>
      <c r="E14758" s="930">
        <v>150</v>
      </c>
      <c r="F14758" s="415">
        <v>150</v>
      </c>
      <c r="G14758" s="415">
        <v>1</v>
      </c>
      <c r="H14758" s="416">
        <f t="shared" si="615"/>
      </c>
    </row>
    <row r="14759" spans="1:20" ht="15.75" customHeight="1" x14ac:dyDescent="0.25">
      <c r="A14759" s="412">
        <v>30</v>
      </c>
      <c r="B14759" s="913" t="s">
        <v>1039</v>
      </c>
      <c r="C14759" s="993" t="s">
        <v>419</v>
      </c>
      <c r="D14759" s="626">
        <v>1</v>
      </c>
      <c r="E14759" s="930">
        <v>100</v>
      </c>
      <c r="F14759" s="415">
        <v>100</v>
      </c>
      <c r="G14759" s="415">
        <v>1</v>
      </c>
      <c r="H14759" s="416">
        <f t="shared" si="615"/>
      </c>
    </row>
    <row r="14760" spans="1:20" ht="15.75" customHeight="1" x14ac:dyDescent="0.25">
      <c r="A14760" s="412">
        <v>31</v>
      </c>
      <c r="B14760" s="1118" t="s">
        <v>2158</v>
      </c>
      <c r="C14760" s="993"/>
      <c r="D14760" s="981">
        <v>10</v>
      </c>
      <c r="E14760" s="981">
        <v>10</v>
      </c>
      <c r="F14760" s="415">
        <f>+D14760*E14760</f>
      </c>
      <c r="G14760" s="415">
        <v>1</v>
      </c>
      <c r="H14760" s="416">
        <f t="shared" si="615"/>
      </c>
    </row>
    <row r="14761" spans="1:20" ht="15.75" customHeight="1" x14ac:dyDescent="0.25">
      <c r="A14761" s="412">
        <v>32</v>
      </c>
      <c r="B14761" s="1118" t="s">
        <v>2158</v>
      </c>
      <c r="C14761" s="993"/>
      <c r="D14761" s="588">
        <v>1</v>
      </c>
      <c r="E14761" s="981"/>
      <c r="F14761" s="415">
        <f>+E14760*D14761</f>
      </c>
      <c r="G14761" s="619" t="s">
        <v>1856</v>
      </c>
      <c r="H14761" s="416"/>
    </row>
    <row r="14762" spans="1:20" ht="15.75" customHeight="1" x14ac:dyDescent="0.25">
      <c r="A14762" s="412"/>
      <c r="B14762" s="953" t="s">
        <v>1660</v>
      </c>
      <c r="C14762" s="953"/>
      <c r="D14762" s="626"/>
      <c r="E14762" s="930"/>
      <c r="F14762" s="415"/>
      <c r="G14762" s="415"/>
      <c r="H14762" s="416"/>
      <c r="J14762" s="290"/>
      <c r="K14762" s="290"/>
      <c r="L14762" s="290"/>
      <c r="M14762" s="290"/>
      <c r="N14762" s="290"/>
      <c r="O14762" s="290"/>
      <c r="P14762" s="290"/>
      <c r="Q14762" s="290"/>
      <c r="R14762" s="290"/>
      <c r="S14762" s="290"/>
      <c r="T14762" s="290"/>
    </row>
    <row r="14763" spans="1:20" ht="15.75" customHeight="1" x14ac:dyDescent="0.25">
      <c r="A14763" s="581">
        <v>33</v>
      </c>
      <c r="B14763" s="1116" t="s">
        <v>68</v>
      </c>
      <c r="C14763" s="1117" t="s">
        <v>404</v>
      </c>
      <c r="D14763" s="592">
        <v>1</v>
      </c>
      <c r="E14763" s="929" t="s">
        <v>2372</v>
      </c>
      <c r="F14763" s="415">
        <v>96</v>
      </c>
      <c r="G14763" s="415">
        <v>1</v>
      </c>
      <c r="H14763" s="416">
        <f>+G14763*F14763</f>
      </c>
      <c r="J14763" s="290"/>
      <c r="K14763" s="290"/>
      <c r="L14763" s="290"/>
      <c r="M14763" s="290"/>
      <c r="N14763" s="290"/>
      <c r="O14763" s="290"/>
      <c r="P14763" s="290"/>
      <c r="Q14763" s="290"/>
      <c r="R14763" s="290"/>
      <c r="S14763" s="290"/>
      <c r="T14763" s="290"/>
    </row>
    <row r="14764" spans="1:20" ht="15.75" customHeight="1" x14ac:dyDescent="0.25">
      <c r="A14764" s="581">
        <v>34</v>
      </c>
      <c r="B14764" s="1116" t="s">
        <v>68</v>
      </c>
      <c r="C14764" s="1117" t="s">
        <v>404</v>
      </c>
      <c r="D14764" s="626"/>
      <c r="E14764" s="930"/>
      <c r="F14764" s="415">
        <v>4</v>
      </c>
      <c r="G14764" s="619" t="s">
        <v>1856</v>
      </c>
      <c r="H14764" s="416"/>
      <c r="J14764" s="290"/>
      <c r="K14764" s="290"/>
      <c r="L14764" s="290"/>
      <c r="M14764" s="290"/>
      <c r="N14764" s="290"/>
      <c r="O14764" s="290"/>
      <c r="P14764" s="290"/>
      <c r="Q14764" s="290"/>
      <c r="R14764" s="290"/>
      <c r="S14764" s="290"/>
      <c r="T14764" s="290"/>
    </row>
    <row r="14765" spans="1:20" ht="15.75" customHeight="1" x14ac:dyDescent="0.25">
      <c r="A14765" s="581"/>
      <c r="B14765" s="1116"/>
      <c r="C14765" s="1161"/>
      <c r="D14765" s="626"/>
      <c r="E14765" s="930"/>
      <c r="F14765" s="415"/>
      <c r="G14765" s="415"/>
      <c r="H14765" s="416"/>
    </row>
    <row r="14766" spans="1:20" ht="15.75" customHeight="1" x14ac:dyDescent="0.25">
      <c r="A14766" s="412"/>
      <c r="B14766" s="1127"/>
      <c r="C14766" s="993"/>
      <c r="D14766" s="626"/>
      <c r="E14766" s="626"/>
      <c r="F14766" s="415"/>
      <c r="G14766" s="415"/>
      <c r="H14766" s="416"/>
    </row>
    <row r="14767" spans="1:20" ht="15.75" customHeight="1" x14ac:dyDescent="0.25">
      <c r="A14767" s="877"/>
      <c r="B14767" s="688"/>
      <c r="C14767" s="896" t="s">
        <v>85</v>
      </c>
      <c r="D14767" s="599"/>
      <c r="E14767" s="401"/>
      <c r="F14767" s="599"/>
      <c r="G14767" s="661"/>
      <c r="H14767" s="438">
        <f>+H14766+H14765+H14764+H14763+H14762+H14761+H14760+H14759+H14758+H14757+H14756+H14755+H14754+H14753+H14752+H14751+H14750+H14749+H14748+H14747+H14746+H14724+H14723+H14722+H14721+H14720+H14719+H14718+H14717+H14716+H14715+H14714+H14713+H14712+H14711+H14710+H14709+H14708+H14707+H14706+H14705+H14704+H14703+H14702</f>
      </c>
    </row>
    <row r="14768" spans="1:20" ht="15.75" customHeight="1" x14ac:dyDescent="0.25">
      <c r="A14768" s="932"/>
      <c r="B14768" s="933"/>
      <c r="C14768" s="934"/>
      <c r="D14768" s="431"/>
      <c r="E14768" s="935"/>
      <c r="F14768" s="935"/>
      <c r="G14768" s="936"/>
      <c r="H14768" s="444"/>
    </row>
    <row r="14769" spans="1:8" ht="15.75" customHeight="1" x14ac:dyDescent="0.25">
      <c r="A14769" s="994" t="s">
        <v>913</v>
      </c>
      <c r="B14769" s="391"/>
      <c r="C14769" s="391"/>
      <c r="D14769" s="391"/>
      <c r="E14769" s="390"/>
      <c r="F14769" s="392"/>
      <c r="G14769" s="390"/>
      <c r="H14769" s="394"/>
    </row>
    <row r="14770" spans="1:8" ht="15.75" customHeight="1" x14ac:dyDescent="0.25">
      <c r="A14770" s="445"/>
      <c r="B14770" s="445"/>
      <c r="C14770" s="445"/>
      <c r="D14770" s="446" t="s">
        <v>97</v>
      </c>
      <c r="E14770" s="445" t="s">
        <v>98</v>
      </c>
      <c r="F14770" s="445"/>
      <c r="G14770" s="390"/>
      <c r="H14770" s="394"/>
    </row>
    <row r="14771" spans="1:8" ht="15.75" customHeight="1" x14ac:dyDescent="0.25">
      <c r="A14771" s="445"/>
      <c r="B14771" s="445"/>
      <c r="C14771" s="445"/>
      <c r="D14771" s="446"/>
      <c r="E14771" s="445"/>
      <c r="F14771" s="445"/>
      <c r="G14771" s="390"/>
      <c r="H14771" s="394"/>
    </row>
    <row r="14772" spans="1:8" ht="15.75" customHeight="1" x14ac:dyDescent="0.25">
      <c r="A14772" s="445"/>
      <c r="B14772" s="445"/>
      <c r="C14772" s="445"/>
      <c r="D14772" s="446"/>
      <c r="E14772" s="445"/>
      <c r="F14772" s="445"/>
      <c r="G14772" s="390"/>
      <c r="H14772" s="394"/>
    </row>
    <row r="14773" spans="1:8" ht="15.75" customHeight="1" x14ac:dyDescent="0.25">
      <c r="A14773" s="445"/>
      <c r="B14773" s="445"/>
      <c r="C14773" s="445"/>
      <c r="D14773" s="446"/>
      <c r="E14773" s="445" t="s">
        <v>99</v>
      </c>
      <c r="F14773" s="445"/>
      <c r="G14773" s="390"/>
      <c r="H14773" s="394"/>
    </row>
    <row r="14774" spans="1:8" ht="15.75" customHeight="1" x14ac:dyDescent="0.25">
      <c r="A14774" s="445"/>
      <c r="B14774" s="445"/>
      <c r="C14774" s="445"/>
      <c r="D14774" s="446"/>
      <c r="E14774" s="445"/>
      <c r="F14774" s="445"/>
      <c r="G14774" s="390"/>
      <c r="H14774" s="394"/>
    </row>
    <row r="14775" spans="1:8" ht="15.75" customHeight="1" x14ac:dyDescent="0.25">
      <c r="A14775" s="445"/>
      <c r="B14775" s="445"/>
      <c r="C14775" s="445"/>
      <c r="D14775" s="446"/>
      <c r="E14775" s="445"/>
      <c r="F14775" s="445"/>
      <c r="G14775" s="390"/>
      <c r="H14775" s="394"/>
    </row>
    <row r="14776" spans="1:8" ht="15.75" customHeight="1" x14ac:dyDescent="0.25">
      <c r="A14776" s="445"/>
      <c r="B14776" s="445"/>
      <c r="C14776" s="445"/>
      <c r="D14776" s="446"/>
      <c r="E14776" s="445"/>
      <c r="F14776" s="445"/>
      <c r="G14776" s="390"/>
      <c r="H14776" s="394"/>
    </row>
    <row r="14777" spans="1:8" ht="15.75" customHeight="1" x14ac:dyDescent="0.25">
      <c r="A14777" s="445"/>
      <c r="B14777" s="445"/>
      <c r="C14777" s="445"/>
      <c r="D14777" s="446"/>
      <c r="E14777" s="445"/>
      <c r="F14777" s="445"/>
      <c r="G14777" s="390"/>
      <c r="H14777" s="394"/>
    </row>
    <row r="14778" spans="1:8" ht="15.75" customHeight="1" x14ac:dyDescent="0.25">
      <c r="A14778" s="445"/>
      <c r="B14778" s="445"/>
      <c r="C14778" s="445"/>
      <c r="D14778" s="446"/>
      <c r="E14778" s="445"/>
      <c r="F14778" s="445"/>
      <c r="G14778" s="390"/>
      <c r="H14778" s="394"/>
    </row>
    <row r="14779" spans="1:8" ht="15.75" customHeight="1" x14ac:dyDescent="0.25">
      <c r="A14779" s="445"/>
      <c r="B14779" s="445"/>
      <c r="C14779" s="445"/>
      <c r="D14779" s="446"/>
      <c r="E14779" s="445"/>
      <c r="F14779" s="445"/>
      <c r="G14779" s="390"/>
      <c r="H14779" s="394"/>
    </row>
    <row r="14780" spans="1:8" ht="15.75" customHeight="1" x14ac:dyDescent="0.25">
      <c r="A14780" s="445"/>
      <c r="B14780" s="445"/>
      <c r="C14780" s="445"/>
      <c r="D14780" s="446"/>
      <c r="E14780" s="445"/>
      <c r="F14780" s="445"/>
      <c r="G14780" s="390"/>
      <c r="H14780" s="394"/>
    </row>
    <row r="14781" spans="1:8" ht="15.75" customHeight="1" x14ac:dyDescent="0.25">
      <c r="A14781" s="445"/>
      <c r="B14781" s="445"/>
      <c r="C14781" s="445"/>
      <c r="D14781" s="446"/>
      <c r="E14781" s="445"/>
      <c r="F14781" s="445"/>
      <c r="G14781" s="390"/>
      <c r="H14781" s="394"/>
    </row>
    <row r="14782" spans="1:8" ht="15.75" customHeight="1" x14ac:dyDescent="0.25">
      <c r="A14782" s="445"/>
      <c r="B14782" s="445"/>
      <c r="C14782" s="445"/>
      <c r="D14782" s="446"/>
      <c r="E14782" s="445"/>
      <c r="F14782" s="445"/>
      <c r="G14782" s="390"/>
      <c r="H14782" s="394"/>
    </row>
    <row r="14783" spans="1:8" ht="15.75" customHeight="1" x14ac:dyDescent="0.25">
      <c r="A14783" s="445"/>
      <c r="B14783" s="445"/>
      <c r="C14783" s="445"/>
      <c r="D14783" s="446"/>
      <c r="E14783" s="445"/>
      <c r="F14783" s="445"/>
      <c r="G14783" s="390"/>
      <c r="H14783" s="394"/>
    </row>
    <row r="14784" spans="1:8" ht="15.75" customHeight="1" x14ac:dyDescent="0.25">
      <c r="A14784" s="445"/>
      <c r="B14784" s="445"/>
      <c r="C14784" s="445"/>
      <c r="D14784" s="446"/>
      <c r="E14784" s="445"/>
      <c r="F14784" s="445"/>
      <c r="G14784" s="390"/>
      <c r="H14784" s="394"/>
    </row>
    <row r="14785" spans="1:8" ht="15.75" customHeight="1" x14ac:dyDescent="0.25">
      <c r="A14785" s="445"/>
      <c r="B14785" s="445"/>
      <c r="C14785" s="445"/>
      <c r="D14785" s="446"/>
      <c r="E14785" s="445"/>
      <c r="F14785" s="445"/>
      <c r="G14785" s="390"/>
      <c r="H14785" s="394"/>
    </row>
    <row r="14786" spans="1:8" ht="15.75" customHeight="1" x14ac:dyDescent="0.25">
      <c r="A14786" s="445"/>
      <c r="B14786" s="445"/>
      <c r="C14786" s="445"/>
      <c r="D14786" s="446"/>
      <c r="E14786" s="445"/>
      <c r="F14786" s="445"/>
      <c r="G14786" s="390"/>
      <c r="H14786" s="394"/>
    </row>
    <row r="14787" spans="1:8" ht="15.75" customHeight="1" x14ac:dyDescent="0.25">
      <c r="A14787" s="445"/>
      <c r="B14787" s="445"/>
      <c r="C14787" s="445"/>
      <c r="D14787" s="446"/>
      <c r="E14787" s="445"/>
      <c r="F14787" s="445"/>
      <c r="G14787" s="390"/>
      <c r="H14787" s="394"/>
    </row>
    <row r="14788" spans="1:8" ht="15.75" customHeight="1" x14ac:dyDescent="0.25">
      <c r="A14788" s="445"/>
      <c r="B14788" s="445"/>
      <c r="C14788" s="445"/>
      <c r="D14788" s="446"/>
      <c r="E14788" s="445"/>
      <c r="F14788" s="445"/>
      <c r="G14788" s="390"/>
      <c r="H14788" s="394"/>
    </row>
    <row r="14789" spans="1:8" ht="15.75" customHeight="1" x14ac:dyDescent="0.25">
      <c r="A14789" s="445"/>
      <c r="B14789" s="445"/>
      <c r="C14789" s="445"/>
      <c r="D14789" s="446"/>
      <c r="E14789" s="445"/>
      <c r="F14789" s="445"/>
      <c r="G14789" s="390"/>
      <c r="H14789" s="394"/>
    </row>
    <row r="14790" spans="1:8" ht="15.75" customHeight="1" x14ac:dyDescent="0.25">
      <c r="A14790" s="445"/>
      <c r="B14790" s="445"/>
      <c r="C14790" s="445"/>
      <c r="D14790" s="446"/>
      <c r="E14790" s="445"/>
      <c r="F14790" s="445"/>
      <c r="G14790" s="390"/>
      <c r="H14790" s="394"/>
    </row>
    <row r="14791" spans="1:8" ht="15.75" customHeight="1" x14ac:dyDescent="0.25">
      <c r="A14791" s="445"/>
      <c r="B14791" s="445"/>
      <c r="C14791" s="445"/>
      <c r="D14791" s="446"/>
      <c r="E14791" s="445"/>
      <c r="F14791" s="445"/>
      <c r="G14791" s="390"/>
      <c r="H14791" s="394"/>
    </row>
    <row r="14792" spans="1:8" ht="15.75" customHeight="1" x14ac:dyDescent="0.25">
      <c r="A14792" s="445"/>
      <c r="B14792" s="445"/>
      <c r="C14792" s="445"/>
      <c r="D14792" s="446"/>
      <c r="E14792" s="445"/>
      <c r="F14792" s="445"/>
      <c r="G14792" s="390"/>
      <c r="H14792" s="394"/>
    </row>
    <row r="14793" spans="1:8" ht="15.75" customHeight="1" x14ac:dyDescent="0.25">
      <c r="A14793" s="445"/>
      <c r="B14793" s="445"/>
      <c r="C14793" s="445"/>
      <c r="D14793" s="446"/>
      <c r="E14793" s="445"/>
      <c r="F14793" s="445"/>
      <c r="G14793" s="390"/>
      <c r="H14793" s="394"/>
    </row>
    <row r="14794" spans="1:8" ht="15.75" customHeight="1" x14ac:dyDescent="0.25">
      <c r="A14794" s="445"/>
      <c r="B14794" s="445"/>
      <c r="C14794" s="445"/>
      <c r="D14794" s="446"/>
      <c r="E14794" s="445"/>
      <c r="F14794" s="445"/>
      <c r="G14794" s="390"/>
      <c r="H14794" s="394"/>
    </row>
    <row r="14795" spans="1:8" ht="15.75" customHeight="1" x14ac:dyDescent="0.25">
      <c r="A14795" s="445"/>
      <c r="B14795" s="445"/>
      <c r="C14795" s="445"/>
      <c r="D14795" s="446"/>
      <c r="E14795" s="445"/>
      <c r="F14795" s="445"/>
      <c r="G14795" s="390"/>
      <c r="H14795" s="394"/>
    </row>
    <row r="14796" spans="1:8" ht="15.75" customHeight="1" x14ac:dyDescent="0.25">
      <c r="A14796" s="445"/>
      <c r="B14796" s="445"/>
      <c r="C14796" s="445"/>
      <c r="D14796" s="446"/>
      <c r="E14796" s="445"/>
      <c r="F14796" s="445"/>
      <c r="G14796" s="390"/>
      <c r="H14796" s="394"/>
    </row>
    <row r="14797" spans="1:8" ht="15.75" customHeight="1" x14ac:dyDescent="0.25">
      <c r="A14797" s="445"/>
      <c r="B14797" s="445"/>
      <c r="C14797" s="445"/>
      <c r="D14797" s="446"/>
      <c r="E14797" s="445"/>
      <c r="F14797" s="445"/>
      <c r="G14797" s="390"/>
      <c r="H14797" s="394"/>
    </row>
    <row r="14798" spans="1:8" ht="15.75" customHeight="1" x14ac:dyDescent="0.25">
      <c r="A14798" s="445"/>
      <c r="B14798" s="445"/>
      <c r="C14798" s="445"/>
      <c r="D14798" s="446"/>
      <c r="E14798" s="445"/>
      <c r="F14798" s="445"/>
      <c r="G14798" s="390"/>
      <c r="H14798" s="394"/>
    </row>
    <row r="14799" spans="1:8" ht="15.75" customHeight="1" x14ac:dyDescent="0.25">
      <c r="A14799" s="445"/>
      <c r="B14799" s="445"/>
      <c r="C14799" s="445"/>
      <c r="D14799" s="446"/>
      <c r="E14799" s="445"/>
      <c r="F14799" s="445"/>
      <c r="G14799" s="390"/>
      <c r="H14799" s="394"/>
    </row>
    <row r="14800" spans="1:8" ht="15.75" customHeight="1" x14ac:dyDescent="0.25">
      <c r="A14800" s="445"/>
      <c r="B14800" s="445"/>
      <c r="C14800" s="445"/>
      <c r="D14800" s="446"/>
      <c r="E14800" s="445"/>
      <c r="F14800" s="445"/>
      <c r="G14800" s="390"/>
      <c r="H14800" s="394"/>
    </row>
    <row r="14801" spans="1:8" ht="15.75" customHeight="1" x14ac:dyDescent="0.25">
      <c r="A14801" s="445"/>
      <c r="B14801" s="445"/>
      <c r="C14801" s="445"/>
      <c r="D14801" s="446"/>
      <c r="E14801" s="445"/>
      <c r="F14801" s="445"/>
      <c r="G14801" s="390"/>
      <c r="H14801" s="394"/>
    </row>
    <row r="14802" spans="1:8" ht="15.75" customHeight="1" x14ac:dyDescent="0.25">
      <c r="A14802" s="8" t="s">
        <v>14</v>
      </c>
      <c r="B14802" s="8"/>
      <c r="C14802" s="8"/>
      <c r="D14802" s="8"/>
      <c r="E14802" s="8"/>
      <c r="F14802" s="8"/>
      <c r="G14802" s="8"/>
      <c r="H14802" s="8"/>
    </row>
    <row r="14803" spans="1:8" ht="15.75" customHeight="1" x14ac:dyDescent="0.25">
      <c r="A14803" s="388"/>
      <c r="B14803" s="388"/>
      <c r="C14803" s="388"/>
      <c r="D14803" s="389"/>
      <c r="E14803" s="388"/>
      <c r="F14803" s="388"/>
      <c r="G14803" s="388"/>
      <c r="H14803" s="8"/>
    </row>
    <row r="14804" spans="1:8" ht="15.75" customHeight="1" x14ac:dyDescent="0.25">
      <c r="A14804" s="390" t="s">
        <v>20</v>
      </c>
      <c r="B14804" s="390"/>
      <c r="C14804" s="390"/>
      <c r="D14804" s="391"/>
      <c r="E14804" s="390"/>
      <c r="F14804" s="395" t="s">
        <v>18</v>
      </c>
      <c r="G14804" s="396" t="s">
        <v>1254</v>
      </c>
      <c r="H14804" s="397"/>
    </row>
    <row r="14805" spans="1:8" ht="15.75" customHeight="1" x14ac:dyDescent="0.25">
      <c r="A14805" s="390" t="inlineStr">
        <is>
          <t>Dealer-004</t>
        </is>
      </c>
      <c r="B14805" s="390"/>
      <c r="C14805" s="390"/>
      <c r="D14805" s="398"/>
      <c r="E14805" s="390"/>
      <c r="F14805" s="395" t="s">
        <v>21</v>
      </c>
      <c r="G14805" s="390" t="s">
        <v>2092</v>
      </c>
      <c r="H14805" s="391"/>
    </row>
    <row r="14806" spans="1:8" ht="15.75" customHeight="1" x14ac:dyDescent="0.25">
      <c r="A14806" s="390" t="inlineStr">
        <is>
          <t>Address line (redacted)</t>
        </is>
      </c>
      <c r="B14806" s="390"/>
      <c r="C14806" s="390"/>
      <c r="D14806" s="398"/>
      <c r="E14806" s="393"/>
      <c r="F14806" s="391"/>
      <c r="G14806" s="390"/>
      <c r="H14806" s="394"/>
    </row>
    <row r="14807" spans="1:8" ht="15.75" customHeight="1" x14ac:dyDescent="0.25">
      <c r="A14807" s="390" t="inlineStr">
        <is>
          <t>Address line (redacted)</t>
        </is>
      </c>
      <c r="B14807" s="390"/>
      <c r="C14807" s="390"/>
      <c r="D14807" s="391"/>
      <c r="E14807" s="390"/>
      <c r="F14807" s="391"/>
      <c r="G14807" s="390"/>
      <c r="H14807" s="394"/>
    </row>
    <row r="14808" spans="1:8" ht="15.75" customHeight="1" x14ac:dyDescent="0.25">
      <c r="A14808" s="390"/>
      <c r="B14808" s="390"/>
      <c r="C14808" s="390"/>
      <c r="D14808" s="391"/>
      <c r="E14808" s="390"/>
      <c r="F14808" s="391"/>
      <c r="G14808" s="390"/>
      <c r="H14808" s="394"/>
    </row>
    <row r="14809" spans="1:8" ht="15.75" customHeight="1" x14ac:dyDescent="0.25">
      <c r="A14809" s="607" t="inlineStr">
        <is>
          <t>Dealer-021</t>
        </is>
      </c>
      <c r="B14809" s="607"/>
      <c r="C14809" s="607"/>
      <c r="D14809" s="398"/>
      <c r="E14809" s="393" t="inlineStr">
        <is>
          <t>ATTN: Contact-006</t>
        </is>
      </c>
      <c r="F14809" s="391"/>
      <c r="G14809" s="390"/>
      <c r="H14809" s="394"/>
    </row>
    <row r="14810" spans="1:8" ht="15.75" customHeight="1" x14ac:dyDescent="0.25">
      <c r="A14810" s="2" t="inlineStr">
        <is>
          <t>Address line (redacted)</t>
        </is>
      </c>
      <c r="B14810" s="390"/>
      <c r="C14810" s="390"/>
      <c r="D14810" s="391"/>
      <c r="E14810" s="390"/>
      <c r="F14810" s="391"/>
      <c r="G14810" s="390"/>
      <c r="H14810" s="394"/>
    </row>
    <row r="14811" spans="1:8" ht="15.75" customHeight="1" x14ac:dyDescent="0.25">
      <c r="B14811" s="390"/>
      <c r="C14811" s="390"/>
      <c r="D14811" s="391"/>
      <c r="E14811" s="390"/>
      <c r="F14811" s="391"/>
      <c r="G14811" s="390"/>
      <c r="H14811" s="394"/>
    </row>
    <row r="14812" spans="1:8" ht="15.75" customHeight="1" x14ac:dyDescent="0.25">
      <c r="A14812" s="2" t="s">
        <v>30</v>
      </c>
      <c r="B14812" s="390"/>
      <c r="C14812" s="390"/>
      <c r="D14812" s="391"/>
      <c r="E14812" s="390"/>
      <c r="F14812" s="391"/>
      <c r="G14812" s="390"/>
      <c r="H14812" s="394"/>
    </row>
    <row r="14813" spans="1:8" ht="15.75" customHeight="1" x14ac:dyDescent="0.25">
      <c r="B14813" s="390"/>
      <c r="C14813" s="390"/>
      <c r="D14813" s="391"/>
      <c r="E14813" s="390"/>
      <c r="F14813" s="391"/>
      <c r="G14813" s="390"/>
      <c r="H14813" s="394"/>
    </row>
    <row r="14814" spans="1:8" ht="15.75" customHeight="1" x14ac:dyDescent="0.25">
      <c r="A14814" s="390" t="s">
        <v>716</v>
      </c>
      <c r="B14814" s="390"/>
      <c r="C14814" s="390"/>
      <c r="D14814" s="391"/>
      <c r="E14814" s="390"/>
      <c r="F14814" s="391"/>
      <c r="G14814" s="390"/>
      <c r="H14814" s="394"/>
    </row>
    <row r="14815" spans="1:8" ht="15.75" customHeight="1" x14ac:dyDescent="0.25">
      <c r="A14815" s="390" t="s">
        <v>717</v>
      </c>
      <c r="B14815" s="390"/>
      <c r="C14815" s="390"/>
      <c r="D14815" s="391"/>
      <c r="E14815" s="390"/>
      <c r="F14815" s="391"/>
      <c r="G14815" s="390"/>
      <c r="H14815" s="394"/>
    </row>
    <row r="14816" spans="1:8" ht="15.75" customHeight="1" x14ac:dyDescent="0.25">
      <c r="A14816" s="390"/>
      <c r="B14816" s="390"/>
      <c r="C14816" s="390"/>
      <c r="D14816" s="391"/>
      <c r="E14816" s="390"/>
      <c r="F14816" s="391"/>
      <c r="G14816" s="390"/>
      <c r="H14816" s="394"/>
    </row>
    <row r="14817" spans="1:8" ht="15.75" customHeight="1" x14ac:dyDescent="0.25">
      <c r="A14817" s="948" t="s">
        <v>33</v>
      </c>
      <c r="B14817" s="872" t="s">
        <v>6</v>
      </c>
      <c r="C14817" s="872"/>
      <c r="D14817" s="874" t="s">
        <v>37</v>
      </c>
      <c r="E14817" s="874" t="s">
        <v>38</v>
      </c>
      <c r="F14817" s="875" t="s">
        <v>7</v>
      </c>
      <c r="G14817" s="872" t="s">
        <v>43</v>
      </c>
      <c r="H14817" s="876" t="s">
        <v>44</v>
      </c>
    </row>
    <row r="14818" spans="1:8" ht="15.75" customHeight="1" x14ac:dyDescent="0.3">
      <c r="A14818" s="412"/>
      <c r="B14818" s="1033"/>
      <c r="C14818" s="1033"/>
      <c r="D14818" s="879"/>
      <c r="E14818" s="879"/>
      <c r="F14818" s="415"/>
      <c r="G14818" s="415"/>
      <c r="H14818" s="416"/>
    </row>
    <row r="14819" spans="1:8" ht="15.75" customHeight="1" x14ac:dyDescent="0.25">
      <c r="A14819" s="412"/>
      <c r="B14819" s="953" t="s">
        <v>1239</v>
      </c>
      <c r="C14819" s="953"/>
      <c r="D14819" s="415"/>
      <c r="E14819" s="415"/>
      <c r="F14819" s="415"/>
      <c r="G14819" s="415"/>
      <c r="H14819" s="416"/>
    </row>
    <row r="14820" spans="1:8" ht="15.75" customHeight="1" x14ac:dyDescent="0.25">
      <c r="A14820" s="412">
        <v>1</v>
      </c>
      <c r="B14820" s="1094" t="s">
        <v>56</v>
      </c>
      <c r="C14820" s="1095" t="s">
        <v>57</v>
      </c>
      <c r="D14820" s="588">
        <v>4</v>
      </c>
      <c r="E14820" s="588">
        <v>25</v>
      </c>
      <c r="F14820" s="415">
        <f t="shared" ref="F14820:F14826" si="616">+E14820*D14820</f>
      </c>
      <c r="G14820" s="415">
        <v>1</v>
      </c>
      <c r="H14820" s="416">
        <f t="shared" ref="H14820:H14826" si="617">+G14820*F14820</f>
      </c>
    </row>
    <row r="14821" spans="1:8" ht="15.75" customHeight="1" x14ac:dyDescent="0.25">
      <c r="A14821" s="412">
        <v>2</v>
      </c>
      <c r="B14821" s="1094" t="s">
        <v>68</v>
      </c>
      <c r="C14821" s="1095" t="s">
        <v>69</v>
      </c>
      <c r="D14821" s="415">
        <v>2</v>
      </c>
      <c r="E14821" s="415">
        <v>25</v>
      </c>
      <c r="F14821" s="415">
        <f t="shared" si="616"/>
      </c>
      <c r="G14821" s="415">
        <v>1</v>
      </c>
      <c r="H14821" s="416">
        <f t="shared" si="617"/>
      </c>
    </row>
    <row r="14822" spans="1:8" ht="15.75" customHeight="1" x14ac:dyDescent="0.25">
      <c r="A14822" s="412">
        <v>3</v>
      </c>
      <c r="B14822" s="1094" t="s">
        <v>2152</v>
      </c>
      <c r="C14822" s="1095" t="s">
        <v>109</v>
      </c>
      <c r="D14822" s="415">
        <v>6</v>
      </c>
      <c r="E14822" s="415">
        <v>25</v>
      </c>
      <c r="F14822" s="415">
        <f t="shared" si="616"/>
      </c>
      <c r="G14822" s="415">
        <v>1</v>
      </c>
      <c r="H14822" s="416">
        <f t="shared" si="617"/>
      </c>
    </row>
    <row r="14823" spans="1:8" ht="15.75" customHeight="1" x14ac:dyDescent="0.25">
      <c r="A14823" s="412">
        <v>4</v>
      </c>
      <c r="B14823" s="1094" t="s">
        <v>138</v>
      </c>
      <c r="C14823" s="1095" t="s">
        <v>431</v>
      </c>
      <c r="D14823" s="415">
        <v>1</v>
      </c>
      <c r="E14823" s="415">
        <v>25</v>
      </c>
      <c r="F14823" s="415">
        <f t="shared" si="616"/>
      </c>
      <c r="G14823" s="415">
        <v>1</v>
      </c>
      <c r="H14823" s="416">
        <f t="shared" si="617"/>
      </c>
    </row>
    <row r="14824" spans="1:8" ht="15.75" customHeight="1" x14ac:dyDescent="0.25">
      <c r="A14824" s="412">
        <v>6</v>
      </c>
      <c r="B14824" s="1094" t="s">
        <v>865</v>
      </c>
      <c r="C14824" s="1095" t="s">
        <v>422</v>
      </c>
      <c r="D14824" s="415">
        <v>4</v>
      </c>
      <c r="E14824" s="415">
        <v>25</v>
      </c>
      <c r="F14824" s="415">
        <f t="shared" si="616"/>
      </c>
      <c r="G14824" s="415">
        <v>1</v>
      </c>
      <c r="H14824" s="416">
        <f t="shared" si="617"/>
      </c>
    </row>
    <row r="14825" spans="1:8" ht="15.75" customHeight="1" x14ac:dyDescent="0.25">
      <c r="A14825" s="412">
        <v>7</v>
      </c>
      <c r="B14825" s="1094" t="s">
        <v>63</v>
      </c>
      <c r="C14825" s="1095" t="s">
        <v>429</v>
      </c>
      <c r="D14825" s="415">
        <v>1</v>
      </c>
      <c r="E14825" s="415">
        <v>20</v>
      </c>
      <c r="F14825" s="415">
        <f t="shared" si="616"/>
      </c>
      <c r="G14825" s="415">
        <v>1</v>
      </c>
      <c r="H14825" s="416">
        <f t="shared" si="617"/>
      </c>
    </row>
    <row r="14826" spans="1:8" ht="15.75" customHeight="1" x14ac:dyDescent="0.25">
      <c r="A14826" s="412">
        <v>8</v>
      </c>
      <c r="B14826" s="1094" t="s">
        <v>1594</v>
      </c>
      <c r="C14826" s="1095" t="s">
        <v>438</v>
      </c>
      <c r="D14826" s="415">
        <v>2</v>
      </c>
      <c r="E14826" s="415">
        <v>25</v>
      </c>
      <c r="F14826" s="415">
        <f t="shared" si="616"/>
      </c>
      <c r="G14826" s="415">
        <v>1</v>
      </c>
      <c r="H14826" s="416">
        <f t="shared" si="617"/>
      </c>
    </row>
    <row r="14827" spans="1:8" ht="15.75" customHeight="1" x14ac:dyDescent="0.25">
      <c r="A14827" s="412"/>
      <c r="B14827" s="953" t="s">
        <v>590</v>
      </c>
      <c r="C14827" s="953"/>
      <c r="D14827" s="981"/>
      <c r="E14827" s="981"/>
      <c r="F14827" s="415"/>
      <c r="G14827" s="415"/>
      <c r="H14827" s="416"/>
    </row>
    <row r="14828" spans="1:8" ht="15.75" customHeight="1" x14ac:dyDescent="0.25">
      <c r="A14828" s="412">
        <v>9</v>
      </c>
      <c r="B14828" s="1116" t="s">
        <v>56</v>
      </c>
      <c r="C14828" s="1117" t="s">
        <v>368</v>
      </c>
      <c r="D14828" s="981">
        <v>2</v>
      </c>
      <c r="E14828" s="981">
        <v>6</v>
      </c>
      <c r="F14828" s="415">
        <f t="shared" ref="F14828:F14841" si="618">+E14828*D14828</f>
      </c>
      <c r="G14828" s="415">
        <v>1</v>
      </c>
      <c r="H14828" s="416">
        <f t="shared" ref="H14828:H14841" si="619">+G14828*F14828</f>
      </c>
    </row>
    <row r="14829" spans="1:8" ht="15.75" customHeight="1" x14ac:dyDescent="0.25">
      <c r="A14829" s="412">
        <v>10</v>
      </c>
      <c r="B14829" s="1116" t="s">
        <v>1737</v>
      </c>
      <c r="C14829" s="1117" t="s">
        <v>371</v>
      </c>
      <c r="D14829" s="981">
        <v>1</v>
      </c>
      <c r="E14829" s="981">
        <v>6</v>
      </c>
      <c r="F14829" s="415">
        <f t="shared" si="618"/>
      </c>
      <c r="G14829" s="415">
        <v>1</v>
      </c>
      <c r="H14829" s="416">
        <f t="shared" si="619"/>
      </c>
    </row>
    <row r="14830" spans="1:8" ht="15.75" customHeight="1" x14ac:dyDescent="0.25">
      <c r="A14830" s="412">
        <v>11</v>
      </c>
      <c r="B14830" s="1116" t="s">
        <v>1718</v>
      </c>
      <c r="C14830" s="1117" t="s">
        <v>379</v>
      </c>
      <c r="D14830" s="981">
        <v>1</v>
      </c>
      <c r="E14830" s="981">
        <v>6</v>
      </c>
      <c r="F14830" s="415">
        <f t="shared" si="618"/>
      </c>
      <c r="G14830" s="415">
        <v>1</v>
      </c>
      <c r="H14830" s="416">
        <f t="shared" si="619"/>
      </c>
    </row>
    <row r="14831" spans="1:8" ht="15.75" customHeight="1" x14ac:dyDescent="0.25">
      <c r="A14831" s="412">
        <v>12</v>
      </c>
      <c r="B14831" s="1116" t="s">
        <v>146</v>
      </c>
      <c r="C14831" s="1117" t="s">
        <v>380</v>
      </c>
      <c r="D14831" s="981">
        <v>1</v>
      </c>
      <c r="E14831" s="981">
        <v>6</v>
      </c>
      <c r="F14831" s="415">
        <f t="shared" si="618"/>
      </c>
      <c r="G14831" s="415">
        <v>1</v>
      </c>
      <c r="H14831" s="416">
        <f t="shared" si="619"/>
      </c>
    </row>
    <row r="14832" spans="1:8" ht="15.75" customHeight="1" x14ac:dyDescent="0.25">
      <c r="A14832" s="412">
        <v>13</v>
      </c>
      <c r="B14832" s="1116" t="s">
        <v>145</v>
      </c>
      <c r="C14832" s="1117" t="s">
        <v>381</v>
      </c>
      <c r="D14832" s="981">
        <v>1</v>
      </c>
      <c r="E14832" s="981">
        <v>6</v>
      </c>
      <c r="F14832" s="415">
        <f t="shared" si="618"/>
      </c>
      <c r="G14832" s="415">
        <v>1</v>
      </c>
      <c r="H14832" s="416">
        <f t="shared" si="619"/>
      </c>
    </row>
    <row r="14833" spans="1:8" ht="15.75" customHeight="1" x14ac:dyDescent="0.25">
      <c r="A14833" s="412">
        <v>14</v>
      </c>
      <c r="B14833" s="1116" t="s">
        <v>801</v>
      </c>
      <c r="C14833" s="1117" t="s">
        <v>383</v>
      </c>
      <c r="D14833" s="981">
        <v>1</v>
      </c>
      <c r="E14833" s="981">
        <v>6</v>
      </c>
      <c r="F14833" s="415">
        <f t="shared" si="618"/>
      </c>
      <c r="G14833" s="415">
        <v>1</v>
      </c>
      <c r="H14833" s="416">
        <f t="shared" si="619"/>
      </c>
    </row>
    <row r="14834" spans="1:8" ht="15.75" customHeight="1" x14ac:dyDescent="0.25">
      <c r="A14834" s="412">
        <v>15</v>
      </c>
      <c r="B14834" s="1116" t="s">
        <v>125</v>
      </c>
      <c r="C14834" s="1117"/>
      <c r="D14834" s="981">
        <v>1</v>
      </c>
      <c r="E14834" s="981">
        <v>4</v>
      </c>
      <c r="F14834" s="415">
        <f t="shared" si="618"/>
      </c>
      <c r="G14834" s="415">
        <v>1</v>
      </c>
      <c r="H14834" s="416">
        <f t="shared" si="619"/>
      </c>
    </row>
    <row r="14835" spans="1:8" ht="15.75" customHeight="1" x14ac:dyDescent="0.25">
      <c r="A14835" s="412">
        <v>16</v>
      </c>
      <c r="B14835" s="1116" t="s">
        <v>136</v>
      </c>
      <c r="C14835" s="1117" t="s">
        <v>387</v>
      </c>
      <c r="D14835" s="981">
        <v>1</v>
      </c>
      <c r="E14835" s="981">
        <v>6</v>
      </c>
      <c r="F14835" s="415">
        <f t="shared" si="618"/>
      </c>
      <c r="G14835" s="415">
        <v>1</v>
      </c>
      <c r="H14835" s="416">
        <f t="shared" si="619"/>
      </c>
    </row>
    <row r="14836" spans="1:8" ht="15.75" customHeight="1" x14ac:dyDescent="0.25">
      <c r="A14836" s="412">
        <v>17</v>
      </c>
      <c r="B14836" s="1116" t="s">
        <v>15</v>
      </c>
      <c r="C14836" s="1117" t="s">
        <v>388</v>
      </c>
      <c r="D14836" s="981">
        <v>2</v>
      </c>
      <c r="E14836" s="981">
        <v>6</v>
      </c>
      <c r="F14836" s="415">
        <f t="shared" si="618"/>
      </c>
      <c r="G14836" s="415">
        <v>1</v>
      </c>
      <c r="H14836" s="416">
        <f t="shared" si="619"/>
      </c>
    </row>
    <row r="14837" spans="1:8" ht="15.75" customHeight="1" x14ac:dyDescent="0.25">
      <c r="A14837" s="412">
        <v>18</v>
      </c>
      <c r="B14837" s="1118" t="s">
        <v>127</v>
      </c>
      <c r="C14837" s="993" t="s">
        <v>398</v>
      </c>
      <c r="D14837" s="981">
        <v>1</v>
      </c>
      <c r="E14837" s="981">
        <v>6</v>
      </c>
      <c r="F14837" s="415">
        <f t="shared" si="618"/>
      </c>
      <c r="G14837" s="415">
        <v>1</v>
      </c>
      <c r="H14837" s="416">
        <f t="shared" si="619"/>
      </c>
    </row>
    <row r="14838" spans="1:8" ht="15.75" customHeight="1" x14ac:dyDescent="0.25">
      <c r="A14838" s="412">
        <v>19</v>
      </c>
      <c r="B14838" s="1118" t="s">
        <v>287</v>
      </c>
      <c r="C14838" s="993" t="s">
        <v>400</v>
      </c>
      <c r="D14838" s="981">
        <v>2</v>
      </c>
      <c r="E14838" s="981">
        <v>6</v>
      </c>
      <c r="F14838" s="415">
        <f t="shared" si="618"/>
      </c>
      <c r="G14838" s="415">
        <v>1</v>
      </c>
      <c r="H14838" s="416">
        <f t="shared" si="619"/>
      </c>
    </row>
    <row r="14839" spans="1:8" ht="15.75" customHeight="1" x14ac:dyDescent="0.25">
      <c r="A14839" s="412">
        <v>20</v>
      </c>
      <c r="B14839" s="1118" t="s">
        <v>123</v>
      </c>
      <c r="C14839" s="993" t="s">
        <v>401</v>
      </c>
      <c r="D14839" s="981">
        <v>1</v>
      </c>
      <c r="E14839" s="981">
        <v>6</v>
      </c>
      <c r="F14839" s="415">
        <f t="shared" si="618"/>
      </c>
      <c r="G14839" s="415">
        <v>1</v>
      </c>
      <c r="H14839" s="416">
        <f t="shared" si="619"/>
      </c>
    </row>
    <row r="14840" spans="1:8" ht="15.75" customHeight="1" x14ac:dyDescent="0.25">
      <c r="A14840" s="412">
        <v>21</v>
      </c>
      <c r="B14840" s="1118" t="s">
        <v>1578</v>
      </c>
      <c r="C14840" s="993" t="s">
        <v>402</v>
      </c>
      <c r="D14840" s="981">
        <v>1</v>
      </c>
      <c r="E14840" s="981">
        <v>4</v>
      </c>
      <c r="F14840" s="415">
        <f t="shared" si="618"/>
      </c>
      <c r="G14840" s="415">
        <v>1</v>
      </c>
      <c r="H14840" s="416">
        <f t="shared" si="619"/>
      </c>
    </row>
    <row r="14841" spans="1:8" ht="15.75" customHeight="1" x14ac:dyDescent="0.25">
      <c r="A14841" s="412">
        <v>22</v>
      </c>
      <c r="B14841" s="1118" t="s">
        <v>1578</v>
      </c>
      <c r="C14841" s="993" t="s">
        <v>402</v>
      </c>
      <c r="D14841" s="981">
        <v>5</v>
      </c>
      <c r="E14841" s="981">
        <v>1</v>
      </c>
      <c r="F14841" s="415">
        <f t="shared" si="618"/>
      </c>
      <c r="G14841" s="415">
        <v>1</v>
      </c>
      <c r="H14841" s="416">
        <f t="shared" si="619"/>
      </c>
    </row>
    <row r="14842" spans="1:8" ht="15.75" customHeight="1" x14ac:dyDescent="0.25">
      <c r="A14842" s="412"/>
      <c r="B14842" s="953" t="s">
        <v>1329</v>
      </c>
      <c r="C14842" s="953"/>
      <c r="D14842" s="981"/>
      <c r="E14842" s="981"/>
      <c r="F14842" s="415"/>
      <c r="G14842" s="415"/>
      <c r="H14842" s="416"/>
    </row>
    <row r="14843" spans="1:8" ht="15.75" customHeight="1" x14ac:dyDescent="0.25">
      <c r="A14843" s="412">
        <v>23</v>
      </c>
      <c r="B14843" s="1118" t="s">
        <v>1514</v>
      </c>
      <c r="C14843" s="993"/>
      <c r="D14843" s="981">
        <v>1</v>
      </c>
      <c r="E14843" s="981">
        <v>100</v>
      </c>
      <c r="F14843" s="415">
        <v>95</v>
      </c>
      <c r="G14843" s="415">
        <v>1</v>
      </c>
      <c r="H14843" s="416">
        <f>+G14843*F14843</f>
      </c>
    </row>
    <row r="14844" spans="1:8" ht="15.75" customHeight="1" x14ac:dyDescent="0.25">
      <c r="A14844" s="412">
        <v>24</v>
      </c>
      <c r="B14844" s="1118" t="s">
        <v>1514</v>
      </c>
      <c r="C14844" s="993"/>
      <c r="D14844" s="981"/>
      <c r="E14844" s="981"/>
      <c r="F14844" s="415">
        <v>5</v>
      </c>
      <c r="G14844" s="619" t="s">
        <v>1856</v>
      </c>
      <c r="H14844" s="416"/>
    </row>
    <row r="14845" spans="1:8" ht="15.75" customHeight="1" x14ac:dyDescent="0.25">
      <c r="A14845" s="412"/>
      <c r="B14845" s="1118"/>
      <c r="C14845" s="883" t="s">
        <v>2358</v>
      </c>
      <c r="D14845" s="981"/>
      <c r="E14845" s="981"/>
      <c r="F14845" s="415"/>
      <c r="G14845" s="415"/>
      <c r="H14845" s="416"/>
    </row>
    <row r="14846" spans="1:8" ht="15.75" customHeight="1" x14ac:dyDescent="0.25">
      <c r="A14846" s="880"/>
      <c r="B14846" s="1119"/>
      <c r="C14846" s="1120"/>
      <c r="D14846" s="1121"/>
      <c r="E14846" s="1121"/>
      <c r="F14846" s="892"/>
      <c r="G14846" s="892"/>
      <c r="H14846" s="893"/>
    </row>
    <row r="14847" spans="1:8" ht="15.75" customHeight="1" x14ac:dyDescent="0.25">
      <c r="A14847" s="451"/>
      <c r="B14847" s="1123"/>
      <c r="C14847" s="1092"/>
      <c r="D14847" s="638"/>
      <c r="E14847" s="638"/>
      <c r="F14847" s="391"/>
      <c r="G14847" s="391"/>
      <c r="H14847" s="394"/>
    </row>
    <row r="14848" spans="1:8" ht="15.75" customHeight="1" x14ac:dyDescent="0.25">
      <c r="A14848" s="8" t="s">
        <v>14</v>
      </c>
      <c r="B14848" s="8"/>
      <c r="C14848" s="8"/>
      <c r="D14848" s="8"/>
      <c r="E14848" s="8"/>
      <c r="F14848" s="8"/>
      <c r="G14848" s="8"/>
      <c r="H14848" s="8"/>
    </row>
    <row r="14849" spans="1:8" ht="15.75" customHeight="1" x14ac:dyDescent="0.25">
      <c r="A14849" s="388"/>
      <c r="B14849" s="388"/>
      <c r="C14849" s="388"/>
      <c r="D14849" s="389"/>
      <c r="E14849" s="388"/>
      <c r="F14849" s="388"/>
      <c r="G14849" s="388"/>
      <c r="H14849" s="8"/>
    </row>
    <row r="14850" spans="1:8" ht="15.75" customHeight="1" x14ac:dyDescent="0.25">
      <c r="A14850" s="390" t="s">
        <v>20</v>
      </c>
      <c r="B14850" s="390"/>
      <c r="C14850" s="390"/>
      <c r="D14850" s="391"/>
      <c r="E14850" s="390"/>
      <c r="F14850" s="395" t="s">
        <v>18</v>
      </c>
      <c r="G14850" s="396" t="s">
        <v>1254</v>
      </c>
      <c r="H14850" s="397"/>
    </row>
    <row r="14851" spans="1:8" ht="15.75" customHeight="1" x14ac:dyDescent="0.25">
      <c r="A14851" s="390" t="inlineStr">
        <is>
          <t>Dealer-004</t>
        </is>
      </c>
      <c r="B14851" s="390"/>
      <c r="C14851" s="390"/>
      <c r="D14851" s="398"/>
      <c r="E14851" s="390"/>
      <c r="F14851" s="395" t="s">
        <v>21</v>
      </c>
      <c r="G14851" s="390" t="s">
        <v>2092</v>
      </c>
      <c r="H14851" s="391"/>
    </row>
    <row r="14852" spans="1:8" ht="15.75" customHeight="1" x14ac:dyDescent="0.25">
      <c r="A14852" s="390" t="inlineStr">
        <is>
          <t>Address line (redacted)</t>
        </is>
      </c>
      <c r="B14852" s="390"/>
      <c r="C14852" s="390"/>
      <c r="D14852" s="398"/>
      <c r="E14852" s="393"/>
      <c r="F14852" s="391"/>
      <c r="G14852" s="390"/>
      <c r="H14852" s="394"/>
    </row>
    <row r="14853" spans="1:8" ht="15.75" customHeight="1" x14ac:dyDescent="0.25">
      <c r="A14853" s="390" t="inlineStr">
        <is>
          <t>Address line (redacted)</t>
        </is>
      </c>
      <c r="B14853" s="390"/>
      <c r="C14853" s="390"/>
      <c r="D14853" s="391"/>
      <c r="E14853" s="390"/>
      <c r="F14853" s="391"/>
      <c r="G14853" s="390"/>
      <c r="H14853" s="394"/>
    </row>
    <row r="14854" spans="1:8" ht="15.75" customHeight="1" x14ac:dyDescent="0.25">
      <c r="A14854" s="390"/>
      <c r="B14854" s="390"/>
      <c r="C14854" s="390"/>
      <c r="D14854" s="391"/>
      <c r="E14854" s="390"/>
      <c r="F14854" s="391"/>
      <c r="G14854" s="390"/>
      <c r="H14854" s="394"/>
    </row>
    <row r="14855" spans="1:8" ht="15.75" customHeight="1" x14ac:dyDescent="0.25">
      <c r="A14855" s="607" t="inlineStr">
        <is>
          <t>Dealer-021</t>
        </is>
      </c>
      <c r="B14855" s="607"/>
      <c r="C14855" s="607"/>
      <c r="D14855" s="398"/>
      <c r="E14855" s="393" t="inlineStr">
        <is>
          <t>ATTN: Contact-006</t>
        </is>
      </c>
      <c r="F14855" s="391"/>
      <c r="G14855" s="390"/>
      <c r="H14855" s="394"/>
    </row>
    <row r="14856" spans="1:8" ht="15.75" customHeight="1" x14ac:dyDescent="0.25">
      <c r="A14856" s="2" t="inlineStr">
        <is>
          <t>Address line (redacted)</t>
        </is>
      </c>
      <c r="B14856" s="390"/>
      <c r="C14856" s="390"/>
      <c r="D14856" s="391"/>
      <c r="E14856" s="390"/>
      <c r="F14856" s="391"/>
      <c r="G14856" s="390"/>
      <c r="H14856" s="394"/>
    </row>
    <row r="14857" spans="1:8" ht="15.75" customHeight="1" x14ac:dyDescent="0.25">
      <c r="B14857" s="390"/>
      <c r="C14857" s="390"/>
      <c r="D14857" s="391"/>
      <c r="E14857" s="390"/>
      <c r="F14857" s="391"/>
      <c r="G14857" s="390"/>
      <c r="H14857" s="394"/>
    </row>
    <row r="14858" spans="1:8" ht="15.75" customHeight="1" x14ac:dyDescent="0.25">
      <c r="A14858" s="2" t="s">
        <v>2373</v>
      </c>
      <c r="B14858" s="390"/>
      <c r="C14858" s="390"/>
      <c r="D14858" s="391"/>
      <c r="E14858" s="390"/>
      <c r="F14858" s="391"/>
      <c r="G14858" s="390"/>
      <c r="H14858" s="394"/>
    </row>
    <row r="14859" spans="1:8" ht="15.75" customHeight="1" x14ac:dyDescent="0.25">
      <c r="A14859" s="390" t="s">
        <v>716</v>
      </c>
      <c r="B14859" s="390"/>
      <c r="C14859" s="390"/>
      <c r="D14859" s="391"/>
      <c r="E14859" s="390"/>
      <c r="F14859" s="391"/>
      <c r="G14859" s="390"/>
      <c r="H14859" s="394"/>
    </row>
    <row r="14860" spans="1:8" ht="15.75" customHeight="1" x14ac:dyDescent="0.25">
      <c r="A14860" s="390" t="s">
        <v>717</v>
      </c>
      <c r="B14860" s="390"/>
      <c r="C14860" s="390"/>
      <c r="D14860" s="391"/>
      <c r="E14860" s="390"/>
      <c r="F14860" s="391"/>
      <c r="G14860" s="390"/>
      <c r="H14860" s="394"/>
    </row>
    <row r="14861" spans="1:8" ht="15.75" customHeight="1" x14ac:dyDescent="0.25">
      <c r="A14861" s="390"/>
      <c r="B14861" s="390"/>
      <c r="C14861" s="390"/>
      <c r="D14861" s="391"/>
      <c r="E14861" s="390"/>
      <c r="F14861" s="391"/>
      <c r="G14861" s="390"/>
      <c r="H14861" s="394"/>
    </row>
    <row r="14862" spans="1:8" ht="15.75" customHeight="1" x14ac:dyDescent="0.25">
      <c r="A14862" s="948" t="s">
        <v>33</v>
      </c>
      <c r="B14862" s="872" t="s">
        <v>6</v>
      </c>
      <c r="C14862" s="872"/>
      <c r="D14862" s="874" t="s">
        <v>37</v>
      </c>
      <c r="E14862" s="874" t="s">
        <v>38</v>
      </c>
      <c r="F14862" s="875" t="s">
        <v>7</v>
      </c>
      <c r="G14862" s="872" t="s">
        <v>43</v>
      </c>
      <c r="H14862" s="876" t="s">
        <v>44</v>
      </c>
    </row>
    <row r="14863" spans="1:8" ht="15.75" customHeight="1" x14ac:dyDescent="0.25">
      <c r="A14863" s="412"/>
      <c r="B14863" s="1118"/>
      <c r="C14863" s="993"/>
      <c r="D14863" s="981"/>
      <c r="E14863" s="981"/>
      <c r="F14863" s="415"/>
      <c r="G14863" s="415"/>
      <c r="H14863" s="416"/>
    </row>
    <row r="14864" spans="1:8" ht="15.75" customHeight="1" x14ac:dyDescent="0.25">
      <c r="A14864" s="412"/>
      <c r="B14864" s="953" t="s">
        <v>1329</v>
      </c>
      <c r="C14864" s="953"/>
      <c r="D14864" s="981"/>
      <c r="E14864" s="981"/>
      <c r="F14864" s="415"/>
      <c r="G14864" s="415"/>
      <c r="H14864" s="416"/>
    </row>
    <row r="14865" spans="1:8" ht="15.75" customHeight="1" x14ac:dyDescent="0.25">
      <c r="A14865" s="412">
        <v>25</v>
      </c>
      <c r="B14865" s="1118" t="s">
        <v>2157</v>
      </c>
      <c r="C14865" s="993" t="s">
        <v>12</v>
      </c>
      <c r="D14865" s="981">
        <v>22</v>
      </c>
      <c r="E14865" s="981">
        <v>24</v>
      </c>
      <c r="F14865" s="415">
        <f>+D14865*E14865</f>
      </c>
      <c r="G14865" s="415">
        <v>1</v>
      </c>
      <c r="H14865" s="416">
        <f>+G14865*F14865</f>
      </c>
    </row>
    <row r="14866" spans="1:8" ht="15.75" customHeight="1" x14ac:dyDescent="0.25">
      <c r="A14866" s="412">
        <v>26</v>
      </c>
      <c r="B14866" s="1118" t="s">
        <v>2157</v>
      </c>
      <c r="C14866" s="993" t="s">
        <v>12</v>
      </c>
      <c r="D14866" s="588">
        <v>2</v>
      </c>
      <c r="E14866" s="981"/>
      <c r="F14866" s="415">
        <f>+E14865*D14866</f>
      </c>
      <c r="G14866" s="619" t="s">
        <v>1856</v>
      </c>
      <c r="H14866" s="416"/>
    </row>
    <row r="14867" spans="1:8" ht="15.75" customHeight="1" x14ac:dyDescent="0.25">
      <c r="A14867" s="412">
        <v>27</v>
      </c>
      <c r="B14867" s="1118" t="s">
        <v>1039</v>
      </c>
      <c r="C14867" s="993" t="s">
        <v>2161</v>
      </c>
      <c r="D14867" s="588">
        <v>1</v>
      </c>
      <c r="E14867" s="981">
        <v>100</v>
      </c>
      <c r="F14867" s="415">
        <f>+E14867*D14867</f>
      </c>
      <c r="G14867" s="415">
        <v>1</v>
      </c>
      <c r="H14867" s="416">
        <f t="shared" ref="H14867:H14870" si="620">+G14867*F14867</f>
      </c>
    </row>
    <row r="14868" spans="1:8" ht="15.75" customHeight="1" x14ac:dyDescent="0.25">
      <c r="A14868" s="412">
        <v>28</v>
      </c>
      <c r="B14868" s="1118" t="s">
        <v>689</v>
      </c>
      <c r="C14868" s="993" t="s">
        <v>690</v>
      </c>
      <c r="D14868" s="592">
        <v>1</v>
      </c>
      <c r="E14868" s="981"/>
      <c r="F14868" s="415">
        <v>100</v>
      </c>
      <c r="G14868" s="415">
        <v>1</v>
      </c>
      <c r="H14868" s="416">
        <f t="shared" si="620"/>
      </c>
    </row>
    <row r="14869" spans="1:8" ht="15.75" customHeight="1" x14ac:dyDescent="0.25">
      <c r="A14869" s="412">
        <v>29</v>
      </c>
      <c r="B14869" s="1118" t="s">
        <v>2200</v>
      </c>
      <c r="C14869" s="993" t="s">
        <v>690</v>
      </c>
      <c r="D14869" s="633"/>
      <c r="E14869" s="981"/>
      <c r="F14869" s="415">
        <v>50</v>
      </c>
      <c r="G14869" s="415">
        <v>1</v>
      </c>
      <c r="H14869" s="416">
        <f t="shared" si="620"/>
      </c>
    </row>
    <row r="14870" spans="1:8" ht="15.75" customHeight="1" x14ac:dyDescent="0.25">
      <c r="A14870" s="412">
        <v>30</v>
      </c>
      <c r="B14870" s="1118" t="s">
        <v>922</v>
      </c>
      <c r="C14870" s="993" t="s">
        <v>690</v>
      </c>
      <c r="D14870" s="626"/>
      <c r="E14870" s="981"/>
      <c r="F14870" s="415">
        <v>25</v>
      </c>
      <c r="G14870" s="415">
        <v>1</v>
      </c>
      <c r="H14870" s="416">
        <f t="shared" si="620"/>
      </c>
    </row>
    <row r="14871" spans="1:8" ht="15.75" customHeight="1" x14ac:dyDescent="0.25">
      <c r="A14871" s="412"/>
      <c r="B14871" s="953" t="s">
        <v>1356</v>
      </c>
      <c r="C14871" s="953"/>
      <c r="D14871" s="626"/>
      <c r="E14871" s="930"/>
      <c r="F14871" s="415"/>
      <c r="G14871" s="415"/>
      <c r="H14871" s="416"/>
    </row>
    <row r="14872" spans="1:8" ht="15.75" customHeight="1" x14ac:dyDescent="0.25">
      <c r="A14872" s="412">
        <v>31</v>
      </c>
      <c r="B14872" s="1118" t="s">
        <v>320</v>
      </c>
      <c r="C14872" s="993" t="s">
        <v>316</v>
      </c>
      <c r="D14872" s="981">
        <v>1</v>
      </c>
      <c r="E14872" s="981">
        <v>10</v>
      </c>
      <c r="F14872" s="415">
        <f t="shared" ref="F14872:F14876" si="621">+E14872*D14872</f>
      </c>
      <c r="G14872" s="415">
        <v>1</v>
      </c>
      <c r="H14872" s="416">
        <f t="shared" ref="H14872:H14876" si="622">+G14872*F14872</f>
      </c>
    </row>
    <row r="14873" spans="1:8" ht="15.75" customHeight="1" x14ac:dyDescent="0.25">
      <c r="A14873" s="412">
        <v>32</v>
      </c>
      <c r="B14873" s="585" t="s">
        <v>2118</v>
      </c>
      <c r="C14873" s="993" t="s">
        <v>321</v>
      </c>
      <c r="D14873" s="626">
        <v>2</v>
      </c>
      <c r="E14873" s="930">
        <v>5</v>
      </c>
      <c r="F14873" s="415">
        <f t="shared" si="621"/>
      </c>
      <c r="G14873" s="415">
        <v>1</v>
      </c>
      <c r="H14873" s="416">
        <f t="shared" si="622"/>
      </c>
    </row>
    <row r="14874" spans="1:8" ht="15.75" customHeight="1" x14ac:dyDescent="0.25">
      <c r="A14874" s="412">
        <v>33</v>
      </c>
      <c r="B14874" s="585" t="s">
        <v>139</v>
      </c>
      <c r="C14874" s="993" t="s">
        <v>336</v>
      </c>
      <c r="D14874" s="626">
        <v>1</v>
      </c>
      <c r="E14874" s="930">
        <v>5</v>
      </c>
      <c r="F14874" s="415">
        <f t="shared" si="621"/>
      </c>
      <c r="G14874" s="415">
        <v>1</v>
      </c>
      <c r="H14874" s="416">
        <f t="shared" si="622"/>
      </c>
    </row>
    <row r="14875" spans="1:8" ht="15.75" customHeight="1" x14ac:dyDescent="0.25">
      <c r="A14875" s="412">
        <v>34</v>
      </c>
      <c r="B14875" s="585" t="s">
        <v>145</v>
      </c>
      <c r="C14875" s="993" t="s">
        <v>341</v>
      </c>
      <c r="D14875" s="626">
        <v>1</v>
      </c>
      <c r="E14875" s="930">
        <v>5</v>
      </c>
      <c r="F14875" s="415">
        <f t="shared" si="621"/>
      </c>
      <c r="G14875" s="415">
        <v>1</v>
      </c>
      <c r="H14875" s="416">
        <f t="shared" si="622"/>
      </c>
    </row>
    <row r="14876" spans="1:8" ht="15.75" customHeight="1" x14ac:dyDescent="0.25">
      <c r="A14876" s="412">
        <v>35</v>
      </c>
      <c r="B14876" s="585" t="s">
        <v>134</v>
      </c>
      <c r="C14876" s="993" t="s">
        <v>332</v>
      </c>
      <c r="D14876" s="626">
        <v>1</v>
      </c>
      <c r="E14876" s="930">
        <v>5</v>
      </c>
      <c r="F14876" s="415">
        <f t="shared" si="621"/>
      </c>
      <c r="G14876" s="415">
        <v>1</v>
      </c>
      <c r="H14876" s="416">
        <f t="shared" si="622"/>
      </c>
    </row>
    <row r="14877" spans="1:8" ht="15.75" customHeight="1" x14ac:dyDescent="0.25">
      <c r="A14877" s="412"/>
      <c r="B14877" s="585"/>
      <c r="C14877" s="993"/>
      <c r="D14877" s="626"/>
      <c r="E14877" s="930"/>
      <c r="F14877" s="415"/>
      <c r="G14877" s="415"/>
      <c r="H14877" s="416"/>
    </row>
    <row r="14878" spans="1:8" ht="15.75" customHeight="1" x14ac:dyDescent="0.25">
      <c r="A14878" s="412"/>
      <c r="B14878" s="913"/>
      <c r="C14878" s="993"/>
      <c r="D14878" s="626"/>
      <c r="E14878" s="930"/>
      <c r="F14878" s="415"/>
      <c r="G14878" s="415"/>
      <c r="H14878" s="416"/>
    </row>
    <row r="14879" spans="1:8" ht="15.75" customHeight="1" x14ac:dyDescent="0.25">
      <c r="A14879" s="412"/>
      <c r="B14879" s="1127"/>
      <c r="C14879" s="993"/>
      <c r="D14879" s="626"/>
      <c r="E14879" s="626"/>
      <c r="F14879" s="415"/>
      <c r="G14879" s="415"/>
      <c r="H14879" s="416"/>
    </row>
    <row r="14880" spans="1:8" ht="15.75" customHeight="1" x14ac:dyDescent="0.25">
      <c r="A14880" s="877"/>
      <c r="B14880" s="688"/>
      <c r="C14880" s="896" t="s">
        <v>85</v>
      </c>
      <c r="D14880" s="599"/>
      <c r="E14880" s="401"/>
      <c r="F14880" s="599"/>
      <c r="G14880" s="661"/>
      <c r="H14880" s="438">
        <f>+H14876+H14875+H14874+H14873+H14872+H14870+H14869+H14868+H14867+H14865+H14843+H14841+H14840+H14839+H14838+H14837+H14836+H14835+H14834+H14833+H14832+H14831+H14830+H14829+H14828+H14826+H14825+H14824+H14823+H14822+H14821+H14820</f>
      </c>
    </row>
    <row r="14881" spans="1:8" ht="15.75" customHeight="1" x14ac:dyDescent="0.25">
      <c r="A14881" s="932"/>
      <c r="B14881" s="933"/>
      <c r="C14881" s="934"/>
      <c r="D14881" s="431"/>
      <c r="E14881" s="935"/>
      <c r="F14881" s="935"/>
      <c r="G14881" s="936"/>
      <c r="H14881" s="444"/>
    </row>
    <row r="14882" spans="1:8" ht="15.75" customHeight="1" x14ac:dyDescent="0.25">
      <c r="A14882" s="994" t="s">
        <v>913</v>
      </c>
      <c r="B14882" s="391"/>
      <c r="C14882" s="391"/>
      <c r="D14882" s="391"/>
      <c r="E14882" s="390"/>
      <c r="F14882" s="392"/>
      <c r="G14882" s="390"/>
      <c r="H14882" s="394"/>
    </row>
    <row r="14883" spans="1:8" ht="15.75" customHeight="1" x14ac:dyDescent="0.25">
      <c r="A14883" s="445"/>
      <c r="B14883" s="445"/>
      <c r="C14883" s="445"/>
      <c r="D14883" s="446" t="s">
        <v>97</v>
      </c>
      <c r="E14883" s="445" t="s">
        <v>98</v>
      </c>
      <c r="F14883" s="445"/>
      <c r="G14883" s="390"/>
      <c r="H14883" s="394"/>
    </row>
    <row r="14884" spans="1:8" ht="15.75" customHeight="1" x14ac:dyDescent="0.25">
      <c r="A14884" s="445"/>
      <c r="B14884" s="445"/>
      <c r="C14884" s="445"/>
      <c r="D14884" s="446"/>
      <c r="E14884" s="445"/>
      <c r="F14884" s="445"/>
      <c r="G14884" s="390"/>
      <c r="H14884" s="394"/>
    </row>
    <row r="14885" spans="1:8" ht="15.75" customHeight="1" x14ac:dyDescent="0.25">
      <c r="A14885" s="445"/>
      <c r="B14885" s="445"/>
      <c r="C14885" s="445"/>
      <c r="D14885" s="446"/>
      <c r="E14885" s="445"/>
      <c r="F14885" s="445"/>
      <c r="G14885" s="390"/>
      <c r="H14885" s="394"/>
    </row>
    <row r="14886" spans="1:8" ht="15.75" customHeight="1" x14ac:dyDescent="0.25">
      <c r="A14886" s="445"/>
      <c r="B14886" s="445"/>
      <c r="C14886" s="445"/>
      <c r="D14886" s="446"/>
      <c r="E14886" s="445" t="s">
        <v>99</v>
      </c>
      <c r="F14886" s="445"/>
      <c r="G14886" s="390"/>
      <c r="H14886" s="394"/>
    </row>
    <row r="14887" spans="1:8" ht="15.75" customHeight="1" x14ac:dyDescent="0.25">
      <c r="D14887" s="4"/>
      <c r="H14887" s="4"/>
    </row>
    <row r="14888" spans="1:8" ht="15.75" customHeight="1" x14ac:dyDescent="0.25">
      <c r="D14888" s="4"/>
      <c r="H14888" s="4"/>
    </row>
    <row r="14889" spans="1:8" ht="15.75" customHeight="1" x14ac:dyDescent="0.25">
      <c r="D14889" s="4"/>
      <c r="H14889" s="4"/>
    </row>
    <row r="14890" spans="1:8" ht="15.75" customHeight="1" x14ac:dyDescent="0.25">
      <c r="D14890" s="4"/>
      <c r="H14890" s="4"/>
    </row>
    <row r="14891" spans="1:8" ht="15.75" customHeight="1" x14ac:dyDescent="0.25">
      <c r="D14891" s="4"/>
      <c r="H14891" s="4"/>
    </row>
    <row r="14892" spans="1:8" ht="15.75" customHeight="1" x14ac:dyDescent="0.25">
      <c r="D14892" s="4"/>
      <c r="H14892" s="4"/>
    </row>
    <row r="14893" spans="1:8" ht="15.75" customHeight="1" x14ac:dyDescent="0.25">
      <c r="D14893" s="4"/>
      <c r="H14893" s="4"/>
    </row>
    <row r="14894" spans="1:8" ht="15.75" customHeight="1" x14ac:dyDescent="0.25">
      <c r="A14894" s="292" t="s">
        <v>14</v>
      </c>
      <c r="B14894" s="292"/>
      <c r="C14894" s="292"/>
      <c r="D14894" s="292"/>
      <c r="E14894" s="292"/>
      <c r="F14894" s="292"/>
      <c r="G14894" s="292"/>
      <c r="H14894" s="292"/>
    </row>
    <row r="14895" spans="1:8" ht="15.75" customHeight="1" x14ac:dyDescent="0.25">
      <c r="A14895" s="293"/>
      <c r="B14895" s="293"/>
      <c r="C14895" s="293"/>
      <c r="D14895" s="294"/>
      <c r="E14895" s="293"/>
      <c r="F14895" s="293"/>
      <c r="G14895" s="293"/>
      <c r="H14895" s="295"/>
    </row>
    <row r="14896" spans="1:8" ht="15.75" customHeight="1" x14ac:dyDescent="0.25">
      <c r="A14896" s="293"/>
      <c r="B14896" s="293"/>
      <c r="C14896" s="293"/>
      <c r="D14896" s="294"/>
      <c r="E14896" s="293"/>
      <c r="F14896" s="299" t="s">
        <v>18</v>
      </c>
      <c r="G14896" s="300" t="s">
        <v>1254</v>
      </c>
      <c r="H14896" s="301"/>
    </row>
    <row r="14897" spans="1:9" ht="15.75" customHeight="1" x14ac:dyDescent="0.25">
      <c r="A14897" s="293" t="s">
        <v>20</v>
      </c>
      <c r="B14897" s="293"/>
      <c r="C14897" s="293"/>
      <c r="D14897" s="294"/>
      <c r="E14897" s="293"/>
      <c r="F14897" s="299" t="s">
        <v>21</v>
      </c>
      <c r="G14897" s="293" t="s">
        <v>1385</v>
      </c>
      <c r="H14897" s="294"/>
    </row>
    <row r="14898" spans="1:9" ht="15.75" customHeight="1" x14ac:dyDescent="0.25">
      <c r="A14898" s="293" t="inlineStr">
        <is>
          <t>Dealer-001</t>
        </is>
      </c>
      <c r="B14898" s="293"/>
      <c r="C14898" s="293"/>
      <c r="D14898" s="294"/>
      <c r="E14898" s="299"/>
      <c r="F14898" s="293"/>
      <c r="G14898" s="293"/>
      <c r="H14898" s="298"/>
    </row>
    <row r="14899" spans="1:9" ht="15.75" customHeight="1" x14ac:dyDescent="0.25">
      <c r="A14899" s="293" t="inlineStr">
        <is>
          <t>Address line (redacted)</t>
        </is>
      </c>
      <c r="B14899" s="293"/>
      <c r="C14899" s="293"/>
      <c r="D14899" s="295"/>
      <c r="E14899" s="293"/>
      <c r="F14899" s="294"/>
      <c r="G14899" s="293"/>
      <c r="H14899" s="298"/>
    </row>
    <row r="14900" spans="1:9" ht="15.75" customHeight="1" x14ac:dyDescent="0.25">
      <c r="A14900" s="293"/>
      <c r="B14900" s="293"/>
      <c r="C14900" s="293"/>
      <c r="D14900" s="295"/>
      <c r="E14900" s="293"/>
      <c r="F14900" s="294"/>
      <c r="G14900" s="293"/>
      <c r="H14900" s="298"/>
    </row>
    <row r="14901" spans="1:9" ht="15.75" customHeight="1" x14ac:dyDescent="0.25">
      <c r="A14901" s="607" t="inlineStr">
        <is>
          <t>Dealer-027</t>
        </is>
      </c>
      <c r="B14901" s="607"/>
      <c r="C14901" s="607"/>
      <c r="D14901" s="642"/>
      <c r="E14901" s="393"/>
      <c r="F14901" s="391"/>
      <c r="G14901" s="390"/>
      <c r="H14901" s="394"/>
    </row>
    <row r="14902" spans="1:9" ht="15.75" customHeight="1" x14ac:dyDescent="0.25">
      <c r="A14902" s="390" t="inlineStr">
        <is>
          <t>Contact-010</t>
        </is>
      </c>
      <c r="B14902" s="390"/>
      <c r="C14902" s="390"/>
      <c r="D14902" s="391"/>
      <c r="E14902" s="390"/>
      <c r="F14902" s="391"/>
      <c r="G14902" s="390"/>
      <c r="H14902" s="394"/>
    </row>
    <row r="14903" spans="1:9" ht="15.75" customHeight="1" x14ac:dyDescent="0.25">
      <c r="A14903" s="390" t="inlineStr">
        <is>
          <t>Address line (redacted)</t>
        </is>
      </c>
      <c r="B14903" s="293"/>
      <c r="C14903" s="293"/>
      <c r="D14903" s="295"/>
      <c r="E14903" s="293"/>
      <c r="F14903" s="294"/>
      <c r="G14903" s="293"/>
      <c r="H14903" s="298"/>
    </row>
    <row r="14904" spans="1:9" ht="15.75" customHeight="1" x14ac:dyDescent="0.25">
      <c r="A14904" s="390" t="inlineStr">
        <is>
          <t>Address line (redacted)</t>
        </is>
      </c>
      <c r="B14904" s="293"/>
      <c r="C14904" s="293"/>
      <c r="D14904" s="294"/>
      <c r="E14904" s="293"/>
      <c r="F14904" s="294"/>
      <c r="G14904" s="293"/>
      <c r="H14904" s="298"/>
      <c r="I14904" s="390"/>
    </row>
    <row r="14905" spans="1:9" ht="15.75" customHeight="1" x14ac:dyDescent="0.25">
      <c r="A14905" s="390" t="inlineStr">
        <is>
          <t>Address line (redacted)</t>
        </is>
      </c>
      <c r="B14905" s="293"/>
      <c r="C14905" s="293"/>
      <c r="D14905" s="294"/>
      <c r="E14905" s="293"/>
      <c r="F14905" s="294"/>
      <c r="G14905" s="293"/>
      <c r="H14905" s="298"/>
      <c r="I14905" s="390"/>
    </row>
    <row r="14906" spans="1:9" ht="15.75" customHeight="1" x14ac:dyDescent="0.25">
      <c r="A14906" s="293"/>
      <c r="B14906" s="293"/>
      <c r="C14906" s="293"/>
      <c r="D14906" s="294"/>
      <c r="E14906" s="293"/>
      <c r="F14906" s="294"/>
      <c r="G14906" s="293"/>
      <c r="H14906" s="298"/>
      <c r="I14906" s="390"/>
    </row>
    <row r="14907" spans="1:9" ht="15.75" customHeight="1" x14ac:dyDescent="0.25">
      <c r="A14907" s="293" t="s">
        <v>30</v>
      </c>
      <c r="B14907" s="293"/>
      <c r="C14907" s="293"/>
      <c r="D14907" s="294"/>
      <c r="E14907" s="293"/>
      <c r="F14907" s="294"/>
      <c r="G14907" s="293"/>
      <c r="H14907" s="298"/>
    </row>
    <row r="14908" spans="1:9" ht="15.75" customHeight="1" x14ac:dyDescent="0.25">
      <c r="A14908" s="293" t="s">
        <v>716</v>
      </c>
      <c r="B14908" s="293"/>
      <c r="C14908" s="293"/>
      <c r="D14908" s="294"/>
      <c r="E14908" s="293"/>
      <c r="F14908" s="294"/>
      <c r="G14908" s="293"/>
      <c r="H14908" s="298"/>
    </row>
    <row r="14909" spans="1:9" ht="15.75" customHeight="1" x14ac:dyDescent="0.25">
      <c r="A14909" s="293" t="s">
        <v>717</v>
      </c>
      <c r="B14909" s="293"/>
      <c r="C14909" s="293"/>
      <c r="D14909" s="294"/>
      <c r="E14909" s="293"/>
      <c r="F14909" s="294"/>
      <c r="G14909" s="293"/>
      <c r="H14909" s="298"/>
    </row>
    <row r="14910" spans="1:9" ht="15.75" customHeight="1" x14ac:dyDescent="0.25">
      <c r="A14910" s="293"/>
      <c r="B14910" s="293"/>
      <c r="C14910" s="293"/>
      <c r="D14910" s="294"/>
      <c r="E14910" s="293"/>
      <c r="F14910" s="294"/>
      <c r="G14910" s="293"/>
      <c r="H14910" s="298"/>
    </row>
    <row r="14911" spans="1:9" ht="15.75" customHeight="1" x14ac:dyDescent="0.25">
      <c r="A14911" s="1131" t="s">
        <v>33</v>
      </c>
      <c r="B14911" s="1132" t="s">
        <v>6</v>
      </c>
      <c r="C14911" s="1132"/>
      <c r="D14911" s="1133" t="s">
        <v>37</v>
      </c>
      <c r="E14911" s="1134" t="s">
        <v>38</v>
      </c>
      <c r="F14911" s="1135" t="s">
        <v>7</v>
      </c>
      <c r="G14911" s="1132" t="s">
        <v>43</v>
      </c>
      <c r="H14911" s="1136" t="s">
        <v>44</v>
      </c>
    </row>
    <row r="14912" spans="1:9" ht="15.75" customHeight="1" x14ac:dyDescent="0.25">
      <c r="A14912" s="352"/>
      <c r="B14912" s="883" t="s">
        <v>1365</v>
      </c>
      <c r="C14912" s="883"/>
      <c r="D14912" s="355"/>
      <c r="E14912" s="355"/>
      <c r="F14912" s="355"/>
      <c r="G14912" s="355"/>
      <c r="H14912" s="356"/>
    </row>
    <row r="14913" spans="1:8" ht="15.75" customHeight="1" x14ac:dyDescent="0.25">
      <c r="A14913" s="352">
        <v>1</v>
      </c>
      <c r="B14913" s="1137">
        <v>510</v>
      </c>
      <c r="C14913" s="1138" t="s">
        <v>1388</v>
      </c>
      <c r="D14913" s="355">
        <v>2</v>
      </c>
      <c r="E14913" s="355">
        <v>4</v>
      </c>
      <c r="F14913" s="355">
        <f>+E14913*D14913</f>
      </c>
      <c r="G14913" s="355">
        <v>1</v>
      </c>
      <c r="H14913" s="356">
        <f>+G14913*F14913</f>
      </c>
    </row>
    <row r="14914" spans="1:8" ht="15.75" customHeight="1" x14ac:dyDescent="0.25">
      <c r="A14914" s="352"/>
      <c r="B14914" s="1137"/>
      <c r="C14914" s="1138"/>
      <c r="D14914" s="355"/>
      <c r="E14914" s="355"/>
      <c r="F14914" s="355"/>
      <c r="G14914" s="355"/>
      <c r="H14914" s="356"/>
    </row>
    <row r="14915" spans="1:8" ht="15.75" customHeight="1" x14ac:dyDescent="0.25">
      <c r="A14915" s="352"/>
      <c r="B14915" s="1137"/>
      <c r="C14915" s="1138"/>
      <c r="D14915" s="355"/>
      <c r="E14915" s="355"/>
      <c r="F14915" s="355"/>
      <c r="G14915" s="355"/>
      <c r="H14915" s="356"/>
    </row>
    <row r="14916" spans="1:8" ht="15.75" customHeight="1" x14ac:dyDescent="0.25">
      <c r="A14916" s="352"/>
      <c r="B14916" s="1137"/>
      <c r="C14916" s="1138"/>
      <c r="D14916" s="355"/>
      <c r="E14916" s="355"/>
      <c r="F14916" s="355"/>
      <c r="G14916" s="355"/>
      <c r="H14916" s="356"/>
    </row>
    <row r="14917" spans="1:8" ht="15.75" customHeight="1" x14ac:dyDescent="0.25">
      <c r="A14917" s="352"/>
      <c r="B14917" s="1140"/>
      <c r="C14917" s="1138"/>
      <c r="D14917" s="355"/>
      <c r="E14917" s="355"/>
      <c r="F14917" s="355"/>
      <c r="G14917" s="355"/>
      <c r="H14917" s="356"/>
    </row>
    <row r="14918" spans="1:8" ht="15.75" customHeight="1" x14ac:dyDescent="0.25">
      <c r="A14918" s="352"/>
      <c r="B14918" s="1162"/>
      <c r="C14918" s="1138"/>
      <c r="D14918" s="1142"/>
      <c r="E14918" s="1142"/>
      <c r="F14918" s="1142"/>
      <c r="G14918" s="1142"/>
      <c r="H14918" s="1143"/>
    </row>
    <row r="14919" spans="1:8" ht="15.75" customHeight="1" x14ac:dyDescent="0.25">
      <c r="A14919" s="328"/>
      <c r="B14919" s="1163"/>
      <c r="C14919" s="330" t="s">
        <v>85</v>
      </c>
      <c r="D14919" s="331">
        <f>SUM(D14913:D14918)</f>
      </c>
      <c r="E14919" s="331"/>
      <c r="F14919" s="331">
        <f>SUM(F14913:F14917)</f>
      </c>
      <c r="G14919" s="333"/>
      <c r="H14919" s="334">
        <f>SUM(H14913:H14918)</f>
      </c>
    </row>
    <row r="14920" spans="1:8" ht="15.75" customHeight="1" x14ac:dyDescent="0.25">
      <c r="A14920" s="335"/>
      <c r="B14920" s="336"/>
      <c r="C14920" s="336"/>
      <c r="D14920" s="337"/>
      <c r="E14920" s="336"/>
      <c r="F14920" s="338"/>
      <c r="G14920" s="339"/>
      <c r="H14920" s="340"/>
    </row>
    <row r="14921" spans="1:8" ht="15.75" customHeight="1" x14ac:dyDescent="0.25">
      <c r="A14921" s="341"/>
      <c r="B14921" s="341"/>
      <c r="C14921" s="341"/>
      <c r="D14921" s="342" t="s">
        <v>97</v>
      </c>
      <c r="E14921" s="341" t="s">
        <v>98</v>
      </c>
      <c r="F14921" s="341"/>
      <c r="G14921" s="293"/>
      <c r="H14921" s="298"/>
    </row>
    <row r="14922" spans="1:8" ht="15.75" customHeight="1" x14ac:dyDescent="0.25">
      <c r="A14922" s="293"/>
      <c r="B14922" s="293"/>
      <c r="C14922" s="293"/>
      <c r="D14922" s="294"/>
      <c r="E14922" s="293"/>
      <c r="F14922" s="293"/>
      <c r="G14922" s="293"/>
      <c r="H14922" s="298"/>
    </row>
    <row r="14923" spans="1:8" ht="15.75" customHeight="1" x14ac:dyDescent="0.25">
      <c r="A14923" s="341"/>
      <c r="B14923" s="341"/>
      <c r="C14923" s="341"/>
      <c r="D14923" s="342"/>
      <c r="E14923" s="341" t="s">
        <v>99</v>
      </c>
      <c r="F14923" s="341"/>
      <c r="G14923" s="293"/>
      <c r="H14923" s="298"/>
    </row>
    <row r="14924" spans="1:8" ht="15.75" customHeight="1" x14ac:dyDescent="0.25">
      <c r="D14924" s="4"/>
      <c r="H14924" s="4"/>
    </row>
    <row r="14925" spans="1:8" ht="15.75" customHeight="1" x14ac:dyDescent="0.25">
      <c r="D14925" s="4"/>
      <c r="H14925" s="4"/>
    </row>
    <row r="14926" spans="1:8" ht="15.75" customHeight="1" x14ac:dyDescent="0.25">
      <c r="D14926" s="4"/>
      <c r="H14926" s="4"/>
    </row>
    <row r="14927" spans="1:8" ht="15.75" customHeight="1" x14ac:dyDescent="0.25">
      <c r="D14927" s="4"/>
      <c r="H14927" s="4"/>
    </row>
    <row r="14928" spans="1:8" ht="15.75" customHeight="1" x14ac:dyDescent="0.25">
      <c r="D14928" s="4"/>
      <c r="H14928" s="4"/>
    </row>
    <row r="14929" spans="1:8" ht="15.75" customHeight="1" x14ac:dyDescent="0.25">
      <c r="D14929" s="4"/>
      <c r="H14929" s="4"/>
    </row>
    <row r="14930" spans="1:8" ht="15.75" customHeight="1" x14ac:dyDescent="0.25">
      <c r="D14930" s="4"/>
      <c r="H14930" s="4"/>
    </row>
    <row r="14931" spans="1:8" ht="15.75" customHeight="1" x14ac:dyDescent="0.25">
      <c r="D14931" s="4"/>
      <c r="H14931" s="4"/>
    </row>
    <row r="14932" spans="1:8" ht="15.75" customHeight="1" x14ac:dyDescent="0.25">
      <c r="D14932" s="4"/>
      <c r="H14932" s="4"/>
    </row>
    <row r="14933" spans="1:8" ht="15.75" customHeight="1" x14ac:dyDescent="0.25">
      <c r="D14933" s="4"/>
      <c r="H14933" s="4"/>
    </row>
    <row r="14934" spans="1:8" ht="15.75" customHeight="1" x14ac:dyDescent="0.25">
      <c r="D14934" s="4"/>
      <c r="H14934" s="4"/>
    </row>
    <row r="14935" spans="1:8" ht="15.75" customHeight="1" x14ac:dyDescent="0.25">
      <c r="D14935" s="4"/>
      <c r="H14935" s="4"/>
    </row>
    <row r="14936" spans="1:8" ht="15.75" customHeight="1" x14ac:dyDescent="0.25">
      <c r="D14936" s="4"/>
      <c r="H14936" s="4"/>
    </row>
    <row r="14937" spans="1:8" ht="15.75" customHeight="1" x14ac:dyDescent="0.25">
      <c r="D14937" s="4"/>
      <c r="H14937" s="4"/>
    </row>
    <row r="14938" spans="1:8" ht="15.75" customHeight="1" x14ac:dyDescent="0.25">
      <c r="A14938" s="292" t="s">
        <v>14</v>
      </c>
      <c r="B14938" s="292"/>
      <c r="C14938" s="292"/>
      <c r="D14938" s="292"/>
      <c r="E14938" s="292"/>
      <c r="F14938" s="292"/>
      <c r="G14938" s="292"/>
      <c r="H14938" s="292"/>
    </row>
    <row r="14939" spans="1:8" ht="15.75" customHeight="1" x14ac:dyDescent="0.25">
      <c r="A14939" s="293"/>
      <c r="B14939" s="293"/>
      <c r="C14939" s="293"/>
      <c r="D14939" s="294"/>
      <c r="E14939" s="293"/>
      <c r="F14939" s="293"/>
      <c r="G14939" s="293"/>
      <c r="H14939" s="295"/>
    </row>
    <row r="14940" spans="1:8" ht="15.75" customHeight="1" x14ac:dyDescent="0.25">
      <c r="A14940" s="293"/>
      <c r="B14940" s="293"/>
      <c r="C14940" s="293"/>
      <c r="D14940" s="294"/>
      <c r="E14940" s="293"/>
      <c r="F14940" s="299" t="s">
        <v>18</v>
      </c>
      <c r="G14940" s="300" t="s">
        <v>1254</v>
      </c>
      <c r="H14940" s="301"/>
    </row>
    <row r="14941" spans="1:8" ht="15.75" customHeight="1" x14ac:dyDescent="0.25">
      <c r="A14941" s="293" t="s">
        <v>20</v>
      </c>
      <c r="B14941" s="293"/>
      <c r="C14941" s="293"/>
      <c r="D14941" s="294"/>
      <c r="E14941" s="293"/>
      <c r="F14941" s="299" t="s">
        <v>21</v>
      </c>
      <c r="G14941" s="293" t="s">
        <v>1390</v>
      </c>
      <c r="H14941" s="294"/>
    </row>
    <row r="14942" spans="1:8" ht="15.75" customHeight="1" x14ac:dyDescent="0.25">
      <c r="A14942" s="293" t="inlineStr">
        <is>
          <t>Dealer-001</t>
        </is>
      </c>
      <c r="B14942" s="293"/>
      <c r="C14942" s="293"/>
      <c r="D14942" s="294"/>
      <c r="E14942" s="299"/>
      <c r="F14942" s="293"/>
      <c r="G14942" s="293"/>
      <c r="H14942" s="298"/>
    </row>
    <row r="14943" spans="1:8" ht="15.75" customHeight="1" x14ac:dyDescent="0.25">
      <c r="A14943" s="293" t="inlineStr">
        <is>
          <t>Address line (redacted)</t>
        </is>
      </c>
      <c r="B14943" s="293"/>
      <c r="C14943" s="293"/>
      <c r="D14943" s="295"/>
      <c r="E14943" s="293"/>
      <c r="F14943" s="294"/>
      <c r="G14943" s="293"/>
      <c r="H14943" s="298"/>
    </row>
    <row r="14944" spans="1:8" ht="15.75" customHeight="1" x14ac:dyDescent="0.25">
      <c r="A14944" s="293"/>
      <c r="B14944" s="293"/>
      <c r="C14944" s="293"/>
      <c r="D14944" s="295"/>
      <c r="E14944" s="293"/>
      <c r="F14944" s="294"/>
      <c r="G14944" s="293"/>
      <c r="H14944" s="298"/>
    </row>
    <row r="14945" spans="1:8" ht="15.75" customHeight="1" x14ac:dyDescent="0.25">
      <c r="A14945" s="607" t="inlineStr">
        <is>
          <t>Dealer-027</t>
        </is>
      </c>
      <c r="B14945" s="607"/>
      <c r="C14945" s="607"/>
      <c r="D14945" s="642"/>
      <c r="E14945" s="393"/>
      <c r="F14945" s="391"/>
      <c r="G14945" s="390"/>
      <c r="H14945" s="394"/>
    </row>
    <row r="14946" spans="1:8" ht="15.75" customHeight="1" x14ac:dyDescent="0.25">
      <c r="A14946" s="390" t="s">
        <v>20</v>
      </c>
      <c r="B14946" s="390"/>
      <c r="C14946" s="390"/>
      <c r="D14946" s="391"/>
      <c r="E14946" s="390"/>
      <c r="F14946" s="391"/>
      <c r="G14946" s="390"/>
      <c r="H14946" s="394"/>
    </row>
    <row r="14947" spans="1:8" ht="15.75" customHeight="1" x14ac:dyDescent="0.25">
      <c r="A14947" s="390" t="inlineStr">
        <is>
          <t>Dealer-003</t>
        </is>
      </c>
      <c r="B14947" s="390"/>
      <c r="C14947" s="293"/>
      <c r="D14947" s="295"/>
      <c r="E14947" s="293"/>
      <c r="F14947" s="294"/>
      <c r="G14947" s="293"/>
      <c r="H14947" s="298"/>
    </row>
    <row r="14948" spans="1:8" ht="15.75" customHeight="1" x14ac:dyDescent="0.25">
      <c r="A14948" s="390" t="inlineStr">
        <is>
          <t>Address line (redacted)</t>
        </is>
      </c>
      <c r="B14948" s="390"/>
      <c r="C14948" s="293"/>
      <c r="D14948" s="294"/>
      <c r="E14948" s="293"/>
      <c r="F14948" s="294"/>
      <c r="G14948" s="293"/>
      <c r="H14948" s="298"/>
    </row>
    <row r="14949" spans="1:8" ht="15.75" customHeight="1" x14ac:dyDescent="0.25">
      <c r="A14949" s="293"/>
      <c r="B14949" s="293"/>
      <c r="C14949" s="293"/>
      <c r="D14949" s="294"/>
      <c r="E14949" s="293"/>
      <c r="F14949" s="294"/>
      <c r="G14949" s="293"/>
      <c r="H14949" s="298"/>
    </row>
    <row r="14950" spans="1:8" ht="15.75" customHeight="1" x14ac:dyDescent="0.25">
      <c r="A14950" s="293" t="s">
        <v>30</v>
      </c>
      <c r="B14950" s="293"/>
      <c r="C14950" s="293"/>
      <c r="D14950" s="294"/>
      <c r="E14950" s="293"/>
      <c r="F14950" s="294"/>
      <c r="G14950" s="293"/>
      <c r="H14950" s="298"/>
    </row>
    <row r="14951" spans="1:8" ht="15.75" customHeight="1" x14ac:dyDescent="0.25">
      <c r="A14951" s="293" t="s">
        <v>716</v>
      </c>
      <c r="B14951" s="293"/>
      <c r="C14951" s="293"/>
      <c r="D14951" s="294"/>
      <c r="E14951" s="293"/>
      <c r="F14951" s="294"/>
      <c r="G14951" s="293"/>
      <c r="H14951" s="298"/>
    </row>
    <row r="14952" spans="1:8" ht="15.75" customHeight="1" x14ac:dyDescent="0.25">
      <c r="A14952" s="293" t="s">
        <v>717</v>
      </c>
      <c r="B14952" s="293"/>
      <c r="C14952" s="293"/>
      <c r="D14952" s="294"/>
      <c r="E14952" s="293"/>
      <c r="F14952" s="294"/>
      <c r="G14952" s="293"/>
      <c r="H14952" s="298"/>
    </row>
    <row r="14953" spans="1:8" ht="15.75" customHeight="1" x14ac:dyDescent="0.25">
      <c r="A14953" s="293"/>
      <c r="B14953" s="293"/>
      <c r="C14953" s="293"/>
      <c r="D14953" s="294"/>
      <c r="E14953" s="293"/>
      <c r="F14953" s="294"/>
      <c r="G14953" s="293"/>
      <c r="H14953" s="298"/>
    </row>
    <row r="14954" spans="1:8" ht="15.75" customHeight="1" x14ac:dyDescent="0.25">
      <c r="A14954" s="1131" t="s">
        <v>33</v>
      </c>
      <c r="B14954" s="1132" t="s">
        <v>6</v>
      </c>
      <c r="C14954" s="1132"/>
      <c r="D14954" s="1133" t="s">
        <v>37</v>
      </c>
      <c r="E14954" s="1134" t="s">
        <v>38</v>
      </c>
      <c r="F14954" s="1135" t="s">
        <v>7</v>
      </c>
      <c r="G14954" s="1132" t="s">
        <v>43</v>
      </c>
      <c r="H14954" s="1136" t="s">
        <v>44</v>
      </c>
    </row>
    <row r="14955" spans="1:8" ht="15.75" customHeight="1" x14ac:dyDescent="0.25">
      <c r="A14955" s="352"/>
      <c r="B14955" s="883" t="s">
        <v>1365</v>
      </c>
      <c r="C14955" s="883"/>
      <c r="D14955" s="355"/>
      <c r="E14955" s="355"/>
      <c r="F14955" s="355"/>
      <c r="G14955" s="355"/>
      <c r="H14955" s="356"/>
    </row>
    <row r="14956" spans="1:8" ht="15.75" customHeight="1" x14ac:dyDescent="0.25">
      <c r="A14956" s="352">
        <v>1</v>
      </c>
      <c r="B14956" s="1137">
        <v>510</v>
      </c>
      <c r="C14956" s="1138" t="s">
        <v>1388</v>
      </c>
      <c r="D14956" s="355">
        <v>10</v>
      </c>
      <c r="E14956" s="355">
        <v>4</v>
      </c>
      <c r="F14956" s="355">
        <f>+E14956*D14956</f>
      </c>
      <c r="G14956" s="355">
        <v>1</v>
      </c>
      <c r="H14956" s="356">
        <f>+G14956*F14956</f>
      </c>
    </row>
    <row r="14957" spans="1:8" ht="15.75" customHeight="1" x14ac:dyDescent="0.25">
      <c r="A14957" s="352"/>
      <c r="B14957" s="1137"/>
      <c r="C14957" s="1138"/>
      <c r="D14957" s="355"/>
      <c r="E14957" s="355"/>
      <c r="F14957" s="355"/>
      <c r="G14957" s="355"/>
      <c r="H14957" s="356"/>
    </row>
    <row r="14958" spans="1:8" ht="15.75" customHeight="1" x14ac:dyDescent="0.25">
      <c r="A14958" s="352"/>
      <c r="B14958" s="1137"/>
      <c r="C14958" s="1138"/>
      <c r="D14958" s="355"/>
      <c r="E14958" s="355"/>
      <c r="F14958" s="355"/>
      <c r="G14958" s="355"/>
      <c r="H14958" s="356"/>
    </row>
    <row r="14959" spans="1:8" ht="15.75" customHeight="1" x14ac:dyDescent="0.25">
      <c r="A14959" s="352"/>
      <c r="B14959" s="1137"/>
      <c r="C14959" s="1138"/>
      <c r="D14959" s="355"/>
      <c r="E14959" s="355"/>
      <c r="F14959" s="355"/>
      <c r="G14959" s="355"/>
      <c r="H14959" s="356"/>
    </row>
    <row r="14960" spans="1:8" ht="15.75" customHeight="1" x14ac:dyDescent="0.25">
      <c r="A14960" s="352"/>
      <c r="B14960" s="1140"/>
      <c r="C14960" s="1138"/>
      <c r="D14960" s="355"/>
      <c r="E14960" s="355"/>
      <c r="F14960" s="355"/>
      <c r="G14960" s="355"/>
      <c r="H14960" s="356"/>
    </row>
    <row r="14961" spans="1:8" ht="15.75" customHeight="1" x14ac:dyDescent="0.25">
      <c r="A14961" s="352"/>
      <c r="B14961" s="1164"/>
      <c r="C14961" s="1138"/>
      <c r="D14961" s="1142"/>
      <c r="E14961" s="1142"/>
      <c r="F14961" s="1142"/>
      <c r="G14961" s="1142"/>
      <c r="H14961" s="1143"/>
    </row>
    <row r="14962" spans="1:8" ht="15.75" customHeight="1" x14ac:dyDescent="0.25">
      <c r="A14962" s="328"/>
      <c r="B14962" s="1163"/>
      <c r="C14962" s="330" t="s">
        <v>85</v>
      </c>
      <c r="D14962" s="331">
        <f>SUM(D14956:D14961)</f>
      </c>
      <c r="E14962" s="331"/>
      <c r="F14962" s="331">
        <f>SUM(F14956:F14960)</f>
      </c>
      <c r="G14962" s="333"/>
      <c r="H14962" s="334">
        <f>SUM(H14956:H14961)</f>
      </c>
    </row>
    <row r="14963" spans="1:8" ht="15.75" customHeight="1" x14ac:dyDescent="0.25">
      <c r="A14963" s="335"/>
      <c r="B14963" s="336"/>
      <c r="C14963" s="336"/>
      <c r="D14963" s="337"/>
      <c r="E14963" s="336"/>
      <c r="F14963" s="338"/>
      <c r="G14963" s="339"/>
      <c r="H14963" s="340"/>
    </row>
    <row r="14964" spans="1:8" ht="15.75" customHeight="1" x14ac:dyDescent="0.25">
      <c r="A14964" s="341"/>
      <c r="B14964" s="341"/>
      <c r="C14964" s="341"/>
      <c r="D14964" s="342" t="s">
        <v>97</v>
      </c>
      <c r="E14964" s="341" t="s">
        <v>98</v>
      </c>
      <c r="F14964" s="341"/>
      <c r="G14964" s="293"/>
      <c r="H14964" s="298"/>
    </row>
    <row r="14965" spans="1:8" ht="15.75" customHeight="1" x14ac:dyDescent="0.25">
      <c r="A14965" s="293"/>
      <c r="B14965" s="293"/>
      <c r="C14965" s="293"/>
      <c r="D14965" s="294"/>
      <c r="E14965" s="293"/>
      <c r="F14965" s="293"/>
      <c r="G14965" s="293"/>
      <c r="H14965" s="298"/>
    </row>
    <row r="14966" spans="1:8" ht="15.75" customHeight="1" x14ac:dyDescent="0.25">
      <c r="A14966" s="341"/>
      <c r="B14966" s="341"/>
      <c r="C14966" s="341"/>
      <c r="D14966" s="342"/>
      <c r="E14966" s="341" t="s">
        <v>99</v>
      </c>
      <c r="F14966" s="341"/>
      <c r="G14966" s="293"/>
      <c r="H14966" s="298"/>
    </row>
    <row r="14967" spans="1:8" ht="15.75" customHeight="1" x14ac:dyDescent="0.25">
      <c r="D14967" s="4"/>
      <c r="H14967" s="4"/>
    </row>
    <row r="14968" spans="1:8" ht="15.75" customHeight="1" x14ac:dyDescent="0.25">
      <c r="D14968" s="4"/>
      <c r="H14968" s="4"/>
    </row>
    <row r="14969" spans="1:8" ht="15.75" customHeight="1" x14ac:dyDescent="0.25">
      <c r="D14969" s="4"/>
      <c r="H14969" s="4"/>
    </row>
    <row r="14970" spans="1:8" ht="15.75" customHeight="1" x14ac:dyDescent="0.25">
      <c r="D14970" s="4"/>
      <c r="H14970" s="4"/>
    </row>
    <row r="14971" spans="1:8" ht="15.75" customHeight="1" x14ac:dyDescent="0.25">
      <c r="D14971" s="4"/>
      <c r="H14971" s="4"/>
    </row>
    <row r="14972" spans="1:8" ht="15.75" customHeight="1" x14ac:dyDescent="0.25">
      <c r="D14972" s="4"/>
      <c r="H14972" s="4"/>
    </row>
    <row r="14973" spans="1:8" ht="15.75" customHeight="1" x14ac:dyDescent="0.25">
      <c r="D14973" s="4"/>
      <c r="H14973" s="4"/>
    </row>
    <row r="14974" spans="1:8" ht="15.75" customHeight="1" x14ac:dyDescent="0.25">
      <c r="D14974" s="4"/>
      <c r="H14974" s="4"/>
    </row>
    <row r="14975" spans="1:8" ht="15.75" customHeight="1" x14ac:dyDescent="0.25">
      <c r="D14975" s="4"/>
      <c r="H14975" s="4"/>
    </row>
    <row r="14976" spans="1:8" ht="15.75" customHeight="1" x14ac:dyDescent="0.25">
      <c r="D14976" s="4"/>
      <c r="H14976" s="4"/>
    </row>
    <row r="14977" spans="1:8" ht="15.75" customHeight="1" x14ac:dyDescent="0.25">
      <c r="D14977" s="4"/>
      <c r="H14977" s="4"/>
    </row>
    <row r="14978" spans="1:8" ht="15.75" customHeight="1" x14ac:dyDescent="0.25">
      <c r="D14978" s="4"/>
      <c r="H14978" s="4"/>
    </row>
    <row r="14979" spans="1:8" ht="15.75" customHeight="1" x14ac:dyDescent="0.25">
      <c r="D14979" s="4"/>
      <c r="H14979" s="4"/>
    </row>
    <row r="14980" spans="1:8" ht="15.75" customHeight="1" x14ac:dyDescent="0.25">
      <c r="D14980" s="4"/>
      <c r="H14980" s="4"/>
    </row>
    <row r="14981" spans="1:8" ht="15.75" customHeight="1" x14ac:dyDescent="0.25">
      <c r="D14981" s="4"/>
      <c r="H14981" s="4"/>
    </row>
    <row r="14982" spans="1:8" ht="15.75" customHeight="1" x14ac:dyDescent="0.25">
      <c r="A14982" s="8" t="s">
        <v>14</v>
      </c>
      <c r="B14982" s="8"/>
      <c r="C14982" s="8"/>
      <c r="D14982" s="8"/>
      <c r="E14982" s="8"/>
      <c r="F14982" s="8"/>
      <c r="G14982" s="8"/>
      <c r="H14982" s="8"/>
    </row>
    <row r="14983" spans="1:8" ht="15.75" customHeight="1" x14ac:dyDescent="0.25">
      <c r="A14983" s="388"/>
      <c r="B14983" s="388"/>
      <c r="C14983" s="388"/>
      <c r="D14983" s="389"/>
      <c r="E14983" s="388"/>
      <c r="F14983" s="388"/>
      <c r="G14983" s="388"/>
      <c r="H14983" s="8"/>
    </row>
    <row r="14984" spans="1:8" ht="15.75" customHeight="1" x14ac:dyDescent="0.25">
      <c r="A14984" s="390"/>
      <c r="B14984" s="390"/>
      <c r="C14984" s="390"/>
      <c r="D14984" s="391"/>
      <c r="E14984" s="390"/>
      <c r="F14984" s="395" t="s">
        <v>18</v>
      </c>
      <c r="G14984" s="396" t="s">
        <v>1261</v>
      </c>
      <c r="H14984" s="397"/>
    </row>
    <row r="14985" spans="1:8" ht="15.75" customHeight="1" x14ac:dyDescent="0.25">
      <c r="A14985" s="390" t="s">
        <v>20</v>
      </c>
      <c r="B14985" s="390"/>
      <c r="D14985" s="391"/>
      <c r="E14985" s="390"/>
      <c r="F14985" s="395" t="s">
        <v>21</v>
      </c>
      <c r="G14985" s="390" t="s">
        <v>1870</v>
      </c>
      <c r="H14985" s="391"/>
    </row>
    <row r="14986" spans="1:8" ht="15.75" customHeight="1" x14ac:dyDescent="0.25">
      <c r="A14986" s="390" t="inlineStr">
        <is>
          <t>Dealer-002</t>
        </is>
      </c>
      <c r="B14986" s="390"/>
      <c r="C14986" s="390"/>
      <c r="D14986" s="398"/>
      <c r="E14986" s="390"/>
      <c r="F14986" s="391"/>
      <c r="G14986" s="390"/>
      <c r="H14986" s="394"/>
    </row>
    <row r="14987" spans="1:8" ht="15.75" customHeight="1" x14ac:dyDescent="0.25">
      <c r="A14987" s="390" t="inlineStr">
        <is>
          <t>Address line (redacted)</t>
        </is>
      </c>
      <c r="B14987" s="390"/>
      <c r="C14987" s="390"/>
      <c r="D14987" s="398"/>
      <c r="E14987" s="390"/>
      <c r="F14987" s="391"/>
      <c r="G14987" s="390"/>
      <c r="H14987" s="394"/>
    </row>
    <row r="14988" spans="1:8" ht="15.75" customHeight="1" x14ac:dyDescent="0.25">
      <c r="A14988" s="390" t="inlineStr">
        <is>
          <t>Address line (redacted)</t>
        </is>
      </c>
      <c r="B14988" s="390"/>
      <c r="C14988" s="390"/>
      <c r="D14988" s="391"/>
      <c r="E14988" s="390"/>
      <c r="F14988" s="391"/>
      <c r="G14988" s="390"/>
      <c r="H14988" s="394"/>
    </row>
    <row r="14989" spans="1:8" ht="15.75" customHeight="1" x14ac:dyDescent="0.25">
      <c r="A14989" s="390"/>
      <c r="B14989" s="390"/>
      <c r="C14989" s="390"/>
      <c r="D14989" s="391"/>
      <c r="E14989" s="390"/>
      <c r="F14989" s="391"/>
      <c r="G14989" s="390"/>
      <c r="H14989" s="394"/>
    </row>
    <row r="14990" spans="1:8" ht="15.75" customHeight="1" x14ac:dyDescent="0.25">
      <c r="A14990" s="390" t="s">
        <v>30</v>
      </c>
      <c r="B14990" s="390"/>
      <c r="C14990" s="390"/>
      <c r="D14990" s="391"/>
      <c r="E14990" s="390"/>
      <c r="F14990" s="391"/>
      <c r="G14990" s="390"/>
      <c r="H14990" s="394"/>
    </row>
    <row r="14991" spans="1:8" ht="15.75" customHeight="1" x14ac:dyDescent="0.25">
      <c r="A14991" s="390" t="s">
        <v>716</v>
      </c>
      <c r="B14991" s="390"/>
      <c r="C14991" s="390"/>
      <c r="D14991" s="391"/>
      <c r="E14991" s="390"/>
      <c r="F14991" s="391"/>
      <c r="G14991" s="390"/>
      <c r="H14991" s="394"/>
    </row>
    <row r="14992" spans="1:8" ht="15.75" customHeight="1" x14ac:dyDescent="0.25">
      <c r="A14992" s="390" t="s">
        <v>717</v>
      </c>
      <c r="B14992" s="390"/>
      <c r="C14992" s="390"/>
      <c r="D14992" s="391"/>
      <c r="E14992" s="390"/>
      <c r="F14992" s="391"/>
      <c r="G14992" s="390"/>
      <c r="H14992" s="394"/>
    </row>
    <row r="14993" spans="1:8" ht="15.75" customHeight="1" x14ac:dyDescent="0.25">
      <c r="A14993" s="390"/>
      <c r="B14993" s="390"/>
      <c r="C14993" s="390"/>
      <c r="D14993" s="391"/>
      <c r="E14993" s="390"/>
      <c r="F14993" s="391"/>
      <c r="G14993" s="390"/>
      <c r="H14993" s="394"/>
    </row>
    <row r="14994" spans="1:8" ht="15.75" customHeight="1" x14ac:dyDescent="0.25">
      <c r="A14994" s="948" t="s">
        <v>33</v>
      </c>
      <c r="B14994" s="872" t="s">
        <v>6</v>
      </c>
      <c r="C14994" s="872"/>
      <c r="D14994" s="874" t="s">
        <v>37</v>
      </c>
      <c r="E14994" s="874" t="s">
        <v>38</v>
      </c>
      <c r="F14994" s="875" t="s">
        <v>7</v>
      </c>
      <c r="G14994" s="872" t="s">
        <v>43</v>
      </c>
      <c r="H14994" s="876" t="s">
        <v>44</v>
      </c>
    </row>
    <row r="14995" spans="1:8" ht="15.75" customHeight="1" x14ac:dyDescent="0.3">
      <c r="A14995" s="412"/>
      <c r="B14995" s="1033"/>
      <c r="C14995" s="1033"/>
      <c r="D14995" s="879"/>
      <c r="E14995" s="879"/>
      <c r="F14995" s="415"/>
      <c r="G14995" s="415"/>
      <c r="H14995" s="416"/>
    </row>
    <row r="14996" spans="1:8" ht="15.75" customHeight="1" x14ac:dyDescent="0.25">
      <c r="A14996" s="412"/>
      <c r="B14996" s="953" t="s">
        <v>590</v>
      </c>
      <c r="C14996" s="953"/>
      <c r="D14996" s="981"/>
      <c r="E14996" s="981"/>
      <c r="F14996" s="415"/>
      <c r="G14996" s="415"/>
      <c r="H14996" s="416"/>
    </row>
    <row r="14997" spans="1:8" ht="15.75" customHeight="1" x14ac:dyDescent="0.25">
      <c r="A14997" s="412">
        <v>1</v>
      </c>
      <c r="B14997" s="1116" t="s">
        <v>146</v>
      </c>
      <c r="C14997" s="1117" t="s">
        <v>380</v>
      </c>
      <c r="D14997" s="981">
        <v>1</v>
      </c>
      <c r="E14997" s="981">
        <v>6</v>
      </c>
      <c r="F14997" s="415">
        <f t="shared" ref="F14997:F15000" si="623">+E14997*D14997</f>
      </c>
      <c r="G14997" s="415">
        <v>1</v>
      </c>
      <c r="H14997" s="416">
        <f t="shared" ref="H14997:H15000" si="624">+G14997*F14997</f>
      </c>
    </row>
    <row r="14998" spans="1:8" ht="15.75" customHeight="1" x14ac:dyDescent="0.25">
      <c r="A14998" s="412">
        <v>2</v>
      </c>
      <c r="B14998" s="1118" t="s">
        <v>127</v>
      </c>
      <c r="C14998" s="993" t="s">
        <v>398</v>
      </c>
      <c r="D14998" s="981">
        <v>2</v>
      </c>
      <c r="E14998" s="981">
        <v>6</v>
      </c>
      <c r="F14998" s="415">
        <f t="shared" si="623"/>
      </c>
      <c r="G14998" s="415">
        <v>1</v>
      </c>
      <c r="H14998" s="416">
        <f t="shared" si="624"/>
      </c>
    </row>
    <row r="14999" spans="1:8" ht="15.75" customHeight="1" x14ac:dyDescent="0.25">
      <c r="A14999" s="412">
        <v>3</v>
      </c>
      <c r="B14999" s="1118" t="s">
        <v>287</v>
      </c>
      <c r="C14999" s="993" t="s">
        <v>400</v>
      </c>
      <c r="D14999" s="981">
        <v>12</v>
      </c>
      <c r="E14999" s="981">
        <v>6</v>
      </c>
      <c r="F14999" s="415">
        <f t="shared" si="623"/>
      </c>
      <c r="G14999" s="415">
        <v>1</v>
      </c>
      <c r="H14999" s="416">
        <f t="shared" si="624"/>
      </c>
    </row>
    <row r="15000" spans="1:8" ht="15.75" customHeight="1" x14ac:dyDescent="0.25">
      <c r="A15000" s="412">
        <v>4</v>
      </c>
      <c r="B15000" s="1118" t="s">
        <v>125</v>
      </c>
      <c r="C15000" s="993"/>
      <c r="D15000" s="981">
        <v>2</v>
      </c>
      <c r="E15000" s="981">
        <v>4</v>
      </c>
      <c r="F15000" s="415">
        <f t="shared" si="623"/>
      </c>
      <c r="G15000" s="415">
        <v>1</v>
      </c>
      <c r="H15000" s="416">
        <f t="shared" si="624"/>
      </c>
    </row>
    <row r="15001" spans="1:8" ht="15.75" customHeight="1" x14ac:dyDescent="0.25">
      <c r="A15001" s="412"/>
      <c r="B15001" s="953" t="s">
        <v>1187</v>
      </c>
      <c r="C15001" s="953"/>
      <c r="D15001" s="626"/>
      <c r="E15001" s="930"/>
      <c r="F15001" s="415"/>
      <c r="G15001" s="415"/>
      <c r="H15001" s="416"/>
    </row>
    <row r="15002" spans="1:8" ht="15.75" customHeight="1" x14ac:dyDescent="0.25">
      <c r="A15002" s="412">
        <v>5</v>
      </c>
      <c r="B15002" s="1118" t="s">
        <v>300</v>
      </c>
      <c r="C15002" s="993" t="s">
        <v>457</v>
      </c>
      <c r="D15002" s="929">
        <v>2</v>
      </c>
      <c r="E15002" s="930">
        <v>450</v>
      </c>
      <c r="F15002" s="415">
        <f t="shared" ref="F15002:F15003" si="625">+E15002</f>
      </c>
      <c r="G15002" s="415">
        <v>1</v>
      </c>
      <c r="H15002" s="416">
        <f>+G15002*F15002</f>
      </c>
    </row>
    <row r="15003" spans="1:8" ht="15.75" customHeight="1" x14ac:dyDescent="0.25">
      <c r="A15003" s="412">
        <v>6</v>
      </c>
      <c r="B15003" s="1118" t="s">
        <v>300</v>
      </c>
      <c r="C15003" s="993" t="s">
        <v>457</v>
      </c>
      <c r="D15003" s="1146"/>
      <c r="E15003" s="930">
        <v>50</v>
      </c>
      <c r="F15003" s="415">
        <f t="shared" si="625"/>
      </c>
      <c r="G15003" s="619" t="s">
        <v>1856</v>
      </c>
      <c r="H15003" s="416"/>
    </row>
    <row r="15004" spans="1:8" ht="15.75" customHeight="1" x14ac:dyDescent="0.25">
      <c r="A15004" s="412"/>
      <c r="B15004" s="953" t="s">
        <v>2203</v>
      </c>
      <c r="C15004" s="953"/>
      <c r="D15004" s="626"/>
      <c r="E15004" s="930"/>
      <c r="F15004" s="415"/>
      <c r="G15004" s="415"/>
      <c r="H15004" s="416"/>
    </row>
    <row r="15005" spans="1:8" ht="15.75" customHeight="1" x14ac:dyDescent="0.25">
      <c r="A15005" s="412">
        <v>7</v>
      </c>
      <c r="B15005" s="585" t="s">
        <v>262</v>
      </c>
      <c r="C15005" s="993"/>
      <c r="D15005" s="626">
        <v>2</v>
      </c>
      <c r="E15005" s="930">
        <v>25</v>
      </c>
      <c r="F15005" s="415">
        <f>+E15005*D15005</f>
      </c>
      <c r="G15005" s="415">
        <v>1</v>
      </c>
      <c r="H15005" s="416">
        <f>+G15005*F15005</f>
      </c>
    </row>
    <row r="15006" spans="1:8" ht="15.75" customHeight="1" x14ac:dyDescent="0.25">
      <c r="A15006" s="412"/>
      <c r="B15006" s="585"/>
      <c r="C15006" s="993"/>
      <c r="D15006" s="626"/>
      <c r="E15006" s="930"/>
      <c r="F15006" s="415"/>
      <c r="G15006" s="415"/>
      <c r="H15006" s="416"/>
    </row>
    <row r="15007" spans="1:8" ht="15.75" customHeight="1" x14ac:dyDescent="0.25">
      <c r="A15007" s="412"/>
      <c r="B15007" s="585"/>
      <c r="C15007" s="993"/>
      <c r="D15007" s="626"/>
      <c r="E15007" s="930"/>
      <c r="F15007" s="415"/>
      <c r="G15007" s="415"/>
      <c r="H15007" s="416"/>
    </row>
    <row r="15008" spans="1:8" ht="15.75" customHeight="1" x14ac:dyDescent="0.25">
      <c r="A15008" s="412"/>
      <c r="B15008" s="913"/>
      <c r="C15008" s="993"/>
      <c r="D15008" s="626"/>
      <c r="E15008" s="930"/>
      <c r="F15008" s="415"/>
      <c r="G15008" s="415"/>
      <c r="H15008" s="416"/>
    </row>
    <row r="15009" spans="1:14" ht="15.75" customHeight="1" x14ac:dyDescent="0.25">
      <c r="A15009" s="412"/>
      <c r="B15009" s="1127"/>
      <c r="C15009" s="993"/>
      <c r="D15009" s="626"/>
      <c r="E15009" s="626"/>
      <c r="F15009" s="415"/>
      <c r="G15009" s="415"/>
      <c r="H15009" s="416"/>
    </row>
    <row r="15010" spans="1:14" ht="15.75" customHeight="1" x14ac:dyDescent="0.25">
      <c r="A15010" s="877"/>
      <c r="B15010" s="688"/>
      <c r="C15010" s="896" t="s">
        <v>85</v>
      </c>
      <c r="D15010" s="599"/>
      <c r="E15010" s="401"/>
      <c r="F15010" s="599"/>
      <c r="G15010" s="661"/>
      <c r="H15010" s="438">
        <f>SUM(H14997:H15009)</f>
      </c>
    </row>
    <row r="15011" spans="1:14" ht="15.75" customHeight="1" x14ac:dyDescent="0.25">
      <c r="A15011" s="932"/>
      <c r="B15011" s="933"/>
      <c r="C15011" s="934"/>
      <c r="D15011" s="431"/>
      <c r="E15011" s="935"/>
      <c r="F15011" s="935"/>
      <c r="G15011" s="936"/>
      <c r="H15011" s="444"/>
    </row>
    <row r="15012" spans="1:14" ht="15.75" customHeight="1" x14ac:dyDescent="0.25">
      <c r="A15012" s="994" t="s">
        <v>913</v>
      </c>
      <c r="B15012" s="391"/>
      <c r="C15012" s="391"/>
      <c r="D15012" s="391"/>
      <c r="E15012" s="390"/>
      <c r="F15012" s="392"/>
      <c r="G15012" s="390"/>
      <c r="H15012" s="394"/>
    </row>
    <row r="15013" spans="1:14" ht="15.75" customHeight="1" x14ac:dyDescent="0.25">
      <c r="A15013" s="445"/>
      <c r="B15013" s="445"/>
      <c r="C15013" s="445"/>
      <c r="D15013" s="446" t="s">
        <v>97</v>
      </c>
      <c r="E15013" s="445" t="s">
        <v>98</v>
      </c>
      <c r="F15013" s="445"/>
      <c r="G15013" s="390"/>
      <c r="H15013" s="394"/>
    </row>
    <row r="15014" spans="1:14" ht="15.75" customHeight="1" x14ac:dyDescent="0.25">
      <c r="A15014" s="445"/>
      <c r="B15014" s="445"/>
      <c r="C15014" s="445"/>
      <c r="D15014" s="446"/>
      <c r="E15014" s="445"/>
      <c r="F15014" s="445"/>
      <c r="G15014" s="390"/>
      <c r="H15014" s="394"/>
    </row>
    <row r="15015" spans="1:14" ht="15.75" customHeight="1" x14ac:dyDescent="0.25">
      <c r="A15015" s="445"/>
      <c r="B15015" s="445"/>
      <c r="C15015" s="445"/>
      <c r="D15015" s="446"/>
      <c r="E15015" s="445"/>
      <c r="F15015" s="445"/>
      <c r="G15015" s="390"/>
      <c r="H15015" s="394"/>
    </row>
    <row r="15016" spans="1:14" ht="15.75" customHeight="1" x14ac:dyDescent="0.25">
      <c r="A15016" s="445"/>
      <c r="B15016" s="445"/>
      <c r="C15016" s="445"/>
      <c r="D15016" s="446"/>
      <c r="E15016" s="445" t="s">
        <v>99</v>
      </c>
      <c r="F15016" s="445"/>
      <c r="G15016" s="390"/>
      <c r="H15016" s="394"/>
    </row>
    <row r="15017" spans="1:14" ht="15.75" customHeight="1" x14ac:dyDescent="0.25">
      <c r="A15017" s="445"/>
      <c r="B15017" s="445"/>
      <c r="C15017" s="445"/>
      <c r="D15017" s="446"/>
      <c r="E15017" s="445"/>
      <c r="F15017" s="445"/>
      <c r="G15017" s="390"/>
      <c r="H15017" s="394"/>
    </row>
    <row r="15018" spans="1:14" ht="15.75" customHeight="1" x14ac:dyDescent="0.25">
      <c r="A15018" s="445"/>
      <c r="B15018" s="445"/>
      <c r="C15018" s="445"/>
      <c r="D15018" s="446"/>
      <c r="E15018" s="445"/>
      <c r="F15018" s="445"/>
      <c r="G15018" s="390"/>
      <c r="H15018" s="394"/>
    </row>
    <row r="15019" spans="1:14" ht="15.75" customHeight="1" x14ac:dyDescent="0.25">
      <c r="A15019" s="445"/>
      <c r="B15019" s="445"/>
      <c r="C15019" s="445"/>
      <c r="D15019" s="446"/>
      <c r="E15019" s="445"/>
      <c r="F15019" s="445"/>
      <c r="G15019" s="390"/>
      <c r="H15019" s="394"/>
    </row>
    <row r="15020" spans="1:14" ht="15.75" customHeight="1" x14ac:dyDescent="0.25">
      <c r="A15020" s="445"/>
      <c r="B15020" s="445"/>
      <c r="C15020" s="445"/>
      <c r="D15020" s="446"/>
      <c r="E15020" s="445"/>
      <c r="F15020" s="445"/>
      <c r="G15020" s="390"/>
      <c r="H15020" s="394"/>
      <c r="K15020" s="626"/>
      <c r="L15020" s="930"/>
      <c r="M15020" s="415"/>
      <c r="N15020" s="415"/>
    </row>
    <row r="15021" spans="1:14" ht="15.75" customHeight="1" x14ac:dyDescent="0.25">
      <c r="A15021" s="445"/>
      <c r="B15021" s="445"/>
      <c r="C15021" s="445"/>
      <c r="D15021" s="446"/>
      <c r="E15021" s="445"/>
      <c r="F15021" s="445"/>
      <c r="G15021" s="390"/>
      <c r="H15021" s="394"/>
      <c r="K15021" s="1323">
        <v>1</v>
      </c>
      <c r="L15021" s="930">
        <v>45</v>
      </c>
      <c r="M15021" s="415">
        <f>+L15021*K15021</f>
      </c>
      <c r="N15021" s="415"/>
    </row>
    <row r="15022" spans="1:14" ht="15.75" customHeight="1" x14ac:dyDescent="0.25">
      <c r="A15022" s="445"/>
      <c r="B15022" s="445"/>
      <c r="C15022" s="445"/>
      <c r="D15022" s="446"/>
      <c r="E15022" s="445"/>
      <c r="F15022" s="445"/>
      <c r="G15022" s="390"/>
      <c r="H15022" s="394"/>
      <c r="K15022" s="1324"/>
      <c r="L15022" s="930">
        <v>75</v>
      </c>
      <c r="M15022" s="415">
        <f>+L15022</f>
      </c>
      <c r="N15022" s="415"/>
    </row>
    <row r="15023" spans="1:14" ht="15.75" customHeight="1" x14ac:dyDescent="0.25">
      <c r="D15023" s="4"/>
      <c r="H15023" s="4"/>
      <c r="K15023" s="1324"/>
      <c r="L15023" s="930"/>
      <c r="M15023" s="415"/>
      <c r="N15023" s="415"/>
    </row>
    <row r="15024" spans="1:14" ht="15.75" customHeight="1" x14ac:dyDescent="0.25">
      <c r="D15024" s="4"/>
      <c r="H15024" s="4"/>
      <c r="K15024" s="1324"/>
      <c r="L15024" s="930"/>
      <c r="M15024" s="415"/>
      <c r="N15024" s="415"/>
    </row>
    <row r="15025" spans="1:14" ht="15.75" customHeight="1" x14ac:dyDescent="0.25">
      <c r="D15025" s="4"/>
      <c r="H15025" s="4"/>
      <c r="K15025" s="1324"/>
      <c r="L15025" s="930"/>
      <c r="M15025" s="415"/>
      <c r="N15025" s="415"/>
    </row>
    <row r="15026" spans="1:14" ht="15.75" customHeight="1" x14ac:dyDescent="0.25">
      <c r="D15026" s="4"/>
      <c r="H15026" s="4"/>
      <c r="K15026" s="1324"/>
      <c r="L15026" s="930"/>
      <c r="M15026" s="415"/>
      <c r="N15026" s="415"/>
    </row>
    <row r="15027" spans="1:14" ht="15.75" customHeight="1" x14ac:dyDescent="0.25">
      <c r="D15027" s="4"/>
      <c r="H15027" s="4"/>
      <c r="K15027" s="1324"/>
      <c r="L15027" s="930"/>
      <c r="M15027" s="415"/>
      <c r="N15027" s="415"/>
    </row>
    <row r="15028" spans="1:14" ht="15.75" customHeight="1" x14ac:dyDescent="0.25">
      <c r="D15028" s="4"/>
      <c r="H15028" s="4"/>
      <c r="K15028" s="1324"/>
      <c r="L15028" s="930"/>
      <c r="M15028" s="415"/>
      <c r="N15028" s="415"/>
    </row>
    <row r="15029" spans="1:14" ht="15.75" customHeight="1" x14ac:dyDescent="0.25">
      <c r="D15029" s="4"/>
      <c r="H15029" s="4"/>
      <c r="K15029" s="1324"/>
      <c r="L15029" s="930"/>
      <c r="M15029" s="415"/>
      <c r="N15029" s="415"/>
    </row>
    <row r="15030" spans="1:14" ht="15.75" customHeight="1" x14ac:dyDescent="0.25">
      <c r="D15030" s="4"/>
      <c r="H15030" s="4"/>
      <c r="K15030" s="1324"/>
      <c r="L15030" s="930"/>
      <c r="M15030" s="415"/>
      <c r="N15030" s="415"/>
    </row>
    <row r="15031" spans="1:14" ht="15.75" customHeight="1" x14ac:dyDescent="0.25">
      <c r="D15031" s="4"/>
      <c r="H15031" s="4"/>
      <c r="K15031" s="1325"/>
      <c r="L15031" s="930">
        <v>100</v>
      </c>
      <c r="M15031" s="415">
        <f t="shared" ref="M15031:M15032" si="626">+L15031</f>
      </c>
      <c r="N15031" s="415"/>
    </row>
    <row r="15032" spans="1:14" ht="15.75" customHeight="1" x14ac:dyDescent="0.25">
      <c r="A15032" s="8" t="s">
        <v>14</v>
      </c>
      <c r="B15032" s="8"/>
      <c r="C15032" s="8"/>
      <c r="D15032" s="8"/>
      <c r="E15032" s="8"/>
      <c r="F15032" s="8"/>
      <c r="G15032" s="8"/>
      <c r="H15032" s="8"/>
      <c r="K15032" s="930"/>
      <c r="L15032" s="930">
        <v>15</v>
      </c>
      <c r="M15032" s="415">
        <f t="shared" si="626"/>
      </c>
      <c r="N15032" s="619" t="s">
        <v>1856</v>
      </c>
    </row>
    <row r="15033" spans="1:14" ht="15.75" customHeight="1" x14ac:dyDescent="0.25">
      <c r="A15033" s="388"/>
      <c r="B15033" s="388"/>
      <c r="C15033" s="388"/>
      <c r="D15033" s="389"/>
      <c r="E15033" s="388"/>
      <c r="F15033" s="388"/>
      <c r="G15033" s="388"/>
      <c r="H15033" s="8"/>
      <c r="K15033" s="626"/>
      <c r="L15033" s="930"/>
      <c r="M15033" s="415"/>
      <c r="N15033" s="415"/>
    </row>
    <row r="15034" spans="1:14" ht="15.75" customHeight="1" x14ac:dyDescent="0.25">
      <c r="A15034" s="390"/>
      <c r="B15034" s="390"/>
      <c r="C15034" s="390"/>
      <c r="D15034" s="391"/>
      <c r="E15034" s="390"/>
      <c r="F15034" s="395" t="s">
        <v>18</v>
      </c>
      <c r="G15034" s="396" t="s">
        <v>1261</v>
      </c>
      <c r="H15034" s="397"/>
      <c r="K15034" s="1326">
        <v>4</v>
      </c>
      <c r="L15034" s="1323">
        <v>25</v>
      </c>
      <c r="M15034" s="415">
        <v>96</v>
      </c>
      <c r="N15034" s="415"/>
    </row>
    <row r="15035" spans="1:14" ht="15.75" customHeight="1" x14ac:dyDescent="0.25">
      <c r="A15035" s="390" t="s">
        <v>20</v>
      </c>
      <c r="B15035" s="390"/>
      <c r="C15035" s="390"/>
      <c r="D15035" s="391"/>
      <c r="E15035" s="390"/>
      <c r="F15035" s="395" t="s">
        <v>21</v>
      </c>
      <c r="G15035" s="390" t="s">
        <v>2042</v>
      </c>
      <c r="H15035" s="391"/>
      <c r="K15035" s="1325"/>
      <c r="L15035" s="1325"/>
      <c r="M15035" s="415">
        <v>4</v>
      </c>
      <c r="N15035" s="619" t="s">
        <v>1856</v>
      </c>
    </row>
    <row r="15036" spans="1:14" ht="15.75" customHeight="1" x14ac:dyDescent="0.25">
      <c r="A15036" s="390" t="inlineStr">
        <is>
          <t>Dealer-013</t>
        </is>
      </c>
      <c r="B15036" s="390"/>
      <c r="C15036" s="390" t="inlineStr">
        <is>
          <t>ATTN: Contact-003</t>
        </is>
      </c>
      <c r="D15036" s="398"/>
      <c r="E15036" s="390"/>
      <c r="F15036" s="391"/>
      <c r="G15036" s="390"/>
      <c r="H15036" s="394"/>
      <c r="K15036" s="1326">
        <v>4</v>
      </c>
      <c r="L15036" s="1323">
        <v>25</v>
      </c>
      <c r="M15036" s="415">
        <v>96</v>
      </c>
      <c r="N15036" s="415"/>
    </row>
    <row r="15037" spans="1:14" ht="15.75" customHeight="1" x14ac:dyDescent="0.25">
      <c r="A15037" s="390" t="inlineStr">
        <is>
          <t>Address line (redacted)</t>
        </is>
      </c>
      <c r="B15037" s="390"/>
      <c r="C15037" s="390"/>
      <c r="D15037" s="398"/>
      <c r="E15037" s="390"/>
      <c r="F15037" s="391"/>
      <c r="G15037" s="390"/>
      <c r="H15037" s="394"/>
      <c r="K15037" s="1325"/>
      <c r="L15037" s="1325"/>
      <c r="M15037" s="415">
        <v>4</v>
      </c>
      <c r="N15037" s="619" t="s">
        <v>1856</v>
      </c>
    </row>
    <row r="15038" spans="1:14" ht="15.75" customHeight="1" x14ac:dyDescent="0.25">
      <c r="A15038" s="390" t="inlineStr">
        <is>
          <t>Address line (redacted)</t>
        </is>
      </c>
      <c r="B15038" s="390"/>
      <c r="C15038" s="390"/>
      <c r="D15038" s="391"/>
      <c r="E15038" s="390"/>
      <c r="F15038" s="391"/>
      <c r="G15038" s="390"/>
      <c r="H15038" s="394"/>
    </row>
    <row r="15039" spans="1:14" ht="15.75" customHeight="1" x14ac:dyDescent="0.25">
      <c r="A15039" s="390"/>
      <c r="B15039" s="390"/>
      <c r="C15039" s="390"/>
      <c r="D15039" s="391"/>
      <c r="E15039" s="390"/>
      <c r="F15039" s="391"/>
      <c r="G15039" s="390"/>
      <c r="H15039" s="394"/>
    </row>
    <row r="15040" spans="1:14" ht="15.75" customHeight="1" x14ac:dyDescent="0.25">
      <c r="A15040" s="390" t="s">
        <v>30</v>
      </c>
      <c r="B15040" s="390"/>
      <c r="C15040" s="390"/>
      <c r="D15040" s="391"/>
      <c r="E15040" s="390"/>
      <c r="F15040" s="391"/>
      <c r="G15040" s="390"/>
      <c r="H15040" s="394"/>
    </row>
    <row r="15041" spans="1:8" ht="15.75" customHeight="1" x14ac:dyDescent="0.25">
      <c r="A15041" s="390"/>
      <c r="B15041" s="390"/>
      <c r="C15041" s="390"/>
      <c r="D15041" s="391"/>
      <c r="E15041" s="390"/>
      <c r="F15041" s="391"/>
      <c r="G15041" s="390"/>
      <c r="H15041" s="394"/>
    </row>
    <row r="15042" spans="1:8" ht="15.75" customHeight="1" x14ac:dyDescent="0.25">
      <c r="A15042" s="390" t="s">
        <v>716</v>
      </c>
      <c r="B15042" s="390"/>
      <c r="C15042" s="390"/>
      <c r="D15042" s="391"/>
      <c r="E15042" s="390"/>
      <c r="F15042" s="391"/>
      <c r="G15042" s="390"/>
      <c r="H15042" s="394"/>
    </row>
    <row r="15043" spans="1:8" ht="15.75" customHeight="1" x14ac:dyDescent="0.25">
      <c r="A15043" s="390" t="s">
        <v>717</v>
      </c>
      <c r="B15043" s="390"/>
      <c r="C15043" s="390"/>
      <c r="D15043" s="391"/>
      <c r="E15043" s="390"/>
      <c r="F15043" s="391"/>
      <c r="G15043" s="390"/>
      <c r="H15043" s="394"/>
    </row>
    <row r="15044" spans="1:8" ht="15.75" customHeight="1" x14ac:dyDescent="0.25">
      <c r="A15044" s="390"/>
      <c r="B15044" s="390"/>
      <c r="C15044" s="390"/>
      <c r="D15044" s="391"/>
      <c r="E15044" s="390"/>
      <c r="F15044" s="391"/>
      <c r="G15044" s="390"/>
      <c r="H15044" s="394"/>
    </row>
    <row r="15045" spans="1:8" ht="15.75" customHeight="1" x14ac:dyDescent="0.25">
      <c r="A15045" s="948" t="s">
        <v>33</v>
      </c>
      <c r="B15045" s="872" t="s">
        <v>6</v>
      </c>
      <c r="C15045" s="872"/>
      <c r="D15045" s="874" t="s">
        <v>37</v>
      </c>
      <c r="E15045" s="874" t="s">
        <v>38</v>
      </c>
      <c r="F15045" s="875" t="s">
        <v>7</v>
      </c>
      <c r="G15045" s="872" t="s">
        <v>43</v>
      </c>
      <c r="H15045" s="876" t="s">
        <v>44</v>
      </c>
    </row>
    <row r="15046" spans="1:8" ht="15.75" customHeight="1" x14ac:dyDescent="0.3">
      <c r="A15046" s="412"/>
      <c r="B15046" s="1033"/>
      <c r="C15046" s="1033"/>
      <c r="D15046" s="879"/>
      <c r="E15046" s="879"/>
      <c r="F15046" s="415"/>
      <c r="G15046" s="415"/>
      <c r="H15046" s="416"/>
    </row>
    <row r="15047" spans="1:8" ht="15.75" customHeight="1" x14ac:dyDescent="0.25">
      <c r="A15047" s="412"/>
      <c r="B15047" s="953" t="s">
        <v>1356</v>
      </c>
      <c r="C15047" s="953"/>
      <c r="D15047" s="626"/>
      <c r="E15047" s="930"/>
      <c r="F15047" s="415"/>
      <c r="G15047" s="415"/>
      <c r="H15047" s="416"/>
    </row>
    <row r="15048" spans="1:8" ht="15.75" customHeight="1" x14ac:dyDescent="0.25">
      <c r="A15048" s="412">
        <v>1</v>
      </c>
      <c r="B15048" s="1118" t="s">
        <v>105</v>
      </c>
      <c r="C15048" s="1127" t="s">
        <v>96</v>
      </c>
      <c r="D15048" s="626">
        <v>4</v>
      </c>
      <c r="E15048" s="930">
        <v>5</v>
      </c>
      <c r="F15048" s="842">
        <f>+E15048*D15048</f>
      </c>
      <c r="G15048" s="415">
        <v>1</v>
      </c>
      <c r="H15048" s="416">
        <f>+G15048*F15048</f>
      </c>
    </row>
    <row r="15049" spans="1:8" ht="15.75" customHeight="1" x14ac:dyDescent="0.25">
      <c r="A15049" s="412"/>
      <c r="B15049" s="585"/>
      <c r="C15049" s="993"/>
      <c r="D15049" s="626"/>
      <c r="E15049" s="930"/>
      <c r="F15049" s="842"/>
      <c r="G15049" s="415"/>
      <c r="H15049" s="416"/>
    </row>
    <row r="15050" spans="1:8" ht="15.75" customHeight="1" x14ac:dyDescent="0.25">
      <c r="A15050" s="412"/>
      <c r="B15050" s="913"/>
      <c r="C15050" s="1127"/>
      <c r="D15050" s="626"/>
      <c r="E15050" s="930"/>
      <c r="F15050" s="842"/>
      <c r="G15050" s="415"/>
      <c r="H15050" s="416"/>
    </row>
    <row r="15051" spans="1:8" ht="15.75" customHeight="1" x14ac:dyDescent="0.25">
      <c r="A15051" s="412"/>
      <c r="B15051" s="913"/>
      <c r="C15051" s="1127"/>
      <c r="D15051" s="626"/>
      <c r="E15051" s="930"/>
      <c r="F15051" s="842"/>
      <c r="G15051" s="415"/>
      <c r="H15051" s="416"/>
    </row>
    <row r="15052" spans="1:8" ht="15.75" customHeight="1" x14ac:dyDescent="0.25">
      <c r="A15052" s="412"/>
      <c r="B15052" s="913"/>
      <c r="C15052" s="1127"/>
      <c r="D15052" s="626"/>
      <c r="E15052" s="930"/>
      <c r="F15052" s="415"/>
      <c r="G15052" s="578"/>
      <c r="H15052" s="416"/>
    </row>
    <row r="15053" spans="1:8" ht="15.75" customHeight="1" x14ac:dyDescent="0.25">
      <c r="A15053" s="412"/>
      <c r="B15053" s="913"/>
      <c r="C15053" s="1127"/>
      <c r="D15053" s="626"/>
      <c r="E15053" s="930"/>
      <c r="F15053" s="415"/>
      <c r="G15053" s="578"/>
      <c r="H15053" s="416"/>
    </row>
    <row r="15054" spans="1:8" ht="15.75" customHeight="1" x14ac:dyDescent="0.25">
      <c r="A15054" s="412"/>
      <c r="B15054" s="913"/>
      <c r="C15054" s="1127"/>
      <c r="D15054" s="626"/>
      <c r="E15054" s="930"/>
      <c r="F15054" s="415"/>
      <c r="G15054" s="578"/>
      <c r="H15054" s="416"/>
    </row>
    <row r="15055" spans="1:8" ht="15.75" customHeight="1" x14ac:dyDescent="0.25">
      <c r="A15055" s="412"/>
      <c r="B15055" s="1127"/>
      <c r="C15055" s="993"/>
      <c r="D15055" s="626"/>
      <c r="E15055" s="626"/>
      <c r="F15055" s="415"/>
      <c r="G15055" s="415"/>
      <c r="H15055" s="416"/>
    </row>
    <row r="15056" spans="1:8" ht="15.75" customHeight="1" x14ac:dyDescent="0.25">
      <c r="A15056" s="877"/>
      <c r="B15056" s="688"/>
      <c r="C15056" s="896" t="s">
        <v>85</v>
      </c>
      <c r="D15056" s="401">
        <f>SUM(D15048:D15055)</f>
      </c>
      <c r="E15056" s="401"/>
      <c r="F15056" s="401">
        <f>SUM(F15048:F15055)</f>
      </c>
      <c r="G15056" s="661"/>
      <c r="H15056" s="623">
        <f>SUM(H15048:H15055)</f>
      </c>
    </row>
    <row r="15057" spans="1:8" ht="15.75" customHeight="1" x14ac:dyDescent="0.25">
      <c r="A15057" s="932"/>
      <c r="B15057" s="933"/>
      <c r="C15057" s="934"/>
      <c r="D15057" s="431"/>
      <c r="E15057" s="935"/>
      <c r="F15057" s="935"/>
      <c r="G15057" s="936"/>
      <c r="H15057" s="444"/>
    </row>
    <row r="15058" spans="1:8" ht="15.75" customHeight="1" x14ac:dyDescent="0.25">
      <c r="A15058" s="994"/>
      <c r="B15058" s="391"/>
      <c r="C15058" s="391"/>
      <c r="D15058" s="391"/>
      <c r="E15058" s="390"/>
      <c r="F15058" s="392"/>
      <c r="G15058" s="390"/>
      <c r="H15058" s="394"/>
    </row>
    <row r="15059" spans="1:8" ht="15.75" customHeight="1" x14ac:dyDescent="0.25">
      <c r="A15059" s="445"/>
      <c r="B15059" s="445"/>
      <c r="C15059" s="445"/>
      <c r="D15059" s="446" t="s">
        <v>97</v>
      </c>
      <c r="E15059" s="445" t="s">
        <v>98</v>
      </c>
      <c r="F15059" s="445"/>
      <c r="G15059" s="390"/>
      <c r="H15059" s="394"/>
    </row>
    <row r="15060" spans="1:8" ht="15.75" customHeight="1" x14ac:dyDescent="0.25">
      <c r="A15060" s="445"/>
      <c r="B15060" s="445"/>
      <c r="C15060" s="445"/>
      <c r="D15060" s="446"/>
      <c r="E15060" s="445"/>
      <c r="F15060" s="445"/>
      <c r="G15060" s="390"/>
      <c r="H15060" s="394"/>
    </row>
    <row r="15061" spans="1:8" ht="15.75" customHeight="1" x14ac:dyDescent="0.25">
      <c r="A15061" s="445"/>
      <c r="B15061" s="445"/>
      <c r="C15061" s="445"/>
      <c r="D15061" s="446"/>
      <c r="E15061" s="445" t="s">
        <v>99</v>
      </c>
      <c r="F15061" s="445"/>
      <c r="G15061" s="390"/>
      <c r="H15061" s="394"/>
    </row>
    <row r="15062" spans="1:8" ht="15.75" customHeight="1" x14ac:dyDescent="0.25">
      <c r="D15062" s="4"/>
      <c r="H15062" s="4"/>
    </row>
    <row r="15063" spans="1:8" ht="15.75" customHeight="1" x14ac:dyDescent="0.25">
      <c r="D15063" s="4"/>
      <c r="H15063" s="4"/>
    </row>
    <row r="15064" spans="1:8" ht="15.75" customHeight="1" x14ac:dyDescent="0.25">
      <c r="D15064" s="4"/>
      <c r="H15064" s="4"/>
    </row>
    <row r="15065" spans="1:8" ht="15.75" customHeight="1" x14ac:dyDescent="0.25">
      <c r="D15065" s="4"/>
      <c r="H15065" s="4"/>
    </row>
    <row r="15066" spans="1:8" ht="15.75" customHeight="1" x14ac:dyDescent="0.25">
      <c r="D15066" s="4"/>
      <c r="H15066" s="4"/>
    </row>
    <row r="15067" spans="1:8" ht="15.75" customHeight="1" x14ac:dyDescent="0.25">
      <c r="D15067" s="4"/>
      <c r="H15067" s="4"/>
    </row>
    <row r="15068" spans="1:8" ht="15.75" customHeight="1" x14ac:dyDescent="0.25">
      <c r="D15068" s="4"/>
      <c r="H15068" s="4"/>
    </row>
    <row r="15069" spans="1:8" ht="15.75" customHeight="1" x14ac:dyDescent="0.25">
      <c r="D15069" s="4"/>
      <c r="H15069" s="4"/>
    </row>
    <row r="15070" spans="1:8" ht="15.75" customHeight="1" x14ac:dyDescent="0.25">
      <c r="D15070" s="4"/>
      <c r="H15070" s="4"/>
    </row>
    <row r="15071" spans="1:8" ht="15.75" customHeight="1" x14ac:dyDescent="0.25">
      <c r="D15071" s="4"/>
      <c r="H15071" s="4"/>
    </row>
    <row r="15072" spans="1:8" ht="15.75" customHeight="1" x14ac:dyDescent="0.25">
      <c r="D15072" s="4"/>
      <c r="H15072" s="4"/>
    </row>
    <row r="15073" spans="1:8" ht="15.75" customHeight="1" x14ac:dyDescent="0.25">
      <c r="D15073" s="4"/>
      <c r="H15073" s="4"/>
    </row>
    <row r="15074" spans="1:8" ht="15.75" customHeight="1" x14ac:dyDescent="0.25">
      <c r="D15074" s="4"/>
      <c r="H15074" s="4"/>
    </row>
    <row r="15075" spans="1:8" ht="15.75" customHeight="1" x14ac:dyDescent="0.25">
      <c r="D15075" s="4"/>
      <c r="H15075" s="4"/>
    </row>
    <row r="15076" spans="1:8" ht="15.75" customHeight="1" x14ac:dyDescent="0.25">
      <c r="D15076" s="4"/>
      <c r="H15076" s="4"/>
    </row>
    <row r="15077" spans="1:8" ht="15.75" customHeight="1" x14ac:dyDescent="0.25">
      <c r="D15077" s="4"/>
      <c r="H15077" s="4"/>
    </row>
    <row r="15078" spans="1:8" ht="15.75" customHeight="1" x14ac:dyDescent="0.25">
      <c r="A15078" s="8" t="s">
        <v>14</v>
      </c>
      <c r="B15078" s="8"/>
      <c r="C15078" s="8"/>
      <c r="D15078" s="8"/>
      <c r="E15078" s="8"/>
      <c r="F15078" s="8"/>
      <c r="G15078" s="8"/>
      <c r="H15078" s="8"/>
    </row>
    <row r="15079" spans="1:8" ht="15.75" customHeight="1" x14ac:dyDescent="0.25">
      <c r="A15079" s="388"/>
      <c r="B15079" s="388"/>
      <c r="C15079" s="388"/>
      <c r="D15079" s="389"/>
      <c r="E15079" s="388"/>
      <c r="F15079" s="388"/>
      <c r="G15079" s="388"/>
      <c r="H15079" s="8"/>
    </row>
    <row r="15080" spans="1:8" ht="15.75" customHeight="1" x14ac:dyDescent="0.25">
      <c r="A15080" s="390"/>
      <c r="B15080" s="390"/>
      <c r="C15080" s="390"/>
      <c r="D15080" s="391"/>
      <c r="E15080" s="390"/>
      <c r="F15080" s="395" t="s">
        <v>18</v>
      </c>
      <c r="G15080" s="396" t="s">
        <v>1261</v>
      </c>
      <c r="H15080" s="397"/>
    </row>
    <row r="15081" spans="1:8" ht="15.75" customHeight="1" x14ac:dyDescent="0.25">
      <c r="A15081" s="390" t="s">
        <v>20</v>
      </c>
      <c r="B15081" s="390"/>
      <c r="D15081" s="391"/>
      <c r="E15081" s="390"/>
      <c r="F15081" s="395" t="s">
        <v>21</v>
      </c>
      <c r="G15081" s="390" t="s">
        <v>2179</v>
      </c>
      <c r="H15081" s="391"/>
    </row>
    <row r="15082" spans="1:8" ht="15.75" customHeight="1" x14ac:dyDescent="0.25">
      <c r="A15082" s="390" t="inlineStr">
        <is>
          <t>Dealer-025</t>
        </is>
      </c>
      <c r="B15082" s="390"/>
      <c r="C15082" s="398" t="inlineStr">
        <is>
          <t>Contact-009</t>
        </is>
      </c>
      <c r="D15082" s="398"/>
      <c r="E15082" s="390"/>
      <c r="F15082" s="391"/>
      <c r="G15082" s="390"/>
      <c r="H15082" s="394"/>
    </row>
    <row r="15083" spans="1:8" ht="15.75" customHeight="1" x14ac:dyDescent="0.25">
      <c r="A15083" s="390" t="inlineStr">
        <is>
          <t>Address line (redacted)</t>
        </is>
      </c>
      <c r="B15083" s="390"/>
      <c r="C15083" s="390"/>
      <c r="D15083" s="398"/>
      <c r="E15083" s="390"/>
      <c r="F15083" s="391"/>
      <c r="G15083" s="390"/>
      <c r="H15083" s="394"/>
    </row>
    <row r="15084" spans="1:8" ht="15.75" customHeight="1" x14ac:dyDescent="0.25">
      <c r="A15084" s="390" t="inlineStr">
        <is>
          <t>Address line (redacted)</t>
        </is>
      </c>
      <c r="B15084" s="390"/>
      <c r="C15084" s="390"/>
      <c r="D15084" s="391"/>
      <c r="E15084" s="390"/>
      <c r="F15084" s="391"/>
      <c r="G15084" s="390"/>
      <c r="H15084" s="394"/>
    </row>
    <row r="15085" spans="1:8" ht="15.75" customHeight="1" x14ac:dyDescent="0.25">
      <c r="A15085" s="390"/>
      <c r="B15085" s="390"/>
      <c r="C15085" s="390"/>
      <c r="D15085" s="391"/>
      <c r="E15085" s="390"/>
      <c r="F15085" s="391"/>
      <c r="G15085" s="390"/>
      <c r="H15085" s="394"/>
    </row>
    <row r="15086" spans="1:8" ht="15.75" customHeight="1" x14ac:dyDescent="0.25">
      <c r="A15086" s="390" t="s">
        <v>30</v>
      </c>
      <c r="B15086" s="390"/>
      <c r="C15086" s="390"/>
      <c r="D15086" s="391"/>
      <c r="E15086" s="390"/>
      <c r="F15086" s="391"/>
      <c r="G15086" s="390"/>
      <c r="H15086" s="394"/>
    </row>
    <row r="15087" spans="1:8" ht="15.75" customHeight="1" x14ac:dyDescent="0.25">
      <c r="A15087" s="390"/>
      <c r="B15087" s="390"/>
      <c r="C15087" s="390"/>
      <c r="D15087" s="391"/>
      <c r="E15087" s="390"/>
      <c r="F15087" s="391"/>
      <c r="G15087" s="390"/>
      <c r="H15087" s="394"/>
    </row>
    <row r="15088" spans="1:8" ht="15.75" customHeight="1" x14ac:dyDescent="0.25">
      <c r="A15088" s="390" t="s">
        <v>716</v>
      </c>
      <c r="B15088" s="390"/>
      <c r="C15088" s="390"/>
      <c r="D15088" s="391"/>
      <c r="E15088" s="390"/>
      <c r="F15088" s="391"/>
      <c r="G15088" s="390"/>
      <c r="H15088" s="394"/>
    </row>
    <row r="15089" spans="1:20" ht="15.75" customHeight="1" x14ac:dyDescent="0.25">
      <c r="A15089" s="390" t="s">
        <v>717</v>
      </c>
      <c r="B15089" s="390"/>
      <c r="C15089" s="390"/>
      <c r="D15089" s="391"/>
      <c r="E15089" s="390"/>
      <c r="F15089" s="391"/>
      <c r="G15089" s="390"/>
      <c r="H15089" s="394"/>
    </row>
    <row r="15090" spans="1:20" ht="15.75" customHeight="1" x14ac:dyDescent="0.25">
      <c r="A15090" s="390"/>
      <c r="B15090" s="390"/>
      <c r="C15090" s="390"/>
      <c r="D15090" s="391"/>
      <c r="E15090" s="390"/>
      <c r="F15090" s="391"/>
      <c r="G15090" s="390"/>
      <c r="H15090" s="394"/>
    </row>
    <row r="15091" spans="1:20" ht="15.75" customHeight="1" x14ac:dyDescent="0.25">
      <c r="A15091" s="948" t="s">
        <v>33</v>
      </c>
      <c r="B15091" s="872" t="s">
        <v>6</v>
      </c>
      <c r="C15091" s="872"/>
      <c r="D15091" s="874" t="s">
        <v>37</v>
      </c>
      <c r="E15091" s="874" t="s">
        <v>38</v>
      </c>
      <c r="F15091" s="875" t="s">
        <v>7</v>
      </c>
      <c r="G15091" s="872" t="s">
        <v>43</v>
      </c>
      <c r="H15091" s="876" t="s">
        <v>44</v>
      </c>
    </row>
    <row r="15092" spans="1:20" ht="15.75" customHeight="1" x14ac:dyDescent="0.3">
      <c r="A15092" s="412"/>
      <c r="B15092" s="1033"/>
      <c r="C15092" s="1033"/>
      <c r="D15092" s="879"/>
      <c r="E15092" s="879"/>
      <c r="F15092" s="415"/>
      <c r="G15092" s="415"/>
      <c r="H15092" s="416"/>
      <c r="I15092" s="720"/>
      <c r="J15092" s="720"/>
      <c r="K15092" s="720"/>
      <c r="L15092" s="720"/>
      <c r="M15092" s="720"/>
      <c r="N15092" s="720"/>
      <c r="O15092" s="720"/>
      <c r="P15092" s="720"/>
      <c r="Q15092" s="720"/>
      <c r="R15092" s="720"/>
      <c r="S15092" s="720"/>
      <c r="T15092" s="720"/>
    </row>
    <row r="15093" spans="1:20" ht="15.75" customHeight="1" x14ac:dyDescent="0.25">
      <c r="A15093" s="985"/>
      <c r="B15093" s="953" t="s">
        <v>1356</v>
      </c>
      <c r="C15093" s="953"/>
      <c r="D15093" s="1127"/>
      <c r="E15093" s="1127"/>
      <c r="F15093" s="992"/>
      <c r="G15093" s="992"/>
      <c r="H15093" s="989"/>
      <c r="I15093" s="720"/>
      <c r="J15093" s="720"/>
      <c r="K15093" s="720"/>
      <c r="L15093" s="720"/>
      <c r="M15093" s="720"/>
      <c r="N15093" s="720"/>
      <c r="O15093" s="720"/>
      <c r="P15093" s="720"/>
      <c r="Q15093" s="720"/>
      <c r="R15093" s="720"/>
      <c r="S15093" s="720"/>
      <c r="T15093" s="720"/>
    </row>
    <row r="15094" spans="1:20" ht="15.75" customHeight="1" x14ac:dyDescent="0.25">
      <c r="A15094" s="985">
        <v>1</v>
      </c>
      <c r="B15094" s="1165" t="s">
        <v>139</v>
      </c>
      <c r="C15094" s="1127" t="s">
        <v>336</v>
      </c>
      <c r="D15094" s="1127">
        <v>2</v>
      </c>
      <c r="E15094" s="1127">
        <v>5</v>
      </c>
      <c r="F15094" s="992">
        <f>+E15094*D15094</f>
      </c>
      <c r="G15094" s="992">
        <v>1</v>
      </c>
      <c r="H15094" s="989">
        <f>+G15094*F15094</f>
      </c>
      <c r="I15094" s="720"/>
      <c r="J15094" s="720"/>
      <c r="K15094" s="720"/>
      <c r="L15094" s="720"/>
      <c r="M15094" s="720"/>
      <c r="N15094" s="720"/>
      <c r="O15094" s="720"/>
      <c r="P15094" s="720"/>
      <c r="Q15094" s="720"/>
      <c r="R15094" s="720"/>
      <c r="S15094" s="720"/>
      <c r="T15094" s="720"/>
    </row>
    <row r="15095" spans="1:20" ht="15.75" customHeight="1" x14ac:dyDescent="0.25">
      <c r="A15095" s="985"/>
      <c r="B15095" s="953" t="s">
        <v>590</v>
      </c>
      <c r="C15095" s="953"/>
      <c r="D15095" s="1127"/>
      <c r="E15095" s="1127"/>
      <c r="F15095" s="992"/>
      <c r="G15095" s="992"/>
      <c r="H15095" s="989"/>
      <c r="I15095" s="720"/>
      <c r="J15095" s="720"/>
      <c r="K15095" s="720"/>
      <c r="L15095" s="720"/>
      <c r="M15095" s="720"/>
      <c r="N15095" s="720"/>
      <c r="O15095" s="720"/>
      <c r="P15095" s="720"/>
      <c r="Q15095" s="720"/>
      <c r="R15095" s="720"/>
      <c r="S15095" s="720"/>
      <c r="T15095" s="720"/>
    </row>
    <row r="15096" spans="1:20" ht="15.75" customHeight="1" x14ac:dyDescent="0.25">
      <c r="A15096" s="985">
        <v>2</v>
      </c>
      <c r="B15096" s="1165" t="s">
        <v>187</v>
      </c>
      <c r="C15096" s="1127"/>
      <c r="D15096" s="1127">
        <v>5</v>
      </c>
      <c r="E15096" s="1127">
        <v>8</v>
      </c>
      <c r="F15096" s="992">
        <f t="shared" ref="F15096:F15098" si="627">+E15096*D15096</f>
      </c>
      <c r="G15096" s="992">
        <v>1</v>
      </c>
      <c r="H15096" s="989">
        <f t="shared" ref="H15096:H15098" si="628">+G15096*F15096</f>
      </c>
      <c r="I15096" s="720"/>
      <c r="J15096" s="720"/>
      <c r="K15096" s="720"/>
      <c r="L15096" s="720"/>
      <c r="M15096" s="720"/>
      <c r="N15096" s="720"/>
      <c r="O15096" s="720"/>
      <c r="P15096" s="720"/>
      <c r="Q15096" s="720"/>
      <c r="R15096" s="720"/>
      <c r="S15096" s="720"/>
      <c r="T15096" s="720"/>
    </row>
    <row r="15097" spans="1:20" ht="15.75" customHeight="1" x14ac:dyDescent="0.25">
      <c r="A15097" s="985">
        <v>3</v>
      </c>
      <c r="B15097" s="990" t="s">
        <v>53</v>
      </c>
      <c r="C15097" s="992" t="s">
        <v>371</v>
      </c>
      <c r="D15097" s="1127">
        <v>4</v>
      </c>
      <c r="E15097" s="1127">
        <v>6</v>
      </c>
      <c r="F15097" s="992">
        <f t="shared" si="627"/>
      </c>
      <c r="G15097" s="992">
        <v>1</v>
      </c>
      <c r="H15097" s="989">
        <f t="shared" si="628"/>
      </c>
      <c r="I15097" s="720"/>
      <c r="J15097" s="720"/>
      <c r="K15097" s="720"/>
      <c r="L15097" s="720"/>
      <c r="M15097" s="720"/>
      <c r="N15097" s="720"/>
      <c r="O15097" s="720"/>
      <c r="P15097" s="720"/>
      <c r="Q15097" s="720"/>
      <c r="R15097" s="720"/>
      <c r="S15097" s="720"/>
      <c r="T15097" s="720"/>
    </row>
    <row r="15098" spans="1:20" ht="15.75" customHeight="1" x14ac:dyDescent="0.25">
      <c r="A15098" s="985">
        <v>4</v>
      </c>
      <c r="B15098" s="990" t="s">
        <v>2204</v>
      </c>
      <c r="C15098" s="992" t="s">
        <v>380</v>
      </c>
      <c r="D15098" s="1127">
        <v>2</v>
      </c>
      <c r="E15098" s="1127">
        <v>6</v>
      </c>
      <c r="F15098" s="992">
        <f t="shared" si="627"/>
      </c>
      <c r="G15098" s="992">
        <v>1</v>
      </c>
      <c r="H15098" s="989">
        <f t="shared" si="628"/>
      </c>
      <c r="I15098" s="720"/>
      <c r="J15098" s="720"/>
      <c r="K15098" s="720"/>
      <c r="L15098" s="720"/>
      <c r="M15098" s="720"/>
      <c r="N15098" s="720"/>
      <c r="O15098" s="720"/>
      <c r="P15098" s="720"/>
      <c r="Q15098" s="720"/>
      <c r="R15098" s="720"/>
      <c r="S15098" s="720"/>
      <c r="T15098" s="720"/>
    </row>
    <row r="15099" spans="1:20" ht="15.75" customHeight="1" x14ac:dyDescent="0.25">
      <c r="A15099" s="985"/>
      <c r="B15099" s="953" t="s">
        <v>1329</v>
      </c>
      <c r="C15099" s="953"/>
      <c r="D15099" s="1127"/>
      <c r="E15099" s="1127"/>
      <c r="F15099" s="992"/>
      <c r="G15099" s="956"/>
      <c r="H15099" s="989"/>
      <c r="I15099" s="720"/>
      <c r="J15099" s="720"/>
      <c r="K15099" s="720"/>
      <c r="L15099" s="720"/>
      <c r="M15099" s="720"/>
      <c r="N15099" s="720"/>
      <c r="O15099" s="720"/>
      <c r="P15099" s="720"/>
      <c r="Q15099" s="720"/>
      <c r="R15099" s="720"/>
      <c r="S15099" s="720"/>
      <c r="T15099" s="720"/>
    </row>
    <row r="15100" spans="1:20" ht="15.75" customHeight="1" x14ac:dyDescent="0.25">
      <c r="A15100" s="985">
        <v>5</v>
      </c>
      <c r="B15100" s="990" t="s">
        <v>317</v>
      </c>
      <c r="C15100" s="992" t="s">
        <v>473</v>
      </c>
      <c r="D15100" s="1127">
        <v>1</v>
      </c>
      <c r="E15100" s="1127">
        <v>50</v>
      </c>
      <c r="F15100" s="992">
        <v>50</v>
      </c>
      <c r="G15100" s="956">
        <v>1</v>
      </c>
      <c r="H15100" s="989">
        <f t="shared" ref="H15100:H15102" si="629">+G15100*F15100</f>
      </c>
      <c r="I15100" s="720"/>
      <c r="J15100" s="720"/>
      <c r="K15100" s="720"/>
      <c r="L15100" s="720"/>
      <c r="M15100" s="720"/>
      <c r="N15100" s="720"/>
      <c r="O15100" s="720"/>
      <c r="P15100" s="720"/>
      <c r="Q15100" s="720"/>
      <c r="R15100" s="720"/>
      <c r="S15100" s="720"/>
      <c r="T15100" s="720"/>
    </row>
    <row r="15101" spans="1:20" ht="15.75" customHeight="1" x14ac:dyDescent="0.25">
      <c r="A15101" s="985">
        <v>6</v>
      </c>
      <c r="B15101" s="990" t="s">
        <v>317</v>
      </c>
      <c r="C15101" s="992" t="s">
        <v>474</v>
      </c>
      <c r="D15101" s="1127"/>
      <c r="E15101" s="1127">
        <v>25</v>
      </c>
      <c r="F15101" s="992">
        <v>25</v>
      </c>
      <c r="G15101" s="956">
        <v>1</v>
      </c>
      <c r="H15101" s="989">
        <f t="shared" si="629"/>
      </c>
      <c r="I15101" s="720"/>
      <c r="J15101" s="720"/>
      <c r="K15101" s="720"/>
      <c r="L15101" s="720"/>
      <c r="M15101" s="720"/>
      <c r="N15101" s="720"/>
      <c r="O15101" s="720"/>
      <c r="P15101" s="720"/>
      <c r="Q15101" s="720"/>
      <c r="R15101" s="720"/>
      <c r="S15101" s="720"/>
      <c r="T15101" s="720"/>
    </row>
    <row r="15102" spans="1:20" ht="15.75" customHeight="1" x14ac:dyDescent="0.25">
      <c r="A15102" s="985">
        <v>7</v>
      </c>
      <c r="B15102" s="990" t="s">
        <v>1512</v>
      </c>
      <c r="C15102" s="992"/>
      <c r="D15102" s="1127">
        <v>1</v>
      </c>
      <c r="E15102" s="1127">
        <v>100</v>
      </c>
      <c r="F15102" s="992">
        <v>95</v>
      </c>
      <c r="G15102" s="956">
        <v>1</v>
      </c>
      <c r="H15102" s="989">
        <f t="shared" si="629"/>
      </c>
      <c r="I15102" s="720"/>
      <c r="J15102" s="720"/>
      <c r="K15102" s="720"/>
      <c r="L15102" s="720"/>
      <c r="M15102" s="720"/>
      <c r="N15102" s="720"/>
      <c r="O15102" s="720"/>
      <c r="P15102" s="720"/>
      <c r="Q15102" s="720"/>
      <c r="R15102" s="720"/>
      <c r="S15102" s="720"/>
      <c r="T15102" s="720"/>
    </row>
    <row r="15103" spans="1:20" ht="15.75" customHeight="1" x14ac:dyDescent="0.25">
      <c r="A15103" s="985">
        <v>8</v>
      </c>
      <c r="B15103" s="990" t="s">
        <v>1512</v>
      </c>
      <c r="C15103" s="992"/>
      <c r="D15103" s="1127"/>
      <c r="E15103" s="1127"/>
      <c r="F15103" s="992">
        <v>5</v>
      </c>
      <c r="G15103" s="1166" t="s">
        <v>1856</v>
      </c>
      <c r="H15103" s="989"/>
      <c r="I15103" s="720"/>
      <c r="J15103" s="720"/>
      <c r="K15103" s="720"/>
      <c r="L15103" s="720"/>
      <c r="M15103" s="720"/>
      <c r="N15103" s="720"/>
      <c r="O15103" s="720"/>
      <c r="P15103" s="720"/>
      <c r="Q15103" s="720"/>
      <c r="R15103" s="720"/>
      <c r="S15103" s="720"/>
      <c r="T15103" s="720"/>
    </row>
    <row r="15104" spans="1:20" ht="15.75" customHeight="1" x14ac:dyDescent="0.25">
      <c r="A15104" s="985">
        <v>9</v>
      </c>
      <c r="B15104" s="990" t="s">
        <v>2158</v>
      </c>
      <c r="C15104" s="992"/>
      <c r="D15104" s="1127">
        <v>10</v>
      </c>
      <c r="E15104" s="1127">
        <v>10</v>
      </c>
      <c r="F15104" s="992">
        <f t="shared" ref="F15104:F15105" si="630">+E15104*D15104</f>
      </c>
      <c r="G15104" s="956">
        <v>1</v>
      </c>
      <c r="H15104" s="989">
        <f>+G15104*F15104</f>
      </c>
      <c r="I15104" s="720"/>
      <c r="J15104" s="720"/>
      <c r="K15104" s="720"/>
      <c r="L15104" s="720"/>
      <c r="M15104" s="720"/>
      <c r="N15104" s="720"/>
      <c r="O15104" s="720"/>
      <c r="P15104" s="720"/>
      <c r="Q15104" s="720"/>
      <c r="R15104" s="720"/>
      <c r="S15104" s="720"/>
      <c r="T15104" s="720"/>
    </row>
    <row r="15105" spans="1:20" ht="15.75" customHeight="1" x14ac:dyDescent="0.25">
      <c r="A15105" s="985">
        <v>10</v>
      </c>
      <c r="B15105" s="990" t="s">
        <v>2158</v>
      </c>
      <c r="C15105" s="992"/>
      <c r="D15105" s="1127">
        <v>1</v>
      </c>
      <c r="E15105" s="1127">
        <v>10</v>
      </c>
      <c r="F15105" s="992">
        <f t="shared" si="630"/>
      </c>
      <c r="G15105" s="1166" t="s">
        <v>1856</v>
      </c>
      <c r="H15105" s="989"/>
      <c r="I15105" s="720"/>
      <c r="J15105" s="720"/>
      <c r="K15105" s="720"/>
      <c r="L15105" s="720"/>
      <c r="M15105" s="720"/>
      <c r="N15105" s="720"/>
      <c r="O15105" s="720"/>
      <c r="P15105" s="720"/>
      <c r="Q15105" s="720"/>
      <c r="R15105" s="720"/>
      <c r="S15105" s="720"/>
      <c r="T15105" s="720"/>
    </row>
    <row r="15106" spans="1:20" ht="15.75" customHeight="1" x14ac:dyDescent="0.25">
      <c r="A15106" s="985">
        <v>11</v>
      </c>
      <c r="B15106" s="990" t="s">
        <v>2205</v>
      </c>
      <c r="C15106" s="992" t="s">
        <v>1815</v>
      </c>
      <c r="D15106" s="1127">
        <v>1</v>
      </c>
      <c r="E15106" s="1127">
        <v>250</v>
      </c>
      <c r="F15106" s="1127">
        <v>250</v>
      </c>
      <c r="G15106" s="956">
        <v>1</v>
      </c>
      <c r="H15106" s="989">
        <f t="shared" ref="H15106:H15107" si="631">+G15106*F15106</f>
      </c>
      <c r="I15106" s="720"/>
      <c r="J15106" s="720"/>
      <c r="K15106" s="720"/>
      <c r="L15106" s="720"/>
      <c r="M15106" s="720"/>
      <c r="N15106" s="720"/>
      <c r="O15106" s="720"/>
      <c r="P15106" s="720"/>
      <c r="Q15106" s="720"/>
      <c r="R15106" s="720"/>
      <c r="S15106" s="720"/>
      <c r="T15106" s="720"/>
    </row>
    <row r="15107" spans="1:20" ht="15.75" customHeight="1" x14ac:dyDescent="0.25">
      <c r="A15107" s="985">
        <v>12</v>
      </c>
      <c r="B15107" s="990" t="s">
        <v>2206</v>
      </c>
      <c r="C15107" s="992" t="s">
        <v>1815</v>
      </c>
      <c r="D15107" s="1127"/>
      <c r="E15107" s="1127">
        <v>200</v>
      </c>
      <c r="F15107" s="1127">
        <v>200</v>
      </c>
      <c r="G15107" s="956">
        <v>1</v>
      </c>
      <c r="H15107" s="989">
        <f t="shared" si="631"/>
      </c>
      <c r="I15107" s="720"/>
      <c r="J15107" s="720"/>
      <c r="K15107" s="720"/>
      <c r="L15107" s="720"/>
      <c r="M15107" s="720"/>
      <c r="N15107" s="720"/>
      <c r="O15107" s="720"/>
      <c r="P15107" s="720"/>
      <c r="Q15107" s="720"/>
      <c r="R15107" s="720"/>
      <c r="S15107" s="720"/>
      <c r="T15107" s="720"/>
    </row>
    <row r="15108" spans="1:20" ht="15.75" customHeight="1" x14ac:dyDescent="0.25">
      <c r="A15108" s="985">
        <v>13</v>
      </c>
      <c r="B15108" s="990" t="s">
        <v>2205</v>
      </c>
      <c r="C15108" s="992" t="s">
        <v>1815</v>
      </c>
      <c r="D15108" s="1127"/>
      <c r="E15108" s="1127">
        <v>50</v>
      </c>
      <c r="F15108" s="1127">
        <v>50</v>
      </c>
      <c r="G15108" s="1166" t="s">
        <v>1856</v>
      </c>
      <c r="H15108" s="989"/>
      <c r="I15108" s="720"/>
      <c r="J15108" s="720"/>
      <c r="K15108" s="720"/>
      <c r="L15108" s="720"/>
      <c r="M15108" s="720"/>
      <c r="N15108" s="720"/>
      <c r="O15108" s="720"/>
      <c r="P15108" s="720"/>
      <c r="Q15108" s="720"/>
      <c r="R15108" s="720"/>
      <c r="S15108" s="720"/>
      <c r="T15108" s="720"/>
    </row>
    <row r="15109" spans="1:20" ht="15.75" customHeight="1" x14ac:dyDescent="0.25">
      <c r="A15109" s="985"/>
      <c r="B15109" s="990"/>
      <c r="C15109" s="992"/>
      <c r="D15109" s="1127"/>
      <c r="E15109" s="1127"/>
      <c r="F15109" s="992"/>
      <c r="G15109" s="956"/>
      <c r="H15109" s="989"/>
    </row>
    <row r="15110" spans="1:20" ht="24" customHeight="1" x14ac:dyDescent="0.25">
      <c r="A15110" s="412"/>
      <c r="B15110" s="1167" t="s">
        <v>2375</v>
      </c>
      <c r="C15110" s="1127"/>
      <c r="D15110" s="588"/>
      <c r="E15110" s="981"/>
      <c r="F15110" s="415"/>
      <c r="G15110" s="578"/>
      <c r="H15110" s="416"/>
    </row>
    <row r="15111" spans="1:20" ht="15.75" customHeight="1" x14ac:dyDescent="0.25">
      <c r="A15111" s="412"/>
      <c r="B15111" s="1168"/>
      <c r="C15111" s="1084"/>
      <c r="D15111" s="592"/>
      <c r="E15111" s="592"/>
      <c r="F15111" s="593"/>
      <c r="G15111" s="593"/>
      <c r="H15111" s="1169" t="s">
        <v>2376</v>
      </c>
      <c r="I15111" s="293">
        <v>218175</v>
      </c>
      <c r="J15111" s="293" t="s">
        <v>2377</v>
      </c>
      <c r="K15111" s="293"/>
      <c r="L15111" s="293"/>
      <c r="M15111" s="293"/>
      <c r="N15111" s="293"/>
      <c r="O15111" s="293"/>
      <c r="P15111" s="293"/>
      <c r="Q15111" s="293"/>
      <c r="R15111" s="293"/>
      <c r="S15111" s="293"/>
      <c r="T15111" s="293"/>
    </row>
    <row r="15112" spans="1:20" ht="15.75" customHeight="1" x14ac:dyDescent="0.25">
      <c r="A15112" s="1170"/>
      <c r="B15112" s="1171"/>
      <c r="C15112" s="1172" t="s">
        <v>85</v>
      </c>
      <c r="D15112" s="725"/>
      <c r="E15112" s="725"/>
      <c r="F15112" s="725"/>
      <c r="G15112" s="1173"/>
      <c r="H15112" s="1174">
        <f>SUM(H15094:H15111)</f>
      </c>
      <c r="I15112" s="968">
        <f>+I15111-H15112</f>
      </c>
      <c r="J15112" s="676" t="s">
        <v>2378</v>
      </c>
    </row>
    <row r="15113" spans="1:20" ht="15.75" customHeight="1" x14ac:dyDescent="0.25">
      <c r="A15113" s="932"/>
      <c r="B15113" s="933"/>
      <c r="C15113" s="934"/>
      <c r="D15113" s="431"/>
      <c r="E15113" s="935"/>
      <c r="F15113" s="935"/>
      <c r="G15113" s="936"/>
      <c r="H15113" s="444"/>
    </row>
    <row r="15114" spans="1:20" ht="15.75" customHeight="1" x14ac:dyDescent="0.25">
      <c r="A15114" s="994"/>
      <c r="B15114" s="391"/>
      <c r="C15114" s="391"/>
      <c r="D15114" s="391"/>
      <c r="E15114" s="390"/>
      <c r="F15114" s="392"/>
      <c r="G15114" s="390"/>
      <c r="H15114" s="394"/>
    </row>
    <row r="15115" spans="1:20" ht="15.75" customHeight="1" x14ac:dyDescent="0.25">
      <c r="A15115" s="445"/>
      <c r="B15115" s="445"/>
      <c r="C15115" s="445"/>
      <c r="D15115" s="446" t="s">
        <v>97</v>
      </c>
      <c r="E15115" s="445" t="s">
        <v>98</v>
      </c>
      <c r="F15115" s="445"/>
      <c r="G15115" s="390"/>
      <c r="H15115" s="394"/>
    </row>
    <row r="15116" spans="1:20" ht="15.75" customHeight="1" x14ac:dyDescent="0.25">
      <c r="A15116" s="445"/>
      <c r="B15116" s="445"/>
      <c r="C15116" s="445"/>
      <c r="D15116" s="446"/>
      <c r="E15116" s="445"/>
      <c r="F15116" s="445"/>
      <c r="G15116" s="390"/>
      <c r="H15116" s="394"/>
    </row>
    <row r="15117" spans="1:20" ht="15.75" customHeight="1" x14ac:dyDescent="0.25">
      <c r="A15117" s="445"/>
      <c r="B15117" s="445"/>
      <c r="C15117" s="445"/>
      <c r="D15117" s="446"/>
      <c r="E15117" s="445" t="s">
        <v>99</v>
      </c>
      <c r="F15117" s="445"/>
      <c r="G15117" s="390"/>
      <c r="H15117" s="394"/>
    </row>
    <row r="15118" spans="1:20" ht="15.75" customHeight="1" x14ac:dyDescent="0.25">
      <c r="D15118" s="4"/>
      <c r="H15118" s="4"/>
    </row>
    <row r="15119" spans="1:20" ht="15.75" customHeight="1" x14ac:dyDescent="0.25">
      <c r="D15119" s="4"/>
      <c r="H15119" s="4"/>
    </row>
    <row r="15120" spans="1:20" ht="15.75" customHeight="1" x14ac:dyDescent="0.25">
      <c r="D15120" s="4"/>
      <c r="H15120" s="4"/>
    </row>
    <row r="15121" spans="1:8" ht="15.75" customHeight="1" x14ac:dyDescent="0.25">
      <c r="D15121" s="4"/>
      <c r="H15121" s="4"/>
    </row>
    <row r="15122" spans="1:8" ht="15.75" customHeight="1" x14ac:dyDescent="0.25">
      <c r="D15122" s="4"/>
      <c r="H15122" s="4"/>
    </row>
    <row r="15123" spans="1:8" ht="15.75" customHeight="1" x14ac:dyDescent="0.25">
      <c r="D15123" s="4"/>
      <c r="H15123" s="4"/>
    </row>
    <row r="15124" spans="1:8" ht="15.75" customHeight="1" x14ac:dyDescent="0.25">
      <c r="D15124" s="4"/>
      <c r="H15124" s="4"/>
    </row>
    <row r="15125" spans="1:8" ht="15.75" customHeight="1" x14ac:dyDescent="0.25">
      <c r="D15125" s="4"/>
      <c r="H15125" s="4"/>
    </row>
    <row r="15126" spans="1:8" ht="15.75" customHeight="1" x14ac:dyDescent="0.25">
      <c r="D15126" s="4"/>
      <c r="H15126" s="4"/>
    </row>
    <row r="15127" spans="1:8" ht="15.75" customHeight="1" x14ac:dyDescent="0.25">
      <c r="D15127" s="4"/>
      <c r="H15127" s="4"/>
    </row>
    <row r="15128" spans="1:8" ht="15.75" customHeight="1" x14ac:dyDescent="0.25">
      <c r="D15128" s="4"/>
      <c r="H15128" s="4"/>
    </row>
    <row r="15129" spans="1:8" ht="15.75" customHeight="1" x14ac:dyDescent="0.25">
      <c r="D15129" s="4"/>
      <c r="H15129" s="4"/>
    </row>
    <row r="15130" spans="1:8" ht="15.75" customHeight="1" x14ac:dyDescent="0.25">
      <c r="A15130" s="8" t="s">
        <v>14</v>
      </c>
      <c r="B15130" s="8"/>
      <c r="C15130" s="8"/>
      <c r="D15130" s="8"/>
      <c r="E15130" s="8"/>
      <c r="F15130" s="8"/>
      <c r="G15130" s="8"/>
      <c r="H15130" s="8"/>
    </row>
    <row r="15131" spans="1:8" ht="15.75" customHeight="1" x14ac:dyDescent="0.25">
      <c r="A15131" s="388"/>
      <c r="B15131" s="388"/>
      <c r="C15131" s="388"/>
      <c r="D15131" s="389"/>
      <c r="E15131" s="388"/>
      <c r="F15131" s="388"/>
      <c r="G15131" s="388"/>
      <c r="H15131" s="8"/>
    </row>
    <row r="15132" spans="1:8" ht="15.75" customHeight="1" x14ac:dyDescent="0.25">
      <c r="A15132" s="390"/>
      <c r="B15132" s="390"/>
      <c r="C15132" s="390"/>
      <c r="D15132" s="391"/>
      <c r="E15132" s="390"/>
      <c r="F15132" s="395" t="s">
        <v>18</v>
      </c>
      <c r="G15132" s="396" t="s">
        <v>1261</v>
      </c>
      <c r="H15132" s="397"/>
    </row>
    <row r="15133" spans="1:8" ht="15.75" customHeight="1" x14ac:dyDescent="0.25">
      <c r="A15133" s="390" t="s">
        <v>20</v>
      </c>
      <c r="B15133" s="390"/>
      <c r="D15133" s="391"/>
      <c r="E15133" s="390"/>
      <c r="F15133" s="395" t="s">
        <v>21</v>
      </c>
      <c r="G15133" s="390" t="s">
        <v>1559</v>
      </c>
      <c r="H15133" s="391"/>
    </row>
    <row r="15134" spans="1:8" ht="15.75" customHeight="1" x14ac:dyDescent="0.25">
      <c r="A15134" s="390" t="inlineStr">
        <is>
          <t>Dealer-003</t>
        </is>
      </c>
      <c r="B15134" s="390"/>
      <c r="C15134" s="390"/>
      <c r="D15134" s="398"/>
      <c r="E15134" s="390"/>
      <c r="F15134" s="391"/>
      <c r="G15134" s="390"/>
      <c r="H15134" s="394"/>
    </row>
    <row r="15135" spans="1:8" ht="15.75" customHeight="1" x14ac:dyDescent="0.25">
      <c r="A15135" s="390" t="inlineStr">
        <is>
          <t>Address line (redacted)</t>
        </is>
      </c>
      <c r="B15135" s="390"/>
      <c r="C15135" s="390"/>
      <c r="D15135" s="398"/>
      <c r="E15135" s="390"/>
      <c r="F15135" s="391"/>
      <c r="G15135" s="390"/>
      <c r="H15135" s="394"/>
    </row>
    <row r="15136" spans="1:8" ht="15.75" customHeight="1" x14ac:dyDescent="0.25">
      <c r="A15136" s="390" t="inlineStr">
        <is>
          <t>Address line (redacted)</t>
        </is>
      </c>
      <c r="B15136" s="390"/>
      <c r="C15136" s="390"/>
      <c r="D15136" s="391"/>
      <c r="E15136" s="390"/>
      <c r="F15136" s="391"/>
      <c r="G15136" s="390"/>
      <c r="H15136" s="394"/>
    </row>
    <row r="15137" spans="1:8" ht="15.75" customHeight="1" x14ac:dyDescent="0.25">
      <c r="A15137" s="390"/>
      <c r="B15137" s="390"/>
      <c r="C15137" s="390"/>
      <c r="D15137" s="391"/>
      <c r="E15137" s="390"/>
      <c r="F15137" s="391"/>
      <c r="G15137" s="390"/>
      <c r="H15137" s="394"/>
    </row>
    <row r="15138" spans="1:8" ht="15.75" customHeight="1" x14ac:dyDescent="0.25">
      <c r="A15138" s="390" t="s">
        <v>30</v>
      </c>
      <c r="B15138" s="390"/>
      <c r="C15138" s="390"/>
      <c r="D15138" s="391"/>
      <c r="E15138" s="390"/>
      <c r="F15138" s="391"/>
      <c r="G15138" s="390"/>
      <c r="H15138" s="394"/>
    </row>
    <row r="15139" spans="1:8" ht="15.75" customHeight="1" x14ac:dyDescent="0.25">
      <c r="A15139" s="390" t="s">
        <v>716</v>
      </c>
      <c r="B15139" s="390"/>
      <c r="C15139" s="390"/>
      <c r="D15139" s="391"/>
      <c r="E15139" s="390"/>
      <c r="F15139" s="391"/>
      <c r="G15139" s="390"/>
      <c r="H15139" s="394"/>
    </row>
    <row r="15140" spans="1:8" ht="15.75" customHeight="1" x14ac:dyDescent="0.25">
      <c r="A15140" s="390" t="s">
        <v>717</v>
      </c>
      <c r="B15140" s="390"/>
      <c r="C15140" s="390"/>
      <c r="D15140" s="391"/>
      <c r="E15140" s="390"/>
      <c r="F15140" s="391"/>
      <c r="G15140" s="390"/>
      <c r="H15140" s="394"/>
    </row>
    <row r="15141" spans="1:8" ht="15.75" customHeight="1" x14ac:dyDescent="0.25">
      <c r="A15141" s="390"/>
      <c r="B15141" s="390"/>
      <c r="C15141" s="390"/>
      <c r="D15141" s="391"/>
      <c r="E15141" s="390"/>
      <c r="F15141" s="391"/>
      <c r="G15141" s="390"/>
      <c r="H15141" s="394"/>
    </row>
    <row r="15142" spans="1:8" ht="15.75" customHeight="1" x14ac:dyDescent="0.25">
      <c r="A15142" s="948" t="s">
        <v>33</v>
      </c>
      <c r="B15142" s="872" t="s">
        <v>6</v>
      </c>
      <c r="C15142" s="872"/>
      <c r="D15142" s="874" t="s">
        <v>37</v>
      </c>
      <c r="E15142" s="874" t="s">
        <v>38</v>
      </c>
      <c r="F15142" s="875" t="s">
        <v>7</v>
      </c>
      <c r="G15142" s="872" t="s">
        <v>43</v>
      </c>
      <c r="H15142" s="876" t="s">
        <v>44</v>
      </c>
    </row>
    <row r="15143" spans="1:8" ht="15.75" customHeight="1" x14ac:dyDescent="0.3">
      <c r="A15143" s="412"/>
      <c r="B15143" s="1033"/>
      <c r="C15143" s="1033"/>
      <c r="D15143" s="879"/>
      <c r="E15143" s="879"/>
      <c r="F15143" s="415"/>
      <c r="G15143" s="415"/>
      <c r="H15143" s="416"/>
    </row>
    <row r="15144" spans="1:8" ht="15.75" customHeight="1" x14ac:dyDescent="0.25">
      <c r="A15144" s="412"/>
      <c r="B15144" s="953" t="s">
        <v>1187</v>
      </c>
      <c r="C15144" s="953"/>
      <c r="D15144" s="626"/>
      <c r="E15144" s="930"/>
      <c r="F15144" s="415"/>
      <c r="G15144" s="415"/>
      <c r="H15144" s="416"/>
    </row>
    <row r="15145" spans="1:8" ht="15.75" customHeight="1" x14ac:dyDescent="0.25">
      <c r="A15145" s="412">
        <v>1</v>
      </c>
      <c r="B15145" s="1118" t="s">
        <v>300</v>
      </c>
      <c r="C15145" s="993" t="s">
        <v>457</v>
      </c>
      <c r="D15145" s="929">
        <v>2</v>
      </c>
      <c r="E15145" s="930">
        <v>450</v>
      </c>
      <c r="F15145" s="415">
        <f t="shared" ref="F15145:F15146" si="632">+E15145</f>
      </c>
      <c r="G15145" s="415">
        <v>1</v>
      </c>
      <c r="H15145" s="416">
        <f>+G15145*F15145</f>
      </c>
    </row>
    <row r="15146" spans="1:8" ht="15.75" customHeight="1" x14ac:dyDescent="0.25">
      <c r="A15146" s="412">
        <v>2</v>
      </c>
      <c r="B15146" s="1118" t="s">
        <v>300</v>
      </c>
      <c r="C15146" s="993" t="s">
        <v>457</v>
      </c>
      <c r="D15146" s="1146"/>
      <c r="E15146" s="930">
        <v>50</v>
      </c>
      <c r="F15146" s="415">
        <f t="shared" si="632"/>
      </c>
      <c r="G15146" s="619" t="s">
        <v>1856</v>
      </c>
      <c r="H15146" s="416"/>
    </row>
    <row r="15147" spans="1:8" ht="15.75" customHeight="1" x14ac:dyDescent="0.25">
      <c r="A15147" s="412">
        <v>3</v>
      </c>
      <c r="B15147" s="585" t="s">
        <v>292</v>
      </c>
      <c r="C15147" s="993" t="s">
        <v>449</v>
      </c>
      <c r="D15147" s="1146"/>
      <c r="E15147" s="930">
        <v>100</v>
      </c>
      <c r="F15147" s="930">
        <v>100</v>
      </c>
      <c r="G15147" s="415">
        <v>1</v>
      </c>
      <c r="H15147" s="416">
        <f>+G15147*F15147</f>
      </c>
    </row>
    <row r="15148" spans="1:8" ht="15.75" customHeight="1" x14ac:dyDescent="0.25">
      <c r="A15148" s="412">
        <v>4</v>
      </c>
      <c r="B15148" s="585" t="s">
        <v>292</v>
      </c>
      <c r="C15148" s="993" t="s">
        <v>449</v>
      </c>
      <c r="D15148" s="930"/>
      <c r="E15148" s="930">
        <v>15</v>
      </c>
      <c r="F15148" s="930">
        <v>15</v>
      </c>
      <c r="G15148" s="619" t="s">
        <v>1856</v>
      </c>
      <c r="H15148" s="416"/>
    </row>
    <row r="15149" spans="1:8" ht="15.75" customHeight="1" x14ac:dyDescent="0.25">
      <c r="A15149" s="412"/>
      <c r="B15149" s="953" t="s">
        <v>1357</v>
      </c>
      <c r="C15149" s="953"/>
      <c r="D15149" s="930"/>
      <c r="E15149" s="930"/>
      <c r="F15149" s="930"/>
      <c r="G15149" s="415"/>
      <c r="H15149" s="416"/>
    </row>
    <row r="15150" spans="1:8" ht="15.75" customHeight="1" x14ac:dyDescent="0.25">
      <c r="A15150" s="412">
        <v>5</v>
      </c>
      <c r="B15150" s="585" t="s">
        <v>68</v>
      </c>
      <c r="C15150" s="993" t="s">
        <v>404</v>
      </c>
      <c r="D15150" s="930"/>
      <c r="E15150" s="930">
        <v>100</v>
      </c>
      <c r="F15150" s="930">
        <v>96</v>
      </c>
      <c r="G15150" s="415">
        <v>1</v>
      </c>
      <c r="H15150" s="416">
        <f>+G15150*F15150</f>
      </c>
    </row>
    <row r="15151" spans="1:8" ht="15.75" customHeight="1" x14ac:dyDescent="0.25">
      <c r="A15151" s="412">
        <v>6</v>
      </c>
      <c r="B15151" s="585" t="s">
        <v>68</v>
      </c>
      <c r="C15151" s="993" t="s">
        <v>404</v>
      </c>
      <c r="D15151" s="930"/>
      <c r="E15151" s="930"/>
      <c r="F15151" s="930">
        <v>4</v>
      </c>
      <c r="G15151" s="619" t="s">
        <v>1856</v>
      </c>
      <c r="H15151" s="416"/>
    </row>
    <row r="15152" spans="1:8" ht="15.75" customHeight="1" x14ac:dyDescent="0.25">
      <c r="A15152" s="412">
        <v>7</v>
      </c>
      <c r="B15152" s="585" t="s">
        <v>2207</v>
      </c>
      <c r="C15152" s="993" t="s">
        <v>406</v>
      </c>
      <c r="D15152" s="930"/>
      <c r="E15152" s="930">
        <v>100</v>
      </c>
      <c r="F15152" s="930">
        <v>96</v>
      </c>
      <c r="G15152" s="415">
        <v>1</v>
      </c>
      <c r="H15152" s="416">
        <f>+G15152*F15152</f>
      </c>
    </row>
    <row r="15153" spans="1:8" ht="15.75" customHeight="1" x14ac:dyDescent="0.25">
      <c r="A15153" s="412">
        <v>8</v>
      </c>
      <c r="B15153" s="585" t="s">
        <v>2207</v>
      </c>
      <c r="C15153" s="993" t="s">
        <v>406</v>
      </c>
      <c r="D15153" s="930"/>
      <c r="E15153" s="930"/>
      <c r="F15153" s="930">
        <v>4</v>
      </c>
      <c r="G15153" s="619" t="s">
        <v>1856</v>
      </c>
      <c r="H15153" s="416"/>
    </row>
    <row r="15154" spans="1:8" ht="15.75" customHeight="1" x14ac:dyDescent="0.25">
      <c r="A15154" s="412">
        <v>9</v>
      </c>
      <c r="B15154" s="913" t="s">
        <v>2208</v>
      </c>
      <c r="C15154" s="993" t="s">
        <v>409</v>
      </c>
      <c r="D15154" s="626"/>
      <c r="E15154" s="930">
        <v>100</v>
      </c>
      <c r="F15154" s="930">
        <v>96</v>
      </c>
      <c r="G15154" s="415">
        <v>1</v>
      </c>
      <c r="H15154" s="416">
        <f>+G15154*F15154</f>
      </c>
    </row>
    <row r="15155" spans="1:8" ht="15.75" customHeight="1" x14ac:dyDescent="0.25">
      <c r="A15155" s="412">
        <v>10</v>
      </c>
      <c r="B15155" s="913" t="s">
        <v>2208</v>
      </c>
      <c r="C15155" s="993" t="s">
        <v>409</v>
      </c>
      <c r="D15155" s="626"/>
      <c r="E15155" s="930"/>
      <c r="F15155" s="930">
        <v>4</v>
      </c>
      <c r="G15155" s="619" t="s">
        <v>1856</v>
      </c>
      <c r="H15155" s="416"/>
    </row>
    <row r="15156" spans="1:8" ht="15.75" customHeight="1" x14ac:dyDescent="0.25">
      <c r="A15156" s="412">
        <v>11</v>
      </c>
      <c r="B15156" s="913" t="s">
        <v>287</v>
      </c>
      <c r="C15156" s="993" t="s">
        <v>1363</v>
      </c>
      <c r="D15156" s="626"/>
      <c r="E15156" s="930">
        <v>100</v>
      </c>
      <c r="F15156" s="930">
        <v>96</v>
      </c>
      <c r="G15156" s="415">
        <v>1</v>
      </c>
      <c r="H15156" s="416">
        <f>+G15156*F15156</f>
      </c>
    </row>
    <row r="15157" spans="1:8" ht="15.75" customHeight="1" x14ac:dyDescent="0.25">
      <c r="A15157" s="412">
        <v>12</v>
      </c>
      <c r="B15157" s="913" t="s">
        <v>287</v>
      </c>
      <c r="C15157" s="993" t="s">
        <v>1363</v>
      </c>
      <c r="D15157" s="626"/>
      <c r="E15157" s="930"/>
      <c r="F15157" s="930">
        <v>4</v>
      </c>
      <c r="G15157" s="619" t="s">
        <v>1856</v>
      </c>
      <c r="H15157" s="416"/>
    </row>
    <row r="15158" spans="1:8" ht="15.75" customHeight="1" x14ac:dyDescent="0.25">
      <c r="A15158" s="412">
        <v>13</v>
      </c>
      <c r="B15158" s="913" t="s">
        <v>2209</v>
      </c>
      <c r="C15158" s="993" t="s">
        <v>415</v>
      </c>
      <c r="D15158" s="626"/>
      <c r="E15158" s="930"/>
      <c r="F15158" s="930">
        <v>25</v>
      </c>
      <c r="G15158" s="415">
        <v>1</v>
      </c>
      <c r="H15158" s="416">
        <f t="shared" ref="H15158:H15160" si="633">+G15158*F15158</f>
      </c>
    </row>
    <row r="15159" spans="1:8" ht="15.75" customHeight="1" x14ac:dyDescent="0.25">
      <c r="A15159" s="412">
        <v>14</v>
      </c>
      <c r="B15159" s="913" t="s">
        <v>136</v>
      </c>
      <c r="C15159" s="993" t="s">
        <v>418</v>
      </c>
      <c r="D15159" s="626"/>
      <c r="E15159" s="930"/>
      <c r="F15159" s="930">
        <v>25</v>
      </c>
      <c r="G15159" s="415">
        <v>1</v>
      </c>
      <c r="H15159" s="416">
        <f t="shared" si="633"/>
      </c>
    </row>
    <row r="15160" spans="1:8" ht="15.75" customHeight="1" x14ac:dyDescent="0.25">
      <c r="A15160" s="412">
        <v>15</v>
      </c>
      <c r="B15160" s="913" t="s">
        <v>260</v>
      </c>
      <c r="C15160" s="993"/>
      <c r="D15160" s="626"/>
      <c r="E15160" s="930">
        <v>100</v>
      </c>
      <c r="F15160" s="930">
        <f>+E15160</f>
      </c>
      <c r="G15160" s="415">
        <v>1</v>
      </c>
      <c r="H15160" s="416">
        <f t="shared" si="633"/>
      </c>
    </row>
    <row r="15161" spans="1:8" ht="15.75" customHeight="1" x14ac:dyDescent="0.25">
      <c r="A15161" s="412"/>
      <c r="B15161" s="913"/>
      <c r="C15161" s="993"/>
      <c r="D15161" s="626"/>
      <c r="E15161" s="930"/>
      <c r="F15161" s="415"/>
      <c r="G15161" s="415"/>
      <c r="H15161" s="416"/>
    </row>
    <row r="15162" spans="1:8" ht="15.75" customHeight="1" x14ac:dyDescent="0.25">
      <c r="A15162" s="412"/>
      <c r="B15162" s="1127"/>
      <c r="C15162" s="993"/>
      <c r="D15162" s="626"/>
      <c r="E15162" s="626"/>
      <c r="F15162" s="415"/>
      <c r="G15162" s="415"/>
      <c r="H15162" s="416"/>
    </row>
    <row r="15163" spans="1:8" ht="15.75" customHeight="1" x14ac:dyDescent="0.25">
      <c r="A15163" s="877"/>
      <c r="B15163" s="688"/>
      <c r="C15163" s="896" t="s">
        <v>85</v>
      </c>
      <c r="D15163" s="599"/>
      <c r="E15163" s="401"/>
      <c r="F15163" s="599"/>
      <c r="G15163" s="661"/>
      <c r="H15163" s="438">
        <f>SUM(H15145:H15162)</f>
      </c>
    </row>
    <row r="15164" spans="1:8" ht="15.75" customHeight="1" x14ac:dyDescent="0.25">
      <c r="A15164" s="932"/>
      <c r="B15164" s="933"/>
      <c r="C15164" s="934"/>
      <c r="D15164" s="431"/>
      <c r="E15164" s="935"/>
      <c r="F15164" s="935"/>
      <c r="G15164" s="936"/>
      <c r="H15164" s="444"/>
    </row>
    <row r="15165" spans="1:8" ht="15.75" customHeight="1" x14ac:dyDescent="0.25">
      <c r="A15165" s="994" t="s">
        <v>913</v>
      </c>
      <c r="B15165" s="391"/>
      <c r="C15165" s="391"/>
      <c r="D15165" s="391"/>
      <c r="E15165" s="390"/>
      <c r="F15165" s="392"/>
      <c r="G15165" s="390"/>
      <c r="H15165" s="394"/>
    </row>
    <row r="15166" spans="1:8" ht="15.75" customHeight="1" x14ac:dyDescent="0.25">
      <c r="A15166" s="445"/>
      <c r="B15166" s="445"/>
      <c r="C15166" s="445"/>
      <c r="D15166" s="446" t="s">
        <v>97</v>
      </c>
      <c r="E15166" s="445" t="s">
        <v>98</v>
      </c>
      <c r="F15166" s="445"/>
      <c r="G15166" s="390"/>
      <c r="H15166" s="394"/>
    </row>
    <row r="15167" spans="1:8" ht="15.75" customHeight="1" x14ac:dyDescent="0.25">
      <c r="A15167" s="445"/>
      <c r="B15167" s="445"/>
      <c r="C15167" s="445"/>
      <c r="D15167" s="446"/>
      <c r="E15167" s="445"/>
      <c r="F15167" s="445"/>
      <c r="G15167" s="390"/>
      <c r="H15167" s="394"/>
    </row>
    <row r="15168" spans="1:8" ht="15.75" customHeight="1" x14ac:dyDescent="0.25">
      <c r="A15168" s="445"/>
      <c r="B15168" s="445"/>
      <c r="C15168" s="445"/>
      <c r="D15168" s="446"/>
      <c r="E15168" s="445"/>
      <c r="F15168" s="445"/>
      <c r="G15168" s="390"/>
      <c r="H15168" s="394"/>
    </row>
    <row r="15169" spans="1:8" ht="15.75" customHeight="1" x14ac:dyDescent="0.25">
      <c r="A15169" s="445"/>
      <c r="B15169" s="445"/>
      <c r="C15169" s="445"/>
      <c r="D15169" s="446"/>
      <c r="E15169" s="445" t="s">
        <v>99</v>
      </c>
      <c r="F15169" s="445"/>
      <c r="G15169" s="390"/>
      <c r="H15169" s="394"/>
    </row>
    <row r="15170" spans="1:8" ht="15.75" customHeight="1" x14ac:dyDescent="0.25">
      <c r="D15170" s="4"/>
      <c r="H15170" s="4"/>
    </row>
    <row r="15171" spans="1:8" ht="15.75" customHeight="1" x14ac:dyDescent="0.25">
      <c r="D15171" s="4"/>
      <c r="H15171" s="4"/>
    </row>
    <row r="15172" spans="1:8" ht="15.75" customHeight="1" x14ac:dyDescent="0.25">
      <c r="D15172" s="4"/>
      <c r="H15172" s="4"/>
    </row>
    <row r="15173" spans="1:8" ht="15.75" customHeight="1" x14ac:dyDescent="0.25">
      <c r="D15173" s="4"/>
      <c r="H15173" s="4"/>
    </row>
    <row r="15174" spans="1:8" ht="15.75" customHeight="1" x14ac:dyDescent="0.25">
      <c r="D15174" s="4"/>
      <c r="H15174" s="4"/>
    </row>
    <row r="15175" spans="1:8" ht="15.75" customHeight="1" x14ac:dyDescent="0.25">
      <c r="D15175" s="4"/>
      <c r="H15175" s="4"/>
    </row>
    <row r="15176" spans="1:8" ht="15.75" customHeight="1" x14ac:dyDescent="0.25">
      <c r="A15176" s="8" t="s">
        <v>14</v>
      </c>
      <c r="B15176" s="8"/>
      <c r="C15176" s="8"/>
      <c r="D15176" s="8"/>
      <c r="E15176" s="8"/>
      <c r="F15176" s="8"/>
      <c r="G15176" s="8"/>
      <c r="H15176" s="8"/>
    </row>
    <row r="15177" spans="1:8" ht="15.75" customHeight="1" x14ac:dyDescent="0.25">
      <c r="A15177" s="388"/>
      <c r="B15177" s="388"/>
      <c r="C15177" s="388"/>
      <c r="D15177" s="389"/>
      <c r="E15177" s="388"/>
      <c r="F15177" s="388"/>
      <c r="G15177" s="388"/>
      <c r="H15177" s="8"/>
    </row>
    <row r="15178" spans="1:8" ht="15.75" customHeight="1" x14ac:dyDescent="0.25">
      <c r="A15178" s="390" t="s">
        <v>20</v>
      </c>
      <c r="B15178" s="390"/>
      <c r="C15178" s="390"/>
      <c r="D15178" s="391"/>
      <c r="E15178" s="390"/>
      <c r="F15178" s="395" t="s">
        <v>18</v>
      </c>
      <c r="G15178" s="396" t="s">
        <v>1261</v>
      </c>
      <c r="H15178" s="397"/>
    </row>
    <row r="15179" spans="1:8" ht="15.75" customHeight="1" x14ac:dyDescent="0.25">
      <c r="A15179" s="390" t="inlineStr">
        <is>
          <t>Dealer-004</t>
        </is>
      </c>
      <c r="B15179" s="390"/>
      <c r="C15179" s="390"/>
      <c r="D15179" s="398"/>
      <c r="E15179" s="390"/>
      <c r="F15179" s="395" t="s">
        <v>21</v>
      </c>
      <c r="G15179" s="390" t="s">
        <v>1560</v>
      </c>
      <c r="H15179" s="391"/>
    </row>
    <row r="15180" spans="1:8" ht="15.75" customHeight="1" x14ac:dyDescent="0.25">
      <c r="A15180" s="390" t="inlineStr">
        <is>
          <t>Address line (redacted)</t>
        </is>
      </c>
      <c r="B15180" s="390"/>
      <c r="C15180" s="390"/>
      <c r="D15180" s="398"/>
      <c r="E15180" s="393"/>
      <c r="F15180" s="391"/>
      <c r="G15180" s="390"/>
      <c r="H15180" s="394"/>
    </row>
    <row r="15181" spans="1:8" ht="15.75" customHeight="1" x14ac:dyDescent="0.25">
      <c r="A15181" s="390" t="inlineStr">
        <is>
          <t>Address line (redacted)</t>
        </is>
      </c>
      <c r="B15181" s="390"/>
      <c r="C15181" s="390"/>
      <c r="D15181" s="391"/>
      <c r="E15181" s="390"/>
      <c r="F15181" s="391"/>
      <c r="G15181" s="390"/>
      <c r="H15181" s="394"/>
    </row>
    <row r="15182" spans="1:8" ht="15.75" customHeight="1" x14ac:dyDescent="0.25">
      <c r="A15182" s="390"/>
      <c r="B15182" s="390"/>
      <c r="C15182" s="390"/>
      <c r="D15182" s="391"/>
      <c r="E15182" s="390"/>
      <c r="F15182" s="391"/>
      <c r="G15182" s="390"/>
      <c r="H15182" s="394"/>
    </row>
    <row r="15183" spans="1:8" ht="15.75" customHeight="1" x14ac:dyDescent="0.25">
      <c r="A15183" s="2" t="s">
        <v>30</v>
      </c>
      <c r="B15183" s="390"/>
      <c r="C15183" s="390"/>
      <c r="D15183" s="391"/>
      <c r="E15183" s="390"/>
      <c r="F15183" s="391"/>
      <c r="G15183" s="390"/>
      <c r="H15183" s="394"/>
    </row>
    <row r="15184" spans="1:8" ht="15.75" customHeight="1" x14ac:dyDescent="0.25">
      <c r="B15184" s="390"/>
      <c r="C15184" s="390"/>
      <c r="D15184" s="391"/>
      <c r="E15184" s="390"/>
      <c r="F15184" s="391"/>
      <c r="G15184" s="390"/>
      <c r="H15184" s="394"/>
    </row>
    <row r="15185" spans="1:8" ht="15.75" customHeight="1" x14ac:dyDescent="0.25">
      <c r="A15185" s="390" t="s">
        <v>716</v>
      </c>
      <c r="B15185" s="390"/>
      <c r="C15185" s="390"/>
      <c r="D15185" s="391"/>
      <c r="E15185" s="390"/>
      <c r="F15185" s="391"/>
      <c r="G15185" s="390"/>
      <c r="H15185" s="394"/>
    </row>
    <row r="15186" spans="1:8" ht="15.75" customHeight="1" x14ac:dyDescent="0.25">
      <c r="A15186" s="390" t="s">
        <v>717</v>
      </c>
      <c r="B15186" s="390"/>
      <c r="C15186" s="390"/>
      <c r="D15186" s="391"/>
      <c r="E15186" s="390"/>
      <c r="F15186" s="391"/>
      <c r="G15186" s="390"/>
      <c r="H15186" s="394"/>
    </row>
    <row r="15187" spans="1:8" ht="15.75" customHeight="1" x14ac:dyDescent="0.25">
      <c r="A15187" s="390"/>
      <c r="B15187" s="390"/>
      <c r="C15187" s="390"/>
      <c r="D15187" s="391"/>
      <c r="E15187" s="390"/>
      <c r="F15187" s="391"/>
      <c r="G15187" s="390"/>
      <c r="H15187" s="394"/>
    </row>
    <row r="15188" spans="1:8" ht="15.75" customHeight="1" x14ac:dyDescent="0.25">
      <c r="A15188" s="948" t="s">
        <v>33</v>
      </c>
      <c r="B15188" s="872" t="s">
        <v>6</v>
      </c>
      <c r="C15188" s="872"/>
      <c r="D15188" s="874" t="s">
        <v>37</v>
      </c>
      <c r="E15188" s="874" t="s">
        <v>38</v>
      </c>
      <c r="F15188" s="875" t="s">
        <v>7</v>
      </c>
      <c r="G15188" s="872" t="s">
        <v>43</v>
      </c>
      <c r="H15188" s="876" t="s">
        <v>44</v>
      </c>
    </row>
    <row r="15189" spans="1:8" ht="15.75" customHeight="1" x14ac:dyDescent="0.3">
      <c r="A15189" s="412"/>
      <c r="B15189" s="1033"/>
      <c r="C15189" s="1033"/>
      <c r="D15189" s="879"/>
      <c r="E15189" s="879"/>
      <c r="F15189" s="415"/>
      <c r="G15189" s="415"/>
      <c r="H15189" s="416"/>
    </row>
    <row r="15190" spans="1:8" ht="15.75" customHeight="1" x14ac:dyDescent="0.25">
      <c r="A15190" s="412"/>
      <c r="B15190" s="953" t="s">
        <v>1187</v>
      </c>
      <c r="C15190" s="953"/>
      <c r="D15190" s="415"/>
      <c r="E15190" s="415"/>
      <c r="F15190" s="415"/>
      <c r="G15190" s="415"/>
      <c r="H15190" s="416"/>
    </row>
    <row r="15191" spans="1:8" ht="15.75" customHeight="1" x14ac:dyDescent="0.25">
      <c r="A15191" s="412">
        <v>1</v>
      </c>
      <c r="B15191" s="1118" t="s">
        <v>2210</v>
      </c>
      <c r="C15191" s="993" t="s">
        <v>459</v>
      </c>
      <c r="D15191" s="592">
        <v>1</v>
      </c>
      <c r="E15191" s="588">
        <v>5</v>
      </c>
      <c r="F15191" s="415">
        <f t="shared" ref="F15191:F15195" si="634">+E15191</f>
      </c>
      <c r="G15191" s="415">
        <v>1</v>
      </c>
      <c r="H15191" s="416">
        <f t="shared" ref="H15191:H15193" si="635">+G15191*F15191</f>
      </c>
    </row>
    <row r="15192" spans="1:8" ht="15.75" customHeight="1" x14ac:dyDescent="0.25">
      <c r="A15192" s="412">
        <v>2</v>
      </c>
      <c r="B15192" s="1118" t="s">
        <v>301</v>
      </c>
      <c r="C15192" s="993" t="s">
        <v>458</v>
      </c>
      <c r="D15192" s="633"/>
      <c r="E15192" s="415">
        <v>50</v>
      </c>
      <c r="F15192" s="415">
        <f t="shared" si="634"/>
      </c>
      <c r="G15192" s="415">
        <v>1</v>
      </c>
      <c r="H15192" s="416">
        <f t="shared" si="635"/>
      </c>
    </row>
    <row r="15193" spans="1:8" ht="15.75" customHeight="1" x14ac:dyDescent="0.25">
      <c r="A15193" s="412">
        <v>3</v>
      </c>
      <c r="B15193" s="1118" t="s">
        <v>292</v>
      </c>
      <c r="C15193" s="993" t="s">
        <v>449</v>
      </c>
      <c r="D15193" s="633"/>
      <c r="E15193" s="415">
        <v>100</v>
      </c>
      <c r="F15193" s="415">
        <f t="shared" si="634"/>
      </c>
      <c r="G15193" s="415">
        <v>1</v>
      </c>
      <c r="H15193" s="416">
        <f t="shared" si="635"/>
      </c>
    </row>
    <row r="15194" spans="1:8" ht="15.75" customHeight="1" x14ac:dyDescent="0.25">
      <c r="A15194" s="412">
        <v>4</v>
      </c>
      <c r="B15194" s="1118" t="s">
        <v>292</v>
      </c>
      <c r="C15194" s="993" t="s">
        <v>449</v>
      </c>
      <c r="D15194" s="626"/>
      <c r="E15194" s="415">
        <v>15</v>
      </c>
      <c r="F15194" s="415">
        <f t="shared" si="634"/>
      </c>
      <c r="G15194" s="619" t="s">
        <v>1856</v>
      </c>
      <c r="H15194" s="416"/>
    </row>
    <row r="15195" spans="1:8" ht="15" customHeight="1" x14ac:dyDescent="0.25">
      <c r="A15195" s="412">
        <v>5</v>
      </c>
      <c r="B15195" s="1118" t="s">
        <v>292</v>
      </c>
      <c r="C15195" s="993" t="s">
        <v>449</v>
      </c>
      <c r="D15195" s="626">
        <f>SUM(D15191)</f>
      </c>
      <c r="E15195" s="415">
        <v>2</v>
      </c>
      <c r="F15195" s="415">
        <f t="shared" si="634"/>
      </c>
      <c r="G15195" s="415">
        <v>1</v>
      </c>
      <c r="H15195" s="416">
        <f>+G15195*F15195</f>
      </c>
    </row>
    <row r="15196" spans="1:8" ht="15.75" customHeight="1" x14ac:dyDescent="0.25">
      <c r="A15196" s="412"/>
      <c r="B15196" s="953" t="s">
        <v>1357</v>
      </c>
      <c r="C15196" s="953"/>
      <c r="D15196" s="981"/>
      <c r="E15196" s="981"/>
      <c r="F15196" s="415"/>
      <c r="G15196" s="415"/>
      <c r="H15196" s="416"/>
    </row>
    <row r="15197" spans="1:8" ht="15.75" customHeight="1" x14ac:dyDescent="0.25">
      <c r="A15197" s="412">
        <v>5</v>
      </c>
      <c r="B15197" s="585" t="s">
        <v>250</v>
      </c>
      <c r="C15197" s="993" t="s">
        <v>410</v>
      </c>
      <c r="D15197" s="929">
        <v>4</v>
      </c>
      <c r="E15197" s="929">
        <v>25</v>
      </c>
      <c r="F15197" s="415">
        <v>96</v>
      </c>
      <c r="G15197" s="415">
        <v>1</v>
      </c>
      <c r="H15197" s="416">
        <f>+G15197*F15197</f>
      </c>
    </row>
    <row r="15198" spans="1:8" ht="15.75" customHeight="1" x14ac:dyDescent="0.25">
      <c r="A15198" s="412">
        <v>6</v>
      </c>
      <c r="B15198" s="585" t="s">
        <v>250</v>
      </c>
      <c r="C15198" s="993" t="s">
        <v>410</v>
      </c>
      <c r="D15198" s="930"/>
      <c r="E15198" s="930"/>
      <c r="F15198" s="415">
        <v>4</v>
      </c>
      <c r="G15198" s="619" t="s">
        <v>1856</v>
      </c>
      <c r="H15198" s="416"/>
    </row>
    <row r="15199" spans="1:8" ht="15.75" customHeight="1" x14ac:dyDescent="0.25">
      <c r="A15199" s="412">
        <v>7</v>
      </c>
      <c r="B15199" s="585" t="s">
        <v>287</v>
      </c>
      <c r="C15199" s="993" t="s">
        <v>1561</v>
      </c>
      <c r="D15199" s="929">
        <v>4</v>
      </c>
      <c r="E15199" s="929">
        <v>25</v>
      </c>
      <c r="F15199" s="415">
        <v>96</v>
      </c>
      <c r="G15199" s="415">
        <v>1</v>
      </c>
      <c r="H15199" s="416">
        <f>+G15199*F15199</f>
      </c>
    </row>
    <row r="15200" spans="1:8" ht="15.75" customHeight="1" x14ac:dyDescent="0.25">
      <c r="A15200" s="412">
        <v>8</v>
      </c>
      <c r="B15200" s="585" t="s">
        <v>287</v>
      </c>
      <c r="C15200" s="993" t="s">
        <v>1561</v>
      </c>
      <c r="D15200" s="930"/>
      <c r="E15200" s="930"/>
      <c r="F15200" s="415">
        <v>4</v>
      </c>
      <c r="G15200" s="619" t="s">
        <v>1856</v>
      </c>
      <c r="H15200" s="416"/>
    </row>
    <row r="15201" spans="1:8" ht="15.75" customHeight="1" x14ac:dyDescent="0.25">
      <c r="A15201" s="412"/>
      <c r="B15201" s="1127"/>
      <c r="C15201" s="993"/>
      <c r="D15201" s="626"/>
      <c r="E15201" s="626"/>
      <c r="F15201" s="415"/>
      <c r="G15201" s="415"/>
      <c r="H15201" s="416"/>
    </row>
    <row r="15202" spans="1:8" ht="15.75" customHeight="1" x14ac:dyDescent="0.25">
      <c r="A15202" s="877"/>
      <c r="B15202" s="688"/>
      <c r="C15202" s="896" t="s">
        <v>85</v>
      </c>
      <c r="D15202" s="599"/>
      <c r="E15202" s="401"/>
      <c r="F15202" s="599"/>
      <c r="G15202" s="661"/>
      <c r="H15202" s="438">
        <f>SUM(H15191:H15201)</f>
      </c>
    </row>
    <row r="15203" spans="1:8" ht="15.75" customHeight="1" x14ac:dyDescent="0.25">
      <c r="A15203" s="932"/>
      <c r="B15203" s="933"/>
      <c r="C15203" s="934"/>
      <c r="D15203" s="431"/>
      <c r="E15203" s="935"/>
      <c r="F15203" s="935"/>
      <c r="G15203" s="936"/>
      <c r="H15203" s="444"/>
    </row>
    <row r="15204" spans="1:8" ht="15.75" customHeight="1" x14ac:dyDescent="0.25">
      <c r="A15204" s="994" t="s">
        <v>913</v>
      </c>
      <c r="B15204" s="391"/>
      <c r="C15204" s="391"/>
      <c r="D15204" s="391"/>
      <c r="E15204" s="390"/>
      <c r="F15204" s="392"/>
      <c r="G15204" s="390"/>
      <c r="H15204" s="394"/>
    </row>
    <row r="15205" spans="1:8" ht="15.75" customHeight="1" x14ac:dyDescent="0.25">
      <c r="A15205" s="445"/>
      <c r="B15205" s="445"/>
      <c r="C15205" s="445"/>
      <c r="D15205" s="446" t="s">
        <v>97</v>
      </c>
      <c r="E15205" s="445" t="s">
        <v>98</v>
      </c>
      <c r="F15205" s="445"/>
      <c r="G15205" s="390"/>
      <c r="H15205" s="394"/>
    </row>
    <row r="15206" spans="1:8" ht="15.75" customHeight="1" x14ac:dyDescent="0.25">
      <c r="A15206" s="445"/>
      <c r="B15206" s="445"/>
      <c r="C15206" s="445"/>
      <c r="D15206" s="446"/>
      <c r="E15206" s="445"/>
      <c r="F15206" s="445"/>
      <c r="G15206" s="390"/>
      <c r="H15206" s="394"/>
    </row>
    <row r="15207" spans="1:8" ht="15.75" customHeight="1" x14ac:dyDescent="0.25">
      <c r="A15207" s="445"/>
      <c r="B15207" s="445"/>
      <c r="C15207" s="445"/>
      <c r="D15207" s="446"/>
      <c r="E15207" s="445"/>
      <c r="F15207" s="445"/>
      <c r="G15207" s="390"/>
      <c r="H15207" s="394"/>
    </row>
    <row r="15208" spans="1:8" ht="15.75" customHeight="1" x14ac:dyDescent="0.25">
      <c r="A15208" s="445"/>
      <c r="B15208" s="445"/>
      <c r="C15208" s="445"/>
      <c r="D15208" s="446"/>
      <c r="E15208" s="445" t="s">
        <v>99</v>
      </c>
      <c r="F15208" s="445"/>
      <c r="G15208" s="390"/>
      <c r="H15208" s="394"/>
    </row>
    <row r="15209" spans="1:8" ht="15.75" customHeight="1" x14ac:dyDescent="0.25">
      <c r="D15209" s="4"/>
      <c r="H15209" s="4"/>
    </row>
    <row r="15210" spans="1:8" ht="15.75" customHeight="1" x14ac:dyDescent="0.25">
      <c r="D15210" s="4"/>
      <c r="H15210" s="4"/>
    </row>
    <row r="15211" spans="1:8" ht="15.75" customHeight="1" x14ac:dyDescent="0.25">
      <c r="D15211" s="4"/>
      <c r="H15211" s="4"/>
    </row>
    <row r="15212" spans="1:8" ht="15.75" customHeight="1" x14ac:dyDescent="0.25">
      <c r="D15212" s="4"/>
      <c r="H15212" s="4"/>
    </row>
    <row r="15213" spans="1:8" ht="15.75" customHeight="1" x14ac:dyDescent="0.25">
      <c r="D15213" s="4"/>
      <c r="H15213" s="4"/>
    </row>
    <row r="15214" spans="1:8" ht="15.75" customHeight="1" x14ac:dyDescent="0.25">
      <c r="D15214" s="4"/>
      <c r="H15214" s="4"/>
    </row>
    <row r="15215" spans="1:8" ht="15.75" customHeight="1" x14ac:dyDescent="0.25">
      <c r="D15215" s="4"/>
      <c r="H15215" s="4"/>
    </row>
    <row r="15216" spans="1:8" ht="15.75" customHeight="1" x14ac:dyDescent="0.25">
      <c r="D15216" s="4"/>
      <c r="H15216" s="4"/>
    </row>
    <row r="15217" spans="1:8" ht="15.75" customHeight="1" x14ac:dyDescent="0.25">
      <c r="D15217" s="4"/>
      <c r="H15217" s="4"/>
    </row>
    <row r="15218" spans="1:8" ht="15.75" customHeight="1" x14ac:dyDescent="0.25">
      <c r="D15218" s="4"/>
      <c r="H15218" s="4"/>
    </row>
    <row r="15219" spans="1:8" ht="15.75" customHeight="1" x14ac:dyDescent="0.25">
      <c r="D15219" s="4"/>
      <c r="H15219" s="4"/>
    </row>
    <row r="15220" spans="1:8" ht="15.75" customHeight="1" x14ac:dyDescent="0.25">
      <c r="D15220" s="4"/>
      <c r="H15220" s="4"/>
    </row>
    <row r="15221" spans="1:8" ht="15.75" customHeight="1" x14ac:dyDescent="0.25">
      <c r="D15221" s="4"/>
      <c r="H15221" s="4"/>
    </row>
    <row r="15222" spans="1:8" ht="15.75" customHeight="1" x14ac:dyDescent="0.25">
      <c r="D15222" s="4"/>
      <c r="H15222" s="4"/>
    </row>
    <row r="15223" spans="1:8" ht="15.75" customHeight="1" x14ac:dyDescent="0.25">
      <c r="D15223" s="4"/>
      <c r="H15223" s="4"/>
    </row>
    <row r="15224" spans="1:8" ht="15.75" customHeight="1" x14ac:dyDescent="0.25">
      <c r="A15224" s="8" t="s">
        <v>14</v>
      </c>
      <c r="B15224" s="8"/>
      <c r="C15224" s="8"/>
      <c r="D15224" s="8"/>
      <c r="E15224" s="8"/>
      <c r="F15224" s="8"/>
      <c r="G15224" s="8"/>
      <c r="H15224" s="8"/>
    </row>
    <row r="15225" spans="1:8" ht="15.75" customHeight="1" x14ac:dyDescent="0.25">
      <c r="A15225" s="388"/>
      <c r="B15225" s="388"/>
      <c r="C15225" s="388"/>
      <c r="D15225" s="389"/>
      <c r="E15225" s="388"/>
      <c r="F15225" s="388"/>
      <c r="G15225" s="388"/>
      <c r="H15225" s="8"/>
    </row>
    <row r="15226" spans="1:8" ht="15.75" customHeight="1" x14ac:dyDescent="0.25">
      <c r="A15226" s="390" t="s">
        <v>20</v>
      </c>
      <c r="B15226" s="390"/>
      <c r="C15226" s="390"/>
      <c r="F15226" s="395" t="s">
        <v>18</v>
      </c>
      <c r="G15226" s="396" t="s">
        <v>1261</v>
      </c>
      <c r="H15226" s="397"/>
    </row>
    <row r="15227" spans="1:8" ht="15.75" customHeight="1" x14ac:dyDescent="0.25">
      <c r="A15227" s="390" t="inlineStr">
        <is>
          <t>Dealer-001</t>
        </is>
      </c>
      <c r="B15227" s="390"/>
      <c r="C15227" s="390"/>
      <c r="F15227" s="395" t="s">
        <v>21</v>
      </c>
      <c r="G15227" s="390" t="s">
        <v>1391</v>
      </c>
      <c r="H15227" s="391"/>
    </row>
    <row r="15228" spans="1:8" ht="15.75" customHeight="1" x14ac:dyDescent="0.25">
      <c r="A15228" s="390" t="inlineStr">
        <is>
          <t>Address line (redacted)</t>
        </is>
      </c>
      <c r="B15228" s="390"/>
      <c r="C15228" s="390"/>
      <c r="F15228" s="391"/>
      <c r="G15228" s="390"/>
      <c r="H15228" s="394"/>
    </row>
    <row r="15229" spans="1:8" ht="15.75" customHeight="1" x14ac:dyDescent="0.25">
      <c r="A15229" s="390"/>
      <c r="B15229" s="390"/>
      <c r="C15229" s="390"/>
      <c r="F15229" s="391"/>
      <c r="G15229" s="390"/>
      <c r="H15229" s="394"/>
    </row>
    <row r="15230" spans="1:8" ht="15.75" customHeight="1" x14ac:dyDescent="0.25">
      <c r="A15230" s="390" t="inlineStr">
        <is>
          <t>Through: Transporter-001</t>
        </is>
      </c>
      <c r="B15230" s="390"/>
      <c r="C15230" s="390"/>
      <c r="F15230" s="391"/>
      <c r="G15230" s="390"/>
      <c r="H15230" s="394"/>
    </row>
    <row r="15231" spans="1:8" ht="15.75" customHeight="1" x14ac:dyDescent="0.25">
      <c r="A15231" s="390"/>
      <c r="B15231" s="390" t="inlineStr">
        <is>
          <t>Address line (redacted)</t>
        </is>
      </c>
      <c r="C15231" s="390"/>
      <c r="F15231" s="391"/>
      <c r="G15231" s="390"/>
      <c r="H15231" s="394"/>
    </row>
    <row r="15232" spans="1:8" ht="15.75" customHeight="1" x14ac:dyDescent="0.25">
      <c r="A15232" s="390"/>
      <c r="B15232" s="390" t="inlineStr">
        <is>
          <t>Address line (redacted)</t>
        </is>
      </c>
      <c r="C15232" s="390"/>
      <c r="F15232" s="391"/>
      <c r="G15232" s="390"/>
      <c r="H15232" s="394"/>
    </row>
    <row r="15233" spans="1:8" ht="15.75" customHeight="1" x14ac:dyDescent="0.25">
      <c r="A15233" s="390"/>
      <c r="B15233" s="390"/>
      <c r="C15233" s="390"/>
      <c r="D15233" s="391"/>
      <c r="E15233" s="390"/>
      <c r="F15233" s="391"/>
      <c r="G15233" s="390"/>
      <c r="H15233" s="394"/>
    </row>
    <row r="15234" spans="1:8" ht="15.75" customHeight="1" x14ac:dyDescent="0.25">
      <c r="A15234" s="2" t="s">
        <v>30</v>
      </c>
      <c r="B15234" s="390"/>
      <c r="C15234" s="390"/>
      <c r="D15234" s="391"/>
      <c r="E15234" s="390"/>
      <c r="F15234" s="391"/>
      <c r="G15234" s="390"/>
      <c r="H15234" s="394"/>
    </row>
    <row r="15235" spans="1:8" ht="15.75" customHeight="1" x14ac:dyDescent="0.25">
      <c r="B15235" s="390"/>
      <c r="C15235" s="390"/>
      <c r="D15235" s="391"/>
      <c r="E15235" s="390"/>
      <c r="F15235" s="391"/>
      <c r="G15235" s="390"/>
      <c r="H15235" s="394"/>
    </row>
    <row r="15236" spans="1:8" ht="15.75" customHeight="1" x14ac:dyDescent="0.25">
      <c r="A15236" s="390" t="s">
        <v>716</v>
      </c>
      <c r="B15236" s="390"/>
      <c r="C15236" s="390"/>
      <c r="D15236" s="391"/>
      <c r="E15236" s="390"/>
      <c r="F15236" s="391"/>
      <c r="G15236" s="390"/>
      <c r="H15236" s="394"/>
    </row>
    <row r="15237" spans="1:8" ht="15.75" customHeight="1" x14ac:dyDescent="0.25">
      <c r="A15237" s="390" t="s">
        <v>717</v>
      </c>
      <c r="B15237" s="390"/>
      <c r="C15237" s="390"/>
      <c r="D15237" s="391"/>
      <c r="E15237" s="390"/>
      <c r="F15237" s="391"/>
      <c r="G15237" s="390"/>
      <c r="H15237" s="394"/>
    </row>
    <row r="15238" spans="1:8" ht="15.75" customHeight="1" x14ac:dyDescent="0.25">
      <c r="A15238" s="390"/>
      <c r="B15238" s="390"/>
      <c r="C15238" s="390"/>
      <c r="D15238" s="391"/>
      <c r="E15238" s="390"/>
      <c r="F15238" s="391"/>
      <c r="G15238" s="390"/>
      <c r="H15238" s="394"/>
    </row>
    <row r="15239" spans="1:8" ht="15.75" customHeight="1" x14ac:dyDescent="0.25">
      <c r="A15239" s="948" t="s">
        <v>33</v>
      </c>
      <c r="B15239" s="872" t="s">
        <v>6</v>
      </c>
      <c r="C15239" s="872"/>
      <c r="D15239" s="874" t="s">
        <v>37</v>
      </c>
      <c r="E15239" s="874" t="s">
        <v>38</v>
      </c>
      <c r="F15239" s="875" t="s">
        <v>7</v>
      </c>
      <c r="G15239" s="872" t="s">
        <v>43</v>
      </c>
      <c r="H15239" s="876" t="s">
        <v>44</v>
      </c>
    </row>
    <row r="15240" spans="1:8" ht="15.75" customHeight="1" x14ac:dyDescent="0.3">
      <c r="A15240" s="412"/>
      <c r="B15240" s="1033"/>
      <c r="C15240" s="1033"/>
      <c r="D15240" s="879"/>
      <c r="E15240" s="879"/>
      <c r="F15240" s="415"/>
      <c r="G15240" s="415"/>
      <c r="H15240" s="416"/>
    </row>
    <row r="15241" spans="1:8" ht="15.75" customHeight="1" x14ac:dyDescent="0.25">
      <c r="A15241" s="412"/>
      <c r="B15241" s="953" t="s">
        <v>1365</v>
      </c>
      <c r="C15241" s="953"/>
      <c r="D15241" s="415"/>
      <c r="E15241" s="415"/>
      <c r="F15241" s="415"/>
      <c r="G15241" s="415"/>
      <c r="H15241" s="416"/>
    </row>
    <row r="15242" spans="1:8" ht="15.75" customHeight="1" x14ac:dyDescent="0.25">
      <c r="A15242" s="412">
        <v>1</v>
      </c>
      <c r="B15242" s="1118">
        <v>510</v>
      </c>
      <c r="C15242" s="993"/>
      <c r="D15242" s="588">
        <v>2</v>
      </c>
      <c r="E15242" s="588">
        <v>4</v>
      </c>
      <c r="F15242" s="415">
        <v>7</v>
      </c>
      <c r="G15242" s="415">
        <v>1</v>
      </c>
      <c r="H15242" s="416">
        <f>+G15242*F15242</f>
      </c>
    </row>
    <row r="15243" spans="1:8" ht="15.75" customHeight="1" x14ac:dyDescent="0.25">
      <c r="A15243" s="412"/>
      <c r="B15243" s="953" t="s">
        <v>50</v>
      </c>
      <c r="C15243" s="953"/>
      <c r="D15243" s="981"/>
      <c r="E15243" s="981"/>
      <c r="F15243" s="415"/>
      <c r="G15243" s="415"/>
      <c r="H15243" s="416"/>
    </row>
    <row r="15244" spans="1:8" ht="15.75" customHeight="1" x14ac:dyDescent="0.25">
      <c r="A15244" s="412">
        <v>2</v>
      </c>
      <c r="B15244" s="585" t="s">
        <v>1554</v>
      </c>
      <c r="C15244" s="993" t="s">
        <v>109</v>
      </c>
      <c r="D15244" s="981">
        <f t="shared" ref="D15244:D15245" si="636">200/25</f>
      </c>
      <c r="E15244" s="981">
        <v>25</v>
      </c>
      <c r="F15244" s="415">
        <f t="shared" ref="F15244:F15245" si="637">+E15244*D15244</f>
      </c>
      <c r="G15244" s="415">
        <v>1</v>
      </c>
      <c r="H15244" s="416">
        <f t="shared" ref="H15244:H15245" si="638">+G15244*F15244</f>
      </c>
    </row>
    <row r="15245" spans="1:8" ht="15.75" customHeight="1" x14ac:dyDescent="0.25">
      <c r="A15245" s="412">
        <v>3</v>
      </c>
      <c r="B15245" s="585" t="s">
        <v>56</v>
      </c>
      <c r="C15245" s="993" t="s">
        <v>57</v>
      </c>
      <c r="D15245" s="981">
        <f t="shared" si="636"/>
      </c>
      <c r="E15245" s="981">
        <v>25</v>
      </c>
      <c r="F15245" s="415">
        <f t="shared" si="637"/>
      </c>
      <c r="G15245" s="415">
        <v>1</v>
      </c>
      <c r="H15245" s="416">
        <f t="shared" si="638"/>
      </c>
    </row>
    <row r="15246" spans="1:8" ht="15.75" customHeight="1" x14ac:dyDescent="0.25">
      <c r="A15246" s="412"/>
      <c r="B15246" s="585"/>
      <c r="C15246" s="993"/>
      <c r="D15246" s="930"/>
      <c r="E15246" s="930"/>
      <c r="F15246" s="415"/>
      <c r="G15246" s="415"/>
      <c r="H15246" s="416"/>
    </row>
    <row r="15247" spans="1:8" ht="15.75" customHeight="1" x14ac:dyDescent="0.25">
      <c r="A15247" s="412"/>
      <c r="B15247" s="1175" t="s">
        <v>2379</v>
      </c>
      <c r="C15247" s="993"/>
      <c r="D15247" s="930"/>
      <c r="E15247" s="930"/>
      <c r="F15247" s="415"/>
      <c r="G15247" s="415"/>
      <c r="H15247" s="416"/>
    </row>
    <row r="15248" spans="1:8" ht="15.75" customHeight="1" x14ac:dyDescent="0.25">
      <c r="A15248" s="412"/>
      <c r="B15248" s="1176"/>
      <c r="C15248" s="993"/>
      <c r="D15248" s="930"/>
      <c r="E15248" s="930"/>
      <c r="F15248" s="415"/>
      <c r="G15248" s="415"/>
      <c r="H15248" s="416"/>
    </row>
    <row r="15249" spans="1:8" ht="15.75" customHeight="1" x14ac:dyDescent="0.25">
      <c r="A15249" s="412"/>
      <c r="B15249" s="1177"/>
      <c r="C15249" s="993"/>
      <c r="D15249" s="930"/>
      <c r="E15249" s="930"/>
      <c r="F15249" s="415"/>
      <c r="G15249" s="415"/>
      <c r="H15249" s="416"/>
    </row>
    <row r="15250" spans="1:8" ht="15.75" customHeight="1" x14ac:dyDescent="0.25">
      <c r="A15250" s="412"/>
      <c r="B15250" s="1127"/>
      <c r="C15250" s="993"/>
      <c r="D15250" s="626"/>
      <c r="E15250" s="626"/>
      <c r="F15250" s="415"/>
      <c r="G15250" s="415"/>
      <c r="H15250" s="416"/>
    </row>
    <row r="15251" spans="1:8" ht="15.75" customHeight="1" x14ac:dyDescent="0.25">
      <c r="A15251" s="877"/>
      <c r="B15251" s="688"/>
      <c r="C15251" s="896" t="s">
        <v>85</v>
      </c>
      <c r="D15251" s="599"/>
      <c r="E15251" s="401"/>
      <c r="F15251" s="599"/>
      <c r="G15251" s="661"/>
      <c r="H15251" s="438">
        <f>SUM(H15242:H15250)</f>
      </c>
    </row>
    <row r="15252" spans="1:8" ht="15.75" customHeight="1" x14ac:dyDescent="0.25">
      <c r="A15252" s="932"/>
      <c r="B15252" s="933"/>
      <c r="C15252" s="934"/>
      <c r="D15252" s="431"/>
      <c r="E15252" s="935"/>
      <c r="F15252" s="935"/>
      <c r="G15252" s="936"/>
      <c r="H15252" s="444"/>
    </row>
    <row r="15253" spans="1:8" ht="15.75" customHeight="1" x14ac:dyDescent="0.25">
      <c r="A15253" s="994"/>
      <c r="B15253" s="391"/>
      <c r="C15253" s="391"/>
      <c r="D15253" s="391"/>
      <c r="E15253" s="390"/>
      <c r="F15253" s="392"/>
      <c r="G15253" s="390"/>
      <c r="H15253" s="394"/>
    </row>
    <row r="15254" spans="1:8" ht="15.75" customHeight="1" x14ac:dyDescent="0.25">
      <c r="A15254" s="445"/>
      <c r="B15254" s="445"/>
      <c r="C15254" s="445"/>
      <c r="D15254" s="446" t="s">
        <v>97</v>
      </c>
      <c r="E15254" s="445" t="s">
        <v>98</v>
      </c>
      <c r="F15254" s="445"/>
      <c r="G15254" s="390"/>
      <c r="H15254" s="394"/>
    </row>
    <row r="15255" spans="1:8" ht="15.75" customHeight="1" x14ac:dyDescent="0.25">
      <c r="A15255" s="445"/>
      <c r="B15255" s="445"/>
      <c r="C15255" s="445"/>
      <c r="D15255" s="446"/>
      <c r="E15255" s="445"/>
      <c r="F15255" s="445"/>
      <c r="G15255" s="390"/>
      <c r="H15255" s="394"/>
    </row>
    <row r="15256" spans="1:8" ht="15.75" customHeight="1" x14ac:dyDescent="0.25">
      <c r="A15256" s="445"/>
      <c r="B15256" s="445"/>
      <c r="C15256" s="445"/>
      <c r="D15256" s="446"/>
      <c r="E15256" s="445"/>
      <c r="F15256" s="445"/>
      <c r="G15256" s="390"/>
      <c r="H15256" s="394"/>
    </row>
    <row r="15257" spans="1:8" ht="15.75" customHeight="1" x14ac:dyDescent="0.25">
      <c r="A15257" s="445"/>
      <c r="B15257" s="445"/>
      <c r="C15257" s="445"/>
      <c r="D15257" s="446"/>
      <c r="E15257" s="445" t="s">
        <v>99</v>
      </c>
      <c r="F15257" s="445"/>
      <c r="G15257" s="390"/>
      <c r="H15257" s="394"/>
    </row>
    <row r="15258" spans="1:8" ht="15.75" customHeight="1" x14ac:dyDescent="0.25">
      <c r="A15258" s="392"/>
      <c r="B15258" s="391"/>
      <c r="C15258" s="391"/>
      <c r="D15258" s="391"/>
      <c r="E15258" s="390"/>
      <c r="F15258" s="392"/>
      <c r="G15258" s="390"/>
      <c r="H15258" s="394"/>
    </row>
    <row r="15259" spans="1:8" ht="15.75" customHeight="1" x14ac:dyDescent="0.25">
      <c r="D15259" s="4"/>
      <c r="H15259" s="4"/>
    </row>
    <row r="15260" spans="1:8" ht="15.75" customHeight="1" x14ac:dyDescent="0.25">
      <c r="D15260" s="4"/>
      <c r="H15260" s="4"/>
    </row>
    <row r="15261" spans="1:8" ht="15.75" customHeight="1" x14ac:dyDescent="0.25">
      <c r="D15261" s="4"/>
      <c r="H15261" s="4"/>
    </row>
    <row r="15262" spans="1:8" ht="15.75" customHeight="1" x14ac:dyDescent="0.25">
      <c r="D15262" s="4"/>
      <c r="H15262" s="4"/>
    </row>
    <row r="15263" spans="1:8" ht="15.75" customHeight="1" x14ac:dyDescent="0.25">
      <c r="D15263" s="4"/>
      <c r="H15263" s="4"/>
    </row>
    <row r="15264" spans="1:8" ht="15.75" customHeight="1" x14ac:dyDescent="0.25">
      <c r="D15264" s="4"/>
      <c r="H15264" s="4"/>
    </row>
    <row r="15265" spans="1:8" ht="15.75" customHeight="1" x14ac:dyDescent="0.25">
      <c r="D15265" s="4"/>
      <c r="H15265" s="4"/>
    </row>
    <row r="15266" spans="1:8" ht="15.75" customHeight="1" x14ac:dyDescent="0.25">
      <c r="D15266" s="4"/>
      <c r="H15266" s="4"/>
    </row>
    <row r="15267" spans="1:8" ht="15.75" customHeight="1" x14ac:dyDescent="0.25">
      <c r="D15267" s="4"/>
      <c r="H15267" s="4"/>
    </row>
    <row r="15268" spans="1:8" ht="15.75" customHeight="1" x14ac:dyDescent="0.25">
      <c r="A15268" s="8" t="s">
        <v>14</v>
      </c>
      <c r="B15268" s="8"/>
      <c r="C15268" s="8"/>
      <c r="D15268" s="8"/>
      <c r="E15268" s="8"/>
      <c r="F15268" s="8"/>
      <c r="G15268" s="8"/>
      <c r="H15268" s="8"/>
    </row>
    <row r="15269" spans="1:8" ht="15.75" customHeight="1" x14ac:dyDescent="0.25">
      <c r="A15269" s="388"/>
      <c r="B15269" s="388"/>
      <c r="C15269" s="388"/>
      <c r="D15269" s="389"/>
      <c r="E15269" s="388"/>
      <c r="F15269" s="388"/>
      <c r="G15269" s="388"/>
      <c r="H15269" s="8"/>
    </row>
    <row r="15270" spans="1:8" ht="15.75" customHeight="1" x14ac:dyDescent="0.25">
      <c r="A15270" s="390" t="s">
        <v>20</v>
      </c>
      <c r="B15270" s="390"/>
      <c r="C15270" s="390"/>
      <c r="F15270" s="395" t="s">
        <v>18</v>
      </c>
      <c r="G15270" s="396" t="s">
        <v>1261</v>
      </c>
      <c r="H15270" s="397"/>
    </row>
    <row r="15271" spans="1:8" ht="15.75" customHeight="1" x14ac:dyDescent="0.25">
      <c r="A15271" s="390" t="inlineStr">
        <is>
          <t>Dealer-001</t>
        </is>
      </c>
      <c r="B15271" s="390"/>
      <c r="C15271" s="390"/>
      <c r="F15271" s="395" t="s">
        <v>21</v>
      </c>
      <c r="G15271" s="390" t="s">
        <v>1392</v>
      </c>
      <c r="H15271" s="391"/>
    </row>
    <row r="15272" spans="1:8" ht="15.75" customHeight="1" x14ac:dyDescent="0.25">
      <c r="A15272" s="390" t="inlineStr">
        <is>
          <t>Address line (redacted)</t>
        </is>
      </c>
      <c r="B15272" s="390"/>
      <c r="C15272" s="390"/>
      <c r="F15272" s="391"/>
      <c r="G15272" s="390"/>
      <c r="H15272" s="394"/>
    </row>
    <row r="15273" spans="1:8" ht="15.75" customHeight="1" x14ac:dyDescent="0.25">
      <c r="A15273" s="390"/>
      <c r="B15273" s="390"/>
      <c r="C15273" s="390"/>
      <c r="F15273" s="391"/>
      <c r="G15273" s="390"/>
      <c r="H15273" s="394"/>
    </row>
    <row r="15274" spans="1:8" ht="15.75" customHeight="1" x14ac:dyDescent="0.25">
      <c r="A15274" s="390" t="inlineStr">
        <is>
          <t>Through: Transporter-003</t>
        </is>
      </c>
      <c r="B15274" s="390"/>
      <c r="C15274" s="393" t="inlineStr">
        <is>
          <t>Address line (redacted)</t>
        </is>
      </c>
      <c r="F15274" s="391"/>
      <c r="G15274" s="390"/>
      <c r="H15274" s="394"/>
    </row>
    <row r="15275" spans="1:8" ht="15.75" customHeight="1" x14ac:dyDescent="0.25">
      <c r="A15275" s="390"/>
      <c r="B15275" s="390" t="inlineStr">
        <is>
          <t>Address line (redacted)</t>
        </is>
      </c>
      <c r="C15275" s="390"/>
      <c r="F15275" s="391"/>
      <c r="G15275" s="390"/>
      <c r="H15275" s="394"/>
    </row>
    <row r="15276" spans="1:8" ht="15.75" customHeight="1" x14ac:dyDescent="0.25">
      <c r="A15276" s="390"/>
      <c r="B15276" s="390"/>
      <c r="C15276" s="393" t="inlineStr">
        <is>
          <t>Address line (redacted)</t>
        </is>
      </c>
      <c r="F15276" s="391"/>
      <c r="G15276" s="390"/>
      <c r="H15276" s="394"/>
    </row>
    <row r="15277" spans="1:8" ht="15.75" customHeight="1" x14ac:dyDescent="0.25">
      <c r="A15277" s="390"/>
      <c r="B15277" s="390"/>
      <c r="C15277" s="390"/>
      <c r="D15277" s="391"/>
      <c r="E15277" s="390"/>
      <c r="F15277" s="391"/>
      <c r="G15277" s="390"/>
      <c r="H15277" s="394"/>
    </row>
    <row r="15278" spans="1:8" ht="15.75" customHeight="1" x14ac:dyDescent="0.25">
      <c r="A15278" s="2" t="s">
        <v>30</v>
      </c>
      <c r="B15278" s="390"/>
      <c r="C15278" s="390"/>
      <c r="D15278" s="391"/>
      <c r="E15278" s="390"/>
      <c r="F15278" s="391"/>
      <c r="G15278" s="390"/>
      <c r="H15278" s="394"/>
    </row>
    <row r="15279" spans="1:8" ht="15.75" customHeight="1" x14ac:dyDescent="0.25">
      <c r="B15279" s="390"/>
      <c r="C15279" s="390"/>
      <c r="D15279" s="391"/>
      <c r="E15279" s="390"/>
      <c r="F15279" s="391"/>
      <c r="G15279" s="390"/>
      <c r="H15279" s="394"/>
    </row>
    <row r="15280" spans="1:8" ht="15.75" customHeight="1" x14ac:dyDescent="0.25">
      <c r="A15280" s="390" t="s">
        <v>716</v>
      </c>
      <c r="B15280" s="390"/>
      <c r="C15280" s="390"/>
      <c r="D15280" s="391"/>
      <c r="E15280" s="390"/>
      <c r="F15280" s="391"/>
      <c r="G15280" s="390"/>
      <c r="H15280" s="394"/>
    </row>
    <row r="15281" spans="1:8" ht="15.75" customHeight="1" x14ac:dyDescent="0.25">
      <c r="A15281" s="390" t="s">
        <v>717</v>
      </c>
      <c r="B15281" s="390"/>
      <c r="C15281" s="390"/>
      <c r="D15281" s="391"/>
      <c r="E15281" s="390"/>
      <c r="F15281" s="391"/>
      <c r="G15281" s="390"/>
      <c r="H15281" s="394"/>
    </row>
    <row r="15282" spans="1:8" ht="15.75" customHeight="1" x14ac:dyDescent="0.25">
      <c r="A15282" s="390"/>
      <c r="B15282" s="390"/>
      <c r="C15282" s="390"/>
      <c r="D15282" s="391"/>
      <c r="E15282" s="390"/>
      <c r="F15282" s="391"/>
      <c r="G15282" s="390"/>
      <c r="H15282" s="394"/>
    </row>
    <row r="15283" spans="1:8" ht="15.75" customHeight="1" x14ac:dyDescent="0.25">
      <c r="A15283" s="948" t="s">
        <v>33</v>
      </c>
      <c r="B15283" s="872" t="s">
        <v>6</v>
      </c>
      <c r="C15283" s="872"/>
      <c r="D15283" s="874" t="s">
        <v>37</v>
      </c>
      <c r="E15283" s="874" t="s">
        <v>38</v>
      </c>
      <c r="F15283" s="875" t="s">
        <v>7</v>
      </c>
      <c r="G15283" s="872" t="s">
        <v>43</v>
      </c>
      <c r="H15283" s="876" t="s">
        <v>44</v>
      </c>
    </row>
    <row r="15284" spans="1:8" ht="15.75" customHeight="1" x14ac:dyDescent="0.3">
      <c r="A15284" s="412"/>
      <c r="B15284" s="1033"/>
      <c r="C15284" s="1033"/>
      <c r="D15284" s="879"/>
      <c r="E15284" s="879"/>
      <c r="F15284" s="415"/>
      <c r="G15284" s="415"/>
      <c r="H15284" s="416"/>
    </row>
    <row r="15285" spans="1:8" ht="15.75" customHeight="1" x14ac:dyDescent="0.25">
      <c r="A15285" s="412"/>
      <c r="B15285" s="953" t="s">
        <v>1365</v>
      </c>
      <c r="C15285" s="953"/>
      <c r="D15285" s="415"/>
      <c r="E15285" s="415"/>
      <c r="F15285" s="415"/>
      <c r="G15285" s="415"/>
      <c r="H15285" s="416"/>
    </row>
    <row r="15286" spans="1:8" ht="15.75" customHeight="1" x14ac:dyDescent="0.25">
      <c r="A15286" s="412">
        <v>1</v>
      </c>
      <c r="B15286" s="1118">
        <v>510</v>
      </c>
      <c r="C15286" s="993"/>
      <c r="D15286" s="588">
        <v>3</v>
      </c>
      <c r="E15286" s="588">
        <v>4</v>
      </c>
      <c r="F15286" s="415">
        <f>+E15286*D15286</f>
      </c>
      <c r="G15286" s="415">
        <v>1</v>
      </c>
      <c r="H15286" s="416">
        <f>+G15286*F15286</f>
      </c>
    </row>
    <row r="15287" spans="1:8" ht="15.75" customHeight="1" x14ac:dyDescent="0.25">
      <c r="A15287" s="412"/>
      <c r="B15287" s="1118"/>
      <c r="C15287" s="993"/>
      <c r="D15287" s="626"/>
      <c r="E15287" s="626"/>
      <c r="F15287" s="415"/>
      <c r="G15287" s="415"/>
      <c r="H15287" s="416"/>
    </row>
    <row r="15288" spans="1:8" ht="15.75" customHeight="1" x14ac:dyDescent="0.25">
      <c r="A15288" s="412"/>
      <c r="B15288" s="1178" t="s">
        <v>2384</v>
      </c>
      <c r="C15288" s="993"/>
      <c r="D15288" s="626"/>
      <c r="E15288" s="626"/>
      <c r="F15288" s="415"/>
      <c r="G15288" s="415"/>
      <c r="H15288" s="416"/>
    </row>
    <row r="15289" spans="1:8" ht="15.75" customHeight="1" x14ac:dyDescent="0.25">
      <c r="A15289" s="412"/>
      <c r="B15289" s="1179"/>
      <c r="C15289" s="993"/>
      <c r="D15289" s="626"/>
      <c r="E15289" s="626"/>
      <c r="F15289" s="415"/>
      <c r="G15289" s="415"/>
      <c r="H15289" s="416"/>
    </row>
    <row r="15290" spans="1:8" ht="15.75" customHeight="1" x14ac:dyDescent="0.25">
      <c r="A15290" s="412"/>
      <c r="B15290" s="1127"/>
      <c r="C15290" s="993"/>
      <c r="D15290" s="626"/>
      <c r="E15290" s="626"/>
      <c r="F15290" s="415"/>
      <c r="G15290" s="415"/>
      <c r="H15290" s="416"/>
    </row>
    <row r="15291" spans="1:8" ht="15.75" customHeight="1" x14ac:dyDescent="0.25">
      <c r="A15291" s="877"/>
      <c r="B15291" s="688"/>
      <c r="C15291" s="896" t="s">
        <v>85</v>
      </c>
      <c r="D15291" s="599"/>
      <c r="E15291" s="401"/>
      <c r="F15291" s="599"/>
      <c r="G15291" s="661"/>
      <c r="H15291" s="438">
        <f>SUM(H15286:H15290)</f>
      </c>
    </row>
    <row r="15292" spans="1:8" ht="15.75" customHeight="1" x14ac:dyDescent="0.25">
      <c r="A15292" s="932"/>
      <c r="B15292" s="933"/>
      <c r="C15292" s="934"/>
      <c r="D15292" s="431"/>
      <c r="E15292" s="935"/>
      <c r="F15292" s="935"/>
      <c r="G15292" s="936"/>
      <c r="H15292" s="444"/>
    </row>
    <row r="15293" spans="1:8" ht="15.75" customHeight="1" x14ac:dyDescent="0.25">
      <c r="A15293" s="994"/>
      <c r="B15293" s="391"/>
      <c r="C15293" s="391"/>
      <c r="D15293" s="391"/>
      <c r="E15293" s="390"/>
      <c r="F15293" s="392"/>
      <c r="G15293" s="390"/>
      <c r="H15293" s="394"/>
    </row>
    <row r="15294" spans="1:8" ht="15.75" customHeight="1" x14ac:dyDescent="0.25">
      <c r="A15294" s="445"/>
      <c r="B15294" s="445"/>
      <c r="C15294" s="445"/>
      <c r="D15294" s="446" t="s">
        <v>97</v>
      </c>
      <c r="E15294" s="445" t="s">
        <v>98</v>
      </c>
      <c r="F15294" s="445"/>
      <c r="G15294" s="390"/>
      <c r="H15294" s="394"/>
    </row>
    <row r="15295" spans="1:8" ht="15.75" customHeight="1" x14ac:dyDescent="0.25">
      <c r="A15295" s="445"/>
      <c r="B15295" s="445"/>
      <c r="C15295" s="445"/>
      <c r="D15295" s="446"/>
      <c r="E15295" s="445"/>
      <c r="F15295" s="445"/>
      <c r="G15295" s="390"/>
      <c r="H15295" s="394"/>
    </row>
    <row r="15296" spans="1:8" ht="15.75" customHeight="1" x14ac:dyDescent="0.25">
      <c r="A15296" s="445"/>
      <c r="B15296" s="445"/>
      <c r="C15296" s="445"/>
      <c r="D15296" s="446"/>
      <c r="E15296" s="445"/>
      <c r="F15296" s="445"/>
      <c r="G15296" s="390"/>
      <c r="H15296" s="394"/>
    </row>
    <row r="15297" spans="1:8" ht="15.75" customHeight="1" x14ac:dyDescent="0.25">
      <c r="A15297" s="445"/>
      <c r="B15297" s="445"/>
      <c r="C15297" s="445"/>
      <c r="D15297" s="446"/>
      <c r="E15297" s="445" t="s">
        <v>99</v>
      </c>
      <c r="F15297" s="445"/>
      <c r="G15297" s="390"/>
      <c r="H15297" s="394"/>
    </row>
    <row r="15298" spans="1:8" ht="15.75" customHeight="1" x14ac:dyDescent="0.25">
      <c r="D15298" s="4"/>
      <c r="H15298" s="4"/>
    </row>
    <row r="15299" spans="1:8" ht="15.75" customHeight="1" x14ac:dyDescent="0.25">
      <c r="D15299" s="4"/>
      <c r="H15299" s="4"/>
    </row>
    <row r="15300" spans="1:8" ht="15.75" customHeight="1" x14ac:dyDescent="0.25">
      <c r="D15300" s="4"/>
      <c r="H15300" s="4"/>
    </row>
    <row r="15301" spans="1:8" ht="15.75" customHeight="1" x14ac:dyDescent="0.25">
      <c r="D15301" s="4"/>
      <c r="H15301" s="4"/>
    </row>
    <row r="15302" spans="1:8" ht="15.75" customHeight="1" x14ac:dyDescent="0.25">
      <c r="D15302" s="4"/>
      <c r="H15302" s="4"/>
    </row>
    <row r="15303" spans="1:8" ht="15.75" customHeight="1" x14ac:dyDescent="0.25">
      <c r="D15303" s="4"/>
      <c r="H15303" s="4"/>
    </row>
    <row r="15304" spans="1:8" ht="15.75" customHeight="1" x14ac:dyDescent="0.25">
      <c r="D15304" s="4"/>
      <c r="H15304" s="4"/>
    </row>
    <row r="15305" spans="1:8" ht="15.75" customHeight="1" x14ac:dyDescent="0.25">
      <c r="D15305" s="4"/>
      <c r="H15305" s="4"/>
    </row>
    <row r="15306" spans="1:8" ht="15.75" customHeight="1" x14ac:dyDescent="0.25">
      <c r="D15306" s="4"/>
      <c r="H15306" s="4"/>
    </row>
    <row r="15307" spans="1:8" ht="15.75" customHeight="1" x14ac:dyDescent="0.25">
      <c r="D15307" s="4"/>
      <c r="H15307" s="4"/>
    </row>
    <row r="15308" spans="1:8" ht="15.75" customHeight="1" x14ac:dyDescent="0.25">
      <c r="D15308" s="4"/>
      <c r="H15308" s="4"/>
    </row>
    <row r="15309" spans="1:8" ht="15.75" customHeight="1" x14ac:dyDescent="0.25">
      <c r="D15309" s="4"/>
      <c r="H15309" s="4"/>
    </row>
    <row r="15310" spans="1:8" ht="15.75" customHeight="1" x14ac:dyDescent="0.25">
      <c r="A15310" s="8" t="s">
        <v>14</v>
      </c>
      <c r="B15310" s="8"/>
      <c r="C15310" s="8"/>
      <c r="D15310" s="8"/>
      <c r="E15310" s="8"/>
      <c r="F15310" s="8"/>
      <c r="G15310" s="8"/>
      <c r="H15310" s="8"/>
    </row>
    <row r="15311" spans="1:8" ht="15.75" customHeight="1" x14ac:dyDescent="0.25">
      <c r="A15311" s="388"/>
      <c r="B15311" s="388"/>
      <c r="C15311" s="388"/>
      <c r="D15311" s="389"/>
      <c r="E15311" s="388"/>
      <c r="F15311" s="388"/>
      <c r="G15311" s="388"/>
      <c r="H15311" s="8"/>
    </row>
    <row r="15312" spans="1:8" ht="15.75" customHeight="1" x14ac:dyDescent="0.25">
      <c r="A15312" s="390"/>
      <c r="B15312" s="390"/>
      <c r="C15312" s="390"/>
      <c r="D15312" s="391"/>
      <c r="E15312" s="390"/>
      <c r="F15312" s="395" t="s">
        <v>18</v>
      </c>
      <c r="G15312" s="396" t="s">
        <v>1271</v>
      </c>
      <c r="H15312" s="397"/>
    </row>
    <row r="15313" spans="1:8" ht="15.75" customHeight="1" x14ac:dyDescent="0.25">
      <c r="A15313" s="390" t="s">
        <v>20</v>
      </c>
      <c r="B15313" s="390"/>
      <c r="C15313" s="390"/>
      <c r="D15313" s="391"/>
      <c r="E15313" s="390"/>
      <c r="F15313" s="395" t="s">
        <v>21</v>
      </c>
      <c r="G15313" s="390" t="s">
        <v>1553</v>
      </c>
      <c r="H15313" s="391"/>
    </row>
    <row r="15314" spans="1:8" ht="15.75" customHeight="1" x14ac:dyDescent="0.25">
      <c r="A15314" s="390" t="inlineStr">
        <is>
          <t>Dealer-009</t>
        </is>
      </c>
      <c r="B15314" s="390"/>
      <c r="C15314" s="390" t="inlineStr">
        <is>
          <t>ATTN: Contact-001</t>
        </is>
      </c>
      <c r="D15314" s="398"/>
      <c r="E15314" s="390"/>
      <c r="F15314" s="391"/>
      <c r="G15314" s="390"/>
      <c r="H15314" s="394"/>
    </row>
    <row r="15315" spans="1:8" ht="15.75" customHeight="1" x14ac:dyDescent="0.25">
      <c r="A15315" s="390" t="inlineStr">
        <is>
          <t>Address line (redacted)</t>
        </is>
      </c>
      <c r="B15315" s="390"/>
      <c r="C15315" s="390"/>
      <c r="D15315" s="398"/>
      <c r="E15315" s="390"/>
      <c r="F15315" s="391"/>
      <c r="G15315" s="390"/>
      <c r="H15315" s="394"/>
    </row>
    <row r="15316" spans="1:8" ht="15.75" customHeight="1" x14ac:dyDescent="0.25">
      <c r="A15316" s="390" t="inlineStr">
        <is>
          <t>Address line (redacted)</t>
        </is>
      </c>
      <c r="B15316" s="390"/>
      <c r="C15316" s="390"/>
      <c r="D15316" s="391"/>
      <c r="E15316" s="390"/>
      <c r="F15316" s="391"/>
      <c r="G15316" s="390"/>
      <c r="H15316" s="394"/>
    </row>
    <row r="15317" spans="1:8" ht="15.75" customHeight="1" x14ac:dyDescent="0.25">
      <c r="A15317" s="390"/>
      <c r="B15317" s="390"/>
      <c r="C15317" s="390"/>
      <c r="D15317" s="391"/>
      <c r="E15317" s="390"/>
      <c r="F15317" s="391"/>
      <c r="G15317" s="390"/>
      <c r="H15317" s="394"/>
    </row>
    <row r="15318" spans="1:8" ht="15.75" customHeight="1" x14ac:dyDescent="0.25">
      <c r="A15318" s="390" t="s">
        <v>30</v>
      </c>
      <c r="B15318" s="390"/>
      <c r="C15318" s="390"/>
      <c r="D15318" s="391"/>
      <c r="E15318" s="390"/>
      <c r="F15318" s="391"/>
      <c r="G15318" s="390"/>
      <c r="H15318" s="394"/>
    </row>
    <row r="15319" spans="1:8" ht="15.75" customHeight="1" x14ac:dyDescent="0.25">
      <c r="A15319" s="390"/>
      <c r="B15319" s="390"/>
      <c r="C15319" s="390"/>
      <c r="D15319" s="391"/>
      <c r="E15319" s="390"/>
      <c r="F15319" s="391"/>
      <c r="G15319" s="390"/>
      <c r="H15319" s="394"/>
    </row>
    <row r="15320" spans="1:8" ht="15.75" customHeight="1" x14ac:dyDescent="0.25">
      <c r="A15320" s="390" t="s">
        <v>716</v>
      </c>
      <c r="B15320" s="390"/>
      <c r="C15320" s="390"/>
      <c r="D15320" s="391"/>
      <c r="E15320" s="390"/>
      <c r="F15320" s="391"/>
      <c r="G15320" s="390"/>
      <c r="H15320" s="394"/>
    </row>
    <row r="15321" spans="1:8" ht="15.75" customHeight="1" x14ac:dyDescent="0.25">
      <c r="A15321" s="390" t="s">
        <v>717</v>
      </c>
      <c r="B15321" s="390"/>
      <c r="C15321" s="390"/>
      <c r="D15321" s="391"/>
      <c r="E15321" s="390"/>
      <c r="F15321" s="391"/>
      <c r="G15321" s="390"/>
      <c r="H15321" s="394"/>
    </row>
    <row r="15322" spans="1:8" ht="15.75" customHeight="1" x14ac:dyDescent="0.25">
      <c r="A15322" s="390"/>
      <c r="B15322" s="390"/>
      <c r="C15322" s="390"/>
      <c r="D15322" s="391"/>
      <c r="E15322" s="390"/>
      <c r="F15322" s="391"/>
      <c r="G15322" s="390"/>
      <c r="H15322" s="394"/>
    </row>
    <row r="15323" spans="1:8" ht="15.75" customHeight="1" x14ac:dyDescent="0.25">
      <c r="A15323" s="948" t="s">
        <v>33</v>
      </c>
      <c r="B15323" s="872" t="s">
        <v>6</v>
      </c>
      <c r="C15323" s="872"/>
      <c r="D15323" s="874" t="s">
        <v>37</v>
      </c>
      <c r="E15323" s="874" t="s">
        <v>38</v>
      </c>
      <c r="F15323" s="875" t="s">
        <v>7</v>
      </c>
      <c r="G15323" s="872" t="s">
        <v>43</v>
      </c>
      <c r="H15323" s="876" t="s">
        <v>44</v>
      </c>
    </row>
    <row r="15324" spans="1:8" ht="15.75" customHeight="1" x14ac:dyDescent="0.3">
      <c r="A15324" s="412"/>
      <c r="B15324" s="1033"/>
      <c r="C15324" s="1033"/>
      <c r="D15324" s="879"/>
      <c r="E15324" s="879"/>
      <c r="F15324" s="415"/>
      <c r="G15324" s="415"/>
      <c r="H15324" s="416"/>
    </row>
    <row r="15325" spans="1:8" ht="15.75" customHeight="1" x14ac:dyDescent="0.25">
      <c r="A15325" s="985"/>
      <c r="B15325" s="953" t="s">
        <v>1356</v>
      </c>
      <c r="C15325" s="953"/>
      <c r="D15325" s="1127"/>
      <c r="E15325" s="1127"/>
      <c r="F15325" s="992"/>
      <c r="G15325" s="992"/>
      <c r="H15325" s="989"/>
    </row>
    <row r="15326" spans="1:8" ht="15.75" customHeight="1" x14ac:dyDescent="0.25">
      <c r="A15326" s="985">
        <v>1</v>
      </c>
      <c r="B15326" s="1165" t="s">
        <v>320</v>
      </c>
      <c r="C15326" s="1127" t="s">
        <v>316</v>
      </c>
      <c r="D15326" s="1127">
        <v>2</v>
      </c>
      <c r="E15326" s="1127">
        <v>10</v>
      </c>
      <c r="F15326" s="992">
        <f>+E15326*D15326</f>
      </c>
      <c r="G15326" s="992">
        <v>1</v>
      </c>
      <c r="H15326" s="989">
        <f>+G15326*F15326</f>
      </c>
    </row>
    <row r="15327" spans="1:8" ht="15.75" customHeight="1" x14ac:dyDescent="0.25">
      <c r="A15327" s="985"/>
      <c r="B15327" s="953" t="s">
        <v>1239</v>
      </c>
      <c r="C15327" s="953"/>
      <c r="D15327" s="984"/>
      <c r="E15327" s="984"/>
      <c r="F15327" s="992"/>
      <c r="G15327" s="956"/>
      <c r="H15327" s="989"/>
    </row>
    <row r="15328" spans="1:8" ht="15.75" customHeight="1" x14ac:dyDescent="0.25">
      <c r="A15328" s="985">
        <v>2</v>
      </c>
      <c r="B15328" s="990" t="s">
        <v>2211</v>
      </c>
      <c r="C15328" s="992" t="s">
        <v>109</v>
      </c>
      <c r="D15328" s="1127">
        <v>30</v>
      </c>
      <c r="E15328" s="1127">
        <v>25</v>
      </c>
      <c r="F15328" s="992">
        <f t="shared" ref="F15328:F15334" si="639">+E15328*D15328</f>
      </c>
      <c r="G15328" s="956">
        <v>1</v>
      </c>
      <c r="H15328" s="989">
        <f t="shared" ref="H15328:H15334" si="640">+G15328*F15328</f>
      </c>
    </row>
    <row r="15329" spans="1:8" ht="15.75" customHeight="1" x14ac:dyDescent="0.25">
      <c r="A15329" s="985">
        <v>3</v>
      </c>
      <c r="B15329" s="990" t="s">
        <v>2212</v>
      </c>
      <c r="C15329" s="992" t="s">
        <v>61</v>
      </c>
      <c r="D15329" s="986">
        <v>2</v>
      </c>
      <c r="E15329" s="986">
        <v>25</v>
      </c>
      <c r="F15329" s="992">
        <f t="shared" si="639"/>
      </c>
      <c r="G15329" s="956">
        <v>1</v>
      </c>
      <c r="H15329" s="989">
        <f t="shared" si="640"/>
      </c>
    </row>
    <row r="15330" spans="1:8" ht="15.75" customHeight="1" x14ac:dyDescent="0.25">
      <c r="A15330" s="985">
        <v>4</v>
      </c>
      <c r="B15330" s="990" t="s">
        <v>2213</v>
      </c>
      <c r="C15330" s="992" t="s">
        <v>57</v>
      </c>
      <c r="D15330" s="1127">
        <v>22</v>
      </c>
      <c r="E15330" s="1127">
        <v>25</v>
      </c>
      <c r="F15330" s="992">
        <f t="shared" si="639"/>
      </c>
      <c r="G15330" s="992">
        <v>1</v>
      </c>
      <c r="H15330" s="989">
        <f t="shared" si="640"/>
      </c>
    </row>
    <row r="15331" spans="1:8" ht="15.75" customHeight="1" x14ac:dyDescent="0.25">
      <c r="A15331" s="985">
        <v>5</v>
      </c>
      <c r="B15331" s="990" t="s">
        <v>2164</v>
      </c>
      <c r="C15331" s="992" t="s">
        <v>69</v>
      </c>
      <c r="D15331" s="1127">
        <v>12</v>
      </c>
      <c r="E15331" s="1127">
        <v>25</v>
      </c>
      <c r="F15331" s="992">
        <f t="shared" si="639"/>
      </c>
      <c r="G15331" s="992">
        <v>1</v>
      </c>
      <c r="H15331" s="989">
        <f t="shared" si="640"/>
      </c>
    </row>
    <row r="15332" spans="1:8" ht="15.75" customHeight="1" x14ac:dyDescent="0.25">
      <c r="A15332" s="985">
        <v>6</v>
      </c>
      <c r="B15332" s="990" t="s">
        <v>2211</v>
      </c>
      <c r="C15332" s="992" t="s">
        <v>425</v>
      </c>
      <c r="D15332" s="1127">
        <v>2</v>
      </c>
      <c r="E15332" s="1127">
        <v>25</v>
      </c>
      <c r="F15332" s="992">
        <f t="shared" si="639"/>
      </c>
      <c r="G15332" s="956">
        <v>1</v>
      </c>
      <c r="H15332" s="989">
        <f t="shared" si="640"/>
      </c>
    </row>
    <row r="15333" spans="1:8" ht="15.75" customHeight="1" x14ac:dyDescent="0.25">
      <c r="A15333" s="985">
        <v>7</v>
      </c>
      <c r="B15333" s="990" t="s">
        <v>2214</v>
      </c>
      <c r="C15333" s="992" t="s">
        <v>426</v>
      </c>
      <c r="D15333" s="1127">
        <v>1</v>
      </c>
      <c r="E15333" s="1127">
        <v>25</v>
      </c>
      <c r="F15333" s="992">
        <f t="shared" si="639"/>
      </c>
      <c r="G15333" s="956">
        <v>1</v>
      </c>
      <c r="H15333" s="989">
        <f t="shared" si="640"/>
      </c>
    </row>
    <row r="15334" spans="1:8" ht="15.75" customHeight="1" x14ac:dyDescent="0.25">
      <c r="A15334" s="412">
        <v>8</v>
      </c>
      <c r="B15334" s="913" t="s">
        <v>1554</v>
      </c>
      <c r="C15334" s="1127"/>
      <c r="D15334" s="588">
        <v>1</v>
      </c>
      <c r="E15334" s="981">
        <v>1</v>
      </c>
      <c r="F15334" s="992">
        <f t="shared" si="639"/>
      </c>
      <c r="G15334" s="578">
        <v>1</v>
      </c>
      <c r="H15334" s="989">
        <f t="shared" si="640"/>
      </c>
    </row>
    <row r="15335" spans="1:8" ht="15.75" customHeight="1" x14ac:dyDescent="0.25">
      <c r="A15335" s="412"/>
      <c r="B15335" s="1127"/>
      <c r="C15335" s="1084"/>
      <c r="D15335" s="592"/>
      <c r="E15335" s="592"/>
      <c r="F15335" s="593"/>
      <c r="G15335" s="593"/>
      <c r="H15335" s="931"/>
    </row>
    <row r="15336" spans="1:8" ht="15.75" customHeight="1" x14ac:dyDescent="0.25">
      <c r="A15336" s="1170"/>
      <c r="B15336" s="1171"/>
      <c r="C15336" s="1172" t="s">
        <v>85</v>
      </c>
      <c r="D15336" s="725">
        <f>SUM(D15326:D15335)</f>
      </c>
      <c r="E15336" s="725"/>
      <c r="F15336" s="725"/>
      <c r="G15336" s="1173"/>
      <c r="H15336" s="1174">
        <f>SUM(H15326:H15335)</f>
      </c>
    </row>
    <row r="15337" spans="1:8" ht="15.75" customHeight="1" x14ac:dyDescent="0.25">
      <c r="A15337" s="932"/>
      <c r="B15337" s="933"/>
      <c r="C15337" s="934"/>
      <c r="D15337" s="431"/>
      <c r="E15337" s="935"/>
      <c r="F15337" s="935"/>
      <c r="G15337" s="936"/>
      <c r="H15337" s="444"/>
    </row>
    <row r="15338" spans="1:8" ht="15.75" customHeight="1" x14ac:dyDescent="0.25">
      <c r="A15338" s="994"/>
      <c r="B15338" s="391"/>
      <c r="C15338" s="391"/>
      <c r="D15338" s="391"/>
      <c r="E15338" s="390"/>
      <c r="F15338" s="392"/>
      <c r="G15338" s="390"/>
      <c r="H15338" s="394"/>
    </row>
    <row r="15339" spans="1:8" ht="15.75" customHeight="1" x14ac:dyDescent="0.25">
      <c r="A15339" s="445"/>
      <c r="B15339" s="445"/>
      <c r="C15339" s="445"/>
      <c r="D15339" s="446" t="s">
        <v>97</v>
      </c>
      <c r="E15339" s="445" t="s">
        <v>98</v>
      </c>
      <c r="F15339" s="445"/>
      <c r="G15339" s="390"/>
      <c r="H15339" s="394"/>
    </row>
    <row r="15340" spans="1:8" ht="15.75" customHeight="1" x14ac:dyDescent="0.25">
      <c r="A15340" s="445"/>
      <c r="B15340" s="445"/>
      <c r="C15340" s="445"/>
      <c r="D15340" s="446"/>
      <c r="E15340" s="445"/>
      <c r="F15340" s="445"/>
      <c r="G15340" s="390"/>
      <c r="H15340" s="394"/>
    </row>
    <row r="15341" spans="1:8" ht="15.75" customHeight="1" x14ac:dyDescent="0.25">
      <c r="A15341" s="445"/>
      <c r="B15341" s="445"/>
      <c r="C15341" s="445"/>
      <c r="D15341" s="446"/>
      <c r="E15341" s="445" t="s">
        <v>99</v>
      </c>
      <c r="F15341" s="445"/>
      <c r="G15341" s="390"/>
      <c r="H15341" s="394"/>
    </row>
    <row r="15342" spans="1:8" ht="15.75" customHeight="1" x14ac:dyDescent="0.25">
      <c r="D15342" s="4"/>
      <c r="H15342" s="4"/>
    </row>
    <row r="15343" spans="1:8" ht="15.75" customHeight="1" x14ac:dyDescent="0.25">
      <c r="D15343" s="4"/>
      <c r="H15343" s="4"/>
    </row>
    <row r="15344" spans="1:8" ht="15.75" customHeight="1" x14ac:dyDescent="0.25">
      <c r="D15344" s="4"/>
      <c r="H15344" s="4"/>
    </row>
    <row r="15345" spans="1:8" ht="15.75" customHeight="1" x14ac:dyDescent="0.25">
      <c r="D15345" s="4"/>
      <c r="H15345" s="4"/>
    </row>
    <row r="15346" spans="1:8" ht="15.75" customHeight="1" x14ac:dyDescent="0.25">
      <c r="D15346" s="4"/>
      <c r="H15346" s="4"/>
    </row>
    <row r="15347" spans="1:8" ht="15.75" customHeight="1" x14ac:dyDescent="0.25">
      <c r="D15347" s="4"/>
      <c r="H15347" s="4"/>
    </row>
    <row r="15348" spans="1:8" ht="15.75" customHeight="1" x14ac:dyDescent="0.25">
      <c r="D15348" s="4"/>
      <c r="H15348" s="4"/>
    </row>
    <row r="15349" spans="1:8" ht="15.75" customHeight="1" x14ac:dyDescent="0.25">
      <c r="D15349" s="4"/>
      <c r="H15349" s="4"/>
    </row>
    <row r="15350" spans="1:8" ht="15.75" customHeight="1" x14ac:dyDescent="0.25">
      <c r="D15350" s="4"/>
      <c r="H15350" s="4"/>
    </row>
    <row r="15351" spans="1:8" ht="15.75" customHeight="1" x14ac:dyDescent="0.25">
      <c r="D15351" s="4"/>
      <c r="H15351" s="4"/>
    </row>
    <row r="15352" spans="1:8" ht="15.75" customHeight="1" x14ac:dyDescent="0.25">
      <c r="D15352" s="4"/>
      <c r="H15352" s="4"/>
    </row>
    <row r="15353" spans="1:8" ht="15.75" customHeight="1" x14ac:dyDescent="0.25">
      <c r="D15353" s="4"/>
      <c r="H15353" s="4"/>
    </row>
    <row r="15354" spans="1:8" ht="15.75" customHeight="1" x14ac:dyDescent="0.25">
      <c r="D15354" s="4"/>
      <c r="H15354" s="4"/>
    </row>
    <row r="15355" spans="1:8" ht="15.75" customHeight="1" x14ac:dyDescent="0.25">
      <c r="D15355" s="4"/>
      <c r="H15355" s="4"/>
    </row>
    <row r="15356" spans="1:8" ht="15.75" customHeight="1" x14ac:dyDescent="0.25">
      <c r="A15356" s="8" t="s">
        <v>14</v>
      </c>
      <c r="B15356" s="8"/>
      <c r="C15356" s="8"/>
      <c r="D15356" s="8"/>
      <c r="E15356" s="8"/>
      <c r="F15356" s="8"/>
      <c r="G15356" s="8"/>
      <c r="H15356" s="8"/>
    </row>
    <row r="15357" spans="1:8" ht="15.75" customHeight="1" x14ac:dyDescent="0.25">
      <c r="D15357" s="4"/>
      <c r="H15357" s="4"/>
    </row>
    <row r="15358" spans="1:8" ht="15.75" customHeight="1" x14ac:dyDescent="0.25">
      <c r="A15358" s="388" t="s">
        <v>20</v>
      </c>
      <c r="B15358" s="388"/>
      <c r="C15358" s="388"/>
      <c r="D15358" s="391"/>
      <c r="E15358" s="390"/>
      <c r="F15358" s="395" t="s">
        <v>18</v>
      </c>
      <c r="G15358" s="396" t="s">
        <v>1271</v>
      </c>
      <c r="H15358" s="397"/>
    </row>
    <row r="15359" spans="1:8" ht="15.75" customHeight="1" x14ac:dyDescent="0.25">
      <c r="A15359" s="388" t="inlineStr">
        <is>
          <t>Dealer-001</t>
        </is>
      </c>
      <c r="B15359" s="388"/>
      <c r="C15359" s="388"/>
      <c r="D15359" s="391"/>
      <c r="E15359" s="390"/>
      <c r="F15359" s="395" t="s">
        <v>21</v>
      </c>
      <c r="G15359" s="390" t="s">
        <v>2215</v>
      </c>
      <c r="H15359" s="391"/>
    </row>
    <row r="15360" spans="1:8" ht="15.75" customHeight="1" x14ac:dyDescent="0.25">
      <c r="A15360" s="388" t="inlineStr">
        <is>
          <t>Address line (redacted)</t>
        </is>
      </c>
      <c r="B15360" s="388"/>
      <c r="C15360" s="388"/>
      <c r="D15360" s="398"/>
      <c r="E15360" s="390"/>
      <c r="F15360" s="391"/>
      <c r="G15360" s="390"/>
      <c r="H15360" s="394"/>
    </row>
    <row r="15361" spans="1:20" ht="15.75" customHeight="1" x14ac:dyDescent="0.25">
      <c r="A15361" s="388"/>
      <c r="B15361" s="388"/>
      <c r="C15361" s="388"/>
      <c r="D15361" s="398"/>
      <c r="E15361" s="390"/>
      <c r="F15361" s="391"/>
      <c r="G15361" s="390"/>
      <c r="H15361" s="394"/>
    </row>
    <row r="15362" spans="1:20" ht="15.75" customHeight="1" x14ac:dyDescent="0.25">
      <c r="A15362" s="388" t="inlineStr">
        <is>
          <t>Through: Transporter-001</t>
        </is>
      </c>
      <c r="B15362" s="388"/>
      <c r="C15362" s="388"/>
      <c r="D15362" s="391"/>
      <c r="E15362" s="390"/>
      <c r="F15362" s="391"/>
      <c r="G15362" s="390"/>
      <c r="H15362" s="394"/>
    </row>
    <row r="15363" spans="1:20" ht="15.75" customHeight="1" x14ac:dyDescent="0.25">
      <c r="A15363" s="388"/>
      <c r="B15363" s="388" t="inlineStr">
        <is>
          <t>Address line (redacted)</t>
        </is>
      </c>
      <c r="C15363" s="388"/>
      <c r="D15363" s="391"/>
      <c r="E15363" s="390"/>
      <c r="F15363" s="391"/>
      <c r="G15363" s="390"/>
      <c r="H15363" s="394"/>
    </row>
    <row r="15364" spans="1:20" ht="15.75" customHeight="1" x14ac:dyDescent="0.25">
      <c r="A15364" s="388"/>
      <c r="B15364" s="388" t="inlineStr">
        <is>
          <t>Address line (redacted)</t>
        </is>
      </c>
      <c r="C15364" s="388"/>
      <c r="D15364" s="391"/>
      <c r="E15364" s="390"/>
      <c r="F15364" s="391"/>
      <c r="G15364" s="390"/>
      <c r="H15364" s="394"/>
    </row>
    <row r="15365" spans="1:20" ht="15.75" customHeight="1" x14ac:dyDescent="0.25">
      <c r="A15365" s="388"/>
      <c r="B15365" s="388"/>
      <c r="C15365" s="388"/>
      <c r="D15365" s="391"/>
      <c r="E15365" s="390"/>
      <c r="F15365" s="391"/>
      <c r="G15365" s="390"/>
      <c r="H15365" s="394"/>
    </row>
    <row r="15366" spans="1:20" ht="15.75" customHeight="1" x14ac:dyDescent="0.25">
      <c r="A15366" s="390" t="s">
        <v>2373</v>
      </c>
      <c r="B15366" s="390"/>
      <c r="C15366" s="390"/>
      <c r="D15366" s="391"/>
      <c r="E15366" s="390"/>
      <c r="F15366" s="391"/>
      <c r="G15366" s="390"/>
      <c r="H15366" s="394"/>
    </row>
    <row r="15367" spans="1:20" ht="15.75" customHeight="1" x14ac:dyDescent="0.25">
      <c r="A15367" s="390" t="s">
        <v>716</v>
      </c>
      <c r="B15367" s="390"/>
      <c r="C15367" s="390"/>
      <c r="D15367" s="391"/>
      <c r="E15367" s="390"/>
      <c r="F15367" s="391"/>
      <c r="G15367" s="390"/>
      <c r="H15367" s="394"/>
    </row>
    <row r="15368" spans="1:20" ht="15.75" customHeight="1" x14ac:dyDescent="0.25">
      <c r="A15368" s="390" t="s">
        <v>717</v>
      </c>
      <c r="B15368" s="390"/>
      <c r="C15368" s="390"/>
      <c r="D15368" s="391"/>
      <c r="E15368" s="390"/>
      <c r="F15368" s="391"/>
      <c r="G15368" s="390"/>
      <c r="H15368" s="394"/>
    </row>
    <row r="15369" spans="1:20" ht="15.75" customHeight="1" x14ac:dyDescent="0.25">
      <c r="A15369" s="390"/>
      <c r="B15369" s="390"/>
      <c r="C15369" s="390"/>
      <c r="D15369" s="391"/>
      <c r="E15369" s="390"/>
      <c r="F15369" s="391"/>
      <c r="G15369" s="390"/>
      <c r="H15369" s="394"/>
    </row>
    <row r="15370" spans="1:20" ht="15.75" customHeight="1" x14ac:dyDescent="0.25">
      <c r="A15370" s="948" t="s">
        <v>33</v>
      </c>
      <c r="B15370" s="872" t="s">
        <v>6</v>
      </c>
      <c r="C15370" s="872"/>
      <c r="D15370" s="874" t="s">
        <v>37</v>
      </c>
      <c r="E15370" s="874" t="s">
        <v>38</v>
      </c>
      <c r="F15370" s="875" t="s">
        <v>7</v>
      </c>
      <c r="G15370" s="872" t="s">
        <v>43</v>
      </c>
      <c r="H15370" s="876" t="s">
        <v>44</v>
      </c>
    </row>
    <row r="15371" spans="1:20" ht="15" customHeight="1" x14ac:dyDescent="0.3">
      <c r="A15371" s="412"/>
      <c r="B15371" s="1033"/>
      <c r="C15371" s="1033"/>
      <c r="D15371" s="879"/>
      <c r="E15371" s="879"/>
      <c r="F15371" s="415"/>
      <c r="G15371" s="415"/>
      <c r="H15371" s="416"/>
      <c r="I15371" s="720"/>
      <c r="J15371" s="720"/>
      <c r="K15371" s="720"/>
      <c r="L15371" s="720"/>
      <c r="M15371" s="720"/>
      <c r="N15371" s="720"/>
      <c r="O15371" s="720"/>
      <c r="P15371" s="720"/>
      <c r="Q15371" s="720"/>
      <c r="R15371" s="720"/>
      <c r="S15371" s="720"/>
      <c r="T15371" s="720"/>
    </row>
    <row r="15372" spans="1:20" ht="15" customHeight="1" x14ac:dyDescent="0.25">
      <c r="A15372" s="1180"/>
      <c r="B15372" s="1181" t="s">
        <v>2043</v>
      </c>
      <c r="C15372" s="1182"/>
      <c r="D15372" s="1183"/>
      <c r="E15372" s="1183"/>
      <c r="F15372" s="1183"/>
      <c r="G15372" s="1183"/>
      <c r="H15372" s="1184"/>
      <c r="I15372" s="720"/>
      <c r="J15372" s="720"/>
      <c r="K15372" s="720"/>
      <c r="L15372" s="720"/>
      <c r="M15372" s="720"/>
      <c r="N15372" s="720"/>
      <c r="O15372" s="720"/>
      <c r="P15372" s="720"/>
      <c r="Q15372" s="720"/>
      <c r="R15372" s="720"/>
      <c r="S15372" s="720"/>
      <c r="T15372" s="720"/>
    </row>
    <row r="15373" spans="1:20" ht="15" customHeight="1" x14ac:dyDescent="0.25">
      <c r="A15373" s="1185">
        <v>1</v>
      </c>
      <c r="B15373" s="1186" t="s">
        <v>56</v>
      </c>
      <c r="C15373" s="1186" t="s">
        <v>1839</v>
      </c>
      <c r="D15373" s="1183">
        <v>4</v>
      </c>
      <c r="E15373" s="1183">
        <v>6</v>
      </c>
      <c r="F15373" s="1183">
        <f t="shared" ref="F15373:F15379" si="641">+E15373*D15373</f>
      </c>
      <c r="G15373" s="1183">
        <v>1</v>
      </c>
      <c r="H15373" s="1187">
        <f t="shared" ref="H15373:H15379" si="642">+G15373*F15373</f>
      </c>
      <c r="I15373" s="720"/>
      <c r="J15373" s="720"/>
      <c r="K15373" s="720"/>
      <c r="L15373" s="720"/>
      <c r="M15373" s="720"/>
      <c r="N15373" s="720"/>
      <c r="O15373" s="720"/>
      <c r="P15373" s="720"/>
      <c r="Q15373" s="720"/>
      <c r="R15373" s="720"/>
      <c r="S15373" s="720"/>
      <c r="T15373" s="720"/>
    </row>
    <row r="15374" spans="1:20" ht="15" customHeight="1" x14ac:dyDescent="0.25">
      <c r="A15374" s="1185">
        <v>2</v>
      </c>
      <c r="B15374" s="1186" t="s">
        <v>1477</v>
      </c>
      <c r="C15374" s="1186" t="s">
        <v>369</v>
      </c>
      <c r="D15374" s="1183">
        <v>2</v>
      </c>
      <c r="E15374" s="1183">
        <v>6</v>
      </c>
      <c r="F15374" s="1183">
        <f t="shared" si="641"/>
      </c>
      <c r="G15374" s="1183">
        <v>1</v>
      </c>
      <c r="H15374" s="1187">
        <f t="shared" si="642"/>
      </c>
      <c r="I15374" s="720"/>
      <c r="J15374" s="720"/>
      <c r="K15374" s="720"/>
      <c r="L15374" s="720"/>
      <c r="M15374" s="720"/>
      <c r="N15374" s="720"/>
      <c r="O15374" s="720"/>
      <c r="P15374" s="720"/>
      <c r="Q15374" s="720"/>
      <c r="R15374" s="720"/>
      <c r="S15374" s="720"/>
      <c r="T15374" s="720"/>
    </row>
    <row r="15375" spans="1:20" ht="15" customHeight="1" x14ac:dyDescent="0.25">
      <c r="A15375" s="1185">
        <v>3</v>
      </c>
      <c r="B15375" s="1186" t="s">
        <v>80</v>
      </c>
      <c r="C15375" s="1186" t="s">
        <v>376</v>
      </c>
      <c r="D15375" s="1188">
        <v>2</v>
      </c>
      <c r="E15375" s="1183">
        <v>5</v>
      </c>
      <c r="F15375" s="1183">
        <f t="shared" si="641"/>
      </c>
      <c r="G15375" s="1183">
        <v>1</v>
      </c>
      <c r="H15375" s="1187">
        <f t="shared" si="642"/>
      </c>
      <c r="I15375" s="720"/>
      <c r="J15375" s="720"/>
      <c r="K15375" s="720"/>
      <c r="L15375" s="720"/>
      <c r="M15375" s="720"/>
      <c r="N15375" s="720"/>
      <c r="O15375" s="720"/>
      <c r="P15375" s="720"/>
      <c r="Q15375" s="720"/>
      <c r="R15375" s="720"/>
      <c r="S15375" s="720"/>
      <c r="T15375" s="720"/>
    </row>
    <row r="15376" spans="1:20" ht="15" customHeight="1" x14ac:dyDescent="0.25">
      <c r="A15376" s="1185">
        <v>4</v>
      </c>
      <c r="B15376" s="1186" t="s">
        <v>15</v>
      </c>
      <c r="C15376" s="1186" t="s">
        <v>388</v>
      </c>
      <c r="D15376" s="1189">
        <v>4</v>
      </c>
      <c r="E15376" s="1183">
        <v>6</v>
      </c>
      <c r="F15376" s="1183">
        <f t="shared" si="641"/>
      </c>
      <c r="G15376" s="1183">
        <v>1</v>
      </c>
      <c r="H15376" s="1187">
        <f t="shared" si="642"/>
      </c>
      <c r="I15376" s="720"/>
      <c r="J15376" s="720"/>
      <c r="K15376" s="720"/>
      <c r="L15376" s="720"/>
      <c r="M15376" s="720"/>
      <c r="N15376" s="720"/>
      <c r="O15376" s="720"/>
      <c r="P15376" s="720"/>
      <c r="Q15376" s="720"/>
      <c r="R15376" s="720"/>
      <c r="S15376" s="720"/>
      <c r="T15376" s="720"/>
    </row>
    <row r="15377" spans="1:20" ht="15" customHeight="1" x14ac:dyDescent="0.25">
      <c r="A15377" s="1185">
        <v>5</v>
      </c>
      <c r="B15377" s="1186" t="s">
        <v>127</v>
      </c>
      <c r="C15377" s="1186" t="s">
        <v>398</v>
      </c>
      <c r="D15377" s="1190">
        <v>4</v>
      </c>
      <c r="E15377" s="1183">
        <v>6</v>
      </c>
      <c r="F15377" s="1183">
        <f t="shared" si="641"/>
      </c>
      <c r="G15377" s="1183">
        <v>1</v>
      </c>
      <c r="H15377" s="1187">
        <f t="shared" si="642"/>
      </c>
      <c r="I15377" s="720"/>
      <c r="J15377" s="720"/>
      <c r="K15377" s="720"/>
      <c r="L15377" s="720"/>
      <c r="M15377" s="720"/>
      <c r="N15377" s="720"/>
      <c r="O15377" s="720"/>
      <c r="P15377" s="720"/>
      <c r="Q15377" s="720"/>
      <c r="R15377" s="720"/>
      <c r="S15377" s="720"/>
      <c r="T15377" s="720"/>
    </row>
    <row r="15378" spans="1:20" ht="15" customHeight="1" x14ac:dyDescent="0.25">
      <c r="A15378" s="1185">
        <v>6</v>
      </c>
      <c r="B15378" s="1186" t="s">
        <v>2216</v>
      </c>
      <c r="C15378" s="1186" t="s">
        <v>400</v>
      </c>
      <c r="D15378" s="1183">
        <v>3</v>
      </c>
      <c r="E15378" s="1183">
        <v>6</v>
      </c>
      <c r="F15378" s="1183">
        <f t="shared" si="641"/>
      </c>
      <c r="G15378" s="1183">
        <v>1</v>
      </c>
      <c r="H15378" s="1187">
        <f t="shared" si="642"/>
      </c>
      <c r="I15378" s="720"/>
      <c r="J15378" s="720"/>
      <c r="K15378" s="720"/>
      <c r="L15378" s="720"/>
      <c r="M15378" s="720"/>
      <c r="N15378" s="720"/>
      <c r="O15378" s="720"/>
      <c r="P15378" s="720"/>
      <c r="Q15378" s="720"/>
      <c r="R15378" s="720"/>
      <c r="S15378" s="720"/>
      <c r="T15378" s="720"/>
    </row>
    <row r="15379" spans="1:20" ht="15" customHeight="1" x14ac:dyDescent="0.25">
      <c r="A15379" s="1185">
        <v>7</v>
      </c>
      <c r="B15379" s="1186" t="s">
        <v>1718</v>
      </c>
      <c r="C15379" s="1186" t="s">
        <v>379</v>
      </c>
      <c r="D15379" s="1183">
        <v>3</v>
      </c>
      <c r="E15379" s="1183">
        <v>6</v>
      </c>
      <c r="F15379" s="1183">
        <f t="shared" si="641"/>
      </c>
      <c r="G15379" s="1183">
        <v>1</v>
      </c>
      <c r="H15379" s="1187">
        <f t="shared" si="642"/>
      </c>
      <c r="I15379" s="720"/>
      <c r="J15379" s="720"/>
      <c r="K15379" s="720"/>
      <c r="L15379" s="720"/>
      <c r="M15379" s="720"/>
      <c r="N15379" s="720"/>
      <c r="O15379" s="720"/>
      <c r="P15379" s="720"/>
      <c r="Q15379" s="720"/>
      <c r="R15379" s="720"/>
      <c r="S15379" s="720"/>
      <c r="T15379" s="720"/>
    </row>
    <row r="15380" spans="1:20" ht="15" customHeight="1" x14ac:dyDescent="0.25">
      <c r="A15380" s="1185"/>
      <c r="B15380" s="1181" t="s">
        <v>1329</v>
      </c>
      <c r="C15380" s="1182"/>
      <c r="D15380" s="1189"/>
      <c r="E15380" s="1183"/>
      <c r="F15380" s="1183"/>
      <c r="G15380" s="1183"/>
      <c r="H15380" s="1187"/>
      <c r="I15380" s="720"/>
      <c r="J15380" s="720"/>
      <c r="K15380" s="720"/>
      <c r="L15380" s="720"/>
      <c r="M15380" s="720"/>
      <c r="N15380" s="720"/>
      <c r="O15380" s="720"/>
      <c r="P15380" s="720"/>
      <c r="Q15380" s="720"/>
      <c r="R15380" s="720"/>
      <c r="S15380" s="720"/>
      <c r="T15380" s="720"/>
    </row>
    <row r="15381" spans="1:20" ht="15" customHeight="1" x14ac:dyDescent="0.25">
      <c r="A15381" s="1185">
        <v>8</v>
      </c>
      <c r="B15381" s="1191" t="s">
        <v>1039</v>
      </c>
      <c r="C15381" s="1192" t="s">
        <v>419</v>
      </c>
      <c r="D15381" s="1190">
        <v>1</v>
      </c>
      <c r="E15381" s="1183">
        <v>100</v>
      </c>
      <c r="F15381" s="1183">
        <f t="shared" ref="F15381:F15382" si="643">+E15381*D15381</f>
      </c>
      <c r="G15381" s="1183">
        <v>1</v>
      </c>
      <c r="H15381" s="1187">
        <f t="shared" ref="H15381:H15382" si="644">+G15381*F15381</f>
      </c>
      <c r="I15381" s="720"/>
      <c r="J15381" s="720"/>
      <c r="K15381" s="720"/>
      <c r="L15381" s="720"/>
      <c r="M15381" s="720"/>
      <c r="N15381" s="720"/>
      <c r="O15381" s="720"/>
      <c r="P15381" s="720"/>
      <c r="Q15381" s="720"/>
      <c r="R15381" s="720"/>
      <c r="S15381" s="720"/>
      <c r="T15381" s="720"/>
    </row>
    <row r="15382" spans="1:20" ht="15" customHeight="1" x14ac:dyDescent="0.25">
      <c r="A15382" s="985">
        <v>9</v>
      </c>
      <c r="B15382" s="1193" t="s">
        <v>1730</v>
      </c>
      <c r="C15382" s="1194" t="s">
        <v>2217</v>
      </c>
      <c r="D15382" s="992">
        <v>4</v>
      </c>
      <c r="E15382" s="992">
        <v>24</v>
      </c>
      <c r="F15382" s="992">
        <f t="shared" si="643"/>
      </c>
      <c r="G15382" s="992">
        <v>1</v>
      </c>
      <c r="H15382" s="989">
        <f t="shared" si="644"/>
      </c>
      <c r="I15382" s="720"/>
      <c r="J15382" s="720"/>
      <c r="K15382" s="720"/>
      <c r="L15382" s="720"/>
      <c r="M15382" s="720"/>
      <c r="N15382" s="720"/>
      <c r="O15382" s="720"/>
      <c r="P15382" s="720"/>
      <c r="Q15382" s="720"/>
      <c r="R15382" s="720"/>
      <c r="S15382" s="720"/>
      <c r="T15382" s="720"/>
    </row>
    <row r="15383" spans="1:20" ht="15" customHeight="1" x14ac:dyDescent="0.25">
      <c r="A15383" s="985"/>
      <c r="B15383" s="1193"/>
      <c r="C15383" s="1194"/>
      <c r="D15383" s="992"/>
      <c r="E15383" s="992"/>
      <c r="F15383" s="992"/>
      <c r="G15383" s="992"/>
      <c r="H15383" s="989"/>
      <c r="I15383" s="720"/>
      <c r="J15383" s="720"/>
      <c r="K15383" s="720"/>
      <c r="L15383" s="720"/>
      <c r="M15383" s="720"/>
      <c r="N15383" s="720"/>
      <c r="O15383" s="720"/>
      <c r="P15383" s="720"/>
      <c r="Q15383" s="720"/>
      <c r="R15383" s="720"/>
      <c r="S15383" s="720"/>
      <c r="T15383" s="720"/>
    </row>
    <row r="15384" spans="1:20" ht="15" customHeight="1" x14ac:dyDescent="0.25">
      <c r="A15384" s="985"/>
      <c r="B15384" s="1195" t="s">
        <v>2385</v>
      </c>
      <c r="C15384" s="1196"/>
      <c r="D15384" s="992"/>
      <c r="E15384" s="992"/>
      <c r="F15384" s="992"/>
      <c r="G15384" s="992"/>
      <c r="H15384" s="989"/>
      <c r="I15384" s="720"/>
      <c r="J15384" s="720"/>
      <c r="K15384" s="720"/>
      <c r="L15384" s="720"/>
      <c r="M15384" s="720"/>
      <c r="N15384" s="720"/>
      <c r="O15384" s="720"/>
      <c r="P15384" s="720"/>
      <c r="Q15384" s="720"/>
      <c r="R15384" s="720"/>
      <c r="S15384" s="720"/>
      <c r="T15384" s="720"/>
    </row>
    <row r="15385" spans="1:20" ht="15" customHeight="1" x14ac:dyDescent="0.25">
      <c r="A15385" s="985"/>
      <c r="B15385" s="1197"/>
      <c r="C15385" s="1198"/>
      <c r="D15385" s="992"/>
      <c r="E15385" s="992"/>
      <c r="F15385" s="992"/>
      <c r="G15385" s="992"/>
      <c r="H15385" s="989"/>
    </row>
    <row r="15386" spans="1:20" ht="15.75" customHeight="1" x14ac:dyDescent="0.25">
      <c r="A15386" s="985"/>
      <c r="B15386" s="1199"/>
      <c r="C15386" s="1200"/>
      <c r="D15386" s="1127"/>
      <c r="E15386" s="1127"/>
      <c r="F15386" s="992"/>
      <c r="G15386" s="956"/>
      <c r="H15386" s="989"/>
    </row>
    <row r="15387" spans="1:20" ht="15.75" customHeight="1" x14ac:dyDescent="0.25">
      <c r="A15387" s="412"/>
      <c r="B15387" s="913"/>
      <c r="C15387" s="1127"/>
      <c r="D15387" s="588"/>
      <c r="E15387" s="981"/>
      <c r="F15387" s="415"/>
      <c r="G15387" s="578"/>
      <c r="H15387" s="416"/>
    </row>
    <row r="15388" spans="1:20" ht="15.75" customHeight="1" x14ac:dyDescent="0.25">
      <c r="A15388" s="412"/>
      <c r="B15388" s="1127"/>
      <c r="C15388" s="1084"/>
      <c r="D15388" s="592"/>
      <c r="E15388" s="592"/>
      <c r="F15388" s="593"/>
      <c r="G15388" s="593"/>
      <c r="H15388" s="931"/>
    </row>
    <row r="15389" spans="1:20" ht="15.75" customHeight="1" x14ac:dyDescent="0.25">
      <c r="A15389" s="1170"/>
      <c r="B15389" s="1171"/>
      <c r="C15389" s="1172" t="s">
        <v>85</v>
      </c>
      <c r="D15389" s="725">
        <f>SUM(D15373:D15388)</f>
      </c>
      <c r="E15389" s="725"/>
      <c r="F15389" s="725"/>
      <c r="G15389" s="1173"/>
      <c r="H15389" s="1174">
        <f>SUM(H15373:H15388)</f>
      </c>
    </row>
    <row r="15390" spans="1:20" ht="15.75" customHeight="1" x14ac:dyDescent="0.25">
      <c r="A15390" s="932"/>
      <c r="B15390" s="933"/>
      <c r="C15390" s="934"/>
      <c r="D15390" s="431"/>
      <c r="E15390" s="935"/>
      <c r="F15390" s="935"/>
      <c r="G15390" s="936"/>
      <c r="H15390" s="444"/>
    </row>
    <row r="15391" spans="1:20" ht="15.75" customHeight="1" x14ac:dyDescent="0.25">
      <c r="A15391" s="994"/>
      <c r="B15391" s="391"/>
      <c r="C15391" s="391"/>
      <c r="D15391" s="391"/>
      <c r="E15391" s="390"/>
      <c r="F15391" s="392"/>
      <c r="G15391" s="390"/>
      <c r="H15391" s="394"/>
    </row>
    <row r="15392" spans="1:20" ht="15.75" customHeight="1" x14ac:dyDescent="0.25">
      <c r="A15392" s="445"/>
      <c r="B15392" s="445"/>
      <c r="C15392" s="445"/>
      <c r="D15392" s="446" t="s">
        <v>97</v>
      </c>
      <c r="E15392" s="445" t="s">
        <v>98</v>
      </c>
      <c r="F15392" s="445"/>
      <c r="G15392" s="390"/>
      <c r="H15392" s="394"/>
    </row>
    <row r="15393" spans="1:8" ht="15.75" customHeight="1" x14ac:dyDescent="0.25">
      <c r="A15393" s="445"/>
      <c r="B15393" s="445"/>
      <c r="C15393" s="445"/>
      <c r="D15393" s="446"/>
      <c r="E15393" s="445"/>
      <c r="F15393" s="445"/>
      <c r="G15393" s="390"/>
      <c r="H15393" s="394"/>
    </row>
    <row r="15394" spans="1:8" ht="15.75" customHeight="1" x14ac:dyDescent="0.25">
      <c r="A15394" s="445"/>
      <c r="B15394" s="445"/>
      <c r="C15394" s="445"/>
      <c r="D15394" s="446"/>
      <c r="E15394" s="445" t="s">
        <v>99</v>
      </c>
      <c r="F15394" s="445"/>
      <c r="G15394" s="390"/>
      <c r="H15394" s="394"/>
    </row>
    <row r="15395" spans="1:8" ht="15.75" customHeight="1" x14ac:dyDescent="0.25">
      <c r="D15395" s="4"/>
      <c r="H15395" s="4"/>
    </row>
    <row r="15396" spans="1:8" ht="15.75" customHeight="1" x14ac:dyDescent="0.25">
      <c r="D15396" s="4"/>
      <c r="H15396" s="4"/>
    </row>
    <row r="15397" spans="1:8" ht="15.75" customHeight="1" x14ac:dyDescent="0.25">
      <c r="D15397" s="4"/>
      <c r="H15397" s="4"/>
    </row>
    <row r="15398" spans="1:8" ht="15.75" customHeight="1" x14ac:dyDescent="0.25">
      <c r="D15398" s="4"/>
      <c r="H15398" s="4"/>
    </row>
    <row r="15399" spans="1:8" ht="15.75" customHeight="1" x14ac:dyDescent="0.25">
      <c r="D15399" s="4"/>
      <c r="H15399" s="4"/>
    </row>
    <row r="15400" spans="1:8" ht="15.75" customHeight="1" x14ac:dyDescent="0.25">
      <c r="D15400" s="4"/>
      <c r="H15400" s="4"/>
    </row>
    <row r="15401" spans="1:8" ht="15.75" customHeight="1" x14ac:dyDescent="0.25">
      <c r="D15401" s="4"/>
      <c r="H15401" s="4"/>
    </row>
    <row r="15402" spans="1:8" ht="15.75" customHeight="1" x14ac:dyDescent="0.25">
      <c r="A15402" s="8" t="s">
        <v>14</v>
      </c>
      <c r="B15402" s="8"/>
      <c r="C15402" s="8"/>
      <c r="D15402" s="8"/>
      <c r="E15402" s="8"/>
      <c r="F15402" s="8"/>
      <c r="G15402" s="8"/>
      <c r="H15402" s="8"/>
    </row>
    <row r="15403" spans="1:8" ht="15.75" customHeight="1" x14ac:dyDescent="0.25">
      <c r="D15403" s="4"/>
      <c r="H15403" s="4"/>
    </row>
    <row r="15404" spans="1:8" ht="15.75" customHeight="1" x14ac:dyDescent="0.25">
      <c r="A15404" s="390" t="s">
        <v>20</v>
      </c>
      <c r="B15404" s="390"/>
      <c r="C15404" s="388"/>
      <c r="D15404" s="391"/>
      <c r="E15404" s="390"/>
      <c r="F15404" s="395" t="s">
        <v>18</v>
      </c>
      <c r="G15404" s="396" t="s">
        <v>1271</v>
      </c>
      <c r="H15404" s="397"/>
    </row>
    <row r="15405" spans="1:8" ht="15.75" customHeight="1" x14ac:dyDescent="0.25">
      <c r="A15405" s="390" t="inlineStr">
        <is>
          <t>Dealer-004</t>
        </is>
      </c>
      <c r="B15405" s="390"/>
      <c r="C15405" s="388"/>
      <c r="D15405" s="391"/>
      <c r="E15405" s="390"/>
      <c r="F15405" s="395" t="s">
        <v>21</v>
      </c>
      <c r="G15405" s="390" t="s">
        <v>2045</v>
      </c>
      <c r="H15405" s="391"/>
    </row>
    <row r="15406" spans="1:8" ht="15.75" customHeight="1" x14ac:dyDescent="0.25">
      <c r="A15406" s="390" t="inlineStr">
        <is>
          <t>Address line (redacted)</t>
        </is>
      </c>
      <c r="B15406" s="390"/>
      <c r="C15406" s="388"/>
      <c r="D15406" s="398"/>
      <c r="E15406" s="390"/>
      <c r="F15406" s="391"/>
      <c r="G15406" s="390"/>
      <c r="H15406" s="394"/>
    </row>
    <row r="15407" spans="1:8" ht="15.75" customHeight="1" x14ac:dyDescent="0.25">
      <c r="A15407" s="390" t="inlineStr">
        <is>
          <t>Address line (redacted)</t>
        </is>
      </c>
      <c r="B15407" s="390"/>
      <c r="C15407" s="7" t="inlineStr">
        <is>
          <t>ATTN: Contact-006</t>
        </is>
      </c>
      <c r="D15407" s="398"/>
      <c r="E15407" s="390"/>
      <c r="F15407" s="391"/>
      <c r="G15407" s="390"/>
      <c r="H15407" s="394"/>
    </row>
    <row r="15408" spans="1:8" ht="15.75" customHeight="1" x14ac:dyDescent="0.25">
      <c r="A15408" s="390"/>
      <c r="B15408" s="390"/>
      <c r="C15408" s="7"/>
      <c r="D15408" s="398"/>
      <c r="E15408" s="390"/>
      <c r="F15408" s="391"/>
      <c r="G15408" s="390"/>
      <c r="H15408" s="394"/>
    </row>
    <row r="15409" spans="1:14" ht="15.75" customHeight="1" x14ac:dyDescent="0.25">
      <c r="A15409" s="607" t="inlineStr">
        <is>
          <t>Dealer-021</t>
        </is>
      </c>
      <c r="B15409" s="1201"/>
      <c r="C15409" s="1201"/>
      <c r="D15409" s="391"/>
      <c r="E15409" s="390"/>
      <c r="F15409" s="391"/>
      <c r="G15409" s="390"/>
      <c r="H15409" s="394"/>
    </row>
    <row r="15410" spans="1:14" ht="15.75" customHeight="1" x14ac:dyDescent="0.25">
      <c r="A15410" s="2" t="inlineStr">
        <is>
          <t>Address line (redacted)</t>
        </is>
      </c>
      <c r="B15410" s="388"/>
      <c r="C15410" s="388"/>
      <c r="D15410" s="391"/>
      <c r="E15410" s="390"/>
      <c r="F15410" s="391"/>
      <c r="G15410" s="390"/>
      <c r="H15410" s="394"/>
      <c r="K15410" s="390"/>
      <c r="L15410" s="398"/>
      <c r="M15410" s="390"/>
      <c r="N15410" s="391"/>
    </row>
    <row r="15411" spans="1:14" ht="15.75" customHeight="1" x14ac:dyDescent="0.25">
      <c r="A15411" s="388"/>
      <c r="B15411" s="388"/>
      <c r="C15411" s="388"/>
      <c r="D15411" s="391"/>
      <c r="E15411" s="390"/>
      <c r="F15411" s="391"/>
      <c r="G15411" s="390"/>
      <c r="H15411" s="394"/>
      <c r="K15411" s="390"/>
      <c r="L15411" s="398"/>
      <c r="M15411" s="390"/>
      <c r="N15411" s="391"/>
    </row>
    <row r="15412" spans="1:14" ht="15.75" customHeight="1" x14ac:dyDescent="0.25">
      <c r="A15412" s="390" t="s">
        <v>2373</v>
      </c>
      <c r="B15412" s="390"/>
      <c r="C15412" s="390"/>
      <c r="D15412" s="391"/>
      <c r="E15412" s="390"/>
      <c r="F15412" s="391"/>
      <c r="G15412" s="390"/>
      <c r="H15412" s="394"/>
      <c r="K15412" s="390"/>
      <c r="L15412" s="391"/>
    </row>
    <row r="15413" spans="1:14" ht="15.75" customHeight="1" x14ac:dyDescent="0.25">
      <c r="A15413" s="390" t="s">
        <v>716</v>
      </c>
      <c r="B15413" s="390"/>
      <c r="C15413" s="390"/>
      <c r="D15413" s="391"/>
      <c r="E15413" s="390"/>
      <c r="F15413" s="391"/>
      <c r="G15413" s="390"/>
      <c r="H15413" s="394"/>
      <c r="I15413" s="390"/>
      <c r="J15413" s="390"/>
      <c r="K15413" s="390"/>
      <c r="L15413" s="391"/>
      <c r="M15413" s="390"/>
      <c r="N15413" s="391"/>
    </row>
    <row r="15414" spans="1:14" ht="15.75" customHeight="1" x14ac:dyDescent="0.25">
      <c r="A15414" s="390" t="s">
        <v>717</v>
      </c>
      <c r="B15414" s="390"/>
      <c r="C15414" s="390"/>
      <c r="D15414" s="391"/>
      <c r="E15414" s="390"/>
      <c r="F15414" s="391"/>
      <c r="G15414" s="390"/>
      <c r="H15414" s="394"/>
      <c r="J15414" s="607"/>
      <c r="K15414" s="607"/>
      <c r="L15414" s="398"/>
      <c r="M15414" s="393" t="s">
        <v>2297</v>
      </c>
      <c r="N15414" s="398"/>
    </row>
    <row r="15415" spans="1:14" ht="15.75" customHeight="1" x14ac:dyDescent="0.25">
      <c r="A15415" s="390"/>
      <c r="B15415" s="390"/>
      <c r="C15415" s="390"/>
      <c r="D15415" s="391"/>
      <c r="E15415" s="390"/>
      <c r="F15415" s="391"/>
      <c r="G15415" s="390"/>
      <c r="H15415" s="394"/>
      <c r="J15415" s="390"/>
      <c r="K15415" s="390"/>
      <c r="L15415" s="391"/>
      <c r="M15415" s="390"/>
      <c r="N15415" s="391"/>
    </row>
    <row r="15416" spans="1:14" ht="15.75" customHeight="1" x14ac:dyDescent="0.25">
      <c r="A15416" s="948" t="s">
        <v>33</v>
      </c>
      <c r="B15416" s="872" t="s">
        <v>6</v>
      </c>
      <c r="C15416" s="872"/>
      <c r="D15416" s="874" t="s">
        <v>37</v>
      </c>
      <c r="E15416" s="874" t="s">
        <v>38</v>
      </c>
      <c r="F15416" s="875" t="s">
        <v>7</v>
      </c>
      <c r="G15416" s="872" t="s">
        <v>43</v>
      </c>
      <c r="H15416" s="876" t="s">
        <v>44</v>
      </c>
    </row>
    <row r="15417" spans="1:14" ht="15.75" customHeight="1" x14ac:dyDescent="0.3">
      <c r="A15417" s="412"/>
      <c r="B15417" s="1033"/>
      <c r="C15417" s="1033"/>
      <c r="D15417" s="879"/>
      <c r="E15417" s="879"/>
      <c r="F15417" s="415"/>
      <c r="G15417" s="415"/>
      <c r="H15417" s="416"/>
    </row>
    <row r="15418" spans="1:14" ht="15.75" customHeight="1" x14ac:dyDescent="0.25">
      <c r="A15418" s="1180"/>
      <c r="B15418" s="1181" t="s">
        <v>2043</v>
      </c>
      <c r="C15418" s="1182"/>
      <c r="D15418" s="1183"/>
      <c r="E15418" s="1183"/>
      <c r="F15418" s="1183"/>
      <c r="G15418" s="1183"/>
      <c r="H15418" s="1184"/>
    </row>
    <row r="15419" spans="1:14" ht="15.75" customHeight="1" x14ac:dyDescent="0.25">
      <c r="A15419" s="1185">
        <v>1</v>
      </c>
      <c r="B15419" s="1186" t="s">
        <v>56</v>
      </c>
      <c r="C15419" s="1186" t="s">
        <v>1839</v>
      </c>
      <c r="D15419" s="1183">
        <v>1</v>
      </c>
      <c r="E15419" s="1183">
        <v>6</v>
      </c>
      <c r="F15419" s="1183">
        <f t="shared" ref="F15419:F15422" si="645">+E15419*D15419</f>
      </c>
      <c r="G15419" s="1183">
        <v>1</v>
      </c>
      <c r="H15419" s="1187">
        <f t="shared" ref="H15419:H15422" si="646">+G15419*F15419</f>
      </c>
    </row>
    <row r="15420" spans="1:14" ht="15.75" customHeight="1" x14ac:dyDescent="0.25">
      <c r="A15420" s="1185">
        <v>2</v>
      </c>
      <c r="B15420" s="1186" t="s">
        <v>1477</v>
      </c>
      <c r="C15420" s="1186" t="s">
        <v>369</v>
      </c>
      <c r="D15420" s="1183">
        <v>3</v>
      </c>
      <c r="E15420" s="1183">
        <v>6</v>
      </c>
      <c r="F15420" s="1183">
        <f t="shared" si="645"/>
      </c>
      <c r="G15420" s="1183">
        <v>1</v>
      </c>
      <c r="H15420" s="1187">
        <f t="shared" si="646"/>
      </c>
    </row>
    <row r="15421" spans="1:14" ht="15.75" customHeight="1" x14ac:dyDescent="0.25">
      <c r="A15421" s="1185">
        <v>3</v>
      </c>
      <c r="B15421" s="1186" t="s">
        <v>2218</v>
      </c>
      <c r="C15421" s="1186" t="s">
        <v>403</v>
      </c>
      <c r="D15421" s="1188">
        <v>1</v>
      </c>
      <c r="E15421" s="1183">
        <v>8</v>
      </c>
      <c r="F15421" s="1183">
        <f t="shared" si="645"/>
      </c>
      <c r="G15421" s="1183">
        <v>1</v>
      </c>
      <c r="H15421" s="1187">
        <f t="shared" si="646"/>
      </c>
    </row>
    <row r="15422" spans="1:14" ht="15.75" customHeight="1" x14ac:dyDescent="0.25">
      <c r="A15422" s="1185">
        <v>4</v>
      </c>
      <c r="B15422" s="1186" t="s">
        <v>15</v>
      </c>
      <c r="C15422" s="1186" t="s">
        <v>388</v>
      </c>
      <c r="D15422" s="1189">
        <v>2</v>
      </c>
      <c r="E15422" s="1183">
        <v>6</v>
      </c>
      <c r="F15422" s="1183">
        <f t="shared" si="645"/>
      </c>
      <c r="G15422" s="1183">
        <v>1</v>
      </c>
      <c r="H15422" s="1187">
        <f t="shared" si="646"/>
      </c>
    </row>
    <row r="15423" spans="1:14" ht="15.75" customHeight="1" x14ac:dyDescent="0.25">
      <c r="A15423" s="1185"/>
      <c r="B15423" s="1181" t="s">
        <v>2219</v>
      </c>
      <c r="C15423" s="1182"/>
      <c r="D15423" s="1188"/>
      <c r="E15423" s="1183"/>
      <c r="F15423" s="1183"/>
      <c r="G15423" s="1183"/>
      <c r="H15423" s="1187"/>
    </row>
    <row r="15424" spans="1:14" ht="15.75" customHeight="1" x14ac:dyDescent="0.25">
      <c r="A15424" s="1185">
        <v>5</v>
      </c>
      <c r="B15424" s="1191" t="s">
        <v>56</v>
      </c>
      <c r="C15424" s="1191" t="s">
        <v>114</v>
      </c>
      <c r="D15424" s="1188">
        <v>1</v>
      </c>
      <c r="E15424" s="1183">
        <v>10</v>
      </c>
      <c r="F15424" s="1183">
        <f t="shared" ref="F15424:F15425" si="647">+E15424*D15424</f>
      </c>
      <c r="G15424" s="1183">
        <v>1</v>
      </c>
      <c r="H15424" s="1187">
        <f t="shared" ref="H15424:H15425" si="648">+G15424*F15424</f>
      </c>
    </row>
    <row r="15425" spans="1:8" ht="15.75" customHeight="1" x14ac:dyDescent="0.25">
      <c r="A15425" s="1185">
        <v>6</v>
      </c>
      <c r="B15425" s="1191" t="s">
        <v>56</v>
      </c>
      <c r="C15425" s="1191" t="s">
        <v>114</v>
      </c>
      <c r="D15425" s="1188">
        <v>5</v>
      </c>
      <c r="E15425" s="1183">
        <v>1</v>
      </c>
      <c r="F15425" s="1183">
        <f t="shared" si="647"/>
      </c>
      <c r="G15425" s="1183">
        <v>1</v>
      </c>
      <c r="H15425" s="1187">
        <f t="shared" si="648"/>
      </c>
    </row>
    <row r="15426" spans="1:8" ht="15.75" customHeight="1" x14ac:dyDescent="0.25">
      <c r="A15426" s="1185"/>
      <c r="B15426" s="1181" t="s">
        <v>73</v>
      </c>
      <c r="C15426" s="1182"/>
      <c r="D15426" s="1189"/>
      <c r="E15426" s="1183"/>
      <c r="F15426" s="1183"/>
      <c r="G15426" s="1183"/>
      <c r="H15426" s="1187"/>
    </row>
    <row r="15427" spans="1:8" ht="15.75" customHeight="1" x14ac:dyDescent="0.25">
      <c r="A15427" s="985">
        <v>7</v>
      </c>
      <c r="B15427" s="990" t="s">
        <v>2205</v>
      </c>
      <c r="C15427" s="992" t="s">
        <v>1815</v>
      </c>
      <c r="D15427" s="1127">
        <v>1</v>
      </c>
      <c r="E15427" s="1127">
        <v>250</v>
      </c>
      <c r="F15427" s="1127">
        <v>250</v>
      </c>
      <c r="G15427" s="992">
        <v>1</v>
      </c>
      <c r="H15427" s="989">
        <f t="shared" ref="H15427:H15428" si="649">+G15427*F15427</f>
      </c>
    </row>
    <row r="15428" spans="1:8" ht="15.75" customHeight="1" x14ac:dyDescent="0.25">
      <c r="A15428" s="985">
        <v>8</v>
      </c>
      <c r="B15428" s="990" t="s">
        <v>2206</v>
      </c>
      <c r="C15428" s="992" t="s">
        <v>1815</v>
      </c>
      <c r="D15428" s="1127"/>
      <c r="E15428" s="1127">
        <v>200</v>
      </c>
      <c r="F15428" s="1127">
        <v>200</v>
      </c>
      <c r="G15428" s="992">
        <v>1</v>
      </c>
      <c r="H15428" s="989">
        <f t="shared" si="649"/>
      </c>
    </row>
    <row r="15429" spans="1:8" ht="15.75" customHeight="1" x14ac:dyDescent="0.25">
      <c r="A15429" s="985">
        <v>9</v>
      </c>
      <c r="B15429" s="990" t="s">
        <v>2205</v>
      </c>
      <c r="C15429" s="992" t="s">
        <v>1815</v>
      </c>
      <c r="D15429" s="1127"/>
      <c r="E15429" s="1127">
        <v>50</v>
      </c>
      <c r="F15429" s="1127">
        <v>50</v>
      </c>
      <c r="G15429" s="1166" t="s">
        <v>1856</v>
      </c>
      <c r="H15429" s="989"/>
    </row>
    <row r="15430" spans="1:8" ht="15.75" customHeight="1" x14ac:dyDescent="0.25">
      <c r="A15430" s="985">
        <v>10</v>
      </c>
      <c r="B15430" s="990" t="s">
        <v>1178</v>
      </c>
      <c r="C15430" s="992" t="s">
        <v>445</v>
      </c>
      <c r="D15430" s="1127">
        <v>1</v>
      </c>
      <c r="E15430" s="1127">
        <v>400</v>
      </c>
      <c r="F15430" s="1127">
        <f t="shared" ref="F15430:F15431" si="650">+E15430</f>
      </c>
      <c r="G15430" s="992">
        <v>1</v>
      </c>
      <c r="H15430" s="989">
        <f t="shared" ref="H15430:H15431" si="651">+G15430*F15430</f>
      </c>
    </row>
    <row r="15431" spans="1:8" ht="15.75" customHeight="1" x14ac:dyDescent="0.25">
      <c r="A15431" s="985">
        <v>11</v>
      </c>
      <c r="B15431" s="990" t="s">
        <v>1178</v>
      </c>
      <c r="C15431" s="992" t="s">
        <v>445</v>
      </c>
      <c r="D15431" s="1202">
        <v>1</v>
      </c>
      <c r="E15431" s="1127">
        <v>50</v>
      </c>
      <c r="F15431" s="1127">
        <f t="shared" si="650"/>
      </c>
      <c r="G15431" s="992">
        <v>1</v>
      </c>
      <c r="H15431" s="989">
        <f t="shared" si="651"/>
      </c>
    </row>
    <row r="15432" spans="1:8" ht="15.75" customHeight="1" x14ac:dyDescent="0.25">
      <c r="A15432" s="985">
        <v>12</v>
      </c>
      <c r="B15432" s="990" t="s">
        <v>1178</v>
      </c>
      <c r="C15432" s="992" t="s">
        <v>445</v>
      </c>
      <c r="D15432" s="986"/>
      <c r="E15432" s="1127">
        <v>50</v>
      </c>
      <c r="F15432" s="1127">
        <v>50</v>
      </c>
      <c r="G15432" s="1166" t="s">
        <v>1856</v>
      </c>
      <c r="H15432" s="989"/>
    </row>
    <row r="15433" spans="1:8" ht="15.75" customHeight="1" x14ac:dyDescent="0.25">
      <c r="A15433" s="985">
        <v>13</v>
      </c>
      <c r="B15433" s="990" t="s">
        <v>2220</v>
      </c>
      <c r="C15433" s="992" t="s">
        <v>450</v>
      </c>
      <c r="D15433" s="1127">
        <v>1</v>
      </c>
      <c r="E15433" s="1127">
        <v>400</v>
      </c>
      <c r="F15433" s="1127">
        <f t="shared" ref="F15433:F15434" si="652">+E15433</f>
      </c>
      <c r="G15433" s="992">
        <v>1</v>
      </c>
      <c r="H15433" s="989">
        <f t="shared" ref="H15433:H15434" si="653">+G15433*F15433</f>
      </c>
    </row>
    <row r="15434" spans="1:8" ht="15.75" customHeight="1" x14ac:dyDescent="0.25">
      <c r="A15434" s="985">
        <v>14</v>
      </c>
      <c r="B15434" s="990" t="s">
        <v>2220</v>
      </c>
      <c r="C15434" s="992" t="s">
        <v>450</v>
      </c>
      <c r="D15434" s="1202">
        <v>1</v>
      </c>
      <c r="E15434" s="1127">
        <v>35</v>
      </c>
      <c r="F15434" s="1127">
        <f t="shared" si="652"/>
      </c>
      <c r="G15434" s="992">
        <v>1</v>
      </c>
      <c r="H15434" s="989">
        <f t="shared" si="653"/>
      </c>
    </row>
    <row r="15435" spans="1:8" ht="15.75" customHeight="1" x14ac:dyDescent="0.25">
      <c r="A15435" s="985">
        <v>15</v>
      </c>
      <c r="B15435" s="990" t="s">
        <v>2220</v>
      </c>
      <c r="C15435" s="992" t="s">
        <v>450</v>
      </c>
      <c r="D15435" s="986"/>
      <c r="E15435" s="1127">
        <v>65</v>
      </c>
      <c r="F15435" s="1127">
        <v>50</v>
      </c>
      <c r="G15435" s="1166" t="s">
        <v>1856</v>
      </c>
      <c r="H15435" s="989"/>
    </row>
    <row r="15436" spans="1:8" ht="15.75" customHeight="1" x14ac:dyDescent="0.25">
      <c r="A15436" s="985"/>
      <c r="B15436" s="1181" t="s">
        <v>1660</v>
      </c>
      <c r="C15436" s="1182"/>
      <c r="D15436" s="1127"/>
      <c r="E15436" s="1127"/>
      <c r="F15436" s="1127"/>
      <c r="G15436" s="956"/>
      <c r="H15436" s="989"/>
    </row>
    <row r="15437" spans="1:8" ht="15.75" customHeight="1" x14ac:dyDescent="0.25">
      <c r="A15437" s="985">
        <v>16</v>
      </c>
      <c r="B15437" s="990" t="s">
        <v>68</v>
      </c>
      <c r="C15437" s="992" t="s">
        <v>404</v>
      </c>
      <c r="D15437" s="1202">
        <v>1</v>
      </c>
      <c r="E15437" s="1202" t="s">
        <v>2387</v>
      </c>
      <c r="F15437" s="1127">
        <v>288</v>
      </c>
      <c r="G15437" s="956">
        <v>1</v>
      </c>
      <c r="H15437" s="989">
        <f>+G15437*F15437</f>
      </c>
    </row>
    <row r="15438" spans="1:8" ht="15.75" customHeight="1" x14ac:dyDescent="0.25">
      <c r="A15438" s="985">
        <v>17</v>
      </c>
      <c r="B15438" s="990" t="s">
        <v>68</v>
      </c>
      <c r="C15438" s="992" t="s">
        <v>404</v>
      </c>
      <c r="D15438" s="1203"/>
      <c r="E15438" s="986"/>
      <c r="F15438" s="1127">
        <v>12</v>
      </c>
      <c r="G15438" s="1166" t="s">
        <v>1856</v>
      </c>
      <c r="H15438" s="989"/>
    </row>
    <row r="15439" spans="1:8" ht="15.75" customHeight="1" x14ac:dyDescent="0.25">
      <c r="A15439" s="985">
        <v>18</v>
      </c>
      <c r="B15439" s="990" t="s">
        <v>1000</v>
      </c>
      <c r="C15439" s="992" t="s">
        <v>405</v>
      </c>
      <c r="D15439" s="1203"/>
      <c r="E15439" s="1127" t="s">
        <v>2388</v>
      </c>
      <c r="F15439" s="992">
        <v>75</v>
      </c>
      <c r="G15439" s="956">
        <v>1</v>
      </c>
      <c r="H15439" s="989">
        <f t="shared" ref="H15439:H15442" si="654">+G15439*F15439</f>
      </c>
    </row>
    <row r="15440" spans="1:8" ht="15.75" customHeight="1" x14ac:dyDescent="0.25">
      <c r="A15440" s="412">
        <v>19</v>
      </c>
      <c r="B15440" s="913" t="s">
        <v>2221</v>
      </c>
      <c r="C15440" s="1127" t="s">
        <v>409</v>
      </c>
      <c r="D15440" s="1203"/>
      <c r="E15440" s="981" t="s">
        <v>2389</v>
      </c>
      <c r="F15440" s="415">
        <v>50</v>
      </c>
      <c r="G15440" s="578">
        <v>1</v>
      </c>
      <c r="H15440" s="989">
        <f t="shared" si="654"/>
      </c>
    </row>
    <row r="15441" spans="1:8" ht="15.75" customHeight="1" x14ac:dyDescent="0.25">
      <c r="A15441" s="412">
        <v>20</v>
      </c>
      <c r="B15441" s="913" t="s">
        <v>131</v>
      </c>
      <c r="C15441" s="1202" t="s">
        <v>411</v>
      </c>
      <c r="D15441" s="1203"/>
      <c r="E15441" s="929" t="s">
        <v>2390</v>
      </c>
      <c r="F15441" s="593">
        <v>25</v>
      </c>
      <c r="G15441" s="973">
        <v>1</v>
      </c>
      <c r="H15441" s="989">
        <f t="shared" si="654"/>
      </c>
    </row>
    <row r="15442" spans="1:8" ht="15.75" customHeight="1" x14ac:dyDescent="0.25">
      <c r="A15442" s="412">
        <v>21</v>
      </c>
      <c r="B15442" s="913" t="s">
        <v>126</v>
      </c>
      <c r="C15442" s="1202" t="s">
        <v>412</v>
      </c>
      <c r="D15442" s="1204"/>
      <c r="E15442" s="929" t="s">
        <v>2390</v>
      </c>
      <c r="F15442" s="593">
        <v>25</v>
      </c>
      <c r="G15442" s="973">
        <v>1</v>
      </c>
      <c r="H15442" s="989">
        <f t="shared" si="654"/>
      </c>
    </row>
    <row r="15443" spans="1:8" ht="15.75" customHeight="1" x14ac:dyDescent="0.25">
      <c r="A15443" s="1170"/>
      <c r="B15443" s="1171"/>
      <c r="C15443" s="1172" t="s">
        <v>85</v>
      </c>
      <c r="D15443" s="725">
        <f>SUM(D15419:D15442)</f>
      </c>
      <c r="E15443" s="725"/>
      <c r="F15443" s="725"/>
      <c r="G15443" s="1173"/>
      <c r="H15443" s="1174">
        <f>SUM(H15419:H15442)</f>
      </c>
    </row>
    <row r="15444" spans="1:8" ht="15.75" customHeight="1" x14ac:dyDescent="0.25">
      <c r="A15444" s="932"/>
      <c r="B15444" s="933"/>
      <c r="C15444" s="934"/>
      <c r="D15444" s="431"/>
      <c r="E15444" s="935"/>
      <c r="F15444" s="935"/>
      <c r="G15444" s="936"/>
      <c r="H15444" s="444"/>
    </row>
    <row r="15445" spans="1:8" ht="15.75" customHeight="1" x14ac:dyDescent="0.25">
      <c r="A15445" s="994"/>
      <c r="B15445" s="391"/>
      <c r="C15445" s="391"/>
      <c r="D15445" s="446" t="s">
        <v>97</v>
      </c>
      <c r="E15445" s="445" t="s">
        <v>98</v>
      </c>
      <c r="F15445" s="445"/>
      <c r="G15445" s="390"/>
      <c r="H15445" s="394"/>
    </row>
    <row r="15446" spans="1:8" ht="15.75" customHeight="1" x14ac:dyDescent="0.25">
      <c r="A15446" s="445"/>
      <c r="B15446" s="445"/>
      <c r="C15446" s="445"/>
      <c r="D15446" s="446"/>
      <c r="E15446" s="445"/>
      <c r="F15446" s="445"/>
      <c r="G15446" s="390"/>
      <c r="H15446" s="394"/>
    </row>
    <row r="15447" spans="1:8" ht="15.75" customHeight="1" x14ac:dyDescent="0.25">
      <c r="A15447" s="445"/>
      <c r="B15447" s="445"/>
      <c r="C15447" s="445"/>
      <c r="D15447" s="446"/>
      <c r="E15447" s="445" t="s">
        <v>99</v>
      </c>
      <c r="F15447" s="445"/>
      <c r="G15447" s="390"/>
      <c r="H15447" s="394"/>
    </row>
    <row r="15448" spans="1:8" ht="15.75" customHeight="1" x14ac:dyDescent="0.25">
      <c r="A15448" s="8" t="s">
        <v>14</v>
      </c>
      <c r="B15448" s="8"/>
      <c r="C15448" s="8"/>
      <c r="D15448" s="8"/>
      <c r="E15448" s="8"/>
      <c r="F15448" s="8"/>
      <c r="G15448" s="8"/>
      <c r="H15448" s="8"/>
    </row>
    <row r="15449" spans="1:8" ht="15.75" customHeight="1" x14ac:dyDescent="0.25">
      <c r="A15449" s="388"/>
      <c r="B15449" s="388"/>
      <c r="C15449" s="388"/>
      <c r="D15449" s="389"/>
      <c r="E15449" s="388"/>
      <c r="F15449" s="388"/>
      <c r="G15449" s="388"/>
      <c r="H15449" s="8"/>
    </row>
    <row r="15450" spans="1:8" ht="15.75" customHeight="1" x14ac:dyDescent="0.25">
      <c r="A15450" s="390"/>
      <c r="B15450" s="390"/>
      <c r="C15450" s="390"/>
      <c r="D15450" s="391"/>
      <c r="E15450" s="390"/>
      <c r="F15450" s="395" t="s">
        <v>18</v>
      </c>
      <c r="G15450" s="396" t="s">
        <v>1278</v>
      </c>
      <c r="H15450" s="397"/>
    </row>
    <row r="15451" spans="1:8" ht="15.75" customHeight="1" x14ac:dyDescent="0.25">
      <c r="A15451" s="390" t="s">
        <v>20</v>
      </c>
      <c r="B15451" s="390"/>
      <c r="D15451" s="391"/>
      <c r="E15451" s="390"/>
      <c r="F15451" s="395" t="s">
        <v>21</v>
      </c>
      <c r="G15451" s="390" t="s">
        <v>2222</v>
      </c>
      <c r="H15451" s="391"/>
    </row>
    <row r="15452" spans="1:8" ht="15.75" customHeight="1" x14ac:dyDescent="0.25">
      <c r="A15452" s="390" t="inlineStr">
        <is>
          <t>Dealer-003</t>
        </is>
      </c>
      <c r="B15452" s="390"/>
      <c r="C15452" s="393" t="inlineStr">
        <is>
          <t>ATTN: Contact-007</t>
        </is>
      </c>
      <c r="D15452" s="398"/>
      <c r="E15452" s="390"/>
      <c r="F15452" s="391"/>
      <c r="G15452" s="390"/>
      <c r="H15452" s="394"/>
    </row>
    <row r="15453" spans="1:8" ht="15.75" customHeight="1" x14ac:dyDescent="0.25">
      <c r="A15453" s="390" t="inlineStr">
        <is>
          <t>Address line (redacted)</t>
        </is>
      </c>
      <c r="B15453" s="390"/>
      <c r="C15453" s="390"/>
      <c r="D15453" s="398"/>
      <c r="E15453" s="390"/>
      <c r="F15453" s="391"/>
      <c r="G15453" s="390"/>
      <c r="H15453" s="394"/>
    </row>
    <row r="15454" spans="1:8" ht="15.75" customHeight="1" x14ac:dyDescent="0.25">
      <c r="A15454" s="390"/>
      <c r="B15454" s="390"/>
      <c r="C15454" s="390"/>
      <c r="D15454" s="391"/>
      <c r="E15454" s="390"/>
      <c r="F15454" s="391"/>
      <c r="G15454" s="390"/>
      <c r="H15454" s="394"/>
    </row>
    <row r="15455" spans="1:8" ht="15.75" customHeight="1" x14ac:dyDescent="0.25">
      <c r="A15455" s="390" t="s">
        <v>30</v>
      </c>
      <c r="B15455" s="390"/>
      <c r="C15455" s="390"/>
      <c r="D15455" s="391"/>
      <c r="E15455" s="390"/>
      <c r="F15455" s="391"/>
      <c r="G15455" s="390"/>
      <c r="H15455" s="394"/>
    </row>
    <row r="15456" spans="1:8" ht="15.75" customHeight="1" x14ac:dyDescent="0.25">
      <c r="A15456" s="390"/>
      <c r="B15456" s="390"/>
      <c r="C15456" s="390"/>
      <c r="D15456" s="391"/>
      <c r="E15456" s="390"/>
      <c r="F15456" s="391"/>
      <c r="G15456" s="390"/>
      <c r="H15456" s="394"/>
    </row>
    <row r="15457" spans="1:8" ht="15.75" customHeight="1" x14ac:dyDescent="0.25">
      <c r="A15457" s="390" t="s">
        <v>716</v>
      </c>
      <c r="B15457" s="390"/>
      <c r="C15457" s="390"/>
      <c r="D15457" s="391"/>
      <c r="E15457" s="390"/>
      <c r="F15457" s="391"/>
      <c r="G15457" s="390"/>
      <c r="H15457" s="394"/>
    </row>
    <row r="15458" spans="1:8" ht="15.75" customHeight="1" x14ac:dyDescent="0.25">
      <c r="A15458" s="390" t="s">
        <v>717</v>
      </c>
      <c r="B15458" s="390"/>
      <c r="C15458" s="390"/>
      <c r="D15458" s="391"/>
      <c r="E15458" s="390"/>
      <c r="F15458" s="391"/>
      <c r="G15458" s="390"/>
      <c r="H15458" s="394"/>
    </row>
    <row r="15459" spans="1:8" ht="15.75" customHeight="1" x14ac:dyDescent="0.25">
      <c r="A15459" s="390"/>
      <c r="B15459" s="390"/>
      <c r="C15459" s="390"/>
      <c r="D15459" s="391"/>
      <c r="E15459" s="390"/>
      <c r="F15459" s="391"/>
      <c r="G15459" s="390"/>
      <c r="H15459" s="394"/>
    </row>
    <row r="15460" spans="1:8" ht="15.75" customHeight="1" x14ac:dyDescent="0.25">
      <c r="A15460" s="948" t="s">
        <v>33</v>
      </c>
      <c r="B15460" s="872" t="s">
        <v>6</v>
      </c>
      <c r="C15460" s="872"/>
      <c r="D15460" s="874" t="s">
        <v>37</v>
      </c>
      <c r="E15460" s="874" t="s">
        <v>38</v>
      </c>
      <c r="F15460" s="875" t="s">
        <v>7</v>
      </c>
      <c r="G15460" s="872" t="s">
        <v>43</v>
      </c>
      <c r="H15460" s="876" t="s">
        <v>44</v>
      </c>
    </row>
    <row r="15461" spans="1:8" ht="15.75" customHeight="1" x14ac:dyDescent="0.3">
      <c r="A15461" s="412"/>
      <c r="B15461" s="1033"/>
      <c r="C15461" s="1033"/>
      <c r="D15461" s="879"/>
      <c r="E15461" s="879"/>
      <c r="F15461" s="415"/>
      <c r="G15461" s="415"/>
      <c r="H15461" s="416"/>
    </row>
    <row r="15462" spans="1:8" ht="15.75" customHeight="1" x14ac:dyDescent="0.25">
      <c r="A15462" s="412"/>
      <c r="B15462" s="1181" t="s">
        <v>2043</v>
      </c>
      <c r="C15462" s="1182"/>
      <c r="D15462" s="626"/>
      <c r="E15462" s="930"/>
      <c r="F15462" s="415"/>
      <c r="G15462" s="415"/>
      <c r="H15462" s="416"/>
    </row>
    <row r="15463" spans="1:8" ht="15.75" customHeight="1" x14ac:dyDescent="0.25">
      <c r="A15463" s="412">
        <v>1</v>
      </c>
      <c r="B15463" s="1118" t="s">
        <v>301</v>
      </c>
      <c r="C15463" s="993" t="s">
        <v>363</v>
      </c>
      <c r="D15463" s="981">
        <v>2</v>
      </c>
      <c r="E15463" s="981">
        <v>6</v>
      </c>
      <c r="F15463" s="415">
        <f t="shared" ref="F15463:F15467" si="655">+E15463*D15463</f>
      </c>
      <c r="G15463" s="415">
        <v>1</v>
      </c>
      <c r="H15463" s="416">
        <f t="shared" ref="H15463:H15467" si="656">+G15463*F15463</f>
      </c>
    </row>
    <row r="15464" spans="1:8" ht="15.75" customHeight="1" x14ac:dyDescent="0.25">
      <c r="A15464" s="412">
        <v>2</v>
      </c>
      <c r="B15464" s="585" t="s">
        <v>80</v>
      </c>
      <c r="C15464" s="993" t="s">
        <v>386</v>
      </c>
      <c r="D15464" s="981">
        <v>1</v>
      </c>
      <c r="E15464" s="981">
        <v>5</v>
      </c>
      <c r="F15464" s="415">
        <f t="shared" si="655"/>
      </c>
      <c r="G15464" s="415">
        <v>1</v>
      </c>
      <c r="H15464" s="416">
        <f t="shared" si="656"/>
      </c>
    </row>
    <row r="15465" spans="1:8" ht="15.75" customHeight="1" x14ac:dyDescent="0.25">
      <c r="A15465" s="412">
        <v>3</v>
      </c>
      <c r="B15465" s="585" t="s">
        <v>135</v>
      </c>
      <c r="C15465" s="993" t="s">
        <v>383</v>
      </c>
      <c r="D15465" s="981">
        <v>1</v>
      </c>
      <c r="E15465" s="981">
        <v>6</v>
      </c>
      <c r="F15465" s="415">
        <f t="shared" si="655"/>
      </c>
      <c r="G15465" s="578">
        <v>1</v>
      </c>
      <c r="H15465" s="416">
        <f t="shared" si="656"/>
      </c>
    </row>
    <row r="15466" spans="1:8" ht="15.75" customHeight="1" x14ac:dyDescent="0.25">
      <c r="A15466" s="412">
        <v>4</v>
      </c>
      <c r="B15466" s="585" t="s">
        <v>15</v>
      </c>
      <c r="C15466" s="993" t="s">
        <v>388</v>
      </c>
      <c r="D15466" s="981">
        <v>3</v>
      </c>
      <c r="E15466" s="981">
        <v>6</v>
      </c>
      <c r="F15466" s="415">
        <f t="shared" si="655"/>
      </c>
      <c r="G15466" s="415">
        <v>1</v>
      </c>
      <c r="H15466" s="416">
        <f t="shared" si="656"/>
      </c>
    </row>
    <row r="15467" spans="1:8" ht="15.75" customHeight="1" x14ac:dyDescent="0.25">
      <c r="A15467" s="412">
        <v>5</v>
      </c>
      <c r="B15467" s="585" t="s">
        <v>287</v>
      </c>
      <c r="C15467" s="993" t="s">
        <v>400</v>
      </c>
      <c r="D15467" s="626">
        <v>6</v>
      </c>
      <c r="E15467" s="930">
        <v>4</v>
      </c>
      <c r="F15467" s="415">
        <f t="shared" si="655"/>
      </c>
      <c r="G15467" s="578">
        <v>1</v>
      </c>
      <c r="H15467" s="416">
        <f t="shared" si="656"/>
      </c>
    </row>
    <row r="15468" spans="1:8" ht="15.75" customHeight="1" x14ac:dyDescent="0.25">
      <c r="A15468" s="412"/>
      <c r="B15468" s="585"/>
      <c r="C15468" s="993"/>
      <c r="D15468" s="626"/>
      <c r="E15468" s="930"/>
      <c r="F15468" s="415"/>
      <c r="G15468" s="578"/>
      <c r="H15468" s="416"/>
    </row>
    <row r="15469" spans="1:8" ht="15.75" customHeight="1" x14ac:dyDescent="0.25">
      <c r="A15469" s="412"/>
      <c r="B15469" s="585"/>
      <c r="C15469" s="993"/>
      <c r="D15469" s="626"/>
      <c r="E15469" s="930"/>
      <c r="F15469" s="415"/>
      <c r="G15469" s="578"/>
      <c r="H15469" s="416"/>
    </row>
    <row r="15470" spans="1:8" ht="15.75" customHeight="1" x14ac:dyDescent="0.25">
      <c r="A15470" s="412"/>
      <c r="B15470" s="913"/>
      <c r="C15470" s="1127"/>
      <c r="D15470" s="626"/>
      <c r="E15470" s="930"/>
      <c r="F15470" s="415"/>
      <c r="G15470" s="578"/>
      <c r="H15470" s="416"/>
    </row>
    <row r="15471" spans="1:8" ht="15.75" customHeight="1" x14ac:dyDescent="0.25">
      <c r="A15471" s="412"/>
      <c r="B15471" s="913"/>
      <c r="C15471" s="1127"/>
      <c r="D15471" s="626"/>
      <c r="E15471" s="930"/>
      <c r="F15471" s="415"/>
      <c r="G15471" s="578"/>
      <c r="H15471" s="416"/>
    </row>
    <row r="15472" spans="1:8" ht="15.75" customHeight="1" x14ac:dyDescent="0.25">
      <c r="A15472" s="412"/>
      <c r="B15472" s="585"/>
      <c r="C15472" s="993"/>
      <c r="D15472" s="626"/>
      <c r="E15472" s="930"/>
      <c r="F15472" s="415"/>
      <c r="G15472" s="578"/>
      <c r="H15472" s="416"/>
    </row>
    <row r="15473" spans="1:8" ht="15.75" customHeight="1" x14ac:dyDescent="0.25">
      <c r="A15473" s="412"/>
      <c r="B15473" s="585"/>
      <c r="C15473" s="993"/>
      <c r="D15473" s="626"/>
      <c r="E15473" s="930"/>
      <c r="F15473" s="415"/>
      <c r="G15473" s="578"/>
      <c r="H15473" s="416"/>
    </row>
    <row r="15474" spans="1:8" ht="15.75" customHeight="1" x14ac:dyDescent="0.25">
      <c r="A15474" s="412"/>
      <c r="B15474" s="913"/>
      <c r="C15474" s="993"/>
      <c r="D15474" s="626"/>
      <c r="E15474" s="930"/>
      <c r="F15474" s="415"/>
      <c r="G15474" s="415"/>
      <c r="H15474" s="416"/>
    </row>
    <row r="15475" spans="1:8" ht="15.75" customHeight="1" x14ac:dyDescent="0.25">
      <c r="A15475" s="412"/>
      <c r="B15475" s="1127"/>
      <c r="C15475" s="993"/>
      <c r="D15475" s="626"/>
      <c r="E15475" s="626"/>
      <c r="F15475" s="415"/>
      <c r="G15475" s="415"/>
      <c r="H15475" s="416"/>
    </row>
    <row r="15476" spans="1:8" ht="15.75" customHeight="1" x14ac:dyDescent="0.25">
      <c r="A15476" s="877"/>
      <c r="B15476" s="688"/>
      <c r="C15476" s="896" t="s">
        <v>85</v>
      </c>
      <c r="D15476" s="599"/>
      <c r="E15476" s="401"/>
      <c r="F15476" s="599"/>
      <c r="G15476" s="661"/>
      <c r="H15476" s="438">
        <f>SUM(H15463:H15475)</f>
      </c>
    </row>
    <row r="15477" spans="1:8" ht="15.75" customHeight="1" x14ac:dyDescent="0.25">
      <c r="A15477" s="932"/>
      <c r="B15477" s="933"/>
      <c r="C15477" s="934"/>
      <c r="D15477" s="431"/>
      <c r="E15477" s="935"/>
      <c r="F15477" s="935"/>
      <c r="G15477" s="936"/>
      <c r="H15477" s="444"/>
    </row>
    <row r="15478" spans="1:8" ht="15.75" customHeight="1" x14ac:dyDescent="0.25">
      <c r="A15478" s="994"/>
      <c r="B15478" s="391"/>
      <c r="C15478" s="391"/>
      <c r="D15478" s="391"/>
      <c r="E15478" s="390"/>
      <c r="F15478" s="392"/>
      <c r="G15478" s="390"/>
      <c r="H15478" s="394"/>
    </row>
    <row r="15479" spans="1:8" ht="15.75" customHeight="1" x14ac:dyDescent="0.25">
      <c r="A15479" s="445"/>
      <c r="B15479" s="445"/>
      <c r="C15479" s="445"/>
      <c r="D15479" s="446" t="s">
        <v>97</v>
      </c>
      <c r="E15479" s="445" t="s">
        <v>98</v>
      </c>
      <c r="F15479" s="445"/>
      <c r="G15479" s="390"/>
      <c r="H15479" s="394"/>
    </row>
    <row r="15480" spans="1:8" ht="15.75" customHeight="1" x14ac:dyDescent="0.25">
      <c r="A15480" s="445"/>
      <c r="B15480" s="445"/>
      <c r="C15480" s="445"/>
      <c r="D15480" s="446"/>
      <c r="E15480" s="445"/>
      <c r="F15480" s="445"/>
      <c r="G15480" s="390"/>
      <c r="H15480" s="394"/>
    </row>
    <row r="15481" spans="1:8" ht="15.75" customHeight="1" x14ac:dyDescent="0.25">
      <c r="A15481" s="390"/>
      <c r="B15481" s="390"/>
      <c r="C15481" s="390"/>
      <c r="D15481" s="391"/>
      <c r="E15481" s="390"/>
      <c r="F15481" s="390"/>
      <c r="G15481" s="390"/>
      <c r="H15481" s="394"/>
    </row>
    <row r="15482" spans="1:8" ht="15.75" customHeight="1" x14ac:dyDescent="0.25">
      <c r="A15482" s="445"/>
      <c r="B15482" s="445"/>
      <c r="C15482" s="445"/>
      <c r="D15482" s="446"/>
      <c r="E15482" s="445" t="s">
        <v>99</v>
      </c>
      <c r="F15482" s="445"/>
      <c r="G15482" s="390"/>
      <c r="H15482" s="394"/>
    </row>
    <row r="15483" spans="1:8" ht="15.75" customHeight="1" x14ac:dyDescent="0.25">
      <c r="D15483" s="4"/>
      <c r="H15483" s="4"/>
    </row>
    <row r="15484" spans="1:8" ht="15.75" customHeight="1" x14ac:dyDescent="0.25">
      <c r="D15484" s="4"/>
      <c r="H15484" s="4"/>
    </row>
    <row r="15485" spans="1:8" ht="15.75" customHeight="1" x14ac:dyDescent="0.25">
      <c r="D15485" s="4"/>
      <c r="H15485" s="4"/>
    </row>
    <row r="15486" spans="1:8" ht="15.75" customHeight="1" x14ac:dyDescent="0.25">
      <c r="D15486" s="4"/>
      <c r="H15486" s="4"/>
    </row>
    <row r="15487" spans="1:8" ht="15.75" customHeight="1" x14ac:dyDescent="0.25">
      <c r="D15487" s="4"/>
      <c r="H15487" s="4"/>
    </row>
    <row r="15488" spans="1:8" ht="15.75" customHeight="1" x14ac:dyDescent="0.25">
      <c r="D15488" s="4"/>
      <c r="H15488" s="4"/>
    </row>
    <row r="15489" spans="1:8" ht="15.75" customHeight="1" x14ac:dyDescent="0.25">
      <c r="D15489" s="4"/>
      <c r="H15489" s="4"/>
    </row>
    <row r="15490" spans="1:8" ht="15.75" customHeight="1" x14ac:dyDescent="0.25">
      <c r="D15490" s="4"/>
      <c r="H15490" s="4"/>
    </row>
    <row r="15491" spans="1:8" ht="15.75" customHeight="1" x14ac:dyDescent="0.25">
      <c r="D15491" s="4"/>
      <c r="H15491" s="4"/>
    </row>
    <row r="15492" spans="1:8" ht="15.75" customHeight="1" x14ac:dyDescent="0.25">
      <c r="D15492" s="4"/>
      <c r="H15492" s="4"/>
    </row>
    <row r="15493" spans="1:8" ht="15.75" customHeight="1" x14ac:dyDescent="0.25">
      <c r="D15493" s="4"/>
      <c r="H15493" s="4"/>
    </row>
    <row r="15494" spans="1:8" ht="15.75" customHeight="1" x14ac:dyDescent="0.25">
      <c r="A15494" s="8" t="s">
        <v>14</v>
      </c>
      <c r="B15494" s="8"/>
      <c r="C15494" s="8"/>
      <c r="D15494" s="8"/>
      <c r="E15494" s="8"/>
      <c r="F15494" s="8"/>
      <c r="G15494" s="8"/>
      <c r="H15494" s="8"/>
    </row>
    <row r="15495" spans="1:8" ht="15.75" customHeight="1" x14ac:dyDescent="0.25">
      <c r="A15495" s="388"/>
      <c r="B15495" s="388"/>
      <c r="C15495" s="388"/>
      <c r="D15495" s="389"/>
      <c r="E15495" s="388"/>
      <c r="F15495" s="388"/>
      <c r="G15495" s="388"/>
      <c r="H15495" s="8"/>
    </row>
    <row r="15496" spans="1:8" ht="15.75" customHeight="1" x14ac:dyDescent="0.25">
      <c r="A15496" s="390"/>
      <c r="B15496" s="390"/>
      <c r="C15496" s="390"/>
      <c r="D15496" s="391"/>
      <c r="E15496" s="390"/>
      <c r="F15496" s="395" t="s">
        <v>18</v>
      </c>
      <c r="G15496" s="396" t="s">
        <v>1271</v>
      </c>
      <c r="H15496" s="397"/>
    </row>
    <row r="15497" spans="1:8" ht="15.75" customHeight="1" x14ac:dyDescent="0.25">
      <c r="A15497" s="390" t="s">
        <v>20</v>
      </c>
      <c r="B15497" s="390"/>
      <c r="C15497" s="390"/>
      <c r="D15497" s="391"/>
      <c r="E15497" s="390"/>
      <c r="F15497" s="395" t="s">
        <v>21</v>
      </c>
      <c r="G15497" s="390" t="s">
        <v>1412</v>
      </c>
      <c r="H15497" s="391"/>
    </row>
    <row r="15498" spans="1:8" ht="15.75" customHeight="1" x14ac:dyDescent="0.25">
      <c r="A15498" s="390" t="inlineStr">
        <is>
          <t>Dealer-009</t>
        </is>
      </c>
      <c r="B15498" s="390"/>
      <c r="C15498" s="390" t="inlineStr">
        <is>
          <t>ATTN: Contact-001</t>
        </is>
      </c>
      <c r="D15498" s="398"/>
      <c r="E15498" s="390"/>
      <c r="F15498" s="391"/>
      <c r="G15498" s="390"/>
      <c r="H15498" s="394"/>
    </row>
    <row r="15499" spans="1:8" ht="15.75" customHeight="1" x14ac:dyDescent="0.25">
      <c r="A15499" s="390" t="inlineStr">
        <is>
          <t>Address line (redacted)</t>
        </is>
      </c>
      <c r="B15499" s="390"/>
      <c r="C15499" s="390"/>
      <c r="D15499" s="398"/>
      <c r="E15499" s="390"/>
      <c r="F15499" s="391"/>
      <c r="G15499" s="390"/>
      <c r="H15499" s="394"/>
    </row>
    <row r="15500" spans="1:8" ht="15.75" customHeight="1" x14ac:dyDescent="0.25">
      <c r="A15500" s="390" t="inlineStr">
        <is>
          <t>Address line (redacted)</t>
        </is>
      </c>
      <c r="B15500" s="390"/>
      <c r="C15500" s="390"/>
      <c r="D15500" s="391"/>
      <c r="E15500" s="390"/>
      <c r="F15500" s="391"/>
      <c r="G15500" s="390"/>
      <c r="H15500" s="394"/>
    </row>
    <row r="15501" spans="1:8" ht="15.75" customHeight="1" x14ac:dyDescent="0.25">
      <c r="A15501" s="390"/>
      <c r="B15501" s="390"/>
      <c r="C15501" s="390"/>
      <c r="D15501" s="391"/>
      <c r="E15501" s="390"/>
      <c r="F15501" s="391"/>
      <c r="G15501" s="390"/>
      <c r="H15501" s="394"/>
    </row>
    <row r="15502" spans="1:8" ht="15.75" customHeight="1" x14ac:dyDescent="0.25">
      <c r="A15502" s="390" t="s">
        <v>30</v>
      </c>
      <c r="B15502" s="390"/>
      <c r="C15502" s="390"/>
      <c r="D15502" s="391"/>
      <c r="E15502" s="390"/>
      <c r="F15502" s="391"/>
      <c r="G15502" s="390"/>
      <c r="H15502" s="394"/>
    </row>
    <row r="15503" spans="1:8" ht="15.75" customHeight="1" x14ac:dyDescent="0.25">
      <c r="A15503" s="390"/>
      <c r="B15503" s="390"/>
      <c r="C15503" s="390"/>
      <c r="D15503" s="391"/>
      <c r="E15503" s="390"/>
      <c r="F15503" s="391"/>
      <c r="G15503" s="390"/>
      <c r="H15503" s="394"/>
    </row>
    <row r="15504" spans="1:8" ht="15.75" customHeight="1" x14ac:dyDescent="0.25">
      <c r="A15504" s="390" t="s">
        <v>716</v>
      </c>
      <c r="B15504" s="390"/>
      <c r="C15504" s="390"/>
      <c r="D15504" s="391"/>
      <c r="E15504" s="390"/>
      <c r="F15504" s="391"/>
      <c r="G15504" s="390"/>
      <c r="H15504" s="394"/>
    </row>
    <row r="15505" spans="1:8" ht="15.75" customHeight="1" x14ac:dyDescent="0.25">
      <c r="A15505" s="390" t="s">
        <v>717</v>
      </c>
      <c r="B15505" s="390"/>
      <c r="C15505" s="390"/>
      <c r="D15505" s="391"/>
      <c r="E15505" s="390"/>
      <c r="F15505" s="391"/>
      <c r="G15505" s="390"/>
      <c r="H15505" s="394"/>
    </row>
    <row r="15506" spans="1:8" ht="15.75" customHeight="1" x14ac:dyDescent="0.25">
      <c r="A15506" s="390"/>
      <c r="B15506" s="390"/>
      <c r="C15506" s="390"/>
      <c r="D15506" s="391"/>
      <c r="E15506" s="390"/>
      <c r="F15506" s="391"/>
      <c r="G15506" s="390"/>
      <c r="H15506" s="394"/>
    </row>
    <row r="15507" spans="1:8" ht="15.75" customHeight="1" x14ac:dyDescent="0.25">
      <c r="A15507" s="948" t="s">
        <v>33</v>
      </c>
      <c r="B15507" s="872" t="s">
        <v>6</v>
      </c>
      <c r="C15507" s="872"/>
      <c r="D15507" s="874" t="s">
        <v>37</v>
      </c>
      <c r="E15507" s="874" t="s">
        <v>38</v>
      </c>
      <c r="F15507" s="875" t="s">
        <v>7</v>
      </c>
      <c r="G15507" s="872" t="s">
        <v>43</v>
      </c>
      <c r="H15507" s="876" t="s">
        <v>44</v>
      </c>
    </row>
    <row r="15508" spans="1:8" ht="15.75" customHeight="1" x14ac:dyDescent="0.3">
      <c r="A15508" s="412"/>
      <c r="B15508" s="1033"/>
      <c r="C15508" s="1033"/>
      <c r="D15508" s="879"/>
      <c r="E15508" s="879"/>
      <c r="F15508" s="415"/>
      <c r="G15508" s="415"/>
      <c r="H15508" s="416"/>
    </row>
    <row r="15509" spans="1:8" ht="15.75" customHeight="1" x14ac:dyDescent="0.25">
      <c r="A15509" s="985"/>
      <c r="B15509" s="1205" t="s">
        <v>1356</v>
      </c>
      <c r="C15509" s="1206"/>
      <c r="D15509" s="1127"/>
      <c r="E15509" s="1127"/>
      <c r="F15509" s="992"/>
      <c r="G15509" s="992"/>
      <c r="H15509" s="989"/>
    </row>
    <row r="15510" spans="1:8" ht="15.75" customHeight="1" x14ac:dyDescent="0.25">
      <c r="A15510" s="985">
        <v>1</v>
      </c>
      <c r="B15510" s="1165" t="s">
        <v>56</v>
      </c>
      <c r="C15510" s="1127" t="s">
        <v>114</v>
      </c>
      <c r="D15510" s="1127">
        <v>1</v>
      </c>
      <c r="E15510" s="1127">
        <v>10</v>
      </c>
      <c r="F15510" s="992">
        <f t="shared" ref="F15510:F15512" si="657">+E15510*D15510</f>
      </c>
      <c r="G15510" s="992">
        <v>1</v>
      </c>
      <c r="H15510" s="989">
        <f t="shared" ref="H15510:H15512" si="658">+G15510*F15510</f>
      </c>
    </row>
    <row r="15511" spans="1:8" ht="15.75" customHeight="1" x14ac:dyDescent="0.25">
      <c r="A15511" s="985">
        <v>2</v>
      </c>
      <c r="B15511" s="1165" t="s">
        <v>2223</v>
      </c>
      <c r="C15511" s="1127" t="s">
        <v>36</v>
      </c>
      <c r="D15511" s="1127">
        <v>1</v>
      </c>
      <c r="E15511" s="1127">
        <v>5</v>
      </c>
      <c r="F15511" s="992">
        <f t="shared" si="657"/>
      </c>
      <c r="G15511" s="992">
        <v>1</v>
      </c>
      <c r="H15511" s="989">
        <f t="shared" si="658"/>
      </c>
    </row>
    <row r="15512" spans="1:8" ht="15.75" customHeight="1" x14ac:dyDescent="0.25">
      <c r="A15512" s="985">
        <v>3</v>
      </c>
      <c r="B15512" s="1165" t="s">
        <v>138</v>
      </c>
      <c r="C15512" s="1127" t="s">
        <v>335</v>
      </c>
      <c r="D15512" s="1127">
        <v>1</v>
      </c>
      <c r="E15512" s="1127">
        <v>5</v>
      </c>
      <c r="F15512" s="992">
        <f t="shared" si="657"/>
      </c>
      <c r="G15512" s="992">
        <v>1</v>
      </c>
      <c r="H15512" s="989">
        <f t="shared" si="658"/>
      </c>
    </row>
    <row r="15513" spans="1:8" ht="15.75" customHeight="1" x14ac:dyDescent="0.25">
      <c r="A15513" s="985"/>
      <c r="B15513" s="953" t="s">
        <v>1187</v>
      </c>
      <c r="C15513" s="953"/>
      <c r="D15513" s="1127"/>
      <c r="E15513" s="1127"/>
      <c r="F15513" s="992"/>
      <c r="G15513" s="956"/>
      <c r="H15513" s="989"/>
    </row>
    <row r="15514" spans="1:8" ht="15.75" customHeight="1" x14ac:dyDescent="0.25">
      <c r="A15514" s="985">
        <v>4</v>
      </c>
      <c r="B15514" s="990" t="s">
        <v>1512</v>
      </c>
      <c r="C15514" s="992"/>
      <c r="D15514" s="1202">
        <v>2</v>
      </c>
      <c r="E15514" s="1202">
        <v>100</v>
      </c>
      <c r="F15514" s="992">
        <f>95*2</f>
      </c>
      <c r="G15514" s="956">
        <v>1</v>
      </c>
      <c r="H15514" s="989">
        <f>+G15514*F15514</f>
      </c>
    </row>
    <row r="15515" spans="1:8" ht="15.75" customHeight="1" x14ac:dyDescent="0.25">
      <c r="A15515" s="985">
        <v>5</v>
      </c>
      <c r="B15515" s="990" t="s">
        <v>1512</v>
      </c>
      <c r="C15515" s="992"/>
      <c r="D15515" s="986"/>
      <c r="E15515" s="986"/>
      <c r="F15515" s="992">
        <v>10</v>
      </c>
      <c r="G15515" s="1166" t="s">
        <v>1856</v>
      </c>
      <c r="H15515" s="989"/>
    </row>
    <row r="15516" spans="1:8" ht="15.75" customHeight="1" x14ac:dyDescent="0.25">
      <c r="A15516" s="985">
        <v>6</v>
      </c>
      <c r="B15516" s="990" t="s">
        <v>1512</v>
      </c>
      <c r="C15516" s="992"/>
      <c r="D15516" s="986"/>
      <c r="E15516" s="986"/>
      <c r="F15516" s="992">
        <v>1</v>
      </c>
      <c r="G15516" s="992">
        <v>1</v>
      </c>
      <c r="H15516" s="989">
        <f t="shared" ref="H15516:H15518" si="659">+G15516*F15516</f>
      </c>
    </row>
    <row r="15517" spans="1:8" ht="15.75" customHeight="1" x14ac:dyDescent="0.25">
      <c r="A15517" s="985">
        <v>7</v>
      </c>
      <c r="B15517" s="990" t="s">
        <v>2205</v>
      </c>
      <c r="C15517" s="992" t="s">
        <v>1815</v>
      </c>
      <c r="D15517" s="1127">
        <v>1</v>
      </c>
      <c r="E15517" s="1127">
        <v>250</v>
      </c>
      <c r="F15517" s="1127">
        <v>250</v>
      </c>
      <c r="G15517" s="992">
        <v>1</v>
      </c>
      <c r="H15517" s="989">
        <f t="shared" si="659"/>
      </c>
    </row>
    <row r="15518" spans="1:8" ht="15.75" customHeight="1" x14ac:dyDescent="0.25">
      <c r="A15518" s="985">
        <v>8</v>
      </c>
      <c r="B15518" s="990" t="s">
        <v>2206</v>
      </c>
      <c r="C15518" s="992" t="s">
        <v>1815</v>
      </c>
      <c r="D15518" s="1127"/>
      <c r="E15518" s="1127">
        <v>200</v>
      </c>
      <c r="F15518" s="1127">
        <v>200</v>
      </c>
      <c r="G15518" s="992">
        <v>1</v>
      </c>
      <c r="H15518" s="989">
        <f t="shared" si="659"/>
      </c>
    </row>
    <row r="15519" spans="1:8" ht="15.75" customHeight="1" x14ac:dyDescent="0.25">
      <c r="A15519" s="985">
        <v>9</v>
      </c>
      <c r="B15519" s="990" t="s">
        <v>2205</v>
      </c>
      <c r="C15519" s="992" t="s">
        <v>1815</v>
      </c>
      <c r="D15519" s="1127"/>
      <c r="E15519" s="1127">
        <v>50</v>
      </c>
      <c r="F15519" s="1127">
        <v>50</v>
      </c>
      <c r="G15519" s="1166" t="s">
        <v>1856</v>
      </c>
      <c r="H15519" s="989"/>
    </row>
    <row r="15520" spans="1:8" ht="15.75" customHeight="1" x14ac:dyDescent="0.25">
      <c r="A15520" s="985">
        <v>10</v>
      </c>
      <c r="B15520" s="990" t="s">
        <v>2224</v>
      </c>
      <c r="C15520" s="1127" t="s">
        <v>445</v>
      </c>
      <c r="D15520" s="1202">
        <v>1</v>
      </c>
      <c r="E15520" s="1202">
        <v>475</v>
      </c>
      <c r="F15520" s="1127">
        <v>428</v>
      </c>
      <c r="G15520" s="992">
        <v>1</v>
      </c>
      <c r="H15520" s="989">
        <f>+G15520*F15520</f>
      </c>
    </row>
    <row r="15521" spans="1:8" ht="15.75" customHeight="1" x14ac:dyDescent="0.25">
      <c r="A15521" s="985">
        <v>11</v>
      </c>
      <c r="B15521" s="990" t="s">
        <v>2224</v>
      </c>
      <c r="C15521" s="1127" t="s">
        <v>445</v>
      </c>
      <c r="D15521" s="986"/>
      <c r="E15521" s="986"/>
      <c r="F15521" s="1127">
        <v>47</v>
      </c>
      <c r="G15521" s="1166" t="s">
        <v>1856</v>
      </c>
      <c r="H15521" s="989"/>
    </row>
    <row r="15522" spans="1:8" ht="15.75" customHeight="1" x14ac:dyDescent="0.25">
      <c r="A15522" s="985">
        <v>12</v>
      </c>
      <c r="B15522" s="990" t="s">
        <v>2391</v>
      </c>
      <c r="C15522" s="992" t="s">
        <v>452</v>
      </c>
      <c r="D15522" s="1202">
        <v>1</v>
      </c>
      <c r="E15522" s="1202">
        <v>99</v>
      </c>
      <c r="F15522" s="1127">
        <v>87</v>
      </c>
      <c r="G15522" s="992">
        <v>1</v>
      </c>
      <c r="H15522" s="989">
        <f>+G15522*F15522</f>
      </c>
    </row>
    <row r="15523" spans="1:8" ht="15.75" customHeight="1" x14ac:dyDescent="0.25">
      <c r="A15523" s="985">
        <v>13</v>
      </c>
      <c r="B15523" s="990" t="s">
        <v>2391</v>
      </c>
      <c r="C15523" s="992" t="s">
        <v>452</v>
      </c>
      <c r="D15523" s="986"/>
      <c r="E15523" s="986"/>
      <c r="F15523" s="1127">
        <v>12</v>
      </c>
      <c r="G15523" s="1166" t="s">
        <v>1856</v>
      </c>
      <c r="H15523" s="989"/>
    </row>
    <row r="15524" spans="1:8" ht="15.75" customHeight="1" x14ac:dyDescent="0.25">
      <c r="A15524" s="985"/>
      <c r="B15524" s="953" t="s">
        <v>1329</v>
      </c>
      <c r="C15524" s="953"/>
      <c r="D15524" s="1127"/>
      <c r="E15524" s="1127"/>
      <c r="F15524" s="1127"/>
      <c r="G15524" s="956"/>
      <c r="H15524" s="989"/>
    </row>
    <row r="15525" spans="1:8" ht="15.75" customHeight="1" x14ac:dyDescent="0.25">
      <c r="A15525" s="985">
        <v>14</v>
      </c>
      <c r="B15525" s="990" t="s">
        <v>242</v>
      </c>
      <c r="C15525" s="992"/>
      <c r="D15525" s="1127">
        <v>1</v>
      </c>
      <c r="E15525" s="1127">
        <v>25</v>
      </c>
      <c r="F15525" s="1127">
        <f t="shared" ref="F15525:F15526" si="660">+E15525*D15525</f>
      </c>
      <c r="G15525" s="992">
        <v>1</v>
      </c>
      <c r="H15525" s="989">
        <f t="shared" ref="H15525:H15526" si="661">+G15525*F15525</f>
      </c>
    </row>
    <row r="15526" spans="1:8" ht="15.75" customHeight="1" x14ac:dyDescent="0.25">
      <c r="A15526" s="985">
        <v>15</v>
      </c>
      <c r="B15526" s="990" t="s">
        <v>1413</v>
      </c>
      <c r="C15526" s="992"/>
      <c r="D15526" s="1127">
        <v>1</v>
      </c>
      <c r="E15526" s="1127">
        <v>15</v>
      </c>
      <c r="F15526" s="1127">
        <f t="shared" si="660"/>
      </c>
      <c r="G15526" s="992">
        <v>1</v>
      </c>
      <c r="H15526" s="989">
        <f t="shared" si="661"/>
      </c>
    </row>
    <row r="15527" spans="1:8" ht="15.75" customHeight="1" x14ac:dyDescent="0.25">
      <c r="A15527" s="985"/>
      <c r="B15527" s="953" t="s">
        <v>1660</v>
      </c>
      <c r="C15527" s="953"/>
      <c r="D15527" s="1127"/>
      <c r="E15527" s="1127"/>
      <c r="F15527" s="1127"/>
      <c r="G15527" s="956"/>
      <c r="H15527" s="989"/>
    </row>
    <row r="15528" spans="1:8" ht="15.75" customHeight="1" x14ac:dyDescent="0.25">
      <c r="A15528" s="985">
        <v>16</v>
      </c>
      <c r="B15528" s="990" t="s">
        <v>68</v>
      </c>
      <c r="C15528" s="992" t="s">
        <v>404</v>
      </c>
      <c r="D15528" s="1202">
        <v>1</v>
      </c>
      <c r="E15528" s="1202" t="s">
        <v>2392</v>
      </c>
      <c r="F15528" s="1127">
        <v>144.01</v>
      </c>
      <c r="G15528" s="992">
        <v>1</v>
      </c>
      <c r="H15528" s="989">
        <f>+G15528*F15528</f>
      </c>
    </row>
    <row r="15529" spans="1:8" ht="15.75" customHeight="1" x14ac:dyDescent="0.25">
      <c r="A15529" s="985">
        <v>17</v>
      </c>
      <c r="B15529" s="990" t="s">
        <v>68</v>
      </c>
      <c r="C15529" s="992" t="s">
        <v>404</v>
      </c>
      <c r="D15529" s="1203"/>
      <c r="E15529" s="986"/>
      <c r="F15529" s="1127">
        <f>150-F15528</f>
      </c>
      <c r="G15529" s="1166" t="s">
        <v>1856</v>
      </c>
      <c r="H15529" s="989"/>
    </row>
    <row r="15530" spans="1:8" ht="15.75" customHeight="1" x14ac:dyDescent="0.25">
      <c r="A15530" s="985">
        <v>18</v>
      </c>
      <c r="B15530" s="990" t="s">
        <v>2221</v>
      </c>
      <c r="C15530" s="992" t="s">
        <v>409</v>
      </c>
      <c r="D15530" s="1203"/>
      <c r="E15530" s="1202" t="s">
        <v>2393</v>
      </c>
      <c r="F15530" s="1127">
        <v>71.05</v>
      </c>
      <c r="G15530" s="992">
        <v>1</v>
      </c>
      <c r="H15530" s="989">
        <f>+G15530*F15530</f>
      </c>
    </row>
    <row r="15531" spans="1:8" ht="15.75" customHeight="1" x14ac:dyDescent="0.25">
      <c r="A15531" s="985">
        <v>19</v>
      </c>
      <c r="B15531" s="990" t="s">
        <v>2221</v>
      </c>
      <c r="C15531" s="992" t="s">
        <v>409</v>
      </c>
      <c r="D15531" s="1203"/>
      <c r="E15531" s="986"/>
      <c r="F15531" s="1127">
        <f>74-F15530</f>
      </c>
      <c r="G15531" s="1166" t="s">
        <v>1856</v>
      </c>
      <c r="H15531" s="989"/>
    </row>
    <row r="15532" spans="1:8" ht="15.75" customHeight="1" x14ac:dyDescent="0.25">
      <c r="A15532" s="985">
        <v>20</v>
      </c>
      <c r="B15532" s="990" t="s">
        <v>2225</v>
      </c>
      <c r="C15532" s="992" t="s">
        <v>414</v>
      </c>
      <c r="D15532" s="1203"/>
      <c r="E15532" s="1202" t="s">
        <v>2394</v>
      </c>
      <c r="F15532" s="1127">
        <v>192</v>
      </c>
      <c r="G15532" s="992">
        <v>1</v>
      </c>
      <c r="H15532" s="989">
        <f>+G15532*F15532</f>
      </c>
    </row>
    <row r="15533" spans="1:8" ht="15.75" customHeight="1" x14ac:dyDescent="0.25">
      <c r="A15533" s="985">
        <v>21</v>
      </c>
      <c r="B15533" s="990" t="s">
        <v>2225</v>
      </c>
      <c r="C15533" s="992" t="s">
        <v>414</v>
      </c>
      <c r="D15533" s="1203"/>
      <c r="E15533" s="986"/>
      <c r="F15533" s="1127">
        <v>8</v>
      </c>
      <c r="G15533" s="1166" t="s">
        <v>1856</v>
      </c>
      <c r="H15533" s="989"/>
    </row>
    <row r="15534" spans="1:8" ht="15.75" customHeight="1" x14ac:dyDescent="0.25">
      <c r="A15534" s="985">
        <v>22</v>
      </c>
      <c r="B15534" s="990" t="s">
        <v>136</v>
      </c>
      <c r="C15534" s="992" t="s">
        <v>418</v>
      </c>
      <c r="D15534" s="986"/>
      <c r="E15534" s="1202" t="s">
        <v>2372</v>
      </c>
      <c r="F15534" s="992">
        <v>90</v>
      </c>
      <c r="G15534" s="992">
        <v>1</v>
      </c>
      <c r="H15534" s="989">
        <f>+G15534*F15534</f>
      </c>
    </row>
    <row r="15535" spans="1:8" ht="15.75" customHeight="1" x14ac:dyDescent="0.25">
      <c r="A15535" s="985">
        <v>23</v>
      </c>
      <c r="B15535" s="990" t="s">
        <v>136</v>
      </c>
      <c r="C15535" s="992" t="s">
        <v>418</v>
      </c>
      <c r="D15535" s="1127"/>
      <c r="E15535" s="986"/>
      <c r="F15535" s="992">
        <v>10</v>
      </c>
      <c r="G15535" s="1166" t="s">
        <v>1856</v>
      </c>
      <c r="H15535" s="989"/>
    </row>
    <row r="15536" spans="1:8" ht="15.75" customHeight="1" x14ac:dyDescent="0.25">
      <c r="A15536" s="985"/>
      <c r="B15536" s="990"/>
      <c r="C15536" s="992"/>
      <c r="D15536" s="1127"/>
      <c r="E15536" s="1127"/>
      <c r="F15536" s="992"/>
      <c r="G15536" s="956"/>
      <c r="H15536" s="989"/>
    </row>
    <row r="15537" spans="1:8" ht="15.75" customHeight="1" x14ac:dyDescent="0.25">
      <c r="A15537" s="1207"/>
      <c r="B15537" s="1208"/>
      <c r="C15537" s="1209"/>
      <c r="D15537" s="1210"/>
      <c r="E15537" s="1210"/>
      <c r="F15537" s="1209"/>
      <c r="G15537" s="1211"/>
      <c r="H15537" s="1212"/>
    </row>
    <row r="15538" spans="1:8" ht="15.75" customHeight="1" x14ac:dyDescent="0.25">
      <c r="A15538" s="1213"/>
      <c r="B15538" s="720"/>
      <c r="C15538" s="744" t="s">
        <v>2395</v>
      </c>
      <c r="D15538" s="1214"/>
      <c r="E15538" s="1215"/>
      <c r="F15538" s="721"/>
      <c r="G15538" s="783"/>
      <c r="H15538" s="722"/>
    </row>
    <row r="15539" spans="1:8" ht="15.75" customHeight="1" x14ac:dyDescent="0.25">
      <c r="A15539" s="1213"/>
      <c r="B15539" s="720"/>
      <c r="C15539" s="721"/>
      <c r="D15539" s="1215"/>
      <c r="E15539" s="1215"/>
      <c r="F15539" s="721"/>
      <c r="G15539" s="783"/>
      <c r="H15539" s="722"/>
    </row>
    <row r="15540" spans="1:8" ht="15.75" customHeight="1" x14ac:dyDescent="0.25">
      <c r="A15540" s="8" t="s">
        <v>14</v>
      </c>
      <c r="B15540" s="8"/>
      <c r="C15540" s="8"/>
      <c r="D15540" s="8"/>
      <c r="E15540" s="8"/>
      <c r="F15540" s="8"/>
      <c r="G15540" s="8"/>
      <c r="H15540" s="8"/>
    </row>
    <row r="15541" spans="1:8" ht="15.75" customHeight="1" x14ac:dyDescent="0.25">
      <c r="A15541" s="388"/>
      <c r="B15541" s="388"/>
      <c r="C15541" s="388"/>
      <c r="D15541" s="389"/>
      <c r="E15541" s="388"/>
      <c r="F15541" s="388"/>
      <c r="G15541" s="388"/>
      <c r="H15541" s="8"/>
    </row>
    <row r="15542" spans="1:8" ht="15.75" customHeight="1" x14ac:dyDescent="0.25">
      <c r="A15542" s="390"/>
      <c r="B15542" s="390"/>
      <c r="C15542" s="390"/>
      <c r="D15542" s="391"/>
      <c r="E15542" s="390"/>
      <c r="F15542" s="395" t="s">
        <v>18</v>
      </c>
      <c r="G15542" s="396" t="s">
        <v>1271</v>
      </c>
      <c r="H15542" s="397"/>
    </row>
    <row r="15543" spans="1:8" ht="15.75" customHeight="1" x14ac:dyDescent="0.25">
      <c r="A15543" s="390" t="s">
        <v>20</v>
      </c>
      <c r="B15543" s="390"/>
      <c r="C15543" s="390"/>
      <c r="D15543" s="391"/>
      <c r="E15543" s="390"/>
      <c r="F15543" s="395" t="s">
        <v>21</v>
      </c>
      <c r="G15543" s="390" t="s">
        <v>1412</v>
      </c>
      <c r="H15543" s="391"/>
    </row>
    <row r="15544" spans="1:8" ht="15.75" customHeight="1" x14ac:dyDescent="0.25">
      <c r="A15544" s="390" t="inlineStr">
        <is>
          <t>Dealer-009</t>
        </is>
      </c>
      <c r="B15544" s="390"/>
      <c r="C15544" s="390" t="inlineStr">
        <is>
          <t>ATTN: Contact-001</t>
        </is>
      </c>
      <c r="D15544" s="398"/>
      <c r="E15544" s="390"/>
      <c r="F15544" s="391"/>
      <c r="G15544" s="390"/>
      <c r="H15544" s="394"/>
    </row>
    <row r="15545" spans="1:8" ht="15.75" customHeight="1" x14ac:dyDescent="0.25">
      <c r="A15545" s="390" t="inlineStr">
        <is>
          <t>Address line (redacted)</t>
        </is>
      </c>
      <c r="B15545" s="390"/>
      <c r="C15545" s="390"/>
      <c r="D15545" s="744" t="s">
        <v>2396</v>
      </c>
      <c r="E15545" s="1216"/>
      <c r="F15545" s="391"/>
      <c r="G15545" s="390"/>
      <c r="H15545" s="394"/>
    </row>
    <row r="15546" spans="1:8" ht="15.75" customHeight="1" x14ac:dyDescent="0.25">
      <c r="A15546" s="390" t="inlineStr">
        <is>
          <t>Address line (redacted)</t>
        </is>
      </c>
      <c r="B15546" s="390"/>
      <c r="C15546" s="390"/>
      <c r="D15546" s="391"/>
      <c r="E15546" s="390"/>
      <c r="F15546" s="391"/>
      <c r="G15546" s="390"/>
      <c r="H15546" s="394"/>
    </row>
    <row r="15547" spans="1:8" ht="15.75" customHeight="1" x14ac:dyDescent="0.25">
      <c r="A15547" s="390"/>
      <c r="B15547" s="390"/>
      <c r="C15547" s="390"/>
      <c r="D15547" s="391"/>
      <c r="E15547" s="390"/>
      <c r="F15547" s="391"/>
      <c r="G15547" s="390"/>
      <c r="H15547" s="394"/>
    </row>
    <row r="15548" spans="1:8" ht="15.75" customHeight="1" x14ac:dyDescent="0.25">
      <c r="A15548" s="390" t="s">
        <v>30</v>
      </c>
      <c r="B15548" s="390"/>
      <c r="C15548" s="390"/>
      <c r="D15548" s="391"/>
      <c r="E15548" s="390"/>
      <c r="F15548" s="391"/>
      <c r="G15548" s="390"/>
      <c r="H15548" s="394"/>
    </row>
    <row r="15549" spans="1:8" ht="15.75" customHeight="1" x14ac:dyDescent="0.25">
      <c r="A15549" s="390"/>
      <c r="B15549" s="390"/>
      <c r="C15549" s="390"/>
      <c r="D15549" s="391"/>
      <c r="E15549" s="390"/>
      <c r="F15549" s="391"/>
      <c r="G15549" s="390"/>
      <c r="H15549" s="394"/>
    </row>
    <row r="15550" spans="1:8" ht="15.75" customHeight="1" x14ac:dyDescent="0.25">
      <c r="A15550" s="390" t="s">
        <v>716</v>
      </c>
      <c r="B15550" s="390"/>
      <c r="C15550" s="390"/>
      <c r="D15550" s="391"/>
      <c r="E15550" s="390"/>
      <c r="F15550" s="391"/>
      <c r="G15550" s="390"/>
      <c r="H15550" s="394"/>
    </row>
    <row r="15551" spans="1:8" ht="15.75" customHeight="1" x14ac:dyDescent="0.25">
      <c r="A15551" s="390" t="s">
        <v>717</v>
      </c>
      <c r="B15551" s="390"/>
      <c r="C15551" s="390"/>
      <c r="D15551" s="391"/>
      <c r="E15551" s="390"/>
      <c r="F15551" s="391"/>
      <c r="G15551" s="390"/>
      <c r="H15551" s="394"/>
    </row>
    <row r="15552" spans="1:8" ht="15.75" customHeight="1" x14ac:dyDescent="0.25">
      <c r="A15552" s="390"/>
      <c r="B15552" s="390"/>
      <c r="C15552" s="390"/>
      <c r="D15552" s="391"/>
      <c r="E15552" s="390"/>
      <c r="F15552" s="391"/>
      <c r="G15552" s="390"/>
      <c r="H15552" s="394"/>
    </row>
    <row r="15553" spans="1:8" ht="15.75" customHeight="1" x14ac:dyDescent="0.25">
      <c r="A15553" s="948" t="s">
        <v>33</v>
      </c>
      <c r="B15553" s="872" t="s">
        <v>6</v>
      </c>
      <c r="C15553" s="872"/>
      <c r="D15553" s="874" t="s">
        <v>37</v>
      </c>
      <c r="E15553" s="874" t="s">
        <v>38</v>
      </c>
      <c r="F15553" s="875" t="s">
        <v>7</v>
      </c>
      <c r="G15553" s="872" t="s">
        <v>43</v>
      </c>
      <c r="H15553" s="876" t="s">
        <v>44</v>
      </c>
    </row>
    <row r="15554" spans="1:8" ht="15.75" customHeight="1" x14ac:dyDescent="0.25">
      <c r="A15554" s="985"/>
      <c r="B15554" s="990"/>
      <c r="C15554" s="992"/>
      <c r="D15554" s="1127"/>
      <c r="E15554" s="1127"/>
      <c r="F15554" s="992"/>
      <c r="G15554" s="956"/>
      <c r="H15554" s="989"/>
    </row>
    <row r="15555" spans="1:8" ht="15.75" customHeight="1" x14ac:dyDescent="0.25">
      <c r="A15555" s="985"/>
      <c r="B15555" s="953" t="s">
        <v>590</v>
      </c>
      <c r="C15555" s="953"/>
      <c r="D15555" s="1127"/>
      <c r="E15555" s="1127"/>
      <c r="F15555" s="992"/>
      <c r="G15555" s="956"/>
      <c r="H15555" s="989"/>
    </row>
    <row r="15556" spans="1:8" ht="15.75" customHeight="1" x14ac:dyDescent="0.25">
      <c r="A15556" s="985">
        <v>24</v>
      </c>
      <c r="B15556" s="990" t="s">
        <v>60</v>
      </c>
      <c r="C15556" s="992" t="s">
        <v>2226</v>
      </c>
      <c r="D15556" s="1127">
        <v>1</v>
      </c>
      <c r="E15556" s="1127">
        <v>6</v>
      </c>
      <c r="F15556" s="992">
        <v>6</v>
      </c>
      <c r="G15556" s="992">
        <v>1</v>
      </c>
      <c r="H15556" s="989">
        <f t="shared" ref="H15556:H15565" si="662">+G15556*F15556</f>
      </c>
    </row>
    <row r="15557" spans="1:8" ht="15.75" customHeight="1" x14ac:dyDescent="0.25">
      <c r="A15557" s="985">
        <v>25</v>
      </c>
      <c r="B15557" s="990" t="s">
        <v>143</v>
      </c>
      <c r="C15557" s="992" t="s">
        <v>374</v>
      </c>
      <c r="D15557" s="1127">
        <v>1</v>
      </c>
      <c r="E15557" s="1127">
        <v>6</v>
      </c>
      <c r="F15557" s="992">
        <f t="shared" ref="F15557:F15565" si="663">+E15557*D15557</f>
      </c>
      <c r="G15557" s="992">
        <v>1</v>
      </c>
      <c r="H15557" s="989">
        <f t="shared" si="662"/>
      </c>
    </row>
    <row r="15558" spans="1:8" ht="15.75" customHeight="1" x14ac:dyDescent="0.25">
      <c r="A15558" s="985">
        <v>26</v>
      </c>
      <c r="B15558" s="990" t="s">
        <v>1718</v>
      </c>
      <c r="C15558" s="992" t="s">
        <v>379</v>
      </c>
      <c r="D15558" s="1127">
        <v>2</v>
      </c>
      <c r="E15558" s="1127">
        <v>6</v>
      </c>
      <c r="F15558" s="992">
        <f t="shared" si="663"/>
      </c>
      <c r="G15558" s="992">
        <v>1</v>
      </c>
      <c r="H15558" s="989">
        <f t="shared" si="662"/>
      </c>
    </row>
    <row r="15559" spans="1:8" ht="15.75" customHeight="1" x14ac:dyDescent="0.25">
      <c r="A15559" s="985">
        <v>27</v>
      </c>
      <c r="B15559" s="990" t="s">
        <v>801</v>
      </c>
      <c r="C15559" s="992" t="s">
        <v>383</v>
      </c>
      <c r="D15559" s="1127">
        <v>2</v>
      </c>
      <c r="E15559" s="1127">
        <v>6</v>
      </c>
      <c r="F15559" s="992">
        <f t="shared" si="663"/>
      </c>
      <c r="G15559" s="992">
        <v>1</v>
      </c>
      <c r="H15559" s="989">
        <f t="shared" si="662"/>
      </c>
    </row>
    <row r="15560" spans="1:8" ht="15.75" customHeight="1" x14ac:dyDescent="0.25">
      <c r="A15560" s="985">
        <v>28</v>
      </c>
      <c r="B15560" s="990" t="s">
        <v>125</v>
      </c>
      <c r="C15560" s="992" t="s">
        <v>1064</v>
      </c>
      <c r="D15560" s="1127">
        <v>3</v>
      </c>
      <c r="E15560" s="1127">
        <v>4</v>
      </c>
      <c r="F15560" s="992">
        <f t="shared" si="663"/>
      </c>
      <c r="G15560" s="992">
        <v>1</v>
      </c>
      <c r="H15560" s="989">
        <f t="shared" si="662"/>
      </c>
    </row>
    <row r="15561" spans="1:8" ht="15.75" customHeight="1" x14ac:dyDescent="0.25">
      <c r="A15561" s="985">
        <v>29</v>
      </c>
      <c r="B15561" s="990" t="s">
        <v>136</v>
      </c>
      <c r="C15561" s="992" t="s">
        <v>387</v>
      </c>
      <c r="D15561" s="1127">
        <v>3</v>
      </c>
      <c r="E15561" s="1127">
        <v>6</v>
      </c>
      <c r="F15561" s="992">
        <f t="shared" si="663"/>
      </c>
      <c r="G15561" s="992">
        <v>1</v>
      </c>
      <c r="H15561" s="989">
        <f t="shared" si="662"/>
      </c>
    </row>
    <row r="15562" spans="1:8" ht="15.75" customHeight="1" x14ac:dyDescent="0.25">
      <c r="A15562" s="985">
        <v>30</v>
      </c>
      <c r="B15562" s="990" t="s">
        <v>127</v>
      </c>
      <c r="C15562" s="992" t="s">
        <v>398</v>
      </c>
      <c r="D15562" s="1127">
        <v>2</v>
      </c>
      <c r="E15562" s="1127">
        <v>6</v>
      </c>
      <c r="F15562" s="992">
        <f t="shared" si="663"/>
      </c>
      <c r="G15562" s="992">
        <v>1</v>
      </c>
      <c r="H15562" s="989">
        <f t="shared" si="662"/>
      </c>
    </row>
    <row r="15563" spans="1:8" ht="15.75" customHeight="1" x14ac:dyDescent="0.25">
      <c r="A15563" s="985">
        <v>31</v>
      </c>
      <c r="B15563" s="990" t="s">
        <v>287</v>
      </c>
      <c r="C15563" s="992" t="s">
        <v>400</v>
      </c>
      <c r="D15563" s="1127">
        <v>1</v>
      </c>
      <c r="E15563" s="1127">
        <v>6</v>
      </c>
      <c r="F15563" s="992">
        <f t="shared" si="663"/>
      </c>
      <c r="G15563" s="992">
        <v>1</v>
      </c>
      <c r="H15563" s="989">
        <f t="shared" si="662"/>
      </c>
    </row>
    <row r="15564" spans="1:8" ht="15.75" customHeight="1" x14ac:dyDescent="0.25">
      <c r="A15564" s="985">
        <v>32</v>
      </c>
      <c r="B15564" s="990" t="s">
        <v>134</v>
      </c>
      <c r="C15564" s="992" t="s">
        <v>367</v>
      </c>
      <c r="D15564" s="1127">
        <v>2</v>
      </c>
      <c r="E15564" s="1127">
        <v>1</v>
      </c>
      <c r="F15564" s="992">
        <f t="shared" si="663"/>
      </c>
      <c r="G15564" s="992">
        <v>1</v>
      </c>
      <c r="H15564" s="989">
        <f t="shared" si="662"/>
      </c>
    </row>
    <row r="15565" spans="1:8" ht="15.75" customHeight="1" x14ac:dyDescent="0.25">
      <c r="A15565" s="985">
        <v>33</v>
      </c>
      <c r="B15565" s="990" t="s">
        <v>124</v>
      </c>
      <c r="C15565" s="992" t="s">
        <v>379</v>
      </c>
      <c r="D15565" s="1127">
        <v>1</v>
      </c>
      <c r="E15565" s="1127">
        <v>4</v>
      </c>
      <c r="F15565" s="992">
        <f t="shared" si="663"/>
      </c>
      <c r="G15565" s="992">
        <v>1</v>
      </c>
      <c r="H15565" s="989">
        <f t="shared" si="662"/>
      </c>
    </row>
    <row r="15566" spans="1:8" ht="15.75" customHeight="1" x14ac:dyDescent="0.25">
      <c r="A15566" s="412"/>
      <c r="B15566" s="913"/>
      <c r="C15566" s="1127"/>
      <c r="D15566" s="588"/>
      <c r="E15566" s="981"/>
      <c r="F15566" s="415"/>
      <c r="G15566" s="578"/>
      <c r="H15566" s="416"/>
    </row>
    <row r="15567" spans="1:8" ht="15.75" customHeight="1" x14ac:dyDescent="0.25">
      <c r="A15567" s="412"/>
      <c r="B15567" s="1127"/>
      <c r="C15567" s="1084"/>
      <c r="D15567" s="592"/>
      <c r="E15567" s="592"/>
      <c r="F15567" s="593"/>
      <c r="G15567" s="593"/>
      <c r="H15567" s="931"/>
    </row>
    <row r="15568" spans="1:8" ht="15.75" customHeight="1" x14ac:dyDescent="0.25">
      <c r="A15568" s="1170"/>
      <c r="B15568" s="1171"/>
      <c r="C15568" s="1172" t="s">
        <v>85</v>
      </c>
      <c r="D15568" s="725"/>
      <c r="E15568" s="725"/>
      <c r="F15568" s="725"/>
      <c r="G15568" s="1173"/>
      <c r="H15568" s="1174">
        <f>+H15565+H15564+H15563+H15562+H15561+H15560+H15559+H15558+H15557+H15556+H15534+H15532+H15530+H15528+H15526+H15525+H15522+H15520+H15518+H15517+H15516+H15514+H15512+H15511+H15510</f>
      </c>
    </row>
    <row r="15569" spans="1:8" ht="15.75" customHeight="1" x14ac:dyDescent="0.25">
      <c r="A15569" s="932"/>
      <c r="B15569" s="933"/>
      <c r="C15569" s="934"/>
      <c r="D15569" s="431"/>
      <c r="E15569" s="935"/>
      <c r="F15569" s="935"/>
      <c r="G15569" s="936"/>
      <c r="H15569" s="444"/>
    </row>
    <row r="15570" spans="1:8" ht="15.75" customHeight="1" x14ac:dyDescent="0.25">
      <c r="A15570" s="994"/>
      <c r="B15570" s="391"/>
      <c r="C15570" s="391"/>
      <c r="D15570" s="391"/>
      <c r="E15570" s="390"/>
      <c r="F15570" s="392"/>
      <c r="G15570" s="390"/>
      <c r="H15570" s="394"/>
    </row>
    <row r="15571" spans="1:8" ht="15.75" customHeight="1" x14ac:dyDescent="0.25">
      <c r="A15571" s="445"/>
      <c r="B15571" s="445"/>
      <c r="C15571" s="445"/>
      <c r="D15571" s="446" t="s">
        <v>97</v>
      </c>
      <c r="E15571" s="445" t="s">
        <v>98</v>
      </c>
      <c r="F15571" s="445"/>
      <c r="G15571" s="390"/>
      <c r="H15571" s="394"/>
    </row>
    <row r="15572" spans="1:8" ht="15.75" customHeight="1" x14ac:dyDescent="0.25">
      <c r="A15572" s="445"/>
      <c r="B15572" s="445"/>
      <c r="C15572" s="445"/>
      <c r="D15572" s="446"/>
      <c r="E15572" s="445"/>
      <c r="F15572" s="445"/>
      <c r="G15572" s="390"/>
      <c r="H15572" s="394"/>
    </row>
    <row r="15573" spans="1:8" ht="15.75" customHeight="1" x14ac:dyDescent="0.25">
      <c r="A15573" s="445"/>
      <c r="B15573" s="445"/>
      <c r="C15573" s="445"/>
      <c r="D15573" s="446"/>
      <c r="E15573" s="445"/>
      <c r="F15573" s="445"/>
      <c r="G15573" s="390"/>
      <c r="H15573" s="394"/>
    </row>
    <row r="15574" spans="1:8" ht="15.75" customHeight="1" x14ac:dyDescent="0.25">
      <c r="A15574" s="445"/>
      <c r="B15574" s="445"/>
      <c r="C15574" s="445"/>
      <c r="D15574" s="446"/>
      <c r="E15574" s="445" t="s">
        <v>99</v>
      </c>
      <c r="F15574" s="445"/>
      <c r="G15574" s="390"/>
      <c r="H15574" s="394"/>
    </row>
    <row r="15575" spans="1:8" ht="15.75" customHeight="1" x14ac:dyDescent="0.25">
      <c r="D15575" s="4"/>
      <c r="H15575" s="4"/>
    </row>
    <row r="15576" spans="1:8" ht="15.75" customHeight="1" x14ac:dyDescent="0.25">
      <c r="D15576" s="4"/>
      <c r="H15576" s="4"/>
    </row>
    <row r="15577" spans="1:8" ht="15.75" customHeight="1" x14ac:dyDescent="0.25">
      <c r="D15577" s="4"/>
      <c r="H15577" s="4"/>
    </row>
    <row r="15578" spans="1:8" ht="15.75" customHeight="1" x14ac:dyDescent="0.25">
      <c r="D15578" s="4"/>
      <c r="H15578" s="4"/>
    </row>
    <row r="15579" spans="1:8" ht="15.75" customHeight="1" x14ac:dyDescent="0.25">
      <c r="D15579" s="4"/>
      <c r="H15579" s="4"/>
    </row>
    <row r="15580" spans="1:8" ht="15.75" customHeight="1" x14ac:dyDescent="0.25">
      <c r="D15580" s="4"/>
      <c r="H15580" s="4"/>
    </row>
    <row r="15581" spans="1:8" ht="15.75" customHeight="1" x14ac:dyDescent="0.25">
      <c r="D15581" s="4"/>
      <c r="H15581" s="4"/>
    </row>
    <row r="15582" spans="1:8" ht="15.75" customHeight="1" x14ac:dyDescent="0.25">
      <c r="D15582" s="4"/>
      <c r="H15582" s="4"/>
    </row>
    <row r="15583" spans="1:8" ht="15.75" customHeight="1" x14ac:dyDescent="0.25">
      <c r="D15583" s="4"/>
      <c r="H15583" s="4"/>
    </row>
    <row r="15584" spans="1:8" ht="15.75" customHeight="1" x14ac:dyDescent="0.25">
      <c r="D15584" s="4"/>
      <c r="H15584" s="4"/>
    </row>
    <row r="15585" spans="1:8" ht="15.75" customHeight="1" x14ac:dyDescent="0.25">
      <c r="A15585" s="8" t="s">
        <v>14</v>
      </c>
      <c r="B15585" s="8"/>
      <c r="C15585" s="8"/>
      <c r="D15585" s="8"/>
      <c r="E15585" s="8"/>
      <c r="F15585" s="8"/>
      <c r="G15585" s="8"/>
      <c r="H15585" s="8"/>
    </row>
    <row r="15586" spans="1:8" ht="15.75" customHeight="1" x14ac:dyDescent="0.25">
      <c r="D15586" s="4"/>
      <c r="H15586" s="4"/>
    </row>
    <row r="15587" spans="1:8" ht="15.75" customHeight="1" x14ac:dyDescent="0.25">
      <c r="A15587" s="390" t="s">
        <v>20</v>
      </c>
      <c r="B15587" s="390"/>
      <c r="C15587" s="388"/>
      <c r="D15587" s="391"/>
      <c r="E15587" s="390"/>
      <c r="F15587" s="395" t="s">
        <v>18</v>
      </c>
      <c r="G15587" s="396" t="s">
        <v>1278</v>
      </c>
      <c r="H15587" s="397"/>
    </row>
    <row r="15588" spans="1:8" ht="15.75" customHeight="1" x14ac:dyDescent="0.25">
      <c r="A15588" s="390" t="inlineStr">
        <is>
          <t>Dealer-004</t>
        </is>
      </c>
      <c r="B15588" s="390"/>
      <c r="C15588" s="388"/>
      <c r="D15588" s="391"/>
      <c r="E15588" s="390"/>
      <c r="F15588" s="395" t="s">
        <v>21</v>
      </c>
      <c r="G15588" s="390" t="s">
        <v>2227</v>
      </c>
      <c r="H15588" s="391"/>
    </row>
    <row r="15589" spans="1:8" ht="15.75" customHeight="1" x14ac:dyDescent="0.25">
      <c r="A15589" s="390" t="inlineStr">
        <is>
          <t>Address line (redacted)</t>
        </is>
      </c>
      <c r="B15589" s="390"/>
      <c r="C15589" s="388"/>
      <c r="D15589" s="398"/>
      <c r="E15589" s="390"/>
      <c r="F15589" s="391"/>
      <c r="G15589" s="390"/>
      <c r="H15589" s="394"/>
    </row>
    <row r="15590" spans="1:8" ht="15.75" customHeight="1" x14ac:dyDescent="0.25">
      <c r="A15590" s="390" t="inlineStr">
        <is>
          <t>Address line (redacted)</t>
        </is>
      </c>
      <c r="B15590" s="390"/>
      <c r="C15590" s="7"/>
      <c r="D15590" s="398"/>
      <c r="E15590" s="390"/>
      <c r="F15590" s="391"/>
      <c r="G15590" s="390"/>
      <c r="H15590" s="394"/>
    </row>
    <row r="15591" spans="1:8" ht="15.75" customHeight="1" x14ac:dyDescent="0.25">
      <c r="A15591" s="390"/>
      <c r="B15591" s="390"/>
      <c r="C15591" s="7"/>
      <c r="D15591" s="398"/>
      <c r="E15591" s="390"/>
      <c r="F15591" s="391"/>
      <c r="G15591" s="390"/>
      <c r="H15591" s="394"/>
    </row>
    <row r="15592" spans="1:8" ht="15.75" customHeight="1" x14ac:dyDescent="0.25">
      <c r="A15592" s="390" t="s">
        <v>2373</v>
      </c>
      <c r="B15592" s="390"/>
      <c r="C15592" s="390"/>
      <c r="D15592" s="391"/>
      <c r="E15592" s="390"/>
      <c r="F15592" s="391"/>
      <c r="G15592" s="390"/>
      <c r="H15592" s="394"/>
    </row>
    <row r="15593" spans="1:8" ht="15.75" customHeight="1" x14ac:dyDescent="0.25">
      <c r="A15593" s="390"/>
      <c r="B15593" s="390"/>
      <c r="C15593" s="390"/>
      <c r="D15593" s="391"/>
      <c r="E15593" s="390"/>
      <c r="F15593" s="391"/>
      <c r="G15593" s="390"/>
      <c r="H15593" s="394"/>
    </row>
    <row r="15594" spans="1:8" ht="15.75" customHeight="1" x14ac:dyDescent="0.25">
      <c r="A15594" s="390" t="s">
        <v>716</v>
      </c>
      <c r="B15594" s="390"/>
      <c r="C15594" s="390"/>
      <c r="D15594" s="391"/>
      <c r="E15594" s="390"/>
      <c r="F15594" s="391"/>
      <c r="G15594" s="390"/>
      <c r="H15594" s="394"/>
    </row>
    <row r="15595" spans="1:8" ht="15.75" customHeight="1" x14ac:dyDescent="0.25">
      <c r="A15595" s="390" t="s">
        <v>717</v>
      </c>
      <c r="B15595" s="390"/>
      <c r="C15595" s="390"/>
      <c r="D15595" s="391"/>
      <c r="E15595" s="390"/>
      <c r="F15595" s="391"/>
      <c r="G15595" s="390"/>
      <c r="H15595" s="394"/>
    </row>
    <row r="15596" spans="1:8" ht="15.75" customHeight="1" x14ac:dyDescent="0.25">
      <c r="A15596" s="948" t="s">
        <v>33</v>
      </c>
      <c r="B15596" s="872" t="s">
        <v>6</v>
      </c>
      <c r="C15596" s="872"/>
      <c r="D15596" s="874" t="s">
        <v>37</v>
      </c>
      <c r="E15596" s="874" t="s">
        <v>38</v>
      </c>
      <c r="F15596" s="875" t="s">
        <v>7</v>
      </c>
      <c r="G15596" s="872" t="s">
        <v>43</v>
      </c>
      <c r="H15596" s="876" t="s">
        <v>44</v>
      </c>
    </row>
    <row r="15597" spans="1:8" ht="15.75" customHeight="1" x14ac:dyDescent="0.3">
      <c r="A15597" s="412"/>
      <c r="B15597" s="1033"/>
      <c r="C15597" s="1033"/>
      <c r="D15597" s="879"/>
      <c r="E15597" s="879"/>
      <c r="F15597" s="415"/>
      <c r="G15597" s="415"/>
      <c r="H15597" s="416"/>
    </row>
    <row r="15598" spans="1:8" ht="15.75" customHeight="1" x14ac:dyDescent="0.25">
      <c r="A15598" s="1185"/>
      <c r="B15598" s="1181" t="s">
        <v>73</v>
      </c>
      <c r="C15598" s="1182"/>
      <c r="D15598" s="1189"/>
      <c r="E15598" s="1183"/>
      <c r="F15598" s="1183"/>
      <c r="G15598" s="1183"/>
      <c r="H15598" s="1187"/>
    </row>
    <row r="15599" spans="1:8" ht="15.75" customHeight="1" x14ac:dyDescent="0.25">
      <c r="A15599" s="985">
        <v>1</v>
      </c>
      <c r="B15599" s="990" t="s">
        <v>1512</v>
      </c>
      <c r="C15599" s="992"/>
      <c r="D15599" s="1127">
        <v>2</v>
      </c>
      <c r="E15599" s="1127">
        <v>100</v>
      </c>
      <c r="F15599" s="1127">
        <v>190</v>
      </c>
      <c r="G15599" s="992">
        <v>1</v>
      </c>
      <c r="H15599" s="989">
        <f>+G15599*F15599</f>
      </c>
    </row>
    <row r="15600" spans="1:8" ht="15.75" customHeight="1" x14ac:dyDescent="0.25">
      <c r="A15600" s="985">
        <v>2</v>
      </c>
      <c r="B15600" s="990" t="s">
        <v>1512</v>
      </c>
      <c r="C15600" s="992"/>
      <c r="D15600" s="1127"/>
      <c r="E15600" s="1127"/>
      <c r="F15600" s="1127">
        <v>10</v>
      </c>
      <c r="G15600" s="1166" t="s">
        <v>1856</v>
      </c>
      <c r="H15600" s="989"/>
    </row>
    <row r="15601" spans="1:8" ht="15.75" customHeight="1" x14ac:dyDescent="0.25">
      <c r="A15601" s="985"/>
      <c r="B15601" s="1181" t="s">
        <v>1660</v>
      </c>
      <c r="C15601" s="1182"/>
      <c r="D15601" s="1127"/>
      <c r="E15601" s="1127"/>
      <c r="F15601" s="1127"/>
      <c r="G15601" s="956"/>
      <c r="H15601" s="989"/>
    </row>
    <row r="15602" spans="1:8" ht="15.75" customHeight="1" x14ac:dyDescent="0.25">
      <c r="A15602" s="985">
        <v>3</v>
      </c>
      <c r="B15602" s="990" t="s">
        <v>60</v>
      </c>
      <c r="C15602" s="992" t="s">
        <v>408</v>
      </c>
      <c r="D15602" s="1202">
        <v>1</v>
      </c>
      <c r="E15602" s="1202" t="s">
        <v>2397</v>
      </c>
      <c r="F15602" s="1127">
        <f>96*2</f>
      </c>
      <c r="G15602" s="956">
        <v>1</v>
      </c>
      <c r="H15602" s="989">
        <f>+G15602*F15602</f>
      </c>
    </row>
    <row r="15603" spans="1:8" ht="15.75" customHeight="1" x14ac:dyDescent="0.25">
      <c r="A15603" s="985">
        <v>4</v>
      </c>
      <c r="B15603" s="990" t="s">
        <v>60</v>
      </c>
      <c r="C15603" s="992" t="s">
        <v>408</v>
      </c>
      <c r="D15603" s="986"/>
      <c r="E15603" s="986"/>
      <c r="F15603" s="1127">
        <v>8</v>
      </c>
      <c r="G15603" s="1166" t="s">
        <v>1856</v>
      </c>
      <c r="H15603" s="989"/>
    </row>
    <row r="15604" spans="1:8" ht="15.75" customHeight="1" x14ac:dyDescent="0.25">
      <c r="A15604" s="985"/>
      <c r="B15604" s="990"/>
      <c r="C15604" s="992"/>
      <c r="D15604" s="1127"/>
      <c r="E15604" s="1127"/>
      <c r="F15604" s="992"/>
      <c r="G15604" s="956"/>
      <c r="H15604" s="989"/>
    </row>
    <row r="15605" spans="1:8" ht="15.75" customHeight="1" x14ac:dyDescent="0.25">
      <c r="A15605" s="412"/>
      <c r="B15605" s="913"/>
      <c r="C15605" s="1127"/>
      <c r="D15605" s="588"/>
      <c r="E15605" s="981"/>
      <c r="F15605" s="415"/>
      <c r="G15605" s="578"/>
      <c r="H15605" s="416"/>
    </row>
    <row r="15606" spans="1:8" ht="15.75" customHeight="1" x14ac:dyDescent="0.25">
      <c r="A15606" s="412"/>
      <c r="B15606" s="913"/>
      <c r="C15606" s="1202"/>
      <c r="D15606" s="592"/>
      <c r="E15606" s="929"/>
      <c r="F15606" s="593"/>
      <c r="G15606" s="973"/>
      <c r="H15606" s="931"/>
    </row>
    <row r="15607" spans="1:8" ht="15.75" customHeight="1" x14ac:dyDescent="0.25">
      <c r="A15607" s="412"/>
      <c r="B15607" s="913"/>
      <c r="C15607" s="1202"/>
      <c r="D15607" s="592"/>
      <c r="E15607" s="929"/>
      <c r="F15607" s="593"/>
      <c r="G15607" s="973"/>
      <c r="H15607" s="931"/>
    </row>
    <row r="15608" spans="1:8" ht="15.75" customHeight="1" x14ac:dyDescent="0.25">
      <c r="A15608" s="1170"/>
      <c r="B15608" s="1171"/>
      <c r="C15608" s="1172" t="s">
        <v>85</v>
      </c>
      <c r="D15608" s="725"/>
      <c r="E15608" s="725"/>
      <c r="F15608" s="725"/>
      <c r="G15608" s="1173"/>
      <c r="H15608" s="1174">
        <f>SUM(H15598:H15607)</f>
      </c>
    </row>
    <row r="15609" spans="1:8" ht="15.75" customHeight="1" x14ac:dyDescent="0.25">
      <c r="A15609" s="932"/>
      <c r="B15609" s="933"/>
      <c r="C15609" s="934"/>
      <c r="D15609" s="431"/>
      <c r="E15609" s="935"/>
      <c r="F15609" s="935"/>
      <c r="G15609" s="936"/>
      <c r="H15609" s="444"/>
    </row>
    <row r="15610" spans="1:8" ht="15.75" customHeight="1" x14ac:dyDescent="0.25">
      <c r="A15610" s="994"/>
      <c r="B15610" s="391"/>
      <c r="C15610" s="391"/>
      <c r="D15610" s="446" t="s">
        <v>97</v>
      </c>
      <c r="E15610" s="445" t="s">
        <v>98</v>
      </c>
      <c r="F15610" s="445"/>
      <c r="G15610" s="390"/>
      <c r="H15610" s="394"/>
    </row>
    <row r="15611" spans="1:8" ht="15.75" customHeight="1" x14ac:dyDescent="0.25">
      <c r="A15611" s="445"/>
      <c r="B15611" s="445"/>
      <c r="C15611" s="445"/>
      <c r="D15611" s="446"/>
      <c r="E15611" s="445"/>
      <c r="F15611" s="445"/>
      <c r="G15611" s="390"/>
      <c r="H15611" s="394"/>
    </row>
    <row r="15612" spans="1:8" ht="15.75" customHeight="1" x14ac:dyDescent="0.25">
      <c r="A15612" s="445"/>
      <c r="B15612" s="445"/>
      <c r="C15612" s="445"/>
      <c r="D15612" s="446"/>
      <c r="E15612" s="445" t="s">
        <v>99</v>
      </c>
      <c r="F15612" s="445"/>
      <c r="G15612" s="390"/>
      <c r="H15612" s="394"/>
    </row>
    <row r="15613" spans="1:8" ht="15.75" customHeight="1" x14ac:dyDescent="0.25">
      <c r="D15613" s="4"/>
      <c r="H15613" s="4"/>
    </row>
    <row r="15614" spans="1:8" ht="15.75" customHeight="1" x14ac:dyDescent="0.25">
      <c r="D15614" s="4"/>
      <c r="H15614" s="4"/>
    </row>
    <row r="15615" spans="1:8" ht="15.75" customHeight="1" x14ac:dyDescent="0.25">
      <c r="D15615" s="4"/>
      <c r="H15615" s="4"/>
    </row>
    <row r="15616" spans="1:8" ht="15.75" customHeight="1" x14ac:dyDescent="0.25">
      <c r="D15616" s="4"/>
      <c r="H15616" s="4"/>
    </row>
    <row r="15617" spans="1:8" ht="15.75" customHeight="1" x14ac:dyDescent="0.25">
      <c r="D15617" s="4"/>
      <c r="H15617" s="4"/>
    </row>
    <row r="15618" spans="1:8" ht="15.75" customHeight="1" x14ac:dyDescent="0.25">
      <c r="D15618" s="4"/>
      <c r="H15618" s="4"/>
    </row>
    <row r="15619" spans="1:8" ht="15.75" customHeight="1" x14ac:dyDescent="0.25">
      <c r="D15619" s="4"/>
      <c r="H15619" s="4"/>
    </row>
    <row r="15620" spans="1:8" ht="15.75" customHeight="1" x14ac:dyDescent="0.25">
      <c r="D15620" s="4"/>
      <c r="H15620" s="4"/>
    </row>
    <row r="15621" spans="1:8" ht="15.75" customHeight="1" x14ac:dyDescent="0.25">
      <c r="D15621" s="4"/>
      <c r="H15621" s="4"/>
    </row>
    <row r="15622" spans="1:8" ht="15.75" customHeight="1" x14ac:dyDescent="0.25">
      <c r="D15622" s="4"/>
      <c r="H15622" s="4"/>
    </row>
    <row r="15623" spans="1:8" ht="15.75" customHeight="1" x14ac:dyDescent="0.25">
      <c r="D15623" s="4"/>
      <c r="H15623" s="4"/>
    </row>
    <row r="15624" spans="1:8" ht="15.75" customHeight="1" x14ac:dyDescent="0.25">
      <c r="D15624" s="4"/>
      <c r="H15624" s="4"/>
    </row>
    <row r="15625" spans="1:8" ht="15.75" customHeight="1" x14ac:dyDescent="0.25">
      <c r="D15625" s="4"/>
      <c r="H15625" s="4"/>
    </row>
    <row r="15626" spans="1:8" ht="15.75" customHeight="1" x14ac:dyDescent="0.25">
      <c r="D15626" s="4"/>
      <c r="H15626" s="4"/>
    </row>
    <row r="15627" spans="1:8" ht="15.75" customHeight="1" x14ac:dyDescent="0.25">
      <c r="D15627" s="4"/>
      <c r="H15627" s="4"/>
    </row>
    <row r="15628" spans="1:8" ht="15.75" customHeight="1" x14ac:dyDescent="0.25">
      <c r="D15628" s="4"/>
      <c r="H15628" s="4"/>
    </row>
    <row r="15629" spans="1:8" ht="15.75" customHeight="1" x14ac:dyDescent="0.25">
      <c r="D15629" s="4"/>
      <c r="H15629" s="4"/>
    </row>
    <row r="15630" spans="1:8" ht="15.75" customHeight="1" x14ac:dyDescent="0.25">
      <c r="D15630" s="4"/>
      <c r="H15630" s="4"/>
    </row>
    <row r="15631" spans="1:8" ht="15.75" customHeight="1" x14ac:dyDescent="0.25">
      <c r="D15631" s="4"/>
      <c r="H15631" s="4"/>
    </row>
    <row r="15632" spans="1:8" ht="15.75" customHeight="1" x14ac:dyDescent="0.25">
      <c r="A15632" s="8" t="s">
        <v>14</v>
      </c>
      <c r="B15632" s="8"/>
      <c r="C15632" s="8"/>
      <c r="D15632" s="8"/>
      <c r="E15632" s="8"/>
      <c r="F15632" s="8"/>
      <c r="G15632" s="8"/>
      <c r="H15632" s="8"/>
    </row>
    <row r="15633" spans="1:17" ht="15.75" customHeight="1" x14ac:dyDescent="0.25">
      <c r="D15633" s="4"/>
      <c r="H15633" s="4"/>
    </row>
    <row r="15634" spans="1:17" ht="15.75" customHeight="1" x14ac:dyDescent="0.25">
      <c r="A15634" s="388" t="s">
        <v>20</v>
      </c>
      <c r="B15634" s="388"/>
      <c r="C15634" s="388"/>
      <c r="D15634" s="391"/>
      <c r="E15634" s="390"/>
      <c r="F15634" s="395" t="s">
        <v>18</v>
      </c>
      <c r="G15634" s="396" t="s">
        <v>1285</v>
      </c>
      <c r="H15634" s="397"/>
    </row>
    <row r="15635" spans="1:17" ht="15.75" customHeight="1" x14ac:dyDescent="0.25">
      <c r="A15635" s="388" t="inlineStr">
        <is>
          <t>Dealer-001</t>
        </is>
      </c>
      <c r="B15635" s="388"/>
      <c r="C15635" s="388"/>
      <c r="D15635" s="391"/>
      <c r="E15635" s="390"/>
      <c r="F15635" s="395" t="s">
        <v>21</v>
      </c>
      <c r="G15635" s="390" t="s">
        <v>2228</v>
      </c>
      <c r="H15635" s="391"/>
    </row>
    <row r="15636" spans="1:17" ht="15.75" customHeight="1" x14ac:dyDescent="0.25">
      <c r="A15636" s="388" t="inlineStr">
        <is>
          <t>Address line (redacted)</t>
        </is>
      </c>
      <c r="B15636" s="388"/>
      <c r="C15636" s="388"/>
      <c r="D15636" s="398"/>
      <c r="E15636" s="390"/>
      <c r="F15636" s="391"/>
      <c r="G15636" s="390"/>
      <c r="H15636" s="394"/>
    </row>
    <row r="15637" spans="1:17" ht="15.75" customHeight="1" x14ac:dyDescent="0.25">
      <c r="A15637" s="388"/>
      <c r="B15637" s="388"/>
      <c r="C15637" s="388"/>
      <c r="D15637" s="398"/>
      <c r="E15637" s="390"/>
      <c r="F15637" s="391"/>
      <c r="G15637" s="390"/>
      <c r="H15637" s="394"/>
    </row>
    <row r="15638" spans="1:17" ht="15.75" customHeight="1" x14ac:dyDescent="0.25">
      <c r="A15638" s="388" t="inlineStr">
        <is>
          <t>Through: Transporter-001</t>
        </is>
      </c>
      <c r="B15638" s="388"/>
      <c r="C15638" s="388"/>
      <c r="D15638" s="391"/>
      <c r="E15638" s="390"/>
      <c r="F15638" s="391"/>
      <c r="G15638" s="390"/>
      <c r="H15638" s="394"/>
    </row>
    <row r="15639" spans="1:17" ht="15.75" customHeight="1" x14ac:dyDescent="0.25">
      <c r="A15639" s="388"/>
      <c r="B15639" s="388" t="inlineStr">
        <is>
          <t>Address line (redacted)</t>
        </is>
      </c>
      <c r="C15639" s="388"/>
      <c r="D15639" s="391"/>
      <c r="E15639" s="390"/>
      <c r="F15639" s="391"/>
      <c r="G15639" s="390"/>
      <c r="H15639" s="394"/>
    </row>
    <row r="15640" spans="1:17" ht="15.75" customHeight="1" x14ac:dyDescent="0.25">
      <c r="A15640" s="388"/>
      <c r="B15640" s="388" t="inlineStr">
        <is>
          <t>Address line (redacted)</t>
        </is>
      </c>
      <c r="C15640" s="388"/>
      <c r="D15640" s="391"/>
      <c r="E15640" s="390"/>
      <c r="F15640" s="391"/>
      <c r="G15640" s="390"/>
      <c r="H15640" s="394"/>
    </row>
    <row r="15641" spans="1:17" ht="15.75" customHeight="1" x14ac:dyDescent="0.25">
      <c r="A15641" s="388"/>
      <c r="B15641" s="388"/>
      <c r="C15641" s="388"/>
      <c r="D15641" s="391"/>
      <c r="E15641" s="390"/>
      <c r="F15641" s="391"/>
      <c r="G15641" s="390"/>
      <c r="H15641" s="394"/>
    </row>
    <row r="15642" spans="1:17" ht="15.75" customHeight="1" x14ac:dyDescent="0.25">
      <c r="A15642" s="390" t="s">
        <v>2373</v>
      </c>
      <c r="B15642" s="390"/>
      <c r="C15642" s="390"/>
      <c r="D15642" s="391"/>
      <c r="E15642" s="390"/>
      <c r="F15642" s="391"/>
      <c r="G15642" s="390"/>
      <c r="H15642" s="394"/>
    </row>
    <row r="15643" spans="1:17" ht="15.75" customHeight="1" x14ac:dyDescent="0.25">
      <c r="A15643" s="390" t="s">
        <v>716</v>
      </c>
      <c r="B15643" s="390"/>
      <c r="C15643" s="390"/>
      <c r="D15643" s="391"/>
      <c r="E15643" s="390"/>
      <c r="F15643" s="391"/>
      <c r="G15643" s="390"/>
      <c r="H15643" s="394"/>
    </row>
    <row r="15644" spans="1:17" ht="15.75" customHeight="1" x14ac:dyDescent="0.25">
      <c r="A15644" s="390" t="s">
        <v>717</v>
      </c>
      <c r="B15644" s="390"/>
      <c r="C15644" s="390"/>
      <c r="D15644" s="391"/>
      <c r="E15644" s="390"/>
      <c r="F15644" s="391"/>
      <c r="G15644" s="390"/>
      <c r="H15644" s="394"/>
    </row>
    <row r="15645" spans="1:17" ht="15.75" customHeight="1" x14ac:dyDescent="0.25">
      <c r="A15645" s="390"/>
      <c r="B15645" s="390"/>
      <c r="C15645" s="390"/>
      <c r="D15645" s="391"/>
      <c r="E15645" s="390"/>
      <c r="F15645" s="391"/>
      <c r="G15645" s="390"/>
      <c r="H15645" s="394"/>
    </row>
    <row r="15646" spans="1:17" ht="15.75" customHeight="1" x14ac:dyDescent="0.25">
      <c r="A15646" s="948" t="s">
        <v>33</v>
      </c>
      <c r="B15646" s="872" t="s">
        <v>6</v>
      </c>
      <c r="C15646" s="872"/>
      <c r="D15646" s="874" t="s">
        <v>37</v>
      </c>
      <c r="E15646" s="874" t="s">
        <v>38</v>
      </c>
      <c r="F15646" s="875" t="s">
        <v>7</v>
      </c>
      <c r="G15646" s="872" t="s">
        <v>43</v>
      </c>
      <c r="H15646" s="876" t="s">
        <v>44</v>
      </c>
    </row>
    <row r="15647" spans="1:17" ht="15.75" customHeight="1" x14ac:dyDescent="0.3">
      <c r="A15647" s="412"/>
      <c r="B15647" s="1033"/>
      <c r="C15647" s="1033"/>
      <c r="D15647" s="879"/>
      <c r="E15647" s="879"/>
      <c r="F15647" s="415"/>
      <c r="G15647" s="415"/>
      <c r="H15647" s="416"/>
      <c r="I15647" s="1181" t="s">
        <v>2066</v>
      </c>
      <c r="J15647" s="1182"/>
      <c r="K15647" s="1188"/>
      <c r="L15647" s="1183"/>
      <c r="M15647" s="1183"/>
    </row>
    <row r="15648" spans="1:17" ht="14.25" customHeight="1" x14ac:dyDescent="0.25">
      <c r="A15648" s="1185"/>
      <c r="B15648" s="1181" t="s">
        <v>2066</v>
      </c>
      <c r="C15648" s="1182"/>
      <c r="D15648" s="1188"/>
      <c r="E15648" s="1183"/>
      <c r="F15648" s="1183"/>
      <c r="G15648" s="1183"/>
      <c r="H15648" s="1187"/>
      <c r="I15648" s="1186" t="s">
        <v>2398</v>
      </c>
      <c r="J15648" s="1186" t="s">
        <v>57</v>
      </c>
      <c r="K15648" s="1189">
        <v>12</v>
      </c>
      <c r="L15648" s="1183">
        <v>25</v>
      </c>
      <c r="M15648" s="1183">
        <f t="shared" ref="M15648:M15650" si="664">+L15648*K15648</f>
      </c>
      <c r="N15648" s="2">
        <f t="shared" ref="N15648:N15650" si="665">+M15648-F15649</f>
      </c>
      <c r="O15648" s="2">
        <f t="shared" ref="O15648:O15650" si="666">+N15648*G15649</f>
      </c>
      <c r="P15648" s="2">
        <v>10</v>
      </c>
      <c r="Q15648" s="2">
        <f t="shared" ref="Q15648:Q15650" si="667">+N15648/25</f>
      </c>
    </row>
    <row r="15649" spans="1:17" ht="15.75" customHeight="1" x14ac:dyDescent="0.25">
      <c r="A15649" s="1185">
        <v>1</v>
      </c>
      <c r="B15649" s="1186" t="s">
        <v>2398</v>
      </c>
      <c r="C15649" s="1186" t="s">
        <v>57</v>
      </c>
      <c r="D15649" s="1189">
        <v>2</v>
      </c>
      <c r="E15649" s="1183">
        <v>25</v>
      </c>
      <c r="F15649" s="1183">
        <f t="shared" ref="F15649:F15651" si="668">+E15649*D15649</f>
      </c>
      <c r="G15649" s="1183">
        <v>1</v>
      </c>
      <c r="H15649" s="1187">
        <f t="shared" ref="H15649:H15651" si="669">+G15649*F15649</f>
      </c>
      <c r="I15649" s="1186" t="s">
        <v>2229</v>
      </c>
      <c r="J15649" s="1186" t="s">
        <v>109</v>
      </c>
      <c r="K15649" s="1189">
        <v>32</v>
      </c>
      <c r="L15649" s="1183">
        <v>25</v>
      </c>
      <c r="M15649" s="1183">
        <f t="shared" si="664"/>
      </c>
      <c r="N15649" s="2">
        <f t="shared" si="665"/>
      </c>
      <c r="O15649" s="2">
        <f t="shared" si="666"/>
      </c>
      <c r="P15649" s="2">
        <v>36</v>
      </c>
      <c r="Q15649" s="2">
        <f t="shared" si="667"/>
      </c>
    </row>
    <row r="15650" spans="1:17" ht="15.75" customHeight="1" x14ac:dyDescent="0.25">
      <c r="A15650" s="1185">
        <v>2</v>
      </c>
      <c r="B15650" s="1186" t="s">
        <v>2229</v>
      </c>
      <c r="C15650" s="1186" t="s">
        <v>109</v>
      </c>
      <c r="D15650" s="1189">
        <v>6</v>
      </c>
      <c r="E15650" s="1183">
        <v>25</v>
      </c>
      <c r="F15650" s="1183">
        <f t="shared" si="668"/>
      </c>
      <c r="G15650" s="1183">
        <v>1</v>
      </c>
      <c r="H15650" s="1187">
        <f t="shared" si="669"/>
      </c>
      <c r="I15650" s="1186" t="s">
        <v>2230</v>
      </c>
      <c r="J15650" s="1186" t="s">
        <v>425</v>
      </c>
      <c r="K15650" s="1189">
        <v>5</v>
      </c>
      <c r="L15650" s="1183">
        <v>25</v>
      </c>
      <c r="M15650" s="1183">
        <f t="shared" si="664"/>
      </c>
      <c r="N15650" s="2">
        <f t="shared" si="665"/>
      </c>
      <c r="O15650" s="2">
        <f t="shared" si="666"/>
      </c>
      <c r="P15650" s="2">
        <v>4</v>
      </c>
      <c r="Q15650" s="2">
        <f t="shared" si="667"/>
      </c>
    </row>
    <row r="15651" spans="1:17" ht="15.75" customHeight="1" x14ac:dyDescent="0.25">
      <c r="A15651" s="1185">
        <v>3</v>
      </c>
      <c r="B15651" s="1186" t="s">
        <v>2230</v>
      </c>
      <c r="C15651" s="1186" t="s">
        <v>425</v>
      </c>
      <c r="D15651" s="1189">
        <v>1</v>
      </c>
      <c r="E15651" s="1183">
        <v>25</v>
      </c>
      <c r="F15651" s="1183">
        <f t="shared" si="668"/>
      </c>
      <c r="G15651" s="1183">
        <v>1</v>
      </c>
      <c r="H15651" s="1187">
        <f t="shared" si="669"/>
      </c>
      <c r="O15651" s="2">
        <f t="shared" ref="O15651:P15651" si="670">SUM(O15648:O15650)</f>
      </c>
      <c r="P15651" s="2">
        <f t="shared" si="670"/>
      </c>
    </row>
    <row r="15652" spans="1:17" ht="15.75" customHeight="1" x14ac:dyDescent="0.25">
      <c r="A15652" s="985"/>
      <c r="B15652" s="990"/>
      <c r="C15652" s="992"/>
      <c r="D15652" s="1127"/>
      <c r="E15652" s="1127"/>
      <c r="F15652" s="992"/>
      <c r="G15652" s="956"/>
      <c r="H15652" s="989"/>
    </row>
    <row r="15653" spans="1:17" ht="15.75" customHeight="1" x14ac:dyDescent="0.25">
      <c r="A15653" s="412"/>
      <c r="B15653" s="913"/>
      <c r="C15653" s="1127"/>
      <c r="D15653" s="588"/>
      <c r="E15653" s="981"/>
      <c r="F15653" s="415"/>
      <c r="G15653" s="578"/>
      <c r="H15653" s="416"/>
    </row>
    <row r="15654" spans="1:17" ht="15.75" customHeight="1" x14ac:dyDescent="0.25">
      <c r="A15654" s="412"/>
      <c r="B15654" s="1127"/>
      <c r="C15654" s="1084"/>
      <c r="D15654" s="592"/>
      <c r="E15654" s="592"/>
      <c r="F15654" s="593"/>
      <c r="G15654" s="593"/>
      <c r="H15654" s="931"/>
    </row>
    <row r="15655" spans="1:17" ht="15.75" customHeight="1" x14ac:dyDescent="0.25">
      <c r="A15655" s="1170"/>
      <c r="B15655" s="1171"/>
      <c r="C15655" s="1172" t="s">
        <v>85</v>
      </c>
      <c r="D15655" s="725">
        <f>SUM(D15649:D15654)</f>
      </c>
      <c r="E15655" s="725"/>
      <c r="F15655" s="725"/>
      <c r="G15655" s="1173"/>
      <c r="H15655" s="1174">
        <f>SUM(H15648:H15654)</f>
      </c>
    </row>
    <row r="15656" spans="1:17" ht="15.75" customHeight="1" x14ac:dyDescent="0.25">
      <c r="A15656" s="932"/>
      <c r="B15656" s="933"/>
      <c r="C15656" s="934"/>
      <c r="D15656" s="431"/>
      <c r="E15656" s="935"/>
      <c r="F15656" s="935"/>
      <c r="G15656" s="936"/>
      <c r="H15656" s="444"/>
    </row>
    <row r="15657" spans="1:17" ht="15.75" customHeight="1" x14ac:dyDescent="0.25">
      <c r="A15657" s="994"/>
      <c r="B15657" s="391"/>
      <c r="C15657" s="391"/>
      <c r="D15657" s="391"/>
      <c r="E15657" s="390"/>
      <c r="F15657" s="392"/>
      <c r="G15657" s="390"/>
      <c r="H15657" s="394"/>
    </row>
    <row r="15658" spans="1:17" ht="15.75" customHeight="1" x14ac:dyDescent="0.25">
      <c r="A15658" s="445"/>
      <c r="B15658" s="445"/>
      <c r="C15658" s="445"/>
      <c r="D15658" s="446" t="s">
        <v>97</v>
      </c>
      <c r="E15658" s="445" t="s">
        <v>98</v>
      </c>
      <c r="F15658" s="445"/>
      <c r="G15658" s="390"/>
      <c r="H15658" s="394"/>
    </row>
    <row r="15659" spans="1:17" ht="15.75" customHeight="1" x14ac:dyDescent="0.25">
      <c r="A15659" s="445"/>
      <c r="B15659" s="445"/>
      <c r="C15659" s="445"/>
      <c r="D15659" s="446"/>
      <c r="E15659" s="445"/>
      <c r="F15659" s="445"/>
      <c r="G15659" s="390"/>
      <c r="H15659" s="394"/>
    </row>
    <row r="15660" spans="1:17" ht="15.75" customHeight="1" x14ac:dyDescent="0.25">
      <c r="A15660" s="445"/>
      <c r="B15660" s="445"/>
      <c r="C15660" s="445"/>
      <c r="D15660" s="446"/>
      <c r="E15660" s="445" t="s">
        <v>99</v>
      </c>
      <c r="F15660" s="445"/>
      <c r="G15660" s="390"/>
      <c r="H15660" s="394"/>
    </row>
    <row r="15661" spans="1:17" ht="15.75" customHeight="1" x14ac:dyDescent="0.25">
      <c r="D15661" s="4"/>
      <c r="H15661" s="4"/>
    </row>
    <row r="15662" spans="1:17" ht="15.75" customHeight="1" x14ac:dyDescent="0.25">
      <c r="D15662" s="4"/>
      <c r="H15662" s="4"/>
    </row>
    <row r="15663" spans="1:17" ht="15.75" customHeight="1" x14ac:dyDescent="0.25">
      <c r="D15663" s="4"/>
      <c r="H15663" s="4"/>
    </row>
    <row r="15664" spans="1:17" ht="15.75" customHeight="1" x14ac:dyDescent="0.25">
      <c r="D15664" s="4"/>
      <c r="H15664" s="4"/>
    </row>
    <row r="15665" spans="1:8" ht="15.75" customHeight="1" x14ac:dyDescent="0.25">
      <c r="D15665" s="4"/>
      <c r="H15665" s="4"/>
    </row>
    <row r="15666" spans="1:8" ht="15.75" customHeight="1" x14ac:dyDescent="0.25">
      <c r="D15666" s="4"/>
      <c r="H15666" s="4"/>
    </row>
    <row r="15667" spans="1:8" ht="15.75" customHeight="1" x14ac:dyDescent="0.25">
      <c r="D15667" s="4"/>
      <c r="H15667" s="4"/>
    </row>
    <row r="15668" spans="1:8" ht="15.75" customHeight="1" x14ac:dyDescent="0.25">
      <c r="D15668" s="4"/>
      <c r="H15668" s="4"/>
    </row>
    <row r="15669" spans="1:8" ht="15.75" customHeight="1" x14ac:dyDescent="0.25">
      <c r="D15669" s="4"/>
      <c r="H15669" s="4"/>
    </row>
    <row r="15670" spans="1:8" ht="15.75" customHeight="1" x14ac:dyDescent="0.25">
      <c r="D15670" s="4"/>
      <c r="H15670" s="4"/>
    </row>
    <row r="15671" spans="1:8" ht="15.75" customHeight="1" x14ac:dyDescent="0.25">
      <c r="D15671" s="4"/>
      <c r="H15671" s="4"/>
    </row>
    <row r="15672" spans="1:8" ht="15.75" customHeight="1" x14ac:dyDescent="0.25">
      <c r="D15672" s="4"/>
      <c r="H15672" s="4"/>
    </row>
    <row r="15673" spans="1:8" ht="15.75" customHeight="1" x14ac:dyDescent="0.25">
      <c r="D15673" s="4"/>
      <c r="H15673" s="4"/>
    </row>
    <row r="15674" spans="1:8" ht="15.75" customHeight="1" x14ac:dyDescent="0.25">
      <c r="D15674" s="4"/>
      <c r="H15674" s="4"/>
    </row>
    <row r="15675" spans="1:8" ht="15.75" customHeight="1" x14ac:dyDescent="0.25">
      <c r="D15675" s="4"/>
      <c r="H15675" s="4"/>
    </row>
    <row r="15676" spans="1:8" ht="15.75" customHeight="1" x14ac:dyDescent="0.25">
      <c r="D15676" s="4"/>
      <c r="H15676" s="4"/>
    </row>
    <row r="15677" spans="1:8" ht="15.75" customHeight="1" x14ac:dyDescent="0.25">
      <c r="A15677" s="8" t="s">
        <v>14</v>
      </c>
      <c r="B15677" s="8"/>
      <c r="C15677" s="8"/>
      <c r="D15677" s="8"/>
      <c r="E15677" s="8"/>
      <c r="F15677" s="8"/>
      <c r="G15677" s="8"/>
      <c r="H15677" s="8"/>
    </row>
    <row r="15678" spans="1:8" ht="15.75" customHeight="1" x14ac:dyDescent="0.25">
      <c r="D15678" s="4"/>
      <c r="H15678" s="4"/>
    </row>
    <row r="15679" spans="1:8" ht="15.75" customHeight="1" x14ac:dyDescent="0.25">
      <c r="A15679" s="390" t="s">
        <v>20</v>
      </c>
      <c r="B15679" s="390"/>
      <c r="C15679" s="388"/>
      <c r="D15679" s="391"/>
      <c r="E15679" s="390"/>
      <c r="F15679" s="395" t="s">
        <v>18</v>
      </c>
      <c r="G15679" s="396" t="s">
        <v>1285</v>
      </c>
      <c r="H15679" s="397"/>
    </row>
    <row r="15680" spans="1:8" ht="15.75" customHeight="1" x14ac:dyDescent="0.25">
      <c r="A15680" s="390" t="inlineStr">
        <is>
          <t>Dealer-004</t>
        </is>
      </c>
      <c r="B15680" s="390"/>
      <c r="C15680" s="388"/>
      <c r="D15680" s="391"/>
      <c r="E15680" s="390"/>
      <c r="F15680" s="395" t="s">
        <v>21</v>
      </c>
      <c r="G15680" s="390" t="s">
        <v>1479</v>
      </c>
      <c r="H15680" s="391"/>
    </row>
    <row r="15681" spans="1:20" ht="15.75" customHeight="1" x14ac:dyDescent="0.25">
      <c r="A15681" s="390" t="inlineStr">
        <is>
          <t>Address line (redacted)</t>
        </is>
      </c>
      <c r="B15681" s="390"/>
      <c r="C15681" s="388"/>
      <c r="D15681" s="398"/>
      <c r="E15681" s="390"/>
      <c r="F15681" s="391"/>
      <c r="G15681" s="390"/>
      <c r="H15681" s="394"/>
    </row>
    <row r="15682" spans="1:20" ht="15.75" customHeight="1" x14ac:dyDescent="0.25">
      <c r="A15682" s="390" t="inlineStr">
        <is>
          <t>Address line (redacted)</t>
        </is>
      </c>
      <c r="B15682" s="390"/>
      <c r="C15682" s="7"/>
      <c r="D15682" s="398"/>
      <c r="E15682" s="390"/>
      <c r="F15682" s="391"/>
      <c r="G15682" s="390"/>
      <c r="H15682" s="394"/>
    </row>
    <row r="15683" spans="1:20" ht="15.75" customHeight="1" x14ac:dyDescent="0.25">
      <c r="A15683" s="390"/>
      <c r="B15683" s="390"/>
      <c r="C15683" s="7"/>
      <c r="D15683" s="398"/>
      <c r="E15683" s="390"/>
      <c r="F15683" s="391"/>
      <c r="G15683" s="390"/>
      <c r="H15683" s="394"/>
    </row>
    <row r="15684" spans="1:20" ht="15.75" customHeight="1" x14ac:dyDescent="0.25">
      <c r="A15684" s="390" t="s">
        <v>2373</v>
      </c>
      <c r="B15684" s="390"/>
      <c r="C15684" s="390"/>
      <c r="D15684" s="391"/>
      <c r="E15684" s="390"/>
      <c r="F15684" s="391"/>
      <c r="G15684" s="390"/>
      <c r="H15684" s="394"/>
    </row>
    <row r="15685" spans="1:20" ht="15.75" customHeight="1" x14ac:dyDescent="0.25">
      <c r="A15685" s="390"/>
      <c r="B15685" s="390"/>
      <c r="C15685" s="390"/>
      <c r="D15685" s="391"/>
      <c r="E15685" s="390"/>
      <c r="F15685" s="391"/>
      <c r="G15685" s="390"/>
      <c r="H15685" s="394"/>
    </row>
    <row r="15686" spans="1:20" ht="15.75" customHeight="1" x14ac:dyDescent="0.25">
      <c r="A15686" s="390" t="s">
        <v>716</v>
      </c>
      <c r="B15686" s="390"/>
      <c r="C15686" s="390"/>
      <c r="D15686" s="391"/>
      <c r="E15686" s="390"/>
      <c r="F15686" s="391"/>
      <c r="G15686" s="390"/>
      <c r="H15686" s="394"/>
    </row>
    <row r="15687" spans="1:20" ht="15.75" customHeight="1" x14ac:dyDescent="0.25">
      <c r="A15687" s="390" t="s">
        <v>717</v>
      </c>
      <c r="B15687" s="390"/>
      <c r="C15687" s="390"/>
      <c r="D15687" s="391"/>
      <c r="E15687" s="390"/>
      <c r="F15687" s="391"/>
      <c r="G15687" s="390"/>
      <c r="H15687" s="394"/>
    </row>
    <row r="15688" spans="1:20" ht="15.75" customHeight="1" x14ac:dyDescent="0.25">
      <c r="A15688" s="948" t="s">
        <v>33</v>
      </c>
      <c r="B15688" s="872" t="s">
        <v>6</v>
      </c>
      <c r="C15688" s="872"/>
      <c r="D15688" s="874" t="s">
        <v>37</v>
      </c>
      <c r="E15688" s="874" t="s">
        <v>38</v>
      </c>
      <c r="F15688" s="875" t="s">
        <v>7</v>
      </c>
      <c r="G15688" s="872" t="s">
        <v>43</v>
      </c>
      <c r="H15688" s="876" t="s">
        <v>44</v>
      </c>
    </row>
    <row r="15689" spans="1:20" ht="15.75" customHeight="1" x14ac:dyDescent="0.3">
      <c r="A15689" s="412"/>
      <c r="B15689" s="1033"/>
      <c r="C15689" s="1033"/>
      <c r="D15689" s="879"/>
      <c r="E15689" s="879"/>
      <c r="F15689" s="415"/>
      <c r="G15689" s="415"/>
      <c r="H15689" s="416"/>
    </row>
    <row r="15690" spans="1:20" ht="19.5" customHeight="1" x14ac:dyDescent="0.25">
      <c r="A15690" s="1217"/>
      <c r="B15690" s="1218" t="s">
        <v>1480</v>
      </c>
      <c r="C15690" s="1218"/>
      <c r="D15690" s="1219"/>
      <c r="E15690" s="1219"/>
      <c r="F15690" s="1219"/>
      <c r="G15690" s="1219"/>
      <c r="H15690" s="1220"/>
      <c r="I15690" s="293"/>
      <c r="J15690" s="293"/>
      <c r="K15690" s="293"/>
      <c r="L15690" s="293"/>
      <c r="M15690" s="293"/>
      <c r="N15690" s="293"/>
      <c r="O15690" s="293"/>
      <c r="P15690" s="293"/>
      <c r="Q15690" s="293"/>
      <c r="R15690" s="293"/>
      <c r="S15690" s="293"/>
      <c r="T15690" s="293"/>
    </row>
    <row r="15691" spans="1:20" ht="19.5" customHeight="1" x14ac:dyDescent="0.25">
      <c r="A15691" s="1221">
        <v>1</v>
      </c>
      <c r="B15691" s="1222" t="s">
        <v>2231</v>
      </c>
      <c r="C15691" s="1223" t="s">
        <v>2232</v>
      </c>
      <c r="D15691" s="1127"/>
      <c r="E15691" s="1127"/>
      <c r="F15691" s="1127">
        <v>25</v>
      </c>
      <c r="G15691" s="1224">
        <v>1</v>
      </c>
      <c r="H15691" s="989">
        <f t="shared" ref="H15691:H15701" si="671">+G15691*F15691</f>
      </c>
      <c r="I15691" s="293"/>
      <c r="J15691" s="293"/>
      <c r="K15691" s="293"/>
      <c r="L15691" s="293"/>
      <c r="M15691" s="293"/>
      <c r="N15691" s="293"/>
      <c r="O15691" s="293"/>
      <c r="P15691" s="293"/>
      <c r="Q15691" s="293"/>
      <c r="R15691" s="293"/>
      <c r="S15691" s="293"/>
      <c r="T15691" s="293"/>
    </row>
    <row r="15692" spans="1:20" ht="19.5" customHeight="1" x14ac:dyDescent="0.25">
      <c r="A15692" s="1221">
        <v>2</v>
      </c>
      <c r="B15692" s="1222" t="s">
        <v>15</v>
      </c>
      <c r="C15692" s="1223" t="s">
        <v>2233</v>
      </c>
      <c r="D15692" s="1127"/>
      <c r="E15692" s="1127"/>
      <c r="F15692" s="1127">
        <v>25</v>
      </c>
      <c r="G15692" s="1224">
        <v>1</v>
      </c>
      <c r="H15692" s="989">
        <f t="shared" si="671"/>
      </c>
      <c r="I15692" s="293"/>
      <c r="J15692" s="293"/>
      <c r="K15692" s="293"/>
      <c r="L15692" s="293"/>
      <c r="M15692" s="293"/>
      <c r="N15692" s="293"/>
      <c r="O15692" s="293"/>
      <c r="P15692" s="293"/>
      <c r="Q15692" s="293"/>
      <c r="R15692" s="293"/>
      <c r="S15692" s="293"/>
      <c r="T15692" s="293"/>
    </row>
    <row r="15693" spans="1:20" ht="19.5" customHeight="1" x14ac:dyDescent="0.25">
      <c r="A15693" s="1221">
        <v>3</v>
      </c>
      <c r="B15693" s="1222" t="s">
        <v>1334</v>
      </c>
      <c r="C15693" s="1223" t="s">
        <v>1570</v>
      </c>
      <c r="D15693" s="1127"/>
      <c r="E15693" s="1127"/>
      <c r="F15693" s="1127">
        <v>25</v>
      </c>
      <c r="G15693" s="1224">
        <v>1</v>
      </c>
      <c r="H15693" s="989">
        <f t="shared" si="671"/>
      </c>
      <c r="I15693" s="293"/>
      <c r="J15693" s="293"/>
      <c r="K15693" s="293"/>
      <c r="L15693" s="293"/>
      <c r="M15693" s="293"/>
      <c r="N15693" s="293"/>
      <c r="O15693" s="293"/>
      <c r="P15693" s="293"/>
      <c r="Q15693" s="293"/>
      <c r="R15693" s="293"/>
      <c r="S15693" s="293"/>
      <c r="T15693" s="293"/>
    </row>
    <row r="15694" spans="1:20" ht="19.5" customHeight="1" x14ac:dyDescent="0.25">
      <c r="A15694" s="1221">
        <v>4</v>
      </c>
      <c r="B15694" s="1222" t="s">
        <v>789</v>
      </c>
      <c r="C15694" s="1223" t="s">
        <v>2235</v>
      </c>
      <c r="D15694" s="1127"/>
      <c r="E15694" s="1127"/>
      <c r="F15694" s="1127">
        <v>25</v>
      </c>
      <c r="G15694" s="1224">
        <v>1</v>
      </c>
      <c r="H15694" s="989">
        <f t="shared" si="671"/>
      </c>
      <c r="I15694" s="293"/>
      <c r="J15694" s="293"/>
      <c r="K15694" s="293"/>
      <c r="L15694" s="293"/>
      <c r="M15694" s="293"/>
      <c r="N15694" s="293"/>
      <c r="O15694" s="293"/>
      <c r="P15694" s="293"/>
      <c r="Q15694" s="293"/>
      <c r="R15694" s="293"/>
      <c r="S15694" s="293"/>
      <c r="T15694" s="293"/>
    </row>
    <row r="15695" spans="1:20" ht="19.5" customHeight="1" x14ac:dyDescent="0.25">
      <c r="A15695" s="1221">
        <v>5</v>
      </c>
      <c r="B15695" s="1222" t="s">
        <v>250</v>
      </c>
      <c r="C15695" s="1223" t="s">
        <v>2236</v>
      </c>
      <c r="D15695" s="1127"/>
      <c r="E15695" s="1127"/>
      <c r="F15695" s="1127">
        <v>25</v>
      </c>
      <c r="G15695" s="1224">
        <v>1</v>
      </c>
      <c r="H15695" s="989">
        <f t="shared" si="671"/>
      </c>
      <c r="I15695" s="293"/>
      <c r="J15695" s="293"/>
      <c r="K15695" s="293"/>
      <c r="L15695" s="293"/>
      <c r="M15695" s="293"/>
      <c r="N15695" s="293"/>
      <c r="O15695" s="293"/>
      <c r="P15695" s="293"/>
      <c r="Q15695" s="293"/>
      <c r="R15695" s="293"/>
      <c r="S15695" s="293"/>
      <c r="T15695" s="293"/>
    </row>
    <row r="15696" spans="1:20" ht="19.5" customHeight="1" x14ac:dyDescent="0.25">
      <c r="A15696" s="1221">
        <v>6</v>
      </c>
      <c r="B15696" s="1222" t="s">
        <v>1718</v>
      </c>
      <c r="C15696" s="1223" t="s">
        <v>2237</v>
      </c>
      <c r="D15696" s="1127"/>
      <c r="E15696" s="1127"/>
      <c r="F15696" s="1127">
        <v>25</v>
      </c>
      <c r="G15696" s="1224">
        <v>1</v>
      </c>
      <c r="H15696" s="989">
        <f t="shared" si="671"/>
      </c>
      <c r="I15696" s="293"/>
      <c r="J15696" s="293"/>
      <c r="K15696" s="293"/>
      <c r="L15696" s="293"/>
      <c r="M15696" s="293"/>
      <c r="N15696" s="293"/>
      <c r="O15696" s="293"/>
      <c r="P15696" s="293"/>
      <c r="Q15696" s="293"/>
      <c r="R15696" s="293"/>
      <c r="S15696" s="293"/>
      <c r="T15696" s="293"/>
    </row>
    <row r="15697" spans="1:20" ht="19.5" customHeight="1" x14ac:dyDescent="0.25">
      <c r="A15697" s="1221">
        <v>7</v>
      </c>
      <c r="B15697" s="1225" t="s">
        <v>68</v>
      </c>
      <c r="C15697" s="1223" t="s">
        <v>2238</v>
      </c>
      <c r="D15697" s="1127"/>
      <c r="E15697" s="1127"/>
      <c r="F15697" s="1127">
        <v>48</v>
      </c>
      <c r="G15697" s="1224">
        <v>1</v>
      </c>
      <c r="H15697" s="989">
        <f t="shared" si="671"/>
      </c>
      <c r="I15697" s="293"/>
      <c r="J15697" s="293"/>
      <c r="K15697" s="293"/>
      <c r="L15697" s="293"/>
      <c r="M15697" s="293"/>
      <c r="N15697" s="293"/>
      <c r="O15697" s="293"/>
      <c r="P15697" s="293"/>
      <c r="Q15697" s="293"/>
      <c r="R15697" s="293"/>
      <c r="S15697" s="293"/>
      <c r="T15697" s="293"/>
    </row>
    <row r="15698" spans="1:20" ht="19.5" customHeight="1" x14ac:dyDescent="0.25">
      <c r="A15698" s="1221">
        <v>8</v>
      </c>
      <c r="B15698" s="1222" t="s">
        <v>1481</v>
      </c>
      <c r="C15698" s="1223" t="s">
        <v>1482</v>
      </c>
      <c r="D15698" s="1127"/>
      <c r="E15698" s="1127"/>
      <c r="F15698" s="992">
        <v>70</v>
      </c>
      <c r="G15698" s="1224">
        <v>1</v>
      </c>
      <c r="H15698" s="989">
        <f t="shared" si="671"/>
      </c>
      <c r="I15698" s="293"/>
      <c r="J15698" s="293"/>
      <c r="K15698" s="293"/>
      <c r="L15698" s="293"/>
      <c r="M15698" s="293"/>
      <c r="N15698" s="293"/>
      <c r="O15698" s="293"/>
      <c r="P15698" s="293"/>
      <c r="Q15698" s="293"/>
      <c r="R15698" s="293"/>
      <c r="S15698" s="293"/>
      <c r="T15698" s="293"/>
    </row>
    <row r="15699" spans="1:20" ht="19.5" customHeight="1" x14ac:dyDescent="0.25">
      <c r="A15699" s="1221">
        <v>9</v>
      </c>
      <c r="B15699" s="1222" t="s">
        <v>1526</v>
      </c>
      <c r="C15699" s="1223" t="s">
        <v>1527</v>
      </c>
      <c r="D15699" s="1127"/>
      <c r="E15699" s="358"/>
      <c r="F15699" s="992">
        <f>300/4</f>
      </c>
      <c r="G15699" s="1224">
        <v>1</v>
      </c>
      <c r="H15699" s="989">
        <f t="shared" si="671"/>
      </c>
      <c r="I15699" s="293"/>
      <c r="J15699" s="293"/>
      <c r="K15699" s="293"/>
      <c r="L15699" s="293"/>
      <c r="M15699" s="293"/>
      <c r="N15699" s="293"/>
      <c r="O15699" s="293"/>
      <c r="P15699" s="293"/>
      <c r="Q15699" s="293"/>
      <c r="R15699" s="293"/>
      <c r="S15699" s="293"/>
      <c r="T15699" s="293"/>
    </row>
    <row r="15700" spans="1:20" ht="19.5" customHeight="1" x14ac:dyDescent="0.25">
      <c r="A15700" s="1221">
        <v>10</v>
      </c>
      <c r="B15700" s="1222" t="s">
        <v>226</v>
      </c>
      <c r="C15700" s="1223" t="s">
        <v>2239</v>
      </c>
      <c r="D15700" s="1127"/>
      <c r="E15700" s="358"/>
      <c r="F15700" s="992">
        <v>25</v>
      </c>
      <c r="G15700" s="1224">
        <v>1</v>
      </c>
      <c r="H15700" s="989">
        <f t="shared" si="671"/>
      </c>
      <c r="I15700" s="293"/>
      <c r="J15700" s="293"/>
      <c r="K15700" s="293"/>
      <c r="L15700" s="293"/>
      <c r="M15700" s="293"/>
      <c r="N15700" s="293"/>
      <c r="O15700" s="293"/>
      <c r="P15700" s="293"/>
      <c r="Q15700" s="293"/>
      <c r="R15700" s="293"/>
      <c r="S15700" s="293"/>
      <c r="T15700" s="293"/>
    </row>
    <row r="15701" spans="1:20" ht="19.5" customHeight="1" x14ac:dyDescent="0.25">
      <c r="A15701" s="1221">
        <v>11</v>
      </c>
      <c r="B15701" s="1222" t="s">
        <v>2240</v>
      </c>
      <c r="C15701" s="1223" t="s">
        <v>2241</v>
      </c>
      <c r="D15701" s="1127"/>
      <c r="E15701" s="358"/>
      <c r="F15701" s="992">
        <v>25</v>
      </c>
      <c r="G15701" s="1224">
        <v>1</v>
      </c>
      <c r="H15701" s="989">
        <f t="shared" si="671"/>
      </c>
      <c r="I15701" s="293"/>
      <c r="J15701" s="293"/>
      <c r="K15701" s="293"/>
      <c r="L15701" s="293"/>
      <c r="M15701" s="293"/>
      <c r="N15701" s="293"/>
      <c r="O15701" s="293"/>
      <c r="P15701" s="293"/>
      <c r="Q15701" s="293"/>
      <c r="R15701" s="293"/>
      <c r="S15701" s="293"/>
      <c r="T15701" s="293"/>
    </row>
    <row r="15702" spans="1:20" ht="19.5" customHeight="1" x14ac:dyDescent="0.25">
      <c r="A15702" s="1221"/>
      <c r="B15702" s="1218" t="s">
        <v>1959</v>
      </c>
      <c r="C15702" s="1218"/>
      <c r="D15702" s="1202"/>
      <c r="E15702" s="1226"/>
      <c r="F15702" s="988"/>
      <c r="G15702" s="1227"/>
      <c r="H15702" s="1228"/>
      <c r="I15702" s="293"/>
      <c r="J15702" s="293"/>
      <c r="K15702" s="293"/>
      <c r="L15702" s="293"/>
      <c r="M15702" s="293"/>
      <c r="N15702" s="293"/>
      <c r="O15702" s="293"/>
      <c r="P15702" s="293"/>
      <c r="Q15702" s="293"/>
      <c r="R15702" s="293"/>
      <c r="S15702" s="293"/>
      <c r="T15702" s="293"/>
    </row>
    <row r="15703" spans="1:20" ht="15.75" customHeight="1" x14ac:dyDescent="0.25">
      <c r="A15703" s="1221">
        <v>12</v>
      </c>
      <c r="B15703" s="1219" t="s">
        <v>2242</v>
      </c>
      <c r="C15703" s="1229"/>
      <c r="D15703" s="1202"/>
      <c r="E15703" s="1226"/>
      <c r="F15703" s="988">
        <v>90</v>
      </c>
      <c r="G15703" s="1227">
        <v>1</v>
      </c>
      <c r="H15703" s="1228">
        <f>+G15703*F15703</f>
      </c>
    </row>
    <row r="15704" spans="1:20" ht="15.75" customHeight="1" x14ac:dyDescent="0.25">
      <c r="A15704" s="1230">
        <v>13</v>
      </c>
      <c r="B15704" s="1219" t="s">
        <v>2242</v>
      </c>
      <c r="C15704" s="1231"/>
      <c r="D15704" s="592"/>
      <c r="E15704" s="929"/>
      <c r="F15704" s="593">
        <v>10</v>
      </c>
      <c r="G15704" s="1232" t="s">
        <v>1856</v>
      </c>
      <c r="H15704" s="931"/>
    </row>
    <row r="15705" spans="1:20" ht="15.75" customHeight="1" x14ac:dyDescent="0.25">
      <c r="A15705" s="1170"/>
      <c r="B15705" s="1171"/>
      <c r="C15705" s="1172" t="s">
        <v>85</v>
      </c>
      <c r="D15705" s="725"/>
      <c r="E15705" s="725"/>
      <c r="F15705" s="725">
        <f>SUM(F15691:F15704)</f>
      </c>
      <c r="G15705" s="1173"/>
      <c r="H15705" s="1174">
        <f>SUM(H15691:H15704)</f>
      </c>
    </row>
    <row r="15706" spans="1:20" ht="15.75" customHeight="1" x14ac:dyDescent="0.25">
      <c r="A15706" s="932"/>
      <c r="B15706" s="933"/>
      <c r="C15706" s="934"/>
      <c r="D15706" s="431"/>
      <c r="E15706" s="935"/>
      <c r="F15706" s="935"/>
      <c r="G15706" s="936"/>
      <c r="H15706" s="444"/>
    </row>
    <row r="15707" spans="1:20" ht="15.75" customHeight="1" x14ac:dyDescent="0.25">
      <c r="A15707" s="994"/>
      <c r="B15707" s="391"/>
      <c r="C15707" s="391"/>
      <c r="D15707" s="446" t="s">
        <v>97</v>
      </c>
      <c r="E15707" s="445" t="s">
        <v>98</v>
      </c>
      <c r="F15707" s="445"/>
      <c r="G15707" s="390"/>
      <c r="H15707" s="394"/>
    </row>
    <row r="15708" spans="1:20" ht="15.75" customHeight="1" x14ac:dyDescent="0.25">
      <c r="A15708" s="994"/>
      <c r="B15708" s="391"/>
      <c r="C15708" s="391"/>
      <c r="D15708" s="446"/>
      <c r="E15708" s="445"/>
      <c r="F15708" s="445"/>
      <c r="G15708" s="390"/>
      <c r="H15708" s="394"/>
    </row>
    <row r="15709" spans="1:20" ht="15.75" customHeight="1" x14ac:dyDescent="0.25">
      <c r="A15709" s="994"/>
      <c r="B15709" s="391"/>
      <c r="C15709" s="391"/>
      <c r="D15709" s="446"/>
      <c r="E15709" s="445"/>
      <c r="F15709" s="445"/>
      <c r="G15709" s="390"/>
      <c r="H15709" s="394"/>
    </row>
    <row r="15710" spans="1:20" ht="15.75" customHeight="1" x14ac:dyDescent="0.25">
      <c r="A15710" s="445"/>
      <c r="B15710" s="445"/>
      <c r="C15710" s="445"/>
      <c r="D15710" s="446"/>
      <c r="E15710" s="445"/>
      <c r="F15710" s="445"/>
      <c r="G15710" s="390"/>
      <c r="H15710" s="394"/>
    </row>
    <row r="15711" spans="1:20" ht="15.75" customHeight="1" x14ac:dyDescent="0.25">
      <c r="A15711" s="445"/>
      <c r="B15711" s="445"/>
      <c r="C15711" s="445"/>
      <c r="D15711" s="446"/>
      <c r="E15711" s="445" t="s">
        <v>99</v>
      </c>
      <c r="F15711" s="445"/>
      <c r="G15711" s="390"/>
      <c r="H15711" s="394"/>
    </row>
    <row r="15712" spans="1:20" ht="15.75" customHeight="1" x14ac:dyDescent="0.25">
      <c r="D15712" s="4"/>
      <c r="H15712" s="4"/>
    </row>
    <row r="15713" spans="1:8" ht="15.75" customHeight="1" x14ac:dyDescent="0.25">
      <c r="D15713" s="4"/>
      <c r="H15713" s="4"/>
    </row>
    <row r="15714" spans="1:8" ht="15.75" customHeight="1" x14ac:dyDescent="0.25">
      <c r="D15714" s="4"/>
      <c r="H15714" s="4"/>
    </row>
    <row r="15715" spans="1:8" ht="15.75" customHeight="1" x14ac:dyDescent="0.25">
      <c r="D15715" s="4"/>
      <c r="H15715" s="4"/>
    </row>
    <row r="15716" spans="1:8" ht="15.75" customHeight="1" x14ac:dyDescent="0.25">
      <c r="D15716" s="4"/>
      <c r="H15716" s="4"/>
    </row>
    <row r="15717" spans="1:8" ht="15.75" customHeight="1" x14ac:dyDescent="0.25">
      <c r="A15717" s="8" t="s">
        <v>14</v>
      </c>
      <c r="B15717" s="8"/>
      <c r="C15717" s="8"/>
      <c r="D15717" s="8"/>
      <c r="E15717" s="8"/>
      <c r="F15717" s="8"/>
      <c r="G15717" s="8"/>
      <c r="H15717" s="8"/>
    </row>
    <row r="15718" spans="1:8" ht="15.75" customHeight="1" x14ac:dyDescent="0.25">
      <c r="D15718" s="4"/>
      <c r="H15718" s="4"/>
    </row>
    <row r="15719" spans="1:8" ht="15.75" customHeight="1" x14ac:dyDescent="0.3">
      <c r="A15719" s="233" t="s">
        <v>20</v>
      </c>
      <c r="B15719" s="233"/>
      <c r="C15719" s="388"/>
      <c r="D15719" s="391"/>
      <c r="E15719" s="390"/>
      <c r="F15719" s="395" t="s">
        <v>18</v>
      </c>
      <c r="G15719" s="396" t="s">
        <v>1285</v>
      </c>
      <c r="H15719" s="397"/>
    </row>
    <row r="15720" spans="1:8" ht="15.75" customHeight="1" x14ac:dyDescent="0.3">
      <c r="A15720" s="233" t="inlineStr">
        <is>
          <t>Dealer-002</t>
        </is>
      </c>
      <c r="B15720" s="233"/>
      <c r="C15720" s="388"/>
      <c r="D15720" s="391"/>
      <c r="E15720" s="390"/>
      <c r="F15720" s="395" t="s">
        <v>21</v>
      </c>
      <c r="G15720" s="390" t="s">
        <v>1483</v>
      </c>
      <c r="H15720" s="391"/>
    </row>
    <row r="15721" spans="1:8" ht="15.75" customHeight="1" x14ac:dyDescent="0.3">
      <c r="A15721" s="233" t="inlineStr">
        <is>
          <t>Address line (redacted)</t>
        </is>
      </c>
      <c r="B15721" s="233"/>
      <c r="C15721" s="388"/>
      <c r="D15721" s="398"/>
      <c r="E15721" s="390"/>
      <c r="F15721" s="391"/>
      <c r="G15721" s="390"/>
      <c r="H15721" s="394"/>
    </row>
    <row r="15722" spans="1:8" ht="15.75" customHeight="1" x14ac:dyDescent="0.3">
      <c r="A15722" s="233" t="inlineStr">
        <is>
          <t>Address line (redacted)</t>
        </is>
      </c>
      <c r="B15722" s="233"/>
      <c r="C15722" s="7"/>
      <c r="D15722" s="398"/>
      <c r="E15722" s="390"/>
      <c r="F15722" s="391"/>
      <c r="G15722" s="390"/>
      <c r="H15722" s="394"/>
    </row>
    <row r="15723" spans="1:8" ht="15.75" customHeight="1" x14ac:dyDescent="0.25">
      <c r="A15723" s="390"/>
      <c r="B15723" s="390"/>
      <c r="C15723" s="7"/>
      <c r="D15723" s="398"/>
      <c r="E15723" s="390"/>
      <c r="F15723" s="391"/>
      <c r="G15723" s="390"/>
      <c r="H15723" s="394"/>
    </row>
    <row r="15724" spans="1:8" ht="15.75" customHeight="1" x14ac:dyDescent="0.25">
      <c r="A15724" s="390" t="s">
        <v>2373</v>
      </c>
      <c r="B15724" s="390"/>
      <c r="C15724" s="390"/>
      <c r="D15724" s="391"/>
      <c r="E15724" s="390"/>
      <c r="F15724" s="391"/>
      <c r="G15724" s="390"/>
      <c r="H15724" s="394"/>
    </row>
    <row r="15725" spans="1:8" ht="15.75" customHeight="1" x14ac:dyDescent="0.25">
      <c r="A15725" s="390"/>
      <c r="B15725" s="390"/>
      <c r="C15725" s="390"/>
      <c r="D15725" s="391"/>
      <c r="E15725" s="390"/>
      <c r="F15725" s="391"/>
      <c r="G15725" s="390"/>
      <c r="H15725" s="394"/>
    </row>
    <row r="15726" spans="1:8" ht="15.75" customHeight="1" x14ac:dyDescent="0.25">
      <c r="A15726" s="390" t="s">
        <v>716</v>
      </c>
      <c r="B15726" s="390"/>
      <c r="C15726" s="390"/>
      <c r="D15726" s="391"/>
      <c r="E15726" s="390"/>
      <c r="F15726" s="391"/>
      <c r="G15726" s="390"/>
      <c r="H15726" s="394"/>
    </row>
    <row r="15727" spans="1:8" ht="15.75" customHeight="1" x14ac:dyDescent="0.25">
      <c r="A15727" s="390" t="s">
        <v>717</v>
      </c>
      <c r="B15727" s="390"/>
      <c r="C15727" s="390"/>
      <c r="D15727" s="391"/>
      <c r="E15727" s="390"/>
      <c r="F15727" s="391"/>
      <c r="G15727" s="390"/>
      <c r="H15727" s="394"/>
    </row>
    <row r="15728" spans="1:8" ht="15.75" customHeight="1" x14ac:dyDescent="0.25">
      <c r="A15728" s="948" t="s">
        <v>33</v>
      </c>
      <c r="B15728" s="872" t="s">
        <v>6</v>
      </c>
      <c r="C15728" s="872"/>
      <c r="D15728" s="874" t="s">
        <v>37</v>
      </c>
      <c r="E15728" s="874" t="s">
        <v>38</v>
      </c>
      <c r="F15728" s="875" t="s">
        <v>7</v>
      </c>
      <c r="G15728" s="872" t="s">
        <v>43</v>
      </c>
      <c r="H15728" s="876" t="s">
        <v>44</v>
      </c>
    </row>
    <row r="15729" spans="1:20" ht="15.75" customHeight="1" x14ac:dyDescent="0.3">
      <c r="A15729" s="412"/>
      <c r="B15729" s="1033"/>
      <c r="C15729" s="1033"/>
      <c r="D15729" s="879"/>
      <c r="E15729" s="879"/>
      <c r="F15729" s="415"/>
      <c r="G15729" s="415"/>
      <c r="H15729" s="416"/>
    </row>
    <row r="15730" spans="1:20" ht="19.5" customHeight="1" x14ac:dyDescent="0.25">
      <c r="A15730" s="1217"/>
      <c r="B15730" s="1218" t="s">
        <v>1480</v>
      </c>
      <c r="C15730" s="1218"/>
      <c r="D15730" s="1219"/>
      <c r="E15730" s="1219"/>
      <c r="F15730" s="1219"/>
      <c r="G15730" s="1219"/>
      <c r="H15730" s="1220"/>
      <c r="I15730" s="293"/>
      <c r="J15730" s="293"/>
      <c r="K15730" s="293"/>
      <c r="L15730" s="293"/>
      <c r="M15730" s="293"/>
      <c r="N15730" s="293"/>
      <c r="O15730" s="293"/>
      <c r="P15730" s="293"/>
      <c r="Q15730" s="293"/>
      <c r="R15730" s="293"/>
      <c r="S15730" s="293"/>
      <c r="T15730" s="293"/>
    </row>
    <row r="15731" spans="1:20" ht="19.5" customHeight="1" x14ac:dyDescent="0.25">
      <c r="A15731" s="1221">
        <v>1</v>
      </c>
      <c r="B15731" s="1222" t="s">
        <v>2231</v>
      </c>
      <c r="C15731" s="1223" t="s">
        <v>2232</v>
      </c>
      <c r="D15731" s="1127"/>
      <c r="E15731" s="1127"/>
      <c r="F15731" s="1127">
        <v>24</v>
      </c>
      <c r="G15731" s="1224">
        <v>1</v>
      </c>
      <c r="H15731" s="989">
        <f t="shared" ref="H15731:H15741" si="672">+G15731*F15731</f>
      </c>
      <c r="I15731" s="293"/>
      <c r="J15731" s="293"/>
      <c r="K15731" s="293"/>
      <c r="L15731" s="293"/>
      <c r="M15731" s="293"/>
      <c r="N15731" s="293"/>
      <c r="O15731" s="293"/>
      <c r="P15731" s="293"/>
      <c r="Q15731" s="293"/>
      <c r="R15731" s="293"/>
      <c r="S15731" s="293"/>
      <c r="T15731" s="293"/>
    </row>
    <row r="15732" spans="1:20" ht="19.5" customHeight="1" x14ac:dyDescent="0.25">
      <c r="A15732" s="1221">
        <v>2</v>
      </c>
      <c r="B15732" s="1222" t="s">
        <v>15</v>
      </c>
      <c r="C15732" s="1223" t="s">
        <v>2233</v>
      </c>
      <c r="D15732" s="1127"/>
      <c r="E15732" s="1127"/>
      <c r="F15732" s="1127">
        <v>25</v>
      </c>
      <c r="G15732" s="1224">
        <v>1</v>
      </c>
      <c r="H15732" s="989">
        <f t="shared" si="672"/>
      </c>
      <c r="I15732" s="293"/>
      <c r="J15732" s="293"/>
      <c r="K15732" s="293"/>
      <c r="L15732" s="293"/>
      <c r="M15732" s="293"/>
      <c r="N15732" s="293"/>
      <c r="O15732" s="293"/>
      <c r="P15732" s="293"/>
      <c r="Q15732" s="293"/>
      <c r="R15732" s="293"/>
      <c r="S15732" s="293"/>
      <c r="T15732" s="293"/>
    </row>
    <row r="15733" spans="1:20" ht="19.5" customHeight="1" x14ac:dyDescent="0.25">
      <c r="A15733" s="1221">
        <v>3</v>
      </c>
      <c r="B15733" s="1222" t="s">
        <v>1334</v>
      </c>
      <c r="C15733" s="1223" t="s">
        <v>1570</v>
      </c>
      <c r="D15733" s="1127"/>
      <c r="E15733" s="1127"/>
      <c r="F15733" s="1127">
        <v>25</v>
      </c>
      <c r="G15733" s="1224">
        <v>1</v>
      </c>
      <c r="H15733" s="989">
        <f t="shared" si="672"/>
      </c>
      <c r="I15733" s="293"/>
      <c r="J15733" s="293"/>
      <c r="K15733" s="293"/>
      <c r="L15733" s="293"/>
      <c r="M15733" s="293"/>
      <c r="N15733" s="293"/>
      <c r="O15733" s="293"/>
      <c r="P15733" s="293"/>
      <c r="Q15733" s="293"/>
      <c r="R15733" s="293"/>
      <c r="S15733" s="293"/>
      <c r="T15733" s="293"/>
    </row>
    <row r="15734" spans="1:20" ht="19.5" customHeight="1" x14ac:dyDescent="0.25">
      <c r="A15734" s="1221">
        <v>4</v>
      </c>
      <c r="B15734" s="1222" t="s">
        <v>789</v>
      </c>
      <c r="C15734" s="1223" t="s">
        <v>2235</v>
      </c>
      <c r="D15734" s="1127"/>
      <c r="E15734" s="1127"/>
      <c r="F15734" s="1127">
        <v>25</v>
      </c>
      <c r="G15734" s="1224">
        <v>1</v>
      </c>
      <c r="H15734" s="989">
        <f t="shared" si="672"/>
      </c>
      <c r="I15734" s="293"/>
      <c r="J15734" s="293"/>
      <c r="K15734" s="293"/>
      <c r="L15734" s="293"/>
      <c r="M15734" s="293"/>
      <c r="N15734" s="293"/>
      <c r="O15734" s="293"/>
      <c r="P15734" s="293"/>
      <c r="Q15734" s="293"/>
      <c r="R15734" s="293"/>
      <c r="S15734" s="293"/>
      <c r="T15734" s="293"/>
    </row>
    <row r="15735" spans="1:20" ht="19.5" customHeight="1" x14ac:dyDescent="0.25">
      <c r="A15735" s="1221">
        <v>5</v>
      </c>
      <c r="B15735" s="1222" t="s">
        <v>250</v>
      </c>
      <c r="C15735" s="1223" t="s">
        <v>2236</v>
      </c>
      <c r="D15735" s="1127"/>
      <c r="E15735" s="1127"/>
      <c r="F15735" s="1127">
        <v>24</v>
      </c>
      <c r="G15735" s="1224">
        <v>1</v>
      </c>
      <c r="H15735" s="989">
        <f t="shared" si="672"/>
      </c>
      <c r="I15735" s="293"/>
      <c r="J15735" s="293"/>
      <c r="K15735" s="293"/>
      <c r="L15735" s="293"/>
      <c r="M15735" s="293"/>
      <c r="N15735" s="293"/>
      <c r="O15735" s="293"/>
      <c r="P15735" s="293"/>
      <c r="Q15735" s="293"/>
      <c r="R15735" s="293"/>
      <c r="S15735" s="293"/>
      <c r="T15735" s="293"/>
    </row>
    <row r="15736" spans="1:20" ht="19.5" customHeight="1" x14ac:dyDescent="0.25">
      <c r="A15736" s="1221">
        <v>6</v>
      </c>
      <c r="B15736" s="1222" t="s">
        <v>1718</v>
      </c>
      <c r="C15736" s="1223" t="s">
        <v>2237</v>
      </c>
      <c r="D15736" s="1127"/>
      <c r="E15736" s="1127"/>
      <c r="F15736" s="1127">
        <v>25</v>
      </c>
      <c r="G15736" s="1224">
        <v>1</v>
      </c>
      <c r="H15736" s="989">
        <f t="shared" si="672"/>
      </c>
      <c r="I15736" s="293"/>
      <c r="J15736" s="293"/>
      <c r="K15736" s="293"/>
      <c r="L15736" s="293"/>
      <c r="M15736" s="293"/>
      <c r="N15736" s="293"/>
      <c r="O15736" s="293"/>
      <c r="P15736" s="293"/>
      <c r="Q15736" s="293"/>
      <c r="R15736" s="293"/>
      <c r="S15736" s="293"/>
      <c r="T15736" s="293"/>
    </row>
    <row r="15737" spans="1:20" ht="19.5" customHeight="1" x14ac:dyDescent="0.25">
      <c r="A15737" s="1221">
        <v>7</v>
      </c>
      <c r="B15737" s="1225" t="s">
        <v>68</v>
      </c>
      <c r="C15737" s="1223" t="s">
        <v>2238</v>
      </c>
      <c r="D15737" s="1127"/>
      <c r="E15737" s="1127"/>
      <c r="F15737" s="1127">
        <v>49</v>
      </c>
      <c r="G15737" s="1224">
        <v>1</v>
      </c>
      <c r="H15737" s="989">
        <f t="shared" si="672"/>
      </c>
      <c r="I15737" s="293"/>
      <c r="J15737" s="293"/>
      <c r="K15737" s="293"/>
      <c r="L15737" s="293"/>
      <c r="M15737" s="293"/>
      <c r="N15737" s="293"/>
      <c r="O15737" s="293"/>
      <c r="P15737" s="293"/>
      <c r="Q15737" s="293"/>
      <c r="R15737" s="293"/>
      <c r="S15737" s="293"/>
      <c r="T15737" s="293"/>
    </row>
    <row r="15738" spans="1:20" ht="19.5" customHeight="1" x14ac:dyDescent="0.25">
      <c r="A15738" s="1221">
        <v>8</v>
      </c>
      <c r="B15738" s="1222" t="s">
        <v>1481</v>
      </c>
      <c r="C15738" s="1223" t="s">
        <v>1482</v>
      </c>
      <c r="D15738" s="1127"/>
      <c r="E15738" s="1127"/>
      <c r="F15738" s="992">
        <v>75</v>
      </c>
      <c r="G15738" s="1224">
        <v>1</v>
      </c>
      <c r="H15738" s="989">
        <f t="shared" si="672"/>
      </c>
      <c r="I15738" s="293"/>
      <c r="J15738" s="293"/>
      <c r="K15738" s="293"/>
      <c r="L15738" s="293"/>
      <c r="M15738" s="293"/>
      <c r="N15738" s="293"/>
      <c r="O15738" s="293"/>
      <c r="P15738" s="293"/>
      <c r="Q15738" s="293"/>
      <c r="R15738" s="293"/>
      <c r="S15738" s="293"/>
      <c r="T15738" s="293"/>
    </row>
    <row r="15739" spans="1:20" ht="19.5" customHeight="1" x14ac:dyDescent="0.25">
      <c r="A15739" s="1221">
        <v>9</v>
      </c>
      <c r="B15739" s="1222" t="s">
        <v>1526</v>
      </c>
      <c r="C15739" s="1223" t="s">
        <v>1527</v>
      </c>
      <c r="D15739" s="1127"/>
      <c r="E15739" s="358"/>
      <c r="F15739" s="992">
        <f>300/4</f>
      </c>
      <c r="G15739" s="1224">
        <v>1</v>
      </c>
      <c r="H15739" s="989">
        <f t="shared" si="672"/>
      </c>
      <c r="I15739" s="293"/>
      <c r="J15739" s="293"/>
      <c r="K15739" s="293"/>
      <c r="L15739" s="293"/>
      <c r="M15739" s="293"/>
      <c r="N15739" s="293"/>
      <c r="O15739" s="293"/>
      <c r="P15739" s="293"/>
      <c r="Q15739" s="293"/>
      <c r="R15739" s="293"/>
      <c r="S15739" s="293"/>
      <c r="T15739" s="293"/>
    </row>
    <row r="15740" spans="1:20" ht="19.5" customHeight="1" x14ac:dyDescent="0.25">
      <c r="A15740" s="1221">
        <v>10</v>
      </c>
      <c r="B15740" s="1222" t="s">
        <v>226</v>
      </c>
      <c r="C15740" s="1223" t="s">
        <v>2239</v>
      </c>
      <c r="D15740" s="1127"/>
      <c r="E15740" s="358"/>
      <c r="F15740" s="992">
        <v>25</v>
      </c>
      <c r="G15740" s="1224">
        <v>1</v>
      </c>
      <c r="H15740" s="989">
        <f t="shared" si="672"/>
      </c>
      <c r="I15740" s="293"/>
      <c r="J15740" s="293"/>
      <c r="K15740" s="293"/>
      <c r="L15740" s="293"/>
      <c r="M15740" s="293"/>
      <c r="N15740" s="293"/>
      <c r="O15740" s="293"/>
      <c r="P15740" s="293"/>
      <c r="Q15740" s="293"/>
      <c r="R15740" s="293"/>
      <c r="S15740" s="293"/>
      <c r="T15740" s="293"/>
    </row>
    <row r="15741" spans="1:20" ht="15.75" customHeight="1" x14ac:dyDescent="0.25">
      <c r="A15741" s="1221">
        <v>11</v>
      </c>
      <c r="B15741" s="1222" t="s">
        <v>2240</v>
      </c>
      <c r="C15741" s="1223" t="s">
        <v>2241</v>
      </c>
      <c r="D15741" s="1127"/>
      <c r="E15741" s="358"/>
      <c r="F15741" s="992">
        <v>25</v>
      </c>
      <c r="G15741" s="1224">
        <v>1</v>
      </c>
      <c r="H15741" s="989">
        <f t="shared" si="672"/>
      </c>
    </row>
    <row r="15742" spans="1:20" ht="19.5" customHeight="1" x14ac:dyDescent="0.25">
      <c r="A15742" s="1230"/>
      <c r="B15742" s="1218" t="s">
        <v>1356</v>
      </c>
      <c r="C15742" s="1218"/>
      <c r="D15742" s="592"/>
      <c r="E15742" s="929"/>
      <c r="F15742" s="593"/>
      <c r="G15742" s="1233"/>
      <c r="H15742" s="1228"/>
      <c r="I15742" s="293"/>
      <c r="J15742" s="293"/>
      <c r="K15742" s="293"/>
      <c r="L15742" s="293"/>
      <c r="M15742" s="293"/>
      <c r="N15742" s="293"/>
      <c r="O15742" s="293"/>
      <c r="P15742" s="293"/>
      <c r="Q15742" s="293"/>
      <c r="R15742" s="293"/>
      <c r="S15742" s="293"/>
      <c r="T15742" s="293"/>
    </row>
    <row r="15743" spans="1:20" ht="15.75" customHeight="1" x14ac:dyDescent="0.25">
      <c r="A15743" s="1221">
        <v>12</v>
      </c>
      <c r="B15743" s="1222" t="s">
        <v>39</v>
      </c>
      <c r="C15743" s="1234" t="s">
        <v>36</v>
      </c>
      <c r="D15743" s="1202">
        <v>7</v>
      </c>
      <c r="E15743" s="1226">
        <v>5</v>
      </c>
      <c r="F15743" s="988">
        <f>+E15743*D15743</f>
      </c>
      <c r="G15743" s="1227">
        <v>1</v>
      </c>
      <c r="H15743" s="1228">
        <f>+G15743*F15743</f>
      </c>
    </row>
    <row r="15744" spans="1:20" ht="15.75" customHeight="1" x14ac:dyDescent="0.25">
      <c r="A15744" s="1230"/>
      <c r="B15744" s="1235"/>
      <c r="C15744" s="1231"/>
      <c r="D15744" s="592"/>
      <c r="E15744" s="929"/>
      <c r="F15744" s="593"/>
      <c r="G15744" s="1233"/>
      <c r="H15744" s="1228"/>
    </row>
    <row r="15745" spans="1:8" ht="15.75" customHeight="1" x14ac:dyDescent="0.25">
      <c r="A15745" s="1230"/>
      <c r="B15745" s="1235"/>
      <c r="C15745" s="1231"/>
      <c r="D15745" s="592"/>
      <c r="E15745" s="929"/>
      <c r="F15745" s="593"/>
      <c r="G15745" s="1233"/>
      <c r="H15745" s="1228"/>
    </row>
    <row r="15746" spans="1:8" ht="15.75" customHeight="1" x14ac:dyDescent="0.25">
      <c r="A15746" s="1230"/>
      <c r="B15746" s="1235"/>
      <c r="C15746" s="1231"/>
      <c r="D15746" s="592"/>
      <c r="E15746" s="929"/>
      <c r="F15746" s="593"/>
      <c r="G15746" s="1233"/>
      <c r="H15746" s="1228"/>
    </row>
    <row r="15747" spans="1:8" ht="15.75" customHeight="1" x14ac:dyDescent="0.25">
      <c r="A15747" s="1230"/>
      <c r="B15747" s="1235"/>
      <c r="C15747" s="1231"/>
      <c r="D15747" s="592"/>
      <c r="E15747" s="929"/>
      <c r="F15747" s="593"/>
      <c r="G15747" s="1233"/>
      <c r="H15747" s="1228"/>
    </row>
    <row r="15748" spans="1:8" ht="15.75" customHeight="1" x14ac:dyDescent="0.25">
      <c r="A15748" s="1230"/>
      <c r="B15748" s="1235"/>
      <c r="C15748" s="1231"/>
      <c r="D15748" s="592"/>
      <c r="E15748" s="929"/>
      <c r="F15748" s="593"/>
      <c r="G15748" s="973"/>
      <c r="H15748" s="931"/>
    </row>
    <row r="15749" spans="1:8" ht="15.75" customHeight="1" x14ac:dyDescent="0.25">
      <c r="A15749" s="1170"/>
      <c r="B15749" s="1171"/>
      <c r="C15749" s="1172" t="s">
        <v>85</v>
      </c>
      <c r="D15749" s="725"/>
      <c r="E15749" s="725"/>
      <c r="F15749" s="725">
        <f>SUM(F15731:F15748)</f>
      </c>
      <c r="G15749" s="1173"/>
      <c r="H15749" s="1174">
        <f>SUM(H15731:H15748)</f>
      </c>
    </row>
    <row r="15750" spans="1:8" ht="15.75" customHeight="1" x14ac:dyDescent="0.25">
      <c r="A15750" s="932"/>
      <c r="B15750" s="933"/>
      <c r="C15750" s="934"/>
      <c r="D15750" s="431"/>
      <c r="E15750" s="935"/>
      <c r="F15750" s="935"/>
      <c r="G15750" s="936"/>
      <c r="H15750" s="444"/>
    </row>
    <row r="15751" spans="1:8" ht="15.75" customHeight="1" x14ac:dyDescent="0.25">
      <c r="A15751" s="994"/>
      <c r="B15751" s="391"/>
      <c r="C15751" s="391"/>
      <c r="D15751" s="446" t="s">
        <v>97</v>
      </c>
      <c r="E15751" s="445" t="s">
        <v>98</v>
      </c>
      <c r="F15751" s="445"/>
      <c r="G15751" s="390"/>
      <c r="H15751" s="394"/>
    </row>
    <row r="15752" spans="1:8" ht="15.75" customHeight="1" x14ac:dyDescent="0.25">
      <c r="A15752" s="994"/>
      <c r="B15752" s="391"/>
      <c r="C15752" s="391"/>
      <c r="D15752" s="446"/>
      <c r="E15752" s="445"/>
      <c r="F15752" s="445"/>
      <c r="G15752" s="390"/>
      <c r="H15752" s="394"/>
    </row>
    <row r="15753" spans="1:8" ht="15.75" customHeight="1" x14ac:dyDescent="0.25">
      <c r="A15753" s="994"/>
      <c r="B15753" s="391"/>
      <c r="C15753" s="391"/>
      <c r="D15753" s="446"/>
      <c r="E15753" s="445"/>
      <c r="F15753" s="445"/>
      <c r="G15753" s="390"/>
      <c r="H15753" s="394"/>
    </row>
    <row r="15754" spans="1:8" ht="15.75" customHeight="1" x14ac:dyDescent="0.25">
      <c r="A15754" s="445"/>
      <c r="B15754" s="445"/>
      <c r="C15754" s="445"/>
      <c r="D15754" s="446"/>
      <c r="E15754" s="445"/>
      <c r="F15754" s="445"/>
      <c r="G15754" s="390"/>
      <c r="H15754" s="394"/>
    </row>
    <row r="15755" spans="1:8" ht="15.75" customHeight="1" x14ac:dyDescent="0.25">
      <c r="A15755" s="445"/>
      <c r="B15755" s="445"/>
      <c r="C15755" s="445"/>
      <c r="D15755" s="446"/>
      <c r="E15755" s="445" t="s">
        <v>99</v>
      </c>
      <c r="F15755" s="445"/>
      <c r="G15755" s="390"/>
      <c r="H15755" s="394"/>
    </row>
    <row r="15756" spans="1:8" ht="15.75" customHeight="1" x14ac:dyDescent="0.25">
      <c r="D15756" s="4"/>
      <c r="H15756" s="4"/>
    </row>
    <row r="15757" spans="1:8" ht="15.75" customHeight="1" x14ac:dyDescent="0.25">
      <c r="D15757" s="4"/>
      <c r="H15757" s="4"/>
    </row>
    <row r="15758" spans="1:8" ht="15.75" customHeight="1" x14ac:dyDescent="0.25">
      <c r="A15758" s="8" t="s">
        <v>14</v>
      </c>
      <c r="B15758" s="8"/>
      <c r="C15758" s="8"/>
      <c r="D15758" s="8"/>
      <c r="E15758" s="8"/>
      <c r="F15758" s="8"/>
      <c r="G15758" s="8"/>
      <c r="H15758" s="8"/>
    </row>
    <row r="15759" spans="1:8" ht="15.75" customHeight="1" x14ac:dyDescent="0.25">
      <c r="D15759" s="4"/>
      <c r="H15759" s="4"/>
    </row>
    <row r="15760" spans="1:8" ht="15.75" customHeight="1" x14ac:dyDescent="0.25">
      <c r="A15760" s="390" t="s">
        <v>20</v>
      </c>
      <c r="B15760" s="390"/>
      <c r="C15760" s="388"/>
      <c r="D15760" s="391"/>
      <c r="E15760" s="390"/>
      <c r="F15760" s="395" t="s">
        <v>18</v>
      </c>
      <c r="G15760" s="396" t="s">
        <v>1285</v>
      </c>
      <c r="H15760" s="397"/>
    </row>
    <row r="15761" spans="1:8" ht="15.75" customHeight="1" x14ac:dyDescent="0.25">
      <c r="A15761" s="390" t="inlineStr">
        <is>
          <t>Dealer-003</t>
        </is>
      </c>
      <c r="B15761" s="390"/>
      <c r="C15761" s="388"/>
      <c r="D15761" s="391"/>
      <c r="E15761" s="390"/>
      <c r="F15761" s="395" t="s">
        <v>21</v>
      </c>
      <c r="G15761" s="390" t="s">
        <v>1486</v>
      </c>
      <c r="H15761" s="391"/>
    </row>
    <row r="15762" spans="1:8" ht="15.75" customHeight="1" x14ac:dyDescent="0.25">
      <c r="A15762" s="390" t="inlineStr">
        <is>
          <t>Address line (redacted)</t>
        </is>
      </c>
      <c r="B15762" s="390"/>
      <c r="C15762" s="388"/>
      <c r="D15762" s="398"/>
      <c r="E15762" s="390"/>
      <c r="F15762" s="391"/>
      <c r="G15762" s="390"/>
      <c r="H15762" s="394"/>
    </row>
    <row r="15763" spans="1:8" ht="15.75" customHeight="1" x14ac:dyDescent="0.25">
      <c r="A15763" s="390" t="inlineStr">
        <is>
          <t>Address line (redacted)</t>
        </is>
      </c>
      <c r="B15763" s="390"/>
      <c r="C15763" s="7"/>
      <c r="D15763" s="398"/>
      <c r="E15763" s="390"/>
      <c r="F15763" s="391"/>
      <c r="G15763" s="390"/>
      <c r="H15763" s="394"/>
    </row>
    <row r="15764" spans="1:8" ht="15.75" customHeight="1" x14ac:dyDescent="0.25">
      <c r="A15764" s="390"/>
      <c r="B15764" s="390"/>
      <c r="C15764" s="7"/>
      <c r="D15764" s="398"/>
      <c r="E15764" s="390"/>
      <c r="F15764" s="391"/>
      <c r="G15764" s="390"/>
      <c r="H15764" s="394"/>
    </row>
    <row r="15765" spans="1:8" ht="15.75" customHeight="1" x14ac:dyDescent="0.25">
      <c r="A15765" s="390" t="s">
        <v>2373</v>
      </c>
      <c r="B15765" s="390"/>
      <c r="C15765" s="390"/>
      <c r="D15765" s="391"/>
      <c r="E15765" s="390"/>
      <c r="F15765" s="391"/>
      <c r="G15765" s="390"/>
      <c r="H15765" s="394"/>
    </row>
    <row r="15766" spans="1:8" ht="15.75" customHeight="1" x14ac:dyDescent="0.25">
      <c r="A15766" s="390"/>
      <c r="B15766" s="390"/>
      <c r="C15766" s="390"/>
      <c r="D15766" s="391"/>
      <c r="E15766" s="390"/>
      <c r="F15766" s="391"/>
      <c r="G15766" s="390"/>
      <c r="H15766" s="394"/>
    </row>
    <row r="15767" spans="1:8" ht="15.75" customHeight="1" x14ac:dyDescent="0.25">
      <c r="A15767" s="390" t="s">
        <v>716</v>
      </c>
      <c r="B15767" s="390"/>
      <c r="C15767" s="390"/>
      <c r="D15767" s="391"/>
      <c r="E15767" s="390"/>
      <c r="F15767" s="391"/>
      <c r="G15767" s="390"/>
      <c r="H15767" s="394"/>
    </row>
    <row r="15768" spans="1:8" ht="15.75" customHeight="1" x14ac:dyDescent="0.25">
      <c r="A15768" s="390" t="s">
        <v>717</v>
      </c>
      <c r="B15768" s="390"/>
      <c r="C15768" s="390"/>
      <c r="D15768" s="391"/>
      <c r="E15768" s="390"/>
      <c r="F15768" s="391"/>
      <c r="G15768" s="390"/>
      <c r="H15768" s="394"/>
    </row>
    <row r="15769" spans="1:8" ht="15.75" customHeight="1" x14ac:dyDescent="0.25">
      <c r="A15769" s="948" t="s">
        <v>33</v>
      </c>
      <c r="B15769" s="872" t="s">
        <v>6</v>
      </c>
      <c r="C15769" s="872"/>
      <c r="D15769" s="874" t="s">
        <v>37</v>
      </c>
      <c r="E15769" s="874" t="s">
        <v>38</v>
      </c>
      <c r="F15769" s="875" t="s">
        <v>7</v>
      </c>
      <c r="G15769" s="872" t="s">
        <v>43</v>
      </c>
      <c r="H15769" s="876" t="s">
        <v>44</v>
      </c>
    </row>
    <row r="15770" spans="1:8" ht="15.75" customHeight="1" x14ac:dyDescent="0.3">
      <c r="A15770" s="412"/>
      <c r="B15770" s="1033"/>
      <c r="C15770" s="1033"/>
      <c r="D15770" s="879"/>
      <c r="E15770" s="879"/>
      <c r="F15770" s="415"/>
      <c r="G15770" s="415"/>
      <c r="H15770" s="416"/>
    </row>
    <row r="15771" spans="1:8" ht="19.5" customHeight="1" x14ac:dyDescent="0.25">
      <c r="A15771" s="1217"/>
      <c r="B15771" s="1218" t="s">
        <v>1480</v>
      </c>
      <c r="C15771" s="1218"/>
      <c r="D15771" s="1219"/>
      <c r="E15771" s="1219"/>
      <c r="F15771" s="1219"/>
      <c r="G15771" s="1219"/>
      <c r="H15771" s="1220"/>
    </row>
    <row r="15772" spans="1:8" ht="19.5" customHeight="1" x14ac:dyDescent="0.25">
      <c r="A15772" s="1221">
        <v>1</v>
      </c>
      <c r="B15772" s="1222" t="s">
        <v>2231</v>
      </c>
      <c r="C15772" s="1223" t="s">
        <v>2232</v>
      </c>
      <c r="D15772" s="1127"/>
      <c r="E15772" s="1127"/>
      <c r="F15772" s="1127">
        <v>24</v>
      </c>
      <c r="G15772" s="1224">
        <v>1</v>
      </c>
      <c r="H15772" s="989">
        <f t="shared" ref="H15772:H15782" si="673">+G15772*F15772</f>
      </c>
    </row>
    <row r="15773" spans="1:8" ht="19.5" customHeight="1" x14ac:dyDescent="0.25">
      <c r="A15773" s="1221">
        <v>2</v>
      </c>
      <c r="B15773" s="1222" t="s">
        <v>15</v>
      </c>
      <c r="C15773" s="1223" t="s">
        <v>2233</v>
      </c>
      <c r="D15773" s="1127"/>
      <c r="E15773" s="1127"/>
      <c r="F15773" s="1127">
        <v>25</v>
      </c>
      <c r="G15773" s="1224">
        <v>1</v>
      </c>
      <c r="H15773" s="989">
        <f t="shared" si="673"/>
      </c>
    </row>
    <row r="15774" spans="1:8" ht="19.5" customHeight="1" x14ac:dyDescent="0.25">
      <c r="A15774" s="1221">
        <v>3</v>
      </c>
      <c r="B15774" s="1222" t="s">
        <v>1334</v>
      </c>
      <c r="C15774" s="1223" t="s">
        <v>1570</v>
      </c>
      <c r="D15774" s="1127"/>
      <c r="E15774" s="1127"/>
      <c r="F15774" s="1127">
        <v>25</v>
      </c>
      <c r="G15774" s="1224">
        <v>1</v>
      </c>
      <c r="H15774" s="989">
        <f t="shared" si="673"/>
      </c>
    </row>
    <row r="15775" spans="1:8" ht="19.5" customHeight="1" x14ac:dyDescent="0.25">
      <c r="A15775" s="1221">
        <v>4</v>
      </c>
      <c r="B15775" s="1222" t="s">
        <v>789</v>
      </c>
      <c r="C15775" s="1223" t="s">
        <v>2235</v>
      </c>
      <c r="D15775" s="1127"/>
      <c r="E15775" s="1127"/>
      <c r="F15775" s="1127">
        <v>25</v>
      </c>
      <c r="G15775" s="1224">
        <v>1</v>
      </c>
      <c r="H15775" s="989">
        <f t="shared" si="673"/>
      </c>
    </row>
    <row r="15776" spans="1:8" ht="19.5" customHeight="1" x14ac:dyDescent="0.25">
      <c r="A15776" s="1221">
        <v>5</v>
      </c>
      <c r="B15776" s="1222" t="s">
        <v>250</v>
      </c>
      <c r="C15776" s="1223" t="s">
        <v>2236</v>
      </c>
      <c r="D15776" s="1127"/>
      <c r="E15776" s="1127"/>
      <c r="F15776" s="1127">
        <v>24</v>
      </c>
      <c r="G15776" s="1224">
        <v>1</v>
      </c>
      <c r="H15776" s="989">
        <f t="shared" si="673"/>
      </c>
    </row>
    <row r="15777" spans="1:8" ht="19.5" customHeight="1" x14ac:dyDescent="0.25">
      <c r="A15777" s="1221">
        <v>6</v>
      </c>
      <c r="B15777" s="1222" t="s">
        <v>1718</v>
      </c>
      <c r="C15777" s="1223" t="s">
        <v>2237</v>
      </c>
      <c r="D15777" s="1127"/>
      <c r="E15777" s="1127"/>
      <c r="F15777" s="1127">
        <v>25</v>
      </c>
      <c r="G15777" s="1224">
        <v>1</v>
      </c>
      <c r="H15777" s="989">
        <f t="shared" si="673"/>
      </c>
    </row>
    <row r="15778" spans="1:8" ht="19.5" customHeight="1" x14ac:dyDescent="0.25">
      <c r="A15778" s="1221">
        <v>7</v>
      </c>
      <c r="B15778" s="1225" t="s">
        <v>68</v>
      </c>
      <c r="C15778" s="1223" t="s">
        <v>2238</v>
      </c>
      <c r="D15778" s="1127"/>
      <c r="E15778" s="1127"/>
      <c r="F15778" s="1127">
        <v>48</v>
      </c>
      <c r="G15778" s="1224">
        <v>1</v>
      </c>
      <c r="H15778" s="989">
        <f t="shared" si="673"/>
      </c>
    </row>
    <row r="15779" spans="1:8" ht="19.5" customHeight="1" x14ac:dyDescent="0.25">
      <c r="A15779" s="1221">
        <v>8</v>
      </c>
      <c r="B15779" s="1222" t="s">
        <v>1481</v>
      </c>
      <c r="C15779" s="1223" t="s">
        <v>1482</v>
      </c>
      <c r="D15779" s="1127"/>
      <c r="E15779" s="1127"/>
      <c r="F15779" s="992">
        <v>70</v>
      </c>
      <c r="G15779" s="1224">
        <v>1</v>
      </c>
      <c r="H15779" s="989">
        <f t="shared" si="673"/>
      </c>
    </row>
    <row r="15780" spans="1:8" ht="19.5" customHeight="1" x14ac:dyDescent="0.25">
      <c r="A15780" s="1221">
        <v>9</v>
      </c>
      <c r="B15780" s="1222" t="s">
        <v>1526</v>
      </c>
      <c r="C15780" s="1223" t="s">
        <v>1527</v>
      </c>
      <c r="D15780" s="1127"/>
      <c r="E15780" s="358"/>
      <c r="F15780" s="992">
        <f>300/4</f>
      </c>
      <c r="G15780" s="1224">
        <v>1</v>
      </c>
      <c r="H15780" s="989">
        <f t="shared" si="673"/>
      </c>
    </row>
    <row r="15781" spans="1:8" ht="19.5" customHeight="1" x14ac:dyDescent="0.25">
      <c r="A15781" s="1221">
        <v>10</v>
      </c>
      <c r="B15781" s="1222" t="s">
        <v>226</v>
      </c>
      <c r="C15781" s="1223" t="s">
        <v>2239</v>
      </c>
      <c r="D15781" s="1127"/>
      <c r="E15781" s="358"/>
      <c r="F15781" s="992">
        <v>25</v>
      </c>
      <c r="G15781" s="1224">
        <v>1</v>
      </c>
      <c r="H15781" s="989">
        <f t="shared" si="673"/>
      </c>
    </row>
    <row r="15782" spans="1:8" ht="15.75" customHeight="1" x14ac:dyDescent="0.25">
      <c r="A15782" s="1221">
        <v>11</v>
      </c>
      <c r="B15782" s="1222" t="s">
        <v>2240</v>
      </c>
      <c r="C15782" s="1223" t="s">
        <v>2241</v>
      </c>
      <c r="D15782" s="1127"/>
      <c r="E15782" s="358"/>
      <c r="F15782" s="992">
        <v>25</v>
      </c>
      <c r="G15782" s="1224">
        <v>1</v>
      </c>
      <c r="H15782" s="989">
        <f t="shared" si="673"/>
      </c>
    </row>
    <row r="15783" spans="1:8" ht="15.75" customHeight="1" x14ac:dyDescent="0.25">
      <c r="A15783" s="1230"/>
      <c r="B15783" s="1235"/>
      <c r="C15783" s="1231"/>
      <c r="D15783" s="592"/>
      <c r="E15783" s="929"/>
      <c r="F15783" s="593"/>
      <c r="G15783" s="973"/>
      <c r="H15783" s="931"/>
    </row>
    <row r="15784" spans="1:8" ht="15.75" customHeight="1" x14ac:dyDescent="0.25">
      <c r="A15784" s="1170"/>
      <c r="B15784" s="1171"/>
      <c r="C15784" s="1172" t="s">
        <v>85</v>
      </c>
      <c r="D15784" s="725">
        <v>6</v>
      </c>
      <c r="E15784" s="725"/>
      <c r="F15784" s="725">
        <f>SUM(F15772:F15783)</f>
      </c>
      <c r="G15784" s="1173"/>
      <c r="H15784" s="1174">
        <f>SUM(H15772:H15783)</f>
      </c>
    </row>
    <row r="15785" spans="1:8" ht="15.75" customHeight="1" x14ac:dyDescent="0.25">
      <c r="A15785" s="932"/>
      <c r="B15785" s="933"/>
      <c r="C15785" s="934"/>
      <c r="D15785" s="431"/>
      <c r="E15785" s="935"/>
      <c r="F15785" s="935"/>
      <c r="G15785" s="936"/>
      <c r="H15785" s="444"/>
    </row>
    <row r="15786" spans="1:8" ht="15.75" customHeight="1" x14ac:dyDescent="0.25">
      <c r="A15786" s="994"/>
      <c r="B15786" s="391"/>
      <c r="C15786" s="391"/>
      <c r="D15786" s="446" t="s">
        <v>97</v>
      </c>
      <c r="E15786" s="445" t="s">
        <v>98</v>
      </c>
      <c r="F15786" s="445"/>
      <c r="G15786" s="390"/>
      <c r="H15786" s="394"/>
    </row>
    <row r="15787" spans="1:8" ht="15.75" customHeight="1" x14ac:dyDescent="0.25">
      <c r="A15787" s="994"/>
      <c r="B15787" s="391"/>
      <c r="C15787" s="391"/>
      <c r="D15787" s="446"/>
      <c r="E15787" s="445"/>
      <c r="F15787" s="445"/>
      <c r="G15787" s="390"/>
      <c r="H15787" s="394"/>
    </row>
    <row r="15788" spans="1:8" ht="15.75" customHeight="1" x14ac:dyDescent="0.25">
      <c r="A15788" s="445"/>
      <c r="B15788" s="445"/>
      <c r="C15788" s="445"/>
      <c r="D15788" s="446"/>
      <c r="E15788" s="445"/>
      <c r="F15788" s="445"/>
      <c r="G15788" s="390"/>
      <c r="H15788" s="394"/>
    </row>
    <row r="15789" spans="1:8" ht="15.75" customHeight="1" x14ac:dyDescent="0.25">
      <c r="A15789" s="445"/>
      <c r="B15789" s="445"/>
      <c r="C15789" s="445"/>
      <c r="D15789" s="446"/>
      <c r="E15789" s="445" t="s">
        <v>99</v>
      </c>
      <c r="F15789" s="445"/>
      <c r="G15789" s="390"/>
      <c r="H15789" s="394"/>
    </row>
    <row r="15790" spans="1:8" ht="15.75" customHeight="1" x14ac:dyDescent="0.25">
      <c r="D15790" s="4"/>
      <c r="H15790" s="4"/>
    </row>
    <row r="15791" spans="1:8" ht="15.75" customHeight="1" x14ac:dyDescent="0.25">
      <c r="D15791" s="4"/>
      <c r="H15791" s="4"/>
    </row>
    <row r="15792" spans="1:8" ht="15.75" customHeight="1" x14ac:dyDescent="0.25">
      <c r="D15792" s="4"/>
      <c r="H15792" s="4"/>
    </row>
    <row r="15793" spans="1:8" ht="15.75" customHeight="1" x14ac:dyDescent="0.25">
      <c r="D15793" s="4"/>
      <c r="H15793" s="4"/>
    </row>
    <row r="15794" spans="1:8" ht="15.75" customHeight="1" x14ac:dyDescent="0.25">
      <c r="D15794" s="4"/>
      <c r="H15794" s="4"/>
    </row>
    <row r="15795" spans="1:8" ht="15.75" customHeight="1" x14ac:dyDescent="0.25">
      <c r="D15795" s="4"/>
      <c r="H15795" s="4"/>
    </row>
    <row r="15796" spans="1:8" ht="15.75" customHeight="1" x14ac:dyDescent="0.25">
      <c r="D15796" s="4"/>
      <c r="H15796" s="4"/>
    </row>
    <row r="15797" spans="1:8" ht="15.75" customHeight="1" x14ac:dyDescent="0.25">
      <c r="D15797" s="4"/>
      <c r="H15797" s="4"/>
    </row>
    <row r="15798" spans="1:8" ht="15.75" customHeight="1" x14ac:dyDescent="0.25">
      <c r="D15798" s="4"/>
      <c r="H15798" s="4"/>
    </row>
    <row r="15799" spans="1:8" ht="15.75" customHeight="1" x14ac:dyDescent="0.25">
      <c r="D15799" s="4"/>
      <c r="H15799" s="4"/>
    </row>
    <row r="15800" spans="1:8" ht="15.75" customHeight="1" x14ac:dyDescent="0.25">
      <c r="A15800" s="8" t="s">
        <v>14</v>
      </c>
      <c r="B15800" s="8"/>
      <c r="C15800" s="8"/>
      <c r="D15800" s="8"/>
      <c r="E15800" s="8"/>
      <c r="F15800" s="8"/>
      <c r="G15800" s="8"/>
      <c r="H15800" s="8"/>
    </row>
    <row r="15801" spans="1:8" ht="15.75" customHeight="1" x14ac:dyDescent="0.25">
      <c r="D15801" s="4"/>
      <c r="H15801" s="4"/>
    </row>
    <row r="15802" spans="1:8" ht="15.75" customHeight="1" x14ac:dyDescent="0.25">
      <c r="A15802" s="390" t="s">
        <v>20</v>
      </c>
      <c r="B15802" s="390"/>
      <c r="C15802" s="390"/>
      <c r="D15802" s="391"/>
      <c r="E15802" s="390"/>
      <c r="F15802" s="395" t="s">
        <v>18</v>
      </c>
      <c r="G15802" s="396" t="s">
        <v>1285</v>
      </c>
      <c r="H15802" s="397"/>
    </row>
    <row r="15803" spans="1:8" ht="15.75" customHeight="1" x14ac:dyDescent="0.25">
      <c r="A15803" s="390" t="inlineStr">
        <is>
          <t>Dealer-009</t>
        </is>
      </c>
      <c r="B15803" s="390"/>
      <c r="C15803" s="390" t="inlineStr">
        <is>
          <t>ATTN: Contact-001</t>
        </is>
      </c>
      <c r="D15803" s="391"/>
      <c r="E15803" s="390"/>
      <c r="F15803" s="395" t="s">
        <v>21</v>
      </c>
      <c r="G15803" s="390" t="s">
        <v>1487</v>
      </c>
      <c r="H15803" s="391"/>
    </row>
    <row r="15804" spans="1:8" ht="15.75" customHeight="1" x14ac:dyDescent="0.25">
      <c r="A15804" s="390" t="inlineStr">
        <is>
          <t>Address line (redacted)</t>
        </is>
      </c>
      <c r="B15804" s="390"/>
      <c r="C15804" s="390"/>
      <c r="D15804" s="398"/>
      <c r="E15804" s="390"/>
      <c r="F15804" s="391"/>
      <c r="G15804" s="390"/>
      <c r="H15804" s="394"/>
    </row>
    <row r="15805" spans="1:8" ht="15.75" customHeight="1" x14ac:dyDescent="0.25">
      <c r="A15805" s="390" t="inlineStr">
        <is>
          <t>Address line (redacted)</t>
        </is>
      </c>
      <c r="B15805" s="390"/>
      <c r="C15805" s="390"/>
      <c r="D15805" s="398"/>
      <c r="E15805" s="390"/>
      <c r="F15805" s="391"/>
      <c r="G15805" s="390"/>
      <c r="H15805" s="394"/>
    </row>
    <row r="15806" spans="1:8" ht="15.75" customHeight="1" x14ac:dyDescent="0.25">
      <c r="A15806" s="390"/>
      <c r="B15806" s="390"/>
      <c r="C15806" s="7"/>
      <c r="D15806" s="398"/>
      <c r="E15806" s="390"/>
      <c r="F15806" s="391"/>
      <c r="G15806" s="390"/>
      <c r="H15806" s="394"/>
    </row>
    <row r="15807" spans="1:8" ht="15.75" customHeight="1" x14ac:dyDescent="0.25">
      <c r="A15807" s="390" t="s">
        <v>2373</v>
      </c>
      <c r="B15807" s="390"/>
      <c r="C15807" s="390"/>
      <c r="D15807" s="391"/>
      <c r="E15807" s="390"/>
      <c r="F15807" s="391"/>
      <c r="G15807" s="390"/>
      <c r="H15807" s="394"/>
    </row>
    <row r="15808" spans="1:8" ht="15.75" customHeight="1" x14ac:dyDescent="0.25">
      <c r="A15808" s="390"/>
      <c r="B15808" s="390"/>
      <c r="C15808" s="390"/>
      <c r="D15808" s="391"/>
      <c r="E15808" s="390"/>
      <c r="F15808" s="391"/>
      <c r="G15808" s="390"/>
      <c r="H15808" s="394"/>
    </row>
    <row r="15809" spans="1:8" ht="15.75" customHeight="1" x14ac:dyDescent="0.25">
      <c r="A15809" s="390" t="s">
        <v>716</v>
      </c>
      <c r="B15809" s="390"/>
      <c r="C15809" s="390"/>
      <c r="D15809" s="391"/>
      <c r="E15809" s="390"/>
      <c r="F15809" s="391"/>
      <c r="G15809" s="390"/>
      <c r="H15809" s="394"/>
    </row>
    <row r="15810" spans="1:8" ht="15.75" customHeight="1" x14ac:dyDescent="0.25">
      <c r="A15810" s="390" t="s">
        <v>717</v>
      </c>
      <c r="B15810" s="390"/>
      <c r="C15810" s="390"/>
      <c r="D15810" s="391"/>
      <c r="E15810" s="390"/>
      <c r="F15810" s="391"/>
      <c r="G15810" s="390"/>
      <c r="H15810" s="394"/>
    </row>
    <row r="15811" spans="1:8" ht="15.75" customHeight="1" x14ac:dyDescent="0.25">
      <c r="A15811" s="948" t="s">
        <v>33</v>
      </c>
      <c r="B15811" s="872" t="s">
        <v>6</v>
      </c>
      <c r="C15811" s="872"/>
      <c r="D15811" s="874" t="s">
        <v>37</v>
      </c>
      <c r="E15811" s="874" t="s">
        <v>38</v>
      </c>
      <c r="F15811" s="875" t="s">
        <v>7</v>
      </c>
      <c r="G15811" s="872" t="s">
        <v>43</v>
      </c>
      <c r="H15811" s="876" t="s">
        <v>44</v>
      </c>
    </row>
    <row r="15812" spans="1:8" ht="15.75" customHeight="1" x14ac:dyDescent="0.3">
      <c r="A15812" s="412"/>
      <c r="B15812" s="1033"/>
      <c r="C15812" s="1033"/>
      <c r="D15812" s="879"/>
      <c r="E15812" s="879"/>
      <c r="F15812" s="415"/>
      <c r="G15812" s="415"/>
      <c r="H15812" s="416"/>
    </row>
    <row r="15813" spans="1:8" ht="15.75" customHeight="1" x14ac:dyDescent="0.25">
      <c r="A15813" s="1217"/>
      <c r="B15813" s="1218" t="s">
        <v>1480</v>
      </c>
      <c r="C15813" s="1218"/>
      <c r="D15813" s="1219"/>
      <c r="E15813" s="1219"/>
      <c r="F15813" s="1219"/>
      <c r="G15813" s="1219"/>
      <c r="H15813" s="1220"/>
    </row>
    <row r="15814" spans="1:8" ht="15.75" customHeight="1" x14ac:dyDescent="0.25">
      <c r="A15814" s="1221">
        <v>1</v>
      </c>
      <c r="B15814" s="1222" t="s">
        <v>2231</v>
      </c>
      <c r="C15814" s="1223" t="s">
        <v>2232</v>
      </c>
      <c r="D15814" s="1127"/>
      <c r="E15814" s="1127"/>
      <c r="F15814" s="1127">
        <v>26</v>
      </c>
      <c r="G15814" s="1224">
        <v>1</v>
      </c>
      <c r="H15814" s="989">
        <f t="shared" ref="H15814:H15824" si="674">+G15814*F15814</f>
      </c>
    </row>
    <row r="15815" spans="1:8" ht="15.75" customHeight="1" x14ac:dyDescent="0.25">
      <c r="A15815" s="1221">
        <v>2</v>
      </c>
      <c r="B15815" s="1222" t="s">
        <v>15</v>
      </c>
      <c r="C15815" s="1223" t="s">
        <v>2233</v>
      </c>
      <c r="D15815" s="1127"/>
      <c r="E15815" s="1127"/>
      <c r="F15815" s="1127">
        <v>26</v>
      </c>
      <c r="G15815" s="1224">
        <v>1</v>
      </c>
      <c r="H15815" s="989">
        <f t="shared" si="674"/>
      </c>
    </row>
    <row r="15816" spans="1:8" ht="15.75" customHeight="1" x14ac:dyDescent="0.25">
      <c r="A15816" s="1221">
        <v>3</v>
      </c>
      <c r="B15816" s="1222" t="s">
        <v>1334</v>
      </c>
      <c r="C15816" s="1223" t="s">
        <v>1570</v>
      </c>
      <c r="D15816" s="1127"/>
      <c r="E15816" s="1127"/>
      <c r="F15816" s="1127">
        <v>25</v>
      </c>
      <c r="G15816" s="1224">
        <v>1</v>
      </c>
      <c r="H15816" s="989">
        <f t="shared" si="674"/>
      </c>
    </row>
    <row r="15817" spans="1:8" ht="15.75" customHeight="1" x14ac:dyDescent="0.25">
      <c r="A15817" s="1221">
        <v>4</v>
      </c>
      <c r="B15817" s="1222" t="s">
        <v>789</v>
      </c>
      <c r="C15817" s="1223" t="s">
        <v>2235</v>
      </c>
      <c r="D15817" s="1127"/>
      <c r="E15817" s="1127"/>
      <c r="F15817" s="1127">
        <v>26</v>
      </c>
      <c r="G15817" s="1224">
        <v>1</v>
      </c>
      <c r="H15817" s="989">
        <f t="shared" si="674"/>
      </c>
    </row>
    <row r="15818" spans="1:8" ht="15.75" customHeight="1" x14ac:dyDescent="0.25">
      <c r="A15818" s="1221">
        <v>5</v>
      </c>
      <c r="B15818" s="1222" t="s">
        <v>250</v>
      </c>
      <c r="C15818" s="1223" t="s">
        <v>2236</v>
      </c>
      <c r="D15818" s="1127"/>
      <c r="E15818" s="1127"/>
      <c r="F15818" s="1127">
        <v>26</v>
      </c>
      <c r="G15818" s="1224">
        <v>1</v>
      </c>
      <c r="H15818" s="989">
        <f t="shared" si="674"/>
      </c>
    </row>
    <row r="15819" spans="1:8" ht="15.75" customHeight="1" x14ac:dyDescent="0.25">
      <c r="A15819" s="1221">
        <v>6</v>
      </c>
      <c r="B15819" s="1222" t="s">
        <v>1718</v>
      </c>
      <c r="C15819" s="1223" t="s">
        <v>2237</v>
      </c>
      <c r="D15819" s="1127"/>
      <c r="E15819" s="1127"/>
      <c r="F15819" s="1127">
        <v>25</v>
      </c>
      <c r="G15819" s="1224">
        <v>1</v>
      </c>
      <c r="H15819" s="989">
        <f t="shared" si="674"/>
      </c>
    </row>
    <row r="15820" spans="1:8" ht="15.75" customHeight="1" x14ac:dyDescent="0.25">
      <c r="A15820" s="1221">
        <v>7</v>
      </c>
      <c r="B15820" s="1225" t="s">
        <v>68</v>
      </c>
      <c r="C15820" s="1223" t="s">
        <v>2238</v>
      </c>
      <c r="D15820" s="1127"/>
      <c r="E15820" s="1127"/>
      <c r="F15820" s="1127">
        <v>53</v>
      </c>
      <c r="G15820" s="1224">
        <v>1</v>
      </c>
      <c r="H15820" s="989">
        <f t="shared" si="674"/>
      </c>
    </row>
    <row r="15821" spans="1:8" ht="15.75" customHeight="1" x14ac:dyDescent="0.25">
      <c r="A15821" s="1221">
        <v>8</v>
      </c>
      <c r="B15821" s="1222" t="s">
        <v>1481</v>
      </c>
      <c r="C15821" s="1223" t="s">
        <v>1482</v>
      </c>
      <c r="D15821" s="1127"/>
      <c r="E15821" s="1127"/>
      <c r="F15821" s="992">
        <v>75</v>
      </c>
      <c r="G15821" s="1224">
        <v>1</v>
      </c>
      <c r="H15821" s="989">
        <f t="shared" si="674"/>
      </c>
    </row>
    <row r="15822" spans="1:8" ht="15.75" customHeight="1" x14ac:dyDescent="0.25">
      <c r="A15822" s="1221">
        <v>9</v>
      </c>
      <c r="B15822" s="1222" t="s">
        <v>1526</v>
      </c>
      <c r="C15822" s="1223" t="s">
        <v>1527</v>
      </c>
      <c r="D15822" s="1127"/>
      <c r="E15822" s="358"/>
      <c r="F15822" s="992">
        <v>76</v>
      </c>
      <c r="G15822" s="1224">
        <v>1</v>
      </c>
      <c r="H15822" s="989">
        <f t="shared" si="674"/>
      </c>
    </row>
    <row r="15823" spans="1:8" ht="15.75" customHeight="1" x14ac:dyDescent="0.25">
      <c r="A15823" s="1221">
        <v>10</v>
      </c>
      <c r="B15823" s="1222" t="s">
        <v>226</v>
      </c>
      <c r="C15823" s="1223" t="s">
        <v>2239</v>
      </c>
      <c r="D15823" s="1127"/>
      <c r="E15823" s="358"/>
      <c r="F15823" s="992">
        <v>26</v>
      </c>
      <c r="G15823" s="1224">
        <v>1</v>
      </c>
      <c r="H15823" s="989">
        <f t="shared" si="674"/>
      </c>
    </row>
    <row r="15824" spans="1:8" ht="15.75" customHeight="1" x14ac:dyDescent="0.25">
      <c r="A15824" s="1221">
        <v>11</v>
      </c>
      <c r="B15824" s="1222" t="s">
        <v>2240</v>
      </c>
      <c r="C15824" s="1223" t="s">
        <v>2241</v>
      </c>
      <c r="D15824" s="1127"/>
      <c r="E15824" s="358"/>
      <c r="F15824" s="992">
        <v>25</v>
      </c>
      <c r="G15824" s="1224">
        <v>1</v>
      </c>
      <c r="H15824" s="989">
        <f t="shared" si="674"/>
      </c>
    </row>
    <row r="15825" spans="1:8" ht="15.75" customHeight="1" x14ac:dyDescent="0.25">
      <c r="A15825" s="1230"/>
      <c r="B15825" s="1235"/>
      <c r="C15825" s="1231"/>
      <c r="D15825" s="592"/>
      <c r="E15825" s="929"/>
      <c r="F15825" s="593"/>
      <c r="G15825" s="973"/>
      <c r="H15825" s="931"/>
    </row>
    <row r="15826" spans="1:8" ht="15.75" customHeight="1" x14ac:dyDescent="0.25">
      <c r="A15826" s="1170"/>
      <c r="B15826" s="1171"/>
      <c r="C15826" s="1172" t="s">
        <v>85</v>
      </c>
      <c r="D15826" s="725"/>
      <c r="E15826" s="725"/>
      <c r="F15826" s="725">
        <f>SUM(F15814:F15825)</f>
      </c>
      <c r="G15826" s="1173"/>
      <c r="H15826" s="1174">
        <f>SUM(H15814:H15825)</f>
      </c>
    </row>
    <row r="15827" spans="1:8" ht="15.75" customHeight="1" x14ac:dyDescent="0.25">
      <c r="A15827" s="932"/>
      <c r="B15827" s="933"/>
      <c r="C15827" s="934"/>
      <c r="D15827" s="431"/>
      <c r="E15827" s="935"/>
      <c r="F15827" s="935"/>
      <c r="G15827" s="936"/>
      <c r="H15827" s="444"/>
    </row>
    <row r="15828" spans="1:8" ht="15.75" customHeight="1" x14ac:dyDescent="0.25">
      <c r="A15828" s="994"/>
      <c r="B15828" s="391"/>
      <c r="C15828" s="391"/>
      <c r="D15828" s="446" t="s">
        <v>97</v>
      </c>
      <c r="E15828" s="445" t="s">
        <v>98</v>
      </c>
      <c r="F15828" s="445"/>
      <c r="G15828" s="390"/>
      <c r="H15828" s="394"/>
    </row>
    <row r="15829" spans="1:8" ht="15.75" customHeight="1" x14ac:dyDescent="0.25">
      <c r="A15829" s="994"/>
      <c r="B15829" s="391"/>
      <c r="C15829" s="391"/>
      <c r="D15829" s="446"/>
      <c r="E15829" s="445"/>
      <c r="F15829" s="445"/>
      <c r="G15829" s="390"/>
      <c r="H15829" s="394"/>
    </row>
    <row r="15830" spans="1:8" ht="15.75" customHeight="1" x14ac:dyDescent="0.25">
      <c r="A15830" s="445"/>
      <c r="B15830" s="445"/>
      <c r="C15830" s="445"/>
      <c r="D15830" s="446"/>
      <c r="E15830" s="445"/>
      <c r="F15830" s="445"/>
      <c r="G15830" s="390"/>
      <c r="H15830" s="394"/>
    </row>
    <row r="15831" spans="1:8" ht="15.75" customHeight="1" x14ac:dyDescent="0.25">
      <c r="A15831" s="445"/>
      <c r="B15831" s="445"/>
      <c r="C15831" s="445"/>
      <c r="D15831" s="446"/>
      <c r="E15831" s="445" t="s">
        <v>99</v>
      </c>
      <c r="F15831" s="445"/>
      <c r="G15831" s="390"/>
      <c r="H15831" s="394"/>
    </row>
    <row r="15832" spans="1:8" ht="15.75" customHeight="1" x14ac:dyDescent="0.25">
      <c r="D15832" s="4"/>
      <c r="H15832" s="4"/>
    </row>
    <row r="15833" spans="1:8" ht="15.75" customHeight="1" x14ac:dyDescent="0.25">
      <c r="D15833" s="4"/>
      <c r="H15833" s="4"/>
    </row>
    <row r="15834" spans="1:8" ht="15.75" customHeight="1" x14ac:dyDescent="0.25">
      <c r="D15834" s="4"/>
      <c r="H15834" s="4"/>
    </row>
    <row r="15835" spans="1:8" ht="15.75" customHeight="1" x14ac:dyDescent="0.25">
      <c r="D15835" s="4"/>
      <c r="H15835" s="4"/>
    </row>
    <row r="15836" spans="1:8" ht="15.75" customHeight="1" x14ac:dyDescent="0.25">
      <c r="D15836" s="4"/>
      <c r="H15836" s="4"/>
    </row>
    <row r="15837" spans="1:8" ht="15.75" customHeight="1" x14ac:dyDescent="0.25">
      <c r="D15837" s="4"/>
      <c r="H15837" s="4"/>
    </row>
    <row r="15838" spans="1:8" ht="15.75" customHeight="1" x14ac:dyDescent="0.25">
      <c r="D15838" s="4"/>
      <c r="H15838" s="4"/>
    </row>
    <row r="15839" spans="1:8" ht="15.75" customHeight="1" x14ac:dyDescent="0.25">
      <c r="D15839" s="4"/>
      <c r="H15839" s="4"/>
    </row>
    <row r="15840" spans="1:8" ht="15.75" customHeight="1" x14ac:dyDescent="0.25">
      <c r="D15840" s="4"/>
      <c r="H15840" s="4"/>
    </row>
    <row r="15841" spans="1:8" ht="15.75" customHeight="1" x14ac:dyDescent="0.25">
      <c r="D15841" s="4"/>
      <c r="H15841" s="4"/>
    </row>
    <row r="15842" spans="1:8" ht="15.75" customHeight="1" x14ac:dyDescent="0.25">
      <c r="D15842" s="4"/>
      <c r="H15842" s="4"/>
    </row>
    <row r="15843" spans="1:8" ht="15.75" customHeight="1" x14ac:dyDescent="0.25">
      <c r="D15843" s="4"/>
      <c r="H15843" s="4"/>
    </row>
    <row r="15844" spans="1:8" ht="15.75" customHeight="1" x14ac:dyDescent="0.25">
      <c r="D15844" s="4"/>
      <c r="H15844" s="4"/>
    </row>
    <row r="15845" spans="1:8" ht="15.75" customHeight="1" x14ac:dyDescent="0.25">
      <c r="D15845" s="4"/>
      <c r="H15845" s="4"/>
    </row>
    <row r="15846" spans="1:8" ht="15.75" customHeight="1" x14ac:dyDescent="0.25">
      <c r="A15846" s="398" t="s">
        <v>14</v>
      </c>
      <c r="B15846" s="398"/>
      <c r="C15846" s="398"/>
      <c r="D15846" s="398"/>
      <c r="E15846" s="398"/>
      <c r="F15846" s="398"/>
      <c r="G15846" s="398"/>
      <c r="H15846" s="398"/>
    </row>
    <row r="15847" spans="1:8" ht="15.75" customHeight="1" x14ac:dyDescent="0.25">
      <c r="A15847" s="398"/>
      <c r="B15847" s="398"/>
      <c r="C15847" s="398"/>
      <c r="D15847" s="398"/>
      <c r="E15847" s="398"/>
      <c r="F15847" s="398"/>
      <c r="G15847" s="398"/>
      <c r="H15847" s="398"/>
    </row>
    <row r="15848" spans="1:8" ht="15.75" customHeight="1" x14ac:dyDescent="0.25">
      <c r="A15848" s="398"/>
      <c r="B15848" s="398"/>
      <c r="C15848" s="398"/>
      <c r="D15848" s="398"/>
      <c r="E15848" s="398"/>
      <c r="F15848" s="398"/>
      <c r="G15848" s="398"/>
      <c r="H15848" s="398"/>
    </row>
    <row r="15849" spans="1:8" ht="15.75" customHeight="1" x14ac:dyDescent="0.25">
      <c r="A15849" s="390"/>
      <c r="B15849" s="390"/>
      <c r="C15849" s="390"/>
      <c r="D15849" s="391"/>
      <c r="E15849" s="390"/>
      <c r="F15849" s="395" t="s">
        <v>18</v>
      </c>
      <c r="G15849" s="396" t="s">
        <v>1285</v>
      </c>
      <c r="H15849" s="397"/>
    </row>
    <row r="15850" spans="1:8" ht="15.75" customHeight="1" x14ac:dyDescent="0.25">
      <c r="A15850" s="390" t="s">
        <v>20</v>
      </c>
      <c r="B15850" s="390"/>
      <c r="C15850" s="390"/>
      <c r="D15850" s="391"/>
      <c r="E15850" s="390"/>
      <c r="F15850" s="395" t="s">
        <v>21</v>
      </c>
      <c r="G15850" s="390" t="s">
        <v>2044</v>
      </c>
      <c r="H15850" s="391"/>
    </row>
    <row r="15851" spans="1:8" ht="15.75" customHeight="1" x14ac:dyDescent="0.25">
      <c r="A15851" s="390" t="inlineStr">
        <is>
          <t>Dealer-018</t>
        </is>
      </c>
      <c r="B15851" s="390"/>
      <c r="C15851" s="390"/>
      <c r="D15851" s="391"/>
      <c r="E15851" s="395"/>
      <c r="F15851" s="390"/>
      <c r="G15851" s="390"/>
      <c r="H15851" s="394"/>
    </row>
    <row r="15852" spans="1:8" ht="15.75" customHeight="1" x14ac:dyDescent="0.25">
      <c r="A15852" s="390" t="inlineStr">
        <is>
          <t>Address line (redacted)</t>
        </is>
      </c>
      <c r="B15852" s="390"/>
      <c r="C15852" s="390"/>
      <c r="D15852" s="398"/>
      <c r="E15852" s="390"/>
      <c r="F15852" s="391"/>
      <c r="G15852" s="390"/>
      <c r="H15852" s="394"/>
    </row>
    <row r="15853" spans="1:8" ht="15.75" customHeight="1" x14ac:dyDescent="0.25">
      <c r="A15853" s="390"/>
      <c r="B15853" s="390"/>
      <c r="C15853" s="390"/>
      <c r="D15853" s="398"/>
      <c r="E15853" s="390"/>
      <c r="F15853" s="391"/>
      <c r="G15853" s="390"/>
      <c r="H15853" s="394"/>
    </row>
    <row r="15854" spans="1:8" ht="15.75" customHeight="1" x14ac:dyDescent="0.25">
      <c r="A15854" s="388" t="inlineStr">
        <is>
          <t>Through: Transporter-001</t>
        </is>
      </c>
      <c r="B15854" s="388"/>
      <c r="C15854" s="388"/>
      <c r="D15854" s="398"/>
      <c r="E15854" s="390"/>
      <c r="F15854" s="391"/>
      <c r="G15854" s="390"/>
      <c r="H15854" s="394"/>
    </row>
    <row r="15855" spans="1:8" ht="15.75" customHeight="1" x14ac:dyDescent="0.25">
      <c r="A15855" s="388"/>
      <c r="B15855" s="388" t="inlineStr">
        <is>
          <t>Address line (redacted)</t>
        </is>
      </c>
      <c r="C15855" s="388"/>
      <c r="D15855" s="398"/>
      <c r="E15855" s="390"/>
      <c r="F15855" s="391"/>
      <c r="G15855" s="390"/>
      <c r="H15855" s="394"/>
    </row>
    <row r="15856" spans="1:8" ht="15.75" customHeight="1" x14ac:dyDescent="0.25">
      <c r="A15856" s="388"/>
      <c r="B15856" s="388" t="inlineStr">
        <is>
          <t>Address line (redacted)</t>
        </is>
      </c>
      <c r="C15856" s="388"/>
      <c r="D15856" s="398"/>
      <c r="E15856" s="390"/>
      <c r="F15856" s="391"/>
      <c r="G15856" s="390"/>
      <c r="H15856" s="394"/>
    </row>
    <row r="15857" spans="1:8" ht="15.75" customHeight="1" x14ac:dyDescent="0.25">
      <c r="A15857" s="447"/>
      <c r="B15857" s="390"/>
      <c r="C15857" s="390"/>
      <c r="D15857" s="391"/>
      <c r="E15857" s="390"/>
      <c r="F15857" s="391"/>
      <c r="G15857" s="390"/>
      <c r="H15857" s="394"/>
    </row>
    <row r="15858" spans="1:8" ht="15.75" customHeight="1" x14ac:dyDescent="0.25">
      <c r="A15858" s="390" t="s">
        <v>30</v>
      </c>
      <c r="B15858" s="390"/>
      <c r="C15858" s="390"/>
      <c r="D15858" s="391"/>
      <c r="E15858" s="390"/>
      <c r="F15858" s="391"/>
      <c r="G15858" s="390"/>
      <c r="H15858" s="394"/>
    </row>
    <row r="15859" spans="1:8" ht="15.75" customHeight="1" x14ac:dyDescent="0.25">
      <c r="A15859" s="390"/>
      <c r="B15859" s="390"/>
      <c r="C15859" s="390"/>
      <c r="D15859" s="391"/>
      <c r="E15859" s="390"/>
      <c r="F15859" s="391"/>
      <c r="G15859" s="390"/>
      <c r="H15859" s="394"/>
    </row>
    <row r="15860" spans="1:8" ht="15.75" customHeight="1" x14ac:dyDescent="0.25">
      <c r="A15860" s="390" t="s">
        <v>1322</v>
      </c>
      <c r="B15860" s="390"/>
      <c r="C15860" s="390"/>
      <c r="D15860" s="391"/>
      <c r="E15860" s="390"/>
      <c r="F15860" s="391"/>
      <c r="G15860" s="390"/>
      <c r="H15860" s="394"/>
    </row>
    <row r="15861" spans="1:8" ht="15.75" customHeight="1" x14ac:dyDescent="0.25">
      <c r="A15861" s="390" t="s">
        <v>1328</v>
      </c>
      <c r="B15861" s="390"/>
      <c r="C15861" s="390"/>
      <c r="D15861" s="391"/>
      <c r="E15861" s="390"/>
      <c r="F15861" s="391"/>
      <c r="G15861" s="390"/>
      <c r="H15861" s="394"/>
    </row>
    <row r="15862" spans="1:8" ht="15.75" customHeight="1" x14ac:dyDescent="0.25">
      <c r="A15862" s="871" t="s">
        <v>33</v>
      </c>
      <c r="B15862" s="872" t="s">
        <v>6</v>
      </c>
      <c r="C15862" s="872"/>
      <c r="D15862" s="873" t="s">
        <v>37</v>
      </c>
      <c r="E15862" s="874" t="s">
        <v>38</v>
      </c>
      <c r="F15862" s="875" t="s">
        <v>7</v>
      </c>
      <c r="G15862" s="872" t="s">
        <v>43</v>
      </c>
      <c r="H15862" s="876" t="s">
        <v>44</v>
      </c>
    </row>
    <row r="15863" spans="1:8" ht="15.75" customHeight="1" x14ac:dyDescent="0.25">
      <c r="A15863" s="877"/>
      <c r="B15863" s="578"/>
      <c r="C15863" s="627"/>
      <c r="D15863" s="578"/>
      <c r="E15863" s="578"/>
      <c r="F15863" s="878"/>
      <c r="G15863" s="578"/>
      <c r="H15863" s="416"/>
    </row>
    <row r="15864" spans="1:8" ht="15.75" customHeight="1" x14ac:dyDescent="0.25">
      <c r="A15864" s="581"/>
      <c r="B15864" s="1236" t="s">
        <v>1356</v>
      </c>
      <c r="C15864" s="1236"/>
      <c r="D15864" s="415"/>
      <c r="E15864" s="415"/>
      <c r="F15864" s="415"/>
      <c r="G15864" s="579"/>
      <c r="H15864" s="416"/>
    </row>
    <row r="15865" spans="1:8" ht="15.75" customHeight="1" x14ac:dyDescent="0.25">
      <c r="A15865" s="581">
        <v>1</v>
      </c>
      <c r="B15865" s="417" t="s">
        <v>696</v>
      </c>
      <c r="C15865" s="415" t="s">
        <v>107</v>
      </c>
      <c r="D15865" s="415">
        <v>1</v>
      </c>
      <c r="E15865" s="415">
        <v>5</v>
      </c>
      <c r="F15865" s="415">
        <f t="shared" ref="F15865:F15868" si="675">+E15865*D15865</f>
      </c>
      <c r="G15865" s="415">
        <v>1</v>
      </c>
      <c r="H15865" s="416">
        <f t="shared" ref="H15865:H15868" si="676">+G15865*F15865</f>
      </c>
    </row>
    <row r="15866" spans="1:8" ht="15.75" customHeight="1" x14ac:dyDescent="0.25">
      <c r="A15866" s="581">
        <v>2</v>
      </c>
      <c r="B15866" s="417" t="s">
        <v>138</v>
      </c>
      <c r="C15866" s="415" t="s">
        <v>335</v>
      </c>
      <c r="D15866" s="415">
        <v>1</v>
      </c>
      <c r="E15866" s="415">
        <v>5</v>
      </c>
      <c r="F15866" s="415">
        <f t="shared" si="675"/>
      </c>
      <c r="G15866" s="415">
        <v>1</v>
      </c>
      <c r="H15866" s="416">
        <f t="shared" si="676"/>
      </c>
    </row>
    <row r="15867" spans="1:8" ht="15.75" customHeight="1" x14ac:dyDescent="0.25">
      <c r="A15867" s="581">
        <v>3</v>
      </c>
      <c r="B15867" s="417" t="s">
        <v>129</v>
      </c>
      <c r="C15867" s="415" t="s">
        <v>328</v>
      </c>
      <c r="D15867" s="415">
        <v>1</v>
      </c>
      <c r="E15867" s="415">
        <v>5</v>
      </c>
      <c r="F15867" s="415">
        <f t="shared" si="675"/>
      </c>
      <c r="G15867" s="415">
        <v>1</v>
      </c>
      <c r="H15867" s="416">
        <f t="shared" si="676"/>
      </c>
    </row>
    <row r="15868" spans="1:8" ht="15.75" customHeight="1" x14ac:dyDescent="0.25">
      <c r="A15868" s="581">
        <v>4</v>
      </c>
      <c r="B15868" s="590" t="s">
        <v>123</v>
      </c>
      <c r="C15868" s="415" t="s">
        <v>2244</v>
      </c>
      <c r="D15868" s="415">
        <v>1</v>
      </c>
      <c r="E15868" s="415">
        <v>5</v>
      </c>
      <c r="F15868" s="415">
        <f t="shared" si="675"/>
      </c>
      <c r="G15868" s="415">
        <v>1</v>
      </c>
      <c r="H15868" s="416">
        <f t="shared" si="676"/>
      </c>
    </row>
    <row r="15869" spans="1:8" ht="15.75" customHeight="1" x14ac:dyDescent="0.25">
      <c r="A15869" s="581"/>
      <c r="B15869" s="1236" t="s">
        <v>590</v>
      </c>
      <c r="C15869" s="1236"/>
      <c r="D15869" s="415"/>
      <c r="E15869" s="415"/>
      <c r="F15869" s="415"/>
      <c r="G15869" s="415"/>
      <c r="H15869" s="416"/>
    </row>
    <row r="15870" spans="1:8" ht="15.75" customHeight="1" x14ac:dyDescent="0.25">
      <c r="A15870" s="581">
        <v>5</v>
      </c>
      <c r="B15870" s="590" t="s">
        <v>226</v>
      </c>
      <c r="C15870" s="588" t="s">
        <v>395</v>
      </c>
      <c r="D15870" s="415">
        <v>1</v>
      </c>
      <c r="E15870" s="415">
        <v>6</v>
      </c>
      <c r="F15870" s="415">
        <f t="shared" ref="F15870:F15873" si="677">+E15870*D15870</f>
      </c>
      <c r="G15870" s="415">
        <v>1</v>
      </c>
      <c r="H15870" s="416">
        <f t="shared" ref="H15870:H15873" si="678">+G15870*F15870</f>
      </c>
    </row>
    <row r="15871" spans="1:8" ht="15.75" customHeight="1" x14ac:dyDescent="0.25">
      <c r="A15871" s="581">
        <v>6</v>
      </c>
      <c r="B15871" s="590" t="s">
        <v>81</v>
      </c>
      <c r="C15871" s="588" t="s">
        <v>396</v>
      </c>
      <c r="D15871" s="415">
        <v>1</v>
      </c>
      <c r="E15871" s="415">
        <v>6</v>
      </c>
      <c r="F15871" s="415">
        <f t="shared" si="677"/>
      </c>
      <c r="G15871" s="415">
        <v>1</v>
      </c>
      <c r="H15871" s="416">
        <f t="shared" si="678"/>
      </c>
    </row>
    <row r="15872" spans="1:8" ht="15.75" customHeight="1" x14ac:dyDescent="0.25">
      <c r="A15872" s="581">
        <v>7</v>
      </c>
      <c r="B15872" s="590" t="s">
        <v>136</v>
      </c>
      <c r="C15872" s="588" t="s">
        <v>387</v>
      </c>
      <c r="D15872" s="415">
        <v>1</v>
      </c>
      <c r="E15872" s="415">
        <v>6</v>
      </c>
      <c r="F15872" s="415">
        <f t="shared" si="677"/>
      </c>
      <c r="G15872" s="415">
        <v>1</v>
      </c>
      <c r="H15872" s="416">
        <f t="shared" si="678"/>
      </c>
    </row>
    <row r="15873" spans="1:8" ht="15.75" customHeight="1" x14ac:dyDescent="0.25">
      <c r="A15873" s="581">
        <v>8</v>
      </c>
      <c r="B15873" s="590" t="s">
        <v>105</v>
      </c>
      <c r="C15873" s="588" t="s">
        <v>2154</v>
      </c>
      <c r="D15873" s="415">
        <v>1</v>
      </c>
      <c r="E15873" s="415">
        <v>6</v>
      </c>
      <c r="F15873" s="415">
        <f t="shared" si="677"/>
      </c>
      <c r="G15873" s="415">
        <v>1</v>
      </c>
      <c r="H15873" s="416">
        <f t="shared" si="678"/>
      </c>
    </row>
    <row r="15874" spans="1:8" ht="15.75" customHeight="1" x14ac:dyDescent="0.25">
      <c r="A15874" s="581"/>
      <c r="B15874" s="1236" t="s">
        <v>1239</v>
      </c>
      <c r="C15874" s="1236"/>
      <c r="D15874" s="415"/>
      <c r="E15874" s="415"/>
      <c r="F15874" s="415"/>
      <c r="G15874" s="415"/>
      <c r="H15874" s="416"/>
    </row>
    <row r="15875" spans="1:8" ht="15.75" customHeight="1" x14ac:dyDescent="0.25">
      <c r="A15875" s="581">
        <v>9</v>
      </c>
      <c r="B15875" s="590" t="s">
        <v>1554</v>
      </c>
      <c r="C15875" s="588" t="s">
        <v>109</v>
      </c>
      <c r="D15875" s="415">
        <v>10</v>
      </c>
      <c r="E15875" s="415">
        <v>25</v>
      </c>
      <c r="F15875" s="415">
        <f>+E15875*D15875</f>
      </c>
      <c r="G15875" s="415">
        <v>1</v>
      </c>
      <c r="H15875" s="416">
        <f>+G15875*F15875</f>
      </c>
    </row>
    <row r="15876" spans="1:8" ht="15.75" customHeight="1" x14ac:dyDescent="0.25">
      <c r="A15876" s="581"/>
      <c r="B15876" s="590"/>
      <c r="C15876" s="592"/>
      <c r="D15876" s="593"/>
      <c r="E15876" s="593"/>
      <c r="F15876" s="593"/>
      <c r="G15876" s="593"/>
      <c r="H15876" s="931"/>
    </row>
    <row r="15877" spans="1:8" ht="15.75" customHeight="1" x14ac:dyDescent="0.25">
      <c r="A15877" s="581"/>
      <c r="B15877" s="1237" t="s">
        <v>2399</v>
      </c>
      <c r="C15877" s="1238"/>
      <c r="D15877" s="593"/>
      <c r="E15877" s="593"/>
      <c r="F15877" s="593"/>
      <c r="G15877" s="593"/>
      <c r="H15877" s="931"/>
    </row>
    <row r="15878" spans="1:8" ht="15.75" customHeight="1" x14ac:dyDescent="0.25">
      <c r="A15878" s="581"/>
      <c r="B15878" s="1239"/>
      <c r="C15878" s="1240"/>
      <c r="D15878" s="593"/>
      <c r="E15878" s="593"/>
      <c r="F15878" s="593"/>
      <c r="G15878" s="593"/>
      <c r="H15878" s="931"/>
    </row>
    <row r="15879" spans="1:8" ht="15.75" customHeight="1" x14ac:dyDescent="0.25">
      <c r="A15879" s="581"/>
      <c r="B15879" s="1241"/>
      <c r="C15879" s="1242"/>
      <c r="D15879" s="593"/>
      <c r="E15879" s="593"/>
      <c r="F15879" s="593"/>
      <c r="G15879" s="593"/>
      <c r="H15879" s="931"/>
    </row>
    <row r="15880" spans="1:8" ht="15.75" customHeight="1" x14ac:dyDescent="0.25">
      <c r="A15880" s="581"/>
      <c r="B15880" s="590"/>
      <c r="C15880" s="592"/>
      <c r="D15880" s="593"/>
      <c r="E15880" s="593"/>
      <c r="F15880" s="593"/>
      <c r="G15880" s="593"/>
      <c r="H15880" s="931"/>
    </row>
    <row r="15881" spans="1:8" ht="15.75" customHeight="1" x14ac:dyDescent="0.25">
      <c r="A15881" s="877"/>
      <c r="B15881" s="688"/>
      <c r="C15881" s="896" t="s">
        <v>85</v>
      </c>
      <c r="D15881" s="401">
        <f>SUM(D15865:D15880)</f>
      </c>
      <c r="E15881" s="401"/>
      <c r="F15881" s="401"/>
      <c r="G15881" s="661"/>
      <c r="H15881" s="438">
        <f>SUM(H15865:H15880)</f>
      </c>
    </row>
    <row r="15882" spans="1:8" ht="15.75" customHeight="1" x14ac:dyDescent="0.25">
      <c r="A15882" s="932"/>
      <c r="B15882" s="933"/>
      <c r="C15882" s="935"/>
      <c r="D15882" s="431"/>
      <c r="E15882" s="935"/>
      <c r="F15882" s="935"/>
      <c r="G15882" s="936"/>
      <c r="H15882" s="444"/>
    </row>
    <row r="15883" spans="1:8" ht="15.75" customHeight="1" x14ac:dyDescent="0.25">
      <c r="A15883" s="622" t="s">
        <v>1215</v>
      </c>
      <c r="B15883" s="622"/>
      <c r="C15883" s="622"/>
      <c r="D15883" s="622"/>
      <c r="E15883" s="622"/>
      <c r="F15883" s="622"/>
      <c r="G15883" s="622"/>
      <c r="H15883" s="622"/>
    </row>
    <row r="15884" spans="1:8" ht="15.75" customHeight="1" x14ac:dyDescent="0.25">
      <c r="A15884" s="445"/>
      <c r="B15884" s="445"/>
      <c r="C15884" s="445"/>
      <c r="D15884" s="446" t="s">
        <v>97</v>
      </c>
      <c r="E15884" s="445" t="s">
        <v>98</v>
      </c>
      <c r="F15884" s="445"/>
      <c r="G15884" s="390"/>
      <c r="H15884" s="394"/>
    </row>
    <row r="15885" spans="1:8" ht="15.75" customHeight="1" x14ac:dyDescent="0.25">
      <c r="A15885" s="445"/>
      <c r="B15885" s="445"/>
      <c r="C15885" s="445"/>
      <c r="D15885" s="446"/>
      <c r="E15885" s="445"/>
      <c r="F15885" s="445"/>
      <c r="G15885" s="390"/>
      <c r="H15885" s="394"/>
    </row>
    <row r="15886" spans="1:8" ht="15.75" customHeight="1" x14ac:dyDescent="0.25">
      <c r="A15886" s="445"/>
      <c r="B15886" s="445"/>
      <c r="C15886" s="445"/>
      <c r="D15886" s="446"/>
      <c r="E15886" s="445"/>
      <c r="F15886" s="445"/>
      <c r="G15886" s="390"/>
      <c r="H15886" s="394"/>
    </row>
    <row r="15887" spans="1:8" ht="15.75" customHeight="1" x14ac:dyDescent="0.25">
      <c r="A15887" s="445"/>
      <c r="B15887" s="445"/>
      <c r="C15887" s="445"/>
      <c r="D15887" s="446"/>
      <c r="E15887" s="445" t="s">
        <v>99</v>
      </c>
      <c r="F15887" s="445"/>
      <c r="G15887" s="390"/>
      <c r="H15887" s="394"/>
    </row>
    <row r="15888" spans="1:8" ht="15.75" customHeight="1" x14ac:dyDescent="0.25">
      <c r="A15888" s="8" t="s">
        <v>14</v>
      </c>
      <c r="B15888" s="8"/>
      <c r="C15888" s="8"/>
      <c r="D15888" s="8"/>
      <c r="E15888" s="8"/>
      <c r="F15888" s="8"/>
      <c r="G15888" s="8"/>
      <c r="H15888" s="8"/>
    </row>
    <row r="15889" spans="1:20" ht="15.75" customHeight="1" x14ac:dyDescent="0.25">
      <c r="D15889" s="4"/>
      <c r="H15889" s="4"/>
    </row>
    <row r="15890" spans="1:20" ht="15.75" customHeight="1" x14ac:dyDescent="0.25">
      <c r="A15890" s="390" t="s">
        <v>20</v>
      </c>
      <c r="B15890" s="390"/>
      <c r="C15890" s="390"/>
      <c r="D15890" s="391"/>
      <c r="E15890" s="390"/>
      <c r="F15890" s="395" t="s">
        <v>18</v>
      </c>
      <c r="G15890" s="396" t="s">
        <v>1285</v>
      </c>
      <c r="H15890" s="397"/>
    </row>
    <row r="15891" spans="1:20" ht="15.75" customHeight="1" x14ac:dyDescent="0.25">
      <c r="A15891" s="390" t="inlineStr">
        <is>
          <t>Dealer-009</t>
        </is>
      </c>
      <c r="B15891" s="390"/>
      <c r="C15891" s="390" t="inlineStr">
        <is>
          <t>ATTN: Contact-001</t>
        </is>
      </c>
      <c r="D15891" s="391"/>
      <c r="E15891" s="390"/>
      <c r="F15891" s="395" t="s">
        <v>21</v>
      </c>
      <c r="G15891" s="390" t="s">
        <v>1496</v>
      </c>
      <c r="H15891" s="391"/>
    </row>
    <row r="15892" spans="1:20" ht="15.75" customHeight="1" x14ac:dyDescent="0.25">
      <c r="A15892" s="390" t="inlineStr">
        <is>
          <t>Address line (redacted)</t>
        </is>
      </c>
      <c r="B15892" s="390"/>
      <c r="C15892" s="390"/>
      <c r="D15892" s="398"/>
      <c r="E15892" s="390"/>
      <c r="F15892" s="391"/>
      <c r="G15892" s="390"/>
      <c r="H15892" s="394"/>
    </row>
    <row r="15893" spans="1:20" ht="15.75" customHeight="1" x14ac:dyDescent="0.25">
      <c r="A15893" s="390" t="inlineStr">
        <is>
          <t>Address line (redacted)</t>
        </is>
      </c>
      <c r="B15893" s="390"/>
      <c r="C15893" s="390"/>
      <c r="D15893" s="398"/>
      <c r="E15893" s="390"/>
      <c r="F15893" s="391"/>
      <c r="G15893" s="390"/>
      <c r="H15893" s="394"/>
    </row>
    <row r="15894" spans="1:20" ht="15.75" customHeight="1" x14ac:dyDescent="0.25">
      <c r="A15894" s="390"/>
      <c r="B15894" s="390"/>
      <c r="C15894" s="7"/>
      <c r="D15894" s="398"/>
      <c r="E15894" s="390"/>
      <c r="F15894" s="391"/>
      <c r="G15894" s="390"/>
      <c r="H15894" s="394"/>
    </row>
    <row r="15895" spans="1:20" ht="15.75" customHeight="1" x14ac:dyDescent="0.25">
      <c r="A15895" s="390" t="s">
        <v>2373</v>
      </c>
      <c r="B15895" s="390"/>
      <c r="C15895" s="390"/>
      <c r="D15895" s="391"/>
      <c r="E15895" s="390"/>
      <c r="F15895" s="391"/>
      <c r="G15895" s="390"/>
      <c r="H15895" s="394"/>
    </row>
    <row r="15896" spans="1:20" ht="15.75" customHeight="1" x14ac:dyDescent="0.25">
      <c r="A15896" s="390"/>
      <c r="B15896" s="390"/>
      <c r="C15896" s="390"/>
      <c r="D15896" s="391"/>
      <c r="E15896" s="390"/>
      <c r="F15896" s="391"/>
      <c r="G15896" s="390"/>
      <c r="H15896" s="394"/>
    </row>
    <row r="15897" spans="1:20" ht="15.75" customHeight="1" x14ac:dyDescent="0.25">
      <c r="A15897" s="390" t="s">
        <v>716</v>
      </c>
      <c r="B15897" s="390"/>
      <c r="C15897" s="390"/>
      <c r="D15897" s="391"/>
      <c r="E15897" s="390"/>
      <c r="F15897" s="391"/>
      <c r="G15897" s="390"/>
      <c r="H15897" s="394"/>
    </row>
    <row r="15898" spans="1:20" ht="15.75" customHeight="1" x14ac:dyDescent="0.25">
      <c r="A15898" s="390" t="s">
        <v>717</v>
      </c>
      <c r="B15898" s="390"/>
      <c r="C15898" s="390"/>
      <c r="D15898" s="391"/>
      <c r="E15898" s="390"/>
      <c r="F15898" s="391"/>
      <c r="G15898" s="390"/>
      <c r="H15898" s="394"/>
    </row>
    <row r="15899" spans="1:20" ht="15.75" customHeight="1" x14ac:dyDescent="0.25">
      <c r="A15899" s="948" t="s">
        <v>33</v>
      </c>
      <c r="B15899" s="872" t="s">
        <v>6</v>
      </c>
      <c r="C15899" s="872"/>
      <c r="D15899" s="874" t="s">
        <v>37</v>
      </c>
      <c r="E15899" s="874" t="s">
        <v>38</v>
      </c>
      <c r="F15899" s="875" t="s">
        <v>7</v>
      </c>
      <c r="G15899" s="872" t="s">
        <v>43</v>
      </c>
      <c r="H15899" s="876" t="s">
        <v>44</v>
      </c>
    </row>
    <row r="15900" spans="1:20" ht="15.75" customHeight="1" x14ac:dyDescent="0.3">
      <c r="A15900" s="412"/>
      <c r="B15900" s="1033"/>
      <c r="C15900" s="1033"/>
      <c r="D15900" s="879"/>
      <c r="E15900" s="879"/>
      <c r="F15900" s="415"/>
      <c r="G15900" s="415"/>
      <c r="H15900" s="416"/>
    </row>
    <row r="15901" spans="1:20" ht="15.75" customHeight="1" x14ac:dyDescent="0.25">
      <c r="A15901" s="1217"/>
      <c r="B15901" s="1218" t="s">
        <v>1356</v>
      </c>
      <c r="C15901" s="1218"/>
      <c r="D15901" s="1219"/>
      <c r="E15901" s="1219"/>
      <c r="F15901" s="1219"/>
      <c r="G15901" s="1219"/>
      <c r="H15901" s="1220"/>
      <c r="I15901" s="1243"/>
      <c r="J15901" s="1243"/>
      <c r="K15901" s="1243"/>
      <c r="L15901" s="1243"/>
      <c r="M15901" s="1243"/>
      <c r="N15901" s="1243"/>
      <c r="O15901" s="1243"/>
      <c r="P15901" s="1243"/>
      <c r="Q15901" s="1243"/>
      <c r="R15901" s="1243"/>
      <c r="S15901" s="1243"/>
      <c r="T15901" s="1243"/>
    </row>
    <row r="15902" spans="1:20" ht="15.75" customHeight="1" x14ac:dyDescent="0.25">
      <c r="A15902" s="1244">
        <v>1</v>
      </c>
      <c r="B15902" s="1245" t="s">
        <v>2245</v>
      </c>
      <c r="C15902" s="1246" t="s">
        <v>1604</v>
      </c>
      <c r="D15902" s="1245">
        <v>1</v>
      </c>
      <c r="E15902" s="1245">
        <v>1</v>
      </c>
      <c r="F15902" s="1245">
        <f t="shared" ref="F15902:F15905" si="679">+E15902*D15902</f>
      </c>
      <c r="G15902" s="1245"/>
      <c r="H15902" s="1247">
        <f t="shared" ref="H15902:H15905" si="680">+G15902*F15902</f>
      </c>
      <c r="I15902" s="1243"/>
      <c r="J15902" s="1243"/>
      <c r="K15902" s="1243"/>
      <c r="L15902" s="1243"/>
      <c r="M15902" s="1243"/>
      <c r="N15902" s="1243"/>
      <c r="O15902" s="1243"/>
      <c r="P15902" s="1243"/>
      <c r="Q15902" s="1243"/>
      <c r="R15902" s="1243"/>
      <c r="S15902" s="1243"/>
      <c r="T15902" s="1243"/>
    </row>
    <row r="15903" spans="1:20" ht="15.75" customHeight="1" x14ac:dyDescent="0.25">
      <c r="A15903" s="1244">
        <v>2</v>
      </c>
      <c r="B15903" s="1245" t="s">
        <v>159</v>
      </c>
      <c r="C15903" s="1246" t="s">
        <v>1603</v>
      </c>
      <c r="D15903" s="1245">
        <v>1</v>
      </c>
      <c r="E15903" s="1245">
        <v>1</v>
      </c>
      <c r="F15903" s="1245">
        <f t="shared" si="679"/>
      </c>
      <c r="G15903" s="1245"/>
      <c r="H15903" s="1247">
        <f t="shared" si="680"/>
      </c>
      <c r="I15903" s="1243"/>
      <c r="J15903" s="1243"/>
      <c r="K15903" s="1243"/>
      <c r="L15903" s="1243"/>
      <c r="M15903" s="1243"/>
      <c r="N15903" s="1243"/>
      <c r="O15903" s="1243"/>
      <c r="P15903" s="1243"/>
      <c r="Q15903" s="1243"/>
      <c r="R15903" s="1243"/>
      <c r="S15903" s="1243"/>
      <c r="T15903" s="1243"/>
    </row>
    <row r="15904" spans="1:20" ht="15.75" customHeight="1" x14ac:dyDescent="0.25">
      <c r="A15904" s="1244">
        <v>3</v>
      </c>
      <c r="B15904" s="1245" t="s">
        <v>163</v>
      </c>
      <c r="C15904" s="1246" t="s">
        <v>1605</v>
      </c>
      <c r="D15904" s="1245">
        <v>1</v>
      </c>
      <c r="E15904" s="1245">
        <v>1</v>
      </c>
      <c r="F15904" s="1245">
        <f t="shared" si="679"/>
      </c>
      <c r="G15904" s="1245"/>
      <c r="H15904" s="1247">
        <f t="shared" si="680"/>
      </c>
      <c r="I15904" s="1243"/>
      <c r="J15904" s="1243"/>
      <c r="K15904" s="1243"/>
      <c r="L15904" s="1243"/>
      <c r="M15904" s="1243"/>
      <c r="N15904" s="1243"/>
      <c r="O15904" s="1243"/>
      <c r="P15904" s="1243"/>
      <c r="Q15904" s="1243"/>
      <c r="R15904" s="1243"/>
      <c r="S15904" s="1243"/>
      <c r="T15904" s="1243"/>
    </row>
    <row r="15905" spans="1:20" ht="76.5" customHeight="1" x14ac:dyDescent="0.25">
      <c r="A15905" s="1244">
        <v>4</v>
      </c>
      <c r="B15905" s="1245" t="s">
        <v>130</v>
      </c>
      <c r="C15905" s="1246" t="s">
        <v>1497</v>
      </c>
      <c r="D15905" s="1245">
        <v>1</v>
      </c>
      <c r="E15905" s="1245">
        <v>1</v>
      </c>
      <c r="F15905" s="1245">
        <f t="shared" si="679"/>
      </c>
      <c r="G15905" s="1245"/>
      <c r="H15905" s="1247">
        <f t="shared" si="680"/>
      </c>
      <c r="I15905" s="1243"/>
      <c r="J15905" s="1243"/>
      <c r="K15905" s="1243"/>
      <c r="L15905" s="1243"/>
      <c r="M15905" s="1243"/>
      <c r="N15905" s="1243"/>
      <c r="O15905" s="1243"/>
      <c r="P15905" s="1243"/>
      <c r="Q15905" s="1243"/>
      <c r="R15905" s="1243"/>
      <c r="S15905" s="1243"/>
      <c r="T15905" s="1243"/>
    </row>
    <row r="15906" spans="1:20" ht="15.75" customHeight="1" x14ac:dyDescent="0.25">
      <c r="A15906" s="1248" t="s">
        <v>748</v>
      </c>
      <c r="B15906" s="1249"/>
      <c r="C15906" s="1249"/>
      <c r="D15906" s="1249"/>
      <c r="E15906" s="1249"/>
      <c r="F15906" s="1249"/>
      <c r="G15906" s="1249"/>
      <c r="H15906" s="1250"/>
    </row>
    <row r="15907" spans="1:20" ht="15.75" customHeight="1" x14ac:dyDescent="0.25">
      <c r="A15907" s="1230"/>
      <c r="B15907" s="1235"/>
      <c r="C15907" s="1231"/>
      <c r="D15907" s="592"/>
      <c r="E15907" s="929"/>
      <c r="F15907" s="593"/>
      <c r="G15907" s="973"/>
      <c r="H15907" s="931"/>
    </row>
    <row r="15908" spans="1:20" ht="15.75" customHeight="1" x14ac:dyDescent="0.25">
      <c r="A15908" s="1170"/>
      <c r="B15908" s="1171"/>
      <c r="C15908" s="1172" t="s">
        <v>85</v>
      </c>
      <c r="D15908" s="725">
        <f>SUM(D15902:D15907)</f>
      </c>
      <c r="E15908" s="725"/>
      <c r="F15908" s="725">
        <f>SUM(F15902:F15907)</f>
      </c>
      <c r="G15908" s="1173"/>
      <c r="H15908" s="1174">
        <f>SUM(H15902:H15907)</f>
      </c>
    </row>
    <row r="15909" spans="1:20" ht="15.75" customHeight="1" x14ac:dyDescent="0.25">
      <c r="A15909" s="932"/>
      <c r="B15909" s="933"/>
      <c r="C15909" s="934"/>
      <c r="D15909" s="431"/>
      <c r="E15909" s="935"/>
      <c r="F15909" s="935"/>
      <c r="G15909" s="936"/>
      <c r="H15909" s="444"/>
    </row>
    <row r="15910" spans="1:20" ht="15.75" customHeight="1" x14ac:dyDescent="0.25">
      <c r="A15910" s="994"/>
      <c r="B15910" s="391"/>
      <c r="C15910" s="391"/>
      <c r="D15910" s="446" t="s">
        <v>97</v>
      </c>
      <c r="E15910" s="445" t="s">
        <v>98</v>
      </c>
      <c r="F15910" s="445"/>
      <c r="G15910" s="390"/>
      <c r="H15910" s="394"/>
    </row>
    <row r="15911" spans="1:20" ht="15.75" customHeight="1" x14ac:dyDescent="0.25">
      <c r="A15911" s="994"/>
      <c r="B15911" s="391"/>
      <c r="C15911" s="391"/>
      <c r="D15911" s="446"/>
      <c r="E15911" s="445"/>
      <c r="F15911" s="445"/>
      <c r="G15911" s="390"/>
      <c r="H15911" s="394"/>
    </row>
    <row r="15912" spans="1:20" ht="15.75" customHeight="1" x14ac:dyDescent="0.25">
      <c r="A15912" s="445"/>
      <c r="B15912" s="445"/>
      <c r="C15912" s="445"/>
      <c r="D15912" s="446"/>
      <c r="E15912" s="445"/>
      <c r="F15912" s="445"/>
      <c r="G15912" s="390"/>
      <c r="H15912" s="394"/>
    </row>
    <row r="15913" spans="1:20" ht="15.75" customHeight="1" x14ac:dyDescent="0.25">
      <c r="A15913" s="445"/>
      <c r="B15913" s="445"/>
      <c r="C15913" s="445"/>
      <c r="D15913" s="446"/>
      <c r="E15913" s="445" t="s">
        <v>99</v>
      </c>
      <c r="F15913" s="445"/>
      <c r="G15913" s="390"/>
      <c r="H15913" s="394"/>
    </row>
    <row r="15914" spans="1:20" ht="15.75" customHeight="1" x14ac:dyDescent="0.25">
      <c r="D15914" s="4"/>
      <c r="H15914" s="4"/>
    </row>
    <row r="15915" spans="1:20" ht="15.75" customHeight="1" x14ac:dyDescent="0.25">
      <c r="D15915" s="4"/>
      <c r="H15915" s="4"/>
    </row>
    <row r="15916" spans="1:20" ht="15.75" customHeight="1" x14ac:dyDescent="0.25">
      <c r="D15916" s="4"/>
      <c r="H15916" s="4"/>
    </row>
    <row r="15917" spans="1:20" ht="15.75" customHeight="1" x14ac:dyDescent="0.25">
      <c r="D15917" s="4"/>
      <c r="H15917" s="4"/>
    </row>
    <row r="15918" spans="1:20" ht="15.75" customHeight="1" x14ac:dyDescent="0.25">
      <c r="D15918" s="4"/>
      <c r="H15918" s="4"/>
    </row>
    <row r="15919" spans="1:20" ht="15.75" customHeight="1" x14ac:dyDescent="0.25">
      <c r="D15919" s="4"/>
      <c r="H15919" s="4"/>
    </row>
    <row r="15920" spans="1:20" ht="15.75" customHeight="1" x14ac:dyDescent="0.25">
      <c r="D15920" s="4"/>
      <c r="H15920" s="4"/>
    </row>
    <row r="15921" spans="1:8" ht="15.75" customHeight="1" x14ac:dyDescent="0.25">
      <c r="D15921" s="4"/>
      <c r="H15921" s="4"/>
    </row>
    <row r="15922" spans="1:8" ht="15.75" customHeight="1" x14ac:dyDescent="0.25">
      <c r="D15922" s="4"/>
      <c r="H15922" s="4"/>
    </row>
    <row r="15923" spans="1:8" ht="15.75" customHeight="1" x14ac:dyDescent="0.25">
      <c r="D15923" s="4"/>
      <c r="H15923" s="4"/>
    </row>
    <row r="15924" spans="1:8" ht="15.75" customHeight="1" x14ac:dyDescent="0.25">
      <c r="D15924" s="4"/>
      <c r="H15924" s="4"/>
    </row>
    <row r="15925" spans="1:8" ht="15.75" customHeight="1" x14ac:dyDescent="0.25">
      <c r="D15925" s="4"/>
      <c r="H15925" s="4"/>
    </row>
    <row r="15926" spans="1:8" ht="15.75" customHeight="1" x14ac:dyDescent="0.25">
      <c r="D15926" s="4"/>
      <c r="H15926" s="4"/>
    </row>
    <row r="15927" spans="1:8" ht="15.75" customHeight="1" x14ac:dyDescent="0.25">
      <c r="D15927" s="4"/>
      <c r="H15927" s="4"/>
    </row>
    <row r="15928" spans="1:8" ht="15.75" customHeight="1" x14ac:dyDescent="0.25">
      <c r="D15928" s="4"/>
      <c r="H15928" s="4"/>
    </row>
    <row r="15929" spans="1:8" ht="15.75" customHeight="1" x14ac:dyDescent="0.25">
      <c r="D15929" s="4"/>
      <c r="H15929" s="4"/>
    </row>
    <row r="15930" spans="1:8" ht="15.75" customHeight="1" x14ac:dyDescent="0.25">
      <c r="D15930" s="4"/>
      <c r="H15930" s="4"/>
    </row>
    <row r="15931" spans="1:8" ht="15.75" customHeight="1" x14ac:dyDescent="0.25">
      <c r="D15931" s="4"/>
      <c r="H15931" s="4"/>
    </row>
    <row r="15932" spans="1:8" ht="15.75" customHeight="1" x14ac:dyDescent="0.25">
      <c r="D15932" s="4"/>
      <c r="H15932" s="4"/>
    </row>
    <row r="15933" spans="1:8" ht="15.75" customHeight="1" x14ac:dyDescent="0.25">
      <c r="D15933" s="4"/>
      <c r="H15933" s="4"/>
    </row>
    <row r="15934" spans="1:8" ht="15.75" customHeight="1" x14ac:dyDescent="0.25">
      <c r="A15934" s="8" t="s">
        <v>14</v>
      </c>
      <c r="B15934" s="8"/>
      <c r="C15934" s="8"/>
      <c r="D15934" s="8"/>
      <c r="E15934" s="8"/>
      <c r="F15934" s="8"/>
      <c r="G15934" s="8"/>
      <c r="H15934" s="8"/>
    </row>
    <row r="15935" spans="1:8" ht="15.75" customHeight="1" x14ac:dyDescent="0.25">
      <c r="D15935" s="4"/>
      <c r="H15935" s="4"/>
    </row>
    <row r="15936" spans="1:8" ht="15.75" customHeight="1" x14ac:dyDescent="0.25">
      <c r="A15936" s="388" t="s">
        <v>20</v>
      </c>
      <c r="B15936" s="388"/>
      <c r="C15936" s="388"/>
      <c r="D15936" s="391"/>
      <c r="E15936" s="390"/>
      <c r="F15936" s="395" t="s">
        <v>18</v>
      </c>
      <c r="G15936" s="396" t="s">
        <v>1306</v>
      </c>
      <c r="H15936" s="397"/>
    </row>
    <row r="15937" spans="1:13" ht="15.75" customHeight="1" x14ac:dyDescent="0.25">
      <c r="A15937" s="388" t="inlineStr">
        <is>
          <t>Dealer-001</t>
        </is>
      </c>
      <c r="B15937" s="388"/>
      <c r="C15937" s="388"/>
      <c r="D15937" s="391"/>
      <c r="E15937" s="390"/>
      <c r="F15937" s="395" t="s">
        <v>21</v>
      </c>
      <c r="G15937" s="390" t="s">
        <v>2246</v>
      </c>
      <c r="H15937" s="391"/>
    </row>
    <row r="15938" spans="1:13" ht="15.75" customHeight="1" x14ac:dyDescent="0.25">
      <c r="A15938" s="388" t="inlineStr">
        <is>
          <t>Address line (redacted)</t>
        </is>
      </c>
      <c r="B15938" s="388"/>
      <c r="C15938" s="388"/>
      <c r="D15938" s="398"/>
      <c r="E15938" s="390"/>
      <c r="F15938" s="391"/>
      <c r="G15938" s="390"/>
      <c r="H15938" s="394"/>
    </row>
    <row r="15939" spans="1:13" ht="15.75" customHeight="1" x14ac:dyDescent="0.25">
      <c r="A15939" s="388"/>
      <c r="B15939" s="388"/>
      <c r="C15939" s="388"/>
      <c r="D15939" s="398"/>
      <c r="E15939" s="390"/>
      <c r="F15939" s="391"/>
      <c r="G15939" s="390"/>
      <c r="H15939" s="394"/>
    </row>
    <row r="15940" spans="1:13" ht="15.75" customHeight="1" x14ac:dyDescent="0.25">
      <c r="A15940" s="388" t="inlineStr">
        <is>
          <t>Through: Transporter-001</t>
        </is>
      </c>
      <c r="B15940" s="388"/>
      <c r="C15940" s="388"/>
      <c r="D15940" s="391"/>
      <c r="E15940" s="390"/>
      <c r="F15940" s="391"/>
      <c r="G15940" s="390"/>
      <c r="H15940" s="394"/>
    </row>
    <row r="15941" spans="1:13" ht="15.75" customHeight="1" x14ac:dyDescent="0.25">
      <c r="A15941" s="388"/>
      <c r="B15941" s="388" t="inlineStr">
        <is>
          <t>Address line (redacted)</t>
        </is>
      </c>
      <c r="C15941" s="388"/>
      <c r="D15941" s="391"/>
      <c r="E15941" s="390"/>
      <c r="F15941" s="391"/>
      <c r="G15941" s="390"/>
      <c r="H15941" s="394"/>
    </row>
    <row r="15942" spans="1:13" ht="15.75" customHeight="1" x14ac:dyDescent="0.25">
      <c r="A15942" s="388"/>
      <c r="B15942" s="388" t="inlineStr">
        <is>
          <t>Address line (redacted)</t>
        </is>
      </c>
      <c r="C15942" s="388"/>
      <c r="D15942" s="391"/>
      <c r="E15942" s="390"/>
      <c r="F15942" s="391"/>
      <c r="G15942" s="390"/>
      <c r="H15942" s="394"/>
    </row>
    <row r="15943" spans="1:13" ht="15.75" customHeight="1" x14ac:dyDescent="0.25">
      <c r="A15943" s="388"/>
      <c r="B15943" s="388"/>
      <c r="C15943" s="388"/>
      <c r="D15943" s="391"/>
      <c r="E15943" s="390"/>
      <c r="F15943" s="391"/>
      <c r="G15943" s="390"/>
      <c r="H15943" s="394"/>
    </row>
    <row r="15944" spans="1:13" ht="15.75" customHeight="1" x14ac:dyDescent="0.25">
      <c r="A15944" s="390" t="s">
        <v>2373</v>
      </c>
      <c r="B15944" s="390"/>
      <c r="C15944" s="390"/>
      <c r="D15944" s="391"/>
      <c r="E15944" s="390"/>
      <c r="F15944" s="391"/>
      <c r="G15944" s="390"/>
      <c r="H15944" s="394"/>
    </row>
    <row r="15945" spans="1:13" ht="15.75" customHeight="1" x14ac:dyDescent="0.25">
      <c r="A15945" s="390" t="s">
        <v>716</v>
      </c>
      <c r="B15945" s="390"/>
      <c r="C15945" s="390"/>
      <c r="D15945" s="391"/>
      <c r="E15945" s="390"/>
      <c r="F15945" s="391"/>
      <c r="G15945" s="390"/>
      <c r="H15945" s="394"/>
    </row>
    <row r="15946" spans="1:13" ht="15.75" customHeight="1" x14ac:dyDescent="0.25">
      <c r="A15946" s="390" t="s">
        <v>717</v>
      </c>
      <c r="B15946" s="390"/>
      <c r="C15946" s="390"/>
      <c r="D15946" s="391"/>
      <c r="E15946" s="390"/>
      <c r="F15946" s="391"/>
      <c r="G15946" s="390"/>
      <c r="H15946" s="394"/>
    </row>
    <row r="15947" spans="1:13" ht="15.75" customHeight="1" x14ac:dyDescent="0.25">
      <c r="A15947" s="390"/>
      <c r="B15947" s="390"/>
      <c r="C15947" s="390"/>
      <c r="D15947" s="391"/>
      <c r="E15947" s="390"/>
      <c r="F15947" s="391"/>
      <c r="G15947" s="390"/>
      <c r="H15947" s="394"/>
    </row>
    <row r="15948" spans="1:13" ht="15.75" customHeight="1" x14ac:dyDescent="0.25">
      <c r="A15948" s="948" t="s">
        <v>33</v>
      </c>
      <c r="B15948" s="872" t="s">
        <v>6</v>
      </c>
      <c r="C15948" s="872"/>
      <c r="D15948" s="874" t="s">
        <v>37</v>
      </c>
      <c r="E15948" s="874" t="s">
        <v>38</v>
      </c>
      <c r="F15948" s="875" t="s">
        <v>7</v>
      </c>
      <c r="G15948" s="872" t="s">
        <v>43</v>
      </c>
      <c r="H15948" s="876" t="s">
        <v>44</v>
      </c>
    </row>
    <row r="15949" spans="1:13" ht="15.75" customHeight="1" x14ac:dyDescent="0.3">
      <c r="A15949" s="412"/>
      <c r="B15949" s="1033"/>
      <c r="C15949" s="1033"/>
      <c r="D15949" s="879"/>
      <c r="E15949" s="879"/>
      <c r="F15949" s="415"/>
      <c r="G15949" s="415"/>
      <c r="H15949" s="416"/>
      <c r="I15949" s="1251"/>
      <c r="J15949" s="1251"/>
      <c r="K15949" s="1252"/>
      <c r="L15949" s="1252"/>
      <c r="M15949" s="1252"/>
    </row>
    <row r="15950" spans="1:13" ht="14.25" customHeight="1" x14ac:dyDescent="0.25">
      <c r="A15950" s="1185"/>
      <c r="B15950" s="1181" t="s">
        <v>2066</v>
      </c>
      <c r="C15950" s="1182"/>
      <c r="D15950" s="1188"/>
      <c r="E15950" s="1183"/>
      <c r="F15950" s="1183"/>
      <c r="G15950" s="1183"/>
      <c r="H15950" s="1187"/>
      <c r="I15950" s="1253"/>
      <c r="J15950" s="1253"/>
      <c r="K15950" s="1252"/>
      <c r="L15950" s="1252"/>
      <c r="M15950" s="1252"/>
    </row>
    <row r="15951" spans="1:13" ht="15.75" customHeight="1" x14ac:dyDescent="0.25">
      <c r="A15951" s="1185">
        <v>1</v>
      </c>
      <c r="B15951" s="1186" t="s">
        <v>2398</v>
      </c>
      <c r="C15951" s="1186" t="s">
        <v>57</v>
      </c>
      <c r="D15951" s="1189">
        <v>10</v>
      </c>
      <c r="E15951" s="1183">
        <v>25</v>
      </c>
      <c r="F15951" s="1183">
        <f t="shared" ref="F15951:F15953" si="681">+E15951*D15951</f>
      </c>
      <c r="G15951" s="1183">
        <v>1</v>
      </c>
      <c r="H15951" s="1187">
        <f t="shared" ref="H15951:H15953" si="682">+G15951*F15951</f>
      </c>
      <c r="I15951" s="1253"/>
      <c r="J15951" s="1253"/>
      <c r="K15951" s="1252"/>
      <c r="L15951" s="1252"/>
      <c r="M15951" s="1252"/>
    </row>
    <row r="15952" spans="1:13" ht="15.75" customHeight="1" x14ac:dyDescent="0.25">
      <c r="A15952" s="1185">
        <v>2</v>
      </c>
      <c r="B15952" s="1186" t="s">
        <v>2229</v>
      </c>
      <c r="C15952" s="1186" t="s">
        <v>109</v>
      </c>
      <c r="D15952" s="1189">
        <v>26</v>
      </c>
      <c r="E15952" s="1183">
        <v>25</v>
      </c>
      <c r="F15952" s="1183">
        <f t="shared" si="681"/>
      </c>
      <c r="G15952" s="1183">
        <v>1</v>
      </c>
      <c r="H15952" s="1187">
        <f t="shared" si="682"/>
      </c>
      <c r="I15952" s="1253"/>
      <c r="J15952" s="1253"/>
      <c r="K15952" s="1252"/>
      <c r="L15952" s="1252"/>
      <c r="M15952" s="1252"/>
    </row>
    <row r="15953" spans="1:13" ht="15.75" customHeight="1" x14ac:dyDescent="0.25">
      <c r="A15953" s="1185">
        <v>3</v>
      </c>
      <c r="B15953" s="1186" t="s">
        <v>2230</v>
      </c>
      <c r="C15953" s="1186" t="s">
        <v>425</v>
      </c>
      <c r="D15953" s="1189">
        <v>4</v>
      </c>
      <c r="E15953" s="1183">
        <v>25</v>
      </c>
      <c r="F15953" s="1183">
        <f t="shared" si="681"/>
      </c>
      <c r="G15953" s="1183">
        <v>1</v>
      </c>
      <c r="H15953" s="1187">
        <f t="shared" si="682"/>
      </c>
      <c r="I15953" s="1253"/>
      <c r="J15953" s="1253"/>
      <c r="K15953" s="1252"/>
      <c r="L15953" s="1252"/>
      <c r="M15953" s="1252"/>
    </row>
    <row r="15954" spans="1:13" ht="15.75" customHeight="1" x14ac:dyDescent="0.25">
      <c r="A15954" s="1185"/>
      <c r="B15954" s="1186"/>
      <c r="C15954" s="1186"/>
      <c r="D15954" s="1189"/>
      <c r="E15954" s="1183"/>
      <c r="F15954" s="1183"/>
      <c r="G15954" s="1183"/>
      <c r="H15954" s="1187"/>
      <c r="I15954" s="1253"/>
      <c r="J15954" s="1253"/>
      <c r="K15954" s="1252"/>
      <c r="L15954" s="1252"/>
      <c r="M15954" s="1252"/>
    </row>
    <row r="15955" spans="1:13" ht="15.75" customHeight="1" x14ac:dyDescent="0.25">
      <c r="A15955" s="1185"/>
      <c r="B15955" s="1237" t="s">
        <v>2400</v>
      </c>
      <c r="C15955" s="1238"/>
      <c r="D15955" s="1189"/>
      <c r="E15955" s="1183"/>
      <c r="F15955" s="1183"/>
      <c r="G15955" s="1183"/>
      <c r="H15955" s="1187"/>
      <c r="I15955" s="1253"/>
      <c r="J15955" s="1253"/>
      <c r="K15955" s="1252"/>
      <c r="L15955" s="1252"/>
      <c r="M15955" s="1252"/>
    </row>
    <row r="15956" spans="1:13" ht="15.75" customHeight="1" x14ac:dyDescent="0.25">
      <c r="A15956" s="1185"/>
      <c r="B15956" s="1239"/>
      <c r="C15956" s="1240"/>
      <c r="D15956" s="1189"/>
      <c r="E15956" s="1183"/>
      <c r="F15956" s="1183"/>
      <c r="G15956" s="1183"/>
      <c r="H15956" s="1187"/>
    </row>
    <row r="15957" spans="1:13" ht="15.75" customHeight="1" x14ac:dyDescent="0.25">
      <c r="A15957" s="985"/>
      <c r="B15957" s="1241"/>
      <c r="C15957" s="1242"/>
      <c r="D15957" s="1127"/>
      <c r="E15957" s="1127"/>
      <c r="F15957" s="992"/>
      <c r="G15957" s="956"/>
      <c r="H15957" s="989"/>
    </row>
    <row r="15958" spans="1:13" ht="15.75" customHeight="1" x14ac:dyDescent="0.25">
      <c r="A15958" s="412"/>
      <c r="B15958" s="913"/>
      <c r="C15958" s="1127"/>
      <c r="D15958" s="588"/>
      <c r="E15958" s="981"/>
      <c r="F15958" s="415"/>
      <c r="G15958" s="578"/>
      <c r="H15958" s="416"/>
    </row>
    <row r="15959" spans="1:13" ht="15.75" customHeight="1" x14ac:dyDescent="0.25">
      <c r="A15959" s="412"/>
      <c r="B15959" s="1127"/>
      <c r="C15959" s="1084"/>
      <c r="D15959" s="592"/>
      <c r="E15959" s="592"/>
      <c r="F15959" s="593"/>
      <c r="G15959" s="593"/>
      <c r="H15959" s="931"/>
    </row>
    <row r="15960" spans="1:13" ht="15.75" customHeight="1" x14ac:dyDescent="0.25">
      <c r="A15960" s="1170"/>
      <c r="B15960" s="1171"/>
      <c r="C15960" s="1172" t="s">
        <v>85</v>
      </c>
      <c r="D15960" s="725">
        <f>SUM(D15951:D15959)</f>
      </c>
      <c r="E15960" s="725"/>
      <c r="F15960" s="725"/>
      <c r="G15960" s="1173"/>
      <c r="H15960" s="1174">
        <f>SUM(H15950:H15959)</f>
      </c>
    </row>
    <row r="15961" spans="1:13" ht="15.75" customHeight="1" x14ac:dyDescent="0.25">
      <c r="A15961" s="932"/>
      <c r="B15961" s="933"/>
      <c r="C15961" s="934"/>
      <c r="D15961" s="431"/>
      <c r="E15961" s="935"/>
      <c r="F15961" s="935"/>
      <c r="G15961" s="936"/>
      <c r="H15961" s="444"/>
    </row>
    <row r="15962" spans="1:13" ht="15.75" customHeight="1" x14ac:dyDescent="0.25">
      <c r="A15962" s="994"/>
      <c r="B15962" s="391"/>
      <c r="C15962" s="391"/>
      <c r="D15962" s="391"/>
      <c r="E15962" s="390"/>
      <c r="F15962" s="392"/>
      <c r="G15962" s="390"/>
      <c r="H15962" s="394"/>
    </row>
    <row r="15963" spans="1:13" ht="15.75" customHeight="1" x14ac:dyDescent="0.25">
      <c r="A15963" s="445"/>
      <c r="B15963" s="445"/>
      <c r="C15963" s="445"/>
      <c r="D15963" s="446" t="s">
        <v>97</v>
      </c>
      <c r="E15963" s="445" t="s">
        <v>98</v>
      </c>
      <c r="F15963" s="445"/>
      <c r="G15963" s="390"/>
      <c r="H15963" s="394"/>
    </row>
    <row r="15964" spans="1:13" ht="15.75" customHeight="1" x14ac:dyDescent="0.25">
      <c r="A15964" s="445"/>
      <c r="B15964" s="445"/>
      <c r="C15964" s="445"/>
      <c r="D15964" s="446"/>
      <c r="E15964" s="445"/>
      <c r="F15964" s="445"/>
      <c r="G15964" s="390"/>
      <c r="H15964" s="394"/>
    </row>
    <row r="15965" spans="1:13" ht="15.75" customHeight="1" x14ac:dyDescent="0.25">
      <c r="A15965" s="445"/>
      <c r="B15965" s="445"/>
      <c r="C15965" s="445"/>
      <c r="D15965" s="446"/>
      <c r="E15965" s="445" t="s">
        <v>99</v>
      </c>
      <c r="F15965" s="445"/>
      <c r="G15965" s="390"/>
      <c r="H15965" s="394"/>
    </row>
    <row r="15966" spans="1:13" ht="15.75" customHeight="1" x14ac:dyDescent="0.25">
      <c r="D15966" s="4"/>
      <c r="H15966" s="4"/>
    </row>
    <row r="15967" spans="1:13" ht="15.75" customHeight="1" x14ac:dyDescent="0.25">
      <c r="D15967" s="4"/>
      <c r="H15967" s="4"/>
    </row>
    <row r="15968" spans="1:13" ht="15.75" customHeight="1" x14ac:dyDescent="0.25">
      <c r="D15968" s="4"/>
      <c r="H15968" s="4"/>
    </row>
    <row r="15969" spans="1:8" ht="15.75" customHeight="1" x14ac:dyDescent="0.25">
      <c r="D15969" s="4"/>
      <c r="H15969" s="4"/>
    </row>
    <row r="15970" spans="1:8" ht="15.75" customHeight="1" x14ac:dyDescent="0.25">
      <c r="D15970" s="4"/>
      <c r="H15970" s="4"/>
    </row>
    <row r="15971" spans="1:8" ht="15.75" customHeight="1" x14ac:dyDescent="0.25">
      <c r="D15971" s="4"/>
      <c r="H15971" s="4"/>
    </row>
    <row r="15972" spans="1:8" ht="15.75" customHeight="1" x14ac:dyDescent="0.25">
      <c r="D15972" s="4"/>
      <c r="H15972" s="4"/>
    </row>
    <row r="15973" spans="1:8" ht="15.75" customHeight="1" x14ac:dyDescent="0.25">
      <c r="D15973" s="4"/>
      <c r="H15973" s="4"/>
    </row>
    <row r="15974" spans="1:8" ht="15.75" customHeight="1" x14ac:dyDescent="0.25">
      <c r="D15974" s="4"/>
      <c r="H15974" s="4"/>
    </row>
    <row r="15975" spans="1:8" ht="15.75" customHeight="1" x14ac:dyDescent="0.25">
      <c r="D15975" s="4"/>
      <c r="H15975" s="4"/>
    </row>
    <row r="15976" spans="1:8" ht="15.75" customHeight="1" x14ac:dyDescent="0.25">
      <c r="D15976" s="4"/>
      <c r="H15976" s="4"/>
    </row>
    <row r="15977" spans="1:8" ht="15.75" customHeight="1" x14ac:dyDescent="0.25">
      <c r="D15977" s="4"/>
      <c r="H15977" s="4"/>
    </row>
    <row r="15978" spans="1:8" ht="15.75" customHeight="1" x14ac:dyDescent="0.25">
      <c r="D15978" s="4"/>
      <c r="H15978" s="4"/>
    </row>
    <row r="15979" spans="1:8" ht="15.75" customHeight="1" x14ac:dyDescent="0.25">
      <c r="D15979" s="4"/>
      <c r="H15979" s="4"/>
    </row>
    <row r="15980" spans="1:8" ht="15.75" customHeight="1" x14ac:dyDescent="0.25">
      <c r="A15980" s="8" t="s">
        <v>14</v>
      </c>
      <c r="B15980" s="8"/>
      <c r="C15980" s="8"/>
      <c r="D15980" s="8"/>
      <c r="E15980" s="8"/>
      <c r="F15980" s="8"/>
      <c r="G15980" s="8"/>
      <c r="H15980" s="8"/>
    </row>
    <row r="15981" spans="1:8" ht="15.75" customHeight="1" x14ac:dyDescent="0.25">
      <c r="A15981" s="388"/>
      <c r="B15981" s="388"/>
      <c r="C15981" s="388"/>
      <c r="D15981" s="389"/>
      <c r="E15981" s="388"/>
      <c r="F15981" s="388"/>
      <c r="G15981" s="388"/>
      <c r="H15981" s="8"/>
    </row>
    <row r="15982" spans="1:8" ht="15.75" customHeight="1" x14ac:dyDescent="0.25">
      <c r="A15982" s="390"/>
      <c r="B15982" s="390"/>
      <c r="C15982" s="390"/>
      <c r="D15982" s="391"/>
      <c r="E15982" s="390"/>
      <c r="F15982" s="395" t="s">
        <v>18</v>
      </c>
      <c r="G15982" s="396" t="s">
        <v>1310</v>
      </c>
      <c r="H15982" s="397"/>
    </row>
    <row r="15983" spans="1:8" ht="15.75" customHeight="1" x14ac:dyDescent="0.25">
      <c r="A15983" s="390" t="s">
        <v>20</v>
      </c>
      <c r="B15983" s="390"/>
      <c r="D15983" s="391"/>
      <c r="E15983" s="390"/>
      <c r="F15983" s="395" t="s">
        <v>21</v>
      </c>
      <c r="G15983" s="390" t="s">
        <v>1871</v>
      </c>
      <c r="H15983" s="391"/>
    </row>
    <row r="15984" spans="1:8" ht="15.75" customHeight="1" x14ac:dyDescent="0.25">
      <c r="A15984" s="390" t="inlineStr">
        <is>
          <t>Dealer-004</t>
        </is>
      </c>
      <c r="B15984" s="390"/>
      <c r="C15984" s="390"/>
      <c r="D15984" s="398"/>
      <c r="E15984" s="390"/>
      <c r="F15984" s="391"/>
      <c r="G15984" s="390"/>
      <c r="H15984" s="394"/>
    </row>
    <row r="15985" spans="1:8" ht="15.75" customHeight="1" x14ac:dyDescent="0.25">
      <c r="A15985" s="390" t="inlineStr">
        <is>
          <t>Address line (redacted)</t>
        </is>
      </c>
      <c r="B15985" s="390"/>
      <c r="C15985" s="390"/>
      <c r="D15985" s="398"/>
      <c r="E15985" s="390"/>
      <c r="F15985" s="391"/>
      <c r="G15985" s="390"/>
      <c r="H15985" s="394"/>
    </row>
    <row r="15986" spans="1:8" ht="15.75" customHeight="1" x14ac:dyDescent="0.25">
      <c r="A15986" s="390" t="inlineStr">
        <is>
          <t>Address line (redacted)</t>
        </is>
      </c>
      <c r="B15986" s="390"/>
      <c r="C15986" s="390"/>
      <c r="D15986" s="391"/>
      <c r="E15986" s="390"/>
      <c r="F15986" s="391"/>
      <c r="G15986" s="390"/>
      <c r="H15986" s="394"/>
    </row>
    <row r="15987" spans="1:8" ht="15.75" customHeight="1" x14ac:dyDescent="0.25">
      <c r="A15987" s="390"/>
      <c r="B15987" s="390"/>
      <c r="C15987" s="390"/>
      <c r="D15987" s="391"/>
      <c r="E15987" s="390"/>
      <c r="F15987" s="391"/>
      <c r="G15987" s="390"/>
      <c r="H15987" s="394"/>
    </row>
    <row r="15988" spans="1:8" ht="15.75" customHeight="1" x14ac:dyDescent="0.25">
      <c r="A15988" s="390" t="s">
        <v>30</v>
      </c>
      <c r="B15988" s="390"/>
      <c r="C15988" s="390"/>
      <c r="D15988" s="391"/>
      <c r="E15988" s="390"/>
      <c r="F15988" s="391"/>
      <c r="G15988" s="390"/>
      <c r="H15988" s="394"/>
    </row>
    <row r="15989" spans="1:8" ht="15.75" customHeight="1" x14ac:dyDescent="0.25">
      <c r="A15989" s="390" t="s">
        <v>716</v>
      </c>
      <c r="B15989" s="390"/>
      <c r="C15989" s="390"/>
      <c r="D15989" s="391"/>
      <c r="E15989" s="390"/>
      <c r="F15989" s="391"/>
      <c r="G15989" s="390"/>
      <c r="H15989" s="394"/>
    </row>
    <row r="15990" spans="1:8" ht="15.75" customHeight="1" x14ac:dyDescent="0.25">
      <c r="A15990" s="390" t="s">
        <v>717</v>
      </c>
      <c r="B15990" s="390"/>
      <c r="C15990" s="390"/>
      <c r="D15990" s="391"/>
      <c r="E15990" s="390"/>
      <c r="F15990" s="391"/>
      <c r="G15990" s="390"/>
      <c r="H15990" s="394"/>
    </row>
    <row r="15991" spans="1:8" ht="15.75" customHeight="1" x14ac:dyDescent="0.25">
      <c r="A15991" s="390"/>
      <c r="B15991" s="390"/>
      <c r="C15991" s="390"/>
      <c r="D15991" s="391"/>
      <c r="E15991" s="390"/>
      <c r="F15991" s="391"/>
      <c r="G15991" s="390"/>
      <c r="H15991" s="394"/>
    </row>
    <row r="15992" spans="1:8" ht="15.75" customHeight="1" x14ac:dyDescent="0.25">
      <c r="A15992" s="948" t="s">
        <v>33</v>
      </c>
      <c r="B15992" s="872" t="s">
        <v>6</v>
      </c>
      <c r="C15992" s="872"/>
      <c r="D15992" s="874" t="s">
        <v>37</v>
      </c>
      <c r="E15992" s="874" t="s">
        <v>38</v>
      </c>
      <c r="F15992" s="875" t="s">
        <v>7</v>
      </c>
      <c r="G15992" s="872" t="s">
        <v>43</v>
      </c>
      <c r="H15992" s="876" t="s">
        <v>44</v>
      </c>
    </row>
    <row r="15993" spans="1:8" ht="15.75" customHeight="1" x14ac:dyDescent="0.3">
      <c r="A15993" s="412"/>
      <c r="B15993" s="1033"/>
      <c r="C15993" s="1033"/>
      <c r="D15993" s="879"/>
      <c r="E15993" s="879"/>
      <c r="F15993" s="415"/>
      <c r="G15993" s="415"/>
      <c r="H15993" s="416"/>
    </row>
    <row r="15994" spans="1:8" ht="15.75" customHeight="1" x14ac:dyDescent="0.25">
      <c r="A15994" s="412"/>
      <c r="B15994" s="953" t="s">
        <v>2203</v>
      </c>
      <c r="C15994" s="953"/>
      <c r="D15994" s="626"/>
      <c r="E15994" s="930"/>
      <c r="F15994" s="415"/>
      <c r="G15994" s="415"/>
      <c r="H15994" s="416"/>
    </row>
    <row r="15995" spans="1:8" ht="15.75" customHeight="1" x14ac:dyDescent="0.25">
      <c r="A15995" s="412">
        <v>1</v>
      </c>
      <c r="B15995" s="585" t="s">
        <v>262</v>
      </c>
      <c r="C15995" s="993"/>
      <c r="D15995" s="626">
        <v>2</v>
      </c>
      <c r="E15995" s="930">
        <v>25</v>
      </c>
      <c r="F15995" s="415">
        <f>+E15995*D15995</f>
      </c>
      <c r="G15995" s="415">
        <v>1</v>
      </c>
      <c r="H15995" s="416">
        <f>+G15995*F15995</f>
      </c>
    </row>
    <row r="15996" spans="1:8" ht="15.75" customHeight="1" x14ac:dyDescent="0.25">
      <c r="A15996" s="412"/>
      <c r="B15996" s="585"/>
      <c r="C15996" s="993"/>
      <c r="D15996" s="626"/>
      <c r="E15996" s="930"/>
      <c r="F15996" s="415"/>
      <c r="G15996" s="415"/>
      <c r="H15996" s="416"/>
    </row>
    <row r="15997" spans="1:8" ht="15.75" customHeight="1" x14ac:dyDescent="0.25">
      <c r="A15997" s="412"/>
      <c r="B15997" s="585"/>
      <c r="C15997" s="993"/>
      <c r="D15997" s="626"/>
      <c r="E15997" s="930"/>
      <c r="F15997" s="415"/>
      <c r="G15997" s="415"/>
      <c r="H15997" s="416"/>
    </row>
    <row r="15998" spans="1:8" ht="15.75" customHeight="1" x14ac:dyDescent="0.25">
      <c r="A15998" s="412"/>
      <c r="B15998" s="585"/>
      <c r="C15998" s="993"/>
      <c r="D15998" s="626"/>
      <c r="E15998" s="930"/>
      <c r="F15998" s="415"/>
      <c r="G15998" s="415"/>
      <c r="H15998" s="416"/>
    </row>
    <row r="15999" spans="1:8" ht="15.75" customHeight="1" x14ac:dyDescent="0.25">
      <c r="A15999" s="412"/>
      <c r="B15999" s="585"/>
      <c r="C15999" s="993"/>
      <c r="D15999" s="626"/>
      <c r="E15999" s="930"/>
      <c r="F15999" s="415"/>
      <c r="G15999" s="415"/>
      <c r="H15999" s="416"/>
    </row>
    <row r="16000" spans="1:8" ht="15.75" customHeight="1" x14ac:dyDescent="0.25">
      <c r="A16000" s="412"/>
      <c r="B16000" s="585"/>
      <c r="C16000" s="993"/>
      <c r="D16000" s="626"/>
      <c r="E16000" s="930"/>
      <c r="F16000" s="415"/>
      <c r="G16000" s="415"/>
      <c r="H16000" s="416"/>
    </row>
    <row r="16001" spans="1:8" ht="15.75" customHeight="1" x14ac:dyDescent="0.25">
      <c r="A16001" s="412"/>
      <c r="B16001" s="585"/>
      <c r="C16001" s="993"/>
      <c r="D16001" s="626"/>
      <c r="E16001" s="930"/>
      <c r="F16001" s="415"/>
      <c r="G16001" s="415"/>
      <c r="H16001" s="416"/>
    </row>
    <row r="16002" spans="1:8" ht="15.75" customHeight="1" x14ac:dyDescent="0.25">
      <c r="A16002" s="412"/>
      <c r="B16002" s="913"/>
      <c r="C16002" s="993"/>
      <c r="D16002" s="626"/>
      <c r="E16002" s="930"/>
      <c r="F16002" s="415"/>
      <c r="G16002" s="415"/>
      <c r="H16002" s="416"/>
    </row>
    <row r="16003" spans="1:8" ht="15.75" customHeight="1" x14ac:dyDescent="0.25">
      <c r="A16003" s="412"/>
      <c r="B16003" s="1127"/>
      <c r="C16003" s="993"/>
      <c r="D16003" s="626"/>
      <c r="E16003" s="626"/>
      <c r="F16003" s="415"/>
      <c r="G16003" s="415"/>
      <c r="H16003" s="416"/>
    </row>
    <row r="16004" spans="1:8" ht="15.75" customHeight="1" x14ac:dyDescent="0.25">
      <c r="A16004" s="877"/>
      <c r="B16004" s="688"/>
      <c r="C16004" s="896" t="s">
        <v>85</v>
      </c>
      <c r="D16004" s="599"/>
      <c r="E16004" s="401"/>
      <c r="F16004" s="599"/>
      <c r="G16004" s="661"/>
      <c r="H16004" s="438">
        <f>SUM(H15994:H16003)</f>
      </c>
    </row>
    <row r="16005" spans="1:8" ht="15.75" customHeight="1" x14ac:dyDescent="0.25">
      <c r="A16005" s="932"/>
      <c r="B16005" s="933"/>
      <c r="C16005" s="934"/>
      <c r="D16005" s="431"/>
      <c r="E16005" s="935"/>
      <c r="F16005" s="935"/>
      <c r="G16005" s="936"/>
      <c r="H16005" s="444"/>
    </row>
    <row r="16006" spans="1:8" ht="15.75" customHeight="1" x14ac:dyDescent="0.25">
      <c r="A16006" s="994" t="s">
        <v>913</v>
      </c>
      <c r="B16006" s="391"/>
      <c r="C16006" s="391"/>
      <c r="D16006" s="391"/>
      <c r="E16006" s="390"/>
      <c r="F16006" s="392"/>
      <c r="G16006" s="390"/>
      <c r="H16006" s="394"/>
    </row>
    <row r="16007" spans="1:8" ht="15.75" customHeight="1" x14ac:dyDescent="0.25">
      <c r="A16007" s="445"/>
      <c r="B16007" s="445"/>
      <c r="C16007" s="445"/>
      <c r="D16007" s="446" t="s">
        <v>97</v>
      </c>
      <c r="E16007" s="445" t="s">
        <v>98</v>
      </c>
      <c r="F16007" s="445"/>
      <c r="G16007" s="390"/>
      <c r="H16007" s="394"/>
    </row>
    <row r="16008" spans="1:8" ht="15.75" customHeight="1" x14ac:dyDescent="0.25">
      <c r="A16008" s="445"/>
      <c r="B16008" s="445"/>
      <c r="C16008" s="445"/>
      <c r="D16008" s="446"/>
      <c r="E16008" s="445"/>
      <c r="F16008" s="445"/>
      <c r="G16008" s="390"/>
      <c r="H16008" s="394"/>
    </row>
    <row r="16009" spans="1:8" ht="15.75" customHeight="1" x14ac:dyDescent="0.25">
      <c r="A16009" s="445"/>
      <c r="B16009" s="445"/>
      <c r="C16009" s="445"/>
      <c r="D16009" s="446"/>
      <c r="E16009" s="445"/>
      <c r="F16009" s="445"/>
      <c r="G16009" s="390"/>
      <c r="H16009" s="394"/>
    </row>
    <row r="16010" spans="1:8" ht="15.75" customHeight="1" x14ac:dyDescent="0.25">
      <c r="A16010" s="445"/>
      <c r="B16010" s="445"/>
      <c r="C16010" s="445"/>
      <c r="D16010" s="446"/>
      <c r="E16010" s="445" t="s">
        <v>99</v>
      </c>
      <c r="F16010" s="445"/>
      <c r="G16010" s="390"/>
      <c r="H16010" s="394"/>
    </row>
    <row r="16011" spans="1:8" ht="15.75" customHeight="1" x14ac:dyDescent="0.25">
      <c r="D16011" s="4"/>
      <c r="H16011" s="4"/>
    </row>
    <row r="16012" spans="1:8" ht="15.75" customHeight="1" x14ac:dyDescent="0.25">
      <c r="D16012" s="4"/>
      <c r="H16012" s="4"/>
    </row>
    <row r="16013" spans="1:8" ht="15.75" customHeight="1" x14ac:dyDescent="0.25">
      <c r="D16013" s="4"/>
      <c r="H16013" s="4"/>
    </row>
    <row r="16014" spans="1:8" ht="15.75" customHeight="1" x14ac:dyDescent="0.25">
      <c r="D16014" s="4"/>
      <c r="H16014" s="4"/>
    </row>
    <row r="16015" spans="1:8" ht="15.75" customHeight="1" x14ac:dyDescent="0.25">
      <c r="D16015" s="4"/>
      <c r="H16015" s="4"/>
    </row>
    <row r="16016" spans="1:8" ht="15.75" customHeight="1" x14ac:dyDescent="0.25">
      <c r="D16016" s="4"/>
      <c r="H16016" s="4"/>
    </row>
    <row r="16017" spans="1:8" ht="15.75" customHeight="1" x14ac:dyDescent="0.25">
      <c r="D16017" s="4"/>
      <c r="H16017" s="4"/>
    </row>
    <row r="16018" spans="1:8" ht="15.75" customHeight="1" x14ac:dyDescent="0.25">
      <c r="D16018" s="4"/>
      <c r="H16018" s="4"/>
    </row>
    <row r="16019" spans="1:8" ht="15.75" customHeight="1" x14ac:dyDescent="0.25">
      <c r="D16019" s="4"/>
      <c r="H16019" s="4"/>
    </row>
    <row r="16020" spans="1:8" ht="15.75" customHeight="1" x14ac:dyDescent="0.25">
      <c r="D16020" s="4"/>
      <c r="H16020" s="4"/>
    </row>
    <row r="16021" spans="1:8" ht="15.75" customHeight="1" x14ac:dyDescent="0.25">
      <c r="D16021" s="4"/>
      <c r="H16021" s="4"/>
    </row>
    <row r="16022" spans="1:8" ht="15.75" customHeight="1" x14ac:dyDescent="0.25">
      <c r="D16022" s="4"/>
      <c r="H16022" s="4"/>
    </row>
    <row r="16023" spans="1:8" ht="15.75" customHeight="1" x14ac:dyDescent="0.25">
      <c r="D16023" s="4"/>
      <c r="H16023" s="4"/>
    </row>
    <row r="16024" spans="1:8" ht="15.75" customHeight="1" x14ac:dyDescent="0.25">
      <c r="D16024" s="4"/>
      <c r="H16024" s="4"/>
    </row>
    <row r="16025" spans="1:8" ht="15.75" customHeight="1" x14ac:dyDescent="0.25">
      <c r="D16025" s="4"/>
      <c r="H16025" s="4"/>
    </row>
    <row r="16026" spans="1:8" ht="15.75" customHeight="1" x14ac:dyDescent="0.25">
      <c r="A16026" s="8" t="s">
        <v>14</v>
      </c>
      <c r="B16026" s="8"/>
      <c r="C16026" s="8"/>
      <c r="D16026" s="8"/>
      <c r="E16026" s="8"/>
      <c r="F16026" s="8"/>
      <c r="G16026" s="8"/>
      <c r="H16026" s="8"/>
    </row>
    <row r="16027" spans="1:8" ht="15.75" customHeight="1" x14ac:dyDescent="0.25">
      <c r="A16027" s="388"/>
      <c r="B16027" s="388"/>
      <c r="C16027" s="388"/>
      <c r="D16027" s="389"/>
      <c r="E16027" s="388"/>
      <c r="F16027" s="388"/>
      <c r="G16027" s="388"/>
      <c r="H16027" s="8"/>
    </row>
    <row r="16028" spans="1:8" ht="15.75" customHeight="1" x14ac:dyDescent="0.25">
      <c r="A16028" s="390"/>
      <c r="B16028" s="390"/>
      <c r="C16028" s="390"/>
      <c r="D16028" s="391"/>
      <c r="E16028" s="390"/>
      <c r="F16028" s="395" t="s">
        <v>18</v>
      </c>
      <c r="G16028" s="396" t="s">
        <v>1310</v>
      </c>
      <c r="H16028" s="397"/>
    </row>
    <row r="16029" spans="1:8" ht="15.75" customHeight="1" x14ac:dyDescent="0.25">
      <c r="A16029" s="390" t="s">
        <v>20</v>
      </c>
      <c r="B16029" s="390"/>
      <c r="D16029" s="391"/>
      <c r="E16029" s="390"/>
      <c r="F16029" s="395" t="s">
        <v>21</v>
      </c>
      <c r="G16029" s="390" t="s">
        <v>1994</v>
      </c>
      <c r="H16029" s="391"/>
    </row>
    <row r="16030" spans="1:8" ht="15.75" customHeight="1" x14ac:dyDescent="0.25">
      <c r="A16030" s="390" t="inlineStr">
        <is>
          <t>Dealer-018</t>
        </is>
      </c>
      <c r="B16030" s="390"/>
      <c r="C16030" s="390"/>
      <c r="D16030" s="398"/>
      <c r="E16030" s="390"/>
      <c r="F16030" s="391"/>
      <c r="G16030" s="390"/>
      <c r="H16030" s="394"/>
    </row>
    <row r="16031" spans="1:8" ht="15.75" customHeight="1" x14ac:dyDescent="0.25">
      <c r="A16031" s="390" t="inlineStr">
        <is>
          <t>Address line (redacted)</t>
        </is>
      </c>
      <c r="B16031" s="390"/>
      <c r="C16031" s="390"/>
      <c r="D16031" s="398"/>
      <c r="E16031" s="390"/>
      <c r="F16031" s="391"/>
      <c r="G16031" s="390"/>
      <c r="H16031" s="394"/>
    </row>
    <row r="16032" spans="1:8" ht="15.75" customHeight="1" x14ac:dyDescent="0.25">
      <c r="A16032" s="390"/>
      <c r="B16032" s="390"/>
      <c r="C16032" s="390"/>
      <c r="D16032" s="391"/>
      <c r="E16032" s="390"/>
      <c r="F16032" s="391"/>
      <c r="G16032" s="390"/>
      <c r="H16032" s="394"/>
    </row>
    <row r="16033" spans="1:8" ht="15.75" customHeight="1" x14ac:dyDescent="0.25">
      <c r="A16033" s="390" t="s">
        <v>30</v>
      </c>
      <c r="B16033" s="390"/>
      <c r="C16033" s="390"/>
      <c r="D16033" s="391"/>
      <c r="E16033" s="390"/>
      <c r="F16033" s="391"/>
      <c r="G16033" s="390"/>
      <c r="H16033" s="394"/>
    </row>
    <row r="16034" spans="1:8" ht="15.75" customHeight="1" x14ac:dyDescent="0.25">
      <c r="A16034" s="390"/>
      <c r="B16034" s="390"/>
      <c r="C16034" s="390"/>
      <c r="D16034" s="391"/>
      <c r="E16034" s="390"/>
      <c r="F16034" s="391"/>
      <c r="G16034" s="390"/>
      <c r="H16034" s="394"/>
    </row>
    <row r="16035" spans="1:8" ht="15.75" customHeight="1" x14ac:dyDescent="0.25">
      <c r="A16035" s="390" t="s">
        <v>716</v>
      </c>
      <c r="B16035" s="390"/>
      <c r="C16035" s="390"/>
      <c r="D16035" s="391"/>
      <c r="E16035" s="390"/>
      <c r="F16035" s="391"/>
      <c r="G16035" s="390"/>
      <c r="H16035" s="394"/>
    </row>
    <row r="16036" spans="1:8" ht="15.75" customHeight="1" x14ac:dyDescent="0.25">
      <c r="A16036" s="390" t="s">
        <v>717</v>
      </c>
      <c r="B16036" s="390"/>
      <c r="C16036" s="390"/>
      <c r="D16036" s="391"/>
      <c r="E16036" s="390"/>
      <c r="F16036" s="391"/>
      <c r="G16036" s="390"/>
      <c r="H16036" s="394"/>
    </row>
    <row r="16037" spans="1:8" ht="15.75" customHeight="1" x14ac:dyDescent="0.25">
      <c r="A16037" s="390"/>
      <c r="B16037" s="390"/>
      <c r="C16037" s="390"/>
      <c r="D16037" s="391"/>
      <c r="E16037" s="390"/>
      <c r="F16037" s="391"/>
      <c r="G16037" s="390"/>
      <c r="H16037" s="394"/>
    </row>
    <row r="16038" spans="1:8" ht="15.75" customHeight="1" x14ac:dyDescent="0.25">
      <c r="A16038" s="948" t="s">
        <v>33</v>
      </c>
      <c r="B16038" s="872" t="s">
        <v>6</v>
      </c>
      <c r="C16038" s="872"/>
      <c r="D16038" s="874" t="s">
        <v>37</v>
      </c>
      <c r="E16038" s="874" t="s">
        <v>38</v>
      </c>
      <c r="F16038" s="875" t="s">
        <v>7</v>
      </c>
      <c r="G16038" s="872" t="s">
        <v>43</v>
      </c>
      <c r="H16038" s="876" t="s">
        <v>44</v>
      </c>
    </row>
    <row r="16039" spans="1:8" ht="15.75" customHeight="1" x14ac:dyDescent="0.3">
      <c r="A16039" s="412"/>
      <c r="B16039" s="1033"/>
      <c r="C16039" s="1033"/>
      <c r="D16039" s="879"/>
      <c r="E16039" s="879"/>
      <c r="F16039" s="415"/>
      <c r="G16039" s="415"/>
      <c r="H16039" s="416"/>
    </row>
    <row r="16040" spans="1:8" ht="15.75" customHeight="1" x14ac:dyDescent="0.25">
      <c r="A16040" s="412"/>
      <c r="B16040" s="953" t="s">
        <v>1102</v>
      </c>
      <c r="C16040" s="953"/>
      <c r="D16040" s="626"/>
      <c r="E16040" s="930"/>
      <c r="F16040" s="415"/>
      <c r="G16040" s="415"/>
      <c r="H16040" s="416"/>
    </row>
    <row r="16041" spans="1:8" ht="15.75" customHeight="1" x14ac:dyDescent="0.25">
      <c r="A16041" s="412">
        <v>1</v>
      </c>
      <c r="B16041" s="585" t="s">
        <v>301</v>
      </c>
      <c r="C16041" s="913" t="s">
        <v>66</v>
      </c>
      <c r="D16041" s="626">
        <v>1</v>
      </c>
      <c r="E16041" s="930">
        <v>5</v>
      </c>
      <c r="F16041" s="415">
        <f>+E16041*D16041</f>
      </c>
      <c r="G16041" s="415">
        <v>1</v>
      </c>
      <c r="H16041" s="416">
        <f>+G16041*F16041</f>
      </c>
    </row>
    <row r="16042" spans="1:8" ht="15.75" customHeight="1" x14ac:dyDescent="0.25">
      <c r="A16042" s="412"/>
      <c r="B16042" s="585"/>
      <c r="C16042" s="993"/>
      <c r="D16042" s="626"/>
      <c r="E16042" s="930"/>
      <c r="F16042" s="415"/>
      <c r="G16042" s="415"/>
      <c r="H16042" s="416"/>
    </row>
    <row r="16043" spans="1:8" ht="15.75" customHeight="1" x14ac:dyDescent="0.25">
      <c r="A16043" s="412"/>
      <c r="B16043" s="585"/>
      <c r="C16043" s="993"/>
      <c r="D16043" s="626"/>
      <c r="E16043" s="930"/>
      <c r="F16043" s="415"/>
      <c r="G16043" s="415"/>
      <c r="H16043" s="416"/>
    </row>
    <row r="16044" spans="1:8" ht="15.75" customHeight="1" x14ac:dyDescent="0.25">
      <c r="A16044" s="412"/>
      <c r="B16044" s="1175" t="s">
        <v>2401</v>
      </c>
      <c r="C16044" s="993"/>
      <c r="D16044" s="626"/>
      <c r="E16044" s="930"/>
      <c r="F16044" s="415"/>
      <c r="G16044" s="415"/>
      <c r="H16044" s="416"/>
    </row>
    <row r="16045" spans="1:8" ht="15.75" customHeight="1" x14ac:dyDescent="0.25">
      <c r="A16045" s="412"/>
      <c r="B16045" s="1176"/>
      <c r="C16045" s="993"/>
      <c r="D16045" s="626"/>
      <c r="E16045" s="930"/>
      <c r="F16045" s="415"/>
      <c r="G16045" s="415"/>
      <c r="H16045" s="416"/>
    </row>
    <row r="16046" spans="1:8" ht="15.75" customHeight="1" x14ac:dyDescent="0.25">
      <c r="A16046" s="412"/>
      <c r="B16046" s="1177"/>
      <c r="C16046" s="993"/>
      <c r="D16046" s="626"/>
      <c r="E16046" s="930"/>
      <c r="F16046" s="415"/>
      <c r="G16046" s="415"/>
      <c r="H16046" s="416"/>
    </row>
    <row r="16047" spans="1:8" ht="15.75" customHeight="1" x14ac:dyDescent="0.25">
      <c r="A16047" s="412"/>
      <c r="B16047" s="585"/>
      <c r="C16047" s="993"/>
      <c r="D16047" s="626"/>
      <c r="E16047" s="930"/>
      <c r="F16047" s="415"/>
      <c r="G16047" s="415"/>
      <c r="H16047" s="416"/>
    </row>
    <row r="16048" spans="1:8" ht="15.75" customHeight="1" x14ac:dyDescent="0.25">
      <c r="A16048" s="412"/>
      <c r="B16048" s="913"/>
      <c r="C16048" s="993"/>
      <c r="D16048" s="626"/>
      <c r="E16048" s="930"/>
      <c r="F16048" s="415"/>
      <c r="G16048" s="415"/>
      <c r="H16048" s="416"/>
    </row>
    <row r="16049" spans="1:8" ht="15.75" customHeight="1" x14ac:dyDescent="0.25">
      <c r="A16049" s="412"/>
      <c r="B16049" s="1127"/>
      <c r="C16049" s="993"/>
      <c r="D16049" s="626"/>
      <c r="E16049" s="626"/>
      <c r="F16049" s="415"/>
      <c r="G16049" s="415"/>
      <c r="H16049" s="416"/>
    </row>
    <row r="16050" spans="1:8" ht="15.75" customHeight="1" x14ac:dyDescent="0.25">
      <c r="A16050" s="877"/>
      <c r="B16050" s="688"/>
      <c r="C16050" s="896" t="s">
        <v>85</v>
      </c>
      <c r="D16050" s="599"/>
      <c r="E16050" s="401"/>
      <c r="F16050" s="599"/>
      <c r="G16050" s="661"/>
      <c r="H16050" s="438">
        <f>SUM(H16040:H16049)</f>
      </c>
    </row>
    <row r="16051" spans="1:8" ht="15.75" customHeight="1" x14ac:dyDescent="0.25">
      <c r="A16051" s="932"/>
      <c r="B16051" s="933"/>
      <c r="C16051" s="934"/>
      <c r="D16051" s="431"/>
      <c r="E16051" s="935"/>
      <c r="F16051" s="935"/>
      <c r="G16051" s="936"/>
      <c r="H16051" s="444"/>
    </row>
    <row r="16052" spans="1:8" ht="15.75" customHeight="1" x14ac:dyDescent="0.25">
      <c r="A16052" s="994" t="s">
        <v>913</v>
      </c>
      <c r="B16052" s="391"/>
      <c r="C16052" s="391"/>
      <c r="D16052" s="391"/>
      <c r="E16052" s="390"/>
      <c r="F16052" s="392"/>
      <c r="G16052" s="390"/>
      <c r="H16052" s="394"/>
    </row>
    <row r="16053" spans="1:8" ht="15.75" customHeight="1" x14ac:dyDescent="0.25">
      <c r="A16053" s="445"/>
      <c r="B16053" s="445"/>
      <c r="C16053" s="445"/>
      <c r="D16053" s="446" t="s">
        <v>97</v>
      </c>
      <c r="E16053" s="445" t="s">
        <v>98</v>
      </c>
      <c r="F16053" s="445"/>
      <c r="G16053" s="390"/>
      <c r="H16053" s="394"/>
    </row>
    <row r="16054" spans="1:8" ht="15.75" customHeight="1" x14ac:dyDescent="0.25">
      <c r="A16054" s="445"/>
      <c r="B16054" s="445"/>
      <c r="C16054" s="445"/>
      <c r="D16054" s="446"/>
      <c r="E16054" s="445"/>
      <c r="F16054" s="445"/>
      <c r="G16054" s="390"/>
      <c r="H16054" s="394"/>
    </row>
    <row r="16055" spans="1:8" ht="15.75" customHeight="1" x14ac:dyDescent="0.25">
      <c r="A16055" s="445"/>
      <c r="B16055" s="445"/>
      <c r="C16055" s="445"/>
      <c r="D16055" s="446"/>
      <c r="E16055" s="445"/>
      <c r="F16055" s="445"/>
      <c r="G16055" s="390"/>
      <c r="H16055" s="394"/>
    </row>
    <row r="16056" spans="1:8" ht="15.75" customHeight="1" x14ac:dyDescent="0.25">
      <c r="A16056" s="445"/>
      <c r="B16056" s="445"/>
      <c r="C16056" s="445"/>
      <c r="D16056" s="446"/>
      <c r="E16056" s="445" t="s">
        <v>99</v>
      </c>
      <c r="F16056" s="445"/>
      <c r="G16056" s="390"/>
      <c r="H16056" s="394"/>
    </row>
    <row r="16057" spans="1:8" ht="15.75" customHeight="1" x14ac:dyDescent="0.25">
      <c r="D16057" s="4"/>
      <c r="H16057" s="4"/>
    </row>
    <row r="16058" spans="1:8" ht="15.75" customHeight="1" x14ac:dyDescent="0.25">
      <c r="D16058" s="4"/>
      <c r="H16058" s="4"/>
    </row>
    <row r="16059" spans="1:8" ht="15.75" customHeight="1" x14ac:dyDescent="0.25">
      <c r="D16059" s="4"/>
      <c r="H16059" s="4"/>
    </row>
    <row r="16060" spans="1:8" ht="15.75" customHeight="1" x14ac:dyDescent="0.25">
      <c r="D16060" s="4"/>
      <c r="H16060" s="4"/>
    </row>
    <row r="16061" spans="1:8" ht="15.75" customHeight="1" x14ac:dyDescent="0.25">
      <c r="D16061" s="4"/>
      <c r="H16061" s="4"/>
    </row>
    <row r="16062" spans="1:8" ht="15.75" customHeight="1" x14ac:dyDescent="0.25">
      <c r="D16062" s="4"/>
      <c r="H16062" s="4"/>
    </row>
    <row r="16063" spans="1:8" ht="15.75" customHeight="1" x14ac:dyDescent="0.25">
      <c r="D16063" s="4"/>
      <c r="H16063" s="4"/>
    </row>
    <row r="16064" spans="1:8" ht="15.75" customHeight="1" x14ac:dyDescent="0.25">
      <c r="D16064" s="4"/>
      <c r="H16064" s="4"/>
    </row>
    <row r="16065" spans="1:8" ht="15.75" customHeight="1" x14ac:dyDescent="0.25">
      <c r="D16065" s="4"/>
      <c r="H16065" s="4"/>
    </row>
    <row r="16066" spans="1:8" ht="15.75" customHeight="1" x14ac:dyDescent="0.25">
      <c r="A16066" s="8" t="s">
        <v>14</v>
      </c>
      <c r="B16066" s="8"/>
      <c r="C16066" s="8"/>
      <c r="D16066" s="8"/>
      <c r="E16066" s="8"/>
      <c r="F16066" s="8"/>
      <c r="G16066" s="8"/>
      <c r="H16066" s="8"/>
    </row>
    <row r="16067" spans="1:8" ht="15.75" customHeight="1" x14ac:dyDescent="0.25">
      <c r="D16067" s="4"/>
      <c r="H16067" s="4"/>
    </row>
    <row r="16068" spans="1:8" ht="15.75" customHeight="1" x14ac:dyDescent="0.25">
      <c r="A16068" s="390" t="s">
        <v>20</v>
      </c>
      <c r="B16068" s="390"/>
      <c r="C16068" s="388"/>
      <c r="D16068" s="391"/>
      <c r="E16068" s="390"/>
      <c r="F16068" s="395" t="s">
        <v>18</v>
      </c>
      <c r="G16068" s="396" t="s">
        <v>524</v>
      </c>
      <c r="H16068" s="397"/>
    </row>
    <row r="16069" spans="1:8" ht="15.75" customHeight="1" x14ac:dyDescent="0.25">
      <c r="A16069" s="390" t="inlineStr">
        <is>
          <t>Dealer-003</t>
        </is>
      </c>
      <c r="B16069" s="390"/>
      <c r="C16069" s="388"/>
      <c r="D16069" s="391"/>
      <c r="E16069" s="390"/>
      <c r="F16069" s="395" t="s">
        <v>21</v>
      </c>
      <c r="G16069" s="390" t="s">
        <v>2025</v>
      </c>
      <c r="H16069" s="391"/>
    </row>
    <row r="16070" spans="1:8" ht="15.75" customHeight="1" x14ac:dyDescent="0.25">
      <c r="A16070" s="390" t="inlineStr">
        <is>
          <t>Address line (redacted)</t>
        </is>
      </c>
      <c r="B16070" s="390"/>
      <c r="C16070" s="388"/>
      <c r="D16070" s="398"/>
      <c r="E16070" s="390"/>
      <c r="F16070" s="391"/>
      <c r="G16070" s="390"/>
      <c r="H16070" s="394"/>
    </row>
    <row r="16071" spans="1:8" ht="15.75" customHeight="1" x14ac:dyDescent="0.25">
      <c r="A16071" s="390" t="inlineStr">
        <is>
          <t>Address line (redacted)</t>
        </is>
      </c>
      <c r="B16071" s="390"/>
      <c r="C16071" s="7"/>
      <c r="D16071" s="398"/>
      <c r="E16071" s="390"/>
      <c r="F16071" s="391"/>
      <c r="G16071" s="390"/>
      <c r="H16071" s="394"/>
    </row>
    <row r="16072" spans="1:8" ht="15.75" customHeight="1" x14ac:dyDescent="0.25">
      <c r="A16072" s="390"/>
      <c r="B16072" s="390"/>
      <c r="C16072" s="7"/>
      <c r="D16072" s="398"/>
      <c r="E16072" s="390"/>
      <c r="F16072" s="391"/>
      <c r="G16072" s="390"/>
      <c r="H16072" s="394"/>
    </row>
    <row r="16073" spans="1:8" ht="15.75" customHeight="1" x14ac:dyDescent="0.25">
      <c r="A16073" s="390" t="s">
        <v>2373</v>
      </c>
      <c r="B16073" s="390"/>
      <c r="C16073" s="390"/>
      <c r="D16073" s="391"/>
      <c r="E16073" s="390"/>
      <c r="F16073" s="391"/>
      <c r="G16073" s="390"/>
      <c r="H16073" s="394"/>
    </row>
    <row r="16074" spans="1:8" ht="15.75" customHeight="1" x14ac:dyDescent="0.25">
      <c r="A16074" s="390"/>
      <c r="B16074" s="390"/>
      <c r="C16074" s="390"/>
      <c r="D16074" s="391"/>
      <c r="E16074" s="390"/>
      <c r="F16074" s="391"/>
      <c r="G16074" s="390"/>
      <c r="H16074" s="394"/>
    </row>
    <row r="16075" spans="1:8" ht="15.75" customHeight="1" x14ac:dyDescent="0.25">
      <c r="A16075" s="390" t="s">
        <v>716</v>
      </c>
      <c r="B16075" s="390"/>
      <c r="C16075" s="390"/>
      <c r="D16075" s="391"/>
      <c r="E16075" s="390"/>
      <c r="F16075" s="391"/>
      <c r="G16075" s="390"/>
      <c r="H16075" s="394"/>
    </row>
    <row r="16076" spans="1:8" ht="15.75" customHeight="1" x14ac:dyDescent="0.25">
      <c r="A16076" s="390" t="s">
        <v>717</v>
      </c>
      <c r="B16076" s="390"/>
      <c r="C16076" s="390"/>
      <c r="D16076" s="391"/>
      <c r="E16076" s="390"/>
      <c r="F16076" s="391"/>
      <c r="G16076" s="390"/>
      <c r="H16076" s="394"/>
    </row>
    <row r="16077" spans="1:8" ht="15.75" customHeight="1" x14ac:dyDescent="0.25">
      <c r="A16077" s="948" t="s">
        <v>33</v>
      </c>
      <c r="B16077" s="872" t="s">
        <v>6</v>
      </c>
      <c r="C16077" s="872"/>
      <c r="D16077" s="874" t="s">
        <v>37</v>
      </c>
      <c r="E16077" s="874" t="s">
        <v>38</v>
      </c>
      <c r="F16077" s="875" t="s">
        <v>7</v>
      </c>
      <c r="G16077" s="872" t="s">
        <v>43</v>
      </c>
      <c r="H16077" s="876" t="s">
        <v>44</v>
      </c>
    </row>
    <row r="16078" spans="1:8" ht="15.75" customHeight="1" x14ac:dyDescent="0.3">
      <c r="A16078" s="412"/>
      <c r="B16078" s="1033"/>
      <c r="C16078" s="1033"/>
      <c r="D16078" s="879"/>
      <c r="E16078" s="879"/>
      <c r="F16078" s="415"/>
      <c r="G16078" s="415"/>
      <c r="H16078" s="416"/>
    </row>
    <row r="16079" spans="1:8" ht="15.75" customHeight="1" x14ac:dyDescent="0.25">
      <c r="A16079" s="1217"/>
      <c r="B16079" s="1218" t="s">
        <v>1102</v>
      </c>
      <c r="C16079" s="1218"/>
      <c r="D16079" s="1219"/>
      <c r="E16079" s="1219"/>
      <c r="F16079" s="1219"/>
      <c r="G16079" s="1219"/>
      <c r="H16079" s="1220"/>
    </row>
    <row r="16080" spans="1:8" ht="15.75" customHeight="1" x14ac:dyDescent="0.25">
      <c r="A16080" s="1221">
        <v>1</v>
      </c>
      <c r="B16080" s="1254" t="s">
        <v>1618</v>
      </c>
      <c r="C16080" s="1223"/>
      <c r="D16080" s="1127">
        <v>38</v>
      </c>
      <c r="E16080" s="1127">
        <v>5</v>
      </c>
      <c r="F16080" s="1127">
        <f t="shared" ref="F16080:F16083" si="683">+E16080*D16080</f>
      </c>
      <c r="G16080" s="1224">
        <v>1</v>
      </c>
      <c r="H16080" s="989">
        <f t="shared" ref="H16080:H16083" si="684">+G16080*F16080</f>
      </c>
    </row>
    <row r="16081" spans="1:8" ht="15.75" customHeight="1" x14ac:dyDescent="0.25">
      <c r="A16081" s="1221">
        <v>2</v>
      </c>
      <c r="B16081" s="1254" t="s">
        <v>1618</v>
      </c>
      <c r="C16081" s="1223"/>
      <c r="D16081" s="1127">
        <v>1</v>
      </c>
      <c r="E16081" s="1127">
        <v>2</v>
      </c>
      <c r="F16081" s="1127">
        <f t="shared" si="683"/>
      </c>
      <c r="G16081" s="1224">
        <v>1</v>
      </c>
      <c r="H16081" s="989">
        <f t="shared" si="684"/>
      </c>
    </row>
    <row r="16082" spans="1:8" ht="15.75" customHeight="1" x14ac:dyDescent="0.25">
      <c r="A16082" s="1221">
        <v>3</v>
      </c>
      <c r="B16082" s="1254" t="s">
        <v>655</v>
      </c>
      <c r="C16082" s="1127" t="s">
        <v>94</v>
      </c>
      <c r="D16082" s="1127">
        <v>2</v>
      </c>
      <c r="E16082" s="1127">
        <v>5</v>
      </c>
      <c r="F16082" s="1127">
        <f t="shared" si="683"/>
      </c>
      <c r="G16082" s="1224">
        <v>1</v>
      </c>
      <c r="H16082" s="989">
        <f t="shared" si="684"/>
      </c>
    </row>
    <row r="16083" spans="1:8" ht="15.75" customHeight="1" x14ac:dyDescent="0.25">
      <c r="A16083" s="1221">
        <v>4</v>
      </c>
      <c r="B16083" s="1254" t="s">
        <v>68</v>
      </c>
      <c r="C16083" s="1127" t="s">
        <v>91</v>
      </c>
      <c r="D16083" s="1127">
        <v>10</v>
      </c>
      <c r="E16083" s="1127">
        <v>5</v>
      </c>
      <c r="F16083" s="1127">
        <f t="shared" si="683"/>
      </c>
      <c r="G16083" s="1224">
        <v>1</v>
      </c>
      <c r="H16083" s="989">
        <f t="shared" si="684"/>
      </c>
    </row>
    <row r="16084" spans="1:8" ht="15.75" customHeight="1" x14ac:dyDescent="0.25">
      <c r="A16084" s="1221"/>
      <c r="B16084" s="1222"/>
      <c r="C16084" s="1223"/>
      <c r="D16084" s="1127"/>
      <c r="E16084" s="1127"/>
      <c r="F16084" s="1127"/>
      <c r="G16084" s="1224"/>
      <c r="H16084" s="989"/>
    </row>
    <row r="16085" spans="1:8" ht="15.75" customHeight="1" x14ac:dyDescent="0.25">
      <c r="A16085" s="1221"/>
      <c r="B16085" s="1255" t="s">
        <v>2402</v>
      </c>
      <c r="C16085" s="1223"/>
      <c r="D16085" s="1127"/>
      <c r="E16085" s="1127"/>
      <c r="F16085" s="1127"/>
      <c r="G16085" s="1224"/>
      <c r="H16085" s="989"/>
    </row>
    <row r="16086" spans="1:8" ht="15.75" customHeight="1" x14ac:dyDescent="0.25">
      <c r="A16086" s="1221"/>
      <c r="B16086" s="1256"/>
      <c r="C16086" s="1223"/>
      <c r="D16086" s="1127"/>
      <c r="E16086" s="1127"/>
      <c r="F16086" s="1127"/>
      <c r="G16086" s="1224"/>
      <c r="H16086" s="989"/>
    </row>
    <row r="16087" spans="1:8" ht="15.75" customHeight="1" x14ac:dyDescent="0.25">
      <c r="A16087" s="1221"/>
      <c r="B16087" s="1257"/>
      <c r="C16087" s="1223"/>
      <c r="D16087" s="1127"/>
      <c r="E16087" s="1127"/>
      <c r="F16087" s="992"/>
      <c r="G16087" s="1224"/>
      <c r="H16087" s="989"/>
    </row>
    <row r="16088" spans="1:8" ht="15.75" customHeight="1" x14ac:dyDescent="0.25">
      <c r="A16088" s="1221"/>
      <c r="B16088" s="1222"/>
      <c r="C16088" s="1223"/>
      <c r="D16088" s="1127"/>
      <c r="E16088" s="358"/>
      <c r="F16088" s="992"/>
      <c r="G16088" s="1224"/>
      <c r="H16088" s="989"/>
    </row>
    <row r="16089" spans="1:8" ht="15.75" customHeight="1" x14ac:dyDescent="0.25">
      <c r="A16089" s="1221"/>
      <c r="B16089" s="1222"/>
      <c r="C16089" s="1223"/>
      <c r="D16089" s="1127"/>
      <c r="E16089" s="358"/>
      <c r="F16089" s="992"/>
      <c r="G16089" s="1224"/>
      <c r="H16089" s="989"/>
    </row>
    <row r="16090" spans="1:8" ht="15.75" customHeight="1" x14ac:dyDescent="0.25">
      <c r="A16090" s="1221"/>
      <c r="B16090" s="1222"/>
      <c r="C16090" s="1223"/>
      <c r="D16090" s="1127"/>
      <c r="E16090" s="358"/>
      <c r="F16090" s="992"/>
      <c r="G16090" s="1224"/>
      <c r="H16090" s="989"/>
    </row>
    <row r="16091" spans="1:8" ht="15.75" customHeight="1" x14ac:dyDescent="0.25">
      <c r="A16091" s="1230"/>
      <c r="B16091" s="1235"/>
      <c r="C16091" s="1231"/>
      <c r="D16091" s="592"/>
      <c r="E16091" s="929"/>
      <c r="F16091" s="593"/>
      <c r="G16091" s="973"/>
      <c r="H16091" s="931"/>
    </row>
    <row r="16092" spans="1:8" ht="15.75" customHeight="1" x14ac:dyDescent="0.25">
      <c r="A16092" s="1170"/>
      <c r="B16092" s="1171"/>
      <c r="C16092" s="1172" t="s">
        <v>85</v>
      </c>
      <c r="D16092" s="725">
        <f>SUM(D16080:D16091)</f>
      </c>
      <c r="E16092" s="725"/>
      <c r="F16092" s="725">
        <f>SUM(F16080:F16091)</f>
      </c>
      <c r="G16092" s="1173"/>
      <c r="H16092" s="1174">
        <f>SUM(H16080:H16091)</f>
      </c>
    </row>
    <row r="16093" spans="1:8" ht="15.75" customHeight="1" x14ac:dyDescent="0.25">
      <c r="A16093" s="932"/>
      <c r="B16093" s="933"/>
      <c r="C16093" s="934"/>
      <c r="D16093" s="431"/>
      <c r="E16093" s="935"/>
      <c r="F16093" s="935"/>
      <c r="G16093" s="936"/>
      <c r="H16093" s="444"/>
    </row>
    <row r="16094" spans="1:8" ht="15.75" customHeight="1" x14ac:dyDescent="0.25">
      <c r="A16094" s="994"/>
      <c r="B16094" s="391"/>
      <c r="C16094" s="391"/>
      <c r="D16094" s="446" t="s">
        <v>97</v>
      </c>
      <c r="E16094" s="445" t="s">
        <v>98</v>
      </c>
      <c r="F16094" s="445"/>
      <c r="G16094" s="390"/>
      <c r="H16094" s="394"/>
    </row>
    <row r="16095" spans="1:8" ht="15.75" customHeight="1" x14ac:dyDescent="0.25">
      <c r="A16095" s="994"/>
      <c r="B16095" s="391"/>
      <c r="C16095" s="391"/>
      <c r="D16095" s="446"/>
      <c r="E16095" s="445"/>
      <c r="F16095" s="445"/>
      <c r="G16095" s="390"/>
      <c r="H16095" s="394"/>
    </row>
    <row r="16096" spans="1:8" ht="15.75" customHeight="1" x14ac:dyDescent="0.25">
      <c r="A16096" s="445"/>
      <c r="B16096" s="445"/>
      <c r="C16096" s="445"/>
      <c r="D16096" s="446"/>
      <c r="E16096" s="445"/>
      <c r="F16096" s="445"/>
      <c r="G16096" s="390"/>
      <c r="H16096" s="394"/>
    </row>
    <row r="16097" spans="1:8" ht="15.75" customHeight="1" x14ac:dyDescent="0.25">
      <c r="A16097" s="445"/>
      <c r="B16097" s="445"/>
      <c r="C16097" s="445"/>
      <c r="D16097" s="446"/>
      <c r="E16097" s="445" t="s">
        <v>99</v>
      </c>
      <c r="F16097" s="445"/>
      <c r="G16097" s="390"/>
      <c r="H16097" s="394"/>
    </row>
    <row r="16098" spans="1:8" ht="15.75" customHeight="1" x14ac:dyDescent="0.25">
      <c r="D16098" s="4"/>
      <c r="H16098" s="4"/>
    </row>
    <row r="16099" spans="1:8" ht="15.75" customHeight="1" x14ac:dyDescent="0.25">
      <c r="D16099" s="4"/>
      <c r="H16099" s="4"/>
    </row>
    <row r="16100" spans="1:8" ht="15.75" customHeight="1" x14ac:dyDescent="0.25">
      <c r="D16100" s="4"/>
      <c r="H16100" s="4"/>
    </row>
    <row r="16101" spans="1:8" ht="15.75" customHeight="1" x14ac:dyDescent="0.25">
      <c r="D16101" s="4"/>
      <c r="H16101" s="4"/>
    </row>
    <row r="16102" spans="1:8" ht="15.75" customHeight="1" x14ac:dyDescent="0.25">
      <c r="D16102" s="4"/>
      <c r="H16102" s="4"/>
    </row>
    <row r="16103" spans="1:8" ht="15.75" customHeight="1" x14ac:dyDescent="0.25">
      <c r="D16103" s="4"/>
      <c r="H16103" s="4"/>
    </row>
    <row r="16104" spans="1:8" ht="15.75" customHeight="1" x14ac:dyDescent="0.25">
      <c r="D16104" s="4"/>
      <c r="H16104" s="4"/>
    </row>
    <row r="16105" spans="1:8" ht="15.75" customHeight="1" x14ac:dyDescent="0.25">
      <c r="D16105" s="4"/>
      <c r="H16105" s="4"/>
    </row>
    <row r="16106" spans="1:8" ht="15.75" customHeight="1" x14ac:dyDescent="0.25">
      <c r="D16106" s="4"/>
      <c r="H16106" s="4"/>
    </row>
    <row r="16107" spans="1:8" ht="15.75" customHeight="1" x14ac:dyDescent="0.25">
      <c r="D16107" s="4"/>
      <c r="H16107" s="4"/>
    </row>
    <row r="16108" spans="1:8" ht="15.75" customHeight="1" x14ac:dyDescent="0.25">
      <c r="D16108" s="4"/>
      <c r="H16108" s="4"/>
    </row>
    <row r="16109" spans="1:8" ht="15.75" customHeight="1" x14ac:dyDescent="0.25">
      <c r="D16109" s="4"/>
      <c r="H16109" s="4"/>
    </row>
    <row r="16110" spans="1:8" ht="15.75" customHeight="1" x14ac:dyDescent="0.25">
      <c r="D16110" s="4"/>
      <c r="H16110" s="4"/>
    </row>
    <row r="16111" spans="1:8" ht="15.75" customHeight="1" x14ac:dyDescent="0.25">
      <c r="D16111" s="4"/>
      <c r="H16111" s="4"/>
    </row>
    <row r="16112" spans="1:8" ht="15.75" customHeight="1" x14ac:dyDescent="0.25">
      <c r="A16112" s="8" t="s">
        <v>14</v>
      </c>
      <c r="B16112" s="8"/>
      <c r="C16112" s="8"/>
      <c r="D16112" s="8"/>
      <c r="E16112" s="8"/>
      <c r="F16112" s="8"/>
      <c r="G16112" s="8"/>
      <c r="H16112" s="8"/>
    </row>
    <row r="16113" spans="1:20" ht="15.75" customHeight="1" x14ac:dyDescent="0.25">
      <c r="D16113" s="4"/>
      <c r="H16113" s="4"/>
    </row>
    <row r="16114" spans="1:20" ht="15.75" customHeight="1" x14ac:dyDescent="0.25">
      <c r="A16114" s="390" t="s">
        <v>20</v>
      </c>
      <c r="B16114" s="390"/>
      <c r="C16114" s="388"/>
      <c r="D16114" s="391"/>
      <c r="E16114" s="390"/>
      <c r="F16114" s="395" t="s">
        <v>18</v>
      </c>
      <c r="G16114" s="396" t="s">
        <v>1318</v>
      </c>
      <c r="H16114" s="397"/>
    </row>
    <row r="16115" spans="1:20" ht="15.75" customHeight="1" x14ac:dyDescent="0.25">
      <c r="A16115" s="390" t="inlineStr">
        <is>
          <t>Dealer-003</t>
        </is>
      </c>
      <c r="B16115" s="390"/>
      <c r="C16115" s="388"/>
      <c r="D16115" s="391"/>
      <c r="E16115" s="390"/>
      <c r="F16115" s="395" t="s">
        <v>21</v>
      </c>
      <c r="G16115" s="390" t="s">
        <v>1903</v>
      </c>
      <c r="H16115" s="391"/>
    </row>
    <row r="16116" spans="1:20" ht="15.75" customHeight="1" x14ac:dyDescent="0.25">
      <c r="A16116" s="390" t="inlineStr">
        <is>
          <t>Address line (redacted)</t>
        </is>
      </c>
      <c r="B16116" s="390"/>
      <c r="C16116" s="1258" t="s">
        <v>2403</v>
      </c>
      <c r="D16116" s="1258"/>
      <c r="E16116" s="1258"/>
      <c r="F16116" s="391"/>
      <c r="G16116" s="390"/>
      <c r="H16116" s="394"/>
    </row>
    <row r="16117" spans="1:20" ht="15.75" customHeight="1" x14ac:dyDescent="0.25">
      <c r="A16117" s="390" t="inlineStr">
        <is>
          <t>Address line (redacted)</t>
        </is>
      </c>
      <c r="B16117" s="390"/>
      <c r="C16117" s="1258"/>
      <c r="D16117" s="1258"/>
      <c r="E16117" s="1258"/>
      <c r="F16117" s="391"/>
      <c r="G16117" s="390"/>
      <c r="H16117" s="394"/>
    </row>
    <row r="16118" spans="1:20" ht="15.75" customHeight="1" x14ac:dyDescent="0.25">
      <c r="A16118" s="390"/>
      <c r="B16118" s="390"/>
      <c r="C16118" s="7"/>
      <c r="D16118" s="398"/>
      <c r="E16118" s="390"/>
      <c r="F16118" s="391"/>
      <c r="G16118" s="390"/>
      <c r="H16118" s="394"/>
    </row>
    <row r="16119" spans="1:20" ht="15.75" customHeight="1" x14ac:dyDescent="0.25">
      <c r="A16119" s="390" t="s">
        <v>2373</v>
      </c>
      <c r="B16119" s="390"/>
      <c r="C16119" s="390"/>
      <c r="D16119" s="391"/>
      <c r="E16119" s="390"/>
      <c r="F16119" s="391"/>
      <c r="G16119" s="390"/>
      <c r="H16119" s="394"/>
    </row>
    <row r="16120" spans="1:20" ht="15.75" customHeight="1" x14ac:dyDescent="0.25">
      <c r="A16120" s="390"/>
      <c r="B16120" s="390"/>
      <c r="C16120" s="390"/>
      <c r="D16120" s="391"/>
      <c r="E16120" s="390"/>
      <c r="F16120" s="391"/>
      <c r="G16120" s="390"/>
      <c r="H16120" s="394"/>
    </row>
    <row r="16121" spans="1:20" ht="15.75" customHeight="1" x14ac:dyDescent="0.25">
      <c r="A16121" s="390" t="s">
        <v>716</v>
      </c>
      <c r="B16121" s="390"/>
      <c r="C16121" s="390"/>
      <c r="D16121" s="391"/>
      <c r="E16121" s="390"/>
      <c r="F16121" s="391"/>
      <c r="G16121" s="390"/>
      <c r="H16121" s="394"/>
    </row>
    <row r="16122" spans="1:20" ht="15.75" customHeight="1" x14ac:dyDescent="0.25">
      <c r="A16122" s="390" t="s">
        <v>717</v>
      </c>
      <c r="B16122" s="390"/>
      <c r="C16122" s="390"/>
      <c r="D16122" s="391"/>
      <c r="E16122" s="390"/>
      <c r="F16122" s="391"/>
      <c r="G16122" s="390"/>
      <c r="H16122" s="394"/>
    </row>
    <row r="16123" spans="1:20" ht="15.75" customHeight="1" x14ac:dyDescent="0.25">
      <c r="A16123" s="404" t="s">
        <v>33</v>
      </c>
      <c r="B16123" s="400" t="s">
        <v>6</v>
      </c>
      <c r="C16123" s="400"/>
      <c r="D16123" s="402" t="s">
        <v>37</v>
      </c>
      <c r="E16123" s="402" t="s">
        <v>38</v>
      </c>
      <c r="F16123" s="609" t="s">
        <v>7</v>
      </c>
      <c r="G16123" s="400" t="s">
        <v>43</v>
      </c>
      <c r="H16123" s="405" t="s">
        <v>44</v>
      </c>
    </row>
    <row r="16124" spans="1:20" ht="15.75" customHeight="1" x14ac:dyDescent="0.3">
      <c r="A16124" s="1080"/>
      <c r="B16124" s="1259"/>
      <c r="C16124" s="1260"/>
      <c r="D16124" s="951"/>
      <c r="E16124" s="951"/>
      <c r="F16124" s="842"/>
      <c r="G16124" s="842"/>
      <c r="H16124" s="843"/>
    </row>
    <row r="16125" spans="1:20" ht="15" customHeight="1" x14ac:dyDescent="0.25">
      <c r="A16125" s="1217"/>
      <c r="B16125" s="1261" t="s">
        <v>1102</v>
      </c>
      <c r="C16125" s="1262"/>
      <c r="D16125" s="1219"/>
      <c r="E16125" s="1219"/>
      <c r="F16125" s="1219"/>
      <c r="G16125" s="1219"/>
      <c r="H16125" s="1220"/>
      <c r="I16125" s="388"/>
      <c r="J16125" s="388"/>
      <c r="K16125" s="388"/>
      <c r="L16125" s="388"/>
      <c r="M16125" s="388"/>
      <c r="N16125" s="388"/>
      <c r="O16125" s="388"/>
      <c r="P16125" s="388"/>
      <c r="Q16125" s="388"/>
      <c r="R16125" s="388"/>
      <c r="S16125" s="388"/>
      <c r="T16125" s="388"/>
    </row>
    <row r="16126" spans="1:20" ht="15" customHeight="1" x14ac:dyDescent="0.25">
      <c r="A16126" s="1263">
        <v>1</v>
      </c>
      <c r="B16126" s="585" t="s">
        <v>53</v>
      </c>
      <c r="C16126" s="588" t="s">
        <v>54</v>
      </c>
      <c r="D16126" s="415">
        <f t="shared" ref="D16126:D16137" si="685">+F16126/E16126</f>
      </c>
      <c r="E16126" s="415">
        <v>5</v>
      </c>
      <c r="F16126" s="1127">
        <v>25</v>
      </c>
      <c r="G16126" s="415">
        <v>1</v>
      </c>
      <c r="H16126" s="416">
        <f t="shared" ref="H16126:H16137" si="686">+G16126*F16126</f>
      </c>
      <c r="I16126" s="388"/>
      <c r="J16126" s="388"/>
      <c r="K16126" s="388"/>
      <c r="L16126" s="388"/>
      <c r="M16126" s="388"/>
      <c r="N16126" s="388"/>
      <c r="O16126" s="388"/>
      <c r="P16126" s="388"/>
      <c r="Q16126" s="388"/>
      <c r="R16126" s="388"/>
      <c r="S16126" s="388"/>
      <c r="T16126" s="388"/>
    </row>
    <row r="16127" spans="1:20" ht="15" customHeight="1" x14ac:dyDescent="0.25">
      <c r="A16127" s="1263">
        <v>2</v>
      </c>
      <c r="B16127" s="585" t="s">
        <v>2247</v>
      </c>
      <c r="C16127" s="588" t="s">
        <v>25</v>
      </c>
      <c r="D16127" s="415">
        <f t="shared" si="685"/>
      </c>
      <c r="E16127" s="415">
        <v>5</v>
      </c>
      <c r="F16127" s="1127">
        <v>45</v>
      </c>
      <c r="G16127" s="415">
        <v>1</v>
      </c>
      <c r="H16127" s="416">
        <f t="shared" si="686"/>
      </c>
      <c r="I16127" s="388"/>
      <c r="J16127" s="388"/>
      <c r="K16127" s="388"/>
      <c r="L16127" s="388"/>
      <c r="M16127" s="388"/>
      <c r="N16127" s="388"/>
      <c r="O16127" s="388"/>
      <c r="P16127" s="388"/>
      <c r="Q16127" s="388"/>
      <c r="R16127" s="388"/>
      <c r="S16127" s="388"/>
      <c r="T16127" s="388"/>
    </row>
    <row r="16128" spans="1:20" ht="15" customHeight="1" x14ac:dyDescent="0.25">
      <c r="A16128" s="1263">
        <v>3</v>
      </c>
      <c r="B16128" s="585" t="s">
        <v>132</v>
      </c>
      <c r="C16128" s="588" t="s">
        <v>330</v>
      </c>
      <c r="D16128" s="415">
        <f t="shared" si="685"/>
      </c>
      <c r="E16128" s="415">
        <v>5</v>
      </c>
      <c r="F16128" s="1127">
        <v>90</v>
      </c>
      <c r="G16128" s="415">
        <v>1</v>
      </c>
      <c r="H16128" s="416">
        <f t="shared" si="686"/>
      </c>
      <c r="I16128" s="388"/>
      <c r="J16128" s="388"/>
      <c r="K16128" s="388"/>
      <c r="L16128" s="388"/>
      <c r="M16128" s="388"/>
      <c r="N16128" s="388"/>
      <c r="O16128" s="388"/>
      <c r="P16128" s="388"/>
      <c r="Q16128" s="388"/>
      <c r="R16128" s="388"/>
      <c r="S16128" s="388"/>
      <c r="T16128" s="388"/>
    </row>
    <row r="16129" spans="1:20" ht="15" customHeight="1" x14ac:dyDescent="0.25">
      <c r="A16129" s="1263">
        <v>4</v>
      </c>
      <c r="B16129" s="585" t="s">
        <v>2404</v>
      </c>
      <c r="C16129" s="588" t="s">
        <v>77</v>
      </c>
      <c r="D16129" s="415">
        <f t="shared" si="685"/>
      </c>
      <c r="E16129" s="415">
        <v>5</v>
      </c>
      <c r="F16129" s="1127">
        <v>60</v>
      </c>
      <c r="G16129" s="415">
        <v>1</v>
      </c>
      <c r="H16129" s="416">
        <f t="shared" si="686"/>
      </c>
      <c r="I16129" s="388"/>
      <c r="J16129" s="388"/>
      <c r="K16129" s="388"/>
      <c r="L16129" s="388"/>
      <c r="M16129" s="388"/>
      <c r="N16129" s="388"/>
      <c r="O16129" s="388"/>
      <c r="P16129" s="388"/>
      <c r="Q16129" s="388"/>
      <c r="R16129" s="388"/>
      <c r="S16129" s="388"/>
      <c r="T16129" s="388"/>
    </row>
    <row r="16130" spans="1:20" ht="15" customHeight="1" x14ac:dyDescent="0.25">
      <c r="A16130" s="1263">
        <v>5</v>
      </c>
      <c r="B16130" s="585" t="s">
        <v>2249</v>
      </c>
      <c r="C16130" s="1264" t="s">
        <v>2405</v>
      </c>
      <c r="D16130" s="415">
        <f t="shared" si="685"/>
      </c>
      <c r="E16130" s="415">
        <v>5</v>
      </c>
      <c r="F16130" s="1127">
        <v>10</v>
      </c>
      <c r="G16130" s="415">
        <v>1</v>
      </c>
      <c r="H16130" s="416">
        <f t="shared" si="686"/>
      </c>
      <c r="I16130" s="388"/>
      <c r="J16130" s="388"/>
      <c r="K16130" s="388"/>
      <c r="L16130" s="388"/>
      <c r="M16130" s="388"/>
      <c r="N16130" s="388"/>
      <c r="O16130" s="388"/>
      <c r="P16130" s="388"/>
      <c r="Q16130" s="388"/>
      <c r="R16130" s="388"/>
      <c r="S16130" s="388"/>
      <c r="T16130" s="388"/>
    </row>
    <row r="16131" spans="1:20" ht="15" customHeight="1" x14ac:dyDescent="0.25">
      <c r="A16131" s="1263">
        <v>6</v>
      </c>
      <c r="B16131" s="585" t="s">
        <v>125</v>
      </c>
      <c r="C16131" s="588" t="s">
        <v>324</v>
      </c>
      <c r="D16131" s="415">
        <f t="shared" si="685"/>
      </c>
      <c r="E16131" s="415">
        <v>5</v>
      </c>
      <c r="F16131" s="1127">
        <v>20</v>
      </c>
      <c r="G16131" s="415">
        <v>1</v>
      </c>
      <c r="H16131" s="416">
        <f t="shared" si="686"/>
      </c>
      <c r="I16131" s="388"/>
      <c r="J16131" s="388"/>
      <c r="K16131" s="388"/>
      <c r="L16131" s="388"/>
      <c r="M16131" s="388"/>
      <c r="N16131" s="388"/>
      <c r="O16131" s="388"/>
      <c r="P16131" s="388"/>
      <c r="Q16131" s="388"/>
      <c r="R16131" s="388"/>
      <c r="S16131" s="388"/>
      <c r="T16131" s="388"/>
    </row>
    <row r="16132" spans="1:20" ht="15" customHeight="1" x14ac:dyDescent="0.25">
      <c r="A16132" s="1263">
        <v>7</v>
      </c>
      <c r="B16132" s="585" t="s">
        <v>2250</v>
      </c>
      <c r="C16132" s="588" t="s">
        <v>41</v>
      </c>
      <c r="D16132" s="415">
        <f t="shared" si="685"/>
      </c>
      <c r="E16132" s="415">
        <v>5</v>
      </c>
      <c r="F16132" s="1127">
        <v>10</v>
      </c>
      <c r="G16132" s="415">
        <v>1</v>
      </c>
      <c r="H16132" s="416">
        <f t="shared" si="686"/>
      </c>
      <c r="I16132" s="388"/>
      <c r="J16132" s="388"/>
      <c r="K16132" s="388"/>
      <c r="L16132" s="388"/>
      <c r="M16132" s="388"/>
      <c r="N16132" s="388"/>
      <c r="O16132" s="388"/>
      <c r="P16132" s="388"/>
      <c r="Q16132" s="388"/>
      <c r="R16132" s="388"/>
      <c r="S16132" s="388"/>
      <c r="T16132" s="388"/>
    </row>
    <row r="16133" spans="1:20" ht="15" customHeight="1" x14ac:dyDescent="0.25">
      <c r="A16133" s="1263">
        <v>8</v>
      </c>
      <c r="B16133" s="585" t="s">
        <v>2251</v>
      </c>
      <c r="C16133" s="588" t="s">
        <v>331</v>
      </c>
      <c r="D16133" s="415">
        <f t="shared" si="685"/>
      </c>
      <c r="E16133" s="415">
        <v>5</v>
      </c>
      <c r="F16133" s="1127">
        <v>70</v>
      </c>
      <c r="G16133" s="415">
        <v>1</v>
      </c>
      <c r="H16133" s="416">
        <f t="shared" si="686"/>
      </c>
      <c r="I16133" s="388"/>
      <c r="J16133" s="388"/>
      <c r="K16133" s="388"/>
      <c r="L16133" s="388"/>
      <c r="M16133" s="388"/>
      <c r="N16133" s="388"/>
      <c r="O16133" s="388"/>
      <c r="P16133" s="388"/>
      <c r="Q16133" s="388"/>
      <c r="R16133" s="388"/>
      <c r="S16133" s="388"/>
      <c r="T16133" s="388"/>
    </row>
    <row r="16134" spans="1:20" ht="15" customHeight="1" x14ac:dyDescent="0.25">
      <c r="A16134" s="1263">
        <v>9</v>
      </c>
      <c r="B16134" s="585" t="s">
        <v>2252</v>
      </c>
      <c r="C16134" s="588" t="s">
        <v>321</v>
      </c>
      <c r="D16134" s="415">
        <f t="shared" si="685"/>
      </c>
      <c r="E16134" s="415">
        <v>5</v>
      </c>
      <c r="F16134" s="1127">
        <v>20</v>
      </c>
      <c r="G16134" s="415">
        <v>1</v>
      </c>
      <c r="H16134" s="416">
        <f t="shared" si="686"/>
      </c>
      <c r="I16134" s="388"/>
      <c r="J16134" s="388"/>
      <c r="K16134" s="388"/>
      <c r="L16134" s="388"/>
      <c r="M16134" s="388"/>
      <c r="N16134" s="388"/>
      <c r="O16134" s="388"/>
      <c r="P16134" s="388"/>
      <c r="Q16134" s="388"/>
      <c r="R16134" s="388"/>
      <c r="S16134" s="388"/>
      <c r="T16134" s="388"/>
    </row>
    <row r="16135" spans="1:20" ht="15" customHeight="1" x14ac:dyDescent="0.25">
      <c r="A16135" s="1263">
        <v>10</v>
      </c>
      <c r="B16135" s="585" t="s">
        <v>121</v>
      </c>
      <c r="C16135" s="588" t="s">
        <v>316</v>
      </c>
      <c r="D16135" s="415">
        <f t="shared" si="685"/>
      </c>
      <c r="E16135" s="415">
        <v>10</v>
      </c>
      <c r="F16135" s="1127">
        <v>50</v>
      </c>
      <c r="G16135" s="415">
        <v>1</v>
      </c>
      <c r="H16135" s="416">
        <f t="shared" si="686"/>
      </c>
      <c r="I16135" s="388"/>
      <c r="J16135" s="388"/>
      <c r="K16135" s="388"/>
      <c r="L16135" s="388"/>
      <c r="M16135" s="388"/>
      <c r="N16135" s="388"/>
      <c r="O16135" s="388"/>
      <c r="P16135" s="388"/>
      <c r="Q16135" s="388"/>
      <c r="R16135" s="388"/>
      <c r="S16135" s="388"/>
      <c r="T16135" s="388"/>
    </row>
    <row r="16136" spans="1:20" ht="15" customHeight="1" x14ac:dyDescent="0.25">
      <c r="A16136" s="1263">
        <v>11</v>
      </c>
      <c r="B16136" s="585" t="s">
        <v>120</v>
      </c>
      <c r="C16136" s="588" t="s">
        <v>298</v>
      </c>
      <c r="D16136" s="415">
        <f t="shared" si="685"/>
      </c>
      <c r="E16136" s="415">
        <v>5</v>
      </c>
      <c r="F16136" s="1127">
        <v>40</v>
      </c>
      <c r="G16136" s="415">
        <v>1</v>
      </c>
      <c r="H16136" s="416">
        <f t="shared" si="686"/>
      </c>
      <c r="I16136" s="388"/>
      <c r="J16136" s="388"/>
      <c r="K16136" s="388"/>
      <c r="L16136" s="388"/>
      <c r="M16136" s="388"/>
      <c r="N16136" s="388"/>
      <c r="O16136" s="388"/>
      <c r="P16136" s="388"/>
      <c r="Q16136" s="388"/>
      <c r="R16136" s="388"/>
      <c r="S16136" s="388"/>
      <c r="T16136" s="388"/>
    </row>
    <row r="16137" spans="1:20" ht="15" customHeight="1" x14ac:dyDescent="0.25">
      <c r="A16137" s="1263">
        <v>12</v>
      </c>
      <c r="B16137" s="585" t="s">
        <v>3</v>
      </c>
      <c r="C16137" s="588" t="s">
        <v>4</v>
      </c>
      <c r="D16137" s="415">
        <f t="shared" si="685"/>
      </c>
      <c r="E16137" s="415">
        <v>5</v>
      </c>
      <c r="F16137" s="588">
        <v>40</v>
      </c>
      <c r="G16137" s="415">
        <v>1</v>
      </c>
      <c r="H16137" s="416">
        <f t="shared" si="686"/>
      </c>
      <c r="I16137" s="388"/>
      <c r="J16137" s="388"/>
      <c r="K16137" s="388"/>
      <c r="L16137" s="388"/>
      <c r="M16137" s="388"/>
      <c r="N16137" s="388"/>
      <c r="O16137" s="388"/>
      <c r="P16137" s="388"/>
      <c r="Q16137" s="388"/>
      <c r="R16137" s="388"/>
      <c r="S16137" s="388"/>
      <c r="T16137" s="388"/>
    </row>
    <row r="16138" spans="1:20" ht="15" customHeight="1" x14ac:dyDescent="0.25">
      <c r="A16138" s="1263"/>
      <c r="B16138" s="1261" t="s">
        <v>1754</v>
      </c>
      <c r="C16138" s="1262"/>
      <c r="D16138" s="415"/>
      <c r="E16138" s="415"/>
      <c r="F16138" s="588"/>
      <c r="G16138" s="415"/>
      <c r="H16138" s="416"/>
      <c r="I16138" s="388"/>
      <c r="J16138" s="388"/>
      <c r="K16138" s="388"/>
      <c r="L16138" s="388"/>
      <c r="M16138" s="388"/>
      <c r="N16138" s="388"/>
      <c r="O16138" s="388"/>
      <c r="P16138" s="388"/>
      <c r="Q16138" s="388"/>
      <c r="R16138" s="388"/>
      <c r="S16138" s="388"/>
      <c r="T16138" s="388"/>
    </row>
    <row r="16139" spans="1:20" ht="15" customHeight="1" x14ac:dyDescent="0.25">
      <c r="A16139" s="1263">
        <v>13</v>
      </c>
      <c r="B16139" s="585" t="s">
        <v>2254</v>
      </c>
      <c r="C16139" s="588"/>
      <c r="D16139" s="415">
        <f t="shared" ref="D16139:D16142" si="687">+F16139/E16139</f>
      </c>
      <c r="E16139" s="415">
        <v>10</v>
      </c>
      <c r="F16139" s="1127">
        <v>50</v>
      </c>
      <c r="G16139" s="415">
        <v>1</v>
      </c>
      <c r="H16139" s="416">
        <f t="shared" ref="H16139:H16142" si="688">+G16139*F16139</f>
      </c>
      <c r="I16139" s="388"/>
      <c r="J16139" s="388"/>
      <c r="K16139" s="388"/>
      <c r="L16139" s="388"/>
      <c r="M16139" s="388"/>
      <c r="N16139" s="388"/>
      <c r="O16139" s="388"/>
      <c r="P16139" s="388"/>
      <c r="Q16139" s="388"/>
      <c r="R16139" s="388"/>
      <c r="S16139" s="388"/>
      <c r="T16139" s="388"/>
    </row>
    <row r="16140" spans="1:20" ht="15" customHeight="1" x14ac:dyDescent="0.25">
      <c r="A16140" s="1263">
        <v>14</v>
      </c>
      <c r="B16140" s="585" t="s">
        <v>2255</v>
      </c>
      <c r="C16140" s="588"/>
      <c r="D16140" s="415">
        <f t="shared" si="687"/>
      </c>
      <c r="E16140" s="415">
        <v>10</v>
      </c>
      <c r="F16140" s="1127">
        <v>130</v>
      </c>
      <c r="G16140" s="415">
        <v>1</v>
      </c>
      <c r="H16140" s="416">
        <f t="shared" si="688"/>
      </c>
      <c r="I16140" s="388"/>
      <c r="J16140" s="388"/>
      <c r="K16140" s="388"/>
      <c r="L16140" s="388"/>
      <c r="M16140" s="388"/>
      <c r="N16140" s="388"/>
      <c r="O16140" s="388"/>
      <c r="P16140" s="388"/>
      <c r="Q16140" s="388"/>
      <c r="R16140" s="388"/>
      <c r="S16140" s="388"/>
      <c r="T16140" s="388"/>
    </row>
    <row r="16141" spans="1:20" ht="15" customHeight="1" x14ac:dyDescent="0.25">
      <c r="A16141" s="1263">
        <v>15</v>
      </c>
      <c r="B16141" s="585" t="s">
        <v>2256</v>
      </c>
      <c r="C16141" s="588"/>
      <c r="D16141" s="415">
        <f t="shared" si="687"/>
      </c>
      <c r="E16141" s="415">
        <v>5</v>
      </c>
      <c r="F16141" s="1127">
        <v>15</v>
      </c>
      <c r="G16141" s="415">
        <v>1</v>
      </c>
      <c r="H16141" s="416">
        <f t="shared" si="688"/>
      </c>
      <c r="I16141" s="388"/>
      <c r="J16141" s="388"/>
      <c r="K16141" s="388"/>
      <c r="L16141" s="388"/>
      <c r="M16141" s="388"/>
      <c r="N16141" s="388"/>
      <c r="O16141" s="388"/>
      <c r="P16141" s="388"/>
      <c r="Q16141" s="388"/>
      <c r="R16141" s="388"/>
      <c r="S16141" s="388"/>
      <c r="T16141" s="388"/>
    </row>
    <row r="16142" spans="1:20" ht="15" customHeight="1" x14ac:dyDescent="0.25">
      <c r="A16142" s="1263">
        <v>16</v>
      </c>
      <c r="B16142" s="585" t="s">
        <v>2257</v>
      </c>
      <c r="C16142" s="588"/>
      <c r="D16142" s="415">
        <f t="shared" si="687"/>
      </c>
      <c r="E16142" s="415">
        <v>5</v>
      </c>
      <c r="F16142" s="1127">
        <v>20</v>
      </c>
      <c r="G16142" s="415">
        <v>1</v>
      </c>
      <c r="H16142" s="416">
        <f t="shared" si="688"/>
      </c>
      <c r="I16142" s="388"/>
      <c r="J16142" s="388"/>
      <c r="K16142" s="388"/>
      <c r="L16142" s="388"/>
      <c r="M16142" s="388"/>
      <c r="N16142" s="388"/>
      <c r="O16142" s="388"/>
      <c r="P16142" s="388"/>
      <c r="Q16142" s="388"/>
      <c r="R16142" s="388"/>
      <c r="S16142" s="388"/>
      <c r="T16142" s="388"/>
    </row>
    <row r="16143" spans="1:20" ht="15.75" customHeight="1" x14ac:dyDescent="0.25">
      <c r="A16143" s="1263"/>
      <c r="B16143" s="585"/>
      <c r="C16143" s="592"/>
      <c r="D16143" s="593"/>
      <c r="E16143" s="593"/>
      <c r="F16143" s="1202"/>
      <c r="G16143" s="593"/>
      <c r="H16143" s="416"/>
    </row>
    <row r="16144" spans="1:20" ht="15.75" customHeight="1" x14ac:dyDescent="0.25">
      <c r="A16144" s="1230"/>
      <c r="B16144" s="1235"/>
      <c r="C16144" s="1231"/>
      <c r="D16144" s="592"/>
      <c r="E16144" s="929"/>
      <c r="F16144" s="593"/>
      <c r="G16144" s="973"/>
      <c r="H16144" s="931"/>
    </row>
    <row r="16145" spans="1:8" ht="15.75" customHeight="1" x14ac:dyDescent="0.25">
      <c r="A16145" s="1170"/>
      <c r="B16145" s="1171"/>
      <c r="C16145" s="1172" t="s">
        <v>85</v>
      </c>
      <c r="D16145" s="725">
        <f>SUM(D16126:D16144)</f>
      </c>
      <c r="E16145" s="725"/>
      <c r="F16145" s="725">
        <f>SUM(F16126:F16144)</f>
      </c>
      <c r="G16145" s="1173"/>
      <c r="H16145" s="1174">
        <f>SUM(H16126:H16144)</f>
      </c>
    </row>
    <row r="16146" spans="1:8" ht="15.75" customHeight="1" x14ac:dyDescent="0.25">
      <c r="A16146" s="932"/>
      <c r="B16146" s="933"/>
      <c r="C16146" s="934"/>
      <c r="D16146" s="431"/>
      <c r="E16146" s="935"/>
      <c r="F16146" s="935"/>
      <c r="G16146" s="936"/>
      <c r="H16146" s="444"/>
    </row>
    <row r="16147" spans="1:8" ht="15.75" customHeight="1" x14ac:dyDescent="0.25">
      <c r="A16147" s="994"/>
      <c r="B16147" s="391"/>
      <c r="C16147" s="391"/>
      <c r="D16147" s="446" t="s">
        <v>97</v>
      </c>
      <c r="E16147" s="445" t="s">
        <v>98</v>
      </c>
      <c r="F16147" s="445"/>
      <c r="G16147" s="390"/>
      <c r="H16147" s="394"/>
    </row>
    <row r="16148" spans="1:8" ht="15.75" customHeight="1" x14ac:dyDescent="0.25">
      <c r="A16148" s="994"/>
      <c r="B16148" s="391"/>
      <c r="C16148" s="391"/>
      <c r="D16148" s="446"/>
      <c r="E16148" s="445"/>
      <c r="F16148" s="445"/>
      <c r="G16148" s="390"/>
      <c r="H16148" s="394"/>
    </row>
    <row r="16149" spans="1:8" ht="15.75" customHeight="1" x14ac:dyDescent="0.25">
      <c r="A16149" s="445"/>
      <c r="B16149" s="445"/>
      <c r="C16149" s="445"/>
      <c r="D16149" s="446"/>
      <c r="E16149" s="445"/>
      <c r="F16149" s="445"/>
      <c r="G16149" s="390"/>
      <c r="H16149" s="394"/>
    </row>
    <row r="16150" spans="1:8" ht="15.75" customHeight="1" x14ac:dyDescent="0.25">
      <c r="A16150" s="445"/>
      <c r="B16150" s="445"/>
      <c r="C16150" s="445"/>
      <c r="D16150" s="446"/>
      <c r="E16150" s="445" t="s">
        <v>99</v>
      </c>
      <c r="F16150" s="445"/>
      <c r="G16150" s="390"/>
      <c r="H16150" s="394"/>
    </row>
    <row r="16151" spans="1:8" ht="15.75" customHeight="1" x14ac:dyDescent="0.25">
      <c r="A16151" s="445"/>
      <c r="B16151" s="445"/>
      <c r="C16151" s="445"/>
      <c r="D16151" s="446"/>
      <c r="E16151" s="445"/>
      <c r="F16151" s="445"/>
      <c r="G16151" s="390"/>
      <c r="H16151" s="394"/>
    </row>
    <row r="16152" spans="1:8" ht="15.75" customHeight="1" x14ac:dyDescent="0.25">
      <c r="A16152" s="445"/>
      <c r="B16152" s="445"/>
      <c r="C16152" s="445"/>
      <c r="D16152" s="446"/>
      <c r="E16152" s="445"/>
      <c r="F16152" s="445"/>
      <c r="G16152" s="390"/>
      <c r="H16152" s="394"/>
    </row>
    <row r="16153" spans="1:8" ht="15.75" customHeight="1" x14ac:dyDescent="0.25">
      <c r="A16153" s="445"/>
      <c r="B16153" s="445"/>
      <c r="C16153" s="445"/>
      <c r="D16153" s="446"/>
      <c r="E16153" s="445"/>
      <c r="F16153" s="445"/>
      <c r="G16153" s="390"/>
      <c r="H16153" s="394"/>
    </row>
    <row r="16154" spans="1:8" ht="15.75" customHeight="1" x14ac:dyDescent="0.25">
      <c r="A16154" s="445"/>
      <c r="B16154" s="445"/>
      <c r="C16154" s="445"/>
      <c r="D16154" s="446"/>
      <c r="E16154" s="445"/>
      <c r="F16154" s="445"/>
      <c r="G16154" s="390"/>
      <c r="H16154" s="394"/>
    </row>
    <row r="16155" spans="1:8" ht="15.75" customHeight="1" x14ac:dyDescent="0.25">
      <c r="A16155" s="445"/>
      <c r="B16155" s="445"/>
      <c r="C16155" s="445"/>
      <c r="D16155" s="446"/>
      <c r="E16155" s="445"/>
      <c r="F16155" s="445"/>
      <c r="G16155" s="390"/>
      <c r="H16155" s="394"/>
    </row>
    <row r="16156" spans="1:8" ht="15.75" customHeight="1" x14ac:dyDescent="0.25">
      <c r="A16156" s="445"/>
      <c r="B16156" s="445"/>
      <c r="C16156" s="445"/>
      <c r="D16156" s="446"/>
      <c r="E16156" s="445"/>
      <c r="F16156" s="445"/>
      <c r="G16156" s="390"/>
      <c r="H16156" s="394"/>
    </row>
    <row r="16157" spans="1:8" ht="15.75" customHeight="1" x14ac:dyDescent="0.25">
      <c r="A16157" s="8" t="s">
        <v>14</v>
      </c>
      <c r="B16157" s="8"/>
      <c r="C16157" s="8"/>
      <c r="D16157" s="8"/>
      <c r="E16157" s="8"/>
      <c r="F16157" s="8"/>
      <c r="G16157" s="8"/>
      <c r="H16157" s="8"/>
    </row>
    <row r="16158" spans="1:8" ht="15.75" customHeight="1" x14ac:dyDescent="0.25">
      <c r="D16158" s="4"/>
      <c r="H16158" s="4"/>
    </row>
    <row r="16159" spans="1:8" ht="15.75" customHeight="1" x14ac:dyDescent="0.25">
      <c r="A16159" s="390" t="s">
        <v>20</v>
      </c>
      <c r="B16159" s="390"/>
      <c r="C16159" s="388"/>
      <c r="D16159" s="391"/>
      <c r="E16159" s="390"/>
      <c r="F16159" s="395" t="s">
        <v>18</v>
      </c>
      <c r="G16159" s="396" t="s">
        <v>1318</v>
      </c>
      <c r="H16159" s="397"/>
    </row>
    <row r="16160" spans="1:8" ht="15.75" customHeight="1" x14ac:dyDescent="0.3">
      <c r="A16160" s="233" t="inlineStr">
        <is>
          <t>Dealer-002</t>
        </is>
      </c>
      <c r="B16160" s="233"/>
      <c r="C16160" s="388"/>
      <c r="D16160" s="391"/>
      <c r="E16160" s="390"/>
      <c r="F16160" s="395" t="s">
        <v>21</v>
      </c>
      <c r="G16160" s="390" t="s">
        <v>1906</v>
      </c>
      <c r="H16160" s="391"/>
    </row>
    <row r="16161" spans="1:8" ht="15.75" customHeight="1" x14ac:dyDescent="0.3">
      <c r="A16161" s="233" t="inlineStr">
        <is>
          <t>Address line (redacted)</t>
        </is>
      </c>
      <c r="B16161" s="233"/>
      <c r="C16161" s="1258" t="s">
        <v>2403</v>
      </c>
      <c r="D16161" s="1258"/>
      <c r="E16161" s="1258"/>
      <c r="F16161" s="391"/>
      <c r="G16161" s="390"/>
      <c r="H16161" s="394"/>
    </row>
    <row r="16162" spans="1:8" ht="15.75" customHeight="1" x14ac:dyDescent="0.3">
      <c r="A16162" s="233" t="inlineStr">
        <is>
          <t>Address line (redacted)</t>
        </is>
      </c>
      <c r="B16162" s="233"/>
      <c r="C16162" s="1258"/>
      <c r="D16162" s="1258"/>
      <c r="E16162" s="1258"/>
      <c r="F16162" s="391"/>
      <c r="G16162" s="390"/>
      <c r="H16162" s="394"/>
    </row>
    <row r="16163" spans="1:8" ht="15.75" customHeight="1" x14ac:dyDescent="0.25">
      <c r="A16163" s="390"/>
      <c r="B16163" s="390"/>
      <c r="C16163" s="7"/>
      <c r="D16163" s="398"/>
      <c r="E16163" s="390"/>
      <c r="F16163" s="391"/>
      <c r="G16163" s="390"/>
      <c r="H16163" s="394"/>
    </row>
    <row r="16164" spans="1:8" ht="15.75" customHeight="1" x14ac:dyDescent="0.25">
      <c r="A16164" s="390" t="s">
        <v>2373</v>
      </c>
      <c r="B16164" s="390"/>
      <c r="C16164" s="390"/>
      <c r="D16164" s="391"/>
      <c r="E16164" s="390"/>
      <c r="F16164" s="391"/>
      <c r="G16164" s="390"/>
      <c r="H16164" s="394"/>
    </row>
    <row r="16165" spans="1:8" ht="15.75" customHeight="1" x14ac:dyDescent="0.25">
      <c r="A16165" s="390"/>
      <c r="B16165" s="390"/>
      <c r="C16165" s="390"/>
      <c r="D16165" s="391"/>
      <c r="E16165" s="390"/>
      <c r="F16165" s="391"/>
      <c r="G16165" s="390"/>
      <c r="H16165" s="394"/>
    </row>
    <row r="16166" spans="1:8" ht="15.75" customHeight="1" x14ac:dyDescent="0.25">
      <c r="A16166" s="390" t="s">
        <v>716</v>
      </c>
      <c r="B16166" s="390"/>
      <c r="C16166" s="390"/>
      <c r="D16166" s="391"/>
      <c r="E16166" s="390"/>
      <c r="F16166" s="391"/>
      <c r="G16166" s="390"/>
      <c r="H16166" s="394"/>
    </row>
    <row r="16167" spans="1:8" ht="15.75" customHeight="1" x14ac:dyDescent="0.25">
      <c r="A16167" s="390" t="s">
        <v>717</v>
      </c>
      <c r="B16167" s="390"/>
      <c r="C16167" s="390"/>
      <c r="D16167" s="391"/>
      <c r="E16167" s="390"/>
      <c r="F16167" s="391"/>
      <c r="G16167" s="390"/>
      <c r="H16167" s="394"/>
    </row>
    <row r="16168" spans="1:8" ht="15.75" customHeight="1" x14ac:dyDescent="0.25">
      <c r="A16168" s="948" t="s">
        <v>33</v>
      </c>
      <c r="B16168" s="872" t="s">
        <v>6</v>
      </c>
      <c r="C16168" s="872"/>
      <c r="D16168" s="874" t="s">
        <v>37</v>
      </c>
      <c r="E16168" s="874" t="s">
        <v>38</v>
      </c>
      <c r="F16168" s="875" t="s">
        <v>7</v>
      </c>
      <c r="G16168" s="872" t="s">
        <v>43</v>
      </c>
      <c r="H16168" s="876" t="s">
        <v>44</v>
      </c>
    </row>
    <row r="16169" spans="1:8" ht="15.75" customHeight="1" x14ac:dyDescent="0.3">
      <c r="A16169" s="412"/>
      <c r="B16169" s="1033"/>
      <c r="C16169" s="1033"/>
      <c r="D16169" s="879"/>
      <c r="E16169" s="879"/>
      <c r="F16169" s="415"/>
      <c r="G16169" s="415"/>
      <c r="H16169" s="416"/>
    </row>
    <row r="16170" spans="1:8" ht="15.75" customHeight="1" x14ac:dyDescent="0.25">
      <c r="A16170" s="1217"/>
      <c r="B16170" s="1261" t="s">
        <v>1102</v>
      </c>
      <c r="C16170" s="1262"/>
      <c r="D16170" s="1219"/>
      <c r="E16170" s="1219"/>
      <c r="F16170" s="1219"/>
      <c r="G16170" s="1219"/>
      <c r="H16170" s="1220"/>
    </row>
    <row r="16171" spans="1:8" ht="15.75" customHeight="1" x14ac:dyDescent="0.25">
      <c r="A16171" s="1263">
        <v>1</v>
      </c>
      <c r="B16171" s="585" t="s">
        <v>93</v>
      </c>
      <c r="C16171" s="588" t="s">
        <v>94</v>
      </c>
      <c r="D16171" s="415">
        <f t="shared" ref="D16171:D16178" si="689">+F16171/E16171</f>
      </c>
      <c r="E16171" s="415">
        <v>5</v>
      </c>
      <c r="F16171" s="1127">
        <v>10</v>
      </c>
      <c r="G16171" s="415">
        <v>1</v>
      </c>
      <c r="H16171" s="416">
        <f t="shared" ref="H16171:H16178" si="690">+G16171*F16171</f>
      </c>
    </row>
    <row r="16172" spans="1:8" ht="15.75" customHeight="1" x14ac:dyDescent="0.25">
      <c r="A16172" s="1263">
        <v>2</v>
      </c>
      <c r="B16172" s="585" t="s">
        <v>2247</v>
      </c>
      <c r="C16172" s="588" t="s">
        <v>25</v>
      </c>
      <c r="D16172" s="415">
        <f t="shared" si="689"/>
      </c>
      <c r="E16172" s="415">
        <v>5</v>
      </c>
      <c r="F16172" s="1127">
        <v>45</v>
      </c>
      <c r="G16172" s="415">
        <v>1</v>
      </c>
      <c r="H16172" s="416">
        <f t="shared" si="690"/>
      </c>
    </row>
    <row r="16173" spans="1:8" ht="15.75" customHeight="1" x14ac:dyDescent="0.25">
      <c r="A16173" s="1263">
        <v>3</v>
      </c>
      <c r="B16173" s="585" t="s">
        <v>132</v>
      </c>
      <c r="C16173" s="588" t="s">
        <v>330</v>
      </c>
      <c r="D16173" s="415">
        <f t="shared" si="689"/>
      </c>
      <c r="E16173" s="415">
        <v>5</v>
      </c>
      <c r="F16173" s="1127">
        <v>50</v>
      </c>
      <c r="G16173" s="415">
        <v>1</v>
      </c>
      <c r="H16173" s="416">
        <f t="shared" si="690"/>
      </c>
    </row>
    <row r="16174" spans="1:8" ht="15.75" customHeight="1" x14ac:dyDescent="0.25">
      <c r="A16174" s="1263">
        <v>4</v>
      </c>
      <c r="B16174" s="585" t="s">
        <v>2406</v>
      </c>
      <c r="C16174" s="588" t="s">
        <v>77</v>
      </c>
      <c r="D16174" s="415">
        <f t="shared" si="689"/>
      </c>
      <c r="E16174" s="415">
        <v>5</v>
      </c>
      <c r="F16174" s="1127">
        <v>20</v>
      </c>
      <c r="G16174" s="415">
        <v>1</v>
      </c>
      <c r="H16174" s="416">
        <f t="shared" si="690"/>
      </c>
    </row>
    <row r="16175" spans="1:8" ht="15.75" customHeight="1" x14ac:dyDescent="0.25">
      <c r="A16175" s="1263">
        <v>5</v>
      </c>
      <c r="B16175" s="585" t="s">
        <v>2250</v>
      </c>
      <c r="C16175" s="588" t="s">
        <v>41</v>
      </c>
      <c r="D16175" s="415">
        <f t="shared" si="689"/>
      </c>
      <c r="E16175" s="415">
        <v>5</v>
      </c>
      <c r="F16175" s="1127">
        <v>10</v>
      </c>
      <c r="G16175" s="415">
        <v>1</v>
      </c>
      <c r="H16175" s="416">
        <f t="shared" si="690"/>
      </c>
    </row>
    <row r="16176" spans="1:8" ht="15.75" customHeight="1" x14ac:dyDescent="0.25">
      <c r="A16176" s="1263">
        <v>6</v>
      </c>
      <c r="B16176" s="585" t="s">
        <v>2251</v>
      </c>
      <c r="C16176" s="588" t="s">
        <v>331</v>
      </c>
      <c r="D16176" s="415">
        <f t="shared" si="689"/>
      </c>
      <c r="E16176" s="415">
        <v>5</v>
      </c>
      <c r="F16176" s="1127">
        <v>100</v>
      </c>
      <c r="G16176" s="415">
        <v>1</v>
      </c>
      <c r="H16176" s="416">
        <f t="shared" si="690"/>
      </c>
    </row>
    <row r="16177" spans="1:10" ht="15.75" customHeight="1" x14ac:dyDescent="0.25">
      <c r="A16177" s="1263">
        <v>7</v>
      </c>
      <c r="B16177" s="585" t="s">
        <v>121</v>
      </c>
      <c r="C16177" s="588" t="s">
        <v>316</v>
      </c>
      <c r="D16177" s="415">
        <f t="shared" si="689"/>
      </c>
      <c r="E16177" s="415">
        <v>10</v>
      </c>
      <c r="F16177" s="1127">
        <v>50</v>
      </c>
      <c r="G16177" s="415">
        <v>1</v>
      </c>
      <c r="H16177" s="416">
        <f t="shared" si="690"/>
      </c>
    </row>
    <row r="16178" spans="1:10" ht="15.75" customHeight="1" x14ac:dyDescent="0.25">
      <c r="A16178" s="1263">
        <v>8</v>
      </c>
      <c r="B16178" s="585" t="s">
        <v>3</v>
      </c>
      <c r="C16178" s="588" t="s">
        <v>4</v>
      </c>
      <c r="D16178" s="415">
        <f t="shared" si="689"/>
      </c>
      <c r="E16178" s="415">
        <v>5</v>
      </c>
      <c r="F16178" s="588">
        <v>20</v>
      </c>
      <c r="G16178" s="415">
        <v>1</v>
      </c>
      <c r="H16178" s="416">
        <f t="shared" si="690"/>
      </c>
    </row>
    <row r="16179" spans="1:10" ht="15.75" customHeight="1" x14ac:dyDescent="0.25">
      <c r="A16179" s="1263"/>
      <c r="B16179" s="1261" t="s">
        <v>1782</v>
      </c>
      <c r="C16179" s="1262"/>
      <c r="D16179" s="415"/>
      <c r="E16179" s="415"/>
      <c r="F16179" s="588"/>
      <c r="G16179" s="415"/>
      <c r="H16179" s="416"/>
    </row>
    <row r="16180" spans="1:10" ht="15.75" customHeight="1" x14ac:dyDescent="0.25">
      <c r="A16180" s="1263">
        <v>9</v>
      </c>
      <c r="B16180" s="585" t="s">
        <v>2258</v>
      </c>
      <c r="C16180" s="588"/>
      <c r="D16180" s="415">
        <f>+F16180/E16180</f>
      </c>
      <c r="E16180" s="415">
        <v>10</v>
      </c>
      <c r="F16180" s="588">
        <v>30</v>
      </c>
      <c r="G16180" s="415">
        <v>1</v>
      </c>
      <c r="H16180" s="416">
        <f>+G16180*F16180</f>
      </c>
    </row>
    <row r="16181" spans="1:10" ht="15.75" customHeight="1" x14ac:dyDescent="0.25">
      <c r="A16181" s="1263"/>
      <c r="B16181" s="1261" t="s">
        <v>2259</v>
      </c>
      <c r="C16181" s="1262"/>
      <c r="D16181" s="593"/>
      <c r="E16181" s="593"/>
      <c r="F16181" s="592"/>
      <c r="G16181" s="593"/>
      <c r="H16181" s="416"/>
    </row>
    <row r="16182" spans="1:10" ht="15.75" customHeight="1" x14ac:dyDescent="0.25">
      <c r="A16182" s="1263">
        <v>10</v>
      </c>
      <c r="B16182" s="585" t="s">
        <v>148</v>
      </c>
      <c r="C16182" s="592"/>
      <c r="D16182" s="592">
        <v>1</v>
      </c>
      <c r="E16182" s="593">
        <v>1</v>
      </c>
      <c r="F16182" s="592">
        <v>1</v>
      </c>
      <c r="G16182" s="593">
        <v>1</v>
      </c>
      <c r="H16182" s="416">
        <f t="shared" ref="H16182:H16183" si="691">+G16182*F16182</f>
      </c>
    </row>
    <row r="16183" spans="1:10" ht="15.75" customHeight="1" x14ac:dyDescent="0.25">
      <c r="A16183" s="1263">
        <v>11</v>
      </c>
      <c r="B16183" s="585" t="s">
        <v>2260</v>
      </c>
      <c r="C16183" s="592"/>
      <c r="D16183" s="626"/>
      <c r="E16183" s="593">
        <v>1</v>
      </c>
      <c r="F16183" s="592">
        <v>1</v>
      </c>
      <c r="G16183" s="593">
        <v>1</v>
      </c>
      <c r="H16183" s="416">
        <f t="shared" si="691"/>
      </c>
    </row>
    <row r="16184" spans="1:10" ht="15.75" customHeight="1" x14ac:dyDescent="0.25">
      <c r="A16184" s="1263"/>
      <c r="B16184" s="585"/>
      <c r="C16184" s="592"/>
      <c r="D16184" s="593"/>
      <c r="E16184" s="593"/>
      <c r="F16184" s="592"/>
      <c r="G16184" s="593"/>
      <c r="H16184" s="931"/>
    </row>
    <row r="16185" spans="1:10" ht="15.75" customHeight="1" x14ac:dyDescent="0.25">
      <c r="A16185" s="1230"/>
      <c r="B16185" s="1235"/>
      <c r="C16185" s="1231"/>
      <c r="D16185" s="592"/>
      <c r="E16185" s="929"/>
      <c r="F16185" s="593"/>
      <c r="G16185" s="973"/>
      <c r="H16185" s="931"/>
    </row>
    <row r="16186" spans="1:10" ht="15.75" customHeight="1" x14ac:dyDescent="0.25">
      <c r="A16186" s="1170"/>
      <c r="B16186" s="1171"/>
      <c r="C16186" s="1172" t="s">
        <v>85</v>
      </c>
      <c r="D16186" s="725">
        <f>SUM(D16171:D16185)</f>
      </c>
      <c r="E16186" s="725"/>
      <c r="F16186" s="725">
        <f>SUM(F16171:F16185)</f>
      </c>
      <c r="G16186" s="1173"/>
      <c r="H16186" s="1174">
        <f>SUM(H16171:H16185)</f>
      </c>
    </row>
    <row r="16187" spans="1:10" ht="15.75" customHeight="1" x14ac:dyDescent="0.25">
      <c r="A16187" s="932"/>
      <c r="B16187" s="933"/>
      <c r="C16187" s="934"/>
      <c r="D16187" s="431"/>
      <c r="E16187" s="935"/>
      <c r="F16187" s="935"/>
      <c r="G16187" s="936"/>
      <c r="H16187" s="444"/>
    </row>
    <row r="16188" spans="1:10" ht="15.75" customHeight="1" x14ac:dyDescent="0.25">
      <c r="A16188" s="994"/>
      <c r="B16188" s="391"/>
      <c r="C16188" s="391"/>
      <c r="D16188" s="446" t="s">
        <v>97</v>
      </c>
      <c r="E16188" s="445" t="s">
        <v>98</v>
      </c>
      <c r="F16188" s="445"/>
      <c r="G16188" s="390"/>
      <c r="H16188" s="394"/>
    </row>
    <row r="16189" spans="1:10" ht="15.75" customHeight="1" x14ac:dyDescent="0.25">
      <c r="A16189" s="994"/>
      <c r="B16189" s="391"/>
      <c r="C16189" s="391"/>
      <c r="D16189" s="446"/>
      <c r="E16189" s="445"/>
      <c r="F16189" s="445"/>
      <c r="G16189" s="390"/>
      <c r="H16189" s="394"/>
    </row>
    <row r="16190" spans="1:10" ht="15.75" customHeight="1" x14ac:dyDescent="0.25">
      <c r="A16190" s="445"/>
      <c r="B16190" s="445"/>
      <c r="C16190" s="445"/>
      <c r="D16190" s="446"/>
      <c r="E16190" s="445"/>
      <c r="F16190" s="445"/>
      <c r="G16190" s="390"/>
      <c r="H16190" s="394"/>
      <c r="I16190" s="2">
        <v>21</v>
      </c>
      <c r="J16190" s="2" t="s">
        <v>2407</v>
      </c>
    </row>
    <row r="16191" spans="1:10" ht="15.75" customHeight="1" x14ac:dyDescent="0.25">
      <c r="A16191" s="445"/>
      <c r="B16191" s="445"/>
      <c r="C16191" s="445"/>
      <c r="D16191" s="446"/>
      <c r="E16191" s="445" t="s">
        <v>99</v>
      </c>
      <c r="F16191" s="445"/>
      <c r="G16191" s="390"/>
      <c r="H16191" s="394"/>
      <c r="I16191" s="2">
        <v>18.5</v>
      </c>
      <c r="J16191" s="2" t="s">
        <v>2407</v>
      </c>
    </row>
    <row r="16192" spans="1:10" ht="15.75" customHeight="1" x14ac:dyDescent="0.25">
      <c r="A16192" s="445"/>
      <c r="B16192" s="445"/>
      <c r="C16192" s="445"/>
      <c r="D16192" s="446"/>
      <c r="E16192" s="445"/>
      <c r="F16192" s="445"/>
      <c r="G16192" s="390"/>
      <c r="H16192" s="394"/>
    </row>
    <row r="16193" spans="1:8" ht="15.75" customHeight="1" x14ac:dyDescent="0.25">
      <c r="A16193" s="445"/>
      <c r="B16193" s="445"/>
      <c r="C16193" s="445"/>
      <c r="D16193" s="446"/>
      <c r="E16193" s="445"/>
      <c r="F16193" s="445"/>
      <c r="G16193" s="390"/>
      <c r="H16193" s="394"/>
    </row>
    <row r="16194" spans="1:8" ht="15.75" customHeight="1" x14ac:dyDescent="0.25">
      <c r="A16194" s="445"/>
      <c r="B16194" s="445"/>
      <c r="C16194" s="445"/>
      <c r="D16194" s="446"/>
      <c r="E16194" s="445"/>
      <c r="F16194" s="445"/>
      <c r="G16194" s="390"/>
      <c r="H16194" s="394"/>
    </row>
    <row r="16195" spans="1:8" ht="15.75" customHeight="1" x14ac:dyDescent="0.25">
      <c r="A16195" s="445"/>
      <c r="B16195" s="445"/>
      <c r="C16195" s="445"/>
      <c r="D16195" s="446"/>
      <c r="E16195" s="445"/>
      <c r="F16195" s="445"/>
      <c r="G16195" s="390"/>
      <c r="H16195" s="394"/>
    </row>
    <row r="16196" spans="1:8" ht="15.75" customHeight="1" x14ac:dyDescent="0.25">
      <c r="A16196" s="445"/>
      <c r="B16196" s="445"/>
      <c r="C16196" s="445"/>
      <c r="D16196" s="446"/>
      <c r="E16196" s="445"/>
      <c r="F16196" s="445"/>
      <c r="G16196" s="390"/>
      <c r="H16196" s="394"/>
    </row>
    <row r="16197" spans="1:8" ht="15.75" customHeight="1" x14ac:dyDescent="0.25">
      <c r="A16197" s="445"/>
      <c r="B16197" s="445"/>
      <c r="C16197" s="445"/>
      <c r="D16197" s="446"/>
      <c r="E16197" s="445"/>
      <c r="F16197" s="445"/>
      <c r="G16197" s="390"/>
      <c r="H16197" s="394"/>
    </row>
    <row r="16198" spans="1:8" ht="15.75" customHeight="1" x14ac:dyDescent="0.25">
      <c r="A16198" s="445"/>
      <c r="B16198" s="445"/>
      <c r="C16198" s="445"/>
      <c r="D16198" s="446"/>
      <c r="E16198" s="445"/>
      <c r="F16198" s="445"/>
      <c r="G16198" s="390"/>
      <c r="H16198" s="394"/>
    </row>
    <row r="16199" spans="1:8" ht="15.75" customHeight="1" x14ac:dyDescent="0.25">
      <c r="A16199" s="445"/>
      <c r="B16199" s="445"/>
      <c r="C16199" s="445"/>
      <c r="D16199" s="446"/>
      <c r="E16199" s="445"/>
      <c r="F16199" s="445"/>
      <c r="G16199" s="390"/>
      <c r="H16199" s="394"/>
    </row>
    <row r="16200" spans="1:8" ht="15.75" customHeight="1" x14ac:dyDescent="0.25">
      <c r="A16200" s="445"/>
      <c r="B16200" s="445"/>
      <c r="C16200" s="445"/>
      <c r="D16200" s="446"/>
      <c r="E16200" s="445"/>
      <c r="F16200" s="445"/>
      <c r="G16200" s="390"/>
      <c r="H16200" s="394"/>
    </row>
    <row r="16201" spans="1:8" ht="15.75" customHeight="1" x14ac:dyDescent="0.25">
      <c r="A16201" s="445"/>
      <c r="B16201" s="445"/>
      <c r="C16201" s="445"/>
      <c r="D16201" s="446"/>
      <c r="E16201" s="445"/>
      <c r="F16201" s="445"/>
      <c r="G16201" s="390"/>
      <c r="H16201" s="394"/>
    </row>
    <row r="16202" spans="1:8" ht="15.75" customHeight="1" x14ac:dyDescent="0.25">
      <c r="A16202" s="8" t="s">
        <v>14</v>
      </c>
      <c r="B16202" s="8"/>
      <c r="C16202" s="8"/>
      <c r="D16202" s="8"/>
      <c r="E16202" s="8"/>
      <c r="F16202" s="8"/>
      <c r="G16202" s="8"/>
      <c r="H16202" s="8"/>
    </row>
    <row r="16203" spans="1:8" ht="15.75" customHeight="1" x14ac:dyDescent="0.25">
      <c r="D16203" s="4"/>
      <c r="H16203" s="4"/>
    </row>
    <row r="16204" spans="1:8" ht="15.75" customHeight="1" x14ac:dyDescent="0.25">
      <c r="A16204" s="390" t="s">
        <v>20</v>
      </c>
      <c r="B16204" s="390"/>
      <c r="C16204" s="388"/>
      <c r="D16204" s="391"/>
      <c r="E16204" s="390"/>
      <c r="F16204" s="395" t="s">
        <v>18</v>
      </c>
      <c r="G16204" s="396" t="s">
        <v>1318</v>
      </c>
      <c r="H16204" s="397"/>
    </row>
    <row r="16205" spans="1:8" ht="15.75" customHeight="1" x14ac:dyDescent="0.25">
      <c r="A16205" s="390" t="inlineStr">
        <is>
          <t>Dealer-009</t>
        </is>
      </c>
      <c r="B16205" s="390"/>
      <c r="C16205" s="390" t="inlineStr">
        <is>
          <t>ATTN: Contact-001</t>
        </is>
      </c>
      <c r="D16205" s="391"/>
      <c r="E16205" s="390"/>
      <c r="F16205" s="395" t="s">
        <v>21</v>
      </c>
      <c r="G16205" s="390" t="s">
        <v>1557</v>
      </c>
      <c r="H16205" s="391"/>
    </row>
    <row r="16206" spans="1:8" ht="15.75" customHeight="1" x14ac:dyDescent="0.25">
      <c r="A16206" s="390" t="inlineStr">
        <is>
          <t>Address line (redacted)</t>
        </is>
      </c>
      <c r="B16206" s="390"/>
      <c r="C16206" s="390"/>
      <c r="D16206" s="398"/>
      <c r="E16206" s="390"/>
      <c r="F16206" s="391"/>
      <c r="G16206" s="390"/>
      <c r="H16206" s="394"/>
    </row>
    <row r="16207" spans="1:8" ht="15.75" customHeight="1" x14ac:dyDescent="0.25">
      <c r="A16207" s="390"/>
      <c r="B16207" s="390"/>
      <c r="C16207" s="1258" t="s">
        <v>2403</v>
      </c>
      <c r="D16207" s="1258"/>
      <c r="E16207" s="1258"/>
      <c r="H16207" s="394"/>
    </row>
    <row r="16208" spans="1:8" ht="15.75" customHeight="1" x14ac:dyDescent="0.25">
      <c r="A16208" s="390" t="s">
        <v>2373</v>
      </c>
      <c r="B16208" s="390"/>
      <c r="C16208" s="1258"/>
      <c r="D16208" s="1258"/>
      <c r="E16208" s="1258"/>
      <c r="H16208" s="394"/>
    </row>
    <row r="16209" spans="1:8" ht="15.75" customHeight="1" x14ac:dyDescent="0.25">
      <c r="A16209" s="390" t="s">
        <v>716</v>
      </c>
      <c r="B16209" s="390"/>
      <c r="C16209" s="390"/>
      <c r="D16209" s="391"/>
      <c r="E16209" s="390"/>
      <c r="F16209" s="391"/>
      <c r="G16209" s="390"/>
      <c r="H16209" s="394"/>
    </row>
    <row r="16210" spans="1:8" ht="15.75" customHeight="1" x14ac:dyDescent="0.25">
      <c r="A16210" s="390" t="s">
        <v>717</v>
      </c>
      <c r="B16210" s="390"/>
      <c r="C16210" s="390"/>
      <c r="D16210" s="391"/>
      <c r="E16210" s="390"/>
      <c r="F16210" s="391"/>
      <c r="G16210" s="390"/>
      <c r="H16210" s="394"/>
    </row>
    <row r="16211" spans="1:8" ht="15.75" customHeight="1" x14ac:dyDescent="0.25">
      <c r="A16211" s="948" t="s">
        <v>33</v>
      </c>
      <c r="B16211" s="872" t="s">
        <v>6</v>
      </c>
      <c r="C16211" s="872"/>
      <c r="D16211" s="874" t="s">
        <v>37</v>
      </c>
      <c r="E16211" s="874" t="s">
        <v>38</v>
      </c>
      <c r="F16211" s="875" t="s">
        <v>7</v>
      </c>
      <c r="G16211" s="872" t="s">
        <v>43</v>
      </c>
      <c r="H16211" s="876" t="s">
        <v>44</v>
      </c>
    </row>
    <row r="16212" spans="1:8" ht="15.75" customHeight="1" x14ac:dyDescent="0.25">
      <c r="A16212" s="1217"/>
      <c r="B16212" s="1261" t="s">
        <v>1102</v>
      </c>
      <c r="C16212" s="1262"/>
      <c r="D16212" s="1219"/>
      <c r="E16212" s="1219"/>
      <c r="F16212" s="1219"/>
      <c r="G16212" s="1219"/>
      <c r="H16212" s="1220"/>
    </row>
    <row r="16213" spans="1:8" ht="15.75" customHeight="1" x14ac:dyDescent="0.25">
      <c r="A16213" s="1263">
        <v>1</v>
      </c>
      <c r="B16213" s="585" t="s">
        <v>2261</v>
      </c>
      <c r="C16213" s="588" t="s">
        <v>142</v>
      </c>
      <c r="D16213" s="415">
        <f t="shared" ref="D16213:D16226" si="692">+F16213/E16213</f>
      </c>
      <c r="E16213" s="415">
        <v>5</v>
      </c>
      <c r="F16213" s="1127">
        <v>10</v>
      </c>
      <c r="G16213" s="415">
        <v>1</v>
      </c>
      <c r="H16213" s="416">
        <f t="shared" ref="H16213:H16227" si="693">+G16213*F16213</f>
      </c>
    </row>
    <row r="16214" spans="1:8" ht="15.75" customHeight="1" x14ac:dyDescent="0.25">
      <c r="A16214" s="1263">
        <v>2</v>
      </c>
      <c r="B16214" s="585" t="s">
        <v>53</v>
      </c>
      <c r="C16214" s="588" t="s">
        <v>54</v>
      </c>
      <c r="D16214" s="415">
        <f t="shared" si="692"/>
      </c>
      <c r="E16214" s="415">
        <v>5</v>
      </c>
      <c r="F16214" s="1127">
        <v>20</v>
      </c>
      <c r="G16214" s="415">
        <v>1</v>
      </c>
      <c r="H16214" s="416">
        <f t="shared" si="693"/>
      </c>
    </row>
    <row r="16215" spans="1:8" ht="15.75" customHeight="1" x14ac:dyDescent="0.25">
      <c r="A16215" s="1263">
        <v>3</v>
      </c>
      <c r="B16215" s="585" t="s">
        <v>93</v>
      </c>
      <c r="C16215" s="588" t="s">
        <v>94</v>
      </c>
      <c r="D16215" s="415">
        <f t="shared" si="692"/>
      </c>
      <c r="E16215" s="415">
        <v>5</v>
      </c>
      <c r="F16215" s="1127">
        <v>5</v>
      </c>
      <c r="G16215" s="415">
        <v>1</v>
      </c>
      <c r="H16215" s="416">
        <f t="shared" si="693"/>
      </c>
    </row>
    <row r="16216" spans="1:8" ht="15.75" customHeight="1" x14ac:dyDescent="0.25">
      <c r="A16216" s="1263">
        <v>4</v>
      </c>
      <c r="B16216" s="585" t="s">
        <v>68</v>
      </c>
      <c r="C16216" s="588" t="s">
        <v>91</v>
      </c>
      <c r="D16216" s="415">
        <f t="shared" si="692"/>
      </c>
      <c r="E16216" s="415">
        <v>5</v>
      </c>
      <c r="F16216" s="1127">
        <v>50</v>
      </c>
      <c r="G16216" s="415">
        <v>1</v>
      </c>
      <c r="H16216" s="416">
        <f t="shared" si="693"/>
      </c>
    </row>
    <row r="16217" spans="1:8" ht="15.75" customHeight="1" x14ac:dyDescent="0.25">
      <c r="A16217" s="1263">
        <v>5</v>
      </c>
      <c r="B16217" s="585" t="s">
        <v>2247</v>
      </c>
      <c r="C16217" s="588" t="s">
        <v>25</v>
      </c>
      <c r="D16217" s="415">
        <f t="shared" si="692"/>
      </c>
      <c r="E16217" s="415">
        <v>5</v>
      </c>
      <c r="F16217" s="1127">
        <v>45</v>
      </c>
      <c r="G16217" s="415">
        <v>1</v>
      </c>
      <c r="H16217" s="416">
        <f t="shared" si="693"/>
      </c>
    </row>
    <row r="16218" spans="1:8" ht="15.75" customHeight="1" x14ac:dyDescent="0.25">
      <c r="A16218" s="1263">
        <v>6</v>
      </c>
      <c r="B16218" s="585" t="s">
        <v>132</v>
      </c>
      <c r="C16218" s="588" t="s">
        <v>330</v>
      </c>
      <c r="D16218" s="415">
        <f t="shared" si="692"/>
      </c>
      <c r="E16218" s="415">
        <v>5</v>
      </c>
      <c r="F16218" s="1127">
        <v>40</v>
      </c>
      <c r="G16218" s="415">
        <v>1</v>
      </c>
      <c r="H16218" s="416">
        <f t="shared" si="693"/>
      </c>
    </row>
    <row r="16219" spans="1:8" ht="15.75" customHeight="1" x14ac:dyDescent="0.25">
      <c r="A16219" s="1263">
        <v>7</v>
      </c>
      <c r="B16219" s="585" t="s">
        <v>2249</v>
      </c>
      <c r="C16219" s="1264" t="s">
        <v>2405</v>
      </c>
      <c r="D16219" s="415">
        <f t="shared" si="692"/>
      </c>
      <c r="E16219" s="415">
        <v>5</v>
      </c>
      <c r="F16219" s="1127">
        <v>10</v>
      </c>
      <c r="G16219" s="415">
        <v>1</v>
      </c>
      <c r="H16219" s="416">
        <f t="shared" si="693"/>
      </c>
    </row>
    <row r="16220" spans="1:8" ht="15.75" customHeight="1" x14ac:dyDescent="0.25">
      <c r="A16220" s="1263">
        <v>8</v>
      </c>
      <c r="B16220" s="585" t="s">
        <v>125</v>
      </c>
      <c r="C16220" s="588" t="s">
        <v>324</v>
      </c>
      <c r="D16220" s="415">
        <f t="shared" si="692"/>
      </c>
      <c r="E16220" s="415">
        <v>5</v>
      </c>
      <c r="F16220" s="1127">
        <v>5</v>
      </c>
      <c r="G16220" s="415">
        <v>1</v>
      </c>
      <c r="H16220" s="416">
        <f t="shared" si="693"/>
      </c>
    </row>
    <row r="16221" spans="1:8" ht="15.75" customHeight="1" x14ac:dyDescent="0.25">
      <c r="A16221" s="1263">
        <v>9</v>
      </c>
      <c r="B16221" s="585" t="s">
        <v>2250</v>
      </c>
      <c r="C16221" s="588" t="s">
        <v>41</v>
      </c>
      <c r="D16221" s="415">
        <f t="shared" si="692"/>
      </c>
      <c r="E16221" s="415">
        <v>5</v>
      </c>
      <c r="F16221" s="1127">
        <v>10</v>
      </c>
      <c r="G16221" s="415">
        <v>1</v>
      </c>
      <c r="H16221" s="416">
        <f t="shared" si="693"/>
      </c>
    </row>
    <row r="16222" spans="1:8" ht="15.75" customHeight="1" x14ac:dyDescent="0.25">
      <c r="A16222" s="1263">
        <v>10</v>
      </c>
      <c r="B16222" s="585" t="s">
        <v>127</v>
      </c>
      <c r="C16222" s="588" t="s">
        <v>326</v>
      </c>
      <c r="D16222" s="415">
        <f t="shared" si="692"/>
      </c>
      <c r="E16222" s="415">
        <v>5</v>
      </c>
      <c r="F16222" s="1127">
        <v>20</v>
      </c>
      <c r="G16222" s="415">
        <v>1</v>
      </c>
      <c r="H16222" s="416">
        <f t="shared" si="693"/>
      </c>
    </row>
    <row r="16223" spans="1:8" ht="15.75" customHeight="1" x14ac:dyDescent="0.25">
      <c r="A16223" s="1263">
        <v>11</v>
      </c>
      <c r="B16223" s="585" t="s">
        <v>2251</v>
      </c>
      <c r="C16223" s="588" t="s">
        <v>331</v>
      </c>
      <c r="D16223" s="415">
        <f t="shared" si="692"/>
      </c>
      <c r="E16223" s="415">
        <v>5</v>
      </c>
      <c r="F16223" s="1127">
        <v>40</v>
      </c>
      <c r="G16223" s="415">
        <v>1</v>
      </c>
      <c r="H16223" s="416">
        <f t="shared" si="693"/>
      </c>
    </row>
    <row r="16224" spans="1:8" ht="15.75" customHeight="1" x14ac:dyDescent="0.25">
      <c r="A16224" s="1263">
        <v>12</v>
      </c>
      <c r="B16224" s="585" t="s">
        <v>121</v>
      </c>
      <c r="C16224" s="588" t="s">
        <v>316</v>
      </c>
      <c r="D16224" s="415">
        <f t="shared" si="692"/>
      </c>
      <c r="E16224" s="415">
        <v>10</v>
      </c>
      <c r="F16224" s="1127">
        <v>40</v>
      </c>
      <c r="G16224" s="415">
        <v>1</v>
      </c>
      <c r="H16224" s="416">
        <f t="shared" si="693"/>
      </c>
    </row>
    <row r="16225" spans="1:8" ht="15.75" customHeight="1" x14ac:dyDescent="0.25">
      <c r="A16225" s="1263">
        <v>13</v>
      </c>
      <c r="B16225" s="585" t="s">
        <v>120</v>
      </c>
      <c r="C16225" s="588" t="s">
        <v>298</v>
      </c>
      <c r="D16225" s="415">
        <f t="shared" si="692"/>
      </c>
      <c r="E16225" s="415">
        <v>5</v>
      </c>
      <c r="F16225" s="1127">
        <v>30</v>
      </c>
      <c r="G16225" s="415">
        <v>1</v>
      </c>
      <c r="H16225" s="416">
        <f t="shared" si="693"/>
      </c>
    </row>
    <row r="16226" spans="1:8" ht="15.75" customHeight="1" x14ac:dyDescent="0.25">
      <c r="A16226" s="1263">
        <v>14</v>
      </c>
      <c r="B16226" s="585" t="s">
        <v>3</v>
      </c>
      <c r="C16226" s="588" t="s">
        <v>4</v>
      </c>
      <c r="D16226" s="415">
        <f t="shared" si="692"/>
      </c>
      <c r="E16226" s="415">
        <v>5</v>
      </c>
      <c r="F16226" s="588">
        <v>20</v>
      </c>
      <c r="G16226" s="415">
        <v>1</v>
      </c>
      <c r="H16226" s="416">
        <f t="shared" si="693"/>
      </c>
    </row>
    <row r="16227" spans="1:8" ht="15.75" customHeight="1" x14ac:dyDescent="0.25">
      <c r="A16227" s="1263">
        <v>15</v>
      </c>
      <c r="B16227" s="1265" t="s">
        <v>118</v>
      </c>
      <c r="C16227" s="1266" t="s">
        <v>204</v>
      </c>
      <c r="D16227" s="415">
        <v>2</v>
      </c>
      <c r="E16227" s="415">
        <v>5</v>
      </c>
      <c r="F16227" s="588">
        <f>+E16227*D16227</f>
      </c>
      <c r="G16227" s="415">
        <v>1</v>
      </c>
      <c r="H16227" s="416">
        <f t="shared" si="693"/>
      </c>
    </row>
    <row r="16228" spans="1:8" ht="15.75" customHeight="1" x14ac:dyDescent="0.25">
      <c r="A16228" s="1263"/>
      <c r="B16228" s="1261" t="s">
        <v>1754</v>
      </c>
      <c r="C16228" s="1262"/>
      <c r="D16228" s="415"/>
      <c r="E16228" s="415"/>
      <c r="F16228" s="588"/>
      <c r="G16228" s="415"/>
      <c r="H16228" s="416"/>
    </row>
    <row r="16229" spans="1:8" ht="15.75" customHeight="1" x14ac:dyDescent="0.25">
      <c r="A16229" s="1263">
        <v>16</v>
      </c>
      <c r="B16229" s="585" t="s">
        <v>2255</v>
      </c>
      <c r="C16229" s="588"/>
      <c r="D16229" s="415">
        <f t="shared" ref="D16229:D16231" si="694">+F16229/E16229</f>
      </c>
      <c r="E16229" s="415">
        <v>10</v>
      </c>
      <c r="F16229" s="1127">
        <v>100</v>
      </c>
      <c r="G16229" s="415">
        <v>1</v>
      </c>
      <c r="H16229" s="416">
        <f t="shared" ref="H16229:H16231" si="695">+G16229*F16229</f>
      </c>
    </row>
    <row r="16230" spans="1:8" ht="15.75" customHeight="1" x14ac:dyDescent="0.25">
      <c r="A16230" s="1263">
        <v>17</v>
      </c>
      <c r="B16230" s="585" t="s">
        <v>2256</v>
      </c>
      <c r="C16230" s="588"/>
      <c r="D16230" s="415">
        <f t="shared" si="694"/>
      </c>
      <c r="E16230" s="415">
        <v>5</v>
      </c>
      <c r="F16230" s="1127">
        <v>25</v>
      </c>
      <c r="G16230" s="415">
        <v>1</v>
      </c>
      <c r="H16230" s="416">
        <f t="shared" si="695"/>
      </c>
    </row>
    <row r="16231" spans="1:8" ht="15.75" customHeight="1" x14ac:dyDescent="0.25">
      <c r="A16231" s="1263">
        <v>18</v>
      </c>
      <c r="B16231" s="585" t="s">
        <v>2257</v>
      </c>
      <c r="C16231" s="588"/>
      <c r="D16231" s="415">
        <f t="shared" si="694"/>
      </c>
      <c r="E16231" s="415">
        <v>5</v>
      </c>
      <c r="F16231" s="1127">
        <v>15</v>
      </c>
      <c r="G16231" s="415">
        <v>1</v>
      </c>
      <c r="H16231" s="416">
        <f t="shared" si="695"/>
      </c>
    </row>
    <row r="16232" spans="1:8" ht="15.75" customHeight="1" x14ac:dyDescent="0.25">
      <c r="A16232" s="1263"/>
      <c r="B16232" s="1261" t="s">
        <v>1782</v>
      </c>
      <c r="C16232" s="1262"/>
      <c r="D16232" s="415"/>
      <c r="E16232" s="415"/>
      <c r="F16232" s="588"/>
      <c r="G16232" s="415"/>
      <c r="H16232" s="416"/>
    </row>
    <row r="16233" spans="1:8" ht="15.75" customHeight="1" x14ac:dyDescent="0.25">
      <c r="A16233" s="1263">
        <v>19</v>
      </c>
      <c r="B16233" s="585" t="s">
        <v>2258</v>
      </c>
      <c r="C16233" s="588"/>
      <c r="D16233" s="415">
        <f t="shared" ref="D16233:D16234" si="696">+F16233/E16233</f>
      </c>
      <c r="E16233" s="415">
        <v>10</v>
      </c>
      <c r="F16233" s="1127">
        <v>50</v>
      </c>
      <c r="G16233" s="415">
        <v>1</v>
      </c>
      <c r="H16233" s="416">
        <f t="shared" ref="H16233:H16234" si="697">+G16233*F16233</f>
      </c>
    </row>
    <row r="16234" spans="1:8" ht="15.75" customHeight="1" x14ac:dyDescent="0.25">
      <c r="A16234" s="1263">
        <v>20</v>
      </c>
      <c r="B16234" s="585" t="s">
        <v>2262</v>
      </c>
      <c r="C16234" s="588"/>
      <c r="D16234" s="415">
        <f t="shared" si="696"/>
      </c>
      <c r="E16234" s="415">
        <v>10</v>
      </c>
      <c r="F16234" s="1127">
        <v>20</v>
      </c>
      <c r="G16234" s="415">
        <v>1</v>
      </c>
      <c r="H16234" s="416">
        <f t="shared" si="697"/>
      </c>
    </row>
    <row r="16235" spans="1:8" ht="15.75" customHeight="1" x14ac:dyDescent="0.25">
      <c r="A16235" s="1263"/>
      <c r="B16235" s="1261" t="s">
        <v>590</v>
      </c>
      <c r="C16235" s="1262"/>
      <c r="D16235" s="593"/>
      <c r="E16235" s="593"/>
      <c r="F16235" s="1202"/>
      <c r="G16235" s="593"/>
      <c r="H16235" s="416"/>
    </row>
    <row r="16236" spans="1:8" ht="15.75" customHeight="1" x14ac:dyDescent="0.25">
      <c r="A16236" s="1263">
        <v>21</v>
      </c>
      <c r="B16236" s="1267" t="s">
        <v>143</v>
      </c>
      <c r="C16236" s="1268" t="s">
        <v>374</v>
      </c>
      <c r="D16236" s="593">
        <v>1</v>
      </c>
      <c r="E16236" s="593">
        <v>6</v>
      </c>
      <c r="F16236" s="1202">
        <f t="shared" ref="F16236:F16240" si="698">+E16236*D16236</f>
      </c>
      <c r="G16236" s="593">
        <v>1</v>
      </c>
      <c r="H16236" s="416">
        <f t="shared" ref="H16236:H16240" si="699">+G16236*F16236</f>
      </c>
    </row>
    <row r="16237" spans="1:8" ht="15.75" customHeight="1" x14ac:dyDescent="0.25">
      <c r="A16237" s="1263">
        <v>22</v>
      </c>
      <c r="B16237" s="1269" t="s">
        <v>215</v>
      </c>
      <c r="C16237" s="1270"/>
      <c r="D16237" s="593">
        <v>2</v>
      </c>
      <c r="E16237" s="593">
        <v>4</v>
      </c>
      <c r="F16237" s="1202">
        <f t="shared" si="698"/>
      </c>
      <c r="G16237" s="593">
        <v>1</v>
      </c>
      <c r="H16237" s="416">
        <f t="shared" si="699"/>
      </c>
    </row>
    <row r="16238" spans="1:8" ht="15.75" customHeight="1" x14ac:dyDescent="0.25">
      <c r="A16238" s="1263">
        <v>23</v>
      </c>
      <c r="B16238" s="1269" t="s">
        <v>216</v>
      </c>
      <c r="C16238" s="1268" t="s">
        <v>387</v>
      </c>
      <c r="D16238" s="593">
        <v>3</v>
      </c>
      <c r="E16238" s="593">
        <v>6</v>
      </c>
      <c r="F16238" s="1202">
        <f t="shared" si="698"/>
      </c>
      <c r="G16238" s="593">
        <v>1</v>
      </c>
      <c r="H16238" s="416">
        <f t="shared" si="699"/>
      </c>
    </row>
    <row r="16239" spans="1:8" ht="15.75" customHeight="1" x14ac:dyDescent="0.25">
      <c r="A16239" s="1263">
        <v>24</v>
      </c>
      <c r="B16239" s="1269" t="s">
        <v>222</v>
      </c>
      <c r="C16239" s="1268" t="s">
        <v>393</v>
      </c>
      <c r="D16239" s="593">
        <v>1</v>
      </c>
      <c r="E16239" s="593">
        <v>6</v>
      </c>
      <c r="F16239" s="1202">
        <f t="shared" si="698"/>
      </c>
      <c r="G16239" s="593">
        <v>1</v>
      </c>
      <c r="H16239" s="416">
        <f t="shared" si="699"/>
      </c>
    </row>
    <row r="16240" spans="1:8" ht="15.75" customHeight="1" x14ac:dyDescent="0.25">
      <c r="A16240" s="1263">
        <v>25</v>
      </c>
      <c r="B16240" s="1268" t="s">
        <v>227</v>
      </c>
      <c r="C16240" s="1268" t="s">
        <v>396</v>
      </c>
      <c r="D16240" s="593">
        <v>1</v>
      </c>
      <c r="E16240" s="593">
        <v>6</v>
      </c>
      <c r="F16240" s="1202">
        <f t="shared" si="698"/>
      </c>
      <c r="G16240" s="593">
        <v>1</v>
      </c>
      <c r="H16240" s="416">
        <f t="shared" si="699"/>
      </c>
    </row>
    <row r="16241" spans="1:8" ht="15.75" customHeight="1" x14ac:dyDescent="0.25">
      <c r="A16241" s="1263"/>
      <c r="B16241" s="1261" t="s">
        <v>1357</v>
      </c>
      <c r="C16241" s="1262"/>
      <c r="D16241" s="593"/>
      <c r="E16241" s="593"/>
      <c r="F16241" s="1202"/>
      <c r="G16241" s="593"/>
      <c r="H16241" s="416"/>
    </row>
    <row r="16242" spans="1:8" ht="15.75" customHeight="1" x14ac:dyDescent="0.25">
      <c r="A16242" s="1263">
        <v>26</v>
      </c>
      <c r="B16242" s="1269" t="s">
        <v>259</v>
      </c>
      <c r="C16242" s="1271" t="s">
        <v>1558</v>
      </c>
      <c r="D16242" s="592">
        <v>1</v>
      </c>
      <c r="E16242" s="592" t="s">
        <v>2409</v>
      </c>
      <c r="F16242" s="1127">
        <v>96</v>
      </c>
      <c r="G16242" s="415">
        <v>1</v>
      </c>
      <c r="H16242" s="416">
        <f>+G16242*F16242</f>
      </c>
    </row>
    <row r="16243" spans="1:8" ht="15.75" customHeight="1" x14ac:dyDescent="0.25">
      <c r="A16243" s="1263">
        <v>27</v>
      </c>
      <c r="B16243" s="1269" t="s">
        <v>259</v>
      </c>
      <c r="C16243" s="1271" t="s">
        <v>1558</v>
      </c>
      <c r="D16243" s="633"/>
      <c r="E16243" s="633"/>
      <c r="F16243" s="1202">
        <v>4</v>
      </c>
      <c r="G16243" s="940" t="s">
        <v>1856</v>
      </c>
      <c r="H16243" s="416"/>
    </row>
    <row r="16244" spans="1:8" ht="15.75" customHeight="1" x14ac:dyDescent="0.25">
      <c r="A16244" s="1170"/>
      <c r="B16244" s="1171"/>
      <c r="C16244" s="1172" t="s">
        <v>85</v>
      </c>
      <c r="D16244" s="725">
        <f>SUM(D16213:D16242)</f>
      </c>
      <c r="E16244" s="725"/>
      <c r="F16244" s="725">
        <f>SUM(F16213:F16242)</f>
      </c>
      <c r="G16244" s="1173"/>
      <c r="H16244" s="1174">
        <f>SUM(H16213:H16243)</f>
      </c>
    </row>
    <row r="16245" spans="1:8" ht="15.75" customHeight="1" x14ac:dyDescent="0.25">
      <c r="A16245" s="932"/>
      <c r="B16245" s="933"/>
      <c r="C16245" s="934"/>
      <c r="D16245" s="431"/>
      <c r="E16245" s="935"/>
      <c r="F16245" s="935"/>
      <c r="G16245" s="936"/>
      <c r="H16245" s="444"/>
    </row>
    <row r="16246" spans="1:8" ht="15.75" customHeight="1" x14ac:dyDescent="0.25">
      <c r="A16246" s="994"/>
      <c r="B16246" s="391"/>
      <c r="C16246" s="391"/>
      <c r="D16246" s="446" t="s">
        <v>97</v>
      </c>
      <c r="E16246" s="445" t="s">
        <v>98</v>
      </c>
      <c r="F16246" s="445"/>
      <c r="G16246" s="390"/>
      <c r="H16246" s="394"/>
    </row>
    <row r="16247" spans="1:8" ht="15.75" customHeight="1" x14ac:dyDescent="0.25">
      <c r="A16247" s="994"/>
      <c r="B16247" s="994"/>
      <c r="C16247" s="391"/>
      <c r="D16247" s="446"/>
      <c r="E16247" s="445"/>
      <c r="F16247" s="445"/>
      <c r="G16247" s="390"/>
      <c r="H16247" s="394"/>
    </row>
    <row r="16248" spans="1:8" ht="15.75" customHeight="1" x14ac:dyDescent="0.25">
      <c r="A16248" s="8" t="s">
        <v>14</v>
      </c>
      <c r="B16248" s="8"/>
      <c r="C16248" s="8"/>
      <c r="D16248" s="8"/>
      <c r="E16248" s="8"/>
      <c r="F16248" s="8"/>
      <c r="G16248" s="8"/>
      <c r="H16248" s="8"/>
    </row>
    <row r="16249" spans="1:8" ht="15.75" customHeight="1" x14ac:dyDescent="0.25">
      <c r="D16249" s="4"/>
      <c r="H16249" s="4"/>
    </row>
    <row r="16250" spans="1:8" ht="15.75" customHeight="1" x14ac:dyDescent="0.25">
      <c r="A16250" s="390" t="s">
        <v>20</v>
      </c>
      <c r="B16250" s="390"/>
      <c r="C16250" s="388"/>
      <c r="D16250" s="391"/>
      <c r="E16250" s="390"/>
      <c r="F16250" s="395" t="s">
        <v>18</v>
      </c>
      <c r="G16250" s="396" t="s">
        <v>1318</v>
      </c>
      <c r="H16250" s="397"/>
    </row>
    <row r="16251" spans="1:8" ht="15.75" customHeight="1" x14ac:dyDescent="0.25">
      <c r="A16251" s="390" t="inlineStr">
        <is>
          <t>Dealer-004</t>
        </is>
      </c>
      <c r="B16251" s="390"/>
      <c r="C16251" s="388"/>
      <c r="D16251" s="391"/>
      <c r="E16251" s="390"/>
      <c r="F16251" s="395" t="s">
        <v>21</v>
      </c>
      <c r="G16251" s="390" t="s">
        <v>1913</v>
      </c>
      <c r="H16251" s="391"/>
    </row>
    <row r="16252" spans="1:8" ht="15.75" customHeight="1" x14ac:dyDescent="0.25">
      <c r="A16252" s="390" t="inlineStr">
        <is>
          <t>Address line (redacted)</t>
        </is>
      </c>
      <c r="B16252" s="390"/>
      <c r="C16252" s="388"/>
      <c r="D16252" s="398"/>
      <c r="E16252" s="390"/>
      <c r="F16252" s="391"/>
      <c r="G16252" s="390"/>
      <c r="H16252" s="394"/>
    </row>
    <row r="16253" spans="1:8" ht="15.75" customHeight="1" x14ac:dyDescent="0.25">
      <c r="A16253" s="390" t="inlineStr">
        <is>
          <t>Address line (redacted)</t>
        </is>
      </c>
      <c r="B16253" s="390"/>
      <c r="C16253" s="1258" t="s">
        <v>2403</v>
      </c>
      <c r="D16253" s="1258"/>
      <c r="E16253" s="1258"/>
      <c r="F16253" s="391"/>
      <c r="G16253" s="390"/>
      <c r="H16253" s="394"/>
    </row>
    <row r="16254" spans="1:8" ht="15.75" customHeight="1" x14ac:dyDescent="0.25">
      <c r="A16254" s="390"/>
      <c r="B16254" s="390"/>
      <c r="C16254" s="1258"/>
      <c r="D16254" s="1258"/>
      <c r="E16254" s="1258"/>
      <c r="F16254" s="391"/>
      <c r="G16254" s="390"/>
      <c r="H16254" s="394"/>
    </row>
    <row r="16255" spans="1:8" ht="15.75" customHeight="1" x14ac:dyDescent="0.25">
      <c r="A16255" s="390" t="s">
        <v>2373</v>
      </c>
      <c r="B16255" s="390"/>
      <c r="C16255" s="390"/>
      <c r="D16255" s="391"/>
      <c r="E16255" s="390"/>
      <c r="F16255" s="391"/>
      <c r="G16255" s="390"/>
      <c r="H16255" s="394"/>
    </row>
    <row r="16256" spans="1:8" ht="15.75" customHeight="1" x14ac:dyDescent="0.25">
      <c r="A16256" s="390"/>
      <c r="B16256" s="390"/>
      <c r="C16256" s="390"/>
      <c r="D16256" s="391"/>
      <c r="E16256" s="390"/>
      <c r="F16256" s="391"/>
      <c r="G16256" s="390"/>
      <c r="H16256" s="394"/>
    </row>
    <row r="16257" spans="1:8" ht="15.75" customHeight="1" x14ac:dyDescent="0.25">
      <c r="A16257" s="390" t="s">
        <v>716</v>
      </c>
      <c r="B16257" s="390"/>
      <c r="C16257" s="390"/>
      <c r="D16257" s="391"/>
      <c r="E16257" s="390"/>
      <c r="F16257" s="391"/>
      <c r="G16257" s="390"/>
      <c r="H16257" s="394"/>
    </row>
    <row r="16258" spans="1:8" ht="15.75" customHeight="1" x14ac:dyDescent="0.25">
      <c r="A16258" s="390" t="s">
        <v>717</v>
      </c>
      <c r="B16258" s="390"/>
      <c r="C16258" s="390"/>
      <c r="D16258" s="391"/>
      <c r="E16258" s="390"/>
      <c r="F16258" s="391"/>
      <c r="G16258" s="390"/>
      <c r="H16258" s="394"/>
    </row>
    <row r="16259" spans="1:8" ht="15.75" customHeight="1" x14ac:dyDescent="0.25">
      <c r="A16259" s="948" t="s">
        <v>33</v>
      </c>
      <c r="B16259" s="872" t="s">
        <v>6</v>
      </c>
      <c r="C16259" s="872"/>
      <c r="D16259" s="874" t="s">
        <v>37</v>
      </c>
      <c r="E16259" s="874" t="s">
        <v>38</v>
      </c>
      <c r="F16259" s="875" t="s">
        <v>7</v>
      </c>
      <c r="G16259" s="872" t="s">
        <v>43</v>
      </c>
      <c r="H16259" s="876" t="s">
        <v>44</v>
      </c>
    </row>
    <row r="16260" spans="1:8" ht="15.75" customHeight="1" x14ac:dyDescent="0.3">
      <c r="A16260" s="412"/>
      <c r="B16260" s="1033"/>
      <c r="C16260" s="1033"/>
      <c r="D16260" s="879"/>
      <c r="E16260" s="879"/>
      <c r="F16260" s="415"/>
      <c r="G16260" s="415"/>
      <c r="H16260" s="416"/>
    </row>
    <row r="16261" spans="1:8" ht="15.75" customHeight="1" x14ac:dyDescent="0.25">
      <c r="A16261" s="1217"/>
      <c r="B16261" s="1261" t="s">
        <v>1102</v>
      </c>
      <c r="C16261" s="1262"/>
      <c r="D16261" s="1219"/>
      <c r="E16261" s="1219"/>
      <c r="F16261" s="1219"/>
      <c r="G16261" s="1219"/>
      <c r="H16261" s="1220"/>
    </row>
    <row r="16262" spans="1:8" ht="15.75" customHeight="1" x14ac:dyDescent="0.25">
      <c r="A16262" s="1263">
        <v>1</v>
      </c>
      <c r="B16262" s="585" t="s">
        <v>68</v>
      </c>
      <c r="C16262" s="588" t="s">
        <v>91</v>
      </c>
      <c r="D16262" s="415">
        <f t="shared" ref="D16262:D16267" si="700">+F16262/E16262</f>
      </c>
      <c r="E16262" s="415">
        <v>5</v>
      </c>
      <c r="F16262" s="1127">
        <v>50</v>
      </c>
      <c r="G16262" s="415">
        <v>1</v>
      </c>
      <c r="H16262" s="416">
        <f t="shared" ref="H16262:H16267" si="701">+G16262*F16262</f>
      </c>
    </row>
    <row r="16263" spans="1:8" ht="15.75" customHeight="1" x14ac:dyDescent="0.25">
      <c r="A16263" s="1263">
        <v>2</v>
      </c>
      <c r="B16263" s="585" t="s">
        <v>2247</v>
      </c>
      <c r="C16263" s="588" t="s">
        <v>25</v>
      </c>
      <c r="D16263" s="415">
        <f t="shared" si="700"/>
      </c>
      <c r="E16263" s="415">
        <v>5</v>
      </c>
      <c r="F16263" s="1127">
        <v>45</v>
      </c>
      <c r="G16263" s="415">
        <v>1</v>
      </c>
      <c r="H16263" s="416">
        <f t="shared" si="701"/>
      </c>
    </row>
    <row r="16264" spans="1:8" ht="15.75" customHeight="1" x14ac:dyDescent="0.25">
      <c r="A16264" s="1263">
        <v>3</v>
      </c>
      <c r="B16264" s="585" t="s">
        <v>132</v>
      </c>
      <c r="C16264" s="588" t="s">
        <v>330</v>
      </c>
      <c r="D16264" s="415">
        <f t="shared" si="700"/>
      </c>
      <c r="E16264" s="415">
        <v>5</v>
      </c>
      <c r="F16264" s="1127">
        <v>90</v>
      </c>
      <c r="G16264" s="415">
        <v>1</v>
      </c>
      <c r="H16264" s="416">
        <f t="shared" si="701"/>
      </c>
    </row>
    <row r="16265" spans="1:8" ht="15.75" customHeight="1" x14ac:dyDescent="0.25">
      <c r="A16265" s="1263">
        <v>4</v>
      </c>
      <c r="B16265" s="585" t="s">
        <v>2250</v>
      </c>
      <c r="C16265" s="588" t="s">
        <v>41</v>
      </c>
      <c r="D16265" s="415">
        <f t="shared" si="700"/>
      </c>
      <c r="E16265" s="415">
        <v>5</v>
      </c>
      <c r="F16265" s="1127">
        <v>10</v>
      </c>
      <c r="G16265" s="415">
        <v>1</v>
      </c>
      <c r="H16265" s="416">
        <f t="shared" si="701"/>
      </c>
    </row>
    <row r="16266" spans="1:8" ht="15.75" customHeight="1" x14ac:dyDescent="0.25">
      <c r="A16266" s="1263">
        <v>5</v>
      </c>
      <c r="B16266" s="585" t="s">
        <v>3</v>
      </c>
      <c r="C16266" s="588" t="s">
        <v>4</v>
      </c>
      <c r="D16266" s="415">
        <f t="shared" si="700"/>
      </c>
      <c r="E16266" s="415">
        <v>5</v>
      </c>
      <c r="F16266" s="588">
        <v>20</v>
      </c>
      <c r="G16266" s="415">
        <v>1</v>
      </c>
      <c r="H16266" s="416">
        <f t="shared" si="701"/>
      </c>
    </row>
    <row r="16267" spans="1:8" ht="15.75" customHeight="1" x14ac:dyDescent="0.25">
      <c r="A16267" s="1263">
        <v>6</v>
      </c>
      <c r="B16267" s="585" t="s">
        <v>1334</v>
      </c>
      <c r="C16267" s="1127" t="s">
        <v>331</v>
      </c>
      <c r="D16267" s="415">
        <f t="shared" si="700"/>
      </c>
      <c r="E16267" s="415">
        <v>5</v>
      </c>
      <c r="F16267" s="592">
        <v>30</v>
      </c>
      <c r="G16267" s="593">
        <v>1</v>
      </c>
      <c r="H16267" s="416">
        <f t="shared" si="701"/>
      </c>
    </row>
    <row r="16268" spans="1:8" ht="15.75" customHeight="1" x14ac:dyDescent="0.25">
      <c r="A16268" s="1230"/>
      <c r="B16268" s="1235"/>
      <c r="C16268" s="1231"/>
      <c r="D16268" s="592"/>
      <c r="E16268" s="929"/>
      <c r="F16268" s="593"/>
      <c r="G16268" s="973"/>
      <c r="H16268" s="931"/>
    </row>
    <row r="16269" spans="1:8" ht="15.75" customHeight="1" x14ac:dyDescent="0.25">
      <c r="A16269" s="1170"/>
      <c r="B16269" s="1171"/>
      <c r="C16269" s="1172" t="s">
        <v>85</v>
      </c>
      <c r="D16269" s="725">
        <f>SUM(D16262:D16268)</f>
      </c>
      <c r="E16269" s="725"/>
      <c r="F16269" s="725">
        <f>SUM(F16262:F16268)</f>
      </c>
      <c r="G16269" s="1173"/>
      <c r="H16269" s="1174">
        <f>SUM(H16262:H16268)</f>
      </c>
    </row>
    <row r="16270" spans="1:8" ht="15.75" customHeight="1" x14ac:dyDescent="0.25">
      <c r="A16270" s="932"/>
      <c r="B16270" s="933"/>
      <c r="C16270" s="934"/>
      <c r="D16270" s="431"/>
      <c r="E16270" s="935"/>
      <c r="F16270" s="935"/>
      <c r="G16270" s="936"/>
      <c r="H16270" s="444"/>
    </row>
    <row r="16271" spans="1:8" ht="15.75" customHeight="1" x14ac:dyDescent="0.25">
      <c r="A16271" s="994"/>
      <c r="B16271" s="391"/>
      <c r="C16271" s="391"/>
      <c r="D16271" s="446" t="s">
        <v>97</v>
      </c>
      <c r="E16271" s="445" t="s">
        <v>98</v>
      </c>
      <c r="F16271" s="445"/>
      <c r="G16271" s="390"/>
      <c r="H16271" s="394"/>
    </row>
    <row r="16272" spans="1:8" ht="15.75" customHeight="1" x14ac:dyDescent="0.25">
      <c r="A16272" s="994"/>
      <c r="B16272" s="391"/>
      <c r="C16272" s="391"/>
      <c r="D16272" s="446"/>
      <c r="E16272" s="445"/>
      <c r="F16272" s="445"/>
      <c r="G16272" s="390"/>
      <c r="H16272" s="394"/>
    </row>
    <row r="16273" spans="1:8" ht="15.75" customHeight="1" x14ac:dyDescent="0.25">
      <c r="A16273" s="445"/>
      <c r="B16273" s="445"/>
      <c r="C16273" s="445"/>
      <c r="D16273" s="446"/>
      <c r="E16273" s="445"/>
      <c r="F16273" s="445"/>
      <c r="G16273" s="390"/>
      <c r="H16273" s="394"/>
    </row>
    <row r="16274" spans="1:8" ht="15.75" customHeight="1" x14ac:dyDescent="0.25">
      <c r="A16274" s="445"/>
      <c r="B16274" s="445"/>
      <c r="C16274" s="445"/>
      <c r="D16274" s="446"/>
      <c r="E16274" s="445" t="s">
        <v>99</v>
      </c>
      <c r="F16274" s="445"/>
      <c r="G16274" s="390"/>
      <c r="H16274" s="394"/>
    </row>
    <row r="16275" spans="1:8" ht="15.75" customHeight="1" x14ac:dyDescent="0.25">
      <c r="A16275" s="445"/>
      <c r="B16275" s="445"/>
      <c r="C16275" s="445"/>
      <c r="D16275" s="446"/>
      <c r="E16275" s="445"/>
      <c r="F16275" s="445"/>
      <c r="G16275" s="390"/>
      <c r="H16275" s="394"/>
    </row>
    <row r="16276" spans="1:8" ht="15.75" customHeight="1" x14ac:dyDescent="0.25">
      <c r="A16276" s="445"/>
      <c r="B16276" s="445"/>
      <c r="C16276" s="445"/>
      <c r="D16276" s="446"/>
      <c r="E16276" s="445"/>
      <c r="F16276" s="445"/>
      <c r="G16276" s="390"/>
      <c r="H16276" s="394"/>
    </row>
    <row r="16277" spans="1:8" ht="15.75" customHeight="1" x14ac:dyDescent="0.25">
      <c r="A16277" s="445"/>
      <c r="B16277" s="445"/>
      <c r="C16277" s="445"/>
      <c r="D16277" s="446"/>
      <c r="E16277" s="445"/>
      <c r="F16277" s="445"/>
      <c r="G16277" s="390"/>
      <c r="H16277" s="394"/>
    </row>
    <row r="16278" spans="1:8" ht="15.75" customHeight="1" x14ac:dyDescent="0.25">
      <c r="A16278" s="445"/>
      <c r="B16278" s="445"/>
      <c r="C16278" s="445"/>
      <c r="D16278" s="446"/>
      <c r="E16278" s="445"/>
      <c r="F16278" s="445"/>
      <c r="G16278" s="390"/>
      <c r="H16278" s="394"/>
    </row>
    <row r="16279" spans="1:8" ht="15.75" customHeight="1" x14ac:dyDescent="0.25">
      <c r="A16279" s="445"/>
      <c r="B16279" s="445"/>
      <c r="C16279" s="445"/>
      <c r="D16279" s="446"/>
      <c r="E16279" s="445"/>
      <c r="F16279" s="445"/>
      <c r="G16279" s="390"/>
      <c r="H16279" s="394"/>
    </row>
    <row r="16280" spans="1:8" ht="15.75" customHeight="1" x14ac:dyDescent="0.25">
      <c r="A16280" s="445"/>
      <c r="B16280" s="445"/>
      <c r="C16280" s="445"/>
      <c r="D16280" s="446"/>
      <c r="E16280" s="445"/>
      <c r="F16280" s="445"/>
      <c r="G16280" s="390"/>
      <c r="H16280" s="394"/>
    </row>
    <row r="16281" spans="1:8" ht="15.75" customHeight="1" x14ac:dyDescent="0.25">
      <c r="A16281" s="445"/>
      <c r="B16281" s="445"/>
      <c r="C16281" s="445"/>
      <c r="D16281" s="446"/>
      <c r="E16281" s="445"/>
      <c r="F16281" s="445"/>
      <c r="G16281" s="390"/>
      <c r="H16281" s="394"/>
    </row>
    <row r="16282" spans="1:8" ht="15.75" customHeight="1" x14ac:dyDescent="0.25">
      <c r="A16282" s="445"/>
      <c r="B16282" s="445"/>
      <c r="C16282" s="445"/>
      <c r="D16282" s="446"/>
      <c r="E16282" s="445"/>
      <c r="F16282" s="445"/>
      <c r="G16282" s="390"/>
      <c r="H16282" s="394"/>
    </row>
    <row r="16283" spans="1:8" ht="15.75" customHeight="1" x14ac:dyDescent="0.25">
      <c r="A16283" s="445"/>
      <c r="B16283" s="445"/>
      <c r="C16283" s="445"/>
      <c r="D16283" s="446"/>
      <c r="E16283" s="445"/>
      <c r="F16283" s="445"/>
      <c r="G16283" s="390"/>
      <c r="H16283" s="394"/>
    </row>
    <row r="16284" spans="1:8" ht="15.75" customHeight="1" x14ac:dyDescent="0.25">
      <c r="A16284" s="445"/>
      <c r="B16284" s="445"/>
      <c r="C16284" s="445"/>
      <c r="D16284" s="446"/>
      <c r="E16284" s="445"/>
      <c r="F16284" s="445"/>
      <c r="G16284" s="390"/>
      <c r="H16284" s="394"/>
    </row>
    <row r="16285" spans="1:8" ht="15.75" customHeight="1" x14ac:dyDescent="0.25">
      <c r="A16285" s="445"/>
      <c r="B16285" s="445"/>
      <c r="C16285" s="445"/>
      <c r="D16285" s="446"/>
      <c r="E16285" s="445"/>
      <c r="F16285" s="445"/>
      <c r="G16285" s="390"/>
      <c r="H16285" s="394"/>
    </row>
    <row r="16286" spans="1:8" ht="15.75" customHeight="1" x14ac:dyDescent="0.25">
      <c r="A16286" s="445"/>
      <c r="B16286" s="445"/>
      <c r="C16286" s="445"/>
      <c r="D16286" s="446"/>
      <c r="E16286" s="445"/>
      <c r="F16286" s="445"/>
      <c r="G16286" s="390"/>
      <c r="H16286" s="394"/>
    </row>
    <row r="16287" spans="1:8" ht="15.75" customHeight="1" x14ac:dyDescent="0.25">
      <c r="A16287" s="445"/>
      <c r="B16287" s="445"/>
      <c r="C16287" s="445"/>
      <c r="D16287" s="446"/>
      <c r="E16287" s="445"/>
      <c r="F16287" s="445"/>
      <c r="G16287" s="390"/>
      <c r="H16287" s="394"/>
    </row>
    <row r="16288" spans="1:8" ht="15.75" customHeight="1" x14ac:dyDescent="0.25">
      <c r="A16288" s="445"/>
      <c r="B16288" s="445"/>
      <c r="C16288" s="445"/>
      <c r="D16288" s="446"/>
      <c r="E16288" s="445"/>
      <c r="F16288" s="445"/>
      <c r="G16288" s="390"/>
      <c r="H16288" s="394"/>
    </row>
    <row r="16289" spans="1:15" ht="15.75" customHeight="1" x14ac:dyDescent="0.25">
      <c r="A16289" s="445"/>
      <c r="B16289" s="445"/>
      <c r="C16289" s="445"/>
      <c r="D16289" s="446"/>
      <c r="E16289" s="445"/>
      <c r="F16289" s="445"/>
      <c r="G16289" s="390"/>
      <c r="H16289" s="394"/>
    </row>
    <row r="16290" spans="1:15" ht="15.75" customHeight="1" x14ac:dyDescent="0.25">
      <c r="A16290" s="445"/>
      <c r="B16290" s="445"/>
      <c r="C16290" s="445"/>
      <c r="D16290" s="446"/>
      <c r="E16290" s="445"/>
      <c r="F16290" s="445"/>
      <c r="G16290" s="390"/>
      <c r="H16290" s="394"/>
    </row>
    <row r="16291" spans="1:15" ht="15.75" customHeight="1" x14ac:dyDescent="0.25">
      <c r="A16291" s="445"/>
      <c r="B16291" s="445"/>
      <c r="C16291" s="445"/>
      <c r="D16291" s="446"/>
      <c r="E16291" s="445"/>
      <c r="F16291" s="445"/>
      <c r="G16291" s="390"/>
      <c r="H16291" s="394"/>
    </row>
    <row r="16292" spans="1:15" ht="15.75" customHeight="1" x14ac:dyDescent="0.25">
      <c r="A16292" s="445"/>
      <c r="B16292" s="445"/>
      <c r="C16292" s="445"/>
      <c r="D16292" s="446"/>
      <c r="E16292" s="445"/>
      <c r="F16292" s="445"/>
      <c r="G16292" s="390"/>
      <c r="H16292" s="394"/>
    </row>
    <row r="16293" spans="1:15" ht="15.75" customHeight="1" x14ac:dyDescent="0.25">
      <c r="A16293" s="445"/>
      <c r="B16293" s="445"/>
      <c r="C16293" s="445"/>
      <c r="D16293" s="446"/>
      <c r="E16293" s="445"/>
      <c r="F16293" s="445"/>
      <c r="G16293" s="390"/>
      <c r="H16293" s="394"/>
    </row>
    <row r="16294" spans="1:15" ht="15.75" customHeight="1" x14ac:dyDescent="0.25">
      <c r="A16294" s="8" t="s">
        <v>14</v>
      </c>
      <c r="B16294" s="8"/>
      <c r="C16294" s="8"/>
      <c r="D16294" s="8"/>
      <c r="E16294" s="8"/>
      <c r="F16294" s="8"/>
      <c r="G16294" s="8"/>
      <c r="H16294" s="8"/>
    </row>
    <row r="16295" spans="1:15" ht="15.75" customHeight="1" x14ac:dyDescent="0.25">
      <c r="D16295" s="4"/>
      <c r="H16295" s="4"/>
    </row>
    <row r="16296" spans="1:15" ht="15.75" customHeight="1" x14ac:dyDescent="0.25">
      <c r="A16296" s="390" t="s">
        <v>20</v>
      </c>
      <c r="B16296" s="390"/>
      <c r="C16296" s="388"/>
      <c r="D16296" s="391"/>
      <c r="E16296" s="390"/>
      <c r="F16296" s="395" t="s">
        <v>18</v>
      </c>
      <c r="G16296" s="396" t="s">
        <v>1318</v>
      </c>
      <c r="H16296" s="397"/>
    </row>
    <row r="16297" spans="1:15" ht="15.75" customHeight="1" x14ac:dyDescent="0.25">
      <c r="A16297" s="390" t="inlineStr">
        <is>
          <t>Dealer-004</t>
        </is>
      </c>
      <c r="B16297" s="390"/>
      <c r="C16297" s="388"/>
      <c r="D16297" s="391"/>
      <c r="E16297" s="390"/>
      <c r="F16297" s="395" t="s">
        <v>21</v>
      </c>
      <c r="G16297" s="390" t="s">
        <v>1943</v>
      </c>
      <c r="H16297" s="391"/>
      <c r="J16297" s="390"/>
      <c r="K16297" s="390"/>
      <c r="L16297" s="391"/>
      <c r="M16297" s="390"/>
      <c r="N16297" s="395"/>
      <c r="O16297" s="390"/>
    </row>
    <row r="16298" spans="1:15" ht="15.75" customHeight="1" x14ac:dyDescent="0.25">
      <c r="A16298" s="390" t="inlineStr">
        <is>
          <t>Address line (redacted)</t>
        </is>
      </c>
      <c r="B16298" s="390"/>
      <c r="C16298" s="1258" t="s">
        <v>2403</v>
      </c>
      <c r="D16298" s="1258"/>
      <c r="E16298" s="1258"/>
      <c r="F16298" s="391"/>
      <c r="G16298" s="390"/>
      <c r="H16298" s="394"/>
      <c r="J16298" s="390"/>
      <c r="K16298" s="390"/>
      <c r="L16298" s="398"/>
      <c r="M16298" s="390"/>
      <c r="N16298" s="391"/>
      <c r="O16298" s="390"/>
    </row>
    <row r="16299" spans="1:15" ht="15.75" customHeight="1" x14ac:dyDescent="0.25">
      <c r="A16299" s="390" t="inlineStr">
        <is>
          <t>Address line (redacted)</t>
        </is>
      </c>
      <c r="B16299" s="390"/>
      <c r="C16299" s="1258"/>
      <c r="D16299" s="1258"/>
      <c r="E16299" s="1258"/>
      <c r="F16299" s="391"/>
      <c r="G16299" s="390"/>
      <c r="H16299" s="394"/>
      <c r="J16299" s="390"/>
      <c r="K16299" s="390"/>
      <c r="L16299" s="398"/>
      <c r="M16299" s="390"/>
      <c r="N16299" s="391"/>
      <c r="O16299" s="390"/>
    </row>
    <row r="16300" spans="1:15" ht="15.75" customHeight="1" x14ac:dyDescent="0.25">
      <c r="A16300" s="390"/>
      <c r="B16300" s="390"/>
      <c r="C16300" s="393" t="inlineStr">
        <is>
          <t>ATTN: Contact-006</t>
        </is>
      </c>
      <c r="D16300" s="4"/>
      <c r="F16300" s="391"/>
      <c r="G16300" s="390"/>
      <c r="H16300" s="394"/>
      <c r="J16300" s="390"/>
      <c r="K16300" s="390"/>
      <c r="L16300" s="398"/>
      <c r="M16300" s="390"/>
      <c r="N16300" s="391"/>
      <c r="O16300" s="390"/>
    </row>
    <row r="16301" spans="1:15" ht="15.75" customHeight="1" x14ac:dyDescent="0.25">
      <c r="A16301" s="393" t="inlineStr">
        <is>
          <t>Dealer-021</t>
        </is>
      </c>
      <c r="B16301" s="390"/>
      <c r="D16301" s="4"/>
      <c r="F16301" s="391"/>
      <c r="G16301" s="390"/>
      <c r="H16301" s="394"/>
      <c r="J16301" s="390"/>
      <c r="K16301" s="390"/>
      <c r="L16301" s="398"/>
      <c r="M16301" s="390"/>
      <c r="N16301" s="391"/>
      <c r="O16301" s="390"/>
    </row>
    <row r="16302" spans="1:15" ht="15.75" customHeight="1" x14ac:dyDescent="0.25">
      <c r="A16302" s="2" t="inlineStr">
        <is>
          <t>Address line (redacted)</t>
        </is>
      </c>
      <c r="B16302" s="390"/>
      <c r="D16302" s="4"/>
      <c r="F16302" s="391"/>
      <c r="G16302" s="390"/>
      <c r="H16302" s="394"/>
      <c r="J16302" s="390"/>
      <c r="K16302" s="390"/>
      <c r="L16302" s="398"/>
      <c r="M16302" s="390"/>
      <c r="N16302" s="391"/>
      <c r="O16302" s="390"/>
    </row>
    <row r="16303" spans="1:15" ht="15.75" customHeight="1" x14ac:dyDescent="0.25">
      <c r="A16303" s="390"/>
      <c r="B16303" s="390"/>
      <c r="D16303" s="4"/>
      <c r="F16303" s="391"/>
      <c r="G16303" s="390"/>
      <c r="H16303" s="394"/>
      <c r="J16303" s="390"/>
      <c r="K16303" s="390"/>
      <c r="L16303" s="398"/>
      <c r="M16303" s="390"/>
      <c r="N16303" s="391"/>
      <c r="O16303" s="390"/>
    </row>
    <row r="16304" spans="1:15" ht="15.75" customHeight="1" x14ac:dyDescent="0.25">
      <c r="A16304" s="390"/>
      <c r="B16304" s="390"/>
      <c r="C16304" s="7"/>
      <c r="D16304" s="398"/>
      <c r="E16304" s="390"/>
      <c r="F16304" s="391"/>
      <c r="G16304" s="390"/>
      <c r="H16304" s="394"/>
      <c r="J16304" s="390"/>
      <c r="K16304" s="390"/>
      <c r="L16304" s="391"/>
      <c r="M16304" s="393"/>
      <c r="N16304" s="391"/>
      <c r="O16304" s="390"/>
    </row>
    <row r="16305" spans="1:15" ht="15.75" customHeight="1" x14ac:dyDescent="0.25">
      <c r="A16305" s="390" t="s">
        <v>2373</v>
      </c>
      <c r="B16305" s="390"/>
      <c r="C16305" s="390"/>
      <c r="D16305" s="391"/>
      <c r="E16305" s="390"/>
      <c r="F16305" s="391"/>
      <c r="G16305" s="390"/>
      <c r="H16305" s="394"/>
      <c r="I16305" s="390"/>
      <c r="J16305" s="390"/>
      <c r="K16305" s="390"/>
      <c r="L16305" s="391"/>
      <c r="M16305" s="390"/>
      <c r="N16305" s="391"/>
      <c r="O16305" s="390"/>
    </row>
    <row r="16306" spans="1:15" ht="15.75" customHeight="1" x14ac:dyDescent="0.25">
      <c r="A16306" s="390"/>
      <c r="B16306" s="390"/>
      <c r="C16306" s="390"/>
      <c r="D16306" s="391"/>
      <c r="E16306" s="390"/>
      <c r="F16306" s="391"/>
      <c r="G16306" s="390"/>
      <c r="H16306" s="394"/>
      <c r="J16306" s="393"/>
      <c r="K16306" s="393"/>
      <c r="L16306" s="398"/>
      <c r="N16306" s="398"/>
      <c r="O16306" s="393"/>
    </row>
    <row r="16307" spans="1:15" ht="15.75" customHeight="1" x14ac:dyDescent="0.25">
      <c r="A16307" s="390" t="s">
        <v>716</v>
      </c>
      <c r="B16307" s="390"/>
      <c r="C16307" s="390"/>
      <c r="D16307" s="391"/>
      <c r="E16307" s="390"/>
      <c r="F16307" s="391"/>
      <c r="G16307" s="390"/>
      <c r="H16307" s="394"/>
      <c r="J16307" s="390"/>
      <c r="K16307" s="390"/>
      <c r="L16307" s="391"/>
      <c r="M16307" s="390"/>
      <c r="N16307" s="391"/>
      <c r="O16307" s="390"/>
    </row>
    <row r="16308" spans="1:15" ht="15.75" customHeight="1" x14ac:dyDescent="0.25">
      <c r="A16308" s="390" t="s">
        <v>717</v>
      </c>
      <c r="B16308" s="390"/>
      <c r="C16308" s="390"/>
      <c r="D16308" s="391"/>
      <c r="E16308" s="390"/>
      <c r="F16308" s="391"/>
      <c r="G16308" s="390"/>
      <c r="H16308" s="394"/>
    </row>
    <row r="16309" spans="1:15" ht="15.75" customHeight="1" x14ac:dyDescent="0.25">
      <c r="A16309" s="948" t="s">
        <v>33</v>
      </c>
      <c r="B16309" s="872" t="s">
        <v>6</v>
      </c>
      <c r="C16309" s="872"/>
      <c r="D16309" s="874" t="s">
        <v>37</v>
      </c>
      <c r="E16309" s="874" t="s">
        <v>38</v>
      </c>
      <c r="F16309" s="875" t="s">
        <v>7</v>
      </c>
      <c r="G16309" s="872" t="s">
        <v>43</v>
      </c>
      <c r="H16309" s="876" t="s">
        <v>44</v>
      </c>
    </row>
    <row r="16310" spans="1:15" ht="15.75" customHeight="1" x14ac:dyDescent="0.3">
      <c r="A16310" s="412"/>
      <c r="B16310" s="1033"/>
      <c r="C16310" s="1033"/>
      <c r="D16310" s="879"/>
      <c r="E16310" s="879"/>
      <c r="F16310" s="415"/>
      <c r="G16310" s="415"/>
      <c r="H16310" s="416"/>
    </row>
    <row r="16311" spans="1:15" ht="15.75" customHeight="1" x14ac:dyDescent="0.25">
      <c r="A16311" s="1217"/>
      <c r="B16311" s="1261" t="s">
        <v>1102</v>
      </c>
      <c r="C16311" s="1262"/>
      <c r="D16311" s="1219"/>
      <c r="E16311" s="1219"/>
      <c r="F16311" s="1219"/>
      <c r="G16311" s="1219"/>
      <c r="H16311" s="1220"/>
    </row>
    <row r="16312" spans="1:15" ht="15.75" customHeight="1" x14ac:dyDescent="0.25">
      <c r="A16312" s="1263">
        <v>1</v>
      </c>
      <c r="B16312" s="585" t="s">
        <v>113</v>
      </c>
      <c r="C16312" s="588" t="s">
        <v>114</v>
      </c>
      <c r="D16312" s="415">
        <f t="shared" ref="D16312:D16323" si="702">+F16312/E16312</f>
      </c>
      <c r="E16312" s="415">
        <v>10</v>
      </c>
      <c r="F16312" s="984">
        <v>10</v>
      </c>
      <c r="G16312" s="415">
        <v>1</v>
      </c>
      <c r="H16312" s="416">
        <f t="shared" ref="H16312:H16323" si="703">+G16312*F16312</f>
      </c>
    </row>
    <row r="16313" spans="1:15" ht="15.75" customHeight="1" x14ac:dyDescent="0.25">
      <c r="A16313" s="1263">
        <v>2</v>
      </c>
      <c r="B16313" s="585" t="s">
        <v>68</v>
      </c>
      <c r="C16313" s="588" t="s">
        <v>91</v>
      </c>
      <c r="D16313" s="415">
        <f t="shared" si="702"/>
      </c>
      <c r="E16313" s="415">
        <v>5</v>
      </c>
      <c r="F16313" s="984">
        <v>50</v>
      </c>
      <c r="G16313" s="415">
        <v>1</v>
      </c>
      <c r="H16313" s="416">
        <f t="shared" si="703"/>
      </c>
    </row>
    <row r="16314" spans="1:15" ht="15.75" customHeight="1" x14ac:dyDescent="0.25">
      <c r="A16314" s="1263">
        <v>3</v>
      </c>
      <c r="B16314" s="585" t="s">
        <v>2247</v>
      </c>
      <c r="C16314" s="588" t="s">
        <v>25</v>
      </c>
      <c r="D16314" s="415">
        <f t="shared" si="702"/>
      </c>
      <c r="E16314" s="415">
        <v>5</v>
      </c>
      <c r="F16314" s="984">
        <v>20</v>
      </c>
      <c r="G16314" s="415">
        <v>1</v>
      </c>
      <c r="H16314" s="416">
        <f t="shared" si="703"/>
      </c>
    </row>
    <row r="16315" spans="1:15" ht="15.75" customHeight="1" x14ac:dyDescent="0.25">
      <c r="A16315" s="1263">
        <v>4</v>
      </c>
      <c r="B16315" s="585" t="s">
        <v>132</v>
      </c>
      <c r="C16315" s="588" t="s">
        <v>330</v>
      </c>
      <c r="D16315" s="415">
        <f t="shared" si="702"/>
      </c>
      <c r="E16315" s="415">
        <v>5</v>
      </c>
      <c r="F16315" s="984">
        <v>25</v>
      </c>
      <c r="G16315" s="415">
        <v>1</v>
      </c>
      <c r="H16315" s="416">
        <f t="shared" si="703"/>
      </c>
    </row>
    <row r="16316" spans="1:15" ht="15.75" customHeight="1" x14ac:dyDescent="0.25">
      <c r="A16316" s="1263">
        <v>5</v>
      </c>
      <c r="B16316" s="585" t="s">
        <v>2410</v>
      </c>
      <c r="C16316" s="588" t="s">
        <v>77</v>
      </c>
      <c r="D16316" s="415">
        <f t="shared" si="702"/>
      </c>
      <c r="E16316" s="415">
        <v>5</v>
      </c>
      <c r="F16316" s="984">
        <v>20</v>
      </c>
      <c r="G16316" s="415">
        <v>1</v>
      </c>
      <c r="H16316" s="416">
        <f t="shared" si="703"/>
      </c>
    </row>
    <row r="16317" spans="1:15" ht="15.75" customHeight="1" x14ac:dyDescent="0.25">
      <c r="A16317" s="1263">
        <v>6</v>
      </c>
      <c r="B16317" s="585" t="s">
        <v>2249</v>
      </c>
      <c r="C16317" s="1264" t="s">
        <v>2405</v>
      </c>
      <c r="D16317" s="415">
        <f t="shared" si="702"/>
      </c>
      <c r="E16317" s="415">
        <v>5</v>
      </c>
      <c r="F16317" s="984">
        <v>5</v>
      </c>
      <c r="G16317" s="415">
        <v>1</v>
      </c>
      <c r="H16317" s="416">
        <f t="shared" si="703"/>
      </c>
    </row>
    <row r="16318" spans="1:15" ht="15.75" customHeight="1" x14ac:dyDescent="0.25">
      <c r="A16318" s="1263">
        <v>7</v>
      </c>
      <c r="B16318" s="585" t="s">
        <v>2250</v>
      </c>
      <c r="C16318" s="588" t="s">
        <v>41</v>
      </c>
      <c r="D16318" s="415">
        <f t="shared" si="702"/>
      </c>
      <c r="E16318" s="415">
        <v>5</v>
      </c>
      <c r="F16318" s="984">
        <v>10</v>
      </c>
      <c r="G16318" s="415">
        <v>1</v>
      </c>
      <c r="H16318" s="416">
        <f t="shared" si="703"/>
      </c>
    </row>
    <row r="16319" spans="1:15" ht="15.75" customHeight="1" x14ac:dyDescent="0.25">
      <c r="A16319" s="1263">
        <v>8</v>
      </c>
      <c r="B16319" s="585" t="s">
        <v>127</v>
      </c>
      <c r="C16319" s="588" t="s">
        <v>326</v>
      </c>
      <c r="D16319" s="415">
        <f t="shared" si="702"/>
      </c>
      <c r="E16319" s="415">
        <v>5</v>
      </c>
      <c r="F16319" s="984">
        <v>30</v>
      </c>
      <c r="G16319" s="415">
        <v>1</v>
      </c>
      <c r="H16319" s="416">
        <f t="shared" si="703"/>
      </c>
    </row>
    <row r="16320" spans="1:15" ht="15.75" customHeight="1" x14ac:dyDescent="0.25">
      <c r="A16320" s="1263">
        <v>9</v>
      </c>
      <c r="B16320" s="585" t="s">
        <v>2251</v>
      </c>
      <c r="C16320" s="588" t="s">
        <v>331</v>
      </c>
      <c r="D16320" s="415">
        <f t="shared" si="702"/>
      </c>
      <c r="E16320" s="415">
        <v>5</v>
      </c>
      <c r="F16320" s="984">
        <v>40</v>
      </c>
      <c r="G16320" s="415">
        <v>1</v>
      </c>
      <c r="H16320" s="416">
        <f t="shared" si="703"/>
      </c>
    </row>
    <row r="16321" spans="1:8" ht="15.75" customHeight="1" x14ac:dyDescent="0.25">
      <c r="A16321" s="1263">
        <v>10</v>
      </c>
      <c r="B16321" s="585" t="s">
        <v>2252</v>
      </c>
      <c r="C16321" s="588" t="s">
        <v>321</v>
      </c>
      <c r="D16321" s="415">
        <f t="shared" si="702"/>
      </c>
      <c r="E16321" s="415">
        <v>5</v>
      </c>
      <c r="F16321" s="984">
        <v>30</v>
      </c>
      <c r="G16321" s="415">
        <v>1</v>
      </c>
      <c r="H16321" s="416">
        <f t="shared" si="703"/>
      </c>
    </row>
    <row r="16322" spans="1:8" ht="15.75" customHeight="1" x14ac:dyDescent="0.25">
      <c r="A16322" s="1263">
        <v>11</v>
      </c>
      <c r="B16322" s="585" t="s">
        <v>121</v>
      </c>
      <c r="C16322" s="588" t="s">
        <v>316</v>
      </c>
      <c r="D16322" s="415">
        <f t="shared" si="702"/>
      </c>
      <c r="E16322" s="415">
        <v>10</v>
      </c>
      <c r="F16322" s="984">
        <v>30</v>
      </c>
      <c r="G16322" s="415">
        <v>1</v>
      </c>
      <c r="H16322" s="416">
        <f t="shared" si="703"/>
      </c>
    </row>
    <row r="16323" spans="1:8" ht="15.75" customHeight="1" x14ac:dyDescent="0.25">
      <c r="A16323" s="1263">
        <v>12</v>
      </c>
      <c r="B16323" s="585" t="s">
        <v>120</v>
      </c>
      <c r="C16323" s="588" t="s">
        <v>298</v>
      </c>
      <c r="D16323" s="415">
        <f t="shared" si="702"/>
      </c>
      <c r="E16323" s="415">
        <v>5</v>
      </c>
      <c r="F16323" s="984">
        <v>30</v>
      </c>
      <c r="G16323" s="415">
        <v>1</v>
      </c>
      <c r="H16323" s="416">
        <f t="shared" si="703"/>
      </c>
    </row>
    <row r="16324" spans="1:8" ht="15.75" customHeight="1" x14ac:dyDescent="0.25">
      <c r="A16324" s="1263"/>
      <c r="B16324" s="1261" t="s">
        <v>1754</v>
      </c>
      <c r="C16324" s="1262"/>
      <c r="D16324" s="415"/>
      <c r="E16324" s="415"/>
      <c r="F16324" s="588"/>
      <c r="G16324" s="415"/>
      <c r="H16324" s="416"/>
    </row>
    <row r="16325" spans="1:8" ht="15.75" customHeight="1" x14ac:dyDescent="0.25">
      <c r="A16325" s="1263">
        <v>13</v>
      </c>
      <c r="B16325" s="585" t="s">
        <v>2255</v>
      </c>
      <c r="C16325" s="588"/>
      <c r="D16325" s="415">
        <f t="shared" ref="D16325:D16326" si="704">+F16325/E16325</f>
      </c>
      <c r="E16325" s="415">
        <v>10</v>
      </c>
      <c r="F16325" s="984">
        <v>50</v>
      </c>
      <c r="G16325" s="415">
        <v>1</v>
      </c>
      <c r="H16325" s="416">
        <f t="shared" ref="H16325:H16326" si="705">+G16325*F16325</f>
      </c>
    </row>
    <row r="16326" spans="1:8" ht="15.75" customHeight="1" x14ac:dyDescent="0.25">
      <c r="A16326" s="1263">
        <v>14</v>
      </c>
      <c r="B16326" s="585" t="s">
        <v>2256</v>
      </c>
      <c r="C16326" s="588"/>
      <c r="D16326" s="415">
        <f t="shared" si="704"/>
      </c>
      <c r="E16326" s="415">
        <v>5</v>
      </c>
      <c r="F16326" s="984">
        <v>10</v>
      </c>
      <c r="G16326" s="415">
        <v>1</v>
      </c>
      <c r="H16326" s="416">
        <f t="shared" si="705"/>
      </c>
    </row>
    <row r="16327" spans="1:8" ht="15.75" customHeight="1" x14ac:dyDescent="0.25">
      <c r="A16327" s="1263"/>
      <c r="B16327" s="1261" t="s">
        <v>1782</v>
      </c>
      <c r="C16327" s="1262"/>
      <c r="D16327" s="415"/>
      <c r="E16327" s="415"/>
      <c r="F16327" s="588"/>
      <c r="G16327" s="415"/>
      <c r="H16327" s="416"/>
    </row>
    <row r="16328" spans="1:8" ht="15.75" customHeight="1" x14ac:dyDescent="0.25">
      <c r="A16328" s="1263">
        <v>15</v>
      </c>
      <c r="B16328" s="585" t="s">
        <v>2262</v>
      </c>
      <c r="C16328" s="588"/>
      <c r="D16328" s="415">
        <f>+F16328/E16328</f>
      </c>
      <c r="E16328" s="415">
        <v>10</v>
      </c>
      <c r="F16328" s="984">
        <v>20</v>
      </c>
      <c r="G16328" s="415">
        <v>1</v>
      </c>
      <c r="H16328" s="416">
        <f>+G16328*F16328</f>
      </c>
    </row>
    <row r="16329" spans="1:8" ht="15.75" customHeight="1" x14ac:dyDescent="0.25">
      <c r="A16329" s="1230"/>
      <c r="B16329" s="1235"/>
      <c r="C16329" s="1231"/>
      <c r="D16329" s="592"/>
      <c r="E16329" s="929"/>
      <c r="F16329" s="593"/>
      <c r="G16329" s="973"/>
      <c r="H16329" s="931"/>
    </row>
    <row r="16330" spans="1:8" ht="15.75" customHeight="1" x14ac:dyDescent="0.25">
      <c r="A16330" s="1170"/>
      <c r="B16330" s="1171"/>
      <c r="C16330" s="1172" t="s">
        <v>85</v>
      </c>
      <c r="D16330" s="725">
        <f>SUM(D16312:D16329)</f>
      </c>
      <c r="E16330" s="725"/>
      <c r="F16330" s="725">
        <f>SUM(F16312:F16329)</f>
      </c>
      <c r="G16330" s="1173"/>
      <c r="H16330" s="1174">
        <f>SUM(H16312:H16329)</f>
      </c>
    </row>
    <row r="16331" spans="1:8" ht="15.75" customHeight="1" x14ac:dyDescent="0.25">
      <c r="A16331" s="932"/>
      <c r="B16331" s="933"/>
      <c r="C16331" s="934"/>
      <c r="D16331" s="431"/>
      <c r="E16331" s="935"/>
      <c r="F16331" s="935"/>
      <c r="G16331" s="936"/>
      <c r="H16331" s="444"/>
    </row>
    <row r="16332" spans="1:8" ht="15.75" customHeight="1" x14ac:dyDescent="0.25">
      <c r="A16332" s="994"/>
      <c r="B16332" s="391"/>
      <c r="C16332" s="391"/>
      <c r="D16332" s="446" t="s">
        <v>97</v>
      </c>
      <c r="E16332" s="445" t="s">
        <v>98</v>
      </c>
      <c r="F16332" s="445"/>
      <c r="G16332" s="390"/>
      <c r="H16332" s="394"/>
    </row>
    <row r="16333" spans="1:8" ht="15.75" customHeight="1" x14ac:dyDescent="0.25">
      <c r="A16333" s="994"/>
      <c r="B16333" s="391"/>
      <c r="C16333" s="391"/>
      <c r="D16333" s="446"/>
      <c r="E16333" s="445"/>
      <c r="F16333" s="445"/>
      <c r="G16333" s="390"/>
      <c r="H16333" s="394"/>
    </row>
    <row r="16334" spans="1:8" ht="15.75" customHeight="1" x14ac:dyDescent="0.25">
      <c r="A16334" s="445"/>
      <c r="B16334" s="445"/>
      <c r="C16334" s="445"/>
      <c r="D16334" s="446"/>
      <c r="E16334" s="445"/>
      <c r="F16334" s="445"/>
      <c r="G16334" s="390"/>
      <c r="H16334" s="394"/>
    </row>
    <row r="16335" spans="1:8" ht="15.75" customHeight="1" x14ac:dyDescent="0.25">
      <c r="A16335" s="445"/>
      <c r="B16335" s="445"/>
      <c r="C16335" s="445"/>
      <c r="D16335" s="446"/>
      <c r="E16335" s="445" t="s">
        <v>99</v>
      </c>
      <c r="F16335" s="445"/>
      <c r="G16335" s="390"/>
      <c r="H16335" s="394"/>
    </row>
    <row r="16336" spans="1:8" ht="15.75" customHeight="1" x14ac:dyDescent="0.25">
      <c r="A16336" s="445"/>
      <c r="B16336" s="445"/>
      <c r="C16336" s="445"/>
      <c r="D16336" s="446"/>
      <c r="E16336" s="445"/>
      <c r="F16336" s="445"/>
      <c r="G16336" s="390"/>
      <c r="H16336" s="394"/>
    </row>
    <row r="16337" spans="1:8" ht="15.75" customHeight="1" x14ac:dyDescent="0.25">
      <c r="A16337" s="445"/>
      <c r="B16337" s="445"/>
      <c r="C16337" s="445"/>
      <c r="D16337" s="446"/>
      <c r="E16337" s="445"/>
      <c r="F16337" s="445"/>
      <c r="G16337" s="390"/>
      <c r="H16337" s="394"/>
    </row>
    <row r="16338" spans="1:8" ht="15.75" customHeight="1" x14ac:dyDescent="0.25">
      <c r="A16338" s="445"/>
      <c r="B16338" s="445"/>
      <c r="C16338" s="445"/>
      <c r="D16338" s="446"/>
      <c r="E16338" s="445"/>
      <c r="F16338" s="445"/>
      <c r="G16338" s="390"/>
      <c r="H16338" s="394"/>
    </row>
    <row r="16339" spans="1:8" ht="15.75" customHeight="1" x14ac:dyDescent="0.25">
      <c r="A16339" s="445"/>
      <c r="B16339" s="445"/>
      <c r="C16339" s="445"/>
      <c r="D16339" s="446"/>
      <c r="E16339" s="445"/>
      <c r="F16339" s="445"/>
      <c r="G16339" s="390"/>
      <c r="H16339" s="394"/>
    </row>
    <row r="16340" spans="1:8" ht="15.75" customHeight="1" x14ac:dyDescent="0.25">
      <c r="A16340" s="8" t="s">
        <v>14</v>
      </c>
      <c r="B16340" s="8"/>
      <c r="C16340" s="8"/>
      <c r="D16340" s="8"/>
      <c r="E16340" s="8"/>
      <c r="F16340" s="8"/>
      <c r="G16340" s="8"/>
      <c r="H16340" s="8"/>
    </row>
    <row r="16341" spans="1:8" ht="15.75" customHeight="1" x14ac:dyDescent="0.25">
      <c r="D16341" s="4"/>
      <c r="H16341" s="4"/>
    </row>
    <row r="16342" spans="1:8" ht="15.75" customHeight="1" x14ac:dyDescent="0.25">
      <c r="A16342" s="390" t="s">
        <v>20</v>
      </c>
      <c r="B16342" s="390"/>
      <c r="C16342" s="388"/>
      <c r="D16342" s="391"/>
      <c r="E16342" s="390"/>
      <c r="F16342" s="395" t="s">
        <v>18</v>
      </c>
      <c r="G16342" s="396" t="s">
        <v>1318</v>
      </c>
      <c r="H16342" s="397"/>
    </row>
    <row r="16343" spans="1:8" ht="15.75" customHeight="1" x14ac:dyDescent="0.25">
      <c r="A16343" s="390" t="inlineStr">
        <is>
          <t>Dealer-025</t>
        </is>
      </c>
      <c r="B16343" s="390"/>
      <c r="C16343" s="398" t="inlineStr">
        <is>
          <t>Contact-009</t>
        </is>
      </c>
      <c r="D16343" s="391"/>
      <c r="E16343" s="390"/>
      <c r="F16343" s="395" t="s">
        <v>21</v>
      </c>
      <c r="G16343" s="390" t="s">
        <v>2062</v>
      </c>
      <c r="H16343" s="391"/>
    </row>
    <row r="16344" spans="1:8" ht="15.75" customHeight="1" x14ac:dyDescent="0.25">
      <c r="A16344" s="390" t="inlineStr">
        <is>
          <t>Address line (redacted)</t>
        </is>
      </c>
      <c r="B16344" s="390"/>
      <c r="C16344" s="390"/>
      <c r="D16344" s="398"/>
      <c r="E16344" s="390"/>
      <c r="F16344" s="391"/>
      <c r="G16344" s="390"/>
      <c r="H16344" s="394"/>
    </row>
    <row r="16345" spans="1:8" ht="15.75" customHeight="1" x14ac:dyDescent="0.25">
      <c r="A16345" s="390" t="inlineStr">
        <is>
          <t>Address line (redacted)</t>
        </is>
      </c>
      <c r="B16345" s="390"/>
      <c r="C16345" s="390"/>
      <c r="D16345" s="398"/>
      <c r="E16345" s="390"/>
      <c r="F16345" s="391"/>
      <c r="G16345" s="390"/>
      <c r="H16345" s="394"/>
    </row>
    <row r="16346" spans="1:8" ht="15.75" customHeight="1" x14ac:dyDescent="0.25">
      <c r="A16346" s="390" t="inlineStr">
        <is>
          <t>Address line (redacted)</t>
        </is>
      </c>
      <c r="B16346" s="390"/>
      <c r="C16346" s="7"/>
      <c r="D16346" s="398"/>
      <c r="E16346" s="390"/>
      <c r="F16346" s="391"/>
      <c r="G16346" s="390"/>
      <c r="H16346" s="394"/>
    </row>
    <row r="16347" spans="1:8" ht="15.75" customHeight="1" x14ac:dyDescent="0.25">
      <c r="A16347" s="390"/>
      <c r="B16347" s="390"/>
      <c r="C16347" s="7"/>
      <c r="D16347" s="398"/>
      <c r="E16347" s="390"/>
      <c r="F16347" s="391"/>
      <c r="G16347" s="390"/>
      <c r="H16347" s="394"/>
    </row>
    <row r="16348" spans="1:8" ht="15.75" customHeight="1" x14ac:dyDescent="0.25">
      <c r="A16348" s="390" t="s">
        <v>2373</v>
      </c>
      <c r="B16348" s="390"/>
      <c r="C16348" s="390"/>
      <c r="D16348" s="391"/>
      <c r="E16348" s="390"/>
      <c r="F16348" s="391"/>
      <c r="G16348" s="390"/>
      <c r="H16348" s="394"/>
    </row>
    <row r="16349" spans="1:8" ht="15.75" customHeight="1" x14ac:dyDescent="0.25">
      <c r="A16349" s="390"/>
      <c r="B16349" s="390"/>
      <c r="C16349" s="390"/>
      <c r="D16349" s="391"/>
      <c r="E16349" s="390"/>
      <c r="F16349" s="391"/>
      <c r="G16349" s="390"/>
      <c r="H16349" s="394"/>
    </row>
    <row r="16350" spans="1:8" ht="15.75" customHeight="1" x14ac:dyDescent="0.25">
      <c r="A16350" s="390" t="s">
        <v>716</v>
      </c>
      <c r="B16350" s="390"/>
      <c r="C16350" s="390"/>
      <c r="D16350" s="391"/>
      <c r="E16350" s="390"/>
      <c r="F16350" s="391"/>
      <c r="G16350" s="390"/>
      <c r="H16350" s="394"/>
    </row>
    <row r="16351" spans="1:8" ht="15.75" customHeight="1" x14ac:dyDescent="0.25">
      <c r="A16351" s="390" t="s">
        <v>717</v>
      </c>
      <c r="B16351" s="390"/>
      <c r="C16351" s="390"/>
      <c r="D16351" s="391"/>
      <c r="E16351" s="390"/>
      <c r="F16351" s="391"/>
      <c r="G16351" s="390"/>
      <c r="H16351" s="394"/>
    </row>
    <row r="16352" spans="1:8" ht="15.75" customHeight="1" x14ac:dyDescent="0.25">
      <c r="A16352" s="948" t="s">
        <v>33</v>
      </c>
      <c r="B16352" s="872" t="s">
        <v>6</v>
      </c>
      <c r="C16352" s="872"/>
      <c r="D16352" s="874" t="s">
        <v>37</v>
      </c>
      <c r="E16352" s="874" t="s">
        <v>38</v>
      </c>
      <c r="F16352" s="875" t="s">
        <v>7</v>
      </c>
      <c r="G16352" s="872" t="s">
        <v>43</v>
      </c>
      <c r="H16352" s="876" t="s">
        <v>44</v>
      </c>
    </row>
    <row r="16353" spans="1:20" ht="15.75" customHeight="1" x14ac:dyDescent="0.3">
      <c r="A16353" s="412"/>
      <c r="B16353" s="1033"/>
      <c r="C16353" s="1033"/>
      <c r="D16353" s="879"/>
      <c r="E16353" s="879"/>
      <c r="F16353" s="415"/>
      <c r="G16353" s="415"/>
      <c r="H16353" s="416"/>
    </row>
    <row r="16354" spans="1:20" ht="15.75" customHeight="1" x14ac:dyDescent="0.25">
      <c r="A16354" s="1217"/>
      <c r="B16354" s="1261" t="s">
        <v>1102</v>
      </c>
      <c r="C16354" s="1262"/>
      <c r="D16354" s="1219"/>
      <c r="E16354" s="1219"/>
      <c r="F16354" s="1219"/>
      <c r="G16354" s="1219"/>
      <c r="H16354" s="1220"/>
    </row>
    <row r="16355" spans="1:20" ht="15.75" customHeight="1" x14ac:dyDescent="0.25">
      <c r="A16355" s="1263">
        <v>1</v>
      </c>
      <c r="B16355" s="585" t="s">
        <v>2261</v>
      </c>
      <c r="C16355" s="588" t="s">
        <v>142</v>
      </c>
      <c r="D16355" s="415">
        <f>+F16355/E16355</f>
      </c>
      <c r="E16355" s="415">
        <v>5</v>
      </c>
      <c r="F16355" s="1127">
        <v>40</v>
      </c>
      <c r="G16355" s="415">
        <v>1</v>
      </c>
      <c r="H16355" s="416">
        <f>+G16355*F16355</f>
      </c>
    </row>
    <row r="16356" spans="1:20" ht="15" customHeight="1" x14ac:dyDescent="0.25">
      <c r="A16356" s="1217"/>
      <c r="B16356" s="1261" t="s">
        <v>590</v>
      </c>
      <c r="C16356" s="1262"/>
      <c r="D16356" s="1219"/>
      <c r="E16356" s="1219"/>
      <c r="F16356" s="1219"/>
      <c r="G16356" s="1219"/>
      <c r="H16356" s="1220"/>
      <c r="J16356" s="388"/>
      <c r="K16356" s="388"/>
      <c r="L16356" s="388"/>
      <c r="M16356" s="388"/>
      <c r="N16356" s="388"/>
      <c r="O16356" s="388"/>
      <c r="P16356" s="388"/>
      <c r="Q16356" s="388"/>
      <c r="R16356" s="388"/>
      <c r="S16356" s="388"/>
      <c r="T16356" s="388"/>
    </row>
    <row r="16357" spans="1:20" ht="15" customHeight="1" x14ac:dyDescent="0.25">
      <c r="A16357" s="1263">
        <v>2</v>
      </c>
      <c r="B16357" s="585" t="s">
        <v>136</v>
      </c>
      <c r="C16357" s="588" t="s">
        <v>387</v>
      </c>
      <c r="D16357" s="415">
        <v>5</v>
      </c>
      <c r="E16357" s="415">
        <v>6</v>
      </c>
      <c r="F16357" s="588">
        <f t="shared" ref="F16357:F16360" si="706">+E16357*D16357</f>
      </c>
      <c r="G16357" s="415">
        <v>1</v>
      </c>
      <c r="H16357" s="416">
        <f t="shared" ref="H16357:H16360" si="707">+G16357*F16357</f>
      </c>
      <c r="J16357" s="388"/>
      <c r="K16357" s="388"/>
      <c r="L16357" s="388"/>
      <c r="M16357" s="388"/>
      <c r="N16357" s="388"/>
      <c r="O16357" s="388"/>
      <c r="P16357" s="388"/>
      <c r="Q16357" s="388"/>
      <c r="R16357" s="388"/>
      <c r="S16357" s="388"/>
      <c r="T16357" s="388"/>
    </row>
    <row r="16358" spans="1:20" ht="15" customHeight="1" x14ac:dyDescent="0.25">
      <c r="A16358" s="1263">
        <v>3</v>
      </c>
      <c r="B16358" s="585" t="s">
        <v>226</v>
      </c>
      <c r="C16358" s="588" t="s">
        <v>395</v>
      </c>
      <c r="D16358" s="415">
        <v>1</v>
      </c>
      <c r="E16358" s="415">
        <v>6</v>
      </c>
      <c r="F16358" s="588">
        <f t="shared" si="706"/>
      </c>
      <c r="G16358" s="415">
        <v>1</v>
      </c>
      <c r="H16358" s="416">
        <f t="shared" si="707"/>
      </c>
      <c r="J16358" s="388"/>
      <c r="K16358" s="388"/>
      <c r="L16358" s="388"/>
      <c r="M16358" s="388"/>
      <c r="N16358" s="388"/>
      <c r="O16358" s="388"/>
      <c r="P16358" s="388"/>
      <c r="Q16358" s="388"/>
      <c r="R16358" s="388"/>
      <c r="S16358" s="388"/>
      <c r="T16358" s="388"/>
    </row>
    <row r="16359" spans="1:20" ht="15" customHeight="1" x14ac:dyDescent="0.25">
      <c r="A16359" s="1263">
        <v>4</v>
      </c>
      <c r="B16359" s="585" t="s">
        <v>81</v>
      </c>
      <c r="C16359" s="588" t="s">
        <v>396</v>
      </c>
      <c r="D16359" s="415">
        <v>4</v>
      </c>
      <c r="E16359" s="415">
        <v>6</v>
      </c>
      <c r="F16359" s="588">
        <f t="shared" si="706"/>
      </c>
      <c r="G16359" s="415">
        <v>1</v>
      </c>
      <c r="H16359" s="416">
        <f t="shared" si="707"/>
      </c>
      <c r="J16359" s="388"/>
      <c r="K16359" s="388"/>
      <c r="L16359" s="388"/>
      <c r="M16359" s="388"/>
      <c r="N16359" s="388"/>
      <c r="O16359" s="388"/>
      <c r="P16359" s="388"/>
      <c r="Q16359" s="388"/>
      <c r="R16359" s="388"/>
      <c r="S16359" s="388"/>
      <c r="T16359" s="388"/>
    </row>
    <row r="16360" spans="1:20" ht="15" customHeight="1" x14ac:dyDescent="0.25">
      <c r="A16360" s="1263">
        <v>5</v>
      </c>
      <c r="B16360" s="585" t="s">
        <v>105</v>
      </c>
      <c r="C16360" s="588" t="s">
        <v>2154</v>
      </c>
      <c r="D16360" s="415">
        <v>1</v>
      </c>
      <c r="E16360" s="415">
        <v>6</v>
      </c>
      <c r="F16360" s="588">
        <f t="shared" si="706"/>
      </c>
      <c r="G16360" s="415">
        <v>1</v>
      </c>
      <c r="H16360" s="416">
        <f t="shared" si="707"/>
      </c>
    </row>
    <row r="16361" spans="1:20" ht="15" customHeight="1" x14ac:dyDescent="0.25">
      <c r="A16361" s="1263"/>
      <c r="B16361" s="585"/>
      <c r="C16361" s="592"/>
      <c r="D16361" s="593"/>
      <c r="E16361" s="593"/>
      <c r="F16361" s="1202"/>
      <c r="G16361" s="593"/>
      <c r="H16361" s="931"/>
      <c r="I16361" s="968"/>
    </row>
    <row r="16362" spans="1:20" ht="15.75" customHeight="1" x14ac:dyDescent="0.25">
      <c r="A16362" s="1263"/>
      <c r="B16362" s="585"/>
      <c r="C16362" s="592"/>
      <c r="D16362" s="593"/>
      <c r="E16362" s="593"/>
      <c r="F16362" s="1202"/>
      <c r="G16362" s="593"/>
      <c r="H16362" s="931"/>
    </row>
    <row r="16363" spans="1:20" ht="15.75" customHeight="1" x14ac:dyDescent="0.25">
      <c r="A16363" s="1263"/>
      <c r="B16363" s="585"/>
      <c r="C16363" s="1122"/>
      <c r="D16363" s="892"/>
      <c r="E16363" s="892"/>
      <c r="F16363" s="1210"/>
      <c r="G16363" s="892"/>
      <c r="H16363" s="893"/>
      <c r="I16363" s="674"/>
      <c r="J16363" s="674"/>
      <c r="K16363" s="674"/>
      <c r="L16363" s="674"/>
      <c r="M16363" s="674"/>
      <c r="N16363" s="674"/>
      <c r="O16363" s="674"/>
      <c r="P16363" s="674"/>
      <c r="Q16363" s="674"/>
      <c r="R16363" s="674"/>
      <c r="S16363" s="674"/>
      <c r="T16363" s="674"/>
    </row>
    <row r="16364" spans="1:20" ht="15.75" customHeight="1" x14ac:dyDescent="0.25">
      <c r="A16364" s="894"/>
      <c r="B16364" s="616"/>
      <c r="C16364" s="1272"/>
      <c r="D16364" s="408"/>
      <c r="E16364" s="408"/>
      <c r="F16364" s="1273"/>
      <c r="G16364" s="408" t="s">
        <v>85</v>
      </c>
      <c r="H16364" s="559">
        <f>SUM(H16355:H16363)</f>
      </c>
      <c r="I16364" s="827"/>
      <c r="J16364" s="827"/>
      <c r="K16364" s="827"/>
      <c r="L16364" s="827"/>
      <c r="M16364" s="827"/>
      <c r="N16364" s="827"/>
      <c r="O16364" s="827"/>
      <c r="P16364" s="827"/>
      <c r="Q16364" s="827"/>
      <c r="R16364" s="827"/>
      <c r="S16364" s="827"/>
      <c r="T16364" s="827"/>
    </row>
    <row r="16365" spans="1:20" ht="15.75" customHeight="1" x14ac:dyDescent="0.25">
      <c r="A16365" s="1274"/>
      <c r="B16365" s="1275"/>
      <c r="C16365" s="1276" t="s">
        <v>2412</v>
      </c>
      <c r="D16365" s="845"/>
      <c r="E16365" s="845"/>
      <c r="F16365" s="1277"/>
      <c r="G16365" s="845"/>
      <c r="H16365" s="851">
        <v>1</v>
      </c>
    </row>
    <row r="16366" spans="1:20" ht="15.75" customHeight="1" x14ac:dyDescent="0.25">
      <c r="A16366" s="1263"/>
      <c r="B16366" s="585"/>
      <c r="C16366" s="633"/>
      <c r="D16366" s="427"/>
      <c r="E16366" s="427"/>
      <c r="F16366" s="1203"/>
      <c r="G16366" s="427"/>
      <c r="H16366" s="429"/>
    </row>
    <row r="16367" spans="1:20" ht="15.75" customHeight="1" x14ac:dyDescent="0.25">
      <c r="A16367" s="1263"/>
      <c r="B16367" s="585"/>
      <c r="C16367" s="592"/>
      <c r="D16367" s="593"/>
      <c r="E16367" s="593"/>
      <c r="F16367" s="1202"/>
      <c r="G16367" s="593"/>
      <c r="H16367" s="931"/>
    </row>
    <row r="16368" spans="1:20" ht="15.75" customHeight="1" x14ac:dyDescent="0.25">
      <c r="A16368" s="1230"/>
      <c r="B16368" s="1235"/>
      <c r="C16368" s="1231"/>
      <c r="D16368" s="592"/>
      <c r="E16368" s="929"/>
      <c r="F16368" s="593"/>
      <c r="G16368" s="973"/>
      <c r="H16368" s="931"/>
    </row>
    <row r="16369" spans="1:8" ht="15.75" customHeight="1" x14ac:dyDescent="0.25">
      <c r="A16369" s="1170"/>
      <c r="B16369" s="1171"/>
      <c r="C16369" s="1172" t="s">
        <v>85</v>
      </c>
      <c r="D16369" s="725">
        <f>SUM(D16355:D16368)</f>
      </c>
      <c r="E16369" s="725"/>
      <c r="F16369" s="725">
        <f>SUM(F16355:F16368)</f>
      </c>
      <c r="G16369" s="1173"/>
      <c r="H16369" s="1174">
        <f>+H16364-H16365</f>
      </c>
    </row>
    <row r="16370" spans="1:8" ht="15.75" customHeight="1" x14ac:dyDescent="0.25">
      <c r="A16370" s="932"/>
      <c r="B16370" s="933"/>
      <c r="C16370" s="934"/>
      <c r="D16370" s="431"/>
      <c r="E16370" s="935"/>
      <c r="F16370" s="935"/>
      <c r="G16370" s="936"/>
      <c r="H16370" s="444"/>
    </row>
    <row r="16371" spans="1:8" ht="15.75" customHeight="1" x14ac:dyDescent="0.25">
      <c r="A16371" s="994"/>
      <c r="B16371" s="391"/>
      <c r="C16371" s="391"/>
      <c r="D16371" s="446" t="s">
        <v>97</v>
      </c>
      <c r="E16371" s="445" t="s">
        <v>98</v>
      </c>
      <c r="F16371" s="445"/>
      <c r="G16371" s="390"/>
      <c r="H16371" s="394"/>
    </row>
    <row r="16372" spans="1:8" ht="15.75" customHeight="1" x14ac:dyDescent="0.25">
      <c r="A16372" s="994"/>
      <c r="B16372" s="391"/>
      <c r="C16372" s="391"/>
      <c r="D16372" s="446"/>
      <c r="E16372" s="445"/>
      <c r="F16372" s="445"/>
      <c r="G16372" s="390"/>
      <c r="H16372" s="394"/>
    </row>
    <row r="16373" spans="1:8" ht="15.75" customHeight="1" x14ac:dyDescent="0.25">
      <c r="A16373" s="445"/>
      <c r="B16373" s="445"/>
      <c r="C16373" s="445"/>
      <c r="D16373" s="446"/>
      <c r="E16373" s="445"/>
      <c r="F16373" s="445"/>
      <c r="G16373" s="390"/>
      <c r="H16373" s="394"/>
    </row>
    <row r="16374" spans="1:8" ht="15.75" customHeight="1" x14ac:dyDescent="0.25">
      <c r="A16374" s="445"/>
      <c r="B16374" s="445"/>
      <c r="C16374" s="445"/>
      <c r="D16374" s="446"/>
      <c r="E16374" s="445" t="s">
        <v>99</v>
      </c>
      <c r="F16374" s="445"/>
      <c r="G16374" s="390"/>
      <c r="H16374" s="394"/>
    </row>
    <row r="16375" spans="1:8" ht="15.75" customHeight="1" x14ac:dyDescent="0.25">
      <c r="A16375" s="445"/>
      <c r="B16375" s="445"/>
      <c r="C16375" s="445"/>
      <c r="D16375" s="446"/>
      <c r="E16375" s="445"/>
      <c r="F16375" s="445"/>
      <c r="G16375" s="390"/>
      <c r="H16375" s="394"/>
    </row>
    <row r="16376" spans="1:8" ht="15.75" customHeight="1" x14ac:dyDescent="0.25">
      <c r="A16376" s="445"/>
      <c r="B16376" s="445"/>
      <c r="C16376" s="445"/>
      <c r="D16376" s="446"/>
      <c r="E16376" s="445"/>
      <c r="F16376" s="445"/>
      <c r="G16376" s="390"/>
      <c r="H16376" s="394"/>
    </row>
    <row r="16377" spans="1:8" ht="15.75" customHeight="1" x14ac:dyDescent="0.25">
      <c r="A16377" s="445"/>
      <c r="B16377" s="445"/>
      <c r="C16377" s="445"/>
      <c r="D16377" s="446"/>
      <c r="E16377" s="445"/>
      <c r="F16377" s="445"/>
      <c r="G16377" s="390"/>
      <c r="H16377" s="394"/>
    </row>
    <row r="16378" spans="1:8" ht="15.75" customHeight="1" x14ac:dyDescent="0.25">
      <c r="A16378" s="445"/>
      <c r="B16378" s="445"/>
      <c r="C16378" s="445"/>
      <c r="D16378" s="446"/>
      <c r="E16378" s="445"/>
      <c r="F16378" s="445"/>
      <c r="G16378" s="390"/>
      <c r="H16378" s="394"/>
    </row>
    <row r="16379" spans="1:8" ht="15.75" customHeight="1" x14ac:dyDescent="0.25">
      <c r="A16379" s="445"/>
      <c r="B16379" s="445"/>
      <c r="C16379" s="445"/>
      <c r="D16379" s="446"/>
      <c r="E16379" s="445"/>
      <c r="F16379" s="445"/>
      <c r="G16379" s="390"/>
      <c r="H16379" s="394"/>
    </row>
    <row r="16380" spans="1:8" ht="15.75" customHeight="1" x14ac:dyDescent="0.25">
      <c r="A16380" s="445"/>
      <c r="B16380" s="445"/>
      <c r="C16380" s="445"/>
      <c r="D16380" s="446"/>
      <c r="E16380" s="445"/>
      <c r="F16380" s="445"/>
      <c r="G16380" s="390"/>
      <c r="H16380" s="394"/>
    </row>
    <row r="16381" spans="1:8" ht="15.75" customHeight="1" x14ac:dyDescent="0.25">
      <c r="A16381" s="445"/>
      <c r="B16381" s="445"/>
      <c r="C16381" s="445"/>
      <c r="D16381" s="446"/>
      <c r="E16381" s="445"/>
      <c r="F16381" s="445"/>
      <c r="G16381" s="390"/>
      <c r="H16381" s="394"/>
    </row>
    <row r="16382" spans="1:8" ht="15.75" customHeight="1" x14ac:dyDescent="0.25">
      <c r="A16382" s="445"/>
      <c r="B16382" s="445"/>
      <c r="C16382" s="445"/>
      <c r="D16382" s="446"/>
      <c r="E16382" s="445"/>
      <c r="F16382" s="445"/>
      <c r="G16382" s="390"/>
      <c r="H16382" s="394"/>
    </row>
    <row r="16383" spans="1:8" ht="15.75" customHeight="1" x14ac:dyDescent="0.25">
      <c r="A16383" s="445"/>
      <c r="B16383" s="445"/>
      <c r="C16383" s="445"/>
      <c r="D16383" s="446"/>
      <c r="E16383" s="445"/>
      <c r="F16383" s="445"/>
      <c r="G16383" s="390"/>
      <c r="H16383" s="394"/>
    </row>
    <row r="16384" spans="1:8" ht="15.75" customHeight="1" x14ac:dyDescent="0.25">
      <c r="A16384" s="445"/>
      <c r="B16384" s="445"/>
      <c r="C16384" s="445"/>
      <c r="D16384" s="446"/>
      <c r="E16384" s="445"/>
      <c r="F16384" s="445"/>
      <c r="G16384" s="390"/>
      <c r="H16384" s="394"/>
    </row>
    <row r="16385" spans="1:8" ht="15.75" customHeight="1" x14ac:dyDescent="0.25">
      <c r="A16385" s="8" t="s">
        <v>14</v>
      </c>
      <c r="B16385" s="8"/>
      <c r="C16385" s="8"/>
      <c r="D16385" s="8"/>
      <c r="E16385" s="8"/>
      <c r="F16385" s="8"/>
      <c r="G16385" s="8"/>
      <c r="H16385" s="8"/>
    </row>
    <row r="16386" spans="1:8" ht="15.75" customHeight="1" x14ac:dyDescent="0.25">
      <c r="D16386" s="4"/>
      <c r="H16386" s="4"/>
    </row>
    <row r="16387" spans="1:8" ht="15.75" customHeight="1" x14ac:dyDescent="0.25">
      <c r="A16387" s="390" t="s">
        <v>20</v>
      </c>
      <c r="B16387" s="390"/>
      <c r="C16387" s="388"/>
      <c r="D16387" s="391"/>
      <c r="E16387" s="390"/>
      <c r="F16387" s="395" t="s">
        <v>18</v>
      </c>
      <c r="G16387" s="396" t="s">
        <v>1318</v>
      </c>
      <c r="H16387" s="397"/>
    </row>
    <row r="16388" spans="1:8" ht="15.75" customHeight="1" x14ac:dyDescent="0.25">
      <c r="A16388" s="390" t="inlineStr">
        <is>
          <t>Dealer-018</t>
        </is>
      </c>
      <c r="B16388" s="390"/>
      <c r="C16388" s="388"/>
      <c r="D16388" s="391"/>
      <c r="E16388" s="390"/>
      <c r="F16388" s="395" t="s">
        <v>21</v>
      </c>
      <c r="G16388" s="390" t="s">
        <v>1974</v>
      </c>
      <c r="H16388" s="391"/>
    </row>
    <row r="16389" spans="1:8" ht="15.75" customHeight="1" x14ac:dyDescent="0.25">
      <c r="A16389" s="390" t="inlineStr">
        <is>
          <t>Address line (redacted)</t>
        </is>
      </c>
      <c r="B16389" s="390"/>
      <c r="C16389" s="388"/>
      <c r="D16389" s="391"/>
      <c r="E16389" s="390"/>
      <c r="F16389" s="395"/>
      <c r="G16389" s="390"/>
      <c r="H16389" s="391"/>
    </row>
    <row r="16390" spans="1:8" ht="15.75" customHeight="1" x14ac:dyDescent="0.25">
      <c r="A16390" s="390"/>
      <c r="B16390" s="390"/>
      <c r="C16390" s="388"/>
      <c r="D16390" s="391"/>
      <c r="E16390" s="390"/>
      <c r="F16390" s="395"/>
      <c r="G16390" s="390"/>
      <c r="H16390" s="391"/>
    </row>
    <row r="16391" spans="1:8" ht="15.75" customHeight="1" x14ac:dyDescent="0.25">
      <c r="A16391" s="388" t="inlineStr">
        <is>
          <t>Through: Transporter-001</t>
        </is>
      </c>
      <c r="B16391" s="388"/>
      <c r="C16391" s="388"/>
      <c r="D16391" s="391"/>
      <c r="E16391" s="390"/>
      <c r="F16391" s="395"/>
      <c r="G16391" s="390"/>
      <c r="H16391" s="391"/>
    </row>
    <row r="16392" spans="1:8" ht="15.75" customHeight="1" x14ac:dyDescent="0.25">
      <c r="A16392" s="388"/>
      <c r="B16392" s="388" t="inlineStr">
        <is>
          <t>Address line (redacted)</t>
        </is>
      </c>
      <c r="C16392" s="388"/>
      <c r="D16392" s="391"/>
      <c r="E16392" s="390"/>
      <c r="F16392" s="395"/>
      <c r="G16392" s="390"/>
      <c r="H16392" s="391"/>
    </row>
    <row r="16393" spans="1:8" ht="15.75" customHeight="1" x14ac:dyDescent="0.25">
      <c r="A16393" s="388"/>
      <c r="B16393" s="388" t="inlineStr">
        <is>
          <t>Address line (redacted)</t>
        </is>
      </c>
      <c r="C16393" s="388"/>
      <c r="D16393" s="391"/>
      <c r="E16393" s="390"/>
      <c r="F16393" s="395"/>
      <c r="G16393" s="390"/>
      <c r="H16393" s="391"/>
    </row>
    <row r="16394" spans="1:8" ht="15.75" customHeight="1" x14ac:dyDescent="0.25">
      <c r="A16394" s="390"/>
      <c r="B16394" s="390"/>
      <c r="C16394" s="7"/>
      <c r="D16394" s="398"/>
      <c r="E16394" s="390"/>
      <c r="F16394" s="391"/>
      <c r="G16394" s="390"/>
      <c r="H16394" s="394"/>
    </row>
    <row r="16395" spans="1:8" ht="15.75" customHeight="1" x14ac:dyDescent="0.25">
      <c r="A16395" s="390" t="s">
        <v>2373</v>
      </c>
      <c r="B16395" s="390"/>
      <c r="C16395" s="390"/>
      <c r="D16395" s="391"/>
      <c r="E16395" s="390"/>
      <c r="F16395" s="391"/>
      <c r="G16395" s="390"/>
      <c r="H16395" s="394"/>
    </row>
    <row r="16396" spans="1:8" ht="15.75" customHeight="1" x14ac:dyDescent="0.25">
      <c r="A16396" s="390"/>
      <c r="B16396" s="390"/>
      <c r="C16396" s="390"/>
      <c r="D16396" s="391"/>
      <c r="E16396" s="390"/>
      <c r="F16396" s="391"/>
      <c r="G16396" s="390"/>
      <c r="H16396" s="394"/>
    </row>
    <row r="16397" spans="1:8" ht="15.75" customHeight="1" x14ac:dyDescent="0.25">
      <c r="A16397" s="390" t="s">
        <v>716</v>
      </c>
      <c r="B16397" s="390"/>
      <c r="C16397" s="390"/>
      <c r="D16397" s="391"/>
      <c r="E16397" s="390"/>
      <c r="F16397" s="391"/>
      <c r="G16397" s="390"/>
      <c r="H16397" s="394"/>
    </row>
    <row r="16398" spans="1:8" ht="15.75" customHeight="1" x14ac:dyDescent="0.25">
      <c r="A16398" s="390" t="s">
        <v>717</v>
      </c>
      <c r="B16398" s="390"/>
      <c r="C16398" s="390"/>
      <c r="D16398" s="391"/>
      <c r="E16398" s="390"/>
      <c r="F16398" s="391"/>
      <c r="G16398" s="390"/>
      <c r="H16398" s="394"/>
    </row>
    <row r="16399" spans="1:8" ht="15.75" customHeight="1" x14ac:dyDescent="0.25">
      <c r="A16399" s="948" t="s">
        <v>33</v>
      </c>
      <c r="B16399" s="872" t="s">
        <v>6</v>
      </c>
      <c r="C16399" s="872"/>
      <c r="D16399" s="874" t="s">
        <v>37</v>
      </c>
      <c r="E16399" s="874" t="s">
        <v>38</v>
      </c>
      <c r="F16399" s="875" t="s">
        <v>7</v>
      </c>
      <c r="G16399" s="872" t="s">
        <v>43</v>
      </c>
      <c r="H16399" s="876" t="s">
        <v>44</v>
      </c>
    </row>
    <row r="16400" spans="1:8" ht="15.75" customHeight="1" x14ac:dyDescent="0.3">
      <c r="A16400" s="412"/>
      <c r="B16400" s="1033"/>
      <c r="C16400" s="1033"/>
      <c r="D16400" s="879"/>
      <c r="E16400" s="879"/>
      <c r="F16400" s="415"/>
      <c r="G16400" s="415"/>
      <c r="H16400" s="416"/>
    </row>
    <row r="16401" spans="1:8" ht="15.75" customHeight="1" x14ac:dyDescent="0.25">
      <c r="A16401" s="1217"/>
      <c r="B16401" s="1261" t="s">
        <v>1102</v>
      </c>
      <c r="C16401" s="1262"/>
      <c r="D16401" s="1219"/>
      <c r="E16401" s="1219"/>
      <c r="F16401" s="1219"/>
      <c r="G16401" s="1219"/>
      <c r="H16401" s="1220"/>
    </row>
    <row r="16402" spans="1:8" ht="15.75" customHeight="1" x14ac:dyDescent="0.25">
      <c r="A16402" s="1263">
        <v>1</v>
      </c>
      <c r="B16402" s="585" t="s">
        <v>53</v>
      </c>
      <c r="C16402" s="588" t="s">
        <v>54</v>
      </c>
      <c r="D16402" s="415">
        <f t="shared" ref="D16402:D16405" si="708">+F16402/E16402</f>
      </c>
      <c r="E16402" s="415">
        <v>5</v>
      </c>
      <c r="F16402" s="1127">
        <v>5</v>
      </c>
      <c r="G16402" s="415">
        <v>1</v>
      </c>
      <c r="H16402" s="416">
        <f t="shared" ref="H16402:H16405" si="709">+G16402*F16402</f>
      </c>
    </row>
    <row r="16403" spans="1:8" ht="15.75" customHeight="1" x14ac:dyDescent="0.25">
      <c r="A16403" s="1263">
        <v>2</v>
      </c>
      <c r="B16403" s="585" t="s">
        <v>132</v>
      </c>
      <c r="C16403" s="588" t="s">
        <v>330</v>
      </c>
      <c r="D16403" s="415">
        <f t="shared" si="708"/>
      </c>
      <c r="E16403" s="415">
        <v>5</v>
      </c>
      <c r="F16403" s="1127">
        <v>30</v>
      </c>
      <c r="G16403" s="415">
        <v>1</v>
      </c>
      <c r="H16403" s="416">
        <f t="shared" si="709"/>
      </c>
    </row>
    <row r="16404" spans="1:8" ht="15.75" customHeight="1" x14ac:dyDescent="0.25">
      <c r="A16404" s="1263">
        <v>3</v>
      </c>
      <c r="B16404" s="585" t="s">
        <v>2251</v>
      </c>
      <c r="C16404" s="588" t="s">
        <v>331</v>
      </c>
      <c r="D16404" s="415">
        <f t="shared" si="708"/>
      </c>
      <c r="E16404" s="415">
        <v>5</v>
      </c>
      <c r="F16404" s="1127">
        <v>20</v>
      </c>
      <c r="G16404" s="415">
        <v>1</v>
      </c>
      <c r="H16404" s="416">
        <f t="shared" si="709"/>
      </c>
    </row>
    <row r="16405" spans="1:8" ht="15.75" customHeight="1" x14ac:dyDescent="0.25">
      <c r="A16405" s="1263">
        <v>4</v>
      </c>
      <c r="B16405" s="585" t="s">
        <v>121</v>
      </c>
      <c r="C16405" s="588" t="s">
        <v>316</v>
      </c>
      <c r="D16405" s="415">
        <f t="shared" si="708"/>
      </c>
      <c r="E16405" s="415">
        <v>10</v>
      </c>
      <c r="F16405" s="1127">
        <v>30</v>
      </c>
      <c r="G16405" s="415">
        <v>1</v>
      </c>
      <c r="H16405" s="416">
        <f t="shared" si="709"/>
      </c>
    </row>
    <row r="16406" spans="1:8" ht="15.75" customHeight="1" x14ac:dyDescent="0.25">
      <c r="A16406" s="1263"/>
      <c r="B16406" s="1261" t="s">
        <v>1754</v>
      </c>
      <c r="C16406" s="1262"/>
      <c r="D16406" s="415"/>
      <c r="E16406" s="415"/>
      <c r="F16406" s="588"/>
      <c r="G16406" s="415"/>
      <c r="H16406" s="416"/>
    </row>
    <row r="16407" spans="1:8" ht="15.75" customHeight="1" x14ac:dyDescent="0.25">
      <c r="A16407" s="1263">
        <v>5</v>
      </c>
      <c r="B16407" s="585" t="s">
        <v>2255</v>
      </c>
      <c r="C16407" s="588"/>
      <c r="D16407" s="415">
        <f>+F16407/E16407</f>
      </c>
      <c r="E16407" s="415">
        <v>10</v>
      </c>
      <c r="F16407" s="1127">
        <v>20</v>
      </c>
      <c r="G16407" s="415">
        <v>1</v>
      </c>
      <c r="H16407" s="416">
        <f>+G16407*F16407</f>
      </c>
    </row>
    <row r="16408" spans="1:8" ht="15.75" customHeight="1" x14ac:dyDescent="0.25">
      <c r="A16408" s="1263"/>
      <c r="B16408" s="1261" t="s">
        <v>1782</v>
      </c>
      <c r="C16408" s="1262"/>
      <c r="D16408" s="415"/>
      <c r="E16408" s="415"/>
      <c r="F16408" s="588"/>
      <c r="G16408" s="415"/>
      <c r="H16408" s="416"/>
    </row>
    <row r="16409" spans="1:8" ht="15.75" customHeight="1" x14ac:dyDescent="0.25">
      <c r="A16409" s="1263">
        <v>6</v>
      </c>
      <c r="B16409" s="585" t="s">
        <v>2258</v>
      </c>
      <c r="C16409" s="588"/>
      <c r="D16409" s="415">
        <f t="shared" ref="D16409:D16410" si="710">+F16409/E16409</f>
      </c>
      <c r="E16409" s="415">
        <v>10</v>
      </c>
      <c r="F16409" s="1127">
        <v>20</v>
      </c>
      <c r="G16409" s="415">
        <v>1</v>
      </c>
      <c r="H16409" s="416">
        <f t="shared" ref="H16409:H16410" si="711">+G16409*F16409</f>
      </c>
    </row>
    <row r="16410" spans="1:8" ht="15.75" customHeight="1" x14ac:dyDescent="0.25">
      <c r="A16410" s="1263">
        <v>7</v>
      </c>
      <c r="B16410" s="585" t="s">
        <v>2262</v>
      </c>
      <c r="C16410" s="588"/>
      <c r="D16410" s="415">
        <f t="shared" si="710"/>
      </c>
      <c r="E16410" s="415">
        <v>10</v>
      </c>
      <c r="F16410" s="1127">
        <v>10</v>
      </c>
      <c r="G16410" s="415">
        <v>1</v>
      </c>
      <c r="H16410" s="416">
        <f t="shared" si="711"/>
      </c>
    </row>
    <row r="16411" spans="1:8" ht="15.75" customHeight="1" x14ac:dyDescent="0.25">
      <c r="A16411" s="1263"/>
      <c r="B16411" s="1181" t="s">
        <v>674</v>
      </c>
      <c r="C16411" s="1182"/>
      <c r="D16411" s="593"/>
      <c r="E16411" s="593"/>
      <c r="F16411" s="1202"/>
      <c r="G16411" s="593"/>
      <c r="H16411" s="416"/>
    </row>
    <row r="16412" spans="1:8" ht="15.75" customHeight="1" x14ac:dyDescent="0.25">
      <c r="A16412" s="1263">
        <v>8</v>
      </c>
      <c r="B16412" s="585" t="s">
        <v>537</v>
      </c>
      <c r="C16412" s="592"/>
      <c r="D16412" s="593">
        <v>5</v>
      </c>
      <c r="E16412" s="593">
        <v>2</v>
      </c>
      <c r="F16412" s="1202">
        <f>+E16412*D16412</f>
      </c>
      <c r="G16412" s="593">
        <v>1</v>
      </c>
      <c r="H16412" s="416">
        <f>+G16412*F16412</f>
      </c>
    </row>
    <row r="16413" spans="1:8" ht="15.75" customHeight="1" x14ac:dyDescent="0.25">
      <c r="A16413" s="1263"/>
      <c r="B16413" s="585"/>
      <c r="C16413" s="592"/>
      <c r="D16413" s="593"/>
      <c r="E16413" s="593"/>
      <c r="F16413" s="1202"/>
      <c r="G16413" s="593"/>
      <c r="H16413" s="931"/>
    </row>
    <row r="16414" spans="1:8" ht="15.75" customHeight="1" x14ac:dyDescent="0.25">
      <c r="A16414" s="1263"/>
      <c r="B16414" s="1278" t="s">
        <v>2413</v>
      </c>
      <c r="C16414" s="1279"/>
      <c r="D16414" s="593"/>
      <c r="E16414" s="593"/>
      <c r="F16414" s="1202"/>
      <c r="G16414" s="593"/>
      <c r="H16414" s="931"/>
    </row>
    <row r="16415" spans="1:8" ht="15.75" customHeight="1" x14ac:dyDescent="0.25">
      <c r="A16415" s="1263"/>
      <c r="B16415" s="1280"/>
      <c r="C16415" s="1281"/>
      <c r="D16415" s="593"/>
      <c r="E16415" s="593"/>
      <c r="F16415" s="1202"/>
      <c r="G16415" s="593"/>
      <c r="H16415" s="931"/>
    </row>
    <row r="16416" spans="1:8" ht="15.75" customHeight="1" x14ac:dyDescent="0.25">
      <c r="A16416" s="1263"/>
      <c r="B16416" s="1282"/>
      <c r="C16416" s="1283"/>
      <c r="D16416" s="593"/>
      <c r="E16416" s="593"/>
      <c r="F16416" s="1202"/>
      <c r="G16416" s="593"/>
      <c r="H16416" s="931"/>
    </row>
    <row r="16417" spans="1:9" ht="15.75" customHeight="1" x14ac:dyDescent="0.25">
      <c r="A16417" s="1230"/>
      <c r="B16417" s="1235"/>
      <c r="C16417" s="1231"/>
      <c r="D16417" s="592"/>
      <c r="E16417" s="929"/>
      <c r="F16417" s="593"/>
      <c r="G16417" s="973"/>
      <c r="H16417" s="931"/>
    </row>
    <row r="16418" spans="1:9" ht="15.75" customHeight="1" x14ac:dyDescent="0.25">
      <c r="A16418" s="1170"/>
      <c r="B16418" s="1171"/>
      <c r="C16418" s="1172" t="s">
        <v>85</v>
      </c>
      <c r="D16418" s="725">
        <f>SUM(D16402:D16417)</f>
      </c>
      <c r="E16418" s="725"/>
      <c r="F16418" s="725">
        <f>SUM(F16402:F16417)</f>
      </c>
      <c r="G16418" s="1173"/>
      <c r="H16418" s="1174">
        <f>SUM(H16402:H16417)</f>
      </c>
    </row>
    <row r="16419" spans="1:9" ht="15.75" customHeight="1" x14ac:dyDescent="0.25">
      <c r="A16419" s="932"/>
      <c r="B16419" s="933"/>
      <c r="C16419" s="934"/>
      <c r="D16419" s="431"/>
      <c r="E16419" s="935"/>
      <c r="F16419" s="935"/>
      <c r="G16419" s="936"/>
      <c r="H16419" s="444"/>
    </row>
    <row r="16420" spans="1:9" ht="15.75" customHeight="1" x14ac:dyDescent="0.25">
      <c r="A16420" s="994"/>
      <c r="B16420" s="391"/>
      <c r="C16420" s="391"/>
      <c r="D16420" s="446" t="s">
        <v>97</v>
      </c>
      <c r="E16420" s="445" t="s">
        <v>98</v>
      </c>
      <c r="F16420" s="445"/>
      <c r="G16420" s="390"/>
      <c r="H16420" s="394"/>
    </row>
    <row r="16421" spans="1:9" ht="15.75" customHeight="1" x14ac:dyDescent="0.25">
      <c r="A16421" s="994"/>
      <c r="B16421" s="391"/>
      <c r="C16421" s="391"/>
      <c r="D16421" s="446"/>
      <c r="E16421" s="445"/>
      <c r="F16421" s="445"/>
      <c r="G16421" s="390"/>
      <c r="H16421" s="394"/>
      <c r="I16421" s="968"/>
    </row>
    <row r="16422" spans="1:9" ht="15.75" customHeight="1" x14ac:dyDescent="0.25">
      <c r="A16422" s="445"/>
      <c r="B16422" s="445"/>
      <c r="C16422" s="445"/>
      <c r="D16422" s="446"/>
      <c r="E16422" s="445"/>
      <c r="F16422" s="445"/>
      <c r="G16422" s="390"/>
      <c r="H16422" s="394"/>
    </row>
    <row r="16423" spans="1:9" ht="15.75" customHeight="1" x14ac:dyDescent="0.25">
      <c r="A16423" s="445"/>
      <c r="B16423" s="445"/>
      <c r="C16423" s="445"/>
      <c r="D16423" s="446"/>
      <c r="E16423" s="445" t="s">
        <v>99</v>
      </c>
      <c r="F16423" s="445"/>
      <c r="G16423" s="390"/>
      <c r="H16423" s="394"/>
    </row>
    <row r="16424" spans="1:9" ht="15.75" customHeight="1" x14ac:dyDescent="0.25">
      <c r="D16424" s="4"/>
      <c r="H16424" s="4"/>
    </row>
    <row r="16425" spans="1:9" ht="15.75" customHeight="1" x14ac:dyDescent="0.25">
      <c r="D16425" s="4"/>
      <c r="H16425" s="4"/>
    </row>
    <row r="16426" spans="1:9" ht="15.75" customHeight="1" x14ac:dyDescent="0.25">
      <c r="D16426" s="4"/>
      <c r="H16426" s="4"/>
    </row>
    <row r="16427" spans="1:9" ht="15.75" customHeight="1" x14ac:dyDescent="0.25">
      <c r="D16427" s="4"/>
      <c r="H16427" s="4"/>
    </row>
    <row r="16428" spans="1:9" ht="15.75" customHeight="1" x14ac:dyDescent="0.25">
      <c r="D16428" s="4"/>
      <c r="H16428" s="4"/>
    </row>
    <row r="16429" spans="1:9" ht="15.75" customHeight="1" x14ac:dyDescent="0.25">
      <c r="D16429" s="4"/>
      <c r="H16429" s="4"/>
    </row>
    <row r="16430" spans="1:9" ht="15.75" customHeight="1" x14ac:dyDescent="0.25">
      <c r="D16430" s="4"/>
      <c r="H16430" s="4"/>
    </row>
    <row r="16431" spans="1:9" ht="15.75" customHeight="1" x14ac:dyDescent="0.25">
      <c r="A16431" s="8" t="s">
        <v>14</v>
      </c>
      <c r="B16431" s="8"/>
      <c r="C16431" s="8"/>
      <c r="D16431" s="8"/>
      <c r="E16431" s="8"/>
      <c r="F16431" s="8"/>
      <c r="G16431" s="8"/>
      <c r="H16431" s="8"/>
    </row>
    <row r="16432" spans="1:9" ht="15.75" customHeight="1" x14ac:dyDescent="0.25">
      <c r="D16432" s="4"/>
      <c r="H16432" s="4"/>
    </row>
    <row r="16433" spans="1:8" ht="15.75" customHeight="1" x14ac:dyDescent="0.25">
      <c r="A16433" s="390" t="s">
        <v>20</v>
      </c>
      <c r="B16433" s="390"/>
      <c r="C16433" s="388"/>
      <c r="D16433" s="391"/>
      <c r="E16433" s="390"/>
      <c r="F16433" s="395" t="s">
        <v>18</v>
      </c>
      <c r="G16433" s="396" t="s">
        <v>1339</v>
      </c>
      <c r="H16433" s="397"/>
    </row>
    <row r="16434" spans="1:8" ht="15.75" customHeight="1" x14ac:dyDescent="0.3">
      <c r="A16434" s="233" t="inlineStr">
        <is>
          <t>Dealer-002</t>
        </is>
      </c>
      <c r="B16434" s="233"/>
      <c r="C16434" s="388"/>
      <c r="D16434" s="391"/>
      <c r="E16434" s="390"/>
      <c r="F16434" s="395" t="s">
        <v>21</v>
      </c>
      <c r="G16434" s="390" t="s">
        <v>2191</v>
      </c>
      <c r="H16434" s="391"/>
    </row>
    <row r="16435" spans="1:8" ht="15.75" customHeight="1" x14ac:dyDescent="0.3">
      <c r="A16435" s="233" t="inlineStr">
        <is>
          <t>Address line (redacted)</t>
        </is>
      </c>
      <c r="B16435" s="233"/>
      <c r="C16435" s="1284"/>
      <c r="D16435" s="1284"/>
      <c r="E16435" s="1284"/>
      <c r="F16435" s="391"/>
      <c r="G16435" s="390"/>
      <c r="H16435" s="394"/>
    </row>
    <row r="16436" spans="1:8" ht="15.75" customHeight="1" x14ac:dyDescent="0.3">
      <c r="A16436" s="233" t="inlineStr">
        <is>
          <t>Address line (redacted)</t>
        </is>
      </c>
      <c r="B16436" s="233"/>
      <c r="C16436" s="1284"/>
      <c r="D16436" s="1284"/>
      <c r="E16436" s="1284"/>
      <c r="F16436" s="391"/>
      <c r="G16436" s="390"/>
      <c r="H16436" s="394"/>
    </row>
    <row r="16437" spans="1:8" ht="15.75" customHeight="1" x14ac:dyDescent="0.25">
      <c r="A16437" s="390"/>
      <c r="B16437" s="390"/>
      <c r="C16437" s="7"/>
      <c r="D16437" s="398"/>
      <c r="E16437" s="390"/>
      <c r="F16437" s="391"/>
      <c r="G16437" s="390"/>
      <c r="H16437" s="394"/>
    </row>
    <row r="16438" spans="1:8" ht="15.75" customHeight="1" x14ac:dyDescent="0.25">
      <c r="A16438" s="390" t="s">
        <v>2373</v>
      </c>
      <c r="B16438" s="390"/>
      <c r="C16438" s="390"/>
      <c r="D16438" s="391"/>
      <c r="E16438" s="390"/>
      <c r="F16438" s="391"/>
      <c r="G16438" s="390"/>
      <c r="H16438" s="394"/>
    </row>
    <row r="16439" spans="1:8" ht="15.75" customHeight="1" x14ac:dyDescent="0.25">
      <c r="A16439" s="390"/>
      <c r="B16439" s="390"/>
      <c r="C16439" s="390"/>
      <c r="D16439" s="391"/>
      <c r="E16439" s="390"/>
      <c r="F16439" s="391"/>
      <c r="G16439" s="390"/>
      <c r="H16439" s="394"/>
    </row>
    <row r="16440" spans="1:8" ht="15.75" customHeight="1" x14ac:dyDescent="0.25">
      <c r="A16440" s="390" t="s">
        <v>716</v>
      </c>
      <c r="B16440" s="390"/>
      <c r="C16440" s="390"/>
      <c r="D16440" s="391"/>
      <c r="E16440" s="390"/>
      <c r="F16440" s="391"/>
      <c r="G16440" s="390"/>
      <c r="H16440" s="394"/>
    </row>
    <row r="16441" spans="1:8" ht="15.75" customHeight="1" x14ac:dyDescent="0.25">
      <c r="A16441" s="390" t="s">
        <v>717</v>
      </c>
      <c r="B16441" s="390"/>
      <c r="C16441" s="390"/>
      <c r="D16441" s="391"/>
      <c r="E16441" s="390"/>
      <c r="F16441" s="391"/>
      <c r="G16441" s="390"/>
      <c r="H16441" s="394"/>
    </row>
    <row r="16442" spans="1:8" ht="15.75" customHeight="1" x14ac:dyDescent="0.25">
      <c r="A16442" s="948" t="s">
        <v>33</v>
      </c>
      <c r="B16442" s="872" t="s">
        <v>6</v>
      </c>
      <c r="C16442" s="872"/>
      <c r="D16442" s="874" t="s">
        <v>37</v>
      </c>
      <c r="E16442" s="874" t="s">
        <v>38</v>
      </c>
      <c r="F16442" s="875" t="s">
        <v>7</v>
      </c>
      <c r="G16442" s="872" t="s">
        <v>43</v>
      </c>
      <c r="H16442" s="876" t="s">
        <v>44</v>
      </c>
    </row>
    <row r="16443" spans="1:8" ht="15.75" customHeight="1" x14ac:dyDescent="0.3">
      <c r="A16443" s="412"/>
      <c r="B16443" s="1033"/>
      <c r="C16443" s="1033"/>
      <c r="D16443" s="879"/>
      <c r="E16443" s="879"/>
      <c r="F16443" s="415"/>
      <c r="G16443" s="415"/>
      <c r="H16443" s="416"/>
    </row>
    <row r="16444" spans="1:8" ht="15.75" customHeight="1" x14ac:dyDescent="0.25">
      <c r="A16444" s="1217"/>
      <c r="B16444" s="1261" t="s">
        <v>1102</v>
      </c>
      <c r="C16444" s="1262"/>
      <c r="D16444" s="1219"/>
      <c r="E16444" s="1219"/>
      <c r="F16444" s="1219"/>
      <c r="G16444" s="1219"/>
      <c r="H16444" s="1220"/>
    </row>
    <row r="16445" spans="1:8" ht="15.75" customHeight="1" x14ac:dyDescent="0.25">
      <c r="A16445" s="1263">
        <v>1</v>
      </c>
      <c r="B16445" s="585" t="s">
        <v>2263</v>
      </c>
      <c r="C16445" s="588"/>
      <c r="D16445" s="415">
        <f>+F16445/E16445</f>
      </c>
      <c r="E16445" s="415">
        <v>5</v>
      </c>
      <c r="F16445" s="1127">
        <v>50</v>
      </c>
      <c r="G16445" s="415">
        <v>1</v>
      </c>
      <c r="H16445" s="416">
        <f>+G16445*F16445</f>
      </c>
    </row>
    <row r="16446" spans="1:8" ht="15.75" customHeight="1" x14ac:dyDescent="0.25">
      <c r="A16446" s="1263"/>
      <c r="B16446" s="585"/>
      <c r="C16446" s="588"/>
      <c r="D16446" s="415"/>
      <c r="E16446" s="415"/>
      <c r="F16446" s="1127"/>
      <c r="G16446" s="415"/>
      <c r="H16446" s="416"/>
    </row>
    <row r="16447" spans="1:8" ht="15.75" customHeight="1" x14ac:dyDescent="0.25">
      <c r="A16447" s="1263"/>
      <c r="B16447" s="585"/>
      <c r="C16447" s="588"/>
      <c r="D16447" s="415"/>
      <c r="E16447" s="415"/>
      <c r="F16447" s="1127"/>
      <c r="G16447" s="415"/>
      <c r="H16447" s="416"/>
    </row>
    <row r="16448" spans="1:8" ht="15.75" customHeight="1" x14ac:dyDescent="0.25">
      <c r="A16448" s="1263"/>
      <c r="B16448" s="585"/>
      <c r="C16448" s="588"/>
      <c r="D16448" s="415"/>
      <c r="E16448" s="415"/>
      <c r="F16448" s="1127"/>
      <c r="G16448" s="415"/>
      <c r="H16448" s="416"/>
    </row>
    <row r="16449" spans="1:8" ht="15.75" customHeight="1" x14ac:dyDescent="0.25">
      <c r="A16449" s="1263"/>
      <c r="B16449" s="585"/>
      <c r="C16449" s="588"/>
      <c r="D16449" s="415"/>
      <c r="E16449" s="415"/>
      <c r="F16449" s="1127"/>
      <c r="G16449" s="415"/>
      <c r="H16449" s="416"/>
    </row>
    <row r="16450" spans="1:8" ht="15.75" customHeight="1" x14ac:dyDescent="0.25">
      <c r="A16450" s="1263"/>
      <c r="B16450" s="585"/>
      <c r="C16450" s="588"/>
      <c r="D16450" s="415"/>
      <c r="E16450" s="415"/>
      <c r="F16450" s="1127"/>
      <c r="G16450" s="415"/>
      <c r="H16450" s="416"/>
    </row>
    <row r="16451" spans="1:8" ht="15.75" customHeight="1" x14ac:dyDescent="0.25">
      <c r="A16451" s="1263"/>
      <c r="B16451" s="585"/>
      <c r="C16451" s="588"/>
      <c r="D16451" s="415"/>
      <c r="E16451" s="415"/>
      <c r="F16451" s="1127"/>
      <c r="G16451" s="415"/>
      <c r="H16451" s="416"/>
    </row>
    <row r="16452" spans="1:8" ht="15.75" customHeight="1" x14ac:dyDescent="0.25">
      <c r="A16452" s="1263"/>
      <c r="B16452" s="585"/>
      <c r="C16452" s="588"/>
      <c r="D16452" s="415"/>
      <c r="E16452" s="415"/>
      <c r="F16452" s="588"/>
      <c r="G16452" s="415"/>
      <c r="H16452" s="416"/>
    </row>
    <row r="16453" spans="1:8" ht="15.75" customHeight="1" x14ac:dyDescent="0.25">
      <c r="A16453" s="1263"/>
      <c r="B16453" s="585"/>
      <c r="C16453" s="592"/>
      <c r="D16453" s="593"/>
      <c r="E16453" s="593"/>
      <c r="F16453" s="592"/>
      <c r="G16453" s="593"/>
      <c r="H16453" s="931"/>
    </row>
    <row r="16454" spans="1:8" ht="15.75" customHeight="1" x14ac:dyDescent="0.25">
      <c r="A16454" s="1230"/>
      <c r="B16454" s="1235"/>
      <c r="C16454" s="1231"/>
      <c r="D16454" s="592"/>
      <c r="E16454" s="929"/>
      <c r="F16454" s="593"/>
      <c r="G16454" s="973"/>
      <c r="H16454" s="931"/>
    </row>
    <row r="16455" spans="1:8" ht="15.75" customHeight="1" x14ac:dyDescent="0.25">
      <c r="A16455" s="1170"/>
      <c r="B16455" s="1171"/>
      <c r="C16455" s="1172" t="s">
        <v>85</v>
      </c>
      <c r="D16455" s="725">
        <f>SUM(D16445:D16454)</f>
      </c>
      <c r="E16455" s="725"/>
      <c r="F16455" s="725">
        <f>SUM(F16445:F16454)</f>
      </c>
      <c r="G16455" s="1173"/>
      <c r="H16455" s="1174">
        <f>SUM(H16445:H16454)</f>
      </c>
    </row>
    <row r="16456" spans="1:8" ht="15.75" customHeight="1" x14ac:dyDescent="0.25">
      <c r="A16456" s="932"/>
      <c r="B16456" s="933"/>
      <c r="C16456" s="934"/>
      <c r="D16456" s="431"/>
      <c r="E16456" s="935"/>
      <c r="F16456" s="935"/>
      <c r="G16456" s="936"/>
      <c r="H16456" s="444"/>
    </row>
    <row r="16457" spans="1:8" ht="15.75" customHeight="1" x14ac:dyDescent="0.25">
      <c r="A16457" s="994"/>
      <c r="B16457" s="391"/>
      <c r="C16457" s="391"/>
      <c r="D16457" s="446" t="s">
        <v>97</v>
      </c>
      <c r="E16457" s="445" t="s">
        <v>98</v>
      </c>
      <c r="F16457" s="445"/>
      <c r="G16457" s="390"/>
      <c r="H16457" s="394"/>
    </row>
    <row r="16458" spans="1:8" ht="15.75" customHeight="1" x14ac:dyDescent="0.25">
      <c r="A16458" s="994"/>
      <c r="B16458" s="391"/>
      <c r="C16458" s="391"/>
      <c r="D16458" s="446"/>
      <c r="E16458" s="445"/>
      <c r="F16458" s="445"/>
      <c r="G16458" s="390"/>
      <c r="H16458" s="394"/>
    </row>
    <row r="16459" spans="1:8" ht="15.75" customHeight="1" x14ac:dyDescent="0.25">
      <c r="A16459" s="445"/>
      <c r="B16459" s="445"/>
      <c r="C16459" s="445"/>
      <c r="D16459" s="446"/>
      <c r="E16459" s="445"/>
      <c r="F16459" s="445"/>
      <c r="G16459" s="390"/>
      <c r="H16459" s="394"/>
    </row>
    <row r="16460" spans="1:8" ht="15.75" customHeight="1" x14ac:dyDescent="0.25">
      <c r="A16460" s="445"/>
      <c r="B16460" s="445"/>
      <c r="C16460" s="445"/>
      <c r="D16460" s="446"/>
      <c r="E16460" s="445" t="s">
        <v>99</v>
      </c>
      <c r="F16460" s="445"/>
      <c r="G16460" s="390"/>
      <c r="H16460" s="394"/>
    </row>
    <row r="16461" spans="1:8" ht="15.75" customHeight="1" x14ac:dyDescent="0.25">
      <c r="D16461" s="4"/>
      <c r="H16461" s="4"/>
    </row>
    <row r="16462" spans="1:8" ht="15.75" customHeight="1" x14ac:dyDescent="0.25">
      <c r="D16462" s="4"/>
      <c r="H16462" s="4"/>
    </row>
    <row r="16463" spans="1:8" ht="15.75" customHeight="1" x14ac:dyDescent="0.25">
      <c r="D16463" s="4"/>
      <c r="H16463" s="4"/>
    </row>
    <row r="16464" spans="1:8" ht="15.75" customHeight="1" x14ac:dyDescent="0.25">
      <c r="D16464" s="4"/>
      <c r="H16464" s="4"/>
    </row>
    <row r="16465" spans="1:8" ht="15.75" customHeight="1" x14ac:dyDescent="0.25">
      <c r="D16465" s="4"/>
      <c r="H16465" s="4"/>
    </row>
    <row r="16466" spans="1:8" ht="15.75" customHeight="1" x14ac:dyDescent="0.25">
      <c r="D16466" s="4"/>
      <c r="H16466" s="4"/>
    </row>
    <row r="16467" spans="1:8" ht="15.75" customHeight="1" x14ac:dyDescent="0.25">
      <c r="D16467" s="4"/>
      <c r="H16467" s="4"/>
    </row>
    <row r="16468" spans="1:8" ht="15.75" customHeight="1" x14ac:dyDescent="0.25">
      <c r="D16468" s="4"/>
      <c r="H16468" s="4"/>
    </row>
    <row r="16469" spans="1:8" ht="15.75" customHeight="1" x14ac:dyDescent="0.25">
      <c r="D16469" s="4"/>
      <c r="H16469" s="4"/>
    </row>
    <row r="16470" spans="1:8" ht="15.75" customHeight="1" x14ac:dyDescent="0.25">
      <c r="D16470" s="4"/>
      <c r="H16470" s="4"/>
    </row>
    <row r="16471" spans="1:8" ht="15.75" customHeight="1" x14ac:dyDescent="0.25">
      <c r="D16471" s="4"/>
      <c r="H16471" s="4"/>
    </row>
    <row r="16472" spans="1:8" ht="15.75" customHeight="1" x14ac:dyDescent="0.25">
      <c r="D16472" s="4"/>
      <c r="H16472" s="4"/>
    </row>
    <row r="16473" spans="1:8" ht="15.75" customHeight="1" x14ac:dyDescent="0.25">
      <c r="D16473" s="4"/>
      <c r="H16473" s="4"/>
    </row>
    <row r="16474" spans="1:8" ht="15.75" customHeight="1" x14ac:dyDescent="0.25">
      <c r="D16474" s="4"/>
      <c r="H16474" s="4"/>
    </row>
    <row r="16475" spans="1:8" ht="15.75" customHeight="1" x14ac:dyDescent="0.25">
      <c r="D16475" s="4"/>
      <c r="H16475" s="4"/>
    </row>
    <row r="16476" spans="1:8" ht="15.75" customHeight="1" x14ac:dyDescent="0.25">
      <c r="A16476" s="8" t="s">
        <v>14</v>
      </c>
      <c r="B16476" s="8"/>
      <c r="C16476" s="8"/>
      <c r="D16476" s="8"/>
      <c r="E16476" s="8"/>
      <c r="F16476" s="8"/>
      <c r="G16476" s="8"/>
      <c r="H16476" s="8"/>
    </row>
    <row r="16477" spans="1:8" ht="15.75" customHeight="1" x14ac:dyDescent="0.25">
      <c r="D16477" s="4"/>
      <c r="H16477" s="4"/>
    </row>
    <row r="16478" spans="1:8" ht="15.75" customHeight="1" x14ac:dyDescent="0.25">
      <c r="A16478" s="390" t="s">
        <v>20</v>
      </c>
      <c r="B16478" s="390"/>
      <c r="C16478" s="388"/>
      <c r="D16478" s="391"/>
      <c r="E16478" s="390"/>
      <c r="F16478" s="395" t="s">
        <v>18</v>
      </c>
      <c r="G16478" s="396" t="s">
        <v>1318</v>
      </c>
      <c r="H16478" s="397"/>
    </row>
    <row r="16479" spans="1:8" ht="15.75" customHeight="1" x14ac:dyDescent="0.25">
      <c r="A16479" s="390" t="inlineStr">
        <is>
          <t>Dealer-003</t>
        </is>
      </c>
      <c r="B16479" s="390"/>
      <c r="C16479" s="388"/>
      <c r="D16479" s="391"/>
      <c r="E16479" s="390"/>
      <c r="F16479" s="395" t="s">
        <v>21</v>
      </c>
      <c r="G16479" s="390" t="s">
        <v>2264</v>
      </c>
      <c r="H16479" s="391"/>
    </row>
    <row r="16480" spans="1:8" ht="15.75" customHeight="1" x14ac:dyDescent="0.25">
      <c r="A16480" s="390" t="inlineStr">
        <is>
          <t>Address line (redacted)</t>
        </is>
      </c>
      <c r="B16480" s="390"/>
      <c r="C16480" s="1258" t="s">
        <v>2403</v>
      </c>
      <c r="D16480" s="1258"/>
      <c r="E16480" s="1258"/>
      <c r="F16480" s="391"/>
      <c r="G16480" s="390"/>
      <c r="H16480" s="394"/>
    </row>
    <row r="16481" spans="1:8" ht="15.75" customHeight="1" x14ac:dyDescent="0.25">
      <c r="A16481" s="390" t="inlineStr">
        <is>
          <t>Address line (redacted)</t>
        </is>
      </c>
      <c r="B16481" s="390"/>
      <c r="C16481" s="1258"/>
      <c r="D16481" s="1258"/>
      <c r="E16481" s="1258"/>
      <c r="F16481" s="391"/>
      <c r="G16481" s="390"/>
      <c r="H16481" s="394"/>
    </row>
    <row r="16482" spans="1:8" ht="15.75" customHeight="1" x14ac:dyDescent="0.25">
      <c r="A16482" s="390"/>
      <c r="B16482" s="390"/>
      <c r="C16482" s="7"/>
      <c r="D16482" s="398"/>
      <c r="E16482" s="390"/>
      <c r="F16482" s="391"/>
      <c r="G16482" s="390"/>
      <c r="H16482" s="394"/>
    </row>
    <row r="16483" spans="1:8" ht="15.75" customHeight="1" x14ac:dyDescent="0.25">
      <c r="A16483" s="390" t="s">
        <v>2373</v>
      </c>
      <c r="B16483" s="390"/>
      <c r="C16483" s="390"/>
      <c r="D16483" s="391"/>
      <c r="E16483" s="390"/>
      <c r="F16483" s="391"/>
      <c r="G16483" s="390"/>
      <c r="H16483" s="394"/>
    </row>
    <row r="16484" spans="1:8" ht="15.75" customHeight="1" x14ac:dyDescent="0.25">
      <c r="A16484" s="390"/>
      <c r="B16484" s="390"/>
      <c r="C16484" s="390"/>
      <c r="D16484" s="391"/>
      <c r="E16484" s="390"/>
      <c r="F16484" s="391"/>
      <c r="G16484" s="390"/>
      <c r="H16484" s="394"/>
    </row>
    <row r="16485" spans="1:8" ht="15.75" customHeight="1" x14ac:dyDescent="0.25">
      <c r="A16485" s="390" t="s">
        <v>716</v>
      </c>
      <c r="B16485" s="390"/>
      <c r="C16485" s="390"/>
      <c r="D16485" s="391"/>
      <c r="E16485" s="390"/>
      <c r="F16485" s="391"/>
      <c r="G16485" s="390"/>
      <c r="H16485" s="394"/>
    </row>
    <row r="16486" spans="1:8" ht="15.75" customHeight="1" x14ac:dyDescent="0.25">
      <c r="A16486" s="390" t="s">
        <v>717</v>
      </c>
      <c r="B16486" s="390"/>
      <c r="C16486" s="390"/>
      <c r="D16486" s="391"/>
      <c r="E16486" s="390"/>
      <c r="F16486" s="391"/>
      <c r="G16486" s="390"/>
      <c r="H16486" s="394"/>
    </row>
    <row r="16487" spans="1:8" ht="15.75" customHeight="1" x14ac:dyDescent="0.25">
      <c r="A16487" s="404" t="s">
        <v>33</v>
      </c>
      <c r="B16487" s="400" t="s">
        <v>6</v>
      </c>
      <c r="C16487" s="400"/>
      <c r="D16487" s="402" t="s">
        <v>37</v>
      </c>
      <c r="E16487" s="402" t="s">
        <v>38</v>
      </c>
      <c r="F16487" s="609" t="s">
        <v>7</v>
      </c>
      <c r="G16487" s="400" t="s">
        <v>43</v>
      </c>
      <c r="H16487" s="405" t="s">
        <v>44</v>
      </c>
    </row>
    <row r="16488" spans="1:8" ht="15.75" customHeight="1" x14ac:dyDescent="0.3">
      <c r="A16488" s="1080"/>
      <c r="B16488" s="1259"/>
      <c r="C16488" s="1260"/>
      <c r="D16488" s="951"/>
      <c r="E16488" s="951"/>
      <c r="F16488" s="842"/>
      <c r="G16488" s="842"/>
      <c r="H16488" s="843"/>
    </row>
    <row r="16489" spans="1:8" ht="15.75" customHeight="1" x14ac:dyDescent="0.25">
      <c r="A16489" s="1217"/>
      <c r="B16489" s="1261" t="s">
        <v>590</v>
      </c>
      <c r="C16489" s="1262"/>
      <c r="D16489" s="1219"/>
      <c r="E16489" s="1219"/>
      <c r="F16489" s="1219"/>
      <c r="G16489" s="1219"/>
      <c r="H16489" s="1220"/>
    </row>
    <row r="16490" spans="1:8" ht="15.75" customHeight="1" x14ac:dyDescent="0.25">
      <c r="A16490" s="1263">
        <v>1</v>
      </c>
      <c r="B16490" s="585" t="s">
        <v>125</v>
      </c>
      <c r="C16490" s="588"/>
      <c r="D16490" s="415">
        <v>3</v>
      </c>
      <c r="E16490" s="415">
        <v>4</v>
      </c>
      <c r="F16490" s="1127">
        <f t="shared" ref="F16490:F16492" si="712">+E16490*D16490</f>
      </c>
      <c r="G16490" s="415">
        <v>1</v>
      </c>
      <c r="H16490" s="416">
        <f t="shared" ref="H16490:H16492" si="713">+G16490*F16490</f>
      </c>
    </row>
    <row r="16491" spans="1:8" ht="15.75" customHeight="1" x14ac:dyDescent="0.25">
      <c r="A16491" s="1263">
        <v>2</v>
      </c>
      <c r="B16491" s="585" t="s">
        <v>226</v>
      </c>
      <c r="C16491" s="588" t="s">
        <v>395</v>
      </c>
      <c r="D16491" s="415">
        <v>2</v>
      </c>
      <c r="E16491" s="415">
        <v>6</v>
      </c>
      <c r="F16491" s="1127">
        <f t="shared" si="712"/>
      </c>
      <c r="G16491" s="415">
        <v>1</v>
      </c>
      <c r="H16491" s="416">
        <f t="shared" si="713"/>
      </c>
    </row>
    <row r="16492" spans="1:8" ht="15.75" customHeight="1" x14ac:dyDescent="0.25">
      <c r="A16492" s="1263">
        <v>3</v>
      </c>
      <c r="B16492" s="585" t="s">
        <v>1298</v>
      </c>
      <c r="C16492" s="588" t="s">
        <v>393</v>
      </c>
      <c r="D16492" s="415">
        <v>1</v>
      </c>
      <c r="E16492" s="415">
        <v>6</v>
      </c>
      <c r="F16492" s="1127">
        <f t="shared" si="712"/>
      </c>
      <c r="G16492" s="415">
        <v>1</v>
      </c>
      <c r="H16492" s="416">
        <f t="shared" si="713"/>
      </c>
    </row>
    <row r="16493" spans="1:8" ht="15.75" customHeight="1" x14ac:dyDescent="0.25">
      <c r="A16493" s="1263"/>
      <c r="B16493" s="1261" t="s">
        <v>1239</v>
      </c>
      <c r="C16493" s="1262"/>
      <c r="D16493" s="415"/>
      <c r="E16493" s="415"/>
      <c r="F16493" s="1127"/>
      <c r="G16493" s="415"/>
      <c r="H16493" s="416"/>
    </row>
    <row r="16494" spans="1:8" ht="15.75" customHeight="1" x14ac:dyDescent="0.25">
      <c r="A16494" s="1263">
        <v>4</v>
      </c>
      <c r="B16494" s="585" t="s">
        <v>63</v>
      </c>
      <c r="C16494" s="1009" t="s">
        <v>429</v>
      </c>
      <c r="D16494" s="415">
        <v>1</v>
      </c>
      <c r="E16494" s="415">
        <v>20</v>
      </c>
      <c r="F16494" s="1127">
        <f>+E16494*D16494</f>
      </c>
      <c r="G16494" s="415">
        <v>1</v>
      </c>
      <c r="H16494" s="416">
        <f>+G16494*F16494</f>
      </c>
    </row>
    <row r="16495" spans="1:8" ht="15.75" customHeight="1" x14ac:dyDescent="0.25">
      <c r="A16495" s="1263"/>
      <c r="B16495" s="585"/>
      <c r="C16495" s="588"/>
      <c r="D16495" s="415"/>
      <c r="E16495" s="415"/>
      <c r="F16495" s="1127"/>
      <c r="G16495" s="415"/>
      <c r="H16495" s="416"/>
    </row>
    <row r="16496" spans="1:8" ht="15.75" customHeight="1" x14ac:dyDescent="0.25">
      <c r="A16496" s="1263"/>
      <c r="B16496" s="585"/>
      <c r="C16496" s="588"/>
      <c r="D16496" s="415"/>
      <c r="E16496" s="415"/>
      <c r="F16496" s="1127"/>
      <c r="G16496" s="415"/>
      <c r="H16496" s="416"/>
    </row>
    <row r="16497" spans="1:8" ht="15.75" customHeight="1" x14ac:dyDescent="0.25">
      <c r="A16497" s="1263"/>
      <c r="B16497" s="585"/>
      <c r="C16497" s="592"/>
      <c r="D16497" s="593"/>
      <c r="E16497" s="593"/>
      <c r="F16497" s="1202"/>
      <c r="G16497" s="593"/>
      <c r="H16497" s="416"/>
    </row>
    <row r="16498" spans="1:8" ht="15.75" customHeight="1" x14ac:dyDescent="0.25">
      <c r="A16498" s="1230"/>
      <c r="B16498" s="1235"/>
      <c r="C16498" s="1231"/>
      <c r="D16498" s="592"/>
      <c r="E16498" s="929"/>
      <c r="F16498" s="593"/>
      <c r="G16498" s="973"/>
      <c r="H16498" s="931"/>
    </row>
    <row r="16499" spans="1:8" ht="15.75" customHeight="1" x14ac:dyDescent="0.25">
      <c r="A16499" s="1170"/>
      <c r="B16499" s="1171"/>
      <c r="C16499" s="1172" t="s">
        <v>85</v>
      </c>
      <c r="D16499" s="725">
        <f>SUM(D16490:D16498)</f>
      </c>
      <c r="E16499" s="725"/>
      <c r="F16499" s="725">
        <f>SUM(F16490:F16498)</f>
      </c>
      <c r="G16499" s="1173"/>
      <c r="H16499" s="1174">
        <f>SUM(H16490:H16498)</f>
      </c>
    </row>
    <row r="16500" spans="1:8" ht="15.75" customHeight="1" x14ac:dyDescent="0.25">
      <c r="A16500" s="932"/>
      <c r="B16500" s="933"/>
      <c r="C16500" s="934"/>
      <c r="D16500" s="431"/>
      <c r="E16500" s="935"/>
      <c r="F16500" s="935"/>
      <c r="G16500" s="936"/>
      <c r="H16500" s="444"/>
    </row>
    <row r="16501" spans="1:8" ht="15.75" customHeight="1" x14ac:dyDescent="0.25">
      <c r="A16501" s="994"/>
      <c r="B16501" s="391"/>
      <c r="C16501" s="391"/>
      <c r="D16501" s="446" t="s">
        <v>97</v>
      </c>
      <c r="E16501" s="445" t="s">
        <v>98</v>
      </c>
      <c r="F16501" s="445"/>
      <c r="G16501" s="390"/>
      <c r="H16501" s="394"/>
    </row>
    <row r="16502" spans="1:8" ht="15.75" customHeight="1" x14ac:dyDescent="0.25">
      <c r="A16502" s="994"/>
      <c r="B16502" s="391"/>
      <c r="C16502" s="391"/>
      <c r="D16502" s="446"/>
      <c r="E16502" s="445"/>
      <c r="F16502" s="445"/>
      <c r="G16502" s="390"/>
      <c r="H16502" s="394"/>
    </row>
    <row r="16503" spans="1:8" ht="15.75" customHeight="1" x14ac:dyDescent="0.25">
      <c r="A16503" s="445"/>
      <c r="B16503" s="445"/>
      <c r="C16503" s="445"/>
      <c r="D16503" s="446"/>
      <c r="E16503" s="445"/>
      <c r="F16503" s="445"/>
      <c r="G16503" s="390"/>
      <c r="H16503" s="394"/>
    </row>
    <row r="16504" spans="1:8" ht="15.75" customHeight="1" x14ac:dyDescent="0.25">
      <c r="A16504" s="445"/>
      <c r="B16504" s="445"/>
      <c r="C16504" s="445"/>
      <c r="D16504" s="446"/>
      <c r="E16504" s="445" t="s">
        <v>99</v>
      </c>
      <c r="F16504" s="445"/>
      <c r="G16504" s="390"/>
      <c r="H16504" s="394"/>
    </row>
  </sheetData>
  <mergeCells count="5">
    <mergeCell ref="K15021:K15031"/>
    <mergeCell ref="K15034:K15035"/>
    <mergeCell ref="L15034:L15035"/>
    <mergeCell ref="K15036:K15037"/>
    <mergeCell ref="L15036:L15037"/>
  </mergeCells>
  <pageMargins left="0.7" right="0.7" top="0.5" bottom="0.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R417"/>
  <sheetViews>
    <sheetView topLeftCell="A166" workbookViewId="0">
      <selection activeCell="IK185" sqref="IK185"/>
    </sheetView>
  </sheetViews>
  <sheetFormatPr defaultColWidth="14.42578125" defaultRowHeight="15" customHeight="1" x14ac:dyDescent="0.25"/>
  <cols>
    <col min="1" max="1" width="12" customWidth="1"/>
    <col min="2" max="2" width="8.42578125" customWidth="1"/>
    <col min="3" max="3" width="13" customWidth="1"/>
    <col min="4" max="252" width="8.7109375" customWidth="1"/>
  </cols>
  <sheetData>
    <row r="1" spans="1:250" x14ac:dyDescent="0.25">
      <c r="A1" s="36" t="s">
        <v>42</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6"/>
      <c r="DA1" s="36"/>
      <c r="DB1" s="36"/>
      <c r="DC1" s="36"/>
      <c r="DD1" s="36"/>
      <c r="DE1" s="36"/>
      <c r="DF1" s="36"/>
      <c r="DG1" s="36"/>
      <c r="DH1" s="36"/>
      <c r="DI1" s="36"/>
      <c r="DJ1" s="36"/>
      <c r="DK1" s="36"/>
      <c r="DL1" s="36"/>
      <c r="DM1" s="36"/>
      <c r="DN1" s="36"/>
      <c r="DO1" s="36"/>
      <c r="DP1" s="36"/>
      <c r="DQ1" s="36"/>
      <c r="DR1" s="36"/>
      <c r="DS1" s="36"/>
      <c r="DT1" s="36"/>
      <c r="DU1" s="36"/>
      <c r="DV1" s="36"/>
      <c r="DW1" s="36"/>
      <c r="DX1" s="36"/>
      <c r="DY1" s="36"/>
      <c r="DZ1" s="36"/>
      <c r="EA1" s="36"/>
      <c r="EB1" s="36"/>
      <c r="EC1" s="36"/>
      <c r="ED1" s="36"/>
      <c r="EE1" s="36"/>
      <c r="EF1" s="36"/>
      <c r="EG1" s="36"/>
      <c r="EH1" s="36"/>
      <c r="EI1" s="36"/>
      <c r="EJ1" s="36"/>
      <c r="EK1" s="36"/>
      <c r="EL1" s="36"/>
      <c r="EM1" s="36"/>
      <c r="EN1" s="36"/>
      <c r="EO1" s="36"/>
      <c r="EP1" s="36"/>
      <c r="EQ1" s="36"/>
      <c r="ER1" s="36"/>
      <c r="ES1" s="36"/>
      <c r="ET1" s="36"/>
      <c r="EU1" s="36"/>
      <c r="EV1" s="36"/>
      <c r="EW1" s="36"/>
      <c r="EX1" s="36"/>
      <c r="EY1" s="36"/>
      <c r="EZ1" s="36"/>
      <c r="FA1" s="36"/>
      <c r="FB1" s="36"/>
      <c r="FC1" s="36"/>
      <c r="FD1" s="36"/>
      <c r="FE1" s="36"/>
      <c r="FF1" s="36"/>
      <c r="FG1" s="36"/>
      <c r="FH1" s="36"/>
      <c r="FI1" s="36"/>
      <c r="FJ1" s="36"/>
      <c r="FK1" s="36"/>
      <c r="FL1" s="36"/>
      <c r="FM1" s="36"/>
      <c r="FN1" s="36"/>
      <c r="FO1" s="36"/>
      <c r="FP1" s="36"/>
      <c r="FQ1" s="36"/>
      <c r="FR1" s="36"/>
      <c r="FS1" s="36"/>
      <c r="FT1" s="36"/>
      <c r="FU1" s="36"/>
      <c r="FV1" s="36"/>
      <c r="FW1" s="36"/>
      <c r="FX1" s="36"/>
      <c r="FY1" s="36"/>
      <c r="FZ1" s="36"/>
      <c r="GA1" s="36"/>
      <c r="GB1" s="36"/>
      <c r="GC1" s="36"/>
      <c r="GD1" s="36"/>
      <c r="GE1" s="36"/>
      <c r="GF1" s="36"/>
      <c r="GG1" s="36"/>
      <c r="GH1" s="36"/>
      <c r="GI1" s="36"/>
      <c r="GJ1" s="36"/>
      <c r="GK1" s="36"/>
      <c r="GL1" s="36"/>
      <c r="GM1" s="36"/>
      <c r="GN1" s="36"/>
      <c r="GO1" s="36"/>
      <c r="GP1" s="36"/>
      <c r="GQ1" s="36"/>
      <c r="GR1" s="36"/>
      <c r="GS1" s="36"/>
      <c r="GT1" s="36"/>
      <c r="GU1" s="36"/>
      <c r="GV1" s="36"/>
      <c r="GW1" s="36"/>
      <c r="GX1" s="36"/>
      <c r="GY1" s="36"/>
      <c r="GZ1" s="36"/>
      <c r="HA1" s="36"/>
      <c r="HB1" s="36"/>
      <c r="HC1" s="36"/>
      <c r="HD1" s="36"/>
      <c r="HE1" s="36"/>
      <c r="HF1" s="36"/>
      <c r="HG1" s="36"/>
      <c r="HH1" s="36"/>
      <c r="HI1" s="36"/>
      <c r="HJ1" s="36"/>
      <c r="HK1" s="36"/>
      <c r="HL1" s="36"/>
      <c r="HM1" s="36"/>
      <c r="HN1" s="36"/>
      <c r="HO1" s="36"/>
      <c r="HP1" s="36"/>
      <c r="HQ1" s="36"/>
      <c r="HR1" s="36"/>
      <c r="HS1" s="36"/>
      <c r="HT1" s="36"/>
      <c r="HU1" s="36"/>
      <c r="HV1" s="36"/>
      <c r="HW1" s="36"/>
      <c r="HX1" s="36"/>
      <c r="HY1" s="36"/>
      <c r="HZ1" s="36"/>
      <c r="IA1" s="36"/>
      <c r="IB1" s="36"/>
      <c r="IC1" s="36"/>
      <c r="ID1" s="36"/>
      <c r="IE1" s="36"/>
      <c r="IF1" s="36"/>
      <c r="IG1" s="36"/>
      <c r="IH1" s="36"/>
      <c r="II1" s="36"/>
      <c r="IJ1" s="36"/>
      <c r="IK1" s="36"/>
      <c r="IL1" s="36"/>
      <c r="IM1" s="36"/>
      <c r="IN1" s="36"/>
      <c r="IO1" s="36"/>
      <c r="IP1" s="36"/>
    </row>
    <row r="2" spans="1:250" x14ac:dyDescent="0.25">
      <c r="A2" s="45" t="s">
        <v>0</v>
      </c>
      <c r="B2" s="45" t="s">
        <v>48</v>
      </c>
      <c r="C2" s="45"/>
      <c r="D2" s="47" t="s">
        <v>49</v>
      </c>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57" t="s">
        <v>51</v>
      </c>
      <c r="CO2" s="57"/>
      <c r="CP2" s="57"/>
      <c r="CQ2" s="58"/>
      <c r="CR2" s="57"/>
      <c r="CS2" s="57"/>
      <c r="CT2" s="58"/>
      <c r="CU2" s="57"/>
      <c r="CV2" s="58"/>
      <c r="CW2" s="58"/>
      <c r="CX2" s="57"/>
      <c r="CY2" s="57"/>
      <c r="CZ2" s="57"/>
      <c r="DA2" s="57"/>
      <c r="DB2" s="57"/>
      <c r="DC2" s="57"/>
      <c r="DD2" s="57"/>
      <c r="DE2" s="57"/>
      <c r="DF2" s="57"/>
      <c r="DG2" s="57"/>
      <c r="DH2" s="57"/>
      <c r="DI2" s="57"/>
      <c r="DJ2" s="57"/>
      <c r="DK2" s="57"/>
      <c r="DL2" s="57"/>
      <c r="DM2" s="57"/>
      <c r="DN2" s="57"/>
      <c r="DO2" s="57"/>
      <c r="DP2" s="57"/>
      <c r="DQ2" s="57"/>
      <c r="DR2" s="57"/>
      <c r="DS2" s="57"/>
      <c r="DT2" s="57"/>
      <c r="DU2" s="57"/>
      <c r="DV2" s="57"/>
      <c r="DW2" s="57"/>
      <c r="DX2" s="57"/>
      <c r="DY2" s="57"/>
      <c r="DZ2" s="57"/>
      <c r="EA2" s="57"/>
      <c r="EB2" s="57"/>
      <c r="EC2" s="57"/>
      <c r="ED2" s="57"/>
      <c r="EE2" s="57"/>
      <c r="EF2" s="57"/>
      <c r="EG2" s="57"/>
      <c r="EH2" s="57"/>
      <c r="EI2" s="57"/>
      <c r="EJ2" s="57"/>
      <c r="EK2" s="57"/>
      <c r="EL2" s="57"/>
      <c r="EM2" s="59" t="s">
        <v>62</v>
      </c>
      <c r="EN2" s="59"/>
      <c r="EO2" s="59"/>
      <c r="EP2" s="59"/>
      <c r="EQ2" s="59"/>
      <c r="ER2" s="59"/>
      <c r="ES2" s="59"/>
      <c r="ET2" s="59"/>
      <c r="EU2" s="59"/>
      <c r="EV2" s="59"/>
      <c r="EW2" s="60" t="s">
        <v>70</v>
      </c>
      <c r="EX2" s="60"/>
      <c r="EY2" s="60"/>
      <c r="EZ2" s="60"/>
      <c r="FA2" s="60"/>
      <c r="FB2" s="60"/>
      <c r="FC2" s="60"/>
      <c r="FD2" s="60"/>
      <c r="FE2" s="60"/>
      <c r="FF2" s="60"/>
      <c r="FG2" s="60"/>
      <c r="FH2" s="60"/>
      <c r="FI2" s="60"/>
      <c r="FJ2" s="60"/>
      <c r="FK2" s="60"/>
      <c r="FL2" s="60"/>
      <c r="FM2" s="60"/>
      <c r="FN2" s="60"/>
      <c r="FO2" s="60"/>
      <c r="FP2" s="60"/>
      <c r="FQ2" s="60"/>
      <c r="FR2" s="60"/>
      <c r="FS2" s="60"/>
      <c r="FT2" s="61"/>
      <c r="FU2" s="61"/>
      <c r="FV2" s="64" t="s">
        <v>72</v>
      </c>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6" t="s">
        <v>73</v>
      </c>
      <c r="GX2" s="66"/>
      <c r="GY2" s="66"/>
      <c r="GZ2" s="66"/>
      <c r="HA2" s="66"/>
      <c r="HB2" s="66"/>
      <c r="HC2" s="66"/>
      <c r="HD2" s="66"/>
      <c r="HE2" s="66"/>
      <c r="HF2" s="66"/>
      <c r="HG2" s="66"/>
      <c r="HH2" s="66"/>
      <c r="HI2" s="66"/>
      <c r="HJ2" s="66"/>
      <c r="HK2" s="66"/>
      <c r="HL2" s="66"/>
      <c r="HM2" s="66"/>
      <c r="HN2" s="66"/>
      <c r="HO2" s="68" t="s">
        <v>74</v>
      </c>
      <c r="HP2" s="68"/>
      <c r="HQ2" s="68"/>
      <c r="HR2" s="68"/>
      <c r="HS2" s="68"/>
      <c r="HT2" s="68"/>
      <c r="HU2" s="68"/>
      <c r="HV2" s="68"/>
      <c r="HW2" s="68"/>
      <c r="HX2" s="1330" t="s">
        <v>78</v>
      </c>
      <c r="HY2" s="1331"/>
      <c r="HZ2" s="70"/>
      <c r="IA2" s="1334" t="s">
        <v>79</v>
      </c>
      <c r="IB2" s="1335"/>
      <c r="IC2" s="1335"/>
      <c r="ID2" s="1335"/>
      <c r="IE2" s="76"/>
      <c r="IF2" s="76"/>
      <c r="IG2" s="76"/>
      <c r="IH2" s="76"/>
      <c r="II2" s="76"/>
      <c r="IJ2" s="76"/>
      <c r="IK2" s="80"/>
      <c r="IL2" s="80"/>
      <c r="IM2" s="80"/>
      <c r="IN2" s="1337" t="s">
        <v>88</v>
      </c>
      <c r="IO2" s="1339" t="s">
        <v>89</v>
      </c>
      <c r="IP2" s="1340" t="s">
        <v>90</v>
      </c>
    </row>
    <row r="3" spans="1:250" x14ac:dyDescent="0.25">
      <c r="A3" s="45" t="s">
        <v>92</v>
      </c>
      <c r="B3" s="45"/>
      <c r="C3" s="45"/>
      <c r="D3" s="85">
        <v>1</v>
      </c>
      <c r="E3" s="85">
        <v>2</v>
      </c>
      <c r="F3" s="85">
        <v>3</v>
      </c>
      <c r="G3" s="85">
        <v>4</v>
      </c>
      <c r="H3" s="85">
        <v>5</v>
      </c>
      <c r="I3" s="85">
        <v>19</v>
      </c>
      <c r="J3" s="85">
        <v>6</v>
      </c>
      <c r="K3" s="85">
        <v>7</v>
      </c>
      <c r="L3" s="85">
        <v>8</v>
      </c>
      <c r="M3" s="85">
        <v>9</v>
      </c>
      <c r="N3" s="85">
        <v>10</v>
      </c>
      <c r="O3" s="85">
        <v>11</v>
      </c>
      <c r="P3" s="85">
        <v>12</v>
      </c>
      <c r="Q3" s="85">
        <v>13</v>
      </c>
      <c r="R3" s="85">
        <v>14</v>
      </c>
      <c r="S3" s="85">
        <v>15</v>
      </c>
      <c r="T3" s="85">
        <v>37</v>
      </c>
      <c r="U3" s="85">
        <v>16</v>
      </c>
      <c r="V3" s="85">
        <v>17</v>
      </c>
      <c r="W3" s="85">
        <v>18</v>
      </c>
      <c r="X3" s="85">
        <v>20</v>
      </c>
      <c r="Y3" s="85">
        <v>21</v>
      </c>
      <c r="Z3" s="85">
        <v>22</v>
      </c>
      <c r="AA3" s="85">
        <v>23</v>
      </c>
      <c r="AB3" s="85">
        <v>24</v>
      </c>
      <c r="AC3" s="85">
        <v>25</v>
      </c>
      <c r="AD3" s="85">
        <v>26</v>
      </c>
      <c r="AE3" s="85">
        <v>27</v>
      </c>
      <c r="AF3" s="85">
        <v>28</v>
      </c>
      <c r="AG3" s="85">
        <v>29</v>
      </c>
      <c r="AH3" s="85">
        <v>30</v>
      </c>
      <c r="AI3" s="85">
        <v>31</v>
      </c>
      <c r="AJ3" s="85">
        <v>32</v>
      </c>
      <c r="AK3" s="85">
        <v>33</v>
      </c>
      <c r="AL3" s="85">
        <v>34</v>
      </c>
      <c r="AM3" s="85">
        <v>35</v>
      </c>
      <c r="AN3" s="85">
        <v>36</v>
      </c>
      <c r="AO3" s="85">
        <v>38</v>
      </c>
      <c r="AP3" s="85">
        <v>39</v>
      </c>
      <c r="AQ3" s="85">
        <v>40</v>
      </c>
      <c r="AR3" s="85">
        <v>41</v>
      </c>
      <c r="AS3" s="85">
        <v>42</v>
      </c>
      <c r="AT3" s="85">
        <v>43</v>
      </c>
      <c r="AU3" s="85">
        <v>44</v>
      </c>
      <c r="AV3" s="85">
        <v>45</v>
      </c>
      <c r="AW3" s="85">
        <v>46</v>
      </c>
      <c r="AX3" s="85">
        <v>47</v>
      </c>
      <c r="AY3" s="85">
        <v>48</v>
      </c>
      <c r="AZ3" s="85">
        <v>49</v>
      </c>
      <c r="BA3" s="85">
        <v>50</v>
      </c>
      <c r="BB3" s="85">
        <v>51</v>
      </c>
      <c r="BC3" s="85">
        <v>52</v>
      </c>
      <c r="BD3" s="85">
        <v>53</v>
      </c>
      <c r="BE3" s="85">
        <v>54</v>
      </c>
      <c r="BF3" s="85">
        <v>55</v>
      </c>
      <c r="BG3" s="85">
        <v>56</v>
      </c>
      <c r="BH3" s="85">
        <v>57</v>
      </c>
      <c r="BI3" s="85">
        <v>58</v>
      </c>
      <c r="BJ3" s="85">
        <v>59</v>
      </c>
      <c r="BK3" s="85">
        <v>60</v>
      </c>
      <c r="BL3" s="85">
        <v>61</v>
      </c>
      <c r="BM3" s="85">
        <v>62</v>
      </c>
      <c r="BN3" s="85">
        <v>63</v>
      </c>
      <c r="BO3" s="85">
        <v>64</v>
      </c>
      <c r="BP3" s="85">
        <v>65</v>
      </c>
      <c r="BQ3" s="85">
        <v>66</v>
      </c>
      <c r="BR3" s="85">
        <v>67</v>
      </c>
      <c r="BS3" s="85">
        <v>68</v>
      </c>
      <c r="BT3" s="85">
        <v>69</v>
      </c>
      <c r="BU3" s="85">
        <v>70</v>
      </c>
      <c r="BV3" s="85">
        <v>71</v>
      </c>
      <c r="BW3" s="85">
        <v>72</v>
      </c>
      <c r="BX3" s="85">
        <v>73</v>
      </c>
      <c r="BY3" s="85">
        <v>74</v>
      </c>
      <c r="BZ3" s="85">
        <v>75</v>
      </c>
      <c r="CA3" s="85">
        <v>76</v>
      </c>
      <c r="CB3" s="85">
        <v>77</v>
      </c>
      <c r="CC3" s="85">
        <v>78</v>
      </c>
      <c r="CD3" s="85">
        <v>79</v>
      </c>
      <c r="CE3" s="85">
        <v>80</v>
      </c>
      <c r="CF3" s="85">
        <v>81</v>
      </c>
      <c r="CG3" s="85">
        <v>82</v>
      </c>
      <c r="CH3" s="85">
        <v>83</v>
      </c>
      <c r="CI3" s="85">
        <v>84</v>
      </c>
      <c r="CJ3" s="85">
        <v>85</v>
      </c>
      <c r="CK3" s="85">
        <v>86</v>
      </c>
      <c r="CL3" s="85">
        <v>87</v>
      </c>
      <c r="CM3" s="85">
        <v>88</v>
      </c>
      <c r="CN3" s="90">
        <v>89</v>
      </c>
      <c r="CO3" s="90">
        <v>90</v>
      </c>
      <c r="CP3" s="90"/>
      <c r="CQ3" s="94"/>
      <c r="CR3" s="90">
        <v>91</v>
      </c>
      <c r="CS3" s="90">
        <v>92</v>
      </c>
      <c r="CT3" s="94"/>
      <c r="CU3" s="90">
        <v>93</v>
      </c>
      <c r="CV3" s="94"/>
      <c r="CW3" s="94"/>
      <c r="CX3" s="90">
        <v>94</v>
      </c>
      <c r="CY3" s="90">
        <v>95</v>
      </c>
      <c r="CZ3" s="90">
        <v>96</v>
      </c>
      <c r="DA3" s="90"/>
      <c r="DB3" s="90">
        <v>97</v>
      </c>
      <c r="DC3" s="90">
        <v>98</v>
      </c>
      <c r="DD3" s="90">
        <v>99</v>
      </c>
      <c r="DE3" s="90">
        <v>100</v>
      </c>
      <c r="DF3" s="90">
        <v>101</v>
      </c>
      <c r="DG3" s="90">
        <v>102</v>
      </c>
      <c r="DH3" s="90">
        <v>103</v>
      </c>
      <c r="DI3" s="90">
        <v>104</v>
      </c>
      <c r="DJ3" s="90">
        <v>105</v>
      </c>
      <c r="DK3" s="90">
        <v>106</v>
      </c>
      <c r="DL3" s="90">
        <v>107</v>
      </c>
      <c r="DM3" s="90">
        <v>108</v>
      </c>
      <c r="DN3" s="90">
        <v>109</v>
      </c>
      <c r="DO3" s="90">
        <v>110</v>
      </c>
      <c r="DP3" s="90">
        <v>111</v>
      </c>
      <c r="DQ3" s="90">
        <v>112</v>
      </c>
      <c r="DR3" s="90">
        <v>113</v>
      </c>
      <c r="DS3" s="90">
        <v>114</v>
      </c>
      <c r="DT3" s="90"/>
      <c r="DU3" s="90">
        <v>115</v>
      </c>
      <c r="DV3" s="90">
        <v>116</v>
      </c>
      <c r="DW3" s="90">
        <v>117</v>
      </c>
      <c r="DX3" s="90">
        <v>118</v>
      </c>
      <c r="DY3" s="90">
        <v>119</v>
      </c>
      <c r="DZ3" s="90">
        <v>120</v>
      </c>
      <c r="EA3" s="90">
        <v>121</v>
      </c>
      <c r="EB3" s="90">
        <v>122</v>
      </c>
      <c r="EC3" s="90">
        <v>123</v>
      </c>
      <c r="ED3" s="90">
        <v>124</v>
      </c>
      <c r="EE3" s="90">
        <v>125</v>
      </c>
      <c r="EF3" s="90">
        <v>126</v>
      </c>
      <c r="EG3" s="90">
        <v>127</v>
      </c>
      <c r="EH3" s="90">
        <v>128</v>
      </c>
      <c r="EI3" s="90">
        <v>129</v>
      </c>
      <c r="EJ3" s="90">
        <v>130</v>
      </c>
      <c r="EK3" s="90">
        <v>131</v>
      </c>
      <c r="EL3" s="90">
        <v>132</v>
      </c>
      <c r="EM3" s="97">
        <v>133</v>
      </c>
      <c r="EN3" s="97">
        <v>134</v>
      </c>
      <c r="EO3" s="97">
        <v>135</v>
      </c>
      <c r="EP3" s="97">
        <v>136</v>
      </c>
      <c r="EQ3" s="97">
        <v>137</v>
      </c>
      <c r="ER3" s="97">
        <v>138</v>
      </c>
      <c r="ES3" s="97">
        <v>139</v>
      </c>
      <c r="ET3" s="97">
        <v>140</v>
      </c>
      <c r="EU3" s="97">
        <v>141</v>
      </c>
      <c r="EV3" s="97">
        <v>142</v>
      </c>
      <c r="EW3" s="97">
        <v>143</v>
      </c>
      <c r="EX3" s="97">
        <v>144</v>
      </c>
      <c r="EY3" s="97">
        <v>145</v>
      </c>
      <c r="EZ3" s="97">
        <v>146</v>
      </c>
      <c r="FA3" s="97">
        <v>147</v>
      </c>
      <c r="FB3" s="97">
        <v>148</v>
      </c>
      <c r="FC3" s="97">
        <v>149</v>
      </c>
      <c r="FD3" s="97">
        <v>150</v>
      </c>
      <c r="FE3" s="97">
        <v>151</v>
      </c>
      <c r="FF3" s="97">
        <v>152</v>
      </c>
      <c r="FG3" s="97">
        <v>153</v>
      </c>
      <c r="FH3" s="97">
        <v>154</v>
      </c>
      <c r="FI3" s="97">
        <v>155</v>
      </c>
      <c r="FJ3" s="97">
        <v>156</v>
      </c>
      <c r="FK3" s="97">
        <v>157</v>
      </c>
      <c r="FL3" s="97">
        <v>158</v>
      </c>
      <c r="FM3" s="97">
        <v>159</v>
      </c>
      <c r="FN3" s="97">
        <v>160</v>
      </c>
      <c r="FO3" s="97">
        <v>161</v>
      </c>
      <c r="FP3" s="97">
        <v>162</v>
      </c>
      <c r="FQ3" s="97">
        <v>163</v>
      </c>
      <c r="FR3" s="97">
        <v>164</v>
      </c>
      <c r="FS3" s="97">
        <v>165</v>
      </c>
      <c r="FT3" s="97"/>
      <c r="FU3" s="99"/>
      <c r="FV3" s="64"/>
      <c r="FW3" s="64"/>
      <c r="FX3" s="64"/>
      <c r="FY3" s="64"/>
      <c r="FZ3" s="64"/>
      <c r="GA3" s="64"/>
      <c r="GB3" s="64"/>
      <c r="GC3" s="64"/>
      <c r="GD3" s="64"/>
      <c r="GE3" s="64"/>
      <c r="GF3" s="64"/>
      <c r="GG3" s="64"/>
      <c r="GH3" s="64"/>
      <c r="GI3" s="64"/>
      <c r="GJ3" s="64"/>
      <c r="GK3" s="64"/>
      <c r="GL3" s="64"/>
      <c r="GM3" s="64"/>
      <c r="GN3" s="64"/>
      <c r="GO3" s="64"/>
      <c r="GP3" s="64"/>
      <c r="GQ3" s="64"/>
      <c r="GR3" s="64"/>
      <c r="GS3" s="64"/>
      <c r="GT3" s="64"/>
      <c r="GU3" s="64"/>
      <c r="GV3" s="64"/>
      <c r="GW3" s="66"/>
      <c r="GX3" s="66"/>
      <c r="GY3" s="66"/>
      <c r="GZ3" s="66"/>
      <c r="HA3" s="66"/>
      <c r="HB3" s="66"/>
      <c r="HC3" s="66"/>
      <c r="HD3" s="66"/>
      <c r="HE3" s="66"/>
      <c r="HF3" s="66"/>
      <c r="HG3" s="66"/>
      <c r="HH3" s="66"/>
      <c r="HI3" s="66"/>
      <c r="HJ3" s="66"/>
      <c r="HK3" s="66"/>
      <c r="HL3" s="66"/>
      <c r="HM3" s="66"/>
      <c r="HN3" s="66"/>
      <c r="HO3" s="68"/>
      <c r="HP3" s="68"/>
      <c r="HQ3" s="68"/>
      <c r="HR3" s="68"/>
      <c r="HS3" s="68"/>
      <c r="HT3" s="68"/>
      <c r="HU3" s="68"/>
      <c r="HV3" s="68"/>
      <c r="HW3" s="68"/>
      <c r="HX3" s="1332"/>
      <c r="HY3" s="1333"/>
      <c r="HZ3" s="100"/>
      <c r="IA3" s="1336"/>
      <c r="IB3" s="1336"/>
      <c r="IC3" s="1336"/>
      <c r="ID3" s="1336"/>
      <c r="IE3" s="76"/>
      <c r="IF3" s="76"/>
      <c r="IG3" s="76"/>
      <c r="IH3" s="76"/>
      <c r="II3" s="76"/>
      <c r="IJ3" s="76"/>
      <c r="IK3" s="80"/>
      <c r="IL3" s="80"/>
      <c r="IM3" s="80"/>
      <c r="IN3" s="1338"/>
      <c r="IO3" s="1338"/>
      <c r="IP3" s="1338"/>
    </row>
    <row r="4" spans="1:250" ht="23.25" x14ac:dyDescent="0.25">
      <c r="A4" s="101"/>
      <c r="B4" s="102" t="s">
        <v>111</v>
      </c>
      <c r="C4" s="102" t="s">
        <v>112</v>
      </c>
      <c r="D4" s="104" t="s">
        <v>3</v>
      </c>
      <c r="E4" s="104" t="s">
        <v>15</v>
      </c>
      <c r="F4" s="104" t="s">
        <v>24</v>
      </c>
      <c r="G4" s="104" t="s">
        <v>35</v>
      </c>
      <c r="H4" s="104" t="s">
        <v>40</v>
      </c>
      <c r="I4" s="104" t="s">
        <v>46</v>
      </c>
      <c r="J4" s="104" t="s">
        <v>53</v>
      </c>
      <c r="K4" s="104" t="s">
        <v>65</v>
      </c>
      <c r="L4" s="104" t="s">
        <v>76</v>
      </c>
      <c r="M4" s="104" t="s">
        <v>81</v>
      </c>
      <c r="N4" s="104" t="s">
        <v>83</v>
      </c>
      <c r="O4" s="104" t="s">
        <v>86</v>
      </c>
      <c r="P4" s="104" t="s">
        <v>68</v>
      </c>
      <c r="Q4" s="104" t="s">
        <v>93</v>
      </c>
      <c r="R4" s="104" t="s">
        <v>95</v>
      </c>
      <c r="S4" s="104" t="s">
        <v>106</v>
      </c>
      <c r="T4" s="104" t="s">
        <v>113</v>
      </c>
      <c r="U4" s="104" t="s">
        <v>117</v>
      </c>
      <c r="V4" s="104" t="s">
        <v>118</v>
      </c>
      <c r="W4" s="104" t="s">
        <v>119</v>
      </c>
      <c r="X4" s="104" t="s">
        <v>120</v>
      </c>
      <c r="Y4" s="104" t="s">
        <v>121</v>
      </c>
      <c r="Z4" s="104" t="s">
        <v>122</v>
      </c>
      <c r="AA4" s="104" t="s">
        <v>123</v>
      </c>
      <c r="AB4" s="104" t="s">
        <v>124</v>
      </c>
      <c r="AC4" s="104" t="s">
        <v>125</v>
      </c>
      <c r="AD4" s="104" t="s">
        <v>126</v>
      </c>
      <c r="AE4" s="104" t="s">
        <v>127</v>
      </c>
      <c r="AF4" s="104" t="s">
        <v>128</v>
      </c>
      <c r="AG4" s="104" t="s">
        <v>129</v>
      </c>
      <c r="AH4" s="104" t="s">
        <v>130</v>
      </c>
      <c r="AI4" s="104" t="s">
        <v>131</v>
      </c>
      <c r="AJ4" s="104" t="s">
        <v>132</v>
      </c>
      <c r="AK4" s="104" t="s">
        <v>133</v>
      </c>
      <c r="AL4" s="104" t="s">
        <v>134</v>
      </c>
      <c r="AM4" s="104" t="s">
        <v>135</v>
      </c>
      <c r="AN4" s="104" t="s">
        <v>136</v>
      </c>
      <c r="AO4" s="101" t="s">
        <v>137</v>
      </c>
      <c r="AP4" s="104" t="s">
        <v>138</v>
      </c>
      <c r="AQ4" s="104" t="s">
        <v>139</v>
      </c>
      <c r="AR4" s="104" t="s">
        <v>140</v>
      </c>
      <c r="AS4" s="104" t="s">
        <v>141</v>
      </c>
      <c r="AT4" s="104" t="s">
        <v>143</v>
      </c>
      <c r="AU4" s="104" t="s">
        <v>144</v>
      </c>
      <c r="AV4" s="104" t="s">
        <v>145</v>
      </c>
      <c r="AW4" s="104" t="s">
        <v>146</v>
      </c>
      <c r="AX4" s="104" t="s">
        <v>147</v>
      </c>
      <c r="AY4" s="104" t="s">
        <v>148</v>
      </c>
      <c r="AZ4" s="104" t="s">
        <v>149</v>
      </c>
      <c r="BA4" s="104" t="s">
        <v>150</v>
      </c>
      <c r="BB4" s="104" t="s">
        <v>151</v>
      </c>
      <c r="BC4" s="104" t="s">
        <v>152</v>
      </c>
      <c r="BD4" s="104" t="s">
        <v>153</v>
      </c>
      <c r="BE4" s="104" t="s">
        <v>154</v>
      </c>
      <c r="BF4" s="104" t="s">
        <v>155</v>
      </c>
      <c r="BG4" s="104" t="s">
        <v>156</v>
      </c>
      <c r="BH4" s="104" t="s">
        <v>157</v>
      </c>
      <c r="BI4" s="104" t="s">
        <v>158</v>
      </c>
      <c r="BJ4" s="104" t="s">
        <v>159</v>
      </c>
      <c r="BK4" s="108" t="s">
        <v>130</v>
      </c>
      <c r="BL4" s="104" t="s">
        <v>162</v>
      </c>
      <c r="BM4" s="104" t="s">
        <v>163</v>
      </c>
      <c r="BN4" s="104"/>
      <c r="BO4" s="101" t="s">
        <v>164</v>
      </c>
      <c r="BP4" s="101" t="s">
        <v>165</v>
      </c>
      <c r="BQ4" s="101" t="s">
        <v>166</v>
      </c>
      <c r="BR4" s="101" t="s">
        <v>166</v>
      </c>
      <c r="BS4" s="101" t="s">
        <v>167</v>
      </c>
      <c r="BT4" s="101" t="s">
        <v>167</v>
      </c>
      <c r="BU4" s="101" t="s">
        <v>168</v>
      </c>
      <c r="BV4" s="101" t="s">
        <v>169</v>
      </c>
      <c r="BW4" s="101" t="s">
        <v>170</v>
      </c>
      <c r="BX4" s="101" t="s">
        <v>171</v>
      </c>
      <c r="BY4" s="101" t="s">
        <v>172</v>
      </c>
      <c r="BZ4" s="101" t="s">
        <v>173</v>
      </c>
      <c r="CA4" s="101" t="s">
        <v>174</v>
      </c>
      <c r="CB4" s="101" t="s">
        <v>175</v>
      </c>
      <c r="CC4" s="101" t="s">
        <v>176</v>
      </c>
      <c r="CD4" s="101" t="s">
        <v>177</v>
      </c>
      <c r="CE4" s="101" t="s">
        <v>178</v>
      </c>
      <c r="CF4" s="101" t="s">
        <v>179</v>
      </c>
      <c r="CG4" s="101" t="s">
        <v>180</v>
      </c>
      <c r="CH4" s="101" t="s">
        <v>181</v>
      </c>
      <c r="CI4" s="101" t="s">
        <v>182</v>
      </c>
      <c r="CJ4" s="101" t="s">
        <v>183</v>
      </c>
      <c r="CK4" s="101" t="s">
        <v>184</v>
      </c>
      <c r="CL4" s="101" t="s">
        <v>185</v>
      </c>
      <c r="CM4" s="101" t="s">
        <v>186</v>
      </c>
      <c r="CN4" s="101" t="s">
        <v>187</v>
      </c>
      <c r="CO4" s="101" t="s">
        <v>188</v>
      </c>
      <c r="CP4" s="101" t="s">
        <v>159</v>
      </c>
      <c r="CQ4" s="111" t="s">
        <v>190</v>
      </c>
      <c r="CR4" s="101" t="s">
        <v>191</v>
      </c>
      <c r="CS4" s="101" t="s">
        <v>192</v>
      </c>
      <c r="CT4" s="111" t="s">
        <v>193</v>
      </c>
      <c r="CU4" s="101" t="s">
        <v>194</v>
      </c>
      <c r="CV4" s="111" t="s">
        <v>195</v>
      </c>
      <c r="CW4" s="111" t="s">
        <v>196</v>
      </c>
      <c r="CX4" s="101" t="s">
        <v>197</v>
      </c>
      <c r="CY4" s="101" t="s">
        <v>198</v>
      </c>
      <c r="CZ4" s="101" t="s">
        <v>199</v>
      </c>
      <c r="DA4" s="101" t="s">
        <v>200</v>
      </c>
      <c r="DB4" s="113" t="s">
        <v>63</v>
      </c>
      <c r="DC4" s="104" t="s">
        <v>202</v>
      </c>
      <c r="DD4" s="115" t="s">
        <v>203</v>
      </c>
      <c r="DE4" s="113" t="s">
        <v>143</v>
      </c>
      <c r="DF4" s="113" t="s">
        <v>205</v>
      </c>
      <c r="DG4" s="101" t="s">
        <v>76</v>
      </c>
      <c r="DH4" s="101" t="s">
        <v>206</v>
      </c>
      <c r="DI4" s="101" t="s">
        <v>207</v>
      </c>
      <c r="DJ4" s="104" t="s">
        <v>208</v>
      </c>
      <c r="DK4" s="104" t="s">
        <v>209</v>
      </c>
      <c r="DL4" s="104" t="s">
        <v>145</v>
      </c>
      <c r="DM4" s="116" t="s">
        <v>210</v>
      </c>
      <c r="DN4" s="101" t="s">
        <v>212</v>
      </c>
      <c r="DO4" s="101" t="s">
        <v>213</v>
      </c>
      <c r="DP4" s="101" t="s">
        <v>214</v>
      </c>
      <c r="DQ4" s="101" t="s">
        <v>215</v>
      </c>
      <c r="DR4" s="101" t="s">
        <v>216</v>
      </c>
      <c r="DS4" s="101" t="s">
        <v>217</v>
      </c>
      <c r="DT4" s="101" t="s">
        <v>218</v>
      </c>
      <c r="DU4" s="101" t="s">
        <v>219</v>
      </c>
      <c r="DV4" s="104" t="s">
        <v>220</v>
      </c>
      <c r="DW4" s="101" t="s">
        <v>221</v>
      </c>
      <c r="DX4" s="101" t="s">
        <v>222</v>
      </c>
      <c r="DY4" s="101" t="s">
        <v>223</v>
      </c>
      <c r="DZ4" s="101" t="s">
        <v>224</v>
      </c>
      <c r="EA4" s="104" t="s">
        <v>225</v>
      </c>
      <c r="EB4" s="104" t="s">
        <v>226</v>
      </c>
      <c r="EC4" s="104" t="s">
        <v>227</v>
      </c>
      <c r="ED4" s="104" t="s">
        <v>105</v>
      </c>
      <c r="EE4" s="101" t="s">
        <v>228</v>
      </c>
      <c r="EF4" s="101" t="s">
        <v>229</v>
      </c>
      <c r="EG4" s="104" t="s">
        <v>230</v>
      </c>
      <c r="EH4" s="101" t="s">
        <v>231</v>
      </c>
      <c r="EI4" s="101" t="s">
        <v>232</v>
      </c>
      <c r="EJ4" s="101" t="s">
        <v>233</v>
      </c>
      <c r="EK4" s="101" t="s">
        <v>234</v>
      </c>
      <c r="EL4" s="101" t="s">
        <v>235</v>
      </c>
      <c r="EM4" s="101" t="s">
        <v>236</v>
      </c>
      <c r="EN4" s="101" t="s">
        <v>237</v>
      </c>
      <c r="EO4" s="101" t="s">
        <v>238</v>
      </c>
      <c r="EP4" s="101" t="s">
        <v>239</v>
      </c>
      <c r="EQ4" s="101" t="s">
        <v>240</v>
      </c>
      <c r="ER4" s="101" t="s">
        <v>241</v>
      </c>
      <c r="ES4" s="101">
        <v>405</v>
      </c>
      <c r="ET4" s="101">
        <v>404</v>
      </c>
      <c r="EU4" s="101" t="s">
        <v>242</v>
      </c>
      <c r="EV4" s="101" t="s">
        <v>243</v>
      </c>
      <c r="EW4" s="101" t="s">
        <v>244</v>
      </c>
      <c r="EX4" s="101" t="s">
        <v>245</v>
      </c>
      <c r="EY4" s="101" t="s">
        <v>206</v>
      </c>
      <c r="EZ4" s="104" t="s">
        <v>68</v>
      </c>
      <c r="FA4" s="104" t="s">
        <v>246</v>
      </c>
      <c r="FB4" s="104" t="s">
        <v>247</v>
      </c>
      <c r="FC4" s="104" t="s">
        <v>218</v>
      </c>
      <c r="FD4" s="104" t="s">
        <v>248</v>
      </c>
      <c r="FE4" s="104" t="s">
        <v>249</v>
      </c>
      <c r="FF4" s="104" t="s">
        <v>250</v>
      </c>
      <c r="FG4" s="104" t="s">
        <v>131</v>
      </c>
      <c r="FH4" s="104" t="s">
        <v>251</v>
      </c>
      <c r="FI4" s="104" t="s">
        <v>252</v>
      </c>
      <c r="FJ4" s="104" t="s">
        <v>253</v>
      </c>
      <c r="FK4" s="104" t="s">
        <v>254</v>
      </c>
      <c r="FL4" s="104" t="s">
        <v>255</v>
      </c>
      <c r="FM4" s="104" t="s">
        <v>218</v>
      </c>
      <c r="FN4" s="104" t="s">
        <v>136</v>
      </c>
      <c r="FO4" s="104" t="s">
        <v>256</v>
      </c>
      <c r="FP4" s="104" t="s">
        <v>257</v>
      </c>
      <c r="FQ4" s="104" t="s">
        <v>258</v>
      </c>
      <c r="FR4" s="101" t="s">
        <v>259</v>
      </c>
      <c r="FS4" s="101" t="s">
        <v>260</v>
      </c>
      <c r="FT4" s="101" t="s">
        <v>261</v>
      </c>
      <c r="FU4" s="119" t="s">
        <v>262</v>
      </c>
      <c r="FV4" s="122" t="s">
        <v>225</v>
      </c>
      <c r="FW4" s="122" t="s">
        <v>190</v>
      </c>
      <c r="FX4" s="122" t="s">
        <v>266</v>
      </c>
      <c r="FY4" s="122" t="s">
        <v>267</v>
      </c>
      <c r="FZ4" s="122" t="s">
        <v>268</v>
      </c>
      <c r="GA4" s="122" t="s">
        <v>269</v>
      </c>
      <c r="GB4" s="122" t="s">
        <v>270</v>
      </c>
      <c r="GC4" s="122" t="s">
        <v>271</v>
      </c>
      <c r="GD4" s="122" t="s">
        <v>271</v>
      </c>
      <c r="GE4" s="122" t="s">
        <v>272</v>
      </c>
      <c r="GF4" s="122" t="s">
        <v>273</v>
      </c>
      <c r="GG4" s="122" t="s">
        <v>274</v>
      </c>
      <c r="GH4" s="122" t="s">
        <v>275</v>
      </c>
      <c r="GI4" s="122" t="s">
        <v>210</v>
      </c>
      <c r="GJ4" s="122" t="s">
        <v>138</v>
      </c>
      <c r="GK4" s="122" t="s">
        <v>276</v>
      </c>
      <c r="GL4" s="122" t="s">
        <v>277</v>
      </c>
      <c r="GM4" s="122" t="s">
        <v>278</v>
      </c>
      <c r="GN4" s="122" t="s">
        <v>279</v>
      </c>
      <c r="GO4" s="122" t="s">
        <v>280</v>
      </c>
      <c r="GP4" s="122" t="s">
        <v>281</v>
      </c>
      <c r="GQ4" s="122" t="s">
        <v>282</v>
      </c>
      <c r="GR4" s="122" t="s">
        <v>283</v>
      </c>
      <c r="GS4" s="122" t="s">
        <v>284</v>
      </c>
      <c r="GT4" s="122" t="s">
        <v>285</v>
      </c>
      <c r="GU4" s="122" t="s">
        <v>217</v>
      </c>
      <c r="GV4" s="119" t="s">
        <v>286</v>
      </c>
      <c r="GW4" s="104" t="s">
        <v>287</v>
      </c>
      <c r="GX4" s="104" t="s">
        <v>288</v>
      </c>
      <c r="GY4" s="104" t="s">
        <v>289</v>
      </c>
      <c r="GZ4" s="104" t="s">
        <v>290</v>
      </c>
      <c r="HA4" s="104" t="s">
        <v>291</v>
      </c>
      <c r="HB4" s="104" t="s">
        <v>292</v>
      </c>
      <c r="HC4" s="104" t="s">
        <v>293</v>
      </c>
      <c r="HD4" s="104" t="s">
        <v>294</v>
      </c>
      <c r="HE4" s="104" t="s">
        <v>295</v>
      </c>
      <c r="HF4" s="124" t="s">
        <v>296</v>
      </c>
      <c r="HG4" s="124" t="s">
        <v>299</v>
      </c>
      <c r="HH4" s="104">
        <v>507</v>
      </c>
      <c r="HI4" s="104">
        <v>508</v>
      </c>
      <c r="HJ4" s="104" t="s">
        <v>300</v>
      </c>
      <c r="HK4" s="104" t="s">
        <v>301</v>
      </c>
      <c r="HL4" s="104" t="s">
        <v>297</v>
      </c>
      <c r="HM4" s="104" t="s">
        <v>302</v>
      </c>
      <c r="HN4" s="104" t="s">
        <v>303</v>
      </c>
      <c r="HO4" s="101" t="s">
        <v>304</v>
      </c>
      <c r="HP4" s="101" t="s">
        <v>305</v>
      </c>
      <c r="HQ4" s="101" t="s">
        <v>306</v>
      </c>
      <c r="HR4" s="101" t="s">
        <v>307</v>
      </c>
      <c r="HS4" s="101" t="s">
        <v>308</v>
      </c>
      <c r="HT4" s="101" t="s">
        <v>309</v>
      </c>
      <c r="HU4" s="101" t="s">
        <v>310</v>
      </c>
      <c r="HV4" s="101" t="s">
        <v>311</v>
      </c>
      <c r="HW4" s="101" t="s">
        <v>312</v>
      </c>
      <c r="HX4" s="101" t="s">
        <v>313</v>
      </c>
      <c r="HY4" s="101" t="s">
        <v>12</v>
      </c>
      <c r="HZ4" s="128" t="s">
        <v>13</v>
      </c>
      <c r="IA4" s="1327" t="s">
        <v>79</v>
      </c>
      <c r="IB4" s="1328"/>
      <c r="IC4" s="1328"/>
      <c r="ID4" s="1329"/>
      <c r="IE4" s="1327" t="s">
        <v>317</v>
      </c>
      <c r="IF4" s="1329"/>
      <c r="IG4" s="115" t="s">
        <v>318</v>
      </c>
      <c r="IH4" s="115" t="s">
        <v>318</v>
      </c>
      <c r="II4" s="115" t="s">
        <v>318</v>
      </c>
      <c r="IJ4" s="115" t="s">
        <v>318</v>
      </c>
      <c r="IK4" s="1327" t="s">
        <v>319</v>
      </c>
      <c r="IL4" s="1328"/>
      <c r="IM4" s="1329"/>
      <c r="IN4" s="132" t="s">
        <v>88</v>
      </c>
      <c r="IO4" s="132" t="s">
        <v>89</v>
      </c>
      <c r="IP4" s="134" t="s">
        <v>90</v>
      </c>
    </row>
    <row r="5" spans="1:250" ht="33.75" x14ac:dyDescent="0.25">
      <c r="A5" s="137"/>
      <c r="B5" s="137"/>
      <c r="C5" s="137"/>
      <c r="D5" s="134" t="s">
        <v>4</v>
      </c>
      <c r="E5" s="134" t="s">
        <v>16</v>
      </c>
      <c r="F5" s="134" t="s">
        <v>25</v>
      </c>
      <c r="G5" s="134" t="s">
        <v>36</v>
      </c>
      <c r="H5" s="134" t="s">
        <v>41</v>
      </c>
      <c r="I5" s="134" t="s">
        <v>47</v>
      </c>
      <c r="J5" s="134" t="s">
        <v>54</v>
      </c>
      <c r="K5" s="134" t="s">
        <v>66</v>
      </c>
      <c r="L5" s="134" t="s">
        <v>77</v>
      </c>
      <c r="M5" s="134" t="s">
        <v>82</v>
      </c>
      <c r="N5" s="134" t="s">
        <v>84</v>
      </c>
      <c r="O5" s="134" t="s">
        <v>87</v>
      </c>
      <c r="P5" s="134" t="s">
        <v>91</v>
      </c>
      <c r="Q5" s="134" t="s">
        <v>94</v>
      </c>
      <c r="R5" s="134" t="s">
        <v>96</v>
      </c>
      <c r="S5" s="134" t="s">
        <v>107</v>
      </c>
      <c r="T5" s="134" t="s">
        <v>114</v>
      </c>
      <c r="U5" s="134" t="s">
        <v>142</v>
      </c>
      <c r="V5" s="134" t="s">
        <v>204</v>
      </c>
      <c r="W5" s="134" t="s">
        <v>265</v>
      </c>
      <c r="X5" s="134" t="s">
        <v>298</v>
      </c>
      <c r="Y5" s="134" t="s">
        <v>316</v>
      </c>
      <c r="Z5" s="134" t="s">
        <v>321</v>
      </c>
      <c r="AA5" s="134" t="s">
        <v>322</v>
      </c>
      <c r="AB5" s="134" t="s">
        <v>323</v>
      </c>
      <c r="AC5" s="134" t="s">
        <v>324</v>
      </c>
      <c r="AD5" s="134" t="s">
        <v>325</v>
      </c>
      <c r="AE5" s="134" t="s">
        <v>326</v>
      </c>
      <c r="AF5" s="134" t="s">
        <v>327</v>
      </c>
      <c r="AG5" s="134" t="s">
        <v>328</v>
      </c>
      <c r="AH5" s="134"/>
      <c r="AI5" s="134" t="s">
        <v>329</v>
      </c>
      <c r="AJ5" s="134" t="s">
        <v>330</v>
      </c>
      <c r="AK5" s="134" t="s">
        <v>331</v>
      </c>
      <c r="AL5" s="134" t="s">
        <v>332</v>
      </c>
      <c r="AM5" s="134" t="s">
        <v>333</v>
      </c>
      <c r="AN5" s="134" t="s">
        <v>334</v>
      </c>
      <c r="AO5" s="134"/>
      <c r="AP5" s="134" t="s">
        <v>335</v>
      </c>
      <c r="AQ5" s="134" t="s">
        <v>336</v>
      </c>
      <c r="AR5" s="134" t="s">
        <v>337</v>
      </c>
      <c r="AS5" s="134" t="s">
        <v>338</v>
      </c>
      <c r="AT5" s="134" t="s">
        <v>339</v>
      </c>
      <c r="AU5" s="134" t="s">
        <v>340</v>
      </c>
      <c r="AV5" s="134" t="s">
        <v>341</v>
      </c>
      <c r="AW5" s="134" t="s">
        <v>342</v>
      </c>
      <c r="AX5" s="134" t="s">
        <v>343</v>
      </c>
      <c r="AY5" s="134" t="s">
        <v>344</v>
      </c>
      <c r="AZ5" s="134"/>
      <c r="BA5" s="134" t="s">
        <v>345</v>
      </c>
      <c r="BB5" s="134" t="s">
        <v>346</v>
      </c>
      <c r="BC5" s="134" t="s">
        <v>347</v>
      </c>
      <c r="BD5" s="134" t="s">
        <v>348</v>
      </c>
      <c r="BE5" s="134" t="s">
        <v>349</v>
      </c>
      <c r="BF5" s="134" t="s">
        <v>350</v>
      </c>
      <c r="BG5" s="134" t="s">
        <v>351</v>
      </c>
      <c r="BH5" s="134" t="s">
        <v>352</v>
      </c>
      <c r="BI5" s="134" t="s">
        <v>353</v>
      </c>
      <c r="BJ5" s="134"/>
      <c r="BK5" s="134"/>
      <c r="BL5" s="134"/>
      <c r="BM5" s="134"/>
      <c r="BN5" s="134"/>
      <c r="BO5" s="137" t="s">
        <v>354</v>
      </c>
      <c r="BP5" s="137" t="s">
        <v>355</v>
      </c>
      <c r="BQ5" s="140" t="s">
        <v>356</v>
      </c>
      <c r="BR5" s="140" t="s">
        <v>357</v>
      </c>
      <c r="BS5" s="140" t="s">
        <v>356</v>
      </c>
      <c r="BT5" s="140" t="s">
        <v>357</v>
      </c>
      <c r="BU5" s="137"/>
      <c r="BV5" s="137"/>
      <c r="BW5" s="137"/>
      <c r="BX5" s="137"/>
      <c r="BY5" s="137"/>
      <c r="BZ5" s="137"/>
      <c r="CA5" s="137"/>
      <c r="CB5" s="137"/>
      <c r="CC5" s="137"/>
      <c r="CD5" s="137"/>
      <c r="CE5" s="137"/>
      <c r="CF5" s="137"/>
      <c r="CG5" s="137"/>
      <c r="CH5" s="137"/>
      <c r="CI5" s="137"/>
      <c r="CJ5" s="137"/>
      <c r="CK5" s="137"/>
      <c r="CL5" s="137"/>
      <c r="CM5" s="137"/>
      <c r="CN5" s="104" t="s">
        <v>358</v>
      </c>
      <c r="CO5" s="104" t="s">
        <v>359</v>
      </c>
      <c r="CP5" s="104" t="s">
        <v>360</v>
      </c>
      <c r="CQ5" s="144" t="s">
        <v>361</v>
      </c>
      <c r="CR5" s="104" t="s">
        <v>362</v>
      </c>
      <c r="CS5" s="134" t="s">
        <v>363</v>
      </c>
      <c r="CT5" s="146" t="s">
        <v>364</v>
      </c>
      <c r="CU5" s="104" t="s">
        <v>365</v>
      </c>
      <c r="CV5" s="144" t="s">
        <v>366</v>
      </c>
      <c r="CW5" s="144"/>
      <c r="CX5" s="104" t="s">
        <v>367</v>
      </c>
      <c r="CY5" s="101" t="s">
        <v>368</v>
      </c>
      <c r="CZ5" s="104" t="s">
        <v>369</v>
      </c>
      <c r="DA5" s="104" t="s">
        <v>370</v>
      </c>
      <c r="DB5" s="104" t="s">
        <v>371</v>
      </c>
      <c r="DC5" s="115" t="s">
        <v>372</v>
      </c>
      <c r="DD5" s="101" t="s">
        <v>373</v>
      </c>
      <c r="DE5" s="104" t="s">
        <v>374</v>
      </c>
      <c r="DF5" s="104" t="s">
        <v>375</v>
      </c>
      <c r="DG5" s="134" t="s">
        <v>376</v>
      </c>
      <c r="DH5" s="104" t="s">
        <v>377</v>
      </c>
      <c r="DI5" s="104" t="s">
        <v>378</v>
      </c>
      <c r="DJ5" s="104" t="s">
        <v>379</v>
      </c>
      <c r="DK5" s="134" t="s">
        <v>380</v>
      </c>
      <c r="DL5" s="104" t="s">
        <v>381</v>
      </c>
      <c r="DM5" s="104" t="s">
        <v>382</v>
      </c>
      <c r="DN5" s="134" t="s">
        <v>383</v>
      </c>
      <c r="DO5" s="104" t="s">
        <v>384</v>
      </c>
      <c r="DP5" s="115" t="s">
        <v>385</v>
      </c>
      <c r="DQ5" s="104" t="s">
        <v>386</v>
      </c>
      <c r="DR5" s="104" t="s">
        <v>387</v>
      </c>
      <c r="DS5" s="115" t="s">
        <v>388</v>
      </c>
      <c r="DT5" s="115" t="s">
        <v>389</v>
      </c>
      <c r="DU5" s="115" t="s">
        <v>390</v>
      </c>
      <c r="DV5" s="104" t="s">
        <v>391</v>
      </c>
      <c r="DW5" s="101" t="s">
        <v>392</v>
      </c>
      <c r="DX5" s="104" t="s">
        <v>393</v>
      </c>
      <c r="DY5" s="104" t="s">
        <v>394</v>
      </c>
      <c r="DZ5" s="134"/>
      <c r="EA5" s="134"/>
      <c r="EB5" s="134" t="s">
        <v>395</v>
      </c>
      <c r="EC5" s="104" t="s">
        <v>396</v>
      </c>
      <c r="ED5" s="104" t="s">
        <v>397</v>
      </c>
      <c r="EE5" s="101" t="s">
        <v>398</v>
      </c>
      <c r="EF5" s="113" t="s">
        <v>399</v>
      </c>
      <c r="EG5" s="137"/>
      <c r="EH5" s="104" t="s">
        <v>400</v>
      </c>
      <c r="EI5" s="104" t="s">
        <v>401</v>
      </c>
      <c r="EJ5" s="104" t="s">
        <v>402</v>
      </c>
      <c r="EK5" s="104" t="s">
        <v>403</v>
      </c>
      <c r="EL5" s="137"/>
      <c r="EM5" s="137"/>
      <c r="EN5" s="137"/>
      <c r="EO5" s="137"/>
      <c r="EP5" s="137"/>
      <c r="EQ5" s="137"/>
      <c r="ER5" s="137"/>
      <c r="ES5" s="137"/>
      <c r="ET5" s="137"/>
      <c r="EU5" s="137"/>
      <c r="EV5" s="137"/>
      <c r="EW5" s="137"/>
      <c r="EX5" s="137"/>
      <c r="EY5" s="137"/>
      <c r="EZ5" s="140" t="s">
        <v>404</v>
      </c>
      <c r="FA5" s="140" t="s">
        <v>405</v>
      </c>
      <c r="FB5" s="140" t="s">
        <v>406</v>
      </c>
      <c r="FC5" s="140" t="s">
        <v>407</v>
      </c>
      <c r="FD5" s="140" t="s">
        <v>408</v>
      </c>
      <c r="FE5" s="140" t="s">
        <v>409</v>
      </c>
      <c r="FF5" s="140" t="s">
        <v>410</v>
      </c>
      <c r="FG5" s="140" t="s">
        <v>411</v>
      </c>
      <c r="FH5" s="140" t="s">
        <v>412</v>
      </c>
      <c r="FI5" s="140" t="s">
        <v>413</v>
      </c>
      <c r="FJ5" s="140" t="s">
        <v>414</v>
      </c>
      <c r="FK5" s="140" t="s">
        <v>415</v>
      </c>
      <c r="FL5" s="140" t="s">
        <v>416</v>
      </c>
      <c r="FM5" s="140" t="s">
        <v>417</v>
      </c>
      <c r="FN5" s="140" t="s">
        <v>418</v>
      </c>
      <c r="FO5" s="140" t="s">
        <v>419</v>
      </c>
      <c r="FP5" s="140" t="s">
        <v>420</v>
      </c>
      <c r="FQ5" s="140" t="s">
        <v>61</v>
      </c>
      <c r="FR5" s="140" t="s">
        <v>421</v>
      </c>
      <c r="FS5" s="115"/>
      <c r="FT5" s="115"/>
      <c r="FU5" s="76"/>
      <c r="FV5" s="150" t="s">
        <v>422</v>
      </c>
      <c r="FW5" s="150" t="s">
        <v>423</v>
      </c>
      <c r="FX5" s="150" t="s">
        <v>383</v>
      </c>
      <c r="FY5" s="150" t="s">
        <v>383</v>
      </c>
      <c r="FZ5" s="150" t="s">
        <v>424</v>
      </c>
      <c r="GA5" s="150" t="s">
        <v>57</v>
      </c>
      <c r="GB5" s="150" t="s">
        <v>61</v>
      </c>
      <c r="GC5" s="150" t="s">
        <v>109</v>
      </c>
      <c r="GD5" s="150" t="s">
        <v>425</v>
      </c>
      <c r="GE5" s="150" t="s">
        <v>426</v>
      </c>
      <c r="GF5" s="150" t="s">
        <v>427</v>
      </c>
      <c r="GG5" s="150" t="s">
        <v>428</v>
      </c>
      <c r="GH5" s="150" t="s">
        <v>429</v>
      </c>
      <c r="GI5" s="150" t="s">
        <v>430</v>
      </c>
      <c r="GJ5" s="150" t="s">
        <v>431</v>
      </c>
      <c r="GK5" s="150" t="s">
        <v>432</v>
      </c>
      <c r="GL5" s="150" t="s">
        <v>433</v>
      </c>
      <c r="GM5" s="150" t="s">
        <v>434</v>
      </c>
      <c r="GN5" s="152" t="s">
        <v>69</v>
      </c>
      <c r="GO5" s="152" t="s">
        <v>435</v>
      </c>
      <c r="GP5" s="152" t="s">
        <v>436</v>
      </c>
      <c r="GQ5" s="152" t="s">
        <v>437</v>
      </c>
      <c r="GR5" s="152" t="s">
        <v>438</v>
      </c>
      <c r="GS5" s="152" t="s">
        <v>439</v>
      </c>
      <c r="GT5" s="152" t="s">
        <v>440</v>
      </c>
      <c r="GU5" s="152" t="s">
        <v>442</v>
      </c>
      <c r="GV5" s="119" t="s">
        <v>443</v>
      </c>
      <c r="GW5" s="134" t="s">
        <v>444</v>
      </c>
      <c r="GX5" s="134" t="s">
        <v>445</v>
      </c>
      <c r="GY5" s="134" t="s">
        <v>446</v>
      </c>
      <c r="GZ5" s="134" t="s">
        <v>447</v>
      </c>
      <c r="HA5" s="134" t="s">
        <v>448</v>
      </c>
      <c r="HB5" s="134" t="s">
        <v>449</v>
      </c>
      <c r="HC5" s="134" t="s">
        <v>450</v>
      </c>
      <c r="HD5" s="134" t="s">
        <v>451</v>
      </c>
      <c r="HE5" s="134" t="s">
        <v>452</v>
      </c>
      <c r="HF5" s="155" t="s">
        <v>453</v>
      </c>
      <c r="HG5" s="155" t="s">
        <v>454</v>
      </c>
      <c r="HH5" s="134" t="s">
        <v>455</v>
      </c>
      <c r="HI5" s="134" t="s">
        <v>456</v>
      </c>
      <c r="HJ5" s="134" t="s">
        <v>457</v>
      </c>
      <c r="HK5" s="134" t="s">
        <v>458</v>
      </c>
      <c r="HL5" s="134" t="s">
        <v>459</v>
      </c>
      <c r="HM5" s="134"/>
      <c r="HN5" s="137" t="s">
        <v>460</v>
      </c>
      <c r="HO5" s="156" t="s">
        <v>461</v>
      </c>
      <c r="HP5" s="156" t="s">
        <v>462</v>
      </c>
      <c r="HQ5" s="156" t="s">
        <v>463</v>
      </c>
      <c r="HR5" s="156" t="s">
        <v>464</v>
      </c>
      <c r="HS5" s="156" t="s">
        <v>465</v>
      </c>
      <c r="HT5" s="156" t="s">
        <v>466</v>
      </c>
      <c r="HU5" s="156" t="s">
        <v>467</v>
      </c>
      <c r="HV5" s="137"/>
      <c r="HW5" s="137"/>
      <c r="HX5" s="101" t="s">
        <v>468</v>
      </c>
      <c r="HY5" s="101" t="s">
        <v>468</v>
      </c>
      <c r="HZ5" s="101"/>
      <c r="IA5" s="115" t="s">
        <v>469</v>
      </c>
      <c r="IB5" s="115" t="s">
        <v>470</v>
      </c>
      <c r="IC5" s="115" t="s">
        <v>471</v>
      </c>
      <c r="ID5" s="115" t="s">
        <v>472</v>
      </c>
      <c r="IE5" s="115" t="s">
        <v>473</v>
      </c>
      <c r="IF5" s="115" t="s">
        <v>474</v>
      </c>
      <c r="IG5" s="115" t="s">
        <v>68</v>
      </c>
      <c r="IH5" s="115" t="s">
        <v>218</v>
      </c>
      <c r="II5" s="115" t="s">
        <v>475</v>
      </c>
      <c r="IJ5" s="115" t="s">
        <v>476</v>
      </c>
      <c r="IK5" s="115" t="s">
        <v>477</v>
      </c>
      <c r="IL5" s="115" t="s">
        <v>478</v>
      </c>
      <c r="IM5" s="115" t="s">
        <v>479</v>
      </c>
      <c r="IN5" s="115" t="s">
        <v>468</v>
      </c>
      <c r="IO5" s="115" t="s">
        <v>480</v>
      </c>
      <c r="IP5" s="160" t="s">
        <v>480</v>
      </c>
    </row>
    <row r="6" spans="1:250" x14ac:dyDescent="0.25">
      <c r="A6" s="102" t="s">
        <v>483</v>
      </c>
      <c r="B6" s="102"/>
      <c r="C6" s="102"/>
      <c r="D6" s="115"/>
      <c r="E6" s="115"/>
      <c r="F6" s="115"/>
      <c r="G6" s="115"/>
      <c r="H6" s="115"/>
      <c r="I6" s="115"/>
      <c r="J6" s="115"/>
      <c r="K6" s="115"/>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c r="AY6" s="115"/>
      <c r="AZ6" s="115"/>
      <c r="BA6" s="115"/>
      <c r="BB6" s="115"/>
      <c r="BC6" s="115"/>
      <c r="BD6" s="115"/>
      <c r="BE6" s="115"/>
      <c r="BF6" s="115"/>
      <c r="BG6" s="115"/>
      <c r="BH6" s="115"/>
      <c r="BI6" s="115"/>
      <c r="BJ6" s="115"/>
      <c r="BK6" s="115"/>
      <c r="BL6" s="115"/>
      <c r="BM6" s="115"/>
      <c r="BN6" s="115"/>
      <c r="BO6" s="102"/>
      <c r="BP6" s="102"/>
      <c r="BQ6" s="102"/>
      <c r="BR6" s="102"/>
      <c r="BS6" s="102"/>
      <c r="BT6" s="102"/>
      <c r="BU6" s="102"/>
      <c r="BV6" s="102"/>
      <c r="BW6" s="102"/>
      <c r="BX6" s="102"/>
      <c r="BY6" s="102"/>
      <c r="BZ6" s="102"/>
      <c r="CA6" s="102"/>
      <c r="CB6" s="102"/>
      <c r="CC6" s="102"/>
      <c r="CD6" s="102"/>
      <c r="CE6" s="102"/>
      <c r="CF6" s="102"/>
      <c r="CG6" s="102"/>
      <c r="CH6" s="102"/>
      <c r="CI6" s="102"/>
      <c r="CJ6" s="102"/>
      <c r="CK6" s="102"/>
      <c r="CL6" s="102"/>
      <c r="CM6" s="102"/>
      <c r="CN6" s="102"/>
      <c r="CO6" s="102"/>
      <c r="CP6" s="102"/>
      <c r="CQ6" s="102"/>
      <c r="CR6" s="102"/>
      <c r="CS6" s="102"/>
      <c r="CT6" s="102"/>
      <c r="CU6" s="102"/>
      <c r="CV6" s="102"/>
      <c r="CW6" s="102"/>
      <c r="CX6" s="102"/>
      <c r="CY6" s="102"/>
      <c r="CZ6" s="102"/>
      <c r="DA6" s="102"/>
      <c r="DB6" s="102"/>
      <c r="DC6" s="102"/>
      <c r="DD6" s="102"/>
      <c r="DE6" s="102"/>
      <c r="DF6" s="102"/>
      <c r="DG6" s="102"/>
      <c r="DH6" s="102"/>
      <c r="DI6" s="102"/>
      <c r="DJ6" s="102"/>
      <c r="DK6" s="102"/>
      <c r="DL6" s="102"/>
      <c r="DM6" s="102"/>
      <c r="DN6" s="102"/>
      <c r="DO6" s="102">
        <v>6</v>
      </c>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c r="EO6" s="102"/>
      <c r="EP6" s="102"/>
      <c r="EQ6" s="102"/>
      <c r="ER6" s="102"/>
      <c r="ES6" s="102"/>
      <c r="ET6" s="102"/>
      <c r="EU6" s="102"/>
      <c r="EV6" s="102"/>
      <c r="EW6" s="102"/>
      <c r="EX6" s="102"/>
      <c r="EY6" s="102"/>
      <c r="EZ6" s="115"/>
      <c r="FA6" s="115"/>
      <c r="FB6" s="115"/>
      <c r="FC6" s="115"/>
      <c r="FD6" s="115"/>
      <c r="FE6" s="115"/>
      <c r="FF6" s="115"/>
      <c r="FG6" s="115"/>
      <c r="FH6" s="115"/>
      <c r="FI6" s="115"/>
      <c r="FJ6" s="115"/>
      <c r="FK6" s="115"/>
      <c r="FL6" s="115"/>
      <c r="FM6" s="115"/>
      <c r="FN6" s="115"/>
      <c r="FO6" s="115"/>
      <c r="FP6" s="115"/>
      <c r="FQ6" s="115"/>
      <c r="FR6" s="115"/>
      <c r="FS6" s="115"/>
      <c r="FT6" s="115"/>
      <c r="FU6" s="115"/>
      <c r="FV6" s="170">
        <v>25</v>
      </c>
      <c r="FW6" s="170"/>
      <c r="FX6" s="170">
        <v>25</v>
      </c>
      <c r="FY6" s="170">
        <v>25</v>
      </c>
      <c r="FZ6" s="170">
        <v>25</v>
      </c>
      <c r="GA6" s="170">
        <v>25</v>
      </c>
      <c r="GB6" s="170">
        <v>25</v>
      </c>
      <c r="GC6" s="170">
        <v>25</v>
      </c>
      <c r="GD6" s="170">
        <v>25</v>
      </c>
      <c r="GE6" s="170"/>
      <c r="GF6" s="170">
        <v>25</v>
      </c>
      <c r="GG6" s="170">
        <v>20</v>
      </c>
      <c r="GH6" s="170">
        <v>20</v>
      </c>
      <c r="GI6" s="170">
        <v>20</v>
      </c>
      <c r="GJ6" s="170"/>
      <c r="GK6" s="170">
        <v>25</v>
      </c>
      <c r="GL6" s="170">
        <v>25</v>
      </c>
      <c r="GM6" s="170">
        <v>25</v>
      </c>
      <c r="GN6" s="172">
        <v>25</v>
      </c>
      <c r="GO6" s="172">
        <v>25</v>
      </c>
      <c r="GP6" s="172">
        <v>25</v>
      </c>
      <c r="GQ6" s="172">
        <v>25</v>
      </c>
      <c r="GR6" s="172">
        <v>25</v>
      </c>
      <c r="GS6" s="172">
        <v>25</v>
      </c>
      <c r="GT6" s="172">
        <v>25</v>
      </c>
      <c r="GU6" s="172">
        <v>25</v>
      </c>
      <c r="GV6" s="102"/>
      <c r="GW6" s="115"/>
      <c r="GX6" s="115"/>
      <c r="GY6" s="115"/>
      <c r="GZ6" s="115"/>
      <c r="HA6" s="115"/>
      <c r="HB6" s="115"/>
      <c r="HC6" s="115"/>
      <c r="HD6" s="115"/>
      <c r="HE6" s="115"/>
      <c r="HF6" s="115"/>
      <c r="HG6" s="115"/>
      <c r="HH6" s="115"/>
      <c r="HI6" s="115"/>
      <c r="HJ6" s="115"/>
      <c r="HK6" s="115"/>
      <c r="HL6" s="115"/>
      <c r="HM6" s="115"/>
      <c r="HN6" s="115"/>
      <c r="HO6" s="102">
        <v>10</v>
      </c>
      <c r="HP6" s="102">
        <v>10</v>
      </c>
      <c r="HQ6" s="102">
        <v>10</v>
      </c>
      <c r="HR6" s="102">
        <v>10</v>
      </c>
      <c r="HS6" s="102">
        <v>10</v>
      </c>
      <c r="HT6" s="102">
        <v>10</v>
      </c>
      <c r="HU6" s="102">
        <v>10</v>
      </c>
      <c r="HV6" s="102">
        <v>5</v>
      </c>
      <c r="HW6" s="102">
        <v>5</v>
      </c>
      <c r="HX6" s="102" t="s">
        <v>491</v>
      </c>
      <c r="HY6" s="102" t="s">
        <v>492</v>
      </c>
      <c r="HZ6" s="102"/>
      <c r="IA6" s="102"/>
      <c r="IB6" s="102"/>
      <c r="IC6" s="102"/>
      <c r="ID6" s="102"/>
      <c r="IE6" s="102" t="s">
        <v>480</v>
      </c>
      <c r="IF6" s="102" t="s">
        <v>480</v>
      </c>
      <c r="IG6" s="102"/>
      <c r="IH6" s="102"/>
      <c r="II6" s="102" t="s">
        <v>493</v>
      </c>
      <c r="IJ6" s="102" t="s">
        <v>493</v>
      </c>
      <c r="IK6" s="102"/>
      <c r="IL6" s="102"/>
      <c r="IM6" s="102"/>
      <c r="IN6" s="102"/>
      <c r="IO6" s="102"/>
      <c r="IP6" s="102"/>
    </row>
    <row r="7" spans="1:250" x14ac:dyDescent="0.25">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row>
    <row r="8" spans="1:250" x14ac:dyDescent="0.25">
      <c r="A8" s="178" t="s">
        <v>495</v>
      </c>
      <c r="B8" s="178"/>
      <c r="C8" s="178"/>
      <c r="D8" s="180">
        <v>10</v>
      </c>
      <c r="E8" s="182">
        <v>94</v>
      </c>
      <c r="F8" s="182">
        <v>135</v>
      </c>
      <c r="G8" s="182">
        <v>100</v>
      </c>
      <c r="H8" s="182">
        <v>55</v>
      </c>
      <c r="I8" s="182">
        <v>100</v>
      </c>
      <c r="J8" s="182">
        <v>85</v>
      </c>
      <c r="K8" s="36">
        <v>80</v>
      </c>
      <c r="L8" s="182"/>
      <c r="M8" s="182">
        <v>100</v>
      </c>
      <c r="N8" s="182">
        <v>100</v>
      </c>
      <c r="O8" s="182">
        <v>55</v>
      </c>
      <c r="P8" s="182">
        <v>75</v>
      </c>
      <c r="Q8" s="182">
        <v>55</v>
      </c>
      <c r="R8" s="182">
        <v>100</v>
      </c>
      <c r="S8" s="182">
        <v>100</v>
      </c>
      <c r="T8" s="182"/>
      <c r="U8" s="182">
        <v>70</v>
      </c>
      <c r="V8" s="182"/>
      <c r="W8" s="182">
        <v>10</v>
      </c>
      <c r="X8" s="182">
        <v>30</v>
      </c>
      <c r="Y8" s="182"/>
      <c r="Z8" s="182"/>
      <c r="AA8" s="182"/>
      <c r="AB8" s="182"/>
      <c r="AC8" s="182">
        <v>100</v>
      </c>
      <c r="AD8" s="182"/>
      <c r="AE8" s="182">
        <v>50</v>
      </c>
      <c r="AF8" s="182">
        <v>100</v>
      </c>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v>145</v>
      </c>
      <c r="BP8" s="182">
        <v>15</v>
      </c>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82"/>
      <c r="CZ8" s="182"/>
      <c r="DA8" s="182"/>
      <c r="DB8" s="182"/>
      <c r="DC8" s="182"/>
      <c r="DD8" s="182"/>
      <c r="DE8" s="182"/>
      <c r="DF8" s="182">
        <v>35</v>
      </c>
      <c r="DG8" s="182"/>
      <c r="DH8" s="182"/>
      <c r="DI8" s="182"/>
      <c r="DJ8" s="182"/>
      <c r="DK8" s="182"/>
      <c r="DL8" s="182"/>
      <c r="DM8" s="182"/>
      <c r="DN8" s="182"/>
      <c r="DO8" s="182"/>
      <c r="DP8" s="182"/>
      <c r="DQ8" s="182">
        <v>220</v>
      </c>
      <c r="DR8" s="182"/>
      <c r="DS8" s="182">
        <v>9</v>
      </c>
      <c r="DT8" s="182"/>
      <c r="DU8" s="182"/>
      <c r="DV8" s="182">
        <v>280</v>
      </c>
      <c r="DW8" s="182"/>
      <c r="DX8" s="182"/>
      <c r="DY8" s="182"/>
      <c r="DZ8" s="182"/>
      <c r="EA8" s="182"/>
      <c r="EB8" s="182"/>
      <c r="EC8" s="182"/>
      <c r="ED8" s="182"/>
      <c r="EE8" s="182"/>
      <c r="EF8" s="182"/>
      <c r="EG8" s="182"/>
      <c r="EH8" s="182"/>
      <c r="EI8" s="182"/>
      <c r="EJ8" s="182">
        <v>20</v>
      </c>
      <c r="EK8" s="182"/>
      <c r="EL8" s="182"/>
      <c r="EM8" s="182">
        <v>34</v>
      </c>
      <c r="EN8" s="182">
        <v>200</v>
      </c>
      <c r="EO8" s="182">
        <v>0</v>
      </c>
      <c r="EP8" s="182"/>
      <c r="EQ8" s="182">
        <v>579</v>
      </c>
      <c r="ER8" s="182"/>
      <c r="ES8" s="182"/>
      <c r="ET8" s="182"/>
      <c r="EU8" s="182"/>
      <c r="EV8" s="182"/>
      <c r="EW8" s="182">
        <v>1799</v>
      </c>
      <c r="EX8" s="182">
        <v>2149</v>
      </c>
      <c r="EY8" s="182">
        <v>1047</v>
      </c>
      <c r="EZ8" s="182">
        <v>848</v>
      </c>
      <c r="FA8" s="182">
        <v>74</v>
      </c>
      <c r="FB8" s="182">
        <v>750</v>
      </c>
      <c r="FC8" s="182">
        <v>25</v>
      </c>
      <c r="FD8" s="182">
        <v>200</v>
      </c>
      <c r="FE8" s="182">
        <v>224</v>
      </c>
      <c r="FF8" s="182">
        <v>100</v>
      </c>
      <c r="FG8" s="182">
        <v>122</v>
      </c>
      <c r="FH8" s="182">
        <v>100</v>
      </c>
      <c r="FI8" s="182">
        <v>0</v>
      </c>
      <c r="FJ8" s="182">
        <v>0</v>
      </c>
      <c r="FK8" s="182">
        <v>0</v>
      </c>
      <c r="FL8" s="182">
        <v>0</v>
      </c>
      <c r="FM8" s="182"/>
      <c r="FN8" s="182"/>
      <c r="FO8" s="182"/>
      <c r="FP8" s="182">
        <v>250</v>
      </c>
      <c r="FQ8" s="182">
        <v>250</v>
      </c>
      <c r="FR8" s="182">
        <v>300</v>
      </c>
      <c r="FS8" s="182"/>
      <c r="FT8" s="182"/>
      <c r="FU8" s="182"/>
      <c r="FV8" s="182">
        <v>624</v>
      </c>
      <c r="FW8" s="182"/>
      <c r="FX8" s="182">
        <v>243</v>
      </c>
      <c r="FY8" s="182">
        <v>100</v>
      </c>
      <c r="FZ8" s="182">
        <v>475</v>
      </c>
      <c r="GA8" s="182">
        <v>750</v>
      </c>
      <c r="GB8" s="182">
        <v>747</v>
      </c>
      <c r="GC8" s="182">
        <v>6200</v>
      </c>
      <c r="GD8" s="182"/>
      <c r="GE8" s="182"/>
      <c r="GF8" s="182">
        <v>225</v>
      </c>
      <c r="GG8" s="182">
        <v>80</v>
      </c>
      <c r="GH8" s="182">
        <v>260</v>
      </c>
      <c r="GI8" s="182">
        <v>60</v>
      </c>
      <c r="GJ8" s="182"/>
      <c r="GK8" s="182">
        <v>750</v>
      </c>
      <c r="GL8" s="182">
        <v>850</v>
      </c>
      <c r="GM8" s="182">
        <v>300</v>
      </c>
      <c r="GN8" s="182">
        <v>400</v>
      </c>
      <c r="GO8" s="182">
        <v>249</v>
      </c>
      <c r="GP8" s="182">
        <v>0</v>
      </c>
      <c r="GQ8" s="182">
        <v>474</v>
      </c>
      <c r="GR8" s="182">
        <v>474</v>
      </c>
      <c r="GS8" s="182">
        <v>500</v>
      </c>
      <c r="GT8" s="182">
        <v>75</v>
      </c>
      <c r="GU8" s="182">
        <v>100</v>
      </c>
      <c r="GV8" s="182">
        <f>74.25*20</f>
        <v>1485</v>
      </c>
      <c r="GW8" s="182"/>
      <c r="GX8" s="182">
        <f>449+51+48</f>
        <v>548</v>
      </c>
      <c r="GY8" s="182">
        <v>150</v>
      </c>
      <c r="GZ8" s="182">
        <v>25</v>
      </c>
      <c r="HA8" s="182">
        <v>50</v>
      </c>
      <c r="HB8" s="182">
        <v>92</v>
      </c>
      <c r="HC8" s="182">
        <v>600</v>
      </c>
      <c r="HD8" s="182">
        <v>751</v>
      </c>
      <c r="HE8" s="182">
        <v>200</v>
      </c>
      <c r="HF8" s="182">
        <v>0</v>
      </c>
      <c r="HG8" s="182">
        <v>177</v>
      </c>
      <c r="HH8" s="182"/>
      <c r="HI8" s="182">
        <v>44</v>
      </c>
      <c r="HJ8" s="182"/>
      <c r="HK8" s="182"/>
      <c r="HL8" s="182"/>
      <c r="HM8" s="182"/>
      <c r="HN8" s="182"/>
      <c r="HO8" s="182">
        <v>0</v>
      </c>
      <c r="HP8" s="182">
        <v>0</v>
      </c>
      <c r="HQ8" s="182">
        <v>1069</v>
      </c>
      <c r="HR8" s="182">
        <v>389</v>
      </c>
      <c r="HS8" s="182">
        <v>0</v>
      </c>
      <c r="HT8" s="182">
        <v>350</v>
      </c>
      <c r="HU8" s="182">
        <v>206</v>
      </c>
      <c r="HV8" s="182"/>
      <c r="HW8" s="182"/>
      <c r="HX8" s="182"/>
      <c r="HY8" s="182"/>
      <c r="HZ8" s="182"/>
      <c r="IA8" s="182"/>
      <c r="IB8" s="182"/>
      <c r="IC8" s="182"/>
      <c r="ID8" s="182"/>
      <c r="IE8" s="182"/>
      <c r="IF8" s="182"/>
      <c r="IG8" s="182"/>
      <c r="IH8" s="182"/>
      <c r="II8" s="182"/>
      <c r="IJ8" s="182"/>
      <c r="IK8" s="182"/>
      <c r="IL8" s="182"/>
      <c r="IM8" s="182"/>
      <c r="IN8" s="182"/>
      <c r="IO8" s="182"/>
      <c r="IP8" s="182"/>
    </row>
    <row r="9" spans="1:250" x14ac:dyDescent="0.25">
      <c r="A9" s="119" t="s">
        <v>496</v>
      </c>
      <c r="B9" s="119"/>
      <c r="C9" s="119"/>
      <c r="D9" s="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v>4</v>
      </c>
      <c r="CS9" s="36"/>
      <c r="CT9" s="36"/>
      <c r="CU9" s="36"/>
      <c r="CV9" s="36"/>
      <c r="CW9" s="36"/>
      <c r="CX9" s="36"/>
      <c r="CY9" s="36"/>
      <c r="CZ9" s="36">
        <v>4</v>
      </c>
      <c r="DA9" s="36"/>
      <c r="DB9" s="36"/>
      <c r="DC9" s="36">
        <v>4</v>
      </c>
      <c r="DD9" s="36"/>
      <c r="DE9" s="36"/>
      <c r="DF9" s="36"/>
      <c r="DG9" s="36"/>
      <c r="DH9" s="36"/>
      <c r="DI9" s="36"/>
      <c r="DJ9" s="36"/>
      <c r="DK9" s="36"/>
      <c r="DL9" s="36"/>
      <c r="DM9" s="36"/>
      <c r="DN9" s="36"/>
      <c r="DO9" s="36"/>
      <c r="DP9" s="36"/>
      <c r="DQ9" s="36"/>
      <c r="DR9" s="36"/>
      <c r="DS9" s="36"/>
      <c r="DT9" s="36"/>
      <c r="DU9" s="36"/>
      <c r="DV9" s="36">
        <v>1</v>
      </c>
      <c r="DW9" s="36"/>
      <c r="DX9" s="36"/>
      <c r="DY9" s="36">
        <v>4</v>
      </c>
      <c r="DZ9" s="36"/>
      <c r="EA9" s="36"/>
      <c r="EB9" s="36"/>
      <c r="EC9" s="36"/>
      <c r="ED9" s="36"/>
      <c r="EE9" s="36">
        <v>5</v>
      </c>
      <c r="EF9" s="36">
        <v>11</v>
      </c>
      <c r="EG9" s="36"/>
      <c r="EH9" s="36"/>
      <c r="EI9" s="36">
        <v>7</v>
      </c>
      <c r="EJ9" s="36">
        <v>5</v>
      </c>
      <c r="EK9" s="36"/>
      <c r="EL9" s="36"/>
      <c r="EM9" s="36"/>
      <c r="EN9" s="36">
        <v>2</v>
      </c>
      <c r="EO9" s="36"/>
      <c r="EP9" s="36"/>
      <c r="EQ9" s="36"/>
      <c r="ER9" s="36"/>
      <c r="ES9" s="36"/>
      <c r="ET9" s="36"/>
      <c r="EU9" s="36"/>
      <c r="EV9" s="36"/>
      <c r="EW9" s="36"/>
      <c r="EX9" s="36"/>
      <c r="EY9" s="36"/>
      <c r="EZ9" s="36"/>
      <c r="FA9" s="36"/>
      <c r="FB9" s="36"/>
      <c r="FC9" s="36"/>
      <c r="FD9" s="36"/>
      <c r="FE9" s="36"/>
      <c r="FF9" s="36"/>
      <c r="FG9" s="36"/>
      <c r="FH9" s="36"/>
      <c r="FI9" s="36"/>
      <c r="FJ9" s="36"/>
      <c r="FK9" s="36"/>
      <c r="FL9" s="36"/>
      <c r="FM9" s="36"/>
      <c r="FN9" s="36"/>
      <c r="FO9" s="36"/>
      <c r="FP9" s="36"/>
      <c r="FQ9" s="36"/>
      <c r="FR9" s="36"/>
      <c r="FS9" s="36"/>
      <c r="FT9" s="36"/>
      <c r="FU9" s="36"/>
      <c r="FV9" s="36"/>
      <c r="FW9" s="36"/>
      <c r="FX9" s="36"/>
      <c r="FY9" s="36"/>
      <c r="FZ9" s="36"/>
      <c r="GA9" s="36"/>
      <c r="GB9" s="36"/>
      <c r="GC9" s="36"/>
      <c r="GD9" s="36"/>
      <c r="GE9" s="36"/>
      <c r="GF9" s="36"/>
      <c r="GG9" s="36"/>
      <c r="GH9" s="36"/>
      <c r="GI9" s="36"/>
      <c r="GJ9" s="36"/>
      <c r="GK9" s="36"/>
      <c r="GL9" s="36"/>
      <c r="GM9" s="36"/>
      <c r="GN9" s="36"/>
      <c r="GO9" s="36"/>
      <c r="GP9" s="36"/>
      <c r="GQ9" s="36"/>
      <c r="GR9" s="36"/>
      <c r="GS9" s="36"/>
      <c r="GT9" s="36"/>
      <c r="GU9" s="36"/>
      <c r="GV9" s="36"/>
      <c r="GW9" s="36"/>
      <c r="GX9" s="36"/>
      <c r="GY9" s="36"/>
      <c r="GZ9" s="36"/>
      <c r="HA9" s="36"/>
      <c r="HB9" s="36"/>
      <c r="HC9" s="36"/>
      <c r="HD9" s="36"/>
      <c r="HE9" s="36"/>
      <c r="HF9" s="36"/>
      <c r="HG9" s="36"/>
      <c r="HH9" s="36"/>
      <c r="HI9" s="36"/>
      <c r="HJ9" s="36"/>
      <c r="HK9" s="36"/>
      <c r="HL9" s="36"/>
      <c r="HM9" s="36"/>
      <c r="HN9" s="36"/>
      <c r="HO9" s="36"/>
      <c r="HP9" s="36"/>
      <c r="HQ9" s="36"/>
      <c r="HR9" s="36"/>
      <c r="HS9" s="36"/>
      <c r="HT9" s="36"/>
      <c r="HU9" s="36"/>
      <c r="HV9" s="36"/>
      <c r="HW9" s="36"/>
      <c r="HX9" s="36"/>
      <c r="HY9" s="36"/>
      <c r="HZ9" s="36"/>
      <c r="IA9" s="36"/>
      <c r="IB9" s="36"/>
      <c r="IC9" s="36"/>
      <c r="ID9" s="36"/>
      <c r="IE9" s="36"/>
      <c r="IF9" s="36"/>
      <c r="IG9" s="36"/>
      <c r="IH9" s="36"/>
      <c r="II9" s="36"/>
      <c r="IJ9" s="36"/>
      <c r="IK9" s="36"/>
      <c r="IL9" s="36"/>
      <c r="IM9" s="36"/>
      <c r="IN9" s="36"/>
      <c r="IO9" s="36"/>
      <c r="IP9" s="36"/>
    </row>
    <row r="10" spans="1:250" x14ac:dyDescent="0.25">
      <c r="A10" s="36" t="s">
        <v>497</v>
      </c>
      <c r="B10" s="36"/>
      <c r="C10" s="36"/>
      <c r="D10" s="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182">
        <v>250</v>
      </c>
      <c r="CO10" s="36"/>
      <c r="CP10" s="36"/>
      <c r="CQ10" s="36"/>
      <c r="CR10" s="36"/>
      <c r="CS10" s="36"/>
      <c r="CT10" s="36"/>
      <c r="CU10" s="36"/>
      <c r="CV10" s="36"/>
      <c r="CW10" s="36"/>
      <c r="CX10" s="36"/>
      <c r="CY10" s="36"/>
      <c r="CZ10" s="36"/>
      <c r="DA10" s="36"/>
      <c r="DB10" s="36"/>
      <c r="DC10" s="36"/>
      <c r="DD10" s="36"/>
      <c r="DE10" s="36"/>
      <c r="DF10" s="36"/>
      <c r="DG10" s="182">
        <v>50</v>
      </c>
      <c r="DH10" s="36"/>
      <c r="DI10" s="36"/>
      <c r="DJ10" s="36"/>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182">
        <v>5</v>
      </c>
      <c r="EM10" s="36"/>
      <c r="EN10" s="36"/>
      <c r="EO10" s="182">
        <v>80</v>
      </c>
      <c r="EP10" s="182">
        <v>50</v>
      </c>
      <c r="EQ10" s="36"/>
      <c r="ER10" s="36"/>
      <c r="ES10" s="182">
        <v>150</v>
      </c>
      <c r="ET10" s="182">
        <v>150</v>
      </c>
      <c r="EU10" s="182"/>
      <c r="EV10" s="182"/>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6"/>
      <c r="GC10" s="36"/>
      <c r="GD10" s="36"/>
      <c r="GE10" s="36"/>
      <c r="GF10" s="36"/>
      <c r="GG10" s="36"/>
      <c r="GH10" s="36"/>
      <c r="GI10" s="36"/>
      <c r="GJ10" s="36"/>
      <c r="GK10" s="36"/>
      <c r="GL10" s="36"/>
      <c r="GM10" s="36"/>
      <c r="GN10" s="36"/>
      <c r="GO10" s="36"/>
      <c r="GP10" s="36"/>
      <c r="GQ10" s="36"/>
      <c r="GR10" s="36"/>
      <c r="GS10" s="36"/>
      <c r="GT10" s="36"/>
      <c r="GU10" s="36"/>
      <c r="GV10" s="36"/>
      <c r="GW10" s="36"/>
      <c r="GX10" s="36"/>
      <c r="GY10" s="36"/>
      <c r="GZ10" s="36"/>
      <c r="HA10" s="36"/>
      <c r="HB10" s="36"/>
      <c r="HC10" s="36"/>
      <c r="HD10" s="36"/>
      <c r="HE10" s="36"/>
      <c r="HF10" s="36"/>
      <c r="HG10" s="36"/>
      <c r="HH10" s="36"/>
      <c r="HI10" s="36"/>
      <c r="HJ10" s="36"/>
      <c r="HK10" s="36"/>
      <c r="HL10" s="36"/>
      <c r="HM10" s="36"/>
      <c r="HN10" s="36"/>
      <c r="HO10" s="36"/>
      <c r="HP10" s="36"/>
      <c r="HQ10" s="36"/>
      <c r="HR10" s="36"/>
      <c r="HS10" s="36"/>
      <c r="HT10" s="36"/>
      <c r="HU10" s="36"/>
      <c r="HV10" s="36"/>
      <c r="HW10" s="36"/>
      <c r="HX10" s="182">
        <v>166</v>
      </c>
      <c r="HY10" s="36"/>
      <c r="HZ10" s="36"/>
      <c r="IA10" s="36"/>
      <c r="IB10" s="36"/>
      <c r="IC10" s="36"/>
      <c r="ID10" s="36"/>
      <c r="IE10" s="36"/>
      <c r="IF10" s="36"/>
      <c r="IG10" s="36"/>
      <c r="IH10" s="36"/>
      <c r="II10" s="36"/>
      <c r="IJ10" s="36"/>
      <c r="IK10" s="36"/>
      <c r="IL10" s="36"/>
      <c r="IM10" s="36"/>
      <c r="IN10" s="36"/>
      <c r="IO10" s="36"/>
      <c r="IP10" s="36"/>
    </row>
    <row r="11" spans="1:250" x14ac:dyDescent="0.25">
      <c r="A11" s="119" t="s">
        <v>498</v>
      </c>
      <c r="B11" s="36"/>
      <c r="C11" s="36"/>
      <c r="D11" s="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v>5</v>
      </c>
      <c r="BP11" s="36"/>
      <c r="BQ11" s="36"/>
      <c r="BR11" s="36"/>
      <c r="BS11" s="36"/>
      <c r="BT11" s="36"/>
      <c r="BU11" s="36"/>
      <c r="BV11" s="36"/>
      <c r="BW11" s="36"/>
      <c r="BX11" s="36"/>
      <c r="BY11" s="36"/>
      <c r="BZ11" s="36"/>
      <c r="CA11" s="36"/>
      <c r="CB11" s="36"/>
      <c r="CC11" s="36"/>
      <c r="CD11" s="36"/>
      <c r="CE11" s="36"/>
      <c r="CF11" s="36"/>
      <c r="CG11" s="36"/>
      <c r="CH11" s="36"/>
      <c r="CI11" s="36"/>
      <c r="CJ11" s="36"/>
      <c r="CK11" s="36"/>
      <c r="CL11" s="36"/>
      <c r="CM11" s="36"/>
      <c r="CN11" s="182"/>
      <c r="CO11" s="36"/>
      <c r="CP11" s="36"/>
      <c r="CQ11" s="36"/>
      <c r="CR11" s="36"/>
      <c r="CS11" s="36"/>
      <c r="CT11" s="36"/>
      <c r="CU11" s="36"/>
      <c r="CV11" s="36"/>
      <c r="CW11" s="36"/>
      <c r="CX11" s="36"/>
      <c r="CY11" s="36"/>
      <c r="CZ11" s="36"/>
      <c r="DA11" s="36"/>
      <c r="DB11" s="36"/>
      <c r="DC11" s="36"/>
      <c r="DD11" s="36"/>
      <c r="DE11" s="36"/>
      <c r="DF11" s="36"/>
      <c r="DG11" s="182"/>
      <c r="DH11" s="36"/>
      <c r="DI11" s="36"/>
      <c r="DJ11" s="36"/>
      <c r="DK11" s="36"/>
      <c r="DL11" s="36"/>
      <c r="DM11" s="36"/>
      <c r="DN11" s="36"/>
      <c r="DO11" s="36"/>
      <c r="DP11" s="36"/>
      <c r="DQ11" s="36"/>
      <c r="DR11" s="36"/>
      <c r="DS11" s="36"/>
      <c r="DT11" s="36"/>
      <c r="DU11" s="36"/>
      <c r="DV11" s="36"/>
      <c r="DW11" s="36"/>
      <c r="DX11" s="36"/>
      <c r="DY11" s="36"/>
      <c r="DZ11" s="36"/>
      <c r="EA11" s="36"/>
      <c r="EB11" s="36"/>
      <c r="EC11" s="36"/>
      <c r="ED11" s="36"/>
      <c r="EE11" s="36"/>
      <c r="EF11" s="36"/>
      <c r="EG11" s="36"/>
      <c r="EH11" s="36"/>
      <c r="EI11" s="36"/>
      <c r="EJ11" s="36"/>
      <c r="EK11" s="36"/>
      <c r="EL11" s="182"/>
      <c r="EM11" s="36"/>
      <c r="EN11" s="36"/>
      <c r="EO11" s="182"/>
      <c r="EP11" s="182"/>
      <c r="EQ11" s="36"/>
      <c r="ER11" s="36"/>
      <c r="ES11" s="182"/>
      <c r="ET11" s="182"/>
      <c r="EU11" s="182"/>
      <c r="EV11" s="182"/>
      <c r="EW11" s="36"/>
      <c r="EX11" s="36"/>
      <c r="EY11" s="36"/>
      <c r="EZ11" s="36"/>
      <c r="FA11" s="36"/>
      <c r="FB11" s="36"/>
      <c r="FC11" s="36"/>
      <c r="FD11" s="36"/>
      <c r="FE11" s="36"/>
      <c r="FF11" s="36"/>
      <c r="FG11" s="36"/>
      <c r="FH11" s="36"/>
      <c r="FI11" s="36"/>
      <c r="FJ11" s="36"/>
      <c r="FK11" s="36"/>
      <c r="FL11" s="36"/>
      <c r="FM11" s="36"/>
      <c r="FN11" s="36"/>
      <c r="FO11" s="36"/>
      <c r="FP11" s="36"/>
      <c r="FQ11" s="36"/>
      <c r="FR11" s="36"/>
      <c r="FS11" s="36"/>
      <c r="FT11" s="36"/>
      <c r="FU11" s="36"/>
      <c r="FV11" s="36"/>
      <c r="FW11" s="36"/>
      <c r="FX11" s="36"/>
      <c r="FY11" s="36"/>
      <c r="FZ11" s="36"/>
      <c r="GA11" s="36"/>
      <c r="GB11" s="36"/>
      <c r="GC11" s="36"/>
      <c r="GD11" s="36"/>
      <c r="GE11" s="36"/>
      <c r="GF11" s="36"/>
      <c r="GG11" s="36"/>
      <c r="GH11" s="36"/>
      <c r="GI11" s="36"/>
      <c r="GJ11" s="36"/>
      <c r="GK11" s="36"/>
      <c r="GL11" s="36"/>
      <c r="GM11" s="36"/>
      <c r="GN11" s="36"/>
      <c r="GO11" s="36"/>
      <c r="GP11" s="36"/>
      <c r="GQ11" s="36"/>
      <c r="GR11" s="36"/>
      <c r="GS11" s="36"/>
      <c r="GT11" s="36"/>
      <c r="GU11" s="36"/>
      <c r="GV11" s="36"/>
      <c r="GW11" s="36"/>
      <c r="GX11" s="36"/>
      <c r="GY11" s="36"/>
      <c r="GZ11" s="36"/>
      <c r="HA11" s="36"/>
      <c r="HB11" s="36"/>
      <c r="HC11" s="36"/>
      <c r="HD11" s="36"/>
      <c r="HE11" s="36"/>
      <c r="HF11" s="36"/>
      <c r="HG11" s="36"/>
      <c r="HH11" s="36"/>
      <c r="HI11" s="36"/>
      <c r="HJ11" s="36"/>
      <c r="HK11" s="36"/>
      <c r="HL11" s="36"/>
      <c r="HM11" s="36"/>
      <c r="HN11" s="36"/>
      <c r="HO11" s="36"/>
      <c r="HP11" s="36"/>
      <c r="HQ11" s="36"/>
      <c r="HR11" s="36"/>
      <c r="HS11" s="36"/>
      <c r="HT11" s="36"/>
      <c r="HU11" s="36"/>
      <c r="HV11" s="36"/>
      <c r="HW11" s="36"/>
      <c r="HX11" s="182"/>
      <c r="HY11" s="36"/>
      <c r="HZ11" s="36"/>
      <c r="IA11" s="36"/>
      <c r="IB11" s="36"/>
      <c r="IC11" s="36"/>
      <c r="ID11" s="36"/>
      <c r="IE11" s="36"/>
      <c r="IF11" s="36"/>
      <c r="IG11" s="36"/>
      <c r="IH11" s="36"/>
      <c r="II11" s="36"/>
      <c r="IJ11" s="36"/>
      <c r="IK11" s="36"/>
      <c r="IL11" s="36"/>
      <c r="IM11" s="36"/>
      <c r="IN11" s="36"/>
      <c r="IO11" s="36"/>
      <c r="IP11" s="36"/>
    </row>
    <row r="12" spans="1:250" x14ac:dyDescent="0.25">
      <c r="A12" s="36" t="s">
        <v>499</v>
      </c>
      <c r="B12" s="36"/>
      <c r="C12" s="36"/>
      <c r="D12" s="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v>200</v>
      </c>
      <c r="AL12" s="36"/>
      <c r="AM12" s="36"/>
      <c r="AN12" s="36"/>
      <c r="AO12" s="36"/>
      <c r="AP12" s="36"/>
      <c r="AQ12" s="36"/>
      <c r="AR12" s="36"/>
      <c r="AS12" s="36"/>
      <c r="AT12" s="36"/>
      <c r="AU12" s="36">
        <v>200</v>
      </c>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v>50</v>
      </c>
      <c r="CP12" s="36"/>
      <c r="CQ12" s="36"/>
      <c r="CR12" s="36">
        <v>125</v>
      </c>
      <c r="CS12" s="36"/>
      <c r="CT12" s="36"/>
      <c r="CU12" s="36">
        <v>25</v>
      </c>
      <c r="CV12" s="36"/>
      <c r="CW12" s="36"/>
      <c r="CX12" s="36">
        <v>50</v>
      </c>
      <c r="CY12" s="36">
        <v>100</v>
      </c>
      <c r="CZ12" s="36">
        <v>100</v>
      </c>
      <c r="DA12" s="36"/>
      <c r="DB12" s="36">
        <v>100</v>
      </c>
      <c r="DC12" s="36">
        <v>100</v>
      </c>
      <c r="DD12" s="36">
        <v>75</v>
      </c>
      <c r="DE12" s="36">
        <v>50</v>
      </c>
      <c r="DF12" s="36">
        <v>75</v>
      </c>
      <c r="DG12" s="36">
        <v>100</v>
      </c>
      <c r="DH12" s="36">
        <v>100</v>
      </c>
      <c r="DI12" s="36">
        <v>76</v>
      </c>
      <c r="DJ12" s="36">
        <v>75</v>
      </c>
      <c r="DK12" s="36"/>
      <c r="DL12" s="36">
        <v>24</v>
      </c>
      <c r="DM12" s="36">
        <v>25</v>
      </c>
      <c r="DN12" s="36"/>
      <c r="DO12" s="36">
        <v>75</v>
      </c>
      <c r="DP12" s="36">
        <v>75</v>
      </c>
      <c r="DQ12" s="36"/>
      <c r="DR12" s="36">
        <v>100</v>
      </c>
      <c r="DS12" s="36">
        <v>100</v>
      </c>
      <c r="DT12" s="36"/>
      <c r="DU12" s="36">
        <v>100</v>
      </c>
      <c r="DV12" s="36"/>
      <c r="DW12" s="36"/>
      <c r="DX12" s="36">
        <v>25</v>
      </c>
      <c r="DY12" s="36"/>
      <c r="DZ12" s="36"/>
      <c r="EA12" s="36"/>
      <c r="EB12" s="36"/>
      <c r="EC12" s="36">
        <v>54</v>
      </c>
      <c r="ED12" s="36"/>
      <c r="EE12" s="36">
        <v>101</v>
      </c>
      <c r="EF12" s="36"/>
      <c r="EG12" s="36"/>
      <c r="EH12" s="36">
        <v>100</v>
      </c>
      <c r="EI12" s="36">
        <v>100</v>
      </c>
      <c r="EJ12" s="36">
        <v>100</v>
      </c>
      <c r="EK12" s="36"/>
      <c r="EL12" s="36"/>
      <c r="EM12" s="36"/>
      <c r="EN12" s="36"/>
      <c r="EO12" s="36"/>
      <c r="EP12" s="36">
        <v>300</v>
      </c>
      <c r="EQ12" s="36"/>
      <c r="ER12" s="36"/>
      <c r="ES12" s="36"/>
      <c r="ET12" s="36"/>
      <c r="EU12" s="36" t="s">
        <v>500</v>
      </c>
      <c r="EV12" s="36"/>
      <c r="EW12" s="36"/>
      <c r="EX12" s="36"/>
      <c r="EY12" s="36"/>
      <c r="EZ12" s="36"/>
      <c r="FA12" s="36">
        <v>125</v>
      </c>
      <c r="FB12" s="36"/>
      <c r="FC12" s="36">
        <v>75</v>
      </c>
      <c r="FD12" s="36"/>
      <c r="FE12" s="36"/>
      <c r="FF12" s="36">
        <v>100</v>
      </c>
      <c r="FG12" s="36">
        <v>100</v>
      </c>
      <c r="FH12" s="36">
        <v>100</v>
      </c>
      <c r="FI12" s="36">
        <v>300</v>
      </c>
      <c r="FJ12" s="36">
        <v>300</v>
      </c>
      <c r="FK12" s="36"/>
      <c r="FL12" s="36"/>
      <c r="FM12" s="36"/>
      <c r="FN12" s="36"/>
      <c r="FO12" s="36">
        <v>4000</v>
      </c>
      <c r="FP12" s="36"/>
      <c r="FQ12" s="36"/>
      <c r="FR12" s="36"/>
      <c r="FS12" s="36">
        <v>100</v>
      </c>
      <c r="FT12" s="36"/>
      <c r="FU12" s="36"/>
      <c r="FV12" s="36"/>
      <c r="FW12" s="36"/>
      <c r="FX12" s="36"/>
      <c r="FY12" s="36"/>
      <c r="FZ12" s="36"/>
      <c r="GA12" s="36"/>
      <c r="GB12" s="36"/>
      <c r="GC12" s="36"/>
      <c r="GD12" s="36"/>
      <c r="GE12" s="36"/>
      <c r="GF12" s="36"/>
      <c r="GG12" s="36"/>
      <c r="GH12" s="36"/>
      <c r="GI12" s="36"/>
      <c r="GJ12" s="36"/>
      <c r="GK12" s="36"/>
      <c r="GL12" s="36"/>
      <c r="GM12" s="36"/>
      <c r="GN12" s="36"/>
      <c r="GO12" s="36"/>
      <c r="GP12" s="36"/>
      <c r="GQ12" s="36"/>
      <c r="GR12" s="36"/>
      <c r="GS12" s="36"/>
      <c r="GT12" s="36"/>
      <c r="GU12" s="36"/>
      <c r="GV12" s="36"/>
      <c r="GW12" s="36">
        <v>200</v>
      </c>
      <c r="GX12" s="36"/>
      <c r="GY12" s="36">
        <v>150</v>
      </c>
      <c r="GZ12" s="36">
        <v>200</v>
      </c>
      <c r="HA12" s="36"/>
      <c r="HB12" s="36">
        <v>200</v>
      </c>
      <c r="HC12" s="36"/>
      <c r="HD12" s="36"/>
      <c r="HE12" s="36"/>
      <c r="HF12" s="36">
        <v>500</v>
      </c>
      <c r="HG12" s="36">
        <v>500</v>
      </c>
      <c r="HH12" s="36"/>
      <c r="HI12" s="36"/>
      <c r="HJ12" s="36"/>
      <c r="HK12" s="36"/>
      <c r="HL12" s="36"/>
      <c r="HM12" s="36"/>
      <c r="HN12" s="36">
        <v>1500</v>
      </c>
      <c r="HO12" s="36"/>
      <c r="HP12" s="36"/>
      <c r="HQ12" s="36"/>
      <c r="HR12" s="36"/>
      <c r="HS12" s="36"/>
      <c r="HT12" s="36"/>
      <c r="HU12" s="36"/>
      <c r="HV12" s="36"/>
      <c r="HW12" s="36"/>
      <c r="HX12" s="36"/>
      <c r="HY12" s="36"/>
      <c r="HZ12" s="36"/>
      <c r="IA12" s="36"/>
      <c r="IB12" s="36"/>
      <c r="IC12" s="36"/>
      <c r="ID12" s="36"/>
      <c r="IE12" s="36"/>
      <c r="IF12" s="36"/>
      <c r="IG12" s="36"/>
      <c r="IH12" s="36"/>
      <c r="II12" s="36"/>
      <c r="IJ12" s="36"/>
      <c r="IK12" s="36"/>
      <c r="IL12" s="36"/>
      <c r="IM12" s="36"/>
      <c r="IN12" s="36"/>
      <c r="IO12" s="36"/>
      <c r="IP12" s="36"/>
    </row>
    <row r="13" spans="1:250" x14ac:dyDescent="0.25">
      <c r="A13" s="119" t="s">
        <v>501</v>
      </c>
      <c r="B13" s="36"/>
      <c r="C13" s="36"/>
      <c r="D13" s="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6"/>
      <c r="CX13" s="36"/>
      <c r="CY13" s="36"/>
      <c r="CZ13" s="36"/>
      <c r="DA13" s="36"/>
      <c r="DB13" s="36"/>
      <c r="DC13" s="36"/>
      <c r="DD13" s="36"/>
      <c r="DE13" s="36"/>
      <c r="DF13" s="36"/>
      <c r="DG13" s="36"/>
      <c r="DH13" s="36"/>
      <c r="DI13" s="36"/>
      <c r="DJ13" s="36"/>
      <c r="DK13" s="36"/>
      <c r="DL13" s="36"/>
      <c r="DM13" s="36"/>
      <c r="DN13" s="36"/>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v>8</v>
      </c>
      <c r="EN13" s="36"/>
      <c r="EO13" s="36"/>
      <c r="EP13" s="36"/>
      <c r="EQ13" s="36"/>
      <c r="ER13" s="36"/>
      <c r="ES13" s="36">
        <v>1</v>
      </c>
      <c r="ET13" s="36"/>
      <c r="EU13" s="36"/>
      <c r="EV13" s="36"/>
      <c r="EW13" s="36"/>
      <c r="EX13" s="36"/>
      <c r="EY13" s="36"/>
      <c r="EZ13" s="36"/>
      <c r="FA13" s="36"/>
      <c r="FB13" s="36"/>
      <c r="FC13" s="36"/>
      <c r="FD13" s="36"/>
      <c r="FE13" s="36"/>
      <c r="FF13" s="36"/>
      <c r="FG13" s="36"/>
      <c r="FH13" s="36"/>
      <c r="FI13" s="36"/>
      <c r="FJ13" s="36"/>
      <c r="FK13" s="36"/>
      <c r="FL13" s="36"/>
      <c r="FM13" s="36"/>
      <c r="FN13" s="36"/>
      <c r="FO13" s="36"/>
      <c r="FP13" s="36"/>
      <c r="FQ13" s="36"/>
      <c r="FR13" s="36"/>
      <c r="FS13" s="36"/>
      <c r="FT13" s="36"/>
      <c r="FU13" s="36"/>
      <c r="FV13" s="36"/>
      <c r="FW13" s="36"/>
      <c r="FX13" s="36"/>
      <c r="FY13" s="36"/>
      <c r="FZ13" s="36"/>
      <c r="GA13" s="36"/>
      <c r="GB13" s="36"/>
      <c r="GC13" s="36"/>
      <c r="GD13" s="36"/>
      <c r="GE13" s="36"/>
      <c r="GF13" s="36"/>
      <c r="GG13" s="36"/>
      <c r="GH13" s="36"/>
      <c r="GI13" s="36"/>
      <c r="GJ13" s="36"/>
      <c r="GK13" s="36"/>
      <c r="GL13" s="36"/>
      <c r="GM13" s="36"/>
      <c r="GN13" s="36"/>
      <c r="GO13" s="36"/>
      <c r="GP13" s="36"/>
      <c r="GQ13" s="36"/>
      <c r="GR13" s="36"/>
      <c r="GS13" s="36"/>
      <c r="GT13" s="36"/>
      <c r="GU13" s="36"/>
      <c r="GV13" s="36"/>
      <c r="GW13" s="36"/>
      <c r="GX13" s="36"/>
      <c r="GY13" s="36"/>
      <c r="GZ13" s="36"/>
      <c r="HA13" s="36"/>
      <c r="HB13" s="36"/>
      <c r="HC13" s="36"/>
      <c r="HD13" s="36"/>
      <c r="HE13" s="36"/>
      <c r="HF13" s="36"/>
      <c r="HG13" s="36"/>
      <c r="HH13" s="36"/>
      <c r="HI13" s="36"/>
      <c r="HJ13" s="36"/>
      <c r="HK13" s="36"/>
      <c r="HL13" s="36"/>
      <c r="HM13" s="36"/>
      <c r="HN13" s="36"/>
      <c r="HO13" s="36"/>
      <c r="HP13" s="36"/>
      <c r="HQ13" s="36"/>
      <c r="HR13" s="36"/>
      <c r="HS13" s="36"/>
      <c r="HT13" s="36"/>
      <c r="HU13" s="36"/>
      <c r="HV13" s="36"/>
      <c r="HW13" s="36"/>
      <c r="HX13" s="36"/>
      <c r="HY13" s="36"/>
      <c r="HZ13" s="36"/>
      <c r="IA13" s="36"/>
      <c r="IB13" s="36"/>
      <c r="IC13" s="36"/>
      <c r="ID13" s="36"/>
      <c r="IE13" s="36"/>
      <c r="IF13" s="36"/>
      <c r="IG13" s="36"/>
      <c r="IH13" s="36"/>
      <c r="II13" s="36"/>
      <c r="IJ13" s="36"/>
      <c r="IK13" s="36"/>
      <c r="IL13" s="36"/>
      <c r="IM13" s="36"/>
      <c r="IN13" s="36"/>
      <c r="IO13" s="36"/>
      <c r="IP13" s="36"/>
    </row>
    <row r="14" spans="1:250" x14ac:dyDescent="0.25">
      <c r="A14" s="36" t="s">
        <v>505</v>
      </c>
      <c r="B14" s="36">
        <v>799070</v>
      </c>
      <c r="C14" s="36"/>
      <c r="D14" s="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6"/>
      <c r="GC14" s="36"/>
      <c r="GD14" s="36"/>
      <c r="GE14" s="36"/>
      <c r="GF14" s="36"/>
      <c r="GG14" s="36"/>
      <c r="GH14" s="36"/>
      <c r="GI14" s="36"/>
      <c r="GJ14" s="36"/>
      <c r="GK14" s="36"/>
      <c r="GL14" s="36"/>
      <c r="GM14" s="36"/>
      <c r="GN14" s="36"/>
      <c r="GO14" s="36"/>
      <c r="GP14" s="36"/>
      <c r="GQ14" s="36"/>
      <c r="GR14" s="36"/>
      <c r="GS14" s="36"/>
      <c r="GT14" s="36"/>
      <c r="GU14" s="36"/>
      <c r="GV14" s="36"/>
      <c r="GW14" s="36"/>
      <c r="GX14" s="36"/>
      <c r="GY14" s="36"/>
      <c r="GZ14" s="36"/>
      <c r="HA14" s="36"/>
      <c r="HB14" s="36"/>
      <c r="HC14" s="36"/>
      <c r="HD14" s="36"/>
      <c r="HE14" s="36"/>
      <c r="HF14" s="36"/>
      <c r="HG14" s="36"/>
      <c r="HH14" s="36"/>
      <c r="HI14" s="36"/>
      <c r="HJ14" s="36"/>
      <c r="HK14" s="36"/>
      <c r="HL14" s="36"/>
      <c r="HM14" s="36"/>
      <c r="HN14" s="36"/>
      <c r="HO14" s="36"/>
      <c r="HP14" s="36"/>
      <c r="HQ14" s="36"/>
      <c r="HR14" s="36"/>
      <c r="HS14" s="36"/>
      <c r="HT14" s="36"/>
      <c r="HU14" s="36"/>
      <c r="HV14" s="36"/>
      <c r="HW14" s="36"/>
      <c r="HX14" s="36">
        <f>1800/24</f>
        <v>75</v>
      </c>
      <c r="HY14" s="36">
        <v>500</v>
      </c>
      <c r="HZ14" s="36"/>
      <c r="IA14" s="36">
        <v>140</v>
      </c>
      <c r="IB14" s="36">
        <v>840</v>
      </c>
      <c r="IC14" s="36">
        <v>280</v>
      </c>
      <c r="ID14" s="36">
        <v>140</v>
      </c>
      <c r="IE14" s="36"/>
      <c r="IF14" s="36"/>
      <c r="IG14" s="36"/>
      <c r="IH14" s="36"/>
      <c r="II14" s="36"/>
      <c r="IJ14" s="36"/>
      <c r="IK14" s="36"/>
      <c r="IL14" s="36"/>
      <c r="IM14" s="36"/>
      <c r="IN14" s="36"/>
      <c r="IO14" s="36"/>
      <c r="IP14" s="36"/>
    </row>
    <row r="15" spans="1:250" x14ac:dyDescent="0.25">
      <c r="A15" s="36" t="s">
        <v>506</v>
      </c>
      <c r="B15" s="36">
        <v>800527</v>
      </c>
      <c r="C15" s="36"/>
      <c r="D15" s="6">
        <v>100</v>
      </c>
      <c r="E15" s="36"/>
      <c r="F15" s="36"/>
      <c r="G15" s="36"/>
      <c r="H15" s="36"/>
      <c r="I15" s="36"/>
      <c r="J15" s="36"/>
      <c r="K15" s="36"/>
      <c r="L15" s="36">
        <v>100</v>
      </c>
      <c r="M15" s="36"/>
      <c r="N15" s="36"/>
      <c r="O15" s="36">
        <v>200</v>
      </c>
      <c r="P15" s="36"/>
      <c r="Q15" s="36"/>
      <c r="R15" s="36"/>
      <c r="S15" s="36"/>
      <c r="T15" s="36"/>
      <c r="U15" s="36"/>
      <c r="V15" s="36">
        <v>100</v>
      </c>
      <c r="W15" s="36"/>
      <c r="X15" s="36">
        <v>200</v>
      </c>
      <c r="Y15" s="36"/>
      <c r="Z15" s="36"/>
      <c r="AA15" s="36"/>
      <c r="AB15" s="36"/>
      <c r="AC15" s="36"/>
      <c r="AD15" s="36">
        <v>100</v>
      </c>
      <c r="AE15" s="36"/>
      <c r="AF15" s="36"/>
      <c r="AG15" s="36">
        <v>100</v>
      </c>
      <c r="AH15" s="36"/>
      <c r="AI15" s="36">
        <v>100</v>
      </c>
      <c r="AJ15" s="36">
        <v>100</v>
      </c>
      <c r="AK15" s="36"/>
      <c r="AL15" s="36">
        <v>100</v>
      </c>
      <c r="AM15" s="36">
        <v>100</v>
      </c>
      <c r="AN15" s="36">
        <v>100</v>
      </c>
      <c r="AO15" s="36"/>
      <c r="AP15" s="36">
        <v>50</v>
      </c>
      <c r="AQ15" s="36">
        <v>100</v>
      </c>
      <c r="AR15" s="36">
        <v>100</v>
      </c>
      <c r="AS15" s="36">
        <v>100</v>
      </c>
      <c r="AT15" s="36">
        <v>100</v>
      </c>
      <c r="AU15" s="36"/>
      <c r="AV15" s="36">
        <v>50</v>
      </c>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v>54</v>
      </c>
      <c r="CT15" s="36"/>
      <c r="CU15" s="36"/>
      <c r="CV15" s="36"/>
      <c r="CW15" s="36"/>
      <c r="CX15" s="36"/>
      <c r="CY15" s="36"/>
      <c r="CZ15" s="36"/>
      <c r="DA15" s="36"/>
      <c r="DB15" s="36"/>
      <c r="DC15" s="36"/>
      <c r="DD15" s="36"/>
      <c r="DE15" s="36"/>
      <c r="DF15" s="36"/>
      <c r="DG15" s="36"/>
      <c r="DH15" s="36"/>
      <c r="DI15" s="36"/>
      <c r="DJ15" s="36"/>
      <c r="DK15" s="36"/>
      <c r="DL15" s="36"/>
      <c r="DM15" s="36"/>
      <c r="DN15" s="36">
        <v>52</v>
      </c>
      <c r="DO15" s="36"/>
      <c r="DP15" s="36"/>
      <c r="DQ15" s="36"/>
      <c r="DR15" s="36"/>
      <c r="DS15" s="36"/>
      <c r="DT15" s="36"/>
      <c r="DU15" s="36"/>
      <c r="DV15" s="36"/>
      <c r="DW15" s="36"/>
      <c r="DX15" s="36"/>
      <c r="DY15" s="36"/>
      <c r="DZ15" s="36"/>
      <c r="EA15" s="36"/>
      <c r="EB15" s="36"/>
      <c r="EC15" s="36"/>
      <c r="ED15" s="36"/>
      <c r="EE15" s="36"/>
      <c r="EF15" s="36"/>
      <c r="EG15" s="36"/>
      <c r="EH15" s="36"/>
      <c r="EI15" s="36"/>
      <c r="EJ15" s="36"/>
      <c r="EK15" s="36">
        <v>105</v>
      </c>
      <c r="EL15" s="36"/>
      <c r="EM15" s="36"/>
      <c r="EN15" s="36"/>
      <c r="EO15" s="36"/>
      <c r="EP15" s="36"/>
      <c r="EQ15" s="36"/>
      <c r="ER15" s="36"/>
      <c r="ES15" s="36"/>
      <c r="ET15" s="36"/>
      <c r="EU15" s="36"/>
      <c r="EV15" s="36"/>
      <c r="EW15" s="36"/>
      <c r="EX15" s="36"/>
      <c r="EY15" s="36"/>
      <c r="EZ15" s="36"/>
      <c r="FA15" s="36"/>
      <c r="FB15" s="36"/>
      <c r="FC15" s="36"/>
      <c r="FD15" s="36"/>
      <c r="FE15" s="36"/>
      <c r="FF15" s="36"/>
      <c r="FG15" s="36"/>
      <c r="FH15" s="36"/>
      <c r="FI15" s="36"/>
      <c r="FJ15" s="36"/>
      <c r="FK15" s="36"/>
      <c r="FL15" s="36"/>
      <c r="FM15" s="36"/>
      <c r="FN15" s="36"/>
      <c r="FO15" s="36"/>
      <c r="FP15" s="36"/>
      <c r="FQ15" s="36"/>
      <c r="FR15" s="36"/>
      <c r="FS15" s="36"/>
      <c r="FT15" s="36"/>
      <c r="FU15" s="36"/>
      <c r="FV15" s="36"/>
      <c r="FW15" s="36"/>
      <c r="FX15" s="36"/>
      <c r="FY15" s="36"/>
      <c r="FZ15" s="36"/>
      <c r="GA15" s="36">
        <v>700</v>
      </c>
      <c r="GB15" s="36">
        <v>1500</v>
      </c>
      <c r="GC15" s="36"/>
      <c r="GD15" s="36"/>
      <c r="GE15" s="36"/>
      <c r="GF15" s="36"/>
      <c r="GG15" s="36"/>
      <c r="GH15" s="36"/>
      <c r="GI15" s="36">
        <v>50</v>
      </c>
      <c r="GJ15" s="36"/>
      <c r="GK15" s="36"/>
      <c r="GL15" s="36"/>
      <c r="GM15" s="36"/>
      <c r="GN15" s="36">
        <v>1000</v>
      </c>
      <c r="GO15" s="36"/>
      <c r="GP15" s="36"/>
      <c r="GQ15" s="36"/>
      <c r="GR15" s="36"/>
      <c r="GS15" s="36"/>
      <c r="GT15" s="36"/>
      <c r="GU15" s="36"/>
      <c r="GV15" s="36"/>
      <c r="GW15" s="36"/>
      <c r="GX15" s="36"/>
      <c r="GY15" s="36"/>
      <c r="GZ15" s="36"/>
      <c r="HA15" s="36"/>
      <c r="HB15" s="36"/>
      <c r="HC15" s="36"/>
      <c r="HD15" s="36"/>
      <c r="HE15" s="36"/>
      <c r="HF15" s="36"/>
      <c r="HG15" s="36"/>
      <c r="HH15" s="36"/>
      <c r="HI15" s="36"/>
      <c r="HJ15" s="36"/>
      <c r="HK15" s="36"/>
      <c r="HL15" s="36"/>
      <c r="HM15" s="36"/>
      <c r="HN15" s="36"/>
      <c r="HO15" s="36"/>
      <c r="HP15" s="36"/>
      <c r="HQ15" s="36"/>
      <c r="HR15" s="36"/>
      <c r="HS15" s="36"/>
      <c r="HT15" s="36"/>
      <c r="HU15" s="36"/>
      <c r="HV15" s="36"/>
      <c r="HW15" s="36"/>
      <c r="HX15" s="36"/>
      <c r="HY15" s="36"/>
      <c r="HZ15" s="36"/>
      <c r="IA15" s="36"/>
      <c r="IB15" s="36"/>
      <c r="IC15" s="36"/>
      <c r="ID15" s="36"/>
      <c r="IE15" s="36"/>
      <c r="IF15" s="36"/>
      <c r="IG15" s="36"/>
      <c r="IH15" s="36"/>
      <c r="II15" s="36"/>
      <c r="IJ15" s="36"/>
      <c r="IK15" s="36"/>
      <c r="IL15" s="36"/>
      <c r="IM15" s="36"/>
      <c r="IN15" s="36"/>
      <c r="IO15" s="36"/>
      <c r="IP15" s="36"/>
    </row>
    <row r="16" spans="1:250" x14ac:dyDescent="0.25">
      <c r="A16" s="36" t="s">
        <v>507</v>
      </c>
      <c r="B16" s="36" t="s">
        <v>508</v>
      </c>
      <c r="C16" s="36"/>
      <c r="D16" s="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v>500</v>
      </c>
      <c r="FT16" s="36"/>
      <c r="FU16" s="36"/>
      <c r="FV16" s="36"/>
      <c r="FW16" s="36"/>
      <c r="FX16" s="36"/>
      <c r="FY16" s="36"/>
      <c r="FZ16" s="36"/>
      <c r="GA16" s="36"/>
      <c r="GB16" s="36"/>
      <c r="GC16" s="36"/>
      <c r="GD16" s="36"/>
      <c r="GE16" s="36"/>
      <c r="GF16" s="36"/>
      <c r="GG16" s="36"/>
      <c r="GH16" s="36"/>
      <c r="GI16" s="36"/>
      <c r="GJ16" s="36"/>
      <c r="GK16" s="36"/>
      <c r="GL16" s="36"/>
      <c r="GM16" s="36"/>
      <c r="GN16" s="36"/>
      <c r="GO16" s="36"/>
      <c r="GP16" s="36"/>
      <c r="GQ16" s="36"/>
      <c r="GR16" s="36"/>
      <c r="GS16" s="36"/>
      <c r="GT16" s="36"/>
      <c r="GU16" s="36"/>
      <c r="GV16" s="36"/>
      <c r="GW16" s="36"/>
      <c r="GX16" s="36"/>
      <c r="GY16" s="36"/>
      <c r="GZ16" s="36"/>
      <c r="HA16" s="36"/>
      <c r="HB16" s="36"/>
      <c r="HC16" s="36"/>
      <c r="HD16" s="36"/>
      <c r="HE16" s="36"/>
      <c r="HF16" s="36"/>
      <c r="HG16" s="36"/>
      <c r="HH16" s="36"/>
      <c r="HI16" s="36"/>
      <c r="HJ16" s="36"/>
      <c r="HK16" s="36"/>
      <c r="HL16" s="36"/>
      <c r="HM16" s="36"/>
      <c r="HN16" s="36"/>
      <c r="HO16" s="36"/>
      <c r="HP16" s="36"/>
      <c r="HQ16" s="36"/>
      <c r="HR16" s="36"/>
      <c r="HS16" s="36"/>
      <c r="HT16" s="36"/>
      <c r="HU16" s="36"/>
      <c r="HV16" s="36"/>
      <c r="HW16" s="36"/>
      <c r="HX16" s="36"/>
      <c r="HY16" s="36"/>
      <c r="HZ16" s="36"/>
      <c r="IA16" s="36"/>
      <c r="IB16" s="36"/>
      <c r="IC16" s="36"/>
      <c r="ID16" s="36"/>
      <c r="IE16" s="36"/>
      <c r="IF16" s="36"/>
      <c r="IG16" s="36"/>
      <c r="IH16" s="36"/>
      <c r="II16" s="36"/>
      <c r="IJ16" s="36"/>
      <c r="IK16" s="36"/>
      <c r="IL16" s="36"/>
      <c r="IM16" s="36"/>
      <c r="IN16" s="36"/>
      <c r="IO16" s="36"/>
      <c r="IP16" s="36"/>
    </row>
    <row r="17" spans="1:250" x14ac:dyDescent="0.25">
      <c r="A17" s="36" t="s">
        <v>509</v>
      </c>
      <c r="B17" s="36">
        <v>804845</v>
      </c>
      <c r="C17" s="6"/>
      <c r="D17" s="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v>100</v>
      </c>
      <c r="BV17" s="36">
        <v>100</v>
      </c>
      <c r="BW17" s="36">
        <v>100</v>
      </c>
      <c r="BX17" s="36">
        <v>100</v>
      </c>
      <c r="BY17" s="36">
        <v>100</v>
      </c>
      <c r="BZ17" s="36">
        <v>100</v>
      </c>
      <c r="CA17" s="36">
        <v>100</v>
      </c>
      <c r="CB17" s="36">
        <v>300</v>
      </c>
      <c r="CC17" s="36"/>
      <c r="CD17" s="36">
        <v>200</v>
      </c>
      <c r="CE17" s="36">
        <v>200</v>
      </c>
      <c r="CF17" s="36">
        <v>200</v>
      </c>
      <c r="CG17" s="36">
        <v>200</v>
      </c>
      <c r="CH17" s="36">
        <v>100</v>
      </c>
      <c r="CI17" s="36">
        <v>100</v>
      </c>
      <c r="CJ17" s="36">
        <v>100</v>
      </c>
      <c r="CK17" s="36">
        <v>100</v>
      </c>
      <c r="CL17" s="36">
        <v>100</v>
      </c>
      <c r="CM17" s="36">
        <v>100</v>
      </c>
      <c r="CN17" s="36"/>
      <c r="CO17" s="36"/>
      <c r="CP17" s="36"/>
      <c r="CQ17" s="36"/>
      <c r="CR17" s="36"/>
      <c r="CS17" s="36"/>
      <c r="CT17" s="36"/>
      <c r="CU17" s="36"/>
      <c r="CV17" s="36"/>
      <c r="CW17" s="36"/>
      <c r="CX17" s="36"/>
      <c r="CY17" s="36"/>
      <c r="CZ17" s="36"/>
      <c r="DA17" s="36"/>
      <c r="DB17" s="36"/>
      <c r="DC17" s="36"/>
      <c r="DD17" s="36"/>
      <c r="DE17" s="36"/>
      <c r="DF17" s="36"/>
      <c r="DG17" s="36"/>
      <c r="DH17" s="36"/>
      <c r="DI17" s="36"/>
      <c r="DJ17" s="36"/>
      <c r="DK17" s="36"/>
      <c r="DL17" s="36"/>
      <c r="DM17" s="36"/>
      <c r="DN17" s="36"/>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c r="EN17" s="36"/>
      <c r="EO17" s="36"/>
      <c r="EP17" s="36"/>
      <c r="EQ17" s="36"/>
      <c r="ER17" s="36"/>
      <c r="ES17" s="36"/>
      <c r="ET17" s="36"/>
      <c r="EU17" s="36"/>
      <c r="EV17" s="36"/>
      <c r="EW17" s="36"/>
      <c r="EX17" s="36"/>
      <c r="EY17" s="36"/>
      <c r="EZ17" s="36"/>
      <c r="FA17" s="36"/>
      <c r="FB17" s="36"/>
      <c r="FC17" s="36"/>
      <c r="FD17" s="36"/>
      <c r="FE17" s="36"/>
      <c r="FF17" s="36"/>
      <c r="FG17" s="36"/>
      <c r="FH17" s="36"/>
      <c r="FI17" s="36"/>
      <c r="FJ17" s="36"/>
      <c r="FK17" s="36"/>
      <c r="FL17" s="36"/>
      <c r="FM17" s="36"/>
      <c r="FN17" s="36"/>
      <c r="FO17" s="36"/>
      <c r="FP17" s="36"/>
      <c r="FQ17" s="36"/>
      <c r="FR17" s="36"/>
      <c r="FS17" s="36"/>
      <c r="FT17" s="36"/>
      <c r="FU17" s="36"/>
      <c r="FV17" s="36"/>
      <c r="FW17" s="36"/>
      <c r="FX17" s="36"/>
      <c r="FY17" s="36"/>
      <c r="FZ17" s="36"/>
      <c r="GA17" s="36"/>
      <c r="GB17" s="36"/>
      <c r="GC17" s="36"/>
      <c r="GD17" s="36"/>
      <c r="GE17" s="36"/>
      <c r="GF17" s="36"/>
      <c r="GG17" s="36"/>
      <c r="GH17" s="36"/>
      <c r="GI17" s="36"/>
      <c r="GJ17" s="36"/>
      <c r="GK17" s="36"/>
      <c r="GL17" s="36"/>
      <c r="GM17" s="36"/>
      <c r="GN17" s="36"/>
      <c r="GO17" s="36"/>
      <c r="GP17" s="36"/>
      <c r="GQ17" s="36"/>
      <c r="GR17" s="36"/>
      <c r="GS17" s="36"/>
      <c r="GT17" s="36"/>
      <c r="GU17" s="36"/>
      <c r="GV17" s="36"/>
      <c r="GW17" s="36"/>
      <c r="GX17" s="36"/>
      <c r="GY17" s="36"/>
      <c r="GZ17" s="36"/>
      <c r="HA17" s="36"/>
      <c r="HB17" s="36"/>
      <c r="HC17" s="36"/>
      <c r="HD17" s="36"/>
      <c r="HE17" s="36"/>
      <c r="HF17" s="36"/>
      <c r="HG17" s="36"/>
      <c r="HH17" s="36"/>
      <c r="HI17" s="36"/>
      <c r="HJ17" s="36"/>
      <c r="HK17" s="36"/>
      <c r="HL17" s="36"/>
      <c r="HM17" s="36"/>
      <c r="HN17" s="36"/>
      <c r="HO17" s="36">
        <v>1000</v>
      </c>
      <c r="HP17" s="36">
        <v>1000</v>
      </c>
      <c r="HQ17" s="36">
        <v>130</v>
      </c>
      <c r="HR17" s="36">
        <v>200</v>
      </c>
      <c r="HS17" s="36">
        <v>200</v>
      </c>
      <c r="HT17" s="36"/>
      <c r="HU17" s="36">
        <v>300</v>
      </c>
      <c r="HV17" s="36">
        <v>500</v>
      </c>
      <c r="HW17" s="36">
        <v>200</v>
      </c>
      <c r="HX17" s="36"/>
      <c r="HY17" s="36"/>
      <c r="HZ17" s="36"/>
      <c r="IA17" s="36"/>
      <c r="IB17" s="36"/>
      <c r="IC17" s="36"/>
      <c r="ID17" s="36"/>
      <c r="IE17" s="36"/>
      <c r="IF17" s="36"/>
      <c r="IG17" s="36"/>
      <c r="IH17" s="36"/>
      <c r="II17" s="36"/>
      <c r="IJ17" s="36"/>
      <c r="IK17" s="36"/>
      <c r="IL17" s="36"/>
      <c r="IM17" s="36"/>
      <c r="IN17" s="36"/>
      <c r="IO17" s="36"/>
      <c r="IP17" s="36"/>
    </row>
    <row r="18" spans="1:250" x14ac:dyDescent="0.25">
      <c r="A18" s="36" t="s">
        <v>513</v>
      </c>
      <c r="B18" s="36">
        <v>813319</v>
      </c>
      <c r="C18" s="6"/>
      <c r="D18" s="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6"/>
      <c r="GC18" s="36"/>
      <c r="GD18" s="36"/>
      <c r="GE18" s="36"/>
      <c r="GF18" s="36"/>
      <c r="GG18" s="36"/>
      <c r="GH18" s="36"/>
      <c r="GI18" s="36"/>
      <c r="GJ18" s="36"/>
      <c r="GK18" s="36"/>
      <c r="GL18" s="36"/>
      <c r="GM18" s="36"/>
      <c r="GN18" s="36"/>
      <c r="GO18" s="36"/>
      <c r="GP18" s="36"/>
      <c r="GQ18" s="36"/>
      <c r="GR18" s="36"/>
      <c r="GS18" s="36"/>
      <c r="GT18" s="36"/>
      <c r="GU18" s="36"/>
      <c r="GV18" s="36"/>
      <c r="GW18" s="36"/>
      <c r="GX18" s="36"/>
      <c r="GY18" s="36"/>
      <c r="GZ18" s="36"/>
      <c r="HA18" s="36"/>
      <c r="HB18" s="36"/>
      <c r="HC18" s="36"/>
      <c r="HD18" s="36"/>
      <c r="HE18" s="36"/>
      <c r="HF18" s="36"/>
      <c r="HG18" s="36"/>
      <c r="HH18" s="36"/>
      <c r="HI18" s="36"/>
      <c r="HJ18" s="36"/>
      <c r="HK18" s="36"/>
      <c r="HL18" s="36"/>
      <c r="HM18" s="36"/>
      <c r="HN18" s="36"/>
      <c r="HO18" s="36"/>
      <c r="HP18" s="36"/>
      <c r="HQ18" s="36"/>
      <c r="HR18" s="36"/>
      <c r="HS18" s="36"/>
      <c r="HT18" s="36"/>
      <c r="HU18" s="36"/>
      <c r="HV18" s="36"/>
      <c r="HW18" s="36"/>
      <c r="HX18" s="36"/>
      <c r="HY18" s="36"/>
      <c r="HZ18" s="36"/>
      <c r="IA18" s="36"/>
      <c r="IB18" s="36"/>
      <c r="IC18" s="36"/>
      <c r="ID18" s="36"/>
      <c r="IE18" s="36"/>
      <c r="IF18" s="36"/>
      <c r="IG18" s="36"/>
      <c r="IH18" s="36"/>
      <c r="II18" s="36"/>
      <c r="IJ18" s="36"/>
      <c r="IK18" s="201">
        <v>20</v>
      </c>
      <c r="IL18" s="201">
        <v>108</v>
      </c>
      <c r="IM18" s="201">
        <v>60</v>
      </c>
      <c r="IN18" s="36"/>
      <c r="IO18" s="36"/>
      <c r="IP18" s="36"/>
    </row>
    <row r="19" spans="1:250" x14ac:dyDescent="0.25">
      <c r="A19" s="36" t="s">
        <v>515</v>
      </c>
      <c r="B19" s="36">
        <v>835907</v>
      </c>
      <c r="C19" s="6"/>
      <c r="D19" s="6"/>
      <c r="E19" s="36"/>
      <c r="F19" s="36">
        <v>150</v>
      </c>
      <c r="G19" s="36"/>
      <c r="H19" s="36">
        <v>100</v>
      </c>
      <c r="I19" s="36"/>
      <c r="J19" s="36"/>
      <c r="K19" s="36"/>
      <c r="L19" s="36"/>
      <c r="M19" s="36"/>
      <c r="N19" s="36">
        <v>100</v>
      </c>
      <c r="O19" s="36">
        <v>100</v>
      </c>
      <c r="P19" s="36"/>
      <c r="Q19" s="36"/>
      <c r="R19" s="36"/>
      <c r="S19" s="36"/>
      <c r="T19" s="36"/>
      <c r="U19" s="36"/>
      <c r="V19" s="36"/>
      <c r="W19" s="36"/>
      <c r="X19" s="36"/>
      <c r="Y19" s="36"/>
      <c r="Z19" s="36"/>
      <c r="AA19" s="36"/>
      <c r="AB19" s="36"/>
      <c r="AC19" s="36"/>
      <c r="AD19" s="36"/>
      <c r="AE19" s="36">
        <v>100</v>
      </c>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v>100</v>
      </c>
      <c r="BQ19" s="36">
        <v>100</v>
      </c>
      <c r="BR19" s="36">
        <v>50</v>
      </c>
      <c r="BS19" s="36"/>
      <c r="BT19" s="36"/>
      <c r="BU19" s="36"/>
      <c r="BV19" s="36">
        <v>100</v>
      </c>
      <c r="BW19" s="36"/>
      <c r="BX19" s="36"/>
      <c r="BY19" s="36"/>
      <c r="BZ19" s="36"/>
      <c r="CA19" s="36">
        <v>100</v>
      </c>
      <c r="CB19" s="36">
        <v>200</v>
      </c>
      <c r="CC19" s="36"/>
      <c r="CD19" s="36"/>
      <c r="CE19" s="36"/>
      <c r="CF19" s="36"/>
      <c r="CG19" s="36"/>
      <c r="CH19" s="36"/>
      <c r="CI19" s="36"/>
      <c r="CJ19" s="36"/>
      <c r="CK19" s="36"/>
      <c r="CL19" s="36"/>
      <c r="CM19" s="36"/>
      <c r="CN19" s="36"/>
      <c r="CO19" s="36"/>
      <c r="CP19" s="36"/>
      <c r="CQ19" s="36"/>
      <c r="CR19" s="36"/>
      <c r="CS19" s="36"/>
      <c r="CT19" s="36"/>
      <c r="CU19" s="36"/>
      <c r="CV19" s="36"/>
      <c r="CW19" s="36"/>
      <c r="CX19" s="36"/>
      <c r="CY19" s="36"/>
      <c r="CZ19" s="36"/>
      <c r="DA19" s="36"/>
      <c r="DB19" s="36"/>
      <c r="DC19" s="36"/>
      <c r="DD19" s="36"/>
      <c r="DE19" s="36"/>
      <c r="DF19" s="36"/>
      <c r="DG19" s="36"/>
      <c r="DH19" s="36"/>
      <c r="DI19" s="36"/>
      <c r="DJ19" s="36"/>
      <c r="DK19" s="36"/>
      <c r="DL19" s="36"/>
      <c r="DM19" s="36"/>
      <c r="DN19" s="36"/>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c r="EN19" s="36"/>
      <c r="EO19" s="36"/>
      <c r="EP19" s="36"/>
      <c r="EQ19" s="36"/>
      <c r="ER19" s="36"/>
      <c r="ES19" s="36"/>
      <c r="ET19" s="36"/>
      <c r="EU19" s="36"/>
      <c r="EV19" s="36"/>
      <c r="EW19" s="36"/>
      <c r="EX19" s="36"/>
      <c r="EY19" s="36"/>
      <c r="EZ19" s="36"/>
      <c r="FA19" s="36"/>
      <c r="FB19" s="36"/>
      <c r="FC19" s="36">
        <v>100</v>
      </c>
      <c r="FD19" s="36"/>
      <c r="FE19" s="36"/>
      <c r="FF19" s="36">
        <v>200</v>
      </c>
      <c r="FG19" s="36"/>
      <c r="FH19" s="36"/>
      <c r="FI19" s="36"/>
      <c r="FJ19" s="36"/>
      <c r="FK19" s="36"/>
      <c r="FL19" s="36"/>
      <c r="FM19" s="36"/>
      <c r="FN19" s="36"/>
      <c r="FO19" s="36"/>
      <c r="FP19" s="36"/>
      <c r="FQ19" s="36"/>
      <c r="FR19" s="36">
        <v>500</v>
      </c>
      <c r="FS19" s="36">
        <v>500</v>
      </c>
      <c r="FT19" s="36"/>
      <c r="FU19" s="36"/>
      <c r="FV19" s="36"/>
      <c r="FW19" s="36"/>
      <c r="FX19" s="36"/>
      <c r="FY19" s="36"/>
      <c r="FZ19" s="36"/>
      <c r="GA19" s="36"/>
      <c r="GB19" s="36"/>
      <c r="GC19" s="36">
        <v>2000</v>
      </c>
      <c r="GD19" s="36"/>
      <c r="GE19" s="36"/>
      <c r="GF19" s="36">
        <v>300</v>
      </c>
      <c r="GG19" s="36"/>
      <c r="GH19" s="36"/>
      <c r="GI19" s="36"/>
      <c r="GJ19" s="36"/>
      <c r="GK19" s="36"/>
      <c r="GL19" s="36"/>
      <c r="GM19" s="36"/>
      <c r="GN19" s="36">
        <v>500</v>
      </c>
      <c r="GO19" s="36">
        <v>400</v>
      </c>
      <c r="GP19" s="36"/>
      <c r="GQ19" s="36"/>
      <c r="GR19" s="36"/>
      <c r="GS19" s="36"/>
      <c r="GT19" s="36"/>
      <c r="GU19" s="36"/>
      <c r="GV19" s="36"/>
      <c r="GW19" s="36">
        <v>300</v>
      </c>
      <c r="GX19" s="36">
        <v>500</v>
      </c>
      <c r="GY19" s="36"/>
      <c r="GZ19" s="36"/>
      <c r="HA19" s="36"/>
      <c r="HB19" s="36"/>
      <c r="HC19" s="36"/>
      <c r="HD19" s="36"/>
      <c r="HE19" s="36"/>
      <c r="HF19" s="36">
        <v>750</v>
      </c>
      <c r="HG19" s="36">
        <v>250</v>
      </c>
      <c r="HH19" s="36"/>
      <c r="HI19" s="36"/>
      <c r="HJ19" s="36"/>
      <c r="HK19" s="36"/>
      <c r="HL19" s="36"/>
      <c r="HM19" s="36"/>
      <c r="HN19" s="36">
        <v>500</v>
      </c>
      <c r="HO19" s="36"/>
      <c r="HP19" s="36"/>
      <c r="HQ19" s="36"/>
      <c r="HR19" s="36"/>
      <c r="HS19" s="36"/>
      <c r="HT19" s="36"/>
      <c r="HU19" s="36"/>
      <c r="HV19" s="36"/>
      <c r="HW19" s="36"/>
      <c r="HX19" s="36"/>
      <c r="HY19" s="36"/>
      <c r="HZ19" s="36"/>
      <c r="IA19" s="36"/>
      <c r="IB19" s="36"/>
      <c r="IC19" s="36"/>
      <c r="ID19" s="36"/>
      <c r="IE19" s="36"/>
      <c r="IF19" s="36"/>
      <c r="IG19" s="36"/>
      <c r="IH19" s="36"/>
      <c r="II19" s="36"/>
      <c r="IJ19" s="36"/>
      <c r="IK19" s="201"/>
      <c r="IL19" s="201"/>
      <c r="IM19" s="201"/>
      <c r="IN19" s="36"/>
      <c r="IO19" s="36"/>
      <c r="IP19" s="36"/>
    </row>
    <row r="20" spans="1:250" x14ac:dyDescent="0.25">
      <c r="A20" s="36" t="s">
        <v>516</v>
      </c>
      <c r="B20" s="36">
        <v>838737</v>
      </c>
      <c r="C20" s="6"/>
      <c r="D20" s="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6"/>
      <c r="GC20" s="36"/>
      <c r="GD20" s="36"/>
      <c r="GE20" s="36"/>
      <c r="GF20" s="36"/>
      <c r="GG20" s="36"/>
      <c r="GH20" s="36"/>
      <c r="GI20" s="36"/>
      <c r="GJ20" s="36"/>
      <c r="GK20" s="36"/>
      <c r="GL20" s="36"/>
      <c r="GM20" s="36"/>
      <c r="GN20" s="36"/>
      <c r="GO20" s="36"/>
      <c r="GP20" s="36"/>
      <c r="GQ20" s="36"/>
      <c r="GR20" s="36"/>
      <c r="GS20" s="36"/>
      <c r="GT20" s="36"/>
      <c r="GU20" s="36"/>
      <c r="GV20" s="36"/>
      <c r="GW20" s="36"/>
      <c r="GX20" s="36"/>
      <c r="GY20" s="36"/>
      <c r="GZ20" s="36"/>
      <c r="HA20" s="36"/>
      <c r="HB20" s="36"/>
      <c r="HC20" s="36"/>
      <c r="HD20" s="36"/>
      <c r="HE20" s="36"/>
      <c r="HF20" s="36"/>
      <c r="HG20" s="36"/>
      <c r="HH20" s="36"/>
      <c r="HI20" s="36"/>
      <c r="HJ20" s="36"/>
      <c r="HK20" s="36"/>
      <c r="HL20" s="36"/>
      <c r="HM20" s="36"/>
      <c r="HN20" s="36"/>
      <c r="HO20" s="36"/>
      <c r="HP20" s="36"/>
      <c r="HQ20" s="36"/>
      <c r="HR20" s="36"/>
      <c r="HS20" s="36"/>
      <c r="HT20" s="36"/>
      <c r="HU20" s="36"/>
      <c r="HV20" s="36"/>
      <c r="HW20" s="36"/>
      <c r="HX20" s="36"/>
      <c r="HY20" s="36"/>
      <c r="HZ20" s="36"/>
      <c r="IA20" s="36"/>
      <c r="IB20" s="36"/>
      <c r="IC20" s="36"/>
      <c r="ID20" s="36"/>
      <c r="IE20" s="36"/>
      <c r="IF20" s="36"/>
      <c r="IG20" s="36"/>
      <c r="IH20" s="36"/>
      <c r="II20" s="36"/>
      <c r="IJ20" s="36"/>
      <c r="IK20" s="201">
        <v>20</v>
      </c>
      <c r="IL20" s="201">
        <v>108</v>
      </c>
      <c r="IM20" s="201">
        <v>60</v>
      </c>
      <c r="IN20" s="36"/>
      <c r="IO20" s="36"/>
      <c r="IP20" s="36"/>
    </row>
    <row r="21" spans="1:250" ht="15.75" customHeight="1" x14ac:dyDescent="0.25">
      <c r="A21" s="36" t="s">
        <v>517</v>
      </c>
      <c r="B21" s="36">
        <v>840837</v>
      </c>
      <c r="C21" s="6"/>
      <c r="D21" s="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36"/>
      <c r="HW21" s="36"/>
      <c r="HX21" s="36"/>
      <c r="HY21" s="36"/>
      <c r="HZ21" s="36"/>
      <c r="IA21" s="36"/>
      <c r="IB21" s="36"/>
      <c r="IC21" s="36"/>
      <c r="ID21" s="36"/>
      <c r="IE21" s="36"/>
      <c r="IF21" s="36"/>
      <c r="IG21" s="36"/>
      <c r="IH21" s="36"/>
      <c r="II21" s="36"/>
      <c r="IJ21" s="36"/>
      <c r="IK21" s="36"/>
      <c r="IL21" s="36"/>
      <c r="IM21" s="36"/>
      <c r="IN21" s="36">
        <v>908</v>
      </c>
      <c r="IO21" s="36">
        <v>8400</v>
      </c>
      <c r="IP21" s="36"/>
    </row>
    <row r="22" spans="1:250" ht="15.75" customHeight="1" x14ac:dyDescent="0.25">
      <c r="A22" s="36" t="s">
        <v>518</v>
      </c>
      <c r="B22" s="36">
        <v>867378</v>
      </c>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6"/>
      <c r="GC22" s="36"/>
      <c r="GD22" s="36"/>
      <c r="GE22" s="36"/>
      <c r="GF22" s="36"/>
      <c r="GG22" s="36"/>
      <c r="GH22" s="36"/>
      <c r="GI22" s="36"/>
      <c r="GJ22" s="36"/>
      <c r="GK22" s="36"/>
      <c r="GL22" s="36"/>
      <c r="GM22" s="36"/>
      <c r="GN22" s="36"/>
      <c r="GO22" s="36"/>
      <c r="GP22" s="36"/>
      <c r="GQ22" s="36"/>
      <c r="GR22" s="36"/>
      <c r="GS22" s="36"/>
      <c r="GT22" s="36"/>
      <c r="GU22" s="36"/>
      <c r="GV22" s="36"/>
      <c r="GW22" s="36"/>
      <c r="GX22" s="36"/>
      <c r="GY22" s="36"/>
      <c r="GZ22" s="36"/>
      <c r="HA22" s="36"/>
      <c r="HB22" s="36"/>
      <c r="HC22" s="36"/>
      <c r="HD22" s="36"/>
      <c r="HE22" s="36"/>
      <c r="HF22" s="36"/>
      <c r="HG22" s="36"/>
      <c r="HH22" s="36"/>
      <c r="HI22" s="36"/>
      <c r="HJ22" s="36"/>
      <c r="HK22" s="36"/>
      <c r="HL22" s="36"/>
      <c r="HM22" s="36"/>
      <c r="HN22" s="36"/>
      <c r="HO22" s="36"/>
      <c r="HP22" s="36"/>
      <c r="HQ22" s="36"/>
      <c r="HR22" s="36"/>
      <c r="HS22" s="36"/>
      <c r="HT22" s="36"/>
      <c r="HU22" s="36"/>
      <c r="HV22" s="36"/>
      <c r="HW22" s="36"/>
      <c r="HX22" s="36"/>
      <c r="HY22" s="36"/>
      <c r="HZ22" s="36"/>
      <c r="IA22" s="36"/>
      <c r="IB22" s="36"/>
      <c r="IC22" s="36"/>
      <c r="ID22" s="36"/>
      <c r="IE22" s="36"/>
      <c r="IF22" s="36"/>
      <c r="IG22" s="36">
        <v>200</v>
      </c>
      <c r="IH22" s="36">
        <v>30</v>
      </c>
      <c r="II22" s="36">
        <v>5</v>
      </c>
      <c r="IJ22" s="36">
        <v>5</v>
      </c>
      <c r="IK22" s="36"/>
      <c r="IL22" s="36"/>
      <c r="IM22" s="36"/>
      <c r="IN22" s="36"/>
      <c r="IO22" s="36"/>
      <c r="IP22" s="36"/>
    </row>
    <row r="23" spans="1:250" ht="15.75" customHeight="1" x14ac:dyDescent="0.25">
      <c r="A23" s="36" t="s">
        <v>519</v>
      </c>
      <c r="B23" s="36">
        <v>870291</v>
      </c>
      <c r="C23" s="36"/>
      <c r="D23" s="36">
        <v>150</v>
      </c>
      <c r="E23" s="36"/>
      <c r="F23" s="36">
        <v>300</v>
      </c>
      <c r="G23" s="36"/>
      <c r="H23" s="36"/>
      <c r="I23" s="36"/>
      <c r="J23" s="36"/>
      <c r="K23" s="36"/>
      <c r="L23" s="36"/>
      <c r="M23" s="36"/>
      <c r="N23" s="36"/>
      <c r="O23" s="36">
        <v>50</v>
      </c>
      <c r="P23" s="36">
        <v>100</v>
      </c>
      <c r="Q23" s="36">
        <v>52</v>
      </c>
      <c r="R23" s="36"/>
      <c r="S23" s="36"/>
      <c r="T23" s="36"/>
      <c r="U23" s="36">
        <v>101</v>
      </c>
      <c r="V23" s="36"/>
      <c r="W23" s="36"/>
      <c r="X23" s="36"/>
      <c r="Y23" s="36"/>
      <c r="Z23" s="36">
        <v>50</v>
      </c>
      <c r="AA23" s="36"/>
      <c r="AB23" s="36">
        <v>1</v>
      </c>
      <c r="AC23" s="36">
        <v>50</v>
      </c>
      <c r="AD23" s="36"/>
      <c r="AE23" s="36">
        <v>150</v>
      </c>
      <c r="AF23" s="36"/>
      <c r="AG23" s="36"/>
      <c r="AH23" s="36"/>
      <c r="AI23" s="36"/>
      <c r="AJ23" s="36">
        <v>175</v>
      </c>
      <c r="AK23" s="36"/>
      <c r="AL23" s="36"/>
      <c r="AM23" s="36"/>
      <c r="AN23" s="36">
        <v>100</v>
      </c>
      <c r="AO23" s="36"/>
      <c r="AP23" s="36"/>
      <c r="AQ23" s="36"/>
      <c r="AR23" s="36"/>
      <c r="AS23" s="36"/>
      <c r="AT23" s="36"/>
      <c r="AU23" s="36"/>
      <c r="AV23" s="36"/>
      <c r="AW23" s="36">
        <v>25</v>
      </c>
      <c r="AX23" s="36">
        <v>25</v>
      </c>
      <c r="AY23" s="36"/>
      <c r="AZ23" s="36"/>
      <c r="BA23" s="36"/>
      <c r="BB23" s="36"/>
      <c r="BC23" s="36"/>
      <c r="BD23" s="36"/>
      <c r="BE23" s="36"/>
      <c r="BF23" s="36"/>
      <c r="BG23" s="36"/>
      <c r="BH23" s="36"/>
      <c r="BI23" s="36"/>
      <c r="BJ23" s="36"/>
      <c r="BK23" s="36"/>
      <c r="BL23" s="36"/>
      <c r="BM23" s="36"/>
      <c r="BN23" s="36"/>
      <c r="BO23" s="36"/>
      <c r="BP23" s="36">
        <v>200</v>
      </c>
      <c r="BQ23" s="36">
        <v>505</v>
      </c>
      <c r="BR23" s="36">
        <v>305</v>
      </c>
      <c r="BS23" s="36"/>
      <c r="BT23" s="36"/>
      <c r="BU23" s="36"/>
      <c r="BV23" s="36"/>
      <c r="BW23" s="36"/>
      <c r="BX23" s="36">
        <v>50</v>
      </c>
      <c r="BY23" s="36"/>
      <c r="BZ23" s="36">
        <v>50</v>
      </c>
      <c r="CA23" s="36">
        <v>300</v>
      </c>
      <c r="CB23" s="36">
        <v>450</v>
      </c>
      <c r="CC23" s="36">
        <v>50</v>
      </c>
      <c r="CD23" s="36"/>
      <c r="CE23" s="36"/>
      <c r="CF23" s="36"/>
      <c r="CG23" s="36"/>
      <c r="CH23" s="36"/>
      <c r="CI23" s="36"/>
      <c r="CJ23" s="36">
        <v>50</v>
      </c>
      <c r="CK23" s="36"/>
      <c r="CL23" s="36"/>
      <c r="CM23" s="36"/>
      <c r="CN23" s="36"/>
      <c r="CO23" s="36"/>
      <c r="CP23" s="36"/>
      <c r="CQ23" s="36"/>
      <c r="CR23" s="36"/>
      <c r="CS23" s="36"/>
      <c r="CT23" s="36"/>
      <c r="CU23" s="36"/>
      <c r="CV23" s="36"/>
      <c r="CW23" s="36"/>
      <c r="CX23" s="36"/>
      <c r="CY23" s="36"/>
      <c r="CZ23" s="36"/>
      <c r="DA23" s="36"/>
      <c r="DB23" s="36">
        <v>102</v>
      </c>
      <c r="DC23" s="36"/>
      <c r="DD23" s="36"/>
      <c r="DE23" s="36"/>
      <c r="DF23" s="36"/>
      <c r="DG23" s="36"/>
      <c r="DH23" s="36"/>
      <c r="DI23" s="36"/>
      <c r="DJ23" s="36">
        <v>102</v>
      </c>
      <c r="DK23" s="36"/>
      <c r="DL23" s="36"/>
      <c r="DM23" s="36"/>
      <c r="DN23" s="36"/>
      <c r="DO23" s="36"/>
      <c r="DP23" s="36"/>
      <c r="DQ23" s="36"/>
      <c r="DR23" s="36">
        <v>102</v>
      </c>
      <c r="DS23" s="36"/>
      <c r="DT23" s="36"/>
      <c r="DU23" s="36"/>
      <c r="DV23" s="36"/>
      <c r="DW23" s="36"/>
      <c r="DX23" s="36"/>
      <c r="DY23" s="36"/>
      <c r="DZ23" s="36"/>
      <c r="EA23" s="36"/>
      <c r="EB23" s="36"/>
      <c r="EC23" s="36"/>
      <c r="ED23" s="36"/>
      <c r="EE23" s="36"/>
      <c r="EF23" s="36"/>
      <c r="EG23" s="36"/>
      <c r="EH23" s="36"/>
      <c r="EI23" s="36"/>
      <c r="EJ23" s="36"/>
      <c r="EK23" s="36"/>
      <c r="EL23" s="36"/>
      <c r="EM23" s="36"/>
      <c r="EN23" s="36"/>
      <c r="EO23" s="36"/>
      <c r="EP23" s="36"/>
      <c r="EQ23" s="36"/>
      <c r="ER23" s="36"/>
      <c r="ES23" s="36"/>
      <c r="ET23" s="36"/>
      <c r="EU23" s="36"/>
      <c r="EV23" s="36"/>
      <c r="EW23" s="36"/>
      <c r="EX23" s="36"/>
      <c r="EY23" s="36"/>
      <c r="EZ23" s="36"/>
      <c r="FA23" s="36"/>
      <c r="FB23" s="36"/>
      <c r="FC23" s="36"/>
      <c r="FD23" s="36"/>
      <c r="FE23" s="36"/>
      <c r="FF23" s="36"/>
      <c r="FG23" s="36"/>
      <c r="FH23" s="36"/>
      <c r="FI23" s="36"/>
      <c r="FJ23" s="36"/>
      <c r="FK23" s="36"/>
      <c r="FL23" s="36"/>
      <c r="FM23" s="36"/>
      <c r="FN23" s="36"/>
      <c r="FO23" s="36"/>
      <c r="FP23" s="36"/>
      <c r="FQ23" s="36"/>
      <c r="FR23" s="36"/>
      <c r="FS23" s="36"/>
      <c r="FT23" s="36"/>
      <c r="FU23" s="36"/>
      <c r="FV23" s="36"/>
      <c r="FW23" s="36"/>
      <c r="FX23" s="36"/>
      <c r="FY23" s="36"/>
      <c r="FZ23" s="36"/>
      <c r="GA23" s="36"/>
      <c r="GB23" s="36"/>
      <c r="GC23" s="36"/>
      <c r="GD23" s="36"/>
      <c r="GE23" s="36"/>
      <c r="GF23" s="36"/>
      <c r="GG23" s="36"/>
      <c r="GH23" s="36"/>
      <c r="GI23" s="36"/>
      <c r="GJ23" s="36"/>
      <c r="GK23" s="36"/>
      <c r="GL23" s="36"/>
      <c r="GM23" s="36"/>
      <c r="GN23" s="36"/>
      <c r="GO23" s="36"/>
      <c r="GP23" s="36"/>
      <c r="GQ23" s="36"/>
      <c r="GR23" s="36"/>
      <c r="GS23" s="36"/>
      <c r="GT23" s="36"/>
      <c r="GU23" s="36"/>
      <c r="GV23" s="36"/>
      <c r="GW23" s="36"/>
      <c r="GX23" s="36"/>
      <c r="GY23" s="36"/>
      <c r="GZ23" s="36"/>
      <c r="HA23" s="36"/>
      <c r="HB23" s="36"/>
      <c r="HC23" s="36"/>
      <c r="HD23" s="36"/>
      <c r="HE23" s="36"/>
      <c r="HF23" s="36"/>
      <c r="HG23" s="36"/>
      <c r="HH23" s="36"/>
      <c r="HI23" s="36"/>
      <c r="HJ23" s="36"/>
      <c r="HK23" s="36"/>
      <c r="HL23" s="36"/>
      <c r="HM23" s="36"/>
      <c r="HN23" s="36"/>
      <c r="HO23" s="36"/>
      <c r="HP23" s="36"/>
      <c r="HQ23" s="36"/>
      <c r="HR23" s="36"/>
      <c r="HS23" s="36"/>
      <c r="HT23" s="36"/>
      <c r="HU23" s="36"/>
      <c r="HV23" s="36"/>
      <c r="HW23" s="36"/>
      <c r="HX23" s="36"/>
      <c r="HY23" s="36"/>
      <c r="HZ23" s="36"/>
      <c r="IA23" s="36"/>
      <c r="IB23" s="36"/>
      <c r="IC23" s="36"/>
      <c r="ID23" s="36"/>
      <c r="IE23" s="36"/>
      <c r="IF23" s="36"/>
      <c r="IG23" s="36"/>
      <c r="IH23" s="36"/>
      <c r="II23" s="36"/>
      <c r="IJ23" s="36"/>
      <c r="IK23" s="36"/>
      <c r="IL23" s="36"/>
      <c r="IM23" s="36"/>
      <c r="IN23" s="36"/>
      <c r="IO23" s="36"/>
      <c r="IP23" s="36"/>
    </row>
    <row r="24" spans="1:250" ht="15.75" customHeight="1" x14ac:dyDescent="0.25">
      <c r="A24" s="36" t="s">
        <v>520</v>
      </c>
      <c r="B24" s="36">
        <v>876286</v>
      </c>
      <c r="C24" s="36" t="s">
        <v>521</v>
      </c>
      <c r="D24" s="36"/>
      <c r="E24" s="36"/>
      <c r="F24" s="36"/>
      <c r="G24" s="36"/>
      <c r="H24" s="36"/>
      <c r="I24" s="36"/>
      <c r="J24" s="36"/>
      <c r="K24" s="36"/>
      <c r="L24" s="36"/>
      <c r="M24" s="36"/>
      <c r="N24" s="36"/>
      <c r="O24" s="36"/>
      <c r="P24" s="36"/>
      <c r="Q24" s="36"/>
      <c r="R24" s="36"/>
      <c r="S24" s="36"/>
      <c r="T24" s="36">
        <v>100</v>
      </c>
      <c r="U24" s="36"/>
      <c r="V24" s="36"/>
      <c r="W24" s="36"/>
      <c r="X24" s="36"/>
      <c r="Y24" s="36">
        <v>200</v>
      </c>
      <c r="Z24" s="36"/>
      <c r="AA24" s="36">
        <v>150</v>
      </c>
      <c r="AB24" s="36">
        <v>150</v>
      </c>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v>30</v>
      </c>
      <c r="CT24" s="36"/>
      <c r="CU24" s="36"/>
      <c r="CV24" s="36"/>
      <c r="CW24" s="36"/>
      <c r="CX24" s="36"/>
      <c r="CY24" s="36">
        <v>204</v>
      </c>
      <c r="CZ24" s="36">
        <v>102</v>
      </c>
      <c r="DA24" s="36"/>
      <c r="DB24" s="36">
        <v>144</v>
      </c>
      <c r="DC24" s="36"/>
      <c r="DD24" s="36"/>
      <c r="DE24" s="36">
        <v>30</v>
      </c>
      <c r="DF24" s="36"/>
      <c r="DG24" s="36">
        <v>150</v>
      </c>
      <c r="DH24" s="36"/>
      <c r="DI24" s="36"/>
      <c r="DJ24" s="36">
        <v>60</v>
      </c>
      <c r="DK24" s="36">
        <v>84</v>
      </c>
      <c r="DL24" s="36">
        <v>18</v>
      </c>
      <c r="DM24" s="36"/>
      <c r="DN24" s="36">
        <v>48</v>
      </c>
      <c r="DO24" s="36"/>
      <c r="DP24" s="36"/>
      <c r="DQ24" s="36"/>
      <c r="DR24" s="36">
        <v>210</v>
      </c>
      <c r="DS24" s="36">
        <v>258</v>
      </c>
      <c r="DT24" s="36"/>
      <c r="DU24" s="36"/>
      <c r="DV24" s="36"/>
      <c r="DW24" s="36"/>
      <c r="DX24" s="36">
        <v>54</v>
      </c>
      <c r="DY24" s="36"/>
      <c r="DZ24" s="36"/>
      <c r="EA24" s="36"/>
      <c r="EB24" s="36">
        <v>102</v>
      </c>
      <c r="EC24" s="36">
        <v>54</v>
      </c>
      <c r="ED24" s="36">
        <v>54</v>
      </c>
      <c r="EE24" s="36">
        <v>108</v>
      </c>
      <c r="EF24" s="36"/>
      <c r="EG24" s="36"/>
      <c r="EH24" s="36">
        <v>300</v>
      </c>
      <c r="EI24" s="36"/>
      <c r="EJ24" s="36"/>
      <c r="EK24" s="36"/>
      <c r="EL24" s="36"/>
      <c r="EM24" s="36">
        <v>20</v>
      </c>
      <c r="EN24" s="36">
        <v>98</v>
      </c>
      <c r="EO24" s="36"/>
      <c r="EP24" s="36"/>
      <c r="EQ24" s="36"/>
      <c r="ER24" s="36"/>
      <c r="ES24" s="36"/>
      <c r="ET24" s="36"/>
      <c r="EU24" s="36"/>
      <c r="EV24" s="36"/>
      <c r="EW24" s="36"/>
      <c r="EX24" s="36"/>
      <c r="EY24" s="36"/>
      <c r="EZ24" s="36"/>
      <c r="FA24" s="36"/>
      <c r="FB24" s="36"/>
      <c r="FC24" s="36"/>
      <c r="FD24" s="36"/>
      <c r="FE24" s="36"/>
      <c r="FF24" s="36"/>
      <c r="FG24" s="36"/>
      <c r="FH24" s="36"/>
      <c r="FI24" s="36"/>
      <c r="FJ24" s="36"/>
      <c r="FK24" s="36">
        <v>150</v>
      </c>
      <c r="FL24" s="36">
        <v>200</v>
      </c>
      <c r="FM24" s="36">
        <v>200</v>
      </c>
      <c r="FN24" s="36">
        <v>300</v>
      </c>
      <c r="FO24" s="36">
        <v>2000</v>
      </c>
      <c r="FP24" s="36"/>
      <c r="FQ24" s="36"/>
      <c r="FR24" s="36">
        <v>200</v>
      </c>
      <c r="FS24" s="36">
        <v>500</v>
      </c>
      <c r="FT24" s="36"/>
      <c r="FU24" s="36"/>
      <c r="FV24" s="36"/>
      <c r="FW24" s="36">
        <v>50</v>
      </c>
      <c r="FX24" s="36"/>
      <c r="FY24" s="36"/>
      <c r="FZ24" s="36"/>
      <c r="GA24" s="36">
        <v>3000</v>
      </c>
      <c r="GB24" s="36">
        <v>1000</v>
      </c>
      <c r="GC24" s="36">
        <v>6000</v>
      </c>
      <c r="GD24" s="36">
        <v>500</v>
      </c>
      <c r="GE24" s="36">
        <v>200</v>
      </c>
      <c r="GF24" s="36"/>
      <c r="GG24" s="36"/>
      <c r="GH24" s="36"/>
      <c r="GI24" s="36"/>
      <c r="GJ24" s="36">
        <v>200</v>
      </c>
      <c r="GK24" s="36"/>
      <c r="GL24" s="36"/>
      <c r="GM24" s="36"/>
      <c r="GN24" s="36">
        <v>2000</v>
      </c>
      <c r="GO24" s="36"/>
      <c r="GP24" s="36"/>
      <c r="GQ24" s="36"/>
      <c r="GR24" s="36"/>
      <c r="GS24" s="36"/>
      <c r="GT24" s="36"/>
      <c r="GU24" s="36"/>
      <c r="GV24" s="36"/>
      <c r="GW24" s="36"/>
      <c r="GX24" s="36">
        <v>2000</v>
      </c>
      <c r="GY24" s="36">
        <v>2000</v>
      </c>
      <c r="GZ24" s="36">
        <v>100</v>
      </c>
      <c r="HA24" s="36"/>
      <c r="HB24" s="36">
        <v>500</v>
      </c>
      <c r="HC24" s="36">
        <v>2088</v>
      </c>
      <c r="HD24" s="36">
        <v>121</v>
      </c>
      <c r="HE24" s="36">
        <v>1000</v>
      </c>
      <c r="HF24" s="36">
        <v>3000</v>
      </c>
      <c r="HG24" s="36">
        <v>900</v>
      </c>
      <c r="HH24" s="36"/>
      <c r="HI24" s="36"/>
      <c r="HJ24" s="36">
        <v>2000</v>
      </c>
      <c r="HK24" s="36">
        <v>100</v>
      </c>
      <c r="HL24" s="36">
        <v>100</v>
      </c>
      <c r="HM24" s="36"/>
      <c r="HN24" s="36">
        <v>2000</v>
      </c>
      <c r="HO24" s="36"/>
      <c r="HP24" s="36"/>
      <c r="HQ24" s="36"/>
      <c r="HR24" s="36"/>
      <c r="HS24" s="36"/>
      <c r="HT24" s="36"/>
      <c r="HU24" s="36"/>
      <c r="HV24" s="36"/>
      <c r="HW24" s="36"/>
      <c r="HX24" s="36"/>
      <c r="HY24" s="36"/>
      <c r="HZ24" s="36"/>
      <c r="IA24" s="36"/>
      <c r="IB24" s="36"/>
      <c r="IC24" s="36"/>
      <c r="ID24" s="36"/>
      <c r="IE24" s="36"/>
      <c r="IF24" s="36"/>
      <c r="IG24" s="36"/>
      <c r="IH24" s="36"/>
      <c r="II24" s="36"/>
      <c r="IJ24" s="36"/>
      <c r="IK24" s="36"/>
      <c r="IL24" s="36"/>
      <c r="IM24" s="36"/>
      <c r="IN24" s="36"/>
      <c r="IO24" s="36"/>
      <c r="IP24" s="36"/>
    </row>
    <row r="25" spans="1:250" ht="15.75" customHeight="1" x14ac:dyDescent="0.25">
      <c r="A25" s="36" t="s">
        <v>520</v>
      </c>
      <c r="B25" s="36">
        <v>876285</v>
      </c>
      <c r="C25" s="36" t="s">
        <v>521</v>
      </c>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c r="CL25" s="36"/>
      <c r="CM25" s="36"/>
      <c r="CN25" s="36">
        <v>400</v>
      </c>
      <c r="CO25" s="36"/>
      <c r="CP25" s="36"/>
      <c r="CQ25" s="36"/>
      <c r="CR25" s="36"/>
      <c r="CS25" s="36"/>
      <c r="CT25" s="36"/>
      <c r="CU25" s="36"/>
      <c r="CV25" s="36"/>
      <c r="CW25" s="36"/>
      <c r="CX25" s="36"/>
      <c r="CY25" s="36"/>
      <c r="CZ25" s="36"/>
      <c r="DA25" s="36"/>
      <c r="DB25" s="36"/>
      <c r="DC25" s="36"/>
      <c r="DD25" s="36"/>
      <c r="DE25" s="36"/>
      <c r="DF25" s="36"/>
      <c r="DG25" s="36"/>
      <c r="DH25" s="36"/>
      <c r="DI25" s="36"/>
      <c r="DJ25" s="36"/>
      <c r="DK25" s="36"/>
      <c r="DL25" s="36"/>
      <c r="DM25" s="36"/>
      <c r="DN25" s="36"/>
      <c r="DO25" s="36"/>
      <c r="DP25" s="36"/>
      <c r="DQ25" s="36"/>
      <c r="DR25" s="36"/>
      <c r="DS25" s="36"/>
      <c r="DT25" s="36"/>
      <c r="DU25" s="36"/>
      <c r="DV25" s="36"/>
      <c r="DW25" s="36"/>
      <c r="DX25" s="36"/>
      <c r="DY25" s="36"/>
      <c r="DZ25" s="36"/>
      <c r="EA25" s="36"/>
      <c r="EB25" s="36"/>
      <c r="EC25" s="36"/>
      <c r="ED25" s="36"/>
      <c r="EE25" s="36"/>
      <c r="EF25" s="36"/>
      <c r="EG25" s="36"/>
      <c r="EH25" s="36"/>
      <c r="EI25" s="36"/>
      <c r="EJ25" s="36"/>
      <c r="EK25" s="36"/>
      <c r="EL25" s="36"/>
      <c r="EM25" s="36"/>
      <c r="EN25" s="36"/>
      <c r="EO25" s="36"/>
      <c r="EP25" s="36"/>
      <c r="EQ25" s="36"/>
      <c r="ER25" s="36"/>
      <c r="ES25" s="36"/>
      <c r="ET25" s="36">
        <f>416+43</f>
        <v>459</v>
      </c>
      <c r="EU25" s="36">
        <v>100</v>
      </c>
      <c r="EV25" s="36">
        <v>50</v>
      </c>
      <c r="EW25" s="36"/>
      <c r="EX25" s="36"/>
      <c r="EY25" s="36"/>
      <c r="EZ25" s="36"/>
      <c r="FA25" s="36"/>
      <c r="FB25" s="36"/>
      <c r="FC25" s="36"/>
      <c r="FD25" s="36"/>
      <c r="FE25" s="36"/>
      <c r="FF25" s="36"/>
      <c r="FG25" s="36"/>
      <c r="FH25" s="36"/>
      <c r="FI25" s="36"/>
      <c r="FJ25" s="36"/>
      <c r="FK25" s="36"/>
      <c r="FL25" s="36"/>
      <c r="FM25" s="36"/>
      <c r="FN25" s="36"/>
      <c r="FO25" s="36"/>
      <c r="FP25" s="36"/>
      <c r="FQ25" s="36"/>
      <c r="FR25" s="36"/>
      <c r="FS25" s="36"/>
      <c r="FT25" s="36">
        <v>100</v>
      </c>
      <c r="FU25" s="36"/>
      <c r="FV25" s="36"/>
      <c r="FW25" s="36"/>
      <c r="FX25" s="36"/>
      <c r="FY25" s="36"/>
      <c r="FZ25" s="36"/>
      <c r="GA25" s="36"/>
      <c r="GB25" s="36"/>
      <c r="GC25" s="36"/>
      <c r="GD25" s="36"/>
      <c r="GE25" s="36"/>
      <c r="GF25" s="36"/>
      <c r="GG25" s="36"/>
      <c r="GH25" s="36"/>
      <c r="GI25" s="36"/>
      <c r="GJ25" s="36"/>
      <c r="GK25" s="36"/>
      <c r="GL25" s="36"/>
      <c r="GM25" s="36"/>
      <c r="GN25" s="36"/>
      <c r="GO25" s="36"/>
      <c r="GP25" s="36"/>
      <c r="GQ25" s="36"/>
      <c r="GR25" s="36"/>
      <c r="GS25" s="36"/>
      <c r="GT25" s="36"/>
      <c r="GU25" s="36"/>
      <c r="GV25" s="36"/>
      <c r="GW25" s="36"/>
      <c r="GX25" s="36"/>
      <c r="GY25" s="36"/>
      <c r="GZ25" s="36"/>
      <c r="HA25" s="36"/>
      <c r="HB25" s="36"/>
      <c r="HC25" s="36"/>
      <c r="HD25" s="36"/>
      <c r="HE25" s="36"/>
      <c r="HF25" s="36"/>
      <c r="HG25" s="36"/>
      <c r="HH25" s="36"/>
      <c r="HI25" s="36"/>
      <c r="HJ25" s="36"/>
      <c r="HK25" s="36"/>
      <c r="HL25" s="36"/>
      <c r="HM25" s="36"/>
      <c r="HN25" s="36"/>
      <c r="HO25" s="36"/>
      <c r="HP25" s="36"/>
      <c r="HQ25" s="36"/>
      <c r="HR25" s="36"/>
      <c r="HS25" s="36"/>
      <c r="HT25" s="36"/>
      <c r="HU25" s="36"/>
      <c r="HV25" s="36"/>
      <c r="HW25" s="36"/>
      <c r="HX25" s="36">
        <v>2400</v>
      </c>
      <c r="HY25" s="36"/>
      <c r="HZ25" s="36">
        <v>120</v>
      </c>
      <c r="IA25" s="36"/>
      <c r="IB25" s="36"/>
      <c r="IC25" s="36"/>
      <c r="ID25" s="36"/>
      <c r="IE25" s="36">
        <v>200</v>
      </c>
      <c r="IF25" s="36">
        <v>100</v>
      </c>
      <c r="IG25" s="36"/>
      <c r="IH25" s="36"/>
      <c r="II25" s="36"/>
      <c r="IJ25" s="36"/>
      <c r="IK25" s="36"/>
      <c r="IL25" s="36"/>
      <c r="IM25" s="36"/>
      <c r="IN25" s="36"/>
      <c r="IO25" s="36"/>
      <c r="IP25" s="36">
        <v>1000</v>
      </c>
    </row>
    <row r="26" spans="1:250" ht="15.75" customHeight="1" x14ac:dyDescent="0.25">
      <c r="A26" s="36" t="s">
        <v>524</v>
      </c>
      <c r="B26" s="36">
        <v>885616</v>
      </c>
      <c r="C26" s="36" t="s">
        <v>525</v>
      </c>
      <c r="D26" s="36">
        <v>100</v>
      </c>
      <c r="E26" s="36"/>
      <c r="F26" s="36">
        <v>200</v>
      </c>
      <c r="G26" s="36"/>
      <c r="H26" s="36">
        <v>50</v>
      </c>
      <c r="I26" s="36"/>
      <c r="J26" s="36">
        <v>50</v>
      </c>
      <c r="K26" s="36"/>
      <c r="L26" s="36">
        <v>100</v>
      </c>
      <c r="M26" s="36"/>
      <c r="N26" s="36"/>
      <c r="O26" s="36"/>
      <c r="P26" s="36">
        <v>200</v>
      </c>
      <c r="Q26" s="36">
        <v>25</v>
      </c>
      <c r="R26" s="36"/>
      <c r="S26" s="36"/>
      <c r="T26" s="36">
        <v>100</v>
      </c>
      <c r="U26" s="36">
        <v>50</v>
      </c>
      <c r="V26" s="36"/>
      <c r="W26" s="36"/>
      <c r="X26" s="36">
        <v>100</v>
      </c>
      <c r="Y26" s="36">
        <v>200</v>
      </c>
      <c r="Z26" s="36">
        <v>50</v>
      </c>
      <c r="AA26" s="36"/>
      <c r="AB26" s="36"/>
      <c r="AC26" s="36">
        <v>25</v>
      </c>
      <c r="AD26" s="36"/>
      <c r="AE26" s="36">
        <v>50</v>
      </c>
      <c r="AF26" s="36"/>
      <c r="AG26" s="36"/>
      <c r="AH26" s="36"/>
      <c r="AI26" s="36"/>
      <c r="AJ26" s="36">
        <v>325</v>
      </c>
      <c r="AK26" s="36">
        <v>300</v>
      </c>
      <c r="AL26" s="36"/>
      <c r="AM26" s="36"/>
      <c r="AN26" s="36"/>
      <c r="AO26" s="36"/>
      <c r="AP26" s="36">
        <v>25</v>
      </c>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v>192</v>
      </c>
      <c r="BP26" s="36">
        <v>50</v>
      </c>
      <c r="BQ26" s="36"/>
      <c r="BR26" s="36"/>
      <c r="BS26" s="36"/>
      <c r="BT26" s="36"/>
      <c r="BU26" s="36"/>
      <c r="BV26" s="36"/>
      <c r="BW26" s="36"/>
      <c r="BX26" s="36">
        <v>100</v>
      </c>
      <c r="BY26" s="36"/>
      <c r="BZ26" s="36">
        <v>50</v>
      </c>
      <c r="CA26" s="36"/>
      <c r="CB26" s="36"/>
      <c r="CC26" s="36">
        <v>50</v>
      </c>
      <c r="CD26" s="36">
        <v>300</v>
      </c>
      <c r="CE26" s="36"/>
      <c r="CF26" s="36"/>
      <c r="CG26" s="36"/>
      <c r="CH26" s="36"/>
      <c r="CI26" s="36"/>
      <c r="CJ26" s="36">
        <v>50</v>
      </c>
      <c r="CK26" s="36"/>
      <c r="CL26" s="36">
        <v>100</v>
      </c>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6"/>
      <c r="GC26" s="36"/>
      <c r="GD26" s="36"/>
      <c r="GE26" s="36"/>
      <c r="GF26" s="36"/>
      <c r="GG26" s="36"/>
      <c r="GH26" s="36"/>
      <c r="GI26" s="36"/>
      <c r="GJ26" s="36"/>
      <c r="GK26" s="36"/>
      <c r="GL26" s="36"/>
      <c r="GM26" s="36"/>
      <c r="GN26" s="36"/>
      <c r="GO26" s="36"/>
      <c r="GP26" s="36"/>
      <c r="GQ26" s="36"/>
      <c r="GR26" s="36"/>
      <c r="GS26" s="36"/>
      <c r="GT26" s="36"/>
      <c r="GU26" s="36"/>
      <c r="GV26" s="36"/>
      <c r="GW26" s="36"/>
      <c r="GX26" s="36"/>
      <c r="GY26" s="36"/>
      <c r="GZ26" s="36"/>
      <c r="HA26" s="36"/>
      <c r="HB26" s="36"/>
      <c r="HC26" s="36"/>
      <c r="HD26" s="36"/>
      <c r="HE26" s="36"/>
      <c r="HF26" s="36"/>
      <c r="HG26" s="36"/>
      <c r="HH26" s="36"/>
      <c r="HI26" s="36"/>
      <c r="HJ26" s="36"/>
      <c r="HK26" s="36"/>
      <c r="HL26" s="36"/>
      <c r="HM26" s="36"/>
      <c r="HN26" s="36"/>
      <c r="HO26" s="36"/>
      <c r="HP26" s="36"/>
      <c r="HQ26" s="36"/>
      <c r="HR26" s="36"/>
      <c r="HS26" s="36"/>
      <c r="HT26" s="36"/>
      <c r="HU26" s="36"/>
      <c r="HV26" s="36"/>
      <c r="HW26" s="36"/>
      <c r="HX26" s="36"/>
      <c r="HY26" s="36"/>
      <c r="HZ26" s="36"/>
      <c r="IA26" s="36"/>
      <c r="IB26" s="36"/>
      <c r="IC26" s="36"/>
      <c r="ID26" s="36"/>
      <c r="IE26" s="36"/>
      <c r="IF26" s="36"/>
      <c r="IG26" s="36"/>
      <c r="IH26" s="36"/>
      <c r="II26" s="36"/>
      <c r="IJ26" s="36"/>
      <c r="IK26" s="36"/>
      <c r="IL26" s="36"/>
      <c r="IM26" s="36"/>
      <c r="IN26" s="36"/>
      <c r="IO26" s="36"/>
      <c r="IP26" s="36"/>
    </row>
    <row r="27" spans="1:250" ht="15.75" customHeight="1" x14ac:dyDescent="0.25">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36"/>
      <c r="CR27" s="36"/>
      <c r="CS27" s="36"/>
      <c r="CT27" s="36"/>
      <c r="CU27" s="36"/>
      <c r="CV27" s="36"/>
      <c r="CW27" s="36"/>
      <c r="CX27" s="36"/>
      <c r="CY27" s="36"/>
      <c r="CZ27" s="36"/>
      <c r="DA27" s="36"/>
      <c r="DB27" s="36"/>
      <c r="DC27" s="36"/>
      <c r="DD27" s="36"/>
      <c r="DE27" s="36"/>
      <c r="DF27" s="36"/>
      <c r="DG27" s="36"/>
      <c r="DH27" s="36"/>
      <c r="DI27" s="36"/>
      <c r="DJ27" s="36"/>
      <c r="DK27" s="36"/>
      <c r="DL27" s="36"/>
      <c r="DM27" s="36"/>
      <c r="DN27" s="36"/>
      <c r="DO27" s="36"/>
      <c r="DP27" s="36"/>
      <c r="DQ27" s="36"/>
      <c r="DR27" s="36"/>
      <c r="DS27" s="36"/>
      <c r="DT27" s="36"/>
      <c r="DU27" s="36"/>
      <c r="DV27" s="36"/>
      <c r="DW27" s="36"/>
      <c r="DX27" s="36"/>
      <c r="DY27" s="36"/>
      <c r="DZ27" s="36"/>
      <c r="EA27" s="36"/>
      <c r="EB27" s="36"/>
      <c r="EC27" s="36"/>
      <c r="ED27" s="36"/>
      <c r="EE27" s="36"/>
      <c r="EF27" s="36"/>
      <c r="EG27" s="36"/>
      <c r="EH27" s="36"/>
      <c r="EI27" s="36"/>
      <c r="EJ27" s="36"/>
      <c r="EK27" s="36"/>
      <c r="EL27" s="36"/>
      <c r="EM27" s="36"/>
      <c r="EN27" s="36"/>
      <c r="EO27" s="36"/>
      <c r="EP27" s="36"/>
      <c r="EQ27" s="36"/>
      <c r="ER27" s="36"/>
      <c r="ES27" s="36"/>
      <c r="ET27" s="36"/>
      <c r="EU27" s="36"/>
      <c r="EV27" s="36"/>
      <c r="EW27" s="36"/>
      <c r="EX27" s="36"/>
      <c r="EY27" s="36"/>
      <c r="EZ27" s="36"/>
      <c r="FA27" s="36"/>
      <c r="FB27" s="36"/>
      <c r="FC27" s="36"/>
      <c r="FD27" s="36"/>
      <c r="FE27" s="36"/>
      <c r="FF27" s="36"/>
      <c r="FG27" s="36"/>
      <c r="FH27" s="36"/>
      <c r="FI27" s="36"/>
      <c r="FJ27" s="36"/>
      <c r="FK27" s="36"/>
      <c r="FL27" s="36"/>
      <c r="FM27" s="36"/>
      <c r="FN27" s="36"/>
      <c r="FO27" s="36"/>
      <c r="FP27" s="36"/>
      <c r="FQ27" s="36"/>
      <c r="FR27" s="36"/>
      <c r="FS27" s="36"/>
      <c r="FT27" s="36"/>
      <c r="FU27" s="36"/>
      <c r="FV27" s="36"/>
      <c r="FW27" s="36"/>
      <c r="FX27" s="36"/>
      <c r="FY27" s="36"/>
      <c r="FZ27" s="36"/>
      <c r="GA27" s="36"/>
      <c r="GB27" s="36"/>
      <c r="GC27" s="36"/>
      <c r="GD27" s="36"/>
      <c r="GE27" s="36"/>
      <c r="GF27" s="36"/>
      <c r="GG27" s="36"/>
      <c r="GH27" s="36"/>
      <c r="GI27" s="36"/>
      <c r="GJ27" s="36"/>
      <c r="GK27" s="36"/>
      <c r="GL27" s="36"/>
      <c r="GM27" s="36"/>
      <c r="GN27" s="36"/>
      <c r="GO27" s="36"/>
      <c r="GP27" s="36"/>
      <c r="GQ27" s="36"/>
      <c r="GR27" s="36"/>
      <c r="GS27" s="36"/>
      <c r="GT27" s="36"/>
      <c r="GU27" s="36"/>
      <c r="GV27" s="36"/>
      <c r="GW27" s="36"/>
      <c r="GX27" s="36"/>
      <c r="GY27" s="36"/>
      <c r="GZ27" s="36"/>
      <c r="HA27" s="36"/>
      <c r="HB27" s="36"/>
      <c r="HC27" s="36"/>
      <c r="HD27" s="36"/>
      <c r="HE27" s="36"/>
      <c r="HF27" s="36"/>
      <c r="HG27" s="36"/>
      <c r="HH27" s="36"/>
      <c r="HI27" s="36"/>
      <c r="HJ27" s="36"/>
      <c r="HK27" s="36"/>
      <c r="HL27" s="36"/>
      <c r="HM27" s="36"/>
      <c r="HN27" s="36"/>
      <c r="HO27" s="36"/>
      <c r="HP27" s="36"/>
      <c r="HQ27" s="36"/>
      <c r="HR27" s="36"/>
      <c r="HS27" s="36"/>
      <c r="HT27" s="36"/>
      <c r="HU27" s="36"/>
      <c r="HV27" s="36"/>
      <c r="HW27" s="36"/>
      <c r="HX27" s="36"/>
      <c r="HY27" s="36"/>
      <c r="HZ27" s="36"/>
      <c r="IA27" s="36"/>
      <c r="IB27" s="36"/>
      <c r="IC27" s="36"/>
      <c r="ID27" s="36"/>
      <c r="IE27" s="36"/>
      <c r="IF27" s="36"/>
      <c r="IG27" s="36"/>
      <c r="IH27" s="36"/>
      <c r="II27" s="36"/>
      <c r="IJ27" s="36"/>
      <c r="IK27" s="36"/>
      <c r="IL27" s="36"/>
      <c r="IM27" s="36"/>
      <c r="IN27" s="36"/>
      <c r="IO27" s="36"/>
      <c r="IP27" s="36"/>
    </row>
    <row r="28" spans="1:250" ht="15.75" customHeight="1" x14ac:dyDescent="0.25">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6"/>
      <c r="GC28" s="36"/>
      <c r="GD28" s="36"/>
      <c r="GE28" s="36"/>
      <c r="GF28" s="36"/>
      <c r="GG28" s="36"/>
      <c r="GH28" s="36"/>
      <c r="GI28" s="36"/>
      <c r="GJ28" s="36"/>
      <c r="GK28" s="36"/>
      <c r="GL28" s="36"/>
      <c r="GM28" s="36"/>
      <c r="GN28" s="36"/>
      <c r="GO28" s="36"/>
      <c r="GP28" s="36"/>
      <c r="GQ28" s="36"/>
      <c r="GR28" s="36"/>
      <c r="GS28" s="36"/>
      <c r="GT28" s="36"/>
      <c r="GU28" s="36"/>
      <c r="GV28" s="36"/>
      <c r="GW28" s="36"/>
      <c r="GX28" s="36"/>
      <c r="GY28" s="36"/>
      <c r="GZ28" s="36"/>
      <c r="HA28" s="36"/>
      <c r="HB28" s="36"/>
      <c r="HC28" s="36"/>
      <c r="HD28" s="36"/>
      <c r="HE28" s="36"/>
      <c r="HF28" s="36"/>
      <c r="HG28" s="36"/>
      <c r="HH28" s="36"/>
      <c r="HI28" s="36"/>
      <c r="HJ28" s="36"/>
      <c r="HK28" s="36"/>
      <c r="HL28" s="36"/>
      <c r="HM28" s="36"/>
      <c r="HN28" s="36"/>
      <c r="HO28" s="36"/>
      <c r="HP28" s="36"/>
      <c r="HQ28" s="36"/>
      <c r="HR28" s="36"/>
      <c r="HS28" s="36"/>
      <c r="HT28" s="36"/>
      <c r="HU28" s="36"/>
      <c r="HV28" s="36"/>
      <c r="HW28" s="36"/>
      <c r="HX28" s="36"/>
      <c r="HY28" s="36"/>
      <c r="HZ28" s="36"/>
      <c r="IA28" s="36"/>
      <c r="IB28" s="36"/>
      <c r="IC28" s="36"/>
      <c r="ID28" s="36"/>
      <c r="IE28" s="36"/>
      <c r="IF28" s="36"/>
      <c r="IG28" s="36"/>
      <c r="IH28" s="36"/>
      <c r="II28" s="36"/>
      <c r="IJ28" s="36"/>
      <c r="IK28" s="36"/>
      <c r="IL28" s="36"/>
      <c r="IM28" s="36"/>
      <c r="IN28" s="36"/>
      <c r="IO28" s="36"/>
      <c r="IP28" s="36"/>
    </row>
    <row r="29" spans="1:250" ht="15.75" customHeight="1" x14ac:dyDescent="0.25">
      <c r="A29" s="36"/>
      <c r="B29" s="202"/>
      <c r="C29" s="202"/>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c r="CL29" s="36"/>
      <c r="CM29" s="36"/>
      <c r="CN29" s="36"/>
      <c r="CO29" s="36"/>
      <c r="CP29" s="36"/>
      <c r="CQ29" s="36"/>
      <c r="CR29" s="36"/>
      <c r="CS29" s="36"/>
      <c r="CT29" s="36"/>
      <c r="CU29" s="36"/>
      <c r="CV29" s="36"/>
      <c r="CW29" s="36"/>
      <c r="CX29" s="36"/>
      <c r="CY29" s="36"/>
      <c r="CZ29" s="36"/>
      <c r="DA29" s="36"/>
      <c r="DB29" s="36"/>
      <c r="DC29" s="36"/>
      <c r="DD29" s="36"/>
      <c r="DE29" s="36"/>
      <c r="DF29" s="36"/>
      <c r="DG29" s="36"/>
      <c r="DH29" s="36"/>
      <c r="DI29" s="36"/>
      <c r="DJ29" s="36"/>
      <c r="DK29" s="36"/>
      <c r="DL29" s="36"/>
      <c r="DM29" s="36"/>
      <c r="DN29" s="36"/>
      <c r="DO29" s="36"/>
      <c r="DP29" s="36"/>
      <c r="DQ29" s="36"/>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S29" s="36"/>
      <c r="ET29" s="36"/>
      <c r="EU29" s="36"/>
      <c r="EV29" s="36"/>
      <c r="EW29" s="36"/>
      <c r="EX29" s="36"/>
      <c r="EY29" s="36"/>
      <c r="EZ29" s="36"/>
      <c r="FA29" s="36"/>
      <c r="FB29" s="36"/>
      <c r="FC29" s="36"/>
      <c r="FD29" s="36"/>
      <c r="FE29" s="36"/>
      <c r="FF29" s="36"/>
      <c r="FG29" s="36"/>
      <c r="FH29" s="36"/>
      <c r="FI29" s="36"/>
      <c r="FJ29" s="36"/>
      <c r="FK29" s="36"/>
      <c r="FL29" s="36"/>
      <c r="FM29" s="36"/>
      <c r="FN29" s="36"/>
      <c r="FO29" s="36"/>
      <c r="FP29" s="36"/>
      <c r="FQ29" s="36"/>
      <c r="FR29" s="36"/>
      <c r="FS29" s="36"/>
      <c r="FT29" s="36"/>
      <c r="FU29" s="36"/>
      <c r="FV29" s="36"/>
      <c r="FW29" s="36"/>
      <c r="FX29" s="36"/>
      <c r="FY29" s="36"/>
      <c r="FZ29" s="36"/>
      <c r="GA29" s="36"/>
      <c r="GB29" s="36"/>
      <c r="GC29" s="36"/>
      <c r="GD29" s="36"/>
      <c r="GE29" s="36"/>
      <c r="GF29" s="36"/>
      <c r="GG29" s="36"/>
      <c r="GH29" s="36"/>
      <c r="GI29" s="36"/>
      <c r="GJ29" s="36"/>
      <c r="GK29" s="36"/>
      <c r="GL29" s="36"/>
      <c r="GM29" s="36"/>
      <c r="GN29" s="36"/>
      <c r="GO29" s="36"/>
      <c r="GP29" s="36"/>
      <c r="GQ29" s="36"/>
      <c r="GR29" s="36"/>
      <c r="GS29" s="36"/>
      <c r="GT29" s="36"/>
      <c r="GU29" s="36"/>
      <c r="GV29" s="36"/>
      <c r="GW29" s="36"/>
      <c r="GX29" s="36"/>
      <c r="GY29" s="36"/>
      <c r="GZ29" s="36"/>
      <c r="HA29" s="36"/>
      <c r="HB29" s="36"/>
      <c r="HC29" s="36"/>
      <c r="HD29" s="36"/>
      <c r="HE29" s="36"/>
      <c r="HF29" s="36"/>
      <c r="HG29" s="36"/>
      <c r="HH29" s="36"/>
      <c r="HI29" s="36"/>
      <c r="HJ29" s="36"/>
      <c r="HK29" s="36"/>
      <c r="HL29" s="36"/>
      <c r="HM29" s="36"/>
      <c r="HN29" s="36"/>
      <c r="HO29" s="36"/>
      <c r="HP29" s="36"/>
      <c r="HQ29" s="36"/>
      <c r="HR29" s="36"/>
      <c r="HS29" s="36"/>
      <c r="HT29" s="36"/>
      <c r="HU29" s="36"/>
      <c r="HV29" s="36"/>
      <c r="HW29" s="36"/>
      <c r="HX29" s="36"/>
      <c r="HY29" s="36"/>
      <c r="HZ29" s="36"/>
      <c r="IA29" s="36"/>
      <c r="IB29" s="36"/>
      <c r="IC29" s="36"/>
      <c r="ID29" s="36"/>
      <c r="IE29" s="36"/>
      <c r="IF29" s="36"/>
      <c r="IG29" s="36"/>
      <c r="IH29" s="36"/>
      <c r="II29" s="36"/>
      <c r="IJ29" s="36"/>
      <c r="IK29" s="36"/>
      <c r="IL29" s="36"/>
      <c r="IM29" s="36"/>
      <c r="IN29" s="36"/>
      <c r="IO29" s="36"/>
      <c r="IP29" s="36"/>
    </row>
    <row r="30" spans="1:250" ht="15.75" customHeight="1" x14ac:dyDescent="0.25">
      <c r="A30" s="36"/>
      <c r="B30" s="202"/>
      <c r="C30" s="202"/>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6"/>
      <c r="GC30" s="36"/>
      <c r="GD30" s="36"/>
      <c r="GE30" s="36"/>
      <c r="GF30" s="36"/>
      <c r="GG30" s="36"/>
      <c r="GH30" s="36"/>
      <c r="GI30" s="36"/>
      <c r="GJ30" s="36"/>
      <c r="GK30" s="36"/>
      <c r="GL30" s="36"/>
      <c r="GM30" s="36"/>
      <c r="GN30" s="36"/>
      <c r="GO30" s="36"/>
      <c r="GP30" s="36"/>
      <c r="GQ30" s="36"/>
      <c r="GR30" s="36"/>
      <c r="GS30" s="36"/>
      <c r="GT30" s="36"/>
      <c r="GU30" s="36"/>
      <c r="GV30" s="36"/>
      <c r="GW30" s="36"/>
      <c r="GX30" s="36"/>
      <c r="GY30" s="36"/>
      <c r="GZ30" s="36"/>
      <c r="HA30" s="36"/>
      <c r="HB30" s="36"/>
      <c r="HC30" s="36"/>
      <c r="HD30" s="36"/>
      <c r="HE30" s="36"/>
      <c r="HF30" s="36"/>
      <c r="HG30" s="36"/>
      <c r="HH30" s="36"/>
      <c r="HI30" s="36"/>
      <c r="HJ30" s="36"/>
      <c r="HK30" s="36"/>
      <c r="HL30" s="36"/>
      <c r="HM30" s="36"/>
      <c r="HN30" s="36"/>
      <c r="HO30" s="36"/>
      <c r="HP30" s="36"/>
      <c r="HQ30" s="36"/>
      <c r="HR30" s="36"/>
      <c r="HS30" s="36"/>
      <c r="HT30" s="36"/>
      <c r="HU30" s="36"/>
      <c r="HV30" s="36"/>
      <c r="HW30" s="36"/>
      <c r="HX30" s="36"/>
      <c r="HY30" s="36"/>
      <c r="HZ30" s="36"/>
      <c r="IA30" s="36"/>
      <c r="IB30" s="36"/>
      <c r="IC30" s="36"/>
      <c r="ID30" s="36"/>
      <c r="IE30" s="36"/>
      <c r="IF30" s="36"/>
      <c r="IG30" s="36"/>
      <c r="IH30" s="36"/>
      <c r="II30" s="36"/>
      <c r="IJ30" s="36"/>
      <c r="IK30" s="36"/>
      <c r="IL30" s="36"/>
      <c r="IM30" s="36"/>
      <c r="IN30" s="36"/>
      <c r="IO30" s="36"/>
      <c r="IP30" s="36"/>
    </row>
    <row r="31" spans="1:250" ht="15.75" customHeight="1" x14ac:dyDescent="0.25">
      <c r="A31" s="36"/>
      <c r="B31" s="36"/>
      <c r="C31" s="36"/>
      <c r="D31" s="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c r="CL31" s="36"/>
      <c r="CM31" s="36"/>
      <c r="CN31" s="36"/>
      <c r="CO31" s="36"/>
      <c r="CP31" s="36"/>
      <c r="CQ31" s="36"/>
      <c r="CR31" s="36"/>
      <c r="CS31" s="36"/>
      <c r="CT31" s="36"/>
      <c r="CU31" s="36"/>
      <c r="CV31" s="36"/>
      <c r="CW31" s="36"/>
      <c r="CX31" s="36"/>
      <c r="CY31" s="36"/>
      <c r="CZ31" s="36"/>
      <c r="DA31" s="36"/>
      <c r="DB31" s="36"/>
      <c r="DC31" s="36"/>
      <c r="DD31" s="36"/>
      <c r="DE31" s="36"/>
      <c r="DF31" s="36"/>
      <c r="DG31" s="36"/>
      <c r="DH31" s="36"/>
      <c r="DI31" s="36"/>
      <c r="DJ31" s="36"/>
      <c r="DK31" s="36"/>
      <c r="DL31" s="36"/>
      <c r="DM31" s="36"/>
      <c r="DN31" s="36"/>
      <c r="DO31" s="36"/>
      <c r="DP31" s="36"/>
      <c r="DQ31" s="36"/>
      <c r="DR31" s="36"/>
      <c r="DS31" s="36"/>
      <c r="DT31" s="36"/>
      <c r="DU31" s="36"/>
      <c r="DV31" s="36"/>
      <c r="DW31" s="36"/>
      <c r="DX31" s="36"/>
      <c r="DY31" s="36"/>
      <c r="DZ31" s="36"/>
      <c r="EA31" s="36"/>
      <c r="EB31" s="36"/>
      <c r="EC31" s="36"/>
      <c r="ED31" s="36"/>
      <c r="EE31" s="36"/>
      <c r="EF31" s="36"/>
      <c r="EG31" s="36"/>
      <c r="EH31" s="36"/>
      <c r="EI31" s="36"/>
      <c r="EJ31" s="36"/>
      <c r="EK31" s="36"/>
      <c r="EL31" s="36"/>
      <c r="EM31" s="36"/>
      <c r="EN31" s="36"/>
      <c r="EO31" s="36"/>
      <c r="EP31" s="36"/>
      <c r="EQ31" s="36"/>
      <c r="ER31" s="36"/>
      <c r="ES31" s="36"/>
      <c r="ET31" s="36"/>
      <c r="EU31" s="36"/>
      <c r="EV31" s="36"/>
      <c r="EW31" s="36"/>
      <c r="EX31" s="36"/>
      <c r="EY31" s="36"/>
      <c r="EZ31" s="36"/>
      <c r="FA31" s="36"/>
      <c r="FB31" s="36"/>
      <c r="FC31" s="36"/>
      <c r="FD31" s="36"/>
      <c r="FE31" s="36"/>
      <c r="FF31" s="36"/>
      <c r="FG31" s="36"/>
      <c r="FH31" s="36"/>
      <c r="FI31" s="36"/>
      <c r="FJ31" s="36"/>
      <c r="FK31" s="36"/>
      <c r="FL31" s="36"/>
      <c r="FM31" s="36"/>
      <c r="FN31" s="36"/>
      <c r="FO31" s="36"/>
      <c r="FP31" s="36"/>
      <c r="FQ31" s="36"/>
      <c r="FR31" s="36"/>
      <c r="FS31" s="36"/>
      <c r="FT31" s="36"/>
      <c r="FU31" s="36"/>
      <c r="FV31" s="36"/>
      <c r="FW31" s="36"/>
      <c r="FX31" s="36"/>
      <c r="FY31" s="36"/>
      <c r="FZ31" s="36"/>
      <c r="GA31" s="36"/>
      <c r="GB31" s="36"/>
      <c r="GC31" s="36"/>
      <c r="GD31" s="36"/>
      <c r="GE31" s="36"/>
      <c r="GF31" s="36"/>
      <c r="GG31" s="36"/>
      <c r="GH31" s="36"/>
      <c r="GI31" s="36"/>
      <c r="GJ31" s="36"/>
      <c r="GK31" s="36"/>
      <c r="GL31" s="36"/>
      <c r="GM31" s="36"/>
      <c r="GN31" s="36"/>
      <c r="GO31" s="36"/>
      <c r="GP31" s="36"/>
      <c r="GQ31" s="36"/>
      <c r="GR31" s="36"/>
      <c r="GS31" s="36"/>
      <c r="GT31" s="36"/>
      <c r="GU31" s="36"/>
      <c r="GV31" s="36"/>
      <c r="GW31" s="36"/>
      <c r="GX31" s="36"/>
      <c r="GY31" s="36"/>
      <c r="GZ31" s="36"/>
      <c r="HA31" s="36"/>
      <c r="HB31" s="36"/>
      <c r="HC31" s="36"/>
      <c r="HD31" s="36"/>
      <c r="HE31" s="36"/>
      <c r="HF31" s="36"/>
      <c r="HG31" s="36"/>
      <c r="HH31" s="36"/>
      <c r="HI31" s="36"/>
      <c r="HJ31" s="36"/>
      <c r="HK31" s="36"/>
      <c r="HL31" s="36"/>
      <c r="HM31" s="36"/>
      <c r="HN31" s="36"/>
      <c r="HO31" s="36"/>
      <c r="HP31" s="36"/>
      <c r="HQ31" s="36"/>
      <c r="HR31" s="36"/>
      <c r="HS31" s="36"/>
      <c r="HT31" s="36"/>
      <c r="HU31" s="36"/>
      <c r="HV31" s="36"/>
      <c r="HW31" s="36"/>
      <c r="HX31" s="36"/>
      <c r="HY31" s="36"/>
      <c r="HZ31" s="36"/>
      <c r="IA31" s="36"/>
      <c r="IB31" s="36"/>
      <c r="IC31" s="36"/>
      <c r="ID31" s="36"/>
      <c r="IE31" s="36"/>
      <c r="IF31" s="36"/>
      <c r="IG31" s="36"/>
      <c r="IH31" s="36"/>
      <c r="II31" s="36"/>
      <c r="IJ31" s="36"/>
      <c r="IK31" s="36"/>
      <c r="IL31" s="36"/>
      <c r="IM31" s="36"/>
      <c r="IN31" s="36"/>
      <c r="IO31" s="36"/>
      <c r="IP31" s="36"/>
    </row>
    <row r="32" spans="1:250" ht="15.75" customHeight="1" x14ac:dyDescent="0.25">
      <c r="A32" s="203" t="s">
        <v>527</v>
      </c>
      <c r="B32" s="203"/>
      <c r="C32" s="203"/>
      <c r="D32" s="204">
        <f t="shared" ref="D32:CO32" si="0">SUM(D8:D31)</f>
        <v>360</v>
      </c>
      <c r="E32" s="204">
        <f t="shared" si="0"/>
        <v>94</v>
      </c>
      <c r="F32" s="204">
        <f t="shared" si="0"/>
        <v>785</v>
      </c>
      <c r="G32" s="204">
        <f t="shared" si="0"/>
        <v>100</v>
      </c>
      <c r="H32" s="204">
        <f t="shared" si="0"/>
        <v>205</v>
      </c>
      <c r="I32" s="204">
        <f t="shared" si="0"/>
        <v>100</v>
      </c>
      <c r="J32" s="204">
        <f t="shared" si="0"/>
        <v>135</v>
      </c>
      <c r="K32" s="204">
        <f t="shared" si="0"/>
        <v>80</v>
      </c>
      <c r="L32" s="204">
        <f t="shared" si="0"/>
        <v>200</v>
      </c>
      <c r="M32" s="204">
        <f t="shared" si="0"/>
        <v>100</v>
      </c>
      <c r="N32" s="204">
        <f t="shared" si="0"/>
        <v>200</v>
      </c>
      <c r="O32" s="204">
        <f t="shared" si="0"/>
        <v>405</v>
      </c>
      <c r="P32" s="204">
        <f t="shared" si="0"/>
        <v>375</v>
      </c>
      <c r="Q32" s="204">
        <f t="shared" si="0"/>
        <v>132</v>
      </c>
      <c r="R32" s="204">
        <f t="shared" si="0"/>
        <v>100</v>
      </c>
      <c r="S32" s="204">
        <f t="shared" si="0"/>
        <v>100</v>
      </c>
      <c r="T32" s="204">
        <f t="shared" si="0"/>
        <v>200</v>
      </c>
      <c r="U32" s="204">
        <f t="shared" si="0"/>
        <v>221</v>
      </c>
      <c r="V32" s="204">
        <f t="shared" si="0"/>
        <v>100</v>
      </c>
      <c r="W32" s="204">
        <f t="shared" si="0"/>
        <v>10</v>
      </c>
      <c r="X32" s="204">
        <f t="shared" si="0"/>
        <v>330</v>
      </c>
      <c r="Y32" s="204">
        <f t="shared" si="0"/>
        <v>400</v>
      </c>
      <c r="Z32" s="204">
        <f t="shared" si="0"/>
        <v>100</v>
      </c>
      <c r="AA32" s="204">
        <f t="shared" si="0"/>
        <v>150</v>
      </c>
      <c r="AB32" s="204">
        <f t="shared" si="0"/>
        <v>151</v>
      </c>
      <c r="AC32" s="204">
        <f t="shared" si="0"/>
        <v>175</v>
      </c>
      <c r="AD32" s="204">
        <f t="shared" si="0"/>
        <v>100</v>
      </c>
      <c r="AE32" s="204">
        <f t="shared" si="0"/>
        <v>350</v>
      </c>
      <c r="AF32" s="204">
        <f t="shared" si="0"/>
        <v>100</v>
      </c>
      <c r="AG32" s="204">
        <f t="shared" si="0"/>
        <v>100</v>
      </c>
      <c r="AH32" s="204">
        <f t="shared" si="0"/>
        <v>0</v>
      </c>
      <c r="AI32" s="204">
        <f t="shared" si="0"/>
        <v>100</v>
      </c>
      <c r="AJ32" s="204">
        <f t="shared" si="0"/>
        <v>600</v>
      </c>
      <c r="AK32" s="204">
        <f t="shared" si="0"/>
        <v>500</v>
      </c>
      <c r="AL32" s="204">
        <f t="shared" si="0"/>
        <v>100</v>
      </c>
      <c r="AM32" s="204">
        <f t="shared" si="0"/>
        <v>100</v>
      </c>
      <c r="AN32" s="204">
        <f t="shared" si="0"/>
        <v>200</v>
      </c>
      <c r="AO32" s="204">
        <f t="shared" si="0"/>
        <v>0</v>
      </c>
      <c r="AP32" s="204">
        <f t="shared" si="0"/>
        <v>75</v>
      </c>
      <c r="AQ32" s="204">
        <f t="shared" si="0"/>
        <v>100</v>
      </c>
      <c r="AR32" s="204">
        <f t="shared" si="0"/>
        <v>100</v>
      </c>
      <c r="AS32" s="204">
        <f t="shared" si="0"/>
        <v>100</v>
      </c>
      <c r="AT32" s="204">
        <f t="shared" si="0"/>
        <v>100</v>
      </c>
      <c r="AU32" s="204">
        <f t="shared" si="0"/>
        <v>200</v>
      </c>
      <c r="AV32" s="204">
        <f t="shared" si="0"/>
        <v>50</v>
      </c>
      <c r="AW32" s="204">
        <f t="shared" si="0"/>
        <v>25</v>
      </c>
      <c r="AX32" s="204">
        <f t="shared" si="0"/>
        <v>25</v>
      </c>
      <c r="AY32" s="204">
        <f t="shared" si="0"/>
        <v>0</v>
      </c>
      <c r="AZ32" s="204">
        <f t="shared" si="0"/>
        <v>0</v>
      </c>
      <c r="BA32" s="204">
        <f t="shared" si="0"/>
        <v>0</v>
      </c>
      <c r="BB32" s="204">
        <f t="shared" si="0"/>
        <v>0</v>
      </c>
      <c r="BC32" s="204">
        <f t="shared" si="0"/>
        <v>0</v>
      </c>
      <c r="BD32" s="204">
        <f t="shared" si="0"/>
        <v>0</v>
      </c>
      <c r="BE32" s="204">
        <f t="shared" si="0"/>
        <v>0</v>
      </c>
      <c r="BF32" s="204">
        <f t="shared" si="0"/>
        <v>0</v>
      </c>
      <c r="BG32" s="204">
        <f t="shared" si="0"/>
        <v>0</v>
      </c>
      <c r="BH32" s="204">
        <f t="shared" si="0"/>
        <v>0</v>
      </c>
      <c r="BI32" s="204">
        <f t="shared" si="0"/>
        <v>0</v>
      </c>
      <c r="BJ32" s="204">
        <f t="shared" si="0"/>
        <v>0</v>
      </c>
      <c r="BK32" s="204">
        <f t="shared" si="0"/>
        <v>0</v>
      </c>
      <c r="BL32" s="204">
        <f t="shared" si="0"/>
        <v>0</v>
      </c>
      <c r="BM32" s="204">
        <f t="shared" si="0"/>
        <v>0</v>
      </c>
      <c r="BN32" s="204">
        <f t="shared" si="0"/>
        <v>0</v>
      </c>
      <c r="BO32" s="204">
        <f t="shared" si="0"/>
        <v>342</v>
      </c>
      <c r="BP32" s="204">
        <f t="shared" si="0"/>
        <v>365</v>
      </c>
      <c r="BQ32" s="204">
        <f t="shared" si="0"/>
        <v>605</v>
      </c>
      <c r="BR32" s="204">
        <f t="shared" si="0"/>
        <v>355</v>
      </c>
      <c r="BS32" s="204">
        <f t="shared" si="0"/>
        <v>0</v>
      </c>
      <c r="BT32" s="204">
        <f t="shared" si="0"/>
        <v>0</v>
      </c>
      <c r="BU32" s="204">
        <f t="shared" si="0"/>
        <v>100</v>
      </c>
      <c r="BV32" s="204">
        <f t="shared" si="0"/>
        <v>200</v>
      </c>
      <c r="BW32" s="204">
        <f t="shared" si="0"/>
        <v>100</v>
      </c>
      <c r="BX32" s="204">
        <f t="shared" si="0"/>
        <v>250</v>
      </c>
      <c r="BY32" s="204">
        <f t="shared" si="0"/>
        <v>100</v>
      </c>
      <c r="BZ32" s="204">
        <f t="shared" si="0"/>
        <v>200</v>
      </c>
      <c r="CA32" s="204">
        <f t="shared" si="0"/>
        <v>500</v>
      </c>
      <c r="CB32" s="204">
        <f t="shared" si="0"/>
        <v>950</v>
      </c>
      <c r="CC32" s="204">
        <f t="shared" si="0"/>
        <v>100</v>
      </c>
      <c r="CD32" s="204">
        <f t="shared" si="0"/>
        <v>500</v>
      </c>
      <c r="CE32" s="204">
        <f t="shared" si="0"/>
        <v>200</v>
      </c>
      <c r="CF32" s="204">
        <f t="shared" si="0"/>
        <v>200</v>
      </c>
      <c r="CG32" s="204">
        <f t="shared" si="0"/>
        <v>200</v>
      </c>
      <c r="CH32" s="204">
        <f t="shared" si="0"/>
        <v>100</v>
      </c>
      <c r="CI32" s="204">
        <f t="shared" si="0"/>
        <v>100</v>
      </c>
      <c r="CJ32" s="204">
        <f t="shared" si="0"/>
        <v>200</v>
      </c>
      <c r="CK32" s="204">
        <f t="shared" si="0"/>
        <v>100</v>
      </c>
      <c r="CL32" s="204">
        <f t="shared" si="0"/>
        <v>200</v>
      </c>
      <c r="CM32" s="204">
        <f t="shared" si="0"/>
        <v>100</v>
      </c>
      <c r="CN32" s="204">
        <f t="shared" si="0"/>
        <v>650</v>
      </c>
      <c r="CO32" s="204">
        <f t="shared" si="0"/>
        <v>50</v>
      </c>
      <c r="CP32" s="204"/>
      <c r="CQ32" s="204"/>
      <c r="CR32" s="204">
        <f t="shared" ref="CR32:CS32" si="1">SUM(CR8:CR31)</f>
        <v>129</v>
      </c>
      <c r="CS32" s="204">
        <f t="shared" si="1"/>
        <v>84</v>
      </c>
      <c r="CT32" s="204"/>
      <c r="CU32" s="204">
        <f>SUM(CU8:CU31)</f>
        <v>25</v>
      </c>
      <c r="CV32" s="204"/>
      <c r="CW32" s="204"/>
      <c r="CX32" s="204">
        <f t="shared" ref="CX32:CZ32" si="2">SUM(CX8:CX31)</f>
        <v>50</v>
      </c>
      <c r="CY32" s="204">
        <f t="shared" si="2"/>
        <v>304</v>
      </c>
      <c r="CZ32" s="204">
        <f t="shared" si="2"/>
        <v>206</v>
      </c>
      <c r="DA32" s="204"/>
      <c r="DB32" s="204">
        <f t="shared" ref="DB32:DS32" si="3">SUM(DB8:DB31)</f>
        <v>346</v>
      </c>
      <c r="DC32" s="204">
        <f t="shared" si="3"/>
        <v>104</v>
      </c>
      <c r="DD32" s="204">
        <f t="shared" si="3"/>
        <v>75</v>
      </c>
      <c r="DE32" s="204">
        <f t="shared" si="3"/>
        <v>80</v>
      </c>
      <c r="DF32" s="204">
        <f t="shared" si="3"/>
        <v>110</v>
      </c>
      <c r="DG32" s="204">
        <f t="shared" si="3"/>
        <v>300</v>
      </c>
      <c r="DH32" s="204">
        <f t="shared" si="3"/>
        <v>100</v>
      </c>
      <c r="DI32" s="204">
        <f t="shared" si="3"/>
        <v>76</v>
      </c>
      <c r="DJ32" s="204">
        <f t="shared" si="3"/>
        <v>237</v>
      </c>
      <c r="DK32" s="204">
        <f t="shared" si="3"/>
        <v>84</v>
      </c>
      <c r="DL32" s="204">
        <f t="shared" si="3"/>
        <v>42</v>
      </c>
      <c r="DM32" s="204">
        <f t="shared" si="3"/>
        <v>25</v>
      </c>
      <c r="DN32" s="204">
        <f t="shared" si="3"/>
        <v>100</v>
      </c>
      <c r="DO32" s="204">
        <f t="shared" si="3"/>
        <v>75</v>
      </c>
      <c r="DP32" s="204">
        <f t="shared" si="3"/>
        <v>75</v>
      </c>
      <c r="DQ32" s="204">
        <f t="shared" si="3"/>
        <v>220</v>
      </c>
      <c r="DR32" s="204">
        <f t="shared" si="3"/>
        <v>412</v>
      </c>
      <c r="DS32" s="204">
        <f t="shared" si="3"/>
        <v>367</v>
      </c>
      <c r="DT32" s="204"/>
      <c r="DU32" s="204">
        <f t="shared" ref="DU32:FT32" si="4">SUM(DU8:DU31)</f>
        <v>100</v>
      </c>
      <c r="DV32" s="204">
        <f t="shared" si="4"/>
        <v>281</v>
      </c>
      <c r="DW32" s="204">
        <f t="shared" si="4"/>
        <v>0</v>
      </c>
      <c r="DX32" s="204">
        <f t="shared" si="4"/>
        <v>79</v>
      </c>
      <c r="DY32" s="204">
        <f t="shared" si="4"/>
        <v>4</v>
      </c>
      <c r="DZ32" s="204">
        <f t="shared" si="4"/>
        <v>0</v>
      </c>
      <c r="EA32" s="204">
        <f t="shared" si="4"/>
        <v>0</v>
      </c>
      <c r="EB32" s="204">
        <f t="shared" si="4"/>
        <v>102</v>
      </c>
      <c r="EC32" s="204">
        <f t="shared" si="4"/>
        <v>108</v>
      </c>
      <c r="ED32" s="204">
        <f t="shared" si="4"/>
        <v>54</v>
      </c>
      <c r="EE32" s="204">
        <f t="shared" si="4"/>
        <v>214</v>
      </c>
      <c r="EF32" s="204">
        <f t="shared" si="4"/>
        <v>11</v>
      </c>
      <c r="EG32" s="204">
        <f t="shared" si="4"/>
        <v>0</v>
      </c>
      <c r="EH32" s="204">
        <f t="shared" si="4"/>
        <v>400</v>
      </c>
      <c r="EI32" s="204">
        <f t="shared" si="4"/>
        <v>107</v>
      </c>
      <c r="EJ32" s="204">
        <f t="shared" si="4"/>
        <v>125</v>
      </c>
      <c r="EK32" s="204">
        <f t="shared" si="4"/>
        <v>105</v>
      </c>
      <c r="EL32" s="204">
        <f t="shared" si="4"/>
        <v>5</v>
      </c>
      <c r="EM32" s="204">
        <f t="shared" si="4"/>
        <v>62</v>
      </c>
      <c r="EN32" s="204">
        <f t="shared" si="4"/>
        <v>300</v>
      </c>
      <c r="EO32" s="204">
        <f t="shared" si="4"/>
        <v>80</v>
      </c>
      <c r="EP32" s="204">
        <f t="shared" si="4"/>
        <v>350</v>
      </c>
      <c r="EQ32" s="204">
        <f t="shared" si="4"/>
        <v>579</v>
      </c>
      <c r="ER32" s="204">
        <f t="shared" si="4"/>
        <v>0</v>
      </c>
      <c r="ES32" s="204">
        <f t="shared" si="4"/>
        <v>151</v>
      </c>
      <c r="ET32" s="204">
        <f t="shared" si="4"/>
        <v>609</v>
      </c>
      <c r="EU32" s="204">
        <f t="shared" si="4"/>
        <v>100</v>
      </c>
      <c r="EV32" s="204">
        <f t="shared" si="4"/>
        <v>50</v>
      </c>
      <c r="EW32" s="204">
        <f t="shared" si="4"/>
        <v>1799</v>
      </c>
      <c r="EX32" s="204">
        <f t="shared" si="4"/>
        <v>2149</v>
      </c>
      <c r="EY32" s="204">
        <f t="shared" si="4"/>
        <v>1047</v>
      </c>
      <c r="EZ32" s="204">
        <f t="shared" si="4"/>
        <v>848</v>
      </c>
      <c r="FA32" s="204">
        <f t="shared" si="4"/>
        <v>199</v>
      </c>
      <c r="FB32" s="204">
        <f t="shared" si="4"/>
        <v>750</v>
      </c>
      <c r="FC32" s="204">
        <f t="shared" si="4"/>
        <v>200</v>
      </c>
      <c r="FD32" s="204">
        <f t="shared" si="4"/>
        <v>200</v>
      </c>
      <c r="FE32" s="204">
        <f t="shared" si="4"/>
        <v>224</v>
      </c>
      <c r="FF32" s="204">
        <f t="shared" si="4"/>
        <v>400</v>
      </c>
      <c r="FG32" s="204">
        <f t="shared" si="4"/>
        <v>222</v>
      </c>
      <c r="FH32" s="204">
        <f t="shared" si="4"/>
        <v>200</v>
      </c>
      <c r="FI32" s="204">
        <f t="shared" si="4"/>
        <v>300</v>
      </c>
      <c r="FJ32" s="204">
        <f t="shared" si="4"/>
        <v>300</v>
      </c>
      <c r="FK32" s="204">
        <f t="shared" si="4"/>
        <v>150</v>
      </c>
      <c r="FL32" s="204">
        <f t="shared" si="4"/>
        <v>200</v>
      </c>
      <c r="FM32" s="204">
        <f t="shared" si="4"/>
        <v>200</v>
      </c>
      <c r="FN32" s="204">
        <f t="shared" si="4"/>
        <v>300</v>
      </c>
      <c r="FO32" s="204">
        <f t="shared" si="4"/>
        <v>6000</v>
      </c>
      <c r="FP32" s="204">
        <f t="shared" si="4"/>
        <v>250</v>
      </c>
      <c r="FQ32" s="204">
        <f t="shared" si="4"/>
        <v>250</v>
      </c>
      <c r="FR32" s="204">
        <f t="shared" si="4"/>
        <v>1000</v>
      </c>
      <c r="FS32" s="204">
        <f t="shared" si="4"/>
        <v>1600</v>
      </c>
      <c r="FT32" s="204">
        <f t="shared" si="4"/>
        <v>100</v>
      </c>
      <c r="FU32" s="204"/>
      <c r="FV32" s="204">
        <f t="shared" ref="FV32:IP32" si="5">SUM(FV8:FV31)</f>
        <v>624</v>
      </c>
      <c r="FW32" s="204">
        <f t="shared" si="5"/>
        <v>50</v>
      </c>
      <c r="FX32" s="204">
        <f t="shared" si="5"/>
        <v>243</v>
      </c>
      <c r="FY32" s="204">
        <f t="shared" si="5"/>
        <v>100</v>
      </c>
      <c r="FZ32" s="204">
        <f t="shared" si="5"/>
        <v>475</v>
      </c>
      <c r="GA32" s="204">
        <f t="shared" si="5"/>
        <v>4450</v>
      </c>
      <c r="GB32" s="204">
        <f t="shared" si="5"/>
        <v>3247</v>
      </c>
      <c r="GC32" s="204">
        <f t="shared" si="5"/>
        <v>14200</v>
      </c>
      <c r="GD32" s="204">
        <f t="shared" si="5"/>
        <v>500</v>
      </c>
      <c r="GE32" s="204">
        <f t="shared" si="5"/>
        <v>200</v>
      </c>
      <c r="GF32" s="204">
        <f t="shared" si="5"/>
        <v>525</v>
      </c>
      <c r="GG32" s="204">
        <f t="shared" si="5"/>
        <v>80</v>
      </c>
      <c r="GH32" s="204">
        <f t="shared" si="5"/>
        <v>260</v>
      </c>
      <c r="GI32" s="204">
        <f t="shared" si="5"/>
        <v>110</v>
      </c>
      <c r="GJ32" s="204">
        <f t="shared" si="5"/>
        <v>200</v>
      </c>
      <c r="GK32" s="204">
        <f t="shared" si="5"/>
        <v>750</v>
      </c>
      <c r="GL32" s="204">
        <f t="shared" si="5"/>
        <v>850</v>
      </c>
      <c r="GM32" s="204">
        <f t="shared" si="5"/>
        <v>300</v>
      </c>
      <c r="GN32" s="204">
        <f t="shared" si="5"/>
        <v>3900</v>
      </c>
      <c r="GO32" s="204">
        <f t="shared" si="5"/>
        <v>649</v>
      </c>
      <c r="GP32" s="204">
        <f t="shared" si="5"/>
        <v>0</v>
      </c>
      <c r="GQ32" s="204">
        <f t="shared" si="5"/>
        <v>474</v>
      </c>
      <c r="GR32" s="204">
        <f t="shared" si="5"/>
        <v>474</v>
      </c>
      <c r="GS32" s="204">
        <f t="shared" si="5"/>
        <v>500</v>
      </c>
      <c r="GT32" s="204">
        <f t="shared" si="5"/>
        <v>75</v>
      </c>
      <c r="GU32" s="204">
        <f t="shared" si="5"/>
        <v>100</v>
      </c>
      <c r="GV32" s="204">
        <f t="shared" si="5"/>
        <v>1485</v>
      </c>
      <c r="GW32" s="204">
        <f t="shared" si="5"/>
        <v>500</v>
      </c>
      <c r="GX32" s="204">
        <f t="shared" si="5"/>
        <v>3048</v>
      </c>
      <c r="GY32" s="204">
        <f t="shared" si="5"/>
        <v>2300</v>
      </c>
      <c r="GZ32" s="204">
        <f t="shared" si="5"/>
        <v>325</v>
      </c>
      <c r="HA32" s="204">
        <f t="shared" si="5"/>
        <v>50</v>
      </c>
      <c r="HB32" s="204">
        <f t="shared" si="5"/>
        <v>792</v>
      </c>
      <c r="HC32" s="204">
        <f t="shared" si="5"/>
        <v>2688</v>
      </c>
      <c r="HD32" s="204">
        <f t="shared" si="5"/>
        <v>872</v>
      </c>
      <c r="HE32" s="204">
        <f t="shared" si="5"/>
        <v>1200</v>
      </c>
      <c r="HF32" s="204">
        <f t="shared" si="5"/>
        <v>4250</v>
      </c>
      <c r="HG32" s="204">
        <f t="shared" si="5"/>
        <v>1827</v>
      </c>
      <c r="HH32" s="204">
        <f t="shared" si="5"/>
        <v>0</v>
      </c>
      <c r="HI32" s="204">
        <f t="shared" si="5"/>
        <v>44</v>
      </c>
      <c r="HJ32" s="204">
        <f t="shared" si="5"/>
        <v>2000</v>
      </c>
      <c r="HK32" s="204">
        <f t="shared" si="5"/>
        <v>100</v>
      </c>
      <c r="HL32" s="204">
        <f t="shared" si="5"/>
        <v>100</v>
      </c>
      <c r="HM32" s="204">
        <f t="shared" si="5"/>
        <v>0</v>
      </c>
      <c r="HN32" s="204">
        <f t="shared" si="5"/>
        <v>4000</v>
      </c>
      <c r="HO32" s="204">
        <f t="shared" si="5"/>
        <v>1000</v>
      </c>
      <c r="HP32" s="204">
        <f t="shared" si="5"/>
        <v>1000</v>
      </c>
      <c r="HQ32" s="204">
        <f t="shared" si="5"/>
        <v>1199</v>
      </c>
      <c r="HR32" s="204">
        <f t="shared" si="5"/>
        <v>589</v>
      </c>
      <c r="HS32" s="204">
        <f t="shared" si="5"/>
        <v>200</v>
      </c>
      <c r="HT32" s="204">
        <f t="shared" si="5"/>
        <v>350</v>
      </c>
      <c r="HU32" s="204">
        <f t="shared" si="5"/>
        <v>506</v>
      </c>
      <c r="HV32" s="204">
        <f t="shared" si="5"/>
        <v>500</v>
      </c>
      <c r="HW32" s="204">
        <f t="shared" si="5"/>
        <v>200</v>
      </c>
      <c r="HX32" s="204">
        <f t="shared" si="5"/>
        <v>2641</v>
      </c>
      <c r="HY32" s="204">
        <f t="shared" si="5"/>
        <v>500</v>
      </c>
      <c r="HZ32" s="204">
        <f t="shared" si="5"/>
        <v>120</v>
      </c>
      <c r="IA32" s="204">
        <f t="shared" si="5"/>
        <v>140</v>
      </c>
      <c r="IB32" s="204">
        <f t="shared" si="5"/>
        <v>840</v>
      </c>
      <c r="IC32" s="204">
        <f t="shared" si="5"/>
        <v>280</v>
      </c>
      <c r="ID32" s="204">
        <f t="shared" si="5"/>
        <v>140</v>
      </c>
      <c r="IE32" s="204">
        <f t="shared" si="5"/>
        <v>200</v>
      </c>
      <c r="IF32" s="204">
        <f t="shared" si="5"/>
        <v>100</v>
      </c>
      <c r="IG32" s="204">
        <f t="shared" si="5"/>
        <v>200</v>
      </c>
      <c r="IH32" s="204">
        <f t="shared" si="5"/>
        <v>30</v>
      </c>
      <c r="II32" s="204">
        <f t="shared" si="5"/>
        <v>5</v>
      </c>
      <c r="IJ32" s="204">
        <f t="shared" si="5"/>
        <v>5</v>
      </c>
      <c r="IK32" s="204">
        <f t="shared" si="5"/>
        <v>40</v>
      </c>
      <c r="IL32" s="204">
        <f t="shared" si="5"/>
        <v>216</v>
      </c>
      <c r="IM32" s="204">
        <f t="shared" si="5"/>
        <v>120</v>
      </c>
      <c r="IN32" s="204">
        <f t="shared" si="5"/>
        <v>908</v>
      </c>
      <c r="IO32" s="204">
        <f t="shared" si="5"/>
        <v>8400</v>
      </c>
      <c r="IP32" s="204">
        <f t="shared" si="5"/>
        <v>1000</v>
      </c>
    </row>
    <row r="33" spans="1:252" ht="15.75" customHeight="1" x14ac:dyDescent="0.25">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c r="CL33" s="36"/>
      <c r="CM33" s="36"/>
      <c r="CN33" s="36"/>
      <c r="CO33" s="36"/>
      <c r="CP33" s="36"/>
      <c r="CQ33" s="36"/>
      <c r="CR33" s="36"/>
      <c r="CS33" s="36"/>
      <c r="CT33" s="36"/>
      <c r="CU33" s="36"/>
      <c r="CV33" s="36"/>
      <c r="CW33" s="36"/>
      <c r="CX33" s="36"/>
      <c r="CY33" s="36"/>
      <c r="CZ33" s="36"/>
      <c r="DA33" s="36"/>
      <c r="DB33" s="36"/>
      <c r="DC33" s="36"/>
      <c r="DD33" s="36"/>
      <c r="DE33" s="36"/>
      <c r="DF33" s="36"/>
      <c r="DG33" s="36"/>
      <c r="DH33" s="36"/>
      <c r="DI33" s="36"/>
      <c r="DJ33" s="36"/>
      <c r="DK33" s="36"/>
      <c r="DL33" s="36"/>
      <c r="DM33" s="36"/>
      <c r="DN33" s="36"/>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c r="EM33" s="36"/>
      <c r="EN33" s="36"/>
      <c r="EO33" s="36"/>
      <c r="EP33" s="36"/>
      <c r="EQ33" s="36"/>
      <c r="ER33" s="36"/>
      <c r="ES33" s="36"/>
      <c r="ET33" s="36"/>
      <c r="EU33" s="36"/>
      <c r="EV33" s="36"/>
      <c r="EW33" s="36"/>
      <c r="EX33" s="36"/>
      <c r="EY33" s="36"/>
      <c r="EZ33" s="36"/>
      <c r="FA33" s="36"/>
      <c r="FB33" s="36"/>
      <c r="FC33" s="36"/>
      <c r="FD33" s="36"/>
      <c r="FE33" s="36"/>
      <c r="FF33" s="36"/>
      <c r="FG33" s="36"/>
      <c r="FH33" s="36"/>
      <c r="FI33" s="36"/>
      <c r="FJ33" s="36"/>
      <c r="FK33" s="36"/>
      <c r="FL33" s="36"/>
      <c r="FM33" s="36"/>
      <c r="FN33" s="36"/>
      <c r="FO33" s="36"/>
      <c r="FP33" s="36"/>
      <c r="FQ33" s="36"/>
      <c r="FR33" s="36"/>
      <c r="FS33" s="36"/>
      <c r="FT33" s="36"/>
      <c r="FU33" s="36"/>
      <c r="FV33" s="36"/>
      <c r="FW33" s="36"/>
      <c r="FX33" s="36"/>
      <c r="FY33" s="36"/>
      <c r="FZ33" s="36"/>
      <c r="GA33" s="36"/>
      <c r="GB33" s="36"/>
      <c r="GC33" s="36"/>
      <c r="GD33" s="36"/>
      <c r="GE33" s="36"/>
      <c r="GF33" s="36"/>
      <c r="GG33" s="36"/>
      <c r="GH33" s="36"/>
      <c r="GI33" s="36"/>
      <c r="GJ33" s="36"/>
      <c r="GK33" s="36"/>
      <c r="GL33" s="36"/>
      <c r="GM33" s="36"/>
      <c r="GN33" s="36"/>
      <c r="GO33" s="36"/>
      <c r="GP33" s="36"/>
      <c r="GQ33" s="36"/>
      <c r="GR33" s="36"/>
      <c r="GS33" s="36"/>
      <c r="GT33" s="36"/>
      <c r="GU33" s="36"/>
      <c r="GV33" s="36"/>
      <c r="GW33" s="36"/>
      <c r="GX33" s="36"/>
      <c r="GY33" s="36"/>
      <c r="GZ33" s="36"/>
      <c r="HA33" s="36"/>
      <c r="HB33" s="36"/>
      <c r="HC33" s="36"/>
      <c r="HD33" s="36"/>
      <c r="HE33" s="36"/>
      <c r="HF33" s="36"/>
      <c r="HG33" s="36"/>
      <c r="HH33" s="36"/>
      <c r="HI33" s="36"/>
      <c r="HJ33" s="36"/>
      <c r="HK33" s="36"/>
      <c r="HL33" s="36"/>
      <c r="HM33" s="36"/>
      <c r="HN33" s="36"/>
      <c r="HO33" s="36"/>
      <c r="HP33" s="36"/>
      <c r="HQ33" s="36"/>
      <c r="HR33" s="36"/>
      <c r="HS33" s="36"/>
      <c r="HT33" s="36"/>
      <c r="HU33" s="36"/>
      <c r="HV33" s="36"/>
      <c r="HW33" s="36"/>
      <c r="HX33" s="36"/>
      <c r="HY33" s="36"/>
      <c r="HZ33" s="36"/>
      <c r="IA33" s="36"/>
      <c r="IB33" s="36"/>
      <c r="IC33" s="36"/>
      <c r="ID33" s="36"/>
      <c r="IE33" s="36"/>
      <c r="IF33" s="36"/>
      <c r="IG33" s="36"/>
      <c r="IH33" s="36"/>
      <c r="II33" s="36"/>
      <c r="IJ33" s="36"/>
      <c r="IK33" s="36"/>
      <c r="IL33" s="36"/>
      <c r="IM33" s="36"/>
      <c r="IN33" s="36"/>
      <c r="IO33" s="36"/>
      <c r="IP33" s="36"/>
    </row>
    <row r="34" spans="1:252" ht="15.75" customHeight="1" x14ac:dyDescent="0.25">
      <c r="A34" s="36" t="s">
        <v>539</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6"/>
      <c r="GC34" s="36"/>
      <c r="GD34" s="36"/>
      <c r="GE34" s="36"/>
      <c r="GF34" s="36"/>
      <c r="GG34" s="36"/>
      <c r="GH34" s="36"/>
      <c r="GI34" s="36"/>
      <c r="GJ34" s="36"/>
      <c r="GK34" s="36"/>
      <c r="GL34" s="36"/>
      <c r="GM34" s="36"/>
      <c r="GN34" s="36"/>
      <c r="GO34" s="36"/>
      <c r="GP34" s="36"/>
      <c r="GQ34" s="36"/>
      <c r="GR34" s="36"/>
      <c r="GS34" s="36"/>
      <c r="GT34" s="36"/>
      <c r="GU34" s="36"/>
      <c r="GV34" s="36"/>
      <c r="GW34" s="36"/>
      <c r="GX34" s="36"/>
      <c r="GY34" s="36"/>
      <c r="GZ34" s="36"/>
      <c r="HA34" s="36"/>
      <c r="HB34" s="36"/>
      <c r="HC34" s="36"/>
      <c r="HD34" s="36"/>
      <c r="HE34" s="36"/>
      <c r="HF34" s="36"/>
      <c r="HG34" s="36"/>
      <c r="HH34" s="36"/>
      <c r="HI34" s="36"/>
      <c r="HJ34" s="36"/>
      <c r="HK34" s="36"/>
      <c r="HL34" s="36"/>
      <c r="HM34" s="36"/>
      <c r="HN34" s="36"/>
      <c r="HO34" s="36"/>
      <c r="HP34" s="36"/>
      <c r="HQ34" s="36"/>
      <c r="HR34" s="36"/>
      <c r="HS34" s="36"/>
      <c r="HT34" s="36"/>
      <c r="HU34" s="36"/>
      <c r="HV34" s="36"/>
      <c r="HW34" s="36"/>
      <c r="HX34" s="36"/>
      <c r="HY34" s="36"/>
      <c r="HZ34" s="36"/>
      <c r="IA34" s="36"/>
      <c r="IB34" s="36"/>
      <c r="IC34" s="36"/>
      <c r="ID34" s="36"/>
      <c r="IE34" s="36"/>
      <c r="IF34" s="36"/>
      <c r="IG34" s="36"/>
      <c r="IH34" s="36"/>
      <c r="II34" s="36"/>
      <c r="IJ34" s="36"/>
      <c r="IK34" s="36"/>
      <c r="IL34" s="36"/>
      <c r="IM34" s="36"/>
      <c r="IN34" s="36"/>
      <c r="IO34" s="36"/>
      <c r="IP34" s="36"/>
      <c r="IR34" s="2" t="s">
        <v>540</v>
      </c>
    </row>
    <row r="35" spans="1:252" ht="15.75" customHeight="1" x14ac:dyDescent="0.25">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c r="CL35" s="36"/>
      <c r="CM35" s="36"/>
      <c r="CN35" s="36"/>
      <c r="CO35" s="36"/>
      <c r="CP35" s="36"/>
      <c r="CQ35" s="36"/>
      <c r="CR35" s="36"/>
      <c r="CS35" s="36"/>
      <c r="CT35" s="36"/>
      <c r="CU35" s="36"/>
      <c r="CV35" s="36"/>
      <c r="CW35" s="36"/>
      <c r="CX35" s="36"/>
      <c r="CY35" s="36"/>
      <c r="CZ35" s="36"/>
      <c r="DA35" s="36"/>
      <c r="DB35" s="36"/>
      <c r="DC35" s="36"/>
      <c r="DD35" s="36"/>
      <c r="DE35" s="36"/>
      <c r="DF35" s="36"/>
      <c r="DG35" s="36"/>
      <c r="DH35" s="36"/>
      <c r="DI35" s="36"/>
      <c r="DJ35" s="36"/>
      <c r="DK35" s="36"/>
      <c r="DL35" s="36"/>
      <c r="DM35" s="36"/>
      <c r="DN35" s="36"/>
      <c r="DO35" s="36"/>
      <c r="DP35" s="36"/>
      <c r="DQ35" s="36"/>
      <c r="DR35" s="36"/>
      <c r="DS35" s="36"/>
      <c r="DT35" s="36"/>
      <c r="DU35" s="36"/>
      <c r="DV35" s="36"/>
      <c r="DW35" s="36"/>
      <c r="DX35" s="36"/>
      <c r="DY35" s="36"/>
      <c r="DZ35" s="36"/>
      <c r="EA35" s="36"/>
      <c r="EB35" s="36"/>
      <c r="EC35" s="36"/>
      <c r="ED35" s="36"/>
      <c r="EE35" s="36"/>
      <c r="EF35" s="36"/>
      <c r="EG35" s="36"/>
      <c r="EH35" s="36"/>
      <c r="EI35" s="36"/>
      <c r="EJ35" s="36"/>
      <c r="EK35" s="36"/>
      <c r="EL35" s="36"/>
      <c r="EM35" s="36"/>
      <c r="EN35" s="36"/>
      <c r="EO35" s="36"/>
      <c r="EP35" s="36"/>
      <c r="EQ35" s="36"/>
      <c r="ER35" s="36"/>
      <c r="ES35" s="36"/>
      <c r="ET35" s="36"/>
      <c r="EU35" s="36"/>
      <c r="EV35" s="36"/>
      <c r="EW35" s="36"/>
      <c r="EX35" s="36"/>
      <c r="EY35" s="36"/>
      <c r="EZ35" s="36"/>
      <c r="FA35" s="36"/>
      <c r="FB35" s="36"/>
      <c r="FC35" s="36"/>
      <c r="FD35" s="36"/>
      <c r="FE35" s="36"/>
      <c r="FF35" s="36"/>
      <c r="FG35" s="36"/>
      <c r="FH35" s="36"/>
      <c r="FI35" s="36"/>
      <c r="FJ35" s="36"/>
      <c r="FK35" s="36"/>
      <c r="FL35" s="36"/>
      <c r="FM35" s="36"/>
      <c r="FN35" s="36"/>
      <c r="FO35" s="36"/>
      <c r="FP35" s="36"/>
      <c r="FQ35" s="36"/>
      <c r="FR35" s="36"/>
      <c r="FS35" s="36"/>
      <c r="FT35" s="36"/>
      <c r="FU35" s="36"/>
      <c r="FV35" s="36"/>
      <c r="FW35" s="36"/>
      <c r="FX35" s="36"/>
      <c r="FY35" s="36"/>
      <c r="FZ35" s="36"/>
      <c r="GA35" s="36"/>
      <c r="GB35" s="36"/>
      <c r="GC35" s="36"/>
      <c r="GD35" s="36"/>
      <c r="GE35" s="36"/>
      <c r="GF35" s="36"/>
      <c r="GG35" s="36"/>
      <c r="GH35" s="36"/>
      <c r="GI35" s="36"/>
      <c r="GJ35" s="36"/>
      <c r="GK35" s="36"/>
      <c r="GL35" s="36"/>
      <c r="GM35" s="36"/>
      <c r="GN35" s="36"/>
      <c r="GO35" s="36"/>
      <c r="GP35" s="36"/>
      <c r="GQ35" s="36"/>
      <c r="GR35" s="36"/>
      <c r="GS35" s="36"/>
      <c r="GT35" s="36"/>
      <c r="GU35" s="36"/>
      <c r="GV35" s="36"/>
      <c r="GW35" s="36"/>
      <c r="GX35" s="36"/>
      <c r="GY35" s="36"/>
      <c r="GZ35" s="36"/>
      <c r="HA35" s="36"/>
      <c r="HB35" s="36"/>
      <c r="HC35" s="36"/>
      <c r="HD35" s="36"/>
      <c r="HE35" s="36"/>
      <c r="HF35" s="36"/>
      <c r="HG35" s="36"/>
      <c r="HH35" s="36"/>
      <c r="HI35" s="36"/>
      <c r="HJ35" s="36"/>
      <c r="HK35" s="36"/>
      <c r="HL35" s="36"/>
      <c r="HM35" s="36"/>
      <c r="HN35" s="36"/>
      <c r="HO35" s="36"/>
      <c r="HP35" s="36"/>
      <c r="HQ35" s="36"/>
      <c r="HR35" s="36"/>
      <c r="HS35" s="36"/>
      <c r="HT35" s="36"/>
      <c r="HU35" s="36"/>
      <c r="HV35" s="36"/>
      <c r="HW35" s="36"/>
      <c r="HX35" s="36"/>
      <c r="HY35" s="36"/>
      <c r="HZ35" s="36"/>
      <c r="IA35" s="36"/>
      <c r="IB35" s="36"/>
      <c r="IC35" s="36"/>
      <c r="ID35" s="36"/>
      <c r="IE35" s="36"/>
      <c r="IF35" s="36"/>
      <c r="IG35" s="36"/>
      <c r="IH35" s="36"/>
      <c r="II35" s="36"/>
      <c r="IJ35" s="36"/>
      <c r="IK35" s="36"/>
      <c r="IL35" s="36"/>
      <c r="IM35" s="36"/>
      <c r="IN35" s="36"/>
      <c r="IO35" s="36"/>
      <c r="IP35" s="36"/>
    </row>
    <row r="36" spans="1:252" ht="15.75" customHeight="1" x14ac:dyDescent="0.25">
      <c r="A36" s="36" t="s">
        <v>19</v>
      </c>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6"/>
      <c r="BQ36" s="6"/>
      <c r="BR36" s="6"/>
      <c r="BS36" s="6"/>
      <c r="BT36" s="6"/>
      <c r="BU36" s="6"/>
      <c r="BV36" s="36"/>
      <c r="BW36" s="36"/>
      <c r="BX36" s="36"/>
      <c r="BY36" s="36"/>
      <c r="BZ36" s="36"/>
      <c r="CA36" s="36"/>
      <c r="CB36" s="36"/>
      <c r="CC36" s="36"/>
      <c r="CD36" s="36"/>
      <c r="CE36" s="36"/>
      <c r="CF36" s="36"/>
      <c r="CG36" s="36"/>
      <c r="CH36" s="36"/>
      <c r="CI36" s="36"/>
      <c r="CJ36" s="36"/>
      <c r="CK36" s="36"/>
      <c r="CL36" s="36"/>
      <c r="CM36" s="36"/>
      <c r="CN36" s="36"/>
      <c r="CO36" s="36"/>
      <c r="CP36" s="36"/>
      <c r="CQ36" s="36"/>
      <c r="CR36" s="36"/>
      <c r="CS36" s="36"/>
      <c r="CT36" s="36"/>
      <c r="CU36" s="36"/>
      <c r="CV36" s="36"/>
      <c r="CW36" s="36"/>
      <c r="CX36" s="36"/>
      <c r="CY36" s="36"/>
      <c r="CZ36" s="36"/>
      <c r="DA36" s="36"/>
      <c r="DB36" s="36"/>
      <c r="DC36" s="36"/>
      <c r="DD36" s="36"/>
      <c r="DE36" s="36"/>
      <c r="DF36" s="36"/>
      <c r="DG36" s="36"/>
      <c r="DH36" s="36"/>
      <c r="DI36" s="36"/>
      <c r="DJ36" s="36"/>
      <c r="DK36" s="36"/>
      <c r="DL36" s="36"/>
      <c r="DM36" s="36"/>
      <c r="DN36" s="36"/>
      <c r="DO36" s="36"/>
      <c r="DP36" s="36"/>
      <c r="DQ36" s="36"/>
      <c r="DR36" s="36"/>
      <c r="DS36" s="36"/>
      <c r="DT36" s="36"/>
      <c r="DU36" s="36"/>
      <c r="DV36" s="36"/>
      <c r="DW36" s="36"/>
      <c r="DX36" s="36"/>
      <c r="DY36" s="36"/>
      <c r="DZ36" s="36"/>
      <c r="EA36" s="36"/>
      <c r="EB36" s="36"/>
      <c r="EC36" s="36"/>
      <c r="ED36" s="36"/>
      <c r="EE36" s="36"/>
      <c r="EF36" s="36"/>
      <c r="EG36" s="36"/>
      <c r="EH36" s="36"/>
      <c r="EI36" s="36"/>
      <c r="EJ36" s="36"/>
      <c r="EK36" s="36"/>
      <c r="EL36" s="36"/>
      <c r="EM36" s="36"/>
      <c r="EN36" s="36"/>
      <c r="EO36" s="36"/>
      <c r="EP36" s="36"/>
      <c r="EQ36" s="36"/>
      <c r="ER36" s="36"/>
      <c r="ES36" s="36"/>
      <c r="ET36" s="36"/>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6">
        <v>200</v>
      </c>
      <c r="GB36" s="6">
        <v>300</v>
      </c>
      <c r="GC36" s="36"/>
      <c r="GD36" s="36"/>
      <c r="GE36" s="36"/>
      <c r="GF36" s="36"/>
      <c r="GG36" s="36"/>
      <c r="GH36" s="36"/>
      <c r="GI36" s="36"/>
      <c r="GJ36" s="36"/>
      <c r="GK36" s="36"/>
      <c r="GL36" s="36"/>
      <c r="GM36" s="36"/>
      <c r="GN36" s="36">
        <v>300</v>
      </c>
      <c r="GO36" s="36"/>
      <c r="GP36" s="36"/>
      <c r="GQ36" s="36"/>
      <c r="GR36" s="36"/>
      <c r="GS36" s="36"/>
      <c r="GT36" s="36"/>
      <c r="GU36" s="36"/>
      <c r="GV36" s="6"/>
      <c r="GW36" s="36"/>
      <c r="GX36" s="36"/>
      <c r="GY36" s="36"/>
      <c r="GZ36" s="36"/>
      <c r="HA36" s="36"/>
      <c r="HB36" s="36"/>
      <c r="HC36" s="36"/>
      <c r="HD36" s="36"/>
      <c r="HE36" s="36"/>
      <c r="HF36" s="36"/>
      <c r="HG36" s="36"/>
      <c r="HH36" s="36"/>
      <c r="HI36" s="36"/>
      <c r="HJ36" s="36"/>
      <c r="HK36" s="36"/>
      <c r="HL36" s="36"/>
      <c r="HM36" s="36"/>
      <c r="HN36" s="36"/>
      <c r="HO36" s="36"/>
      <c r="HP36" s="36"/>
      <c r="HQ36" s="36"/>
      <c r="HR36" s="36"/>
      <c r="HS36" s="36"/>
      <c r="HT36" s="36"/>
      <c r="HU36" s="36"/>
      <c r="HV36" s="36"/>
      <c r="HW36" s="36"/>
      <c r="HX36" s="36"/>
      <c r="HY36" s="36"/>
      <c r="HZ36" s="36"/>
      <c r="IA36" s="36"/>
      <c r="IB36" s="36"/>
      <c r="IC36" s="36"/>
      <c r="ID36" s="36"/>
      <c r="IE36" s="36"/>
      <c r="IF36" s="36"/>
      <c r="IG36" s="36"/>
      <c r="IH36" s="36"/>
      <c r="II36" s="36"/>
      <c r="IJ36" s="36"/>
      <c r="IK36" s="36"/>
      <c r="IL36" s="36"/>
      <c r="IM36" s="36"/>
      <c r="IN36" s="36"/>
      <c r="IO36" s="36"/>
      <c r="IP36" s="36"/>
      <c r="IR36" s="2" t="s">
        <v>542</v>
      </c>
    </row>
    <row r="37" spans="1:252" ht="15.75" customHeight="1" x14ac:dyDescent="0.25">
      <c r="A37" s="36" t="s">
        <v>100</v>
      </c>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6"/>
      <c r="BQ37" s="6"/>
      <c r="BR37" s="6"/>
      <c r="BS37" s="6"/>
      <c r="BT37" s="6"/>
      <c r="BU37" s="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6"/>
      <c r="GB37" s="6"/>
      <c r="GC37" s="36">
        <f>8*25</f>
        <v>200</v>
      </c>
      <c r="GD37" s="36"/>
      <c r="GE37" s="36"/>
      <c r="GF37" s="36"/>
      <c r="GG37" s="36"/>
      <c r="GH37" s="36"/>
      <c r="GI37" s="36"/>
      <c r="GJ37" s="36"/>
      <c r="GK37" s="36"/>
      <c r="GL37" s="36"/>
      <c r="GM37" s="36"/>
      <c r="GN37" s="36"/>
      <c r="GO37" s="36"/>
      <c r="GP37" s="36"/>
      <c r="GQ37" s="36"/>
      <c r="GR37" s="36"/>
      <c r="GS37" s="36"/>
      <c r="GT37" s="36"/>
      <c r="GU37" s="36"/>
      <c r="GV37" s="6"/>
      <c r="GW37" s="36"/>
      <c r="GX37" s="36"/>
      <c r="GY37" s="36"/>
      <c r="GZ37" s="36"/>
      <c r="HA37" s="36"/>
      <c r="HB37" s="36"/>
      <c r="HC37" s="36"/>
      <c r="HD37" s="36"/>
      <c r="HE37" s="36"/>
      <c r="HF37" s="36"/>
      <c r="HG37" s="36"/>
      <c r="HH37" s="36"/>
      <c r="HI37" s="36"/>
      <c r="HJ37" s="36"/>
      <c r="HK37" s="36"/>
      <c r="HL37" s="36"/>
      <c r="HM37" s="36"/>
      <c r="HN37" s="36"/>
      <c r="HO37" s="36"/>
      <c r="HP37" s="36"/>
      <c r="HQ37" s="36"/>
      <c r="HR37" s="36"/>
      <c r="HS37" s="36"/>
      <c r="HT37" s="36"/>
      <c r="HU37" s="36"/>
      <c r="HV37" s="36"/>
      <c r="HW37" s="36"/>
      <c r="HX37" s="36"/>
      <c r="HY37" s="36"/>
      <c r="HZ37" s="36"/>
      <c r="IA37" s="36"/>
      <c r="IB37" s="36"/>
      <c r="IC37" s="36"/>
      <c r="ID37" s="36"/>
      <c r="IE37" s="36"/>
      <c r="IF37" s="36"/>
      <c r="IG37" s="36"/>
      <c r="IH37" s="36"/>
      <c r="II37" s="36"/>
      <c r="IJ37" s="36"/>
      <c r="IK37" s="36"/>
      <c r="IL37" s="36"/>
      <c r="IM37" s="36"/>
      <c r="IN37" s="36"/>
      <c r="IO37" s="36"/>
      <c r="IP37" s="36"/>
      <c r="IR37" s="2" t="s">
        <v>542</v>
      </c>
    </row>
    <row r="38" spans="1:252" ht="15.75" customHeight="1" x14ac:dyDescent="0.25">
      <c r="A38" s="36" t="s">
        <v>100</v>
      </c>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6"/>
      <c r="BQ38" s="6"/>
      <c r="BR38" s="6"/>
      <c r="BS38" s="6"/>
      <c r="BT38" s="6"/>
      <c r="BU38" s="6"/>
      <c r="BV38" s="36"/>
      <c r="BW38" s="36"/>
      <c r="BX38" s="36"/>
      <c r="BY38" s="36"/>
      <c r="BZ38" s="36"/>
      <c r="CA38" s="36"/>
      <c r="CB38" s="36"/>
      <c r="CC38" s="36"/>
      <c r="CD38" s="36"/>
      <c r="CE38" s="36"/>
      <c r="CF38" s="36"/>
      <c r="CG38" s="36"/>
      <c r="CH38" s="36"/>
      <c r="CI38" s="36"/>
      <c r="CJ38" s="36"/>
      <c r="CK38" s="36"/>
      <c r="CL38" s="36"/>
      <c r="CM38" s="36"/>
      <c r="CN38" s="36"/>
      <c r="CO38" s="36"/>
      <c r="CP38" s="36"/>
      <c r="CQ38" s="36"/>
      <c r="CR38" s="36"/>
      <c r="CS38" s="36"/>
      <c r="CT38" s="36"/>
      <c r="CU38" s="36"/>
      <c r="CV38" s="36"/>
      <c r="CW38" s="36"/>
      <c r="CX38" s="36"/>
      <c r="CY38" s="36"/>
      <c r="CZ38" s="36"/>
      <c r="DA38" s="36"/>
      <c r="DB38" s="36"/>
      <c r="DC38" s="36"/>
      <c r="DD38" s="36"/>
      <c r="DE38" s="36"/>
      <c r="DF38" s="36"/>
      <c r="DG38" s="36"/>
      <c r="DH38" s="36"/>
      <c r="DI38" s="36"/>
      <c r="DJ38" s="36"/>
      <c r="DK38" s="36"/>
      <c r="DL38" s="36"/>
      <c r="DM38" s="36"/>
      <c r="DN38" s="36"/>
      <c r="DO38" s="36"/>
      <c r="DP38" s="36"/>
      <c r="DQ38" s="36">
        <v>12</v>
      </c>
      <c r="DR38" s="36"/>
      <c r="DS38" s="36">
        <v>9</v>
      </c>
      <c r="DT38" s="36"/>
      <c r="DU38" s="36"/>
      <c r="DV38" s="36"/>
      <c r="DW38" s="36"/>
      <c r="DX38" s="36"/>
      <c r="DY38" s="36"/>
      <c r="DZ38" s="36"/>
      <c r="EA38" s="36"/>
      <c r="EB38" s="36"/>
      <c r="EC38" s="36"/>
      <c r="ED38" s="36"/>
      <c r="EE38" s="36"/>
      <c r="EF38" s="36"/>
      <c r="EG38" s="36"/>
      <c r="EH38" s="36"/>
      <c r="EI38" s="36"/>
      <c r="EJ38" s="36">
        <v>19</v>
      </c>
      <c r="EK38" s="36"/>
      <c r="EL38" s="36"/>
      <c r="EM38" s="36"/>
      <c r="EN38" s="36"/>
      <c r="EO38" s="36"/>
      <c r="EP38" s="36"/>
      <c r="EQ38" s="36"/>
      <c r="ER38" s="36"/>
      <c r="ES38" s="36"/>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v>100</v>
      </c>
      <c r="FW38" s="36"/>
      <c r="FX38" s="36"/>
      <c r="FY38" s="36"/>
      <c r="FZ38" s="36"/>
      <c r="GA38" s="6"/>
      <c r="GB38" s="6"/>
      <c r="GC38" s="36"/>
      <c r="GD38" s="36"/>
      <c r="GE38" s="36"/>
      <c r="GF38" s="36"/>
      <c r="GG38" s="36"/>
      <c r="GH38" s="36">
        <v>20</v>
      </c>
      <c r="GI38" s="36"/>
      <c r="GJ38" s="36"/>
      <c r="GK38" s="36"/>
      <c r="GL38" s="36"/>
      <c r="GM38" s="36"/>
      <c r="GN38" s="36">
        <v>100</v>
      </c>
      <c r="GO38" s="36"/>
      <c r="GP38" s="36"/>
      <c r="GQ38" s="36"/>
      <c r="GR38" s="36"/>
      <c r="GS38" s="36"/>
      <c r="GT38" s="36"/>
      <c r="GU38" s="36"/>
      <c r="GV38" s="6"/>
      <c r="GW38" s="36"/>
      <c r="GX38" s="36"/>
      <c r="GY38" s="36"/>
      <c r="GZ38" s="36"/>
      <c r="HA38" s="36"/>
      <c r="HB38" s="36"/>
      <c r="HC38" s="36"/>
      <c r="HD38" s="36"/>
      <c r="HE38" s="36"/>
      <c r="HF38" s="36"/>
      <c r="HG38" s="36"/>
      <c r="HH38" s="36"/>
      <c r="HI38" s="36"/>
      <c r="HJ38" s="36"/>
      <c r="HK38" s="36"/>
      <c r="HL38" s="36"/>
      <c r="HM38" s="36"/>
      <c r="HN38" s="36"/>
      <c r="HO38" s="36"/>
      <c r="HP38" s="36"/>
      <c r="HQ38" s="36"/>
      <c r="HR38" s="36"/>
      <c r="HS38" s="36"/>
      <c r="HT38" s="36"/>
      <c r="HU38" s="36"/>
      <c r="HV38" s="36"/>
      <c r="HW38" s="36"/>
      <c r="HX38" s="36"/>
      <c r="HY38" s="36"/>
      <c r="HZ38" s="36"/>
      <c r="IA38" s="36"/>
      <c r="IB38" s="36"/>
      <c r="IC38" s="36"/>
      <c r="ID38" s="36"/>
      <c r="IE38" s="36"/>
      <c r="IF38" s="36"/>
      <c r="IG38" s="36"/>
      <c r="IH38" s="36"/>
      <c r="II38" s="36"/>
      <c r="IJ38" s="36"/>
      <c r="IK38" s="36"/>
      <c r="IL38" s="36"/>
      <c r="IM38" s="36"/>
      <c r="IN38" s="36"/>
      <c r="IO38" s="36"/>
      <c r="IP38" s="36"/>
      <c r="IR38" s="2" t="s">
        <v>542</v>
      </c>
    </row>
    <row r="39" spans="1:252" ht="15.75" customHeight="1" x14ac:dyDescent="0.25">
      <c r="A39" s="36" t="s">
        <v>522</v>
      </c>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v>70</v>
      </c>
      <c r="BP39" s="6"/>
      <c r="BQ39" s="6"/>
      <c r="BR39" s="6"/>
      <c r="BS39" s="6"/>
      <c r="BT39" s="6"/>
      <c r="BU39" s="6"/>
      <c r="BV39" s="36"/>
      <c r="BW39" s="36"/>
      <c r="BX39" s="36"/>
      <c r="BY39" s="36"/>
      <c r="BZ39" s="36"/>
      <c r="CA39" s="36"/>
      <c r="CB39" s="36"/>
      <c r="CC39" s="36"/>
      <c r="CD39" s="36"/>
      <c r="CE39" s="36"/>
      <c r="CF39" s="36"/>
      <c r="CG39" s="36"/>
      <c r="CH39" s="36"/>
      <c r="CI39" s="36"/>
      <c r="CJ39" s="36"/>
      <c r="CK39" s="36"/>
      <c r="CL39" s="36"/>
      <c r="CM39" s="36"/>
      <c r="CN39" s="36"/>
      <c r="CO39" s="36"/>
      <c r="CP39" s="36"/>
      <c r="CQ39" s="36"/>
      <c r="CR39" s="36"/>
      <c r="CS39" s="36"/>
      <c r="CT39" s="36"/>
      <c r="CU39" s="36"/>
      <c r="CV39" s="36"/>
      <c r="CW39" s="36"/>
      <c r="CX39" s="36"/>
      <c r="CY39" s="36"/>
      <c r="CZ39" s="36"/>
      <c r="DA39" s="36"/>
      <c r="DB39" s="36"/>
      <c r="DC39" s="36"/>
      <c r="DD39" s="36"/>
      <c r="DE39" s="36"/>
      <c r="DF39" s="36"/>
      <c r="DG39" s="36"/>
      <c r="DH39" s="36"/>
      <c r="DI39" s="36"/>
      <c r="DJ39" s="36"/>
      <c r="DK39" s="36"/>
      <c r="DL39" s="36"/>
      <c r="DM39" s="36"/>
      <c r="DN39" s="36"/>
      <c r="DO39" s="36"/>
      <c r="DP39" s="36"/>
      <c r="DQ39" s="36"/>
      <c r="DR39" s="36"/>
      <c r="DS39" s="36"/>
      <c r="DT39" s="36"/>
      <c r="DU39" s="36"/>
      <c r="DV39" s="36"/>
      <c r="DW39" s="36"/>
      <c r="DX39" s="36"/>
      <c r="DY39" s="36"/>
      <c r="DZ39" s="36"/>
      <c r="EA39" s="36"/>
      <c r="EB39" s="36"/>
      <c r="EC39" s="36"/>
      <c r="ED39" s="36"/>
      <c r="EE39" s="36"/>
      <c r="EF39" s="36"/>
      <c r="EG39" s="36"/>
      <c r="EH39" s="36"/>
      <c r="EI39" s="36"/>
      <c r="EJ39" s="36"/>
      <c r="EK39" s="36"/>
      <c r="EL39" s="36"/>
      <c r="EM39" s="36"/>
      <c r="EN39" s="36"/>
      <c r="EO39" s="36"/>
      <c r="EP39" s="36"/>
      <c r="EQ39" s="36"/>
      <c r="ER39" s="36"/>
      <c r="ES39" s="36"/>
      <c r="ET39" s="36"/>
      <c r="EU39" s="36"/>
      <c r="EV39" s="36"/>
      <c r="EW39" s="36"/>
      <c r="EX39" s="36"/>
      <c r="EY39" s="36"/>
      <c r="EZ39" s="36"/>
      <c r="FA39" s="36"/>
      <c r="FB39" s="36"/>
      <c r="FC39" s="36"/>
      <c r="FD39" s="36"/>
      <c r="FE39" s="36"/>
      <c r="FF39" s="36"/>
      <c r="FG39" s="36"/>
      <c r="FH39" s="36"/>
      <c r="FI39" s="36"/>
      <c r="FJ39" s="36"/>
      <c r="FK39" s="36"/>
      <c r="FL39" s="36"/>
      <c r="FM39" s="36"/>
      <c r="FN39" s="36"/>
      <c r="FO39" s="36"/>
      <c r="FP39" s="36"/>
      <c r="FQ39" s="36"/>
      <c r="FR39" s="36"/>
      <c r="FS39" s="36"/>
      <c r="FT39" s="36"/>
      <c r="FU39" s="36"/>
      <c r="FV39" s="36"/>
      <c r="FW39" s="36"/>
      <c r="FX39" s="36"/>
      <c r="FY39" s="36"/>
      <c r="FZ39" s="36"/>
      <c r="GA39" s="6"/>
      <c r="GB39" s="6"/>
      <c r="GC39" s="36"/>
      <c r="GD39" s="36"/>
      <c r="GE39" s="36"/>
      <c r="GF39" s="36"/>
      <c r="GG39" s="36"/>
      <c r="GH39" s="36"/>
      <c r="GI39" s="36"/>
      <c r="GJ39" s="36"/>
      <c r="GK39" s="36"/>
      <c r="GL39" s="36"/>
      <c r="GM39" s="36"/>
      <c r="GN39" s="36"/>
      <c r="GO39" s="36"/>
      <c r="GP39" s="36"/>
      <c r="GQ39" s="36"/>
      <c r="GR39" s="36"/>
      <c r="GS39" s="36"/>
      <c r="GT39" s="36"/>
      <c r="GU39" s="36"/>
      <c r="GV39" s="6"/>
      <c r="GW39" s="36"/>
      <c r="GX39" s="36"/>
      <c r="GY39" s="36"/>
      <c r="GZ39" s="36"/>
      <c r="HA39" s="36"/>
      <c r="HB39" s="36"/>
      <c r="HC39" s="36"/>
      <c r="HD39" s="36"/>
      <c r="HE39" s="36"/>
      <c r="HF39" s="36"/>
      <c r="HG39" s="36"/>
      <c r="HH39" s="36"/>
      <c r="HI39" s="36"/>
      <c r="HJ39" s="36"/>
      <c r="HK39" s="36"/>
      <c r="HL39" s="36"/>
      <c r="HM39" s="36"/>
      <c r="HN39" s="36"/>
      <c r="HO39" s="36"/>
      <c r="HP39" s="36"/>
      <c r="HQ39" s="36"/>
      <c r="HR39" s="36"/>
      <c r="HS39" s="36"/>
      <c r="HT39" s="36"/>
      <c r="HU39" s="36"/>
      <c r="HV39" s="36"/>
      <c r="HW39" s="36"/>
      <c r="HX39" s="36"/>
      <c r="HY39" s="36"/>
      <c r="HZ39" s="36"/>
      <c r="IA39" s="36"/>
      <c r="IB39" s="36"/>
      <c r="IC39" s="36"/>
      <c r="ID39" s="36"/>
      <c r="IE39" s="36"/>
      <c r="IF39" s="36"/>
      <c r="IG39" s="36"/>
      <c r="IH39" s="36"/>
      <c r="II39" s="36"/>
      <c r="IJ39" s="36"/>
      <c r="IK39" s="36"/>
      <c r="IL39" s="36"/>
      <c r="IM39" s="36"/>
      <c r="IN39" s="36"/>
      <c r="IO39" s="36"/>
      <c r="IP39" s="36"/>
      <c r="IR39" s="2" t="s">
        <v>542</v>
      </c>
    </row>
    <row r="40" spans="1:252" ht="15.75" customHeight="1" x14ac:dyDescent="0.25">
      <c r="A40" s="36" t="s">
        <v>528</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6"/>
      <c r="BQ40" s="6"/>
      <c r="BR40" s="6"/>
      <c r="BS40" s="6"/>
      <c r="BT40" s="6"/>
      <c r="BU40" s="6"/>
      <c r="BV40" s="36"/>
      <c r="BW40" s="36"/>
      <c r="BX40" s="36"/>
      <c r="BY40" s="36"/>
      <c r="BZ40" s="36"/>
      <c r="CA40" s="36"/>
      <c r="CB40" s="36"/>
      <c r="CC40" s="36"/>
      <c r="CD40" s="36"/>
      <c r="CE40" s="36"/>
      <c r="CF40" s="36"/>
      <c r="CG40" s="36"/>
      <c r="CH40" s="36"/>
      <c r="CI40" s="36"/>
      <c r="CJ40" s="36"/>
      <c r="CK40" s="36"/>
      <c r="CL40" s="36"/>
      <c r="CM40" s="36"/>
      <c r="CN40" s="36"/>
      <c r="CO40" s="36"/>
      <c r="CP40" s="36"/>
      <c r="CQ40" s="36"/>
      <c r="CR40" s="36"/>
      <c r="CS40" s="36"/>
      <c r="CT40" s="36"/>
      <c r="CU40" s="36"/>
      <c r="CV40" s="36"/>
      <c r="CW40" s="36"/>
      <c r="CX40" s="36"/>
      <c r="CY40" s="36"/>
      <c r="CZ40" s="36"/>
      <c r="DA40" s="36"/>
      <c r="DB40" s="36"/>
      <c r="DC40" s="36"/>
      <c r="DD40" s="36"/>
      <c r="DE40" s="36"/>
      <c r="DF40" s="36"/>
      <c r="DG40" s="36"/>
      <c r="DH40" s="36"/>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c r="EK40" s="36"/>
      <c r="EL40" s="36"/>
      <c r="EM40" s="36"/>
      <c r="EN40" s="36"/>
      <c r="EO40" s="36"/>
      <c r="EP40" s="36"/>
      <c r="EQ40" s="36"/>
      <c r="ER40" s="36"/>
      <c r="ES40" s="36"/>
      <c r="ET40" s="36"/>
      <c r="EU40" s="36"/>
      <c r="EV40" s="36"/>
      <c r="EW40" s="36"/>
      <c r="EX40" s="36">
        <v>200</v>
      </c>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6"/>
      <c r="GB40" s="6"/>
      <c r="GC40" s="36"/>
      <c r="GD40" s="36"/>
      <c r="GE40" s="36"/>
      <c r="GF40" s="36"/>
      <c r="GG40" s="36"/>
      <c r="GH40" s="36"/>
      <c r="GI40" s="36"/>
      <c r="GJ40" s="36"/>
      <c r="GK40" s="36"/>
      <c r="GL40" s="36"/>
      <c r="GM40" s="36"/>
      <c r="GN40" s="36"/>
      <c r="GO40" s="36"/>
      <c r="GP40" s="36"/>
      <c r="GQ40" s="36"/>
      <c r="GR40" s="36"/>
      <c r="GS40" s="36"/>
      <c r="GT40" s="36"/>
      <c r="GU40" s="36"/>
      <c r="GV40" s="6"/>
      <c r="GW40" s="36"/>
      <c r="GX40" s="36"/>
      <c r="GY40" s="36"/>
      <c r="GZ40" s="36"/>
      <c r="HA40" s="36"/>
      <c r="HB40" s="36"/>
      <c r="HC40" s="36"/>
      <c r="HD40" s="36"/>
      <c r="HE40" s="36"/>
      <c r="HF40" s="36"/>
      <c r="HG40" s="36"/>
      <c r="HH40" s="36"/>
      <c r="HI40" s="36"/>
      <c r="HJ40" s="36"/>
      <c r="HK40" s="36"/>
      <c r="HL40" s="36"/>
      <c r="HM40" s="36"/>
      <c r="HN40" s="36"/>
      <c r="HO40" s="36"/>
      <c r="HP40" s="36"/>
      <c r="HQ40" s="36"/>
      <c r="HR40" s="36"/>
      <c r="HS40" s="36"/>
      <c r="HT40" s="36"/>
      <c r="HU40" s="36"/>
      <c r="HV40" s="36"/>
      <c r="HW40" s="36"/>
      <c r="HX40" s="36"/>
      <c r="HY40" s="36"/>
      <c r="HZ40" s="36"/>
      <c r="IA40" s="36"/>
      <c r="IB40" s="36"/>
      <c r="IC40" s="36"/>
      <c r="ID40" s="36"/>
      <c r="IE40" s="36"/>
      <c r="IF40" s="36"/>
      <c r="IG40" s="36"/>
      <c r="IH40" s="36"/>
      <c r="II40" s="36"/>
      <c r="IJ40" s="36"/>
      <c r="IK40" s="36"/>
      <c r="IL40" s="36"/>
      <c r="IM40" s="36"/>
      <c r="IN40" s="36"/>
      <c r="IO40" s="36"/>
      <c r="IP40" s="36"/>
      <c r="IR40" s="2" t="s">
        <v>542</v>
      </c>
    </row>
    <row r="41" spans="1:252" ht="15.75" customHeight="1" x14ac:dyDescent="0.3">
      <c r="A41" s="36" t="s">
        <v>528</v>
      </c>
      <c r="B41" s="25" t="s">
        <v>529</v>
      </c>
      <c r="C41" s="25"/>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6"/>
      <c r="BQ41" s="6"/>
      <c r="BR41" s="6"/>
      <c r="BS41" s="6"/>
      <c r="BT41" s="6"/>
      <c r="BU41" s="6"/>
      <c r="BV41" s="36"/>
      <c r="BW41" s="36"/>
      <c r="BX41" s="36"/>
      <c r="BY41" s="36"/>
      <c r="BZ41" s="36"/>
      <c r="CA41" s="36"/>
      <c r="CB41" s="36"/>
      <c r="CC41" s="36"/>
      <c r="CD41" s="36"/>
      <c r="CE41" s="36"/>
      <c r="CF41" s="36"/>
      <c r="CG41" s="36"/>
      <c r="CH41" s="36"/>
      <c r="CI41" s="36"/>
      <c r="CJ41" s="36"/>
      <c r="CK41" s="36"/>
      <c r="CL41" s="36"/>
      <c r="CM41" s="36"/>
      <c r="CN41" s="36"/>
      <c r="CO41" s="36"/>
      <c r="CP41" s="36"/>
      <c r="CQ41" s="36"/>
      <c r="CR41" s="36"/>
      <c r="CS41" s="36"/>
      <c r="CT41" s="36"/>
      <c r="CU41" s="36"/>
      <c r="CV41" s="36"/>
      <c r="CW41" s="36"/>
      <c r="CX41" s="36"/>
      <c r="CY41" s="36"/>
      <c r="CZ41" s="36"/>
      <c r="DA41" s="36"/>
      <c r="DB41" s="36"/>
      <c r="DC41" s="36"/>
      <c r="DD41" s="36"/>
      <c r="DE41" s="36"/>
      <c r="DF41" s="36"/>
      <c r="DG41" s="36"/>
      <c r="DH41" s="36"/>
      <c r="DI41" s="36"/>
      <c r="DJ41" s="36"/>
      <c r="DK41" s="36"/>
      <c r="DL41" s="36"/>
      <c r="DM41" s="36"/>
      <c r="DN41" s="36"/>
      <c r="DO41" s="36"/>
      <c r="DP41" s="36"/>
      <c r="DQ41" s="36"/>
      <c r="DR41" s="36"/>
      <c r="DS41" s="36"/>
      <c r="DT41" s="36"/>
      <c r="DU41" s="36"/>
      <c r="DV41" s="36"/>
      <c r="DW41" s="36"/>
      <c r="DX41" s="36"/>
      <c r="DY41" s="36"/>
      <c r="DZ41" s="36"/>
      <c r="EA41" s="36"/>
      <c r="EB41" s="36"/>
      <c r="EC41" s="36"/>
      <c r="ED41" s="36"/>
      <c r="EE41" s="36"/>
      <c r="EF41" s="36"/>
      <c r="EG41" s="36"/>
      <c r="EH41" s="36"/>
      <c r="EI41" s="36"/>
      <c r="EJ41" s="36"/>
      <c r="EK41" s="36"/>
      <c r="EL41" s="36"/>
      <c r="EM41" s="36"/>
      <c r="EN41" s="36">
        <v>10</v>
      </c>
      <c r="EO41" s="36"/>
      <c r="EP41" s="36"/>
      <c r="EQ41" s="36"/>
      <c r="ER41" s="36"/>
      <c r="ES41" s="36"/>
      <c r="ET41" s="36"/>
      <c r="EU41" s="36"/>
      <c r="EV41" s="36"/>
      <c r="EW41" s="36"/>
      <c r="EX41" s="36"/>
      <c r="EY41" s="36"/>
      <c r="EZ41" s="36"/>
      <c r="FA41" s="36"/>
      <c r="FB41" s="36"/>
      <c r="FC41" s="36"/>
      <c r="FD41" s="36"/>
      <c r="FE41" s="36"/>
      <c r="FF41" s="36"/>
      <c r="FG41" s="36"/>
      <c r="FH41" s="36"/>
      <c r="FI41" s="36"/>
      <c r="FJ41" s="36"/>
      <c r="FK41" s="36"/>
      <c r="FL41" s="36"/>
      <c r="FM41" s="36"/>
      <c r="FN41" s="36"/>
      <c r="FO41" s="36"/>
      <c r="FP41" s="36"/>
      <c r="FQ41" s="36"/>
      <c r="FR41" s="36"/>
      <c r="FS41" s="36"/>
      <c r="FT41" s="36"/>
      <c r="FU41" s="36"/>
      <c r="FV41" s="36"/>
      <c r="FW41" s="36"/>
      <c r="FX41" s="36"/>
      <c r="FY41" s="36"/>
      <c r="FZ41" s="36"/>
      <c r="GA41" s="6"/>
      <c r="GB41" s="6"/>
      <c r="GC41" s="36"/>
      <c r="GD41" s="36"/>
      <c r="GE41" s="36"/>
      <c r="GF41" s="36"/>
      <c r="GG41" s="36"/>
      <c r="GH41" s="36"/>
      <c r="GI41" s="36"/>
      <c r="GJ41" s="36"/>
      <c r="GK41" s="36"/>
      <c r="GL41" s="36"/>
      <c r="GM41" s="36"/>
      <c r="GN41" s="36"/>
      <c r="GO41" s="36"/>
      <c r="GP41" s="36"/>
      <c r="GQ41" s="36"/>
      <c r="GR41" s="36"/>
      <c r="GS41" s="36"/>
      <c r="GT41" s="36"/>
      <c r="GU41" s="36"/>
      <c r="GV41" s="6"/>
      <c r="GW41" s="36"/>
      <c r="GX41" s="36"/>
      <c r="GY41" s="36"/>
      <c r="GZ41" s="36"/>
      <c r="HA41" s="36"/>
      <c r="HB41" s="36"/>
      <c r="HC41" s="36"/>
      <c r="HD41" s="36"/>
      <c r="HE41" s="36"/>
      <c r="HF41" s="36"/>
      <c r="HG41" s="36"/>
      <c r="HH41" s="36"/>
      <c r="HI41" s="36"/>
      <c r="HJ41" s="36"/>
      <c r="HK41" s="36"/>
      <c r="HL41" s="36"/>
      <c r="HM41" s="36"/>
      <c r="HN41" s="36"/>
      <c r="HO41" s="36"/>
      <c r="HP41" s="36"/>
      <c r="HQ41" s="36">
        <v>100</v>
      </c>
      <c r="HR41" s="36"/>
      <c r="HS41" s="36"/>
      <c r="HT41" s="36"/>
      <c r="HU41" s="36"/>
      <c r="HV41" s="36"/>
      <c r="HW41" s="36"/>
      <c r="HX41" s="36"/>
      <c r="HY41" s="36"/>
      <c r="HZ41" s="36"/>
      <c r="IA41" s="36"/>
      <c r="IB41" s="36"/>
      <c r="IC41" s="36"/>
      <c r="ID41" s="36"/>
      <c r="IE41" s="36"/>
      <c r="IF41" s="36"/>
      <c r="IG41" s="36"/>
      <c r="IH41" s="36"/>
      <c r="II41" s="36"/>
      <c r="IJ41" s="36"/>
      <c r="IK41" s="36"/>
      <c r="IL41" s="36"/>
      <c r="IM41" s="36"/>
      <c r="IN41" s="36"/>
      <c r="IO41" s="36"/>
      <c r="IP41" s="36"/>
      <c r="IR41" s="2" t="s">
        <v>543</v>
      </c>
    </row>
    <row r="42" spans="1:252" ht="15.75" customHeight="1" x14ac:dyDescent="0.25">
      <c r="A42" s="36" t="s">
        <v>544</v>
      </c>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6"/>
      <c r="BQ42" s="6"/>
      <c r="BR42" s="6"/>
      <c r="BS42" s="6"/>
      <c r="BT42" s="6"/>
      <c r="BU42" s="6"/>
      <c r="BV42" s="36"/>
      <c r="BW42" s="36"/>
      <c r="BX42" s="36"/>
      <c r="BY42" s="36"/>
      <c r="BZ42" s="36"/>
      <c r="CA42" s="36"/>
      <c r="CB42" s="36"/>
      <c r="CC42" s="36"/>
      <c r="CD42" s="36"/>
      <c r="CE42" s="36"/>
      <c r="CF42" s="36"/>
      <c r="CG42" s="36"/>
      <c r="CH42" s="36"/>
      <c r="CI42" s="36"/>
      <c r="CJ42" s="36"/>
      <c r="CK42" s="36"/>
      <c r="CL42" s="36"/>
      <c r="CM42" s="36"/>
      <c r="CN42" s="36"/>
      <c r="CO42" s="36"/>
      <c r="CP42" s="36"/>
      <c r="CQ42" s="36"/>
      <c r="CR42" s="36"/>
      <c r="CS42" s="36"/>
      <c r="CT42" s="36"/>
      <c r="CU42" s="36"/>
      <c r="CV42" s="36"/>
      <c r="CW42" s="36"/>
      <c r="CX42" s="36"/>
      <c r="CY42" s="36"/>
      <c r="CZ42" s="36"/>
      <c r="DA42" s="36"/>
      <c r="DB42" s="36"/>
      <c r="DC42" s="36"/>
      <c r="DD42" s="36"/>
      <c r="DE42" s="36"/>
      <c r="DF42" s="36"/>
      <c r="DG42" s="36"/>
      <c r="DH42" s="36"/>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c r="EN42" s="36"/>
      <c r="EO42" s="36"/>
      <c r="EP42" s="36"/>
      <c r="EQ42" s="36"/>
      <c r="ER42" s="36"/>
      <c r="ES42" s="36"/>
      <c r="ET42" s="36"/>
      <c r="EU42" s="36"/>
      <c r="EV42" s="36"/>
      <c r="EW42" s="36"/>
      <c r="EX42" s="36"/>
      <c r="EY42" s="36">
        <v>50</v>
      </c>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6"/>
      <c r="GB42" s="6"/>
      <c r="GC42" s="36"/>
      <c r="GD42" s="36"/>
      <c r="GE42" s="36"/>
      <c r="GF42" s="36"/>
      <c r="GG42" s="36"/>
      <c r="GH42" s="36"/>
      <c r="GI42" s="36"/>
      <c r="GJ42" s="36"/>
      <c r="GK42" s="36"/>
      <c r="GL42" s="36"/>
      <c r="GM42" s="36"/>
      <c r="GN42" s="36"/>
      <c r="GO42" s="36"/>
      <c r="GP42" s="36"/>
      <c r="GQ42" s="36"/>
      <c r="GR42" s="36"/>
      <c r="GS42" s="36"/>
      <c r="GT42" s="36"/>
      <c r="GU42" s="36"/>
      <c r="GV42" s="6"/>
      <c r="GW42" s="36"/>
      <c r="GX42" s="36"/>
      <c r="GY42" s="36"/>
      <c r="GZ42" s="36"/>
      <c r="HA42" s="36"/>
      <c r="HB42" s="36"/>
      <c r="HC42" s="36"/>
      <c r="HD42" s="36"/>
      <c r="HE42" s="36"/>
      <c r="HF42" s="36"/>
      <c r="HG42" s="36"/>
      <c r="HH42" s="36"/>
      <c r="HI42" s="36"/>
      <c r="HJ42" s="36"/>
      <c r="HK42" s="36"/>
      <c r="HL42" s="36"/>
      <c r="HM42" s="36"/>
      <c r="HN42" s="36"/>
      <c r="HO42" s="36"/>
      <c r="HP42" s="36"/>
      <c r="HQ42" s="36"/>
      <c r="HR42" s="36"/>
      <c r="HS42" s="36"/>
      <c r="HT42" s="36"/>
      <c r="HU42" s="36"/>
      <c r="HV42" s="36"/>
      <c r="HW42" s="36"/>
      <c r="HX42" s="36"/>
      <c r="HY42" s="36"/>
      <c r="HZ42" s="36"/>
      <c r="IA42" s="36"/>
      <c r="IB42" s="36"/>
      <c r="IC42" s="36"/>
      <c r="ID42" s="36"/>
      <c r="IE42" s="36"/>
      <c r="IF42" s="36"/>
      <c r="IG42" s="36"/>
      <c r="IH42" s="36"/>
      <c r="II42" s="36"/>
      <c r="IJ42" s="36"/>
      <c r="IK42" s="36"/>
      <c r="IL42" s="36"/>
      <c r="IM42" s="36"/>
      <c r="IN42" s="36"/>
      <c r="IO42" s="36"/>
      <c r="IP42" s="36"/>
      <c r="IR42" s="2" t="s">
        <v>542</v>
      </c>
    </row>
    <row r="43" spans="1:252" ht="15.75" customHeight="1" x14ac:dyDescent="0.3">
      <c r="A43" s="36" t="s">
        <v>545</v>
      </c>
      <c r="B43" s="25" t="s">
        <v>546</v>
      </c>
      <c r="C43" s="25"/>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v>10</v>
      </c>
      <c r="BP43" s="6">
        <v>15</v>
      </c>
      <c r="BQ43" s="6"/>
      <c r="BR43" s="6"/>
      <c r="BS43" s="6"/>
      <c r="BT43" s="6"/>
      <c r="BU43" s="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c r="EM43" s="36"/>
      <c r="EN43" s="36"/>
      <c r="EO43" s="36"/>
      <c r="EP43" s="36"/>
      <c r="EQ43" s="36"/>
      <c r="ER43" s="36"/>
      <c r="ES43" s="36"/>
      <c r="ET43" s="36"/>
      <c r="EU43" s="36"/>
      <c r="EV43" s="36"/>
      <c r="EW43" s="36"/>
      <c r="EX43" s="36"/>
      <c r="EY43" s="36"/>
      <c r="EZ43" s="36"/>
      <c r="FA43" s="36"/>
      <c r="FB43" s="36"/>
      <c r="FC43" s="36"/>
      <c r="FD43" s="36"/>
      <c r="FE43" s="36"/>
      <c r="FF43" s="36"/>
      <c r="FG43" s="36"/>
      <c r="FH43" s="36"/>
      <c r="FI43" s="36"/>
      <c r="FJ43" s="36"/>
      <c r="FK43" s="36"/>
      <c r="FL43" s="36"/>
      <c r="FM43" s="36"/>
      <c r="FN43" s="36"/>
      <c r="FO43" s="36"/>
      <c r="FP43" s="36"/>
      <c r="FQ43" s="36"/>
      <c r="FR43" s="36"/>
      <c r="FS43" s="36"/>
      <c r="FT43" s="36"/>
      <c r="FU43" s="36"/>
      <c r="FV43" s="36"/>
      <c r="FW43" s="36"/>
      <c r="FX43" s="36"/>
      <c r="FY43" s="36"/>
      <c r="FZ43" s="36"/>
      <c r="GA43" s="6"/>
      <c r="GB43" s="6"/>
      <c r="GC43" s="36"/>
      <c r="GD43" s="36"/>
      <c r="GE43" s="36"/>
      <c r="GF43" s="36"/>
      <c r="GG43" s="36"/>
      <c r="GH43" s="36"/>
      <c r="GI43" s="36"/>
      <c r="GJ43" s="36"/>
      <c r="GK43" s="36"/>
      <c r="GL43" s="36"/>
      <c r="GM43" s="36"/>
      <c r="GN43" s="36"/>
      <c r="GO43" s="36"/>
      <c r="GP43" s="36"/>
      <c r="GQ43" s="36"/>
      <c r="GR43" s="36"/>
      <c r="GS43" s="36"/>
      <c r="GT43" s="36">
        <v>25</v>
      </c>
      <c r="GU43" s="36"/>
      <c r="GV43" s="6"/>
      <c r="GW43" s="36"/>
      <c r="GX43" s="36"/>
      <c r="GY43" s="36"/>
      <c r="GZ43" s="36"/>
      <c r="HA43" s="36"/>
      <c r="HB43" s="36"/>
      <c r="HC43" s="36"/>
      <c r="HD43" s="36"/>
      <c r="HE43" s="36"/>
      <c r="HF43" s="36"/>
      <c r="HG43" s="36"/>
      <c r="HH43" s="36"/>
      <c r="HI43" s="36"/>
      <c r="HJ43" s="36"/>
      <c r="HK43" s="36"/>
      <c r="HL43" s="36"/>
      <c r="HM43" s="36"/>
      <c r="HN43" s="36"/>
      <c r="HO43" s="36"/>
      <c r="HP43" s="36"/>
      <c r="HQ43" s="36">
        <v>50</v>
      </c>
      <c r="HR43" s="36"/>
      <c r="HS43" s="36"/>
      <c r="HT43" s="36"/>
      <c r="HU43" s="36"/>
      <c r="HV43" s="36"/>
      <c r="HW43" s="36"/>
      <c r="HX43" s="36"/>
      <c r="HY43" s="36"/>
      <c r="HZ43" s="36"/>
      <c r="IA43" s="36"/>
      <c r="IB43" s="36"/>
      <c r="IC43" s="36"/>
      <c r="ID43" s="36"/>
      <c r="IE43" s="36"/>
      <c r="IF43" s="36"/>
      <c r="IG43" s="36"/>
      <c r="IH43" s="36"/>
      <c r="II43" s="36"/>
      <c r="IJ43" s="36"/>
      <c r="IK43" s="36"/>
      <c r="IL43" s="36"/>
      <c r="IM43" s="36"/>
      <c r="IN43" s="36"/>
      <c r="IO43" s="36"/>
      <c r="IP43" s="36"/>
      <c r="IR43" s="2" t="s">
        <v>543</v>
      </c>
    </row>
    <row r="44" spans="1:252" ht="15.75" customHeight="1" x14ac:dyDescent="0.25">
      <c r="A44" s="36" t="s">
        <v>545</v>
      </c>
      <c r="B44" s="36"/>
      <c r="C44" s="36"/>
      <c r="D44" s="36"/>
      <c r="E44" s="36"/>
      <c r="F44" s="36"/>
      <c r="G44" s="36"/>
      <c r="H44" s="36">
        <v>15</v>
      </c>
      <c r="I44" s="36"/>
      <c r="J44" s="36"/>
      <c r="K44" s="36"/>
      <c r="L44" s="36"/>
      <c r="M44" s="36">
        <v>10</v>
      </c>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v>10</v>
      </c>
      <c r="BP44" s="6"/>
      <c r="BQ44" s="6"/>
      <c r="BR44" s="6"/>
      <c r="BS44" s="6"/>
      <c r="BT44" s="6"/>
      <c r="BU44" s="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6"/>
      <c r="GB44" s="6"/>
      <c r="GC44" s="36"/>
      <c r="GD44" s="36"/>
      <c r="GE44" s="36"/>
      <c r="GF44" s="36"/>
      <c r="GG44" s="36"/>
      <c r="GH44" s="36"/>
      <c r="GI44" s="36"/>
      <c r="GJ44" s="36"/>
      <c r="GK44" s="36"/>
      <c r="GL44" s="36"/>
      <c r="GM44" s="36"/>
      <c r="GN44" s="36"/>
      <c r="GO44" s="36"/>
      <c r="GP44" s="36"/>
      <c r="GQ44" s="36"/>
      <c r="GR44" s="36"/>
      <c r="GS44" s="36"/>
      <c r="GT44" s="36"/>
      <c r="GU44" s="36"/>
      <c r="GV44" s="6"/>
      <c r="GW44" s="36"/>
      <c r="GX44" s="36"/>
      <c r="GY44" s="36"/>
      <c r="GZ44" s="36"/>
      <c r="HA44" s="36"/>
      <c r="HB44" s="36"/>
      <c r="HC44" s="36"/>
      <c r="HD44" s="36"/>
      <c r="HE44" s="36"/>
      <c r="HF44" s="36"/>
      <c r="HG44" s="36"/>
      <c r="HH44" s="36"/>
      <c r="HI44" s="36"/>
      <c r="HJ44" s="36"/>
      <c r="HK44" s="36"/>
      <c r="HL44" s="36"/>
      <c r="HM44" s="36"/>
      <c r="HN44" s="36"/>
      <c r="HO44" s="36"/>
      <c r="HP44" s="36"/>
      <c r="HQ44" s="36"/>
      <c r="HR44" s="36"/>
      <c r="HS44" s="36"/>
      <c r="HT44" s="36"/>
      <c r="HU44" s="36"/>
      <c r="HV44" s="36"/>
      <c r="HW44" s="36"/>
      <c r="HX44" s="36"/>
      <c r="HY44" s="36"/>
      <c r="HZ44" s="36"/>
      <c r="IA44" s="36"/>
      <c r="IB44" s="36"/>
      <c r="IC44" s="36"/>
      <c r="ID44" s="36"/>
      <c r="IE44" s="36"/>
      <c r="IF44" s="36"/>
      <c r="IG44" s="36"/>
      <c r="IH44" s="36"/>
      <c r="II44" s="36"/>
      <c r="IJ44" s="36"/>
      <c r="IK44" s="36"/>
      <c r="IL44" s="36"/>
      <c r="IM44" s="36"/>
      <c r="IN44" s="36"/>
      <c r="IO44" s="36"/>
      <c r="IP44" s="36"/>
      <c r="IR44" s="2" t="s">
        <v>542</v>
      </c>
    </row>
    <row r="45" spans="1:252" ht="15.75" customHeight="1" x14ac:dyDescent="0.25">
      <c r="A45" s="36" t="s">
        <v>548</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6"/>
      <c r="BQ45" s="6"/>
      <c r="BR45" s="6"/>
      <c r="BS45" s="6"/>
      <c r="BT45" s="6"/>
      <c r="BU45" s="6"/>
      <c r="BV45" s="36"/>
      <c r="BW45" s="36"/>
      <c r="BX45" s="36"/>
      <c r="BY45" s="36"/>
      <c r="BZ45" s="36"/>
      <c r="CA45" s="36"/>
      <c r="CB45" s="36"/>
      <c r="CC45" s="36"/>
      <c r="CD45" s="36"/>
      <c r="CE45" s="36"/>
      <c r="CF45" s="36"/>
      <c r="CG45" s="36"/>
      <c r="CH45" s="36"/>
      <c r="CI45" s="36"/>
      <c r="CJ45" s="36"/>
      <c r="CK45" s="36"/>
      <c r="CL45" s="36"/>
      <c r="CM45" s="36"/>
      <c r="CN45" s="36"/>
      <c r="CO45" s="36"/>
      <c r="CP45" s="36"/>
      <c r="CQ45" s="36"/>
      <c r="CR45" s="36"/>
      <c r="CS45" s="36"/>
      <c r="CT45" s="36"/>
      <c r="CU45" s="36"/>
      <c r="CV45" s="36"/>
      <c r="CW45" s="36"/>
      <c r="CX45" s="36"/>
      <c r="CY45" s="36"/>
      <c r="CZ45" s="36"/>
      <c r="DA45" s="36"/>
      <c r="DB45" s="36"/>
      <c r="DC45" s="36"/>
      <c r="DD45" s="36"/>
      <c r="DE45" s="36"/>
      <c r="DF45" s="36"/>
      <c r="DG45" s="36"/>
      <c r="DH45" s="36"/>
      <c r="DI45" s="36"/>
      <c r="DJ45" s="36"/>
      <c r="DK45" s="36"/>
      <c r="DL45" s="36"/>
      <c r="DM45" s="36"/>
      <c r="DN45" s="36"/>
      <c r="DO45" s="36"/>
      <c r="DP45" s="36"/>
      <c r="DQ45" s="36"/>
      <c r="DR45" s="36"/>
      <c r="DS45" s="36"/>
      <c r="DT45" s="36"/>
      <c r="DU45" s="36"/>
      <c r="DV45" s="36"/>
      <c r="DW45" s="36"/>
      <c r="DX45" s="36"/>
      <c r="DY45" s="36"/>
      <c r="DZ45" s="36"/>
      <c r="EA45" s="36"/>
      <c r="EB45" s="36"/>
      <c r="EC45" s="36"/>
      <c r="ED45" s="36"/>
      <c r="EE45" s="36"/>
      <c r="EF45" s="36"/>
      <c r="EG45" s="36"/>
      <c r="EH45" s="36"/>
      <c r="EI45" s="36"/>
      <c r="EJ45" s="36"/>
      <c r="EK45" s="36"/>
      <c r="EL45" s="36"/>
      <c r="EM45" s="36"/>
      <c r="EN45" s="36"/>
      <c r="EO45" s="36"/>
      <c r="EP45" s="36"/>
      <c r="EQ45" s="36"/>
      <c r="ER45" s="36"/>
      <c r="ES45" s="36"/>
      <c r="ET45" s="36"/>
      <c r="EU45" s="36"/>
      <c r="EV45" s="36"/>
      <c r="EW45" s="36"/>
      <c r="EX45" s="36"/>
      <c r="EY45" s="36"/>
      <c r="EZ45" s="36"/>
      <c r="FA45" s="36"/>
      <c r="FB45" s="36"/>
      <c r="FC45" s="36"/>
      <c r="FD45" s="36"/>
      <c r="FE45" s="36"/>
      <c r="FF45" s="36"/>
      <c r="FG45" s="36"/>
      <c r="FH45" s="36"/>
      <c r="FI45" s="36"/>
      <c r="FJ45" s="36"/>
      <c r="FK45" s="36"/>
      <c r="FL45" s="36"/>
      <c r="FM45" s="36"/>
      <c r="FN45" s="36"/>
      <c r="FO45" s="36"/>
      <c r="FP45" s="36"/>
      <c r="FQ45" s="36"/>
      <c r="FR45" s="36"/>
      <c r="FS45" s="36"/>
      <c r="FT45" s="36"/>
      <c r="FU45" s="36"/>
      <c r="FV45" s="36"/>
      <c r="FW45" s="36"/>
      <c r="FX45" s="36"/>
      <c r="FY45" s="36"/>
      <c r="FZ45" s="36"/>
      <c r="GA45" s="6"/>
      <c r="GB45" s="6">
        <v>447</v>
      </c>
      <c r="GC45" s="36"/>
      <c r="GD45" s="36"/>
      <c r="GE45" s="36"/>
      <c r="GF45" s="36"/>
      <c r="GG45" s="36"/>
      <c r="GH45" s="36"/>
      <c r="GI45" s="36"/>
      <c r="GJ45" s="36"/>
      <c r="GK45" s="36"/>
      <c r="GL45" s="36"/>
      <c r="GM45" s="36"/>
      <c r="GN45" s="36"/>
      <c r="GO45" s="36"/>
      <c r="GP45" s="36"/>
      <c r="GQ45" s="36"/>
      <c r="GR45" s="36"/>
      <c r="GS45" s="36"/>
      <c r="GT45" s="36"/>
      <c r="GU45" s="36"/>
      <c r="GV45" s="6"/>
      <c r="GW45" s="36"/>
      <c r="GX45" s="36"/>
      <c r="GY45" s="36"/>
      <c r="GZ45" s="36"/>
      <c r="HA45" s="36"/>
      <c r="HB45" s="36"/>
      <c r="HC45" s="36"/>
      <c r="HD45" s="36"/>
      <c r="HE45" s="36"/>
      <c r="HF45" s="36"/>
      <c r="HG45" s="36"/>
      <c r="HH45" s="36"/>
      <c r="HI45" s="36"/>
      <c r="HJ45" s="36"/>
      <c r="HK45" s="36"/>
      <c r="HL45" s="36"/>
      <c r="HM45" s="36"/>
      <c r="HN45" s="36"/>
      <c r="HO45" s="36"/>
      <c r="HP45" s="36"/>
      <c r="HQ45" s="36"/>
      <c r="HR45" s="36"/>
      <c r="HS45" s="36"/>
      <c r="HT45" s="36"/>
      <c r="HU45" s="36"/>
      <c r="HV45" s="36"/>
      <c r="HW45" s="36"/>
      <c r="HX45" s="36"/>
      <c r="HY45" s="36"/>
      <c r="HZ45" s="36"/>
      <c r="IA45" s="36"/>
      <c r="IB45" s="36"/>
      <c r="IC45" s="36"/>
      <c r="ID45" s="36"/>
      <c r="IE45" s="36"/>
      <c r="IF45" s="36"/>
      <c r="IG45" s="36"/>
      <c r="IH45" s="36"/>
      <c r="II45" s="36"/>
      <c r="IJ45" s="36"/>
      <c r="IK45" s="36"/>
      <c r="IL45" s="36"/>
      <c r="IM45" s="36"/>
      <c r="IN45" s="36"/>
      <c r="IO45" s="36"/>
      <c r="IP45" s="36"/>
      <c r="IR45" s="2" t="s">
        <v>542</v>
      </c>
    </row>
    <row r="46" spans="1:252" ht="15.75" customHeight="1" x14ac:dyDescent="0.25">
      <c r="A46" s="36" t="s">
        <v>550</v>
      </c>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6"/>
      <c r="BQ46" s="6"/>
      <c r="BR46" s="6"/>
      <c r="BS46" s="6"/>
      <c r="BT46" s="6"/>
      <c r="BU46" s="6"/>
      <c r="BV46" s="36"/>
      <c r="BW46" s="36"/>
      <c r="BX46" s="36"/>
      <c r="BY46" s="36"/>
      <c r="BZ46" s="36"/>
      <c r="CA46" s="36"/>
      <c r="CB46" s="36"/>
      <c r="CC46" s="36"/>
      <c r="CD46" s="36"/>
      <c r="CE46" s="36"/>
      <c r="CF46" s="36"/>
      <c r="CG46" s="36"/>
      <c r="CH46" s="36"/>
      <c r="CI46" s="36"/>
      <c r="CJ46" s="36"/>
      <c r="CK46" s="36"/>
      <c r="CL46" s="36"/>
      <c r="CM46" s="36"/>
      <c r="CN46" s="36"/>
      <c r="CO46" s="36"/>
      <c r="CP46" s="36"/>
      <c r="CQ46" s="36"/>
      <c r="CR46" s="36"/>
      <c r="CS46" s="36"/>
      <c r="CT46" s="36"/>
      <c r="CU46" s="36"/>
      <c r="CV46" s="36"/>
      <c r="CW46" s="36"/>
      <c r="CX46" s="36"/>
      <c r="CY46" s="36"/>
      <c r="CZ46" s="36">
        <v>4</v>
      </c>
      <c r="DA46" s="36"/>
      <c r="DB46" s="36"/>
      <c r="DC46" s="36">
        <v>4</v>
      </c>
      <c r="DD46" s="36"/>
      <c r="DE46" s="36"/>
      <c r="DF46" s="36"/>
      <c r="DG46" s="36"/>
      <c r="DH46" s="36"/>
      <c r="DI46" s="36"/>
      <c r="DJ46" s="36"/>
      <c r="DK46" s="36"/>
      <c r="DL46" s="36"/>
      <c r="DM46" s="36"/>
      <c r="DN46" s="36"/>
      <c r="DO46" s="36"/>
      <c r="DP46" s="36"/>
      <c r="DQ46" s="36"/>
      <c r="DR46" s="36"/>
      <c r="DS46" s="36"/>
      <c r="DT46" s="36"/>
      <c r="DU46" s="36"/>
      <c r="DV46" s="36"/>
      <c r="DW46" s="36"/>
      <c r="DX46" s="36"/>
      <c r="DY46" s="36">
        <v>4</v>
      </c>
      <c r="DZ46" s="36"/>
      <c r="EA46" s="36"/>
      <c r="EB46" s="36"/>
      <c r="EC46" s="36"/>
      <c r="ED46" s="36"/>
      <c r="EE46" s="36">
        <v>5</v>
      </c>
      <c r="EF46" s="36">
        <v>11</v>
      </c>
      <c r="EG46" s="36"/>
      <c r="EH46" s="36"/>
      <c r="EI46" s="36">
        <v>7</v>
      </c>
      <c r="EJ46" s="36"/>
      <c r="EK46" s="36"/>
      <c r="EL46" s="36"/>
      <c r="EM46" s="36"/>
      <c r="EN46" s="36"/>
      <c r="EO46" s="36"/>
      <c r="EP46" s="36"/>
      <c r="EQ46" s="36"/>
      <c r="ER46" s="36"/>
      <c r="ES46" s="36"/>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6"/>
      <c r="GB46" s="6"/>
      <c r="GC46" s="36"/>
      <c r="GD46" s="36"/>
      <c r="GE46" s="36"/>
      <c r="GF46" s="36"/>
      <c r="GG46" s="36"/>
      <c r="GH46" s="36"/>
      <c r="GI46" s="36"/>
      <c r="GJ46" s="36"/>
      <c r="GK46" s="36"/>
      <c r="GL46" s="36"/>
      <c r="GM46" s="36"/>
      <c r="GN46" s="36"/>
      <c r="GO46" s="36"/>
      <c r="GP46" s="36"/>
      <c r="GQ46" s="36"/>
      <c r="GR46" s="36"/>
      <c r="GS46" s="36"/>
      <c r="GT46" s="36"/>
      <c r="GU46" s="36"/>
      <c r="GV46" s="6"/>
      <c r="GW46" s="36"/>
      <c r="GX46" s="36"/>
      <c r="GY46" s="36"/>
      <c r="GZ46" s="36"/>
      <c r="HA46" s="36"/>
      <c r="HB46" s="36"/>
      <c r="HC46" s="36"/>
      <c r="HD46" s="36"/>
      <c r="HE46" s="36"/>
      <c r="HF46" s="36"/>
      <c r="HG46" s="36"/>
      <c r="HH46" s="36"/>
      <c r="HI46" s="36"/>
      <c r="HJ46" s="36"/>
      <c r="HK46" s="36"/>
      <c r="HL46" s="36"/>
      <c r="HM46" s="36"/>
      <c r="HN46" s="36"/>
      <c r="HO46" s="36"/>
      <c r="HP46" s="36"/>
      <c r="HQ46" s="36"/>
      <c r="HR46" s="36"/>
      <c r="HS46" s="36"/>
      <c r="HT46" s="36"/>
      <c r="HU46" s="36"/>
      <c r="HV46" s="36"/>
      <c r="HW46" s="36"/>
      <c r="HX46" s="36"/>
      <c r="HY46" s="36"/>
      <c r="HZ46" s="36"/>
      <c r="IA46" s="36"/>
      <c r="IB46" s="36"/>
      <c r="IC46" s="36"/>
      <c r="ID46" s="36"/>
      <c r="IE46" s="36"/>
      <c r="IF46" s="36"/>
      <c r="IG46" s="36"/>
      <c r="IH46" s="36"/>
      <c r="II46" s="36"/>
      <c r="IJ46" s="36"/>
      <c r="IK46" s="36"/>
      <c r="IL46" s="36"/>
      <c r="IM46" s="36"/>
      <c r="IN46" s="36"/>
      <c r="IO46" s="36"/>
      <c r="IP46" s="36"/>
      <c r="IR46" s="2" t="s">
        <v>542</v>
      </c>
    </row>
    <row r="47" spans="1:252" ht="15.75" customHeight="1" x14ac:dyDescent="0.3">
      <c r="A47" s="36" t="s">
        <v>551</v>
      </c>
      <c r="B47" s="25" t="s">
        <v>552</v>
      </c>
      <c r="C47" s="25"/>
      <c r="D47" s="36"/>
      <c r="E47" s="36"/>
      <c r="F47" s="36"/>
      <c r="G47" s="36"/>
      <c r="H47" s="36"/>
      <c r="I47" s="36"/>
      <c r="J47" s="36"/>
      <c r="K47" s="36"/>
      <c r="L47" s="36"/>
      <c r="M47" s="36"/>
      <c r="N47" s="36"/>
      <c r="O47" s="36">
        <v>10</v>
      </c>
      <c r="P47" s="36"/>
      <c r="Q47" s="36"/>
      <c r="R47" s="36"/>
      <c r="S47" s="36"/>
      <c r="T47" s="36"/>
      <c r="U47" s="36"/>
      <c r="V47" s="36"/>
      <c r="W47" s="36"/>
      <c r="X47" s="212">
        <v>15</v>
      </c>
      <c r="Y47" s="212"/>
      <c r="Z47" s="212"/>
      <c r="AA47" s="212"/>
      <c r="AB47" s="212"/>
      <c r="AC47" s="36"/>
      <c r="AD47" s="36"/>
      <c r="AE47" s="36">
        <v>15</v>
      </c>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6"/>
      <c r="BQ47" s="6"/>
      <c r="BR47" s="6"/>
      <c r="BS47" s="6"/>
      <c r="BT47" s="6"/>
      <c r="BU47" s="6"/>
      <c r="BV47" s="36"/>
      <c r="BW47" s="36"/>
      <c r="BX47" s="36"/>
      <c r="BY47" s="36"/>
      <c r="BZ47" s="36"/>
      <c r="CA47" s="36"/>
      <c r="CB47" s="36"/>
      <c r="CC47" s="36"/>
      <c r="CD47" s="36"/>
      <c r="CE47" s="36"/>
      <c r="CF47" s="36"/>
      <c r="CG47" s="36"/>
      <c r="CH47" s="36"/>
      <c r="CI47" s="36"/>
      <c r="CJ47" s="36"/>
      <c r="CK47" s="36"/>
      <c r="CL47" s="36"/>
      <c r="CM47" s="36"/>
      <c r="CN47" s="36"/>
      <c r="CO47" s="36"/>
      <c r="CP47" s="36"/>
      <c r="CQ47" s="36"/>
      <c r="CR47" s="36"/>
      <c r="CS47" s="36"/>
      <c r="CT47" s="36"/>
      <c r="CU47" s="36"/>
      <c r="CV47" s="36"/>
      <c r="CW47" s="36"/>
      <c r="CX47" s="36"/>
      <c r="CY47" s="36"/>
      <c r="CZ47" s="36"/>
      <c r="DA47" s="36"/>
      <c r="DB47" s="36"/>
      <c r="DC47" s="36"/>
      <c r="DD47" s="36"/>
      <c r="DE47" s="36"/>
      <c r="DF47" s="36"/>
      <c r="DG47" s="36"/>
      <c r="DH47" s="36"/>
      <c r="DI47" s="36"/>
      <c r="DJ47" s="36"/>
      <c r="DK47" s="36"/>
      <c r="DL47" s="36"/>
      <c r="DM47" s="36"/>
      <c r="DN47" s="36"/>
      <c r="DO47" s="36"/>
      <c r="DP47" s="36"/>
      <c r="DQ47" s="36"/>
      <c r="DR47" s="36"/>
      <c r="DS47" s="36"/>
      <c r="DT47" s="36"/>
      <c r="DU47" s="36"/>
      <c r="DV47" s="36"/>
      <c r="DW47" s="36"/>
      <c r="DX47" s="36"/>
      <c r="DY47" s="36"/>
      <c r="DZ47" s="36"/>
      <c r="EA47" s="36"/>
      <c r="EB47" s="36"/>
      <c r="EC47" s="36"/>
      <c r="ED47" s="36"/>
      <c r="EE47" s="36"/>
      <c r="EF47" s="36"/>
      <c r="EG47" s="36"/>
      <c r="EH47" s="36"/>
      <c r="EI47" s="36"/>
      <c r="EJ47" s="36"/>
      <c r="EK47" s="36"/>
      <c r="EL47" s="36"/>
      <c r="EM47" s="36"/>
      <c r="EN47" s="36"/>
      <c r="EO47" s="36"/>
      <c r="EP47" s="36"/>
      <c r="EQ47" s="36"/>
      <c r="ER47" s="36"/>
      <c r="ES47" s="36"/>
      <c r="ET47" s="36"/>
      <c r="EU47" s="36"/>
      <c r="EV47" s="36"/>
      <c r="EW47" s="36"/>
      <c r="EX47" s="36"/>
      <c r="EY47" s="36"/>
      <c r="EZ47" s="36"/>
      <c r="FA47" s="36"/>
      <c r="FB47" s="36"/>
      <c r="FC47" s="36"/>
      <c r="FD47" s="36"/>
      <c r="FE47" s="36"/>
      <c r="FF47" s="36"/>
      <c r="FG47" s="36"/>
      <c r="FH47" s="36"/>
      <c r="FI47" s="36"/>
      <c r="FJ47" s="36"/>
      <c r="FK47" s="36"/>
      <c r="FL47" s="36"/>
      <c r="FM47" s="36"/>
      <c r="FN47" s="36"/>
      <c r="FO47" s="36"/>
      <c r="FP47" s="36"/>
      <c r="FQ47" s="36"/>
      <c r="FR47" s="36"/>
      <c r="FS47" s="36"/>
      <c r="FT47" s="36"/>
      <c r="FU47" s="36"/>
      <c r="FV47" s="36"/>
      <c r="FW47" s="36"/>
      <c r="FX47" s="36"/>
      <c r="FY47" s="36"/>
      <c r="FZ47" s="36"/>
      <c r="GA47" s="6"/>
      <c r="GB47" s="6"/>
      <c r="GC47" s="36"/>
      <c r="GD47" s="36"/>
      <c r="GE47" s="36"/>
      <c r="GF47" s="36"/>
      <c r="GG47" s="36"/>
      <c r="GH47" s="36"/>
      <c r="GI47" s="36"/>
      <c r="GJ47" s="36"/>
      <c r="GK47" s="36"/>
      <c r="GL47" s="36"/>
      <c r="GM47" s="36"/>
      <c r="GN47" s="36"/>
      <c r="GO47" s="36"/>
      <c r="GP47" s="36"/>
      <c r="GQ47" s="36"/>
      <c r="GR47" s="36"/>
      <c r="GS47" s="36"/>
      <c r="GT47" s="36"/>
      <c r="GU47" s="36"/>
      <c r="GV47" s="6"/>
      <c r="GW47" s="36"/>
      <c r="GX47" s="36"/>
      <c r="GY47" s="36"/>
      <c r="GZ47" s="36"/>
      <c r="HA47" s="36"/>
      <c r="HB47" s="36"/>
      <c r="HC47" s="36"/>
      <c r="HD47" s="36"/>
      <c r="HE47" s="36"/>
      <c r="HF47" s="36"/>
      <c r="HG47" s="36"/>
      <c r="HH47" s="36"/>
      <c r="HI47" s="36"/>
      <c r="HJ47" s="36"/>
      <c r="HK47" s="36"/>
      <c r="HL47" s="36"/>
      <c r="HM47" s="36"/>
      <c r="HN47" s="36"/>
      <c r="HO47" s="36"/>
      <c r="HP47" s="36"/>
      <c r="HQ47" s="36"/>
      <c r="HR47" s="36"/>
      <c r="HS47" s="36"/>
      <c r="HT47" s="36"/>
      <c r="HU47" s="36"/>
      <c r="HV47" s="36"/>
      <c r="HW47" s="36"/>
      <c r="HX47" s="36"/>
      <c r="HY47" s="36"/>
      <c r="HZ47" s="36"/>
      <c r="IA47" s="36"/>
      <c r="IB47" s="36"/>
      <c r="IC47" s="36"/>
      <c r="ID47" s="36"/>
      <c r="IE47" s="36"/>
      <c r="IF47" s="36"/>
      <c r="IG47" s="36"/>
      <c r="IH47" s="36"/>
      <c r="II47" s="36"/>
      <c r="IJ47" s="36"/>
      <c r="IK47" s="36"/>
      <c r="IL47" s="36"/>
      <c r="IM47" s="36"/>
      <c r="IN47" s="36"/>
      <c r="IO47" s="36"/>
      <c r="IP47" s="36"/>
      <c r="IR47" s="2" t="s">
        <v>543</v>
      </c>
    </row>
    <row r="48" spans="1:252" ht="15.75" customHeight="1" x14ac:dyDescent="0.3">
      <c r="A48" s="36" t="s">
        <v>553</v>
      </c>
      <c r="B48" s="25" t="s">
        <v>554</v>
      </c>
      <c r="C48" s="25"/>
      <c r="D48" s="36"/>
      <c r="E48" s="36"/>
      <c r="F48" s="36"/>
      <c r="G48" s="36"/>
      <c r="H48" s="36"/>
      <c r="I48" s="36"/>
      <c r="J48" s="36"/>
      <c r="K48" s="36"/>
      <c r="L48" s="36"/>
      <c r="M48" s="36"/>
      <c r="N48" s="36"/>
      <c r="O48" s="36">
        <v>45</v>
      </c>
      <c r="P48" s="36"/>
      <c r="Q48" s="36"/>
      <c r="R48" s="36"/>
      <c r="S48" s="36"/>
      <c r="T48" s="36"/>
      <c r="U48" s="36"/>
      <c r="V48" s="36"/>
      <c r="W48" s="36"/>
      <c r="X48" s="212">
        <v>15</v>
      </c>
      <c r="Y48" s="212"/>
      <c r="Z48" s="212"/>
      <c r="AA48" s="212"/>
      <c r="AB48" s="212"/>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6"/>
      <c r="BQ48" s="6"/>
      <c r="BR48" s="6"/>
      <c r="BS48" s="6"/>
      <c r="BT48" s="6"/>
      <c r="BU48" s="6"/>
      <c r="BV48" s="36"/>
      <c r="BW48" s="36"/>
      <c r="BX48" s="36"/>
      <c r="BY48" s="36"/>
      <c r="BZ48" s="36"/>
      <c r="CA48" s="36"/>
      <c r="CB48" s="36"/>
      <c r="CC48" s="36"/>
      <c r="CD48" s="36"/>
      <c r="CE48" s="36"/>
      <c r="CF48" s="36"/>
      <c r="CG48" s="36"/>
      <c r="CH48" s="36"/>
      <c r="CI48" s="36"/>
      <c r="CJ48" s="36"/>
      <c r="CK48" s="36"/>
      <c r="CL48" s="36"/>
      <c r="CM48" s="36"/>
      <c r="CN48" s="36"/>
      <c r="CO48" s="36"/>
      <c r="CP48" s="36"/>
      <c r="CQ48" s="36"/>
      <c r="CR48" s="36"/>
      <c r="CS48" s="36"/>
      <c r="CT48" s="36"/>
      <c r="CU48" s="36"/>
      <c r="CV48" s="36"/>
      <c r="CW48" s="36"/>
      <c r="CX48" s="36"/>
      <c r="CY48" s="36"/>
      <c r="CZ48" s="36"/>
      <c r="DA48" s="36"/>
      <c r="DB48" s="36"/>
      <c r="DC48" s="36"/>
      <c r="DD48" s="36"/>
      <c r="DE48" s="36"/>
      <c r="DF48" s="36"/>
      <c r="DG48" s="36"/>
      <c r="DH48" s="36"/>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c r="EK48" s="36"/>
      <c r="EL48" s="36"/>
      <c r="EM48" s="36"/>
      <c r="EN48" s="36"/>
      <c r="EO48" s="36"/>
      <c r="EP48" s="36"/>
      <c r="EQ48" s="36"/>
      <c r="ER48" s="36"/>
      <c r="ES48" s="36"/>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6"/>
      <c r="GB48" s="6"/>
      <c r="GC48" s="36"/>
      <c r="GD48" s="36"/>
      <c r="GE48" s="36"/>
      <c r="GF48" s="36"/>
      <c r="GG48" s="36"/>
      <c r="GH48" s="36"/>
      <c r="GI48" s="36"/>
      <c r="GJ48" s="36"/>
      <c r="GK48" s="36"/>
      <c r="GL48" s="36"/>
      <c r="GM48" s="36"/>
      <c r="GN48" s="36"/>
      <c r="GO48" s="36"/>
      <c r="GP48" s="36"/>
      <c r="GQ48" s="36"/>
      <c r="GR48" s="36"/>
      <c r="GS48" s="36"/>
      <c r="GT48" s="36"/>
      <c r="GU48" s="36"/>
      <c r="GV48" s="6"/>
      <c r="GW48" s="36"/>
      <c r="GX48" s="36"/>
      <c r="GY48" s="36"/>
      <c r="GZ48" s="36"/>
      <c r="HA48" s="36"/>
      <c r="HB48" s="36"/>
      <c r="HC48" s="36"/>
      <c r="HD48" s="36"/>
      <c r="HE48" s="36"/>
      <c r="HF48" s="36"/>
      <c r="HG48" s="36"/>
      <c r="HH48" s="36"/>
      <c r="HI48" s="36"/>
      <c r="HJ48" s="36"/>
      <c r="HK48" s="36"/>
      <c r="HL48" s="36"/>
      <c r="HM48" s="36"/>
      <c r="HN48" s="36"/>
      <c r="HO48" s="36"/>
      <c r="HP48" s="36"/>
      <c r="HQ48" s="36"/>
      <c r="HR48" s="36"/>
      <c r="HS48" s="36"/>
      <c r="HT48" s="36"/>
      <c r="HU48" s="36"/>
      <c r="HV48" s="36"/>
      <c r="HW48" s="36"/>
      <c r="HX48" s="36"/>
      <c r="HY48" s="36"/>
      <c r="HZ48" s="36"/>
      <c r="IA48" s="36"/>
      <c r="IB48" s="36"/>
      <c r="IC48" s="36"/>
      <c r="ID48" s="36"/>
      <c r="IE48" s="36"/>
      <c r="IF48" s="36"/>
      <c r="IG48" s="36"/>
      <c r="IH48" s="36"/>
      <c r="II48" s="36"/>
      <c r="IJ48" s="36"/>
      <c r="IK48" s="36"/>
      <c r="IL48" s="36"/>
      <c r="IM48" s="36"/>
      <c r="IN48" s="36"/>
      <c r="IO48" s="36"/>
      <c r="IP48" s="36"/>
      <c r="IR48" s="2" t="s">
        <v>543</v>
      </c>
    </row>
    <row r="49" spans="1:252" ht="15.75" customHeight="1" x14ac:dyDescent="0.25">
      <c r="A49" s="36" t="s">
        <v>555</v>
      </c>
      <c r="B49" s="36"/>
      <c r="C49" s="36"/>
      <c r="D49" s="36">
        <v>10</v>
      </c>
      <c r="E49" s="36"/>
      <c r="F49" s="36"/>
      <c r="G49" s="36"/>
      <c r="H49" s="36"/>
      <c r="I49" s="36"/>
      <c r="J49" s="36"/>
      <c r="K49" s="36"/>
      <c r="L49" s="36"/>
      <c r="M49" s="36"/>
      <c r="N49" s="36"/>
      <c r="O49" s="36"/>
      <c r="P49" s="36"/>
      <c r="Q49" s="36">
        <v>5</v>
      </c>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6"/>
      <c r="BQ49" s="6"/>
      <c r="BR49" s="6"/>
      <c r="BS49" s="6"/>
      <c r="BT49" s="6"/>
      <c r="BU49" s="6"/>
      <c r="BV49" s="36"/>
      <c r="BW49" s="36"/>
      <c r="BX49" s="36"/>
      <c r="BY49" s="36"/>
      <c r="BZ49" s="36"/>
      <c r="CA49" s="36"/>
      <c r="CB49" s="36"/>
      <c r="CC49" s="36"/>
      <c r="CD49" s="36"/>
      <c r="CE49" s="36"/>
      <c r="CF49" s="36"/>
      <c r="CG49" s="36"/>
      <c r="CH49" s="36"/>
      <c r="CI49" s="36"/>
      <c r="CJ49" s="36"/>
      <c r="CK49" s="36"/>
      <c r="CL49" s="36"/>
      <c r="CM49" s="36"/>
      <c r="CN49" s="36"/>
      <c r="CO49" s="36"/>
      <c r="CP49" s="36"/>
      <c r="CQ49" s="36"/>
      <c r="CR49" s="36"/>
      <c r="CS49" s="36"/>
      <c r="CT49" s="36"/>
      <c r="CU49" s="36"/>
      <c r="CV49" s="36"/>
      <c r="CW49" s="36"/>
      <c r="CX49" s="36"/>
      <c r="CY49" s="36"/>
      <c r="CZ49" s="36"/>
      <c r="DA49" s="36"/>
      <c r="DB49" s="36"/>
      <c r="DC49" s="36"/>
      <c r="DD49" s="36"/>
      <c r="DE49" s="36"/>
      <c r="DF49" s="36"/>
      <c r="DG49" s="36"/>
      <c r="DH49" s="36"/>
      <c r="DI49" s="36"/>
      <c r="DJ49" s="36"/>
      <c r="DK49" s="36"/>
      <c r="DL49" s="36"/>
      <c r="DM49" s="36"/>
      <c r="DN49" s="36"/>
      <c r="DO49" s="36"/>
      <c r="DP49" s="36"/>
      <c r="DQ49" s="36"/>
      <c r="DR49" s="36"/>
      <c r="DS49" s="36"/>
      <c r="DT49" s="36"/>
      <c r="DU49" s="36"/>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S49" s="36"/>
      <c r="ET49" s="36"/>
      <c r="EU49" s="36"/>
      <c r="EV49" s="36"/>
      <c r="EW49" s="36"/>
      <c r="EX49" s="36"/>
      <c r="EY49" s="36"/>
      <c r="EZ49" s="36"/>
      <c r="FA49" s="36"/>
      <c r="FB49" s="36"/>
      <c r="FC49" s="36"/>
      <c r="FD49" s="36"/>
      <c r="FE49" s="36"/>
      <c r="FF49" s="36"/>
      <c r="FG49" s="36"/>
      <c r="FH49" s="36"/>
      <c r="FI49" s="36"/>
      <c r="FJ49" s="36"/>
      <c r="FK49" s="36"/>
      <c r="FL49" s="36"/>
      <c r="FM49" s="36"/>
      <c r="FN49" s="36"/>
      <c r="FO49" s="36"/>
      <c r="FP49" s="36"/>
      <c r="FQ49" s="36"/>
      <c r="FR49" s="36"/>
      <c r="FS49" s="36"/>
      <c r="FT49" s="36"/>
      <c r="FU49" s="36"/>
      <c r="FV49" s="36"/>
      <c r="FW49" s="36"/>
      <c r="FX49" s="36"/>
      <c r="FY49" s="36"/>
      <c r="FZ49" s="36"/>
      <c r="GA49" s="6">
        <v>100</v>
      </c>
      <c r="GB49" s="6"/>
      <c r="GC49" s="36">
        <v>200</v>
      </c>
      <c r="GD49" s="36"/>
      <c r="GE49" s="36"/>
      <c r="GF49" s="36"/>
      <c r="GG49" s="36"/>
      <c r="GH49" s="36"/>
      <c r="GI49" s="36"/>
      <c r="GJ49" s="36"/>
      <c r="GK49" s="36">
        <v>25</v>
      </c>
      <c r="GL49" s="36">
        <v>25</v>
      </c>
      <c r="GM49" s="36"/>
      <c r="GN49" s="36"/>
      <c r="GO49" s="36"/>
      <c r="GP49" s="36"/>
      <c r="GQ49" s="36"/>
      <c r="GR49" s="36"/>
      <c r="GS49" s="36"/>
      <c r="GT49" s="36"/>
      <c r="GU49" s="36"/>
      <c r="GV49" s="6"/>
      <c r="GW49" s="36"/>
      <c r="GX49" s="36"/>
      <c r="GY49" s="36"/>
      <c r="GZ49" s="36"/>
      <c r="HA49" s="36"/>
      <c r="HB49" s="36"/>
      <c r="HC49" s="36"/>
      <c r="HD49" s="36"/>
      <c r="HE49" s="36"/>
      <c r="HF49" s="36"/>
      <c r="HG49" s="36"/>
      <c r="HH49" s="36"/>
      <c r="HI49" s="36"/>
      <c r="HJ49" s="36"/>
      <c r="HK49" s="36"/>
      <c r="HL49" s="36"/>
      <c r="HM49" s="36"/>
      <c r="HN49" s="36"/>
      <c r="HO49" s="36"/>
      <c r="HP49" s="36"/>
      <c r="HQ49" s="36"/>
      <c r="HR49" s="36"/>
      <c r="HS49" s="36"/>
      <c r="HT49" s="36"/>
      <c r="HU49" s="36"/>
      <c r="HV49" s="36"/>
      <c r="HW49" s="36"/>
      <c r="HX49" s="36"/>
      <c r="HY49" s="36"/>
      <c r="HZ49" s="36"/>
      <c r="IA49" s="36"/>
      <c r="IB49" s="36"/>
      <c r="IC49" s="36"/>
      <c r="ID49" s="36"/>
      <c r="IE49" s="36"/>
      <c r="IF49" s="36"/>
      <c r="IG49" s="36"/>
      <c r="IH49" s="36"/>
      <c r="II49" s="36"/>
      <c r="IJ49" s="36"/>
      <c r="IK49" s="36"/>
      <c r="IL49" s="36"/>
      <c r="IM49" s="36"/>
      <c r="IN49" s="36"/>
      <c r="IO49" s="36"/>
      <c r="IP49" s="36"/>
      <c r="IR49" s="2" t="s">
        <v>542</v>
      </c>
    </row>
    <row r="50" spans="1:252" ht="15.75" customHeight="1" x14ac:dyDescent="0.25">
      <c r="A50" s="36" t="s">
        <v>497</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v>10</v>
      </c>
      <c r="AF50" s="36">
        <v>5</v>
      </c>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6"/>
      <c r="BQ50" s="6"/>
      <c r="BR50" s="6"/>
      <c r="BS50" s="6"/>
      <c r="BT50" s="6"/>
      <c r="BU50" s="6"/>
      <c r="BV50" s="36"/>
      <c r="BW50" s="36"/>
      <c r="BX50" s="36"/>
      <c r="BY50" s="36"/>
      <c r="BZ50" s="36"/>
      <c r="CA50" s="36"/>
      <c r="CB50" s="36"/>
      <c r="CC50" s="36"/>
      <c r="CD50" s="36"/>
      <c r="CE50" s="36"/>
      <c r="CF50" s="36"/>
      <c r="CG50" s="36"/>
      <c r="CH50" s="36"/>
      <c r="CI50" s="36"/>
      <c r="CJ50" s="36"/>
      <c r="CK50" s="36"/>
      <c r="CL50" s="36"/>
      <c r="CM50" s="36"/>
      <c r="CN50" s="36"/>
      <c r="CO50" s="36"/>
      <c r="CP50" s="36"/>
      <c r="CQ50" s="36"/>
      <c r="CR50" s="36"/>
      <c r="CS50" s="36"/>
      <c r="CT50" s="36"/>
      <c r="CU50" s="36"/>
      <c r="CV50" s="36"/>
      <c r="CW50" s="36"/>
      <c r="CX50" s="36"/>
      <c r="CY50" s="36"/>
      <c r="CZ50" s="36"/>
      <c r="DA50" s="36"/>
      <c r="DB50" s="36"/>
      <c r="DC50" s="36"/>
      <c r="DD50" s="36"/>
      <c r="DE50" s="36"/>
      <c r="DF50" s="36"/>
      <c r="DG50" s="36"/>
      <c r="DH50" s="36"/>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c r="EH50" s="36"/>
      <c r="EI50" s="36"/>
      <c r="EJ50" s="36"/>
      <c r="EK50" s="36"/>
      <c r="EL50" s="36"/>
      <c r="EM50" s="36"/>
      <c r="EN50" s="36"/>
      <c r="EO50" s="36"/>
      <c r="EP50" s="36">
        <v>25</v>
      </c>
      <c r="EQ50" s="36"/>
      <c r="ER50" s="36"/>
      <c r="ES50" s="36">
        <v>1</v>
      </c>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6"/>
      <c r="GB50" s="6"/>
      <c r="GC50" s="36"/>
      <c r="GD50" s="36"/>
      <c r="GE50" s="36"/>
      <c r="GF50" s="36"/>
      <c r="GG50" s="36"/>
      <c r="GH50" s="36"/>
      <c r="GI50" s="36"/>
      <c r="GJ50" s="36"/>
      <c r="GK50" s="36"/>
      <c r="GL50" s="36"/>
      <c r="GM50" s="36"/>
      <c r="GN50" s="36"/>
      <c r="GO50" s="36"/>
      <c r="GP50" s="36"/>
      <c r="GQ50" s="36"/>
      <c r="GR50" s="36"/>
      <c r="GS50" s="36"/>
      <c r="GT50" s="36"/>
      <c r="GU50" s="36"/>
      <c r="GV50" s="6"/>
      <c r="GW50" s="36"/>
      <c r="GX50" s="36"/>
      <c r="GY50" s="36"/>
      <c r="GZ50" s="36"/>
      <c r="HA50" s="36"/>
      <c r="HB50" s="36"/>
      <c r="HC50" s="36"/>
      <c r="HD50" s="36"/>
      <c r="HE50" s="36"/>
      <c r="HF50" s="36"/>
      <c r="HG50" s="36"/>
      <c r="HH50" s="36"/>
      <c r="HI50" s="36"/>
      <c r="HJ50" s="36"/>
      <c r="HK50" s="36"/>
      <c r="HL50" s="36"/>
      <c r="HM50" s="36"/>
      <c r="HN50" s="36"/>
      <c r="HO50" s="36"/>
      <c r="HP50" s="36"/>
      <c r="HQ50" s="36"/>
      <c r="HR50" s="36"/>
      <c r="HS50" s="36"/>
      <c r="HT50" s="36"/>
      <c r="HU50" s="36"/>
      <c r="HV50" s="36"/>
      <c r="HW50" s="36"/>
      <c r="HX50" s="36">
        <v>480</v>
      </c>
      <c r="HY50" s="36"/>
      <c r="HZ50" s="36"/>
      <c r="IA50" s="36"/>
      <c r="IB50" s="36"/>
      <c r="IC50" s="36"/>
      <c r="ID50" s="36"/>
      <c r="IE50" s="36"/>
      <c r="IF50" s="36"/>
      <c r="IG50" s="36"/>
      <c r="IH50" s="36"/>
      <c r="II50" s="36"/>
      <c r="IJ50" s="36"/>
      <c r="IK50" s="36"/>
      <c r="IL50" s="36"/>
      <c r="IM50" s="36"/>
      <c r="IN50" s="36"/>
      <c r="IO50" s="36"/>
      <c r="IP50" s="36"/>
      <c r="IR50" s="2" t="s">
        <v>542</v>
      </c>
    </row>
    <row r="51" spans="1:252" ht="15.75" customHeight="1" x14ac:dyDescent="0.25">
      <c r="A51" s="36" t="s">
        <v>497</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6"/>
      <c r="BQ51" s="6"/>
      <c r="BR51" s="6"/>
      <c r="BS51" s="6"/>
      <c r="BT51" s="6"/>
      <c r="BU51" s="6"/>
      <c r="BV51" s="36"/>
      <c r="BW51" s="36"/>
      <c r="BX51" s="36"/>
      <c r="BY51" s="36"/>
      <c r="BZ51" s="36"/>
      <c r="CA51" s="36"/>
      <c r="CB51" s="36"/>
      <c r="CC51" s="36"/>
      <c r="CD51" s="36"/>
      <c r="CE51" s="36"/>
      <c r="CF51" s="36"/>
      <c r="CG51" s="36"/>
      <c r="CH51" s="36"/>
      <c r="CI51" s="36"/>
      <c r="CJ51" s="36"/>
      <c r="CK51" s="36"/>
      <c r="CL51" s="36"/>
      <c r="CM51" s="36"/>
      <c r="CN51" s="36">
        <v>48</v>
      </c>
      <c r="CO51" s="36"/>
      <c r="CP51" s="36"/>
      <c r="CQ51" s="36"/>
      <c r="CR51" s="36"/>
      <c r="CS51" s="36"/>
      <c r="CT51" s="36"/>
      <c r="CU51" s="36"/>
      <c r="CV51" s="36"/>
      <c r="CW51" s="36"/>
      <c r="CX51" s="36"/>
      <c r="CY51" s="36"/>
      <c r="CZ51" s="36"/>
      <c r="DA51" s="36"/>
      <c r="DB51" s="36"/>
      <c r="DC51" s="36"/>
      <c r="DD51" s="36"/>
      <c r="DE51" s="36"/>
      <c r="DF51" s="36"/>
      <c r="DG51" s="36"/>
      <c r="DH51" s="36"/>
      <c r="DI51" s="36"/>
      <c r="DJ51" s="36"/>
      <c r="DK51" s="36"/>
      <c r="DL51" s="36"/>
      <c r="DM51" s="36"/>
      <c r="DN51" s="36"/>
      <c r="DO51" s="36"/>
      <c r="DP51" s="36"/>
      <c r="DQ51" s="36"/>
      <c r="DR51" s="36"/>
      <c r="DS51" s="36"/>
      <c r="DT51" s="36"/>
      <c r="DU51" s="36"/>
      <c r="DV51" s="36"/>
      <c r="DW51" s="36"/>
      <c r="DX51" s="36"/>
      <c r="DY51" s="36"/>
      <c r="DZ51" s="36"/>
      <c r="EA51" s="36"/>
      <c r="EB51" s="36"/>
      <c r="EC51" s="36"/>
      <c r="ED51" s="36"/>
      <c r="EE51" s="36"/>
      <c r="EF51" s="36"/>
      <c r="EG51" s="36"/>
      <c r="EH51" s="36"/>
      <c r="EI51" s="36"/>
      <c r="EJ51" s="36"/>
      <c r="EK51" s="36"/>
      <c r="EL51" s="36"/>
      <c r="EM51" s="36"/>
      <c r="EN51" s="36"/>
      <c r="EO51" s="36"/>
      <c r="EP51" s="36">
        <v>5</v>
      </c>
      <c r="EQ51" s="36"/>
      <c r="ER51" s="36"/>
      <c r="ES51" s="36">
        <v>25</v>
      </c>
      <c r="ET51" s="36">
        <v>50</v>
      </c>
      <c r="EU51" s="36"/>
      <c r="EV51" s="36"/>
      <c r="EW51" s="36">
        <v>200</v>
      </c>
      <c r="EX51" s="36"/>
      <c r="EY51" s="36"/>
      <c r="EZ51" s="36"/>
      <c r="FA51" s="36"/>
      <c r="FB51" s="36"/>
      <c r="FC51" s="36"/>
      <c r="FD51" s="36"/>
      <c r="FE51" s="36"/>
      <c r="FF51" s="36"/>
      <c r="FG51" s="36"/>
      <c r="FH51" s="36"/>
      <c r="FI51" s="36"/>
      <c r="FJ51" s="36"/>
      <c r="FK51" s="36"/>
      <c r="FL51" s="36"/>
      <c r="FM51" s="36"/>
      <c r="FN51" s="36"/>
      <c r="FO51" s="36"/>
      <c r="FP51" s="36"/>
      <c r="FQ51" s="36"/>
      <c r="FR51" s="36"/>
      <c r="FS51" s="36"/>
      <c r="FT51" s="36"/>
      <c r="FU51" s="36"/>
      <c r="FV51" s="36"/>
      <c r="FW51" s="36"/>
      <c r="FX51" s="36"/>
      <c r="FY51" s="36"/>
      <c r="FZ51" s="36"/>
      <c r="GA51" s="6"/>
      <c r="GB51" s="6"/>
      <c r="GC51" s="36"/>
      <c r="GD51" s="36"/>
      <c r="GE51" s="36"/>
      <c r="GF51" s="36"/>
      <c r="GG51" s="36"/>
      <c r="GH51" s="36"/>
      <c r="GI51" s="36"/>
      <c r="GJ51" s="36"/>
      <c r="GK51" s="36"/>
      <c r="GL51" s="36"/>
      <c r="GM51" s="36"/>
      <c r="GN51" s="36"/>
      <c r="GO51" s="36"/>
      <c r="GP51" s="36"/>
      <c r="GQ51" s="36"/>
      <c r="GR51" s="36"/>
      <c r="GS51" s="36"/>
      <c r="GT51" s="36"/>
      <c r="GU51" s="36"/>
      <c r="GV51" s="6"/>
      <c r="GW51" s="36"/>
      <c r="GX51" s="36"/>
      <c r="GY51" s="36"/>
      <c r="GZ51" s="36"/>
      <c r="HA51" s="36"/>
      <c r="HB51" s="36"/>
      <c r="HC51" s="36"/>
      <c r="HD51" s="36"/>
      <c r="HE51" s="36"/>
      <c r="HF51" s="36"/>
      <c r="HG51" s="36"/>
      <c r="HH51" s="36"/>
      <c r="HI51" s="36"/>
      <c r="HJ51" s="36"/>
      <c r="HK51" s="36"/>
      <c r="HL51" s="36"/>
      <c r="HM51" s="36"/>
      <c r="HN51" s="36"/>
      <c r="HO51" s="36"/>
      <c r="HP51" s="36"/>
      <c r="HQ51" s="36"/>
      <c r="HR51" s="36"/>
      <c r="HS51" s="36"/>
      <c r="HT51" s="36"/>
      <c r="HU51" s="36"/>
      <c r="HV51" s="36"/>
      <c r="HW51" s="36"/>
      <c r="HX51" s="36">
        <v>480</v>
      </c>
      <c r="HY51" s="36"/>
      <c r="HZ51" s="36"/>
      <c r="IA51" s="36"/>
      <c r="IB51" s="36"/>
      <c r="IC51" s="36"/>
      <c r="ID51" s="36"/>
      <c r="IE51" s="36"/>
      <c r="IF51" s="36"/>
      <c r="IG51" s="36"/>
      <c r="IH51" s="36"/>
      <c r="II51" s="36"/>
      <c r="IJ51" s="36"/>
      <c r="IK51" s="36"/>
      <c r="IL51" s="36"/>
      <c r="IM51" s="36"/>
      <c r="IN51" s="36"/>
      <c r="IO51" s="36"/>
      <c r="IP51" s="36"/>
      <c r="IR51" s="2" t="s">
        <v>542</v>
      </c>
    </row>
    <row r="52" spans="1:252" ht="15.75" customHeight="1" x14ac:dyDescent="0.25">
      <c r="A52" s="36" t="s">
        <v>497</v>
      </c>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6"/>
      <c r="BQ52" s="6"/>
      <c r="BR52" s="6"/>
      <c r="BS52" s="6"/>
      <c r="BT52" s="6"/>
      <c r="BU52" s="6"/>
      <c r="BV52" s="36"/>
      <c r="BW52" s="36"/>
      <c r="BX52" s="36"/>
      <c r="BY52" s="36"/>
      <c r="BZ52" s="36"/>
      <c r="CA52" s="36"/>
      <c r="CB52" s="36"/>
      <c r="CC52" s="36"/>
      <c r="CD52" s="36"/>
      <c r="CE52" s="36"/>
      <c r="CF52" s="36"/>
      <c r="CG52" s="36"/>
      <c r="CH52" s="36"/>
      <c r="CI52" s="36"/>
      <c r="CJ52" s="36"/>
      <c r="CK52" s="36"/>
      <c r="CL52" s="36"/>
      <c r="CM52" s="36"/>
      <c r="CN52" s="36">
        <v>8</v>
      </c>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36"/>
      <c r="EI52" s="36"/>
      <c r="EJ52" s="36"/>
      <c r="EK52" s="36"/>
      <c r="EL52" s="36"/>
      <c r="EM52" s="36"/>
      <c r="EN52" s="36">
        <v>60</v>
      </c>
      <c r="EO52" s="36"/>
      <c r="EP52" s="36"/>
      <c r="EQ52" s="36"/>
      <c r="ER52" s="36"/>
      <c r="ES52" s="36">
        <v>5</v>
      </c>
      <c r="ET52" s="36"/>
      <c r="EU52" s="36"/>
      <c r="EV52" s="36"/>
      <c r="EW52" s="36"/>
      <c r="EX52" s="36"/>
      <c r="EY52" s="36"/>
      <c r="EZ52" s="36"/>
      <c r="FA52" s="36"/>
      <c r="FB52" s="36"/>
      <c r="FC52" s="36"/>
      <c r="FD52" s="36"/>
      <c r="FE52" s="36"/>
      <c r="FF52" s="36"/>
      <c r="FG52" s="36"/>
      <c r="FH52" s="36"/>
      <c r="FI52" s="36"/>
      <c r="FJ52" s="36"/>
      <c r="FK52" s="36"/>
      <c r="FL52" s="36"/>
      <c r="FM52" s="36"/>
      <c r="FN52" s="36"/>
      <c r="FO52" s="36"/>
      <c r="FP52" s="36"/>
      <c r="FQ52" s="36"/>
      <c r="FR52" s="36"/>
      <c r="FS52" s="36"/>
      <c r="FT52" s="36"/>
      <c r="FU52" s="36"/>
      <c r="FV52" s="36"/>
      <c r="FW52" s="36"/>
      <c r="FX52" s="36"/>
      <c r="FY52" s="36"/>
      <c r="FZ52" s="36"/>
      <c r="GA52" s="6"/>
      <c r="GB52" s="6"/>
      <c r="GC52" s="36"/>
      <c r="GD52" s="36"/>
      <c r="GE52" s="36"/>
      <c r="GF52" s="36"/>
      <c r="GG52" s="36"/>
      <c r="GH52" s="36"/>
      <c r="GI52" s="36"/>
      <c r="GJ52" s="36"/>
      <c r="GK52" s="36"/>
      <c r="GL52" s="36"/>
      <c r="GM52" s="36"/>
      <c r="GN52" s="36"/>
      <c r="GO52" s="36"/>
      <c r="GP52" s="36"/>
      <c r="GQ52" s="36"/>
      <c r="GR52" s="36"/>
      <c r="GS52" s="36"/>
      <c r="GT52" s="36"/>
      <c r="GU52" s="36"/>
      <c r="GV52" s="6"/>
      <c r="GW52" s="36"/>
      <c r="GX52" s="36"/>
      <c r="GY52" s="36"/>
      <c r="GZ52" s="36"/>
      <c r="HA52" s="36"/>
      <c r="HB52" s="36"/>
      <c r="HC52" s="36"/>
      <c r="HD52" s="36"/>
      <c r="HE52" s="36"/>
      <c r="HF52" s="36"/>
      <c r="HG52" s="36"/>
      <c r="HH52" s="36"/>
      <c r="HI52" s="36"/>
      <c r="HJ52" s="36"/>
      <c r="HK52" s="36"/>
      <c r="HL52" s="36"/>
      <c r="HM52" s="36"/>
      <c r="HN52" s="36"/>
      <c r="HO52" s="36"/>
      <c r="HP52" s="36"/>
      <c r="HQ52" s="36"/>
      <c r="HR52" s="36"/>
      <c r="HS52" s="36"/>
      <c r="HT52" s="36"/>
      <c r="HU52" s="36"/>
      <c r="HV52" s="36"/>
      <c r="HW52" s="36"/>
      <c r="HX52" s="36"/>
      <c r="HY52" s="36"/>
      <c r="HZ52" s="36"/>
      <c r="IA52" s="36"/>
      <c r="IB52" s="36"/>
      <c r="IC52" s="36"/>
      <c r="ID52" s="36"/>
      <c r="IE52" s="36"/>
      <c r="IF52" s="36"/>
      <c r="IG52" s="36"/>
      <c r="IH52" s="36"/>
      <c r="II52" s="36"/>
      <c r="IJ52" s="36"/>
      <c r="IK52" s="36"/>
      <c r="IL52" s="36"/>
      <c r="IM52" s="36"/>
      <c r="IN52" s="36"/>
      <c r="IO52" s="36"/>
      <c r="IP52" s="36"/>
      <c r="IR52" s="2" t="s">
        <v>542</v>
      </c>
    </row>
    <row r="53" spans="1:252" ht="15.75" customHeight="1" x14ac:dyDescent="0.25">
      <c r="A53" s="36" t="s">
        <v>558</v>
      </c>
      <c r="B53" s="36" t="s">
        <v>559</v>
      </c>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6"/>
      <c r="BQ53" s="6"/>
      <c r="BR53" s="6"/>
      <c r="BS53" s="6"/>
      <c r="BT53" s="6"/>
      <c r="BU53" s="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6"/>
      <c r="GB53" s="6"/>
      <c r="GC53" s="36"/>
      <c r="GD53" s="36"/>
      <c r="GE53" s="36"/>
      <c r="GF53" s="36"/>
      <c r="GG53" s="36"/>
      <c r="GH53" s="36"/>
      <c r="GI53" s="36"/>
      <c r="GJ53" s="36"/>
      <c r="GK53" s="36"/>
      <c r="GL53" s="36"/>
      <c r="GM53" s="36"/>
      <c r="GN53" s="36"/>
      <c r="GO53" s="36"/>
      <c r="GP53" s="36"/>
      <c r="GQ53" s="36"/>
      <c r="GR53" s="36"/>
      <c r="GS53" s="36"/>
      <c r="GT53" s="36"/>
      <c r="GU53" s="36"/>
      <c r="GV53" s="6"/>
      <c r="GW53" s="36"/>
      <c r="GX53" s="36"/>
      <c r="GY53" s="36"/>
      <c r="GZ53" s="36"/>
      <c r="HA53" s="36"/>
      <c r="HB53" s="36"/>
      <c r="HC53" s="36"/>
      <c r="HD53" s="36"/>
      <c r="HE53" s="36"/>
      <c r="HF53" s="36"/>
      <c r="HG53" s="36"/>
      <c r="HH53" s="36"/>
      <c r="HI53" s="36"/>
      <c r="HJ53" s="36"/>
      <c r="HK53" s="36"/>
      <c r="HL53" s="36"/>
      <c r="HM53" s="36"/>
      <c r="HN53" s="36"/>
      <c r="HO53" s="36"/>
      <c r="HP53" s="36"/>
      <c r="HQ53" s="36"/>
      <c r="HR53" s="36"/>
      <c r="HS53" s="36"/>
      <c r="HT53" s="36"/>
      <c r="HU53" s="36"/>
      <c r="HV53" s="36"/>
      <c r="HW53" s="36"/>
      <c r="HX53" s="36">
        <v>960</v>
      </c>
      <c r="HY53" s="36"/>
      <c r="HZ53" s="36"/>
      <c r="IA53" s="36"/>
      <c r="IB53" s="36"/>
      <c r="IC53" s="36"/>
      <c r="ID53" s="36"/>
      <c r="IE53" s="36"/>
      <c r="IF53" s="36"/>
      <c r="IG53" s="36"/>
      <c r="IH53" s="36"/>
      <c r="II53" s="36"/>
      <c r="IJ53" s="36"/>
      <c r="IK53" s="36"/>
      <c r="IL53" s="36"/>
      <c r="IM53" s="36"/>
      <c r="IN53" s="36"/>
      <c r="IO53" s="36"/>
      <c r="IP53" s="36"/>
      <c r="IR53" s="2" t="s">
        <v>543</v>
      </c>
    </row>
    <row r="54" spans="1:252" ht="15.75" customHeight="1" x14ac:dyDescent="0.25">
      <c r="A54" s="36" t="s">
        <v>561</v>
      </c>
      <c r="B54" s="36" t="s">
        <v>562</v>
      </c>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6"/>
      <c r="BQ54" s="6"/>
      <c r="BR54" s="6"/>
      <c r="BS54" s="6"/>
      <c r="BT54" s="6"/>
      <c r="BU54" s="6"/>
      <c r="BV54" s="36"/>
      <c r="BW54" s="36"/>
      <c r="BX54" s="36"/>
      <c r="BY54" s="36"/>
      <c r="BZ54" s="36"/>
      <c r="CA54" s="36"/>
      <c r="CB54" s="36"/>
      <c r="CC54" s="36"/>
      <c r="CD54" s="36"/>
      <c r="CE54" s="36"/>
      <c r="CF54" s="36"/>
      <c r="CG54" s="36"/>
      <c r="CH54" s="36"/>
      <c r="CI54" s="36"/>
      <c r="CJ54" s="36"/>
      <c r="CK54" s="36"/>
      <c r="CL54" s="36"/>
      <c r="CM54" s="36"/>
      <c r="CN54" s="36">
        <v>8</v>
      </c>
      <c r="CO54" s="36"/>
      <c r="CP54" s="36"/>
      <c r="CQ54" s="36"/>
      <c r="CR54" s="36"/>
      <c r="CS54" s="36"/>
      <c r="CT54" s="36"/>
      <c r="CU54" s="36"/>
      <c r="CV54" s="36"/>
      <c r="CW54" s="36"/>
      <c r="CX54" s="36"/>
      <c r="CY54" s="36"/>
      <c r="CZ54" s="36"/>
      <c r="DA54" s="36"/>
      <c r="DB54" s="36"/>
      <c r="DC54" s="36"/>
      <c r="DD54" s="36"/>
      <c r="DE54" s="36"/>
      <c r="DF54" s="36"/>
      <c r="DG54" s="36"/>
      <c r="DH54" s="36"/>
      <c r="DI54" s="36"/>
      <c r="DJ54" s="36"/>
      <c r="DK54" s="36"/>
      <c r="DL54" s="36"/>
      <c r="DM54" s="36"/>
      <c r="DN54" s="36"/>
      <c r="DO54" s="36"/>
      <c r="DP54" s="36"/>
      <c r="DQ54" s="36">
        <v>4</v>
      </c>
      <c r="DR54" s="36"/>
      <c r="DS54" s="36"/>
      <c r="DT54" s="36"/>
      <c r="DU54" s="36"/>
      <c r="DV54" s="36"/>
      <c r="DW54" s="36"/>
      <c r="DX54" s="36"/>
      <c r="DY54" s="36"/>
      <c r="DZ54" s="36"/>
      <c r="EA54" s="36"/>
      <c r="EB54" s="36"/>
      <c r="EC54" s="36"/>
      <c r="ED54" s="36"/>
      <c r="EE54" s="36"/>
      <c r="EF54" s="36"/>
      <c r="EG54" s="36"/>
      <c r="EH54" s="36"/>
      <c r="EI54" s="36"/>
      <c r="EJ54" s="36"/>
      <c r="EK54" s="36"/>
      <c r="EL54" s="36"/>
      <c r="EM54" s="36"/>
      <c r="EN54" s="36"/>
      <c r="EO54" s="36"/>
      <c r="EP54" s="36">
        <v>5</v>
      </c>
      <c r="EQ54" s="36"/>
      <c r="ER54" s="36"/>
      <c r="ES54" s="36">
        <v>2</v>
      </c>
      <c r="ET54" s="36">
        <v>2</v>
      </c>
      <c r="EU54" s="36"/>
      <c r="EV54" s="36"/>
      <c r="EW54" s="36"/>
      <c r="EX54" s="36"/>
      <c r="EY54" s="36"/>
      <c r="EZ54" s="36"/>
      <c r="FA54" s="36"/>
      <c r="FB54" s="36"/>
      <c r="FC54" s="36"/>
      <c r="FD54" s="36"/>
      <c r="FE54" s="36"/>
      <c r="FF54" s="36"/>
      <c r="FG54" s="36"/>
      <c r="FH54" s="36"/>
      <c r="FI54" s="36"/>
      <c r="FJ54" s="36"/>
      <c r="FK54" s="36"/>
      <c r="FL54" s="36"/>
      <c r="FM54" s="36"/>
      <c r="FN54" s="36"/>
      <c r="FO54" s="36"/>
      <c r="FP54" s="36"/>
      <c r="FQ54" s="36"/>
      <c r="FR54" s="36"/>
      <c r="FS54" s="36"/>
      <c r="FT54" s="36"/>
      <c r="FU54" s="36"/>
      <c r="FV54" s="36"/>
      <c r="FW54" s="36"/>
      <c r="FX54" s="36"/>
      <c r="FY54" s="36"/>
      <c r="FZ54" s="36"/>
      <c r="GA54" s="6">
        <v>200</v>
      </c>
      <c r="GB54" s="6"/>
      <c r="GC54" s="36"/>
      <c r="GD54" s="36"/>
      <c r="GE54" s="36"/>
      <c r="GF54" s="36"/>
      <c r="GG54" s="36"/>
      <c r="GH54" s="36">
        <v>10</v>
      </c>
      <c r="GI54" s="36"/>
      <c r="GJ54" s="36"/>
      <c r="GK54" s="36">
        <v>25</v>
      </c>
      <c r="GL54" s="36"/>
      <c r="GM54" s="36"/>
      <c r="GN54" s="36"/>
      <c r="GO54" s="36">
        <v>25</v>
      </c>
      <c r="GP54" s="36"/>
      <c r="GQ54" s="36"/>
      <c r="GR54" s="36"/>
      <c r="GS54" s="36"/>
      <c r="GT54" s="36"/>
      <c r="GU54" s="36"/>
      <c r="GV54" s="6"/>
      <c r="GW54" s="36"/>
      <c r="GX54" s="36"/>
      <c r="GY54" s="36"/>
      <c r="GZ54" s="36"/>
      <c r="HA54" s="36"/>
      <c r="HB54" s="36"/>
      <c r="HC54" s="36"/>
      <c r="HD54" s="36"/>
      <c r="HE54" s="36"/>
      <c r="HF54" s="36"/>
      <c r="HG54" s="36"/>
      <c r="HH54" s="36"/>
      <c r="HI54" s="36"/>
      <c r="HJ54" s="36"/>
      <c r="HK54" s="36"/>
      <c r="HL54" s="36"/>
      <c r="HM54" s="36"/>
      <c r="HN54" s="36"/>
      <c r="HO54" s="36"/>
      <c r="HP54" s="36"/>
      <c r="HQ54" s="36">
        <v>1</v>
      </c>
      <c r="HR54" s="36"/>
      <c r="HS54" s="36"/>
      <c r="HT54" s="36"/>
      <c r="HU54" s="36">
        <v>15</v>
      </c>
      <c r="HV54" s="36"/>
      <c r="HW54" s="36"/>
      <c r="HX54" s="36">
        <v>480</v>
      </c>
      <c r="HY54" s="36"/>
      <c r="HZ54" s="36"/>
      <c r="IA54" s="36"/>
      <c r="IB54" s="36"/>
      <c r="IC54" s="36"/>
      <c r="ID54" s="36"/>
      <c r="IE54" s="36"/>
      <c r="IF54" s="36"/>
      <c r="IG54" s="36"/>
      <c r="IH54" s="36"/>
      <c r="II54" s="36"/>
      <c r="IJ54" s="36"/>
      <c r="IK54" s="36"/>
      <c r="IL54" s="36"/>
      <c r="IM54" s="36"/>
      <c r="IN54" s="36"/>
      <c r="IO54" s="36"/>
      <c r="IP54" s="36"/>
      <c r="IR54" s="2" t="s">
        <v>543</v>
      </c>
    </row>
    <row r="55" spans="1:252" ht="15.75" customHeight="1" x14ac:dyDescent="0.25">
      <c r="A55" s="36" t="s">
        <v>561</v>
      </c>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6"/>
      <c r="BQ55" s="6"/>
      <c r="BR55" s="6"/>
      <c r="BS55" s="6"/>
      <c r="BT55" s="6"/>
      <c r="BU55" s="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c r="CT55" s="36"/>
      <c r="CU55" s="36"/>
      <c r="CV55" s="36"/>
      <c r="CW55" s="36"/>
      <c r="CX55" s="36"/>
      <c r="CY55" s="36"/>
      <c r="CZ55" s="36"/>
      <c r="DA55" s="36"/>
      <c r="DB55" s="36"/>
      <c r="DC55" s="36"/>
      <c r="DD55" s="36"/>
      <c r="DE55" s="36"/>
      <c r="DF55" s="36"/>
      <c r="DG55" s="36"/>
      <c r="DH55" s="36"/>
      <c r="DI55" s="36"/>
      <c r="DJ55" s="36"/>
      <c r="DK55" s="36"/>
      <c r="DL55" s="36"/>
      <c r="DM55" s="36"/>
      <c r="DN55" s="36"/>
      <c r="DO55" s="36"/>
      <c r="DP55" s="36"/>
      <c r="DQ55" s="36"/>
      <c r="DR55" s="36"/>
      <c r="DS55" s="36"/>
      <c r="DT55" s="36"/>
      <c r="DU55" s="36"/>
      <c r="DV55" s="36"/>
      <c r="DW55" s="36"/>
      <c r="DX55" s="36"/>
      <c r="DY55" s="36"/>
      <c r="DZ55" s="36"/>
      <c r="EA55" s="36"/>
      <c r="EB55" s="36"/>
      <c r="EC55" s="36"/>
      <c r="ED55" s="36"/>
      <c r="EE55" s="36"/>
      <c r="EF55" s="36"/>
      <c r="EG55" s="36"/>
      <c r="EH55" s="36"/>
      <c r="EI55" s="36"/>
      <c r="EJ55" s="36"/>
      <c r="EK55" s="36"/>
      <c r="EL55" s="36"/>
      <c r="EM55" s="36"/>
      <c r="EN55" s="36"/>
      <c r="EO55" s="36"/>
      <c r="EP55" s="36">
        <v>10</v>
      </c>
      <c r="EQ55" s="36"/>
      <c r="ER55" s="36"/>
      <c r="ES55" s="36"/>
      <c r="ET55" s="36"/>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6"/>
      <c r="GB55" s="6"/>
      <c r="GC55" s="36"/>
      <c r="GD55" s="36"/>
      <c r="GE55" s="36"/>
      <c r="GF55" s="36"/>
      <c r="GG55" s="36"/>
      <c r="GH55" s="36"/>
      <c r="GI55" s="36"/>
      <c r="GJ55" s="36"/>
      <c r="GK55" s="36"/>
      <c r="GL55" s="36"/>
      <c r="GM55" s="36"/>
      <c r="GN55" s="36"/>
      <c r="GO55" s="36"/>
      <c r="GP55" s="36"/>
      <c r="GQ55" s="36"/>
      <c r="GR55" s="36"/>
      <c r="GS55" s="36"/>
      <c r="GT55" s="36"/>
      <c r="GU55" s="36"/>
      <c r="GV55" s="6"/>
      <c r="GW55" s="36"/>
      <c r="GX55" s="36"/>
      <c r="GY55" s="36"/>
      <c r="GZ55" s="36"/>
      <c r="HA55" s="36"/>
      <c r="HB55" s="36"/>
      <c r="HC55" s="36"/>
      <c r="HD55" s="36"/>
      <c r="HE55" s="36"/>
      <c r="HF55" s="36"/>
      <c r="HG55" s="36"/>
      <c r="HH55" s="36"/>
      <c r="HI55" s="36"/>
      <c r="HJ55" s="36"/>
      <c r="HK55" s="36"/>
      <c r="HL55" s="36"/>
      <c r="HM55" s="36"/>
      <c r="HN55" s="36"/>
      <c r="HO55" s="36"/>
      <c r="HP55" s="36"/>
      <c r="HQ55" s="36"/>
      <c r="HR55" s="36"/>
      <c r="HS55" s="36"/>
      <c r="HT55" s="36"/>
      <c r="HU55" s="36"/>
      <c r="HV55" s="36"/>
      <c r="HW55" s="36"/>
      <c r="HX55" s="36"/>
      <c r="HY55" s="36"/>
      <c r="HZ55" s="36"/>
      <c r="IA55" s="36"/>
      <c r="IB55" s="36"/>
      <c r="IC55" s="36"/>
      <c r="ID55" s="36"/>
      <c r="IE55" s="36"/>
      <c r="IF55" s="36"/>
      <c r="IG55" s="36"/>
      <c r="IH55" s="36"/>
      <c r="II55" s="36"/>
      <c r="IJ55" s="36"/>
      <c r="IK55" s="36"/>
      <c r="IL55" s="36"/>
      <c r="IM55" s="36"/>
      <c r="IN55" s="36"/>
      <c r="IO55" s="36"/>
      <c r="IP55" s="36"/>
      <c r="IR55" s="2" t="s">
        <v>542</v>
      </c>
    </row>
    <row r="56" spans="1:252" ht="15.75" customHeight="1" x14ac:dyDescent="0.25">
      <c r="A56" s="36" t="s">
        <v>561</v>
      </c>
      <c r="B56" s="36" t="s">
        <v>565</v>
      </c>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6"/>
      <c r="BQ56" s="6"/>
      <c r="BR56" s="6"/>
      <c r="BS56" s="6"/>
      <c r="BT56" s="6"/>
      <c r="BU56" s="6"/>
      <c r="BV56" s="36"/>
      <c r="BW56" s="36"/>
      <c r="BX56" s="36"/>
      <c r="BY56" s="36"/>
      <c r="BZ56" s="36"/>
      <c r="CA56" s="36"/>
      <c r="CB56" s="36"/>
      <c r="CC56" s="36"/>
      <c r="CD56" s="36"/>
      <c r="CE56" s="36"/>
      <c r="CF56" s="36"/>
      <c r="CG56" s="36"/>
      <c r="CH56" s="36"/>
      <c r="CI56" s="36"/>
      <c r="CJ56" s="36"/>
      <c r="CK56" s="36"/>
      <c r="CL56" s="36"/>
      <c r="CM56" s="36"/>
      <c r="CN56" s="36"/>
      <c r="CO56" s="36"/>
      <c r="CP56" s="36"/>
      <c r="CQ56" s="36"/>
      <c r="CR56" s="36"/>
      <c r="CS56" s="36"/>
      <c r="CT56" s="36"/>
      <c r="CU56" s="36"/>
      <c r="CV56" s="36"/>
      <c r="CW56" s="36"/>
      <c r="CX56" s="36"/>
      <c r="CY56" s="36"/>
      <c r="CZ56" s="36"/>
      <c r="DA56" s="36"/>
      <c r="DB56" s="36"/>
      <c r="DC56" s="36"/>
      <c r="DD56" s="36"/>
      <c r="DE56" s="36"/>
      <c r="DF56" s="36"/>
      <c r="DG56" s="36"/>
      <c r="DH56" s="36"/>
      <c r="DI56" s="36"/>
      <c r="DJ56" s="36"/>
      <c r="DK56" s="36"/>
      <c r="DL56" s="36"/>
      <c r="DM56" s="36"/>
      <c r="DN56" s="36"/>
      <c r="DO56" s="36"/>
      <c r="DP56" s="36"/>
      <c r="DQ56" s="36"/>
      <c r="DR56" s="36"/>
      <c r="DS56" s="36"/>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S56" s="36"/>
      <c r="ET56" s="36"/>
      <c r="EU56" s="36"/>
      <c r="EV56" s="36"/>
      <c r="EW56" s="36"/>
      <c r="EX56" s="36"/>
      <c r="EY56" s="36"/>
      <c r="EZ56" s="36"/>
      <c r="FA56" s="36"/>
      <c r="FB56" s="36"/>
      <c r="FC56" s="36"/>
      <c r="FD56" s="36"/>
      <c r="FE56" s="36"/>
      <c r="FF56" s="36"/>
      <c r="FG56" s="36"/>
      <c r="FH56" s="36"/>
      <c r="FI56" s="36"/>
      <c r="FJ56" s="36"/>
      <c r="FK56" s="36"/>
      <c r="FL56" s="36"/>
      <c r="FM56" s="36"/>
      <c r="FN56" s="36"/>
      <c r="FO56" s="36"/>
      <c r="FP56" s="36"/>
      <c r="FQ56" s="36"/>
      <c r="FR56" s="36"/>
      <c r="FS56" s="36"/>
      <c r="FT56" s="36"/>
      <c r="FU56" s="36"/>
      <c r="FV56" s="36"/>
      <c r="FW56" s="36"/>
      <c r="FX56" s="36"/>
      <c r="FY56" s="36"/>
      <c r="FZ56" s="36"/>
      <c r="GA56" s="6"/>
      <c r="GB56" s="6"/>
      <c r="GC56" s="36"/>
      <c r="GD56" s="36"/>
      <c r="GE56" s="36"/>
      <c r="GF56" s="36"/>
      <c r="GG56" s="36"/>
      <c r="GH56" s="36"/>
      <c r="GI56" s="36"/>
      <c r="GJ56" s="36"/>
      <c r="GK56" s="36"/>
      <c r="GL56" s="36"/>
      <c r="GM56" s="36"/>
      <c r="GN56" s="36"/>
      <c r="GO56" s="36"/>
      <c r="GP56" s="36"/>
      <c r="GQ56" s="36"/>
      <c r="GR56" s="36"/>
      <c r="GS56" s="36"/>
      <c r="GT56" s="36"/>
      <c r="GU56" s="36"/>
      <c r="GV56" s="6"/>
      <c r="GW56" s="36"/>
      <c r="GX56" s="36"/>
      <c r="GY56" s="36"/>
      <c r="GZ56" s="36"/>
      <c r="HA56" s="36"/>
      <c r="HB56" s="36"/>
      <c r="HC56" s="36"/>
      <c r="HD56" s="36"/>
      <c r="HE56" s="36"/>
      <c r="HF56" s="36"/>
      <c r="HG56" s="36"/>
      <c r="HH56" s="36"/>
      <c r="HI56" s="36"/>
      <c r="HJ56" s="36"/>
      <c r="HK56" s="36"/>
      <c r="HL56" s="36"/>
      <c r="HM56" s="36"/>
      <c r="HN56" s="36"/>
      <c r="HO56" s="36"/>
      <c r="HP56" s="36"/>
      <c r="HQ56" s="36"/>
      <c r="HR56" s="36"/>
      <c r="HS56" s="36"/>
      <c r="HT56" s="36"/>
      <c r="HU56" s="36"/>
      <c r="HV56" s="36"/>
      <c r="HW56" s="36"/>
      <c r="HX56" s="36">
        <v>240</v>
      </c>
      <c r="HY56" s="36"/>
      <c r="HZ56" s="36"/>
      <c r="IA56" s="36"/>
      <c r="IB56" s="36"/>
      <c r="IC56" s="36"/>
      <c r="ID56" s="36"/>
      <c r="IE56" s="36"/>
      <c r="IF56" s="36"/>
      <c r="IG56" s="36"/>
      <c r="IH56" s="36"/>
      <c r="II56" s="36"/>
      <c r="IJ56" s="36"/>
      <c r="IK56" s="36"/>
      <c r="IL56" s="36"/>
      <c r="IM56" s="36"/>
      <c r="IN56" s="36"/>
      <c r="IO56" s="36"/>
      <c r="IP56" s="36"/>
      <c r="IR56" s="2" t="s">
        <v>543</v>
      </c>
    </row>
    <row r="57" spans="1:252" ht="15.75" customHeight="1" x14ac:dyDescent="0.25">
      <c r="A57" s="36" t="s">
        <v>566</v>
      </c>
      <c r="B57" s="36"/>
      <c r="C57" s="36"/>
      <c r="D57" s="36"/>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6"/>
      <c r="BQ57" s="6"/>
      <c r="BR57" s="6"/>
      <c r="BS57" s="6"/>
      <c r="BT57" s="6"/>
      <c r="BU57" s="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c r="CT57" s="36"/>
      <c r="CU57" s="36"/>
      <c r="CV57" s="36"/>
      <c r="CW57" s="36"/>
      <c r="CX57" s="36"/>
      <c r="CY57" s="36"/>
      <c r="CZ57" s="36"/>
      <c r="DA57" s="36"/>
      <c r="DB57" s="36"/>
      <c r="DC57" s="36"/>
      <c r="DD57" s="36"/>
      <c r="DE57" s="36"/>
      <c r="DF57" s="36"/>
      <c r="DG57" s="36"/>
      <c r="DH57" s="36"/>
      <c r="DI57" s="36"/>
      <c r="DJ57" s="36"/>
      <c r="DK57" s="36"/>
      <c r="DL57" s="36"/>
      <c r="DM57" s="36"/>
      <c r="DN57" s="36"/>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c r="EM57" s="36"/>
      <c r="EN57" s="36"/>
      <c r="EO57" s="36"/>
      <c r="EP57" s="36">
        <v>5</v>
      </c>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6"/>
      <c r="GB57" s="6"/>
      <c r="GC57" s="36"/>
      <c r="GD57" s="36"/>
      <c r="GE57" s="36"/>
      <c r="GF57" s="36"/>
      <c r="GG57" s="36"/>
      <c r="GH57" s="36"/>
      <c r="GI57" s="36"/>
      <c r="GJ57" s="36"/>
      <c r="GK57" s="36"/>
      <c r="GL57" s="36"/>
      <c r="GM57" s="36"/>
      <c r="GN57" s="36"/>
      <c r="GO57" s="36"/>
      <c r="GP57" s="36"/>
      <c r="GQ57" s="36"/>
      <c r="GR57" s="36"/>
      <c r="GS57" s="36"/>
      <c r="GT57" s="36"/>
      <c r="GU57" s="36"/>
      <c r="GV57" s="6"/>
      <c r="GW57" s="36"/>
      <c r="GX57" s="36"/>
      <c r="GY57" s="36"/>
      <c r="GZ57" s="36"/>
      <c r="HA57" s="36"/>
      <c r="HB57" s="36"/>
      <c r="HC57" s="36"/>
      <c r="HD57" s="36"/>
      <c r="HE57" s="36"/>
      <c r="HF57" s="36"/>
      <c r="HG57" s="36"/>
      <c r="HH57" s="36"/>
      <c r="HI57" s="36"/>
      <c r="HJ57" s="36"/>
      <c r="HK57" s="36"/>
      <c r="HL57" s="36"/>
      <c r="HM57" s="36"/>
      <c r="HN57" s="36"/>
      <c r="HO57" s="36"/>
      <c r="HP57" s="36"/>
      <c r="HQ57" s="36"/>
      <c r="HR57" s="36"/>
      <c r="HS57" s="36"/>
      <c r="HT57" s="36"/>
      <c r="HU57" s="36"/>
      <c r="HV57" s="36"/>
      <c r="HW57" s="36"/>
      <c r="HX57" s="36"/>
      <c r="HY57" s="36"/>
      <c r="HZ57" s="36"/>
      <c r="IA57" s="36"/>
      <c r="IB57" s="36"/>
      <c r="IC57" s="36"/>
      <c r="ID57" s="36"/>
      <c r="IE57" s="36"/>
      <c r="IF57" s="36"/>
      <c r="IG57" s="36"/>
      <c r="IH57" s="36"/>
      <c r="II57" s="36"/>
      <c r="IJ57" s="36"/>
      <c r="IK57" s="36"/>
      <c r="IL57" s="36"/>
      <c r="IM57" s="36"/>
      <c r="IN57" s="36"/>
      <c r="IO57" s="36"/>
      <c r="IP57" s="36"/>
      <c r="IR57" s="2" t="s">
        <v>542</v>
      </c>
    </row>
    <row r="58" spans="1:252" ht="15.75" customHeight="1" x14ac:dyDescent="0.25">
      <c r="A58" s="36" t="s">
        <v>566</v>
      </c>
      <c r="B58" s="36"/>
      <c r="C58" s="36"/>
      <c r="D58" s="36"/>
      <c r="E58" s="36"/>
      <c r="F58" s="36"/>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36"/>
      <c r="BN58" s="36"/>
      <c r="BO58" s="36"/>
      <c r="BP58" s="6"/>
      <c r="BQ58" s="6"/>
      <c r="BR58" s="6"/>
      <c r="BS58" s="6"/>
      <c r="BT58" s="6"/>
      <c r="BU58" s="6"/>
      <c r="BV58" s="36"/>
      <c r="BW58" s="36"/>
      <c r="BX58" s="36"/>
      <c r="BY58" s="36"/>
      <c r="BZ58" s="36"/>
      <c r="CA58" s="36"/>
      <c r="CB58" s="36"/>
      <c r="CC58" s="36"/>
      <c r="CD58" s="36"/>
      <c r="CE58" s="36"/>
      <c r="CF58" s="36"/>
      <c r="CG58" s="36"/>
      <c r="CH58" s="36"/>
      <c r="CI58" s="36"/>
      <c r="CJ58" s="36"/>
      <c r="CK58" s="36"/>
      <c r="CL58" s="36"/>
      <c r="CM58" s="36"/>
      <c r="CN58" s="36"/>
      <c r="CO58" s="36"/>
      <c r="CP58" s="36"/>
      <c r="CQ58" s="36"/>
      <c r="CR58" s="36"/>
      <c r="CS58" s="36"/>
      <c r="CT58" s="36"/>
      <c r="CU58" s="36"/>
      <c r="CV58" s="36"/>
      <c r="CW58" s="36"/>
      <c r="CX58" s="36"/>
      <c r="CY58" s="36"/>
      <c r="CZ58" s="36"/>
      <c r="DA58" s="36"/>
      <c r="DB58" s="36"/>
      <c r="DC58" s="36"/>
      <c r="DD58" s="36"/>
      <c r="DE58" s="36"/>
      <c r="DF58" s="36"/>
      <c r="DG58" s="36"/>
      <c r="DH58" s="36"/>
      <c r="DI58" s="36"/>
      <c r="DJ58" s="36"/>
      <c r="DK58" s="36"/>
      <c r="DL58" s="36"/>
      <c r="DM58" s="36"/>
      <c r="DN58" s="36"/>
      <c r="DO58" s="36"/>
      <c r="DP58" s="36"/>
      <c r="DQ58" s="36"/>
      <c r="DR58" s="36"/>
      <c r="DS58" s="36"/>
      <c r="DT58" s="36"/>
      <c r="DU58" s="36"/>
      <c r="DV58" s="36"/>
      <c r="DW58" s="36"/>
      <c r="DX58" s="36"/>
      <c r="DY58" s="36"/>
      <c r="DZ58" s="36"/>
      <c r="EA58" s="36"/>
      <c r="EB58" s="36"/>
      <c r="EC58" s="36"/>
      <c r="ED58" s="36"/>
      <c r="EE58" s="36"/>
      <c r="EF58" s="36"/>
      <c r="EG58" s="36"/>
      <c r="EH58" s="36"/>
      <c r="EI58" s="36"/>
      <c r="EJ58" s="36"/>
      <c r="EK58" s="36"/>
      <c r="EL58" s="36"/>
      <c r="EM58" s="36"/>
      <c r="EN58" s="36"/>
      <c r="EO58" s="36"/>
      <c r="EP58" s="36"/>
      <c r="EQ58" s="36"/>
      <c r="ER58" s="36"/>
      <c r="ES58" s="36"/>
      <c r="ET58" s="36"/>
      <c r="EU58" s="36"/>
      <c r="EV58" s="36"/>
      <c r="EW58" s="36"/>
      <c r="EX58" s="36"/>
      <c r="EY58" s="36"/>
      <c r="EZ58" s="36"/>
      <c r="FA58" s="36"/>
      <c r="FB58" s="36"/>
      <c r="FC58" s="36"/>
      <c r="FD58" s="36"/>
      <c r="FE58" s="36"/>
      <c r="FF58" s="36"/>
      <c r="FG58" s="36"/>
      <c r="FH58" s="36"/>
      <c r="FI58" s="36"/>
      <c r="FJ58" s="36"/>
      <c r="FK58" s="36"/>
      <c r="FL58" s="36"/>
      <c r="FM58" s="36"/>
      <c r="FN58" s="36"/>
      <c r="FO58" s="36"/>
      <c r="FP58" s="36"/>
      <c r="FQ58" s="36"/>
      <c r="FR58" s="36"/>
      <c r="FS58" s="36"/>
      <c r="FT58" s="36"/>
      <c r="FU58" s="36"/>
      <c r="FV58" s="36"/>
      <c r="FW58" s="36"/>
      <c r="FX58" s="36"/>
      <c r="FY58" s="36"/>
      <c r="FZ58" s="36"/>
      <c r="GA58" s="6"/>
      <c r="GB58" s="6"/>
      <c r="GC58" s="36"/>
      <c r="GD58" s="36"/>
      <c r="GE58" s="36"/>
      <c r="GF58" s="36"/>
      <c r="GG58" s="36"/>
      <c r="GH58" s="36"/>
      <c r="GI58" s="36"/>
      <c r="GJ58" s="36"/>
      <c r="GK58" s="36"/>
      <c r="GL58" s="36"/>
      <c r="GM58" s="36"/>
      <c r="GN58" s="36"/>
      <c r="GO58" s="36"/>
      <c r="GP58" s="36"/>
      <c r="GQ58" s="36"/>
      <c r="GR58" s="36"/>
      <c r="GS58" s="36"/>
      <c r="GT58" s="36"/>
      <c r="GU58" s="36"/>
      <c r="GV58" s="6"/>
      <c r="GW58" s="36"/>
      <c r="GX58" s="36"/>
      <c r="GY58" s="36"/>
      <c r="GZ58" s="36"/>
      <c r="HA58" s="36"/>
      <c r="HB58" s="36"/>
      <c r="HC58" s="36"/>
      <c r="HD58" s="36"/>
      <c r="HE58" s="36"/>
      <c r="HF58" s="36"/>
      <c r="HG58" s="36"/>
      <c r="HH58" s="36"/>
      <c r="HI58" s="36"/>
      <c r="HJ58" s="36"/>
      <c r="HK58" s="36"/>
      <c r="HL58" s="36"/>
      <c r="HM58" s="36"/>
      <c r="HN58" s="36"/>
      <c r="HO58" s="36"/>
      <c r="HP58" s="36"/>
      <c r="HQ58" s="36"/>
      <c r="HR58" s="36"/>
      <c r="HS58" s="36"/>
      <c r="HT58" s="36"/>
      <c r="HU58" s="36"/>
      <c r="HV58" s="36"/>
      <c r="HW58" s="36"/>
      <c r="HX58" s="36">
        <v>144</v>
      </c>
      <c r="HY58" s="36"/>
      <c r="HZ58" s="36"/>
      <c r="IA58" s="36"/>
      <c r="IB58" s="36"/>
      <c r="IC58" s="36"/>
      <c r="ID58" s="36"/>
      <c r="IE58" s="36"/>
      <c r="IF58" s="36"/>
      <c r="IG58" s="36"/>
      <c r="IH58" s="36"/>
      <c r="II58" s="36"/>
      <c r="IJ58" s="36"/>
      <c r="IK58" s="36"/>
      <c r="IL58" s="36"/>
      <c r="IM58" s="36"/>
      <c r="IN58" s="36"/>
      <c r="IO58" s="36"/>
      <c r="IP58" s="36"/>
      <c r="IR58" s="2" t="s">
        <v>542</v>
      </c>
    </row>
    <row r="59" spans="1:252" ht="15.75" customHeight="1" x14ac:dyDescent="0.25">
      <c r="A59" s="36" t="s">
        <v>567</v>
      </c>
      <c r="B59" s="36"/>
      <c r="C59" s="36"/>
      <c r="D59" s="36"/>
      <c r="E59" s="36"/>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6"/>
      <c r="BQ59" s="6"/>
      <c r="BR59" s="6"/>
      <c r="BS59" s="6"/>
      <c r="BT59" s="6"/>
      <c r="BU59" s="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c r="CT59" s="36"/>
      <c r="CU59" s="36"/>
      <c r="CV59" s="36"/>
      <c r="CW59" s="36"/>
      <c r="CX59" s="36"/>
      <c r="CY59" s="36"/>
      <c r="CZ59" s="36"/>
      <c r="DA59" s="36"/>
      <c r="DB59" s="36"/>
      <c r="DC59" s="36"/>
      <c r="DD59" s="36"/>
      <c r="DE59" s="36"/>
      <c r="DF59" s="36"/>
      <c r="DG59" s="36"/>
      <c r="DH59" s="36"/>
      <c r="DI59" s="36"/>
      <c r="DJ59" s="36"/>
      <c r="DK59" s="36"/>
      <c r="DL59" s="36"/>
      <c r="DM59" s="36"/>
      <c r="DN59" s="36"/>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c r="EM59" s="36"/>
      <c r="EN59" s="36"/>
      <c r="EO59" s="36"/>
      <c r="EP59" s="36"/>
      <c r="EQ59" s="36"/>
      <c r="ER59" s="36"/>
      <c r="ES59" s="36">
        <v>8</v>
      </c>
      <c r="ET59" s="36">
        <v>25</v>
      </c>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6"/>
      <c r="GB59" s="6"/>
      <c r="GC59" s="36"/>
      <c r="GD59" s="36"/>
      <c r="GE59" s="36"/>
      <c r="GF59" s="36"/>
      <c r="GG59" s="36"/>
      <c r="GH59" s="36"/>
      <c r="GI59" s="36"/>
      <c r="GJ59" s="36"/>
      <c r="GK59" s="36"/>
      <c r="GL59" s="36"/>
      <c r="GM59" s="36"/>
      <c r="GN59" s="36"/>
      <c r="GO59" s="36"/>
      <c r="GP59" s="36"/>
      <c r="GQ59" s="36"/>
      <c r="GR59" s="36"/>
      <c r="GS59" s="36"/>
      <c r="GT59" s="36"/>
      <c r="GU59" s="36"/>
      <c r="GV59" s="6"/>
      <c r="GW59" s="36"/>
      <c r="GX59" s="36"/>
      <c r="GY59" s="36"/>
      <c r="GZ59" s="36"/>
      <c r="HA59" s="36"/>
      <c r="HB59" s="36"/>
      <c r="HC59" s="36"/>
      <c r="HD59" s="36"/>
      <c r="HE59" s="36"/>
      <c r="HF59" s="36"/>
      <c r="HG59" s="36"/>
      <c r="HH59" s="36"/>
      <c r="HI59" s="36"/>
      <c r="HJ59" s="36"/>
      <c r="HK59" s="36"/>
      <c r="HL59" s="36"/>
      <c r="HM59" s="36"/>
      <c r="HN59" s="36"/>
      <c r="HO59" s="36"/>
      <c r="HP59" s="36"/>
      <c r="HQ59" s="36"/>
      <c r="HR59" s="36"/>
      <c r="HS59" s="36"/>
      <c r="HT59" s="36"/>
      <c r="HU59" s="36"/>
      <c r="HV59" s="36"/>
      <c r="HW59" s="36"/>
      <c r="HX59" s="36">
        <v>240</v>
      </c>
      <c r="HY59" s="36"/>
      <c r="HZ59" s="36"/>
      <c r="IA59" s="36"/>
      <c r="IB59" s="36"/>
      <c r="IC59" s="36"/>
      <c r="ID59" s="36"/>
      <c r="IE59" s="36"/>
      <c r="IF59" s="36"/>
      <c r="IG59" s="36"/>
      <c r="IH59" s="36"/>
      <c r="II59" s="36"/>
      <c r="IJ59" s="36"/>
      <c r="IK59" s="36"/>
      <c r="IL59" s="36"/>
      <c r="IM59" s="36"/>
      <c r="IN59" s="36"/>
      <c r="IO59" s="36"/>
      <c r="IP59" s="36"/>
      <c r="IR59" s="2" t="s">
        <v>542</v>
      </c>
    </row>
    <row r="60" spans="1:252" ht="15.75" customHeight="1" x14ac:dyDescent="0.25">
      <c r="A60" s="36" t="s">
        <v>568</v>
      </c>
      <c r="B60" s="36"/>
      <c r="C60" s="36"/>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36"/>
      <c r="BN60" s="36"/>
      <c r="BO60" s="36"/>
      <c r="BP60" s="6"/>
      <c r="BQ60" s="6"/>
      <c r="BR60" s="6"/>
      <c r="BS60" s="6"/>
      <c r="BT60" s="6"/>
      <c r="BU60" s="6"/>
      <c r="BV60" s="36"/>
      <c r="BW60" s="36"/>
      <c r="BX60" s="36"/>
      <c r="BY60" s="36"/>
      <c r="BZ60" s="36"/>
      <c r="CA60" s="36"/>
      <c r="CB60" s="36"/>
      <c r="CC60" s="36"/>
      <c r="CD60" s="36"/>
      <c r="CE60" s="36"/>
      <c r="CF60" s="36"/>
      <c r="CG60" s="36"/>
      <c r="CH60" s="36"/>
      <c r="CI60" s="36"/>
      <c r="CJ60" s="36"/>
      <c r="CK60" s="36"/>
      <c r="CL60" s="36"/>
      <c r="CM60" s="36"/>
      <c r="CN60" s="36"/>
      <c r="CO60" s="36"/>
      <c r="CP60" s="36"/>
      <c r="CQ60" s="36"/>
      <c r="CR60" s="36"/>
      <c r="CS60" s="36"/>
      <c r="CT60" s="36"/>
      <c r="CU60" s="36"/>
      <c r="CV60" s="36"/>
      <c r="CW60" s="36"/>
      <c r="CX60" s="36"/>
      <c r="CY60" s="36"/>
      <c r="CZ60" s="36"/>
      <c r="DA60" s="36"/>
      <c r="DB60" s="36"/>
      <c r="DC60" s="36"/>
      <c r="DD60" s="36"/>
      <c r="DE60" s="36"/>
      <c r="DF60" s="36"/>
      <c r="DG60" s="36"/>
      <c r="DH60" s="36"/>
      <c r="DI60" s="36"/>
      <c r="DJ60" s="36"/>
      <c r="DK60" s="36"/>
      <c r="DL60" s="36"/>
      <c r="DM60" s="36"/>
      <c r="DN60" s="36"/>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c r="EM60" s="36"/>
      <c r="EN60" s="36"/>
      <c r="EO60" s="36"/>
      <c r="EP60" s="36"/>
      <c r="EQ60" s="36"/>
      <c r="ER60" s="36"/>
      <c r="ES60" s="36"/>
      <c r="ET60" s="36"/>
      <c r="EU60" s="36"/>
      <c r="EV60" s="36"/>
      <c r="EW60" s="36"/>
      <c r="EX60" s="36"/>
      <c r="EY60" s="36"/>
      <c r="EZ60" s="36"/>
      <c r="FA60" s="36"/>
      <c r="FB60" s="36"/>
      <c r="FC60" s="36"/>
      <c r="FD60" s="36"/>
      <c r="FE60" s="36"/>
      <c r="FF60" s="36"/>
      <c r="FG60" s="36"/>
      <c r="FH60" s="36"/>
      <c r="FI60" s="36"/>
      <c r="FJ60" s="36"/>
      <c r="FK60" s="36"/>
      <c r="FL60" s="36"/>
      <c r="FM60" s="36"/>
      <c r="FN60" s="36"/>
      <c r="FO60" s="36"/>
      <c r="FP60" s="36"/>
      <c r="FQ60" s="36"/>
      <c r="FR60" s="36"/>
      <c r="FS60" s="36"/>
      <c r="FT60" s="36"/>
      <c r="FU60" s="36"/>
      <c r="FV60" s="36"/>
      <c r="FW60" s="36"/>
      <c r="FX60" s="36"/>
      <c r="FY60" s="36"/>
      <c r="FZ60" s="36"/>
      <c r="GA60" s="6"/>
      <c r="GB60" s="6"/>
      <c r="GC60" s="36"/>
      <c r="GD60" s="36"/>
      <c r="GE60" s="36"/>
      <c r="GF60" s="36"/>
      <c r="GG60" s="36"/>
      <c r="GH60" s="36"/>
      <c r="GI60" s="36"/>
      <c r="GJ60" s="36"/>
      <c r="GK60" s="36"/>
      <c r="GL60" s="36"/>
      <c r="GM60" s="36"/>
      <c r="GN60" s="36"/>
      <c r="GO60" s="36"/>
      <c r="GP60" s="36"/>
      <c r="GQ60" s="36"/>
      <c r="GR60" s="36"/>
      <c r="GS60" s="36"/>
      <c r="GT60" s="36"/>
      <c r="GU60" s="36"/>
      <c r="GV60" s="6"/>
      <c r="GW60" s="36"/>
      <c r="GX60" s="36"/>
      <c r="GY60" s="36"/>
      <c r="GZ60" s="36"/>
      <c r="HA60" s="36"/>
      <c r="HB60" s="36"/>
      <c r="HC60" s="36"/>
      <c r="HD60" s="36"/>
      <c r="HE60" s="36"/>
      <c r="HF60" s="36"/>
      <c r="HG60" s="36"/>
      <c r="HH60" s="36"/>
      <c r="HI60" s="36"/>
      <c r="HJ60" s="36"/>
      <c r="HK60" s="36"/>
      <c r="HL60" s="36"/>
      <c r="HM60" s="36"/>
      <c r="HN60" s="36"/>
      <c r="HO60" s="36"/>
      <c r="HP60" s="36"/>
      <c r="HQ60" s="36"/>
      <c r="HR60" s="36"/>
      <c r="HS60" s="36"/>
      <c r="HT60" s="36"/>
      <c r="HU60" s="36"/>
      <c r="HV60" s="36"/>
      <c r="HW60" s="36"/>
      <c r="HX60" s="36">
        <v>624</v>
      </c>
      <c r="HY60" s="36"/>
      <c r="HZ60" s="36"/>
      <c r="IA60" s="36"/>
      <c r="IB60" s="36"/>
      <c r="IC60" s="36"/>
      <c r="ID60" s="36"/>
      <c r="IE60" s="36"/>
      <c r="IF60" s="36"/>
      <c r="IG60" s="36"/>
      <c r="IH60" s="36"/>
      <c r="II60" s="36"/>
      <c r="IJ60" s="36"/>
      <c r="IK60" s="36"/>
      <c r="IL60" s="36"/>
      <c r="IM60" s="36"/>
      <c r="IN60" s="36"/>
      <c r="IO60" s="36"/>
      <c r="IP60" s="36"/>
      <c r="IR60" s="2" t="s">
        <v>542</v>
      </c>
    </row>
    <row r="61" spans="1:252" ht="15.75" customHeight="1" x14ac:dyDescent="0.25">
      <c r="A61" s="36" t="s">
        <v>569</v>
      </c>
      <c r="B61" s="36"/>
      <c r="C61" s="36"/>
      <c r="D61" s="36"/>
      <c r="E61" s="36"/>
      <c r="F61" s="80">
        <v>25</v>
      </c>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6"/>
      <c r="BQ61" s="6"/>
      <c r="BR61" s="6"/>
      <c r="BS61" s="6"/>
      <c r="BT61" s="6"/>
      <c r="BU61" s="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c r="CT61" s="36"/>
      <c r="CU61" s="36"/>
      <c r="CV61" s="36"/>
      <c r="CW61" s="36"/>
      <c r="CX61" s="36"/>
      <c r="CY61" s="36"/>
      <c r="CZ61" s="36"/>
      <c r="DA61" s="36"/>
      <c r="DB61" s="36"/>
      <c r="DC61" s="36"/>
      <c r="DD61" s="36"/>
      <c r="DE61" s="36"/>
      <c r="DF61" s="36"/>
      <c r="DG61" s="36"/>
      <c r="DH61" s="36"/>
      <c r="DI61" s="36"/>
      <c r="DJ61" s="36"/>
      <c r="DK61" s="36"/>
      <c r="DL61" s="36"/>
      <c r="DM61" s="36"/>
      <c r="DN61" s="36"/>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c r="EM61" s="36"/>
      <c r="EN61" s="36"/>
      <c r="EO61" s="36"/>
      <c r="EP61" s="36"/>
      <c r="EQ61" s="36"/>
      <c r="ER61" s="36"/>
      <c r="ES61" s="36"/>
      <c r="ET61" s="36"/>
      <c r="EU61" s="36"/>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6"/>
      <c r="GB61" s="6"/>
      <c r="GC61" s="36"/>
      <c r="GD61" s="36"/>
      <c r="GE61" s="36"/>
      <c r="GF61" s="36"/>
      <c r="GG61" s="36"/>
      <c r="GH61" s="36"/>
      <c r="GI61" s="36"/>
      <c r="GJ61" s="36"/>
      <c r="GK61" s="36"/>
      <c r="GL61" s="36"/>
      <c r="GM61" s="36"/>
      <c r="GN61" s="36"/>
      <c r="GO61" s="36"/>
      <c r="GP61" s="36"/>
      <c r="GQ61" s="36"/>
      <c r="GR61" s="36"/>
      <c r="GS61" s="36"/>
      <c r="GT61" s="36"/>
      <c r="GU61" s="36"/>
      <c r="GV61" s="6"/>
      <c r="GW61" s="36"/>
      <c r="GX61" s="36"/>
      <c r="GY61" s="36"/>
      <c r="GZ61" s="36"/>
      <c r="HA61" s="36"/>
      <c r="HB61" s="36"/>
      <c r="HC61" s="36"/>
      <c r="HD61" s="36"/>
      <c r="HE61" s="36"/>
      <c r="HF61" s="36"/>
      <c r="HG61" s="36"/>
      <c r="HH61" s="36"/>
      <c r="HI61" s="36"/>
      <c r="HJ61" s="36"/>
      <c r="HK61" s="36"/>
      <c r="HL61" s="36"/>
      <c r="HM61" s="36"/>
      <c r="HN61" s="36"/>
      <c r="HO61" s="36"/>
      <c r="HP61" s="36"/>
      <c r="HQ61" s="36"/>
      <c r="HR61" s="36"/>
      <c r="HS61" s="36"/>
      <c r="HT61" s="36"/>
      <c r="HU61" s="36"/>
      <c r="HV61" s="36"/>
      <c r="HW61" s="36"/>
      <c r="HX61" s="36"/>
      <c r="HY61" s="36"/>
      <c r="HZ61" s="36"/>
      <c r="IA61" s="36"/>
      <c r="IB61" s="36"/>
      <c r="IC61" s="36"/>
      <c r="ID61" s="36"/>
      <c r="IE61" s="36"/>
      <c r="IF61" s="36"/>
      <c r="IG61" s="36"/>
      <c r="IH61" s="36"/>
      <c r="II61" s="36"/>
      <c r="IJ61" s="36"/>
      <c r="IK61" s="36"/>
      <c r="IL61" s="36"/>
      <c r="IM61" s="36"/>
      <c r="IN61" s="36"/>
      <c r="IO61" s="36"/>
      <c r="IP61" s="36"/>
      <c r="IR61" s="2" t="s">
        <v>542</v>
      </c>
    </row>
    <row r="62" spans="1:252" ht="15.75" customHeight="1" x14ac:dyDescent="0.25">
      <c r="A62" s="36" t="s">
        <v>569</v>
      </c>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v>25</v>
      </c>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36"/>
      <c r="BN62" s="36"/>
      <c r="BO62" s="36"/>
      <c r="BP62" s="6"/>
      <c r="BQ62" s="6"/>
      <c r="BR62" s="6"/>
      <c r="BS62" s="6"/>
      <c r="BT62" s="6"/>
      <c r="BU62" s="6"/>
      <c r="BV62" s="36"/>
      <c r="BW62" s="36"/>
      <c r="BX62" s="36"/>
      <c r="BY62" s="36"/>
      <c r="BZ62" s="36"/>
      <c r="CA62" s="36"/>
      <c r="CB62" s="36"/>
      <c r="CC62" s="36"/>
      <c r="CD62" s="36"/>
      <c r="CE62" s="36"/>
      <c r="CF62" s="36"/>
      <c r="CG62" s="36"/>
      <c r="CH62" s="36"/>
      <c r="CI62" s="36"/>
      <c r="CJ62" s="36"/>
      <c r="CK62" s="36"/>
      <c r="CL62" s="36"/>
      <c r="CM62" s="36"/>
      <c r="CN62" s="36"/>
      <c r="CO62" s="36"/>
      <c r="CP62" s="36"/>
      <c r="CQ62" s="36"/>
      <c r="CR62" s="36"/>
      <c r="CS62" s="36"/>
      <c r="CT62" s="36"/>
      <c r="CU62" s="36"/>
      <c r="CV62" s="36"/>
      <c r="CW62" s="36"/>
      <c r="CX62" s="36"/>
      <c r="CY62" s="36"/>
      <c r="CZ62" s="36"/>
      <c r="DA62" s="36"/>
      <c r="DB62" s="36"/>
      <c r="DC62" s="36"/>
      <c r="DD62" s="36"/>
      <c r="DE62" s="36"/>
      <c r="DF62" s="36"/>
      <c r="DG62" s="36"/>
      <c r="DH62" s="36"/>
      <c r="DI62" s="36"/>
      <c r="DJ62" s="36"/>
      <c r="DK62" s="36"/>
      <c r="DL62" s="36"/>
      <c r="DM62" s="36"/>
      <c r="DN62" s="36"/>
      <c r="DO62" s="36"/>
      <c r="DP62" s="36"/>
      <c r="DQ62" s="36"/>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S62" s="36"/>
      <c r="ET62" s="36"/>
      <c r="EU62" s="36"/>
      <c r="EV62" s="36"/>
      <c r="EW62" s="36"/>
      <c r="EX62" s="36"/>
      <c r="EY62" s="36"/>
      <c r="EZ62" s="36"/>
      <c r="FA62" s="36"/>
      <c r="FB62" s="36"/>
      <c r="FC62" s="36"/>
      <c r="FD62" s="36"/>
      <c r="FE62" s="36"/>
      <c r="FF62" s="36"/>
      <c r="FG62" s="36"/>
      <c r="FH62" s="36"/>
      <c r="FI62" s="36"/>
      <c r="FJ62" s="36"/>
      <c r="FK62" s="36"/>
      <c r="FL62" s="36"/>
      <c r="FM62" s="36"/>
      <c r="FN62" s="36"/>
      <c r="FO62" s="36"/>
      <c r="FP62" s="36"/>
      <c r="FQ62" s="36"/>
      <c r="FR62" s="36"/>
      <c r="FS62" s="36"/>
      <c r="FT62" s="36"/>
      <c r="FU62" s="36"/>
      <c r="FV62" s="36"/>
      <c r="FW62" s="36"/>
      <c r="FX62" s="36"/>
      <c r="FY62" s="36"/>
      <c r="FZ62" s="36"/>
      <c r="GA62" s="6"/>
      <c r="GB62" s="6"/>
      <c r="GC62" s="36"/>
      <c r="GD62" s="36"/>
      <c r="GE62" s="36"/>
      <c r="GF62" s="36"/>
      <c r="GG62" s="36"/>
      <c r="GH62" s="36"/>
      <c r="GI62" s="36"/>
      <c r="GJ62" s="36"/>
      <c r="GK62" s="36"/>
      <c r="GL62" s="36"/>
      <c r="GM62" s="36"/>
      <c r="GN62" s="36"/>
      <c r="GO62" s="36"/>
      <c r="GP62" s="36"/>
      <c r="GQ62" s="36"/>
      <c r="GR62" s="36"/>
      <c r="GS62" s="36"/>
      <c r="GT62" s="36"/>
      <c r="GU62" s="36"/>
      <c r="GV62" s="6"/>
      <c r="GW62" s="36"/>
      <c r="GX62" s="36"/>
      <c r="GY62" s="36"/>
      <c r="GZ62" s="36"/>
      <c r="HA62" s="36"/>
      <c r="HB62" s="36"/>
      <c r="HC62" s="36"/>
      <c r="HD62" s="36"/>
      <c r="HE62" s="36"/>
      <c r="HF62" s="36"/>
      <c r="HG62" s="36"/>
      <c r="HH62" s="36"/>
      <c r="HI62" s="36"/>
      <c r="HJ62" s="36"/>
      <c r="HK62" s="36"/>
      <c r="HL62" s="36"/>
      <c r="HM62" s="36"/>
      <c r="HN62" s="36"/>
      <c r="HO62" s="36"/>
      <c r="HP62" s="36"/>
      <c r="HQ62" s="36"/>
      <c r="HR62" s="36"/>
      <c r="HS62" s="36"/>
      <c r="HT62" s="36"/>
      <c r="HU62" s="36"/>
      <c r="HV62" s="36"/>
      <c r="HW62" s="36"/>
      <c r="HX62" s="36"/>
      <c r="HY62" s="36"/>
      <c r="HZ62" s="36"/>
      <c r="IA62" s="36"/>
      <c r="IB62" s="36"/>
      <c r="IC62" s="36"/>
      <c r="ID62" s="36"/>
      <c r="IE62" s="36"/>
      <c r="IF62" s="36"/>
      <c r="IG62" s="36"/>
      <c r="IH62" s="36"/>
      <c r="II62" s="36"/>
      <c r="IJ62" s="36"/>
      <c r="IK62" s="36"/>
      <c r="IL62" s="36"/>
      <c r="IM62" s="36"/>
      <c r="IN62" s="36"/>
      <c r="IO62" s="36"/>
      <c r="IP62" s="36"/>
      <c r="IR62" s="2" t="s">
        <v>542</v>
      </c>
    </row>
    <row r="63" spans="1:252" ht="15.75" customHeight="1" x14ac:dyDescent="0.25">
      <c r="A63" s="36" t="s">
        <v>569</v>
      </c>
      <c r="B63" s="36"/>
      <c r="C63" s="36"/>
      <c r="D63" s="36"/>
      <c r="E63" s="36"/>
      <c r="F63" s="80">
        <v>20</v>
      </c>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6"/>
      <c r="BQ63" s="6"/>
      <c r="BR63" s="6"/>
      <c r="BS63" s="6"/>
      <c r="BT63" s="6"/>
      <c r="BU63" s="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c r="CT63" s="36"/>
      <c r="CU63" s="36"/>
      <c r="CV63" s="36"/>
      <c r="CW63" s="36"/>
      <c r="CX63" s="36"/>
      <c r="CY63" s="36"/>
      <c r="CZ63" s="36"/>
      <c r="DA63" s="36"/>
      <c r="DB63" s="36"/>
      <c r="DC63" s="36"/>
      <c r="DD63" s="36"/>
      <c r="DE63" s="36"/>
      <c r="DF63" s="36"/>
      <c r="DG63" s="36">
        <v>12</v>
      </c>
      <c r="DH63" s="36"/>
      <c r="DI63" s="36"/>
      <c r="DJ63" s="36"/>
      <c r="DK63" s="36"/>
      <c r="DL63" s="36"/>
      <c r="DM63" s="36"/>
      <c r="DN63" s="36"/>
      <c r="DO63" s="36"/>
      <c r="DP63" s="36"/>
      <c r="DQ63" s="36"/>
      <c r="DR63" s="36"/>
      <c r="DS63" s="36"/>
      <c r="DT63" s="36"/>
      <c r="DU63" s="36"/>
      <c r="DV63" s="36"/>
      <c r="DW63" s="36"/>
      <c r="DX63" s="36"/>
      <c r="DY63" s="36"/>
      <c r="DZ63" s="36"/>
      <c r="EA63" s="36"/>
      <c r="EB63" s="36"/>
      <c r="EC63" s="36"/>
      <c r="ED63" s="36"/>
      <c r="EE63" s="36"/>
      <c r="EF63" s="36"/>
      <c r="EG63" s="36"/>
      <c r="EH63" s="36"/>
      <c r="EI63" s="36"/>
      <c r="EJ63" s="36"/>
      <c r="EK63" s="36"/>
      <c r="EL63" s="36"/>
      <c r="EM63" s="36"/>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6"/>
      <c r="GB63" s="6"/>
      <c r="GC63" s="36"/>
      <c r="GD63" s="36"/>
      <c r="GE63" s="36"/>
      <c r="GF63" s="36"/>
      <c r="GG63" s="36"/>
      <c r="GH63" s="36"/>
      <c r="GI63" s="36"/>
      <c r="GJ63" s="36"/>
      <c r="GK63" s="36"/>
      <c r="GL63" s="36"/>
      <c r="GM63" s="36"/>
      <c r="GN63" s="36"/>
      <c r="GO63" s="36"/>
      <c r="GP63" s="36"/>
      <c r="GQ63" s="36"/>
      <c r="GR63" s="36"/>
      <c r="GS63" s="36"/>
      <c r="GT63" s="36"/>
      <c r="GU63" s="36"/>
      <c r="GV63" s="6"/>
      <c r="GW63" s="36"/>
      <c r="GX63" s="36"/>
      <c r="GY63" s="36"/>
      <c r="GZ63" s="36"/>
      <c r="HA63" s="36"/>
      <c r="HB63" s="36"/>
      <c r="HC63" s="36"/>
      <c r="HD63" s="36"/>
      <c r="HE63" s="36"/>
      <c r="HF63" s="36"/>
      <c r="HG63" s="36"/>
      <c r="HH63" s="36"/>
      <c r="HI63" s="36"/>
      <c r="HJ63" s="36"/>
      <c r="HK63" s="36"/>
      <c r="HL63" s="36"/>
      <c r="HM63" s="36"/>
      <c r="HN63" s="36"/>
      <c r="HO63" s="36"/>
      <c r="HP63" s="36"/>
      <c r="HQ63" s="36"/>
      <c r="HR63" s="36"/>
      <c r="HS63" s="36"/>
      <c r="HT63" s="36"/>
      <c r="HU63" s="36"/>
      <c r="HV63" s="36"/>
      <c r="HW63" s="36"/>
      <c r="HX63" s="36"/>
      <c r="HY63" s="36"/>
      <c r="HZ63" s="36"/>
      <c r="IA63" s="36"/>
      <c r="IB63" s="36"/>
      <c r="IC63" s="36"/>
      <c r="ID63" s="36"/>
      <c r="IE63" s="36"/>
      <c r="IF63" s="36"/>
      <c r="IG63" s="36"/>
      <c r="IH63" s="36"/>
      <c r="II63" s="36"/>
      <c r="IJ63" s="36"/>
      <c r="IK63" s="36"/>
      <c r="IL63" s="36"/>
      <c r="IM63" s="36"/>
      <c r="IN63" s="36"/>
      <c r="IO63" s="36"/>
      <c r="IP63" s="36"/>
      <c r="IR63" s="2" t="s">
        <v>542</v>
      </c>
    </row>
    <row r="64" spans="1:252" ht="15.75" customHeight="1" x14ac:dyDescent="0.25">
      <c r="A64" s="36" t="s">
        <v>499</v>
      </c>
      <c r="B64" s="36" t="s">
        <v>574</v>
      </c>
      <c r="C64" s="36"/>
      <c r="D64" s="36"/>
      <c r="E64" s="36"/>
      <c r="F64" s="36"/>
      <c r="G64" s="36"/>
      <c r="H64" s="36"/>
      <c r="I64" s="36"/>
      <c r="J64" s="36"/>
      <c r="K64" s="36"/>
      <c r="L64" s="36"/>
      <c r="M64" s="36"/>
      <c r="N64" s="36">
        <v>25</v>
      </c>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6"/>
      <c r="BQ64" s="6"/>
      <c r="BR64" s="6"/>
      <c r="BS64" s="6"/>
      <c r="BT64" s="6"/>
      <c r="BU64" s="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c r="CV64" s="36"/>
      <c r="CW64" s="36"/>
      <c r="CX64" s="36"/>
      <c r="CY64" s="36"/>
      <c r="CZ64" s="36"/>
      <c r="DA64" s="36"/>
      <c r="DB64" s="36"/>
      <c r="DC64" s="36"/>
      <c r="DD64" s="36"/>
      <c r="DE64" s="36"/>
      <c r="DF64" s="36"/>
      <c r="DG64" s="36"/>
      <c r="DH64" s="36"/>
      <c r="DI64" s="36"/>
      <c r="DJ64" s="36"/>
      <c r="DK64" s="36"/>
      <c r="DL64" s="36"/>
      <c r="DM64" s="36"/>
      <c r="DN64" s="36"/>
      <c r="DO64" s="36"/>
      <c r="DP64" s="36"/>
      <c r="DQ64" s="36"/>
      <c r="DR64" s="36"/>
      <c r="DS64" s="36"/>
      <c r="DT64" s="36"/>
      <c r="DU64" s="36"/>
      <c r="DV64" s="36"/>
      <c r="DW64" s="36"/>
      <c r="DX64" s="36"/>
      <c r="DY64" s="36"/>
      <c r="DZ64" s="36"/>
      <c r="EA64" s="36"/>
      <c r="EB64" s="36"/>
      <c r="EC64" s="36"/>
      <c r="ED64" s="36"/>
      <c r="EE64" s="36"/>
      <c r="EF64" s="36"/>
      <c r="EG64" s="36"/>
      <c r="EH64" s="36"/>
      <c r="EI64" s="36"/>
      <c r="EJ64" s="36"/>
      <c r="EK64" s="36"/>
      <c r="EL64" s="36"/>
      <c r="EM64" s="36"/>
      <c r="EN64" s="36"/>
      <c r="EO64" s="36"/>
      <c r="EP64" s="36"/>
      <c r="EQ64" s="36"/>
      <c r="ER64" s="36"/>
      <c r="ES64" s="36"/>
      <c r="ET64" s="36"/>
      <c r="EU64" s="36"/>
      <c r="EV64" s="36"/>
      <c r="EW64" s="36"/>
      <c r="EX64" s="36"/>
      <c r="EY64" s="36"/>
      <c r="EZ64" s="36"/>
      <c r="FA64" s="36"/>
      <c r="FB64" s="36"/>
      <c r="FC64" s="36"/>
      <c r="FD64" s="36"/>
      <c r="FE64" s="36"/>
      <c r="FF64" s="36"/>
      <c r="FG64" s="36"/>
      <c r="FH64" s="36"/>
      <c r="FI64" s="36"/>
      <c r="FJ64" s="36"/>
      <c r="FK64" s="36"/>
      <c r="FL64" s="36"/>
      <c r="FM64" s="36"/>
      <c r="FN64" s="36"/>
      <c r="FO64" s="36"/>
      <c r="FP64" s="36"/>
      <c r="FQ64" s="36"/>
      <c r="FR64" s="36"/>
      <c r="FS64" s="36"/>
      <c r="FT64" s="36"/>
      <c r="FU64" s="36"/>
      <c r="FV64" s="36"/>
      <c r="FW64" s="36"/>
      <c r="FX64" s="36"/>
      <c r="FY64" s="36"/>
      <c r="FZ64" s="36"/>
      <c r="GA64" s="6">
        <v>250</v>
      </c>
      <c r="GB64" s="6"/>
      <c r="GC64" s="36"/>
      <c r="GD64" s="36"/>
      <c r="GE64" s="36"/>
      <c r="GF64" s="36"/>
      <c r="GG64" s="36"/>
      <c r="GH64" s="36"/>
      <c r="GI64" s="36"/>
      <c r="GJ64" s="36"/>
      <c r="GK64" s="36"/>
      <c r="GL64" s="36"/>
      <c r="GM64" s="36"/>
      <c r="GN64" s="36"/>
      <c r="GO64" s="36"/>
      <c r="GP64" s="36"/>
      <c r="GQ64" s="36"/>
      <c r="GR64" s="36"/>
      <c r="GS64" s="36"/>
      <c r="GT64" s="36"/>
      <c r="GU64" s="36"/>
      <c r="GV64" s="6"/>
      <c r="GW64" s="36"/>
      <c r="GX64" s="36"/>
      <c r="GY64" s="36"/>
      <c r="GZ64" s="36"/>
      <c r="HA64" s="36"/>
      <c r="HB64" s="36"/>
      <c r="HC64" s="36"/>
      <c r="HD64" s="36"/>
      <c r="HE64" s="36"/>
      <c r="HF64" s="36"/>
      <c r="HG64" s="36"/>
      <c r="HH64" s="36"/>
      <c r="HI64" s="36"/>
      <c r="HJ64" s="36"/>
      <c r="HK64" s="36"/>
      <c r="HL64" s="36"/>
      <c r="HM64" s="36"/>
      <c r="HN64" s="36"/>
      <c r="HO64" s="36"/>
      <c r="HP64" s="36"/>
      <c r="HQ64" s="36">
        <v>100</v>
      </c>
      <c r="HR64" s="36"/>
      <c r="HS64" s="36"/>
      <c r="HT64" s="36"/>
      <c r="HU64" s="36"/>
      <c r="HV64" s="36"/>
      <c r="HW64" s="36"/>
      <c r="HX64" s="36"/>
      <c r="HY64" s="36"/>
      <c r="HZ64" s="36"/>
      <c r="IA64" s="36"/>
      <c r="IB64" s="36"/>
      <c r="IC64" s="36"/>
      <c r="ID64" s="36"/>
      <c r="IE64" s="36"/>
      <c r="IF64" s="36"/>
      <c r="IG64" s="36"/>
      <c r="IH64" s="36"/>
      <c r="II64" s="36"/>
      <c r="IJ64" s="36"/>
      <c r="IK64" s="36"/>
      <c r="IL64" s="36"/>
      <c r="IM64" s="36"/>
      <c r="IN64" s="36"/>
      <c r="IO64" s="36"/>
      <c r="IP64" s="36"/>
      <c r="IR64" s="2" t="s">
        <v>543</v>
      </c>
    </row>
    <row r="65" spans="1:252" ht="15.75" customHeight="1" x14ac:dyDescent="0.25">
      <c r="A65" s="36" t="s">
        <v>499</v>
      </c>
      <c r="B65" s="36" t="s">
        <v>575</v>
      </c>
      <c r="C65" s="36"/>
      <c r="D65" s="36"/>
      <c r="E65" s="36"/>
      <c r="F65" s="80">
        <v>20</v>
      </c>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6"/>
      <c r="BQ65" s="6"/>
      <c r="BR65" s="6"/>
      <c r="BS65" s="6"/>
      <c r="BT65" s="6"/>
      <c r="BU65" s="6"/>
      <c r="BV65" s="36"/>
      <c r="BW65" s="36"/>
      <c r="BX65" s="36"/>
      <c r="BY65" s="36"/>
      <c r="BZ65" s="36"/>
      <c r="CA65" s="36"/>
      <c r="CB65" s="36"/>
      <c r="CC65" s="36"/>
      <c r="CD65" s="36"/>
      <c r="CE65" s="36"/>
      <c r="CF65" s="36"/>
      <c r="CG65" s="36"/>
      <c r="CH65" s="36"/>
      <c r="CI65" s="36"/>
      <c r="CJ65" s="36"/>
      <c r="CK65" s="36"/>
      <c r="CL65" s="36"/>
      <c r="CM65" s="36"/>
      <c r="CN65" s="36">
        <v>32</v>
      </c>
      <c r="CO65" s="36"/>
      <c r="CP65" s="36"/>
      <c r="CQ65" s="36"/>
      <c r="CR65" s="36"/>
      <c r="CS65" s="36"/>
      <c r="CT65" s="36"/>
      <c r="CU65" s="36"/>
      <c r="CV65" s="36"/>
      <c r="CW65" s="36"/>
      <c r="CX65" s="36"/>
      <c r="CY65" s="36"/>
      <c r="CZ65" s="36"/>
      <c r="DA65" s="36"/>
      <c r="DB65" s="36"/>
      <c r="DC65" s="36"/>
      <c r="DD65" s="36"/>
      <c r="DE65" s="36"/>
      <c r="DF65" s="36"/>
      <c r="DG65" s="36"/>
      <c r="DH65" s="36"/>
      <c r="DI65" s="36"/>
      <c r="DJ65" s="36"/>
      <c r="DK65" s="36"/>
      <c r="DL65" s="36"/>
      <c r="DM65" s="36"/>
      <c r="DN65" s="36"/>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6"/>
      <c r="GB65" s="6"/>
      <c r="GC65" s="36"/>
      <c r="GD65" s="36"/>
      <c r="GE65" s="36"/>
      <c r="GF65" s="36"/>
      <c r="GG65" s="36"/>
      <c r="GH65" s="36"/>
      <c r="GI65" s="36"/>
      <c r="GJ65" s="36"/>
      <c r="GK65" s="36"/>
      <c r="GL65" s="36"/>
      <c r="GM65" s="36"/>
      <c r="GN65" s="36"/>
      <c r="GO65" s="36"/>
      <c r="GP65" s="36"/>
      <c r="GQ65" s="36"/>
      <c r="GR65" s="36"/>
      <c r="GS65" s="36"/>
      <c r="GT65" s="36"/>
      <c r="GU65" s="36"/>
      <c r="GV65" s="6"/>
      <c r="GW65" s="36"/>
      <c r="GX65" s="36"/>
      <c r="GY65" s="36"/>
      <c r="GZ65" s="36"/>
      <c r="HA65" s="36"/>
      <c r="HB65" s="36"/>
      <c r="HC65" s="36"/>
      <c r="HD65" s="36"/>
      <c r="HE65" s="36"/>
      <c r="HF65" s="36"/>
      <c r="HG65" s="36"/>
      <c r="HH65" s="36"/>
      <c r="HI65" s="36"/>
      <c r="HJ65" s="36"/>
      <c r="HK65" s="36"/>
      <c r="HL65" s="36"/>
      <c r="HM65" s="36"/>
      <c r="HN65" s="36"/>
      <c r="HO65" s="36"/>
      <c r="HP65" s="36"/>
      <c r="HQ65" s="36"/>
      <c r="HR65" s="36"/>
      <c r="HS65" s="36"/>
      <c r="HT65" s="36">
        <v>40</v>
      </c>
      <c r="HU65" s="36"/>
      <c r="HV65" s="36"/>
      <c r="HW65" s="36"/>
      <c r="HX65" s="36"/>
      <c r="HY65" s="36"/>
      <c r="HZ65" s="36"/>
      <c r="IA65" s="36"/>
      <c r="IB65" s="36"/>
      <c r="IC65" s="36"/>
      <c r="ID65" s="36"/>
      <c r="IE65" s="36"/>
      <c r="IF65" s="36"/>
      <c r="IG65" s="36"/>
      <c r="IH65" s="36"/>
      <c r="II65" s="36"/>
      <c r="IJ65" s="36"/>
      <c r="IK65" s="36"/>
      <c r="IL65" s="36"/>
      <c r="IM65" s="36"/>
      <c r="IN65" s="36"/>
      <c r="IO65" s="36"/>
      <c r="IP65" s="36"/>
      <c r="IR65" s="2" t="s">
        <v>543</v>
      </c>
    </row>
    <row r="66" spans="1:252" ht="15.75" customHeight="1" x14ac:dyDescent="0.25">
      <c r="A66" s="36" t="s">
        <v>576</v>
      </c>
      <c r="B66" s="36"/>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36"/>
      <c r="BN66" s="36"/>
      <c r="BO66" s="36"/>
      <c r="BP66" s="6"/>
      <c r="BQ66" s="6"/>
      <c r="BR66" s="6"/>
      <c r="BS66" s="6"/>
      <c r="BT66" s="6"/>
      <c r="BU66" s="6"/>
      <c r="BV66" s="36"/>
      <c r="BW66" s="36"/>
      <c r="BX66" s="36"/>
      <c r="BY66" s="36"/>
      <c r="BZ66" s="36"/>
      <c r="CA66" s="36"/>
      <c r="CB66" s="36"/>
      <c r="CC66" s="36"/>
      <c r="CD66" s="36"/>
      <c r="CE66" s="36"/>
      <c r="CF66" s="36"/>
      <c r="CG66" s="36"/>
      <c r="CH66" s="36"/>
      <c r="CI66" s="36"/>
      <c r="CJ66" s="36"/>
      <c r="CK66" s="36"/>
      <c r="CL66" s="36"/>
      <c r="CM66" s="36"/>
      <c r="CN66" s="36"/>
      <c r="CO66" s="36"/>
      <c r="CP66" s="36"/>
      <c r="CQ66" s="36"/>
      <c r="CR66" s="36"/>
      <c r="CS66" s="36"/>
      <c r="CT66" s="36"/>
      <c r="CU66" s="36"/>
      <c r="CV66" s="36"/>
      <c r="CW66" s="36"/>
      <c r="CX66" s="36"/>
      <c r="CY66" s="36"/>
      <c r="CZ66" s="36"/>
      <c r="DA66" s="36"/>
      <c r="DB66" s="36"/>
      <c r="DC66" s="36"/>
      <c r="DD66" s="36"/>
      <c r="DE66" s="36"/>
      <c r="DF66" s="36"/>
      <c r="DG66" s="36"/>
      <c r="DH66" s="36"/>
      <c r="DI66" s="36"/>
      <c r="DJ66" s="36"/>
      <c r="DK66" s="36"/>
      <c r="DL66" s="36"/>
      <c r="DM66" s="36"/>
      <c r="DN66" s="36"/>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c r="EO66" s="36"/>
      <c r="EP66" s="36"/>
      <c r="EQ66" s="36"/>
      <c r="ER66" s="36"/>
      <c r="ES66" s="36"/>
      <c r="ET66" s="36"/>
      <c r="EU66" s="36"/>
      <c r="EV66" s="36"/>
      <c r="EW66" s="36"/>
      <c r="EX66" s="36"/>
      <c r="EY66" s="36"/>
      <c r="EZ66" s="36"/>
      <c r="FA66" s="36"/>
      <c r="FB66" s="36"/>
      <c r="FC66" s="36"/>
      <c r="FD66" s="36"/>
      <c r="FE66" s="36"/>
      <c r="FF66" s="36"/>
      <c r="FG66" s="36"/>
      <c r="FH66" s="36"/>
      <c r="FI66" s="36"/>
      <c r="FJ66" s="36"/>
      <c r="FK66" s="36"/>
      <c r="FL66" s="36"/>
      <c r="FM66" s="36"/>
      <c r="FN66" s="36"/>
      <c r="FO66" s="36"/>
      <c r="FP66" s="36"/>
      <c r="FQ66" s="36"/>
      <c r="FR66" s="36"/>
      <c r="FS66" s="36"/>
      <c r="FT66" s="36"/>
      <c r="FU66" s="36"/>
      <c r="FV66" s="36"/>
      <c r="FW66" s="36"/>
      <c r="FX66" s="36"/>
      <c r="FY66" s="36"/>
      <c r="FZ66" s="36"/>
      <c r="GA66" s="6"/>
      <c r="GB66" s="6"/>
      <c r="GC66" s="36"/>
      <c r="GD66" s="36"/>
      <c r="GE66" s="36"/>
      <c r="GF66" s="36"/>
      <c r="GG66" s="36"/>
      <c r="GH66" s="36"/>
      <c r="GI66" s="36"/>
      <c r="GJ66" s="36"/>
      <c r="GK66" s="36">
        <v>100</v>
      </c>
      <c r="GL66" s="36"/>
      <c r="GM66" s="36"/>
      <c r="GN66" s="36"/>
      <c r="GO66" s="36"/>
      <c r="GP66" s="36"/>
      <c r="GQ66" s="36"/>
      <c r="GR66" s="36"/>
      <c r="GS66" s="36"/>
      <c r="GT66" s="36"/>
      <c r="GU66" s="36"/>
      <c r="GV66" s="6"/>
      <c r="GW66" s="36"/>
      <c r="GX66" s="36"/>
      <c r="GY66" s="36"/>
      <c r="GZ66" s="36"/>
      <c r="HA66" s="36"/>
      <c r="HB66" s="36"/>
      <c r="HC66" s="36"/>
      <c r="HD66" s="36"/>
      <c r="HE66" s="36"/>
      <c r="HF66" s="36"/>
      <c r="HG66" s="36"/>
      <c r="HH66" s="36"/>
      <c r="HI66" s="36"/>
      <c r="HJ66" s="36"/>
      <c r="HK66" s="36"/>
      <c r="HL66" s="36"/>
      <c r="HM66" s="36"/>
      <c r="HN66" s="36"/>
      <c r="HO66" s="36"/>
      <c r="HP66" s="36"/>
      <c r="HQ66" s="36"/>
      <c r="HR66" s="36"/>
      <c r="HS66" s="36"/>
      <c r="HT66" s="36"/>
      <c r="HU66" s="36"/>
      <c r="HV66" s="36"/>
      <c r="HW66" s="36"/>
      <c r="HX66" s="36"/>
      <c r="HY66" s="36"/>
      <c r="HZ66" s="36"/>
      <c r="IA66" s="36"/>
      <c r="IB66" s="36"/>
      <c r="IC66" s="36"/>
      <c r="ID66" s="36"/>
      <c r="IE66" s="36"/>
      <c r="IF66" s="36"/>
      <c r="IG66" s="36"/>
      <c r="IH66" s="36"/>
      <c r="II66" s="36"/>
      <c r="IJ66" s="36"/>
      <c r="IK66" s="36"/>
      <c r="IL66" s="36"/>
      <c r="IM66" s="36"/>
      <c r="IN66" s="36"/>
      <c r="IO66" s="36"/>
      <c r="IP66" s="36"/>
      <c r="IR66" s="2" t="s">
        <v>542</v>
      </c>
    </row>
    <row r="67" spans="1:252" ht="15.75" customHeight="1" x14ac:dyDescent="0.25">
      <c r="A67" s="36" t="s">
        <v>576</v>
      </c>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6"/>
      <c r="BQ67" s="6"/>
      <c r="BR67" s="6"/>
      <c r="BS67" s="6"/>
      <c r="BT67" s="6"/>
      <c r="BU67" s="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c r="CU67" s="36"/>
      <c r="CV67" s="36"/>
      <c r="CW67" s="36"/>
      <c r="CX67" s="36"/>
      <c r="CY67" s="36"/>
      <c r="CZ67" s="36"/>
      <c r="DA67" s="36"/>
      <c r="DB67" s="36"/>
      <c r="DC67" s="36"/>
      <c r="DD67" s="36"/>
      <c r="DE67" s="36"/>
      <c r="DF67" s="36"/>
      <c r="DG67" s="36"/>
      <c r="DH67" s="36"/>
      <c r="DI67" s="36"/>
      <c r="DJ67" s="36"/>
      <c r="DK67" s="36"/>
      <c r="DL67" s="36"/>
      <c r="DM67" s="36"/>
      <c r="DN67" s="36"/>
      <c r="DO67" s="36"/>
      <c r="DP67" s="36"/>
      <c r="DQ67" s="36"/>
      <c r="DR67" s="36"/>
      <c r="DS67" s="36"/>
      <c r="DT67" s="36"/>
      <c r="DU67" s="36"/>
      <c r="DV67" s="36"/>
      <c r="DW67" s="36"/>
      <c r="DX67" s="36"/>
      <c r="DY67" s="36"/>
      <c r="DZ67" s="36"/>
      <c r="EA67" s="36"/>
      <c r="EB67" s="36"/>
      <c r="EC67" s="36"/>
      <c r="ED67" s="36"/>
      <c r="EE67" s="36"/>
      <c r="EF67" s="36"/>
      <c r="EG67" s="36"/>
      <c r="EH67" s="36"/>
      <c r="EI67" s="36"/>
      <c r="EJ67" s="36"/>
      <c r="EK67" s="36"/>
      <c r="EL67" s="36"/>
      <c r="EM67" s="36"/>
      <c r="EN67" s="36"/>
      <c r="EO67" s="36"/>
      <c r="EP67" s="36"/>
      <c r="EQ67" s="36"/>
      <c r="ER67" s="36"/>
      <c r="ES67" s="36"/>
      <c r="ET67" s="36">
        <v>35</v>
      </c>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6"/>
      <c r="GB67" s="6"/>
      <c r="GC67" s="36"/>
      <c r="GD67" s="36"/>
      <c r="GE67" s="36"/>
      <c r="GF67" s="36"/>
      <c r="GG67" s="36"/>
      <c r="GH67" s="36"/>
      <c r="GI67" s="36"/>
      <c r="GJ67" s="36"/>
      <c r="GK67" s="36"/>
      <c r="GL67" s="36"/>
      <c r="GM67" s="36"/>
      <c r="GN67" s="36"/>
      <c r="GO67" s="36"/>
      <c r="GP67" s="36"/>
      <c r="GQ67" s="36"/>
      <c r="GR67" s="36"/>
      <c r="GS67" s="36"/>
      <c r="GT67" s="36"/>
      <c r="GU67" s="36"/>
      <c r="GV67" s="6"/>
      <c r="GW67" s="36"/>
      <c r="GX67" s="36"/>
      <c r="GY67" s="36"/>
      <c r="GZ67" s="36"/>
      <c r="HA67" s="36"/>
      <c r="HB67" s="36"/>
      <c r="HC67" s="36"/>
      <c r="HD67" s="36"/>
      <c r="HE67" s="36"/>
      <c r="HF67" s="36"/>
      <c r="HG67" s="36"/>
      <c r="HH67" s="36"/>
      <c r="HI67" s="36"/>
      <c r="HJ67" s="36"/>
      <c r="HK67" s="36"/>
      <c r="HL67" s="36"/>
      <c r="HM67" s="36"/>
      <c r="HN67" s="36"/>
      <c r="HO67" s="36"/>
      <c r="HP67" s="36"/>
      <c r="HQ67" s="36"/>
      <c r="HR67" s="36"/>
      <c r="HS67" s="36"/>
      <c r="HT67" s="36"/>
      <c r="HU67" s="36"/>
      <c r="HV67" s="36"/>
      <c r="HW67" s="36"/>
      <c r="HX67" s="36"/>
      <c r="HY67" s="36"/>
      <c r="HZ67" s="36"/>
      <c r="IA67" s="36"/>
      <c r="IB67" s="36"/>
      <c r="IC67" s="36"/>
      <c r="ID67" s="36"/>
      <c r="IE67" s="36"/>
      <c r="IF67" s="36"/>
      <c r="IG67" s="36"/>
      <c r="IH67" s="36"/>
      <c r="II67" s="36"/>
      <c r="IJ67" s="36"/>
      <c r="IK67" s="36"/>
      <c r="IL67" s="36"/>
      <c r="IM67" s="36"/>
      <c r="IN67" s="36"/>
      <c r="IO67" s="36"/>
      <c r="IP67" s="36"/>
      <c r="IR67" s="2" t="s">
        <v>542</v>
      </c>
    </row>
    <row r="68" spans="1:252" ht="15.75" customHeight="1" x14ac:dyDescent="0.25">
      <c r="A68" s="36" t="s">
        <v>577</v>
      </c>
      <c r="B68" s="36" t="s">
        <v>578</v>
      </c>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36"/>
      <c r="BN68" s="36"/>
      <c r="BO68" s="36"/>
      <c r="BP68" s="6"/>
      <c r="BQ68" s="6"/>
      <c r="BR68" s="6"/>
      <c r="BS68" s="6"/>
      <c r="BT68" s="6"/>
      <c r="BU68" s="6"/>
      <c r="BV68" s="36"/>
      <c r="BW68" s="36"/>
      <c r="BX68" s="36"/>
      <c r="BY68" s="36"/>
      <c r="BZ68" s="36"/>
      <c r="CA68" s="36"/>
      <c r="CB68" s="36"/>
      <c r="CC68" s="36"/>
      <c r="CD68" s="36"/>
      <c r="CE68" s="36"/>
      <c r="CF68" s="36"/>
      <c r="CG68" s="36"/>
      <c r="CH68" s="36"/>
      <c r="CI68" s="36"/>
      <c r="CJ68" s="36"/>
      <c r="CK68" s="36"/>
      <c r="CL68" s="36"/>
      <c r="CM68" s="36"/>
      <c r="CN68" s="36"/>
      <c r="CO68" s="36"/>
      <c r="CP68" s="36"/>
      <c r="CQ68" s="36"/>
      <c r="CR68" s="36"/>
      <c r="CS68" s="36"/>
      <c r="CT68" s="36"/>
      <c r="CU68" s="36"/>
      <c r="CV68" s="36"/>
      <c r="CW68" s="36"/>
      <c r="CX68" s="36"/>
      <c r="CY68" s="36"/>
      <c r="CZ68" s="36"/>
      <c r="DA68" s="36"/>
      <c r="DB68" s="36"/>
      <c r="DC68" s="36"/>
      <c r="DD68" s="36"/>
      <c r="DE68" s="36"/>
      <c r="DF68" s="36"/>
      <c r="DG68" s="36"/>
      <c r="DH68" s="36"/>
      <c r="DI68" s="36"/>
      <c r="DJ68" s="36"/>
      <c r="DK68" s="36"/>
      <c r="DL68" s="36"/>
      <c r="DM68" s="36"/>
      <c r="DN68" s="36"/>
      <c r="DO68" s="36"/>
      <c r="DP68" s="36"/>
      <c r="DQ68" s="36"/>
      <c r="DR68" s="36"/>
      <c r="DS68" s="36"/>
      <c r="DT68" s="36"/>
      <c r="DU68" s="36"/>
      <c r="DV68" s="36"/>
      <c r="DW68" s="36"/>
      <c r="DX68" s="36"/>
      <c r="DY68" s="36"/>
      <c r="DZ68" s="36"/>
      <c r="EA68" s="36"/>
      <c r="EB68" s="36"/>
      <c r="EC68" s="36"/>
      <c r="ED68" s="36"/>
      <c r="EE68" s="36"/>
      <c r="EF68" s="36"/>
      <c r="EG68" s="36"/>
      <c r="EH68" s="36"/>
      <c r="EI68" s="36"/>
      <c r="EJ68" s="36"/>
      <c r="EK68" s="36"/>
      <c r="EL68" s="36"/>
      <c r="EM68" s="36"/>
      <c r="EN68" s="36"/>
      <c r="EO68" s="36"/>
      <c r="EP68" s="36"/>
      <c r="EQ68" s="36"/>
      <c r="ER68" s="36"/>
      <c r="ES68" s="36"/>
      <c r="ET68" s="36">
        <v>10</v>
      </c>
      <c r="EU68" s="36"/>
      <c r="EV68" s="36"/>
      <c r="EW68" s="36"/>
      <c r="EX68" s="36"/>
      <c r="EY68" s="36">
        <v>50</v>
      </c>
      <c r="EZ68" s="36"/>
      <c r="FA68" s="36"/>
      <c r="FB68" s="36"/>
      <c r="FC68" s="36"/>
      <c r="FD68" s="36"/>
      <c r="FE68" s="36"/>
      <c r="FF68" s="36"/>
      <c r="FG68" s="36"/>
      <c r="FH68" s="36"/>
      <c r="FI68" s="36"/>
      <c r="FJ68" s="36"/>
      <c r="FK68" s="36"/>
      <c r="FL68" s="36"/>
      <c r="FM68" s="36"/>
      <c r="FN68" s="36"/>
      <c r="FO68" s="36"/>
      <c r="FP68" s="36"/>
      <c r="FQ68" s="36"/>
      <c r="FR68" s="36"/>
      <c r="FS68" s="36"/>
      <c r="FT68" s="36"/>
      <c r="FU68" s="36"/>
      <c r="FV68" s="36"/>
      <c r="FW68" s="36"/>
      <c r="FX68" s="36"/>
      <c r="FY68" s="36"/>
      <c r="FZ68" s="36"/>
      <c r="GA68" s="6"/>
      <c r="GB68" s="6"/>
      <c r="GC68" s="36">
        <v>250</v>
      </c>
      <c r="GD68" s="36"/>
      <c r="GE68" s="36"/>
      <c r="GF68" s="36"/>
      <c r="GG68" s="36"/>
      <c r="GH68" s="36"/>
      <c r="GI68" s="36"/>
      <c r="GJ68" s="36"/>
      <c r="GK68" s="36"/>
      <c r="GL68" s="36"/>
      <c r="GM68" s="36"/>
      <c r="GN68" s="36"/>
      <c r="GO68" s="36"/>
      <c r="GP68" s="36"/>
      <c r="GQ68" s="36"/>
      <c r="GR68" s="36"/>
      <c r="GS68" s="36"/>
      <c r="GT68" s="36"/>
      <c r="GU68" s="36"/>
      <c r="GV68" s="6"/>
      <c r="GW68" s="36"/>
      <c r="GX68" s="36"/>
      <c r="GY68" s="36"/>
      <c r="GZ68" s="36"/>
      <c r="HA68" s="36"/>
      <c r="HB68" s="36"/>
      <c r="HC68" s="36"/>
      <c r="HD68" s="36"/>
      <c r="HE68" s="36"/>
      <c r="HF68" s="36"/>
      <c r="HG68" s="36"/>
      <c r="HH68" s="36"/>
      <c r="HI68" s="36"/>
      <c r="HJ68" s="36"/>
      <c r="HK68" s="36"/>
      <c r="HL68" s="36"/>
      <c r="HM68" s="36"/>
      <c r="HN68" s="36"/>
      <c r="HO68" s="36"/>
      <c r="HP68" s="36"/>
      <c r="HQ68" s="36">
        <v>50</v>
      </c>
      <c r="HR68" s="36"/>
      <c r="HS68" s="36"/>
      <c r="HT68" s="36"/>
      <c r="HU68" s="36"/>
      <c r="HV68" s="36"/>
      <c r="HW68" s="36"/>
      <c r="HX68" s="36"/>
      <c r="HY68" s="36"/>
      <c r="HZ68" s="36"/>
      <c r="IA68" s="36"/>
      <c r="IB68" s="36"/>
      <c r="IC68" s="36"/>
      <c r="ID68" s="36"/>
      <c r="IE68" s="36"/>
      <c r="IF68" s="36"/>
      <c r="IG68" s="36"/>
      <c r="IH68" s="36"/>
      <c r="II68" s="36"/>
      <c r="IJ68" s="36"/>
      <c r="IK68" s="36"/>
      <c r="IL68" s="36"/>
      <c r="IM68" s="36"/>
      <c r="IN68" s="36"/>
      <c r="IO68" s="36"/>
      <c r="IP68" s="36"/>
      <c r="IR68" s="2" t="s">
        <v>543</v>
      </c>
    </row>
    <row r="69" spans="1:252" ht="15.75" customHeight="1" x14ac:dyDescent="0.25">
      <c r="A69" s="36" t="s">
        <v>577</v>
      </c>
      <c r="B69" s="36" t="s">
        <v>579</v>
      </c>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6"/>
      <c r="BQ69" s="6"/>
      <c r="BR69" s="6"/>
      <c r="BS69" s="6"/>
      <c r="BT69" s="6"/>
      <c r="BU69" s="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v>1</v>
      </c>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6"/>
      <c r="GB69" s="6"/>
      <c r="GC69" s="36"/>
      <c r="GD69" s="36"/>
      <c r="GE69" s="36"/>
      <c r="GF69" s="36"/>
      <c r="GG69" s="36"/>
      <c r="GH69" s="36"/>
      <c r="GI69" s="36"/>
      <c r="GJ69" s="36"/>
      <c r="GK69" s="36"/>
      <c r="GL69" s="36"/>
      <c r="GM69" s="36"/>
      <c r="GN69" s="36"/>
      <c r="GO69" s="36"/>
      <c r="GP69" s="36"/>
      <c r="GQ69" s="36"/>
      <c r="GR69" s="36"/>
      <c r="GS69" s="36"/>
      <c r="GT69" s="36"/>
      <c r="GU69" s="36"/>
      <c r="GV69" s="6"/>
      <c r="GW69" s="36"/>
      <c r="GX69" s="36"/>
      <c r="GY69" s="36"/>
      <c r="GZ69" s="36"/>
      <c r="HA69" s="36"/>
      <c r="HB69" s="36"/>
      <c r="HC69" s="36"/>
      <c r="HD69" s="36"/>
      <c r="HE69" s="36"/>
      <c r="HF69" s="36"/>
      <c r="HG69" s="36"/>
      <c r="HH69" s="36"/>
      <c r="HI69" s="36"/>
      <c r="HJ69" s="36"/>
      <c r="HK69" s="36"/>
      <c r="HL69" s="36"/>
      <c r="HM69" s="36"/>
      <c r="HN69" s="36"/>
      <c r="HO69" s="36"/>
      <c r="HP69" s="36"/>
      <c r="HQ69" s="36"/>
      <c r="HR69" s="36"/>
      <c r="HS69" s="36"/>
      <c r="HT69" s="36"/>
      <c r="HU69" s="36"/>
      <c r="HV69" s="36"/>
      <c r="HW69" s="36"/>
      <c r="HX69" s="36"/>
      <c r="HY69" s="36"/>
      <c r="HZ69" s="36"/>
      <c r="IA69" s="36"/>
      <c r="IB69" s="36"/>
      <c r="IC69" s="36"/>
      <c r="ID69" s="36"/>
      <c r="IE69" s="36"/>
      <c r="IF69" s="36"/>
      <c r="IG69" s="36"/>
      <c r="IH69" s="36"/>
      <c r="II69" s="36"/>
      <c r="IJ69" s="36"/>
      <c r="IK69" s="36"/>
      <c r="IL69" s="36"/>
      <c r="IM69" s="36"/>
      <c r="IN69" s="36"/>
      <c r="IO69" s="36"/>
      <c r="IP69" s="36"/>
      <c r="IR69" s="2" t="s">
        <v>543</v>
      </c>
    </row>
    <row r="70" spans="1:252" ht="15.75" customHeight="1" x14ac:dyDescent="0.25">
      <c r="A70" s="36" t="s">
        <v>580</v>
      </c>
      <c r="B70" s="36" t="s">
        <v>581</v>
      </c>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v>10</v>
      </c>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6"/>
      <c r="BQ70" s="6"/>
      <c r="BR70" s="6"/>
      <c r="BS70" s="6"/>
      <c r="BT70" s="6"/>
      <c r="BU70" s="6"/>
      <c r="BV70" s="36"/>
      <c r="BW70" s="36"/>
      <c r="BX70" s="36"/>
      <c r="BY70" s="36"/>
      <c r="BZ70" s="36"/>
      <c r="CA70" s="36"/>
      <c r="CB70" s="36"/>
      <c r="CC70" s="36"/>
      <c r="CD70" s="36"/>
      <c r="CE70" s="36"/>
      <c r="CF70" s="36"/>
      <c r="CG70" s="36"/>
      <c r="CH70" s="36"/>
      <c r="CI70" s="36"/>
      <c r="CJ70" s="36"/>
      <c r="CK70" s="36"/>
      <c r="CL70" s="36"/>
      <c r="CM70" s="36"/>
      <c r="CN70" s="36"/>
      <c r="CO70" s="36"/>
      <c r="CP70" s="36"/>
      <c r="CQ70" s="36"/>
      <c r="CR70" s="36"/>
      <c r="CS70" s="36"/>
      <c r="CT70" s="36"/>
      <c r="CU70" s="36"/>
      <c r="CV70" s="36"/>
      <c r="CW70" s="36"/>
      <c r="CX70" s="36"/>
      <c r="CY70" s="36"/>
      <c r="CZ70" s="36"/>
      <c r="DA70" s="36"/>
      <c r="DB70" s="36"/>
      <c r="DC70" s="36"/>
      <c r="DD70" s="36"/>
      <c r="DE70" s="36"/>
      <c r="DF70" s="36"/>
      <c r="DG70" s="36"/>
      <c r="DH70" s="36"/>
      <c r="DI70" s="36"/>
      <c r="DJ70" s="36"/>
      <c r="DK70" s="36"/>
      <c r="DL70" s="36"/>
      <c r="DM70" s="36"/>
      <c r="DN70" s="36"/>
      <c r="DO70" s="36"/>
      <c r="DP70" s="36"/>
      <c r="DQ70" s="36"/>
      <c r="DR70" s="36"/>
      <c r="DS70" s="36"/>
      <c r="DT70" s="36"/>
      <c r="DU70" s="36"/>
      <c r="DV70" s="36"/>
      <c r="DW70" s="36"/>
      <c r="DX70" s="36"/>
      <c r="DY70" s="36"/>
      <c r="DZ70" s="36"/>
      <c r="EA70" s="36"/>
      <c r="EB70" s="36"/>
      <c r="EC70" s="36"/>
      <c r="ED70" s="36"/>
      <c r="EE70" s="36"/>
      <c r="EF70" s="36"/>
      <c r="EG70" s="36"/>
      <c r="EH70" s="36"/>
      <c r="EI70" s="36"/>
      <c r="EJ70" s="36"/>
      <c r="EK70" s="36"/>
      <c r="EL70" s="36"/>
      <c r="EM70" s="36"/>
      <c r="EN70" s="36"/>
      <c r="EO70" s="36"/>
      <c r="EP70" s="36"/>
      <c r="EQ70" s="36"/>
      <c r="ER70" s="36"/>
      <c r="ES70" s="36">
        <v>10</v>
      </c>
      <c r="ET70" s="36"/>
      <c r="EU70" s="36"/>
      <c r="EV70" s="36"/>
      <c r="EW70" s="36"/>
      <c r="EX70" s="36"/>
      <c r="EY70" s="36"/>
      <c r="EZ70" s="36"/>
      <c r="FA70" s="36"/>
      <c r="FB70" s="36"/>
      <c r="FC70" s="36"/>
      <c r="FD70" s="36"/>
      <c r="FE70" s="36"/>
      <c r="FF70" s="36"/>
      <c r="FG70" s="36"/>
      <c r="FH70" s="36"/>
      <c r="FI70" s="36"/>
      <c r="FJ70" s="36"/>
      <c r="FK70" s="36"/>
      <c r="FL70" s="36"/>
      <c r="FM70" s="36"/>
      <c r="FN70" s="36"/>
      <c r="FO70" s="36"/>
      <c r="FP70" s="36"/>
      <c r="FQ70" s="36"/>
      <c r="FR70" s="36"/>
      <c r="FS70" s="36"/>
      <c r="FT70" s="36"/>
      <c r="FU70" s="36"/>
      <c r="FV70" s="36"/>
      <c r="FW70" s="36"/>
      <c r="FX70" s="36"/>
      <c r="FY70" s="36"/>
      <c r="FZ70" s="36"/>
      <c r="GA70" s="6"/>
      <c r="GB70" s="6"/>
      <c r="GC70" s="36"/>
      <c r="GD70" s="36"/>
      <c r="GE70" s="36"/>
      <c r="GF70" s="36"/>
      <c r="GG70" s="36"/>
      <c r="GH70" s="36"/>
      <c r="GI70" s="36"/>
      <c r="GJ70" s="36"/>
      <c r="GK70" s="36"/>
      <c r="GL70" s="36"/>
      <c r="GM70" s="36"/>
      <c r="GN70" s="36"/>
      <c r="GO70" s="36">
        <v>25</v>
      </c>
      <c r="GP70" s="36"/>
      <c r="GQ70" s="36"/>
      <c r="GR70" s="36"/>
      <c r="GS70" s="36"/>
      <c r="GT70" s="36"/>
      <c r="GU70" s="36"/>
      <c r="GV70" s="6"/>
      <c r="GW70" s="36"/>
      <c r="GX70" s="36"/>
      <c r="GY70" s="36"/>
      <c r="GZ70" s="36"/>
      <c r="HA70" s="36"/>
      <c r="HB70" s="36"/>
      <c r="HC70" s="36"/>
      <c r="HD70" s="36"/>
      <c r="HE70" s="36"/>
      <c r="HF70" s="36"/>
      <c r="HG70" s="36"/>
      <c r="HH70" s="36"/>
      <c r="HI70" s="36"/>
      <c r="HJ70" s="36"/>
      <c r="HK70" s="36"/>
      <c r="HL70" s="36"/>
      <c r="HM70" s="36"/>
      <c r="HN70" s="36"/>
      <c r="HO70" s="36"/>
      <c r="HP70" s="36"/>
      <c r="HQ70" s="36"/>
      <c r="HR70" s="36"/>
      <c r="HS70" s="36"/>
      <c r="HT70" s="36"/>
      <c r="HU70" s="36"/>
      <c r="HV70" s="36"/>
      <c r="HW70" s="36"/>
      <c r="HX70" s="36"/>
      <c r="HY70" s="36"/>
      <c r="HZ70" s="36"/>
      <c r="IA70" s="36"/>
      <c r="IB70" s="36"/>
      <c r="IC70" s="36"/>
      <c r="ID70" s="36"/>
      <c r="IE70" s="36"/>
      <c r="IF70" s="36"/>
      <c r="IG70" s="36"/>
      <c r="IH70" s="36"/>
      <c r="II70" s="36"/>
      <c r="IJ70" s="36"/>
      <c r="IK70" s="36"/>
      <c r="IL70" s="36"/>
      <c r="IM70" s="36"/>
      <c r="IN70" s="36"/>
      <c r="IO70" s="36"/>
      <c r="IP70" s="36"/>
      <c r="IR70" s="2" t="s">
        <v>543</v>
      </c>
    </row>
    <row r="71" spans="1:252" ht="15.75" customHeight="1" x14ac:dyDescent="0.25">
      <c r="A71" s="36" t="s">
        <v>580</v>
      </c>
      <c r="B71" s="36" t="s">
        <v>583</v>
      </c>
      <c r="C71" s="36"/>
      <c r="D71" s="36"/>
      <c r="E71" s="36"/>
      <c r="F71" s="36"/>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36"/>
      <c r="BN71" s="36"/>
      <c r="BO71" s="36"/>
      <c r="BP71" s="6"/>
      <c r="BQ71" s="6"/>
      <c r="BR71" s="6"/>
      <c r="BS71" s="6"/>
      <c r="BT71" s="6"/>
      <c r="BU71" s="6"/>
      <c r="BV71" s="36"/>
      <c r="BW71" s="36"/>
      <c r="BX71" s="36"/>
      <c r="BY71" s="36"/>
      <c r="BZ71" s="36"/>
      <c r="CA71" s="36"/>
      <c r="CB71" s="36"/>
      <c r="CC71" s="36"/>
      <c r="CD71" s="36"/>
      <c r="CE71" s="36"/>
      <c r="CF71" s="36"/>
      <c r="CG71" s="36"/>
      <c r="CH71" s="36"/>
      <c r="CI71" s="36"/>
      <c r="CJ71" s="36"/>
      <c r="CK71" s="36"/>
      <c r="CL71" s="36"/>
      <c r="CM71" s="36"/>
      <c r="CN71" s="36"/>
      <c r="CO71" s="36"/>
      <c r="CP71" s="36"/>
      <c r="CQ71" s="36"/>
      <c r="CR71" s="36"/>
      <c r="CS71" s="36"/>
      <c r="CT71" s="36"/>
      <c r="CU71" s="36"/>
      <c r="CV71" s="36"/>
      <c r="CW71" s="36"/>
      <c r="CX71" s="36"/>
      <c r="CY71" s="36"/>
      <c r="CZ71" s="36"/>
      <c r="DA71" s="36"/>
      <c r="DB71" s="36"/>
      <c r="DC71" s="36"/>
      <c r="DD71" s="36"/>
      <c r="DE71" s="36"/>
      <c r="DF71" s="36"/>
      <c r="DG71" s="36"/>
      <c r="DH71" s="36"/>
      <c r="DI71" s="36"/>
      <c r="DJ71" s="36"/>
      <c r="DK71" s="36"/>
      <c r="DL71" s="36"/>
      <c r="DM71" s="36"/>
      <c r="DN71" s="36"/>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c r="EM71" s="36"/>
      <c r="EN71" s="36"/>
      <c r="EO71" s="36"/>
      <c r="EP71" s="36"/>
      <c r="EQ71" s="36"/>
      <c r="ER71" s="36"/>
      <c r="ES71" s="36"/>
      <c r="ET71" s="36"/>
      <c r="EU71" s="36"/>
      <c r="EV71" s="36"/>
      <c r="EW71" s="36"/>
      <c r="EX71" s="36"/>
      <c r="EY71" s="36"/>
      <c r="EZ71" s="36"/>
      <c r="FA71" s="36"/>
      <c r="FB71" s="36"/>
      <c r="FC71" s="36"/>
      <c r="FD71" s="36"/>
      <c r="FE71" s="36"/>
      <c r="FF71" s="36"/>
      <c r="FG71" s="36"/>
      <c r="FH71" s="36"/>
      <c r="FI71" s="36"/>
      <c r="FJ71" s="36"/>
      <c r="FK71" s="36"/>
      <c r="FL71" s="36"/>
      <c r="FM71" s="36"/>
      <c r="FN71" s="36"/>
      <c r="FO71" s="36"/>
      <c r="FP71" s="36"/>
      <c r="FQ71" s="36"/>
      <c r="FR71" s="36"/>
      <c r="FS71" s="36"/>
      <c r="FT71" s="36"/>
      <c r="FU71" s="36"/>
      <c r="FV71" s="36"/>
      <c r="FW71" s="36"/>
      <c r="FX71" s="36"/>
      <c r="FY71" s="36"/>
      <c r="FZ71" s="36"/>
      <c r="GA71" s="6"/>
      <c r="GB71" s="6"/>
      <c r="GC71" s="36"/>
      <c r="GD71" s="36"/>
      <c r="GE71" s="36"/>
      <c r="GF71" s="36"/>
      <c r="GG71" s="36"/>
      <c r="GH71" s="36"/>
      <c r="GI71" s="36"/>
      <c r="GJ71" s="36"/>
      <c r="GK71" s="36"/>
      <c r="GL71" s="36"/>
      <c r="GM71" s="36"/>
      <c r="GN71" s="36"/>
      <c r="GO71" s="36"/>
      <c r="GP71" s="36"/>
      <c r="GQ71" s="36"/>
      <c r="GR71" s="36"/>
      <c r="GS71" s="36"/>
      <c r="GT71" s="36"/>
      <c r="GU71" s="36"/>
      <c r="GV71" s="6"/>
      <c r="GW71" s="36"/>
      <c r="GX71" s="36"/>
      <c r="GY71" s="36"/>
      <c r="GZ71" s="36"/>
      <c r="HA71" s="36"/>
      <c r="HB71" s="36"/>
      <c r="HC71" s="36"/>
      <c r="HD71" s="36"/>
      <c r="HE71" s="36"/>
      <c r="HF71" s="36"/>
      <c r="HG71" s="36"/>
      <c r="HH71" s="36"/>
      <c r="HI71" s="36"/>
      <c r="HJ71" s="36"/>
      <c r="HK71" s="36"/>
      <c r="HL71" s="36"/>
      <c r="HM71" s="36"/>
      <c r="HN71" s="36"/>
      <c r="HO71" s="36"/>
      <c r="HP71" s="36"/>
      <c r="HQ71" s="36"/>
      <c r="HR71" s="36"/>
      <c r="HS71" s="36"/>
      <c r="HT71" s="36"/>
      <c r="HU71" s="36"/>
      <c r="HV71" s="36"/>
      <c r="HW71" s="36"/>
      <c r="HX71" s="36">
        <v>120</v>
      </c>
      <c r="HY71" s="36"/>
      <c r="HZ71" s="36"/>
      <c r="IA71" s="36"/>
      <c r="IB71" s="36"/>
      <c r="IC71" s="36"/>
      <c r="ID71" s="36"/>
      <c r="IE71" s="36"/>
      <c r="IF71" s="36"/>
      <c r="IG71" s="36"/>
      <c r="IH71" s="36"/>
      <c r="II71" s="36"/>
      <c r="IJ71" s="36"/>
      <c r="IK71" s="36"/>
      <c r="IL71" s="36"/>
      <c r="IM71" s="36"/>
      <c r="IN71" s="36"/>
      <c r="IO71" s="36"/>
      <c r="IP71" s="36"/>
      <c r="IR71" s="2" t="s">
        <v>543</v>
      </c>
    </row>
    <row r="72" spans="1:252" ht="15.75" customHeight="1" x14ac:dyDescent="0.25">
      <c r="A72" s="36" t="s">
        <v>580</v>
      </c>
      <c r="B72" s="36" t="s">
        <v>584</v>
      </c>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36"/>
      <c r="BN72" s="36"/>
      <c r="BO72" s="36"/>
      <c r="BP72" s="6"/>
      <c r="BQ72" s="6"/>
      <c r="BR72" s="6"/>
      <c r="BS72" s="6"/>
      <c r="BT72" s="6"/>
      <c r="BU72" s="6"/>
      <c r="BV72" s="36"/>
      <c r="BW72" s="36"/>
      <c r="BX72" s="36"/>
      <c r="BY72" s="36"/>
      <c r="BZ72" s="36"/>
      <c r="CA72" s="36"/>
      <c r="CB72" s="36"/>
      <c r="CC72" s="36"/>
      <c r="CD72" s="36"/>
      <c r="CE72" s="36"/>
      <c r="CF72" s="36"/>
      <c r="CG72" s="36"/>
      <c r="CH72" s="36"/>
      <c r="CI72" s="36"/>
      <c r="CJ72" s="36"/>
      <c r="CK72" s="36"/>
      <c r="CL72" s="36"/>
      <c r="CM72" s="36"/>
      <c r="CN72" s="36"/>
      <c r="CO72" s="36"/>
      <c r="CP72" s="36"/>
      <c r="CQ72" s="36"/>
      <c r="CR72" s="36"/>
      <c r="CS72" s="36"/>
      <c r="CT72" s="36"/>
      <c r="CU72" s="36"/>
      <c r="CV72" s="36"/>
      <c r="CW72" s="36"/>
      <c r="CX72" s="36"/>
      <c r="CY72" s="36"/>
      <c r="CZ72" s="36"/>
      <c r="DA72" s="36"/>
      <c r="DB72" s="36"/>
      <c r="DC72" s="36"/>
      <c r="DD72" s="36"/>
      <c r="DE72" s="36"/>
      <c r="DF72" s="36"/>
      <c r="DG72" s="36"/>
      <c r="DH72" s="36"/>
      <c r="DI72" s="36"/>
      <c r="DJ72" s="36"/>
      <c r="DK72" s="36"/>
      <c r="DL72" s="36"/>
      <c r="DM72" s="36"/>
      <c r="DN72" s="36"/>
      <c r="DO72" s="36"/>
      <c r="DP72" s="36"/>
      <c r="DQ72" s="36"/>
      <c r="DR72" s="36"/>
      <c r="DS72" s="36"/>
      <c r="DT72" s="36"/>
      <c r="DU72" s="36"/>
      <c r="DV72" s="224">
        <v>12</v>
      </c>
      <c r="DW72" s="36"/>
      <c r="DX72" s="36"/>
      <c r="DY72" s="36"/>
      <c r="DZ72" s="36"/>
      <c r="EA72" s="36"/>
      <c r="EB72" s="36"/>
      <c r="EC72" s="36"/>
      <c r="ED72" s="36"/>
      <c r="EE72" s="36"/>
      <c r="EF72" s="36"/>
      <c r="EG72" s="36"/>
      <c r="EH72" s="36"/>
      <c r="EI72" s="36"/>
      <c r="EJ72" s="36"/>
      <c r="EK72" s="36"/>
      <c r="EL72" s="36"/>
      <c r="EM72" s="36"/>
      <c r="EN72" s="36"/>
      <c r="EO72" s="36"/>
      <c r="EP72" s="36"/>
      <c r="EQ72" s="36"/>
      <c r="ER72" s="36"/>
      <c r="ES72" s="36"/>
      <c r="ET72" s="36">
        <v>28</v>
      </c>
      <c r="EU72" s="36"/>
      <c r="EV72" s="36"/>
      <c r="EW72" s="36"/>
      <c r="EX72" s="36"/>
      <c r="EY72" s="36"/>
      <c r="EZ72" s="36"/>
      <c r="FA72" s="36"/>
      <c r="FB72" s="36"/>
      <c r="FC72" s="36"/>
      <c r="FD72" s="36"/>
      <c r="FE72" s="36"/>
      <c r="FF72" s="36"/>
      <c r="FG72" s="36"/>
      <c r="FH72" s="36"/>
      <c r="FI72" s="36"/>
      <c r="FJ72" s="36"/>
      <c r="FK72" s="36"/>
      <c r="FL72" s="36"/>
      <c r="FM72" s="36"/>
      <c r="FN72" s="36"/>
      <c r="FO72" s="36"/>
      <c r="FP72" s="36"/>
      <c r="FQ72" s="36"/>
      <c r="FR72" s="36"/>
      <c r="FS72" s="36"/>
      <c r="FT72" s="36"/>
      <c r="FU72" s="36"/>
      <c r="FV72" s="36"/>
      <c r="FW72" s="36"/>
      <c r="FX72" s="36"/>
      <c r="FY72" s="36"/>
      <c r="FZ72" s="36"/>
      <c r="GA72" s="6"/>
      <c r="GB72" s="6"/>
      <c r="GC72" s="36"/>
      <c r="GD72" s="36"/>
      <c r="GE72" s="36"/>
      <c r="GF72" s="36"/>
      <c r="GG72" s="36"/>
      <c r="GH72" s="36"/>
      <c r="GI72" s="36"/>
      <c r="GJ72" s="36"/>
      <c r="GK72" s="36"/>
      <c r="GL72" s="36"/>
      <c r="GM72" s="36"/>
      <c r="GN72" s="36"/>
      <c r="GO72" s="36"/>
      <c r="GP72" s="36"/>
      <c r="GQ72" s="36"/>
      <c r="GR72" s="36"/>
      <c r="GS72" s="36"/>
      <c r="GT72" s="36"/>
      <c r="GU72" s="36"/>
      <c r="GV72" s="6"/>
      <c r="GW72" s="36"/>
      <c r="GX72" s="36"/>
      <c r="GY72" s="36"/>
      <c r="GZ72" s="36"/>
      <c r="HA72" s="36"/>
      <c r="HB72" s="36"/>
      <c r="HC72" s="36"/>
      <c r="HD72" s="36"/>
      <c r="HE72" s="36"/>
      <c r="HF72" s="36"/>
      <c r="HG72" s="36"/>
      <c r="HH72" s="36"/>
      <c r="HI72" s="36"/>
      <c r="HJ72" s="36"/>
      <c r="HK72" s="36"/>
      <c r="HL72" s="36"/>
      <c r="HM72" s="36"/>
      <c r="HN72" s="36"/>
      <c r="HO72" s="36"/>
      <c r="HP72" s="36"/>
      <c r="HQ72" s="36"/>
      <c r="HR72" s="36"/>
      <c r="HS72" s="36"/>
      <c r="HT72" s="36"/>
      <c r="HU72" s="36"/>
      <c r="HV72" s="36"/>
      <c r="HW72" s="36"/>
      <c r="HX72" s="36"/>
      <c r="HY72" s="36"/>
      <c r="HZ72" s="36"/>
      <c r="IA72" s="36"/>
      <c r="IB72" s="36"/>
      <c r="IC72" s="36"/>
      <c r="ID72" s="36"/>
      <c r="IE72" s="36"/>
      <c r="IF72" s="36"/>
      <c r="IG72" s="36"/>
      <c r="IH72" s="36"/>
      <c r="II72" s="36"/>
      <c r="IJ72" s="36"/>
      <c r="IK72" s="36"/>
      <c r="IL72" s="36"/>
      <c r="IM72" s="36"/>
      <c r="IN72" s="36"/>
      <c r="IO72" s="36"/>
      <c r="IP72" s="36"/>
      <c r="IR72" s="2" t="s">
        <v>543</v>
      </c>
    </row>
    <row r="73" spans="1:252" ht="15.75" customHeight="1" x14ac:dyDescent="0.25">
      <c r="A73" s="36" t="s">
        <v>586</v>
      </c>
      <c r="B73" s="36" t="s">
        <v>587</v>
      </c>
      <c r="C73" s="36"/>
      <c r="D73" s="36"/>
      <c r="E73" s="36"/>
      <c r="F73" s="36"/>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36"/>
      <c r="BN73" s="36"/>
      <c r="BO73" s="36"/>
      <c r="BP73" s="6"/>
      <c r="BQ73" s="6"/>
      <c r="BR73" s="6"/>
      <c r="BS73" s="6"/>
      <c r="BT73" s="6"/>
      <c r="BU73" s="6"/>
      <c r="BV73" s="36"/>
      <c r="BW73" s="36"/>
      <c r="BX73" s="36"/>
      <c r="BY73" s="36"/>
      <c r="BZ73" s="36"/>
      <c r="CA73" s="36"/>
      <c r="CB73" s="36"/>
      <c r="CC73" s="36"/>
      <c r="CD73" s="36"/>
      <c r="CE73" s="36"/>
      <c r="CF73" s="36"/>
      <c r="CG73" s="36"/>
      <c r="CH73" s="36"/>
      <c r="CI73" s="36"/>
      <c r="CJ73" s="36"/>
      <c r="CK73" s="36"/>
      <c r="CL73" s="36"/>
      <c r="CM73" s="36"/>
      <c r="CN73" s="36"/>
      <c r="CO73" s="36"/>
      <c r="CP73" s="36"/>
      <c r="CQ73" s="36"/>
      <c r="CR73" s="36"/>
      <c r="CS73" s="36"/>
      <c r="CT73" s="36"/>
      <c r="CU73" s="36"/>
      <c r="CV73" s="36"/>
      <c r="CW73" s="36"/>
      <c r="CX73" s="36"/>
      <c r="CY73" s="36"/>
      <c r="CZ73" s="36"/>
      <c r="DA73" s="36"/>
      <c r="DB73" s="36"/>
      <c r="DC73" s="36"/>
      <c r="DD73" s="36"/>
      <c r="DE73" s="36"/>
      <c r="DF73" s="36"/>
      <c r="DG73" s="36"/>
      <c r="DH73" s="36"/>
      <c r="DI73" s="36"/>
      <c r="DJ73" s="36"/>
      <c r="DK73" s="36"/>
      <c r="DL73" s="36"/>
      <c r="DM73" s="36"/>
      <c r="DN73" s="36"/>
      <c r="DO73" s="36"/>
      <c r="DP73" s="36"/>
      <c r="DQ73" s="36"/>
      <c r="DR73" s="36"/>
      <c r="DS73" s="36"/>
      <c r="DT73" s="36"/>
      <c r="DU73" s="36"/>
      <c r="DV73" s="36"/>
      <c r="DW73" s="36"/>
      <c r="DX73" s="36"/>
      <c r="DY73" s="36"/>
      <c r="DZ73" s="36"/>
      <c r="EA73" s="36"/>
      <c r="EB73" s="36"/>
      <c r="EC73" s="36"/>
      <c r="ED73" s="36"/>
      <c r="EE73" s="36"/>
      <c r="EF73" s="36"/>
      <c r="EG73" s="36"/>
      <c r="EH73" s="36"/>
      <c r="EI73" s="36"/>
      <c r="EJ73" s="36"/>
      <c r="EK73" s="36"/>
      <c r="EL73" s="36"/>
      <c r="EM73" s="36"/>
      <c r="EN73" s="36"/>
      <c r="EO73" s="36"/>
      <c r="EP73" s="36"/>
      <c r="EQ73" s="36"/>
      <c r="ER73" s="36"/>
      <c r="ES73" s="36"/>
      <c r="ET73" s="36"/>
      <c r="EU73" s="36"/>
      <c r="EV73" s="36"/>
      <c r="EW73" s="36"/>
      <c r="EX73" s="36"/>
      <c r="EY73" s="36"/>
      <c r="EZ73" s="36"/>
      <c r="FA73" s="36"/>
      <c r="FB73" s="36"/>
      <c r="FC73" s="36"/>
      <c r="FD73" s="36"/>
      <c r="FE73" s="36"/>
      <c r="FF73" s="36"/>
      <c r="FG73" s="36"/>
      <c r="FH73" s="36"/>
      <c r="FI73" s="36"/>
      <c r="FJ73" s="36"/>
      <c r="FK73" s="36"/>
      <c r="FL73" s="36"/>
      <c r="FM73" s="36"/>
      <c r="FN73" s="36"/>
      <c r="FO73" s="36"/>
      <c r="FP73" s="36"/>
      <c r="FQ73" s="36"/>
      <c r="FR73" s="36"/>
      <c r="FS73" s="36"/>
      <c r="FT73" s="36"/>
      <c r="FU73" s="36"/>
      <c r="FV73" s="36"/>
      <c r="FW73" s="36"/>
      <c r="FX73" s="36"/>
      <c r="FY73" s="36">
        <v>50</v>
      </c>
      <c r="FZ73" s="36"/>
      <c r="GA73" s="6"/>
      <c r="GB73" s="6"/>
      <c r="GC73" s="36"/>
      <c r="GD73" s="36"/>
      <c r="GE73" s="36"/>
      <c r="GF73" s="36"/>
      <c r="GG73" s="36"/>
      <c r="GH73" s="36"/>
      <c r="GI73" s="36"/>
      <c r="GJ73" s="36"/>
      <c r="GK73" s="36"/>
      <c r="GL73" s="36"/>
      <c r="GM73" s="36"/>
      <c r="GN73" s="36"/>
      <c r="GO73" s="36"/>
      <c r="GP73" s="36"/>
      <c r="GQ73" s="36"/>
      <c r="GR73" s="36"/>
      <c r="GS73" s="36"/>
      <c r="GT73" s="36"/>
      <c r="GU73" s="36"/>
      <c r="GV73" s="6"/>
      <c r="GW73" s="36"/>
      <c r="GX73" s="36"/>
      <c r="GY73" s="36"/>
      <c r="GZ73" s="36"/>
      <c r="HA73" s="36"/>
      <c r="HB73" s="36"/>
      <c r="HC73" s="36"/>
      <c r="HD73" s="36"/>
      <c r="HE73" s="36"/>
      <c r="HF73" s="36"/>
      <c r="HG73" s="36"/>
      <c r="HH73" s="36"/>
      <c r="HI73" s="36"/>
      <c r="HJ73" s="36"/>
      <c r="HK73" s="36"/>
      <c r="HL73" s="36"/>
      <c r="HM73" s="36"/>
      <c r="HN73" s="36"/>
      <c r="HO73" s="36"/>
      <c r="HP73" s="36"/>
      <c r="HQ73" s="36"/>
      <c r="HR73" s="36"/>
      <c r="HS73" s="36"/>
      <c r="HT73" s="36"/>
      <c r="HU73" s="36"/>
      <c r="HV73" s="36"/>
      <c r="HW73" s="36"/>
      <c r="HX73" s="36"/>
      <c r="HY73" s="36"/>
      <c r="HZ73" s="36"/>
      <c r="IA73" s="36"/>
      <c r="IB73" s="36"/>
      <c r="IC73" s="36"/>
      <c r="ID73" s="36"/>
      <c r="IE73" s="36"/>
      <c r="IF73" s="36"/>
      <c r="IG73" s="36"/>
      <c r="IH73" s="36"/>
      <c r="II73" s="36"/>
      <c r="IJ73" s="36"/>
      <c r="IK73" s="36"/>
      <c r="IL73" s="36"/>
      <c r="IM73" s="36"/>
      <c r="IN73" s="36"/>
      <c r="IO73" s="36"/>
      <c r="IP73" s="36"/>
      <c r="IR73" s="2" t="s">
        <v>543</v>
      </c>
    </row>
    <row r="74" spans="1:252" ht="15.75" customHeight="1" x14ac:dyDescent="0.25">
      <c r="A74" s="36" t="s">
        <v>580</v>
      </c>
      <c r="B74" s="36" t="s">
        <v>591</v>
      </c>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36"/>
      <c r="BN74" s="36"/>
      <c r="BO74" s="36"/>
      <c r="BP74" s="6"/>
      <c r="BQ74" s="6"/>
      <c r="BR74" s="6"/>
      <c r="BS74" s="6"/>
      <c r="BT74" s="6"/>
      <c r="BU74" s="6"/>
      <c r="BV74" s="36"/>
      <c r="BW74" s="36"/>
      <c r="BX74" s="36"/>
      <c r="BY74" s="36"/>
      <c r="BZ74" s="36"/>
      <c r="CA74" s="36"/>
      <c r="CB74" s="36"/>
      <c r="CC74" s="36"/>
      <c r="CD74" s="36"/>
      <c r="CE74" s="36"/>
      <c r="CF74" s="36"/>
      <c r="CG74" s="36"/>
      <c r="CH74" s="36"/>
      <c r="CI74" s="36"/>
      <c r="CJ74" s="36"/>
      <c r="CK74" s="36"/>
      <c r="CL74" s="36"/>
      <c r="CM74" s="36"/>
      <c r="CN74" s="36"/>
      <c r="CO74" s="36"/>
      <c r="CP74" s="36"/>
      <c r="CQ74" s="36"/>
      <c r="CR74" s="36"/>
      <c r="CS74" s="36"/>
      <c r="CT74" s="36"/>
      <c r="CU74" s="36"/>
      <c r="CV74" s="36"/>
      <c r="CW74" s="36"/>
      <c r="CX74" s="36"/>
      <c r="CY74" s="36"/>
      <c r="CZ74" s="36"/>
      <c r="DA74" s="36"/>
      <c r="DB74" s="36"/>
      <c r="DC74" s="36"/>
      <c r="DD74" s="36"/>
      <c r="DE74" s="36"/>
      <c r="DF74" s="36"/>
      <c r="DG74" s="36"/>
      <c r="DH74" s="36"/>
      <c r="DI74" s="36"/>
      <c r="DJ74" s="36"/>
      <c r="DK74" s="36"/>
      <c r="DL74" s="36"/>
      <c r="DM74" s="36"/>
      <c r="DN74" s="36"/>
      <c r="DO74" s="36"/>
      <c r="DP74" s="36"/>
      <c r="DQ74" s="36"/>
      <c r="DR74" s="36"/>
      <c r="DS74" s="36"/>
      <c r="DT74" s="36"/>
      <c r="DU74" s="36"/>
      <c r="DV74" s="224">
        <v>90</v>
      </c>
      <c r="DW74" s="36"/>
      <c r="DX74" s="36"/>
      <c r="DY74" s="36"/>
      <c r="DZ74" s="36"/>
      <c r="EA74" s="36"/>
      <c r="EB74" s="36"/>
      <c r="EC74" s="36"/>
      <c r="ED74" s="36"/>
      <c r="EE74" s="36"/>
      <c r="EF74" s="36"/>
      <c r="EG74" s="36"/>
      <c r="EH74" s="36"/>
      <c r="EI74" s="36"/>
      <c r="EJ74" s="36"/>
      <c r="EK74" s="36"/>
      <c r="EL74" s="36"/>
      <c r="EM74" s="36"/>
      <c r="EN74" s="36"/>
      <c r="EO74" s="36"/>
      <c r="EP74" s="36"/>
      <c r="EQ74" s="36"/>
      <c r="ER74" s="36"/>
      <c r="ES74" s="36"/>
      <c r="ET74" s="36"/>
      <c r="EU74" s="36"/>
      <c r="EV74" s="36"/>
      <c r="EW74" s="36"/>
      <c r="EX74" s="36"/>
      <c r="EY74" s="36"/>
      <c r="EZ74" s="36"/>
      <c r="FA74" s="36"/>
      <c r="FB74" s="36"/>
      <c r="FC74" s="36"/>
      <c r="FD74" s="36"/>
      <c r="FE74" s="36"/>
      <c r="FF74" s="36"/>
      <c r="FG74" s="36"/>
      <c r="FH74" s="36"/>
      <c r="FI74" s="36"/>
      <c r="FJ74" s="36"/>
      <c r="FK74" s="36"/>
      <c r="FL74" s="36"/>
      <c r="FM74" s="36"/>
      <c r="FN74" s="36"/>
      <c r="FO74" s="36"/>
      <c r="FP74" s="36"/>
      <c r="FQ74" s="36"/>
      <c r="FR74" s="36"/>
      <c r="FS74" s="36"/>
      <c r="FT74" s="36"/>
      <c r="FU74" s="36"/>
      <c r="FV74" s="36"/>
      <c r="FW74" s="36"/>
      <c r="FX74" s="36"/>
      <c r="FY74" s="36"/>
      <c r="FZ74" s="36"/>
      <c r="GA74" s="6"/>
      <c r="GB74" s="6"/>
      <c r="GC74" s="36"/>
      <c r="GD74" s="36"/>
      <c r="GE74" s="36"/>
      <c r="GF74" s="36"/>
      <c r="GG74" s="36"/>
      <c r="GH74" s="36"/>
      <c r="GI74" s="36"/>
      <c r="GJ74" s="36"/>
      <c r="GK74" s="36"/>
      <c r="GL74" s="36"/>
      <c r="GM74" s="36"/>
      <c r="GN74" s="36"/>
      <c r="GO74" s="36"/>
      <c r="GP74" s="36"/>
      <c r="GQ74" s="36"/>
      <c r="GR74" s="36"/>
      <c r="GS74" s="36"/>
      <c r="GT74" s="36"/>
      <c r="GU74" s="36"/>
      <c r="GV74" s="6"/>
      <c r="GW74" s="36"/>
      <c r="GX74" s="36"/>
      <c r="GY74" s="36"/>
      <c r="GZ74" s="36"/>
      <c r="HA74" s="36"/>
      <c r="HB74" s="36"/>
      <c r="HC74" s="36"/>
      <c r="HD74" s="36"/>
      <c r="HE74" s="36"/>
      <c r="HF74" s="36"/>
      <c r="HG74" s="36"/>
      <c r="HH74" s="36"/>
      <c r="HI74" s="36"/>
      <c r="HJ74" s="36"/>
      <c r="HK74" s="36"/>
      <c r="HL74" s="36"/>
      <c r="HM74" s="36"/>
      <c r="HN74" s="36"/>
      <c r="HO74" s="36"/>
      <c r="HP74" s="36"/>
      <c r="HQ74" s="36"/>
      <c r="HR74" s="36"/>
      <c r="HS74" s="36"/>
      <c r="HT74" s="36"/>
      <c r="HU74" s="36"/>
      <c r="HV74" s="36"/>
      <c r="HW74" s="36"/>
      <c r="HX74" s="36"/>
      <c r="HY74" s="36"/>
      <c r="HZ74" s="36"/>
      <c r="IA74" s="36"/>
      <c r="IB74" s="36"/>
      <c r="IC74" s="36"/>
      <c r="ID74" s="36"/>
      <c r="IE74" s="36"/>
      <c r="IF74" s="36"/>
      <c r="IG74" s="36"/>
      <c r="IH74" s="36"/>
      <c r="II74" s="36"/>
      <c r="IJ74" s="36"/>
      <c r="IK74" s="36"/>
      <c r="IL74" s="36"/>
      <c r="IM74" s="36"/>
      <c r="IN74" s="36"/>
      <c r="IO74" s="36"/>
      <c r="IP74" s="36"/>
      <c r="IR74" s="2" t="s">
        <v>543</v>
      </c>
    </row>
    <row r="75" spans="1:252" ht="15.75" customHeight="1" x14ac:dyDescent="0.25">
      <c r="A75" s="36" t="s">
        <v>597</v>
      </c>
      <c r="B75" s="36" t="s">
        <v>598</v>
      </c>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36"/>
      <c r="BN75" s="36"/>
      <c r="BO75" s="36"/>
      <c r="BP75" s="6"/>
      <c r="BQ75" s="6"/>
      <c r="BR75" s="6"/>
      <c r="BS75" s="6"/>
      <c r="BT75" s="6"/>
      <c r="BU75" s="6"/>
      <c r="BV75" s="36"/>
      <c r="BW75" s="36"/>
      <c r="BX75" s="36"/>
      <c r="BY75" s="36"/>
      <c r="BZ75" s="36"/>
      <c r="CA75" s="36"/>
      <c r="CB75" s="36"/>
      <c r="CC75" s="36"/>
      <c r="CD75" s="36"/>
      <c r="CE75" s="36"/>
      <c r="CF75" s="36"/>
      <c r="CG75" s="36"/>
      <c r="CH75" s="36"/>
      <c r="CI75" s="36"/>
      <c r="CJ75" s="36"/>
      <c r="CK75" s="36"/>
      <c r="CL75" s="36"/>
      <c r="CM75" s="36"/>
      <c r="CN75" s="36"/>
      <c r="CO75" s="36"/>
      <c r="CP75" s="36"/>
      <c r="CQ75" s="36"/>
      <c r="CR75" s="36"/>
      <c r="CS75" s="36"/>
      <c r="CT75" s="36"/>
      <c r="CU75" s="36"/>
      <c r="CV75" s="36"/>
      <c r="CW75" s="36"/>
      <c r="CX75" s="36"/>
      <c r="CY75" s="36"/>
      <c r="CZ75" s="36"/>
      <c r="DA75" s="36"/>
      <c r="DB75" s="36"/>
      <c r="DC75" s="36"/>
      <c r="DD75" s="36"/>
      <c r="DE75" s="36"/>
      <c r="DF75" s="36"/>
      <c r="DG75" s="36"/>
      <c r="DH75" s="36"/>
      <c r="DI75" s="36"/>
      <c r="DJ75" s="36"/>
      <c r="DK75" s="36"/>
      <c r="DL75" s="36"/>
      <c r="DM75" s="36"/>
      <c r="DN75" s="36"/>
      <c r="DO75" s="36"/>
      <c r="DP75" s="36"/>
      <c r="DQ75" s="36"/>
      <c r="DR75" s="36"/>
      <c r="DS75" s="36"/>
      <c r="DT75" s="36"/>
      <c r="DU75" s="36"/>
      <c r="DV75" s="224">
        <v>12</v>
      </c>
      <c r="DW75" s="36"/>
      <c r="DX75" s="36"/>
      <c r="DY75" s="36"/>
      <c r="DZ75" s="36"/>
      <c r="EA75" s="36"/>
      <c r="EB75" s="36"/>
      <c r="EC75" s="36"/>
      <c r="ED75" s="36"/>
      <c r="EE75" s="36"/>
      <c r="EF75" s="36"/>
      <c r="EG75" s="36"/>
      <c r="EH75" s="36"/>
      <c r="EI75" s="36"/>
      <c r="EJ75" s="36"/>
      <c r="EK75" s="36"/>
      <c r="EL75" s="36"/>
      <c r="EM75" s="36"/>
      <c r="EN75" s="36"/>
      <c r="EO75" s="36"/>
      <c r="EP75" s="36"/>
      <c r="EQ75" s="36"/>
      <c r="ER75" s="36"/>
      <c r="ES75" s="36"/>
      <c r="ET75" s="36"/>
      <c r="EU75" s="36"/>
      <c r="EV75" s="36"/>
      <c r="EW75" s="36"/>
      <c r="EX75" s="36"/>
      <c r="EY75" s="36"/>
      <c r="EZ75" s="36"/>
      <c r="FA75" s="36"/>
      <c r="FB75" s="36"/>
      <c r="FC75" s="36"/>
      <c r="FD75" s="36"/>
      <c r="FE75" s="36"/>
      <c r="FF75" s="36"/>
      <c r="FG75" s="36"/>
      <c r="FH75" s="36"/>
      <c r="FI75" s="36"/>
      <c r="FJ75" s="36"/>
      <c r="FK75" s="36"/>
      <c r="FL75" s="36"/>
      <c r="FM75" s="36"/>
      <c r="FN75" s="36"/>
      <c r="FO75" s="36"/>
      <c r="FP75" s="36"/>
      <c r="FQ75" s="36"/>
      <c r="FR75" s="36"/>
      <c r="FS75" s="36"/>
      <c r="FT75" s="36"/>
      <c r="FU75" s="36"/>
      <c r="FV75" s="36"/>
      <c r="FW75" s="36"/>
      <c r="FX75" s="36"/>
      <c r="FY75" s="36"/>
      <c r="FZ75" s="36"/>
      <c r="GA75" s="6"/>
      <c r="GB75" s="6"/>
      <c r="GC75" s="36"/>
      <c r="GD75" s="36"/>
      <c r="GE75" s="36"/>
      <c r="GF75" s="36"/>
      <c r="GG75" s="36"/>
      <c r="GH75" s="36"/>
      <c r="GI75" s="36"/>
      <c r="GJ75" s="36"/>
      <c r="GK75" s="36"/>
      <c r="GL75" s="36"/>
      <c r="GM75" s="36"/>
      <c r="GN75" s="36"/>
      <c r="GO75" s="36"/>
      <c r="GP75" s="36"/>
      <c r="GQ75" s="36"/>
      <c r="GR75" s="36"/>
      <c r="GS75" s="36"/>
      <c r="GT75" s="36"/>
      <c r="GU75" s="36"/>
      <c r="GV75" s="6"/>
      <c r="GW75" s="36"/>
      <c r="GX75" s="36"/>
      <c r="GY75" s="36"/>
      <c r="GZ75" s="36"/>
      <c r="HA75" s="36"/>
      <c r="HB75" s="36"/>
      <c r="HC75" s="36"/>
      <c r="HD75" s="36"/>
      <c r="HE75" s="36"/>
      <c r="HF75" s="36"/>
      <c r="HG75" s="36"/>
      <c r="HH75" s="36"/>
      <c r="HI75" s="36"/>
      <c r="HJ75" s="36"/>
      <c r="HK75" s="36"/>
      <c r="HL75" s="36"/>
      <c r="HM75" s="36"/>
      <c r="HN75" s="36"/>
      <c r="HO75" s="36"/>
      <c r="HP75" s="36"/>
      <c r="HQ75" s="36"/>
      <c r="HR75" s="36"/>
      <c r="HS75" s="36"/>
      <c r="HT75" s="36"/>
      <c r="HU75" s="36"/>
      <c r="HV75" s="36"/>
      <c r="HW75" s="36"/>
      <c r="HX75" s="36"/>
      <c r="HY75" s="36"/>
      <c r="HZ75" s="36"/>
      <c r="IA75" s="36"/>
      <c r="IB75" s="36"/>
      <c r="IC75" s="36"/>
      <c r="ID75" s="36"/>
      <c r="IE75" s="36"/>
      <c r="IF75" s="36"/>
      <c r="IG75" s="36"/>
      <c r="IH75" s="36"/>
      <c r="II75" s="36"/>
      <c r="IJ75" s="36"/>
      <c r="IK75" s="36"/>
      <c r="IL75" s="36"/>
      <c r="IM75" s="36"/>
      <c r="IN75" s="36"/>
      <c r="IO75" s="36"/>
      <c r="IP75" s="36"/>
      <c r="IR75" s="2" t="s">
        <v>543</v>
      </c>
    </row>
    <row r="76" spans="1:252" ht="15.75" customHeight="1" x14ac:dyDescent="0.25">
      <c r="A76" s="36" t="s">
        <v>597</v>
      </c>
      <c r="B76" s="36" t="s">
        <v>600</v>
      </c>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36"/>
      <c r="BN76" s="36"/>
      <c r="BO76" s="36"/>
      <c r="BP76" s="6"/>
      <c r="BQ76" s="6"/>
      <c r="BR76" s="6"/>
      <c r="BS76" s="6"/>
      <c r="BT76" s="6"/>
      <c r="BU76" s="6"/>
      <c r="BV76" s="36"/>
      <c r="BW76" s="36"/>
      <c r="BX76" s="36"/>
      <c r="BY76" s="36"/>
      <c r="BZ76" s="36"/>
      <c r="CA76" s="36"/>
      <c r="CB76" s="36"/>
      <c r="CC76" s="36"/>
      <c r="CD76" s="36"/>
      <c r="CE76" s="36"/>
      <c r="CF76" s="36"/>
      <c r="CG76" s="36"/>
      <c r="CH76" s="36"/>
      <c r="CI76" s="36"/>
      <c r="CJ76" s="36"/>
      <c r="CK76" s="36"/>
      <c r="CL76" s="36"/>
      <c r="CM76" s="36"/>
      <c r="CN76" s="36"/>
      <c r="CO76" s="36"/>
      <c r="CP76" s="36"/>
      <c r="CQ76" s="36"/>
      <c r="CR76" s="36"/>
      <c r="CS76" s="36"/>
      <c r="CT76" s="36"/>
      <c r="CU76" s="36"/>
      <c r="CV76" s="36"/>
      <c r="CW76" s="36"/>
      <c r="CX76" s="36"/>
      <c r="CY76" s="36"/>
      <c r="CZ76" s="36"/>
      <c r="DA76" s="36"/>
      <c r="DB76" s="36"/>
      <c r="DC76" s="36"/>
      <c r="DD76" s="36"/>
      <c r="DE76" s="36"/>
      <c r="DF76" s="36"/>
      <c r="DG76" s="36"/>
      <c r="DH76" s="36"/>
      <c r="DI76" s="36"/>
      <c r="DJ76" s="36"/>
      <c r="DK76" s="36"/>
      <c r="DL76" s="36"/>
      <c r="DM76" s="36"/>
      <c r="DN76" s="36"/>
      <c r="DO76" s="36"/>
      <c r="DP76" s="36"/>
      <c r="DQ76" s="36"/>
      <c r="DR76" s="36"/>
      <c r="DS76" s="36"/>
      <c r="DT76" s="36"/>
      <c r="DU76" s="36"/>
      <c r="DV76" s="36"/>
      <c r="DW76" s="36"/>
      <c r="DX76" s="36"/>
      <c r="DY76" s="36"/>
      <c r="DZ76" s="36"/>
      <c r="EA76" s="36"/>
      <c r="EB76" s="36"/>
      <c r="EC76" s="36"/>
      <c r="ED76" s="36"/>
      <c r="EE76" s="36"/>
      <c r="EF76" s="36"/>
      <c r="EG76" s="36"/>
      <c r="EH76" s="36"/>
      <c r="EI76" s="36"/>
      <c r="EJ76" s="36"/>
      <c r="EK76" s="36"/>
      <c r="EL76" s="36"/>
      <c r="EM76" s="36"/>
      <c r="EN76" s="36">
        <v>55</v>
      </c>
      <c r="EO76" s="36"/>
      <c r="EP76" s="36"/>
      <c r="EQ76" s="36"/>
      <c r="ER76" s="36"/>
      <c r="ES76" s="36"/>
      <c r="ET76" s="36"/>
      <c r="EU76" s="36"/>
      <c r="EV76" s="36"/>
      <c r="EW76" s="36"/>
      <c r="EX76" s="36"/>
      <c r="EY76" s="36"/>
      <c r="EZ76" s="36"/>
      <c r="FA76" s="36"/>
      <c r="FB76" s="36"/>
      <c r="FC76" s="36"/>
      <c r="FD76" s="36"/>
      <c r="FE76" s="36"/>
      <c r="FF76" s="36"/>
      <c r="FG76" s="36"/>
      <c r="FH76" s="36"/>
      <c r="FI76" s="36"/>
      <c r="FJ76" s="36"/>
      <c r="FK76" s="36"/>
      <c r="FL76" s="36"/>
      <c r="FM76" s="36"/>
      <c r="FN76" s="36"/>
      <c r="FO76" s="36"/>
      <c r="FP76" s="36"/>
      <c r="FQ76" s="36"/>
      <c r="FR76" s="36"/>
      <c r="FS76" s="36"/>
      <c r="FT76" s="36"/>
      <c r="FU76" s="36"/>
      <c r="FV76" s="36"/>
      <c r="FW76" s="36"/>
      <c r="FX76" s="36"/>
      <c r="FY76" s="36"/>
      <c r="FZ76" s="36"/>
      <c r="GA76" s="6"/>
      <c r="GB76" s="6"/>
      <c r="GC76" s="36"/>
      <c r="GD76" s="36"/>
      <c r="GE76" s="36"/>
      <c r="GF76" s="36"/>
      <c r="GG76" s="36"/>
      <c r="GH76" s="36"/>
      <c r="GI76" s="36"/>
      <c r="GJ76" s="36"/>
      <c r="GK76" s="36"/>
      <c r="GL76" s="36"/>
      <c r="GM76" s="36"/>
      <c r="GN76" s="36"/>
      <c r="GO76" s="36"/>
      <c r="GP76" s="36"/>
      <c r="GQ76" s="36"/>
      <c r="GR76" s="36"/>
      <c r="GS76" s="36"/>
      <c r="GT76" s="36"/>
      <c r="GU76" s="36"/>
      <c r="GV76" s="6"/>
      <c r="GW76" s="36"/>
      <c r="GX76" s="36"/>
      <c r="GY76" s="36"/>
      <c r="GZ76" s="36"/>
      <c r="HA76" s="36"/>
      <c r="HB76" s="36"/>
      <c r="HC76" s="36"/>
      <c r="HD76" s="36"/>
      <c r="HE76" s="36"/>
      <c r="HF76" s="36"/>
      <c r="HG76" s="36"/>
      <c r="HH76" s="36"/>
      <c r="HI76" s="36"/>
      <c r="HJ76" s="36"/>
      <c r="HK76" s="36"/>
      <c r="HL76" s="36"/>
      <c r="HM76" s="36"/>
      <c r="HN76" s="36"/>
      <c r="HO76" s="36"/>
      <c r="HP76" s="36"/>
      <c r="HQ76" s="36"/>
      <c r="HR76" s="36"/>
      <c r="HS76" s="36"/>
      <c r="HT76" s="36"/>
      <c r="HU76" s="36"/>
      <c r="HV76" s="36"/>
      <c r="HW76" s="36"/>
      <c r="HX76" s="36"/>
      <c r="HY76" s="36"/>
      <c r="HZ76" s="36"/>
      <c r="IA76" s="36"/>
      <c r="IB76" s="36"/>
      <c r="IC76" s="36"/>
      <c r="ID76" s="36"/>
      <c r="IE76" s="36"/>
      <c r="IF76" s="36"/>
      <c r="IG76" s="36"/>
      <c r="IH76" s="36"/>
      <c r="II76" s="36"/>
      <c r="IJ76" s="36"/>
      <c r="IK76" s="36"/>
      <c r="IL76" s="36"/>
      <c r="IM76" s="36"/>
      <c r="IN76" s="36"/>
      <c r="IO76" s="36"/>
      <c r="IP76" s="36"/>
      <c r="IR76" s="2" t="s">
        <v>543</v>
      </c>
    </row>
    <row r="77" spans="1:252" ht="15.75" customHeight="1" x14ac:dyDescent="0.25">
      <c r="A77" s="36" t="s">
        <v>601</v>
      </c>
      <c r="B77" s="36" t="s">
        <v>602</v>
      </c>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36"/>
      <c r="BN77" s="36"/>
      <c r="BO77" s="36"/>
      <c r="BP77" s="6"/>
      <c r="BQ77" s="6"/>
      <c r="BR77" s="6"/>
      <c r="BS77" s="6"/>
      <c r="BT77" s="6"/>
      <c r="BU77" s="6"/>
      <c r="BV77" s="36"/>
      <c r="BW77" s="36"/>
      <c r="BX77" s="36"/>
      <c r="BY77" s="36"/>
      <c r="BZ77" s="36"/>
      <c r="CA77" s="36"/>
      <c r="CB77" s="36"/>
      <c r="CC77" s="36"/>
      <c r="CD77" s="36"/>
      <c r="CE77" s="36"/>
      <c r="CF77" s="36"/>
      <c r="CG77" s="36"/>
      <c r="CH77" s="36"/>
      <c r="CI77" s="36"/>
      <c r="CJ77" s="36"/>
      <c r="CK77" s="36"/>
      <c r="CL77" s="36"/>
      <c r="CM77" s="36"/>
      <c r="CN77" s="36"/>
      <c r="CO77" s="36"/>
      <c r="CP77" s="36"/>
      <c r="CQ77" s="36"/>
      <c r="CR77" s="36"/>
      <c r="CS77" s="36"/>
      <c r="CT77" s="36"/>
      <c r="CU77" s="36"/>
      <c r="CV77" s="36"/>
      <c r="CW77" s="36"/>
      <c r="CX77" s="36"/>
      <c r="CY77" s="36"/>
      <c r="CZ77" s="36"/>
      <c r="DA77" s="36"/>
      <c r="DB77" s="36"/>
      <c r="DC77" s="36"/>
      <c r="DD77" s="36"/>
      <c r="DE77" s="36"/>
      <c r="DF77" s="36"/>
      <c r="DG77" s="36">
        <v>38</v>
      </c>
      <c r="DH77" s="36"/>
      <c r="DI77" s="36"/>
      <c r="DJ77" s="36"/>
      <c r="DK77" s="36"/>
      <c r="DL77" s="36"/>
      <c r="DM77" s="36"/>
      <c r="DN77" s="36"/>
      <c r="DO77" s="36"/>
      <c r="DP77" s="36"/>
      <c r="DQ77" s="36"/>
      <c r="DR77" s="36"/>
      <c r="DS77" s="36"/>
      <c r="DT77" s="36"/>
      <c r="DU77" s="36"/>
      <c r="DV77" s="36"/>
      <c r="DW77" s="36"/>
      <c r="DX77" s="36"/>
      <c r="DY77" s="36"/>
      <c r="DZ77" s="36"/>
      <c r="EA77" s="36"/>
      <c r="EB77" s="36"/>
      <c r="EC77" s="36"/>
      <c r="ED77" s="36"/>
      <c r="EE77" s="36"/>
      <c r="EF77" s="36"/>
      <c r="EG77" s="36"/>
      <c r="EH77" s="36"/>
      <c r="EI77" s="36"/>
      <c r="EJ77" s="36"/>
      <c r="EK77" s="36"/>
      <c r="EL77" s="36"/>
      <c r="EM77" s="36"/>
      <c r="EN77" s="36"/>
      <c r="EO77" s="36"/>
      <c r="EP77" s="36"/>
      <c r="EQ77" s="36"/>
      <c r="ER77" s="36"/>
      <c r="ES77" s="36"/>
      <c r="ET77" s="36"/>
      <c r="EU77" s="36"/>
      <c r="EV77" s="36"/>
      <c r="EW77" s="36"/>
      <c r="EX77" s="36"/>
      <c r="EY77" s="36">
        <v>50</v>
      </c>
      <c r="EZ77" s="36"/>
      <c r="FA77" s="36"/>
      <c r="FB77" s="36"/>
      <c r="FC77" s="36"/>
      <c r="FD77" s="36"/>
      <c r="FE77" s="36"/>
      <c r="FF77" s="36"/>
      <c r="FG77" s="36"/>
      <c r="FH77" s="36"/>
      <c r="FI77" s="36"/>
      <c r="FJ77" s="36"/>
      <c r="FK77" s="36"/>
      <c r="FL77" s="36"/>
      <c r="FM77" s="36"/>
      <c r="FN77" s="36"/>
      <c r="FO77" s="36"/>
      <c r="FP77" s="36"/>
      <c r="FQ77" s="36"/>
      <c r="FR77" s="36"/>
      <c r="FS77" s="36"/>
      <c r="FT77" s="36"/>
      <c r="FU77" s="36"/>
      <c r="FV77" s="36"/>
      <c r="FW77" s="36"/>
      <c r="FX77" s="36"/>
      <c r="FY77" s="36"/>
      <c r="FZ77" s="36"/>
      <c r="GA77" s="6"/>
      <c r="GB77" s="6"/>
      <c r="GC77" s="36"/>
      <c r="GD77" s="36"/>
      <c r="GE77" s="36"/>
      <c r="GF77" s="36"/>
      <c r="GG77" s="36"/>
      <c r="GH77" s="36"/>
      <c r="GI77" s="36"/>
      <c r="GJ77" s="36"/>
      <c r="GK77" s="36"/>
      <c r="GL77" s="36"/>
      <c r="GM77" s="36"/>
      <c r="GN77" s="36"/>
      <c r="GO77" s="36"/>
      <c r="GP77" s="36"/>
      <c r="GQ77" s="36"/>
      <c r="GR77" s="36"/>
      <c r="GS77" s="36"/>
      <c r="GT77" s="36"/>
      <c r="GU77" s="36"/>
      <c r="GV77" s="6"/>
      <c r="GW77" s="36"/>
      <c r="GX77" s="36"/>
      <c r="GY77" s="36"/>
      <c r="GZ77" s="36"/>
      <c r="HA77" s="36"/>
      <c r="HB77" s="36"/>
      <c r="HC77" s="36"/>
      <c r="HD77" s="36"/>
      <c r="HE77" s="36"/>
      <c r="HF77" s="36"/>
      <c r="HG77" s="36"/>
      <c r="HH77" s="36"/>
      <c r="HI77" s="36"/>
      <c r="HJ77" s="36"/>
      <c r="HK77" s="36"/>
      <c r="HL77" s="36"/>
      <c r="HM77" s="36"/>
      <c r="HN77" s="36"/>
      <c r="HO77" s="36"/>
      <c r="HP77" s="36"/>
      <c r="HQ77" s="36"/>
      <c r="HR77" s="36"/>
      <c r="HS77" s="36"/>
      <c r="HT77" s="36"/>
      <c r="HU77" s="36"/>
      <c r="HV77" s="36"/>
      <c r="HW77" s="36"/>
      <c r="HX77" s="36">
        <v>360</v>
      </c>
      <c r="HY77" s="36"/>
      <c r="HZ77" s="36"/>
      <c r="IA77" s="36"/>
      <c r="IB77" s="36"/>
      <c r="IC77" s="36"/>
      <c r="ID77" s="36"/>
      <c r="IE77" s="36"/>
      <c r="IF77" s="36"/>
      <c r="IG77" s="36"/>
      <c r="IH77" s="36"/>
      <c r="II77" s="36"/>
      <c r="IJ77" s="36"/>
      <c r="IK77" s="36"/>
      <c r="IL77" s="36"/>
      <c r="IM77" s="36"/>
      <c r="IN77" s="36"/>
      <c r="IO77" s="36"/>
      <c r="IP77" s="36"/>
      <c r="IR77" s="2" t="s">
        <v>543</v>
      </c>
    </row>
    <row r="78" spans="1:252" ht="15.75" customHeight="1" x14ac:dyDescent="0.25">
      <c r="A78" s="36" t="s">
        <v>603</v>
      </c>
      <c r="B78" s="36" t="s">
        <v>604</v>
      </c>
      <c r="C78" s="36"/>
      <c r="D78" s="36"/>
      <c r="E78" s="36"/>
      <c r="F78" s="36"/>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36"/>
      <c r="BN78" s="36"/>
      <c r="BO78" s="36"/>
      <c r="BP78" s="6"/>
      <c r="BQ78" s="6"/>
      <c r="BR78" s="6"/>
      <c r="BS78" s="6"/>
      <c r="BT78" s="6"/>
      <c r="BU78" s="6"/>
      <c r="BV78" s="36"/>
      <c r="BW78" s="36"/>
      <c r="BX78" s="36"/>
      <c r="BY78" s="36"/>
      <c r="BZ78" s="36"/>
      <c r="CA78" s="36"/>
      <c r="CB78" s="36"/>
      <c r="CC78" s="36"/>
      <c r="CD78" s="36"/>
      <c r="CE78" s="36"/>
      <c r="CF78" s="36"/>
      <c r="CG78" s="36"/>
      <c r="CH78" s="36"/>
      <c r="CI78" s="36"/>
      <c r="CJ78" s="36"/>
      <c r="CK78" s="36"/>
      <c r="CL78" s="36"/>
      <c r="CM78" s="36"/>
      <c r="CN78" s="36">
        <v>24</v>
      </c>
      <c r="CO78" s="36"/>
      <c r="CP78" s="36"/>
      <c r="CQ78" s="36"/>
      <c r="CR78" s="36"/>
      <c r="CS78" s="36"/>
      <c r="CT78" s="36"/>
      <c r="CU78" s="36"/>
      <c r="CV78" s="36"/>
      <c r="CW78" s="36"/>
      <c r="CX78" s="36"/>
      <c r="CY78" s="36"/>
      <c r="CZ78" s="36"/>
      <c r="DA78" s="36"/>
      <c r="DB78" s="36"/>
      <c r="DC78" s="36"/>
      <c r="DD78" s="36"/>
      <c r="DE78" s="36"/>
      <c r="DF78" s="36">
        <v>12</v>
      </c>
      <c r="DG78" s="36"/>
      <c r="DH78" s="36"/>
      <c r="DI78" s="36"/>
      <c r="DJ78" s="36"/>
      <c r="DK78" s="36"/>
      <c r="DL78" s="36"/>
      <c r="DM78" s="36"/>
      <c r="DN78" s="36"/>
      <c r="DO78" s="36"/>
      <c r="DP78" s="36"/>
      <c r="DQ78" s="36"/>
      <c r="DR78" s="36"/>
      <c r="DS78" s="36"/>
      <c r="DT78" s="36"/>
      <c r="DU78" s="36"/>
      <c r="DV78" s="36"/>
      <c r="DW78" s="36"/>
      <c r="DX78" s="36"/>
      <c r="DY78" s="36"/>
      <c r="DZ78" s="36"/>
      <c r="EA78" s="36"/>
      <c r="EB78" s="36"/>
      <c r="EC78" s="36"/>
      <c r="ED78" s="36"/>
      <c r="EE78" s="36"/>
      <c r="EF78" s="36"/>
      <c r="EG78" s="36"/>
      <c r="EH78" s="36"/>
      <c r="EI78" s="36"/>
      <c r="EJ78" s="36"/>
      <c r="EK78" s="36"/>
      <c r="EL78" s="36"/>
      <c r="EM78" s="36"/>
      <c r="EN78" s="36"/>
      <c r="EO78" s="36"/>
      <c r="EP78" s="36"/>
      <c r="EQ78" s="36">
        <v>6</v>
      </c>
      <c r="ER78" s="36"/>
      <c r="ES78" s="36">
        <v>10</v>
      </c>
      <c r="ET78" s="36"/>
      <c r="EU78" s="36"/>
      <c r="EV78" s="36"/>
      <c r="EW78" s="36"/>
      <c r="EX78" s="36"/>
      <c r="EY78" s="36"/>
      <c r="EZ78" s="36"/>
      <c r="FA78" s="36"/>
      <c r="FB78" s="36"/>
      <c r="FC78" s="36"/>
      <c r="FD78" s="36"/>
      <c r="FE78" s="36"/>
      <c r="FF78" s="36"/>
      <c r="FG78" s="36"/>
      <c r="FH78" s="36"/>
      <c r="FI78" s="36"/>
      <c r="FJ78" s="36"/>
      <c r="FK78" s="36"/>
      <c r="FL78" s="36"/>
      <c r="FM78" s="36"/>
      <c r="FN78" s="36"/>
      <c r="FO78" s="36"/>
      <c r="FP78" s="36"/>
      <c r="FQ78" s="36"/>
      <c r="FR78" s="36"/>
      <c r="FS78" s="36"/>
      <c r="FT78" s="36"/>
      <c r="FU78" s="36"/>
      <c r="FV78" s="36"/>
      <c r="FW78" s="36"/>
      <c r="FX78" s="36"/>
      <c r="FY78" s="36"/>
      <c r="FZ78" s="36"/>
      <c r="GA78" s="6"/>
      <c r="GB78" s="6"/>
      <c r="GC78" s="36"/>
      <c r="GD78" s="36"/>
      <c r="GE78" s="36"/>
      <c r="GF78" s="36"/>
      <c r="GG78" s="36"/>
      <c r="GH78" s="36"/>
      <c r="GI78" s="36"/>
      <c r="GJ78" s="36"/>
      <c r="GK78" s="36"/>
      <c r="GL78" s="36"/>
      <c r="GM78" s="36"/>
      <c r="GN78" s="36"/>
      <c r="GO78" s="36"/>
      <c r="GP78" s="36"/>
      <c r="GQ78" s="36"/>
      <c r="GR78" s="36"/>
      <c r="GS78" s="36"/>
      <c r="GT78" s="36"/>
      <c r="GU78" s="36"/>
      <c r="GV78" s="6"/>
      <c r="GW78" s="36"/>
      <c r="GX78" s="36"/>
      <c r="GY78" s="36"/>
      <c r="GZ78" s="36"/>
      <c r="HA78" s="36"/>
      <c r="HB78" s="36"/>
      <c r="HC78" s="36"/>
      <c r="HD78" s="36"/>
      <c r="HE78" s="36"/>
      <c r="HF78" s="36"/>
      <c r="HG78" s="36"/>
      <c r="HH78" s="36"/>
      <c r="HI78" s="36"/>
      <c r="HJ78" s="36"/>
      <c r="HK78" s="36"/>
      <c r="HL78" s="36"/>
      <c r="HM78" s="36"/>
      <c r="HN78" s="36"/>
      <c r="HO78" s="36"/>
      <c r="HP78" s="36"/>
      <c r="HQ78" s="36"/>
      <c r="HR78" s="36"/>
      <c r="HS78" s="36"/>
      <c r="HT78" s="36"/>
      <c r="HU78" s="36"/>
      <c r="HV78" s="36"/>
      <c r="HW78" s="36"/>
      <c r="HX78" s="36"/>
      <c r="HY78" s="36"/>
      <c r="HZ78" s="36"/>
      <c r="IA78" s="36"/>
      <c r="IB78" s="36"/>
      <c r="IC78" s="36"/>
      <c r="ID78" s="36"/>
      <c r="IE78" s="36"/>
      <c r="IF78" s="36"/>
      <c r="IG78" s="36"/>
      <c r="IH78" s="36"/>
      <c r="II78" s="36"/>
      <c r="IJ78" s="36"/>
      <c r="IK78" s="36"/>
      <c r="IL78" s="36"/>
      <c r="IM78" s="36"/>
      <c r="IN78" s="36"/>
      <c r="IO78" s="36"/>
      <c r="IP78" s="36"/>
      <c r="IR78" s="2" t="s">
        <v>543</v>
      </c>
    </row>
    <row r="79" spans="1:252" ht="15.75" customHeight="1" x14ac:dyDescent="0.25">
      <c r="A79" s="36" t="s">
        <v>605</v>
      </c>
      <c r="B79" s="36" t="s">
        <v>606</v>
      </c>
      <c r="C79" s="36"/>
      <c r="D79" s="36"/>
      <c r="E79" s="36"/>
      <c r="F79" s="36"/>
      <c r="G79" s="36"/>
      <c r="H79" s="36"/>
      <c r="I79" s="36"/>
      <c r="J79" s="36"/>
      <c r="K79" s="36"/>
      <c r="L79" s="36"/>
      <c r="M79" s="36"/>
      <c r="N79" s="36">
        <v>20</v>
      </c>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36"/>
      <c r="BN79" s="36"/>
      <c r="BO79" s="36"/>
      <c r="BP79" s="6"/>
      <c r="BQ79" s="6"/>
      <c r="BR79" s="6"/>
      <c r="BS79" s="6"/>
      <c r="BT79" s="6"/>
      <c r="BU79" s="6"/>
      <c r="BV79" s="36"/>
      <c r="BW79" s="36"/>
      <c r="BX79" s="36"/>
      <c r="BY79" s="36"/>
      <c r="BZ79" s="36"/>
      <c r="CA79" s="36"/>
      <c r="CB79" s="36"/>
      <c r="CC79" s="36"/>
      <c r="CD79" s="36"/>
      <c r="CE79" s="36"/>
      <c r="CF79" s="36"/>
      <c r="CG79" s="36"/>
      <c r="CH79" s="36"/>
      <c r="CI79" s="36"/>
      <c r="CJ79" s="36"/>
      <c r="CK79" s="36"/>
      <c r="CL79" s="36"/>
      <c r="CM79" s="36"/>
      <c r="CN79" s="36"/>
      <c r="CO79" s="36"/>
      <c r="CP79" s="36"/>
      <c r="CQ79" s="36"/>
      <c r="CR79" s="36"/>
      <c r="CS79" s="36"/>
      <c r="CT79" s="36"/>
      <c r="CU79" s="36"/>
      <c r="CV79" s="36"/>
      <c r="CW79" s="36"/>
      <c r="CX79" s="36"/>
      <c r="CY79" s="36"/>
      <c r="CZ79" s="36"/>
      <c r="DA79" s="36"/>
      <c r="DB79" s="36"/>
      <c r="DC79" s="36"/>
      <c r="DD79" s="36"/>
      <c r="DE79" s="36"/>
      <c r="DF79" s="36"/>
      <c r="DG79" s="36"/>
      <c r="DH79" s="36"/>
      <c r="DI79" s="36"/>
      <c r="DJ79" s="36"/>
      <c r="DK79" s="36"/>
      <c r="DL79" s="36"/>
      <c r="DM79" s="36"/>
      <c r="DN79" s="36"/>
      <c r="DO79" s="36"/>
      <c r="DP79" s="36"/>
      <c r="DQ79" s="36"/>
      <c r="DR79" s="36"/>
      <c r="DS79" s="36"/>
      <c r="DT79" s="36"/>
      <c r="DU79" s="36"/>
      <c r="DV79" s="36"/>
      <c r="DW79" s="36"/>
      <c r="DX79" s="36"/>
      <c r="DY79" s="36"/>
      <c r="DZ79" s="36"/>
      <c r="EA79" s="36"/>
      <c r="EB79" s="36"/>
      <c r="EC79" s="36"/>
      <c r="ED79" s="36"/>
      <c r="EE79" s="36"/>
      <c r="EF79" s="36"/>
      <c r="EG79" s="36"/>
      <c r="EH79" s="36"/>
      <c r="EI79" s="36"/>
      <c r="EJ79" s="36"/>
      <c r="EK79" s="36"/>
      <c r="EL79" s="36"/>
      <c r="EM79" s="36"/>
      <c r="EN79" s="36"/>
      <c r="EO79" s="36"/>
      <c r="EP79" s="36"/>
      <c r="EQ79" s="36"/>
      <c r="ER79" s="36"/>
      <c r="ES79" s="36"/>
      <c r="ET79" s="36"/>
      <c r="EU79" s="36"/>
      <c r="EV79" s="36"/>
      <c r="EW79" s="36"/>
      <c r="EX79" s="36"/>
      <c r="EY79" s="36"/>
      <c r="EZ79" s="36"/>
      <c r="FA79" s="36"/>
      <c r="FB79" s="36"/>
      <c r="FC79" s="36"/>
      <c r="FD79" s="36"/>
      <c r="FE79" s="36"/>
      <c r="FF79" s="36"/>
      <c r="FG79" s="36"/>
      <c r="FH79" s="36"/>
      <c r="FI79" s="36"/>
      <c r="FJ79" s="36"/>
      <c r="FK79" s="36"/>
      <c r="FL79" s="36"/>
      <c r="FM79" s="36"/>
      <c r="FN79" s="36"/>
      <c r="FO79" s="36"/>
      <c r="FP79" s="36"/>
      <c r="FQ79" s="36"/>
      <c r="FR79" s="36"/>
      <c r="FS79" s="36"/>
      <c r="FT79" s="36"/>
      <c r="FU79" s="36"/>
      <c r="FV79" s="36"/>
      <c r="FW79" s="36"/>
      <c r="FX79" s="36"/>
      <c r="FY79" s="36"/>
      <c r="FZ79" s="36"/>
      <c r="GA79" s="6"/>
      <c r="GB79" s="6"/>
      <c r="GC79" s="36"/>
      <c r="GD79" s="36"/>
      <c r="GE79" s="36"/>
      <c r="GF79" s="36"/>
      <c r="GG79" s="36"/>
      <c r="GH79" s="36"/>
      <c r="GI79" s="36"/>
      <c r="GJ79" s="36"/>
      <c r="GK79" s="36"/>
      <c r="GL79" s="36"/>
      <c r="GM79" s="36"/>
      <c r="GN79" s="36"/>
      <c r="GO79" s="36"/>
      <c r="GP79" s="36"/>
      <c r="GQ79" s="36"/>
      <c r="GR79" s="36"/>
      <c r="GS79" s="36"/>
      <c r="GT79" s="36"/>
      <c r="GU79" s="36"/>
      <c r="GV79" s="6"/>
      <c r="GW79" s="36"/>
      <c r="GX79" s="36"/>
      <c r="GY79" s="36"/>
      <c r="GZ79" s="36"/>
      <c r="HA79" s="36"/>
      <c r="HB79" s="36"/>
      <c r="HC79" s="36"/>
      <c r="HD79" s="36"/>
      <c r="HE79" s="36"/>
      <c r="HF79" s="36"/>
      <c r="HG79" s="36"/>
      <c r="HH79" s="36"/>
      <c r="HI79" s="36"/>
      <c r="HJ79" s="36"/>
      <c r="HK79" s="36"/>
      <c r="HL79" s="36"/>
      <c r="HM79" s="36"/>
      <c r="HN79" s="36"/>
      <c r="HO79" s="36"/>
      <c r="HP79" s="36"/>
      <c r="HQ79" s="36"/>
      <c r="HR79" s="36"/>
      <c r="HS79" s="36"/>
      <c r="HT79" s="36"/>
      <c r="HU79" s="36"/>
      <c r="HV79" s="36"/>
      <c r="HW79" s="36"/>
      <c r="HX79" s="36"/>
      <c r="HY79" s="36"/>
      <c r="HZ79" s="36"/>
      <c r="IA79" s="36"/>
      <c r="IB79" s="36"/>
      <c r="IC79" s="36"/>
      <c r="ID79" s="36"/>
      <c r="IE79" s="36"/>
      <c r="IF79" s="36"/>
      <c r="IG79" s="36"/>
      <c r="IH79" s="36"/>
      <c r="II79" s="36"/>
      <c r="IJ79" s="36"/>
      <c r="IK79" s="36"/>
      <c r="IL79" s="36"/>
      <c r="IM79" s="36"/>
      <c r="IN79" s="36"/>
      <c r="IO79" s="36"/>
      <c r="IP79" s="36"/>
      <c r="IR79" s="2" t="s">
        <v>543</v>
      </c>
    </row>
    <row r="80" spans="1:252" ht="15.75" customHeight="1" x14ac:dyDescent="0.25">
      <c r="A80" s="36" t="s">
        <v>607</v>
      </c>
      <c r="B80" s="36" t="s">
        <v>608</v>
      </c>
      <c r="C80" s="36"/>
      <c r="D80" s="36"/>
      <c r="E80" s="36"/>
      <c r="F80" s="36"/>
      <c r="G80" s="36"/>
      <c r="H80" s="36">
        <v>20</v>
      </c>
      <c r="I80" s="36"/>
      <c r="J80" s="36"/>
      <c r="K80" s="36"/>
      <c r="L80" s="36"/>
      <c r="M80" s="36">
        <v>5</v>
      </c>
      <c r="N80" s="36">
        <v>10</v>
      </c>
      <c r="O80" s="36"/>
      <c r="P80" s="36">
        <v>20</v>
      </c>
      <c r="Q80" s="36"/>
      <c r="R80" s="36"/>
      <c r="S80" s="36"/>
      <c r="T80" s="36"/>
      <c r="U80" s="36">
        <v>5</v>
      </c>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36"/>
      <c r="BN80" s="36"/>
      <c r="BO80" s="36"/>
      <c r="BP80" s="6"/>
      <c r="BQ80" s="6"/>
      <c r="BR80" s="6"/>
      <c r="BS80" s="6"/>
      <c r="BT80" s="6"/>
      <c r="BU80" s="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c r="CY80" s="36"/>
      <c r="CZ80" s="36"/>
      <c r="DA80" s="36"/>
      <c r="DB80" s="36"/>
      <c r="DC80" s="36"/>
      <c r="DD80" s="36"/>
      <c r="DE80" s="36"/>
      <c r="DF80" s="36"/>
      <c r="DG80" s="36"/>
      <c r="DH80" s="36"/>
      <c r="DI80" s="36"/>
      <c r="DJ80" s="36"/>
      <c r="DK80" s="36"/>
      <c r="DL80" s="36"/>
      <c r="DM80" s="36"/>
      <c r="DN80" s="36"/>
      <c r="DO80" s="36"/>
      <c r="DP80" s="36"/>
      <c r="DQ80" s="36"/>
      <c r="DR80" s="36"/>
      <c r="DS80" s="36"/>
      <c r="DT80" s="36"/>
      <c r="DU80" s="36"/>
      <c r="DV80" s="36"/>
      <c r="DW80" s="36"/>
      <c r="DX80" s="36"/>
      <c r="DY80" s="36"/>
      <c r="DZ80" s="36"/>
      <c r="EA80" s="36"/>
      <c r="EB80" s="36"/>
      <c r="EC80" s="36"/>
      <c r="ED80" s="36"/>
      <c r="EE80" s="36"/>
      <c r="EF80" s="36"/>
      <c r="EG80" s="36"/>
      <c r="EH80" s="36"/>
      <c r="EI80" s="36"/>
      <c r="EJ80" s="36"/>
      <c r="EK80" s="36"/>
      <c r="EL80" s="36"/>
      <c r="EM80" s="36"/>
      <c r="EN80" s="36"/>
      <c r="EO80" s="36"/>
      <c r="EP80" s="36"/>
      <c r="EQ80" s="36"/>
      <c r="ER80" s="36"/>
      <c r="ES80" s="36"/>
      <c r="ET80" s="36"/>
      <c r="EU80" s="36"/>
      <c r="EV80" s="36"/>
      <c r="EW80" s="36"/>
      <c r="EX80" s="36"/>
      <c r="EY80" s="36"/>
      <c r="EZ80" s="36"/>
      <c r="FA80" s="36"/>
      <c r="FB80" s="36"/>
      <c r="FC80" s="36"/>
      <c r="FD80" s="36"/>
      <c r="FE80" s="36"/>
      <c r="FF80" s="36"/>
      <c r="FG80" s="36"/>
      <c r="FH80" s="36"/>
      <c r="FI80" s="36"/>
      <c r="FJ80" s="36"/>
      <c r="FK80" s="36"/>
      <c r="FL80" s="36"/>
      <c r="FM80" s="36"/>
      <c r="FN80" s="36"/>
      <c r="FO80" s="36"/>
      <c r="FP80" s="36"/>
      <c r="FQ80" s="36"/>
      <c r="FR80" s="36"/>
      <c r="FS80" s="36"/>
      <c r="FT80" s="36"/>
      <c r="FU80" s="36"/>
      <c r="FV80" s="36"/>
      <c r="FW80" s="36"/>
      <c r="FX80" s="36"/>
      <c r="FY80" s="36"/>
      <c r="FZ80" s="36"/>
      <c r="GA80" s="6"/>
      <c r="GB80" s="6"/>
      <c r="GC80" s="36"/>
      <c r="GD80" s="36"/>
      <c r="GE80" s="36"/>
      <c r="GF80" s="36"/>
      <c r="GG80" s="36"/>
      <c r="GH80" s="36"/>
      <c r="GI80" s="36"/>
      <c r="GJ80" s="36"/>
      <c r="GK80" s="36"/>
      <c r="GL80" s="36"/>
      <c r="GM80" s="36"/>
      <c r="GN80" s="36"/>
      <c r="GO80" s="36"/>
      <c r="GP80" s="36"/>
      <c r="GQ80" s="36"/>
      <c r="GR80" s="36"/>
      <c r="GS80" s="36"/>
      <c r="GT80" s="36"/>
      <c r="GU80" s="36"/>
      <c r="GV80" s="6"/>
      <c r="GW80" s="36"/>
      <c r="GX80" s="36"/>
      <c r="GY80" s="36"/>
      <c r="GZ80" s="36"/>
      <c r="HA80" s="36"/>
      <c r="HB80" s="36"/>
      <c r="HC80" s="36"/>
      <c r="HD80" s="36"/>
      <c r="HE80" s="36"/>
      <c r="HF80" s="36"/>
      <c r="HG80" s="36"/>
      <c r="HH80" s="36"/>
      <c r="HI80" s="36"/>
      <c r="HJ80" s="36"/>
      <c r="HK80" s="36"/>
      <c r="HL80" s="36"/>
      <c r="HM80" s="36"/>
      <c r="HN80" s="36"/>
      <c r="HO80" s="36"/>
      <c r="HP80" s="36"/>
      <c r="HQ80" s="36"/>
      <c r="HR80" s="36"/>
      <c r="HS80" s="36"/>
      <c r="HT80" s="36"/>
      <c r="HU80" s="36"/>
      <c r="HV80" s="36"/>
      <c r="HW80" s="36"/>
      <c r="HX80" s="36"/>
      <c r="HY80" s="36"/>
      <c r="HZ80" s="36"/>
      <c r="IA80" s="36"/>
      <c r="IB80" s="36"/>
      <c r="IC80" s="36"/>
      <c r="ID80" s="36"/>
      <c r="IE80" s="36"/>
      <c r="IF80" s="36"/>
      <c r="IG80" s="36"/>
      <c r="IH80" s="36"/>
      <c r="II80" s="36"/>
      <c r="IJ80" s="36"/>
      <c r="IK80" s="36"/>
      <c r="IL80" s="36"/>
      <c r="IM80" s="36"/>
      <c r="IN80" s="36"/>
      <c r="IO80" s="36"/>
      <c r="IP80" s="36"/>
      <c r="IR80" s="2" t="s">
        <v>543</v>
      </c>
    </row>
    <row r="81" spans="1:252" ht="15.75" customHeight="1" x14ac:dyDescent="0.25">
      <c r="A81" s="36" t="s">
        <v>607</v>
      </c>
      <c r="B81" s="36" t="s">
        <v>610</v>
      </c>
      <c r="C81" s="36"/>
      <c r="D81" s="36"/>
      <c r="E81" s="36"/>
      <c r="F81" s="36"/>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v>25</v>
      </c>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36"/>
      <c r="BN81" s="36"/>
      <c r="BO81" s="36"/>
      <c r="BP81" s="6"/>
      <c r="BQ81" s="6"/>
      <c r="BR81" s="6"/>
      <c r="BS81" s="6"/>
      <c r="BT81" s="6"/>
      <c r="BU81" s="6"/>
      <c r="BV81" s="36"/>
      <c r="BW81" s="36"/>
      <c r="BX81" s="36"/>
      <c r="BY81" s="36"/>
      <c r="BZ81" s="36"/>
      <c r="CA81" s="36"/>
      <c r="CB81" s="36"/>
      <c r="CC81" s="36"/>
      <c r="CD81" s="36"/>
      <c r="CE81" s="36"/>
      <c r="CF81" s="36"/>
      <c r="CG81" s="36"/>
      <c r="CH81" s="36"/>
      <c r="CI81" s="36"/>
      <c r="CJ81" s="36"/>
      <c r="CK81" s="36"/>
      <c r="CL81" s="36"/>
      <c r="CM81" s="36"/>
      <c r="CN81" s="36"/>
      <c r="CO81" s="36"/>
      <c r="CP81" s="36"/>
      <c r="CQ81" s="36"/>
      <c r="CR81" s="36"/>
      <c r="CS81" s="36"/>
      <c r="CT81" s="36"/>
      <c r="CU81" s="36"/>
      <c r="CV81" s="36"/>
      <c r="CW81" s="36"/>
      <c r="CX81" s="36"/>
      <c r="CY81" s="36"/>
      <c r="CZ81" s="36"/>
      <c r="DA81" s="36"/>
      <c r="DB81" s="36"/>
      <c r="DC81" s="36"/>
      <c r="DD81" s="36"/>
      <c r="DE81" s="36"/>
      <c r="DF81" s="36"/>
      <c r="DG81" s="36"/>
      <c r="DH81" s="36"/>
      <c r="DI81" s="36"/>
      <c r="DJ81" s="36"/>
      <c r="DK81" s="36"/>
      <c r="DL81" s="36"/>
      <c r="DM81" s="36"/>
      <c r="DN81" s="36"/>
      <c r="DO81" s="36"/>
      <c r="DP81" s="36"/>
      <c r="DQ81" s="36"/>
      <c r="DR81" s="36"/>
      <c r="DS81" s="36"/>
      <c r="DT81" s="36"/>
      <c r="DU81" s="36"/>
      <c r="DV81" s="36"/>
      <c r="DW81" s="36"/>
      <c r="DX81" s="36"/>
      <c r="DY81" s="36"/>
      <c r="DZ81" s="36"/>
      <c r="EA81" s="36"/>
      <c r="EB81" s="36"/>
      <c r="EC81" s="36"/>
      <c r="ED81" s="36"/>
      <c r="EE81" s="36"/>
      <c r="EF81" s="36"/>
      <c r="EG81" s="36"/>
      <c r="EH81" s="36"/>
      <c r="EI81" s="36"/>
      <c r="EJ81" s="36"/>
      <c r="EK81" s="36"/>
      <c r="EL81" s="36"/>
      <c r="EM81" s="36"/>
      <c r="EN81" s="36"/>
      <c r="EO81" s="36"/>
      <c r="EP81" s="36"/>
      <c r="EQ81" s="36"/>
      <c r="ER81" s="36"/>
      <c r="ES81" s="36"/>
      <c r="ET81" s="36"/>
      <c r="EU81" s="36"/>
      <c r="EV81" s="36"/>
      <c r="EW81" s="36"/>
      <c r="EX81" s="36"/>
      <c r="EY81" s="36"/>
      <c r="EZ81" s="36"/>
      <c r="FA81" s="36"/>
      <c r="FB81" s="36"/>
      <c r="FC81" s="36"/>
      <c r="FD81" s="36"/>
      <c r="FE81" s="36"/>
      <c r="FF81" s="36"/>
      <c r="FG81" s="36"/>
      <c r="FH81" s="36"/>
      <c r="FI81" s="36"/>
      <c r="FJ81" s="36"/>
      <c r="FK81" s="36"/>
      <c r="FL81" s="36"/>
      <c r="FM81" s="36"/>
      <c r="FN81" s="36"/>
      <c r="FO81" s="36"/>
      <c r="FP81" s="36"/>
      <c r="FQ81" s="36"/>
      <c r="FR81" s="36"/>
      <c r="FS81" s="36"/>
      <c r="FT81" s="36"/>
      <c r="FU81" s="36"/>
      <c r="FV81" s="36"/>
      <c r="FW81" s="36"/>
      <c r="FX81" s="36"/>
      <c r="FY81" s="36"/>
      <c r="FZ81" s="36"/>
      <c r="GA81" s="6"/>
      <c r="GB81" s="6"/>
      <c r="GC81" s="36"/>
      <c r="GD81" s="36"/>
      <c r="GE81" s="36"/>
      <c r="GF81" s="36"/>
      <c r="GG81" s="36"/>
      <c r="GH81" s="36"/>
      <c r="GI81" s="36"/>
      <c r="GJ81" s="36"/>
      <c r="GK81" s="36"/>
      <c r="GL81" s="36"/>
      <c r="GM81" s="36"/>
      <c r="GN81" s="36"/>
      <c r="GO81" s="36"/>
      <c r="GP81" s="36"/>
      <c r="GQ81" s="36"/>
      <c r="GR81" s="36"/>
      <c r="GS81" s="36"/>
      <c r="GT81" s="36"/>
      <c r="GU81" s="36"/>
      <c r="GV81" s="6"/>
      <c r="GW81" s="36"/>
      <c r="GX81" s="36"/>
      <c r="GY81" s="36"/>
      <c r="GZ81" s="36"/>
      <c r="HA81" s="36"/>
      <c r="HB81" s="36"/>
      <c r="HC81" s="36"/>
      <c r="HD81" s="36"/>
      <c r="HE81" s="36"/>
      <c r="HF81" s="36"/>
      <c r="HG81" s="36"/>
      <c r="HH81" s="36"/>
      <c r="HI81" s="36"/>
      <c r="HJ81" s="36"/>
      <c r="HK81" s="36"/>
      <c r="HL81" s="36"/>
      <c r="HM81" s="36"/>
      <c r="HN81" s="36"/>
      <c r="HO81" s="36"/>
      <c r="HP81" s="36"/>
      <c r="HQ81" s="36">
        <v>50</v>
      </c>
      <c r="HR81" s="36"/>
      <c r="HS81" s="36"/>
      <c r="HT81" s="36"/>
      <c r="HU81" s="36"/>
      <c r="HV81" s="36"/>
      <c r="HW81" s="36"/>
      <c r="HX81" s="36"/>
      <c r="HY81" s="36"/>
      <c r="HZ81" s="36"/>
      <c r="IA81" s="36"/>
      <c r="IB81" s="36"/>
      <c r="IC81" s="36"/>
      <c r="ID81" s="36"/>
      <c r="IE81" s="36"/>
      <c r="IF81" s="36"/>
      <c r="IG81" s="36"/>
      <c r="IH81" s="36"/>
      <c r="II81" s="36"/>
      <c r="IJ81" s="36"/>
      <c r="IK81" s="36"/>
      <c r="IL81" s="36"/>
      <c r="IM81" s="36"/>
      <c r="IN81" s="36"/>
      <c r="IO81" s="36"/>
      <c r="IP81" s="36"/>
      <c r="IR81" s="2" t="s">
        <v>543</v>
      </c>
    </row>
    <row r="82" spans="1:252" ht="15.75" customHeight="1" x14ac:dyDescent="0.25">
      <c r="A82" s="36" t="s">
        <v>607</v>
      </c>
      <c r="B82" s="36" t="s">
        <v>611</v>
      </c>
      <c r="C82" s="36"/>
      <c r="D82" s="36"/>
      <c r="E82" s="36"/>
      <c r="F82" s="36"/>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36"/>
      <c r="BN82" s="36"/>
      <c r="BO82" s="36"/>
      <c r="BP82" s="6"/>
      <c r="BQ82" s="6"/>
      <c r="BR82" s="6"/>
      <c r="BS82" s="6"/>
      <c r="BT82" s="6"/>
      <c r="BU82" s="6"/>
      <c r="BV82" s="36"/>
      <c r="BW82" s="36"/>
      <c r="BX82" s="36"/>
      <c r="BY82" s="36"/>
      <c r="BZ82" s="36"/>
      <c r="CA82" s="36"/>
      <c r="CB82" s="36"/>
      <c r="CC82" s="36"/>
      <c r="CD82" s="36"/>
      <c r="CE82" s="36"/>
      <c r="CF82" s="36"/>
      <c r="CG82" s="36"/>
      <c r="CH82" s="36"/>
      <c r="CI82" s="36"/>
      <c r="CJ82" s="36"/>
      <c r="CK82" s="36"/>
      <c r="CL82" s="36"/>
      <c r="CM82" s="36"/>
      <c r="CN82" s="36">
        <v>32</v>
      </c>
      <c r="CO82" s="36"/>
      <c r="CP82" s="36"/>
      <c r="CQ82" s="36"/>
      <c r="CR82" s="36"/>
      <c r="CS82" s="36"/>
      <c r="CT82" s="36"/>
      <c r="CU82" s="36"/>
      <c r="CV82" s="36"/>
      <c r="CW82" s="36"/>
      <c r="CX82" s="36"/>
      <c r="CY82" s="36"/>
      <c r="CZ82" s="36"/>
      <c r="DA82" s="36"/>
      <c r="DB82" s="36"/>
      <c r="DC82" s="36"/>
      <c r="DD82" s="36"/>
      <c r="DE82" s="36"/>
      <c r="DF82" s="36"/>
      <c r="DG82" s="36"/>
      <c r="DH82" s="36"/>
      <c r="DI82" s="36"/>
      <c r="DJ82" s="36"/>
      <c r="DK82" s="36"/>
      <c r="DL82" s="36"/>
      <c r="DM82" s="36"/>
      <c r="DN82" s="36"/>
      <c r="DO82" s="36"/>
      <c r="DP82" s="36"/>
      <c r="DQ82" s="36"/>
      <c r="DR82" s="36"/>
      <c r="DS82" s="36"/>
      <c r="DT82" s="36"/>
      <c r="DU82" s="36"/>
      <c r="DV82" s="36"/>
      <c r="DW82" s="36"/>
      <c r="DX82" s="36"/>
      <c r="DY82" s="36"/>
      <c r="DZ82" s="36"/>
      <c r="EA82" s="36"/>
      <c r="EB82" s="36"/>
      <c r="EC82" s="36"/>
      <c r="ED82" s="36"/>
      <c r="EE82" s="36"/>
      <c r="EF82" s="36"/>
      <c r="EG82" s="36"/>
      <c r="EH82" s="36"/>
      <c r="EI82" s="36"/>
      <c r="EJ82" s="36"/>
      <c r="EK82" s="36"/>
      <c r="EL82" s="36"/>
      <c r="EM82" s="36"/>
      <c r="EN82" s="36"/>
      <c r="EO82" s="36"/>
      <c r="EP82" s="36"/>
      <c r="EQ82" s="36"/>
      <c r="ER82" s="36"/>
      <c r="ES82" s="36"/>
      <c r="ET82" s="36"/>
      <c r="EU82" s="36"/>
      <c r="EV82" s="36"/>
      <c r="EW82" s="36"/>
      <c r="EX82" s="36"/>
      <c r="EY82" s="36"/>
      <c r="EZ82" s="36"/>
      <c r="FA82" s="36"/>
      <c r="FB82" s="36"/>
      <c r="FC82" s="36"/>
      <c r="FD82" s="36"/>
      <c r="FE82" s="36"/>
      <c r="FF82" s="36"/>
      <c r="FG82" s="36"/>
      <c r="FH82" s="36"/>
      <c r="FI82" s="36"/>
      <c r="FJ82" s="36"/>
      <c r="FK82" s="36"/>
      <c r="FL82" s="36"/>
      <c r="FM82" s="36"/>
      <c r="FN82" s="36"/>
      <c r="FO82" s="36"/>
      <c r="FP82" s="36"/>
      <c r="FQ82" s="36"/>
      <c r="FR82" s="36"/>
      <c r="FS82" s="36"/>
      <c r="FT82" s="36"/>
      <c r="FU82" s="36"/>
      <c r="FV82" s="36"/>
      <c r="FW82" s="36"/>
      <c r="FX82" s="36"/>
      <c r="FY82" s="36"/>
      <c r="FZ82" s="36"/>
      <c r="GA82" s="6"/>
      <c r="GB82" s="6"/>
      <c r="GC82" s="36"/>
      <c r="GD82" s="36"/>
      <c r="GE82" s="36"/>
      <c r="GF82" s="36"/>
      <c r="GG82" s="36"/>
      <c r="GH82" s="36"/>
      <c r="GI82" s="36"/>
      <c r="GJ82" s="36"/>
      <c r="GK82" s="36"/>
      <c r="GL82" s="36"/>
      <c r="GM82" s="36"/>
      <c r="GN82" s="36"/>
      <c r="GO82" s="36"/>
      <c r="GP82" s="36"/>
      <c r="GQ82" s="36"/>
      <c r="GR82" s="36"/>
      <c r="GS82" s="36"/>
      <c r="GT82" s="36"/>
      <c r="GU82" s="36"/>
      <c r="GV82" s="6"/>
      <c r="GW82" s="36"/>
      <c r="GX82" s="36"/>
      <c r="GY82" s="36"/>
      <c r="GZ82" s="36"/>
      <c r="HA82" s="36"/>
      <c r="HB82" s="36"/>
      <c r="HC82" s="36"/>
      <c r="HD82" s="36"/>
      <c r="HE82" s="36"/>
      <c r="HF82" s="36"/>
      <c r="HG82" s="36"/>
      <c r="HH82" s="36"/>
      <c r="HI82" s="36"/>
      <c r="HJ82" s="36"/>
      <c r="HK82" s="36"/>
      <c r="HL82" s="36"/>
      <c r="HM82" s="36"/>
      <c r="HN82" s="36"/>
      <c r="HO82" s="36"/>
      <c r="HP82" s="36"/>
      <c r="HQ82" s="36"/>
      <c r="HR82" s="36"/>
      <c r="HS82" s="36"/>
      <c r="HT82" s="36"/>
      <c r="HU82" s="36"/>
      <c r="HV82" s="36"/>
      <c r="HW82" s="36"/>
      <c r="HX82" s="36"/>
      <c r="HY82" s="36"/>
      <c r="HZ82" s="36"/>
      <c r="IA82" s="36"/>
      <c r="IB82" s="36"/>
      <c r="IC82" s="36"/>
      <c r="ID82" s="36"/>
      <c r="IE82" s="36"/>
      <c r="IF82" s="36"/>
      <c r="IG82" s="36"/>
      <c r="IH82" s="36"/>
      <c r="II82" s="36"/>
      <c r="IJ82" s="36"/>
      <c r="IK82" s="36"/>
      <c r="IL82" s="36"/>
      <c r="IM82" s="36"/>
      <c r="IN82" s="36"/>
      <c r="IO82" s="36"/>
      <c r="IP82" s="36"/>
      <c r="IR82" s="2" t="s">
        <v>543</v>
      </c>
    </row>
    <row r="83" spans="1:252" ht="15.75" customHeight="1" x14ac:dyDescent="0.25">
      <c r="A83" s="36" t="s">
        <v>607</v>
      </c>
      <c r="B83" s="36" t="s">
        <v>612</v>
      </c>
      <c r="C83" s="36"/>
      <c r="D83" s="36"/>
      <c r="E83" s="36"/>
      <c r="F83" s="36"/>
      <c r="G83" s="36"/>
      <c r="H83" s="36"/>
      <c r="I83" s="36"/>
      <c r="J83" s="36"/>
      <c r="K83" s="36"/>
      <c r="L83" s="36"/>
      <c r="M83" s="36"/>
      <c r="N83" s="36">
        <v>10</v>
      </c>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6"/>
      <c r="BQ83" s="6"/>
      <c r="BR83" s="6"/>
      <c r="BS83" s="6"/>
      <c r="BT83" s="6"/>
      <c r="BU83" s="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c r="CT83" s="36"/>
      <c r="CU83" s="36"/>
      <c r="CV83" s="36"/>
      <c r="CW83" s="36"/>
      <c r="CX83" s="36"/>
      <c r="CY83" s="36"/>
      <c r="CZ83" s="36"/>
      <c r="DA83" s="36"/>
      <c r="DB83" s="36"/>
      <c r="DC83" s="36"/>
      <c r="DD83" s="36"/>
      <c r="DE83" s="36"/>
      <c r="DF83" s="36"/>
      <c r="DG83" s="36"/>
      <c r="DH83" s="36"/>
      <c r="DI83" s="36"/>
      <c r="DJ83" s="36"/>
      <c r="DK83" s="36"/>
      <c r="DL83" s="36"/>
      <c r="DM83" s="36"/>
      <c r="DN83" s="36"/>
      <c r="DO83" s="36"/>
      <c r="DP83" s="36"/>
      <c r="DQ83" s="36"/>
      <c r="DR83" s="36"/>
      <c r="DS83" s="36"/>
      <c r="DT83" s="36"/>
      <c r="DU83" s="36"/>
      <c r="DV83" s="36"/>
      <c r="DW83" s="36"/>
      <c r="DX83" s="36"/>
      <c r="DY83" s="36"/>
      <c r="DZ83" s="36"/>
      <c r="EA83" s="36"/>
      <c r="EB83" s="36"/>
      <c r="EC83" s="36"/>
      <c r="ED83" s="36"/>
      <c r="EE83" s="36"/>
      <c r="EF83" s="36"/>
      <c r="EG83" s="36"/>
      <c r="EH83" s="36"/>
      <c r="EI83" s="36"/>
      <c r="EJ83" s="36"/>
      <c r="EK83" s="36"/>
      <c r="EL83" s="36"/>
      <c r="EM83" s="36"/>
      <c r="EN83" s="36"/>
      <c r="EO83" s="36"/>
      <c r="EP83" s="36"/>
      <c r="EQ83" s="36"/>
      <c r="ER83" s="36"/>
      <c r="ES83" s="36"/>
      <c r="ET83" s="36"/>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6"/>
      <c r="GB83" s="6"/>
      <c r="GC83" s="36"/>
      <c r="GD83" s="36"/>
      <c r="GE83" s="36"/>
      <c r="GF83" s="36"/>
      <c r="GG83" s="36"/>
      <c r="GH83" s="36"/>
      <c r="GI83" s="36"/>
      <c r="GJ83" s="36"/>
      <c r="GK83" s="36"/>
      <c r="GL83" s="36"/>
      <c r="GM83" s="36"/>
      <c r="GN83" s="36"/>
      <c r="GO83" s="36"/>
      <c r="GP83" s="36"/>
      <c r="GQ83" s="36"/>
      <c r="GR83" s="36"/>
      <c r="GS83" s="36"/>
      <c r="GT83" s="36"/>
      <c r="GU83" s="36"/>
      <c r="GV83" s="6"/>
      <c r="GW83" s="36"/>
      <c r="GX83" s="36"/>
      <c r="GY83" s="36"/>
      <c r="GZ83" s="36"/>
      <c r="HA83" s="36"/>
      <c r="HB83" s="36"/>
      <c r="HC83" s="36"/>
      <c r="HD83" s="36"/>
      <c r="HE83" s="36"/>
      <c r="HF83" s="36"/>
      <c r="HG83" s="36"/>
      <c r="HH83" s="36"/>
      <c r="HI83" s="36"/>
      <c r="HJ83" s="36"/>
      <c r="HK83" s="36"/>
      <c r="HL83" s="36"/>
      <c r="HM83" s="36"/>
      <c r="HN83" s="36"/>
      <c r="HO83" s="36"/>
      <c r="HP83" s="36"/>
      <c r="HQ83" s="36"/>
      <c r="HR83" s="36"/>
      <c r="HS83" s="36"/>
      <c r="HT83" s="36"/>
      <c r="HU83" s="36"/>
      <c r="HV83" s="36"/>
      <c r="HW83" s="36"/>
      <c r="HX83" s="36"/>
      <c r="HY83" s="36"/>
      <c r="HZ83" s="36"/>
      <c r="IA83" s="36"/>
      <c r="IB83" s="36"/>
      <c r="IC83" s="36"/>
      <c r="ID83" s="36"/>
      <c r="IE83" s="36"/>
      <c r="IF83" s="36"/>
      <c r="IG83" s="36"/>
      <c r="IH83" s="36"/>
      <c r="II83" s="36"/>
      <c r="IJ83" s="36"/>
      <c r="IK83" s="36"/>
      <c r="IL83" s="36"/>
      <c r="IM83" s="36"/>
      <c r="IN83" s="36"/>
      <c r="IO83" s="36"/>
      <c r="IP83" s="36"/>
      <c r="IR83" s="2" t="s">
        <v>543</v>
      </c>
    </row>
    <row r="84" spans="1:252" ht="15.75" customHeight="1" x14ac:dyDescent="0.25">
      <c r="A84" s="36" t="s">
        <v>613</v>
      </c>
      <c r="B84" s="36" t="s">
        <v>614</v>
      </c>
      <c r="C84" s="36"/>
      <c r="D84" s="36"/>
      <c r="E84" s="36"/>
      <c r="F84" s="80">
        <v>20</v>
      </c>
      <c r="G84" s="36"/>
      <c r="H84" s="36"/>
      <c r="I84" s="36"/>
      <c r="J84" s="36"/>
      <c r="K84" s="36"/>
      <c r="L84" s="36"/>
      <c r="M84" s="36"/>
      <c r="N84" s="36"/>
      <c r="O84" s="36"/>
      <c r="P84" s="36"/>
      <c r="Q84" s="36"/>
      <c r="R84" s="36"/>
      <c r="S84" s="36"/>
      <c r="T84" s="36"/>
      <c r="U84" s="36"/>
      <c r="V84" s="36"/>
      <c r="W84" s="36"/>
      <c r="X84" s="36"/>
      <c r="Y84" s="36"/>
      <c r="Z84" s="36"/>
      <c r="AA84" s="36"/>
      <c r="AB84" s="36"/>
      <c r="AC84" s="36">
        <v>10</v>
      </c>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6"/>
      <c r="BQ84" s="6"/>
      <c r="BR84" s="6"/>
      <c r="BS84" s="6"/>
      <c r="BT84" s="6"/>
      <c r="BU84" s="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6"/>
      <c r="CT84" s="36"/>
      <c r="CU84" s="36"/>
      <c r="CV84" s="36"/>
      <c r="CW84" s="36"/>
      <c r="CX84" s="36"/>
      <c r="CY84" s="36"/>
      <c r="CZ84" s="36"/>
      <c r="DA84" s="36"/>
      <c r="DB84" s="36"/>
      <c r="DC84" s="36"/>
      <c r="DD84" s="36"/>
      <c r="DE84" s="36"/>
      <c r="DF84" s="36"/>
      <c r="DG84" s="36"/>
      <c r="DH84" s="36"/>
      <c r="DI84" s="36"/>
      <c r="DJ84" s="36"/>
      <c r="DK84" s="36"/>
      <c r="DL84" s="36"/>
      <c r="DM84" s="36"/>
      <c r="DN84" s="36"/>
      <c r="DO84" s="36"/>
      <c r="DP84" s="36"/>
      <c r="DQ84" s="36"/>
      <c r="DR84" s="36"/>
      <c r="DS84" s="36"/>
      <c r="DT84" s="36"/>
      <c r="DU84" s="36"/>
      <c r="DV84" s="36"/>
      <c r="DW84" s="36"/>
      <c r="DX84" s="36"/>
      <c r="DY84" s="36"/>
      <c r="DZ84" s="36"/>
      <c r="EA84" s="36"/>
      <c r="EB84" s="36"/>
      <c r="EC84" s="36"/>
      <c r="ED84" s="36"/>
      <c r="EE84" s="36"/>
      <c r="EF84" s="36"/>
      <c r="EG84" s="36"/>
      <c r="EH84" s="36"/>
      <c r="EI84" s="36"/>
      <c r="EJ84" s="36"/>
      <c r="EK84" s="36"/>
      <c r="EL84" s="36"/>
      <c r="EM84" s="36"/>
      <c r="EN84" s="36"/>
      <c r="EO84" s="36"/>
      <c r="EP84" s="36"/>
      <c r="ER84" s="36"/>
      <c r="ES84" s="36"/>
      <c r="ET84" s="36"/>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6"/>
      <c r="GB84" s="6"/>
      <c r="GC84" s="36"/>
      <c r="GD84" s="36"/>
      <c r="GE84" s="36"/>
      <c r="GF84" s="36"/>
      <c r="GG84" s="36"/>
      <c r="GH84" s="36"/>
      <c r="GI84" s="36"/>
      <c r="GJ84" s="36"/>
      <c r="GK84" s="36"/>
      <c r="GL84" s="36"/>
      <c r="GM84" s="36"/>
      <c r="GN84" s="36"/>
      <c r="GO84" s="36"/>
      <c r="GP84" s="36"/>
      <c r="GQ84" s="36"/>
      <c r="GR84" s="36"/>
      <c r="GS84" s="36"/>
      <c r="GT84" s="36"/>
      <c r="GU84" s="36"/>
      <c r="GV84" s="6"/>
      <c r="GW84" s="36"/>
      <c r="GX84" s="36"/>
      <c r="GY84" s="36"/>
      <c r="GZ84" s="36"/>
      <c r="HA84" s="36"/>
      <c r="HB84" s="36"/>
      <c r="HC84" s="36"/>
      <c r="HD84" s="36"/>
      <c r="HE84" s="36"/>
      <c r="HF84" s="36"/>
      <c r="HG84" s="36"/>
      <c r="HH84" s="36"/>
      <c r="HI84" s="36"/>
      <c r="HJ84" s="36"/>
      <c r="HK84" s="36"/>
      <c r="HL84" s="36"/>
      <c r="HM84" s="36"/>
      <c r="HN84" s="36"/>
      <c r="HO84" s="36"/>
      <c r="HP84" s="36"/>
      <c r="HQ84" s="36"/>
      <c r="HR84" s="36"/>
      <c r="HS84" s="36"/>
      <c r="HT84" s="36"/>
      <c r="HU84" s="36"/>
      <c r="HV84" s="36"/>
      <c r="HW84" s="36"/>
      <c r="HX84" s="36"/>
      <c r="HY84" s="36"/>
      <c r="HZ84" s="36"/>
      <c r="IA84" s="36"/>
      <c r="IB84" s="36"/>
      <c r="IC84" s="36"/>
      <c r="ID84" s="36"/>
      <c r="IE84" s="36"/>
      <c r="IF84" s="36"/>
      <c r="IG84" s="36"/>
      <c r="IH84" s="36"/>
      <c r="II84" s="36"/>
      <c r="IJ84" s="36"/>
      <c r="IK84" s="36"/>
      <c r="IL84" s="36"/>
      <c r="IM84" s="36"/>
      <c r="IN84" s="36"/>
      <c r="IO84" s="36"/>
      <c r="IP84" s="36"/>
      <c r="IR84" s="2" t="s">
        <v>543</v>
      </c>
    </row>
    <row r="85" spans="1:252" ht="15.75" customHeight="1" x14ac:dyDescent="0.25">
      <c r="A85" s="36" t="s">
        <v>613</v>
      </c>
      <c r="B85" s="36" t="s">
        <v>615</v>
      </c>
      <c r="C85" s="36"/>
      <c r="D85" s="36"/>
      <c r="E85" s="36"/>
      <c r="F85" s="80">
        <v>10</v>
      </c>
      <c r="G85" s="36">
        <v>15</v>
      </c>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6"/>
      <c r="BQ85" s="6"/>
      <c r="BR85" s="6"/>
      <c r="BS85" s="6"/>
      <c r="BT85" s="6"/>
      <c r="BU85" s="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c r="CX85" s="36"/>
      <c r="CY85" s="36"/>
      <c r="CZ85" s="36"/>
      <c r="DA85" s="36"/>
      <c r="DB85" s="36"/>
      <c r="DC85" s="36"/>
      <c r="DD85" s="36"/>
      <c r="DE85" s="36"/>
      <c r="DF85" s="36"/>
      <c r="DG85" s="36"/>
      <c r="DH85" s="36"/>
      <c r="DI85" s="36"/>
      <c r="DJ85" s="36"/>
      <c r="DK85" s="36"/>
      <c r="DL85" s="36"/>
      <c r="DM85" s="36"/>
      <c r="DN85" s="36"/>
      <c r="DO85" s="36"/>
      <c r="DP85" s="36"/>
      <c r="DQ85" s="36"/>
      <c r="DR85" s="36"/>
      <c r="DS85" s="36"/>
      <c r="DT85" s="36"/>
      <c r="DU85" s="36"/>
      <c r="DV85" s="36"/>
      <c r="DW85" s="36"/>
      <c r="DX85" s="36"/>
      <c r="DY85" s="36"/>
      <c r="DZ85" s="36"/>
      <c r="EA85" s="36"/>
      <c r="EB85" s="36"/>
      <c r="EC85" s="36"/>
      <c r="ED85" s="36"/>
      <c r="EE85" s="36"/>
      <c r="EF85" s="36"/>
      <c r="EG85" s="36"/>
      <c r="EH85" s="36"/>
      <c r="EI85" s="36"/>
      <c r="EJ85" s="36"/>
      <c r="EK85" s="36"/>
      <c r="EL85" s="36"/>
      <c r="EM85" s="36"/>
      <c r="EN85" s="36"/>
      <c r="EO85" s="36"/>
      <c r="EP85" s="36"/>
      <c r="EQ85" s="36">
        <v>20</v>
      </c>
      <c r="ER85" s="36"/>
      <c r="ES85" s="36"/>
      <c r="ET85" s="36"/>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6"/>
      <c r="GB85" s="6"/>
      <c r="GC85" s="36"/>
      <c r="GD85" s="36"/>
      <c r="GE85" s="36"/>
      <c r="GF85" s="36"/>
      <c r="GG85" s="36"/>
      <c r="GH85" s="36"/>
      <c r="GI85" s="36"/>
      <c r="GJ85" s="36"/>
      <c r="GK85" s="36"/>
      <c r="GL85" s="36"/>
      <c r="GM85" s="36"/>
      <c r="GN85" s="36"/>
      <c r="GO85" s="36"/>
      <c r="GP85" s="36"/>
      <c r="GQ85" s="36"/>
      <c r="GR85" s="36"/>
      <c r="GS85" s="36"/>
      <c r="GT85" s="36"/>
      <c r="GU85" s="36"/>
      <c r="GV85" s="6"/>
      <c r="GW85" s="36"/>
      <c r="GX85" s="36"/>
      <c r="GY85" s="36"/>
      <c r="GZ85" s="36"/>
      <c r="HA85" s="36"/>
      <c r="HB85" s="36"/>
      <c r="HC85" s="36"/>
      <c r="HD85" s="36"/>
      <c r="HE85" s="36"/>
      <c r="HF85" s="36"/>
      <c r="HG85" s="36"/>
      <c r="HH85" s="36"/>
      <c r="HI85" s="36"/>
      <c r="HJ85" s="36"/>
      <c r="HK85" s="36"/>
      <c r="HL85" s="36"/>
      <c r="HM85" s="36"/>
      <c r="HN85" s="36"/>
      <c r="HO85" s="36"/>
      <c r="HP85" s="36"/>
      <c r="HQ85" s="36"/>
      <c r="HR85" s="36"/>
      <c r="HS85" s="36"/>
      <c r="HT85" s="36"/>
      <c r="HU85" s="36"/>
      <c r="HV85" s="36"/>
      <c r="HW85" s="36"/>
      <c r="HX85" s="36"/>
      <c r="HY85" s="36"/>
      <c r="HZ85" s="36"/>
      <c r="IA85" s="36"/>
      <c r="IB85" s="36"/>
      <c r="IC85" s="36"/>
      <c r="ID85" s="36"/>
      <c r="IE85" s="36"/>
      <c r="IF85" s="36"/>
      <c r="IG85" s="36"/>
      <c r="IH85" s="36"/>
      <c r="II85" s="36"/>
      <c r="IJ85" s="36"/>
      <c r="IK85" s="36"/>
      <c r="IL85" s="36"/>
      <c r="IM85" s="36"/>
      <c r="IN85" s="36"/>
      <c r="IO85" s="36"/>
      <c r="IP85" s="36"/>
      <c r="IR85" s="2" t="s">
        <v>543</v>
      </c>
    </row>
    <row r="86" spans="1:252" ht="15.75" customHeight="1" x14ac:dyDescent="0.25">
      <c r="A86" s="36" t="s">
        <v>613</v>
      </c>
      <c r="B86" s="36" t="s">
        <v>616</v>
      </c>
      <c r="C86" s="36"/>
      <c r="D86" s="36"/>
      <c r="E86" s="36"/>
      <c r="F86" s="36"/>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6"/>
      <c r="BQ86" s="6"/>
      <c r="BR86" s="6"/>
      <c r="BS86" s="6"/>
      <c r="BT86" s="6"/>
      <c r="BU86" s="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6"/>
      <c r="CT86" s="36"/>
      <c r="CU86" s="36"/>
      <c r="CV86" s="36"/>
      <c r="CW86" s="36"/>
      <c r="CX86" s="36"/>
      <c r="CY86" s="36"/>
      <c r="CZ86" s="36"/>
      <c r="DA86" s="36"/>
      <c r="DB86" s="36"/>
      <c r="DC86" s="36"/>
      <c r="DD86" s="36"/>
      <c r="DE86" s="36"/>
      <c r="DF86" s="36"/>
      <c r="DG86" s="36"/>
      <c r="DH86" s="36"/>
      <c r="DI86" s="36"/>
      <c r="DJ86" s="36"/>
      <c r="DK86" s="36"/>
      <c r="DL86" s="36"/>
      <c r="DM86" s="36"/>
      <c r="DN86" s="36"/>
      <c r="DO86" s="36"/>
      <c r="DP86" s="36"/>
      <c r="DQ86" s="36"/>
      <c r="DR86" s="36"/>
      <c r="DS86" s="36"/>
      <c r="DT86" s="36"/>
      <c r="DU86" s="36"/>
      <c r="DV86" s="36"/>
      <c r="DW86" s="36"/>
      <c r="DX86" s="36"/>
      <c r="DY86" s="36"/>
      <c r="DZ86" s="36"/>
      <c r="EA86" s="36"/>
      <c r="EB86" s="36"/>
      <c r="EC86" s="36"/>
      <c r="ED86" s="36"/>
      <c r="EE86" s="36"/>
      <c r="EF86" s="36"/>
      <c r="EG86" s="36"/>
      <c r="EH86" s="36"/>
      <c r="EI86" s="36"/>
      <c r="EJ86" s="36"/>
      <c r="EK86" s="36"/>
      <c r="EL86" s="36"/>
      <c r="EM86" s="36"/>
      <c r="EN86" s="36"/>
      <c r="EO86" s="36"/>
      <c r="EP86" s="36"/>
      <c r="EQ86" s="36"/>
      <c r="ER86" s="36"/>
      <c r="ES86" s="36">
        <v>1</v>
      </c>
      <c r="ET86" s="36"/>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v>50</v>
      </c>
      <c r="GA86" s="6"/>
      <c r="GB86" s="6"/>
      <c r="GC86" s="36"/>
      <c r="GD86" s="36"/>
      <c r="GE86" s="36"/>
      <c r="GF86" s="36"/>
      <c r="GG86" s="36"/>
      <c r="GH86" s="36"/>
      <c r="GI86" s="36"/>
      <c r="GJ86" s="36"/>
      <c r="GK86" s="36"/>
      <c r="GL86" s="36"/>
      <c r="GM86" s="36"/>
      <c r="GN86" s="36"/>
      <c r="GO86" s="36"/>
      <c r="GP86" s="36"/>
      <c r="GQ86" s="36"/>
      <c r="GR86" s="36"/>
      <c r="GS86" s="36"/>
      <c r="GT86" s="36"/>
      <c r="GU86" s="36"/>
      <c r="GV86" s="6"/>
      <c r="GW86" s="36"/>
      <c r="GX86" s="36"/>
      <c r="GY86" s="36"/>
      <c r="GZ86" s="36"/>
      <c r="HA86" s="36"/>
      <c r="HB86" s="36"/>
      <c r="HC86" s="36"/>
      <c r="HD86" s="36"/>
      <c r="HE86" s="36"/>
      <c r="HF86" s="36"/>
      <c r="HG86" s="36"/>
      <c r="HH86" s="36"/>
      <c r="HI86" s="36"/>
      <c r="HJ86" s="36"/>
      <c r="HK86" s="36"/>
      <c r="HL86" s="36"/>
      <c r="HM86" s="36"/>
      <c r="HN86" s="36"/>
      <c r="HO86" s="36"/>
      <c r="HP86" s="36"/>
      <c r="HQ86" s="36"/>
      <c r="HR86" s="36"/>
      <c r="HS86" s="36"/>
      <c r="HT86" s="36"/>
      <c r="HU86" s="36"/>
      <c r="HV86" s="36"/>
      <c r="HW86" s="36"/>
      <c r="HX86" s="36"/>
      <c r="HY86" s="36"/>
      <c r="HZ86" s="36"/>
      <c r="IA86" s="36"/>
      <c r="IB86" s="36"/>
      <c r="IC86" s="36"/>
      <c r="ID86" s="36"/>
      <c r="IE86" s="36"/>
      <c r="IF86" s="36"/>
      <c r="IG86" s="36"/>
      <c r="IH86" s="36"/>
      <c r="II86" s="36"/>
      <c r="IJ86" s="36"/>
      <c r="IK86" s="36"/>
      <c r="IL86" s="36"/>
      <c r="IM86" s="36"/>
      <c r="IN86" s="36"/>
      <c r="IO86" s="36"/>
      <c r="IP86" s="36"/>
      <c r="IR86" s="2" t="s">
        <v>543</v>
      </c>
    </row>
    <row r="87" spans="1:252" ht="15.75" customHeight="1" x14ac:dyDescent="0.25">
      <c r="A87" s="36" t="s">
        <v>613</v>
      </c>
      <c r="B87" s="36" t="s">
        <v>617</v>
      </c>
      <c r="C87" s="36"/>
      <c r="D87" s="36"/>
      <c r="E87" s="36"/>
      <c r="F87" s="36"/>
      <c r="G87" s="36"/>
      <c r="H87" s="36">
        <v>20</v>
      </c>
      <c r="I87" s="36"/>
      <c r="J87" s="36"/>
      <c r="K87" s="36"/>
      <c r="L87" s="36"/>
      <c r="M87" s="36"/>
      <c r="N87" s="36"/>
      <c r="O87" s="36"/>
      <c r="P87" s="36"/>
      <c r="Q87" s="36"/>
      <c r="R87" s="36"/>
      <c r="S87" s="36"/>
      <c r="T87" s="36"/>
      <c r="U87" s="36">
        <v>10</v>
      </c>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6"/>
      <c r="BQ87" s="6"/>
      <c r="BR87" s="6"/>
      <c r="BS87" s="6"/>
      <c r="BT87" s="6"/>
      <c r="BU87" s="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c r="CT87" s="36"/>
      <c r="CU87" s="36"/>
      <c r="CV87" s="36"/>
      <c r="CW87" s="36"/>
      <c r="CX87" s="36"/>
      <c r="CY87" s="36"/>
      <c r="CZ87" s="36"/>
      <c r="DA87" s="36"/>
      <c r="DB87" s="36"/>
      <c r="DC87" s="36"/>
      <c r="DD87" s="36"/>
      <c r="DE87" s="36"/>
      <c r="DF87" s="36"/>
      <c r="DG87" s="36"/>
      <c r="DH87" s="36"/>
      <c r="DI87" s="36"/>
      <c r="DJ87" s="36"/>
      <c r="DK87" s="36"/>
      <c r="DL87" s="36"/>
      <c r="DM87" s="36"/>
      <c r="DN87" s="36"/>
      <c r="DO87" s="36"/>
      <c r="DP87" s="36"/>
      <c r="DQ87" s="36"/>
      <c r="DR87" s="36"/>
      <c r="DS87" s="36"/>
      <c r="DT87" s="36"/>
      <c r="DU87" s="36"/>
      <c r="DV87" s="36"/>
      <c r="DW87" s="36"/>
      <c r="DX87" s="36"/>
      <c r="DY87" s="36"/>
      <c r="DZ87" s="36"/>
      <c r="EA87" s="36"/>
      <c r="EB87" s="36"/>
      <c r="EC87" s="36"/>
      <c r="ED87" s="36"/>
      <c r="EE87" s="36"/>
      <c r="EF87" s="36"/>
      <c r="EG87" s="36"/>
      <c r="EH87" s="36"/>
      <c r="EI87" s="36"/>
      <c r="EJ87" s="36"/>
      <c r="EK87" s="36"/>
      <c r="EL87" s="36"/>
      <c r="EM87" s="36">
        <v>3</v>
      </c>
      <c r="EN87" s="36"/>
      <c r="EO87" s="36"/>
      <c r="EP87" s="36"/>
      <c r="EQ87" s="36"/>
      <c r="ER87" s="36"/>
      <c r="ES87" s="36"/>
      <c r="ET87" s="36"/>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6"/>
      <c r="GB87" s="6"/>
      <c r="GC87" s="36"/>
      <c r="GD87" s="36"/>
      <c r="GE87" s="36"/>
      <c r="GF87" s="36"/>
      <c r="GG87" s="36"/>
      <c r="GH87" s="36"/>
      <c r="GI87" s="36"/>
      <c r="GJ87" s="36"/>
      <c r="GK87" s="36"/>
      <c r="GL87" s="36"/>
      <c r="GM87" s="36"/>
      <c r="GN87" s="36"/>
      <c r="GO87" s="36"/>
      <c r="GP87" s="36"/>
      <c r="GQ87" s="36"/>
      <c r="GR87" s="36"/>
      <c r="GS87" s="36"/>
      <c r="GT87" s="36"/>
      <c r="GU87" s="36"/>
      <c r="GV87" s="6"/>
      <c r="GW87" s="36"/>
      <c r="GX87" s="36">
        <v>100</v>
      </c>
      <c r="GY87" s="36"/>
      <c r="GZ87" s="36"/>
      <c r="HA87" s="36"/>
      <c r="HB87" s="36">
        <v>50</v>
      </c>
      <c r="HC87" s="36">
        <v>100</v>
      </c>
      <c r="HD87" s="36">
        <v>100</v>
      </c>
      <c r="HE87" s="36"/>
      <c r="HF87" s="36"/>
      <c r="HG87" s="36"/>
      <c r="HH87" s="36"/>
      <c r="HI87" s="36"/>
      <c r="HJ87" s="36"/>
      <c r="HK87" s="36"/>
      <c r="HL87" s="36"/>
      <c r="HM87" s="36"/>
      <c r="HN87" s="36"/>
      <c r="HO87" s="36"/>
      <c r="HP87" s="36"/>
      <c r="HQ87" s="36"/>
      <c r="HR87" s="36"/>
      <c r="HS87" s="36"/>
      <c r="HT87" s="36"/>
      <c r="HU87" s="36"/>
      <c r="HV87" s="36"/>
      <c r="HW87" s="36"/>
      <c r="HX87" s="36"/>
      <c r="HY87" s="36"/>
      <c r="HZ87" s="36"/>
      <c r="IA87" s="36"/>
      <c r="IB87" s="36"/>
      <c r="IC87" s="36"/>
      <c r="ID87" s="36"/>
      <c r="IE87" s="36"/>
      <c r="IF87" s="36"/>
      <c r="IG87" s="36"/>
      <c r="IH87" s="36"/>
      <c r="II87" s="36"/>
      <c r="IJ87" s="36"/>
      <c r="IK87" s="36"/>
      <c r="IL87" s="36"/>
      <c r="IM87" s="36"/>
      <c r="IN87" s="36"/>
      <c r="IO87" s="36"/>
      <c r="IP87" s="36"/>
      <c r="IR87" s="2" t="s">
        <v>543</v>
      </c>
    </row>
    <row r="88" spans="1:252" ht="15.75" customHeight="1" x14ac:dyDescent="0.25">
      <c r="A88" s="36" t="s">
        <v>613</v>
      </c>
      <c r="B88" s="36" t="s">
        <v>619</v>
      </c>
      <c r="C88" s="36"/>
      <c r="D88" s="36"/>
      <c r="E88" s="36"/>
      <c r="F88" s="80">
        <v>30</v>
      </c>
      <c r="G88" s="36">
        <v>5</v>
      </c>
      <c r="H88" s="36"/>
      <c r="I88" s="36">
        <v>15</v>
      </c>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6"/>
      <c r="BQ88" s="6"/>
      <c r="BR88" s="6"/>
      <c r="BS88" s="6"/>
      <c r="BT88" s="6"/>
      <c r="BU88" s="6"/>
      <c r="BV88" s="36"/>
      <c r="BW88" s="36"/>
      <c r="BX88" s="36"/>
      <c r="BY88" s="36"/>
      <c r="BZ88" s="36"/>
      <c r="CA88" s="36"/>
      <c r="CB88" s="36"/>
      <c r="CC88" s="36"/>
      <c r="CD88" s="36"/>
      <c r="CE88" s="36"/>
      <c r="CF88" s="36"/>
      <c r="CG88" s="36"/>
      <c r="CH88" s="36"/>
      <c r="CI88" s="36"/>
      <c r="CJ88" s="36"/>
      <c r="CK88" s="36"/>
      <c r="CL88" s="36"/>
      <c r="CM88" s="36"/>
      <c r="CN88" s="36">
        <v>32</v>
      </c>
      <c r="CO88" s="36"/>
      <c r="CP88" s="36"/>
      <c r="CQ88" s="36"/>
      <c r="CR88" s="36"/>
      <c r="CS88" s="36"/>
      <c r="CT88" s="36"/>
      <c r="CU88" s="36"/>
      <c r="CV88" s="36"/>
      <c r="CW88" s="36"/>
      <c r="CX88" s="36"/>
      <c r="CY88" s="36"/>
      <c r="CZ88" s="36"/>
      <c r="DA88" s="36"/>
      <c r="DB88" s="36"/>
      <c r="DC88" s="36"/>
      <c r="DD88" s="36"/>
      <c r="DE88" s="36"/>
      <c r="DF88" s="36"/>
      <c r="DG88" s="36"/>
      <c r="DH88" s="36"/>
      <c r="DI88" s="36"/>
      <c r="DJ88" s="36"/>
      <c r="DK88" s="36"/>
      <c r="DL88" s="36"/>
      <c r="DM88" s="36"/>
      <c r="DN88" s="36"/>
      <c r="DO88" s="36"/>
      <c r="DP88" s="36"/>
      <c r="DQ88" s="36"/>
      <c r="DR88" s="36"/>
      <c r="DS88" s="36"/>
      <c r="DT88" s="36"/>
      <c r="DU88" s="36"/>
      <c r="DV88" s="36"/>
      <c r="DW88" s="36"/>
      <c r="DX88" s="36"/>
      <c r="DY88" s="36"/>
      <c r="DZ88" s="36"/>
      <c r="EA88" s="36"/>
      <c r="EB88" s="36"/>
      <c r="EC88" s="36"/>
      <c r="ED88" s="36"/>
      <c r="EE88" s="36"/>
      <c r="EF88" s="36"/>
      <c r="EG88" s="36"/>
      <c r="EH88" s="36"/>
      <c r="EI88" s="36"/>
      <c r="EJ88" s="36"/>
      <c r="EK88" s="36"/>
      <c r="EL88" s="36">
        <v>5</v>
      </c>
      <c r="EM88" s="36"/>
      <c r="EN88" s="36"/>
      <c r="EO88" s="36"/>
      <c r="EP88" s="36"/>
      <c r="EQ88" s="36">
        <v>10</v>
      </c>
      <c r="ER88" s="36"/>
      <c r="ES88" s="36"/>
      <c r="ET88" s="36"/>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6"/>
      <c r="GB88" s="6"/>
      <c r="GC88" s="36">
        <v>600</v>
      </c>
      <c r="GD88" s="36"/>
      <c r="GE88" s="36"/>
      <c r="GF88" s="36"/>
      <c r="GG88" s="36"/>
      <c r="GH88" s="36"/>
      <c r="GI88" s="36"/>
      <c r="GJ88" s="36"/>
      <c r="GK88" s="36"/>
      <c r="GL88" s="36"/>
      <c r="GM88" s="36"/>
      <c r="GN88" s="36"/>
      <c r="GO88" s="36"/>
      <c r="GP88" s="36"/>
      <c r="GQ88" s="36"/>
      <c r="GR88" s="36"/>
      <c r="GS88" s="36"/>
      <c r="GT88" s="36"/>
      <c r="GU88" s="36"/>
      <c r="GV88" s="6">
        <v>300</v>
      </c>
      <c r="GW88" s="36"/>
      <c r="GX88" s="36"/>
      <c r="GY88" s="36"/>
      <c r="GZ88" s="36"/>
      <c r="HA88" s="36"/>
      <c r="HB88" s="36"/>
      <c r="HC88" s="36"/>
      <c r="HD88" s="36"/>
      <c r="HE88" s="36"/>
      <c r="HF88" s="36"/>
      <c r="HG88" s="36"/>
      <c r="HH88" s="36"/>
      <c r="HI88" s="36"/>
      <c r="HJ88" s="36"/>
      <c r="HK88" s="36"/>
      <c r="HL88" s="36"/>
      <c r="HM88" s="36"/>
      <c r="HN88" s="36"/>
      <c r="HO88" s="36"/>
      <c r="HP88" s="36"/>
      <c r="HQ88" s="36">
        <v>50</v>
      </c>
      <c r="HR88" s="36">
        <v>50</v>
      </c>
      <c r="HS88" s="36"/>
      <c r="HT88" s="36">
        <v>50</v>
      </c>
      <c r="HU88" s="36"/>
      <c r="HV88" s="36"/>
      <c r="HW88" s="36"/>
      <c r="HX88" s="36"/>
      <c r="HY88" s="36"/>
      <c r="HZ88" s="36"/>
      <c r="IA88" s="36"/>
      <c r="IB88" s="36"/>
      <c r="IC88" s="36"/>
      <c r="ID88" s="36"/>
      <c r="IE88" s="36"/>
      <c r="IF88" s="36"/>
      <c r="IG88" s="36"/>
      <c r="IH88" s="36"/>
      <c r="II88" s="36"/>
      <c r="IJ88" s="36"/>
      <c r="IK88" s="36"/>
      <c r="IL88" s="36"/>
      <c r="IM88" s="36"/>
      <c r="IN88" s="36"/>
      <c r="IO88" s="36"/>
      <c r="IP88" s="36"/>
      <c r="IR88" s="2" t="s">
        <v>543</v>
      </c>
    </row>
    <row r="89" spans="1:252" ht="15.75" customHeight="1" x14ac:dyDescent="0.25">
      <c r="A89" s="36" t="s">
        <v>620</v>
      </c>
      <c r="B89" s="36" t="s">
        <v>621</v>
      </c>
      <c r="C89" s="36"/>
      <c r="D89" s="36"/>
      <c r="E89" s="36"/>
      <c r="F89" s="36"/>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6"/>
      <c r="BQ89" s="6"/>
      <c r="BR89" s="6"/>
      <c r="BS89" s="6"/>
      <c r="BT89" s="6"/>
      <c r="BU89" s="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c r="DA89" s="36"/>
      <c r="DB89" s="36"/>
      <c r="DC89" s="36"/>
      <c r="DD89" s="36"/>
      <c r="DE89" s="36"/>
      <c r="DF89" s="36"/>
      <c r="DG89" s="36"/>
      <c r="DH89" s="36"/>
      <c r="DI89" s="36"/>
      <c r="DJ89" s="36"/>
      <c r="DK89" s="36"/>
      <c r="DL89" s="36"/>
      <c r="DM89" s="36"/>
      <c r="DN89" s="36"/>
      <c r="DO89" s="36"/>
      <c r="DP89" s="36"/>
      <c r="DQ89" s="36"/>
      <c r="DR89" s="36"/>
      <c r="DS89" s="36"/>
      <c r="DT89" s="36"/>
      <c r="DU89" s="36"/>
      <c r="DV89" s="36"/>
      <c r="DW89" s="36"/>
      <c r="DX89" s="36"/>
      <c r="DY89" s="36"/>
      <c r="DZ89" s="36"/>
      <c r="EA89" s="36"/>
      <c r="EB89" s="36"/>
      <c r="EC89" s="36"/>
      <c r="ED89" s="36"/>
      <c r="EE89" s="36"/>
      <c r="EF89" s="36"/>
      <c r="EG89" s="36"/>
      <c r="EH89" s="36"/>
      <c r="EI89" s="36"/>
      <c r="EJ89" s="36"/>
      <c r="EK89" s="36"/>
      <c r="EL89" s="36"/>
      <c r="EM89" s="36"/>
      <c r="EN89" s="36"/>
      <c r="EO89" s="36"/>
      <c r="EP89" s="36"/>
      <c r="EQ89" s="36"/>
      <c r="ER89" s="36"/>
      <c r="ES89" s="36"/>
      <c r="ET89" s="36"/>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6"/>
      <c r="GB89" s="6"/>
      <c r="GC89" s="36"/>
      <c r="GD89" s="36"/>
      <c r="GE89" s="36"/>
      <c r="GF89" s="36"/>
      <c r="GG89" s="36"/>
      <c r="GH89" s="36"/>
      <c r="GI89" s="36"/>
      <c r="GJ89" s="36"/>
      <c r="GK89" s="36"/>
      <c r="GL89" s="36"/>
      <c r="GM89" s="36"/>
      <c r="GN89" s="36"/>
      <c r="GO89" s="36"/>
      <c r="GP89" s="36"/>
      <c r="GQ89" s="36"/>
      <c r="GR89" s="36"/>
      <c r="GS89" s="36"/>
      <c r="GT89" s="36"/>
      <c r="GU89" s="36"/>
      <c r="GV89" s="6"/>
      <c r="GW89" s="36"/>
      <c r="GX89" s="36"/>
      <c r="GY89" s="36"/>
      <c r="GZ89" s="36"/>
      <c r="HA89" s="36"/>
      <c r="HB89" s="36"/>
      <c r="HC89" s="36"/>
      <c r="HD89" s="36"/>
      <c r="HE89" s="36"/>
      <c r="HF89" s="36"/>
      <c r="HG89" s="36"/>
      <c r="HH89" s="36"/>
      <c r="HI89" s="36"/>
      <c r="HJ89" s="36"/>
      <c r="HK89" s="36"/>
      <c r="HL89" s="36"/>
      <c r="HM89" s="36"/>
      <c r="HN89" s="36"/>
      <c r="HO89" s="36"/>
      <c r="HP89" s="36"/>
      <c r="HQ89" s="36"/>
      <c r="HR89" s="36"/>
      <c r="HS89" s="36"/>
      <c r="HT89" s="36">
        <v>50</v>
      </c>
      <c r="HU89" s="36"/>
      <c r="HV89" s="36"/>
      <c r="HW89" s="36"/>
      <c r="HX89" s="36"/>
      <c r="HY89" s="36"/>
      <c r="HZ89" s="36"/>
      <c r="IA89" s="36"/>
      <c r="IB89" s="36"/>
      <c r="IC89" s="36"/>
      <c r="ID89" s="36"/>
      <c r="IE89" s="36"/>
      <c r="IF89" s="36"/>
      <c r="IG89" s="36"/>
      <c r="IH89" s="36"/>
      <c r="II89" s="36"/>
      <c r="IJ89" s="36"/>
      <c r="IK89" s="36"/>
      <c r="IL89" s="36"/>
      <c r="IM89" s="36"/>
      <c r="IN89" s="36"/>
      <c r="IO89" s="36"/>
      <c r="IP89" s="36"/>
      <c r="IR89" s="2" t="s">
        <v>543</v>
      </c>
    </row>
    <row r="90" spans="1:252" ht="15.75" customHeight="1" x14ac:dyDescent="0.25">
      <c r="A90" s="36" t="s">
        <v>620</v>
      </c>
      <c r="B90" s="36" t="s">
        <v>622</v>
      </c>
      <c r="C90" s="36"/>
      <c r="D90" s="36"/>
      <c r="E90" s="36"/>
      <c r="F90" s="36"/>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36"/>
      <c r="BN90" s="36"/>
      <c r="BO90" s="36"/>
      <c r="BP90" s="6"/>
      <c r="BQ90" s="6"/>
      <c r="BR90" s="6"/>
      <c r="BS90" s="6"/>
      <c r="BT90" s="6"/>
      <c r="BU90" s="6"/>
      <c r="BV90" s="36"/>
      <c r="BW90" s="36"/>
      <c r="BX90" s="36"/>
      <c r="BY90" s="36"/>
      <c r="BZ90" s="36"/>
      <c r="CA90" s="36"/>
      <c r="CB90" s="36"/>
      <c r="CC90" s="36"/>
      <c r="CD90" s="36"/>
      <c r="CE90" s="36"/>
      <c r="CF90" s="36"/>
      <c r="CG90" s="36"/>
      <c r="CH90" s="36"/>
      <c r="CI90" s="36"/>
      <c r="CJ90" s="36"/>
      <c r="CK90" s="36"/>
      <c r="CL90" s="36"/>
      <c r="CM90" s="36"/>
      <c r="CN90" s="36">
        <v>32</v>
      </c>
      <c r="CO90" s="36"/>
      <c r="CP90" s="36"/>
      <c r="CQ90" s="36"/>
      <c r="CR90" s="36"/>
      <c r="CS90" s="36"/>
      <c r="CT90" s="36"/>
      <c r="CU90" s="36"/>
      <c r="CV90" s="36"/>
      <c r="CW90" s="36"/>
      <c r="CX90" s="36"/>
      <c r="CY90" s="36"/>
      <c r="CZ90" s="36"/>
      <c r="DA90" s="36"/>
      <c r="DB90" s="36"/>
      <c r="DC90" s="36"/>
      <c r="DD90" s="36"/>
      <c r="DE90" s="36"/>
      <c r="DF90" s="36"/>
      <c r="DG90" s="36"/>
      <c r="DH90" s="36"/>
      <c r="DI90" s="36"/>
      <c r="DJ90" s="36"/>
      <c r="DK90" s="36"/>
      <c r="DL90" s="36"/>
      <c r="DM90" s="36"/>
      <c r="DN90" s="36"/>
      <c r="DO90" s="36"/>
      <c r="DP90" s="36"/>
      <c r="DQ90" s="36"/>
      <c r="DR90" s="36"/>
      <c r="DS90" s="36"/>
      <c r="DT90" s="36"/>
      <c r="DU90" s="36"/>
      <c r="DV90" s="36"/>
      <c r="DW90" s="36"/>
      <c r="DX90" s="36"/>
      <c r="DY90" s="36"/>
      <c r="DZ90" s="36"/>
      <c r="EA90" s="36"/>
      <c r="EB90" s="36"/>
      <c r="EC90" s="36"/>
      <c r="ED90" s="36"/>
      <c r="EE90" s="36"/>
      <c r="EF90" s="36"/>
      <c r="EG90" s="36"/>
      <c r="EH90" s="36"/>
      <c r="EI90" s="36"/>
      <c r="EJ90" s="36"/>
      <c r="EK90" s="36"/>
      <c r="EL90" s="36"/>
      <c r="EM90" s="36"/>
      <c r="EN90" s="36"/>
      <c r="EO90" s="36"/>
      <c r="EP90" s="36"/>
      <c r="EQ90" s="36"/>
      <c r="ER90" s="36"/>
      <c r="ES90" s="36"/>
      <c r="ET90" s="36"/>
      <c r="EU90" s="36"/>
      <c r="EV90" s="36"/>
      <c r="EW90" s="36"/>
      <c r="EX90" s="36"/>
      <c r="EY90" s="36"/>
      <c r="EZ90" s="36"/>
      <c r="FA90" s="36"/>
      <c r="FB90" s="36"/>
      <c r="FC90" s="36"/>
      <c r="FD90" s="36"/>
      <c r="FE90" s="36"/>
      <c r="FF90" s="36"/>
      <c r="FG90" s="36"/>
      <c r="FH90" s="36"/>
      <c r="FI90" s="36"/>
      <c r="FJ90" s="36"/>
      <c r="FK90" s="36"/>
      <c r="FL90" s="36"/>
      <c r="FM90" s="36"/>
      <c r="FN90" s="36"/>
      <c r="FO90" s="36"/>
      <c r="FP90" s="36"/>
      <c r="FQ90" s="36"/>
      <c r="FR90" s="36"/>
      <c r="FS90" s="36"/>
      <c r="FT90" s="36"/>
      <c r="FU90" s="36"/>
      <c r="FV90" s="36"/>
      <c r="FW90" s="36"/>
      <c r="FX90" s="36"/>
      <c r="FY90" s="36"/>
      <c r="FZ90" s="36"/>
      <c r="GA90" s="6"/>
      <c r="GB90" s="6"/>
      <c r="GC90" s="36"/>
      <c r="GD90" s="36"/>
      <c r="GE90" s="36"/>
      <c r="GF90" s="36"/>
      <c r="GG90" s="36"/>
      <c r="GH90" s="36"/>
      <c r="GI90" s="36"/>
      <c r="GJ90" s="36"/>
      <c r="GK90" s="36"/>
      <c r="GL90" s="36"/>
      <c r="GM90" s="36"/>
      <c r="GN90" s="36"/>
      <c r="GO90" s="36"/>
      <c r="GP90" s="36"/>
      <c r="GQ90" s="36"/>
      <c r="GR90" s="36"/>
      <c r="GS90" s="36"/>
      <c r="GT90" s="36"/>
      <c r="GU90" s="36"/>
      <c r="GV90" s="6"/>
      <c r="GW90" s="36"/>
      <c r="GX90" s="36"/>
      <c r="GY90" s="36"/>
      <c r="GZ90" s="36"/>
      <c r="HA90" s="36"/>
      <c r="HB90" s="36"/>
      <c r="HC90" s="36"/>
      <c r="HD90" s="36"/>
      <c r="HE90" s="36"/>
      <c r="HF90" s="36"/>
      <c r="HG90" s="36"/>
      <c r="HH90" s="36"/>
      <c r="HI90" s="36"/>
      <c r="HJ90" s="36"/>
      <c r="HK90" s="36"/>
      <c r="HL90" s="36"/>
      <c r="HM90" s="36"/>
      <c r="HN90" s="36"/>
      <c r="HO90" s="36"/>
      <c r="HP90" s="36"/>
      <c r="HQ90" s="36"/>
      <c r="HR90" s="36"/>
      <c r="HS90" s="36"/>
      <c r="HT90" s="36"/>
      <c r="HU90" s="36"/>
      <c r="HV90" s="36"/>
      <c r="HW90" s="36"/>
      <c r="HX90" s="36"/>
      <c r="HY90" s="36"/>
      <c r="HZ90" s="36"/>
      <c r="IA90" s="36"/>
      <c r="IB90" s="36"/>
      <c r="IC90" s="36"/>
      <c r="ID90" s="36"/>
      <c r="IE90" s="36"/>
      <c r="IF90" s="36"/>
      <c r="IG90" s="36"/>
      <c r="IH90" s="36"/>
      <c r="II90" s="36"/>
      <c r="IJ90" s="36"/>
      <c r="IK90" s="36"/>
      <c r="IL90" s="36"/>
      <c r="IM90" s="36"/>
      <c r="IN90" s="36"/>
      <c r="IO90" s="36"/>
      <c r="IP90" s="36"/>
      <c r="IR90" s="2" t="s">
        <v>543</v>
      </c>
    </row>
    <row r="91" spans="1:252" ht="15.75" customHeight="1" x14ac:dyDescent="0.25">
      <c r="A91" s="36" t="s">
        <v>620</v>
      </c>
      <c r="B91" s="36" t="s">
        <v>625</v>
      </c>
      <c r="C91" s="36"/>
      <c r="D91" s="36"/>
      <c r="E91" s="36"/>
      <c r="F91" s="80">
        <v>10</v>
      </c>
      <c r="G91" s="36"/>
      <c r="H91" s="36"/>
      <c r="I91" s="36"/>
      <c r="J91" s="36"/>
      <c r="K91" s="36"/>
      <c r="L91" s="36"/>
      <c r="M91" s="36">
        <v>10</v>
      </c>
      <c r="N91" s="36"/>
      <c r="O91" s="36"/>
      <c r="P91" s="36"/>
      <c r="Q91" s="36"/>
      <c r="R91" s="36"/>
      <c r="S91" s="36"/>
      <c r="T91" s="36"/>
      <c r="U91" s="36">
        <v>15</v>
      </c>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36"/>
      <c r="BN91" s="36"/>
      <c r="BO91" s="36"/>
      <c r="BP91" s="6"/>
      <c r="BQ91" s="6"/>
      <c r="BR91" s="6"/>
      <c r="BS91" s="6"/>
      <c r="BT91" s="6"/>
      <c r="BU91" s="6"/>
      <c r="BV91" s="36"/>
      <c r="BW91" s="36"/>
      <c r="BX91" s="36"/>
      <c r="BY91" s="36"/>
      <c r="BZ91" s="36"/>
      <c r="CA91" s="36"/>
      <c r="CB91" s="36"/>
      <c r="CC91" s="36"/>
      <c r="CD91" s="36"/>
      <c r="CE91" s="36"/>
      <c r="CF91" s="36"/>
      <c r="CG91" s="36"/>
      <c r="CH91" s="36"/>
      <c r="CI91" s="36"/>
      <c r="CJ91" s="36"/>
      <c r="CK91" s="36"/>
      <c r="CL91" s="36"/>
      <c r="CM91" s="36"/>
      <c r="CN91" s="36">
        <v>10</v>
      </c>
      <c r="CO91" s="36"/>
      <c r="CP91" s="36"/>
      <c r="CQ91" s="36"/>
      <c r="CR91" s="36"/>
      <c r="CS91" s="36"/>
      <c r="CT91" s="36"/>
      <c r="CU91" s="36"/>
      <c r="CV91" s="36"/>
      <c r="CW91" s="36"/>
      <c r="CX91" s="36"/>
      <c r="CY91" s="36"/>
      <c r="CZ91" s="36"/>
      <c r="DA91" s="36"/>
      <c r="DB91" s="36"/>
      <c r="DC91" s="36"/>
      <c r="DD91" s="36"/>
      <c r="DE91" s="36"/>
      <c r="DF91" s="36"/>
      <c r="DG91" s="36"/>
      <c r="DH91" s="36"/>
      <c r="DI91" s="36"/>
      <c r="DJ91" s="36"/>
      <c r="DK91" s="36"/>
      <c r="DL91" s="36"/>
      <c r="DM91" s="36"/>
      <c r="DN91" s="36"/>
      <c r="DO91" s="36"/>
      <c r="DP91" s="36"/>
      <c r="DQ91" s="36"/>
      <c r="DR91" s="36"/>
      <c r="DS91" s="36"/>
      <c r="DT91" s="36"/>
      <c r="DU91" s="36"/>
      <c r="DV91" s="36"/>
      <c r="DW91" s="36"/>
      <c r="DX91" s="36"/>
      <c r="DY91" s="36"/>
      <c r="DZ91" s="36"/>
      <c r="EA91" s="36"/>
      <c r="EB91" s="36"/>
      <c r="EC91" s="36"/>
      <c r="ED91" s="36"/>
      <c r="EE91" s="36"/>
      <c r="EF91" s="36"/>
      <c r="EG91" s="36"/>
      <c r="EH91" s="36"/>
      <c r="EI91" s="36"/>
      <c r="EJ91" s="36"/>
      <c r="EK91" s="36"/>
      <c r="EL91" s="36"/>
      <c r="EM91" s="36"/>
      <c r="EN91" s="36"/>
      <c r="EO91" s="36"/>
      <c r="EP91" s="36"/>
      <c r="EQ91" s="36">
        <v>20</v>
      </c>
      <c r="ER91" s="36"/>
      <c r="ES91" s="36"/>
      <c r="ET91" s="36"/>
      <c r="EU91" s="36"/>
      <c r="EV91" s="36"/>
      <c r="EW91" s="36"/>
      <c r="EX91" s="36"/>
      <c r="EY91" s="36"/>
      <c r="EZ91" s="36"/>
      <c r="FA91" s="36"/>
      <c r="FB91" s="36"/>
      <c r="FC91" s="36"/>
      <c r="FD91" s="36"/>
      <c r="FE91" s="36"/>
      <c r="FF91" s="36"/>
      <c r="FG91" s="36"/>
      <c r="FH91" s="36"/>
      <c r="FI91" s="36"/>
      <c r="FJ91" s="36"/>
      <c r="FK91" s="36"/>
      <c r="FL91" s="36"/>
      <c r="FM91" s="36"/>
      <c r="FN91" s="36"/>
      <c r="FO91" s="36"/>
      <c r="FP91" s="36"/>
      <c r="FQ91" s="36"/>
      <c r="FR91" s="36"/>
      <c r="FS91" s="36"/>
      <c r="FT91" s="36"/>
      <c r="FU91" s="36"/>
      <c r="FV91" s="36"/>
      <c r="FW91" s="36"/>
      <c r="FX91" s="36"/>
      <c r="FY91" s="36"/>
      <c r="FZ91" s="36"/>
      <c r="GA91" s="6"/>
      <c r="GB91" s="6"/>
      <c r="GC91" s="36">
        <v>1300</v>
      </c>
      <c r="GD91" s="36"/>
      <c r="GE91" s="36"/>
      <c r="GF91" s="36"/>
      <c r="GG91" s="36"/>
      <c r="GH91" s="36"/>
      <c r="GI91" s="36"/>
      <c r="GJ91" s="36"/>
      <c r="GK91" s="36">
        <v>50</v>
      </c>
      <c r="GL91" s="36">
        <v>25</v>
      </c>
      <c r="GM91" s="36"/>
      <c r="GN91" s="36"/>
      <c r="GO91" s="36">
        <v>50</v>
      </c>
      <c r="GP91" s="36"/>
      <c r="GQ91" s="36"/>
      <c r="GR91" s="36"/>
      <c r="GS91" s="36">
        <v>75</v>
      </c>
      <c r="GT91" s="36"/>
      <c r="GU91" s="36"/>
      <c r="GV91" s="6">
        <v>400</v>
      </c>
      <c r="GW91" s="36"/>
      <c r="GX91" s="36"/>
      <c r="GY91" s="36"/>
      <c r="GZ91" s="36"/>
      <c r="HA91" s="36"/>
      <c r="HB91" s="36"/>
      <c r="HC91" s="36"/>
      <c r="HD91" s="36"/>
      <c r="HE91" s="36"/>
      <c r="HF91" s="36"/>
      <c r="HG91" s="36"/>
      <c r="HH91" s="36"/>
      <c r="HI91" s="36"/>
      <c r="HJ91" s="36"/>
      <c r="HK91" s="36"/>
      <c r="HL91" s="36"/>
      <c r="HM91" s="36"/>
      <c r="HN91" s="36"/>
      <c r="HO91" s="36"/>
      <c r="HP91" s="36"/>
      <c r="HQ91" s="36"/>
      <c r="HR91" s="36"/>
      <c r="HS91" s="36"/>
      <c r="HT91" s="36"/>
      <c r="HU91" s="36"/>
      <c r="HV91" s="36"/>
      <c r="HW91" s="36"/>
      <c r="HX91" s="36"/>
      <c r="HY91" s="36"/>
      <c r="HZ91" s="36"/>
      <c r="IA91" s="36"/>
      <c r="IB91" s="36"/>
      <c r="IC91" s="36"/>
      <c r="ID91" s="36"/>
      <c r="IE91" s="36"/>
      <c r="IF91" s="36"/>
      <c r="IG91" s="36"/>
      <c r="IH91" s="36"/>
      <c r="II91" s="36"/>
      <c r="IJ91" s="36"/>
      <c r="IK91" s="36"/>
      <c r="IL91" s="36"/>
      <c r="IM91" s="36"/>
      <c r="IN91" s="36"/>
      <c r="IO91" s="36"/>
      <c r="IP91" s="36"/>
      <c r="IR91" s="2" t="s">
        <v>543</v>
      </c>
    </row>
    <row r="92" spans="1:252" ht="15.75" customHeight="1" x14ac:dyDescent="0.25">
      <c r="A92" s="36" t="s">
        <v>620</v>
      </c>
      <c r="B92" s="36" t="s">
        <v>626</v>
      </c>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36"/>
      <c r="BN92" s="36"/>
      <c r="BO92" s="36"/>
      <c r="BP92" s="6"/>
      <c r="BQ92" s="6"/>
      <c r="BR92" s="6"/>
      <c r="BS92" s="6"/>
      <c r="BT92" s="6"/>
      <c r="BU92" s="6"/>
      <c r="BV92" s="36"/>
      <c r="BW92" s="36"/>
      <c r="BX92" s="36"/>
      <c r="BY92" s="36"/>
      <c r="BZ92" s="36"/>
      <c r="CA92" s="36"/>
      <c r="CB92" s="36"/>
      <c r="CC92" s="36"/>
      <c r="CD92" s="36"/>
      <c r="CE92" s="36"/>
      <c r="CF92" s="36"/>
      <c r="CG92" s="36"/>
      <c r="CH92" s="36"/>
      <c r="CI92" s="36"/>
      <c r="CJ92" s="36"/>
      <c r="CK92" s="36"/>
      <c r="CL92" s="36"/>
      <c r="CM92" s="36"/>
      <c r="CN92" s="36">
        <v>16</v>
      </c>
      <c r="CO92" s="36"/>
      <c r="CP92" s="36"/>
      <c r="CQ92" s="36"/>
      <c r="CR92" s="36"/>
      <c r="CS92" s="36"/>
      <c r="CT92" s="36"/>
      <c r="CU92" s="36"/>
      <c r="CV92" s="36"/>
      <c r="CW92" s="36"/>
      <c r="CX92" s="36"/>
      <c r="CY92" s="36"/>
      <c r="CZ92" s="36"/>
      <c r="DA92" s="36"/>
      <c r="DB92" s="36"/>
      <c r="DC92" s="36"/>
      <c r="DD92" s="36"/>
      <c r="DE92" s="36"/>
      <c r="DF92" s="36"/>
      <c r="DG92" s="36"/>
      <c r="DH92" s="36"/>
      <c r="DI92" s="36"/>
      <c r="DJ92" s="36"/>
      <c r="DK92" s="36"/>
      <c r="DL92" s="36"/>
      <c r="DM92" s="36"/>
      <c r="DN92" s="36"/>
      <c r="DO92" s="36"/>
      <c r="DP92" s="36"/>
      <c r="DQ92" s="36"/>
      <c r="DR92" s="36"/>
      <c r="DS92" s="36"/>
      <c r="DT92" s="36"/>
      <c r="DU92" s="36"/>
      <c r="DV92" s="36"/>
      <c r="DW92" s="36"/>
      <c r="DX92" s="36"/>
      <c r="DY92" s="36"/>
      <c r="DZ92" s="36"/>
      <c r="EA92" s="36"/>
      <c r="EB92" s="36"/>
      <c r="EC92" s="36"/>
      <c r="ED92" s="36"/>
      <c r="EE92" s="36"/>
      <c r="EF92" s="36"/>
      <c r="EG92" s="36"/>
      <c r="EH92" s="36"/>
      <c r="EI92" s="36"/>
      <c r="EJ92" s="36"/>
      <c r="EK92" s="36"/>
      <c r="EL92" s="36"/>
      <c r="EM92" s="36"/>
      <c r="EN92" s="36"/>
      <c r="EO92" s="36"/>
      <c r="EP92" s="36"/>
      <c r="EQ92" s="36"/>
      <c r="ER92" s="36"/>
      <c r="ES92" s="36"/>
      <c r="ET92" s="36"/>
      <c r="EU92" s="36"/>
      <c r="EV92" s="36"/>
      <c r="EW92" s="36"/>
      <c r="EX92" s="36"/>
      <c r="EY92" s="36"/>
      <c r="EZ92" s="36"/>
      <c r="FA92" s="36"/>
      <c r="FB92" s="36"/>
      <c r="FC92" s="36"/>
      <c r="FD92" s="36"/>
      <c r="FE92" s="36"/>
      <c r="FF92" s="36"/>
      <c r="FG92" s="36"/>
      <c r="FH92" s="36"/>
      <c r="FI92" s="36"/>
      <c r="FJ92" s="36"/>
      <c r="FK92" s="36"/>
      <c r="FL92" s="36"/>
      <c r="FM92" s="36"/>
      <c r="FN92" s="36"/>
      <c r="FO92" s="36"/>
      <c r="FP92" s="36"/>
      <c r="FQ92" s="36"/>
      <c r="FR92" s="36"/>
      <c r="FS92" s="36"/>
      <c r="FT92" s="36"/>
      <c r="FU92" s="36"/>
      <c r="FV92" s="36"/>
      <c r="FW92" s="36"/>
      <c r="FX92" s="36"/>
      <c r="FY92" s="36"/>
      <c r="FZ92" s="36"/>
      <c r="GA92" s="6"/>
      <c r="GB92" s="6"/>
      <c r="GC92" s="36">
        <v>1000</v>
      </c>
      <c r="GD92" s="36"/>
      <c r="GE92" s="36"/>
      <c r="GF92" s="36"/>
      <c r="GG92" s="36"/>
      <c r="GH92" s="36"/>
      <c r="GI92" s="36"/>
      <c r="GJ92" s="36"/>
      <c r="GK92" s="36"/>
      <c r="GL92" s="36"/>
      <c r="GM92" s="36"/>
      <c r="GN92" s="36"/>
      <c r="GO92" s="36"/>
      <c r="GP92" s="36"/>
      <c r="GQ92" s="36"/>
      <c r="GR92" s="36"/>
      <c r="GS92" s="36"/>
      <c r="GT92" s="36"/>
      <c r="GU92" s="36"/>
      <c r="GV92" s="6"/>
      <c r="GW92" s="36"/>
      <c r="GX92" s="36"/>
      <c r="GY92" s="36"/>
      <c r="GZ92" s="36"/>
      <c r="HA92" s="36"/>
      <c r="HB92" s="36"/>
      <c r="HC92" s="36"/>
      <c r="HD92" s="36"/>
      <c r="HE92" s="36"/>
      <c r="HF92" s="36"/>
      <c r="HG92" s="36"/>
      <c r="HH92" s="36"/>
      <c r="HI92" s="36"/>
      <c r="HJ92" s="36"/>
      <c r="HK92" s="36"/>
      <c r="HL92" s="36"/>
      <c r="HM92" s="36"/>
      <c r="HN92" s="36"/>
      <c r="HO92" s="36"/>
      <c r="HP92" s="36"/>
      <c r="HQ92" s="36"/>
      <c r="HR92" s="36"/>
      <c r="HS92" s="36"/>
      <c r="HT92" s="36"/>
      <c r="HU92" s="36"/>
      <c r="HV92" s="36"/>
      <c r="HW92" s="36"/>
      <c r="HX92" s="36"/>
      <c r="HY92" s="36"/>
      <c r="HZ92" s="36"/>
      <c r="IA92" s="36"/>
      <c r="IB92" s="36"/>
      <c r="IC92" s="36"/>
      <c r="ID92" s="36"/>
      <c r="IE92" s="36"/>
      <c r="IF92" s="36"/>
      <c r="IG92" s="36"/>
      <c r="IH92" s="36"/>
      <c r="II92" s="36"/>
      <c r="IJ92" s="36"/>
      <c r="IK92" s="36"/>
      <c r="IL92" s="36"/>
      <c r="IM92" s="36"/>
      <c r="IN92" s="36"/>
      <c r="IO92" s="36"/>
      <c r="IP92" s="36"/>
      <c r="IR92" s="2" t="s">
        <v>543</v>
      </c>
    </row>
    <row r="93" spans="1:252" ht="15.75" customHeight="1" x14ac:dyDescent="0.25">
      <c r="A93" s="36" t="s">
        <v>627</v>
      </c>
      <c r="B93" s="36" t="s">
        <v>628</v>
      </c>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36"/>
      <c r="BN93" s="36"/>
      <c r="BO93" s="36"/>
      <c r="BP93" s="6"/>
      <c r="BQ93" s="6"/>
      <c r="BR93" s="6"/>
      <c r="BS93" s="6"/>
      <c r="BT93" s="6"/>
      <c r="BU93" s="6"/>
      <c r="BV93" s="36"/>
      <c r="BW93" s="36"/>
      <c r="BX93" s="36"/>
      <c r="BY93" s="36"/>
      <c r="BZ93" s="36"/>
      <c r="CA93" s="36"/>
      <c r="CB93" s="36"/>
      <c r="CC93" s="36"/>
      <c r="CD93" s="36"/>
      <c r="CE93" s="36"/>
      <c r="CF93" s="36"/>
      <c r="CG93" s="36"/>
      <c r="CH93" s="36"/>
      <c r="CI93" s="36"/>
      <c r="CJ93" s="36"/>
      <c r="CK93" s="36"/>
      <c r="CL93" s="36"/>
      <c r="CM93" s="36"/>
      <c r="CN93" s="36"/>
      <c r="CO93" s="36"/>
      <c r="CP93" s="36"/>
      <c r="CQ93" s="36"/>
      <c r="CR93" s="36"/>
      <c r="CS93" s="36"/>
      <c r="CT93" s="36"/>
      <c r="CU93" s="36"/>
      <c r="CV93" s="36"/>
      <c r="CW93" s="36"/>
      <c r="CX93" s="36"/>
      <c r="CY93" s="36"/>
      <c r="CZ93" s="36"/>
      <c r="DA93" s="36"/>
      <c r="DB93" s="36"/>
      <c r="DC93" s="36"/>
      <c r="DD93" s="36"/>
      <c r="DE93" s="36"/>
      <c r="DF93" s="36"/>
      <c r="DG93" s="36"/>
      <c r="DH93" s="36"/>
      <c r="DI93" s="36"/>
      <c r="DJ93" s="36"/>
      <c r="DK93" s="36"/>
      <c r="DL93" s="36"/>
      <c r="DM93" s="36"/>
      <c r="DN93" s="36"/>
      <c r="DO93" s="36"/>
      <c r="DP93" s="36"/>
      <c r="DQ93" s="36"/>
      <c r="DR93" s="36"/>
      <c r="DS93" s="36"/>
      <c r="DT93" s="36"/>
      <c r="DU93" s="36"/>
      <c r="DV93" s="36"/>
      <c r="DW93" s="36"/>
      <c r="DX93" s="36"/>
      <c r="DY93" s="36"/>
      <c r="DZ93" s="36"/>
      <c r="EA93" s="36"/>
      <c r="EB93" s="36"/>
      <c r="EC93" s="36"/>
      <c r="ED93" s="36"/>
      <c r="EE93" s="36"/>
      <c r="EF93" s="36"/>
      <c r="EG93" s="36"/>
      <c r="EH93" s="36"/>
      <c r="EI93" s="36"/>
      <c r="EJ93" s="36"/>
      <c r="EK93" s="36"/>
      <c r="EL93" s="36"/>
      <c r="EM93" s="36"/>
      <c r="EN93" s="36"/>
      <c r="EO93" s="36"/>
      <c r="EP93" s="36"/>
      <c r="EQ93" s="36"/>
      <c r="ER93" s="36"/>
      <c r="ES93" s="36"/>
      <c r="ET93" s="36"/>
      <c r="EU93" s="36"/>
      <c r="EV93" s="36"/>
      <c r="EW93" s="36"/>
      <c r="EX93" s="36"/>
      <c r="EY93" s="36"/>
      <c r="EZ93" s="36"/>
      <c r="FA93" s="36"/>
      <c r="FB93" s="36"/>
      <c r="FC93" s="36"/>
      <c r="FD93" s="36"/>
      <c r="FE93" s="36"/>
      <c r="FF93" s="36"/>
      <c r="FG93" s="36"/>
      <c r="FH93" s="36"/>
      <c r="FI93" s="36"/>
      <c r="FJ93" s="36"/>
      <c r="FK93" s="36"/>
      <c r="FL93" s="36"/>
      <c r="FM93" s="36"/>
      <c r="FN93" s="36"/>
      <c r="FO93" s="36"/>
      <c r="FP93" s="36"/>
      <c r="FQ93" s="36"/>
      <c r="FR93" s="36"/>
      <c r="FS93" s="36"/>
      <c r="FT93" s="36"/>
      <c r="FU93" s="36"/>
      <c r="FV93" s="36"/>
      <c r="FW93" s="36"/>
      <c r="FX93" s="36"/>
      <c r="FY93" s="36"/>
      <c r="FZ93" s="36">
        <v>100</v>
      </c>
      <c r="GA93" s="6"/>
      <c r="GB93" s="6"/>
      <c r="GC93" s="36"/>
      <c r="GD93" s="36"/>
      <c r="GE93" s="36"/>
      <c r="GF93" s="36"/>
      <c r="GG93" s="36"/>
      <c r="GH93" s="36"/>
      <c r="GI93" s="36"/>
      <c r="GJ93" s="36"/>
      <c r="GK93" s="36"/>
      <c r="GL93" s="36"/>
      <c r="GM93" s="36"/>
      <c r="GN93" s="36"/>
      <c r="GO93" s="36"/>
      <c r="GP93" s="36"/>
      <c r="GQ93" s="36"/>
      <c r="GR93" s="36"/>
      <c r="GS93" s="36"/>
      <c r="GT93" s="36"/>
      <c r="GU93" s="36"/>
      <c r="GV93" s="6"/>
      <c r="GW93" s="36"/>
      <c r="GX93" s="36"/>
      <c r="GY93" s="36"/>
      <c r="GZ93" s="36"/>
      <c r="HA93" s="36"/>
      <c r="HB93" s="36"/>
      <c r="HC93" s="36"/>
      <c r="HD93" s="36"/>
      <c r="HE93" s="36"/>
      <c r="HF93" s="36"/>
      <c r="HG93" s="36"/>
      <c r="HH93" s="36"/>
      <c r="HI93" s="36"/>
      <c r="HJ93" s="36"/>
      <c r="HK93" s="36"/>
      <c r="HL93" s="36"/>
      <c r="HM93" s="36"/>
      <c r="HN93" s="36"/>
      <c r="HO93" s="36"/>
      <c r="HP93" s="36"/>
      <c r="HQ93" s="36"/>
      <c r="HR93" s="36"/>
      <c r="HS93" s="36"/>
      <c r="HT93" s="36"/>
      <c r="HU93" s="36"/>
      <c r="HV93" s="36"/>
      <c r="HW93" s="36"/>
      <c r="HX93" s="36"/>
      <c r="HY93" s="36"/>
      <c r="HZ93" s="36"/>
      <c r="IA93" s="36"/>
      <c r="IB93" s="36"/>
      <c r="IC93" s="36"/>
      <c r="ID93" s="36"/>
      <c r="IE93" s="36"/>
      <c r="IF93" s="36"/>
      <c r="IG93" s="36"/>
      <c r="IH93" s="36"/>
      <c r="II93" s="36"/>
      <c r="IJ93" s="36"/>
      <c r="IK93" s="36"/>
      <c r="IL93" s="36"/>
      <c r="IM93" s="36"/>
      <c r="IN93" s="36"/>
      <c r="IO93" s="36"/>
      <c r="IP93" s="36"/>
      <c r="IR93" s="2" t="s">
        <v>543</v>
      </c>
    </row>
    <row r="94" spans="1:252" ht="15.75" customHeight="1" x14ac:dyDescent="0.25">
      <c r="A94" s="36" t="s">
        <v>629</v>
      </c>
      <c r="B94" s="36" t="s">
        <v>630</v>
      </c>
      <c r="C94" s="36"/>
      <c r="D94" s="36"/>
      <c r="E94" s="36"/>
      <c r="F94" s="36"/>
      <c r="G94" s="36">
        <v>5</v>
      </c>
      <c r="H94" s="36"/>
      <c r="I94" s="36">
        <v>15</v>
      </c>
      <c r="J94" s="36"/>
      <c r="K94" s="36"/>
      <c r="L94" s="36"/>
      <c r="M94" s="36"/>
      <c r="N94" s="36"/>
      <c r="O94" s="36"/>
      <c r="P94" s="36"/>
      <c r="Q94" s="36"/>
      <c r="R94" s="36"/>
      <c r="S94" s="36"/>
      <c r="T94" s="36"/>
      <c r="U94" s="36"/>
      <c r="V94" s="36"/>
      <c r="W94" s="36"/>
      <c r="X94" s="36"/>
      <c r="Y94" s="36"/>
      <c r="Z94" s="36"/>
      <c r="AA94" s="36"/>
      <c r="AB94" s="36"/>
      <c r="AC94" s="36"/>
      <c r="AD94" s="36"/>
      <c r="AE94" s="36"/>
      <c r="AF94" s="36">
        <v>5</v>
      </c>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6"/>
      <c r="BQ94" s="6"/>
      <c r="BR94" s="6"/>
      <c r="BS94" s="6"/>
      <c r="BT94" s="6"/>
      <c r="BU94" s="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c r="CU94" s="36"/>
      <c r="CV94" s="36"/>
      <c r="CW94" s="36"/>
      <c r="CX94" s="36"/>
      <c r="CY94" s="36"/>
      <c r="CZ94" s="36"/>
      <c r="DA94" s="36"/>
      <c r="DB94" s="36"/>
      <c r="DC94" s="36"/>
      <c r="DD94" s="36"/>
      <c r="DE94" s="36"/>
      <c r="DF94" s="36"/>
      <c r="DG94" s="36"/>
      <c r="DH94" s="36"/>
      <c r="DI94" s="36"/>
      <c r="DJ94" s="36"/>
      <c r="DK94" s="36"/>
      <c r="DL94" s="36"/>
      <c r="DM94" s="36"/>
      <c r="DN94" s="36"/>
      <c r="DO94" s="36"/>
      <c r="DP94" s="36"/>
      <c r="DQ94" s="36"/>
      <c r="DR94" s="36"/>
      <c r="DS94" s="36"/>
      <c r="DT94" s="36"/>
      <c r="DU94" s="36"/>
      <c r="DV94" s="36"/>
      <c r="DW94" s="36"/>
      <c r="DX94" s="36"/>
      <c r="DY94" s="36"/>
      <c r="DZ94" s="36"/>
      <c r="EA94" s="36"/>
      <c r="EB94" s="36"/>
      <c r="EC94" s="36"/>
      <c r="ED94" s="36"/>
      <c r="EE94" s="36"/>
      <c r="EF94" s="36"/>
      <c r="EG94" s="36"/>
      <c r="EH94" s="36"/>
      <c r="EI94" s="36"/>
      <c r="EJ94" s="36"/>
      <c r="EK94" s="36"/>
      <c r="EL94" s="36"/>
      <c r="EM94" s="36"/>
      <c r="EN94" s="36"/>
      <c r="EO94" s="36"/>
      <c r="EP94" s="36"/>
      <c r="EQ94" s="36">
        <v>10</v>
      </c>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v>50</v>
      </c>
      <c r="FZ94" s="36"/>
      <c r="GA94" s="6"/>
      <c r="GB94" s="6"/>
      <c r="GC94" s="36"/>
      <c r="GD94" s="36"/>
      <c r="GE94" s="36"/>
      <c r="GF94" s="36">
        <v>100</v>
      </c>
      <c r="GG94" s="36"/>
      <c r="GH94" s="36"/>
      <c r="GI94" s="36"/>
      <c r="GJ94" s="36"/>
      <c r="GK94" s="36">
        <v>200</v>
      </c>
      <c r="GL94" s="36"/>
      <c r="GM94" s="36"/>
      <c r="GN94" s="36"/>
      <c r="GO94" s="36">
        <v>149</v>
      </c>
      <c r="GP94" s="36"/>
      <c r="GQ94" s="36"/>
      <c r="GR94" s="36"/>
      <c r="GS94" s="36"/>
      <c r="GT94" s="36"/>
      <c r="GU94" s="36"/>
      <c r="GV94" s="6">
        <v>205</v>
      </c>
      <c r="GW94" s="36"/>
      <c r="GX94" s="36"/>
      <c r="GY94" s="36"/>
      <c r="GZ94" s="36"/>
      <c r="HA94" s="36"/>
      <c r="HB94" s="36"/>
      <c r="HC94" s="36"/>
      <c r="HD94" s="36"/>
      <c r="HE94" s="36"/>
      <c r="HF94" s="36"/>
      <c r="HG94" s="36"/>
      <c r="HH94" s="36"/>
      <c r="HI94" s="36"/>
      <c r="HJ94" s="36"/>
      <c r="HK94" s="36"/>
      <c r="HL94" s="36"/>
      <c r="HM94" s="36"/>
      <c r="HN94" s="36"/>
      <c r="HO94" s="36"/>
      <c r="HP94" s="36"/>
      <c r="HQ94" s="36"/>
      <c r="HR94" s="36"/>
      <c r="HS94" s="36"/>
      <c r="HT94" s="36">
        <v>20</v>
      </c>
      <c r="HU94" s="36"/>
      <c r="HV94" s="36"/>
      <c r="HW94" s="36"/>
      <c r="HX94" s="36"/>
      <c r="HY94" s="36"/>
      <c r="HZ94" s="36"/>
      <c r="IA94" s="36"/>
      <c r="IB94" s="36"/>
      <c r="IC94" s="36"/>
      <c r="ID94" s="36"/>
      <c r="IE94" s="36"/>
      <c r="IF94" s="36"/>
      <c r="IG94" s="36"/>
      <c r="IH94" s="36"/>
      <c r="II94" s="36"/>
      <c r="IJ94" s="36"/>
      <c r="IK94" s="36"/>
      <c r="IL94" s="36"/>
      <c r="IM94" s="36"/>
      <c r="IN94" s="36"/>
      <c r="IO94" s="36"/>
      <c r="IP94" s="36"/>
      <c r="IR94" s="2" t="s">
        <v>543</v>
      </c>
    </row>
    <row r="95" spans="1:252" ht="15.75" customHeight="1" x14ac:dyDescent="0.25">
      <c r="A95" s="36" t="s">
        <v>631</v>
      </c>
      <c r="B95" s="36" t="s">
        <v>632</v>
      </c>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36"/>
      <c r="BN95" s="36"/>
      <c r="BO95" s="36"/>
      <c r="BP95" s="6"/>
      <c r="BQ95" s="6"/>
      <c r="BR95" s="6"/>
      <c r="BS95" s="6"/>
      <c r="BT95" s="6"/>
      <c r="BU95" s="6"/>
      <c r="BV95" s="36"/>
      <c r="BW95" s="36"/>
      <c r="BX95" s="36"/>
      <c r="BY95" s="36"/>
      <c r="BZ95" s="36"/>
      <c r="CA95" s="36"/>
      <c r="CB95" s="36"/>
      <c r="CC95" s="36"/>
      <c r="CD95" s="36"/>
      <c r="CE95" s="36"/>
      <c r="CF95" s="36"/>
      <c r="CG95" s="36"/>
      <c r="CH95" s="36"/>
      <c r="CI95" s="36"/>
      <c r="CJ95" s="36"/>
      <c r="CK95" s="36"/>
      <c r="CL95" s="36"/>
      <c r="CM95" s="36"/>
      <c r="CN95" s="36"/>
      <c r="CO95" s="36"/>
      <c r="CP95" s="36"/>
      <c r="CQ95" s="36"/>
      <c r="CR95" s="36">
        <v>6</v>
      </c>
      <c r="CS95" s="36"/>
      <c r="CT95" s="36"/>
      <c r="CU95" s="36">
        <v>12</v>
      </c>
      <c r="CV95" s="36"/>
      <c r="CW95" s="36"/>
      <c r="CX95" s="36">
        <v>6</v>
      </c>
      <c r="CY95" s="36">
        <v>24</v>
      </c>
      <c r="CZ95" s="36"/>
      <c r="DA95" s="36"/>
      <c r="DB95" s="36">
        <v>24</v>
      </c>
      <c r="DC95" s="36">
        <v>24</v>
      </c>
      <c r="DD95" s="36"/>
      <c r="DE95" s="36"/>
      <c r="DF95" s="36"/>
      <c r="DG95" s="36">
        <v>6</v>
      </c>
      <c r="DH95" s="36">
        <v>24</v>
      </c>
      <c r="DI95" s="36">
        <v>6</v>
      </c>
      <c r="DJ95" s="36">
        <v>6</v>
      </c>
      <c r="DK95" s="36"/>
      <c r="DL95" s="36"/>
      <c r="DM95" s="36">
        <v>7</v>
      </c>
      <c r="DN95" s="36"/>
      <c r="DO95" s="36">
        <v>12</v>
      </c>
      <c r="DP95" s="36"/>
      <c r="DQ95" s="36">
        <v>8</v>
      </c>
      <c r="DR95" s="36">
        <v>24</v>
      </c>
      <c r="DS95" s="36">
        <v>22</v>
      </c>
      <c r="DT95" s="36"/>
      <c r="DU95" s="36">
        <v>6</v>
      </c>
      <c r="DV95" s="36"/>
      <c r="DW95" s="36"/>
      <c r="DX95" s="36">
        <v>6</v>
      </c>
      <c r="DY95" s="36"/>
      <c r="DZ95" s="36"/>
      <c r="EA95" s="36"/>
      <c r="EB95" s="36"/>
      <c r="EC95" s="36">
        <v>30</v>
      </c>
      <c r="ED95" s="36"/>
      <c r="EE95" s="36">
        <v>42</v>
      </c>
      <c r="EF95" s="36"/>
      <c r="EG95" s="36"/>
      <c r="EH95" s="36">
        <v>72</v>
      </c>
      <c r="EI95" s="36"/>
      <c r="EJ95" s="36"/>
      <c r="EK95" s="36"/>
      <c r="EL95" s="36"/>
      <c r="EM95" s="36"/>
      <c r="EN95" s="36"/>
      <c r="EO95" s="36"/>
      <c r="EP95" s="36">
        <v>14</v>
      </c>
      <c r="EQ95" s="36"/>
      <c r="ER95" s="36"/>
      <c r="ES95" s="36"/>
      <c r="ET95" s="36"/>
      <c r="EU95" s="36"/>
      <c r="EV95" s="36"/>
      <c r="EW95" s="36"/>
      <c r="EX95" s="36"/>
      <c r="EY95" s="36"/>
      <c r="EZ95" s="36"/>
      <c r="FA95" s="36"/>
      <c r="FB95" s="36"/>
      <c r="FC95" s="36"/>
      <c r="FD95" s="36"/>
      <c r="FE95" s="36"/>
      <c r="FF95" s="36"/>
      <c r="FG95" s="36"/>
      <c r="FH95" s="36"/>
      <c r="FI95" s="36"/>
      <c r="FJ95" s="36"/>
      <c r="FK95" s="36"/>
      <c r="FL95" s="36"/>
      <c r="FM95" s="36"/>
      <c r="FN95" s="36"/>
      <c r="FO95" s="36">
        <v>600</v>
      </c>
      <c r="FP95" s="36"/>
      <c r="FQ95" s="36"/>
      <c r="FR95" s="36"/>
      <c r="FS95" s="36">
        <v>50</v>
      </c>
      <c r="FT95" s="36"/>
      <c r="FU95" s="36"/>
      <c r="FV95" s="36"/>
      <c r="FW95" s="36"/>
      <c r="FX95" s="36"/>
      <c r="FY95" s="36"/>
      <c r="FZ95" s="36"/>
      <c r="GA95" s="6"/>
      <c r="GB95" s="6"/>
      <c r="GC95" s="36"/>
      <c r="GD95" s="36"/>
      <c r="GE95" s="36"/>
      <c r="GF95" s="36"/>
      <c r="GG95" s="36"/>
      <c r="GH95" s="36"/>
      <c r="GI95" s="36"/>
      <c r="GJ95" s="36"/>
      <c r="GK95" s="36"/>
      <c r="GL95" s="36"/>
      <c r="GM95" s="36"/>
      <c r="GN95" s="36"/>
      <c r="GO95" s="36"/>
      <c r="GP95" s="36"/>
      <c r="GQ95" s="36"/>
      <c r="GR95" s="36"/>
      <c r="GS95" s="36"/>
      <c r="GT95" s="36"/>
      <c r="GU95" s="36"/>
      <c r="GV95" s="6"/>
      <c r="GW95" s="36"/>
      <c r="GX95" s="36"/>
      <c r="GY95" s="36"/>
      <c r="GZ95" s="36"/>
      <c r="HA95" s="36"/>
      <c r="HB95" s="36"/>
      <c r="HC95" s="36"/>
      <c r="HD95" s="36"/>
      <c r="HE95" s="36"/>
      <c r="HF95" s="36"/>
      <c r="HG95" s="36"/>
      <c r="HH95" s="36"/>
      <c r="HI95" s="36"/>
      <c r="HJ95" s="36"/>
      <c r="HK95" s="36"/>
      <c r="HL95" s="36"/>
      <c r="HM95" s="36"/>
      <c r="HN95" s="36">
        <v>500</v>
      </c>
      <c r="HO95" s="36"/>
      <c r="HP95" s="36"/>
      <c r="HQ95" s="36"/>
      <c r="HR95" s="36"/>
      <c r="HS95" s="36"/>
      <c r="HT95" s="36"/>
      <c r="HU95" s="36"/>
      <c r="HV95" s="36"/>
      <c r="HW95" s="36"/>
      <c r="HX95" s="36"/>
      <c r="HY95" s="36"/>
      <c r="HZ95" s="36"/>
      <c r="IA95" s="36"/>
      <c r="IB95" s="36"/>
      <c r="IC95" s="36"/>
      <c r="ID95" s="36"/>
      <c r="IE95" s="36"/>
      <c r="IF95" s="36"/>
      <c r="IG95" s="36"/>
      <c r="IH95" s="36"/>
      <c r="II95" s="36"/>
      <c r="IJ95" s="36"/>
      <c r="IK95" s="36"/>
      <c r="IL95" s="36"/>
      <c r="IM95" s="36"/>
      <c r="IN95" s="36"/>
      <c r="IO95" s="36"/>
      <c r="IP95" s="36"/>
      <c r="IR95" s="2" t="s">
        <v>543</v>
      </c>
    </row>
    <row r="96" spans="1:252" ht="15.75" customHeight="1" x14ac:dyDescent="0.25">
      <c r="A96" s="36" t="s">
        <v>633</v>
      </c>
      <c r="B96" s="36" t="s">
        <v>634</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6"/>
      <c r="BQ96" s="6"/>
      <c r="BR96" s="6"/>
      <c r="BS96" s="6"/>
      <c r="BT96" s="6"/>
      <c r="BU96" s="6"/>
      <c r="BV96" s="36"/>
      <c r="BW96" s="36"/>
      <c r="BX96" s="36"/>
      <c r="BY96" s="36"/>
      <c r="BZ96" s="36"/>
      <c r="CA96" s="36"/>
      <c r="CB96" s="36"/>
      <c r="CC96" s="36"/>
      <c r="CD96" s="36"/>
      <c r="CE96" s="36"/>
      <c r="CF96" s="36"/>
      <c r="CG96" s="36"/>
      <c r="CH96" s="36"/>
      <c r="CI96" s="36"/>
      <c r="CJ96" s="36"/>
      <c r="CK96" s="36"/>
      <c r="CL96" s="36"/>
      <c r="CM96" s="36"/>
      <c r="CN96" s="36"/>
      <c r="CO96" s="36"/>
      <c r="CP96" s="36"/>
      <c r="CQ96" s="36"/>
      <c r="CR96" s="36">
        <v>12</v>
      </c>
      <c r="CS96" s="36"/>
      <c r="CT96" s="36"/>
      <c r="CU96" s="36">
        <v>6</v>
      </c>
      <c r="CV96" s="36"/>
      <c r="CW96" s="36"/>
      <c r="CX96" s="36"/>
      <c r="CY96" s="36"/>
      <c r="CZ96" s="36"/>
      <c r="DA96" s="36"/>
      <c r="DB96" s="36"/>
      <c r="DC96" s="36"/>
      <c r="DD96" s="36"/>
      <c r="DE96" s="36">
        <v>6</v>
      </c>
      <c r="DF96" s="36"/>
      <c r="DG96" s="36"/>
      <c r="DH96" s="36"/>
      <c r="DI96" s="36"/>
      <c r="DJ96" s="36"/>
      <c r="DK96" s="36"/>
      <c r="DL96" s="36"/>
      <c r="DM96" s="36"/>
      <c r="DN96" s="36"/>
      <c r="DO96" s="36">
        <v>12</v>
      </c>
      <c r="DP96" s="36"/>
      <c r="DQ96" s="36"/>
      <c r="DR96" s="36">
        <v>12</v>
      </c>
      <c r="DS96" s="36"/>
      <c r="DT96" s="36"/>
      <c r="DU96" s="36">
        <v>6</v>
      </c>
      <c r="DV96" s="36"/>
      <c r="DW96" s="36"/>
      <c r="DX96" s="36"/>
      <c r="DY96" s="36"/>
      <c r="DZ96" s="36"/>
      <c r="EA96" s="36"/>
      <c r="EB96" s="36"/>
      <c r="EC96" s="36"/>
      <c r="ED96" s="36"/>
      <c r="EE96" s="36"/>
      <c r="EF96" s="36"/>
      <c r="EG96" s="36"/>
      <c r="EH96" s="36"/>
      <c r="EI96" s="36"/>
      <c r="EJ96" s="36"/>
      <c r="EK96" s="36"/>
      <c r="EL96" s="36"/>
      <c r="EM96" s="36"/>
      <c r="EN96" s="36"/>
      <c r="EO96" s="36"/>
      <c r="EP96" s="36">
        <v>10</v>
      </c>
      <c r="EQ96" s="36"/>
      <c r="ER96" s="36"/>
      <c r="ES96" s="36"/>
      <c r="ET96" s="36"/>
      <c r="EU96" s="36"/>
      <c r="EV96" s="36"/>
      <c r="EW96" s="36"/>
      <c r="EX96" s="36"/>
      <c r="EY96" s="36"/>
      <c r="EZ96" s="36"/>
      <c r="FA96" s="36"/>
      <c r="FB96" s="36"/>
      <c r="FC96" s="36"/>
      <c r="FD96" s="36"/>
      <c r="FE96" s="36"/>
      <c r="FF96" s="36"/>
      <c r="FG96" s="36"/>
      <c r="FH96" s="36"/>
      <c r="FI96" s="36"/>
      <c r="FJ96" s="36"/>
      <c r="FK96" s="36"/>
      <c r="FL96" s="36"/>
      <c r="FM96" s="36"/>
      <c r="FN96" s="36"/>
      <c r="FO96" s="36">
        <v>1000</v>
      </c>
      <c r="FP96" s="36"/>
      <c r="FQ96" s="36"/>
      <c r="FR96" s="36"/>
      <c r="FS96" s="36"/>
      <c r="FT96" s="36"/>
      <c r="FU96" s="36"/>
      <c r="FV96" s="36"/>
      <c r="FW96" s="36"/>
      <c r="FX96" s="36"/>
      <c r="FY96" s="36"/>
      <c r="FZ96" s="36"/>
      <c r="GA96" s="6"/>
      <c r="GB96" s="6"/>
      <c r="GC96" s="36"/>
      <c r="GD96" s="36"/>
      <c r="GE96" s="36"/>
      <c r="GF96" s="36"/>
      <c r="GG96" s="36"/>
      <c r="GH96" s="36"/>
      <c r="GI96" s="36"/>
      <c r="GJ96" s="36"/>
      <c r="GK96" s="36"/>
      <c r="GL96" s="36"/>
      <c r="GM96" s="36"/>
      <c r="GN96" s="36"/>
      <c r="GO96" s="36"/>
      <c r="GP96" s="36"/>
      <c r="GQ96" s="36"/>
      <c r="GR96" s="36"/>
      <c r="GS96" s="36"/>
      <c r="GT96" s="36"/>
      <c r="GU96" s="36"/>
      <c r="GV96" s="6"/>
      <c r="GW96" s="36"/>
      <c r="GX96" s="36"/>
      <c r="GY96" s="36"/>
      <c r="GZ96" s="36"/>
      <c r="HA96" s="36"/>
      <c r="HB96" s="36"/>
      <c r="HC96" s="36"/>
      <c r="HD96" s="36"/>
      <c r="HE96" s="36"/>
      <c r="HF96" s="36"/>
      <c r="HG96" s="36"/>
      <c r="HH96" s="36"/>
      <c r="HI96" s="36"/>
      <c r="HJ96" s="36"/>
      <c r="HK96" s="36"/>
      <c r="HL96" s="36"/>
      <c r="HM96" s="36"/>
      <c r="HN96" s="36"/>
      <c r="HO96" s="36"/>
      <c r="HP96" s="36"/>
      <c r="HQ96" s="36"/>
      <c r="HR96" s="36"/>
      <c r="HS96" s="36"/>
      <c r="HT96" s="36"/>
      <c r="HU96" s="36"/>
      <c r="HV96" s="36"/>
      <c r="HW96" s="36"/>
      <c r="HX96" s="36"/>
      <c r="HY96" s="36"/>
      <c r="HZ96" s="36"/>
      <c r="IA96" s="36"/>
      <c r="IB96" s="36"/>
      <c r="IC96" s="36"/>
      <c r="ID96" s="36"/>
      <c r="IE96" s="36"/>
      <c r="IF96" s="36"/>
      <c r="IG96" s="36"/>
      <c r="IH96" s="36"/>
      <c r="II96" s="36"/>
      <c r="IJ96" s="36"/>
      <c r="IK96" s="36"/>
      <c r="IL96" s="36"/>
      <c r="IM96" s="36"/>
      <c r="IN96" s="36"/>
      <c r="IO96" s="36"/>
      <c r="IP96" s="36"/>
      <c r="IR96" s="2" t="s">
        <v>543</v>
      </c>
    </row>
    <row r="97" spans="1:252" ht="15.75" customHeight="1" x14ac:dyDescent="0.25">
      <c r="A97" s="36" t="s">
        <v>633</v>
      </c>
      <c r="B97" s="36" t="s">
        <v>635</v>
      </c>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v>50</v>
      </c>
      <c r="AL97" s="36"/>
      <c r="AM97" s="36"/>
      <c r="AN97" s="36"/>
      <c r="AO97" s="36"/>
      <c r="AP97" s="36"/>
      <c r="AQ97" s="36"/>
      <c r="AR97" s="36"/>
      <c r="AS97" s="36"/>
      <c r="AT97" s="36"/>
      <c r="AU97" s="36">
        <v>10</v>
      </c>
      <c r="AV97" s="36"/>
      <c r="AW97" s="36"/>
      <c r="AX97" s="36"/>
      <c r="AY97" s="36"/>
      <c r="AZ97" s="36"/>
      <c r="BA97" s="36"/>
      <c r="BB97" s="36"/>
      <c r="BC97" s="36"/>
      <c r="BD97" s="36"/>
      <c r="BE97" s="36"/>
      <c r="BF97" s="36"/>
      <c r="BG97" s="36"/>
      <c r="BH97" s="36"/>
      <c r="BI97" s="36"/>
      <c r="BJ97" s="36"/>
      <c r="BK97" s="36"/>
      <c r="BL97" s="36"/>
      <c r="BM97" s="36"/>
      <c r="BN97" s="36"/>
      <c r="BO97" s="36"/>
      <c r="BP97" s="6"/>
      <c r="BQ97" s="6"/>
      <c r="BR97" s="6"/>
      <c r="BS97" s="6"/>
      <c r="BT97" s="6"/>
      <c r="BU97" s="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c r="CW97" s="36"/>
      <c r="CX97" s="36"/>
      <c r="CY97" s="36">
        <v>24</v>
      </c>
      <c r="CZ97" s="36"/>
      <c r="DA97" s="36"/>
      <c r="DB97" s="36"/>
      <c r="DC97" s="36"/>
      <c r="DD97" s="36"/>
      <c r="DE97" s="36"/>
      <c r="DF97" s="36"/>
      <c r="DG97" s="36"/>
      <c r="DH97" s="36"/>
      <c r="DI97" s="36"/>
      <c r="DJ97" s="36"/>
      <c r="DK97" s="36"/>
      <c r="DL97" s="36"/>
      <c r="DM97" s="36"/>
      <c r="DN97" s="36"/>
      <c r="DO97" s="36"/>
      <c r="DP97" s="36"/>
      <c r="DQ97" s="36">
        <v>12</v>
      </c>
      <c r="DR97" s="36"/>
      <c r="DS97" s="36">
        <v>36</v>
      </c>
      <c r="DT97" s="36"/>
      <c r="DU97" s="36">
        <v>6</v>
      </c>
      <c r="DV97" s="224">
        <v>54</v>
      </c>
      <c r="DW97" s="36"/>
      <c r="DX97" s="36">
        <v>6</v>
      </c>
      <c r="DY97" s="36"/>
      <c r="DZ97" s="36"/>
      <c r="EA97" s="36"/>
      <c r="EB97" s="36"/>
      <c r="EC97" s="36"/>
      <c r="ED97" s="36"/>
      <c r="EE97" s="36"/>
      <c r="EF97" s="36"/>
      <c r="EG97" s="36"/>
      <c r="EH97" s="36"/>
      <c r="EI97" s="36"/>
      <c r="EJ97" s="36"/>
      <c r="EK97" s="36"/>
      <c r="EL97" s="36"/>
      <c r="EM97" s="36"/>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v>400</v>
      </c>
      <c r="FP97" s="36"/>
      <c r="FQ97" s="36"/>
      <c r="FR97" s="36"/>
      <c r="FS97" s="36"/>
      <c r="FT97" s="36"/>
      <c r="FU97" s="36"/>
      <c r="FV97" s="36"/>
      <c r="FW97" s="36"/>
      <c r="FX97" s="36"/>
      <c r="FY97" s="36"/>
      <c r="FZ97" s="36"/>
      <c r="GA97" s="6"/>
      <c r="GB97" s="6"/>
      <c r="GC97" s="36"/>
      <c r="GD97" s="36"/>
      <c r="GE97" s="36"/>
      <c r="GF97" s="36"/>
      <c r="GG97" s="36"/>
      <c r="GH97" s="36"/>
      <c r="GI97" s="36"/>
      <c r="GJ97" s="36"/>
      <c r="GK97" s="36"/>
      <c r="GL97" s="36"/>
      <c r="GM97" s="36"/>
      <c r="GN97" s="36"/>
      <c r="GO97" s="36"/>
      <c r="GP97" s="36"/>
      <c r="GQ97" s="36"/>
      <c r="GR97" s="36"/>
      <c r="GS97" s="36"/>
      <c r="GT97" s="36"/>
      <c r="GU97" s="36"/>
      <c r="GV97" s="6"/>
      <c r="GW97" s="36">
        <v>200</v>
      </c>
      <c r="GX97" s="36"/>
      <c r="GY97" s="36"/>
      <c r="GZ97" s="36"/>
      <c r="HA97" s="36"/>
      <c r="HB97" s="36"/>
      <c r="HC97" s="36"/>
      <c r="HD97" s="36"/>
      <c r="HE97" s="36"/>
      <c r="HF97" s="36">
        <v>250</v>
      </c>
      <c r="HG97" s="36">
        <v>250</v>
      </c>
      <c r="HH97" s="36"/>
      <c r="HI97" s="36"/>
      <c r="HJ97" s="36"/>
      <c r="HK97" s="36"/>
      <c r="HL97" s="36"/>
      <c r="HM97" s="36"/>
      <c r="HN97" s="36">
        <v>100</v>
      </c>
      <c r="HO97" s="36"/>
      <c r="HP97" s="36"/>
      <c r="HQ97" s="36"/>
      <c r="HR97" s="36"/>
      <c r="HS97" s="36"/>
      <c r="HT97" s="36"/>
      <c r="HU97" s="36"/>
      <c r="HV97" s="36"/>
      <c r="HW97" s="36"/>
      <c r="HX97" s="36"/>
      <c r="HY97" s="36"/>
      <c r="HZ97" s="36"/>
      <c r="IA97" s="36"/>
      <c r="IB97" s="36"/>
      <c r="IC97" s="36"/>
      <c r="ID97" s="36"/>
      <c r="IE97" s="36"/>
      <c r="IF97" s="36"/>
      <c r="IG97" s="36"/>
      <c r="IH97" s="36"/>
      <c r="II97" s="36"/>
      <c r="IJ97" s="36"/>
      <c r="IK97" s="36"/>
      <c r="IL97" s="36"/>
      <c r="IM97" s="36"/>
      <c r="IN97" s="36"/>
      <c r="IO97" s="36"/>
      <c r="IP97" s="36"/>
      <c r="IR97" s="2" t="s">
        <v>543</v>
      </c>
    </row>
    <row r="98" spans="1:252" ht="15.75" customHeight="1" x14ac:dyDescent="0.25">
      <c r="A98" s="36" t="s">
        <v>633</v>
      </c>
      <c r="B98" s="36" t="s">
        <v>637</v>
      </c>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v>25</v>
      </c>
      <c r="AV98" s="36"/>
      <c r="AW98" s="36"/>
      <c r="AX98" s="36"/>
      <c r="AY98" s="36"/>
      <c r="AZ98" s="36"/>
      <c r="BA98" s="36"/>
      <c r="BB98" s="36"/>
      <c r="BC98" s="36"/>
      <c r="BD98" s="36"/>
      <c r="BE98" s="36"/>
      <c r="BF98" s="36"/>
      <c r="BG98" s="36"/>
      <c r="BH98" s="36"/>
      <c r="BI98" s="36"/>
      <c r="BJ98" s="36"/>
      <c r="BK98" s="36"/>
      <c r="BL98" s="36"/>
      <c r="BM98" s="36"/>
      <c r="BN98" s="36"/>
      <c r="BO98" s="36"/>
      <c r="BP98" s="6"/>
      <c r="BQ98" s="6"/>
      <c r="BR98" s="6"/>
      <c r="BS98" s="6"/>
      <c r="BT98" s="6"/>
      <c r="BU98" s="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c r="CW98" s="36"/>
      <c r="CX98" s="36"/>
      <c r="CY98" s="36"/>
      <c r="CZ98" s="36"/>
      <c r="DA98" s="36"/>
      <c r="DB98" s="36"/>
      <c r="DC98" s="36"/>
      <c r="DD98" s="36"/>
      <c r="DE98" s="36"/>
      <c r="DF98" s="36"/>
      <c r="DG98" s="36"/>
      <c r="DH98" s="36"/>
      <c r="DI98" s="36"/>
      <c r="DJ98" s="36"/>
      <c r="DK98" s="36"/>
      <c r="DL98" s="36"/>
      <c r="DM98" s="36"/>
      <c r="DN98" s="36"/>
      <c r="DO98" s="36"/>
      <c r="DP98" s="36">
        <v>30</v>
      </c>
      <c r="DQ98" s="36"/>
      <c r="DR98" s="36"/>
      <c r="DS98" s="36"/>
      <c r="DT98" s="36"/>
      <c r="DU98" s="36">
        <v>30</v>
      </c>
      <c r="DV98" s="36"/>
      <c r="DW98" s="36"/>
      <c r="DX98" s="36"/>
      <c r="DY98" s="36"/>
      <c r="DZ98" s="36"/>
      <c r="EA98" s="36"/>
      <c r="EB98" s="36"/>
      <c r="EC98" s="36"/>
      <c r="ED98" s="36"/>
      <c r="EE98" s="36"/>
      <c r="EF98" s="36"/>
      <c r="EG98" s="36"/>
      <c r="EH98" s="36"/>
      <c r="EI98" s="36"/>
      <c r="EJ98" s="36"/>
      <c r="EK98" s="36"/>
      <c r="EL98" s="36"/>
      <c r="EM98" s="36">
        <v>10</v>
      </c>
      <c r="EN98" s="36"/>
      <c r="EO98" s="36"/>
      <c r="EP98" s="36">
        <v>50</v>
      </c>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v>25</v>
      </c>
      <c r="FT98" s="36"/>
      <c r="FU98" s="36"/>
      <c r="FV98" s="36"/>
      <c r="FW98" s="36"/>
      <c r="FX98" s="36"/>
      <c r="FY98" s="36"/>
      <c r="FZ98" s="36"/>
      <c r="GA98" s="6"/>
      <c r="GB98" s="6"/>
      <c r="GC98" s="36"/>
      <c r="GD98" s="36"/>
      <c r="GE98" s="36"/>
      <c r="GF98" s="36"/>
      <c r="GG98" s="36"/>
      <c r="GH98" s="36"/>
      <c r="GI98" s="36"/>
      <c r="GJ98" s="36"/>
      <c r="GK98" s="36"/>
      <c r="GL98" s="36"/>
      <c r="GM98" s="36"/>
      <c r="GN98" s="36"/>
      <c r="GO98" s="36"/>
      <c r="GP98" s="36"/>
      <c r="GQ98" s="36"/>
      <c r="GR98" s="36"/>
      <c r="GS98" s="36"/>
      <c r="GT98" s="36"/>
      <c r="GU98" s="36"/>
      <c r="GV98" s="6"/>
      <c r="GW98" s="36"/>
      <c r="GX98" s="36"/>
      <c r="GY98" s="36"/>
      <c r="GZ98" s="36"/>
      <c r="HA98" s="36"/>
      <c r="HB98" s="36"/>
      <c r="HC98" s="36"/>
      <c r="HD98" s="36"/>
      <c r="HE98" s="36"/>
      <c r="HF98" s="36"/>
      <c r="HG98" s="36"/>
      <c r="HH98" s="36"/>
      <c r="HI98" s="36"/>
      <c r="HJ98" s="36"/>
      <c r="HK98" s="36"/>
      <c r="HL98" s="36"/>
      <c r="HM98" s="36"/>
      <c r="HN98" s="36"/>
      <c r="HO98" s="36"/>
      <c r="HP98" s="36"/>
      <c r="HQ98" s="36">
        <v>50</v>
      </c>
      <c r="HR98" s="36"/>
      <c r="HS98" s="36"/>
      <c r="HT98" s="36">
        <v>50</v>
      </c>
      <c r="HU98" s="36"/>
      <c r="HV98" s="36"/>
      <c r="HW98" s="36"/>
      <c r="HX98" s="36"/>
      <c r="HY98" s="36"/>
      <c r="HZ98" s="36"/>
      <c r="IA98" s="36"/>
      <c r="IB98" s="36"/>
      <c r="IC98" s="36"/>
      <c r="ID98" s="36"/>
      <c r="IE98" s="36"/>
      <c r="IF98" s="36"/>
      <c r="IG98" s="36"/>
      <c r="IH98" s="36"/>
      <c r="II98" s="36"/>
      <c r="IJ98" s="36"/>
      <c r="IK98" s="36"/>
      <c r="IL98" s="36"/>
      <c r="IM98" s="36"/>
      <c r="IN98" s="36"/>
      <c r="IO98" s="36"/>
      <c r="IP98" s="36"/>
      <c r="IR98" s="2" t="s">
        <v>543</v>
      </c>
    </row>
    <row r="99" spans="1:252" ht="15.75" customHeight="1" x14ac:dyDescent="0.25">
      <c r="A99" s="36" t="s">
        <v>633</v>
      </c>
      <c r="B99" s="36" t="s">
        <v>638</v>
      </c>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v>40</v>
      </c>
      <c r="AV99" s="36"/>
      <c r="AW99" s="36"/>
      <c r="AX99" s="36"/>
      <c r="AY99" s="36"/>
      <c r="AZ99" s="36"/>
      <c r="BA99" s="36"/>
      <c r="BB99" s="36"/>
      <c r="BC99" s="36"/>
      <c r="BD99" s="36"/>
      <c r="BE99" s="36"/>
      <c r="BF99" s="36"/>
      <c r="BG99" s="36"/>
      <c r="BH99" s="36"/>
      <c r="BI99" s="36"/>
      <c r="BJ99" s="36"/>
      <c r="BK99" s="36"/>
      <c r="BL99" s="36"/>
      <c r="BM99" s="36"/>
      <c r="BN99" s="36"/>
      <c r="BO99" s="36"/>
      <c r="BP99" s="6"/>
      <c r="BQ99" s="6"/>
      <c r="BR99" s="6"/>
      <c r="BS99" s="6"/>
      <c r="BT99" s="6"/>
      <c r="BU99" s="6"/>
      <c r="BV99" s="36"/>
      <c r="BW99" s="36"/>
      <c r="BX99" s="36"/>
      <c r="BY99" s="36"/>
      <c r="BZ99" s="36"/>
      <c r="CA99" s="36"/>
      <c r="CB99" s="36"/>
      <c r="CC99" s="36"/>
      <c r="CD99" s="36"/>
      <c r="CE99" s="36"/>
      <c r="CF99" s="36"/>
      <c r="CG99" s="36"/>
      <c r="CH99" s="36"/>
      <c r="CI99" s="36"/>
      <c r="CJ99" s="36"/>
      <c r="CK99" s="36"/>
      <c r="CL99" s="36"/>
      <c r="CM99" s="36"/>
      <c r="CN99" s="36">
        <v>8</v>
      </c>
      <c r="CO99" s="36">
        <v>24</v>
      </c>
      <c r="CP99" s="36"/>
      <c r="CQ99" s="36"/>
      <c r="CR99" s="36"/>
      <c r="CS99" s="36"/>
      <c r="CT99" s="36"/>
      <c r="CU99" s="36"/>
      <c r="CV99" s="36"/>
      <c r="CW99" s="36"/>
      <c r="CX99" s="36"/>
      <c r="CY99" s="36">
        <v>24</v>
      </c>
      <c r="CZ99" s="36"/>
      <c r="DA99" s="36"/>
      <c r="DB99" s="36">
        <v>24</v>
      </c>
      <c r="DC99" s="36"/>
      <c r="DD99" s="36">
        <v>6</v>
      </c>
      <c r="DE99" s="36"/>
      <c r="DF99" s="36"/>
      <c r="DG99" s="36"/>
      <c r="DH99" s="36">
        <v>6</v>
      </c>
      <c r="DI99" s="36">
        <v>18</v>
      </c>
      <c r="DJ99" s="36">
        <v>18</v>
      </c>
      <c r="DK99" s="36"/>
      <c r="DL99" s="36"/>
      <c r="DM99" s="36">
        <v>18</v>
      </c>
      <c r="DN99" s="36"/>
      <c r="DO99" s="36">
        <v>12</v>
      </c>
      <c r="DP99" s="36">
        <v>6</v>
      </c>
      <c r="DQ99" s="36"/>
      <c r="DR99" s="36">
        <v>28</v>
      </c>
      <c r="DS99" s="36">
        <v>24</v>
      </c>
      <c r="DT99" s="36"/>
      <c r="DU99" s="36">
        <v>12</v>
      </c>
      <c r="DV99" s="36"/>
      <c r="DW99" s="36"/>
      <c r="DX99" s="36">
        <v>6</v>
      </c>
      <c r="DY99" s="36"/>
      <c r="DZ99" s="36"/>
      <c r="EA99" s="36"/>
      <c r="EB99" s="36"/>
      <c r="EC99" s="36">
        <v>24</v>
      </c>
      <c r="ED99" s="36"/>
      <c r="EE99" s="36">
        <v>24</v>
      </c>
      <c r="EF99" s="36"/>
      <c r="EG99" s="36"/>
      <c r="EH99" s="36">
        <v>28</v>
      </c>
      <c r="EI99" s="36"/>
      <c r="EJ99" s="36"/>
      <c r="EK99" s="36"/>
      <c r="EL99" s="36"/>
      <c r="EM99" s="36"/>
      <c r="EN99" s="36"/>
      <c r="EO99" s="36"/>
      <c r="EP99" s="36">
        <v>20</v>
      </c>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v>400</v>
      </c>
      <c r="FP99" s="36"/>
      <c r="FQ99" s="36"/>
      <c r="FR99" s="36"/>
      <c r="FS99" s="36">
        <v>25</v>
      </c>
      <c r="FT99" s="36"/>
      <c r="FU99" s="36"/>
      <c r="FV99" s="36"/>
      <c r="FW99" s="36"/>
      <c r="FX99" s="36"/>
      <c r="FY99" s="36"/>
      <c r="FZ99" s="36"/>
      <c r="GA99" s="6"/>
      <c r="GB99" s="6"/>
      <c r="GC99" s="36"/>
      <c r="GD99" s="36"/>
      <c r="GE99" s="36"/>
      <c r="GF99" s="36"/>
      <c r="GG99" s="36"/>
      <c r="GH99" s="36"/>
      <c r="GI99" s="36"/>
      <c r="GJ99" s="36"/>
      <c r="GK99" s="36"/>
      <c r="GL99" s="36"/>
      <c r="GM99" s="36"/>
      <c r="GN99" s="36"/>
      <c r="GO99" s="36"/>
      <c r="GP99" s="36"/>
      <c r="GQ99" s="36"/>
      <c r="GR99" s="36"/>
      <c r="GS99" s="36"/>
      <c r="GT99" s="36"/>
      <c r="GU99" s="36"/>
      <c r="GV99" s="6"/>
      <c r="GW99" s="36"/>
      <c r="GX99" s="36"/>
      <c r="GY99" s="36"/>
      <c r="GZ99" s="36"/>
      <c r="HA99" s="36"/>
      <c r="HB99" s="36"/>
      <c r="HC99" s="36"/>
      <c r="HD99" s="36"/>
      <c r="HE99" s="36"/>
      <c r="HF99" s="36">
        <v>250</v>
      </c>
      <c r="HG99" s="36">
        <v>250</v>
      </c>
      <c r="HH99" s="36"/>
      <c r="HI99" s="36"/>
      <c r="HJ99" s="36"/>
      <c r="HK99" s="36"/>
      <c r="HL99" s="36"/>
      <c r="HM99" s="36"/>
      <c r="HN99" s="36">
        <v>300</v>
      </c>
      <c r="HO99" s="36"/>
      <c r="HP99" s="36"/>
      <c r="HQ99" s="36"/>
      <c r="HR99" s="36"/>
      <c r="HS99" s="36"/>
      <c r="HT99" s="36"/>
      <c r="HU99" s="36"/>
      <c r="HV99" s="36"/>
      <c r="HW99" s="36"/>
      <c r="HX99" s="36"/>
      <c r="HY99" s="36"/>
      <c r="HZ99" s="36"/>
      <c r="IA99" s="36"/>
      <c r="IB99" s="36"/>
      <c r="IC99" s="36"/>
      <c r="ID99" s="36"/>
      <c r="IE99" s="36"/>
      <c r="IF99" s="36"/>
      <c r="IG99" s="36"/>
      <c r="IH99" s="36"/>
      <c r="II99" s="36"/>
      <c r="IJ99" s="36"/>
      <c r="IK99" s="36"/>
      <c r="IL99" s="36"/>
      <c r="IM99" s="36"/>
      <c r="IN99" s="36"/>
      <c r="IO99" s="36"/>
      <c r="IP99" s="36"/>
      <c r="IR99" s="2" t="s">
        <v>543</v>
      </c>
    </row>
    <row r="100" spans="1:252" ht="15.75" customHeight="1" x14ac:dyDescent="0.25">
      <c r="A100" s="36" t="s">
        <v>640</v>
      </c>
      <c r="B100" s="36" t="s">
        <v>641</v>
      </c>
      <c r="C100" s="36"/>
      <c r="D100" s="36"/>
      <c r="E100" s="36"/>
      <c r="F100" s="36"/>
      <c r="G100" s="36"/>
      <c r="H100" s="36"/>
      <c r="I100" s="36"/>
      <c r="J100" s="36"/>
      <c r="K100" s="36"/>
      <c r="L100" s="36"/>
      <c r="M100" s="36"/>
      <c r="N100" s="36"/>
      <c r="O100" s="36"/>
      <c r="P100" s="36"/>
      <c r="Q100" s="36">
        <v>10</v>
      </c>
      <c r="R100" s="36"/>
      <c r="S100" s="36"/>
      <c r="T100" s="36"/>
      <c r="U100" s="36"/>
      <c r="V100" s="36"/>
      <c r="W100" s="36"/>
      <c r="X100" s="36"/>
      <c r="Y100" s="36"/>
      <c r="Z100" s="36"/>
      <c r="AA100" s="36"/>
      <c r="AB100" s="36"/>
      <c r="AC100" s="36">
        <v>10</v>
      </c>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6"/>
      <c r="BQ100" s="6"/>
      <c r="BR100" s="6"/>
      <c r="BS100" s="6"/>
      <c r="BT100" s="6"/>
      <c r="BU100" s="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6"/>
      <c r="DI100" s="36"/>
      <c r="DJ100" s="36"/>
      <c r="DK100" s="36"/>
      <c r="DL100" s="36"/>
      <c r="DM100" s="36"/>
      <c r="DN100" s="36"/>
      <c r="DO100" s="36"/>
      <c r="DP100" s="36"/>
      <c r="DQ100" s="36"/>
      <c r="DR100" s="36"/>
      <c r="DS100" s="36"/>
      <c r="DT100" s="36"/>
      <c r="DU100" s="36"/>
      <c r="DV100" s="36"/>
      <c r="DW100" s="36"/>
      <c r="DX100" s="36"/>
      <c r="DY100" s="36"/>
      <c r="DZ100" s="36"/>
      <c r="EA100" s="36"/>
      <c r="EB100" s="36"/>
      <c r="EC100" s="36"/>
      <c r="ED100" s="36"/>
      <c r="EE100" s="36"/>
      <c r="EF100" s="36"/>
      <c r="EG100" s="36"/>
      <c r="EH100" s="36"/>
      <c r="EI100" s="36"/>
      <c r="EJ100" s="36"/>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6"/>
      <c r="GB100" s="6"/>
      <c r="GC100" s="36"/>
      <c r="GD100" s="36"/>
      <c r="GE100" s="36"/>
      <c r="GF100" s="36"/>
      <c r="GG100" s="36"/>
      <c r="GH100" s="36"/>
      <c r="GI100" s="36"/>
      <c r="GJ100" s="36"/>
      <c r="GK100" s="36"/>
      <c r="GL100" s="36"/>
      <c r="GM100" s="36"/>
      <c r="GN100" s="36"/>
      <c r="GO100" s="36"/>
      <c r="GP100" s="36"/>
      <c r="GQ100" s="36"/>
      <c r="GR100" s="36"/>
      <c r="GS100" s="36"/>
      <c r="GT100" s="36"/>
      <c r="GU100" s="36"/>
      <c r="GV100" s="6"/>
      <c r="GW100" s="36"/>
      <c r="GX100" s="36"/>
      <c r="GY100" s="36"/>
      <c r="GZ100" s="36"/>
      <c r="HA100" s="36"/>
      <c r="HB100" s="36"/>
      <c r="HC100" s="36"/>
      <c r="HD100" s="36"/>
      <c r="HE100" s="36"/>
      <c r="HF100" s="36"/>
      <c r="HG100" s="36"/>
      <c r="HH100" s="36"/>
      <c r="HI100" s="36"/>
      <c r="HJ100" s="36"/>
      <c r="HK100" s="36"/>
      <c r="HL100" s="36"/>
      <c r="HM100" s="36"/>
      <c r="HN100" s="36"/>
      <c r="HO100" s="36"/>
      <c r="HP100" s="36"/>
      <c r="HQ100" s="36"/>
      <c r="HR100" s="36"/>
      <c r="HS100" s="36"/>
      <c r="HT100" s="36"/>
      <c r="HU100" s="36"/>
      <c r="HV100" s="36"/>
      <c r="HW100" s="36"/>
      <c r="HX100" s="36"/>
      <c r="HY100" s="36"/>
      <c r="HZ100" s="36"/>
      <c r="IA100" s="36"/>
      <c r="IB100" s="36"/>
      <c r="IC100" s="36"/>
      <c r="ID100" s="36"/>
      <c r="IE100" s="36"/>
      <c r="IF100" s="36"/>
      <c r="IG100" s="36"/>
      <c r="IH100" s="36"/>
      <c r="II100" s="36"/>
      <c r="IJ100" s="36"/>
      <c r="IK100" s="36"/>
      <c r="IL100" s="36"/>
      <c r="IM100" s="36"/>
      <c r="IN100" s="36"/>
      <c r="IO100" s="36"/>
      <c r="IP100" s="36"/>
      <c r="IR100" s="2" t="s">
        <v>543</v>
      </c>
    </row>
    <row r="101" spans="1:252" ht="15.75" customHeight="1" x14ac:dyDescent="0.25">
      <c r="A101" s="36" t="s">
        <v>640</v>
      </c>
      <c r="B101" s="36" t="s">
        <v>642</v>
      </c>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v>20</v>
      </c>
      <c r="AV101" s="36"/>
      <c r="AW101" s="36"/>
      <c r="AX101" s="36"/>
      <c r="AY101" s="36"/>
      <c r="AZ101" s="36"/>
      <c r="BA101" s="36"/>
      <c r="BB101" s="36"/>
      <c r="BC101" s="36"/>
      <c r="BD101" s="36"/>
      <c r="BE101" s="36"/>
      <c r="BF101" s="36"/>
      <c r="BG101" s="36"/>
      <c r="BH101" s="36"/>
      <c r="BI101" s="36"/>
      <c r="BJ101" s="36"/>
      <c r="BK101" s="36"/>
      <c r="BL101" s="36"/>
      <c r="BM101" s="36"/>
      <c r="BN101" s="36"/>
      <c r="BO101" s="36"/>
      <c r="BP101" s="6"/>
      <c r="BQ101" s="6"/>
      <c r="BR101" s="6"/>
      <c r="BS101" s="6"/>
      <c r="BT101" s="6"/>
      <c r="BU101" s="6"/>
      <c r="BV101" s="36"/>
      <c r="BW101" s="36"/>
      <c r="BX101" s="36"/>
      <c r="BY101" s="36"/>
      <c r="BZ101" s="36"/>
      <c r="CA101" s="36"/>
      <c r="CB101" s="36"/>
      <c r="CC101" s="36"/>
      <c r="CD101" s="36"/>
      <c r="CE101" s="36"/>
      <c r="CF101" s="36"/>
      <c r="CG101" s="36"/>
      <c r="CH101" s="36"/>
      <c r="CI101" s="36"/>
      <c r="CJ101" s="36"/>
      <c r="CK101" s="36"/>
      <c r="CL101" s="36"/>
      <c r="CM101" s="36"/>
      <c r="CN101" s="36"/>
      <c r="CO101" s="36"/>
      <c r="CP101" s="36"/>
      <c r="CQ101" s="36"/>
      <c r="CR101" s="36"/>
      <c r="CS101" s="36"/>
      <c r="CT101" s="36"/>
      <c r="CU101" s="36"/>
      <c r="CV101" s="36"/>
      <c r="CW101" s="36"/>
      <c r="CX101" s="36"/>
      <c r="CY101" s="36"/>
      <c r="CZ101" s="36"/>
      <c r="DA101" s="36"/>
      <c r="DB101" s="36"/>
      <c r="DC101" s="36"/>
      <c r="DD101" s="36"/>
      <c r="DE101" s="36"/>
      <c r="DF101" s="36"/>
      <c r="DG101" s="36"/>
      <c r="DH101" s="36"/>
      <c r="DI101" s="36"/>
      <c r="DJ101" s="36"/>
      <c r="DK101" s="36"/>
      <c r="DL101" s="36"/>
      <c r="DM101" s="36"/>
      <c r="DN101" s="36"/>
      <c r="DO101" s="36"/>
      <c r="DP101" s="36"/>
      <c r="DQ101" s="36"/>
      <c r="DR101" s="36"/>
      <c r="DS101" s="36"/>
      <c r="DT101" s="36"/>
      <c r="DU101" s="36"/>
      <c r="DV101" s="36"/>
      <c r="DW101" s="36"/>
      <c r="DX101" s="36"/>
      <c r="DY101" s="36"/>
      <c r="DZ101" s="36"/>
      <c r="EA101" s="36"/>
      <c r="EB101" s="36"/>
      <c r="EC101" s="36"/>
      <c r="ED101" s="36"/>
      <c r="EE101" s="36"/>
      <c r="EF101" s="36"/>
      <c r="EG101" s="36"/>
      <c r="EH101" s="36"/>
      <c r="EI101" s="36"/>
      <c r="EJ101" s="36"/>
      <c r="EK101" s="36"/>
      <c r="EL101" s="36"/>
      <c r="EM101" s="36"/>
      <c r="EN101" s="36"/>
      <c r="EO101" s="36"/>
      <c r="EP101" s="36">
        <v>20</v>
      </c>
      <c r="EQ101" s="36"/>
      <c r="ER101" s="36"/>
      <c r="ES101" s="36"/>
      <c r="ET101" s="36"/>
      <c r="EU101" s="36"/>
      <c r="EV101" s="36"/>
      <c r="EW101" s="36"/>
      <c r="EX101" s="36"/>
      <c r="EY101" s="36"/>
      <c r="EZ101" s="36"/>
      <c r="FA101" s="36"/>
      <c r="FB101" s="36"/>
      <c r="FC101" s="36"/>
      <c r="FD101" s="36"/>
      <c r="FE101" s="36"/>
      <c r="FF101" s="36"/>
      <c r="FG101" s="36"/>
      <c r="FH101" s="36"/>
      <c r="FI101" s="36"/>
      <c r="FJ101" s="36"/>
      <c r="FK101" s="36"/>
      <c r="FL101" s="36"/>
      <c r="FM101" s="36"/>
      <c r="FN101" s="36"/>
      <c r="FO101" s="36"/>
      <c r="FP101" s="36"/>
      <c r="FQ101" s="36"/>
      <c r="FR101" s="36"/>
      <c r="FS101" s="36"/>
      <c r="FT101" s="36"/>
      <c r="FU101" s="36"/>
      <c r="FV101" s="36"/>
      <c r="FW101" s="36"/>
      <c r="FX101" s="36"/>
      <c r="FY101" s="36"/>
      <c r="FZ101" s="36"/>
      <c r="GA101" s="6"/>
      <c r="GB101" s="6"/>
      <c r="GC101" s="36"/>
      <c r="GD101" s="36"/>
      <c r="GE101" s="36"/>
      <c r="GF101" s="36"/>
      <c r="GG101" s="36"/>
      <c r="GH101" s="36"/>
      <c r="GI101" s="36"/>
      <c r="GJ101" s="36"/>
      <c r="GK101" s="36"/>
      <c r="GL101" s="36"/>
      <c r="GM101" s="36"/>
      <c r="GN101" s="36"/>
      <c r="GO101" s="36"/>
      <c r="GP101" s="36"/>
      <c r="GQ101" s="36"/>
      <c r="GR101" s="36"/>
      <c r="GS101" s="36"/>
      <c r="GT101" s="36"/>
      <c r="GU101" s="36"/>
      <c r="GV101" s="6"/>
      <c r="GW101" s="36"/>
      <c r="GX101" s="36"/>
      <c r="GY101" s="36"/>
      <c r="GZ101" s="36"/>
      <c r="HA101" s="36"/>
      <c r="HB101" s="36"/>
      <c r="HC101" s="36"/>
      <c r="HD101" s="36"/>
      <c r="HE101" s="36"/>
      <c r="HF101" s="36"/>
      <c r="HG101" s="36"/>
      <c r="HH101" s="36"/>
      <c r="HI101" s="36"/>
      <c r="HJ101" s="36"/>
      <c r="HK101" s="36"/>
      <c r="HL101" s="36"/>
      <c r="HM101" s="36"/>
      <c r="HN101" s="36"/>
      <c r="HO101" s="36"/>
      <c r="HP101" s="36"/>
      <c r="HQ101" s="36"/>
      <c r="HR101" s="36"/>
      <c r="HS101" s="36"/>
      <c r="HT101" s="36"/>
      <c r="HU101" s="36"/>
      <c r="HV101" s="36"/>
      <c r="HW101" s="36"/>
      <c r="HX101" s="36"/>
      <c r="HY101" s="36"/>
      <c r="HZ101" s="36"/>
      <c r="IA101" s="36"/>
      <c r="IB101" s="36"/>
      <c r="IC101" s="36"/>
      <c r="ID101" s="36"/>
      <c r="IE101" s="36"/>
      <c r="IF101" s="36"/>
      <c r="IG101" s="36"/>
      <c r="IH101" s="36"/>
      <c r="II101" s="36"/>
      <c r="IJ101" s="36"/>
      <c r="IK101" s="36"/>
      <c r="IL101" s="36"/>
      <c r="IM101" s="36"/>
      <c r="IN101" s="36"/>
      <c r="IO101" s="36"/>
      <c r="IP101" s="36"/>
      <c r="IR101" s="2" t="s">
        <v>543</v>
      </c>
    </row>
    <row r="102" spans="1:252" ht="15.75" customHeight="1" x14ac:dyDescent="0.25">
      <c r="A102" s="36" t="s">
        <v>644</v>
      </c>
      <c r="B102" s="36" t="s">
        <v>645</v>
      </c>
      <c r="C102" s="36"/>
      <c r="D102" s="36"/>
      <c r="E102" s="36"/>
      <c r="F102" s="36"/>
      <c r="G102" s="36"/>
      <c r="H102" s="36"/>
      <c r="I102" s="36"/>
      <c r="J102" s="36"/>
      <c r="K102" s="36"/>
      <c r="L102" s="36"/>
      <c r="M102" s="36"/>
      <c r="N102" s="36">
        <v>15</v>
      </c>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6"/>
      <c r="BQ102" s="6"/>
      <c r="BR102" s="6"/>
      <c r="BS102" s="6"/>
      <c r="BT102" s="6"/>
      <c r="BU102" s="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c r="DI102" s="36"/>
      <c r="DJ102" s="36"/>
      <c r="DK102" s="36"/>
      <c r="DL102" s="36"/>
      <c r="DM102" s="36"/>
      <c r="DN102" s="36"/>
      <c r="DO102" s="36"/>
      <c r="DP102" s="36"/>
      <c r="DQ102" s="36"/>
      <c r="DR102" s="36"/>
      <c r="DS102" s="36"/>
      <c r="DT102" s="36"/>
      <c r="DU102" s="36"/>
      <c r="DV102" s="36"/>
      <c r="DW102" s="36"/>
      <c r="DX102" s="36"/>
      <c r="DY102" s="36"/>
      <c r="DZ102" s="36"/>
      <c r="EA102" s="36"/>
      <c r="EB102" s="36"/>
      <c r="EC102" s="36"/>
      <c r="ED102" s="36"/>
      <c r="EE102" s="36"/>
      <c r="EF102" s="36"/>
      <c r="EG102" s="36"/>
      <c r="EH102" s="36"/>
      <c r="EI102" s="36"/>
      <c r="EJ102" s="36"/>
      <c r="EK102" s="36"/>
      <c r="EL102" s="36"/>
      <c r="EM102" s="36"/>
      <c r="EN102" s="36"/>
      <c r="EO102" s="36"/>
      <c r="EP102" s="36"/>
      <c r="EQ102" s="36"/>
      <c r="ER102" s="36"/>
      <c r="ES102" s="36"/>
      <c r="ET102" s="36"/>
      <c r="EU102" s="36"/>
      <c r="EV102" s="36"/>
      <c r="EW102" s="36"/>
      <c r="EX102" s="36"/>
      <c r="EY102" s="36"/>
      <c r="EZ102" s="36"/>
      <c r="FA102" s="36"/>
      <c r="FB102" s="36"/>
      <c r="FC102" s="36">
        <v>100</v>
      </c>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6"/>
      <c r="GB102" s="6"/>
      <c r="GC102" s="36"/>
      <c r="GD102" s="36"/>
      <c r="GE102" s="36"/>
      <c r="GF102" s="36"/>
      <c r="GG102" s="36"/>
      <c r="GH102" s="36"/>
      <c r="GI102" s="36"/>
      <c r="GJ102" s="36"/>
      <c r="GK102" s="36"/>
      <c r="GL102" s="36"/>
      <c r="GM102" s="36"/>
      <c r="GN102" s="36"/>
      <c r="GO102" s="36"/>
      <c r="GP102" s="36"/>
      <c r="GQ102" s="36"/>
      <c r="GR102" s="36"/>
      <c r="GS102" s="36"/>
      <c r="GT102" s="36"/>
      <c r="GU102" s="36"/>
      <c r="GV102" s="6"/>
      <c r="GW102" s="36"/>
      <c r="GX102" s="36"/>
      <c r="GY102" s="36"/>
      <c r="GZ102" s="36"/>
      <c r="HA102" s="36"/>
      <c r="HB102" s="36"/>
      <c r="HC102" s="36"/>
      <c r="HD102" s="36"/>
      <c r="HE102" s="36"/>
      <c r="HF102" s="36"/>
      <c r="HG102" s="36"/>
      <c r="HH102" s="36"/>
      <c r="HI102" s="36"/>
      <c r="HJ102" s="36"/>
      <c r="HK102" s="36"/>
      <c r="HL102" s="36"/>
      <c r="HM102" s="36"/>
      <c r="HN102" s="36"/>
      <c r="HO102" s="36"/>
      <c r="HP102" s="36"/>
      <c r="HQ102" s="36"/>
      <c r="HR102" s="36"/>
      <c r="HS102" s="36"/>
      <c r="HT102" s="36"/>
      <c r="HU102" s="36"/>
      <c r="HV102" s="36"/>
      <c r="HW102" s="36"/>
      <c r="HX102" s="36"/>
      <c r="HY102" s="36"/>
      <c r="HZ102" s="36"/>
      <c r="IA102" s="36"/>
      <c r="IB102" s="36"/>
      <c r="IC102" s="36"/>
      <c r="ID102" s="36"/>
      <c r="IE102" s="36"/>
      <c r="IF102" s="36"/>
      <c r="IG102" s="36"/>
      <c r="IH102" s="36"/>
      <c r="II102" s="36"/>
      <c r="IJ102" s="36"/>
      <c r="IK102" s="36"/>
      <c r="IL102" s="36"/>
      <c r="IM102" s="36"/>
      <c r="IN102" s="36"/>
      <c r="IO102" s="36"/>
      <c r="IP102" s="36"/>
      <c r="IR102" s="2" t="s">
        <v>543</v>
      </c>
    </row>
    <row r="103" spans="1:252" ht="15.75" customHeight="1" x14ac:dyDescent="0.25">
      <c r="A103" s="36" t="s">
        <v>647</v>
      </c>
      <c r="B103" s="36" t="s">
        <v>648</v>
      </c>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36"/>
      <c r="BN103" s="36"/>
      <c r="BO103" s="36"/>
      <c r="BP103" s="6"/>
      <c r="BQ103" s="6"/>
      <c r="BR103" s="6"/>
      <c r="BS103" s="6"/>
      <c r="BT103" s="6"/>
      <c r="BU103" s="6"/>
      <c r="BV103" s="36"/>
      <c r="BW103" s="36"/>
      <c r="BX103" s="36"/>
      <c r="BY103" s="36"/>
      <c r="BZ103" s="36"/>
      <c r="CA103" s="36"/>
      <c r="CB103" s="36"/>
      <c r="CC103" s="36"/>
      <c r="CD103" s="36"/>
      <c r="CE103" s="36"/>
      <c r="CF103" s="36"/>
      <c r="CG103" s="36"/>
      <c r="CH103" s="36"/>
      <c r="CI103" s="36"/>
      <c r="CJ103" s="36"/>
      <c r="CK103" s="36"/>
      <c r="CL103" s="36"/>
      <c r="CM103" s="36"/>
      <c r="CN103" s="36"/>
      <c r="CO103" s="36"/>
      <c r="CP103" s="36"/>
      <c r="CQ103" s="36"/>
      <c r="CR103" s="36"/>
      <c r="CS103" s="36"/>
      <c r="CT103" s="36"/>
      <c r="CU103" s="36"/>
      <c r="CV103" s="36"/>
      <c r="CW103" s="36"/>
      <c r="CX103" s="36"/>
      <c r="CY103" s="36"/>
      <c r="CZ103" s="36"/>
      <c r="DA103" s="36"/>
      <c r="DB103" s="36"/>
      <c r="DC103" s="36"/>
      <c r="DD103" s="36"/>
      <c r="DE103" s="36"/>
      <c r="DF103" s="36"/>
      <c r="DG103" s="36"/>
      <c r="DH103" s="36"/>
      <c r="DI103" s="36"/>
      <c r="DJ103" s="36"/>
      <c r="DK103" s="36"/>
      <c r="DL103" s="36"/>
      <c r="DM103" s="36"/>
      <c r="DN103" s="36"/>
      <c r="DO103" s="36"/>
      <c r="DP103" s="36"/>
      <c r="DQ103" s="36"/>
      <c r="DR103" s="36"/>
      <c r="DS103" s="36"/>
      <c r="DT103" s="36"/>
      <c r="DU103" s="36"/>
      <c r="DV103" s="36"/>
      <c r="DW103" s="36"/>
      <c r="DX103" s="36"/>
      <c r="DY103" s="36"/>
      <c r="DZ103" s="36"/>
      <c r="EA103" s="36"/>
      <c r="EB103" s="36"/>
      <c r="EC103" s="36"/>
      <c r="ED103" s="36"/>
      <c r="EE103" s="36"/>
      <c r="EF103" s="36"/>
      <c r="EG103" s="36"/>
      <c r="EH103" s="36"/>
      <c r="EI103" s="36"/>
      <c r="EJ103" s="36"/>
      <c r="EK103" s="36"/>
      <c r="EL103" s="36"/>
      <c r="EM103" s="36"/>
      <c r="EN103" s="36"/>
      <c r="EO103" s="36"/>
      <c r="EP103" s="36"/>
      <c r="EQ103" s="36"/>
      <c r="ER103" s="36"/>
      <c r="ES103" s="36"/>
      <c r="ET103" s="36"/>
      <c r="EU103" s="36"/>
      <c r="EV103" s="36"/>
      <c r="EW103" s="36"/>
      <c r="EX103" s="36"/>
      <c r="EY103" s="36"/>
      <c r="EZ103" s="36"/>
      <c r="FA103" s="36"/>
      <c r="FB103" s="36"/>
      <c r="FC103" s="36"/>
      <c r="FD103" s="36"/>
      <c r="FE103" s="36"/>
      <c r="FF103" s="36"/>
      <c r="FG103" s="36"/>
      <c r="FH103" s="36"/>
      <c r="FI103" s="36"/>
      <c r="FJ103" s="36"/>
      <c r="FK103" s="36"/>
      <c r="FL103" s="36"/>
      <c r="FM103" s="36"/>
      <c r="FN103" s="36"/>
      <c r="FO103" s="36"/>
      <c r="FP103" s="36"/>
      <c r="FQ103" s="36"/>
      <c r="FR103" s="36">
        <v>300</v>
      </c>
      <c r="FS103" s="36"/>
      <c r="FT103" s="36"/>
      <c r="FU103" s="36"/>
      <c r="FV103" s="36"/>
      <c r="FW103" s="36"/>
      <c r="FX103" s="36"/>
      <c r="FY103" s="36"/>
      <c r="FZ103" s="36"/>
      <c r="GA103" s="6"/>
      <c r="GB103" s="6"/>
      <c r="GC103" s="36"/>
      <c r="GD103" s="36"/>
      <c r="GE103" s="36"/>
      <c r="GF103" s="36"/>
      <c r="GG103" s="36"/>
      <c r="GH103" s="36"/>
      <c r="GI103" s="36"/>
      <c r="GJ103" s="36"/>
      <c r="GK103" s="36"/>
      <c r="GL103" s="36"/>
      <c r="GM103" s="36"/>
      <c r="GN103" s="36"/>
      <c r="GO103" s="36"/>
      <c r="GP103" s="36"/>
      <c r="GQ103" s="36"/>
      <c r="GR103" s="36"/>
      <c r="GS103" s="36"/>
      <c r="GT103" s="36"/>
      <c r="GU103" s="36"/>
      <c r="GV103" s="6"/>
      <c r="GW103" s="36"/>
      <c r="GX103" s="36"/>
      <c r="GY103" s="36"/>
      <c r="GZ103" s="36"/>
      <c r="HA103" s="36"/>
      <c r="HB103" s="36"/>
      <c r="HC103" s="36"/>
      <c r="HD103" s="36"/>
      <c r="HE103" s="36"/>
      <c r="HF103" s="36"/>
      <c r="HG103" s="36"/>
      <c r="HH103" s="36"/>
      <c r="HI103" s="36"/>
      <c r="HJ103" s="36"/>
      <c r="HK103" s="36"/>
      <c r="HL103" s="36"/>
      <c r="HM103" s="36"/>
      <c r="HN103" s="36"/>
      <c r="HO103" s="36"/>
      <c r="HP103" s="36"/>
      <c r="HQ103" s="36"/>
      <c r="HR103" s="36"/>
      <c r="HS103" s="36"/>
      <c r="HT103" s="36"/>
      <c r="HU103" s="36"/>
      <c r="HV103" s="36"/>
      <c r="HW103" s="36"/>
      <c r="HX103" s="36"/>
      <c r="HY103" s="36"/>
      <c r="HZ103" s="36"/>
      <c r="IA103" s="36"/>
      <c r="IB103" s="36"/>
      <c r="IC103" s="36"/>
      <c r="ID103" s="36"/>
      <c r="IE103" s="36"/>
      <c r="IF103" s="36"/>
      <c r="IG103" s="36"/>
      <c r="IH103" s="36"/>
      <c r="II103" s="36"/>
      <c r="IJ103" s="36"/>
      <c r="IK103" s="36"/>
      <c r="IL103" s="36"/>
      <c r="IM103" s="36"/>
      <c r="IN103" s="36"/>
      <c r="IO103" s="36"/>
      <c r="IP103" s="36"/>
      <c r="IR103" s="2" t="s">
        <v>543</v>
      </c>
    </row>
    <row r="104" spans="1:252" ht="15.75" customHeight="1" x14ac:dyDescent="0.25">
      <c r="A104" s="36" t="s">
        <v>647</v>
      </c>
      <c r="B104" s="36" t="s">
        <v>652</v>
      </c>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6"/>
      <c r="BQ104" s="6"/>
      <c r="BR104" s="6"/>
      <c r="BS104" s="6"/>
      <c r="BT104" s="6"/>
      <c r="BU104" s="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6"/>
      <c r="GB104" s="6"/>
      <c r="GC104" s="36"/>
      <c r="GD104" s="36"/>
      <c r="GE104" s="36"/>
      <c r="GF104" s="36"/>
      <c r="GG104" s="36"/>
      <c r="GH104" s="36"/>
      <c r="GI104" s="36"/>
      <c r="GJ104" s="36"/>
      <c r="GK104" s="36">
        <v>50</v>
      </c>
      <c r="GL104" s="36"/>
      <c r="GM104" s="36"/>
      <c r="GN104" s="36"/>
      <c r="GO104" s="36"/>
      <c r="GP104" s="36"/>
      <c r="GQ104" s="36"/>
      <c r="GR104" s="36"/>
      <c r="GS104" s="36"/>
      <c r="GT104" s="36"/>
      <c r="GU104" s="36"/>
      <c r="GV104" s="6"/>
      <c r="GW104" s="36"/>
      <c r="GX104" s="36"/>
      <c r="GY104" s="36"/>
      <c r="GZ104" s="36"/>
      <c r="HA104" s="36"/>
      <c r="HB104" s="36"/>
      <c r="HC104" s="36"/>
      <c r="HD104" s="36"/>
      <c r="HE104" s="36"/>
      <c r="HF104" s="36"/>
      <c r="HG104" s="36"/>
      <c r="HH104" s="36"/>
      <c r="HI104" s="36"/>
      <c r="HJ104" s="36"/>
      <c r="HK104" s="36"/>
      <c r="HL104" s="36"/>
      <c r="HM104" s="36"/>
      <c r="HN104" s="36"/>
      <c r="HO104" s="36"/>
      <c r="HP104" s="36"/>
      <c r="HQ104" s="36"/>
      <c r="HR104" s="36"/>
      <c r="HS104" s="36"/>
      <c r="HT104" s="36"/>
      <c r="HU104" s="36"/>
      <c r="HV104" s="36"/>
      <c r="HW104" s="36"/>
      <c r="HX104" s="36"/>
      <c r="HY104" s="36"/>
      <c r="HZ104" s="36"/>
      <c r="IA104" s="36"/>
      <c r="IB104" s="36"/>
      <c r="IC104" s="36"/>
      <c r="ID104" s="36"/>
      <c r="IE104" s="36"/>
      <c r="IF104" s="36"/>
      <c r="IG104" s="36"/>
      <c r="IH104" s="36"/>
      <c r="II104" s="36"/>
      <c r="IJ104" s="36"/>
      <c r="IK104" s="36"/>
      <c r="IL104" s="36"/>
      <c r="IM104" s="36"/>
      <c r="IN104" s="36"/>
      <c r="IO104" s="36"/>
      <c r="IP104" s="36"/>
      <c r="IR104" s="2" t="s">
        <v>543</v>
      </c>
    </row>
    <row r="105" spans="1:252" ht="15.75" customHeight="1" x14ac:dyDescent="0.25">
      <c r="A105" s="36" t="s">
        <v>653</v>
      </c>
      <c r="B105" s="36" t="s">
        <v>654</v>
      </c>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36"/>
      <c r="BN105" s="36"/>
      <c r="BO105" s="36"/>
      <c r="BP105" s="6"/>
      <c r="BQ105" s="6"/>
      <c r="BR105" s="6"/>
      <c r="BS105" s="6"/>
      <c r="BT105" s="6"/>
      <c r="BU105" s="6"/>
      <c r="BV105" s="36"/>
      <c r="BW105" s="36"/>
      <c r="BX105" s="36"/>
      <c r="BY105" s="36"/>
      <c r="BZ105" s="36"/>
      <c r="CA105" s="36"/>
      <c r="CB105" s="36"/>
      <c r="CC105" s="36"/>
      <c r="CD105" s="36"/>
      <c r="CE105" s="36"/>
      <c r="CF105" s="36"/>
      <c r="CG105" s="36"/>
      <c r="CH105" s="36"/>
      <c r="CI105" s="36"/>
      <c r="CJ105" s="36"/>
      <c r="CK105" s="36"/>
      <c r="CL105" s="36"/>
      <c r="CM105" s="36"/>
      <c r="CN105" s="36"/>
      <c r="CO105" s="36"/>
      <c r="CP105" s="36"/>
      <c r="CQ105" s="36"/>
      <c r="CR105" s="36"/>
      <c r="CS105" s="36"/>
      <c r="CT105" s="36"/>
      <c r="CU105" s="36"/>
      <c r="CV105" s="36"/>
      <c r="CW105" s="36"/>
      <c r="CX105" s="36"/>
      <c r="CY105" s="36"/>
      <c r="CZ105" s="36"/>
      <c r="DA105" s="36"/>
      <c r="DB105" s="36"/>
      <c r="DC105" s="36"/>
      <c r="DD105" s="36"/>
      <c r="DE105" s="36"/>
      <c r="DF105" s="36"/>
      <c r="DG105" s="36"/>
      <c r="DH105" s="36"/>
      <c r="DI105" s="36"/>
      <c r="DJ105" s="36"/>
      <c r="DK105" s="36"/>
      <c r="DL105" s="36"/>
      <c r="DM105" s="36"/>
      <c r="DN105" s="36"/>
      <c r="DO105" s="36"/>
      <c r="DP105" s="36"/>
      <c r="DQ105" s="36"/>
      <c r="DR105" s="36"/>
      <c r="DS105" s="36"/>
      <c r="DT105" s="36"/>
      <c r="DU105" s="36"/>
      <c r="DV105" s="36"/>
      <c r="DW105" s="36"/>
      <c r="DX105" s="36"/>
      <c r="DY105" s="36"/>
      <c r="DZ105" s="36"/>
      <c r="EA105" s="36"/>
      <c r="EB105" s="36"/>
      <c r="EC105" s="36"/>
      <c r="ED105" s="36"/>
      <c r="EE105" s="36"/>
      <c r="EF105" s="36"/>
      <c r="EG105" s="36"/>
      <c r="EH105" s="36"/>
      <c r="EI105" s="36"/>
      <c r="EJ105" s="36"/>
      <c r="EK105" s="36"/>
      <c r="EL105" s="36"/>
      <c r="EM105" s="36"/>
      <c r="EN105" s="36"/>
      <c r="EO105" s="36"/>
      <c r="EP105" s="36"/>
      <c r="EQ105" s="36"/>
      <c r="ER105" s="36"/>
      <c r="ES105" s="36"/>
      <c r="ET105" s="36"/>
      <c r="EU105" s="36"/>
      <c r="EV105" s="36"/>
      <c r="EW105" s="36"/>
      <c r="EX105" s="36"/>
      <c r="EY105" s="36"/>
      <c r="EZ105" s="36"/>
      <c r="FA105" s="36"/>
      <c r="FB105" s="36"/>
      <c r="FC105" s="36"/>
      <c r="FD105" s="36"/>
      <c r="FE105" s="36"/>
      <c r="FF105" s="36"/>
      <c r="FG105" s="36"/>
      <c r="FH105" s="36"/>
      <c r="FI105" s="36"/>
      <c r="FJ105" s="36"/>
      <c r="FK105" s="36"/>
      <c r="FL105" s="36"/>
      <c r="FM105" s="36"/>
      <c r="FN105" s="36"/>
      <c r="FO105" s="36"/>
      <c r="FP105" s="36"/>
      <c r="FQ105" s="36"/>
      <c r="FR105" s="36"/>
      <c r="FS105" s="36"/>
      <c r="FT105" s="36"/>
      <c r="FU105" s="36"/>
      <c r="FV105" s="36"/>
      <c r="FW105" s="36"/>
      <c r="FX105" s="36"/>
      <c r="FY105" s="36"/>
      <c r="FZ105" s="36"/>
      <c r="GA105" s="6"/>
      <c r="GB105" s="6"/>
      <c r="GC105" s="36">
        <v>200</v>
      </c>
      <c r="GD105" s="36"/>
      <c r="GE105" s="36"/>
      <c r="GF105" s="36"/>
      <c r="GG105" s="36"/>
      <c r="GH105" s="36"/>
      <c r="GI105" s="36"/>
      <c r="GJ105" s="36"/>
      <c r="GK105" s="36"/>
      <c r="GL105" s="36"/>
      <c r="GM105" s="36"/>
      <c r="GN105" s="36"/>
      <c r="GO105" s="36"/>
      <c r="GP105" s="36"/>
      <c r="GQ105" s="36"/>
      <c r="GR105" s="36"/>
      <c r="GS105" s="36"/>
      <c r="GT105" s="36"/>
      <c r="GU105" s="36"/>
      <c r="GV105" s="6">
        <v>100</v>
      </c>
      <c r="GW105" s="36"/>
      <c r="GX105" s="36"/>
      <c r="GY105" s="36"/>
      <c r="GZ105" s="36"/>
      <c r="HA105" s="36"/>
      <c r="HB105" s="36"/>
      <c r="HC105" s="36"/>
      <c r="HD105" s="36"/>
      <c r="HE105" s="36"/>
      <c r="HF105" s="36"/>
      <c r="HG105" s="36"/>
      <c r="HH105" s="36"/>
      <c r="HI105" s="36"/>
      <c r="HJ105" s="36"/>
      <c r="HK105" s="36"/>
      <c r="HL105" s="36"/>
      <c r="HM105" s="36"/>
      <c r="HN105" s="36"/>
      <c r="HO105" s="36"/>
      <c r="HP105" s="36"/>
      <c r="HQ105" s="36"/>
      <c r="HR105" s="36"/>
      <c r="HS105" s="36"/>
      <c r="HT105" s="36"/>
      <c r="HU105" s="36"/>
      <c r="HV105" s="36"/>
      <c r="HW105" s="36"/>
      <c r="HX105" s="36"/>
      <c r="HY105" s="36"/>
      <c r="HZ105" s="36"/>
      <c r="IA105" s="36"/>
      <c r="IB105" s="36"/>
      <c r="IC105" s="36"/>
      <c r="ID105" s="36"/>
      <c r="IE105" s="36"/>
      <c r="IF105" s="36"/>
      <c r="IG105" s="36"/>
      <c r="IH105" s="36"/>
      <c r="II105" s="36"/>
      <c r="IJ105" s="36"/>
      <c r="IK105" s="36"/>
      <c r="IL105" s="36"/>
      <c r="IM105" s="36"/>
      <c r="IN105" s="36"/>
      <c r="IO105" s="36"/>
      <c r="IP105" s="36"/>
      <c r="IR105" s="2" t="s">
        <v>543</v>
      </c>
    </row>
    <row r="106" spans="1:252" ht="15.75" customHeight="1" x14ac:dyDescent="0.25">
      <c r="A106" s="36" t="s">
        <v>656</v>
      </c>
      <c r="B106" s="36" t="s">
        <v>657</v>
      </c>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6"/>
      <c r="BQ106" s="6"/>
      <c r="BR106" s="6"/>
      <c r="BS106" s="6"/>
      <c r="BT106" s="6"/>
      <c r="BU106" s="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6"/>
      <c r="GB106" s="6"/>
      <c r="GC106" s="36"/>
      <c r="GD106" s="36"/>
      <c r="GE106" s="36"/>
      <c r="GF106" s="36"/>
      <c r="GG106" s="36"/>
      <c r="GH106" s="36"/>
      <c r="GI106" s="36"/>
      <c r="GJ106" s="36"/>
      <c r="GK106" s="36"/>
      <c r="GL106" s="36"/>
      <c r="GM106" s="36"/>
      <c r="GN106" s="36"/>
      <c r="GO106" s="36"/>
      <c r="GP106" s="36"/>
      <c r="GQ106" s="36"/>
      <c r="GR106" s="36"/>
      <c r="GS106" s="36"/>
      <c r="GT106" s="36"/>
      <c r="GU106" s="36"/>
      <c r="GV106" s="6"/>
      <c r="GW106" s="36"/>
      <c r="GX106" s="36"/>
      <c r="GY106" s="36"/>
      <c r="GZ106" s="36"/>
      <c r="HA106" s="36"/>
      <c r="HB106" s="36"/>
      <c r="HC106" s="36"/>
      <c r="HD106" s="36"/>
      <c r="HE106" s="36"/>
      <c r="HF106" s="36"/>
      <c r="HG106" s="36"/>
      <c r="HH106" s="36"/>
      <c r="HI106" s="36"/>
      <c r="HJ106" s="36"/>
      <c r="HK106" s="36"/>
      <c r="HL106" s="36"/>
      <c r="HM106" s="36"/>
      <c r="HN106" s="36"/>
      <c r="HO106" s="36"/>
      <c r="HP106" s="36"/>
      <c r="HQ106" s="36"/>
      <c r="HR106" s="36"/>
      <c r="HS106" s="36"/>
      <c r="HT106" s="36"/>
      <c r="HU106" s="36"/>
      <c r="HV106" s="36"/>
      <c r="HW106" s="36"/>
      <c r="HX106" s="36"/>
      <c r="HY106" s="36"/>
      <c r="HZ106" s="36"/>
      <c r="IA106" s="36"/>
      <c r="IB106" s="36"/>
      <c r="IC106" s="36"/>
      <c r="ID106" s="36"/>
      <c r="IE106" s="36"/>
      <c r="IF106" s="36"/>
      <c r="IG106" s="36"/>
      <c r="IH106" s="36"/>
      <c r="II106" s="36"/>
      <c r="IJ106" s="36"/>
      <c r="IK106" s="36"/>
      <c r="IL106" s="36"/>
      <c r="IM106" s="36"/>
      <c r="IN106" s="36"/>
      <c r="IO106" s="36"/>
      <c r="IP106" s="36"/>
      <c r="IR106" s="2" t="s">
        <v>543</v>
      </c>
    </row>
    <row r="107" spans="1:252" ht="15.75" customHeight="1" x14ac:dyDescent="0.25">
      <c r="A107" s="36" t="s">
        <v>659</v>
      </c>
      <c r="B107" s="36" t="s">
        <v>660</v>
      </c>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36"/>
      <c r="BN107" s="36"/>
      <c r="BO107" s="36"/>
      <c r="BP107" s="6"/>
      <c r="BQ107" s="6"/>
      <c r="BR107" s="6"/>
      <c r="BS107" s="6"/>
      <c r="BT107" s="6"/>
      <c r="BU107" s="6"/>
      <c r="BV107" s="36"/>
      <c r="BW107" s="36"/>
      <c r="BX107" s="36"/>
      <c r="BY107" s="36"/>
      <c r="BZ107" s="36"/>
      <c r="CA107" s="36"/>
      <c r="CB107" s="36"/>
      <c r="CC107" s="36"/>
      <c r="CD107" s="36"/>
      <c r="CE107" s="36"/>
      <c r="CF107" s="36"/>
      <c r="CG107" s="36"/>
      <c r="CH107" s="36"/>
      <c r="CI107" s="36"/>
      <c r="CJ107" s="36"/>
      <c r="CK107" s="36"/>
      <c r="CL107" s="36"/>
      <c r="CM107" s="36"/>
      <c r="CN107" s="36"/>
      <c r="CO107" s="36"/>
      <c r="CP107" s="36"/>
      <c r="CQ107" s="36"/>
      <c r="CR107" s="36"/>
      <c r="CS107" s="36"/>
      <c r="CT107" s="36"/>
      <c r="CU107" s="36"/>
      <c r="CV107" s="36"/>
      <c r="CW107" s="36"/>
      <c r="CX107" s="36"/>
      <c r="CY107" s="36"/>
      <c r="CZ107" s="36"/>
      <c r="DA107" s="36"/>
      <c r="DB107" s="36"/>
      <c r="DC107" s="36"/>
      <c r="DD107" s="36"/>
      <c r="DE107" s="36"/>
      <c r="DF107" s="36"/>
      <c r="DG107" s="36"/>
      <c r="DH107" s="36"/>
      <c r="DI107" s="36"/>
      <c r="DJ107" s="36"/>
      <c r="DK107" s="36"/>
      <c r="DL107" s="36"/>
      <c r="DM107" s="36"/>
      <c r="DN107" s="36"/>
      <c r="DO107" s="36"/>
      <c r="DP107" s="36"/>
      <c r="DQ107" s="36"/>
      <c r="DR107" s="36"/>
      <c r="DS107" s="36"/>
      <c r="DT107" s="36"/>
      <c r="DU107" s="36"/>
      <c r="DV107" s="36"/>
      <c r="DW107" s="36"/>
      <c r="DX107" s="36"/>
      <c r="DY107" s="36"/>
      <c r="DZ107" s="36"/>
      <c r="EA107" s="36"/>
      <c r="EB107" s="36"/>
      <c r="EC107" s="36"/>
      <c r="ED107" s="36"/>
      <c r="EE107" s="36"/>
      <c r="EF107" s="36"/>
      <c r="EG107" s="36"/>
      <c r="EH107" s="36"/>
      <c r="EI107" s="36"/>
      <c r="EJ107" s="36"/>
      <c r="EK107" s="36"/>
      <c r="EL107" s="36"/>
      <c r="EM107" s="36"/>
      <c r="EN107" s="36"/>
      <c r="EO107" s="36"/>
      <c r="EP107" s="36"/>
      <c r="EQ107" s="36"/>
      <c r="ER107" s="36"/>
      <c r="ES107" s="36"/>
      <c r="ET107" s="36"/>
      <c r="EU107" s="36"/>
      <c r="EV107" s="36"/>
      <c r="EW107" s="36"/>
      <c r="EX107" s="36"/>
      <c r="EY107" s="36"/>
      <c r="EZ107" s="36"/>
      <c r="FA107" s="36"/>
      <c r="FB107" s="36"/>
      <c r="FC107" s="36"/>
      <c r="FD107" s="36"/>
      <c r="FE107" s="36"/>
      <c r="FF107" s="36"/>
      <c r="FG107" s="36"/>
      <c r="FH107" s="36"/>
      <c r="FI107" s="36"/>
      <c r="FJ107" s="36"/>
      <c r="FK107" s="36"/>
      <c r="FL107" s="36"/>
      <c r="FM107" s="36"/>
      <c r="FN107" s="36"/>
      <c r="FO107" s="36"/>
      <c r="FP107" s="36"/>
      <c r="FQ107" s="36"/>
      <c r="FR107" s="36"/>
      <c r="FS107" s="36"/>
      <c r="FT107" s="36"/>
      <c r="FU107" s="36"/>
      <c r="FV107" s="36"/>
      <c r="FW107" s="36"/>
      <c r="FX107" s="36"/>
      <c r="FY107" s="36"/>
      <c r="FZ107" s="36"/>
      <c r="GA107" s="6"/>
      <c r="GB107" s="6"/>
      <c r="GC107" s="36">
        <f>2425+23</f>
        <v>2448</v>
      </c>
      <c r="GD107" s="36"/>
      <c r="GE107" s="36"/>
      <c r="GF107" s="36"/>
      <c r="GG107" s="36"/>
      <c r="GH107" s="36"/>
      <c r="GI107" s="36"/>
      <c r="GJ107" s="36"/>
      <c r="GK107" s="36"/>
      <c r="GL107" s="36"/>
      <c r="GM107" s="36"/>
      <c r="GN107" s="36"/>
      <c r="GO107" s="36"/>
      <c r="GP107" s="36"/>
      <c r="GQ107" s="36"/>
      <c r="GR107" s="36"/>
      <c r="GS107" s="36"/>
      <c r="GT107" s="36"/>
      <c r="GU107" s="36"/>
      <c r="GV107" s="6">
        <v>400</v>
      </c>
      <c r="GW107" s="36"/>
      <c r="GX107" s="36"/>
      <c r="GY107" s="36"/>
      <c r="GZ107" s="36"/>
      <c r="HA107" s="36"/>
      <c r="HB107" s="36"/>
      <c r="HC107" s="36"/>
      <c r="HD107" s="36"/>
      <c r="HE107" s="36"/>
      <c r="HF107" s="36"/>
      <c r="HG107" s="36"/>
      <c r="HH107" s="36"/>
      <c r="HI107" s="36"/>
      <c r="HJ107" s="36"/>
      <c r="HK107" s="36"/>
      <c r="HL107" s="36"/>
      <c r="HM107" s="36"/>
      <c r="HN107" s="36"/>
      <c r="HO107" s="36"/>
      <c r="HP107" s="36"/>
      <c r="HQ107" s="36"/>
      <c r="HR107" s="36"/>
      <c r="HS107" s="36"/>
      <c r="HT107" s="36"/>
      <c r="HU107" s="36"/>
      <c r="HV107" s="36"/>
      <c r="HW107" s="36"/>
      <c r="HX107" s="36"/>
      <c r="HY107" s="36"/>
      <c r="HZ107" s="36"/>
      <c r="IA107" s="36"/>
      <c r="IB107" s="36"/>
      <c r="IC107" s="36"/>
      <c r="ID107" s="36"/>
      <c r="IE107" s="36"/>
      <c r="IF107" s="36"/>
      <c r="IG107" s="36"/>
      <c r="IH107" s="36"/>
      <c r="II107" s="36"/>
      <c r="IJ107" s="36"/>
      <c r="IK107" s="36"/>
      <c r="IL107" s="36"/>
      <c r="IM107" s="36"/>
      <c r="IN107" s="36"/>
      <c r="IO107" s="36"/>
      <c r="IP107" s="36"/>
      <c r="IR107" s="2" t="s">
        <v>543</v>
      </c>
    </row>
    <row r="108" spans="1:252" ht="15.75" customHeight="1" x14ac:dyDescent="0.25">
      <c r="A108" s="36" t="s">
        <v>659</v>
      </c>
      <c r="B108" s="36" t="s">
        <v>663</v>
      </c>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6"/>
      <c r="BQ108" s="6"/>
      <c r="BR108" s="6"/>
      <c r="BS108" s="6"/>
      <c r="BT108" s="6"/>
      <c r="BU108" s="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36"/>
      <c r="DK108" s="36"/>
      <c r="DL108" s="36"/>
      <c r="DM108" s="36"/>
      <c r="DN108" s="36"/>
      <c r="DO108" s="36"/>
      <c r="DP108" s="36"/>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v>10</v>
      </c>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6"/>
      <c r="GB108" s="6"/>
      <c r="GC108" s="36"/>
      <c r="GD108" s="36"/>
      <c r="GE108" s="36"/>
      <c r="GF108" s="36"/>
      <c r="GG108" s="36"/>
      <c r="GH108" s="36"/>
      <c r="GI108" s="36"/>
      <c r="GJ108" s="36"/>
      <c r="GK108" s="36"/>
      <c r="GL108" s="36"/>
      <c r="GM108" s="36"/>
      <c r="GN108" s="36"/>
      <c r="GO108" s="36"/>
      <c r="GP108" s="36"/>
      <c r="GQ108" s="36"/>
      <c r="GR108" s="36"/>
      <c r="GS108" s="36"/>
      <c r="GT108" s="36"/>
      <c r="GU108" s="36"/>
      <c r="GV108" s="6"/>
      <c r="GW108" s="36"/>
      <c r="GX108" s="36"/>
      <c r="GY108" s="36"/>
      <c r="GZ108" s="36"/>
      <c r="HA108" s="36"/>
      <c r="HB108" s="36"/>
      <c r="HC108" s="36"/>
      <c r="HD108" s="36"/>
      <c r="HE108" s="36"/>
      <c r="HF108" s="36"/>
      <c r="HG108" s="36"/>
      <c r="HH108" s="36"/>
      <c r="HI108" s="36"/>
      <c r="HJ108" s="36"/>
      <c r="HK108" s="36"/>
      <c r="HL108" s="36"/>
      <c r="HM108" s="36"/>
      <c r="HN108" s="36"/>
      <c r="HO108" s="36"/>
      <c r="HP108" s="36"/>
      <c r="HQ108" s="36"/>
      <c r="HR108" s="36"/>
      <c r="HS108" s="36"/>
      <c r="HT108" s="36"/>
      <c r="HU108" s="36"/>
      <c r="HV108" s="36"/>
      <c r="HW108" s="36"/>
      <c r="HX108" s="36"/>
      <c r="HY108" s="36"/>
      <c r="HZ108" s="36"/>
      <c r="IA108" s="36"/>
      <c r="IB108" s="36"/>
      <c r="IC108" s="36"/>
      <c r="ID108" s="36"/>
      <c r="IE108" s="36"/>
      <c r="IF108" s="36"/>
      <c r="IG108" s="36"/>
      <c r="IH108" s="36"/>
      <c r="II108" s="36"/>
      <c r="IJ108" s="36"/>
      <c r="IK108" s="36"/>
      <c r="IL108" s="36"/>
      <c r="IM108" s="36"/>
      <c r="IN108" s="36"/>
      <c r="IO108" s="36"/>
      <c r="IP108" s="36"/>
      <c r="IR108" s="2" t="s">
        <v>543</v>
      </c>
    </row>
    <row r="109" spans="1:252" ht="15.75" customHeight="1" x14ac:dyDescent="0.25">
      <c r="A109" s="36" t="s">
        <v>505</v>
      </c>
      <c r="B109" s="36" t="s">
        <v>665</v>
      </c>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36"/>
      <c r="BN109" s="36"/>
      <c r="BO109" s="36"/>
      <c r="BP109" s="6"/>
      <c r="BQ109" s="6"/>
      <c r="BR109" s="6"/>
      <c r="BS109" s="6"/>
      <c r="BT109" s="6"/>
      <c r="BU109" s="6"/>
      <c r="BV109" s="36"/>
      <c r="BW109" s="36"/>
      <c r="BX109" s="36"/>
      <c r="BY109" s="36"/>
      <c r="BZ109" s="36"/>
      <c r="CA109" s="36"/>
      <c r="CB109" s="36"/>
      <c r="CC109" s="36"/>
      <c r="CD109" s="36"/>
      <c r="CE109" s="36"/>
      <c r="CF109" s="36"/>
      <c r="CG109" s="36"/>
      <c r="CH109" s="36"/>
      <c r="CI109" s="36"/>
      <c r="CJ109" s="36"/>
      <c r="CK109" s="36"/>
      <c r="CL109" s="36"/>
      <c r="CM109" s="36"/>
      <c r="CN109" s="36"/>
      <c r="CO109" s="36"/>
      <c r="CP109" s="36"/>
      <c r="CQ109" s="36"/>
      <c r="CR109" s="36"/>
      <c r="CS109" s="36"/>
      <c r="CT109" s="36"/>
      <c r="CU109" s="36"/>
      <c r="CV109" s="36"/>
      <c r="CW109" s="36"/>
      <c r="CX109" s="36"/>
      <c r="CY109" s="36"/>
      <c r="CZ109" s="36"/>
      <c r="DA109" s="36"/>
      <c r="DB109" s="36"/>
      <c r="DC109" s="36"/>
      <c r="DD109" s="36"/>
      <c r="DE109" s="36"/>
      <c r="DF109" s="36"/>
      <c r="DG109" s="36"/>
      <c r="DH109" s="36"/>
      <c r="DI109" s="36"/>
      <c r="DJ109" s="36"/>
      <c r="DK109" s="36"/>
      <c r="DL109" s="36"/>
      <c r="DM109" s="36"/>
      <c r="DN109" s="36"/>
      <c r="DO109" s="36"/>
      <c r="DP109" s="36"/>
      <c r="DQ109" s="36"/>
      <c r="DR109" s="36"/>
      <c r="DS109" s="36"/>
      <c r="DT109" s="36"/>
      <c r="DU109" s="36"/>
      <c r="DV109" s="36"/>
      <c r="DW109" s="36"/>
      <c r="DX109" s="36"/>
      <c r="DY109" s="36"/>
      <c r="DZ109" s="36"/>
      <c r="EA109" s="36"/>
      <c r="EB109" s="36"/>
      <c r="EC109" s="36"/>
      <c r="ED109" s="36"/>
      <c r="EE109" s="36"/>
      <c r="EF109" s="36"/>
      <c r="EG109" s="36"/>
      <c r="EH109" s="36"/>
      <c r="EI109" s="36"/>
      <c r="EJ109" s="36"/>
      <c r="EK109" s="36"/>
      <c r="EL109" s="36"/>
      <c r="EM109" s="36"/>
      <c r="EN109" s="36"/>
      <c r="EO109" s="36"/>
      <c r="EP109" s="36"/>
      <c r="EQ109" s="36">
        <v>30</v>
      </c>
      <c r="ER109" s="36"/>
      <c r="ES109" s="36"/>
      <c r="ET109" s="36"/>
      <c r="EU109" s="36"/>
      <c r="EV109" s="36"/>
      <c r="EW109" s="36"/>
      <c r="EX109" s="36"/>
      <c r="EY109" s="36"/>
      <c r="EZ109" s="36"/>
      <c r="FA109" s="36"/>
      <c r="FB109" s="36"/>
      <c r="FC109" s="36"/>
      <c r="FD109" s="36"/>
      <c r="FE109" s="36"/>
      <c r="FF109" s="36"/>
      <c r="FG109" s="36"/>
      <c r="FH109" s="36"/>
      <c r="FI109" s="36"/>
      <c r="FJ109" s="36"/>
      <c r="FK109" s="36"/>
      <c r="FL109" s="36"/>
      <c r="FM109" s="36"/>
      <c r="FN109" s="36"/>
      <c r="FO109" s="36"/>
      <c r="FP109" s="36"/>
      <c r="FQ109" s="36"/>
      <c r="FR109" s="36"/>
      <c r="FS109" s="36"/>
      <c r="FT109" s="36"/>
      <c r="FU109" s="36"/>
      <c r="FV109" s="36"/>
      <c r="FW109" s="36"/>
      <c r="FX109" s="36"/>
      <c r="FY109" s="36"/>
      <c r="FZ109" s="36"/>
      <c r="GA109" s="6"/>
      <c r="GB109" s="6"/>
      <c r="GC109" s="36"/>
      <c r="GD109" s="36"/>
      <c r="GE109" s="36"/>
      <c r="GF109" s="36"/>
      <c r="GG109" s="36"/>
      <c r="GH109" s="36"/>
      <c r="GI109" s="36"/>
      <c r="GJ109" s="36"/>
      <c r="GK109" s="36">
        <v>150</v>
      </c>
      <c r="GL109" s="36">
        <v>100</v>
      </c>
      <c r="GM109" s="36"/>
      <c r="GN109" s="36"/>
      <c r="GO109" s="36"/>
      <c r="GP109" s="36"/>
      <c r="GQ109" s="36"/>
      <c r="GR109" s="36"/>
      <c r="GS109" s="36"/>
      <c r="GT109" s="36"/>
      <c r="GU109" s="36"/>
      <c r="GV109" s="6"/>
      <c r="GW109" s="36"/>
      <c r="GX109" s="36"/>
      <c r="GY109" s="36"/>
      <c r="GZ109" s="36"/>
      <c r="HA109" s="36"/>
      <c r="HB109" s="36"/>
      <c r="HC109" s="36"/>
      <c r="HD109" s="36"/>
      <c r="HE109" s="36"/>
      <c r="HF109" s="36"/>
      <c r="HG109" s="36"/>
      <c r="HH109" s="36"/>
      <c r="HI109" s="36"/>
      <c r="HJ109" s="36"/>
      <c r="HK109" s="36"/>
      <c r="HL109" s="36"/>
      <c r="HM109" s="36"/>
      <c r="HN109" s="36"/>
      <c r="HO109" s="36"/>
      <c r="HP109" s="36"/>
      <c r="HQ109" s="36"/>
      <c r="HR109" s="36"/>
      <c r="HS109" s="36"/>
      <c r="HT109" s="36"/>
      <c r="HU109" s="36"/>
      <c r="HV109" s="36"/>
      <c r="HW109" s="36"/>
      <c r="HX109" s="36">
        <f>24*5</f>
        <v>120</v>
      </c>
      <c r="HY109" s="36">
        <v>10</v>
      </c>
      <c r="HZ109" s="36"/>
      <c r="IA109" s="36"/>
      <c r="IB109" s="36"/>
      <c r="IC109" s="36"/>
      <c r="ID109" s="36"/>
      <c r="IE109" s="36"/>
      <c r="IF109" s="36"/>
      <c r="IG109" s="36"/>
      <c r="IH109" s="36"/>
      <c r="II109" s="36"/>
      <c r="IJ109" s="36"/>
      <c r="IK109" s="36"/>
      <c r="IL109" s="36"/>
      <c r="IM109" s="36"/>
      <c r="IN109" s="36"/>
      <c r="IO109" s="36"/>
      <c r="IP109" s="36"/>
      <c r="IR109" s="2" t="s">
        <v>543</v>
      </c>
    </row>
    <row r="110" spans="1:252" ht="15.75" customHeight="1" x14ac:dyDescent="0.25">
      <c r="A110" s="36" t="s">
        <v>505</v>
      </c>
      <c r="B110" s="36" t="s">
        <v>666</v>
      </c>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6"/>
      <c r="BQ110" s="6"/>
      <c r="BR110" s="6"/>
      <c r="BS110" s="6"/>
      <c r="BT110" s="6"/>
      <c r="BU110" s="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c r="DI110" s="36"/>
      <c r="DJ110" s="36"/>
      <c r="DK110" s="36"/>
      <c r="DL110" s="36"/>
      <c r="DM110" s="36"/>
      <c r="DN110" s="36"/>
      <c r="DO110" s="36"/>
      <c r="DP110" s="36"/>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6"/>
      <c r="GB110" s="6"/>
      <c r="GC110" s="36"/>
      <c r="GD110" s="36"/>
      <c r="GE110" s="36"/>
      <c r="GF110" s="36"/>
      <c r="GG110" s="36"/>
      <c r="GH110" s="36"/>
      <c r="GI110" s="36"/>
      <c r="GJ110" s="36"/>
      <c r="GK110" s="36"/>
      <c r="GL110" s="36"/>
      <c r="GM110" s="36"/>
      <c r="GN110" s="36"/>
      <c r="GO110" s="36"/>
      <c r="GP110" s="36"/>
      <c r="GQ110" s="36"/>
      <c r="GR110" s="36"/>
      <c r="GS110" s="36"/>
      <c r="GT110" s="36"/>
      <c r="GU110" s="36"/>
      <c r="GV110" s="6"/>
      <c r="GW110" s="36"/>
      <c r="GX110" s="36"/>
      <c r="GY110" s="36"/>
      <c r="GZ110" s="36"/>
      <c r="HA110" s="36"/>
      <c r="HB110" s="36"/>
      <c r="HC110" s="36"/>
      <c r="HD110" s="36"/>
      <c r="HE110" s="36"/>
      <c r="HF110" s="36"/>
      <c r="HG110" s="36"/>
      <c r="HH110" s="36"/>
      <c r="HI110" s="36"/>
      <c r="HJ110" s="36"/>
      <c r="HK110" s="36"/>
      <c r="HL110" s="36"/>
      <c r="HM110" s="36"/>
      <c r="HN110" s="36"/>
      <c r="HO110" s="36"/>
      <c r="HP110" s="36"/>
      <c r="HQ110" s="36"/>
      <c r="HR110" s="36"/>
      <c r="HS110" s="36"/>
      <c r="HT110" s="36"/>
      <c r="HU110" s="36"/>
      <c r="HV110" s="36"/>
      <c r="HW110" s="36"/>
      <c r="HX110" s="36"/>
      <c r="HY110" s="36">
        <v>50</v>
      </c>
      <c r="HZ110" s="36"/>
      <c r="IA110" s="36">
        <v>8</v>
      </c>
      <c r="IB110" s="36"/>
      <c r="IC110" s="36"/>
      <c r="ID110" s="36"/>
      <c r="IE110" s="36"/>
      <c r="IF110" s="36"/>
      <c r="IG110" s="36"/>
      <c r="IH110" s="36"/>
      <c r="II110" s="36"/>
      <c r="IJ110" s="36"/>
      <c r="IK110" s="36"/>
      <c r="IL110" s="36"/>
      <c r="IM110" s="36"/>
      <c r="IN110" s="36"/>
      <c r="IO110" s="36"/>
      <c r="IP110" s="36"/>
      <c r="IR110" s="2" t="s">
        <v>543</v>
      </c>
    </row>
    <row r="111" spans="1:252" ht="15.75" customHeight="1" x14ac:dyDescent="0.25">
      <c r="A111" s="36" t="s">
        <v>667</v>
      </c>
      <c r="B111" s="36" t="s">
        <v>668</v>
      </c>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36"/>
      <c r="BN111" s="36"/>
      <c r="BO111" s="36"/>
      <c r="BP111" s="6"/>
      <c r="BQ111" s="6"/>
      <c r="BR111" s="6"/>
      <c r="BS111" s="6"/>
      <c r="BT111" s="6"/>
      <c r="BU111" s="6"/>
      <c r="BV111" s="36"/>
      <c r="BW111" s="36"/>
      <c r="BX111" s="36"/>
      <c r="BY111" s="36"/>
      <c r="BZ111" s="36"/>
      <c r="CA111" s="36"/>
      <c r="CB111" s="36"/>
      <c r="CC111" s="36"/>
      <c r="CD111" s="36"/>
      <c r="CE111" s="36"/>
      <c r="CF111" s="36"/>
      <c r="CG111" s="36"/>
      <c r="CH111" s="36"/>
      <c r="CI111" s="36"/>
      <c r="CJ111" s="36"/>
      <c r="CK111" s="36"/>
      <c r="CL111" s="36"/>
      <c r="CM111" s="36"/>
      <c r="CN111" s="36"/>
      <c r="CO111" s="36"/>
      <c r="CP111" s="36"/>
      <c r="CQ111" s="36"/>
      <c r="CR111" s="36"/>
      <c r="CS111" s="36"/>
      <c r="CT111" s="36"/>
      <c r="CU111" s="36"/>
      <c r="CV111" s="36"/>
      <c r="CW111" s="36"/>
      <c r="CX111" s="36"/>
      <c r="CY111" s="36"/>
      <c r="CZ111" s="36"/>
      <c r="DA111" s="36"/>
      <c r="DB111" s="36"/>
      <c r="DC111" s="36"/>
      <c r="DD111" s="36"/>
      <c r="DE111" s="36"/>
      <c r="DF111" s="36"/>
      <c r="DG111" s="36"/>
      <c r="DH111" s="36"/>
      <c r="DI111" s="36"/>
      <c r="DJ111" s="36"/>
      <c r="DK111" s="36"/>
      <c r="DL111" s="36"/>
      <c r="DM111" s="36"/>
      <c r="DN111" s="36"/>
      <c r="DO111" s="36"/>
      <c r="DP111" s="36"/>
      <c r="DQ111" s="36"/>
      <c r="DR111" s="36"/>
      <c r="DS111" s="36"/>
      <c r="DT111" s="36"/>
      <c r="DU111" s="36"/>
      <c r="DV111" s="36"/>
      <c r="DW111" s="36"/>
      <c r="DX111" s="36"/>
      <c r="DY111" s="36"/>
      <c r="DZ111" s="36"/>
      <c r="EA111" s="36"/>
      <c r="EB111" s="36"/>
      <c r="EC111" s="36"/>
      <c r="ED111" s="36"/>
      <c r="EE111" s="36"/>
      <c r="EF111" s="36"/>
      <c r="EG111" s="36"/>
      <c r="EH111" s="36"/>
      <c r="EI111" s="36"/>
      <c r="EJ111" s="36"/>
      <c r="EK111" s="36"/>
      <c r="EL111" s="36"/>
      <c r="EM111" s="36"/>
      <c r="EN111" s="36"/>
      <c r="EO111" s="36"/>
      <c r="EP111" s="36"/>
      <c r="EQ111" s="36"/>
      <c r="ER111" s="36"/>
      <c r="ES111" s="36"/>
      <c r="ET111" s="36"/>
      <c r="EU111" s="36"/>
      <c r="EV111" s="36"/>
      <c r="EW111" s="36"/>
      <c r="EX111" s="36"/>
      <c r="EY111" s="36"/>
      <c r="EZ111" s="36"/>
      <c r="FA111" s="36"/>
      <c r="FB111" s="36"/>
      <c r="FC111" s="36"/>
      <c r="FD111" s="36"/>
      <c r="FE111" s="36"/>
      <c r="FF111" s="36"/>
      <c r="FG111" s="36"/>
      <c r="FH111" s="36"/>
      <c r="FI111" s="36"/>
      <c r="FJ111" s="36"/>
      <c r="FK111" s="36"/>
      <c r="FL111" s="36"/>
      <c r="FM111" s="36"/>
      <c r="FN111" s="36"/>
      <c r="FO111" s="36"/>
      <c r="FP111" s="36"/>
      <c r="FQ111" s="36"/>
      <c r="FR111" s="36"/>
      <c r="FS111" s="36"/>
      <c r="FT111" s="36"/>
      <c r="FU111" s="36"/>
      <c r="FV111" s="36"/>
      <c r="FW111" s="36"/>
      <c r="FX111" s="36"/>
      <c r="FY111" s="36"/>
      <c r="FZ111" s="36"/>
      <c r="GA111" s="6"/>
      <c r="GB111" s="6"/>
      <c r="GC111" s="36"/>
      <c r="GD111" s="36"/>
      <c r="GE111" s="36"/>
      <c r="GF111" s="36"/>
      <c r="GG111" s="36"/>
      <c r="GH111" s="36"/>
      <c r="GI111" s="36"/>
      <c r="GJ111" s="36"/>
      <c r="GK111" s="36"/>
      <c r="GL111" s="36"/>
      <c r="GM111" s="36"/>
      <c r="GN111" s="36"/>
      <c r="GO111" s="36"/>
      <c r="GP111" s="36"/>
      <c r="GQ111" s="36"/>
      <c r="GR111" s="36"/>
      <c r="GS111" s="36"/>
      <c r="GT111" s="36"/>
      <c r="GU111" s="36"/>
      <c r="GV111" s="6"/>
      <c r="GW111" s="36"/>
      <c r="GX111" s="36"/>
      <c r="GY111" s="36"/>
      <c r="GZ111" s="36"/>
      <c r="HA111" s="36"/>
      <c r="HB111" s="36"/>
      <c r="HC111" s="36"/>
      <c r="HD111" s="36"/>
      <c r="HE111" s="36"/>
      <c r="HF111" s="36"/>
      <c r="HG111" s="36"/>
      <c r="HH111" s="36"/>
      <c r="HI111" s="36"/>
      <c r="HJ111" s="36"/>
      <c r="HK111" s="36"/>
      <c r="HL111" s="36"/>
      <c r="HM111" s="36"/>
      <c r="HN111" s="36"/>
      <c r="HO111" s="36"/>
      <c r="HP111" s="36"/>
      <c r="HQ111" s="36"/>
      <c r="HR111" s="36"/>
      <c r="HS111" s="36"/>
      <c r="HT111" s="36"/>
      <c r="HU111" s="36"/>
      <c r="HV111" s="36"/>
      <c r="HW111" s="36"/>
      <c r="HX111" s="36">
        <v>260</v>
      </c>
      <c r="HY111" s="36">
        <v>2</v>
      </c>
      <c r="HZ111" s="36"/>
      <c r="IA111" s="36"/>
      <c r="IB111" s="36"/>
      <c r="IC111" s="36"/>
      <c r="ID111" s="36"/>
      <c r="IE111" s="36"/>
      <c r="IF111" s="36"/>
      <c r="IG111" s="36"/>
      <c r="IH111" s="36"/>
      <c r="II111" s="36"/>
      <c r="IJ111" s="36"/>
      <c r="IK111" s="36"/>
      <c r="IL111" s="36"/>
      <c r="IM111" s="36"/>
      <c r="IN111" s="36"/>
      <c r="IO111" s="36"/>
      <c r="IP111" s="36"/>
      <c r="IR111" s="2" t="s">
        <v>543</v>
      </c>
    </row>
    <row r="112" spans="1:252" ht="15.75" customHeight="1" x14ac:dyDescent="0.25">
      <c r="A112" s="36" t="s">
        <v>671</v>
      </c>
      <c r="B112" s="36" t="s">
        <v>672</v>
      </c>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36"/>
      <c r="BN112" s="36"/>
      <c r="BO112" s="36"/>
      <c r="BP112" s="6"/>
      <c r="BQ112" s="6"/>
      <c r="BR112" s="6"/>
      <c r="BS112" s="6"/>
      <c r="BT112" s="6"/>
      <c r="BU112" s="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v>6</v>
      </c>
      <c r="DA112" s="36"/>
      <c r="DB112" s="36"/>
      <c r="DC112" s="36"/>
      <c r="DD112" s="36"/>
      <c r="DE112" s="36"/>
      <c r="DF112" s="36"/>
      <c r="DG112" s="36">
        <v>6</v>
      </c>
      <c r="DH112" s="36"/>
      <c r="DI112" s="36"/>
      <c r="DJ112" s="36"/>
      <c r="DK112" s="36"/>
      <c r="DL112" s="36"/>
      <c r="DM112" s="36"/>
      <c r="DN112" s="36"/>
      <c r="DO112" s="36"/>
      <c r="DP112" s="36"/>
      <c r="DQ112" s="36">
        <v>4</v>
      </c>
      <c r="DR112" s="36">
        <v>6</v>
      </c>
      <c r="DS112" s="36">
        <v>6</v>
      </c>
      <c r="DT112" s="36"/>
      <c r="DU112" s="36"/>
      <c r="DV112" s="36"/>
      <c r="DW112" s="36"/>
      <c r="DX112" s="36"/>
      <c r="DY112" s="36"/>
      <c r="DZ112" s="36"/>
      <c r="EA112" s="36"/>
      <c r="EB112" s="36"/>
      <c r="EC112" s="36"/>
      <c r="ED112" s="36"/>
      <c r="EE112" s="36">
        <v>6</v>
      </c>
      <c r="EF112" s="36"/>
      <c r="EG112" s="36"/>
      <c r="EH112" s="36"/>
      <c r="EI112" s="36">
        <v>6</v>
      </c>
      <c r="EJ112" s="36">
        <v>6</v>
      </c>
      <c r="EK112" s="36"/>
      <c r="EL112" s="36"/>
      <c r="EM112" s="36"/>
      <c r="EN112" s="36"/>
      <c r="EO112" s="36"/>
      <c r="EP112" s="36"/>
      <c r="EQ112" s="36"/>
      <c r="ER112" s="36"/>
      <c r="ES112" s="36"/>
      <c r="ET112" s="36"/>
      <c r="EU112" s="36"/>
      <c r="EV112" s="36"/>
      <c r="EW112" s="36"/>
      <c r="EX112" s="36">
        <v>200</v>
      </c>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6"/>
      <c r="GB112" s="6"/>
      <c r="GC112" s="36"/>
      <c r="GD112" s="36"/>
      <c r="GE112" s="36"/>
      <c r="GF112" s="36"/>
      <c r="GG112" s="36"/>
      <c r="GH112" s="36"/>
      <c r="GI112" s="36"/>
      <c r="GJ112" s="36"/>
      <c r="GK112" s="36"/>
      <c r="GL112" s="36"/>
      <c r="GM112" s="36"/>
      <c r="GN112" s="36"/>
      <c r="GO112" s="36"/>
      <c r="GP112" s="36"/>
      <c r="GQ112" s="36"/>
      <c r="GR112" s="36"/>
      <c r="GS112" s="36"/>
      <c r="GT112" s="36"/>
      <c r="GU112" s="36"/>
      <c r="GV112" s="6"/>
      <c r="GW112" s="36"/>
      <c r="GX112" s="36"/>
      <c r="GY112" s="36"/>
      <c r="GZ112" s="36"/>
      <c r="HA112" s="36"/>
      <c r="HB112" s="36"/>
      <c r="HC112" s="36"/>
      <c r="HD112" s="36"/>
      <c r="HE112" s="36"/>
      <c r="HF112" s="36"/>
      <c r="HG112" s="36"/>
      <c r="HH112" s="36"/>
      <c r="HI112" s="36"/>
      <c r="HJ112" s="36"/>
      <c r="HK112" s="36"/>
      <c r="HL112" s="36"/>
      <c r="HM112" s="36"/>
      <c r="HN112" s="36">
        <v>100</v>
      </c>
      <c r="HO112" s="36"/>
      <c r="HP112" s="36"/>
      <c r="HQ112" s="36"/>
      <c r="HR112" s="36"/>
      <c r="HS112" s="36"/>
      <c r="HT112" s="36"/>
      <c r="HU112" s="36"/>
      <c r="HV112" s="36"/>
      <c r="HW112" s="36"/>
      <c r="HX112" s="36"/>
      <c r="HY112" s="36"/>
      <c r="HZ112" s="36"/>
      <c r="IA112" s="36">
        <v>24</v>
      </c>
      <c r="IB112" s="36">
        <v>76</v>
      </c>
      <c r="IC112" s="36"/>
      <c r="ID112" s="36"/>
      <c r="IE112" s="36"/>
      <c r="IF112" s="36"/>
      <c r="IG112" s="36"/>
      <c r="IH112" s="36"/>
      <c r="II112" s="36"/>
      <c r="IJ112" s="36"/>
      <c r="IK112" s="36"/>
      <c r="IL112" s="36"/>
      <c r="IM112" s="36"/>
      <c r="IN112" s="36"/>
      <c r="IO112" s="36"/>
      <c r="IP112" s="36"/>
      <c r="IR112" s="2" t="s">
        <v>543</v>
      </c>
    </row>
    <row r="113" spans="1:252" ht="15.75" customHeight="1" x14ac:dyDescent="0.25">
      <c r="A113" s="36" t="s">
        <v>667</v>
      </c>
      <c r="B113" s="36" t="s">
        <v>678</v>
      </c>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36"/>
      <c r="BN113" s="36"/>
      <c r="BO113" s="36"/>
      <c r="BP113" s="6"/>
      <c r="BQ113" s="6"/>
      <c r="BR113" s="6"/>
      <c r="BS113" s="6"/>
      <c r="BT113" s="6"/>
      <c r="BU113" s="6"/>
      <c r="BV113" s="36"/>
      <c r="BW113" s="36"/>
      <c r="BX113" s="36"/>
      <c r="BY113" s="36"/>
      <c r="BZ113" s="36"/>
      <c r="CA113" s="36"/>
      <c r="CB113" s="36"/>
      <c r="CC113" s="36"/>
      <c r="CD113" s="36"/>
      <c r="CE113" s="36"/>
      <c r="CF113" s="36"/>
      <c r="CG113" s="36"/>
      <c r="CH113" s="36"/>
      <c r="CI113" s="36"/>
      <c r="CJ113" s="36"/>
      <c r="CK113" s="36"/>
      <c r="CL113" s="36"/>
      <c r="CM113" s="36"/>
      <c r="CN113" s="36"/>
      <c r="CO113" s="36"/>
      <c r="CP113" s="36"/>
      <c r="CQ113" s="36"/>
      <c r="CR113" s="36"/>
      <c r="CS113" s="36"/>
      <c r="CT113" s="36"/>
      <c r="CU113" s="36"/>
      <c r="CV113" s="36"/>
      <c r="CW113" s="36"/>
      <c r="CX113" s="36"/>
      <c r="CY113" s="36"/>
      <c r="CZ113" s="36"/>
      <c r="DA113" s="36"/>
      <c r="DB113" s="36"/>
      <c r="DC113" s="36"/>
      <c r="DD113" s="36"/>
      <c r="DE113" s="36"/>
      <c r="DF113" s="36"/>
      <c r="DG113" s="36"/>
      <c r="DH113" s="36"/>
      <c r="DI113" s="36"/>
      <c r="DJ113" s="36"/>
      <c r="DK113" s="36"/>
      <c r="DL113" s="36"/>
      <c r="DM113" s="36"/>
      <c r="DN113" s="36"/>
      <c r="DO113" s="36"/>
      <c r="DP113" s="36"/>
      <c r="DQ113" s="36"/>
      <c r="DR113" s="36"/>
      <c r="DS113" s="36"/>
      <c r="DT113" s="36"/>
      <c r="DU113" s="36"/>
      <c r="DV113" s="36"/>
      <c r="DW113" s="36"/>
      <c r="DX113" s="36"/>
      <c r="DY113" s="36"/>
      <c r="DZ113" s="36"/>
      <c r="EA113" s="36"/>
      <c r="EB113" s="36"/>
      <c r="EC113" s="36"/>
      <c r="ED113" s="36"/>
      <c r="EE113" s="36"/>
      <c r="EF113" s="36"/>
      <c r="EG113" s="36"/>
      <c r="EH113" s="36"/>
      <c r="EI113" s="36"/>
      <c r="EJ113" s="36"/>
      <c r="EK113" s="36"/>
      <c r="EL113" s="36"/>
      <c r="EM113" s="36"/>
      <c r="EN113" s="36"/>
      <c r="EO113" s="36"/>
      <c r="EP113" s="36"/>
      <c r="EQ113" s="36"/>
      <c r="ER113" s="36"/>
      <c r="ES113" s="36"/>
      <c r="ET113" s="36"/>
      <c r="EU113" s="36"/>
      <c r="EV113" s="36"/>
      <c r="EW113" s="36"/>
      <c r="EX113" s="36"/>
      <c r="EY113" s="36"/>
      <c r="EZ113" s="36"/>
      <c r="FA113" s="36"/>
      <c r="FB113" s="36"/>
      <c r="FC113" s="36"/>
      <c r="FD113" s="36"/>
      <c r="FE113" s="36"/>
      <c r="FF113" s="36"/>
      <c r="FG113" s="36"/>
      <c r="FH113" s="36"/>
      <c r="FI113" s="36"/>
      <c r="FJ113" s="36"/>
      <c r="FK113" s="36"/>
      <c r="FL113" s="36"/>
      <c r="FM113" s="36"/>
      <c r="FN113" s="36"/>
      <c r="FO113" s="36"/>
      <c r="FP113" s="36"/>
      <c r="FQ113" s="36"/>
      <c r="FR113" s="36"/>
      <c r="FS113" s="36"/>
      <c r="FT113" s="36"/>
      <c r="FU113" s="36"/>
      <c r="FV113" s="36"/>
      <c r="FW113" s="36"/>
      <c r="FX113" s="36"/>
      <c r="FY113" s="36"/>
      <c r="FZ113" s="36"/>
      <c r="GA113" s="6"/>
      <c r="GB113" s="6"/>
      <c r="GC113" s="36"/>
      <c r="GD113" s="36"/>
      <c r="GE113" s="36"/>
      <c r="GF113" s="36"/>
      <c r="GG113" s="36"/>
      <c r="GH113" s="36"/>
      <c r="GI113" s="36"/>
      <c r="GJ113" s="36"/>
      <c r="GK113" s="36"/>
      <c r="GL113" s="36"/>
      <c r="GM113" s="36"/>
      <c r="GN113" s="36"/>
      <c r="GO113" s="36"/>
      <c r="GP113" s="36"/>
      <c r="GQ113" s="36"/>
      <c r="GR113" s="36"/>
      <c r="GS113" s="36"/>
      <c r="GT113" s="36"/>
      <c r="GU113" s="36"/>
      <c r="GV113" s="6"/>
      <c r="GW113" s="36"/>
      <c r="GX113" s="36"/>
      <c r="GY113" s="36"/>
      <c r="GZ113" s="36"/>
      <c r="HA113" s="36"/>
      <c r="HB113" s="36"/>
      <c r="HC113" s="36"/>
      <c r="HD113" s="36"/>
      <c r="HE113" s="36"/>
      <c r="HF113" s="36"/>
      <c r="HG113" s="36"/>
      <c r="HH113" s="36"/>
      <c r="HI113" s="36"/>
      <c r="HJ113" s="36"/>
      <c r="HK113" s="36"/>
      <c r="HL113" s="36"/>
      <c r="HM113" s="36"/>
      <c r="HN113" s="36"/>
      <c r="HO113" s="36"/>
      <c r="HP113" s="36"/>
      <c r="HQ113" s="36"/>
      <c r="HR113" s="36"/>
      <c r="HS113" s="36"/>
      <c r="HT113" s="36"/>
      <c r="HU113" s="36"/>
      <c r="HV113" s="36"/>
      <c r="HW113" s="36"/>
      <c r="HX113" s="36"/>
      <c r="HY113" s="36">
        <v>42</v>
      </c>
      <c r="HZ113" s="36"/>
      <c r="IA113" s="36">
        <v>24</v>
      </c>
      <c r="IB113" s="36">
        <v>124</v>
      </c>
      <c r="IC113" s="36"/>
      <c r="ID113" s="36"/>
      <c r="IE113" s="36"/>
      <c r="IF113" s="36"/>
      <c r="IG113" s="36"/>
      <c r="IH113" s="36"/>
      <c r="II113" s="36"/>
      <c r="IJ113" s="36"/>
      <c r="IK113" s="36"/>
      <c r="IL113" s="36"/>
      <c r="IM113" s="36"/>
      <c r="IN113" s="36"/>
      <c r="IO113" s="36"/>
      <c r="IP113" s="36"/>
      <c r="IR113" s="2" t="s">
        <v>543</v>
      </c>
    </row>
    <row r="114" spans="1:252" ht="15.75" customHeight="1" x14ac:dyDescent="0.25">
      <c r="A114" s="36" t="s">
        <v>680</v>
      </c>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36"/>
      <c r="BN114" s="36"/>
      <c r="BO114" s="36"/>
      <c r="BP114" s="6"/>
      <c r="BQ114" s="6"/>
      <c r="BR114" s="6"/>
      <c r="BS114" s="6"/>
      <c r="BT114" s="6"/>
      <c r="BU114" s="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c r="DI114" s="36"/>
      <c r="DJ114" s="36"/>
      <c r="DK114" s="36"/>
      <c r="DL114" s="36"/>
      <c r="DM114" s="36"/>
      <c r="DN114" s="36"/>
      <c r="DO114" s="36"/>
      <c r="DP114" s="36"/>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6"/>
      <c r="GB114" s="6"/>
      <c r="GC114" s="36">
        <v>2</v>
      </c>
      <c r="GD114" s="36"/>
      <c r="GE114" s="36"/>
      <c r="GF114" s="36"/>
      <c r="GG114" s="36"/>
      <c r="GH114" s="36"/>
      <c r="GI114" s="36"/>
      <c r="GJ114" s="36"/>
      <c r="GK114" s="36"/>
      <c r="GL114" s="36"/>
      <c r="GM114" s="36"/>
      <c r="GN114" s="36"/>
      <c r="GO114" s="36"/>
      <c r="GP114" s="36"/>
      <c r="GQ114" s="36"/>
      <c r="GR114" s="36"/>
      <c r="GS114" s="36"/>
      <c r="GT114" s="36"/>
      <c r="GU114" s="36"/>
      <c r="GV114" s="6"/>
      <c r="GW114" s="36"/>
      <c r="GX114" s="36"/>
      <c r="GY114" s="36"/>
      <c r="GZ114" s="36"/>
      <c r="HA114" s="36"/>
      <c r="HB114" s="36"/>
      <c r="HC114" s="36"/>
      <c r="HD114" s="36"/>
      <c r="HE114" s="36"/>
      <c r="HF114" s="36"/>
      <c r="HG114" s="36"/>
      <c r="HH114" s="36"/>
      <c r="HI114" s="36"/>
      <c r="HJ114" s="36"/>
      <c r="HK114" s="36"/>
      <c r="HL114" s="36"/>
      <c r="HM114" s="36"/>
      <c r="HN114" s="36"/>
      <c r="HO114" s="36"/>
      <c r="HP114" s="36"/>
      <c r="HQ114" s="36"/>
      <c r="HR114" s="36"/>
      <c r="HS114" s="36"/>
      <c r="HT114" s="36"/>
      <c r="HU114" s="36"/>
      <c r="HV114" s="36"/>
      <c r="HW114" s="36"/>
      <c r="HX114" s="36"/>
      <c r="HY114" s="36"/>
      <c r="HZ114" s="36"/>
      <c r="IA114" s="36"/>
      <c r="IB114" s="36"/>
      <c r="IC114" s="36"/>
      <c r="ID114" s="36"/>
      <c r="IE114" s="36"/>
      <c r="IF114" s="36"/>
      <c r="IG114" s="36"/>
      <c r="IH114" s="36"/>
      <c r="II114" s="36"/>
      <c r="IJ114" s="36"/>
      <c r="IK114" s="36"/>
      <c r="IL114" s="36"/>
      <c r="IM114" s="36"/>
      <c r="IN114" s="36"/>
      <c r="IO114" s="36"/>
      <c r="IP114" s="36"/>
      <c r="IR114" s="2" t="s">
        <v>682</v>
      </c>
    </row>
    <row r="115" spans="1:252" ht="15.75" customHeight="1" x14ac:dyDescent="0.25">
      <c r="A115" s="36" t="s">
        <v>683</v>
      </c>
      <c r="B115" s="36" t="s">
        <v>684</v>
      </c>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36"/>
      <c r="BN115" s="36"/>
      <c r="BO115" s="36"/>
      <c r="BP115" s="6"/>
      <c r="BQ115" s="6"/>
      <c r="BR115" s="6"/>
      <c r="BS115" s="6"/>
      <c r="BT115" s="6"/>
      <c r="BU115" s="6"/>
      <c r="BV115" s="36"/>
      <c r="BW115" s="36"/>
      <c r="BX115" s="36"/>
      <c r="BY115" s="36"/>
      <c r="BZ115" s="36"/>
      <c r="CA115" s="36"/>
      <c r="CB115" s="36"/>
      <c r="CC115" s="36"/>
      <c r="CD115" s="36"/>
      <c r="CE115" s="36"/>
      <c r="CF115" s="36"/>
      <c r="CG115" s="36"/>
      <c r="CH115" s="36"/>
      <c r="CI115" s="36"/>
      <c r="CJ115" s="36"/>
      <c r="CK115" s="36"/>
      <c r="CL115" s="36"/>
      <c r="CM115" s="36"/>
      <c r="CN115" s="36"/>
      <c r="CO115" s="36"/>
      <c r="CP115" s="36"/>
      <c r="CQ115" s="36"/>
      <c r="CR115" s="36"/>
      <c r="CS115" s="36"/>
      <c r="CT115" s="36"/>
      <c r="CU115" s="36"/>
      <c r="CV115" s="36"/>
      <c r="CW115" s="36"/>
      <c r="CX115" s="36"/>
      <c r="CY115" s="36"/>
      <c r="CZ115" s="36"/>
      <c r="DA115" s="36"/>
      <c r="DB115" s="36"/>
      <c r="DC115" s="36"/>
      <c r="DD115" s="36"/>
      <c r="DE115" s="36"/>
      <c r="DF115" s="36"/>
      <c r="DG115" s="36"/>
      <c r="DH115" s="36"/>
      <c r="DI115" s="36"/>
      <c r="DJ115" s="36"/>
      <c r="DK115" s="36"/>
      <c r="DL115" s="36"/>
      <c r="DM115" s="36"/>
      <c r="DN115" s="36"/>
      <c r="DO115" s="36"/>
      <c r="DP115" s="36"/>
      <c r="DQ115" s="36"/>
      <c r="DR115" s="36"/>
      <c r="DS115" s="36"/>
      <c r="DT115" s="36"/>
      <c r="DU115" s="36"/>
      <c r="DV115" s="36"/>
      <c r="DW115" s="36"/>
      <c r="DX115" s="36"/>
      <c r="DY115" s="36"/>
      <c r="DZ115" s="36"/>
      <c r="EA115" s="36"/>
      <c r="EB115" s="36"/>
      <c r="EC115" s="36"/>
      <c r="ED115" s="36"/>
      <c r="EE115" s="36"/>
      <c r="EF115" s="36"/>
      <c r="EG115" s="36"/>
      <c r="EH115" s="36"/>
      <c r="EI115" s="36"/>
      <c r="EJ115" s="36"/>
      <c r="EK115" s="36"/>
      <c r="EL115" s="36"/>
      <c r="EM115" s="36"/>
      <c r="EN115" s="36"/>
      <c r="EO115" s="36"/>
      <c r="EP115" s="36"/>
      <c r="EQ115" s="36"/>
      <c r="ER115" s="36"/>
      <c r="ES115" s="36"/>
      <c r="ET115" s="36"/>
      <c r="EU115" s="36"/>
      <c r="EV115" s="36"/>
      <c r="EW115" s="36"/>
      <c r="EX115" s="36"/>
      <c r="EY115" s="36"/>
      <c r="EZ115" s="36"/>
      <c r="FA115" s="36"/>
      <c r="FB115" s="36"/>
      <c r="FC115" s="36"/>
      <c r="FD115" s="36"/>
      <c r="FE115" s="36"/>
      <c r="FF115" s="36"/>
      <c r="FG115" s="36"/>
      <c r="FH115" s="36"/>
      <c r="FI115" s="36"/>
      <c r="FJ115" s="36"/>
      <c r="FK115" s="36"/>
      <c r="FL115" s="36"/>
      <c r="FM115" s="36"/>
      <c r="FN115" s="36"/>
      <c r="FO115" s="36"/>
      <c r="FP115" s="36"/>
      <c r="FQ115" s="36"/>
      <c r="FR115" s="36"/>
      <c r="FS115" s="36"/>
      <c r="FT115" s="36"/>
      <c r="FU115" s="36"/>
      <c r="FV115" s="36"/>
      <c r="FW115" s="36"/>
      <c r="FX115" s="36"/>
      <c r="FY115" s="36"/>
      <c r="FZ115" s="36"/>
      <c r="GA115" s="6"/>
      <c r="GB115" s="6"/>
      <c r="GC115" s="36"/>
      <c r="GD115" s="36"/>
      <c r="GE115" s="36"/>
      <c r="GF115" s="36"/>
      <c r="GG115" s="36"/>
      <c r="GH115" s="36"/>
      <c r="GI115" s="36"/>
      <c r="GJ115" s="36"/>
      <c r="GK115" s="36"/>
      <c r="GL115" s="36"/>
      <c r="GM115" s="36"/>
      <c r="GN115" s="36"/>
      <c r="GO115" s="36"/>
      <c r="GP115" s="36"/>
      <c r="GQ115" s="36"/>
      <c r="GR115" s="36"/>
      <c r="GS115" s="36"/>
      <c r="GT115" s="36"/>
      <c r="GU115" s="36"/>
      <c r="GV115" s="6"/>
      <c r="GW115" s="36"/>
      <c r="GX115" s="36"/>
      <c r="GY115" s="36"/>
      <c r="GZ115" s="36"/>
      <c r="HA115" s="36"/>
      <c r="HB115" s="36"/>
      <c r="HC115" s="36"/>
      <c r="HD115" s="36"/>
      <c r="HE115" s="36"/>
      <c r="HF115" s="36"/>
      <c r="HG115" s="36"/>
      <c r="HH115" s="36"/>
      <c r="HI115" s="36"/>
      <c r="HJ115" s="36"/>
      <c r="HK115" s="36"/>
      <c r="HL115" s="36"/>
      <c r="HM115" s="36"/>
      <c r="HN115" s="36">
        <v>300</v>
      </c>
      <c r="HO115" s="36"/>
      <c r="HP115" s="36"/>
      <c r="HQ115" s="36"/>
      <c r="HR115" s="36"/>
      <c r="HS115" s="36"/>
      <c r="HT115" s="36"/>
      <c r="HU115" s="36"/>
      <c r="HV115" s="36"/>
      <c r="HW115" s="36"/>
      <c r="HX115" s="36"/>
      <c r="HY115" s="36"/>
      <c r="HZ115" s="36"/>
      <c r="IA115" s="36">
        <v>4</v>
      </c>
      <c r="IB115" s="36">
        <v>24</v>
      </c>
      <c r="IC115" s="36">
        <v>4</v>
      </c>
      <c r="ID115" s="36">
        <v>4</v>
      </c>
      <c r="IE115" s="36"/>
      <c r="IF115" s="36"/>
      <c r="IG115" s="36"/>
      <c r="IH115" s="36"/>
      <c r="II115" s="36"/>
      <c r="IJ115" s="36"/>
      <c r="IK115" s="36"/>
      <c r="IL115" s="36"/>
      <c r="IM115" s="36"/>
      <c r="IN115" s="36"/>
      <c r="IO115" s="36"/>
      <c r="IP115" s="36"/>
      <c r="IR115" s="2" t="s">
        <v>543</v>
      </c>
    </row>
    <row r="116" spans="1:252" ht="15.75" customHeight="1" x14ac:dyDescent="0.25">
      <c r="A116" s="286" t="s">
        <v>687</v>
      </c>
      <c r="B116" s="286" t="s">
        <v>688</v>
      </c>
      <c r="C116" s="286"/>
      <c r="D116" s="36"/>
      <c r="E116" s="36"/>
      <c r="F116" s="36"/>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36"/>
      <c r="BN116" s="36"/>
      <c r="BO116" s="36"/>
      <c r="BP116" s="6"/>
      <c r="BQ116" s="6"/>
      <c r="BR116" s="6"/>
      <c r="BS116" s="6"/>
      <c r="BT116" s="6"/>
      <c r="BU116" s="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c r="DI116" s="36"/>
      <c r="DJ116" s="36"/>
      <c r="DK116" s="36"/>
      <c r="DL116" s="36"/>
      <c r="DM116" s="36"/>
      <c r="DN116" s="36"/>
      <c r="DO116" s="36"/>
      <c r="DP116" s="36"/>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6"/>
      <c r="GB116" s="6"/>
      <c r="GC116" s="36"/>
      <c r="GD116" s="36"/>
      <c r="GE116" s="36"/>
      <c r="GF116" s="36"/>
      <c r="GG116" s="36"/>
      <c r="GH116" s="36"/>
      <c r="GI116" s="36"/>
      <c r="GJ116" s="36"/>
      <c r="GK116" s="36"/>
      <c r="GL116" s="36"/>
      <c r="GM116" s="36"/>
      <c r="GN116" s="36"/>
      <c r="GO116" s="36"/>
      <c r="GP116" s="36"/>
      <c r="GQ116" s="36"/>
      <c r="GR116" s="36"/>
      <c r="GS116" s="36"/>
      <c r="GT116" s="36"/>
      <c r="GU116" s="36"/>
      <c r="GV116" s="6"/>
      <c r="GW116" s="36"/>
      <c r="GX116" s="36"/>
      <c r="GY116" s="36"/>
      <c r="GZ116" s="36"/>
      <c r="HA116" s="36"/>
      <c r="HB116" s="36"/>
      <c r="HC116" s="36"/>
      <c r="HD116" s="36"/>
      <c r="HE116" s="36"/>
      <c r="HF116" s="36"/>
      <c r="HG116" s="36"/>
      <c r="HH116" s="36"/>
      <c r="HI116" s="36"/>
      <c r="HJ116" s="36"/>
      <c r="HK116" s="36"/>
      <c r="HL116" s="36"/>
      <c r="HM116" s="36"/>
      <c r="HN116" s="36"/>
      <c r="HO116" s="36"/>
      <c r="HP116" s="36"/>
      <c r="HQ116" s="36"/>
      <c r="HR116" s="36"/>
      <c r="HS116" s="36"/>
      <c r="HT116" s="36"/>
      <c r="HU116" s="36"/>
      <c r="HV116" s="36"/>
      <c r="HW116" s="36"/>
      <c r="HX116" s="36"/>
      <c r="HY116" s="36"/>
      <c r="HZ116" s="36"/>
      <c r="IA116" s="36"/>
      <c r="IB116" s="36"/>
      <c r="IC116" s="36"/>
      <c r="ID116" s="36"/>
      <c r="IE116" s="36"/>
      <c r="IF116" s="36"/>
      <c r="IG116" s="36"/>
      <c r="IH116" s="36"/>
      <c r="II116" s="36"/>
      <c r="IJ116" s="36"/>
      <c r="IK116" s="36"/>
      <c r="IL116" s="36"/>
      <c r="IM116" s="36"/>
      <c r="IN116" s="36"/>
      <c r="IO116" s="36"/>
      <c r="IP116" s="36"/>
      <c r="IR116" s="2" t="s">
        <v>543</v>
      </c>
    </row>
    <row r="117" spans="1:252" ht="15.75" customHeight="1" x14ac:dyDescent="0.25">
      <c r="A117" s="36" t="s">
        <v>683</v>
      </c>
      <c r="B117" s="36" t="s">
        <v>692</v>
      </c>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36"/>
      <c r="BN117" s="36"/>
      <c r="BO117" s="36"/>
      <c r="BP117" s="6"/>
      <c r="BQ117" s="6"/>
      <c r="BR117" s="6"/>
      <c r="BS117" s="6"/>
      <c r="BT117" s="6"/>
      <c r="BU117" s="6"/>
      <c r="BV117" s="36"/>
      <c r="BW117" s="36"/>
      <c r="BX117" s="36"/>
      <c r="BY117" s="36"/>
      <c r="BZ117" s="36"/>
      <c r="CA117" s="36"/>
      <c r="CB117" s="36"/>
      <c r="CC117" s="36"/>
      <c r="CD117" s="36"/>
      <c r="CE117" s="36"/>
      <c r="CF117" s="36"/>
      <c r="CG117" s="36"/>
      <c r="CH117" s="36"/>
      <c r="CI117" s="36"/>
      <c r="CJ117" s="36"/>
      <c r="CK117" s="36"/>
      <c r="CL117" s="36"/>
      <c r="CM117" s="36"/>
      <c r="CN117" s="36"/>
      <c r="CO117" s="36"/>
      <c r="CP117" s="36"/>
      <c r="CQ117" s="36"/>
      <c r="CR117" s="36"/>
      <c r="CS117" s="36"/>
      <c r="CT117" s="36"/>
      <c r="CU117" s="36"/>
      <c r="CV117" s="36"/>
      <c r="CW117" s="36"/>
      <c r="CX117" s="36"/>
      <c r="CY117" s="36"/>
      <c r="CZ117" s="36"/>
      <c r="DA117" s="36"/>
      <c r="DB117" s="36"/>
      <c r="DC117" s="36"/>
      <c r="DD117" s="36"/>
      <c r="DE117" s="36"/>
      <c r="DF117" s="36"/>
      <c r="DG117" s="36"/>
      <c r="DH117" s="36"/>
      <c r="DI117" s="36"/>
      <c r="DJ117" s="36"/>
      <c r="DK117" s="36"/>
      <c r="DL117" s="36"/>
      <c r="DM117" s="36"/>
      <c r="DN117" s="36"/>
      <c r="DO117" s="36"/>
      <c r="DP117" s="36"/>
      <c r="DQ117" s="36"/>
      <c r="DR117" s="36"/>
      <c r="DS117" s="36"/>
      <c r="DT117" s="36"/>
      <c r="DU117" s="36"/>
      <c r="DV117" s="36"/>
      <c r="DW117" s="36"/>
      <c r="DX117" s="36"/>
      <c r="DY117" s="36"/>
      <c r="DZ117" s="36"/>
      <c r="EA117" s="36"/>
      <c r="EB117" s="36"/>
      <c r="EC117" s="36"/>
      <c r="ED117" s="36"/>
      <c r="EE117" s="36"/>
      <c r="EF117" s="36"/>
      <c r="EG117" s="36"/>
      <c r="EH117" s="36"/>
      <c r="EI117" s="36"/>
      <c r="EJ117" s="36"/>
      <c r="EK117" s="36"/>
      <c r="EL117" s="36"/>
      <c r="EM117" s="36"/>
      <c r="EN117" s="36"/>
      <c r="EO117" s="36"/>
      <c r="EP117" s="36"/>
      <c r="EQ117" s="36"/>
      <c r="ER117" s="36"/>
      <c r="ES117" s="36"/>
      <c r="ET117" s="36"/>
      <c r="EU117" s="36"/>
      <c r="EV117" s="36"/>
      <c r="EW117" s="36"/>
      <c r="EX117" s="36"/>
      <c r="EY117" s="36"/>
      <c r="EZ117" s="36"/>
      <c r="FA117" s="36"/>
      <c r="FB117" s="36"/>
      <c r="FC117" s="36"/>
      <c r="FD117" s="36"/>
      <c r="FE117" s="36"/>
      <c r="FF117" s="36"/>
      <c r="FG117" s="36"/>
      <c r="FH117" s="36"/>
      <c r="FI117" s="36"/>
      <c r="FJ117" s="36"/>
      <c r="FK117" s="36"/>
      <c r="FL117" s="36"/>
      <c r="FM117" s="36"/>
      <c r="FN117" s="36"/>
      <c r="FO117" s="36"/>
      <c r="FP117" s="36"/>
      <c r="FQ117" s="36"/>
      <c r="FR117" s="36"/>
      <c r="FS117" s="36"/>
      <c r="FT117" s="36"/>
      <c r="FU117" s="36"/>
      <c r="FV117" s="36"/>
      <c r="FW117" s="36"/>
      <c r="FX117" s="36"/>
      <c r="FY117" s="36"/>
      <c r="FZ117" s="36"/>
      <c r="GA117" s="6"/>
      <c r="GB117" s="6"/>
      <c r="GC117" s="36"/>
      <c r="GD117" s="36"/>
      <c r="GE117" s="36"/>
      <c r="GF117" s="36"/>
      <c r="GG117" s="36"/>
      <c r="GH117" s="36"/>
      <c r="GI117" s="36"/>
      <c r="GJ117" s="36"/>
      <c r="GK117" s="36"/>
      <c r="GL117" s="36"/>
      <c r="GM117" s="36"/>
      <c r="GN117" s="36"/>
      <c r="GO117" s="36"/>
      <c r="GP117" s="36"/>
      <c r="GQ117" s="36"/>
      <c r="GR117" s="36"/>
      <c r="GS117" s="36"/>
      <c r="GT117" s="36"/>
      <c r="GU117" s="36"/>
      <c r="GV117" s="6"/>
      <c r="GW117" s="36"/>
      <c r="GX117" s="36"/>
      <c r="GY117" s="36"/>
      <c r="GZ117" s="36"/>
      <c r="HA117" s="36"/>
      <c r="HB117" s="36"/>
      <c r="HC117" s="36"/>
      <c r="HD117" s="36"/>
      <c r="HE117" s="36"/>
      <c r="HF117" s="36"/>
      <c r="HG117" s="36"/>
      <c r="HH117" s="36"/>
      <c r="HI117" s="36"/>
      <c r="HJ117" s="36"/>
      <c r="HK117" s="36"/>
      <c r="HL117" s="36"/>
      <c r="HM117" s="36"/>
      <c r="HN117" s="36"/>
      <c r="HO117" s="36"/>
      <c r="HP117" s="36"/>
      <c r="HQ117" s="36"/>
      <c r="HR117" s="36"/>
      <c r="HS117" s="36"/>
      <c r="HT117" s="36"/>
      <c r="HU117" s="36"/>
      <c r="HV117" s="36"/>
      <c r="HW117" s="36"/>
      <c r="HX117" s="36"/>
      <c r="HY117" s="36"/>
      <c r="HZ117" s="36"/>
      <c r="IA117" s="36"/>
      <c r="IB117" s="36">
        <v>48</v>
      </c>
      <c r="IC117" s="36"/>
      <c r="ID117" s="36"/>
      <c r="IE117" s="36"/>
      <c r="IF117" s="36"/>
      <c r="IG117" s="36"/>
      <c r="IH117" s="36"/>
      <c r="II117" s="36"/>
      <c r="IJ117" s="36"/>
      <c r="IK117" s="36"/>
      <c r="IL117" s="36"/>
      <c r="IM117" s="36"/>
      <c r="IN117" s="36"/>
      <c r="IO117" s="36"/>
      <c r="IP117" s="36"/>
      <c r="IR117" s="2" t="s">
        <v>543</v>
      </c>
    </row>
    <row r="118" spans="1:252" ht="15.75" customHeight="1" x14ac:dyDescent="0.25">
      <c r="A118" s="36" t="s">
        <v>683</v>
      </c>
      <c r="B118" s="36" t="s">
        <v>695</v>
      </c>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36"/>
      <c r="BN118" s="36"/>
      <c r="BO118" s="36"/>
      <c r="BP118" s="6"/>
      <c r="BQ118" s="6"/>
      <c r="BR118" s="6"/>
      <c r="BS118" s="6"/>
      <c r="BT118" s="6"/>
      <c r="BU118" s="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c r="DI118" s="36"/>
      <c r="DJ118" s="36"/>
      <c r="DK118" s="36"/>
      <c r="DL118" s="36"/>
      <c r="DM118" s="36"/>
      <c r="DN118" s="36"/>
      <c r="DO118" s="36"/>
      <c r="DP118" s="36"/>
      <c r="DQ118" s="36"/>
      <c r="DR118" s="36"/>
      <c r="DS118" s="36"/>
      <c r="DT118" s="36"/>
      <c r="DU118" s="36"/>
      <c r="DV118" s="36"/>
      <c r="DW118" s="36"/>
      <c r="DX118" s="36"/>
      <c r="DY118" s="36"/>
      <c r="DZ118" s="36"/>
      <c r="EA118" s="36"/>
      <c r="EB118" s="36"/>
      <c r="EC118" s="36"/>
      <c r="ED118" s="36"/>
      <c r="EE118" s="36"/>
      <c r="EF118" s="36"/>
      <c r="EG118" s="36"/>
      <c r="EH118" s="36"/>
      <c r="EI118" s="36"/>
      <c r="EJ118" s="36"/>
      <c r="EK118" s="36"/>
      <c r="EL118" s="36"/>
      <c r="EM118" s="36"/>
      <c r="EN118" s="36">
        <v>77</v>
      </c>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6"/>
      <c r="GB118" s="6"/>
      <c r="GC118" s="36"/>
      <c r="GD118" s="36"/>
      <c r="GE118" s="36"/>
      <c r="GF118" s="36"/>
      <c r="GG118" s="36"/>
      <c r="GH118" s="36"/>
      <c r="GI118" s="36"/>
      <c r="GJ118" s="36"/>
      <c r="GK118" s="36"/>
      <c r="GL118" s="36"/>
      <c r="GM118" s="36"/>
      <c r="GN118" s="36"/>
      <c r="GO118" s="36"/>
      <c r="GP118" s="36"/>
      <c r="GQ118" s="36"/>
      <c r="GR118" s="36"/>
      <c r="GS118" s="36"/>
      <c r="GT118" s="36"/>
      <c r="GU118" s="36"/>
      <c r="GV118" s="6"/>
      <c r="GW118" s="36"/>
      <c r="GX118" s="36"/>
      <c r="GY118" s="36"/>
      <c r="GZ118" s="36"/>
      <c r="HA118" s="36"/>
      <c r="HB118" s="36"/>
      <c r="HC118" s="36"/>
      <c r="HD118" s="36"/>
      <c r="HE118" s="36"/>
      <c r="HF118" s="36"/>
      <c r="HG118" s="36"/>
      <c r="HH118" s="36"/>
      <c r="HI118" s="36"/>
      <c r="HJ118" s="36"/>
      <c r="HK118" s="36"/>
      <c r="HL118" s="36"/>
      <c r="HM118" s="36"/>
      <c r="HN118" s="36"/>
      <c r="HO118" s="36"/>
      <c r="HP118" s="36"/>
      <c r="HQ118" s="36"/>
      <c r="HR118" s="36"/>
      <c r="HS118" s="36"/>
      <c r="HT118" s="36"/>
      <c r="HU118" s="36"/>
      <c r="HV118" s="36"/>
      <c r="HW118" s="36"/>
      <c r="HX118" s="36"/>
      <c r="HY118" s="36"/>
      <c r="HZ118" s="36"/>
      <c r="IA118" s="36"/>
      <c r="IB118" s="36"/>
      <c r="IC118" s="36"/>
      <c r="ID118" s="36"/>
      <c r="IE118" s="36"/>
      <c r="IF118" s="36"/>
      <c r="IG118" s="36"/>
      <c r="IH118" s="36"/>
      <c r="II118" s="36"/>
      <c r="IJ118" s="36"/>
      <c r="IK118" s="36"/>
      <c r="IL118" s="36"/>
      <c r="IM118" s="36"/>
      <c r="IN118" s="36"/>
      <c r="IO118" s="36"/>
      <c r="IP118" s="36"/>
      <c r="IR118" s="2" t="s">
        <v>543</v>
      </c>
    </row>
    <row r="119" spans="1:252" ht="15.75" customHeight="1" x14ac:dyDescent="0.25">
      <c r="A119" s="36" t="s">
        <v>683</v>
      </c>
      <c r="B119" s="36" t="s">
        <v>699</v>
      </c>
      <c r="C119" s="36"/>
      <c r="D119" s="36"/>
      <c r="E119" s="36"/>
      <c r="F119" s="36"/>
      <c r="G119" s="36"/>
      <c r="H119" s="36"/>
      <c r="I119" s="36"/>
      <c r="J119" s="36"/>
      <c r="K119" s="36"/>
      <c r="L119" s="36">
        <v>10</v>
      </c>
      <c r="M119" s="36"/>
      <c r="N119" s="36"/>
      <c r="O119" s="36"/>
      <c r="P119" s="36"/>
      <c r="Q119" s="36"/>
      <c r="R119" s="36"/>
      <c r="S119" s="36"/>
      <c r="T119" s="36"/>
      <c r="U119" s="36"/>
      <c r="V119" s="36"/>
      <c r="W119" s="36"/>
      <c r="X119" s="212">
        <v>25</v>
      </c>
      <c r="Y119" s="212"/>
      <c r="Z119" s="212"/>
      <c r="AA119" s="212"/>
      <c r="AB119" s="212"/>
      <c r="AC119" s="36"/>
      <c r="AD119" s="36"/>
      <c r="AE119" s="36"/>
      <c r="AF119" s="36"/>
      <c r="AG119" s="36"/>
      <c r="AH119" s="36"/>
      <c r="AI119" s="36"/>
      <c r="AJ119" s="80">
        <v>20</v>
      </c>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36"/>
      <c r="BN119" s="36"/>
      <c r="BO119" s="36"/>
      <c r="BP119" s="6"/>
      <c r="BQ119" s="6"/>
      <c r="BR119" s="6"/>
      <c r="BS119" s="6"/>
      <c r="BT119" s="6"/>
      <c r="BU119" s="6"/>
      <c r="BV119" s="36"/>
      <c r="BW119" s="36"/>
      <c r="BX119" s="36"/>
      <c r="BY119" s="36"/>
      <c r="BZ119" s="36"/>
      <c r="CA119" s="36"/>
      <c r="CB119" s="36"/>
      <c r="CC119" s="36"/>
      <c r="CD119" s="36"/>
      <c r="CE119" s="36"/>
      <c r="CF119" s="36"/>
      <c r="CG119" s="36"/>
      <c r="CH119" s="36"/>
      <c r="CI119" s="36"/>
      <c r="CJ119" s="36"/>
      <c r="CK119" s="36"/>
      <c r="CL119" s="36"/>
      <c r="CM119" s="36"/>
      <c r="CN119" s="36"/>
      <c r="CO119" s="36"/>
      <c r="CP119" s="36"/>
      <c r="CQ119" s="36"/>
      <c r="CR119" s="36"/>
      <c r="CS119" s="36">
        <v>6</v>
      </c>
      <c r="CT119" s="36"/>
      <c r="CU119" s="36"/>
      <c r="CV119" s="36"/>
      <c r="CW119" s="36"/>
      <c r="CX119" s="36"/>
      <c r="CY119" s="36"/>
      <c r="CZ119" s="36"/>
      <c r="DA119" s="36"/>
      <c r="DB119" s="36"/>
      <c r="DC119" s="36"/>
      <c r="DD119" s="36"/>
      <c r="DE119" s="36"/>
      <c r="DF119" s="36"/>
      <c r="DG119" s="36"/>
      <c r="DH119" s="36"/>
      <c r="DI119" s="36"/>
      <c r="DJ119" s="36"/>
      <c r="DK119" s="36"/>
      <c r="DL119" s="36"/>
      <c r="DM119" s="36"/>
      <c r="DN119" s="36">
        <v>6</v>
      </c>
      <c r="DO119" s="36"/>
      <c r="DP119" s="36"/>
      <c r="DQ119" s="36"/>
      <c r="DR119" s="36"/>
      <c r="DS119" s="36"/>
      <c r="DT119" s="36"/>
      <c r="DU119" s="36"/>
      <c r="DV119" s="36"/>
      <c r="DW119" s="36"/>
      <c r="DX119" s="36"/>
      <c r="DY119" s="36"/>
      <c r="DZ119" s="36"/>
      <c r="EA119" s="36"/>
      <c r="EB119" s="36"/>
      <c r="EC119" s="36"/>
      <c r="ED119" s="36"/>
      <c r="EE119" s="36"/>
      <c r="EF119" s="36"/>
      <c r="EG119" s="36"/>
      <c r="EH119" s="36"/>
      <c r="EI119" s="36"/>
      <c r="EJ119" s="36"/>
      <c r="EK119" s="36">
        <v>8</v>
      </c>
      <c r="EL119" s="36"/>
      <c r="EM119" s="36"/>
      <c r="EN119" s="36"/>
      <c r="EO119" s="36"/>
      <c r="EP119" s="36"/>
      <c r="EQ119" s="36"/>
      <c r="ER119" s="36"/>
      <c r="ES119" s="36"/>
      <c r="ET119" s="36"/>
      <c r="EU119" s="36"/>
      <c r="EV119" s="36"/>
      <c r="EW119" s="36"/>
      <c r="EX119" s="36"/>
      <c r="EY119" s="36"/>
      <c r="EZ119" s="36"/>
      <c r="FA119" s="36"/>
      <c r="FB119" s="36"/>
      <c r="FC119" s="36"/>
      <c r="FD119" s="36"/>
      <c r="FE119" s="36"/>
      <c r="FF119" s="36"/>
      <c r="FG119" s="36"/>
      <c r="FH119" s="36"/>
      <c r="FI119" s="36"/>
      <c r="FJ119" s="36"/>
      <c r="FK119" s="36"/>
      <c r="FL119" s="36"/>
      <c r="FM119" s="36"/>
      <c r="FN119" s="36"/>
      <c r="FO119" s="36"/>
      <c r="FP119" s="36"/>
      <c r="FQ119" s="36"/>
      <c r="FR119" s="36"/>
      <c r="FS119" s="36"/>
      <c r="FT119" s="36"/>
      <c r="FU119" s="36"/>
      <c r="FV119" s="36"/>
      <c r="FW119" s="36"/>
      <c r="FX119" s="36"/>
      <c r="FY119" s="36"/>
      <c r="FZ119" s="36"/>
      <c r="GA119" s="6">
        <v>250</v>
      </c>
      <c r="GB119" s="6">
        <v>250</v>
      </c>
      <c r="GC119" s="36"/>
      <c r="GD119" s="36"/>
      <c r="GE119" s="36"/>
      <c r="GF119" s="36"/>
      <c r="GG119" s="36"/>
      <c r="GH119" s="36"/>
      <c r="GI119" s="36"/>
      <c r="GJ119" s="36"/>
      <c r="GK119" s="36"/>
      <c r="GL119" s="36"/>
      <c r="GM119" s="36"/>
      <c r="GN119" s="36"/>
      <c r="GO119" s="36"/>
      <c r="GP119" s="36"/>
      <c r="GQ119" s="36"/>
      <c r="GR119" s="36"/>
      <c r="GS119" s="36"/>
      <c r="GT119" s="36"/>
      <c r="GU119" s="36"/>
      <c r="GV119" s="6"/>
      <c r="GW119" s="36"/>
      <c r="GX119" s="36"/>
      <c r="GY119" s="36"/>
      <c r="GZ119" s="36"/>
      <c r="HA119" s="36"/>
      <c r="HB119" s="36"/>
      <c r="HC119" s="36"/>
      <c r="HD119" s="36"/>
      <c r="HE119" s="36"/>
      <c r="HF119" s="36"/>
      <c r="HG119" s="36"/>
      <c r="HH119" s="36"/>
      <c r="HI119" s="36"/>
      <c r="HJ119" s="36"/>
      <c r="HK119" s="36"/>
      <c r="HL119" s="36"/>
      <c r="HM119" s="36"/>
      <c r="HN119" s="36"/>
      <c r="HO119" s="36"/>
      <c r="HP119" s="36"/>
      <c r="HQ119" s="36"/>
      <c r="HR119" s="36"/>
      <c r="HS119" s="36"/>
      <c r="HT119" s="36"/>
      <c r="HU119" s="36"/>
      <c r="HV119" s="36"/>
      <c r="HW119" s="36"/>
      <c r="HX119" s="36"/>
      <c r="HY119" s="36"/>
      <c r="HZ119" s="36"/>
      <c r="IA119" s="36"/>
      <c r="IB119" s="36"/>
      <c r="IC119" s="36"/>
      <c r="ID119" s="36"/>
      <c r="IE119" s="36"/>
      <c r="IF119" s="36"/>
      <c r="IG119" s="36"/>
      <c r="IH119" s="36"/>
      <c r="II119" s="36"/>
      <c r="IJ119" s="36"/>
      <c r="IK119" s="36"/>
      <c r="IL119" s="36"/>
      <c r="IM119" s="36"/>
      <c r="IN119" s="36"/>
      <c r="IO119" s="36"/>
      <c r="IP119" s="36"/>
      <c r="IR119" s="2" t="s">
        <v>543</v>
      </c>
    </row>
    <row r="120" spans="1:252" ht="15.75" customHeight="1" x14ac:dyDescent="0.25">
      <c r="A120" s="36" t="s">
        <v>683</v>
      </c>
      <c r="B120" s="36" t="s">
        <v>703</v>
      </c>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80">
        <v>10</v>
      </c>
      <c r="AS120" s="36"/>
      <c r="AT120" s="36"/>
      <c r="AU120" s="36">
        <v>5</v>
      </c>
      <c r="AV120" s="36"/>
      <c r="AW120" s="36"/>
      <c r="AX120" s="36"/>
      <c r="AY120" s="36"/>
      <c r="AZ120" s="36"/>
      <c r="BA120" s="36"/>
      <c r="BB120" s="36"/>
      <c r="BC120" s="36"/>
      <c r="BD120" s="36"/>
      <c r="BE120" s="36"/>
      <c r="BF120" s="36"/>
      <c r="BG120" s="36"/>
      <c r="BH120" s="36"/>
      <c r="BI120" s="36"/>
      <c r="BJ120" s="36"/>
      <c r="BK120" s="36"/>
      <c r="BL120" s="36"/>
      <c r="BM120" s="36"/>
      <c r="BN120" s="36"/>
      <c r="BO120" s="36"/>
      <c r="BP120" s="6"/>
      <c r="BQ120" s="6"/>
      <c r="BR120" s="6"/>
      <c r="BS120" s="6"/>
      <c r="BT120" s="6"/>
      <c r="BU120" s="6"/>
      <c r="BV120" s="36"/>
      <c r="BW120" s="36"/>
      <c r="BX120" s="36"/>
      <c r="BY120" s="36"/>
      <c r="BZ120" s="36"/>
      <c r="CA120" s="36"/>
      <c r="CB120" s="36"/>
      <c r="CC120" s="36"/>
      <c r="CD120" s="36"/>
      <c r="CE120" s="36"/>
      <c r="CF120" s="36"/>
      <c r="CG120" s="36"/>
      <c r="CH120" s="36"/>
      <c r="CI120" s="36"/>
      <c r="CJ120" s="36"/>
      <c r="CK120" s="36"/>
      <c r="CL120" s="36"/>
      <c r="CM120" s="36"/>
      <c r="CN120" s="36"/>
      <c r="CO120" s="36"/>
      <c r="CP120" s="36"/>
      <c r="CQ120" s="36"/>
      <c r="CR120" s="36"/>
      <c r="CS120" s="36"/>
      <c r="CT120" s="36"/>
      <c r="CU120" s="36"/>
      <c r="CV120" s="36"/>
      <c r="CW120" s="36"/>
      <c r="CX120" s="36"/>
      <c r="CY120" s="36"/>
      <c r="CZ120" s="36"/>
      <c r="DA120" s="36"/>
      <c r="DB120" s="36"/>
      <c r="DC120" s="36"/>
      <c r="DD120" s="36"/>
      <c r="DE120" s="36"/>
      <c r="DF120" s="36"/>
      <c r="DG120" s="36"/>
      <c r="DH120" s="36"/>
      <c r="DI120" s="36"/>
      <c r="DJ120" s="36"/>
      <c r="DK120" s="36"/>
      <c r="DL120" s="36"/>
      <c r="DM120" s="36"/>
      <c r="DN120" s="36"/>
      <c r="DO120" s="36"/>
      <c r="DP120" s="36"/>
      <c r="DQ120" s="36"/>
      <c r="DR120" s="36"/>
      <c r="DS120" s="36"/>
      <c r="DT120" s="36"/>
      <c r="DU120" s="36"/>
      <c r="DV120" s="36"/>
      <c r="DW120" s="36"/>
      <c r="DX120" s="36"/>
      <c r="DY120" s="36"/>
      <c r="DZ120" s="36"/>
      <c r="EA120" s="36"/>
      <c r="EB120" s="36"/>
      <c r="EC120" s="36"/>
      <c r="ED120" s="36"/>
      <c r="EE120" s="36"/>
      <c r="EF120" s="36"/>
      <c r="EG120" s="36"/>
      <c r="EH120" s="36"/>
      <c r="EI120" s="36"/>
      <c r="EJ120" s="36"/>
      <c r="EK120" s="36"/>
      <c r="EL120" s="36"/>
      <c r="EM120" s="36"/>
      <c r="EN120" s="36"/>
      <c r="EO120" s="36"/>
      <c r="EP120" s="36">
        <v>10</v>
      </c>
      <c r="EQ120" s="36"/>
      <c r="ER120" s="36"/>
      <c r="ES120" s="36"/>
      <c r="ET120" s="36"/>
      <c r="EU120" s="36"/>
      <c r="EV120" s="36"/>
      <c r="EW120" s="36"/>
      <c r="EX120" s="36"/>
      <c r="EY120" s="36"/>
      <c r="EZ120" s="36"/>
      <c r="FA120" s="36"/>
      <c r="FB120" s="36"/>
      <c r="FC120" s="36"/>
      <c r="FD120" s="36"/>
      <c r="FE120" s="36"/>
      <c r="FF120" s="36"/>
      <c r="FG120" s="36"/>
      <c r="FH120" s="36"/>
      <c r="FI120" s="36"/>
      <c r="FJ120" s="36"/>
      <c r="FK120" s="36"/>
      <c r="FL120" s="36"/>
      <c r="FM120" s="36"/>
      <c r="FN120" s="36"/>
      <c r="FO120" s="36"/>
      <c r="FP120" s="36"/>
      <c r="FQ120" s="36"/>
      <c r="FR120" s="36"/>
      <c r="FS120" s="36"/>
      <c r="FT120" s="36"/>
      <c r="FU120" s="36"/>
      <c r="FV120" s="36"/>
      <c r="FW120" s="36"/>
      <c r="FX120" s="36"/>
      <c r="FY120" s="36"/>
      <c r="FZ120" s="36"/>
      <c r="GA120" s="6"/>
      <c r="GB120" s="6">
        <v>175</v>
      </c>
      <c r="GC120" s="36"/>
      <c r="GD120" s="36"/>
      <c r="GE120" s="36"/>
      <c r="GF120" s="36"/>
      <c r="GG120" s="36"/>
      <c r="GH120" s="36"/>
      <c r="GI120" s="36"/>
      <c r="GJ120" s="36"/>
      <c r="GK120" s="36"/>
      <c r="GL120" s="36"/>
      <c r="GM120" s="36"/>
      <c r="GN120" s="36"/>
      <c r="GO120" s="36"/>
      <c r="GP120" s="36"/>
      <c r="GQ120" s="36"/>
      <c r="GR120" s="36"/>
      <c r="GS120" s="36"/>
      <c r="GT120" s="36"/>
      <c r="GU120" s="36"/>
      <c r="GV120" s="6"/>
      <c r="GW120" s="36"/>
      <c r="GX120" s="36"/>
      <c r="GY120" s="36"/>
      <c r="GZ120" s="36"/>
      <c r="HA120" s="36"/>
      <c r="HB120" s="36"/>
      <c r="HC120" s="36"/>
      <c r="HD120" s="36"/>
      <c r="HE120" s="36"/>
      <c r="HF120" s="36"/>
      <c r="HG120" s="36"/>
      <c r="HH120" s="36"/>
      <c r="HI120" s="36"/>
      <c r="HJ120" s="36"/>
      <c r="HK120" s="36"/>
      <c r="HL120" s="36"/>
      <c r="HM120" s="36"/>
      <c r="HN120" s="36"/>
      <c r="HO120" s="36"/>
      <c r="HP120" s="36"/>
      <c r="HQ120" s="36"/>
      <c r="HR120" s="36"/>
      <c r="HS120" s="36"/>
      <c r="HT120" s="36"/>
      <c r="HU120" s="36"/>
      <c r="HV120" s="36"/>
      <c r="HW120" s="36"/>
      <c r="HX120" s="36"/>
      <c r="HY120" s="36"/>
      <c r="HZ120" s="36"/>
      <c r="IA120" s="36"/>
      <c r="IB120" s="36"/>
      <c r="IC120" s="36"/>
      <c r="ID120" s="36"/>
      <c r="IE120" s="36"/>
      <c r="IF120" s="36"/>
      <c r="IG120" s="36"/>
      <c r="IH120" s="36"/>
      <c r="II120" s="36"/>
      <c r="IJ120" s="36"/>
      <c r="IK120" s="36"/>
      <c r="IL120" s="36"/>
      <c r="IM120" s="36"/>
      <c r="IN120" s="36"/>
      <c r="IO120" s="36"/>
      <c r="IP120" s="36"/>
      <c r="IR120" s="2" t="s">
        <v>543</v>
      </c>
    </row>
    <row r="121" spans="1:252" ht="15.75" customHeight="1" x14ac:dyDescent="0.25">
      <c r="A121" s="36" t="s">
        <v>683</v>
      </c>
      <c r="B121" s="36" t="s">
        <v>705</v>
      </c>
      <c r="C121" s="36"/>
      <c r="D121" s="36">
        <v>20</v>
      </c>
      <c r="E121" s="36"/>
      <c r="F121" s="36"/>
      <c r="G121" s="36"/>
      <c r="H121" s="36"/>
      <c r="I121" s="36"/>
      <c r="J121" s="36"/>
      <c r="K121" s="36"/>
      <c r="L121" s="36">
        <v>10</v>
      </c>
      <c r="M121" s="36"/>
      <c r="N121" s="36"/>
      <c r="O121" s="36">
        <v>20</v>
      </c>
      <c r="P121" s="36"/>
      <c r="Q121" s="36"/>
      <c r="R121" s="36"/>
      <c r="S121" s="36"/>
      <c r="T121" s="36"/>
      <c r="U121" s="36"/>
      <c r="V121" s="36"/>
      <c r="W121" s="36"/>
      <c r="X121" s="212">
        <v>10</v>
      </c>
      <c r="Y121" s="212"/>
      <c r="Z121" s="212"/>
      <c r="AA121" s="212"/>
      <c r="AB121" s="212"/>
      <c r="AC121" s="36"/>
      <c r="AD121" s="36"/>
      <c r="AE121" s="36"/>
      <c r="AF121" s="36"/>
      <c r="AG121" s="36"/>
      <c r="AH121" s="36"/>
      <c r="AI121" s="36"/>
      <c r="AJ121" s="36"/>
      <c r="AK121" s="36"/>
      <c r="AL121" s="36"/>
      <c r="AM121" s="36"/>
      <c r="AN121" s="36"/>
      <c r="AO121" s="36"/>
      <c r="AP121" s="36">
        <v>15</v>
      </c>
      <c r="AQ121" s="36"/>
      <c r="AR121" s="80">
        <v>10</v>
      </c>
      <c r="AS121" s="36"/>
      <c r="AT121" s="36">
        <v>5</v>
      </c>
      <c r="AU121" s="36"/>
      <c r="AV121" s="36"/>
      <c r="AW121" s="36"/>
      <c r="AX121" s="36"/>
      <c r="AY121" s="36"/>
      <c r="AZ121" s="36"/>
      <c r="BA121" s="36"/>
      <c r="BB121" s="36"/>
      <c r="BC121" s="36"/>
      <c r="BD121" s="36"/>
      <c r="BE121" s="36"/>
      <c r="BF121" s="36"/>
      <c r="BG121" s="36"/>
      <c r="BH121" s="36"/>
      <c r="BI121" s="36"/>
      <c r="BJ121" s="36"/>
      <c r="BK121" s="36"/>
      <c r="BL121" s="36"/>
      <c r="BM121" s="36"/>
      <c r="BN121" s="36"/>
      <c r="BO121" s="36"/>
      <c r="BP121" s="6"/>
      <c r="BQ121" s="6"/>
      <c r="BR121" s="6"/>
      <c r="BS121" s="6"/>
      <c r="BT121" s="6"/>
      <c r="BU121" s="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c r="DI121" s="36"/>
      <c r="DJ121" s="36"/>
      <c r="DK121" s="36"/>
      <c r="DL121" s="36"/>
      <c r="DM121" s="36"/>
      <c r="DN121" s="36">
        <v>16</v>
      </c>
      <c r="DO121" s="36"/>
      <c r="DP121" s="36"/>
      <c r="DQ121" s="36"/>
      <c r="DR121" s="36"/>
      <c r="DS121" s="36"/>
      <c r="DT121" s="36"/>
      <c r="DU121" s="36"/>
      <c r="DV121" s="36"/>
      <c r="DW121" s="36"/>
      <c r="DX121" s="36"/>
      <c r="DY121" s="36"/>
      <c r="DZ121" s="36"/>
      <c r="EA121" s="36"/>
      <c r="EB121" s="36"/>
      <c r="EC121" s="36"/>
      <c r="ED121" s="36"/>
      <c r="EE121" s="36"/>
      <c r="EF121" s="36"/>
      <c r="EG121" s="36"/>
      <c r="EH121" s="36"/>
      <c r="EI121" s="36"/>
      <c r="EJ121" s="36"/>
      <c r="EK121" s="36">
        <v>17</v>
      </c>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6">
        <v>200</v>
      </c>
      <c r="GB121" s="6">
        <v>400</v>
      </c>
      <c r="GC121" s="36"/>
      <c r="GD121" s="36"/>
      <c r="GE121" s="36"/>
      <c r="GF121" s="36"/>
      <c r="GG121" s="36"/>
      <c r="GH121" s="36"/>
      <c r="GI121" s="36"/>
      <c r="GJ121" s="36"/>
      <c r="GK121" s="36"/>
      <c r="GL121" s="36"/>
      <c r="GM121" s="36"/>
      <c r="GN121" s="36">
        <v>300</v>
      </c>
      <c r="GO121" s="36"/>
      <c r="GP121" s="36"/>
      <c r="GQ121" s="36"/>
      <c r="GR121" s="36"/>
      <c r="GS121" s="36"/>
      <c r="GT121" s="36"/>
      <c r="GU121" s="36"/>
      <c r="GV121" s="6"/>
      <c r="GW121" s="36"/>
      <c r="GX121" s="36"/>
      <c r="GY121" s="36"/>
      <c r="GZ121" s="36"/>
      <c r="HA121" s="36"/>
      <c r="HB121" s="36"/>
      <c r="HC121" s="36"/>
      <c r="HD121" s="36"/>
      <c r="HE121" s="36"/>
      <c r="HF121" s="36"/>
      <c r="HG121" s="36"/>
      <c r="HH121" s="36"/>
      <c r="HI121" s="36"/>
      <c r="HJ121" s="36"/>
      <c r="HK121" s="36"/>
      <c r="HL121" s="36"/>
      <c r="HM121" s="36"/>
      <c r="HN121" s="36"/>
      <c r="HO121" s="36"/>
      <c r="HP121" s="36"/>
      <c r="HQ121" s="36"/>
      <c r="HR121" s="36"/>
      <c r="HS121" s="36"/>
      <c r="HT121" s="36"/>
      <c r="HU121" s="36"/>
      <c r="HV121" s="36"/>
      <c r="HW121" s="36"/>
      <c r="HX121" s="36">
        <v>120</v>
      </c>
      <c r="HY121" s="36">
        <v>5</v>
      </c>
      <c r="HZ121" s="36"/>
      <c r="IA121" s="36"/>
      <c r="IB121" s="36"/>
      <c r="IC121" s="36"/>
      <c r="ID121" s="36"/>
      <c r="IE121" s="36"/>
      <c r="IF121" s="36"/>
      <c r="IG121" s="36"/>
      <c r="IH121" s="36"/>
      <c r="II121" s="36"/>
      <c r="IJ121" s="36"/>
      <c r="IK121" s="36"/>
      <c r="IL121" s="36"/>
      <c r="IM121" s="36"/>
      <c r="IN121" s="36"/>
      <c r="IO121" s="36"/>
      <c r="IP121" s="36"/>
      <c r="IR121" s="2" t="s">
        <v>543</v>
      </c>
    </row>
    <row r="122" spans="1:252" ht="15.75" customHeight="1" x14ac:dyDescent="0.25">
      <c r="A122" s="36" t="s">
        <v>706</v>
      </c>
      <c r="B122" s="36" t="s">
        <v>707</v>
      </c>
      <c r="C122" s="36"/>
      <c r="D122" s="36"/>
      <c r="E122" s="36"/>
      <c r="F122" s="36"/>
      <c r="G122" s="36"/>
      <c r="H122" s="36"/>
      <c r="I122" s="36"/>
      <c r="J122" s="36"/>
      <c r="K122" s="36"/>
      <c r="L122" s="36"/>
      <c r="M122" s="36"/>
      <c r="N122" s="36"/>
      <c r="O122" s="36">
        <v>155</v>
      </c>
      <c r="P122" s="36"/>
      <c r="Q122" s="36"/>
      <c r="R122" s="36"/>
      <c r="S122" s="36"/>
      <c r="T122" s="36"/>
      <c r="U122" s="36"/>
      <c r="V122" s="36"/>
      <c r="W122" s="36"/>
      <c r="X122" s="212">
        <v>25</v>
      </c>
      <c r="Y122" s="212"/>
      <c r="Z122" s="212"/>
      <c r="AA122" s="212"/>
      <c r="AB122" s="212"/>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36"/>
      <c r="BN122" s="36"/>
      <c r="BO122" s="36"/>
      <c r="BP122" s="6"/>
      <c r="BQ122" s="6"/>
      <c r="BR122" s="6"/>
      <c r="BS122" s="6"/>
      <c r="BT122" s="6"/>
      <c r="BU122" s="6"/>
      <c r="BV122" s="36"/>
      <c r="BW122" s="36"/>
      <c r="BX122" s="36"/>
      <c r="BY122" s="36"/>
      <c r="BZ122" s="36"/>
      <c r="CA122" s="36"/>
      <c r="CB122" s="36"/>
      <c r="CC122" s="36"/>
      <c r="CD122" s="36"/>
      <c r="CE122" s="36"/>
      <c r="CF122" s="36"/>
      <c r="CG122" s="36"/>
      <c r="CH122" s="36"/>
      <c r="CI122" s="36"/>
      <c r="CJ122" s="36"/>
      <c r="CK122" s="36"/>
      <c r="CL122" s="36"/>
      <c r="CM122" s="36"/>
      <c r="CN122" s="36"/>
      <c r="CO122" s="36"/>
      <c r="CP122" s="36"/>
      <c r="CQ122" s="36"/>
      <c r="CR122" s="36"/>
      <c r="CS122" s="36"/>
      <c r="CT122" s="36"/>
      <c r="CU122" s="36"/>
      <c r="CV122" s="36"/>
      <c r="CW122" s="36"/>
      <c r="CX122" s="36"/>
      <c r="CY122" s="36"/>
      <c r="CZ122" s="36"/>
      <c r="DA122" s="36"/>
      <c r="DB122" s="36"/>
      <c r="DC122" s="36"/>
      <c r="DD122" s="36"/>
      <c r="DE122" s="36"/>
      <c r="DF122" s="36"/>
      <c r="DG122" s="36"/>
      <c r="DH122" s="36"/>
      <c r="DI122" s="36"/>
      <c r="DJ122" s="36"/>
      <c r="DK122" s="36"/>
      <c r="DL122" s="36"/>
      <c r="DM122" s="36"/>
      <c r="DN122" s="36"/>
      <c r="DO122" s="36"/>
      <c r="DP122" s="36"/>
      <c r="DQ122" s="36"/>
      <c r="DR122" s="36"/>
      <c r="DS122" s="36"/>
      <c r="DT122" s="36"/>
      <c r="DU122" s="36"/>
      <c r="DV122" s="36"/>
      <c r="DW122" s="36"/>
      <c r="DX122" s="36"/>
      <c r="DY122" s="36"/>
      <c r="DZ122" s="36"/>
      <c r="EA122" s="36"/>
      <c r="EB122" s="36"/>
      <c r="EC122" s="36"/>
      <c r="ED122" s="36"/>
      <c r="EE122" s="36"/>
      <c r="EF122" s="36"/>
      <c r="EG122" s="36"/>
      <c r="EH122" s="36"/>
      <c r="EI122" s="36"/>
      <c r="EJ122" s="36"/>
      <c r="EK122" s="36"/>
      <c r="EL122" s="36"/>
      <c r="EM122" s="36"/>
      <c r="EN122" s="36"/>
      <c r="EO122" s="36"/>
      <c r="EP122" s="36"/>
      <c r="EQ122" s="36">
        <v>20</v>
      </c>
      <c r="ER122" s="36"/>
      <c r="ES122" s="36"/>
      <c r="ET122" s="36"/>
      <c r="EU122" s="36"/>
      <c r="EV122" s="36"/>
      <c r="EW122" s="36"/>
      <c r="EX122" s="36"/>
      <c r="EY122" s="36"/>
      <c r="EZ122" s="36"/>
      <c r="FA122" s="36"/>
      <c r="FB122" s="36"/>
      <c r="FC122" s="36"/>
      <c r="FD122" s="36"/>
      <c r="FE122" s="36"/>
      <c r="FF122" s="36"/>
      <c r="FG122" s="36"/>
      <c r="FH122" s="36"/>
      <c r="FI122" s="36"/>
      <c r="FJ122" s="36"/>
      <c r="FK122" s="36"/>
      <c r="FL122" s="36"/>
      <c r="FM122" s="36"/>
      <c r="FN122" s="36"/>
      <c r="FO122" s="36"/>
      <c r="FP122" s="36"/>
      <c r="FQ122" s="36"/>
      <c r="FR122" s="36"/>
      <c r="FS122" s="36"/>
      <c r="FT122" s="36"/>
      <c r="FU122" s="36"/>
      <c r="FV122" s="36"/>
      <c r="FW122" s="36"/>
      <c r="FX122" s="36"/>
      <c r="FY122" s="36"/>
      <c r="FZ122" s="36"/>
      <c r="GA122" s="6">
        <v>275</v>
      </c>
      <c r="GB122" s="6"/>
      <c r="GC122" s="36"/>
      <c r="GD122" s="36"/>
      <c r="GE122" s="36"/>
      <c r="GF122" s="36"/>
      <c r="GG122" s="36"/>
      <c r="GH122" s="36"/>
      <c r="GI122" s="36"/>
      <c r="GJ122" s="36"/>
      <c r="GK122" s="36"/>
      <c r="GL122" s="36"/>
      <c r="GM122" s="36"/>
      <c r="GN122" s="36">
        <v>450</v>
      </c>
      <c r="GO122" s="36"/>
      <c r="GP122" s="36"/>
      <c r="GQ122" s="36"/>
      <c r="GR122" s="36"/>
      <c r="GS122" s="36"/>
      <c r="GT122" s="36"/>
      <c r="GU122" s="36"/>
      <c r="GV122" s="6"/>
      <c r="GW122" s="36"/>
      <c r="GX122" s="36"/>
      <c r="GY122" s="36"/>
      <c r="GZ122" s="36"/>
      <c r="HA122" s="36"/>
      <c r="HB122" s="36"/>
      <c r="HC122" s="36"/>
      <c r="HD122" s="36"/>
      <c r="HE122" s="36"/>
      <c r="HF122" s="36"/>
      <c r="HG122" s="36"/>
      <c r="HH122" s="36"/>
      <c r="HI122" s="36"/>
      <c r="HJ122" s="36"/>
      <c r="HK122" s="36"/>
      <c r="HL122" s="36"/>
      <c r="HM122" s="36"/>
      <c r="HN122" s="36"/>
      <c r="HO122" s="36"/>
      <c r="HP122" s="36"/>
      <c r="HQ122" s="36"/>
      <c r="HR122" s="36"/>
      <c r="HS122" s="36"/>
      <c r="HT122" s="36"/>
      <c r="HU122" s="36"/>
      <c r="HV122" s="36"/>
      <c r="HW122" s="36"/>
      <c r="HX122" s="36"/>
      <c r="HY122" s="36"/>
      <c r="HZ122" s="36"/>
      <c r="IA122" s="36"/>
      <c r="IB122" s="36"/>
      <c r="IC122" s="36"/>
      <c r="ID122" s="36"/>
      <c r="IE122" s="36"/>
      <c r="IF122" s="36"/>
      <c r="IG122" s="36"/>
      <c r="IH122" s="36"/>
      <c r="II122" s="36"/>
      <c r="IJ122" s="36"/>
      <c r="IK122" s="36"/>
      <c r="IL122" s="36"/>
      <c r="IM122" s="36"/>
      <c r="IN122" s="36"/>
      <c r="IO122" s="36"/>
      <c r="IP122" s="36"/>
      <c r="IR122" s="2" t="s">
        <v>543</v>
      </c>
    </row>
    <row r="123" spans="1:252" ht="15.75" customHeight="1" x14ac:dyDescent="0.25">
      <c r="A123" s="36" t="s">
        <v>706</v>
      </c>
      <c r="B123" s="36" t="s">
        <v>709</v>
      </c>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36"/>
      <c r="BN123" s="36"/>
      <c r="BO123" s="36"/>
      <c r="BP123" s="6"/>
      <c r="BQ123" s="6"/>
      <c r="BR123" s="6"/>
      <c r="BS123" s="6"/>
      <c r="BT123" s="6"/>
      <c r="BU123" s="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6"/>
      <c r="GB123" s="6"/>
      <c r="GC123" s="36"/>
      <c r="GD123" s="36"/>
      <c r="GE123" s="36"/>
      <c r="GF123" s="36"/>
      <c r="GG123" s="36"/>
      <c r="GH123" s="36"/>
      <c r="GI123" s="36"/>
      <c r="GJ123" s="36"/>
      <c r="GK123" s="36"/>
      <c r="GL123" s="36"/>
      <c r="GM123" s="36"/>
      <c r="GN123" s="36">
        <v>250</v>
      </c>
      <c r="GO123" s="36"/>
      <c r="GP123" s="36"/>
      <c r="GQ123" s="36"/>
      <c r="GR123" s="36"/>
      <c r="GS123" s="36"/>
      <c r="GT123" s="36"/>
      <c r="GU123" s="36"/>
      <c r="GV123" s="6"/>
      <c r="GW123" s="36"/>
      <c r="GX123" s="36"/>
      <c r="GY123" s="36"/>
      <c r="GZ123" s="36"/>
      <c r="HA123" s="36"/>
      <c r="HB123" s="36"/>
      <c r="HC123" s="36"/>
      <c r="HD123" s="36"/>
      <c r="HE123" s="36"/>
      <c r="HF123" s="36"/>
      <c r="HG123" s="36"/>
      <c r="HH123" s="36"/>
      <c r="HI123" s="36"/>
      <c r="HJ123" s="36"/>
      <c r="HK123" s="36"/>
      <c r="HL123" s="36"/>
      <c r="HM123" s="36"/>
      <c r="HN123" s="36"/>
      <c r="HO123" s="36"/>
      <c r="HP123" s="36"/>
      <c r="HQ123" s="36"/>
      <c r="HR123" s="36"/>
      <c r="HS123" s="36"/>
      <c r="HT123" s="36"/>
      <c r="HU123" s="36"/>
      <c r="HV123" s="36"/>
      <c r="HW123" s="36"/>
      <c r="HX123" s="36"/>
      <c r="HY123" s="36"/>
      <c r="HZ123" s="36"/>
      <c r="IA123" s="36"/>
      <c r="IB123" s="36"/>
      <c r="IC123" s="36"/>
      <c r="ID123" s="36"/>
      <c r="IE123" s="36"/>
      <c r="IF123" s="36"/>
      <c r="IG123" s="36"/>
      <c r="IH123" s="36"/>
      <c r="II123" s="36"/>
      <c r="IJ123" s="36"/>
      <c r="IK123" s="36"/>
      <c r="IL123" s="36"/>
      <c r="IM123" s="36"/>
      <c r="IN123" s="36"/>
      <c r="IO123" s="36"/>
      <c r="IP123" s="36"/>
      <c r="IR123" s="2" t="s">
        <v>543</v>
      </c>
    </row>
    <row r="124" spans="1:252" ht="15.75" customHeight="1" x14ac:dyDescent="0.25">
      <c r="A124" s="36" t="s">
        <v>706</v>
      </c>
      <c r="B124" s="36" t="s">
        <v>715</v>
      </c>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36"/>
      <c r="BN124" s="36"/>
      <c r="BO124" s="36"/>
      <c r="BP124" s="6"/>
      <c r="BQ124" s="6"/>
      <c r="BR124" s="6"/>
      <c r="BS124" s="6"/>
      <c r="BT124" s="6"/>
      <c r="BU124" s="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6"/>
      <c r="CX124" s="36"/>
      <c r="CY124" s="36"/>
      <c r="CZ124" s="36"/>
      <c r="DA124" s="36"/>
      <c r="DB124" s="36"/>
      <c r="DC124" s="36"/>
      <c r="DD124" s="36"/>
      <c r="DE124" s="36"/>
      <c r="DF124" s="36"/>
      <c r="DG124" s="36"/>
      <c r="DH124" s="36"/>
      <c r="DI124" s="36"/>
      <c r="DJ124" s="36"/>
      <c r="DK124" s="36"/>
      <c r="DL124" s="36"/>
      <c r="DM124" s="36"/>
      <c r="DN124" s="36"/>
      <c r="DO124" s="36"/>
      <c r="DP124" s="36"/>
      <c r="DQ124" s="36"/>
      <c r="DR124" s="36"/>
      <c r="DS124" s="36"/>
      <c r="DT124" s="36"/>
      <c r="DU124" s="36"/>
      <c r="DV124" s="36"/>
      <c r="DW124" s="36"/>
      <c r="DX124" s="36"/>
      <c r="DY124" s="36"/>
      <c r="DZ124" s="36"/>
      <c r="EA124" s="36"/>
      <c r="EB124" s="36"/>
      <c r="EC124" s="36"/>
      <c r="ED124" s="36"/>
      <c r="EE124" s="36"/>
      <c r="EF124" s="36"/>
      <c r="EG124" s="36"/>
      <c r="EH124" s="36"/>
      <c r="EI124" s="36"/>
      <c r="EJ124" s="36"/>
      <c r="EK124" s="36"/>
      <c r="EL124" s="36"/>
      <c r="EM124" s="36"/>
      <c r="EN124" s="36"/>
      <c r="EO124" s="36"/>
      <c r="EP124" s="36"/>
      <c r="EQ124" s="36"/>
      <c r="ER124" s="36"/>
      <c r="ES124" s="36"/>
      <c r="ET124" s="36"/>
      <c r="EU124" s="36"/>
      <c r="EV124" s="36"/>
      <c r="EW124" s="36"/>
      <c r="EX124" s="36"/>
      <c r="EY124" s="36"/>
      <c r="EZ124" s="36"/>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6"/>
      <c r="GB124" s="6"/>
      <c r="GC124" s="36"/>
      <c r="GD124" s="36"/>
      <c r="GE124" s="36"/>
      <c r="GF124" s="36"/>
      <c r="GG124" s="36"/>
      <c r="GH124" s="36"/>
      <c r="GI124" s="36"/>
      <c r="GJ124" s="36"/>
      <c r="GK124" s="36"/>
      <c r="GL124" s="36"/>
      <c r="GM124" s="36"/>
      <c r="GN124" s="36"/>
      <c r="GO124" s="36"/>
      <c r="GP124" s="36"/>
      <c r="GQ124" s="36"/>
      <c r="GR124" s="36"/>
      <c r="GS124" s="36"/>
      <c r="GT124" s="36"/>
      <c r="GU124" s="36"/>
      <c r="GV124" s="6"/>
      <c r="GW124" s="36"/>
      <c r="GX124" s="36"/>
      <c r="GY124" s="36"/>
      <c r="GZ124" s="36"/>
      <c r="HA124" s="36"/>
      <c r="HB124" s="36"/>
      <c r="HC124" s="36"/>
      <c r="HD124" s="36"/>
      <c r="HE124" s="36"/>
      <c r="HF124" s="36"/>
      <c r="HG124" s="36"/>
      <c r="HH124" s="36"/>
      <c r="HI124" s="36"/>
      <c r="HJ124" s="36"/>
      <c r="HK124" s="36"/>
      <c r="HL124" s="36"/>
      <c r="HM124" s="36"/>
      <c r="HN124" s="36"/>
      <c r="HO124" s="36"/>
      <c r="HP124" s="36"/>
      <c r="HQ124" s="36"/>
      <c r="HR124" s="36"/>
      <c r="HS124" s="36"/>
      <c r="HT124" s="36"/>
      <c r="HU124" s="36"/>
      <c r="HV124" s="36"/>
      <c r="HW124" s="36"/>
      <c r="HX124" s="36"/>
      <c r="HY124" s="36"/>
      <c r="HZ124" s="36"/>
      <c r="IA124" s="36"/>
      <c r="IB124" s="36">
        <v>4</v>
      </c>
      <c r="IC124" s="36"/>
      <c r="ID124" s="36"/>
      <c r="IE124" s="36"/>
      <c r="IF124" s="36"/>
      <c r="IG124" s="36"/>
      <c r="IH124" s="36"/>
      <c r="II124" s="36"/>
      <c r="IJ124" s="36"/>
      <c r="IK124" s="36"/>
      <c r="IL124" s="36"/>
      <c r="IM124" s="36"/>
      <c r="IN124" s="36"/>
      <c r="IO124" s="36"/>
      <c r="IP124" s="36"/>
      <c r="IR124" s="2" t="s">
        <v>543</v>
      </c>
    </row>
    <row r="125" spans="1:252" ht="15.75" customHeight="1" x14ac:dyDescent="0.25">
      <c r="A125" s="36" t="s">
        <v>718</v>
      </c>
      <c r="B125" s="36" t="s">
        <v>719</v>
      </c>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36"/>
      <c r="BN125" s="36"/>
      <c r="BO125" s="36"/>
      <c r="BP125" s="6"/>
      <c r="BQ125" s="6"/>
      <c r="BR125" s="6"/>
      <c r="BS125" s="6"/>
      <c r="BT125" s="6"/>
      <c r="BU125" s="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v>20</v>
      </c>
      <c r="ER125" s="36"/>
      <c r="ES125" s="36"/>
      <c r="ET125" s="36"/>
      <c r="EU125" s="36"/>
      <c r="EV125" s="36"/>
      <c r="EW125" s="36"/>
      <c r="EX125" s="36"/>
      <c r="EY125" s="36"/>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6"/>
      <c r="GB125" s="6"/>
      <c r="GC125" s="36"/>
      <c r="GD125" s="36"/>
      <c r="GE125" s="36"/>
      <c r="GF125" s="36"/>
      <c r="GG125" s="36"/>
      <c r="GH125" s="36"/>
      <c r="GI125" s="36"/>
      <c r="GJ125" s="36"/>
      <c r="GK125" s="36"/>
      <c r="GL125" s="36"/>
      <c r="GM125" s="36"/>
      <c r="GN125" s="36"/>
      <c r="GO125" s="36"/>
      <c r="GP125" s="36"/>
      <c r="GQ125" s="36"/>
      <c r="GR125" s="36"/>
      <c r="GS125" s="36"/>
      <c r="GT125" s="36"/>
      <c r="GU125" s="36"/>
      <c r="GV125" s="6"/>
      <c r="GW125" s="36"/>
      <c r="GX125" s="36"/>
      <c r="GY125" s="36"/>
      <c r="GZ125" s="36"/>
      <c r="HA125" s="36"/>
      <c r="HB125" s="36"/>
      <c r="HC125" s="36"/>
      <c r="HD125" s="36"/>
      <c r="HE125" s="36"/>
      <c r="HF125" s="36"/>
      <c r="HG125" s="36"/>
      <c r="HH125" s="36"/>
      <c r="HI125" s="36"/>
      <c r="HJ125" s="36"/>
      <c r="HK125" s="36"/>
      <c r="HL125" s="36"/>
      <c r="HM125" s="36"/>
      <c r="HN125" s="36"/>
      <c r="HO125" s="36"/>
      <c r="HP125" s="36"/>
      <c r="HQ125" s="36"/>
      <c r="HR125" s="36"/>
      <c r="HS125" s="36"/>
      <c r="HT125" s="36"/>
      <c r="HU125" s="36"/>
      <c r="HV125" s="36"/>
      <c r="HW125" s="36"/>
      <c r="HX125" s="36"/>
      <c r="HY125" s="36"/>
      <c r="HZ125" s="36"/>
      <c r="IA125" s="36"/>
      <c r="IB125" s="36">
        <v>16</v>
      </c>
      <c r="IC125" s="36"/>
      <c r="ID125" s="36"/>
      <c r="IE125" s="36"/>
      <c r="IF125" s="36"/>
      <c r="IG125" s="36"/>
      <c r="IH125" s="36"/>
      <c r="II125" s="36"/>
      <c r="IJ125" s="36"/>
      <c r="IK125" s="36"/>
      <c r="IL125" s="36"/>
      <c r="IM125" s="36"/>
      <c r="IN125" s="36"/>
      <c r="IO125" s="36"/>
      <c r="IP125" s="36"/>
      <c r="IR125" s="2" t="s">
        <v>543</v>
      </c>
    </row>
    <row r="126" spans="1:252" ht="15.75" customHeight="1" x14ac:dyDescent="0.25">
      <c r="A126" s="36" t="s">
        <v>718</v>
      </c>
      <c r="B126" s="36" t="s">
        <v>720</v>
      </c>
      <c r="C126" s="36"/>
      <c r="D126" s="36"/>
      <c r="E126" s="36">
        <v>10</v>
      </c>
      <c r="F126" s="36"/>
      <c r="G126" s="36"/>
      <c r="H126" s="36"/>
      <c r="I126" s="36"/>
      <c r="J126" s="36"/>
      <c r="K126" s="36"/>
      <c r="L126" s="36"/>
      <c r="M126" s="36">
        <v>10</v>
      </c>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v>10</v>
      </c>
      <c r="AM126" s="36"/>
      <c r="AN126" s="36"/>
      <c r="AO126" s="36"/>
      <c r="AP126" s="36"/>
      <c r="AQ126" s="36">
        <v>20</v>
      </c>
      <c r="AR126" s="80">
        <v>5</v>
      </c>
      <c r="AS126" s="36">
        <v>10</v>
      </c>
      <c r="AT126" s="36">
        <v>5</v>
      </c>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6"/>
      <c r="BQ126" s="6"/>
      <c r="BR126" s="6"/>
      <c r="BS126" s="6"/>
      <c r="BT126" s="6"/>
      <c r="BU126" s="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6"/>
      <c r="CX126" s="36"/>
      <c r="CY126" s="36"/>
      <c r="CZ126" s="36"/>
      <c r="DA126" s="36"/>
      <c r="DB126" s="36"/>
      <c r="DC126" s="36"/>
      <c r="DD126" s="36"/>
      <c r="DE126" s="36"/>
      <c r="DF126" s="36"/>
      <c r="DG126" s="36"/>
      <c r="DH126" s="36"/>
      <c r="DI126" s="36"/>
      <c r="DJ126" s="36"/>
      <c r="DK126" s="36"/>
      <c r="DL126" s="36"/>
      <c r="DM126" s="36"/>
      <c r="DN126" s="36"/>
      <c r="DO126" s="36"/>
      <c r="DP126" s="36"/>
      <c r="DQ126" s="36"/>
      <c r="DR126" s="36"/>
      <c r="DS126" s="36"/>
      <c r="DT126" s="36"/>
      <c r="DU126" s="36"/>
      <c r="DV126" s="36"/>
      <c r="DW126" s="36"/>
      <c r="DX126" s="36"/>
      <c r="DY126" s="36"/>
      <c r="DZ126" s="36"/>
      <c r="EA126" s="36"/>
      <c r="EB126" s="36"/>
      <c r="EC126" s="36"/>
      <c r="ED126" s="36"/>
      <c r="EE126" s="36"/>
      <c r="EF126" s="36"/>
      <c r="EG126" s="36"/>
      <c r="EH126" s="36"/>
      <c r="EI126" s="36"/>
      <c r="EJ126" s="36"/>
      <c r="EK126" s="36"/>
      <c r="EL126" s="36"/>
      <c r="EM126" s="36"/>
      <c r="EN126" s="36"/>
      <c r="EO126" s="36"/>
      <c r="EP126" s="36">
        <v>2</v>
      </c>
      <c r="EQ126" s="36"/>
      <c r="ER126" s="36"/>
      <c r="ES126" s="36"/>
      <c r="ET126" s="36"/>
      <c r="EU126" s="36"/>
      <c r="EV126" s="36"/>
      <c r="EW126" s="36"/>
      <c r="EX126" s="36"/>
      <c r="EY126" s="36"/>
      <c r="EZ126" s="36"/>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6"/>
      <c r="GB126" s="6"/>
      <c r="GC126" s="36"/>
      <c r="GD126" s="36"/>
      <c r="GE126" s="36"/>
      <c r="GF126" s="36"/>
      <c r="GG126" s="36"/>
      <c r="GH126" s="36"/>
      <c r="GI126" s="36"/>
      <c r="GJ126" s="36"/>
      <c r="GK126" s="36"/>
      <c r="GL126" s="36"/>
      <c r="GM126" s="36"/>
      <c r="GN126" s="36"/>
      <c r="GO126" s="36"/>
      <c r="GP126" s="36"/>
      <c r="GQ126" s="36"/>
      <c r="GR126" s="36"/>
      <c r="GS126" s="36"/>
      <c r="GT126" s="36"/>
      <c r="GU126" s="36"/>
      <c r="GV126" s="6"/>
      <c r="GW126" s="36"/>
      <c r="GX126" s="36"/>
      <c r="GY126" s="36"/>
      <c r="GZ126" s="36"/>
      <c r="HA126" s="36"/>
      <c r="HB126" s="36"/>
      <c r="HC126" s="36"/>
      <c r="HD126" s="36"/>
      <c r="HE126" s="36"/>
      <c r="HF126" s="36"/>
      <c r="HG126" s="36"/>
      <c r="HH126" s="36"/>
      <c r="HI126" s="36"/>
      <c r="HJ126" s="36"/>
      <c r="HK126" s="36"/>
      <c r="HL126" s="36"/>
      <c r="HM126" s="36"/>
      <c r="HN126" s="36">
        <v>100</v>
      </c>
      <c r="HO126" s="36"/>
      <c r="HP126" s="36"/>
      <c r="HQ126" s="36"/>
      <c r="HR126" s="36"/>
      <c r="HS126" s="36"/>
      <c r="HT126" s="36"/>
      <c r="HU126" s="36"/>
      <c r="HV126" s="36"/>
      <c r="HW126" s="36"/>
      <c r="HX126" s="36"/>
      <c r="HY126" s="36"/>
      <c r="HZ126" s="36"/>
      <c r="IA126" s="36"/>
      <c r="IB126" s="36"/>
      <c r="IC126" s="36"/>
      <c r="ID126" s="36"/>
      <c r="IE126" s="36"/>
      <c r="IF126" s="36"/>
      <c r="IG126" s="36"/>
      <c r="IH126" s="36"/>
      <c r="II126" s="36"/>
      <c r="IJ126" s="36"/>
      <c r="IK126" s="36"/>
      <c r="IL126" s="36"/>
      <c r="IM126" s="36"/>
      <c r="IN126" s="36"/>
      <c r="IO126" s="36"/>
      <c r="IP126" s="36"/>
      <c r="IR126" s="2" t="s">
        <v>543</v>
      </c>
    </row>
    <row r="127" spans="1:252" ht="15.75" customHeight="1" x14ac:dyDescent="0.25">
      <c r="A127" s="36" t="s">
        <v>722</v>
      </c>
      <c r="B127" s="36" t="s">
        <v>723</v>
      </c>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36"/>
      <c r="BN127" s="36"/>
      <c r="BO127" s="36"/>
      <c r="BP127" s="6"/>
      <c r="BQ127" s="6"/>
      <c r="BR127" s="6"/>
      <c r="BS127" s="6"/>
      <c r="BT127" s="6"/>
      <c r="BU127" s="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c r="DI127" s="36"/>
      <c r="DJ127" s="36"/>
      <c r="DK127" s="36"/>
      <c r="DL127" s="36"/>
      <c r="DM127" s="36"/>
      <c r="DN127" s="36"/>
      <c r="DO127" s="36"/>
      <c r="DP127" s="36"/>
      <c r="DQ127" s="36"/>
      <c r="DR127" s="36"/>
      <c r="DS127" s="36"/>
      <c r="DT127" s="36"/>
      <c r="DU127" s="36"/>
      <c r="DV127" s="36"/>
      <c r="DW127" s="36"/>
      <c r="DX127" s="36"/>
      <c r="DY127" s="36"/>
      <c r="DZ127" s="36"/>
      <c r="EA127" s="36"/>
      <c r="EB127" s="36"/>
      <c r="EC127" s="36"/>
      <c r="ED127" s="36"/>
      <c r="EE127" s="36"/>
      <c r="EF127" s="36"/>
      <c r="EG127" s="36"/>
      <c r="EH127" s="36"/>
      <c r="EI127" s="36"/>
      <c r="EJ127" s="36"/>
      <c r="EK127" s="36"/>
      <c r="EL127" s="36"/>
      <c r="EM127" s="36"/>
      <c r="EN127" s="36"/>
      <c r="EO127" s="36"/>
      <c r="EP127" s="36"/>
      <c r="EQ127" s="36"/>
      <c r="ER127" s="36"/>
      <c r="ES127" s="36"/>
      <c r="ET127" s="36"/>
      <c r="EU127" s="36"/>
      <c r="EV127" s="36"/>
      <c r="EW127" s="36"/>
      <c r="EX127" s="36"/>
      <c r="EY127" s="36"/>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6"/>
      <c r="GB127" s="6"/>
      <c r="GC127" s="36"/>
      <c r="GD127" s="36"/>
      <c r="GE127" s="36"/>
      <c r="GF127" s="36">
        <v>50</v>
      </c>
      <c r="GG127" s="36"/>
      <c r="GH127" s="36"/>
      <c r="GI127" s="36"/>
      <c r="GJ127" s="36"/>
      <c r="GK127" s="36"/>
      <c r="GL127" s="36">
        <v>50</v>
      </c>
      <c r="GM127" s="36"/>
      <c r="GN127" s="36"/>
      <c r="GO127" s="36"/>
      <c r="GP127" s="36"/>
      <c r="GQ127" s="36">
        <v>50</v>
      </c>
      <c r="GR127" s="36">
        <v>50</v>
      </c>
      <c r="GS127" s="36">
        <v>50</v>
      </c>
      <c r="GT127" s="36"/>
      <c r="GU127" s="36">
        <v>25</v>
      </c>
      <c r="GV127" s="6"/>
      <c r="GW127" s="36"/>
      <c r="GX127" s="36"/>
      <c r="GY127" s="36"/>
      <c r="GZ127" s="36"/>
      <c r="HA127" s="36"/>
      <c r="HB127" s="36"/>
      <c r="HC127" s="36"/>
      <c r="HD127" s="36"/>
      <c r="HE127" s="36"/>
      <c r="HF127" s="36"/>
      <c r="HG127" s="36"/>
      <c r="HH127" s="36"/>
      <c r="HI127" s="36"/>
      <c r="HJ127" s="36"/>
      <c r="HK127" s="36"/>
      <c r="HL127" s="36"/>
      <c r="HM127" s="36"/>
      <c r="HN127" s="36"/>
      <c r="HO127" s="36"/>
      <c r="HP127" s="36"/>
      <c r="HQ127" s="36"/>
      <c r="HR127" s="36"/>
      <c r="HS127" s="36"/>
      <c r="HT127" s="36"/>
      <c r="HU127" s="36"/>
      <c r="HV127" s="36"/>
      <c r="HW127" s="36"/>
      <c r="HX127" s="36"/>
      <c r="HY127" s="36"/>
      <c r="HZ127" s="36"/>
      <c r="IA127" s="36"/>
      <c r="IB127" s="36"/>
      <c r="IC127" s="36"/>
      <c r="ID127" s="36"/>
      <c r="IE127" s="36"/>
      <c r="IF127" s="36"/>
      <c r="IG127" s="36"/>
      <c r="IH127" s="36"/>
      <c r="II127" s="36"/>
      <c r="IJ127" s="36"/>
      <c r="IK127" s="36"/>
      <c r="IL127" s="36"/>
      <c r="IM127" s="36"/>
      <c r="IN127" s="36"/>
      <c r="IO127" s="36"/>
      <c r="IP127" s="36"/>
      <c r="IR127" s="2" t="s">
        <v>543</v>
      </c>
    </row>
    <row r="128" spans="1:252" ht="15.75" customHeight="1" x14ac:dyDescent="0.25">
      <c r="A128" s="36" t="s">
        <v>722</v>
      </c>
      <c r="B128" s="36" t="s">
        <v>726</v>
      </c>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36"/>
      <c r="BN128" s="36"/>
      <c r="BO128" s="36"/>
      <c r="BP128" s="6"/>
      <c r="BQ128" s="6"/>
      <c r="BR128" s="6"/>
      <c r="BS128" s="6"/>
      <c r="BT128" s="6"/>
      <c r="BU128" s="6"/>
      <c r="BV128" s="36"/>
      <c r="BW128" s="36"/>
      <c r="BX128" s="36"/>
      <c r="BY128" s="36"/>
      <c r="BZ128" s="36"/>
      <c r="CA128" s="36"/>
      <c r="CB128" s="36"/>
      <c r="CC128" s="36"/>
      <c r="CD128" s="36"/>
      <c r="CE128" s="36"/>
      <c r="CF128" s="36"/>
      <c r="CG128" s="36"/>
      <c r="CH128" s="36"/>
      <c r="CI128" s="36"/>
      <c r="CJ128" s="36"/>
      <c r="CK128" s="36"/>
      <c r="CL128" s="36"/>
      <c r="CM128" s="36"/>
      <c r="CN128" s="36"/>
      <c r="CO128" s="36"/>
      <c r="CP128" s="36"/>
      <c r="CQ128" s="36"/>
      <c r="CR128" s="36"/>
      <c r="CS128" s="36"/>
      <c r="CT128" s="36"/>
      <c r="CU128" s="36"/>
      <c r="CV128" s="36"/>
      <c r="CW128" s="36"/>
      <c r="CX128" s="36"/>
      <c r="CY128" s="36"/>
      <c r="CZ128" s="36"/>
      <c r="DA128" s="36"/>
      <c r="DB128" s="36"/>
      <c r="DC128" s="36"/>
      <c r="DD128" s="36"/>
      <c r="DE128" s="36"/>
      <c r="DF128" s="36"/>
      <c r="DG128" s="36"/>
      <c r="DH128" s="36"/>
      <c r="DI128" s="36"/>
      <c r="DJ128" s="36"/>
      <c r="DK128" s="36"/>
      <c r="DL128" s="36"/>
      <c r="DM128" s="36"/>
      <c r="DN128" s="36"/>
      <c r="DO128" s="36"/>
      <c r="DP128" s="36"/>
      <c r="DQ128" s="36"/>
      <c r="DR128" s="36"/>
      <c r="DS128" s="36"/>
      <c r="DT128" s="36"/>
      <c r="DU128" s="36"/>
      <c r="DV128" s="36"/>
      <c r="DW128" s="36"/>
      <c r="DX128" s="36"/>
      <c r="DY128" s="36"/>
      <c r="DZ128" s="36"/>
      <c r="EA128" s="36"/>
      <c r="EB128" s="36"/>
      <c r="EC128" s="36"/>
      <c r="ED128" s="36"/>
      <c r="EE128" s="36"/>
      <c r="EF128" s="36"/>
      <c r="EG128" s="36"/>
      <c r="EH128" s="36"/>
      <c r="EI128" s="36"/>
      <c r="EJ128" s="36"/>
      <c r="EK128" s="36"/>
      <c r="EL128" s="36"/>
      <c r="EM128" s="36"/>
      <c r="EN128" s="36"/>
      <c r="EO128" s="36"/>
      <c r="EP128" s="36"/>
      <c r="EQ128" s="36"/>
      <c r="ER128" s="36"/>
      <c r="ES128" s="36"/>
      <c r="ET128" s="36"/>
      <c r="EU128" s="36"/>
      <c r="EV128" s="36"/>
      <c r="EW128" s="36"/>
      <c r="EX128" s="36"/>
      <c r="EY128" s="36"/>
      <c r="EZ128" s="36"/>
      <c r="FA128" s="36"/>
      <c r="FB128" s="36"/>
      <c r="FC128" s="36"/>
      <c r="FD128" s="36"/>
      <c r="FE128" s="36"/>
      <c r="FF128" s="36">
        <v>200</v>
      </c>
      <c r="FG128" s="36"/>
      <c r="FH128" s="36"/>
      <c r="FI128" s="36"/>
      <c r="FJ128" s="36"/>
      <c r="FK128" s="36"/>
      <c r="FL128" s="36"/>
      <c r="FM128" s="36"/>
      <c r="FN128" s="36"/>
      <c r="FO128" s="36"/>
      <c r="FP128" s="36"/>
      <c r="FQ128" s="36"/>
      <c r="FR128" s="36"/>
      <c r="FS128" s="36"/>
      <c r="FT128" s="36"/>
      <c r="FU128" s="36"/>
      <c r="FV128" s="36"/>
      <c r="FW128" s="36"/>
      <c r="FX128" s="36"/>
      <c r="FY128" s="36"/>
      <c r="FZ128" s="36"/>
      <c r="GA128" s="6"/>
      <c r="GB128" s="6"/>
      <c r="GC128" s="36"/>
      <c r="GD128" s="36"/>
      <c r="GE128" s="36"/>
      <c r="GF128" s="36"/>
      <c r="GG128" s="36"/>
      <c r="GH128" s="36"/>
      <c r="GI128" s="36"/>
      <c r="GJ128" s="36"/>
      <c r="GK128" s="36"/>
      <c r="GL128" s="36"/>
      <c r="GM128" s="36"/>
      <c r="GN128" s="36"/>
      <c r="GO128" s="36"/>
      <c r="GP128" s="36"/>
      <c r="GQ128" s="36"/>
      <c r="GR128" s="36"/>
      <c r="GS128" s="36"/>
      <c r="GT128" s="36"/>
      <c r="GU128" s="36"/>
      <c r="GV128" s="6"/>
      <c r="GW128" s="36"/>
      <c r="GX128" s="36"/>
      <c r="GY128" s="36"/>
      <c r="GZ128" s="36"/>
      <c r="HA128" s="36"/>
      <c r="HB128" s="36"/>
      <c r="HC128" s="36"/>
      <c r="HD128" s="36"/>
      <c r="HE128" s="36"/>
      <c r="HF128" s="36"/>
      <c r="HG128" s="36"/>
      <c r="HH128" s="36"/>
      <c r="HI128" s="36"/>
      <c r="HJ128" s="36"/>
      <c r="HK128" s="36"/>
      <c r="HL128" s="36"/>
      <c r="HM128" s="36"/>
      <c r="HN128" s="36"/>
      <c r="HO128" s="36"/>
      <c r="HP128" s="36"/>
      <c r="HQ128" s="36"/>
      <c r="HR128" s="36"/>
      <c r="HS128" s="36"/>
      <c r="HT128" s="36"/>
      <c r="HU128" s="36"/>
      <c r="HV128" s="36"/>
      <c r="HW128" s="36"/>
      <c r="HX128" s="36"/>
      <c r="HY128" s="36"/>
      <c r="HZ128" s="36"/>
      <c r="IA128" s="36"/>
      <c r="IB128" s="36"/>
      <c r="IC128" s="36"/>
      <c r="ID128" s="36"/>
      <c r="IE128" s="36"/>
      <c r="IF128" s="36"/>
      <c r="IG128" s="36"/>
      <c r="IH128" s="36"/>
      <c r="II128" s="36"/>
      <c r="IJ128" s="36"/>
      <c r="IK128" s="36"/>
      <c r="IL128" s="36"/>
      <c r="IM128" s="36"/>
      <c r="IN128" s="36"/>
      <c r="IO128" s="36"/>
      <c r="IP128" s="36"/>
      <c r="IR128" s="2" t="s">
        <v>543</v>
      </c>
    </row>
    <row r="129" spans="1:252" ht="15.75" customHeight="1" x14ac:dyDescent="0.25">
      <c r="A129" s="36" t="s">
        <v>728</v>
      </c>
      <c r="B129" s="36" t="s">
        <v>729</v>
      </c>
      <c r="C129" s="36"/>
      <c r="D129" s="36"/>
      <c r="E129" s="36"/>
      <c r="F129" s="36"/>
      <c r="G129" s="36"/>
      <c r="H129" s="36"/>
      <c r="I129" s="36"/>
      <c r="J129" s="36"/>
      <c r="K129" s="36"/>
      <c r="L129" s="36"/>
      <c r="M129" s="36"/>
      <c r="N129" s="36"/>
      <c r="O129" s="36"/>
      <c r="P129" s="36"/>
      <c r="Q129" s="36"/>
      <c r="R129" s="36"/>
      <c r="S129" s="36"/>
      <c r="T129" s="36"/>
      <c r="U129" s="36"/>
      <c r="V129" s="36">
        <v>5</v>
      </c>
      <c r="W129" s="36"/>
      <c r="X129" s="36"/>
      <c r="Y129" s="36"/>
      <c r="Z129" s="36"/>
      <c r="AA129" s="36"/>
      <c r="AB129" s="36"/>
      <c r="AC129" s="36"/>
      <c r="AD129" s="36"/>
      <c r="AE129" s="36"/>
      <c r="AF129" s="36"/>
      <c r="AG129" s="36"/>
      <c r="AH129" s="36"/>
      <c r="AI129" s="36"/>
      <c r="AJ129" s="36"/>
      <c r="AK129" s="36"/>
      <c r="AL129" s="36">
        <v>5</v>
      </c>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6"/>
      <c r="BQ129" s="6"/>
      <c r="BR129" s="6"/>
      <c r="BS129" s="6"/>
      <c r="BT129" s="6"/>
      <c r="BU129" s="6"/>
      <c r="BV129" s="36"/>
      <c r="BW129" s="36"/>
      <c r="BX129" s="36"/>
      <c r="BY129" s="36"/>
      <c r="BZ129" s="36"/>
      <c r="CA129" s="36"/>
      <c r="CB129" s="36"/>
      <c r="CC129" s="36"/>
      <c r="CD129" s="36"/>
      <c r="CE129" s="36"/>
      <c r="CF129" s="36"/>
      <c r="CG129" s="36"/>
      <c r="CH129" s="36"/>
      <c r="CI129" s="36"/>
      <c r="CJ129" s="36"/>
      <c r="CK129" s="36"/>
      <c r="CL129" s="36"/>
      <c r="CM129" s="36"/>
      <c r="CN129" s="36"/>
      <c r="CO129" s="36"/>
      <c r="CP129" s="36"/>
      <c r="CQ129" s="36"/>
      <c r="CR129" s="36"/>
      <c r="CS129" s="36"/>
      <c r="CT129" s="36"/>
      <c r="CU129" s="36"/>
      <c r="CV129" s="36"/>
      <c r="CW129" s="36"/>
      <c r="CX129" s="36"/>
      <c r="CY129" s="36"/>
      <c r="CZ129" s="36"/>
      <c r="DA129" s="36"/>
      <c r="DB129" s="36"/>
      <c r="DC129" s="36"/>
      <c r="DD129" s="36"/>
      <c r="DE129" s="36"/>
      <c r="DF129" s="36"/>
      <c r="DG129" s="36"/>
      <c r="DH129" s="36"/>
      <c r="DI129" s="36"/>
      <c r="DJ129" s="36"/>
      <c r="DK129" s="36"/>
      <c r="DL129" s="36"/>
      <c r="DM129" s="36"/>
      <c r="DN129" s="36"/>
      <c r="DO129" s="36"/>
      <c r="DP129" s="36"/>
      <c r="DQ129" s="36"/>
      <c r="DR129" s="36"/>
      <c r="DS129" s="36"/>
      <c r="DT129" s="36"/>
      <c r="DU129" s="36"/>
      <c r="DV129" s="36"/>
      <c r="DW129" s="36"/>
      <c r="DX129" s="36"/>
      <c r="DY129" s="36"/>
      <c r="DZ129" s="36"/>
      <c r="EA129" s="36"/>
      <c r="EB129" s="36"/>
      <c r="EC129" s="36"/>
      <c r="ED129" s="36"/>
      <c r="EE129" s="36"/>
      <c r="EF129" s="36"/>
      <c r="EG129" s="36"/>
      <c r="EH129" s="36"/>
      <c r="EI129" s="36"/>
      <c r="EJ129" s="36"/>
      <c r="EK129" s="36"/>
      <c r="EL129" s="36"/>
      <c r="EM129" s="36"/>
      <c r="EN129" s="36"/>
      <c r="EO129" s="36"/>
      <c r="EP129" s="36"/>
      <c r="EQ129" s="36">
        <v>20</v>
      </c>
      <c r="ER129" s="36"/>
      <c r="ES129" s="36"/>
      <c r="ET129" s="36"/>
      <c r="EU129" s="36"/>
      <c r="EV129" s="36"/>
      <c r="EW129" s="36"/>
      <c r="EX129" s="36"/>
      <c r="EY129" s="36"/>
      <c r="EZ129" s="36"/>
      <c r="FA129" s="36"/>
      <c r="FB129" s="36"/>
      <c r="FC129" s="36"/>
      <c r="FD129" s="36"/>
      <c r="FE129" s="36"/>
      <c r="FF129" s="36"/>
      <c r="FG129" s="36"/>
      <c r="FH129" s="36"/>
      <c r="FI129" s="36"/>
      <c r="FJ129" s="36"/>
      <c r="FK129" s="36"/>
      <c r="FL129" s="36"/>
      <c r="FM129" s="36"/>
      <c r="FN129" s="36"/>
      <c r="FO129" s="36"/>
      <c r="FP129" s="36"/>
      <c r="FQ129" s="36"/>
      <c r="FR129" s="36"/>
      <c r="FS129" s="36"/>
      <c r="FT129" s="36"/>
      <c r="FU129" s="36"/>
      <c r="FV129" s="36"/>
      <c r="FW129" s="36"/>
      <c r="FX129" s="36"/>
      <c r="FY129" s="36"/>
      <c r="FZ129" s="36"/>
      <c r="GA129" s="6"/>
      <c r="GB129" s="6"/>
      <c r="GC129" s="36"/>
      <c r="GD129" s="36"/>
      <c r="GE129" s="36"/>
      <c r="GF129" s="36"/>
      <c r="GG129" s="36"/>
      <c r="GH129" s="36"/>
      <c r="GI129" s="36"/>
      <c r="GJ129" s="36"/>
      <c r="GK129" s="36"/>
      <c r="GL129" s="36"/>
      <c r="GM129" s="36"/>
      <c r="GN129" s="36"/>
      <c r="GO129" s="36"/>
      <c r="GP129" s="36"/>
      <c r="GQ129" s="36"/>
      <c r="GR129" s="36"/>
      <c r="GS129" s="36"/>
      <c r="GT129" s="36"/>
      <c r="GU129" s="36"/>
      <c r="GV129" s="6"/>
      <c r="GW129" s="36"/>
      <c r="GX129" s="36"/>
      <c r="GY129" s="36"/>
      <c r="GZ129" s="36"/>
      <c r="HA129" s="36"/>
      <c r="HB129" s="36"/>
      <c r="HC129" s="36"/>
      <c r="HD129" s="36"/>
      <c r="HE129" s="36"/>
      <c r="HF129" s="36"/>
      <c r="HG129" s="36"/>
      <c r="HH129" s="36"/>
      <c r="HI129" s="36"/>
      <c r="HJ129" s="36"/>
      <c r="HK129" s="36"/>
      <c r="HL129" s="36"/>
      <c r="HM129" s="36"/>
      <c r="HN129" s="36"/>
      <c r="HO129" s="36"/>
      <c r="HP129" s="36"/>
      <c r="HQ129" s="36"/>
      <c r="HR129" s="36"/>
      <c r="HS129" s="36"/>
      <c r="HT129" s="36"/>
      <c r="HU129" s="36"/>
      <c r="HV129" s="36"/>
      <c r="HW129" s="36"/>
      <c r="HX129" s="36"/>
      <c r="HY129" s="36"/>
      <c r="HZ129" s="36"/>
      <c r="IA129" s="36"/>
      <c r="IB129" s="36"/>
      <c r="IC129" s="36"/>
      <c r="ID129" s="36"/>
      <c r="IE129" s="36"/>
      <c r="IF129" s="36"/>
      <c r="IG129" s="36"/>
      <c r="IH129" s="36"/>
      <c r="II129" s="36"/>
      <c r="IJ129" s="36"/>
      <c r="IK129" s="36"/>
      <c r="IL129" s="36"/>
      <c r="IM129" s="36"/>
      <c r="IN129" s="36"/>
      <c r="IO129" s="36"/>
      <c r="IP129" s="36"/>
      <c r="IR129" s="2" t="s">
        <v>543</v>
      </c>
    </row>
    <row r="130" spans="1:252" ht="15.75" customHeight="1" x14ac:dyDescent="0.25">
      <c r="A130" s="36" t="s">
        <v>730</v>
      </c>
      <c r="B130" s="36" t="s">
        <v>731</v>
      </c>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36"/>
      <c r="BN130" s="36"/>
      <c r="BO130" s="36"/>
      <c r="BP130" s="6"/>
      <c r="BQ130" s="6"/>
      <c r="BR130" s="6"/>
      <c r="BS130" s="6"/>
      <c r="BT130" s="6"/>
      <c r="BU130" s="6"/>
      <c r="BV130" s="36"/>
      <c r="BW130" s="36"/>
      <c r="BX130" s="36"/>
      <c r="BY130" s="36"/>
      <c r="BZ130" s="36"/>
      <c r="CA130" s="36"/>
      <c r="CB130" s="36"/>
      <c r="CC130" s="36"/>
      <c r="CD130" s="36"/>
      <c r="CE130" s="36"/>
      <c r="CF130" s="36"/>
      <c r="CG130" s="36"/>
      <c r="CH130" s="36"/>
      <c r="CI130" s="36"/>
      <c r="CJ130" s="36"/>
      <c r="CK130" s="36"/>
      <c r="CL130" s="36"/>
      <c r="CM130" s="36"/>
      <c r="CN130" s="36"/>
      <c r="CO130" s="36"/>
      <c r="CP130" s="36"/>
      <c r="CQ130" s="36"/>
      <c r="CR130" s="36"/>
      <c r="CS130" s="36"/>
      <c r="CT130" s="36"/>
      <c r="CU130" s="36"/>
      <c r="CV130" s="36"/>
      <c r="CW130" s="36"/>
      <c r="CX130" s="36"/>
      <c r="CY130" s="36"/>
      <c r="CZ130" s="36"/>
      <c r="DA130" s="36"/>
      <c r="DB130" s="36"/>
      <c r="DC130" s="36"/>
      <c r="DD130" s="36"/>
      <c r="DE130" s="36"/>
      <c r="DF130" s="36"/>
      <c r="DG130" s="36"/>
      <c r="DH130" s="36"/>
      <c r="DI130" s="36"/>
      <c r="DJ130" s="36"/>
      <c r="DK130" s="36"/>
      <c r="DL130" s="36"/>
      <c r="DM130" s="36"/>
      <c r="DN130" s="36"/>
      <c r="DO130" s="36"/>
      <c r="DP130" s="36"/>
      <c r="DQ130" s="36"/>
      <c r="DR130" s="36"/>
      <c r="DS130" s="36"/>
      <c r="DT130" s="36"/>
      <c r="DU130" s="36"/>
      <c r="DV130" s="36"/>
      <c r="DW130" s="36"/>
      <c r="DX130" s="36"/>
      <c r="DY130" s="36"/>
      <c r="DZ130" s="36"/>
      <c r="EA130" s="36"/>
      <c r="EB130" s="36"/>
      <c r="EC130" s="36"/>
      <c r="ED130" s="36"/>
      <c r="EE130" s="36"/>
      <c r="EF130" s="36"/>
      <c r="EG130" s="36"/>
      <c r="EH130" s="36"/>
      <c r="EI130" s="36"/>
      <c r="EJ130" s="36"/>
      <c r="EK130" s="36"/>
      <c r="EL130" s="36"/>
      <c r="EM130" s="36"/>
      <c r="EN130" s="36"/>
      <c r="EO130" s="36"/>
      <c r="EP130" s="36">
        <v>10</v>
      </c>
      <c r="EQ130" s="36"/>
      <c r="ER130" s="36"/>
      <c r="ES130" s="36"/>
      <c r="ET130" s="36"/>
      <c r="EU130" s="36"/>
      <c r="EV130" s="36"/>
      <c r="EW130" s="36"/>
      <c r="EX130" s="36"/>
      <c r="EY130" s="36"/>
      <c r="EZ130" s="36"/>
      <c r="FA130" s="36"/>
      <c r="FB130" s="36"/>
      <c r="FC130" s="36"/>
      <c r="FD130" s="36"/>
      <c r="FE130" s="36"/>
      <c r="FF130" s="36"/>
      <c r="FG130" s="36"/>
      <c r="FH130" s="36"/>
      <c r="FI130" s="36"/>
      <c r="FJ130" s="36"/>
      <c r="FK130" s="36"/>
      <c r="FL130" s="36"/>
      <c r="FM130" s="36"/>
      <c r="FN130" s="36"/>
      <c r="FO130" s="36"/>
      <c r="FP130" s="36"/>
      <c r="FQ130" s="36"/>
      <c r="FR130" s="36"/>
      <c r="FS130" s="36"/>
      <c r="FT130" s="36"/>
      <c r="FU130" s="36"/>
      <c r="FV130" s="36"/>
      <c r="FW130" s="36"/>
      <c r="FX130" s="36"/>
      <c r="FY130" s="36"/>
      <c r="FZ130" s="36"/>
      <c r="GA130" s="6"/>
      <c r="GB130" s="6"/>
      <c r="GC130" s="36"/>
      <c r="GD130" s="36"/>
      <c r="GE130" s="36"/>
      <c r="GF130" s="36"/>
      <c r="GG130" s="36"/>
      <c r="GH130" s="36"/>
      <c r="GI130" s="36"/>
      <c r="GJ130" s="36"/>
      <c r="GK130" s="36"/>
      <c r="GL130" s="36"/>
      <c r="GM130" s="36"/>
      <c r="GN130" s="36"/>
      <c r="GO130" s="36"/>
      <c r="GP130" s="36"/>
      <c r="GQ130" s="36"/>
      <c r="GR130" s="36"/>
      <c r="GS130" s="36"/>
      <c r="GT130" s="36"/>
      <c r="GU130" s="36"/>
      <c r="GV130" s="6"/>
      <c r="GW130" s="36"/>
      <c r="GX130" s="36"/>
      <c r="GY130" s="36"/>
      <c r="GZ130" s="36"/>
      <c r="HA130" s="36"/>
      <c r="HB130" s="36"/>
      <c r="HC130" s="36"/>
      <c r="HD130" s="36"/>
      <c r="HE130" s="36"/>
      <c r="HF130" s="36"/>
      <c r="HG130" s="36"/>
      <c r="HH130" s="36"/>
      <c r="HI130" s="36"/>
      <c r="HJ130" s="36"/>
      <c r="HK130" s="36"/>
      <c r="HL130" s="36"/>
      <c r="HM130" s="36"/>
      <c r="HN130" s="36"/>
      <c r="HO130" s="36"/>
      <c r="HP130" s="36"/>
      <c r="HQ130" s="36"/>
      <c r="HR130" s="36"/>
      <c r="HS130" s="36"/>
      <c r="HT130" s="36"/>
      <c r="HU130" s="36"/>
      <c r="HV130" s="36"/>
      <c r="HW130" s="36"/>
      <c r="HX130" s="36"/>
      <c r="HY130" s="36"/>
      <c r="HZ130" s="36"/>
      <c r="IA130" s="36">
        <v>12</v>
      </c>
      <c r="IB130" s="36">
        <v>20</v>
      </c>
      <c r="IC130" s="36"/>
      <c r="ID130" s="36"/>
      <c r="IE130" s="36"/>
      <c r="IF130" s="36"/>
      <c r="IG130" s="36"/>
      <c r="IH130" s="36"/>
      <c r="II130" s="36"/>
      <c r="IJ130" s="36"/>
      <c r="IK130" s="36"/>
      <c r="IL130" s="36"/>
      <c r="IM130" s="36"/>
      <c r="IN130" s="36"/>
      <c r="IO130" s="36"/>
      <c r="IP130" s="36"/>
      <c r="IR130" s="2" t="s">
        <v>543</v>
      </c>
    </row>
    <row r="131" spans="1:252" ht="15.75" customHeight="1" x14ac:dyDescent="0.25">
      <c r="A131" s="36" t="s">
        <v>732</v>
      </c>
      <c r="B131" s="36" t="s">
        <v>733</v>
      </c>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201"/>
      <c r="AS131" s="36"/>
      <c r="AT131" s="36"/>
      <c r="AU131" s="36"/>
      <c r="AV131" s="36"/>
      <c r="AW131" s="36"/>
      <c r="AX131" s="36"/>
      <c r="AY131" s="36"/>
      <c r="AZ131" s="36"/>
      <c r="BA131" s="36"/>
      <c r="BB131" s="36"/>
      <c r="BC131" s="36"/>
      <c r="BD131" s="36"/>
      <c r="BE131" s="36"/>
      <c r="BF131" s="36"/>
      <c r="BG131" s="36"/>
      <c r="BH131" s="36"/>
      <c r="BI131" s="36"/>
      <c r="BJ131" s="36"/>
      <c r="BK131" s="36"/>
      <c r="BL131" s="36"/>
      <c r="BM131" s="36"/>
      <c r="BN131" s="36"/>
      <c r="BO131" s="36"/>
      <c r="BP131" s="6"/>
      <c r="BQ131" s="6"/>
      <c r="BR131" s="6"/>
      <c r="BS131" s="6"/>
      <c r="BT131" s="6"/>
      <c r="BU131" s="6"/>
      <c r="BV131" s="36"/>
      <c r="BW131" s="36"/>
      <c r="BX131" s="36"/>
      <c r="BY131" s="36"/>
      <c r="BZ131" s="36"/>
      <c r="CA131" s="36"/>
      <c r="CB131" s="36"/>
      <c r="CC131" s="36"/>
      <c r="CD131" s="36"/>
      <c r="CE131" s="36"/>
      <c r="CF131" s="36"/>
      <c r="CG131" s="36"/>
      <c r="CH131" s="36"/>
      <c r="CI131" s="36"/>
      <c r="CJ131" s="36"/>
      <c r="CK131" s="36"/>
      <c r="CL131" s="36"/>
      <c r="CM131" s="36"/>
      <c r="CN131" s="36"/>
      <c r="CO131" s="36"/>
      <c r="CP131" s="36"/>
      <c r="CQ131" s="36"/>
      <c r="CR131" s="36"/>
      <c r="CS131" s="36"/>
      <c r="CT131" s="36"/>
      <c r="CU131" s="36"/>
      <c r="CV131" s="36"/>
      <c r="CW131" s="36"/>
      <c r="CX131" s="36"/>
      <c r="CY131" s="36"/>
      <c r="CZ131" s="36"/>
      <c r="DA131" s="36"/>
      <c r="DB131" s="36"/>
      <c r="DC131" s="36"/>
      <c r="DD131" s="36"/>
      <c r="DE131" s="36"/>
      <c r="DF131" s="36"/>
      <c r="DG131" s="36"/>
      <c r="DH131" s="36"/>
      <c r="DI131" s="36"/>
      <c r="DJ131" s="36"/>
      <c r="DK131" s="36"/>
      <c r="DL131" s="36"/>
      <c r="DM131" s="36"/>
      <c r="DN131" s="36"/>
      <c r="DO131" s="36"/>
      <c r="DP131" s="36"/>
      <c r="DQ131" s="36"/>
      <c r="DR131" s="36"/>
      <c r="DS131" s="36"/>
      <c r="DT131" s="36"/>
      <c r="DU131" s="36"/>
      <c r="DV131" s="36"/>
      <c r="DW131" s="36"/>
      <c r="DX131" s="36"/>
      <c r="DY131" s="36"/>
      <c r="DZ131" s="36"/>
      <c r="EA131" s="36"/>
      <c r="EB131" s="36"/>
      <c r="EC131" s="36"/>
      <c r="ED131" s="36"/>
      <c r="EE131" s="36"/>
      <c r="EF131" s="36"/>
      <c r="EG131" s="36"/>
      <c r="EH131" s="36"/>
      <c r="EI131" s="36"/>
      <c r="EJ131" s="36"/>
      <c r="EK131" s="36"/>
      <c r="EL131" s="36"/>
      <c r="EM131" s="36"/>
      <c r="EN131" s="36"/>
      <c r="EO131" s="36"/>
      <c r="EP131" s="36"/>
      <c r="EQ131" s="36"/>
      <c r="ER131" s="36"/>
      <c r="ES131" s="36"/>
      <c r="ET131" s="36"/>
      <c r="EU131" s="36"/>
      <c r="EV131" s="36"/>
      <c r="EW131" s="36"/>
      <c r="EX131" s="36"/>
      <c r="EY131" s="36"/>
      <c r="EZ131" s="36"/>
      <c r="FA131" s="36"/>
      <c r="FB131" s="36"/>
      <c r="FC131" s="36"/>
      <c r="FD131" s="36"/>
      <c r="FE131" s="36"/>
      <c r="FF131" s="36"/>
      <c r="FG131" s="36"/>
      <c r="FH131" s="36"/>
      <c r="FI131" s="36"/>
      <c r="FJ131" s="36"/>
      <c r="FK131" s="36"/>
      <c r="FL131" s="36"/>
      <c r="FM131" s="36"/>
      <c r="FN131" s="36"/>
      <c r="FO131" s="36"/>
      <c r="FP131" s="36"/>
      <c r="FQ131" s="36"/>
      <c r="FR131" s="36"/>
      <c r="FS131" s="36"/>
      <c r="FT131" s="36"/>
      <c r="FU131" s="36"/>
      <c r="FV131" s="36"/>
      <c r="FW131" s="36"/>
      <c r="FX131" s="36"/>
      <c r="FY131" s="36"/>
      <c r="FZ131" s="36"/>
      <c r="GA131" s="6"/>
      <c r="GB131" s="6"/>
      <c r="GC131" s="36"/>
      <c r="GD131" s="36"/>
      <c r="GE131" s="36"/>
      <c r="GF131" s="36"/>
      <c r="GG131" s="36"/>
      <c r="GH131" s="36"/>
      <c r="GI131" s="36"/>
      <c r="GJ131" s="36"/>
      <c r="GK131" s="36"/>
      <c r="GL131" s="36"/>
      <c r="GM131" s="36"/>
      <c r="GN131" s="36"/>
      <c r="GO131" s="36"/>
      <c r="GP131" s="36"/>
      <c r="GQ131" s="36"/>
      <c r="GR131" s="36"/>
      <c r="GS131" s="36"/>
      <c r="GT131" s="36"/>
      <c r="GU131" s="36"/>
      <c r="GV131" s="6"/>
      <c r="GW131" s="36"/>
      <c r="GX131" s="36"/>
      <c r="GY131" s="36"/>
      <c r="GZ131" s="36"/>
      <c r="HA131" s="36"/>
      <c r="HB131" s="36"/>
      <c r="HC131" s="36"/>
      <c r="HD131" s="36"/>
      <c r="HE131" s="36"/>
      <c r="HF131" s="36"/>
      <c r="HG131" s="36"/>
      <c r="HH131" s="36"/>
      <c r="HI131" s="36"/>
      <c r="HJ131" s="36"/>
      <c r="HK131" s="36"/>
      <c r="HL131" s="36"/>
      <c r="HM131" s="36"/>
      <c r="HN131" s="36"/>
      <c r="HO131" s="36"/>
      <c r="HP131" s="36"/>
      <c r="HQ131" s="36"/>
      <c r="HR131" s="36"/>
      <c r="HS131" s="36"/>
      <c r="HT131" s="36"/>
      <c r="HU131" s="36"/>
      <c r="HV131" s="36"/>
      <c r="HW131" s="36"/>
      <c r="HX131" s="36"/>
      <c r="HY131" s="36"/>
      <c r="HZ131" s="36"/>
      <c r="IA131" s="36"/>
      <c r="IB131" s="36">
        <v>52</v>
      </c>
      <c r="IC131" s="36"/>
      <c r="ID131" s="36"/>
      <c r="IE131" s="36"/>
      <c r="IF131" s="36"/>
      <c r="IG131" s="36"/>
      <c r="IH131" s="36"/>
      <c r="II131" s="36"/>
      <c r="IJ131" s="36"/>
      <c r="IK131" s="36"/>
      <c r="IL131" s="36"/>
      <c r="IM131" s="36"/>
      <c r="IN131" s="36"/>
      <c r="IO131" s="36"/>
      <c r="IP131" s="36"/>
      <c r="IR131" s="2" t="s">
        <v>543</v>
      </c>
    </row>
    <row r="132" spans="1:252" ht="15.75" customHeight="1" x14ac:dyDescent="0.25">
      <c r="A132" s="36" t="s">
        <v>732</v>
      </c>
      <c r="B132" s="36" t="s">
        <v>737</v>
      </c>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36"/>
      <c r="BN132" s="36"/>
      <c r="BO132" s="36">
        <v>20</v>
      </c>
      <c r="BP132" s="6"/>
      <c r="BQ132" s="6"/>
      <c r="BR132" s="6"/>
      <c r="BS132" s="6"/>
      <c r="BT132" s="6"/>
      <c r="BU132" s="6"/>
      <c r="BV132" s="36"/>
      <c r="BW132" s="36"/>
      <c r="BX132" s="36"/>
      <c r="BY132" s="36"/>
      <c r="BZ132" s="36"/>
      <c r="CA132" s="36"/>
      <c r="CB132" s="36"/>
      <c r="CC132" s="36"/>
      <c r="CD132" s="36"/>
      <c r="CE132" s="36"/>
      <c r="CF132" s="36"/>
      <c r="CG132" s="36"/>
      <c r="CH132" s="36"/>
      <c r="CI132" s="36"/>
      <c r="CJ132" s="36"/>
      <c r="CK132" s="36"/>
      <c r="CL132" s="36"/>
      <c r="CM132" s="36"/>
      <c r="CN132" s="36"/>
      <c r="CO132" s="36"/>
      <c r="CP132" s="36"/>
      <c r="CQ132" s="36"/>
      <c r="CR132" s="36"/>
      <c r="CS132" s="36"/>
      <c r="CT132" s="36"/>
      <c r="CU132" s="36"/>
      <c r="CV132" s="36"/>
      <c r="CW132" s="36"/>
      <c r="CX132" s="36"/>
      <c r="CY132" s="36"/>
      <c r="CZ132" s="36"/>
      <c r="DA132" s="36"/>
      <c r="DB132" s="36"/>
      <c r="DC132" s="36"/>
      <c r="DD132" s="36"/>
      <c r="DE132" s="36"/>
      <c r="DF132" s="36"/>
      <c r="DG132" s="36"/>
      <c r="DH132" s="36"/>
      <c r="DI132" s="36"/>
      <c r="DJ132" s="36"/>
      <c r="DK132" s="36"/>
      <c r="DL132" s="36"/>
      <c r="DM132" s="36"/>
      <c r="DN132" s="36"/>
      <c r="DO132" s="36"/>
      <c r="DP132" s="36"/>
      <c r="DQ132" s="36"/>
      <c r="DR132" s="36"/>
      <c r="DS132" s="36"/>
      <c r="DT132" s="36"/>
      <c r="DU132" s="36"/>
      <c r="DV132" s="36"/>
      <c r="DW132" s="36"/>
      <c r="DX132" s="36"/>
      <c r="DY132" s="36"/>
      <c r="DZ132" s="36"/>
      <c r="EA132" s="36"/>
      <c r="EB132" s="36"/>
      <c r="EC132" s="36"/>
      <c r="ED132" s="36"/>
      <c r="EE132" s="36"/>
      <c r="EF132" s="36"/>
      <c r="EG132" s="36"/>
      <c r="EH132" s="36"/>
      <c r="EI132" s="36"/>
      <c r="EJ132" s="36"/>
      <c r="EK132" s="36"/>
      <c r="EL132" s="36"/>
      <c r="EM132" s="36"/>
      <c r="EN132" s="36"/>
      <c r="EO132" s="36"/>
      <c r="EP132" s="36"/>
      <c r="EQ132" s="36"/>
      <c r="ER132" s="36"/>
      <c r="ES132" s="36"/>
      <c r="ET132" s="36"/>
      <c r="EU132" s="36"/>
      <c r="EV132" s="36"/>
      <c r="EW132" s="36"/>
      <c r="EX132" s="36"/>
      <c r="EY132" s="36"/>
      <c r="EZ132" s="36"/>
      <c r="FA132" s="36"/>
      <c r="FB132" s="36"/>
      <c r="FC132" s="36"/>
      <c r="FD132" s="36"/>
      <c r="FE132" s="36"/>
      <c r="FF132" s="36"/>
      <c r="FG132" s="36"/>
      <c r="FH132" s="36"/>
      <c r="FI132" s="36"/>
      <c r="FJ132" s="36"/>
      <c r="FK132" s="36"/>
      <c r="FL132" s="36"/>
      <c r="FM132" s="36"/>
      <c r="FN132" s="36"/>
      <c r="FO132" s="36"/>
      <c r="FP132" s="36"/>
      <c r="FQ132" s="36"/>
      <c r="FR132" s="36"/>
      <c r="FS132" s="36"/>
      <c r="FT132" s="36"/>
      <c r="FU132" s="36"/>
      <c r="FV132" s="36"/>
      <c r="FW132" s="36"/>
      <c r="FX132" s="36"/>
      <c r="FY132" s="36"/>
      <c r="FZ132" s="36"/>
      <c r="GA132" s="6"/>
      <c r="GB132" s="6"/>
      <c r="GC132" s="36"/>
      <c r="GD132" s="36"/>
      <c r="GE132" s="36"/>
      <c r="GF132" s="36"/>
      <c r="GG132" s="36"/>
      <c r="GH132" s="36"/>
      <c r="GI132" s="36"/>
      <c r="GJ132" s="36"/>
      <c r="GK132" s="36"/>
      <c r="GL132" s="36"/>
      <c r="GM132" s="36"/>
      <c r="GN132" s="36"/>
      <c r="GO132" s="36"/>
      <c r="GP132" s="36"/>
      <c r="GQ132" s="36"/>
      <c r="GR132" s="36"/>
      <c r="GS132" s="36"/>
      <c r="GT132" s="36"/>
      <c r="GU132" s="36"/>
      <c r="GV132" s="6"/>
      <c r="GW132" s="36"/>
      <c r="GX132" s="36"/>
      <c r="GY132" s="36"/>
      <c r="GZ132" s="36"/>
      <c r="HA132" s="36"/>
      <c r="HB132" s="36"/>
      <c r="HC132" s="36"/>
      <c r="HD132" s="36"/>
      <c r="HE132" s="36"/>
      <c r="HF132" s="36"/>
      <c r="HG132" s="36"/>
      <c r="HH132" s="36"/>
      <c r="HI132" s="36"/>
      <c r="HJ132" s="36"/>
      <c r="HK132" s="36"/>
      <c r="HL132" s="36"/>
      <c r="HM132" s="36"/>
      <c r="HN132" s="36"/>
      <c r="HO132" s="36"/>
      <c r="HP132" s="36"/>
      <c r="HQ132" s="36"/>
      <c r="HR132" s="36"/>
      <c r="HS132" s="36"/>
      <c r="HT132" s="36"/>
      <c r="HU132" s="36"/>
      <c r="HV132" s="36"/>
      <c r="HW132" s="36"/>
      <c r="HX132" s="36"/>
      <c r="HY132" s="36"/>
      <c r="HZ132" s="36"/>
      <c r="IA132" s="36"/>
      <c r="IB132" s="36"/>
      <c r="IC132" s="36"/>
      <c r="ID132" s="36"/>
      <c r="IE132" s="36"/>
      <c r="IF132" s="36"/>
      <c r="IG132" s="36"/>
      <c r="IH132" s="36"/>
      <c r="II132" s="36"/>
      <c r="IJ132" s="36"/>
      <c r="IK132" s="36"/>
      <c r="IL132" s="36"/>
      <c r="IM132" s="36"/>
      <c r="IN132" s="36"/>
      <c r="IO132" s="36"/>
      <c r="IP132" s="36"/>
      <c r="IR132" s="2" t="s">
        <v>543</v>
      </c>
    </row>
    <row r="133" spans="1:252" ht="15.75" customHeight="1" x14ac:dyDescent="0.25">
      <c r="A133" s="36" t="s">
        <v>739</v>
      </c>
      <c r="B133" s="36" t="s">
        <v>740</v>
      </c>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36"/>
      <c r="BN133" s="36"/>
      <c r="BO133" s="36"/>
      <c r="BP133" s="6"/>
      <c r="BQ133" s="6"/>
      <c r="BR133" s="6"/>
      <c r="BS133" s="6"/>
      <c r="BT133" s="6"/>
      <c r="BU133" s="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224">
        <v>18</v>
      </c>
      <c r="DW133" s="36"/>
      <c r="DX133" s="36"/>
      <c r="DY133" s="36"/>
      <c r="DZ133" s="36"/>
      <c r="EA133" s="36"/>
      <c r="EB133" s="36"/>
      <c r="EC133" s="36"/>
      <c r="ED133" s="36"/>
      <c r="EE133" s="36"/>
      <c r="EF133" s="36"/>
      <c r="EG133" s="36"/>
      <c r="EH133" s="36"/>
      <c r="EI133" s="36"/>
      <c r="EJ133" s="36"/>
      <c r="EK133" s="36"/>
      <c r="EL133" s="36"/>
      <c r="EM133" s="36"/>
      <c r="EN133" s="36"/>
      <c r="EO133" s="36"/>
      <c r="EP133" s="36"/>
      <c r="EQ133" s="36">
        <v>25</v>
      </c>
      <c r="ER133" s="36"/>
      <c r="ES133" s="36"/>
      <c r="ET133" s="36"/>
      <c r="EU133" s="36"/>
      <c r="EV133" s="36"/>
      <c r="EW133" s="36"/>
      <c r="EX133" s="36"/>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v>25</v>
      </c>
      <c r="FZ133" s="36">
        <v>50</v>
      </c>
      <c r="GA133" s="6"/>
      <c r="GB133" s="6"/>
      <c r="GC133" s="36"/>
      <c r="GD133" s="36"/>
      <c r="GE133" s="36"/>
      <c r="GF133" s="36">
        <v>25</v>
      </c>
      <c r="GG133" s="36"/>
      <c r="GH133" s="36"/>
      <c r="GI133" s="36"/>
      <c r="GJ133" s="36"/>
      <c r="GK133" s="36"/>
      <c r="GL133" s="36"/>
      <c r="GM133" s="36">
        <v>50</v>
      </c>
      <c r="GN133" s="36"/>
      <c r="GO133" s="36"/>
      <c r="GP133" s="36"/>
      <c r="GQ133" s="36">
        <v>25</v>
      </c>
      <c r="GR133" s="36">
        <v>25</v>
      </c>
      <c r="GS133" s="36"/>
      <c r="GT133" s="36"/>
      <c r="GU133" s="36"/>
      <c r="GV133" s="6"/>
      <c r="GW133" s="36"/>
      <c r="GX133" s="36"/>
      <c r="GY133" s="36"/>
      <c r="GZ133" s="36"/>
      <c r="HA133" s="36"/>
      <c r="HB133" s="36"/>
      <c r="HC133" s="36"/>
      <c r="HD133" s="36"/>
      <c r="HE133" s="36"/>
      <c r="HF133" s="36"/>
      <c r="HG133" s="36"/>
      <c r="HH133" s="36"/>
      <c r="HI133" s="36"/>
      <c r="HJ133" s="36"/>
      <c r="HK133" s="36"/>
      <c r="HL133" s="36"/>
      <c r="HM133" s="36"/>
      <c r="HN133" s="36"/>
      <c r="HO133" s="36"/>
      <c r="HP133" s="36"/>
      <c r="HQ133" s="36"/>
      <c r="HR133" s="36"/>
      <c r="HS133" s="36"/>
      <c r="HT133" s="36"/>
      <c r="HU133" s="36"/>
      <c r="HV133" s="36"/>
      <c r="HW133" s="36"/>
      <c r="HX133" s="36"/>
      <c r="HY133" s="36"/>
      <c r="HZ133" s="36"/>
      <c r="IA133" s="36"/>
      <c r="IB133" s="36"/>
      <c r="IC133" s="36"/>
      <c r="ID133" s="36"/>
      <c r="IE133" s="36"/>
      <c r="IF133" s="36"/>
      <c r="IG133" s="36"/>
      <c r="IH133" s="36"/>
      <c r="II133" s="36"/>
      <c r="IJ133" s="36"/>
      <c r="IK133" s="36"/>
      <c r="IL133" s="36"/>
      <c r="IM133" s="36"/>
      <c r="IN133" s="36"/>
      <c r="IO133" s="36"/>
      <c r="IP133" s="36"/>
      <c r="IR133" s="2" t="s">
        <v>543</v>
      </c>
    </row>
    <row r="134" spans="1:252" ht="15.75" customHeight="1" x14ac:dyDescent="0.25">
      <c r="A134" s="36" t="s">
        <v>507</v>
      </c>
      <c r="B134" s="36" t="s">
        <v>744</v>
      </c>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36"/>
      <c r="BN134" s="36"/>
      <c r="BO134" s="36"/>
      <c r="BP134" s="6"/>
      <c r="BQ134" s="6"/>
      <c r="BR134" s="6"/>
      <c r="BS134" s="6"/>
      <c r="BT134" s="6"/>
      <c r="BU134" s="6"/>
      <c r="BV134" s="36">
        <v>30</v>
      </c>
      <c r="BW134" s="36"/>
      <c r="BX134" s="36">
        <v>10</v>
      </c>
      <c r="BY134" s="36"/>
      <c r="BZ134" s="36">
        <v>20</v>
      </c>
      <c r="CA134" s="36">
        <v>20</v>
      </c>
      <c r="CB134" s="36">
        <v>50</v>
      </c>
      <c r="CC134" s="36"/>
      <c r="CD134" s="36"/>
      <c r="CE134" s="36"/>
      <c r="CF134" s="36"/>
      <c r="CG134" s="36"/>
      <c r="CH134" s="36">
        <v>10</v>
      </c>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c r="DI134" s="36"/>
      <c r="DJ134" s="36"/>
      <c r="DK134" s="36"/>
      <c r="DL134" s="36"/>
      <c r="DM134" s="36"/>
      <c r="DN134" s="36"/>
      <c r="DO134" s="36"/>
      <c r="DP134" s="36"/>
      <c r="DQ134" s="36"/>
      <c r="DR134" s="36"/>
      <c r="DS134" s="36"/>
      <c r="DT134" s="36"/>
      <c r="DU134" s="36"/>
      <c r="DV134" s="36"/>
      <c r="DW134" s="36"/>
      <c r="DX134" s="36"/>
      <c r="DY134" s="36"/>
      <c r="DZ134" s="36"/>
      <c r="EA134" s="36"/>
      <c r="EB134" s="36"/>
      <c r="EC134" s="36"/>
      <c r="ED134" s="36"/>
      <c r="EE134" s="36"/>
      <c r="EF134" s="36"/>
      <c r="EG134" s="36"/>
      <c r="EH134" s="36"/>
      <c r="EI134" s="36"/>
      <c r="EJ134" s="36"/>
      <c r="EK134" s="36"/>
      <c r="EL134" s="36"/>
      <c r="EM134" s="36"/>
      <c r="EN134" s="36"/>
      <c r="EO134" s="36"/>
      <c r="EP134" s="36"/>
      <c r="EQ134" s="36"/>
      <c r="ER134" s="36"/>
      <c r="ES134" s="36"/>
      <c r="ET134" s="36"/>
      <c r="EU134" s="36"/>
      <c r="EV134" s="36"/>
      <c r="EW134" s="36"/>
      <c r="EX134" s="36"/>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6"/>
      <c r="GB134" s="6"/>
      <c r="GC134" s="36"/>
      <c r="GD134" s="36"/>
      <c r="GE134" s="36"/>
      <c r="GF134" s="36"/>
      <c r="GG134" s="36"/>
      <c r="GH134" s="36"/>
      <c r="GI134" s="36"/>
      <c r="GJ134" s="36"/>
      <c r="GK134" s="36"/>
      <c r="GL134" s="36"/>
      <c r="GM134" s="36"/>
      <c r="GN134" s="36"/>
      <c r="GO134" s="36"/>
      <c r="GP134" s="36"/>
      <c r="GQ134" s="36"/>
      <c r="GR134" s="36"/>
      <c r="GS134" s="36"/>
      <c r="GT134" s="36"/>
      <c r="GU134" s="36"/>
      <c r="GV134" s="6"/>
      <c r="GW134" s="36"/>
      <c r="GX134" s="36"/>
      <c r="GY134" s="36"/>
      <c r="GZ134" s="36"/>
      <c r="HA134" s="36"/>
      <c r="HB134" s="36"/>
      <c r="HC134" s="36"/>
      <c r="HD134" s="36"/>
      <c r="HE134" s="36"/>
      <c r="HF134" s="36"/>
      <c r="HG134" s="36"/>
      <c r="HH134" s="36"/>
      <c r="HI134" s="36"/>
      <c r="HJ134" s="36"/>
      <c r="HK134" s="36"/>
      <c r="HL134" s="36"/>
      <c r="HM134" s="36"/>
      <c r="HN134" s="36"/>
      <c r="HO134" s="36">
        <v>30</v>
      </c>
      <c r="HP134" s="36">
        <v>30</v>
      </c>
      <c r="HQ134" s="36">
        <v>30</v>
      </c>
      <c r="HR134" s="36">
        <v>30</v>
      </c>
      <c r="HS134" s="36"/>
      <c r="HT134" s="36"/>
      <c r="HU134" s="36">
        <v>10</v>
      </c>
      <c r="HV134" s="36"/>
      <c r="HW134" s="36"/>
      <c r="HX134" s="36"/>
      <c r="HY134" s="36"/>
      <c r="HZ134" s="36"/>
      <c r="IA134" s="36"/>
      <c r="IB134" s="36"/>
      <c r="IC134" s="36"/>
      <c r="ID134" s="36"/>
      <c r="IE134" s="36"/>
      <c r="IF134" s="36"/>
      <c r="IG134" s="36"/>
      <c r="IH134" s="36"/>
      <c r="II134" s="36"/>
      <c r="IJ134" s="36"/>
      <c r="IK134" s="36"/>
      <c r="IL134" s="36"/>
      <c r="IM134" s="36"/>
      <c r="IN134" s="36"/>
      <c r="IO134" s="36"/>
      <c r="IP134" s="36"/>
      <c r="IR134" s="2" t="s">
        <v>543</v>
      </c>
    </row>
    <row r="135" spans="1:252" ht="15.75" customHeight="1" x14ac:dyDescent="0.25">
      <c r="A135" s="36" t="s">
        <v>507</v>
      </c>
      <c r="B135" s="36" t="s">
        <v>745</v>
      </c>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36"/>
      <c r="BN135" s="36"/>
      <c r="BO135" s="36"/>
      <c r="BP135" s="6"/>
      <c r="BQ135" s="6"/>
      <c r="BR135" s="6"/>
      <c r="BS135" s="6"/>
      <c r="BT135" s="6"/>
      <c r="BU135" s="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c r="DI135" s="36"/>
      <c r="DJ135" s="36"/>
      <c r="DK135" s="36"/>
      <c r="DL135" s="36"/>
      <c r="DM135" s="36"/>
      <c r="DN135" s="36"/>
      <c r="DO135" s="36"/>
      <c r="DP135" s="36"/>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c r="EQ135" s="36"/>
      <c r="ER135" s="36"/>
      <c r="ES135" s="36"/>
      <c r="ET135" s="36"/>
      <c r="EU135" s="36"/>
      <c r="EV135" s="36"/>
      <c r="EW135" s="36"/>
      <c r="EX135" s="36"/>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6"/>
      <c r="GB135" s="6"/>
      <c r="GC135" s="36"/>
      <c r="GD135" s="36"/>
      <c r="GE135" s="36"/>
      <c r="GF135" s="36"/>
      <c r="GG135" s="36"/>
      <c r="GH135" s="36"/>
      <c r="GI135" s="36"/>
      <c r="GJ135" s="36"/>
      <c r="GK135" s="36"/>
      <c r="GL135" s="36"/>
      <c r="GM135" s="36"/>
      <c r="GN135" s="36"/>
      <c r="GO135" s="36"/>
      <c r="GP135" s="36"/>
      <c r="GQ135" s="36"/>
      <c r="GR135" s="36"/>
      <c r="GS135" s="36"/>
      <c r="GT135" s="36"/>
      <c r="GU135" s="36"/>
      <c r="GV135" s="6"/>
      <c r="GW135" s="36"/>
      <c r="GX135" s="36"/>
      <c r="GY135" s="36"/>
      <c r="GZ135" s="36"/>
      <c r="HA135" s="36"/>
      <c r="HB135" s="36"/>
      <c r="HC135" s="36"/>
      <c r="HD135" s="36"/>
      <c r="HE135" s="36"/>
      <c r="HF135" s="36"/>
      <c r="HG135" s="36"/>
      <c r="HH135" s="36"/>
      <c r="HI135" s="36"/>
      <c r="HJ135" s="36"/>
      <c r="HK135" s="36"/>
      <c r="HL135" s="36"/>
      <c r="HM135" s="36"/>
      <c r="HN135" s="36"/>
      <c r="HO135" s="36"/>
      <c r="HP135" s="36"/>
      <c r="HQ135" s="36"/>
      <c r="HR135" s="36"/>
      <c r="HS135" s="36"/>
      <c r="HT135" s="36"/>
      <c r="HU135" s="36"/>
      <c r="HV135" s="36">
        <v>50</v>
      </c>
      <c r="HW135" s="36">
        <v>5</v>
      </c>
      <c r="HX135" s="36"/>
      <c r="HY135" s="36"/>
      <c r="HZ135" s="36"/>
      <c r="IA135" s="36">
        <v>28</v>
      </c>
      <c r="IB135" s="36"/>
      <c r="IC135" s="36"/>
      <c r="ID135" s="36"/>
      <c r="IE135" s="36"/>
      <c r="IF135" s="36"/>
      <c r="IG135" s="36"/>
      <c r="IH135" s="36"/>
      <c r="II135" s="36"/>
      <c r="IJ135" s="36"/>
      <c r="IK135" s="36"/>
      <c r="IL135" s="36"/>
      <c r="IM135" s="36"/>
      <c r="IN135" s="36"/>
      <c r="IO135" s="36"/>
      <c r="IP135" s="36"/>
      <c r="IR135" s="2" t="s">
        <v>543</v>
      </c>
    </row>
    <row r="136" spans="1:252" ht="15.75" customHeight="1" x14ac:dyDescent="0.25">
      <c r="A136" s="36" t="s">
        <v>507</v>
      </c>
      <c r="B136" s="36" t="s">
        <v>746</v>
      </c>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v>40</v>
      </c>
      <c r="BP136" s="6"/>
      <c r="BQ136" s="6"/>
      <c r="BR136" s="6"/>
      <c r="BS136" s="6"/>
      <c r="BT136" s="6"/>
      <c r="BU136" s="6"/>
      <c r="BV136" s="36"/>
      <c r="BW136" s="36"/>
      <c r="BX136" s="36"/>
      <c r="BY136" s="36"/>
      <c r="BZ136" s="36"/>
      <c r="CA136" s="36">
        <v>50</v>
      </c>
      <c r="CB136" s="36">
        <v>130</v>
      </c>
      <c r="CC136" s="36"/>
      <c r="CD136" s="36"/>
      <c r="CE136" s="36"/>
      <c r="CF136" s="36"/>
      <c r="CG136" s="36"/>
      <c r="CH136" s="36"/>
      <c r="CI136" s="36"/>
      <c r="CJ136" s="36"/>
      <c r="CK136" s="36"/>
      <c r="CL136" s="36"/>
      <c r="CM136" s="36"/>
      <c r="CN136" s="36"/>
      <c r="CO136" s="36"/>
      <c r="CP136" s="36"/>
      <c r="CQ136" s="36"/>
      <c r="CR136" s="36"/>
      <c r="CS136" s="36"/>
      <c r="CT136" s="36"/>
      <c r="CU136" s="36"/>
      <c r="CV136" s="36"/>
      <c r="CW136" s="36"/>
      <c r="CX136" s="36"/>
      <c r="CY136" s="36"/>
      <c r="CZ136" s="36"/>
      <c r="DA136" s="36"/>
      <c r="DB136" s="36"/>
      <c r="DC136" s="36"/>
      <c r="DD136" s="36"/>
      <c r="DE136" s="36"/>
      <c r="DF136" s="36"/>
      <c r="DG136" s="36"/>
      <c r="DH136" s="36"/>
      <c r="DI136" s="36"/>
      <c r="DJ136" s="36"/>
      <c r="DK136" s="36"/>
      <c r="DL136" s="36"/>
      <c r="DM136" s="36"/>
      <c r="DN136" s="36"/>
      <c r="DO136" s="36"/>
      <c r="DP136" s="36"/>
      <c r="DQ136" s="36"/>
      <c r="DR136" s="36"/>
      <c r="DS136" s="36"/>
      <c r="DT136" s="36"/>
      <c r="DU136" s="36"/>
      <c r="DV136" s="36"/>
      <c r="DW136" s="36"/>
      <c r="DX136" s="36"/>
      <c r="DY136" s="36"/>
      <c r="DZ136" s="36"/>
      <c r="EA136" s="36"/>
      <c r="EB136" s="36"/>
      <c r="EC136" s="36"/>
      <c r="ED136" s="36"/>
      <c r="EE136" s="36"/>
      <c r="EF136" s="36"/>
      <c r="EG136" s="36"/>
      <c r="EH136" s="36"/>
      <c r="EI136" s="36"/>
      <c r="EJ136" s="36"/>
      <c r="EK136" s="36"/>
      <c r="EL136" s="36"/>
      <c r="EM136" s="36"/>
      <c r="EN136" s="36"/>
      <c r="EO136" s="36"/>
      <c r="EP136" s="36"/>
      <c r="EQ136" s="36"/>
      <c r="ER136" s="36"/>
      <c r="ES136" s="36"/>
      <c r="ET136" s="36"/>
      <c r="EU136" s="36"/>
      <c r="EV136" s="36"/>
      <c r="EW136" s="36"/>
      <c r="EX136" s="36"/>
      <c r="EY136" s="36"/>
      <c r="EZ136" s="36"/>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6"/>
      <c r="GB136" s="6"/>
      <c r="GC136" s="36"/>
      <c r="GD136" s="36"/>
      <c r="GE136" s="36"/>
      <c r="GF136" s="36"/>
      <c r="GG136" s="36"/>
      <c r="GH136" s="36"/>
      <c r="GI136" s="36"/>
      <c r="GJ136" s="36"/>
      <c r="GK136" s="36"/>
      <c r="GL136" s="36"/>
      <c r="GM136" s="36"/>
      <c r="GN136" s="36"/>
      <c r="GO136" s="36"/>
      <c r="GP136" s="36"/>
      <c r="GQ136" s="36"/>
      <c r="GR136" s="36"/>
      <c r="GS136" s="36"/>
      <c r="GT136" s="36"/>
      <c r="GU136" s="36"/>
      <c r="GV136" s="6"/>
      <c r="GW136" s="36"/>
      <c r="GX136" s="36"/>
      <c r="GY136" s="36"/>
      <c r="GZ136" s="36"/>
      <c r="HA136" s="36"/>
      <c r="HB136" s="36"/>
      <c r="HC136" s="36"/>
      <c r="HD136" s="36"/>
      <c r="HE136" s="36"/>
      <c r="HF136" s="36"/>
      <c r="HG136" s="36"/>
      <c r="HH136" s="36"/>
      <c r="HI136" s="36"/>
      <c r="HJ136" s="36"/>
      <c r="HK136" s="36"/>
      <c r="HL136" s="36"/>
      <c r="HM136" s="36"/>
      <c r="HN136" s="36"/>
      <c r="HO136" s="36">
        <v>200</v>
      </c>
      <c r="HP136" s="36"/>
      <c r="HQ136" s="36">
        <v>200</v>
      </c>
      <c r="HR136" s="36"/>
      <c r="HS136" s="36"/>
      <c r="HT136" s="36"/>
      <c r="HU136" s="36"/>
      <c r="HV136" s="36">
        <v>25</v>
      </c>
      <c r="HW136" s="36"/>
      <c r="HX136" s="36"/>
      <c r="HY136" s="36"/>
      <c r="HZ136" s="36"/>
      <c r="IA136" s="36"/>
      <c r="IB136" s="36"/>
      <c r="IC136" s="36"/>
      <c r="ID136" s="36"/>
      <c r="IE136" s="36"/>
      <c r="IF136" s="36"/>
      <c r="IG136" s="36"/>
      <c r="IH136" s="36"/>
      <c r="II136" s="36"/>
      <c r="IJ136" s="36"/>
      <c r="IK136" s="36"/>
      <c r="IL136" s="36"/>
      <c r="IM136" s="36"/>
      <c r="IN136" s="36"/>
      <c r="IO136" s="36"/>
      <c r="IP136" s="36"/>
      <c r="IR136" s="2" t="s">
        <v>543</v>
      </c>
    </row>
    <row r="137" spans="1:252" ht="15.75" customHeight="1" x14ac:dyDescent="0.25">
      <c r="A137" s="36" t="s">
        <v>507</v>
      </c>
      <c r="B137" s="36" t="s">
        <v>747</v>
      </c>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36"/>
      <c r="BN137" s="36"/>
      <c r="BO137" s="36"/>
      <c r="BP137" s="6"/>
      <c r="BQ137" s="6"/>
      <c r="BR137" s="6"/>
      <c r="BS137" s="6"/>
      <c r="BT137" s="6"/>
      <c r="BU137" s="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c r="CZ137" s="36"/>
      <c r="DA137" s="36"/>
      <c r="DB137" s="36"/>
      <c r="DC137" s="36"/>
      <c r="DD137" s="36"/>
      <c r="DE137" s="36"/>
      <c r="DF137" s="36"/>
      <c r="DG137" s="36"/>
      <c r="DH137" s="36"/>
      <c r="DI137" s="36"/>
      <c r="DJ137" s="36"/>
      <c r="DK137" s="36"/>
      <c r="DL137" s="36"/>
      <c r="DM137" s="36"/>
      <c r="DN137" s="36"/>
      <c r="DO137" s="36"/>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6"/>
      <c r="GB137" s="6"/>
      <c r="GC137" s="36"/>
      <c r="GD137" s="36"/>
      <c r="GE137" s="36"/>
      <c r="GF137" s="36"/>
      <c r="GG137" s="36"/>
      <c r="GH137" s="36"/>
      <c r="GI137" s="36"/>
      <c r="GJ137" s="36"/>
      <c r="GK137" s="36"/>
      <c r="GL137" s="36"/>
      <c r="GM137" s="36"/>
      <c r="GN137" s="36"/>
      <c r="GO137" s="36"/>
      <c r="GP137" s="36"/>
      <c r="GQ137" s="36"/>
      <c r="GR137" s="36"/>
      <c r="GS137" s="36"/>
      <c r="GT137" s="36"/>
      <c r="GU137" s="36"/>
      <c r="GV137" s="6"/>
      <c r="GW137" s="36"/>
      <c r="GX137" s="36"/>
      <c r="GY137" s="36"/>
      <c r="GZ137" s="36"/>
      <c r="HA137" s="36"/>
      <c r="HB137" s="36"/>
      <c r="HC137" s="36"/>
      <c r="HD137" s="36"/>
      <c r="HE137" s="36"/>
      <c r="HF137" s="36"/>
      <c r="HG137" s="36"/>
      <c r="HH137" s="36"/>
      <c r="HI137" s="36"/>
      <c r="HJ137" s="36"/>
      <c r="HK137" s="36"/>
      <c r="HL137" s="36"/>
      <c r="HM137" s="36"/>
      <c r="HN137" s="36"/>
      <c r="HO137" s="36">
        <v>400</v>
      </c>
      <c r="HP137" s="36">
        <v>400</v>
      </c>
      <c r="HQ137" s="36"/>
      <c r="HR137" s="36"/>
      <c r="HS137" s="36"/>
      <c r="HT137" s="36"/>
      <c r="HU137" s="36"/>
      <c r="HV137" s="36">
        <v>100</v>
      </c>
      <c r="HW137" s="36"/>
      <c r="HX137" s="36"/>
      <c r="HY137" s="36"/>
      <c r="HZ137" s="36"/>
      <c r="IA137" s="36"/>
      <c r="IB137" s="36"/>
      <c r="IC137" s="36"/>
      <c r="ID137" s="36"/>
      <c r="IE137" s="36"/>
      <c r="IF137" s="36"/>
      <c r="IG137" s="36"/>
      <c r="IH137" s="36"/>
      <c r="II137" s="36"/>
      <c r="IJ137" s="36"/>
      <c r="IK137" s="36"/>
      <c r="IL137" s="36"/>
      <c r="IM137" s="36"/>
      <c r="IN137" s="36"/>
      <c r="IO137" s="36"/>
      <c r="IP137" s="36"/>
      <c r="IR137" s="2" t="s">
        <v>543</v>
      </c>
    </row>
    <row r="138" spans="1:252" ht="15.75" customHeight="1" x14ac:dyDescent="0.25">
      <c r="A138" s="286" t="s">
        <v>748</v>
      </c>
      <c r="B138" s="286" t="s">
        <v>749</v>
      </c>
      <c r="C138" s="286"/>
      <c r="D138" s="286"/>
      <c r="E138" s="286"/>
      <c r="F138" s="286"/>
      <c r="G138" s="286"/>
      <c r="H138" s="286"/>
      <c r="I138" s="286"/>
      <c r="J138" s="286"/>
      <c r="K138" s="286"/>
      <c r="L138" s="286"/>
      <c r="M138" s="286"/>
      <c r="N138" s="286"/>
      <c r="O138" s="286"/>
      <c r="P138" s="286"/>
      <c r="Q138" s="286"/>
      <c r="R138" s="286"/>
      <c r="S138" s="286"/>
      <c r="T138" s="286"/>
      <c r="U138" s="286"/>
      <c r="V138" s="286"/>
      <c r="W138" s="286"/>
      <c r="X138" s="286"/>
      <c r="Y138" s="286"/>
      <c r="Z138" s="286"/>
      <c r="AA138" s="286"/>
      <c r="AB138" s="286"/>
      <c r="AC138" s="286"/>
      <c r="AD138" s="286"/>
      <c r="AE138" s="286"/>
      <c r="AF138" s="286"/>
      <c r="AG138" s="286"/>
      <c r="AH138" s="286"/>
      <c r="AI138" s="286"/>
      <c r="AJ138" s="286"/>
      <c r="AK138" s="286"/>
      <c r="AL138" s="286"/>
      <c r="AM138" s="286"/>
      <c r="AN138" s="286"/>
      <c r="AO138" s="286"/>
      <c r="AP138" s="286"/>
      <c r="AQ138" s="286"/>
      <c r="AR138" s="286"/>
      <c r="AS138" s="286"/>
      <c r="AT138" s="286"/>
      <c r="AU138" s="286"/>
      <c r="AV138" s="286"/>
      <c r="AW138" s="286"/>
      <c r="AX138" s="286"/>
      <c r="AY138" s="286"/>
      <c r="AZ138" s="286"/>
      <c r="BA138" s="286"/>
      <c r="BB138" s="286"/>
      <c r="BC138" s="286"/>
      <c r="BD138" s="286"/>
      <c r="BE138" s="286"/>
      <c r="BF138" s="286"/>
      <c r="BG138" s="286"/>
      <c r="BH138" s="286"/>
      <c r="BI138" s="286"/>
      <c r="BJ138" s="286"/>
      <c r="BK138" s="286"/>
      <c r="BL138" s="286"/>
      <c r="BM138" s="286"/>
      <c r="BN138" s="286"/>
      <c r="BO138" s="286"/>
      <c r="BP138" s="348"/>
      <c r="BQ138" s="348"/>
      <c r="BR138" s="348"/>
      <c r="BS138" s="348"/>
      <c r="BT138" s="348"/>
      <c r="BU138" s="348"/>
      <c r="BV138" s="286"/>
      <c r="BW138" s="286"/>
      <c r="BX138" s="286"/>
      <c r="BY138" s="286"/>
      <c r="BZ138" s="286"/>
      <c r="CA138" s="286"/>
      <c r="CB138" s="286"/>
      <c r="CC138" s="286"/>
      <c r="CD138" s="286"/>
      <c r="CE138" s="286"/>
      <c r="CF138" s="286"/>
      <c r="CG138" s="286"/>
      <c r="CH138" s="286"/>
      <c r="CI138" s="286"/>
      <c r="CJ138" s="286"/>
      <c r="CK138" s="286"/>
      <c r="CL138" s="286"/>
      <c r="CM138" s="286"/>
      <c r="CN138" s="286"/>
      <c r="CO138" s="286"/>
      <c r="CP138" s="286"/>
      <c r="CQ138" s="286"/>
      <c r="CR138" s="286"/>
      <c r="CS138" s="286"/>
      <c r="CT138" s="286"/>
      <c r="CU138" s="286"/>
      <c r="CV138" s="286"/>
      <c r="CW138" s="286"/>
      <c r="CX138" s="286"/>
      <c r="CY138" s="286"/>
      <c r="CZ138" s="286"/>
      <c r="DA138" s="286"/>
      <c r="DB138" s="286"/>
      <c r="DC138" s="286"/>
      <c r="DD138" s="286"/>
      <c r="DE138" s="286"/>
      <c r="DF138" s="286"/>
      <c r="DG138" s="286"/>
      <c r="DH138" s="286"/>
      <c r="DI138" s="286"/>
      <c r="DJ138" s="286"/>
      <c r="DK138" s="286"/>
      <c r="DL138" s="286"/>
      <c r="DM138" s="286"/>
      <c r="DN138" s="286"/>
      <c r="DO138" s="286"/>
      <c r="DP138" s="286"/>
      <c r="DQ138" s="286"/>
      <c r="DR138" s="286"/>
      <c r="DS138" s="286"/>
      <c r="DT138" s="286"/>
      <c r="DU138" s="286"/>
      <c r="DV138" s="286"/>
      <c r="DW138" s="286"/>
      <c r="DX138" s="286"/>
      <c r="DY138" s="286"/>
      <c r="DZ138" s="286"/>
      <c r="EA138" s="286"/>
      <c r="EB138" s="286"/>
      <c r="EC138" s="286"/>
      <c r="ED138" s="286"/>
      <c r="EE138" s="286"/>
      <c r="EF138" s="286"/>
      <c r="EG138" s="286"/>
      <c r="EH138" s="286"/>
      <c r="EI138" s="286"/>
      <c r="EJ138" s="286"/>
      <c r="EK138" s="286"/>
      <c r="EL138" s="286"/>
      <c r="EM138" s="286"/>
      <c r="EN138" s="286"/>
      <c r="EO138" s="286"/>
      <c r="EP138" s="286"/>
      <c r="EQ138" s="286"/>
      <c r="ER138" s="286"/>
      <c r="ES138" s="286"/>
      <c r="ET138" s="286"/>
      <c r="EU138" s="286"/>
      <c r="EV138" s="286"/>
      <c r="EW138" s="286"/>
      <c r="EX138" s="286"/>
      <c r="EY138" s="286"/>
      <c r="EZ138" s="286"/>
      <c r="FA138" s="286"/>
      <c r="FB138" s="286"/>
      <c r="FC138" s="286"/>
      <c r="FD138" s="286"/>
      <c r="FE138" s="286"/>
      <c r="FF138" s="286"/>
      <c r="FG138" s="286"/>
      <c r="FH138" s="286"/>
      <c r="FI138" s="286"/>
      <c r="FJ138" s="286"/>
      <c r="FK138" s="286"/>
      <c r="FL138" s="286"/>
      <c r="FM138" s="286"/>
      <c r="FN138" s="286"/>
      <c r="FO138" s="286"/>
      <c r="FP138" s="286"/>
      <c r="FQ138" s="286"/>
      <c r="FR138" s="286"/>
      <c r="FS138" s="286"/>
      <c r="FT138" s="286"/>
      <c r="FU138" s="286"/>
      <c r="FV138" s="286"/>
      <c r="FW138" s="286"/>
      <c r="FX138" s="286"/>
      <c r="FY138" s="286"/>
      <c r="FZ138" s="286"/>
      <c r="GA138" s="348"/>
      <c r="GB138" s="348"/>
      <c r="GC138" s="286"/>
      <c r="GD138" s="286"/>
      <c r="GE138" s="286"/>
      <c r="GF138" s="286"/>
      <c r="GG138" s="286"/>
      <c r="GH138" s="286"/>
      <c r="GI138" s="286"/>
      <c r="GJ138" s="286"/>
      <c r="GK138" s="286"/>
      <c r="GL138" s="286"/>
      <c r="GM138" s="286"/>
      <c r="GN138" s="286"/>
      <c r="GO138" s="286"/>
      <c r="GP138" s="286"/>
      <c r="GQ138" s="286"/>
      <c r="GR138" s="286"/>
      <c r="GS138" s="286"/>
      <c r="GT138" s="286"/>
      <c r="GU138" s="286"/>
      <c r="GV138" s="348"/>
      <c r="GW138" s="286"/>
      <c r="GX138" s="286"/>
      <c r="GY138" s="286"/>
      <c r="GZ138" s="286"/>
      <c r="HA138" s="286"/>
      <c r="HB138" s="286"/>
      <c r="HC138" s="286"/>
      <c r="HD138" s="286"/>
      <c r="HE138" s="286"/>
      <c r="HF138" s="286"/>
      <c r="HG138" s="286"/>
      <c r="HH138" s="286"/>
      <c r="HI138" s="286"/>
      <c r="HJ138" s="286"/>
      <c r="HK138" s="286"/>
      <c r="HL138" s="286"/>
      <c r="HM138" s="286"/>
      <c r="HN138" s="286"/>
      <c r="HO138" s="286"/>
      <c r="HP138" s="286"/>
      <c r="HQ138" s="286"/>
      <c r="HR138" s="286"/>
      <c r="HS138" s="286"/>
      <c r="HT138" s="286"/>
      <c r="HU138" s="286"/>
      <c r="HV138" s="286"/>
      <c r="HW138" s="286"/>
      <c r="HX138" s="286"/>
      <c r="HY138" s="286"/>
      <c r="HZ138" s="286"/>
      <c r="IA138" s="286"/>
      <c r="IB138" s="286"/>
      <c r="IC138" s="286"/>
      <c r="ID138" s="286"/>
      <c r="IE138" s="286"/>
      <c r="IF138" s="286"/>
      <c r="IG138" s="286"/>
      <c r="IH138" s="286"/>
      <c r="II138" s="286"/>
      <c r="IJ138" s="286"/>
      <c r="IK138" s="286"/>
      <c r="IL138" s="286"/>
      <c r="IM138" s="286"/>
      <c r="IN138" s="286"/>
      <c r="IO138" s="286"/>
      <c r="IP138" s="286"/>
      <c r="IR138" s="2" t="s">
        <v>543</v>
      </c>
    </row>
    <row r="139" spans="1:252" ht="15.75" customHeight="1" x14ac:dyDescent="0.25">
      <c r="A139" s="36" t="s">
        <v>507</v>
      </c>
      <c r="B139" s="36" t="s">
        <v>750</v>
      </c>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6"/>
      <c r="BQ139" s="6"/>
      <c r="BR139" s="6"/>
      <c r="BS139" s="6"/>
      <c r="BT139" s="6"/>
      <c r="BU139" s="6"/>
      <c r="BV139" s="36">
        <v>20</v>
      </c>
      <c r="BW139" s="351">
        <v>20</v>
      </c>
      <c r="BX139" s="36"/>
      <c r="BY139" s="36">
        <v>20</v>
      </c>
      <c r="BZ139" s="36"/>
      <c r="CA139" s="36">
        <v>30</v>
      </c>
      <c r="CB139" s="36">
        <v>120</v>
      </c>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c r="DD139" s="36"/>
      <c r="DE139" s="36"/>
      <c r="DF139" s="36"/>
      <c r="DG139" s="36"/>
      <c r="DH139" s="36"/>
      <c r="DI139" s="36"/>
      <c r="DJ139" s="36"/>
      <c r="DK139" s="36"/>
      <c r="DL139" s="36"/>
      <c r="DM139" s="36"/>
      <c r="DN139" s="36"/>
      <c r="DO139" s="36"/>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6"/>
      <c r="GB139" s="6"/>
      <c r="GC139" s="36"/>
      <c r="GD139" s="36"/>
      <c r="GE139" s="36"/>
      <c r="GF139" s="36"/>
      <c r="GG139" s="36"/>
      <c r="GH139" s="36"/>
      <c r="GI139" s="36"/>
      <c r="GJ139" s="36"/>
      <c r="GK139" s="36"/>
      <c r="GL139" s="36"/>
      <c r="GM139" s="36"/>
      <c r="GN139" s="36"/>
      <c r="GO139" s="36"/>
      <c r="GP139" s="36"/>
      <c r="GQ139" s="36"/>
      <c r="GR139" s="36"/>
      <c r="GS139" s="36"/>
      <c r="GT139" s="36"/>
      <c r="GU139" s="36"/>
      <c r="GV139" s="6"/>
      <c r="GW139" s="36"/>
      <c r="GX139" s="36"/>
      <c r="GY139" s="36"/>
      <c r="GZ139" s="36"/>
      <c r="HA139" s="36"/>
      <c r="HB139" s="36"/>
      <c r="HC139" s="36"/>
      <c r="HD139" s="36"/>
      <c r="HE139" s="36"/>
      <c r="HF139" s="36"/>
      <c r="HG139" s="36"/>
      <c r="HH139" s="36"/>
      <c r="HI139" s="36"/>
      <c r="HJ139" s="36"/>
      <c r="HK139" s="36"/>
      <c r="HL139" s="36"/>
      <c r="HM139" s="36"/>
      <c r="HN139" s="36">
        <v>100</v>
      </c>
      <c r="HO139" s="36">
        <v>200</v>
      </c>
      <c r="HP139" s="36">
        <v>100</v>
      </c>
      <c r="HQ139" s="36">
        <v>50</v>
      </c>
      <c r="HR139" s="36">
        <v>50</v>
      </c>
      <c r="HS139" s="36"/>
      <c r="HT139" s="36">
        <v>40</v>
      </c>
      <c r="HU139" s="36"/>
      <c r="HV139" s="36"/>
      <c r="HW139" s="36"/>
      <c r="HX139" s="36"/>
      <c r="HY139" s="36"/>
      <c r="HZ139" s="36"/>
      <c r="IA139" s="36"/>
      <c r="IB139" s="36"/>
      <c r="IC139" s="36"/>
      <c r="ID139" s="36"/>
      <c r="IE139" s="36"/>
      <c r="IF139" s="36"/>
      <c r="IG139" s="36"/>
      <c r="IH139" s="36"/>
      <c r="II139" s="36"/>
      <c r="IJ139" s="36"/>
      <c r="IK139" s="36"/>
      <c r="IL139" s="36"/>
      <c r="IM139" s="36"/>
      <c r="IN139" s="36"/>
      <c r="IO139" s="36"/>
      <c r="IP139" s="36"/>
      <c r="IR139" s="2" t="s">
        <v>543</v>
      </c>
    </row>
    <row r="140" spans="1:252" ht="15.75" customHeight="1" x14ac:dyDescent="0.25">
      <c r="A140" s="36" t="s">
        <v>507</v>
      </c>
      <c r="B140" s="36" t="s">
        <v>754</v>
      </c>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6"/>
      <c r="BQ140" s="6"/>
      <c r="BR140" s="6"/>
      <c r="BS140" s="6"/>
      <c r="BT140" s="6"/>
      <c r="BU140" s="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c r="DC140" s="36"/>
      <c r="DD140" s="36"/>
      <c r="DE140" s="36"/>
      <c r="DF140" s="36"/>
      <c r="DG140" s="36"/>
      <c r="DH140" s="36"/>
      <c r="DI140" s="36"/>
      <c r="DJ140" s="36"/>
      <c r="DK140" s="36"/>
      <c r="DL140" s="36"/>
      <c r="DM140" s="36"/>
      <c r="DN140" s="36"/>
      <c r="DO140" s="36"/>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v>250</v>
      </c>
      <c r="FT140" s="36"/>
      <c r="FU140" s="36"/>
      <c r="FV140" s="36"/>
      <c r="FW140" s="36"/>
      <c r="FX140" s="36"/>
      <c r="FY140" s="36"/>
      <c r="FZ140" s="36"/>
      <c r="GA140" s="6"/>
      <c r="GB140" s="6"/>
      <c r="GC140" s="36"/>
      <c r="GD140" s="36"/>
      <c r="GE140" s="36"/>
      <c r="GF140" s="36"/>
      <c r="GG140" s="36"/>
      <c r="GH140" s="36"/>
      <c r="GI140" s="36"/>
      <c r="GJ140" s="36"/>
      <c r="GK140" s="36"/>
      <c r="GL140" s="36"/>
      <c r="GM140" s="36"/>
      <c r="GN140" s="36"/>
      <c r="GO140" s="36"/>
      <c r="GP140" s="36"/>
      <c r="GQ140" s="36"/>
      <c r="GR140" s="36"/>
      <c r="GS140" s="36"/>
      <c r="GT140" s="36"/>
      <c r="GU140" s="36"/>
      <c r="GV140" s="6"/>
      <c r="GW140" s="36"/>
      <c r="GX140" s="36"/>
      <c r="GY140" s="36"/>
      <c r="GZ140" s="36"/>
      <c r="HA140" s="36"/>
      <c r="HB140" s="36"/>
      <c r="HC140" s="36"/>
      <c r="HD140" s="36"/>
      <c r="HE140" s="36"/>
      <c r="HF140" s="36"/>
      <c r="HG140" s="36"/>
      <c r="HH140" s="36"/>
      <c r="HI140" s="36"/>
      <c r="HJ140" s="36"/>
      <c r="HK140" s="36"/>
      <c r="HL140" s="36"/>
      <c r="HM140" s="36"/>
      <c r="HN140" s="36"/>
      <c r="HO140" s="36"/>
      <c r="HP140" s="36"/>
      <c r="HQ140" s="36"/>
      <c r="HR140" s="36"/>
      <c r="HS140" s="36"/>
      <c r="HT140" s="36"/>
      <c r="HU140" s="36"/>
      <c r="HV140" s="36"/>
      <c r="HW140" s="36"/>
      <c r="HX140" s="36"/>
      <c r="HY140" s="36"/>
      <c r="HZ140" s="36"/>
      <c r="IA140" s="36"/>
      <c r="IB140" s="36"/>
      <c r="IC140" s="36"/>
      <c r="ID140" s="36"/>
      <c r="IE140" s="36"/>
      <c r="IF140" s="36"/>
      <c r="IG140" s="36"/>
      <c r="IH140" s="36"/>
      <c r="II140" s="36"/>
      <c r="IJ140" s="36"/>
      <c r="IK140" s="36"/>
      <c r="IL140" s="36"/>
      <c r="IM140" s="36"/>
      <c r="IN140" s="36"/>
      <c r="IO140" s="36"/>
      <c r="IP140" s="36"/>
      <c r="IR140" s="2" t="s">
        <v>543</v>
      </c>
    </row>
    <row r="141" spans="1:252" ht="15.75" customHeight="1" x14ac:dyDescent="0.25">
      <c r="A141" s="36" t="s">
        <v>507</v>
      </c>
      <c r="B141" s="36" t="s">
        <v>757</v>
      </c>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6"/>
      <c r="BQ141" s="6"/>
      <c r="BR141" s="6"/>
      <c r="BS141" s="6"/>
      <c r="BT141" s="6"/>
      <c r="BU141" s="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c r="DC141" s="36"/>
      <c r="DD141" s="36"/>
      <c r="DE141" s="36"/>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v>250</v>
      </c>
      <c r="FT141" s="36"/>
      <c r="FU141" s="36"/>
      <c r="FV141" s="36"/>
      <c r="FW141" s="36"/>
      <c r="FX141" s="36"/>
      <c r="FY141" s="36"/>
      <c r="FZ141" s="36"/>
      <c r="GA141" s="6"/>
      <c r="GB141" s="6"/>
      <c r="GC141" s="36"/>
      <c r="GD141" s="36"/>
      <c r="GE141" s="36"/>
      <c r="GF141" s="36"/>
      <c r="GG141" s="36"/>
      <c r="GH141" s="36"/>
      <c r="GI141" s="36"/>
      <c r="GJ141" s="36"/>
      <c r="GK141" s="36"/>
      <c r="GL141" s="36"/>
      <c r="GM141" s="36"/>
      <c r="GN141" s="36"/>
      <c r="GO141" s="36"/>
      <c r="GP141" s="36"/>
      <c r="GQ141" s="36"/>
      <c r="GR141" s="36"/>
      <c r="GS141" s="36"/>
      <c r="GT141" s="36"/>
      <c r="GU141" s="36"/>
      <c r="GV141" s="6"/>
      <c r="GW141" s="36"/>
      <c r="GX141" s="36"/>
      <c r="GY141" s="36"/>
      <c r="GZ141" s="36"/>
      <c r="HA141" s="36"/>
      <c r="HB141" s="36"/>
      <c r="HC141" s="36"/>
      <c r="HD141" s="36"/>
      <c r="HE141" s="36"/>
      <c r="HF141" s="36"/>
      <c r="HG141" s="36"/>
      <c r="HH141" s="36"/>
      <c r="HI141" s="36"/>
      <c r="HJ141" s="36"/>
      <c r="HK141" s="36"/>
      <c r="HL141" s="36"/>
      <c r="HM141" s="36"/>
      <c r="HN141" s="36"/>
      <c r="HO141" s="36"/>
      <c r="HP141" s="36"/>
      <c r="HQ141" s="36"/>
      <c r="HR141" s="36"/>
      <c r="HS141" s="36"/>
      <c r="HT141" s="36"/>
      <c r="HU141" s="36"/>
      <c r="HV141" s="36"/>
      <c r="HW141" s="36"/>
      <c r="HX141" s="36"/>
      <c r="HY141" s="36"/>
      <c r="HZ141" s="36"/>
      <c r="IA141" s="36"/>
      <c r="IB141" s="36"/>
      <c r="IC141" s="36"/>
      <c r="ID141" s="36"/>
      <c r="IE141" s="36"/>
      <c r="IF141" s="36"/>
      <c r="IG141" s="36"/>
      <c r="IH141" s="36"/>
      <c r="II141" s="36"/>
      <c r="IJ141" s="36"/>
      <c r="IK141" s="36"/>
      <c r="IL141" s="36"/>
      <c r="IM141" s="36"/>
      <c r="IN141" s="36"/>
      <c r="IO141" s="36"/>
      <c r="IP141" s="36"/>
      <c r="IR141" s="2" t="s">
        <v>543</v>
      </c>
    </row>
    <row r="142" spans="1:252" ht="15.75" customHeight="1" x14ac:dyDescent="0.25">
      <c r="A142" s="36" t="s">
        <v>760</v>
      </c>
      <c r="B142" s="36" t="s">
        <v>761</v>
      </c>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6"/>
      <c r="BQ142" s="6"/>
      <c r="BR142" s="6"/>
      <c r="BS142" s="6"/>
      <c r="BT142" s="6"/>
      <c r="BU142" s="6"/>
      <c r="BV142" s="36">
        <v>10</v>
      </c>
      <c r="BW142" s="36"/>
      <c r="BX142" s="36">
        <v>10</v>
      </c>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c r="EZ142" s="36"/>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6"/>
      <c r="GB142" s="6"/>
      <c r="GC142" s="36"/>
      <c r="GD142" s="36"/>
      <c r="GE142" s="36"/>
      <c r="GF142" s="36"/>
      <c r="GG142" s="36"/>
      <c r="GH142" s="36"/>
      <c r="GI142" s="36"/>
      <c r="GJ142" s="36"/>
      <c r="GK142" s="36"/>
      <c r="GL142" s="36"/>
      <c r="GM142" s="36"/>
      <c r="GN142" s="36"/>
      <c r="GO142" s="36"/>
      <c r="GP142" s="36"/>
      <c r="GQ142" s="36"/>
      <c r="GR142" s="36"/>
      <c r="GS142" s="36"/>
      <c r="GT142" s="36"/>
      <c r="GU142" s="36"/>
      <c r="GV142" s="6"/>
      <c r="GW142" s="36"/>
      <c r="GX142" s="36"/>
      <c r="GY142" s="36"/>
      <c r="GZ142" s="36"/>
      <c r="HA142" s="36"/>
      <c r="HB142" s="36"/>
      <c r="HC142" s="36"/>
      <c r="HD142" s="36"/>
      <c r="HE142" s="36"/>
      <c r="HF142" s="36"/>
      <c r="HG142" s="36"/>
      <c r="HH142" s="36"/>
      <c r="HI142" s="36"/>
      <c r="HJ142" s="36"/>
      <c r="HK142" s="36"/>
      <c r="HL142" s="36"/>
      <c r="HM142" s="36"/>
      <c r="HN142" s="36"/>
      <c r="HO142" s="36"/>
      <c r="HP142" s="36"/>
      <c r="HQ142" s="36"/>
      <c r="HR142" s="36"/>
      <c r="HS142" s="36"/>
      <c r="HT142" s="36"/>
      <c r="HU142" s="36"/>
      <c r="HV142" s="36"/>
      <c r="HW142" s="36"/>
      <c r="HX142" s="36"/>
      <c r="HY142" s="36"/>
      <c r="HZ142" s="36"/>
      <c r="IA142" s="36"/>
      <c r="IB142" s="36"/>
      <c r="IC142" s="36"/>
      <c r="ID142" s="36"/>
      <c r="IE142" s="36"/>
      <c r="IF142" s="36"/>
      <c r="IG142" s="36"/>
      <c r="IH142" s="36"/>
      <c r="II142" s="36"/>
      <c r="IJ142" s="36"/>
      <c r="IK142" s="36"/>
      <c r="IL142" s="36"/>
      <c r="IM142" s="36"/>
      <c r="IN142" s="36"/>
      <c r="IO142" s="36"/>
      <c r="IP142" s="36"/>
      <c r="IR142" s="2" t="s">
        <v>543</v>
      </c>
    </row>
    <row r="143" spans="1:252" ht="15.75" customHeight="1" x14ac:dyDescent="0.25">
      <c r="A143" s="201" t="s">
        <v>760</v>
      </c>
      <c r="B143" s="201" t="s">
        <v>762</v>
      </c>
      <c r="C143" s="201"/>
      <c r="D143" s="201"/>
      <c r="E143" s="201"/>
      <c r="F143" s="201"/>
      <c r="G143" s="201"/>
      <c r="H143" s="201"/>
      <c r="I143" s="201"/>
      <c r="J143" s="201"/>
      <c r="K143" s="36"/>
      <c r="L143" s="201"/>
      <c r="M143" s="201"/>
      <c r="N143" s="201"/>
      <c r="O143" s="201"/>
      <c r="P143" s="201"/>
      <c r="Q143" s="201"/>
      <c r="R143" s="201"/>
      <c r="S143" s="201"/>
      <c r="T143" s="201"/>
      <c r="U143" s="201"/>
      <c r="V143" s="201"/>
      <c r="W143" s="201"/>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1"/>
      <c r="BB143" s="201"/>
      <c r="BC143" s="201"/>
      <c r="BD143" s="201"/>
      <c r="BE143" s="201"/>
      <c r="BF143" s="201"/>
      <c r="BG143" s="201"/>
      <c r="BH143" s="201"/>
      <c r="BI143" s="201"/>
      <c r="BJ143" s="201"/>
      <c r="BK143" s="201"/>
      <c r="BL143" s="201"/>
      <c r="BM143" s="201"/>
      <c r="BN143" s="201"/>
      <c r="BO143" s="201"/>
      <c r="BP143" s="357"/>
      <c r="BQ143" s="357"/>
      <c r="BR143" s="357"/>
      <c r="BS143" s="357"/>
      <c r="BT143" s="357"/>
      <c r="BU143" s="357"/>
      <c r="BV143" s="201"/>
      <c r="BW143" s="201"/>
      <c r="BX143" s="201"/>
      <c r="BY143" s="201"/>
      <c r="BZ143" s="201"/>
      <c r="CA143" s="201"/>
      <c r="CB143" s="201"/>
      <c r="CC143" s="201"/>
      <c r="CD143" s="201"/>
      <c r="CE143" s="201"/>
      <c r="CF143" s="201"/>
      <c r="CG143" s="201"/>
      <c r="CH143" s="201"/>
      <c r="CI143" s="201"/>
      <c r="CJ143" s="201"/>
      <c r="CK143" s="201"/>
      <c r="CL143" s="201"/>
      <c r="CM143" s="201"/>
      <c r="CN143" s="201"/>
      <c r="CO143" s="201"/>
      <c r="CP143" s="201"/>
      <c r="CQ143" s="201"/>
      <c r="CR143" s="201"/>
      <c r="CS143" s="201"/>
      <c r="CT143" s="201"/>
      <c r="CU143" s="201"/>
      <c r="CV143" s="201"/>
      <c r="CW143" s="201"/>
      <c r="CX143" s="201"/>
      <c r="CY143" s="201"/>
      <c r="CZ143" s="201"/>
      <c r="DA143" s="201"/>
      <c r="DB143" s="201"/>
      <c r="DC143" s="201"/>
      <c r="DD143" s="201"/>
      <c r="DE143" s="201"/>
      <c r="DF143" s="201"/>
      <c r="DG143" s="201"/>
      <c r="DH143" s="201"/>
      <c r="DI143" s="201"/>
      <c r="DJ143" s="201"/>
      <c r="DK143" s="201"/>
      <c r="DL143" s="201"/>
      <c r="DM143" s="201"/>
      <c r="DN143" s="201"/>
      <c r="DO143" s="201"/>
      <c r="DP143" s="201"/>
      <c r="DQ143" s="201"/>
      <c r="DR143" s="201"/>
      <c r="DS143" s="201"/>
      <c r="DT143" s="201"/>
      <c r="DU143" s="201"/>
      <c r="DV143" s="201"/>
      <c r="DW143" s="201"/>
      <c r="DX143" s="201"/>
      <c r="DY143" s="201"/>
      <c r="DZ143" s="201"/>
      <c r="EA143" s="201"/>
      <c r="EB143" s="201"/>
      <c r="EC143" s="201"/>
      <c r="ED143" s="201"/>
      <c r="EE143" s="201"/>
      <c r="EF143" s="201"/>
      <c r="EG143" s="201"/>
      <c r="EH143" s="201"/>
      <c r="EI143" s="201"/>
      <c r="EJ143" s="201"/>
      <c r="EK143" s="201"/>
      <c r="EL143" s="201"/>
      <c r="EM143" s="201"/>
      <c r="EN143" s="201"/>
      <c r="EO143" s="201"/>
      <c r="EP143" s="201">
        <v>20</v>
      </c>
      <c r="EQ143" s="201"/>
      <c r="ER143" s="201"/>
      <c r="ES143" s="201"/>
      <c r="ET143" s="201"/>
      <c r="EU143" s="201"/>
      <c r="EV143" s="201"/>
      <c r="EW143" s="201"/>
      <c r="EX143" s="201"/>
      <c r="EY143" s="201"/>
      <c r="EZ143" s="201"/>
      <c r="FA143" s="201"/>
      <c r="FB143" s="201"/>
      <c r="FC143" s="201"/>
      <c r="FD143" s="201"/>
      <c r="FE143" s="201"/>
      <c r="FF143" s="201"/>
      <c r="FG143" s="201"/>
      <c r="FH143" s="201"/>
      <c r="FI143" s="201"/>
      <c r="FJ143" s="201"/>
      <c r="FK143" s="201"/>
      <c r="FL143" s="201"/>
      <c r="FM143" s="201"/>
      <c r="FN143" s="201"/>
      <c r="FO143" s="201"/>
      <c r="FP143" s="201"/>
      <c r="FQ143" s="201"/>
      <c r="FR143" s="201"/>
      <c r="FS143" s="201"/>
      <c r="FT143" s="201"/>
      <c r="FU143" s="201"/>
      <c r="FV143" s="201"/>
      <c r="FW143" s="201"/>
      <c r="FX143" s="201"/>
      <c r="FY143" s="201"/>
      <c r="FZ143" s="201"/>
      <c r="GA143" s="357"/>
      <c r="GB143" s="357"/>
      <c r="GC143" s="201"/>
      <c r="GD143" s="201"/>
      <c r="GE143" s="201"/>
      <c r="GF143" s="201"/>
      <c r="GG143" s="201"/>
      <c r="GH143" s="201"/>
      <c r="GI143" s="201"/>
      <c r="GJ143" s="201"/>
      <c r="GK143" s="201"/>
      <c r="GL143" s="201"/>
      <c r="GM143" s="201"/>
      <c r="GN143" s="201"/>
      <c r="GO143" s="201"/>
      <c r="GP143" s="201"/>
      <c r="GQ143" s="201"/>
      <c r="GR143" s="201"/>
      <c r="GS143" s="201"/>
      <c r="GT143" s="201"/>
      <c r="GU143" s="201"/>
      <c r="GV143" s="357"/>
      <c r="GW143" s="201"/>
      <c r="GX143" s="201"/>
      <c r="GY143" s="201"/>
      <c r="GZ143" s="201"/>
      <c r="HA143" s="201"/>
      <c r="HB143" s="201"/>
      <c r="HC143" s="201"/>
      <c r="HD143" s="201"/>
      <c r="HE143" s="201"/>
      <c r="HF143" s="201"/>
      <c r="HG143" s="201"/>
      <c r="HH143" s="201"/>
      <c r="HI143" s="201"/>
      <c r="HJ143" s="201"/>
      <c r="HK143" s="201"/>
      <c r="HL143" s="201"/>
      <c r="HM143" s="201"/>
      <c r="HN143" s="201"/>
      <c r="HO143" s="201"/>
      <c r="HP143" s="201"/>
      <c r="HQ143" s="201">
        <v>100</v>
      </c>
      <c r="HR143" s="201">
        <v>100</v>
      </c>
      <c r="HS143" s="201"/>
      <c r="HT143" s="201"/>
      <c r="HU143" s="201"/>
      <c r="HV143" s="201">
        <v>5</v>
      </c>
      <c r="HW143" s="201"/>
      <c r="HX143" s="201"/>
      <c r="HY143" s="201"/>
      <c r="HZ143" s="201"/>
      <c r="IA143" s="201"/>
      <c r="IB143" s="201"/>
      <c r="IC143" s="201"/>
      <c r="ID143" s="201"/>
      <c r="IE143" s="201"/>
      <c r="IF143" s="201"/>
      <c r="IG143" s="201"/>
      <c r="IH143" s="201"/>
      <c r="II143" s="201"/>
      <c r="IJ143" s="201"/>
      <c r="IK143" s="201"/>
      <c r="IL143" s="201"/>
      <c r="IM143" s="201"/>
      <c r="IN143" s="201"/>
      <c r="IO143" s="201"/>
      <c r="IP143" s="201"/>
      <c r="IR143" s="2" t="s">
        <v>543</v>
      </c>
    </row>
    <row r="144" spans="1:252" ht="15.75" customHeight="1" x14ac:dyDescent="0.25">
      <c r="A144" s="36" t="s">
        <v>765</v>
      </c>
      <c r="B144" s="36" t="s">
        <v>766</v>
      </c>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6"/>
      <c r="BQ144" s="6"/>
      <c r="BR144" s="6"/>
      <c r="BS144" s="6"/>
      <c r="BT144" s="6"/>
      <c r="BU144" s="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6"/>
      <c r="CX144" s="36"/>
      <c r="CY144" s="36"/>
      <c r="CZ144" s="36"/>
      <c r="DA144" s="36"/>
      <c r="DB144" s="36"/>
      <c r="DC144" s="36"/>
      <c r="DD144" s="36"/>
      <c r="DE144" s="36"/>
      <c r="DF144" s="36"/>
      <c r="DG144" s="36"/>
      <c r="DH144" s="36"/>
      <c r="DI144" s="36"/>
      <c r="DJ144" s="36"/>
      <c r="DK144" s="36"/>
      <c r="DL144" s="36"/>
      <c r="DM144" s="36"/>
      <c r="DN144" s="36"/>
      <c r="DO144" s="36"/>
      <c r="DP144" s="36"/>
      <c r="DQ144" s="36"/>
      <c r="DR144" s="36"/>
      <c r="DS144" s="36"/>
      <c r="DT144" s="36"/>
      <c r="DU144" s="36"/>
      <c r="DV144" s="36"/>
      <c r="DW144" s="36"/>
      <c r="DX144" s="36"/>
      <c r="DY144" s="36"/>
      <c r="DZ144" s="36"/>
      <c r="EA144" s="36"/>
      <c r="EB144" s="36"/>
      <c r="EC144" s="36"/>
      <c r="ED144" s="36"/>
      <c r="EE144" s="36"/>
      <c r="EF144" s="36"/>
      <c r="EG144" s="36"/>
      <c r="EH144" s="36"/>
      <c r="EI144" s="36"/>
      <c r="EJ144" s="36"/>
      <c r="EK144" s="36"/>
      <c r="EL144" s="36"/>
      <c r="EM144" s="36"/>
      <c r="EN144" s="36"/>
      <c r="EO144" s="36"/>
      <c r="EP144" s="36"/>
      <c r="EQ144" s="36"/>
      <c r="ER144" s="36"/>
      <c r="ES144" s="36"/>
      <c r="ET144" s="36"/>
      <c r="EU144" s="36"/>
      <c r="EV144" s="36"/>
      <c r="EW144" s="36"/>
      <c r="EX144" s="36"/>
      <c r="EY144" s="36"/>
      <c r="EZ144" s="36"/>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6"/>
      <c r="GB144" s="6"/>
      <c r="GC144" s="36"/>
      <c r="GD144" s="36"/>
      <c r="GE144" s="36"/>
      <c r="GF144" s="36"/>
      <c r="GG144" s="36"/>
      <c r="GH144" s="36"/>
      <c r="GI144" s="36"/>
      <c r="GJ144" s="36"/>
      <c r="GK144" s="36"/>
      <c r="GL144" s="36"/>
      <c r="GM144" s="36"/>
      <c r="GN144" s="36"/>
      <c r="GO144" s="36"/>
      <c r="GP144" s="36"/>
      <c r="GQ144" s="36"/>
      <c r="GR144" s="36"/>
      <c r="GS144" s="36"/>
      <c r="GT144" s="36"/>
      <c r="GU144" s="36"/>
      <c r="GV144" s="6"/>
      <c r="GW144" s="36"/>
      <c r="GX144" s="36"/>
      <c r="GY144" s="36"/>
      <c r="GZ144" s="36"/>
      <c r="HA144" s="36"/>
      <c r="HB144" s="36"/>
      <c r="HC144" s="36"/>
      <c r="HD144" s="36"/>
      <c r="HE144" s="36"/>
      <c r="HF144" s="36"/>
      <c r="HG144" s="36"/>
      <c r="HH144" s="36"/>
      <c r="HI144" s="36"/>
      <c r="HJ144" s="36"/>
      <c r="HK144" s="36"/>
      <c r="HL144" s="36"/>
      <c r="HM144" s="36"/>
      <c r="HN144" s="36"/>
      <c r="HO144" s="36"/>
      <c r="HP144" s="36"/>
      <c r="HQ144" s="36"/>
      <c r="HR144" s="36"/>
      <c r="HS144" s="36"/>
      <c r="HT144" s="36"/>
      <c r="HU144" s="36"/>
      <c r="HV144" s="36"/>
      <c r="HW144" s="36"/>
      <c r="HX144" s="36"/>
      <c r="HY144" s="36"/>
      <c r="HZ144" s="36"/>
      <c r="IA144" s="36"/>
      <c r="IB144" s="36">
        <v>12</v>
      </c>
      <c r="IC144" s="36"/>
      <c r="ID144" s="36"/>
      <c r="IE144" s="36"/>
      <c r="IF144" s="36"/>
      <c r="IG144" s="36"/>
      <c r="IH144" s="36"/>
      <c r="II144" s="36"/>
      <c r="IJ144" s="36"/>
      <c r="IK144" s="36"/>
      <c r="IL144" s="36"/>
      <c r="IM144" s="36"/>
      <c r="IN144" s="36"/>
      <c r="IO144" s="36"/>
      <c r="IP144" s="36"/>
      <c r="IR144" s="2" t="s">
        <v>543</v>
      </c>
    </row>
    <row r="145" spans="1:252" ht="15.75" customHeight="1" x14ac:dyDescent="0.25">
      <c r="A145" s="36" t="s">
        <v>767</v>
      </c>
      <c r="B145" s="36" t="s">
        <v>768</v>
      </c>
      <c r="C145" s="36"/>
      <c r="D145" s="36"/>
      <c r="E145" s="36"/>
      <c r="F145" s="36"/>
      <c r="G145" s="36"/>
      <c r="H145" s="36"/>
      <c r="I145" s="36"/>
      <c r="J145" s="36"/>
      <c r="K145" s="36"/>
      <c r="L145" s="36"/>
      <c r="M145" s="36"/>
      <c r="N145" s="36"/>
      <c r="O145" s="36">
        <v>25</v>
      </c>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6"/>
      <c r="BQ145" s="6"/>
      <c r="BR145" s="6"/>
      <c r="BS145" s="6"/>
      <c r="BT145" s="6"/>
      <c r="BU145" s="6"/>
      <c r="BV145" s="36">
        <v>40</v>
      </c>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6"/>
      <c r="GB145" s="6"/>
      <c r="GC145" s="36"/>
      <c r="GD145" s="36"/>
      <c r="GE145" s="36"/>
      <c r="GF145" s="36"/>
      <c r="GG145" s="36"/>
      <c r="GH145" s="36"/>
      <c r="GI145" s="36"/>
      <c r="GJ145" s="36"/>
      <c r="GK145" s="36"/>
      <c r="GL145" s="36"/>
      <c r="GM145" s="36"/>
      <c r="GN145" s="36"/>
      <c r="GO145" s="36"/>
      <c r="GP145" s="36"/>
      <c r="GQ145" s="36"/>
      <c r="GR145" s="36"/>
      <c r="GS145" s="36"/>
      <c r="GT145" s="36"/>
      <c r="GU145" s="36"/>
      <c r="GV145" s="6"/>
      <c r="GW145" s="36"/>
      <c r="GX145" s="36"/>
      <c r="GY145" s="36"/>
      <c r="GZ145" s="36"/>
      <c r="HA145" s="36"/>
      <c r="HB145" s="36"/>
      <c r="HC145" s="36"/>
      <c r="HD145" s="36"/>
      <c r="HE145" s="36"/>
      <c r="HF145" s="36"/>
      <c r="HG145" s="36"/>
      <c r="HH145" s="36"/>
      <c r="HI145" s="36"/>
      <c r="HJ145" s="36"/>
      <c r="HK145" s="36"/>
      <c r="HL145" s="36"/>
      <c r="HM145" s="36"/>
      <c r="HN145" s="36"/>
      <c r="HO145" s="36"/>
      <c r="HP145" s="36"/>
      <c r="HQ145" s="36"/>
      <c r="HR145" s="36"/>
      <c r="HS145" s="36"/>
      <c r="HT145" s="36"/>
      <c r="HU145" s="36"/>
      <c r="HV145" s="36"/>
      <c r="HW145" s="36"/>
      <c r="HX145" s="36"/>
      <c r="HY145" s="36"/>
      <c r="HZ145" s="36"/>
      <c r="IA145" s="36"/>
      <c r="IB145" s="36"/>
      <c r="IC145" s="36"/>
      <c r="ID145" s="36"/>
      <c r="IE145" s="36"/>
      <c r="IF145" s="36"/>
      <c r="IG145" s="36"/>
      <c r="IH145" s="36"/>
      <c r="II145" s="36"/>
      <c r="IJ145" s="36"/>
      <c r="IK145" s="36"/>
      <c r="IL145" s="36"/>
      <c r="IM145" s="36"/>
      <c r="IN145" s="36"/>
      <c r="IO145" s="36"/>
      <c r="IP145" s="36"/>
      <c r="IR145" s="2" t="s">
        <v>543</v>
      </c>
    </row>
    <row r="146" spans="1:252" ht="15.75" customHeight="1" x14ac:dyDescent="0.25">
      <c r="A146" s="36" t="s">
        <v>770</v>
      </c>
      <c r="B146" s="36" t="s">
        <v>771</v>
      </c>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36"/>
      <c r="BN146" s="36"/>
      <c r="BO146" s="36"/>
      <c r="BP146" s="6"/>
      <c r="BQ146" s="6"/>
      <c r="BR146" s="6"/>
      <c r="BS146" s="6"/>
      <c r="BT146" s="6"/>
      <c r="BU146" s="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v>100</v>
      </c>
      <c r="FI146" s="36"/>
      <c r="FJ146" s="36"/>
      <c r="FK146" s="36"/>
      <c r="FL146" s="36"/>
      <c r="FM146" s="36"/>
      <c r="FN146" s="36"/>
      <c r="FO146" s="36"/>
      <c r="FP146" s="36"/>
      <c r="FQ146" s="36"/>
      <c r="FR146" s="36"/>
      <c r="FS146" s="36"/>
      <c r="FT146" s="36"/>
      <c r="FU146" s="36"/>
      <c r="FV146" s="36"/>
      <c r="FW146" s="36"/>
      <c r="FX146" s="36"/>
      <c r="FY146" s="36"/>
      <c r="FZ146" s="36"/>
      <c r="GA146" s="6"/>
      <c r="GB146" s="6"/>
      <c r="GC146" s="36"/>
      <c r="GD146" s="36"/>
      <c r="GE146" s="36"/>
      <c r="GF146" s="36"/>
      <c r="GG146" s="36"/>
      <c r="GH146" s="36"/>
      <c r="GI146" s="36"/>
      <c r="GJ146" s="36"/>
      <c r="GK146" s="36"/>
      <c r="GL146" s="36"/>
      <c r="GM146" s="36"/>
      <c r="GN146" s="36"/>
      <c r="GO146" s="36"/>
      <c r="GP146" s="36"/>
      <c r="GQ146" s="36"/>
      <c r="GR146" s="36"/>
      <c r="GS146" s="36"/>
      <c r="GT146" s="36"/>
      <c r="GU146" s="36"/>
      <c r="GV146" s="6"/>
      <c r="GW146" s="36"/>
      <c r="GX146" s="36"/>
      <c r="GY146" s="36"/>
      <c r="GZ146" s="36"/>
      <c r="HA146" s="36"/>
      <c r="HB146" s="36"/>
      <c r="HC146" s="36"/>
      <c r="HD146" s="36"/>
      <c r="HE146" s="36"/>
      <c r="HF146" s="36"/>
      <c r="HG146" s="36"/>
      <c r="HH146" s="36"/>
      <c r="HI146" s="36"/>
      <c r="HJ146" s="36"/>
      <c r="HK146" s="36"/>
      <c r="HL146" s="36"/>
      <c r="HM146" s="36"/>
      <c r="HN146" s="36"/>
      <c r="HO146" s="36"/>
      <c r="HP146" s="36"/>
      <c r="HQ146" s="36"/>
      <c r="HR146" s="36"/>
      <c r="HS146" s="36"/>
      <c r="HT146" s="36"/>
      <c r="HU146" s="36"/>
      <c r="HV146" s="36">
        <v>15</v>
      </c>
      <c r="HW146" s="36"/>
      <c r="HX146" s="36"/>
      <c r="HY146" s="36"/>
      <c r="HZ146" s="36"/>
      <c r="IA146" s="36"/>
      <c r="IB146" s="36">
        <v>24</v>
      </c>
      <c r="IC146" s="36">
        <v>12</v>
      </c>
      <c r="ID146" s="36"/>
      <c r="IE146" s="36"/>
      <c r="IF146" s="36"/>
      <c r="IG146" s="36"/>
      <c r="IH146" s="36"/>
      <c r="II146" s="36"/>
      <c r="IJ146" s="36"/>
      <c r="IK146" s="36"/>
      <c r="IL146" s="36"/>
      <c r="IM146" s="36"/>
      <c r="IN146" s="36"/>
      <c r="IO146" s="36"/>
      <c r="IP146" s="36"/>
      <c r="IR146" s="2" t="s">
        <v>543</v>
      </c>
    </row>
    <row r="147" spans="1:252" ht="15.75" customHeight="1" x14ac:dyDescent="0.25">
      <c r="A147" s="36" t="s">
        <v>767</v>
      </c>
      <c r="B147" s="36" t="s">
        <v>775</v>
      </c>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36"/>
      <c r="BN147" s="36"/>
      <c r="BO147" s="36"/>
      <c r="BP147" s="6"/>
      <c r="BQ147" s="6"/>
      <c r="BR147" s="6"/>
      <c r="BS147" s="6"/>
      <c r="BT147" s="6"/>
      <c r="BU147" s="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6"/>
      <c r="GB147" s="6"/>
      <c r="GC147" s="36"/>
      <c r="GD147" s="36"/>
      <c r="GE147" s="36"/>
      <c r="GF147" s="36"/>
      <c r="GG147" s="36"/>
      <c r="GH147" s="36"/>
      <c r="GI147" s="36"/>
      <c r="GJ147" s="36"/>
      <c r="GK147" s="36"/>
      <c r="GL147" s="36"/>
      <c r="GM147" s="36"/>
      <c r="GN147" s="36"/>
      <c r="GO147" s="36"/>
      <c r="GP147" s="36"/>
      <c r="GQ147" s="36"/>
      <c r="GR147" s="36"/>
      <c r="GS147" s="36"/>
      <c r="GT147" s="36"/>
      <c r="GU147" s="36"/>
      <c r="GV147" s="6"/>
      <c r="GW147" s="36"/>
      <c r="GX147" s="36"/>
      <c r="GY147" s="36"/>
      <c r="GZ147" s="36"/>
      <c r="HA147" s="36"/>
      <c r="HB147" s="36"/>
      <c r="HC147" s="36"/>
      <c r="HD147" s="36"/>
      <c r="HE147" s="36"/>
      <c r="HF147" s="36"/>
      <c r="HG147" s="36"/>
      <c r="HH147" s="36"/>
      <c r="HI147" s="36"/>
      <c r="HJ147" s="36"/>
      <c r="HK147" s="36"/>
      <c r="HL147" s="36"/>
      <c r="HM147" s="36"/>
      <c r="HN147" s="36"/>
      <c r="HO147" s="36"/>
      <c r="HP147" s="36"/>
      <c r="HQ147" s="36"/>
      <c r="HR147" s="36"/>
      <c r="HS147" s="36"/>
      <c r="HT147" s="36"/>
      <c r="HU147" s="36"/>
      <c r="HV147" s="36">
        <v>30</v>
      </c>
      <c r="HW147" s="36"/>
      <c r="HX147" s="36"/>
      <c r="HY147" s="36"/>
      <c r="HZ147" s="36"/>
      <c r="IA147" s="36"/>
      <c r="IB147" s="36"/>
      <c r="IC147" s="36"/>
      <c r="ID147" s="36"/>
      <c r="IE147" s="36"/>
      <c r="IF147" s="36"/>
      <c r="IG147" s="36"/>
      <c r="IH147" s="36"/>
      <c r="II147" s="36"/>
      <c r="IJ147" s="36"/>
      <c r="IK147" s="36"/>
      <c r="IL147" s="36"/>
      <c r="IM147" s="36"/>
      <c r="IN147" s="36"/>
      <c r="IO147" s="36"/>
      <c r="IP147" s="36"/>
      <c r="IR147" s="2" t="s">
        <v>543</v>
      </c>
    </row>
    <row r="148" spans="1:252" ht="15.75" customHeight="1" x14ac:dyDescent="0.25">
      <c r="A148" s="36" t="s">
        <v>777</v>
      </c>
      <c r="B148" s="36" t="s">
        <v>778</v>
      </c>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v>5</v>
      </c>
      <c r="AS148" s="36"/>
      <c r="AT148" s="36"/>
      <c r="AU148" s="36">
        <v>10</v>
      </c>
      <c r="AV148" s="36"/>
      <c r="AW148" s="36"/>
      <c r="AX148" s="36"/>
      <c r="AY148" s="36"/>
      <c r="AZ148" s="36"/>
      <c r="BA148" s="36"/>
      <c r="BB148" s="36"/>
      <c r="BC148" s="36"/>
      <c r="BD148" s="36"/>
      <c r="BE148" s="36"/>
      <c r="BF148" s="36"/>
      <c r="BG148" s="36"/>
      <c r="BH148" s="36"/>
      <c r="BI148" s="36"/>
      <c r="BJ148" s="36"/>
      <c r="BK148" s="36"/>
      <c r="BL148" s="36"/>
      <c r="BM148" s="36"/>
      <c r="BN148" s="36"/>
      <c r="BO148" s="36"/>
      <c r="BP148" s="6"/>
      <c r="BQ148" s="6"/>
      <c r="BR148" s="6"/>
      <c r="BS148" s="6"/>
      <c r="BT148" s="6"/>
      <c r="BU148" s="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c r="DV148" s="36"/>
      <c r="DW148" s="36"/>
      <c r="DX148" s="36"/>
      <c r="DY148" s="36"/>
      <c r="DZ148" s="36"/>
      <c r="EA148" s="36"/>
      <c r="EB148" s="36"/>
      <c r="EC148" s="36"/>
      <c r="ED148" s="36"/>
      <c r="EE148" s="36"/>
      <c r="EF148" s="36"/>
      <c r="EG148" s="36"/>
      <c r="EH148" s="36"/>
      <c r="EI148" s="36"/>
      <c r="EJ148" s="36"/>
      <c r="EK148" s="36"/>
      <c r="EL148" s="36"/>
      <c r="EM148" s="36"/>
      <c r="EN148" s="36"/>
      <c r="EO148" s="36"/>
      <c r="EP148" s="36">
        <v>10</v>
      </c>
      <c r="EQ148" s="36">
        <v>10</v>
      </c>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6"/>
      <c r="GB148" s="6"/>
      <c r="GC148" s="36"/>
      <c r="GD148" s="36"/>
      <c r="GE148" s="36"/>
      <c r="GF148" s="36"/>
      <c r="GG148" s="36"/>
      <c r="GH148" s="36"/>
      <c r="GI148" s="36"/>
      <c r="GJ148" s="36"/>
      <c r="GK148" s="36"/>
      <c r="GL148" s="36"/>
      <c r="GM148" s="36"/>
      <c r="GN148" s="36"/>
      <c r="GO148" s="36"/>
      <c r="GP148" s="36"/>
      <c r="GQ148" s="36"/>
      <c r="GR148" s="36"/>
      <c r="GS148" s="36"/>
      <c r="GT148" s="36"/>
      <c r="GU148" s="36"/>
      <c r="GV148" s="6"/>
      <c r="GW148" s="36"/>
      <c r="GX148" s="36"/>
      <c r="GY148" s="36"/>
      <c r="GZ148" s="36"/>
      <c r="HA148" s="36"/>
      <c r="HB148" s="36"/>
      <c r="HC148" s="36"/>
      <c r="HD148" s="36"/>
      <c r="HE148" s="36"/>
      <c r="HF148" s="36"/>
      <c r="HG148" s="36"/>
      <c r="HH148" s="36"/>
      <c r="HI148" s="36"/>
      <c r="HJ148" s="36"/>
      <c r="HK148" s="36"/>
      <c r="HL148" s="36"/>
      <c r="HM148" s="36"/>
      <c r="HN148" s="36"/>
      <c r="HO148" s="36"/>
      <c r="HP148" s="36"/>
      <c r="HQ148" s="36"/>
      <c r="HR148" s="36"/>
      <c r="HS148" s="36"/>
      <c r="HT148" s="36"/>
      <c r="HU148" s="36"/>
      <c r="HV148" s="36"/>
      <c r="HW148" s="36"/>
      <c r="HX148" s="36"/>
      <c r="HY148" s="36"/>
      <c r="HZ148" s="36"/>
      <c r="IA148" s="36"/>
      <c r="IB148" s="36"/>
      <c r="IC148" s="36"/>
      <c r="ID148" s="36"/>
      <c r="IE148" s="36"/>
      <c r="IF148" s="36"/>
      <c r="IG148" s="36"/>
      <c r="IH148" s="36"/>
      <c r="II148" s="36"/>
      <c r="IJ148" s="36"/>
      <c r="IK148" s="36"/>
      <c r="IL148" s="36"/>
      <c r="IM148" s="36"/>
      <c r="IN148" s="36"/>
      <c r="IO148" s="36"/>
      <c r="IP148" s="36"/>
      <c r="IR148" s="2" t="s">
        <v>543</v>
      </c>
    </row>
    <row r="149" spans="1:252" ht="15.75" customHeight="1" x14ac:dyDescent="0.25">
      <c r="A149" s="36" t="s">
        <v>783</v>
      </c>
      <c r="B149" s="36" t="s">
        <v>784</v>
      </c>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6"/>
      <c r="BQ149" s="6"/>
      <c r="BR149" s="6"/>
      <c r="BS149" s="6"/>
      <c r="BT149" s="6"/>
      <c r="BU149" s="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c r="EB149" s="36"/>
      <c r="EC149" s="36"/>
      <c r="ED149" s="36"/>
      <c r="EE149" s="36"/>
      <c r="EF149" s="36"/>
      <c r="EG149" s="36"/>
      <c r="EH149" s="36"/>
      <c r="EI149" s="36"/>
      <c r="EJ149" s="36"/>
      <c r="EK149" s="36"/>
      <c r="EL149" s="36"/>
      <c r="EM149" s="36"/>
      <c r="EN149" s="36"/>
      <c r="EO149" s="36"/>
      <c r="EP149" s="36">
        <v>6</v>
      </c>
      <c r="EQ149" s="36">
        <v>10</v>
      </c>
      <c r="ER149" s="36"/>
      <c r="ES149" s="36">
        <v>5</v>
      </c>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6"/>
      <c r="GB149" s="6"/>
      <c r="GC149" s="36"/>
      <c r="GD149" s="36"/>
      <c r="GE149" s="36"/>
      <c r="GF149" s="36"/>
      <c r="GG149" s="36"/>
      <c r="GH149" s="36">
        <v>20</v>
      </c>
      <c r="GI149" s="36"/>
      <c r="GJ149" s="36"/>
      <c r="GK149" s="36"/>
      <c r="GL149" s="36"/>
      <c r="GM149" s="36"/>
      <c r="GN149" s="36"/>
      <c r="GO149" s="36"/>
      <c r="GP149" s="36"/>
      <c r="GQ149" s="36"/>
      <c r="GR149" s="36"/>
      <c r="GS149" s="36"/>
      <c r="GT149" s="36"/>
      <c r="GU149" s="36"/>
      <c r="GV149" s="6"/>
      <c r="GW149" s="36"/>
      <c r="GX149" s="36"/>
      <c r="GY149" s="36"/>
      <c r="GZ149" s="36"/>
      <c r="HA149" s="36"/>
      <c r="HB149" s="36"/>
      <c r="HC149" s="36"/>
      <c r="HD149" s="36"/>
      <c r="HE149" s="36"/>
      <c r="HF149" s="36"/>
      <c r="HG149" s="36"/>
      <c r="HH149" s="36"/>
      <c r="HI149" s="36"/>
      <c r="HJ149" s="36"/>
      <c r="HK149" s="36"/>
      <c r="HL149" s="36"/>
      <c r="HM149" s="36"/>
      <c r="HN149" s="36"/>
      <c r="HO149" s="36"/>
      <c r="HP149" s="36"/>
      <c r="HQ149" s="36"/>
      <c r="HR149" s="36"/>
      <c r="HS149" s="36"/>
      <c r="HT149" s="36"/>
      <c r="HU149" s="36"/>
      <c r="HV149" s="36">
        <v>10</v>
      </c>
      <c r="HW149" s="36"/>
      <c r="HX149" s="36"/>
      <c r="HY149" s="36"/>
      <c r="HZ149" s="36"/>
      <c r="IA149" s="36"/>
      <c r="IB149" s="36"/>
      <c r="IC149" s="36"/>
      <c r="ID149" s="36"/>
      <c r="IE149" s="36"/>
      <c r="IF149" s="36"/>
      <c r="IG149" s="36"/>
      <c r="IH149" s="36"/>
      <c r="II149" s="36"/>
      <c r="IJ149" s="36"/>
      <c r="IK149" s="36"/>
      <c r="IL149" s="36"/>
      <c r="IM149" s="36"/>
      <c r="IN149" s="36"/>
      <c r="IO149" s="36"/>
      <c r="IP149" s="36"/>
      <c r="IR149" s="2" t="s">
        <v>543</v>
      </c>
    </row>
    <row r="150" spans="1:252" ht="15.75" customHeight="1" x14ac:dyDescent="0.25">
      <c r="A150" s="36" t="s">
        <v>783</v>
      </c>
      <c r="B150" s="36" t="s">
        <v>788</v>
      </c>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36"/>
      <c r="BN150" s="36"/>
      <c r="BO150" s="36"/>
      <c r="BP150" s="6"/>
      <c r="BQ150" s="6"/>
      <c r="BR150" s="6"/>
      <c r="BS150" s="6"/>
      <c r="BT150" s="6"/>
      <c r="BU150" s="6">
        <v>40</v>
      </c>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v>12</v>
      </c>
      <c r="DP150" s="36"/>
      <c r="DQ150" s="36"/>
      <c r="DR150" s="36"/>
      <c r="DS150" s="36"/>
      <c r="DT150" s="36"/>
      <c r="DU150" s="36"/>
      <c r="DV150" s="36"/>
      <c r="DW150" s="36"/>
      <c r="DX150" s="36"/>
      <c r="DY150" s="36"/>
      <c r="DZ150" s="36"/>
      <c r="EA150" s="36"/>
      <c r="EB150" s="36"/>
      <c r="EC150" s="36"/>
      <c r="ED150" s="36"/>
      <c r="EE150" s="36"/>
      <c r="EF150" s="36"/>
      <c r="EG150" s="36"/>
      <c r="EH150" s="36"/>
      <c r="EI150" s="36"/>
      <c r="EJ150" s="36"/>
      <c r="EK150" s="36"/>
      <c r="EL150" s="36"/>
      <c r="EM150" s="36"/>
      <c r="EN150" s="36"/>
      <c r="EO150" s="36"/>
      <c r="EP150" s="36"/>
      <c r="EQ150" s="36">
        <v>10</v>
      </c>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6"/>
      <c r="GB150" s="6"/>
      <c r="GC150" s="36"/>
      <c r="GD150" s="36"/>
      <c r="GE150" s="36"/>
      <c r="GF150" s="36"/>
      <c r="GG150" s="36"/>
      <c r="GH150" s="36"/>
      <c r="GI150" s="36"/>
      <c r="GJ150" s="36"/>
      <c r="GK150" s="36"/>
      <c r="GL150" s="36"/>
      <c r="GM150" s="36"/>
      <c r="GN150" s="36"/>
      <c r="GO150" s="36"/>
      <c r="GP150" s="36"/>
      <c r="GQ150" s="36"/>
      <c r="GR150" s="36"/>
      <c r="GS150" s="36"/>
      <c r="GT150" s="36"/>
      <c r="GU150" s="36"/>
      <c r="GV150" s="6"/>
      <c r="GW150" s="36"/>
      <c r="GX150" s="36"/>
      <c r="GY150" s="36"/>
      <c r="GZ150" s="36"/>
      <c r="HA150" s="36"/>
      <c r="HB150" s="36"/>
      <c r="HC150" s="36"/>
      <c r="HD150" s="36"/>
      <c r="HE150" s="36"/>
      <c r="HF150" s="36"/>
      <c r="HG150" s="36"/>
      <c r="HH150" s="36"/>
      <c r="HI150" s="36"/>
      <c r="HJ150" s="36"/>
      <c r="HK150" s="36"/>
      <c r="HL150" s="36"/>
      <c r="HM150" s="36"/>
      <c r="HN150" s="36"/>
      <c r="HO150" s="36"/>
      <c r="HP150" s="36"/>
      <c r="HQ150" s="36"/>
      <c r="HR150" s="36"/>
      <c r="HS150" s="36"/>
      <c r="HT150" s="36"/>
      <c r="HU150" s="36"/>
      <c r="HV150" s="36"/>
      <c r="HW150" s="36"/>
      <c r="HX150" s="36"/>
      <c r="HY150" s="36"/>
      <c r="HZ150" s="36"/>
      <c r="IA150" s="36"/>
      <c r="IB150" s="36"/>
      <c r="IC150" s="36"/>
      <c r="ID150" s="36"/>
      <c r="IE150" s="36"/>
      <c r="IF150" s="36"/>
      <c r="IG150" s="36"/>
      <c r="IH150" s="36"/>
      <c r="II150" s="36"/>
      <c r="IJ150" s="36"/>
      <c r="IK150" s="36"/>
      <c r="IL150" s="36"/>
      <c r="IM150" s="36"/>
      <c r="IN150" s="36"/>
      <c r="IO150" s="36"/>
      <c r="IP150" s="36"/>
      <c r="IR150" s="2" t="s">
        <v>543</v>
      </c>
    </row>
    <row r="151" spans="1:252" ht="15.75" customHeight="1" x14ac:dyDescent="0.25">
      <c r="A151" s="36" t="s">
        <v>794</v>
      </c>
      <c r="B151" s="36" t="s">
        <v>795</v>
      </c>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36"/>
      <c r="BN151" s="36"/>
      <c r="BO151" s="36"/>
      <c r="BP151" s="6"/>
      <c r="BQ151" s="6"/>
      <c r="BR151" s="6"/>
      <c r="BS151" s="6"/>
      <c r="BT151" s="6"/>
      <c r="BU151" s="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v>12</v>
      </c>
      <c r="DT151" s="36"/>
      <c r="DU151" s="36"/>
      <c r="DV151" s="36"/>
      <c r="DW151" s="36"/>
      <c r="DX151" s="36"/>
      <c r="DY151" s="36"/>
      <c r="DZ151" s="36"/>
      <c r="EA151" s="36"/>
      <c r="EB151" s="36"/>
      <c r="EC151" s="36"/>
      <c r="ED151" s="36"/>
      <c r="EE151" s="36"/>
      <c r="EF151" s="36"/>
      <c r="EG151" s="36"/>
      <c r="EH151" s="36"/>
      <c r="EI151" s="36"/>
      <c r="EJ151" s="36"/>
      <c r="EK151" s="36"/>
      <c r="EL151" s="36"/>
      <c r="EM151" s="36"/>
      <c r="EN151" s="36"/>
      <c r="EO151" s="36"/>
      <c r="EP151" s="36">
        <v>16</v>
      </c>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6"/>
      <c r="GB151" s="6"/>
      <c r="GC151" s="36"/>
      <c r="GD151" s="36"/>
      <c r="GE151" s="36"/>
      <c r="GF151" s="36">
        <v>48</v>
      </c>
      <c r="GG151" s="36"/>
      <c r="GH151" s="36">
        <v>20</v>
      </c>
      <c r="GI151" s="36"/>
      <c r="GJ151" s="36"/>
      <c r="GK151" s="36"/>
      <c r="GL151" s="36"/>
      <c r="GM151" s="36"/>
      <c r="GN151" s="36"/>
      <c r="GO151" s="36"/>
      <c r="GP151" s="36"/>
      <c r="GQ151" s="36"/>
      <c r="GR151" s="36"/>
      <c r="GS151" s="36"/>
      <c r="GT151" s="36"/>
      <c r="GU151" s="36"/>
      <c r="GV151" s="6"/>
      <c r="GW151" s="36"/>
      <c r="GX151" s="36"/>
      <c r="GY151" s="36"/>
      <c r="GZ151" s="36"/>
      <c r="HA151" s="36"/>
      <c r="HB151" s="36"/>
      <c r="HC151" s="36"/>
      <c r="HD151" s="36"/>
      <c r="HE151" s="36"/>
      <c r="HF151" s="36"/>
      <c r="HG151" s="36"/>
      <c r="HH151" s="36"/>
      <c r="HI151" s="36"/>
      <c r="HJ151" s="36"/>
      <c r="HK151" s="36"/>
      <c r="HL151" s="36"/>
      <c r="HM151" s="36"/>
      <c r="HN151" s="36"/>
      <c r="HO151" s="36"/>
      <c r="HP151" s="36"/>
      <c r="HQ151" s="36"/>
      <c r="HR151" s="36"/>
      <c r="HS151" s="36"/>
      <c r="HT151" s="36"/>
      <c r="HU151" s="36"/>
      <c r="HV151" s="36"/>
      <c r="HW151" s="36"/>
      <c r="HX151" s="36"/>
      <c r="HY151" s="36"/>
      <c r="HZ151" s="36"/>
      <c r="IA151" s="36"/>
      <c r="IB151" s="36"/>
      <c r="IC151" s="36"/>
      <c r="ID151" s="36"/>
      <c r="IE151" s="36"/>
      <c r="IF151" s="36"/>
      <c r="IG151" s="36"/>
      <c r="IH151" s="36"/>
      <c r="II151" s="36"/>
      <c r="IJ151" s="36"/>
      <c r="IK151" s="36"/>
      <c r="IL151" s="36"/>
      <c r="IM151" s="36"/>
      <c r="IN151" s="36"/>
      <c r="IO151" s="36"/>
      <c r="IP151" s="36"/>
      <c r="IR151" s="2" t="s">
        <v>543</v>
      </c>
    </row>
    <row r="152" spans="1:252" ht="15.75" customHeight="1" x14ac:dyDescent="0.25">
      <c r="A152" s="36" t="s">
        <v>798</v>
      </c>
      <c r="B152" s="36" t="s">
        <v>799</v>
      </c>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36"/>
      <c r="BN152" s="36"/>
      <c r="BO152" s="36"/>
      <c r="BP152" s="6"/>
      <c r="BQ152" s="6"/>
      <c r="BR152" s="6"/>
      <c r="BS152" s="6"/>
      <c r="BT152" s="6"/>
      <c r="BU152" s="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6"/>
      <c r="GB152" s="6"/>
      <c r="GC152" s="36"/>
      <c r="GD152" s="36"/>
      <c r="GE152" s="36"/>
      <c r="GF152" s="36"/>
      <c r="GG152" s="36"/>
      <c r="GH152" s="36"/>
      <c r="GI152" s="36"/>
      <c r="GJ152" s="36"/>
      <c r="GK152" s="36"/>
      <c r="GL152" s="36"/>
      <c r="GM152" s="36"/>
      <c r="GN152" s="36"/>
      <c r="GO152" s="36"/>
      <c r="GP152" s="36"/>
      <c r="GQ152" s="36"/>
      <c r="GR152" s="36"/>
      <c r="GS152" s="36"/>
      <c r="GT152" s="36"/>
      <c r="GU152" s="36"/>
      <c r="GV152" s="6"/>
      <c r="GW152" s="36"/>
      <c r="GX152" s="36"/>
      <c r="GY152" s="36"/>
      <c r="GZ152" s="36"/>
      <c r="HA152" s="36"/>
      <c r="HB152" s="36"/>
      <c r="HC152" s="36"/>
      <c r="HD152" s="36"/>
      <c r="HE152" s="36"/>
      <c r="HF152" s="36"/>
      <c r="HG152" s="36"/>
      <c r="HH152" s="36"/>
      <c r="HI152" s="36"/>
      <c r="HJ152" s="36"/>
      <c r="HK152" s="36"/>
      <c r="HL152" s="36"/>
      <c r="HM152" s="36"/>
      <c r="HN152" s="36"/>
      <c r="HO152" s="36"/>
      <c r="HP152" s="36"/>
      <c r="HQ152" s="36"/>
      <c r="HR152" s="36"/>
      <c r="HS152" s="36"/>
      <c r="HT152" s="36"/>
      <c r="HU152" s="36"/>
      <c r="HV152" s="36"/>
      <c r="HW152" s="36"/>
      <c r="HX152" s="36"/>
      <c r="HY152" s="36"/>
      <c r="HZ152" s="36"/>
      <c r="IA152" s="36"/>
      <c r="IB152" s="36"/>
      <c r="IC152" s="36"/>
      <c r="ID152" s="36"/>
      <c r="IE152" s="36"/>
      <c r="IF152" s="36"/>
      <c r="IG152" s="36"/>
      <c r="IH152" s="36"/>
      <c r="II152" s="36"/>
      <c r="IJ152" s="36"/>
      <c r="IK152" s="36"/>
      <c r="IL152" s="36"/>
      <c r="IM152" s="36"/>
      <c r="IN152" s="36"/>
      <c r="IO152" s="36"/>
      <c r="IP152" s="36"/>
      <c r="IR152" s="2" t="s">
        <v>543</v>
      </c>
    </row>
    <row r="153" spans="1:252" ht="15.75" customHeight="1" x14ac:dyDescent="0.25">
      <c r="A153" s="36" t="s">
        <v>802</v>
      </c>
      <c r="B153" s="36" t="s">
        <v>803</v>
      </c>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36"/>
      <c r="BN153" s="36"/>
      <c r="BO153" s="36"/>
      <c r="BP153" s="6"/>
      <c r="BQ153" s="6"/>
      <c r="BR153" s="6"/>
      <c r="BS153" s="6"/>
      <c r="BT153" s="6"/>
      <c r="BU153" s="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c r="DJ153" s="36"/>
      <c r="DK153" s="36"/>
      <c r="DL153" s="36"/>
      <c r="DM153" s="36"/>
      <c r="DN153" s="36"/>
      <c r="DO153" s="36"/>
      <c r="DP153" s="36"/>
      <c r="DQ153" s="36"/>
      <c r="DR153" s="36"/>
      <c r="DS153" s="36"/>
      <c r="DT153" s="36"/>
      <c r="DU153" s="36"/>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v>50</v>
      </c>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6"/>
      <c r="GB153" s="6"/>
      <c r="GC153" s="36"/>
      <c r="GD153" s="36"/>
      <c r="GE153" s="36"/>
      <c r="GF153" s="36"/>
      <c r="GG153" s="36"/>
      <c r="GH153" s="36"/>
      <c r="GI153" s="36"/>
      <c r="GJ153" s="36"/>
      <c r="GK153" s="36"/>
      <c r="GL153" s="36"/>
      <c r="GM153" s="36"/>
      <c r="GN153" s="36"/>
      <c r="GO153" s="36"/>
      <c r="GP153" s="36"/>
      <c r="GQ153" s="36"/>
      <c r="GR153" s="36"/>
      <c r="GS153" s="36"/>
      <c r="GT153" s="36"/>
      <c r="GU153" s="36"/>
      <c r="GV153" s="6"/>
      <c r="GW153" s="36"/>
      <c r="GX153" s="36"/>
      <c r="GY153" s="36"/>
      <c r="GZ153" s="36"/>
      <c r="HA153" s="36"/>
      <c r="HB153" s="36"/>
      <c r="HC153" s="36"/>
      <c r="HD153" s="36"/>
      <c r="HE153" s="36"/>
      <c r="HF153" s="36"/>
      <c r="HG153" s="36"/>
      <c r="HH153" s="36"/>
      <c r="HI153" s="36"/>
      <c r="HJ153" s="36"/>
      <c r="HK153" s="36"/>
      <c r="HL153" s="36"/>
      <c r="HM153" s="36"/>
      <c r="HN153" s="36"/>
      <c r="HO153" s="36"/>
      <c r="HP153" s="36"/>
      <c r="HQ153" s="36"/>
      <c r="HR153" s="36"/>
      <c r="HS153" s="36"/>
      <c r="HT153" s="36"/>
      <c r="HU153" s="36"/>
      <c r="HV153" s="36"/>
      <c r="HW153" s="36"/>
      <c r="HX153" s="36"/>
      <c r="HY153" s="36"/>
      <c r="HZ153" s="36"/>
      <c r="IA153" s="36"/>
      <c r="IB153" s="36"/>
      <c r="IC153" s="36"/>
      <c r="ID153" s="36"/>
      <c r="IE153" s="36"/>
      <c r="IF153" s="36"/>
      <c r="IG153" s="36"/>
      <c r="IH153" s="36"/>
      <c r="II153" s="36"/>
      <c r="IJ153" s="36"/>
      <c r="IK153" s="36"/>
      <c r="IL153" s="36"/>
      <c r="IM153" s="36"/>
      <c r="IN153" s="36"/>
      <c r="IO153" s="36"/>
      <c r="IP153" s="36"/>
      <c r="IR153" s="2" t="s">
        <v>543</v>
      </c>
    </row>
    <row r="154" spans="1:252" ht="15.75" customHeight="1" x14ac:dyDescent="0.25">
      <c r="A154" s="36" t="s">
        <v>802</v>
      </c>
      <c r="B154" s="36" t="s">
        <v>805</v>
      </c>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36"/>
      <c r="BN154" s="36"/>
      <c r="BO154" s="36"/>
      <c r="BP154" s="6"/>
      <c r="BQ154" s="6"/>
      <c r="BR154" s="6"/>
      <c r="BS154" s="6"/>
      <c r="BT154" s="6"/>
      <c r="BU154" s="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c r="DJ154" s="36"/>
      <c r="DK154" s="36"/>
      <c r="DL154" s="36"/>
      <c r="DM154" s="36"/>
      <c r="DN154" s="36"/>
      <c r="DO154" s="36"/>
      <c r="DP154" s="36"/>
      <c r="DQ154" s="36"/>
      <c r="DR154" s="36"/>
      <c r="DS154" s="36"/>
      <c r="DT154" s="36"/>
      <c r="DU154" s="36"/>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6"/>
      <c r="GB154" s="6"/>
      <c r="GC154" s="36"/>
      <c r="GD154" s="36"/>
      <c r="GE154" s="36"/>
      <c r="GF154" s="36"/>
      <c r="GG154" s="36"/>
      <c r="GH154" s="36"/>
      <c r="GI154" s="36"/>
      <c r="GJ154" s="36"/>
      <c r="GK154" s="36"/>
      <c r="GL154" s="36"/>
      <c r="GM154" s="36"/>
      <c r="GN154" s="36"/>
      <c r="GO154" s="36"/>
      <c r="GP154" s="36"/>
      <c r="GQ154" s="36"/>
      <c r="GR154" s="36"/>
      <c r="GS154" s="36"/>
      <c r="GT154" s="36"/>
      <c r="GU154" s="36"/>
      <c r="GV154" s="6"/>
      <c r="GW154" s="36"/>
      <c r="GX154" s="36"/>
      <c r="GY154" s="36"/>
      <c r="GZ154" s="36"/>
      <c r="HA154" s="36"/>
      <c r="HB154" s="36"/>
      <c r="HC154" s="36"/>
      <c r="HD154" s="36"/>
      <c r="HE154" s="36"/>
      <c r="HF154" s="36"/>
      <c r="HG154" s="36"/>
      <c r="HH154" s="36"/>
      <c r="HI154" s="36"/>
      <c r="HJ154" s="36"/>
      <c r="HK154" s="36"/>
      <c r="HL154" s="36"/>
      <c r="HM154" s="36"/>
      <c r="HN154" s="36"/>
      <c r="HO154" s="36"/>
      <c r="HP154" s="36"/>
      <c r="HQ154" s="36"/>
      <c r="HR154" s="36"/>
      <c r="HS154" s="36"/>
      <c r="HT154" s="36"/>
      <c r="HU154" s="36">
        <v>50</v>
      </c>
      <c r="HV154" s="36"/>
      <c r="HW154" s="36"/>
      <c r="HX154" s="36"/>
      <c r="HY154" s="36"/>
      <c r="HZ154" s="36"/>
      <c r="IA154" s="36"/>
      <c r="IB154" s="36"/>
      <c r="IC154" s="36"/>
      <c r="ID154" s="36"/>
      <c r="IE154" s="36"/>
      <c r="IF154" s="36"/>
      <c r="IG154" s="36"/>
      <c r="IH154" s="36"/>
      <c r="II154" s="36"/>
      <c r="IJ154" s="36"/>
      <c r="IK154" s="36"/>
      <c r="IL154" s="36"/>
      <c r="IM154" s="36"/>
      <c r="IN154" s="36"/>
      <c r="IO154" s="36"/>
      <c r="IP154" s="36"/>
      <c r="IR154" s="2" t="s">
        <v>543</v>
      </c>
    </row>
    <row r="155" spans="1:252" ht="15.75" customHeight="1" x14ac:dyDescent="0.25">
      <c r="A155" s="36" t="s">
        <v>802</v>
      </c>
      <c r="B155" s="36" t="s">
        <v>806</v>
      </c>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36"/>
      <c r="BN155" s="36"/>
      <c r="BO155" s="36"/>
      <c r="BP155" s="6"/>
      <c r="BQ155" s="6"/>
      <c r="BR155" s="6"/>
      <c r="BS155" s="6"/>
      <c r="BT155" s="6"/>
      <c r="BU155" s="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v>100</v>
      </c>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6"/>
      <c r="GB155" s="6"/>
      <c r="GC155" s="36"/>
      <c r="GD155" s="36"/>
      <c r="GE155" s="36"/>
      <c r="GF155" s="36"/>
      <c r="GG155" s="36"/>
      <c r="GH155" s="36"/>
      <c r="GI155" s="36"/>
      <c r="GJ155" s="36"/>
      <c r="GK155" s="36"/>
      <c r="GL155" s="36"/>
      <c r="GM155" s="36"/>
      <c r="GN155" s="36"/>
      <c r="GO155" s="36"/>
      <c r="GP155" s="36"/>
      <c r="GQ155" s="36"/>
      <c r="GR155" s="36"/>
      <c r="GS155" s="36"/>
      <c r="GT155" s="36"/>
      <c r="GU155" s="36"/>
      <c r="GV155" s="6"/>
      <c r="GW155" s="36"/>
      <c r="GX155" s="36"/>
      <c r="GY155" s="36"/>
      <c r="GZ155" s="36"/>
      <c r="HA155" s="36"/>
      <c r="HB155" s="36"/>
      <c r="HC155" s="36"/>
      <c r="HD155" s="36"/>
      <c r="HE155" s="36"/>
      <c r="HF155" s="36"/>
      <c r="HG155" s="36"/>
      <c r="HH155" s="36"/>
      <c r="HI155" s="36"/>
      <c r="HJ155" s="36"/>
      <c r="HK155" s="36"/>
      <c r="HL155" s="36"/>
      <c r="HM155" s="36"/>
      <c r="HN155" s="36"/>
      <c r="HO155" s="36"/>
      <c r="HP155" s="36"/>
      <c r="HQ155" s="36"/>
      <c r="HR155" s="36"/>
      <c r="HS155" s="36"/>
      <c r="HT155" s="36"/>
      <c r="HU155" s="36"/>
      <c r="HV155" s="36"/>
      <c r="HW155" s="36"/>
      <c r="HX155" s="36"/>
      <c r="HY155" s="36"/>
      <c r="HZ155" s="36"/>
      <c r="IA155" s="36"/>
      <c r="IB155" s="36"/>
      <c r="IC155" s="36"/>
      <c r="ID155" s="36"/>
      <c r="IE155" s="36"/>
      <c r="IF155" s="36"/>
      <c r="IG155" s="36"/>
      <c r="IH155" s="36"/>
      <c r="II155" s="36"/>
      <c r="IJ155" s="36"/>
      <c r="IK155" s="36"/>
      <c r="IL155" s="36"/>
      <c r="IM155" s="36"/>
      <c r="IN155" s="36"/>
      <c r="IO155" s="36"/>
      <c r="IP155" s="36"/>
      <c r="IR155" s="2" t="s">
        <v>543</v>
      </c>
    </row>
    <row r="156" spans="1:252" ht="15.75" customHeight="1" x14ac:dyDescent="0.25">
      <c r="A156" s="36" t="s">
        <v>809</v>
      </c>
      <c r="B156" s="36" t="s">
        <v>810</v>
      </c>
      <c r="C156" s="36"/>
      <c r="D156" s="36"/>
      <c r="E156" s="36"/>
      <c r="F156" s="36"/>
      <c r="G156" s="36"/>
      <c r="H156" s="36"/>
      <c r="I156" s="36"/>
      <c r="J156" s="36"/>
      <c r="K156" s="36"/>
      <c r="L156" s="36" t="s">
        <v>811</v>
      </c>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36"/>
      <c r="BN156" s="36"/>
      <c r="BO156" s="36"/>
      <c r="BP156" s="6"/>
      <c r="BQ156" s="6"/>
      <c r="BR156" s="6"/>
      <c r="BS156" s="6"/>
      <c r="BT156" s="6"/>
      <c r="BU156" s="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6"/>
      <c r="GB156" s="6"/>
      <c r="GC156" s="36"/>
      <c r="GD156" s="36"/>
      <c r="GE156" s="36"/>
      <c r="GF156" s="36"/>
      <c r="GG156" s="36"/>
      <c r="GH156" s="36"/>
      <c r="GI156" s="36"/>
      <c r="GJ156" s="36"/>
      <c r="GK156" s="36"/>
      <c r="GL156" s="36"/>
      <c r="GM156" s="36"/>
      <c r="GN156" s="36"/>
      <c r="GO156" s="36"/>
      <c r="GP156" s="36"/>
      <c r="GQ156" s="36"/>
      <c r="GR156" s="36"/>
      <c r="GS156" s="36"/>
      <c r="GT156" s="36"/>
      <c r="GU156" s="36"/>
      <c r="GV156" s="6"/>
      <c r="GW156" s="36"/>
      <c r="GX156" s="36"/>
      <c r="GY156" s="36"/>
      <c r="GZ156" s="36"/>
      <c r="HA156" s="36"/>
      <c r="HB156" s="36"/>
      <c r="HC156" s="36"/>
      <c r="HD156" s="36"/>
      <c r="HE156" s="36"/>
      <c r="HF156" s="36"/>
      <c r="HG156" s="36"/>
      <c r="HH156" s="36"/>
      <c r="HI156" s="36"/>
      <c r="HJ156" s="36"/>
      <c r="HK156" s="36"/>
      <c r="HL156" s="36"/>
      <c r="HM156" s="36"/>
      <c r="HN156" s="36"/>
      <c r="HO156" s="36"/>
      <c r="HP156" s="36"/>
      <c r="HQ156" s="36"/>
      <c r="HR156" s="36"/>
      <c r="HS156" s="36"/>
      <c r="HT156" s="36"/>
      <c r="HU156" s="36"/>
      <c r="HV156" s="36"/>
      <c r="HW156" s="36"/>
      <c r="HX156" s="36"/>
      <c r="HY156" s="36"/>
      <c r="HZ156" s="36"/>
      <c r="IA156" s="36"/>
      <c r="IB156" s="36"/>
      <c r="IC156" s="36"/>
      <c r="ID156" s="36"/>
      <c r="IE156" s="36"/>
      <c r="IF156" s="36"/>
      <c r="IG156" s="36"/>
      <c r="IH156" s="36"/>
      <c r="II156" s="36"/>
      <c r="IJ156" s="36"/>
      <c r="IK156" s="36">
        <v>2</v>
      </c>
      <c r="IL156" s="36">
        <v>9</v>
      </c>
      <c r="IM156" s="36">
        <v>4</v>
      </c>
      <c r="IN156" s="36"/>
      <c r="IO156" s="36"/>
      <c r="IP156" s="36"/>
      <c r="IR156" s="2" t="s">
        <v>543</v>
      </c>
    </row>
    <row r="157" spans="1:252" ht="15.75" customHeight="1" x14ac:dyDescent="0.25">
      <c r="A157" s="36" t="s">
        <v>812</v>
      </c>
      <c r="B157" s="36" t="s">
        <v>813</v>
      </c>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36"/>
      <c r="BN157" s="36"/>
      <c r="BO157" s="36"/>
      <c r="BP157" s="6"/>
      <c r="BQ157" s="6"/>
      <c r="BR157" s="6"/>
      <c r="BS157" s="6"/>
      <c r="BT157" s="6"/>
      <c r="BU157" s="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c r="EO157" s="36"/>
      <c r="EP157" s="36"/>
      <c r="EQ157" s="36">
        <v>10</v>
      </c>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6"/>
      <c r="GB157" s="6"/>
      <c r="GC157" s="36"/>
      <c r="GD157" s="36"/>
      <c r="GE157" s="36"/>
      <c r="GF157" s="36"/>
      <c r="GG157" s="36"/>
      <c r="GH157" s="36"/>
      <c r="GI157" s="36"/>
      <c r="GJ157" s="36"/>
      <c r="GK157" s="36"/>
      <c r="GL157" s="36"/>
      <c r="GM157" s="36"/>
      <c r="GN157" s="36"/>
      <c r="GO157" s="36"/>
      <c r="GP157" s="36"/>
      <c r="GQ157" s="36"/>
      <c r="GR157" s="36"/>
      <c r="GS157" s="36"/>
      <c r="GT157" s="36"/>
      <c r="GU157" s="36"/>
      <c r="GV157" s="6"/>
      <c r="GW157" s="36"/>
      <c r="GX157" s="36"/>
      <c r="GY157" s="36"/>
      <c r="GZ157" s="36"/>
      <c r="HA157" s="36"/>
      <c r="HB157" s="36"/>
      <c r="HC157" s="36"/>
      <c r="HD157" s="36"/>
      <c r="HE157" s="36"/>
      <c r="HF157" s="36"/>
      <c r="HG157" s="36"/>
      <c r="HH157" s="36"/>
      <c r="HI157" s="36"/>
      <c r="HJ157" s="36"/>
      <c r="HK157" s="36"/>
      <c r="HL157" s="36"/>
      <c r="HM157" s="36"/>
      <c r="HN157" s="36"/>
      <c r="HO157" s="36"/>
      <c r="HP157" s="36"/>
      <c r="HQ157" s="36"/>
      <c r="HR157" s="36"/>
      <c r="HS157" s="36"/>
      <c r="HT157" s="36"/>
      <c r="HU157" s="36"/>
      <c r="HV157" s="36"/>
      <c r="HW157" s="36"/>
      <c r="HX157" s="36"/>
      <c r="HY157" s="36"/>
      <c r="HZ157" s="36"/>
      <c r="IA157" s="36"/>
      <c r="IB157" s="36"/>
      <c r="IC157" s="36"/>
      <c r="ID157" s="36"/>
      <c r="IE157" s="36"/>
      <c r="IF157" s="36"/>
      <c r="IG157" s="36"/>
      <c r="IH157" s="36"/>
      <c r="II157" s="36"/>
      <c r="IJ157" s="36"/>
      <c r="IK157" s="36"/>
      <c r="IL157" s="36"/>
      <c r="IM157" s="36"/>
      <c r="IN157" s="36"/>
      <c r="IO157" s="36"/>
      <c r="IP157" s="36"/>
      <c r="IR157" s="2" t="s">
        <v>543</v>
      </c>
    </row>
    <row r="158" spans="1:252" ht="15.75" customHeight="1" x14ac:dyDescent="0.25">
      <c r="A158" s="36" t="s">
        <v>798</v>
      </c>
      <c r="B158" s="36" t="s">
        <v>814</v>
      </c>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36"/>
      <c r="BN158" s="36"/>
      <c r="BO158" s="36"/>
      <c r="BP158" s="6"/>
      <c r="BQ158" s="6"/>
      <c r="BR158" s="6"/>
      <c r="BS158" s="6"/>
      <c r="BT158" s="6"/>
      <c r="BU158" s="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6"/>
      <c r="GB158" s="6"/>
      <c r="GC158" s="36"/>
      <c r="GD158" s="36"/>
      <c r="GE158" s="36"/>
      <c r="GF158" s="36"/>
      <c r="GG158" s="36"/>
      <c r="GH158" s="36"/>
      <c r="GI158" s="36"/>
      <c r="GJ158" s="36"/>
      <c r="GK158" s="36"/>
      <c r="GL158" s="36"/>
      <c r="GM158" s="36"/>
      <c r="GN158" s="36"/>
      <c r="GO158" s="36"/>
      <c r="GP158" s="36"/>
      <c r="GQ158" s="36"/>
      <c r="GR158" s="36"/>
      <c r="GS158" s="36"/>
      <c r="GT158" s="36"/>
      <c r="GU158" s="36"/>
      <c r="GV158" s="6"/>
      <c r="GW158" s="36"/>
      <c r="GX158" s="36"/>
      <c r="GY158" s="36"/>
      <c r="GZ158" s="36"/>
      <c r="HA158" s="36"/>
      <c r="HB158" s="36"/>
      <c r="HC158" s="36"/>
      <c r="HD158" s="36"/>
      <c r="HE158" s="36"/>
      <c r="HF158" s="36"/>
      <c r="HG158" s="36"/>
      <c r="HH158" s="36"/>
      <c r="HI158" s="36"/>
      <c r="HJ158" s="36"/>
      <c r="HK158" s="36"/>
      <c r="HL158" s="36"/>
      <c r="HM158" s="36"/>
      <c r="HN158" s="36"/>
      <c r="HO158" s="36"/>
      <c r="HP158" s="36"/>
      <c r="HQ158" s="36"/>
      <c r="HR158" s="36"/>
      <c r="HS158" s="36"/>
      <c r="HT158" s="36"/>
      <c r="HU158" s="36"/>
      <c r="HV158" s="36"/>
      <c r="HW158" s="36"/>
      <c r="HX158" s="36"/>
      <c r="HY158" s="36"/>
      <c r="HZ158" s="36"/>
      <c r="IA158" s="36"/>
      <c r="IB158" s="36"/>
      <c r="IC158" s="36"/>
      <c r="ID158" s="36"/>
      <c r="IE158" s="36"/>
      <c r="IF158" s="36"/>
      <c r="IG158" s="36"/>
      <c r="IH158" s="36"/>
      <c r="II158" s="36"/>
      <c r="IJ158" s="36"/>
      <c r="IK158" s="36"/>
      <c r="IL158" s="36"/>
      <c r="IM158" s="36"/>
      <c r="IN158" s="36"/>
      <c r="IO158" s="36"/>
      <c r="IP158" s="36"/>
      <c r="IR158" s="2" t="s">
        <v>543</v>
      </c>
    </row>
    <row r="159" spans="1:252" ht="15.75" customHeight="1" x14ac:dyDescent="0.25">
      <c r="A159" s="36" t="s">
        <v>816</v>
      </c>
      <c r="B159" s="36" t="s">
        <v>817</v>
      </c>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36"/>
      <c r="BN159" s="36"/>
      <c r="BO159" s="36"/>
      <c r="BP159" s="6"/>
      <c r="BQ159" s="6"/>
      <c r="BR159" s="6"/>
      <c r="BS159" s="6"/>
      <c r="BT159" s="6"/>
      <c r="BU159" s="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6"/>
      <c r="GB159" s="6"/>
      <c r="GC159" s="36"/>
      <c r="GD159" s="36"/>
      <c r="GE159" s="36"/>
      <c r="GF159" s="36"/>
      <c r="GG159" s="36"/>
      <c r="GH159" s="36"/>
      <c r="GI159" s="36"/>
      <c r="GJ159" s="36"/>
      <c r="GK159" s="36"/>
      <c r="GL159" s="36"/>
      <c r="GM159" s="36"/>
      <c r="GN159" s="36"/>
      <c r="GO159" s="36"/>
      <c r="GP159" s="36"/>
      <c r="GQ159" s="36"/>
      <c r="GR159" s="36"/>
      <c r="GS159" s="36"/>
      <c r="GT159" s="36"/>
      <c r="GU159" s="36"/>
      <c r="GV159" s="6"/>
      <c r="GW159" s="36"/>
      <c r="GX159" s="36"/>
      <c r="GY159" s="36"/>
      <c r="GZ159" s="36"/>
      <c r="HA159" s="36"/>
      <c r="HB159" s="36"/>
      <c r="HC159" s="36"/>
      <c r="HD159" s="36"/>
      <c r="HE159" s="36"/>
      <c r="HF159" s="36"/>
      <c r="HG159" s="36"/>
      <c r="HH159" s="36"/>
      <c r="HI159" s="36"/>
      <c r="HJ159" s="36"/>
      <c r="HK159" s="36"/>
      <c r="HL159" s="36"/>
      <c r="HM159" s="36"/>
      <c r="HN159" s="36"/>
      <c r="HO159" s="36"/>
      <c r="HP159" s="36"/>
      <c r="HQ159" s="36"/>
      <c r="HR159" s="36"/>
      <c r="HS159" s="36"/>
      <c r="HT159" s="36"/>
      <c r="HU159" s="36"/>
      <c r="HV159" s="36"/>
      <c r="HW159" s="36"/>
      <c r="HX159" s="36"/>
      <c r="HY159" s="36"/>
      <c r="HZ159" s="36"/>
      <c r="IA159" s="36"/>
      <c r="IB159" s="36"/>
      <c r="IC159" s="36"/>
      <c r="ID159" s="36"/>
      <c r="IE159" s="36"/>
      <c r="IF159" s="36"/>
      <c r="IG159" s="36"/>
      <c r="IH159" s="36"/>
      <c r="II159" s="36"/>
      <c r="IJ159" s="36"/>
      <c r="IK159" s="36">
        <v>1</v>
      </c>
      <c r="IL159" s="36">
        <v>6</v>
      </c>
      <c r="IM159" s="36">
        <v>3</v>
      </c>
      <c r="IN159" s="36"/>
      <c r="IO159" s="36"/>
      <c r="IP159" s="36"/>
      <c r="IR159" s="2" t="s">
        <v>543</v>
      </c>
    </row>
    <row r="160" spans="1:252" ht="15.75" customHeight="1" x14ac:dyDescent="0.25">
      <c r="A160" s="36" t="s">
        <v>819</v>
      </c>
      <c r="B160" s="36" t="s">
        <v>820</v>
      </c>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36"/>
      <c r="BN160" s="36"/>
      <c r="BO160" s="36"/>
      <c r="BP160" s="6"/>
      <c r="BQ160" s="6"/>
      <c r="BR160" s="6"/>
      <c r="BS160" s="6"/>
      <c r="BT160" s="6"/>
      <c r="BU160" s="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6"/>
      <c r="GB160" s="6"/>
      <c r="GC160" s="36"/>
      <c r="GD160" s="36"/>
      <c r="GE160" s="36"/>
      <c r="GF160" s="36"/>
      <c r="GG160" s="36"/>
      <c r="GH160" s="36"/>
      <c r="GI160" s="36"/>
      <c r="GJ160" s="36"/>
      <c r="GK160" s="36"/>
      <c r="GL160" s="36"/>
      <c r="GM160" s="36"/>
      <c r="GN160" s="36"/>
      <c r="GO160" s="36"/>
      <c r="GP160" s="36"/>
      <c r="GQ160" s="36"/>
      <c r="GR160" s="36"/>
      <c r="GS160" s="36"/>
      <c r="GT160" s="36"/>
      <c r="GU160" s="36"/>
      <c r="GV160" s="6"/>
      <c r="GW160" s="36"/>
      <c r="GX160" s="36"/>
      <c r="GY160" s="36"/>
      <c r="GZ160" s="36"/>
      <c r="HA160" s="36"/>
      <c r="HB160" s="36"/>
      <c r="HC160" s="36"/>
      <c r="HD160" s="36"/>
      <c r="HE160" s="36"/>
      <c r="HF160" s="36"/>
      <c r="HG160" s="36"/>
      <c r="HH160" s="36"/>
      <c r="HI160" s="36"/>
      <c r="HJ160" s="36"/>
      <c r="HK160" s="36"/>
      <c r="HL160" s="36"/>
      <c r="HM160" s="36"/>
      <c r="HN160" s="36"/>
      <c r="HO160" s="36"/>
      <c r="HP160" s="36"/>
      <c r="HQ160" s="36"/>
      <c r="HR160" s="36"/>
      <c r="HS160" s="36"/>
      <c r="HT160" s="36"/>
      <c r="HU160" s="36"/>
      <c r="HV160" s="36"/>
      <c r="HW160" s="36"/>
      <c r="HX160" s="36"/>
      <c r="HY160" s="36"/>
      <c r="HZ160" s="36"/>
      <c r="IA160" s="36"/>
      <c r="IB160" s="36"/>
      <c r="IC160" s="36"/>
      <c r="ID160" s="36"/>
      <c r="IE160" s="36"/>
      <c r="IF160" s="36"/>
      <c r="IG160" s="36"/>
      <c r="IH160" s="36"/>
      <c r="II160" s="36"/>
      <c r="IJ160" s="36"/>
      <c r="IK160" s="36">
        <v>3</v>
      </c>
      <c r="IL160" s="36">
        <v>16</v>
      </c>
      <c r="IM160" s="36">
        <v>9</v>
      </c>
      <c r="IN160" s="36"/>
      <c r="IO160" s="36"/>
      <c r="IP160" s="36"/>
      <c r="IR160" s="2" t="s">
        <v>543</v>
      </c>
    </row>
    <row r="161" spans="1:252" ht="15.75" customHeight="1" x14ac:dyDescent="0.25">
      <c r="A161" s="36" t="s">
        <v>821</v>
      </c>
      <c r="B161" s="36" t="s">
        <v>822</v>
      </c>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36"/>
      <c r="BN161" s="36"/>
      <c r="BO161" s="36"/>
      <c r="BP161" s="6"/>
      <c r="BQ161" s="6"/>
      <c r="BR161" s="6"/>
      <c r="BS161" s="6"/>
      <c r="BT161" s="6"/>
      <c r="BU161" s="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6"/>
      <c r="GB161" s="6"/>
      <c r="GC161" s="36"/>
      <c r="GD161" s="36"/>
      <c r="GE161" s="36"/>
      <c r="GF161" s="36"/>
      <c r="GG161" s="36"/>
      <c r="GH161" s="36"/>
      <c r="GI161" s="36"/>
      <c r="GJ161" s="36"/>
      <c r="GK161" s="36"/>
      <c r="GL161" s="36"/>
      <c r="GM161" s="36"/>
      <c r="GN161" s="36"/>
      <c r="GO161" s="36"/>
      <c r="GP161" s="36"/>
      <c r="GQ161" s="36"/>
      <c r="GR161" s="36"/>
      <c r="GS161" s="36"/>
      <c r="GT161" s="36"/>
      <c r="GU161" s="36"/>
      <c r="GV161" s="6"/>
      <c r="GW161" s="36"/>
      <c r="GX161" s="36"/>
      <c r="GY161" s="36"/>
      <c r="GZ161" s="36"/>
      <c r="HA161" s="36"/>
      <c r="HB161" s="36"/>
      <c r="HC161" s="36"/>
      <c r="HD161" s="36"/>
      <c r="HE161" s="36"/>
      <c r="HF161" s="36"/>
      <c r="HG161" s="36"/>
      <c r="HH161" s="36"/>
      <c r="HI161" s="36"/>
      <c r="HJ161" s="36"/>
      <c r="HK161" s="36"/>
      <c r="HL161" s="36"/>
      <c r="HM161" s="36"/>
      <c r="HN161" s="36"/>
      <c r="HO161" s="36"/>
      <c r="HP161" s="36"/>
      <c r="HQ161" s="36"/>
      <c r="HR161" s="36"/>
      <c r="HS161" s="36"/>
      <c r="HT161" s="36"/>
      <c r="HU161" s="36"/>
      <c r="HV161" s="36"/>
      <c r="HW161" s="36"/>
      <c r="HX161" s="36"/>
      <c r="HY161" s="36"/>
      <c r="HZ161" s="36"/>
      <c r="IA161" s="36"/>
      <c r="IB161" s="36"/>
      <c r="IC161" s="36"/>
      <c r="ID161" s="36"/>
      <c r="IE161" s="36"/>
      <c r="IF161" s="36"/>
      <c r="IG161" s="36"/>
      <c r="IH161" s="36"/>
      <c r="II161" s="36"/>
      <c r="IJ161" s="36"/>
      <c r="IK161" s="36">
        <v>1</v>
      </c>
      <c r="IL161" s="36">
        <v>6</v>
      </c>
      <c r="IM161" s="36">
        <v>3</v>
      </c>
      <c r="IN161" s="36"/>
      <c r="IO161" s="36"/>
      <c r="IP161" s="36"/>
      <c r="IR161" s="2" t="s">
        <v>543</v>
      </c>
    </row>
    <row r="162" spans="1:252" ht="15.75" customHeight="1" x14ac:dyDescent="0.25">
      <c r="A162" s="36" t="s">
        <v>821</v>
      </c>
      <c r="B162" s="36" t="s">
        <v>823</v>
      </c>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36"/>
      <c r="BN162" s="36"/>
      <c r="BO162" s="36"/>
      <c r="BP162" s="6"/>
      <c r="BQ162" s="6"/>
      <c r="BR162" s="6"/>
      <c r="BS162" s="6"/>
      <c r="BT162" s="6"/>
      <c r="BU162" s="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6"/>
      <c r="GB162" s="6"/>
      <c r="GC162" s="36"/>
      <c r="GD162" s="36"/>
      <c r="GE162" s="36"/>
      <c r="GF162" s="36"/>
      <c r="GG162" s="36"/>
      <c r="GH162" s="36"/>
      <c r="GI162" s="36"/>
      <c r="GJ162" s="36"/>
      <c r="GK162" s="36"/>
      <c r="GL162" s="36"/>
      <c r="GM162" s="36"/>
      <c r="GN162" s="36"/>
      <c r="GO162" s="36"/>
      <c r="GP162" s="36"/>
      <c r="GQ162" s="36"/>
      <c r="GR162" s="36"/>
      <c r="GS162" s="36"/>
      <c r="GT162" s="36"/>
      <c r="GU162" s="36"/>
      <c r="GV162" s="6"/>
      <c r="GW162" s="36"/>
      <c r="GX162" s="36"/>
      <c r="GY162" s="36"/>
      <c r="GZ162" s="36"/>
      <c r="HA162" s="36"/>
      <c r="HB162" s="36"/>
      <c r="HC162" s="36"/>
      <c r="HD162" s="36"/>
      <c r="HE162" s="36"/>
      <c r="HF162" s="36"/>
      <c r="HG162" s="36"/>
      <c r="HH162" s="36"/>
      <c r="HI162" s="36"/>
      <c r="HJ162" s="36"/>
      <c r="HK162" s="36"/>
      <c r="HL162" s="36"/>
      <c r="HM162" s="36"/>
      <c r="HN162" s="36"/>
      <c r="HO162" s="36"/>
      <c r="HP162" s="36"/>
      <c r="HQ162" s="36"/>
      <c r="HR162" s="36"/>
      <c r="HS162" s="36"/>
      <c r="HT162" s="36"/>
      <c r="HU162" s="36"/>
      <c r="HV162" s="36"/>
      <c r="HW162" s="36"/>
      <c r="HX162" s="36"/>
      <c r="HY162" s="36"/>
      <c r="HZ162" s="36"/>
      <c r="IA162" s="36"/>
      <c r="IB162" s="36"/>
      <c r="IC162" s="36"/>
      <c r="ID162" s="36"/>
      <c r="IE162" s="36"/>
      <c r="IF162" s="36"/>
      <c r="IG162" s="36"/>
      <c r="IH162" s="36"/>
      <c r="II162" s="36"/>
      <c r="IJ162" s="36"/>
      <c r="IK162" s="36">
        <v>3</v>
      </c>
      <c r="IL162" s="36">
        <v>17</v>
      </c>
      <c r="IM162" s="36">
        <v>10</v>
      </c>
      <c r="IN162" s="36"/>
      <c r="IO162" s="36"/>
      <c r="IP162" s="36"/>
      <c r="IR162" s="2" t="s">
        <v>543</v>
      </c>
    </row>
    <row r="163" spans="1:252" ht="15.75" customHeight="1" x14ac:dyDescent="0.25">
      <c r="A163" s="36" t="s">
        <v>825</v>
      </c>
      <c r="B163" s="36" t="s">
        <v>826</v>
      </c>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36"/>
      <c r="BN163" s="36"/>
      <c r="BO163" s="36"/>
      <c r="BP163" s="6"/>
      <c r="BQ163" s="6"/>
      <c r="BR163" s="6"/>
      <c r="BS163" s="6"/>
      <c r="BT163" s="6"/>
      <c r="BU163" s="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6"/>
      <c r="GB163" s="6"/>
      <c r="GC163" s="36"/>
      <c r="GD163" s="36"/>
      <c r="GE163" s="36"/>
      <c r="GF163" s="36"/>
      <c r="GG163" s="36"/>
      <c r="GH163" s="36"/>
      <c r="GI163" s="36"/>
      <c r="GJ163" s="36"/>
      <c r="GK163" s="36"/>
      <c r="GL163" s="36"/>
      <c r="GM163" s="36"/>
      <c r="GN163" s="36"/>
      <c r="GO163" s="36"/>
      <c r="GP163" s="36"/>
      <c r="GQ163" s="36"/>
      <c r="GR163" s="36"/>
      <c r="GS163" s="36"/>
      <c r="GT163" s="36"/>
      <c r="GU163" s="36"/>
      <c r="GV163" s="6"/>
      <c r="GW163" s="36"/>
      <c r="GX163" s="36"/>
      <c r="GY163" s="36"/>
      <c r="GZ163" s="36"/>
      <c r="HA163" s="36"/>
      <c r="HB163" s="36"/>
      <c r="HC163" s="36"/>
      <c r="HD163" s="36"/>
      <c r="HE163" s="36"/>
      <c r="HF163" s="36"/>
      <c r="HG163" s="36"/>
      <c r="HH163" s="36"/>
      <c r="HI163" s="36"/>
      <c r="HJ163" s="36"/>
      <c r="HK163" s="36"/>
      <c r="HL163" s="36"/>
      <c r="HM163" s="36"/>
      <c r="HN163" s="36"/>
      <c r="HO163" s="36"/>
      <c r="HP163" s="36"/>
      <c r="HQ163" s="36"/>
      <c r="HR163" s="36"/>
      <c r="HS163" s="36"/>
      <c r="HT163" s="36"/>
      <c r="HU163" s="36"/>
      <c r="HV163" s="36"/>
      <c r="HW163" s="36"/>
      <c r="HX163" s="36"/>
      <c r="HY163" s="36"/>
      <c r="HZ163" s="36"/>
      <c r="IA163" s="36"/>
      <c r="IB163" s="36"/>
      <c r="IC163" s="36"/>
      <c r="ID163" s="36"/>
      <c r="IE163" s="36"/>
      <c r="IF163" s="36"/>
      <c r="IG163" s="36"/>
      <c r="IH163" s="36"/>
      <c r="II163" s="36"/>
      <c r="IJ163" s="36"/>
      <c r="IK163" s="36">
        <v>2</v>
      </c>
      <c r="IL163" s="36">
        <v>1</v>
      </c>
      <c r="IM163" s="36">
        <v>1</v>
      </c>
      <c r="IN163" s="36"/>
      <c r="IO163" s="36"/>
      <c r="IP163" s="36"/>
      <c r="IR163" s="2" t="s">
        <v>543</v>
      </c>
    </row>
    <row r="164" spans="1:252" ht="15.75" customHeight="1" x14ac:dyDescent="0.25">
      <c r="A164" s="36" t="s">
        <v>825</v>
      </c>
      <c r="B164" s="36" t="s">
        <v>827</v>
      </c>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6"/>
      <c r="BQ164" s="6"/>
      <c r="BR164" s="6"/>
      <c r="BS164" s="6"/>
      <c r="BT164" s="6"/>
      <c r="BU164" s="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6"/>
      <c r="GB164" s="6"/>
      <c r="GC164" s="36"/>
      <c r="GD164" s="36"/>
      <c r="GE164" s="36"/>
      <c r="GF164" s="36"/>
      <c r="GG164" s="36"/>
      <c r="GH164" s="36"/>
      <c r="GI164" s="36"/>
      <c r="GJ164" s="36"/>
      <c r="GK164" s="36"/>
      <c r="GL164" s="36"/>
      <c r="GM164" s="36"/>
      <c r="GN164" s="36"/>
      <c r="GO164" s="36"/>
      <c r="GP164" s="36"/>
      <c r="GQ164" s="36"/>
      <c r="GR164" s="36"/>
      <c r="GS164" s="36"/>
      <c r="GT164" s="36"/>
      <c r="GU164" s="36"/>
      <c r="GV164" s="6"/>
      <c r="GW164" s="36"/>
      <c r="GX164" s="36"/>
      <c r="GY164" s="36"/>
      <c r="GZ164" s="36"/>
      <c r="HA164" s="36"/>
      <c r="HB164" s="36"/>
      <c r="HC164" s="36"/>
      <c r="HD164" s="36"/>
      <c r="HE164" s="36"/>
      <c r="HF164" s="36"/>
      <c r="HG164" s="36"/>
      <c r="HH164" s="36"/>
      <c r="HI164" s="36"/>
      <c r="HJ164" s="36"/>
      <c r="HK164" s="36"/>
      <c r="HL164" s="36"/>
      <c r="HM164" s="36"/>
      <c r="HN164" s="36"/>
      <c r="HO164" s="36"/>
      <c r="HP164" s="36"/>
      <c r="HQ164" s="36"/>
      <c r="HR164" s="36"/>
      <c r="HS164" s="36"/>
      <c r="HT164" s="36"/>
      <c r="HU164" s="36"/>
      <c r="HV164" s="36"/>
      <c r="HW164" s="36"/>
      <c r="HX164" s="36"/>
      <c r="HY164" s="36"/>
      <c r="HZ164" s="36"/>
      <c r="IA164" s="36"/>
      <c r="IB164" s="36"/>
      <c r="IC164" s="36"/>
      <c r="ID164" s="36"/>
      <c r="IE164" s="36"/>
      <c r="IF164" s="36"/>
      <c r="IG164" s="36"/>
      <c r="IH164" s="36"/>
      <c r="II164" s="36"/>
      <c r="IJ164" s="36"/>
      <c r="IK164" s="36">
        <v>2</v>
      </c>
      <c r="IL164" s="36">
        <v>9</v>
      </c>
      <c r="IM164" s="36">
        <v>5</v>
      </c>
      <c r="IN164" s="36"/>
      <c r="IO164" s="36"/>
      <c r="IP164" s="36"/>
      <c r="IR164" s="2" t="s">
        <v>543</v>
      </c>
    </row>
    <row r="165" spans="1:252" ht="15.75" customHeight="1" x14ac:dyDescent="0.25">
      <c r="A165" s="36" t="s">
        <v>828</v>
      </c>
      <c r="B165" s="36" t="s">
        <v>829</v>
      </c>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36"/>
      <c r="BN165" s="36"/>
      <c r="BO165" s="36"/>
      <c r="BP165" s="6"/>
      <c r="BQ165" s="6"/>
      <c r="BR165" s="6"/>
      <c r="BS165" s="6"/>
      <c r="BT165" s="6"/>
      <c r="BU165" s="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c r="EO165" s="36"/>
      <c r="EP165" s="36">
        <v>6</v>
      </c>
      <c r="EQ165" s="36"/>
      <c r="ER165" s="36"/>
      <c r="ES165" s="36"/>
      <c r="ET165" s="36"/>
      <c r="EU165" s="36"/>
      <c r="EV165" s="36"/>
      <c r="EW165" s="36"/>
      <c r="EX165" s="36"/>
      <c r="EY165" s="36"/>
      <c r="EZ165" s="36"/>
      <c r="FA165" s="36"/>
      <c r="FB165" s="36">
        <v>100</v>
      </c>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6"/>
      <c r="GB165" s="6"/>
      <c r="GC165" s="36"/>
      <c r="GD165" s="36"/>
      <c r="GE165" s="36"/>
      <c r="GF165" s="36"/>
      <c r="GG165" s="36"/>
      <c r="GH165" s="36"/>
      <c r="GI165" s="36"/>
      <c r="GJ165" s="36"/>
      <c r="GK165" s="36"/>
      <c r="GL165" s="36"/>
      <c r="GM165" s="36"/>
      <c r="GN165" s="36"/>
      <c r="GO165" s="36"/>
      <c r="GP165" s="36"/>
      <c r="GQ165" s="36"/>
      <c r="GR165" s="36"/>
      <c r="GS165" s="36"/>
      <c r="GT165" s="36"/>
      <c r="GU165" s="36"/>
      <c r="GV165" s="6"/>
      <c r="GW165" s="36"/>
      <c r="GX165" s="36">
        <v>100</v>
      </c>
      <c r="GY165" s="36"/>
      <c r="GZ165" s="36"/>
      <c r="HA165" s="36"/>
      <c r="HB165" s="36"/>
      <c r="HC165" s="36">
        <v>100</v>
      </c>
      <c r="HD165" s="36"/>
      <c r="HE165" s="36"/>
      <c r="HF165" s="36"/>
      <c r="HG165" s="36"/>
      <c r="HH165" s="36"/>
      <c r="HI165" s="36"/>
      <c r="HJ165" s="36"/>
      <c r="HK165" s="36"/>
      <c r="HL165" s="36"/>
      <c r="HM165" s="36"/>
      <c r="HN165" s="36"/>
      <c r="HO165" s="36">
        <v>20</v>
      </c>
      <c r="HP165" s="36"/>
      <c r="HQ165" s="36">
        <v>30</v>
      </c>
      <c r="HR165" s="36"/>
      <c r="HS165" s="36"/>
      <c r="HT165" s="36"/>
      <c r="HU165" s="36"/>
      <c r="HV165" s="36"/>
      <c r="HW165" s="36"/>
      <c r="HX165" s="36"/>
      <c r="HY165" s="36"/>
      <c r="HZ165" s="36"/>
      <c r="IA165" s="36"/>
      <c r="IB165" s="36"/>
      <c r="IC165" s="36"/>
      <c r="ID165" s="36"/>
      <c r="IE165" s="36"/>
      <c r="IF165" s="36"/>
      <c r="IG165" s="36"/>
      <c r="IH165" s="36"/>
      <c r="II165" s="36"/>
      <c r="IJ165" s="36"/>
      <c r="IK165" s="36"/>
      <c r="IL165" s="36"/>
      <c r="IM165" s="36"/>
      <c r="IN165" s="36"/>
      <c r="IO165" s="36"/>
      <c r="IP165" s="36"/>
      <c r="IR165" s="2" t="s">
        <v>543</v>
      </c>
    </row>
    <row r="166" spans="1:252" ht="15.75" customHeight="1" x14ac:dyDescent="0.25">
      <c r="A166" s="36" t="s">
        <v>830</v>
      </c>
      <c r="B166" s="36" t="s">
        <v>831</v>
      </c>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v>5</v>
      </c>
      <c r="AU166" s="36"/>
      <c r="AV166" s="36"/>
      <c r="AW166" s="36"/>
      <c r="AX166" s="36"/>
      <c r="AY166" s="36"/>
      <c r="AZ166" s="36"/>
      <c r="BA166" s="36"/>
      <c r="BB166" s="36"/>
      <c r="BC166" s="36"/>
      <c r="BD166" s="36"/>
      <c r="BE166" s="36"/>
      <c r="BF166" s="36"/>
      <c r="BG166" s="36"/>
      <c r="BH166" s="36"/>
      <c r="BI166" s="36"/>
      <c r="BJ166" s="36"/>
      <c r="BK166" s="36"/>
      <c r="BL166" s="36"/>
      <c r="BM166" s="36"/>
      <c r="BN166" s="36"/>
      <c r="BO166" s="36"/>
      <c r="BP166" s="6"/>
      <c r="BQ166" s="6"/>
      <c r="BR166" s="6"/>
      <c r="BS166" s="6"/>
      <c r="BT166" s="6"/>
      <c r="BU166" s="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6"/>
      <c r="GB166" s="6"/>
      <c r="GC166" s="36"/>
      <c r="GD166" s="36"/>
      <c r="GE166" s="36"/>
      <c r="GF166" s="36"/>
      <c r="GG166" s="36"/>
      <c r="GH166" s="36"/>
      <c r="GI166" s="36"/>
      <c r="GJ166" s="36"/>
      <c r="GK166" s="36"/>
      <c r="GL166" s="36"/>
      <c r="GM166" s="36"/>
      <c r="GN166" s="36"/>
      <c r="GO166" s="36"/>
      <c r="GP166" s="36"/>
      <c r="GQ166" s="36"/>
      <c r="GR166" s="36"/>
      <c r="GS166" s="36"/>
      <c r="GT166" s="36"/>
      <c r="GU166" s="36"/>
      <c r="GV166" s="6"/>
      <c r="GW166" s="36"/>
      <c r="GX166" s="36"/>
      <c r="GY166" s="36"/>
      <c r="GZ166" s="36"/>
      <c r="HA166" s="36"/>
      <c r="HB166" s="36"/>
      <c r="HC166" s="36"/>
      <c r="HD166" s="36"/>
      <c r="HE166" s="36"/>
      <c r="HF166" s="36"/>
      <c r="HG166" s="36"/>
      <c r="HH166" s="36"/>
      <c r="HI166" s="36"/>
      <c r="HJ166" s="36"/>
      <c r="HK166" s="36"/>
      <c r="HL166" s="36"/>
      <c r="HM166" s="36"/>
      <c r="HN166" s="36"/>
      <c r="HO166" s="36"/>
      <c r="HP166" s="36"/>
      <c r="HQ166" s="36"/>
      <c r="HR166" s="36"/>
      <c r="HS166" s="36"/>
      <c r="HT166" s="36"/>
      <c r="HU166" s="36"/>
      <c r="HV166" s="36"/>
      <c r="HW166" s="36"/>
      <c r="HX166" s="36"/>
      <c r="HY166" s="36"/>
      <c r="HZ166" s="36"/>
      <c r="IA166" s="36"/>
      <c r="IB166" s="36"/>
      <c r="IC166" s="36"/>
      <c r="ID166" s="36"/>
      <c r="IE166" s="36"/>
      <c r="IF166" s="36"/>
      <c r="IG166" s="36"/>
      <c r="IH166" s="36"/>
      <c r="II166" s="36"/>
      <c r="IJ166" s="36"/>
      <c r="IK166" s="36">
        <v>2</v>
      </c>
      <c r="IL166" s="36">
        <v>8</v>
      </c>
      <c r="IM166" s="36">
        <v>5</v>
      </c>
      <c r="IN166" s="36"/>
      <c r="IO166" s="36"/>
      <c r="IP166" s="36"/>
      <c r="IR166" s="2" t="s">
        <v>543</v>
      </c>
    </row>
    <row r="167" spans="1:252" ht="15.75" customHeight="1" x14ac:dyDescent="0.25">
      <c r="A167" s="36" t="s">
        <v>832</v>
      </c>
      <c r="B167" s="36" t="s">
        <v>833</v>
      </c>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36"/>
      <c r="BN167" s="36"/>
      <c r="BO167" s="36"/>
      <c r="BP167" s="6"/>
      <c r="BQ167" s="6"/>
      <c r="BR167" s="6"/>
      <c r="BS167" s="6"/>
      <c r="BT167" s="6"/>
      <c r="BU167" s="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c r="DV167" s="36"/>
      <c r="DW167" s="36"/>
      <c r="DX167" s="36"/>
      <c r="DY167" s="36"/>
      <c r="DZ167" s="36"/>
      <c r="EA167" s="36"/>
      <c r="EB167" s="36"/>
      <c r="EC167" s="36"/>
      <c r="ED167" s="36"/>
      <c r="EE167" s="36"/>
      <c r="EF167" s="36"/>
      <c r="EG167" s="36"/>
      <c r="EH167" s="36"/>
      <c r="EI167" s="36"/>
      <c r="EJ167" s="36"/>
      <c r="EK167" s="36"/>
      <c r="EL167" s="36"/>
      <c r="EM167" s="36">
        <v>5</v>
      </c>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6"/>
      <c r="GB167" s="6"/>
      <c r="GC167" s="36"/>
      <c r="GD167" s="36"/>
      <c r="GE167" s="36"/>
      <c r="GF167" s="36"/>
      <c r="GG167" s="36"/>
      <c r="GH167" s="36"/>
      <c r="GI167" s="36"/>
      <c r="GJ167" s="36"/>
      <c r="GK167" s="36"/>
      <c r="GL167" s="36"/>
      <c r="GM167" s="36"/>
      <c r="GN167" s="36"/>
      <c r="GO167" s="36"/>
      <c r="GP167" s="36"/>
      <c r="GQ167" s="36"/>
      <c r="GR167" s="36"/>
      <c r="GS167" s="36"/>
      <c r="GT167" s="36"/>
      <c r="GU167" s="36"/>
      <c r="GV167" s="6"/>
      <c r="GW167" s="36"/>
      <c r="GX167" s="36"/>
      <c r="GY167" s="36"/>
      <c r="GZ167" s="36"/>
      <c r="HA167" s="36"/>
      <c r="HB167" s="36"/>
      <c r="HC167" s="36"/>
      <c r="HD167" s="36"/>
      <c r="HE167" s="36"/>
      <c r="HF167" s="36"/>
      <c r="HG167" s="36"/>
      <c r="HH167" s="36"/>
      <c r="HI167" s="36"/>
      <c r="HJ167" s="36"/>
      <c r="HK167" s="36"/>
      <c r="HL167" s="36"/>
      <c r="HM167" s="36"/>
      <c r="HN167" s="36"/>
      <c r="HO167" s="36"/>
      <c r="HP167" s="36"/>
      <c r="HQ167" s="36"/>
      <c r="HR167" s="36"/>
      <c r="HS167" s="36"/>
      <c r="HT167" s="36">
        <v>50</v>
      </c>
      <c r="HU167" s="36"/>
      <c r="HV167" s="36"/>
      <c r="HW167" s="36"/>
      <c r="HX167" s="36"/>
      <c r="HY167" s="36"/>
      <c r="HZ167" s="36"/>
      <c r="IA167" s="36"/>
      <c r="IB167" s="36"/>
      <c r="IC167" s="36"/>
      <c r="ID167" s="36"/>
      <c r="IE167" s="36"/>
      <c r="IF167" s="36"/>
      <c r="IG167" s="36"/>
      <c r="IH167" s="36"/>
      <c r="II167" s="36"/>
      <c r="IJ167" s="36"/>
      <c r="IK167" s="36"/>
      <c r="IL167" s="36"/>
      <c r="IM167" s="36"/>
      <c r="IN167" s="36"/>
      <c r="IO167" s="36"/>
      <c r="IP167" s="36"/>
      <c r="IR167" s="2" t="s">
        <v>543</v>
      </c>
    </row>
    <row r="168" spans="1:252" ht="15.75" customHeight="1" x14ac:dyDescent="0.25">
      <c r="A168" s="36" t="s">
        <v>832</v>
      </c>
      <c r="B168" s="36" t="s">
        <v>835</v>
      </c>
      <c r="C168" s="36"/>
      <c r="D168" s="36"/>
      <c r="E168" s="36"/>
      <c r="F168" s="36"/>
      <c r="G168" s="36"/>
      <c r="H168" s="36"/>
      <c r="I168" s="36"/>
      <c r="J168" s="36"/>
      <c r="K168" s="36"/>
      <c r="L168" s="36"/>
      <c r="M168" s="36"/>
      <c r="N168" s="36"/>
      <c r="O168" s="36"/>
      <c r="P168" s="36"/>
      <c r="Q168" s="36"/>
      <c r="R168" s="36"/>
      <c r="S168" s="36"/>
      <c r="T168" s="36"/>
      <c r="U168" s="36">
        <v>10</v>
      </c>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36"/>
      <c r="BN168" s="36"/>
      <c r="BO168" s="36"/>
      <c r="BP168" s="6"/>
      <c r="BQ168" s="6"/>
      <c r="BR168" s="6"/>
      <c r="BS168" s="6"/>
      <c r="BT168" s="6"/>
      <c r="BU168" s="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6"/>
      <c r="GB168" s="6"/>
      <c r="GC168" s="36"/>
      <c r="GD168" s="36"/>
      <c r="GE168" s="36"/>
      <c r="GF168" s="36"/>
      <c r="GG168" s="36"/>
      <c r="GH168" s="36"/>
      <c r="GI168" s="36"/>
      <c r="GJ168" s="36"/>
      <c r="GK168" s="36"/>
      <c r="GL168" s="36"/>
      <c r="GM168" s="36"/>
      <c r="GN168" s="36"/>
      <c r="GO168" s="36"/>
      <c r="GP168" s="36"/>
      <c r="GQ168" s="36"/>
      <c r="GR168" s="36"/>
      <c r="GS168" s="36"/>
      <c r="GT168" s="36"/>
      <c r="GU168" s="36"/>
      <c r="GV168" s="6"/>
      <c r="GW168" s="36"/>
      <c r="GX168" s="36"/>
      <c r="GY168" s="36"/>
      <c r="GZ168" s="36"/>
      <c r="HA168" s="36"/>
      <c r="HB168" s="36"/>
      <c r="HC168" s="36"/>
      <c r="HD168" s="36"/>
      <c r="HE168" s="36"/>
      <c r="HF168" s="36"/>
      <c r="HG168" s="36"/>
      <c r="HH168" s="36"/>
      <c r="HI168" s="36"/>
      <c r="HJ168" s="36"/>
      <c r="HK168" s="36"/>
      <c r="HL168" s="36"/>
      <c r="HM168" s="36"/>
      <c r="HN168" s="36"/>
      <c r="HO168" s="36"/>
      <c r="HP168" s="36"/>
      <c r="HQ168" s="36"/>
      <c r="HR168" s="36"/>
      <c r="HS168" s="36"/>
      <c r="HT168" s="36"/>
      <c r="HU168" s="36"/>
      <c r="HV168" s="36"/>
      <c r="HW168" s="36"/>
      <c r="HX168" s="36"/>
      <c r="HY168" s="36"/>
      <c r="HZ168" s="36"/>
      <c r="IA168" s="36"/>
      <c r="IB168" s="36"/>
      <c r="IC168" s="36"/>
      <c r="ID168" s="36"/>
      <c r="IE168" s="36"/>
      <c r="IF168" s="36"/>
      <c r="IG168" s="36"/>
      <c r="IH168" s="36"/>
      <c r="II168" s="36"/>
      <c r="IJ168" s="36"/>
      <c r="IK168" s="36"/>
      <c r="IL168" s="36"/>
      <c r="IM168" s="36"/>
      <c r="IN168" s="36"/>
      <c r="IO168" s="36"/>
      <c r="IP168" s="36"/>
      <c r="IR168" s="2" t="s">
        <v>543</v>
      </c>
    </row>
    <row r="169" spans="1:252" ht="15.75" customHeight="1" x14ac:dyDescent="0.25">
      <c r="A169" s="36" t="s">
        <v>832</v>
      </c>
      <c r="B169" s="36" t="s">
        <v>836</v>
      </c>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36"/>
      <c r="BN169" s="36"/>
      <c r="BO169" s="36"/>
      <c r="BP169" s="6"/>
      <c r="BQ169" s="6"/>
      <c r="BR169" s="6"/>
      <c r="BS169" s="6"/>
      <c r="BT169" s="6"/>
      <c r="BU169" s="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c r="EF169" s="36"/>
      <c r="EG169" s="36"/>
      <c r="EH169" s="36"/>
      <c r="EI169" s="36"/>
      <c r="EJ169" s="36"/>
      <c r="EK169" s="36"/>
      <c r="EL169" s="36"/>
      <c r="EM169" s="36"/>
      <c r="EN169" s="36"/>
      <c r="EO169" s="36"/>
      <c r="EP169" s="36"/>
      <c r="EQ169" s="36">
        <v>10</v>
      </c>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6"/>
      <c r="GB169" s="6"/>
      <c r="GC169" s="36"/>
      <c r="GD169" s="36"/>
      <c r="GE169" s="36"/>
      <c r="GF169" s="36"/>
      <c r="GG169" s="36"/>
      <c r="GH169" s="36"/>
      <c r="GI169" s="36"/>
      <c r="GJ169" s="36"/>
      <c r="GK169" s="36"/>
      <c r="GL169" s="36"/>
      <c r="GM169" s="36"/>
      <c r="GN169" s="36"/>
      <c r="GO169" s="36"/>
      <c r="GP169" s="36"/>
      <c r="GQ169" s="36"/>
      <c r="GR169" s="36"/>
      <c r="GS169" s="36"/>
      <c r="GT169" s="36"/>
      <c r="GU169" s="36"/>
      <c r="GV169" s="6"/>
      <c r="GW169" s="36"/>
      <c r="GX169" s="36"/>
      <c r="GY169" s="36"/>
      <c r="GZ169" s="36"/>
      <c r="HA169" s="36"/>
      <c r="HB169" s="36"/>
      <c r="HC169" s="36"/>
      <c r="HD169" s="36"/>
      <c r="HE169" s="36"/>
      <c r="HF169" s="36"/>
      <c r="HG169" s="36"/>
      <c r="HH169" s="36"/>
      <c r="HI169" s="36"/>
      <c r="HJ169" s="36"/>
      <c r="HK169" s="36"/>
      <c r="HL169" s="36"/>
      <c r="HM169" s="36"/>
      <c r="HN169" s="36"/>
      <c r="HO169" s="36"/>
      <c r="HP169" s="36"/>
      <c r="HQ169" s="36"/>
      <c r="HR169" s="36"/>
      <c r="HS169" s="36"/>
      <c r="HT169" s="36"/>
      <c r="HU169" s="36"/>
      <c r="HV169" s="36"/>
      <c r="HW169" s="36"/>
      <c r="HX169" s="36"/>
      <c r="HY169" s="36"/>
      <c r="HZ169" s="36"/>
      <c r="IA169" s="36"/>
      <c r="IB169" s="36"/>
      <c r="IC169" s="36"/>
      <c r="ID169" s="36"/>
      <c r="IE169" s="36"/>
      <c r="IF169" s="36"/>
      <c r="IG169" s="36"/>
      <c r="IH169" s="36"/>
      <c r="II169" s="36"/>
      <c r="IJ169" s="36"/>
      <c r="IK169" s="36"/>
      <c r="IL169" s="36"/>
      <c r="IM169" s="36"/>
      <c r="IN169" s="36"/>
      <c r="IO169" s="36"/>
      <c r="IP169" s="36"/>
      <c r="IR169" s="2" t="s">
        <v>543</v>
      </c>
    </row>
    <row r="170" spans="1:252" ht="15.75" customHeight="1" x14ac:dyDescent="0.25">
      <c r="A170" s="36" t="s">
        <v>837</v>
      </c>
      <c r="B170" s="36" t="s">
        <v>838</v>
      </c>
      <c r="C170" s="36"/>
      <c r="D170" s="36"/>
      <c r="E170" s="36"/>
      <c r="F170" s="36"/>
      <c r="G170" s="36"/>
      <c r="H170" s="36"/>
      <c r="I170" s="36"/>
      <c r="J170" s="36"/>
      <c r="K170" s="36"/>
      <c r="L170" s="36"/>
      <c r="M170" s="36"/>
      <c r="N170" s="36"/>
      <c r="O170" s="36"/>
      <c r="P170" s="36"/>
      <c r="Q170" s="36">
        <v>10</v>
      </c>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36"/>
      <c r="BN170" s="36"/>
      <c r="BO170" s="36"/>
      <c r="BP170" s="6"/>
      <c r="BQ170" s="6"/>
      <c r="BR170" s="6"/>
      <c r="BS170" s="6"/>
      <c r="BT170" s="6"/>
      <c r="BU170" s="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6"/>
      <c r="GB170" s="6"/>
      <c r="GC170" s="36"/>
      <c r="GD170" s="36"/>
      <c r="GE170" s="36"/>
      <c r="GF170" s="36"/>
      <c r="GG170" s="36"/>
      <c r="GH170" s="36"/>
      <c r="GI170" s="36"/>
      <c r="GJ170" s="36"/>
      <c r="GK170" s="36"/>
      <c r="GL170" s="36"/>
      <c r="GM170" s="36"/>
      <c r="GN170" s="36"/>
      <c r="GO170" s="36"/>
      <c r="GP170" s="36"/>
      <c r="GQ170" s="36"/>
      <c r="GR170" s="36"/>
      <c r="GS170" s="36"/>
      <c r="GT170" s="36"/>
      <c r="GU170" s="36"/>
      <c r="GV170" s="6"/>
      <c r="GW170" s="36"/>
      <c r="GX170" s="36"/>
      <c r="GY170" s="36"/>
      <c r="GZ170" s="36"/>
      <c r="HA170" s="36"/>
      <c r="HB170" s="36"/>
      <c r="HC170" s="36"/>
      <c r="HD170" s="36"/>
      <c r="HE170" s="36"/>
      <c r="HF170" s="36"/>
      <c r="HG170" s="36"/>
      <c r="HH170" s="36"/>
      <c r="HI170" s="36"/>
      <c r="HJ170" s="36"/>
      <c r="HK170" s="36"/>
      <c r="HL170" s="36"/>
      <c r="HM170" s="36"/>
      <c r="HN170" s="36"/>
      <c r="HO170" s="36"/>
      <c r="HP170" s="36"/>
      <c r="HQ170" s="36"/>
      <c r="HR170" s="36"/>
      <c r="HS170" s="36"/>
      <c r="HT170" s="36"/>
      <c r="HU170" s="36"/>
      <c r="HV170" s="36"/>
      <c r="HW170" s="36"/>
      <c r="HX170" s="36"/>
      <c r="HY170" s="36"/>
      <c r="HZ170" s="36"/>
      <c r="IA170" s="36"/>
      <c r="IB170" s="36"/>
      <c r="IC170" s="36"/>
      <c r="ID170" s="36"/>
      <c r="IE170" s="36"/>
      <c r="IF170" s="36"/>
      <c r="IG170" s="36"/>
      <c r="IH170" s="36"/>
      <c r="II170" s="36"/>
      <c r="IJ170" s="36"/>
      <c r="IK170" s="36"/>
      <c r="IL170" s="36"/>
      <c r="IM170" s="36"/>
      <c r="IN170" s="36"/>
      <c r="IO170" s="36"/>
      <c r="IP170" s="36"/>
      <c r="IR170" s="2" t="s">
        <v>543</v>
      </c>
    </row>
    <row r="171" spans="1:252" ht="15.75" customHeight="1" x14ac:dyDescent="0.25">
      <c r="A171" s="36" t="s">
        <v>837</v>
      </c>
      <c r="B171" s="36" t="s">
        <v>839</v>
      </c>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36"/>
      <c r="BN171" s="36"/>
      <c r="BO171" s="36"/>
      <c r="BP171" s="6"/>
      <c r="BQ171" s="6"/>
      <c r="BR171" s="6"/>
      <c r="BS171" s="6"/>
      <c r="BT171" s="6"/>
      <c r="BU171" s="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c r="DJ171" s="36">
        <v>6</v>
      </c>
      <c r="DK171" s="36"/>
      <c r="DL171" s="36"/>
      <c r="DM171" s="36"/>
      <c r="DN171" s="36"/>
      <c r="DO171" s="36">
        <v>6</v>
      </c>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v>4</v>
      </c>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v>200</v>
      </c>
      <c r="FP171" s="36"/>
      <c r="FQ171" s="36"/>
      <c r="FR171" s="36"/>
      <c r="FS171" s="36"/>
      <c r="FT171" s="36"/>
      <c r="FU171" s="36"/>
      <c r="FV171" s="36"/>
      <c r="FW171" s="36"/>
      <c r="FX171" s="36"/>
      <c r="FY171" s="36">
        <v>25</v>
      </c>
      <c r="FZ171" s="36">
        <v>25</v>
      </c>
      <c r="GA171" s="6"/>
      <c r="GB171" s="6"/>
      <c r="GC171" s="36"/>
      <c r="GD171" s="36"/>
      <c r="GE171" s="36"/>
      <c r="GF171" s="36"/>
      <c r="GG171" s="36"/>
      <c r="GH171" s="36"/>
      <c r="GI171" s="36"/>
      <c r="GJ171" s="36"/>
      <c r="GK171" s="36"/>
      <c r="GL171" s="36"/>
      <c r="GM171" s="36"/>
      <c r="GN171" s="36"/>
      <c r="GO171" s="36"/>
      <c r="GP171" s="36"/>
      <c r="GQ171" s="36"/>
      <c r="GR171" s="36"/>
      <c r="GS171" s="36"/>
      <c r="GT171" s="36"/>
      <c r="GU171" s="36"/>
      <c r="GV171" s="6"/>
      <c r="GW171" s="36"/>
      <c r="GX171" s="36">
        <v>300</v>
      </c>
      <c r="GY171" s="36"/>
      <c r="GZ171" s="36"/>
      <c r="HA171" s="36"/>
      <c r="HB171" s="36"/>
      <c r="HC171" s="36"/>
      <c r="HD171" s="36"/>
      <c r="HE171" s="36"/>
      <c r="HF171" s="36"/>
      <c r="HG171" s="36"/>
      <c r="HH171" s="36"/>
      <c r="HI171" s="36"/>
      <c r="HJ171" s="36"/>
      <c r="HK171" s="36"/>
      <c r="HL171" s="36"/>
      <c r="HM171" s="36"/>
      <c r="HN171" s="36"/>
      <c r="HO171" s="36"/>
      <c r="HP171" s="36"/>
      <c r="HQ171" s="36"/>
      <c r="HR171" s="36"/>
      <c r="HS171" s="36"/>
      <c r="HT171" s="36"/>
      <c r="HU171" s="36"/>
      <c r="HV171" s="36"/>
      <c r="HW171" s="36"/>
      <c r="HX171" s="36"/>
      <c r="HY171" s="36"/>
      <c r="HZ171" s="36"/>
      <c r="IA171" s="36"/>
      <c r="IB171" s="36"/>
      <c r="IC171" s="36"/>
      <c r="ID171" s="36"/>
      <c r="IE171" s="36"/>
      <c r="IF171" s="36"/>
      <c r="IG171" s="36"/>
      <c r="IH171" s="36"/>
      <c r="II171" s="36"/>
      <c r="IJ171" s="36"/>
      <c r="IK171" s="36"/>
      <c r="IL171" s="36"/>
      <c r="IM171" s="36"/>
      <c r="IN171" s="36"/>
      <c r="IO171" s="36"/>
      <c r="IP171" s="36"/>
      <c r="IR171" s="2" t="s">
        <v>543</v>
      </c>
    </row>
    <row r="172" spans="1:252" ht="15.75" customHeight="1" x14ac:dyDescent="0.25">
      <c r="A172" s="36" t="s">
        <v>837</v>
      </c>
      <c r="B172" s="36" t="s">
        <v>842</v>
      </c>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36"/>
      <c r="BN172" s="36"/>
      <c r="BO172" s="36"/>
      <c r="BP172" s="6"/>
      <c r="BQ172" s="6"/>
      <c r="BR172" s="6"/>
      <c r="BS172" s="6"/>
      <c r="BT172" s="6"/>
      <c r="BU172" s="6"/>
      <c r="BV172" s="36"/>
      <c r="BW172" s="36"/>
      <c r="BX172" s="36">
        <v>20</v>
      </c>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6"/>
      <c r="GB172" s="6"/>
      <c r="GC172" s="36"/>
      <c r="GD172" s="36"/>
      <c r="GE172" s="36"/>
      <c r="GF172" s="36"/>
      <c r="GG172" s="36"/>
      <c r="GH172" s="36"/>
      <c r="GI172" s="36"/>
      <c r="GJ172" s="36"/>
      <c r="GK172" s="36"/>
      <c r="GL172" s="36"/>
      <c r="GM172" s="36"/>
      <c r="GN172" s="36"/>
      <c r="GO172" s="36"/>
      <c r="GP172" s="36"/>
      <c r="GQ172" s="36"/>
      <c r="GR172" s="36"/>
      <c r="GS172" s="36"/>
      <c r="GT172" s="36"/>
      <c r="GU172" s="36"/>
      <c r="GV172" s="6"/>
      <c r="GW172" s="36"/>
      <c r="GX172" s="36"/>
      <c r="GY172" s="36"/>
      <c r="GZ172" s="36"/>
      <c r="HA172" s="36"/>
      <c r="HB172" s="36"/>
      <c r="HC172" s="36"/>
      <c r="HD172" s="36"/>
      <c r="HE172" s="36"/>
      <c r="HF172" s="36"/>
      <c r="HG172" s="36"/>
      <c r="HH172" s="36"/>
      <c r="HI172" s="36"/>
      <c r="HJ172" s="36"/>
      <c r="HK172" s="36"/>
      <c r="HL172" s="36"/>
      <c r="HM172" s="36"/>
      <c r="HN172" s="36"/>
      <c r="HO172" s="36"/>
      <c r="HP172" s="36"/>
      <c r="HQ172" s="36"/>
      <c r="HR172" s="36"/>
      <c r="HS172" s="36"/>
      <c r="HT172" s="36"/>
      <c r="HU172" s="36"/>
      <c r="HV172" s="36"/>
      <c r="HW172" s="36"/>
      <c r="HX172" s="36"/>
      <c r="HY172" s="36"/>
      <c r="HZ172" s="36"/>
      <c r="IA172" s="36"/>
      <c r="IB172" s="36"/>
      <c r="IC172" s="36"/>
      <c r="ID172" s="36"/>
      <c r="IE172" s="36"/>
      <c r="IF172" s="36"/>
      <c r="IG172" s="36"/>
      <c r="IH172" s="36"/>
      <c r="II172" s="36"/>
      <c r="IJ172" s="36"/>
      <c r="IK172" s="36"/>
      <c r="IL172" s="36"/>
      <c r="IM172" s="36"/>
      <c r="IN172" s="36"/>
      <c r="IO172" s="36"/>
      <c r="IP172" s="36"/>
      <c r="IR172" s="2" t="s">
        <v>543</v>
      </c>
    </row>
    <row r="173" spans="1:252" ht="15.75" customHeight="1" x14ac:dyDescent="0.25">
      <c r="A173" s="36" t="s">
        <v>843</v>
      </c>
      <c r="B173" s="36" t="s">
        <v>844</v>
      </c>
      <c r="C173" s="36"/>
      <c r="D173" s="36"/>
      <c r="E173" s="36"/>
      <c r="F173" s="36"/>
      <c r="G173" s="36"/>
      <c r="H173" s="36"/>
      <c r="I173" s="36"/>
      <c r="J173" s="36"/>
      <c r="K173" s="36"/>
      <c r="L173" s="36"/>
      <c r="M173" s="36"/>
      <c r="N173" s="36"/>
      <c r="O173" s="36"/>
      <c r="P173" s="36"/>
      <c r="Q173" s="36"/>
      <c r="R173" s="36"/>
      <c r="S173" s="36"/>
      <c r="T173" s="36"/>
      <c r="U173" s="36"/>
      <c r="V173" s="36"/>
      <c r="W173" s="36"/>
      <c r="X173" s="212">
        <v>10</v>
      </c>
      <c r="Y173" s="212"/>
      <c r="Z173" s="212"/>
      <c r="AA173" s="212"/>
      <c r="AB173" s="212"/>
      <c r="AC173" s="36"/>
      <c r="AD173" s="36">
        <v>5</v>
      </c>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36"/>
      <c r="BN173" s="36"/>
      <c r="BO173" s="36"/>
      <c r="BP173" s="6"/>
      <c r="BQ173" s="6"/>
      <c r="BR173" s="6"/>
      <c r="BS173" s="6"/>
      <c r="BT173" s="6"/>
      <c r="BU173" s="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v>6</v>
      </c>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c r="EO173" s="36"/>
      <c r="EP173" s="36">
        <v>8</v>
      </c>
      <c r="EQ173" s="36">
        <v>20</v>
      </c>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v>25</v>
      </c>
      <c r="FZ173" s="36">
        <v>25</v>
      </c>
      <c r="GA173" s="6"/>
      <c r="GB173" s="6"/>
      <c r="GC173" s="36"/>
      <c r="GD173" s="36"/>
      <c r="GE173" s="36"/>
      <c r="GF173" s="36"/>
      <c r="GG173" s="36"/>
      <c r="GH173" s="36"/>
      <c r="GI173" s="36"/>
      <c r="GJ173" s="36"/>
      <c r="GK173" s="36"/>
      <c r="GL173" s="36"/>
      <c r="GM173" s="36">
        <v>25</v>
      </c>
      <c r="GN173" s="36"/>
      <c r="GO173" s="36"/>
      <c r="GP173" s="36"/>
      <c r="GQ173" s="36"/>
      <c r="GR173" s="36"/>
      <c r="GS173" s="36"/>
      <c r="GT173" s="36"/>
      <c r="GU173" s="36"/>
      <c r="GV173" s="6"/>
      <c r="GW173" s="36"/>
      <c r="GX173" s="36"/>
      <c r="GY173" s="36"/>
      <c r="GZ173" s="36"/>
      <c r="HA173" s="36"/>
      <c r="HB173" s="36"/>
      <c r="HC173" s="36"/>
      <c r="HD173" s="36"/>
      <c r="HE173" s="36"/>
      <c r="HF173" s="36"/>
      <c r="HG173" s="36"/>
      <c r="HH173" s="36"/>
      <c r="HI173" s="36"/>
      <c r="HJ173" s="36"/>
      <c r="HK173" s="36"/>
      <c r="HL173" s="36"/>
      <c r="HM173" s="36"/>
      <c r="HN173" s="36"/>
      <c r="HO173" s="36"/>
      <c r="HP173" s="36"/>
      <c r="HQ173" s="36"/>
      <c r="HR173" s="36"/>
      <c r="HS173" s="36"/>
      <c r="HT173" s="36"/>
      <c r="HU173" s="36"/>
      <c r="HV173" s="36"/>
      <c r="HW173" s="36"/>
      <c r="HX173" s="36"/>
      <c r="HY173" s="36"/>
      <c r="HZ173" s="36"/>
      <c r="IA173" s="36"/>
      <c r="IB173" s="36"/>
      <c r="IC173" s="36"/>
      <c r="ID173" s="36"/>
      <c r="IE173" s="36"/>
      <c r="IF173" s="36"/>
      <c r="IG173" s="36"/>
      <c r="IH173" s="36"/>
      <c r="II173" s="36"/>
      <c r="IJ173" s="36"/>
      <c r="IK173" s="36"/>
      <c r="IL173" s="36"/>
      <c r="IM173" s="36"/>
      <c r="IN173" s="36"/>
      <c r="IO173" s="36"/>
      <c r="IP173" s="36"/>
      <c r="IR173" s="2" t="s">
        <v>543</v>
      </c>
    </row>
    <row r="174" spans="1:252" ht="15.75" customHeight="1" x14ac:dyDescent="0.25">
      <c r="A174" s="36" t="s">
        <v>843</v>
      </c>
      <c r="B174" s="36" t="s">
        <v>845</v>
      </c>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v>5</v>
      </c>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36"/>
      <c r="BN174" s="36"/>
      <c r="BO174" s="36"/>
      <c r="BP174" s="6"/>
      <c r="BQ174" s="6"/>
      <c r="BR174" s="6"/>
      <c r="BS174" s="6"/>
      <c r="BT174" s="6"/>
      <c r="BU174" s="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6"/>
      <c r="GB174" s="6"/>
      <c r="GC174" s="36"/>
      <c r="GD174" s="36"/>
      <c r="GE174" s="36"/>
      <c r="GF174" s="36"/>
      <c r="GG174" s="36"/>
      <c r="GH174" s="36"/>
      <c r="GI174" s="36"/>
      <c r="GJ174" s="36"/>
      <c r="GK174" s="36"/>
      <c r="GL174" s="36"/>
      <c r="GM174" s="36"/>
      <c r="GN174" s="36"/>
      <c r="GO174" s="36"/>
      <c r="GP174" s="36"/>
      <c r="GQ174" s="36"/>
      <c r="GR174" s="36"/>
      <c r="GS174" s="36"/>
      <c r="GT174" s="36"/>
      <c r="GU174" s="36"/>
      <c r="GV174" s="6"/>
      <c r="GW174" s="36"/>
      <c r="GX174" s="36"/>
      <c r="GY174" s="36"/>
      <c r="GZ174" s="36"/>
      <c r="HA174" s="36"/>
      <c r="HB174" s="36"/>
      <c r="HC174" s="36"/>
      <c r="HD174" s="36"/>
      <c r="HE174" s="36"/>
      <c r="HF174" s="36"/>
      <c r="HG174" s="36"/>
      <c r="HH174" s="36"/>
      <c r="HI174" s="36"/>
      <c r="HJ174" s="36"/>
      <c r="HK174" s="36"/>
      <c r="HL174" s="36"/>
      <c r="HM174" s="36"/>
      <c r="HN174" s="36"/>
      <c r="HO174" s="36"/>
      <c r="HP174" s="36"/>
      <c r="HQ174" s="36"/>
      <c r="HR174" s="36"/>
      <c r="HS174" s="36"/>
      <c r="HT174" s="36"/>
      <c r="HU174" s="36"/>
      <c r="HV174" s="36"/>
      <c r="HW174" s="36"/>
      <c r="HX174" s="36"/>
      <c r="HY174" s="36"/>
      <c r="HZ174" s="36"/>
      <c r="IA174" s="36"/>
      <c r="IB174" s="36"/>
      <c r="IC174" s="36"/>
      <c r="ID174" s="36"/>
      <c r="IE174" s="36"/>
      <c r="IF174" s="36"/>
      <c r="IG174" s="36"/>
      <c r="IH174" s="36"/>
      <c r="II174" s="36"/>
      <c r="IJ174" s="36"/>
      <c r="IK174" s="36"/>
      <c r="IL174" s="36"/>
      <c r="IM174" s="36"/>
      <c r="IN174" s="36"/>
      <c r="IO174" s="36"/>
      <c r="IP174" s="36"/>
      <c r="IR174" s="2" t="s">
        <v>543</v>
      </c>
    </row>
    <row r="175" spans="1:252" ht="15.75" customHeight="1" x14ac:dyDescent="0.25">
      <c r="A175" s="36" t="s">
        <v>843</v>
      </c>
      <c r="B175" s="36" t="s">
        <v>846</v>
      </c>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36"/>
      <c r="BN175" s="36"/>
      <c r="BO175" s="36"/>
      <c r="BP175" s="6"/>
      <c r="BQ175" s="6"/>
      <c r="BR175" s="6"/>
      <c r="BS175" s="6"/>
      <c r="BT175" s="6"/>
      <c r="BU175" s="6"/>
      <c r="BV175" s="36"/>
      <c r="BW175" s="36"/>
      <c r="BX175" s="36"/>
      <c r="BY175" s="36"/>
      <c r="BZ175" s="36"/>
      <c r="CA175" s="36"/>
      <c r="CB175" s="36"/>
      <c r="CC175" s="36"/>
      <c r="CD175" s="36"/>
      <c r="CE175" s="36"/>
      <c r="CF175" s="36"/>
      <c r="CG175" s="36"/>
      <c r="CH175" s="36"/>
      <c r="CI175" s="36"/>
      <c r="CJ175" s="36"/>
      <c r="CK175" s="36"/>
      <c r="CL175" s="36"/>
      <c r="CM175" s="36"/>
      <c r="CN175" s="36"/>
      <c r="CO175" s="36"/>
      <c r="CP175" s="36"/>
      <c r="CQ175" s="36"/>
      <c r="CR175" s="36"/>
      <c r="CS175" s="36"/>
      <c r="CT175" s="36"/>
      <c r="CU175" s="36"/>
      <c r="CV175" s="36"/>
      <c r="CW175" s="36"/>
      <c r="CX175" s="36"/>
      <c r="CY175" s="36"/>
      <c r="CZ175" s="36"/>
      <c r="DA175" s="36"/>
      <c r="DB175" s="36"/>
      <c r="DC175" s="36"/>
      <c r="DD175" s="36"/>
      <c r="DE175" s="36"/>
      <c r="DF175" s="36"/>
      <c r="DG175" s="36">
        <v>30</v>
      </c>
      <c r="DH175" s="36"/>
      <c r="DI175" s="36"/>
      <c r="DJ175" s="36"/>
      <c r="DK175" s="36"/>
      <c r="DL175" s="36"/>
      <c r="DM175" s="36"/>
      <c r="DN175" s="36"/>
      <c r="DO175" s="36"/>
      <c r="DP175" s="36"/>
      <c r="DQ175" s="36"/>
      <c r="DR175" s="36"/>
      <c r="DS175" s="36"/>
      <c r="DT175" s="36"/>
      <c r="DU175" s="36"/>
      <c r="DV175" s="36"/>
      <c r="DW175" s="36"/>
      <c r="DX175" s="36"/>
      <c r="DY175" s="36"/>
      <c r="DZ175" s="36"/>
      <c r="EA175" s="36"/>
      <c r="EB175" s="36"/>
      <c r="EC175" s="36"/>
      <c r="ED175" s="36"/>
      <c r="EE175" s="36"/>
      <c r="EF175" s="36"/>
      <c r="EG175" s="36"/>
      <c r="EH175" s="36"/>
      <c r="EI175" s="36"/>
      <c r="EJ175" s="36"/>
      <c r="EK175" s="36"/>
      <c r="EL175" s="36"/>
      <c r="EM175" s="36"/>
      <c r="EN175" s="36"/>
      <c r="EO175" s="36"/>
      <c r="EP175" s="36"/>
      <c r="EQ175" s="36"/>
      <c r="ER175" s="36"/>
      <c r="ES175" s="36"/>
      <c r="ET175" s="36"/>
      <c r="EU175" s="36"/>
      <c r="EV175" s="36"/>
      <c r="EW175" s="36"/>
      <c r="EX175" s="36"/>
      <c r="EY175" s="36"/>
      <c r="EZ175" s="36"/>
      <c r="FA175" s="36"/>
      <c r="FB175" s="36"/>
      <c r="FC175" s="36"/>
      <c r="FD175" s="36"/>
      <c r="FE175" s="36"/>
      <c r="FF175" s="36"/>
      <c r="FG175" s="36"/>
      <c r="FH175" s="36"/>
      <c r="FI175" s="36"/>
      <c r="FJ175" s="36"/>
      <c r="FK175" s="36"/>
      <c r="FL175" s="36"/>
      <c r="FM175" s="36"/>
      <c r="FN175" s="36"/>
      <c r="FO175" s="36"/>
      <c r="FP175" s="36"/>
      <c r="FQ175" s="36"/>
      <c r="FR175" s="36"/>
      <c r="FS175" s="36"/>
      <c r="FT175" s="36"/>
      <c r="FU175" s="36"/>
      <c r="FV175" s="36"/>
      <c r="FW175" s="36"/>
      <c r="FX175" s="36"/>
      <c r="FY175" s="36"/>
      <c r="FZ175" s="36"/>
      <c r="GA175" s="6"/>
      <c r="GB175" s="6"/>
      <c r="GC175" s="36"/>
      <c r="GD175" s="36"/>
      <c r="GE175" s="36"/>
      <c r="GF175" s="36"/>
      <c r="GG175" s="36"/>
      <c r="GH175" s="36"/>
      <c r="GI175" s="36"/>
      <c r="GJ175" s="36"/>
      <c r="GK175" s="36"/>
      <c r="GL175" s="36"/>
      <c r="GM175" s="36"/>
      <c r="GN175" s="36"/>
      <c r="GO175" s="36"/>
      <c r="GP175" s="36"/>
      <c r="GQ175" s="36"/>
      <c r="GR175" s="36"/>
      <c r="GS175" s="36"/>
      <c r="GT175" s="36"/>
      <c r="GU175" s="36"/>
      <c r="GV175" s="6"/>
      <c r="GW175" s="36"/>
      <c r="GX175" s="36"/>
      <c r="GY175" s="36"/>
      <c r="GZ175" s="36"/>
      <c r="HA175" s="36"/>
      <c r="HB175" s="36"/>
      <c r="HC175" s="36"/>
      <c r="HD175" s="36"/>
      <c r="HE175" s="36"/>
      <c r="HF175" s="36"/>
      <c r="HG175" s="36"/>
      <c r="HH175" s="36"/>
      <c r="HI175" s="36"/>
      <c r="HJ175" s="36"/>
      <c r="HK175" s="36"/>
      <c r="HL175" s="36"/>
      <c r="HM175" s="36"/>
      <c r="HN175" s="36"/>
      <c r="HO175" s="36"/>
      <c r="HP175" s="36"/>
      <c r="HQ175" s="36"/>
      <c r="HR175" s="36"/>
      <c r="HS175" s="36"/>
      <c r="HT175" s="36"/>
      <c r="HU175" s="36"/>
      <c r="HV175" s="36"/>
      <c r="HW175" s="36"/>
      <c r="HX175" s="36"/>
      <c r="HY175" s="36"/>
      <c r="HZ175" s="36"/>
      <c r="IA175" s="36"/>
      <c r="IB175" s="36"/>
      <c r="IC175" s="36"/>
      <c r="ID175" s="36"/>
      <c r="IE175" s="36"/>
      <c r="IF175" s="36"/>
      <c r="IG175" s="36"/>
      <c r="IH175" s="36"/>
      <c r="II175" s="36"/>
      <c r="IJ175" s="36"/>
      <c r="IK175" s="36"/>
      <c r="IL175" s="36"/>
      <c r="IM175" s="36"/>
      <c r="IN175" s="36"/>
      <c r="IO175" s="36"/>
      <c r="IP175" s="36"/>
      <c r="IR175" s="2" t="s">
        <v>543</v>
      </c>
    </row>
    <row r="176" spans="1:252" ht="15.75" customHeight="1" x14ac:dyDescent="0.25">
      <c r="A176" s="36" t="s">
        <v>847</v>
      </c>
      <c r="B176" s="36" t="s">
        <v>848</v>
      </c>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36"/>
      <c r="BN176" s="36"/>
      <c r="BO176" s="36"/>
      <c r="BP176" s="6"/>
      <c r="BQ176" s="6"/>
      <c r="BR176" s="6"/>
      <c r="BS176" s="6"/>
      <c r="BT176" s="6"/>
      <c r="BU176" s="6"/>
      <c r="BV176" s="36"/>
      <c r="BW176" s="36"/>
      <c r="BX176" s="36"/>
      <c r="BY176" s="36"/>
      <c r="BZ176" s="36"/>
      <c r="CA176" s="36"/>
      <c r="CB176" s="36"/>
      <c r="CC176" s="36"/>
      <c r="CD176" s="36"/>
      <c r="CE176" s="36"/>
      <c r="CF176" s="36"/>
      <c r="CG176" s="36"/>
      <c r="CH176" s="36"/>
      <c r="CI176" s="36"/>
      <c r="CJ176" s="36"/>
      <c r="CK176" s="36"/>
      <c r="CL176" s="36"/>
      <c r="CM176" s="36"/>
      <c r="CN176" s="36"/>
      <c r="CO176" s="36"/>
      <c r="CP176" s="36"/>
      <c r="CQ176" s="36"/>
      <c r="CR176" s="36"/>
      <c r="CS176" s="36"/>
      <c r="CT176" s="36"/>
      <c r="CU176" s="36"/>
      <c r="CV176" s="36"/>
      <c r="CW176" s="36"/>
      <c r="CX176" s="36"/>
      <c r="CY176" s="36"/>
      <c r="CZ176" s="36"/>
      <c r="DA176" s="36"/>
      <c r="DB176" s="36"/>
      <c r="DC176" s="36"/>
      <c r="DD176" s="36"/>
      <c r="DE176" s="36"/>
      <c r="DF176" s="36"/>
      <c r="DG176" s="36"/>
      <c r="DH176" s="36"/>
      <c r="DI176" s="36"/>
      <c r="DJ176" s="36"/>
      <c r="DK176" s="36"/>
      <c r="DL176" s="36"/>
      <c r="DM176" s="36"/>
      <c r="DN176" s="36"/>
      <c r="DO176" s="36"/>
      <c r="DP176" s="36"/>
      <c r="DQ176" s="36"/>
      <c r="DR176" s="36"/>
      <c r="DS176" s="36"/>
      <c r="DT176" s="36"/>
      <c r="DU176" s="36"/>
      <c r="DV176" s="36"/>
      <c r="DW176" s="36"/>
      <c r="DX176" s="36"/>
      <c r="DY176" s="36"/>
      <c r="DZ176" s="36"/>
      <c r="EA176" s="36"/>
      <c r="EB176" s="36"/>
      <c r="EC176" s="36"/>
      <c r="ED176" s="36"/>
      <c r="EE176" s="36"/>
      <c r="EF176" s="36"/>
      <c r="EG176" s="36"/>
      <c r="EH176" s="36"/>
      <c r="EI176" s="36"/>
      <c r="EJ176" s="36"/>
      <c r="EK176" s="36"/>
      <c r="EL176" s="36"/>
      <c r="EM176" s="36"/>
      <c r="EN176" s="36"/>
      <c r="EO176" s="36"/>
      <c r="EP176" s="36"/>
      <c r="EQ176" s="36"/>
      <c r="ER176" s="36"/>
      <c r="ES176" s="36"/>
      <c r="ET176" s="36"/>
      <c r="EU176" s="36"/>
      <c r="EV176" s="36"/>
      <c r="EW176" s="36"/>
      <c r="EX176" s="36"/>
      <c r="EY176" s="36"/>
      <c r="EZ176" s="36"/>
      <c r="FA176" s="36"/>
      <c r="FB176" s="36"/>
      <c r="FC176" s="36"/>
      <c r="FD176" s="36"/>
      <c r="FE176" s="36"/>
      <c r="FF176" s="36"/>
      <c r="FG176" s="36"/>
      <c r="FH176" s="36"/>
      <c r="FI176" s="36"/>
      <c r="FJ176" s="36"/>
      <c r="FK176" s="36"/>
      <c r="FL176" s="36"/>
      <c r="FM176" s="36"/>
      <c r="FN176" s="36"/>
      <c r="FO176" s="36">
        <v>800</v>
      </c>
      <c r="FP176" s="36"/>
      <c r="FQ176" s="36"/>
      <c r="FR176" s="36"/>
      <c r="FS176" s="36"/>
      <c r="FT176" s="36"/>
      <c r="FU176" s="36"/>
      <c r="FV176" s="36"/>
      <c r="FW176" s="36"/>
      <c r="FX176" s="36"/>
      <c r="FY176" s="36"/>
      <c r="FZ176" s="36"/>
      <c r="GA176" s="6"/>
      <c r="GB176" s="6"/>
      <c r="GC176" s="36"/>
      <c r="GD176" s="36"/>
      <c r="GE176" s="36"/>
      <c r="GF176" s="36"/>
      <c r="GG176" s="36"/>
      <c r="GH176" s="36"/>
      <c r="GI176" s="36"/>
      <c r="GJ176" s="36"/>
      <c r="GK176" s="36"/>
      <c r="GL176" s="36"/>
      <c r="GM176" s="36"/>
      <c r="GN176" s="36"/>
      <c r="GO176" s="36"/>
      <c r="GP176" s="36"/>
      <c r="GQ176" s="36"/>
      <c r="GR176" s="36"/>
      <c r="GS176" s="36"/>
      <c r="GT176" s="36"/>
      <c r="GU176" s="36"/>
      <c r="GV176" s="6"/>
      <c r="GW176" s="36"/>
      <c r="GX176" s="36"/>
      <c r="GY176" s="36"/>
      <c r="GZ176" s="36"/>
      <c r="HA176" s="36"/>
      <c r="HB176" s="36"/>
      <c r="HC176" s="36"/>
      <c r="HD176" s="36"/>
      <c r="HE176" s="36"/>
      <c r="HF176" s="36"/>
      <c r="HG176" s="36"/>
      <c r="HH176" s="36"/>
      <c r="HI176" s="36"/>
      <c r="HJ176" s="36"/>
      <c r="HK176" s="36"/>
      <c r="HL176" s="36"/>
      <c r="HM176" s="36"/>
      <c r="HN176" s="36"/>
      <c r="HO176" s="36"/>
      <c r="HP176" s="36"/>
      <c r="HQ176" s="36"/>
      <c r="HR176" s="36"/>
      <c r="HS176" s="36"/>
      <c r="HT176" s="36"/>
      <c r="HU176" s="36"/>
      <c r="HV176" s="36"/>
      <c r="HW176" s="36"/>
      <c r="HX176" s="36"/>
      <c r="HY176" s="36"/>
      <c r="HZ176" s="36"/>
      <c r="IA176" s="36"/>
      <c r="IB176" s="36"/>
      <c r="IC176" s="36"/>
      <c r="ID176" s="36"/>
      <c r="IE176" s="36"/>
      <c r="IF176" s="36"/>
      <c r="IG176" s="36"/>
      <c r="IH176" s="36"/>
      <c r="II176" s="36"/>
      <c r="IJ176" s="36"/>
      <c r="IK176" s="36"/>
      <c r="IL176" s="36"/>
      <c r="IM176" s="36"/>
      <c r="IN176" s="36"/>
      <c r="IO176" s="36"/>
      <c r="IP176" s="36"/>
      <c r="IR176" s="2" t="s">
        <v>543</v>
      </c>
    </row>
    <row r="177" spans="1:252" ht="15.75" customHeight="1" x14ac:dyDescent="0.25">
      <c r="A177" s="36" t="s">
        <v>849</v>
      </c>
      <c r="B177" s="36" t="s">
        <v>850</v>
      </c>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36"/>
      <c r="BN177" s="36"/>
      <c r="BO177" s="36"/>
      <c r="BP177" s="6"/>
      <c r="BQ177" s="6"/>
      <c r="BR177" s="6"/>
      <c r="BS177" s="6"/>
      <c r="BT177" s="6"/>
      <c r="BU177" s="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v>6</v>
      </c>
      <c r="DC177" s="36">
        <v>6</v>
      </c>
      <c r="DD177" s="36"/>
      <c r="DE177" s="36"/>
      <c r="DF177" s="36"/>
      <c r="DG177" s="36">
        <v>6</v>
      </c>
      <c r="DH177" s="36"/>
      <c r="DI177" s="36"/>
      <c r="DJ177" s="36"/>
      <c r="DK177" s="36"/>
      <c r="DL177" s="36">
        <v>6</v>
      </c>
      <c r="DM177" s="36"/>
      <c r="DN177" s="36"/>
      <c r="DO177" s="36"/>
      <c r="DP177" s="36"/>
      <c r="DQ177" s="36">
        <v>8</v>
      </c>
      <c r="DR177" s="36">
        <v>6</v>
      </c>
      <c r="DS177" s="36"/>
      <c r="DT177" s="36"/>
      <c r="DU177" s="36"/>
      <c r="DV177" s="36"/>
      <c r="DW177" s="36"/>
      <c r="DX177" s="36"/>
      <c r="DY177" s="36"/>
      <c r="DZ177" s="36"/>
      <c r="EA177" s="36"/>
      <c r="EB177" s="36"/>
      <c r="EC177" s="36"/>
      <c r="ED177" s="36"/>
      <c r="EE177" s="36">
        <v>6</v>
      </c>
      <c r="EF177" s="36"/>
      <c r="EG177" s="36"/>
      <c r="EH177" s="36"/>
      <c r="EI177" s="36">
        <v>6</v>
      </c>
      <c r="EJ177" s="36">
        <v>6</v>
      </c>
      <c r="EK177" s="36"/>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6"/>
      <c r="GB177" s="6"/>
      <c r="GC177" s="36"/>
      <c r="GD177" s="36"/>
      <c r="GE177" s="36"/>
      <c r="GF177" s="36"/>
      <c r="GG177" s="36"/>
      <c r="GH177" s="36"/>
      <c r="GI177" s="36"/>
      <c r="GJ177" s="36"/>
      <c r="GK177" s="36"/>
      <c r="GL177" s="36"/>
      <c r="GM177" s="36"/>
      <c r="GN177" s="36"/>
      <c r="GO177" s="36"/>
      <c r="GP177" s="36"/>
      <c r="GQ177" s="36"/>
      <c r="GR177" s="36"/>
      <c r="GS177" s="36">
        <v>25</v>
      </c>
      <c r="GT177" s="36"/>
      <c r="GU177" s="36"/>
      <c r="GV177" s="6"/>
      <c r="GW177" s="36"/>
      <c r="GX177" s="36"/>
      <c r="GY177" s="36"/>
      <c r="GZ177" s="36"/>
      <c r="HA177" s="36"/>
      <c r="HB177" s="36"/>
      <c r="HC177" s="36"/>
      <c r="HD177" s="36"/>
      <c r="HE177" s="36"/>
      <c r="HF177" s="36"/>
      <c r="HG177" s="36"/>
      <c r="HH177" s="36"/>
      <c r="HI177" s="36"/>
      <c r="HJ177" s="36"/>
      <c r="HK177" s="36"/>
      <c r="HL177" s="36"/>
      <c r="HM177" s="36"/>
      <c r="HN177" s="36"/>
      <c r="HO177" s="36"/>
      <c r="HP177" s="36"/>
      <c r="HQ177" s="36"/>
      <c r="HR177" s="36"/>
      <c r="HS177" s="36"/>
      <c r="HT177" s="36"/>
      <c r="HU177" s="36"/>
      <c r="HV177" s="36"/>
      <c r="HW177" s="36"/>
      <c r="HX177" s="36"/>
      <c r="HY177" s="36"/>
      <c r="HZ177" s="36"/>
      <c r="IA177" s="36"/>
      <c r="IB177" s="36"/>
      <c r="IC177" s="36"/>
      <c r="ID177" s="36"/>
      <c r="IE177" s="36"/>
      <c r="IF177" s="36"/>
      <c r="IG177" s="36"/>
      <c r="IH177" s="36"/>
      <c r="II177" s="36"/>
      <c r="IJ177" s="36"/>
      <c r="IK177" s="36"/>
      <c r="IL177" s="36"/>
      <c r="IM177" s="36"/>
      <c r="IN177" s="36"/>
      <c r="IO177" s="36"/>
      <c r="IP177" s="36"/>
      <c r="IR177" s="2" t="s">
        <v>543</v>
      </c>
    </row>
    <row r="178" spans="1:252" ht="15.75" customHeight="1" x14ac:dyDescent="0.25">
      <c r="A178" s="36" t="s">
        <v>849</v>
      </c>
      <c r="B178" s="36" t="s">
        <v>852</v>
      </c>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36"/>
      <c r="BN178" s="36"/>
      <c r="BO178" s="36"/>
      <c r="BP178" s="6"/>
      <c r="BQ178" s="6"/>
      <c r="BR178" s="6"/>
      <c r="BS178" s="6"/>
      <c r="BT178" s="6"/>
      <c r="BU178" s="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6"/>
      <c r="GB178" s="6">
        <v>100</v>
      </c>
      <c r="GC178" s="36"/>
      <c r="GD178" s="36"/>
      <c r="GE178" s="36"/>
      <c r="GF178" s="36"/>
      <c r="GG178" s="36"/>
      <c r="GH178" s="36"/>
      <c r="GI178" s="36"/>
      <c r="GJ178" s="36"/>
      <c r="GK178" s="36"/>
      <c r="GL178" s="36"/>
      <c r="GM178" s="36">
        <v>25</v>
      </c>
      <c r="GN178" s="36"/>
      <c r="GO178" s="36"/>
      <c r="GP178" s="36"/>
      <c r="GQ178" s="36"/>
      <c r="GR178" s="36"/>
      <c r="GS178" s="36"/>
      <c r="GT178" s="36"/>
      <c r="GU178" s="36">
        <v>50</v>
      </c>
      <c r="GV178" s="6"/>
      <c r="GW178" s="36"/>
      <c r="GX178" s="36"/>
      <c r="GY178" s="36"/>
      <c r="GZ178" s="36"/>
      <c r="HA178" s="36"/>
      <c r="HB178" s="36"/>
      <c r="HC178" s="36"/>
      <c r="HD178" s="36"/>
      <c r="HE178" s="36"/>
      <c r="HF178" s="36"/>
      <c r="HG178" s="36"/>
      <c r="HH178" s="36"/>
      <c r="HI178" s="36"/>
      <c r="HJ178" s="36"/>
      <c r="HK178" s="36"/>
      <c r="HL178" s="36"/>
      <c r="HM178" s="36"/>
      <c r="HN178" s="36"/>
      <c r="HO178" s="36"/>
      <c r="HP178" s="36"/>
      <c r="HQ178" s="36"/>
      <c r="HR178" s="36"/>
      <c r="HS178" s="36"/>
      <c r="HT178" s="36"/>
      <c r="HU178" s="36"/>
      <c r="HV178" s="36"/>
      <c r="HW178" s="36"/>
      <c r="HX178" s="36">
        <v>120</v>
      </c>
      <c r="HY178" s="36"/>
      <c r="HZ178" s="36"/>
      <c r="IA178" s="36"/>
      <c r="IB178" s="36"/>
      <c r="IC178" s="36"/>
      <c r="ID178" s="36"/>
      <c r="IE178" s="36"/>
      <c r="IF178" s="36"/>
      <c r="IG178" s="36"/>
      <c r="IH178" s="36"/>
      <c r="II178" s="36"/>
      <c r="IJ178" s="36"/>
      <c r="IK178" s="36"/>
      <c r="IL178" s="36"/>
      <c r="IM178" s="36"/>
      <c r="IN178" s="36"/>
      <c r="IO178" s="36"/>
      <c r="IP178" s="36"/>
      <c r="IR178" s="2" t="s">
        <v>543</v>
      </c>
    </row>
    <row r="179" spans="1:252" ht="15.75" customHeight="1" x14ac:dyDescent="0.25">
      <c r="A179" s="36" t="s">
        <v>849</v>
      </c>
      <c r="B179" s="36" t="s">
        <v>853</v>
      </c>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36"/>
      <c r="BN179" s="36"/>
      <c r="BO179" s="36"/>
      <c r="BP179" s="6"/>
      <c r="BQ179" s="6"/>
      <c r="BR179" s="6"/>
      <c r="BS179" s="6"/>
      <c r="BT179" s="6"/>
      <c r="BU179" s="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6"/>
      <c r="GB179" s="6"/>
      <c r="GC179" s="36"/>
      <c r="GD179" s="36"/>
      <c r="GE179" s="36"/>
      <c r="GF179" s="36"/>
      <c r="GG179" s="36"/>
      <c r="GH179" s="36"/>
      <c r="GI179" s="36"/>
      <c r="GJ179" s="36"/>
      <c r="GK179" s="36"/>
      <c r="GL179" s="36">
        <v>100</v>
      </c>
      <c r="GM179" s="36"/>
      <c r="GN179" s="36"/>
      <c r="GO179" s="36"/>
      <c r="GP179" s="36"/>
      <c r="GQ179" s="36"/>
      <c r="GR179" s="36"/>
      <c r="GS179" s="36"/>
      <c r="GT179" s="36"/>
      <c r="GU179" s="36"/>
      <c r="GV179" s="6"/>
      <c r="GW179" s="36"/>
      <c r="GX179" s="36"/>
      <c r="GY179" s="36"/>
      <c r="GZ179" s="36"/>
      <c r="HA179" s="36"/>
      <c r="HB179" s="36"/>
      <c r="HC179" s="36"/>
      <c r="HD179" s="36"/>
      <c r="HE179" s="36"/>
      <c r="HF179" s="36"/>
      <c r="HG179" s="36"/>
      <c r="HH179" s="36"/>
      <c r="HI179" s="36"/>
      <c r="HJ179" s="36"/>
      <c r="HK179" s="36"/>
      <c r="HL179" s="36"/>
      <c r="HM179" s="36"/>
      <c r="HN179" s="36"/>
      <c r="HO179" s="36"/>
      <c r="HP179" s="36"/>
      <c r="HQ179" s="36"/>
      <c r="HR179" s="36"/>
      <c r="HS179" s="36"/>
      <c r="HT179" s="36"/>
      <c r="HU179" s="36"/>
      <c r="HV179" s="36"/>
      <c r="HW179" s="36"/>
      <c r="HX179" s="36"/>
      <c r="HY179" s="36"/>
      <c r="HZ179" s="36"/>
      <c r="IA179" s="36"/>
      <c r="IB179" s="36"/>
      <c r="IC179" s="36"/>
      <c r="ID179" s="36"/>
      <c r="IE179" s="36"/>
      <c r="IF179" s="36"/>
      <c r="IG179" s="36"/>
      <c r="IH179" s="36"/>
      <c r="II179" s="36"/>
      <c r="IJ179" s="36"/>
      <c r="IK179" s="36"/>
      <c r="IL179" s="36"/>
      <c r="IM179" s="36"/>
      <c r="IN179" s="36"/>
      <c r="IO179" s="36"/>
      <c r="IP179" s="36"/>
      <c r="IR179" s="2" t="s">
        <v>543</v>
      </c>
    </row>
    <row r="180" spans="1:252" ht="15.75" customHeight="1" x14ac:dyDescent="0.25">
      <c r="A180" s="36" t="s">
        <v>855</v>
      </c>
      <c r="B180" s="36" t="s">
        <v>856</v>
      </c>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36"/>
      <c r="BN180" s="36"/>
      <c r="BO180" s="36"/>
      <c r="BP180" s="6"/>
      <c r="BQ180" s="6"/>
      <c r="BR180" s="6"/>
      <c r="BS180" s="6"/>
      <c r="BT180" s="6"/>
      <c r="BU180" s="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6"/>
      <c r="GB180" s="6"/>
      <c r="GC180" s="36"/>
      <c r="GD180" s="36"/>
      <c r="GE180" s="36"/>
      <c r="GF180" s="36"/>
      <c r="GG180" s="36"/>
      <c r="GH180" s="36"/>
      <c r="GI180" s="36"/>
      <c r="GJ180" s="36"/>
      <c r="GK180" s="36"/>
      <c r="GL180" s="36"/>
      <c r="GM180" s="36"/>
      <c r="GN180" s="36"/>
      <c r="GO180" s="36"/>
      <c r="GP180" s="36"/>
      <c r="GQ180" s="36"/>
      <c r="GR180" s="36"/>
      <c r="GS180" s="36"/>
      <c r="GT180" s="36"/>
      <c r="GU180" s="36"/>
      <c r="GV180" s="6"/>
      <c r="GW180" s="36"/>
      <c r="GX180" s="36"/>
      <c r="GY180" s="36"/>
      <c r="GZ180" s="36"/>
      <c r="HA180" s="36"/>
      <c r="HB180" s="36"/>
      <c r="HC180" s="36"/>
      <c r="HD180" s="36"/>
      <c r="HE180" s="36"/>
      <c r="HF180" s="36"/>
      <c r="HG180" s="36"/>
      <c r="HH180" s="36"/>
      <c r="HI180" s="36"/>
      <c r="HJ180" s="36"/>
      <c r="HK180" s="36"/>
      <c r="HL180" s="36"/>
      <c r="HM180" s="36"/>
      <c r="HN180" s="36"/>
      <c r="HO180" s="36"/>
      <c r="HP180" s="36"/>
      <c r="HQ180" s="36"/>
      <c r="HR180" s="36"/>
      <c r="HS180" s="36"/>
      <c r="HT180" s="36"/>
      <c r="HU180" s="36"/>
      <c r="HV180" s="36"/>
      <c r="HW180" s="36"/>
      <c r="HX180" s="36"/>
      <c r="HY180" s="36"/>
      <c r="HZ180" s="36"/>
      <c r="IA180" s="36"/>
      <c r="IB180" s="36"/>
      <c r="IC180" s="36"/>
      <c r="ID180" s="36"/>
      <c r="IE180" s="36"/>
      <c r="IF180" s="36"/>
      <c r="IG180" s="36"/>
      <c r="IH180" s="36"/>
      <c r="II180" s="36"/>
      <c r="IJ180" s="36"/>
      <c r="IK180" s="36"/>
      <c r="IL180" s="36">
        <v>1</v>
      </c>
      <c r="IM180" s="36"/>
      <c r="IN180" s="36"/>
      <c r="IO180" s="36"/>
      <c r="IP180" s="36"/>
      <c r="IR180" s="2" t="s">
        <v>543</v>
      </c>
    </row>
    <row r="181" spans="1:252" ht="15.75" customHeight="1" x14ac:dyDescent="0.25">
      <c r="A181" s="36" t="s">
        <v>858</v>
      </c>
      <c r="B181" s="36" t="s">
        <v>859</v>
      </c>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36"/>
      <c r="BN181" s="36"/>
      <c r="BO181" s="36"/>
      <c r="BP181" s="6"/>
      <c r="BQ181" s="6"/>
      <c r="BR181" s="6"/>
      <c r="BS181" s="6"/>
      <c r="BT181" s="6"/>
      <c r="BU181" s="6"/>
      <c r="BV181" s="36"/>
      <c r="BW181" s="36"/>
      <c r="BX181" s="36"/>
      <c r="BY181" s="36"/>
      <c r="BZ181" s="36"/>
      <c r="CA181" s="36"/>
      <c r="CB181" s="36"/>
      <c r="CC181" s="36"/>
      <c r="CD181" s="36"/>
      <c r="CE181" s="36"/>
      <c r="CF181" s="36"/>
      <c r="CG181" s="36"/>
      <c r="CH181" s="36"/>
      <c r="CI181" s="36"/>
      <c r="CJ181" s="36">
        <v>25</v>
      </c>
      <c r="CK181" s="36"/>
      <c r="CL181" s="36"/>
      <c r="CM181" s="36"/>
      <c r="CN181" s="36"/>
      <c r="CO181" s="36"/>
      <c r="CP181" s="36"/>
      <c r="CQ181" s="36"/>
      <c r="CR181" s="36"/>
      <c r="CS181" s="36"/>
      <c r="CT181" s="36"/>
      <c r="CU181" s="36"/>
      <c r="CV181" s="36"/>
      <c r="CW181" s="36"/>
      <c r="CX181" s="36"/>
      <c r="CY181" s="36"/>
      <c r="CZ181" s="36"/>
      <c r="DA181" s="36"/>
      <c r="DB181" s="36">
        <v>10</v>
      </c>
      <c r="DC181" s="36"/>
      <c r="DD181" s="36"/>
      <c r="DE181" s="36"/>
      <c r="DF181" s="36"/>
      <c r="DG181" s="36"/>
      <c r="DH181" s="36"/>
      <c r="DI181" s="36"/>
      <c r="DJ181" s="36"/>
      <c r="DK181" s="36"/>
      <c r="DL181" s="36"/>
      <c r="DM181" s="36"/>
      <c r="DN181" s="36"/>
      <c r="DO181" s="36"/>
      <c r="DP181" s="36"/>
      <c r="DQ181" s="36"/>
      <c r="DR181" s="36"/>
      <c r="DS181" s="36"/>
      <c r="DT181" s="36"/>
      <c r="DU181" s="36"/>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v>10</v>
      </c>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6"/>
      <c r="GB181" s="6"/>
      <c r="GC181" s="36"/>
      <c r="GD181" s="36"/>
      <c r="GE181" s="36"/>
      <c r="GF181" s="36"/>
      <c r="GG181" s="36"/>
      <c r="GH181" s="36"/>
      <c r="GI181" s="36"/>
      <c r="GJ181" s="36"/>
      <c r="GK181" s="36"/>
      <c r="GL181" s="36"/>
      <c r="GM181" s="36"/>
      <c r="GN181" s="36"/>
      <c r="GO181" s="36"/>
      <c r="GP181" s="36"/>
      <c r="GQ181" s="36"/>
      <c r="GR181" s="36"/>
      <c r="GS181" s="36"/>
      <c r="GT181" s="36"/>
      <c r="GU181" s="36"/>
      <c r="GV181" s="6"/>
      <c r="GW181" s="36"/>
      <c r="GX181" s="36"/>
      <c r="GY181" s="36">
        <v>300</v>
      </c>
      <c r="GZ181" s="36"/>
      <c r="HA181" s="36"/>
      <c r="HB181" s="36"/>
      <c r="HC181" s="36"/>
      <c r="HD181" s="36"/>
      <c r="HE181" s="36"/>
      <c r="HF181" s="36"/>
      <c r="HG181" s="36"/>
      <c r="HH181" s="36"/>
      <c r="HI181" s="36"/>
      <c r="HJ181" s="36"/>
      <c r="HK181" s="36"/>
      <c r="HL181" s="36"/>
      <c r="HM181" s="36"/>
      <c r="HN181" s="36"/>
      <c r="HO181" s="36"/>
      <c r="HP181" s="36"/>
      <c r="HQ181" s="36"/>
      <c r="HR181" s="36"/>
      <c r="HS181" s="36"/>
      <c r="HT181" s="36"/>
      <c r="HU181" s="36"/>
      <c r="HV181" s="36"/>
      <c r="HW181" s="36"/>
      <c r="HX181" s="36"/>
      <c r="HY181" s="36"/>
      <c r="HZ181" s="36"/>
      <c r="IA181" s="36"/>
      <c r="IB181" s="36"/>
      <c r="IC181" s="36"/>
      <c r="ID181" s="36"/>
      <c r="IE181" s="36"/>
      <c r="IF181" s="36"/>
      <c r="IG181" s="36"/>
      <c r="IH181" s="36"/>
      <c r="II181" s="36"/>
      <c r="IJ181" s="36"/>
      <c r="IK181" s="36"/>
      <c r="IL181" s="36"/>
      <c r="IM181" s="36"/>
      <c r="IN181" s="36"/>
      <c r="IO181" s="36"/>
      <c r="IP181" s="36"/>
      <c r="IR181" s="2" t="s">
        <v>543</v>
      </c>
    </row>
    <row r="182" spans="1:252" ht="15.75" customHeight="1" x14ac:dyDescent="0.25">
      <c r="A182" s="36" t="s">
        <v>858</v>
      </c>
      <c r="B182" s="36" t="s">
        <v>861</v>
      </c>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36"/>
      <c r="BN182" s="36"/>
      <c r="BO182" s="36"/>
      <c r="BP182" s="6"/>
      <c r="BQ182" s="6"/>
      <c r="BR182" s="6"/>
      <c r="BS182" s="6"/>
      <c r="BT182" s="6"/>
      <c r="BU182" s="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v>200</v>
      </c>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6"/>
      <c r="GB182" s="6"/>
      <c r="GC182" s="36"/>
      <c r="GD182" s="36"/>
      <c r="GE182" s="36"/>
      <c r="GF182" s="36"/>
      <c r="GG182" s="36"/>
      <c r="GH182" s="36"/>
      <c r="GI182" s="36"/>
      <c r="GJ182" s="36"/>
      <c r="GK182" s="36"/>
      <c r="GL182" s="36"/>
      <c r="GM182" s="36"/>
      <c r="GN182" s="36"/>
      <c r="GO182" s="36"/>
      <c r="GP182" s="36"/>
      <c r="GQ182" s="36"/>
      <c r="GR182" s="36"/>
      <c r="GS182" s="36"/>
      <c r="GT182" s="36"/>
      <c r="GU182" s="36"/>
      <c r="GV182" s="6"/>
      <c r="GW182" s="36"/>
      <c r="GX182" s="36"/>
      <c r="GY182" s="36"/>
      <c r="GZ182" s="36"/>
      <c r="HA182" s="36"/>
      <c r="HB182" s="36"/>
      <c r="HC182" s="36"/>
      <c r="HD182" s="36"/>
      <c r="HE182" s="36"/>
      <c r="HF182" s="36"/>
      <c r="HG182" s="36"/>
      <c r="HH182" s="36"/>
      <c r="HI182" s="36"/>
      <c r="HJ182" s="36"/>
      <c r="HK182" s="36"/>
      <c r="HL182" s="36"/>
      <c r="HM182" s="36"/>
      <c r="HN182" s="36"/>
      <c r="HO182" s="36"/>
      <c r="HP182" s="36"/>
      <c r="HQ182" s="36"/>
      <c r="HR182" s="36"/>
      <c r="HS182" s="36"/>
      <c r="HT182" s="36"/>
      <c r="HU182" s="36"/>
      <c r="HV182" s="36"/>
      <c r="HW182" s="36"/>
      <c r="HX182" s="36"/>
      <c r="HY182" s="36"/>
      <c r="HZ182" s="36"/>
      <c r="IA182" s="36"/>
      <c r="IB182" s="36"/>
      <c r="IC182" s="36"/>
      <c r="ID182" s="36"/>
      <c r="IE182" s="36"/>
      <c r="IF182" s="36"/>
      <c r="IG182" s="36"/>
      <c r="IH182" s="36"/>
      <c r="II182" s="36"/>
      <c r="IJ182" s="36"/>
      <c r="IK182" s="36"/>
      <c r="IL182" s="36"/>
      <c r="IM182" s="36"/>
      <c r="IN182" s="36"/>
      <c r="IO182" s="36"/>
      <c r="IP182" s="36"/>
      <c r="IR182" s="2" t="s">
        <v>543</v>
      </c>
    </row>
    <row r="183" spans="1:252" ht="15.75" customHeight="1" x14ac:dyDescent="0.25">
      <c r="A183" s="36" t="s">
        <v>866</v>
      </c>
      <c r="B183" s="36" t="s">
        <v>867</v>
      </c>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36"/>
      <c r="BN183" s="36"/>
      <c r="BO183" s="36"/>
      <c r="BP183" s="6"/>
      <c r="BQ183" s="6"/>
      <c r="BR183" s="6"/>
      <c r="BS183" s="6"/>
      <c r="BT183" s="6"/>
      <c r="BU183" s="6"/>
      <c r="BV183" s="36"/>
      <c r="BW183" s="36"/>
      <c r="BX183" s="36"/>
      <c r="BY183" s="36"/>
      <c r="BZ183" s="36"/>
      <c r="CA183" s="36"/>
      <c r="CB183" s="36"/>
      <c r="CC183" s="36"/>
      <c r="CD183" s="36"/>
      <c r="CE183" s="36"/>
      <c r="CF183" s="36"/>
      <c r="CG183" s="36">
        <v>30</v>
      </c>
      <c r="CH183" s="36"/>
      <c r="CI183" s="36"/>
      <c r="CJ183" s="36"/>
      <c r="CK183" s="36"/>
      <c r="CL183" s="36"/>
      <c r="CM183" s="36"/>
      <c r="CN183" s="36"/>
      <c r="CO183" s="36">
        <v>6</v>
      </c>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v>6</v>
      </c>
      <c r="DS183" s="36"/>
      <c r="DT183" s="36"/>
      <c r="DU183" s="36"/>
      <c r="DV183" s="36"/>
      <c r="DW183" s="36"/>
      <c r="DX183" s="36"/>
      <c r="DY183" s="36"/>
      <c r="DZ183" s="36"/>
      <c r="EA183" s="36"/>
      <c r="EB183" s="36"/>
      <c r="EC183" s="36"/>
      <c r="ED183" s="36"/>
      <c r="EE183" s="36"/>
      <c r="EF183" s="36"/>
      <c r="EG183" s="36"/>
      <c r="EH183" s="36"/>
      <c r="EI183" s="36"/>
      <c r="EJ183" s="36"/>
      <c r="EK183" s="36"/>
      <c r="EL183" s="36"/>
      <c r="EM183" s="36"/>
      <c r="EN183" s="36"/>
      <c r="EO183" s="36"/>
      <c r="EP183" s="36"/>
      <c r="EQ183" s="36">
        <v>20</v>
      </c>
      <c r="ER183" s="36"/>
      <c r="ES183" s="36">
        <v>1</v>
      </c>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v>400</v>
      </c>
      <c r="FP183" s="36"/>
      <c r="FQ183" s="36"/>
      <c r="FR183" s="36"/>
      <c r="FS183" s="36"/>
      <c r="FT183" s="36"/>
      <c r="FU183" s="36"/>
      <c r="FV183" s="36"/>
      <c r="FW183" s="36"/>
      <c r="FX183" s="36">
        <v>25</v>
      </c>
      <c r="FY183" s="36"/>
      <c r="FZ183" s="36">
        <v>25</v>
      </c>
      <c r="GA183" s="6"/>
      <c r="GB183" s="6"/>
      <c r="GC183" s="36"/>
      <c r="GD183" s="36"/>
      <c r="GE183" s="36"/>
      <c r="GF183" s="36"/>
      <c r="GG183" s="36"/>
      <c r="GH183" s="36"/>
      <c r="GI183" s="36"/>
      <c r="GJ183" s="36"/>
      <c r="GK183" s="36">
        <v>50</v>
      </c>
      <c r="GL183" s="36">
        <v>25</v>
      </c>
      <c r="GM183" s="36"/>
      <c r="GN183" s="36"/>
      <c r="GO183" s="36"/>
      <c r="GP183" s="36"/>
      <c r="GQ183" s="36"/>
      <c r="GR183" s="36"/>
      <c r="GS183" s="36"/>
      <c r="GT183" s="36"/>
      <c r="GU183" s="36">
        <v>25</v>
      </c>
      <c r="GV183" s="6"/>
      <c r="GW183" s="36"/>
      <c r="GX183" s="36">
        <v>48</v>
      </c>
      <c r="GY183" s="36"/>
      <c r="GZ183" s="36"/>
      <c r="HA183" s="36"/>
      <c r="HB183" s="36"/>
      <c r="HC183" s="36"/>
      <c r="HD183" s="36"/>
      <c r="HE183" s="36"/>
      <c r="HF183" s="36"/>
      <c r="HG183" s="36"/>
      <c r="HH183" s="36"/>
      <c r="HI183" s="36"/>
      <c r="HJ183" s="36"/>
      <c r="HK183" s="36"/>
      <c r="HL183" s="36"/>
      <c r="HM183" s="36"/>
      <c r="HN183" s="36"/>
      <c r="HO183" s="36"/>
      <c r="HP183" s="36"/>
      <c r="HQ183" s="36"/>
      <c r="HR183" s="36"/>
      <c r="HS183" s="36"/>
      <c r="HT183" s="36"/>
      <c r="HU183" s="36"/>
      <c r="HV183" s="36"/>
      <c r="HW183" s="36">
        <v>5</v>
      </c>
      <c r="HX183" s="36"/>
      <c r="HY183" s="36"/>
      <c r="HZ183" s="36"/>
      <c r="IA183" s="36"/>
      <c r="IB183" s="36"/>
      <c r="IC183" s="36"/>
      <c r="ID183" s="36"/>
      <c r="IE183" s="36"/>
      <c r="IF183" s="36"/>
      <c r="IG183" s="36"/>
      <c r="IH183" s="36"/>
      <c r="II183" s="36"/>
      <c r="IJ183" s="36"/>
      <c r="IK183" s="36"/>
      <c r="IL183" s="36"/>
      <c r="IM183" s="36"/>
      <c r="IN183" s="36"/>
      <c r="IO183" s="36"/>
      <c r="IP183" s="36"/>
      <c r="IR183" s="2" t="s">
        <v>543</v>
      </c>
    </row>
    <row r="184" spans="1:252" ht="15.75" customHeight="1" x14ac:dyDescent="0.25">
      <c r="A184" s="36" t="s">
        <v>866</v>
      </c>
      <c r="B184" s="36" t="s">
        <v>868</v>
      </c>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36"/>
      <c r="BN184" s="36"/>
      <c r="BO184" s="36"/>
      <c r="BP184" s="6"/>
      <c r="BQ184" s="6"/>
      <c r="BR184" s="6"/>
      <c r="BS184" s="6"/>
      <c r="BT184" s="6"/>
      <c r="BU184" s="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c r="DX184" s="36"/>
      <c r="DY184" s="36"/>
      <c r="DZ184" s="36"/>
      <c r="EA184" s="36"/>
      <c r="EB184" s="36"/>
      <c r="EC184" s="36"/>
      <c r="ED184" s="36"/>
      <c r="EE184" s="36"/>
      <c r="EF184" s="36"/>
      <c r="EG184" s="36"/>
      <c r="EH184" s="36"/>
      <c r="EI184" s="36"/>
      <c r="EJ184" s="36"/>
      <c r="EK184" s="36"/>
      <c r="EL184" s="36"/>
      <c r="EM184" s="36"/>
      <c r="EN184" s="36"/>
      <c r="EO184" s="36"/>
      <c r="EP184" s="36">
        <v>6</v>
      </c>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6"/>
      <c r="GB184" s="6"/>
      <c r="GC184" s="36"/>
      <c r="GD184" s="36"/>
      <c r="GE184" s="36"/>
      <c r="GF184" s="36"/>
      <c r="GG184" s="36"/>
      <c r="GH184" s="36"/>
      <c r="GI184" s="36"/>
      <c r="GJ184" s="36"/>
      <c r="GK184" s="36"/>
      <c r="GL184" s="36"/>
      <c r="GM184" s="36"/>
      <c r="GN184" s="36"/>
      <c r="GO184" s="36"/>
      <c r="GP184" s="36"/>
      <c r="GQ184" s="36"/>
      <c r="GR184" s="36"/>
      <c r="GS184" s="36"/>
      <c r="GT184" s="36"/>
      <c r="GU184" s="36"/>
      <c r="GV184" s="6"/>
      <c r="GW184" s="36"/>
      <c r="GX184" s="36"/>
      <c r="GY184" s="36"/>
      <c r="GZ184" s="36"/>
      <c r="HA184" s="36"/>
      <c r="HB184" s="36"/>
      <c r="HC184" s="36"/>
      <c r="HD184" s="36"/>
      <c r="HE184" s="36"/>
      <c r="HF184" s="36"/>
      <c r="HG184" s="36"/>
      <c r="HH184" s="36"/>
      <c r="HI184" s="36"/>
      <c r="HJ184" s="36"/>
      <c r="HK184" s="36"/>
      <c r="HL184" s="36"/>
      <c r="HM184" s="36"/>
      <c r="HN184" s="36"/>
      <c r="HO184" s="36"/>
      <c r="HP184" s="36"/>
      <c r="HQ184" s="36"/>
      <c r="HR184" s="36"/>
      <c r="HS184" s="36"/>
      <c r="HT184" s="36"/>
      <c r="HU184" s="36"/>
      <c r="HV184" s="36"/>
      <c r="HW184" s="36"/>
      <c r="HX184" s="36"/>
      <c r="HY184" s="36"/>
      <c r="HZ184" s="36"/>
      <c r="IA184" s="36"/>
      <c r="IB184" s="36"/>
      <c r="IC184" s="36"/>
      <c r="ID184" s="36"/>
      <c r="IE184" s="36"/>
      <c r="IF184" s="36"/>
      <c r="IG184" s="36"/>
      <c r="IH184" s="36"/>
      <c r="II184" s="36"/>
      <c r="IJ184" s="36"/>
      <c r="IK184" s="36"/>
      <c r="IL184" s="36"/>
      <c r="IM184" s="36"/>
      <c r="IN184" s="36"/>
      <c r="IO184" s="36"/>
      <c r="IP184" s="36"/>
      <c r="IR184" s="2" t="s">
        <v>543</v>
      </c>
    </row>
    <row r="185" spans="1:252" ht="15.75" customHeight="1" x14ac:dyDescent="0.25">
      <c r="A185" s="36" t="s">
        <v>869</v>
      </c>
      <c r="B185" s="36" t="s">
        <v>870</v>
      </c>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36"/>
      <c r="BN185" s="36"/>
      <c r="BO185" s="36"/>
      <c r="BP185" s="6"/>
      <c r="BQ185" s="6"/>
      <c r="BR185" s="6"/>
      <c r="BS185" s="6"/>
      <c r="BT185" s="6"/>
      <c r="BU185" s="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v>6</v>
      </c>
      <c r="DC185" s="36">
        <v>6</v>
      </c>
      <c r="DD185" s="36"/>
      <c r="DE185" s="36"/>
      <c r="DF185" s="36"/>
      <c r="DG185" s="36"/>
      <c r="DH185" s="36"/>
      <c r="DI185" s="36"/>
      <c r="DJ185" s="36"/>
      <c r="DK185" s="36"/>
      <c r="DL185" s="36"/>
      <c r="DM185" s="36"/>
      <c r="DN185" s="36"/>
      <c r="DO185" s="36"/>
      <c r="DP185" s="36"/>
      <c r="DQ185" s="36"/>
      <c r="DR185" s="36"/>
      <c r="DS185" s="36"/>
      <c r="DT185" s="36"/>
      <c r="DU185" s="36"/>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6"/>
      <c r="GB185" s="6"/>
      <c r="GC185" s="36"/>
      <c r="GD185" s="36"/>
      <c r="GE185" s="36"/>
      <c r="GF185" s="36"/>
      <c r="GG185" s="36"/>
      <c r="GH185" s="36"/>
      <c r="GI185" s="36"/>
      <c r="GJ185" s="36"/>
      <c r="GK185" s="36"/>
      <c r="GL185" s="36"/>
      <c r="GM185" s="36"/>
      <c r="GN185" s="36"/>
      <c r="GO185" s="36"/>
      <c r="GP185" s="36"/>
      <c r="GQ185" s="36"/>
      <c r="GR185" s="36"/>
      <c r="GS185" s="36"/>
      <c r="GT185" s="36"/>
      <c r="GU185" s="36"/>
      <c r="GV185" s="6"/>
      <c r="GW185" s="36"/>
      <c r="GX185" s="36"/>
      <c r="GY185" s="36"/>
      <c r="GZ185" s="36"/>
      <c r="HA185" s="36"/>
      <c r="HB185" s="36"/>
      <c r="HC185" s="36"/>
      <c r="HD185" s="36"/>
      <c r="HE185" s="36"/>
      <c r="HF185" s="36"/>
      <c r="HG185" s="36"/>
      <c r="HH185" s="36"/>
      <c r="HI185" s="36"/>
      <c r="HJ185" s="36"/>
      <c r="HK185" s="36"/>
      <c r="HL185" s="36"/>
      <c r="HM185" s="36"/>
      <c r="HN185" s="36"/>
      <c r="HO185" s="36">
        <v>50</v>
      </c>
      <c r="HP185" s="36"/>
      <c r="HQ185" s="36">
        <v>50</v>
      </c>
      <c r="HR185" s="36"/>
      <c r="HS185" s="36"/>
      <c r="HT185" s="36"/>
      <c r="HU185" s="36"/>
      <c r="HV185" s="36"/>
      <c r="HW185" s="36"/>
      <c r="HX185" s="36"/>
      <c r="HY185" s="36"/>
      <c r="HZ185" s="36"/>
      <c r="IA185" s="36"/>
      <c r="IB185" s="36"/>
      <c r="IC185" s="36"/>
      <c r="ID185" s="36"/>
      <c r="IE185" s="36"/>
      <c r="IF185" s="36"/>
      <c r="IG185" s="36"/>
      <c r="IH185" s="36"/>
      <c r="II185" s="36"/>
      <c r="IJ185" s="36"/>
      <c r="IK185" s="36">
        <v>4</v>
      </c>
      <c r="IL185" s="36"/>
      <c r="IM185" s="36"/>
      <c r="IN185" s="36"/>
      <c r="IO185" s="36"/>
      <c r="IP185" s="36"/>
      <c r="IR185" s="2" t="s">
        <v>543</v>
      </c>
    </row>
    <row r="186" spans="1:252" ht="15.75" customHeight="1" x14ac:dyDescent="0.25">
      <c r="A186" s="36" t="s">
        <v>871</v>
      </c>
      <c r="B186" s="36" t="s">
        <v>872</v>
      </c>
      <c r="C186" s="36"/>
      <c r="D186" s="36"/>
      <c r="E186" s="36"/>
      <c r="F186" s="36"/>
      <c r="G186" s="36"/>
      <c r="H186" s="36"/>
      <c r="I186" s="36"/>
      <c r="J186" s="36"/>
      <c r="K186" s="36"/>
      <c r="L186" s="36"/>
      <c r="M186" s="36"/>
      <c r="N186" s="36"/>
      <c r="O186" s="36"/>
      <c r="P186" s="36"/>
      <c r="Q186" s="36"/>
      <c r="R186" s="36"/>
      <c r="S186" s="36"/>
      <c r="T186" s="36"/>
      <c r="U186" s="36"/>
      <c r="V186" s="36">
        <v>5</v>
      </c>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36"/>
      <c r="BN186" s="36"/>
      <c r="BO186" s="36"/>
      <c r="BP186" s="6"/>
      <c r="BQ186" s="6"/>
      <c r="BR186" s="6"/>
      <c r="BS186" s="6"/>
      <c r="BT186" s="6"/>
      <c r="BU186" s="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v>6</v>
      </c>
      <c r="DP186" s="36"/>
      <c r="DQ186" s="36"/>
      <c r="DR186" s="36"/>
      <c r="DS186" s="36"/>
      <c r="DT186" s="36"/>
      <c r="DU186" s="36"/>
      <c r="DV186" s="36"/>
      <c r="DW186" s="36"/>
      <c r="DX186" s="36"/>
      <c r="DY186" s="36"/>
      <c r="DZ186" s="36"/>
      <c r="EA186" s="36"/>
      <c r="EB186" s="36"/>
      <c r="EC186" s="36"/>
      <c r="ED186" s="36"/>
      <c r="EE186" s="36"/>
      <c r="EF186" s="36"/>
      <c r="EG186" s="36"/>
      <c r="EH186" s="36"/>
      <c r="EI186" s="36"/>
      <c r="EJ186" s="36"/>
      <c r="EK186" s="36"/>
      <c r="EL186" s="36"/>
      <c r="EM186" s="36"/>
      <c r="EN186" s="36"/>
      <c r="EO186" s="36"/>
      <c r="EP186" s="36">
        <v>6</v>
      </c>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6"/>
      <c r="GB186" s="6"/>
      <c r="GC186" s="36"/>
      <c r="GD186" s="36"/>
      <c r="GE186" s="36"/>
      <c r="GF186" s="36"/>
      <c r="GG186" s="36"/>
      <c r="GH186" s="36"/>
      <c r="GI186" s="36"/>
      <c r="GJ186" s="36"/>
      <c r="GK186" s="36"/>
      <c r="GL186" s="36"/>
      <c r="GM186" s="36"/>
      <c r="GN186" s="36"/>
      <c r="GO186" s="36"/>
      <c r="GP186" s="36"/>
      <c r="GQ186" s="36"/>
      <c r="GR186" s="36"/>
      <c r="GS186" s="36"/>
      <c r="GT186" s="36"/>
      <c r="GU186" s="36"/>
      <c r="GV186" s="6"/>
      <c r="GW186" s="36"/>
      <c r="GX186" s="36"/>
      <c r="GY186" s="36"/>
      <c r="GZ186" s="36"/>
      <c r="HA186" s="36"/>
      <c r="HB186" s="36"/>
      <c r="HC186" s="36"/>
      <c r="HD186" s="36"/>
      <c r="HE186" s="36"/>
      <c r="HF186" s="36"/>
      <c r="HG186" s="36"/>
      <c r="HH186" s="36"/>
      <c r="HI186" s="36"/>
      <c r="HJ186" s="36"/>
      <c r="HK186" s="36"/>
      <c r="HL186" s="36"/>
      <c r="HM186" s="36"/>
      <c r="HN186" s="36"/>
      <c r="HO186" s="36">
        <v>30</v>
      </c>
      <c r="HP186" s="36"/>
      <c r="HQ186" s="36">
        <v>30</v>
      </c>
      <c r="HR186" s="36"/>
      <c r="HS186" s="36"/>
      <c r="HT186" s="36"/>
      <c r="HU186" s="36"/>
      <c r="HV186" s="36"/>
      <c r="HW186" s="36"/>
      <c r="HX186" s="36"/>
      <c r="HY186" s="36"/>
      <c r="HZ186" s="36"/>
      <c r="IA186" s="36"/>
      <c r="IB186" s="36"/>
      <c r="IC186" s="36"/>
      <c r="ID186" s="36"/>
      <c r="IE186" s="36"/>
      <c r="IF186" s="36"/>
      <c r="IG186" s="36"/>
      <c r="IH186" s="36"/>
      <c r="II186" s="36"/>
      <c r="IJ186" s="36"/>
      <c r="IK186" s="36"/>
      <c r="IL186" s="36"/>
      <c r="IM186" s="36"/>
      <c r="IN186" s="36"/>
      <c r="IO186" s="36"/>
      <c r="IP186" s="36"/>
      <c r="IR186" s="2" t="s">
        <v>543</v>
      </c>
    </row>
    <row r="187" spans="1:252" ht="15.75" customHeight="1" x14ac:dyDescent="0.25">
      <c r="A187" s="36" t="s">
        <v>873</v>
      </c>
      <c r="B187" s="36" t="s">
        <v>874</v>
      </c>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36"/>
      <c r="BN187" s="36"/>
      <c r="BO187" s="36"/>
      <c r="BP187" s="6"/>
      <c r="BQ187" s="6"/>
      <c r="BR187" s="6"/>
      <c r="BS187" s="6"/>
      <c r="BT187" s="6"/>
      <c r="BU187" s="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6"/>
      <c r="GB187" s="6"/>
      <c r="GC187" s="36"/>
      <c r="GD187" s="36"/>
      <c r="GE187" s="36"/>
      <c r="GF187" s="36"/>
      <c r="GG187" s="36"/>
      <c r="GH187" s="36"/>
      <c r="GI187" s="36"/>
      <c r="GJ187" s="36"/>
      <c r="GK187" s="36"/>
      <c r="GL187" s="36"/>
      <c r="GM187" s="36"/>
      <c r="GN187" s="36"/>
      <c r="GO187" s="36"/>
      <c r="GP187" s="36"/>
      <c r="GQ187" s="36"/>
      <c r="GR187" s="36"/>
      <c r="GS187" s="36"/>
      <c r="GT187" s="36"/>
      <c r="GU187" s="36"/>
      <c r="GV187" s="6"/>
      <c r="GW187" s="36"/>
      <c r="GX187" s="36"/>
      <c r="GY187" s="36"/>
      <c r="GZ187" s="36"/>
      <c r="HA187" s="36"/>
      <c r="HB187" s="36"/>
      <c r="HC187" s="36"/>
      <c r="HD187" s="36"/>
      <c r="HE187" s="36"/>
      <c r="HF187" s="36"/>
      <c r="HG187" s="36"/>
      <c r="HH187" s="36"/>
      <c r="HI187" s="36"/>
      <c r="HJ187" s="36"/>
      <c r="HK187" s="36"/>
      <c r="HL187" s="36"/>
      <c r="HM187" s="36"/>
      <c r="HN187" s="36"/>
      <c r="HO187" s="36"/>
      <c r="HP187" s="36"/>
      <c r="HQ187" s="36"/>
      <c r="HR187" s="36"/>
      <c r="HS187" s="36"/>
      <c r="HT187" s="36"/>
      <c r="HU187" s="36"/>
      <c r="HV187" s="36"/>
      <c r="HW187" s="36"/>
      <c r="HX187" s="36"/>
      <c r="HY187" s="36"/>
      <c r="HZ187" s="36"/>
      <c r="IA187" s="36"/>
      <c r="IB187" s="36"/>
      <c r="IC187" s="36"/>
      <c r="ID187" s="36"/>
      <c r="IE187" s="36"/>
      <c r="IF187" s="36"/>
      <c r="IG187" s="36"/>
      <c r="IH187" s="36"/>
      <c r="II187" s="36"/>
      <c r="IJ187" s="36"/>
      <c r="IK187" s="36"/>
      <c r="IL187" s="36">
        <v>2</v>
      </c>
      <c r="IM187" s="36"/>
      <c r="IN187" s="36"/>
      <c r="IO187" s="36"/>
      <c r="IP187" s="36"/>
      <c r="IR187" s="2" t="s">
        <v>543</v>
      </c>
    </row>
    <row r="188" spans="1:252" ht="15.75" customHeight="1" x14ac:dyDescent="0.25">
      <c r="A188" s="36" t="s">
        <v>875</v>
      </c>
      <c r="B188" s="36" t="s">
        <v>876</v>
      </c>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36"/>
      <c r="BN188" s="36"/>
      <c r="BO188" s="36"/>
      <c r="BP188" s="6"/>
      <c r="BQ188" s="6"/>
      <c r="BR188" s="6"/>
      <c r="BS188" s="6"/>
      <c r="BT188" s="6"/>
      <c r="BU188" s="6"/>
      <c r="BV188" s="36"/>
      <c r="BW188" s="36"/>
      <c r="BX188" s="36"/>
      <c r="BY188" s="36"/>
      <c r="BZ188" s="36"/>
      <c r="CA188" s="36"/>
      <c r="CB188" s="36"/>
      <c r="CC188" s="36"/>
      <c r="CD188" s="36"/>
      <c r="CE188" s="36"/>
      <c r="CF188" s="36"/>
      <c r="CG188" s="36"/>
      <c r="CH188" s="36"/>
      <c r="CI188" s="36"/>
      <c r="CJ188" s="36">
        <v>10</v>
      </c>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6"/>
      <c r="GB188" s="6"/>
      <c r="GC188" s="36"/>
      <c r="GD188" s="36"/>
      <c r="GE188" s="36"/>
      <c r="GF188" s="36"/>
      <c r="GG188" s="36"/>
      <c r="GH188" s="36"/>
      <c r="GI188" s="36"/>
      <c r="GJ188" s="36"/>
      <c r="GK188" s="36"/>
      <c r="GL188" s="36"/>
      <c r="GM188" s="36"/>
      <c r="GN188" s="36"/>
      <c r="GO188" s="36"/>
      <c r="GP188" s="36"/>
      <c r="GQ188" s="36"/>
      <c r="GR188" s="36"/>
      <c r="GS188" s="36"/>
      <c r="GT188" s="36"/>
      <c r="GU188" s="36"/>
      <c r="GV188" s="6"/>
      <c r="GW188" s="36"/>
      <c r="GX188" s="36"/>
      <c r="GY188" s="36"/>
      <c r="GZ188" s="36"/>
      <c r="HA188" s="36"/>
      <c r="HB188" s="36"/>
      <c r="HC188" s="36"/>
      <c r="HD188" s="36"/>
      <c r="HE188" s="36"/>
      <c r="HF188" s="36"/>
      <c r="HG188" s="36"/>
      <c r="HH188" s="36"/>
      <c r="HI188" s="36"/>
      <c r="HJ188" s="36"/>
      <c r="HK188" s="36"/>
      <c r="HL188" s="36"/>
      <c r="HM188" s="36"/>
      <c r="HN188" s="36"/>
      <c r="HO188" s="36"/>
      <c r="HP188" s="36"/>
      <c r="HQ188" s="36"/>
      <c r="HR188" s="36"/>
      <c r="HS188" s="36"/>
      <c r="HT188" s="36"/>
      <c r="HU188" s="36"/>
      <c r="HV188" s="36"/>
      <c r="HW188" s="36"/>
      <c r="HX188" s="36"/>
      <c r="HY188" s="36"/>
      <c r="HZ188" s="36"/>
      <c r="IA188" s="36"/>
      <c r="IB188" s="36"/>
      <c r="IC188" s="36"/>
      <c r="ID188" s="36"/>
      <c r="IE188" s="36"/>
      <c r="IF188" s="36"/>
      <c r="IG188" s="36"/>
      <c r="IH188" s="36"/>
      <c r="II188" s="36"/>
      <c r="IJ188" s="36"/>
      <c r="IK188" s="36"/>
      <c r="IL188" s="36"/>
      <c r="IM188" s="36"/>
      <c r="IN188" s="36"/>
      <c r="IO188" s="36"/>
      <c r="IP188" s="36"/>
      <c r="IR188" s="2" t="s">
        <v>543</v>
      </c>
    </row>
    <row r="189" spans="1:252" ht="15.75" customHeight="1" x14ac:dyDescent="0.25">
      <c r="A189" s="36" t="s">
        <v>875</v>
      </c>
      <c r="B189" s="36" t="s">
        <v>877</v>
      </c>
      <c r="C189" s="36"/>
      <c r="D189" s="36">
        <v>5</v>
      </c>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6"/>
      <c r="BQ189" s="6"/>
      <c r="BR189" s="6"/>
      <c r="BS189" s="6"/>
      <c r="BT189" s="6"/>
      <c r="BU189" s="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6"/>
      <c r="GB189" s="6"/>
      <c r="GC189" s="36"/>
      <c r="GD189" s="36"/>
      <c r="GE189" s="36"/>
      <c r="GF189" s="36"/>
      <c r="GG189" s="36"/>
      <c r="GH189" s="36"/>
      <c r="GI189" s="36"/>
      <c r="GJ189" s="36"/>
      <c r="GK189" s="36"/>
      <c r="GL189" s="36"/>
      <c r="GM189" s="36"/>
      <c r="GN189" s="36"/>
      <c r="GO189" s="36"/>
      <c r="GP189" s="36"/>
      <c r="GQ189" s="36"/>
      <c r="GR189" s="36"/>
      <c r="GS189" s="36"/>
      <c r="GT189" s="36"/>
      <c r="GU189" s="36"/>
      <c r="GV189" s="6"/>
      <c r="GW189" s="36"/>
      <c r="GX189" s="36"/>
      <c r="GY189" s="36"/>
      <c r="GZ189" s="36"/>
      <c r="HA189" s="36"/>
      <c r="HB189" s="36"/>
      <c r="HC189" s="36"/>
      <c r="HD189" s="36"/>
      <c r="HE189" s="36"/>
      <c r="HF189" s="36"/>
      <c r="HG189" s="36"/>
      <c r="HH189" s="36"/>
      <c r="HI189" s="36"/>
      <c r="HJ189" s="36"/>
      <c r="HK189" s="36"/>
      <c r="HL189" s="36"/>
      <c r="HM189" s="36"/>
      <c r="HN189" s="36"/>
      <c r="HO189" s="36">
        <v>20</v>
      </c>
      <c r="HP189" s="36"/>
      <c r="HQ189" s="36"/>
      <c r="HR189" s="36"/>
      <c r="HS189" s="36"/>
      <c r="HT189" s="36"/>
      <c r="HU189" s="36"/>
      <c r="HV189" s="36"/>
      <c r="HW189" s="36"/>
      <c r="HX189" s="36"/>
      <c r="HY189" s="36"/>
      <c r="HZ189" s="36"/>
      <c r="IA189" s="36"/>
      <c r="IB189" s="36"/>
      <c r="IC189" s="36"/>
      <c r="ID189" s="36"/>
      <c r="IE189" s="36"/>
      <c r="IF189" s="36"/>
      <c r="IG189" s="36"/>
      <c r="IH189" s="36"/>
      <c r="II189" s="36"/>
      <c r="IJ189" s="36"/>
      <c r="IK189" s="36"/>
      <c r="IL189" s="36"/>
      <c r="IM189" s="36"/>
      <c r="IN189" s="36"/>
      <c r="IO189" s="36"/>
      <c r="IP189" s="36"/>
      <c r="IR189" s="2" t="s">
        <v>543</v>
      </c>
    </row>
    <row r="190" spans="1:252" ht="15.75" customHeight="1" x14ac:dyDescent="0.25">
      <c r="A190" s="36" t="s">
        <v>880</v>
      </c>
      <c r="B190" s="36" t="s">
        <v>881</v>
      </c>
      <c r="C190" s="36"/>
      <c r="D190" s="36">
        <v>30</v>
      </c>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36"/>
      <c r="BN190" s="36"/>
      <c r="BO190" s="36"/>
      <c r="BP190" s="6"/>
      <c r="BQ190" s="6"/>
      <c r="BR190" s="6"/>
      <c r="BS190" s="6"/>
      <c r="BT190" s="6"/>
      <c r="BU190" s="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v>20</v>
      </c>
      <c r="EQ190" s="36"/>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6"/>
      <c r="GB190" s="6"/>
      <c r="GC190" s="36"/>
      <c r="GD190" s="36"/>
      <c r="GE190" s="36"/>
      <c r="GF190" s="36"/>
      <c r="GG190" s="36"/>
      <c r="GH190" s="36"/>
      <c r="GI190" s="36"/>
      <c r="GJ190" s="36"/>
      <c r="GK190" s="36"/>
      <c r="GL190" s="36"/>
      <c r="GM190" s="36"/>
      <c r="GN190" s="36"/>
      <c r="GO190" s="36"/>
      <c r="GP190" s="36"/>
      <c r="GQ190" s="36"/>
      <c r="GR190" s="36"/>
      <c r="GS190" s="36"/>
      <c r="GT190" s="36"/>
      <c r="GU190" s="36"/>
      <c r="GV190" s="6"/>
      <c r="GW190" s="36"/>
      <c r="GX190" s="36"/>
      <c r="GY190" s="36"/>
      <c r="GZ190" s="36"/>
      <c r="HA190" s="36"/>
      <c r="HB190" s="36"/>
      <c r="HC190" s="36"/>
      <c r="HD190" s="36"/>
      <c r="HE190" s="36"/>
      <c r="HF190" s="36"/>
      <c r="HG190" s="36"/>
      <c r="HH190" s="36"/>
      <c r="HI190" s="36"/>
      <c r="HJ190" s="36"/>
      <c r="HK190" s="36"/>
      <c r="HL190" s="36"/>
      <c r="HM190" s="36"/>
      <c r="HN190" s="36"/>
      <c r="HO190" s="36"/>
      <c r="HP190" s="36"/>
      <c r="HQ190" s="36"/>
      <c r="HR190" s="36"/>
      <c r="HS190" s="36"/>
      <c r="HT190" s="36"/>
      <c r="HU190" s="36"/>
      <c r="HV190" s="36"/>
      <c r="HW190" s="36"/>
      <c r="HX190" s="36"/>
      <c r="HY190" s="36"/>
      <c r="HZ190" s="36"/>
      <c r="IA190" s="36"/>
      <c r="IB190" s="36"/>
      <c r="IC190" s="36"/>
      <c r="ID190" s="36"/>
      <c r="IE190" s="36"/>
      <c r="IF190" s="36"/>
      <c r="IG190" s="36"/>
      <c r="IH190" s="36"/>
      <c r="II190" s="36"/>
      <c r="IJ190" s="36"/>
      <c r="IK190" s="36"/>
      <c r="IL190" s="36"/>
      <c r="IM190" s="36"/>
      <c r="IN190" s="36"/>
      <c r="IO190" s="36"/>
      <c r="IP190" s="36"/>
      <c r="IR190" s="2" t="s">
        <v>543</v>
      </c>
    </row>
    <row r="191" spans="1:252" ht="15.75" customHeight="1" x14ac:dyDescent="0.25">
      <c r="A191" s="36" t="s">
        <v>880</v>
      </c>
      <c r="B191" s="36" t="s">
        <v>882</v>
      </c>
      <c r="C191" s="36"/>
      <c r="D191" s="36">
        <v>25</v>
      </c>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36"/>
      <c r="BN191" s="36"/>
      <c r="BO191" s="36"/>
      <c r="BP191" s="6"/>
      <c r="BQ191" s="6"/>
      <c r="BR191" s="6"/>
      <c r="BS191" s="6"/>
      <c r="BT191" s="6"/>
      <c r="BU191" s="6"/>
      <c r="BV191" s="36"/>
      <c r="BW191" s="36"/>
      <c r="BX191" s="36"/>
      <c r="BY191" s="36"/>
      <c r="BZ191" s="36"/>
      <c r="CA191" s="36"/>
      <c r="CB191" s="36"/>
      <c r="CC191" s="36"/>
      <c r="CD191" s="36"/>
      <c r="CE191" s="36"/>
      <c r="CF191" s="36"/>
      <c r="CG191" s="36"/>
      <c r="CH191" s="36"/>
      <c r="CI191" s="36"/>
      <c r="CJ191" s="36"/>
      <c r="CK191" s="36"/>
      <c r="CL191" s="36"/>
      <c r="CM191" s="36"/>
      <c r="CN191" s="36"/>
      <c r="CO191" s="36"/>
      <c r="CP191" s="36"/>
      <c r="CQ191" s="36"/>
      <c r="CR191" s="36"/>
      <c r="CS191" s="36"/>
      <c r="CT191" s="36"/>
      <c r="CU191" s="36"/>
      <c r="CV191" s="36"/>
      <c r="CW191" s="36"/>
      <c r="CX191" s="36"/>
      <c r="CY191" s="36"/>
      <c r="CZ191" s="36"/>
      <c r="DA191" s="36"/>
      <c r="DB191" s="36"/>
      <c r="DC191" s="36"/>
      <c r="DD191" s="36"/>
      <c r="DE191" s="36"/>
      <c r="DF191" s="36"/>
      <c r="DG191" s="36"/>
      <c r="DH191" s="36"/>
      <c r="DI191" s="36"/>
      <c r="DJ191" s="36"/>
      <c r="DK191" s="36"/>
      <c r="DL191" s="36"/>
      <c r="DM191" s="36"/>
      <c r="DN191" s="36"/>
      <c r="DO191" s="36"/>
      <c r="DP191" s="36"/>
      <c r="DQ191" s="36"/>
      <c r="DR191" s="36"/>
      <c r="DS191" s="36"/>
      <c r="DT191" s="36"/>
      <c r="DU191" s="36"/>
      <c r="DV191" s="36"/>
      <c r="DW191" s="36"/>
      <c r="DX191" s="36"/>
      <c r="DY191" s="36"/>
      <c r="DZ191" s="36"/>
      <c r="EA191" s="36"/>
      <c r="EB191" s="36"/>
      <c r="EC191" s="36"/>
      <c r="ED191" s="36"/>
      <c r="EE191" s="36"/>
      <c r="EF191" s="36"/>
      <c r="EG191" s="36"/>
      <c r="EH191" s="36"/>
      <c r="EI191" s="36"/>
      <c r="EJ191" s="36"/>
      <c r="EK191" s="36"/>
      <c r="EL191" s="36"/>
      <c r="EM191" s="36"/>
      <c r="EN191" s="36"/>
      <c r="EO191" s="36"/>
      <c r="EP191" s="36"/>
      <c r="EQ191" s="36"/>
      <c r="ER191" s="36"/>
      <c r="ES191" s="36"/>
      <c r="ET191" s="36"/>
      <c r="EU191" s="36"/>
      <c r="EV191" s="36"/>
      <c r="EW191" s="36"/>
      <c r="EX191" s="36"/>
      <c r="EY191" s="36"/>
      <c r="EZ191" s="36"/>
      <c r="FA191" s="36"/>
      <c r="FB191" s="36"/>
      <c r="FC191" s="36"/>
      <c r="FD191" s="36"/>
      <c r="FE191" s="36"/>
      <c r="FF191" s="36"/>
      <c r="FG191" s="36"/>
      <c r="FH191" s="36"/>
      <c r="FI191" s="36"/>
      <c r="FJ191" s="36"/>
      <c r="FK191" s="36"/>
      <c r="FL191" s="36"/>
      <c r="FM191" s="36"/>
      <c r="FN191" s="36"/>
      <c r="FO191" s="36"/>
      <c r="FP191" s="36"/>
      <c r="FQ191" s="36"/>
      <c r="FR191" s="36"/>
      <c r="FS191" s="36"/>
      <c r="FT191" s="36"/>
      <c r="FU191" s="36"/>
      <c r="FV191" s="36"/>
      <c r="FW191" s="36"/>
      <c r="FX191" s="36"/>
      <c r="FY191" s="36"/>
      <c r="FZ191" s="36"/>
      <c r="GA191" s="6"/>
      <c r="GB191" s="6"/>
      <c r="GC191" s="36"/>
      <c r="GD191" s="36"/>
      <c r="GE191" s="36"/>
      <c r="GF191" s="36"/>
      <c r="GG191" s="36"/>
      <c r="GH191" s="36"/>
      <c r="GI191" s="36"/>
      <c r="GJ191" s="36"/>
      <c r="GK191" s="36"/>
      <c r="GL191" s="36"/>
      <c r="GM191" s="36">
        <v>50</v>
      </c>
      <c r="GN191" s="36"/>
      <c r="GO191" s="36"/>
      <c r="GP191" s="36"/>
      <c r="GQ191" s="36"/>
      <c r="GR191" s="36"/>
      <c r="GS191" s="36"/>
      <c r="GT191" s="36"/>
      <c r="GU191" s="36"/>
      <c r="GV191" s="6"/>
      <c r="GW191" s="36"/>
      <c r="GX191" s="36"/>
      <c r="GY191" s="36"/>
      <c r="GZ191" s="36"/>
      <c r="HA191" s="36"/>
      <c r="HB191" s="36">
        <f>249-7</f>
        <v>242</v>
      </c>
      <c r="HC191" s="36"/>
      <c r="HD191" s="36"/>
      <c r="HE191" s="36"/>
      <c r="HF191" s="36"/>
      <c r="HG191" s="36"/>
      <c r="HH191" s="36"/>
      <c r="HI191" s="36"/>
      <c r="HJ191" s="36"/>
      <c r="HK191" s="36"/>
      <c r="HL191" s="36"/>
      <c r="HM191" s="36"/>
      <c r="HN191" s="36"/>
      <c r="HO191" s="36"/>
      <c r="HP191" s="36"/>
      <c r="HQ191" s="36"/>
      <c r="HR191" s="36"/>
      <c r="HS191" s="36"/>
      <c r="HT191" s="36"/>
      <c r="HU191" s="36"/>
      <c r="HV191" s="36"/>
      <c r="HW191" s="36"/>
      <c r="HX191" s="36"/>
      <c r="HY191" s="36"/>
      <c r="HZ191" s="36"/>
      <c r="IA191" s="36"/>
      <c r="IB191" s="36"/>
      <c r="IC191" s="36"/>
      <c r="ID191" s="36"/>
      <c r="IE191" s="36"/>
      <c r="IF191" s="36"/>
      <c r="IG191" s="36"/>
      <c r="IH191" s="36"/>
      <c r="II191" s="36"/>
      <c r="IJ191" s="36"/>
      <c r="IK191" s="36"/>
      <c r="IL191" s="36"/>
      <c r="IM191" s="36"/>
      <c r="IN191" s="36"/>
      <c r="IO191" s="36"/>
      <c r="IP191" s="36"/>
      <c r="IR191" s="2" t="s">
        <v>543</v>
      </c>
    </row>
    <row r="192" spans="1:252" ht="15.75" customHeight="1" x14ac:dyDescent="0.25">
      <c r="A192" s="36" t="s">
        <v>880</v>
      </c>
      <c r="B192" s="36" t="s">
        <v>883</v>
      </c>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36"/>
      <c r="BN192" s="36"/>
      <c r="BO192" s="36"/>
      <c r="BP192" s="6"/>
      <c r="BQ192" s="6"/>
      <c r="BR192" s="6"/>
      <c r="BS192" s="6"/>
      <c r="BT192" s="6"/>
      <c r="BU192" s="6"/>
      <c r="BV192" s="36"/>
      <c r="BW192" s="36"/>
      <c r="BX192" s="36"/>
      <c r="BY192" s="36"/>
      <c r="BZ192" s="36"/>
      <c r="CA192" s="36"/>
      <c r="CB192" s="36"/>
      <c r="CC192" s="36"/>
      <c r="CD192" s="36"/>
      <c r="CE192" s="36"/>
      <c r="CF192" s="36"/>
      <c r="CG192" s="36"/>
      <c r="CH192" s="36"/>
      <c r="CI192" s="36"/>
      <c r="CJ192" s="36"/>
      <c r="CK192" s="36"/>
      <c r="CL192" s="36"/>
      <c r="CM192" s="36"/>
      <c r="CN192" s="36"/>
      <c r="CO192" s="36"/>
      <c r="CP192" s="36"/>
      <c r="CQ192" s="36"/>
      <c r="CR192" s="36"/>
      <c r="CS192" s="36"/>
      <c r="CT192" s="36"/>
      <c r="CU192" s="36"/>
      <c r="CV192" s="36"/>
      <c r="CW192" s="36"/>
      <c r="CX192" s="36"/>
      <c r="CY192" s="36"/>
      <c r="CZ192" s="36"/>
      <c r="DA192" s="36"/>
      <c r="DB192" s="36"/>
      <c r="DC192" s="36"/>
      <c r="DD192" s="36"/>
      <c r="DE192" s="36"/>
      <c r="DF192" s="36"/>
      <c r="DG192" s="36">
        <v>6</v>
      </c>
      <c r="DH192" s="36"/>
      <c r="DI192" s="36"/>
      <c r="DJ192" s="36"/>
      <c r="DK192" s="36"/>
      <c r="DL192" s="36"/>
      <c r="DM192" s="36"/>
      <c r="DN192" s="36"/>
      <c r="DO192" s="36"/>
      <c r="DP192" s="36"/>
      <c r="DQ192" s="36"/>
      <c r="DR192" s="36"/>
      <c r="DS192" s="36"/>
      <c r="DT192" s="36"/>
      <c r="DU192" s="36"/>
      <c r="DV192" s="36"/>
      <c r="DW192" s="36"/>
      <c r="DX192" s="36"/>
      <c r="DY192" s="36"/>
      <c r="DZ192" s="36"/>
      <c r="EA192" s="36"/>
      <c r="EB192" s="36"/>
      <c r="EC192" s="36"/>
      <c r="ED192" s="36"/>
      <c r="EE192" s="36"/>
      <c r="EF192" s="36"/>
      <c r="EG192" s="36"/>
      <c r="EH192" s="36"/>
      <c r="EI192" s="36"/>
      <c r="EJ192" s="36"/>
      <c r="EK192" s="36"/>
      <c r="EL192" s="36"/>
      <c r="EM192" s="36"/>
      <c r="EN192" s="36"/>
      <c r="EO192" s="36"/>
      <c r="EP192" s="36"/>
      <c r="EQ192" s="36"/>
      <c r="ER192" s="36"/>
      <c r="ES192" s="36"/>
      <c r="ET192" s="36"/>
      <c r="EU192" s="36"/>
      <c r="EV192" s="36"/>
      <c r="EW192" s="36"/>
      <c r="EX192" s="36"/>
      <c r="EY192" s="36"/>
      <c r="EZ192" s="36"/>
      <c r="FA192" s="36"/>
      <c r="FB192" s="36"/>
      <c r="FC192" s="36"/>
      <c r="FD192" s="36"/>
      <c r="FE192" s="36"/>
      <c r="FF192" s="36"/>
      <c r="FG192" s="36"/>
      <c r="FH192" s="36"/>
      <c r="FI192" s="36"/>
      <c r="FJ192" s="36"/>
      <c r="FK192" s="36"/>
      <c r="FL192" s="36"/>
      <c r="FM192" s="36"/>
      <c r="FN192" s="36"/>
      <c r="FO192" s="36"/>
      <c r="FP192" s="36"/>
      <c r="FQ192" s="36"/>
      <c r="FR192" s="36"/>
      <c r="FS192" s="36"/>
      <c r="FT192" s="36"/>
      <c r="FU192" s="36"/>
      <c r="FV192" s="36"/>
      <c r="FW192" s="36"/>
      <c r="FX192" s="36"/>
      <c r="FY192" s="36"/>
      <c r="FZ192" s="36"/>
      <c r="GA192" s="6"/>
      <c r="GB192" s="6"/>
      <c r="GC192" s="36"/>
      <c r="GD192" s="36"/>
      <c r="GE192" s="36"/>
      <c r="GF192" s="36"/>
      <c r="GG192" s="36"/>
      <c r="GH192" s="36"/>
      <c r="GI192" s="36"/>
      <c r="GJ192" s="36"/>
      <c r="GK192" s="36"/>
      <c r="GL192" s="36"/>
      <c r="GM192" s="36"/>
      <c r="GN192" s="36"/>
      <c r="GO192" s="36"/>
      <c r="GP192" s="36"/>
      <c r="GQ192" s="36"/>
      <c r="GR192" s="36"/>
      <c r="GS192" s="36"/>
      <c r="GT192" s="36"/>
      <c r="GU192" s="36"/>
      <c r="GV192" s="6"/>
      <c r="GW192" s="36"/>
      <c r="GX192" s="36"/>
      <c r="GY192" s="36"/>
      <c r="GZ192" s="36"/>
      <c r="HA192" s="36"/>
      <c r="HB192" s="36"/>
      <c r="HC192" s="36"/>
      <c r="HD192" s="36"/>
      <c r="HE192" s="36"/>
      <c r="HF192" s="36"/>
      <c r="HG192" s="36"/>
      <c r="HH192" s="36"/>
      <c r="HI192" s="36"/>
      <c r="HJ192" s="36"/>
      <c r="HK192" s="36"/>
      <c r="HL192" s="36"/>
      <c r="HM192" s="36"/>
      <c r="HN192" s="36"/>
      <c r="HO192" s="36"/>
      <c r="HP192" s="36"/>
      <c r="HQ192" s="36"/>
      <c r="HR192" s="36"/>
      <c r="HS192" s="36"/>
      <c r="HT192" s="36"/>
      <c r="HU192" s="36"/>
      <c r="HV192" s="36"/>
      <c r="HW192" s="36"/>
      <c r="HX192" s="36"/>
      <c r="HY192" s="36"/>
      <c r="HZ192" s="36"/>
      <c r="IA192" s="36"/>
      <c r="IB192" s="36"/>
      <c r="IC192" s="36"/>
      <c r="ID192" s="36"/>
      <c r="IE192" s="36"/>
      <c r="IF192" s="36"/>
      <c r="IG192" s="36"/>
      <c r="IH192" s="36"/>
      <c r="II192" s="36"/>
      <c r="IJ192" s="36"/>
      <c r="IK192" s="36"/>
      <c r="IL192" s="36"/>
      <c r="IM192" s="36"/>
      <c r="IN192" s="36"/>
      <c r="IO192" s="36"/>
      <c r="IP192" s="36"/>
      <c r="IR192" s="2" t="s">
        <v>543</v>
      </c>
    </row>
    <row r="193" spans="1:252" ht="15.75" customHeight="1" x14ac:dyDescent="0.25">
      <c r="A193" s="36" t="s">
        <v>884</v>
      </c>
      <c r="B193" s="36" t="s">
        <v>885</v>
      </c>
      <c r="C193" s="36"/>
      <c r="D193" s="36"/>
      <c r="E193" s="36"/>
      <c r="F193" s="36"/>
      <c r="G193" s="36"/>
      <c r="H193" s="36"/>
      <c r="I193" s="36"/>
      <c r="J193" s="36"/>
      <c r="K193" s="80">
        <v>5</v>
      </c>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36"/>
      <c r="BN193" s="36"/>
      <c r="BO193" s="36"/>
      <c r="BP193" s="6"/>
      <c r="BQ193" s="6"/>
      <c r="BR193" s="6"/>
      <c r="BS193" s="6"/>
      <c r="BT193" s="6"/>
      <c r="BU193" s="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6"/>
      <c r="GB193" s="6"/>
      <c r="GC193" s="36"/>
      <c r="GD193" s="36"/>
      <c r="GE193" s="36"/>
      <c r="GF193" s="36"/>
      <c r="GG193" s="36"/>
      <c r="GH193" s="36"/>
      <c r="GI193" s="36"/>
      <c r="GJ193" s="36"/>
      <c r="GK193" s="36"/>
      <c r="GL193" s="36"/>
      <c r="GM193" s="36"/>
      <c r="GN193" s="36"/>
      <c r="GO193" s="36"/>
      <c r="GP193" s="36"/>
      <c r="GQ193" s="36"/>
      <c r="GR193" s="36"/>
      <c r="GS193" s="36"/>
      <c r="GT193" s="36"/>
      <c r="GU193" s="36"/>
      <c r="GV193" s="6"/>
      <c r="GW193" s="36"/>
      <c r="GX193" s="36"/>
      <c r="GY193" s="36"/>
      <c r="GZ193" s="36"/>
      <c r="HA193" s="36"/>
      <c r="HB193" s="36"/>
      <c r="HC193" s="36"/>
      <c r="HD193" s="36"/>
      <c r="HE193" s="36"/>
      <c r="HF193" s="36"/>
      <c r="HG193" s="36"/>
      <c r="HH193" s="36"/>
      <c r="HI193" s="36"/>
      <c r="HJ193" s="36"/>
      <c r="HK193" s="36"/>
      <c r="HL193" s="36"/>
      <c r="HM193" s="36"/>
      <c r="HN193" s="36"/>
      <c r="HO193" s="36"/>
      <c r="HP193" s="36"/>
      <c r="HQ193" s="36"/>
      <c r="HR193" s="36"/>
      <c r="HS193" s="36"/>
      <c r="HT193" s="36"/>
      <c r="HU193" s="36"/>
      <c r="HV193" s="36"/>
      <c r="HW193" s="36"/>
      <c r="HX193" s="36"/>
      <c r="HY193" s="36"/>
      <c r="HZ193" s="36"/>
      <c r="IA193" s="36"/>
      <c r="IB193" s="36"/>
      <c r="IC193" s="36"/>
      <c r="ID193" s="36"/>
      <c r="IE193" s="36"/>
      <c r="IF193" s="36"/>
      <c r="IG193" s="36"/>
      <c r="IH193" s="36"/>
      <c r="II193" s="36"/>
      <c r="IJ193" s="36"/>
      <c r="IK193" s="36"/>
      <c r="IL193" s="36"/>
      <c r="IM193" s="36"/>
      <c r="IN193" s="36"/>
      <c r="IO193" s="36"/>
      <c r="IP193" s="36"/>
      <c r="IR193" s="2" t="s">
        <v>543</v>
      </c>
    </row>
    <row r="194" spans="1:252" ht="15.75" customHeight="1" x14ac:dyDescent="0.25">
      <c r="A194" s="286" t="s">
        <v>886</v>
      </c>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36"/>
      <c r="BN194" s="36"/>
      <c r="BO194" s="36"/>
      <c r="BP194" s="6"/>
      <c r="BQ194" s="6"/>
      <c r="BR194" s="6"/>
      <c r="BS194" s="6"/>
      <c r="BT194" s="6"/>
      <c r="BU194" s="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6"/>
      <c r="GB194" s="6"/>
      <c r="GC194" s="36"/>
      <c r="GD194" s="36"/>
      <c r="GE194" s="36"/>
      <c r="GF194" s="36"/>
      <c r="GG194" s="36"/>
      <c r="GH194" s="36"/>
      <c r="GI194" s="36"/>
      <c r="GJ194" s="36"/>
      <c r="GK194" s="36"/>
      <c r="GL194" s="36"/>
      <c r="GM194" s="36"/>
      <c r="GN194" s="36"/>
      <c r="GO194" s="36"/>
      <c r="GP194" s="36"/>
      <c r="GQ194" s="36"/>
      <c r="GR194" s="36"/>
      <c r="GS194" s="36"/>
      <c r="GT194" s="36"/>
      <c r="GU194" s="36"/>
      <c r="GV194" s="6"/>
      <c r="GW194" s="36"/>
      <c r="GX194" s="36"/>
      <c r="GY194" s="36"/>
      <c r="GZ194" s="36"/>
      <c r="HA194" s="36"/>
      <c r="HB194" s="36"/>
      <c r="HC194" s="36"/>
      <c r="HD194" s="36"/>
      <c r="HE194" s="36"/>
      <c r="HF194" s="36"/>
      <c r="HG194" s="36"/>
      <c r="HH194" s="36"/>
      <c r="HI194" s="36"/>
      <c r="HJ194" s="36"/>
      <c r="HK194" s="36"/>
      <c r="HL194" s="36"/>
      <c r="HM194" s="36"/>
      <c r="HN194" s="36"/>
      <c r="HO194" s="36"/>
      <c r="HP194" s="36"/>
      <c r="HQ194" s="36"/>
      <c r="HR194" s="36"/>
      <c r="HS194" s="36"/>
      <c r="HT194" s="36"/>
      <c r="HU194" s="36"/>
      <c r="HV194" s="36"/>
      <c r="HW194" s="36"/>
      <c r="HX194" s="36"/>
      <c r="HY194" s="36"/>
      <c r="HZ194" s="36"/>
      <c r="IA194" s="36"/>
      <c r="IB194" s="36"/>
      <c r="IC194" s="36"/>
      <c r="ID194" s="36"/>
      <c r="IE194" s="36"/>
      <c r="IF194" s="36"/>
      <c r="IG194" s="36"/>
      <c r="IH194" s="36"/>
      <c r="II194" s="36"/>
      <c r="IJ194" s="36"/>
      <c r="IK194" s="36"/>
      <c r="IL194" s="36"/>
      <c r="IM194" s="36"/>
      <c r="IN194" s="36"/>
      <c r="IO194" s="36"/>
      <c r="IP194" s="36"/>
      <c r="IR194" s="2" t="s">
        <v>682</v>
      </c>
    </row>
    <row r="195" spans="1:252" ht="15.75" customHeight="1" x14ac:dyDescent="0.25">
      <c r="A195" s="286" t="s">
        <v>888</v>
      </c>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36"/>
      <c r="BN195" s="36"/>
      <c r="BO195" s="36"/>
      <c r="BP195" s="6"/>
      <c r="BQ195" s="6"/>
      <c r="BR195" s="6"/>
      <c r="BS195" s="6"/>
      <c r="BT195" s="6"/>
      <c r="BU195" s="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6"/>
      <c r="GB195" s="6"/>
      <c r="GC195" s="36"/>
      <c r="GD195" s="36"/>
      <c r="GE195" s="36"/>
      <c r="GF195" s="36"/>
      <c r="GG195" s="36"/>
      <c r="GH195" s="36"/>
      <c r="GI195" s="36"/>
      <c r="GJ195" s="36"/>
      <c r="GK195" s="36"/>
      <c r="GL195" s="36"/>
      <c r="GM195" s="36"/>
      <c r="GN195" s="36"/>
      <c r="GO195" s="36"/>
      <c r="GP195" s="36"/>
      <c r="GQ195" s="36"/>
      <c r="GR195" s="36"/>
      <c r="GS195" s="36"/>
      <c r="GT195" s="36"/>
      <c r="GU195" s="36"/>
      <c r="GV195" s="6"/>
      <c r="GW195" s="36"/>
      <c r="GX195" s="36"/>
      <c r="GY195" s="36"/>
      <c r="GZ195" s="36"/>
      <c r="HA195" s="36"/>
      <c r="HB195" s="36"/>
      <c r="HC195" s="36"/>
      <c r="HD195" s="36"/>
      <c r="HE195" s="36"/>
      <c r="HF195" s="36"/>
      <c r="HG195" s="36"/>
      <c r="HH195" s="36"/>
      <c r="HI195" s="36"/>
      <c r="HJ195" s="36"/>
      <c r="HK195" s="36"/>
      <c r="HL195" s="36"/>
      <c r="HM195" s="36"/>
      <c r="HN195" s="36"/>
      <c r="HO195" s="36"/>
      <c r="HP195" s="36"/>
      <c r="HQ195" s="36"/>
      <c r="HR195" s="36"/>
      <c r="HS195" s="36"/>
      <c r="HT195" s="36"/>
      <c r="HU195" s="36"/>
      <c r="HV195" s="36"/>
      <c r="HW195" s="36"/>
      <c r="HX195" s="36"/>
      <c r="HY195" s="36"/>
      <c r="HZ195" s="36"/>
      <c r="IA195" s="36"/>
      <c r="IB195" s="36"/>
      <c r="IC195" s="36"/>
      <c r="ID195" s="36"/>
      <c r="IE195" s="36"/>
      <c r="IF195" s="36"/>
      <c r="IG195" s="36"/>
      <c r="IH195" s="36"/>
      <c r="II195" s="36"/>
      <c r="IJ195" s="36"/>
      <c r="IK195" s="36"/>
      <c r="IL195" s="36"/>
      <c r="IM195" s="36"/>
      <c r="IN195" s="36"/>
      <c r="IO195" s="36"/>
      <c r="IP195" s="36"/>
      <c r="IR195" s="2" t="s">
        <v>682</v>
      </c>
    </row>
    <row r="196" spans="1:252" ht="15.75" customHeight="1" x14ac:dyDescent="0.25">
      <c r="A196" s="36" t="s">
        <v>884</v>
      </c>
      <c r="B196" s="36" t="s">
        <v>889</v>
      </c>
      <c r="C196" s="36"/>
      <c r="D196" s="36"/>
      <c r="E196" s="36"/>
      <c r="F196" s="36"/>
      <c r="G196" s="36"/>
      <c r="H196" s="36"/>
      <c r="I196" s="36"/>
      <c r="J196" s="212">
        <v>10</v>
      </c>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36"/>
      <c r="BN196" s="36"/>
      <c r="BO196" s="36"/>
      <c r="BP196" s="6"/>
      <c r="BQ196" s="6"/>
      <c r="BR196" s="6"/>
      <c r="BS196" s="6"/>
      <c r="BT196" s="6"/>
      <c r="BU196" s="6"/>
      <c r="BV196" s="36"/>
      <c r="BW196" s="36"/>
      <c r="BX196" s="36"/>
      <c r="BY196" s="36"/>
      <c r="BZ196" s="36"/>
      <c r="CA196" s="36"/>
      <c r="CB196" s="36"/>
      <c r="CC196" s="36"/>
      <c r="CD196" s="36"/>
      <c r="CE196" s="36"/>
      <c r="CF196" s="36"/>
      <c r="CG196" s="36"/>
      <c r="CH196" s="36"/>
      <c r="CI196" s="36"/>
      <c r="CJ196" s="36">
        <v>10</v>
      </c>
      <c r="CK196" s="36"/>
      <c r="CL196" s="36">
        <v>5</v>
      </c>
      <c r="CM196" s="36"/>
      <c r="CN196" s="36"/>
      <c r="CO196" s="36">
        <v>6</v>
      </c>
      <c r="CP196" s="36"/>
      <c r="CQ196" s="36"/>
      <c r="CR196" s="36">
        <v>6</v>
      </c>
      <c r="CS196" s="36"/>
      <c r="CT196" s="36"/>
      <c r="CU196" s="36"/>
      <c r="CV196" s="36"/>
      <c r="CW196" s="36"/>
      <c r="CX196" s="36"/>
      <c r="CY196" s="36"/>
      <c r="CZ196" s="36"/>
      <c r="DA196" s="36"/>
      <c r="DB196" s="36"/>
      <c r="DC196" s="36"/>
      <c r="DD196" s="36"/>
      <c r="DE196" s="36"/>
      <c r="DF196" s="36"/>
      <c r="DG196" s="36">
        <v>12</v>
      </c>
      <c r="DH196" s="36"/>
      <c r="DI196" s="36"/>
      <c r="DJ196" s="36">
        <v>6</v>
      </c>
      <c r="DK196" s="36"/>
      <c r="DL196" s="36"/>
      <c r="DM196" s="36"/>
      <c r="DN196" s="36"/>
      <c r="DO196" s="36"/>
      <c r="DP196" s="36"/>
      <c r="DQ196" s="36"/>
      <c r="DR196" s="36">
        <v>12</v>
      </c>
      <c r="DS196" s="36"/>
      <c r="DT196" s="36"/>
      <c r="DU196" s="36"/>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v>20</v>
      </c>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6"/>
      <c r="GB196" s="6">
        <v>100</v>
      </c>
      <c r="GC196" s="36"/>
      <c r="GD196" s="36"/>
      <c r="GE196" s="36"/>
      <c r="GF196" s="36"/>
      <c r="GG196" s="36"/>
      <c r="GH196" s="36"/>
      <c r="GI196" s="36"/>
      <c r="GJ196" s="36"/>
      <c r="GK196" s="36"/>
      <c r="GL196" s="36"/>
      <c r="GM196" s="36">
        <v>50</v>
      </c>
      <c r="GN196" s="36"/>
      <c r="GO196" s="36"/>
      <c r="GP196" s="36"/>
      <c r="GQ196" s="36"/>
      <c r="GR196" s="36"/>
      <c r="GS196" s="36"/>
      <c r="GT196" s="36"/>
      <c r="GU196" s="36"/>
      <c r="GV196" s="6"/>
      <c r="GW196" s="36"/>
      <c r="GX196" s="36"/>
      <c r="GY196" s="36"/>
      <c r="GZ196" s="36"/>
      <c r="HA196" s="36"/>
      <c r="HB196" s="36"/>
      <c r="HC196" s="36"/>
      <c r="HD196" s="36"/>
      <c r="HE196" s="36"/>
      <c r="HF196" s="36"/>
      <c r="HG196" s="36"/>
      <c r="HH196" s="36"/>
      <c r="HI196" s="36"/>
      <c r="HJ196" s="36"/>
      <c r="HK196" s="36"/>
      <c r="HL196" s="36"/>
      <c r="HM196" s="36"/>
      <c r="HN196" s="36"/>
      <c r="HO196" s="36"/>
      <c r="HP196" s="36"/>
      <c r="HQ196" s="36"/>
      <c r="HR196" s="36"/>
      <c r="HS196" s="36"/>
      <c r="HT196" s="36"/>
      <c r="HU196" s="36"/>
      <c r="HV196" s="36"/>
      <c r="HW196" s="36"/>
      <c r="HX196" s="36"/>
      <c r="HY196" s="36"/>
      <c r="HZ196" s="36"/>
      <c r="IA196" s="36"/>
      <c r="IB196" s="36"/>
      <c r="IC196" s="36"/>
      <c r="ID196" s="36"/>
      <c r="IE196" s="36"/>
      <c r="IF196" s="36"/>
      <c r="IG196" s="36"/>
      <c r="IH196" s="36"/>
      <c r="II196" s="36"/>
      <c r="IJ196" s="36"/>
      <c r="IK196" s="36"/>
      <c r="IL196" s="36"/>
      <c r="IM196" s="36"/>
      <c r="IN196" s="36"/>
      <c r="IO196" s="36"/>
      <c r="IP196" s="36"/>
      <c r="IR196" s="2" t="s">
        <v>543</v>
      </c>
    </row>
    <row r="197" spans="1:252" ht="15.75" customHeight="1" x14ac:dyDescent="0.25">
      <c r="A197" s="36" t="s">
        <v>884</v>
      </c>
      <c r="B197" s="36" t="s">
        <v>892</v>
      </c>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36"/>
      <c r="BN197" s="36"/>
      <c r="BO197" s="36"/>
      <c r="BP197" s="6"/>
      <c r="BQ197" s="6"/>
      <c r="BR197" s="6"/>
      <c r="BS197" s="6"/>
      <c r="BT197" s="6"/>
      <c r="BU197" s="6"/>
      <c r="BV197" s="36"/>
      <c r="BW197" s="36"/>
      <c r="BX197" s="36"/>
      <c r="BY197" s="36"/>
      <c r="BZ197" s="36"/>
      <c r="CA197" s="36"/>
      <c r="CB197" s="36"/>
      <c r="CC197" s="36"/>
      <c r="CD197" s="36"/>
      <c r="CE197" s="36"/>
      <c r="CF197" s="36"/>
      <c r="CG197" s="36"/>
      <c r="CH197" s="36"/>
      <c r="CI197" s="36"/>
      <c r="CJ197" s="36"/>
      <c r="CK197" s="36"/>
      <c r="CL197" s="36"/>
      <c r="CM197" s="36">
        <v>15</v>
      </c>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6"/>
      <c r="GB197" s="6"/>
      <c r="GC197" s="36"/>
      <c r="GD197" s="36"/>
      <c r="GE197" s="36"/>
      <c r="GF197" s="36"/>
      <c r="GG197" s="36"/>
      <c r="GH197" s="36"/>
      <c r="GI197" s="36"/>
      <c r="GJ197" s="36"/>
      <c r="GK197" s="36"/>
      <c r="GL197" s="36"/>
      <c r="GM197" s="36"/>
      <c r="GN197" s="36"/>
      <c r="GO197" s="36"/>
      <c r="GP197" s="36"/>
      <c r="GQ197" s="36"/>
      <c r="GR197" s="36"/>
      <c r="GS197" s="36"/>
      <c r="GT197" s="36"/>
      <c r="GU197" s="36"/>
      <c r="GV197" s="6"/>
      <c r="GW197" s="36"/>
      <c r="GX197" s="36"/>
      <c r="GY197" s="36"/>
      <c r="GZ197" s="36"/>
      <c r="HA197" s="36"/>
      <c r="HB197" s="36"/>
      <c r="HC197" s="36"/>
      <c r="HD197" s="36"/>
      <c r="HE197" s="36"/>
      <c r="HF197" s="36"/>
      <c r="HG197" s="36"/>
      <c r="HH197" s="36"/>
      <c r="HI197" s="36"/>
      <c r="HJ197" s="36"/>
      <c r="HK197" s="36"/>
      <c r="HL197" s="36"/>
      <c r="HM197" s="36"/>
      <c r="HN197" s="36"/>
      <c r="HO197" s="36"/>
      <c r="HP197" s="36"/>
      <c r="HQ197" s="36"/>
      <c r="HR197" s="36"/>
      <c r="HS197" s="36"/>
      <c r="HT197" s="36"/>
      <c r="HU197" s="36"/>
      <c r="HV197" s="36"/>
      <c r="HW197" s="36"/>
      <c r="HX197" s="36"/>
      <c r="HY197" s="36"/>
      <c r="HZ197" s="36"/>
      <c r="IA197" s="36"/>
      <c r="IB197" s="36"/>
      <c r="IC197" s="36"/>
      <c r="ID197" s="36"/>
      <c r="IE197" s="36"/>
      <c r="IF197" s="36"/>
      <c r="IG197" s="36"/>
      <c r="IH197" s="36"/>
      <c r="II197" s="36"/>
      <c r="IJ197" s="36"/>
      <c r="IK197" s="36"/>
      <c r="IL197" s="36"/>
      <c r="IM197" s="36"/>
      <c r="IN197" s="36"/>
      <c r="IO197" s="36"/>
      <c r="IP197" s="36"/>
      <c r="IR197" s="2" t="s">
        <v>543</v>
      </c>
    </row>
    <row r="198" spans="1:252" ht="15.75" customHeight="1" x14ac:dyDescent="0.25">
      <c r="A198" s="36" t="s">
        <v>894</v>
      </c>
      <c r="B198" s="36" t="s">
        <v>895</v>
      </c>
      <c r="C198" s="36"/>
      <c r="D198" s="36"/>
      <c r="E198" s="36"/>
      <c r="F198" s="80">
        <v>65</v>
      </c>
      <c r="G198" s="36"/>
      <c r="H198" s="36">
        <v>20</v>
      </c>
      <c r="I198" s="36"/>
      <c r="J198" s="36"/>
      <c r="K198" s="36"/>
      <c r="L198" s="36"/>
      <c r="M198" s="36"/>
      <c r="N198" s="36"/>
      <c r="O198" s="36">
        <v>10</v>
      </c>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c r="BJ198" s="36"/>
      <c r="BK198" s="36"/>
      <c r="BL198" s="36"/>
      <c r="BM198" s="36"/>
      <c r="BN198" s="36"/>
      <c r="BO198" s="36"/>
      <c r="BP198" s="6"/>
      <c r="BQ198" s="6">
        <v>30</v>
      </c>
      <c r="BR198" s="6">
        <v>50</v>
      </c>
      <c r="BS198" s="6"/>
      <c r="BT198" s="6"/>
      <c r="BU198" s="6"/>
      <c r="BV198" s="36"/>
      <c r="BW198" s="36"/>
      <c r="BX198" s="36"/>
      <c r="BY198" s="36"/>
      <c r="BZ198" s="36"/>
      <c r="CA198" s="36">
        <v>50</v>
      </c>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v>150</v>
      </c>
      <c r="FT198" s="36"/>
      <c r="FU198" s="36"/>
      <c r="FV198" s="36"/>
      <c r="FW198" s="36"/>
      <c r="FX198" s="36"/>
      <c r="FY198" s="36"/>
      <c r="FZ198" s="36"/>
      <c r="GA198" s="6"/>
      <c r="GB198" s="6"/>
      <c r="GC198" s="36">
        <v>600</v>
      </c>
      <c r="GD198" s="36"/>
      <c r="GE198" s="36"/>
      <c r="GF198" s="36">
        <v>75</v>
      </c>
      <c r="GG198" s="36"/>
      <c r="GH198" s="36"/>
      <c r="GI198" s="36"/>
      <c r="GJ198" s="36"/>
      <c r="GK198" s="36"/>
      <c r="GL198" s="36"/>
      <c r="GM198" s="36"/>
      <c r="GN198" s="36">
        <v>100</v>
      </c>
      <c r="GO198" s="36">
        <v>100</v>
      </c>
      <c r="GP198" s="36"/>
      <c r="GQ198" s="36"/>
      <c r="GR198" s="36"/>
      <c r="GS198" s="36"/>
      <c r="GT198" s="36"/>
      <c r="GU198" s="36"/>
      <c r="GV198" s="6"/>
      <c r="GW198" s="36"/>
      <c r="GX198" s="36"/>
      <c r="GY198" s="36"/>
      <c r="GZ198" s="36"/>
      <c r="HA198" s="36"/>
      <c r="HB198" s="36"/>
      <c r="HC198" s="36"/>
      <c r="HD198" s="36"/>
      <c r="HE198" s="36"/>
      <c r="HF198" s="36">
        <v>300</v>
      </c>
      <c r="HG198" s="36">
        <v>100</v>
      </c>
      <c r="HH198" s="36"/>
      <c r="HI198" s="36"/>
      <c r="HJ198" s="36"/>
      <c r="HK198" s="36"/>
      <c r="HL198" s="36"/>
      <c r="HM198" s="36"/>
      <c r="HN198" s="36">
        <v>200</v>
      </c>
      <c r="HO198" s="36"/>
      <c r="HP198" s="36"/>
      <c r="HQ198" s="36"/>
      <c r="HR198" s="36"/>
      <c r="HS198" s="36"/>
      <c r="HT198" s="36"/>
      <c r="HU198" s="36"/>
      <c r="HV198" s="36"/>
      <c r="HW198" s="36"/>
      <c r="HX198" s="36"/>
      <c r="HY198" s="36"/>
      <c r="HZ198" s="36"/>
      <c r="IA198" s="36"/>
      <c r="IB198" s="36"/>
      <c r="IC198" s="36"/>
      <c r="ID198" s="36"/>
      <c r="IE198" s="36"/>
      <c r="IF198" s="36"/>
      <c r="IG198" s="36"/>
      <c r="IH198" s="36"/>
      <c r="II198" s="36"/>
      <c r="IJ198" s="36"/>
      <c r="IK198" s="36"/>
      <c r="IL198" s="36"/>
      <c r="IM198" s="36"/>
      <c r="IN198" s="36"/>
      <c r="IO198" s="36"/>
      <c r="IP198" s="36"/>
      <c r="IR198" s="2" t="s">
        <v>543</v>
      </c>
    </row>
    <row r="199" spans="1:252" ht="15.75" customHeight="1" x14ac:dyDescent="0.25">
      <c r="A199" s="36" t="s">
        <v>894</v>
      </c>
      <c r="B199" s="36" t="s">
        <v>896</v>
      </c>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c r="BJ199" s="36"/>
      <c r="BK199" s="36"/>
      <c r="BL199" s="36"/>
      <c r="BM199" s="36"/>
      <c r="BN199" s="36"/>
      <c r="BO199" s="36"/>
      <c r="BP199" s="6">
        <v>100</v>
      </c>
      <c r="BQ199" s="6"/>
      <c r="BR199" s="6"/>
      <c r="BS199" s="6"/>
      <c r="BT199" s="6"/>
      <c r="BU199" s="6"/>
      <c r="BV199" s="36"/>
      <c r="BW199" s="36"/>
      <c r="BX199" s="36"/>
      <c r="BY199" s="36"/>
      <c r="BZ199" s="36"/>
      <c r="CA199" s="36">
        <v>50</v>
      </c>
      <c r="CB199" s="36">
        <v>50</v>
      </c>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v>100</v>
      </c>
      <c r="FT199" s="36"/>
      <c r="FU199" s="36"/>
      <c r="FV199" s="36"/>
      <c r="FW199" s="36"/>
      <c r="FX199" s="36"/>
      <c r="FY199" s="36"/>
      <c r="FZ199" s="36"/>
      <c r="GA199" s="6"/>
      <c r="GB199" s="6"/>
      <c r="GC199" s="36">
        <v>400</v>
      </c>
      <c r="GD199" s="36"/>
      <c r="GE199" s="36"/>
      <c r="GF199" s="36"/>
      <c r="GG199" s="36"/>
      <c r="GH199" s="36"/>
      <c r="GI199" s="36"/>
      <c r="GJ199" s="36"/>
      <c r="GK199" s="36"/>
      <c r="GL199" s="36"/>
      <c r="GM199" s="36"/>
      <c r="GN199" s="36">
        <v>200</v>
      </c>
      <c r="GO199" s="36"/>
      <c r="GP199" s="36"/>
      <c r="GQ199" s="36"/>
      <c r="GR199" s="36"/>
      <c r="GS199" s="36"/>
      <c r="GT199" s="36"/>
      <c r="GU199" s="36"/>
      <c r="GV199" s="6"/>
      <c r="GW199" s="36"/>
      <c r="GX199" s="36"/>
      <c r="GY199" s="36"/>
      <c r="GZ199" s="36"/>
      <c r="HA199" s="36"/>
      <c r="HB199" s="36"/>
      <c r="HC199" s="36"/>
      <c r="HD199" s="36"/>
      <c r="HE199" s="36"/>
      <c r="HF199" s="36"/>
      <c r="HG199" s="36"/>
      <c r="HH199" s="36"/>
      <c r="HI199" s="36"/>
      <c r="HJ199" s="36"/>
      <c r="HK199" s="36"/>
      <c r="HL199" s="36"/>
      <c r="HM199" s="36"/>
      <c r="HN199" s="36"/>
      <c r="HO199" s="36"/>
      <c r="HP199" s="36"/>
      <c r="HQ199" s="36"/>
      <c r="HR199" s="36"/>
      <c r="HS199" s="36"/>
      <c r="HT199" s="36"/>
      <c r="HU199" s="36"/>
      <c r="HV199" s="36"/>
      <c r="HW199" s="36"/>
      <c r="HX199" s="36"/>
      <c r="HY199" s="36"/>
      <c r="HZ199" s="36"/>
      <c r="IA199" s="36"/>
      <c r="IB199" s="36"/>
      <c r="IC199" s="36"/>
      <c r="ID199" s="36"/>
      <c r="IE199" s="36"/>
      <c r="IF199" s="36"/>
      <c r="IG199" s="36"/>
      <c r="IH199" s="36"/>
      <c r="II199" s="36"/>
      <c r="IJ199" s="36"/>
      <c r="IK199" s="36"/>
      <c r="IL199" s="36"/>
      <c r="IM199" s="36"/>
      <c r="IN199" s="36"/>
      <c r="IO199" s="36"/>
      <c r="IP199" s="36"/>
      <c r="IR199" s="2" t="s">
        <v>543</v>
      </c>
    </row>
    <row r="200" spans="1:252" ht="15.75" customHeight="1" x14ac:dyDescent="0.25">
      <c r="A200" s="36" t="s">
        <v>894</v>
      </c>
      <c r="B200" s="36" t="s">
        <v>898</v>
      </c>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c r="BJ200" s="36"/>
      <c r="BK200" s="36"/>
      <c r="BL200" s="36"/>
      <c r="BM200" s="36"/>
      <c r="BN200" s="36"/>
      <c r="BO200" s="36"/>
      <c r="BP200" s="6"/>
      <c r="BQ200" s="6"/>
      <c r="BR200" s="6"/>
      <c r="BS200" s="6"/>
      <c r="BT200" s="6"/>
      <c r="BU200" s="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v>100</v>
      </c>
      <c r="FT200" s="36"/>
      <c r="FU200" s="36"/>
      <c r="FV200" s="36"/>
      <c r="FW200" s="36"/>
      <c r="FX200" s="36"/>
      <c r="FY200" s="36"/>
      <c r="FZ200" s="36"/>
      <c r="GA200" s="6"/>
      <c r="GB200" s="6"/>
      <c r="GC200" s="36">
        <v>200</v>
      </c>
      <c r="GD200" s="36"/>
      <c r="GE200" s="36"/>
      <c r="GF200" s="36"/>
      <c r="GG200" s="36"/>
      <c r="GH200" s="36"/>
      <c r="GI200" s="36"/>
      <c r="GJ200" s="36"/>
      <c r="GK200" s="36"/>
      <c r="GL200" s="36"/>
      <c r="GM200" s="36"/>
      <c r="GN200" s="36"/>
      <c r="GO200" s="36"/>
      <c r="GP200" s="36"/>
      <c r="GQ200" s="36"/>
      <c r="GR200" s="36"/>
      <c r="GS200" s="36"/>
      <c r="GT200" s="36"/>
      <c r="GU200" s="36"/>
      <c r="GV200" s="6"/>
      <c r="GW200" s="36"/>
      <c r="GX200" s="36"/>
      <c r="GY200" s="36"/>
      <c r="GZ200" s="36"/>
      <c r="HA200" s="36"/>
      <c r="HB200" s="36"/>
      <c r="HC200" s="36"/>
      <c r="HD200" s="36"/>
      <c r="HE200" s="36"/>
      <c r="HF200" s="36">
        <v>100</v>
      </c>
      <c r="HG200" s="36"/>
      <c r="HH200" s="36"/>
      <c r="HI200" s="36"/>
      <c r="HJ200" s="36"/>
      <c r="HK200" s="36"/>
      <c r="HL200" s="36"/>
      <c r="HM200" s="36"/>
      <c r="HN200" s="36"/>
      <c r="HO200" s="36"/>
      <c r="HP200" s="36"/>
      <c r="HQ200" s="36"/>
      <c r="HR200" s="36"/>
      <c r="HS200" s="36"/>
      <c r="HT200" s="36"/>
      <c r="HU200" s="36"/>
      <c r="HV200" s="36"/>
      <c r="HW200" s="36"/>
      <c r="HX200" s="36"/>
      <c r="HY200" s="36"/>
      <c r="HZ200" s="36"/>
      <c r="IA200" s="36"/>
      <c r="IB200" s="36"/>
      <c r="IC200" s="36"/>
      <c r="ID200" s="36"/>
      <c r="IE200" s="36"/>
      <c r="IF200" s="36"/>
      <c r="IG200" s="36"/>
      <c r="IH200" s="36"/>
      <c r="II200" s="36"/>
      <c r="IJ200" s="36"/>
      <c r="IK200" s="36"/>
      <c r="IL200" s="36"/>
      <c r="IM200" s="36"/>
      <c r="IN200" s="36"/>
      <c r="IO200" s="36"/>
      <c r="IP200" s="36"/>
      <c r="IR200" s="2" t="s">
        <v>543</v>
      </c>
    </row>
    <row r="201" spans="1:252" ht="15.75" customHeight="1" x14ac:dyDescent="0.25">
      <c r="A201" s="36" t="s">
        <v>894</v>
      </c>
      <c r="B201" s="36" t="s">
        <v>900</v>
      </c>
      <c r="C201" s="36"/>
      <c r="D201" s="36">
        <v>20</v>
      </c>
      <c r="E201" s="36"/>
      <c r="F201" s="80">
        <v>25</v>
      </c>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v>30</v>
      </c>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c r="BD201" s="36"/>
      <c r="BE201" s="36"/>
      <c r="BF201" s="36"/>
      <c r="BG201" s="36"/>
      <c r="BH201" s="36"/>
      <c r="BI201" s="36"/>
      <c r="BJ201" s="36"/>
      <c r="BK201" s="36"/>
      <c r="BL201" s="36"/>
      <c r="BM201" s="36"/>
      <c r="BN201" s="36"/>
      <c r="BO201" s="36"/>
      <c r="BP201" s="6"/>
      <c r="BQ201" s="6"/>
      <c r="BR201" s="6"/>
      <c r="BS201" s="6"/>
      <c r="BT201" s="6"/>
      <c r="BU201" s="6"/>
      <c r="BV201" s="36"/>
      <c r="BW201" s="36"/>
      <c r="BX201" s="36"/>
      <c r="BY201" s="36"/>
      <c r="BZ201" s="36"/>
      <c r="CA201" s="36"/>
      <c r="CB201" s="36"/>
      <c r="CC201" s="36"/>
      <c r="CD201" s="36"/>
      <c r="CE201" s="36"/>
      <c r="CF201" s="36"/>
      <c r="CG201" s="36"/>
      <c r="CH201" s="36"/>
      <c r="CI201" s="36"/>
      <c r="CJ201" s="36"/>
      <c r="CK201" s="36"/>
      <c r="CL201" s="36"/>
      <c r="CM201" s="36"/>
      <c r="CN201" s="36"/>
      <c r="CO201" s="36"/>
      <c r="CP201" s="36"/>
      <c r="CQ201" s="36"/>
      <c r="CR201" s="36"/>
      <c r="CS201" s="36"/>
      <c r="CT201" s="36"/>
      <c r="CU201" s="36"/>
      <c r="CV201" s="36"/>
      <c r="CW201" s="36"/>
      <c r="CX201" s="36"/>
      <c r="CY201" s="36"/>
      <c r="CZ201" s="36"/>
      <c r="DA201" s="36"/>
      <c r="DB201" s="36"/>
      <c r="DC201" s="36"/>
      <c r="DD201" s="36"/>
      <c r="DE201" s="36"/>
      <c r="DF201" s="36"/>
      <c r="DG201" s="36"/>
      <c r="DH201" s="36"/>
      <c r="DI201" s="36"/>
      <c r="DJ201" s="36"/>
      <c r="DK201" s="36"/>
      <c r="DL201" s="36"/>
      <c r="DM201" s="36"/>
      <c r="DN201" s="36"/>
      <c r="DO201" s="36"/>
      <c r="DP201" s="36"/>
      <c r="DQ201" s="36"/>
      <c r="DR201" s="36"/>
      <c r="DS201" s="36"/>
      <c r="DT201" s="36"/>
      <c r="DU201" s="36"/>
      <c r="DV201" s="36"/>
      <c r="DW201" s="36"/>
      <c r="DX201" s="36"/>
      <c r="DY201" s="36"/>
      <c r="DZ201" s="36"/>
      <c r="EA201" s="36"/>
      <c r="EB201" s="36"/>
      <c r="EC201" s="36"/>
      <c r="ED201" s="36"/>
      <c r="EE201" s="36"/>
      <c r="EF201" s="36"/>
      <c r="EG201" s="36"/>
      <c r="EH201" s="36"/>
      <c r="EI201" s="36"/>
      <c r="EJ201" s="36"/>
      <c r="EK201" s="36"/>
      <c r="EL201" s="36"/>
      <c r="EM201" s="36"/>
      <c r="EN201" s="36"/>
      <c r="EO201" s="36"/>
      <c r="EP201" s="36"/>
      <c r="EQ201" s="36"/>
      <c r="ER201" s="36"/>
      <c r="ES201" s="36"/>
      <c r="ET201" s="36"/>
      <c r="EU201" s="36"/>
      <c r="EV201" s="36"/>
      <c r="EW201" s="36"/>
      <c r="EX201" s="36"/>
      <c r="EY201" s="36"/>
      <c r="EZ201" s="36"/>
      <c r="FA201" s="36"/>
      <c r="FB201" s="36"/>
      <c r="FC201" s="36"/>
      <c r="FD201" s="36"/>
      <c r="FE201" s="36"/>
      <c r="FF201" s="36"/>
      <c r="FG201" s="36"/>
      <c r="FH201" s="36"/>
      <c r="FI201" s="36"/>
      <c r="FJ201" s="36"/>
      <c r="FK201" s="36"/>
      <c r="FL201" s="36"/>
      <c r="FM201" s="36"/>
      <c r="FN201" s="36"/>
      <c r="FO201" s="36"/>
      <c r="FP201" s="36"/>
      <c r="FQ201" s="36"/>
      <c r="FR201" s="36"/>
      <c r="FS201" s="36"/>
      <c r="FT201" s="36"/>
      <c r="FU201" s="36"/>
      <c r="FV201" s="36"/>
      <c r="FW201" s="36"/>
      <c r="FX201" s="36"/>
      <c r="FY201" s="36"/>
      <c r="FZ201" s="36"/>
      <c r="GA201" s="6"/>
      <c r="GB201" s="6"/>
      <c r="GC201" s="36">
        <v>200</v>
      </c>
      <c r="GD201" s="36"/>
      <c r="GE201" s="36"/>
      <c r="GF201" s="36"/>
      <c r="GG201" s="36"/>
      <c r="GH201" s="36"/>
      <c r="GI201" s="36"/>
      <c r="GJ201" s="36"/>
      <c r="GK201" s="36"/>
      <c r="GL201" s="36"/>
      <c r="GM201" s="36"/>
      <c r="GN201" s="36"/>
      <c r="GO201" s="36"/>
      <c r="GP201" s="36"/>
      <c r="GQ201" s="36"/>
      <c r="GR201" s="36"/>
      <c r="GS201" s="36"/>
      <c r="GT201" s="36"/>
      <c r="GU201" s="36"/>
      <c r="GV201" s="6"/>
      <c r="GW201" s="36"/>
      <c r="GX201" s="36"/>
      <c r="GY201" s="36"/>
      <c r="GZ201" s="36"/>
      <c r="HA201" s="36"/>
      <c r="HB201" s="36"/>
      <c r="HC201" s="36"/>
      <c r="HD201" s="36"/>
      <c r="HE201" s="36"/>
      <c r="HF201" s="36"/>
      <c r="HG201" s="36"/>
      <c r="HH201" s="36"/>
      <c r="HI201" s="36"/>
      <c r="HJ201" s="36"/>
      <c r="HK201" s="36"/>
      <c r="HL201" s="36"/>
      <c r="HM201" s="36"/>
      <c r="HN201" s="36"/>
      <c r="HO201" s="36"/>
      <c r="HP201" s="36"/>
      <c r="HQ201" s="36"/>
      <c r="HR201" s="36"/>
      <c r="HS201" s="36"/>
      <c r="HT201" s="36"/>
      <c r="HU201" s="36"/>
      <c r="HV201" s="36"/>
      <c r="HW201" s="36"/>
      <c r="HX201" s="36"/>
      <c r="HY201" s="36"/>
      <c r="HZ201" s="36"/>
      <c r="IA201" s="36"/>
      <c r="IB201" s="36"/>
      <c r="IC201" s="36"/>
      <c r="ID201" s="36"/>
      <c r="IE201" s="36"/>
      <c r="IF201" s="36"/>
      <c r="IG201" s="36"/>
      <c r="IH201" s="36"/>
      <c r="II201" s="36"/>
      <c r="IJ201" s="36"/>
      <c r="IK201" s="36"/>
      <c r="IL201" s="36"/>
      <c r="IM201" s="36"/>
      <c r="IN201" s="36"/>
      <c r="IO201" s="36"/>
      <c r="IP201" s="36"/>
      <c r="IR201" s="2" t="s">
        <v>543</v>
      </c>
    </row>
    <row r="202" spans="1:252" ht="15.75" customHeight="1" x14ac:dyDescent="0.25">
      <c r="A202" s="36" t="s">
        <v>901</v>
      </c>
      <c r="B202" s="36" t="s">
        <v>902</v>
      </c>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c r="BD202" s="36"/>
      <c r="BE202" s="36"/>
      <c r="BF202" s="36"/>
      <c r="BG202" s="36"/>
      <c r="BH202" s="36"/>
      <c r="BI202" s="36"/>
      <c r="BJ202" s="36"/>
      <c r="BK202" s="36"/>
      <c r="BL202" s="36"/>
      <c r="BM202" s="36"/>
      <c r="BN202" s="36"/>
      <c r="BO202" s="36"/>
      <c r="BP202" s="6"/>
      <c r="BQ202" s="6"/>
      <c r="BR202" s="6"/>
      <c r="BS202" s="6"/>
      <c r="BT202" s="6"/>
      <c r="BU202" s="6"/>
      <c r="BV202" s="36"/>
      <c r="BW202" s="36"/>
      <c r="BX202" s="36"/>
      <c r="BY202" s="36"/>
      <c r="BZ202" s="36"/>
      <c r="CA202" s="36"/>
      <c r="CB202" s="36"/>
      <c r="CC202" s="36"/>
      <c r="CD202" s="36"/>
      <c r="CE202" s="36"/>
      <c r="CF202" s="36"/>
      <c r="CG202" s="36"/>
      <c r="CH202" s="36"/>
      <c r="CI202" s="36"/>
      <c r="CJ202" s="36">
        <v>55</v>
      </c>
      <c r="CK202" s="36"/>
      <c r="CL202" s="36"/>
      <c r="CM202" s="36"/>
      <c r="CN202" s="36"/>
      <c r="CO202" s="36"/>
      <c r="CP202" s="36"/>
      <c r="CQ202" s="36"/>
      <c r="CR202" s="36"/>
      <c r="CS202" s="36"/>
      <c r="CT202" s="36"/>
      <c r="CU202" s="36"/>
      <c r="CV202" s="36"/>
      <c r="CW202" s="36"/>
      <c r="CX202" s="36"/>
      <c r="CY202" s="36"/>
      <c r="CZ202" s="36"/>
      <c r="DA202" s="36"/>
      <c r="DB202" s="36"/>
      <c r="DC202" s="36"/>
      <c r="DD202" s="36"/>
      <c r="DE202" s="36"/>
      <c r="DF202" s="36"/>
      <c r="DG202" s="36"/>
      <c r="DH202" s="36"/>
      <c r="DI202" s="36"/>
      <c r="DJ202" s="36"/>
      <c r="DK202" s="36"/>
      <c r="DL202" s="36"/>
      <c r="DM202" s="36"/>
      <c r="DN202" s="36"/>
      <c r="DO202" s="36"/>
      <c r="DP202" s="36"/>
      <c r="DQ202" s="36"/>
      <c r="DR202" s="36"/>
      <c r="DS202" s="36"/>
      <c r="DT202" s="36"/>
      <c r="DU202" s="36"/>
      <c r="DV202" s="36"/>
      <c r="DW202" s="36"/>
      <c r="DX202" s="36"/>
      <c r="DY202" s="36"/>
      <c r="DZ202" s="36"/>
      <c r="EA202" s="36"/>
      <c r="EB202" s="36"/>
      <c r="EC202" s="36"/>
      <c r="ED202" s="36"/>
      <c r="EE202" s="36"/>
      <c r="EF202" s="36"/>
      <c r="EG202" s="36"/>
      <c r="EH202" s="36"/>
      <c r="EI202" s="36"/>
      <c r="EJ202" s="36"/>
      <c r="EK202" s="36"/>
      <c r="EL202" s="36"/>
      <c r="EM202" s="36"/>
      <c r="EN202" s="36"/>
      <c r="EO202" s="36"/>
      <c r="EP202" s="36"/>
      <c r="EQ202" s="36"/>
      <c r="ER202" s="36"/>
      <c r="ES202" s="36"/>
      <c r="ET202" s="36"/>
      <c r="EU202" s="36"/>
      <c r="EV202" s="36"/>
      <c r="EW202" s="36"/>
      <c r="EX202" s="36"/>
      <c r="EY202" s="36"/>
      <c r="EZ202" s="36"/>
      <c r="FA202" s="36"/>
      <c r="FB202" s="36"/>
      <c r="FC202" s="36"/>
      <c r="FD202" s="36"/>
      <c r="FE202" s="36"/>
      <c r="FF202" s="36"/>
      <c r="FG202" s="36"/>
      <c r="FH202" s="36"/>
      <c r="FI202" s="36"/>
      <c r="FJ202" s="36"/>
      <c r="FK202" s="36"/>
      <c r="FL202" s="36"/>
      <c r="FM202" s="36"/>
      <c r="FN202" s="36"/>
      <c r="FO202" s="36"/>
      <c r="FP202" s="36"/>
      <c r="FQ202" s="36"/>
      <c r="FR202" s="36"/>
      <c r="FS202" s="36"/>
      <c r="FT202" s="36"/>
      <c r="FU202" s="36"/>
      <c r="FV202" s="36"/>
      <c r="FW202" s="36"/>
      <c r="FX202" s="36"/>
      <c r="FY202" s="36"/>
      <c r="FZ202" s="36"/>
      <c r="GA202" s="6"/>
      <c r="GB202" s="6"/>
      <c r="GC202" s="36"/>
      <c r="GD202" s="36"/>
      <c r="GE202" s="36"/>
      <c r="GF202" s="36"/>
      <c r="GG202" s="36"/>
      <c r="GH202" s="36"/>
      <c r="GI202" s="36"/>
      <c r="GJ202" s="36"/>
      <c r="GK202" s="36"/>
      <c r="GL202" s="36"/>
      <c r="GM202" s="36"/>
      <c r="GN202" s="36"/>
      <c r="GO202" s="36"/>
      <c r="GP202" s="36"/>
      <c r="GQ202" s="36"/>
      <c r="GR202" s="36"/>
      <c r="GS202" s="36"/>
      <c r="GT202" s="36"/>
      <c r="GU202" s="36"/>
      <c r="GV202" s="6"/>
      <c r="GW202" s="36"/>
      <c r="GX202" s="36"/>
      <c r="GY202" s="36"/>
      <c r="GZ202" s="36"/>
      <c r="HA202" s="36"/>
      <c r="HB202" s="36"/>
      <c r="HC202" s="36"/>
      <c r="HD202" s="36"/>
      <c r="HE202" s="36"/>
      <c r="HF202" s="36"/>
      <c r="HG202" s="36"/>
      <c r="HH202" s="36"/>
      <c r="HI202" s="36"/>
      <c r="HJ202" s="36"/>
      <c r="HK202" s="36"/>
      <c r="HL202" s="36"/>
      <c r="HM202" s="36"/>
      <c r="HN202" s="36"/>
      <c r="HO202" s="36"/>
      <c r="HP202" s="36"/>
      <c r="HQ202" s="36"/>
      <c r="HR202" s="36"/>
      <c r="HS202" s="36"/>
      <c r="HT202" s="36"/>
      <c r="HU202" s="36"/>
      <c r="HV202" s="36"/>
      <c r="HW202" s="36"/>
      <c r="HX202" s="36"/>
      <c r="HY202" s="36"/>
      <c r="HZ202" s="36"/>
      <c r="IA202" s="36"/>
      <c r="IB202" s="36"/>
      <c r="IC202" s="36"/>
      <c r="ID202" s="36"/>
      <c r="IE202" s="36"/>
      <c r="IF202" s="36"/>
      <c r="IG202" s="36"/>
      <c r="IH202" s="36"/>
      <c r="II202" s="36"/>
      <c r="IJ202" s="36"/>
      <c r="IK202" s="36"/>
      <c r="IL202" s="36"/>
      <c r="IM202" s="36"/>
      <c r="IN202" s="36"/>
      <c r="IO202" s="36"/>
      <c r="IP202" s="36"/>
      <c r="IR202" s="2" t="s">
        <v>543</v>
      </c>
    </row>
    <row r="203" spans="1:252" ht="15.75" customHeight="1" x14ac:dyDescent="0.25">
      <c r="A203" s="36" t="s">
        <v>901</v>
      </c>
      <c r="B203" s="36" t="s">
        <v>904</v>
      </c>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c r="BK203" s="36"/>
      <c r="BL203" s="36"/>
      <c r="BM203" s="36"/>
      <c r="BN203" s="36"/>
      <c r="BO203" s="36"/>
      <c r="BP203" s="6"/>
      <c r="BQ203" s="6"/>
      <c r="BR203" s="6"/>
      <c r="BS203" s="6"/>
      <c r="BT203" s="6"/>
      <c r="BU203" s="6"/>
      <c r="BV203" s="36"/>
      <c r="BW203" s="36"/>
      <c r="BX203" s="36">
        <v>60</v>
      </c>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6"/>
      <c r="GB203" s="6"/>
      <c r="GC203" s="36"/>
      <c r="GD203" s="36"/>
      <c r="GE203" s="36"/>
      <c r="GF203" s="36"/>
      <c r="GG203" s="36"/>
      <c r="GH203" s="36"/>
      <c r="GI203" s="36"/>
      <c r="GJ203" s="36"/>
      <c r="GK203" s="36"/>
      <c r="GL203" s="36"/>
      <c r="GM203" s="36"/>
      <c r="GN203" s="36"/>
      <c r="GO203" s="36"/>
      <c r="GP203" s="36"/>
      <c r="GQ203" s="36"/>
      <c r="GR203" s="36"/>
      <c r="GS203" s="36"/>
      <c r="GT203" s="36"/>
      <c r="GU203" s="36"/>
      <c r="GV203" s="6"/>
      <c r="GW203" s="36"/>
      <c r="GX203" s="36"/>
      <c r="GY203" s="36"/>
      <c r="GZ203" s="36"/>
      <c r="HA203" s="36"/>
      <c r="HB203" s="36"/>
      <c r="HC203" s="36"/>
      <c r="HD203" s="36"/>
      <c r="HE203" s="36"/>
      <c r="HF203" s="36"/>
      <c r="HG203" s="36"/>
      <c r="HH203" s="36"/>
      <c r="HI203" s="36"/>
      <c r="HJ203" s="36"/>
      <c r="HK203" s="36"/>
      <c r="HL203" s="36"/>
      <c r="HM203" s="36"/>
      <c r="HN203" s="36"/>
      <c r="HO203" s="36"/>
      <c r="HP203" s="36"/>
      <c r="HQ203" s="36"/>
      <c r="HR203" s="36"/>
      <c r="HS203" s="36"/>
      <c r="HT203" s="36"/>
      <c r="HU203" s="36"/>
      <c r="HV203" s="36"/>
      <c r="HW203" s="36"/>
      <c r="HX203" s="36"/>
      <c r="HY203" s="36"/>
      <c r="HZ203" s="36"/>
      <c r="IA203" s="36"/>
      <c r="IB203" s="36"/>
      <c r="IC203" s="36"/>
      <c r="ID203" s="36"/>
      <c r="IE203" s="36"/>
      <c r="IF203" s="36"/>
      <c r="IG203" s="36"/>
      <c r="IH203" s="36"/>
      <c r="II203" s="36"/>
      <c r="IJ203" s="36"/>
      <c r="IK203" s="36"/>
      <c r="IL203" s="36"/>
      <c r="IM203" s="36"/>
      <c r="IN203" s="36"/>
      <c r="IO203" s="36"/>
      <c r="IP203" s="36"/>
      <c r="IR203" s="2" t="s">
        <v>543</v>
      </c>
    </row>
    <row r="204" spans="1:252" ht="15.75" customHeight="1" x14ac:dyDescent="0.25">
      <c r="A204" s="36" t="s">
        <v>908</v>
      </c>
      <c r="B204" s="36" t="s">
        <v>909</v>
      </c>
      <c r="C204" s="36"/>
      <c r="D204" s="36"/>
      <c r="E204" s="36"/>
      <c r="F204" s="36"/>
      <c r="G204" s="36"/>
      <c r="H204" s="36"/>
      <c r="I204" s="36"/>
      <c r="J204" s="36"/>
      <c r="K204" s="36"/>
      <c r="L204" s="36"/>
      <c r="M204" s="36"/>
      <c r="N204" s="36"/>
      <c r="O204" s="36"/>
      <c r="P204" s="36"/>
      <c r="Q204" s="36"/>
      <c r="R204" s="36">
        <v>5</v>
      </c>
      <c r="S204" s="36"/>
      <c r="T204" s="36"/>
      <c r="U204" s="36">
        <v>5</v>
      </c>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v>5</v>
      </c>
      <c r="AU204" s="36"/>
      <c r="AV204" s="36"/>
      <c r="AW204" s="36"/>
      <c r="AX204" s="36"/>
      <c r="AY204" s="36"/>
      <c r="AZ204" s="36"/>
      <c r="BA204" s="36"/>
      <c r="BB204" s="36"/>
      <c r="BC204" s="36"/>
      <c r="BD204" s="36"/>
      <c r="BE204" s="36"/>
      <c r="BF204" s="36"/>
      <c r="BG204" s="36"/>
      <c r="BH204" s="36"/>
      <c r="BI204" s="36"/>
      <c r="BJ204" s="36"/>
      <c r="BK204" s="36"/>
      <c r="BL204" s="36"/>
      <c r="BM204" s="36"/>
      <c r="BN204" s="36"/>
      <c r="BO204" s="36"/>
      <c r="BP204" s="6"/>
      <c r="BQ204" s="6"/>
      <c r="BR204" s="6"/>
      <c r="BS204" s="6"/>
      <c r="BT204" s="6"/>
      <c r="BU204" s="6"/>
      <c r="BV204" s="36"/>
      <c r="BW204" s="36"/>
      <c r="BX204" s="36"/>
      <c r="BY204" s="36"/>
      <c r="BZ204" s="36"/>
      <c r="CA204" s="36"/>
      <c r="CB204" s="36"/>
      <c r="CC204" s="36"/>
      <c r="CD204" s="36"/>
      <c r="CE204" s="36"/>
      <c r="CF204" s="36"/>
      <c r="CG204" s="36"/>
      <c r="CH204" s="36"/>
      <c r="CI204" s="36"/>
      <c r="CJ204" s="36"/>
      <c r="CK204" s="36"/>
      <c r="CL204" s="36"/>
      <c r="CM204" s="36"/>
      <c r="CN204" s="36"/>
      <c r="CO204" s="36">
        <v>6</v>
      </c>
      <c r="CP204" s="36"/>
      <c r="CQ204" s="36"/>
      <c r="CR204" s="36"/>
      <c r="CS204" s="36"/>
      <c r="CT204" s="36"/>
      <c r="CU204" s="36"/>
      <c r="CV204" s="36"/>
      <c r="CW204" s="36"/>
      <c r="CX204" s="36"/>
      <c r="CY204" s="36"/>
      <c r="CZ204" s="36"/>
      <c r="DA204" s="36"/>
      <c r="DB204" s="36"/>
      <c r="DC204" s="36"/>
      <c r="DD204" s="36">
        <v>6</v>
      </c>
      <c r="DE204" s="36"/>
      <c r="DF204" s="36"/>
      <c r="DG204" s="36">
        <v>12</v>
      </c>
      <c r="DH204" s="36"/>
      <c r="DI204" s="36"/>
      <c r="DJ204" s="36">
        <v>6</v>
      </c>
      <c r="DK204" s="36"/>
      <c r="DL204" s="36"/>
      <c r="DM204" s="36"/>
      <c r="DN204" s="36"/>
      <c r="DO204" s="36"/>
      <c r="DP204" s="36"/>
      <c r="DQ204" s="36"/>
      <c r="DR204" s="36"/>
      <c r="DS204" s="36"/>
      <c r="DT204" s="36"/>
      <c r="DU204" s="36">
        <v>6</v>
      </c>
      <c r="DV204" s="36"/>
      <c r="DW204" s="36"/>
      <c r="DX204" s="36"/>
      <c r="DY204" s="36"/>
      <c r="DZ204" s="36"/>
      <c r="EA204" s="36"/>
      <c r="EB204" s="36"/>
      <c r="EC204" s="36"/>
      <c r="ED204" s="36"/>
      <c r="EE204" s="36"/>
      <c r="EF204" s="36"/>
      <c r="EG204" s="36"/>
      <c r="EH204" s="36"/>
      <c r="EI204" s="36"/>
      <c r="EJ204" s="36"/>
      <c r="EK204" s="36"/>
      <c r="EL204" s="36"/>
      <c r="EM204" s="36"/>
      <c r="EN204" s="36"/>
      <c r="EO204" s="36"/>
      <c r="EP204" s="36"/>
      <c r="EQ204" s="36">
        <v>5</v>
      </c>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6"/>
      <c r="GB204" s="6"/>
      <c r="GC204" s="36"/>
      <c r="GD204" s="36"/>
      <c r="GE204" s="36"/>
      <c r="GF204" s="36"/>
      <c r="GG204" s="36"/>
      <c r="GH204" s="36"/>
      <c r="GI204" s="36"/>
      <c r="GJ204" s="36"/>
      <c r="GK204" s="36"/>
      <c r="GL204" s="36"/>
      <c r="GM204" s="36"/>
      <c r="GN204" s="36"/>
      <c r="GO204" s="36"/>
      <c r="GP204" s="36"/>
      <c r="GQ204" s="36"/>
      <c r="GR204" s="36"/>
      <c r="GS204" s="36">
        <v>25</v>
      </c>
      <c r="GT204" s="36"/>
      <c r="GU204" s="36"/>
      <c r="GV204" s="6"/>
      <c r="GW204" s="36"/>
      <c r="GX204" s="36"/>
      <c r="GY204" s="36"/>
      <c r="GZ204" s="36"/>
      <c r="HA204" s="36"/>
      <c r="HB204" s="36"/>
      <c r="HC204" s="36"/>
      <c r="HD204" s="36"/>
      <c r="HE204" s="36"/>
      <c r="HF204" s="36"/>
      <c r="HG204" s="36"/>
      <c r="HH204" s="36"/>
      <c r="HI204" s="36"/>
      <c r="HJ204" s="36"/>
      <c r="HK204" s="36"/>
      <c r="HL204" s="36"/>
      <c r="HM204" s="36"/>
      <c r="HN204" s="36"/>
      <c r="HO204" s="36"/>
      <c r="HP204" s="36"/>
      <c r="HQ204" s="36"/>
      <c r="HR204" s="36"/>
      <c r="HS204" s="36"/>
      <c r="HT204" s="36"/>
      <c r="HU204" s="36"/>
      <c r="HV204" s="36"/>
      <c r="HW204" s="36"/>
      <c r="HX204" s="36">
        <v>48</v>
      </c>
      <c r="HY204" s="36"/>
      <c r="HZ204" s="36"/>
      <c r="IA204" s="36"/>
      <c r="IB204" s="36"/>
      <c r="IC204" s="36"/>
      <c r="ID204" s="36"/>
      <c r="IE204" s="36"/>
      <c r="IF204" s="36"/>
      <c r="IG204" s="36"/>
      <c r="IH204" s="36"/>
      <c r="II204" s="36"/>
      <c r="IJ204" s="36"/>
      <c r="IK204" s="36"/>
      <c r="IL204" s="36"/>
      <c r="IM204" s="36"/>
      <c r="IN204" s="36"/>
      <c r="IO204" s="36"/>
      <c r="IP204" s="36"/>
      <c r="IR204" s="2" t="s">
        <v>543</v>
      </c>
    </row>
    <row r="205" spans="1:252" ht="15.75" customHeight="1" x14ac:dyDescent="0.25">
      <c r="A205" s="36" t="s">
        <v>910</v>
      </c>
      <c r="B205" s="36" t="s">
        <v>911</v>
      </c>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c r="BK205" s="36"/>
      <c r="BL205" s="36"/>
      <c r="BM205" s="36"/>
      <c r="BN205" s="36"/>
      <c r="BO205" s="36"/>
      <c r="BP205" s="6"/>
      <c r="BQ205" s="6"/>
      <c r="BR205" s="6"/>
      <c r="BS205" s="6"/>
      <c r="BT205" s="6"/>
      <c r="BU205" s="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6"/>
      <c r="GB205" s="6"/>
      <c r="GC205" s="36"/>
      <c r="GD205" s="36"/>
      <c r="GE205" s="36"/>
      <c r="GF205" s="36"/>
      <c r="GG205" s="36"/>
      <c r="GH205" s="36"/>
      <c r="GI205" s="36"/>
      <c r="GJ205" s="36"/>
      <c r="GK205" s="36"/>
      <c r="GL205" s="36"/>
      <c r="GM205" s="36"/>
      <c r="GN205" s="36"/>
      <c r="GO205" s="36"/>
      <c r="GP205" s="36"/>
      <c r="GQ205" s="36"/>
      <c r="GR205" s="36"/>
      <c r="GS205" s="36"/>
      <c r="GT205" s="36"/>
      <c r="GU205" s="36"/>
      <c r="GV205" s="6"/>
      <c r="GW205" s="36"/>
      <c r="GX205" s="36"/>
      <c r="GY205" s="36"/>
      <c r="GZ205" s="36"/>
      <c r="HA205" s="36"/>
      <c r="HB205" s="36"/>
      <c r="HC205" s="36"/>
      <c r="HD205" s="36"/>
      <c r="HE205" s="36"/>
      <c r="HF205" s="36"/>
      <c r="HG205" s="36"/>
      <c r="HH205" s="36"/>
      <c r="HI205" s="36"/>
      <c r="HJ205" s="36"/>
      <c r="HK205" s="36"/>
      <c r="HL205" s="36"/>
      <c r="HM205" s="36"/>
      <c r="HN205" s="36"/>
      <c r="HO205" s="36"/>
      <c r="HP205" s="36"/>
      <c r="HQ205" s="36"/>
      <c r="HR205" s="36"/>
      <c r="HS205" s="36"/>
      <c r="HT205" s="36"/>
      <c r="HU205" s="36"/>
      <c r="HV205" s="36"/>
      <c r="HW205" s="36"/>
      <c r="HX205" s="36"/>
      <c r="HY205" s="36"/>
      <c r="HZ205" s="36"/>
      <c r="IA205" s="36"/>
      <c r="IB205" s="36"/>
      <c r="IC205" s="36"/>
      <c r="ID205" s="36"/>
      <c r="IE205" s="36"/>
      <c r="IF205" s="36"/>
      <c r="IG205" s="36"/>
      <c r="IH205" s="36"/>
      <c r="II205" s="36"/>
      <c r="IJ205" s="36"/>
      <c r="IK205" s="36"/>
      <c r="IL205" s="36">
        <v>7</v>
      </c>
      <c r="IM205" s="36"/>
      <c r="IN205" s="36"/>
      <c r="IO205" s="36"/>
      <c r="IP205" s="36"/>
      <c r="IR205" s="2" t="s">
        <v>543</v>
      </c>
    </row>
    <row r="206" spans="1:252" ht="15.75" customHeight="1" x14ac:dyDescent="0.25">
      <c r="A206" s="36" t="s">
        <v>910</v>
      </c>
      <c r="B206" s="36" t="s">
        <v>914</v>
      </c>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c r="BK206" s="36"/>
      <c r="BL206" s="36"/>
      <c r="BM206" s="36"/>
      <c r="BN206" s="36"/>
      <c r="BO206" s="36"/>
      <c r="BP206" s="6"/>
      <c r="BQ206" s="6"/>
      <c r="BR206" s="6"/>
      <c r="BS206" s="6"/>
      <c r="BT206" s="6"/>
      <c r="BU206" s="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6"/>
      <c r="GB206" s="6"/>
      <c r="GC206" s="36"/>
      <c r="GD206" s="36"/>
      <c r="GE206" s="36"/>
      <c r="GF206" s="36"/>
      <c r="GG206" s="36"/>
      <c r="GH206" s="36"/>
      <c r="GI206" s="36"/>
      <c r="GJ206" s="36"/>
      <c r="GK206" s="36"/>
      <c r="GL206" s="36"/>
      <c r="GM206" s="36"/>
      <c r="GN206" s="36"/>
      <c r="GO206" s="36"/>
      <c r="GP206" s="36"/>
      <c r="GQ206" s="36"/>
      <c r="GR206" s="36"/>
      <c r="GS206" s="36"/>
      <c r="GT206" s="36"/>
      <c r="GU206" s="36"/>
      <c r="GV206" s="6"/>
      <c r="GW206" s="36"/>
      <c r="GX206" s="36"/>
      <c r="GY206" s="36"/>
      <c r="GZ206" s="36"/>
      <c r="HA206" s="36"/>
      <c r="HB206" s="36"/>
      <c r="HC206" s="36"/>
      <c r="HD206" s="36"/>
      <c r="HE206" s="36"/>
      <c r="HF206" s="36"/>
      <c r="HG206" s="36"/>
      <c r="HH206" s="36"/>
      <c r="HI206" s="36"/>
      <c r="HJ206" s="36"/>
      <c r="HK206" s="36"/>
      <c r="HL206" s="36"/>
      <c r="HM206" s="36"/>
      <c r="HN206" s="36"/>
      <c r="HO206" s="36"/>
      <c r="HP206" s="36"/>
      <c r="HQ206" s="36"/>
      <c r="HR206" s="36"/>
      <c r="HS206" s="36"/>
      <c r="HT206" s="36"/>
      <c r="HU206" s="36"/>
      <c r="HV206" s="36"/>
      <c r="HW206" s="36"/>
      <c r="HX206" s="36"/>
      <c r="HY206" s="36"/>
      <c r="HZ206" s="36"/>
      <c r="IA206" s="36"/>
      <c r="IB206" s="36"/>
      <c r="IC206" s="36"/>
      <c r="ID206" s="36"/>
      <c r="IE206" s="36"/>
      <c r="IF206" s="36"/>
      <c r="IG206" s="36"/>
      <c r="IH206" s="36"/>
      <c r="II206" s="36"/>
      <c r="IJ206" s="36"/>
      <c r="IK206" s="36"/>
      <c r="IL206" s="36">
        <v>10</v>
      </c>
      <c r="IM206" s="36"/>
      <c r="IN206" s="36"/>
      <c r="IO206" s="36"/>
      <c r="IP206" s="36"/>
      <c r="IR206" s="2" t="s">
        <v>543</v>
      </c>
    </row>
    <row r="207" spans="1:252" ht="15.75" customHeight="1" x14ac:dyDescent="0.25">
      <c r="A207" s="36" t="s">
        <v>915</v>
      </c>
      <c r="B207" s="36" t="s">
        <v>916</v>
      </c>
      <c r="C207" s="36"/>
      <c r="D207" s="36"/>
      <c r="E207" s="36"/>
      <c r="F207" s="36"/>
      <c r="G207" s="36"/>
      <c r="H207" s="36">
        <v>25</v>
      </c>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c r="BD207" s="36"/>
      <c r="BE207" s="36"/>
      <c r="BF207" s="36"/>
      <c r="BG207" s="36"/>
      <c r="BH207" s="36"/>
      <c r="BI207" s="36"/>
      <c r="BJ207" s="36"/>
      <c r="BK207" s="36"/>
      <c r="BL207" s="36"/>
      <c r="BM207" s="36"/>
      <c r="BN207" s="36"/>
      <c r="BO207" s="36"/>
      <c r="BP207" s="6"/>
      <c r="BQ207" s="6"/>
      <c r="BR207" s="6"/>
      <c r="BS207" s="6"/>
      <c r="BT207" s="6"/>
      <c r="BU207" s="6"/>
      <c r="BV207" s="36"/>
      <c r="BW207" s="36"/>
      <c r="BX207" s="36"/>
      <c r="BY207" s="36"/>
      <c r="BZ207" s="36"/>
      <c r="CA207" s="36"/>
      <c r="CB207" s="36"/>
      <c r="CC207" s="36"/>
      <c r="CD207" s="36"/>
      <c r="CE207" s="36"/>
      <c r="CF207" s="36"/>
      <c r="CG207" s="36"/>
      <c r="CH207" s="36"/>
      <c r="CI207" s="36"/>
      <c r="CJ207" s="36"/>
      <c r="CK207" s="36"/>
      <c r="CL207" s="36"/>
      <c r="CM207" s="36"/>
      <c r="CN207" s="36"/>
      <c r="CO207" s="36"/>
      <c r="CP207" s="36"/>
      <c r="CQ207" s="36"/>
      <c r="CR207" s="36"/>
      <c r="CS207" s="36"/>
      <c r="CT207" s="36"/>
      <c r="CU207" s="36"/>
      <c r="CV207" s="36"/>
      <c r="CW207" s="36"/>
      <c r="CX207" s="36"/>
      <c r="CY207" s="36"/>
      <c r="CZ207" s="36"/>
      <c r="DA207" s="36"/>
      <c r="DB207" s="36"/>
      <c r="DC207" s="36"/>
      <c r="DD207" s="36"/>
      <c r="DE207" s="36"/>
      <c r="DF207" s="36"/>
      <c r="DG207" s="36"/>
      <c r="DH207" s="36"/>
      <c r="DI207" s="36"/>
      <c r="DJ207" s="36"/>
      <c r="DK207" s="36"/>
      <c r="DL207" s="36"/>
      <c r="DM207" s="36"/>
      <c r="DN207" s="36"/>
      <c r="DO207" s="36"/>
      <c r="DP207" s="36"/>
      <c r="DQ207" s="36"/>
      <c r="DR207" s="36"/>
      <c r="DS207" s="36"/>
      <c r="DT207" s="36"/>
      <c r="DU207" s="36"/>
      <c r="DV207" s="36"/>
      <c r="DW207" s="36"/>
      <c r="DX207" s="36"/>
      <c r="DY207" s="36"/>
      <c r="DZ207" s="36"/>
      <c r="EA207" s="36"/>
      <c r="EB207" s="36"/>
      <c r="EC207" s="36"/>
      <c r="ED207" s="36"/>
      <c r="EE207" s="36"/>
      <c r="EF207" s="36"/>
      <c r="EG207" s="36"/>
      <c r="EH207" s="36"/>
      <c r="EI207" s="36"/>
      <c r="EJ207" s="36"/>
      <c r="EK207" s="36"/>
      <c r="EL207" s="36"/>
      <c r="EM207" s="36"/>
      <c r="EN207" s="36"/>
      <c r="EO207" s="36"/>
      <c r="EP207" s="36"/>
      <c r="EQ207" s="36"/>
      <c r="ER207" s="36"/>
      <c r="ES207" s="36"/>
      <c r="ET207" s="36"/>
      <c r="EU207" s="36"/>
      <c r="EV207" s="36"/>
      <c r="EW207" s="36"/>
      <c r="EX207" s="36"/>
      <c r="EY207" s="36"/>
      <c r="EZ207" s="36"/>
      <c r="FA207" s="36"/>
      <c r="FB207" s="36"/>
      <c r="FC207" s="36"/>
      <c r="FD207" s="36"/>
      <c r="FE207" s="36"/>
      <c r="FF207" s="36"/>
      <c r="FG207" s="36"/>
      <c r="FH207" s="36"/>
      <c r="FI207" s="36"/>
      <c r="FJ207" s="36"/>
      <c r="FK207" s="36"/>
      <c r="FL207" s="36"/>
      <c r="FM207" s="36"/>
      <c r="FN207" s="36"/>
      <c r="FO207" s="36"/>
      <c r="FP207" s="36"/>
      <c r="FQ207" s="36"/>
      <c r="FR207" s="36"/>
      <c r="FS207" s="36">
        <v>150</v>
      </c>
      <c r="FT207" s="36"/>
      <c r="FU207" s="36"/>
      <c r="FV207" s="36"/>
      <c r="FW207" s="36"/>
      <c r="FX207" s="36"/>
      <c r="FY207" s="36"/>
      <c r="FZ207" s="36"/>
      <c r="GA207" s="6"/>
      <c r="GB207" s="6"/>
      <c r="GC207" s="36">
        <v>600</v>
      </c>
      <c r="GD207" s="36"/>
      <c r="GE207" s="36"/>
      <c r="GF207" s="36"/>
      <c r="GG207" s="36"/>
      <c r="GH207" s="36"/>
      <c r="GI207" s="36"/>
      <c r="GJ207" s="36"/>
      <c r="GK207" s="36"/>
      <c r="GL207" s="36"/>
      <c r="GM207" s="36"/>
      <c r="GN207" s="36">
        <v>200</v>
      </c>
      <c r="GO207" s="36">
        <v>50</v>
      </c>
      <c r="GP207" s="36"/>
      <c r="GQ207" s="36"/>
      <c r="GR207" s="36"/>
      <c r="GS207" s="36"/>
      <c r="GT207" s="36"/>
      <c r="GU207" s="36"/>
      <c r="GV207" s="6"/>
      <c r="GW207" s="36"/>
      <c r="GX207" s="36"/>
      <c r="GY207" s="36"/>
      <c r="GZ207" s="36"/>
      <c r="HA207" s="36"/>
      <c r="HB207" s="36"/>
      <c r="HC207" s="36"/>
      <c r="HD207" s="36"/>
      <c r="HE207" s="36"/>
      <c r="HF207" s="36"/>
      <c r="HG207" s="36"/>
      <c r="HH207" s="36"/>
      <c r="HI207" s="36"/>
      <c r="HJ207" s="36"/>
      <c r="HK207" s="36"/>
      <c r="HL207" s="36"/>
      <c r="HM207" s="36"/>
      <c r="HN207" s="36"/>
      <c r="HO207" s="36"/>
      <c r="HP207" s="36"/>
      <c r="HQ207" s="36"/>
      <c r="HR207" s="36"/>
      <c r="HS207" s="36"/>
      <c r="HT207" s="36"/>
      <c r="HU207" s="36"/>
      <c r="HV207" s="36"/>
      <c r="HW207" s="36"/>
      <c r="HX207" s="36"/>
      <c r="HY207" s="36"/>
      <c r="HZ207" s="36"/>
      <c r="IA207" s="36"/>
      <c r="IB207" s="36"/>
      <c r="IC207" s="36"/>
      <c r="ID207" s="36"/>
      <c r="IE207" s="36"/>
      <c r="IF207" s="36"/>
      <c r="IG207" s="36"/>
      <c r="IH207" s="36"/>
      <c r="II207" s="36"/>
      <c r="IJ207" s="36"/>
      <c r="IK207" s="36"/>
      <c r="IL207" s="36"/>
      <c r="IM207" s="36"/>
      <c r="IN207" s="36"/>
      <c r="IO207" s="36"/>
      <c r="IP207" s="36"/>
      <c r="IR207" s="2" t="s">
        <v>543</v>
      </c>
    </row>
    <row r="208" spans="1:252" ht="15.75" customHeight="1" x14ac:dyDescent="0.25">
      <c r="A208" s="36" t="s">
        <v>917</v>
      </c>
      <c r="B208" s="36" t="s">
        <v>918</v>
      </c>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c r="BD208" s="36"/>
      <c r="BE208" s="36"/>
      <c r="BF208" s="36"/>
      <c r="BG208" s="36"/>
      <c r="BH208" s="36"/>
      <c r="BI208" s="36"/>
      <c r="BJ208" s="36"/>
      <c r="BK208" s="36"/>
      <c r="BL208" s="36"/>
      <c r="BM208" s="36"/>
      <c r="BN208" s="36"/>
      <c r="BO208" s="36"/>
      <c r="BP208" s="6"/>
      <c r="BQ208" s="6"/>
      <c r="BR208" s="6"/>
      <c r="BS208" s="6"/>
      <c r="BT208" s="6"/>
      <c r="BU208" s="6"/>
      <c r="BV208" s="36"/>
      <c r="BW208" s="36"/>
      <c r="BX208" s="36"/>
      <c r="BY208" s="36"/>
      <c r="BZ208" s="36"/>
      <c r="CA208" s="36"/>
      <c r="CB208" s="36"/>
      <c r="CC208" s="36"/>
      <c r="CD208" s="36"/>
      <c r="CE208" s="36"/>
      <c r="CF208" s="36"/>
      <c r="CG208" s="36"/>
      <c r="CH208" s="36"/>
      <c r="CI208" s="36"/>
      <c r="CJ208" s="36"/>
      <c r="CK208" s="36"/>
      <c r="CL208" s="36"/>
      <c r="CM208" s="36"/>
      <c r="CN208" s="36"/>
      <c r="CO208" s="36"/>
      <c r="CP208" s="36"/>
      <c r="CQ208" s="36"/>
      <c r="CR208" s="36"/>
      <c r="CS208" s="36"/>
      <c r="CT208" s="36"/>
      <c r="CU208" s="36"/>
      <c r="CV208" s="36"/>
      <c r="CW208" s="36"/>
      <c r="CX208" s="36"/>
      <c r="CY208" s="36"/>
      <c r="CZ208" s="36"/>
      <c r="DA208" s="36"/>
      <c r="DB208" s="36"/>
      <c r="DC208" s="36"/>
      <c r="DD208" s="36"/>
      <c r="DE208" s="36"/>
      <c r="DF208" s="36"/>
      <c r="DG208" s="36"/>
      <c r="DH208" s="36"/>
      <c r="DI208" s="36"/>
      <c r="DJ208" s="36"/>
      <c r="DK208" s="36"/>
      <c r="DL208" s="36"/>
      <c r="DM208" s="36"/>
      <c r="DN208" s="36"/>
      <c r="DO208" s="36"/>
      <c r="DP208" s="36"/>
      <c r="DQ208" s="36"/>
      <c r="DR208" s="36"/>
      <c r="DS208" s="36"/>
      <c r="DT208" s="36"/>
      <c r="DU208" s="36"/>
      <c r="DV208" s="36"/>
      <c r="DW208" s="36"/>
      <c r="DX208" s="36"/>
      <c r="DY208" s="36"/>
      <c r="DZ208" s="36"/>
      <c r="EA208" s="36"/>
      <c r="EB208" s="36"/>
      <c r="EC208" s="36"/>
      <c r="ED208" s="36"/>
      <c r="EE208" s="36"/>
      <c r="EF208" s="36"/>
      <c r="EG208" s="36"/>
      <c r="EH208" s="36"/>
      <c r="EI208" s="36"/>
      <c r="EJ208" s="36"/>
      <c r="EK208" s="36"/>
      <c r="EL208" s="36"/>
      <c r="EM208" s="36"/>
      <c r="EN208" s="36"/>
      <c r="EO208" s="36"/>
      <c r="EP208" s="36"/>
      <c r="EQ208" s="36">
        <v>10</v>
      </c>
      <c r="ER208" s="36"/>
      <c r="ES208" s="36"/>
      <c r="ET208" s="36"/>
      <c r="EU208" s="36"/>
      <c r="EV208" s="36"/>
      <c r="EW208" s="36"/>
      <c r="EX208" s="36"/>
      <c r="EY208" s="36"/>
      <c r="EZ208" s="36"/>
      <c r="FA208" s="36"/>
      <c r="FB208" s="36"/>
      <c r="FC208" s="36"/>
      <c r="FD208" s="36"/>
      <c r="FE208" s="36"/>
      <c r="FF208" s="36"/>
      <c r="FG208" s="36"/>
      <c r="FH208" s="36"/>
      <c r="FI208" s="36"/>
      <c r="FJ208" s="36"/>
      <c r="FK208" s="36"/>
      <c r="FL208" s="36"/>
      <c r="FM208" s="36"/>
      <c r="FN208" s="36"/>
      <c r="FO208" s="36"/>
      <c r="FP208" s="36"/>
      <c r="FQ208" s="36"/>
      <c r="FR208" s="36"/>
      <c r="FS208" s="36"/>
      <c r="FT208" s="36"/>
      <c r="FU208" s="36"/>
      <c r="FV208" s="36"/>
      <c r="FW208" s="36"/>
      <c r="FX208" s="36"/>
      <c r="FY208" s="36"/>
      <c r="FZ208" s="36"/>
      <c r="GA208" s="6"/>
      <c r="GB208" s="6"/>
      <c r="GC208" s="36"/>
      <c r="GD208" s="36"/>
      <c r="GE208" s="36"/>
      <c r="GF208" s="36"/>
      <c r="GG208" s="36"/>
      <c r="GH208" s="36"/>
      <c r="GI208" s="36"/>
      <c r="GJ208" s="36"/>
      <c r="GK208" s="36"/>
      <c r="GL208" s="36"/>
      <c r="GM208" s="36"/>
      <c r="GN208" s="36"/>
      <c r="GO208" s="36"/>
      <c r="GP208" s="36"/>
      <c r="GQ208" s="36"/>
      <c r="GR208" s="36"/>
      <c r="GS208" s="36"/>
      <c r="GT208" s="36"/>
      <c r="GU208" s="36"/>
      <c r="GV208" s="6"/>
      <c r="GW208" s="36"/>
      <c r="GX208" s="36"/>
      <c r="GY208" s="36"/>
      <c r="GZ208" s="36"/>
      <c r="HA208" s="36"/>
      <c r="HB208" s="36"/>
      <c r="HC208" s="36"/>
      <c r="HD208" s="36"/>
      <c r="HE208" s="36"/>
      <c r="HF208" s="36"/>
      <c r="HG208" s="36"/>
      <c r="HH208" s="36"/>
      <c r="HI208" s="36"/>
      <c r="HJ208" s="36"/>
      <c r="HK208" s="36"/>
      <c r="HL208" s="36"/>
      <c r="HM208" s="36"/>
      <c r="HN208" s="36"/>
      <c r="HO208" s="36"/>
      <c r="HP208" s="36"/>
      <c r="HQ208" s="36"/>
      <c r="HR208" s="36"/>
      <c r="HS208" s="36"/>
      <c r="HT208" s="36"/>
      <c r="HU208" s="36"/>
      <c r="HV208" s="36"/>
      <c r="HW208" s="36"/>
      <c r="HX208" s="36"/>
      <c r="HY208" s="36"/>
      <c r="HZ208" s="36"/>
      <c r="IA208" s="36"/>
      <c r="IB208" s="36"/>
      <c r="IC208" s="36"/>
      <c r="ID208" s="36"/>
      <c r="IE208" s="36"/>
      <c r="IF208" s="36"/>
      <c r="IG208" s="36"/>
      <c r="IH208" s="36"/>
      <c r="II208" s="36"/>
      <c r="IJ208" s="36"/>
      <c r="IK208" s="36"/>
      <c r="IL208" s="36"/>
      <c r="IM208" s="36"/>
      <c r="IN208" s="36"/>
      <c r="IO208" s="36"/>
      <c r="IP208" s="36"/>
      <c r="IR208" s="2" t="s">
        <v>543</v>
      </c>
    </row>
    <row r="209" spans="1:252" ht="15.75" customHeight="1" x14ac:dyDescent="0.25">
      <c r="A209" s="36" t="s">
        <v>917</v>
      </c>
      <c r="B209" s="36" t="s">
        <v>920</v>
      </c>
      <c r="C209" s="36"/>
      <c r="D209" s="36"/>
      <c r="E209" s="36"/>
      <c r="F209" s="80">
        <v>25</v>
      </c>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c r="BD209" s="36"/>
      <c r="BE209" s="36"/>
      <c r="BF209" s="36"/>
      <c r="BG209" s="36"/>
      <c r="BH209" s="36"/>
      <c r="BI209" s="36"/>
      <c r="BJ209" s="36"/>
      <c r="BK209" s="36"/>
      <c r="BL209" s="36"/>
      <c r="BM209" s="36"/>
      <c r="BN209" s="36"/>
      <c r="BO209" s="36"/>
      <c r="BP209" s="6"/>
      <c r="BQ209" s="6"/>
      <c r="BR209" s="6"/>
      <c r="BS209" s="6"/>
      <c r="BT209" s="6"/>
      <c r="BU209" s="6"/>
      <c r="BV209" s="36"/>
      <c r="BW209" s="36"/>
      <c r="BX209" s="36"/>
      <c r="BY209" s="36"/>
      <c r="BZ209" s="36"/>
      <c r="CA209" s="36"/>
      <c r="CB209" s="36"/>
      <c r="CC209" s="36"/>
      <c r="CD209" s="36"/>
      <c r="CE209" s="36"/>
      <c r="CF209" s="36"/>
      <c r="CG209" s="36"/>
      <c r="CH209" s="36"/>
      <c r="CI209" s="36"/>
      <c r="CJ209" s="36"/>
      <c r="CK209" s="36"/>
      <c r="CL209" s="36"/>
      <c r="CM209" s="36"/>
      <c r="CN209" s="36"/>
      <c r="CO209" s="36"/>
      <c r="CP209" s="36"/>
      <c r="CQ209" s="36"/>
      <c r="CR209" s="36"/>
      <c r="CS209" s="36"/>
      <c r="CT209" s="36"/>
      <c r="CU209" s="36"/>
      <c r="CV209" s="36"/>
      <c r="CW209" s="36"/>
      <c r="CX209" s="36"/>
      <c r="CY209" s="36"/>
      <c r="CZ209" s="36"/>
      <c r="DA209" s="36"/>
      <c r="DB209" s="36"/>
      <c r="DC209" s="36"/>
      <c r="DD209" s="36"/>
      <c r="DE209" s="36"/>
      <c r="DF209" s="36"/>
      <c r="DG209" s="36"/>
      <c r="DH209" s="36"/>
      <c r="DI209" s="36"/>
      <c r="DJ209" s="36"/>
      <c r="DK209" s="36"/>
      <c r="DL209" s="36"/>
      <c r="DM209" s="36"/>
      <c r="DN209" s="36"/>
      <c r="DO209" s="36"/>
      <c r="DP209" s="36"/>
      <c r="DQ209" s="36"/>
      <c r="DR209" s="36"/>
      <c r="DS209" s="36"/>
      <c r="DT209" s="36"/>
      <c r="DU209" s="36"/>
      <c r="DV209" s="36"/>
      <c r="DW209" s="36"/>
      <c r="DX209" s="36"/>
      <c r="DY209" s="36"/>
      <c r="DZ209" s="36"/>
      <c r="EA209" s="36"/>
      <c r="EB209" s="36"/>
      <c r="EC209" s="36"/>
      <c r="ED209" s="36"/>
      <c r="EE209" s="36"/>
      <c r="EF209" s="36"/>
      <c r="EG209" s="36"/>
      <c r="EH209" s="36"/>
      <c r="EI209" s="36"/>
      <c r="EJ209" s="36"/>
      <c r="EK209" s="36"/>
      <c r="EL209" s="36"/>
      <c r="EM209" s="36"/>
      <c r="EN209" s="36"/>
      <c r="EO209" s="36"/>
      <c r="EP209" s="36"/>
      <c r="EQ209" s="36"/>
      <c r="ER209" s="36"/>
      <c r="ES209" s="36"/>
      <c r="ET209" s="36"/>
      <c r="EU209" s="36"/>
      <c r="EV209" s="36"/>
      <c r="EW209" s="36"/>
      <c r="EX209" s="36"/>
      <c r="EY209" s="36"/>
      <c r="EZ209" s="36"/>
      <c r="FA209" s="36"/>
      <c r="FB209" s="36"/>
      <c r="FC209" s="36"/>
      <c r="FD209" s="36"/>
      <c r="FE209" s="36"/>
      <c r="FF209" s="36"/>
      <c r="FG209" s="36"/>
      <c r="FH209" s="36"/>
      <c r="FI209" s="36"/>
      <c r="FJ209" s="36"/>
      <c r="FK209" s="36"/>
      <c r="FL209" s="36"/>
      <c r="FM209" s="36"/>
      <c r="FN209" s="36"/>
      <c r="FO209" s="36"/>
      <c r="FP209" s="36"/>
      <c r="FQ209" s="36"/>
      <c r="FR209" s="36"/>
      <c r="FS209" s="36"/>
      <c r="FT209" s="36"/>
      <c r="FU209" s="36"/>
      <c r="FV209" s="36"/>
      <c r="FW209" s="36"/>
      <c r="FX209" s="36"/>
      <c r="FY209" s="36"/>
      <c r="FZ209" s="36"/>
      <c r="GA209" s="6">
        <v>25</v>
      </c>
      <c r="GB209" s="6"/>
      <c r="GC209" s="36"/>
      <c r="GD209" s="36"/>
      <c r="GE209" s="36"/>
      <c r="GF209" s="36"/>
      <c r="GG209" s="36"/>
      <c r="GH209" s="36"/>
      <c r="GI209" s="36"/>
      <c r="GJ209" s="36"/>
      <c r="GK209" s="36"/>
      <c r="GL209" s="36"/>
      <c r="GM209" s="36"/>
      <c r="GN209" s="36"/>
      <c r="GO209" s="36"/>
      <c r="GP209" s="36"/>
      <c r="GQ209" s="36"/>
      <c r="GR209" s="36"/>
      <c r="GS209" s="36"/>
      <c r="GT209" s="36"/>
      <c r="GU209" s="36"/>
      <c r="GV209" s="6"/>
      <c r="GW209" s="36"/>
      <c r="GX209" s="36"/>
      <c r="GY209" s="36"/>
      <c r="GZ209" s="36"/>
      <c r="HA209" s="36"/>
      <c r="HB209" s="36"/>
      <c r="HC209" s="36"/>
      <c r="HD209" s="36"/>
      <c r="HE209" s="36"/>
      <c r="HF209" s="36"/>
      <c r="HG209" s="36"/>
      <c r="HH209" s="36"/>
      <c r="HI209" s="36"/>
      <c r="HJ209" s="36"/>
      <c r="HK209" s="36"/>
      <c r="HL209" s="36"/>
      <c r="HM209" s="36"/>
      <c r="HN209" s="36"/>
      <c r="HO209" s="36"/>
      <c r="HP209" s="36"/>
      <c r="HQ209" s="36"/>
      <c r="HR209" s="36"/>
      <c r="HS209" s="36"/>
      <c r="HT209" s="36"/>
      <c r="HU209" s="36"/>
      <c r="HV209" s="36"/>
      <c r="HW209" s="36"/>
      <c r="HX209" s="36"/>
      <c r="HY209" s="36"/>
      <c r="HZ209" s="36"/>
      <c r="IA209" s="36"/>
      <c r="IB209" s="36"/>
      <c r="IC209" s="36"/>
      <c r="ID209" s="36"/>
      <c r="IE209" s="36"/>
      <c r="IF209" s="36"/>
      <c r="IG209" s="36"/>
      <c r="IH209" s="36"/>
      <c r="II209" s="36"/>
      <c r="IJ209" s="36"/>
      <c r="IK209" s="36"/>
      <c r="IL209" s="36"/>
      <c r="IM209" s="36"/>
      <c r="IN209" s="36"/>
      <c r="IO209" s="36"/>
      <c r="IP209" s="36"/>
      <c r="IR209" s="2" t="s">
        <v>543</v>
      </c>
    </row>
    <row r="210" spans="1:252" ht="15.75" customHeight="1" x14ac:dyDescent="0.25">
      <c r="A210" s="36" t="s">
        <v>923</v>
      </c>
      <c r="B210" s="36" t="s">
        <v>924</v>
      </c>
      <c r="C210" s="36"/>
      <c r="D210" s="36"/>
      <c r="E210" s="36"/>
      <c r="F210" s="36"/>
      <c r="G210" s="36"/>
      <c r="H210" s="36"/>
      <c r="I210" s="36"/>
      <c r="J210" s="212">
        <v>5</v>
      </c>
      <c r="K210" s="36"/>
      <c r="L210" s="36"/>
      <c r="M210" s="36"/>
      <c r="N210" s="36"/>
      <c r="O210" s="36"/>
      <c r="P210" s="36"/>
      <c r="Q210" s="36">
        <v>4</v>
      </c>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v>5</v>
      </c>
      <c r="AS210" s="36"/>
      <c r="AT210" s="36">
        <v>5</v>
      </c>
      <c r="AU210" s="36"/>
      <c r="AV210" s="36"/>
      <c r="AW210" s="36"/>
      <c r="AX210" s="36"/>
      <c r="AY210" s="36"/>
      <c r="AZ210" s="36"/>
      <c r="BA210" s="36"/>
      <c r="BB210" s="36"/>
      <c r="BC210" s="36"/>
      <c r="BD210" s="36"/>
      <c r="BE210" s="36"/>
      <c r="BF210" s="36"/>
      <c r="BG210" s="36"/>
      <c r="BH210" s="36"/>
      <c r="BI210" s="36"/>
      <c r="BJ210" s="36"/>
      <c r="BK210" s="36"/>
      <c r="BL210" s="36"/>
      <c r="BM210" s="36"/>
      <c r="BN210" s="36"/>
      <c r="BO210" s="36"/>
      <c r="BP210" s="6"/>
      <c r="BQ210" s="6"/>
      <c r="BR210" s="6"/>
      <c r="BS210" s="6"/>
      <c r="BT210" s="6"/>
      <c r="BU210" s="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v>6</v>
      </c>
      <c r="DG210" s="36">
        <v>6</v>
      </c>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c r="FP210" s="36"/>
      <c r="FQ210" s="36"/>
      <c r="FR210" s="36"/>
      <c r="FS210" s="36"/>
      <c r="FT210" s="36"/>
      <c r="FU210" s="36"/>
      <c r="FV210" s="36">
        <v>25</v>
      </c>
      <c r="FW210" s="36"/>
      <c r="FX210" s="36"/>
      <c r="FY210" s="36"/>
      <c r="FZ210" s="36"/>
      <c r="GA210" s="6"/>
      <c r="GB210" s="6"/>
      <c r="GC210" s="36"/>
      <c r="GD210" s="36"/>
      <c r="GE210" s="36"/>
      <c r="GF210" s="36"/>
      <c r="GG210" s="36"/>
      <c r="GH210" s="36"/>
      <c r="GI210" s="36"/>
      <c r="GJ210" s="36"/>
      <c r="GK210" s="36"/>
      <c r="GL210" s="36"/>
      <c r="GM210" s="36">
        <v>25</v>
      </c>
      <c r="GN210" s="36"/>
      <c r="GO210" s="36"/>
      <c r="GP210" s="36"/>
      <c r="GQ210" s="36"/>
      <c r="GR210" s="36"/>
      <c r="GS210" s="36">
        <v>25</v>
      </c>
      <c r="GT210" s="36"/>
      <c r="GU210" s="36"/>
      <c r="GV210" s="6"/>
      <c r="GW210" s="36"/>
      <c r="GX210" s="36"/>
      <c r="GY210" s="36"/>
      <c r="GZ210" s="36"/>
      <c r="HA210" s="36"/>
      <c r="HB210" s="36"/>
      <c r="HC210" s="36"/>
      <c r="HD210" s="36"/>
      <c r="HE210" s="36"/>
      <c r="HF210" s="36"/>
      <c r="HG210" s="36"/>
      <c r="HH210" s="36"/>
      <c r="HI210" s="36"/>
      <c r="HJ210" s="36"/>
      <c r="HK210" s="36"/>
      <c r="HL210" s="36"/>
      <c r="HM210" s="36"/>
      <c r="HN210" s="36"/>
      <c r="HO210" s="36"/>
      <c r="HP210" s="36"/>
      <c r="HQ210" s="36"/>
      <c r="HR210" s="36"/>
      <c r="HS210" s="36"/>
      <c r="HT210" s="36"/>
      <c r="HU210" s="36"/>
      <c r="HV210" s="36"/>
      <c r="HW210" s="36"/>
      <c r="HX210" s="36"/>
      <c r="HY210" s="36"/>
      <c r="HZ210" s="36"/>
      <c r="IA210" s="36"/>
      <c r="IB210" s="36"/>
      <c r="IC210" s="36"/>
      <c r="ID210" s="36"/>
      <c r="IE210" s="36"/>
      <c r="IF210" s="36"/>
      <c r="IG210" s="36"/>
      <c r="IH210" s="36"/>
      <c r="II210" s="36"/>
      <c r="IJ210" s="36"/>
      <c r="IK210" s="36"/>
      <c r="IL210" s="36"/>
      <c r="IM210" s="36"/>
      <c r="IN210" s="36"/>
      <c r="IO210" s="36"/>
      <c r="IP210" s="36"/>
      <c r="IR210" s="2" t="s">
        <v>543</v>
      </c>
    </row>
    <row r="211" spans="1:252" ht="15.75" customHeight="1" x14ac:dyDescent="0.25">
      <c r="A211" s="36" t="s">
        <v>923</v>
      </c>
      <c r="B211" s="36" t="s">
        <v>927</v>
      </c>
      <c r="C211" s="36"/>
      <c r="D211" s="36"/>
      <c r="E211" s="36"/>
      <c r="F211" s="80">
        <v>25</v>
      </c>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c r="BL211" s="36"/>
      <c r="BM211" s="36"/>
      <c r="BN211" s="36"/>
      <c r="BO211" s="36"/>
      <c r="BP211" s="6"/>
      <c r="BQ211" s="6"/>
      <c r="BR211" s="6"/>
      <c r="BS211" s="6"/>
      <c r="BT211" s="6"/>
      <c r="BU211" s="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v>5</v>
      </c>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c r="FP211" s="36"/>
      <c r="FQ211" s="36"/>
      <c r="FR211" s="36"/>
      <c r="FS211" s="36"/>
      <c r="FT211" s="36"/>
      <c r="FU211" s="36"/>
      <c r="FV211" s="36"/>
      <c r="FW211" s="36"/>
      <c r="FX211" s="36"/>
      <c r="FY211" s="36"/>
      <c r="FZ211" s="36"/>
      <c r="GA211" s="6"/>
      <c r="GB211" s="6"/>
      <c r="GC211" s="36"/>
      <c r="GD211" s="36"/>
      <c r="GE211" s="36"/>
      <c r="GF211" s="36"/>
      <c r="GG211" s="36"/>
      <c r="GH211" s="36"/>
      <c r="GI211" s="36"/>
      <c r="GJ211" s="36"/>
      <c r="GK211" s="36"/>
      <c r="GL211" s="36"/>
      <c r="GM211" s="36"/>
      <c r="GN211" s="36"/>
      <c r="GO211" s="36"/>
      <c r="GP211" s="36"/>
      <c r="GQ211" s="36"/>
      <c r="GR211" s="36"/>
      <c r="GS211" s="36"/>
      <c r="GT211" s="36"/>
      <c r="GU211" s="36"/>
      <c r="GV211" s="6"/>
      <c r="GW211" s="36"/>
      <c r="GX211" s="36"/>
      <c r="GY211" s="36"/>
      <c r="GZ211" s="36"/>
      <c r="HA211" s="36"/>
      <c r="HB211" s="36"/>
      <c r="HC211" s="36"/>
      <c r="HD211" s="36"/>
      <c r="HE211" s="36"/>
      <c r="HF211" s="36"/>
      <c r="HG211" s="36"/>
      <c r="HH211" s="36"/>
      <c r="HI211" s="36"/>
      <c r="HJ211" s="36"/>
      <c r="HK211" s="36"/>
      <c r="HL211" s="36"/>
      <c r="HM211" s="36"/>
      <c r="HN211" s="36"/>
      <c r="HO211" s="36"/>
      <c r="HP211" s="36"/>
      <c r="HQ211" s="36"/>
      <c r="HR211" s="36"/>
      <c r="HS211" s="36"/>
      <c r="HT211" s="36"/>
      <c r="HU211" s="36"/>
      <c r="HV211" s="36"/>
      <c r="HW211" s="36"/>
      <c r="HX211" s="36"/>
      <c r="HY211" s="36"/>
      <c r="HZ211" s="36"/>
      <c r="IA211" s="36"/>
      <c r="IB211" s="36"/>
      <c r="IC211" s="36"/>
      <c r="ID211" s="36"/>
      <c r="IE211" s="36"/>
      <c r="IF211" s="36"/>
      <c r="IG211" s="36"/>
      <c r="IH211" s="36"/>
      <c r="II211" s="36"/>
      <c r="IJ211" s="36"/>
      <c r="IK211" s="36"/>
      <c r="IL211" s="36"/>
      <c r="IM211" s="36"/>
      <c r="IN211" s="36"/>
      <c r="IO211" s="36"/>
      <c r="IP211" s="36"/>
      <c r="IR211" s="2" t="s">
        <v>543</v>
      </c>
    </row>
    <row r="212" spans="1:252" ht="15.75" customHeight="1" x14ac:dyDescent="0.25">
      <c r="A212" s="36" t="s">
        <v>928</v>
      </c>
      <c r="B212" s="36" t="s">
        <v>929</v>
      </c>
      <c r="C212" s="36"/>
      <c r="D212" s="36"/>
      <c r="E212" s="36"/>
      <c r="F212" s="80">
        <v>10</v>
      </c>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80">
        <v>25</v>
      </c>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c r="BN212" s="36"/>
      <c r="BO212" s="36"/>
      <c r="BP212" s="6"/>
      <c r="BQ212" s="6"/>
      <c r="BR212" s="6"/>
      <c r="BS212" s="6"/>
      <c r="BT212" s="6"/>
      <c r="BU212" s="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c r="FR212" s="36"/>
      <c r="FS212" s="36"/>
      <c r="FT212" s="36"/>
      <c r="FU212" s="36"/>
      <c r="FV212" s="36"/>
      <c r="FW212" s="36"/>
      <c r="FX212" s="36"/>
      <c r="FY212" s="36"/>
      <c r="FZ212" s="36"/>
      <c r="GA212" s="6"/>
      <c r="GB212" s="6"/>
      <c r="GC212" s="36"/>
      <c r="GD212" s="36"/>
      <c r="GE212" s="36"/>
      <c r="GF212" s="36"/>
      <c r="GG212" s="36"/>
      <c r="GH212" s="36"/>
      <c r="GI212" s="36"/>
      <c r="GJ212" s="36"/>
      <c r="GK212" s="36"/>
      <c r="GL212" s="36"/>
      <c r="GM212" s="36"/>
      <c r="GN212" s="36"/>
      <c r="GO212" s="36"/>
      <c r="GP212" s="36"/>
      <c r="GQ212" s="36"/>
      <c r="GR212" s="36"/>
      <c r="GS212" s="36"/>
      <c r="GT212" s="36"/>
      <c r="GU212" s="36"/>
      <c r="GV212" s="6"/>
      <c r="GW212" s="36"/>
      <c r="GX212" s="36"/>
      <c r="GY212" s="36"/>
      <c r="GZ212" s="36"/>
      <c r="HA212" s="36"/>
      <c r="HB212" s="36"/>
      <c r="HC212" s="36"/>
      <c r="HD212" s="36"/>
      <c r="HE212" s="36"/>
      <c r="HF212" s="36"/>
      <c r="HG212" s="36"/>
      <c r="HH212" s="36"/>
      <c r="HI212" s="36"/>
      <c r="HJ212" s="36"/>
      <c r="HK212" s="36"/>
      <c r="HL212" s="36"/>
      <c r="HM212" s="36"/>
      <c r="HN212" s="36"/>
      <c r="HO212" s="36"/>
      <c r="HP212" s="36"/>
      <c r="HQ212" s="36"/>
      <c r="HR212" s="36"/>
      <c r="HS212" s="36"/>
      <c r="HT212" s="36"/>
      <c r="HU212" s="36"/>
      <c r="HV212" s="36"/>
      <c r="HW212" s="36"/>
      <c r="HX212" s="36"/>
      <c r="HY212" s="36"/>
      <c r="HZ212" s="36"/>
      <c r="IA212" s="36"/>
      <c r="IB212" s="36"/>
      <c r="IC212" s="36"/>
      <c r="ID212" s="36"/>
      <c r="IE212" s="36"/>
      <c r="IF212" s="36"/>
      <c r="IG212" s="36"/>
      <c r="IH212" s="36"/>
      <c r="II212" s="36"/>
      <c r="IJ212" s="36"/>
      <c r="IK212" s="36"/>
      <c r="IL212" s="36"/>
      <c r="IM212" s="36"/>
      <c r="IN212" s="36"/>
      <c r="IO212" s="36"/>
      <c r="IP212" s="36"/>
      <c r="IR212" s="2" t="s">
        <v>543</v>
      </c>
    </row>
    <row r="213" spans="1:252" ht="15.75" customHeight="1" x14ac:dyDescent="0.25">
      <c r="A213" s="36" t="s">
        <v>928</v>
      </c>
      <c r="B213" s="36" t="s">
        <v>904</v>
      </c>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c r="BN213" s="36"/>
      <c r="BO213" s="36"/>
      <c r="BP213" s="6"/>
      <c r="BQ213" s="6"/>
      <c r="BR213" s="6"/>
      <c r="BS213" s="6"/>
      <c r="BT213" s="6"/>
      <c r="BU213" s="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c r="FR213" s="36"/>
      <c r="FS213" s="36"/>
      <c r="FT213" s="36"/>
      <c r="FU213" s="36"/>
      <c r="FV213" s="36"/>
      <c r="FW213" s="36"/>
      <c r="FX213" s="36"/>
      <c r="FY213" s="36"/>
      <c r="FZ213" s="36"/>
      <c r="GA213" s="6"/>
      <c r="GB213" s="6"/>
      <c r="GC213" s="36"/>
      <c r="GD213" s="36"/>
      <c r="GE213" s="36"/>
      <c r="GF213" s="36"/>
      <c r="GG213" s="36"/>
      <c r="GH213" s="36"/>
      <c r="GI213" s="36"/>
      <c r="GJ213" s="36"/>
      <c r="GK213" s="36"/>
      <c r="GL213" s="36"/>
      <c r="GM213" s="36"/>
      <c r="GN213" s="36"/>
      <c r="GO213" s="36"/>
      <c r="GP213" s="36"/>
      <c r="GQ213" s="36"/>
      <c r="GR213" s="36"/>
      <c r="GS213" s="36"/>
      <c r="GT213" s="36"/>
      <c r="GU213" s="36"/>
      <c r="GV213" s="6"/>
      <c r="GW213" s="36"/>
      <c r="GX213" s="36"/>
      <c r="GY213" s="36"/>
      <c r="GZ213" s="36"/>
      <c r="HA213" s="36"/>
      <c r="HB213" s="36"/>
      <c r="HC213" s="36"/>
      <c r="HD213" s="36"/>
      <c r="HE213" s="36"/>
      <c r="HF213" s="36"/>
      <c r="HG213" s="36"/>
      <c r="HH213" s="36"/>
      <c r="HI213" s="36"/>
      <c r="HJ213" s="36"/>
      <c r="HK213" s="36"/>
      <c r="HL213" s="36"/>
      <c r="HM213" s="36"/>
      <c r="HN213" s="36"/>
      <c r="HO213" s="36"/>
      <c r="HP213" s="36"/>
      <c r="HQ213" s="36"/>
      <c r="HR213" s="36"/>
      <c r="HS213" s="36"/>
      <c r="HT213" s="36"/>
      <c r="HU213" s="36"/>
      <c r="HV213" s="36"/>
      <c r="HW213" s="36"/>
      <c r="HX213" s="36"/>
      <c r="HY213" s="36"/>
      <c r="HZ213" s="36"/>
      <c r="IA213" s="36"/>
      <c r="IB213" s="36"/>
      <c r="IC213" s="36"/>
      <c r="ID213" s="36"/>
      <c r="IE213" s="36"/>
      <c r="IF213" s="36"/>
      <c r="IG213" s="36"/>
      <c r="IH213" s="36"/>
      <c r="II213" s="36"/>
      <c r="IJ213" s="36"/>
      <c r="IK213" s="36"/>
      <c r="IL213" s="36">
        <v>1</v>
      </c>
      <c r="IM213" s="36">
        <v>1</v>
      </c>
      <c r="IN213" s="36"/>
      <c r="IO213" s="36"/>
      <c r="IP213" s="36"/>
      <c r="IR213" s="2" t="s">
        <v>543</v>
      </c>
    </row>
    <row r="214" spans="1:252" ht="15.75" customHeight="1" x14ac:dyDescent="0.25">
      <c r="A214" s="36" t="s">
        <v>928</v>
      </c>
      <c r="B214" s="36" t="s">
        <v>932</v>
      </c>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c r="BP214" s="6"/>
      <c r="BQ214" s="6"/>
      <c r="BR214" s="6"/>
      <c r="BS214" s="6"/>
      <c r="BT214" s="6"/>
      <c r="BU214" s="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c r="FT214" s="36"/>
      <c r="FU214" s="36"/>
      <c r="FV214" s="36"/>
      <c r="FW214" s="36"/>
      <c r="FX214" s="36"/>
      <c r="FY214" s="36"/>
      <c r="FZ214" s="36"/>
      <c r="GA214" s="6"/>
      <c r="GB214" s="6"/>
      <c r="GC214" s="36"/>
      <c r="GD214" s="36"/>
      <c r="GE214" s="36"/>
      <c r="GF214" s="36"/>
      <c r="GG214" s="36"/>
      <c r="GH214" s="36"/>
      <c r="GI214" s="36"/>
      <c r="GJ214" s="36"/>
      <c r="GK214" s="36"/>
      <c r="GL214" s="36"/>
      <c r="GM214" s="36"/>
      <c r="GN214" s="36"/>
      <c r="GO214" s="36"/>
      <c r="GP214" s="36"/>
      <c r="GQ214" s="36"/>
      <c r="GR214" s="36"/>
      <c r="GS214" s="36"/>
      <c r="GT214" s="36"/>
      <c r="GU214" s="36"/>
      <c r="GV214" s="6"/>
      <c r="GW214" s="36"/>
      <c r="GX214" s="36"/>
      <c r="GY214" s="36"/>
      <c r="GZ214" s="36"/>
      <c r="HA214" s="36"/>
      <c r="HB214" s="36"/>
      <c r="HC214" s="36"/>
      <c r="HD214" s="36"/>
      <c r="HE214" s="36"/>
      <c r="HF214" s="36"/>
      <c r="HG214" s="36"/>
      <c r="HH214" s="36"/>
      <c r="HI214" s="36"/>
      <c r="HJ214" s="36"/>
      <c r="HK214" s="36"/>
      <c r="HL214" s="36"/>
      <c r="HM214" s="36"/>
      <c r="HN214" s="36"/>
      <c r="HO214" s="36"/>
      <c r="HP214" s="36"/>
      <c r="HQ214" s="36"/>
      <c r="HR214" s="36"/>
      <c r="HS214" s="36"/>
      <c r="HT214" s="36"/>
      <c r="HU214" s="36"/>
      <c r="HV214" s="36"/>
      <c r="HW214" s="36"/>
      <c r="HX214" s="36"/>
      <c r="HY214" s="36"/>
      <c r="HZ214" s="36"/>
      <c r="IA214" s="36"/>
      <c r="IB214" s="36"/>
      <c r="IC214" s="36"/>
      <c r="ID214" s="36"/>
      <c r="IE214" s="36"/>
      <c r="IF214" s="36"/>
      <c r="IG214" s="36"/>
      <c r="IH214" s="36"/>
      <c r="II214" s="36"/>
      <c r="IJ214" s="36"/>
      <c r="IK214" s="36">
        <v>1</v>
      </c>
      <c r="IL214" s="36">
        <v>1</v>
      </c>
      <c r="IM214" s="36">
        <v>1</v>
      </c>
      <c r="IN214" s="36"/>
      <c r="IO214" s="36"/>
      <c r="IP214" s="36"/>
      <c r="IR214" s="2" t="s">
        <v>543</v>
      </c>
    </row>
    <row r="215" spans="1:252" ht="15.75" customHeight="1" x14ac:dyDescent="0.25">
      <c r="A215" s="36" t="s">
        <v>517</v>
      </c>
      <c r="B215" s="36" t="s">
        <v>934</v>
      </c>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c r="BP215" s="6"/>
      <c r="BQ215" s="6"/>
      <c r="BR215" s="6"/>
      <c r="BS215" s="6"/>
      <c r="BT215" s="6"/>
      <c r="BU215" s="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c r="FT215" s="36"/>
      <c r="FU215" s="36"/>
      <c r="FV215" s="36"/>
      <c r="FW215" s="36"/>
      <c r="FX215" s="36"/>
      <c r="FY215" s="36"/>
      <c r="FZ215" s="36"/>
      <c r="GA215" s="6"/>
      <c r="GB215" s="6"/>
      <c r="GC215" s="36"/>
      <c r="GD215" s="36"/>
      <c r="GE215" s="36"/>
      <c r="GF215" s="36"/>
      <c r="GG215" s="36"/>
      <c r="GH215" s="36"/>
      <c r="GI215" s="36"/>
      <c r="GJ215" s="36"/>
      <c r="GK215" s="36"/>
      <c r="GL215" s="36"/>
      <c r="GM215" s="36"/>
      <c r="GN215" s="36"/>
      <c r="GO215" s="36"/>
      <c r="GP215" s="36"/>
      <c r="GQ215" s="36"/>
      <c r="GR215" s="36"/>
      <c r="GS215" s="36"/>
      <c r="GT215" s="36"/>
      <c r="GU215" s="36"/>
      <c r="GV215" s="6"/>
      <c r="GW215" s="36"/>
      <c r="GX215" s="36"/>
      <c r="GY215" s="36"/>
      <c r="GZ215" s="36"/>
      <c r="HA215" s="36"/>
      <c r="HB215" s="36"/>
      <c r="HC215" s="36"/>
      <c r="HD215" s="36"/>
      <c r="HE215" s="36"/>
      <c r="HF215" s="36"/>
      <c r="HG215" s="36"/>
      <c r="HH215" s="36"/>
      <c r="HI215" s="36"/>
      <c r="HJ215" s="36"/>
      <c r="HK215" s="36"/>
      <c r="HL215" s="36"/>
      <c r="HM215" s="36"/>
      <c r="HN215" s="36"/>
      <c r="HO215" s="36"/>
      <c r="HP215" s="36"/>
      <c r="HQ215" s="36"/>
      <c r="HR215" s="36"/>
      <c r="HS215" s="36"/>
      <c r="HT215" s="36"/>
      <c r="HU215" s="36"/>
      <c r="HV215" s="36"/>
      <c r="HW215" s="36"/>
      <c r="HX215" s="36"/>
      <c r="HY215" s="36"/>
      <c r="HZ215" s="36"/>
      <c r="IA215" s="36"/>
      <c r="IB215" s="36"/>
      <c r="IC215" s="36"/>
      <c r="ID215" s="36"/>
      <c r="IE215" s="36"/>
      <c r="IF215" s="36"/>
      <c r="IG215" s="36"/>
      <c r="IH215" s="36"/>
      <c r="II215" s="36"/>
      <c r="IJ215" s="36"/>
      <c r="IK215" s="36"/>
      <c r="IL215" s="36"/>
      <c r="IM215" s="36"/>
      <c r="IN215" s="36">
        <v>350</v>
      </c>
      <c r="IO215" s="36"/>
      <c r="IP215" s="36"/>
      <c r="IR215" s="2" t="s">
        <v>543</v>
      </c>
    </row>
    <row r="216" spans="1:252" ht="15.75" customHeight="1" x14ac:dyDescent="0.25">
      <c r="A216" s="36" t="s">
        <v>935</v>
      </c>
      <c r="B216" s="36" t="s">
        <v>936</v>
      </c>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6"/>
      <c r="BQ216" s="6"/>
      <c r="BR216" s="6"/>
      <c r="BS216" s="6"/>
      <c r="BT216" s="6"/>
      <c r="BU216" s="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c r="FU216" s="36"/>
      <c r="FV216" s="36"/>
      <c r="FW216" s="36"/>
      <c r="FX216" s="36"/>
      <c r="FY216" s="36"/>
      <c r="FZ216" s="36"/>
      <c r="GA216" s="6"/>
      <c r="GB216" s="6"/>
      <c r="GC216" s="36"/>
      <c r="GD216" s="36"/>
      <c r="GE216" s="36"/>
      <c r="GF216" s="36"/>
      <c r="GG216" s="36"/>
      <c r="GH216" s="36"/>
      <c r="GI216" s="36"/>
      <c r="GJ216" s="36"/>
      <c r="GK216" s="36"/>
      <c r="GL216" s="36"/>
      <c r="GM216" s="36"/>
      <c r="GN216" s="36"/>
      <c r="GO216" s="36"/>
      <c r="GP216" s="36"/>
      <c r="GQ216" s="36"/>
      <c r="GR216" s="36"/>
      <c r="GS216" s="36"/>
      <c r="GT216" s="36"/>
      <c r="GU216" s="36"/>
      <c r="GV216" s="6"/>
      <c r="GW216" s="36"/>
      <c r="GX216" s="36"/>
      <c r="GY216" s="36"/>
      <c r="GZ216" s="36"/>
      <c r="HA216" s="36"/>
      <c r="HB216" s="36"/>
      <c r="HC216" s="36"/>
      <c r="HD216" s="36"/>
      <c r="HE216" s="36"/>
      <c r="HF216" s="36"/>
      <c r="HG216" s="36"/>
      <c r="HH216" s="36"/>
      <c r="HI216" s="36"/>
      <c r="HJ216" s="36"/>
      <c r="HK216" s="36"/>
      <c r="HL216" s="36"/>
      <c r="HM216" s="36"/>
      <c r="HN216" s="36"/>
      <c r="HO216" s="36"/>
      <c r="HP216" s="36"/>
      <c r="HQ216" s="36"/>
      <c r="HR216" s="36"/>
      <c r="HS216" s="36"/>
      <c r="HT216" s="36"/>
      <c r="HU216" s="36"/>
      <c r="HV216" s="36"/>
      <c r="HW216" s="36"/>
      <c r="HX216" s="36"/>
      <c r="HY216" s="36"/>
      <c r="HZ216" s="36"/>
      <c r="IA216" s="36"/>
      <c r="IB216" s="36"/>
      <c r="IC216" s="36"/>
      <c r="ID216" s="36"/>
      <c r="IE216" s="36"/>
      <c r="IF216" s="36"/>
      <c r="IG216" s="36"/>
      <c r="IH216" s="36"/>
      <c r="II216" s="36"/>
      <c r="IJ216" s="36"/>
      <c r="IK216" s="36"/>
      <c r="IL216" s="36"/>
      <c r="IM216" s="36"/>
      <c r="IN216" s="36">
        <v>328</v>
      </c>
      <c r="IO216" s="36"/>
      <c r="IP216" s="36"/>
      <c r="IR216" s="2" t="s">
        <v>543</v>
      </c>
    </row>
    <row r="217" spans="1:252" ht="15.75" customHeight="1" x14ac:dyDescent="0.25">
      <c r="A217" s="36" t="s">
        <v>935</v>
      </c>
      <c r="B217" s="36" t="s">
        <v>938</v>
      </c>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6"/>
      <c r="BQ217" s="6"/>
      <c r="BR217" s="6"/>
      <c r="BS217" s="6"/>
      <c r="BT217" s="6"/>
      <c r="BU217" s="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c r="FU217" s="36"/>
      <c r="FV217" s="36"/>
      <c r="FW217" s="36"/>
      <c r="FX217" s="36"/>
      <c r="FY217" s="36"/>
      <c r="FZ217" s="36"/>
      <c r="GA217" s="6"/>
      <c r="GB217" s="6"/>
      <c r="GC217" s="36"/>
      <c r="GD217" s="36"/>
      <c r="GE217" s="36"/>
      <c r="GF217" s="36"/>
      <c r="GG217" s="36"/>
      <c r="GH217" s="36"/>
      <c r="GI217" s="36"/>
      <c r="GJ217" s="36"/>
      <c r="GK217" s="36"/>
      <c r="GL217" s="36"/>
      <c r="GM217" s="36"/>
      <c r="GN217" s="36"/>
      <c r="GO217" s="36"/>
      <c r="GP217" s="36"/>
      <c r="GQ217" s="36"/>
      <c r="GR217" s="36"/>
      <c r="GS217" s="36"/>
      <c r="GT217" s="36"/>
      <c r="GU217" s="36"/>
      <c r="GV217" s="6"/>
      <c r="GW217" s="36"/>
      <c r="GX217" s="36"/>
      <c r="GY217" s="36"/>
      <c r="GZ217" s="36"/>
      <c r="HA217" s="36"/>
      <c r="HB217" s="36"/>
      <c r="HC217" s="36"/>
      <c r="HD217" s="36"/>
      <c r="HE217" s="36"/>
      <c r="HF217" s="36"/>
      <c r="HG217" s="36"/>
      <c r="HH217" s="36"/>
      <c r="HI217" s="36"/>
      <c r="HJ217" s="36"/>
      <c r="HK217" s="36"/>
      <c r="HL217" s="36"/>
      <c r="HM217" s="36"/>
      <c r="HN217" s="36"/>
      <c r="HO217" s="36"/>
      <c r="HP217" s="36"/>
      <c r="HQ217" s="36"/>
      <c r="HR217" s="36"/>
      <c r="HS217" s="36"/>
      <c r="HT217" s="36"/>
      <c r="HU217" s="36"/>
      <c r="HV217" s="36"/>
      <c r="HW217" s="36"/>
      <c r="HX217" s="36"/>
      <c r="HY217" s="36"/>
      <c r="HZ217" s="36"/>
      <c r="IA217" s="36"/>
      <c r="IB217" s="36"/>
      <c r="IC217" s="36"/>
      <c r="ID217" s="36"/>
      <c r="IE217" s="36"/>
      <c r="IF217" s="36"/>
      <c r="IG217" s="36"/>
      <c r="IH217" s="36"/>
      <c r="II217" s="36"/>
      <c r="IJ217" s="36"/>
      <c r="IK217" s="36"/>
      <c r="IL217" s="36"/>
      <c r="IM217" s="36"/>
      <c r="IN217" s="36"/>
      <c r="IO217" s="36">
        <v>8400</v>
      </c>
      <c r="IP217" s="36"/>
      <c r="IR217" s="2" t="s">
        <v>543</v>
      </c>
    </row>
    <row r="218" spans="1:252" ht="15.75" customHeight="1" x14ac:dyDescent="0.25">
      <c r="A218" s="36" t="s">
        <v>935</v>
      </c>
      <c r="B218" s="36" t="s">
        <v>939</v>
      </c>
      <c r="C218" s="36"/>
      <c r="D218" s="36"/>
      <c r="E218" s="36"/>
      <c r="F218" s="36"/>
      <c r="G218" s="36"/>
      <c r="H218" s="36"/>
      <c r="I218" s="212"/>
      <c r="J218" s="212">
        <v>5</v>
      </c>
      <c r="K218" s="36"/>
      <c r="L218" s="212"/>
      <c r="M218" s="212"/>
      <c r="N218" s="212"/>
      <c r="O218" s="212">
        <v>10</v>
      </c>
      <c r="P218" s="212"/>
      <c r="Q218" s="212">
        <v>5</v>
      </c>
      <c r="R218" s="212"/>
      <c r="S218" s="212"/>
      <c r="T218" s="36"/>
      <c r="U218" s="212"/>
      <c r="V218" s="212"/>
      <c r="W218" s="212"/>
      <c r="X218" s="212">
        <v>5</v>
      </c>
      <c r="Y218" s="212"/>
      <c r="Z218" s="212"/>
      <c r="AA218" s="212"/>
      <c r="AB218" s="212"/>
      <c r="AC218" s="36">
        <v>10</v>
      </c>
      <c r="AD218" s="36"/>
      <c r="AE218" s="36">
        <v>10</v>
      </c>
      <c r="AF218" s="36"/>
      <c r="AG218" s="36"/>
      <c r="AH218" s="36"/>
      <c r="AI218" s="36">
        <v>10</v>
      </c>
      <c r="AJ218" s="36"/>
      <c r="AK218" s="36"/>
      <c r="AL218" s="36"/>
      <c r="AM218" s="36"/>
      <c r="AN218" s="36"/>
      <c r="AO218" s="36"/>
      <c r="AP218" s="36"/>
      <c r="AQ218" s="36">
        <v>5</v>
      </c>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6"/>
      <c r="BQ218" s="6"/>
      <c r="BR218" s="6"/>
      <c r="BS218" s="6"/>
      <c r="BT218" s="6"/>
      <c r="BU218" s="6"/>
      <c r="BV218" s="36"/>
      <c r="BW218" s="36"/>
      <c r="BX218" s="36"/>
      <c r="BY218" s="36"/>
      <c r="BZ218" s="36">
        <v>20</v>
      </c>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v>6</v>
      </c>
      <c r="DG218" s="36"/>
      <c r="DH218" s="36"/>
      <c r="DI218" s="36"/>
      <c r="DJ218" s="36">
        <v>6</v>
      </c>
      <c r="DK218" s="36"/>
      <c r="DL218" s="36"/>
      <c r="DM218" s="36"/>
      <c r="DN218" s="36"/>
      <c r="DO218" s="36"/>
      <c r="DP218" s="36"/>
      <c r="DQ218" s="36"/>
      <c r="DR218" s="36"/>
      <c r="DS218" s="36"/>
      <c r="DT218" s="36"/>
      <c r="DU218" s="36"/>
      <c r="DV218" s="36"/>
      <c r="DW218" s="36"/>
      <c r="DX218" s="36"/>
      <c r="DY218" s="36"/>
      <c r="DZ218" s="36"/>
      <c r="EA218" s="36"/>
      <c r="EB218" s="36"/>
      <c r="EC218" s="36"/>
      <c r="ED218" s="36"/>
      <c r="EE218" s="36">
        <v>6</v>
      </c>
      <c r="EF218" s="36"/>
      <c r="EG218" s="36"/>
      <c r="EH218" s="36"/>
      <c r="EI218" s="36"/>
      <c r="EJ218" s="36"/>
      <c r="EK218" s="36"/>
      <c r="EL218" s="36"/>
      <c r="EM218" s="36"/>
      <c r="EN218" s="36"/>
      <c r="EO218" s="36"/>
      <c r="EP218" s="36"/>
      <c r="EQ218" s="36">
        <v>20</v>
      </c>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c r="FW218" s="36"/>
      <c r="FX218" s="36"/>
      <c r="FY218" s="36"/>
      <c r="FZ218" s="36"/>
      <c r="GA218" s="6"/>
      <c r="GB218" s="6"/>
      <c r="GC218" s="36"/>
      <c r="GD218" s="36"/>
      <c r="GE218" s="36"/>
      <c r="GF218" s="36"/>
      <c r="GG218" s="36"/>
      <c r="GH218" s="36"/>
      <c r="GI218" s="36"/>
      <c r="GJ218" s="36"/>
      <c r="GK218" s="36"/>
      <c r="GL218" s="36"/>
      <c r="GM218" s="36"/>
      <c r="GN218" s="36"/>
      <c r="GO218" s="36"/>
      <c r="GP218" s="36"/>
      <c r="GQ218" s="36"/>
      <c r="GR218" s="36"/>
      <c r="GS218" s="36"/>
      <c r="GT218" s="36"/>
      <c r="GU218" s="36"/>
      <c r="GV218" s="6"/>
      <c r="GW218" s="36"/>
      <c r="GX218" s="36"/>
      <c r="GY218" s="36"/>
      <c r="GZ218" s="36"/>
      <c r="HA218" s="36"/>
      <c r="HB218" s="36"/>
      <c r="HC218" s="36"/>
      <c r="HD218" s="36"/>
      <c r="HE218" s="36"/>
      <c r="HF218" s="36">
        <v>100</v>
      </c>
      <c r="HG218" s="36"/>
      <c r="HH218" s="36"/>
      <c r="HI218" s="36"/>
      <c r="HJ218" s="36"/>
      <c r="HK218" s="36"/>
      <c r="HL218" s="36"/>
      <c r="HM218" s="36"/>
      <c r="HN218" s="36"/>
      <c r="HO218" s="36"/>
      <c r="HP218" s="36"/>
      <c r="HQ218" s="36"/>
      <c r="HR218" s="36"/>
      <c r="HS218" s="36"/>
      <c r="HT218" s="36"/>
      <c r="HU218" s="36"/>
      <c r="HV218" s="36"/>
      <c r="HW218" s="36"/>
      <c r="HX218" s="36">
        <v>48</v>
      </c>
      <c r="HY218" s="36">
        <v>48</v>
      </c>
      <c r="HZ218" s="36"/>
      <c r="IA218" s="36"/>
      <c r="IB218" s="36"/>
      <c r="IC218" s="36"/>
      <c r="ID218" s="36"/>
      <c r="IE218" s="36"/>
      <c r="IF218" s="36"/>
      <c r="IG218" s="36"/>
      <c r="IH218" s="36"/>
      <c r="II218" s="36"/>
      <c r="IJ218" s="36"/>
      <c r="IK218" s="36">
        <v>1</v>
      </c>
      <c r="IL218" s="36">
        <v>3</v>
      </c>
      <c r="IM218" s="36">
        <v>2</v>
      </c>
      <c r="IN218" s="36"/>
      <c r="IO218" s="36"/>
      <c r="IP218" s="36"/>
      <c r="IR218" s="2" t="s">
        <v>543</v>
      </c>
    </row>
    <row r="219" spans="1:252" ht="15.75" customHeight="1" x14ac:dyDescent="0.25">
      <c r="A219" s="36" t="s">
        <v>941</v>
      </c>
      <c r="B219" s="36" t="s">
        <v>942</v>
      </c>
      <c r="C219" s="36"/>
      <c r="D219" s="36"/>
      <c r="E219" s="36"/>
      <c r="F219" s="36"/>
      <c r="G219" s="36"/>
      <c r="H219" s="36"/>
      <c r="I219" s="36"/>
      <c r="J219" s="212">
        <v>5</v>
      </c>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6"/>
      <c r="BQ219" s="6"/>
      <c r="BR219" s="6"/>
      <c r="BS219" s="6"/>
      <c r="BT219" s="6"/>
      <c r="BU219" s="6"/>
      <c r="BV219" s="36"/>
      <c r="BW219" s="36"/>
      <c r="BX219" s="36"/>
      <c r="BY219" s="36"/>
      <c r="BZ219" s="36"/>
      <c r="CA219" s="36"/>
      <c r="CB219" s="36"/>
      <c r="CC219" s="36"/>
      <c r="CD219" s="36"/>
      <c r="CE219" s="36"/>
      <c r="CF219" s="36"/>
      <c r="CG219" s="36"/>
      <c r="CH219" s="36"/>
      <c r="CI219" s="36"/>
      <c r="CJ219" s="36"/>
      <c r="CK219" s="36"/>
      <c r="CL219" s="36">
        <v>10</v>
      </c>
      <c r="CM219" s="36">
        <v>5</v>
      </c>
      <c r="CN219" s="36"/>
      <c r="CO219" s="36"/>
      <c r="CP219" s="36"/>
      <c r="CQ219" s="36"/>
      <c r="CR219" s="36"/>
      <c r="CS219" s="36"/>
      <c r="CT219" s="36"/>
      <c r="CU219" s="36"/>
      <c r="CV219" s="36"/>
      <c r="CW219" s="36"/>
      <c r="CX219" s="36"/>
      <c r="CY219" s="36"/>
      <c r="CZ219" s="36"/>
      <c r="DA219" s="36"/>
      <c r="DB219" s="36"/>
      <c r="DC219" s="36"/>
      <c r="DD219" s="36"/>
      <c r="DE219" s="36"/>
      <c r="DF219" s="36"/>
      <c r="DG219" s="36">
        <v>12</v>
      </c>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v>10</v>
      </c>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c r="FW219" s="36"/>
      <c r="FX219" s="36"/>
      <c r="FY219" s="36"/>
      <c r="FZ219" s="36"/>
      <c r="GA219" s="6"/>
      <c r="GB219" s="6"/>
      <c r="GC219" s="36"/>
      <c r="GD219" s="36"/>
      <c r="GE219" s="36"/>
      <c r="GF219" s="36"/>
      <c r="GG219" s="36"/>
      <c r="GH219" s="36"/>
      <c r="GI219" s="36"/>
      <c r="GJ219" s="36"/>
      <c r="GK219" s="36"/>
      <c r="GL219" s="36"/>
      <c r="GM219" s="36"/>
      <c r="GN219" s="36"/>
      <c r="GO219" s="36"/>
      <c r="GP219" s="36"/>
      <c r="GQ219" s="36"/>
      <c r="GR219" s="36"/>
      <c r="GS219" s="36"/>
      <c r="GT219" s="36"/>
      <c r="GU219" s="36"/>
      <c r="GV219" s="6"/>
      <c r="GW219" s="36"/>
      <c r="GX219" s="36"/>
      <c r="GY219" s="36"/>
      <c r="GZ219" s="36"/>
      <c r="HA219" s="36"/>
      <c r="HB219" s="36"/>
      <c r="HC219" s="36"/>
      <c r="HD219" s="36"/>
      <c r="HE219" s="36"/>
      <c r="HF219" s="36"/>
      <c r="HG219" s="36"/>
      <c r="HH219" s="36"/>
      <c r="HI219" s="36"/>
      <c r="HJ219" s="36"/>
      <c r="HK219" s="36"/>
      <c r="HL219" s="36"/>
      <c r="HM219" s="36"/>
      <c r="HN219" s="36"/>
      <c r="HO219" s="36"/>
      <c r="HP219" s="36"/>
      <c r="HQ219" s="36"/>
      <c r="HR219" s="36"/>
      <c r="HS219" s="36"/>
      <c r="HT219" s="36"/>
      <c r="HU219" s="36"/>
      <c r="HV219" s="36"/>
      <c r="HW219" s="36"/>
      <c r="HX219" s="36"/>
      <c r="HY219" s="36"/>
      <c r="HZ219" s="36"/>
      <c r="IA219" s="36"/>
      <c r="IB219" s="36"/>
      <c r="IC219" s="36"/>
      <c r="ID219" s="36"/>
      <c r="IE219" s="36"/>
      <c r="IF219" s="36"/>
      <c r="IG219" s="36"/>
      <c r="IH219" s="36"/>
      <c r="II219" s="36"/>
      <c r="IJ219" s="36"/>
      <c r="IK219" s="36"/>
      <c r="IL219" s="36"/>
      <c r="IM219" s="36"/>
      <c r="IN219" s="36"/>
      <c r="IO219" s="36"/>
      <c r="IP219" s="36"/>
      <c r="IR219" s="2" t="s">
        <v>543</v>
      </c>
    </row>
    <row r="220" spans="1:252" ht="15.75" customHeight="1" x14ac:dyDescent="0.25">
      <c r="A220" s="36" t="s">
        <v>941</v>
      </c>
      <c r="B220" s="36" t="s">
        <v>944</v>
      </c>
      <c r="C220" s="36"/>
      <c r="D220" s="36"/>
      <c r="E220" s="36"/>
      <c r="F220" s="36"/>
      <c r="G220" s="36"/>
      <c r="H220" s="36"/>
      <c r="I220" s="36"/>
      <c r="J220" s="36"/>
      <c r="K220" s="36"/>
      <c r="L220" s="36"/>
      <c r="M220" s="36"/>
      <c r="N220" s="36"/>
      <c r="O220" s="36"/>
      <c r="P220" s="36">
        <v>10</v>
      </c>
      <c r="Q220" s="36"/>
      <c r="R220" s="36"/>
      <c r="S220" s="36"/>
      <c r="T220" s="36"/>
      <c r="U220" s="36"/>
      <c r="V220" s="36"/>
      <c r="W220" s="36"/>
      <c r="X220" s="36"/>
      <c r="Y220" s="36"/>
      <c r="Z220" s="36"/>
      <c r="AA220" s="36"/>
      <c r="AB220" s="36"/>
      <c r="AC220" s="36"/>
      <c r="AD220" s="36"/>
      <c r="AE220" s="36"/>
      <c r="AF220" s="36"/>
      <c r="AG220" s="36"/>
      <c r="AH220" s="36"/>
      <c r="AI220" s="36"/>
      <c r="AJ220" s="80">
        <v>10</v>
      </c>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6"/>
      <c r="BQ220" s="6"/>
      <c r="BR220" s="6"/>
      <c r="BS220" s="6"/>
      <c r="BT220" s="6"/>
      <c r="BU220" s="6"/>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c r="FY220" s="36"/>
      <c r="FZ220" s="36"/>
      <c r="GA220" s="6"/>
      <c r="GB220" s="6"/>
      <c r="GC220" s="36"/>
      <c r="GD220" s="36"/>
      <c r="GE220" s="36"/>
      <c r="GF220" s="36"/>
      <c r="GG220" s="36"/>
      <c r="GH220" s="36"/>
      <c r="GI220" s="36"/>
      <c r="GJ220" s="36"/>
      <c r="GK220" s="36"/>
      <c r="GL220" s="36"/>
      <c r="GM220" s="36"/>
      <c r="GN220" s="36"/>
      <c r="GO220" s="36"/>
      <c r="GP220" s="36"/>
      <c r="GQ220" s="36"/>
      <c r="GR220" s="36"/>
      <c r="GS220" s="36"/>
      <c r="GT220" s="36"/>
      <c r="GU220" s="36"/>
      <c r="GV220" s="6"/>
      <c r="GW220" s="36"/>
      <c r="GX220" s="36"/>
      <c r="GY220" s="36"/>
      <c r="GZ220" s="36"/>
      <c r="HA220" s="36"/>
      <c r="HB220" s="36"/>
      <c r="HC220" s="36"/>
      <c r="HD220" s="36"/>
      <c r="HE220" s="36"/>
      <c r="HF220" s="36"/>
      <c r="HG220" s="36"/>
      <c r="HH220" s="36"/>
      <c r="HI220" s="36"/>
      <c r="HJ220" s="36"/>
      <c r="HK220" s="36"/>
      <c r="HL220" s="36"/>
      <c r="HM220" s="36"/>
      <c r="HN220" s="36"/>
      <c r="HO220" s="36"/>
      <c r="HP220" s="36"/>
      <c r="HQ220" s="36"/>
      <c r="HR220" s="36"/>
      <c r="HS220" s="36"/>
      <c r="HT220" s="36"/>
      <c r="HU220" s="36"/>
      <c r="HV220" s="36"/>
      <c r="HW220" s="36"/>
      <c r="HX220" s="36"/>
      <c r="HY220" s="36"/>
      <c r="HZ220" s="36"/>
      <c r="IA220" s="36"/>
      <c r="IB220" s="36"/>
      <c r="IC220" s="36"/>
      <c r="ID220" s="36"/>
      <c r="IE220" s="36"/>
      <c r="IF220" s="36"/>
      <c r="IG220" s="36"/>
      <c r="IH220" s="36"/>
      <c r="II220" s="36"/>
      <c r="IJ220" s="36"/>
      <c r="IK220" s="36"/>
      <c r="IL220" s="36"/>
      <c r="IM220" s="36"/>
      <c r="IN220" s="36"/>
      <c r="IO220" s="36"/>
      <c r="IP220" s="36"/>
      <c r="IR220" s="2" t="s">
        <v>543</v>
      </c>
    </row>
    <row r="221" spans="1:252" ht="15.75" customHeight="1" x14ac:dyDescent="0.25">
      <c r="A221" s="36" t="s">
        <v>945</v>
      </c>
      <c r="B221" s="36" t="s">
        <v>946</v>
      </c>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6"/>
      <c r="BQ221" s="6"/>
      <c r="BR221" s="6"/>
      <c r="BS221" s="6"/>
      <c r="BT221" s="6"/>
      <c r="BU221" s="6"/>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v>16</v>
      </c>
      <c r="EF221" s="36"/>
      <c r="EG221" s="36"/>
      <c r="EH221" s="36"/>
      <c r="EI221" s="36"/>
      <c r="EJ221" s="36"/>
      <c r="EK221" s="36"/>
      <c r="EL221" s="36"/>
      <c r="EM221" s="36"/>
      <c r="EN221" s="36"/>
      <c r="EO221" s="36"/>
      <c r="EP221" s="36">
        <v>6</v>
      </c>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c r="FY221" s="36"/>
      <c r="FZ221" s="36"/>
      <c r="GA221" s="6"/>
      <c r="GB221" s="6"/>
      <c r="GC221" s="36"/>
      <c r="GD221" s="36"/>
      <c r="GE221" s="36"/>
      <c r="GF221" s="36"/>
      <c r="GG221" s="36"/>
      <c r="GH221" s="36"/>
      <c r="GI221" s="36"/>
      <c r="GJ221" s="36"/>
      <c r="GK221" s="36"/>
      <c r="GL221" s="36"/>
      <c r="GM221" s="36"/>
      <c r="GN221" s="36"/>
      <c r="GO221" s="36"/>
      <c r="GP221" s="36"/>
      <c r="GQ221" s="36"/>
      <c r="GR221" s="36"/>
      <c r="GS221" s="36"/>
      <c r="GT221" s="36"/>
      <c r="GU221" s="36"/>
      <c r="GV221" s="6"/>
      <c r="GW221" s="36"/>
      <c r="GX221" s="36"/>
      <c r="GY221" s="36"/>
      <c r="GZ221" s="36"/>
      <c r="HA221" s="36"/>
      <c r="HB221" s="36"/>
      <c r="HC221" s="36"/>
      <c r="HD221" s="36"/>
      <c r="HE221" s="36"/>
      <c r="HF221" s="36"/>
      <c r="HG221" s="36"/>
      <c r="HH221" s="36"/>
      <c r="HI221" s="36"/>
      <c r="HJ221" s="36"/>
      <c r="HK221" s="36"/>
      <c r="HL221" s="36"/>
      <c r="HM221" s="36"/>
      <c r="HN221" s="36"/>
      <c r="HO221" s="36"/>
      <c r="HP221" s="36"/>
      <c r="HQ221" s="36">
        <v>20</v>
      </c>
      <c r="HR221" s="36"/>
      <c r="HS221" s="36"/>
      <c r="HT221" s="36"/>
      <c r="HU221" s="36"/>
      <c r="HV221" s="36"/>
      <c r="HW221" s="36"/>
      <c r="HX221" s="36"/>
      <c r="HY221" s="36"/>
      <c r="HZ221" s="36"/>
      <c r="IA221" s="36"/>
      <c r="IB221" s="36"/>
      <c r="IC221" s="36"/>
      <c r="ID221" s="36"/>
      <c r="IE221" s="36"/>
      <c r="IF221" s="36"/>
      <c r="IG221" s="36"/>
      <c r="IH221" s="36"/>
      <c r="II221" s="36"/>
      <c r="IJ221" s="36"/>
      <c r="IK221" s="36"/>
      <c r="IL221" s="36"/>
      <c r="IM221" s="36"/>
      <c r="IN221" s="36"/>
      <c r="IO221" s="36"/>
      <c r="IP221" s="36"/>
      <c r="IR221" s="2" t="s">
        <v>543</v>
      </c>
    </row>
    <row r="222" spans="1:252" ht="15.75" customHeight="1" x14ac:dyDescent="0.25">
      <c r="A222" s="36" t="s">
        <v>945</v>
      </c>
      <c r="B222" s="36" t="s">
        <v>947</v>
      </c>
      <c r="C222" s="36"/>
      <c r="D222" s="36"/>
      <c r="E222" s="36"/>
      <c r="F222" s="36"/>
      <c r="G222" s="36"/>
      <c r="H222" s="36">
        <v>5</v>
      </c>
      <c r="I222" s="36"/>
      <c r="J222" s="36"/>
      <c r="K222" s="36"/>
      <c r="L222" s="36">
        <v>20</v>
      </c>
      <c r="M222" s="36">
        <v>10</v>
      </c>
      <c r="N222" s="36"/>
      <c r="O222" s="36">
        <v>10</v>
      </c>
      <c r="P222" s="36"/>
      <c r="Q222" s="36">
        <v>10</v>
      </c>
      <c r="R222" s="36"/>
      <c r="S222" s="36"/>
      <c r="T222" s="36"/>
      <c r="U222" s="36"/>
      <c r="V222" s="36"/>
      <c r="W222" s="36"/>
      <c r="X222" s="36"/>
      <c r="Y222" s="36"/>
      <c r="Z222" s="36"/>
      <c r="AA222" s="36"/>
      <c r="AB222" s="36"/>
      <c r="AC222" s="36">
        <v>10</v>
      </c>
      <c r="AD222" s="36"/>
      <c r="AE222" s="36"/>
      <c r="AF222" s="36"/>
      <c r="AG222" s="36"/>
      <c r="AH222" s="36"/>
      <c r="AI222" s="36"/>
      <c r="AJ222" s="36"/>
      <c r="AK222" s="36">
        <v>10</v>
      </c>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6"/>
      <c r="BQ222" s="6"/>
      <c r="BR222" s="6"/>
      <c r="BS222" s="6"/>
      <c r="BT222" s="6"/>
      <c r="BU222" s="6"/>
      <c r="BV222" s="36"/>
      <c r="BW222" s="36"/>
      <c r="BX222" s="36"/>
      <c r="BY222" s="36"/>
      <c r="BZ222" s="36"/>
      <c r="CA222" s="36"/>
      <c r="CB222" s="36"/>
      <c r="CC222" s="36"/>
      <c r="CD222" s="36"/>
      <c r="CE222" s="36"/>
      <c r="CF222" s="36">
        <v>20</v>
      </c>
      <c r="CG222" s="36">
        <v>20</v>
      </c>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v>12</v>
      </c>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c r="GA222" s="6"/>
      <c r="GB222" s="6"/>
      <c r="GC222" s="36"/>
      <c r="GD222" s="36"/>
      <c r="GE222" s="36"/>
      <c r="GF222" s="36"/>
      <c r="GG222" s="36"/>
      <c r="GH222" s="36"/>
      <c r="GI222" s="36"/>
      <c r="GJ222" s="36"/>
      <c r="GK222" s="36"/>
      <c r="GL222" s="36"/>
      <c r="GM222" s="36"/>
      <c r="GN222" s="36"/>
      <c r="GO222" s="36"/>
      <c r="GP222" s="36"/>
      <c r="GQ222" s="36"/>
      <c r="GR222" s="36"/>
      <c r="GS222" s="36"/>
      <c r="GT222" s="36"/>
      <c r="GU222" s="36"/>
      <c r="GV222" s="6"/>
      <c r="GW222" s="36"/>
      <c r="GX222" s="36">
        <v>25</v>
      </c>
      <c r="GY222" s="36"/>
      <c r="GZ222" s="36"/>
      <c r="HA222" s="36"/>
      <c r="HB222" s="36"/>
      <c r="HC222" s="36"/>
      <c r="HD222" s="36"/>
      <c r="HE222" s="36"/>
      <c r="HF222" s="36"/>
      <c r="HG222" s="36"/>
      <c r="HH222" s="36"/>
      <c r="HI222" s="36"/>
      <c r="HJ222" s="36"/>
      <c r="HK222" s="36"/>
      <c r="HL222" s="36"/>
      <c r="HM222" s="36"/>
      <c r="HN222" s="36"/>
      <c r="HO222" s="36"/>
      <c r="HP222" s="36"/>
      <c r="HQ222" s="36"/>
      <c r="HR222" s="36"/>
      <c r="HS222" s="36"/>
      <c r="HT222" s="36"/>
      <c r="HU222" s="36"/>
      <c r="HV222" s="36"/>
      <c r="HW222" s="36"/>
      <c r="HX222" s="36">
        <v>120</v>
      </c>
      <c r="HY222" s="36"/>
      <c r="HZ222" s="36"/>
      <c r="IA222" s="36"/>
      <c r="IB222" s="36"/>
      <c r="IC222" s="36"/>
      <c r="ID222" s="36"/>
      <c r="IE222" s="36"/>
      <c r="IF222" s="36"/>
      <c r="IG222" s="36"/>
      <c r="IH222" s="36"/>
      <c r="II222" s="36"/>
      <c r="IJ222" s="36"/>
      <c r="IK222" s="36"/>
      <c r="IL222" s="36"/>
      <c r="IM222" s="36"/>
      <c r="IN222" s="36"/>
      <c r="IO222" s="36"/>
      <c r="IP222" s="36"/>
      <c r="IR222" s="2" t="s">
        <v>543</v>
      </c>
    </row>
    <row r="223" spans="1:252" ht="15.75" customHeight="1" x14ac:dyDescent="0.25">
      <c r="A223" s="36" t="s">
        <v>951</v>
      </c>
      <c r="B223" s="36" t="s">
        <v>952</v>
      </c>
      <c r="C223" s="36"/>
      <c r="D223" s="36"/>
      <c r="E223" s="36"/>
      <c r="F223" s="36"/>
      <c r="G223" s="36"/>
      <c r="H223" s="36"/>
      <c r="I223" s="36"/>
      <c r="J223" s="36"/>
      <c r="K223" s="36"/>
      <c r="L223" s="36">
        <v>5</v>
      </c>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6"/>
      <c r="BQ223" s="6"/>
      <c r="BR223" s="6"/>
      <c r="BS223" s="6"/>
      <c r="BT223" s="6"/>
      <c r="BU223" s="6"/>
      <c r="BV223" s="36"/>
      <c r="BW223" s="36"/>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c r="GA223" s="6"/>
      <c r="GB223" s="6"/>
      <c r="GC223" s="36"/>
      <c r="GD223" s="36"/>
      <c r="GE223" s="36"/>
      <c r="GF223" s="36"/>
      <c r="GG223" s="36"/>
      <c r="GH223" s="36"/>
      <c r="GI223" s="36"/>
      <c r="GJ223" s="36"/>
      <c r="GK223" s="36"/>
      <c r="GL223" s="36"/>
      <c r="GM223" s="36"/>
      <c r="GN223" s="36"/>
      <c r="GO223" s="36"/>
      <c r="GP223" s="36"/>
      <c r="GQ223" s="36"/>
      <c r="GR223" s="36"/>
      <c r="GS223" s="36"/>
      <c r="GT223" s="36"/>
      <c r="GU223" s="36"/>
      <c r="GV223" s="6"/>
      <c r="GW223" s="36"/>
      <c r="GX223" s="36"/>
      <c r="GY223" s="36"/>
      <c r="GZ223" s="36"/>
      <c r="HA223" s="36"/>
      <c r="HB223" s="36"/>
      <c r="HC223" s="36"/>
      <c r="HD223" s="36"/>
      <c r="HE223" s="36"/>
      <c r="HF223" s="36"/>
      <c r="HG223" s="36"/>
      <c r="HH223" s="36"/>
      <c r="HI223" s="36"/>
      <c r="HJ223" s="36"/>
      <c r="HK223" s="36"/>
      <c r="HL223" s="36"/>
      <c r="HM223" s="36"/>
      <c r="HN223" s="36"/>
      <c r="HO223" s="36"/>
      <c r="HP223" s="36"/>
      <c r="HQ223" s="36"/>
      <c r="HR223" s="36"/>
      <c r="HS223" s="36"/>
      <c r="HT223" s="36"/>
      <c r="HU223" s="36"/>
      <c r="HV223" s="36"/>
      <c r="HW223" s="36">
        <v>5</v>
      </c>
      <c r="HX223" s="36"/>
      <c r="HY223" s="36"/>
      <c r="HZ223" s="36"/>
      <c r="IA223" s="36"/>
      <c r="IB223" s="36"/>
      <c r="IC223" s="36"/>
      <c r="ID223" s="36"/>
      <c r="IE223" s="36"/>
      <c r="IF223" s="36"/>
      <c r="IG223" s="36"/>
      <c r="IH223" s="36"/>
      <c r="II223" s="36"/>
      <c r="IJ223" s="36"/>
      <c r="IK223" s="36"/>
      <c r="IL223" s="36"/>
      <c r="IM223" s="36"/>
      <c r="IN223" s="36"/>
      <c r="IO223" s="36"/>
      <c r="IP223" s="36"/>
      <c r="IR223" s="2" t="s">
        <v>543</v>
      </c>
    </row>
    <row r="224" spans="1:252" ht="15.75" customHeight="1" x14ac:dyDescent="0.25">
      <c r="A224" s="36" t="s">
        <v>951</v>
      </c>
      <c r="B224" s="36" t="s">
        <v>953</v>
      </c>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6"/>
      <c r="BQ224" s="6"/>
      <c r="BR224" s="6"/>
      <c r="BS224" s="6"/>
      <c r="BT224" s="6"/>
      <c r="BU224" s="6"/>
      <c r="BV224" s="36"/>
      <c r="BW224" s="36"/>
      <c r="BX224" s="36"/>
      <c r="BY224" s="36"/>
      <c r="BZ224" s="36"/>
      <c r="CA224" s="36"/>
      <c r="CB224" s="36"/>
      <c r="CC224" s="36"/>
      <c r="CD224" s="36"/>
      <c r="CE224" s="36"/>
      <c r="CF224" s="36">
        <v>50</v>
      </c>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6"/>
      <c r="GB224" s="6"/>
      <c r="GC224" s="36"/>
      <c r="GD224" s="36"/>
      <c r="GE224" s="36"/>
      <c r="GF224" s="36"/>
      <c r="GG224" s="36"/>
      <c r="GH224" s="36"/>
      <c r="GI224" s="36"/>
      <c r="GJ224" s="36"/>
      <c r="GK224" s="36"/>
      <c r="GL224" s="36"/>
      <c r="GM224" s="36"/>
      <c r="GN224" s="36"/>
      <c r="GO224" s="36"/>
      <c r="GP224" s="36"/>
      <c r="GQ224" s="36"/>
      <c r="GR224" s="36"/>
      <c r="GS224" s="36"/>
      <c r="GT224" s="36"/>
      <c r="GU224" s="36"/>
      <c r="GV224" s="6"/>
      <c r="GW224" s="36"/>
      <c r="GX224" s="36"/>
      <c r="GY224" s="36"/>
      <c r="GZ224" s="36"/>
      <c r="HA224" s="36"/>
      <c r="HB224" s="36"/>
      <c r="HC224" s="36"/>
      <c r="HD224" s="36"/>
      <c r="HE224" s="36"/>
      <c r="HF224" s="36"/>
      <c r="HG224" s="36"/>
      <c r="HH224" s="36"/>
      <c r="HI224" s="36"/>
      <c r="HJ224" s="36"/>
      <c r="HK224" s="36"/>
      <c r="HL224" s="36"/>
      <c r="HM224" s="36"/>
      <c r="HN224" s="36"/>
      <c r="HO224" s="36"/>
      <c r="HP224" s="36"/>
      <c r="HQ224" s="36"/>
      <c r="HR224" s="36"/>
      <c r="HS224" s="36"/>
      <c r="HT224" s="36"/>
      <c r="HU224" s="36"/>
      <c r="HV224" s="36"/>
      <c r="HW224" s="36"/>
      <c r="HX224" s="36"/>
      <c r="HY224" s="36"/>
      <c r="HZ224" s="36"/>
      <c r="IA224" s="36"/>
      <c r="IB224" s="36"/>
      <c r="IC224" s="36"/>
      <c r="ID224" s="36"/>
      <c r="IE224" s="36"/>
      <c r="IF224" s="36"/>
      <c r="IG224" s="36"/>
      <c r="IH224" s="36"/>
      <c r="II224" s="36"/>
      <c r="IJ224" s="36"/>
      <c r="IK224" s="36"/>
      <c r="IL224" s="36"/>
      <c r="IM224" s="36"/>
      <c r="IN224" s="36"/>
      <c r="IO224" s="36"/>
      <c r="IP224" s="36"/>
      <c r="IR224" s="2" t="s">
        <v>543</v>
      </c>
    </row>
    <row r="225" spans="1:252" ht="15.75" customHeight="1" x14ac:dyDescent="0.25">
      <c r="A225" s="36" t="s">
        <v>958</v>
      </c>
      <c r="B225" s="36" t="s">
        <v>959</v>
      </c>
      <c r="C225" s="36"/>
      <c r="D225" s="36"/>
      <c r="E225" s="36"/>
      <c r="F225" s="36"/>
      <c r="G225" s="36"/>
      <c r="H225" s="36"/>
      <c r="I225" s="36">
        <v>5</v>
      </c>
      <c r="J225" s="36"/>
      <c r="K225" s="36"/>
      <c r="L225" s="36">
        <v>10</v>
      </c>
      <c r="M225" s="36"/>
      <c r="N225" s="36"/>
      <c r="O225" s="36"/>
      <c r="P225" s="36"/>
      <c r="Q225" s="36"/>
      <c r="R225" s="36"/>
      <c r="S225" s="36"/>
      <c r="T225" s="36"/>
      <c r="U225" s="36"/>
      <c r="V225" s="36"/>
      <c r="W225" s="36"/>
      <c r="X225" s="36"/>
      <c r="Y225" s="36"/>
      <c r="Z225" s="36"/>
      <c r="AA225" s="36"/>
      <c r="AB225" s="36"/>
      <c r="AC225" s="36"/>
      <c r="AD225" s="36">
        <v>5</v>
      </c>
      <c r="AE225" s="36"/>
      <c r="AF225" s="36"/>
      <c r="AG225" s="36"/>
      <c r="AH225" s="36"/>
      <c r="AI225" s="36">
        <v>10</v>
      </c>
      <c r="AJ225" s="80">
        <v>5</v>
      </c>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6"/>
      <c r="BQ225" s="6">
        <v>10</v>
      </c>
      <c r="BR225" s="6"/>
      <c r="BS225" s="6"/>
      <c r="BT225" s="6"/>
      <c r="BU225" s="6"/>
      <c r="BV225" s="36"/>
      <c r="BW225" s="351">
        <v>10</v>
      </c>
      <c r="BX225" s="36"/>
      <c r="BY225" s="36"/>
      <c r="BZ225" s="36"/>
      <c r="CA225" s="36"/>
      <c r="CB225" s="36"/>
      <c r="CC225" s="36"/>
      <c r="CD225" s="36"/>
      <c r="CE225" s="36"/>
      <c r="CF225" s="36"/>
      <c r="CG225" s="36"/>
      <c r="CH225" s="36"/>
      <c r="CI225" s="36"/>
      <c r="CJ225" s="36"/>
      <c r="CK225" s="36"/>
      <c r="CL225" s="36"/>
      <c r="CM225" s="36">
        <v>5</v>
      </c>
      <c r="CN225" s="36"/>
      <c r="CO225" s="36"/>
      <c r="CP225" s="36"/>
      <c r="CQ225" s="36"/>
      <c r="CR225" s="36"/>
      <c r="CS225" s="36"/>
      <c r="CT225" s="36"/>
      <c r="CU225" s="36"/>
      <c r="CV225" s="36"/>
      <c r="CW225" s="36"/>
      <c r="CX225" s="36">
        <v>6</v>
      </c>
      <c r="CY225" s="36">
        <v>6</v>
      </c>
      <c r="CZ225" s="36"/>
      <c r="DA225" s="36"/>
      <c r="DB225" s="36"/>
      <c r="DC225" s="36"/>
      <c r="DD225" s="36"/>
      <c r="DE225" s="36"/>
      <c r="DF225" s="36"/>
      <c r="DG225" s="36"/>
      <c r="DH225" s="36"/>
      <c r="DI225" s="36"/>
      <c r="DJ225" s="36">
        <v>12</v>
      </c>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6"/>
      <c r="GB225" s="6"/>
      <c r="GC225" s="36"/>
      <c r="GD225" s="36"/>
      <c r="GE225" s="36"/>
      <c r="GF225" s="36">
        <v>25</v>
      </c>
      <c r="GG225" s="36"/>
      <c r="GH225" s="36"/>
      <c r="GI225" s="36"/>
      <c r="GJ225" s="36"/>
      <c r="GK225" s="36"/>
      <c r="GL225" s="36"/>
      <c r="GM225" s="36"/>
      <c r="GN225" s="36"/>
      <c r="GO225" s="36"/>
      <c r="GP225" s="36"/>
      <c r="GQ225" s="36"/>
      <c r="GR225" s="36"/>
      <c r="GS225" s="36"/>
      <c r="GT225" s="36"/>
      <c r="GU225" s="36"/>
      <c r="GV225" s="6"/>
      <c r="GW225" s="36"/>
      <c r="GX225" s="36"/>
      <c r="GY225" s="36"/>
      <c r="GZ225" s="36"/>
      <c r="HA225" s="36"/>
      <c r="HB225" s="36"/>
      <c r="HC225" s="36"/>
      <c r="HD225" s="36"/>
      <c r="HE225" s="36"/>
      <c r="HF225" s="36"/>
      <c r="HG225" s="36"/>
      <c r="HH225" s="36"/>
      <c r="HI225" s="36"/>
      <c r="HJ225" s="36"/>
      <c r="HK225" s="36"/>
      <c r="HL225" s="36"/>
      <c r="HM225" s="36"/>
      <c r="HN225" s="36"/>
      <c r="HO225" s="36"/>
      <c r="HP225" s="36"/>
      <c r="HQ225" s="36"/>
      <c r="HR225" s="36"/>
      <c r="HS225" s="36"/>
      <c r="HT225" s="36"/>
      <c r="HU225" s="36"/>
      <c r="HV225" s="36"/>
      <c r="HW225" s="36"/>
      <c r="HX225" s="36"/>
      <c r="HY225" s="36"/>
      <c r="HZ225" s="36"/>
      <c r="IA225" s="36"/>
      <c r="IB225" s="36"/>
      <c r="IC225" s="36">
        <v>4</v>
      </c>
      <c r="ID225" s="36"/>
      <c r="IE225" s="36"/>
      <c r="IF225" s="36"/>
      <c r="IG225" s="36"/>
      <c r="IH225" s="36"/>
      <c r="II225" s="36"/>
      <c r="IJ225" s="36"/>
      <c r="IK225" s="36"/>
      <c r="IL225" s="36"/>
      <c r="IM225" s="36"/>
      <c r="IN225" s="36"/>
      <c r="IO225" s="36"/>
      <c r="IP225" s="36"/>
      <c r="IR225" s="2" t="s">
        <v>543</v>
      </c>
    </row>
    <row r="226" spans="1:252" ht="15.75" customHeight="1" x14ac:dyDescent="0.25">
      <c r="A226" s="36" t="s">
        <v>962</v>
      </c>
      <c r="B226" s="36" t="s">
        <v>963</v>
      </c>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6"/>
      <c r="BQ226" s="6"/>
      <c r="BR226" s="6"/>
      <c r="BS226" s="6"/>
      <c r="BT226" s="6"/>
      <c r="BU226" s="6"/>
      <c r="BV226" s="36"/>
      <c r="BW226" s="36"/>
      <c r="BX226" s="36"/>
      <c r="BY226" s="36"/>
      <c r="BZ226" s="36"/>
      <c r="CA226" s="36"/>
      <c r="CB226" s="36"/>
      <c r="CC226" s="36"/>
      <c r="CD226" s="36"/>
      <c r="CE226" s="36"/>
      <c r="CF226" s="36"/>
      <c r="CG226" s="36"/>
      <c r="CH226" s="36"/>
      <c r="CI226" s="36"/>
      <c r="CJ226" s="36"/>
      <c r="CK226" s="36"/>
      <c r="CL226" s="36">
        <v>10</v>
      </c>
      <c r="CM226" s="36">
        <v>10</v>
      </c>
      <c r="CN226" s="36"/>
      <c r="CO226" s="36"/>
      <c r="CP226" s="36"/>
      <c r="CQ226" s="36"/>
      <c r="CR226" s="36"/>
      <c r="CS226" s="36"/>
      <c r="CT226" s="36"/>
      <c r="CU226" s="36"/>
      <c r="CV226" s="36"/>
      <c r="CW226" s="36"/>
      <c r="CX226" s="36"/>
      <c r="CY226" s="36"/>
      <c r="CZ226" s="36"/>
      <c r="DA226" s="36"/>
      <c r="DB226" s="36">
        <v>30</v>
      </c>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c r="DZ226" s="36"/>
      <c r="EA226" s="36"/>
      <c r="EB226" s="36"/>
      <c r="EC226" s="36"/>
      <c r="ED226" s="36"/>
      <c r="EE226" s="36"/>
      <c r="EF226" s="36"/>
      <c r="EG226" s="36"/>
      <c r="EH226" s="36"/>
      <c r="EI226" s="36">
        <v>12</v>
      </c>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6"/>
      <c r="GB226" s="6"/>
      <c r="GC226" s="36"/>
      <c r="GD226" s="36"/>
      <c r="GE226" s="36"/>
      <c r="GF226" s="36">
        <v>50</v>
      </c>
      <c r="GG226" s="36"/>
      <c r="GH226" s="36"/>
      <c r="GI226" s="36"/>
      <c r="GJ226" s="36"/>
      <c r="GK226" s="36"/>
      <c r="GL226" s="36"/>
      <c r="GM226" s="36"/>
      <c r="GN226" s="36"/>
      <c r="GO226" s="36"/>
      <c r="GP226" s="36"/>
      <c r="GQ226" s="36"/>
      <c r="GR226" s="36"/>
      <c r="GS226" s="36"/>
      <c r="GT226" s="36"/>
      <c r="GU226" s="36"/>
      <c r="GV226" s="6"/>
      <c r="GW226" s="36"/>
      <c r="GX226" s="36"/>
      <c r="GY226" s="36"/>
      <c r="GZ226" s="36"/>
      <c r="HA226" s="36"/>
      <c r="HB226" s="36"/>
      <c r="HC226" s="36"/>
      <c r="HD226" s="36"/>
      <c r="HE226" s="36"/>
      <c r="HF226" s="36"/>
      <c r="HG226" s="36"/>
      <c r="HH226" s="36"/>
      <c r="HI226" s="36"/>
      <c r="HJ226" s="36"/>
      <c r="HK226" s="36"/>
      <c r="HL226" s="36"/>
      <c r="HM226" s="36"/>
      <c r="HN226" s="36"/>
      <c r="HO226" s="36"/>
      <c r="HP226" s="36"/>
      <c r="HQ226" s="36"/>
      <c r="HR226" s="36"/>
      <c r="HS226" s="36"/>
      <c r="HT226" s="36"/>
      <c r="HU226" s="36"/>
      <c r="HV226" s="36"/>
      <c r="HW226" s="36"/>
      <c r="HX226" s="36"/>
      <c r="HY226" s="36"/>
      <c r="HZ226" s="36"/>
      <c r="IA226" s="36"/>
      <c r="IB226" s="36"/>
      <c r="IC226" s="36"/>
      <c r="ID226" s="36"/>
      <c r="IE226" s="36"/>
      <c r="IF226" s="36"/>
      <c r="IG226" s="36"/>
      <c r="IH226" s="36"/>
      <c r="II226" s="36"/>
      <c r="IJ226" s="36"/>
      <c r="IK226" s="36"/>
      <c r="IL226" s="36"/>
      <c r="IM226" s="36"/>
      <c r="IN226" s="36"/>
      <c r="IO226" s="36"/>
      <c r="IP226" s="36"/>
      <c r="IR226" s="2" t="s">
        <v>543</v>
      </c>
    </row>
    <row r="227" spans="1:252" ht="15.75" customHeight="1" x14ac:dyDescent="0.25">
      <c r="A227" s="36" t="s">
        <v>964</v>
      </c>
      <c r="B227" s="36" t="s">
        <v>965</v>
      </c>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6"/>
      <c r="BQ227" s="6"/>
      <c r="BR227" s="6"/>
      <c r="BS227" s="6"/>
      <c r="BT227" s="6"/>
      <c r="BU227" s="6"/>
      <c r="BV227" s="36"/>
      <c r="BW227" s="36"/>
      <c r="BX227" s="36"/>
      <c r="BY227" s="36"/>
      <c r="BZ227" s="36"/>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6"/>
      <c r="GB227" s="6"/>
      <c r="GC227" s="36"/>
      <c r="GD227" s="36"/>
      <c r="GE227" s="36"/>
      <c r="GF227" s="36"/>
      <c r="GG227" s="36"/>
      <c r="GH227" s="36"/>
      <c r="GI227" s="36"/>
      <c r="GJ227" s="36"/>
      <c r="GK227" s="36"/>
      <c r="GL227" s="36"/>
      <c r="GM227" s="36"/>
      <c r="GN227" s="36"/>
      <c r="GO227" s="36"/>
      <c r="GP227" s="36"/>
      <c r="GQ227" s="36"/>
      <c r="GR227" s="36"/>
      <c r="GS227" s="36"/>
      <c r="GT227" s="36"/>
      <c r="GU227" s="36"/>
      <c r="GV227" s="6"/>
      <c r="GW227" s="36"/>
      <c r="GX227" s="36"/>
      <c r="GY227" s="36"/>
      <c r="GZ227" s="36"/>
      <c r="HA227" s="36"/>
      <c r="HB227" s="36"/>
      <c r="HC227" s="36"/>
      <c r="HD227" s="36"/>
      <c r="HE227" s="36"/>
      <c r="HF227" s="36"/>
      <c r="HG227" s="36"/>
      <c r="HH227" s="36"/>
      <c r="HI227" s="36"/>
      <c r="HJ227" s="36"/>
      <c r="HK227" s="36"/>
      <c r="HL227" s="36"/>
      <c r="HM227" s="36"/>
      <c r="HN227" s="36"/>
      <c r="HO227" s="36"/>
      <c r="HP227" s="36"/>
      <c r="HQ227" s="36"/>
      <c r="HR227" s="36"/>
      <c r="HS227" s="36"/>
      <c r="HT227" s="36"/>
      <c r="HU227" s="36"/>
      <c r="HV227" s="36"/>
      <c r="HW227" s="36"/>
      <c r="HX227" s="36"/>
      <c r="HY227" s="36"/>
      <c r="HZ227" s="36"/>
      <c r="IA227" s="36"/>
      <c r="IB227" s="36"/>
      <c r="IC227" s="36"/>
      <c r="ID227" s="36"/>
      <c r="IE227" s="36"/>
      <c r="IF227" s="36"/>
      <c r="IG227" s="36"/>
      <c r="IH227" s="36"/>
      <c r="II227" s="36"/>
      <c r="IJ227" s="36"/>
      <c r="IK227" s="36"/>
      <c r="IL227" s="36">
        <v>7</v>
      </c>
      <c r="IM227" s="36"/>
      <c r="IN227" s="36"/>
      <c r="IO227" s="36"/>
      <c r="IP227" s="36"/>
      <c r="IR227" s="2" t="s">
        <v>543</v>
      </c>
    </row>
    <row r="228" spans="1:252" ht="15.75" customHeight="1" x14ac:dyDescent="0.25">
      <c r="A228" s="36" t="s">
        <v>964</v>
      </c>
      <c r="B228" s="36" t="s">
        <v>966</v>
      </c>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6"/>
      <c r="BQ228" s="6"/>
      <c r="BR228" s="6"/>
      <c r="BS228" s="6"/>
      <c r="BT228" s="6"/>
      <c r="BU228" s="6"/>
      <c r="BV228" s="36"/>
      <c r="BW228" s="36"/>
      <c r="BX228" s="36"/>
      <c r="BY228" s="36"/>
      <c r="BZ228" s="36"/>
      <c r="CA228" s="36"/>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v>6</v>
      </c>
      <c r="CY228" s="36"/>
      <c r="CZ228" s="36"/>
      <c r="DA228" s="36"/>
      <c r="DB228" s="36"/>
      <c r="DC228" s="36"/>
      <c r="DD228" s="36"/>
      <c r="DE228" s="36"/>
      <c r="DF228" s="36">
        <v>12</v>
      </c>
      <c r="DG228" s="36"/>
      <c r="DH228" s="36"/>
      <c r="DI228" s="36"/>
      <c r="DJ228" s="36">
        <v>6</v>
      </c>
      <c r="DK228" s="36"/>
      <c r="DL228" s="36"/>
      <c r="DM228" s="36"/>
      <c r="DN228" s="36"/>
      <c r="DO228" s="36"/>
      <c r="DP228" s="36"/>
      <c r="DQ228" s="36"/>
      <c r="DR228" s="36"/>
      <c r="DS228" s="36"/>
      <c r="DT228" s="36"/>
      <c r="DU228" s="36"/>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6"/>
      <c r="GB228" s="6"/>
      <c r="GC228" s="36"/>
      <c r="GD228" s="36"/>
      <c r="GE228" s="36"/>
      <c r="GF228" s="36"/>
      <c r="GG228" s="36"/>
      <c r="GH228" s="36"/>
      <c r="GI228" s="36"/>
      <c r="GJ228" s="36"/>
      <c r="GK228" s="36"/>
      <c r="GL228" s="36"/>
      <c r="GM228" s="36"/>
      <c r="GN228" s="36"/>
      <c r="GO228" s="36"/>
      <c r="GP228" s="36"/>
      <c r="GQ228" s="36"/>
      <c r="GR228" s="36"/>
      <c r="GS228" s="36"/>
      <c r="GT228" s="36"/>
      <c r="GU228" s="36"/>
      <c r="GV228" s="6"/>
      <c r="GW228" s="36"/>
      <c r="GX228" s="36"/>
      <c r="GY228" s="36"/>
      <c r="GZ228" s="36"/>
      <c r="HA228" s="36"/>
      <c r="HB228" s="36"/>
      <c r="HC228" s="36"/>
      <c r="HD228" s="36"/>
      <c r="HE228" s="36"/>
      <c r="HF228" s="36"/>
      <c r="HG228" s="36"/>
      <c r="HH228" s="36"/>
      <c r="HI228" s="36"/>
      <c r="HJ228" s="36"/>
      <c r="HK228" s="36"/>
      <c r="HL228" s="36"/>
      <c r="HM228" s="36"/>
      <c r="HN228" s="36"/>
      <c r="HO228" s="36"/>
      <c r="HP228" s="36"/>
      <c r="HQ228" s="36"/>
      <c r="HR228" s="36"/>
      <c r="HS228" s="36"/>
      <c r="HT228" s="36"/>
      <c r="HU228" s="36"/>
      <c r="HV228" s="36"/>
      <c r="HW228" s="36"/>
      <c r="HX228" s="36"/>
      <c r="HY228" s="36"/>
      <c r="HZ228" s="36"/>
      <c r="IA228" s="36"/>
      <c r="IB228" s="36"/>
      <c r="IC228" s="36"/>
      <c r="ID228" s="36"/>
      <c r="IE228" s="36"/>
      <c r="IF228" s="36"/>
      <c r="IG228" s="36"/>
      <c r="IH228" s="36"/>
      <c r="II228" s="36"/>
      <c r="IJ228" s="36"/>
      <c r="IK228" s="36"/>
      <c r="IL228" s="36"/>
      <c r="IM228" s="36"/>
      <c r="IN228" s="36"/>
      <c r="IO228" s="36"/>
      <c r="IP228" s="36"/>
      <c r="IR228" s="2" t="s">
        <v>543</v>
      </c>
    </row>
    <row r="229" spans="1:252" ht="15.75" customHeight="1" x14ac:dyDescent="0.25">
      <c r="A229" s="36" t="s">
        <v>964</v>
      </c>
      <c r="B229" s="36" t="s">
        <v>967</v>
      </c>
      <c r="C229" s="36"/>
      <c r="D229" s="36"/>
      <c r="E229" s="36"/>
      <c r="F229" s="36"/>
      <c r="G229" s="36"/>
      <c r="H229" s="36"/>
      <c r="I229" s="36"/>
      <c r="J229" s="36"/>
      <c r="K229" s="36"/>
      <c r="L229" s="36"/>
      <c r="M229" s="36"/>
      <c r="N229" s="36"/>
      <c r="O229" s="36"/>
      <c r="P229" s="36"/>
      <c r="Q229" s="36"/>
      <c r="R229" s="36"/>
      <c r="S229" s="36"/>
      <c r="T229" s="36"/>
      <c r="U229" s="36"/>
      <c r="V229" s="36"/>
      <c r="W229" s="36"/>
      <c r="X229" s="212">
        <v>20</v>
      </c>
      <c r="Y229" s="212"/>
      <c r="Z229" s="212"/>
      <c r="AA229" s="212"/>
      <c r="AB229" s="212"/>
      <c r="AC229" s="36"/>
      <c r="AD229" s="36"/>
      <c r="AE229" s="36"/>
      <c r="AF229" s="36"/>
      <c r="AG229" s="36"/>
      <c r="AH229" s="36"/>
      <c r="AI229" s="36"/>
      <c r="AJ229" s="80">
        <v>40</v>
      </c>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6"/>
      <c r="BQ229" s="6"/>
      <c r="BR229" s="6"/>
      <c r="BS229" s="6"/>
      <c r="BT229" s="6"/>
      <c r="BU229" s="6"/>
      <c r="BV229" s="36"/>
      <c r="BW229" s="36"/>
      <c r="BX229" s="36"/>
      <c r="BY229" s="36"/>
      <c r="BZ229" s="36"/>
      <c r="CA229" s="36"/>
      <c r="CB229" s="36">
        <v>100</v>
      </c>
      <c r="CC229" s="36"/>
      <c r="CD229" s="36">
        <v>50</v>
      </c>
      <c r="CE229" s="36"/>
      <c r="CF229" s="36">
        <v>20</v>
      </c>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v>50</v>
      </c>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v>50</v>
      </c>
      <c r="GA229" s="6"/>
      <c r="GB229" s="6"/>
      <c r="GC229" s="36"/>
      <c r="GD229" s="36"/>
      <c r="GE229" s="36"/>
      <c r="GF229" s="36"/>
      <c r="GG229" s="36"/>
      <c r="GH229" s="36"/>
      <c r="GI229" s="36"/>
      <c r="GJ229" s="36"/>
      <c r="GK229" s="36"/>
      <c r="GL229" s="36"/>
      <c r="GM229" s="36"/>
      <c r="GN229" s="36"/>
      <c r="GO229" s="36"/>
      <c r="GP229" s="36"/>
      <c r="GQ229" s="36"/>
      <c r="GR229" s="36"/>
      <c r="GS229" s="36"/>
      <c r="GT229" s="36">
        <v>25</v>
      </c>
      <c r="GU229" s="36"/>
      <c r="GV229" s="6"/>
      <c r="GW229" s="36"/>
      <c r="GX229" s="36"/>
      <c r="GY229" s="36"/>
      <c r="GZ229" s="36"/>
      <c r="HA229" s="36"/>
      <c r="HB229" s="36"/>
      <c r="HC229" s="36">
        <v>100</v>
      </c>
      <c r="HD229" s="36"/>
      <c r="HE229" s="36"/>
      <c r="HF229" s="36">
        <v>250</v>
      </c>
      <c r="HG229" s="36"/>
      <c r="HH229" s="36"/>
      <c r="HI229" s="36"/>
      <c r="HJ229" s="36"/>
      <c r="HK229" s="36"/>
      <c r="HL229" s="36"/>
      <c r="HM229" s="36"/>
      <c r="HN229" s="36"/>
      <c r="HO229" s="36"/>
      <c r="HP229" s="36"/>
      <c r="HQ229" s="36"/>
      <c r="HR229" s="36"/>
      <c r="HS229" s="36"/>
      <c r="HT229" s="36"/>
      <c r="HU229" s="36"/>
      <c r="HV229" s="36"/>
      <c r="HW229" s="36"/>
      <c r="HX229" s="36"/>
      <c r="HY229" s="36"/>
      <c r="HZ229" s="36"/>
      <c r="IA229" s="36"/>
      <c r="IB229" s="36"/>
      <c r="IC229" s="36"/>
      <c r="ID229" s="36"/>
      <c r="IE229" s="36"/>
      <c r="IF229" s="36"/>
      <c r="IG229" s="36"/>
      <c r="IH229" s="36"/>
      <c r="II229" s="36"/>
      <c r="IJ229" s="36"/>
      <c r="IK229" s="36"/>
      <c r="IL229" s="36"/>
      <c r="IM229" s="36"/>
      <c r="IN229" s="36"/>
      <c r="IO229" s="36"/>
      <c r="IP229" s="36"/>
      <c r="IR229" s="2" t="s">
        <v>543</v>
      </c>
    </row>
    <row r="230" spans="1:252" ht="15.75" customHeight="1" x14ac:dyDescent="0.25">
      <c r="A230" s="36" t="s">
        <v>964</v>
      </c>
      <c r="B230" s="36" t="s">
        <v>968</v>
      </c>
      <c r="C230" s="36"/>
      <c r="D230" s="36"/>
      <c r="E230" s="36">
        <v>5</v>
      </c>
      <c r="F230" s="36"/>
      <c r="G230" s="36"/>
      <c r="H230" s="36"/>
      <c r="I230" s="36"/>
      <c r="J230" s="36"/>
      <c r="K230" s="36"/>
      <c r="L230" s="36"/>
      <c r="M230" s="36"/>
      <c r="N230" s="36"/>
      <c r="O230" s="36"/>
      <c r="P230" s="36"/>
      <c r="Q230" s="36"/>
      <c r="R230" s="36"/>
      <c r="S230" s="36"/>
      <c r="T230" s="36"/>
      <c r="U230" s="36"/>
      <c r="V230" s="36">
        <v>10</v>
      </c>
      <c r="W230" s="36"/>
      <c r="X230" s="36"/>
      <c r="Y230" s="36"/>
      <c r="Z230" s="36"/>
      <c r="AA230" s="36"/>
      <c r="AB230" s="36"/>
      <c r="AC230" s="36"/>
      <c r="AD230" s="36"/>
      <c r="AE230" s="36"/>
      <c r="AF230" s="36"/>
      <c r="AG230" s="36"/>
      <c r="AH230" s="36"/>
      <c r="AI230" s="36">
        <v>10</v>
      </c>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6"/>
      <c r="BQ230" s="6"/>
      <c r="BR230" s="6"/>
      <c r="BS230" s="6"/>
      <c r="BT230" s="6"/>
      <c r="BU230" s="6"/>
      <c r="BV230" s="36"/>
      <c r="BW230" s="36"/>
      <c r="BX230" s="36"/>
      <c r="BY230" s="36"/>
      <c r="BZ230" s="36"/>
      <c r="CA230" s="36"/>
      <c r="CB230" s="36">
        <v>50</v>
      </c>
      <c r="CC230" s="36"/>
      <c r="CD230" s="36"/>
      <c r="CE230" s="36"/>
      <c r="CF230" s="36"/>
      <c r="CG230" s="36"/>
      <c r="CH230" s="36"/>
      <c r="CI230" s="36"/>
      <c r="CJ230" s="36"/>
      <c r="CK230" s="36"/>
      <c r="CL230" s="36">
        <v>10</v>
      </c>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c r="EF230" s="36"/>
      <c r="EG230" s="36"/>
      <c r="EH230" s="36"/>
      <c r="EI230" s="36">
        <v>6</v>
      </c>
      <c r="EJ230" s="36">
        <v>12</v>
      </c>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v>200</v>
      </c>
      <c r="FP230" s="36"/>
      <c r="FQ230" s="36"/>
      <c r="FR230" s="36"/>
      <c r="FS230" s="36"/>
      <c r="FT230" s="36"/>
      <c r="FU230" s="36"/>
      <c r="FV230" s="36"/>
      <c r="FW230" s="36"/>
      <c r="FX230" s="36"/>
      <c r="FY230" s="36"/>
      <c r="FZ230" s="36"/>
      <c r="GA230" s="6"/>
      <c r="GB230" s="6"/>
      <c r="GC230" s="36"/>
      <c r="GD230" s="36"/>
      <c r="GE230" s="36"/>
      <c r="GF230" s="36"/>
      <c r="GG230" s="36"/>
      <c r="GH230" s="36"/>
      <c r="GI230" s="36"/>
      <c r="GJ230" s="36"/>
      <c r="GK230" s="36"/>
      <c r="GL230" s="36"/>
      <c r="GM230" s="36"/>
      <c r="GN230" s="36"/>
      <c r="GO230" s="36"/>
      <c r="GP230" s="36"/>
      <c r="GQ230" s="36"/>
      <c r="GR230" s="36"/>
      <c r="GS230" s="36"/>
      <c r="GT230" s="36"/>
      <c r="GU230" s="36"/>
      <c r="GV230" s="6"/>
      <c r="GW230" s="36"/>
      <c r="GX230" s="36"/>
      <c r="GY230" s="36"/>
      <c r="GZ230" s="36"/>
      <c r="HA230" s="36"/>
      <c r="HB230" s="36"/>
      <c r="HC230" s="36"/>
      <c r="HD230" s="36"/>
      <c r="HE230" s="36"/>
      <c r="HF230" s="36"/>
      <c r="HG230" s="36"/>
      <c r="HH230" s="36"/>
      <c r="HI230" s="36"/>
      <c r="HJ230" s="36"/>
      <c r="HK230" s="36"/>
      <c r="HL230" s="36"/>
      <c r="HM230" s="36"/>
      <c r="HN230" s="36">
        <v>100</v>
      </c>
      <c r="HO230" s="36"/>
      <c r="HP230" s="36"/>
      <c r="HQ230" s="36"/>
      <c r="HR230" s="36"/>
      <c r="HS230" s="36"/>
      <c r="HT230" s="36"/>
      <c r="HU230" s="36"/>
      <c r="HV230" s="36"/>
      <c r="HW230" s="36"/>
      <c r="HX230" s="36">
        <f>24*13</f>
        <v>312</v>
      </c>
      <c r="HY230" s="36">
        <f>24*4</f>
        <v>96</v>
      </c>
      <c r="HZ230" s="36"/>
      <c r="IA230" s="36"/>
      <c r="IB230" s="36"/>
      <c r="IC230" s="36"/>
      <c r="ID230" s="36"/>
      <c r="IE230" s="36"/>
      <c r="IF230" s="36"/>
      <c r="IG230" s="36"/>
      <c r="IH230" s="36"/>
      <c r="II230" s="36"/>
      <c r="IJ230" s="36"/>
      <c r="IK230" s="36"/>
      <c r="IL230" s="36"/>
      <c r="IM230" s="36"/>
      <c r="IN230" s="36"/>
      <c r="IO230" s="36"/>
      <c r="IP230" s="36"/>
      <c r="IR230" s="2" t="s">
        <v>543</v>
      </c>
    </row>
    <row r="231" spans="1:252" ht="15.75" customHeight="1" x14ac:dyDescent="0.25">
      <c r="A231" s="36" t="s">
        <v>970</v>
      </c>
      <c r="B231" s="36" t="s">
        <v>971</v>
      </c>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v>20</v>
      </c>
      <c r="AF231" s="36"/>
      <c r="AG231" s="36"/>
      <c r="AH231" s="36"/>
      <c r="AI231" s="36">
        <v>20</v>
      </c>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6"/>
      <c r="BQ231" s="6"/>
      <c r="BR231" s="6"/>
      <c r="BS231" s="6"/>
      <c r="BT231" s="6"/>
      <c r="BU231" s="6"/>
      <c r="BV231" s="36"/>
      <c r="BW231" s="36"/>
      <c r="BX231" s="36"/>
      <c r="BY231" s="36"/>
      <c r="BZ231" s="36"/>
      <c r="CA231" s="36"/>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6"/>
      <c r="GB231" s="6"/>
      <c r="GC231" s="36"/>
      <c r="GD231" s="36"/>
      <c r="GE231" s="36"/>
      <c r="GF231" s="36"/>
      <c r="GG231" s="36"/>
      <c r="GH231" s="36"/>
      <c r="GI231" s="36"/>
      <c r="GJ231" s="36"/>
      <c r="GK231" s="36"/>
      <c r="GL231" s="36"/>
      <c r="GM231" s="36"/>
      <c r="GN231" s="36"/>
      <c r="GO231" s="36"/>
      <c r="GP231" s="36"/>
      <c r="GQ231" s="36"/>
      <c r="GR231" s="36"/>
      <c r="GS231" s="36"/>
      <c r="GT231" s="36"/>
      <c r="GU231" s="36"/>
      <c r="GV231" s="6"/>
      <c r="GW231" s="36"/>
      <c r="GX231" s="36"/>
      <c r="GY231" s="36"/>
      <c r="GZ231" s="36"/>
      <c r="HA231" s="36"/>
      <c r="HB231" s="36"/>
      <c r="HC231" s="36"/>
      <c r="HD231" s="36"/>
      <c r="HE231" s="36"/>
      <c r="HF231" s="36"/>
      <c r="HG231" s="36"/>
      <c r="HH231" s="36"/>
      <c r="HI231" s="36"/>
      <c r="HJ231" s="36"/>
      <c r="HK231" s="36"/>
      <c r="HL231" s="36"/>
      <c r="HM231" s="36"/>
      <c r="HN231" s="36"/>
      <c r="HO231" s="36"/>
      <c r="HP231" s="36"/>
      <c r="HQ231" s="36"/>
      <c r="HR231" s="36"/>
      <c r="HS231" s="36"/>
      <c r="HT231" s="36"/>
      <c r="HU231" s="36"/>
      <c r="HV231" s="36"/>
      <c r="HW231" s="36"/>
      <c r="HX231" s="36"/>
      <c r="HY231" s="36"/>
      <c r="HZ231" s="36"/>
      <c r="IA231" s="36"/>
      <c r="IB231" s="36"/>
      <c r="IC231" s="36"/>
      <c r="ID231" s="36"/>
      <c r="IE231" s="36"/>
      <c r="IF231" s="36"/>
      <c r="IG231" s="36"/>
      <c r="IH231" s="36"/>
      <c r="II231" s="36"/>
      <c r="IJ231" s="36"/>
      <c r="IK231" s="36"/>
      <c r="IL231" s="36"/>
      <c r="IM231" s="36"/>
      <c r="IN231" s="36"/>
      <c r="IO231" s="36"/>
      <c r="IP231" s="36"/>
      <c r="IR231" s="2" t="s">
        <v>543</v>
      </c>
    </row>
    <row r="232" spans="1:252" ht="15.75" customHeight="1" x14ac:dyDescent="0.25">
      <c r="A232" s="36" t="s">
        <v>973</v>
      </c>
      <c r="B232" s="36" t="s">
        <v>974</v>
      </c>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6"/>
      <c r="BQ232" s="6"/>
      <c r="BR232" s="6"/>
      <c r="BS232" s="6"/>
      <c r="BT232" s="6"/>
      <c r="BU232" s="6"/>
      <c r="BV232" s="36"/>
      <c r="BW232" s="36"/>
      <c r="BX232" s="36"/>
      <c r="BY232" s="36"/>
      <c r="BZ232" s="36"/>
      <c r="CA232" s="36"/>
      <c r="CB232" s="36"/>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6"/>
      <c r="GB232" s="6"/>
      <c r="GC232" s="36"/>
      <c r="GD232" s="36"/>
      <c r="GE232" s="36"/>
      <c r="GF232" s="36"/>
      <c r="GG232" s="36"/>
      <c r="GH232" s="36"/>
      <c r="GI232" s="36"/>
      <c r="GJ232" s="36"/>
      <c r="GK232" s="36"/>
      <c r="GL232" s="36"/>
      <c r="GM232" s="36"/>
      <c r="GN232" s="36"/>
      <c r="GO232" s="36"/>
      <c r="GP232" s="36"/>
      <c r="GQ232" s="36"/>
      <c r="GR232" s="36"/>
      <c r="GS232" s="36"/>
      <c r="GT232" s="36"/>
      <c r="GU232" s="36"/>
      <c r="GV232" s="6"/>
      <c r="GW232" s="36"/>
      <c r="GX232" s="36"/>
      <c r="GY232" s="36"/>
      <c r="GZ232" s="36"/>
      <c r="HA232" s="36"/>
      <c r="HB232" s="36"/>
      <c r="HC232" s="36"/>
      <c r="HD232" s="36"/>
      <c r="HE232" s="36"/>
      <c r="HF232" s="36"/>
      <c r="HG232" s="36"/>
      <c r="HH232" s="36"/>
      <c r="HI232" s="36"/>
      <c r="HJ232" s="36"/>
      <c r="HK232" s="36"/>
      <c r="HL232" s="36"/>
      <c r="HM232" s="36"/>
      <c r="HN232" s="36"/>
      <c r="HO232" s="36"/>
      <c r="HP232" s="36"/>
      <c r="HQ232" s="36"/>
      <c r="HR232" s="36"/>
      <c r="HS232" s="36"/>
      <c r="HT232" s="36"/>
      <c r="HU232" s="36"/>
      <c r="HV232" s="36"/>
      <c r="HW232" s="36"/>
      <c r="HX232" s="36"/>
      <c r="HY232" s="36"/>
      <c r="HZ232" s="36"/>
      <c r="IA232" s="36"/>
      <c r="IB232" s="36"/>
      <c r="IC232" s="36"/>
      <c r="ID232" s="36"/>
      <c r="IE232" s="36"/>
      <c r="IF232" s="36"/>
      <c r="IG232" s="36"/>
      <c r="IH232" s="36"/>
      <c r="II232" s="36"/>
      <c r="IJ232" s="36"/>
      <c r="IK232" s="36"/>
      <c r="IL232" s="36"/>
      <c r="IM232" s="36"/>
      <c r="IN232" s="36"/>
      <c r="IO232" s="36"/>
      <c r="IP232" s="36"/>
      <c r="IR232" s="2" t="s">
        <v>543</v>
      </c>
    </row>
    <row r="233" spans="1:252" ht="15.75" customHeight="1" x14ac:dyDescent="0.25">
      <c r="A233" s="36" t="s">
        <v>975</v>
      </c>
      <c r="B233" s="36" t="s">
        <v>976</v>
      </c>
      <c r="C233" s="36"/>
      <c r="D233" s="36"/>
      <c r="E233" s="36"/>
      <c r="F233" s="36"/>
      <c r="G233" s="36"/>
      <c r="H233" s="36"/>
      <c r="I233" s="36"/>
      <c r="J233" s="36"/>
      <c r="K233" s="36"/>
      <c r="L233" s="36"/>
      <c r="M233" s="36"/>
      <c r="N233" s="36"/>
      <c r="O233" s="36">
        <v>20</v>
      </c>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6"/>
      <c r="BQ233" s="6"/>
      <c r="BR233" s="6"/>
      <c r="BS233" s="6"/>
      <c r="BT233" s="6"/>
      <c r="BU233" s="6"/>
      <c r="BV233" s="36"/>
      <c r="BW233" s="36"/>
      <c r="BX233" s="36"/>
      <c r="BY233" s="36"/>
      <c r="BZ233" s="36"/>
      <c r="CA233" s="36"/>
      <c r="CB233" s="36"/>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v>10</v>
      </c>
      <c r="DV233" s="36"/>
      <c r="DW233" s="36"/>
      <c r="DX233" s="36"/>
      <c r="DY233" s="36"/>
      <c r="DZ233" s="36"/>
      <c r="EA233" s="36"/>
      <c r="EB233" s="36"/>
      <c r="EC233" s="36"/>
      <c r="ED233" s="36"/>
      <c r="EE233" s="36"/>
      <c r="EF233" s="36"/>
      <c r="EG233" s="36"/>
      <c r="EH233" s="36"/>
      <c r="EI233" s="36"/>
      <c r="EJ233" s="36"/>
      <c r="EK233" s="36"/>
      <c r="EL233" s="36"/>
      <c r="EM233" s="36"/>
      <c r="EN233" s="36"/>
      <c r="EO233" s="36"/>
      <c r="EP233" s="36"/>
      <c r="EQ233" s="36">
        <v>10</v>
      </c>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6"/>
      <c r="GB233" s="6"/>
      <c r="GC233" s="36"/>
      <c r="GD233" s="36"/>
      <c r="GE233" s="36"/>
      <c r="GF233" s="36"/>
      <c r="GG233" s="36"/>
      <c r="GH233" s="36"/>
      <c r="GI233" s="36"/>
      <c r="GJ233" s="36"/>
      <c r="GK233" s="36"/>
      <c r="GL233" s="36"/>
      <c r="GM233" s="36"/>
      <c r="GN233" s="36"/>
      <c r="GO233" s="36"/>
      <c r="GP233" s="36"/>
      <c r="GQ233" s="36"/>
      <c r="GR233" s="36"/>
      <c r="GS233" s="36"/>
      <c r="GT233" s="36"/>
      <c r="GU233" s="36"/>
      <c r="GV233" s="6"/>
      <c r="GW233" s="36"/>
      <c r="GX233" s="36"/>
      <c r="GY233" s="36"/>
      <c r="GZ233" s="36"/>
      <c r="HA233" s="36"/>
      <c r="HB233" s="36"/>
      <c r="HC233" s="36"/>
      <c r="HD233" s="36"/>
      <c r="HE233" s="36"/>
      <c r="HF233" s="36"/>
      <c r="HG233" s="36"/>
      <c r="HH233" s="36"/>
      <c r="HI233" s="36"/>
      <c r="HJ233" s="36"/>
      <c r="HK233" s="36"/>
      <c r="HL233" s="36"/>
      <c r="HM233" s="36"/>
      <c r="HN233" s="36"/>
      <c r="HO233" s="36"/>
      <c r="HP233" s="36"/>
      <c r="HQ233" s="36"/>
      <c r="HR233" s="36"/>
      <c r="HS233" s="36"/>
      <c r="HT233" s="36"/>
      <c r="HU233" s="36"/>
      <c r="HV233" s="36"/>
      <c r="HW233" s="36"/>
      <c r="HX233" s="36"/>
      <c r="HY233" s="36"/>
      <c r="HZ233" s="36"/>
      <c r="IA233" s="36"/>
      <c r="IB233" s="36"/>
      <c r="IC233" s="36"/>
      <c r="ID233" s="36"/>
      <c r="IE233" s="36"/>
      <c r="IF233" s="36"/>
      <c r="IG233" s="36"/>
      <c r="IH233" s="36"/>
      <c r="II233" s="36"/>
      <c r="IJ233" s="36"/>
      <c r="IK233" s="36"/>
      <c r="IL233" s="36"/>
      <c r="IM233" s="36"/>
      <c r="IN233" s="36"/>
      <c r="IO233" s="36"/>
      <c r="IP233" s="36"/>
      <c r="IR233" s="2" t="s">
        <v>543</v>
      </c>
    </row>
    <row r="234" spans="1:252" ht="15.75" customHeight="1" x14ac:dyDescent="0.25">
      <c r="A234" s="36" t="s">
        <v>975</v>
      </c>
      <c r="B234" s="36" t="s">
        <v>977</v>
      </c>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6"/>
      <c r="BQ234" s="6"/>
      <c r="BR234" s="6"/>
      <c r="BS234" s="6"/>
      <c r="BT234" s="6"/>
      <c r="BU234" s="6"/>
      <c r="BV234" s="36"/>
      <c r="BW234" s="36"/>
      <c r="BX234" s="36"/>
      <c r="BY234" s="36"/>
      <c r="BZ234" s="36"/>
      <c r="CA234" s="36"/>
      <c r="CB234" s="36"/>
      <c r="CC234" s="36"/>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6"/>
      <c r="GB234" s="6"/>
      <c r="GC234" s="36"/>
      <c r="GD234" s="36"/>
      <c r="GE234" s="36"/>
      <c r="GF234" s="36"/>
      <c r="GG234" s="36"/>
      <c r="GH234" s="36"/>
      <c r="GI234" s="36"/>
      <c r="GJ234" s="36"/>
      <c r="GK234" s="36"/>
      <c r="GL234" s="36"/>
      <c r="GM234" s="36"/>
      <c r="GN234" s="36"/>
      <c r="GO234" s="36"/>
      <c r="GP234" s="36"/>
      <c r="GQ234" s="36"/>
      <c r="GR234" s="36"/>
      <c r="GS234" s="36"/>
      <c r="GT234" s="36"/>
      <c r="GU234" s="36"/>
      <c r="GV234" s="6"/>
      <c r="GW234" s="36"/>
      <c r="GX234" s="36"/>
      <c r="GY234" s="36"/>
      <c r="GZ234" s="36"/>
      <c r="HA234" s="36"/>
      <c r="HB234" s="36"/>
      <c r="HC234" s="36"/>
      <c r="HD234" s="36">
        <v>50</v>
      </c>
      <c r="HE234" s="36"/>
      <c r="HF234" s="36"/>
      <c r="HG234" s="36"/>
      <c r="HH234" s="36"/>
      <c r="HI234" s="36"/>
      <c r="HJ234" s="36"/>
      <c r="HK234" s="36"/>
      <c r="HL234" s="36"/>
      <c r="HM234" s="36"/>
      <c r="HN234" s="36"/>
      <c r="HO234" s="36"/>
      <c r="HP234" s="36"/>
      <c r="HQ234" s="36"/>
      <c r="HR234" s="36"/>
      <c r="HS234" s="36"/>
      <c r="HT234" s="36"/>
      <c r="HU234" s="36"/>
      <c r="HV234" s="36"/>
      <c r="HW234" s="36"/>
      <c r="HX234" s="36"/>
      <c r="HY234" s="36"/>
      <c r="HZ234" s="36"/>
      <c r="IA234" s="36"/>
      <c r="IB234" s="36"/>
      <c r="IC234" s="36"/>
      <c r="ID234" s="36"/>
      <c r="IE234" s="36"/>
      <c r="IF234" s="36"/>
      <c r="IG234" s="36"/>
      <c r="IH234" s="36"/>
      <c r="II234" s="36"/>
      <c r="IJ234" s="36"/>
      <c r="IK234" s="36"/>
      <c r="IL234" s="36"/>
      <c r="IM234" s="36"/>
      <c r="IN234" s="36"/>
      <c r="IO234" s="36"/>
      <c r="IP234" s="36"/>
      <c r="IR234" s="2" t="s">
        <v>543</v>
      </c>
    </row>
    <row r="235" spans="1:252" ht="15.75" customHeight="1" x14ac:dyDescent="0.25">
      <c r="A235" s="36" t="s">
        <v>975</v>
      </c>
      <c r="B235" s="36" t="s">
        <v>978</v>
      </c>
      <c r="C235" s="36"/>
      <c r="D235" s="36"/>
      <c r="E235" s="36"/>
      <c r="F235" s="36"/>
      <c r="G235" s="36"/>
      <c r="H235" s="36"/>
      <c r="I235" s="36"/>
      <c r="J235" s="36"/>
      <c r="K235" s="36"/>
      <c r="L235" s="36"/>
      <c r="M235" s="36"/>
      <c r="N235" s="36"/>
      <c r="O235" s="36"/>
      <c r="P235" s="36">
        <v>10</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6"/>
      <c r="BQ235" s="6"/>
      <c r="BR235" s="6"/>
      <c r="BS235" s="6"/>
      <c r="BT235" s="6"/>
      <c r="BU235" s="6"/>
      <c r="BV235" s="36"/>
      <c r="BW235" s="36"/>
      <c r="BX235" s="36"/>
      <c r="BY235" s="36"/>
      <c r="BZ235" s="36"/>
      <c r="CA235" s="36"/>
      <c r="CB235" s="36"/>
      <c r="CC235" s="36"/>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6"/>
      <c r="GB235" s="6"/>
      <c r="GC235" s="36"/>
      <c r="GD235" s="36"/>
      <c r="GE235" s="36"/>
      <c r="GF235" s="36"/>
      <c r="GG235" s="36"/>
      <c r="GH235" s="36"/>
      <c r="GI235" s="36"/>
      <c r="GJ235" s="36"/>
      <c r="GK235" s="36"/>
      <c r="GL235" s="36"/>
      <c r="GM235" s="36"/>
      <c r="GN235" s="36"/>
      <c r="GO235" s="36"/>
      <c r="GP235" s="36"/>
      <c r="GQ235" s="36"/>
      <c r="GR235" s="36"/>
      <c r="GS235" s="36"/>
      <c r="GT235" s="36"/>
      <c r="GU235" s="36"/>
      <c r="GV235" s="6"/>
      <c r="GW235" s="36"/>
      <c r="GX235" s="36"/>
      <c r="GY235" s="36"/>
      <c r="GZ235" s="36"/>
      <c r="HA235" s="36"/>
      <c r="HB235" s="36"/>
      <c r="HC235" s="36"/>
      <c r="HD235" s="36"/>
      <c r="HE235" s="36"/>
      <c r="HF235" s="36"/>
      <c r="HG235" s="36"/>
      <c r="HH235" s="36"/>
      <c r="HI235" s="36"/>
      <c r="HJ235" s="36"/>
      <c r="HK235" s="36"/>
      <c r="HL235" s="36"/>
      <c r="HM235" s="36"/>
      <c r="HN235" s="36"/>
      <c r="HO235" s="36"/>
      <c r="HP235" s="36"/>
      <c r="HQ235" s="36"/>
      <c r="HR235" s="36"/>
      <c r="HS235" s="36">
        <v>10</v>
      </c>
      <c r="HT235" s="36"/>
      <c r="HU235" s="36">
        <v>20</v>
      </c>
      <c r="HV235" s="36"/>
      <c r="HW235" s="36">
        <v>10</v>
      </c>
      <c r="HX235" s="36"/>
      <c r="HY235" s="36"/>
      <c r="HZ235" s="36"/>
      <c r="IA235" s="36"/>
      <c r="IB235" s="36"/>
      <c r="IC235" s="36"/>
      <c r="ID235" s="36"/>
      <c r="IE235" s="36"/>
      <c r="IF235" s="36"/>
      <c r="IG235" s="36"/>
      <c r="IH235" s="36"/>
      <c r="II235" s="36"/>
      <c r="IJ235" s="36"/>
      <c r="IK235" s="36"/>
      <c r="IL235" s="36"/>
      <c r="IM235" s="36"/>
      <c r="IN235" s="36"/>
      <c r="IO235" s="36"/>
      <c r="IP235" s="36"/>
      <c r="IR235" s="2" t="s">
        <v>543</v>
      </c>
    </row>
    <row r="236" spans="1:252" ht="15.75" customHeight="1" x14ac:dyDescent="0.25">
      <c r="A236" s="36" t="s">
        <v>975</v>
      </c>
      <c r="B236" s="36" t="s">
        <v>979</v>
      </c>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6"/>
      <c r="BQ236" s="6"/>
      <c r="BR236" s="6"/>
      <c r="BS236" s="6"/>
      <c r="BT236" s="6"/>
      <c r="BU236" s="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v>22</v>
      </c>
      <c r="CZ236" s="36"/>
      <c r="DA236" s="36"/>
      <c r="DB236" s="36"/>
      <c r="DC236" s="36"/>
      <c r="DD236" s="36"/>
      <c r="DE236" s="36"/>
      <c r="DF236" s="36"/>
      <c r="DG236" s="36"/>
      <c r="DH236" s="36"/>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6"/>
      <c r="GB236" s="6"/>
      <c r="GC236" s="36"/>
      <c r="GD236" s="36"/>
      <c r="GE236" s="36"/>
      <c r="GF236" s="36"/>
      <c r="GG236" s="36"/>
      <c r="GH236" s="36"/>
      <c r="GI236" s="36"/>
      <c r="GJ236" s="36"/>
      <c r="GK236" s="36"/>
      <c r="GL236" s="36"/>
      <c r="GM236" s="36"/>
      <c r="GN236" s="36"/>
      <c r="GO236" s="36"/>
      <c r="GP236" s="36"/>
      <c r="GQ236" s="36"/>
      <c r="GR236" s="36"/>
      <c r="GS236" s="36"/>
      <c r="GT236" s="36"/>
      <c r="GU236" s="36"/>
      <c r="GV236" s="6"/>
      <c r="GW236" s="36"/>
      <c r="GX236" s="36"/>
      <c r="GY236" s="36"/>
      <c r="GZ236" s="36"/>
      <c r="HA236" s="36"/>
      <c r="HB236" s="36"/>
      <c r="HC236" s="36"/>
      <c r="HD236" s="36"/>
      <c r="HE236" s="36"/>
      <c r="HF236" s="36"/>
      <c r="HG236" s="36"/>
      <c r="HH236" s="36"/>
      <c r="HI236" s="36"/>
      <c r="HJ236" s="36"/>
      <c r="HK236" s="36"/>
      <c r="HL236" s="36"/>
      <c r="HM236" s="36"/>
      <c r="HN236" s="36"/>
      <c r="HO236" s="36"/>
      <c r="HP236" s="36"/>
      <c r="HQ236" s="36"/>
      <c r="HR236" s="36"/>
      <c r="HS236" s="36"/>
      <c r="HT236" s="36"/>
      <c r="HU236" s="36"/>
      <c r="HV236" s="36"/>
      <c r="HW236" s="36"/>
      <c r="HX236" s="36"/>
      <c r="HY236" s="36"/>
      <c r="HZ236" s="36"/>
      <c r="IA236" s="36"/>
      <c r="IB236" s="36"/>
      <c r="IC236" s="36"/>
      <c r="ID236" s="36"/>
      <c r="IE236" s="36"/>
      <c r="IF236" s="36"/>
      <c r="IG236" s="36"/>
      <c r="IH236" s="36"/>
      <c r="II236" s="36"/>
      <c r="IJ236" s="36"/>
      <c r="IK236" s="36"/>
      <c r="IL236" s="36"/>
      <c r="IM236" s="36"/>
      <c r="IN236" s="36"/>
      <c r="IO236" s="36"/>
      <c r="IP236" s="36"/>
      <c r="IR236" s="2" t="s">
        <v>543</v>
      </c>
    </row>
    <row r="237" spans="1:252" ht="15.75" customHeight="1" x14ac:dyDescent="0.25">
      <c r="A237" s="36" t="s">
        <v>980</v>
      </c>
      <c r="B237" s="36" t="s">
        <v>981</v>
      </c>
      <c r="C237" s="36"/>
      <c r="D237" s="36"/>
      <c r="E237" s="36"/>
      <c r="F237" s="36"/>
      <c r="G237" s="36"/>
      <c r="H237" s="36"/>
      <c r="I237" s="36"/>
      <c r="J237" s="212">
        <v>10</v>
      </c>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6"/>
      <c r="BQ237" s="6"/>
      <c r="BR237" s="6"/>
      <c r="BS237" s="6"/>
      <c r="BT237" s="6"/>
      <c r="BU237" s="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c r="DG237" s="36"/>
      <c r="DH237" s="36"/>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6"/>
      <c r="GB237" s="6"/>
      <c r="GC237" s="36"/>
      <c r="GD237" s="36"/>
      <c r="GE237" s="36"/>
      <c r="GF237" s="36"/>
      <c r="GG237" s="36"/>
      <c r="GH237" s="36"/>
      <c r="GI237" s="36"/>
      <c r="GJ237" s="36"/>
      <c r="GK237" s="36"/>
      <c r="GL237" s="36"/>
      <c r="GM237" s="36"/>
      <c r="GN237" s="36"/>
      <c r="GO237" s="36"/>
      <c r="GP237" s="36"/>
      <c r="GQ237" s="36"/>
      <c r="GR237" s="36"/>
      <c r="GS237" s="36"/>
      <c r="GT237" s="36"/>
      <c r="GU237" s="36"/>
      <c r="GV237" s="6"/>
      <c r="GW237" s="36"/>
      <c r="GX237" s="36"/>
      <c r="GY237" s="36"/>
      <c r="GZ237" s="36"/>
      <c r="HA237" s="36"/>
      <c r="HB237" s="36"/>
      <c r="HC237" s="36"/>
      <c r="HD237" s="36"/>
      <c r="HE237" s="36"/>
      <c r="HF237" s="36"/>
      <c r="HG237" s="36"/>
      <c r="HH237" s="36"/>
      <c r="HI237" s="36"/>
      <c r="HJ237" s="36"/>
      <c r="HK237" s="36"/>
      <c r="HL237" s="36"/>
      <c r="HM237" s="36"/>
      <c r="HN237" s="36"/>
      <c r="HO237" s="36"/>
      <c r="HP237" s="36"/>
      <c r="HQ237" s="36"/>
      <c r="HR237" s="36"/>
      <c r="HS237" s="36"/>
      <c r="HT237" s="36"/>
      <c r="HU237" s="36"/>
      <c r="HV237" s="36"/>
      <c r="HW237" s="36"/>
      <c r="HX237" s="36"/>
      <c r="HY237" s="36"/>
      <c r="HZ237" s="36"/>
      <c r="IA237" s="36"/>
      <c r="IB237" s="36"/>
      <c r="IC237" s="36"/>
      <c r="ID237" s="36"/>
      <c r="IE237" s="36"/>
      <c r="IF237" s="36"/>
      <c r="IG237" s="36"/>
      <c r="IH237" s="36"/>
      <c r="II237" s="36"/>
      <c r="IJ237" s="36"/>
      <c r="IK237" s="36"/>
      <c r="IL237" s="36"/>
      <c r="IM237" s="36"/>
      <c r="IN237" s="36"/>
      <c r="IO237" s="36"/>
      <c r="IP237" s="36"/>
      <c r="IR237" s="2" t="s">
        <v>543</v>
      </c>
    </row>
    <row r="238" spans="1:252" ht="15.75" customHeight="1" x14ac:dyDescent="0.25">
      <c r="A238" s="36" t="s">
        <v>980</v>
      </c>
      <c r="B238" s="36" t="s">
        <v>982</v>
      </c>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6"/>
      <c r="BQ238" s="6"/>
      <c r="BR238" s="6"/>
      <c r="BS238" s="6"/>
      <c r="BT238" s="6"/>
      <c r="BU238" s="6"/>
      <c r="BV238" s="36">
        <v>20</v>
      </c>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c r="DI238" s="36"/>
      <c r="DJ238" s="36">
        <v>4</v>
      </c>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6"/>
      <c r="GB238" s="6"/>
      <c r="GC238" s="36"/>
      <c r="GD238" s="36"/>
      <c r="GE238" s="36"/>
      <c r="GF238" s="36"/>
      <c r="GG238" s="36"/>
      <c r="GH238" s="36"/>
      <c r="GI238" s="36"/>
      <c r="GJ238" s="36"/>
      <c r="GK238" s="36"/>
      <c r="GL238" s="36"/>
      <c r="GM238" s="36"/>
      <c r="GN238" s="36"/>
      <c r="GO238" s="36"/>
      <c r="GP238" s="36"/>
      <c r="GQ238" s="36"/>
      <c r="GR238" s="36"/>
      <c r="GS238" s="36"/>
      <c r="GT238" s="36"/>
      <c r="GU238" s="36"/>
      <c r="GV238" s="6"/>
      <c r="GW238" s="36"/>
      <c r="GX238" s="36"/>
      <c r="GY238" s="36"/>
      <c r="GZ238" s="36"/>
      <c r="HA238" s="36"/>
      <c r="HB238" s="36"/>
      <c r="HC238" s="36"/>
      <c r="HD238" s="36"/>
      <c r="HE238" s="36"/>
      <c r="HF238" s="36"/>
      <c r="HG238" s="36"/>
      <c r="HH238" s="36"/>
      <c r="HI238" s="36"/>
      <c r="HJ238" s="36"/>
      <c r="HK238" s="36"/>
      <c r="HL238" s="36"/>
      <c r="HM238" s="36"/>
      <c r="HN238" s="36"/>
      <c r="HO238" s="36"/>
      <c r="HP238" s="36"/>
      <c r="HQ238" s="36"/>
      <c r="HR238" s="36"/>
      <c r="HS238" s="36"/>
      <c r="HT238" s="36"/>
      <c r="HU238" s="36"/>
      <c r="HV238" s="36"/>
      <c r="HW238" s="36"/>
      <c r="HX238" s="36"/>
      <c r="HY238" s="36"/>
      <c r="HZ238" s="36"/>
      <c r="IA238" s="36"/>
      <c r="IB238" s="36"/>
      <c r="IC238" s="36"/>
      <c r="ID238" s="36"/>
      <c r="IE238" s="36"/>
      <c r="IF238" s="36"/>
      <c r="IG238" s="36"/>
      <c r="IH238" s="36"/>
      <c r="II238" s="36"/>
      <c r="IJ238" s="36"/>
      <c r="IK238" s="36"/>
      <c r="IL238" s="36"/>
      <c r="IM238" s="36"/>
      <c r="IN238" s="36"/>
      <c r="IO238" s="36"/>
      <c r="IP238" s="36"/>
      <c r="IR238" s="2" t="s">
        <v>543</v>
      </c>
    </row>
    <row r="239" spans="1:252" ht="15.75" customHeight="1" x14ac:dyDescent="0.25">
      <c r="A239" s="36" t="s">
        <v>980</v>
      </c>
      <c r="B239" s="36" t="s">
        <v>983</v>
      </c>
      <c r="C239" s="36"/>
      <c r="D239" s="36"/>
      <c r="E239" s="36"/>
      <c r="F239" s="36"/>
      <c r="G239" s="36"/>
      <c r="H239" s="36"/>
      <c r="I239" s="36"/>
      <c r="J239" s="212">
        <v>10</v>
      </c>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6"/>
      <c r="BQ239" s="6"/>
      <c r="BR239" s="6"/>
      <c r="BS239" s="6"/>
      <c r="BT239" s="6"/>
      <c r="BU239" s="6"/>
      <c r="BV239" s="36"/>
      <c r="BW239" s="351">
        <v>30</v>
      </c>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c r="DI239" s="36"/>
      <c r="DJ239" s="36">
        <v>5</v>
      </c>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v>5</v>
      </c>
      <c r="ER239" s="36"/>
      <c r="ES239" s="36"/>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6"/>
      <c r="GB239" s="6">
        <v>100</v>
      </c>
      <c r="GC239" s="36"/>
      <c r="GD239" s="36"/>
      <c r="GE239" s="36"/>
      <c r="GF239" s="36"/>
      <c r="GG239" s="36"/>
      <c r="GH239" s="36"/>
      <c r="GI239" s="36"/>
      <c r="GJ239" s="36"/>
      <c r="GK239" s="36"/>
      <c r="GL239" s="36"/>
      <c r="GM239" s="36"/>
      <c r="GN239" s="36"/>
      <c r="GO239" s="36"/>
      <c r="GP239" s="36"/>
      <c r="GQ239" s="36"/>
      <c r="GR239" s="36"/>
      <c r="GS239" s="36"/>
      <c r="GT239" s="36"/>
      <c r="GU239" s="36"/>
      <c r="GV239" s="6"/>
      <c r="GW239" s="36"/>
      <c r="GX239" s="36"/>
      <c r="GY239" s="36"/>
      <c r="GZ239" s="36"/>
      <c r="HA239" s="36"/>
      <c r="HB239" s="36"/>
      <c r="HC239" s="36"/>
      <c r="HD239" s="36"/>
      <c r="HE239" s="36"/>
      <c r="HF239" s="36"/>
      <c r="HG239" s="36"/>
      <c r="HH239" s="36"/>
      <c r="HI239" s="36"/>
      <c r="HJ239" s="36"/>
      <c r="HK239" s="36"/>
      <c r="HL239" s="36"/>
      <c r="HM239" s="36"/>
      <c r="HN239" s="36"/>
      <c r="HO239" s="36"/>
      <c r="HP239" s="36"/>
      <c r="HQ239" s="36"/>
      <c r="HR239" s="36"/>
      <c r="HS239" s="36"/>
      <c r="HT239" s="36"/>
      <c r="HU239" s="36"/>
      <c r="HV239" s="36"/>
      <c r="HW239" s="36"/>
      <c r="HX239" s="36"/>
      <c r="HY239" s="36"/>
      <c r="HZ239" s="36"/>
      <c r="IA239" s="36"/>
      <c r="IB239" s="36"/>
      <c r="IC239" s="36"/>
      <c r="ID239" s="36"/>
      <c r="IE239" s="36"/>
      <c r="IF239" s="36"/>
      <c r="IG239" s="36"/>
      <c r="IH239" s="36"/>
      <c r="II239" s="36"/>
      <c r="IJ239" s="36"/>
      <c r="IK239" s="36"/>
      <c r="IL239" s="36"/>
      <c r="IM239" s="36"/>
      <c r="IN239" s="36"/>
      <c r="IO239" s="36"/>
      <c r="IP239" s="36"/>
      <c r="IR239" s="2" t="s">
        <v>543</v>
      </c>
    </row>
    <row r="240" spans="1:252" ht="15.75" customHeight="1" x14ac:dyDescent="0.25">
      <c r="A240" s="36" t="s">
        <v>984</v>
      </c>
      <c r="B240" s="36" t="s">
        <v>985</v>
      </c>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6"/>
      <c r="BQ240" s="6"/>
      <c r="BR240" s="6"/>
      <c r="BS240" s="6"/>
      <c r="BT240" s="6"/>
      <c r="BU240" s="6"/>
      <c r="BV240" s="36"/>
      <c r="BW240" s="36"/>
      <c r="BX240" s="36"/>
      <c r="BY240" s="36">
        <v>20</v>
      </c>
      <c r="BZ240" s="36">
        <v>20</v>
      </c>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c r="ES240" s="36"/>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6"/>
      <c r="GB240" s="6"/>
      <c r="GC240" s="36"/>
      <c r="GD240" s="36"/>
      <c r="GE240" s="36"/>
      <c r="GF240" s="36"/>
      <c r="GG240" s="36"/>
      <c r="GH240" s="36"/>
      <c r="GI240" s="36"/>
      <c r="GJ240" s="36"/>
      <c r="GK240" s="36"/>
      <c r="GL240" s="36"/>
      <c r="GM240" s="36"/>
      <c r="GN240" s="36"/>
      <c r="GO240" s="36"/>
      <c r="GP240" s="36"/>
      <c r="GQ240" s="36"/>
      <c r="GR240" s="36"/>
      <c r="GS240" s="36"/>
      <c r="GT240" s="36"/>
      <c r="GU240" s="36"/>
      <c r="GV240" s="6"/>
      <c r="GW240" s="36"/>
      <c r="GX240" s="36"/>
      <c r="GY240" s="36"/>
      <c r="GZ240" s="36"/>
      <c r="HA240" s="36"/>
      <c r="HB240" s="36"/>
      <c r="HC240" s="36"/>
      <c r="HD240" s="36"/>
      <c r="HE240" s="36"/>
      <c r="HF240" s="36"/>
      <c r="HG240" s="36"/>
      <c r="HH240" s="36"/>
      <c r="HI240" s="36"/>
      <c r="HJ240" s="36"/>
      <c r="HK240" s="36"/>
      <c r="HL240" s="36"/>
      <c r="HM240" s="36"/>
      <c r="HN240" s="36"/>
      <c r="HO240" s="36"/>
      <c r="HP240" s="36"/>
      <c r="HQ240" s="36"/>
      <c r="HR240" s="36"/>
      <c r="HS240" s="36"/>
      <c r="HT240" s="36"/>
      <c r="HU240" s="36"/>
      <c r="HV240" s="36"/>
      <c r="HW240" s="36"/>
      <c r="HX240" s="36"/>
      <c r="HY240" s="36"/>
      <c r="HZ240" s="36"/>
      <c r="IA240" s="36"/>
      <c r="IB240" s="36"/>
      <c r="IC240" s="36"/>
      <c r="ID240" s="36"/>
      <c r="IE240" s="36"/>
      <c r="IF240" s="36"/>
      <c r="IG240" s="36"/>
      <c r="IH240" s="36"/>
      <c r="II240" s="36"/>
      <c r="IJ240" s="36"/>
      <c r="IK240" s="36"/>
      <c r="IL240" s="36"/>
      <c r="IM240" s="36"/>
      <c r="IN240" s="36"/>
      <c r="IO240" s="36"/>
      <c r="IP240" s="36"/>
      <c r="IR240" s="2" t="s">
        <v>543</v>
      </c>
    </row>
    <row r="241" spans="1:252" ht="15.75" customHeight="1" x14ac:dyDescent="0.25">
      <c r="A241" s="36" t="s">
        <v>984</v>
      </c>
      <c r="B241" s="36" t="s">
        <v>986</v>
      </c>
      <c r="C241" s="36"/>
      <c r="D241" s="36"/>
      <c r="E241" s="36"/>
      <c r="F241" s="36"/>
      <c r="G241" s="36"/>
      <c r="H241" s="36"/>
      <c r="I241" s="36"/>
      <c r="J241" s="36"/>
      <c r="K241" s="36"/>
      <c r="L241" s="36"/>
      <c r="M241" s="36"/>
      <c r="N241" s="36"/>
      <c r="O241" s="36"/>
      <c r="P241" s="36"/>
      <c r="Q241" s="36"/>
      <c r="R241" s="36">
        <v>5</v>
      </c>
      <c r="S241" s="36"/>
      <c r="T241" s="36"/>
      <c r="U241" s="36"/>
      <c r="V241" s="36"/>
      <c r="W241" s="36"/>
      <c r="X241" s="36"/>
      <c r="Y241" s="36"/>
      <c r="Z241" s="36"/>
      <c r="AA241" s="36"/>
      <c r="AB241" s="36"/>
      <c r="AC241" s="36"/>
      <c r="AD241" s="36">
        <v>5</v>
      </c>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6"/>
      <c r="BQ241" s="6"/>
      <c r="BR241" s="6"/>
      <c r="BS241" s="6"/>
      <c r="BT241" s="6"/>
      <c r="BU241" s="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v>6</v>
      </c>
      <c r="DE241" s="36"/>
      <c r="DF241" s="36"/>
      <c r="DG241" s="36"/>
      <c r="DH241" s="36"/>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c r="ES241" s="36"/>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6"/>
      <c r="GB241" s="6">
        <v>50</v>
      </c>
      <c r="GC241" s="36"/>
      <c r="GD241" s="36"/>
      <c r="GE241" s="36"/>
      <c r="GF241" s="36"/>
      <c r="GG241" s="36"/>
      <c r="GH241" s="36"/>
      <c r="GI241" s="36"/>
      <c r="GJ241" s="36"/>
      <c r="GK241" s="36"/>
      <c r="GL241" s="36"/>
      <c r="GM241" s="36"/>
      <c r="GN241" s="36"/>
      <c r="GO241" s="36"/>
      <c r="GP241" s="36"/>
      <c r="GQ241" s="36"/>
      <c r="GR241" s="36"/>
      <c r="GS241" s="36"/>
      <c r="GT241" s="36"/>
      <c r="GU241" s="36"/>
      <c r="GV241" s="6"/>
      <c r="GW241" s="36"/>
      <c r="GX241" s="36"/>
      <c r="GY241" s="36"/>
      <c r="GZ241" s="36"/>
      <c r="HA241" s="36"/>
      <c r="HB241" s="36"/>
      <c r="HC241" s="36"/>
      <c r="HD241" s="36"/>
      <c r="HE241" s="36"/>
      <c r="HF241" s="36"/>
      <c r="HG241" s="36"/>
      <c r="HH241" s="36"/>
      <c r="HI241" s="36"/>
      <c r="HJ241" s="36"/>
      <c r="HK241" s="36"/>
      <c r="HL241" s="36"/>
      <c r="HM241" s="36"/>
      <c r="HN241" s="36"/>
      <c r="HO241" s="36"/>
      <c r="HP241" s="36"/>
      <c r="HQ241" s="36"/>
      <c r="HR241" s="36"/>
      <c r="HS241" s="36"/>
      <c r="HT241" s="36"/>
      <c r="HU241" s="36"/>
      <c r="HV241" s="36"/>
      <c r="HW241" s="36"/>
      <c r="HX241" s="36"/>
      <c r="HY241" s="36">
        <v>48</v>
      </c>
      <c r="HZ241" s="36"/>
      <c r="IA241" s="36"/>
      <c r="IB241" s="36"/>
      <c r="IC241" s="36"/>
      <c r="ID241" s="36"/>
      <c r="IE241" s="36"/>
      <c r="IF241" s="36"/>
      <c r="IG241" s="36"/>
      <c r="IH241" s="36"/>
      <c r="II241" s="36"/>
      <c r="IJ241" s="36"/>
      <c r="IK241" s="36"/>
      <c r="IL241" s="36"/>
      <c r="IM241" s="36"/>
      <c r="IN241" s="36"/>
      <c r="IO241" s="36"/>
      <c r="IP241" s="36"/>
      <c r="IR241" s="2" t="s">
        <v>543</v>
      </c>
    </row>
    <row r="242" spans="1:252" ht="15.75" customHeight="1" x14ac:dyDescent="0.25">
      <c r="A242" s="421" t="s">
        <v>987</v>
      </c>
      <c r="B242" s="421"/>
      <c r="C242" s="421"/>
      <c r="D242" s="421"/>
      <c r="E242" s="421"/>
      <c r="F242" s="421"/>
      <c r="G242" s="421"/>
      <c r="H242" s="421"/>
      <c r="I242" s="421"/>
      <c r="J242" s="421"/>
      <c r="K242" s="36"/>
      <c r="L242" s="421"/>
      <c r="M242" s="421"/>
      <c r="N242" s="421"/>
      <c r="O242" s="421"/>
      <c r="P242" s="421"/>
      <c r="Q242" s="421"/>
      <c r="R242" s="421"/>
      <c r="S242" s="421"/>
      <c r="T242" s="421"/>
      <c r="U242" s="421"/>
      <c r="V242" s="421"/>
      <c r="W242" s="421"/>
      <c r="X242" s="421"/>
      <c r="Y242" s="421"/>
      <c r="Z242" s="421"/>
      <c r="AA242" s="421"/>
      <c r="AB242" s="421"/>
      <c r="AC242" s="421"/>
      <c r="AD242" s="421"/>
      <c r="AE242" s="421"/>
      <c r="AF242" s="421"/>
      <c r="AG242" s="421"/>
      <c r="AH242" s="421"/>
      <c r="AI242" s="421"/>
      <c r="AJ242" s="421"/>
      <c r="AK242" s="421"/>
      <c r="AL242" s="421"/>
      <c r="AM242" s="421"/>
      <c r="AN242" s="421"/>
      <c r="AO242" s="421"/>
      <c r="AP242" s="421"/>
      <c r="AQ242" s="421"/>
      <c r="AR242" s="421"/>
      <c r="AS242" s="421"/>
      <c r="AT242" s="421"/>
      <c r="AU242" s="421"/>
      <c r="AV242" s="421"/>
      <c r="AW242" s="421"/>
      <c r="AX242" s="421"/>
      <c r="AY242" s="421"/>
      <c r="AZ242" s="421"/>
      <c r="BA242" s="421"/>
      <c r="BB242" s="421"/>
      <c r="BC242" s="421"/>
      <c r="BD242" s="421"/>
      <c r="BE242" s="421"/>
      <c r="BF242" s="421"/>
      <c r="BG242" s="421"/>
      <c r="BH242" s="421"/>
      <c r="BI242" s="421"/>
      <c r="BJ242" s="421"/>
      <c r="BK242" s="421"/>
      <c r="BL242" s="421"/>
      <c r="BM242" s="421"/>
      <c r="BN242" s="421"/>
      <c r="BO242" s="421"/>
      <c r="BP242" s="423"/>
      <c r="BQ242" s="423"/>
      <c r="BR242" s="423"/>
      <c r="BS242" s="423"/>
      <c r="BT242" s="423"/>
      <c r="BU242" s="423"/>
      <c r="BV242" s="421"/>
      <c r="BW242" s="421"/>
      <c r="BX242" s="421"/>
      <c r="BY242" s="421"/>
      <c r="BZ242" s="421"/>
      <c r="CA242" s="421"/>
      <c r="CB242" s="421"/>
      <c r="CC242" s="421"/>
      <c r="CD242" s="421"/>
      <c r="CE242" s="421"/>
      <c r="CF242" s="421"/>
      <c r="CG242" s="421"/>
      <c r="CH242" s="421"/>
      <c r="CI242" s="421"/>
      <c r="CJ242" s="421"/>
      <c r="CK242" s="421"/>
      <c r="CL242" s="421"/>
      <c r="CM242" s="421"/>
      <c r="CN242" s="421"/>
      <c r="CO242" s="421"/>
      <c r="CP242" s="421"/>
      <c r="CQ242" s="421"/>
      <c r="CR242" s="421"/>
      <c r="CS242" s="421"/>
      <c r="CT242" s="421"/>
      <c r="CU242" s="421"/>
      <c r="CV242" s="421"/>
      <c r="CW242" s="421"/>
      <c r="CX242" s="421"/>
      <c r="CY242" s="421"/>
      <c r="CZ242" s="421"/>
      <c r="DA242" s="421"/>
      <c r="DB242" s="421"/>
      <c r="DC242" s="421"/>
      <c r="DD242" s="421"/>
      <c r="DE242" s="421"/>
      <c r="DF242" s="421"/>
      <c r="DG242" s="421"/>
      <c r="DH242" s="421"/>
      <c r="DI242" s="421"/>
      <c r="DJ242" s="421"/>
      <c r="DK242" s="421"/>
      <c r="DL242" s="421"/>
      <c r="DM242" s="421"/>
      <c r="DN242" s="421"/>
      <c r="DO242" s="421"/>
      <c r="DP242" s="421"/>
      <c r="DQ242" s="421"/>
      <c r="DR242" s="421"/>
      <c r="DS242" s="421"/>
      <c r="DT242" s="421"/>
      <c r="DU242" s="421"/>
      <c r="DV242" s="421"/>
      <c r="DW242" s="421"/>
      <c r="DX242" s="421"/>
      <c r="DY242" s="421"/>
      <c r="DZ242" s="421"/>
      <c r="EA242" s="421"/>
      <c r="EB242" s="421"/>
      <c r="EC242" s="421"/>
      <c r="ED242" s="421"/>
      <c r="EE242" s="421"/>
      <c r="EF242" s="421"/>
      <c r="EG242" s="421"/>
      <c r="EH242" s="421"/>
      <c r="EI242" s="421"/>
      <c r="EJ242" s="421"/>
      <c r="EK242" s="421"/>
      <c r="EL242" s="421"/>
      <c r="EM242" s="421"/>
      <c r="EN242" s="421"/>
      <c r="EO242" s="421"/>
      <c r="EP242" s="421"/>
      <c r="EQ242" s="421"/>
      <c r="ER242" s="421"/>
      <c r="ES242" s="421"/>
      <c r="ET242" s="421"/>
      <c r="EU242" s="421"/>
      <c r="EV242" s="421"/>
      <c r="EW242" s="421"/>
      <c r="EX242" s="421"/>
      <c r="EY242" s="421"/>
      <c r="EZ242" s="421"/>
      <c r="FA242" s="421"/>
      <c r="FB242" s="421"/>
      <c r="FC242" s="421"/>
      <c r="FD242" s="421"/>
      <c r="FE242" s="421"/>
      <c r="FF242" s="421"/>
      <c r="FG242" s="421"/>
      <c r="FH242" s="421"/>
      <c r="FI242" s="421"/>
      <c r="FJ242" s="421"/>
      <c r="FK242" s="421"/>
      <c r="FL242" s="421"/>
      <c r="FM242" s="421"/>
      <c r="FN242" s="421"/>
      <c r="FO242" s="421"/>
      <c r="FP242" s="421"/>
      <c r="FQ242" s="421"/>
      <c r="FR242" s="421"/>
      <c r="FS242" s="421"/>
      <c r="FT242" s="421"/>
      <c r="FU242" s="421"/>
      <c r="FV242" s="421"/>
      <c r="FW242" s="421"/>
      <c r="FX242" s="421"/>
      <c r="FY242" s="421"/>
      <c r="FZ242" s="421"/>
      <c r="GA242" s="423"/>
      <c r="GB242" s="423"/>
      <c r="GC242" s="421"/>
      <c r="GD242" s="421"/>
      <c r="GE242" s="421"/>
      <c r="GF242" s="421">
        <v>2</v>
      </c>
      <c r="GG242" s="421"/>
      <c r="GH242" s="421"/>
      <c r="GI242" s="421"/>
      <c r="GJ242" s="421"/>
      <c r="GK242" s="421"/>
      <c r="GL242" s="421"/>
      <c r="GM242" s="421"/>
      <c r="GN242" s="421"/>
      <c r="GO242" s="421">
        <v>1</v>
      </c>
      <c r="GP242" s="421"/>
      <c r="GQ242" s="421"/>
      <c r="GR242" s="421"/>
      <c r="GS242" s="421">
        <v>1</v>
      </c>
      <c r="GT242" s="421">
        <v>1</v>
      </c>
      <c r="GU242" s="421"/>
      <c r="GV242" s="423">
        <v>80</v>
      </c>
      <c r="GW242" s="421"/>
      <c r="GX242" s="421"/>
      <c r="GY242" s="421"/>
      <c r="GZ242" s="421"/>
      <c r="HA242" s="421"/>
      <c r="HB242" s="421"/>
      <c r="HC242" s="421"/>
      <c r="HD242" s="421"/>
      <c r="HE242" s="421"/>
      <c r="HF242" s="421"/>
      <c r="HG242" s="421"/>
      <c r="HH242" s="421"/>
      <c r="HI242" s="421"/>
      <c r="HJ242" s="421"/>
      <c r="HK242" s="421"/>
      <c r="HL242" s="421"/>
      <c r="HM242" s="421"/>
      <c r="HN242" s="421"/>
      <c r="HO242" s="421"/>
      <c r="HP242" s="421"/>
      <c r="HQ242" s="421"/>
      <c r="HR242" s="421"/>
      <c r="HS242" s="421"/>
      <c r="HT242" s="421"/>
      <c r="HU242" s="421"/>
      <c r="HV242" s="421"/>
      <c r="HW242" s="421"/>
      <c r="HX242" s="421"/>
      <c r="HY242" s="421"/>
      <c r="HZ242" s="421"/>
      <c r="IA242" s="421"/>
      <c r="IB242" s="421"/>
      <c r="IC242" s="421"/>
      <c r="ID242" s="421"/>
      <c r="IE242" s="421"/>
      <c r="IF242" s="421"/>
      <c r="IG242" s="421"/>
      <c r="IH242" s="421"/>
      <c r="II242" s="421"/>
      <c r="IJ242" s="421"/>
      <c r="IK242" s="421"/>
      <c r="IL242" s="421"/>
      <c r="IM242" s="421"/>
      <c r="IN242" s="421"/>
      <c r="IO242" s="421"/>
      <c r="IP242" s="421"/>
      <c r="IR242" s="2" t="s">
        <v>682</v>
      </c>
    </row>
    <row r="243" spans="1:252" ht="15.75" customHeight="1" x14ac:dyDescent="0.25">
      <c r="A243" s="36" t="s">
        <v>989</v>
      </c>
      <c r="B243" s="36" t="s">
        <v>990</v>
      </c>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6"/>
      <c r="BQ243" s="6"/>
      <c r="BR243" s="6"/>
      <c r="BS243" s="6"/>
      <c r="BT243" s="6"/>
      <c r="BU243" s="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6"/>
      <c r="GB243" s="6"/>
      <c r="GC243" s="36"/>
      <c r="GD243" s="36"/>
      <c r="GE243" s="36"/>
      <c r="GF243" s="36"/>
      <c r="GG243" s="36"/>
      <c r="GH243" s="36"/>
      <c r="GI243" s="36"/>
      <c r="GJ243" s="36"/>
      <c r="GK243" s="36"/>
      <c r="GL243" s="36"/>
      <c r="GM243" s="36"/>
      <c r="GN243" s="36"/>
      <c r="GO243" s="36"/>
      <c r="GP243" s="36"/>
      <c r="GQ243" s="36"/>
      <c r="GR243" s="36"/>
      <c r="GS243" s="36"/>
      <c r="GT243" s="36"/>
      <c r="GU243" s="36"/>
      <c r="GV243" s="6"/>
      <c r="GW243" s="36"/>
      <c r="GX243" s="36"/>
      <c r="GY243" s="36"/>
      <c r="GZ243" s="36"/>
      <c r="HA243" s="36"/>
      <c r="HB243" s="36"/>
      <c r="HC243" s="36"/>
      <c r="HD243" s="36"/>
      <c r="HE243" s="36"/>
      <c r="HF243" s="36"/>
      <c r="HG243" s="36"/>
      <c r="HH243" s="36"/>
      <c r="HI243" s="36"/>
      <c r="HJ243" s="36"/>
      <c r="HK243" s="36"/>
      <c r="HL243" s="36"/>
      <c r="HM243" s="36"/>
      <c r="HN243" s="36"/>
      <c r="HO243" s="36"/>
      <c r="HP243" s="36"/>
      <c r="HQ243" s="36"/>
      <c r="HR243" s="36"/>
      <c r="HS243" s="36"/>
      <c r="HT243" s="36"/>
      <c r="HU243" s="36"/>
      <c r="HV243" s="36"/>
      <c r="HW243" s="36"/>
      <c r="HX243" s="36">
        <v>312</v>
      </c>
      <c r="HY243" s="36"/>
      <c r="HZ243" s="36"/>
      <c r="IA243" s="36"/>
      <c r="IB243" s="36"/>
      <c r="IC243" s="36"/>
      <c r="ID243" s="36"/>
      <c r="IE243" s="36"/>
      <c r="IF243" s="36"/>
      <c r="IG243" s="36"/>
      <c r="IH243" s="36"/>
      <c r="II243" s="36"/>
      <c r="IJ243" s="36"/>
      <c r="IK243" s="36"/>
      <c r="IL243" s="36"/>
      <c r="IM243" s="36"/>
      <c r="IN243" s="36"/>
      <c r="IO243" s="36"/>
      <c r="IP243" s="36"/>
      <c r="IR243" s="2" t="s">
        <v>543</v>
      </c>
    </row>
    <row r="244" spans="1:252" ht="15.75" customHeight="1" x14ac:dyDescent="0.25">
      <c r="A244" s="36" t="s">
        <v>989</v>
      </c>
      <c r="B244" s="36" t="s">
        <v>992</v>
      </c>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6"/>
      <c r="BQ244" s="6">
        <v>20</v>
      </c>
      <c r="BR244" s="6"/>
      <c r="BS244" s="6"/>
      <c r="BT244" s="6"/>
      <c r="BU244" s="6"/>
      <c r="BV244" s="36"/>
      <c r="BW244" s="36"/>
      <c r="BX244" s="36"/>
      <c r="BY244" s="36"/>
      <c r="BZ244" s="36"/>
      <c r="CA244" s="36"/>
      <c r="CB244" s="36"/>
      <c r="CC244" s="36"/>
      <c r="CD244" s="36">
        <v>20</v>
      </c>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6"/>
      <c r="GB244" s="6"/>
      <c r="GC244" s="36"/>
      <c r="GD244" s="36"/>
      <c r="GE244" s="36"/>
      <c r="GF244" s="36"/>
      <c r="GG244" s="36"/>
      <c r="GH244" s="36"/>
      <c r="GI244" s="36"/>
      <c r="GJ244" s="36"/>
      <c r="GK244" s="36"/>
      <c r="GL244" s="36"/>
      <c r="GM244" s="36"/>
      <c r="GN244" s="36"/>
      <c r="GO244" s="36"/>
      <c r="GP244" s="36"/>
      <c r="GQ244" s="36"/>
      <c r="GR244" s="36"/>
      <c r="GS244" s="36"/>
      <c r="GT244" s="36"/>
      <c r="GU244" s="36"/>
      <c r="GV244" s="6"/>
      <c r="GW244" s="36"/>
      <c r="GX244" s="36"/>
      <c r="GY244" s="36"/>
      <c r="GZ244" s="36"/>
      <c r="HA244" s="36"/>
      <c r="HB244" s="36"/>
      <c r="HC244" s="36"/>
      <c r="HD244" s="36"/>
      <c r="HE244" s="36"/>
      <c r="HF244" s="36"/>
      <c r="HG244" s="36"/>
      <c r="HH244" s="36"/>
      <c r="HI244" s="36"/>
      <c r="HJ244" s="36"/>
      <c r="HK244" s="36"/>
      <c r="HL244" s="36"/>
      <c r="HM244" s="36"/>
      <c r="HN244" s="36"/>
      <c r="HO244" s="36"/>
      <c r="HP244" s="36"/>
      <c r="HQ244" s="36"/>
      <c r="HR244" s="36"/>
      <c r="HS244" s="36"/>
      <c r="HT244" s="36"/>
      <c r="HU244" s="36"/>
      <c r="HV244" s="36"/>
      <c r="HW244" s="36"/>
      <c r="HX244" s="36"/>
      <c r="HY244" s="36"/>
      <c r="HZ244" s="36"/>
      <c r="IA244" s="36"/>
      <c r="IB244" s="36"/>
      <c r="IC244" s="36"/>
      <c r="ID244" s="36"/>
      <c r="IE244" s="36"/>
      <c r="IF244" s="36"/>
      <c r="IG244" s="36"/>
      <c r="IH244" s="36"/>
      <c r="II244" s="36"/>
      <c r="IJ244" s="36"/>
      <c r="IK244" s="36"/>
      <c r="IL244" s="36"/>
      <c r="IM244" s="36"/>
      <c r="IN244" s="36"/>
      <c r="IO244" s="36"/>
      <c r="IP244" s="36"/>
      <c r="IR244" s="2" t="s">
        <v>543</v>
      </c>
    </row>
    <row r="245" spans="1:252" ht="15.75" customHeight="1" x14ac:dyDescent="0.25">
      <c r="A245" s="36" t="s">
        <v>993</v>
      </c>
      <c r="B245" s="36" t="s">
        <v>994</v>
      </c>
      <c r="C245" s="36"/>
      <c r="D245" s="36"/>
      <c r="E245" s="36"/>
      <c r="F245" s="36"/>
      <c r="G245" s="36"/>
      <c r="H245" s="36"/>
      <c r="I245" s="36"/>
      <c r="J245" s="36"/>
      <c r="K245" s="36"/>
      <c r="L245" s="36">
        <v>5</v>
      </c>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6"/>
      <c r="BQ245" s="6"/>
      <c r="BR245" s="6"/>
      <c r="BS245" s="6"/>
      <c r="BT245" s="6"/>
      <c r="BU245" s="6"/>
      <c r="BV245" s="36"/>
      <c r="BW245" s="36"/>
      <c r="BX245" s="36"/>
      <c r="BY245" s="36"/>
      <c r="BZ245" s="36"/>
      <c r="CA245" s="36"/>
      <c r="CB245" s="36"/>
      <c r="CC245" s="36"/>
      <c r="CD245" s="36"/>
      <c r="CE245" s="36"/>
      <c r="CF245" s="36"/>
      <c r="CG245" s="36"/>
      <c r="CH245" s="36"/>
      <c r="CI245" s="36"/>
      <c r="CJ245" s="36"/>
      <c r="CK245" s="36"/>
      <c r="CL245" s="36"/>
      <c r="CM245" s="36"/>
      <c r="CN245" s="36"/>
      <c r="CO245" s="36">
        <v>8</v>
      </c>
      <c r="CP245" s="36"/>
      <c r="CQ245" s="36"/>
      <c r="CR245" s="36"/>
      <c r="CS245" s="36"/>
      <c r="CT245" s="36"/>
      <c r="CU245" s="36"/>
      <c r="CV245" s="36"/>
      <c r="CW245" s="36"/>
      <c r="CX245" s="36"/>
      <c r="CY245" s="36"/>
      <c r="CZ245" s="36"/>
      <c r="DA245" s="36"/>
      <c r="DB245" s="36"/>
      <c r="DC245" s="36"/>
      <c r="DD245" s="36"/>
      <c r="DE245" s="36"/>
      <c r="DF245" s="36"/>
      <c r="DG245" s="36"/>
      <c r="DH245" s="36"/>
      <c r="DI245" s="36"/>
      <c r="DJ245" s="36"/>
      <c r="DK245" s="36"/>
      <c r="DL245" s="36"/>
      <c r="DM245" s="36"/>
      <c r="DN245" s="36"/>
      <c r="DO245" s="36"/>
      <c r="DP245" s="36"/>
      <c r="DQ245" s="36">
        <v>4</v>
      </c>
      <c r="DR245" s="36"/>
      <c r="DS245" s="36"/>
      <c r="DT245" s="36"/>
      <c r="DU245" s="36"/>
      <c r="DV245" s="36"/>
      <c r="DW245" s="36"/>
      <c r="DX245" s="36"/>
      <c r="DY245" s="36"/>
      <c r="DZ245" s="36"/>
      <c r="EA245" s="36"/>
      <c r="EB245" s="36"/>
      <c r="EC245" s="36"/>
      <c r="ED245" s="36"/>
      <c r="EE245" s="36"/>
      <c r="EF245" s="36"/>
      <c r="EG245" s="36"/>
      <c r="EH245" s="36"/>
      <c r="EI245" s="36"/>
      <c r="EJ245" s="36"/>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6"/>
      <c r="GB245" s="6"/>
      <c r="GC245" s="36"/>
      <c r="GD245" s="36"/>
      <c r="GE245" s="36"/>
      <c r="GF245" s="36"/>
      <c r="GG245" s="36"/>
      <c r="GH245" s="36"/>
      <c r="GI245" s="36"/>
      <c r="GJ245" s="36"/>
      <c r="GK245" s="36"/>
      <c r="GL245" s="36"/>
      <c r="GM245" s="36"/>
      <c r="GN245" s="36"/>
      <c r="GO245" s="36"/>
      <c r="GP245" s="36"/>
      <c r="GQ245" s="36"/>
      <c r="GR245" s="36"/>
      <c r="GS245" s="36"/>
      <c r="GT245" s="36"/>
      <c r="GU245" s="36"/>
      <c r="GV245" s="6"/>
      <c r="GW245" s="36"/>
      <c r="GX245" s="36"/>
      <c r="GY245" s="36"/>
      <c r="GZ245" s="36"/>
      <c r="HA245" s="36"/>
      <c r="HB245" s="36"/>
      <c r="HC245" s="36"/>
      <c r="HD245" s="36"/>
      <c r="HE245" s="36"/>
      <c r="HF245" s="36"/>
      <c r="HG245" s="36"/>
      <c r="HH245" s="36"/>
      <c r="HI245" s="36"/>
      <c r="HJ245" s="36"/>
      <c r="HK245" s="36"/>
      <c r="HL245" s="36"/>
      <c r="HM245" s="36"/>
      <c r="HN245" s="36"/>
      <c r="HO245" s="36"/>
      <c r="HP245" s="36"/>
      <c r="HQ245" s="36"/>
      <c r="HR245" s="36"/>
      <c r="HS245" s="36"/>
      <c r="HT245" s="36"/>
      <c r="HU245" s="36"/>
      <c r="HV245" s="36"/>
      <c r="HW245" s="36"/>
      <c r="HX245" s="36">
        <f>288+24+24</f>
        <v>336</v>
      </c>
      <c r="HY245" s="36"/>
      <c r="HZ245" s="36"/>
      <c r="IA245" s="36"/>
      <c r="IB245" s="36"/>
      <c r="IC245" s="36"/>
      <c r="ID245" s="36"/>
      <c r="IE245" s="36"/>
      <c r="IF245" s="36"/>
      <c r="IG245" s="36"/>
      <c r="IH245" s="36"/>
      <c r="II245" s="36"/>
      <c r="IJ245" s="36"/>
      <c r="IK245" s="36">
        <v>2</v>
      </c>
      <c r="IL245" s="36">
        <v>16</v>
      </c>
      <c r="IM245" s="36">
        <v>8</v>
      </c>
      <c r="IN245" s="36"/>
      <c r="IO245" s="36"/>
      <c r="IP245" s="36"/>
      <c r="IR245" s="2" t="s">
        <v>543</v>
      </c>
    </row>
    <row r="246" spans="1:252" ht="15.75" customHeight="1" x14ac:dyDescent="0.25">
      <c r="A246" s="36" t="s">
        <v>995</v>
      </c>
      <c r="B246" s="36" t="s">
        <v>996</v>
      </c>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c r="BD246" s="36"/>
      <c r="BE246" s="36"/>
      <c r="BF246" s="36"/>
      <c r="BG246" s="36"/>
      <c r="BH246" s="36"/>
      <c r="BI246" s="36"/>
      <c r="BJ246" s="36"/>
      <c r="BK246" s="36"/>
      <c r="BL246" s="36"/>
      <c r="BM246" s="36"/>
      <c r="BN246" s="36"/>
      <c r="BO246" s="36"/>
      <c r="BP246" s="6"/>
      <c r="BQ246" s="6"/>
      <c r="BR246" s="6"/>
      <c r="BS246" s="6"/>
      <c r="BT246" s="6"/>
      <c r="BU246" s="6"/>
      <c r="BV246" s="36"/>
      <c r="BW246" s="36"/>
      <c r="BX246" s="36"/>
      <c r="BY246" s="36"/>
      <c r="BZ246" s="36"/>
      <c r="CA246" s="36"/>
      <c r="CB246" s="36"/>
      <c r="CC246" s="36"/>
      <c r="CD246" s="36"/>
      <c r="CE246" s="36"/>
      <c r="CF246" s="36"/>
      <c r="CG246" s="36"/>
      <c r="CH246" s="36"/>
      <c r="CI246" s="36"/>
      <c r="CJ246" s="36"/>
      <c r="CK246" s="36"/>
      <c r="CL246" s="36"/>
      <c r="CM246" s="36"/>
      <c r="CN246" s="36"/>
      <c r="CO246" s="36"/>
      <c r="CP246" s="36"/>
      <c r="CQ246" s="36"/>
      <c r="CR246" s="36"/>
      <c r="CS246" s="36"/>
      <c r="CT246" s="36"/>
      <c r="CU246" s="36"/>
      <c r="CV246" s="36"/>
      <c r="CW246" s="36"/>
      <c r="CX246" s="36"/>
      <c r="CY246" s="36"/>
      <c r="CZ246" s="36"/>
      <c r="DA246" s="36"/>
      <c r="DB246" s="36"/>
      <c r="DC246" s="36"/>
      <c r="DD246" s="36"/>
      <c r="DE246" s="36"/>
      <c r="DF246" s="36"/>
      <c r="DG246" s="36"/>
      <c r="DH246" s="36"/>
      <c r="DI246" s="36"/>
      <c r="DJ246" s="36"/>
      <c r="DK246" s="36"/>
      <c r="DL246" s="36"/>
      <c r="DM246" s="36"/>
      <c r="DN246" s="36"/>
      <c r="DO246" s="36"/>
      <c r="DP246" s="36"/>
      <c r="DQ246" s="36"/>
      <c r="DR246" s="36"/>
      <c r="DS246" s="36"/>
      <c r="DT246" s="36"/>
      <c r="DU246" s="36"/>
      <c r="DV246" s="36"/>
      <c r="DW246" s="36"/>
      <c r="DX246" s="36"/>
      <c r="DY246" s="36"/>
      <c r="DZ246" s="36"/>
      <c r="EA246" s="36"/>
      <c r="EB246" s="36"/>
      <c r="EC246" s="36"/>
      <c r="ED246" s="36"/>
      <c r="EE246" s="36"/>
      <c r="EF246" s="36"/>
      <c r="EG246" s="36"/>
      <c r="EH246" s="36"/>
      <c r="EI246" s="36"/>
      <c r="EJ246" s="36"/>
      <c r="EK246" s="36"/>
      <c r="EL246" s="36"/>
      <c r="EM246" s="36"/>
      <c r="EN246" s="36"/>
      <c r="EO246" s="36"/>
      <c r="EP246" s="36"/>
      <c r="EQ246" s="36"/>
      <c r="ER246" s="36"/>
      <c r="ES246" s="36"/>
      <c r="ET246" s="36"/>
      <c r="EU246" s="36"/>
      <c r="EV246" s="36"/>
      <c r="EW246" s="36"/>
      <c r="EX246" s="36"/>
      <c r="EY246" s="36"/>
      <c r="EZ246" s="36"/>
      <c r="FA246" s="36"/>
      <c r="FB246" s="36"/>
      <c r="FC246" s="36"/>
      <c r="FD246" s="36"/>
      <c r="FE246" s="36"/>
      <c r="FF246" s="36"/>
      <c r="FG246" s="36"/>
      <c r="FH246" s="36"/>
      <c r="FI246" s="36"/>
      <c r="FJ246" s="36"/>
      <c r="FK246" s="36"/>
      <c r="FL246" s="36"/>
      <c r="FM246" s="36"/>
      <c r="FN246" s="36"/>
      <c r="FO246" s="36"/>
      <c r="FP246" s="36"/>
      <c r="FQ246" s="36"/>
      <c r="FR246" s="36"/>
      <c r="FS246" s="36"/>
      <c r="FT246" s="36"/>
      <c r="FU246" s="36"/>
      <c r="FV246" s="36"/>
      <c r="FW246" s="36"/>
      <c r="FX246" s="36"/>
      <c r="FY246" s="36"/>
      <c r="FZ246" s="36"/>
      <c r="GA246" s="6"/>
      <c r="GB246" s="6"/>
      <c r="GC246" s="36"/>
      <c r="GD246" s="36"/>
      <c r="GE246" s="36"/>
      <c r="GF246" s="36"/>
      <c r="GG246" s="36"/>
      <c r="GH246" s="36"/>
      <c r="GI246" s="36"/>
      <c r="GJ246" s="36"/>
      <c r="GK246" s="36"/>
      <c r="GL246" s="36"/>
      <c r="GM246" s="36"/>
      <c r="GN246" s="36"/>
      <c r="GO246" s="36"/>
      <c r="GP246" s="36"/>
      <c r="GQ246" s="36"/>
      <c r="GR246" s="36"/>
      <c r="GS246" s="36"/>
      <c r="GT246" s="36"/>
      <c r="GU246" s="36"/>
      <c r="GV246" s="6"/>
      <c r="GW246" s="36"/>
      <c r="GX246" s="36"/>
      <c r="GY246" s="36"/>
      <c r="GZ246" s="36"/>
      <c r="HA246" s="36"/>
      <c r="HB246" s="36"/>
      <c r="HC246" s="36"/>
      <c r="HD246" s="36"/>
      <c r="HE246" s="36"/>
      <c r="HF246" s="36"/>
      <c r="HG246" s="36"/>
      <c r="HH246" s="36"/>
      <c r="HI246" s="36"/>
      <c r="HJ246" s="36"/>
      <c r="HK246" s="36"/>
      <c r="HL246" s="36"/>
      <c r="HM246" s="36"/>
      <c r="HN246" s="36"/>
      <c r="HO246" s="36"/>
      <c r="HP246" s="36"/>
      <c r="HQ246" s="36"/>
      <c r="HR246" s="36"/>
      <c r="HS246" s="36"/>
      <c r="HT246" s="36"/>
      <c r="HU246" s="36"/>
      <c r="HV246" s="36"/>
      <c r="HW246" s="36"/>
      <c r="HX246" s="36"/>
      <c r="HY246" s="36"/>
      <c r="HZ246" s="36"/>
      <c r="IA246" s="36"/>
      <c r="IB246" s="36"/>
      <c r="IC246" s="36"/>
      <c r="ID246" s="36"/>
      <c r="IE246" s="36"/>
      <c r="IF246" s="36"/>
      <c r="IG246" s="36"/>
      <c r="IH246" s="36"/>
      <c r="II246" s="36"/>
      <c r="IJ246" s="36"/>
      <c r="IK246" s="36">
        <v>2</v>
      </c>
      <c r="IL246" s="36">
        <v>16</v>
      </c>
      <c r="IM246" s="36">
        <v>8</v>
      </c>
      <c r="IN246" s="36"/>
      <c r="IO246" s="36"/>
      <c r="IP246" s="36"/>
      <c r="IR246" s="2" t="s">
        <v>543</v>
      </c>
    </row>
    <row r="247" spans="1:252" ht="15.75" customHeight="1" x14ac:dyDescent="0.25">
      <c r="A247" s="36" t="s">
        <v>997</v>
      </c>
      <c r="B247" s="36" t="s">
        <v>998</v>
      </c>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6"/>
      <c r="BQ247" s="6">
        <v>1</v>
      </c>
      <c r="BR247" s="6"/>
      <c r="BS247" s="6"/>
      <c r="BT247" s="6"/>
      <c r="BU247" s="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6"/>
      <c r="GB247" s="6"/>
      <c r="GC247" s="36"/>
      <c r="GD247" s="36"/>
      <c r="GE247" s="36"/>
      <c r="GF247" s="36"/>
      <c r="GG247" s="36"/>
      <c r="GH247" s="36"/>
      <c r="GI247" s="36"/>
      <c r="GJ247" s="36"/>
      <c r="GK247" s="36"/>
      <c r="GL247" s="36"/>
      <c r="GM247" s="36"/>
      <c r="GN247" s="36"/>
      <c r="GO247" s="36"/>
      <c r="GP247" s="36"/>
      <c r="GQ247" s="36"/>
      <c r="GR247" s="36"/>
      <c r="GS247" s="36"/>
      <c r="GT247" s="36"/>
      <c r="GU247" s="36"/>
      <c r="GV247" s="6"/>
      <c r="GW247" s="36"/>
      <c r="GX247" s="36"/>
      <c r="GY247" s="36"/>
      <c r="GZ247" s="36"/>
      <c r="HA247" s="36"/>
      <c r="HB247" s="36"/>
      <c r="HC247" s="36"/>
      <c r="HD247" s="36"/>
      <c r="HE247" s="36"/>
      <c r="HF247" s="36"/>
      <c r="HG247" s="36"/>
      <c r="HH247" s="36"/>
      <c r="HI247" s="36"/>
      <c r="HJ247" s="36"/>
      <c r="HK247" s="36"/>
      <c r="HL247" s="36"/>
      <c r="HM247" s="36"/>
      <c r="HN247" s="36"/>
      <c r="HO247" s="36"/>
      <c r="HP247" s="36"/>
      <c r="HQ247" s="36"/>
      <c r="HR247" s="36"/>
      <c r="HS247" s="36"/>
      <c r="HT247" s="36"/>
      <c r="HU247" s="36"/>
      <c r="HV247" s="36"/>
      <c r="HW247" s="36"/>
      <c r="HX247" s="36"/>
      <c r="HY247" s="36"/>
      <c r="HZ247" s="36"/>
      <c r="IA247" s="36"/>
      <c r="IB247" s="36"/>
      <c r="IC247" s="36"/>
      <c r="ID247" s="36"/>
      <c r="IE247" s="36"/>
      <c r="IF247" s="36"/>
      <c r="IG247" s="36"/>
      <c r="IH247" s="36"/>
      <c r="II247" s="36"/>
      <c r="IJ247" s="36"/>
      <c r="IK247" s="36"/>
      <c r="IL247" s="36"/>
      <c r="IM247" s="36"/>
      <c r="IN247" s="36"/>
      <c r="IO247" s="36"/>
      <c r="IP247" s="36"/>
      <c r="IR247" s="2" t="s">
        <v>543</v>
      </c>
    </row>
    <row r="248" spans="1:252" ht="15.75" customHeight="1" x14ac:dyDescent="0.25">
      <c r="A248" s="36" t="s">
        <v>997</v>
      </c>
      <c r="B248" s="36" t="s">
        <v>999</v>
      </c>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6"/>
      <c r="BQ248" s="6">
        <v>39</v>
      </c>
      <c r="BR248" s="6"/>
      <c r="BS248" s="6"/>
      <c r="BT248" s="6"/>
      <c r="BU248" s="6"/>
      <c r="BV248" s="36"/>
      <c r="BW248" s="36"/>
      <c r="BX248" s="36"/>
      <c r="BY248" s="36"/>
      <c r="BZ248" s="36">
        <v>10</v>
      </c>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v>5</v>
      </c>
      <c r="EN248" s="36"/>
      <c r="EO248" s="36"/>
      <c r="EP248" s="36"/>
      <c r="EQ248" s="36">
        <v>20</v>
      </c>
      <c r="ER248" s="36"/>
      <c r="ES248" s="36"/>
      <c r="ET248" s="36"/>
      <c r="EU248" s="36"/>
      <c r="EV248" s="36"/>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6"/>
      <c r="GB248" s="6"/>
      <c r="GC248" s="36"/>
      <c r="GD248" s="36"/>
      <c r="GE248" s="36"/>
      <c r="GF248" s="36"/>
      <c r="GG248" s="36"/>
      <c r="GH248" s="36"/>
      <c r="GI248" s="36"/>
      <c r="GJ248" s="36"/>
      <c r="GK248" s="36"/>
      <c r="GL248" s="36"/>
      <c r="GM248" s="36"/>
      <c r="GN248" s="36"/>
      <c r="GO248" s="36"/>
      <c r="GP248" s="36"/>
      <c r="GQ248" s="36"/>
      <c r="GR248" s="36"/>
      <c r="GS248" s="36"/>
      <c r="GT248" s="36"/>
      <c r="GU248" s="36"/>
      <c r="GV248" s="6"/>
      <c r="GW248" s="36"/>
      <c r="GX248" s="36"/>
      <c r="GY248" s="36"/>
      <c r="GZ248" s="36"/>
      <c r="HA248" s="36"/>
      <c r="HB248" s="36"/>
      <c r="HC248" s="36"/>
      <c r="HD248" s="36"/>
      <c r="HE248" s="36"/>
      <c r="HF248" s="36"/>
      <c r="HG248" s="36"/>
      <c r="HH248" s="36"/>
      <c r="HI248" s="36"/>
      <c r="HJ248" s="36"/>
      <c r="HK248" s="36"/>
      <c r="HL248" s="36"/>
      <c r="HM248" s="36"/>
      <c r="HN248" s="36"/>
      <c r="HO248" s="36"/>
      <c r="HP248" s="36"/>
      <c r="HQ248" s="36"/>
      <c r="HR248" s="36"/>
      <c r="HS248" s="36"/>
      <c r="HT248" s="36"/>
      <c r="HU248" s="36"/>
      <c r="HV248" s="36"/>
      <c r="HW248" s="36"/>
      <c r="HX248" s="36"/>
      <c r="HY248" s="36"/>
      <c r="HZ248" s="36"/>
      <c r="IA248" s="36"/>
      <c r="IB248" s="36"/>
      <c r="IC248" s="36"/>
      <c r="ID248" s="36"/>
      <c r="IE248" s="36"/>
      <c r="IF248" s="36"/>
      <c r="IG248" s="36"/>
      <c r="IH248" s="36"/>
      <c r="II248" s="36"/>
      <c r="IJ248" s="36"/>
      <c r="IK248" s="36"/>
      <c r="IL248" s="36"/>
      <c r="IM248" s="36"/>
      <c r="IN248" s="36"/>
      <c r="IO248" s="36"/>
      <c r="IP248" s="36"/>
      <c r="IR248" s="2" t="s">
        <v>543</v>
      </c>
    </row>
    <row r="249" spans="1:252" ht="15.75" customHeight="1" x14ac:dyDescent="0.25">
      <c r="A249" s="36" t="s">
        <v>1001</v>
      </c>
      <c r="B249" s="36" t="s">
        <v>1002</v>
      </c>
      <c r="C249" s="36"/>
      <c r="D249" s="36"/>
      <c r="E249" s="36"/>
      <c r="F249" s="36"/>
      <c r="G249" s="36"/>
      <c r="H249" s="36">
        <v>50</v>
      </c>
      <c r="I249" s="36"/>
      <c r="J249" s="36"/>
      <c r="K249" s="80">
        <v>20</v>
      </c>
      <c r="L249" s="36"/>
      <c r="M249" s="36"/>
      <c r="N249" s="36"/>
      <c r="O249" s="36"/>
      <c r="P249" s="36">
        <v>35</v>
      </c>
      <c r="Q249" s="36"/>
      <c r="R249" s="36"/>
      <c r="S249" s="36"/>
      <c r="T249" s="36"/>
      <c r="U249" s="36">
        <v>25</v>
      </c>
      <c r="V249" s="36"/>
      <c r="W249" s="36"/>
      <c r="X249" s="36"/>
      <c r="Y249" s="36"/>
      <c r="Z249" s="36"/>
      <c r="AA249" s="36"/>
      <c r="AB249" s="36"/>
      <c r="AC249" s="36">
        <v>10</v>
      </c>
      <c r="AD249" s="36"/>
      <c r="AE249" s="36">
        <v>40</v>
      </c>
      <c r="AF249" s="36"/>
      <c r="AG249" s="36"/>
      <c r="AH249" s="36"/>
      <c r="AI249" s="36"/>
      <c r="AJ249" s="36"/>
      <c r="AK249" s="36"/>
      <c r="AL249" s="36"/>
      <c r="AM249" s="36"/>
      <c r="AN249" s="36"/>
      <c r="AO249" s="36"/>
      <c r="AP249" s="36"/>
      <c r="AQ249" s="36"/>
      <c r="AR249" s="36"/>
      <c r="AS249" s="36"/>
      <c r="AT249" s="36"/>
      <c r="AU249" s="36">
        <v>20</v>
      </c>
      <c r="AV249" s="36"/>
      <c r="AW249" s="36"/>
      <c r="AX249" s="36"/>
      <c r="AY249" s="36"/>
      <c r="AZ249" s="36"/>
      <c r="BA249" s="36"/>
      <c r="BB249" s="36"/>
      <c r="BC249" s="36"/>
      <c r="BD249" s="36"/>
      <c r="BE249" s="36"/>
      <c r="BF249" s="36"/>
      <c r="BG249" s="36"/>
      <c r="BH249" s="36"/>
      <c r="BI249" s="36"/>
      <c r="BJ249" s="36"/>
      <c r="BK249" s="36"/>
      <c r="BL249" s="36"/>
      <c r="BM249" s="36"/>
      <c r="BN249" s="36"/>
      <c r="BO249" s="36"/>
      <c r="BP249" s="6"/>
      <c r="BQ249" s="6"/>
      <c r="BR249" s="6"/>
      <c r="BS249" s="6"/>
      <c r="BT249" s="6"/>
      <c r="BU249" s="6"/>
      <c r="BV249" s="36"/>
      <c r="BW249" s="36"/>
      <c r="BX249" s="36"/>
      <c r="BY249" s="36"/>
      <c r="BZ249" s="36"/>
      <c r="CA249" s="36"/>
      <c r="CB249" s="36"/>
      <c r="CC249" s="36"/>
      <c r="CD249" s="36"/>
      <c r="CE249" s="36"/>
      <c r="CF249" s="36"/>
      <c r="CG249" s="36"/>
      <c r="CH249" s="36"/>
      <c r="CI249" s="36"/>
      <c r="CJ249" s="36"/>
      <c r="CK249" s="36"/>
      <c r="CL249" s="36"/>
      <c r="CM249" s="36"/>
      <c r="CN249" s="36"/>
      <c r="CO249" s="36"/>
      <c r="CP249" s="36"/>
      <c r="CQ249" s="36"/>
      <c r="CR249" s="36"/>
      <c r="CS249" s="36"/>
      <c r="CT249" s="36"/>
      <c r="CU249" s="36"/>
      <c r="CV249" s="36"/>
      <c r="CW249" s="36"/>
      <c r="CX249" s="36"/>
      <c r="CY249" s="36"/>
      <c r="CZ249" s="36"/>
      <c r="DA249" s="36"/>
      <c r="DB249" s="36"/>
      <c r="DC249" s="36"/>
      <c r="DD249" s="36"/>
      <c r="DE249" s="36"/>
      <c r="DF249" s="36"/>
      <c r="DG249" s="36"/>
      <c r="DH249" s="36"/>
      <c r="DI249" s="36"/>
      <c r="DJ249" s="36"/>
      <c r="DK249" s="36"/>
      <c r="DL249" s="36"/>
      <c r="DM249" s="36"/>
      <c r="DN249" s="36"/>
      <c r="DO249" s="36"/>
      <c r="DP249" s="36"/>
      <c r="DQ249" s="36"/>
      <c r="DR249" s="36"/>
      <c r="DS249" s="36"/>
      <c r="DT249" s="36"/>
      <c r="DU249" s="36"/>
      <c r="DV249" s="36"/>
      <c r="DW249" s="36"/>
      <c r="DX249" s="36"/>
      <c r="DY249" s="36"/>
      <c r="DZ249" s="36"/>
      <c r="EA249" s="36"/>
      <c r="EB249" s="36"/>
      <c r="EC249" s="36"/>
      <c r="ED249" s="36"/>
      <c r="EE249" s="36"/>
      <c r="EF249" s="36"/>
      <c r="EG249" s="36"/>
      <c r="EH249" s="36"/>
      <c r="EI249" s="36"/>
      <c r="EJ249" s="36"/>
      <c r="EK249" s="36"/>
      <c r="EL249" s="36"/>
      <c r="EM249" s="36"/>
      <c r="EN249" s="36"/>
      <c r="EO249" s="36"/>
      <c r="EP249" s="36"/>
      <c r="EQ249" s="36"/>
      <c r="ER249" s="36"/>
      <c r="ES249" s="36"/>
      <c r="ET249" s="36"/>
      <c r="EU249" s="36"/>
      <c r="EV249" s="36"/>
      <c r="EW249" s="36"/>
      <c r="EX249" s="36"/>
      <c r="EY249" s="36"/>
      <c r="EZ249" s="36"/>
      <c r="FA249" s="36"/>
      <c r="FB249" s="36"/>
      <c r="FC249" s="36"/>
      <c r="FD249" s="36"/>
      <c r="FE249" s="36"/>
      <c r="FF249" s="36"/>
      <c r="FG249" s="36"/>
      <c r="FH249" s="36"/>
      <c r="FI249" s="36"/>
      <c r="FJ249" s="36"/>
      <c r="FK249" s="36"/>
      <c r="FL249" s="36"/>
      <c r="FM249" s="36"/>
      <c r="FN249" s="36"/>
      <c r="FO249" s="36"/>
      <c r="FP249" s="36"/>
      <c r="FQ249" s="36"/>
      <c r="FR249" s="36"/>
      <c r="FS249" s="36"/>
      <c r="FT249" s="36"/>
      <c r="FU249" s="36"/>
      <c r="FV249" s="36"/>
      <c r="FW249" s="36"/>
      <c r="FX249" s="36"/>
      <c r="FY249" s="36"/>
      <c r="FZ249" s="36"/>
      <c r="GA249" s="6"/>
      <c r="GB249" s="6"/>
      <c r="GC249" s="36"/>
      <c r="GD249" s="36"/>
      <c r="GE249" s="36"/>
      <c r="GF249" s="36">
        <v>50</v>
      </c>
      <c r="GG249" s="36"/>
      <c r="GH249" s="36"/>
      <c r="GI249" s="36"/>
      <c r="GJ249" s="36"/>
      <c r="GK249" s="36"/>
      <c r="GL249" s="36"/>
      <c r="GM249" s="36"/>
      <c r="GN249" s="36"/>
      <c r="GO249" s="36"/>
      <c r="GP249" s="36"/>
      <c r="GQ249" s="36"/>
      <c r="GR249" s="36"/>
      <c r="GS249" s="36"/>
      <c r="GT249" s="36"/>
      <c r="GU249" s="36"/>
      <c r="GV249" s="6"/>
      <c r="GW249" s="36"/>
      <c r="GX249" s="36"/>
      <c r="GY249" s="36"/>
      <c r="GZ249" s="36"/>
      <c r="HA249" s="36"/>
      <c r="HB249" s="36"/>
      <c r="HC249" s="36"/>
      <c r="HD249" s="36"/>
      <c r="HE249" s="36"/>
      <c r="HF249" s="36"/>
      <c r="HG249" s="36"/>
      <c r="HH249" s="36"/>
      <c r="HI249" s="36"/>
      <c r="HJ249" s="36"/>
      <c r="HK249" s="36"/>
      <c r="HL249" s="36"/>
      <c r="HM249" s="36"/>
      <c r="HN249" s="36"/>
      <c r="HO249" s="36"/>
      <c r="HP249" s="36"/>
      <c r="HQ249" s="36"/>
      <c r="HR249" s="36"/>
      <c r="HS249" s="36"/>
      <c r="HT249" s="36"/>
      <c r="HU249" s="36"/>
      <c r="HV249" s="36"/>
      <c r="HW249" s="36"/>
      <c r="HX249" s="36"/>
      <c r="HY249" s="36"/>
      <c r="HZ249" s="36"/>
      <c r="IA249" s="36"/>
      <c r="IB249" s="36"/>
      <c r="IC249" s="36"/>
      <c r="ID249" s="36"/>
      <c r="IE249" s="36"/>
      <c r="IF249" s="36"/>
      <c r="IG249" s="36"/>
      <c r="IH249" s="36"/>
      <c r="II249" s="36"/>
      <c r="IJ249" s="36"/>
      <c r="IK249" s="36"/>
      <c r="IL249" s="36"/>
      <c r="IM249" s="36"/>
      <c r="IN249" s="36"/>
      <c r="IO249" s="36"/>
      <c r="IP249" s="36"/>
      <c r="IR249" s="2" t="s">
        <v>543</v>
      </c>
    </row>
    <row r="250" spans="1:252" ht="15.75" customHeight="1" x14ac:dyDescent="0.25">
      <c r="A250" s="36" t="s">
        <v>1003</v>
      </c>
      <c r="B250" s="36" t="s">
        <v>1004</v>
      </c>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6"/>
      <c r="BQ250" s="6"/>
      <c r="BR250" s="6"/>
      <c r="BS250" s="6"/>
      <c r="BT250" s="6"/>
      <c r="BU250" s="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6"/>
      <c r="GB250" s="6"/>
      <c r="GC250" s="36"/>
      <c r="GD250" s="36"/>
      <c r="GE250" s="36"/>
      <c r="GF250" s="36"/>
      <c r="GG250" s="36"/>
      <c r="GH250" s="36"/>
      <c r="GI250" s="36"/>
      <c r="GJ250" s="36"/>
      <c r="GK250" s="36"/>
      <c r="GL250" s="36"/>
      <c r="GM250" s="36"/>
      <c r="GN250" s="36"/>
      <c r="GO250" s="36"/>
      <c r="GP250" s="36"/>
      <c r="GQ250" s="36"/>
      <c r="GR250" s="36"/>
      <c r="GS250" s="36"/>
      <c r="GT250" s="36"/>
      <c r="GU250" s="36"/>
      <c r="GV250" s="6"/>
      <c r="GW250" s="36"/>
      <c r="GX250" s="36"/>
      <c r="GY250" s="36"/>
      <c r="GZ250" s="36"/>
      <c r="HA250" s="36"/>
      <c r="HB250" s="36"/>
      <c r="HC250" s="36"/>
      <c r="HD250" s="36"/>
      <c r="HE250" s="36"/>
      <c r="HF250" s="36"/>
      <c r="HG250" s="36"/>
      <c r="HH250" s="36"/>
      <c r="HI250" s="36"/>
      <c r="HJ250" s="36"/>
      <c r="HK250" s="36"/>
      <c r="HL250" s="36"/>
      <c r="HM250" s="36"/>
      <c r="HN250" s="36"/>
      <c r="HO250" s="36"/>
      <c r="HP250" s="36"/>
      <c r="HQ250" s="36"/>
      <c r="HR250" s="36"/>
      <c r="HS250" s="36"/>
      <c r="HT250" s="36"/>
      <c r="HU250" s="36"/>
      <c r="HV250" s="36"/>
      <c r="HW250" s="36"/>
      <c r="HX250" s="36"/>
      <c r="HY250" s="36"/>
      <c r="HZ250" s="36"/>
      <c r="IA250" s="36"/>
      <c r="IB250" s="36"/>
      <c r="IC250" s="36"/>
      <c r="ID250" s="36"/>
      <c r="IE250" s="36"/>
      <c r="IF250" s="36"/>
      <c r="IG250" s="36"/>
      <c r="IH250" s="36"/>
      <c r="II250" s="36"/>
      <c r="IJ250" s="36"/>
      <c r="IK250" s="36">
        <v>3</v>
      </c>
      <c r="IL250" s="36">
        <v>14</v>
      </c>
      <c r="IM250" s="36">
        <v>9</v>
      </c>
      <c r="IN250" s="36"/>
      <c r="IO250" s="36"/>
      <c r="IP250" s="36"/>
      <c r="IR250" s="2" t="s">
        <v>543</v>
      </c>
    </row>
    <row r="251" spans="1:252" ht="15.75" customHeight="1" x14ac:dyDescent="0.25">
      <c r="A251" s="36" t="s">
        <v>1003</v>
      </c>
      <c r="B251" s="36" t="s">
        <v>1005</v>
      </c>
      <c r="C251" s="36"/>
      <c r="D251" s="36"/>
      <c r="E251" s="36"/>
      <c r="F251" s="36"/>
      <c r="G251" s="36"/>
      <c r="H251" s="36"/>
      <c r="I251" s="36"/>
      <c r="J251" s="212">
        <v>5</v>
      </c>
      <c r="K251" s="36"/>
      <c r="L251" s="36">
        <v>5</v>
      </c>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v>5</v>
      </c>
      <c r="AJ251" s="36"/>
      <c r="AK251" s="36"/>
      <c r="AL251" s="36">
        <v>5</v>
      </c>
      <c r="AM251" s="36"/>
      <c r="AN251" s="36"/>
      <c r="AO251" s="36"/>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6"/>
      <c r="BQ251" s="6"/>
      <c r="BR251" s="6"/>
      <c r="BS251" s="6"/>
      <c r="BT251" s="6"/>
      <c r="BU251" s="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6"/>
      <c r="GB251" s="6"/>
      <c r="GC251" s="36"/>
      <c r="GD251" s="36"/>
      <c r="GE251" s="36"/>
      <c r="GF251" s="36"/>
      <c r="GG251" s="36"/>
      <c r="GH251" s="36"/>
      <c r="GI251" s="36"/>
      <c r="GJ251" s="36"/>
      <c r="GK251" s="36"/>
      <c r="GL251" s="36"/>
      <c r="GM251" s="36"/>
      <c r="GN251" s="36"/>
      <c r="GO251" s="36"/>
      <c r="GP251" s="36"/>
      <c r="GQ251" s="36"/>
      <c r="GR251" s="36"/>
      <c r="GS251" s="36"/>
      <c r="GT251" s="36"/>
      <c r="GU251" s="36"/>
      <c r="GV251" s="6"/>
      <c r="GW251" s="36"/>
      <c r="GX251" s="36"/>
      <c r="GY251" s="36"/>
      <c r="GZ251" s="36"/>
      <c r="HA251" s="36"/>
      <c r="HB251" s="36"/>
      <c r="HC251" s="36"/>
      <c r="HD251" s="36"/>
      <c r="HE251" s="36"/>
      <c r="HF251" s="36"/>
      <c r="HG251" s="36"/>
      <c r="HH251" s="36"/>
      <c r="HI251" s="36"/>
      <c r="HJ251" s="36"/>
      <c r="HK251" s="36"/>
      <c r="HL251" s="36"/>
      <c r="HM251" s="36"/>
      <c r="HN251" s="36"/>
      <c r="HO251" s="36"/>
      <c r="HP251" s="36"/>
      <c r="HQ251" s="36"/>
      <c r="HR251" s="36"/>
      <c r="HS251" s="36"/>
      <c r="HT251" s="36"/>
      <c r="HU251" s="36"/>
      <c r="HV251" s="36"/>
      <c r="HW251" s="36"/>
      <c r="HX251" s="36"/>
      <c r="HY251" s="36"/>
      <c r="HZ251" s="36"/>
      <c r="IA251" s="36"/>
      <c r="IB251" s="36"/>
      <c r="IC251" s="36"/>
      <c r="ID251" s="36"/>
      <c r="IE251" s="36"/>
      <c r="IF251" s="36"/>
      <c r="IG251" s="36"/>
      <c r="IH251" s="36"/>
      <c r="II251" s="36"/>
      <c r="IJ251" s="36"/>
      <c r="IK251" s="36"/>
      <c r="IL251" s="36"/>
      <c r="IM251" s="36"/>
      <c r="IN251" s="36"/>
      <c r="IO251" s="36"/>
      <c r="IP251" s="36"/>
      <c r="IR251" s="2" t="s">
        <v>543</v>
      </c>
    </row>
    <row r="252" spans="1:252" ht="15.75" customHeight="1" x14ac:dyDescent="0.25">
      <c r="A252" s="36" t="s">
        <v>1007</v>
      </c>
      <c r="B252" s="36" t="s">
        <v>1008</v>
      </c>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6"/>
      <c r="BQ252" s="6"/>
      <c r="BR252" s="6"/>
      <c r="BS252" s="6"/>
      <c r="BT252" s="6"/>
      <c r="BU252" s="6"/>
      <c r="BV252" s="36"/>
      <c r="BW252" s="36"/>
      <c r="BX252" s="36"/>
      <c r="BY252" s="36"/>
      <c r="BZ252" s="36"/>
      <c r="CA252" s="36"/>
      <c r="CB252" s="36"/>
      <c r="CC252" s="36"/>
      <c r="CD252" s="36"/>
      <c r="CE252" s="36"/>
      <c r="CF252" s="36"/>
      <c r="CG252" s="36"/>
      <c r="CH252" s="36">
        <v>20</v>
      </c>
      <c r="CI252" s="36"/>
      <c r="CJ252" s="36"/>
      <c r="CK252" s="36"/>
      <c r="CL252" s="36">
        <v>15</v>
      </c>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c r="FK252" s="36"/>
      <c r="FL252" s="36"/>
      <c r="FM252" s="36"/>
      <c r="FN252" s="36"/>
      <c r="FO252" s="36"/>
      <c r="FP252" s="36"/>
      <c r="FQ252" s="36"/>
      <c r="FR252" s="36"/>
      <c r="FS252" s="36"/>
      <c r="FT252" s="36"/>
      <c r="FU252" s="36"/>
      <c r="FV252" s="36"/>
      <c r="FW252" s="36"/>
      <c r="FX252" s="36"/>
      <c r="FY252" s="36"/>
      <c r="FZ252" s="36"/>
      <c r="GA252" s="6"/>
      <c r="GB252" s="6"/>
      <c r="GC252" s="36"/>
      <c r="GD252" s="36"/>
      <c r="GE252" s="36"/>
      <c r="GF252" s="36"/>
      <c r="GG252" s="36"/>
      <c r="GH252" s="36"/>
      <c r="GI252" s="36"/>
      <c r="GJ252" s="36"/>
      <c r="GK252" s="36"/>
      <c r="GL252" s="36"/>
      <c r="GM252" s="36"/>
      <c r="GN252" s="36"/>
      <c r="GO252" s="36"/>
      <c r="GP252" s="36"/>
      <c r="GQ252" s="36"/>
      <c r="GR252" s="36"/>
      <c r="GS252" s="36"/>
      <c r="GT252" s="36"/>
      <c r="GU252" s="36"/>
      <c r="GV252" s="6"/>
      <c r="GW252" s="36"/>
      <c r="GX252" s="36"/>
      <c r="GY252" s="36"/>
      <c r="GZ252" s="36"/>
      <c r="HA252" s="36"/>
      <c r="HB252" s="36"/>
      <c r="HC252" s="36"/>
      <c r="HD252" s="36"/>
      <c r="HE252" s="36"/>
      <c r="HF252" s="36"/>
      <c r="HG252" s="36"/>
      <c r="HH252" s="36"/>
      <c r="HI252" s="36"/>
      <c r="HJ252" s="36"/>
      <c r="HK252" s="36"/>
      <c r="HL252" s="36"/>
      <c r="HM252" s="36"/>
      <c r="HN252" s="36"/>
      <c r="HO252" s="36"/>
      <c r="HP252" s="36"/>
      <c r="HQ252" s="36"/>
      <c r="HR252" s="36"/>
      <c r="HS252" s="36"/>
      <c r="HT252" s="36"/>
      <c r="HU252" s="36"/>
      <c r="HV252" s="36"/>
      <c r="HW252" s="36"/>
      <c r="HX252" s="36"/>
      <c r="HY252" s="36"/>
      <c r="HZ252" s="36"/>
      <c r="IA252" s="36"/>
      <c r="IB252" s="36"/>
      <c r="IC252" s="36"/>
      <c r="ID252" s="36"/>
      <c r="IE252" s="36"/>
      <c r="IF252" s="36"/>
      <c r="IG252" s="36"/>
      <c r="IH252" s="36"/>
      <c r="II252" s="36"/>
      <c r="IJ252" s="36"/>
      <c r="IK252" s="36">
        <v>3</v>
      </c>
      <c r="IL252" s="36">
        <v>14</v>
      </c>
      <c r="IM252" s="36">
        <v>9</v>
      </c>
      <c r="IN252" s="36"/>
      <c r="IO252" s="36"/>
      <c r="IP252" s="36"/>
      <c r="IR252" s="2" t="s">
        <v>543</v>
      </c>
    </row>
    <row r="253" spans="1:252" ht="15.75" customHeight="1" x14ac:dyDescent="0.25">
      <c r="A253" s="36" t="s">
        <v>1007</v>
      </c>
      <c r="B253" s="36" t="s">
        <v>1009</v>
      </c>
      <c r="C253" s="36"/>
      <c r="D253" s="36"/>
      <c r="E253" s="36"/>
      <c r="F253" s="36"/>
      <c r="G253" s="36"/>
      <c r="H253" s="36"/>
      <c r="I253" s="36"/>
      <c r="J253" s="36"/>
      <c r="K253" s="36"/>
      <c r="L253" s="36"/>
      <c r="M253" s="36"/>
      <c r="N253" s="36"/>
      <c r="O253" s="36"/>
      <c r="P253" s="36"/>
      <c r="Q253" s="36"/>
      <c r="R253" s="36"/>
      <c r="S253" s="36"/>
      <c r="T253" s="36"/>
      <c r="U253" s="36"/>
      <c r="V253" s="36">
        <v>10</v>
      </c>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6"/>
      <c r="BQ253" s="6"/>
      <c r="BR253" s="6"/>
      <c r="BS253" s="6"/>
      <c r="BT253" s="6"/>
      <c r="BU253" s="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c r="FK253" s="36"/>
      <c r="FL253" s="36"/>
      <c r="FM253" s="36"/>
      <c r="FN253" s="36"/>
      <c r="FO253" s="36"/>
      <c r="FP253" s="36"/>
      <c r="FQ253" s="36"/>
      <c r="FR253" s="36"/>
      <c r="FS253" s="36"/>
      <c r="FT253" s="36"/>
      <c r="FU253" s="36"/>
      <c r="FV253" s="36"/>
      <c r="FW253" s="36"/>
      <c r="FX253" s="36"/>
      <c r="FY253" s="36"/>
      <c r="FZ253" s="36"/>
      <c r="GA253" s="6"/>
      <c r="GB253" s="6"/>
      <c r="GC253" s="36"/>
      <c r="GD253" s="36"/>
      <c r="GE253" s="36"/>
      <c r="GF253" s="36"/>
      <c r="GG253" s="36"/>
      <c r="GH253" s="36"/>
      <c r="GI253" s="36"/>
      <c r="GJ253" s="36"/>
      <c r="GK253" s="36"/>
      <c r="GL253" s="36"/>
      <c r="GM253" s="36"/>
      <c r="GN253" s="36"/>
      <c r="GO253" s="36"/>
      <c r="GP253" s="36"/>
      <c r="GQ253" s="36"/>
      <c r="GR253" s="36"/>
      <c r="GS253" s="36"/>
      <c r="GT253" s="36"/>
      <c r="GU253" s="36"/>
      <c r="GV253" s="6"/>
      <c r="GW253" s="36"/>
      <c r="GX253" s="36"/>
      <c r="GY253" s="36"/>
      <c r="GZ253" s="36"/>
      <c r="HA253" s="36"/>
      <c r="HB253" s="36"/>
      <c r="HC253" s="36"/>
      <c r="HD253" s="36"/>
      <c r="HE253" s="36"/>
      <c r="HF253" s="36"/>
      <c r="HG253" s="36"/>
      <c r="HH253" s="36"/>
      <c r="HI253" s="36"/>
      <c r="HJ253" s="36"/>
      <c r="HK253" s="36"/>
      <c r="HL253" s="36"/>
      <c r="HM253" s="36"/>
      <c r="HN253" s="36"/>
      <c r="HO253" s="36"/>
      <c r="HP253" s="36"/>
      <c r="HQ253" s="36"/>
      <c r="HR253" s="36"/>
      <c r="HS253" s="36"/>
      <c r="HT253" s="36"/>
      <c r="HU253" s="36"/>
      <c r="HV253" s="36"/>
      <c r="HW253" s="36"/>
      <c r="HX253" s="36"/>
      <c r="HY253" s="36"/>
      <c r="HZ253" s="36"/>
      <c r="IA253" s="36"/>
      <c r="IB253" s="36"/>
      <c r="IC253" s="36"/>
      <c r="ID253" s="36"/>
      <c r="IE253" s="36"/>
      <c r="IF253" s="36"/>
      <c r="IG253" s="36"/>
      <c r="IH253" s="36"/>
      <c r="II253" s="36"/>
      <c r="IJ253" s="36"/>
      <c r="IK253" s="36"/>
      <c r="IL253" s="36"/>
      <c r="IM253" s="36"/>
      <c r="IN253" s="36"/>
      <c r="IO253" s="36"/>
      <c r="IP253" s="36"/>
      <c r="IR253" s="2" t="s">
        <v>543</v>
      </c>
    </row>
    <row r="254" spans="1:252" ht="15.75" customHeight="1" x14ac:dyDescent="0.25">
      <c r="A254" s="36" t="s">
        <v>1011</v>
      </c>
      <c r="B254" s="36" t="s">
        <v>1012</v>
      </c>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6"/>
      <c r="BQ254" s="6"/>
      <c r="BR254" s="6"/>
      <c r="BS254" s="6"/>
      <c r="BT254" s="6"/>
      <c r="BU254" s="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c r="FL254" s="36"/>
      <c r="FM254" s="36"/>
      <c r="FN254" s="36"/>
      <c r="FO254" s="36"/>
      <c r="FP254" s="36"/>
      <c r="FQ254" s="36"/>
      <c r="FR254" s="36"/>
      <c r="FS254" s="36"/>
      <c r="FT254" s="36"/>
      <c r="FU254" s="36"/>
      <c r="FV254" s="36"/>
      <c r="FW254" s="36"/>
      <c r="FX254" s="36"/>
      <c r="FY254" s="36"/>
      <c r="FZ254" s="36"/>
      <c r="GA254" s="6"/>
      <c r="GB254" s="6"/>
      <c r="GC254" s="36"/>
      <c r="GD254" s="36"/>
      <c r="GE254" s="36"/>
      <c r="GF254" s="36"/>
      <c r="GG254" s="36"/>
      <c r="GH254" s="36"/>
      <c r="GI254" s="36"/>
      <c r="GJ254" s="36"/>
      <c r="GK254" s="36"/>
      <c r="GL254" s="36"/>
      <c r="GM254" s="36"/>
      <c r="GN254" s="36"/>
      <c r="GO254" s="36"/>
      <c r="GP254" s="36"/>
      <c r="GQ254" s="36"/>
      <c r="GR254" s="36"/>
      <c r="GS254" s="36"/>
      <c r="GT254" s="36"/>
      <c r="GU254" s="36"/>
      <c r="GV254" s="6"/>
      <c r="GW254" s="36"/>
      <c r="GX254" s="36"/>
      <c r="GY254" s="36"/>
      <c r="GZ254" s="36"/>
      <c r="HA254" s="36"/>
      <c r="HB254" s="36"/>
      <c r="HC254" s="36"/>
      <c r="HD254" s="36"/>
      <c r="HE254" s="36"/>
      <c r="HF254" s="36"/>
      <c r="HG254" s="36"/>
      <c r="HH254" s="36"/>
      <c r="HI254" s="36"/>
      <c r="HJ254" s="36"/>
      <c r="HK254" s="36"/>
      <c r="HL254" s="36"/>
      <c r="HM254" s="36"/>
      <c r="HN254" s="36"/>
      <c r="HO254" s="36"/>
      <c r="HP254" s="36"/>
      <c r="HQ254" s="36"/>
      <c r="HR254" s="36"/>
      <c r="HS254" s="36"/>
      <c r="HT254" s="36"/>
      <c r="HU254" s="36"/>
      <c r="HV254" s="36"/>
      <c r="HW254" s="36"/>
      <c r="HX254" s="36"/>
      <c r="HY254" s="36"/>
      <c r="HZ254" s="36"/>
      <c r="IA254" s="36"/>
      <c r="IB254" s="36"/>
      <c r="IC254" s="36"/>
      <c r="ID254" s="36"/>
      <c r="IE254" s="36"/>
      <c r="IF254" s="36"/>
      <c r="IG254" s="36"/>
      <c r="IH254" s="36"/>
      <c r="II254" s="36"/>
      <c r="IJ254" s="36"/>
      <c r="IK254" s="36"/>
      <c r="IL254" s="36"/>
      <c r="IM254" s="36"/>
      <c r="IN254" s="36">
        <v>113</v>
      </c>
      <c r="IO254" s="36"/>
      <c r="IP254" s="36"/>
      <c r="IR254" s="2" t="s">
        <v>543</v>
      </c>
    </row>
    <row r="255" spans="1:252" ht="15.75" customHeight="1" x14ac:dyDescent="0.25">
      <c r="A255" s="36" t="s">
        <v>1014</v>
      </c>
      <c r="B255" s="36" t="s">
        <v>932</v>
      </c>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6"/>
      <c r="BQ255" s="6"/>
      <c r="BR255" s="6"/>
      <c r="BS255" s="6"/>
      <c r="BT255" s="6"/>
      <c r="BU255" s="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c r="FL255" s="36"/>
      <c r="FM255" s="36"/>
      <c r="FN255" s="36"/>
      <c r="FO255" s="36"/>
      <c r="FP255" s="36"/>
      <c r="FQ255" s="36"/>
      <c r="FR255" s="36"/>
      <c r="FS255" s="36"/>
      <c r="FT255" s="36"/>
      <c r="FU255" s="36"/>
      <c r="FV255" s="36"/>
      <c r="FW255" s="36"/>
      <c r="FX255" s="36"/>
      <c r="FY255" s="36"/>
      <c r="FZ255" s="36"/>
      <c r="GA255" s="6"/>
      <c r="GB255" s="6"/>
      <c r="GC255" s="36"/>
      <c r="GD255" s="36"/>
      <c r="GE255" s="36"/>
      <c r="GF255" s="36"/>
      <c r="GG255" s="36"/>
      <c r="GH255" s="36"/>
      <c r="GI255" s="36"/>
      <c r="GJ255" s="36"/>
      <c r="GK255" s="36"/>
      <c r="GL255" s="36"/>
      <c r="GM255" s="36"/>
      <c r="GN255" s="36"/>
      <c r="GO255" s="36"/>
      <c r="GP255" s="36"/>
      <c r="GQ255" s="36"/>
      <c r="GR255" s="36"/>
      <c r="GS255" s="36"/>
      <c r="GT255" s="36"/>
      <c r="GU255" s="36"/>
      <c r="GV255" s="6"/>
      <c r="GW255" s="36"/>
      <c r="GX255" s="36"/>
      <c r="GY255" s="36"/>
      <c r="GZ255" s="36"/>
      <c r="HA255" s="36"/>
      <c r="HB255" s="36"/>
      <c r="HC255" s="36"/>
      <c r="HD255" s="36"/>
      <c r="HE255" s="36"/>
      <c r="HF255" s="36"/>
      <c r="HG255" s="36"/>
      <c r="HH255" s="36"/>
      <c r="HI255" s="36"/>
      <c r="HJ255" s="36"/>
      <c r="HK255" s="36"/>
      <c r="HL255" s="36"/>
      <c r="HM255" s="36"/>
      <c r="HN255" s="36"/>
      <c r="HO255" s="36"/>
      <c r="HP255" s="36"/>
      <c r="HQ255" s="36"/>
      <c r="HR255" s="36"/>
      <c r="HS255" s="36"/>
      <c r="HT255" s="36"/>
      <c r="HU255" s="36"/>
      <c r="HV255" s="36"/>
      <c r="HW255" s="36"/>
      <c r="HX255" s="36"/>
      <c r="HY255" s="36"/>
      <c r="HZ255" s="36"/>
      <c r="IA255" s="36"/>
      <c r="IB255" s="36"/>
      <c r="IC255" s="36"/>
      <c r="ID255" s="36"/>
      <c r="IE255" s="36"/>
      <c r="IF255" s="36"/>
      <c r="IG255" s="36"/>
      <c r="IH255" s="36"/>
      <c r="II255" s="36"/>
      <c r="IJ255" s="36"/>
      <c r="IK255" s="36">
        <v>2</v>
      </c>
      <c r="IL255" s="36">
        <v>16</v>
      </c>
      <c r="IM255" s="36">
        <v>8</v>
      </c>
      <c r="IN255" s="36"/>
      <c r="IO255" s="36"/>
      <c r="IP255" s="36"/>
      <c r="IR255" s="2" t="s">
        <v>543</v>
      </c>
    </row>
    <row r="256" spans="1:252" ht="15.75" customHeight="1" x14ac:dyDescent="0.25">
      <c r="A256" s="36" t="s">
        <v>1014</v>
      </c>
      <c r="B256" s="36" t="s">
        <v>1016</v>
      </c>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6"/>
      <c r="BQ256" s="6"/>
      <c r="BR256" s="6"/>
      <c r="BS256" s="6"/>
      <c r="BT256" s="6"/>
      <c r="BU256" s="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c r="FL256" s="36"/>
      <c r="FM256" s="36"/>
      <c r="FN256" s="36"/>
      <c r="FO256" s="36"/>
      <c r="FP256" s="36"/>
      <c r="FQ256" s="36"/>
      <c r="FR256" s="36"/>
      <c r="FS256" s="36"/>
      <c r="FT256" s="36"/>
      <c r="FU256" s="36"/>
      <c r="FV256" s="36"/>
      <c r="FW256" s="36"/>
      <c r="FX256" s="36"/>
      <c r="FY256" s="36"/>
      <c r="FZ256" s="36"/>
      <c r="GA256" s="6"/>
      <c r="GB256" s="6"/>
      <c r="GC256" s="36"/>
      <c r="GD256" s="36"/>
      <c r="GE256" s="36"/>
      <c r="GF256" s="36"/>
      <c r="GG256" s="36"/>
      <c r="GH256" s="36"/>
      <c r="GI256" s="36"/>
      <c r="GJ256" s="36"/>
      <c r="GK256" s="36"/>
      <c r="GL256" s="36"/>
      <c r="GM256" s="36"/>
      <c r="GN256" s="36"/>
      <c r="GO256" s="36"/>
      <c r="GP256" s="36"/>
      <c r="GQ256" s="36"/>
      <c r="GR256" s="36"/>
      <c r="GS256" s="36"/>
      <c r="GT256" s="36"/>
      <c r="GU256" s="36"/>
      <c r="GV256" s="6"/>
      <c r="GW256" s="36"/>
      <c r="GX256" s="36"/>
      <c r="GY256" s="36"/>
      <c r="GZ256" s="36"/>
      <c r="HA256" s="36"/>
      <c r="HB256" s="36"/>
      <c r="HC256" s="36"/>
      <c r="HD256" s="36"/>
      <c r="HE256" s="36"/>
      <c r="HF256" s="36"/>
      <c r="HG256" s="36"/>
      <c r="HH256" s="36"/>
      <c r="HI256" s="36"/>
      <c r="HJ256" s="36"/>
      <c r="HK256" s="36"/>
      <c r="HL256" s="36"/>
      <c r="HM256" s="36"/>
      <c r="HN256" s="36"/>
      <c r="HO256" s="36"/>
      <c r="HP256" s="36"/>
      <c r="HQ256" s="36"/>
      <c r="HR256" s="36"/>
      <c r="HS256" s="36"/>
      <c r="HT256" s="36"/>
      <c r="HU256" s="36"/>
      <c r="HV256" s="36"/>
      <c r="HW256" s="36"/>
      <c r="HX256" s="36"/>
      <c r="HY256" s="36"/>
      <c r="HZ256" s="36"/>
      <c r="IA256" s="36"/>
      <c r="IB256" s="36"/>
      <c r="IC256" s="36"/>
      <c r="ID256" s="36"/>
      <c r="IE256" s="36"/>
      <c r="IF256" s="36"/>
      <c r="IG256" s="36"/>
      <c r="IH256" s="36"/>
      <c r="II256" s="36"/>
      <c r="IJ256" s="36"/>
      <c r="IK256" s="36"/>
      <c r="IL256" s="36"/>
      <c r="IM256" s="36"/>
      <c r="IN256" s="36">
        <v>117</v>
      </c>
      <c r="IO256" s="36"/>
      <c r="IP256" s="36"/>
      <c r="IR256" s="2" t="s">
        <v>543</v>
      </c>
    </row>
    <row r="257" spans="1:252" ht="15.75" customHeight="1" x14ac:dyDescent="0.25">
      <c r="A257" s="36" t="s">
        <v>1014</v>
      </c>
      <c r="B257" s="36" t="s">
        <v>1017</v>
      </c>
      <c r="C257" s="36"/>
      <c r="D257" s="36"/>
      <c r="E257" s="36"/>
      <c r="F257" s="36"/>
      <c r="G257" s="36"/>
      <c r="H257" s="36"/>
      <c r="I257" s="36"/>
      <c r="J257" s="36"/>
      <c r="K257" s="36"/>
      <c r="L257" s="36"/>
      <c r="M257" s="36"/>
      <c r="N257" s="36"/>
      <c r="O257" s="36">
        <v>5</v>
      </c>
      <c r="P257" s="36"/>
      <c r="Q257" s="36"/>
      <c r="R257" s="36"/>
      <c r="S257" s="36"/>
      <c r="T257" s="36"/>
      <c r="U257" s="36"/>
      <c r="V257" s="36">
        <v>5</v>
      </c>
      <c r="W257" s="36"/>
      <c r="X257" s="36"/>
      <c r="Y257" s="36"/>
      <c r="Z257" s="36"/>
      <c r="AA257" s="36"/>
      <c r="AB257" s="36"/>
      <c r="AC257" s="36">
        <v>5</v>
      </c>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6"/>
      <c r="BQ257" s="6"/>
      <c r="BR257" s="6"/>
      <c r="BS257" s="6"/>
      <c r="BT257" s="6"/>
      <c r="BU257" s="6"/>
      <c r="BV257" s="36"/>
      <c r="BW257" s="36"/>
      <c r="BX257" s="36"/>
      <c r="BY257" s="36"/>
      <c r="BZ257" s="36"/>
      <c r="CA257" s="36"/>
      <c r="CB257" s="36"/>
      <c r="CC257" s="36"/>
      <c r="CD257" s="36"/>
      <c r="CE257" s="36"/>
      <c r="CF257" s="36"/>
      <c r="CG257" s="36"/>
      <c r="CH257" s="36"/>
      <c r="CI257" s="36"/>
      <c r="CJ257" s="36"/>
      <c r="CK257" s="36"/>
      <c r="CL257" s="36"/>
      <c r="CM257" s="36">
        <v>15</v>
      </c>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v>5</v>
      </c>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c r="FL257" s="36"/>
      <c r="FM257" s="36"/>
      <c r="FN257" s="36"/>
      <c r="FO257" s="36"/>
      <c r="FP257" s="36"/>
      <c r="FQ257" s="36"/>
      <c r="FR257" s="36"/>
      <c r="FS257" s="36"/>
      <c r="FT257" s="36"/>
      <c r="FU257" s="36"/>
      <c r="FV257" s="36"/>
      <c r="FW257" s="36"/>
      <c r="FX257" s="36"/>
      <c r="FY257" s="36"/>
      <c r="FZ257" s="36"/>
      <c r="GA257" s="6"/>
      <c r="GB257" s="6"/>
      <c r="GC257" s="36"/>
      <c r="GD257" s="36"/>
      <c r="GE257" s="36"/>
      <c r="GF257" s="36"/>
      <c r="GG257" s="36"/>
      <c r="GH257" s="36"/>
      <c r="GI257" s="36"/>
      <c r="GJ257" s="36"/>
      <c r="GK257" s="36"/>
      <c r="GL257" s="36"/>
      <c r="GM257" s="36"/>
      <c r="GN257" s="36"/>
      <c r="GO257" s="36"/>
      <c r="GP257" s="36"/>
      <c r="GQ257" s="36"/>
      <c r="GR257" s="36"/>
      <c r="GS257" s="36"/>
      <c r="GT257" s="36"/>
      <c r="GU257" s="36"/>
      <c r="GV257" s="6"/>
      <c r="GW257" s="36"/>
      <c r="GX257" s="36"/>
      <c r="GY257" s="36"/>
      <c r="GZ257" s="36"/>
      <c r="HA257" s="36"/>
      <c r="HB257" s="36"/>
      <c r="HC257" s="36"/>
      <c r="HD257" s="36"/>
      <c r="HE257" s="36"/>
      <c r="HF257" s="36"/>
      <c r="HG257" s="36"/>
      <c r="HH257" s="36"/>
      <c r="HI257" s="36"/>
      <c r="HJ257" s="36"/>
      <c r="HK257" s="36"/>
      <c r="HL257" s="36"/>
      <c r="HM257" s="36"/>
      <c r="HN257" s="36"/>
      <c r="HO257" s="36"/>
      <c r="HP257" s="36"/>
      <c r="HQ257" s="36"/>
      <c r="HR257" s="36"/>
      <c r="HS257" s="36"/>
      <c r="HT257" s="36"/>
      <c r="HU257" s="36"/>
      <c r="HV257" s="36"/>
      <c r="HW257" s="36"/>
      <c r="HX257" s="36"/>
      <c r="HY257" s="36"/>
      <c r="HZ257" s="36"/>
      <c r="IA257" s="36"/>
      <c r="IB257" s="36"/>
      <c r="IC257" s="36"/>
      <c r="ID257" s="36"/>
      <c r="IE257" s="36"/>
      <c r="IF257" s="36"/>
      <c r="IG257" s="36"/>
      <c r="IH257" s="36"/>
      <c r="II257" s="36"/>
      <c r="IJ257" s="36"/>
      <c r="IK257" s="36"/>
      <c r="IL257" s="36"/>
      <c r="IM257" s="36"/>
      <c r="IN257" s="36"/>
      <c r="IO257" s="36"/>
      <c r="IP257" s="36"/>
      <c r="IR257" s="2" t="s">
        <v>543</v>
      </c>
    </row>
    <row r="258" spans="1:252" ht="15.75" customHeight="1" x14ac:dyDescent="0.25">
      <c r="A258" s="36" t="s">
        <v>1019</v>
      </c>
      <c r="B258" s="36" t="s">
        <v>1020</v>
      </c>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6"/>
      <c r="BQ258" s="6"/>
      <c r="BR258" s="6"/>
      <c r="BS258" s="6"/>
      <c r="BT258" s="6"/>
      <c r="BU258" s="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v>50</v>
      </c>
      <c r="EZ258" s="36"/>
      <c r="FA258" s="36"/>
      <c r="FB258" s="36"/>
      <c r="FC258" s="36"/>
      <c r="FD258" s="36"/>
      <c r="FE258" s="36"/>
      <c r="FF258" s="36"/>
      <c r="FG258" s="36"/>
      <c r="FH258" s="36"/>
      <c r="FI258" s="36"/>
      <c r="FJ258" s="36"/>
      <c r="FK258" s="36"/>
      <c r="FL258" s="36"/>
      <c r="FM258" s="36"/>
      <c r="FN258" s="36"/>
      <c r="FO258" s="36"/>
      <c r="FP258" s="36"/>
      <c r="FQ258" s="36"/>
      <c r="FR258" s="36"/>
      <c r="FS258" s="36"/>
      <c r="FT258" s="36"/>
      <c r="FU258" s="36"/>
      <c r="FV258" s="36"/>
      <c r="FW258" s="36"/>
      <c r="FX258" s="36"/>
      <c r="FY258" s="36"/>
      <c r="FZ258" s="36"/>
      <c r="GA258" s="6"/>
      <c r="GB258" s="6"/>
      <c r="GC258" s="36"/>
      <c r="GD258" s="36"/>
      <c r="GE258" s="36"/>
      <c r="GF258" s="36"/>
      <c r="GG258" s="36"/>
      <c r="GH258" s="36"/>
      <c r="GI258" s="36"/>
      <c r="GJ258" s="36"/>
      <c r="GK258" s="36"/>
      <c r="GL258" s="36"/>
      <c r="GM258" s="36"/>
      <c r="GN258" s="36"/>
      <c r="GO258" s="36"/>
      <c r="GP258" s="36"/>
      <c r="GQ258" s="36"/>
      <c r="GR258" s="36"/>
      <c r="GS258" s="36"/>
      <c r="GT258" s="36"/>
      <c r="GU258" s="36"/>
      <c r="GV258" s="6"/>
      <c r="GW258" s="36"/>
      <c r="GX258" s="36"/>
      <c r="GY258" s="36"/>
      <c r="GZ258" s="36"/>
      <c r="HA258" s="36"/>
      <c r="HB258" s="36"/>
      <c r="HC258" s="36"/>
      <c r="HD258" s="36"/>
      <c r="HE258" s="36"/>
      <c r="HF258" s="36"/>
      <c r="HG258" s="36"/>
      <c r="HH258" s="36"/>
      <c r="HI258" s="36"/>
      <c r="HJ258" s="36"/>
      <c r="HK258" s="36"/>
      <c r="HL258" s="36"/>
      <c r="HM258" s="36"/>
      <c r="HN258" s="36"/>
      <c r="HO258" s="36"/>
      <c r="HP258" s="36"/>
      <c r="HQ258" s="36"/>
      <c r="HR258" s="36"/>
      <c r="HS258" s="36"/>
      <c r="HT258" s="36"/>
      <c r="HU258" s="36"/>
      <c r="HV258" s="36"/>
      <c r="HW258" s="36"/>
      <c r="HX258" s="36"/>
      <c r="HY258" s="36"/>
      <c r="HZ258" s="36"/>
      <c r="IA258" s="36"/>
      <c r="IB258" s="36"/>
      <c r="IC258" s="36"/>
      <c r="ID258" s="36"/>
      <c r="IE258" s="36"/>
      <c r="IF258" s="36"/>
      <c r="IG258" s="36"/>
      <c r="IH258" s="36"/>
      <c r="II258" s="36"/>
      <c r="IJ258" s="36"/>
      <c r="IK258" s="36"/>
      <c r="IL258" s="36"/>
      <c r="IM258" s="36"/>
      <c r="IN258" s="36"/>
      <c r="IO258" s="36"/>
      <c r="IP258" s="36"/>
      <c r="IR258" s="2" t="s">
        <v>543</v>
      </c>
    </row>
    <row r="259" spans="1:252" ht="15.75" customHeight="1" x14ac:dyDescent="0.25">
      <c r="A259" s="36" t="s">
        <v>1021</v>
      </c>
      <c r="B259" s="36" t="s">
        <v>1022</v>
      </c>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6"/>
      <c r="BQ259" s="6"/>
      <c r="BR259" s="6"/>
      <c r="BS259" s="6"/>
      <c r="BT259" s="6"/>
      <c r="BU259" s="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c r="FL259" s="36"/>
      <c r="FM259" s="36"/>
      <c r="FN259" s="36"/>
      <c r="FO259" s="36"/>
      <c r="FP259" s="36"/>
      <c r="FQ259" s="36"/>
      <c r="FR259" s="36"/>
      <c r="FS259" s="36"/>
      <c r="FT259" s="36"/>
      <c r="FU259" s="36"/>
      <c r="FV259" s="36"/>
      <c r="FW259" s="36"/>
      <c r="FX259" s="36"/>
      <c r="FY259" s="36"/>
      <c r="FZ259" s="36"/>
      <c r="GA259" s="6"/>
      <c r="GB259" s="6"/>
      <c r="GC259" s="36"/>
      <c r="GD259" s="36"/>
      <c r="GE259" s="36"/>
      <c r="GF259" s="36"/>
      <c r="GG259" s="36"/>
      <c r="GH259" s="36"/>
      <c r="GI259" s="36"/>
      <c r="GJ259" s="36"/>
      <c r="GK259" s="36"/>
      <c r="GL259" s="36"/>
      <c r="GM259" s="36"/>
      <c r="GN259" s="36"/>
      <c r="GO259" s="36"/>
      <c r="GP259" s="36"/>
      <c r="GQ259" s="36"/>
      <c r="GR259" s="36"/>
      <c r="GS259" s="36"/>
      <c r="GT259" s="36"/>
      <c r="GU259" s="36"/>
      <c r="GV259" s="6"/>
      <c r="GW259" s="36"/>
      <c r="GX259" s="36"/>
      <c r="GY259" s="36"/>
      <c r="GZ259" s="36"/>
      <c r="HA259" s="36"/>
      <c r="HB259" s="36"/>
      <c r="HC259" s="36"/>
      <c r="HD259" s="36"/>
      <c r="HE259" s="36"/>
      <c r="HF259" s="36"/>
      <c r="HG259" s="36"/>
      <c r="HH259" s="36"/>
      <c r="HI259" s="36"/>
      <c r="HJ259" s="36"/>
      <c r="HK259" s="36"/>
      <c r="HL259" s="36"/>
      <c r="HM259" s="36"/>
      <c r="HN259" s="36"/>
      <c r="HO259" s="36"/>
      <c r="HP259" s="36"/>
      <c r="HQ259" s="36"/>
      <c r="HR259" s="36"/>
      <c r="HS259" s="36"/>
      <c r="HT259" s="36"/>
      <c r="HU259" s="36"/>
      <c r="HV259" s="36"/>
      <c r="HW259" s="36"/>
      <c r="HX259" s="36"/>
      <c r="HY259" s="36"/>
      <c r="HZ259" s="36"/>
      <c r="IA259" s="36"/>
      <c r="IB259" s="36"/>
      <c r="IC259" s="36"/>
      <c r="ID259" s="36"/>
      <c r="IE259" s="36"/>
      <c r="IF259" s="36"/>
      <c r="IG259" s="36"/>
      <c r="IH259" s="36"/>
      <c r="II259" s="36"/>
      <c r="IJ259" s="36"/>
      <c r="IK259" s="36">
        <v>3</v>
      </c>
      <c r="IL259" s="36">
        <v>14</v>
      </c>
      <c r="IM259" s="36">
        <v>9</v>
      </c>
      <c r="IN259" s="36"/>
      <c r="IO259" s="36"/>
      <c r="IP259" s="36"/>
      <c r="IR259" s="2" t="s">
        <v>543</v>
      </c>
    </row>
    <row r="260" spans="1:252" ht="15.75" customHeight="1" x14ac:dyDescent="0.25">
      <c r="A260" s="36" t="s">
        <v>1023</v>
      </c>
      <c r="B260" s="36" t="s">
        <v>1024</v>
      </c>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6"/>
      <c r="BQ260" s="6"/>
      <c r="BR260" s="6"/>
      <c r="BS260" s="6"/>
      <c r="BT260" s="6"/>
      <c r="BU260" s="6"/>
      <c r="BV260" s="36"/>
      <c r="BW260" s="36"/>
      <c r="BX260" s="36"/>
      <c r="BY260" s="36"/>
      <c r="BZ260" s="36"/>
      <c r="CA260" s="36"/>
      <c r="CB260" s="36"/>
      <c r="CC260" s="36"/>
      <c r="CD260" s="36"/>
      <c r="CE260" s="36"/>
      <c r="CF260" s="36"/>
      <c r="CG260" s="36"/>
      <c r="CH260" s="36"/>
      <c r="CI260" s="36"/>
      <c r="CJ260" s="36"/>
      <c r="CK260" s="36"/>
      <c r="CL260" s="36"/>
      <c r="CM260" s="36">
        <v>20</v>
      </c>
      <c r="CN260" s="36"/>
      <c r="CO260" s="36"/>
      <c r="CP260" s="36"/>
      <c r="CQ260" s="36"/>
      <c r="CR260" s="36"/>
      <c r="CS260" s="36"/>
      <c r="CT260" s="36"/>
      <c r="CU260" s="36"/>
      <c r="CV260" s="36"/>
      <c r="CW260" s="36"/>
      <c r="CX260" s="36"/>
      <c r="CY260" s="36"/>
      <c r="CZ260" s="36"/>
      <c r="DA260" s="36"/>
      <c r="DB260" s="36"/>
      <c r="DC260" s="36"/>
      <c r="DD260" s="36"/>
      <c r="DE260" s="36"/>
      <c r="DF260" s="36"/>
      <c r="DG260" s="36"/>
      <c r="DH260" s="36"/>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v>14</v>
      </c>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6"/>
      <c r="GB260" s="6"/>
      <c r="GC260" s="36"/>
      <c r="GD260" s="36"/>
      <c r="GE260" s="36"/>
      <c r="GF260" s="36"/>
      <c r="GG260" s="36"/>
      <c r="GH260" s="36"/>
      <c r="GI260" s="36"/>
      <c r="GJ260" s="36"/>
      <c r="GK260" s="36"/>
      <c r="GL260" s="36"/>
      <c r="GM260" s="36"/>
      <c r="GN260" s="36"/>
      <c r="GO260" s="36"/>
      <c r="GP260" s="36"/>
      <c r="GQ260" s="36"/>
      <c r="GR260" s="36"/>
      <c r="GS260" s="36"/>
      <c r="GT260" s="36"/>
      <c r="GU260" s="36"/>
      <c r="GV260" s="6"/>
      <c r="GW260" s="36"/>
      <c r="GX260" s="36"/>
      <c r="GY260" s="36"/>
      <c r="GZ260" s="36"/>
      <c r="HA260" s="36"/>
      <c r="HB260" s="36"/>
      <c r="HC260" s="36"/>
      <c r="HD260" s="36"/>
      <c r="HE260" s="36"/>
      <c r="HF260" s="36"/>
      <c r="HG260" s="36"/>
      <c r="HH260" s="36"/>
      <c r="HI260" s="36"/>
      <c r="HJ260" s="36"/>
      <c r="HK260" s="36"/>
      <c r="HL260" s="36"/>
      <c r="HM260" s="36"/>
      <c r="HN260" s="36"/>
      <c r="HO260" s="36"/>
      <c r="HP260" s="36"/>
      <c r="HQ260" s="36"/>
      <c r="HR260" s="36"/>
      <c r="HS260" s="36"/>
      <c r="HT260" s="36"/>
      <c r="HU260" s="36"/>
      <c r="HV260" s="36"/>
      <c r="HW260" s="36"/>
      <c r="HX260" s="36"/>
      <c r="HY260" s="36"/>
      <c r="HZ260" s="36"/>
      <c r="IA260" s="36"/>
      <c r="IB260" s="36"/>
      <c r="IC260" s="36"/>
      <c r="ID260" s="36"/>
      <c r="IE260" s="36"/>
      <c r="IF260" s="36"/>
      <c r="IG260" s="36"/>
      <c r="IH260" s="36"/>
      <c r="II260" s="36"/>
      <c r="IJ260" s="36"/>
      <c r="IK260" s="36">
        <v>3</v>
      </c>
      <c r="IL260" s="36">
        <v>22</v>
      </c>
      <c r="IM260" s="36">
        <v>18</v>
      </c>
      <c r="IN260" s="36"/>
      <c r="IO260" s="36"/>
      <c r="IP260" s="36"/>
      <c r="IR260" s="2" t="s">
        <v>543</v>
      </c>
    </row>
    <row r="261" spans="1:252" ht="15.75" customHeight="1" x14ac:dyDescent="0.25">
      <c r="A261" s="36" t="s">
        <v>1026</v>
      </c>
      <c r="B261" s="36" t="s">
        <v>1027</v>
      </c>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6"/>
      <c r="BQ261" s="6"/>
      <c r="BR261" s="6"/>
      <c r="BS261" s="6"/>
      <c r="BT261" s="6"/>
      <c r="BU261" s="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v>20</v>
      </c>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6"/>
      <c r="GB261" s="6"/>
      <c r="GC261" s="36"/>
      <c r="GD261" s="36"/>
      <c r="GE261" s="36"/>
      <c r="GF261" s="36"/>
      <c r="GG261" s="36"/>
      <c r="GH261" s="36"/>
      <c r="GI261" s="36"/>
      <c r="GJ261" s="36"/>
      <c r="GK261" s="36"/>
      <c r="GL261" s="36"/>
      <c r="GM261" s="36"/>
      <c r="GN261" s="36"/>
      <c r="GO261" s="36"/>
      <c r="GP261" s="36"/>
      <c r="GQ261" s="36"/>
      <c r="GR261" s="36"/>
      <c r="GS261" s="36"/>
      <c r="GT261" s="36"/>
      <c r="GU261" s="36"/>
      <c r="GV261" s="6"/>
      <c r="GW261" s="36"/>
      <c r="GX261" s="36"/>
      <c r="GY261" s="36"/>
      <c r="GZ261" s="36"/>
      <c r="HA261" s="36"/>
      <c r="HB261" s="36"/>
      <c r="HC261" s="36"/>
      <c r="HD261" s="36"/>
      <c r="HE261" s="36"/>
      <c r="HF261" s="36"/>
      <c r="HG261" s="36"/>
      <c r="HH261" s="36"/>
      <c r="HI261" s="36"/>
      <c r="HJ261" s="36"/>
      <c r="HK261" s="36"/>
      <c r="HL261" s="36"/>
      <c r="HM261" s="36"/>
      <c r="HN261" s="36"/>
      <c r="HO261" s="36"/>
      <c r="HP261" s="36"/>
      <c r="HQ261" s="36"/>
      <c r="HR261" s="36"/>
      <c r="HS261" s="36"/>
      <c r="HT261" s="36"/>
      <c r="HU261" s="36"/>
      <c r="HV261" s="36"/>
      <c r="HW261" s="36"/>
      <c r="HX261" s="36"/>
      <c r="HY261" s="36"/>
      <c r="HZ261" s="36"/>
      <c r="IA261" s="36"/>
      <c r="IB261" s="36"/>
      <c r="IC261" s="36"/>
      <c r="ID261" s="36"/>
      <c r="IE261" s="36"/>
      <c r="IF261" s="36"/>
      <c r="IG261" s="36"/>
      <c r="IH261" s="36"/>
      <c r="II261" s="36"/>
      <c r="IJ261" s="36"/>
      <c r="IK261" s="36"/>
      <c r="IL261" s="36"/>
      <c r="IM261" s="36"/>
      <c r="IN261" s="36"/>
      <c r="IO261" s="36"/>
      <c r="IP261" s="36"/>
      <c r="IR261" s="2" t="s">
        <v>543</v>
      </c>
    </row>
    <row r="262" spans="1:252" ht="15.75" customHeight="1" x14ac:dyDescent="0.25">
      <c r="A262" s="36" t="s">
        <v>1026</v>
      </c>
      <c r="B262" s="36" t="s">
        <v>1029</v>
      </c>
      <c r="C262" s="36"/>
      <c r="D262" s="36"/>
      <c r="E262" s="36"/>
      <c r="F262" s="36"/>
      <c r="G262" s="36"/>
      <c r="H262" s="36"/>
      <c r="I262" s="36"/>
      <c r="J262" s="36"/>
      <c r="K262" s="36"/>
      <c r="L262" s="36"/>
      <c r="M262" s="36"/>
      <c r="N262" s="36">
        <v>10</v>
      </c>
      <c r="O262" s="36">
        <v>10</v>
      </c>
      <c r="P262" s="36"/>
      <c r="Q262" s="36"/>
      <c r="R262" s="36"/>
      <c r="S262" s="36"/>
      <c r="T262" s="36"/>
      <c r="U262" s="36"/>
      <c r="V262" s="36"/>
      <c r="W262" s="36"/>
      <c r="X262" s="36"/>
      <c r="Y262" s="36"/>
      <c r="Z262" s="36"/>
      <c r="AA262" s="36"/>
      <c r="AB262" s="36"/>
      <c r="AC262" s="36"/>
      <c r="AD262" s="36"/>
      <c r="AE262" s="36"/>
      <c r="AF262" s="36"/>
      <c r="AG262" s="36"/>
      <c r="AH262" s="36"/>
      <c r="AI262" s="36"/>
      <c r="AJ262" s="36"/>
      <c r="AK262" s="36">
        <v>20</v>
      </c>
      <c r="AL262" s="36"/>
      <c r="AM262" s="36"/>
      <c r="AN262" s="36">
        <v>5</v>
      </c>
      <c r="AO262" s="36"/>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6"/>
      <c r="BQ262" s="6"/>
      <c r="BR262" s="6"/>
      <c r="BS262" s="6"/>
      <c r="BT262" s="6"/>
      <c r="BU262" s="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6"/>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6"/>
      <c r="GB262" s="6"/>
      <c r="GC262" s="36"/>
      <c r="GD262" s="36"/>
      <c r="GE262" s="36"/>
      <c r="GF262" s="36"/>
      <c r="GG262" s="36"/>
      <c r="GH262" s="36"/>
      <c r="GI262" s="36"/>
      <c r="GJ262" s="36"/>
      <c r="GK262" s="36"/>
      <c r="GL262" s="36"/>
      <c r="GM262" s="36"/>
      <c r="GN262" s="36"/>
      <c r="GO262" s="36"/>
      <c r="GP262" s="36"/>
      <c r="GQ262" s="36"/>
      <c r="GR262" s="36"/>
      <c r="GS262" s="36"/>
      <c r="GT262" s="36"/>
      <c r="GU262" s="36"/>
      <c r="GV262" s="6"/>
      <c r="GW262" s="36"/>
      <c r="GX262" s="36"/>
      <c r="GY262" s="36"/>
      <c r="GZ262" s="36"/>
      <c r="HA262" s="36"/>
      <c r="HB262" s="36"/>
      <c r="HC262" s="36"/>
      <c r="HD262" s="36"/>
      <c r="HE262" s="36"/>
      <c r="HF262" s="36"/>
      <c r="HG262" s="36"/>
      <c r="HH262" s="36"/>
      <c r="HI262" s="36"/>
      <c r="HJ262" s="36"/>
      <c r="HK262" s="36"/>
      <c r="HL262" s="36"/>
      <c r="HM262" s="36"/>
      <c r="HN262" s="36"/>
      <c r="HO262" s="36"/>
      <c r="HP262" s="36"/>
      <c r="HQ262" s="36"/>
      <c r="HR262" s="36"/>
      <c r="HS262" s="36"/>
      <c r="HT262" s="36">
        <v>10</v>
      </c>
      <c r="HU262" s="36">
        <v>5</v>
      </c>
      <c r="HV262" s="36"/>
      <c r="HW262" s="36"/>
      <c r="HX262" s="36"/>
      <c r="HY262" s="36"/>
      <c r="HZ262" s="36"/>
      <c r="IA262" s="36"/>
      <c r="IB262" s="36"/>
      <c r="IC262" s="36"/>
      <c r="ID262" s="36"/>
      <c r="IE262" s="36"/>
      <c r="IF262" s="36"/>
      <c r="IG262" s="36"/>
      <c r="IH262" s="36"/>
      <c r="II262" s="36"/>
      <c r="IJ262" s="36"/>
      <c r="IK262" s="36"/>
      <c r="IL262" s="36"/>
      <c r="IM262" s="36"/>
      <c r="IN262" s="36"/>
      <c r="IO262" s="36"/>
      <c r="IP262" s="36"/>
      <c r="IR262" s="2" t="s">
        <v>543</v>
      </c>
    </row>
    <row r="263" spans="1:252" ht="15.75" customHeight="1" x14ac:dyDescent="0.25">
      <c r="A263" s="36" t="s">
        <v>1031</v>
      </c>
      <c r="B263" s="36" t="s">
        <v>1032</v>
      </c>
      <c r="C263" s="36"/>
      <c r="D263" s="36"/>
      <c r="E263" s="36"/>
      <c r="F263" s="36"/>
      <c r="G263" s="36"/>
      <c r="H263" s="36"/>
      <c r="I263" s="36"/>
      <c r="J263" s="36"/>
      <c r="K263" s="36"/>
      <c r="L263" s="36">
        <v>5</v>
      </c>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v>5</v>
      </c>
      <c r="AN263" s="36"/>
      <c r="AO263" s="36"/>
      <c r="AP263" s="36"/>
      <c r="AQ263" s="36"/>
      <c r="AR263" s="36"/>
      <c r="AS263" s="36"/>
      <c r="AT263" s="36"/>
      <c r="AU263" s="36"/>
      <c r="AV263" s="36">
        <v>5</v>
      </c>
      <c r="AW263" s="36"/>
      <c r="AX263" s="36"/>
      <c r="AY263" s="36"/>
      <c r="AZ263" s="36"/>
      <c r="BA263" s="36"/>
      <c r="BB263" s="36"/>
      <c r="BC263" s="36"/>
      <c r="BD263" s="36"/>
      <c r="BE263" s="36"/>
      <c r="BF263" s="36"/>
      <c r="BG263" s="36"/>
      <c r="BH263" s="36"/>
      <c r="BI263" s="36"/>
      <c r="BJ263" s="36"/>
      <c r="BK263" s="36"/>
      <c r="BL263" s="36"/>
      <c r="BM263" s="36"/>
      <c r="BN263" s="36"/>
      <c r="BO263" s="36"/>
      <c r="BP263" s="6"/>
      <c r="BQ263" s="6"/>
      <c r="BR263" s="6"/>
      <c r="BS263" s="6"/>
      <c r="BT263" s="6"/>
      <c r="BU263" s="6"/>
      <c r="BV263" s="36">
        <v>20</v>
      </c>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6"/>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v>11</v>
      </c>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6"/>
      <c r="GB263" s="6"/>
      <c r="GC263" s="36"/>
      <c r="GD263" s="36"/>
      <c r="GE263" s="36"/>
      <c r="GF263" s="36"/>
      <c r="GG263" s="36"/>
      <c r="GH263" s="36"/>
      <c r="GI263" s="36"/>
      <c r="GJ263" s="36"/>
      <c r="GK263" s="36"/>
      <c r="GL263" s="36"/>
      <c r="GM263" s="36"/>
      <c r="GN263" s="36"/>
      <c r="GO263" s="36"/>
      <c r="GP263" s="36"/>
      <c r="GQ263" s="36"/>
      <c r="GR263" s="36"/>
      <c r="GS263" s="36"/>
      <c r="GT263" s="36"/>
      <c r="GU263" s="36"/>
      <c r="GV263" s="6"/>
      <c r="GW263" s="36"/>
      <c r="GX263" s="36"/>
      <c r="GY263" s="36"/>
      <c r="GZ263" s="36"/>
      <c r="HA263" s="36"/>
      <c r="HB263" s="36"/>
      <c r="HC263" s="36"/>
      <c r="HD263" s="36"/>
      <c r="HE263" s="36"/>
      <c r="HF263" s="36"/>
      <c r="HG263" s="36"/>
      <c r="HH263" s="36"/>
      <c r="HI263" s="36"/>
      <c r="HJ263" s="36"/>
      <c r="HK263" s="36"/>
      <c r="HL263" s="36"/>
      <c r="HM263" s="36"/>
      <c r="HN263" s="36"/>
      <c r="HO263" s="36"/>
      <c r="HP263" s="36"/>
      <c r="HQ263" s="36"/>
      <c r="HR263" s="36"/>
      <c r="HS263" s="36"/>
      <c r="HT263" s="36"/>
      <c r="HU263" s="36"/>
      <c r="HV263" s="36"/>
      <c r="HW263" s="36"/>
      <c r="HX263" s="36"/>
      <c r="HY263" s="36"/>
      <c r="HZ263" s="36"/>
      <c r="IA263" s="36"/>
      <c r="IB263" s="36"/>
      <c r="IC263" s="36"/>
      <c r="ID263" s="36"/>
      <c r="IE263" s="36"/>
      <c r="IF263" s="36"/>
      <c r="IG263" s="36"/>
      <c r="IH263" s="36"/>
      <c r="II263" s="36"/>
      <c r="IJ263" s="36"/>
      <c r="IK263" s="36"/>
      <c r="IL263" s="36"/>
      <c r="IM263" s="36"/>
      <c r="IN263" s="36"/>
      <c r="IO263" s="36"/>
      <c r="IP263" s="36"/>
      <c r="IR263" s="2" t="s">
        <v>543</v>
      </c>
    </row>
    <row r="264" spans="1:252" ht="15.75" customHeight="1" x14ac:dyDescent="0.25">
      <c r="A264" s="36" t="s">
        <v>1033</v>
      </c>
      <c r="B264" s="36" t="s">
        <v>1034</v>
      </c>
      <c r="C264" s="36"/>
      <c r="D264" s="36"/>
      <c r="E264" s="36"/>
      <c r="F264" s="36"/>
      <c r="G264" s="36"/>
      <c r="H264" s="36"/>
      <c r="I264" s="36">
        <v>5</v>
      </c>
      <c r="J264" s="36"/>
      <c r="K264" s="80">
        <v>5</v>
      </c>
      <c r="L264" s="36"/>
      <c r="M264" s="36"/>
      <c r="N264" s="36"/>
      <c r="O264" s="36"/>
      <c r="P264" s="36"/>
      <c r="Q264" s="36">
        <v>5</v>
      </c>
      <c r="R264" s="36">
        <v>5</v>
      </c>
      <c r="S264" s="36"/>
      <c r="T264" s="36"/>
      <c r="U264" s="36"/>
      <c r="V264" s="36">
        <v>5</v>
      </c>
      <c r="W264" s="36"/>
      <c r="X264" s="212">
        <v>5</v>
      </c>
      <c r="Y264" s="212"/>
      <c r="Z264" s="212"/>
      <c r="AA264" s="212"/>
      <c r="AB264" s="212"/>
      <c r="AC264" s="36"/>
      <c r="AD264" s="36">
        <v>5</v>
      </c>
      <c r="AE264" s="36"/>
      <c r="AF264" s="36"/>
      <c r="AG264" s="36"/>
      <c r="AH264" s="36"/>
      <c r="AI264" s="36">
        <v>5</v>
      </c>
      <c r="AJ264" s="36"/>
      <c r="AK264" s="36">
        <v>10</v>
      </c>
      <c r="AL264" s="36"/>
      <c r="AM264" s="36">
        <v>5</v>
      </c>
      <c r="AN264" s="36"/>
      <c r="AO264" s="36"/>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6"/>
      <c r="BQ264" s="6"/>
      <c r="BR264" s="6"/>
      <c r="BS264" s="6"/>
      <c r="BT264" s="6"/>
      <c r="BU264" s="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6"/>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v>11</v>
      </c>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6"/>
      <c r="GB264" s="6"/>
      <c r="GC264" s="36"/>
      <c r="GD264" s="36"/>
      <c r="GE264" s="36"/>
      <c r="GF264" s="36"/>
      <c r="GG264" s="36"/>
      <c r="GH264" s="36"/>
      <c r="GI264" s="36"/>
      <c r="GJ264" s="36"/>
      <c r="GK264" s="36"/>
      <c r="GL264" s="36"/>
      <c r="GM264" s="36"/>
      <c r="GN264" s="36"/>
      <c r="GO264" s="36"/>
      <c r="GP264" s="36"/>
      <c r="GQ264" s="36"/>
      <c r="GR264" s="36"/>
      <c r="GS264" s="36"/>
      <c r="GT264" s="36"/>
      <c r="GU264" s="36"/>
      <c r="GV264" s="6"/>
      <c r="GW264" s="36"/>
      <c r="GX264" s="36"/>
      <c r="GY264" s="36"/>
      <c r="GZ264" s="36"/>
      <c r="HA264" s="36"/>
      <c r="HB264" s="36"/>
      <c r="HC264" s="36"/>
      <c r="HD264" s="36"/>
      <c r="HE264" s="36"/>
      <c r="HF264" s="36"/>
      <c r="HG264" s="36"/>
      <c r="HH264" s="36"/>
      <c r="HI264" s="36"/>
      <c r="HJ264" s="36"/>
      <c r="HK264" s="36"/>
      <c r="HL264" s="36"/>
      <c r="HM264" s="36"/>
      <c r="HN264" s="36"/>
      <c r="HO264" s="36"/>
      <c r="HP264" s="36"/>
      <c r="HQ264" s="36"/>
      <c r="HR264" s="36"/>
      <c r="HS264" s="36"/>
      <c r="HT264" s="36"/>
      <c r="HU264" s="36"/>
      <c r="HV264" s="36">
        <v>15</v>
      </c>
      <c r="HW264" s="36"/>
      <c r="HX264" s="36"/>
      <c r="HY264" s="36"/>
      <c r="HZ264" s="36"/>
      <c r="IA264" s="36"/>
      <c r="IB264" s="36"/>
      <c r="IC264" s="36">
        <v>12</v>
      </c>
      <c r="ID264" s="36"/>
      <c r="IE264" s="36"/>
      <c r="IF264" s="36"/>
      <c r="IG264" s="36"/>
      <c r="IH264" s="36"/>
      <c r="II264" s="36"/>
      <c r="IJ264" s="36"/>
      <c r="IK264" s="36"/>
      <c r="IL264" s="36"/>
      <c r="IM264" s="36"/>
      <c r="IN264" s="36"/>
      <c r="IO264" s="36"/>
      <c r="IP264" s="36"/>
      <c r="IR264" s="2" t="s">
        <v>543</v>
      </c>
    </row>
    <row r="265" spans="1:252" ht="15.75" customHeight="1" x14ac:dyDescent="0.25">
      <c r="A265" s="36" t="s">
        <v>1033</v>
      </c>
      <c r="B265" s="36" t="s">
        <v>1035</v>
      </c>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6"/>
      <c r="BQ265" s="6"/>
      <c r="BR265" s="6"/>
      <c r="BS265" s="6"/>
      <c r="BT265" s="6"/>
      <c r="BU265" s="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6"/>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v>11</v>
      </c>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6"/>
      <c r="GB265" s="6"/>
      <c r="GC265" s="36"/>
      <c r="GD265" s="36"/>
      <c r="GE265" s="36"/>
      <c r="GF265" s="36"/>
      <c r="GG265" s="36"/>
      <c r="GH265" s="36"/>
      <c r="GI265" s="36"/>
      <c r="GJ265" s="36"/>
      <c r="GK265" s="36"/>
      <c r="GL265" s="36"/>
      <c r="GM265" s="36"/>
      <c r="GN265" s="36"/>
      <c r="GO265" s="36"/>
      <c r="GP265" s="36"/>
      <c r="GQ265" s="36"/>
      <c r="GR265" s="36"/>
      <c r="GS265" s="36"/>
      <c r="GT265" s="36"/>
      <c r="GU265" s="36"/>
      <c r="GV265" s="6"/>
      <c r="GW265" s="36"/>
      <c r="GX265" s="36"/>
      <c r="GY265" s="36"/>
      <c r="GZ265" s="36"/>
      <c r="HA265" s="36"/>
      <c r="HB265" s="36"/>
      <c r="HC265" s="36"/>
      <c r="HD265" s="36"/>
      <c r="HE265" s="36"/>
      <c r="HF265" s="36"/>
      <c r="HG265" s="36"/>
      <c r="HH265" s="36"/>
      <c r="HI265" s="36"/>
      <c r="HJ265" s="36"/>
      <c r="HK265" s="36"/>
      <c r="HL265" s="36"/>
      <c r="HM265" s="36"/>
      <c r="HN265" s="36"/>
      <c r="HO265" s="36"/>
      <c r="HP265" s="36"/>
      <c r="HQ265" s="36"/>
      <c r="HR265" s="36"/>
      <c r="HS265" s="36"/>
      <c r="HT265" s="36"/>
      <c r="HU265" s="36"/>
      <c r="HV265" s="36"/>
      <c r="HW265" s="36"/>
      <c r="HX265" s="36"/>
      <c r="HY265" s="36"/>
      <c r="HZ265" s="36"/>
      <c r="IA265" s="36"/>
      <c r="IB265" s="36"/>
      <c r="IC265" s="36"/>
      <c r="ID265" s="36"/>
      <c r="IE265" s="36"/>
      <c r="IF265" s="36"/>
      <c r="IG265" s="36"/>
      <c r="IH265" s="36"/>
      <c r="II265" s="36"/>
      <c r="IJ265" s="36"/>
      <c r="IK265" s="36"/>
      <c r="IL265" s="36"/>
      <c r="IM265" s="36"/>
      <c r="IN265" s="36"/>
      <c r="IO265" s="36"/>
      <c r="IP265" s="36"/>
      <c r="IR265" s="2" t="s">
        <v>543</v>
      </c>
    </row>
    <row r="266" spans="1:252" ht="15.75" customHeight="1" x14ac:dyDescent="0.25">
      <c r="A266" s="36" t="s">
        <v>1036</v>
      </c>
      <c r="B266" s="36" t="s">
        <v>1037</v>
      </c>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6"/>
      <c r="BQ266" s="6"/>
      <c r="BR266" s="6"/>
      <c r="BS266" s="6"/>
      <c r="BT266" s="6"/>
      <c r="BU266" s="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c r="DG266" s="36"/>
      <c r="DH266" s="36"/>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6"/>
      <c r="GB266" s="6"/>
      <c r="GC266" s="36"/>
      <c r="GD266" s="36"/>
      <c r="GE266" s="36"/>
      <c r="GF266" s="36"/>
      <c r="GG266" s="36"/>
      <c r="GH266" s="36"/>
      <c r="GI266" s="36"/>
      <c r="GJ266" s="36"/>
      <c r="GK266" s="36"/>
      <c r="GL266" s="36"/>
      <c r="GM266" s="36"/>
      <c r="GN266" s="36"/>
      <c r="GO266" s="36"/>
      <c r="GP266" s="36"/>
      <c r="GQ266" s="36"/>
      <c r="GR266" s="36"/>
      <c r="GS266" s="36"/>
      <c r="GT266" s="36"/>
      <c r="GU266" s="36"/>
      <c r="GV266" s="6"/>
      <c r="GW266" s="36"/>
      <c r="GX266" s="36"/>
      <c r="GY266" s="36"/>
      <c r="GZ266" s="36"/>
      <c r="HA266" s="36"/>
      <c r="HB266" s="36"/>
      <c r="HC266" s="36"/>
      <c r="HD266" s="36"/>
      <c r="HE266" s="36"/>
      <c r="HF266" s="36"/>
      <c r="HG266" s="36"/>
      <c r="HH266" s="36"/>
      <c r="HI266" s="36"/>
      <c r="HJ266" s="36"/>
      <c r="HK266" s="36"/>
      <c r="HL266" s="36"/>
      <c r="HM266" s="36"/>
      <c r="HN266" s="36"/>
      <c r="HO266" s="36"/>
      <c r="HP266" s="36"/>
      <c r="HQ266" s="36"/>
      <c r="HR266" s="36"/>
      <c r="HS266" s="36"/>
      <c r="HT266" s="36"/>
      <c r="HU266" s="36"/>
      <c r="HV266" s="36"/>
      <c r="HW266" s="36"/>
      <c r="HX266" s="36"/>
      <c r="HY266" s="36"/>
      <c r="HZ266" s="36"/>
      <c r="IA266" s="36"/>
      <c r="IB266" s="36">
        <v>20</v>
      </c>
      <c r="IC266" s="36">
        <v>12</v>
      </c>
      <c r="ID266" s="36"/>
      <c r="IE266" s="36"/>
      <c r="IF266" s="36"/>
      <c r="IG266" s="36"/>
      <c r="IH266" s="36"/>
      <c r="II266" s="36"/>
      <c r="IJ266" s="36"/>
      <c r="IK266" s="36"/>
      <c r="IL266" s="36"/>
      <c r="IM266" s="36"/>
      <c r="IN266" s="36"/>
      <c r="IO266" s="36"/>
      <c r="IP266" s="36"/>
      <c r="IR266" s="2" t="s">
        <v>543</v>
      </c>
    </row>
    <row r="267" spans="1:252" ht="15.75" customHeight="1" x14ac:dyDescent="0.25">
      <c r="A267" s="36" t="s">
        <v>1036</v>
      </c>
      <c r="B267" s="36" t="s">
        <v>1038</v>
      </c>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6"/>
      <c r="BQ267" s="6"/>
      <c r="BR267" s="6"/>
      <c r="BS267" s="6"/>
      <c r="BT267" s="6"/>
      <c r="BU267" s="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c r="DI267" s="36"/>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6"/>
      <c r="GB267" s="6"/>
      <c r="GC267" s="36"/>
      <c r="GD267" s="36"/>
      <c r="GE267" s="36"/>
      <c r="GF267" s="36"/>
      <c r="GG267" s="36"/>
      <c r="GH267" s="36"/>
      <c r="GI267" s="36"/>
      <c r="GJ267" s="36"/>
      <c r="GK267" s="36"/>
      <c r="GL267" s="36"/>
      <c r="GM267" s="36"/>
      <c r="GN267" s="36"/>
      <c r="GO267" s="36"/>
      <c r="GP267" s="36"/>
      <c r="GQ267" s="36"/>
      <c r="GR267" s="36"/>
      <c r="GS267" s="36"/>
      <c r="GT267" s="36"/>
      <c r="GU267" s="36"/>
      <c r="GV267" s="6"/>
      <c r="GW267" s="36"/>
      <c r="GX267" s="36"/>
      <c r="GY267" s="36"/>
      <c r="GZ267" s="36"/>
      <c r="HA267" s="36"/>
      <c r="HB267" s="36"/>
      <c r="HC267" s="36"/>
      <c r="HD267" s="36"/>
      <c r="HE267" s="36"/>
      <c r="HF267" s="36"/>
      <c r="HG267" s="36"/>
      <c r="HH267" s="36"/>
      <c r="HI267" s="36"/>
      <c r="HJ267" s="36"/>
      <c r="HK267" s="36"/>
      <c r="HL267" s="36"/>
      <c r="HM267" s="36"/>
      <c r="HN267" s="36"/>
      <c r="HO267" s="36"/>
      <c r="HP267" s="36"/>
      <c r="HQ267" s="36"/>
      <c r="HR267" s="36"/>
      <c r="HS267" s="36"/>
      <c r="HT267" s="36"/>
      <c r="HU267" s="36"/>
      <c r="HV267" s="36"/>
      <c r="HW267" s="36"/>
      <c r="HX267" s="36"/>
      <c r="HY267" s="36"/>
      <c r="HZ267" s="36"/>
      <c r="IA267" s="36"/>
      <c r="IB267" s="36"/>
      <c r="IC267" s="36">
        <v>52</v>
      </c>
      <c r="ID267" s="36"/>
      <c r="IE267" s="36"/>
      <c r="IF267" s="36"/>
      <c r="IG267" s="36"/>
      <c r="IH267" s="36"/>
      <c r="II267" s="36"/>
      <c r="IJ267" s="36"/>
      <c r="IK267" s="36"/>
      <c r="IL267" s="36"/>
      <c r="IM267" s="36"/>
      <c r="IN267" s="36"/>
      <c r="IO267" s="36"/>
      <c r="IP267" s="36"/>
      <c r="IR267" s="2" t="s">
        <v>543</v>
      </c>
    </row>
    <row r="268" spans="1:252" ht="15.75" customHeight="1" x14ac:dyDescent="0.25">
      <c r="A268" s="36" t="s">
        <v>1036</v>
      </c>
      <c r="B268" s="36" t="s">
        <v>1041</v>
      </c>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6"/>
      <c r="BQ268" s="6"/>
      <c r="BR268" s="6"/>
      <c r="BS268" s="6"/>
      <c r="BT268" s="6"/>
      <c r="BU268" s="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c r="DI268" s="36"/>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v>11</v>
      </c>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6"/>
      <c r="GB268" s="6"/>
      <c r="GC268" s="36"/>
      <c r="GD268" s="36"/>
      <c r="GE268" s="36"/>
      <c r="GF268" s="36"/>
      <c r="GG268" s="36"/>
      <c r="GH268" s="36"/>
      <c r="GI268" s="36"/>
      <c r="GJ268" s="36"/>
      <c r="GK268" s="36"/>
      <c r="GL268" s="36"/>
      <c r="GM268" s="36"/>
      <c r="GN268" s="36"/>
      <c r="GO268" s="36"/>
      <c r="GP268" s="36"/>
      <c r="GQ268" s="36"/>
      <c r="GR268" s="36"/>
      <c r="GS268" s="36"/>
      <c r="GT268" s="36"/>
      <c r="GU268" s="36"/>
      <c r="GV268" s="6"/>
      <c r="GW268" s="36"/>
      <c r="GX268" s="36"/>
      <c r="GY268" s="36"/>
      <c r="GZ268" s="36"/>
      <c r="HA268" s="36"/>
      <c r="HB268" s="36"/>
      <c r="HC268" s="36"/>
      <c r="HD268" s="36"/>
      <c r="HE268" s="36"/>
      <c r="HF268" s="36"/>
      <c r="HG268" s="36"/>
      <c r="HH268" s="36"/>
      <c r="HI268" s="36"/>
      <c r="HJ268" s="36"/>
      <c r="HK268" s="36"/>
      <c r="HL268" s="36"/>
      <c r="HM268" s="36"/>
      <c r="HN268" s="36"/>
      <c r="HO268" s="36"/>
      <c r="HP268" s="36"/>
      <c r="HQ268" s="36"/>
      <c r="HR268" s="36"/>
      <c r="HS268" s="36"/>
      <c r="HT268" s="36"/>
      <c r="HU268" s="36"/>
      <c r="HV268" s="36"/>
      <c r="HW268" s="36"/>
      <c r="HX268" s="36"/>
      <c r="HY268" s="36"/>
      <c r="HZ268" s="36"/>
      <c r="IA268" s="36"/>
      <c r="IB268" s="36"/>
      <c r="IC268" s="36"/>
      <c r="ID268" s="36"/>
      <c r="IE268" s="36"/>
      <c r="IF268" s="36"/>
      <c r="IG268" s="36"/>
      <c r="IH268" s="36"/>
      <c r="II268" s="36"/>
      <c r="IJ268" s="36"/>
      <c r="IK268" s="36"/>
      <c r="IL268" s="36"/>
      <c r="IM268" s="36"/>
      <c r="IN268" s="36"/>
      <c r="IO268" s="36"/>
      <c r="IP268" s="36"/>
      <c r="IR268" s="2" t="s">
        <v>543</v>
      </c>
    </row>
    <row r="269" spans="1:252" ht="15.75" customHeight="1" x14ac:dyDescent="0.25">
      <c r="A269" s="36" t="s">
        <v>1042</v>
      </c>
      <c r="B269" s="36" t="s">
        <v>1043</v>
      </c>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6"/>
      <c r="BQ269" s="6"/>
      <c r="BR269" s="6"/>
      <c r="BS269" s="6"/>
      <c r="BT269" s="6"/>
      <c r="BU269" s="6"/>
      <c r="BV269" s="36">
        <v>60</v>
      </c>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6"/>
      <c r="GB269" s="6"/>
      <c r="GC269" s="36"/>
      <c r="GD269" s="36"/>
      <c r="GE269" s="36"/>
      <c r="GF269" s="36"/>
      <c r="GG269" s="36"/>
      <c r="GH269" s="36"/>
      <c r="GI269" s="36"/>
      <c r="GJ269" s="36"/>
      <c r="GK269" s="36"/>
      <c r="GL269" s="36"/>
      <c r="GM269" s="36"/>
      <c r="GN269" s="36"/>
      <c r="GO269" s="36"/>
      <c r="GP269" s="36"/>
      <c r="GQ269" s="36"/>
      <c r="GR269" s="36"/>
      <c r="GS269" s="36"/>
      <c r="GT269" s="36"/>
      <c r="GU269" s="36"/>
      <c r="GV269" s="6"/>
      <c r="GW269" s="36"/>
      <c r="GX269" s="36"/>
      <c r="GY269" s="36"/>
      <c r="GZ269" s="36"/>
      <c r="HA269" s="36"/>
      <c r="HB269" s="36"/>
      <c r="HC269" s="36"/>
      <c r="HD269" s="36"/>
      <c r="HE269" s="36"/>
      <c r="HF269" s="36"/>
      <c r="HG269" s="36"/>
      <c r="HH269" s="36"/>
      <c r="HI269" s="36"/>
      <c r="HJ269" s="36"/>
      <c r="HK269" s="36"/>
      <c r="HL269" s="36"/>
      <c r="HM269" s="36"/>
      <c r="HN269" s="36"/>
      <c r="HO269" s="36"/>
      <c r="HP269" s="36"/>
      <c r="HQ269" s="36"/>
      <c r="HR269" s="36"/>
      <c r="HS269" s="36"/>
      <c r="HT269" s="36"/>
      <c r="HU269" s="36"/>
      <c r="HV269" s="36"/>
      <c r="HW269" s="36"/>
      <c r="HX269" s="36"/>
      <c r="HY269" s="36"/>
      <c r="HZ269" s="36"/>
      <c r="IA269" s="36"/>
      <c r="IB269" s="36"/>
      <c r="IC269" s="36"/>
      <c r="ID269" s="36"/>
      <c r="IE269" s="36"/>
      <c r="IF269" s="36"/>
      <c r="IG269" s="36"/>
      <c r="IH269" s="36"/>
      <c r="II269" s="36"/>
      <c r="IJ269" s="36"/>
      <c r="IK269" s="36"/>
      <c r="IL269" s="36"/>
      <c r="IM269" s="36"/>
      <c r="IN269" s="36"/>
      <c r="IO269" s="36"/>
      <c r="IP269" s="36"/>
      <c r="IR269" s="2" t="s">
        <v>543</v>
      </c>
    </row>
    <row r="270" spans="1:252" ht="15.75" customHeight="1" x14ac:dyDescent="0.25">
      <c r="A270" s="36" t="s">
        <v>1042</v>
      </c>
      <c r="B270" s="36" t="s">
        <v>1044</v>
      </c>
      <c r="C270" s="36"/>
      <c r="D270" s="36"/>
      <c r="E270" s="36"/>
      <c r="F270" s="36"/>
      <c r="G270" s="36"/>
      <c r="H270" s="36"/>
      <c r="I270" s="36"/>
      <c r="J270" s="36"/>
      <c r="K270" s="36"/>
      <c r="L270" s="36"/>
      <c r="M270" s="36">
        <v>15</v>
      </c>
      <c r="N270" s="36"/>
      <c r="O270" s="36">
        <v>5</v>
      </c>
      <c r="P270" s="36"/>
      <c r="Q270" s="36">
        <v>5</v>
      </c>
      <c r="R270" s="36"/>
      <c r="S270" s="36"/>
      <c r="T270" s="36"/>
      <c r="U270" s="36"/>
      <c r="V270" s="36"/>
      <c r="W270" s="36"/>
      <c r="X270" s="36"/>
      <c r="Y270" s="36"/>
      <c r="Z270" s="36"/>
      <c r="AA270" s="36"/>
      <c r="AB270" s="36"/>
      <c r="AC270" s="36"/>
      <c r="AD270" s="36"/>
      <c r="AE270" s="36"/>
      <c r="AF270" s="36"/>
      <c r="AG270" s="36"/>
      <c r="AH270" s="36"/>
      <c r="AI270" s="36">
        <v>5</v>
      </c>
      <c r="AJ270" s="36"/>
      <c r="AK270" s="36">
        <v>10</v>
      </c>
      <c r="AL270" s="36"/>
      <c r="AM270" s="36"/>
      <c r="AN270" s="36"/>
      <c r="AO270" s="36"/>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6"/>
      <c r="BQ270" s="6"/>
      <c r="BR270" s="6"/>
      <c r="BS270" s="6"/>
      <c r="BT270" s="6"/>
      <c r="BU270" s="6"/>
      <c r="BV270" s="36"/>
      <c r="BW270" s="36"/>
      <c r="BX270" s="36"/>
      <c r="BY270" s="36"/>
      <c r="BZ270" s="36"/>
      <c r="CA270" s="36"/>
      <c r="CB270" s="36"/>
      <c r="CC270" s="36"/>
      <c r="CD270" s="36"/>
      <c r="CE270" s="36"/>
      <c r="CF270" s="36">
        <v>20</v>
      </c>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6"/>
      <c r="GB270" s="6"/>
      <c r="GC270" s="36"/>
      <c r="GD270" s="36"/>
      <c r="GE270" s="36"/>
      <c r="GF270" s="36"/>
      <c r="GG270" s="36"/>
      <c r="GH270" s="36"/>
      <c r="GI270" s="36"/>
      <c r="GJ270" s="36"/>
      <c r="GK270" s="36">
        <v>50</v>
      </c>
      <c r="GL270" s="36"/>
      <c r="GM270" s="36"/>
      <c r="GN270" s="36"/>
      <c r="GO270" s="36"/>
      <c r="GP270" s="36"/>
      <c r="GQ270" s="36"/>
      <c r="GR270" s="36"/>
      <c r="GS270" s="36"/>
      <c r="GT270" s="36"/>
      <c r="GU270" s="36"/>
      <c r="GV270" s="6"/>
      <c r="GW270" s="36"/>
      <c r="GX270" s="36"/>
      <c r="GY270" s="36"/>
      <c r="GZ270" s="36"/>
      <c r="HA270" s="36"/>
      <c r="HB270" s="36"/>
      <c r="HC270" s="36"/>
      <c r="HD270" s="36"/>
      <c r="HE270" s="36"/>
      <c r="HF270" s="36"/>
      <c r="HG270" s="36"/>
      <c r="HH270" s="36"/>
      <c r="HI270" s="36"/>
      <c r="HJ270" s="36"/>
      <c r="HK270" s="36"/>
      <c r="HL270" s="36"/>
      <c r="HM270" s="36"/>
      <c r="HN270" s="36"/>
      <c r="HO270" s="36"/>
      <c r="HP270" s="36"/>
      <c r="HQ270" s="36"/>
      <c r="HR270" s="36"/>
      <c r="HS270" s="36"/>
      <c r="HT270" s="36"/>
      <c r="HU270" s="36"/>
      <c r="HV270" s="36"/>
      <c r="HW270" s="36"/>
      <c r="HX270" s="36"/>
      <c r="HY270" s="36"/>
      <c r="HZ270" s="36"/>
      <c r="IA270" s="36"/>
      <c r="IB270" s="36"/>
      <c r="IC270" s="36"/>
      <c r="ID270" s="36"/>
      <c r="IE270" s="36"/>
      <c r="IF270" s="36"/>
      <c r="IG270" s="36"/>
      <c r="IH270" s="36"/>
      <c r="II270" s="36"/>
      <c r="IJ270" s="36"/>
      <c r="IK270" s="36"/>
      <c r="IL270" s="36"/>
      <c r="IM270" s="36"/>
      <c r="IN270" s="36"/>
      <c r="IO270" s="36"/>
      <c r="IP270" s="36"/>
      <c r="IR270" s="2" t="s">
        <v>543</v>
      </c>
    </row>
    <row r="271" spans="1:252" ht="15.75" customHeight="1" x14ac:dyDescent="0.25">
      <c r="A271" s="36" t="s">
        <v>1045</v>
      </c>
      <c r="B271" s="36" t="s">
        <v>1046</v>
      </c>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6"/>
      <c r="BQ271" s="6"/>
      <c r="BR271" s="6"/>
      <c r="BS271" s="6"/>
      <c r="BT271" s="6"/>
      <c r="BU271" s="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c r="DK271" s="36"/>
      <c r="DL271" s="36"/>
      <c r="DM271" s="36"/>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v>25</v>
      </c>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6"/>
      <c r="GB271" s="6"/>
      <c r="GC271" s="36"/>
      <c r="GD271" s="36"/>
      <c r="GE271" s="36"/>
      <c r="GF271" s="36"/>
      <c r="GG271" s="36"/>
      <c r="GH271" s="36"/>
      <c r="GI271" s="36"/>
      <c r="GJ271" s="36"/>
      <c r="GK271" s="36"/>
      <c r="GL271" s="36"/>
      <c r="GM271" s="36"/>
      <c r="GN271" s="36"/>
      <c r="GO271" s="36"/>
      <c r="GP271" s="36"/>
      <c r="GQ271" s="36"/>
      <c r="GR271" s="36"/>
      <c r="GS271" s="36"/>
      <c r="GT271" s="36"/>
      <c r="GU271" s="36"/>
      <c r="GV271" s="6"/>
      <c r="GW271" s="36"/>
      <c r="GX271" s="36"/>
      <c r="GY271" s="36"/>
      <c r="GZ271" s="36"/>
      <c r="HA271" s="36"/>
      <c r="HB271" s="36"/>
      <c r="HC271" s="36"/>
      <c r="HD271" s="36"/>
      <c r="HE271" s="36"/>
      <c r="HF271" s="36"/>
      <c r="HG271" s="36"/>
      <c r="HH271" s="36"/>
      <c r="HI271" s="36"/>
      <c r="HJ271" s="36"/>
      <c r="HK271" s="36"/>
      <c r="HL271" s="36"/>
      <c r="HM271" s="36"/>
      <c r="HN271" s="36"/>
      <c r="HO271" s="36"/>
      <c r="HP271" s="36"/>
      <c r="HQ271" s="36"/>
      <c r="HR271" s="36"/>
      <c r="HS271" s="36"/>
      <c r="HT271" s="36"/>
      <c r="HU271" s="36"/>
      <c r="HV271" s="36"/>
      <c r="HW271" s="36"/>
      <c r="HX271" s="36"/>
      <c r="HY271" s="36"/>
      <c r="HZ271" s="36"/>
      <c r="IA271" s="36"/>
      <c r="IB271" s="36"/>
      <c r="IC271" s="36"/>
      <c r="ID271" s="36"/>
      <c r="IE271" s="36"/>
      <c r="IF271" s="36"/>
      <c r="IG271" s="36"/>
      <c r="IH271" s="36"/>
      <c r="II271" s="36"/>
      <c r="IJ271" s="36"/>
      <c r="IK271" s="36"/>
      <c r="IL271" s="36"/>
      <c r="IM271" s="36"/>
      <c r="IN271" s="36"/>
      <c r="IO271" s="36"/>
      <c r="IP271" s="36"/>
      <c r="IR271" s="2" t="s">
        <v>543</v>
      </c>
    </row>
    <row r="272" spans="1:252" ht="15.75" customHeight="1" x14ac:dyDescent="0.25">
      <c r="A272" s="36" t="s">
        <v>1047</v>
      </c>
      <c r="B272" s="36" t="s">
        <v>1048</v>
      </c>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6"/>
      <c r="BQ272" s="6"/>
      <c r="BR272" s="6"/>
      <c r="BS272" s="6"/>
      <c r="BT272" s="6"/>
      <c r="BU272" s="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c r="DK272" s="36"/>
      <c r="DL272" s="36"/>
      <c r="DM272" s="36"/>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6"/>
      <c r="GB272" s="6"/>
      <c r="GC272" s="36"/>
      <c r="GD272" s="36"/>
      <c r="GE272" s="36"/>
      <c r="GF272" s="36"/>
      <c r="GG272" s="36"/>
      <c r="GH272" s="36"/>
      <c r="GI272" s="36"/>
      <c r="GJ272" s="36"/>
      <c r="GK272" s="36"/>
      <c r="GL272" s="36"/>
      <c r="GM272" s="36"/>
      <c r="GN272" s="36"/>
      <c r="GO272" s="36"/>
      <c r="GP272" s="36"/>
      <c r="GQ272" s="36"/>
      <c r="GR272" s="36"/>
      <c r="GS272" s="36"/>
      <c r="GT272" s="36"/>
      <c r="GU272" s="36"/>
      <c r="GV272" s="6"/>
      <c r="GW272" s="36"/>
      <c r="GX272" s="36"/>
      <c r="GY272" s="36"/>
      <c r="GZ272" s="36"/>
      <c r="HA272" s="36"/>
      <c r="HB272" s="36"/>
      <c r="HC272" s="36"/>
      <c r="HD272" s="36"/>
      <c r="HE272" s="36"/>
      <c r="HF272" s="36"/>
      <c r="HG272" s="36"/>
      <c r="HH272" s="36"/>
      <c r="HI272" s="36"/>
      <c r="HJ272" s="36"/>
      <c r="HK272" s="36"/>
      <c r="HL272" s="36"/>
      <c r="HM272" s="36"/>
      <c r="HN272" s="36"/>
      <c r="HO272" s="36"/>
      <c r="HP272" s="36"/>
      <c r="HQ272" s="36"/>
      <c r="HR272" s="36"/>
      <c r="HS272" s="36"/>
      <c r="HT272" s="36"/>
      <c r="HU272" s="36"/>
      <c r="HV272" s="36"/>
      <c r="HW272" s="36"/>
      <c r="HX272" s="36"/>
      <c r="HY272" s="36"/>
      <c r="HZ272" s="36"/>
      <c r="IA272" s="36">
        <v>9</v>
      </c>
      <c r="IB272" s="36">
        <v>17</v>
      </c>
      <c r="IC272" s="36">
        <v>49</v>
      </c>
      <c r="ID272" s="36"/>
      <c r="IE272" s="36"/>
      <c r="IF272" s="36"/>
      <c r="IG272" s="36"/>
      <c r="IH272" s="36"/>
      <c r="II272" s="36"/>
      <c r="IJ272" s="36"/>
      <c r="IK272" s="36"/>
      <c r="IL272" s="36"/>
      <c r="IM272" s="36"/>
      <c r="IN272" s="36"/>
      <c r="IO272" s="36"/>
      <c r="IP272" s="36"/>
      <c r="IR272" s="2" t="s">
        <v>543</v>
      </c>
    </row>
    <row r="273" spans="1:252" ht="15.75" customHeight="1" x14ac:dyDescent="0.25">
      <c r="A273" s="36" t="s">
        <v>1049</v>
      </c>
      <c r="B273" s="36" t="s">
        <v>1050</v>
      </c>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v>35</v>
      </c>
      <c r="AJ273" s="36"/>
      <c r="AK273" s="36"/>
      <c r="AL273" s="36"/>
      <c r="AM273" s="36"/>
      <c r="AN273" s="36"/>
      <c r="AO273" s="36"/>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6"/>
      <c r="BQ273" s="6"/>
      <c r="BR273" s="6"/>
      <c r="BS273" s="6"/>
      <c r="BT273" s="6"/>
      <c r="BU273" s="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c r="DJ273" s="36"/>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6"/>
      <c r="GB273" s="6"/>
      <c r="GC273" s="36"/>
      <c r="GD273" s="36"/>
      <c r="GE273" s="36"/>
      <c r="GF273" s="36"/>
      <c r="GG273" s="36"/>
      <c r="GH273" s="36"/>
      <c r="GI273" s="36"/>
      <c r="GJ273" s="36"/>
      <c r="GK273" s="36"/>
      <c r="GL273" s="36"/>
      <c r="GM273" s="36"/>
      <c r="GN273" s="36"/>
      <c r="GO273" s="36"/>
      <c r="GP273" s="36"/>
      <c r="GQ273" s="36"/>
      <c r="GR273" s="36"/>
      <c r="GS273" s="36"/>
      <c r="GT273" s="36"/>
      <c r="GU273" s="36"/>
      <c r="GV273" s="6"/>
      <c r="GW273" s="36"/>
      <c r="GX273" s="36"/>
      <c r="GY273" s="36"/>
      <c r="GZ273" s="36"/>
      <c r="HA273" s="36"/>
      <c r="HB273" s="36"/>
      <c r="HC273" s="36"/>
      <c r="HD273" s="36"/>
      <c r="HE273" s="36"/>
      <c r="HF273" s="36"/>
      <c r="HG273" s="36"/>
      <c r="HH273" s="36"/>
      <c r="HI273" s="36"/>
      <c r="HJ273" s="36"/>
      <c r="HK273" s="36"/>
      <c r="HL273" s="36"/>
      <c r="HM273" s="36"/>
      <c r="HN273" s="36"/>
      <c r="HO273" s="36"/>
      <c r="HP273" s="36"/>
      <c r="HQ273" s="36"/>
      <c r="HR273" s="36"/>
      <c r="HS273" s="36"/>
      <c r="HT273" s="36"/>
      <c r="HU273" s="36"/>
      <c r="HV273" s="36"/>
      <c r="HW273" s="36"/>
      <c r="HX273" s="36"/>
      <c r="HY273" s="36"/>
      <c r="HZ273" s="36"/>
      <c r="IA273" s="36"/>
      <c r="IB273" s="36"/>
      <c r="IC273" s="36"/>
      <c r="ID273" s="36"/>
      <c r="IE273" s="36"/>
      <c r="IF273" s="36"/>
      <c r="IG273" s="36"/>
      <c r="IH273" s="36"/>
      <c r="II273" s="36"/>
      <c r="IJ273" s="36"/>
      <c r="IK273" s="36"/>
      <c r="IL273" s="36"/>
      <c r="IM273" s="36"/>
      <c r="IN273" s="36"/>
      <c r="IO273" s="36"/>
      <c r="IP273" s="36"/>
      <c r="IR273" s="2" t="s">
        <v>543</v>
      </c>
    </row>
    <row r="274" spans="1:252" ht="15.75" customHeight="1" x14ac:dyDescent="0.25">
      <c r="A274" s="36" t="s">
        <v>1049</v>
      </c>
      <c r="B274" s="36" t="s">
        <v>1051</v>
      </c>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6"/>
      <c r="BQ274" s="6"/>
      <c r="BR274" s="6"/>
      <c r="BS274" s="6"/>
      <c r="BT274" s="6"/>
      <c r="BU274" s="6"/>
      <c r="BV274" s="36"/>
      <c r="BW274" s="36"/>
      <c r="BX274" s="36"/>
      <c r="BY274" s="36"/>
      <c r="BZ274" s="36"/>
      <c r="CA274" s="36"/>
      <c r="CB274" s="36"/>
      <c r="CC274" s="36"/>
      <c r="CD274" s="36"/>
      <c r="CE274" s="36"/>
      <c r="CF274" s="36"/>
      <c r="CG274" s="36"/>
      <c r="CH274" s="36"/>
      <c r="CI274" s="36"/>
      <c r="CJ274" s="36"/>
      <c r="CK274" s="36"/>
      <c r="CL274" s="36">
        <v>15</v>
      </c>
      <c r="CM274" s="36"/>
      <c r="CN274" s="36"/>
      <c r="CO274" s="36"/>
      <c r="CP274" s="36"/>
      <c r="CQ274" s="36"/>
      <c r="CR274" s="36">
        <v>6</v>
      </c>
      <c r="CS274" s="36"/>
      <c r="CT274" s="36"/>
      <c r="CU274" s="36"/>
      <c r="CV274" s="36"/>
      <c r="CW274" s="36"/>
      <c r="CX274" s="36"/>
      <c r="CY274" s="36"/>
      <c r="CZ274" s="36"/>
      <c r="DA274" s="36"/>
      <c r="DB274" s="36"/>
      <c r="DC274" s="36"/>
      <c r="DD274" s="36"/>
      <c r="DE274" s="36"/>
      <c r="DF274" s="36"/>
      <c r="DG274" s="36"/>
      <c r="DH274" s="36"/>
      <c r="DI274" s="36"/>
      <c r="DJ274" s="36"/>
      <c r="DK274" s="36"/>
      <c r="DL274" s="36"/>
      <c r="DM274" s="36"/>
      <c r="DN274" s="36"/>
      <c r="DO274" s="36"/>
      <c r="DP274" s="36"/>
      <c r="DQ274" s="36"/>
      <c r="DR274" s="36"/>
      <c r="DS274" s="36"/>
      <c r="DT274" s="36"/>
      <c r="DU274" s="36"/>
      <c r="DV274" s="224">
        <v>6</v>
      </c>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6"/>
      <c r="GB274" s="6"/>
      <c r="GC274" s="36"/>
      <c r="GD274" s="36"/>
      <c r="GE274" s="36"/>
      <c r="GF274" s="36"/>
      <c r="GG274" s="36"/>
      <c r="GH274" s="36"/>
      <c r="GI274" s="36"/>
      <c r="GJ274" s="36"/>
      <c r="GK274" s="36"/>
      <c r="GL274" s="36"/>
      <c r="GM274" s="36"/>
      <c r="GN274" s="36"/>
      <c r="GO274" s="36"/>
      <c r="GP274" s="36"/>
      <c r="GQ274" s="36"/>
      <c r="GR274" s="36"/>
      <c r="GS274" s="36"/>
      <c r="GT274" s="36"/>
      <c r="GU274" s="36"/>
      <c r="GV274" s="6"/>
      <c r="GW274" s="36"/>
      <c r="GX274" s="36"/>
      <c r="GY274" s="36"/>
      <c r="GZ274" s="36"/>
      <c r="HA274" s="36"/>
      <c r="HB274" s="36"/>
      <c r="HC274" s="36"/>
      <c r="HD274" s="36"/>
      <c r="HE274" s="36"/>
      <c r="HF274" s="36"/>
      <c r="HG274" s="36"/>
      <c r="HH274" s="36"/>
      <c r="HI274" s="36"/>
      <c r="HJ274" s="36"/>
      <c r="HK274" s="36"/>
      <c r="HL274" s="36"/>
      <c r="HM274" s="36"/>
      <c r="HN274" s="36"/>
      <c r="HO274" s="36"/>
      <c r="HP274" s="36"/>
      <c r="HQ274" s="36"/>
      <c r="HR274" s="36"/>
      <c r="HS274" s="36"/>
      <c r="HT274" s="36"/>
      <c r="HU274" s="36"/>
      <c r="HV274" s="36"/>
      <c r="HW274" s="36"/>
      <c r="HX274" s="36"/>
      <c r="HY274" s="36"/>
      <c r="HZ274" s="36"/>
      <c r="IA274" s="36"/>
      <c r="IB274" s="36"/>
      <c r="IC274" s="36"/>
      <c r="ID274" s="36">
        <v>4</v>
      </c>
      <c r="IE274" s="36"/>
      <c r="IF274" s="36"/>
      <c r="IG274" s="36"/>
      <c r="IH274" s="36"/>
      <c r="II274" s="36"/>
      <c r="IJ274" s="36"/>
      <c r="IK274" s="36"/>
      <c r="IL274" s="36"/>
      <c r="IM274" s="36"/>
      <c r="IN274" s="36"/>
      <c r="IO274" s="36"/>
      <c r="IP274" s="36"/>
      <c r="IR274" s="2" t="s">
        <v>543</v>
      </c>
    </row>
    <row r="275" spans="1:252" ht="15.75" customHeight="1" x14ac:dyDescent="0.25">
      <c r="A275" s="36" t="s">
        <v>1052</v>
      </c>
      <c r="B275" s="36" t="s">
        <v>1053</v>
      </c>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6"/>
      <c r="BQ275" s="6"/>
      <c r="BR275" s="6"/>
      <c r="BS275" s="6"/>
      <c r="BT275" s="6"/>
      <c r="BU275" s="6"/>
      <c r="BV275" s="36"/>
      <c r="BW275" s="36"/>
      <c r="BX275" s="36"/>
      <c r="BY275" s="36"/>
      <c r="BZ275" s="36"/>
      <c r="CA275" s="36"/>
      <c r="CB275" s="36"/>
      <c r="CC275" s="36"/>
      <c r="CD275" s="36"/>
      <c r="CE275" s="36"/>
      <c r="CF275" s="36"/>
      <c r="CG275" s="36"/>
      <c r="CH275" s="36"/>
      <c r="CI275" s="36"/>
      <c r="CJ275" s="36"/>
      <c r="CK275" s="36"/>
      <c r="CL275" s="36">
        <v>35</v>
      </c>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c r="DK275" s="36"/>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v>70</v>
      </c>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6"/>
      <c r="GB275" s="6"/>
      <c r="GC275" s="36"/>
      <c r="GD275" s="36"/>
      <c r="GE275" s="36"/>
      <c r="GF275" s="36"/>
      <c r="GG275" s="36"/>
      <c r="GH275" s="36"/>
      <c r="GI275" s="36"/>
      <c r="GJ275" s="36"/>
      <c r="GK275" s="36"/>
      <c r="GL275" s="36"/>
      <c r="GM275" s="36"/>
      <c r="GN275" s="36"/>
      <c r="GO275" s="36"/>
      <c r="GP275" s="36"/>
      <c r="GQ275" s="36"/>
      <c r="GR275" s="36"/>
      <c r="GS275" s="36"/>
      <c r="GT275" s="36"/>
      <c r="GU275" s="36"/>
      <c r="GV275" s="6"/>
      <c r="GW275" s="36"/>
      <c r="GX275" s="36"/>
      <c r="GY275" s="36"/>
      <c r="GZ275" s="36"/>
      <c r="HA275" s="36"/>
      <c r="HB275" s="36"/>
      <c r="HC275" s="36"/>
      <c r="HD275" s="36"/>
      <c r="HE275" s="36"/>
      <c r="HF275" s="36"/>
      <c r="HG275" s="36"/>
      <c r="HH275" s="36"/>
      <c r="HI275" s="36"/>
      <c r="HJ275" s="36"/>
      <c r="HK275" s="36"/>
      <c r="HL275" s="36"/>
      <c r="HM275" s="36"/>
      <c r="HN275" s="36"/>
      <c r="HO275" s="36"/>
      <c r="HP275" s="36"/>
      <c r="HQ275" s="36"/>
      <c r="HR275" s="36"/>
      <c r="HS275" s="36"/>
      <c r="HT275" s="36"/>
      <c r="HU275" s="36"/>
      <c r="HV275" s="36"/>
      <c r="HW275" s="36"/>
      <c r="HX275" s="36"/>
      <c r="HY275" s="36"/>
      <c r="HZ275" s="36"/>
      <c r="IA275" s="36"/>
      <c r="IB275" s="36"/>
      <c r="IC275" s="36"/>
      <c r="ID275" s="36"/>
      <c r="IE275" s="36"/>
      <c r="IF275" s="36"/>
      <c r="IG275" s="36"/>
      <c r="IH275" s="36"/>
      <c r="II275" s="36"/>
      <c r="IJ275" s="36"/>
      <c r="IK275" s="36"/>
      <c r="IL275" s="36"/>
      <c r="IM275" s="36"/>
      <c r="IN275" s="36"/>
      <c r="IO275" s="36"/>
      <c r="IP275" s="36"/>
      <c r="IR275" s="2" t="s">
        <v>543</v>
      </c>
    </row>
    <row r="276" spans="1:252" ht="15.75" customHeight="1" x14ac:dyDescent="0.25">
      <c r="A276" s="36" t="s">
        <v>1052</v>
      </c>
      <c r="B276" s="36" t="s">
        <v>1055</v>
      </c>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6"/>
      <c r="BQ276" s="6"/>
      <c r="BR276" s="6"/>
      <c r="BS276" s="6"/>
      <c r="BT276" s="6"/>
      <c r="BU276" s="6"/>
      <c r="BV276" s="36"/>
      <c r="BW276" s="36"/>
      <c r="BX276" s="36"/>
      <c r="BY276" s="36"/>
      <c r="BZ276" s="36"/>
      <c r="CA276" s="36"/>
      <c r="CB276" s="36"/>
      <c r="CC276" s="36"/>
      <c r="CD276" s="36">
        <v>10</v>
      </c>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c r="DK276" s="36"/>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v>25</v>
      </c>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6"/>
      <c r="GB276" s="6"/>
      <c r="GC276" s="36"/>
      <c r="GD276" s="36"/>
      <c r="GE276" s="36"/>
      <c r="GF276" s="36"/>
      <c r="GG276" s="36"/>
      <c r="GH276" s="36"/>
      <c r="GI276" s="36"/>
      <c r="GJ276" s="36"/>
      <c r="GK276" s="36"/>
      <c r="GL276" s="36"/>
      <c r="GM276" s="36"/>
      <c r="GN276" s="36"/>
      <c r="GO276" s="36"/>
      <c r="GP276" s="36"/>
      <c r="GQ276" s="36"/>
      <c r="GR276" s="36"/>
      <c r="GS276" s="36"/>
      <c r="GT276" s="36"/>
      <c r="GU276" s="36"/>
      <c r="GV276" s="6"/>
      <c r="GW276" s="36"/>
      <c r="GX276" s="36"/>
      <c r="GY276" s="36"/>
      <c r="GZ276" s="36"/>
      <c r="HA276" s="36"/>
      <c r="HB276" s="36"/>
      <c r="HC276" s="36"/>
      <c r="HD276" s="36"/>
      <c r="HE276" s="36"/>
      <c r="HF276" s="36"/>
      <c r="HG276" s="36"/>
      <c r="HH276" s="36"/>
      <c r="HI276" s="36"/>
      <c r="HJ276" s="36"/>
      <c r="HK276" s="36"/>
      <c r="HL276" s="36"/>
      <c r="HM276" s="36"/>
      <c r="HN276" s="36"/>
      <c r="HO276" s="36">
        <v>40</v>
      </c>
      <c r="HP276" s="36"/>
      <c r="HQ276" s="36">
        <v>30</v>
      </c>
      <c r="HR276" s="36"/>
      <c r="HS276" s="36"/>
      <c r="HT276" s="36"/>
      <c r="HU276" s="36"/>
      <c r="HV276" s="36"/>
      <c r="HW276" s="36"/>
      <c r="HX276" s="36"/>
      <c r="HY276" s="36"/>
      <c r="HZ276" s="36"/>
      <c r="IA276" s="36"/>
      <c r="IB276" s="36"/>
      <c r="IC276" s="36"/>
      <c r="ID276" s="36"/>
      <c r="IE276" s="36"/>
      <c r="IF276" s="36"/>
      <c r="IG276" s="36"/>
      <c r="IH276" s="36"/>
      <c r="II276" s="36"/>
      <c r="IJ276" s="36"/>
      <c r="IK276" s="36"/>
      <c r="IL276" s="36"/>
      <c r="IM276" s="36"/>
      <c r="IN276" s="36"/>
      <c r="IO276" s="36"/>
      <c r="IP276" s="36"/>
      <c r="IR276" s="2" t="s">
        <v>543</v>
      </c>
    </row>
    <row r="277" spans="1:252" ht="15.75" customHeight="1" x14ac:dyDescent="0.25">
      <c r="A277" s="36" t="s">
        <v>1056</v>
      </c>
      <c r="B277" s="36" t="s">
        <v>1057</v>
      </c>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6"/>
      <c r="BQ277" s="6"/>
      <c r="BR277" s="6"/>
      <c r="BS277" s="6"/>
      <c r="BT277" s="6"/>
      <c r="BU277" s="6"/>
      <c r="BV277" s="36"/>
      <c r="BW277" s="36"/>
      <c r="BX277" s="36"/>
      <c r="BY277" s="36"/>
      <c r="BZ277" s="36"/>
      <c r="CA277" s="36"/>
      <c r="CB277" s="36"/>
      <c r="CC277" s="36"/>
      <c r="CD277" s="36"/>
      <c r="CE277" s="36"/>
      <c r="CF277" s="36"/>
      <c r="CG277" s="36"/>
      <c r="CH277" s="36"/>
      <c r="CI277" s="36"/>
      <c r="CJ277" s="36"/>
      <c r="CK277" s="36"/>
      <c r="CL277" s="36"/>
      <c r="CM277" s="36">
        <v>30</v>
      </c>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c r="DJ277" s="36"/>
      <c r="DK277" s="36"/>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c r="FO277" s="36"/>
      <c r="FP277" s="36"/>
      <c r="FQ277" s="36"/>
      <c r="FR277" s="36"/>
      <c r="FS277" s="36"/>
      <c r="FT277" s="36"/>
      <c r="FU277" s="36"/>
      <c r="FV277" s="36"/>
      <c r="FW277" s="36"/>
      <c r="FX277" s="36"/>
      <c r="FY277" s="36"/>
      <c r="FZ277" s="36"/>
      <c r="GA277" s="6"/>
      <c r="GB277" s="6"/>
      <c r="GC277" s="36"/>
      <c r="GD277" s="36"/>
      <c r="GE277" s="36"/>
      <c r="GF277" s="36"/>
      <c r="GG277" s="36"/>
      <c r="GH277" s="36"/>
      <c r="GI277" s="36"/>
      <c r="GJ277" s="36"/>
      <c r="GK277" s="36"/>
      <c r="GL277" s="36"/>
      <c r="GM277" s="36"/>
      <c r="GN277" s="36"/>
      <c r="GO277" s="36"/>
      <c r="GP277" s="36"/>
      <c r="GQ277" s="36"/>
      <c r="GR277" s="36"/>
      <c r="GS277" s="36"/>
      <c r="GT277" s="36"/>
      <c r="GU277" s="36"/>
      <c r="GV277" s="6"/>
      <c r="GW277" s="36"/>
      <c r="GX277" s="36"/>
      <c r="GY277" s="36"/>
      <c r="GZ277" s="36"/>
      <c r="HA277" s="36"/>
      <c r="HB277" s="36"/>
      <c r="HC277" s="36"/>
      <c r="HD277" s="36"/>
      <c r="HE277" s="36"/>
      <c r="HF277" s="36"/>
      <c r="HG277" s="36"/>
      <c r="HH277" s="36"/>
      <c r="HI277" s="36"/>
      <c r="HJ277" s="36"/>
      <c r="HK277" s="36"/>
      <c r="HL277" s="36"/>
      <c r="HM277" s="36"/>
      <c r="HN277" s="36"/>
      <c r="HO277" s="36"/>
      <c r="HP277" s="36"/>
      <c r="HQ277" s="36"/>
      <c r="HR277" s="36"/>
      <c r="HS277" s="36"/>
      <c r="HT277" s="36"/>
      <c r="HU277" s="36"/>
      <c r="HV277" s="36"/>
      <c r="HW277" s="36"/>
      <c r="HX277" s="36"/>
      <c r="HY277" s="36"/>
      <c r="HZ277" s="36"/>
      <c r="IA277" s="36"/>
      <c r="IB277" s="36"/>
      <c r="IC277" s="36"/>
      <c r="ID277" s="36"/>
      <c r="IE277" s="36"/>
      <c r="IF277" s="36"/>
      <c r="IG277" s="36"/>
      <c r="IH277" s="36"/>
      <c r="II277" s="36"/>
      <c r="IJ277" s="36"/>
      <c r="IK277" s="36"/>
      <c r="IL277" s="36"/>
      <c r="IM277" s="36"/>
      <c r="IN277" s="36"/>
      <c r="IO277" s="36"/>
      <c r="IP277" s="36"/>
      <c r="IR277" s="2" t="s">
        <v>543</v>
      </c>
    </row>
    <row r="278" spans="1:252" ht="15.75" customHeight="1" x14ac:dyDescent="0.25">
      <c r="A278" s="36" t="s">
        <v>1056</v>
      </c>
      <c r="B278" s="36" t="s">
        <v>1060</v>
      </c>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6"/>
      <c r="BQ278" s="6"/>
      <c r="BR278" s="6"/>
      <c r="BS278" s="6"/>
      <c r="BT278" s="6"/>
      <c r="BU278" s="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c r="DJ278" s="36"/>
      <c r="DK278" s="36"/>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v>11</v>
      </c>
      <c r="ET278" s="36"/>
      <c r="EU278" s="36"/>
      <c r="EV278" s="36"/>
      <c r="EW278" s="36"/>
      <c r="EX278" s="36"/>
      <c r="EY278" s="36"/>
      <c r="EZ278" s="36"/>
      <c r="FA278" s="36"/>
      <c r="FB278" s="36"/>
      <c r="FC278" s="36"/>
      <c r="FD278" s="36"/>
      <c r="FE278" s="36"/>
      <c r="FF278" s="36"/>
      <c r="FG278" s="36"/>
      <c r="FH278" s="36"/>
      <c r="FI278" s="36"/>
      <c r="FJ278" s="36"/>
      <c r="FK278" s="36"/>
      <c r="FL278" s="36"/>
      <c r="FM278" s="36"/>
      <c r="FN278" s="36"/>
      <c r="FO278" s="36"/>
      <c r="FP278" s="36"/>
      <c r="FQ278" s="36"/>
      <c r="FR278" s="36"/>
      <c r="FS278" s="36"/>
      <c r="FT278" s="36"/>
      <c r="FU278" s="36"/>
      <c r="FV278" s="36"/>
      <c r="FW278" s="36"/>
      <c r="FX278" s="36"/>
      <c r="FY278" s="36"/>
      <c r="FZ278" s="36"/>
      <c r="GA278" s="6"/>
      <c r="GB278" s="6"/>
      <c r="GC278" s="36"/>
      <c r="GD278" s="36"/>
      <c r="GE278" s="36"/>
      <c r="GF278" s="36"/>
      <c r="GG278" s="36"/>
      <c r="GH278" s="36"/>
      <c r="GI278" s="36"/>
      <c r="GJ278" s="36"/>
      <c r="GK278" s="36"/>
      <c r="GL278" s="36"/>
      <c r="GM278" s="36"/>
      <c r="GN278" s="36"/>
      <c r="GO278" s="36"/>
      <c r="GP278" s="36"/>
      <c r="GQ278" s="36"/>
      <c r="GR278" s="36"/>
      <c r="GS278" s="36"/>
      <c r="GT278" s="36"/>
      <c r="GU278" s="36"/>
      <c r="GV278" s="6"/>
      <c r="GW278" s="36"/>
      <c r="GX278" s="36"/>
      <c r="GY278" s="36"/>
      <c r="GZ278" s="36"/>
      <c r="HA278" s="36"/>
      <c r="HB278" s="36"/>
      <c r="HC278" s="36"/>
      <c r="HD278" s="36"/>
      <c r="HE278" s="36"/>
      <c r="HF278" s="36"/>
      <c r="HG278" s="36"/>
      <c r="HH278" s="36"/>
      <c r="HI278" s="36"/>
      <c r="HJ278" s="36"/>
      <c r="HK278" s="36"/>
      <c r="HL278" s="36"/>
      <c r="HM278" s="36"/>
      <c r="HN278" s="36"/>
      <c r="HO278" s="36"/>
      <c r="HP278" s="36"/>
      <c r="HQ278" s="36"/>
      <c r="HR278" s="36"/>
      <c r="HS278" s="36"/>
      <c r="HT278" s="36"/>
      <c r="HU278" s="36"/>
      <c r="HV278" s="36"/>
      <c r="HW278" s="36"/>
      <c r="HX278" s="36"/>
      <c r="HY278" s="36"/>
      <c r="HZ278" s="36"/>
      <c r="IA278" s="36"/>
      <c r="IB278" s="36"/>
      <c r="IC278" s="36"/>
      <c r="ID278" s="36"/>
      <c r="IE278" s="36"/>
      <c r="IF278" s="36"/>
      <c r="IG278" s="36"/>
      <c r="IH278" s="36"/>
      <c r="II278" s="36"/>
      <c r="IJ278" s="36"/>
      <c r="IK278" s="36"/>
      <c r="IL278" s="36"/>
      <c r="IM278" s="36"/>
      <c r="IN278" s="36"/>
      <c r="IO278" s="36"/>
      <c r="IP278" s="36"/>
      <c r="IR278" s="2" t="s">
        <v>543</v>
      </c>
    </row>
    <row r="279" spans="1:252" ht="15.75" customHeight="1" x14ac:dyDescent="0.25">
      <c r="A279" s="36" t="s">
        <v>1061</v>
      </c>
      <c r="B279" s="36" t="s">
        <v>1062</v>
      </c>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6"/>
      <c r="BQ279" s="6"/>
      <c r="BR279" s="6"/>
      <c r="BS279" s="6"/>
      <c r="BT279" s="6"/>
      <c r="BU279" s="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c r="DJ279" s="36"/>
      <c r="DK279" s="36"/>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c r="FM279" s="36"/>
      <c r="FN279" s="36"/>
      <c r="FO279" s="36"/>
      <c r="FP279" s="36"/>
      <c r="FQ279" s="36"/>
      <c r="FR279" s="36"/>
      <c r="FS279" s="36"/>
      <c r="FT279" s="36"/>
      <c r="FU279" s="36"/>
      <c r="FV279" s="36"/>
      <c r="FW279" s="36"/>
      <c r="FX279" s="36"/>
      <c r="FY279" s="36"/>
      <c r="FZ279" s="36"/>
      <c r="GA279" s="6"/>
      <c r="GB279" s="6"/>
      <c r="GC279" s="36"/>
      <c r="GD279" s="36"/>
      <c r="GE279" s="36"/>
      <c r="GF279" s="36"/>
      <c r="GG279" s="36"/>
      <c r="GH279" s="36"/>
      <c r="GI279" s="36"/>
      <c r="GJ279" s="36"/>
      <c r="GK279" s="36"/>
      <c r="GL279" s="36"/>
      <c r="GM279" s="36"/>
      <c r="GN279" s="36"/>
      <c r="GO279" s="36"/>
      <c r="GP279" s="36"/>
      <c r="GQ279" s="36"/>
      <c r="GR279" s="36"/>
      <c r="GS279" s="36"/>
      <c r="GT279" s="36"/>
      <c r="GU279" s="36"/>
      <c r="GV279" s="6"/>
      <c r="GW279" s="36"/>
      <c r="GX279" s="36"/>
      <c r="GY279" s="36"/>
      <c r="GZ279" s="36"/>
      <c r="HA279" s="36"/>
      <c r="HB279" s="36"/>
      <c r="HC279" s="36"/>
      <c r="HD279" s="36"/>
      <c r="HE279" s="36"/>
      <c r="HF279" s="36"/>
      <c r="HG279" s="36"/>
      <c r="HH279" s="36"/>
      <c r="HI279" s="36"/>
      <c r="HJ279" s="36"/>
      <c r="HK279" s="36"/>
      <c r="HL279" s="36"/>
      <c r="HM279" s="36"/>
      <c r="HN279" s="36"/>
      <c r="HO279" s="36"/>
      <c r="HP279" s="36"/>
      <c r="HQ279" s="36"/>
      <c r="HR279" s="36"/>
      <c r="HS279" s="36"/>
      <c r="HT279" s="36"/>
      <c r="HU279" s="36"/>
      <c r="HV279" s="36"/>
      <c r="HW279" s="36"/>
      <c r="HX279" s="36"/>
      <c r="HY279" s="36"/>
      <c r="HZ279" s="36"/>
      <c r="IA279" s="36"/>
      <c r="IB279" s="36"/>
      <c r="IC279" s="36"/>
      <c r="ID279" s="36"/>
      <c r="IE279" s="36"/>
      <c r="IF279" s="36"/>
      <c r="IG279" s="36"/>
      <c r="IH279" s="36"/>
      <c r="II279" s="36"/>
      <c r="IJ279" s="36"/>
      <c r="IK279" s="36"/>
      <c r="IL279" s="36"/>
      <c r="IM279" s="36"/>
      <c r="IN279" s="36"/>
      <c r="IO279" s="36"/>
      <c r="IP279" s="36"/>
      <c r="IR279" s="2" t="s">
        <v>543</v>
      </c>
    </row>
    <row r="280" spans="1:252" ht="15.75" customHeight="1" x14ac:dyDescent="0.25">
      <c r="A280" s="36" t="s">
        <v>1065</v>
      </c>
      <c r="B280" s="36" t="s">
        <v>1066</v>
      </c>
      <c r="C280" s="36"/>
      <c r="D280" s="36"/>
      <c r="E280" s="36"/>
      <c r="F280" s="36"/>
      <c r="G280" s="36"/>
      <c r="H280" s="36"/>
      <c r="I280" s="36"/>
      <c r="J280" s="36">
        <v>5</v>
      </c>
      <c r="K280" s="36"/>
      <c r="L280" s="36"/>
      <c r="M280" s="36"/>
      <c r="N280" s="36"/>
      <c r="O280" s="36"/>
      <c r="P280" s="36"/>
      <c r="Q280" s="36"/>
      <c r="R280" s="36"/>
      <c r="S280" s="36"/>
      <c r="T280" s="36"/>
      <c r="U280" s="36"/>
      <c r="V280" s="36"/>
      <c r="W280" s="36">
        <v>5</v>
      </c>
      <c r="X280" s="36">
        <v>10</v>
      </c>
      <c r="Y280" s="36"/>
      <c r="Z280" s="36"/>
      <c r="AA280" s="36"/>
      <c r="AB280" s="36"/>
      <c r="AC280" s="36">
        <v>5</v>
      </c>
      <c r="AD280" s="36"/>
      <c r="AE280" s="36"/>
      <c r="AF280" s="36">
        <v>5</v>
      </c>
      <c r="AG280" s="36">
        <v>5</v>
      </c>
      <c r="AH280" s="36"/>
      <c r="AI280" s="36"/>
      <c r="AJ280" s="36"/>
      <c r="AK280" s="36"/>
      <c r="AL280" s="36">
        <v>5</v>
      </c>
      <c r="AM280" s="36">
        <v>5</v>
      </c>
      <c r="AN280" s="36">
        <v>5</v>
      </c>
      <c r="AO280" s="36"/>
      <c r="AP280" s="36">
        <v>5</v>
      </c>
      <c r="AQ280" s="36">
        <v>5</v>
      </c>
      <c r="AR280" s="36">
        <v>5</v>
      </c>
      <c r="AS280" s="36">
        <v>5</v>
      </c>
      <c r="AT280" s="36">
        <v>5</v>
      </c>
      <c r="AU280" s="36">
        <v>5</v>
      </c>
      <c r="AV280" s="36">
        <v>5</v>
      </c>
      <c r="AW280" s="36"/>
      <c r="AX280" s="36"/>
      <c r="AY280" s="36"/>
      <c r="AZ280" s="36"/>
      <c r="BA280" s="36"/>
      <c r="BB280" s="36"/>
      <c r="BC280" s="36"/>
      <c r="BD280" s="36"/>
      <c r="BE280" s="36"/>
      <c r="BF280" s="36"/>
      <c r="BG280" s="36"/>
      <c r="BH280" s="36"/>
      <c r="BI280" s="36"/>
      <c r="BJ280" s="36"/>
      <c r="BK280" s="36"/>
      <c r="BL280" s="36"/>
      <c r="BM280" s="36"/>
      <c r="BN280" s="36"/>
      <c r="BO280" s="36"/>
      <c r="BP280" s="6"/>
      <c r="BQ280" s="6"/>
      <c r="BR280" s="6"/>
      <c r="BS280" s="6"/>
      <c r="BT280" s="6"/>
      <c r="BU280" s="6"/>
      <c r="BV280" s="36"/>
      <c r="BW280" s="36"/>
      <c r="BX280" s="36"/>
      <c r="BY280" s="36"/>
      <c r="BZ280" s="36">
        <v>10</v>
      </c>
      <c r="CA280" s="36"/>
      <c r="CB280" s="36"/>
      <c r="CC280" s="36"/>
      <c r="CD280" s="36"/>
      <c r="CE280" s="36">
        <v>10</v>
      </c>
      <c r="CF280" s="36">
        <v>10</v>
      </c>
      <c r="CG280" s="36">
        <v>10</v>
      </c>
      <c r="CH280" s="36">
        <v>10</v>
      </c>
      <c r="CI280" s="36">
        <v>10</v>
      </c>
      <c r="CJ280" s="36"/>
      <c r="CK280" s="36"/>
      <c r="CL280" s="36"/>
      <c r="CM280" s="36"/>
      <c r="CN280" s="36"/>
      <c r="CO280" s="36"/>
      <c r="CP280" s="36"/>
      <c r="CQ280" s="36"/>
      <c r="CR280" s="36"/>
      <c r="CS280" s="36"/>
      <c r="CT280" s="36"/>
      <c r="CU280" s="36">
        <v>6</v>
      </c>
      <c r="CV280" s="36"/>
      <c r="CW280" s="36"/>
      <c r="CX280" s="36">
        <v>6</v>
      </c>
      <c r="CY280" s="36"/>
      <c r="CZ280" s="36">
        <v>6</v>
      </c>
      <c r="DA280" s="36"/>
      <c r="DB280" s="36"/>
      <c r="DC280" s="36">
        <v>6</v>
      </c>
      <c r="DD280" s="36">
        <v>6</v>
      </c>
      <c r="DE280" s="36"/>
      <c r="DF280" s="36">
        <v>6</v>
      </c>
      <c r="DG280" s="36"/>
      <c r="DH280" s="36"/>
      <c r="DI280" s="36">
        <v>6</v>
      </c>
      <c r="DJ280" s="36"/>
      <c r="DK280" s="36"/>
      <c r="DL280" s="36">
        <v>8</v>
      </c>
      <c r="DM280" s="36"/>
      <c r="DN280" s="36">
        <v>6</v>
      </c>
      <c r="DO280" s="36">
        <v>6</v>
      </c>
      <c r="DP280" s="36">
        <v>6</v>
      </c>
      <c r="DQ280" s="36">
        <v>8</v>
      </c>
      <c r="DR280" s="36"/>
      <c r="DS280" s="36"/>
      <c r="DT280" s="36"/>
      <c r="DU280" s="36">
        <v>6</v>
      </c>
      <c r="DV280" s="36"/>
      <c r="DW280" s="36"/>
      <c r="DX280" s="36">
        <v>6</v>
      </c>
      <c r="DY280" s="36"/>
      <c r="DZ280" s="36"/>
      <c r="EA280" s="36"/>
      <c r="EB280" s="36"/>
      <c r="EC280" s="36"/>
      <c r="ED280" s="36"/>
      <c r="EE280" s="36"/>
      <c r="EF280" s="36"/>
      <c r="EG280" s="36"/>
      <c r="EH280" s="36"/>
      <c r="EI280" s="36">
        <v>6</v>
      </c>
      <c r="EJ280" s="36">
        <v>6</v>
      </c>
      <c r="EK280" s="36"/>
      <c r="EL280" s="36"/>
      <c r="EM280" s="36"/>
      <c r="EN280" s="36"/>
      <c r="EO280" s="36"/>
      <c r="EP280" s="36"/>
      <c r="EQ280" s="36"/>
      <c r="ER280" s="36"/>
      <c r="ES280" s="36"/>
      <c r="ET280" s="36"/>
      <c r="EU280" s="36"/>
      <c r="EV280" s="36"/>
      <c r="EW280" s="36">
        <v>100</v>
      </c>
      <c r="EX280" s="36"/>
      <c r="EY280" s="36">
        <v>25</v>
      </c>
      <c r="EZ280" s="36"/>
      <c r="FA280" s="36"/>
      <c r="FB280" s="36"/>
      <c r="FC280" s="36"/>
      <c r="FD280" s="36"/>
      <c r="FE280" s="36"/>
      <c r="FF280" s="36"/>
      <c r="FG280" s="36"/>
      <c r="FH280" s="36"/>
      <c r="FI280" s="36"/>
      <c r="FJ280" s="36"/>
      <c r="FK280" s="36"/>
      <c r="FL280" s="36"/>
      <c r="FM280" s="36"/>
      <c r="FN280" s="36"/>
      <c r="FO280" s="36"/>
      <c r="FP280" s="36"/>
      <c r="FQ280" s="36"/>
      <c r="FR280" s="36"/>
      <c r="FS280" s="36"/>
      <c r="FT280" s="36"/>
      <c r="FU280" s="36"/>
      <c r="FV280" s="36"/>
      <c r="FW280" s="36"/>
      <c r="FX280" s="36"/>
      <c r="FY280" s="36"/>
      <c r="FZ280" s="36">
        <v>25</v>
      </c>
      <c r="GA280" s="6"/>
      <c r="GB280" s="6">
        <v>25</v>
      </c>
      <c r="GC280" s="36"/>
      <c r="GD280" s="36"/>
      <c r="GE280" s="36"/>
      <c r="GF280" s="36"/>
      <c r="GG280" s="36"/>
      <c r="GH280" s="36"/>
      <c r="GI280" s="36"/>
      <c r="GJ280" s="36"/>
      <c r="GK280" s="36"/>
      <c r="GL280" s="36"/>
      <c r="GM280" s="36"/>
      <c r="GN280" s="36"/>
      <c r="GO280" s="36"/>
      <c r="GP280" s="36"/>
      <c r="GQ280" s="36"/>
      <c r="GR280" s="36"/>
      <c r="GS280" s="36"/>
      <c r="GT280" s="36">
        <v>24</v>
      </c>
      <c r="GU280" s="36"/>
      <c r="GV280" s="6"/>
      <c r="GW280" s="36"/>
      <c r="GX280" s="36"/>
      <c r="GY280" s="36"/>
      <c r="GZ280" s="36"/>
      <c r="HA280" s="36"/>
      <c r="HB280" s="36"/>
      <c r="HC280" s="36"/>
      <c r="HD280" s="36"/>
      <c r="HE280" s="36"/>
      <c r="HF280" s="36"/>
      <c r="HG280" s="36"/>
      <c r="HH280" s="36"/>
      <c r="HI280" s="36"/>
      <c r="HJ280" s="36"/>
      <c r="HK280" s="36"/>
      <c r="HL280" s="36"/>
      <c r="HM280" s="36"/>
      <c r="HN280" s="36"/>
      <c r="HO280" s="36"/>
      <c r="HP280" s="36">
        <v>20</v>
      </c>
      <c r="HQ280" s="36">
        <v>20</v>
      </c>
      <c r="HR280" s="36"/>
      <c r="HS280" s="36"/>
      <c r="HT280" s="36">
        <v>10</v>
      </c>
      <c r="HU280" s="36">
        <v>10</v>
      </c>
      <c r="HV280" s="36">
        <v>5</v>
      </c>
      <c r="HW280" s="36">
        <v>5</v>
      </c>
      <c r="HX280" s="36"/>
      <c r="HY280" s="36"/>
      <c r="HZ280" s="36"/>
      <c r="IA280" s="36"/>
      <c r="IB280" s="36"/>
      <c r="IC280" s="36"/>
      <c r="ID280" s="36"/>
      <c r="IE280" s="36"/>
      <c r="IF280" s="36"/>
      <c r="IG280" s="36"/>
      <c r="IH280" s="36"/>
      <c r="II280" s="36"/>
      <c r="IJ280" s="36"/>
      <c r="IK280" s="36"/>
      <c r="IL280" s="36"/>
      <c r="IM280" s="36"/>
      <c r="IN280" s="36"/>
      <c r="IO280" s="36"/>
      <c r="IP280" s="36"/>
      <c r="IR280" s="2" t="s">
        <v>543</v>
      </c>
    </row>
    <row r="281" spans="1:252" ht="15.75" customHeight="1" x14ac:dyDescent="0.25">
      <c r="A281" s="36" t="s">
        <v>1067</v>
      </c>
      <c r="B281" s="36" t="s">
        <v>1068</v>
      </c>
      <c r="C281" s="36"/>
      <c r="D281" s="36"/>
      <c r="E281" s="36"/>
      <c r="F281" s="36"/>
      <c r="G281" s="36"/>
      <c r="H281" s="36"/>
      <c r="I281" s="36"/>
      <c r="J281" s="36"/>
      <c r="K281" s="36"/>
      <c r="L281" s="36"/>
      <c r="M281" s="36"/>
      <c r="N281" s="36"/>
      <c r="O281" s="36">
        <v>25</v>
      </c>
      <c r="P281" s="36"/>
      <c r="Q281" s="36"/>
      <c r="R281" s="36"/>
      <c r="S281" s="36"/>
      <c r="T281" s="36"/>
      <c r="U281" s="36"/>
      <c r="V281" s="36"/>
      <c r="W281" s="36"/>
      <c r="X281" s="36"/>
      <c r="Y281" s="36"/>
      <c r="Z281" s="36"/>
      <c r="AA281" s="36"/>
      <c r="AB281" s="36"/>
      <c r="AC281" s="36"/>
      <c r="AD281" s="36"/>
      <c r="AE281" s="36"/>
      <c r="AF281" s="36"/>
      <c r="AG281" s="36"/>
      <c r="AH281" s="36"/>
      <c r="AI281" s="36"/>
      <c r="AJ281" s="36"/>
      <c r="AK281" s="36">
        <v>25</v>
      </c>
      <c r="AL281" s="36"/>
      <c r="AM281" s="36"/>
      <c r="AN281" s="36"/>
      <c r="AO281" s="36"/>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6"/>
      <c r="BQ281" s="6"/>
      <c r="BR281" s="6"/>
      <c r="BS281" s="6"/>
      <c r="BT281" s="6"/>
      <c r="BU281" s="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v>6</v>
      </c>
      <c r="CY281" s="36"/>
      <c r="CZ281" s="36"/>
      <c r="DA281" s="36"/>
      <c r="DB281" s="36"/>
      <c r="DC281" s="36">
        <v>24</v>
      </c>
      <c r="DD281" s="36"/>
      <c r="DE281" s="36"/>
      <c r="DF281" s="36"/>
      <c r="DG281" s="36"/>
      <c r="DH281" s="36"/>
      <c r="DI281" s="36"/>
      <c r="DJ281" s="36"/>
      <c r="DK281" s="36"/>
      <c r="DL281" s="36"/>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c r="EL281" s="36"/>
      <c r="EM281" s="36"/>
      <c r="EN281" s="36"/>
      <c r="EO281" s="36"/>
      <c r="EP281" s="36"/>
      <c r="EQ281" s="36"/>
      <c r="ER281" s="36"/>
      <c r="ES281" s="36">
        <v>11</v>
      </c>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6"/>
      <c r="GB281" s="6"/>
      <c r="GC281" s="36"/>
      <c r="GD281" s="36"/>
      <c r="GE281" s="36"/>
      <c r="GF281" s="36"/>
      <c r="GG281" s="36"/>
      <c r="GH281" s="36"/>
      <c r="GI281" s="36"/>
      <c r="GJ281" s="36"/>
      <c r="GK281" s="36"/>
      <c r="GL281" s="36"/>
      <c r="GM281" s="36"/>
      <c r="GN281" s="36"/>
      <c r="GO281" s="36"/>
      <c r="GP281" s="36"/>
      <c r="GQ281" s="36"/>
      <c r="GR281" s="36"/>
      <c r="GS281" s="36"/>
      <c r="GT281" s="36"/>
      <c r="GU281" s="36"/>
      <c r="GV281" s="6"/>
      <c r="GW281" s="36"/>
      <c r="GX281" s="36"/>
      <c r="GY281" s="36"/>
      <c r="GZ281" s="36"/>
      <c r="HA281" s="36"/>
      <c r="HB281" s="36"/>
      <c r="HC281" s="36"/>
      <c r="HD281" s="36"/>
      <c r="HE281" s="36"/>
      <c r="HF281" s="36"/>
      <c r="HG281" s="36"/>
      <c r="HH281" s="36"/>
      <c r="HI281" s="36"/>
      <c r="HJ281" s="36"/>
      <c r="HK281" s="36"/>
      <c r="HL281" s="36"/>
      <c r="HM281" s="36"/>
      <c r="HN281" s="36"/>
      <c r="HO281" s="36"/>
      <c r="HP281" s="36"/>
      <c r="HQ281" s="36"/>
      <c r="HR281" s="36"/>
      <c r="HS281" s="36"/>
      <c r="HT281" s="36"/>
      <c r="HU281" s="36"/>
      <c r="HV281" s="36"/>
      <c r="HW281" s="36"/>
      <c r="HX281" s="36"/>
      <c r="HY281" s="36"/>
      <c r="HZ281" s="36"/>
      <c r="IA281" s="36"/>
      <c r="IB281" s="36"/>
      <c r="IC281" s="36"/>
      <c r="ID281" s="36"/>
      <c r="IE281" s="36"/>
      <c r="IF281" s="36"/>
      <c r="IG281" s="36"/>
      <c r="IH281" s="36"/>
      <c r="II281" s="36"/>
      <c r="IJ281" s="36"/>
      <c r="IK281" s="36"/>
      <c r="IL281" s="36"/>
      <c r="IM281" s="36"/>
      <c r="IN281" s="36"/>
      <c r="IO281" s="36"/>
      <c r="IP281" s="36"/>
      <c r="IR281" s="2" t="s">
        <v>543</v>
      </c>
    </row>
    <row r="282" spans="1:252" ht="15.75" customHeight="1" x14ac:dyDescent="0.25">
      <c r="A282" s="36" t="s">
        <v>1067</v>
      </c>
      <c r="B282" s="36" t="s">
        <v>1069</v>
      </c>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v>20</v>
      </c>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6"/>
      <c r="GC282" s="36"/>
      <c r="GD282" s="36"/>
      <c r="GE282" s="36"/>
      <c r="GF282" s="36"/>
      <c r="GG282" s="36"/>
      <c r="GH282" s="36"/>
      <c r="GI282" s="36"/>
      <c r="GJ282" s="36"/>
      <c r="GK282" s="36"/>
      <c r="GL282" s="36"/>
      <c r="GM282" s="36"/>
      <c r="GN282" s="36"/>
      <c r="GO282" s="36"/>
      <c r="GP282" s="36"/>
      <c r="GQ282" s="36"/>
      <c r="GR282" s="36"/>
      <c r="GS282" s="36"/>
      <c r="GT282" s="36"/>
      <c r="GU282" s="36"/>
      <c r="GV282" s="36"/>
      <c r="GW282" s="36"/>
      <c r="GX282" s="36"/>
      <c r="GY282" s="36"/>
      <c r="GZ282" s="36"/>
      <c r="HA282" s="36"/>
      <c r="HB282" s="36"/>
      <c r="HC282" s="36"/>
      <c r="HD282" s="36"/>
      <c r="HE282" s="36"/>
      <c r="HF282" s="36"/>
      <c r="HG282" s="36"/>
      <c r="HH282" s="36"/>
      <c r="HI282" s="36"/>
      <c r="HJ282" s="36"/>
      <c r="HK282" s="36"/>
      <c r="HL282" s="36"/>
      <c r="HM282" s="36"/>
      <c r="HN282" s="36"/>
      <c r="HO282" s="36"/>
      <c r="HP282" s="36"/>
      <c r="HQ282" s="36"/>
      <c r="HR282" s="36"/>
      <c r="HS282" s="36"/>
      <c r="HT282" s="36"/>
      <c r="HU282" s="36"/>
      <c r="HV282" s="36"/>
      <c r="HW282" s="36"/>
      <c r="HX282" s="36"/>
      <c r="HY282" s="36"/>
      <c r="HZ282" s="36"/>
      <c r="IA282" s="36"/>
      <c r="IB282" s="36"/>
      <c r="IC282" s="36"/>
      <c r="ID282" s="36"/>
      <c r="IE282" s="36"/>
      <c r="IF282" s="36"/>
      <c r="IG282" s="36"/>
      <c r="IH282" s="36"/>
      <c r="II282" s="36"/>
      <c r="IJ282" s="36"/>
      <c r="IK282" s="36"/>
      <c r="IL282" s="36"/>
      <c r="IM282" s="36"/>
      <c r="IN282" s="36"/>
      <c r="IO282" s="36"/>
      <c r="IP282" s="36"/>
      <c r="IR282" s="2" t="s">
        <v>543</v>
      </c>
    </row>
    <row r="283" spans="1:252" ht="15.75" customHeight="1" x14ac:dyDescent="0.25">
      <c r="A283" s="36" t="s">
        <v>1067</v>
      </c>
      <c r="B283" s="36" t="s">
        <v>1070</v>
      </c>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6"/>
      <c r="BQ283" s="6"/>
      <c r="BR283" s="6"/>
      <c r="BS283" s="6"/>
      <c r="BT283" s="6"/>
      <c r="BU283" s="6"/>
      <c r="BV283" s="36"/>
      <c r="BW283" s="36"/>
      <c r="BX283" s="36"/>
      <c r="BY283" s="36"/>
      <c r="BZ283" s="36"/>
      <c r="CA283" s="36"/>
      <c r="CB283" s="36"/>
      <c r="CC283" s="36"/>
      <c r="CD283" s="36">
        <v>60</v>
      </c>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c r="DJ283" s="36"/>
      <c r="DK283" s="36"/>
      <c r="DL283" s="36"/>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c r="FM283" s="36"/>
      <c r="FN283" s="36"/>
      <c r="FO283" s="36"/>
      <c r="FP283" s="36"/>
      <c r="FQ283" s="36"/>
      <c r="FR283" s="36"/>
      <c r="FS283" s="36"/>
      <c r="FT283" s="36"/>
      <c r="FU283" s="36"/>
      <c r="FV283" s="36"/>
      <c r="FW283" s="36"/>
      <c r="FX283" s="36"/>
      <c r="FY283" s="36"/>
      <c r="FZ283" s="36"/>
      <c r="GA283" s="6"/>
      <c r="GB283" s="6"/>
      <c r="GC283" s="36"/>
      <c r="GD283" s="36"/>
      <c r="GE283" s="36"/>
      <c r="GF283" s="36"/>
      <c r="GG283" s="36"/>
      <c r="GH283" s="36"/>
      <c r="GI283" s="36"/>
      <c r="GJ283" s="36"/>
      <c r="GK283" s="36"/>
      <c r="GL283" s="36"/>
      <c r="GM283" s="36"/>
      <c r="GN283" s="36"/>
      <c r="GO283" s="36"/>
      <c r="GP283" s="36"/>
      <c r="GQ283" s="36"/>
      <c r="GR283" s="36"/>
      <c r="GS283" s="36"/>
      <c r="GT283" s="36"/>
      <c r="GU283" s="36"/>
      <c r="GV283" s="6"/>
      <c r="GW283" s="36"/>
      <c r="GX283" s="36"/>
      <c r="GY283" s="36"/>
      <c r="GZ283" s="36"/>
      <c r="HA283" s="36"/>
      <c r="HB283" s="36"/>
      <c r="HC283" s="36"/>
      <c r="HD283" s="36"/>
      <c r="HE283" s="36"/>
      <c r="HF283" s="36"/>
      <c r="HG283" s="36"/>
      <c r="HH283" s="36"/>
      <c r="HI283" s="36"/>
      <c r="HJ283" s="36"/>
      <c r="HK283" s="36"/>
      <c r="HL283" s="36"/>
      <c r="HM283" s="36"/>
      <c r="HN283" s="36"/>
      <c r="HO283" s="36"/>
      <c r="HP283" s="36"/>
      <c r="HQ283" s="36"/>
      <c r="HR283" s="36"/>
      <c r="HS283" s="36"/>
      <c r="HT283" s="36"/>
      <c r="HU283" s="36"/>
      <c r="HV283" s="36"/>
      <c r="HW283" s="36"/>
      <c r="HX283" s="36"/>
      <c r="HY283" s="36"/>
      <c r="HZ283" s="36"/>
      <c r="IA283" s="36"/>
      <c r="IB283" s="36"/>
      <c r="IC283" s="36"/>
      <c r="ID283" s="36"/>
      <c r="IE283" s="36"/>
      <c r="IF283" s="36"/>
      <c r="IG283" s="36"/>
      <c r="IH283" s="36"/>
      <c r="II283" s="36"/>
      <c r="IJ283" s="36"/>
      <c r="IK283" s="36"/>
      <c r="IL283" s="36"/>
      <c r="IM283" s="36"/>
      <c r="IN283" s="36"/>
      <c r="IO283" s="36"/>
      <c r="IP283" s="36"/>
      <c r="IR283" s="2" t="s">
        <v>543</v>
      </c>
    </row>
    <row r="284" spans="1:252" ht="15.75" customHeight="1" x14ac:dyDescent="0.25">
      <c r="A284" s="36" t="s">
        <v>1072</v>
      </c>
      <c r="B284" s="36" t="s">
        <v>1073</v>
      </c>
      <c r="C284" s="36"/>
      <c r="D284" s="36"/>
      <c r="E284" s="36"/>
      <c r="F284" s="36"/>
      <c r="G284" s="36"/>
      <c r="H284" s="36"/>
      <c r="I284" s="36"/>
      <c r="J284" s="36"/>
      <c r="K284" s="36"/>
      <c r="L284" s="36"/>
      <c r="M284" s="36"/>
      <c r="N284" s="36"/>
      <c r="O284" s="36"/>
      <c r="P284" s="36"/>
      <c r="Q284" s="36"/>
      <c r="R284" s="36"/>
      <c r="S284" s="36"/>
      <c r="T284" s="36"/>
      <c r="U284" s="36"/>
      <c r="V284" s="36"/>
      <c r="W284" s="36"/>
      <c r="X284" s="36">
        <v>20</v>
      </c>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6"/>
      <c r="BQ284" s="6"/>
      <c r="BR284" s="6"/>
      <c r="BS284" s="6"/>
      <c r="BT284" s="6"/>
      <c r="BU284" s="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c r="DJ284" s="36"/>
      <c r="DK284" s="36"/>
      <c r="DL284" s="36"/>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c r="EL284" s="36"/>
      <c r="EM284" s="36"/>
      <c r="EN284" s="36"/>
      <c r="EO284" s="36"/>
      <c r="EP284" s="36"/>
      <c r="EQ284" s="36"/>
      <c r="ER284" s="36"/>
      <c r="ES284" s="36">
        <v>61</v>
      </c>
      <c r="ET284" s="36"/>
      <c r="EU284" s="36"/>
      <c r="EV284" s="36"/>
      <c r="EW284" s="36"/>
      <c r="EX284" s="36"/>
      <c r="EY284" s="36"/>
      <c r="EZ284" s="36"/>
      <c r="FA284" s="36"/>
      <c r="FB284" s="36"/>
      <c r="FC284" s="36"/>
      <c r="FD284" s="36"/>
      <c r="FE284" s="36"/>
      <c r="FF284" s="36"/>
      <c r="FG284" s="36"/>
      <c r="FH284" s="36"/>
      <c r="FI284" s="36"/>
      <c r="FJ284" s="36"/>
      <c r="FK284" s="36"/>
      <c r="FL284" s="36"/>
      <c r="FM284" s="36"/>
      <c r="FN284" s="36"/>
      <c r="FO284" s="36"/>
      <c r="FP284" s="36"/>
      <c r="FQ284" s="36"/>
      <c r="FR284" s="36"/>
      <c r="FS284" s="36"/>
      <c r="FT284" s="36"/>
      <c r="FU284" s="36"/>
      <c r="FV284" s="36"/>
      <c r="FW284" s="36"/>
      <c r="FX284" s="36"/>
      <c r="FY284" s="36"/>
      <c r="FZ284" s="36"/>
      <c r="GA284" s="6"/>
      <c r="GB284" s="6"/>
      <c r="GC284" s="36"/>
      <c r="GD284" s="36"/>
      <c r="GE284" s="36"/>
      <c r="GF284" s="36"/>
      <c r="GG284" s="36"/>
      <c r="GH284" s="36"/>
      <c r="GI284" s="36"/>
      <c r="GJ284" s="36"/>
      <c r="GK284" s="36"/>
      <c r="GL284" s="36"/>
      <c r="GM284" s="36"/>
      <c r="GN284" s="36"/>
      <c r="GO284" s="36"/>
      <c r="GP284" s="36"/>
      <c r="GQ284" s="36"/>
      <c r="GR284" s="36"/>
      <c r="GS284" s="36"/>
      <c r="GT284" s="36"/>
      <c r="GU284" s="36"/>
      <c r="GV284" s="6"/>
      <c r="GW284" s="36"/>
      <c r="GX284" s="36"/>
      <c r="GY284" s="36"/>
      <c r="GZ284" s="36"/>
      <c r="HA284" s="36"/>
      <c r="HB284" s="36"/>
      <c r="HC284" s="36"/>
      <c r="HD284" s="36"/>
      <c r="HE284" s="36"/>
      <c r="HF284" s="36"/>
      <c r="HG284" s="36"/>
      <c r="HH284" s="36"/>
      <c r="HI284" s="36"/>
      <c r="HJ284" s="36"/>
      <c r="HK284" s="36"/>
      <c r="HL284" s="36"/>
      <c r="HM284" s="36"/>
      <c r="HN284" s="36"/>
      <c r="HO284" s="36"/>
      <c r="HP284" s="36"/>
      <c r="HQ284" s="36"/>
      <c r="HR284" s="36"/>
      <c r="HS284" s="36"/>
      <c r="HT284" s="36"/>
      <c r="HU284" s="36"/>
      <c r="HV284" s="36"/>
      <c r="HW284" s="36"/>
      <c r="HX284" s="36"/>
      <c r="HY284" s="36"/>
      <c r="HZ284" s="36"/>
      <c r="IA284" s="36"/>
      <c r="IB284" s="36"/>
      <c r="IC284" s="36"/>
      <c r="ID284" s="36"/>
      <c r="IE284" s="36"/>
      <c r="IF284" s="36"/>
      <c r="IG284" s="36"/>
      <c r="IH284" s="36"/>
      <c r="II284" s="36"/>
      <c r="IJ284" s="36"/>
      <c r="IK284" s="36"/>
      <c r="IL284" s="36"/>
      <c r="IM284" s="36"/>
      <c r="IN284" s="36"/>
      <c r="IO284" s="36"/>
      <c r="IP284" s="36"/>
      <c r="IR284" s="2" t="s">
        <v>543</v>
      </c>
    </row>
    <row r="285" spans="1:252" ht="15.75" customHeight="1" x14ac:dyDescent="0.25">
      <c r="A285" s="36" t="s">
        <v>1072</v>
      </c>
      <c r="B285" s="36" t="s">
        <v>1075</v>
      </c>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6"/>
      <c r="BQ285" s="6"/>
      <c r="BR285" s="6"/>
      <c r="BS285" s="6"/>
      <c r="BT285" s="6"/>
      <c r="BU285" s="6"/>
      <c r="BV285" s="36"/>
      <c r="BW285" s="36"/>
      <c r="BX285" s="36"/>
      <c r="BY285" s="36"/>
      <c r="BZ285" s="36"/>
      <c r="CA285" s="36"/>
      <c r="CB285" s="36"/>
      <c r="CC285" s="36"/>
      <c r="CD285" s="36">
        <v>40</v>
      </c>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c r="DJ285" s="36"/>
      <c r="DK285" s="36"/>
      <c r="DL285" s="36"/>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c r="FM285" s="36"/>
      <c r="FN285" s="36"/>
      <c r="FO285" s="36"/>
      <c r="FP285" s="36"/>
      <c r="FQ285" s="36"/>
      <c r="FR285" s="36"/>
      <c r="FS285" s="36"/>
      <c r="FT285" s="36"/>
      <c r="FU285" s="36"/>
      <c r="FV285" s="36"/>
      <c r="FW285" s="36"/>
      <c r="FX285" s="36"/>
      <c r="FY285" s="36"/>
      <c r="FZ285" s="36"/>
      <c r="GA285" s="6"/>
      <c r="GB285" s="6"/>
      <c r="GC285" s="36"/>
      <c r="GD285" s="36"/>
      <c r="GE285" s="36"/>
      <c r="GF285" s="36"/>
      <c r="GG285" s="36"/>
      <c r="GH285" s="36"/>
      <c r="GI285" s="36"/>
      <c r="GJ285" s="36"/>
      <c r="GK285" s="36"/>
      <c r="GL285" s="36"/>
      <c r="GM285" s="36"/>
      <c r="GN285" s="36"/>
      <c r="GO285" s="36"/>
      <c r="GP285" s="36"/>
      <c r="GQ285" s="36"/>
      <c r="GR285" s="36"/>
      <c r="GS285" s="36"/>
      <c r="GT285" s="36"/>
      <c r="GU285" s="36"/>
      <c r="GV285" s="6"/>
      <c r="GW285" s="36"/>
      <c r="GX285" s="36"/>
      <c r="GY285" s="36"/>
      <c r="GZ285" s="36"/>
      <c r="HA285" s="36"/>
      <c r="HB285" s="36"/>
      <c r="HC285" s="36"/>
      <c r="HD285" s="36"/>
      <c r="HE285" s="36"/>
      <c r="HF285" s="36"/>
      <c r="HG285" s="36"/>
      <c r="HH285" s="36"/>
      <c r="HI285" s="36"/>
      <c r="HJ285" s="36"/>
      <c r="HK285" s="36"/>
      <c r="HL285" s="36"/>
      <c r="HM285" s="36"/>
      <c r="HN285" s="36"/>
      <c r="HO285" s="36"/>
      <c r="HP285" s="36"/>
      <c r="HQ285" s="36"/>
      <c r="HR285" s="36"/>
      <c r="HS285" s="36"/>
      <c r="HT285" s="36"/>
      <c r="HU285" s="36"/>
      <c r="HV285" s="36"/>
      <c r="HW285" s="36"/>
      <c r="HX285" s="36"/>
      <c r="HY285" s="36"/>
      <c r="HZ285" s="36"/>
      <c r="IA285" s="36"/>
      <c r="IB285" s="36"/>
      <c r="IC285" s="36"/>
      <c r="ID285" s="36"/>
      <c r="IE285" s="36"/>
      <c r="IF285" s="36"/>
      <c r="IG285" s="36"/>
      <c r="IH285" s="36"/>
      <c r="II285" s="36"/>
      <c r="IJ285" s="36"/>
      <c r="IK285" s="36"/>
      <c r="IL285" s="36"/>
      <c r="IM285" s="36"/>
      <c r="IN285" s="36"/>
      <c r="IO285" s="36"/>
      <c r="IP285" s="36"/>
      <c r="IR285" s="2" t="s">
        <v>543</v>
      </c>
    </row>
    <row r="286" spans="1:252" ht="15.75" customHeight="1" x14ac:dyDescent="0.25">
      <c r="A286" s="36" t="s">
        <v>1078</v>
      </c>
      <c r="B286" s="36" t="s">
        <v>1079</v>
      </c>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6"/>
      <c r="BQ286" s="6"/>
      <c r="BR286" s="6"/>
      <c r="BS286" s="6"/>
      <c r="BT286" s="6"/>
      <c r="BU286" s="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c r="DJ286" s="36"/>
      <c r="DK286" s="36"/>
      <c r="DL286" s="36"/>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c r="FM286" s="36"/>
      <c r="FN286" s="36"/>
      <c r="FO286" s="36"/>
      <c r="FP286" s="36"/>
      <c r="FQ286" s="36"/>
      <c r="FR286" s="36">
        <v>200</v>
      </c>
      <c r="FS286" s="36"/>
      <c r="FT286" s="36"/>
      <c r="FU286" s="36"/>
      <c r="FV286" s="36"/>
      <c r="FW286" s="36"/>
      <c r="FX286" s="36"/>
      <c r="FY286" s="36"/>
      <c r="FZ286" s="36"/>
      <c r="GA286" s="6"/>
      <c r="GB286" s="6"/>
      <c r="GC286" s="36"/>
      <c r="GD286" s="36"/>
      <c r="GE286" s="36"/>
      <c r="GF286" s="36"/>
      <c r="GG286" s="36"/>
      <c r="GH286" s="36"/>
      <c r="GI286" s="36"/>
      <c r="GJ286" s="36"/>
      <c r="GK286" s="36"/>
      <c r="GL286" s="36"/>
      <c r="GM286" s="36"/>
      <c r="GN286" s="36"/>
      <c r="GO286" s="36"/>
      <c r="GP286" s="36"/>
      <c r="GQ286" s="36"/>
      <c r="GR286" s="36"/>
      <c r="GS286" s="36"/>
      <c r="GT286" s="36"/>
      <c r="GU286" s="36"/>
      <c r="GV286" s="6"/>
      <c r="GW286" s="36"/>
      <c r="GX286" s="36"/>
      <c r="GY286" s="36"/>
      <c r="GZ286" s="36"/>
      <c r="HA286" s="36"/>
      <c r="HB286" s="36"/>
      <c r="HC286" s="36"/>
      <c r="HD286" s="36"/>
      <c r="HE286" s="36"/>
      <c r="HF286" s="36"/>
      <c r="HG286" s="36"/>
      <c r="HH286" s="36"/>
      <c r="HI286" s="36"/>
      <c r="HJ286" s="36"/>
      <c r="HK286" s="36"/>
      <c r="HL286" s="36"/>
      <c r="HM286" s="36"/>
      <c r="HN286" s="36"/>
      <c r="HO286" s="36"/>
      <c r="HP286" s="36"/>
      <c r="HQ286" s="36"/>
      <c r="HR286" s="36"/>
      <c r="HS286" s="36"/>
      <c r="HT286" s="36"/>
      <c r="HU286" s="36"/>
      <c r="HV286" s="36"/>
      <c r="HW286" s="36"/>
      <c r="HX286" s="36"/>
      <c r="HY286" s="36"/>
      <c r="HZ286" s="36"/>
      <c r="IA286" s="36"/>
      <c r="IB286" s="36"/>
      <c r="IC286" s="36"/>
      <c r="ID286" s="36"/>
      <c r="IE286" s="36"/>
      <c r="IF286" s="36"/>
      <c r="IG286" s="36"/>
      <c r="IH286" s="36"/>
      <c r="II286" s="36"/>
      <c r="IJ286" s="36"/>
      <c r="IK286" s="36"/>
      <c r="IL286" s="36"/>
      <c r="IM286" s="36"/>
      <c r="IN286" s="36"/>
      <c r="IO286" s="36"/>
      <c r="IP286" s="36"/>
      <c r="IR286" s="2" t="s">
        <v>543</v>
      </c>
    </row>
    <row r="287" spans="1:252" ht="15.75" customHeight="1" x14ac:dyDescent="0.25">
      <c r="A287" s="36" t="s">
        <v>1082</v>
      </c>
      <c r="B287" s="36" t="s">
        <v>1083</v>
      </c>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6"/>
      <c r="BQ287" s="6"/>
      <c r="BR287" s="6"/>
      <c r="BS287" s="6"/>
      <c r="BT287" s="6"/>
      <c r="BU287" s="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c r="DJ287" s="36"/>
      <c r="DK287" s="36"/>
      <c r="DL287" s="36"/>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6"/>
      <c r="GB287" s="6"/>
      <c r="GC287" s="36"/>
      <c r="GD287" s="36"/>
      <c r="GE287" s="36"/>
      <c r="GF287" s="36"/>
      <c r="GG287" s="36"/>
      <c r="GH287" s="36"/>
      <c r="GI287" s="36"/>
      <c r="GJ287" s="36"/>
      <c r="GK287" s="36"/>
      <c r="GL287" s="36"/>
      <c r="GM287" s="36"/>
      <c r="GN287" s="36"/>
      <c r="GO287" s="36"/>
      <c r="GP287" s="36"/>
      <c r="GQ287" s="36"/>
      <c r="GR287" s="36"/>
      <c r="GS287" s="36"/>
      <c r="GT287" s="36"/>
      <c r="GU287" s="36"/>
      <c r="GV287" s="6"/>
      <c r="GW287" s="36"/>
      <c r="GX287" s="36"/>
      <c r="GY287" s="36"/>
      <c r="GZ287" s="36"/>
      <c r="HA287" s="36"/>
      <c r="HB287" s="36"/>
      <c r="HC287" s="36"/>
      <c r="HD287" s="36"/>
      <c r="HE287" s="36"/>
      <c r="HF287" s="36"/>
      <c r="HG287" s="36"/>
      <c r="HH287" s="36"/>
      <c r="HI287" s="36"/>
      <c r="HJ287" s="36"/>
      <c r="HK287" s="36"/>
      <c r="HL287" s="36"/>
      <c r="HM287" s="36"/>
      <c r="HN287" s="36"/>
      <c r="HO287" s="36"/>
      <c r="HP287" s="36">
        <v>400</v>
      </c>
      <c r="HQ287" s="36"/>
      <c r="HR287" s="36"/>
      <c r="HS287" s="36"/>
      <c r="HT287" s="36"/>
      <c r="HU287" s="36"/>
      <c r="HV287" s="36"/>
      <c r="HW287" s="36"/>
      <c r="HX287" s="36"/>
      <c r="HY287" s="36"/>
      <c r="HZ287" s="36"/>
      <c r="IA287" s="36"/>
      <c r="IB287" s="36"/>
      <c r="IC287" s="36"/>
      <c r="ID287" s="36"/>
      <c r="IE287" s="36"/>
      <c r="IF287" s="36"/>
      <c r="IG287" s="36"/>
      <c r="IH287" s="36"/>
      <c r="II287" s="36"/>
      <c r="IJ287" s="36"/>
      <c r="IK287" s="36"/>
      <c r="IL287" s="36"/>
      <c r="IM287" s="36"/>
      <c r="IN287" s="36"/>
      <c r="IO287" s="36"/>
      <c r="IP287" s="36"/>
      <c r="IR287" s="2" t="s">
        <v>543</v>
      </c>
    </row>
    <row r="288" spans="1:252" ht="15.75" customHeight="1" x14ac:dyDescent="0.25">
      <c r="A288" s="36" t="s">
        <v>1084</v>
      </c>
      <c r="B288" s="36" t="s">
        <v>1085</v>
      </c>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6"/>
      <c r="BQ288" s="6"/>
      <c r="BR288" s="6"/>
      <c r="BS288" s="6"/>
      <c r="BT288" s="6"/>
      <c r="BU288" s="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c r="DJ288" s="36"/>
      <c r="DK288" s="36"/>
      <c r="DL288" s="36"/>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6"/>
      <c r="GB288" s="6"/>
      <c r="GC288" s="36"/>
      <c r="GD288" s="36"/>
      <c r="GE288" s="36"/>
      <c r="GF288" s="36"/>
      <c r="GG288" s="36"/>
      <c r="GH288" s="36"/>
      <c r="GI288" s="36"/>
      <c r="GJ288" s="36"/>
      <c r="GK288" s="36"/>
      <c r="GL288" s="36"/>
      <c r="GM288" s="36"/>
      <c r="GN288" s="36"/>
      <c r="GO288" s="36"/>
      <c r="GP288" s="36"/>
      <c r="GQ288" s="36"/>
      <c r="GR288" s="36"/>
      <c r="GS288" s="36"/>
      <c r="GT288" s="36"/>
      <c r="GU288" s="36"/>
      <c r="GV288" s="6"/>
      <c r="GW288" s="36"/>
      <c r="GX288" s="36"/>
      <c r="GY288" s="36"/>
      <c r="GZ288" s="36"/>
      <c r="HA288" s="36"/>
      <c r="HB288" s="36"/>
      <c r="HC288" s="36"/>
      <c r="HD288" s="36"/>
      <c r="HE288" s="36"/>
      <c r="HF288" s="36"/>
      <c r="HG288" s="36"/>
      <c r="HH288" s="36"/>
      <c r="HI288" s="36"/>
      <c r="HJ288" s="36"/>
      <c r="HK288" s="36"/>
      <c r="HL288" s="36"/>
      <c r="HM288" s="36"/>
      <c r="HN288" s="36"/>
      <c r="HO288" s="36"/>
      <c r="HP288" s="36"/>
      <c r="HQ288" s="36">
        <v>130</v>
      </c>
      <c r="HR288" s="36">
        <v>170</v>
      </c>
      <c r="HS288" s="36">
        <v>50</v>
      </c>
      <c r="HT288" s="36"/>
      <c r="HU288" s="36"/>
      <c r="HV288" s="36"/>
      <c r="HW288" s="36"/>
      <c r="HX288" s="36"/>
      <c r="HY288" s="36"/>
      <c r="HZ288" s="36"/>
      <c r="IA288" s="36"/>
      <c r="IB288" s="36"/>
      <c r="IC288" s="36"/>
      <c r="ID288" s="36"/>
      <c r="IE288" s="36"/>
      <c r="IF288" s="36"/>
      <c r="IG288" s="36"/>
      <c r="IH288" s="36"/>
      <c r="II288" s="36"/>
      <c r="IJ288" s="36"/>
      <c r="IK288" s="36"/>
      <c r="IL288" s="36"/>
      <c r="IM288" s="36"/>
      <c r="IN288" s="36"/>
      <c r="IO288" s="36"/>
      <c r="IP288" s="36"/>
      <c r="IR288" s="2" t="s">
        <v>543</v>
      </c>
    </row>
    <row r="289" spans="1:252" ht="15.75" customHeight="1" x14ac:dyDescent="0.25">
      <c r="A289" s="36" t="s">
        <v>1086</v>
      </c>
      <c r="B289" s="36" t="s">
        <v>1087</v>
      </c>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6"/>
      <c r="BQ289" s="6"/>
      <c r="BR289" s="6"/>
      <c r="BS289" s="6"/>
      <c r="BT289" s="6"/>
      <c r="BU289" s="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6"/>
      <c r="GB289" s="6"/>
      <c r="GC289" s="36"/>
      <c r="GD289" s="36"/>
      <c r="GE289" s="36"/>
      <c r="GF289" s="36"/>
      <c r="GG289" s="36"/>
      <c r="GH289" s="36"/>
      <c r="GI289" s="36"/>
      <c r="GJ289" s="36"/>
      <c r="GK289" s="36"/>
      <c r="GL289" s="36"/>
      <c r="GM289" s="36"/>
      <c r="GN289" s="36"/>
      <c r="GO289" s="36"/>
      <c r="GP289" s="36"/>
      <c r="GQ289" s="36"/>
      <c r="GR289" s="36"/>
      <c r="GS289" s="36"/>
      <c r="GT289" s="36"/>
      <c r="GU289" s="36"/>
      <c r="GV289" s="6"/>
      <c r="GW289" s="36"/>
      <c r="GX289" s="36"/>
      <c r="GY289" s="36"/>
      <c r="GZ289" s="36"/>
      <c r="HA289" s="36"/>
      <c r="HB289" s="36"/>
      <c r="HC289" s="36"/>
      <c r="HD289" s="36"/>
      <c r="HE289" s="36"/>
      <c r="HF289" s="36"/>
      <c r="HG289" s="36"/>
      <c r="HH289" s="36"/>
      <c r="HI289" s="36"/>
      <c r="HJ289" s="36"/>
      <c r="HK289" s="36"/>
      <c r="HL289" s="36"/>
      <c r="HM289" s="36"/>
      <c r="HN289" s="36"/>
      <c r="HO289" s="36"/>
      <c r="HP289" s="36"/>
      <c r="HQ289" s="36"/>
      <c r="HR289" s="36"/>
      <c r="HS289" s="36"/>
      <c r="HT289" s="36"/>
      <c r="HU289" s="36"/>
      <c r="HV289" s="36"/>
      <c r="HW289" s="36"/>
      <c r="HX289" s="36"/>
      <c r="HY289" s="36"/>
      <c r="HZ289" s="36"/>
      <c r="IA289" s="36"/>
      <c r="IB289" s="36"/>
      <c r="IC289" s="36"/>
      <c r="ID289" s="36"/>
      <c r="IE289" s="36"/>
      <c r="IF289" s="36"/>
      <c r="IG289" s="36"/>
      <c r="IH289" s="36"/>
      <c r="II289" s="36"/>
      <c r="IJ289" s="36"/>
      <c r="IK289" s="36"/>
      <c r="IL289" s="36"/>
      <c r="IM289" s="6">
        <v>7</v>
      </c>
      <c r="IN289" s="36"/>
      <c r="IO289" s="36"/>
      <c r="IP289" s="36"/>
      <c r="IR289" s="2" t="s">
        <v>543</v>
      </c>
    </row>
    <row r="290" spans="1:252" ht="15.75" customHeight="1" x14ac:dyDescent="0.25">
      <c r="A290" s="36" t="s">
        <v>1086</v>
      </c>
      <c r="B290" s="36" t="s">
        <v>1089</v>
      </c>
      <c r="C290" s="36"/>
      <c r="D290" s="36"/>
      <c r="E290" s="36">
        <v>5</v>
      </c>
      <c r="F290" s="36"/>
      <c r="G290" s="36"/>
      <c r="H290" s="36"/>
      <c r="I290" s="36"/>
      <c r="J290" s="36"/>
      <c r="K290" s="36"/>
      <c r="L290" s="36"/>
      <c r="M290" s="36">
        <v>10</v>
      </c>
      <c r="N290" s="36"/>
      <c r="O290" s="36"/>
      <c r="P290" s="36"/>
      <c r="Q290" s="36"/>
      <c r="R290" s="36"/>
      <c r="S290" s="36"/>
      <c r="T290" s="36"/>
      <c r="U290" s="36"/>
      <c r="V290" s="36"/>
      <c r="W290" s="36"/>
      <c r="X290" s="36"/>
      <c r="Y290" s="36"/>
      <c r="Z290" s="36"/>
      <c r="AA290" s="36"/>
      <c r="AB290" s="36"/>
      <c r="AC290" s="36"/>
      <c r="AD290" s="36">
        <v>5</v>
      </c>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6"/>
      <c r="BQ290" s="6"/>
      <c r="BR290" s="6"/>
      <c r="BS290" s="6"/>
      <c r="BT290" s="6"/>
      <c r="BU290" s="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6"/>
      <c r="GB290" s="6"/>
      <c r="GC290" s="36"/>
      <c r="GD290" s="36"/>
      <c r="GE290" s="36"/>
      <c r="GF290" s="36"/>
      <c r="GG290" s="36"/>
      <c r="GH290" s="36"/>
      <c r="GI290" s="36"/>
      <c r="GJ290" s="36"/>
      <c r="GK290" s="36">
        <f>75+24</f>
        <v>99</v>
      </c>
      <c r="GL290" s="36">
        <f>525+24</f>
        <v>549</v>
      </c>
      <c r="GM290" s="36"/>
      <c r="GN290" s="36"/>
      <c r="GO290" s="36"/>
      <c r="GP290" s="36"/>
      <c r="GQ290" s="36"/>
      <c r="GR290" s="36"/>
      <c r="GS290" s="36"/>
      <c r="GT290" s="36"/>
      <c r="GU290" s="36"/>
      <c r="GV290" s="6"/>
      <c r="GW290" s="36"/>
      <c r="GX290" s="36"/>
      <c r="GY290" s="36"/>
      <c r="GZ290" s="36"/>
      <c r="HA290" s="36"/>
      <c r="HB290" s="36"/>
      <c r="HC290" s="36"/>
      <c r="HD290" s="36"/>
      <c r="HE290" s="36"/>
      <c r="HF290" s="36"/>
      <c r="HG290" s="36"/>
      <c r="HH290" s="36"/>
      <c r="HI290" s="36"/>
      <c r="HJ290" s="36"/>
      <c r="HK290" s="36"/>
      <c r="HL290" s="36"/>
      <c r="HM290" s="36"/>
      <c r="HN290" s="36">
        <v>198</v>
      </c>
      <c r="HO290" s="36"/>
      <c r="HP290" s="36"/>
      <c r="HQ290" s="36"/>
      <c r="HR290" s="36"/>
      <c r="HS290" s="36"/>
      <c r="HT290" s="36"/>
      <c r="HU290" s="36"/>
      <c r="HV290" s="36"/>
      <c r="HW290" s="36"/>
      <c r="HX290" s="36"/>
      <c r="HY290" s="36"/>
      <c r="HZ290" s="36"/>
      <c r="IA290" s="36"/>
      <c r="IB290" s="36"/>
      <c r="IC290" s="36"/>
      <c r="ID290" s="36"/>
      <c r="IE290" s="36"/>
      <c r="IF290" s="36"/>
      <c r="IG290" s="36"/>
      <c r="IH290" s="36"/>
      <c r="II290" s="36"/>
      <c r="IJ290" s="36"/>
      <c r="IK290" s="36"/>
      <c r="IL290" s="36"/>
      <c r="IM290" s="36"/>
      <c r="IN290" s="36"/>
      <c r="IO290" s="36"/>
      <c r="IP290" s="36"/>
      <c r="IR290" s="2" t="s">
        <v>543</v>
      </c>
    </row>
    <row r="291" spans="1:252" ht="15.75" customHeight="1" x14ac:dyDescent="0.25">
      <c r="A291" s="36" t="s">
        <v>518</v>
      </c>
      <c r="B291" s="36" t="s">
        <v>1090</v>
      </c>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6"/>
      <c r="BQ291" s="6"/>
      <c r="BR291" s="6"/>
      <c r="BS291" s="6"/>
      <c r="BT291" s="6"/>
      <c r="BU291" s="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6"/>
      <c r="GB291" s="6"/>
      <c r="GC291" s="36"/>
      <c r="GD291" s="36"/>
      <c r="GE291" s="36"/>
      <c r="GF291" s="36"/>
      <c r="GG291" s="36"/>
      <c r="GH291" s="36"/>
      <c r="GI291" s="36"/>
      <c r="GJ291" s="36"/>
      <c r="GK291" s="36"/>
      <c r="GL291" s="36"/>
      <c r="GM291" s="36"/>
      <c r="GN291" s="36"/>
      <c r="GO291" s="36"/>
      <c r="GP291" s="36"/>
      <c r="GQ291" s="36"/>
      <c r="GR291" s="36"/>
      <c r="GS291" s="36"/>
      <c r="GT291" s="36"/>
      <c r="GU291" s="36"/>
      <c r="GV291" s="6"/>
      <c r="GW291" s="36"/>
      <c r="GX291" s="36"/>
      <c r="GY291" s="36"/>
      <c r="GZ291" s="36"/>
      <c r="HA291" s="36"/>
      <c r="HB291" s="36"/>
      <c r="HC291" s="36"/>
      <c r="HD291" s="36"/>
      <c r="HE291" s="36"/>
      <c r="HF291" s="36"/>
      <c r="HG291" s="36"/>
      <c r="HH291" s="36"/>
      <c r="HI291" s="36"/>
      <c r="HJ291" s="36"/>
      <c r="HK291" s="36"/>
      <c r="HL291" s="36"/>
      <c r="HM291" s="36"/>
      <c r="HN291" s="36"/>
      <c r="HO291" s="36"/>
      <c r="HP291" s="36"/>
      <c r="HQ291" s="36"/>
      <c r="HR291" s="36"/>
      <c r="HS291" s="36"/>
      <c r="HT291" s="36"/>
      <c r="HU291" s="36"/>
      <c r="HV291" s="36"/>
      <c r="HW291" s="36"/>
      <c r="HX291" s="36"/>
      <c r="HY291" s="36"/>
      <c r="HZ291" s="36"/>
      <c r="IA291" s="36"/>
      <c r="IB291" s="36"/>
      <c r="IC291" s="36"/>
      <c r="ID291" s="36"/>
      <c r="IE291" s="36"/>
      <c r="IF291" s="36"/>
      <c r="IG291" s="36">
        <v>50</v>
      </c>
      <c r="IH291" s="36">
        <v>15</v>
      </c>
      <c r="II291" s="36">
        <v>1</v>
      </c>
      <c r="IJ291" s="36">
        <v>1</v>
      </c>
      <c r="IK291" s="36"/>
      <c r="IL291" s="36"/>
      <c r="IM291" s="36"/>
      <c r="IN291" s="36"/>
      <c r="IO291" s="36"/>
      <c r="IP291" s="36"/>
      <c r="IR291" s="2" t="s">
        <v>543</v>
      </c>
    </row>
    <row r="292" spans="1:252" ht="15.75" customHeight="1" x14ac:dyDescent="0.25">
      <c r="A292" s="36" t="s">
        <v>518</v>
      </c>
      <c r="B292" s="36" t="s">
        <v>1092</v>
      </c>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6"/>
      <c r="BQ292" s="6"/>
      <c r="BR292" s="6"/>
      <c r="BS292" s="6"/>
      <c r="BT292" s="6"/>
      <c r="BU292" s="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6"/>
      <c r="GB292" s="6"/>
      <c r="GC292" s="36"/>
      <c r="GD292" s="36"/>
      <c r="GE292" s="36"/>
      <c r="GF292" s="36"/>
      <c r="GG292" s="36"/>
      <c r="GH292" s="36"/>
      <c r="GI292" s="36"/>
      <c r="GJ292" s="36"/>
      <c r="GK292" s="36"/>
      <c r="GL292" s="36"/>
      <c r="GM292" s="36"/>
      <c r="GN292" s="36"/>
      <c r="GO292" s="36"/>
      <c r="GP292" s="36"/>
      <c r="GQ292" s="36"/>
      <c r="GR292" s="36"/>
      <c r="GS292" s="36"/>
      <c r="GT292" s="36"/>
      <c r="GU292" s="36"/>
      <c r="GV292" s="6"/>
      <c r="GW292" s="36"/>
      <c r="GX292" s="36"/>
      <c r="GY292" s="36"/>
      <c r="GZ292" s="36"/>
      <c r="HA292" s="36"/>
      <c r="HB292" s="36"/>
      <c r="HC292" s="36"/>
      <c r="HD292" s="36"/>
      <c r="HE292" s="36"/>
      <c r="HF292" s="36"/>
      <c r="HG292" s="36"/>
      <c r="HH292" s="36"/>
      <c r="HI292" s="36"/>
      <c r="HJ292" s="36"/>
      <c r="HK292" s="36"/>
      <c r="HL292" s="36"/>
      <c r="HM292" s="36"/>
      <c r="HN292" s="36"/>
      <c r="HO292" s="36"/>
      <c r="HP292" s="36"/>
      <c r="HQ292" s="36"/>
      <c r="HR292" s="36"/>
      <c r="HS292" s="36"/>
      <c r="HT292" s="36"/>
      <c r="HU292" s="36"/>
      <c r="HV292" s="36"/>
      <c r="HW292" s="36"/>
      <c r="HX292" s="36"/>
      <c r="HY292" s="36"/>
      <c r="HZ292" s="36"/>
      <c r="IA292" s="36"/>
      <c r="IB292" s="36"/>
      <c r="IC292" s="36"/>
      <c r="ID292" s="36"/>
      <c r="IE292" s="36"/>
      <c r="IF292" s="36"/>
      <c r="IG292" s="36">
        <v>40</v>
      </c>
      <c r="IH292" s="36">
        <v>5</v>
      </c>
      <c r="II292" s="36">
        <v>1</v>
      </c>
      <c r="IJ292" s="36">
        <v>1</v>
      </c>
      <c r="IK292" s="36"/>
      <c r="IL292" s="36"/>
      <c r="IM292" s="36"/>
      <c r="IN292" s="36"/>
      <c r="IO292" s="36"/>
      <c r="IP292" s="36"/>
      <c r="IR292" s="2" t="s">
        <v>543</v>
      </c>
    </row>
    <row r="293" spans="1:252" ht="15.75" customHeight="1" x14ac:dyDescent="0.25">
      <c r="A293" s="36" t="s">
        <v>518</v>
      </c>
      <c r="B293" s="36" t="s">
        <v>1093</v>
      </c>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6"/>
      <c r="BQ293" s="6"/>
      <c r="BR293" s="6"/>
      <c r="BS293" s="6"/>
      <c r="BT293" s="6"/>
      <c r="BU293" s="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6"/>
      <c r="GB293" s="6"/>
      <c r="GC293" s="36"/>
      <c r="GD293" s="36"/>
      <c r="GE293" s="36"/>
      <c r="GF293" s="36"/>
      <c r="GG293" s="36"/>
      <c r="GH293" s="36"/>
      <c r="GI293" s="36"/>
      <c r="GJ293" s="36"/>
      <c r="GK293" s="36"/>
      <c r="GL293" s="36"/>
      <c r="GM293" s="36"/>
      <c r="GN293" s="36"/>
      <c r="GO293" s="36"/>
      <c r="GP293" s="36"/>
      <c r="GQ293" s="36"/>
      <c r="GR293" s="36"/>
      <c r="GS293" s="36"/>
      <c r="GT293" s="36"/>
      <c r="GU293" s="36"/>
      <c r="GV293" s="6"/>
      <c r="GW293" s="36"/>
      <c r="GX293" s="36"/>
      <c r="GY293" s="36"/>
      <c r="GZ293" s="36"/>
      <c r="HA293" s="36"/>
      <c r="HB293" s="36"/>
      <c r="HC293" s="36"/>
      <c r="HD293" s="36"/>
      <c r="HE293" s="36"/>
      <c r="HF293" s="36"/>
      <c r="HG293" s="36"/>
      <c r="HH293" s="36"/>
      <c r="HI293" s="36"/>
      <c r="HJ293" s="36"/>
      <c r="HK293" s="36"/>
      <c r="HL293" s="36"/>
      <c r="HM293" s="36"/>
      <c r="HN293" s="36"/>
      <c r="HO293" s="36"/>
      <c r="HP293" s="36"/>
      <c r="HQ293" s="36"/>
      <c r="HR293" s="36"/>
      <c r="HS293" s="36"/>
      <c r="HT293" s="36"/>
      <c r="HU293" s="36"/>
      <c r="HV293" s="36"/>
      <c r="HW293" s="36"/>
      <c r="HX293" s="36"/>
      <c r="HY293" s="36"/>
      <c r="HZ293" s="36"/>
      <c r="IA293" s="36"/>
      <c r="IB293" s="36"/>
      <c r="IC293" s="36"/>
      <c r="ID293" s="36"/>
      <c r="IE293" s="36"/>
      <c r="IF293" s="36"/>
      <c r="IG293" s="36">
        <v>60</v>
      </c>
      <c r="IH293" s="36">
        <v>5</v>
      </c>
      <c r="II293" s="36">
        <v>2</v>
      </c>
      <c r="IJ293" s="36">
        <v>2</v>
      </c>
      <c r="IK293" s="36"/>
      <c r="IL293" s="36"/>
      <c r="IM293" s="36"/>
      <c r="IN293" s="36"/>
      <c r="IO293" s="36"/>
      <c r="IP293" s="36"/>
      <c r="IR293" s="2" t="s">
        <v>543</v>
      </c>
    </row>
    <row r="294" spans="1:252" ht="15.75" customHeight="1" x14ac:dyDescent="0.25">
      <c r="A294" s="36" t="s">
        <v>518</v>
      </c>
      <c r="B294" s="36" t="s">
        <v>1094</v>
      </c>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6"/>
      <c r="BQ294" s="6"/>
      <c r="BR294" s="6"/>
      <c r="BS294" s="6"/>
      <c r="BT294" s="6"/>
      <c r="BU294" s="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6"/>
      <c r="GB294" s="6"/>
      <c r="GC294" s="36"/>
      <c r="GD294" s="36"/>
      <c r="GE294" s="36"/>
      <c r="GF294" s="36"/>
      <c r="GG294" s="36"/>
      <c r="GH294" s="36"/>
      <c r="GI294" s="36"/>
      <c r="GJ294" s="36"/>
      <c r="GK294" s="36"/>
      <c r="GL294" s="36"/>
      <c r="GM294" s="36"/>
      <c r="GN294" s="36"/>
      <c r="GO294" s="36"/>
      <c r="GP294" s="36"/>
      <c r="GQ294" s="36"/>
      <c r="GR294" s="36"/>
      <c r="GS294" s="36"/>
      <c r="GT294" s="36"/>
      <c r="GU294" s="36"/>
      <c r="GV294" s="6"/>
      <c r="GW294" s="36"/>
      <c r="GX294" s="36"/>
      <c r="GY294" s="36"/>
      <c r="GZ294" s="36"/>
      <c r="HA294" s="36"/>
      <c r="HB294" s="36"/>
      <c r="HC294" s="36"/>
      <c r="HD294" s="36"/>
      <c r="HE294" s="36"/>
      <c r="HF294" s="36"/>
      <c r="HG294" s="36"/>
      <c r="HH294" s="36"/>
      <c r="HI294" s="36"/>
      <c r="HJ294" s="36"/>
      <c r="HK294" s="36"/>
      <c r="HL294" s="36"/>
      <c r="HM294" s="36"/>
      <c r="HN294" s="36"/>
      <c r="HO294" s="36"/>
      <c r="HP294" s="36"/>
      <c r="HQ294" s="36"/>
      <c r="HR294" s="36"/>
      <c r="HS294" s="36"/>
      <c r="HT294" s="36"/>
      <c r="HU294" s="36"/>
      <c r="HV294" s="36"/>
      <c r="HW294" s="36"/>
      <c r="HX294" s="36"/>
      <c r="HY294" s="36"/>
      <c r="HZ294" s="36"/>
      <c r="IA294" s="36"/>
      <c r="IB294" s="36"/>
      <c r="IC294" s="36"/>
      <c r="ID294" s="36"/>
      <c r="IE294" s="36"/>
      <c r="IF294" s="36"/>
      <c r="IG294" s="36">
        <v>50</v>
      </c>
      <c r="IH294" s="36">
        <v>5</v>
      </c>
      <c r="II294" s="36">
        <v>1</v>
      </c>
      <c r="IJ294" s="36">
        <v>1</v>
      </c>
      <c r="IK294" s="36"/>
      <c r="IL294" s="36"/>
      <c r="IM294" s="36"/>
      <c r="IN294" s="36"/>
      <c r="IO294" s="36"/>
      <c r="IP294" s="36"/>
      <c r="IR294" s="2" t="s">
        <v>543</v>
      </c>
    </row>
    <row r="295" spans="1:252" ht="15.75" customHeight="1" x14ac:dyDescent="0.25">
      <c r="A295" s="36" t="s">
        <v>518</v>
      </c>
      <c r="B295" s="36" t="s">
        <v>1095</v>
      </c>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6"/>
      <c r="BQ295" s="6"/>
      <c r="BR295" s="6"/>
      <c r="BS295" s="6"/>
      <c r="BT295" s="6"/>
      <c r="BU295" s="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6"/>
      <c r="GB295" s="6"/>
      <c r="GC295" s="36"/>
      <c r="GD295" s="36"/>
      <c r="GE295" s="36"/>
      <c r="GF295" s="36"/>
      <c r="GG295" s="36"/>
      <c r="GH295" s="36"/>
      <c r="GI295" s="36"/>
      <c r="GJ295" s="36"/>
      <c r="GK295" s="36"/>
      <c r="GL295" s="36"/>
      <c r="GM295" s="36"/>
      <c r="GN295" s="36"/>
      <c r="GO295" s="36"/>
      <c r="GP295" s="36"/>
      <c r="GQ295" s="36"/>
      <c r="GR295" s="36"/>
      <c r="GS295" s="36"/>
      <c r="GT295" s="36"/>
      <c r="GU295" s="36"/>
      <c r="GV295" s="6"/>
      <c r="GW295" s="36"/>
      <c r="GX295" s="36"/>
      <c r="GY295" s="36"/>
      <c r="GZ295" s="36"/>
      <c r="HA295" s="36"/>
      <c r="HB295" s="36"/>
      <c r="HC295" s="36"/>
      <c r="HD295" s="36"/>
      <c r="HE295" s="36"/>
      <c r="HF295" s="36"/>
      <c r="HG295" s="36"/>
      <c r="HH295" s="36"/>
      <c r="HI295" s="36"/>
      <c r="HJ295" s="36"/>
      <c r="HK295" s="36"/>
      <c r="HL295" s="36"/>
      <c r="HM295" s="36"/>
      <c r="HN295" s="36"/>
      <c r="HO295" s="36">
        <v>5</v>
      </c>
      <c r="HP295" s="36">
        <v>65</v>
      </c>
      <c r="HQ295" s="36">
        <v>47</v>
      </c>
      <c r="HR295" s="36">
        <v>179</v>
      </c>
      <c r="HS295" s="36"/>
      <c r="HT295" s="36"/>
      <c r="HU295" s="36"/>
      <c r="HV295" s="36"/>
      <c r="HW295" s="36"/>
      <c r="HX295" s="36"/>
      <c r="HY295" s="36"/>
      <c r="HZ295" s="36"/>
      <c r="IA295" s="36"/>
      <c r="IB295" s="36"/>
      <c r="IC295" s="36"/>
      <c r="ID295" s="36"/>
      <c r="IE295" s="36"/>
      <c r="IF295" s="36"/>
      <c r="IG295" s="36"/>
      <c r="IH295" s="36"/>
      <c r="II295" s="36"/>
      <c r="IJ295" s="36"/>
      <c r="IK295" s="36"/>
      <c r="IL295" s="36"/>
      <c r="IM295" s="36"/>
      <c r="IN295" s="36"/>
      <c r="IO295" s="36"/>
      <c r="IP295" s="36"/>
      <c r="IR295" s="2" t="s">
        <v>543</v>
      </c>
    </row>
    <row r="296" spans="1:252" ht="15.75" customHeight="1" x14ac:dyDescent="0.25">
      <c r="A296" s="36" t="s">
        <v>1096</v>
      </c>
      <c r="B296" s="36" t="s">
        <v>1097</v>
      </c>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6"/>
      <c r="BQ296" s="6"/>
      <c r="BR296" s="6"/>
      <c r="BS296" s="6"/>
      <c r="BT296" s="6"/>
      <c r="BU296" s="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6"/>
      <c r="GB296" s="6"/>
      <c r="GC296" s="36"/>
      <c r="GD296" s="36"/>
      <c r="GE296" s="36"/>
      <c r="GF296" s="36"/>
      <c r="GG296" s="36"/>
      <c r="GH296" s="36"/>
      <c r="GI296" s="36"/>
      <c r="GJ296" s="36"/>
      <c r="GK296" s="36"/>
      <c r="GL296" s="36"/>
      <c r="GM296" s="36"/>
      <c r="GN296" s="36"/>
      <c r="GO296" s="36"/>
      <c r="GP296" s="36"/>
      <c r="GQ296" s="36"/>
      <c r="GR296" s="36"/>
      <c r="GS296" s="36"/>
      <c r="GT296" s="36"/>
      <c r="GU296" s="36"/>
      <c r="GV296" s="6"/>
      <c r="GW296" s="36"/>
      <c r="GX296" s="36"/>
      <c r="GY296" s="36"/>
      <c r="GZ296" s="36"/>
      <c r="HA296" s="36"/>
      <c r="HB296" s="36"/>
      <c r="HC296" s="36"/>
      <c r="HD296" s="36"/>
      <c r="HE296" s="36"/>
      <c r="HF296" s="36"/>
      <c r="HG296" s="36"/>
      <c r="HH296" s="36"/>
      <c r="HI296" s="36"/>
      <c r="HJ296" s="36"/>
      <c r="HK296" s="36"/>
      <c r="HL296" s="36"/>
      <c r="HM296" s="36"/>
      <c r="HN296" s="36"/>
      <c r="HO296" s="36"/>
      <c r="HP296" s="36"/>
      <c r="HQ296" s="36"/>
      <c r="HR296" s="36"/>
      <c r="HS296" s="36"/>
      <c r="HT296" s="36"/>
      <c r="HU296" s="36"/>
      <c r="HV296" s="36"/>
      <c r="HW296" s="36"/>
      <c r="HX296" s="36"/>
      <c r="HY296" s="36"/>
      <c r="HZ296" s="36"/>
      <c r="IA296" s="36"/>
      <c r="IB296" s="36"/>
      <c r="IC296" s="36"/>
      <c r="ID296" s="36"/>
      <c r="IE296" s="36"/>
      <c r="IF296" s="36"/>
      <c r="IG296" s="36"/>
      <c r="IH296" s="36"/>
      <c r="II296" s="36"/>
      <c r="IJ296" s="36"/>
      <c r="IK296" s="36"/>
      <c r="IL296" s="36"/>
      <c r="IM296" s="36"/>
      <c r="IN296" s="36"/>
      <c r="IO296" s="36"/>
      <c r="IP296" s="36"/>
      <c r="IR296" s="2" t="s">
        <v>543</v>
      </c>
    </row>
    <row r="297" spans="1:252" ht="15.75" customHeight="1" x14ac:dyDescent="0.25">
      <c r="A297" s="36" t="s">
        <v>1099</v>
      </c>
      <c r="B297" s="36" t="s">
        <v>1100</v>
      </c>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c r="BD297" s="36"/>
      <c r="BE297" s="36"/>
      <c r="BF297" s="36"/>
      <c r="BG297" s="36"/>
      <c r="BH297" s="36"/>
      <c r="BI297" s="36"/>
      <c r="BJ297" s="36"/>
      <c r="BK297" s="36"/>
      <c r="BL297" s="36"/>
      <c r="BM297" s="36"/>
      <c r="BN297" s="36"/>
      <c r="BO297" s="36"/>
      <c r="BP297" s="6"/>
      <c r="BQ297" s="6"/>
      <c r="BR297" s="6"/>
      <c r="BS297" s="6"/>
      <c r="BT297" s="6"/>
      <c r="BU297" s="6">
        <v>20</v>
      </c>
      <c r="BV297" s="36"/>
      <c r="BW297" s="36"/>
      <c r="BX297" s="36"/>
      <c r="BY297" s="36"/>
      <c r="BZ297" s="36"/>
      <c r="CA297" s="36"/>
      <c r="CB297" s="36"/>
      <c r="CC297" s="36"/>
      <c r="CD297" s="36"/>
      <c r="CE297" s="36"/>
      <c r="CF297" s="36"/>
      <c r="CG297" s="36"/>
      <c r="CH297" s="36"/>
      <c r="CI297" s="36"/>
      <c r="CJ297" s="36"/>
      <c r="CK297" s="36"/>
      <c r="CL297" s="36"/>
      <c r="CM297" s="36"/>
      <c r="CN297" s="36"/>
      <c r="CO297" s="36"/>
      <c r="CP297" s="36"/>
      <c r="CQ297" s="36"/>
      <c r="CR297" s="36"/>
      <c r="CS297" s="36"/>
      <c r="CT297" s="36"/>
      <c r="CU297" s="36"/>
      <c r="CV297" s="36"/>
      <c r="CW297" s="36"/>
      <c r="CX297" s="36"/>
      <c r="CY297" s="36"/>
      <c r="CZ297" s="36"/>
      <c r="DA297" s="36"/>
      <c r="DB297" s="36"/>
      <c r="DC297" s="36"/>
      <c r="DD297" s="36"/>
      <c r="DE297" s="36"/>
      <c r="DF297" s="36"/>
      <c r="DG297" s="36"/>
      <c r="DH297" s="36"/>
      <c r="DI297" s="36"/>
      <c r="DJ297" s="36"/>
      <c r="DK297" s="36"/>
      <c r="DL297" s="36"/>
      <c r="DM297" s="36"/>
      <c r="DN297" s="36"/>
      <c r="DO297" s="36"/>
      <c r="DP297" s="36"/>
      <c r="DQ297" s="36"/>
      <c r="DR297" s="36"/>
      <c r="DS297" s="36"/>
      <c r="DT297" s="36"/>
      <c r="DU297" s="36"/>
      <c r="DV297" s="36"/>
      <c r="DW297" s="36"/>
      <c r="DX297" s="36"/>
      <c r="DY297" s="36"/>
      <c r="DZ297" s="36"/>
      <c r="EA297" s="36"/>
      <c r="EB297" s="36"/>
      <c r="EC297" s="36"/>
      <c r="ED297" s="36"/>
      <c r="EE297" s="36"/>
      <c r="EF297" s="36"/>
      <c r="EG297" s="36"/>
      <c r="EH297" s="36"/>
      <c r="EI297" s="36"/>
      <c r="EJ297" s="36"/>
      <c r="EK297" s="36"/>
      <c r="EL297" s="36"/>
      <c r="EM297" s="36"/>
      <c r="EN297" s="36"/>
      <c r="EO297" s="36"/>
      <c r="EP297" s="36"/>
      <c r="EQ297" s="36"/>
      <c r="ER297" s="36"/>
      <c r="ES297" s="36"/>
      <c r="ET297" s="36"/>
      <c r="EU297" s="36"/>
      <c r="EV297" s="36"/>
      <c r="EW297" s="36"/>
      <c r="EX297" s="36"/>
      <c r="EY297" s="36"/>
      <c r="EZ297" s="36"/>
      <c r="FA297" s="36"/>
      <c r="FB297" s="36"/>
      <c r="FC297" s="36"/>
      <c r="FD297" s="36"/>
      <c r="FE297" s="36"/>
      <c r="FF297" s="36"/>
      <c r="FG297" s="36"/>
      <c r="FH297" s="36"/>
      <c r="FI297" s="36"/>
      <c r="FJ297" s="36"/>
      <c r="FK297" s="36"/>
      <c r="FL297" s="36"/>
      <c r="FM297" s="36"/>
      <c r="FN297" s="36"/>
      <c r="FO297" s="36"/>
      <c r="FP297" s="36"/>
      <c r="FQ297" s="36"/>
      <c r="FR297" s="36"/>
      <c r="FS297" s="36"/>
      <c r="FT297" s="36"/>
      <c r="FU297" s="36"/>
      <c r="FV297" s="36"/>
      <c r="FW297" s="36"/>
      <c r="FX297" s="36"/>
      <c r="FY297" s="36"/>
      <c r="FZ297" s="36"/>
      <c r="GA297" s="6"/>
      <c r="GB297" s="6"/>
      <c r="GC297" s="36"/>
      <c r="GD297" s="36"/>
      <c r="GE297" s="36"/>
      <c r="GF297" s="36"/>
      <c r="GG297" s="36"/>
      <c r="GH297" s="36"/>
      <c r="GI297" s="36"/>
      <c r="GJ297" s="36"/>
      <c r="GK297" s="36"/>
      <c r="GL297" s="36"/>
      <c r="GM297" s="36"/>
      <c r="GN297" s="36"/>
      <c r="GO297" s="36"/>
      <c r="GP297" s="36"/>
      <c r="GQ297" s="36"/>
      <c r="GR297" s="36"/>
      <c r="GS297" s="36"/>
      <c r="GT297" s="36"/>
      <c r="GU297" s="36"/>
      <c r="GV297" s="6"/>
      <c r="GW297" s="36"/>
      <c r="GX297" s="36"/>
      <c r="GY297" s="36"/>
      <c r="GZ297" s="36"/>
      <c r="HA297" s="36"/>
      <c r="HB297" s="36"/>
      <c r="HC297" s="36"/>
      <c r="HD297" s="36"/>
      <c r="HE297" s="36"/>
      <c r="HF297" s="36"/>
      <c r="HG297" s="36"/>
      <c r="HH297" s="36"/>
      <c r="HI297" s="36"/>
      <c r="HJ297" s="36"/>
      <c r="HK297" s="36"/>
      <c r="HL297" s="36"/>
      <c r="HM297" s="36"/>
      <c r="HN297" s="36"/>
      <c r="HO297" s="36"/>
      <c r="HP297" s="36"/>
      <c r="HQ297" s="36"/>
      <c r="HR297" s="36"/>
      <c r="HS297" s="36">
        <v>140</v>
      </c>
      <c r="HT297" s="36">
        <v>30</v>
      </c>
      <c r="HU297" s="36">
        <v>105</v>
      </c>
      <c r="HV297" s="36"/>
      <c r="HW297" s="36"/>
      <c r="HX297" s="36"/>
      <c r="HY297" s="36"/>
      <c r="HZ297" s="36"/>
      <c r="IA297" s="36"/>
      <c r="IB297" s="36"/>
      <c r="IC297" s="36"/>
      <c r="ID297" s="36"/>
      <c r="IE297" s="36"/>
      <c r="IF297" s="36"/>
      <c r="IG297" s="36"/>
      <c r="IH297" s="36"/>
      <c r="II297" s="36"/>
      <c r="IJ297" s="36"/>
      <c r="IK297" s="36"/>
      <c r="IL297" s="36"/>
      <c r="IM297" s="36"/>
      <c r="IN297" s="36"/>
      <c r="IO297" s="36"/>
      <c r="IP297" s="36"/>
      <c r="IR297" s="2" t="s">
        <v>543</v>
      </c>
    </row>
    <row r="298" spans="1:252" ht="15.75" customHeight="1" x14ac:dyDescent="0.25">
      <c r="A298" s="36" t="s">
        <v>1099</v>
      </c>
      <c r="B298" s="36" t="s">
        <v>1101</v>
      </c>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6"/>
      <c r="BQ298" s="6"/>
      <c r="BR298" s="6"/>
      <c r="BS298" s="6"/>
      <c r="BT298" s="6"/>
      <c r="BU298" s="6">
        <v>40</v>
      </c>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36"/>
      <c r="DK298" s="36"/>
      <c r="DL298" s="36"/>
      <c r="DM298" s="36"/>
      <c r="DN298" s="36"/>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6"/>
      <c r="GB298" s="6"/>
      <c r="GC298" s="36"/>
      <c r="GD298" s="36"/>
      <c r="GE298" s="36"/>
      <c r="GF298" s="36"/>
      <c r="GG298" s="36"/>
      <c r="GH298" s="36"/>
      <c r="GI298" s="36"/>
      <c r="GJ298" s="36"/>
      <c r="GK298" s="36"/>
      <c r="GL298" s="36"/>
      <c r="GM298" s="36"/>
      <c r="GN298" s="36"/>
      <c r="GO298" s="36"/>
      <c r="GP298" s="36"/>
      <c r="GQ298" s="36"/>
      <c r="GR298" s="36"/>
      <c r="GS298" s="36"/>
      <c r="GT298" s="36"/>
      <c r="GU298" s="36"/>
      <c r="GV298" s="6"/>
      <c r="GW298" s="36"/>
      <c r="GX298" s="36"/>
      <c r="GY298" s="36"/>
      <c r="GZ298" s="36"/>
      <c r="HA298" s="36"/>
      <c r="HB298" s="36"/>
      <c r="HC298" s="36"/>
      <c r="HD298" s="36"/>
      <c r="HE298" s="36"/>
      <c r="HF298" s="36"/>
      <c r="HG298" s="36"/>
      <c r="HH298" s="36"/>
      <c r="HI298" s="36"/>
      <c r="HJ298" s="36"/>
      <c r="HK298" s="36"/>
      <c r="HL298" s="36"/>
      <c r="HM298" s="36"/>
      <c r="HN298" s="36"/>
      <c r="HO298" s="36"/>
      <c r="HP298" s="36"/>
      <c r="HQ298" s="36"/>
      <c r="HR298" s="36"/>
      <c r="HS298" s="36"/>
      <c r="HT298" s="36"/>
      <c r="HU298" s="36"/>
      <c r="HV298" s="36"/>
      <c r="HW298" s="36"/>
      <c r="HX298" s="36"/>
      <c r="HY298" s="36"/>
      <c r="HZ298" s="36"/>
      <c r="IA298" s="36"/>
      <c r="IB298" s="36"/>
      <c r="IC298" s="36"/>
      <c r="ID298" s="36"/>
      <c r="IE298" s="36"/>
      <c r="IF298" s="36"/>
      <c r="IG298" s="36"/>
      <c r="IH298" s="36"/>
      <c r="II298" s="36"/>
      <c r="IJ298" s="36"/>
      <c r="IK298" s="36"/>
      <c r="IL298" s="36"/>
      <c r="IM298" s="36"/>
      <c r="IN298" s="36"/>
      <c r="IO298" s="36"/>
      <c r="IP298" s="36"/>
      <c r="IR298" s="2" t="s">
        <v>543</v>
      </c>
    </row>
    <row r="299" spans="1:252" ht="15.75" customHeight="1" x14ac:dyDescent="0.25">
      <c r="A299" s="36" t="s">
        <v>1103</v>
      </c>
      <c r="B299" s="36" t="s">
        <v>1104</v>
      </c>
      <c r="C299" s="36"/>
      <c r="D299" s="36"/>
      <c r="E299" s="36"/>
      <c r="F299" s="36"/>
      <c r="G299" s="36">
        <v>5</v>
      </c>
      <c r="H299" s="36"/>
      <c r="I299" s="36">
        <v>5</v>
      </c>
      <c r="J299" s="36">
        <v>5</v>
      </c>
      <c r="K299" s="36"/>
      <c r="L299" s="36"/>
      <c r="M299" s="36"/>
      <c r="N299" s="36">
        <v>15</v>
      </c>
      <c r="O299" s="36">
        <v>5</v>
      </c>
      <c r="P299" s="36"/>
      <c r="Q299" s="36"/>
      <c r="R299" s="36"/>
      <c r="S299" s="36"/>
      <c r="T299" s="36"/>
      <c r="U299" s="36"/>
      <c r="V299" s="36">
        <v>5</v>
      </c>
      <c r="W299" s="36"/>
      <c r="X299" s="36">
        <v>5</v>
      </c>
      <c r="Y299" s="36"/>
      <c r="Z299" s="36"/>
      <c r="AA299" s="36"/>
      <c r="AB299" s="36"/>
      <c r="AC299" s="36">
        <v>5</v>
      </c>
      <c r="AD299" s="36">
        <v>5</v>
      </c>
      <c r="AE299" s="36"/>
      <c r="AF299" s="36">
        <v>5</v>
      </c>
      <c r="AG299" s="36">
        <v>5</v>
      </c>
      <c r="AH299" s="36"/>
      <c r="AI299" s="36"/>
      <c r="AJ299" s="36"/>
      <c r="AK299" s="36">
        <v>25</v>
      </c>
      <c r="AL299" s="36"/>
      <c r="AM299" s="36"/>
      <c r="AN299" s="36"/>
      <c r="AO299" s="36"/>
      <c r="AP299" s="36">
        <v>5</v>
      </c>
      <c r="AQ299" s="36">
        <v>5</v>
      </c>
      <c r="AR299" s="36">
        <v>5</v>
      </c>
      <c r="AS299" s="36"/>
      <c r="AT299" s="36"/>
      <c r="AU299" s="36">
        <v>5</v>
      </c>
      <c r="AV299" s="36"/>
      <c r="AW299" s="36"/>
      <c r="AX299" s="36"/>
      <c r="AY299" s="36"/>
      <c r="AZ299" s="36"/>
      <c r="BA299" s="36"/>
      <c r="BB299" s="36"/>
      <c r="BC299" s="36"/>
      <c r="BD299" s="36"/>
      <c r="BE299" s="36"/>
      <c r="BF299" s="36"/>
      <c r="BG299" s="36"/>
      <c r="BH299" s="36"/>
      <c r="BI299" s="36"/>
      <c r="BJ299" s="36"/>
      <c r="BK299" s="36"/>
      <c r="BL299" s="36"/>
      <c r="BM299" s="36"/>
      <c r="BN299" s="36"/>
      <c r="BO299" s="36"/>
      <c r="BP299" s="6"/>
      <c r="BQ299" s="6"/>
      <c r="BR299" s="6"/>
      <c r="BS299" s="6"/>
      <c r="BT299" s="6"/>
      <c r="BU299" s="6"/>
      <c r="BV299" s="36"/>
      <c r="BW299" s="351">
        <v>10</v>
      </c>
      <c r="BX299" s="36"/>
      <c r="BY299" s="36">
        <v>10</v>
      </c>
      <c r="BZ299" s="36"/>
      <c r="CA299" s="36"/>
      <c r="CB299" s="36"/>
      <c r="CC299" s="36"/>
      <c r="CD299" s="36"/>
      <c r="CE299" s="36">
        <v>10</v>
      </c>
      <c r="CF299" s="36">
        <v>20</v>
      </c>
      <c r="CG299" s="36">
        <v>10</v>
      </c>
      <c r="CH299" s="36">
        <v>10</v>
      </c>
      <c r="CI299" s="36">
        <v>10</v>
      </c>
      <c r="CJ299" s="36"/>
      <c r="CK299" s="36"/>
      <c r="CL299" s="36"/>
      <c r="CM299" s="36"/>
      <c r="CN299" s="36"/>
      <c r="CO299" s="36"/>
      <c r="CP299" s="36"/>
      <c r="CQ299" s="36"/>
      <c r="CR299" s="36"/>
      <c r="CS299" s="36">
        <v>6</v>
      </c>
      <c r="CT299" s="36"/>
      <c r="CU299" s="36"/>
      <c r="CV299" s="36"/>
      <c r="CW299" s="36"/>
      <c r="CX299" s="36"/>
      <c r="CY299" s="36"/>
      <c r="CZ299" s="36">
        <v>12</v>
      </c>
      <c r="DA299" s="36"/>
      <c r="DB299" s="36"/>
      <c r="DC299" s="36">
        <v>12</v>
      </c>
      <c r="DD299" s="36"/>
      <c r="DE299" s="36"/>
      <c r="DF299" s="36"/>
      <c r="DG299" s="36"/>
      <c r="DH299" s="36"/>
      <c r="DI299" s="36"/>
      <c r="DJ299" s="36"/>
      <c r="DK299" s="36"/>
      <c r="DL299" s="36"/>
      <c r="DM299" s="36"/>
      <c r="DN299" s="36"/>
      <c r="DO299" s="36">
        <v>6</v>
      </c>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6"/>
      <c r="GB299" s="6">
        <v>100</v>
      </c>
      <c r="GC299" s="36"/>
      <c r="GD299" s="36"/>
      <c r="GE299" s="36"/>
      <c r="GF299" s="36"/>
      <c r="GG299" s="36"/>
      <c r="GH299" s="36"/>
      <c r="GI299" s="36"/>
      <c r="GJ299" s="36"/>
      <c r="GK299" s="36"/>
      <c r="GL299" s="36"/>
      <c r="GM299" s="36"/>
      <c r="GN299" s="36"/>
      <c r="GO299" s="36"/>
      <c r="GP299" s="36"/>
      <c r="GQ299" s="36">
        <v>25</v>
      </c>
      <c r="GR299" s="36">
        <v>25</v>
      </c>
      <c r="GS299" s="36"/>
      <c r="GT299" s="36"/>
      <c r="GU299" s="36"/>
      <c r="GV299" s="6"/>
      <c r="GW299" s="36"/>
      <c r="GX299" s="36"/>
      <c r="GY299" s="36"/>
      <c r="GZ299" s="36"/>
      <c r="HA299" s="36"/>
      <c r="HB299" s="36"/>
      <c r="HC299" s="36"/>
      <c r="HD299" s="36"/>
      <c r="HE299" s="36"/>
      <c r="HF299" s="36"/>
      <c r="HG299" s="36"/>
      <c r="HH299" s="36"/>
      <c r="HI299" s="36"/>
      <c r="HJ299" s="36"/>
      <c r="HK299" s="36"/>
      <c r="HL299" s="36"/>
      <c r="HM299" s="36"/>
      <c r="HN299" s="36"/>
      <c r="HO299" s="36"/>
      <c r="HP299" s="36"/>
      <c r="HQ299" s="36"/>
      <c r="HR299" s="36"/>
      <c r="HS299" s="36"/>
      <c r="HT299" s="36"/>
      <c r="HU299" s="36"/>
      <c r="HV299" s="36"/>
      <c r="HW299" s="36"/>
      <c r="HX299" s="36"/>
      <c r="HY299" s="36"/>
      <c r="HZ299" s="36"/>
      <c r="IA299" s="36"/>
      <c r="IB299" s="36"/>
      <c r="IC299" s="36"/>
      <c r="ID299" s="36"/>
      <c r="IE299" s="36"/>
      <c r="IF299" s="36"/>
      <c r="IG299" s="36"/>
      <c r="IH299" s="36"/>
      <c r="II299" s="36"/>
      <c r="IJ299" s="36"/>
      <c r="IK299" s="36"/>
      <c r="IL299" s="36"/>
      <c r="IM299" s="36"/>
      <c r="IN299" s="36"/>
      <c r="IO299" s="36"/>
      <c r="IP299" s="36"/>
      <c r="IR299" s="2" t="s">
        <v>543</v>
      </c>
    </row>
    <row r="300" spans="1:252" ht="15.75" customHeight="1" x14ac:dyDescent="0.25">
      <c r="A300" s="36" t="s">
        <v>1105</v>
      </c>
      <c r="B300" s="36" t="s">
        <v>1106</v>
      </c>
      <c r="C300" s="36"/>
      <c r="D300" s="224">
        <v>5</v>
      </c>
      <c r="E300" s="224">
        <v>5</v>
      </c>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6"/>
      <c r="BQ300" s="6"/>
      <c r="BR300" s="6"/>
      <c r="BS300" s="6"/>
      <c r="BT300" s="6"/>
      <c r="BU300" s="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c r="DJ300" s="36"/>
      <c r="DK300" s="36"/>
      <c r="DL300" s="36"/>
      <c r="DM300" s="36"/>
      <c r="DN300" s="36"/>
      <c r="DO300" s="36"/>
      <c r="DP300" s="36"/>
      <c r="DQ300" s="36"/>
      <c r="DR300" s="36"/>
      <c r="DS300" s="36"/>
      <c r="DT300" s="36"/>
      <c r="DU300" s="36"/>
      <c r="DV300" s="224">
        <v>48</v>
      </c>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c r="FN300" s="36"/>
      <c r="FO300" s="36"/>
      <c r="FP300" s="36"/>
      <c r="FQ300" s="36"/>
      <c r="FR300" s="36"/>
      <c r="FS300" s="36"/>
      <c r="FT300" s="36"/>
      <c r="FU300" s="36"/>
      <c r="FV300" s="36"/>
      <c r="FW300" s="36"/>
      <c r="FX300" s="36"/>
      <c r="FY300" s="36"/>
      <c r="FZ300" s="36"/>
      <c r="GA300" s="6"/>
      <c r="GB300" s="6"/>
      <c r="GC300" s="36"/>
      <c r="GD300" s="36"/>
      <c r="GE300" s="36"/>
      <c r="GF300" s="36"/>
      <c r="GG300" s="36"/>
      <c r="GH300" s="36"/>
      <c r="GI300" s="36"/>
      <c r="GJ300" s="36"/>
      <c r="GK300" s="36"/>
      <c r="GL300" s="36"/>
      <c r="GM300" s="36"/>
      <c r="GN300" s="36"/>
      <c r="GO300" s="36"/>
      <c r="GP300" s="36"/>
      <c r="GQ300" s="36"/>
      <c r="GR300" s="36"/>
      <c r="GS300" s="36"/>
      <c r="GT300" s="36"/>
      <c r="GU300" s="36"/>
      <c r="GV300" s="6"/>
      <c r="GW300" s="36"/>
      <c r="GX300" s="36"/>
      <c r="GY300" s="36"/>
      <c r="GZ300" s="36"/>
      <c r="HA300" s="36"/>
      <c r="HB300" s="36"/>
      <c r="HC300" s="36"/>
      <c r="HD300" s="36"/>
      <c r="HE300" s="36"/>
      <c r="HF300" s="36"/>
      <c r="HG300" s="36"/>
      <c r="HH300" s="36"/>
      <c r="HI300" s="36"/>
      <c r="HJ300" s="36"/>
      <c r="HK300" s="36"/>
      <c r="HL300" s="36"/>
      <c r="HM300" s="36"/>
      <c r="HN300" s="36"/>
      <c r="HO300" s="36"/>
      <c r="HP300" s="36"/>
      <c r="HQ300" s="36"/>
      <c r="HR300" s="36"/>
      <c r="HS300" s="36"/>
      <c r="HT300" s="36"/>
      <c r="HU300" s="36"/>
      <c r="HV300" s="36"/>
      <c r="HW300" s="36"/>
      <c r="HX300" s="36"/>
      <c r="HY300" s="36"/>
      <c r="HZ300" s="36"/>
      <c r="IA300" s="36">
        <v>12</v>
      </c>
      <c r="IB300" s="36">
        <v>85</v>
      </c>
      <c r="IC300" s="36">
        <v>7</v>
      </c>
      <c r="ID300" s="36">
        <v>25</v>
      </c>
      <c r="IE300" s="36"/>
      <c r="IF300" s="36"/>
      <c r="IG300" s="36"/>
      <c r="IH300" s="36"/>
      <c r="II300" s="36"/>
      <c r="IJ300" s="36"/>
      <c r="IK300" s="36"/>
      <c r="IL300" s="36"/>
      <c r="IM300" s="36"/>
      <c r="IN300" s="36"/>
      <c r="IO300" s="36"/>
      <c r="IP300" s="36"/>
      <c r="IR300" s="2" t="s">
        <v>543</v>
      </c>
    </row>
    <row r="301" spans="1:252" ht="15.75" customHeight="1" x14ac:dyDescent="0.25">
      <c r="A301" s="36" t="s">
        <v>1105</v>
      </c>
      <c r="B301" s="36" t="s">
        <v>1108</v>
      </c>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6"/>
      <c r="BQ301" s="6"/>
      <c r="BR301" s="6"/>
      <c r="BS301" s="6"/>
      <c r="BT301" s="6"/>
      <c r="BU301" s="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c r="DJ301" s="36"/>
      <c r="DK301" s="36"/>
      <c r="DL301" s="36"/>
      <c r="DM301" s="36"/>
      <c r="DN301" s="36"/>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c r="FN301" s="36"/>
      <c r="FO301" s="36"/>
      <c r="FP301" s="36"/>
      <c r="FQ301" s="36"/>
      <c r="FR301" s="36"/>
      <c r="FS301" s="36"/>
      <c r="FT301" s="36"/>
      <c r="FU301" s="36"/>
      <c r="FV301" s="36"/>
      <c r="FW301" s="36"/>
      <c r="FX301" s="36"/>
      <c r="FY301" s="36"/>
      <c r="FZ301" s="36"/>
      <c r="GA301" s="6"/>
      <c r="GB301" s="6"/>
      <c r="GC301" s="36"/>
      <c r="GD301" s="36"/>
      <c r="GE301" s="36"/>
      <c r="GF301" s="36"/>
      <c r="GG301" s="36"/>
      <c r="GH301" s="36"/>
      <c r="GI301" s="36"/>
      <c r="GJ301" s="36"/>
      <c r="GK301" s="36"/>
      <c r="GL301" s="36"/>
      <c r="GM301" s="36"/>
      <c r="GN301" s="36"/>
      <c r="GO301" s="36"/>
      <c r="GP301" s="36"/>
      <c r="GQ301" s="36"/>
      <c r="GR301" s="36"/>
      <c r="GS301" s="36"/>
      <c r="GT301" s="36"/>
      <c r="GU301" s="36"/>
      <c r="GV301" s="6"/>
      <c r="GW301" s="36"/>
      <c r="GX301" s="36"/>
      <c r="GY301" s="36"/>
      <c r="GZ301" s="36"/>
      <c r="HA301" s="36"/>
      <c r="HB301" s="36"/>
      <c r="HC301" s="36"/>
      <c r="HD301" s="36"/>
      <c r="HE301" s="36"/>
      <c r="HF301" s="36"/>
      <c r="HG301" s="36"/>
      <c r="HH301" s="36"/>
      <c r="HI301" s="36"/>
      <c r="HJ301" s="36"/>
      <c r="HK301" s="36"/>
      <c r="HL301" s="36"/>
      <c r="HM301" s="36"/>
      <c r="HN301" s="36"/>
      <c r="HO301" s="36"/>
      <c r="HP301" s="36"/>
      <c r="HQ301" s="36"/>
      <c r="HR301" s="36"/>
      <c r="HS301" s="36"/>
      <c r="HT301" s="36"/>
      <c r="HU301" s="36"/>
      <c r="HV301" s="36"/>
      <c r="HW301" s="36"/>
      <c r="HX301" s="36"/>
      <c r="HY301" s="36"/>
      <c r="HZ301" s="36"/>
      <c r="IA301" s="36"/>
      <c r="IB301" s="36">
        <v>64</v>
      </c>
      <c r="IC301" s="36">
        <f>136+8</f>
        <v>144</v>
      </c>
      <c r="ID301" s="36"/>
      <c r="IE301" s="36"/>
      <c r="IF301" s="36"/>
      <c r="IG301" s="36"/>
      <c r="IH301" s="36"/>
      <c r="II301" s="36"/>
      <c r="IJ301" s="36"/>
      <c r="IK301" s="36"/>
      <c r="IL301" s="36"/>
      <c r="IM301" s="36"/>
      <c r="IN301" s="36"/>
      <c r="IO301" s="36"/>
      <c r="IP301" s="36"/>
      <c r="IR301" s="2" t="s">
        <v>543</v>
      </c>
    </row>
    <row r="302" spans="1:252" ht="15.75" customHeight="1" x14ac:dyDescent="0.25">
      <c r="A302" s="36" t="s">
        <v>1105</v>
      </c>
      <c r="B302" s="36" t="s">
        <v>1109</v>
      </c>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6"/>
      <c r="BQ302" s="6"/>
      <c r="BR302" s="6"/>
      <c r="BS302" s="6"/>
      <c r="BT302" s="6"/>
      <c r="BU302" s="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v>2</v>
      </c>
      <c r="EQ302" s="36"/>
      <c r="ER302" s="36"/>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6"/>
      <c r="GB302" s="6"/>
      <c r="GC302" s="36"/>
      <c r="GD302" s="36"/>
      <c r="GE302" s="36"/>
      <c r="GF302" s="36"/>
      <c r="GG302" s="36"/>
      <c r="GH302" s="36"/>
      <c r="GI302" s="36"/>
      <c r="GJ302" s="36"/>
      <c r="GK302" s="36"/>
      <c r="GL302" s="36"/>
      <c r="GM302" s="36"/>
      <c r="GN302" s="36"/>
      <c r="GO302" s="36"/>
      <c r="GP302" s="36"/>
      <c r="GQ302" s="36"/>
      <c r="GR302" s="36"/>
      <c r="GS302" s="36"/>
      <c r="GT302" s="36"/>
      <c r="GU302" s="36"/>
      <c r="GV302" s="6"/>
      <c r="GW302" s="36"/>
      <c r="GX302" s="36"/>
      <c r="GY302" s="36"/>
      <c r="GZ302" s="36"/>
      <c r="HA302" s="36"/>
      <c r="HB302" s="36"/>
      <c r="HC302" s="36"/>
      <c r="HD302" s="36"/>
      <c r="HE302" s="36"/>
      <c r="HF302" s="36"/>
      <c r="HG302" s="36"/>
      <c r="HH302" s="36"/>
      <c r="HI302" s="36"/>
      <c r="HJ302" s="36"/>
      <c r="HK302" s="36"/>
      <c r="HL302" s="36"/>
      <c r="HM302" s="36"/>
      <c r="HN302" s="36"/>
      <c r="HO302" s="36"/>
      <c r="HP302" s="36"/>
      <c r="HQ302" s="36"/>
      <c r="HR302" s="36"/>
      <c r="HS302" s="36"/>
      <c r="HT302" s="36"/>
      <c r="HU302" s="36"/>
      <c r="HV302" s="36"/>
      <c r="HW302" s="36"/>
      <c r="HX302" s="36"/>
      <c r="HY302" s="36"/>
      <c r="HZ302" s="36"/>
      <c r="IA302" s="36">
        <v>7</v>
      </c>
      <c r="IB302" s="36">
        <v>46</v>
      </c>
      <c r="IC302" s="36"/>
      <c r="ID302" s="36"/>
      <c r="IE302" s="36"/>
      <c r="IF302" s="36"/>
      <c r="IG302" s="36"/>
      <c r="IH302" s="36"/>
      <c r="II302" s="36"/>
      <c r="IJ302" s="36"/>
      <c r="IK302" s="36"/>
      <c r="IL302" s="36"/>
      <c r="IM302" s="36"/>
      <c r="IN302" s="36"/>
      <c r="IO302" s="36"/>
      <c r="IP302" s="36"/>
      <c r="IR302" s="2" t="s">
        <v>543</v>
      </c>
    </row>
    <row r="303" spans="1:252" ht="15.75" customHeight="1" x14ac:dyDescent="0.25">
      <c r="A303" s="201" t="s">
        <v>687</v>
      </c>
      <c r="B303" s="201" t="s">
        <v>1110</v>
      </c>
      <c r="C303" s="201"/>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6"/>
      <c r="BQ303" s="6"/>
      <c r="BR303" s="6"/>
      <c r="BS303" s="6"/>
      <c r="BT303" s="6"/>
      <c r="BU303" s="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6"/>
      <c r="GB303" s="6"/>
      <c r="GC303" s="36"/>
      <c r="GD303" s="36"/>
      <c r="GE303" s="36"/>
      <c r="GF303" s="36"/>
      <c r="GG303" s="36"/>
      <c r="GH303" s="36"/>
      <c r="GI303" s="36"/>
      <c r="GJ303" s="36"/>
      <c r="GK303" s="36"/>
      <c r="GL303" s="36"/>
      <c r="GM303" s="36"/>
      <c r="GN303" s="36"/>
      <c r="GO303" s="36"/>
      <c r="GP303" s="36"/>
      <c r="GQ303" s="36"/>
      <c r="GR303" s="36"/>
      <c r="GS303" s="36"/>
      <c r="GT303" s="36"/>
      <c r="GU303" s="36"/>
      <c r="GV303" s="6"/>
      <c r="GW303" s="36"/>
      <c r="GX303" s="36"/>
      <c r="GY303" s="36"/>
      <c r="GZ303" s="36"/>
      <c r="HA303" s="36"/>
      <c r="HB303" s="36"/>
      <c r="HC303" s="36"/>
      <c r="HD303" s="36"/>
      <c r="HE303" s="36"/>
      <c r="HF303" s="36"/>
      <c r="HG303" s="36"/>
      <c r="HH303" s="36"/>
      <c r="HI303" s="36"/>
      <c r="HJ303" s="36"/>
      <c r="HK303" s="36"/>
      <c r="HL303" s="36"/>
      <c r="HM303" s="36"/>
      <c r="HN303" s="36"/>
      <c r="HO303" s="36"/>
      <c r="HP303" s="36"/>
      <c r="HQ303" s="36"/>
      <c r="HR303" s="36"/>
      <c r="HS303" s="36"/>
      <c r="HT303" s="36"/>
      <c r="HU303" s="36"/>
      <c r="HV303" s="36"/>
      <c r="HW303" s="36"/>
      <c r="HX303" s="36"/>
      <c r="HY303" s="36"/>
      <c r="HZ303" s="36"/>
      <c r="IA303" s="36"/>
      <c r="IB303" s="36"/>
      <c r="IC303" s="36"/>
      <c r="ID303" s="36"/>
      <c r="IE303" s="36"/>
      <c r="IF303" s="36"/>
      <c r="IG303" s="36"/>
      <c r="IH303" s="36"/>
      <c r="II303" s="36"/>
      <c r="IJ303" s="36"/>
      <c r="IK303" s="36"/>
      <c r="IL303" s="36"/>
      <c r="IM303" s="36"/>
      <c r="IN303" s="36"/>
      <c r="IO303" s="36"/>
      <c r="IP303" s="36"/>
      <c r="IR303" s="2" t="s">
        <v>543</v>
      </c>
    </row>
    <row r="304" spans="1:252" ht="15.75" customHeight="1" x14ac:dyDescent="0.25">
      <c r="A304" s="36" t="s">
        <v>1111</v>
      </c>
      <c r="B304" s="36" t="s">
        <v>1112</v>
      </c>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c r="BD304" s="36"/>
      <c r="BE304" s="36"/>
      <c r="BF304" s="36"/>
      <c r="BG304" s="36"/>
      <c r="BH304" s="36"/>
      <c r="BI304" s="36"/>
      <c r="BJ304" s="36"/>
      <c r="BK304" s="36"/>
      <c r="BL304" s="36"/>
      <c r="BM304" s="36"/>
      <c r="BN304" s="36"/>
      <c r="BO304" s="36"/>
      <c r="BP304" s="6"/>
      <c r="BQ304" s="6"/>
      <c r="BR304" s="6"/>
      <c r="BS304" s="6"/>
      <c r="BT304" s="6"/>
      <c r="BU304" s="6"/>
      <c r="BV304" s="36"/>
      <c r="BW304" s="36"/>
      <c r="BX304" s="36"/>
      <c r="BY304" s="36"/>
      <c r="BZ304" s="36">
        <v>20</v>
      </c>
      <c r="CA304" s="36"/>
      <c r="CB304" s="36"/>
      <c r="CC304" s="36"/>
      <c r="CD304" s="36"/>
      <c r="CE304" s="36"/>
      <c r="CF304" s="36"/>
      <c r="CG304" s="36"/>
      <c r="CH304" s="36"/>
      <c r="CI304" s="36"/>
      <c r="CJ304" s="36"/>
      <c r="CK304" s="36"/>
      <c r="CL304" s="36"/>
      <c r="CM304" s="36"/>
      <c r="CN304" s="36"/>
      <c r="CO304" s="36"/>
      <c r="CP304" s="36"/>
      <c r="CQ304" s="36"/>
      <c r="CR304" s="36"/>
      <c r="CS304" s="36"/>
      <c r="CT304" s="36"/>
      <c r="CU304" s="36"/>
      <c r="CV304" s="36"/>
      <c r="CW304" s="36"/>
      <c r="CX304" s="36"/>
      <c r="CY304" s="36"/>
      <c r="CZ304" s="36"/>
      <c r="DA304" s="36"/>
      <c r="DB304" s="36"/>
      <c r="DC304" s="36"/>
      <c r="DD304" s="36"/>
      <c r="DE304" s="36"/>
      <c r="DF304" s="36"/>
      <c r="DG304" s="36"/>
      <c r="DH304" s="36"/>
      <c r="DI304" s="36"/>
      <c r="DJ304" s="36"/>
      <c r="DK304" s="36"/>
      <c r="DL304" s="36"/>
      <c r="DM304" s="36"/>
      <c r="DN304" s="36"/>
      <c r="DO304" s="36"/>
      <c r="DP304" s="36"/>
      <c r="DQ304" s="36"/>
      <c r="DR304" s="36"/>
      <c r="DS304" s="36"/>
      <c r="DT304" s="36"/>
      <c r="DU304" s="36"/>
      <c r="DV304" s="36"/>
      <c r="DW304" s="36"/>
      <c r="DX304" s="36"/>
      <c r="DY304" s="36"/>
      <c r="DZ304" s="36"/>
      <c r="EA304" s="36"/>
      <c r="EB304" s="36"/>
      <c r="EC304" s="36"/>
      <c r="ED304" s="36"/>
      <c r="EE304" s="36"/>
      <c r="EF304" s="36"/>
      <c r="EG304" s="36"/>
      <c r="EH304" s="36"/>
      <c r="EI304" s="36"/>
      <c r="EJ304" s="36"/>
      <c r="EK304" s="36"/>
      <c r="EL304" s="36"/>
      <c r="EM304" s="36"/>
      <c r="EN304" s="36"/>
      <c r="EO304" s="36">
        <v>4</v>
      </c>
      <c r="EP304" s="36"/>
      <c r="EQ304" s="36"/>
      <c r="ER304" s="36"/>
      <c r="ES304" s="36"/>
      <c r="ET304" s="36"/>
      <c r="EU304" s="36"/>
      <c r="EV304" s="36"/>
      <c r="EW304" s="36"/>
      <c r="EX304" s="36"/>
      <c r="EY304" s="36"/>
      <c r="EZ304" s="36"/>
      <c r="FA304" s="36"/>
      <c r="FB304" s="36"/>
      <c r="FC304" s="36"/>
      <c r="FD304" s="36"/>
      <c r="FE304" s="36"/>
      <c r="FF304" s="36"/>
      <c r="FG304" s="36"/>
      <c r="FH304" s="36"/>
      <c r="FI304" s="36"/>
      <c r="FJ304" s="36"/>
      <c r="FK304" s="36"/>
      <c r="FL304" s="36"/>
      <c r="FM304" s="36"/>
      <c r="FN304" s="36"/>
      <c r="FO304" s="36"/>
      <c r="FP304" s="36"/>
      <c r="FQ304" s="36"/>
      <c r="FR304" s="36"/>
      <c r="FS304" s="36"/>
      <c r="FT304" s="36"/>
      <c r="FU304" s="36"/>
      <c r="FV304" s="36"/>
      <c r="FW304" s="36"/>
      <c r="FX304" s="36"/>
      <c r="FY304" s="36"/>
      <c r="FZ304" s="36"/>
      <c r="GA304" s="6"/>
      <c r="GB304" s="6"/>
      <c r="GC304" s="36"/>
      <c r="GD304" s="36"/>
      <c r="GE304" s="36"/>
      <c r="GF304" s="36"/>
      <c r="GG304" s="36"/>
      <c r="GH304" s="36"/>
      <c r="GI304" s="36"/>
      <c r="GJ304" s="36"/>
      <c r="GK304" s="36"/>
      <c r="GL304" s="36"/>
      <c r="GM304" s="36"/>
      <c r="GN304" s="36"/>
      <c r="GO304" s="36"/>
      <c r="GP304" s="36"/>
      <c r="GQ304" s="36"/>
      <c r="GR304" s="36"/>
      <c r="GS304" s="36"/>
      <c r="GT304" s="36"/>
      <c r="GU304" s="36"/>
      <c r="GV304" s="6"/>
      <c r="GW304" s="36"/>
      <c r="GX304" s="36"/>
      <c r="GY304" s="36"/>
      <c r="GZ304" s="36"/>
      <c r="HA304" s="36"/>
      <c r="HB304" s="36"/>
      <c r="HC304" s="36"/>
      <c r="HD304" s="36"/>
      <c r="HE304" s="36"/>
      <c r="HF304" s="36"/>
      <c r="HG304" s="36"/>
      <c r="HH304" s="36"/>
      <c r="HI304" s="36"/>
      <c r="HJ304" s="36"/>
      <c r="HK304" s="36"/>
      <c r="HL304" s="36"/>
      <c r="HM304" s="36"/>
      <c r="HN304" s="36"/>
      <c r="HO304" s="36"/>
      <c r="HP304" s="36"/>
      <c r="HQ304" s="36"/>
      <c r="HR304" s="36"/>
      <c r="HS304" s="36"/>
      <c r="HT304" s="36"/>
      <c r="HU304" s="36"/>
      <c r="HV304" s="36"/>
      <c r="HW304" s="36"/>
      <c r="HX304" s="36"/>
      <c r="HY304" s="36"/>
      <c r="HZ304" s="36"/>
      <c r="IA304" s="36"/>
      <c r="IB304" s="36"/>
      <c r="IC304" s="36"/>
      <c r="ID304" s="36"/>
      <c r="IE304" s="36"/>
      <c r="IF304" s="36"/>
      <c r="IG304" s="36"/>
      <c r="IH304" s="36"/>
      <c r="II304" s="36"/>
      <c r="IJ304" s="36"/>
      <c r="IK304" s="36"/>
      <c r="IL304" s="36"/>
      <c r="IM304" s="36"/>
      <c r="IN304" s="36"/>
      <c r="IO304" s="36"/>
      <c r="IP304" s="36"/>
      <c r="IR304" s="2" t="s">
        <v>543</v>
      </c>
    </row>
    <row r="305" spans="1:252" ht="15.75" customHeight="1" x14ac:dyDescent="0.25">
      <c r="A305" s="36" t="s">
        <v>1111</v>
      </c>
      <c r="B305" s="36" t="s">
        <v>1113</v>
      </c>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6"/>
      <c r="BQ305" s="6"/>
      <c r="BR305" s="6"/>
      <c r="BS305" s="6"/>
      <c r="BT305" s="6"/>
      <c r="BU305" s="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c r="DP305" s="36"/>
      <c r="DQ305" s="36"/>
      <c r="DR305" s="36"/>
      <c r="DS305" s="36"/>
      <c r="DT305" s="36"/>
      <c r="DU305" s="36"/>
      <c r="DV305" s="36"/>
      <c r="DW305" s="36"/>
      <c r="DX305" s="36"/>
      <c r="DY305" s="36"/>
      <c r="DZ305" s="36"/>
      <c r="EA305" s="36"/>
      <c r="EB305" s="36"/>
      <c r="EC305" s="36"/>
      <c r="ED305" s="36"/>
      <c r="EE305" s="36"/>
      <c r="EF305" s="36"/>
      <c r="EG305" s="36"/>
      <c r="EH305" s="36"/>
      <c r="EI305" s="36"/>
      <c r="EJ305" s="36"/>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6"/>
      <c r="GB305" s="6"/>
      <c r="GC305" s="36"/>
      <c r="GD305" s="36"/>
      <c r="GE305" s="36"/>
      <c r="GF305" s="36"/>
      <c r="GG305" s="36"/>
      <c r="GH305" s="36"/>
      <c r="GI305" s="36"/>
      <c r="GJ305" s="36"/>
      <c r="GK305" s="36"/>
      <c r="GL305" s="36"/>
      <c r="GM305" s="36"/>
      <c r="GN305" s="36"/>
      <c r="GO305" s="36"/>
      <c r="GP305" s="36"/>
      <c r="GQ305" s="36"/>
      <c r="GR305" s="36"/>
      <c r="GS305" s="36"/>
      <c r="GT305" s="36"/>
      <c r="GU305" s="36"/>
      <c r="GV305" s="6"/>
      <c r="GW305" s="36"/>
      <c r="GX305" s="36"/>
      <c r="GY305" s="36"/>
      <c r="GZ305" s="36"/>
      <c r="HA305" s="36"/>
      <c r="HB305" s="36"/>
      <c r="HC305" s="36"/>
      <c r="HD305" s="36"/>
      <c r="HE305" s="36"/>
      <c r="HF305" s="36"/>
      <c r="HG305" s="36"/>
      <c r="HH305" s="36"/>
      <c r="HI305" s="36"/>
      <c r="HJ305" s="36"/>
      <c r="HK305" s="36"/>
      <c r="HL305" s="36"/>
      <c r="HM305" s="36"/>
      <c r="HN305" s="36"/>
      <c r="HO305" s="36"/>
      <c r="HP305" s="36"/>
      <c r="HQ305" s="36"/>
      <c r="HR305" s="36"/>
      <c r="HS305" s="36"/>
      <c r="HT305" s="36"/>
      <c r="HU305" s="36"/>
      <c r="HV305" s="36"/>
      <c r="HW305" s="36"/>
      <c r="HX305" s="36"/>
      <c r="HY305" s="36"/>
      <c r="HZ305" s="36"/>
      <c r="IA305" s="36"/>
      <c r="IB305" s="36"/>
      <c r="IC305" s="36"/>
      <c r="ID305" s="36"/>
      <c r="IE305" s="36"/>
      <c r="IF305" s="36"/>
      <c r="IG305" s="36"/>
      <c r="IH305" s="36"/>
      <c r="II305" s="36"/>
      <c r="IJ305" s="36"/>
      <c r="IK305" s="36"/>
      <c r="IL305" s="36"/>
      <c r="IM305" s="36"/>
      <c r="IN305" s="36"/>
      <c r="IO305" s="36"/>
      <c r="IP305" s="36"/>
      <c r="IR305" s="2" t="s">
        <v>543</v>
      </c>
    </row>
    <row r="306" spans="1:252" ht="15.75" customHeight="1" x14ac:dyDescent="0.25">
      <c r="A306" s="36" t="s">
        <v>1114</v>
      </c>
      <c r="B306" s="36" t="s">
        <v>1115</v>
      </c>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6"/>
      <c r="BQ306" s="6"/>
      <c r="BR306" s="6"/>
      <c r="BS306" s="6"/>
      <c r="BT306" s="6"/>
      <c r="BU306" s="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c r="DP306" s="36"/>
      <c r="DQ306" s="36"/>
      <c r="DR306" s="36"/>
      <c r="DS306" s="36"/>
      <c r="DT306" s="36"/>
      <c r="DU306" s="36"/>
      <c r="DV306" s="36"/>
      <c r="DW306" s="36"/>
      <c r="DX306" s="36"/>
      <c r="DY306" s="36"/>
      <c r="DZ306" s="36"/>
      <c r="EA306" s="36"/>
      <c r="EB306" s="36"/>
      <c r="EC306" s="36"/>
      <c r="ED306" s="36"/>
      <c r="EE306" s="36"/>
      <c r="EF306" s="36"/>
      <c r="EG306" s="36"/>
      <c r="EH306" s="36"/>
      <c r="EI306" s="36"/>
      <c r="EJ306" s="36"/>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6"/>
      <c r="GB306" s="6"/>
      <c r="GC306" s="36"/>
      <c r="GD306" s="36"/>
      <c r="GE306" s="36"/>
      <c r="GF306" s="36"/>
      <c r="GG306" s="36"/>
      <c r="GH306" s="36"/>
      <c r="GI306" s="36"/>
      <c r="GJ306" s="36"/>
      <c r="GK306" s="36"/>
      <c r="GL306" s="36"/>
      <c r="GM306" s="36"/>
      <c r="GN306" s="36"/>
      <c r="GO306" s="36"/>
      <c r="GP306" s="36"/>
      <c r="GQ306" s="36"/>
      <c r="GR306" s="36"/>
      <c r="GS306" s="36"/>
      <c r="GT306" s="36"/>
      <c r="GU306" s="36"/>
      <c r="GV306" s="6"/>
      <c r="GW306" s="36"/>
      <c r="GX306" s="36"/>
      <c r="GY306" s="36"/>
      <c r="GZ306" s="36"/>
      <c r="HA306" s="36"/>
      <c r="HB306" s="36"/>
      <c r="HC306" s="36"/>
      <c r="HD306" s="36"/>
      <c r="HE306" s="36"/>
      <c r="HF306" s="36"/>
      <c r="HG306" s="36"/>
      <c r="HH306" s="36"/>
      <c r="HI306" s="36"/>
      <c r="HJ306" s="36"/>
      <c r="HK306" s="36"/>
      <c r="HL306" s="36"/>
      <c r="HM306" s="36"/>
      <c r="HN306" s="36"/>
      <c r="HO306" s="36"/>
      <c r="HP306" s="36"/>
      <c r="HQ306" s="36"/>
      <c r="HR306" s="36"/>
      <c r="HS306" s="36"/>
      <c r="HT306" s="36"/>
      <c r="HU306" s="36"/>
      <c r="HV306" s="36"/>
      <c r="HW306" s="36"/>
      <c r="HX306" s="36"/>
      <c r="HY306" s="36"/>
      <c r="HZ306" s="36"/>
      <c r="IA306" s="36">
        <v>12</v>
      </c>
      <c r="IB306" s="36">
        <v>172</v>
      </c>
      <c r="IC306" s="36">
        <v>16</v>
      </c>
      <c r="ID306" s="36">
        <v>8</v>
      </c>
      <c r="IE306" s="36"/>
      <c r="IF306" s="36"/>
      <c r="IG306" s="36"/>
      <c r="IH306" s="36"/>
      <c r="II306" s="36"/>
      <c r="IJ306" s="36"/>
      <c r="IK306" s="36"/>
      <c r="IL306" s="36"/>
      <c r="IM306" s="36"/>
      <c r="IN306" s="36"/>
      <c r="IO306" s="36"/>
      <c r="IP306" s="36"/>
      <c r="IR306" s="2" t="s">
        <v>543</v>
      </c>
    </row>
    <row r="307" spans="1:252" ht="15.75" customHeight="1" x14ac:dyDescent="0.25">
      <c r="A307" s="36" t="s">
        <v>1117</v>
      </c>
      <c r="B307" s="36" t="s">
        <v>1118</v>
      </c>
      <c r="C307" s="36"/>
      <c r="D307" s="36"/>
      <c r="E307" s="36">
        <v>10</v>
      </c>
      <c r="F307" s="36"/>
      <c r="G307" s="36"/>
      <c r="H307" s="36"/>
      <c r="I307" s="36">
        <v>25</v>
      </c>
      <c r="J307" s="36">
        <v>15</v>
      </c>
      <c r="K307" s="80">
        <v>10</v>
      </c>
      <c r="L307" s="36"/>
      <c r="M307" s="36"/>
      <c r="N307" s="36">
        <v>25</v>
      </c>
      <c r="O307" s="36"/>
      <c r="P307" s="36"/>
      <c r="Q307" s="36"/>
      <c r="R307" s="36"/>
      <c r="S307" s="36"/>
      <c r="T307" s="36"/>
      <c r="U307" s="36"/>
      <c r="V307" s="36">
        <v>10</v>
      </c>
      <c r="W307" s="36"/>
      <c r="X307" s="36">
        <v>20</v>
      </c>
      <c r="Y307" s="36"/>
      <c r="Z307" s="36"/>
      <c r="AA307" s="36"/>
      <c r="AB307" s="36"/>
      <c r="AC307" s="36"/>
      <c r="AD307" s="36">
        <v>15</v>
      </c>
      <c r="AE307" s="36"/>
      <c r="AF307" s="36">
        <v>10</v>
      </c>
      <c r="AG307" s="36"/>
      <c r="AH307" s="36"/>
      <c r="AI307" s="36"/>
      <c r="AJ307" s="36"/>
      <c r="AK307" s="36">
        <v>20</v>
      </c>
      <c r="AL307" s="36"/>
      <c r="AM307" s="36"/>
      <c r="AN307" s="36"/>
      <c r="AO307" s="36"/>
      <c r="AP307" s="36"/>
      <c r="AQ307" s="36"/>
      <c r="AR307" s="36"/>
      <c r="AS307" s="36"/>
      <c r="AT307" s="36"/>
      <c r="AU307" s="36">
        <v>20</v>
      </c>
      <c r="AV307" s="36">
        <v>5</v>
      </c>
      <c r="AW307" s="36"/>
      <c r="AX307" s="36"/>
      <c r="AY307" s="36"/>
      <c r="AZ307" s="36"/>
      <c r="BA307" s="36"/>
      <c r="BB307" s="36"/>
      <c r="BC307" s="36"/>
      <c r="BD307" s="36"/>
      <c r="BE307" s="36"/>
      <c r="BF307" s="36"/>
      <c r="BG307" s="36"/>
      <c r="BH307" s="36"/>
      <c r="BI307" s="36"/>
      <c r="BJ307" s="36"/>
      <c r="BK307" s="36"/>
      <c r="BL307" s="36"/>
      <c r="BM307" s="36"/>
      <c r="BN307" s="36"/>
      <c r="BO307" s="36"/>
      <c r="BP307" s="6"/>
      <c r="BQ307" s="6"/>
      <c r="BR307" s="6"/>
      <c r="BS307" s="6"/>
      <c r="BT307" s="6"/>
      <c r="BU307" s="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v>24</v>
      </c>
      <c r="CS307" s="36"/>
      <c r="CT307" s="36"/>
      <c r="CU307" s="36"/>
      <c r="CV307" s="36"/>
      <c r="CW307" s="36"/>
      <c r="CX307" s="36">
        <v>6</v>
      </c>
      <c r="CY307" s="36"/>
      <c r="CZ307" s="36">
        <f>42+4+2</f>
        <v>48</v>
      </c>
      <c r="DA307" s="36"/>
      <c r="DB307" s="36"/>
      <c r="DC307" s="36">
        <v>22</v>
      </c>
      <c r="DD307" s="36">
        <v>12</v>
      </c>
      <c r="DE307" s="36">
        <v>12</v>
      </c>
      <c r="DF307" s="36">
        <v>24</v>
      </c>
      <c r="DG307" s="36"/>
      <c r="DH307" s="36">
        <v>12</v>
      </c>
      <c r="DI307" s="36">
        <v>12</v>
      </c>
      <c r="DJ307" s="36"/>
      <c r="DK307" s="36"/>
      <c r="DL307" s="36">
        <v>8</v>
      </c>
      <c r="DM307" s="36"/>
      <c r="DN307" s="36">
        <v>12</v>
      </c>
      <c r="DO307" s="36">
        <v>3</v>
      </c>
      <c r="DP307" s="36"/>
      <c r="DQ307" s="36">
        <v>8</v>
      </c>
      <c r="DR307" s="36"/>
      <c r="DS307" s="36"/>
      <c r="DT307" s="36"/>
      <c r="DU307" s="36">
        <v>10</v>
      </c>
      <c r="DV307" s="36"/>
      <c r="DW307" s="36"/>
      <c r="DX307" s="36"/>
      <c r="DY307" s="36"/>
      <c r="DZ307" s="36"/>
      <c r="EA307" s="36"/>
      <c r="EB307" s="36"/>
      <c r="EC307" s="36"/>
      <c r="ED307" s="36"/>
      <c r="EE307" s="36"/>
      <c r="EF307" s="36"/>
      <c r="EG307" s="36"/>
      <c r="EH307" s="36"/>
      <c r="EI307" s="36">
        <v>6</v>
      </c>
      <c r="EJ307" s="36">
        <v>12</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6"/>
      <c r="GB307" s="6"/>
      <c r="GC307" s="36"/>
      <c r="GD307" s="36"/>
      <c r="GE307" s="36"/>
      <c r="GF307" s="36"/>
      <c r="GG307" s="36"/>
      <c r="GH307" s="36"/>
      <c r="GI307" s="36"/>
      <c r="GJ307" s="36"/>
      <c r="GK307" s="36"/>
      <c r="GL307" s="36"/>
      <c r="GM307" s="36"/>
      <c r="GN307" s="36"/>
      <c r="GO307" s="36"/>
      <c r="GP307" s="36"/>
      <c r="GQ307" s="36"/>
      <c r="GR307" s="36"/>
      <c r="GS307" s="36"/>
      <c r="GT307" s="36"/>
      <c r="GU307" s="36"/>
      <c r="GV307" s="6"/>
      <c r="GW307" s="36"/>
      <c r="GX307" s="36"/>
      <c r="GY307" s="36"/>
      <c r="GZ307" s="36"/>
      <c r="HA307" s="36"/>
      <c r="HB307" s="36"/>
      <c r="HC307" s="36"/>
      <c r="HD307" s="36"/>
      <c r="HE307" s="36"/>
      <c r="HF307" s="36"/>
      <c r="HG307" s="36"/>
      <c r="HH307" s="36"/>
      <c r="HI307" s="36"/>
      <c r="HJ307" s="36"/>
      <c r="HK307" s="36"/>
      <c r="HL307" s="36"/>
      <c r="HM307" s="36"/>
      <c r="HN307" s="36"/>
      <c r="HO307" s="36"/>
      <c r="HP307" s="36"/>
      <c r="HQ307" s="36"/>
      <c r="HR307" s="36"/>
      <c r="HS307" s="36"/>
      <c r="HT307" s="36"/>
      <c r="HU307" s="36"/>
      <c r="HV307" s="36"/>
      <c r="HW307" s="36"/>
      <c r="HX307" s="36"/>
      <c r="HY307" s="36"/>
      <c r="HZ307" s="36"/>
      <c r="IA307" s="36"/>
      <c r="IB307" s="36"/>
      <c r="IC307" s="36"/>
      <c r="ID307" s="36"/>
      <c r="IE307" s="36"/>
      <c r="IF307" s="36"/>
      <c r="IG307" s="36"/>
      <c r="IH307" s="36"/>
      <c r="II307" s="36"/>
      <c r="IJ307" s="36"/>
      <c r="IK307" s="36"/>
      <c r="IL307" s="36"/>
      <c r="IM307" s="36"/>
      <c r="IN307" s="36"/>
      <c r="IO307" s="36"/>
      <c r="IP307" s="36"/>
      <c r="IR307" s="2" t="s">
        <v>543</v>
      </c>
    </row>
    <row r="308" spans="1:252" ht="15.75" customHeight="1" x14ac:dyDescent="0.25">
      <c r="A308" s="36" t="s">
        <v>1117</v>
      </c>
      <c r="B308" s="36" t="s">
        <v>1119</v>
      </c>
      <c r="C308" s="36"/>
      <c r="D308" s="36"/>
      <c r="E308" s="36"/>
      <c r="F308" s="36"/>
      <c r="G308" s="36"/>
      <c r="H308" s="36"/>
      <c r="I308" s="36"/>
      <c r="J308" s="36">
        <v>10</v>
      </c>
      <c r="K308" s="80">
        <v>10</v>
      </c>
      <c r="L308" s="36"/>
      <c r="M308" s="36">
        <v>10</v>
      </c>
      <c r="N308" s="36">
        <v>25</v>
      </c>
      <c r="O308" s="36"/>
      <c r="P308" s="36"/>
      <c r="Q308" s="36"/>
      <c r="R308" s="36"/>
      <c r="S308" s="36">
        <v>20</v>
      </c>
      <c r="T308" s="36"/>
      <c r="U308" s="36"/>
      <c r="V308" s="36"/>
      <c r="W308" s="36"/>
      <c r="X308" s="36"/>
      <c r="Y308" s="36"/>
      <c r="Z308" s="36"/>
      <c r="AA308" s="36"/>
      <c r="AB308" s="36"/>
      <c r="AC308" s="36"/>
      <c r="AD308" s="36"/>
      <c r="AE308" s="36"/>
      <c r="AF308" s="36"/>
      <c r="AG308" s="36"/>
      <c r="AH308" s="36"/>
      <c r="AI308" s="36"/>
      <c r="AJ308" s="36"/>
      <c r="AK308" s="36"/>
      <c r="AL308" s="36">
        <v>10</v>
      </c>
      <c r="AM308" s="36">
        <v>5</v>
      </c>
      <c r="AN308" s="36"/>
      <c r="AO308" s="36"/>
      <c r="AP308" s="36"/>
      <c r="AQ308" s="36"/>
      <c r="AR308" s="36"/>
      <c r="AS308" s="36"/>
      <c r="AT308" s="36"/>
      <c r="AU308" s="36">
        <v>15</v>
      </c>
      <c r="AV308" s="36"/>
      <c r="AW308" s="36"/>
      <c r="AX308" s="36"/>
      <c r="AY308" s="36"/>
      <c r="AZ308" s="36"/>
      <c r="BA308" s="36"/>
      <c r="BB308" s="36"/>
      <c r="BC308" s="36"/>
      <c r="BD308" s="36"/>
      <c r="BE308" s="36"/>
      <c r="BF308" s="36"/>
      <c r="BG308" s="36"/>
      <c r="BH308" s="36"/>
      <c r="BI308" s="36"/>
      <c r="BJ308" s="36"/>
      <c r="BK308" s="36"/>
      <c r="BL308" s="36"/>
      <c r="BM308" s="36"/>
      <c r="BN308" s="36"/>
      <c r="BO308" s="36"/>
      <c r="BP308" s="6"/>
      <c r="BQ308" s="6"/>
      <c r="BR308" s="6"/>
      <c r="BS308" s="6"/>
      <c r="BT308" s="6"/>
      <c r="BU308" s="6"/>
      <c r="BV308" s="36"/>
      <c r="BW308" s="36"/>
      <c r="BX308" s="36"/>
      <c r="BY308" s="36"/>
      <c r="BZ308" s="36"/>
      <c r="CA308" s="36"/>
      <c r="CB308" s="36"/>
      <c r="CC308" s="36"/>
      <c r="CD308" s="36"/>
      <c r="CE308" s="36"/>
      <c r="CF308" s="36">
        <v>60</v>
      </c>
      <c r="CG308" s="36"/>
      <c r="CH308" s="36">
        <v>30</v>
      </c>
      <c r="CI308" s="36">
        <v>80</v>
      </c>
      <c r="CJ308" s="36"/>
      <c r="CK308" s="36"/>
      <c r="CL308" s="36"/>
      <c r="CM308" s="36"/>
      <c r="CN308" s="36"/>
      <c r="CO308" s="36"/>
      <c r="CP308" s="36"/>
      <c r="CQ308" s="36"/>
      <c r="CR308" s="36">
        <v>24</v>
      </c>
      <c r="CS308" s="36">
        <v>24</v>
      </c>
      <c r="CT308" s="36"/>
      <c r="CU308" s="36"/>
      <c r="CV308" s="36"/>
      <c r="CW308" s="36"/>
      <c r="CX308" s="36"/>
      <c r="CY308" s="36"/>
      <c r="CZ308" s="36"/>
      <c r="DA308" s="36"/>
      <c r="DB308" s="36"/>
      <c r="DC308" s="36"/>
      <c r="DD308" s="36"/>
      <c r="DE308" s="36"/>
      <c r="DF308" s="36"/>
      <c r="DG308" s="36"/>
      <c r="DH308" s="36"/>
      <c r="DI308" s="36"/>
      <c r="DJ308" s="36"/>
      <c r="DK308" s="36"/>
      <c r="DL308" s="36"/>
      <c r="DM308" s="36"/>
      <c r="DN308" s="36"/>
      <c r="DO308" s="36"/>
      <c r="DP308" s="36"/>
      <c r="DQ308" s="36">
        <v>24</v>
      </c>
      <c r="DR308" s="36"/>
      <c r="DS308" s="36"/>
      <c r="DT308" s="36"/>
      <c r="DU308" s="36"/>
      <c r="DV308" s="36"/>
      <c r="DW308" s="36"/>
      <c r="DX308" s="36"/>
      <c r="DY308" s="36"/>
      <c r="DZ308" s="36"/>
      <c r="EA308" s="36"/>
      <c r="EB308" s="36"/>
      <c r="EC308" s="36"/>
      <c r="ED308" s="36"/>
      <c r="EE308" s="36"/>
      <c r="EF308" s="36"/>
      <c r="EG308" s="36"/>
      <c r="EH308" s="36"/>
      <c r="EI308" s="36"/>
      <c r="EJ308" s="36"/>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6"/>
      <c r="GB308" s="6"/>
      <c r="GC308" s="36"/>
      <c r="GD308" s="36"/>
      <c r="GE308" s="36"/>
      <c r="GF308" s="36">
        <v>99</v>
      </c>
      <c r="GG308" s="36"/>
      <c r="GH308" s="36">
        <v>20</v>
      </c>
      <c r="GI308" s="36"/>
      <c r="GJ308" s="36"/>
      <c r="GK308" s="36"/>
      <c r="GL308" s="36"/>
      <c r="GM308" s="36"/>
      <c r="GN308" s="36"/>
      <c r="GO308" s="36"/>
      <c r="GP308" s="36"/>
      <c r="GQ308" s="36"/>
      <c r="GR308" s="36"/>
      <c r="GS308" s="36"/>
      <c r="GT308" s="36"/>
      <c r="GU308" s="36"/>
      <c r="GV308" s="6"/>
      <c r="GW308" s="36"/>
      <c r="GX308" s="36"/>
      <c r="GY308" s="36"/>
      <c r="GZ308" s="36"/>
      <c r="HA308" s="36"/>
      <c r="HB308" s="36"/>
      <c r="HC308" s="36"/>
      <c r="HD308" s="36"/>
      <c r="HE308" s="36"/>
      <c r="HF308" s="36"/>
      <c r="HG308" s="36"/>
      <c r="HH308" s="36"/>
      <c r="HI308" s="36"/>
      <c r="HJ308" s="36"/>
      <c r="HK308" s="36"/>
      <c r="HL308" s="36"/>
      <c r="HM308" s="36"/>
      <c r="HN308" s="36"/>
      <c r="HO308" s="36"/>
      <c r="HP308" s="36"/>
      <c r="HQ308" s="36"/>
      <c r="HR308" s="36"/>
      <c r="HS308" s="36"/>
      <c r="HT308" s="36"/>
      <c r="HU308" s="36"/>
      <c r="HV308" s="36"/>
      <c r="HW308" s="36"/>
      <c r="HX308" s="36"/>
      <c r="HY308" s="36"/>
      <c r="HZ308" s="36"/>
      <c r="IA308" s="36"/>
      <c r="IB308" s="36"/>
      <c r="IC308" s="36"/>
      <c r="ID308" s="36"/>
      <c r="IE308" s="36"/>
      <c r="IF308" s="36"/>
      <c r="IG308" s="36"/>
      <c r="IH308" s="36"/>
      <c r="II308" s="36"/>
      <c r="IJ308" s="36"/>
      <c r="IK308" s="36"/>
      <c r="IL308" s="36"/>
      <c r="IM308" s="36"/>
      <c r="IN308" s="36"/>
      <c r="IO308" s="36"/>
      <c r="IP308" s="36"/>
      <c r="IR308" s="2" t="s">
        <v>543</v>
      </c>
    </row>
    <row r="309" spans="1:252" ht="15.75" customHeight="1" x14ac:dyDescent="0.25">
      <c r="A309" s="36" t="s">
        <v>1117</v>
      </c>
      <c r="B309" s="36" t="s">
        <v>1120</v>
      </c>
      <c r="C309" s="36"/>
      <c r="D309" s="36"/>
      <c r="E309" s="36"/>
      <c r="F309" s="36"/>
      <c r="G309" s="36"/>
      <c r="H309" s="36"/>
      <c r="I309" s="36">
        <v>25</v>
      </c>
      <c r="J309" s="36"/>
      <c r="K309" s="201">
        <v>10</v>
      </c>
      <c r="L309" s="36"/>
      <c r="M309" s="36"/>
      <c r="N309" s="36">
        <v>25</v>
      </c>
      <c r="O309" s="36"/>
      <c r="P309" s="36"/>
      <c r="Q309" s="36"/>
      <c r="R309" s="36"/>
      <c r="S309" s="36"/>
      <c r="T309" s="36"/>
      <c r="U309" s="36"/>
      <c r="V309" s="36"/>
      <c r="W309" s="36"/>
      <c r="X309" s="36">
        <v>25</v>
      </c>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v>5</v>
      </c>
      <c r="AU309" s="36">
        <v>10</v>
      </c>
      <c r="AV309" s="36"/>
      <c r="AW309" s="36"/>
      <c r="AX309" s="36"/>
      <c r="AY309" s="36"/>
      <c r="AZ309" s="36"/>
      <c r="BA309" s="36"/>
      <c r="BB309" s="36"/>
      <c r="BC309" s="36"/>
      <c r="BD309" s="36"/>
      <c r="BE309" s="36"/>
      <c r="BF309" s="36"/>
      <c r="BG309" s="36"/>
      <c r="BH309" s="36"/>
      <c r="BI309" s="36"/>
      <c r="BJ309" s="36"/>
      <c r="BK309" s="36"/>
      <c r="BL309" s="36"/>
      <c r="BM309" s="36"/>
      <c r="BN309" s="36"/>
      <c r="BO309" s="36"/>
      <c r="BP309" s="6"/>
      <c r="BQ309" s="6"/>
      <c r="BR309" s="6"/>
      <c r="BS309" s="6"/>
      <c r="BT309" s="6"/>
      <c r="BU309" s="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v>24</v>
      </c>
      <c r="DA309" s="36"/>
      <c r="DB309" s="36"/>
      <c r="DC309" s="36"/>
      <c r="DD309" s="36"/>
      <c r="DE309" s="36"/>
      <c r="DF309" s="36"/>
      <c r="DG309" s="36"/>
      <c r="DH309" s="36">
        <v>48</v>
      </c>
      <c r="DI309" s="36"/>
      <c r="DJ309" s="36"/>
      <c r="DK309" s="36"/>
      <c r="DL309" s="36"/>
      <c r="DM309" s="36"/>
      <c r="DN309" s="36">
        <v>6</v>
      </c>
      <c r="DO309" s="36"/>
      <c r="DP309" s="36"/>
      <c r="DQ309" s="36">
        <v>8</v>
      </c>
      <c r="DR309" s="36"/>
      <c r="DS309" s="36"/>
      <c r="DT309" s="36"/>
      <c r="DU309" s="36"/>
      <c r="DV309" s="36"/>
      <c r="DW309" s="36"/>
      <c r="DX309" s="36"/>
      <c r="DY309" s="36"/>
      <c r="DZ309" s="36"/>
      <c r="EA309" s="36"/>
      <c r="EB309" s="36"/>
      <c r="EC309" s="36"/>
      <c r="ED309" s="36"/>
      <c r="EE309" s="36"/>
      <c r="EF309" s="36"/>
      <c r="EG309" s="36"/>
      <c r="EH309" s="36"/>
      <c r="EI309" s="36"/>
      <c r="EJ309" s="36"/>
      <c r="EK309" s="36">
        <v>24</v>
      </c>
      <c r="EL309" s="36"/>
      <c r="EM309" s="36"/>
      <c r="EN309" s="36"/>
      <c r="EO309" s="36"/>
      <c r="EP309" s="36"/>
      <c r="EQ309" s="36"/>
      <c r="ER309" s="36"/>
      <c r="ES309" s="36"/>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6"/>
      <c r="GB309" s="6"/>
      <c r="GC309" s="36"/>
      <c r="GD309" s="36"/>
      <c r="GE309" s="36"/>
      <c r="GF309" s="36"/>
      <c r="GG309" s="36"/>
      <c r="GH309" s="36"/>
      <c r="GI309" s="36"/>
      <c r="GJ309" s="36"/>
      <c r="GK309" s="36"/>
      <c r="GL309" s="36"/>
      <c r="GM309" s="36"/>
      <c r="GN309" s="36"/>
      <c r="GO309" s="36"/>
      <c r="GP309" s="36"/>
      <c r="GQ309" s="36"/>
      <c r="GR309" s="36"/>
      <c r="GS309" s="36"/>
      <c r="GT309" s="36"/>
      <c r="GU309" s="36"/>
      <c r="GV309" s="6"/>
      <c r="GW309" s="36"/>
      <c r="GX309" s="36"/>
      <c r="GY309" s="36"/>
      <c r="GZ309" s="36"/>
      <c r="HA309" s="36"/>
      <c r="HB309" s="36"/>
      <c r="HC309" s="36"/>
      <c r="HD309" s="36"/>
      <c r="HE309" s="36"/>
      <c r="HF309" s="36"/>
      <c r="HG309" s="36"/>
      <c r="HH309" s="36"/>
      <c r="HI309" s="36"/>
      <c r="HJ309" s="36"/>
      <c r="HK309" s="36"/>
      <c r="HL309" s="36"/>
      <c r="HM309" s="36"/>
      <c r="HN309" s="36"/>
      <c r="HO309" s="36"/>
      <c r="HP309" s="36"/>
      <c r="HQ309" s="36"/>
      <c r="HR309" s="36"/>
      <c r="HS309" s="36"/>
      <c r="HT309" s="36"/>
      <c r="HU309" s="36"/>
      <c r="HV309" s="36"/>
      <c r="HW309" s="36"/>
      <c r="HX309" s="36"/>
      <c r="HY309" s="36"/>
      <c r="HZ309" s="36"/>
      <c r="IA309" s="36"/>
      <c r="IB309" s="36"/>
      <c r="IC309" s="36"/>
      <c r="ID309" s="36"/>
      <c r="IE309" s="36"/>
      <c r="IF309" s="36"/>
      <c r="IG309" s="36"/>
      <c r="IH309" s="36"/>
      <c r="II309" s="36"/>
      <c r="IJ309" s="36"/>
      <c r="IK309" s="36"/>
      <c r="IL309" s="36"/>
      <c r="IM309" s="36"/>
      <c r="IN309" s="36"/>
      <c r="IO309" s="36"/>
      <c r="IP309" s="36"/>
      <c r="IR309" s="2" t="s">
        <v>543</v>
      </c>
    </row>
    <row r="310" spans="1:252" ht="15.75" customHeight="1" x14ac:dyDescent="0.25">
      <c r="A310" s="36" t="s">
        <v>1122</v>
      </c>
      <c r="B310" s="36" t="s">
        <v>1123</v>
      </c>
      <c r="C310" s="36"/>
      <c r="D310" s="36">
        <v>75</v>
      </c>
      <c r="E310" s="36"/>
      <c r="F310" s="80">
        <v>50</v>
      </c>
      <c r="G310" s="36"/>
      <c r="H310" s="36"/>
      <c r="I310" s="36"/>
      <c r="J310" s="36"/>
      <c r="K310" s="36"/>
      <c r="L310" s="36"/>
      <c r="M310" s="36"/>
      <c r="N310" s="36"/>
      <c r="O310" s="36"/>
      <c r="P310" s="36">
        <v>25</v>
      </c>
      <c r="Q310" s="36">
        <v>22</v>
      </c>
      <c r="R310" s="36"/>
      <c r="S310" s="36"/>
      <c r="T310" s="36"/>
      <c r="U310" s="36">
        <v>26</v>
      </c>
      <c r="V310" s="36"/>
      <c r="W310" s="36"/>
      <c r="X310" s="36"/>
      <c r="Y310" s="36"/>
      <c r="Z310" s="36"/>
      <c r="AA310" s="36"/>
      <c r="AB310" s="36">
        <v>1</v>
      </c>
      <c r="AC310" s="36">
        <v>35</v>
      </c>
      <c r="AD310" s="36"/>
      <c r="AE310" s="36">
        <v>50</v>
      </c>
      <c r="AF310" s="36"/>
      <c r="AG310" s="36"/>
      <c r="AH310" s="36"/>
      <c r="AI310" s="36"/>
      <c r="AJ310" s="80">
        <v>50</v>
      </c>
      <c r="AK310" s="36"/>
      <c r="AL310" s="36"/>
      <c r="AM310" s="36"/>
      <c r="AN310" s="36"/>
      <c r="AO310" s="36"/>
      <c r="AP310" s="36"/>
      <c r="AQ310" s="36"/>
      <c r="AR310" s="36"/>
      <c r="AS310" s="36"/>
      <c r="AT310" s="36"/>
      <c r="AU310" s="36"/>
      <c r="AV310" s="36"/>
      <c r="AW310" s="36"/>
      <c r="AX310" s="36"/>
      <c r="AY310" s="36">
        <v>1</v>
      </c>
      <c r="AZ310" s="36">
        <v>1</v>
      </c>
      <c r="BA310" s="36">
        <v>1</v>
      </c>
      <c r="BB310" s="36">
        <v>1</v>
      </c>
      <c r="BC310" s="36">
        <v>1</v>
      </c>
      <c r="BD310" s="36">
        <v>1</v>
      </c>
      <c r="BE310" s="36">
        <v>1</v>
      </c>
      <c r="BF310" s="36">
        <v>1</v>
      </c>
      <c r="BG310" s="36">
        <v>1</v>
      </c>
      <c r="BH310" s="36">
        <v>1</v>
      </c>
      <c r="BI310" s="36">
        <v>1</v>
      </c>
      <c r="BJ310" s="36"/>
      <c r="BK310" s="36"/>
      <c r="BL310" s="36"/>
      <c r="BM310" s="36"/>
      <c r="BN310" s="36"/>
      <c r="BO310" s="36"/>
      <c r="BP310" s="6">
        <v>200</v>
      </c>
      <c r="BQ310" s="6">
        <v>60</v>
      </c>
      <c r="BR310" s="6">
        <v>60</v>
      </c>
      <c r="BS310" s="6"/>
      <c r="BT310" s="6"/>
      <c r="BU310" s="6"/>
      <c r="BV310" s="36"/>
      <c r="BW310" s="36"/>
      <c r="BX310" s="36"/>
      <c r="BY310" s="36"/>
      <c r="BZ310" s="36"/>
      <c r="CA310" s="36">
        <v>120</v>
      </c>
      <c r="CB310" s="36">
        <v>180</v>
      </c>
      <c r="CC310" s="36">
        <v>30</v>
      </c>
      <c r="CD310" s="36"/>
      <c r="CE310" s="36"/>
      <c r="CF310" s="36"/>
      <c r="CG310" s="36"/>
      <c r="CH310" s="36"/>
      <c r="CI310" s="36"/>
      <c r="CJ310" s="36">
        <v>50</v>
      </c>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c r="DP310" s="36"/>
      <c r="DQ310" s="36"/>
      <c r="DR310" s="36">
        <v>24</v>
      </c>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6"/>
      <c r="GB310" s="6"/>
      <c r="GC310" s="36"/>
      <c r="GD310" s="36"/>
      <c r="GE310" s="36"/>
      <c r="GF310" s="36"/>
      <c r="GG310" s="36"/>
      <c r="GH310" s="36"/>
      <c r="GI310" s="36"/>
      <c r="GJ310" s="36"/>
      <c r="GK310" s="36"/>
      <c r="GL310" s="36"/>
      <c r="GM310" s="36"/>
      <c r="GN310" s="36"/>
      <c r="GO310" s="36"/>
      <c r="GP310" s="36"/>
      <c r="GQ310" s="36"/>
      <c r="GR310" s="36"/>
      <c r="GS310" s="36"/>
      <c r="GT310" s="36"/>
      <c r="GU310" s="36"/>
      <c r="GV310" s="6"/>
      <c r="GW310" s="36"/>
      <c r="GX310" s="36"/>
      <c r="GY310" s="36"/>
      <c r="GZ310" s="36"/>
      <c r="HA310" s="36"/>
      <c r="HB310" s="36"/>
      <c r="HC310" s="36"/>
      <c r="HD310" s="36"/>
      <c r="HE310" s="36"/>
      <c r="HF310" s="36"/>
      <c r="HG310" s="36"/>
      <c r="HH310" s="36"/>
      <c r="HI310" s="36"/>
      <c r="HJ310" s="36"/>
      <c r="HK310" s="36"/>
      <c r="HL310" s="36"/>
      <c r="HM310" s="36"/>
      <c r="HN310" s="36"/>
      <c r="HO310" s="36"/>
      <c r="HP310" s="36"/>
      <c r="HQ310" s="36"/>
      <c r="HR310" s="36"/>
      <c r="HS310" s="36"/>
      <c r="HT310" s="36"/>
      <c r="HU310" s="36"/>
      <c r="HV310" s="36"/>
      <c r="HW310" s="36"/>
      <c r="HX310" s="36"/>
      <c r="HY310" s="36"/>
      <c r="HZ310" s="36"/>
      <c r="IA310" s="36"/>
      <c r="IB310" s="36"/>
      <c r="IC310" s="36"/>
      <c r="ID310" s="36"/>
      <c r="IE310" s="36"/>
      <c r="IF310" s="36"/>
      <c r="IG310" s="36"/>
      <c r="IH310" s="36"/>
      <c r="II310" s="36"/>
      <c r="IJ310" s="36"/>
      <c r="IK310" s="36"/>
      <c r="IL310" s="36"/>
      <c r="IM310" s="36"/>
      <c r="IN310" s="36"/>
      <c r="IO310" s="36"/>
      <c r="IP310" s="36"/>
      <c r="IR310" s="2" t="s">
        <v>543</v>
      </c>
    </row>
    <row r="311" spans="1:252" ht="15.75" customHeight="1" x14ac:dyDescent="0.25">
      <c r="A311" s="36" t="s">
        <v>1125</v>
      </c>
      <c r="B311" s="36" t="s">
        <v>1126</v>
      </c>
      <c r="C311" s="36"/>
      <c r="D311" s="36">
        <v>30</v>
      </c>
      <c r="E311" s="36"/>
      <c r="F311" s="80">
        <v>25</v>
      </c>
      <c r="G311" s="36"/>
      <c r="H311" s="36"/>
      <c r="I311" s="36"/>
      <c r="J311" s="36"/>
      <c r="K311" s="36"/>
      <c r="L311" s="36">
        <v>10</v>
      </c>
      <c r="M311" s="36"/>
      <c r="N311" s="36"/>
      <c r="O311" s="36">
        <v>25</v>
      </c>
      <c r="P311" s="36">
        <v>50</v>
      </c>
      <c r="Q311" s="36"/>
      <c r="R311" s="36"/>
      <c r="S311" s="36"/>
      <c r="T311" s="36"/>
      <c r="U311" s="36">
        <v>50</v>
      </c>
      <c r="V311" s="36">
        <v>10</v>
      </c>
      <c r="W311" s="36"/>
      <c r="X311" s="36"/>
      <c r="Y311" s="36"/>
      <c r="Z311" s="36"/>
      <c r="AA311" s="36"/>
      <c r="AB311" s="36"/>
      <c r="AC311" s="36"/>
      <c r="AD311" s="36">
        <v>10</v>
      </c>
      <c r="AE311" s="36">
        <v>50</v>
      </c>
      <c r="AF311" s="36"/>
      <c r="AG311" s="36"/>
      <c r="AH311" s="36"/>
      <c r="AI311" s="36"/>
      <c r="AJ311" s="80">
        <v>50</v>
      </c>
      <c r="AK311" s="36">
        <v>24</v>
      </c>
      <c r="AL311" s="36"/>
      <c r="AM311" s="36"/>
      <c r="AN311" s="36"/>
      <c r="AO311" s="36"/>
      <c r="AP311" s="36"/>
      <c r="AQ311" s="36"/>
      <c r="AR311" s="80">
        <v>5</v>
      </c>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6"/>
      <c r="BQ311" s="6">
        <v>60</v>
      </c>
      <c r="BR311" s="6">
        <v>60</v>
      </c>
      <c r="BS311" s="6"/>
      <c r="BT311" s="6"/>
      <c r="BU311" s="6"/>
      <c r="BV311" s="36"/>
      <c r="BW311" s="36"/>
      <c r="BX311" s="36"/>
      <c r="BY311" s="36"/>
      <c r="BZ311" s="36">
        <v>30</v>
      </c>
      <c r="CA311" s="36">
        <v>60</v>
      </c>
      <c r="CB311" s="36">
        <v>150</v>
      </c>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v>24</v>
      </c>
      <c r="DC311" s="36"/>
      <c r="DD311" s="36"/>
      <c r="DE311" s="36"/>
      <c r="DF311" s="36"/>
      <c r="DG311" s="36"/>
      <c r="DH311" s="36"/>
      <c r="DI311" s="36"/>
      <c r="DJ311" s="36"/>
      <c r="DK311" s="36"/>
      <c r="DL311" s="36"/>
      <c r="DM311" s="36"/>
      <c r="DN311" s="36"/>
      <c r="DO311" s="36"/>
      <c r="DP311" s="36"/>
      <c r="DQ311" s="36"/>
      <c r="DR311" s="36">
        <v>24</v>
      </c>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6"/>
      <c r="GB311" s="6"/>
      <c r="GC311" s="36"/>
      <c r="GD311" s="36"/>
      <c r="GE311" s="36"/>
      <c r="GF311" s="36"/>
      <c r="GG311" s="36"/>
      <c r="GH311" s="36"/>
      <c r="GI311" s="36"/>
      <c r="GJ311" s="36"/>
      <c r="GK311" s="36"/>
      <c r="GL311" s="36"/>
      <c r="GM311" s="36"/>
      <c r="GN311" s="36"/>
      <c r="GO311" s="36"/>
      <c r="GP311" s="36"/>
      <c r="GQ311" s="36"/>
      <c r="GR311" s="36"/>
      <c r="GS311" s="36"/>
      <c r="GT311" s="36"/>
      <c r="GU311" s="36"/>
      <c r="GV311" s="6"/>
      <c r="GW311" s="36"/>
      <c r="GX311" s="36"/>
      <c r="GY311" s="36"/>
      <c r="GZ311" s="36"/>
      <c r="HA311" s="36"/>
      <c r="HB311" s="36"/>
      <c r="HC311" s="36"/>
      <c r="HD311" s="36"/>
      <c r="HE311" s="36"/>
      <c r="HF311" s="36"/>
      <c r="HG311" s="36"/>
      <c r="HH311" s="36"/>
      <c r="HI311" s="36"/>
      <c r="HJ311" s="36"/>
      <c r="HK311" s="36"/>
      <c r="HL311" s="36"/>
      <c r="HM311" s="36"/>
      <c r="HN311" s="36"/>
      <c r="HO311" s="36"/>
      <c r="HP311" s="36"/>
      <c r="HQ311" s="36"/>
      <c r="HR311" s="36"/>
      <c r="HS311" s="36"/>
      <c r="HT311" s="36"/>
      <c r="HU311" s="36"/>
      <c r="HV311" s="36"/>
      <c r="HW311" s="36"/>
      <c r="HX311" s="36"/>
      <c r="HY311" s="36"/>
      <c r="HZ311" s="36"/>
      <c r="IA311" s="36"/>
      <c r="IB311" s="36"/>
      <c r="IC311" s="36"/>
      <c r="ID311" s="36"/>
      <c r="IE311" s="36"/>
      <c r="IF311" s="36"/>
      <c r="IG311" s="36"/>
      <c r="IH311" s="36"/>
      <c r="II311" s="36"/>
      <c r="IJ311" s="36"/>
      <c r="IK311" s="36"/>
      <c r="IL311" s="36"/>
      <c r="IM311" s="36"/>
      <c r="IN311" s="36"/>
      <c r="IO311" s="36"/>
      <c r="IP311" s="36"/>
      <c r="IR311" s="2" t="s">
        <v>543</v>
      </c>
    </row>
    <row r="312" spans="1:252" ht="15.75" customHeight="1" x14ac:dyDescent="0.25">
      <c r="A312" s="36" t="s">
        <v>1122</v>
      </c>
      <c r="B312" s="36" t="s">
        <v>1127</v>
      </c>
      <c r="C312" s="36"/>
      <c r="D312" s="36">
        <v>25</v>
      </c>
      <c r="E312" s="36"/>
      <c r="F312" s="80">
        <v>150</v>
      </c>
      <c r="G312" s="36">
        <v>15</v>
      </c>
      <c r="H312" s="36"/>
      <c r="I312" s="36"/>
      <c r="J312" s="36"/>
      <c r="K312" s="36"/>
      <c r="L312" s="36">
        <v>20</v>
      </c>
      <c r="M312" s="36"/>
      <c r="N312" s="36"/>
      <c r="O312" s="36"/>
      <c r="P312" s="36"/>
      <c r="Q312" s="36">
        <v>10</v>
      </c>
      <c r="R312" s="36"/>
      <c r="S312" s="36"/>
      <c r="T312" s="36"/>
      <c r="U312" s="36">
        <v>25</v>
      </c>
      <c r="V312" s="36"/>
      <c r="W312" s="36"/>
      <c r="X312" s="36"/>
      <c r="Y312" s="36"/>
      <c r="Z312" s="36"/>
      <c r="AA312" s="36"/>
      <c r="AB312" s="36"/>
      <c r="AC312" s="36">
        <v>15</v>
      </c>
      <c r="AD312" s="36">
        <v>10</v>
      </c>
      <c r="AE312" s="36">
        <v>25</v>
      </c>
      <c r="AF312" s="36">
        <v>25</v>
      </c>
      <c r="AG312" s="36"/>
      <c r="AH312" s="36"/>
      <c r="AI312" s="36"/>
      <c r="AJ312" s="80">
        <v>50</v>
      </c>
      <c r="AK312" s="36"/>
      <c r="AL312" s="36">
        <v>10</v>
      </c>
      <c r="AM312" s="36"/>
      <c r="AN312" s="36"/>
      <c r="AO312" s="36"/>
      <c r="AP312" s="36"/>
      <c r="AQ312" s="80">
        <v>10</v>
      </c>
      <c r="AR312" s="36"/>
      <c r="AS312" s="36"/>
      <c r="AT312" s="36">
        <v>10</v>
      </c>
      <c r="AU312" s="36">
        <v>15</v>
      </c>
      <c r="AV312" s="36"/>
      <c r="AW312" s="36">
        <v>5</v>
      </c>
      <c r="AX312" s="36"/>
      <c r="AY312" s="36"/>
      <c r="AZ312" s="36"/>
      <c r="BA312" s="36"/>
      <c r="BB312" s="36"/>
      <c r="BC312" s="36"/>
      <c r="BD312" s="36"/>
      <c r="BE312" s="36"/>
      <c r="BF312" s="36"/>
      <c r="BG312" s="36"/>
      <c r="BH312" s="36"/>
      <c r="BI312" s="36"/>
      <c r="BJ312" s="36"/>
      <c r="BK312" s="36"/>
      <c r="BL312" s="36"/>
      <c r="BM312" s="36"/>
      <c r="BN312" s="36"/>
      <c r="BO312" s="36"/>
      <c r="BP312" s="6"/>
      <c r="BQ312" s="6">
        <v>310</v>
      </c>
      <c r="BR312" s="6">
        <v>150</v>
      </c>
      <c r="BS312" s="6"/>
      <c r="BT312" s="6"/>
      <c r="BU312" s="6"/>
      <c r="BV312" s="36"/>
      <c r="BW312" s="36"/>
      <c r="BX312" s="36"/>
      <c r="BY312" s="36"/>
      <c r="BZ312" s="36"/>
      <c r="CA312" s="36">
        <v>60</v>
      </c>
      <c r="CB312" s="36">
        <v>60</v>
      </c>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v>24</v>
      </c>
      <c r="DE312" s="36">
        <v>24</v>
      </c>
      <c r="DF312" s="36"/>
      <c r="DG312" s="36"/>
      <c r="DH312" s="36"/>
      <c r="DI312" s="36">
        <v>24</v>
      </c>
      <c r="DJ312" s="36">
        <v>24</v>
      </c>
      <c r="DK312" s="36"/>
      <c r="DL312" s="36"/>
      <c r="DM312" s="36"/>
      <c r="DN312" s="36"/>
      <c r="DO312" s="36"/>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6"/>
      <c r="GB312" s="6"/>
      <c r="GC312" s="36"/>
      <c r="GD312" s="36"/>
      <c r="GE312" s="36"/>
      <c r="GF312" s="36"/>
      <c r="GG312" s="36"/>
      <c r="GH312" s="36"/>
      <c r="GI312" s="36"/>
      <c r="GJ312" s="36"/>
      <c r="GK312" s="36"/>
      <c r="GL312" s="36"/>
      <c r="GM312" s="36"/>
      <c r="GN312" s="36"/>
      <c r="GO312" s="36"/>
      <c r="GP312" s="36"/>
      <c r="GQ312" s="36"/>
      <c r="GR312" s="36"/>
      <c r="GS312" s="36"/>
      <c r="GT312" s="36"/>
      <c r="GU312" s="36"/>
      <c r="GV312" s="6"/>
      <c r="GW312" s="36"/>
      <c r="GX312" s="36"/>
      <c r="GY312" s="36"/>
      <c r="GZ312" s="36"/>
      <c r="HA312" s="36"/>
      <c r="HB312" s="36"/>
      <c r="HC312" s="36"/>
      <c r="HD312" s="36"/>
      <c r="HE312" s="36"/>
      <c r="HF312" s="36"/>
      <c r="HG312" s="36"/>
      <c r="HH312" s="36"/>
      <c r="HI312" s="36"/>
      <c r="HJ312" s="36"/>
      <c r="HK312" s="36"/>
      <c r="HL312" s="36"/>
      <c r="HM312" s="36"/>
      <c r="HN312" s="36"/>
      <c r="HO312" s="36"/>
      <c r="HP312" s="36"/>
      <c r="HQ312" s="36"/>
      <c r="HR312" s="36"/>
      <c r="HS312" s="36"/>
      <c r="HT312" s="36"/>
      <c r="HU312" s="36"/>
      <c r="HV312" s="36"/>
      <c r="HW312" s="36"/>
      <c r="HX312" s="36"/>
      <c r="HY312" s="36"/>
      <c r="HZ312" s="36"/>
      <c r="IA312" s="36"/>
      <c r="IB312" s="36"/>
      <c r="IC312" s="36"/>
      <c r="ID312" s="36"/>
      <c r="IE312" s="36"/>
      <c r="IF312" s="36"/>
      <c r="IG312" s="36"/>
      <c r="IH312" s="36"/>
      <c r="II312" s="36"/>
      <c r="IJ312" s="36"/>
      <c r="IK312" s="36"/>
      <c r="IL312" s="36"/>
      <c r="IM312" s="36"/>
      <c r="IN312" s="36"/>
      <c r="IO312" s="36"/>
      <c r="IP312" s="36"/>
      <c r="IR312" s="2" t="s">
        <v>543</v>
      </c>
    </row>
    <row r="313" spans="1:252" ht="15.75" customHeight="1" x14ac:dyDescent="0.25">
      <c r="A313" s="36" t="s">
        <v>1128</v>
      </c>
      <c r="B313" s="36" t="s">
        <v>1129</v>
      </c>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6"/>
      <c r="BQ313" s="6"/>
      <c r="BR313" s="6"/>
      <c r="BS313" s="6"/>
      <c r="BT313" s="6"/>
      <c r="BU313" s="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c r="DI313" s="36"/>
      <c r="DJ313" s="36"/>
      <c r="DK313" s="36"/>
      <c r="DL313" s="36"/>
      <c r="DM313" s="36"/>
      <c r="DN313" s="36"/>
      <c r="DO313" s="36"/>
      <c r="DP313" s="36"/>
      <c r="DQ313" s="36"/>
      <c r="DR313" s="36"/>
      <c r="DS313" s="36"/>
      <c r="DT313" s="36"/>
      <c r="DU313" s="36"/>
      <c r="DV313" s="36"/>
      <c r="DW313" s="36"/>
      <c r="DX313" s="36"/>
      <c r="DY313" s="36"/>
      <c r="DZ313" s="36"/>
      <c r="EA313" s="36"/>
      <c r="EB313" s="36"/>
      <c r="EC313" s="36"/>
      <c r="ED313" s="36"/>
      <c r="EE313" s="36"/>
      <c r="EF313" s="36"/>
      <c r="EG313" s="36"/>
      <c r="EH313" s="36"/>
      <c r="EI313" s="36"/>
      <c r="EJ313" s="36"/>
      <c r="EK313" s="36"/>
      <c r="EL313" s="36"/>
      <c r="EM313" s="36"/>
      <c r="EN313" s="36"/>
      <c r="EO313" s="36"/>
      <c r="EP313" s="36"/>
      <c r="EQ313" s="36"/>
      <c r="ER313" s="36"/>
      <c r="ES313" s="36"/>
      <c r="ET313" s="36"/>
      <c r="EU313" s="36"/>
      <c r="EV313" s="36"/>
      <c r="EW313" s="36"/>
      <c r="EX313" s="36"/>
      <c r="EY313" s="36">
        <v>101</v>
      </c>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6"/>
      <c r="GB313" s="6"/>
      <c r="GC313" s="36"/>
      <c r="GD313" s="36"/>
      <c r="GE313" s="36"/>
      <c r="GF313" s="36"/>
      <c r="GG313" s="36"/>
      <c r="GH313" s="36"/>
      <c r="GI313" s="36"/>
      <c r="GJ313" s="36"/>
      <c r="GK313" s="36"/>
      <c r="GL313" s="36"/>
      <c r="GM313" s="36"/>
      <c r="GN313" s="36"/>
      <c r="GO313" s="36"/>
      <c r="GP313" s="36"/>
      <c r="GQ313" s="36"/>
      <c r="GR313" s="36"/>
      <c r="GS313" s="36"/>
      <c r="GT313" s="36"/>
      <c r="GU313" s="36"/>
      <c r="GV313" s="6"/>
      <c r="GW313" s="36"/>
      <c r="GX313" s="36"/>
      <c r="GY313" s="36"/>
      <c r="GZ313" s="36"/>
      <c r="HA313" s="36"/>
      <c r="HB313" s="36"/>
      <c r="HC313" s="36"/>
      <c r="HD313" s="36"/>
      <c r="HE313" s="36"/>
      <c r="HF313" s="36"/>
      <c r="HG313" s="36"/>
      <c r="HH313" s="36"/>
      <c r="HI313" s="36"/>
      <c r="HJ313" s="36"/>
      <c r="HK313" s="36"/>
      <c r="HL313" s="36"/>
      <c r="HM313" s="36"/>
      <c r="HN313" s="36"/>
      <c r="HO313" s="36"/>
      <c r="HP313" s="36"/>
      <c r="HQ313" s="36"/>
      <c r="HR313" s="36"/>
      <c r="HS313" s="36"/>
      <c r="HT313" s="36"/>
      <c r="HU313" s="36"/>
      <c r="HV313" s="36"/>
      <c r="HW313" s="36"/>
      <c r="HX313" s="36"/>
      <c r="HY313" s="36"/>
      <c r="HZ313" s="36"/>
      <c r="IA313" s="36"/>
      <c r="IB313" s="36"/>
      <c r="IC313" s="36"/>
      <c r="ID313" s="36"/>
      <c r="IE313" s="36"/>
      <c r="IF313" s="36"/>
      <c r="IG313" s="36"/>
      <c r="IH313" s="36"/>
      <c r="II313" s="36"/>
      <c r="IJ313" s="36"/>
      <c r="IK313" s="36"/>
      <c r="IL313" s="36"/>
      <c r="IM313" s="36"/>
      <c r="IN313" s="36"/>
      <c r="IO313" s="36"/>
      <c r="IP313" s="36"/>
      <c r="IR313" s="2" t="s">
        <v>543</v>
      </c>
    </row>
    <row r="314" spans="1:252" ht="15.75" customHeight="1" x14ac:dyDescent="0.25">
      <c r="A314" s="36" t="s">
        <v>1125</v>
      </c>
      <c r="B314" s="36" t="s">
        <v>1130</v>
      </c>
      <c r="C314" s="36"/>
      <c r="D314" s="36">
        <v>20</v>
      </c>
      <c r="E314" s="36"/>
      <c r="F314" s="80">
        <v>50</v>
      </c>
      <c r="G314" s="36"/>
      <c r="H314" s="36"/>
      <c r="I314" s="36"/>
      <c r="J314" s="36"/>
      <c r="K314" s="36"/>
      <c r="L314" s="36"/>
      <c r="M314" s="36"/>
      <c r="N314" s="36"/>
      <c r="O314" s="36"/>
      <c r="P314" s="36">
        <v>25</v>
      </c>
      <c r="Q314" s="36">
        <v>15</v>
      </c>
      <c r="R314" s="36"/>
      <c r="S314" s="36"/>
      <c r="T314" s="36"/>
      <c r="U314" s="36"/>
      <c r="V314" s="36"/>
      <c r="W314" s="36"/>
      <c r="X314" s="36"/>
      <c r="Y314" s="36"/>
      <c r="Z314" s="36"/>
      <c r="AA314" s="36"/>
      <c r="AB314" s="36"/>
      <c r="AC314" s="36"/>
      <c r="AD314" s="36"/>
      <c r="AE314" s="36">
        <v>25</v>
      </c>
      <c r="AF314" s="36"/>
      <c r="AG314" s="36"/>
      <c r="AH314" s="36"/>
      <c r="AI314" s="36"/>
      <c r="AJ314" s="80">
        <v>25</v>
      </c>
      <c r="AK314" s="36">
        <v>5</v>
      </c>
      <c r="AL314" s="36"/>
      <c r="AM314" s="36"/>
      <c r="AN314" s="36"/>
      <c r="AO314" s="36"/>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6"/>
      <c r="BQ314" s="6">
        <v>40</v>
      </c>
      <c r="BR314" s="6">
        <v>20</v>
      </c>
      <c r="BS314" s="6"/>
      <c r="BT314" s="6"/>
      <c r="BU314" s="6"/>
      <c r="BV314" s="36"/>
      <c r="BW314" s="36"/>
      <c r="BX314" s="36">
        <v>20</v>
      </c>
      <c r="BY314" s="36"/>
      <c r="BZ314" s="36"/>
      <c r="CA314" s="36">
        <v>60</v>
      </c>
      <c r="CB314" s="36">
        <v>60</v>
      </c>
      <c r="CC314" s="36">
        <v>20</v>
      </c>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v>24</v>
      </c>
      <c r="DC314" s="36"/>
      <c r="DD314" s="36"/>
      <c r="DE314" s="36"/>
      <c r="DF314" s="36"/>
      <c r="DG314" s="36"/>
      <c r="DH314" s="36"/>
      <c r="DI314" s="36"/>
      <c r="DJ314" s="36">
        <v>24</v>
      </c>
      <c r="DK314" s="36"/>
      <c r="DL314" s="36"/>
      <c r="DM314" s="36"/>
      <c r="DN314" s="36"/>
      <c r="DO314" s="36"/>
      <c r="DP314" s="36"/>
      <c r="DQ314" s="36"/>
      <c r="DR314" s="36">
        <v>24</v>
      </c>
      <c r="DS314" s="36"/>
      <c r="DT314" s="36"/>
      <c r="DU314" s="36"/>
      <c r="DV314" s="224">
        <v>24</v>
      </c>
      <c r="DW314" s="36"/>
      <c r="DX314" s="36"/>
      <c r="DY314" s="36"/>
      <c r="DZ314" s="36"/>
      <c r="EA314" s="36"/>
      <c r="EB314" s="36"/>
      <c r="EC314" s="36"/>
      <c r="ED314" s="36"/>
      <c r="EE314" s="36"/>
      <c r="EF314" s="36"/>
      <c r="EG314" s="36"/>
      <c r="EH314" s="36"/>
      <c r="EI314" s="36"/>
      <c r="EJ314" s="36"/>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6"/>
      <c r="GB314" s="6"/>
      <c r="GC314" s="36"/>
      <c r="GD314" s="36"/>
      <c r="GE314" s="36"/>
      <c r="GF314" s="36"/>
      <c r="GG314" s="36"/>
      <c r="GH314" s="36"/>
      <c r="GI314" s="36"/>
      <c r="GJ314" s="36"/>
      <c r="GK314" s="36"/>
      <c r="GL314" s="36"/>
      <c r="GM314" s="36"/>
      <c r="GN314" s="36"/>
      <c r="GO314" s="36"/>
      <c r="GP314" s="36"/>
      <c r="GQ314" s="36"/>
      <c r="GR314" s="36"/>
      <c r="GS314" s="36"/>
      <c r="GT314" s="36"/>
      <c r="GU314" s="36"/>
      <c r="GV314" s="6"/>
      <c r="GW314" s="36"/>
      <c r="GX314" s="36"/>
      <c r="GY314" s="36"/>
      <c r="GZ314" s="36"/>
      <c r="HA314" s="36"/>
      <c r="HB314" s="36"/>
      <c r="HC314" s="36"/>
      <c r="HD314" s="36"/>
      <c r="HE314" s="36"/>
      <c r="HF314" s="36"/>
      <c r="HG314" s="36"/>
      <c r="HH314" s="36"/>
      <c r="HI314" s="36"/>
      <c r="HJ314" s="36"/>
      <c r="HK314" s="36"/>
      <c r="HL314" s="36"/>
      <c r="HM314" s="36"/>
      <c r="HN314" s="36"/>
      <c r="HO314" s="36"/>
      <c r="HP314" s="36"/>
      <c r="HQ314" s="36"/>
      <c r="HR314" s="36"/>
      <c r="HS314" s="36"/>
      <c r="HT314" s="36"/>
      <c r="HU314" s="36"/>
      <c r="HV314" s="36"/>
      <c r="HW314" s="36"/>
      <c r="HX314" s="36"/>
      <c r="HY314" s="36"/>
      <c r="HZ314" s="36"/>
      <c r="IA314" s="36"/>
      <c r="IB314" s="36"/>
      <c r="IC314" s="36"/>
      <c r="ID314" s="36"/>
      <c r="IE314" s="36"/>
      <c r="IF314" s="36"/>
      <c r="IG314" s="36"/>
      <c r="IH314" s="36"/>
      <c r="II314" s="36"/>
      <c r="IJ314" s="36"/>
      <c r="IK314" s="36"/>
      <c r="IL314" s="36"/>
      <c r="IM314" s="36"/>
      <c r="IN314" s="36"/>
      <c r="IO314" s="36"/>
      <c r="IP314" s="36"/>
      <c r="IR314" s="2" t="s">
        <v>543</v>
      </c>
    </row>
    <row r="315" spans="1:252" ht="15.75" customHeight="1" x14ac:dyDescent="0.25">
      <c r="A315" s="36" t="s">
        <v>1128</v>
      </c>
      <c r="B315" s="36" t="s">
        <v>1132</v>
      </c>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6"/>
      <c r="BQ315" s="6"/>
      <c r="BR315" s="6"/>
      <c r="BS315" s="6"/>
      <c r="BT315" s="6"/>
      <c r="BU315" s="6"/>
      <c r="BV315" s="36"/>
      <c r="BW315" s="36"/>
      <c r="BX315" s="36"/>
      <c r="BY315" s="36"/>
      <c r="BZ315" s="36">
        <v>20</v>
      </c>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c r="DI315" s="36"/>
      <c r="DJ315" s="36">
        <v>24</v>
      </c>
      <c r="DK315" s="36"/>
      <c r="DL315" s="36"/>
      <c r="DM315" s="36"/>
      <c r="DN315" s="36"/>
      <c r="DO315" s="36"/>
      <c r="DP315" s="36"/>
      <c r="DQ315" s="36"/>
      <c r="DR315" s="36"/>
      <c r="DS315" s="36"/>
      <c r="DT315" s="36"/>
      <c r="DU315" s="36"/>
      <c r="DV315" s="36"/>
      <c r="DW315" s="36"/>
      <c r="DX315" s="36"/>
      <c r="DY315" s="36"/>
      <c r="DZ315" s="36"/>
      <c r="EA315" s="36"/>
      <c r="EB315" s="36"/>
      <c r="EC315" s="36"/>
      <c r="ED315" s="36"/>
      <c r="EE315" s="36"/>
      <c r="EF315" s="36"/>
      <c r="EG315" s="36"/>
      <c r="EH315" s="36"/>
      <c r="EI315" s="36"/>
      <c r="EJ315" s="36"/>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6"/>
      <c r="GB315" s="6"/>
      <c r="GC315" s="36"/>
      <c r="GD315" s="36"/>
      <c r="GE315" s="36"/>
      <c r="GF315" s="36"/>
      <c r="GG315" s="36"/>
      <c r="GH315" s="36"/>
      <c r="GI315" s="36"/>
      <c r="GJ315" s="36"/>
      <c r="GK315" s="36"/>
      <c r="GL315" s="36"/>
      <c r="GM315" s="36"/>
      <c r="GN315" s="36"/>
      <c r="GO315" s="36"/>
      <c r="GP315" s="36"/>
      <c r="GQ315" s="36"/>
      <c r="GR315" s="36"/>
      <c r="GS315" s="36"/>
      <c r="GT315" s="36"/>
      <c r="GU315" s="36"/>
      <c r="GV315" s="6"/>
      <c r="GW315" s="36"/>
      <c r="GX315" s="36"/>
      <c r="GY315" s="36"/>
      <c r="GZ315" s="36"/>
      <c r="HA315" s="36"/>
      <c r="HB315" s="36"/>
      <c r="HC315" s="36"/>
      <c r="HD315" s="36"/>
      <c r="HE315" s="36"/>
      <c r="HF315" s="36"/>
      <c r="HG315" s="36"/>
      <c r="HH315" s="36"/>
      <c r="HI315" s="36"/>
      <c r="HJ315" s="36"/>
      <c r="HK315" s="36"/>
      <c r="HL315" s="36"/>
      <c r="HM315" s="36"/>
      <c r="HN315" s="36"/>
      <c r="HO315" s="36"/>
      <c r="HP315" s="36"/>
      <c r="HQ315" s="36"/>
      <c r="HR315" s="36"/>
      <c r="HS315" s="36"/>
      <c r="HT315" s="36"/>
      <c r="HU315" s="36"/>
      <c r="HV315" s="36"/>
      <c r="HW315" s="36"/>
      <c r="HX315" s="36"/>
      <c r="HY315" s="36"/>
      <c r="HZ315" s="36"/>
      <c r="IA315" s="36"/>
      <c r="IB315" s="36"/>
      <c r="IC315" s="36"/>
      <c r="ID315" s="36"/>
      <c r="IE315" s="36"/>
      <c r="IF315" s="36"/>
      <c r="IG315" s="36"/>
      <c r="IH315" s="36"/>
      <c r="II315" s="36"/>
      <c r="IJ315" s="36"/>
      <c r="IK315" s="36"/>
      <c r="IL315" s="36"/>
      <c r="IM315" s="36"/>
      <c r="IN315" s="36"/>
      <c r="IO315" s="36"/>
      <c r="IP315" s="36"/>
      <c r="IR315" s="2" t="s">
        <v>543</v>
      </c>
    </row>
    <row r="316" spans="1:252" ht="15.75" customHeight="1" x14ac:dyDescent="0.25">
      <c r="A316" s="36" t="s">
        <v>1128</v>
      </c>
      <c r="B316" s="36" t="s">
        <v>1133</v>
      </c>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6"/>
      <c r="BQ316" s="6">
        <v>30</v>
      </c>
      <c r="BR316" s="6">
        <v>10</v>
      </c>
      <c r="BS316" s="6"/>
      <c r="BT316" s="6"/>
      <c r="BU316" s="6"/>
      <c r="BV316" s="36"/>
      <c r="BW316" s="351">
        <v>50</v>
      </c>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v>6</v>
      </c>
      <c r="DE316" s="36"/>
      <c r="DF316" s="36"/>
      <c r="DG316" s="36"/>
      <c r="DH316" s="36"/>
      <c r="DI316" s="36"/>
      <c r="DJ316" s="36"/>
      <c r="DK316" s="36"/>
      <c r="DL316" s="36"/>
      <c r="DM316" s="36"/>
      <c r="DN316" s="36"/>
      <c r="DO316" s="36"/>
      <c r="DP316" s="36">
        <v>6</v>
      </c>
      <c r="DQ316" s="36"/>
      <c r="DR316" s="36"/>
      <c r="DS316" s="36"/>
      <c r="DT316" s="36"/>
      <c r="DU316" s="36">
        <v>6</v>
      </c>
      <c r="DV316" s="224">
        <v>17</v>
      </c>
      <c r="DW316" s="36"/>
      <c r="DX316" s="36"/>
      <c r="DY316" s="36"/>
      <c r="DZ316" s="36"/>
      <c r="EA316" s="36"/>
      <c r="EB316" s="36"/>
      <c r="EC316" s="36"/>
      <c r="ED316" s="36"/>
      <c r="EE316" s="36"/>
      <c r="EF316" s="36"/>
      <c r="EG316" s="36"/>
      <c r="EH316" s="36"/>
      <c r="EI316" s="36"/>
      <c r="EJ316" s="36"/>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6"/>
      <c r="GB316" s="6"/>
      <c r="GC316" s="36"/>
      <c r="GD316" s="36"/>
      <c r="GE316" s="36"/>
      <c r="GF316" s="36"/>
      <c r="GG316" s="36"/>
      <c r="GH316" s="36"/>
      <c r="GI316" s="36"/>
      <c r="GJ316" s="36"/>
      <c r="GK316" s="36"/>
      <c r="GL316" s="36"/>
      <c r="GM316" s="36"/>
      <c r="GN316" s="36"/>
      <c r="GO316" s="36"/>
      <c r="GP316" s="36"/>
      <c r="GQ316" s="36"/>
      <c r="GR316" s="36"/>
      <c r="GS316" s="36"/>
      <c r="GT316" s="36"/>
      <c r="GU316" s="36"/>
      <c r="GV316" s="6"/>
      <c r="GW316" s="36"/>
      <c r="GX316" s="36"/>
      <c r="GY316" s="36"/>
      <c r="GZ316" s="36"/>
      <c r="HA316" s="36"/>
      <c r="HB316" s="36"/>
      <c r="HC316" s="36"/>
      <c r="HD316" s="36"/>
      <c r="HE316" s="36"/>
      <c r="HF316" s="36"/>
      <c r="HG316" s="36"/>
      <c r="HH316" s="36"/>
      <c r="HI316" s="36"/>
      <c r="HJ316" s="36"/>
      <c r="HK316" s="36"/>
      <c r="HL316" s="36"/>
      <c r="HM316" s="36"/>
      <c r="HN316" s="36"/>
      <c r="HO316" s="36"/>
      <c r="HP316" s="36"/>
      <c r="HQ316" s="36"/>
      <c r="HR316" s="36"/>
      <c r="HS316" s="36"/>
      <c r="HT316" s="36"/>
      <c r="HU316" s="36"/>
      <c r="HV316" s="36"/>
      <c r="HW316" s="36"/>
      <c r="HX316" s="36"/>
      <c r="HY316" s="36"/>
      <c r="HZ316" s="36"/>
      <c r="IA316" s="36"/>
      <c r="IB316" s="36"/>
      <c r="IC316" s="36"/>
      <c r="ID316" s="36"/>
      <c r="IE316" s="36"/>
      <c r="IF316" s="36"/>
      <c r="IG316" s="36"/>
      <c r="IH316" s="36"/>
      <c r="II316" s="36"/>
      <c r="IJ316" s="36"/>
      <c r="IK316" s="36"/>
      <c r="IL316" s="36"/>
      <c r="IM316" s="36"/>
      <c r="IN316" s="36"/>
      <c r="IO316" s="36"/>
      <c r="IP316" s="36"/>
      <c r="IR316" s="2" t="s">
        <v>543</v>
      </c>
    </row>
    <row r="317" spans="1:252" ht="15.75" customHeight="1" x14ac:dyDescent="0.25">
      <c r="A317" s="36" t="s">
        <v>1125</v>
      </c>
      <c r="B317" s="36" t="s">
        <v>1137</v>
      </c>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v>25</v>
      </c>
      <c r="AY317" s="36"/>
      <c r="AZ317" s="36"/>
      <c r="BA317" s="36"/>
      <c r="BB317" s="36"/>
      <c r="BC317" s="36"/>
      <c r="BD317" s="36"/>
      <c r="BE317" s="36"/>
      <c r="BF317" s="36"/>
      <c r="BG317" s="36"/>
      <c r="BH317" s="36"/>
      <c r="BI317" s="36"/>
      <c r="BJ317" s="36"/>
      <c r="BK317" s="36"/>
      <c r="BL317" s="36"/>
      <c r="BM317" s="36"/>
      <c r="BN317" s="36"/>
      <c r="BO317" s="36"/>
      <c r="BP317" s="6"/>
      <c r="BQ317" s="6"/>
      <c r="BR317" s="6"/>
      <c r="BS317" s="6"/>
      <c r="BT317" s="6"/>
      <c r="BU317" s="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c r="DI317" s="36"/>
      <c r="DJ317" s="36"/>
      <c r="DK317" s="36"/>
      <c r="DL317" s="36"/>
      <c r="DM317" s="36"/>
      <c r="DN317" s="36"/>
      <c r="DO317" s="36"/>
      <c r="DP317" s="36"/>
      <c r="DQ317" s="36"/>
      <c r="DR317" s="36"/>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6"/>
      <c r="GB317" s="6"/>
      <c r="GC317" s="36"/>
      <c r="GD317" s="36"/>
      <c r="GE317" s="36"/>
      <c r="GF317" s="36"/>
      <c r="GG317" s="36"/>
      <c r="GH317" s="36"/>
      <c r="GI317" s="36"/>
      <c r="GJ317" s="36"/>
      <c r="GK317" s="36"/>
      <c r="GL317" s="36"/>
      <c r="GM317" s="36"/>
      <c r="GN317" s="36"/>
      <c r="GO317" s="36"/>
      <c r="GP317" s="36"/>
      <c r="GQ317" s="36"/>
      <c r="GR317" s="36"/>
      <c r="GS317" s="36"/>
      <c r="GT317" s="36"/>
      <c r="GU317" s="36"/>
      <c r="GV317" s="6"/>
      <c r="GW317" s="36"/>
      <c r="GX317" s="36"/>
      <c r="GY317" s="36"/>
      <c r="GZ317" s="36"/>
      <c r="HA317" s="36"/>
      <c r="HB317" s="36"/>
      <c r="HC317" s="36"/>
      <c r="HD317" s="36"/>
      <c r="HE317" s="36"/>
      <c r="HF317" s="36"/>
      <c r="HG317" s="36"/>
      <c r="HH317" s="36"/>
      <c r="HI317" s="36"/>
      <c r="HJ317" s="36"/>
      <c r="HK317" s="36"/>
      <c r="HL317" s="36"/>
      <c r="HM317" s="36"/>
      <c r="HN317" s="36"/>
      <c r="HO317" s="36"/>
      <c r="HP317" s="36"/>
      <c r="HQ317" s="36"/>
      <c r="HR317" s="36"/>
      <c r="HS317" s="36"/>
      <c r="HT317" s="36"/>
      <c r="HU317" s="36"/>
      <c r="HV317" s="36"/>
      <c r="HW317" s="36"/>
      <c r="HX317" s="36"/>
      <c r="HY317" s="36"/>
      <c r="HZ317" s="36"/>
      <c r="IA317" s="36"/>
      <c r="IB317" s="36"/>
      <c r="IC317" s="36"/>
      <c r="ID317" s="36"/>
      <c r="IE317" s="36"/>
      <c r="IF317" s="36"/>
      <c r="IG317" s="36"/>
      <c r="IH317" s="36"/>
      <c r="II317" s="36"/>
      <c r="IJ317" s="36"/>
      <c r="IK317" s="36"/>
      <c r="IL317" s="36"/>
      <c r="IM317" s="36"/>
      <c r="IN317" s="36"/>
      <c r="IO317" s="36"/>
      <c r="IP317" s="36"/>
      <c r="IR317" s="2" t="s">
        <v>543</v>
      </c>
    </row>
    <row r="318" spans="1:252" ht="15.75" customHeight="1" x14ac:dyDescent="0.25">
      <c r="A318" s="36" t="s">
        <v>1122</v>
      </c>
      <c r="B318" s="36" t="s">
        <v>1139</v>
      </c>
      <c r="C318" s="36"/>
      <c r="D318" s="36"/>
      <c r="E318" s="36"/>
      <c r="F318" s="36"/>
      <c r="G318" s="36"/>
      <c r="H318" s="36"/>
      <c r="I318" s="36"/>
      <c r="J318" s="36"/>
      <c r="K318" s="36"/>
      <c r="L318" s="36"/>
      <c r="M318" s="36"/>
      <c r="N318" s="36"/>
      <c r="O318" s="36">
        <v>25</v>
      </c>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6"/>
      <c r="BQ318" s="6"/>
      <c r="BR318" s="6"/>
      <c r="BS318" s="6"/>
      <c r="BT318" s="6"/>
      <c r="BU318" s="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c r="DI318" s="36"/>
      <c r="DJ318" s="36"/>
      <c r="DK318" s="36"/>
      <c r="DL318" s="36"/>
      <c r="DM318" s="36"/>
      <c r="DN318" s="36"/>
      <c r="DO318" s="36"/>
      <c r="DP318" s="36"/>
      <c r="DQ318" s="36"/>
      <c r="DR318" s="36"/>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6"/>
      <c r="GB318" s="6"/>
      <c r="GC318" s="36"/>
      <c r="GD318" s="36"/>
      <c r="GE318" s="36"/>
      <c r="GF318" s="36"/>
      <c r="GG318" s="36"/>
      <c r="GH318" s="36"/>
      <c r="GI318" s="36"/>
      <c r="GJ318" s="36"/>
      <c r="GK318" s="36"/>
      <c r="GL318" s="36"/>
      <c r="GM318" s="36"/>
      <c r="GN318" s="36"/>
      <c r="GO318" s="36"/>
      <c r="GP318" s="36"/>
      <c r="GQ318" s="36"/>
      <c r="GR318" s="36"/>
      <c r="GS318" s="36"/>
      <c r="GT318" s="36"/>
      <c r="GU318" s="36"/>
      <c r="GV318" s="6"/>
      <c r="GW318" s="36"/>
      <c r="GX318" s="36"/>
      <c r="GY318" s="36"/>
      <c r="GZ318" s="36"/>
      <c r="HA318" s="36"/>
      <c r="HB318" s="36"/>
      <c r="HC318" s="36"/>
      <c r="HD318" s="36"/>
      <c r="HE318" s="36"/>
      <c r="HF318" s="36"/>
      <c r="HG318" s="36"/>
      <c r="HH318" s="36"/>
      <c r="HI318" s="36"/>
      <c r="HJ318" s="36"/>
      <c r="HK318" s="36"/>
      <c r="HL318" s="36"/>
      <c r="HM318" s="36"/>
      <c r="HN318" s="36"/>
      <c r="HO318" s="36"/>
      <c r="HP318" s="36"/>
      <c r="HQ318" s="36"/>
      <c r="HR318" s="36"/>
      <c r="HS318" s="36"/>
      <c r="HT318" s="36"/>
      <c r="HU318" s="36"/>
      <c r="HV318" s="36"/>
      <c r="HW318" s="36"/>
      <c r="HX318" s="36"/>
      <c r="HY318" s="36"/>
      <c r="HZ318" s="36"/>
      <c r="IA318" s="36"/>
      <c r="IB318" s="36"/>
      <c r="IC318" s="36"/>
      <c r="ID318" s="36"/>
      <c r="IE318" s="36"/>
      <c r="IF318" s="36"/>
      <c r="IG318" s="36"/>
      <c r="IH318" s="36"/>
      <c r="II318" s="36"/>
      <c r="IJ318" s="36"/>
      <c r="IK318" s="36"/>
      <c r="IL318" s="36"/>
      <c r="IM318" s="36"/>
      <c r="IN318" s="36"/>
      <c r="IO318" s="36"/>
      <c r="IP318" s="36"/>
      <c r="IR318" s="2" t="s">
        <v>543</v>
      </c>
    </row>
    <row r="319" spans="1:252" ht="15.75" customHeight="1" x14ac:dyDescent="0.25">
      <c r="A319" s="36" t="s">
        <v>1140</v>
      </c>
      <c r="B319" s="36" t="s">
        <v>1141</v>
      </c>
      <c r="C319" s="36"/>
      <c r="D319" s="36"/>
      <c r="E319" s="36"/>
      <c r="F319" s="36"/>
      <c r="G319" s="36"/>
      <c r="H319" s="36"/>
      <c r="I319" s="36"/>
      <c r="J319" s="36"/>
      <c r="K319" s="36"/>
      <c r="L319" s="36"/>
      <c r="M319" s="36">
        <v>5</v>
      </c>
      <c r="N319" s="36">
        <v>10</v>
      </c>
      <c r="O319" s="36"/>
      <c r="P319" s="36"/>
      <c r="Q319" s="36">
        <v>5</v>
      </c>
      <c r="R319" s="36">
        <v>5</v>
      </c>
      <c r="S319" s="36"/>
      <c r="T319" s="36"/>
      <c r="U319" s="36"/>
      <c r="V319" s="36"/>
      <c r="W319" s="36"/>
      <c r="X319" s="36">
        <v>10</v>
      </c>
      <c r="Y319" s="36"/>
      <c r="Z319" s="36">
        <v>5</v>
      </c>
      <c r="AA319" s="36"/>
      <c r="AB319" s="36"/>
      <c r="AC319" s="36"/>
      <c r="AD319" s="36">
        <v>5</v>
      </c>
      <c r="AE319" s="36"/>
      <c r="AF319" s="36"/>
      <c r="AG319" s="36">
        <v>5</v>
      </c>
      <c r="AH319" s="36"/>
      <c r="AI319" s="36"/>
      <c r="AJ319" s="36"/>
      <c r="AK319" s="36"/>
      <c r="AL319" s="36"/>
      <c r="AM319" s="36"/>
      <c r="AN319" s="36">
        <v>5</v>
      </c>
      <c r="AO319" s="36"/>
      <c r="AP319" s="36"/>
      <c r="AQ319" s="36"/>
      <c r="AR319" s="36"/>
      <c r="AS319" s="36"/>
      <c r="AT319" s="36">
        <v>5</v>
      </c>
      <c r="AU319" s="36"/>
      <c r="AV319" s="36">
        <v>5</v>
      </c>
      <c r="AW319" s="36">
        <v>5</v>
      </c>
      <c r="AX319" s="36"/>
      <c r="AY319" s="36"/>
      <c r="AZ319" s="36"/>
      <c r="BA319" s="36"/>
      <c r="BB319" s="36"/>
      <c r="BC319" s="36"/>
      <c r="BD319" s="36"/>
      <c r="BE319" s="36"/>
      <c r="BF319" s="36"/>
      <c r="BG319" s="36"/>
      <c r="BH319" s="36"/>
      <c r="BI319" s="36"/>
      <c r="BJ319" s="36"/>
      <c r="BK319" s="36"/>
      <c r="BL319" s="36"/>
      <c r="BM319" s="36"/>
      <c r="BN319" s="36"/>
      <c r="BO319" s="36"/>
      <c r="BP319" s="6"/>
      <c r="BQ319" s="6"/>
      <c r="BR319" s="6"/>
      <c r="BS319" s="6"/>
      <c r="BT319" s="6"/>
      <c r="BU319" s="6"/>
      <c r="BV319" s="36"/>
      <c r="BW319" s="36"/>
      <c r="BX319" s="36">
        <v>30</v>
      </c>
      <c r="BY319" s="36"/>
      <c r="BZ319" s="36"/>
      <c r="CA319" s="36"/>
      <c r="CB319" s="36"/>
      <c r="CC319" s="36"/>
      <c r="CD319" s="36"/>
      <c r="CE319" s="36"/>
      <c r="CF319" s="36"/>
      <c r="CG319" s="36">
        <v>10</v>
      </c>
      <c r="CH319" s="36">
        <v>20</v>
      </c>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6</v>
      </c>
      <c r="DI319" s="36"/>
      <c r="DJ319" s="36"/>
      <c r="DK319" s="36"/>
      <c r="DL319" s="36"/>
      <c r="DM319" s="36"/>
      <c r="DN319" s="36">
        <v>6</v>
      </c>
      <c r="DO319" s="36"/>
      <c r="DP319" s="36"/>
      <c r="DQ319" s="36">
        <v>4</v>
      </c>
      <c r="DR319" s="36"/>
      <c r="DS319" s="36"/>
      <c r="DT319" s="36"/>
      <c r="DU319" s="36"/>
      <c r="DV319" s="36"/>
      <c r="DW319" s="36"/>
      <c r="DX319" s="36"/>
      <c r="DY319" s="36"/>
      <c r="DZ319" s="36"/>
      <c r="EA319" s="36"/>
      <c r="EB319" s="36"/>
      <c r="EC319" s="36"/>
      <c r="ED319" s="36"/>
      <c r="EE319" s="36"/>
      <c r="EF319" s="36"/>
      <c r="EG319" s="36"/>
      <c r="EH319" s="36"/>
      <c r="EI319" s="36"/>
      <c r="EJ319" s="36"/>
      <c r="EK319" s="36">
        <v>8</v>
      </c>
      <c r="EL319" s="36"/>
      <c r="EM319" s="36"/>
      <c r="EN319" s="36"/>
      <c r="EO319" s="36"/>
      <c r="EP319" s="36"/>
      <c r="EQ319" s="36"/>
      <c r="ER319" s="36"/>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6"/>
      <c r="GB319" s="6"/>
      <c r="GC319" s="36"/>
      <c r="GD319" s="36"/>
      <c r="GE319" s="36"/>
      <c r="GF319" s="36"/>
      <c r="GG319" s="36"/>
      <c r="GH319" s="36"/>
      <c r="GI319" s="36"/>
      <c r="GJ319" s="36"/>
      <c r="GK319" s="36"/>
      <c r="GL319" s="36"/>
      <c r="GM319" s="36"/>
      <c r="GN319" s="36"/>
      <c r="GO319" s="36"/>
      <c r="GP319" s="36"/>
      <c r="GQ319" s="36"/>
      <c r="GR319" s="36"/>
      <c r="GS319" s="36"/>
      <c r="GT319" s="36"/>
      <c r="GU319" s="36"/>
      <c r="GV319" s="6"/>
      <c r="GW319" s="36"/>
      <c r="GX319" s="36"/>
      <c r="GY319" s="36"/>
      <c r="GZ319" s="36"/>
      <c r="HA319" s="36"/>
      <c r="HB319" s="36"/>
      <c r="HC319" s="36"/>
      <c r="HD319" s="36"/>
      <c r="HE319" s="36"/>
      <c r="HF319" s="36"/>
      <c r="HG319" s="36"/>
      <c r="HH319" s="36"/>
      <c r="HI319" s="36"/>
      <c r="HJ319" s="36"/>
      <c r="HK319" s="36"/>
      <c r="HL319" s="36"/>
      <c r="HM319" s="36"/>
      <c r="HN319" s="36"/>
      <c r="HO319" s="36"/>
      <c r="HP319" s="36"/>
      <c r="HQ319" s="36"/>
      <c r="HR319" s="36"/>
      <c r="HS319" s="36"/>
      <c r="HT319" s="36"/>
      <c r="HU319" s="36"/>
      <c r="HV319" s="36"/>
      <c r="HW319" s="36"/>
      <c r="HX319" s="36"/>
      <c r="HY319" s="36"/>
      <c r="HZ319" s="36"/>
      <c r="IA319" s="36"/>
      <c r="IB319" s="36"/>
      <c r="IC319" s="36"/>
      <c r="ID319" s="36"/>
      <c r="IE319" s="36"/>
      <c r="IF319" s="36"/>
      <c r="IG319" s="36"/>
      <c r="IH319" s="36"/>
      <c r="II319" s="36"/>
      <c r="IJ319" s="36"/>
      <c r="IK319" s="36"/>
      <c r="IL319" s="36"/>
      <c r="IM319" s="36"/>
      <c r="IN319" s="36"/>
      <c r="IO319" s="36"/>
      <c r="IP319" s="36"/>
      <c r="IR319" s="2" t="s">
        <v>543</v>
      </c>
    </row>
    <row r="320" spans="1:252" ht="15.75" customHeight="1" x14ac:dyDescent="0.25">
      <c r="A320" s="36" t="s">
        <v>1142</v>
      </c>
      <c r="B320" s="36" t="s">
        <v>1143</v>
      </c>
      <c r="C320" s="36"/>
      <c r="D320" s="36"/>
      <c r="E320" s="36"/>
      <c r="F320" s="80">
        <v>25</v>
      </c>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6"/>
      <c r="BQ320" s="6"/>
      <c r="BR320" s="6"/>
      <c r="BS320" s="6"/>
      <c r="BT320" s="6"/>
      <c r="BU320" s="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c r="DI320" s="36"/>
      <c r="DJ320" s="36"/>
      <c r="DK320" s="36"/>
      <c r="DL320" s="36"/>
      <c r="DM320" s="36"/>
      <c r="DN320" s="36"/>
      <c r="DO320" s="36"/>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6"/>
      <c r="GB320" s="6"/>
      <c r="GC320" s="36"/>
      <c r="GD320" s="36"/>
      <c r="GE320" s="36"/>
      <c r="GF320" s="36"/>
      <c r="GG320" s="36"/>
      <c r="GH320" s="36"/>
      <c r="GI320" s="36"/>
      <c r="GJ320" s="36"/>
      <c r="GK320" s="36"/>
      <c r="GL320" s="36"/>
      <c r="GM320" s="36"/>
      <c r="GN320" s="36"/>
      <c r="GO320" s="36"/>
      <c r="GP320" s="36"/>
      <c r="GQ320" s="36"/>
      <c r="GR320" s="36"/>
      <c r="GS320" s="36"/>
      <c r="GT320" s="36"/>
      <c r="GU320" s="36"/>
      <c r="GV320" s="6"/>
      <c r="GW320" s="36"/>
      <c r="GX320" s="36"/>
      <c r="GY320" s="36"/>
      <c r="GZ320" s="36"/>
      <c r="HA320" s="36"/>
      <c r="HB320" s="36"/>
      <c r="HC320" s="36"/>
      <c r="HD320" s="36"/>
      <c r="HE320" s="36"/>
      <c r="HF320" s="36"/>
      <c r="HG320" s="36"/>
      <c r="HH320" s="36"/>
      <c r="HI320" s="36"/>
      <c r="HJ320" s="36"/>
      <c r="HK320" s="36"/>
      <c r="HL320" s="36"/>
      <c r="HM320" s="36"/>
      <c r="HN320" s="36"/>
      <c r="HO320" s="36"/>
      <c r="HP320" s="36"/>
      <c r="HQ320" s="36"/>
      <c r="HR320" s="36"/>
      <c r="HS320" s="36"/>
      <c r="HT320" s="36"/>
      <c r="HU320" s="36"/>
      <c r="HV320" s="36"/>
      <c r="HW320" s="36"/>
      <c r="HX320" s="36"/>
      <c r="HY320" s="36"/>
      <c r="HZ320" s="36"/>
      <c r="IA320" s="36"/>
      <c r="IB320" s="36"/>
      <c r="IC320" s="36"/>
      <c r="ID320" s="36"/>
      <c r="IE320" s="36"/>
      <c r="IF320" s="36"/>
      <c r="IG320" s="36"/>
      <c r="IH320" s="36"/>
      <c r="II320" s="36"/>
      <c r="IJ320" s="36"/>
      <c r="IK320" s="36"/>
      <c r="IL320" s="36"/>
      <c r="IM320" s="36"/>
      <c r="IN320" s="36"/>
      <c r="IO320" s="36"/>
      <c r="IP320" s="36"/>
      <c r="IR320" s="2" t="s">
        <v>1144</v>
      </c>
    </row>
    <row r="321" spans="1:252" ht="15.75" customHeight="1" x14ac:dyDescent="0.25">
      <c r="A321" s="36" t="s">
        <v>1142</v>
      </c>
      <c r="B321" s="36" t="s">
        <v>1145</v>
      </c>
      <c r="C321" s="36"/>
      <c r="D321" s="36"/>
      <c r="E321" s="36">
        <v>10</v>
      </c>
      <c r="F321" s="36"/>
      <c r="G321" s="36"/>
      <c r="H321" s="36"/>
      <c r="I321" s="36"/>
      <c r="J321" s="36"/>
      <c r="K321" s="36"/>
      <c r="L321" s="36"/>
      <c r="M321" s="36">
        <v>15</v>
      </c>
      <c r="N321" s="36"/>
      <c r="O321" s="36"/>
      <c r="P321" s="36"/>
      <c r="Q321" s="36"/>
      <c r="R321" s="36"/>
      <c r="S321" s="36"/>
      <c r="T321" s="36"/>
      <c r="U321" s="36"/>
      <c r="V321" s="36"/>
      <c r="W321" s="36"/>
      <c r="X321" s="36">
        <v>10</v>
      </c>
      <c r="Y321" s="36"/>
      <c r="Z321" s="36"/>
      <c r="AA321" s="36"/>
      <c r="AB321" s="36"/>
      <c r="AC321" s="36"/>
      <c r="AD321" s="36">
        <v>10</v>
      </c>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6"/>
      <c r="BQ321" s="6"/>
      <c r="BR321" s="6"/>
      <c r="BS321" s="6"/>
      <c r="BT321" s="6"/>
      <c r="BU321" s="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v>24</v>
      </c>
      <c r="CS321" s="36"/>
      <c r="CT321" s="36"/>
      <c r="CU321" s="36"/>
      <c r="CV321" s="36"/>
      <c r="CW321" s="36"/>
      <c r="CX321" s="36"/>
      <c r="CY321" s="36"/>
      <c r="CZ321" s="36">
        <v>4</v>
      </c>
      <c r="DA321" s="36"/>
      <c r="DB321" s="36"/>
      <c r="DC321" s="36"/>
      <c r="DD321" s="36"/>
      <c r="DE321" s="36"/>
      <c r="DF321" s="36">
        <v>24</v>
      </c>
      <c r="DG321" s="36"/>
      <c r="DH321" s="36">
        <v>4</v>
      </c>
      <c r="DI321" s="36">
        <v>11</v>
      </c>
      <c r="DJ321" s="36"/>
      <c r="DK321" s="36"/>
      <c r="DL321" s="36"/>
      <c r="DM321" s="36"/>
      <c r="DN321" s="36"/>
      <c r="DO321" s="36"/>
      <c r="DP321" s="36"/>
      <c r="DQ321" s="36"/>
      <c r="DR321" s="36">
        <v>30</v>
      </c>
      <c r="DS321" s="36"/>
      <c r="DT321" s="36"/>
      <c r="DU321" s="36"/>
      <c r="DV321" s="36"/>
      <c r="DW321" s="36"/>
      <c r="DX321" s="36"/>
      <c r="DY321" s="36"/>
      <c r="DZ321" s="36"/>
      <c r="EA321" s="36"/>
      <c r="EB321" s="36"/>
      <c r="EC321" s="36"/>
      <c r="ED321" s="36"/>
      <c r="EE321" s="36"/>
      <c r="EF321" s="36"/>
      <c r="EG321" s="36"/>
      <c r="EH321" s="36"/>
      <c r="EI321" s="36"/>
      <c r="EJ321" s="36"/>
      <c r="EK321" s="36"/>
      <c r="EL321" s="36"/>
      <c r="EM321" s="36"/>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6"/>
      <c r="GB321" s="6"/>
      <c r="GC321" s="36"/>
      <c r="GD321" s="36"/>
      <c r="GE321" s="36"/>
      <c r="GF321" s="36"/>
      <c r="GG321" s="36"/>
      <c r="GH321" s="36"/>
      <c r="GI321" s="36"/>
      <c r="GJ321" s="36"/>
      <c r="GK321" s="36"/>
      <c r="GL321" s="36"/>
      <c r="GM321" s="36"/>
      <c r="GN321" s="36"/>
      <c r="GO321" s="36"/>
      <c r="GP321" s="36"/>
      <c r="GQ321" s="36"/>
      <c r="GR321" s="36"/>
      <c r="GS321" s="36"/>
      <c r="GT321" s="36"/>
      <c r="GU321" s="36"/>
      <c r="GV321" s="6"/>
      <c r="GW321" s="36"/>
      <c r="GX321" s="36"/>
      <c r="GY321" s="36"/>
      <c r="GZ321" s="36"/>
      <c r="HA321" s="36"/>
      <c r="HB321" s="36"/>
      <c r="HC321" s="36"/>
      <c r="HD321" s="36"/>
      <c r="HE321" s="36"/>
      <c r="HF321" s="36"/>
      <c r="HG321" s="36"/>
      <c r="HH321" s="36"/>
      <c r="HI321" s="36"/>
      <c r="HJ321" s="36"/>
      <c r="HK321" s="36"/>
      <c r="HL321" s="36"/>
      <c r="HM321" s="36"/>
      <c r="HN321" s="36"/>
      <c r="HO321" s="36"/>
      <c r="HP321" s="36"/>
      <c r="HQ321" s="36"/>
      <c r="HR321" s="36"/>
      <c r="HS321" s="36"/>
      <c r="HT321" s="36"/>
      <c r="HU321" s="36"/>
      <c r="HV321" s="36"/>
      <c r="HW321" s="36"/>
      <c r="HX321" s="36"/>
      <c r="HY321" s="36"/>
      <c r="HZ321" s="36"/>
      <c r="IA321" s="36"/>
      <c r="IB321" s="36"/>
      <c r="IC321" s="36"/>
      <c r="ID321" s="36"/>
      <c r="IE321" s="36"/>
      <c r="IF321" s="36"/>
      <c r="IG321" s="36"/>
      <c r="IH321" s="36"/>
      <c r="II321" s="36"/>
      <c r="IJ321" s="36"/>
      <c r="IK321" s="36"/>
      <c r="IL321" s="36"/>
      <c r="IM321" s="36"/>
      <c r="IN321" s="36"/>
      <c r="IO321" s="36"/>
      <c r="IP321" s="36"/>
      <c r="IR321" s="2" t="s">
        <v>543</v>
      </c>
    </row>
    <row r="322" spans="1:252" ht="15.75" customHeight="1" x14ac:dyDescent="0.25">
      <c r="A322" s="36" t="s">
        <v>1146</v>
      </c>
      <c r="B322" s="36" t="s">
        <v>1147</v>
      </c>
      <c r="C322" s="36"/>
      <c r="D322" s="36"/>
      <c r="E322" s="36"/>
      <c r="F322" s="36"/>
      <c r="G322" s="36">
        <v>5</v>
      </c>
      <c r="H322" s="36"/>
      <c r="I322" s="36">
        <v>5</v>
      </c>
      <c r="J322" s="36"/>
      <c r="K322" s="36">
        <v>5</v>
      </c>
      <c r="L322" s="36"/>
      <c r="M322" s="36"/>
      <c r="N322" s="36">
        <v>10</v>
      </c>
      <c r="O322" s="36"/>
      <c r="P322" s="36"/>
      <c r="Q322" s="36"/>
      <c r="R322" s="36">
        <v>5</v>
      </c>
      <c r="S322" s="36">
        <v>5</v>
      </c>
      <c r="T322" s="36"/>
      <c r="U322" s="36"/>
      <c r="V322" s="36"/>
      <c r="W322" s="36"/>
      <c r="X322" s="36"/>
      <c r="Y322" s="36"/>
      <c r="Z322" s="36">
        <v>10</v>
      </c>
      <c r="AA322" s="36"/>
      <c r="AB322" s="36"/>
      <c r="AC322" s="36"/>
      <c r="AD322" s="36"/>
      <c r="AE322" s="36"/>
      <c r="AF322" s="36">
        <v>10</v>
      </c>
      <c r="AG322" s="36">
        <v>5</v>
      </c>
      <c r="AH322" s="36"/>
      <c r="AI322" s="36"/>
      <c r="AJ322" s="36"/>
      <c r="AK322" s="36"/>
      <c r="AL322" s="36">
        <v>5</v>
      </c>
      <c r="AM322" s="36"/>
      <c r="AN322" s="36"/>
      <c r="AO322" s="36"/>
      <c r="AP322" s="36"/>
      <c r="AQ322" s="36"/>
      <c r="AR322" s="36"/>
      <c r="AS322" s="36"/>
      <c r="AT322" s="36"/>
      <c r="AU322" s="36"/>
      <c r="AV322" s="36"/>
      <c r="AW322" s="36">
        <v>5</v>
      </c>
      <c r="AX322" s="36"/>
      <c r="AY322" s="36"/>
      <c r="AZ322" s="36"/>
      <c r="BA322" s="36"/>
      <c r="BB322" s="36"/>
      <c r="BC322" s="36"/>
      <c r="BD322" s="36"/>
      <c r="BE322" s="36"/>
      <c r="BF322" s="36"/>
      <c r="BG322" s="36"/>
      <c r="BH322" s="36"/>
      <c r="BI322" s="36"/>
      <c r="BJ322" s="36"/>
      <c r="BK322" s="36"/>
      <c r="BL322" s="36"/>
      <c r="BM322" s="36"/>
      <c r="BN322" s="36"/>
      <c r="BO322" s="36"/>
      <c r="BP322" s="6"/>
      <c r="BQ322" s="6"/>
      <c r="BR322" s="6"/>
      <c r="BS322" s="6"/>
      <c r="BT322" s="6"/>
      <c r="BU322" s="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6"/>
      <c r="GB322" s="6"/>
      <c r="GC322" s="36"/>
      <c r="GD322" s="36"/>
      <c r="GE322" s="36"/>
      <c r="GF322" s="36"/>
      <c r="GG322" s="36"/>
      <c r="GH322" s="36"/>
      <c r="GI322" s="36"/>
      <c r="GJ322" s="36"/>
      <c r="GK322" s="36"/>
      <c r="GL322" s="36"/>
      <c r="GM322" s="36"/>
      <c r="GN322" s="36"/>
      <c r="GO322" s="36"/>
      <c r="GP322" s="36"/>
      <c r="GQ322" s="36"/>
      <c r="GR322" s="36"/>
      <c r="GS322" s="36"/>
      <c r="GT322" s="36"/>
      <c r="GU322" s="36"/>
      <c r="GV322" s="6"/>
      <c r="GW322" s="36"/>
      <c r="GX322" s="36"/>
      <c r="GY322" s="36"/>
      <c r="GZ322" s="36"/>
      <c r="HA322" s="36"/>
      <c r="HB322" s="36"/>
      <c r="HC322" s="36"/>
      <c r="HD322" s="36"/>
      <c r="HE322" s="36"/>
      <c r="HF322" s="36"/>
      <c r="HG322" s="36"/>
      <c r="HH322" s="36"/>
      <c r="HI322" s="36"/>
      <c r="HJ322" s="36"/>
      <c r="HK322" s="36"/>
      <c r="HL322" s="36"/>
      <c r="HM322" s="36"/>
      <c r="HN322" s="36"/>
      <c r="HO322" s="36"/>
      <c r="HP322" s="36"/>
      <c r="HQ322" s="36"/>
      <c r="HR322" s="36"/>
      <c r="HS322" s="36"/>
      <c r="HT322" s="36"/>
      <c r="HU322" s="36"/>
      <c r="HV322" s="36"/>
      <c r="HW322" s="36"/>
      <c r="HX322" s="36"/>
      <c r="HY322" s="36"/>
      <c r="HZ322" s="36"/>
      <c r="IA322" s="36"/>
      <c r="IB322" s="36"/>
      <c r="IC322" s="36"/>
      <c r="ID322" s="36"/>
      <c r="IE322" s="36"/>
      <c r="IF322" s="36"/>
      <c r="IG322" s="36"/>
      <c r="IH322" s="36"/>
      <c r="II322" s="36"/>
      <c r="IJ322" s="36"/>
      <c r="IK322" s="36"/>
      <c r="IL322" s="36"/>
      <c r="IM322" s="36"/>
      <c r="IN322" s="36"/>
      <c r="IO322" s="36"/>
      <c r="IP322" s="36"/>
      <c r="IR322" s="2" t="s">
        <v>543</v>
      </c>
    </row>
    <row r="323" spans="1:252" ht="15.75" customHeight="1" x14ac:dyDescent="0.25">
      <c r="A323" s="36" t="s">
        <v>1149</v>
      </c>
      <c r="B323" s="36" t="s">
        <v>1150</v>
      </c>
      <c r="C323" s="36"/>
      <c r="D323" s="36"/>
      <c r="E323" s="36"/>
      <c r="F323" s="36"/>
      <c r="G323" s="36"/>
      <c r="H323" s="36"/>
      <c r="I323" s="36"/>
      <c r="J323" s="36"/>
      <c r="K323" s="36">
        <v>15</v>
      </c>
      <c r="L323" s="36"/>
      <c r="M323" s="36"/>
      <c r="N323" s="36"/>
      <c r="O323" s="36"/>
      <c r="P323" s="36"/>
      <c r="Q323" s="36"/>
      <c r="R323" s="36">
        <v>30</v>
      </c>
      <c r="S323" s="36">
        <v>5</v>
      </c>
      <c r="T323" s="36"/>
      <c r="U323" s="36"/>
      <c r="V323" s="36">
        <v>10</v>
      </c>
      <c r="W323" s="36"/>
      <c r="X323" s="36"/>
      <c r="Y323" s="36"/>
      <c r="Z323" s="36"/>
      <c r="AA323" s="36"/>
      <c r="AB323" s="36"/>
      <c r="AC323" s="36"/>
      <c r="AD323" s="36">
        <v>20</v>
      </c>
      <c r="AE323" s="36"/>
      <c r="AF323" s="36">
        <v>20</v>
      </c>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6"/>
      <c r="BQ323" s="6">
        <v>4</v>
      </c>
      <c r="BR323" s="6">
        <v>4</v>
      </c>
      <c r="BS323" s="6"/>
      <c r="BT323" s="6"/>
      <c r="BU323" s="6"/>
      <c r="BV323" s="36"/>
      <c r="BW323" s="351">
        <v>30</v>
      </c>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v>18</v>
      </c>
      <c r="CT323" s="36"/>
      <c r="CU323" s="36"/>
      <c r="CV323" s="36"/>
      <c r="CW323" s="36"/>
      <c r="CX323" s="36"/>
      <c r="CY323" s="36"/>
      <c r="CZ323" s="36"/>
      <c r="DA323" s="36"/>
      <c r="DB323" s="36"/>
      <c r="DC323" s="36"/>
      <c r="DD323" s="36"/>
      <c r="DE323" s="36"/>
      <c r="DF323" s="36">
        <v>20</v>
      </c>
      <c r="DG323" s="36"/>
      <c r="DH323" s="36"/>
      <c r="DI323" s="36"/>
      <c r="DJ323" s="36"/>
      <c r="DK323" s="36"/>
      <c r="DL323" s="36"/>
      <c r="DM323" s="36"/>
      <c r="DN323" s="36"/>
      <c r="DO323" s="36"/>
      <c r="DP323" s="36">
        <v>15</v>
      </c>
      <c r="DQ323" s="36"/>
      <c r="DR323" s="36"/>
      <c r="DS323" s="36"/>
      <c r="DT323" s="36"/>
      <c r="DU323" s="36"/>
      <c r="DV323" s="36"/>
      <c r="DW323" s="36"/>
      <c r="DX323" s="36"/>
      <c r="DY323" s="36"/>
      <c r="DZ323" s="36"/>
      <c r="EA323" s="36"/>
      <c r="EB323" s="36"/>
      <c r="EC323" s="36"/>
      <c r="ED323" s="36"/>
      <c r="EE323" s="36"/>
      <c r="EF323" s="36"/>
      <c r="EG323" s="36"/>
      <c r="EH323" s="36"/>
      <c r="EI323" s="36">
        <v>24</v>
      </c>
      <c r="EJ323" s="36">
        <v>24</v>
      </c>
      <c r="EK323" s="36"/>
      <c r="EL323" s="36"/>
      <c r="EM323" s="36"/>
      <c r="EN323" s="36"/>
      <c r="EO323" s="36"/>
      <c r="EP323" s="36"/>
      <c r="EQ323" s="36"/>
      <c r="ER323" s="36"/>
      <c r="ES323" s="36"/>
      <c r="ET323" s="36"/>
      <c r="EU323" s="36"/>
      <c r="EV323" s="36"/>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v>118</v>
      </c>
      <c r="FZ323" s="36">
        <v>75</v>
      </c>
      <c r="GA323" s="6"/>
      <c r="GB323" s="6">
        <f>50+24</f>
        <v>74</v>
      </c>
      <c r="GC323" s="36"/>
      <c r="GD323" s="36"/>
      <c r="GE323" s="36"/>
      <c r="GF323" s="36"/>
      <c r="GG323" s="36"/>
      <c r="GH323" s="36"/>
      <c r="GI323" s="36"/>
      <c r="GJ323" s="36"/>
      <c r="GK323" s="36"/>
      <c r="GL323" s="36"/>
      <c r="GM323" s="36"/>
      <c r="GN323" s="36"/>
      <c r="GO323" s="36">
        <f>250+21</f>
        <v>271</v>
      </c>
      <c r="GP323" s="36"/>
      <c r="GQ323" s="36"/>
      <c r="GR323" s="36"/>
      <c r="GS323" s="36">
        <v>224</v>
      </c>
      <c r="GT323" s="36"/>
      <c r="GU323" s="36"/>
      <c r="GV323" s="6"/>
      <c r="GW323" s="36"/>
      <c r="GX323" s="36"/>
      <c r="GY323" s="36"/>
      <c r="GZ323" s="36"/>
      <c r="HA323" s="36"/>
      <c r="HB323" s="36"/>
      <c r="HC323" s="36"/>
      <c r="HD323" s="36"/>
      <c r="HE323" s="36"/>
      <c r="HF323" s="36"/>
      <c r="HG323" s="36"/>
      <c r="HH323" s="36"/>
      <c r="HI323" s="36"/>
      <c r="HJ323" s="36"/>
      <c r="HK323" s="36"/>
      <c r="HL323" s="36"/>
      <c r="HM323" s="36"/>
      <c r="HN323" s="36"/>
      <c r="HO323" s="36"/>
      <c r="HP323" s="36"/>
      <c r="HQ323" s="36"/>
      <c r="HR323" s="36"/>
      <c r="HS323" s="36"/>
      <c r="HT323" s="36"/>
      <c r="HU323" s="36"/>
      <c r="HV323" s="36"/>
      <c r="HW323" s="36"/>
      <c r="HX323" s="36"/>
      <c r="HY323" s="36"/>
      <c r="HZ323" s="36"/>
      <c r="IA323" s="36"/>
      <c r="IB323" s="36"/>
      <c r="IC323" s="36"/>
      <c r="ID323" s="36"/>
      <c r="IE323" s="36"/>
      <c r="IF323" s="36"/>
      <c r="IG323" s="36"/>
      <c r="IH323" s="36"/>
      <c r="II323" s="36"/>
      <c r="IJ323" s="36"/>
      <c r="IK323" s="36"/>
      <c r="IL323" s="36"/>
      <c r="IM323" s="36"/>
      <c r="IN323" s="36"/>
      <c r="IO323" s="36"/>
      <c r="IP323" s="36"/>
      <c r="IR323" s="2" t="s">
        <v>543</v>
      </c>
    </row>
    <row r="324" spans="1:252" ht="15.75" customHeight="1" x14ac:dyDescent="0.25">
      <c r="A324" s="36" t="s">
        <v>1149</v>
      </c>
      <c r="B324" s="36" t="s">
        <v>1151</v>
      </c>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6"/>
      <c r="BQ324" s="6"/>
      <c r="BR324" s="6"/>
      <c r="BS324" s="6"/>
      <c r="BT324" s="6"/>
      <c r="BU324" s="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c r="DI324" s="36"/>
      <c r="DJ324" s="36"/>
      <c r="DK324" s="36"/>
      <c r="DL324" s="36"/>
      <c r="DM324" s="36"/>
      <c r="DN324" s="36"/>
      <c r="DO324" s="36"/>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v>25</v>
      </c>
      <c r="FW324" s="36"/>
      <c r="FX324" s="36"/>
      <c r="FY324" s="36"/>
      <c r="FZ324" s="36">
        <v>50</v>
      </c>
      <c r="GA324" s="6"/>
      <c r="GB324" s="6">
        <v>75</v>
      </c>
      <c r="GC324" s="36"/>
      <c r="GD324" s="36"/>
      <c r="GE324" s="36"/>
      <c r="GF324" s="36"/>
      <c r="GG324" s="36"/>
      <c r="GH324" s="36">
        <v>40</v>
      </c>
      <c r="GI324" s="36"/>
      <c r="GJ324" s="36"/>
      <c r="GK324" s="36"/>
      <c r="GL324" s="36"/>
      <c r="GM324" s="36"/>
      <c r="GN324" s="36"/>
      <c r="GO324" s="36"/>
      <c r="GP324" s="36"/>
      <c r="GQ324" s="36">
        <v>25</v>
      </c>
      <c r="GR324" s="36">
        <v>25</v>
      </c>
      <c r="GS324" s="36">
        <v>25</v>
      </c>
      <c r="GT324" s="36"/>
      <c r="GU324" s="36"/>
      <c r="GV324" s="6"/>
      <c r="GW324" s="36"/>
      <c r="GX324" s="36"/>
      <c r="GY324" s="36"/>
      <c r="GZ324" s="36"/>
      <c r="HA324" s="36"/>
      <c r="HB324" s="36"/>
      <c r="HC324" s="36"/>
      <c r="HD324" s="36"/>
      <c r="HE324" s="36"/>
      <c r="HF324" s="36"/>
      <c r="HG324" s="36"/>
      <c r="HH324" s="36"/>
      <c r="HI324" s="36"/>
      <c r="HJ324" s="36"/>
      <c r="HK324" s="36"/>
      <c r="HL324" s="36"/>
      <c r="HM324" s="36"/>
      <c r="HN324" s="36"/>
      <c r="HO324" s="36"/>
      <c r="HP324" s="36"/>
      <c r="HQ324" s="36"/>
      <c r="HR324" s="36"/>
      <c r="HS324" s="36"/>
      <c r="HT324" s="36"/>
      <c r="HU324" s="36"/>
      <c r="HV324" s="36"/>
      <c r="HW324" s="36"/>
      <c r="HX324" s="36"/>
      <c r="HY324" s="36">
        <f>24*24</f>
        <v>576</v>
      </c>
      <c r="HZ324" s="36"/>
      <c r="IA324" s="36"/>
      <c r="IB324" s="36"/>
      <c r="IC324" s="36"/>
      <c r="ID324" s="36"/>
      <c r="IE324" s="36"/>
      <c r="IF324" s="36"/>
      <c r="IG324" s="36"/>
      <c r="IH324" s="36"/>
      <c r="II324" s="36"/>
      <c r="IJ324" s="36"/>
      <c r="IK324" s="36"/>
      <c r="IL324" s="36"/>
      <c r="IM324" s="36"/>
      <c r="IN324" s="36"/>
      <c r="IO324" s="36"/>
      <c r="IP324" s="36"/>
      <c r="IR324" s="2" t="s">
        <v>543</v>
      </c>
    </row>
    <row r="325" spans="1:252" ht="15.75" customHeight="1" x14ac:dyDescent="0.25">
      <c r="A325" s="36" t="s">
        <v>1149</v>
      </c>
      <c r="B325" s="36" t="s">
        <v>1152</v>
      </c>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6"/>
      <c r="BQ325" s="6"/>
      <c r="BR325" s="6"/>
      <c r="BS325" s="6"/>
      <c r="BT325" s="6"/>
      <c r="BU325" s="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v>24</v>
      </c>
      <c r="CS325" s="36"/>
      <c r="CT325" s="36"/>
      <c r="CU325" s="36"/>
      <c r="CV325" s="36"/>
      <c r="CW325" s="36"/>
      <c r="CX325" s="36">
        <v>12</v>
      </c>
      <c r="CY325" s="36"/>
      <c r="CZ325" s="36"/>
      <c r="DA325" s="36"/>
      <c r="DB325" s="36">
        <v>24</v>
      </c>
      <c r="DC325" s="36"/>
      <c r="DD325" s="36">
        <v>9</v>
      </c>
      <c r="DE325" s="36"/>
      <c r="DF325" s="36"/>
      <c r="DG325" s="36"/>
      <c r="DH325" s="36"/>
      <c r="DI325" s="36"/>
      <c r="DJ325" s="36">
        <v>12</v>
      </c>
      <c r="DK325" s="36"/>
      <c r="DL325" s="36"/>
      <c r="DM325" s="36"/>
      <c r="DN325" s="36"/>
      <c r="DO325" s="36"/>
      <c r="DP325" s="36"/>
      <c r="DQ325" s="36">
        <v>24</v>
      </c>
      <c r="DR325" s="36"/>
      <c r="DS325" s="36"/>
      <c r="DT325" s="36"/>
      <c r="DU325" s="36">
        <v>2</v>
      </c>
      <c r="DV325" s="36"/>
      <c r="DW325" s="36"/>
      <c r="DX325" s="36">
        <v>1</v>
      </c>
      <c r="DY325" s="36"/>
      <c r="DZ325" s="36"/>
      <c r="EA325" s="36"/>
      <c r="EB325" s="36"/>
      <c r="EC325" s="36"/>
      <c r="ED325" s="36"/>
      <c r="EE325" s="36"/>
      <c r="EF325" s="36"/>
      <c r="EG325" s="36"/>
      <c r="EH325" s="36"/>
      <c r="EI325" s="36"/>
      <c r="EJ325" s="36"/>
      <c r="EK325" s="36">
        <v>24</v>
      </c>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c r="FM325" s="36"/>
      <c r="FN325" s="36"/>
      <c r="FO325" s="36"/>
      <c r="FP325" s="36"/>
      <c r="FQ325" s="36"/>
      <c r="FR325" s="36"/>
      <c r="FS325" s="36"/>
      <c r="FT325" s="36"/>
      <c r="FU325" s="36"/>
      <c r="FV325" s="36"/>
      <c r="FW325" s="36"/>
      <c r="FX325" s="36"/>
      <c r="FY325" s="36"/>
      <c r="FZ325" s="36"/>
      <c r="GA325" s="6"/>
      <c r="GB325" s="6"/>
      <c r="GC325" s="36"/>
      <c r="GD325" s="36"/>
      <c r="GE325" s="36"/>
      <c r="GF325" s="36"/>
      <c r="GG325" s="36"/>
      <c r="GH325" s="36"/>
      <c r="GI325" s="36"/>
      <c r="GJ325" s="36"/>
      <c r="GK325" s="36"/>
      <c r="GL325" s="36"/>
      <c r="GM325" s="36"/>
      <c r="GN325" s="36"/>
      <c r="GO325" s="36"/>
      <c r="GP325" s="36"/>
      <c r="GQ325" s="36"/>
      <c r="GR325" s="36"/>
      <c r="GS325" s="36"/>
      <c r="GT325" s="36"/>
      <c r="GU325" s="36"/>
      <c r="GV325" s="6"/>
      <c r="GW325" s="36"/>
      <c r="GX325" s="36"/>
      <c r="GY325" s="36"/>
      <c r="GZ325" s="36"/>
      <c r="HA325" s="36"/>
      <c r="HB325" s="36"/>
      <c r="HC325" s="36"/>
      <c r="HD325" s="36"/>
      <c r="HE325" s="36"/>
      <c r="HF325" s="36"/>
      <c r="HG325" s="36"/>
      <c r="HH325" s="36"/>
      <c r="HI325" s="36"/>
      <c r="HJ325" s="36"/>
      <c r="HK325" s="36"/>
      <c r="HL325" s="36"/>
      <c r="HM325" s="36"/>
      <c r="HN325" s="36"/>
      <c r="HO325" s="36"/>
      <c r="HP325" s="36"/>
      <c r="HQ325" s="36"/>
      <c r="HR325" s="36"/>
      <c r="HS325" s="36"/>
      <c r="HT325" s="36"/>
      <c r="HU325" s="36"/>
      <c r="HV325" s="36"/>
      <c r="HW325" s="36"/>
      <c r="HX325" s="36"/>
      <c r="HY325" s="36"/>
      <c r="HZ325" s="36"/>
      <c r="IA325" s="36"/>
      <c r="IB325" s="36"/>
      <c r="IC325" s="36"/>
      <c r="ID325" s="36"/>
      <c r="IE325" s="36"/>
      <c r="IF325" s="36"/>
      <c r="IG325" s="36"/>
      <c r="IH325" s="36"/>
      <c r="II325" s="36"/>
      <c r="IJ325" s="36"/>
      <c r="IK325" s="36"/>
      <c r="IL325" s="36"/>
      <c r="IM325" s="36"/>
      <c r="IN325" s="36"/>
      <c r="IO325" s="36"/>
      <c r="IP325" s="36"/>
      <c r="IR325" s="2" t="s">
        <v>543</v>
      </c>
    </row>
    <row r="326" spans="1:252" ht="15.75" customHeight="1" x14ac:dyDescent="0.25">
      <c r="A326" s="36" t="s">
        <v>1149</v>
      </c>
      <c r="B326" s="36" t="s">
        <v>1153</v>
      </c>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6"/>
      <c r="BQ326" s="6"/>
      <c r="BR326" s="6"/>
      <c r="BS326" s="6"/>
      <c r="BT326" s="6"/>
      <c r="BU326" s="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v>6</v>
      </c>
      <c r="DK326" s="36"/>
      <c r="DL326" s="36"/>
      <c r="DM326" s="36"/>
      <c r="DN326" s="36"/>
      <c r="DO326" s="36"/>
      <c r="DP326" s="36"/>
      <c r="DQ326" s="36"/>
      <c r="DR326" s="36"/>
      <c r="DS326" s="36"/>
      <c r="DT326" s="36"/>
      <c r="DU326" s="36"/>
      <c r="DV326" s="36"/>
      <c r="DW326" s="36"/>
      <c r="DX326" s="36"/>
      <c r="DY326" s="36"/>
      <c r="DZ326" s="36"/>
      <c r="EA326" s="36"/>
      <c r="EB326" s="36"/>
      <c r="EC326" s="36"/>
      <c r="ED326" s="36"/>
      <c r="EE326" s="36"/>
      <c r="EF326" s="36"/>
      <c r="EG326" s="36"/>
      <c r="EH326" s="36"/>
      <c r="EI326" s="36"/>
      <c r="EJ326" s="36"/>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c r="FM326" s="36"/>
      <c r="FN326" s="36"/>
      <c r="FO326" s="36"/>
      <c r="FP326" s="36"/>
      <c r="FQ326" s="36"/>
      <c r="FR326" s="36"/>
      <c r="FS326" s="36"/>
      <c r="FT326" s="36"/>
      <c r="FU326" s="36"/>
      <c r="FV326" s="36"/>
      <c r="FW326" s="36"/>
      <c r="FX326" s="36"/>
      <c r="FY326" s="36"/>
      <c r="FZ326" s="36"/>
      <c r="GA326" s="6"/>
      <c r="GB326" s="6"/>
      <c r="GC326" s="36"/>
      <c r="GD326" s="36"/>
      <c r="GE326" s="36"/>
      <c r="GF326" s="36"/>
      <c r="GG326" s="36"/>
      <c r="GH326" s="36"/>
      <c r="GI326" s="36"/>
      <c r="GJ326" s="36"/>
      <c r="GK326" s="36"/>
      <c r="GL326" s="36"/>
      <c r="GM326" s="36"/>
      <c r="GN326" s="36"/>
      <c r="GO326" s="36"/>
      <c r="GP326" s="36"/>
      <c r="GQ326" s="36"/>
      <c r="GR326" s="36"/>
      <c r="GS326" s="36"/>
      <c r="GT326" s="36"/>
      <c r="GU326" s="36"/>
      <c r="GV326" s="6"/>
      <c r="GW326" s="36"/>
      <c r="GX326" s="36"/>
      <c r="GY326" s="36"/>
      <c r="GZ326" s="36"/>
      <c r="HA326" s="36"/>
      <c r="HB326" s="36"/>
      <c r="HC326" s="36"/>
      <c r="HD326" s="36"/>
      <c r="HE326" s="36"/>
      <c r="HF326" s="36"/>
      <c r="HG326" s="36"/>
      <c r="HH326" s="36"/>
      <c r="HI326" s="36"/>
      <c r="HJ326" s="36"/>
      <c r="HK326" s="36"/>
      <c r="HL326" s="36"/>
      <c r="HM326" s="36"/>
      <c r="HN326" s="36"/>
      <c r="HO326" s="36"/>
      <c r="HP326" s="36"/>
      <c r="HQ326" s="36"/>
      <c r="HR326" s="36"/>
      <c r="HS326" s="36"/>
      <c r="HT326" s="36"/>
      <c r="HU326" s="36"/>
      <c r="HV326" s="36"/>
      <c r="HW326" s="36"/>
      <c r="HX326" s="36"/>
      <c r="HY326" s="36"/>
      <c r="HZ326" s="36"/>
      <c r="IA326" s="36"/>
      <c r="IB326" s="36"/>
      <c r="IC326" s="36"/>
      <c r="ID326" s="36">
        <v>40</v>
      </c>
      <c r="IE326" s="36"/>
      <c r="IF326" s="36"/>
      <c r="IG326" s="36"/>
      <c r="IH326" s="36"/>
      <c r="II326" s="36"/>
      <c r="IJ326" s="36"/>
      <c r="IK326" s="36"/>
      <c r="IL326" s="36"/>
      <c r="IM326" s="36"/>
      <c r="IN326" s="36"/>
      <c r="IO326" s="36"/>
      <c r="IP326" s="36"/>
      <c r="IR326" s="2" t="s">
        <v>543</v>
      </c>
    </row>
    <row r="327" spans="1:252" ht="15.75" customHeight="1" x14ac:dyDescent="0.25">
      <c r="A327" s="36" t="s">
        <v>521</v>
      </c>
      <c r="B327" s="36" t="s">
        <v>1154</v>
      </c>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6"/>
      <c r="BQ327" s="6"/>
      <c r="BR327" s="6"/>
      <c r="BS327" s="6"/>
      <c r="BT327" s="6"/>
      <c r="BU327" s="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v>30</v>
      </c>
      <c r="DC327" s="36"/>
      <c r="DD327" s="36"/>
      <c r="DE327" s="36"/>
      <c r="DF327" s="36"/>
      <c r="DG327" s="36"/>
      <c r="DH327" s="36"/>
      <c r="DI327" s="36"/>
      <c r="DJ327" s="36"/>
      <c r="DK327" s="36"/>
      <c r="DL327" s="36"/>
      <c r="DM327" s="36"/>
      <c r="DN327" s="36"/>
      <c r="DO327" s="36"/>
      <c r="DP327" s="36"/>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v>100</v>
      </c>
      <c r="FA327" s="36"/>
      <c r="FB327" s="36">
        <v>100</v>
      </c>
      <c r="FC327" s="36"/>
      <c r="FD327" s="36"/>
      <c r="FE327" s="36"/>
      <c r="FF327" s="36">
        <v>100</v>
      </c>
      <c r="FG327" s="36"/>
      <c r="FH327" s="36"/>
      <c r="FI327" s="36">
        <v>100</v>
      </c>
      <c r="FJ327" s="36">
        <v>100</v>
      </c>
      <c r="FK327" s="36"/>
      <c r="FL327" s="36"/>
      <c r="FM327" s="36"/>
      <c r="FN327" s="36"/>
      <c r="FO327" s="36"/>
      <c r="FP327" s="36"/>
      <c r="FQ327" s="36"/>
      <c r="FR327" s="36">
        <v>200</v>
      </c>
      <c r="FS327" s="36"/>
      <c r="FT327" s="36"/>
      <c r="FU327" s="36"/>
      <c r="FV327" s="36"/>
      <c r="FW327" s="36"/>
      <c r="FX327" s="36"/>
      <c r="FY327" s="36">
        <v>25</v>
      </c>
      <c r="FZ327" s="36"/>
      <c r="GA327" s="6"/>
      <c r="GB327" s="6"/>
      <c r="GC327" s="36"/>
      <c r="GD327" s="36"/>
      <c r="GE327" s="36"/>
      <c r="GF327" s="36"/>
      <c r="GG327" s="36"/>
      <c r="GH327" s="36"/>
      <c r="GI327" s="36"/>
      <c r="GJ327" s="36"/>
      <c r="GK327" s="36"/>
      <c r="GL327" s="36"/>
      <c r="GM327" s="36"/>
      <c r="GN327" s="36"/>
      <c r="GO327" s="36"/>
      <c r="GP327" s="36"/>
      <c r="GQ327" s="36"/>
      <c r="GR327" s="36"/>
      <c r="GS327" s="36">
        <v>50</v>
      </c>
      <c r="GT327" s="36"/>
      <c r="GU327" s="36"/>
      <c r="GV327" s="6"/>
      <c r="GW327" s="36"/>
      <c r="GX327" s="36"/>
      <c r="GY327" s="36"/>
      <c r="GZ327" s="36"/>
      <c r="HA327" s="36"/>
      <c r="HB327" s="36"/>
      <c r="HC327" s="36"/>
      <c r="HD327" s="36"/>
      <c r="HE327" s="36"/>
      <c r="HF327" s="36"/>
      <c r="HG327" s="36"/>
      <c r="HH327" s="36"/>
      <c r="HI327" s="36"/>
      <c r="HJ327" s="36"/>
      <c r="HK327" s="36"/>
      <c r="HL327" s="36"/>
      <c r="HM327" s="36"/>
      <c r="HN327" s="36"/>
      <c r="HO327" s="36"/>
      <c r="HP327" s="36"/>
      <c r="HQ327" s="36"/>
      <c r="HR327" s="36"/>
      <c r="HS327" s="36"/>
      <c r="HT327" s="36"/>
      <c r="HU327" s="36"/>
      <c r="HV327" s="36"/>
      <c r="HW327" s="36"/>
      <c r="HX327" s="36"/>
      <c r="HY327" s="36"/>
      <c r="HZ327" s="36"/>
      <c r="IA327" s="36"/>
      <c r="IB327" s="36"/>
      <c r="IC327" s="36"/>
      <c r="ID327" s="36"/>
      <c r="IE327" s="36"/>
      <c r="IF327" s="36"/>
      <c r="IG327" s="36"/>
      <c r="IH327" s="36"/>
      <c r="II327" s="36"/>
      <c r="IJ327" s="36"/>
      <c r="IK327" s="36"/>
      <c r="IL327" s="36"/>
      <c r="IM327" s="36"/>
      <c r="IN327" s="36"/>
      <c r="IO327" s="36"/>
      <c r="IP327" s="36"/>
      <c r="IR327" s="2" t="s">
        <v>543</v>
      </c>
    </row>
    <row r="328" spans="1:252" ht="15.75" customHeight="1" x14ac:dyDescent="0.25">
      <c r="A328" s="36" t="s">
        <v>1155</v>
      </c>
      <c r="B328" s="36" t="s">
        <v>1156</v>
      </c>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6"/>
      <c r="BQ328" s="6"/>
      <c r="BR328" s="6"/>
      <c r="BS328" s="6"/>
      <c r="BT328" s="6"/>
      <c r="BU328" s="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c r="DI328" s="36"/>
      <c r="DJ328" s="36"/>
      <c r="DK328" s="36"/>
      <c r="DL328" s="36"/>
      <c r="DM328" s="36"/>
      <c r="DN328" s="36"/>
      <c r="DO328" s="36"/>
      <c r="DP328" s="36"/>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c r="FN328" s="36"/>
      <c r="FO328" s="36"/>
      <c r="FP328" s="36"/>
      <c r="FQ328" s="36"/>
      <c r="FR328" s="36"/>
      <c r="FS328" s="36"/>
      <c r="FT328" s="36"/>
      <c r="FU328" s="36"/>
      <c r="FV328" s="36"/>
      <c r="FW328" s="36"/>
      <c r="FX328" s="36"/>
      <c r="FY328" s="36"/>
      <c r="FZ328" s="36"/>
      <c r="GA328" s="6"/>
      <c r="GB328" s="6"/>
      <c r="GC328" s="36"/>
      <c r="GD328" s="36"/>
      <c r="GE328" s="36"/>
      <c r="GF328" s="36"/>
      <c r="GG328" s="36"/>
      <c r="GH328" s="36"/>
      <c r="GI328" s="36"/>
      <c r="GJ328" s="36"/>
      <c r="GK328" s="36"/>
      <c r="GL328" s="36"/>
      <c r="GM328" s="36"/>
      <c r="GN328" s="36"/>
      <c r="GO328" s="36"/>
      <c r="GP328" s="36"/>
      <c r="GQ328" s="36"/>
      <c r="GR328" s="36"/>
      <c r="GS328" s="36"/>
      <c r="GT328" s="36"/>
      <c r="GU328" s="36"/>
      <c r="GV328" s="6"/>
      <c r="GW328" s="36"/>
      <c r="GX328" s="36"/>
      <c r="GY328" s="36"/>
      <c r="GZ328" s="36"/>
      <c r="HA328" s="36"/>
      <c r="HB328" s="36"/>
      <c r="HC328" s="36"/>
      <c r="HD328" s="36"/>
      <c r="HE328" s="36"/>
      <c r="HF328" s="36"/>
      <c r="HG328" s="36"/>
      <c r="HH328" s="36"/>
      <c r="HI328" s="36"/>
      <c r="HJ328" s="36"/>
      <c r="HK328" s="36"/>
      <c r="HL328" s="36"/>
      <c r="HM328" s="36"/>
      <c r="HN328" s="36"/>
      <c r="HO328" s="36"/>
      <c r="HP328" s="36"/>
      <c r="HQ328" s="36"/>
      <c r="HR328" s="36"/>
      <c r="HS328" s="36"/>
      <c r="HT328" s="36"/>
      <c r="HU328" s="36"/>
      <c r="HV328" s="36"/>
      <c r="HW328" s="36"/>
      <c r="HX328" s="36"/>
      <c r="HY328" s="36">
        <v>1152</v>
      </c>
      <c r="HZ328" s="36"/>
      <c r="IA328" s="36"/>
      <c r="IB328" s="36"/>
      <c r="IC328" s="36"/>
      <c r="ID328" s="36"/>
      <c r="IE328" s="36"/>
      <c r="IF328" s="36"/>
      <c r="IG328" s="36"/>
      <c r="IH328" s="36"/>
      <c r="II328" s="36"/>
      <c r="IJ328" s="36"/>
      <c r="IK328" s="36"/>
      <c r="IL328" s="36"/>
      <c r="IM328" s="36"/>
      <c r="IN328" s="36"/>
      <c r="IO328" s="36"/>
      <c r="IP328" s="36"/>
      <c r="IR328" s="2" t="s">
        <v>543</v>
      </c>
    </row>
    <row r="329" spans="1:252" ht="15.75" customHeight="1" x14ac:dyDescent="0.25">
      <c r="A329" s="36" t="s">
        <v>1157</v>
      </c>
      <c r="B329" s="36" t="s">
        <v>1158</v>
      </c>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v>5</v>
      </c>
      <c r="AM329" s="36"/>
      <c r="AN329" s="36"/>
      <c r="AO329" s="36"/>
      <c r="AP329" s="36"/>
      <c r="AQ329" s="80">
        <v>10</v>
      </c>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6"/>
      <c r="BQ329" s="6"/>
      <c r="BR329" s="6"/>
      <c r="BS329" s="6"/>
      <c r="BT329" s="6"/>
      <c r="BU329" s="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v>12</v>
      </c>
      <c r="DK329" s="36"/>
      <c r="DL329" s="36"/>
      <c r="DM329" s="36"/>
      <c r="DN329" s="36"/>
      <c r="DO329" s="36"/>
      <c r="DP329" s="36"/>
      <c r="DQ329" s="36"/>
      <c r="DR329" s="36"/>
      <c r="DS329" s="36"/>
      <c r="DT329" s="36"/>
      <c r="DU329" s="36"/>
      <c r="DV329" s="36"/>
      <c r="DW329" s="36"/>
      <c r="DX329" s="36"/>
      <c r="DY329" s="36"/>
      <c r="DZ329" s="36"/>
      <c r="EA329" s="36"/>
      <c r="EB329" s="36"/>
      <c r="EC329" s="36"/>
      <c r="ED329" s="36"/>
      <c r="EE329" s="36"/>
      <c r="EF329" s="36"/>
      <c r="EG329" s="36"/>
      <c r="EH329" s="36"/>
      <c r="EI329" s="36"/>
      <c r="EJ329" s="36"/>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6"/>
      <c r="GB329" s="6"/>
      <c r="GC329" s="36"/>
      <c r="GD329" s="36"/>
      <c r="GE329" s="36"/>
      <c r="GF329" s="36"/>
      <c r="GG329" s="36"/>
      <c r="GH329" s="36"/>
      <c r="GI329" s="36"/>
      <c r="GJ329" s="36"/>
      <c r="GK329" s="36"/>
      <c r="GL329" s="36"/>
      <c r="GM329" s="36"/>
      <c r="GN329" s="36"/>
      <c r="GO329" s="36"/>
      <c r="GP329" s="36"/>
      <c r="GQ329" s="36"/>
      <c r="GR329" s="36"/>
      <c r="GS329" s="36"/>
      <c r="GT329" s="36"/>
      <c r="GU329" s="36"/>
      <c r="GV329" s="6"/>
      <c r="GW329" s="36"/>
      <c r="GX329" s="36"/>
      <c r="GY329" s="36"/>
      <c r="GZ329" s="36"/>
      <c r="HA329" s="36"/>
      <c r="HB329" s="36"/>
      <c r="HC329" s="36"/>
      <c r="HD329" s="36"/>
      <c r="HE329" s="36"/>
      <c r="HF329" s="36"/>
      <c r="HG329" s="36"/>
      <c r="HH329" s="36"/>
      <c r="HI329" s="36"/>
      <c r="HJ329" s="36"/>
      <c r="HK329" s="36"/>
      <c r="HL329" s="36"/>
      <c r="HM329" s="36"/>
      <c r="HN329" s="36"/>
      <c r="HO329" s="36"/>
      <c r="HP329" s="36"/>
      <c r="HQ329" s="36"/>
      <c r="HR329" s="36"/>
      <c r="HS329" s="36"/>
      <c r="HT329" s="36"/>
      <c r="HU329" s="36"/>
      <c r="HV329" s="36"/>
      <c r="HW329" s="36"/>
      <c r="HX329" s="36"/>
      <c r="HY329" s="36"/>
      <c r="HZ329" s="36"/>
      <c r="IA329" s="36"/>
      <c r="IB329" s="36"/>
      <c r="IC329" s="36"/>
      <c r="ID329" s="36"/>
      <c r="IE329" s="36"/>
      <c r="IF329" s="36"/>
      <c r="IG329" s="36"/>
      <c r="IH329" s="36"/>
      <c r="II329" s="36"/>
      <c r="IJ329" s="36"/>
      <c r="IK329" s="36"/>
      <c r="IL329" s="36"/>
      <c r="IM329" s="36"/>
      <c r="IN329" s="36"/>
      <c r="IO329" s="36"/>
      <c r="IP329" s="36"/>
      <c r="IR329" s="2" t="s">
        <v>543</v>
      </c>
    </row>
    <row r="330" spans="1:252" ht="15.75" customHeight="1" x14ac:dyDescent="0.25">
      <c r="A330" s="36" t="s">
        <v>1160</v>
      </c>
      <c r="B330" s="36" t="s">
        <v>1161</v>
      </c>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6"/>
      <c r="BQ330" s="6">
        <v>1</v>
      </c>
      <c r="BR330" s="6">
        <v>1</v>
      </c>
      <c r="BS330" s="6"/>
      <c r="BT330" s="6"/>
      <c r="BU330" s="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c r="DR330" s="36"/>
      <c r="DS330" s="36"/>
      <c r="DT330" s="36"/>
      <c r="DU330" s="36"/>
      <c r="DV330" s="36"/>
      <c r="DW330" s="36"/>
      <c r="DX330" s="36"/>
      <c r="DY330" s="36"/>
      <c r="DZ330" s="36"/>
      <c r="EA330" s="36"/>
      <c r="EB330" s="36"/>
      <c r="EC330" s="36"/>
      <c r="ED330" s="36"/>
      <c r="EE330" s="36"/>
      <c r="EF330" s="36"/>
      <c r="EG330" s="36"/>
      <c r="EH330" s="36"/>
      <c r="EI330" s="36"/>
      <c r="EJ330" s="36"/>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6"/>
      <c r="GB330" s="6"/>
      <c r="GC330" s="36"/>
      <c r="GD330" s="36"/>
      <c r="GE330" s="36"/>
      <c r="GF330" s="36"/>
      <c r="GG330" s="36"/>
      <c r="GH330" s="36"/>
      <c r="GI330" s="36"/>
      <c r="GJ330" s="36"/>
      <c r="GK330" s="36"/>
      <c r="GL330" s="36"/>
      <c r="GM330" s="36"/>
      <c r="GN330" s="36"/>
      <c r="GO330" s="36"/>
      <c r="GP330" s="36"/>
      <c r="GQ330" s="36"/>
      <c r="GR330" s="36"/>
      <c r="GS330" s="36"/>
      <c r="GT330" s="36"/>
      <c r="GU330" s="36"/>
      <c r="GV330" s="6"/>
      <c r="GW330" s="36"/>
      <c r="GX330" s="36"/>
      <c r="GY330" s="36"/>
      <c r="GZ330" s="36"/>
      <c r="HA330" s="36"/>
      <c r="HB330" s="36"/>
      <c r="HC330" s="36"/>
      <c r="HD330" s="36"/>
      <c r="HE330" s="36"/>
      <c r="HF330" s="36"/>
      <c r="HG330" s="36"/>
      <c r="HH330" s="36"/>
      <c r="HI330" s="36"/>
      <c r="HJ330" s="36"/>
      <c r="HK330" s="36"/>
      <c r="HL330" s="36"/>
      <c r="HM330" s="36"/>
      <c r="HN330" s="36"/>
      <c r="HO330" s="36"/>
      <c r="HP330" s="36"/>
      <c r="HQ330" s="36"/>
      <c r="HR330" s="36"/>
      <c r="HS330" s="36"/>
      <c r="HT330" s="36"/>
      <c r="HU330" s="36"/>
      <c r="HV330" s="36"/>
      <c r="HW330" s="36"/>
      <c r="HX330" s="36"/>
      <c r="HY330" s="36"/>
      <c r="HZ330" s="36"/>
      <c r="IA330" s="36"/>
      <c r="IB330" s="36"/>
      <c r="IC330" s="36"/>
      <c r="ID330" s="36"/>
      <c r="IE330" s="36"/>
      <c r="IF330" s="36"/>
      <c r="IG330" s="36"/>
      <c r="IH330" s="36"/>
      <c r="II330" s="36"/>
      <c r="IJ330" s="36"/>
      <c r="IK330" s="36"/>
      <c r="IL330" s="36"/>
      <c r="IM330" s="36"/>
      <c r="IN330" s="36"/>
      <c r="IO330" s="36"/>
      <c r="IP330" s="36"/>
      <c r="IR330" s="2" t="s">
        <v>543</v>
      </c>
    </row>
    <row r="331" spans="1:252" ht="15.75" customHeight="1" x14ac:dyDescent="0.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6"/>
      <c r="BQ331" s="6"/>
      <c r="BR331" s="6"/>
      <c r="BS331" s="6"/>
      <c r="BT331" s="6"/>
      <c r="BU331" s="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6"/>
      <c r="GB331" s="6"/>
      <c r="GC331" s="36"/>
      <c r="GD331" s="36"/>
      <c r="GE331" s="36"/>
      <c r="GF331" s="36"/>
      <c r="GG331" s="36"/>
      <c r="GH331" s="36"/>
      <c r="GI331" s="36"/>
      <c r="GJ331" s="36"/>
      <c r="GK331" s="36"/>
      <c r="GL331" s="36"/>
      <c r="GM331" s="36"/>
      <c r="GN331" s="36"/>
      <c r="GO331" s="36"/>
      <c r="GP331" s="36"/>
      <c r="GQ331" s="36"/>
      <c r="GR331" s="36"/>
      <c r="GS331" s="36"/>
      <c r="GT331" s="36"/>
      <c r="GU331" s="36"/>
      <c r="GV331" s="6"/>
      <c r="GW331" s="36"/>
      <c r="GX331" s="36"/>
      <c r="GY331" s="36"/>
      <c r="GZ331" s="36"/>
      <c r="HA331" s="36"/>
      <c r="HB331" s="36"/>
      <c r="HC331" s="36"/>
      <c r="HD331" s="36"/>
      <c r="HE331" s="36"/>
      <c r="HF331" s="36"/>
      <c r="HG331" s="36"/>
      <c r="HH331" s="36"/>
      <c r="HI331" s="36"/>
      <c r="HJ331" s="36"/>
      <c r="HK331" s="36"/>
      <c r="HL331" s="36"/>
      <c r="HM331" s="36"/>
      <c r="HN331" s="36"/>
      <c r="HO331" s="36"/>
      <c r="HP331" s="36"/>
      <c r="HQ331" s="36"/>
      <c r="HR331" s="36"/>
      <c r="HS331" s="36"/>
      <c r="HT331" s="36"/>
      <c r="HU331" s="36"/>
      <c r="HV331" s="36"/>
      <c r="HW331" s="36"/>
      <c r="HX331" s="36"/>
      <c r="HY331" s="36"/>
      <c r="HZ331" s="36"/>
      <c r="IA331" s="36"/>
      <c r="IB331" s="36"/>
      <c r="IC331" s="36"/>
      <c r="ID331" s="36"/>
      <c r="IE331" s="36"/>
      <c r="IF331" s="36"/>
      <c r="IG331" s="36"/>
      <c r="IH331" s="36"/>
      <c r="II331" s="36"/>
      <c r="IJ331" s="36"/>
      <c r="IK331" s="36"/>
      <c r="IL331" s="36"/>
      <c r="IM331" s="36"/>
      <c r="IN331" s="36"/>
      <c r="IO331" s="36"/>
      <c r="IP331" s="36"/>
    </row>
    <row r="332" spans="1:252" ht="15.75" customHeight="1" x14ac:dyDescent="0.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6"/>
      <c r="BQ332" s="6"/>
      <c r="BR332" s="6"/>
      <c r="BS332" s="6"/>
      <c r="BT332" s="6"/>
      <c r="BU332" s="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6"/>
      <c r="GB332" s="6"/>
      <c r="GC332" s="36"/>
      <c r="GD332" s="36"/>
      <c r="GE332" s="36"/>
      <c r="GF332" s="36"/>
      <c r="GG332" s="36"/>
      <c r="GH332" s="36"/>
      <c r="GI332" s="36"/>
      <c r="GJ332" s="36"/>
      <c r="GK332" s="36"/>
      <c r="GL332" s="36"/>
      <c r="GM332" s="36"/>
      <c r="GN332" s="36"/>
      <c r="GO332" s="36"/>
      <c r="GP332" s="36"/>
      <c r="GQ332" s="36"/>
      <c r="GR332" s="36"/>
      <c r="GS332" s="36"/>
      <c r="GT332" s="36"/>
      <c r="GU332" s="36"/>
      <c r="GV332" s="6"/>
      <c r="GW332" s="36"/>
      <c r="GX332" s="36"/>
      <c r="GY332" s="36"/>
      <c r="GZ332" s="36"/>
      <c r="HA332" s="36"/>
      <c r="HB332" s="36"/>
      <c r="HC332" s="36"/>
      <c r="HD332" s="36"/>
      <c r="HE332" s="36"/>
      <c r="HF332" s="36"/>
      <c r="HG332" s="36"/>
      <c r="HH332" s="36"/>
      <c r="HI332" s="36"/>
      <c r="HJ332" s="36"/>
      <c r="HK332" s="36"/>
      <c r="HL332" s="36"/>
      <c r="HM332" s="36"/>
      <c r="HN332" s="36"/>
      <c r="HO332" s="36"/>
      <c r="HP332" s="36"/>
      <c r="HQ332" s="36"/>
      <c r="HR332" s="36"/>
      <c r="HS332" s="36"/>
      <c r="HT332" s="36"/>
      <c r="HU332" s="36"/>
      <c r="HV332" s="36"/>
      <c r="HW332" s="36"/>
      <c r="HX332" s="36"/>
      <c r="HY332" s="36"/>
      <c r="HZ332" s="36"/>
      <c r="IA332" s="36"/>
      <c r="IB332" s="36"/>
      <c r="IC332" s="36"/>
      <c r="ID332" s="36"/>
      <c r="IE332" s="36"/>
      <c r="IF332" s="36"/>
      <c r="IG332" s="36"/>
      <c r="IH332" s="36"/>
      <c r="II332" s="36"/>
      <c r="IJ332" s="36"/>
      <c r="IK332" s="36"/>
      <c r="IL332" s="36"/>
      <c r="IM332" s="36"/>
      <c r="IN332" s="36"/>
      <c r="IO332" s="36"/>
      <c r="IP332" s="36"/>
    </row>
    <row r="333" spans="1:252" ht="15.75" customHeight="1" x14ac:dyDescent="0.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6"/>
      <c r="BQ333" s="6"/>
      <c r="BR333" s="6"/>
      <c r="BS333" s="6"/>
      <c r="BT333" s="6"/>
      <c r="BU333" s="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6"/>
      <c r="GB333" s="6"/>
      <c r="GC333" s="36"/>
      <c r="GD333" s="36"/>
      <c r="GE333" s="36"/>
      <c r="GF333" s="36"/>
      <c r="GG333" s="36"/>
      <c r="GH333" s="36"/>
      <c r="GI333" s="36"/>
      <c r="GJ333" s="36"/>
      <c r="GK333" s="36"/>
      <c r="GL333" s="36"/>
      <c r="GM333" s="36"/>
      <c r="GN333" s="36"/>
      <c r="GO333" s="36"/>
      <c r="GP333" s="36"/>
      <c r="GQ333" s="36"/>
      <c r="GR333" s="36"/>
      <c r="GS333" s="36"/>
      <c r="GT333" s="36"/>
      <c r="GU333" s="36"/>
      <c r="GV333" s="6"/>
      <c r="GW333" s="36"/>
      <c r="GX333" s="36"/>
      <c r="GY333" s="36"/>
      <c r="GZ333" s="36"/>
      <c r="HA333" s="36"/>
      <c r="HB333" s="36"/>
      <c r="HC333" s="36"/>
      <c r="HD333" s="36"/>
      <c r="HE333" s="36"/>
      <c r="HF333" s="36"/>
      <c r="HG333" s="36"/>
      <c r="HH333" s="36"/>
      <c r="HI333" s="36"/>
      <c r="HJ333" s="36"/>
      <c r="HK333" s="36"/>
      <c r="HL333" s="36"/>
      <c r="HM333" s="36"/>
      <c r="HN333" s="36"/>
      <c r="HO333" s="36"/>
      <c r="HP333" s="36"/>
      <c r="HQ333" s="36"/>
      <c r="HR333" s="36"/>
      <c r="HS333" s="36"/>
      <c r="HT333" s="36"/>
      <c r="HU333" s="36"/>
      <c r="HV333" s="36"/>
      <c r="HW333" s="36"/>
      <c r="HX333" s="36"/>
      <c r="HY333" s="36"/>
      <c r="HZ333" s="36"/>
      <c r="IA333" s="36"/>
      <c r="IB333" s="36"/>
      <c r="IC333" s="36"/>
      <c r="ID333" s="36"/>
      <c r="IE333" s="36"/>
      <c r="IF333" s="36"/>
      <c r="IG333" s="36"/>
      <c r="IH333" s="36"/>
      <c r="II333" s="36"/>
      <c r="IJ333" s="36"/>
      <c r="IK333" s="36"/>
      <c r="IL333" s="36"/>
      <c r="IM333" s="36"/>
      <c r="IN333" s="36"/>
      <c r="IO333" s="36"/>
      <c r="IP333" s="36"/>
    </row>
    <row r="334" spans="1:252" ht="15.75" customHeight="1" x14ac:dyDescent="0.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6"/>
      <c r="BQ334" s="6"/>
      <c r="BR334" s="6"/>
      <c r="BS334" s="6"/>
      <c r="BT334" s="6"/>
      <c r="BU334" s="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6"/>
      <c r="GB334" s="6"/>
      <c r="GC334" s="36"/>
      <c r="GD334" s="36"/>
      <c r="GE334" s="36"/>
      <c r="GF334" s="36"/>
      <c r="GG334" s="36"/>
      <c r="GH334" s="36"/>
      <c r="GI334" s="36"/>
      <c r="GJ334" s="36"/>
      <c r="GK334" s="36"/>
      <c r="GL334" s="36"/>
      <c r="GM334" s="36"/>
      <c r="GN334" s="36"/>
      <c r="GO334" s="36"/>
      <c r="GP334" s="36"/>
      <c r="GQ334" s="36"/>
      <c r="GR334" s="36"/>
      <c r="GS334" s="36"/>
      <c r="GT334" s="36"/>
      <c r="GU334" s="36"/>
      <c r="GV334" s="6"/>
      <c r="GW334" s="36"/>
      <c r="GX334" s="36"/>
      <c r="GY334" s="36"/>
      <c r="GZ334" s="36"/>
      <c r="HA334" s="36"/>
      <c r="HB334" s="36"/>
      <c r="HC334" s="36"/>
      <c r="HD334" s="36"/>
      <c r="HE334" s="36"/>
      <c r="HF334" s="36"/>
      <c r="HG334" s="36"/>
      <c r="HH334" s="36"/>
      <c r="HI334" s="36"/>
      <c r="HJ334" s="36"/>
      <c r="HK334" s="36"/>
      <c r="HL334" s="36"/>
      <c r="HM334" s="36"/>
      <c r="HN334" s="36"/>
      <c r="HO334" s="36"/>
      <c r="HP334" s="36"/>
      <c r="HQ334" s="36"/>
      <c r="HR334" s="36"/>
      <c r="HS334" s="36"/>
      <c r="HT334" s="36"/>
      <c r="HU334" s="36"/>
      <c r="HV334" s="36"/>
      <c r="HW334" s="36"/>
      <c r="HX334" s="36"/>
      <c r="HY334" s="36"/>
      <c r="HZ334" s="36"/>
      <c r="IA334" s="36"/>
      <c r="IB334" s="36"/>
      <c r="IC334" s="36"/>
      <c r="ID334" s="36"/>
      <c r="IE334" s="36"/>
      <c r="IF334" s="36"/>
      <c r="IG334" s="36"/>
      <c r="IH334" s="36"/>
      <c r="II334" s="36"/>
      <c r="IJ334" s="36"/>
      <c r="IK334" s="36"/>
      <c r="IL334" s="36"/>
      <c r="IM334" s="36"/>
      <c r="IN334" s="36"/>
      <c r="IO334" s="36"/>
      <c r="IP334" s="36"/>
    </row>
    <row r="335" spans="1:252" ht="15.75" customHeight="1" x14ac:dyDescent="0.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6"/>
      <c r="BQ335" s="6"/>
      <c r="BR335" s="6"/>
      <c r="BS335" s="6"/>
      <c r="BT335" s="6"/>
      <c r="BU335" s="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6"/>
      <c r="GB335" s="6"/>
      <c r="GC335" s="36"/>
      <c r="GD335" s="36"/>
      <c r="GE335" s="36"/>
      <c r="GF335" s="36"/>
      <c r="GG335" s="36"/>
      <c r="GH335" s="36"/>
      <c r="GI335" s="36"/>
      <c r="GJ335" s="36"/>
      <c r="GK335" s="36"/>
      <c r="GL335" s="36"/>
      <c r="GM335" s="36"/>
      <c r="GN335" s="36"/>
      <c r="GO335" s="36"/>
      <c r="GP335" s="36"/>
      <c r="GQ335" s="36"/>
      <c r="GR335" s="36"/>
      <c r="GS335" s="36"/>
      <c r="GT335" s="36"/>
      <c r="GU335" s="36"/>
      <c r="GV335" s="6"/>
      <c r="GW335" s="36"/>
      <c r="GX335" s="36"/>
      <c r="GY335" s="36"/>
      <c r="GZ335" s="36"/>
      <c r="HA335" s="36"/>
      <c r="HB335" s="36"/>
      <c r="HC335" s="36"/>
      <c r="HD335" s="36"/>
      <c r="HE335" s="36"/>
      <c r="HF335" s="36"/>
      <c r="HG335" s="36"/>
      <c r="HH335" s="36"/>
      <c r="HI335" s="36"/>
      <c r="HJ335" s="36"/>
      <c r="HK335" s="36"/>
      <c r="HL335" s="36"/>
      <c r="HM335" s="36"/>
      <c r="HN335" s="36"/>
      <c r="HO335" s="36"/>
      <c r="HP335" s="36"/>
      <c r="HQ335" s="36"/>
      <c r="HR335" s="36"/>
      <c r="HS335" s="36"/>
      <c r="HT335" s="36"/>
      <c r="HU335" s="36"/>
      <c r="HV335" s="36"/>
      <c r="HW335" s="36"/>
      <c r="HX335" s="36"/>
      <c r="HY335" s="36"/>
      <c r="HZ335" s="36"/>
      <c r="IA335" s="36"/>
      <c r="IB335" s="36"/>
      <c r="IC335" s="36"/>
      <c r="ID335" s="36"/>
      <c r="IE335" s="36"/>
      <c r="IF335" s="36"/>
      <c r="IG335" s="36"/>
      <c r="IH335" s="36"/>
      <c r="II335" s="36"/>
      <c r="IJ335" s="36"/>
      <c r="IK335" s="36"/>
      <c r="IL335" s="36"/>
      <c r="IM335" s="36"/>
      <c r="IN335" s="36"/>
      <c r="IO335" s="36"/>
      <c r="IP335" s="36"/>
    </row>
    <row r="336" spans="1:252" ht="15.75" customHeight="1" x14ac:dyDescent="0.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6"/>
      <c r="BQ336" s="6"/>
      <c r="BR336" s="6"/>
      <c r="BS336" s="6"/>
      <c r="BT336" s="6"/>
      <c r="BU336" s="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6"/>
      <c r="GB336" s="6"/>
      <c r="GC336" s="36"/>
      <c r="GD336" s="36"/>
      <c r="GE336" s="36"/>
      <c r="GF336" s="36"/>
      <c r="GG336" s="36"/>
      <c r="GH336" s="36"/>
      <c r="GI336" s="36"/>
      <c r="GJ336" s="36"/>
      <c r="GK336" s="36"/>
      <c r="GL336" s="36"/>
      <c r="GM336" s="36"/>
      <c r="GN336" s="36"/>
      <c r="GO336" s="36"/>
      <c r="GP336" s="36"/>
      <c r="GQ336" s="36"/>
      <c r="GR336" s="36"/>
      <c r="GS336" s="36"/>
      <c r="GT336" s="36"/>
      <c r="GU336" s="36"/>
      <c r="GV336" s="6"/>
      <c r="GW336" s="36"/>
      <c r="GX336" s="36"/>
      <c r="GY336" s="36"/>
      <c r="GZ336" s="36"/>
      <c r="HA336" s="36"/>
      <c r="HB336" s="36"/>
      <c r="HC336" s="36"/>
      <c r="HD336" s="36"/>
      <c r="HE336" s="36"/>
      <c r="HF336" s="36"/>
      <c r="HG336" s="36"/>
      <c r="HH336" s="36"/>
      <c r="HI336" s="36"/>
      <c r="HJ336" s="36"/>
      <c r="HK336" s="36"/>
      <c r="HL336" s="36"/>
      <c r="HM336" s="36"/>
      <c r="HN336" s="36"/>
      <c r="HO336" s="36"/>
      <c r="HP336" s="36"/>
      <c r="HQ336" s="36"/>
      <c r="HR336" s="36"/>
      <c r="HS336" s="36"/>
      <c r="HT336" s="36"/>
      <c r="HU336" s="36"/>
      <c r="HV336" s="36"/>
      <c r="HW336" s="36"/>
      <c r="HX336" s="36"/>
      <c r="HY336" s="36"/>
      <c r="HZ336" s="36"/>
      <c r="IA336" s="36"/>
      <c r="IB336" s="36"/>
      <c r="IC336" s="36"/>
      <c r="ID336" s="36"/>
      <c r="IE336" s="36"/>
      <c r="IF336" s="36"/>
      <c r="IG336" s="36"/>
      <c r="IH336" s="36"/>
      <c r="II336" s="36"/>
      <c r="IJ336" s="36"/>
      <c r="IK336" s="36"/>
      <c r="IL336" s="36"/>
      <c r="IM336" s="36"/>
      <c r="IN336" s="36"/>
      <c r="IO336" s="36"/>
      <c r="IP336" s="36"/>
    </row>
    <row r="337" spans="1:250" ht="15.75" customHeight="1" x14ac:dyDescent="0.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6"/>
      <c r="BQ337" s="6"/>
      <c r="BR337" s="6"/>
      <c r="BS337" s="6"/>
      <c r="BT337" s="6"/>
      <c r="BU337" s="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c r="DI337" s="36"/>
      <c r="DJ337" s="36"/>
      <c r="DK337" s="36"/>
      <c r="DL337" s="36"/>
      <c r="DM337" s="36"/>
      <c r="DN337" s="36"/>
      <c r="DO337" s="36"/>
      <c r="DP337" s="36"/>
      <c r="DQ337" s="36"/>
      <c r="DR337" s="36"/>
      <c r="DS337" s="36"/>
      <c r="DT337" s="36"/>
      <c r="DU337" s="36"/>
      <c r="DV337" s="36"/>
      <c r="DW337" s="36"/>
      <c r="DX337" s="36"/>
      <c r="DY337" s="36"/>
      <c r="DZ337" s="36"/>
      <c r="EA337" s="36"/>
      <c r="EB337" s="36"/>
      <c r="EC337" s="36"/>
      <c r="ED337" s="36"/>
      <c r="EE337" s="36"/>
      <c r="EF337" s="36"/>
      <c r="EG337" s="36"/>
      <c r="EH337" s="36"/>
      <c r="EI337" s="36"/>
      <c r="EJ337" s="36"/>
      <c r="EK337" s="36"/>
      <c r="EL337" s="36"/>
      <c r="EM337" s="36"/>
      <c r="EN337" s="36"/>
      <c r="EO337" s="36"/>
      <c r="EP337" s="36"/>
      <c r="EQ337" s="36"/>
      <c r="ER337" s="36"/>
      <c r="ES337" s="36"/>
      <c r="ET337" s="36"/>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6"/>
      <c r="GB337" s="6"/>
      <c r="GC337" s="36"/>
      <c r="GD337" s="36"/>
      <c r="GE337" s="36"/>
      <c r="GF337" s="36"/>
      <c r="GG337" s="36"/>
      <c r="GH337" s="36"/>
      <c r="GI337" s="36"/>
      <c r="GJ337" s="36"/>
      <c r="GK337" s="36"/>
      <c r="GL337" s="36"/>
      <c r="GM337" s="36"/>
      <c r="GN337" s="36"/>
      <c r="GO337" s="36"/>
      <c r="GP337" s="36"/>
      <c r="GQ337" s="36"/>
      <c r="GR337" s="36"/>
      <c r="GS337" s="36"/>
      <c r="GT337" s="36"/>
      <c r="GU337" s="36"/>
      <c r="GV337" s="6"/>
      <c r="GW337" s="36"/>
      <c r="GX337" s="36"/>
      <c r="GY337" s="36"/>
      <c r="GZ337" s="36"/>
      <c r="HA337" s="36"/>
      <c r="HB337" s="36"/>
      <c r="HC337" s="36"/>
      <c r="HD337" s="36"/>
      <c r="HE337" s="36"/>
      <c r="HF337" s="36"/>
      <c r="HG337" s="36"/>
      <c r="HH337" s="36"/>
      <c r="HI337" s="36"/>
      <c r="HJ337" s="36"/>
      <c r="HK337" s="36"/>
      <c r="HL337" s="36"/>
      <c r="HM337" s="36"/>
      <c r="HN337" s="36"/>
      <c r="HO337" s="36"/>
      <c r="HP337" s="36"/>
      <c r="HQ337" s="36"/>
      <c r="HR337" s="36"/>
      <c r="HS337" s="36"/>
      <c r="HT337" s="36"/>
      <c r="HU337" s="36"/>
      <c r="HV337" s="36"/>
      <c r="HW337" s="36"/>
      <c r="HX337" s="36"/>
      <c r="HY337" s="36"/>
      <c r="HZ337" s="36"/>
      <c r="IA337" s="36"/>
      <c r="IB337" s="36"/>
      <c r="IC337" s="36"/>
      <c r="ID337" s="36"/>
      <c r="IE337" s="36"/>
      <c r="IF337" s="36"/>
      <c r="IG337" s="36"/>
      <c r="IH337" s="36"/>
      <c r="II337" s="36"/>
      <c r="IJ337" s="36"/>
      <c r="IK337" s="36"/>
      <c r="IL337" s="36"/>
      <c r="IM337" s="36"/>
      <c r="IN337" s="36"/>
      <c r="IO337" s="36"/>
      <c r="IP337" s="36"/>
    </row>
    <row r="338" spans="1:250" ht="15.75" customHeight="1" x14ac:dyDescent="0.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6"/>
      <c r="BQ338" s="6"/>
      <c r="BR338" s="6"/>
      <c r="BS338" s="6"/>
      <c r="BT338" s="6"/>
      <c r="BU338" s="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c r="DI338" s="36"/>
      <c r="DJ338" s="36"/>
      <c r="DK338" s="36"/>
      <c r="DL338" s="36"/>
      <c r="DM338" s="36"/>
      <c r="DN338" s="36"/>
      <c r="DO338" s="36"/>
      <c r="DP338" s="36"/>
      <c r="DQ338" s="36"/>
      <c r="DR338" s="36"/>
      <c r="DS338" s="36"/>
      <c r="DT338" s="36"/>
      <c r="DU338" s="36"/>
      <c r="DV338" s="36"/>
      <c r="DW338" s="36"/>
      <c r="DX338" s="36"/>
      <c r="DY338" s="36"/>
      <c r="DZ338" s="36"/>
      <c r="EA338" s="36"/>
      <c r="EB338" s="36"/>
      <c r="EC338" s="36"/>
      <c r="ED338" s="36"/>
      <c r="EE338" s="36"/>
      <c r="EF338" s="36"/>
      <c r="EG338" s="36"/>
      <c r="EH338" s="36"/>
      <c r="EI338" s="36"/>
      <c r="EJ338" s="36"/>
      <c r="EK338" s="36"/>
      <c r="EL338" s="36"/>
      <c r="EM338" s="36"/>
      <c r="EN338" s="36"/>
      <c r="EO338" s="36"/>
      <c r="EP338" s="36"/>
      <c r="EQ338" s="36"/>
      <c r="ER338" s="36"/>
      <c r="ES338" s="36"/>
      <c r="ET338" s="36"/>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6"/>
      <c r="GB338" s="6"/>
      <c r="GC338" s="36"/>
      <c r="GD338" s="36"/>
      <c r="GE338" s="36"/>
      <c r="GF338" s="36"/>
      <c r="GG338" s="36"/>
      <c r="GH338" s="36"/>
      <c r="GI338" s="36"/>
      <c r="GJ338" s="36"/>
      <c r="GK338" s="36"/>
      <c r="GL338" s="36"/>
      <c r="GM338" s="36"/>
      <c r="GN338" s="36"/>
      <c r="GO338" s="36"/>
      <c r="GP338" s="36"/>
      <c r="GQ338" s="36"/>
      <c r="GR338" s="36"/>
      <c r="GS338" s="36"/>
      <c r="GT338" s="36"/>
      <c r="GU338" s="36"/>
      <c r="GV338" s="6"/>
      <c r="GW338" s="36"/>
      <c r="GX338" s="36"/>
      <c r="GY338" s="36"/>
      <c r="GZ338" s="36"/>
      <c r="HA338" s="36"/>
      <c r="HB338" s="36"/>
      <c r="HC338" s="36"/>
      <c r="HD338" s="36"/>
      <c r="HE338" s="36"/>
      <c r="HF338" s="36"/>
      <c r="HG338" s="36"/>
      <c r="HH338" s="36"/>
      <c r="HI338" s="36"/>
      <c r="HJ338" s="36"/>
      <c r="HK338" s="36"/>
      <c r="HL338" s="36"/>
      <c r="HM338" s="36"/>
      <c r="HN338" s="36"/>
      <c r="HO338" s="36"/>
      <c r="HP338" s="36"/>
      <c r="HQ338" s="36"/>
      <c r="HR338" s="36"/>
      <c r="HS338" s="36"/>
      <c r="HT338" s="36"/>
      <c r="HU338" s="36"/>
      <c r="HV338" s="36"/>
      <c r="HW338" s="36"/>
      <c r="HX338" s="36"/>
      <c r="HY338" s="36"/>
      <c r="HZ338" s="36"/>
      <c r="IA338" s="36"/>
      <c r="IB338" s="36"/>
      <c r="IC338" s="36"/>
      <c r="ID338" s="36"/>
      <c r="IE338" s="36"/>
      <c r="IF338" s="36"/>
      <c r="IG338" s="36"/>
      <c r="IH338" s="36"/>
      <c r="II338" s="36"/>
      <c r="IJ338" s="36"/>
      <c r="IK338" s="36"/>
      <c r="IL338" s="36"/>
      <c r="IM338" s="36"/>
      <c r="IN338" s="36"/>
      <c r="IO338" s="36"/>
      <c r="IP338" s="36"/>
    </row>
    <row r="339" spans="1:250" ht="15.75" customHeight="1" x14ac:dyDescent="0.25">
      <c r="A339" s="201"/>
      <c r="B339" s="201"/>
      <c r="C339" s="201"/>
      <c r="D339" s="201"/>
      <c r="E339" s="201"/>
      <c r="F339" s="201"/>
      <c r="G339" s="201"/>
      <c r="H339" s="201"/>
      <c r="I339" s="201"/>
      <c r="J339" s="201"/>
      <c r="K339" s="36"/>
      <c r="L339" s="201"/>
      <c r="M339" s="201"/>
      <c r="N339" s="201"/>
      <c r="O339" s="201"/>
      <c r="P339" s="201"/>
      <c r="Q339" s="201">
        <v>1</v>
      </c>
      <c r="R339" s="201"/>
      <c r="S339" s="201"/>
      <c r="T339" s="201"/>
      <c r="U339" s="201"/>
      <c r="V339" s="201"/>
      <c r="W339" s="201"/>
      <c r="X339" s="201"/>
      <c r="Y339" s="201"/>
      <c r="Z339" s="201"/>
      <c r="AA339" s="201"/>
      <c r="AB339" s="201"/>
      <c r="AC339" s="201"/>
      <c r="AD339" s="201"/>
      <c r="AE339" s="201"/>
      <c r="AF339" s="201"/>
      <c r="AG339" s="201"/>
      <c r="AH339" s="201"/>
      <c r="AI339" s="201"/>
      <c r="AJ339" s="201"/>
      <c r="AK339" s="201"/>
      <c r="AL339" s="201"/>
      <c r="AM339" s="201"/>
      <c r="AN339" s="201"/>
      <c r="AO339" s="201"/>
      <c r="AP339" s="201"/>
      <c r="AQ339" s="201"/>
      <c r="AR339" s="201"/>
      <c r="AS339" s="201"/>
      <c r="AT339" s="201"/>
      <c r="AU339" s="201"/>
      <c r="AV339" s="201"/>
      <c r="AW339" s="201"/>
      <c r="AX339" s="201"/>
      <c r="AY339" s="201"/>
      <c r="AZ339" s="201"/>
      <c r="BA339" s="201"/>
      <c r="BB339" s="201"/>
      <c r="BC339" s="201"/>
      <c r="BD339" s="201"/>
      <c r="BE339" s="201"/>
      <c r="BF339" s="201"/>
      <c r="BG339" s="201"/>
      <c r="BH339" s="201"/>
      <c r="BI339" s="201"/>
      <c r="BJ339" s="201"/>
      <c r="BK339" s="201"/>
      <c r="BL339" s="201"/>
      <c r="BM339" s="201"/>
      <c r="BN339" s="201"/>
      <c r="BO339" s="201"/>
      <c r="BP339" s="357"/>
      <c r="BQ339" s="357"/>
      <c r="BR339" s="357"/>
      <c r="BS339" s="357"/>
      <c r="BT339" s="357"/>
      <c r="BU339" s="357"/>
      <c r="BV339" s="201"/>
      <c r="BW339" s="201"/>
      <c r="BX339" s="201"/>
      <c r="BY339" s="201"/>
      <c r="BZ339" s="201"/>
      <c r="CA339" s="201"/>
      <c r="CB339" s="201"/>
      <c r="CC339" s="201"/>
      <c r="CD339" s="201"/>
      <c r="CE339" s="201"/>
      <c r="CF339" s="201"/>
      <c r="CG339" s="201"/>
      <c r="CH339" s="201"/>
      <c r="CI339" s="201"/>
      <c r="CJ339" s="201"/>
      <c r="CK339" s="201"/>
      <c r="CL339" s="201"/>
      <c r="CM339" s="201"/>
      <c r="CN339" s="201"/>
      <c r="CO339" s="201"/>
      <c r="CP339" s="201"/>
      <c r="CQ339" s="201"/>
      <c r="CR339" s="201"/>
      <c r="CS339" s="201"/>
      <c r="CT339" s="201"/>
      <c r="CU339" s="201">
        <v>1</v>
      </c>
      <c r="CV339" s="201"/>
      <c r="CW339" s="201"/>
      <c r="CX339" s="201"/>
      <c r="CY339" s="201"/>
      <c r="CZ339" s="201"/>
      <c r="DA339" s="201"/>
      <c r="DB339" s="201"/>
      <c r="DC339" s="201"/>
      <c r="DD339" s="201"/>
      <c r="DE339" s="201"/>
      <c r="DF339" s="201"/>
      <c r="DG339" s="357">
        <v>4</v>
      </c>
      <c r="DH339" s="201"/>
      <c r="DI339" s="201"/>
      <c r="DJ339" s="201"/>
      <c r="DK339" s="201"/>
      <c r="DL339" s="201"/>
      <c r="DM339" s="201"/>
      <c r="DN339" s="201"/>
      <c r="DO339" s="201"/>
      <c r="DP339" s="201"/>
      <c r="DQ339" s="201"/>
      <c r="DR339" s="201"/>
      <c r="DS339" s="201"/>
      <c r="DT339" s="201"/>
      <c r="DU339" s="201"/>
      <c r="DV339" s="201"/>
      <c r="DW339" s="201"/>
      <c r="DX339" s="201"/>
      <c r="DY339" s="201"/>
      <c r="DZ339" s="201"/>
      <c r="EA339" s="201"/>
      <c r="EB339" s="201"/>
      <c r="EC339" s="201"/>
      <c r="ED339" s="201"/>
      <c r="EE339" s="201">
        <v>1</v>
      </c>
      <c r="EF339" s="201"/>
      <c r="EG339" s="201"/>
      <c r="EH339" s="201"/>
      <c r="EI339" s="201"/>
      <c r="EJ339" s="201"/>
      <c r="EK339" s="201"/>
      <c r="EL339" s="201"/>
      <c r="EM339" s="201"/>
      <c r="EN339" s="201"/>
      <c r="EO339" s="201"/>
      <c r="EP339" s="201"/>
      <c r="EQ339" s="201"/>
      <c r="ER339" s="201"/>
      <c r="ES339" s="201"/>
      <c r="ET339" s="201"/>
      <c r="EU339" s="201"/>
      <c r="EV339" s="201"/>
      <c r="EW339" s="201"/>
      <c r="EX339" s="201"/>
      <c r="EY339" s="201"/>
      <c r="EZ339" s="201"/>
      <c r="FA339" s="201"/>
      <c r="FB339" s="201"/>
      <c r="FC339" s="201"/>
      <c r="FD339" s="201"/>
      <c r="FE339" s="201"/>
      <c r="FF339" s="201"/>
      <c r="FG339" s="201"/>
      <c r="FH339" s="201"/>
      <c r="FI339" s="201"/>
      <c r="FJ339" s="201"/>
      <c r="FK339" s="201"/>
      <c r="FL339" s="201"/>
      <c r="FM339" s="201"/>
      <c r="FN339" s="201"/>
      <c r="FO339" s="201"/>
      <c r="FP339" s="201"/>
      <c r="FQ339" s="201"/>
      <c r="FR339" s="201"/>
      <c r="FS339" s="201"/>
      <c r="FT339" s="201"/>
      <c r="FU339" s="201"/>
      <c r="FV339" s="201"/>
      <c r="FW339" s="201"/>
      <c r="FX339" s="201"/>
      <c r="FY339" s="201"/>
      <c r="FZ339" s="201"/>
      <c r="GA339" s="357"/>
      <c r="GB339" s="357"/>
      <c r="GC339" s="201"/>
      <c r="GD339" s="201"/>
      <c r="GE339" s="201"/>
      <c r="GF339" s="201"/>
      <c r="GG339" s="201"/>
      <c r="GH339" s="201"/>
      <c r="GI339" s="201"/>
      <c r="GJ339" s="201"/>
      <c r="GK339" s="201"/>
      <c r="GL339" s="201"/>
      <c r="GM339" s="201"/>
      <c r="GN339" s="201"/>
      <c r="GO339" s="201"/>
      <c r="GP339" s="201"/>
      <c r="GQ339" s="201"/>
      <c r="GR339" s="201"/>
      <c r="GS339" s="201"/>
      <c r="GT339" s="201"/>
      <c r="GU339" s="201"/>
      <c r="GV339" s="357"/>
      <c r="GW339" s="201"/>
      <c r="GX339" s="201"/>
      <c r="GY339" s="201"/>
      <c r="GZ339" s="201"/>
      <c r="HA339" s="201"/>
      <c r="HB339" s="201"/>
      <c r="HC339" s="201"/>
      <c r="HD339" s="201"/>
      <c r="HE339" s="201"/>
      <c r="HF339" s="201"/>
      <c r="HG339" s="201"/>
      <c r="HH339" s="201"/>
      <c r="HI339" s="201"/>
      <c r="HJ339" s="201"/>
      <c r="HK339" s="201"/>
      <c r="HL339" s="201"/>
      <c r="HM339" s="201"/>
      <c r="HN339" s="201"/>
      <c r="HO339" s="201"/>
      <c r="HP339" s="201"/>
      <c r="HQ339" s="201"/>
      <c r="HR339" s="201"/>
      <c r="HS339" s="201"/>
      <c r="HT339" s="201"/>
      <c r="HU339" s="201"/>
      <c r="HV339" s="201"/>
      <c r="HW339" s="201"/>
      <c r="HX339" s="201"/>
      <c r="HY339" s="201"/>
      <c r="HZ339" s="201"/>
      <c r="IA339" s="201"/>
      <c r="IB339" s="201"/>
      <c r="IC339" s="201"/>
      <c r="ID339" s="201"/>
      <c r="IE339" s="201"/>
      <c r="IF339" s="201"/>
      <c r="IG339" s="201"/>
      <c r="IH339" s="201"/>
      <c r="II339" s="201"/>
      <c r="IJ339" s="201"/>
      <c r="IK339" s="201"/>
      <c r="IL339" s="201"/>
      <c r="IM339" s="201"/>
      <c r="IN339" s="201"/>
      <c r="IO339" s="201"/>
      <c r="IP339" s="201"/>
    </row>
    <row r="340" spans="1:250" ht="15.75" customHeight="1" x14ac:dyDescent="0.25">
      <c r="A340" s="508" t="s">
        <v>1167</v>
      </c>
      <c r="B340" s="508"/>
      <c r="C340" s="508"/>
      <c r="D340" s="509">
        <f t="shared" ref="D340:CO340" si="6">SUM(D36:D339)</f>
        <v>265</v>
      </c>
      <c r="E340" s="509">
        <f t="shared" si="6"/>
        <v>45</v>
      </c>
      <c r="F340" s="509">
        <f t="shared" si="6"/>
        <v>585</v>
      </c>
      <c r="G340" s="509">
        <f t="shared" si="6"/>
        <v>50</v>
      </c>
      <c r="H340" s="509">
        <f t="shared" si="6"/>
        <v>155</v>
      </c>
      <c r="I340" s="509">
        <f t="shared" si="6"/>
        <v>100</v>
      </c>
      <c r="J340" s="509">
        <f t="shared" si="6"/>
        <v>85</v>
      </c>
      <c r="K340" s="509">
        <f t="shared" si="6"/>
        <v>80</v>
      </c>
      <c r="L340" s="509">
        <f t="shared" si="6"/>
        <v>100</v>
      </c>
      <c r="M340" s="509">
        <f t="shared" si="6"/>
        <v>100</v>
      </c>
      <c r="N340" s="509">
        <f t="shared" si="6"/>
        <v>200</v>
      </c>
      <c r="O340" s="509">
        <f t="shared" si="6"/>
        <v>405</v>
      </c>
      <c r="P340" s="509">
        <f t="shared" si="6"/>
        <v>175</v>
      </c>
      <c r="Q340" s="509">
        <f t="shared" si="6"/>
        <v>107</v>
      </c>
      <c r="R340" s="509">
        <f t="shared" si="6"/>
        <v>55</v>
      </c>
      <c r="S340" s="509">
        <f t="shared" si="6"/>
        <v>30</v>
      </c>
      <c r="T340" s="509">
        <f t="shared" si="6"/>
        <v>0</v>
      </c>
      <c r="U340" s="509">
        <f t="shared" si="6"/>
        <v>171</v>
      </c>
      <c r="V340" s="509">
        <f t="shared" si="6"/>
        <v>75</v>
      </c>
      <c r="W340" s="509">
        <f t="shared" si="6"/>
        <v>5</v>
      </c>
      <c r="X340" s="509">
        <f t="shared" si="6"/>
        <v>230</v>
      </c>
      <c r="Y340" s="509">
        <f t="shared" si="6"/>
        <v>0</v>
      </c>
      <c r="Z340" s="509">
        <f t="shared" si="6"/>
        <v>15</v>
      </c>
      <c r="AA340" s="509">
        <f t="shared" si="6"/>
        <v>0</v>
      </c>
      <c r="AB340" s="509">
        <f t="shared" si="6"/>
        <v>1</v>
      </c>
      <c r="AC340" s="509">
        <f t="shared" si="6"/>
        <v>150</v>
      </c>
      <c r="AD340" s="509">
        <f t="shared" si="6"/>
        <v>100</v>
      </c>
      <c r="AE340" s="509">
        <f t="shared" si="6"/>
        <v>300</v>
      </c>
      <c r="AF340" s="509">
        <f t="shared" si="6"/>
        <v>85</v>
      </c>
      <c r="AG340" s="509">
        <f t="shared" si="6"/>
        <v>20</v>
      </c>
      <c r="AH340" s="509">
        <f t="shared" si="6"/>
        <v>0</v>
      </c>
      <c r="AI340" s="509">
        <f t="shared" si="6"/>
        <v>100</v>
      </c>
      <c r="AJ340" s="509">
        <f t="shared" si="6"/>
        <v>275</v>
      </c>
      <c r="AK340" s="509">
        <f t="shared" si="6"/>
        <v>199</v>
      </c>
      <c r="AL340" s="509">
        <f t="shared" si="6"/>
        <v>55</v>
      </c>
      <c r="AM340" s="509">
        <f t="shared" si="6"/>
        <v>20</v>
      </c>
      <c r="AN340" s="509">
        <f t="shared" si="6"/>
        <v>15</v>
      </c>
      <c r="AO340" s="509">
        <f t="shared" si="6"/>
        <v>0</v>
      </c>
      <c r="AP340" s="509">
        <f t="shared" si="6"/>
        <v>30</v>
      </c>
      <c r="AQ340" s="509">
        <f t="shared" si="6"/>
        <v>55</v>
      </c>
      <c r="AR340" s="509">
        <f t="shared" si="6"/>
        <v>50</v>
      </c>
      <c r="AS340" s="509">
        <f t="shared" si="6"/>
        <v>15</v>
      </c>
      <c r="AT340" s="509">
        <f t="shared" si="6"/>
        <v>50</v>
      </c>
      <c r="AU340" s="509">
        <f t="shared" si="6"/>
        <v>200</v>
      </c>
      <c r="AV340" s="509">
        <f t="shared" si="6"/>
        <v>20</v>
      </c>
      <c r="AW340" s="509">
        <f t="shared" si="6"/>
        <v>15</v>
      </c>
      <c r="AX340" s="509">
        <f t="shared" si="6"/>
        <v>25</v>
      </c>
      <c r="AY340" s="509">
        <f t="shared" si="6"/>
        <v>1</v>
      </c>
      <c r="AZ340" s="509">
        <f t="shared" si="6"/>
        <v>1</v>
      </c>
      <c r="BA340" s="509">
        <f t="shared" si="6"/>
        <v>1</v>
      </c>
      <c r="BB340" s="509">
        <f t="shared" si="6"/>
        <v>1</v>
      </c>
      <c r="BC340" s="509">
        <f t="shared" si="6"/>
        <v>1</v>
      </c>
      <c r="BD340" s="509">
        <f t="shared" si="6"/>
        <v>1</v>
      </c>
      <c r="BE340" s="509">
        <f t="shared" si="6"/>
        <v>1</v>
      </c>
      <c r="BF340" s="509">
        <f t="shared" si="6"/>
        <v>1</v>
      </c>
      <c r="BG340" s="509">
        <f t="shared" si="6"/>
        <v>1</v>
      </c>
      <c r="BH340" s="509">
        <f t="shared" si="6"/>
        <v>1</v>
      </c>
      <c r="BI340" s="509">
        <f t="shared" si="6"/>
        <v>1</v>
      </c>
      <c r="BJ340" s="509">
        <f t="shared" si="6"/>
        <v>0</v>
      </c>
      <c r="BK340" s="509">
        <f t="shared" si="6"/>
        <v>0</v>
      </c>
      <c r="BL340" s="509">
        <f t="shared" si="6"/>
        <v>0</v>
      </c>
      <c r="BM340" s="509">
        <f t="shared" si="6"/>
        <v>0</v>
      </c>
      <c r="BN340" s="509">
        <f t="shared" si="6"/>
        <v>0</v>
      </c>
      <c r="BO340" s="509">
        <f t="shared" si="6"/>
        <v>150</v>
      </c>
      <c r="BP340" s="509">
        <f t="shared" si="6"/>
        <v>315</v>
      </c>
      <c r="BQ340" s="509">
        <f t="shared" si="6"/>
        <v>605</v>
      </c>
      <c r="BR340" s="509">
        <f t="shared" si="6"/>
        <v>355</v>
      </c>
      <c r="BS340" s="509">
        <f t="shared" si="6"/>
        <v>0</v>
      </c>
      <c r="BT340" s="509">
        <f t="shared" si="6"/>
        <v>0</v>
      </c>
      <c r="BU340" s="509">
        <f t="shared" si="6"/>
        <v>100</v>
      </c>
      <c r="BV340" s="509">
        <f t="shared" si="6"/>
        <v>200</v>
      </c>
      <c r="BW340" s="509">
        <f t="shared" si="6"/>
        <v>150</v>
      </c>
      <c r="BX340" s="509">
        <f t="shared" si="6"/>
        <v>150</v>
      </c>
      <c r="BY340" s="509">
        <f t="shared" si="6"/>
        <v>50</v>
      </c>
      <c r="BZ340" s="509">
        <f t="shared" si="6"/>
        <v>150</v>
      </c>
      <c r="CA340" s="509">
        <f t="shared" si="6"/>
        <v>500</v>
      </c>
      <c r="CB340" s="509">
        <f t="shared" si="6"/>
        <v>950</v>
      </c>
      <c r="CC340" s="509">
        <f t="shared" si="6"/>
        <v>50</v>
      </c>
      <c r="CD340" s="509">
        <f t="shared" si="6"/>
        <v>200</v>
      </c>
      <c r="CE340" s="509">
        <f t="shared" si="6"/>
        <v>20</v>
      </c>
      <c r="CF340" s="509">
        <f t="shared" si="6"/>
        <v>200</v>
      </c>
      <c r="CG340" s="509">
        <f t="shared" si="6"/>
        <v>80</v>
      </c>
      <c r="CH340" s="509">
        <f t="shared" si="6"/>
        <v>100</v>
      </c>
      <c r="CI340" s="509">
        <f t="shared" si="6"/>
        <v>100</v>
      </c>
      <c r="CJ340" s="509">
        <f t="shared" si="6"/>
        <v>150</v>
      </c>
      <c r="CK340" s="509">
        <f t="shared" si="6"/>
        <v>0</v>
      </c>
      <c r="CL340" s="509">
        <f t="shared" si="6"/>
        <v>100</v>
      </c>
      <c r="CM340" s="509">
        <f t="shared" si="6"/>
        <v>100</v>
      </c>
      <c r="CN340" s="509">
        <f t="shared" si="6"/>
        <v>250</v>
      </c>
      <c r="CO340" s="509">
        <f t="shared" si="6"/>
        <v>50</v>
      </c>
      <c r="CP340" s="509"/>
      <c r="CQ340" s="509"/>
      <c r="CR340" s="509">
        <f t="shared" ref="CR340:CS340" si="7">SUM(CR36:CR339)</f>
        <v>126</v>
      </c>
      <c r="CS340" s="509">
        <f t="shared" si="7"/>
        <v>54</v>
      </c>
      <c r="CT340" s="509"/>
      <c r="CU340" s="509">
        <f>SUM(CU36:CU339)</f>
        <v>25</v>
      </c>
      <c r="CV340" s="509"/>
      <c r="CW340" s="509"/>
      <c r="CX340" s="509">
        <f t="shared" ref="CX340:CZ340" si="8">SUM(CX36:CX339)</f>
        <v>48</v>
      </c>
      <c r="CY340" s="509">
        <f t="shared" si="8"/>
        <v>100</v>
      </c>
      <c r="CZ340" s="509">
        <f t="shared" si="8"/>
        <v>104</v>
      </c>
      <c r="DA340" s="509"/>
      <c r="DB340" s="509">
        <f t="shared" ref="DB340:FT340" si="9">SUM(DB36:DB339)</f>
        <v>202</v>
      </c>
      <c r="DC340" s="509">
        <f t="shared" si="9"/>
        <v>104</v>
      </c>
      <c r="DD340" s="509">
        <f t="shared" si="9"/>
        <v>75</v>
      </c>
      <c r="DE340" s="509">
        <f t="shared" si="9"/>
        <v>42</v>
      </c>
      <c r="DF340" s="509">
        <f t="shared" si="9"/>
        <v>110</v>
      </c>
      <c r="DG340" s="509">
        <f t="shared" si="9"/>
        <v>150</v>
      </c>
      <c r="DH340" s="509">
        <f t="shared" si="9"/>
        <v>100</v>
      </c>
      <c r="DI340" s="509">
        <f t="shared" si="9"/>
        <v>77</v>
      </c>
      <c r="DJ340" s="509">
        <f t="shared" si="9"/>
        <v>177</v>
      </c>
      <c r="DK340" s="509">
        <f t="shared" si="9"/>
        <v>0</v>
      </c>
      <c r="DL340" s="509">
        <f t="shared" si="9"/>
        <v>22</v>
      </c>
      <c r="DM340" s="509">
        <f t="shared" si="9"/>
        <v>25</v>
      </c>
      <c r="DN340" s="509">
        <f t="shared" si="9"/>
        <v>52</v>
      </c>
      <c r="DO340" s="509">
        <f t="shared" si="9"/>
        <v>75</v>
      </c>
      <c r="DP340" s="509">
        <f t="shared" si="9"/>
        <v>75</v>
      </c>
      <c r="DQ340" s="509">
        <f t="shared" si="9"/>
        <v>128</v>
      </c>
      <c r="DR340" s="509">
        <f t="shared" si="9"/>
        <v>202</v>
      </c>
      <c r="DS340" s="509">
        <f t="shared" si="9"/>
        <v>109</v>
      </c>
      <c r="DT340" s="509">
        <f t="shared" si="9"/>
        <v>0</v>
      </c>
      <c r="DU340" s="509">
        <f t="shared" si="9"/>
        <v>100</v>
      </c>
      <c r="DV340" s="509">
        <f t="shared" si="9"/>
        <v>281</v>
      </c>
      <c r="DW340" s="509">
        <f t="shared" si="9"/>
        <v>0</v>
      </c>
      <c r="DX340" s="509">
        <f t="shared" si="9"/>
        <v>25</v>
      </c>
      <c r="DY340" s="509">
        <f t="shared" si="9"/>
        <v>4</v>
      </c>
      <c r="DZ340" s="509">
        <f t="shared" si="9"/>
        <v>0</v>
      </c>
      <c r="EA340" s="509">
        <f t="shared" si="9"/>
        <v>0</v>
      </c>
      <c r="EB340" s="509">
        <f t="shared" si="9"/>
        <v>0</v>
      </c>
      <c r="EC340" s="509">
        <f t="shared" si="9"/>
        <v>54</v>
      </c>
      <c r="ED340" s="509">
        <f t="shared" si="9"/>
        <v>0</v>
      </c>
      <c r="EE340" s="509">
        <f t="shared" si="9"/>
        <v>106</v>
      </c>
      <c r="EF340" s="509">
        <f t="shared" si="9"/>
        <v>11</v>
      </c>
      <c r="EG340" s="509">
        <f t="shared" si="9"/>
        <v>0</v>
      </c>
      <c r="EH340" s="509">
        <f t="shared" si="9"/>
        <v>100</v>
      </c>
      <c r="EI340" s="509">
        <f t="shared" si="9"/>
        <v>73</v>
      </c>
      <c r="EJ340" s="509">
        <f t="shared" si="9"/>
        <v>85</v>
      </c>
      <c r="EK340" s="509">
        <f t="shared" si="9"/>
        <v>81</v>
      </c>
      <c r="EL340" s="509">
        <f t="shared" si="9"/>
        <v>5</v>
      </c>
      <c r="EM340" s="509">
        <f t="shared" si="9"/>
        <v>42</v>
      </c>
      <c r="EN340" s="509">
        <f t="shared" si="9"/>
        <v>202</v>
      </c>
      <c r="EO340" s="509">
        <f t="shared" si="9"/>
        <v>4</v>
      </c>
      <c r="EP340" s="509">
        <f t="shared" si="9"/>
        <v>350</v>
      </c>
      <c r="EQ340" s="509">
        <f t="shared" si="9"/>
        <v>577</v>
      </c>
      <c r="ER340" s="509">
        <f t="shared" si="9"/>
        <v>0</v>
      </c>
      <c r="ES340" s="509">
        <f t="shared" si="9"/>
        <v>151</v>
      </c>
      <c r="ET340" s="509">
        <f t="shared" si="9"/>
        <v>150</v>
      </c>
      <c r="EU340" s="509">
        <f t="shared" si="9"/>
        <v>0</v>
      </c>
      <c r="EV340" s="509">
        <f t="shared" si="9"/>
        <v>0</v>
      </c>
      <c r="EW340" s="509">
        <f t="shared" si="9"/>
        <v>300</v>
      </c>
      <c r="EX340" s="509">
        <f t="shared" si="9"/>
        <v>400</v>
      </c>
      <c r="EY340" s="509">
        <f t="shared" si="9"/>
        <v>376</v>
      </c>
      <c r="EZ340" s="509">
        <f t="shared" si="9"/>
        <v>100</v>
      </c>
      <c r="FA340" s="509">
        <f t="shared" si="9"/>
        <v>0</v>
      </c>
      <c r="FB340" s="509">
        <f t="shared" si="9"/>
        <v>500</v>
      </c>
      <c r="FC340" s="509">
        <f t="shared" si="9"/>
        <v>100</v>
      </c>
      <c r="FD340" s="509">
        <f t="shared" si="9"/>
        <v>0</v>
      </c>
      <c r="FE340" s="509">
        <f t="shared" si="9"/>
        <v>0</v>
      </c>
      <c r="FF340" s="509">
        <f t="shared" si="9"/>
        <v>300</v>
      </c>
      <c r="FG340" s="509">
        <f t="shared" si="9"/>
        <v>0</v>
      </c>
      <c r="FH340" s="509">
        <f t="shared" si="9"/>
        <v>100</v>
      </c>
      <c r="FI340" s="509">
        <f t="shared" si="9"/>
        <v>100</v>
      </c>
      <c r="FJ340" s="509">
        <f t="shared" si="9"/>
        <v>100</v>
      </c>
      <c r="FK340" s="509">
        <f t="shared" si="9"/>
        <v>0</v>
      </c>
      <c r="FL340" s="509">
        <f t="shared" si="9"/>
        <v>0</v>
      </c>
      <c r="FM340" s="509">
        <f t="shared" si="9"/>
        <v>0</v>
      </c>
      <c r="FN340" s="509">
        <f t="shared" si="9"/>
        <v>0</v>
      </c>
      <c r="FO340" s="509">
        <f t="shared" si="9"/>
        <v>4000</v>
      </c>
      <c r="FP340" s="509">
        <f t="shared" si="9"/>
        <v>0</v>
      </c>
      <c r="FQ340" s="509">
        <f t="shared" si="9"/>
        <v>0</v>
      </c>
      <c r="FR340" s="509">
        <f t="shared" si="9"/>
        <v>700</v>
      </c>
      <c r="FS340" s="509">
        <f t="shared" si="9"/>
        <v>1100</v>
      </c>
      <c r="FT340" s="509">
        <f t="shared" si="9"/>
        <v>0</v>
      </c>
      <c r="FU340" s="509"/>
      <c r="FV340" s="509">
        <f t="shared" ref="FV340:IP340" si="10">SUM(FV36:FV339)</f>
        <v>150</v>
      </c>
      <c r="FW340" s="509">
        <f t="shared" si="10"/>
        <v>0</v>
      </c>
      <c r="FX340" s="509">
        <f t="shared" si="10"/>
        <v>25</v>
      </c>
      <c r="FY340" s="509">
        <f t="shared" si="10"/>
        <v>318</v>
      </c>
      <c r="FZ340" s="509">
        <f t="shared" si="10"/>
        <v>475</v>
      </c>
      <c r="GA340" s="509">
        <f t="shared" si="10"/>
        <v>1500</v>
      </c>
      <c r="GB340" s="509">
        <f t="shared" si="10"/>
        <v>2196</v>
      </c>
      <c r="GC340" s="509">
        <f t="shared" si="10"/>
        <v>8200</v>
      </c>
      <c r="GD340" s="509">
        <f t="shared" si="10"/>
        <v>0</v>
      </c>
      <c r="GE340" s="509">
        <f t="shared" si="10"/>
        <v>0</v>
      </c>
      <c r="GF340" s="509">
        <f t="shared" si="10"/>
        <v>524</v>
      </c>
      <c r="GG340" s="509">
        <f t="shared" si="10"/>
        <v>0</v>
      </c>
      <c r="GH340" s="509">
        <f t="shared" si="10"/>
        <v>130</v>
      </c>
      <c r="GI340" s="509">
        <f t="shared" si="10"/>
        <v>0</v>
      </c>
      <c r="GJ340" s="509">
        <f t="shared" si="10"/>
        <v>0</v>
      </c>
      <c r="GK340" s="509">
        <f t="shared" si="10"/>
        <v>799</v>
      </c>
      <c r="GL340" s="509">
        <f t="shared" si="10"/>
        <v>874</v>
      </c>
      <c r="GM340" s="509">
        <f t="shared" si="10"/>
        <v>225</v>
      </c>
      <c r="GN340" s="509">
        <f t="shared" si="10"/>
        <v>1900</v>
      </c>
      <c r="GO340" s="509">
        <f t="shared" si="10"/>
        <v>671</v>
      </c>
      <c r="GP340" s="509">
        <f t="shared" si="10"/>
        <v>0</v>
      </c>
      <c r="GQ340" s="509">
        <f t="shared" si="10"/>
        <v>125</v>
      </c>
      <c r="GR340" s="509">
        <f t="shared" si="10"/>
        <v>125</v>
      </c>
      <c r="GS340" s="509">
        <f t="shared" si="10"/>
        <v>500</v>
      </c>
      <c r="GT340" s="509">
        <f t="shared" si="10"/>
        <v>75</v>
      </c>
      <c r="GU340" s="509">
        <f t="shared" si="10"/>
        <v>100</v>
      </c>
      <c r="GV340" s="509">
        <f t="shared" si="10"/>
        <v>1485</v>
      </c>
      <c r="GW340" s="509">
        <f t="shared" si="10"/>
        <v>200</v>
      </c>
      <c r="GX340" s="509">
        <f t="shared" si="10"/>
        <v>573</v>
      </c>
      <c r="GY340" s="509">
        <f t="shared" si="10"/>
        <v>300</v>
      </c>
      <c r="GZ340" s="509">
        <f t="shared" si="10"/>
        <v>0</v>
      </c>
      <c r="HA340" s="509">
        <f t="shared" si="10"/>
        <v>0</v>
      </c>
      <c r="HB340" s="509">
        <f t="shared" si="10"/>
        <v>292</v>
      </c>
      <c r="HC340" s="509">
        <f t="shared" si="10"/>
        <v>300</v>
      </c>
      <c r="HD340" s="509">
        <f t="shared" si="10"/>
        <v>150</v>
      </c>
      <c r="HE340" s="509">
        <f t="shared" si="10"/>
        <v>0</v>
      </c>
      <c r="HF340" s="509">
        <f t="shared" si="10"/>
        <v>1250</v>
      </c>
      <c r="HG340" s="509">
        <f t="shared" si="10"/>
        <v>600</v>
      </c>
      <c r="HH340" s="509">
        <f t="shared" si="10"/>
        <v>0</v>
      </c>
      <c r="HI340" s="509">
        <f t="shared" si="10"/>
        <v>0</v>
      </c>
      <c r="HJ340" s="509">
        <f t="shared" si="10"/>
        <v>0</v>
      </c>
      <c r="HK340" s="509">
        <f t="shared" si="10"/>
        <v>0</v>
      </c>
      <c r="HL340" s="509">
        <f t="shared" si="10"/>
        <v>0</v>
      </c>
      <c r="HM340" s="509">
        <f t="shared" si="10"/>
        <v>0</v>
      </c>
      <c r="HN340" s="509">
        <f t="shared" si="10"/>
        <v>1998</v>
      </c>
      <c r="HO340" s="509">
        <f t="shared" si="10"/>
        <v>995</v>
      </c>
      <c r="HP340" s="509">
        <f t="shared" si="10"/>
        <v>1015</v>
      </c>
      <c r="HQ340" s="509">
        <f t="shared" si="10"/>
        <v>1188</v>
      </c>
      <c r="HR340" s="509">
        <f t="shared" si="10"/>
        <v>579</v>
      </c>
      <c r="HS340" s="509">
        <f t="shared" si="10"/>
        <v>200</v>
      </c>
      <c r="HT340" s="509">
        <f t="shared" si="10"/>
        <v>350</v>
      </c>
      <c r="HU340" s="509">
        <f t="shared" si="10"/>
        <v>215</v>
      </c>
      <c r="HV340" s="509">
        <f t="shared" si="10"/>
        <v>255</v>
      </c>
      <c r="HW340" s="509">
        <f t="shared" si="10"/>
        <v>30</v>
      </c>
      <c r="HX340" s="509">
        <f t="shared" si="10"/>
        <v>5924</v>
      </c>
      <c r="HY340" s="509">
        <f t="shared" si="10"/>
        <v>2029</v>
      </c>
      <c r="HZ340" s="509">
        <f t="shared" si="10"/>
        <v>0</v>
      </c>
      <c r="IA340" s="509">
        <f t="shared" si="10"/>
        <v>140</v>
      </c>
      <c r="IB340" s="509">
        <f t="shared" si="10"/>
        <v>804</v>
      </c>
      <c r="IC340" s="509">
        <f t="shared" si="10"/>
        <v>312</v>
      </c>
      <c r="ID340" s="509">
        <f t="shared" si="10"/>
        <v>81</v>
      </c>
      <c r="IE340" s="509">
        <f t="shared" si="10"/>
        <v>0</v>
      </c>
      <c r="IF340" s="509">
        <f t="shared" si="10"/>
        <v>0</v>
      </c>
      <c r="IG340" s="509">
        <f t="shared" si="10"/>
        <v>200</v>
      </c>
      <c r="IH340" s="509">
        <f t="shared" si="10"/>
        <v>30</v>
      </c>
      <c r="II340" s="509">
        <f t="shared" si="10"/>
        <v>5</v>
      </c>
      <c r="IJ340" s="509">
        <f t="shared" si="10"/>
        <v>5</v>
      </c>
      <c r="IK340" s="509">
        <f t="shared" si="10"/>
        <v>40</v>
      </c>
      <c r="IL340" s="509">
        <f t="shared" si="10"/>
        <v>216</v>
      </c>
      <c r="IM340" s="509">
        <f t="shared" si="10"/>
        <v>120</v>
      </c>
      <c r="IN340" s="509">
        <f t="shared" si="10"/>
        <v>908</v>
      </c>
      <c r="IO340" s="509">
        <f t="shared" si="10"/>
        <v>8400</v>
      </c>
      <c r="IP340" s="509">
        <f t="shared" si="10"/>
        <v>0</v>
      </c>
    </row>
    <row r="341" spans="1:250" ht="15.75" customHeight="1" x14ac:dyDescent="0.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c r="DI341" s="36"/>
      <c r="DJ341" s="36"/>
      <c r="DK341" s="36"/>
      <c r="DL341" s="36"/>
      <c r="DM341" s="36"/>
      <c r="DN341" s="36"/>
      <c r="DO341" s="36"/>
      <c r="DP341" s="36"/>
      <c r="DQ341" s="36"/>
      <c r="DR341" s="36"/>
      <c r="DS341" s="36"/>
      <c r="DT341" s="36"/>
      <c r="DU341" s="36"/>
      <c r="DV341" s="36"/>
      <c r="DW341" s="36"/>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6"/>
      <c r="GC341" s="36"/>
      <c r="GD341" s="36"/>
      <c r="GE341" s="36"/>
      <c r="GF341" s="36"/>
      <c r="GG341" s="36"/>
      <c r="GH341" s="36"/>
      <c r="GI341" s="36"/>
      <c r="GJ341" s="36"/>
      <c r="GK341" s="36"/>
      <c r="GL341" s="36"/>
      <c r="GM341" s="36"/>
      <c r="GN341" s="36"/>
      <c r="GO341" s="36"/>
      <c r="GP341" s="36"/>
      <c r="GQ341" s="36"/>
      <c r="GR341" s="36"/>
      <c r="GS341" s="36"/>
      <c r="GT341" s="36"/>
      <c r="GU341" s="36"/>
      <c r="GV341" s="36"/>
      <c r="GW341" s="36"/>
      <c r="GX341" s="36"/>
      <c r="GY341" s="36"/>
      <c r="GZ341" s="36"/>
      <c r="HA341" s="36"/>
      <c r="HB341" s="36"/>
      <c r="HC341" s="36"/>
      <c r="HD341" s="36"/>
      <c r="HE341" s="36"/>
      <c r="HF341" s="36"/>
      <c r="HG341" s="36"/>
      <c r="HH341" s="36"/>
      <c r="HI341" s="36"/>
      <c r="HJ341" s="36"/>
      <c r="HK341" s="36"/>
      <c r="HL341" s="36"/>
      <c r="HM341" s="36"/>
      <c r="HN341" s="36"/>
      <c r="HO341" s="36"/>
      <c r="HP341" s="36"/>
      <c r="HQ341" s="36"/>
      <c r="HR341" s="36"/>
      <c r="HS341" s="36"/>
      <c r="HT341" s="36"/>
      <c r="HU341" s="36"/>
      <c r="HV341" s="36"/>
      <c r="HW341" s="36"/>
      <c r="HX341" s="36"/>
      <c r="HY341" s="36"/>
      <c r="HZ341" s="36"/>
      <c r="IA341" s="36"/>
      <c r="IB341" s="36"/>
      <c r="IC341" s="36"/>
      <c r="ID341" s="36"/>
      <c r="IE341" s="36"/>
      <c r="IF341" s="36"/>
      <c r="IG341" s="36"/>
      <c r="IH341" s="36"/>
      <c r="II341" s="36"/>
      <c r="IJ341" s="36"/>
      <c r="IK341" s="36"/>
      <c r="IL341" s="36"/>
      <c r="IM341" s="36"/>
      <c r="IN341" s="36"/>
      <c r="IO341" s="36"/>
      <c r="IP341" s="36"/>
    </row>
    <row r="342" spans="1:250" ht="15.75" customHeight="1" x14ac:dyDescent="0.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c r="DI342" s="36"/>
      <c r="DJ342" s="36"/>
      <c r="DK342" s="36"/>
      <c r="DL342" s="36"/>
      <c r="DM342" s="36"/>
      <c r="DN342" s="36"/>
      <c r="DO342" s="36"/>
      <c r="DP342" s="36"/>
      <c r="DQ342" s="36"/>
      <c r="DR342" s="36"/>
      <c r="DS342" s="36"/>
      <c r="DT342" s="36"/>
      <c r="DU342" s="36"/>
      <c r="DV342" s="36"/>
      <c r="DW342" s="36"/>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6"/>
      <c r="GC342" s="36"/>
      <c r="GD342" s="36"/>
      <c r="GE342" s="36"/>
      <c r="GF342" s="36"/>
      <c r="GG342" s="36"/>
      <c r="GH342" s="36"/>
      <c r="GI342" s="36"/>
      <c r="GJ342" s="36"/>
      <c r="GK342" s="36"/>
      <c r="GL342" s="36"/>
      <c r="GM342" s="36"/>
      <c r="GN342" s="36"/>
      <c r="GO342" s="36"/>
      <c r="GP342" s="36"/>
      <c r="GQ342" s="36"/>
      <c r="GR342" s="36"/>
      <c r="GS342" s="36"/>
      <c r="GT342" s="36"/>
      <c r="GU342" s="36"/>
      <c r="GV342" s="36"/>
      <c r="GW342" s="36"/>
      <c r="GX342" s="36"/>
      <c r="GY342" s="36"/>
      <c r="GZ342" s="36"/>
      <c r="HA342" s="36"/>
      <c r="HB342" s="36"/>
      <c r="HC342" s="36"/>
      <c r="HD342" s="36"/>
      <c r="HE342" s="36"/>
      <c r="HF342" s="36"/>
      <c r="HG342" s="36"/>
      <c r="HH342" s="36"/>
      <c r="HI342" s="36"/>
      <c r="HJ342" s="36"/>
      <c r="HK342" s="36"/>
      <c r="HL342" s="36"/>
      <c r="HM342" s="36"/>
      <c r="HN342" s="36"/>
      <c r="HO342" s="36"/>
      <c r="HP342" s="36"/>
      <c r="HQ342" s="36"/>
      <c r="HR342" s="36"/>
      <c r="HS342" s="36"/>
      <c r="HT342" s="36"/>
      <c r="HU342" s="36"/>
      <c r="HV342" s="36"/>
      <c r="HW342" s="36"/>
      <c r="HX342" s="36"/>
      <c r="HY342" s="36"/>
      <c r="HZ342" s="36"/>
      <c r="IA342" s="36"/>
      <c r="IB342" s="36"/>
      <c r="IC342" s="36"/>
      <c r="ID342" s="36"/>
      <c r="IE342" s="36"/>
      <c r="IF342" s="36"/>
      <c r="IG342" s="36"/>
      <c r="IH342" s="36"/>
      <c r="II342" s="36"/>
      <c r="IJ342" s="36"/>
      <c r="IK342" s="36"/>
      <c r="IL342" s="36"/>
      <c r="IM342" s="36"/>
      <c r="IN342" s="36"/>
      <c r="IO342" s="36"/>
      <c r="IP342" s="36"/>
    </row>
    <row r="343" spans="1:250" ht="15.75" customHeight="1" x14ac:dyDescent="0.25">
      <c r="A343" s="521" t="s">
        <v>1172</v>
      </c>
      <c r="B343" s="521"/>
      <c r="C343" s="521"/>
      <c r="D343" s="521">
        <f t="shared" ref="D343:CO343" si="11">+D32-D340</f>
        <v>95</v>
      </c>
      <c r="E343" s="521">
        <f t="shared" si="11"/>
        <v>49</v>
      </c>
      <c r="F343" s="521">
        <f t="shared" si="11"/>
        <v>200</v>
      </c>
      <c r="G343" s="521">
        <f t="shared" si="11"/>
        <v>50</v>
      </c>
      <c r="H343" s="521">
        <f t="shared" si="11"/>
        <v>50</v>
      </c>
      <c r="I343" s="521">
        <f t="shared" si="11"/>
        <v>0</v>
      </c>
      <c r="J343" s="521">
        <f t="shared" si="11"/>
        <v>50</v>
      </c>
      <c r="K343" s="521">
        <f t="shared" si="11"/>
        <v>0</v>
      </c>
      <c r="L343" s="521">
        <f t="shared" si="11"/>
        <v>100</v>
      </c>
      <c r="M343" s="521">
        <f t="shared" si="11"/>
        <v>0</v>
      </c>
      <c r="N343" s="521">
        <f t="shared" si="11"/>
        <v>0</v>
      </c>
      <c r="O343" s="521">
        <f t="shared" si="11"/>
        <v>0</v>
      </c>
      <c r="P343" s="521">
        <f t="shared" si="11"/>
        <v>200</v>
      </c>
      <c r="Q343" s="521">
        <f t="shared" si="11"/>
        <v>25</v>
      </c>
      <c r="R343" s="521">
        <f t="shared" si="11"/>
        <v>45</v>
      </c>
      <c r="S343" s="521">
        <f t="shared" si="11"/>
        <v>70</v>
      </c>
      <c r="T343" s="521">
        <f t="shared" si="11"/>
        <v>200</v>
      </c>
      <c r="U343" s="521">
        <f t="shared" si="11"/>
        <v>50</v>
      </c>
      <c r="V343" s="521">
        <f t="shared" si="11"/>
        <v>25</v>
      </c>
      <c r="W343" s="521">
        <f t="shared" si="11"/>
        <v>5</v>
      </c>
      <c r="X343" s="521">
        <f t="shared" si="11"/>
        <v>100</v>
      </c>
      <c r="Y343" s="521">
        <f t="shared" si="11"/>
        <v>400</v>
      </c>
      <c r="Z343" s="521">
        <f t="shared" si="11"/>
        <v>85</v>
      </c>
      <c r="AA343" s="521">
        <f t="shared" si="11"/>
        <v>150</v>
      </c>
      <c r="AB343" s="521">
        <f t="shared" si="11"/>
        <v>150</v>
      </c>
      <c r="AC343" s="521">
        <f t="shared" si="11"/>
        <v>25</v>
      </c>
      <c r="AD343" s="521">
        <f t="shared" si="11"/>
        <v>0</v>
      </c>
      <c r="AE343" s="521">
        <f t="shared" si="11"/>
        <v>50</v>
      </c>
      <c r="AF343" s="521">
        <f t="shared" si="11"/>
        <v>15</v>
      </c>
      <c r="AG343" s="521">
        <f t="shared" si="11"/>
        <v>80</v>
      </c>
      <c r="AH343" s="521">
        <f t="shared" si="11"/>
        <v>0</v>
      </c>
      <c r="AI343" s="521">
        <f t="shared" si="11"/>
        <v>0</v>
      </c>
      <c r="AJ343" s="521">
        <f t="shared" si="11"/>
        <v>325</v>
      </c>
      <c r="AK343" s="521">
        <f t="shared" si="11"/>
        <v>301</v>
      </c>
      <c r="AL343" s="521">
        <f t="shared" si="11"/>
        <v>45</v>
      </c>
      <c r="AM343" s="521">
        <f t="shared" si="11"/>
        <v>80</v>
      </c>
      <c r="AN343" s="521">
        <f t="shared" si="11"/>
        <v>185</v>
      </c>
      <c r="AO343" s="521">
        <f t="shared" si="11"/>
        <v>0</v>
      </c>
      <c r="AP343" s="521">
        <f t="shared" si="11"/>
        <v>45</v>
      </c>
      <c r="AQ343" s="521">
        <f t="shared" si="11"/>
        <v>45</v>
      </c>
      <c r="AR343" s="521">
        <f t="shared" si="11"/>
        <v>50</v>
      </c>
      <c r="AS343" s="521">
        <f t="shared" si="11"/>
        <v>85</v>
      </c>
      <c r="AT343" s="521">
        <f t="shared" si="11"/>
        <v>50</v>
      </c>
      <c r="AU343" s="521">
        <f t="shared" si="11"/>
        <v>0</v>
      </c>
      <c r="AV343" s="521">
        <f t="shared" si="11"/>
        <v>30</v>
      </c>
      <c r="AW343" s="521">
        <f t="shared" si="11"/>
        <v>10</v>
      </c>
      <c r="AX343" s="521">
        <f t="shared" si="11"/>
        <v>0</v>
      </c>
      <c r="AY343" s="521">
        <f t="shared" si="11"/>
        <v>-1</v>
      </c>
      <c r="AZ343" s="521">
        <f t="shared" si="11"/>
        <v>-1</v>
      </c>
      <c r="BA343" s="521">
        <f t="shared" si="11"/>
        <v>-1</v>
      </c>
      <c r="BB343" s="521">
        <f t="shared" si="11"/>
        <v>-1</v>
      </c>
      <c r="BC343" s="521">
        <f t="shared" si="11"/>
        <v>-1</v>
      </c>
      <c r="BD343" s="521">
        <f t="shared" si="11"/>
        <v>-1</v>
      </c>
      <c r="BE343" s="521">
        <f t="shared" si="11"/>
        <v>-1</v>
      </c>
      <c r="BF343" s="521">
        <f t="shared" si="11"/>
        <v>-1</v>
      </c>
      <c r="BG343" s="521">
        <f t="shared" si="11"/>
        <v>-1</v>
      </c>
      <c r="BH343" s="521">
        <f t="shared" si="11"/>
        <v>-1</v>
      </c>
      <c r="BI343" s="521">
        <f t="shared" si="11"/>
        <v>-1</v>
      </c>
      <c r="BJ343" s="521">
        <f t="shared" si="11"/>
        <v>0</v>
      </c>
      <c r="BK343" s="521">
        <f t="shared" si="11"/>
        <v>0</v>
      </c>
      <c r="BL343" s="521">
        <f t="shared" si="11"/>
        <v>0</v>
      </c>
      <c r="BM343" s="521">
        <f t="shared" si="11"/>
        <v>0</v>
      </c>
      <c r="BN343" s="521">
        <f t="shared" si="11"/>
        <v>0</v>
      </c>
      <c r="BO343" s="521">
        <f t="shared" si="11"/>
        <v>192</v>
      </c>
      <c r="BP343" s="521">
        <f t="shared" si="11"/>
        <v>50</v>
      </c>
      <c r="BQ343" s="521">
        <f t="shared" si="11"/>
        <v>0</v>
      </c>
      <c r="BR343" s="521">
        <f t="shared" si="11"/>
        <v>0</v>
      </c>
      <c r="BS343" s="521">
        <f t="shared" si="11"/>
        <v>0</v>
      </c>
      <c r="BT343" s="521">
        <f t="shared" si="11"/>
        <v>0</v>
      </c>
      <c r="BU343" s="521">
        <f t="shared" si="11"/>
        <v>0</v>
      </c>
      <c r="BV343" s="521">
        <f t="shared" si="11"/>
        <v>0</v>
      </c>
      <c r="BW343" s="521">
        <f t="shared" si="11"/>
        <v>-50</v>
      </c>
      <c r="BX343" s="521">
        <f t="shared" si="11"/>
        <v>100</v>
      </c>
      <c r="BY343" s="521">
        <f t="shared" si="11"/>
        <v>50</v>
      </c>
      <c r="BZ343" s="521">
        <f t="shared" si="11"/>
        <v>50</v>
      </c>
      <c r="CA343" s="521">
        <f t="shared" si="11"/>
        <v>0</v>
      </c>
      <c r="CB343" s="521">
        <f t="shared" si="11"/>
        <v>0</v>
      </c>
      <c r="CC343" s="521">
        <f t="shared" si="11"/>
        <v>50</v>
      </c>
      <c r="CD343" s="521">
        <f t="shared" si="11"/>
        <v>300</v>
      </c>
      <c r="CE343" s="521">
        <f t="shared" si="11"/>
        <v>180</v>
      </c>
      <c r="CF343" s="521">
        <f t="shared" si="11"/>
        <v>0</v>
      </c>
      <c r="CG343" s="521">
        <f t="shared" si="11"/>
        <v>120</v>
      </c>
      <c r="CH343" s="521">
        <f t="shared" si="11"/>
        <v>0</v>
      </c>
      <c r="CI343" s="521">
        <f t="shared" si="11"/>
        <v>0</v>
      </c>
      <c r="CJ343" s="521">
        <f t="shared" si="11"/>
        <v>50</v>
      </c>
      <c r="CK343" s="521">
        <f t="shared" si="11"/>
        <v>100</v>
      </c>
      <c r="CL343" s="521">
        <f t="shared" si="11"/>
        <v>100</v>
      </c>
      <c r="CM343" s="521">
        <f t="shared" si="11"/>
        <v>0</v>
      </c>
      <c r="CN343" s="521">
        <f t="shared" si="11"/>
        <v>400</v>
      </c>
      <c r="CO343" s="521">
        <f t="shared" si="11"/>
        <v>0</v>
      </c>
      <c r="CP343" s="521"/>
      <c r="CQ343" s="521"/>
      <c r="CR343" s="521">
        <f t="shared" ref="CR343:CS343" si="12">+CR32-CR340</f>
        <v>3</v>
      </c>
      <c r="CS343" s="521">
        <f t="shared" si="12"/>
        <v>30</v>
      </c>
      <c r="CT343" s="521"/>
      <c r="CU343" s="521">
        <f>+CU32-CU340</f>
        <v>0</v>
      </c>
      <c r="CV343" s="521"/>
      <c r="CW343" s="521"/>
      <c r="CX343" s="521">
        <f t="shared" ref="CX343:CZ343" si="13">+CX32-CX340</f>
        <v>2</v>
      </c>
      <c r="CY343" s="521">
        <f t="shared" si="13"/>
        <v>204</v>
      </c>
      <c r="CZ343" s="521">
        <f t="shared" si="13"/>
        <v>102</v>
      </c>
      <c r="DA343" s="521"/>
      <c r="DB343" s="521">
        <f t="shared" ref="DB343:FT343" si="14">+DB32-DB340</f>
        <v>144</v>
      </c>
      <c r="DC343" s="521">
        <f t="shared" si="14"/>
        <v>0</v>
      </c>
      <c r="DD343" s="521">
        <f t="shared" si="14"/>
        <v>0</v>
      </c>
      <c r="DE343" s="521">
        <f t="shared" si="14"/>
        <v>38</v>
      </c>
      <c r="DF343" s="521">
        <f t="shared" si="14"/>
        <v>0</v>
      </c>
      <c r="DG343" s="521">
        <f t="shared" si="14"/>
        <v>150</v>
      </c>
      <c r="DH343" s="521">
        <f t="shared" si="14"/>
        <v>0</v>
      </c>
      <c r="DI343" s="521">
        <f t="shared" si="14"/>
        <v>-1</v>
      </c>
      <c r="DJ343" s="521">
        <f t="shared" si="14"/>
        <v>60</v>
      </c>
      <c r="DK343" s="521">
        <f t="shared" si="14"/>
        <v>84</v>
      </c>
      <c r="DL343" s="521">
        <f t="shared" si="14"/>
        <v>20</v>
      </c>
      <c r="DM343" s="521">
        <f t="shared" si="14"/>
        <v>0</v>
      </c>
      <c r="DN343" s="521">
        <f t="shared" si="14"/>
        <v>48</v>
      </c>
      <c r="DO343" s="521">
        <f t="shared" si="14"/>
        <v>0</v>
      </c>
      <c r="DP343" s="521">
        <f t="shared" si="14"/>
        <v>0</v>
      </c>
      <c r="DQ343" s="521">
        <f t="shared" si="14"/>
        <v>92</v>
      </c>
      <c r="DR343" s="521">
        <f t="shared" si="14"/>
        <v>210</v>
      </c>
      <c r="DS343" s="521">
        <f t="shared" si="14"/>
        <v>258</v>
      </c>
      <c r="DT343" s="521">
        <f t="shared" si="14"/>
        <v>0</v>
      </c>
      <c r="DU343" s="521">
        <f t="shared" si="14"/>
        <v>0</v>
      </c>
      <c r="DV343" s="521">
        <f t="shared" si="14"/>
        <v>0</v>
      </c>
      <c r="DW343" s="521">
        <f t="shared" si="14"/>
        <v>0</v>
      </c>
      <c r="DX343" s="521">
        <f t="shared" si="14"/>
        <v>54</v>
      </c>
      <c r="DY343" s="521">
        <f t="shared" si="14"/>
        <v>0</v>
      </c>
      <c r="DZ343" s="521">
        <f t="shared" si="14"/>
        <v>0</v>
      </c>
      <c r="EA343" s="521">
        <f t="shared" si="14"/>
        <v>0</v>
      </c>
      <c r="EB343" s="521">
        <f t="shared" si="14"/>
        <v>102</v>
      </c>
      <c r="EC343" s="521">
        <f t="shared" si="14"/>
        <v>54</v>
      </c>
      <c r="ED343" s="521">
        <f t="shared" si="14"/>
        <v>54</v>
      </c>
      <c r="EE343" s="521">
        <f t="shared" si="14"/>
        <v>108</v>
      </c>
      <c r="EF343" s="521">
        <f t="shared" si="14"/>
        <v>0</v>
      </c>
      <c r="EG343" s="521">
        <f t="shared" si="14"/>
        <v>0</v>
      </c>
      <c r="EH343" s="521">
        <f t="shared" si="14"/>
        <v>300</v>
      </c>
      <c r="EI343" s="521">
        <f t="shared" si="14"/>
        <v>34</v>
      </c>
      <c r="EJ343" s="521">
        <f t="shared" si="14"/>
        <v>40</v>
      </c>
      <c r="EK343" s="521">
        <f t="shared" si="14"/>
        <v>24</v>
      </c>
      <c r="EL343" s="521">
        <f t="shared" si="14"/>
        <v>0</v>
      </c>
      <c r="EM343" s="521">
        <f t="shared" si="14"/>
        <v>20</v>
      </c>
      <c r="EN343" s="521">
        <f t="shared" si="14"/>
        <v>98</v>
      </c>
      <c r="EO343" s="521">
        <f t="shared" si="14"/>
        <v>76</v>
      </c>
      <c r="EP343" s="521">
        <f t="shared" si="14"/>
        <v>0</v>
      </c>
      <c r="EQ343" s="521">
        <f t="shared" si="14"/>
        <v>2</v>
      </c>
      <c r="ER343" s="521">
        <f t="shared" si="14"/>
        <v>0</v>
      </c>
      <c r="ES343" s="521">
        <f t="shared" si="14"/>
        <v>0</v>
      </c>
      <c r="ET343" s="521">
        <f t="shared" si="14"/>
        <v>459</v>
      </c>
      <c r="EU343" s="521">
        <f t="shared" si="14"/>
        <v>100</v>
      </c>
      <c r="EV343" s="521">
        <f t="shared" si="14"/>
        <v>50</v>
      </c>
      <c r="EW343" s="521">
        <f t="shared" si="14"/>
        <v>1499</v>
      </c>
      <c r="EX343" s="521">
        <f t="shared" si="14"/>
        <v>1749</v>
      </c>
      <c r="EY343" s="521">
        <f t="shared" si="14"/>
        <v>671</v>
      </c>
      <c r="EZ343" s="521">
        <f t="shared" si="14"/>
        <v>748</v>
      </c>
      <c r="FA343" s="521">
        <f t="shared" si="14"/>
        <v>199</v>
      </c>
      <c r="FB343" s="521">
        <f t="shared" si="14"/>
        <v>250</v>
      </c>
      <c r="FC343" s="521">
        <f t="shared" si="14"/>
        <v>100</v>
      </c>
      <c r="FD343" s="521">
        <f t="shared" si="14"/>
        <v>200</v>
      </c>
      <c r="FE343" s="521">
        <f t="shared" si="14"/>
        <v>224</v>
      </c>
      <c r="FF343" s="521">
        <f t="shared" si="14"/>
        <v>100</v>
      </c>
      <c r="FG343" s="521">
        <f t="shared" si="14"/>
        <v>222</v>
      </c>
      <c r="FH343" s="521">
        <f t="shared" si="14"/>
        <v>100</v>
      </c>
      <c r="FI343" s="521">
        <f t="shared" si="14"/>
        <v>200</v>
      </c>
      <c r="FJ343" s="521">
        <f t="shared" si="14"/>
        <v>200</v>
      </c>
      <c r="FK343" s="521">
        <f t="shared" si="14"/>
        <v>150</v>
      </c>
      <c r="FL343" s="521">
        <f t="shared" si="14"/>
        <v>200</v>
      </c>
      <c r="FM343" s="521">
        <f t="shared" si="14"/>
        <v>200</v>
      </c>
      <c r="FN343" s="521">
        <f t="shared" si="14"/>
        <v>300</v>
      </c>
      <c r="FO343" s="521">
        <f t="shared" si="14"/>
        <v>2000</v>
      </c>
      <c r="FP343" s="521">
        <f t="shared" si="14"/>
        <v>250</v>
      </c>
      <c r="FQ343" s="521">
        <f t="shared" si="14"/>
        <v>250</v>
      </c>
      <c r="FR343" s="521">
        <f t="shared" si="14"/>
        <v>300</v>
      </c>
      <c r="FS343" s="521">
        <f t="shared" si="14"/>
        <v>500</v>
      </c>
      <c r="FT343" s="521">
        <f t="shared" si="14"/>
        <v>100</v>
      </c>
      <c r="FU343" s="521"/>
      <c r="FV343" s="521">
        <f t="shared" ref="FV343:IP343" si="15">+FV32-FV340</f>
        <v>474</v>
      </c>
      <c r="FW343" s="521">
        <f t="shared" si="15"/>
        <v>50</v>
      </c>
      <c r="FX343" s="521">
        <f t="shared" si="15"/>
        <v>218</v>
      </c>
      <c r="FY343" s="521">
        <f t="shared" si="15"/>
        <v>-218</v>
      </c>
      <c r="FZ343" s="521">
        <f t="shared" si="15"/>
        <v>0</v>
      </c>
      <c r="GA343" s="521">
        <f t="shared" si="15"/>
        <v>2950</v>
      </c>
      <c r="GB343" s="521">
        <f t="shared" si="15"/>
        <v>1051</v>
      </c>
      <c r="GC343" s="521">
        <f t="shared" si="15"/>
        <v>6000</v>
      </c>
      <c r="GD343" s="521">
        <f t="shared" si="15"/>
        <v>500</v>
      </c>
      <c r="GE343" s="521">
        <f t="shared" si="15"/>
        <v>200</v>
      </c>
      <c r="GF343" s="521">
        <f t="shared" si="15"/>
        <v>1</v>
      </c>
      <c r="GG343" s="521">
        <f t="shared" si="15"/>
        <v>80</v>
      </c>
      <c r="GH343" s="521">
        <f t="shared" si="15"/>
        <v>130</v>
      </c>
      <c r="GI343" s="521">
        <f t="shared" si="15"/>
        <v>110</v>
      </c>
      <c r="GJ343" s="521">
        <f t="shared" si="15"/>
        <v>200</v>
      </c>
      <c r="GK343" s="521">
        <f t="shared" si="15"/>
        <v>-49</v>
      </c>
      <c r="GL343" s="521">
        <f t="shared" si="15"/>
        <v>-24</v>
      </c>
      <c r="GM343" s="521">
        <f t="shared" si="15"/>
        <v>75</v>
      </c>
      <c r="GN343" s="521">
        <f t="shared" si="15"/>
        <v>2000</v>
      </c>
      <c r="GO343" s="521">
        <f t="shared" si="15"/>
        <v>-22</v>
      </c>
      <c r="GP343" s="521">
        <f t="shared" si="15"/>
        <v>0</v>
      </c>
      <c r="GQ343" s="521">
        <f t="shared" si="15"/>
        <v>349</v>
      </c>
      <c r="GR343" s="521">
        <f t="shared" si="15"/>
        <v>349</v>
      </c>
      <c r="GS343" s="521">
        <f t="shared" si="15"/>
        <v>0</v>
      </c>
      <c r="GT343" s="521">
        <f t="shared" si="15"/>
        <v>0</v>
      </c>
      <c r="GU343" s="521">
        <f t="shared" si="15"/>
        <v>0</v>
      </c>
      <c r="GV343" s="521">
        <f t="shared" si="15"/>
        <v>0</v>
      </c>
      <c r="GW343" s="521">
        <f t="shared" si="15"/>
        <v>300</v>
      </c>
      <c r="GX343" s="521">
        <f t="shared" si="15"/>
        <v>2475</v>
      </c>
      <c r="GY343" s="521">
        <f t="shared" si="15"/>
        <v>2000</v>
      </c>
      <c r="GZ343" s="521">
        <f t="shared" si="15"/>
        <v>325</v>
      </c>
      <c r="HA343" s="521">
        <f t="shared" si="15"/>
        <v>50</v>
      </c>
      <c r="HB343" s="521">
        <f t="shared" si="15"/>
        <v>500</v>
      </c>
      <c r="HC343" s="521">
        <f t="shared" si="15"/>
        <v>2388</v>
      </c>
      <c r="HD343" s="521">
        <f t="shared" si="15"/>
        <v>722</v>
      </c>
      <c r="HE343" s="521">
        <f t="shared" si="15"/>
        <v>1200</v>
      </c>
      <c r="HF343" s="521">
        <f t="shared" si="15"/>
        <v>3000</v>
      </c>
      <c r="HG343" s="521">
        <f t="shared" si="15"/>
        <v>1227</v>
      </c>
      <c r="HH343" s="521">
        <f t="shared" si="15"/>
        <v>0</v>
      </c>
      <c r="HI343" s="521">
        <f t="shared" si="15"/>
        <v>44</v>
      </c>
      <c r="HJ343" s="521">
        <f t="shared" si="15"/>
        <v>2000</v>
      </c>
      <c r="HK343" s="521">
        <f t="shared" si="15"/>
        <v>100</v>
      </c>
      <c r="HL343" s="521">
        <f t="shared" si="15"/>
        <v>100</v>
      </c>
      <c r="HM343" s="521">
        <f t="shared" si="15"/>
        <v>0</v>
      </c>
      <c r="HN343" s="521">
        <f t="shared" si="15"/>
        <v>2002</v>
      </c>
      <c r="HO343" s="521">
        <f t="shared" si="15"/>
        <v>5</v>
      </c>
      <c r="HP343" s="521">
        <f t="shared" si="15"/>
        <v>-15</v>
      </c>
      <c r="HQ343" s="521">
        <f t="shared" si="15"/>
        <v>11</v>
      </c>
      <c r="HR343" s="521">
        <f t="shared" si="15"/>
        <v>10</v>
      </c>
      <c r="HS343" s="521">
        <f t="shared" si="15"/>
        <v>0</v>
      </c>
      <c r="HT343" s="521">
        <f t="shared" si="15"/>
        <v>0</v>
      </c>
      <c r="HU343" s="521">
        <f t="shared" si="15"/>
        <v>291</v>
      </c>
      <c r="HV343" s="521">
        <f t="shared" si="15"/>
        <v>245</v>
      </c>
      <c r="HW343" s="521">
        <f t="shared" si="15"/>
        <v>170</v>
      </c>
      <c r="HX343" s="521">
        <f t="shared" si="15"/>
        <v>-3283</v>
      </c>
      <c r="HY343" s="521">
        <f t="shared" si="15"/>
        <v>-1529</v>
      </c>
      <c r="HZ343" s="521">
        <f t="shared" si="15"/>
        <v>120</v>
      </c>
      <c r="IA343" s="521">
        <f t="shared" si="15"/>
        <v>0</v>
      </c>
      <c r="IB343" s="521">
        <f t="shared" si="15"/>
        <v>36</v>
      </c>
      <c r="IC343" s="521">
        <f t="shared" si="15"/>
        <v>-32</v>
      </c>
      <c r="ID343" s="521">
        <f t="shared" si="15"/>
        <v>59</v>
      </c>
      <c r="IE343" s="521">
        <f t="shared" si="15"/>
        <v>200</v>
      </c>
      <c r="IF343" s="521">
        <f t="shared" si="15"/>
        <v>100</v>
      </c>
      <c r="IG343" s="521">
        <f t="shared" si="15"/>
        <v>0</v>
      </c>
      <c r="IH343" s="521">
        <f t="shared" si="15"/>
        <v>0</v>
      </c>
      <c r="II343" s="521">
        <f t="shared" si="15"/>
        <v>0</v>
      </c>
      <c r="IJ343" s="521">
        <f t="shared" si="15"/>
        <v>0</v>
      </c>
      <c r="IK343" s="521">
        <f t="shared" si="15"/>
        <v>0</v>
      </c>
      <c r="IL343" s="521">
        <f t="shared" si="15"/>
        <v>0</v>
      </c>
      <c r="IM343" s="521">
        <f t="shared" si="15"/>
        <v>0</v>
      </c>
      <c r="IN343" s="521">
        <f t="shared" si="15"/>
        <v>0</v>
      </c>
      <c r="IO343" s="521">
        <f t="shared" si="15"/>
        <v>0</v>
      </c>
      <c r="IP343" s="521">
        <f t="shared" si="15"/>
        <v>1000</v>
      </c>
    </row>
    <row r="344" spans="1:250" ht="15.75" customHeight="1" x14ac:dyDescent="0.25">
      <c r="A344" s="545" t="s">
        <v>1177</v>
      </c>
      <c r="B344" s="545"/>
      <c r="C344" s="545"/>
      <c r="D344" s="545"/>
      <c r="E344" s="545"/>
      <c r="F344" s="545"/>
      <c r="G344" s="545"/>
      <c r="H344" s="545"/>
      <c r="I344" s="545"/>
      <c r="J344" s="545"/>
      <c r="K344" s="36"/>
      <c r="L344" s="545"/>
      <c r="M344" s="545"/>
      <c r="N344" s="545"/>
      <c r="O344" s="545"/>
      <c r="P344" s="545"/>
      <c r="Q344" s="545"/>
      <c r="R344" s="545"/>
      <c r="S344" s="545"/>
      <c r="T344" s="545"/>
      <c r="U344" s="545"/>
      <c r="V344" s="545"/>
      <c r="W344" s="545"/>
      <c r="X344" s="545"/>
      <c r="Y344" s="545"/>
      <c r="Z344" s="545"/>
      <c r="AA344" s="545"/>
      <c r="AB344" s="545"/>
      <c r="AC344" s="545"/>
      <c r="AD344" s="545"/>
      <c r="AE344" s="545"/>
      <c r="AF344" s="545"/>
      <c r="AG344" s="545"/>
      <c r="AH344" s="545"/>
      <c r="AI344" s="545"/>
      <c r="AJ344" s="545"/>
      <c r="AK344" s="545"/>
      <c r="AL344" s="545"/>
      <c r="AM344" s="545"/>
      <c r="AN344" s="545"/>
      <c r="AO344" s="545"/>
      <c r="AP344" s="545"/>
      <c r="AQ344" s="545"/>
      <c r="AR344" s="545"/>
      <c r="AS344" s="545"/>
      <c r="AT344" s="545"/>
      <c r="AU344" s="545"/>
      <c r="AV344" s="545"/>
      <c r="AW344" s="545"/>
      <c r="AX344" s="545"/>
      <c r="AY344" s="545"/>
      <c r="AZ344" s="545"/>
      <c r="BA344" s="545"/>
      <c r="BB344" s="545"/>
      <c r="BC344" s="545"/>
      <c r="BD344" s="545"/>
      <c r="BE344" s="545"/>
      <c r="BF344" s="545"/>
      <c r="BG344" s="545"/>
      <c r="BH344" s="545"/>
      <c r="BI344" s="545"/>
      <c r="BJ344" s="545"/>
      <c r="BK344" s="545"/>
      <c r="BL344" s="545"/>
      <c r="BM344" s="545"/>
      <c r="BN344" s="545"/>
      <c r="BO344" s="545"/>
      <c r="BP344" s="545"/>
      <c r="BQ344" s="545"/>
      <c r="BR344" s="545"/>
      <c r="BS344" s="545"/>
      <c r="BT344" s="545"/>
      <c r="BU344" s="545"/>
      <c r="BV344" s="545"/>
      <c r="BW344" s="545"/>
      <c r="BX344" s="545"/>
      <c r="BY344" s="545"/>
      <c r="BZ344" s="545"/>
      <c r="CA344" s="545"/>
      <c r="CB344" s="545"/>
      <c r="CC344" s="545"/>
      <c r="CD344" s="545"/>
      <c r="CE344" s="545"/>
      <c r="CF344" s="545"/>
      <c r="CG344" s="545"/>
      <c r="CH344" s="545"/>
      <c r="CI344" s="545"/>
      <c r="CJ344" s="545"/>
      <c r="CK344" s="545"/>
      <c r="CL344" s="545"/>
      <c r="CM344" s="545"/>
      <c r="CN344" s="545"/>
      <c r="CO344" s="545"/>
      <c r="CP344" s="545"/>
      <c r="CQ344" s="545"/>
      <c r="CR344" s="351">
        <f>17*6</f>
        <v>102</v>
      </c>
      <c r="CS344" s="545"/>
      <c r="CT344" s="545"/>
      <c r="CU344" s="351" t="s">
        <v>1180</v>
      </c>
      <c r="CV344" s="351"/>
      <c r="CW344" s="351"/>
      <c r="CX344" s="545"/>
      <c r="CY344" s="545"/>
      <c r="CZ344" s="545"/>
      <c r="DA344" s="545"/>
      <c r="DB344" s="545"/>
      <c r="DC344" s="351"/>
      <c r="DD344" s="545"/>
      <c r="DE344" s="351">
        <v>45</v>
      </c>
      <c r="DF344" s="545"/>
      <c r="DG344" s="545"/>
      <c r="DH344" s="545"/>
      <c r="DI344" s="545"/>
      <c r="DJ344" s="545"/>
      <c r="DK344" s="545"/>
      <c r="DL344" s="351">
        <v>16</v>
      </c>
      <c r="DM344" s="545"/>
      <c r="DN344" s="545"/>
      <c r="DO344" s="545"/>
      <c r="DP344" s="545"/>
      <c r="DQ344" s="545"/>
      <c r="DR344" s="545"/>
      <c r="DS344" s="545"/>
      <c r="DT344" s="545"/>
      <c r="DU344" s="545"/>
      <c r="DV344" s="545"/>
      <c r="DW344" s="545"/>
      <c r="DX344" s="545"/>
      <c r="DY344" s="545"/>
      <c r="DZ344" s="545"/>
      <c r="EA344" s="545"/>
      <c r="EB344" s="545"/>
      <c r="EC344" s="545"/>
      <c r="ED344" s="545"/>
      <c r="EE344" s="545"/>
      <c r="EF344" s="545"/>
      <c r="EG344" s="545"/>
      <c r="EH344" s="545"/>
      <c r="EI344" s="545"/>
      <c r="EJ344" s="351">
        <f>13*6+9</f>
        <v>87</v>
      </c>
      <c r="EK344" s="545"/>
      <c r="EL344" s="545"/>
      <c r="EM344" s="545"/>
      <c r="EN344" s="545"/>
      <c r="EO344" s="555"/>
      <c r="EP344" s="545"/>
      <c r="EQ344" s="545"/>
      <c r="ER344" s="545"/>
      <c r="ES344" s="545"/>
      <c r="ET344" s="545"/>
      <c r="EU344" s="545"/>
      <c r="EV344" s="545"/>
      <c r="EW344" s="545"/>
      <c r="EX344" s="545"/>
      <c r="EY344" s="545"/>
      <c r="EZ344" s="545"/>
      <c r="FA344" s="545"/>
      <c r="FB344" s="545"/>
      <c r="FC344" s="545"/>
      <c r="FD344" s="545"/>
      <c r="FE344" s="545"/>
      <c r="FF344" s="545"/>
      <c r="FG344" s="545"/>
      <c r="FH344" s="545"/>
      <c r="FI344" s="545"/>
      <c r="FJ344" s="545"/>
      <c r="FK344" s="545"/>
      <c r="FL344" s="545"/>
      <c r="FM344" s="545"/>
      <c r="FN344" s="545"/>
      <c r="FO344" s="545"/>
      <c r="FP344" s="545"/>
      <c r="FQ344" s="545"/>
      <c r="FR344" s="545"/>
      <c r="FS344" s="545"/>
      <c r="FT344" s="545"/>
      <c r="FU344" s="545"/>
      <c r="FV344" s="201">
        <v>498</v>
      </c>
      <c r="FW344" s="201"/>
      <c r="FX344" s="201">
        <v>143</v>
      </c>
      <c r="FY344" s="545"/>
      <c r="FZ344" s="201">
        <v>172</v>
      </c>
      <c r="GA344" s="545">
        <v>0</v>
      </c>
      <c r="GB344" s="201">
        <f>11*25</f>
        <v>275</v>
      </c>
      <c r="GC344" s="351" t="s">
        <v>1181</v>
      </c>
      <c r="GD344" s="351"/>
      <c r="GE344" s="351"/>
      <c r="GF344" s="201">
        <v>99</v>
      </c>
      <c r="GG344" s="201">
        <f>25*4</f>
        <v>100</v>
      </c>
      <c r="GH344" s="201">
        <v>189</v>
      </c>
      <c r="GI344" s="201">
        <v>127</v>
      </c>
      <c r="GJ344" s="201"/>
      <c r="GK344" s="201">
        <v>124</v>
      </c>
      <c r="GL344" s="201">
        <v>524</v>
      </c>
      <c r="GM344" s="545">
        <v>0</v>
      </c>
      <c r="GN344" s="351" t="s">
        <v>1181</v>
      </c>
      <c r="GO344" s="201">
        <v>250</v>
      </c>
      <c r="GP344" s="351" t="s">
        <v>1181</v>
      </c>
      <c r="GQ344" s="351">
        <v>399</v>
      </c>
      <c r="GR344" s="351">
        <v>399</v>
      </c>
      <c r="GS344" s="201">
        <v>298</v>
      </c>
      <c r="GT344" s="351">
        <v>24</v>
      </c>
      <c r="GU344" s="351" t="s">
        <v>1181</v>
      </c>
      <c r="GV344" s="545">
        <v>0</v>
      </c>
      <c r="GW344" s="545"/>
      <c r="GX344" s="545"/>
      <c r="GY344" s="545"/>
      <c r="GZ344" s="545"/>
      <c r="HA344" s="545"/>
      <c r="HB344" s="545"/>
      <c r="HC344" s="545"/>
      <c r="HD344" s="545"/>
      <c r="HE344" s="545"/>
      <c r="HF344" s="545"/>
      <c r="HG344" s="545"/>
      <c r="HH344" s="545"/>
      <c r="HI344" s="545"/>
      <c r="HJ344" s="545"/>
      <c r="HK344" s="545"/>
      <c r="HL344" s="545"/>
      <c r="HM344" s="545"/>
      <c r="HN344" s="545"/>
      <c r="HO344" s="201"/>
      <c r="HP344" s="201"/>
      <c r="HQ344" s="201"/>
      <c r="HR344" s="201"/>
      <c r="HS344" s="545"/>
      <c r="HT344" s="545"/>
      <c r="HU344" s="545"/>
      <c r="HV344" s="545"/>
      <c r="HW344" s="545"/>
      <c r="HX344" s="545"/>
      <c r="HY344" s="545"/>
      <c r="HZ344" s="545"/>
      <c r="IA344" s="545"/>
      <c r="IB344" s="545"/>
      <c r="IC344" s="545"/>
      <c r="ID344" s="545"/>
      <c r="IE344" s="545"/>
      <c r="IF344" s="545"/>
      <c r="IG344" s="545"/>
      <c r="IH344" s="545"/>
      <c r="II344" s="545"/>
      <c r="IJ344" s="545"/>
      <c r="IK344" s="545" t="s">
        <v>1183</v>
      </c>
      <c r="IL344" s="545" t="s">
        <v>1183</v>
      </c>
      <c r="IM344" s="545" t="s">
        <v>1183</v>
      </c>
      <c r="IN344" s="545" t="s">
        <v>468</v>
      </c>
      <c r="IO344" s="545" t="s">
        <v>480</v>
      </c>
      <c r="IP344" s="545"/>
    </row>
    <row r="345" spans="1:250" ht="15.75" customHeight="1" x14ac:dyDescent="0.25">
      <c r="A345" s="212" t="s">
        <v>1184</v>
      </c>
      <c r="B345" s="212"/>
      <c r="C345" s="212"/>
      <c r="D345" s="212"/>
      <c r="E345" s="212">
        <v>79</v>
      </c>
      <c r="F345" s="212"/>
      <c r="G345" s="212">
        <f>15*5</f>
        <v>75</v>
      </c>
      <c r="H345" s="212"/>
      <c r="I345" s="212">
        <v>60</v>
      </c>
      <c r="J345" s="212">
        <v>35</v>
      </c>
      <c r="K345" s="36">
        <v>50</v>
      </c>
      <c r="L345" s="212">
        <v>30</v>
      </c>
      <c r="M345" s="212">
        <v>40</v>
      </c>
      <c r="N345" s="212">
        <f>22*5</f>
        <v>110</v>
      </c>
      <c r="O345" s="212">
        <v>30</v>
      </c>
      <c r="P345" s="212"/>
      <c r="Q345" s="212"/>
      <c r="R345" s="212">
        <f>17*5</f>
        <v>85</v>
      </c>
      <c r="S345" s="212">
        <v>100</v>
      </c>
      <c r="T345" s="212"/>
      <c r="U345" s="212"/>
      <c r="V345" s="212">
        <v>60</v>
      </c>
      <c r="W345" s="212">
        <v>10</v>
      </c>
      <c r="X345" s="212">
        <f>20*5</f>
        <v>100</v>
      </c>
      <c r="Y345" s="212"/>
      <c r="Z345" s="212"/>
      <c r="AA345" s="212"/>
      <c r="AB345" s="212"/>
      <c r="AC345" s="212">
        <v>10</v>
      </c>
      <c r="AD345" s="212">
        <f>16*5</f>
        <v>80</v>
      </c>
      <c r="AE345" s="212"/>
      <c r="AF345" s="212">
        <f>18*5</f>
        <v>90</v>
      </c>
      <c r="AG345" s="212">
        <v>100</v>
      </c>
      <c r="AH345" s="212"/>
      <c r="AI345" s="212">
        <v>0</v>
      </c>
      <c r="AJ345" s="212"/>
      <c r="AK345" s="212">
        <v>100</v>
      </c>
      <c r="AL345" s="212">
        <f>16*5</f>
        <v>80</v>
      </c>
      <c r="AM345" s="212">
        <f>18*5</f>
        <v>90</v>
      </c>
      <c r="AN345" s="212">
        <f>19*5</f>
        <v>95</v>
      </c>
      <c r="AO345" s="212"/>
      <c r="AP345" s="212">
        <v>30</v>
      </c>
      <c r="AQ345" s="201">
        <f>16*5</f>
        <v>80</v>
      </c>
      <c r="AR345" s="212">
        <f>13*5</f>
        <v>65</v>
      </c>
      <c r="AS345" s="201">
        <v>85</v>
      </c>
      <c r="AT345" s="212">
        <f>15*5</f>
        <v>75</v>
      </c>
      <c r="AU345" s="212">
        <f>14*5</f>
        <v>70</v>
      </c>
      <c r="AV345" s="212">
        <v>45</v>
      </c>
      <c r="AW345" s="212"/>
      <c r="AX345" s="212"/>
      <c r="AY345" s="212"/>
      <c r="AZ345" s="212"/>
      <c r="BA345" s="212"/>
      <c r="BB345" s="212"/>
      <c r="BC345" s="212"/>
      <c r="BD345" s="212"/>
      <c r="BE345" s="212"/>
      <c r="BF345" s="212"/>
      <c r="BG345" s="212"/>
      <c r="BH345" s="212"/>
      <c r="BI345" s="212"/>
      <c r="BJ345" s="212"/>
      <c r="BK345" s="212"/>
      <c r="BL345" s="212"/>
      <c r="BM345" s="212"/>
      <c r="BN345" s="212"/>
      <c r="BO345" s="212"/>
      <c r="BP345" s="212"/>
      <c r="BQ345" s="212"/>
      <c r="BR345" s="212"/>
      <c r="BS345" s="212"/>
      <c r="BT345" s="212"/>
      <c r="BU345" s="212">
        <v>60</v>
      </c>
      <c r="BV345" s="212"/>
      <c r="BW345" s="212">
        <v>40</v>
      </c>
      <c r="BX345" s="212"/>
      <c r="BY345" s="212">
        <v>60</v>
      </c>
      <c r="BZ345" s="212">
        <v>30</v>
      </c>
      <c r="CA345" s="212"/>
      <c r="CB345" s="212"/>
      <c r="CC345" s="212"/>
      <c r="CD345" s="212">
        <v>130</v>
      </c>
      <c r="CE345" s="212">
        <v>200</v>
      </c>
      <c r="CF345" s="212">
        <v>90</v>
      </c>
      <c r="CG345" s="212">
        <v>150</v>
      </c>
      <c r="CH345" s="212">
        <v>70</v>
      </c>
      <c r="CI345" s="212">
        <v>100</v>
      </c>
      <c r="CJ345" s="212"/>
      <c r="CK345" s="212">
        <v>100</v>
      </c>
      <c r="CL345" s="212">
        <v>0</v>
      </c>
      <c r="CM345" s="212"/>
      <c r="CN345" s="212"/>
      <c r="CO345" s="212"/>
      <c r="CP345" s="212"/>
      <c r="CQ345" s="212"/>
      <c r="CR345" s="212" t="s">
        <v>1186</v>
      </c>
      <c r="CS345" s="212"/>
      <c r="CT345" s="212"/>
      <c r="CU345" s="212"/>
      <c r="CV345" s="212"/>
      <c r="CW345" s="212"/>
      <c r="CX345" s="212"/>
      <c r="CY345" s="212"/>
      <c r="CZ345" s="212"/>
      <c r="DA345" s="212"/>
      <c r="DB345" s="212"/>
      <c r="DC345" s="212"/>
      <c r="DD345" s="212"/>
      <c r="DE345" s="212"/>
      <c r="DF345" s="212"/>
      <c r="DG345" s="212"/>
      <c r="DH345" s="212"/>
      <c r="DI345" s="212"/>
      <c r="DJ345" s="212"/>
      <c r="DK345" s="212"/>
      <c r="DL345" s="212"/>
      <c r="DM345" s="212"/>
      <c r="DN345" s="212"/>
      <c r="DO345" s="212"/>
      <c r="DP345" s="212"/>
      <c r="DQ345" s="212"/>
      <c r="DR345" s="212"/>
      <c r="DS345" s="212"/>
      <c r="DT345" s="212"/>
      <c r="DU345" s="212"/>
      <c r="DV345" s="212"/>
      <c r="DW345" s="212"/>
      <c r="DX345" s="212"/>
      <c r="DY345" s="212"/>
      <c r="DZ345" s="212"/>
      <c r="EA345" s="212"/>
      <c r="EB345" s="212"/>
      <c r="EC345" s="212"/>
      <c r="ED345" s="212"/>
      <c r="EE345" s="212"/>
      <c r="EF345" s="212"/>
      <c r="EG345" s="212"/>
      <c r="EH345" s="212"/>
      <c r="EI345" s="212"/>
      <c r="EJ345" s="212"/>
      <c r="EK345" s="212"/>
      <c r="EL345" s="212"/>
      <c r="EM345" s="212"/>
      <c r="EN345" s="212"/>
      <c r="EO345" s="212"/>
      <c r="EP345" s="212"/>
      <c r="EQ345" s="212"/>
      <c r="ER345" s="212"/>
      <c r="ES345" s="212"/>
      <c r="ET345" s="212"/>
      <c r="EU345" s="212"/>
      <c r="EV345" s="212"/>
      <c r="EW345" s="212"/>
      <c r="EX345" s="212"/>
      <c r="EY345" s="212"/>
      <c r="EZ345" s="212"/>
      <c r="FA345" s="212"/>
      <c r="FB345" s="212"/>
      <c r="FC345" s="212"/>
      <c r="FD345" s="212"/>
      <c r="FE345" s="212"/>
      <c r="FF345" s="212"/>
      <c r="FG345" s="212"/>
      <c r="FH345" s="212"/>
      <c r="FI345" s="212"/>
      <c r="FJ345" s="212"/>
      <c r="FK345" s="212"/>
      <c r="FL345" s="212"/>
      <c r="FM345" s="212"/>
      <c r="FN345" s="212"/>
      <c r="FO345" s="212"/>
      <c r="FP345" s="212"/>
      <c r="FQ345" s="212"/>
      <c r="FR345" s="212"/>
      <c r="FS345" s="212"/>
      <c r="FT345" s="212"/>
      <c r="FU345" s="212"/>
      <c r="FV345" s="212"/>
      <c r="FW345" s="212"/>
      <c r="FX345" s="212"/>
      <c r="FY345" s="212"/>
      <c r="FZ345" s="212"/>
      <c r="GA345" s="212"/>
      <c r="GB345" s="212"/>
      <c r="GC345" s="212"/>
      <c r="GD345" s="212"/>
      <c r="GE345" s="212"/>
      <c r="GF345" s="212"/>
      <c r="GG345" s="212"/>
      <c r="GH345" s="212"/>
      <c r="GI345" s="212"/>
      <c r="GJ345" s="212"/>
      <c r="GK345" s="212"/>
      <c r="GL345" s="212"/>
      <c r="GM345" s="212"/>
      <c r="GN345" s="212"/>
      <c r="GO345" s="212"/>
      <c r="GP345" s="212"/>
      <c r="GQ345" s="212"/>
      <c r="GR345" s="212"/>
      <c r="GS345" s="212"/>
      <c r="GT345" s="212"/>
      <c r="GU345" s="212"/>
      <c r="GV345" s="212"/>
      <c r="GW345" s="212"/>
      <c r="GX345" s="212"/>
      <c r="GY345" s="212"/>
      <c r="GZ345" s="212"/>
      <c r="HA345" s="212"/>
      <c r="HB345" s="212"/>
      <c r="HC345" s="212"/>
      <c r="HD345" s="212"/>
      <c r="HE345" s="212"/>
      <c r="HF345" s="212"/>
      <c r="HG345" s="212"/>
      <c r="HH345" s="212"/>
      <c r="HI345" s="212"/>
      <c r="HJ345" s="212"/>
      <c r="HK345" s="212"/>
      <c r="HL345" s="212"/>
      <c r="HM345" s="212"/>
      <c r="HN345" s="212"/>
      <c r="HO345" s="201"/>
      <c r="HP345" s="201"/>
      <c r="HQ345" s="201"/>
      <c r="HR345" s="201"/>
      <c r="HS345" s="212"/>
      <c r="HT345" s="212"/>
      <c r="HU345" s="212"/>
      <c r="HV345" s="212"/>
      <c r="HW345" s="212"/>
      <c r="HX345" s="212"/>
      <c r="HY345" s="212"/>
      <c r="HZ345" s="212"/>
      <c r="IA345" s="212"/>
      <c r="IB345" s="212"/>
      <c r="IC345" s="212"/>
      <c r="ID345" s="212"/>
      <c r="IE345" s="212"/>
      <c r="IF345" s="212"/>
      <c r="IG345" s="212"/>
      <c r="IH345" s="212"/>
      <c r="II345" s="212"/>
      <c r="IJ345" s="212"/>
      <c r="IK345" s="212"/>
      <c r="IL345" s="212"/>
      <c r="IM345" s="212"/>
      <c r="IN345" s="212"/>
      <c r="IO345" s="212"/>
      <c r="IP345" s="212"/>
    </row>
    <row r="346" spans="1:250" ht="15.75" customHeight="1" x14ac:dyDescent="0.25">
      <c r="A346" s="182" t="s">
        <v>1188</v>
      </c>
      <c r="B346" s="182"/>
      <c r="C346" s="182"/>
      <c r="D346" s="182"/>
      <c r="E346" s="182"/>
      <c r="F346" s="182"/>
      <c r="G346" s="182"/>
      <c r="H346" s="182"/>
      <c r="I346" s="182"/>
      <c r="J346" s="182"/>
      <c r="K346" s="36"/>
      <c r="L346" s="182"/>
      <c r="M346" s="182"/>
      <c r="N346" s="182"/>
      <c r="O346" s="182"/>
      <c r="P346" s="182"/>
      <c r="Q346" s="182"/>
      <c r="R346" s="182"/>
      <c r="S346" s="182"/>
      <c r="T346" s="182"/>
      <c r="U346" s="182"/>
      <c r="V346" s="182"/>
      <c r="W346" s="182"/>
      <c r="X346" s="182"/>
      <c r="Y346" s="182"/>
      <c r="Z346" s="182"/>
      <c r="AA346" s="182"/>
      <c r="AB346" s="182"/>
      <c r="AC346" s="182"/>
      <c r="AD346" s="182"/>
      <c r="AE346" s="182"/>
      <c r="AF346" s="182"/>
      <c r="AG346" s="182"/>
      <c r="AH346" s="182"/>
      <c r="AI346" s="182"/>
      <c r="AJ346" s="182"/>
      <c r="AK346" s="182"/>
      <c r="AL346" s="182"/>
      <c r="AM346" s="182"/>
      <c r="AN346" s="182"/>
      <c r="AO346" s="182"/>
      <c r="AP346" s="182"/>
      <c r="AQ346" s="182"/>
      <c r="AR346" s="182"/>
      <c r="AS346" s="182"/>
      <c r="AT346" s="182"/>
      <c r="AU346" s="182"/>
      <c r="AV346" s="182"/>
      <c r="AW346" s="182"/>
      <c r="AX346" s="182"/>
      <c r="AY346" s="182"/>
      <c r="AZ346" s="182"/>
      <c r="BA346" s="182"/>
      <c r="BB346" s="182"/>
      <c r="BC346" s="182"/>
      <c r="BD346" s="182"/>
      <c r="BE346" s="182"/>
      <c r="BF346" s="182"/>
      <c r="BG346" s="182"/>
      <c r="BH346" s="182"/>
      <c r="BI346" s="182"/>
      <c r="BJ346" s="182"/>
      <c r="BK346" s="182"/>
      <c r="BL346" s="182"/>
      <c r="BM346" s="182"/>
      <c r="BN346" s="182"/>
      <c r="BO346" s="182"/>
      <c r="BP346" s="182"/>
      <c r="BQ346" s="182"/>
      <c r="BR346" s="182"/>
      <c r="BS346" s="182"/>
      <c r="BT346" s="182"/>
      <c r="BU346" s="182"/>
      <c r="BV346" s="182"/>
      <c r="BW346" s="182"/>
      <c r="BX346" s="182"/>
      <c r="BY346" s="182"/>
      <c r="BZ346" s="182"/>
      <c r="CA346" s="182"/>
      <c r="CB346" s="182"/>
      <c r="CC346" s="182"/>
      <c r="CD346" s="182"/>
      <c r="CE346" s="182"/>
      <c r="CF346" s="182"/>
      <c r="CG346" s="182"/>
      <c r="CH346" s="182"/>
      <c r="CI346" s="182"/>
      <c r="CJ346" s="182"/>
      <c r="CK346" s="182"/>
      <c r="CL346" s="182"/>
      <c r="CM346" s="182"/>
      <c r="CN346" s="182"/>
      <c r="CO346" s="182"/>
      <c r="CP346" s="182"/>
      <c r="CQ346" s="182"/>
      <c r="CR346" s="182"/>
      <c r="CS346" s="182"/>
      <c r="CT346" s="182"/>
      <c r="CU346" s="182"/>
      <c r="CV346" s="182"/>
      <c r="CW346" s="182"/>
      <c r="CX346" s="182"/>
      <c r="CY346" s="182"/>
      <c r="CZ346" s="182"/>
      <c r="DA346" s="182"/>
      <c r="DB346" s="182"/>
      <c r="DC346" s="182"/>
      <c r="DD346" s="182"/>
      <c r="DE346" s="182"/>
      <c r="DF346" s="182"/>
      <c r="DG346" s="182"/>
      <c r="DH346" s="182"/>
      <c r="DI346" s="182"/>
      <c r="DJ346" s="182"/>
      <c r="DK346" s="182"/>
      <c r="DL346" s="182"/>
      <c r="DM346" s="182"/>
      <c r="DN346" s="182"/>
      <c r="DO346" s="182"/>
      <c r="DP346" s="182"/>
      <c r="DQ346" s="182"/>
      <c r="DR346" s="182"/>
      <c r="DS346" s="182"/>
      <c r="DT346" s="182"/>
      <c r="DU346" s="182"/>
      <c r="DV346" s="182"/>
      <c r="DW346" s="182"/>
      <c r="DX346" s="182"/>
      <c r="DY346" s="182"/>
      <c r="DZ346" s="182"/>
      <c r="EA346" s="182"/>
      <c r="EB346" s="182"/>
      <c r="EC346" s="182"/>
      <c r="ED346" s="182"/>
      <c r="EE346" s="182"/>
      <c r="EF346" s="182"/>
      <c r="EG346" s="182"/>
      <c r="EH346" s="182"/>
      <c r="EI346" s="182"/>
      <c r="EJ346" s="182"/>
      <c r="EK346" s="182"/>
      <c r="EL346" s="182"/>
      <c r="EM346" s="182"/>
      <c r="EN346" s="182"/>
      <c r="EO346" s="182"/>
      <c r="EP346" s="182"/>
      <c r="EQ346" s="182"/>
      <c r="ER346" s="182"/>
      <c r="ES346" s="182"/>
      <c r="ET346" s="182"/>
      <c r="EU346" s="182"/>
      <c r="EV346" s="182"/>
      <c r="EW346" s="182"/>
      <c r="EX346" s="182"/>
      <c r="EY346" s="182"/>
      <c r="EZ346" s="182"/>
      <c r="FA346" s="182"/>
      <c r="FB346" s="182"/>
      <c r="FC346" s="182"/>
      <c r="FD346" s="182"/>
      <c r="FE346" s="182"/>
      <c r="FF346" s="182"/>
      <c r="FG346" s="182"/>
      <c r="FH346" s="182"/>
      <c r="FI346" s="182"/>
      <c r="FJ346" s="182"/>
      <c r="FK346" s="182"/>
      <c r="FL346" s="182"/>
      <c r="FM346" s="182"/>
      <c r="FN346" s="182"/>
      <c r="FO346" s="182"/>
      <c r="FP346" s="182"/>
      <c r="FQ346" s="182"/>
      <c r="FR346" s="182"/>
      <c r="FS346" s="182"/>
      <c r="FT346" s="182"/>
      <c r="FU346" s="182"/>
      <c r="FV346" s="182"/>
      <c r="FW346" s="182"/>
      <c r="FX346" s="561"/>
      <c r="FY346" s="561"/>
      <c r="FZ346" s="182"/>
      <c r="GA346" s="182"/>
      <c r="GB346" s="182"/>
      <c r="GC346" s="182"/>
      <c r="GD346" s="182"/>
      <c r="GE346" s="182"/>
      <c r="GF346" s="182"/>
      <c r="GG346" s="182"/>
      <c r="GH346" s="182"/>
      <c r="GI346" s="182"/>
      <c r="GJ346" s="182"/>
      <c r="GK346" s="182"/>
      <c r="GL346" s="182"/>
      <c r="GM346" s="182"/>
      <c r="GN346" s="182"/>
      <c r="GO346" s="182"/>
      <c r="GP346" s="182"/>
      <c r="GQ346" s="182"/>
      <c r="GR346" s="561"/>
      <c r="GS346" s="182"/>
      <c r="GT346" s="182"/>
      <c r="GU346" s="182"/>
      <c r="GV346" s="182"/>
      <c r="GW346" s="182"/>
      <c r="GX346" s="182"/>
      <c r="GY346" s="182"/>
      <c r="GZ346" s="182"/>
      <c r="HA346" s="182"/>
      <c r="HB346" s="182"/>
      <c r="HC346" s="182"/>
      <c r="HD346" s="182"/>
      <c r="HE346" s="182"/>
      <c r="HF346" s="182"/>
      <c r="HG346" s="182"/>
      <c r="HH346" s="182"/>
      <c r="HI346" s="182"/>
      <c r="HJ346" s="182"/>
      <c r="HK346" s="182"/>
      <c r="HL346" s="182"/>
      <c r="HM346" s="182"/>
      <c r="HN346" s="182"/>
      <c r="HO346" s="201">
        <v>0</v>
      </c>
      <c r="HP346" s="201">
        <v>490</v>
      </c>
      <c r="HQ346" s="201">
        <v>200</v>
      </c>
      <c r="HR346" s="201">
        <v>349</v>
      </c>
      <c r="HS346" s="351">
        <v>190</v>
      </c>
      <c r="HT346" s="351">
        <v>40</v>
      </c>
      <c r="HU346" s="201">
        <v>423</v>
      </c>
      <c r="HV346" s="351">
        <v>250</v>
      </c>
      <c r="HW346" s="351">
        <v>175</v>
      </c>
      <c r="HX346" s="182"/>
      <c r="HY346" s="201">
        <v>383</v>
      </c>
      <c r="HZ346" s="201"/>
      <c r="IA346" s="351">
        <f>28+3</f>
        <v>31</v>
      </c>
      <c r="IB346" s="201">
        <f>92*4+3</f>
        <v>371</v>
      </c>
      <c r="IC346" s="201">
        <v>167</v>
      </c>
      <c r="ID346" s="351">
        <f>33*4</f>
        <v>132</v>
      </c>
      <c r="IE346" s="351"/>
      <c r="IF346" s="351"/>
      <c r="IG346" s="182"/>
      <c r="IH346" s="182"/>
      <c r="II346" s="182"/>
      <c r="IJ346" s="182"/>
      <c r="IK346" s="182"/>
      <c r="IL346" s="182"/>
      <c r="IM346" s="182"/>
      <c r="IN346" s="182"/>
      <c r="IO346" s="182"/>
      <c r="IP346" s="182"/>
    </row>
    <row r="347" spans="1:250" ht="15.75" customHeight="1" x14ac:dyDescent="0.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v>10</v>
      </c>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563"/>
      <c r="FY347" s="563"/>
      <c r="FZ347" s="36"/>
      <c r="GA347" s="36"/>
      <c r="GB347" s="36"/>
      <c r="GC347" s="36"/>
      <c r="GD347" s="36"/>
      <c r="GE347" s="36"/>
      <c r="GF347" s="36"/>
      <c r="GG347" s="36"/>
      <c r="GH347" s="36"/>
      <c r="GI347" s="36"/>
      <c r="GJ347" s="36"/>
      <c r="GK347" s="36"/>
      <c r="GL347" s="36"/>
      <c r="GM347" s="36"/>
      <c r="GN347" s="36"/>
      <c r="GO347" s="36"/>
      <c r="GP347" s="36"/>
      <c r="GQ347" s="36"/>
      <c r="GR347" s="563"/>
      <c r="GS347" s="36"/>
      <c r="GT347" s="36"/>
      <c r="GU347" s="36"/>
      <c r="GV347" s="36"/>
      <c r="GW347" s="36"/>
      <c r="GX347" s="36"/>
      <c r="GY347" s="36"/>
      <c r="GZ347" s="36"/>
      <c r="HA347" s="36"/>
      <c r="HB347" s="36"/>
      <c r="HC347" s="36"/>
      <c r="HD347" s="36"/>
      <c r="HE347" s="36"/>
      <c r="HF347" s="36"/>
      <c r="HG347" s="36"/>
      <c r="HH347" s="36"/>
      <c r="HI347" s="36"/>
      <c r="HJ347" s="36"/>
      <c r="HK347" s="36"/>
      <c r="HL347" s="36"/>
      <c r="HM347" s="36"/>
      <c r="HN347" s="36"/>
      <c r="HO347" s="36"/>
      <c r="HP347" s="36"/>
      <c r="HQ347" s="36"/>
      <c r="HR347" s="36"/>
      <c r="HS347" s="36"/>
      <c r="HT347" s="36"/>
      <c r="HU347" s="36"/>
      <c r="HV347" s="36"/>
      <c r="HW347" s="36"/>
      <c r="HX347" s="36"/>
      <c r="HY347" s="201" t="s">
        <v>1202</v>
      </c>
      <c r="HZ347" s="201"/>
      <c r="IA347" s="36"/>
      <c r="IB347" s="36"/>
      <c r="IC347" s="36"/>
      <c r="ID347" s="36">
        <v>12</v>
      </c>
      <c r="IE347" s="36"/>
      <c r="IF347" s="36"/>
      <c r="IG347" s="36"/>
      <c r="IH347" s="36"/>
      <c r="II347" s="36"/>
      <c r="IJ347" s="36"/>
      <c r="IK347" s="36"/>
      <c r="IL347" s="36"/>
      <c r="IM347" s="36"/>
      <c r="IN347" s="36"/>
      <c r="IO347" s="36"/>
      <c r="IP347" s="36"/>
    </row>
    <row r="348" spans="1:250" ht="15.75" customHeight="1" x14ac:dyDescent="0.25">
      <c r="A348" s="564"/>
      <c r="B348" s="564"/>
      <c r="C348" s="564"/>
      <c r="D348" s="564"/>
      <c r="E348" s="564"/>
      <c r="F348" s="564"/>
      <c r="G348" s="564"/>
      <c r="H348" s="564"/>
      <c r="I348" s="564"/>
      <c r="J348" s="564"/>
      <c r="K348" s="564"/>
      <c r="L348" s="564"/>
      <c r="M348" s="564"/>
      <c r="N348" s="564"/>
      <c r="O348" s="564"/>
      <c r="P348" s="564"/>
      <c r="Q348" s="564"/>
      <c r="R348" s="564"/>
      <c r="S348" s="564"/>
      <c r="T348" s="564"/>
      <c r="U348" s="564"/>
      <c r="V348" s="564"/>
      <c r="W348" s="564"/>
      <c r="X348" s="564"/>
      <c r="Y348" s="564"/>
      <c r="Z348" s="564"/>
      <c r="AA348" s="564"/>
      <c r="AB348" s="564"/>
      <c r="AC348" s="564"/>
      <c r="AD348" s="564"/>
      <c r="AE348" s="564"/>
      <c r="AF348" s="564"/>
      <c r="AG348" s="564"/>
      <c r="AH348" s="564"/>
      <c r="AI348" s="564"/>
      <c r="AJ348" s="564"/>
      <c r="AK348" s="564"/>
      <c r="AL348" s="564"/>
      <c r="AM348" s="564"/>
      <c r="AN348" s="564"/>
      <c r="AO348" s="564"/>
      <c r="AP348" s="564"/>
      <c r="AQ348" s="564"/>
      <c r="AR348" s="564"/>
      <c r="AS348" s="564"/>
      <c r="AT348" s="564"/>
      <c r="AU348" s="564"/>
      <c r="AV348" s="564"/>
      <c r="AW348" s="564"/>
      <c r="AX348" s="564"/>
      <c r="AY348" s="564"/>
      <c r="AZ348" s="564"/>
      <c r="BA348" s="564"/>
      <c r="BB348" s="564"/>
      <c r="BC348" s="564"/>
      <c r="BD348" s="564"/>
      <c r="BE348" s="564"/>
      <c r="BF348" s="564"/>
      <c r="BG348" s="564"/>
      <c r="BH348" s="564"/>
      <c r="BI348" s="564"/>
      <c r="BJ348" s="564"/>
      <c r="BK348" s="564"/>
      <c r="BL348" s="564"/>
      <c r="BM348" s="564"/>
      <c r="BN348" s="564"/>
      <c r="BO348" s="564"/>
      <c r="BP348" s="564"/>
      <c r="BQ348" s="564"/>
      <c r="BR348" s="564"/>
      <c r="BS348" s="564"/>
      <c r="BT348" s="564"/>
      <c r="BU348" s="564"/>
      <c r="BV348" s="564"/>
      <c r="BW348" s="564"/>
      <c r="BX348" s="564"/>
      <c r="BY348" s="564"/>
      <c r="BZ348" s="564"/>
      <c r="CA348" s="564"/>
      <c r="CB348" s="564"/>
      <c r="CC348" s="564"/>
      <c r="CD348" s="564"/>
      <c r="CE348" s="564"/>
      <c r="CF348" s="564"/>
      <c r="CG348" s="564"/>
      <c r="CH348" s="564"/>
      <c r="CI348" s="564"/>
      <c r="CJ348" s="564"/>
      <c r="CK348" s="564"/>
      <c r="CL348" s="564"/>
      <c r="CM348" s="564" t="s">
        <v>1204</v>
      </c>
      <c r="CN348" s="564"/>
      <c r="CO348" s="564"/>
      <c r="CP348" s="564"/>
      <c r="CQ348" s="564"/>
      <c r="CR348" s="564"/>
      <c r="CS348" s="564"/>
      <c r="CT348" s="564"/>
      <c r="CU348" s="564"/>
      <c r="CV348" s="564"/>
      <c r="CW348" s="564"/>
      <c r="CX348" s="564"/>
      <c r="CY348" s="564"/>
      <c r="CZ348" s="564"/>
      <c r="DA348" s="564"/>
      <c r="DB348" s="564"/>
      <c r="DC348" s="564"/>
      <c r="DD348" s="564"/>
      <c r="DE348" s="564"/>
      <c r="DF348" s="564"/>
      <c r="DG348" s="564"/>
      <c r="DH348" s="564"/>
      <c r="DI348" s="564"/>
      <c r="DJ348" s="564"/>
      <c r="DK348" s="564"/>
      <c r="DL348" s="564"/>
      <c r="DM348" s="564"/>
      <c r="DN348" s="564"/>
      <c r="DO348" s="564"/>
      <c r="DP348" s="564"/>
      <c r="DQ348" s="564"/>
      <c r="DR348" s="564"/>
      <c r="DS348" s="564"/>
      <c r="DT348" s="564"/>
      <c r="DU348" s="564"/>
      <c r="DV348" s="564"/>
      <c r="DW348" s="564"/>
      <c r="DX348" s="564"/>
      <c r="DY348" s="564"/>
      <c r="DZ348" s="564"/>
      <c r="EA348" s="564"/>
      <c r="EB348" s="564"/>
      <c r="EC348" s="564"/>
      <c r="ED348" s="564"/>
      <c r="EE348" s="564"/>
      <c r="EF348" s="564"/>
      <c r="EG348" s="564"/>
      <c r="EH348" s="564"/>
      <c r="EI348" s="564"/>
      <c r="EJ348" s="564"/>
      <c r="EK348" s="564"/>
      <c r="EL348" s="564"/>
      <c r="EM348" s="564"/>
      <c r="EN348" s="564"/>
      <c r="EO348" s="564"/>
      <c r="EP348" s="564"/>
      <c r="EQ348" s="564"/>
      <c r="ER348" s="564"/>
      <c r="ES348" s="564"/>
      <c r="ET348" s="564"/>
      <c r="EU348" s="564"/>
      <c r="EV348" s="564"/>
      <c r="EW348" s="564"/>
      <c r="EX348" s="564"/>
      <c r="EY348" s="564"/>
      <c r="EZ348" s="564"/>
      <c r="FA348" s="564"/>
      <c r="FB348" s="564"/>
      <c r="FC348" s="564"/>
      <c r="FD348" s="564"/>
      <c r="FE348" s="564"/>
      <c r="FF348" s="564"/>
      <c r="FG348" s="564"/>
      <c r="FH348" s="564"/>
      <c r="FI348" s="564"/>
      <c r="FJ348" s="564"/>
      <c r="FK348" s="564">
        <v>100</v>
      </c>
      <c r="FL348" s="564"/>
      <c r="FM348" s="564"/>
      <c r="FN348" s="564"/>
      <c r="FO348" s="564"/>
      <c r="FP348" s="564"/>
      <c r="FQ348" s="564"/>
      <c r="FR348" s="564"/>
      <c r="FS348" s="564"/>
      <c r="FT348" s="564"/>
      <c r="FU348" s="564"/>
      <c r="FV348" s="564"/>
      <c r="FW348" s="564"/>
      <c r="FX348" s="564"/>
      <c r="FY348" s="564"/>
      <c r="FZ348" s="564"/>
      <c r="GA348" s="564"/>
      <c r="GB348" s="564"/>
      <c r="GC348" s="564"/>
      <c r="GD348" s="564"/>
      <c r="GE348" s="564"/>
      <c r="GF348" s="564"/>
      <c r="GG348" s="564"/>
      <c r="GH348" s="564"/>
      <c r="GI348" s="564"/>
      <c r="GJ348" s="564"/>
      <c r="GK348" s="564"/>
      <c r="GL348" s="564"/>
      <c r="GM348" s="564"/>
      <c r="GN348" s="564"/>
      <c r="GO348" s="564"/>
      <c r="GP348" s="564"/>
      <c r="GQ348" s="564"/>
      <c r="GR348" s="564"/>
      <c r="GS348" s="564"/>
      <c r="GT348" s="564"/>
      <c r="GU348" s="564"/>
      <c r="GV348" s="564"/>
      <c r="GW348" s="564"/>
      <c r="GX348" s="564"/>
      <c r="GY348" s="564"/>
      <c r="GZ348" s="564"/>
      <c r="HA348" s="564"/>
      <c r="HB348" s="564"/>
      <c r="HC348" s="564"/>
      <c r="HD348" s="564"/>
      <c r="HE348" s="564"/>
      <c r="HF348" s="564"/>
      <c r="HG348" s="564"/>
      <c r="HH348" s="564"/>
      <c r="HI348" s="564"/>
      <c r="HJ348" s="564"/>
      <c r="HK348" s="564"/>
      <c r="HL348" s="564"/>
      <c r="HM348" s="564"/>
      <c r="HN348" s="564"/>
      <c r="HO348" s="564"/>
      <c r="HP348" s="564"/>
      <c r="HQ348" s="564"/>
      <c r="HR348" s="564"/>
      <c r="HS348" s="564"/>
      <c r="HT348" s="564"/>
      <c r="HU348" s="564"/>
      <c r="HV348" s="564"/>
      <c r="HW348" s="564"/>
      <c r="HX348" s="564"/>
      <c r="HY348" s="564"/>
      <c r="HZ348" s="564"/>
      <c r="IA348" s="564"/>
      <c r="IB348" s="564"/>
      <c r="IC348" s="564"/>
      <c r="ID348" s="564"/>
      <c r="IE348" s="564"/>
      <c r="IF348" s="564"/>
      <c r="IG348" s="564"/>
      <c r="IH348" s="564"/>
      <c r="II348" s="564"/>
      <c r="IJ348" s="564"/>
      <c r="IK348" s="564"/>
      <c r="IL348" s="564"/>
      <c r="IM348" s="564"/>
      <c r="IN348" s="564"/>
      <c r="IO348" s="564"/>
      <c r="IP348" s="564"/>
    </row>
    <row r="349" spans="1:250" ht="15.75" customHeight="1" x14ac:dyDescent="0.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t="s">
        <v>1209</v>
      </c>
      <c r="CN349" s="36"/>
      <c r="CO349" s="36"/>
      <c r="CP349" s="36"/>
      <c r="CQ349" s="36"/>
      <c r="CR349" s="36"/>
      <c r="CS349" s="36"/>
      <c r="CT349" s="36"/>
      <c r="CU349" s="36"/>
      <c r="CV349" s="36"/>
      <c r="CW349" s="36"/>
      <c r="CX349" s="36"/>
      <c r="CY349" s="36"/>
      <c r="CZ349" s="36"/>
      <c r="DA349" s="36"/>
      <c r="DB349" s="36"/>
      <c r="DC349" s="36"/>
      <c r="DD349" s="36"/>
      <c r="DE349" s="36"/>
      <c r="DF349" s="36"/>
      <c r="DG349" s="36"/>
      <c r="DH349" s="36"/>
      <c r="DI349" s="36"/>
      <c r="DJ349" s="36"/>
      <c r="DK349" s="36"/>
      <c r="DL349" s="36"/>
      <c r="DM349" s="36"/>
      <c r="DN349" s="36"/>
      <c r="DO349" s="36"/>
      <c r="DP349" s="36"/>
      <c r="DQ349" s="36"/>
      <c r="DR349" s="36"/>
      <c r="DS349" s="36"/>
      <c r="DT349" s="36"/>
      <c r="DU349" s="36"/>
      <c r="DV349" s="36"/>
      <c r="DW349" s="36"/>
      <c r="DX349" s="36"/>
      <c r="DY349" s="36"/>
      <c r="DZ349" s="36"/>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6"/>
      <c r="GC349" s="36"/>
      <c r="GD349" s="36"/>
      <c r="GE349" s="36"/>
      <c r="GF349" s="36"/>
      <c r="GG349" s="36"/>
      <c r="GH349" s="36"/>
      <c r="GI349" s="36"/>
      <c r="GJ349" s="36"/>
      <c r="GK349" s="36"/>
      <c r="GL349" s="36"/>
      <c r="GM349" s="36"/>
      <c r="GN349" s="36"/>
      <c r="GO349" s="36"/>
      <c r="GP349" s="36"/>
      <c r="GQ349" s="36"/>
      <c r="GR349" s="36"/>
      <c r="GS349" s="36"/>
      <c r="GT349" s="36"/>
      <c r="GU349" s="36"/>
      <c r="GV349" s="36"/>
      <c r="GW349" s="36"/>
      <c r="GX349" s="36"/>
      <c r="GY349" s="36"/>
      <c r="GZ349" s="36"/>
      <c r="HA349" s="36"/>
      <c r="HB349" s="36"/>
      <c r="HC349" s="36"/>
      <c r="HD349" s="36"/>
      <c r="HE349" s="36"/>
      <c r="HF349" s="36"/>
      <c r="HG349" s="36"/>
      <c r="HH349" s="36"/>
      <c r="HI349" s="36"/>
      <c r="HJ349" s="36"/>
      <c r="HK349" s="36"/>
      <c r="HL349" s="36"/>
      <c r="HM349" s="36"/>
      <c r="HN349" s="36"/>
      <c r="HO349" s="36"/>
      <c r="HP349" s="36"/>
      <c r="HQ349" s="36"/>
      <c r="HR349" s="36"/>
      <c r="HS349" s="36"/>
      <c r="HT349" s="36"/>
      <c r="HU349" s="36"/>
      <c r="HV349" s="36"/>
      <c r="HW349" s="36"/>
      <c r="HX349" s="36"/>
      <c r="HY349" s="36"/>
      <c r="HZ349" s="36"/>
      <c r="IA349" s="36"/>
      <c r="IB349" s="36"/>
      <c r="IC349" s="36"/>
      <c r="ID349" s="36"/>
      <c r="IE349" s="36"/>
      <c r="IF349" s="36"/>
      <c r="IG349" s="36"/>
      <c r="IH349" s="36"/>
      <c r="II349" s="36"/>
      <c r="IJ349" s="36"/>
      <c r="IK349" s="36"/>
      <c r="IL349" s="36"/>
      <c r="IM349" s="36"/>
      <c r="IN349" s="36"/>
      <c r="IO349" s="36"/>
      <c r="IP349" s="36"/>
    </row>
    <row r="350" spans="1:250" ht="15.75" customHeight="1" x14ac:dyDescent="0.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c r="DI350" s="36"/>
      <c r="DJ350" s="36"/>
      <c r="DK350" s="36"/>
      <c r="DL350" s="36"/>
      <c r="DM350" s="36"/>
      <c r="DN350" s="36"/>
      <c r="DO350" s="36"/>
      <c r="DP350" s="36"/>
      <c r="DQ350" s="36"/>
      <c r="DR350" s="36"/>
      <c r="DS350" s="36"/>
      <c r="DT350" s="36"/>
      <c r="DU350" s="36"/>
      <c r="DV350" s="36"/>
      <c r="DW350" s="36"/>
      <c r="DX350" s="36"/>
      <c r="DY350" s="36"/>
      <c r="DZ350" s="36"/>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6"/>
      <c r="GC350" s="36"/>
      <c r="GD350" s="36"/>
      <c r="GE350" s="36"/>
      <c r="GF350" s="36"/>
      <c r="GG350" s="36"/>
      <c r="GH350" s="36"/>
      <c r="GI350" s="36"/>
      <c r="GJ350" s="36"/>
      <c r="GK350" s="36"/>
      <c r="GL350" s="36"/>
      <c r="GM350" s="36"/>
      <c r="GN350" s="36"/>
      <c r="GO350" s="36"/>
      <c r="GP350" s="36"/>
      <c r="GQ350" s="36"/>
      <c r="GR350" s="36"/>
      <c r="GS350" s="36"/>
      <c r="GT350" s="36"/>
      <c r="GU350" s="36"/>
      <c r="GV350" s="36"/>
      <c r="GW350" s="36"/>
      <c r="GX350" s="36"/>
      <c r="GY350" s="36"/>
      <c r="GZ350" s="36"/>
      <c r="HA350" s="36"/>
      <c r="HB350" s="36"/>
      <c r="HC350" s="36"/>
      <c r="HD350" s="36"/>
      <c r="HE350" s="36"/>
      <c r="HF350" s="36"/>
      <c r="HG350" s="36"/>
      <c r="HH350" s="36"/>
      <c r="HI350" s="36"/>
      <c r="HJ350" s="36"/>
      <c r="HK350" s="36"/>
      <c r="HL350" s="36"/>
      <c r="HM350" s="36"/>
      <c r="HN350" s="36"/>
      <c r="HO350" s="36"/>
      <c r="HP350" s="36"/>
      <c r="HQ350" s="36"/>
      <c r="HR350" s="36"/>
      <c r="HS350" s="36"/>
      <c r="HT350" s="36"/>
      <c r="HU350" s="36"/>
      <c r="HV350" s="36"/>
      <c r="HW350" s="36"/>
      <c r="HX350" s="36"/>
      <c r="HY350" s="36"/>
      <c r="HZ350" s="36"/>
      <c r="IA350" s="36"/>
      <c r="IB350" s="36"/>
      <c r="IC350" s="36"/>
      <c r="ID350" s="36"/>
      <c r="IE350" s="36"/>
      <c r="IF350" s="36"/>
      <c r="IG350" s="36"/>
      <c r="IH350" s="36"/>
      <c r="II350" s="36"/>
      <c r="IJ350" s="36"/>
      <c r="IK350" s="36"/>
      <c r="IL350" s="36"/>
      <c r="IM350" s="36"/>
      <c r="IN350" s="36"/>
      <c r="IO350" s="36"/>
      <c r="IP350" s="36"/>
    </row>
    <row r="351" spans="1:250" ht="15.75" customHeight="1" x14ac:dyDescent="0.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c r="DI351" s="36"/>
      <c r="DJ351" s="36"/>
      <c r="DK351" s="36"/>
      <c r="DL351" s="36"/>
      <c r="DM351" s="36"/>
      <c r="DN351" s="36"/>
      <c r="DO351" s="36"/>
      <c r="DP351" s="36"/>
      <c r="DQ351" s="36"/>
      <c r="DR351" s="36"/>
      <c r="DS351" s="36"/>
      <c r="DT351" s="36"/>
      <c r="DU351" s="36"/>
      <c r="DV351" s="36"/>
      <c r="DW351" s="36"/>
      <c r="DX351" s="36"/>
      <c r="DY351" s="36"/>
      <c r="DZ351" s="36"/>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6"/>
      <c r="GC351" s="36"/>
      <c r="GD351" s="36"/>
      <c r="GE351" s="36"/>
      <c r="GF351" s="36"/>
      <c r="GG351" s="36"/>
      <c r="GH351" s="36"/>
      <c r="GI351" s="36"/>
      <c r="GJ351" s="36"/>
      <c r="GK351" s="36"/>
      <c r="GL351" s="36"/>
      <c r="GM351" s="36"/>
      <c r="GN351" s="36"/>
      <c r="GO351" s="36"/>
      <c r="GP351" s="36"/>
      <c r="GQ351" s="36"/>
      <c r="GR351" s="36"/>
      <c r="GS351" s="36"/>
      <c r="GT351" s="36"/>
      <c r="GU351" s="36"/>
      <c r="GV351" s="36"/>
      <c r="GW351" s="36"/>
      <c r="GX351" s="36"/>
      <c r="GY351" s="36"/>
      <c r="GZ351" s="36"/>
      <c r="HA351" s="36"/>
      <c r="HB351" s="36"/>
      <c r="HC351" s="36"/>
      <c r="HD351" s="36"/>
      <c r="HE351" s="36"/>
      <c r="HF351" s="36"/>
      <c r="HG351" s="36"/>
      <c r="HH351" s="36"/>
      <c r="HI351" s="36"/>
      <c r="HJ351" s="36"/>
      <c r="HK351" s="36"/>
      <c r="HL351" s="36"/>
      <c r="HM351" s="36"/>
      <c r="HN351" s="36"/>
      <c r="HO351" s="36"/>
      <c r="HP351" s="36"/>
      <c r="HQ351" s="36"/>
      <c r="HR351" s="36"/>
      <c r="HS351" s="36"/>
      <c r="HT351" s="36"/>
      <c r="HU351" s="36"/>
      <c r="HV351" s="36"/>
      <c r="HW351" s="36"/>
      <c r="HX351" s="36"/>
      <c r="HY351" s="36"/>
      <c r="HZ351" s="36"/>
      <c r="IA351" s="36"/>
      <c r="IB351" s="36"/>
      <c r="IC351" s="36"/>
      <c r="ID351" s="36"/>
      <c r="IE351" s="36"/>
      <c r="IF351" s="36"/>
      <c r="IG351" s="36"/>
      <c r="IH351" s="36"/>
      <c r="II351" s="36"/>
      <c r="IJ351" s="36"/>
      <c r="IK351" s="36"/>
      <c r="IL351" s="36"/>
      <c r="IM351" s="36"/>
      <c r="IN351" s="36"/>
      <c r="IO351" s="36"/>
      <c r="IP351" s="36"/>
    </row>
    <row r="352" spans="1:250" ht="15.75" customHeight="1" x14ac:dyDescent="0.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c r="DI352" s="36"/>
      <c r="DJ352" s="36"/>
      <c r="DK352" s="36"/>
      <c r="DL352" s="36"/>
      <c r="DM352" s="36"/>
      <c r="DN352" s="36"/>
      <c r="DO352" s="36"/>
      <c r="DP352" s="36"/>
      <c r="DQ352" s="36"/>
      <c r="DR352" s="36"/>
      <c r="DS352" s="36"/>
      <c r="DT352" s="36"/>
      <c r="DU352" s="36"/>
      <c r="DV352" s="36"/>
      <c r="DW352" s="36"/>
      <c r="DX352" s="36"/>
      <c r="DY352" s="36"/>
      <c r="DZ352" s="36"/>
      <c r="EA352" s="36"/>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c r="FI352" s="36"/>
      <c r="FJ352" s="36"/>
      <c r="FK352" s="36"/>
      <c r="FL352" s="36"/>
      <c r="FM352" s="36"/>
      <c r="FN352" s="36"/>
      <c r="FO352" s="36"/>
      <c r="FP352" s="36"/>
      <c r="FQ352" s="36"/>
      <c r="FR352" s="36"/>
      <c r="FS352" s="36"/>
      <c r="FT352" s="36"/>
      <c r="FU352" s="36"/>
      <c r="FV352" s="36"/>
      <c r="FW352" s="36"/>
      <c r="FX352" s="36"/>
      <c r="FY352" s="36"/>
      <c r="FZ352" s="36"/>
      <c r="GA352" s="36"/>
      <c r="GB352" s="36"/>
      <c r="GC352" s="36"/>
      <c r="GD352" s="36"/>
      <c r="GE352" s="36"/>
      <c r="GF352" s="36"/>
      <c r="GG352" s="36"/>
      <c r="GH352" s="36"/>
      <c r="GI352" s="36"/>
      <c r="GJ352" s="36"/>
      <c r="GK352" s="36"/>
      <c r="GL352" s="36"/>
      <c r="GM352" s="36"/>
      <c r="GN352" s="36"/>
      <c r="GO352" s="36"/>
      <c r="GP352" s="36"/>
      <c r="GQ352" s="36"/>
      <c r="GR352" s="36"/>
      <c r="GS352" s="36"/>
      <c r="GT352" s="36"/>
      <c r="GU352" s="36"/>
      <c r="GV352" s="36"/>
      <c r="GW352" s="36"/>
      <c r="GX352" s="36"/>
      <c r="GY352" s="36"/>
      <c r="GZ352" s="36"/>
      <c r="HA352" s="36"/>
      <c r="HB352" s="36"/>
      <c r="HC352" s="36"/>
      <c r="HD352" s="36"/>
      <c r="HE352" s="36"/>
      <c r="HF352" s="36"/>
      <c r="HG352" s="36"/>
      <c r="HH352" s="36"/>
      <c r="HI352" s="36"/>
      <c r="HJ352" s="36"/>
      <c r="HK352" s="36"/>
      <c r="HL352" s="36"/>
      <c r="HM352" s="36"/>
      <c r="HN352" s="36"/>
      <c r="HO352" s="36"/>
      <c r="HP352" s="36"/>
      <c r="HQ352" s="36"/>
      <c r="HR352" s="36"/>
      <c r="HS352" s="36"/>
      <c r="HT352" s="36"/>
      <c r="HU352" s="36"/>
      <c r="HV352" s="36"/>
      <c r="HW352" s="36"/>
      <c r="HX352" s="36"/>
      <c r="HY352" s="36"/>
      <c r="HZ352" s="36"/>
      <c r="IA352" s="36"/>
      <c r="IB352" s="36"/>
      <c r="IC352" s="36"/>
      <c r="ID352" s="36"/>
      <c r="IE352" s="36"/>
      <c r="IF352" s="36"/>
      <c r="IG352" s="36"/>
      <c r="IH352" s="36"/>
      <c r="II352" s="36"/>
      <c r="IJ352" s="36"/>
      <c r="IK352" s="36"/>
      <c r="IL352" s="36"/>
      <c r="IM352" s="36"/>
      <c r="IN352" s="36"/>
      <c r="IO352" s="36"/>
      <c r="IP352" s="36"/>
    </row>
    <row r="353" spans="1:250" ht="15.75" customHeight="1" x14ac:dyDescent="0.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c r="DI353" s="36"/>
      <c r="DJ353" s="36"/>
      <c r="DK353" s="36"/>
      <c r="DL353" s="36"/>
      <c r="DM353" s="36"/>
      <c r="DN353" s="36"/>
      <c r="DO353" s="36"/>
      <c r="DP353" s="36"/>
      <c r="DQ353" s="36"/>
      <c r="DR353" s="36"/>
      <c r="DS353" s="36"/>
      <c r="DT353" s="36"/>
      <c r="DU353" s="36"/>
      <c r="DV353" s="36"/>
      <c r="DW353" s="36"/>
      <c r="DX353" s="36"/>
      <c r="DY353" s="36"/>
      <c r="DZ353" s="36"/>
      <c r="EA353" s="36"/>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c r="FI353" s="36"/>
      <c r="FJ353" s="36"/>
      <c r="FK353" s="36"/>
      <c r="FL353" s="36"/>
      <c r="FM353" s="36"/>
      <c r="FN353" s="36"/>
      <c r="FO353" s="36"/>
      <c r="FP353" s="36"/>
      <c r="FQ353" s="36"/>
      <c r="FR353" s="36"/>
      <c r="FS353" s="36"/>
      <c r="FT353" s="36"/>
      <c r="FU353" s="36"/>
      <c r="FV353" s="36"/>
      <c r="FW353" s="36"/>
      <c r="FX353" s="36"/>
      <c r="FY353" s="36"/>
      <c r="FZ353" s="36"/>
      <c r="GA353" s="36"/>
      <c r="GB353" s="36"/>
      <c r="GC353" s="36"/>
      <c r="GD353" s="36"/>
      <c r="GE353" s="36"/>
      <c r="GF353" s="36"/>
      <c r="GG353" s="36"/>
      <c r="GH353" s="36"/>
      <c r="GI353" s="36"/>
      <c r="GJ353" s="36"/>
      <c r="GK353" s="36"/>
      <c r="GL353" s="36"/>
      <c r="GM353" s="36"/>
      <c r="GN353" s="36"/>
      <c r="GO353" s="36"/>
      <c r="GP353" s="36"/>
      <c r="GQ353" s="36"/>
      <c r="GR353" s="36"/>
      <c r="GS353" s="36"/>
      <c r="GT353" s="36"/>
      <c r="GU353" s="36"/>
      <c r="GV353" s="36"/>
      <c r="GW353" s="36"/>
      <c r="GX353" s="36"/>
      <c r="GY353" s="36"/>
      <c r="GZ353" s="36"/>
      <c r="HA353" s="36"/>
      <c r="HB353" s="36"/>
      <c r="HC353" s="36"/>
      <c r="HD353" s="36"/>
      <c r="HE353" s="36"/>
      <c r="HF353" s="36"/>
      <c r="HG353" s="36"/>
      <c r="HH353" s="36"/>
      <c r="HI353" s="36"/>
      <c r="HJ353" s="36"/>
      <c r="HK353" s="36"/>
      <c r="HL353" s="36"/>
      <c r="HM353" s="36"/>
      <c r="HN353" s="36"/>
      <c r="HO353" s="36"/>
      <c r="HP353" s="36"/>
      <c r="HQ353" s="36"/>
      <c r="HR353" s="36"/>
      <c r="HS353" s="36"/>
      <c r="HT353" s="36"/>
      <c r="HU353" s="36"/>
      <c r="HV353" s="36"/>
      <c r="HW353" s="36"/>
      <c r="HX353" s="36"/>
      <c r="HY353" s="36"/>
      <c r="HZ353" s="36"/>
      <c r="IA353" s="36"/>
      <c r="IB353" s="36"/>
      <c r="IC353" s="36"/>
      <c r="ID353" s="36"/>
      <c r="IE353" s="36"/>
      <c r="IF353" s="36"/>
      <c r="IG353" s="36"/>
      <c r="IH353" s="36"/>
      <c r="II353" s="36"/>
      <c r="IJ353" s="36"/>
      <c r="IK353" s="36"/>
      <c r="IL353" s="36"/>
      <c r="IM353" s="36"/>
      <c r="IN353" s="36"/>
      <c r="IO353" s="36"/>
      <c r="IP353" s="36"/>
    </row>
    <row r="354" spans="1:250" ht="15.75" customHeight="1" x14ac:dyDescent="0.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6"/>
      <c r="GC354" s="36"/>
      <c r="GD354" s="36"/>
      <c r="GE354" s="36"/>
      <c r="GF354" s="36"/>
      <c r="GG354" s="36"/>
      <c r="GH354" s="36"/>
      <c r="GI354" s="36"/>
      <c r="GJ354" s="36"/>
      <c r="GK354" s="36"/>
      <c r="GL354" s="36"/>
      <c r="GM354" s="36"/>
      <c r="GN354" s="36"/>
      <c r="GO354" s="36"/>
      <c r="GP354" s="36"/>
      <c r="GQ354" s="36"/>
      <c r="GR354" s="36"/>
      <c r="GS354" s="36"/>
      <c r="GT354" s="36"/>
      <c r="GU354" s="36"/>
      <c r="GV354" s="36"/>
      <c r="GW354" s="36"/>
      <c r="GX354" s="36"/>
      <c r="GY354" s="36"/>
      <c r="GZ354" s="36"/>
      <c r="HA354" s="36"/>
      <c r="HB354" s="36"/>
      <c r="HC354" s="36"/>
      <c r="HD354" s="36"/>
      <c r="HE354" s="36"/>
      <c r="HF354" s="36"/>
      <c r="HG354" s="36"/>
      <c r="HH354" s="36"/>
      <c r="HI354" s="36"/>
      <c r="HJ354" s="36"/>
      <c r="HK354" s="36"/>
      <c r="HL354" s="36"/>
      <c r="HM354" s="36"/>
      <c r="HN354" s="36"/>
      <c r="HO354" s="36"/>
      <c r="HP354" s="36"/>
      <c r="HQ354" s="36"/>
      <c r="HR354" s="36"/>
      <c r="HS354" s="36"/>
      <c r="HT354" s="36"/>
      <c r="HU354" s="36"/>
      <c r="HV354" s="36"/>
      <c r="HW354" s="36"/>
      <c r="HX354" s="36"/>
      <c r="HY354" s="36"/>
      <c r="HZ354" s="36"/>
      <c r="IA354" s="36"/>
      <c r="IB354" s="36"/>
      <c r="IC354" s="36"/>
      <c r="ID354" s="36"/>
      <c r="IE354" s="36"/>
      <c r="IF354" s="36"/>
      <c r="IG354" s="36"/>
      <c r="IH354" s="36"/>
      <c r="II354" s="36"/>
      <c r="IJ354" s="36"/>
      <c r="IK354" s="36"/>
      <c r="IL354" s="36"/>
      <c r="IM354" s="36"/>
      <c r="IN354" s="36"/>
      <c r="IO354" s="36"/>
      <c r="IP354" s="36"/>
    </row>
    <row r="355" spans="1:250" ht="15.75" customHeight="1" x14ac:dyDescent="0.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6"/>
      <c r="GC355" s="36"/>
      <c r="GD355" s="36"/>
      <c r="GE355" s="36"/>
      <c r="GF355" s="36"/>
      <c r="GG355" s="36"/>
      <c r="GH355" s="36"/>
      <c r="GI355" s="36"/>
      <c r="GJ355" s="36"/>
      <c r="GK355" s="36"/>
      <c r="GL355" s="36"/>
      <c r="GM355" s="36"/>
      <c r="GN355" s="36"/>
      <c r="GO355" s="36"/>
      <c r="GP355" s="36"/>
      <c r="GQ355" s="36"/>
      <c r="GR355" s="36"/>
      <c r="GS355" s="36"/>
      <c r="GT355" s="36"/>
      <c r="GU355" s="36"/>
      <c r="GV355" s="36"/>
      <c r="GW355" s="36"/>
      <c r="GX355" s="36"/>
      <c r="GY355" s="36"/>
      <c r="GZ355" s="36"/>
      <c r="HA355" s="36"/>
      <c r="HB355" s="36"/>
      <c r="HC355" s="36"/>
      <c r="HD355" s="36"/>
      <c r="HE355" s="36"/>
      <c r="HF355" s="36"/>
      <c r="HG355" s="36"/>
      <c r="HH355" s="36"/>
      <c r="HI355" s="36"/>
      <c r="HJ355" s="36"/>
      <c r="HK355" s="36"/>
      <c r="HL355" s="36"/>
      <c r="HM355" s="36"/>
      <c r="HN355" s="36"/>
      <c r="HO355" s="36"/>
      <c r="HP355" s="36"/>
      <c r="HQ355" s="36"/>
      <c r="HR355" s="36"/>
      <c r="HS355" s="36"/>
      <c r="HT355" s="36"/>
      <c r="HU355" s="36"/>
      <c r="HV355" s="36"/>
      <c r="HW355" s="36"/>
      <c r="HX355" s="36"/>
      <c r="HY355" s="36"/>
      <c r="HZ355" s="36"/>
      <c r="IA355" s="36"/>
      <c r="IB355" s="36"/>
      <c r="IC355" s="36"/>
      <c r="ID355" s="36"/>
      <c r="IE355" s="36"/>
      <c r="IF355" s="36"/>
      <c r="IG355" s="36"/>
      <c r="IH355" s="36"/>
      <c r="II355" s="36"/>
      <c r="IJ355" s="36"/>
      <c r="IK355" s="36"/>
      <c r="IL355" s="36"/>
      <c r="IM355" s="36"/>
      <c r="IN355" s="36"/>
      <c r="IO355" s="36"/>
      <c r="IP355" s="36"/>
    </row>
    <row r="356" spans="1:250" ht="15.75" customHeight="1" x14ac:dyDescent="0.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6"/>
      <c r="GC356" s="36"/>
      <c r="GD356" s="36"/>
      <c r="GE356" s="36"/>
      <c r="GF356" s="36"/>
      <c r="GG356" s="36"/>
      <c r="GH356" s="36"/>
      <c r="GI356" s="36"/>
      <c r="GJ356" s="36"/>
      <c r="GK356" s="36"/>
      <c r="GL356" s="36"/>
      <c r="GM356" s="36"/>
      <c r="GN356" s="36"/>
      <c r="GO356" s="36"/>
      <c r="GP356" s="36"/>
      <c r="GQ356" s="36"/>
      <c r="GR356" s="36"/>
      <c r="GS356" s="36"/>
      <c r="GT356" s="36"/>
      <c r="GU356" s="36"/>
      <c r="GV356" s="36"/>
      <c r="GW356" s="36"/>
      <c r="GX356" s="36"/>
      <c r="GY356" s="36"/>
      <c r="GZ356" s="36"/>
      <c r="HA356" s="36"/>
      <c r="HB356" s="36"/>
      <c r="HC356" s="36"/>
      <c r="HD356" s="36"/>
      <c r="HE356" s="36"/>
      <c r="HF356" s="36"/>
      <c r="HG356" s="36"/>
      <c r="HH356" s="36"/>
      <c r="HI356" s="36"/>
      <c r="HJ356" s="36"/>
      <c r="HK356" s="36"/>
      <c r="HL356" s="36"/>
      <c r="HM356" s="36"/>
      <c r="HN356" s="36"/>
      <c r="HO356" s="36"/>
      <c r="HP356" s="36"/>
      <c r="HQ356" s="36"/>
      <c r="HR356" s="36"/>
      <c r="HS356" s="36"/>
      <c r="HT356" s="36"/>
      <c r="HU356" s="36"/>
      <c r="HV356" s="36"/>
      <c r="HW356" s="36"/>
      <c r="HX356" s="36"/>
      <c r="HY356" s="36"/>
      <c r="HZ356" s="36"/>
      <c r="IA356" s="36"/>
      <c r="IB356" s="36"/>
      <c r="IC356" s="36"/>
      <c r="ID356" s="36"/>
      <c r="IE356" s="36"/>
      <c r="IF356" s="36"/>
      <c r="IG356" s="36"/>
      <c r="IH356" s="36"/>
      <c r="II356" s="36"/>
      <c r="IJ356" s="36"/>
      <c r="IK356" s="36"/>
      <c r="IL356" s="36"/>
      <c r="IM356" s="36"/>
      <c r="IN356" s="36"/>
      <c r="IO356" s="36"/>
      <c r="IP356" s="36"/>
    </row>
    <row r="357" spans="1:250" ht="15.75" customHeight="1" x14ac:dyDescent="0.25">
      <c r="A357" s="570" t="s">
        <v>1219</v>
      </c>
      <c r="B357" s="570"/>
      <c r="C357" s="570"/>
      <c r="D357" s="570"/>
      <c r="E357" s="570"/>
      <c r="F357" s="570">
        <v>200</v>
      </c>
      <c r="G357" s="570"/>
      <c r="H357" s="570">
        <v>50</v>
      </c>
      <c r="I357" s="570"/>
      <c r="J357" s="570">
        <v>50</v>
      </c>
      <c r="K357" s="570"/>
      <c r="L357" s="570"/>
      <c r="M357" s="570"/>
      <c r="N357" s="570"/>
      <c r="O357" s="570"/>
      <c r="P357" s="570">
        <v>200</v>
      </c>
      <c r="Q357" s="570">
        <v>25</v>
      </c>
      <c r="R357" s="570"/>
      <c r="S357" s="570"/>
      <c r="T357" s="570">
        <v>100</v>
      </c>
      <c r="U357" s="570">
        <v>50</v>
      </c>
      <c r="V357" s="570"/>
      <c r="W357" s="570"/>
      <c r="X357" s="570">
        <v>100</v>
      </c>
      <c r="Y357" s="570">
        <v>200</v>
      </c>
      <c r="Z357" s="570">
        <v>50</v>
      </c>
      <c r="AA357" s="570">
        <v>50</v>
      </c>
      <c r="AB357" s="570">
        <v>50</v>
      </c>
      <c r="AC357" s="570">
        <v>25</v>
      </c>
      <c r="AD357" s="570"/>
      <c r="AE357" s="570">
        <v>50</v>
      </c>
      <c r="AF357" s="570"/>
      <c r="AG357" s="570"/>
      <c r="AH357" s="570"/>
      <c r="AI357" s="570"/>
      <c r="AJ357" s="570">
        <v>325</v>
      </c>
      <c r="AK357" s="570">
        <v>300</v>
      </c>
      <c r="AL357" s="570"/>
      <c r="AM357" s="570"/>
      <c r="AN357" s="570"/>
      <c r="AO357" s="570"/>
      <c r="AP357" s="570">
        <v>25</v>
      </c>
      <c r="AQ357" s="570"/>
      <c r="AR357" s="570"/>
      <c r="AS357" s="570"/>
      <c r="AT357" s="570"/>
      <c r="AU357" s="570"/>
      <c r="AV357" s="570"/>
      <c r="AW357" s="570"/>
      <c r="AX357" s="570"/>
      <c r="AY357" s="570"/>
      <c r="AZ357" s="570"/>
      <c r="BA357" s="570"/>
      <c r="BB357" s="570"/>
      <c r="BC357" s="570"/>
      <c r="BD357" s="570"/>
      <c r="BE357" s="570"/>
      <c r="BF357" s="570"/>
      <c r="BG357" s="570"/>
      <c r="BH357" s="570"/>
      <c r="BI357" s="570"/>
      <c r="BJ357" s="570"/>
      <c r="BK357" s="570"/>
      <c r="BL357" s="570"/>
      <c r="BM357" s="570"/>
      <c r="BN357" s="570"/>
      <c r="BO357" s="570">
        <v>192</v>
      </c>
      <c r="BP357" s="570">
        <v>50</v>
      </c>
      <c r="BQ357" s="570"/>
      <c r="BR357" s="570"/>
      <c r="BS357" s="570"/>
      <c r="BT357" s="570"/>
      <c r="BU357" s="570"/>
      <c r="BV357" s="570"/>
      <c r="BW357" s="570"/>
      <c r="BX357" s="570">
        <v>100</v>
      </c>
      <c r="BY357" s="570"/>
      <c r="BZ357" s="570">
        <v>50</v>
      </c>
      <c r="CA357" s="570"/>
      <c r="CB357" s="570"/>
      <c r="CC357" s="570">
        <v>50</v>
      </c>
      <c r="CD357" s="570">
        <v>300</v>
      </c>
      <c r="CE357" s="570"/>
      <c r="CF357" s="570"/>
      <c r="CG357" s="570"/>
      <c r="CH357" s="570"/>
      <c r="CI357" s="570"/>
      <c r="CJ357" s="570">
        <v>50</v>
      </c>
      <c r="CK357" s="570"/>
      <c r="CL357" s="570">
        <v>100</v>
      </c>
      <c r="CM357" s="570"/>
      <c r="CN357" s="570"/>
      <c r="CO357" s="570"/>
      <c r="CP357" s="570"/>
      <c r="CQ357" s="570"/>
      <c r="CR357" s="570"/>
      <c r="CS357" s="570"/>
      <c r="CT357" s="570"/>
      <c r="CU357" s="570"/>
      <c r="CV357" s="570"/>
      <c r="CW357" s="570"/>
      <c r="CX357" s="570"/>
      <c r="CY357" s="570"/>
      <c r="CZ357" s="570"/>
      <c r="DA357" s="570"/>
      <c r="DB357" s="570"/>
      <c r="DC357" s="570"/>
      <c r="DD357" s="570"/>
      <c r="DE357" s="570"/>
      <c r="DF357" s="570"/>
      <c r="DG357" s="570"/>
      <c r="DH357" s="570"/>
      <c r="DI357" s="570"/>
      <c r="DJ357" s="570"/>
      <c r="DK357" s="570"/>
      <c r="DL357" s="570"/>
      <c r="DM357" s="570"/>
      <c r="DN357" s="570"/>
      <c r="DO357" s="570"/>
      <c r="DP357" s="570"/>
      <c r="DQ357" s="570"/>
      <c r="DR357" s="570"/>
      <c r="DS357" s="570"/>
      <c r="DT357" s="570"/>
      <c r="DU357" s="570"/>
      <c r="DV357" s="570"/>
      <c r="DW357" s="570"/>
      <c r="DX357" s="570"/>
      <c r="DY357" s="570"/>
      <c r="DZ357" s="570"/>
      <c r="EA357" s="570"/>
      <c r="EB357" s="570"/>
      <c r="EC357" s="570"/>
      <c r="ED357" s="570"/>
      <c r="EE357" s="570"/>
      <c r="EF357" s="570"/>
      <c r="EG357" s="570"/>
      <c r="EH357" s="570"/>
      <c r="EI357" s="570"/>
      <c r="EJ357" s="570"/>
      <c r="EK357" s="570"/>
      <c r="EL357" s="570"/>
      <c r="EM357" s="570"/>
      <c r="EN357" s="570"/>
      <c r="EO357" s="570"/>
      <c r="EP357" s="570"/>
      <c r="EQ357" s="570"/>
      <c r="ER357" s="570"/>
      <c r="ES357" s="570"/>
      <c r="ET357" s="570"/>
      <c r="EU357" s="570"/>
      <c r="EV357" s="570"/>
      <c r="EW357" s="570"/>
      <c r="EX357" s="570"/>
      <c r="EY357" s="570"/>
      <c r="EZ357" s="570"/>
      <c r="FA357" s="570"/>
      <c r="FB357" s="570"/>
      <c r="FC357" s="570"/>
      <c r="FD357" s="570"/>
      <c r="FE357" s="570"/>
      <c r="FF357" s="570"/>
      <c r="FG357" s="570"/>
      <c r="FH357" s="570"/>
      <c r="FI357" s="570"/>
      <c r="FJ357" s="570"/>
      <c r="FK357" s="570"/>
      <c r="FL357" s="570"/>
      <c r="FM357" s="570"/>
      <c r="FN357" s="570"/>
      <c r="FO357" s="570"/>
      <c r="FP357" s="570"/>
      <c r="FQ357" s="570"/>
      <c r="FR357" s="570"/>
      <c r="FS357" s="570"/>
      <c r="FT357" s="570"/>
      <c r="FU357" s="570"/>
      <c r="FV357" s="570"/>
      <c r="FW357" s="570"/>
      <c r="FX357" s="570"/>
      <c r="FY357" s="570"/>
      <c r="FZ357" s="570"/>
      <c r="GA357" s="570"/>
      <c r="GB357" s="570"/>
      <c r="GC357" s="570"/>
      <c r="GD357" s="570"/>
      <c r="GE357" s="570"/>
      <c r="GF357" s="570"/>
      <c r="GG357" s="570"/>
      <c r="GH357" s="570"/>
      <c r="GI357" s="570"/>
      <c r="GJ357" s="570"/>
      <c r="GK357" s="570"/>
      <c r="GL357" s="570"/>
      <c r="GM357" s="570"/>
      <c r="GN357" s="570"/>
      <c r="GO357" s="570"/>
      <c r="GP357" s="570"/>
      <c r="GQ357" s="570"/>
      <c r="GR357" s="570"/>
      <c r="GS357" s="570"/>
      <c r="GT357" s="570"/>
      <c r="GU357" s="570"/>
      <c r="GV357" s="570"/>
      <c r="GW357" s="570"/>
      <c r="GX357" s="570"/>
      <c r="GY357" s="570"/>
      <c r="GZ357" s="570"/>
      <c r="HA357" s="570"/>
      <c r="HB357" s="570"/>
      <c r="HC357" s="570"/>
      <c r="HD357" s="570"/>
      <c r="HE357" s="570"/>
      <c r="HF357" s="570"/>
      <c r="HG357" s="570"/>
      <c r="HH357" s="570"/>
      <c r="HI357" s="570"/>
      <c r="HJ357" s="570"/>
      <c r="HK357" s="570"/>
      <c r="HL357" s="570"/>
      <c r="HM357" s="570"/>
      <c r="HN357" s="570"/>
      <c r="HO357" s="570"/>
      <c r="HP357" s="570"/>
      <c r="HQ357" s="570"/>
      <c r="HR357" s="570"/>
      <c r="HS357" s="570"/>
      <c r="HT357" s="570"/>
      <c r="HU357" s="570"/>
      <c r="HV357" s="570"/>
      <c r="HW357" s="570"/>
      <c r="HX357" s="570"/>
      <c r="HY357" s="570"/>
      <c r="HZ357" s="570"/>
      <c r="IA357" s="570"/>
      <c r="IB357" s="570"/>
      <c r="IC357" s="570"/>
      <c r="ID357" s="570"/>
      <c r="IE357" s="570"/>
      <c r="IF357" s="570"/>
      <c r="IG357" s="570"/>
      <c r="IH357" s="570"/>
      <c r="II357" s="570"/>
      <c r="IJ357" s="570"/>
      <c r="IK357" s="570"/>
      <c r="IL357" s="570"/>
      <c r="IM357" s="570"/>
      <c r="IN357" s="570"/>
      <c r="IO357" s="570"/>
      <c r="IP357" s="570"/>
    </row>
    <row r="358" spans="1:250" ht="15.75" customHeight="1" x14ac:dyDescent="0.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c r="BD358" s="36"/>
      <c r="BE358" s="36"/>
      <c r="BF358" s="36"/>
      <c r="BG358" s="36"/>
      <c r="BH358" s="36"/>
      <c r="BI358" s="36"/>
      <c r="BJ358" s="36"/>
      <c r="BK358" s="36"/>
      <c r="BL358" s="36"/>
      <c r="BM358" s="36"/>
      <c r="BN358" s="36"/>
      <c r="BO358" s="36"/>
      <c r="BP358" s="36"/>
      <c r="BQ358" s="36"/>
      <c r="BR358" s="36"/>
      <c r="BS358" s="36"/>
      <c r="BT358" s="36"/>
      <c r="BU358" s="36"/>
      <c r="BV358" s="36"/>
      <c r="BW358" s="36"/>
      <c r="BX358" s="36"/>
      <c r="BY358" s="36"/>
      <c r="BZ358" s="36"/>
      <c r="CA358" s="36"/>
      <c r="CB358" s="36"/>
      <c r="CC358" s="36"/>
      <c r="CD358" s="36"/>
      <c r="CE358" s="36"/>
      <c r="CF358" s="36"/>
      <c r="CG358" s="36"/>
      <c r="CH358" s="36"/>
      <c r="CI358" s="36"/>
      <c r="CJ358" s="36"/>
      <c r="CK358" s="36"/>
      <c r="CL358" s="36"/>
      <c r="CM358" s="36"/>
      <c r="CN358" s="36"/>
      <c r="CO358" s="36"/>
      <c r="CP358" s="36"/>
      <c r="CQ358" s="36"/>
      <c r="CR358" s="36"/>
      <c r="CS358" s="36"/>
      <c r="CT358" s="36"/>
      <c r="CU358" s="36"/>
      <c r="CV358" s="36"/>
      <c r="CW358" s="36"/>
      <c r="CX358" s="36"/>
      <c r="CY358" s="36"/>
      <c r="CZ358" s="36"/>
      <c r="DA358" s="36"/>
      <c r="DB358" s="36"/>
      <c r="DC358" s="36"/>
      <c r="DD358" s="36"/>
      <c r="DE358" s="36"/>
      <c r="DF358" s="36"/>
      <c r="DG358" s="36"/>
      <c r="DH358" s="36"/>
      <c r="DI358" s="36"/>
      <c r="DJ358" s="36"/>
      <c r="DK358" s="36"/>
      <c r="DL358" s="36"/>
      <c r="DM358" s="36"/>
      <c r="DN358" s="36"/>
      <c r="DO358" s="36"/>
      <c r="DP358" s="36"/>
      <c r="DQ358" s="36"/>
      <c r="DR358" s="36"/>
      <c r="DS358" s="36"/>
      <c r="DT358" s="36"/>
      <c r="DU358" s="36"/>
      <c r="DV358" s="36"/>
      <c r="DW358" s="36"/>
      <c r="DX358" s="36"/>
      <c r="DY358" s="36"/>
      <c r="DZ358" s="36"/>
      <c r="EA358" s="36"/>
      <c r="EB358" s="36"/>
      <c r="EC358" s="36"/>
      <c r="ED358" s="36"/>
      <c r="EE358" s="36"/>
      <c r="EF358" s="36"/>
      <c r="EG358" s="36"/>
      <c r="EH358" s="36"/>
      <c r="EI358" s="36"/>
      <c r="EJ358" s="36"/>
      <c r="EK358" s="36"/>
      <c r="EL358" s="36"/>
      <c r="EM358" s="36"/>
      <c r="EN358" s="36"/>
      <c r="EO358" s="36"/>
      <c r="EP358" s="36"/>
      <c r="EQ358" s="36"/>
      <c r="ER358" s="36"/>
      <c r="ES358" s="36"/>
      <c r="ET358" s="36"/>
      <c r="EU358" s="36"/>
      <c r="EV358" s="36"/>
      <c r="EW358" s="36"/>
      <c r="EX358" s="36"/>
      <c r="EY358" s="36"/>
      <c r="EZ358" s="36"/>
      <c r="FA358" s="36"/>
      <c r="FB358" s="36"/>
      <c r="FC358" s="36"/>
      <c r="FD358" s="36"/>
      <c r="FE358" s="36"/>
      <c r="FF358" s="36"/>
      <c r="FG358" s="36"/>
      <c r="FH358" s="36"/>
      <c r="FI358" s="36"/>
      <c r="FJ358" s="36"/>
      <c r="FK358" s="36"/>
      <c r="FL358" s="36"/>
      <c r="FM358" s="36"/>
      <c r="FN358" s="36"/>
      <c r="FO358" s="36"/>
      <c r="FP358" s="36"/>
      <c r="FQ358" s="36"/>
      <c r="FR358" s="36"/>
      <c r="FS358" s="36"/>
      <c r="FT358" s="36"/>
      <c r="FU358" s="36"/>
      <c r="FV358" s="36"/>
      <c r="FW358" s="36"/>
      <c r="FX358" s="36"/>
      <c r="FY358" s="36"/>
      <c r="FZ358" s="36"/>
      <c r="GA358" s="36"/>
      <c r="GB358" s="36"/>
      <c r="GC358" s="36"/>
      <c r="GD358" s="36"/>
      <c r="GE358" s="36"/>
      <c r="GF358" s="36"/>
      <c r="GG358" s="36"/>
      <c r="GH358" s="36"/>
      <c r="GI358" s="36"/>
      <c r="GJ358" s="36"/>
      <c r="GK358" s="36"/>
      <c r="GL358" s="36"/>
      <c r="GM358" s="36"/>
      <c r="GN358" s="36"/>
      <c r="GO358" s="36"/>
      <c r="GP358" s="36"/>
      <c r="GQ358" s="36"/>
      <c r="GR358" s="36"/>
      <c r="GS358" s="36"/>
      <c r="GT358" s="36"/>
      <c r="GU358" s="36"/>
      <c r="GV358" s="36"/>
      <c r="GW358" s="36"/>
      <c r="GX358" s="36"/>
      <c r="GY358" s="36"/>
      <c r="GZ358" s="36"/>
      <c r="HA358" s="36"/>
      <c r="HB358" s="36"/>
      <c r="HC358" s="36"/>
      <c r="HD358" s="36"/>
      <c r="HE358" s="36"/>
      <c r="HF358" s="36"/>
      <c r="HG358" s="36"/>
      <c r="HH358" s="36"/>
      <c r="HI358" s="36"/>
      <c r="HJ358" s="36"/>
      <c r="HK358" s="36"/>
      <c r="HL358" s="36"/>
      <c r="HM358" s="36"/>
      <c r="HN358" s="36"/>
      <c r="HO358" s="36"/>
      <c r="HP358" s="36"/>
      <c r="HQ358" s="36"/>
      <c r="HR358" s="36"/>
      <c r="HS358" s="36"/>
      <c r="HT358" s="36"/>
      <c r="HU358" s="36"/>
      <c r="HV358" s="36"/>
      <c r="HW358" s="36"/>
      <c r="HX358" s="36"/>
      <c r="HY358" s="36"/>
      <c r="HZ358" s="36"/>
      <c r="IA358" s="36"/>
      <c r="IB358" s="36"/>
      <c r="IC358" s="36"/>
      <c r="ID358" s="36"/>
      <c r="IE358" s="36"/>
      <c r="IF358" s="36"/>
      <c r="IG358" s="36"/>
      <c r="IH358" s="36"/>
      <c r="II358" s="36"/>
      <c r="IJ358" s="36"/>
      <c r="IK358" s="36"/>
      <c r="IL358" s="36"/>
      <c r="IM358" s="36"/>
      <c r="IN358" s="36"/>
      <c r="IO358" s="36"/>
      <c r="IP358" s="36"/>
    </row>
    <row r="359" spans="1:250" ht="15.75" customHeight="1" x14ac:dyDescent="0.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c r="BD359" s="36"/>
      <c r="BE359" s="36"/>
      <c r="BF359" s="36"/>
      <c r="BG359" s="36"/>
      <c r="BH359" s="36"/>
      <c r="BI359" s="36"/>
      <c r="BJ359" s="36"/>
      <c r="BK359" s="36"/>
      <c r="BL359" s="36"/>
      <c r="BM359" s="36"/>
      <c r="BN359" s="36"/>
      <c r="BO359" s="36"/>
      <c r="BP359" s="36"/>
      <c r="BQ359" s="36"/>
      <c r="BR359" s="36"/>
      <c r="BS359" s="36"/>
      <c r="BT359" s="36"/>
      <c r="BU359" s="36"/>
      <c r="BV359" s="36"/>
      <c r="BW359" s="36"/>
      <c r="BX359" s="36"/>
      <c r="BY359" s="36"/>
      <c r="BZ359" s="36"/>
      <c r="CA359" s="36"/>
      <c r="CB359" s="36"/>
      <c r="CC359" s="36"/>
      <c r="CD359" s="36"/>
      <c r="CE359" s="36"/>
      <c r="CF359" s="36"/>
      <c r="CG359" s="36"/>
      <c r="CH359" s="36"/>
      <c r="CI359" s="36"/>
      <c r="CJ359" s="36"/>
      <c r="CK359" s="36"/>
      <c r="CL359" s="36"/>
      <c r="CM359" s="36"/>
      <c r="CN359" s="36"/>
      <c r="CO359" s="36"/>
      <c r="CP359" s="36"/>
      <c r="CQ359" s="36"/>
      <c r="CR359" s="36"/>
      <c r="CS359" s="36"/>
      <c r="CT359" s="36"/>
      <c r="CU359" s="36"/>
      <c r="CV359" s="36"/>
      <c r="CW359" s="36"/>
      <c r="CX359" s="36"/>
      <c r="CY359" s="36"/>
      <c r="CZ359" s="36"/>
      <c r="DA359" s="36"/>
      <c r="DB359" s="36"/>
      <c r="DC359" s="36"/>
      <c r="DD359" s="36"/>
      <c r="DE359" s="36"/>
      <c r="DF359" s="36"/>
      <c r="DG359" s="36"/>
      <c r="DH359" s="36"/>
      <c r="DI359" s="36"/>
      <c r="DJ359" s="36"/>
      <c r="DK359" s="36"/>
      <c r="DL359" s="36"/>
      <c r="DM359" s="36"/>
      <c r="DN359" s="36"/>
      <c r="DO359" s="36"/>
      <c r="DP359" s="36"/>
      <c r="DQ359" s="36"/>
      <c r="DR359" s="36"/>
      <c r="DS359" s="36"/>
      <c r="DT359" s="36"/>
      <c r="DU359" s="36"/>
      <c r="DV359" s="36"/>
      <c r="DW359" s="36"/>
      <c r="DX359" s="36"/>
      <c r="DY359" s="36"/>
      <c r="DZ359" s="36"/>
      <c r="EA359" s="36"/>
      <c r="EB359" s="36"/>
      <c r="EC359" s="36"/>
      <c r="ED359" s="36"/>
      <c r="EE359" s="36"/>
      <c r="EF359" s="36"/>
      <c r="EG359" s="36"/>
      <c r="EH359" s="36"/>
      <c r="EI359" s="36"/>
      <c r="EJ359" s="36"/>
      <c r="EK359" s="36"/>
      <c r="EL359" s="36"/>
      <c r="EM359" s="36"/>
      <c r="EN359" s="36"/>
      <c r="EO359" s="36"/>
      <c r="EP359" s="36"/>
      <c r="EQ359" s="36"/>
      <c r="ER359" s="36"/>
      <c r="ES359" s="36"/>
      <c r="ET359" s="36"/>
      <c r="EU359" s="36"/>
      <c r="EV359" s="36"/>
      <c r="EW359" s="36"/>
      <c r="EX359" s="36"/>
      <c r="EY359" s="36"/>
      <c r="EZ359" s="36"/>
      <c r="FA359" s="36"/>
      <c r="FB359" s="36"/>
      <c r="FC359" s="36"/>
      <c r="FD359" s="36"/>
      <c r="FE359" s="36"/>
      <c r="FF359" s="36"/>
      <c r="FG359" s="36"/>
      <c r="FH359" s="36"/>
      <c r="FI359" s="36"/>
      <c r="FJ359" s="36"/>
      <c r="FK359" s="36"/>
      <c r="FL359" s="36"/>
      <c r="FM359" s="36"/>
      <c r="FN359" s="36"/>
      <c r="FO359" s="36"/>
      <c r="FP359" s="36"/>
      <c r="FQ359" s="36"/>
      <c r="FR359" s="36"/>
      <c r="FS359" s="36"/>
      <c r="FT359" s="36"/>
      <c r="FU359" s="36"/>
      <c r="FV359" s="36"/>
      <c r="FW359" s="36"/>
      <c r="FX359" s="36"/>
      <c r="FY359" s="36"/>
      <c r="FZ359" s="36"/>
      <c r="GA359" s="36"/>
      <c r="GB359" s="36"/>
      <c r="GC359" s="36"/>
      <c r="GD359" s="36"/>
      <c r="GE359" s="36"/>
      <c r="GF359" s="36"/>
      <c r="GG359" s="36"/>
      <c r="GH359" s="36"/>
      <c r="GI359" s="36"/>
      <c r="GJ359" s="36"/>
      <c r="GK359" s="36"/>
      <c r="GL359" s="36"/>
      <c r="GM359" s="36"/>
      <c r="GN359" s="36"/>
      <c r="GO359" s="36"/>
      <c r="GP359" s="36"/>
      <c r="GQ359" s="36"/>
      <c r="GR359" s="36"/>
      <c r="GS359" s="36"/>
      <c r="GT359" s="36"/>
      <c r="GU359" s="36"/>
      <c r="GV359" s="36"/>
      <c r="GW359" s="36"/>
      <c r="GX359" s="36"/>
      <c r="GY359" s="36"/>
      <c r="GZ359" s="36"/>
      <c r="HA359" s="36"/>
      <c r="HB359" s="36"/>
      <c r="HC359" s="36"/>
      <c r="HD359" s="36"/>
      <c r="HE359" s="36"/>
      <c r="HF359" s="36"/>
      <c r="HG359" s="36"/>
      <c r="HH359" s="36"/>
      <c r="HI359" s="36"/>
      <c r="HJ359" s="36"/>
      <c r="HK359" s="36"/>
      <c r="HL359" s="36"/>
      <c r="HM359" s="36"/>
      <c r="HN359" s="36"/>
      <c r="HO359" s="36"/>
      <c r="HP359" s="36"/>
      <c r="HQ359" s="36"/>
      <c r="HR359" s="36"/>
      <c r="HS359" s="36"/>
      <c r="HT359" s="36"/>
      <c r="HU359" s="36"/>
      <c r="HV359" s="36"/>
      <c r="HW359" s="36"/>
      <c r="HX359" s="36"/>
      <c r="HY359" s="36"/>
      <c r="HZ359" s="36"/>
      <c r="IA359" s="36"/>
      <c r="IB359" s="36"/>
      <c r="IC359" s="36"/>
      <c r="ID359" s="36"/>
      <c r="IE359" s="36"/>
      <c r="IF359" s="36"/>
      <c r="IG359" s="36"/>
      <c r="IH359" s="36"/>
      <c r="II359" s="36"/>
      <c r="IJ359" s="36"/>
      <c r="IK359" s="36"/>
      <c r="IL359" s="36"/>
      <c r="IM359" s="36"/>
      <c r="IN359" s="36"/>
      <c r="IO359" s="36"/>
      <c r="IP359" s="36"/>
    </row>
    <row r="360" spans="1:250" ht="15.75" customHeight="1" x14ac:dyDescent="0.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c r="DI360" s="36"/>
      <c r="DJ360" s="36"/>
      <c r="DK360" s="36"/>
      <c r="DL360" s="36"/>
      <c r="DM360" s="36"/>
      <c r="DN360" s="36"/>
      <c r="DO360" s="36"/>
      <c r="DP360" s="36"/>
      <c r="DQ360" s="36"/>
      <c r="DR360" s="36"/>
      <c r="DS360" s="36"/>
      <c r="DT360" s="36"/>
      <c r="DU360" s="36"/>
      <c r="DV360" s="36"/>
      <c r="DW360" s="36"/>
      <c r="DX360" s="36"/>
      <c r="DY360" s="36"/>
      <c r="DZ360" s="36"/>
      <c r="EA360" s="36"/>
      <c r="EB360" s="36"/>
      <c r="EC360" s="36"/>
      <c r="ED360" s="36"/>
      <c r="EE360" s="36"/>
      <c r="EF360" s="36"/>
      <c r="EG360" s="36"/>
      <c r="EH360" s="36"/>
      <c r="EI360" s="36"/>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6"/>
      <c r="GC360" s="36"/>
      <c r="GD360" s="36"/>
      <c r="GE360" s="36"/>
      <c r="GF360" s="36"/>
      <c r="GG360" s="36"/>
      <c r="GH360" s="36"/>
      <c r="GI360" s="36"/>
      <c r="GJ360" s="36"/>
      <c r="GK360" s="36"/>
      <c r="GL360" s="36"/>
      <c r="GM360" s="36"/>
      <c r="GN360" s="36"/>
      <c r="GO360" s="36"/>
      <c r="GP360" s="36"/>
      <c r="GQ360" s="36"/>
      <c r="GR360" s="36"/>
      <c r="GS360" s="36"/>
      <c r="GT360" s="36"/>
      <c r="GU360" s="36"/>
      <c r="GV360" s="36"/>
      <c r="GW360" s="36"/>
      <c r="GX360" s="36"/>
      <c r="GY360" s="36"/>
      <c r="GZ360" s="36"/>
      <c r="HA360" s="36"/>
      <c r="HB360" s="36"/>
      <c r="HC360" s="36"/>
      <c r="HD360" s="36"/>
      <c r="HE360" s="36"/>
      <c r="HF360" s="36"/>
      <c r="HG360" s="36"/>
      <c r="HH360" s="36"/>
      <c r="HI360" s="36"/>
      <c r="HJ360" s="36"/>
      <c r="HK360" s="36"/>
      <c r="HL360" s="36"/>
      <c r="HM360" s="36"/>
      <c r="HN360" s="36"/>
      <c r="HO360" s="36"/>
      <c r="HP360" s="36"/>
      <c r="HQ360" s="36"/>
      <c r="HR360" s="36"/>
      <c r="HS360" s="36"/>
      <c r="HT360" s="36"/>
      <c r="HU360" s="36"/>
      <c r="HV360" s="36"/>
      <c r="HW360" s="36"/>
      <c r="HX360" s="36"/>
      <c r="HY360" s="36"/>
      <c r="HZ360" s="36"/>
      <c r="IA360" s="36"/>
      <c r="IB360" s="36"/>
      <c r="IC360" s="36"/>
      <c r="ID360" s="36"/>
      <c r="IE360" s="36"/>
      <c r="IF360" s="36"/>
      <c r="IG360" s="36"/>
      <c r="IH360" s="36"/>
      <c r="II360" s="36"/>
      <c r="IJ360" s="36"/>
      <c r="IK360" s="36"/>
      <c r="IL360" s="36"/>
      <c r="IM360" s="36"/>
      <c r="IN360" s="36"/>
      <c r="IO360" s="36"/>
      <c r="IP360" s="36"/>
    </row>
    <row r="361" spans="1:250" ht="15.75" customHeight="1" x14ac:dyDescent="0.25">
      <c r="A361" s="351" t="s">
        <v>520</v>
      </c>
      <c r="B361" s="351" t="s">
        <v>1224</v>
      </c>
      <c r="C361" s="351"/>
      <c r="D361" s="351"/>
      <c r="E361" s="351"/>
      <c r="F361" s="351"/>
      <c r="G361" s="575">
        <v>5</v>
      </c>
      <c r="H361" s="351"/>
      <c r="I361" s="351"/>
      <c r="J361" s="351"/>
      <c r="K361" s="351">
        <v>10</v>
      </c>
      <c r="L361" s="351"/>
      <c r="M361" s="351"/>
      <c r="N361" s="351"/>
      <c r="O361" s="351"/>
      <c r="P361" s="351"/>
      <c r="Q361" s="351"/>
      <c r="R361" s="351">
        <v>10</v>
      </c>
      <c r="S361" s="351">
        <v>10</v>
      </c>
      <c r="T361" s="351">
        <v>75</v>
      </c>
      <c r="U361" s="351"/>
      <c r="V361" s="351">
        <v>10</v>
      </c>
      <c r="W361" s="351"/>
      <c r="X361" s="351"/>
      <c r="Y361" s="351">
        <v>25</v>
      </c>
      <c r="Z361" s="351">
        <v>10</v>
      </c>
      <c r="AA361" s="351">
        <v>10</v>
      </c>
      <c r="AB361" s="80">
        <v>10</v>
      </c>
      <c r="AC361" s="351"/>
      <c r="AD361" s="575"/>
      <c r="AE361" s="351"/>
      <c r="AF361" s="351">
        <v>10</v>
      </c>
      <c r="AG361" s="351">
        <v>10</v>
      </c>
      <c r="AH361" s="351"/>
      <c r="AI361" s="351"/>
      <c r="AJ361" s="351"/>
      <c r="AK361" s="351"/>
      <c r="AL361" s="351">
        <v>10</v>
      </c>
      <c r="AM361" s="351"/>
      <c r="AN361" s="351">
        <v>10</v>
      </c>
      <c r="AO361" s="351"/>
      <c r="AP361" s="351">
        <v>10</v>
      </c>
      <c r="AQ361" s="351"/>
      <c r="AR361" s="351">
        <v>10</v>
      </c>
      <c r="AS361" s="351"/>
      <c r="AT361" s="351"/>
      <c r="AU361" s="351"/>
      <c r="AV361" s="351">
        <v>10</v>
      </c>
      <c r="AW361" s="351">
        <v>10</v>
      </c>
      <c r="AX361" s="351"/>
      <c r="AY361" s="351"/>
      <c r="AZ361" s="351"/>
      <c r="BA361" s="351"/>
      <c r="BB361" s="351"/>
      <c r="BC361" s="351"/>
      <c r="BD361" s="351"/>
      <c r="BE361" s="351"/>
      <c r="BF361" s="351"/>
      <c r="BG361" s="351"/>
      <c r="BH361" s="351"/>
      <c r="BI361" s="351"/>
      <c r="BJ361" s="351"/>
      <c r="BK361" s="351"/>
      <c r="BL361" s="351"/>
      <c r="BM361" s="351"/>
      <c r="BN361" s="351"/>
      <c r="BO361" s="351"/>
      <c r="BP361" s="351"/>
      <c r="BQ361" s="351"/>
      <c r="BR361" s="351"/>
      <c r="BS361" s="351"/>
      <c r="BT361" s="351"/>
      <c r="BU361" s="351"/>
      <c r="BV361" s="351"/>
      <c r="BW361" s="351"/>
      <c r="BX361" s="351"/>
      <c r="BY361" s="351"/>
      <c r="BZ361" s="351"/>
      <c r="CA361" s="351"/>
      <c r="CB361" s="351"/>
      <c r="CC361" s="351"/>
      <c r="CD361" s="351"/>
      <c r="CE361" s="351">
        <v>180</v>
      </c>
      <c r="CF361" s="351"/>
      <c r="CG361" s="351">
        <v>120</v>
      </c>
      <c r="CH361" s="351"/>
      <c r="CI361" s="351"/>
      <c r="CJ361" s="351"/>
      <c r="CK361" s="351"/>
      <c r="CL361" s="351"/>
      <c r="CM361" s="351"/>
      <c r="CN361" s="351">
        <v>216</v>
      </c>
      <c r="CO361" s="351"/>
      <c r="CP361" s="351"/>
      <c r="CQ361" s="351"/>
      <c r="CR361" s="351"/>
      <c r="CS361" s="351"/>
      <c r="CT361" s="351"/>
      <c r="CU361" s="351"/>
      <c r="CV361" s="351"/>
      <c r="CW361" s="351"/>
      <c r="CX361" s="351"/>
      <c r="CY361" s="351">
        <v>48</v>
      </c>
      <c r="CZ361" s="351">
        <v>12</v>
      </c>
      <c r="DA361" s="351"/>
      <c r="DB361" s="351"/>
      <c r="DC361" s="351"/>
      <c r="DD361" s="351"/>
      <c r="DE361" s="351"/>
      <c r="DF361" s="351"/>
      <c r="DG361" s="351">
        <v>15</v>
      </c>
      <c r="DH361" s="351"/>
      <c r="DI361" s="351"/>
      <c r="DJ361" s="351"/>
      <c r="DK361" s="351">
        <v>12</v>
      </c>
      <c r="DL361" s="351"/>
      <c r="DM361" s="351"/>
      <c r="DN361" s="351"/>
      <c r="DO361" s="351"/>
      <c r="DP361" s="351"/>
      <c r="DQ361" s="351"/>
      <c r="DR361" s="351"/>
      <c r="DS361" s="351">
        <v>24</v>
      </c>
      <c r="DT361" s="351"/>
      <c r="DU361" s="351"/>
      <c r="DV361" s="351"/>
      <c r="DW361" s="351"/>
      <c r="DX361" s="351">
        <v>6</v>
      </c>
      <c r="DY361" s="351"/>
      <c r="DZ361" s="351"/>
      <c r="EA361" s="351"/>
      <c r="EB361" s="351"/>
      <c r="EC361" s="351"/>
      <c r="ED361" s="351">
        <v>12</v>
      </c>
      <c r="EE361" s="351">
        <v>12</v>
      </c>
      <c r="EF361" s="351"/>
      <c r="EG361" s="351"/>
      <c r="EH361" s="351">
        <v>24</v>
      </c>
      <c r="EI361" s="351"/>
      <c r="EJ361" s="351"/>
      <c r="EK361" s="351"/>
      <c r="EL361" s="351"/>
      <c r="EM361" s="351"/>
      <c r="EN361" s="351"/>
      <c r="EO361" s="351"/>
      <c r="EP361" s="351"/>
      <c r="EQ361" s="351"/>
      <c r="ER361" s="351"/>
      <c r="ES361" s="351"/>
      <c r="ET361" s="351">
        <v>105</v>
      </c>
      <c r="EU361" s="351">
        <v>25</v>
      </c>
      <c r="EV361" s="351">
        <v>15</v>
      </c>
      <c r="EW361" s="351"/>
      <c r="EX361" s="351"/>
      <c r="EY361" s="351">
        <v>200</v>
      </c>
      <c r="EZ361" s="351"/>
      <c r="FA361" s="351"/>
      <c r="FB361" s="351"/>
      <c r="FC361" s="351"/>
      <c r="FD361" s="351"/>
      <c r="FE361" s="351"/>
      <c r="FF361" s="351"/>
      <c r="FG361" s="351"/>
      <c r="FH361" s="351"/>
      <c r="FI361" s="351"/>
      <c r="FJ361" s="351"/>
      <c r="FK361" s="351"/>
      <c r="FL361" s="351"/>
      <c r="FM361" s="351"/>
      <c r="FN361" s="351"/>
      <c r="FO361" s="351">
        <v>200</v>
      </c>
      <c r="FP361" s="351"/>
      <c r="FQ361" s="351"/>
      <c r="FR361" s="351"/>
      <c r="FS361" s="351"/>
      <c r="FT361" s="351"/>
      <c r="FU361" s="351"/>
      <c r="FV361" s="351"/>
      <c r="FW361" s="351">
        <v>25</v>
      </c>
      <c r="FX361" s="351"/>
      <c r="FY361" s="351"/>
      <c r="FZ361" s="351"/>
      <c r="GA361" s="351">
        <v>200</v>
      </c>
      <c r="GB361" s="351">
        <v>200</v>
      </c>
      <c r="GC361" s="351">
        <v>300</v>
      </c>
      <c r="GD361" s="351">
        <v>100</v>
      </c>
      <c r="GE361" s="351">
        <v>50</v>
      </c>
      <c r="GF361" s="351"/>
      <c r="GG361" s="351"/>
      <c r="GH361" s="351"/>
      <c r="GI361" s="351"/>
      <c r="GJ361" s="351">
        <v>25</v>
      </c>
      <c r="GK361" s="351"/>
      <c r="GL361" s="351"/>
      <c r="GM361" s="351"/>
      <c r="GN361" s="351">
        <v>250</v>
      </c>
      <c r="GO361" s="351"/>
      <c r="GP361" s="351"/>
      <c r="GQ361" s="351"/>
      <c r="GR361" s="351"/>
      <c r="GS361" s="351"/>
      <c r="GT361" s="351"/>
      <c r="GU361" s="351"/>
      <c r="GV361" s="351"/>
      <c r="GW361" s="351">
        <v>115</v>
      </c>
      <c r="GX361" s="351">
        <v>500</v>
      </c>
      <c r="GY361" s="351">
        <v>50</v>
      </c>
      <c r="GZ361" s="351">
        <v>20</v>
      </c>
      <c r="HA361" s="351">
        <v>30</v>
      </c>
      <c r="HB361" s="351"/>
      <c r="HC361" s="351">
        <v>500</v>
      </c>
      <c r="HD361" s="351"/>
      <c r="HE361" s="351"/>
      <c r="HF361" s="351">
        <v>300</v>
      </c>
      <c r="HG361" s="351">
        <v>200</v>
      </c>
      <c r="HH361" s="351"/>
      <c r="HI361" s="351"/>
      <c r="HJ361" s="351"/>
      <c r="HK361" s="351"/>
      <c r="HL361" s="351"/>
      <c r="HM361" s="351"/>
      <c r="HN361" s="351">
        <v>100</v>
      </c>
      <c r="HO361" s="351"/>
      <c r="HP361" s="351"/>
      <c r="HQ361" s="351"/>
      <c r="HR361" s="351"/>
      <c r="HS361" s="351"/>
      <c r="HT361" s="351"/>
      <c r="HU361" s="351"/>
      <c r="HV361" s="351"/>
      <c r="HW361" s="351"/>
      <c r="HX361" s="351">
        <f>25*24</f>
        <v>600</v>
      </c>
      <c r="HY361" s="351">
        <f>24*24</f>
        <v>576</v>
      </c>
      <c r="HZ361" s="351">
        <v>24</v>
      </c>
      <c r="IA361" s="351"/>
      <c r="IB361" s="351"/>
      <c r="IC361" s="351"/>
      <c r="ID361" s="351"/>
      <c r="IE361" s="351">
        <v>50</v>
      </c>
      <c r="IF361" s="351">
        <v>25</v>
      </c>
      <c r="IG361" s="351"/>
      <c r="IH361" s="351"/>
      <c r="II361" s="351"/>
      <c r="IJ361" s="351"/>
      <c r="IK361" s="351"/>
      <c r="IL361" s="351"/>
      <c r="IM361" s="351"/>
      <c r="IN361" s="351"/>
      <c r="IO361" s="351"/>
      <c r="IP361" s="351">
        <v>110</v>
      </c>
    </row>
    <row r="362" spans="1:250" ht="15.75" customHeight="1" x14ac:dyDescent="0.25">
      <c r="A362" s="351" t="s">
        <v>520</v>
      </c>
      <c r="B362" s="351" t="s">
        <v>1225</v>
      </c>
      <c r="C362" s="351"/>
      <c r="D362" s="351"/>
      <c r="E362" s="351"/>
      <c r="F362" s="351"/>
      <c r="G362" s="351"/>
      <c r="H362" s="351"/>
      <c r="I362" s="351"/>
      <c r="J362" s="351"/>
      <c r="K362" s="351"/>
      <c r="L362" s="351"/>
      <c r="M362" s="351"/>
      <c r="N362" s="351"/>
      <c r="O362" s="351"/>
      <c r="P362" s="351"/>
      <c r="Q362" s="351"/>
      <c r="R362" s="351"/>
      <c r="S362" s="351"/>
      <c r="T362" s="351"/>
      <c r="U362" s="351"/>
      <c r="V362" s="351"/>
      <c r="W362" s="351"/>
      <c r="X362" s="351"/>
      <c r="Y362" s="351"/>
      <c r="Z362" s="351"/>
      <c r="AA362" s="351"/>
      <c r="AB362" s="351"/>
      <c r="AC362" s="351"/>
      <c r="AD362" s="351"/>
      <c r="AE362" s="351"/>
      <c r="AF362" s="351"/>
      <c r="AG362" s="351"/>
      <c r="AH362" s="351"/>
      <c r="AI362" s="351"/>
      <c r="AJ362" s="351"/>
      <c r="AK362" s="351"/>
      <c r="AL362" s="351"/>
      <c r="AM362" s="351"/>
      <c r="AN362" s="351"/>
      <c r="AO362" s="351"/>
      <c r="AP362" s="351"/>
      <c r="AQ362" s="351"/>
      <c r="AR362" s="351"/>
      <c r="AS362" s="351"/>
      <c r="AT362" s="351"/>
      <c r="AU362" s="351"/>
      <c r="AV362" s="351"/>
      <c r="AW362" s="351"/>
      <c r="AX362" s="351"/>
      <c r="AY362" s="351"/>
      <c r="AZ362" s="351"/>
      <c r="BA362" s="351"/>
      <c r="BB362" s="351"/>
      <c r="BC362" s="351"/>
      <c r="BD362" s="351"/>
      <c r="BE362" s="351"/>
      <c r="BF362" s="351"/>
      <c r="BG362" s="351"/>
      <c r="BH362" s="351"/>
      <c r="BI362" s="351"/>
      <c r="BJ362" s="351"/>
      <c r="BK362" s="351"/>
      <c r="BL362" s="351"/>
      <c r="BM362" s="351"/>
      <c r="BN362" s="351"/>
      <c r="BO362" s="351"/>
      <c r="BP362" s="351"/>
      <c r="BQ362" s="351"/>
      <c r="BR362" s="351"/>
      <c r="BS362" s="351"/>
      <c r="BT362" s="351"/>
      <c r="BU362" s="351"/>
      <c r="BV362" s="351"/>
      <c r="BW362" s="351"/>
      <c r="BX362" s="351"/>
      <c r="BY362" s="351"/>
      <c r="BZ362" s="351"/>
      <c r="CA362" s="351"/>
      <c r="CB362" s="351"/>
      <c r="CC362" s="351"/>
      <c r="CD362" s="351"/>
      <c r="CE362" s="351"/>
      <c r="CF362" s="351"/>
      <c r="CG362" s="351"/>
      <c r="CH362" s="351"/>
      <c r="CI362" s="351"/>
      <c r="CJ362" s="351"/>
      <c r="CK362" s="351"/>
      <c r="CL362" s="351"/>
      <c r="CM362" s="351"/>
      <c r="CN362" s="351">
        <v>48</v>
      </c>
      <c r="CO362" s="351"/>
      <c r="CP362" s="351"/>
      <c r="CQ362" s="351"/>
      <c r="CR362" s="351"/>
      <c r="CS362" s="351"/>
      <c r="CT362" s="351"/>
      <c r="CU362" s="351"/>
      <c r="CV362" s="351"/>
      <c r="CW362" s="351"/>
      <c r="CX362" s="351"/>
      <c r="CY362" s="351"/>
      <c r="CZ362" s="351"/>
      <c r="DA362" s="351"/>
      <c r="DB362" s="351"/>
      <c r="DC362" s="351"/>
      <c r="DD362" s="351"/>
      <c r="DE362" s="351"/>
      <c r="DF362" s="351"/>
      <c r="DG362" s="351"/>
      <c r="DH362" s="351"/>
      <c r="DI362" s="351"/>
      <c r="DJ362" s="351"/>
      <c r="DK362" s="351"/>
      <c r="DL362" s="351"/>
      <c r="DM362" s="351"/>
      <c r="DN362" s="351"/>
      <c r="DO362" s="351"/>
      <c r="DP362" s="351"/>
      <c r="DQ362" s="351"/>
      <c r="DR362" s="351"/>
      <c r="DS362" s="351"/>
      <c r="DT362" s="351"/>
      <c r="DU362" s="351"/>
      <c r="DV362" s="351"/>
      <c r="DW362" s="351"/>
      <c r="DX362" s="351"/>
      <c r="DY362" s="351"/>
      <c r="DZ362" s="351"/>
      <c r="EA362" s="351"/>
      <c r="EB362" s="351"/>
      <c r="EC362" s="351"/>
      <c r="ED362" s="351"/>
      <c r="EE362" s="351"/>
      <c r="EF362" s="351"/>
      <c r="EG362" s="351"/>
      <c r="EH362" s="351"/>
      <c r="EI362" s="351"/>
      <c r="EJ362" s="351"/>
      <c r="EK362" s="351"/>
      <c r="EL362" s="351"/>
      <c r="EM362" s="351"/>
      <c r="EN362" s="351">
        <v>98</v>
      </c>
      <c r="EO362" s="351"/>
      <c r="EP362" s="351"/>
      <c r="EQ362" s="351"/>
      <c r="ER362" s="351"/>
      <c r="ES362" s="351"/>
      <c r="ET362" s="351"/>
      <c r="EU362" s="351"/>
      <c r="EV362" s="351"/>
      <c r="EW362" s="351"/>
      <c r="EX362" s="351"/>
      <c r="EY362" s="351"/>
      <c r="EZ362" s="351"/>
      <c r="FA362" s="351"/>
      <c r="FB362" s="351"/>
      <c r="FC362" s="351"/>
      <c r="FD362" s="351"/>
      <c r="FE362" s="351"/>
      <c r="FF362" s="351"/>
      <c r="FG362" s="351"/>
      <c r="FH362" s="351"/>
      <c r="FI362" s="351"/>
      <c r="FJ362" s="351"/>
      <c r="FK362" s="351"/>
      <c r="FL362" s="351"/>
      <c r="FM362" s="351"/>
      <c r="FN362" s="351"/>
      <c r="FO362" s="351"/>
      <c r="FP362" s="351"/>
      <c r="FQ362" s="351"/>
      <c r="FR362" s="351"/>
      <c r="FS362" s="351"/>
      <c r="FT362" s="351"/>
      <c r="FU362" s="351"/>
      <c r="FV362" s="351"/>
      <c r="FW362" s="351"/>
      <c r="FX362" s="351"/>
      <c r="FY362" s="351"/>
      <c r="FZ362" s="351"/>
      <c r="GA362" s="351"/>
      <c r="GB362" s="351"/>
      <c r="GC362" s="351"/>
      <c r="GD362" s="351"/>
      <c r="GE362" s="351"/>
      <c r="GF362" s="351"/>
      <c r="GG362" s="351"/>
      <c r="GH362" s="351"/>
      <c r="GI362" s="351"/>
      <c r="GJ362" s="351"/>
      <c r="GK362" s="351"/>
      <c r="GL362" s="351"/>
      <c r="GM362" s="351"/>
      <c r="GN362" s="351"/>
      <c r="GO362" s="351"/>
      <c r="GP362" s="351"/>
      <c r="GQ362" s="351"/>
      <c r="GR362" s="351"/>
      <c r="GS362" s="351"/>
      <c r="GT362" s="351"/>
      <c r="GU362" s="351"/>
      <c r="GV362" s="351"/>
      <c r="GW362" s="351"/>
      <c r="GX362" s="351"/>
      <c r="GY362" s="351"/>
      <c r="GZ362" s="351"/>
      <c r="HA362" s="351"/>
      <c r="HB362" s="351"/>
      <c r="HC362" s="351"/>
      <c r="HD362" s="351"/>
      <c r="HE362" s="351"/>
      <c r="HF362" s="351"/>
      <c r="HG362" s="351"/>
      <c r="HH362" s="351"/>
      <c r="HI362" s="351"/>
      <c r="HJ362" s="351"/>
      <c r="HK362" s="351"/>
      <c r="HL362" s="351"/>
      <c r="HM362" s="351"/>
      <c r="HN362" s="351"/>
      <c r="HO362" s="351"/>
      <c r="HP362" s="351"/>
      <c r="HQ362" s="351"/>
      <c r="HR362" s="351"/>
      <c r="HS362" s="351"/>
      <c r="HT362" s="351"/>
      <c r="HU362" s="351"/>
      <c r="HV362" s="351"/>
      <c r="HW362" s="351"/>
      <c r="HX362" s="351"/>
      <c r="HY362" s="351"/>
      <c r="HZ362" s="351"/>
      <c r="IA362" s="351"/>
      <c r="IB362" s="351"/>
      <c r="IC362" s="351"/>
      <c r="ID362" s="351"/>
      <c r="IE362" s="351"/>
      <c r="IF362" s="351"/>
      <c r="IG362" s="351"/>
      <c r="IH362" s="351"/>
      <c r="II362" s="351"/>
      <c r="IJ362" s="351"/>
      <c r="IK362" s="351"/>
      <c r="IL362" s="351"/>
      <c r="IM362" s="351"/>
      <c r="IN362" s="351"/>
      <c r="IO362" s="351"/>
      <c r="IP362" s="351"/>
    </row>
    <row r="363" spans="1:250" ht="15.75" customHeight="1" x14ac:dyDescent="0.25">
      <c r="A363" s="351" t="s">
        <v>1160</v>
      </c>
      <c r="B363" s="351" t="s">
        <v>1227</v>
      </c>
      <c r="C363" s="351"/>
      <c r="D363" s="351"/>
      <c r="E363" s="351"/>
      <c r="F363" s="351"/>
      <c r="G363" s="351"/>
      <c r="H363" s="351"/>
      <c r="I363" s="351"/>
      <c r="J363" s="351"/>
      <c r="K363" s="351"/>
      <c r="L363" s="351"/>
      <c r="M363" s="351"/>
      <c r="N363" s="351"/>
      <c r="O363" s="351"/>
      <c r="P363" s="351"/>
      <c r="Q363" s="351"/>
      <c r="R363" s="351"/>
      <c r="S363" s="351"/>
      <c r="T363" s="351"/>
      <c r="U363" s="351"/>
      <c r="V363" s="351"/>
      <c r="W363" s="351">
        <v>5</v>
      </c>
      <c r="X363" s="351"/>
      <c r="Y363" s="351">
        <v>20</v>
      </c>
      <c r="Z363" s="351"/>
      <c r="AA363" s="351"/>
      <c r="AB363" s="351"/>
      <c r="AC363" s="351"/>
      <c r="AD363" s="351"/>
      <c r="AE363" s="351"/>
      <c r="AF363" s="351"/>
      <c r="AG363" s="351"/>
      <c r="AH363" s="351"/>
      <c r="AI363" s="351"/>
      <c r="AJ363" s="351"/>
      <c r="AK363" s="351"/>
      <c r="AL363" s="351"/>
      <c r="AM363" s="351"/>
      <c r="AN363" s="351"/>
      <c r="AO363" s="351"/>
      <c r="AP363" s="351"/>
      <c r="AQ363" s="351"/>
      <c r="AR363" s="351"/>
      <c r="AS363" s="351"/>
      <c r="AT363" s="351"/>
      <c r="AU363" s="351"/>
      <c r="AV363" s="351"/>
      <c r="AW363" s="351"/>
      <c r="AX363" s="351"/>
      <c r="AY363" s="351"/>
      <c r="AZ363" s="351"/>
      <c r="BA363" s="351"/>
      <c r="BB363" s="351"/>
      <c r="BC363" s="351"/>
      <c r="BD363" s="351"/>
      <c r="BE363" s="351"/>
      <c r="BF363" s="351"/>
      <c r="BG363" s="351"/>
      <c r="BH363" s="351"/>
      <c r="BI363" s="351"/>
      <c r="BJ363" s="351"/>
      <c r="BK363" s="351"/>
      <c r="BL363" s="351"/>
      <c r="BM363" s="351"/>
      <c r="BN363" s="351"/>
      <c r="BO363" s="351"/>
      <c r="BP363" s="351"/>
      <c r="BQ363" s="351"/>
      <c r="BR363" s="351"/>
      <c r="BS363" s="351"/>
      <c r="BT363" s="351"/>
      <c r="BU363" s="351"/>
      <c r="BV363" s="351"/>
      <c r="BW363" s="351"/>
      <c r="BX363" s="351"/>
      <c r="BY363" s="351"/>
      <c r="BZ363" s="351"/>
      <c r="CA363" s="351"/>
      <c r="CB363" s="351"/>
      <c r="CC363" s="351"/>
      <c r="CD363" s="351"/>
      <c r="CE363" s="351"/>
      <c r="CF363" s="351"/>
      <c r="CG363" s="351"/>
      <c r="CH363" s="351"/>
      <c r="CI363" s="351"/>
      <c r="CJ363" s="351"/>
      <c r="CK363" s="351"/>
      <c r="CL363" s="351"/>
      <c r="CM363" s="351"/>
      <c r="CN363" s="351"/>
      <c r="CO363" s="351"/>
      <c r="CP363" s="351"/>
      <c r="CQ363" s="351"/>
      <c r="CR363" s="351"/>
      <c r="CS363" s="351"/>
      <c r="CT363" s="351"/>
      <c r="CU363" s="351"/>
      <c r="CV363" s="351"/>
      <c r="CW363" s="351"/>
      <c r="CX363" s="351"/>
      <c r="CY363" s="351">
        <v>18</v>
      </c>
      <c r="CZ363" s="351">
        <v>12</v>
      </c>
      <c r="DA363" s="351"/>
      <c r="DB363" s="351">
        <v>30</v>
      </c>
      <c r="DC363" s="351"/>
      <c r="DD363" s="351"/>
      <c r="DE363" s="351"/>
      <c r="DF363" s="351"/>
      <c r="DG363" s="351">
        <v>45</v>
      </c>
      <c r="DH363" s="351"/>
      <c r="DI363" s="351"/>
      <c r="DJ363" s="351"/>
      <c r="DK363" s="351"/>
      <c r="DL363" s="351"/>
      <c r="DM363" s="351"/>
      <c r="DN363" s="351">
        <v>6</v>
      </c>
      <c r="DO363" s="351"/>
      <c r="DP363" s="351"/>
      <c r="DQ363" s="351"/>
      <c r="DR363" s="351"/>
      <c r="DS363" s="351">
        <v>48</v>
      </c>
      <c r="DT363" s="351"/>
      <c r="DU363" s="351"/>
      <c r="DV363" s="351"/>
      <c r="DW363" s="351"/>
      <c r="DX363" s="351"/>
      <c r="DY363" s="351"/>
      <c r="DZ363" s="351"/>
      <c r="EA363" s="351"/>
      <c r="EB363" s="351"/>
      <c r="EC363" s="351"/>
      <c r="ED363" s="351"/>
      <c r="EE363" s="351">
        <v>12</v>
      </c>
      <c r="EF363" s="351"/>
      <c r="EG363" s="351"/>
      <c r="EH363" s="351"/>
      <c r="EI363" s="351"/>
      <c r="EJ363" s="351"/>
      <c r="EK363" s="351"/>
      <c r="EL363" s="351"/>
      <c r="EM363" s="351"/>
      <c r="EN363" s="351"/>
      <c r="EO363" s="351"/>
      <c r="EP363" s="351"/>
      <c r="EQ363" s="351"/>
      <c r="ER363" s="351"/>
      <c r="ES363" s="351"/>
      <c r="ET363" s="351"/>
      <c r="EU363" s="351"/>
      <c r="EV363" s="351"/>
      <c r="EW363" s="351"/>
      <c r="EX363" s="351"/>
      <c r="EY363" s="351"/>
      <c r="EZ363" s="351"/>
      <c r="FA363" s="351"/>
      <c r="FB363" s="351"/>
      <c r="FC363" s="351"/>
      <c r="FD363" s="351"/>
      <c r="FE363" s="351"/>
      <c r="FF363" s="351"/>
      <c r="FG363" s="351"/>
      <c r="FH363" s="351"/>
      <c r="FI363" s="351"/>
      <c r="FJ363" s="351"/>
      <c r="FK363" s="351"/>
      <c r="FL363" s="351"/>
      <c r="FM363" s="351"/>
      <c r="FN363" s="351"/>
      <c r="FO363" s="351">
        <v>500</v>
      </c>
      <c r="FP363" s="351"/>
      <c r="FQ363" s="351"/>
      <c r="FR363" s="351"/>
      <c r="FS363" s="351"/>
      <c r="FT363" s="351"/>
      <c r="FU363" s="351"/>
      <c r="FV363" s="351"/>
      <c r="FW363" s="351"/>
      <c r="FX363" s="351"/>
      <c r="FY363" s="351"/>
      <c r="FZ363" s="351"/>
      <c r="GA363" s="351">
        <v>200</v>
      </c>
      <c r="GB363" s="351">
        <v>100</v>
      </c>
      <c r="GC363" s="351">
        <v>200</v>
      </c>
      <c r="GD363" s="351">
        <v>50</v>
      </c>
      <c r="GE363" s="351">
        <v>25</v>
      </c>
      <c r="GF363" s="351"/>
      <c r="GG363" s="351"/>
      <c r="GH363" s="351"/>
      <c r="GI363" s="351"/>
      <c r="GJ363" s="351">
        <v>25</v>
      </c>
      <c r="GK363" s="351"/>
      <c r="GL363" s="351"/>
      <c r="GM363" s="351"/>
      <c r="GN363" s="351">
        <v>200</v>
      </c>
      <c r="GO363" s="351"/>
      <c r="GP363" s="351"/>
      <c r="GQ363" s="351"/>
      <c r="GR363" s="351"/>
      <c r="GS363" s="351"/>
      <c r="GT363" s="351"/>
      <c r="GU363" s="351"/>
      <c r="GV363" s="351"/>
      <c r="GW363" s="351">
        <v>50</v>
      </c>
      <c r="GX363" s="351"/>
      <c r="GY363" s="351"/>
      <c r="GZ363" s="351"/>
      <c r="HA363" s="351"/>
      <c r="HB363" s="351"/>
      <c r="HC363" s="351"/>
      <c r="HD363" s="351"/>
      <c r="HE363" s="351"/>
      <c r="HF363" s="351"/>
      <c r="HG363" s="351"/>
      <c r="HH363" s="351"/>
      <c r="HI363" s="351"/>
      <c r="HJ363" s="351"/>
      <c r="HK363" s="351"/>
      <c r="HL363" s="351"/>
      <c r="HM363" s="351"/>
      <c r="HN363" s="351"/>
      <c r="HO363" s="351"/>
      <c r="HP363" s="351"/>
      <c r="HQ363" s="351"/>
      <c r="HR363" s="351"/>
      <c r="HS363" s="351"/>
      <c r="HT363" s="351"/>
      <c r="HU363" s="351"/>
      <c r="HV363" s="351"/>
      <c r="HW363" s="351"/>
      <c r="HX363" s="351"/>
      <c r="HY363" s="351"/>
      <c r="HZ363" s="351"/>
      <c r="IA363" s="351"/>
      <c r="IB363" s="351"/>
      <c r="IC363" s="351"/>
      <c r="ID363" s="351"/>
      <c r="IE363" s="351"/>
      <c r="IF363" s="351"/>
      <c r="IG363" s="351"/>
      <c r="IH363" s="351"/>
      <c r="II363" s="351"/>
      <c r="IJ363" s="351"/>
      <c r="IK363" s="351"/>
      <c r="IL363" s="351"/>
      <c r="IM363" s="351"/>
      <c r="IN363" s="351"/>
      <c r="IO363" s="351"/>
      <c r="IP363" s="351">
        <v>110</v>
      </c>
    </row>
    <row r="364" spans="1:250" ht="15.75" customHeight="1" x14ac:dyDescent="0.25">
      <c r="A364" s="351" t="s">
        <v>1229</v>
      </c>
      <c r="B364" s="351" t="s">
        <v>1230</v>
      </c>
      <c r="C364" s="351"/>
      <c r="D364" s="351"/>
      <c r="E364" s="351"/>
      <c r="F364" s="351"/>
      <c r="G364" s="351"/>
      <c r="H364" s="351"/>
      <c r="I364" s="351"/>
      <c r="J364" s="351"/>
      <c r="K364" s="351"/>
      <c r="L364" s="351"/>
      <c r="M364" s="351"/>
      <c r="N364" s="351"/>
      <c r="O364" s="351"/>
      <c r="P364" s="351"/>
      <c r="Q364" s="351"/>
      <c r="R364" s="351"/>
      <c r="S364" s="351"/>
      <c r="T364" s="351"/>
      <c r="U364" s="351"/>
      <c r="V364" s="351"/>
      <c r="W364" s="351"/>
      <c r="X364" s="351"/>
      <c r="Y364" s="351">
        <v>15</v>
      </c>
      <c r="Z364" s="351"/>
      <c r="AA364" s="351">
        <v>20</v>
      </c>
      <c r="AB364" s="351">
        <v>20</v>
      </c>
      <c r="AC364" s="351"/>
      <c r="AD364" s="351"/>
      <c r="AE364" s="351"/>
      <c r="AF364" s="351"/>
      <c r="AG364" s="351"/>
      <c r="AH364" s="351"/>
      <c r="AI364" s="351"/>
      <c r="AJ364" s="351"/>
      <c r="AK364" s="351"/>
      <c r="AL364" s="351"/>
      <c r="AM364" s="351"/>
      <c r="AN364" s="351"/>
      <c r="AO364" s="351"/>
      <c r="AP364" s="351"/>
      <c r="AQ364" s="351"/>
      <c r="AR364" s="351"/>
      <c r="AS364" s="351"/>
      <c r="AT364" s="351"/>
      <c r="AU364" s="351"/>
      <c r="AV364" s="351"/>
      <c r="AW364" s="351"/>
      <c r="AX364" s="351"/>
      <c r="AY364" s="351"/>
      <c r="AZ364" s="351"/>
      <c r="BA364" s="351"/>
      <c r="BB364" s="351"/>
      <c r="BC364" s="351"/>
      <c r="BD364" s="351"/>
      <c r="BE364" s="351"/>
      <c r="BF364" s="351"/>
      <c r="BG364" s="351"/>
      <c r="BH364" s="351"/>
      <c r="BI364" s="351"/>
      <c r="BJ364" s="351"/>
      <c r="BK364" s="351"/>
      <c r="BL364" s="351"/>
      <c r="BM364" s="351"/>
      <c r="BN364" s="351"/>
      <c r="BO364" s="351"/>
      <c r="BP364" s="351"/>
      <c r="BQ364" s="351"/>
      <c r="BR364" s="351"/>
      <c r="BS364" s="351"/>
      <c r="BT364" s="351"/>
      <c r="BU364" s="351"/>
      <c r="BV364" s="351"/>
      <c r="BW364" s="351"/>
      <c r="BX364" s="351"/>
      <c r="BY364" s="351"/>
      <c r="BZ364" s="351"/>
      <c r="CA364" s="351"/>
      <c r="CB364" s="351"/>
      <c r="CC364" s="351"/>
      <c r="CD364" s="351"/>
      <c r="CE364" s="351"/>
      <c r="CF364" s="351"/>
      <c r="CG364" s="351"/>
      <c r="CH364" s="351"/>
      <c r="CI364" s="351"/>
      <c r="CJ364" s="351"/>
      <c r="CK364" s="351"/>
      <c r="CL364" s="351"/>
      <c r="CM364" s="351"/>
      <c r="CN364" s="351"/>
      <c r="CO364" s="351"/>
      <c r="CP364" s="351"/>
      <c r="CQ364" s="351"/>
      <c r="CR364" s="351"/>
      <c r="CS364" s="351"/>
      <c r="CT364" s="351"/>
      <c r="CU364" s="351"/>
      <c r="CV364" s="351"/>
      <c r="CW364" s="351"/>
      <c r="CX364" s="351"/>
      <c r="CY364" s="351">
        <v>18</v>
      </c>
      <c r="CZ364" s="351">
        <v>12</v>
      </c>
      <c r="DA364" s="351"/>
      <c r="DB364" s="351"/>
      <c r="DC364" s="351"/>
      <c r="DD364" s="351"/>
      <c r="DE364" s="351"/>
      <c r="DF364" s="351"/>
      <c r="DG364" s="351">
        <v>30</v>
      </c>
      <c r="DH364" s="351"/>
      <c r="DI364" s="351"/>
      <c r="DJ364" s="351"/>
      <c r="DK364" s="351"/>
      <c r="DL364" s="351"/>
      <c r="DM364" s="351"/>
      <c r="DN364" s="351"/>
      <c r="DO364" s="351"/>
      <c r="DP364" s="351"/>
      <c r="DQ364" s="351"/>
      <c r="DR364" s="351"/>
      <c r="DS364" s="351"/>
      <c r="DT364" s="351"/>
      <c r="DU364" s="351"/>
      <c r="DV364" s="351"/>
      <c r="DW364" s="351"/>
      <c r="DX364" s="351"/>
      <c r="DY364" s="351"/>
      <c r="DZ364" s="351"/>
      <c r="EA364" s="351"/>
      <c r="EB364" s="351"/>
      <c r="EC364" s="351"/>
      <c r="ED364" s="351"/>
      <c r="EE364" s="351"/>
      <c r="EF364" s="351"/>
      <c r="EG364" s="351"/>
      <c r="EH364" s="351"/>
      <c r="EI364" s="351"/>
      <c r="EJ364" s="351"/>
      <c r="EK364" s="351"/>
      <c r="EL364" s="351"/>
      <c r="EM364" s="351"/>
      <c r="EN364" s="351"/>
      <c r="EO364" s="351"/>
      <c r="EP364" s="351"/>
      <c r="EQ364" s="351"/>
      <c r="ER364" s="351"/>
      <c r="ES364" s="351"/>
      <c r="ET364" s="351"/>
      <c r="EU364" s="351"/>
      <c r="EV364" s="351"/>
      <c r="EW364" s="351"/>
      <c r="EX364" s="351"/>
      <c r="EY364" s="351"/>
      <c r="EZ364" s="351"/>
      <c r="FA364" s="351"/>
      <c r="FB364" s="351"/>
      <c r="FC364" s="351"/>
      <c r="FD364" s="351"/>
      <c r="FE364" s="351"/>
      <c r="FF364" s="351"/>
      <c r="FG364" s="351"/>
      <c r="FH364" s="351"/>
      <c r="FI364" s="351"/>
      <c r="FJ364" s="351"/>
      <c r="FK364" s="351"/>
      <c r="FL364" s="351"/>
      <c r="FM364" s="351"/>
      <c r="FN364" s="351"/>
      <c r="FO364" s="351"/>
      <c r="FP364" s="351"/>
      <c r="FQ364" s="351"/>
      <c r="FR364" s="351"/>
      <c r="FS364" s="351"/>
      <c r="FT364" s="351"/>
      <c r="FU364" s="351"/>
      <c r="FV364" s="351"/>
      <c r="FW364" s="351"/>
      <c r="FX364" s="351"/>
      <c r="FY364" s="351"/>
      <c r="FZ364" s="351"/>
      <c r="GA364" s="351"/>
      <c r="GB364" s="351"/>
      <c r="GC364" s="351"/>
      <c r="GD364" s="351"/>
      <c r="GE364" s="351"/>
      <c r="GF364" s="351"/>
      <c r="GG364" s="351"/>
      <c r="GH364" s="351"/>
      <c r="GI364" s="351"/>
      <c r="GJ364" s="351"/>
      <c r="GK364" s="351"/>
      <c r="GL364" s="351"/>
      <c r="GM364" s="351"/>
      <c r="GN364" s="351">
        <v>100</v>
      </c>
      <c r="GO364" s="351"/>
      <c r="GP364" s="351"/>
      <c r="GQ364" s="351"/>
      <c r="GR364" s="351"/>
      <c r="GS364" s="351"/>
      <c r="GT364" s="351"/>
      <c r="GU364" s="351"/>
      <c r="GV364" s="351"/>
      <c r="GW364" s="351"/>
      <c r="GX364" s="351"/>
      <c r="GY364" s="351"/>
      <c r="GZ364" s="351"/>
      <c r="HA364" s="351"/>
      <c r="HB364" s="351"/>
      <c r="HC364" s="351"/>
      <c r="HD364" s="351"/>
      <c r="HE364" s="351"/>
      <c r="HF364" s="351"/>
      <c r="HG364" s="351"/>
      <c r="HH364" s="351"/>
      <c r="HI364" s="351"/>
      <c r="HJ364" s="351"/>
      <c r="HK364" s="351"/>
      <c r="HL364" s="351"/>
      <c r="HM364" s="351"/>
      <c r="HN364" s="351"/>
      <c r="HO364" s="351"/>
      <c r="HP364" s="351"/>
      <c r="HQ364" s="351"/>
      <c r="HR364" s="351"/>
      <c r="HS364" s="351"/>
      <c r="HT364" s="351"/>
      <c r="HU364" s="351"/>
      <c r="HV364" s="351"/>
      <c r="HW364" s="351"/>
      <c r="HX364" s="351"/>
      <c r="HY364" s="351">
        <f>528+48</f>
        <v>576</v>
      </c>
      <c r="HZ364" s="351"/>
      <c r="IA364" s="351"/>
      <c r="IB364" s="351"/>
      <c r="IC364" s="351"/>
      <c r="ID364" s="351"/>
      <c r="IE364" s="351"/>
      <c r="IF364" s="351"/>
      <c r="IG364" s="351"/>
      <c r="IH364" s="351"/>
      <c r="II364" s="351"/>
      <c r="IJ364" s="351"/>
      <c r="IK364" s="351"/>
      <c r="IL364" s="351"/>
      <c r="IM364" s="351"/>
      <c r="IN364" s="351"/>
      <c r="IO364" s="351"/>
      <c r="IP364" s="351"/>
    </row>
    <row r="365" spans="1:250" ht="15.75" customHeight="1" x14ac:dyDescent="0.25">
      <c r="A365" s="351" t="s">
        <v>1229</v>
      </c>
      <c r="B365" s="351" t="s">
        <v>1232</v>
      </c>
      <c r="C365" s="351"/>
      <c r="D365" s="351"/>
      <c r="E365" s="351"/>
      <c r="F365" s="351"/>
      <c r="G365" s="351"/>
      <c r="H365" s="351"/>
      <c r="I365" s="351"/>
      <c r="J365" s="351"/>
      <c r="K365" s="351"/>
      <c r="L365" s="351"/>
      <c r="M365" s="351"/>
      <c r="N365" s="351"/>
      <c r="O365" s="351"/>
      <c r="P365" s="351"/>
      <c r="Q365" s="351"/>
      <c r="R365" s="351"/>
      <c r="S365" s="351"/>
      <c r="T365" s="351"/>
      <c r="U365" s="351"/>
      <c r="V365" s="351"/>
      <c r="W365" s="351"/>
      <c r="X365" s="351"/>
      <c r="Y365" s="351">
        <v>25</v>
      </c>
      <c r="Z365" s="351"/>
      <c r="AA365" s="351">
        <v>10</v>
      </c>
      <c r="AB365" s="351">
        <v>25</v>
      </c>
      <c r="AC365" s="351"/>
      <c r="AD365" s="351"/>
      <c r="AE365" s="351"/>
      <c r="AF365" s="351"/>
      <c r="AG365" s="351"/>
      <c r="AH365" s="351"/>
      <c r="AI365" s="351"/>
      <c r="AJ365" s="351"/>
      <c r="AK365" s="351"/>
      <c r="AL365" s="351"/>
      <c r="AM365" s="351"/>
      <c r="AN365" s="351"/>
      <c r="AO365" s="351"/>
      <c r="AP365" s="351"/>
      <c r="AQ365" s="351"/>
      <c r="AR365" s="351"/>
      <c r="AS365" s="351"/>
      <c r="AT365" s="351"/>
      <c r="AU365" s="351"/>
      <c r="AV365" s="351"/>
      <c r="AW365" s="351"/>
      <c r="AX365" s="351"/>
      <c r="AY365" s="351"/>
      <c r="AZ365" s="351"/>
      <c r="BA365" s="351"/>
      <c r="BB365" s="351"/>
      <c r="BC365" s="351"/>
      <c r="BD365" s="351"/>
      <c r="BE365" s="351"/>
      <c r="BF365" s="351"/>
      <c r="BG365" s="351"/>
      <c r="BH365" s="351"/>
      <c r="BI365" s="351"/>
      <c r="BJ365" s="351"/>
      <c r="BK365" s="351"/>
      <c r="BL365" s="351"/>
      <c r="BM365" s="351"/>
      <c r="BN365" s="351"/>
      <c r="BO365" s="351"/>
      <c r="BP365" s="351"/>
      <c r="BQ365" s="351"/>
      <c r="BR365" s="351"/>
      <c r="BS365" s="351"/>
      <c r="BT365" s="351"/>
      <c r="BU365" s="351"/>
      <c r="BV365" s="351"/>
      <c r="BW365" s="351"/>
      <c r="BX365" s="351"/>
      <c r="BY365" s="351"/>
      <c r="BZ365" s="351"/>
      <c r="CA365" s="351"/>
      <c r="CB365" s="351"/>
      <c r="CC365" s="351"/>
      <c r="CD365" s="351"/>
      <c r="CE365" s="351"/>
      <c r="CF365" s="351"/>
      <c r="CG365" s="351"/>
      <c r="CH365" s="351"/>
      <c r="CI365" s="351"/>
      <c r="CJ365" s="351"/>
      <c r="CK365" s="351"/>
      <c r="CL365" s="351"/>
      <c r="CM365" s="351"/>
      <c r="CN365" s="351"/>
      <c r="CO365" s="351"/>
      <c r="CP365" s="351"/>
      <c r="CQ365" s="351"/>
      <c r="CR365" s="351"/>
      <c r="CS365" s="351"/>
      <c r="CT365" s="351"/>
      <c r="CU365" s="351"/>
      <c r="CV365" s="351"/>
      <c r="CW365" s="351"/>
      <c r="CX365" s="351"/>
      <c r="CY365" s="351"/>
      <c r="CZ365" s="351"/>
      <c r="DA365" s="351"/>
      <c r="DB365" s="351"/>
      <c r="DC365" s="351"/>
      <c r="DD365" s="351"/>
      <c r="DE365" s="351"/>
      <c r="DF365" s="351"/>
      <c r="DG365" s="351">
        <v>15</v>
      </c>
      <c r="DH365" s="351"/>
      <c r="DI365" s="351"/>
      <c r="DJ365" s="351"/>
      <c r="DK365" s="351">
        <v>12</v>
      </c>
      <c r="DL365" s="351">
        <v>6</v>
      </c>
      <c r="DM365" s="351"/>
      <c r="DN365" s="351"/>
      <c r="DO365" s="351"/>
      <c r="DP365" s="351"/>
      <c r="DQ365" s="351"/>
      <c r="DR365" s="351">
        <v>24</v>
      </c>
      <c r="DS365" s="351"/>
      <c r="DT365" s="351"/>
      <c r="DU365" s="351"/>
      <c r="DV365" s="351"/>
      <c r="DW365" s="351"/>
      <c r="DX365" s="351"/>
      <c r="DY365" s="351"/>
      <c r="DZ365" s="351"/>
      <c r="EA365" s="351"/>
      <c r="EB365" s="351">
        <v>24</v>
      </c>
      <c r="EC365" s="351"/>
      <c r="ED365" s="351"/>
      <c r="EE365" s="351"/>
      <c r="EF365" s="351"/>
      <c r="EG365" s="351"/>
      <c r="EH365" s="351">
        <v>48</v>
      </c>
      <c r="EI365" s="351"/>
      <c r="EJ365" s="351"/>
      <c r="EK365" s="351"/>
      <c r="EL365" s="351"/>
      <c r="EM365" s="351"/>
      <c r="EN365" s="351"/>
      <c r="EO365" s="351"/>
      <c r="EP365" s="351"/>
      <c r="EQ365" s="351"/>
      <c r="ER365" s="351"/>
      <c r="ES365" s="351"/>
      <c r="ET365" s="351">
        <v>210</v>
      </c>
      <c r="EU365" s="351">
        <v>25</v>
      </c>
      <c r="EV365" s="351">
        <v>10</v>
      </c>
      <c r="EW365" s="351"/>
      <c r="EX365" s="351"/>
      <c r="EY365" s="351"/>
      <c r="EZ365" s="351"/>
      <c r="FA365" s="351"/>
      <c r="FB365" s="351"/>
      <c r="FC365" s="351"/>
      <c r="FD365" s="351"/>
      <c r="FE365" s="351"/>
      <c r="FF365" s="351"/>
      <c r="FG365" s="351"/>
      <c r="FH365" s="351"/>
      <c r="FI365" s="351"/>
      <c r="FJ365" s="351"/>
      <c r="FK365" s="351"/>
      <c r="FL365" s="351"/>
      <c r="FM365" s="351"/>
      <c r="FN365" s="351"/>
      <c r="FO365" s="351">
        <v>200</v>
      </c>
      <c r="FP365" s="351"/>
      <c r="FQ365" s="351"/>
      <c r="FR365" s="351"/>
      <c r="FS365" s="351"/>
      <c r="FT365" s="351"/>
      <c r="FU365" s="351"/>
      <c r="FV365" s="351"/>
      <c r="FW365" s="351">
        <v>25</v>
      </c>
      <c r="FX365" s="351"/>
      <c r="FY365" s="351"/>
      <c r="FZ365" s="351"/>
      <c r="GA365" s="351">
        <v>250</v>
      </c>
      <c r="GB365" s="351">
        <v>200</v>
      </c>
      <c r="GC365" s="351">
        <v>400</v>
      </c>
      <c r="GD365" s="351"/>
      <c r="GE365" s="351">
        <v>50</v>
      </c>
      <c r="GF365" s="351"/>
      <c r="GG365" s="351"/>
      <c r="GH365" s="351"/>
      <c r="GI365" s="351"/>
      <c r="GJ365" s="351">
        <v>50</v>
      </c>
      <c r="GK365" s="351"/>
      <c r="GL365" s="351"/>
      <c r="GM365" s="351"/>
      <c r="GN365" s="351">
        <v>250</v>
      </c>
      <c r="GO365" s="351"/>
      <c r="GP365" s="351"/>
      <c r="GQ365" s="351"/>
      <c r="GR365" s="351"/>
      <c r="GS365" s="351"/>
      <c r="GT365" s="351"/>
      <c r="GU365" s="351"/>
      <c r="GV365" s="351"/>
      <c r="GW365" s="351">
        <v>134</v>
      </c>
      <c r="GX365" s="351">
        <v>500</v>
      </c>
      <c r="GY365" s="351"/>
      <c r="GZ365" s="351">
        <v>115</v>
      </c>
      <c r="HA365" s="351"/>
      <c r="HB365" s="351"/>
      <c r="HC365" s="351">
        <v>500</v>
      </c>
      <c r="HD365" s="351">
        <v>110</v>
      </c>
      <c r="HE365" s="351"/>
      <c r="HF365" s="351">
        <v>300</v>
      </c>
      <c r="HG365" s="351">
        <v>200</v>
      </c>
      <c r="HH365" s="351"/>
      <c r="HI365" s="351"/>
      <c r="HJ365" s="351"/>
      <c r="HK365" s="351"/>
      <c r="HL365" s="351"/>
      <c r="HM365" s="351"/>
      <c r="HN365" s="351">
        <v>300</v>
      </c>
      <c r="HO365" s="351"/>
      <c r="HP365" s="351"/>
      <c r="HQ365" s="351"/>
      <c r="HR365" s="351"/>
      <c r="HS365" s="351"/>
      <c r="HT365" s="351"/>
      <c r="HU365" s="351"/>
      <c r="HV365" s="351"/>
      <c r="HW365" s="351"/>
      <c r="HX365" s="351">
        <v>600</v>
      </c>
      <c r="HY365" s="351"/>
      <c r="HZ365" s="351">
        <v>48</v>
      </c>
      <c r="IA365" s="351"/>
      <c r="IB365" s="351"/>
      <c r="IC365" s="351"/>
      <c r="ID365" s="351"/>
      <c r="IE365" s="351">
        <v>50</v>
      </c>
      <c r="IF365" s="351">
        <v>25</v>
      </c>
      <c r="IG365" s="351"/>
      <c r="IH365" s="351"/>
      <c r="II365" s="351"/>
      <c r="IJ365" s="351"/>
      <c r="IK365" s="351"/>
      <c r="IL365" s="351"/>
      <c r="IM365" s="351"/>
      <c r="IN365" s="351"/>
      <c r="IO365" s="351"/>
      <c r="IP365" s="351">
        <v>110</v>
      </c>
    </row>
    <row r="366" spans="1:250" ht="15.75" customHeight="1" x14ac:dyDescent="0.25">
      <c r="A366" s="351" t="s">
        <v>1160</v>
      </c>
      <c r="B366" s="351" t="s">
        <v>1233</v>
      </c>
      <c r="C366" s="351"/>
      <c r="D366" s="351"/>
      <c r="E366" s="351"/>
      <c r="F366" s="351"/>
      <c r="G366" s="351"/>
      <c r="H366" s="351"/>
      <c r="I366" s="351"/>
      <c r="J366" s="351"/>
      <c r="K366" s="351"/>
      <c r="L366" s="351"/>
      <c r="M366" s="351"/>
      <c r="N366" s="351"/>
      <c r="O366" s="351"/>
      <c r="P366" s="351"/>
      <c r="Q366" s="351"/>
      <c r="R366" s="351"/>
      <c r="S366" s="351"/>
      <c r="T366" s="351"/>
      <c r="U366" s="351"/>
      <c r="V366" s="351"/>
      <c r="W366" s="351"/>
      <c r="X366" s="351"/>
      <c r="Y366" s="351">
        <v>25</v>
      </c>
      <c r="Z366" s="351"/>
      <c r="AA366" s="351">
        <v>25</v>
      </c>
      <c r="AB366" s="351">
        <v>25</v>
      </c>
      <c r="AC366" s="351"/>
      <c r="AD366" s="351"/>
      <c r="AE366" s="351"/>
      <c r="AF366" s="351"/>
      <c r="AG366" s="351"/>
      <c r="AH366" s="351"/>
      <c r="AI366" s="351"/>
      <c r="AJ366" s="351"/>
      <c r="AK366" s="351"/>
      <c r="AL366" s="351"/>
      <c r="AM366" s="351"/>
      <c r="AN366" s="351"/>
      <c r="AO366" s="351"/>
      <c r="AP366" s="351"/>
      <c r="AQ366" s="351"/>
      <c r="AR366" s="351"/>
      <c r="AS366" s="351"/>
      <c r="AT366" s="351"/>
      <c r="AU366" s="351"/>
      <c r="AV366" s="351"/>
      <c r="AW366" s="351"/>
      <c r="AX366" s="351"/>
      <c r="AY366" s="351"/>
      <c r="AZ366" s="351"/>
      <c r="BA366" s="351"/>
      <c r="BB366" s="351"/>
      <c r="BC366" s="351"/>
      <c r="BD366" s="351"/>
      <c r="BE366" s="351"/>
      <c r="BF366" s="351"/>
      <c r="BG366" s="351"/>
      <c r="BH366" s="351"/>
      <c r="BI366" s="351"/>
      <c r="BJ366" s="351"/>
      <c r="BK366" s="351"/>
      <c r="BL366" s="351"/>
      <c r="BM366" s="351"/>
      <c r="BN366" s="351"/>
      <c r="BO366" s="351"/>
      <c r="BP366" s="351"/>
      <c r="BQ366" s="351"/>
      <c r="BR366" s="351"/>
      <c r="BS366" s="351"/>
      <c r="BT366" s="351"/>
      <c r="BU366" s="351"/>
      <c r="BV366" s="351"/>
      <c r="BW366" s="351"/>
      <c r="BX366" s="351"/>
      <c r="BY366" s="351"/>
      <c r="BZ366" s="351"/>
      <c r="CA366" s="351"/>
      <c r="CB366" s="351"/>
      <c r="CC366" s="351"/>
      <c r="CD366" s="351"/>
      <c r="CE366" s="351"/>
      <c r="CF366" s="351"/>
      <c r="CG366" s="351"/>
      <c r="CH366" s="351"/>
      <c r="CI366" s="351"/>
      <c r="CJ366" s="351"/>
      <c r="CK366" s="351"/>
      <c r="CL366" s="351"/>
      <c r="CM366" s="351"/>
      <c r="CN366" s="351"/>
      <c r="CO366" s="351"/>
      <c r="CP366" s="351"/>
      <c r="CQ366" s="351"/>
      <c r="CR366" s="351"/>
      <c r="CS366" s="351"/>
      <c r="CT366" s="351"/>
      <c r="CU366" s="351"/>
      <c r="CV366" s="351"/>
      <c r="CW366" s="351"/>
      <c r="CX366" s="351"/>
      <c r="CY366" s="351">
        <v>24</v>
      </c>
      <c r="CZ366" s="351">
        <v>18</v>
      </c>
      <c r="DA366" s="351"/>
      <c r="DB366" s="351">
        <v>30</v>
      </c>
      <c r="DC366" s="351"/>
      <c r="DD366" s="351"/>
      <c r="DE366" s="351"/>
      <c r="DF366" s="351"/>
      <c r="DG366" s="351">
        <v>15</v>
      </c>
      <c r="DH366" s="351"/>
      <c r="DI366" s="351"/>
      <c r="DJ366" s="351">
        <v>18</v>
      </c>
      <c r="DK366" s="351"/>
      <c r="DL366" s="351"/>
      <c r="DM366" s="351"/>
      <c r="DN366" s="351">
        <v>12</v>
      </c>
      <c r="DO366" s="351"/>
      <c r="DP366" s="351"/>
      <c r="DQ366" s="351"/>
      <c r="DR366" s="351"/>
      <c r="DS366" s="351">
        <v>24</v>
      </c>
      <c r="DT366" s="351"/>
      <c r="DU366" s="351"/>
      <c r="DV366" s="351"/>
      <c r="DW366" s="351"/>
      <c r="DX366" s="351"/>
      <c r="DY366" s="351"/>
      <c r="DZ366" s="351"/>
      <c r="EA366" s="351"/>
      <c r="EB366" s="351"/>
      <c r="EC366" s="351"/>
      <c r="ED366" s="351">
        <v>24</v>
      </c>
      <c r="EE366" s="351"/>
      <c r="EF366" s="351"/>
      <c r="EG366" s="351"/>
      <c r="EH366" s="351">
        <v>48</v>
      </c>
      <c r="EI366" s="351"/>
      <c r="EJ366" s="351"/>
      <c r="EK366" s="351"/>
      <c r="EL366" s="351"/>
      <c r="EM366" s="351"/>
      <c r="EN366" s="351"/>
      <c r="EO366" s="351"/>
      <c r="EP366" s="351"/>
      <c r="EQ366" s="351"/>
      <c r="ER366" s="351"/>
      <c r="ES366" s="351"/>
      <c r="ET366" s="351">
        <v>75</v>
      </c>
      <c r="EU366" s="351">
        <v>25</v>
      </c>
      <c r="EV366" s="351">
        <v>10</v>
      </c>
      <c r="EW366" s="351"/>
      <c r="EX366" s="351"/>
      <c r="EY366" s="351"/>
      <c r="EZ366" s="351"/>
      <c r="FA366" s="351"/>
      <c r="FB366" s="351"/>
      <c r="FC366" s="351"/>
      <c r="FD366" s="351"/>
      <c r="FE366" s="351"/>
      <c r="FF366" s="351"/>
      <c r="FG366" s="351"/>
      <c r="FH366" s="351"/>
      <c r="FI366" s="351"/>
      <c r="FJ366" s="351"/>
      <c r="FK366" s="351"/>
      <c r="FL366" s="351"/>
      <c r="FM366" s="351"/>
      <c r="FN366" s="351"/>
      <c r="FO366" s="351">
        <v>300</v>
      </c>
      <c r="FP366" s="351"/>
      <c r="FQ366" s="351"/>
      <c r="FR366" s="351"/>
      <c r="FS366" s="351"/>
      <c r="FT366" s="351">
        <v>50</v>
      </c>
      <c r="FU366" s="351"/>
      <c r="FV366" s="351"/>
      <c r="FW366" s="351"/>
      <c r="FX366" s="351"/>
      <c r="FY366" s="351"/>
      <c r="FZ366" s="351"/>
      <c r="GA366" s="351">
        <v>250</v>
      </c>
      <c r="GB366" s="351">
        <v>200</v>
      </c>
      <c r="GC366" s="351">
        <v>400</v>
      </c>
      <c r="GD366" s="351"/>
      <c r="GE366" s="351"/>
      <c r="GF366" s="351"/>
      <c r="GG366" s="351"/>
      <c r="GH366" s="351"/>
      <c r="GI366" s="351"/>
      <c r="GJ366" s="351"/>
      <c r="GK366" s="351"/>
      <c r="GL366" s="351"/>
      <c r="GM366" s="351"/>
      <c r="GN366" s="351">
        <v>250</v>
      </c>
      <c r="GO366" s="351"/>
      <c r="GP366" s="351"/>
      <c r="GQ366" s="351"/>
      <c r="GR366" s="351"/>
      <c r="GS366" s="351"/>
      <c r="GT366" s="351"/>
      <c r="GU366" s="351"/>
      <c r="GV366" s="351"/>
      <c r="GW366" s="351"/>
      <c r="GX366" s="351"/>
      <c r="GY366" s="351"/>
      <c r="GZ366" s="351"/>
      <c r="HA366" s="351"/>
      <c r="HB366" s="351"/>
      <c r="HC366" s="351"/>
      <c r="HD366" s="351"/>
      <c r="HE366" s="351"/>
      <c r="HF366" s="351"/>
      <c r="HG366" s="351"/>
      <c r="HH366" s="351"/>
      <c r="HI366" s="351"/>
      <c r="HJ366" s="351"/>
      <c r="HK366" s="351"/>
      <c r="HL366" s="351"/>
      <c r="HM366" s="351"/>
      <c r="HN366" s="351">
        <v>100</v>
      </c>
      <c r="HO366" s="351"/>
      <c r="HP366" s="351"/>
      <c r="HQ366" s="351"/>
      <c r="HR366" s="351"/>
      <c r="HS366" s="351"/>
      <c r="HT366" s="351"/>
      <c r="HU366" s="351"/>
      <c r="HV366" s="351"/>
      <c r="HW366" s="351"/>
      <c r="HX366" s="351"/>
      <c r="HY366" s="351"/>
      <c r="HZ366" s="351"/>
      <c r="IA366" s="351"/>
      <c r="IB366" s="351"/>
      <c r="IC366" s="351"/>
      <c r="ID366" s="351"/>
      <c r="IE366" s="351">
        <v>50</v>
      </c>
      <c r="IF366" s="351">
        <v>25</v>
      </c>
      <c r="IG366" s="351"/>
      <c r="IH366" s="351"/>
      <c r="II366" s="351"/>
      <c r="IJ366" s="351"/>
      <c r="IK366" s="351"/>
      <c r="IL366" s="351"/>
      <c r="IM366" s="351"/>
      <c r="IN366" s="351"/>
      <c r="IO366" s="351"/>
      <c r="IP366" s="351">
        <v>110</v>
      </c>
    </row>
    <row r="367" spans="1:250" ht="15.75" customHeight="1" x14ac:dyDescent="0.25">
      <c r="A367" s="351" t="s">
        <v>1160</v>
      </c>
      <c r="B367" s="351" t="s">
        <v>1235</v>
      </c>
      <c r="C367" s="351"/>
      <c r="D367" s="351"/>
      <c r="E367" s="351"/>
      <c r="F367" s="351"/>
      <c r="G367" s="351"/>
      <c r="H367" s="351"/>
      <c r="I367" s="351"/>
      <c r="J367" s="351"/>
      <c r="K367" s="351"/>
      <c r="L367" s="351"/>
      <c r="M367" s="351"/>
      <c r="N367" s="351"/>
      <c r="O367" s="351"/>
      <c r="P367" s="351"/>
      <c r="Q367" s="351"/>
      <c r="R367" s="351"/>
      <c r="S367" s="351"/>
      <c r="T367" s="351"/>
      <c r="U367" s="351"/>
      <c r="V367" s="351"/>
      <c r="W367" s="351"/>
      <c r="X367" s="351"/>
      <c r="Y367" s="351"/>
      <c r="Z367" s="351"/>
      <c r="AA367" s="351">
        <v>10</v>
      </c>
      <c r="AB367" s="351">
        <v>20</v>
      </c>
      <c r="AC367" s="351"/>
      <c r="AD367" s="351"/>
      <c r="AE367" s="351"/>
      <c r="AF367" s="351"/>
      <c r="AG367" s="351"/>
      <c r="AH367" s="351"/>
      <c r="AI367" s="351"/>
      <c r="AJ367" s="351"/>
      <c r="AK367" s="351"/>
      <c r="AL367" s="351"/>
      <c r="AM367" s="351"/>
      <c r="AN367" s="351"/>
      <c r="AO367" s="351"/>
      <c r="AP367" s="351"/>
      <c r="AQ367" s="351"/>
      <c r="AR367" s="351"/>
      <c r="AS367" s="351"/>
      <c r="AT367" s="351"/>
      <c r="AU367" s="351"/>
      <c r="AV367" s="351"/>
      <c r="AW367" s="351"/>
      <c r="AX367" s="351"/>
      <c r="AY367" s="351"/>
      <c r="AZ367" s="351"/>
      <c r="BA367" s="351"/>
      <c r="BB367" s="351"/>
      <c r="BC367" s="351"/>
      <c r="BD367" s="351"/>
      <c r="BE367" s="351"/>
      <c r="BF367" s="351"/>
      <c r="BG367" s="351"/>
      <c r="BH367" s="351"/>
      <c r="BI367" s="351"/>
      <c r="BJ367" s="351"/>
      <c r="BK367" s="351"/>
      <c r="BL367" s="351"/>
      <c r="BM367" s="351"/>
      <c r="BN367" s="351"/>
      <c r="BO367" s="351"/>
      <c r="BP367" s="351"/>
      <c r="BQ367" s="351"/>
      <c r="BR367" s="351"/>
      <c r="BS367" s="351"/>
      <c r="BT367" s="351"/>
      <c r="BU367" s="351"/>
      <c r="BV367" s="351"/>
      <c r="BW367" s="351"/>
      <c r="BX367" s="351"/>
      <c r="BY367" s="351"/>
      <c r="BZ367" s="351"/>
      <c r="CA367" s="351"/>
      <c r="CB367" s="351"/>
      <c r="CC367" s="351"/>
      <c r="CD367" s="351"/>
      <c r="CE367" s="351"/>
      <c r="CF367" s="351"/>
      <c r="CG367" s="351"/>
      <c r="CH367" s="351"/>
      <c r="CI367" s="351"/>
      <c r="CJ367" s="351"/>
      <c r="CK367" s="351"/>
      <c r="CL367" s="351"/>
      <c r="CM367" s="351"/>
      <c r="CN367" s="351"/>
      <c r="CO367" s="351"/>
      <c r="CP367" s="351"/>
      <c r="CQ367" s="351"/>
      <c r="CR367" s="351"/>
      <c r="CS367" s="351"/>
      <c r="CT367" s="351"/>
      <c r="CU367" s="351"/>
      <c r="CV367" s="351"/>
      <c r="CW367" s="351"/>
      <c r="CX367" s="351"/>
      <c r="CY367" s="351"/>
      <c r="CZ367" s="351">
        <v>12</v>
      </c>
      <c r="DA367" s="351"/>
      <c r="DB367" s="351">
        <v>12</v>
      </c>
      <c r="DC367" s="351"/>
      <c r="DD367" s="351"/>
      <c r="DE367" s="351"/>
      <c r="DF367" s="351"/>
      <c r="DG367" s="351">
        <v>5</v>
      </c>
      <c r="DH367" s="351"/>
      <c r="DI367" s="351"/>
      <c r="DJ367" s="351"/>
      <c r="DK367" s="351"/>
      <c r="DL367" s="351"/>
      <c r="DM367" s="351"/>
      <c r="DN367" s="351"/>
      <c r="DO367" s="351"/>
      <c r="DP367" s="351"/>
      <c r="DQ367" s="351"/>
      <c r="DR367" s="351"/>
      <c r="DS367" s="351">
        <v>24</v>
      </c>
      <c r="DT367" s="351"/>
      <c r="DU367" s="351"/>
      <c r="DV367" s="351"/>
      <c r="DW367" s="351"/>
      <c r="DX367" s="351"/>
      <c r="DY367" s="351"/>
      <c r="DZ367" s="351"/>
      <c r="EA367" s="351"/>
      <c r="EB367" s="351"/>
      <c r="EC367" s="351"/>
      <c r="ED367" s="351"/>
      <c r="EE367" s="351"/>
      <c r="EF367" s="351"/>
      <c r="EG367" s="351"/>
      <c r="EH367" s="351"/>
      <c r="EI367" s="351"/>
      <c r="EJ367" s="351"/>
      <c r="EK367" s="351"/>
      <c r="EL367" s="351"/>
      <c r="EM367" s="351"/>
      <c r="EN367" s="351"/>
      <c r="EO367" s="351"/>
      <c r="EP367" s="351"/>
      <c r="EQ367" s="351"/>
      <c r="ER367" s="351"/>
      <c r="ES367" s="351"/>
      <c r="ET367" s="351"/>
      <c r="EU367" s="351"/>
      <c r="EV367" s="351"/>
      <c r="EW367" s="351"/>
      <c r="EX367" s="351"/>
      <c r="EY367" s="351"/>
      <c r="EZ367" s="351">
        <v>100</v>
      </c>
      <c r="FA367" s="351"/>
      <c r="FB367" s="351"/>
      <c r="FC367" s="351"/>
      <c r="FD367" s="351"/>
      <c r="FE367" s="351"/>
      <c r="FF367" s="351"/>
      <c r="FG367" s="351"/>
      <c r="FH367" s="351"/>
      <c r="FI367" s="351"/>
      <c r="FJ367" s="351"/>
      <c r="FK367" s="351"/>
      <c r="FL367" s="351">
        <v>100</v>
      </c>
      <c r="FM367" s="351"/>
      <c r="FN367" s="351"/>
      <c r="FO367" s="351">
        <v>200</v>
      </c>
      <c r="FP367" s="351"/>
      <c r="FQ367" s="351"/>
      <c r="FR367" s="351"/>
      <c r="FS367" s="351"/>
      <c r="FT367" s="351"/>
      <c r="FU367" s="351"/>
      <c r="FV367" s="351"/>
      <c r="FW367" s="351"/>
      <c r="FX367" s="351"/>
      <c r="FY367" s="351"/>
      <c r="FZ367" s="351"/>
      <c r="GA367" s="351">
        <v>50</v>
      </c>
      <c r="GB367" s="351">
        <v>50</v>
      </c>
      <c r="GC367" s="351">
        <v>100</v>
      </c>
      <c r="GD367" s="351">
        <v>25</v>
      </c>
      <c r="GE367" s="351"/>
      <c r="GF367" s="351"/>
      <c r="GG367" s="351"/>
      <c r="GH367" s="351"/>
      <c r="GI367" s="351"/>
      <c r="GJ367" s="351"/>
      <c r="GK367" s="351"/>
      <c r="GL367" s="351"/>
      <c r="GM367" s="351"/>
      <c r="GN367" s="351">
        <v>50</v>
      </c>
      <c r="GO367" s="351"/>
      <c r="GP367" s="351"/>
      <c r="GQ367" s="351"/>
      <c r="GR367" s="351"/>
      <c r="GS367" s="351"/>
      <c r="GT367" s="351"/>
      <c r="GU367" s="351"/>
      <c r="GV367" s="351"/>
      <c r="GW367" s="351"/>
      <c r="GX367" s="351"/>
      <c r="GY367" s="351"/>
      <c r="GZ367" s="351"/>
      <c r="HA367" s="351"/>
      <c r="HB367" s="351"/>
      <c r="HC367" s="351"/>
      <c r="HD367" s="351"/>
      <c r="HE367" s="351"/>
      <c r="HF367" s="351"/>
      <c r="HG367" s="351"/>
      <c r="HH367" s="351"/>
      <c r="HI367" s="351"/>
      <c r="HJ367" s="351"/>
      <c r="HK367" s="351"/>
      <c r="HL367" s="351"/>
      <c r="HM367" s="351"/>
      <c r="HN367" s="351">
        <v>200</v>
      </c>
      <c r="HO367" s="351"/>
      <c r="HP367" s="351"/>
      <c r="HQ367" s="351"/>
      <c r="HR367" s="351"/>
      <c r="HS367" s="351"/>
      <c r="HT367" s="351"/>
      <c r="HU367" s="351"/>
      <c r="HV367" s="351"/>
      <c r="HW367" s="351"/>
      <c r="HX367" s="351">
        <v>600</v>
      </c>
      <c r="HY367" s="351"/>
      <c r="HZ367" s="351">
        <v>48</v>
      </c>
      <c r="IA367" s="351"/>
      <c r="IB367" s="351"/>
      <c r="IC367" s="351"/>
      <c r="ID367" s="351"/>
      <c r="IE367" s="351"/>
      <c r="IF367" s="351"/>
      <c r="IG367" s="351"/>
      <c r="IH367" s="351"/>
      <c r="II367" s="351"/>
      <c r="IJ367" s="351"/>
      <c r="IK367" s="351"/>
      <c r="IL367" s="351"/>
      <c r="IM367" s="351"/>
      <c r="IN367" s="351"/>
      <c r="IO367" s="351"/>
      <c r="IP367" s="351">
        <v>110</v>
      </c>
    </row>
    <row r="368" spans="1:250" ht="15.75" customHeight="1" x14ac:dyDescent="0.25">
      <c r="A368" s="351" t="s">
        <v>1160</v>
      </c>
      <c r="B368" s="351" t="s">
        <v>1236</v>
      </c>
      <c r="C368" s="351"/>
      <c r="D368" s="351"/>
      <c r="E368" s="351">
        <v>15</v>
      </c>
      <c r="F368" s="351"/>
      <c r="G368" s="351"/>
      <c r="H368" s="351"/>
      <c r="I368" s="351"/>
      <c r="J368" s="351"/>
      <c r="K368" s="351"/>
      <c r="L368" s="351"/>
      <c r="M368" s="351"/>
      <c r="N368" s="351"/>
      <c r="O368" s="351"/>
      <c r="P368" s="351"/>
      <c r="Q368" s="351"/>
      <c r="R368" s="351">
        <v>15</v>
      </c>
      <c r="S368" s="351"/>
      <c r="T368" s="351"/>
      <c r="U368" s="351"/>
      <c r="V368" s="351">
        <v>5</v>
      </c>
      <c r="W368" s="351"/>
      <c r="X368" s="351"/>
      <c r="Y368" s="351">
        <v>25</v>
      </c>
      <c r="Z368" s="351"/>
      <c r="AA368" s="351">
        <v>10</v>
      </c>
      <c r="AB368" s="351">
        <v>25</v>
      </c>
      <c r="AC368" s="351"/>
      <c r="AD368" s="351"/>
      <c r="AE368" s="351"/>
      <c r="AF368" s="351">
        <v>4</v>
      </c>
      <c r="AG368" s="351">
        <v>15</v>
      </c>
      <c r="AH368" s="351"/>
      <c r="AI368" s="351"/>
      <c r="AJ368" s="351"/>
      <c r="AK368" s="351"/>
      <c r="AL368" s="351">
        <v>10</v>
      </c>
      <c r="AM368" s="351">
        <v>25</v>
      </c>
      <c r="AN368" s="351"/>
      <c r="AO368" s="351"/>
      <c r="AP368" s="351"/>
      <c r="AQ368" s="80">
        <v>15</v>
      </c>
      <c r="AR368" s="351">
        <v>15</v>
      </c>
      <c r="AS368" s="351"/>
      <c r="AT368" s="351">
        <v>5</v>
      </c>
      <c r="AU368" s="351"/>
      <c r="AV368" s="351">
        <v>5</v>
      </c>
      <c r="AW368" s="351"/>
      <c r="AX368" s="351"/>
      <c r="AY368" s="351"/>
      <c r="AZ368" s="351"/>
      <c r="BA368" s="351"/>
      <c r="BB368" s="351"/>
      <c r="BC368" s="351"/>
      <c r="BD368" s="351"/>
      <c r="BE368" s="351"/>
      <c r="BF368" s="351"/>
      <c r="BG368" s="351"/>
      <c r="BH368" s="351"/>
      <c r="BI368" s="351"/>
      <c r="BJ368" s="351"/>
      <c r="BK368" s="351"/>
      <c r="BL368" s="351"/>
      <c r="BM368" s="351"/>
      <c r="BN368" s="351"/>
      <c r="BO368" s="351"/>
      <c r="BP368" s="351"/>
      <c r="BQ368" s="351"/>
      <c r="BR368" s="351"/>
      <c r="BS368" s="351"/>
      <c r="BT368" s="351"/>
      <c r="BU368" s="351"/>
      <c r="BV368" s="351"/>
      <c r="BW368" s="351"/>
      <c r="BX368" s="351"/>
      <c r="BY368" s="351"/>
      <c r="BZ368" s="351"/>
      <c r="CA368" s="351"/>
      <c r="CB368" s="351"/>
      <c r="CC368" s="351"/>
      <c r="CD368" s="351"/>
      <c r="CE368" s="351"/>
      <c r="CF368" s="351"/>
      <c r="CG368" s="351"/>
      <c r="CH368" s="351"/>
      <c r="CI368" s="351"/>
      <c r="CJ368" s="351"/>
      <c r="CK368" s="351"/>
      <c r="CL368" s="351"/>
      <c r="CM368" s="351"/>
      <c r="CN368" s="351">
        <v>48</v>
      </c>
      <c r="CO368" s="351"/>
      <c r="CP368" s="351"/>
      <c r="CQ368" s="351"/>
      <c r="CR368" s="351"/>
      <c r="CS368" s="351">
        <v>6</v>
      </c>
      <c r="CT368" s="351"/>
      <c r="CU368" s="351"/>
      <c r="CV368" s="351"/>
      <c r="CW368" s="351"/>
      <c r="CX368" s="351"/>
      <c r="CY368" s="351">
        <v>24</v>
      </c>
      <c r="CZ368" s="351">
        <v>12</v>
      </c>
      <c r="DA368" s="351"/>
      <c r="DB368" s="351">
        <v>12</v>
      </c>
      <c r="DC368" s="351"/>
      <c r="DD368" s="351"/>
      <c r="DE368" s="351">
        <v>6</v>
      </c>
      <c r="DF368" s="351"/>
      <c r="DG368" s="351">
        <v>10</v>
      </c>
      <c r="DH368" s="351"/>
      <c r="DI368" s="351"/>
      <c r="DJ368" s="351">
        <v>6</v>
      </c>
      <c r="DK368" s="351">
        <v>12</v>
      </c>
      <c r="DL368" s="351">
        <v>6</v>
      </c>
      <c r="DM368" s="351"/>
      <c r="DN368" s="351">
        <v>6</v>
      </c>
      <c r="DO368" s="351"/>
      <c r="DP368" s="351"/>
      <c r="DQ368" s="351"/>
      <c r="DR368" s="351">
        <v>24</v>
      </c>
      <c r="DS368" s="351">
        <v>24</v>
      </c>
      <c r="DT368" s="351"/>
      <c r="DU368" s="351"/>
      <c r="DV368" s="351"/>
      <c r="DW368" s="351"/>
      <c r="DX368" s="351">
        <v>6</v>
      </c>
      <c r="DY368" s="351"/>
      <c r="DZ368" s="351"/>
      <c r="EA368" s="351"/>
      <c r="EB368" s="351"/>
      <c r="EC368" s="351">
        <v>12</v>
      </c>
      <c r="ED368" s="351">
        <v>6</v>
      </c>
      <c r="EE368" s="351">
        <v>12</v>
      </c>
      <c r="EF368" s="351"/>
      <c r="EG368" s="351"/>
      <c r="EH368" s="351">
        <v>24</v>
      </c>
      <c r="EI368" s="351">
        <v>18</v>
      </c>
      <c r="EJ368" s="351">
        <v>24</v>
      </c>
      <c r="EK368" s="351"/>
      <c r="EL368" s="351"/>
      <c r="EM368" s="351"/>
      <c r="EN368" s="351"/>
      <c r="EO368" s="351"/>
      <c r="EP368" s="351"/>
      <c r="EQ368" s="351"/>
      <c r="ER368" s="351"/>
      <c r="ES368" s="351"/>
      <c r="ET368" s="351">
        <v>69</v>
      </c>
      <c r="EU368" s="351"/>
      <c r="EV368" s="351"/>
      <c r="EW368" s="351"/>
      <c r="EX368" s="351"/>
      <c r="EY368" s="351">
        <v>100</v>
      </c>
      <c r="EZ368" s="351"/>
      <c r="FA368" s="351"/>
      <c r="FB368" s="351"/>
      <c r="FC368" s="351"/>
      <c r="FD368" s="351"/>
      <c r="FE368" s="351"/>
      <c r="FF368" s="351"/>
      <c r="FG368" s="351"/>
      <c r="FH368" s="351"/>
      <c r="FI368" s="351"/>
      <c r="FJ368" s="351"/>
      <c r="FK368" s="351"/>
      <c r="FL368" s="351"/>
      <c r="FM368" s="351"/>
      <c r="FN368" s="351"/>
      <c r="FO368" s="351">
        <v>100</v>
      </c>
      <c r="FP368" s="351"/>
      <c r="FQ368" s="351"/>
      <c r="FR368" s="351"/>
      <c r="FS368" s="351">
        <v>150</v>
      </c>
      <c r="FT368" s="351"/>
      <c r="FU368" s="351"/>
      <c r="FV368" s="351"/>
      <c r="FW368" s="351"/>
      <c r="FX368" s="351"/>
      <c r="FY368" s="351"/>
      <c r="FZ368" s="351"/>
      <c r="GA368" s="351">
        <v>200</v>
      </c>
      <c r="GB368" s="351">
        <v>200</v>
      </c>
      <c r="GC368" s="351">
        <v>300</v>
      </c>
      <c r="GD368" s="351">
        <v>100</v>
      </c>
      <c r="GE368" s="351">
        <v>50</v>
      </c>
      <c r="GF368" s="351"/>
      <c r="GG368" s="351"/>
      <c r="GH368" s="351"/>
      <c r="GI368" s="351"/>
      <c r="GJ368" s="351">
        <v>25</v>
      </c>
      <c r="GK368" s="351"/>
      <c r="GL368" s="351"/>
      <c r="GM368" s="351"/>
      <c r="GN368" s="351">
        <v>250</v>
      </c>
      <c r="GO368" s="351"/>
      <c r="GP368" s="351"/>
      <c r="GQ368" s="351"/>
      <c r="GR368" s="351"/>
      <c r="GS368" s="351"/>
      <c r="GT368" s="351"/>
      <c r="GU368" s="351"/>
      <c r="GV368" s="351"/>
      <c r="GW368" s="351"/>
      <c r="GX368" s="351"/>
      <c r="GY368" s="351"/>
      <c r="GZ368" s="351"/>
      <c r="HA368" s="351"/>
      <c r="HB368" s="351"/>
      <c r="HC368" s="351"/>
      <c r="HD368" s="351"/>
      <c r="HE368" s="351"/>
      <c r="HF368" s="351">
        <v>300</v>
      </c>
      <c r="HG368" s="351">
        <v>200</v>
      </c>
      <c r="HH368" s="351"/>
      <c r="HI368" s="351"/>
      <c r="HJ368" s="351"/>
      <c r="HK368" s="351"/>
      <c r="HL368" s="351"/>
      <c r="HM368" s="351"/>
      <c r="HN368" s="351">
        <v>200</v>
      </c>
      <c r="HO368" s="351"/>
      <c r="HP368" s="351"/>
      <c r="HQ368" s="351"/>
      <c r="HR368" s="351"/>
      <c r="HS368" s="351"/>
      <c r="HT368" s="351"/>
      <c r="HU368" s="351"/>
      <c r="HV368" s="351"/>
      <c r="HW368" s="351"/>
      <c r="HX368" s="351">
        <v>500</v>
      </c>
      <c r="HY368" s="351">
        <f>528+48</f>
        <v>576</v>
      </c>
      <c r="HZ368" s="351"/>
      <c r="IA368" s="351"/>
      <c r="IB368" s="351"/>
      <c r="IC368" s="351"/>
      <c r="ID368" s="351"/>
      <c r="IE368" s="351"/>
      <c r="IF368" s="351"/>
      <c r="IG368" s="351"/>
      <c r="IH368" s="351"/>
      <c r="II368" s="351"/>
      <c r="IJ368" s="351"/>
      <c r="IK368" s="351"/>
      <c r="IL368" s="351"/>
      <c r="IM368" s="351"/>
      <c r="IN368" s="351"/>
      <c r="IO368" s="351"/>
      <c r="IP368" s="351"/>
    </row>
    <row r="369" spans="1:250" ht="15.75" customHeight="1" x14ac:dyDescent="0.25">
      <c r="A369" s="351" t="s">
        <v>1160</v>
      </c>
      <c r="B369" s="351" t="s">
        <v>1237</v>
      </c>
      <c r="C369" s="351"/>
      <c r="D369" s="351"/>
      <c r="E369" s="351"/>
      <c r="F369" s="351"/>
      <c r="G369" s="351"/>
      <c r="H369" s="351"/>
      <c r="I369" s="351"/>
      <c r="J369" s="351"/>
      <c r="K369" s="351"/>
      <c r="L369" s="351"/>
      <c r="M369" s="351"/>
      <c r="N369" s="351"/>
      <c r="O369" s="351"/>
      <c r="P369" s="351"/>
      <c r="Q369" s="351"/>
      <c r="R369" s="351"/>
      <c r="S369" s="351"/>
      <c r="T369" s="351"/>
      <c r="U369" s="351"/>
      <c r="V369" s="351"/>
      <c r="W369" s="351"/>
      <c r="X369" s="351"/>
      <c r="Y369" s="351"/>
      <c r="Z369" s="351"/>
      <c r="AA369" s="351"/>
      <c r="AB369" s="351"/>
      <c r="AC369" s="351"/>
      <c r="AD369" s="351"/>
      <c r="AE369" s="351"/>
      <c r="AF369" s="351"/>
      <c r="AG369" s="351"/>
      <c r="AH369" s="351"/>
      <c r="AI369" s="351"/>
      <c r="AJ369" s="351"/>
      <c r="AK369" s="351"/>
      <c r="AL369" s="351"/>
      <c r="AM369" s="351"/>
      <c r="AN369" s="351"/>
      <c r="AO369" s="351"/>
      <c r="AP369" s="351"/>
      <c r="AQ369" s="351"/>
      <c r="AR369" s="351"/>
      <c r="AS369" s="351"/>
      <c r="AT369" s="351"/>
      <c r="AU369" s="351"/>
      <c r="AV369" s="351"/>
      <c r="AW369" s="351"/>
      <c r="AX369" s="351"/>
      <c r="AY369" s="351"/>
      <c r="AZ369" s="351"/>
      <c r="BA369" s="351"/>
      <c r="BB369" s="351"/>
      <c r="BC369" s="351"/>
      <c r="BD369" s="351"/>
      <c r="BE369" s="351"/>
      <c r="BF369" s="351"/>
      <c r="BG369" s="351"/>
      <c r="BH369" s="351"/>
      <c r="BI369" s="351"/>
      <c r="BJ369" s="351"/>
      <c r="BK369" s="351"/>
      <c r="BL369" s="351"/>
      <c r="BM369" s="351"/>
      <c r="BN369" s="351"/>
      <c r="BO369" s="351"/>
      <c r="BP369" s="351"/>
      <c r="BQ369" s="201"/>
      <c r="BR369" s="201"/>
      <c r="BS369" s="201"/>
      <c r="BT369" s="201"/>
      <c r="BU369" s="351"/>
      <c r="BV369" s="351"/>
      <c r="BW369" s="351"/>
      <c r="BX369" s="351"/>
      <c r="BY369" s="351"/>
      <c r="BZ369" s="351"/>
      <c r="CA369" s="351"/>
      <c r="CB369" s="351"/>
      <c r="CC369" s="351"/>
      <c r="CD369" s="351"/>
      <c r="CE369" s="351"/>
      <c r="CF369" s="351"/>
      <c r="CG369" s="351"/>
      <c r="CH369" s="351"/>
      <c r="CI369" s="351"/>
      <c r="CJ369" s="351"/>
      <c r="CK369" s="351"/>
      <c r="CL369" s="351"/>
      <c r="CM369" s="351"/>
      <c r="CN369" s="351"/>
      <c r="CO369" s="351"/>
      <c r="CP369" s="351"/>
      <c r="CQ369" s="351"/>
      <c r="CR369" s="351"/>
      <c r="CS369" s="351"/>
      <c r="CT369" s="351"/>
      <c r="CU369" s="351"/>
      <c r="CV369" s="351"/>
      <c r="CW369" s="351"/>
      <c r="CX369" s="351"/>
      <c r="CY369" s="351"/>
      <c r="CZ369" s="351"/>
      <c r="DA369" s="351"/>
      <c r="DB369" s="351"/>
      <c r="DC369" s="351"/>
      <c r="DD369" s="351"/>
      <c r="DE369" s="351"/>
      <c r="DF369" s="351"/>
      <c r="DG369" s="351"/>
      <c r="DH369" s="351"/>
      <c r="DI369" s="351"/>
      <c r="DJ369" s="351"/>
      <c r="DK369" s="351"/>
      <c r="DL369" s="351"/>
      <c r="DM369" s="351"/>
      <c r="DN369" s="351"/>
      <c r="DO369" s="351"/>
      <c r="DP369" s="351"/>
      <c r="DQ369" s="351"/>
      <c r="DR369" s="351"/>
      <c r="DS369" s="351"/>
      <c r="DT369" s="351"/>
      <c r="DU369" s="351"/>
      <c r="DV369" s="351"/>
      <c r="DW369" s="351"/>
      <c r="DX369" s="351"/>
      <c r="DY369" s="351"/>
      <c r="DZ369" s="351"/>
      <c r="EA369" s="351"/>
      <c r="EB369" s="351"/>
      <c r="EC369" s="351"/>
      <c r="ED369" s="351"/>
      <c r="EE369" s="351"/>
      <c r="EF369" s="351"/>
      <c r="EG369" s="351"/>
      <c r="EH369" s="351"/>
      <c r="EI369" s="351"/>
      <c r="EJ369" s="351"/>
      <c r="EK369" s="351"/>
      <c r="EL369" s="351"/>
      <c r="EM369" s="351"/>
      <c r="EN369" s="351"/>
      <c r="EO369" s="351"/>
      <c r="EP369" s="351"/>
      <c r="EQ369" s="351"/>
      <c r="ER369" s="351"/>
      <c r="ES369" s="351"/>
      <c r="ET369" s="351"/>
      <c r="EU369" s="351"/>
      <c r="EV369" s="351"/>
      <c r="EW369" s="351"/>
      <c r="EX369" s="351"/>
      <c r="EY369" s="351"/>
      <c r="EZ369" s="351"/>
      <c r="FA369" s="351"/>
      <c r="FB369" s="351"/>
      <c r="FC369" s="351"/>
      <c r="FD369" s="351"/>
      <c r="FE369" s="351"/>
      <c r="FF369" s="351"/>
      <c r="FG369" s="351"/>
      <c r="FH369" s="351"/>
      <c r="FI369" s="351"/>
      <c r="FJ369" s="351"/>
      <c r="FK369" s="351"/>
      <c r="FL369" s="351"/>
      <c r="FM369" s="351"/>
      <c r="FN369" s="351"/>
      <c r="FO369" s="351"/>
      <c r="FP369" s="351"/>
      <c r="FQ369" s="351"/>
      <c r="FR369" s="351"/>
      <c r="FS369" s="351"/>
      <c r="FT369" s="351"/>
      <c r="FU369" s="351"/>
      <c r="FV369" s="351"/>
      <c r="FW369" s="351"/>
      <c r="FX369" s="351"/>
      <c r="FY369" s="351"/>
      <c r="FZ369" s="351"/>
      <c r="GA369" s="351"/>
      <c r="GB369" s="351"/>
      <c r="GC369" s="351"/>
      <c r="GD369" s="351"/>
      <c r="GE369" s="351"/>
      <c r="GF369" s="351"/>
      <c r="GG369" s="351"/>
      <c r="GH369" s="351"/>
      <c r="GI369" s="351"/>
      <c r="GJ369" s="351"/>
      <c r="GK369" s="351"/>
      <c r="GL369" s="351"/>
      <c r="GM369" s="351"/>
      <c r="GN369" s="351"/>
      <c r="GO369" s="351"/>
      <c r="GP369" s="351"/>
      <c r="GQ369" s="351"/>
      <c r="GR369" s="351"/>
      <c r="GS369" s="351"/>
      <c r="GT369" s="351"/>
      <c r="GU369" s="351"/>
      <c r="GV369" s="351"/>
      <c r="GW369" s="351"/>
      <c r="GX369" s="351"/>
      <c r="GY369" s="351"/>
      <c r="GZ369" s="351"/>
      <c r="HA369" s="351"/>
      <c r="HB369" s="351"/>
      <c r="HC369" s="351"/>
      <c r="HD369" s="351"/>
      <c r="HE369" s="351"/>
      <c r="HF369" s="351"/>
      <c r="HG369" s="351"/>
      <c r="HH369" s="351"/>
      <c r="HI369" s="351"/>
      <c r="HJ369" s="351"/>
      <c r="HK369" s="351"/>
      <c r="HL369" s="351"/>
      <c r="HM369" s="351"/>
      <c r="HN369" s="351"/>
      <c r="HO369" s="351"/>
      <c r="HP369" s="351"/>
      <c r="HQ369" s="351"/>
      <c r="HR369" s="351"/>
      <c r="HS369" s="351"/>
      <c r="HT369" s="351"/>
      <c r="HU369" s="351"/>
      <c r="HV369" s="351"/>
      <c r="HW369" s="351"/>
      <c r="HX369" s="351"/>
      <c r="HY369" s="351"/>
      <c r="HZ369" s="351"/>
      <c r="IA369" s="351"/>
      <c r="IB369" s="351"/>
      <c r="IC369" s="351"/>
      <c r="ID369" s="351"/>
      <c r="IE369" s="351"/>
      <c r="IF369" s="351"/>
      <c r="IG369" s="351"/>
      <c r="IH369" s="351"/>
      <c r="II369" s="351"/>
      <c r="IJ369" s="351"/>
      <c r="IK369" s="351"/>
      <c r="IL369" s="351"/>
      <c r="IM369" s="351"/>
      <c r="IN369" s="351"/>
      <c r="IO369" s="351"/>
      <c r="IP369" s="351"/>
    </row>
    <row r="370" spans="1:250" ht="15.75" customHeight="1" x14ac:dyDescent="0.25">
      <c r="A370" s="351" t="s">
        <v>1241</v>
      </c>
      <c r="B370" s="351" t="s">
        <v>1242</v>
      </c>
      <c r="C370" s="351"/>
      <c r="D370" s="351"/>
      <c r="E370" s="351">
        <v>15</v>
      </c>
      <c r="F370" s="351"/>
      <c r="G370" s="351"/>
      <c r="H370" s="351"/>
      <c r="I370" s="351"/>
      <c r="J370" s="351"/>
      <c r="K370" s="351"/>
      <c r="L370" s="351"/>
      <c r="M370" s="351"/>
      <c r="N370" s="351"/>
      <c r="O370" s="351"/>
      <c r="P370" s="351"/>
      <c r="Q370" s="351"/>
      <c r="R370" s="351"/>
      <c r="S370" s="351">
        <v>15</v>
      </c>
      <c r="T370" s="351"/>
      <c r="U370" s="351"/>
      <c r="V370" s="351"/>
      <c r="W370" s="351"/>
      <c r="X370" s="351"/>
      <c r="Y370" s="351">
        <v>15</v>
      </c>
      <c r="Z370" s="351">
        <v>15</v>
      </c>
      <c r="AA370" s="351"/>
      <c r="AB370" s="351"/>
      <c r="AC370" s="351"/>
      <c r="AD370" s="351"/>
      <c r="AE370" s="351"/>
      <c r="AF370" s="351"/>
      <c r="AG370" s="351">
        <v>5</v>
      </c>
      <c r="AH370" s="351"/>
      <c r="AI370" s="351"/>
      <c r="AJ370" s="351"/>
      <c r="AK370" s="351"/>
      <c r="AL370" s="351"/>
      <c r="AM370" s="351"/>
      <c r="AN370" s="351"/>
      <c r="AO370" s="351"/>
      <c r="AP370" s="351"/>
      <c r="AQ370" s="80">
        <v>10</v>
      </c>
      <c r="AR370" s="351">
        <v>5</v>
      </c>
      <c r="AS370" s="351">
        <v>10</v>
      </c>
      <c r="AT370" s="351">
        <v>10</v>
      </c>
      <c r="AU370" s="351"/>
      <c r="AV370" s="351"/>
      <c r="AW370" s="351"/>
      <c r="AX370" s="351"/>
      <c r="AY370" s="351"/>
      <c r="AZ370" s="351"/>
      <c r="BA370" s="351"/>
      <c r="BB370" s="351"/>
      <c r="BC370" s="351"/>
      <c r="BD370" s="351"/>
      <c r="BE370" s="351"/>
      <c r="BF370" s="351"/>
      <c r="BG370" s="351"/>
      <c r="BH370" s="351"/>
      <c r="BI370" s="351"/>
      <c r="BJ370" s="351"/>
      <c r="BK370" s="351"/>
      <c r="BL370" s="351"/>
      <c r="BM370" s="351"/>
      <c r="BN370" s="351"/>
      <c r="BO370" s="351"/>
      <c r="BP370" s="351"/>
      <c r="BQ370" s="351"/>
      <c r="BR370" s="351"/>
      <c r="BS370" s="351"/>
      <c r="BT370" s="351"/>
      <c r="BU370" s="351"/>
      <c r="BV370" s="351"/>
      <c r="BW370" s="351"/>
      <c r="BX370" s="351"/>
      <c r="BY370" s="351"/>
      <c r="BZ370" s="351"/>
      <c r="CA370" s="351"/>
      <c r="CB370" s="351"/>
      <c r="CC370" s="351"/>
      <c r="CD370" s="351"/>
      <c r="CE370" s="351"/>
      <c r="CF370" s="351"/>
      <c r="CG370" s="351"/>
      <c r="CH370" s="351"/>
      <c r="CI370" s="351"/>
      <c r="CJ370" s="351"/>
      <c r="CK370" s="351"/>
      <c r="CL370" s="351"/>
      <c r="CM370" s="351"/>
      <c r="CN370" s="351"/>
      <c r="CO370" s="351"/>
      <c r="CP370" s="351"/>
      <c r="CQ370" s="351"/>
      <c r="CR370" s="351"/>
      <c r="CS370" s="351"/>
      <c r="CT370" s="351"/>
      <c r="CU370" s="351"/>
      <c r="CV370" s="351"/>
      <c r="CW370" s="351"/>
      <c r="CX370" s="351"/>
      <c r="CY370" s="351">
        <v>12</v>
      </c>
      <c r="CZ370" s="351"/>
      <c r="DA370" s="351"/>
      <c r="DB370" s="351">
        <v>12</v>
      </c>
      <c r="DC370" s="351"/>
      <c r="DD370" s="351"/>
      <c r="DE370" s="351"/>
      <c r="DF370" s="351"/>
      <c r="DG370" s="351"/>
      <c r="DH370" s="351"/>
      <c r="DI370" s="351"/>
      <c r="DJ370" s="351"/>
      <c r="DK370" s="351">
        <v>6</v>
      </c>
      <c r="DL370" s="351"/>
      <c r="DM370" s="351"/>
      <c r="DN370" s="351"/>
      <c r="DO370" s="351"/>
      <c r="DP370" s="351"/>
      <c r="DQ370" s="351"/>
      <c r="DR370" s="351"/>
      <c r="DS370" s="351">
        <v>24</v>
      </c>
      <c r="DT370" s="351"/>
      <c r="DU370" s="351"/>
      <c r="DV370" s="351"/>
      <c r="DW370" s="351"/>
      <c r="DX370" s="351"/>
      <c r="DY370" s="351"/>
      <c r="DZ370" s="351"/>
      <c r="EA370" s="351"/>
      <c r="EB370" s="351"/>
      <c r="EC370" s="351">
        <v>6</v>
      </c>
      <c r="ED370" s="351"/>
      <c r="EE370" s="351">
        <v>12</v>
      </c>
      <c r="EF370" s="351"/>
      <c r="EG370" s="351"/>
      <c r="EH370" s="351"/>
      <c r="EI370" s="351"/>
      <c r="EJ370" s="351"/>
      <c r="EK370" s="351"/>
      <c r="EL370" s="351"/>
      <c r="EM370" s="351"/>
      <c r="EN370" s="351"/>
      <c r="EO370" s="351"/>
      <c r="EP370" s="351"/>
      <c r="EQ370" s="351"/>
      <c r="ER370" s="351"/>
      <c r="ES370" s="351"/>
      <c r="ET370" s="351"/>
      <c r="EU370" s="351"/>
      <c r="EV370" s="351"/>
      <c r="EW370" s="351"/>
      <c r="EX370" s="351"/>
      <c r="EY370" s="351"/>
      <c r="EZ370" s="351"/>
      <c r="FA370" s="351"/>
      <c r="FB370" s="351"/>
      <c r="FC370" s="351"/>
      <c r="FD370" s="351"/>
      <c r="FE370" s="351"/>
      <c r="FF370" s="351"/>
      <c r="FG370" s="351"/>
      <c r="FH370" s="351"/>
      <c r="FI370" s="351"/>
      <c r="FJ370" s="351"/>
      <c r="FK370" s="351"/>
      <c r="FL370" s="351"/>
      <c r="FM370" s="351"/>
      <c r="FN370" s="351"/>
      <c r="FO370" s="351">
        <v>200</v>
      </c>
      <c r="FP370" s="351"/>
      <c r="FQ370" s="351"/>
      <c r="FR370" s="351"/>
      <c r="FS370" s="351">
        <v>100</v>
      </c>
      <c r="FT370" s="351"/>
      <c r="FU370" s="351"/>
      <c r="FV370" s="351"/>
      <c r="FW370" s="351"/>
      <c r="FX370" s="351"/>
      <c r="FY370" s="351"/>
      <c r="FZ370" s="351"/>
      <c r="GA370" s="351">
        <v>100</v>
      </c>
      <c r="GB370" s="351"/>
      <c r="GC370" s="351">
        <v>250</v>
      </c>
      <c r="GD370" s="351">
        <v>50</v>
      </c>
      <c r="GE370" s="351"/>
      <c r="GF370" s="351"/>
      <c r="GG370" s="351"/>
      <c r="GH370" s="351"/>
      <c r="GI370" s="351"/>
      <c r="GJ370" s="351"/>
      <c r="GK370" s="351"/>
      <c r="GL370" s="351"/>
      <c r="GM370" s="351"/>
      <c r="GN370" s="351">
        <v>50</v>
      </c>
      <c r="GO370" s="351"/>
      <c r="GP370" s="351"/>
      <c r="GQ370" s="351"/>
      <c r="GR370" s="351"/>
      <c r="GS370" s="351"/>
      <c r="GT370" s="351"/>
      <c r="GU370" s="351"/>
      <c r="GV370" s="351"/>
      <c r="GW370" s="351"/>
      <c r="GX370" s="351"/>
      <c r="GY370" s="351"/>
      <c r="GZ370" s="351"/>
      <c r="HA370" s="351"/>
      <c r="HB370" s="351"/>
      <c r="HC370" s="351"/>
      <c r="HD370" s="351"/>
      <c r="HE370" s="351"/>
      <c r="HF370" s="351"/>
      <c r="HG370" s="351"/>
      <c r="HH370" s="351"/>
      <c r="HI370" s="351"/>
      <c r="HJ370" s="351"/>
      <c r="HK370" s="351"/>
      <c r="HL370" s="351"/>
      <c r="HM370" s="351"/>
      <c r="HN370" s="351"/>
      <c r="HO370" s="351"/>
      <c r="HP370" s="351"/>
      <c r="HQ370" s="351"/>
      <c r="HR370" s="351"/>
      <c r="HS370" s="351"/>
      <c r="HT370" s="351"/>
      <c r="HU370" s="351"/>
      <c r="HV370" s="351"/>
      <c r="HW370" s="351"/>
      <c r="HX370" s="351"/>
      <c r="HY370" s="351">
        <f>24*24</f>
        <v>576</v>
      </c>
      <c r="HZ370" s="351"/>
      <c r="IA370" s="351"/>
      <c r="IB370" s="351"/>
      <c r="IC370" s="351"/>
      <c r="ID370" s="351"/>
      <c r="IE370" s="351"/>
      <c r="IF370" s="351"/>
      <c r="IG370" s="351"/>
      <c r="IH370" s="351"/>
      <c r="II370" s="351"/>
      <c r="IJ370" s="351"/>
      <c r="IK370" s="351"/>
      <c r="IL370" s="351"/>
      <c r="IM370" s="351"/>
      <c r="IN370" s="351"/>
      <c r="IO370" s="351"/>
      <c r="IP370" s="351"/>
    </row>
    <row r="371" spans="1:250" ht="15.75" customHeight="1" x14ac:dyDescent="0.25">
      <c r="A371" s="351" t="s">
        <v>1241</v>
      </c>
      <c r="B371" s="351" t="s">
        <v>1244</v>
      </c>
      <c r="C371" s="351"/>
      <c r="D371" s="351"/>
      <c r="E371" s="351"/>
      <c r="F371" s="351"/>
      <c r="G371" s="351"/>
      <c r="H371" s="351"/>
      <c r="I371" s="351"/>
      <c r="J371" s="351"/>
      <c r="K371" s="351"/>
      <c r="L371" s="351"/>
      <c r="M371" s="351"/>
      <c r="N371" s="351"/>
      <c r="O371" s="351"/>
      <c r="P371" s="351"/>
      <c r="Q371" s="351"/>
      <c r="R371" s="351"/>
      <c r="S371" s="351"/>
      <c r="T371" s="351"/>
      <c r="U371" s="351"/>
      <c r="V371" s="351"/>
      <c r="W371" s="351"/>
      <c r="X371" s="351"/>
      <c r="Y371" s="351"/>
      <c r="Z371" s="351"/>
      <c r="AA371" s="351"/>
      <c r="AB371" s="351"/>
      <c r="AC371" s="351"/>
      <c r="AD371" s="351"/>
      <c r="AE371" s="351"/>
      <c r="AF371" s="351"/>
      <c r="AG371" s="351"/>
      <c r="AH371" s="351"/>
      <c r="AI371" s="351"/>
      <c r="AJ371" s="351"/>
      <c r="AK371" s="351"/>
      <c r="AL371" s="351"/>
      <c r="AM371" s="351"/>
      <c r="AN371" s="351"/>
      <c r="AO371" s="351"/>
      <c r="AP371" s="351"/>
      <c r="AQ371" s="351"/>
      <c r="AR371" s="351"/>
      <c r="AS371" s="351"/>
      <c r="AT371" s="351"/>
      <c r="AU371" s="351"/>
      <c r="AV371" s="351"/>
      <c r="AW371" s="351"/>
      <c r="AX371" s="351"/>
      <c r="AY371" s="351"/>
      <c r="AZ371" s="351"/>
      <c r="BA371" s="351"/>
      <c r="BB371" s="351"/>
      <c r="BC371" s="351"/>
      <c r="BD371" s="351"/>
      <c r="BE371" s="351"/>
      <c r="BF371" s="351"/>
      <c r="BG371" s="351"/>
      <c r="BH371" s="351"/>
      <c r="BI371" s="351"/>
      <c r="BJ371" s="351"/>
      <c r="BK371" s="351"/>
      <c r="BL371" s="351"/>
      <c r="BM371" s="351"/>
      <c r="BN371" s="351"/>
      <c r="BO371" s="351"/>
      <c r="BP371" s="351"/>
      <c r="BQ371" s="351"/>
      <c r="BR371" s="351"/>
      <c r="BS371" s="351"/>
      <c r="BT371" s="351"/>
      <c r="BU371" s="351"/>
      <c r="BV371" s="351"/>
      <c r="BW371" s="351"/>
      <c r="BX371" s="351"/>
      <c r="BY371" s="351"/>
      <c r="BZ371" s="351"/>
      <c r="CA371" s="351"/>
      <c r="CB371" s="351"/>
      <c r="CC371" s="351"/>
      <c r="CD371" s="351"/>
      <c r="CE371" s="351"/>
      <c r="CF371" s="351"/>
      <c r="CG371" s="351"/>
      <c r="CH371" s="351"/>
      <c r="CI371" s="351"/>
      <c r="CJ371" s="351"/>
      <c r="CK371" s="351"/>
      <c r="CL371" s="351"/>
      <c r="CM371" s="351"/>
      <c r="CN371" s="351"/>
      <c r="CO371" s="351"/>
      <c r="CP371" s="351"/>
      <c r="CQ371" s="351"/>
      <c r="CR371" s="351"/>
      <c r="CS371" s="351"/>
      <c r="CT371" s="351"/>
      <c r="CU371" s="351"/>
      <c r="CV371" s="351"/>
      <c r="CW371" s="351"/>
      <c r="CX371" s="351"/>
      <c r="CY371" s="351"/>
      <c r="CZ371" s="351"/>
      <c r="DA371" s="351"/>
      <c r="DB371" s="351"/>
      <c r="DC371" s="351"/>
      <c r="DD371" s="351"/>
      <c r="DE371" s="351"/>
      <c r="DF371" s="351"/>
      <c r="DG371" s="351"/>
      <c r="DH371" s="351"/>
      <c r="DI371" s="351"/>
      <c r="DJ371" s="351"/>
      <c r="DK371" s="351"/>
      <c r="DL371" s="351"/>
      <c r="DM371" s="351"/>
      <c r="DN371" s="351"/>
      <c r="DO371" s="351"/>
      <c r="DP371" s="351"/>
      <c r="DQ371" s="351"/>
      <c r="DR371" s="351"/>
      <c r="DS371" s="351"/>
      <c r="DT371" s="351"/>
      <c r="DU371" s="351"/>
      <c r="DV371" s="351"/>
      <c r="DW371" s="351"/>
      <c r="DX371" s="351"/>
      <c r="DY371" s="351"/>
      <c r="DZ371" s="351"/>
      <c r="EA371" s="351"/>
      <c r="EB371" s="351"/>
      <c r="EC371" s="351"/>
      <c r="ED371" s="351"/>
      <c r="EE371" s="351"/>
      <c r="EF371" s="351"/>
      <c r="EG371" s="351"/>
      <c r="EH371" s="351"/>
      <c r="EI371" s="351"/>
      <c r="EJ371" s="351"/>
      <c r="EK371" s="351"/>
      <c r="EL371" s="351"/>
      <c r="EM371" s="351"/>
      <c r="EN371" s="351"/>
      <c r="EO371" s="351"/>
      <c r="EP371" s="351"/>
      <c r="EQ371" s="351"/>
      <c r="ER371" s="351"/>
      <c r="ES371" s="351"/>
      <c r="ET371" s="351">
        <v>120</v>
      </c>
      <c r="EU371" s="351"/>
      <c r="EV371" s="351"/>
      <c r="EW371" s="351"/>
      <c r="EX371" s="351"/>
      <c r="EY371" s="351"/>
      <c r="EZ371" s="351"/>
      <c r="FA371" s="351"/>
      <c r="FB371" s="351"/>
      <c r="FC371" s="351"/>
      <c r="FD371" s="351"/>
      <c r="FE371" s="351"/>
      <c r="FF371" s="351"/>
      <c r="FG371" s="351"/>
      <c r="FH371" s="351"/>
      <c r="FI371" s="351"/>
      <c r="FJ371" s="351"/>
      <c r="FK371" s="351"/>
      <c r="FL371" s="351"/>
      <c r="FM371" s="351"/>
      <c r="FN371" s="351"/>
      <c r="FO371" s="351"/>
      <c r="FP371" s="351"/>
      <c r="FQ371" s="351"/>
      <c r="FR371" s="351"/>
      <c r="FS371" s="351"/>
      <c r="FT371" s="351"/>
      <c r="FU371" s="351"/>
      <c r="FV371" s="351"/>
      <c r="FW371" s="351"/>
      <c r="FX371" s="351"/>
      <c r="FY371" s="351"/>
      <c r="FZ371" s="351"/>
      <c r="GA371" s="351"/>
      <c r="GB371" s="351"/>
      <c r="GC371" s="351"/>
      <c r="GD371" s="351"/>
      <c r="GE371" s="351"/>
      <c r="GF371" s="351"/>
      <c r="GG371" s="351"/>
      <c r="GH371" s="351"/>
      <c r="GI371" s="351"/>
      <c r="GJ371" s="351"/>
      <c r="GK371" s="351"/>
      <c r="GL371" s="351"/>
      <c r="GM371" s="351"/>
      <c r="GN371" s="351"/>
      <c r="GO371" s="351"/>
      <c r="GP371" s="351"/>
      <c r="GQ371" s="351"/>
      <c r="GR371" s="351"/>
      <c r="GS371" s="351"/>
      <c r="GT371" s="351"/>
      <c r="GU371" s="351"/>
      <c r="GV371" s="351"/>
      <c r="GW371" s="351"/>
      <c r="GX371" s="351"/>
      <c r="GY371" s="351"/>
      <c r="GZ371" s="351"/>
      <c r="HA371" s="351"/>
      <c r="HB371" s="351"/>
      <c r="HC371" s="351"/>
      <c r="HD371" s="351"/>
      <c r="HE371" s="351"/>
      <c r="HF371" s="351"/>
      <c r="HG371" s="351"/>
      <c r="HH371" s="351"/>
      <c r="HI371" s="351"/>
      <c r="HJ371" s="351"/>
      <c r="HK371" s="351"/>
      <c r="HL371" s="351"/>
      <c r="HM371" s="351"/>
      <c r="HN371" s="351"/>
      <c r="HO371" s="351"/>
      <c r="HP371" s="351"/>
      <c r="HQ371" s="351"/>
      <c r="HR371" s="351"/>
      <c r="HS371" s="351"/>
      <c r="HT371" s="351"/>
      <c r="HU371" s="351"/>
      <c r="HV371" s="351"/>
      <c r="HW371" s="351"/>
      <c r="HX371" s="351"/>
      <c r="HY371" s="351"/>
      <c r="HZ371" s="351"/>
      <c r="IA371" s="351"/>
      <c r="IB371" s="351"/>
      <c r="IC371" s="351"/>
      <c r="ID371" s="351"/>
      <c r="IE371" s="351"/>
      <c r="IF371" s="351"/>
      <c r="IG371" s="351"/>
      <c r="IH371" s="351"/>
      <c r="II371" s="351"/>
      <c r="IJ371" s="351"/>
      <c r="IK371" s="351"/>
      <c r="IL371" s="351"/>
      <c r="IM371" s="351"/>
      <c r="IN371" s="351"/>
      <c r="IO371" s="351"/>
      <c r="IP371" s="351"/>
    </row>
    <row r="372" spans="1:250" ht="15.75" customHeight="1" x14ac:dyDescent="0.25">
      <c r="A372" s="351" t="s">
        <v>1245</v>
      </c>
      <c r="B372" s="351" t="s">
        <v>1246</v>
      </c>
      <c r="C372" s="351"/>
      <c r="D372" s="351"/>
      <c r="E372" s="351"/>
      <c r="F372" s="351"/>
      <c r="G372" s="351"/>
      <c r="H372" s="351"/>
      <c r="I372" s="351"/>
      <c r="J372" s="351"/>
      <c r="K372" s="351"/>
      <c r="L372" s="351"/>
      <c r="M372" s="351"/>
      <c r="N372" s="351"/>
      <c r="O372" s="351"/>
      <c r="P372" s="351"/>
      <c r="Q372" s="351"/>
      <c r="R372" s="351"/>
      <c r="S372" s="351"/>
      <c r="T372" s="351"/>
      <c r="U372" s="351"/>
      <c r="V372" s="351"/>
      <c r="W372" s="351"/>
      <c r="X372" s="351"/>
      <c r="Y372" s="351"/>
      <c r="Z372" s="351"/>
      <c r="AA372" s="351"/>
      <c r="AB372" s="351"/>
      <c r="AC372" s="351"/>
      <c r="AD372" s="351"/>
      <c r="AE372" s="351"/>
      <c r="AF372" s="351"/>
      <c r="AG372" s="351"/>
      <c r="AH372" s="351"/>
      <c r="AI372" s="351"/>
      <c r="AJ372" s="351"/>
      <c r="AK372" s="351"/>
      <c r="AL372" s="351"/>
      <c r="AM372" s="351"/>
      <c r="AN372" s="351"/>
      <c r="AO372" s="351"/>
      <c r="AP372" s="351"/>
      <c r="AQ372" s="351"/>
      <c r="AR372" s="351"/>
      <c r="AS372" s="351"/>
      <c r="AT372" s="351"/>
      <c r="AU372" s="351"/>
      <c r="AV372" s="351"/>
      <c r="AW372" s="351"/>
      <c r="AX372" s="351"/>
      <c r="AY372" s="351"/>
      <c r="AZ372" s="351"/>
      <c r="BA372" s="351"/>
      <c r="BB372" s="351"/>
      <c r="BC372" s="351"/>
      <c r="BD372" s="351"/>
      <c r="BE372" s="351"/>
      <c r="BF372" s="351"/>
      <c r="BG372" s="351"/>
      <c r="BH372" s="351"/>
      <c r="BI372" s="351"/>
      <c r="BJ372" s="351"/>
      <c r="BK372" s="351"/>
      <c r="BL372" s="351"/>
      <c r="BM372" s="351"/>
      <c r="BN372" s="351"/>
      <c r="BO372" s="351"/>
      <c r="BP372" s="351"/>
      <c r="BQ372" s="351"/>
      <c r="BR372" s="351"/>
      <c r="BS372" s="351"/>
      <c r="BT372" s="351"/>
      <c r="BU372" s="351"/>
      <c r="BV372" s="351"/>
      <c r="BW372" s="351"/>
      <c r="BX372" s="351"/>
      <c r="BY372" s="351"/>
      <c r="BZ372" s="351"/>
      <c r="CA372" s="351"/>
      <c r="CB372" s="351"/>
      <c r="CC372" s="351"/>
      <c r="CD372" s="351"/>
      <c r="CE372" s="351"/>
      <c r="CF372" s="351"/>
      <c r="CG372" s="351"/>
      <c r="CH372" s="351"/>
      <c r="CI372" s="351"/>
      <c r="CJ372" s="351"/>
      <c r="CK372" s="351"/>
      <c r="CL372" s="351"/>
      <c r="CM372" s="351"/>
      <c r="CN372" s="351"/>
      <c r="CO372" s="351"/>
      <c r="CP372" s="351"/>
      <c r="CQ372" s="351"/>
      <c r="CR372" s="351"/>
      <c r="CS372" s="351"/>
      <c r="CT372" s="351"/>
      <c r="CU372" s="351"/>
      <c r="CV372" s="351"/>
      <c r="CW372" s="351"/>
      <c r="CX372" s="351"/>
      <c r="CY372" s="351"/>
      <c r="CZ372" s="351"/>
      <c r="DA372" s="351"/>
      <c r="DB372" s="351"/>
      <c r="DC372" s="351"/>
      <c r="DD372" s="351"/>
      <c r="DE372" s="351"/>
      <c r="DF372" s="351"/>
      <c r="DG372" s="351"/>
      <c r="DH372" s="351"/>
      <c r="DI372" s="351"/>
      <c r="DJ372" s="351"/>
      <c r="DK372" s="351"/>
      <c r="DL372" s="351"/>
      <c r="DM372" s="351"/>
      <c r="DN372" s="351"/>
      <c r="DO372" s="351"/>
      <c r="DP372" s="351"/>
      <c r="DQ372" s="351"/>
      <c r="DR372" s="351"/>
      <c r="DS372" s="351"/>
      <c r="DT372" s="351"/>
      <c r="DU372" s="351"/>
      <c r="DV372" s="351"/>
      <c r="DW372" s="351"/>
      <c r="DX372" s="351"/>
      <c r="DY372" s="351"/>
      <c r="DZ372" s="351"/>
      <c r="EA372" s="351"/>
      <c r="EB372" s="351"/>
      <c r="EC372" s="351"/>
      <c r="ED372" s="351"/>
      <c r="EE372" s="351"/>
      <c r="EF372" s="351"/>
      <c r="EG372" s="351"/>
      <c r="EH372" s="351"/>
      <c r="EI372" s="351"/>
      <c r="EJ372" s="351"/>
      <c r="EK372" s="351"/>
      <c r="EL372" s="351"/>
      <c r="EM372" s="351"/>
      <c r="EN372" s="351"/>
      <c r="EO372" s="351"/>
      <c r="EP372" s="351"/>
      <c r="EQ372" s="351"/>
      <c r="ER372" s="351"/>
      <c r="ES372" s="351"/>
      <c r="ET372" s="351"/>
      <c r="EU372" s="351"/>
      <c r="EV372" s="351"/>
      <c r="EW372" s="351"/>
      <c r="EX372" s="351"/>
      <c r="EY372" s="351"/>
      <c r="EZ372" s="351"/>
      <c r="FA372" s="351"/>
      <c r="FB372" s="351"/>
      <c r="FC372" s="351"/>
      <c r="FD372" s="351"/>
      <c r="FE372" s="351"/>
      <c r="FF372" s="351"/>
      <c r="FG372" s="351"/>
      <c r="FH372" s="351"/>
      <c r="FI372" s="351"/>
      <c r="FJ372" s="351"/>
      <c r="FK372" s="351"/>
      <c r="FL372" s="351"/>
      <c r="FM372" s="351"/>
      <c r="FN372" s="351"/>
      <c r="FO372" s="351"/>
      <c r="FP372" s="351"/>
      <c r="FQ372" s="351"/>
      <c r="FR372" s="351"/>
      <c r="FS372" s="351"/>
      <c r="FT372" s="351"/>
      <c r="FU372" s="351"/>
      <c r="FV372" s="351"/>
      <c r="FW372" s="351"/>
      <c r="FX372" s="351"/>
      <c r="FY372" s="351"/>
      <c r="FZ372" s="351"/>
      <c r="GA372" s="351"/>
      <c r="GB372" s="351"/>
      <c r="GC372" s="351"/>
      <c r="GD372" s="351"/>
      <c r="GE372" s="351"/>
      <c r="GF372" s="351"/>
      <c r="GG372" s="351"/>
      <c r="GH372" s="351"/>
      <c r="GI372" s="351"/>
      <c r="GJ372" s="351"/>
      <c r="GK372" s="351"/>
      <c r="GL372" s="351"/>
      <c r="GM372" s="351"/>
      <c r="GN372" s="351"/>
      <c r="GO372" s="351"/>
      <c r="GP372" s="351"/>
      <c r="GQ372" s="351"/>
      <c r="GR372" s="351"/>
      <c r="GS372" s="351"/>
      <c r="GT372" s="351"/>
      <c r="GU372" s="351"/>
      <c r="GV372" s="351"/>
      <c r="GW372" s="351"/>
      <c r="GX372" s="351"/>
      <c r="GY372" s="351"/>
      <c r="GZ372" s="351"/>
      <c r="HA372" s="351"/>
      <c r="HB372" s="351"/>
      <c r="HC372" s="351"/>
      <c r="HD372" s="351"/>
      <c r="HE372" s="351"/>
      <c r="HF372" s="351"/>
      <c r="HG372" s="351"/>
      <c r="HH372" s="351"/>
      <c r="HI372" s="351"/>
      <c r="HJ372" s="351"/>
      <c r="HK372" s="351"/>
      <c r="HL372" s="351"/>
      <c r="HM372" s="351"/>
      <c r="HN372" s="351"/>
      <c r="HO372" s="351"/>
      <c r="HP372" s="351"/>
      <c r="HQ372" s="351"/>
      <c r="HR372" s="351"/>
      <c r="HS372" s="351"/>
      <c r="HT372" s="351"/>
      <c r="HU372" s="351"/>
      <c r="HV372" s="351">
        <f>39*5</f>
        <v>195</v>
      </c>
      <c r="HW372" s="351"/>
      <c r="HX372" s="351"/>
      <c r="HY372" s="351">
        <f>120*24</f>
        <v>2880</v>
      </c>
      <c r="HZ372" s="351"/>
      <c r="IA372" s="351"/>
      <c r="IB372" s="351"/>
      <c r="IC372" s="351"/>
      <c r="ID372" s="351"/>
      <c r="IE372" s="351"/>
      <c r="IF372" s="351"/>
      <c r="IG372" s="351"/>
      <c r="IH372" s="351"/>
      <c r="II372" s="351"/>
      <c r="IJ372" s="351"/>
      <c r="IK372" s="351"/>
      <c r="IL372" s="351"/>
      <c r="IM372" s="351"/>
      <c r="IN372" s="351"/>
      <c r="IO372" s="351"/>
      <c r="IP372" s="351"/>
    </row>
    <row r="373" spans="1:250" ht="15.75" customHeight="1" x14ac:dyDescent="0.25">
      <c r="A373" s="351" t="s">
        <v>1245</v>
      </c>
      <c r="B373" s="351" t="s">
        <v>1248</v>
      </c>
      <c r="C373" s="351"/>
      <c r="D373" s="351"/>
      <c r="E373" s="351"/>
      <c r="F373" s="351"/>
      <c r="G373" s="351"/>
      <c r="H373" s="351"/>
      <c r="I373" s="351"/>
      <c r="J373" s="351"/>
      <c r="K373" s="351"/>
      <c r="L373" s="351"/>
      <c r="M373" s="351"/>
      <c r="N373" s="351"/>
      <c r="O373" s="351"/>
      <c r="P373" s="351"/>
      <c r="Q373" s="351"/>
      <c r="R373" s="351"/>
      <c r="S373" s="351"/>
      <c r="T373" s="351"/>
      <c r="U373" s="351"/>
      <c r="V373" s="351"/>
      <c r="W373" s="351"/>
      <c r="X373" s="351"/>
      <c r="Y373" s="351"/>
      <c r="Z373" s="351"/>
      <c r="AA373" s="351"/>
      <c r="AB373" s="351"/>
      <c r="AC373" s="351"/>
      <c r="AD373" s="351"/>
      <c r="AE373" s="351"/>
      <c r="AF373" s="351"/>
      <c r="AG373" s="351"/>
      <c r="AH373" s="351"/>
      <c r="AI373" s="351"/>
      <c r="AJ373" s="351"/>
      <c r="AK373" s="351"/>
      <c r="AL373" s="351"/>
      <c r="AM373" s="351"/>
      <c r="AN373" s="351"/>
      <c r="AO373" s="351"/>
      <c r="AP373" s="351"/>
      <c r="AQ373" s="351"/>
      <c r="AR373" s="351"/>
      <c r="AS373" s="351"/>
      <c r="AT373" s="351"/>
      <c r="AU373" s="351"/>
      <c r="AV373" s="351"/>
      <c r="AW373" s="351"/>
      <c r="AX373" s="351"/>
      <c r="AY373" s="351"/>
      <c r="AZ373" s="351"/>
      <c r="BA373" s="351"/>
      <c r="BB373" s="351"/>
      <c r="BC373" s="351"/>
      <c r="BD373" s="351"/>
      <c r="BE373" s="351"/>
      <c r="BF373" s="351"/>
      <c r="BG373" s="351"/>
      <c r="BH373" s="351"/>
      <c r="BI373" s="351"/>
      <c r="BJ373" s="351"/>
      <c r="BK373" s="351"/>
      <c r="BL373" s="351"/>
      <c r="BM373" s="351"/>
      <c r="BN373" s="351"/>
      <c r="BO373" s="351"/>
      <c r="BP373" s="351"/>
      <c r="BQ373" s="351"/>
      <c r="BR373" s="351"/>
      <c r="BS373" s="351"/>
      <c r="BT373" s="351"/>
      <c r="BU373" s="351"/>
      <c r="BV373" s="351"/>
      <c r="BW373" s="351"/>
      <c r="BX373" s="351"/>
      <c r="BY373" s="351"/>
      <c r="BZ373" s="351"/>
      <c r="CA373" s="351"/>
      <c r="CB373" s="351"/>
      <c r="CC373" s="351"/>
      <c r="CD373" s="351"/>
      <c r="CE373" s="351"/>
      <c r="CF373" s="351"/>
      <c r="CG373" s="351"/>
      <c r="CH373" s="351"/>
      <c r="CI373" s="351"/>
      <c r="CJ373" s="351"/>
      <c r="CK373" s="351"/>
      <c r="CL373" s="351"/>
      <c r="CM373" s="351"/>
      <c r="CN373" s="351"/>
      <c r="CO373" s="351"/>
      <c r="CP373" s="351"/>
      <c r="CQ373" s="351"/>
      <c r="CR373" s="351"/>
      <c r="CS373" s="351"/>
      <c r="CT373" s="351"/>
      <c r="CU373" s="351"/>
      <c r="CV373" s="351"/>
      <c r="CW373" s="351"/>
      <c r="CX373" s="351"/>
      <c r="CY373" s="351"/>
      <c r="CZ373" s="351"/>
      <c r="DA373" s="351"/>
      <c r="DB373" s="351"/>
      <c r="DC373" s="351"/>
      <c r="DD373" s="351"/>
      <c r="DE373" s="351"/>
      <c r="DF373" s="351"/>
      <c r="DG373" s="351"/>
      <c r="DH373" s="351"/>
      <c r="DI373" s="351"/>
      <c r="DJ373" s="351"/>
      <c r="DK373" s="351"/>
      <c r="DL373" s="351"/>
      <c r="DM373" s="351"/>
      <c r="DN373" s="351"/>
      <c r="DO373" s="351"/>
      <c r="DP373" s="351"/>
      <c r="DQ373" s="351"/>
      <c r="DR373" s="351"/>
      <c r="DS373" s="351"/>
      <c r="DT373" s="351"/>
      <c r="DU373" s="351"/>
      <c r="DV373" s="351"/>
      <c r="DW373" s="351"/>
      <c r="DX373" s="351"/>
      <c r="DY373" s="351"/>
      <c r="DZ373" s="351"/>
      <c r="EA373" s="351"/>
      <c r="EB373" s="351"/>
      <c r="EC373" s="351"/>
      <c r="ED373" s="351"/>
      <c r="EE373" s="351"/>
      <c r="EF373" s="351"/>
      <c r="EG373" s="351"/>
      <c r="EH373" s="351"/>
      <c r="EI373" s="351"/>
      <c r="EJ373" s="351"/>
      <c r="EK373" s="351"/>
      <c r="EL373" s="351"/>
      <c r="EM373" s="351"/>
      <c r="EN373" s="351"/>
      <c r="EO373" s="351"/>
      <c r="EP373" s="351"/>
      <c r="EQ373" s="351"/>
      <c r="ER373" s="351"/>
      <c r="ES373" s="351"/>
      <c r="ET373" s="351"/>
      <c r="EU373" s="351"/>
      <c r="EV373" s="351"/>
      <c r="EW373" s="351"/>
      <c r="EX373" s="351"/>
      <c r="EY373" s="351"/>
      <c r="EZ373" s="351"/>
      <c r="FA373" s="351"/>
      <c r="FB373" s="351"/>
      <c r="FC373" s="351"/>
      <c r="FD373" s="351"/>
      <c r="FE373" s="351"/>
      <c r="FF373" s="351"/>
      <c r="FG373" s="351"/>
      <c r="FH373" s="351"/>
      <c r="FI373" s="351"/>
      <c r="FJ373" s="351"/>
      <c r="FK373" s="351"/>
      <c r="FL373" s="351"/>
      <c r="FM373" s="351"/>
      <c r="FN373" s="351"/>
      <c r="FO373" s="351"/>
      <c r="FP373" s="351"/>
      <c r="FQ373" s="351"/>
      <c r="FR373" s="351"/>
      <c r="FS373" s="351"/>
      <c r="FT373" s="351"/>
      <c r="FU373" s="351"/>
      <c r="FV373" s="351"/>
      <c r="FW373" s="351"/>
      <c r="FX373" s="351"/>
      <c r="FY373" s="351"/>
      <c r="FZ373" s="351"/>
      <c r="GA373" s="351"/>
      <c r="GB373" s="351"/>
      <c r="GC373" s="351"/>
      <c r="GD373" s="351"/>
      <c r="GE373" s="351"/>
      <c r="GF373" s="351"/>
      <c r="GG373" s="351"/>
      <c r="GH373" s="351"/>
      <c r="GI373" s="351"/>
      <c r="GJ373" s="351"/>
      <c r="GK373" s="351"/>
      <c r="GL373" s="351"/>
      <c r="GM373" s="351"/>
      <c r="GN373" s="351"/>
      <c r="GO373" s="351"/>
      <c r="GP373" s="351"/>
      <c r="GQ373" s="351"/>
      <c r="GR373" s="351"/>
      <c r="GS373" s="351"/>
      <c r="GT373" s="351"/>
      <c r="GU373" s="351"/>
      <c r="GV373" s="351"/>
      <c r="GW373" s="351"/>
      <c r="GX373" s="351"/>
      <c r="GY373" s="351"/>
      <c r="GZ373" s="351"/>
      <c r="HA373" s="351"/>
      <c r="HB373" s="351"/>
      <c r="HC373" s="351"/>
      <c r="HD373" s="351"/>
      <c r="HE373" s="351"/>
      <c r="HF373" s="351"/>
      <c r="HG373" s="351"/>
      <c r="HH373" s="351"/>
      <c r="HI373" s="351"/>
      <c r="HJ373" s="351"/>
      <c r="HK373" s="351"/>
      <c r="HL373" s="351"/>
      <c r="HM373" s="351"/>
      <c r="HN373" s="351"/>
      <c r="HO373" s="351"/>
      <c r="HP373" s="351"/>
      <c r="HQ373" s="351"/>
      <c r="HR373" s="351"/>
      <c r="HS373" s="351"/>
      <c r="HT373" s="351"/>
      <c r="HU373" s="351"/>
      <c r="HV373" s="351">
        <v>50</v>
      </c>
      <c r="HW373" s="351"/>
      <c r="HX373" s="351"/>
      <c r="HY373" s="351"/>
      <c r="HZ373" s="351"/>
      <c r="IA373" s="351"/>
      <c r="IB373" s="351"/>
      <c r="IC373" s="351"/>
      <c r="ID373" s="351"/>
      <c r="IE373" s="351"/>
      <c r="IF373" s="351"/>
      <c r="IG373" s="351"/>
      <c r="IH373" s="351"/>
      <c r="II373" s="351"/>
      <c r="IJ373" s="351"/>
      <c r="IK373" s="351"/>
      <c r="IL373" s="351"/>
      <c r="IM373" s="351"/>
      <c r="IN373" s="351"/>
      <c r="IO373" s="351"/>
      <c r="IP373" s="351"/>
    </row>
    <row r="374" spans="1:250" ht="15.75" customHeight="1" x14ac:dyDescent="0.25">
      <c r="A374" s="351" t="s">
        <v>1250</v>
      </c>
      <c r="B374" s="351" t="s">
        <v>1251</v>
      </c>
      <c r="C374" s="351"/>
      <c r="D374" s="351"/>
      <c r="E374" s="351"/>
      <c r="F374" s="351"/>
      <c r="G374" s="351"/>
      <c r="H374" s="351"/>
      <c r="I374" s="351"/>
      <c r="J374" s="351"/>
      <c r="K374" s="351"/>
      <c r="L374" s="351"/>
      <c r="M374" s="351"/>
      <c r="N374" s="351"/>
      <c r="O374" s="351"/>
      <c r="P374" s="351"/>
      <c r="Q374" s="351"/>
      <c r="R374" s="351"/>
      <c r="S374" s="351"/>
      <c r="T374" s="351"/>
      <c r="U374" s="351"/>
      <c r="V374" s="351"/>
      <c r="W374" s="351"/>
      <c r="X374" s="351"/>
      <c r="Y374" s="351"/>
      <c r="Z374" s="351"/>
      <c r="AA374" s="351"/>
      <c r="AB374" s="351"/>
      <c r="AC374" s="351"/>
      <c r="AD374" s="351"/>
      <c r="AE374" s="351"/>
      <c r="AF374" s="351"/>
      <c r="AG374" s="351"/>
      <c r="AH374" s="351"/>
      <c r="AI374" s="351"/>
      <c r="AJ374" s="351"/>
      <c r="AK374" s="351"/>
      <c r="AL374" s="351"/>
      <c r="AM374" s="351"/>
      <c r="AN374" s="351"/>
      <c r="AO374" s="351"/>
      <c r="AP374" s="351"/>
      <c r="AQ374" s="351"/>
      <c r="AR374" s="351"/>
      <c r="AS374" s="351"/>
      <c r="AT374" s="351"/>
      <c r="AU374" s="351"/>
      <c r="AV374" s="351"/>
      <c r="AW374" s="351"/>
      <c r="AX374" s="351"/>
      <c r="AY374" s="351"/>
      <c r="AZ374" s="351"/>
      <c r="BA374" s="351"/>
      <c r="BB374" s="351"/>
      <c r="BC374" s="351"/>
      <c r="BD374" s="351"/>
      <c r="BE374" s="351"/>
      <c r="BF374" s="351"/>
      <c r="BG374" s="351"/>
      <c r="BH374" s="351"/>
      <c r="BI374" s="351"/>
      <c r="BJ374" s="351"/>
      <c r="BK374" s="351"/>
      <c r="BL374" s="351"/>
      <c r="BM374" s="351"/>
      <c r="BN374" s="351"/>
      <c r="BO374" s="351"/>
      <c r="BP374" s="351"/>
      <c r="BQ374" s="351"/>
      <c r="BR374" s="351"/>
      <c r="BS374" s="351"/>
      <c r="BT374" s="351"/>
      <c r="BU374" s="351"/>
      <c r="BV374" s="351"/>
      <c r="BW374" s="351"/>
      <c r="BX374" s="351"/>
      <c r="BY374" s="351"/>
      <c r="BZ374" s="351"/>
      <c r="CA374" s="351"/>
      <c r="CB374" s="351"/>
      <c r="CC374" s="351"/>
      <c r="CD374" s="351"/>
      <c r="CE374" s="351"/>
      <c r="CF374" s="351"/>
      <c r="CG374" s="351"/>
      <c r="CH374" s="351"/>
      <c r="CI374" s="351"/>
      <c r="CJ374" s="351"/>
      <c r="CK374" s="351"/>
      <c r="CL374" s="351"/>
      <c r="CM374" s="351"/>
      <c r="CN374" s="351"/>
      <c r="CO374" s="351"/>
      <c r="CP374" s="351"/>
      <c r="CQ374" s="351"/>
      <c r="CR374" s="351"/>
      <c r="CS374" s="351"/>
      <c r="CT374" s="351"/>
      <c r="CU374" s="351"/>
      <c r="CV374" s="351"/>
      <c r="CW374" s="351"/>
      <c r="CX374" s="351"/>
      <c r="CY374" s="351"/>
      <c r="CZ374" s="351"/>
      <c r="DA374" s="351"/>
      <c r="DB374" s="351"/>
      <c r="DC374" s="351"/>
      <c r="DD374" s="351"/>
      <c r="DE374" s="351"/>
      <c r="DF374" s="351"/>
      <c r="DG374" s="351"/>
      <c r="DH374" s="351"/>
      <c r="DI374" s="351"/>
      <c r="DJ374" s="351"/>
      <c r="DK374" s="351"/>
      <c r="DL374" s="351"/>
      <c r="DM374" s="351"/>
      <c r="DN374" s="351"/>
      <c r="DO374" s="351"/>
      <c r="DP374" s="351"/>
      <c r="DQ374" s="351"/>
      <c r="DR374" s="351"/>
      <c r="DS374" s="351"/>
      <c r="DT374" s="351"/>
      <c r="DU374" s="351"/>
      <c r="DV374" s="351"/>
      <c r="DW374" s="351"/>
      <c r="DX374" s="351"/>
      <c r="DY374" s="351"/>
      <c r="DZ374" s="351"/>
      <c r="EA374" s="351"/>
      <c r="EB374" s="351"/>
      <c r="EC374" s="351"/>
      <c r="ED374" s="351"/>
      <c r="EE374" s="351"/>
      <c r="EF374" s="351"/>
      <c r="EG374" s="351"/>
      <c r="EH374" s="351"/>
      <c r="EI374" s="351"/>
      <c r="EJ374" s="351"/>
      <c r="EK374" s="351"/>
      <c r="EL374" s="351"/>
      <c r="EM374" s="351"/>
      <c r="EN374" s="351"/>
      <c r="EO374" s="351"/>
      <c r="EP374" s="351"/>
      <c r="EQ374" s="351"/>
      <c r="ER374" s="351"/>
      <c r="ES374" s="351"/>
      <c r="ET374" s="351"/>
      <c r="EU374" s="351"/>
      <c r="EV374" s="351"/>
      <c r="EW374" s="351"/>
      <c r="EX374" s="351"/>
      <c r="EY374" s="351"/>
      <c r="EZ374" s="351"/>
      <c r="FA374" s="351"/>
      <c r="FB374" s="351"/>
      <c r="FC374" s="351"/>
      <c r="FD374" s="351"/>
      <c r="FE374" s="351"/>
      <c r="FF374" s="351"/>
      <c r="FG374" s="351"/>
      <c r="FH374" s="351"/>
      <c r="FI374" s="351"/>
      <c r="FJ374" s="351"/>
      <c r="FK374" s="351"/>
      <c r="FL374" s="351"/>
      <c r="FM374" s="351"/>
      <c r="FN374" s="351"/>
      <c r="FO374" s="351"/>
      <c r="FP374" s="351"/>
      <c r="FQ374" s="351"/>
      <c r="FR374" s="351"/>
      <c r="FS374" s="351"/>
      <c r="FT374" s="351"/>
      <c r="FU374" s="351"/>
      <c r="FV374" s="351"/>
      <c r="FW374" s="351"/>
      <c r="FX374" s="351"/>
      <c r="FY374" s="351"/>
      <c r="FZ374" s="351"/>
      <c r="GA374" s="351">
        <v>500</v>
      </c>
      <c r="GB374" s="351"/>
      <c r="GC374" s="351">
        <v>1500</v>
      </c>
      <c r="GD374" s="351"/>
      <c r="GE374" s="351"/>
      <c r="GF374" s="351"/>
      <c r="GG374" s="351"/>
      <c r="GH374" s="351"/>
      <c r="GI374" s="351"/>
      <c r="GJ374" s="351"/>
      <c r="GK374" s="351"/>
      <c r="GL374" s="351"/>
      <c r="GM374" s="351"/>
      <c r="GN374" s="351">
        <v>200</v>
      </c>
      <c r="GO374" s="351"/>
      <c r="GP374" s="351"/>
      <c r="GQ374" s="351"/>
      <c r="GR374" s="351"/>
      <c r="GS374" s="351"/>
      <c r="GT374" s="351"/>
      <c r="GU374" s="351"/>
      <c r="GV374" s="351"/>
      <c r="GW374" s="351"/>
      <c r="GX374" s="351"/>
      <c r="GY374" s="351"/>
      <c r="GZ374" s="351"/>
      <c r="HA374" s="351"/>
      <c r="HB374" s="351"/>
      <c r="HC374" s="351"/>
      <c r="HD374" s="351"/>
      <c r="HE374" s="351"/>
      <c r="HF374" s="351"/>
      <c r="HG374" s="351"/>
      <c r="HH374" s="351"/>
      <c r="HI374" s="351"/>
      <c r="HJ374" s="351"/>
      <c r="HK374" s="351"/>
      <c r="HL374" s="351"/>
      <c r="HM374" s="351"/>
      <c r="HN374" s="351"/>
      <c r="HO374" s="351"/>
      <c r="HP374" s="351"/>
      <c r="HQ374" s="351"/>
      <c r="HR374" s="351"/>
      <c r="HS374" s="351"/>
      <c r="HT374" s="351"/>
      <c r="HU374" s="351"/>
      <c r="HV374" s="351"/>
      <c r="HW374" s="351"/>
      <c r="HX374" s="351"/>
      <c r="HY374" s="351"/>
      <c r="HZ374" s="351"/>
      <c r="IA374" s="351"/>
      <c r="IB374" s="351"/>
      <c r="IC374" s="351"/>
      <c r="ID374" s="351"/>
      <c r="IE374" s="351"/>
      <c r="IF374" s="351"/>
      <c r="IG374" s="351"/>
      <c r="IH374" s="351"/>
      <c r="II374" s="351"/>
      <c r="IJ374" s="351"/>
      <c r="IK374" s="351"/>
      <c r="IL374" s="351"/>
      <c r="IM374" s="351"/>
      <c r="IN374" s="351"/>
      <c r="IO374" s="351"/>
      <c r="IP374" s="351"/>
    </row>
    <row r="375" spans="1:250" ht="15.75" customHeight="1" x14ac:dyDescent="0.25">
      <c r="A375" s="351" t="s">
        <v>1250</v>
      </c>
      <c r="B375" s="351" t="s">
        <v>1252</v>
      </c>
      <c r="C375" s="351"/>
      <c r="D375" s="351"/>
      <c r="E375" s="351"/>
      <c r="F375" s="351"/>
      <c r="G375" s="351"/>
      <c r="H375" s="351"/>
      <c r="I375" s="351"/>
      <c r="J375" s="351"/>
      <c r="K375" s="351"/>
      <c r="L375" s="351"/>
      <c r="M375" s="351"/>
      <c r="N375" s="351"/>
      <c r="O375" s="351"/>
      <c r="P375" s="351"/>
      <c r="Q375" s="351"/>
      <c r="R375" s="351"/>
      <c r="S375" s="351"/>
      <c r="T375" s="351"/>
      <c r="U375" s="351"/>
      <c r="V375" s="351"/>
      <c r="W375" s="351"/>
      <c r="X375" s="351"/>
      <c r="Y375" s="351"/>
      <c r="Z375" s="351"/>
      <c r="AA375" s="351"/>
      <c r="AB375" s="351"/>
      <c r="AC375" s="351"/>
      <c r="AD375" s="351"/>
      <c r="AE375" s="351"/>
      <c r="AF375" s="351"/>
      <c r="AG375" s="351"/>
      <c r="AH375" s="351"/>
      <c r="AI375" s="351"/>
      <c r="AJ375" s="351"/>
      <c r="AK375" s="351"/>
      <c r="AL375" s="351"/>
      <c r="AM375" s="351"/>
      <c r="AN375" s="351"/>
      <c r="AO375" s="351"/>
      <c r="AP375" s="351"/>
      <c r="AQ375" s="351"/>
      <c r="AR375" s="351"/>
      <c r="AS375" s="351"/>
      <c r="AT375" s="351"/>
      <c r="AU375" s="351"/>
      <c r="AV375" s="351"/>
      <c r="AW375" s="351"/>
      <c r="AX375" s="351"/>
      <c r="AY375" s="351"/>
      <c r="AZ375" s="351"/>
      <c r="BA375" s="351"/>
      <c r="BB375" s="351"/>
      <c r="BC375" s="351"/>
      <c r="BD375" s="351"/>
      <c r="BE375" s="351"/>
      <c r="BF375" s="351"/>
      <c r="BG375" s="351"/>
      <c r="BH375" s="351"/>
      <c r="BI375" s="351"/>
      <c r="BJ375" s="351"/>
      <c r="BK375" s="351"/>
      <c r="BL375" s="351"/>
      <c r="BM375" s="351"/>
      <c r="BN375" s="351"/>
      <c r="BO375" s="351"/>
      <c r="BP375" s="351"/>
      <c r="BQ375" s="351"/>
      <c r="BR375" s="351"/>
      <c r="BS375" s="351"/>
      <c r="BT375" s="351"/>
      <c r="BU375" s="351"/>
      <c r="BV375" s="351"/>
      <c r="BW375" s="351"/>
      <c r="BX375" s="351"/>
      <c r="BY375" s="351"/>
      <c r="BZ375" s="351"/>
      <c r="CA375" s="351"/>
      <c r="CB375" s="351"/>
      <c r="CC375" s="351"/>
      <c r="CD375" s="351"/>
      <c r="CE375" s="351"/>
      <c r="CF375" s="351"/>
      <c r="CG375" s="351"/>
      <c r="CH375" s="351"/>
      <c r="CI375" s="351"/>
      <c r="CJ375" s="351"/>
      <c r="CK375" s="351"/>
      <c r="CL375" s="351"/>
      <c r="CM375" s="351"/>
      <c r="CN375" s="351"/>
      <c r="CO375" s="351"/>
      <c r="CP375" s="351"/>
      <c r="CQ375" s="351"/>
      <c r="CR375" s="351"/>
      <c r="CS375" s="351"/>
      <c r="CT375" s="351"/>
      <c r="CU375" s="351"/>
      <c r="CV375" s="351"/>
      <c r="CW375" s="351"/>
      <c r="CX375" s="351"/>
      <c r="CY375" s="351">
        <v>6</v>
      </c>
      <c r="CZ375" s="351">
        <v>6</v>
      </c>
      <c r="DA375" s="351"/>
      <c r="DB375" s="351"/>
      <c r="DC375" s="351"/>
      <c r="DD375" s="351"/>
      <c r="DE375" s="351"/>
      <c r="DF375" s="351"/>
      <c r="DG375" s="351"/>
      <c r="DH375" s="351"/>
      <c r="DI375" s="351"/>
      <c r="DJ375" s="351"/>
      <c r="DK375" s="351">
        <v>6</v>
      </c>
      <c r="DL375" s="351"/>
      <c r="DM375" s="351"/>
      <c r="DN375" s="351"/>
      <c r="DO375" s="351"/>
      <c r="DP375" s="351"/>
      <c r="DQ375" s="351"/>
      <c r="DR375" s="351">
        <v>18</v>
      </c>
      <c r="DS375" s="351">
        <v>6</v>
      </c>
      <c r="DT375" s="351"/>
      <c r="DU375" s="351"/>
      <c r="DV375" s="351"/>
      <c r="DW375" s="351"/>
      <c r="DX375" s="351"/>
      <c r="DY375" s="351"/>
      <c r="DZ375" s="351"/>
      <c r="EA375" s="351"/>
      <c r="EB375" s="351"/>
      <c r="EC375" s="351"/>
      <c r="ED375" s="351"/>
      <c r="EE375" s="351">
        <v>6</v>
      </c>
      <c r="EF375" s="351"/>
      <c r="EG375" s="351"/>
      <c r="EH375" s="351">
        <v>12</v>
      </c>
      <c r="EI375" s="351"/>
      <c r="EJ375" s="351"/>
      <c r="EK375" s="351"/>
      <c r="EL375" s="351"/>
      <c r="EM375" s="351"/>
      <c r="EN375" s="351"/>
      <c r="EO375" s="351">
        <v>20</v>
      </c>
      <c r="EP375" s="351"/>
      <c r="EQ375" s="351"/>
      <c r="ER375" s="351"/>
      <c r="ES375" s="351"/>
      <c r="ET375" s="351"/>
      <c r="EU375" s="351"/>
      <c r="EV375" s="351"/>
      <c r="EW375" s="351"/>
      <c r="EX375" s="351"/>
      <c r="EY375" s="351"/>
      <c r="EZ375" s="351"/>
      <c r="FA375" s="351"/>
      <c r="FB375" s="351"/>
      <c r="FC375" s="351"/>
      <c r="FD375" s="351"/>
      <c r="FE375" s="351"/>
      <c r="FF375" s="351"/>
      <c r="FG375" s="351"/>
      <c r="FH375" s="351"/>
      <c r="FI375" s="351"/>
      <c r="FJ375" s="351"/>
      <c r="FK375" s="351"/>
      <c r="FL375" s="351"/>
      <c r="FM375" s="351"/>
      <c r="FN375" s="351"/>
      <c r="FO375" s="351"/>
      <c r="FP375" s="351"/>
      <c r="FQ375" s="351"/>
      <c r="FR375" s="351"/>
      <c r="FS375" s="351"/>
      <c r="FT375" s="351"/>
      <c r="FU375" s="351"/>
      <c r="FV375" s="351"/>
      <c r="FW375" s="351"/>
      <c r="FX375" s="351"/>
      <c r="FY375" s="351"/>
      <c r="FZ375" s="351"/>
      <c r="GA375" s="351"/>
      <c r="GB375" s="351"/>
      <c r="GC375" s="351"/>
      <c r="GD375" s="351"/>
      <c r="GE375" s="351"/>
      <c r="GF375" s="351"/>
      <c r="GG375" s="351"/>
      <c r="GH375" s="351"/>
      <c r="GI375" s="351"/>
      <c r="GJ375" s="351"/>
      <c r="GK375" s="351"/>
      <c r="GL375" s="351"/>
      <c r="GM375" s="351"/>
      <c r="GN375" s="351"/>
      <c r="GO375" s="351"/>
      <c r="GP375" s="351"/>
      <c r="GQ375" s="351"/>
      <c r="GR375" s="351"/>
      <c r="GS375" s="351"/>
      <c r="GT375" s="351"/>
      <c r="GU375" s="351"/>
      <c r="GV375" s="351"/>
      <c r="GW375" s="351"/>
      <c r="GX375" s="351">
        <v>500</v>
      </c>
      <c r="GY375" s="351">
        <v>50</v>
      </c>
      <c r="GZ375" s="351">
        <v>20</v>
      </c>
      <c r="HA375" s="351">
        <v>30</v>
      </c>
      <c r="HB375" s="351"/>
      <c r="HC375" s="351">
        <v>500</v>
      </c>
      <c r="HD375" s="351"/>
      <c r="HE375" s="351"/>
      <c r="HF375" s="351"/>
      <c r="HG375" s="351"/>
      <c r="HH375" s="351"/>
      <c r="HI375" s="351"/>
      <c r="HJ375" s="351">
        <v>500</v>
      </c>
      <c r="HK375" s="351">
        <v>25</v>
      </c>
      <c r="HL375" s="351"/>
      <c r="HM375" s="351"/>
      <c r="HN375" s="351"/>
      <c r="HO375" s="351"/>
      <c r="HP375" s="351"/>
      <c r="HQ375" s="351"/>
      <c r="HR375" s="351"/>
      <c r="HS375" s="351"/>
      <c r="HT375" s="351"/>
      <c r="HU375" s="351"/>
      <c r="HV375" s="351"/>
      <c r="HW375" s="351"/>
      <c r="HX375" s="351"/>
      <c r="HY375" s="351"/>
      <c r="HZ375" s="351"/>
      <c r="IA375" s="351"/>
      <c r="IB375" s="351"/>
      <c r="IC375" s="351"/>
      <c r="ID375" s="351"/>
      <c r="IE375" s="351"/>
      <c r="IF375" s="351"/>
      <c r="IG375" s="351"/>
      <c r="IH375" s="351"/>
      <c r="II375" s="351"/>
      <c r="IJ375" s="351"/>
      <c r="IK375" s="351"/>
      <c r="IL375" s="351"/>
      <c r="IM375" s="351"/>
      <c r="IN375" s="351"/>
      <c r="IO375" s="351"/>
      <c r="IP375" s="351"/>
    </row>
    <row r="376" spans="1:250" ht="15.75" customHeight="1" x14ac:dyDescent="0.25">
      <c r="A376" s="351" t="s">
        <v>1250</v>
      </c>
      <c r="B376" s="351" t="s">
        <v>1253</v>
      </c>
      <c r="C376" s="351"/>
      <c r="D376" s="351"/>
      <c r="E376" s="351">
        <v>10</v>
      </c>
      <c r="F376" s="351"/>
      <c r="G376" s="351"/>
      <c r="H376" s="351"/>
      <c r="I376" s="351"/>
      <c r="J376" s="351"/>
      <c r="K376" s="351"/>
      <c r="L376" s="351"/>
      <c r="M376" s="351"/>
      <c r="N376" s="351"/>
      <c r="O376" s="351"/>
      <c r="P376" s="351"/>
      <c r="Q376" s="351"/>
      <c r="R376" s="351"/>
      <c r="S376" s="351"/>
      <c r="T376" s="351"/>
      <c r="U376" s="351"/>
      <c r="V376" s="351"/>
      <c r="W376" s="351"/>
      <c r="X376" s="351"/>
      <c r="Y376" s="351">
        <v>20</v>
      </c>
      <c r="Z376" s="351"/>
      <c r="AA376" s="351"/>
      <c r="AB376" s="351"/>
      <c r="AC376" s="351"/>
      <c r="AD376" s="351"/>
      <c r="AE376" s="351"/>
      <c r="AF376" s="351"/>
      <c r="AG376" s="351"/>
      <c r="AH376" s="351"/>
      <c r="AI376" s="351"/>
      <c r="AJ376" s="351"/>
      <c r="AK376" s="351"/>
      <c r="AL376" s="351">
        <v>10</v>
      </c>
      <c r="AM376" s="351"/>
      <c r="AN376" s="351"/>
      <c r="AO376" s="351"/>
      <c r="AP376" s="351"/>
      <c r="AQ376" s="80">
        <v>10</v>
      </c>
      <c r="AR376" s="351">
        <v>10</v>
      </c>
      <c r="AS376" s="351"/>
      <c r="AT376" s="351"/>
      <c r="AU376" s="351"/>
      <c r="AV376" s="351">
        <v>10</v>
      </c>
      <c r="AW376" s="351"/>
      <c r="AX376" s="351"/>
      <c r="AY376" s="351"/>
      <c r="AZ376" s="351"/>
      <c r="BA376" s="351"/>
      <c r="BB376" s="351"/>
      <c r="BC376" s="351"/>
      <c r="BD376" s="351"/>
      <c r="BE376" s="351"/>
      <c r="BF376" s="351"/>
      <c r="BG376" s="351"/>
      <c r="BH376" s="351"/>
      <c r="BI376" s="351"/>
      <c r="BJ376" s="351"/>
      <c r="BK376" s="351"/>
      <c r="BL376" s="351"/>
      <c r="BM376" s="351"/>
      <c r="BN376" s="351"/>
      <c r="BO376" s="351"/>
      <c r="BP376" s="351"/>
      <c r="BQ376" s="351"/>
      <c r="BR376" s="351"/>
      <c r="BS376" s="351"/>
      <c r="BT376" s="351"/>
      <c r="BU376" s="351"/>
      <c r="BV376" s="351"/>
      <c r="BW376" s="351"/>
      <c r="BX376" s="351"/>
      <c r="BY376" s="351"/>
      <c r="BZ376" s="351"/>
      <c r="CA376" s="351"/>
      <c r="CB376" s="351"/>
      <c r="CC376" s="351"/>
      <c r="CD376" s="351"/>
      <c r="CE376" s="351"/>
      <c r="CF376" s="351"/>
      <c r="CG376" s="351"/>
      <c r="CH376" s="351"/>
      <c r="CI376" s="351"/>
      <c r="CJ376" s="351"/>
      <c r="CK376" s="351"/>
      <c r="CL376" s="351"/>
      <c r="CM376" s="351"/>
      <c r="CN376" s="351">
        <v>48</v>
      </c>
      <c r="CO376" s="351"/>
      <c r="CP376" s="351"/>
      <c r="CQ376" s="351"/>
      <c r="CR376" s="351"/>
      <c r="CS376" s="351"/>
      <c r="CT376" s="351"/>
      <c r="CU376" s="351"/>
      <c r="CV376" s="351"/>
      <c r="CW376" s="351"/>
      <c r="CX376" s="351"/>
      <c r="CY376" s="351"/>
      <c r="CZ376" s="351"/>
      <c r="DA376" s="351"/>
      <c r="DB376" s="351">
        <v>12</v>
      </c>
      <c r="DC376" s="351"/>
      <c r="DD376" s="351"/>
      <c r="DE376" s="351">
        <v>6</v>
      </c>
      <c r="DF376" s="351"/>
      <c r="DG376" s="351"/>
      <c r="DH376" s="351"/>
      <c r="DI376" s="351"/>
      <c r="DJ376" s="351"/>
      <c r="DK376" s="351">
        <v>12</v>
      </c>
      <c r="DL376" s="351"/>
      <c r="DM376" s="351"/>
      <c r="DN376" s="351"/>
      <c r="DO376" s="351"/>
      <c r="DP376" s="351"/>
      <c r="DQ376" s="351"/>
      <c r="DR376" s="351"/>
      <c r="DS376" s="351">
        <v>18</v>
      </c>
      <c r="DT376" s="351"/>
      <c r="DU376" s="351"/>
      <c r="DV376" s="351"/>
      <c r="DW376" s="351"/>
      <c r="DX376" s="351"/>
      <c r="DY376" s="351"/>
      <c r="DZ376" s="351"/>
      <c r="EA376" s="351"/>
      <c r="EB376" s="351"/>
      <c r="EC376" s="351"/>
      <c r="ED376" s="351"/>
      <c r="EE376" s="351"/>
      <c r="EF376" s="351"/>
      <c r="EG376" s="351"/>
      <c r="EH376" s="351"/>
      <c r="EI376" s="351">
        <v>6</v>
      </c>
      <c r="EJ376" s="351">
        <v>6</v>
      </c>
      <c r="EK376" s="351">
        <v>12</v>
      </c>
      <c r="EL376" s="351"/>
      <c r="EM376" s="351"/>
      <c r="EN376" s="351"/>
      <c r="EO376" s="351"/>
      <c r="EP376" s="351"/>
      <c r="EQ376" s="351"/>
      <c r="ER376" s="351"/>
      <c r="ES376" s="351"/>
      <c r="ET376" s="351"/>
      <c r="EU376" s="351"/>
      <c r="EV376" s="351"/>
      <c r="EW376" s="351">
        <v>200</v>
      </c>
      <c r="EX376" s="351">
        <v>100</v>
      </c>
      <c r="EY376" s="351"/>
      <c r="EZ376" s="351">
        <v>100</v>
      </c>
      <c r="FA376" s="351"/>
      <c r="FB376" s="351"/>
      <c r="FC376" s="351"/>
      <c r="FD376" s="351"/>
      <c r="FE376" s="351"/>
      <c r="FF376" s="351"/>
      <c r="FG376" s="351"/>
      <c r="FH376" s="351"/>
      <c r="FI376" s="351"/>
      <c r="FJ376" s="351"/>
      <c r="FK376" s="351"/>
      <c r="FL376" s="351"/>
      <c r="FM376" s="351"/>
      <c r="FN376" s="351"/>
      <c r="FO376" s="351">
        <v>100</v>
      </c>
      <c r="FP376" s="351"/>
      <c r="FQ376" s="351"/>
      <c r="FR376" s="351"/>
      <c r="FS376" s="351">
        <v>150</v>
      </c>
      <c r="FT376" s="351"/>
      <c r="FU376" s="351"/>
      <c r="FV376" s="351"/>
      <c r="FW376" s="351"/>
      <c r="FX376" s="351"/>
      <c r="FY376" s="351"/>
      <c r="FZ376" s="351"/>
      <c r="GA376" s="351">
        <v>100</v>
      </c>
      <c r="GB376" s="351"/>
      <c r="GC376" s="351">
        <v>200</v>
      </c>
      <c r="GD376" s="351"/>
      <c r="GE376" s="351"/>
      <c r="GF376" s="351"/>
      <c r="GG376" s="351"/>
      <c r="GH376" s="351"/>
      <c r="GI376" s="351"/>
      <c r="GJ376" s="351"/>
      <c r="GK376" s="351"/>
      <c r="GL376" s="351"/>
      <c r="GM376" s="351"/>
      <c r="GN376" s="351">
        <v>50</v>
      </c>
      <c r="GO376" s="351"/>
      <c r="GP376" s="351"/>
      <c r="GQ376" s="351"/>
      <c r="GR376" s="351"/>
      <c r="GS376" s="351"/>
      <c r="GT376" s="351"/>
      <c r="GU376" s="351"/>
      <c r="GV376" s="351"/>
      <c r="GW376" s="351"/>
      <c r="GX376" s="351"/>
      <c r="GY376" s="351"/>
      <c r="GZ376" s="351"/>
      <c r="HA376" s="351"/>
      <c r="HB376" s="351">
        <v>300</v>
      </c>
      <c r="HC376" s="351">
        <v>200</v>
      </c>
      <c r="HD376" s="351"/>
      <c r="HE376" s="351">
        <v>100</v>
      </c>
      <c r="HF376" s="351"/>
      <c r="HG376" s="351"/>
      <c r="HH376" s="351"/>
      <c r="HI376" s="351"/>
      <c r="HJ376" s="351">
        <v>200</v>
      </c>
      <c r="HK376" s="351"/>
      <c r="HL376" s="351">
        <v>55</v>
      </c>
      <c r="HM376" s="351"/>
      <c r="HN376" s="351">
        <v>500</v>
      </c>
      <c r="HO376" s="351"/>
      <c r="HP376" s="351"/>
      <c r="HQ376" s="351"/>
      <c r="HR376" s="351"/>
      <c r="HS376" s="351"/>
      <c r="HT376" s="351"/>
      <c r="HU376" s="351"/>
      <c r="HV376" s="351"/>
      <c r="HW376" s="351"/>
      <c r="HX376" s="351"/>
      <c r="HY376" s="351"/>
      <c r="HZ376" s="351"/>
      <c r="IA376" s="351"/>
      <c r="IB376" s="351"/>
      <c r="IC376" s="351"/>
      <c r="ID376" s="351"/>
      <c r="IE376" s="351"/>
      <c r="IF376" s="351"/>
      <c r="IG376" s="351"/>
      <c r="IH376" s="351"/>
      <c r="II376" s="351"/>
      <c r="IJ376" s="351"/>
      <c r="IK376" s="351"/>
      <c r="IL376" s="351"/>
      <c r="IM376" s="351"/>
      <c r="IN376" s="351"/>
      <c r="IO376" s="351"/>
      <c r="IP376" s="351">
        <v>110</v>
      </c>
    </row>
    <row r="377" spans="1:250" ht="15.75" customHeight="1" x14ac:dyDescent="0.25">
      <c r="A377" s="351" t="s">
        <v>1254</v>
      </c>
      <c r="B377" s="351" t="s">
        <v>1255</v>
      </c>
      <c r="C377" s="351"/>
      <c r="D377" s="351"/>
      <c r="E377" s="351"/>
      <c r="F377" s="351"/>
      <c r="G377" s="351"/>
      <c r="H377" s="351"/>
      <c r="I377" s="351"/>
      <c r="J377" s="351"/>
      <c r="K377" s="351"/>
      <c r="L377" s="351"/>
      <c r="M377" s="351"/>
      <c r="N377" s="351"/>
      <c r="O377" s="351"/>
      <c r="P377" s="351"/>
      <c r="Q377" s="351"/>
      <c r="R377" s="351"/>
      <c r="S377" s="351"/>
      <c r="T377" s="351"/>
      <c r="U377" s="351"/>
      <c r="V377" s="351"/>
      <c r="W377" s="351"/>
      <c r="X377" s="351"/>
      <c r="Y377" s="351">
        <v>10</v>
      </c>
      <c r="Z377" s="351">
        <v>10</v>
      </c>
      <c r="AA377" s="351"/>
      <c r="AB377" s="351"/>
      <c r="AC377" s="351"/>
      <c r="AD377" s="351"/>
      <c r="AE377" s="351"/>
      <c r="AF377" s="351"/>
      <c r="AG377" s="351"/>
      <c r="AH377" s="351"/>
      <c r="AI377" s="351"/>
      <c r="AJ377" s="351"/>
      <c r="AK377" s="351"/>
      <c r="AL377" s="351">
        <v>5</v>
      </c>
      <c r="AM377" s="351"/>
      <c r="AN377" s="351"/>
      <c r="AO377" s="351"/>
      <c r="AP377" s="351"/>
      <c r="AQ377" s="201"/>
      <c r="AR377" s="351"/>
      <c r="AS377" s="351"/>
      <c r="AT377" s="351"/>
      <c r="AU377" s="351"/>
      <c r="AV377" s="351">
        <v>5</v>
      </c>
      <c r="AW377" s="351"/>
      <c r="AX377" s="351"/>
      <c r="AY377" s="351"/>
      <c r="AZ377" s="351"/>
      <c r="BA377" s="351"/>
      <c r="BB377" s="351"/>
      <c r="BC377" s="351"/>
      <c r="BD377" s="351"/>
      <c r="BE377" s="351"/>
      <c r="BF377" s="351"/>
      <c r="BG377" s="351"/>
      <c r="BH377" s="351"/>
      <c r="BI377" s="351"/>
      <c r="BJ377" s="351"/>
      <c r="BK377" s="351"/>
      <c r="BL377" s="351"/>
      <c r="BM377" s="351"/>
      <c r="BN377" s="351"/>
      <c r="BO377" s="351"/>
      <c r="BP377" s="351"/>
      <c r="BQ377" s="351"/>
      <c r="BR377" s="351"/>
      <c r="BS377" s="351"/>
      <c r="BT377" s="351"/>
      <c r="BU377" s="351"/>
      <c r="BV377" s="351"/>
      <c r="BW377" s="351"/>
      <c r="BX377" s="351"/>
      <c r="BY377" s="351"/>
      <c r="BZ377" s="351"/>
      <c r="CA377" s="351"/>
      <c r="CB377" s="351"/>
      <c r="CC377" s="351"/>
      <c r="CD377" s="351"/>
      <c r="CE377" s="351"/>
      <c r="CF377" s="351"/>
      <c r="CG377" s="351"/>
      <c r="CH377" s="351"/>
      <c r="CI377" s="351"/>
      <c r="CJ377" s="351"/>
      <c r="CK377" s="351"/>
      <c r="CL377" s="351"/>
      <c r="CM377" s="351"/>
      <c r="CN377" s="351"/>
      <c r="CO377" s="351"/>
      <c r="CP377" s="351"/>
      <c r="CQ377" s="351"/>
      <c r="CR377" s="351"/>
      <c r="CS377" s="351"/>
      <c r="CT377" s="351"/>
      <c r="CU377" s="351"/>
      <c r="CV377" s="351"/>
      <c r="CW377" s="351"/>
      <c r="CX377" s="351"/>
      <c r="CY377" s="351">
        <v>12</v>
      </c>
      <c r="CZ377" s="351"/>
      <c r="DA377" s="351"/>
      <c r="DB377" s="351">
        <v>6</v>
      </c>
      <c r="DC377" s="351"/>
      <c r="DD377" s="351"/>
      <c r="DE377" s="351"/>
      <c r="DF377" s="351"/>
      <c r="DG377" s="351"/>
      <c r="DH377" s="351"/>
      <c r="DI377" s="351"/>
      <c r="DJ377" s="351">
        <v>6</v>
      </c>
      <c r="DK377" s="351">
        <v>6</v>
      </c>
      <c r="DL377" s="351">
        <v>6</v>
      </c>
      <c r="DM377" s="351"/>
      <c r="DN377" s="351">
        <v>6</v>
      </c>
      <c r="DO377" s="351"/>
      <c r="DP377" s="351"/>
      <c r="DQ377" s="351">
        <v>4</v>
      </c>
      <c r="DR377" s="351">
        <v>6</v>
      </c>
      <c r="DS377" s="351">
        <v>12</v>
      </c>
      <c r="DT377" s="351"/>
      <c r="DU377" s="351"/>
      <c r="DV377" s="351"/>
      <c r="DW377" s="351"/>
      <c r="DX377" s="351"/>
      <c r="DY377" s="351"/>
      <c r="DZ377" s="351"/>
      <c r="EA377" s="351"/>
      <c r="EB377" s="351"/>
      <c r="EC377" s="351"/>
      <c r="ED377" s="351"/>
      <c r="EE377" s="351">
        <v>6</v>
      </c>
      <c r="EF377" s="351"/>
      <c r="EG377" s="351"/>
      <c r="EH377" s="351">
        <v>12</v>
      </c>
      <c r="EI377" s="351">
        <v>6</v>
      </c>
      <c r="EJ377" s="351">
        <v>9</v>
      </c>
      <c r="EK377" s="351"/>
      <c r="EL377" s="351"/>
      <c r="EM377" s="351"/>
      <c r="EN377" s="351"/>
      <c r="EO377" s="351"/>
      <c r="EP377" s="351"/>
      <c r="EQ377" s="351"/>
      <c r="ER377" s="351"/>
      <c r="ES377" s="351"/>
      <c r="ET377" s="351"/>
      <c r="EU377" s="351"/>
      <c r="EV377" s="351"/>
      <c r="EW377" s="351">
        <v>100</v>
      </c>
      <c r="EX377" s="351">
        <v>50</v>
      </c>
      <c r="EY377" s="351">
        <v>25</v>
      </c>
      <c r="EZ377" s="351"/>
      <c r="FA377" s="351"/>
      <c r="FB377" s="351"/>
      <c r="FC377" s="351"/>
      <c r="FD377" s="351"/>
      <c r="FE377" s="351"/>
      <c r="FF377" s="351"/>
      <c r="FG377" s="351"/>
      <c r="FH377" s="351"/>
      <c r="FI377" s="351"/>
      <c r="FJ377" s="351"/>
      <c r="FK377" s="351"/>
      <c r="FL377" s="351"/>
      <c r="FM377" s="351"/>
      <c r="FN377" s="351"/>
      <c r="FO377" s="351">
        <v>100</v>
      </c>
      <c r="FP377" s="351"/>
      <c r="FQ377" s="351"/>
      <c r="FR377" s="351"/>
      <c r="FS377" s="351"/>
      <c r="FT377" s="351"/>
      <c r="FU377" s="351"/>
      <c r="FV377" s="351">
        <v>100</v>
      </c>
      <c r="FW377" s="351"/>
      <c r="FX377" s="351"/>
      <c r="FY377" s="351"/>
      <c r="FZ377" s="351"/>
      <c r="GA377" s="351">
        <v>100</v>
      </c>
      <c r="GB377" s="351"/>
      <c r="GC377" s="351">
        <v>150</v>
      </c>
      <c r="GD377" s="351"/>
      <c r="GE377" s="351"/>
      <c r="GF377" s="351"/>
      <c r="GG377" s="351"/>
      <c r="GH377" s="351">
        <v>20</v>
      </c>
      <c r="GI377" s="351"/>
      <c r="GJ377" s="351">
        <v>25</v>
      </c>
      <c r="GK377" s="351"/>
      <c r="GL377" s="351"/>
      <c r="GM377" s="351"/>
      <c r="GN377" s="351">
        <v>50</v>
      </c>
      <c r="GO377" s="351"/>
      <c r="GP377" s="351"/>
      <c r="GQ377" s="351"/>
      <c r="GR377" s="351">
        <v>50</v>
      </c>
      <c r="GS377" s="351"/>
      <c r="GT377" s="351"/>
      <c r="GU377" s="351"/>
      <c r="GV377" s="351"/>
      <c r="GW377" s="351"/>
      <c r="GX377" s="351"/>
      <c r="GY377" s="351"/>
      <c r="GZ377" s="351"/>
      <c r="HA377" s="351"/>
      <c r="HB377" s="351"/>
      <c r="HC377" s="351"/>
      <c r="HD377" s="351"/>
      <c r="HE377" s="351"/>
      <c r="HF377" s="351"/>
      <c r="HG377" s="351"/>
      <c r="HH377" s="351"/>
      <c r="HI377" s="351"/>
      <c r="HJ377" s="351"/>
      <c r="HK377" s="351"/>
      <c r="HL377" s="351"/>
      <c r="HM377" s="351"/>
      <c r="HN377" s="351">
        <v>100</v>
      </c>
      <c r="HO377" s="351"/>
      <c r="HP377" s="351"/>
      <c r="HQ377" s="351"/>
      <c r="HR377" s="351"/>
      <c r="HS377" s="351"/>
      <c r="HT377" s="351"/>
      <c r="HU377" s="351"/>
      <c r="HV377" s="351"/>
      <c r="HW377" s="351"/>
      <c r="HX377" s="351"/>
      <c r="HY377" s="351">
        <f>528+48</f>
        <v>576</v>
      </c>
      <c r="HZ377" s="351"/>
      <c r="IA377" s="351"/>
      <c r="IB377" s="351"/>
      <c r="IC377" s="351"/>
      <c r="ID377" s="351"/>
      <c r="IE377" s="351"/>
      <c r="IF377" s="351"/>
      <c r="IG377" s="351"/>
      <c r="IH377" s="351"/>
      <c r="II377" s="351"/>
      <c r="IJ377" s="351"/>
      <c r="IK377" s="351"/>
      <c r="IL377" s="351"/>
      <c r="IM377" s="351"/>
      <c r="IN377" s="351"/>
      <c r="IO377" s="351"/>
      <c r="IP377" s="351"/>
    </row>
    <row r="378" spans="1:250" ht="15.75" customHeight="1" x14ac:dyDescent="0.25">
      <c r="A378" s="351" t="s">
        <v>1254</v>
      </c>
      <c r="B378" s="351" t="s">
        <v>1257</v>
      </c>
      <c r="C378" s="351"/>
      <c r="D378" s="351"/>
      <c r="E378" s="351"/>
      <c r="F378" s="351"/>
      <c r="G378" s="351"/>
      <c r="H378" s="351"/>
      <c r="I378" s="351"/>
      <c r="J378" s="351"/>
      <c r="K378" s="351"/>
      <c r="L378" s="351"/>
      <c r="M378" s="351"/>
      <c r="N378" s="351"/>
      <c r="O378" s="351"/>
      <c r="P378" s="351"/>
      <c r="Q378" s="351"/>
      <c r="R378" s="351"/>
      <c r="S378" s="351"/>
      <c r="T378" s="351"/>
      <c r="U378" s="351"/>
      <c r="V378" s="351"/>
      <c r="W378" s="351"/>
      <c r="X378" s="351"/>
      <c r="Y378" s="351"/>
      <c r="Z378" s="351"/>
      <c r="AA378" s="351"/>
      <c r="AB378" s="351"/>
      <c r="AC378" s="351"/>
      <c r="AD378" s="351"/>
      <c r="AE378" s="351"/>
      <c r="AF378" s="351"/>
      <c r="AG378" s="351"/>
      <c r="AH378" s="351"/>
      <c r="AI378" s="351"/>
      <c r="AJ378" s="351"/>
      <c r="AK378" s="351"/>
      <c r="AL378" s="351"/>
      <c r="AM378" s="351"/>
      <c r="AN378" s="351"/>
      <c r="AO378" s="351"/>
      <c r="AP378" s="351"/>
      <c r="AQ378" s="351"/>
      <c r="AR378" s="351"/>
      <c r="AS378" s="351"/>
      <c r="AT378" s="351"/>
      <c r="AU378" s="351"/>
      <c r="AV378" s="351"/>
      <c r="AW378" s="351"/>
      <c r="AX378" s="351"/>
      <c r="AY378" s="351"/>
      <c r="AZ378" s="351"/>
      <c r="BA378" s="351"/>
      <c r="BB378" s="351"/>
      <c r="BC378" s="351"/>
      <c r="BD378" s="351"/>
      <c r="BE378" s="351"/>
      <c r="BF378" s="351"/>
      <c r="BG378" s="351"/>
      <c r="BH378" s="351"/>
      <c r="BI378" s="351"/>
      <c r="BJ378" s="351"/>
      <c r="BK378" s="351"/>
      <c r="BL378" s="351"/>
      <c r="BM378" s="351"/>
      <c r="BN378" s="351"/>
      <c r="BO378" s="351"/>
      <c r="BP378" s="351"/>
      <c r="BQ378" s="351"/>
      <c r="BR378" s="351"/>
      <c r="BS378" s="351"/>
      <c r="BT378" s="351"/>
      <c r="BU378" s="351"/>
      <c r="BV378" s="351"/>
      <c r="BW378" s="351"/>
      <c r="BX378" s="351"/>
      <c r="BY378" s="351"/>
      <c r="BZ378" s="351"/>
      <c r="CA378" s="351"/>
      <c r="CB378" s="351"/>
      <c r="CC378" s="351"/>
      <c r="CD378" s="351"/>
      <c r="CE378" s="351"/>
      <c r="CF378" s="351"/>
      <c r="CG378" s="351"/>
      <c r="CH378" s="351"/>
      <c r="CI378" s="351"/>
      <c r="CJ378" s="351"/>
      <c r="CK378" s="351"/>
      <c r="CL378" s="351"/>
      <c r="CM378" s="351"/>
      <c r="CN378" s="351"/>
      <c r="CO378" s="351"/>
      <c r="CP378" s="351"/>
      <c r="CQ378" s="351"/>
      <c r="CR378" s="351"/>
      <c r="CS378" s="351"/>
      <c r="CT378" s="351"/>
      <c r="CU378" s="351"/>
      <c r="CV378" s="351"/>
      <c r="CW378" s="351"/>
      <c r="CX378" s="351"/>
      <c r="CY378" s="351"/>
      <c r="CZ378" s="351"/>
      <c r="DA378" s="351"/>
      <c r="DB378" s="351"/>
      <c r="DC378" s="351"/>
      <c r="DD378" s="351"/>
      <c r="DE378" s="351"/>
      <c r="DF378" s="351"/>
      <c r="DG378" s="351"/>
      <c r="DH378" s="351"/>
      <c r="DI378" s="351"/>
      <c r="DJ378" s="351"/>
      <c r="DK378" s="351"/>
      <c r="DL378" s="351"/>
      <c r="DM378" s="351"/>
      <c r="DN378" s="351"/>
      <c r="DO378" s="351"/>
      <c r="DP378" s="351"/>
      <c r="DQ378" s="351"/>
      <c r="DR378" s="351"/>
      <c r="DS378" s="351"/>
      <c r="DT378" s="351"/>
      <c r="DU378" s="351"/>
      <c r="DV378" s="351"/>
      <c r="DW378" s="351"/>
      <c r="DX378" s="351"/>
      <c r="DY378" s="351"/>
      <c r="DZ378" s="351"/>
      <c r="EA378" s="351"/>
      <c r="EB378" s="351"/>
      <c r="EC378" s="351"/>
      <c r="ED378" s="351"/>
      <c r="EE378" s="351"/>
      <c r="EF378" s="351"/>
      <c r="EG378" s="351"/>
      <c r="EH378" s="351"/>
      <c r="EI378" s="351"/>
      <c r="EJ378" s="351"/>
      <c r="EK378" s="351"/>
      <c r="EL378" s="351"/>
      <c r="EM378" s="351"/>
      <c r="EN378" s="351"/>
      <c r="EO378" s="351"/>
      <c r="EP378" s="351"/>
      <c r="EQ378" s="351"/>
      <c r="ER378" s="351"/>
      <c r="ES378" s="351"/>
      <c r="ET378" s="351"/>
      <c r="EU378" s="351"/>
      <c r="EV378" s="351"/>
      <c r="EW378" s="351"/>
      <c r="EX378" s="351"/>
      <c r="EY378" s="351"/>
      <c r="EZ378" s="351"/>
      <c r="FA378" s="351"/>
      <c r="FB378" s="351"/>
      <c r="FC378" s="351"/>
      <c r="FD378" s="351"/>
      <c r="FE378" s="351"/>
      <c r="FF378" s="351"/>
      <c r="FG378" s="351"/>
      <c r="FH378" s="351"/>
      <c r="FI378" s="351"/>
      <c r="FJ378" s="351"/>
      <c r="FK378" s="351"/>
      <c r="FL378" s="351"/>
      <c r="FM378" s="351"/>
      <c r="FN378" s="351"/>
      <c r="FO378" s="351"/>
      <c r="FP378" s="351"/>
      <c r="FQ378" s="351"/>
      <c r="FR378" s="351"/>
      <c r="FS378" s="351"/>
      <c r="FT378" s="351"/>
      <c r="FU378" s="351"/>
      <c r="FV378" s="351"/>
      <c r="FW378" s="351"/>
      <c r="FX378" s="351"/>
      <c r="FY378" s="351"/>
      <c r="FZ378" s="351"/>
      <c r="GA378" s="351"/>
      <c r="GB378" s="351"/>
      <c r="GC378" s="351"/>
      <c r="GD378" s="351"/>
      <c r="GE378" s="351"/>
      <c r="GF378" s="351"/>
      <c r="GG378" s="351"/>
      <c r="GH378" s="351"/>
      <c r="GI378" s="351"/>
      <c r="GJ378" s="351"/>
      <c r="GK378" s="351"/>
      <c r="GL378" s="351"/>
      <c r="GM378" s="351"/>
      <c r="GN378" s="351"/>
      <c r="GO378" s="351"/>
      <c r="GP378" s="351"/>
      <c r="GQ378" s="351"/>
      <c r="GR378" s="351"/>
      <c r="GS378" s="351"/>
      <c r="GT378" s="351"/>
      <c r="GU378" s="351"/>
      <c r="GV378" s="351"/>
      <c r="GW378" s="351"/>
      <c r="GX378" s="351"/>
      <c r="GY378" s="351"/>
      <c r="GZ378" s="351"/>
      <c r="HA378" s="351"/>
      <c r="HB378" s="351"/>
      <c r="HC378" s="351"/>
      <c r="HD378" s="351"/>
      <c r="HE378" s="351"/>
      <c r="HF378" s="351"/>
      <c r="HG378" s="351"/>
      <c r="HH378" s="351"/>
      <c r="HI378" s="351"/>
      <c r="HJ378" s="351"/>
      <c r="HK378" s="351"/>
      <c r="HL378" s="351"/>
      <c r="HM378" s="351"/>
      <c r="HN378" s="351"/>
      <c r="HO378" s="351"/>
      <c r="HP378" s="351"/>
      <c r="HQ378" s="351"/>
      <c r="HR378" s="351"/>
      <c r="HS378" s="351"/>
      <c r="HT378" s="351"/>
      <c r="HU378" s="351"/>
      <c r="HV378" s="351"/>
      <c r="HW378" s="351"/>
      <c r="HX378" s="351"/>
      <c r="HY378" s="351"/>
      <c r="HZ378" s="351"/>
      <c r="IA378" s="351"/>
      <c r="IB378" s="351"/>
      <c r="IC378" s="351"/>
      <c r="ID378" s="351">
        <v>8</v>
      </c>
      <c r="IE378" s="351"/>
      <c r="IF378" s="351"/>
      <c r="IG378" s="351"/>
      <c r="IH378" s="351"/>
      <c r="II378" s="351"/>
      <c r="IJ378" s="351"/>
      <c r="IK378" s="351"/>
      <c r="IL378" s="351"/>
      <c r="IM378" s="351"/>
      <c r="IN378" s="351"/>
      <c r="IO378" s="351"/>
      <c r="IP378" s="351"/>
    </row>
    <row r="379" spans="1:250" ht="15.75" customHeight="1" x14ac:dyDescent="0.25">
      <c r="A379" s="351" t="s">
        <v>1254</v>
      </c>
      <c r="B379" s="351" t="s">
        <v>1258</v>
      </c>
      <c r="C379" s="351"/>
      <c r="D379" s="351"/>
      <c r="E379" s="351"/>
      <c r="F379" s="351"/>
      <c r="G379" s="351"/>
      <c r="H379" s="351"/>
      <c r="I379" s="351"/>
      <c r="J379" s="351"/>
      <c r="K379" s="351"/>
      <c r="L379" s="351"/>
      <c r="M379" s="351"/>
      <c r="N379" s="351"/>
      <c r="O379" s="351"/>
      <c r="P379" s="351"/>
      <c r="Q379" s="351"/>
      <c r="R379" s="351"/>
      <c r="S379" s="351"/>
      <c r="T379" s="351"/>
      <c r="U379" s="351"/>
      <c r="V379" s="351"/>
      <c r="W379" s="351"/>
      <c r="X379" s="351"/>
      <c r="Y379" s="351"/>
      <c r="Z379" s="351"/>
      <c r="AA379" s="351"/>
      <c r="AB379" s="351"/>
      <c r="AC379" s="351"/>
      <c r="AD379" s="351"/>
      <c r="AE379" s="351"/>
      <c r="AF379" s="351"/>
      <c r="AG379" s="351"/>
      <c r="AH379" s="351"/>
      <c r="AI379" s="351"/>
      <c r="AJ379" s="351"/>
      <c r="AK379" s="351"/>
      <c r="AL379" s="351"/>
      <c r="AM379" s="351"/>
      <c r="AN379" s="351"/>
      <c r="AO379" s="351"/>
      <c r="AP379" s="351"/>
      <c r="AQ379" s="351"/>
      <c r="AR379" s="351"/>
      <c r="AS379" s="351"/>
      <c r="AT379" s="351"/>
      <c r="AU379" s="351"/>
      <c r="AV379" s="351"/>
      <c r="AW379" s="351"/>
      <c r="AX379" s="351"/>
      <c r="AY379" s="351"/>
      <c r="AZ379" s="351"/>
      <c r="BA379" s="351"/>
      <c r="BB379" s="351"/>
      <c r="BC379" s="351"/>
      <c r="BD379" s="351"/>
      <c r="BE379" s="351"/>
      <c r="BF379" s="351"/>
      <c r="BG379" s="351"/>
      <c r="BH379" s="351"/>
      <c r="BI379" s="351"/>
      <c r="BJ379" s="351"/>
      <c r="BK379" s="351"/>
      <c r="BL379" s="351"/>
      <c r="BM379" s="351"/>
      <c r="BN379" s="351"/>
      <c r="BO379" s="351"/>
      <c r="BP379" s="351"/>
      <c r="BQ379" s="351"/>
      <c r="BR379" s="351"/>
      <c r="BS379" s="351"/>
      <c r="BT379" s="351"/>
      <c r="BU379" s="351"/>
      <c r="BV379" s="351"/>
      <c r="BW379" s="351"/>
      <c r="BX379" s="351"/>
      <c r="BY379" s="351"/>
      <c r="BZ379" s="351"/>
      <c r="CA379" s="351"/>
      <c r="CB379" s="351"/>
      <c r="CC379" s="351"/>
      <c r="CD379" s="351"/>
      <c r="CE379" s="351"/>
      <c r="CF379" s="351"/>
      <c r="CG379" s="351"/>
      <c r="CH379" s="351"/>
      <c r="CI379" s="351"/>
      <c r="CJ379" s="351"/>
      <c r="CK379" s="351"/>
      <c r="CL379" s="351"/>
      <c r="CM379" s="351"/>
      <c r="CN379" s="351"/>
      <c r="CO379" s="351"/>
      <c r="CP379" s="351"/>
      <c r="CQ379" s="351"/>
      <c r="CR379" s="351"/>
      <c r="CS379" s="351"/>
      <c r="CT379" s="351"/>
      <c r="CU379" s="351"/>
      <c r="CV379" s="351"/>
      <c r="CW379" s="351"/>
      <c r="CX379" s="351"/>
      <c r="CY379" s="351"/>
      <c r="CZ379" s="351"/>
      <c r="DA379" s="351"/>
      <c r="DB379" s="351"/>
      <c r="DC379" s="351"/>
      <c r="DD379" s="351"/>
      <c r="DE379" s="351"/>
      <c r="DF379" s="351"/>
      <c r="DG379" s="351"/>
      <c r="DH379" s="351"/>
      <c r="DI379" s="351"/>
      <c r="DJ379" s="351"/>
      <c r="DK379" s="351"/>
      <c r="DL379" s="351"/>
      <c r="DM379" s="351"/>
      <c r="DN379" s="351"/>
      <c r="DO379" s="351"/>
      <c r="DP379" s="351"/>
      <c r="DQ379" s="351"/>
      <c r="DR379" s="351"/>
      <c r="DS379" s="351"/>
      <c r="DT379" s="351"/>
      <c r="DU379" s="351"/>
      <c r="DV379" s="351"/>
      <c r="DW379" s="351"/>
      <c r="DX379" s="351"/>
      <c r="DY379" s="351"/>
      <c r="DZ379" s="351"/>
      <c r="EA379" s="351"/>
      <c r="EB379" s="351"/>
      <c r="EC379" s="351"/>
      <c r="ED379" s="351"/>
      <c r="EE379" s="351"/>
      <c r="EF379" s="351"/>
      <c r="EG379" s="351"/>
      <c r="EH379" s="351"/>
      <c r="EI379" s="351"/>
      <c r="EJ379" s="351"/>
      <c r="EK379" s="351"/>
      <c r="EL379" s="351"/>
      <c r="EM379" s="351"/>
      <c r="EN379" s="351"/>
      <c r="EO379" s="351"/>
      <c r="EP379" s="351"/>
      <c r="EQ379" s="351"/>
      <c r="ER379" s="351"/>
      <c r="ES379" s="351"/>
      <c r="ET379" s="351"/>
      <c r="EU379" s="351"/>
      <c r="EV379" s="351"/>
      <c r="EW379" s="351"/>
      <c r="EX379" s="351"/>
      <c r="EY379" s="351"/>
      <c r="EZ379" s="351"/>
      <c r="FA379" s="351"/>
      <c r="FB379" s="351"/>
      <c r="FC379" s="351"/>
      <c r="FD379" s="351"/>
      <c r="FE379" s="351"/>
      <c r="FF379" s="351"/>
      <c r="FG379" s="351"/>
      <c r="FH379" s="351"/>
      <c r="FI379" s="351"/>
      <c r="FJ379" s="351"/>
      <c r="FK379" s="351"/>
      <c r="FL379" s="351"/>
      <c r="FM379" s="351"/>
      <c r="FN379" s="351"/>
      <c r="FO379" s="351"/>
      <c r="FP379" s="351"/>
      <c r="FQ379" s="351"/>
      <c r="FR379" s="351"/>
      <c r="FS379" s="351"/>
      <c r="FT379" s="351"/>
      <c r="FU379" s="351"/>
      <c r="FV379" s="351"/>
      <c r="FW379" s="351"/>
      <c r="FX379" s="351"/>
      <c r="FY379" s="351"/>
      <c r="FZ379" s="351"/>
      <c r="GA379" s="351"/>
      <c r="GB379" s="351"/>
      <c r="GC379" s="351"/>
      <c r="GD379" s="351"/>
      <c r="GE379" s="351"/>
      <c r="GF379" s="351"/>
      <c r="GG379" s="351"/>
      <c r="GH379" s="351"/>
      <c r="GI379" s="351"/>
      <c r="GJ379" s="351"/>
      <c r="GK379" s="351"/>
      <c r="GL379" s="351"/>
      <c r="GM379" s="351"/>
      <c r="GN379" s="351"/>
      <c r="GO379" s="351"/>
      <c r="GP379" s="351"/>
      <c r="GQ379" s="351"/>
      <c r="GR379" s="351"/>
      <c r="GS379" s="351"/>
      <c r="GT379" s="351"/>
      <c r="GU379" s="351"/>
      <c r="GV379" s="351"/>
      <c r="GW379" s="351"/>
      <c r="GX379" s="351"/>
      <c r="GY379" s="351"/>
      <c r="GZ379" s="351"/>
      <c r="HA379" s="351"/>
      <c r="HB379" s="351"/>
      <c r="HC379" s="351"/>
      <c r="HD379" s="351"/>
      <c r="HE379" s="351"/>
      <c r="HF379" s="351"/>
      <c r="HG379" s="351"/>
      <c r="HH379" s="351"/>
      <c r="HI379" s="351"/>
      <c r="HJ379" s="351"/>
      <c r="HK379" s="351"/>
      <c r="HL379" s="351"/>
      <c r="HM379" s="351"/>
      <c r="HN379" s="351"/>
      <c r="HO379" s="351"/>
      <c r="HP379" s="351"/>
      <c r="HQ379" s="351"/>
      <c r="HR379" s="351"/>
      <c r="HS379" s="351"/>
      <c r="HT379" s="351"/>
      <c r="HU379" s="351"/>
      <c r="HV379" s="351"/>
      <c r="HW379" s="351"/>
      <c r="HX379" s="351"/>
      <c r="HY379" s="351"/>
      <c r="HZ379" s="351"/>
      <c r="IA379" s="351"/>
      <c r="IB379" s="351"/>
      <c r="IC379" s="351"/>
      <c r="ID379" s="351">
        <v>40</v>
      </c>
      <c r="IE379" s="351"/>
      <c r="IF379" s="351"/>
      <c r="IG379" s="351"/>
      <c r="IH379" s="351"/>
      <c r="II379" s="351"/>
      <c r="IJ379" s="351"/>
      <c r="IK379" s="351"/>
      <c r="IL379" s="351"/>
      <c r="IM379" s="351"/>
      <c r="IN379" s="351"/>
      <c r="IO379" s="351"/>
      <c r="IP379" s="351"/>
    </row>
    <row r="380" spans="1:250" ht="15.75" customHeight="1" x14ac:dyDescent="0.25">
      <c r="A380" s="351" t="s">
        <v>1261</v>
      </c>
      <c r="B380" s="351" t="s">
        <v>1262</v>
      </c>
      <c r="C380" s="351"/>
      <c r="D380" s="351"/>
      <c r="E380" s="351"/>
      <c r="F380" s="351"/>
      <c r="G380" s="351"/>
      <c r="H380" s="351"/>
      <c r="I380" s="351"/>
      <c r="J380" s="351"/>
      <c r="K380" s="351"/>
      <c r="L380" s="351"/>
      <c r="M380" s="351"/>
      <c r="N380" s="351"/>
      <c r="O380" s="351"/>
      <c r="P380" s="351"/>
      <c r="Q380" s="351"/>
      <c r="R380" s="351"/>
      <c r="S380" s="351"/>
      <c r="T380" s="351"/>
      <c r="U380" s="351"/>
      <c r="V380" s="351"/>
      <c r="W380" s="351"/>
      <c r="X380" s="351"/>
      <c r="Y380" s="351"/>
      <c r="Z380" s="351"/>
      <c r="AA380" s="351"/>
      <c r="AB380" s="351"/>
      <c r="AC380" s="351"/>
      <c r="AD380" s="351"/>
      <c r="AE380" s="351"/>
      <c r="AF380" s="351"/>
      <c r="AG380" s="351"/>
      <c r="AH380" s="351"/>
      <c r="AI380" s="351"/>
      <c r="AJ380" s="351"/>
      <c r="AK380" s="351"/>
      <c r="AL380" s="351"/>
      <c r="AM380" s="351"/>
      <c r="AN380" s="351"/>
      <c r="AO380" s="351"/>
      <c r="AP380" s="351"/>
      <c r="AQ380" s="351"/>
      <c r="AR380" s="351"/>
      <c r="AS380" s="351"/>
      <c r="AT380" s="351"/>
      <c r="AU380" s="351"/>
      <c r="AV380" s="351"/>
      <c r="AW380" s="351"/>
      <c r="AX380" s="351"/>
      <c r="AY380" s="351"/>
      <c r="AZ380" s="351"/>
      <c r="BA380" s="351"/>
      <c r="BB380" s="351"/>
      <c r="BC380" s="351"/>
      <c r="BD380" s="351"/>
      <c r="BE380" s="351"/>
      <c r="BF380" s="351"/>
      <c r="BG380" s="351"/>
      <c r="BH380" s="351"/>
      <c r="BI380" s="351"/>
      <c r="BJ380" s="351"/>
      <c r="BK380" s="351"/>
      <c r="BL380" s="351"/>
      <c r="BM380" s="351"/>
      <c r="BN380" s="351"/>
      <c r="BO380" s="351"/>
      <c r="BP380" s="351"/>
      <c r="BQ380" s="351"/>
      <c r="BR380" s="351"/>
      <c r="BS380" s="351"/>
      <c r="BT380" s="351"/>
      <c r="BU380" s="351"/>
      <c r="BV380" s="351"/>
      <c r="BW380" s="351"/>
      <c r="BX380" s="351"/>
      <c r="BY380" s="351"/>
      <c r="BZ380" s="351"/>
      <c r="CA380" s="351"/>
      <c r="CB380" s="351"/>
      <c r="CC380" s="351"/>
      <c r="CD380" s="351"/>
      <c r="CE380" s="351"/>
      <c r="CF380" s="351"/>
      <c r="CG380" s="351"/>
      <c r="CH380" s="351"/>
      <c r="CI380" s="351"/>
      <c r="CJ380" s="351"/>
      <c r="CK380" s="351"/>
      <c r="CL380" s="351"/>
      <c r="CM380" s="351"/>
      <c r="CN380" s="351"/>
      <c r="CO380" s="351"/>
      <c r="CP380" s="351"/>
      <c r="CQ380" s="351"/>
      <c r="CR380" s="351"/>
      <c r="CS380" s="351"/>
      <c r="CT380" s="351"/>
      <c r="CU380" s="351"/>
      <c r="CV380" s="351"/>
      <c r="CW380" s="351"/>
      <c r="CX380" s="351"/>
      <c r="CY380" s="351"/>
      <c r="CZ380" s="351"/>
      <c r="DA380" s="351"/>
      <c r="DB380" s="351"/>
      <c r="DC380" s="351"/>
      <c r="DD380" s="351"/>
      <c r="DE380" s="351"/>
      <c r="DF380" s="351"/>
      <c r="DG380" s="351"/>
      <c r="DH380" s="351"/>
      <c r="DI380" s="351"/>
      <c r="DJ380" s="351"/>
      <c r="DK380" s="351">
        <v>6</v>
      </c>
      <c r="DL380" s="351"/>
      <c r="DM380" s="351"/>
      <c r="DN380" s="351"/>
      <c r="DO380" s="351"/>
      <c r="DP380" s="351"/>
      <c r="DQ380" s="351">
        <v>8</v>
      </c>
      <c r="DR380" s="351"/>
      <c r="DS380" s="351"/>
      <c r="DT380" s="351"/>
      <c r="DU380" s="351"/>
      <c r="DV380" s="351"/>
      <c r="DW380" s="351"/>
      <c r="DX380" s="351"/>
      <c r="DY380" s="351"/>
      <c r="DZ380" s="351"/>
      <c r="EA380" s="351"/>
      <c r="EB380" s="351"/>
      <c r="EC380" s="351"/>
      <c r="ED380" s="351"/>
      <c r="EE380" s="351">
        <v>12</v>
      </c>
      <c r="EF380" s="351"/>
      <c r="EG380" s="351"/>
      <c r="EH380" s="351">
        <v>72</v>
      </c>
      <c r="EI380" s="351"/>
      <c r="EJ380" s="351"/>
      <c r="EK380" s="351"/>
      <c r="EL380" s="351"/>
      <c r="EM380" s="351"/>
      <c r="EN380" s="351"/>
      <c r="EO380" s="351"/>
      <c r="EP380" s="351"/>
      <c r="EQ380" s="351"/>
      <c r="ER380" s="351"/>
      <c r="ES380" s="351"/>
      <c r="ET380" s="351"/>
      <c r="EU380" s="351"/>
      <c r="EV380" s="351"/>
      <c r="EW380" s="351"/>
      <c r="EX380" s="351"/>
      <c r="EY380" s="351"/>
      <c r="EZ380" s="351"/>
      <c r="FA380" s="351"/>
      <c r="FB380" s="351"/>
      <c r="FC380" s="351"/>
      <c r="FD380" s="351"/>
      <c r="FE380" s="351"/>
      <c r="FF380" s="351"/>
      <c r="FG380" s="351"/>
      <c r="FH380" s="351"/>
      <c r="FI380" s="351"/>
      <c r="FJ380" s="351"/>
      <c r="FK380" s="351"/>
      <c r="FL380" s="351"/>
      <c r="FM380" s="351"/>
      <c r="FN380" s="351"/>
      <c r="FO380" s="351"/>
      <c r="FP380" s="351"/>
      <c r="FQ380" s="351"/>
      <c r="FR380" s="351"/>
      <c r="FS380" s="351"/>
      <c r="FT380" s="351"/>
      <c r="FU380" s="351">
        <v>50</v>
      </c>
      <c r="FV380" s="351"/>
      <c r="FW380" s="351"/>
      <c r="FX380" s="351"/>
      <c r="FY380" s="351"/>
      <c r="FZ380" s="351"/>
      <c r="GA380" s="351"/>
      <c r="GB380" s="351"/>
      <c r="GC380" s="351"/>
      <c r="GD380" s="351"/>
      <c r="GE380" s="351"/>
      <c r="GF380" s="351"/>
      <c r="GG380" s="351"/>
      <c r="GH380" s="351"/>
      <c r="GI380" s="351"/>
      <c r="GJ380" s="351"/>
      <c r="GK380" s="351"/>
      <c r="GL380" s="351"/>
      <c r="GM380" s="351"/>
      <c r="GN380" s="351"/>
      <c r="GO380" s="351"/>
      <c r="GP380" s="351"/>
      <c r="GQ380" s="351"/>
      <c r="GR380" s="351"/>
      <c r="GS380" s="351"/>
      <c r="GT380" s="351"/>
      <c r="GU380" s="351"/>
      <c r="GV380" s="351"/>
      <c r="GW380" s="351"/>
      <c r="GX380" s="351"/>
      <c r="GY380" s="351"/>
      <c r="GZ380" s="351"/>
      <c r="HA380" s="351"/>
      <c r="HB380" s="351"/>
      <c r="HC380" s="351"/>
      <c r="HD380" s="351"/>
      <c r="HE380" s="351"/>
      <c r="HF380" s="351"/>
      <c r="HG380" s="351"/>
      <c r="HH380" s="351"/>
      <c r="HI380" s="351"/>
      <c r="HJ380" s="351">
        <v>500</v>
      </c>
      <c r="HK380" s="351"/>
      <c r="HL380" s="351"/>
      <c r="HM380" s="351"/>
      <c r="HN380" s="351"/>
      <c r="HO380" s="351"/>
      <c r="HP380" s="351"/>
      <c r="HQ380" s="351"/>
      <c r="HR380" s="351"/>
      <c r="HS380" s="351"/>
      <c r="HT380" s="351"/>
      <c r="HU380" s="351"/>
      <c r="HV380" s="351"/>
      <c r="HW380" s="351"/>
      <c r="HX380" s="351"/>
      <c r="HY380" s="351"/>
      <c r="HZ380" s="351"/>
      <c r="IA380" s="351"/>
      <c r="IB380" s="351"/>
      <c r="IC380" s="351"/>
      <c r="ID380" s="351"/>
      <c r="IE380" s="351"/>
      <c r="IF380" s="351"/>
      <c r="IG380" s="351"/>
      <c r="IH380" s="351"/>
      <c r="II380" s="351"/>
      <c r="IJ380" s="351"/>
      <c r="IK380" s="351"/>
      <c r="IL380" s="351"/>
      <c r="IM380" s="351"/>
      <c r="IN380" s="351"/>
      <c r="IO380" s="351"/>
      <c r="IP380" s="351"/>
    </row>
    <row r="381" spans="1:250" ht="15.75" customHeight="1" x14ac:dyDescent="0.25">
      <c r="A381" s="351" t="s">
        <v>1261</v>
      </c>
      <c r="B381" s="351" t="s">
        <v>1263</v>
      </c>
      <c r="C381" s="351"/>
      <c r="D381" s="351"/>
      <c r="E381" s="351"/>
      <c r="F381" s="351"/>
      <c r="G381" s="351"/>
      <c r="H381" s="351"/>
      <c r="I381" s="351"/>
      <c r="J381" s="351"/>
      <c r="K381" s="351"/>
      <c r="L381" s="351"/>
      <c r="M381" s="351"/>
      <c r="N381" s="351"/>
      <c r="O381" s="351"/>
      <c r="P381" s="351"/>
      <c r="Q381" s="351"/>
      <c r="R381" s="351">
        <v>20</v>
      </c>
      <c r="S381" s="351"/>
      <c r="T381" s="351"/>
      <c r="U381" s="351"/>
      <c r="V381" s="351"/>
      <c r="W381" s="351"/>
      <c r="X381" s="351"/>
      <c r="Y381" s="351"/>
      <c r="Z381" s="351"/>
      <c r="AA381" s="351"/>
      <c r="AB381" s="351"/>
      <c r="AC381" s="351"/>
      <c r="AD381" s="351"/>
      <c r="AE381" s="351"/>
      <c r="AF381" s="351"/>
      <c r="AG381" s="351"/>
      <c r="AH381" s="351"/>
      <c r="AI381" s="351"/>
      <c r="AJ381" s="351"/>
      <c r="AK381" s="351"/>
      <c r="AL381" s="351"/>
      <c r="AM381" s="351"/>
      <c r="AN381" s="351"/>
      <c r="AO381" s="351"/>
      <c r="AP381" s="351"/>
      <c r="AQ381" s="351"/>
      <c r="AR381" s="351"/>
      <c r="AS381" s="351"/>
      <c r="AT381" s="351"/>
      <c r="AU381" s="351"/>
      <c r="AV381" s="351"/>
      <c r="AW381" s="351"/>
      <c r="AX381" s="351"/>
      <c r="AY381" s="351"/>
      <c r="AZ381" s="351"/>
      <c r="BA381" s="351"/>
      <c r="BB381" s="351"/>
      <c r="BC381" s="351"/>
      <c r="BD381" s="351"/>
      <c r="BE381" s="351"/>
      <c r="BF381" s="351"/>
      <c r="BG381" s="351"/>
      <c r="BH381" s="351"/>
      <c r="BI381" s="351"/>
      <c r="BJ381" s="351"/>
      <c r="BK381" s="351"/>
      <c r="BL381" s="351"/>
      <c r="BM381" s="351"/>
      <c r="BN381" s="351"/>
      <c r="BO381" s="351"/>
      <c r="BP381" s="351"/>
      <c r="BQ381" s="351"/>
      <c r="BR381" s="351"/>
      <c r="BS381" s="351"/>
      <c r="BT381" s="351"/>
      <c r="BU381" s="351"/>
      <c r="BV381" s="351"/>
      <c r="BW381" s="351"/>
      <c r="BX381" s="351"/>
      <c r="BY381" s="351"/>
      <c r="BZ381" s="351"/>
      <c r="CA381" s="351"/>
      <c r="CB381" s="351"/>
      <c r="CC381" s="351"/>
      <c r="CD381" s="351"/>
      <c r="CE381" s="351"/>
      <c r="CF381" s="351"/>
      <c r="CG381" s="351"/>
      <c r="CH381" s="351"/>
      <c r="CI381" s="351"/>
      <c r="CJ381" s="351"/>
      <c r="CK381" s="351"/>
      <c r="CL381" s="351"/>
      <c r="CM381" s="351"/>
      <c r="CN381" s="351"/>
      <c r="CO381" s="351"/>
      <c r="CP381" s="351"/>
      <c r="CQ381" s="351"/>
      <c r="CR381" s="351"/>
      <c r="CS381" s="351"/>
      <c r="CT381" s="351"/>
      <c r="CU381" s="351"/>
      <c r="CV381" s="351"/>
      <c r="CW381" s="351"/>
      <c r="CX381" s="351"/>
      <c r="CY381" s="351"/>
      <c r="CZ381" s="351"/>
      <c r="DA381" s="351"/>
      <c r="DB381" s="351"/>
      <c r="DC381" s="351"/>
      <c r="DD381" s="351"/>
      <c r="DE381" s="351"/>
      <c r="DF381" s="351"/>
      <c r="DG381" s="351"/>
      <c r="DH381" s="351"/>
      <c r="DI381" s="351"/>
      <c r="DJ381" s="351"/>
      <c r="DK381" s="351"/>
      <c r="DL381" s="351"/>
      <c r="DM381" s="351"/>
      <c r="DN381" s="351"/>
      <c r="DO381" s="351"/>
      <c r="DP381" s="351"/>
      <c r="DQ381" s="351"/>
      <c r="DR381" s="351"/>
      <c r="DS381" s="351"/>
      <c r="DT381" s="351"/>
      <c r="DU381" s="351"/>
      <c r="DV381" s="351"/>
      <c r="DW381" s="351"/>
      <c r="DX381" s="351"/>
      <c r="DY381" s="351"/>
      <c r="DZ381" s="351"/>
      <c r="EA381" s="351"/>
      <c r="EB381" s="351"/>
      <c r="EC381" s="351"/>
      <c r="ED381" s="351"/>
      <c r="EE381" s="351"/>
      <c r="EF381" s="351"/>
      <c r="EG381" s="351"/>
      <c r="EH381" s="351"/>
      <c r="EI381" s="351"/>
      <c r="EJ381" s="351"/>
      <c r="EK381" s="351"/>
      <c r="EL381" s="351"/>
      <c r="EM381" s="351"/>
      <c r="EN381" s="351"/>
      <c r="EO381" s="351"/>
      <c r="EP381" s="351"/>
      <c r="EQ381" s="351"/>
      <c r="ER381" s="351"/>
      <c r="ES381" s="351"/>
      <c r="ET381" s="351"/>
      <c r="EU381" s="351"/>
      <c r="EV381" s="351"/>
      <c r="EW381" s="351"/>
      <c r="EX381" s="351"/>
      <c r="EY381" s="351"/>
      <c r="EZ381" s="351"/>
      <c r="FA381" s="351"/>
      <c r="FB381" s="351"/>
      <c r="FC381" s="351"/>
      <c r="FD381" s="351"/>
      <c r="FE381" s="351"/>
      <c r="FF381" s="351"/>
      <c r="FG381" s="351"/>
      <c r="FH381" s="351"/>
      <c r="FI381" s="351"/>
      <c r="FJ381" s="351"/>
      <c r="FK381" s="351"/>
      <c r="FL381" s="351"/>
      <c r="FM381" s="351"/>
      <c r="FN381" s="351"/>
      <c r="FO381" s="351"/>
      <c r="FP381" s="351"/>
      <c r="FQ381" s="351"/>
      <c r="FR381" s="351"/>
      <c r="FS381" s="351"/>
      <c r="FT381" s="351"/>
      <c r="FU381" s="351"/>
      <c r="FV381" s="351"/>
      <c r="FW381" s="351"/>
      <c r="FX381" s="351"/>
      <c r="FY381" s="351"/>
      <c r="FZ381" s="351"/>
      <c r="GA381" s="351"/>
      <c r="GB381" s="351"/>
      <c r="GC381" s="351"/>
      <c r="GD381" s="351"/>
      <c r="GE381" s="351"/>
      <c r="GF381" s="351"/>
      <c r="GG381" s="351"/>
      <c r="GH381" s="351"/>
      <c r="GI381" s="351"/>
      <c r="GJ381" s="351"/>
      <c r="GK381" s="351"/>
      <c r="GL381" s="351"/>
      <c r="GM381" s="351"/>
      <c r="GN381" s="351"/>
      <c r="GO381" s="351"/>
      <c r="GP381" s="351"/>
      <c r="GQ381" s="351"/>
      <c r="GR381" s="351"/>
      <c r="GS381" s="351"/>
      <c r="GT381" s="351"/>
      <c r="GU381" s="351"/>
      <c r="GV381" s="351"/>
      <c r="GW381" s="351"/>
      <c r="GX381" s="351"/>
      <c r="GY381" s="351"/>
      <c r="GZ381" s="351"/>
      <c r="HA381" s="351"/>
      <c r="HB381" s="351"/>
      <c r="HC381" s="351"/>
      <c r="HD381" s="351"/>
      <c r="HE381" s="351"/>
      <c r="HF381" s="351"/>
      <c r="HG381" s="351"/>
      <c r="HH381" s="351"/>
      <c r="HI381" s="351"/>
      <c r="HJ381" s="351"/>
      <c r="HK381" s="351"/>
      <c r="HL381" s="351"/>
      <c r="HM381" s="351"/>
      <c r="HN381" s="351"/>
      <c r="HO381" s="351"/>
      <c r="HP381" s="351"/>
      <c r="HQ381" s="351"/>
      <c r="HR381" s="351"/>
      <c r="HS381" s="351"/>
      <c r="HT381" s="351"/>
      <c r="HU381" s="351"/>
      <c r="HV381" s="351"/>
      <c r="HW381" s="351"/>
      <c r="HX381" s="351"/>
      <c r="HY381" s="351"/>
      <c r="HZ381" s="351"/>
      <c r="IA381" s="351"/>
      <c r="IB381" s="351"/>
      <c r="IC381" s="351"/>
      <c r="ID381" s="351"/>
      <c r="IE381" s="351"/>
      <c r="IF381" s="351"/>
      <c r="IG381" s="351"/>
      <c r="IH381" s="351"/>
      <c r="II381" s="351"/>
      <c r="IJ381" s="351"/>
      <c r="IK381" s="351"/>
      <c r="IL381" s="351"/>
      <c r="IM381" s="351"/>
      <c r="IN381" s="351"/>
      <c r="IO381" s="351"/>
      <c r="IP381" s="351"/>
    </row>
    <row r="382" spans="1:250" ht="15.75" customHeight="1" x14ac:dyDescent="0.25">
      <c r="A382" s="351" t="s">
        <v>1261</v>
      </c>
      <c r="B382" s="351" t="s">
        <v>1264</v>
      </c>
      <c r="C382" s="351"/>
      <c r="D382" s="351"/>
      <c r="E382" s="351"/>
      <c r="F382" s="351"/>
      <c r="G382" s="351"/>
      <c r="H382" s="351"/>
      <c r="I382" s="351"/>
      <c r="J382" s="351"/>
      <c r="K382" s="351"/>
      <c r="L382" s="351"/>
      <c r="M382" s="351"/>
      <c r="N382" s="351"/>
      <c r="O382" s="351"/>
      <c r="P382" s="351"/>
      <c r="Q382" s="351"/>
      <c r="R382" s="351"/>
      <c r="S382" s="351"/>
      <c r="T382" s="351"/>
      <c r="U382" s="351"/>
      <c r="V382" s="351"/>
      <c r="W382" s="351"/>
      <c r="X382" s="351"/>
      <c r="Y382" s="351"/>
      <c r="Z382" s="351"/>
      <c r="AA382" s="351"/>
      <c r="AB382" s="351"/>
      <c r="AC382" s="351"/>
      <c r="AD382" s="351"/>
      <c r="AE382" s="351"/>
      <c r="AF382" s="351"/>
      <c r="AG382" s="351"/>
      <c r="AH382" s="351"/>
      <c r="AI382" s="351"/>
      <c r="AJ382" s="351"/>
      <c r="AK382" s="351"/>
      <c r="AL382" s="351"/>
      <c r="AM382" s="351"/>
      <c r="AN382" s="351"/>
      <c r="AO382" s="351"/>
      <c r="AP382" s="351"/>
      <c r="AQ382" s="351">
        <v>10</v>
      </c>
      <c r="AR382" s="351"/>
      <c r="AS382" s="351"/>
      <c r="AT382" s="351"/>
      <c r="AU382" s="351"/>
      <c r="AV382" s="351"/>
      <c r="AW382" s="351"/>
      <c r="AX382" s="351"/>
      <c r="AY382" s="351"/>
      <c r="AZ382" s="351"/>
      <c r="BA382" s="351"/>
      <c r="BB382" s="351"/>
      <c r="BC382" s="351"/>
      <c r="BD382" s="351"/>
      <c r="BE382" s="351"/>
      <c r="BF382" s="351"/>
      <c r="BG382" s="351"/>
      <c r="BH382" s="351"/>
      <c r="BI382" s="351"/>
      <c r="BJ382" s="351"/>
      <c r="BK382" s="351"/>
      <c r="BL382" s="351"/>
      <c r="BM382" s="351"/>
      <c r="BN382" s="351"/>
      <c r="BO382" s="351"/>
      <c r="BP382" s="351"/>
      <c r="BQ382" s="351"/>
      <c r="BR382" s="351"/>
      <c r="BS382" s="351"/>
      <c r="BT382" s="351"/>
      <c r="BU382" s="351"/>
      <c r="BV382" s="351"/>
      <c r="BW382" s="351"/>
      <c r="BX382" s="351"/>
      <c r="BY382" s="351"/>
      <c r="BZ382" s="351"/>
      <c r="CA382" s="351"/>
      <c r="CB382" s="351"/>
      <c r="CC382" s="351"/>
      <c r="CD382" s="351"/>
      <c r="CE382" s="351"/>
      <c r="CF382" s="351"/>
      <c r="CG382" s="351"/>
      <c r="CH382" s="351"/>
      <c r="CI382" s="351"/>
      <c r="CJ382" s="351"/>
      <c r="CK382" s="351"/>
      <c r="CL382" s="351"/>
      <c r="CM382" s="351"/>
      <c r="CN382" s="351">
        <v>40</v>
      </c>
      <c r="CO382" s="351"/>
      <c r="CP382" s="351"/>
      <c r="CQ382" s="351"/>
      <c r="CR382" s="351"/>
      <c r="CS382" s="351"/>
      <c r="CT382" s="351"/>
      <c r="CU382" s="351"/>
      <c r="CV382" s="351"/>
      <c r="CW382" s="351"/>
      <c r="CX382" s="351"/>
      <c r="CY382" s="351"/>
      <c r="CZ382" s="351"/>
      <c r="DA382" s="351"/>
      <c r="DB382" s="351">
        <v>24</v>
      </c>
      <c r="DC382" s="351"/>
      <c r="DD382" s="351"/>
      <c r="DE382" s="351"/>
      <c r="DF382" s="351"/>
      <c r="DG382" s="351"/>
      <c r="DH382" s="351"/>
      <c r="DI382" s="351"/>
      <c r="DJ382" s="351"/>
      <c r="DK382" s="351">
        <v>12</v>
      </c>
      <c r="DL382" s="351"/>
      <c r="DM382" s="351"/>
      <c r="DN382" s="351"/>
      <c r="DO382" s="351"/>
      <c r="DP382" s="351"/>
      <c r="DQ382" s="351"/>
      <c r="DR382" s="351"/>
      <c r="DS382" s="351"/>
      <c r="DT382" s="351"/>
      <c r="DU382" s="351"/>
      <c r="DV382" s="351"/>
      <c r="DW382" s="351"/>
      <c r="DX382" s="351"/>
      <c r="DY382" s="351"/>
      <c r="DZ382" s="351"/>
      <c r="EA382" s="351"/>
      <c r="EB382" s="351"/>
      <c r="EC382" s="351"/>
      <c r="ED382" s="351"/>
      <c r="EE382" s="351"/>
      <c r="EF382" s="351"/>
      <c r="EG382" s="351"/>
      <c r="EH382" s="351"/>
      <c r="EI382" s="351"/>
      <c r="EJ382" s="351"/>
      <c r="EK382" s="351"/>
      <c r="EL382" s="351"/>
      <c r="EM382" s="351"/>
      <c r="EN382" s="351"/>
      <c r="EO382" s="351"/>
      <c r="EP382" s="351"/>
      <c r="EQ382" s="351"/>
      <c r="ER382" s="351"/>
      <c r="ES382" s="351"/>
      <c r="ET382" s="351"/>
      <c r="EU382" s="351"/>
      <c r="EV382" s="351"/>
      <c r="EW382" s="351"/>
      <c r="EX382" s="351"/>
      <c r="EY382" s="351"/>
      <c r="EZ382" s="351"/>
      <c r="FA382" s="351"/>
      <c r="FB382" s="351"/>
      <c r="FC382" s="351"/>
      <c r="FD382" s="351"/>
      <c r="FE382" s="351"/>
      <c r="FF382" s="351"/>
      <c r="FG382" s="351"/>
      <c r="FH382" s="351"/>
      <c r="FI382" s="351"/>
      <c r="FJ382" s="351"/>
      <c r="FK382" s="351"/>
      <c r="FL382" s="351"/>
      <c r="FM382" s="351"/>
      <c r="FN382" s="351"/>
      <c r="FO382" s="351"/>
      <c r="FP382" s="351"/>
      <c r="FQ382" s="351"/>
      <c r="FR382" s="351"/>
      <c r="FS382" s="351"/>
      <c r="FT382" s="351"/>
      <c r="FU382" s="351"/>
      <c r="FV382" s="351"/>
      <c r="FW382" s="351"/>
      <c r="FX382" s="351"/>
      <c r="FY382" s="351"/>
      <c r="FZ382" s="351"/>
      <c r="GA382" s="351"/>
      <c r="GB382" s="351"/>
      <c r="GC382" s="351"/>
      <c r="GD382" s="351"/>
      <c r="GE382" s="351"/>
      <c r="GF382" s="351"/>
      <c r="GG382" s="351"/>
      <c r="GH382" s="351"/>
      <c r="GI382" s="351"/>
      <c r="GJ382" s="351"/>
      <c r="GK382" s="351"/>
      <c r="GL382" s="351"/>
      <c r="GM382" s="351"/>
      <c r="GN382" s="351"/>
      <c r="GO382" s="351"/>
      <c r="GP382" s="351"/>
      <c r="GQ382" s="351"/>
      <c r="GR382" s="351"/>
      <c r="GS382" s="351"/>
      <c r="GT382" s="351"/>
      <c r="GU382" s="351"/>
      <c r="GV382" s="351"/>
      <c r="GW382" s="351"/>
      <c r="GX382" s="351"/>
      <c r="GY382" s="351"/>
      <c r="GZ382" s="351"/>
      <c r="HA382" s="351"/>
      <c r="HB382" s="351"/>
      <c r="HC382" s="351"/>
      <c r="HD382" s="351"/>
      <c r="HE382" s="351"/>
      <c r="HF382" s="351">
        <v>300</v>
      </c>
      <c r="HG382" s="351">
        <v>200</v>
      </c>
      <c r="HH382" s="351"/>
      <c r="HI382" s="351"/>
      <c r="HJ382" s="351"/>
      <c r="HK382" s="351"/>
      <c r="HL382" s="351"/>
      <c r="HM382" s="351"/>
      <c r="HN382" s="351">
        <v>100</v>
      </c>
      <c r="HO382" s="351"/>
      <c r="HP382" s="351"/>
      <c r="HQ382" s="351"/>
      <c r="HR382" s="351"/>
      <c r="HS382" s="351"/>
      <c r="HT382" s="351"/>
      <c r="HU382" s="351"/>
      <c r="HV382" s="351"/>
      <c r="HW382" s="351"/>
      <c r="HX382" s="351"/>
      <c r="HY382" s="351"/>
      <c r="HZ382" s="351"/>
      <c r="IA382" s="351"/>
      <c r="IB382" s="351"/>
      <c r="IC382" s="351"/>
      <c r="ID382" s="351"/>
      <c r="IE382" s="351">
        <v>50</v>
      </c>
      <c r="IF382" s="351">
        <v>25</v>
      </c>
      <c r="IG382" s="351"/>
      <c r="IH382" s="351"/>
      <c r="II382" s="351"/>
      <c r="IJ382" s="351"/>
      <c r="IK382" s="351"/>
      <c r="IL382" s="351"/>
      <c r="IM382" s="351"/>
      <c r="IN382" s="351"/>
      <c r="IO382" s="351"/>
      <c r="IP382" s="351">
        <v>110</v>
      </c>
    </row>
    <row r="383" spans="1:250" ht="15.75" customHeight="1" x14ac:dyDescent="0.25">
      <c r="A383" s="351" t="s">
        <v>1261</v>
      </c>
      <c r="B383" s="351" t="s">
        <v>1265</v>
      </c>
      <c r="C383" s="351"/>
      <c r="D383" s="351"/>
      <c r="E383" s="351"/>
      <c r="F383" s="351"/>
      <c r="G383" s="351"/>
      <c r="H383" s="351"/>
      <c r="I383" s="351"/>
      <c r="J383" s="351"/>
      <c r="K383" s="351"/>
      <c r="L383" s="351"/>
      <c r="M383" s="351"/>
      <c r="N383" s="351"/>
      <c r="O383" s="351"/>
      <c r="P383" s="351"/>
      <c r="Q383" s="351"/>
      <c r="R383" s="351"/>
      <c r="S383" s="351"/>
      <c r="T383" s="351"/>
      <c r="U383" s="351"/>
      <c r="V383" s="351"/>
      <c r="W383" s="351"/>
      <c r="X383" s="351"/>
      <c r="Y383" s="351"/>
      <c r="Z383" s="351"/>
      <c r="AA383" s="351"/>
      <c r="AB383" s="351"/>
      <c r="AC383" s="351"/>
      <c r="AD383" s="351"/>
      <c r="AE383" s="351"/>
      <c r="AF383" s="351"/>
      <c r="AG383" s="351"/>
      <c r="AH383" s="351"/>
      <c r="AI383" s="351"/>
      <c r="AJ383" s="351"/>
      <c r="AK383" s="351"/>
      <c r="AL383" s="351"/>
      <c r="AM383" s="351"/>
      <c r="AN383" s="351"/>
      <c r="AO383" s="351"/>
      <c r="AP383" s="351"/>
      <c r="AQ383" s="351"/>
      <c r="AR383" s="351"/>
      <c r="AS383" s="351"/>
      <c r="AT383" s="351"/>
      <c r="AU383" s="351"/>
      <c r="AV383" s="351"/>
      <c r="AW383" s="351"/>
      <c r="AX383" s="351"/>
      <c r="AY383" s="351"/>
      <c r="AZ383" s="351"/>
      <c r="BA383" s="351"/>
      <c r="BB383" s="351"/>
      <c r="BC383" s="351"/>
      <c r="BD383" s="351"/>
      <c r="BE383" s="351"/>
      <c r="BF383" s="351"/>
      <c r="BG383" s="351"/>
      <c r="BH383" s="351"/>
      <c r="BI383" s="351"/>
      <c r="BJ383" s="351"/>
      <c r="BK383" s="351"/>
      <c r="BL383" s="351"/>
      <c r="BM383" s="351"/>
      <c r="BN383" s="351"/>
      <c r="BO383" s="351"/>
      <c r="BP383" s="351"/>
      <c r="BQ383" s="351"/>
      <c r="BR383" s="351"/>
      <c r="BS383" s="351"/>
      <c r="BT383" s="351"/>
      <c r="BU383" s="351"/>
      <c r="BV383" s="351"/>
      <c r="BW383" s="351"/>
      <c r="BX383" s="351"/>
      <c r="BY383" s="351"/>
      <c r="BZ383" s="351"/>
      <c r="CA383" s="351"/>
      <c r="CB383" s="351"/>
      <c r="CC383" s="351"/>
      <c r="CD383" s="351"/>
      <c r="CE383" s="351"/>
      <c r="CF383" s="351"/>
      <c r="CG383" s="351"/>
      <c r="CH383" s="351"/>
      <c r="CI383" s="351"/>
      <c r="CJ383" s="351"/>
      <c r="CK383" s="351"/>
      <c r="CL383" s="351"/>
      <c r="CM383" s="351"/>
      <c r="CN383" s="351"/>
      <c r="CO383" s="351"/>
      <c r="CP383" s="351"/>
      <c r="CQ383" s="351"/>
      <c r="CR383" s="351"/>
      <c r="CS383" s="351"/>
      <c r="CT383" s="351"/>
      <c r="CU383" s="351"/>
      <c r="CV383" s="351"/>
      <c r="CW383" s="351"/>
      <c r="CX383" s="351"/>
      <c r="CY383" s="351"/>
      <c r="CZ383" s="351"/>
      <c r="DA383" s="351"/>
      <c r="DB383" s="351"/>
      <c r="DC383" s="351"/>
      <c r="DD383" s="351"/>
      <c r="DE383" s="351"/>
      <c r="DF383" s="351"/>
      <c r="DG383" s="351"/>
      <c r="DH383" s="351"/>
      <c r="DI383" s="351"/>
      <c r="DJ383" s="351"/>
      <c r="DK383" s="351"/>
      <c r="DL383" s="351"/>
      <c r="DM383" s="351"/>
      <c r="DN383" s="351"/>
      <c r="DO383" s="351"/>
      <c r="DP383" s="351"/>
      <c r="DQ383" s="351"/>
      <c r="DR383" s="351"/>
      <c r="DS383" s="351"/>
      <c r="DT383" s="351"/>
      <c r="DU383" s="351"/>
      <c r="DV383" s="351"/>
      <c r="DW383" s="351"/>
      <c r="DX383" s="351"/>
      <c r="DY383" s="351"/>
      <c r="DZ383" s="351"/>
      <c r="EA383" s="351"/>
      <c r="EB383" s="351"/>
      <c r="EC383" s="351"/>
      <c r="ED383" s="351"/>
      <c r="EE383" s="351"/>
      <c r="EF383" s="351"/>
      <c r="EG383" s="351"/>
      <c r="EH383" s="351"/>
      <c r="EI383" s="351"/>
      <c r="EJ383" s="351"/>
      <c r="EK383" s="351"/>
      <c r="EL383" s="351"/>
      <c r="EM383" s="351"/>
      <c r="EN383" s="351"/>
      <c r="EO383" s="351"/>
      <c r="EP383" s="351"/>
      <c r="EQ383" s="351"/>
      <c r="ER383" s="351"/>
      <c r="ES383" s="351"/>
      <c r="ET383" s="351"/>
      <c r="EU383" s="351"/>
      <c r="EV383" s="351"/>
      <c r="EW383" s="351"/>
      <c r="EX383" s="351"/>
      <c r="EY383" s="351"/>
      <c r="EZ383" s="351">
        <v>100</v>
      </c>
      <c r="FA383" s="351"/>
      <c r="FB383" s="351">
        <v>100</v>
      </c>
      <c r="FC383" s="351"/>
      <c r="FD383" s="351"/>
      <c r="FE383" s="351">
        <v>100</v>
      </c>
      <c r="FF383" s="351"/>
      <c r="FG383" s="351"/>
      <c r="FH383" s="351"/>
      <c r="FI383" s="351"/>
      <c r="FJ383" s="351"/>
      <c r="FK383" s="351">
        <v>25</v>
      </c>
      <c r="FL383" s="351"/>
      <c r="FM383" s="351"/>
      <c r="FN383" s="351">
        <v>25</v>
      </c>
      <c r="FO383" s="351"/>
      <c r="FP383" s="351"/>
      <c r="FQ383" s="351"/>
      <c r="FR383" s="351">
        <v>100</v>
      </c>
      <c r="FS383" s="351">
        <v>100</v>
      </c>
      <c r="FT383" s="351"/>
      <c r="FU383" s="351"/>
      <c r="FV383" s="351"/>
      <c r="FW383" s="351"/>
      <c r="FX383" s="351"/>
      <c r="FY383" s="351"/>
      <c r="FZ383" s="351"/>
      <c r="GA383" s="351"/>
      <c r="GB383" s="351"/>
      <c r="GC383" s="351"/>
      <c r="GD383" s="351"/>
      <c r="GE383" s="351"/>
      <c r="GF383" s="351"/>
      <c r="GG383" s="351"/>
      <c r="GH383" s="351"/>
      <c r="GI383" s="351"/>
      <c r="GJ383" s="351"/>
      <c r="GK383" s="351"/>
      <c r="GL383" s="351"/>
      <c r="GM383" s="351"/>
      <c r="GN383" s="351"/>
      <c r="GO383" s="351"/>
      <c r="GP383" s="351"/>
      <c r="GQ383" s="351"/>
      <c r="GR383" s="351"/>
      <c r="GS383" s="351"/>
      <c r="GT383" s="351"/>
      <c r="GU383" s="351"/>
      <c r="GV383" s="351"/>
      <c r="GW383" s="351"/>
      <c r="GX383" s="351"/>
      <c r="GY383" s="351"/>
      <c r="GZ383" s="351"/>
      <c r="HA383" s="351"/>
      <c r="HB383" s="351"/>
      <c r="HC383" s="351"/>
      <c r="HD383" s="351"/>
      <c r="HE383" s="351"/>
      <c r="HF383" s="351"/>
      <c r="HG383" s="351"/>
      <c r="HH383" s="351"/>
      <c r="HI383" s="351"/>
      <c r="HJ383" s="351"/>
      <c r="HK383" s="351"/>
      <c r="HL383" s="351"/>
      <c r="HM383" s="351"/>
      <c r="HN383" s="351"/>
      <c r="HO383" s="351"/>
      <c r="HP383" s="351"/>
      <c r="HQ383" s="351"/>
      <c r="HR383" s="351"/>
      <c r="HS383" s="351"/>
      <c r="HT383" s="351"/>
      <c r="HU383" s="351"/>
      <c r="HV383" s="351"/>
      <c r="HW383" s="351"/>
      <c r="HX383" s="351"/>
      <c r="HY383" s="351"/>
      <c r="HZ383" s="351"/>
      <c r="IA383" s="351"/>
      <c r="IB383" s="351"/>
      <c r="IC383" s="351"/>
      <c r="ID383" s="351"/>
      <c r="IE383" s="351"/>
      <c r="IF383" s="351"/>
      <c r="IG383" s="351"/>
      <c r="IH383" s="351"/>
      <c r="II383" s="351"/>
      <c r="IJ383" s="351"/>
      <c r="IK383" s="351"/>
      <c r="IL383" s="351"/>
      <c r="IM383" s="351"/>
      <c r="IN383" s="351"/>
      <c r="IO383" s="351"/>
      <c r="IP383" s="351"/>
    </row>
    <row r="384" spans="1:250" ht="15.75" customHeight="1" x14ac:dyDescent="0.25">
      <c r="A384" s="351" t="s">
        <v>1261</v>
      </c>
      <c r="B384" s="351" t="s">
        <v>1267</v>
      </c>
      <c r="C384" s="351"/>
      <c r="D384" s="351"/>
      <c r="E384" s="351"/>
      <c r="F384" s="351"/>
      <c r="G384" s="351"/>
      <c r="H384" s="351"/>
      <c r="I384" s="351"/>
      <c r="J384" s="351"/>
      <c r="K384" s="351"/>
      <c r="L384" s="351"/>
      <c r="M384" s="351"/>
      <c r="N384" s="351"/>
      <c r="O384" s="351"/>
      <c r="P384" s="351"/>
      <c r="Q384" s="351"/>
      <c r="R384" s="351"/>
      <c r="S384" s="351"/>
      <c r="T384" s="351"/>
      <c r="U384" s="351"/>
      <c r="V384" s="351"/>
      <c r="W384" s="351"/>
      <c r="X384" s="351"/>
      <c r="Y384" s="351"/>
      <c r="Z384" s="351"/>
      <c r="AA384" s="351"/>
      <c r="AB384" s="351"/>
      <c r="AC384" s="351"/>
      <c r="AD384" s="351"/>
      <c r="AE384" s="351"/>
      <c r="AF384" s="351"/>
      <c r="AG384" s="351"/>
      <c r="AH384" s="351"/>
      <c r="AI384" s="351"/>
      <c r="AJ384" s="351"/>
      <c r="AK384" s="351"/>
      <c r="AL384" s="351"/>
      <c r="AM384" s="351"/>
      <c r="AN384" s="351"/>
      <c r="AO384" s="351"/>
      <c r="AP384" s="351"/>
      <c r="AQ384" s="351"/>
      <c r="AR384" s="351"/>
      <c r="AS384" s="351"/>
      <c r="AT384" s="351"/>
      <c r="AU384" s="351"/>
      <c r="AV384" s="351"/>
      <c r="AW384" s="351"/>
      <c r="AX384" s="351"/>
      <c r="AY384" s="351"/>
      <c r="AZ384" s="351"/>
      <c r="BA384" s="351"/>
      <c r="BB384" s="351"/>
      <c r="BC384" s="351"/>
      <c r="BD384" s="351"/>
      <c r="BE384" s="351"/>
      <c r="BF384" s="351"/>
      <c r="BG384" s="351"/>
      <c r="BH384" s="351"/>
      <c r="BI384" s="351"/>
      <c r="BJ384" s="351"/>
      <c r="BK384" s="351"/>
      <c r="BL384" s="351"/>
      <c r="BM384" s="351"/>
      <c r="BN384" s="351"/>
      <c r="BO384" s="351"/>
      <c r="BP384" s="351"/>
      <c r="BQ384" s="351"/>
      <c r="BR384" s="351"/>
      <c r="BS384" s="351"/>
      <c r="BT384" s="351"/>
      <c r="BU384" s="351"/>
      <c r="BV384" s="351"/>
      <c r="BW384" s="351"/>
      <c r="BX384" s="351"/>
      <c r="BY384" s="351"/>
      <c r="BZ384" s="351"/>
      <c r="CA384" s="351"/>
      <c r="CB384" s="351"/>
      <c r="CC384" s="351"/>
      <c r="CD384" s="351"/>
      <c r="CE384" s="351"/>
      <c r="CF384" s="351"/>
      <c r="CG384" s="351"/>
      <c r="CH384" s="351"/>
      <c r="CI384" s="351"/>
      <c r="CJ384" s="351"/>
      <c r="CK384" s="351"/>
      <c r="CL384" s="351"/>
      <c r="CM384" s="351"/>
      <c r="CN384" s="351"/>
      <c r="CO384" s="351"/>
      <c r="CP384" s="351"/>
      <c r="CQ384" s="351"/>
      <c r="CR384" s="351"/>
      <c r="CS384" s="351"/>
      <c r="CT384" s="351"/>
      <c r="CU384" s="351"/>
      <c r="CV384" s="351"/>
      <c r="CW384" s="351"/>
      <c r="CX384" s="351"/>
      <c r="CY384" s="351"/>
      <c r="CZ384" s="351"/>
      <c r="DA384" s="351"/>
      <c r="DB384" s="351"/>
      <c r="DC384" s="351"/>
      <c r="DD384" s="351"/>
      <c r="DE384" s="351"/>
      <c r="DF384" s="351"/>
      <c r="DG384" s="351"/>
      <c r="DH384" s="351"/>
      <c r="DI384" s="351"/>
      <c r="DJ384" s="351"/>
      <c r="DK384" s="351"/>
      <c r="DL384" s="351"/>
      <c r="DM384" s="351"/>
      <c r="DN384" s="351"/>
      <c r="DO384" s="351"/>
      <c r="DP384" s="351"/>
      <c r="DQ384" s="351"/>
      <c r="DR384" s="351"/>
      <c r="DS384" s="351"/>
      <c r="DT384" s="351"/>
      <c r="DU384" s="351"/>
      <c r="DV384" s="351"/>
      <c r="DW384" s="351"/>
      <c r="DX384" s="351"/>
      <c r="DY384" s="351"/>
      <c r="DZ384" s="351"/>
      <c r="EA384" s="351"/>
      <c r="EB384" s="351"/>
      <c r="EC384" s="351"/>
      <c r="ED384" s="351"/>
      <c r="EE384" s="351"/>
      <c r="EF384" s="351"/>
      <c r="EG384" s="351"/>
      <c r="EH384" s="351"/>
      <c r="EI384" s="351"/>
      <c r="EJ384" s="351"/>
      <c r="EK384" s="351"/>
      <c r="EL384" s="351"/>
      <c r="EM384" s="351"/>
      <c r="EN384" s="351"/>
      <c r="EO384" s="351"/>
      <c r="EP384" s="351"/>
      <c r="EQ384" s="351"/>
      <c r="ER384" s="351"/>
      <c r="ES384" s="351"/>
      <c r="ET384" s="351"/>
      <c r="EU384" s="351"/>
      <c r="EV384" s="351"/>
      <c r="EW384" s="351"/>
      <c r="EX384" s="351"/>
      <c r="EY384" s="351"/>
      <c r="EZ384" s="351"/>
      <c r="FA384" s="351"/>
      <c r="FB384" s="351"/>
      <c r="FC384" s="351"/>
      <c r="FD384" s="351"/>
      <c r="FE384" s="351"/>
      <c r="FF384" s="351"/>
      <c r="FG384" s="351"/>
      <c r="FH384" s="351"/>
      <c r="FI384" s="351"/>
      <c r="FJ384" s="351"/>
      <c r="FK384" s="351"/>
      <c r="FL384" s="351"/>
      <c r="FM384" s="351"/>
      <c r="FN384" s="351"/>
      <c r="FO384" s="351"/>
      <c r="FP384" s="351"/>
      <c r="FQ384" s="351"/>
      <c r="FR384" s="351">
        <v>100</v>
      </c>
      <c r="FS384" s="351"/>
      <c r="FT384" s="351"/>
      <c r="FU384" s="351"/>
      <c r="FV384" s="351"/>
      <c r="FW384" s="351"/>
      <c r="FX384" s="351"/>
      <c r="FY384" s="351"/>
      <c r="FZ384" s="351"/>
      <c r="GA384" s="351"/>
      <c r="GB384" s="351"/>
      <c r="GC384" s="351"/>
      <c r="GD384" s="351"/>
      <c r="GE384" s="351"/>
      <c r="GF384" s="351"/>
      <c r="GG384" s="351"/>
      <c r="GH384" s="351"/>
      <c r="GI384" s="351"/>
      <c r="GJ384" s="351"/>
      <c r="GK384" s="351"/>
      <c r="GL384" s="351"/>
      <c r="GM384" s="351"/>
      <c r="GN384" s="351"/>
      <c r="GO384" s="351"/>
      <c r="GP384" s="351"/>
      <c r="GQ384" s="351"/>
      <c r="GR384" s="351"/>
      <c r="GS384" s="351"/>
      <c r="GT384" s="351"/>
      <c r="GU384" s="351"/>
      <c r="GV384" s="351"/>
      <c r="GW384" s="351"/>
      <c r="GX384" s="351"/>
      <c r="GY384" s="351"/>
      <c r="GZ384" s="351"/>
      <c r="HA384" s="351"/>
      <c r="HB384" s="351">
        <v>117</v>
      </c>
      <c r="HC384" s="351"/>
      <c r="HD384" s="351"/>
      <c r="HE384" s="351"/>
      <c r="HF384" s="351"/>
      <c r="HG384" s="351"/>
      <c r="HH384" s="351"/>
      <c r="HI384" s="351"/>
      <c r="HJ384" s="351"/>
      <c r="HK384" s="351">
        <v>50</v>
      </c>
      <c r="HL384" s="351">
        <v>5</v>
      </c>
      <c r="HM384" s="351"/>
      <c r="HN384" s="351"/>
      <c r="HO384" s="351"/>
      <c r="HP384" s="351"/>
      <c r="HQ384" s="351"/>
      <c r="HR384" s="351"/>
      <c r="HS384" s="351"/>
      <c r="HT384" s="351"/>
      <c r="HU384" s="351"/>
      <c r="HV384" s="351"/>
      <c r="HW384" s="351"/>
      <c r="HX384" s="351"/>
      <c r="HY384" s="351"/>
      <c r="HZ384" s="351"/>
      <c r="IA384" s="351"/>
      <c r="IB384" s="351"/>
      <c r="IC384" s="351"/>
      <c r="ID384" s="351"/>
      <c r="IE384" s="351"/>
      <c r="IF384" s="351"/>
      <c r="IG384" s="351"/>
      <c r="IH384" s="351"/>
      <c r="II384" s="351"/>
      <c r="IJ384" s="351"/>
      <c r="IK384" s="351"/>
      <c r="IL384" s="351"/>
      <c r="IM384" s="351"/>
      <c r="IN384" s="351"/>
      <c r="IO384" s="351"/>
      <c r="IP384" s="351"/>
    </row>
    <row r="385" spans="1:250" ht="15.75" customHeight="1" x14ac:dyDescent="0.25">
      <c r="A385" s="351" t="s">
        <v>1261</v>
      </c>
      <c r="B385" s="351" t="s">
        <v>1268</v>
      </c>
      <c r="C385" s="351"/>
      <c r="D385" s="351"/>
      <c r="E385" s="351"/>
      <c r="F385" s="351"/>
      <c r="G385" s="351"/>
      <c r="H385" s="351"/>
      <c r="I385" s="351"/>
      <c r="J385" s="351"/>
      <c r="K385" s="351"/>
      <c r="L385" s="351"/>
      <c r="M385" s="351"/>
      <c r="N385" s="351"/>
      <c r="O385" s="351"/>
      <c r="P385" s="351"/>
      <c r="Q385" s="351"/>
      <c r="R385" s="351"/>
      <c r="S385" s="351"/>
      <c r="T385" s="351"/>
      <c r="U385" s="351"/>
      <c r="V385" s="351"/>
      <c r="W385" s="351"/>
      <c r="X385" s="351"/>
      <c r="Y385" s="351"/>
      <c r="Z385" s="351"/>
      <c r="AA385" s="351"/>
      <c r="AB385" s="351"/>
      <c r="AC385" s="351"/>
      <c r="AD385" s="351"/>
      <c r="AE385" s="351"/>
      <c r="AF385" s="351"/>
      <c r="AG385" s="351"/>
      <c r="AH385" s="351"/>
      <c r="AI385" s="351"/>
      <c r="AJ385" s="351"/>
      <c r="AK385" s="351"/>
      <c r="AL385" s="351"/>
      <c r="AM385" s="351"/>
      <c r="AN385" s="351"/>
      <c r="AO385" s="351"/>
      <c r="AP385" s="351"/>
      <c r="AQ385" s="351"/>
      <c r="AR385" s="351"/>
      <c r="AS385" s="351"/>
      <c r="AT385" s="351"/>
      <c r="AU385" s="351"/>
      <c r="AV385" s="351"/>
      <c r="AW385" s="351"/>
      <c r="AX385" s="351"/>
      <c r="AY385" s="351"/>
      <c r="AZ385" s="351"/>
      <c r="BA385" s="351"/>
      <c r="BB385" s="351"/>
      <c r="BC385" s="351"/>
      <c r="BD385" s="351"/>
      <c r="BE385" s="351"/>
      <c r="BF385" s="351"/>
      <c r="BG385" s="351"/>
      <c r="BH385" s="351"/>
      <c r="BI385" s="351"/>
      <c r="BJ385" s="351"/>
      <c r="BK385" s="351"/>
      <c r="BL385" s="351"/>
      <c r="BM385" s="351"/>
      <c r="BN385" s="351"/>
      <c r="BO385" s="351"/>
      <c r="BP385" s="351"/>
      <c r="BQ385" s="351"/>
      <c r="BR385" s="351"/>
      <c r="BS385" s="351"/>
      <c r="BT385" s="351"/>
      <c r="BU385" s="351"/>
      <c r="BV385" s="351"/>
      <c r="BW385" s="351"/>
      <c r="BX385" s="351"/>
      <c r="BY385" s="351"/>
      <c r="BZ385" s="351"/>
      <c r="CA385" s="351"/>
      <c r="CB385" s="351"/>
      <c r="CC385" s="351"/>
      <c r="CD385" s="351"/>
      <c r="CE385" s="351"/>
      <c r="CF385" s="351"/>
      <c r="CG385" s="351"/>
      <c r="CH385" s="351"/>
      <c r="CI385" s="351"/>
      <c r="CJ385" s="351"/>
      <c r="CK385" s="351"/>
      <c r="CL385" s="351"/>
      <c r="CM385" s="351"/>
      <c r="CN385" s="351"/>
      <c r="CO385" s="351"/>
      <c r="CP385" s="351"/>
      <c r="CQ385" s="351"/>
      <c r="CR385" s="351"/>
      <c r="CS385" s="351"/>
      <c r="CT385" s="351"/>
      <c r="CU385" s="351"/>
      <c r="CV385" s="351"/>
      <c r="CW385" s="351"/>
      <c r="CX385" s="351"/>
      <c r="CY385" s="351"/>
      <c r="CZ385" s="351"/>
      <c r="DA385" s="351"/>
      <c r="DB385" s="351"/>
      <c r="DC385" s="351"/>
      <c r="DD385" s="351"/>
      <c r="DE385" s="351"/>
      <c r="DF385" s="351"/>
      <c r="DG385" s="351"/>
      <c r="DH385" s="351"/>
      <c r="DI385" s="351"/>
      <c r="DJ385" s="351"/>
      <c r="DK385" s="351"/>
      <c r="DL385" s="351"/>
      <c r="DM385" s="351"/>
      <c r="DN385" s="351"/>
      <c r="DO385" s="351"/>
      <c r="DP385" s="351"/>
      <c r="DQ385" s="351"/>
      <c r="DR385" s="351"/>
      <c r="DS385" s="351"/>
      <c r="DT385" s="351"/>
      <c r="DU385" s="351"/>
      <c r="DV385" s="351"/>
      <c r="DW385" s="351"/>
      <c r="DX385" s="351"/>
      <c r="DY385" s="351"/>
      <c r="DZ385" s="351"/>
      <c r="EA385" s="351"/>
      <c r="EB385" s="351"/>
      <c r="EC385" s="351"/>
      <c r="ED385" s="351"/>
      <c r="EE385" s="351"/>
      <c r="EF385" s="351"/>
      <c r="EG385" s="351"/>
      <c r="EH385" s="351"/>
      <c r="EI385" s="351"/>
      <c r="EJ385" s="351"/>
      <c r="EK385" s="351"/>
      <c r="EL385" s="351"/>
      <c r="EM385" s="351"/>
      <c r="EN385" s="351"/>
      <c r="EO385" s="351"/>
      <c r="EP385" s="351"/>
      <c r="EQ385" s="351"/>
      <c r="ER385" s="351"/>
      <c r="ES385" s="351"/>
      <c r="ET385" s="351"/>
      <c r="EU385" s="351"/>
      <c r="EV385" s="351"/>
      <c r="EW385" s="351"/>
      <c r="EX385" s="351"/>
      <c r="EY385" s="351"/>
      <c r="EZ385" s="351"/>
      <c r="FA385" s="351"/>
      <c r="FB385" s="351"/>
      <c r="FC385" s="351"/>
      <c r="FD385" s="351"/>
      <c r="FE385" s="351"/>
      <c r="FF385" s="351"/>
      <c r="FG385" s="351"/>
      <c r="FH385" s="351"/>
      <c r="FI385" s="351"/>
      <c r="FJ385" s="351"/>
      <c r="FK385" s="351"/>
      <c r="FL385" s="351"/>
      <c r="FM385" s="351"/>
      <c r="FN385" s="351"/>
      <c r="FO385" s="351"/>
      <c r="FP385" s="351"/>
      <c r="FQ385" s="351"/>
      <c r="FR385" s="351"/>
      <c r="FS385" s="351"/>
      <c r="FT385" s="351"/>
      <c r="FU385" s="351"/>
      <c r="FV385" s="351"/>
      <c r="FW385" s="351"/>
      <c r="FX385" s="351"/>
      <c r="FY385" s="351"/>
      <c r="FZ385" s="351"/>
      <c r="GA385" s="351">
        <v>200</v>
      </c>
      <c r="GB385" s="351"/>
      <c r="GC385" s="351">
        <v>200</v>
      </c>
      <c r="GD385" s="351"/>
      <c r="GE385" s="351"/>
      <c r="GF385" s="351"/>
      <c r="GG385" s="351"/>
      <c r="GH385" s="351"/>
      <c r="GI385" s="351"/>
      <c r="GJ385" s="351"/>
      <c r="GK385" s="351"/>
      <c r="GL385" s="351"/>
      <c r="GM385" s="351"/>
      <c r="GN385" s="351"/>
      <c r="GO385" s="351"/>
      <c r="GP385" s="351"/>
      <c r="GQ385" s="351"/>
      <c r="GR385" s="351"/>
      <c r="GS385" s="351"/>
      <c r="GT385" s="351"/>
      <c r="GU385" s="351"/>
      <c r="GV385" s="351"/>
      <c r="GW385" s="351"/>
      <c r="GX385" s="351"/>
      <c r="GY385" s="351"/>
      <c r="GZ385" s="351"/>
      <c r="HA385" s="351"/>
      <c r="HB385" s="351"/>
      <c r="HC385" s="351"/>
      <c r="HD385" s="351"/>
      <c r="HE385" s="351"/>
      <c r="HF385" s="351"/>
      <c r="HG385" s="351"/>
      <c r="HH385" s="351"/>
      <c r="HI385" s="351"/>
      <c r="HJ385" s="351"/>
      <c r="HK385" s="351"/>
      <c r="HL385" s="351"/>
      <c r="HM385" s="351"/>
      <c r="HN385" s="351"/>
      <c r="HO385" s="351"/>
      <c r="HP385" s="351"/>
      <c r="HQ385" s="351"/>
      <c r="HR385" s="351"/>
      <c r="HS385" s="351"/>
      <c r="HT385" s="351"/>
      <c r="HU385" s="351"/>
      <c r="HV385" s="351"/>
      <c r="HW385" s="351"/>
      <c r="HX385" s="351"/>
      <c r="HY385" s="351"/>
      <c r="HZ385" s="351"/>
      <c r="IA385" s="351"/>
      <c r="IB385" s="351"/>
      <c r="IC385" s="351"/>
      <c r="ID385" s="351">
        <v>7</v>
      </c>
      <c r="IE385" s="351"/>
      <c r="IF385" s="351"/>
      <c r="IG385" s="351"/>
      <c r="IH385" s="351"/>
      <c r="II385" s="351"/>
      <c r="IJ385" s="351"/>
      <c r="IK385" s="351"/>
      <c r="IL385" s="351"/>
      <c r="IM385" s="351"/>
      <c r="IN385" s="351"/>
      <c r="IO385" s="351"/>
      <c r="IP385" s="351"/>
    </row>
    <row r="386" spans="1:250" ht="15.75" customHeight="1" x14ac:dyDescent="0.25">
      <c r="A386" s="351" t="s">
        <v>1261</v>
      </c>
      <c r="B386" s="351" t="s">
        <v>1269</v>
      </c>
      <c r="C386" s="351"/>
      <c r="D386" s="351"/>
      <c r="E386" s="351"/>
      <c r="F386" s="351"/>
      <c r="G386" s="351"/>
      <c r="H386" s="351"/>
      <c r="I386" s="351"/>
      <c r="J386" s="351"/>
      <c r="K386" s="351"/>
      <c r="L386" s="351"/>
      <c r="M386" s="351"/>
      <c r="N386" s="351"/>
      <c r="O386" s="351"/>
      <c r="P386" s="351"/>
      <c r="Q386" s="351"/>
      <c r="R386" s="351"/>
      <c r="S386" s="351"/>
      <c r="T386" s="351"/>
      <c r="U386" s="351"/>
      <c r="V386" s="351"/>
      <c r="W386" s="351"/>
      <c r="X386" s="351"/>
      <c r="Y386" s="351"/>
      <c r="Z386" s="351"/>
      <c r="AA386" s="351"/>
      <c r="AB386" s="351"/>
      <c r="AC386" s="351"/>
      <c r="AD386" s="351"/>
      <c r="AE386" s="351"/>
      <c r="AF386" s="351"/>
      <c r="AG386" s="351"/>
      <c r="AH386" s="351"/>
      <c r="AI386" s="351"/>
      <c r="AJ386" s="351"/>
      <c r="AK386" s="351"/>
      <c r="AL386" s="351"/>
      <c r="AM386" s="351"/>
      <c r="AN386" s="351"/>
      <c r="AO386" s="351"/>
      <c r="AP386" s="351"/>
      <c r="AQ386" s="351"/>
      <c r="AR386" s="351"/>
      <c r="AS386" s="351"/>
      <c r="AT386" s="351"/>
      <c r="AU386" s="351"/>
      <c r="AV386" s="351"/>
      <c r="AW386" s="351"/>
      <c r="AX386" s="351"/>
      <c r="AY386" s="351"/>
      <c r="AZ386" s="351"/>
      <c r="BA386" s="351"/>
      <c r="BB386" s="351"/>
      <c r="BC386" s="351"/>
      <c r="BD386" s="351"/>
      <c r="BE386" s="351"/>
      <c r="BF386" s="351"/>
      <c r="BG386" s="351"/>
      <c r="BH386" s="351"/>
      <c r="BI386" s="351"/>
      <c r="BJ386" s="351"/>
      <c r="BK386" s="351"/>
      <c r="BL386" s="351"/>
      <c r="BM386" s="351"/>
      <c r="BN386" s="351"/>
      <c r="BO386" s="351"/>
      <c r="BP386" s="351"/>
      <c r="BQ386" s="351"/>
      <c r="BR386" s="351"/>
      <c r="BS386" s="351"/>
      <c r="BT386" s="351"/>
      <c r="BU386" s="351"/>
      <c r="BV386" s="351"/>
      <c r="BW386" s="351"/>
      <c r="BX386" s="351"/>
      <c r="BY386" s="351"/>
      <c r="BZ386" s="351"/>
      <c r="CA386" s="351"/>
      <c r="CB386" s="351"/>
      <c r="CC386" s="351"/>
      <c r="CD386" s="351"/>
      <c r="CE386" s="351"/>
      <c r="CF386" s="351"/>
      <c r="CG386" s="351"/>
      <c r="CH386" s="351"/>
      <c r="CI386" s="351"/>
      <c r="CJ386" s="351"/>
      <c r="CK386" s="351"/>
      <c r="CL386" s="351"/>
      <c r="CM386" s="351"/>
      <c r="CN386" s="351"/>
      <c r="CO386" s="351"/>
      <c r="CP386" s="351"/>
      <c r="CQ386" s="351"/>
      <c r="CR386" s="351"/>
      <c r="CS386" s="351"/>
      <c r="CT386" s="351"/>
      <c r="CU386" s="351"/>
      <c r="CV386" s="351"/>
      <c r="CW386" s="351"/>
      <c r="CX386" s="351"/>
      <c r="CY386" s="351"/>
      <c r="CZ386" s="351"/>
      <c r="DA386" s="351"/>
      <c r="DB386" s="351"/>
      <c r="DC386" s="351"/>
      <c r="DD386" s="351"/>
      <c r="DE386" s="351"/>
      <c r="DF386" s="351"/>
      <c r="DG386" s="351"/>
      <c r="DH386" s="351"/>
      <c r="DI386" s="351"/>
      <c r="DJ386" s="351"/>
      <c r="DK386" s="351"/>
      <c r="DL386" s="351"/>
      <c r="DM386" s="351"/>
      <c r="DN386" s="351"/>
      <c r="DO386" s="351"/>
      <c r="DP386" s="351"/>
      <c r="DQ386" s="351"/>
      <c r="DR386" s="351"/>
      <c r="DS386" s="351"/>
      <c r="DT386" s="351"/>
      <c r="DU386" s="351"/>
      <c r="DV386" s="351"/>
      <c r="DW386" s="351"/>
      <c r="DX386" s="351"/>
      <c r="DY386" s="351"/>
      <c r="DZ386" s="351"/>
      <c r="EA386" s="351"/>
      <c r="EB386" s="351"/>
      <c r="EC386" s="351"/>
      <c r="ED386" s="351"/>
      <c r="EE386" s="351"/>
      <c r="EF386" s="351"/>
      <c r="EG386" s="351"/>
      <c r="EH386" s="351"/>
      <c r="EI386" s="351"/>
      <c r="EJ386" s="351"/>
      <c r="EK386" s="351"/>
      <c r="EL386" s="351"/>
      <c r="EM386" s="351"/>
      <c r="EN386" s="351"/>
      <c r="EO386" s="351"/>
      <c r="EP386" s="351"/>
      <c r="EQ386" s="351"/>
      <c r="ER386" s="351"/>
      <c r="ES386" s="351"/>
      <c r="ET386" s="351"/>
      <c r="EU386" s="351"/>
      <c r="EV386" s="351"/>
      <c r="EW386" s="351"/>
      <c r="EX386" s="351"/>
      <c r="EY386" s="351"/>
      <c r="EZ386" s="351"/>
      <c r="FA386" s="351"/>
      <c r="FB386" s="351"/>
      <c r="FC386" s="351"/>
      <c r="FD386" s="351"/>
      <c r="FE386" s="351"/>
      <c r="FF386" s="351"/>
      <c r="FG386" s="351"/>
      <c r="FH386" s="351"/>
      <c r="FI386" s="351"/>
      <c r="FJ386" s="351"/>
      <c r="FK386" s="351"/>
      <c r="FL386" s="351"/>
      <c r="FM386" s="351"/>
      <c r="FN386" s="351"/>
      <c r="FO386" s="351"/>
      <c r="FP386" s="351"/>
      <c r="FQ386" s="351"/>
      <c r="FR386" s="351"/>
      <c r="FS386" s="351"/>
      <c r="FT386" s="351"/>
      <c r="FU386" s="351"/>
      <c r="FV386" s="351"/>
      <c r="FW386" s="351"/>
      <c r="FX386" s="351"/>
      <c r="FY386" s="351"/>
      <c r="FZ386" s="351"/>
      <c r="GA386" s="351"/>
      <c r="GB386" s="351"/>
      <c r="GC386" s="351"/>
      <c r="GD386" s="351"/>
      <c r="GE386" s="351"/>
      <c r="GF386" s="351"/>
      <c r="GG386" s="351"/>
      <c r="GH386" s="351"/>
      <c r="GI386" s="351"/>
      <c r="GJ386" s="351"/>
      <c r="GK386" s="351"/>
      <c r="GL386" s="351"/>
      <c r="GM386" s="351"/>
      <c r="GN386" s="351"/>
      <c r="GO386" s="351"/>
      <c r="GP386" s="351"/>
      <c r="GQ386" s="351"/>
      <c r="GR386" s="351"/>
      <c r="GS386" s="351"/>
      <c r="GT386" s="351"/>
      <c r="GU386" s="351"/>
      <c r="GV386" s="351"/>
      <c r="GW386" s="351"/>
      <c r="GX386" s="351"/>
      <c r="GY386" s="351"/>
      <c r="GZ386" s="351"/>
      <c r="HA386" s="351"/>
      <c r="HB386" s="351"/>
      <c r="HC386" s="351"/>
      <c r="HD386" s="351"/>
      <c r="HE386" s="351"/>
      <c r="HF386" s="351"/>
      <c r="HG386" s="351"/>
      <c r="HH386" s="351"/>
      <c r="HI386" s="351"/>
      <c r="HJ386" s="351"/>
      <c r="HK386" s="351"/>
      <c r="HL386" s="351"/>
      <c r="HM386" s="351"/>
      <c r="HN386" s="351"/>
      <c r="HO386" s="351"/>
      <c r="HP386" s="351"/>
      <c r="HQ386" s="351"/>
      <c r="HR386" s="351"/>
      <c r="HS386" s="351"/>
      <c r="HT386" s="351"/>
      <c r="HU386" s="351"/>
      <c r="HV386" s="351"/>
      <c r="HW386" s="351"/>
      <c r="HX386" s="351"/>
      <c r="HY386" s="351"/>
      <c r="HZ386" s="351"/>
      <c r="IA386" s="351"/>
      <c r="IB386" s="351"/>
      <c r="IC386" s="351"/>
      <c r="ID386" s="351">
        <v>12</v>
      </c>
      <c r="IE386" s="351"/>
      <c r="IF386" s="351"/>
      <c r="IG386" s="351"/>
      <c r="IH386" s="351"/>
      <c r="II386" s="351"/>
      <c r="IJ386" s="351"/>
      <c r="IK386" s="351"/>
      <c r="IL386" s="351"/>
      <c r="IM386" s="351"/>
      <c r="IN386" s="351"/>
      <c r="IO386" s="351"/>
      <c r="IP386" s="351"/>
    </row>
    <row r="387" spans="1:250" ht="15.75" customHeight="1" x14ac:dyDescent="0.25">
      <c r="A387" s="351" t="s">
        <v>1271</v>
      </c>
      <c r="B387" s="351" t="s">
        <v>1272</v>
      </c>
      <c r="C387" s="351"/>
      <c r="D387" s="351"/>
      <c r="E387" s="351"/>
      <c r="F387" s="351"/>
      <c r="G387" s="351"/>
      <c r="H387" s="351"/>
      <c r="I387" s="351"/>
      <c r="J387" s="351"/>
      <c r="K387" s="351"/>
      <c r="L387" s="351"/>
      <c r="M387" s="351"/>
      <c r="N387" s="351"/>
      <c r="O387" s="351"/>
      <c r="P387" s="351"/>
      <c r="Q387" s="351"/>
      <c r="R387" s="351"/>
      <c r="S387" s="351"/>
      <c r="T387" s="351"/>
      <c r="U387" s="351"/>
      <c r="V387" s="351"/>
      <c r="W387" s="351"/>
      <c r="X387" s="351"/>
      <c r="Y387" s="351">
        <v>20</v>
      </c>
      <c r="Z387" s="351"/>
      <c r="AA387" s="351"/>
      <c r="AB387" s="351"/>
      <c r="AC387" s="351"/>
      <c r="AD387" s="351"/>
      <c r="AE387" s="351"/>
      <c r="AF387" s="351"/>
      <c r="AG387" s="351"/>
      <c r="AH387" s="351"/>
      <c r="AI387" s="351"/>
      <c r="AJ387" s="351"/>
      <c r="AK387" s="351"/>
      <c r="AL387" s="351"/>
      <c r="AM387" s="351"/>
      <c r="AN387" s="351"/>
      <c r="AO387" s="351"/>
      <c r="AP387" s="351"/>
      <c r="AQ387" s="351"/>
      <c r="AR387" s="351"/>
      <c r="AS387" s="351"/>
      <c r="AT387" s="351"/>
      <c r="AU387" s="351"/>
      <c r="AV387" s="351"/>
      <c r="AW387" s="351"/>
      <c r="AX387" s="351"/>
      <c r="AY387" s="351"/>
      <c r="AZ387" s="351"/>
      <c r="BA387" s="351"/>
      <c r="BB387" s="351"/>
      <c r="BC387" s="351"/>
      <c r="BD387" s="351"/>
      <c r="BE387" s="351"/>
      <c r="BF387" s="351"/>
      <c r="BG387" s="351"/>
      <c r="BH387" s="351"/>
      <c r="BI387" s="351"/>
      <c r="BJ387" s="351"/>
      <c r="BK387" s="351"/>
      <c r="BL387" s="351"/>
      <c r="BM387" s="351"/>
      <c r="BN387" s="351"/>
      <c r="BO387" s="351"/>
      <c r="BP387" s="351"/>
      <c r="BQ387" s="351"/>
      <c r="BR387" s="351"/>
      <c r="BS387" s="351"/>
      <c r="BT387" s="351"/>
      <c r="BU387" s="351"/>
      <c r="BV387" s="351"/>
      <c r="BW387" s="351"/>
      <c r="BX387" s="351"/>
      <c r="BY387" s="351"/>
      <c r="BZ387" s="351"/>
      <c r="CA387" s="351"/>
      <c r="CB387" s="351"/>
      <c r="CC387" s="351"/>
      <c r="CD387" s="351"/>
      <c r="CE387" s="351"/>
      <c r="CF387" s="351"/>
      <c r="CG387" s="351"/>
      <c r="CH387" s="351"/>
      <c r="CI387" s="351"/>
      <c r="CJ387" s="351"/>
      <c r="CK387" s="351"/>
      <c r="CL387" s="351"/>
      <c r="CM387" s="351"/>
      <c r="CN387" s="351"/>
      <c r="CO387" s="351"/>
      <c r="CP387" s="351"/>
      <c r="CQ387" s="351"/>
      <c r="CR387" s="351"/>
      <c r="CS387" s="351"/>
      <c r="CT387" s="351"/>
      <c r="CU387" s="351"/>
      <c r="CV387" s="351"/>
      <c r="CW387" s="351"/>
      <c r="CX387" s="351"/>
      <c r="CY387" s="351"/>
      <c r="CZ387" s="351"/>
      <c r="DA387" s="351"/>
      <c r="DB387" s="351"/>
      <c r="DC387" s="351"/>
      <c r="DD387" s="351"/>
      <c r="DE387" s="351"/>
      <c r="DF387" s="351"/>
      <c r="DG387" s="351"/>
      <c r="DH387" s="351"/>
      <c r="DI387" s="351"/>
      <c r="DJ387" s="351"/>
      <c r="DK387" s="351"/>
      <c r="DL387" s="351"/>
      <c r="DM387" s="351"/>
      <c r="DN387" s="351"/>
      <c r="DO387" s="351"/>
      <c r="DP387" s="351"/>
      <c r="DQ387" s="351"/>
      <c r="DR387" s="351"/>
      <c r="DS387" s="351"/>
      <c r="DT387" s="351"/>
      <c r="DU387" s="351"/>
      <c r="DV387" s="351"/>
      <c r="DW387" s="351"/>
      <c r="DX387" s="351"/>
      <c r="DY387" s="351"/>
      <c r="DZ387" s="351"/>
      <c r="EA387" s="351"/>
      <c r="EB387" s="351"/>
      <c r="EC387" s="351"/>
      <c r="ED387" s="351"/>
      <c r="EE387" s="351"/>
      <c r="EF387" s="351"/>
      <c r="EG387" s="351"/>
      <c r="EH387" s="351"/>
      <c r="EI387" s="351"/>
      <c r="EJ387" s="351"/>
      <c r="EK387" s="351"/>
      <c r="EL387" s="351"/>
      <c r="EM387" s="351"/>
      <c r="EN387" s="351"/>
      <c r="EO387" s="351"/>
      <c r="EP387" s="351"/>
      <c r="EQ387" s="351"/>
      <c r="ER387" s="351"/>
      <c r="ES387" s="351"/>
      <c r="ET387" s="351"/>
      <c r="EU387" s="351"/>
      <c r="EV387" s="351"/>
      <c r="EW387" s="351"/>
      <c r="EX387" s="351"/>
      <c r="EY387" s="351"/>
      <c r="EZ387" s="351"/>
      <c r="FA387" s="351"/>
      <c r="FB387" s="351"/>
      <c r="FC387" s="351"/>
      <c r="FD387" s="351"/>
      <c r="FE387" s="351"/>
      <c r="FF387" s="351"/>
      <c r="FG387" s="351"/>
      <c r="FH387" s="351"/>
      <c r="FI387" s="351"/>
      <c r="FJ387" s="351"/>
      <c r="FK387" s="351"/>
      <c r="FL387" s="351"/>
      <c r="FM387" s="351"/>
      <c r="FN387" s="351"/>
      <c r="FO387" s="351"/>
      <c r="FP387" s="351"/>
      <c r="FQ387" s="351"/>
      <c r="FR387" s="351"/>
      <c r="FS387" s="351"/>
      <c r="FT387" s="351"/>
      <c r="FU387" s="351"/>
      <c r="FV387" s="351"/>
      <c r="FW387" s="351"/>
      <c r="FX387" s="351"/>
      <c r="FY387" s="351"/>
      <c r="FZ387" s="351"/>
      <c r="GA387" s="351">
        <v>550</v>
      </c>
      <c r="GB387" s="351">
        <v>50</v>
      </c>
      <c r="GC387" s="351">
        <v>750</v>
      </c>
      <c r="GD387" s="351">
        <v>50</v>
      </c>
      <c r="GE387" s="351">
        <v>25</v>
      </c>
      <c r="GF387" s="351"/>
      <c r="GG387" s="351"/>
      <c r="GH387" s="351"/>
      <c r="GI387" s="351"/>
      <c r="GJ387" s="351"/>
      <c r="GK387" s="351"/>
      <c r="GL387" s="351"/>
      <c r="GM387" s="351"/>
      <c r="GN387" s="351">
        <v>300</v>
      </c>
      <c r="GO387" s="351"/>
      <c r="GP387" s="351"/>
      <c r="GQ387" s="351"/>
      <c r="GR387" s="351"/>
      <c r="GS387" s="351"/>
      <c r="GT387" s="351"/>
      <c r="GU387" s="351"/>
      <c r="GV387" s="351"/>
      <c r="GW387" s="351"/>
      <c r="GX387" s="351"/>
      <c r="GY387" s="351"/>
      <c r="GZ387" s="351"/>
      <c r="HA387" s="351"/>
      <c r="HB387" s="351"/>
      <c r="HC387" s="351"/>
      <c r="HD387" s="351"/>
      <c r="HE387" s="351"/>
      <c r="HF387" s="351"/>
      <c r="HG387" s="351"/>
      <c r="HH387" s="351"/>
      <c r="HI387" s="351"/>
      <c r="HJ387" s="351"/>
      <c r="HK387" s="351"/>
      <c r="HL387" s="351"/>
      <c r="HM387" s="351"/>
      <c r="HN387" s="351"/>
      <c r="HO387" s="351"/>
      <c r="HP387" s="351"/>
      <c r="HQ387" s="351"/>
      <c r="HR387" s="351"/>
      <c r="HS387" s="351"/>
      <c r="HT387" s="351"/>
      <c r="HU387" s="351"/>
      <c r="HV387" s="351"/>
      <c r="HW387" s="351"/>
      <c r="HX387" s="351"/>
      <c r="HY387" s="351"/>
      <c r="HZ387" s="351"/>
      <c r="IA387" s="351"/>
      <c r="IB387" s="351"/>
      <c r="IC387" s="351"/>
      <c r="ID387" s="351"/>
      <c r="IE387" s="351"/>
      <c r="IF387" s="351"/>
      <c r="IG387" s="351"/>
      <c r="IH387" s="351"/>
      <c r="II387" s="351"/>
      <c r="IJ387" s="351"/>
      <c r="IK387" s="351"/>
      <c r="IL387" s="351"/>
      <c r="IM387" s="351"/>
      <c r="IN387" s="351"/>
      <c r="IO387" s="351"/>
      <c r="IP387" s="351"/>
    </row>
    <row r="388" spans="1:250" ht="15.75" customHeight="1" x14ac:dyDescent="0.25">
      <c r="A388" s="351" t="s">
        <v>1271</v>
      </c>
      <c r="B388" s="351" t="s">
        <v>1273</v>
      </c>
      <c r="C388" s="351"/>
      <c r="D388" s="351"/>
      <c r="E388" s="351"/>
      <c r="F388" s="351"/>
      <c r="G388" s="351"/>
      <c r="H388" s="351"/>
      <c r="I388" s="351"/>
      <c r="J388" s="351"/>
      <c r="K388" s="351"/>
      <c r="L388" s="351"/>
      <c r="M388" s="351"/>
      <c r="N388" s="351"/>
      <c r="O388" s="351"/>
      <c r="P388" s="351"/>
      <c r="Q388" s="351"/>
      <c r="R388" s="351"/>
      <c r="S388" s="351"/>
      <c r="T388" s="351"/>
      <c r="U388" s="351"/>
      <c r="V388" s="351"/>
      <c r="W388" s="351"/>
      <c r="X388" s="351"/>
      <c r="Y388" s="351"/>
      <c r="Z388" s="351"/>
      <c r="AA388" s="351"/>
      <c r="AB388" s="351"/>
      <c r="AC388" s="351"/>
      <c r="AD388" s="351"/>
      <c r="AE388" s="351"/>
      <c r="AF388" s="351"/>
      <c r="AG388" s="351"/>
      <c r="AH388" s="351"/>
      <c r="AI388" s="351"/>
      <c r="AJ388" s="351"/>
      <c r="AK388" s="351"/>
      <c r="AL388" s="351"/>
      <c r="AM388" s="351"/>
      <c r="AN388" s="351"/>
      <c r="AO388" s="351"/>
      <c r="AP388" s="351"/>
      <c r="AQ388" s="351"/>
      <c r="AR388" s="351"/>
      <c r="AS388" s="351"/>
      <c r="AT388" s="351"/>
      <c r="AU388" s="351"/>
      <c r="AV388" s="351"/>
      <c r="AW388" s="351"/>
      <c r="AX388" s="351"/>
      <c r="AY388" s="351"/>
      <c r="AZ388" s="351"/>
      <c r="BA388" s="351"/>
      <c r="BB388" s="351"/>
      <c r="BC388" s="351"/>
      <c r="BD388" s="351"/>
      <c r="BE388" s="351"/>
      <c r="BF388" s="351"/>
      <c r="BG388" s="351"/>
      <c r="BH388" s="351"/>
      <c r="BI388" s="351"/>
      <c r="BJ388" s="351"/>
      <c r="BK388" s="351"/>
      <c r="BL388" s="351"/>
      <c r="BM388" s="351"/>
      <c r="BN388" s="351"/>
      <c r="BO388" s="351"/>
      <c r="BP388" s="351"/>
      <c r="BQ388" s="351"/>
      <c r="BR388" s="351"/>
      <c r="BS388" s="351"/>
      <c r="BT388" s="351"/>
      <c r="BU388" s="351"/>
      <c r="BV388" s="351"/>
      <c r="BW388" s="351"/>
      <c r="BX388" s="351"/>
      <c r="BY388" s="351"/>
      <c r="BZ388" s="351"/>
      <c r="CA388" s="351"/>
      <c r="CB388" s="351"/>
      <c r="CC388" s="351"/>
      <c r="CD388" s="351"/>
      <c r="CE388" s="351"/>
      <c r="CF388" s="351"/>
      <c r="CG388" s="351"/>
      <c r="CH388" s="351"/>
      <c r="CI388" s="351"/>
      <c r="CJ388" s="351"/>
      <c r="CK388" s="351"/>
      <c r="CL388" s="351"/>
      <c r="CM388" s="351"/>
      <c r="CN388" s="351"/>
      <c r="CO388" s="351"/>
      <c r="CP388" s="351"/>
      <c r="CQ388" s="351"/>
      <c r="CR388" s="351"/>
      <c r="CS388" s="351"/>
      <c r="CT388" s="351"/>
      <c r="CU388" s="351"/>
      <c r="CV388" s="351"/>
      <c r="CW388" s="351"/>
      <c r="CX388" s="351"/>
      <c r="CY388" s="351">
        <v>24</v>
      </c>
      <c r="CZ388" s="351">
        <v>12</v>
      </c>
      <c r="DA388" s="351"/>
      <c r="DB388" s="351"/>
      <c r="DC388" s="351"/>
      <c r="DD388" s="351"/>
      <c r="DE388" s="351"/>
      <c r="DF388" s="351"/>
      <c r="DG388" s="351">
        <v>10</v>
      </c>
      <c r="DH388" s="351"/>
      <c r="DI388" s="351"/>
      <c r="DJ388" s="351">
        <v>18</v>
      </c>
      <c r="DK388" s="351"/>
      <c r="DL388" s="351"/>
      <c r="DM388" s="351"/>
      <c r="DN388" s="351"/>
      <c r="DO388" s="351"/>
      <c r="DP388" s="351"/>
      <c r="DQ388" s="351"/>
      <c r="DR388" s="351"/>
      <c r="DS388" s="351">
        <v>24</v>
      </c>
      <c r="DT388" s="351"/>
      <c r="DU388" s="351"/>
      <c r="DV388" s="351"/>
      <c r="DW388" s="351"/>
      <c r="DX388" s="351"/>
      <c r="DY388" s="351"/>
      <c r="DZ388" s="351"/>
      <c r="EA388" s="351"/>
      <c r="EB388" s="351"/>
      <c r="EC388" s="351"/>
      <c r="ED388" s="351"/>
      <c r="EE388" s="351">
        <v>24</v>
      </c>
      <c r="EF388" s="351"/>
      <c r="EG388" s="351"/>
      <c r="EH388" s="351">
        <v>18</v>
      </c>
      <c r="EI388" s="351"/>
      <c r="EJ388" s="351"/>
      <c r="EK388" s="351"/>
      <c r="EL388" s="351"/>
      <c r="EM388" s="351"/>
      <c r="EN388" s="351"/>
      <c r="EO388" s="351"/>
      <c r="EP388" s="351"/>
      <c r="EQ388" s="351"/>
      <c r="ER388" s="351"/>
      <c r="ES388" s="351"/>
      <c r="ET388" s="351"/>
      <c r="EU388" s="351"/>
      <c r="EV388" s="351"/>
      <c r="EW388" s="351"/>
      <c r="EX388" s="351"/>
      <c r="EY388" s="351"/>
      <c r="EZ388" s="351"/>
      <c r="FA388" s="351"/>
      <c r="FB388" s="351"/>
      <c r="FC388" s="351"/>
      <c r="FD388" s="351"/>
      <c r="FE388" s="351"/>
      <c r="FF388" s="351"/>
      <c r="FG388" s="351"/>
      <c r="FH388" s="351"/>
      <c r="FI388" s="351"/>
      <c r="FJ388" s="351"/>
      <c r="FK388" s="351"/>
      <c r="FL388" s="351"/>
      <c r="FM388" s="351"/>
      <c r="FN388" s="351"/>
      <c r="FO388" s="351">
        <v>100</v>
      </c>
      <c r="FP388" s="351"/>
      <c r="FQ388" s="351"/>
      <c r="FR388" s="351"/>
      <c r="FS388" s="351"/>
      <c r="FT388" s="351"/>
      <c r="FU388" s="351"/>
      <c r="FV388" s="351"/>
      <c r="FW388" s="351"/>
      <c r="FX388" s="351"/>
      <c r="FY388" s="351"/>
      <c r="FZ388" s="351"/>
      <c r="GA388" s="351"/>
      <c r="GB388" s="351"/>
      <c r="GC388" s="351"/>
      <c r="GD388" s="351"/>
      <c r="GE388" s="351"/>
      <c r="GF388" s="351"/>
      <c r="GG388" s="351"/>
      <c r="GH388" s="351"/>
      <c r="GI388" s="351"/>
      <c r="GJ388" s="351"/>
      <c r="GK388" s="351"/>
      <c r="GL388" s="351"/>
      <c r="GM388" s="351"/>
      <c r="GN388" s="351"/>
      <c r="GO388" s="351"/>
      <c r="GP388" s="351"/>
      <c r="GQ388" s="351"/>
      <c r="GR388" s="351"/>
      <c r="GS388" s="351"/>
      <c r="GT388" s="351"/>
      <c r="GU388" s="351"/>
      <c r="GV388" s="351"/>
      <c r="GW388" s="351"/>
      <c r="GX388" s="351"/>
      <c r="GY388" s="351"/>
      <c r="GZ388" s="351"/>
      <c r="HA388" s="351"/>
      <c r="HB388" s="351"/>
      <c r="HC388" s="351"/>
      <c r="HD388" s="351"/>
      <c r="HE388" s="351"/>
      <c r="HF388" s="351"/>
      <c r="HG388" s="351"/>
      <c r="HH388" s="351"/>
      <c r="HI388" s="351"/>
      <c r="HJ388" s="351"/>
      <c r="HK388" s="351"/>
      <c r="HL388" s="351"/>
      <c r="HM388" s="351"/>
      <c r="HN388" s="351"/>
      <c r="HO388" s="351"/>
      <c r="HP388" s="351"/>
      <c r="HQ388" s="351"/>
      <c r="HR388" s="351"/>
      <c r="HS388" s="351"/>
      <c r="HT388" s="351"/>
      <c r="HU388" s="351"/>
      <c r="HV388" s="351"/>
      <c r="HW388" s="351"/>
      <c r="HX388" s="351"/>
      <c r="HY388" s="351"/>
      <c r="HZ388" s="351"/>
      <c r="IA388" s="351"/>
      <c r="IB388" s="351"/>
      <c r="IC388" s="351"/>
      <c r="ID388" s="351"/>
      <c r="IE388" s="351"/>
      <c r="IF388" s="351"/>
      <c r="IG388" s="351"/>
      <c r="IH388" s="351"/>
      <c r="II388" s="351"/>
      <c r="IJ388" s="351"/>
      <c r="IK388" s="351"/>
      <c r="IL388" s="351"/>
      <c r="IM388" s="351"/>
      <c r="IN388" s="351"/>
      <c r="IO388" s="351"/>
      <c r="IP388" s="351"/>
    </row>
    <row r="389" spans="1:250" ht="15.75" customHeight="1" x14ac:dyDescent="0.25">
      <c r="A389" s="351" t="s">
        <v>1271</v>
      </c>
      <c r="B389" s="351" t="s">
        <v>1276</v>
      </c>
      <c r="C389" s="351"/>
      <c r="D389" s="351"/>
      <c r="E389" s="351"/>
      <c r="F389" s="351"/>
      <c r="G389" s="351"/>
      <c r="H389" s="351"/>
      <c r="I389" s="351"/>
      <c r="J389" s="351"/>
      <c r="K389" s="351"/>
      <c r="L389" s="351"/>
      <c r="M389" s="351"/>
      <c r="N389" s="351"/>
      <c r="O389" s="351"/>
      <c r="P389" s="351"/>
      <c r="Q389" s="351"/>
      <c r="R389" s="351"/>
      <c r="S389" s="351"/>
      <c r="T389" s="351">
        <v>15</v>
      </c>
      <c r="U389" s="351"/>
      <c r="V389" s="351"/>
      <c r="W389" s="351"/>
      <c r="X389" s="351"/>
      <c r="Y389" s="351"/>
      <c r="Z389" s="351"/>
      <c r="AA389" s="351"/>
      <c r="AB389" s="351"/>
      <c r="AC389" s="351"/>
      <c r="AD389" s="351"/>
      <c r="AE389" s="351"/>
      <c r="AF389" s="351"/>
      <c r="AG389" s="351"/>
      <c r="AH389" s="351"/>
      <c r="AI389" s="351"/>
      <c r="AJ389" s="351"/>
      <c r="AK389" s="351"/>
      <c r="AL389" s="351"/>
      <c r="AM389" s="351"/>
      <c r="AN389" s="351"/>
      <c r="AO389" s="351"/>
      <c r="AP389" s="351"/>
      <c r="AQ389" s="351"/>
      <c r="AR389" s="351"/>
      <c r="AS389" s="351"/>
      <c r="AT389" s="351"/>
      <c r="AU389" s="351"/>
      <c r="AV389" s="351"/>
      <c r="AW389" s="351"/>
      <c r="AX389" s="351"/>
      <c r="AY389" s="351"/>
      <c r="AZ389" s="351"/>
      <c r="BA389" s="351"/>
      <c r="BB389" s="351"/>
      <c r="BC389" s="351"/>
      <c r="BD389" s="351"/>
      <c r="BE389" s="351"/>
      <c r="BF389" s="351"/>
      <c r="BG389" s="351"/>
      <c r="BH389" s="351"/>
      <c r="BI389" s="351"/>
      <c r="BJ389" s="351"/>
      <c r="BK389" s="351"/>
      <c r="BL389" s="351"/>
      <c r="BM389" s="351"/>
      <c r="BN389" s="351"/>
      <c r="BO389" s="351"/>
      <c r="BP389" s="351"/>
      <c r="BQ389" s="351"/>
      <c r="BR389" s="351"/>
      <c r="BS389" s="351"/>
      <c r="BT389" s="351"/>
      <c r="BU389" s="351"/>
      <c r="BV389" s="351"/>
      <c r="BW389" s="351"/>
      <c r="BX389" s="351"/>
      <c r="BY389" s="351"/>
      <c r="BZ389" s="351"/>
      <c r="CA389" s="351"/>
      <c r="CB389" s="351"/>
      <c r="CC389" s="351"/>
      <c r="CD389" s="351"/>
      <c r="CE389" s="351"/>
      <c r="CF389" s="351"/>
      <c r="CG389" s="351"/>
      <c r="CH389" s="351"/>
      <c r="CI389" s="351"/>
      <c r="CJ389" s="351"/>
      <c r="CK389" s="351"/>
      <c r="CL389" s="351"/>
      <c r="CM389" s="351"/>
      <c r="CN389" s="351"/>
      <c r="CO389" s="351"/>
      <c r="CP389" s="351"/>
      <c r="CQ389" s="351"/>
      <c r="CR389" s="351"/>
      <c r="CS389" s="351"/>
      <c r="CT389" s="351"/>
      <c r="CU389" s="351"/>
      <c r="CV389" s="351"/>
      <c r="CW389" s="351"/>
      <c r="CX389" s="351"/>
      <c r="CY389" s="351">
        <v>6</v>
      </c>
      <c r="CZ389" s="351">
        <v>18</v>
      </c>
      <c r="DA389" s="351"/>
      <c r="DB389" s="351"/>
      <c r="DC389" s="351"/>
      <c r="DD389" s="351"/>
      <c r="DE389" s="351"/>
      <c r="DF389" s="351"/>
      <c r="DG389" s="351"/>
      <c r="DH389" s="351"/>
      <c r="DI389" s="351"/>
      <c r="DJ389" s="351"/>
      <c r="DK389" s="351"/>
      <c r="DL389" s="351"/>
      <c r="DM389" s="351"/>
      <c r="DN389" s="351"/>
      <c r="DO389" s="351"/>
      <c r="DP389" s="351"/>
      <c r="DQ389" s="351"/>
      <c r="DR389" s="351"/>
      <c r="DS389" s="351">
        <v>12</v>
      </c>
      <c r="DT389" s="351"/>
      <c r="DU389" s="351"/>
      <c r="DV389" s="351"/>
      <c r="DW389" s="351"/>
      <c r="DX389" s="351"/>
      <c r="DY389" s="351"/>
      <c r="DZ389" s="351"/>
      <c r="EA389" s="351"/>
      <c r="EB389" s="351"/>
      <c r="EC389" s="351"/>
      <c r="ED389" s="351"/>
      <c r="EE389" s="351"/>
      <c r="EF389" s="351"/>
      <c r="EG389" s="351"/>
      <c r="EH389" s="351"/>
      <c r="EI389" s="351"/>
      <c r="EJ389" s="351"/>
      <c r="EK389" s="351">
        <v>8</v>
      </c>
      <c r="EL389" s="351"/>
      <c r="EM389" s="351"/>
      <c r="EN389" s="351"/>
      <c r="EO389" s="351"/>
      <c r="EP389" s="351"/>
      <c r="EQ389" s="351"/>
      <c r="ER389" s="351"/>
      <c r="ES389" s="351"/>
      <c r="ET389" s="351"/>
      <c r="EU389" s="351"/>
      <c r="EV389" s="351"/>
      <c r="EW389" s="351"/>
      <c r="EX389" s="351"/>
      <c r="EY389" s="351"/>
      <c r="EZ389" s="351">
        <v>300</v>
      </c>
      <c r="FA389" s="351">
        <v>75</v>
      </c>
      <c r="FB389" s="351"/>
      <c r="FC389" s="351"/>
      <c r="FD389" s="351"/>
      <c r="FE389" s="351">
        <v>50</v>
      </c>
      <c r="FF389" s="351"/>
      <c r="FG389" s="351">
        <v>25</v>
      </c>
      <c r="FH389" s="351">
        <v>25</v>
      </c>
      <c r="FI389" s="351"/>
      <c r="FJ389" s="351"/>
      <c r="FK389" s="351"/>
      <c r="FL389" s="351"/>
      <c r="FM389" s="351"/>
      <c r="FN389" s="351"/>
      <c r="FO389" s="351"/>
      <c r="FP389" s="351"/>
      <c r="FQ389" s="351"/>
      <c r="FR389" s="351"/>
      <c r="FS389" s="351"/>
      <c r="FT389" s="351"/>
      <c r="FU389" s="351"/>
      <c r="FV389" s="351"/>
      <c r="FW389" s="351"/>
      <c r="FX389" s="351"/>
      <c r="FY389" s="351"/>
      <c r="FZ389" s="351"/>
      <c r="GA389" s="351"/>
      <c r="GB389" s="351"/>
      <c r="GC389" s="351"/>
      <c r="GD389" s="351"/>
      <c r="GE389" s="351"/>
      <c r="GF389" s="351"/>
      <c r="GG389" s="351"/>
      <c r="GH389" s="351"/>
      <c r="GI389" s="351"/>
      <c r="GJ389" s="351"/>
      <c r="GK389" s="351"/>
      <c r="GL389" s="351"/>
      <c r="GM389" s="351"/>
      <c r="GN389" s="351"/>
      <c r="GO389" s="351"/>
      <c r="GP389" s="351"/>
      <c r="GQ389" s="351"/>
      <c r="GR389" s="351"/>
      <c r="GS389" s="351"/>
      <c r="GT389" s="351"/>
      <c r="GU389" s="351"/>
      <c r="GV389" s="351"/>
      <c r="GW389" s="351"/>
      <c r="GX389" s="351">
        <v>500</v>
      </c>
      <c r="GY389" s="351"/>
      <c r="GZ389" s="351"/>
      <c r="HA389" s="351"/>
      <c r="HB389" s="351"/>
      <c r="HC389" s="351">
        <v>500</v>
      </c>
      <c r="HD389" s="351"/>
      <c r="HE389" s="351"/>
      <c r="HF389" s="351">
        <v>300</v>
      </c>
      <c r="HG389" s="351">
        <v>200</v>
      </c>
      <c r="HH389" s="351"/>
      <c r="HI389" s="351"/>
      <c r="HJ389" s="351"/>
      <c r="HK389" s="351"/>
      <c r="HL389" s="351"/>
      <c r="HM389" s="351"/>
      <c r="HN389" s="351"/>
      <c r="HO389" s="351"/>
      <c r="HP389" s="351"/>
      <c r="HQ389" s="351"/>
      <c r="HR389" s="351"/>
      <c r="HS389" s="351"/>
      <c r="HT389" s="351"/>
      <c r="HU389" s="351"/>
      <c r="HV389" s="351"/>
      <c r="HW389" s="351"/>
      <c r="HX389" s="351"/>
      <c r="HY389" s="351"/>
      <c r="HZ389" s="351"/>
      <c r="IA389" s="351"/>
      <c r="IB389" s="351"/>
      <c r="IC389" s="351"/>
      <c r="ID389" s="351"/>
      <c r="IE389" s="351"/>
      <c r="IF389" s="351"/>
      <c r="IG389" s="351"/>
      <c r="IH389" s="351"/>
      <c r="II389" s="351"/>
      <c r="IJ389" s="351"/>
      <c r="IK389" s="351"/>
      <c r="IL389" s="351"/>
      <c r="IM389" s="351"/>
      <c r="IN389" s="351"/>
      <c r="IO389" s="351"/>
      <c r="IP389" s="351"/>
    </row>
    <row r="390" spans="1:250" ht="15.75" customHeight="1" x14ac:dyDescent="0.25">
      <c r="A390" s="351" t="s">
        <v>1261</v>
      </c>
      <c r="B390" s="351" t="s">
        <v>1277</v>
      </c>
      <c r="C390" s="351"/>
      <c r="D390" s="351"/>
      <c r="E390" s="351"/>
      <c r="F390" s="351"/>
      <c r="G390" s="351"/>
      <c r="H390" s="351"/>
      <c r="I390" s="351"/>
      <c r="J390" s="351"/>
      <c r="K390" s="351"/>
      <c r="L390" s="351"/>
      <c r="M390" s="351"/>
      <c r="N390" s="351"/>
      <c r="O390" s="351"/>
      <c r="P390" s="351"/>
      <c r="Q390" s="351"/>
      <c r="R390" s="351"/>
      <c r="S390" s="351"/>
      <c r="T390" s="351"/>
      <c r="U390" s="351"/>
      <c r="V390" s="351"/>
      <c r="W390" s="351"/>
      <c r="X390" s="351"/>
      <c r="Y390" s="351"/>
      <c r="Z390" s="351"/>
      <c r="AA390" s="351"/>
      <c r="AB390" s="351"/>
      <c r="AC390" s="351"/>
      <c r="AD390" s="351"/>
      <c r="AE390" s="351"/>
      <c r="AF390" s="351"/>
      <c r="AG390" s="351"/>
      <c r="AH390" s="351"/>
      <c r="AI390" s="351"/>
      <c r="AJ390" s="351"/>
      <c r="AK390" s="351"/>
      <c r="AL390" s="351"/>
      <c r="AM390" s="351"/>
      <c r="AN390" s="351"/>
      <c r="AO390" s="351"/>
      <c r="AP390" s="351"/>
      <c r="AQ390" s="351"/>
      <c r="AR390" s="351"/>
      <c r="AS390" s="351"/>
      <c r="AT390" s="351"/>
      <c r="AU390" s="351"/>
      <c r="AV390" s="351"/>
      <c r="AW390" s="351"/>
      <c r="AX390" s="351"/>
      <c r="AY390" s="351"/>
      <c r="AZ390" s="351"/>
      <c r="BA390" s="351"/>
      <c r="BB390" s="351"/>
      <c r="BC390" s="351"/>
      <c r="BD390" s="351"/>
      <c r="BE390" s="351"/>
      <c r="BF390" s="351"/>
      <c r="BG390" s="351"/>
      <c r="BH390" s="351"/>
      <c r="BI390" s="351"/>
      <c r="BJ390" s="351"/>
      <c r="BK390" s="351"/>
      <c r="BL390" s="351"/>
      <c r="BM390" s="351"/>
      <c r="BN390" s="351"/>
      <c r="BO390" s="351"/>
      <c r="BP390" s="351"/>
      <c r="BQ390" s="351"/>
      <c r="BR390" s="351"/>
      <c r="BS390" s="351"/>
      <c r="BT390" s="351"/>
      <c r="BU390" s="351"/>
      <c r="BV390" s="351"/>
      <c r="BW390" s="351"/>
      <c r="BX390" s="351"/>
      <c r="BY390" s="351"/>
      <c r="BZ390" s="351"/>
      <c r="CA390" s="351"/>
      <c r="CB390" s="351"/>
      <c r="CC390" s="351"/>
      <c r="CD390" s="351"/>
      <c r="CE390" s="351"/>
      <c r="CF390" s="351"/>
      <c r="CG390" s="351"/>
      <c r="CH390" s="351"/>
      <c r="CI390" s="351"/>
      <c r="CJ390" s="351"/>
      <c r="CK390" s="351"/>
      <c r="CL390" s="351"/>
      <c r="CM390" s="351"/>
      <c r="CN390" s="351"/>
      <c r="CO390" s="351"/>
      <c r="CP390" s="351"/>
      <c r="CQ390" s="351"/>
      <c r="CR390" s="351"/>
      <c r="CS390" s="351"/>
      <c r="CT390" s="351"/>
      <c r="CU390" s="351"/>
      <c r="CV390" s="351"/>
      <c r="CW390" s="351"/>
      <c r="CX390" s="351"/>
      <c r="CY390" s="351"/>
      <c r="CZ390" s="351"/>
      <c r="DA390" s="351"/>
      <c r="DB390" s="351"/>
      <c r="DC390" s="351"/>
      <c r="DD390" s="351"/>
      <c r="DE390" s="351"/>
      <c r="DF390" s="351"/>
      <c r="DG390" s="351"/>
      <c r="DH390" s="351"/>
      <c r="DI390" s="351"/>
      <c r="DJ390" s="351"/>
      <c r="DK390" s="351"/>
      <c r="DL390" s="351"/>
      <c r="DM390" s="351"/>
      <c r="DN390" s="351"/>
      <c r="DO390" s="351"/>
      <c r="DP390" s="351"/>
      <c r="DQ390" s="351"/>
      <c r="DR390" s="351"/>
      <c r="DS390" s="351"/>
      <c r="DT390" s="351"/>
      <c r="DU390" s="351"/>
      <c r="DV390" s="351"/>
      <c r="DW390" s="351"/>
      <c r="DX390" s="351"/>
      <c r="DY390" s="351"/>
      <c r="DZ390" s="351"/>
      <c r="EA390" s="351"/>
      <c r="EB390" s="351"/>
      <c r="EC390" s="351"/>
      <c r="ED390" s="351"/>
      <c r="EE390" s="351"/>
      <c r="EF390" s="351"/>
      <c r="EG390" s="351"/>
      <c r="EH390" s="351"/>
      <c r="EI390" s="351"/>
      <c r="EJ390" s="351"/>
      <c r="EK390" s="351"/>
      <c r="EL390" s="351"/>
      <c r="EM390" s="351"/>
      <c r="EN390" s="351"/>
      <c r="EO390" s="351"/>
      <c r="EP390" s="351"/>
      <c r="EQ390" s="351"/>
      <c r="ER390" s="351"/>
      <c r="ES390" s="351"/>
      <c r="ET390" s="351"/>
      <c r="EU390" s="351"/>
      <c r="EV390" s="351"/>
      <c r="EW390" s="351"/>
      <c r="EX390" s="351"/>
      <c r="EY390" s="351"/>
      <c r="EZ390" s="351"/>
      <c r="FA390" s="351"/>
      <c r="FB390" s="351"/>
      <c r="FC390" s="351"/>
      <c r="FD390" s="351"/>
      <c r="FE390" s="351"/>
      <c r="FF390" s="351"/>
      <c r="FG390" s="351"/>
      <c r="FH390" s="351"/>
      <c r="FI390" s="351"/>
      <c r="FJ390" s="351"/>
      <c r="FK390" s="351"/>
      <c r="FL390" s="351"/>
      <c r="FM390" s="351"/>
      <c r="FN390" s="351"/>
      <c r="FO390" s="351"/>
      <c r="FP390" s="351"/>
      <c r="FQ390" s="351"/>
      <c r="FR390" s="351"/>
      <c r="FS390" s="351"/>
      <c r="FT390" s="351"/>
      <c r="FU390" s="351"/>
      <c r="FV390" s="351"/>
      <c r="FW390" s="351"/>
      <c r="FX390" s="351"/>
      <c r="FY390" s="351"/>
      <c r="FZ390" s="351"/>
      <c r="GA390" s="351"/>
      <c r="GB390" s="351"/>
      <c r="GC390" s="351">
        <v>200</v>
      </c>
      <c r="GD390" s="351"/>
      <c r="GE390" s="351"/>
      <c r="GF390" s="351"/>
      <c r="GG390" s="351"/>
      <c r="GH390" s="351"/>
      <c r="GI390" s="351"/>
      <c r="GJ390" s="351"/>
      <c r="GK390" s="351"/>
      <c r="GL390" s="351"/>
      <c r="GM390" s="351"/>
      <c r="GN390" s="351"/>
      <c r="GO390" s="351"/>
      <c r="GP390" s="351"/>
      <c r="GQ390" s="351"/>
      <c r="GR390" s="351"/>
      <c r="GS390" s="351"/>
      <c r="GT390" s="351"/>
      <c r="GU390" s="351"/>
      <c r="GV390" s="351"/>
      <c r="GW390" s="351"/>
      <c r="GX390" s="351"/>
      <c r="GY390" s="351"/>
      <c r="GZ390" s="351"/>
      <c r="HA390" s="351"/>
      <c r="HB390" s="351"/>
      <c r="HC390" s="351"/>
      <c r="HD390" s="351"/>
      <c r="HE390" s="351"/>
      <c r="HF390" s="351"/>
      <c r="HG390" s="351"/>
      <c r="HH390" s="351"/>
      <c r="HI390" s="351"/>
      <c r="HJ390" s="351"/>
      <c r="HK390" s="351"/>
      <c r="HL390" s="351"/>
      <c r="HM390" s="351"/>
      <c r="HN390" s="351"/>
      <c r="HO390" s="351"/>
      <c r="HP390" s="351"/>
      <c r="HQ390" s="351"/>
      <c r="HR390" s="351"/>
      <c r="HS390" s="351"/>
      <c r="HT390" s="351"/>
      <c r="HU390" s="351"/>
      <c r="HV390" s="351"/>
      <c r="HW390" s="351"/>
      <c r="HX390" s="351"/>
      <c r="HY390" s="351"/>
      <c r="HZ390" s="351"/>
      <c r="IA390" s="351"/>
      <c r="IB390" s="351"/>
      <c r="IC390" s="351"/>
      <c r="ID390" s="351"/>
      <c r="IE390" s="351"/>
      <c r="IF390" s="351"/>
      <c r="IG390" s="351"/>
      <c r="IH390" s="351"/>
      <c r="II390" s="351"/>
      <c r="IJ390" s="351"/>
      <c r="IK390" s="351"/>
      <c r="IL390" s="351"/>
      <c r="IM390" s="351"/>
      <c r="IN390" s="351"/>
      <c r="IO390" s="351"/>
      <c r="IP390" s="351"/>
    </row>
    <row r="391" spans="1:250" ht="15.75" customHeight="1" x14ac:dyDescent="0.25">
      <c r="A391" s="351" t="s">
        <v>1278</v>
      </c>
      <c r="B391" s="351" t="s">
        <v>1279</v>
      </c>
      <c r="C391" s="351"/>
      <c r="D391" s="351"/>
      <c r="E391" s="351"/>
      <c r="F391" s="351"/>
      <c r="G391" s="351"/>
      <c r="H391" s="351"/>
      <c r="I391" s="351"/>
      <c r="J391" s="351"/>
      <c r="K391" s="351"/>
      <c r="L391" s="351"/>
      <c r="M391" s="351"/>
      <c r="N391" s="351"/>
      <c r="O391" s="351"/>
      <c r="P391" s="351"/>
      <c r="Q391" s="351"/>
      <c r="R391" s="351"/>
      <c r="S391" s="351"/>
      <c r="T391" s="351"/>
      <c r="U391" s="351"/>
      <c r="V391" s="351"/>
      <c r="W391" s="351"/>
      <c r="X391" s="351"/>
      <c r="Y391" s="351"/>
      <c r="Z391" s="351"/>
      <c r="AA391" s="351"/>
      <c r="AB391" s="351"/>
      <c r="AC391" s="351"/>
      <c r="AD391" s="351"/>
      <c r="AE391" s="351"/>
      <c r="AF391" s="351"/>
      <c r="AG391" s="351"/>
      <c r="AH391" s="351"/>
      <c r="AI391" s="351"/>
      <c r="AJ391" s="351"/>
      <c r="AK391" s="351"/>
      <c r="AL391" s="351"/>
      <c r="AM391" s="351"/>
      <c r="AN391" s="351"/>
      <c r="AO391" s="351"/>
      <c r="AP391" s="351"/>
      <c r="AQ391" s="351"/>
      <c r="AR391" s="351"/>
      <c r="AS391" s="351"/>
      <c r="AT391" s="351"/>
      <c r="AU391" s="351"/>
      <c r="AV391" s="351"/>
      <c r="AW391" s="351"/>
      <c r="AX391" s="351"/>
      <c r="AY391" s="351"/>
      <c r="AZ391" s="351"/>
      <c r="BA391" s="351"/>
      <c r="BB391" s="351"/>
      <c r="BC391" s="351"/>
      <c r="BD391" s="351"/>
      <c r="BE391" s="351"/>
      <c r="BF391" s="351"/>
      <c r="BG391" s="351"/>
      <c r="BH391" s="351"/>
      <c r="BI391" s="351"/>
      <c r="BJ391" s="351"/>
      <c r="BK391" s="351"/>
      <c r="BL391" s="351"/>
      <c r="BM391" s="351"/>
      <c r="BN391" s="351"/>
      <c r="BO391" s="351"/>
      <c r="BP391" s="351"/>
      <c r="BQ391" s="351"/>
      <c r="BR391" s="351"/>
      <c r="BS391" s="351"/>
      <c r="BT391" s="351"/>
      <c r="BU391" s="351"/>
      <c r="BV391" s="351"/>
      <c r="BW391" s="351"/>
      <c r="BX391" s="351"/>
      <c r="BY391" s="351"/>
      <c r="BZ391" s="351"/>
      <c r="CA391" s="351"/>
      <c r="CB391" s="351"/>
      <c r="CC391" s="351"/>
      <c r="CD391" s="351"/>
      <c r="CE391" s="351"/>
      <c r="CF391" s="351"/>
      <c r="CG391" s="351"/>
      <c r="CH391" s="351"/>
      <c r="CI391" s="351"/>
      <c r="CJ391" s="351"/>
      <c r="CK391" s="351"/>
      <c r="CL391" s="351"/>
      <c r="CM391" s="351"/>
      <c r="CN391" s="351"/>
      <c r="CO391" s="351"/>
      <c r="CP391" s="351"/>
      <c r="CQ391" s="351"/>
      <c r="CR391" s="351"/>
      <c r="CS391" s="351">
        <v>12</v>
      </c>
      <c r="CT391" s="351"/>
      <c r="CU391" s="351"/>
      <c r="CV391" s="351"/>
      <c r="CW391" s="351"/>
      <c r="CX391" s="351"/>
      <c r="CY391" s="351"/>
      <c r="CZ391" s="351"/>
      <c r="DA391" s="351"/>
      <c r="DB391" s="351"/>
      <c r="DC391" s="351"/>
      <c r="DD391" s="351"/>
      <c r="DE391" s="351"/>
      <c r="DF391" s="351"/>
      <c r="DG391" s="351">
        <v>5</v>
      </c>
      <c r="DH391" s="351"/>
      <c r="DI391" s="351"/>
      <c r="DJ391" s="351"/>
      <c r="DK391" s="351"/>
      <c r="DL391" s="351"/>
      <c r="DM391" s="351"/>
      <c r="DN391" s="351">
        <v>6</v>
      </c>
      <c r="DO391" s="351"/>
      <c r="DP391" s="351"/>
      <c r="DQ391" s="351"/>
      <c r="DR391" s="351"/>
      <c r="DS391" s="351">
        <v>18</v>
      </c>
      <c r="DT391" s="351"/>
      <c r="DU391" s="351"/>
      <c r="DV391" s="351"/>
      <c r="DW391" s="351"/>
      <c r="DX391" s="351"/>
      <c r="DY391" s="351"/>
      <c r="DZ391" s="351"/>
      <c r="EA391" s="351"/>
      <c r="EB391" s="351"/>
      <c r="EC391" s="351"/>
      <c r="ED391" s="351"/>
      <c r="EE391" s="351"/>
      <c r="EF391" s="351"/>
      <c r="EG391" s="351"/>
      <c r="EH391" s="351">
        <v>24</v>
      </c>
      <c r="EI391" s="351"/>
      <c r="EJ391" s="351"/>
      <c r="EK391" s="351"/>
      <c r="EL391" s="351"/>
      <c r="EM391" s="351"/>
      <c r="EN391" s="351"/>
      <c r="EO391" s="351"/>
      <c r="EP391" s="351"/>
      <c r="EQ391" s="351"/>
      <c r="ER391" s="351"/>
      <c r="ES391" s="351"/>
      <c r="ET391" s="351"/>
      <c r="EU391" s="351"/>
      <c r="EV391" s="351"/>
      <c r="EW391" s="351"/>
      <c r="EX391" s="351"/>
      <c r="EY391" s="351"/>
      <c r="EZ391" s="351"/>
      <c r="FA391" s="351"/>
      <c r="FB391" s="351"/>
      <c r="FC391" s="351"/>
      <c r="FD391" s="351"/>
      <c r="FE391" s="351"/>
      <c r="FF391" s="351"/>
      <c r="FG391" s="351"/>
      <c r="FH391" s="351"/>
      <c r="FI391" s="351"/>
      <c r="FJ391" s="351"/>
      <c r="FK391" s="351"/>
      <c r="FL391" s="351"/>
      <c r="FM391" s="351"/>
      <c r="FN391" s="351"/>
      <c r="FO391" s="351"/>
      <c r="FP391" s="351"/>
      <c r="FQ391" s="351"/>
      <c r="FR391" s="351"/>
      <c r="FS391" s="351"/>
      <c r="FT391" s="351"/>
      <c r="FU391" s="351"/>
      <c r="FV391" s="351"/>
      <c r="FW391" s="351"/>
      <c r="FX391" s="351"/>
      <c r="FY391" s="351"/>
      <c r="FZ391" s="351"/>
      <c r="GA391" s="351"/>
      <c r="GB391" s="351"/>
      <c r="GC391" s="351"/>
      <c r="GD391" s="351"/>
      <c r="GE391" s="351"/>
      <c r="GF391" s="351"/>
      <c r="GG391" s="351"/>
      <c r="GH391" s="351"/>
      <c r="GI391" s="351"/>
      <c r="GJ391" s="351"/>
      <c r="GK391" s="351"/>
      <c r="GL391" s="351"/>
      <c r="GM391" s="351"/>
      <c r="GN391" s="351"/>
      <c r="GO391" s="351"/>
      <c r="GP391" s="351"/>
      <c r="GQ391" s="351"/>
      <c r="GR391" s="351"/>
      <c r="GS391" s="351"/>
      <c r="GT391" s="351"/>
      <c r="GU391" s="351"/>
      <c r="GV391" s="351"/>
      <c r="GW391" s="351"/>
      <c r="GX391" s="351"/>
      <c r="GY391" s="351"/>
      <c r="GZ391" s="351"/>
      <c r="HA391" s="351"/>
      <c r="HB391" s="351"/>
      <c r="HC391" s="351"/>
      <c r="HD391" s="351"/>
      <c r="HE391" s="351"/>
      <c r="HF391" s="351"/>
      <c r="HG391" s="351"/>
      <c r="HH391" s="351"/>
      <c r="HI391" s="351"/>
      <c r="HJ391" s="351"/>
      <c r="HK391" s="351"/>
      <c r="HL391" s="351"/>
      <c r="HM391" s="351"/>
      <c r="HN391" s="351"/>
      <c r="HO391" s="351"/>
      <c r="HP391" s="351"/>
      <c r="HQ391" s="351"/>
      <c r="HR391" s="351"/>
      <c r="HS391" s="351"/>
      <c r="HT391" s="351"/>
      <c r="HU391" s="351"/>
      <c r="HV391" s="351"/>
      <c r="HW391" s="351"/>
      <c r="HX391" s="351"/>
      <c r="HY391" s="351"/>
      <c r="HZ391" s="351"/>
      <c r="IA391" s="351"/>
      <c r="IB391" s="351"/>
      <c r="IC391" s="351"/>
      <c r="ID391" s="351"/>
      <c r="IE391" s="351"/>
      <c r="IF391" s="351"/>
      <c r="IG391" s="351"/>
      <c r="IH391" s="351"/>
      <c r="II391" s="351"/>
      <c r="IJ391" s="351"/>
      <c r="IK391" s="351"/>
      <c r="IL391" s="351"/>
      <c r="IM391" s="351"/>
      <c r="IN391" s="351"/>
      <c r="IO391" s="351"/>
      <c r="IP391" s="351"/>
    </row>
    <row r="392" spans="1:250" ht="15.75" customHeight="1" x14ac:dyDescent="0.25">
      <c r="A392" s="351" t="s">
        <v>1271</v>
      </c>
      <c r="B392" s="351" t="s">
        <v>1281</v>
      </c>
      <c r="C392" s="351"/>
      <c r="D392" s="351"/>
      <c r="E392" s="351"/>
      <c r="F392" s="351"/>
      <c r="G392" s="351">
        <v>5</v>
      </c>
      <c r="H392" s="351"/>
      <c r="I392" s="351"/>
      <c r="J392" s="351"/>
      <c r="K392" s="351"/>
      <c r="L392" s="351"/>
      <c r="M392" s="351"/>
      <c r="N392" s="351"/>
      <c r="O392" s="351"/>
      <c r="P392" s="351"/>
      <c r="Q392" s="351"/>
      <c r="R392" s="351"/>
      <c r="S392" s="351"/>
      <c r="T392" s="351">
        <v>10</v>
      </c>
      <c r="U392" s="351"/>
      <c r="V392" s="351"/>
      <c r="W392" s="351"/>
      <c r="X392" s="351"/>
      <c r="Y392" s="351"/>
      <c r="Z392" s="351"/>
      <c r="AA392" s="351"/>
      <c r="AB392" s="351"/>
      <c r="AC392" s="351"/>
      <c r="AD392" s="351"/>
      <c r="AE392" s="351"/>
      <c r="AF392" s="351"/>
      <c r="AG392" s="351"/>
      <c r="AH392" s="351"/>
      <c r="AI392" s="351"/>
      <c r="AJ392" s="351"/>
      <c r="AK392" s="351"/>
      <c r="AL392" s="351"/>
      <c r="AM392" s="351"/>
      <c r="AN392" s="351"/>
      <c r="AO392" s="351"/>
      <c r="AP392" s="351">
        <v>5</v>
      </c>
      <c r="AQ392" s="351"/>
      <c r="AR392" s="351"/>
      <c r="AS392" s="351"/>
      <c r="AT392" s="351"/>
      <c r="AU392" s="351"/>
      <c r="AV392" s="351"/>
      <c r="AW392" s="351"/>
      <c r="AX392" s="351"/>
      <c r="AY392" s="351"/>
      <c r="AZ392" s="351"/>
      <c r="BA392" s="351"/>
      <c r="BB392" s="351"/>
      <c r="BC392" s="351"/>
      <c r="BD392" s="351"/>
      <c r="BE392" s="351"/>
      <c r="BF392" s="351"/>
      <c r="BG392" s="351"/>
      <c r="BH392" s="351"/>
      <c r="BI392" s="351"/>
      <c r="BJ392" s="351"/>
      <c r="BK392" s="351"/>
      <c r="BL392" s="351"/>
      <c r="BM392" s="351"/>
      <c r="BN392" s="351"/>
      <c r="BO392" s="351"/>
      <c r="BP392" s="351"/>
      <c r="BQ392" s="351"/>
      <c r="BR392" s="351"/>
      <c r="BS392" s="351"/>
      <c r="BT392" s="351"/>
      <c r="BU392" s="351"/>
      <c r="BV392" s="351"/>
      <c r="BW392" s="351"/>
      <c r="BX392" s="351"/>
      <c r="BY392" s="351"/>
      <c r="BZ392" s="351"/>
      <c r="CA392" s="351"/>
      <c r="CB392" s="351"/>
      <c r="CC392" s="351"/>
      <c r="CD392" s="351"/>
      <c r="CE392" s="351"/>
      <c r="CF392" s="351"/>
      <c r="CG392" s="351"/>
      <c r="CH392" s="351"/>
      <c r="CI392" s="351"/>
      <c r="CJ392" s="351"/>
      <c r="CK392" s="351"/>
      <c r="CL392" s="351"/>
      <c r="CM392" s="351"/>
      <c r="CN392" s="351"/>
      <c r="CO392" s="351"/>
      <c r="CP392" s="351"/>
      <c r="CQ392" s="351"/>
      <c r="CR392" s="351"/>
      <c r="CS392" s="351"/>
      <c r="CT392" s="351"/>
      <c r="CU392" s="351"/>
      <c r="CV392" s="351"/>
      <c r="CW392" s="351"/>
      <c r="CX392" s="351"/>
      <c r="CY392" s="351"/>
      <c r="CZ392" s="351">
        <v>6</v>
      </c>
      <c r="DA392" s="351"/>
      <c r="DB392" s="351"/>
      <c r="DC392" s="351"/>
      <c r="DD392" s="351"/>
      <c r="DE392" s="351">
        <v>6</v>
      </c>
      <c r="DF392" s="351"/>
      <c r="DG392" s="351"/>
      <c r="DH392" s="351"/>
      <c r="DI392" s="351"/>
      <c r="DJ392" s="351">
        <v>12</v>
      </c>
      <c r="DK392" s="351"/>
      <c r="DL392" s="351"/>
      <c r="DM392" s="351"/>
      <c r="DN392" s="351">
        <v>12</v>
      </c>
      <c r="DO392" s="351"/>
      <c r="DP392" s="351"/>
      <c r="DQ392" s="351">
        <v>12</v>
      </c>
      <c r="DR392" s="351">
        <v>18</v>
      </c>
      <c r="DS392" s="351"/>
      <c r="DT392" s="351"/>
      <c r="DU392" s="351"/>
      <c r="DV392" s="351"/>
      <c r="DW392" s="351"/>
      <c r="DX392" s="351"/>
      <c r="DY392" s="351"/>
      <c r="DZ392" s="351"/>
      <c r="EA392" s="351"/>
      <c r="EB392" s="351"/>
      <c r="EC392" s="351"/>
      <c r="ED392" s="351"/>
      <c r="EE392" s="351">
        <v>12</v>
      </c>
      <c r="EF392" s="351"/>
      <c r="EG392" s="351"/>
      <c r="EH392" s="351">
        <v>6</v>
      </c>
      <c r="EI392" s="351">
        <v>4</v>
      </c>
      <c r="EJ392" s="351"/>
      <c r="EK392" s="351"/>
      <c r="EL392" s="351"/>
      <c r="EM392" s="351"/>
      <c r="EN392" s="351"/>
      <c r="EO392" s="351"/>
      <c r="EP392" s="351"/>
      <c r="EQ392" s="351"/>
      <c r="ER392" s="351"/>
      <c r="ES392" s="351"/>
      <c r="ET392" s="351"/>
      <c r="EU392" s="351">
        <v>25</v>
      </c>
      <c r="EV392" s="351">
        <v>15</v>
      </c>
      <c r="EW392" s="351"/>
      <c r="EX392" s="351"/>
      <c r="EY392" s="351"/>
      <c r="EZ392" s="351">
        <v>150</v>
      </c>
      <c r="FA392" s="351"/>
      <c r="FB392" s="351"/>
      <c r="FC392" s="351"/>
      <c r="FD392" s="351"/>
      <c r="FE392" s="351">
        <v>74</v>
      </c>
      <c r="FF392" s="351"/>
      <c r="FG392" s="351"/>
      <c r="FH392" s="351"/>
      <c r="FI392" s="351"/>
      <c r="FJ392" s="351">
        <v>200</v>
      </c>
      <c r="FK392" s="351"/>
      <c r="FL392" s="351"/>
      <c r="FM392" s="351"/>
      <c r="FN392" s="351">
        <v>100</v>
      </c>
      <c r="FO392" s="351"/>
      <c r="FP392" s="351"/>
      <c r="FQ392" s="351"/>
      <c r="FR392" s="351"/>
      <c r="FS392" s="351"/>
      <c r="FT392" s="351"/>
      <c r="FU392" s="351"/>
      <c r="FV392" s="351"/>
      <c r="FW392" s="351"/>
      <c r="FX392" s="351"/>
      <c r="FY392" s="351"/>
      <c r="FZ392" s="351"/>
      <c r="GA392" s="351"/>
      <c r="GB392" s="351"/>
      <c r="GC392" s="351"/>
      <c r="GD392" s="351"/>
      <c r="GE392" s="351"/>
      <c r="GF392" s="351"/>
      <c r="GG392" s="351"/>
      <c r="GH392" s="351"/>
      <c r="GI392" s="351"/>
      <c r="GJ392" s="351"/>
      <c r="GK392" s="351"/>
      <c r="GL392" s="351"/>
      <c r="GM392" s="351"/>
      <c r="GN392" s="351"/>
      <c r="GO392" s="351"/>
      <c r="GP392" s="351"/>
      <c r="GQ392" s="351"/>
      <c r="GR392" s="351"/>
      <c r="GS392" s="351"/>
      <c r="GT392" s="351"/>
      <c r="GU392" s="351"/>
      <c r="GV392" s="351"/>
      <c r="GW392" s="351"/>
      <c r="GX392" s="351">
        <f>428+47</f>
        <v>475</v>
      </c>
      <c r="GY392" s="351"/>
      <c r="GZ392" s="351"/>
      <c r="HA392" s="351"/>
      <c r="HB392" s="351"/>
      <c r="HC392" s="351"/>
      <c r="HD392" s="351"/>
      <c r="HE392" s="351">
        <f>87+12</f>
        <v>99</v>
      </c>
      <c r="HF392" s="351">
        <v>441</v>
      </c>
      <c r="HG392" s="351">
        <v>59</v>
      </c>
      <c r="HH392" s="351"/>
      <c r="HI392" s="351"/>
      <c r="HJ392" s="351"/>
      <c r="HK392" s="351"/>
      <c r="HL392" s="351"/>
      <c r="HM392" s="351"/>
      <c r="HN392" s="351">
        <v>201</v>
      </c>
      <c r="HO392" s="351"/>
      <c r="HP392" s="351"/>
      <c r="HQ392" s="351"/>
      <c r="HR392" s="351"/>
      <c r="HS392" s="351"/>
      <c r="HT392" s="351"/>
      <c r="HU392" s="351"/>
      <c r="HV392" s="351"/>
      <c r="HW392" s="351"/>
      <c r="HX392" s="351"/>
      <c r="HY392" s="351"/>
      <c r="HZ392" s="351"/>
      <c r="IA392" s="351"/>
      <c r="IB392" s="351"/>
      <c r="IC392" s="351"/>
      <c r="ID392" s="351"/>
      <c r="IE392" s="351"/>
      <c r="IF392" s="351"/>
      <c r="IG392" s="351"/>
      <c r="IH392" s="351"/>
      <c r="II392" s="351"/>
      <c r="IJ392" s="351"/>
      <c r="IK392" s="351"/>
      <c r="IL392" s="351"/>
      <c r="IM392" s="351"/>
      <c r="IN392" s="351"/>
      <c r="IO392" s="351"/>
      <c r="IP392" s="351"/>
    </row>
    <row r="393" spans="1:250" ht="15.75" customHeight="1" x14ac:dyDescent="0.25">
      <c r="A393" s="351" t="s">
        <v>1278</v>
      </c>
      <c r="B393" s="351" t="s">
        <v>1284</v>
      </c>
      <c r="C393" s="351"/>
      <c r="D393" s="351"/>
      <c r="E393" s="351"/>
      <c r="F393" s="351"/>
      <c r="G393" s="351"/>
      <c r="H393" s="351"/>
      <c r="I393" s="351"/>
      <c r="J393" s="351"/>
      <c r="K393" s="351"/>
      <c r="L393" s="351"/>
      <c r="M393" s="351"/>
      <c r="N393" s="351"/>
      <c r="O393" s="351"/>
      <c r="P393" s="351"/>
      <c r="Q393" s="351"/>
      <c r="R393" s="351"/>
      <c r="S393" s="351"/>
      <c r="T393" s="351"/>
      <c r="U393" s="351"/>
      <c r="V393" s="351"/>
      <c r="W393" s="351"/>
      <c r="X393" s="351"/>
      <c r="Y393" s="351"/>
      <c r="Z393" s="351"/>
      <c r="AA393" s="351"/>
      <c r="AB393" s="351"/>
      <c r="AC393" s="351"/>
      <c r="AD393" s="351"/>
      <c r="AE393" s="351"/>
      <c r="AF393" s="351"/>
      <c r="AG393" s="351"/>
      <c r="AH393" s="351"/>
      <c r="AI393" s="351"/>
      <c r="AJ393" s="351"/>
      <c r="AK393" s="351"/>
      <c r="AL393" s="351"/>
      <c r="AM393" s="351"/>
      <c r="AN393" s="351"/>
      <c r="AO393" s="351"/>
      <c r="AP393" s="351"/>
      <c r="AQ393" s="351"/>
      <c r="AR393" s="351"/>
      <c r="AS393" s="351"/>
      <c r="AT393" s="351"/>
      <c r="AU393" s="351"/>
      <c r="AV393" s="351"/>
      <c r="AW393" s="351"/>
      <c r="AX393" s="351"/>
      <c r="AY393" s="351"/>
      <c r="AZ393" s="351"/>
      <c r="BA393" s="351"/>
      <c r="BB393" s="351"/>
      <c r="BC393" s="351"/>
      <c r="BD393" s="351"/>
      <c r="BE393" s="351"/>
      <c r="BF393" s="351"/>
      <c r="BG393" s="351"/>
      <c r="BH393" s="351"/>
      <c r="BI393" s="351"/>
      <c r="BJ393" s="351"/>
      <c r="BK393" s="351"/>
      <c r="BL393" s="351"/>
      <c r="BM393" s="351"/>
      <c r="BN393" s="351"/>
      <c r="BO393" s="351"/>
      <c r="BP393" s="351"/>
      <c r="BQ393" s="351"/>
      <c r="BR393" s="351"/>
      <c r="BS393" s="351"/>
      <c r="BT393" s="351"/>
      <c r="BU393" s="351"/>
      <c r="BV393" s="351"/>
      <c r="BW393" s="351"/>
      <c r="BX393" s="351"/>
      <c r="BY393" s="351"/>
      <c r="BZ393" s="351"/>
      <c r="CA393" s="351"/>
      <c r="CB393" s="351"/>
      <c r="CC393" s="351"/>
      <c r="CD393" s="351"/>
      <c r="CE393" s="351"/>
      <c r="CF393" s="351"/>
      <c r="CG393" s="351"/>
      <c r="CH393" s="351"/>
      <c r="CI393" s="351"/>
      <c r="CJ393" s="351"/>
      <c r="CK393" s="351"/>
      <c r="CL393" s="351"/>
      <c r="CM393" s="351"/>
      <c r="CN393" s="351"/>
      <c r="CO393" s="351"/>
      <c r="CP393" s="351"/>
      <c r="CQ393" s="351"/>
      <c r="CR393" s="351"/>
      <c r="CS393" s="351"/>
      <c r="CT393" s="351"/>
      <c r="CU393" s="351"/>
      <c r="CV393" s="351"/>
      <c r="CW393" s="351"/>
      <c r="CX393" s="351"/>
      <c r="CY393" s="351"/>
      <c r="CZ393" s="351"/>
      <c r="DA393" s="351"/>
      <c r="DB393" s="351"/>
      <c r="DC393" s="351"/>
      <c r="DD393" s="351"/>
      <c r="DE393" s="351"/>
      <c r="DF393" s="351"/>
      <c r="DG393" s="351"/>
      <c r="DH393" s="351"/>
      <c r="DI393" s="351"/>
      <c r="DJ393" s="351"/>
      <c r="DK393" s="351"/>
      <c r="DL393" s="351"/>
      <c r="DM393" s="351"/>
      <c r="DN393" s="351"/>
      <c r="DO393" s="351"/>
      <c r="DP393" s="351"/>
      <c r="DQ393" s="351"/>
      <c r="DR393" s="351"/>
      <c r="DS393" s="351"/>
      <c r="DT393" s="351"/>
      <c r="DU393" s="351"/>
      <c r="DV393" s="351"/>
      <c r="DW393" s="351"/>
      <c r="DX393" s="351"/>
      <c r="DY393" s="351"/>
      <c r="DZ393" s="351"/>
      <c r="EA393" s="351"/>
      <c r="EB393" s="351"/>
      <c r="EC393" s="351"/>
      <c r="ED393" s="351"/>
      <c r="EE393" s="351"/>
      <c r="EF393" s="351"/>
      <c r="EG393" s="351"/>
      <c r="EH393" s="351"/>
      <c r="EI393" s="351"/>
      <c r="EJ393" s="351"/>
      <c r="EK393" s="351"/>
      <c r="EL393" s="351"/>
      <c r="EM393" s="351"/>
      <c r="EN393" s="351"/>
      <c r="EO393" s="351"/>
      <c r="EP393" s="351"/>
      <c r="EQ393" s="351"/>
      <c r="ER393" s="351"/>
      <c r="ES393" s="351"/>
      <c r="ET393" s="351"/>
      <c r="EU393" s="351"/>
      <c r="EV393" s="351"/>
      <c r="EW393" s="351"/>
      <c r="EX393" s="351"/>
      <c r="EY393" s="351"/>
      <c r="EZ393" s="351"/>
      <c r="FA393" s="351"/>
      <c r="FB393" s="351"/>
      <c r="FC393" s="351"/>
      <c r="FD393" s="351">
        <v>200</v>
      </c>
      <c r="FE393" s="351"/>
      <c r="FF393" s="351"/>
      <c r="FG393" s="351"/>
      <c r="FH393" s="351"/>
      <c r="FI393" s="351"/>
      <c r="FJ393" s="351"/>
      <c r="FK393" s="351"/>
      <c r="FL393" s="351"/>
      <c r="FM393" s="351"/>
      <c r="FN393" s="351"/>
      <c r="FO393" s="351"/>
      <c r="FP393" s="351"/>
      <c r="FQ393" s="351"/>
      <c r="FR393" s="351"/>
      <c r="FS393" s="351"/>
      <c r="FT393" s="351"/>
      <c r="FU393" s="351"/>
      <c r="FV393" s="351"/>
      <c r="FW393" s="351"/>
      <c r="FX393" s="351"/>
      <c r="FY393" s="351"/>
      <c r="FZ393" s="351"/>
      <c r="GA393" s="351"/>
      <c r="GB393" s="351"/>
      <c r="GC393" s="351"/>
      <c r="GD393" s="351"/>
      <c r="GE393" s="351"/>
      <c r="GF393" s="351"/>
      <c r="GG393" s="351"/>
      <c r="GH393" s="351"/>
      <c r="GI393" s="351"/>
      <c r="GJ393" s="351"/>
      <c r="GK393" s="351"/>
      <c r="GL393" s="351"/>
      <c r="GM393" s="351"/>
      <c r="GN393" s="351"/>
      <c r="GO393" s="351"/>
      <c r="GP393" s="351"/>
      <c r="GQ393" s="351"/>
      <c r="GR393" s="351"/>
      <c r="GS393" s="351"/>
      <c r="GT393" s="351"/>
      <c r="GU393" s="351"/>
      <c r="GV393" s="351"/>
      <c r="GW393" s="351"/>
      <c r="GX393" s="351"/>
      <c r="GY393" s="351"/>
      <c r="GZ393" s="351"/>
      <c r="HA393" s="351"/>
      <c r="HB393" s="351"/>
      <c r="HC393" s="351"/>
      <c r="HD393" s="351"/>
      <c r="HE393" s="351"/>
      <c r="HF393" s="351"/>
      <c r="HG393" s="351"/>
      <c r="HH393" s="351"/>
      <c r="HI393" s="351"/>
      <c r="HJ393" s="351"/>
      <c r="HK393" s="351"/>
      <c r="HL393" s="351"/>
      <c r="HM393" s="351"/>
      <c r="HN393" s="351">
        <v>200</v>
      </c>
      <c r="HO393" s="351"/>
      <c r="HP393" s="351"/>
      <c r="HQ393" s="351"/>
      <c r="HR393" s="351"/>
      <c r="HS393" s="351"/>
      <c r="HT393" s="351"/>
      <c r="HU393" s="351"/>
      <c r="HV393" s="351"/>
      <c r="HW393" s="351"/>
      <c r="HX393" s="351"/>
      <c r="HY393" s="351"/>
      <c r="HZ393" s="351"/>
      <c r="IA393" s="351"/>
      <c r="IB393" s="351"/>
      <c r="IC393" s="351"/>
      <c r="ID393" s="351"/>
      <c r="IE393" s="351"/>
      <c r="IF393" s="351"/>
      <c r="IG393" s="351"/>
      <c r="IH393" s="351"/>
      <c r="II393" s="351"/>
      <c r="IJ393" s="351"/>
      <c r="IK393" s="351"/>
      <c r="IL393" s="351"/>
      <c r="IM393" s="351"/>
      <c r="IN393" s="351"/>
      <c r="IO393" s="351"/>
      <c r="IP393" s="351"/>
    </row>
    <row r="394" spans="1:250" ht="15.75" customHeight="1" x14ac:dyDescent="0.25">
      <c r="A394" s="351" t="s">
        <v>1285</v>
      </c>
      <c r="B394" s="351" t="s">
        <v>1286</v>
      </c>
      <c r="C394" s="351"/>
      <c r="D394" s="351"/>
      <c r="E394" s="351"/>
      <c r="F394" s="351"/>
      <c r="G394" s="351"/>
      <c r="H394" s="351"/>
      <c r="I394" s="351"/>
      <c r="J394" s="351"/>
      <c r="K394" s="351"/>
      <c r="L394" s="351"/>
      <c r="M394" s="351"/>
      <c r="N394" s="351"/>
      <c r="O394" s="351"/>
      <c r="P394" s="351"/>
      <c r="Q394" s="351"/>
      <c r="R394" s="351"/>
      <c r="S394" s="351"/>
      <c r="T394" s="351"/>
      <c r="U394" s="351"/>
      <c r="V394" s="351"/>
      <c r="W394" s="351"/>
      <c r="X394" s="351"/>
      <c r="Y394" s="351"/>
      <c r="Z394" s="351"/>
      <c r="AA394" s="351"/>
      <c r="AB394" s="351"/>
      <c r="AC394" s="351"/>
      <c r="AD394" s="351"/>
      <c r="AE394" s="351"/>
      <c r="AF394" s="351"/>
      <c r="AG394" s="351"/>
      <c r="AH394" s="351"/>
      <c r="AI394" s="351"/>
      <c r="AJ394" s="351"/>
      <c r="AK394" s="351"/>
      <c r="AL394" s="351"/>
      <c r="AM394" s="351"/>
      <c r="AN394" s="351"/>
      <c r="AO394" s="351"/>
      <c r="AP394" s="351"/>
      <c r="AQ394" s="351"/>
      <c r="AR394" s="351"/>
      <c r="AS394" s="351"/>
      <c r="AT394" s="351"/>
      <c r="AU394" s="351"/>
      <c r="AV394" s="351"/>
      <c r="AW394" s="351"/>
      <c r="AX394" s="351"/>
      <c r="AY394" s="351"/>
      <c r="AZ394" s="351"/>
      <c r="BA394" s="351"/>
      <c r="BB394" s="351"/>
      <c r="BC394" s="351"/>
      <c r="BD394" s="351"/>
      <c r="BE394" s="351"/>
      <c r="BF394" s="351"/>
      <c r="BG394" s="351"/>
      <c r="BH394" s="351"/>
      <c r="BI394" s="351"/>
      <c r="BJ394" s="351"/>
      <c r="BK394" s="351"/>
      <c r="BL394" s="351"/>
      <c r="BM394" s="351"/>
      <c r="BN394" s="351"/>
      <c r="BO394" s="351"/>
      <c r="BP394" s="351"/>
      <c r="BQ394" s="351"/>
      <c r="BR394" s="351"/>
      <c r="BS394" s="351"/>
      <c r="BT394" s="351"/>
      <c r="BU394" s="351"/>
      <c r="BV394" s="351"/>
      <c r="BW394" s="351"/>
      <c r="BX394" s="351"/>
      <c r="BY394" s="351"/>
      <c r="BZ394" s="351"/>
      <c r="CA394" s="351"/>
      <c r="CB394" s="351"/>
      <c r="CC394" s="351"/>
      <c r="CD394" s="351"/>
      <c r="CE394" s="351"/>
      <c r="CF394" s="351"/>
      <c r="CG394" s="351"/>
      <c r="CH394" s="351"/>
      <c r="CI394" s="351"/>
      <c r="CJ394" s="351"/>
      <c r="CK394" s="351"/>
      <c r="CL394" s="351"/>
      <c r="CM394" s="351"/>
      <c r="CN394" s="351"/>
      <c r="CO394" s="351"/>
      <c r="CP394" s="351"/>
      <c r="CQ394" s="351"/>
      <c r="CR394" s="351"/>
      <c r="CS394" s="351"/>
      <c r="CT394" s="351"/>
      <c r="CU394" s="351"/>
      <c r="CV394" s="351"/>
      <c r="CW394" s="351"/>
      <c r="CX394" s="351"/>
      <c r="CY394" s="351"/>
      <c r="CZ394" s="351"/>
      <c r="DA394" s="351"/>
      <c r="DB394" s="351"/>
      <c r="DC394" s="351"/>
      <c r="DD394" s="351"/>
      <c r="DE394" s="351"/>
      <c r="DF394" s="351"/>
      <c r="DG394" s="351"/>
      <c r="DH394" s="351"/>
      <c r="DI394" s="351"/>
      <c r="DJ394" s="351"/>
      <c r="DK394" s="351"/>
      <c r="DL394" s="351"/>
      <c r="DM394" s="351"/>
      <c r="DN394" s="351"/>
      <c r="DO394" s="351"/>
      <c r="DP394" s="351"/>
      <c r="DQ394" s="351"/>
      <c r="DR394" s="351"/>
      <c r="DS394" s="351"/>
      <c r="DT394" s="351"/>
      <c r="DU394" s="351"/>
      <c r="DV394" s="351"/>
      <c r="DW394" s="351"/>
      <c r="DX394" s="351"/>
      <c r="DY394" s="351"/>
      <c r="DZ394" s="351"/>
      <c r="EA394" s="351"/>
      <c r="EB394" s="351"/>
      <c r="EC394" s="351"/>
      <c r="ED394" s="351"/>
      <c r="EE394" s="351"/>
      <c r="EF394" s="351"/>
      <c r="EG394" s="351"/>
      <c r="EH394" s="351"/>
      <c r="EI394" s="351"/>
      <c r="EJ394" s="351"/>
      <c r="EK394" s="351"/>
      <c r="EL394" s="351"/>
      <c r="EM394" s="351"/>
      <c r="EN394" s="351"/>
      <c r="EO394" s="351"/>
      <c r="EP394" s="351"/>
      <c r="EQ394" s="351"/>
      <c r="ER394" s="351"/>
      <c r="ES394" s="351"/>
      <c r="ET394" s="351"/>
      <c r="EU394" s="351"/>
      <c r="EV394" s="351"/>
      <c r="EW394" s="351"/>
      <c r="EX394" s="351"/>
      <c r="EY394" s="351"/>
      <c r="EZ394" s="351"/>
      <c r="FA394" s="351"/>
      <c r="FB394" s="351"/>
      <c r="FC394" s="351"/>
      <c r="FD394" s="351"/>
      <c r="FE394" s="351"/>
      <c r="FF394" s="351"/>
      <c r="FG394" s="351"/>
      <c r="FH394" s="351"/>
      <c r="FI394" s="351"/>
      <c r="FJ394" s="351"/>
      <c r="FK394" s="351"/>
      <c r="FL394" s="351"/>
      <c r="FM394" s="351"/>
      <c r="FN394" s="351"/>
      <c r="FO394" s="351"/>
      <c r="FP394" s="351"/>
      <c r="FQ394" s="351"/>
      <c r="FR394" s="351"/>
      <c r="FS394" s="351"/>
      <c r="FT394" s="351"/>
      <c r="FU394" s="351"/>
      <c r="FV394" s="351"/>
      <c r="FW394" s="351"/>
      <c r="FX394" s="351"/>
      <c r="FY394" s="351"/>
      <c r="FZ394" s="351"/>
      <c r="GA394" s="351">
        <v>50</v>
      </c>
      <c r="GB394" s="351"/>
      <c r="GC394" s="351">
        <v>150</v>
      </c>
      <c r="GD394" s="351">
        <v>25</v>
      </c>
      <c r="GE394" s="351"/>
      <c r="GF394" s="351"/>
      <c r="GG394" s="351"/>
      <c r="GH394" s="351"/>
      <c r="GI394" s="351"/>
      <c r="GJ394" s="351"/>
      <c r="GK394" s="351"/>
      <c r="GL394" s="351"/>
      <c r="GM394" s="351"/>
      <c r="GN394" s="351"/>
      <c r="GO394" s="351"/>
      <c r="GP394" s="351"/>
      <c r="GQ394" s="351"/>
      <c r="GR394" s="351"/>
      <c r="GS394" s="351"/>
      <c r="GT394" s="351"/>
      <c r="GU394" s="351"/>
      <c r="GV394" s="351"/>
      <c r="GW394" s="351"/>
      <c r="GX394" s="351"/>
      <c r="GY394" s="351"/>
      <c r="GZ394" s="351"/>
      <c r="HA394" s="351"/>
      <c r="HB394" s="351"/>
      <c r="HC394" s="351"/>
      <c r="HD394" s="351"/>
      <c r="HE394" s="351"/>
      <c r="HF394" s="351"/>
      <c r="HG394" s="351"/>
      <c r="HH394" s="351"/>
      <c r="HI394" s="351"/>
      <c r="HJ394" s="351"/>
      <c r="HK394" s="351"/>
      <c r="HL394" s="351"/>
      <c r="HM394" s="351"/>
      <c r="HN394" s="351"/>
      <c r="HO394" s="351"/>
      <c r="HP394" s="351"/>
      <c r="HQ394" s="351"/>
      <c r="HR394" s="351"/>
      <c r="HS394" s="351"/>
      <c r="HT394" s="351"/>
      <c r="HU394" s="351"/>
      <c r="HV394" s="351"/>
      <c r="HW394" s="351"/>
      <c r="HX394" s="351"/>
      <c r="HY394" s="351"/>
      <c r="HZ394" s="351"/>
      <c r="IA394" s="351"/>
      <c r="IB394" s="351"/>
      <c r="IC394" s="351"/>
      <c r="ID394" s="351"/>
      <c r="IE394" s="351"/>
      <c r="IF394" s="351"/>
      <c r="IG394" s="351"/>
      <c r="IH394" s="351"/>
      <c r="II394" s="351"/>
      <c r="IJ394" s="351"/>
      <c r="IK394" s="351"/>
      <c r="IL394" s="351"/>
      <c r="IM394" s="351"/>
      <c r="IN394" s="351"/>
      <c r="IO394" s="351"/>
      <c r="IP394" s="351"/>
    </row>
    <row r="395" spans="1:250" ht="15.75" customHeight="1" x14ac:dyDescent="0.25">
      <c r="A395" s="351" t="s">
        <v>1287</v>
      </c>
      <c r="B395" s="351" t="s">
        <v>1288</v>
      </c>
      <c r="C395" s="351"/>
      <c r="D395" s="351"/>
      <c r="E395" s="351"/>
      <c r="F395" s="351"/>
      <c r="G395" s="351"/>
      <c r="H395" s="351"/>
      <c r="I395" s="351"/>
      <c r="J395" s="351"/>
      <c r="K395" s="351"/>
      <c r="L395" s="351"/>
      <c r="M395" s="351"/>
      <c r="N395" s="351"/>
      <c r="O395" s="351"/>
      <c r="P395" s="351"/>
      <c r="Q395" s="351"/>
      <c r="R395" s="351"/>
      <c r="S395" s="351"/>
      <c r="T395" s="351"/>
      <c r="U395" s="351"/>
      <c r="V395" s="351"/>
      <c r="W395" s="351"/>
      <c r="X395" s="351"/>
      <c r="Y395" s="351"/>
      <c r="Z395" s="351"/>
      <c r="AA395" s="351"/>
      <c r="AB395" s="351"/>
      <c r="AC395" s="351"/>
      <c r="AD395" s="351"/>
      <c r="AE395" s="351"/>
      <c r="AF395" s="351"/>
      <c r="AG395" s="351"/>
      <c r="AH395" s="351"/>
      <c r="AI395" s="351"/>
      <c r="AJ395" s="351"/>
      <c r="AK395" s="351"/>
      <c r="AL395" s="351"/>
      <c r="AM395" s="351"/>
      <c r="AN395" s="351"/>
      <c r="AO395" s="351"/>
      <c r="AP395" s="351"/>
      <c r="AQ395" s="351"/>
      <c r="AR395" s="351"/>
      <c r="AS395" s="351"/>
      <c r="AT395" s="351"/>
      <c r="AU395" s="351"/>
      <c r="AV395" s="351"/>
      <c r="AW395" s="351"/>
      <c r="AX395" s="351"/>
      <c r="AY395" s="351"/>
      <c r="AZ395" s="351"/>
      <c r="BA395" s="351"/>
      <c r="BB395" s="351"/>
      <c r="BC395" s="351"/>
      <c r="BD395" s="351"/>
      <c r="BE395" s="351"/>
      <c r="BF395" s="351"/>
      <c r="BG395" s="351"/>
      <c r="BH395" s="351"/>
      <c r="BI395" s="351"/>
      <c r="BJ395" s="351"/>
      <c r="BK395" s="351"/>
      <c r="BL395" s="351"/>
      <c r="BM395" s="351"/>
      <c r="BN395" s="351"/>
      <c r="BO395" s="351"/>
      <c r="BP395" s="351"/>
      <c r="BQ395" s="351"/>
      <c r="BR395" s="351"/>
      <c r="BS395" s="351"/>
      <c r="BT395" s="351"/>
      <c r="BU395" s="351"/>
      <c r="BV395" s="351"/>
      <c r="BW395" s="351"/>
      <c r="BX395" s="351"/>
      <c r="BY395" s="351"/>
      <c r="BZ395" s="351"/>
      <c r="CA395" s="351"/>
      <c r="CB395" s="351"/>
      <c r="CC395" s="351"/>
      <c r="CD395" s="351"/>
      <c r="CE395" s="351"/>
      <c r="CF395" s="351"/>
      <c r="CG395" s="351"/>
      <c r="CH395" s="351"/>
      <c r="CI395" s="351"/>
      <c r="CJ395" s="351"/>
      <c r="CK395" s="351"/>
      <c r="CL395" s="351"/>
      <c r="CM395" s="351"/>
      <c r="CN395" s="351"/>
      <c r="CO395" s="351"/>
      <c r="CP395" s="351"/>
      <c r="CQ395" s="351"/>
      <c r="CR395" s="351"/>
      <c r="CS395" s="351"/>
      <c r="CT395" s="351"/>
      <c r="CU395" s="351"/>
      <c r="CV395" s="351"/>
      <c r="CW395" s="351"/>
      <c r="CX395" s="351"/>
      <c r="CY395" s="351"/>
      <c r="CZ395" s="351"/>
      <c r="DA395" s="351"/>
      <c r="DB395" s="351"/>
      <c r="DC395" s="351"/>
      <c r="DD395" s="351"/>
      <c r="DE395" s="351"/>
      <c r="DF395" s="351"/>
      <c r="DG395" s="351"/>
      <c r="DH395" s="351"/>
      <c r="DI395" s="351"/>
      <c r="DJ395" s="351"/>
      <c r="DK395" s="351"/>
      <c r="DL395" s="351"/>
      <c r="DM395" s="351"/>
      <c r="DN395" s="351"/>
      <c r="DO395" s="351"/>
      <c r="DP395" s="351"/>
      <c r="DQ395" s="351"/>
      <c r="DR395" s="351"/>
      <c r="DS395" s="351"/>
      <c r="DT395" s="351"/>
      <c r="DU395" s="351"/>
      <c r="DV395" s="351"/>
      <c r="DW395" s="351"/>
      <c r="DX395" s="351"/>
      <c r="DY395" s="351"/>
      <c r="DZ395" s="351"/>
      <c r="EA395" s="351"/>
      <c r="EB395" s="351"/>
      <c r="EC395" s="351"/>
      <c r="ED395" s="351"/>
      <c r="EE395" s="351"/>
      <c r="EF395" s="351"/>
      <c r="EG395" s="351"/>
      <c r="EH395" s="351"/>
      <c r="EI395" s="351"/>
      <c r="EJ395" s="351"/>
      <c r="EK395" s="351"/>
      <c r="EL395" s="351"/>
      <c r="EM395" s="351"/>
      <c r="EN395" s="351"/>
      <c r="EO395" s="351"/>
      <c r="EP395" s="351"/>
      <c r="EQ395" s="351"/>
      <c r="ER395" s="351"/>
      <c r="ES395" s="351"/>
      <c r="ET395" s="351"/>
      <c r="EU395" s="351"/>
      <c r="EV395" s="351"/>
      <c r="EW395" s="351"/>
      <c r="EX395" s="351"/>
      <c r="EY395" s="351">
        <v>100</v>
      </c>
      <c r="EZ395" s="351"/>
      <c r="FA395" s="351"/>
      <c r="FB395" s="351"/>
      <c r="FC395" s="351"/>
      <c r="FD395" s="351"/>
      <c r="FE395" s="351"/>
      <c r="FF395" s="351"/>
      <c r="FG395" s="351"/>
      <c r="FH395" s="351"/>
      <c r="FI395" s="351"/>
      <c r="FJ395" s="351"/>
      <c r="FK395" s="351"/>
      <c r="FL395" s="351"/>
      <c r="FM395" s="351"/>
      <c r="FN395" s="351"/>
      <c r="FO395" s="351"/>
      <c r="FP395" s="351"/>
      <c r="FQ395" s="351"/>
      <c r="FR395" s="351"/>
      <c r="FS395" s="351"/>
      <c r="FT395" s="351"/>
      <c r="FU395" s="351"/>
      <c r="FV395" s="351"/>
      <c r="FW395" s="351"/>
      <c r="FX395" s="351"/>
      <c r="FY395" s="351"/>
      <c r="FZ395" s="351"/>
      <c r="GA395" s="351"/>
      <c r="GB395" s="351"/>
      <c r="GC395" s="351"/>
      <c r="GD395" s="351"/>
      <c r="GE395" s="351"/>
      <c r="GF395" s="351"/>
      <c r="GG395" s="351"/>
      <c r="GH395" s="351"/>
      <c r="GI395" s="351"/>
      <c r="GJ395" s="351"/>
      <c r="GK395" s="351"/>
      <c r="GL395" s="351"/>
      <c r="GM395" s="351"/>
      <c r="GN395" s="351"/>
      <c r="GO395" s="351"/>
      <c r="GP395" s="351"/>
      <c r="GQ395" s="351"/>
      <c r="GR395" s="351"/>
      <c r="GS395" s="351"/>
      <c r="GT395" s="351"/>
      <c r="GU395" s="351"/>
      <c r="GV395" s="351"/>
      <c r="GW395" s="351"/>
      <c r="GX395" s="351"/>
      <c r="GY395" s="351"/>
      <c r="GZ395" s="351"/>
      <c r="HA395" s="351"/>
      <c r="HB395" s="351"/>
      <c r="HC395" s="351"/>
      <c r="HD395" s="351"/>
      <c r="HE395" s="351"/>
      <c r="HF395" s="351"/>
      <c r="HG395" s="351"/>
      <c r="HH395" s="351"/>
      <c r="HI395" s="351"/>
      <c r="HJ395" s="351"/>
      <c r="HK395" s="351"/>
      <c r="HL395" s="351"/>
      <c r="HM395" s="351"/>
      <c r="HN395" s="351"/>
      <c r="HO395" s="351"/>
      <c r="HP395" s="351"/>
      <c r="HQ395" s="351"/>
      <c r="HR395" s="351"/>
      <c r="HS395" s="351"/>
      <c r="HT395" s="351"/>
      <c r="HU395" s="351"/>
      <c r="HV395" s="351"/>
      <c r="HW395" s="351"/>
      <c r="HX395" s="351"/>
      <c r="HY395" s="351"/>
      <c r="HZ395" s="351"/>
      <c r="IA395" s="351"/>
      <c r="IB395" s="351"/>
      <c r="IC395" s="351"/>
      <c r="ID395" s="351"/>
      <c r="IE395" s="351"/>
      <c r="IF395" s="351"/>
      <c r="IG395" s="351"/>
      <c r="IH395" s="351"/>
      <c r="II395" s="351"/>
      <c r="IJ395" s="351"/>
      <c r="IK395" s="351"/>
      <c r="IL395" s="351"/>
      <c r="IM395" s="351"/>
      <c r="IN395" s="351"/>
      <c r="IO395" s="351"/>
      <c r="IP395" s="351"/>
    </row>
    <row r="396" spans="1:250" ht="15.75" customHeight="1" x14ac:dyDescent="0.25">
      <c r="A396" s="351" t="s">
        <v>1285</v>
      </c>
      <c r="B396" s="351" t="s">
        <v>1290</v>
      </c>
      <c r="C396" s="351"/>
      <c r="D396" s="351"/>
      <c r="E396" s="351"/>
      <c r="F396" s="351"/>
      <c r="G396" s="351">
        <v>35</v>
      </c>
      <c r="H396" s="351"/>
      <c r="I396" s="351"/>
      <c r="J396" s="351"/>
      <c r="K396" s="351"/>
      <c r="L396" s="351"/>
      <c r="M396" s="351"/>
      <c r="N396" s="351"/>
      <c r="O396" s="351"/>
      <c r="P396" s="351"/>
      <c r="Q396" s="351"/>
      <c r="R396" s="351"/>
      <c r="S396" s="351"/>
      <c r="T396" s="351"/>
      <c r="U396" s="351"/>
      <c r="V396" s="351"/>
      <c r="W396" s="351"/>
      <c r="X396" s="351"/>
      <c r="Y396" s="351"/>
      <c r="Z396" s="351"/>
      <c r="AA396" s="351"/>
      <c r="AB396" s="351"/>
      <c r="AC396" s="351"/>
      <c r="AD396" s="351"/>
      <c r="AE396" s="351"/>
      <c r="AF396" s="351"/>
      <c r="AG396" s="351"/>
      <c r="AH396" s="351"/>
      <c r="AI396" s="351"/>
      <c r="AJ396" s="351"/>
      <c r="AK396" s="351"/>
      <c r="AL396" s="351"/>
      <c r="AM396" s="351"/>
      <c r="AN396" s="351"/>
      <c r="AO396" s="351"/>
      <c r="AP396" s="351"/>
      <c r="AQ396" s="351"/>
      <c r="AR396" s="351"/>
      <c r="AS396" s="351"/>
      <c r="AT396" s="351"/>
      <c r="AU396" s="351"/>
      <c r="AV396" s="351"/>
      <c r="AW396" s="351"/>
      <c r="AX396" s="351"/>
      <c r="AY396" s="351"/>
      <c r="AZ396" s="351"/>
      <c r="BA396" s="351"/>
      <c r="BB396" s="351"/>
      <c r="BC396" s="351"/>
      <c r="BD396" s="351"/>
      <c r="BE396" s="351"/>
      <c r="BF396" s="351"/>
      <c r="BG396" s="351"/>
      <c r="BH396" s="351"/>
      <c r="BI396" s="351"/>
      <c r="BJ396" s="351"/>
      <c r="BK396" s="351"/>
      <c r="BL396" s="351"/>
      <c r="BM396" s="351"/>
      <c r="BN396" s="351"/>
      <c r="BO396" s="351"/>
      <c r="BP396" s="351"/>
      <c r="BQ396" s="351"/>
      <c r="BR396" s="351"/>
      <c r="BS396" s="351"/>
      <c r="BT396" s="351"/>
      <c r="BU396" s="351"/>
      <c r="BV396" s="351"/>
      <c r="BW396" s="351"/>
      <c r="BX396" s="351"/>
      <c r="BY396" s="351"/>
      <c r="BZ396" s="351"/>
      <c r="CA396" s="351"/>
      <c r="CB396" s="351"/>
      <c r="CC396" s="351"/>
      <c r="CD396" s="351"/>
      <c r="CE396" s="351"/>
      <c r="CF396" s="351"/>
      <c r="CG396" s="351"/>
      <c r="CH396" s="351"/>
      <c r="CI396" s="351"/>
      <c r="CJ396" s="351"/>
      <c r="CK396" s="351"/>
      <c r="CL396" s="351"/>
      <c r="CM396" s="351"/>
      <c r="CN396" s="351"/>
      <c r="CO396" s="351"/>
      <c r="CP396" s="351"/>
      <c r="CQ396" s="351"/>
      <c r="CR396" s="351"/>
      <c r="CS396" s="351"/>
      <c r="CT396" s="351"/>
      <c r="CU396" s="351"/>
      <c r="CV396" s="351"/>
      <c r="CW396" s="351"/>
      <c r="CX396" s="351"/>
      <c r="CY396" s="351"/>
      <c r="CZ396" s="351"/>
      <c r="DA396" s="351"/>
      <c r="DB396" s="351"/>
      <c r="DC396" s="351"/>
      <c r="DD396" s="351"/>
      <c r="DE396" s="351"/>
      <c r="DF396" s="351"/>
      <c r="DG396" s="351"/>
      <c r="DH396" s="351"/>
      <c r="DI396" s="351"/>
      <c r="DJ396" s="351"/>
      <c r="DK396" s="351"/>
      <c r="DL396" s="351"/>
      <c r="DM396" s="351"/>
      <c r="DN396" s="351"/>
      <c r="DO396" s="351"/>
      <c r="DP396" s="351"/>
      <c r="DQ396" s="351"/>
      <c r="DR396" s="351"/>
      <c r="DS396" s="351"/>
      <c r="DT396" s="351"/>
      <c r="DU396" s="351"/>
      <c r="DV396" s="351"/>
      <c r="DW396" s="351"/>
      <c r="DX396" s="351"/>
      <c r="DY396" s="351"/>
      <c r="DZ396" s="351"/>
      <c r="EA396" s="351"/>
      <c r="EB396" s="351"/>
      <c r="EC396" s="351"/>
      <c r="ED396" s="351"/>
      <c r="EE396" s="351"/>
      <c r="EF396" s="351"/>
      <c r="EG396" s="351"/>
      <c r="EH396" s="351"/>
      <c r="EI396" s="351"/>
      <c r="EJ396" s="351"/>
      <c r="EK396" s="351"/>
      <c r="EL396" s="351"/>
      <c r="EM396" s="351"/>
      <c r="EN396" s="351"/>
      <c r="EO396" s="351"/>
      <c r="EP396" s="351"/>
      <c r="EQ396" s="351"/>
      <c r="ER396" s="351"/>
      <c r="ES396" s="351"/>
      <c r="ET396" s="351"/>
      <c r="EU396" s="351"/>
      <c r="EV396" s="351"/>
      <c r="EW396" s="351"/>
      <c r="EX396" s="351"/>
      <c r="EY396" s="351"/>
      <c r="EZ396" s="351"/>
      <c r="FA396" s="351"/>
      <c r="FB396" s="351"/>
      <c r="FC396" s="351"/>
      <c r="FD396" s="351"/>
      <c r="FE396" s="351"/>
      <c r="FF396" s="351"/>
      <c r="FG396" s="351"/>
      <c r="FH396" s="351"/>
      <c r="FI396" s="351"/>
      <c r="FJ396" s="351"/>
      <c r="FK396" s="351"/>
      <c r="FL396" s="351"/>
      <c r="FM396" s="351"/>
      <c r="FN396" s="351"/>
      <c r="FO396" s="351"/>
      <c r="FP396" s="351"/>
      <c r="FQ396" s="351"/>
      <c r="FR396" s="351"/>
      <c r="FS396" s="351"/>
      <c r="FT396" s="351"/>
      <c r="FU396" s="351"/>
      <c r="FV396" s="351"/>
      <c r="FW396" s="351"/>
      <c r="FX396" s="351"/>
      <c r="FY396" s="351"/>
      <c r="FZ396" s="351"/>
      <c r="GA396" s="351"/>
      <c r="GB396" s="351"/>
      <c r="GC396" s="351"/>
      <c r="GD396" s="351"/>
      <c r="GE396" s="351"/>
      <c r="GF396" s="351"/>
      <c r="GG396" s="351"/>
      <c r="GH396" s="351"/>
      <c r="GI396" s="351"/>
      <c r="GJ396" s="351"/>
      <c r="GK396" s="351"/>
      <c r="GL396" s="351"/>
      <c r="GM396" s="351"/>
      <c r="GN396" s="351"/>
      <c r="GO396" s="351"/>
      <c r="GP396" s="351"/>
      <c r="GQ396" s="351"/>
      <c r="GR396" s="351"/>
      <c r="GS396" s="351"/>
      <c r="GT396" s="351"/>
      <c r="GU396" s="351"/>
      <c r="GV396" s="351"/>
      <c r="GW396" s="351"/>
      <c r="GX396" s="351"/>
      <c r="GY396" s="351"/>
      <c r="GZ396" s="351"/>
      <c r="HA396" s="351"/>
      <c r="HB396" s="351"/>
      <c r="HC396" s="351"/>
      <c r="HD396" s="351"/>
      <c r="HE396" s="351"/>
      <c r="HF396" s="351"/>
      <c r="HG396" s="351"/>
      <c r="HH396" s="351"/>
      <c r="HI396" s="351"/>
      <c r="HJ396" s="351"/>
      <c r="HK396" s="351"/>
      <c r="HL396" s="351"/>
      <c r="HM396" s="351"/>
      <c r="HN396" s="351"/>
      <c r="HO396" s="351"/>
      <c r="HP396" s="351"/>
      <c r="HQ396" s="351"/>
      <c r="HR396" s="351"/>
      <c r="HS396" s="351"/>
      <c r="HT396" s="351"/>
      <c r="HU396" s="351"/>
      <c r="HV396" s="351"/>
      <c r="HW396" s="351"/>
      <c r="HX396" s="351"/>
      <c r="HY396" s="351"/>
      <c r="HZ396" s="351"/>
      <c r="IA396" s="351"/>
      <c r="IB396" s="351"/>
      <c r="IC396" s="351"/>
      <c r="ID396" s="351"/>
      <c r="IE396" s="351"/>
      <c r="IF396" s="351"/>
      <c r="IG396" s="351"/>
      <c r="IH396" s="351"/>
      <c r="II396" s="351"/>
      <c r="IJ396" s="351"/>
      <c r="IK396" s="351"/>
      <c r="IL396" s="351"/>
      <c r="IM396" s="351"/>
      <c r="IN396" s="351"/>
      <c r="IO396" s="351"/>
      <c r="IP396" s="351"/>
    </row>
    <row r="397" spans="1:250" ht="15.75" customHeight="1" x14ac:dyDescent="0.25">
      <c r="A397" s="351" t="s">
        <v>1287</v>
      </c>
      <c r="B397" s="351" t="s">
        <v>1292</v>
      </c>
      <c r="C397" s="351"/>
      <c r="D397" s="351"/>
      <c r="E397" s="351"/>
      <c r="F397" s="351"/>
      <c r="G397" s="351"/>
      <c r="H397" s="351"/>
      <c r="I397" s="351"/>
      <c r="J397" s="351"/>
      <c r="K397" s="351"/>
      <c r="L397" s="351"/>
      <c r="M397" s="351"/>
      <c r="N397" s="351"/>
      <c r="O397" s="351"/>
      <c r="P397" s="351"/>
      <c r="Q397" s="351"/>
      <c r="R397" s="351"/>
      <c r="S397" s="351"/>
      <c r="T397" s="351"/>
      <c r="U397" s="351"/>
      <c r="V397" s="351"/>
      <c r="W397" s="351"/>
      <c r="X397" s="351"/>
      <c r="Y397" s="351"/>
      <c r="Z397" s="351"/>
      <c r="AA397" s="351"/>
      <c r="AB397" s="351"/>
      <c r="AC397" s="351"/>
      <c r="AD397" s="351"/>
      <c r="AE397" s="351"/>
      <c r="AF397" s="351"/>
      <c r="AG397" s="351"/>
      <c r="AH397" s="351"/>
      <c r="AI397" s="351"/>
      <c r="AJ397" s="351"/>
      <c r="AK397" s="351"/>
      <c r="AL397" s="351"/>
      <c r="AM397" s="351"/>
      <c r="AN397" s="351"/>
      <c r="AO397" s="351"/>
      <c r="AP397" s="351"/>
      <c r="AQ397" s="351"/>
      <c r="AR397" s="351"/>
      <c r="AS397" s="351"/>
      <c r="AT397" s="351"/>
      <c r="AU397" s="351"/>
      <c r="AV397" s="351"/>
      <c r="AW397" s="351"/>
      <c r="AX397" s="351"/>
      <c r="AY397" s="351"/>
      <c r="AZ397" s="351"/>
      <c r="BA397" s="351"/>
      <c r="BB397" s="351"/>
      <c r="BC397" s="351"/>
      <c r="BD397" s="351"/>
      <c r="BE397" s="351"/>
      <c r="BF397" s="351"/>
      <c r="BG397" s="351"/>
      <c r="BH397" s="351"/>
      <c r="BI397" s="351"/>
      <c r="BJ397" s="351"/>
      <c r="BK397" s="351"/>
      <c r="BL397" s="351"/>
      <c r="BM397" s="351"/>
      <c r="BN397" s="351"/>
      <c r="BO397" s="351"/>
      <c r="BP397" s="351"/>
      <c r="BQ397" s="351"/>
      <c r="BR397" s="351"/>
      <c r="BS397" s="351"/>
      <c r="BT397" s="351"/>
      <c r="BU397" s="351"/>
      <c r="BV397" s="351"/>
      <c r="BW397" s="351"/>
      <c r="BX397" s="351"/>
      <c r="BY397" s="351"/>
      <c r="BZ397" s="351"/>
      <c r="CA397" s="351"/>
      <c r="CB397" s="351"/>
      <c r="CC397" s="351"/>
      <c r="CD397" s="351"/>
      <c r="CE397" s="351"/>
      <c r="CF397" s="351"/>
      <c r="CG397" s="351"/>
      <c r="CH397" s="351"/>
      <c r="CI397" s="351"/>
      <c r="CJ397" s="351"/>
      <c r="CK397" s="351"/>
      <c r="CL397" s="351"/>
      <c r="CM397" s="351"/>
      <c r="CN397" s="351"/>
      <c r="CO397" s="351"/>
      <c r="CP397" s="351"/>
      <c r="CQ397" s="351"/>
      <c r="CR397" s="351"/>
      <c r="CS397" s="351"/>
      <c r="CT397" s="351"/>
      <c r="CU397" s="351"/>
      <c r="CV397" s="351"/>
      <c r="CW397" s="351"/>
      <c r="CX397" s="351"/>
      <c r="CY397" s="351"/>
      <c r="CZ397" s="351"/>
      <c r="DA397" s="351"/>
      <c r="DB397" s="351"/>
      <c r="DC397" s="351"/>
      <c r="DD397" s="351"/>
      <c r="DE397" s="351"/>
      <c r="DF397" s="351"/>
      <c r="DG397" s="351"/>
      <c r="DH397" s="351"/>
      <c r="DI397" s="351"/>
      <c r="DJ397" s="351"/>
      <c r="DK397" s="351"/>
      <c r="DL397" s="351"/>
      <c r="DM397" s="351"/>
      <c r="DN397" s="351"/>
      <c r="DO397" s="351"/>
      <c r="DP397" s="351"/>
      <c r="DQ397" s="351"/>
      <c r="DR397" s="351"/>
      <c r="DS397" s="351"/>
      <c r="DT397" s="351"/>
      <c r="DU397" s="351"/>
      <c r="DV397" s="351"/>
      <c r="DW397" s="351"/>
      <c r="DX397" s="351"/>
      <c r="DY397" s="351"/>
      <c r="DZ397" s="351"/>
      <c r="EA397" s="351"/>
      <c r="EB397" s="351"/>
      <c r="EC397" s="351"/>
      <c r="ED397" s="351"/>
      <c r="EE397" s="351"/>
      <c r="EF397" s="351"/>
      <c r="EG397" s="351"/>
      <c r="EH397" s="351"/>
      <c r="EI397" s="351"/>
      <c r="EJ397" s="351"/>
      <c r="EK397" s="351"/>
      <c r="EL397" s="351"/>
      <c r="EM397" s="351"/>
      <c r="EN397" s="351"/>
      <c r="EO397" s="351"/>
      <c r="EP397" s="351"/>
      <c r="EQ397" s="351"/>
      <c r="ER397" s="351"/>
      <c r="ES397" s="351"/>
      <c r="ET397" s="351"/>
      <c r="EU397" s="351"/>
      <c r="EV397" s="351"/>
      <c r="EW397" s="351"/>
      <c r="EX397" s="351"/>
      <c r="EY397" s="351"/>
      <c r="EZ397" s="351"/>
      <c r="FA397" s="351"/>
      <c r="FB397" s="351"/>
      <c r="FC397" s="351"/>
      <c r="FD397" s="351"/>
      <c r="FE397" s="351"/>
      <c r="FF397" s="351"/>
      <c r="FG397" s="351"/>
      <c r="FH397" s="351"/>
      <c r="FI397" s="351"/>
      <c r="FJ397" s="351"/>
      <c r="FK397" s="351"/>
      <c r="FL397" s="351"/>
      <c r="FM397" s="351"/>
      <c r="FN397" s="351"/>
      <c r="FO397" s="351"/>
      <c r="FP397" s="351"/>
      <c r="FQ397" s="351"/>
      <c r="FR397" s="351"/>
      <c r="FS397" s="351"/>
      <c r="FT397" s="351"/>
      <c r="FU397" s="351"/>
      <c r="FV397" s="351"/>
      <c r="FW397" s="351"/>
      <c r="FX397" s="351"/>
      <c r="FY397" s="351"/>
      <c r="FZ397" s="351"/>
      <c r="GA397" s="351"/>
      <c r="GB397" s="351"/>
      <c r="GC397" s="351"/>
      <c r="GD397" s="351"/>
      <c r="GE397" s="351"/>
      <c r="GF397" s="351"/>
      <c r="GG397" s="351"/>
      <c r="GH397" s="351"/>
      <c r="GI397" s="351"/>
      <c r="GJ397" s="351"/>
      <c r="GK397" s="351"/>
      <c r="GL397" s="351"/>
      <c r="GM397" s="351"/>
      <c r="GN397" s="351"/>
      <c r="GO397" s="351"/>
      <c r="GP397" s="351"/>
      <c r="GQ397" s="351"/>
      <c r="GR397" s="351"/>
      <c r="GS397" s="351"/>
      <c r="GT397" s="351"/>
      <c r="GU397" s="351"/>
      <c r="GV397" s="351"/>
      <c r="GW397" s="351"/>
      <c r="GX397" s="351"/>
      <c r="GY397" s="351"/>
      <c r="GZ397" s="351"/>
      <c r="HA397" s="351"/>
      <c r="HB397" s="351"/>
      <c r="HC397" s="351"/>
      <c r="HD397" s="351"/>
      <c r="HE397" s="351"/>
      <c r="HF397" s="351"/>
      <c r="HG397" s="351"/>
      <c r="HH397" s="351"/>
      <c r="HI397" s="351"/>
      <c r="HJ397" s="351"/>
      <c r="HK397" s="351"/>
      <c r="HL397" s="351"/>
      <c r="HM397" s="351"/>
      <c r="HN397" s="351"/>
      <c r="HO397" s="351"/>
      <c r="HP397" s="351"/>
      <c r="HQ397" s="351"/>
      <c r="HR397" s="351"/>
      <c r="HS397" s="351"/>
      <c r="HT397" s="351"/>
      <c r="HU397" s="351"/>
      <c r="HV397" s="351"/>
      <c r="HW397" s="351"/>
      <c r="HX397" s="351"/>
      <c r="HY397" s="351"/>
      <c r="HZ397" s="351"/>
      <c r="IA397" s="351"/>
      <c r="IB397" s="351"/>
      <c r="IC397" s="351"/>
      <c r="ID397" s="351"/>
      <c r="IE397" s="351"/>
      <c r="IF397" s="351"/>
      <c r="IG397" s="351"/>
      <c r="IH397" s="351"/>
      <c r="II397" s="351"/>
      <c r="IJ397" s="351"/>
      <c r="IK397" s="351"/>
      <c r="IL397" s="351"/>
      <c r="IM397" s="351"/>
      <c r="IN397" s="351"/>
      <c r="IO397" s="351"/>
      <c r="IP397" s="351"/>
    </row>
    <row r="398" spans="1:250" ht="15.75" customHeight="1" x14ac:dyDescent="0.25">
      <c r="A398" s="351" t="s">
        <v>1287</v>
      </c>
      <c r="B398" s="351" t="s">
        <v>1299</v>
      </c>
      <c r="C398" s="351"/>
      <c r="D398" s="351"/>
      <c r="E398" s="351"/>
      <c r="F398" s="351"/>
      <c r="G398" s="351"/>
      <c r="H398" s="351"/>
      <c r="I398" s="351"/>
      <c r="J398" s="351"/>
      <c r="K398" s="351"/>
      <c r="L398" s="351"/>
      <c r="M398" s="351"/>
      <c r="N398" s="351"/>
      <c r="O398" s="351"/>
      <c r="P398" s="351"/>
      <c r="Q398" s="351"/>
      <c r="R398" s="351"/>
      <c r="S398" s="351"/>
      <c r="T398" s="351"/>
      <c r="U398" s="351"/>
      <c r="V398" s="351"/>
      <c r="W398" s="351"/>
      <c r="X398" s="351"/>
      <c r="Y398" s="351"/>
      <c r="Z398" s="351"/>
      <c r="AA398" s="351"/>
      <c r="AB398" s="351"/>
      <c r="AC398" s="351"/>
      <c r="AD398" s="351"/>
      <c r="AE398" s="351"/>
      <c r="AF398" s="351"/>
      <c r="AG398" s="351"/>
      <c r="AH398" s="351"/>
      <c r="AI398" s="351"/>
      <c r="AJ398" s="351"/>
      <c r="AK398" s="351"/>
      <c r="AL398" s="351"/>
      <c r="AM398" s="351"/>
      <c r="AN398" s="351"/>
      <c r="AO398" s="351"/>
      <c r="AP398" s="351"/>
      <c r="AQ398" s="351"/>
      <c r="AR398" s="351"/>
      <c r="AS398" s="351"/>
      <c r="AT398" s="351"/>
      <c r="AU398" s="351"/>
      <c r="AV398" s="351"/>
      <c r="AW398" s="351"/>
      <c r="AX398" s="351"/>
      <c r="AY398" s="351"/>
      <c r="AZ398" s="351"/>
      <c r="BA398" s="351"/>
      <c r="BB398" s="351"/>
      <c r="BC398" s="351"/>
      <c r="BD398" s="351"/>
      <c r="BE398" s="351"/>
      <c r="BF398" s="351"/>
      <c r="BG398" s="351"/>
      <c r="BH398" s="351"/>
      <c r="BI398" s="351"/>
      <c r="BJ398" s="351"/>
      <c r="BK398" s="351"/>
      <c r="BL398" s="351"/>
      <c r="BM398" s="351"/>
      <c r="BN398" s="351"/>
      <c r="BO398" s="351"/>
      <c r="BP398" s="351"/>
      <c r="BQ398" s="351"/>
      <c r="BR398" s="351"/>
      <c r="BS398" s="351"/>
      <c r="BT398" s="351"/>
      <c r="BU398" s="351"/>
      <c r="BV398" s="351"/>
      <c r="BW398" s="351"/>
      <c r="BX398" s="351"/>
      <c r="BY398" s="351"/>
      <c r="BZ398" s="351"/>
      <c r="CA398" s="351"/>
      <c r="CB398" s="351"/>
      <c r="CC398" s="351"/>
      <c r="CD398" s="351"/>
      <c r="CE398" s="351"/>
      <c r="CF398" s="351"/>
      <c r="CG398" s="351"/>
      <c r="CH398" s="351"/>
      <c r="CI398" s="351"/>
      <c r="CJ398" s="351"/>
      <c r="CK398" s="351"/>
      <c r="CL398" s="351"/>
      <c r="CM398" s="351"/>
      <c r="CN398" s="351"/>
      <c r="CO398" s="351"/>
      <c r="CP398" s="351"/>
      <c r="CQ398" s="351"/>
      <c r="CR398" s="351"/>
      <c r="CS398" s="351"/>
      <c r="CT398" s="351"/>
      <c r="CU398" s="351"/>
      <c r="CV398" s="351"/>
      <c r="CW398" s="351"/>
      <c r="CX398" s="351"/>
      <c r="CY398" s="351"/>
      <c r="CZ398" s="351"/>
      <c r="DA398" s="351"/>
      <c r="DB398" s="351"/>
      <c r="DC398" s="351"/>
      <c r="DD398" s="351"/>
      <c r="DE398" s="351"/>
      <c r="DF398" s="351"/>
      <c r="DG398" s="351"/>
      <c r="DH398" s="351"/>
      <c r="DI398" s="351"/>
      <c r="DJ398" s="351"/>
      <c r="DK398" s="351"/>
      <c r="DL398" s="351"/>
      <c r="DM398" s="351"/>
      <c r="DN398" s="351"/>
      <c r="DO398" s="351"/>
      <c r="DP398" s="351"/>
      <c r="DQ398" s="351"/>
      <c r="DR398" s="351"/>
      <c r="DS398" s="351"/>
      <c r="DT398" s="351"/>
      <c r="DU398" s="351"/>
      <c r="DV398" s="351"/>
      <c r="DW398" s="351"/>
      <c r="DX398" s="351"/>
      <c r="DY398" s="351"/>
      <c r="DZ398" s="351"/>
      <c r="EA398" s="351"/>
      <c r="EB398" s="351"/>
      <c r="EC398" s="351"/>
      <c r="ED398" s="351"/>
      <c r="EE398" s="351"/>
      <c r="EF398" s="351"/>
      <c r="EG398" s="351"/>
      <c r="EH398" s="351"/>
      <c r="EI398" s="351"/>
      <c r="EJ398" s="351"/>
      <c r="EK398" s="351"/>
      <c r="EL398" s="351"/>
      <c r="EM398" s="351"/>
      <c r="EN398" s="351"/>
      <c r="EO398" s="351"/>
      <c r="EP398" s="351"/>
      <c r="EQ398" s="351"/>
      <c r="ER398" s="351"/>
      <c r="ES398" s="351"/>
      <c r="ET398" s="351"/>
      <c r="EU398" s="351"/>
      <c r="EV398" s="351"/>
      <c r="EW398" s="351"/>
      <c r="EX398" s="351"/>
      <c r="EY398" s="351"/>
      <c r="EZ398" s="351"/>
      <c r="FA398" s="351"/>
      <c r="FB398" s="351"/>
      <c r="FC398" s="351"/>
      <c r="FD398" s="351"/>
      <c r="FE398" s="351"/>
      <c r="FF398" s="351"/>
      <c r="FG398" s="351"/>
      <c r="FH398" s="351"/>
      <c r="FI398" s="351"/>
      <c r="FJ398" s="351"/>
      <c r="FK398" s="351"/>
      <c r="FL398" s="351"/>
      <c r="FM398" s="351"/>
      <c r="FN398" s="351"/>
      <c r="FO398" s="351"/>
      <c r="FP398" s="351"/>
      <c r="FQ398" s="351"/>
      <c r="FR398" s="351"/>
      <c r="FS398" s="351"/>
      <c r="FT398" s="351"/>
      <c r="FU398" s="351"/>
      <c r="FV398" s="351"/>
      <c r="FW398" s="351"/>
      <c r="FX398" s="351"/>
      <c r="FY398" s="351"/>
      <c r="FZ398" s="351"/>
      <c r="GA398" s="351"/>
      <c r="GB398" s="351"/>
      <c r="GC398" s="351"/>
      <c r="GD398" s="351"/>
      <c r="GE398" s="351"/>
      <c r="GF398" s="351"/>
      <c r="GG398" s="351"/>
      <c r="GH398" s="351"/>
      <c r="GI398" s="351"/>
      <c r="GJ398" s="351"/>
      <c r="GK398" s="351"/>
      <c r="GL398" s="351"/>
      <c r="GM398" s="351"/>
      <c r="GN398" s="351"/>
      <c r="GO398" s="351"/>
      <c r="GP398" s="351"/>
      <c r="GQ398" s="351"/>
      <c r="GR398" s="351"/>
      <c r="GS398" s="351"/>
      <c r="GT398" s="351"/>
      <c r="GU398" s="351"/>
      <c r="GV398" s="351"/>
      <c r="GW398" s="351"/>
      <c r="GX398" s="351"/>
      <c r="GY398" s="351"/>
      <c r="GZ398" s="351"/>
      <c r="HA398" s="351"/>
      <c r="HB398" s="351"/>
      <c r="HC398" s="351"/>
      <c r="HD398" s="351"/>
      <c r="HE398" s="351"/>
      <c r="HF398" s="351"/>
      <c r="HG398" s="351"/>
      <c r="HH398" s="351"/>
      <c r="HI398" s="351"/>
      <c r="HJ398" s="351"/>
      <c r="HK398" s="351"/>
      <c r="HL398" s="351"/>
      <c r="HM398" s="351"/>
      <c r="HN398" s="351"/>
      <c r="HO398" s="351"/>
      <c r="HP398" s="351"/>
      <c r="HQ398" s="351"/>
      <c r="HR398" s="351"/>
      <c r="HS398" s="351"/>
      <c r="HT398" s="351"/>
      <c r="HU398" s="351"/>
      <c r="HV398" s="351"/>
      <c r="HW398" s="351"/>
      <c r="HX398" s="351"/>
      <c r="HY398" s="351"/>
      <c r="HZ398" s="351"/>
      <c r="IA398" s="351"/>
      <c r="IB398" s="351"/>
      <c r="IC398" s="351"/>
      <c r="ID398" s="351"/>
      <c r="IE398" s="351"/>
      <c r="IF398" s="351"/>
      <c r="IG398" s="351"/>
      <c r="IH398" s="351"/>
      <c r="II398" s="351"/>
      <c r="IJ398" s="351"/>
      <c r="IK398" s="351"/>
      <c r="IL398" s="351"/>
      <c r="IM398" s="351"/>
      <c r="IN398" s="351"/>
      <c r="IO398" s="351"/>
      <c r="IP398" s="351"/>
    </row>
    <row r="399" spans="1:250" ht="15.75" customHeight="1" x14ac:dyDescent="0.25">
      <c r="A399" s="351" t="s">
        <v>1287</v>
      </c>
      <c r="B399" s="351" t="s">
        <v>1302</v>
      </c>
      <c r="C399" s="351"/>
      <c r="D399" s="351"/>
      <c r="E399" s="351"/>
      <c r="F399" s="351"/>
      <c r="G399" s="351"/>
      <c r="H399" s="351"/>
      <c r="I399" s="351"/>
      <c r="J399" s="351"/>
      <c r="K399" s="351"/>
      <c r="L399" s="351"/>
      <c r="M399" s="351"/>
      <c r="N399" s="351"/>
      <c r="O399" s="351"/>
      <c r="P399" s="351"/>
      <c r="Q399" s="351"/>
      <c r="R399" s="351"/>
      <c r="S399" s="351">
        <v>5</v>
      </c>
      <c r="T399" s="351"/>
      <c r="U399" s="351"/>
      <c r="V399" s="351"/>
      <c r="W399" s="351"/>
      <c r="X399" s="351"/>
      <c r="Y399" s="351"/>
      <c r="Z399" s="351"/>
      <c r="AA399" s="80">
        <v>5</v>
      </c>
      <c r="AB399" s="351"/>
      <c r="AC399" s="351"/>
      <c r="AD399" s="351"/>
      <c r="AE399" s="351"/>
      <c r="AF399" s="351"/>
      <c r="AG399" s="351">
        <v>5</v>
      </c>
      <c r="AH399" s="351"/>
      <c r="AI399" s="351"/>
      <c r="AJ399" s="351"/>
      <c r="AK399" s="351"/>
      <c r="AL399" s="351"/>
      <c r="AM399" s="351"/>
      <c r="AN399" s="351"/>
      <c r="AO399" s="351"/>
      <c r="AP399" s="351">
        <v>5</v>
      </c>
      <c r="AQ399" s="351"/>
      <c r="AR399" s="351"/>
      <c r="AS399" s="351"/>
      <c r="AT399" s="351"/>
      <c r="AU399" s="351"/>
      <c r="AV399" s="351"/>
      <c r="AW399" s="351"/>
      <c r="AX399" s="351"/>
      <c r="AY399" s="351"/>
      <c r="AZ399" s="351"/>
      <c r="BA399" s="351"/>
      <c r="BB399" s="351"/>
      <c r="BC399" s="351"/>
      <c r="BD399" s="351"/>
      <c r="BE399" s="351"/>
      <c r="BF399" s="351"/>
      <c r="BG399" s="351"/>
      <c r="BH399" s="351"/>
      <c r="BI399" s="351"/>
      <c r="BJ399" s="351"/>
      <c r="BK399" s="351"/>
      <c r="BL399" s="351"/>
      <c r="BM399" s="351"/>
      <c r="BN399" s="351"/>
      <c r="BO399" s="351"/>
      <c r="BP399" s="351"/>
      <c r="BQ399" s="351"/>
      <c r="BR399" s="351"/>
      <c r="BS399" s="351"/>
      <c r="BT399" s="351"/>
      <c r="BU399" s="351"/>
      <c r="BV399" s="351"/>
      <c r="BW399" s="351"/>
      <c r="BX399" s="351"/>
      <c r="BY399" s="351"/>
      <c r="BZ399" s="351"/>
      <c r="CA399" s="351"/>
      <c r="CB399" s="351"/>
      <c r="CC399" s="351"/>
      <c r="CD399" s="351"/>
      <c r="CE399" s="351"/>
      <c r="CF399" s="351"/>
      <c r="CG399" s="351"/>
      <c r="CH399" s="351"/>
      <c r="CI399" s="351"/>
      <c r="CJ399" s="351"/>
      <c r="CK399" s="351"/>
      <c r="CL399" s="351"/>
      <c r="CM399" s="351"/>
      <c r="CN399" s="351"/>
      <c r="CO399" s="351"/>
      <c r="CP399" s="351"/>
      <c r="CQ399" s="351"/>
      <c r="CR399" s="351"/>
      <c r="CS399" s="351"/>
      <c r="CT399" s="351"/>
      <c r="CU399" s="351"/>
      <c r="CV399" s="351"/>
      <c r="CW399" s="351"/>
      <c r="CX399" s="351"/>
      <c r="CY399" s="351"/>
      <c r="CZ399" s="351"/>
      <c r="DA399" s="351"/>
      <c r="DB399" s="351"/>
      <c r="DC399" s="351"/>
      <c r="DD399" s="351"/>
      <c r="DE399" s="351"/>
      <c r="DF399" s="351"/>
      <c r="DG399" s="351"/>
      <c r="DH399" s="351"/>
      <c r="DI399" s="351"/>
      <c r="DJ399" s="351"/>
      <c r="DK399" s="351"/>
      <c r="DL399" s="351"/>
      <c r="DM399" s="351"/>
      <c r="DN399" s="351"/>
      <c r="DO399" s="351"/>
      <c r="DP399" s="351"/>
      <c r="DQ399" s="351"/>
      <c r="DR399" s="351">
        <v>6</v>
      </c>
      <c r="DS399" s="351"/>
      <c r="DT399" s="351"/>
      <c r="DU399" s="351"/>
      <c r="DV399" s="351"/>
      <c r="DW399" s="351"/>
      <c r="DX399" s="351"/>
      <c r="DY399" s="351"/>
      <c r="DZ399" s="351"/>
      <c r="EA399" s="351"/>
      <c r="EB399" s="351">
        <v>6</v>
      </c>
      <c r="EC399" s="351">
        <v>6</v>
      </c>
      <c r="ED399" s="351">
        <v>6</v>
      </c>
      <c r="EE399" s="351"/>
      <c r="EF399" s="351"/>
      <c r="EG399" s="351"/>
      <c r="EH399" s="351"/>
      <c r="EI399" s="351"/>
      <c r="EJ399" s="351"/>
      <c r="EK399" s="351"/>
      <c r="EL399" s="351"/>
      <c r="EM399" s="351"/>
      <c r="EN399" s="351"/>
      <c r="EO399" s="351"/>
      <c r="EP399" s="351"/>
      <c r="EQ399" s="351"/>
      <c r="ER399" s="351"/>
      <c r="ES399" s="351"/>
      <c r="ET399" s="351"/>
      <c r="EU399" s="351"/>
      <c r="EV399" s="351"/>
      <c r="EW399" s="351"/>
      <c r="EX399" s="351"/>
      <c r="EY399" s="351"/>
      <c r="EZ399" s="351"/>
      <c r="FA399" s="351"/>
      <c r="FB399" s="351"/>
      <c r="FC399" s="351"/>
      <c r="FD399" s="351"/>
      <c r="FE399" s="351"/>
      <c r="FF399" s="351"/>
      <c r="FG399" s="351"/>
      <c r="FH399" s="351"/>
      <c r="FI399" s="351"/>
      <c r="FJ399" s="351"/>
      <c r="FK399" s="351"/>
      <c r="FL399" s="351"/>
      <c r="FM399" s="351"/>
      <c r="FN399" s="351"/>
      <c r="FO399" s="351"/>
      <c r="FP399" s="351"/>
      <c r="FQ399" s="351"/>
      <c r="FR399" s="351"/>
      <c r="FS399" s="351"/>
      <c r="FT399" s="351"/>
      <c r="FU399" s="351"/>
      <c r="FV399" s="351"/>
      <c r="FW399" s="351"/>
      <c r="FX399" s="351"/>
      <c r="FY399" s="351"/>
      <c r="FZ399" s="351"/>
      <c r="GA399" s="351"/>
      <c r="GB399" s="351"/>
      <c r="GC399" s="351">
        <v>250</v>
      </c>
      <c r="GD399" s="351"/>
      <c r="GE399" s="351"/>
      <c r="GF399" s="351"/>
      <c r="GG399" s="351"/>
      <c r="GH399" s="351"/>
      <c r="GI399" s="351"/>
      <c r="GJ399" s="351"/>
      <c r="GK399" s="351"/>
      <c r="GL399" s="351"/>
      <c r="GM399" s="351"/>
      <c r="GN399" s="351"/>
      <c r="GO399" s="351"/>
      <c r="GP399" s="351"/>
      <c r="GQ399" s="351"/>
      <c r="GR399" s="351"/>
      <c r="GS399" s="351"/>
      <c r="GT399" s="351"/>
      <c r="GU399" s="351"/>
      <c r="GV399" s="351"/>
      <c r="GW399" s="351"/>
      <c r="GX399" s="351"/>
      <c r="GY399" s="351"/>
      <c r="GZ399" s="351"/>
      <c r="HA399" s="351"/>
      <c r="HB399" s="351"/>
      <c r="HC399" s="351"/>
      <c r="HD399" s="351"/>
      <c r="HE399" s="351"/>
      <c r="HF399" s="351"/>
      <c r="HG399" s="351"/>
      <c r="HH399" s="351"/>
      <c r="HI399" s="351"/>
      <c r="HJ399" s="351"/>
      <c r="HK399" s="351"/>
      <c r="HL399" s="351"/>
      <c r="HM399" s="351"/>
      <c r="HN399" s="351"/>
      <c r="HO399" s="351"/>
      <c r="HP399" s="351"/>
      <c r="HQ399" s="351"/>
      <c r="HR399" s="351"/>
      <c r="HS399" s="351"/>
      <c r="HT399" s="351"/>
      <c r="HU399" s="351"/>
      <c r="HV399" s="351"/>
      <c r="HW399" s="351"/>
      <c r="HX399" s="351"/>
      <c r="HY399" s="351"/>
      <c r="HZ399" s="351"/>
      <c r="IA399" s="351"/>
      <c r="IB399" s="351"/>
      <c r="IC399" s="351"/>
      <c r="ID399" s="351"/>
      <c r="IE399" s="351"/>
      <c r="IF399" s="351"/>
      <c r="IG399" s="351"/>
      <c r="IH399" s="351"/>
      <c r="II399" s="351"/>
      <c r="IJ399" s="351"/>
      <c r="IK399" s="351"/>
      <c r="IL399" s="351"/>
      <c r="IM399" s="351"/>
      <c r="IN399" s="351"/>
      <c r="IO399" s="351"/>
      <c r="IP399" s="351"/>
    </row>
    <row r="400" spans="1:250" ht="15.75" customHeight="1" x14ac:dyDescent="0.25">
      <c r="A400" s="351" t="s">
        <v>1304</v>
      </c>
      <c r="B400" s="351" t="s">
        <v>1305</v>
      </c>
      <c r="C400" s="351"/>
      <c r="D400" s="351"/>
      <c r="E400" s="351"/>
      <c r="F400" s="351"/>
      <c r="G400" s="351"/>
      <c r="H400" s="351"/>
      <c r="I400" s="351"/>
      <c r="J400" s="351"/>
      <c r="K400" s="351"/>
      <c r="L400" s="351"/>
      <c r="M400" s="351"/>
      <c r="N400" s="351"/>
      <c r="O400" s="351"/>
      <c r="P400" s="351"/>
      <c r="Q400" s="351"/>
      <c r="R400" s="351"/>
      <c r="S400" s="351"/>
      <c r="T400" s="351"/>
      <c r="U400" s="351"/>
      <c r="V400" s="351"/>
      <c r="W400" s="351"/>
      <c r="X400" s="351"/>
      <c r="Y400" s="351"/>
      <c r="Z400" s="351"/>
      <c r="AA400" s="351"/>
      <c r="AB400" s="351"/>
      <c r="AC400" s="351"/>
      <c r="AD400" s="351"/>
      <c r="AE400" s="351"/>
      <c r="AF400" s="351"/>
      <c r="AG400" s="351"/>
      <c r="AH400" s="351"/>
      <c r="AI400" s="351"/>
      <c r="AJ400" s="351"/>
      <c r="AK400" s="351"/>
      <c r="AL400" s="351"/>
      <c r="AM400" s="351"/>
      <c r="AN400" s="351"/>
      <c r="AO400" s="351"/>
      <c r="AP400" s="351"/>
      <c r="AQ400" s="351"/>
      <c r="AR400" s="351"/>
      <c r="AS400" s="351"/>
      <c r="AT400" s="351"/>
      <c r="AU400" s="351"/>
      <c r="AV400" s="351"/>
      <c r="AW400" s="351"/>
      <c r="AX400" s="351"/>
      <c r="AY400" s="351"/>
      <c r="AZ400" s="351"/>
      <c r="BA400" s="351"/>
      <c r="BB400" s="351"/>
      <c r="BC400" s="351"/>
      <c r="BD400" s="351"/>
      <c r="BE400" s="351"/>
      <c r="BF400" s="351"/>
      <c r="BG400" s="351"/>
      <c r="BH400" s="351"/>
      <c r="BI400" s="351"/>
      <c r="BJ400" s="351"/>
      <c r="BK400" s="351"/>
      <c r="BL400" s="351"/>
      <c r="BM400" s="351"/>
      <c r="BN400" s="351"/>
      <c r="BO400" s="351"/>
      <c r="BP400" s="351"/>
      <c r="BQ400" s="351"/>
      <c r="BR400" s="351"/>
      <c r="BS400" s="351"/>
      <c r="BT400" s="351"/>
      <c r="BU400" s="351"/>
      <c r="BV400" s="351"/>
      <c r="BW400" s="351"/>
      <c r="BX400" s="351"/>
      <c r="BY400" s="351"/>
      <c r="BZ400" s="351"/>
      <c r="CA400" s="351"/>
      <c r="CB400" s="351"/>
      <c r="CC400" s="351"/>
      <c r="CD400" s="351"/>
      <c r="CE400" s="351"/>
      <c r="CF400" s="351"/>
      <c r="CG400" s="351"/>
      <c r="CH400" s="351"/>
      <c r="CI400" s="351"/>
      <c r="CJ400" s="351"/>
      <c r="CK400" s="351"/>
      <c r="CL400" s="351"/>
      <c r="CM400" s="351"/>
      <c r="CN400" s="351"/>
      <c r="CO400" s="351"/>
      <c r="CP400" s="351"/>
      <c r="CQ400" s="351"/>
      <c r="CR400" s="351"/>
      <c r="CS400" s="351"/>
      <c r="CT400" s="351"/>
      <c r="CU400" s="351"/>
      <c r="CV400" s="351"/>
      <c r="CW400" s="351"/>
      <c r="CX400" s="351"/>
      <c r="CY400" s="351"/>
      <c r="CZ400" s="351"/>
      <c r="DA400" s="351"/>
      <c r="DB400" s="351"/>
      <c r="DC400" s="351"/>
      <c r="DD400" s="351"/>
      <c r="DE400" s="351"/>
      <c r="DF400" s="351"/>
      <c r="DG400" s="351"/>
      <c r="DH400" s="351"/>
      <c r="DI400" s="351"/>
      <c r="DJ400" s="351"/>
      <c r="DK400" s="351"/>
      <c r="DL400" s="351"/>
      <c r="DM400" s="351"/>
      <c r="DN400" s="351"/>
      <c r="DO400" s="351"/>
      <c r="DP400" s="351"/>
      <c r="DQ400" s="351"/>
      <c r="DR400" s="351"/>
      <c r="DS400" s="351"/>
      <c r="DT400" s="351"/>
      <c r="DU400" s="351"/>
      <c r="DV400" s="351"/>
      <c r="DW400" s="351"/>
      <c r="DX400" s="351"/>
      <c r="DY400" s="351"/>
      <c r="DZ400" s="351"/>
      <c r="EA400" s="351"/>
      <c r="EB400" s="351"/>
      <c r="EC400" s="351"/>
      <c r="ED400" s="351"/>
      <c r="EE400" s="351"/>
      <c r="EF400" s="351"/>
      <c r="EG400" s="351"/>
      <c r="EH400" s="351"/>
      <c r="EI400" s="351"/>
      <c r="EJ400" s="351"/>
      <c r="EK400" s="351"/>
      <c r="EL400" s="351"/>
      <c r="EM400" s="351"/>
      <c r="EN400" s="351"/>
      <c r="EO400" s="351"/>
      <c r="EP400" s="351"/>
      <c r="EQ400" s="351"/>
      <c r="ER400" s="351"/>
      <c r="ES400" s="351"/>
      <c r="ET400" s="351"/>
      <c r="EU400" s="351"/>
      <c r="EV400" s="351"/>
      <c r="EW400" s="351"/>
      <c r="EX400" s="351"/>
      <c r="EY400" s="351"/>
      <c r="EZ400" s="351"/>
      <c r="FA400" s="351"/>
      <c r="FB400" s="351"/>
      <c r="FC400" s="351"/>
      <c r="FD400" s="351"/>
      <c r="FE400" s="351"/>
      <c r="FF400" s="351"/>
      <c r="FG400" s="351"/>
      <c r="FH400" s="351"/>
      <c r="FI400" s="351"/>
      <c r="FJ400" s="351"/>
      <c r="FK400" s="351"/>
      <c r="FL400" s="351"/>
      <c r="FM400" s="351"/>
      <c r="FN400" s="351"/>
      <c r="FO400" s="351"/>
      <c r="FP400" s="351"/>
      <c r="FQ400" s="351"/>
      <c r="FR400" s="351"/>
      <c r="FS400" s="351"/>
      <c r="FT400" s="351"/>
      <c r="FU400" s="351"/>
      <c r="FV400" s="351"/>
      <c r="FW400" s="351"/>
      <c r="FX400" s="351"/>
      <c r="FY400" s="351"/>
      <c r="FZ400" s="351"/>
      <c r="GA400" s="351"/>
      <c r="GB400" s="351"/>
      <c r="GC400" s="351"/>
      <c r="GD400" s="351"/>
      <c r="GE400" s="351"/>
      <c r="GF400" s="351"/>
      <c r="GG400" s="351"/>
      <c r="GH400" s="351"/>
      <c r="GI400" s="351"/>
      <c r="GJ400" s="351"/>
      <c r="GK400" s="351"/>
      <c r="GL400" s="351"/>
      <c r="GM400" s="351"/>
      <c r="GN400" s="351"/>
      <c r="GO400" s="351"/>
      <c r="GP400" s="351"/>
      <c r="GQ400" s="351"/>
      <c r="GR400" s="351"/>
      <c r="GS400" s="351"/>
      <c r="GT400" s="351"/>
      <c r="GU400" s="351"/>
      <c r="GV400" s="351"/>
      <c r="GW400" s="351"/>
      <c r="GX400" s="351"/>
      <c r="GY400" s="351"/>
      <c r="GZ400" s="351"/>
      <c r="HA400" s="351"/>
      <c r="HB400" s="351"/>
      <c r="HC400" s="351"/>
      <c r="HD400" s="351"/>
      <c r="HE400" s="351"/>
      <c r="HF400" s="351"/>
      <c r="HG400" s="351"/>
      <c r="HH400" s="351"/>
      <c r="HI400" s="351"/>
      <c r="HJ400" s="351"/>
      <c r="HK400" s="351"/>
      <c r="HL400" s="351"/>
      <c r="HM400" s="351"/>
      <c r="HN400" s="351"/>
      <c r="HO400" s="351"/>
      <c r="HP400" s="351"/>
      <c r="HQ400" s="351"/>
      <c r="HR400" s="351"/>
      <c r="HS400" s="351"/>
      <c r="HT400" s="351"/>
      <c r="HU400" s="351"/>
      <c r="HV400" s="351"/>
      <c r="HW400" s="351"/>
      <c r="HX400" s="351"/>
      <c r="HY400" s="351"/>
      <c r="HZ400" s="351"/>
      <c r="IA400" s="351"/>
      <c r="IB400" s="351"/>
      <c r="IC400" s="351"/>
      <c r="ID400" s="351"/>
      <c r="IE400" s="351"/>
      <c r="IF400" s="351"/>
      <c r="IG400" s="351"/>
      <c r="IH400" s="351"/>
      <c r="II400" s="351"/>
      <c r="IJ400" s="351"/>
      <c r="IK400" s="351"/>
      <c r="IL400" s="351"/>
      <c r="IM400" s="351"/>
      <c r="IN400" s="351"/>
      <c r="IO400" s="351"/>
      <c r="IP400" s="351"/>
    </row>
    <row r="401" spans="1:250" ht="15.75" customHeight="1" x14ac:dyDescent="0.25">
      <c r="A401" s="351" t="s">
        <v>1306</v>
      </c>
      <c r="B401" s="351" t="s">
        <v>1307</v>
      </c>
      <c r="C401" s="351"/>
      <c r="D401" s="351"/>
      <c r="E401" s="351"/>
      <c r="F401" s="351"/>
      <c r="G401" s="351"/>
      <c r="H401" s="351"/>
      <c r="I401" s="351"/>
      <c r="J401" s="351"/>
      <c r="K401" s="351"/>
      <c r="L401" s="351"/>
      <c r="M401" s="351"/>
      <c r="N401" s="351"/>
      <c r="O401" s="351"/>
      <c r="P401" s="351"/>
      <c r="Q401" s="351"/>
      <c r="R401" s="351"/>
      <c r="S401" s="351"/>
      <c r="T401" s="351"/>
      <c r="U401" s="351"/>
      <c r="V401" s="351"/>
      <c r="W401" s="351"/>
      <c r="X401" s="351"/>
      <c r="Y401" s="351"/>
      <c r="Z401" s="351"/>
      <c r="AA401" s="351"/>
      <c r="AB401" s="351"/>
      <c r="AC401" s="351"/>
      <c r="AD401" s="351"/>
      <c r="AE401" s="351"/>
      <c r="AF401" s="351"/>
      <c r="AG401" s="351"/>
      <c r="AH401" s="351"/>
      <c r="AI401" s="351"/>
      <c r="AJ401" s="351"/>
      <c r="AK401" s="351"/>
      <c r="AL401" s="351"/>
      <c r="AM401" s="351"/>
      <c r="AN401" s="351"/>
      <c r="AO401" s="351"/>
      <c r="AP401" s="351"/>
      <c r="AQ401" s="351"/>
      <c r="AR401" s="351"/>
      <c r="AS401" s="351"/>
      <c r="AT401" s="351"/>
      <c r="AU401" s="351"/>
      <c r="AV401" s="351"/>
      <c r="AW401" s="351"/>
      <c r="AX401" s="351"/>
      <c r="AY401" s="351"/>
      <c r="AZ401" s="351"/>
      <c r="BA401" s="351"/>
      <c r="BB401" s="351"/>
      <c r="BC401" s="351"/>
      <c r="BD401" s="351"/>
      <c r="BE401" s="351"/>
      <c r="BF401" s="351"/>
      <c r="BG401" s="351"/>
      <c r="BH401" s="351"/>
      <c r="BI401" s="351"/>
      <c r="BJ401" s="351"/>
      <c r="BK401" s="351"/>
      <c r="BL401" s="351"/>
      <c r="BM401" s="351"/>
      <c r="BN401" s="351"/>
      <c r="BO401" s="351"/>
      <c r="BP401" s="351"/>
      <c r="BQ401" s="351"/>
      <c r="BR401" s="351"/>
      <c r="BS401" s="351"/>
      <c r="BT401" s="351"/>
      <c r="BU401" s="351"/>
      <c r="BV401" s="351"/>
      <c r="BW401" s="351"/>
      <c r="BX401" s="351"/>
      <c r="BY401" s="351"/>
      <c r="BZ401" s="351"/>
      <c r="CA401" s="351"/>
      <c r="CB401" s="351"/>
      <c r="CC401" s="351"/>
      <c r="CD401" s="351"/>
      <c r="CE401" s="351"/>
      <c r="CF401" s="351"/>
      <c r="CG401" s="351"/>
      <c r="CH401" s="351"/>
      <c r="CI401" s="351"/>
      <c r="CJ401" s="351"/>
      <c r="CK401" s="351"/>
      <c r="CL401" s="351"/>
      <c r="CM401" s="351"/>
      <c r="CN401" s="351"/>
      <c r="CO401" s="351"/>
      <c r="CP401" s="351"/>
      <c r="CQ401" s="351"/>
      <c r="CR401" s="351"/>
      <c r="CS401" s="351"/>
      <c r="CT401" s="351"/>
      <c r="CU401" s="351"/>
      <c r="CV401" s="351"/>
      <c r="CW401" s="351"/>
      <c r="CX401" s="351"/>
      <c r="CY401" s="351"/>
      <c r="CZ401" s="351"/>
      <c r="DA401" s="351"/>
      <c r="DB401" s="351"/>
      <c r="DC401" s="351"/>
      <c r="DD401" s="351"/>
      <c r="DE401" s="351"/>
      <c r="DF401" s="351"/>
      <c r="DG401" s="351"/>
      <c r="DH401" s="351"/>
      <c r="DI401" s="351"/>
      <c r="DJ401" s="351"/>
      <c r="DK401" s="351"/>
      <c r="DL401" s="351"/>
      <c r="DM401" s="351"/>
      <c r="DN401" s="351"/>
      <c r="DO401" s="351"/>
      <c r="DP401" s="351"/>
      <c r="DQ401" s="351"/>
      <c r="DR401" s="351"/>
      <c r="DS401" s="351"/>
      <c r="DT401" s="351"/>
      <c r="DU401" s="351"/>
      <c r="DV401" s="351"/>
      <c r="DW401" s="351"/>
      <c r="DX401" s="351"/>
      <c r="DY401" s="351"/>
      <c r="DZ401" s="351"/>
      <c r="EA401" s="351"/>
      <c r="EB401" s="351"/>
      <c r="EC401" s="351"/>
      <c r="ED401" s="351"/>
      <c r="EE401" s="351"/>
      <c r="EF401" s="351"/>
      <c r="EG401" s="351"/>
      <c r="EH401" s="351"/>
      <c r="EI401" s="351"/>
      <c r="EJ401" s="351"/>
      <c r="EK401" s="351"/>
      <c r="EL401" s="351"/>
      <c r="EM401" s="351"/>
      <c r="EN401" s="351"/>
      <c r="EO401" s="351"/>
      <c r="EP401" s="351"/>
      <c r="EQ401" s="351"/>
      <c r="ER401" s="351"/>
      <c r="ES401" s="351"/>
      <c r="ET401" s="351"/>
      <c r="EU401" s="351"/>
      <c r="EV401" s="351"/>
      <c r="EW401" s="351"/>
      <c r="EX401" s="351"/>
      <c r="EY401" s="351"/>
      <c r="EZ401" s="351"/>
      <c r="FA401" s="351"/>
      <c r="FB401" s="351"/>
      <c r="FC401" s="351"/>
      <c r="FD401" s="351"/>
      <c r="FE401" s="351"/>
      <c r="FF401" s="351"/>
      <c r="FG401" s="351"/>
      <c r="FH401" s="351"/>
      <c r="FI401" s="351"/>
      <c r="FJ401" s="351"/>
      <c r="FK401" s="351"/>
      <c r="FL401" s="351"/>
      <c r="FM401" s="351"/>
      <c r="FN401" s="351"/>
      <c r="FO401" s="351"/>
      <c r="FP401" s="351"/>
      <c r="FQ401" s="351"/>
      <c r="FR401" s="351"/>
      <c r="FS401" s="351"/>
      <c r="FT401" s="351"/>
      <c r="FU401" s="351"/>
      <c r="FV401" s="351"/>
      <c r="FW401" s="351"/>
      <c r="FX401" s="351"/>
      <c r="FY401" s="351"/>
      <c r="FZ401" s="351"/>
      <c r="GA401" s="351">
        <v>250</v>
      </c>
      <c r="GB401" s="351"/>
      <c r="GC401" s="351">
        <v>650</v>
      </c>
      <c r="GD401" s="351">
        <v>100</v>
      </c>
      <c r="GE401" s="351"/>
      <c r="GF401" s="351"/>
      <c r="GG401" s="351"/>
      <c r="GH401" s="351"/>
      <c r="GI401" s="351"/>
      <c r="GJ401" s="351"/>
      <c r="GK401" s="351"/>
      <c r="GL401" s="351"/>
      <c r="GM401" s="351"/>
      <c r="GN401" s="351"/>
      <c r="GO401" s="351"/>
      <c r="GP401" s="351"/>
      <c r="GQ401" s="351"/>
      <c r="GR401" s="351"/>
      <c r="GS401" s="351"/>
      <c r="GT401" s="351"/>
      <c r="GU401" s="351"/>
      <c r="GV401" s="351"/>
      <c r="GW401" s="351"/>
      <c r="GX401" s="351"/>
      <c r="GY401" s="351"/>
      <c r="GZ401" s="351"/>
      <c r="HA401" s="351"/>
      <c r="HB401" s="351"/>
      <c r="HC401" s="351"/>
      <c r="HD401" s="351"/>
      <c r="HE401" s="351"/>
      <c r="HF401" s="351"/>
      <c r="HG401" s="351"/>
      <c r="HH401" s="351"/>
      <c r="HI401" s="351"/>
      <c r="HJ401" s="351"/>
      <c r="HK401" s="351"/>
      <c r="HL401" s="351"/>
      <c r="HM401" s="351"/>
      <c r="HN401" s="351"/>
      <c r="HO401" s="351"/>
      <c r="HP401" s="351"/>
      <c r="HQ401" s="351"/>
      <c r="HR401" s="351"/>
      <c r="HS401" s="351"/>
      <c r="HT401" s="351"/>
      <c r="HU401" s="351"/>
      <c r="HV401" s="351"/>
      <c r="HW401" s="351"/>
      <c r="HX401" s="351"/>
      <c r="HY401" s="351"/>
      <c r="HZ401" s="351"/>
      <c r="IA401" s="351"/>
      <c r="IB401" s="351"/>
      <c r="IC401" s="351"/>
      <c r="ID401" s="351"/>
      <c r="IE401" s="351"/>
      <c r="IF401" s="351"/>
      <c r="IG401" s="351"/>
      <c r="IH401" s="351"/>
      <c r="II401" s="351"/>
      <c r="IJ401" s="351"/>
      <c r="IK401" s="351"/>
      <c r="IL401" s="351"/>
      <c r="IM401" s="351"/>
      <c r="IN401" s="351"/>
      <c r="IO401" s="351"/>
      <c r="IP401" s="351"/>
    </row>
    <row r="402" spans="1:250" ht="15.75" customHeight="1" x14ac:dyDescent="0.25">
      <c r="A402" s="351" t="s">
        <v>1310</v>
      </c>
      <c r="B402" s="351" t="s">
        <v>1311</v>
      </c>
      <c r="C402" s="351"/>
      <c r="D402" s="351"/>
      <c r="E402" s="351"/>
      <c r="F402" s="351"/>
      <c r="G402" s="351"/>
      <c r="H402" s="351"/>
      <c r="I402" s="351"/>
      <c r="J402" s="351"/>
      <c r="K402" s="351"/>
      <c r="L402" s="351"/>
      <c r="M402" s="351"/>
      <c r="N402" s="351"/>
      <c r="O402" s="351"/>
      <c r="P402" s="351"/>
      <c r="Q402" s="351"/>
      <c r="R402" s="351"/>
      <c r="S402" s="351"/>
      <c r="T402" s="351"/>
      <c r="U402" s="351"/>
      <c r="V402" s="351"/>
      <c r="W402" s="351"/>
      <c r="X402" s="351"/>
      <c r="Y402" s="351"/>
      <c r="Z402" s="351"/>
      <c r="AA402" s="351"/>
      <c r="AB402" s="351"/>
      <c r="AC402" s="351"/>
      <c r="AD402" s="351"/>
      <c r="AE402" s="351"/>
      <c r="AF402" s="351"/>
      <c r="AG402" s="351"/>
      <c r="AH402" s="351"/>
      <c r="AI402" s="351"/>
      <c r="AJ402" s="351"/>
      <c r="AK402" s="351"/>
      <c r="AL402" s="351"/>
      <c r="AM402" s="351"/>
      <c r="AN402" s="351"/>
      <c r="AO402" s="351"/>
      <c r="AP402" s="351"/>
      <c r="AQ402" s="351"/>
      <c r="AR402" s="351"/>
      <c r="AS402" s="351"/>
      <c r="AT402" s="351"/>
      <c r="AU402" s="351"/>
      <c r="AV402" s="351"/>
      <c r="AW402" s="351"/>
      <c r="AX402" s="351"/>
      <c r="AY402" s="351"/>
      <c r="AZ402" s="351"/>
      <c r="BA402" s="351"/>
      <c r="BB402" s="351"/>
      <c r="BC402" s="351"/>
      <c r="BD402" s="351"/>
      <c r="BE402" s="351"/>
      <c r="BF402" s="351"/>
      <c r="BG402" s="351"/>
      <c r="BH402" s="351"/>
      <c r="BI402" s="351"/>
      <c r="BJ402" s="351"/>
      <c r="BK402" s="351"/>
      <c r="BL402" s="351"/>
      <c r="BM402" s="351"/>
      <c r="BN402" s="351"/>
      <c r="BO402" s="351"/>
      <c r="BP402" s="351"/>
      <c r="BQ402" s="351"/>
      <c r="BR402" s="351"/>
      <c r="BS402" s="351"/>
      <c r="BT402" s="351"/>
      <c r="BU402" s="351"/>
      <c r="BV402" s="351"/>
      <c r="BW402" s="351"/>
      <c r="BX402" s="351"/>
      <c r="BY402" s="351"/>
      <c r="BZ402" s="351"/>
      <c r="CA402" s="351"/>
      <c r="CB402" s="351"/>
      <c r="CC402" s="351"/>
      <c r="CD402" s="351"/>
      <c r="CE402" s="351"/>
      <c r="CF402" s="351"/>
      <c r="CG402" s="351"/>
      <c r="CH402" s="351"/>
      <c r="CI402" s="351"/>
      <c r="CJ402" s="351"/>
      <c r="CK402" s="351"/>
      <c r="CL402" s="351"/>
      <c r="CM402" s="351"/>
      <c r="CN402" s="351"/>
      <c r="CO402" s="351"/>
      <c r="CP402" s="351"/>
      <c r="CQ402" s="351"/>
      <c r="CR402" s="351"/>
      <c r="CS402" s="351"/>
      <c r="CT402" s="351"/>
      <c r="CU402" s="351"/>
      <c r="CV402" s="351"/>
      <c r="CW402" s="351"/>
      <c r="CX402" s="351"/>
      <c r="CY402" s="351"/>
      <c r="CZ402" s="351"/>
      <c r="DA402" s="351"/>
      <c r="DB402" s="351"/>
      <c r="DC402" s="351"/>
      <c r="DD402" s="351"/>
      <c r="DE402" s="351"/>
      <c r="DF402" s="351"/>
      <c r="DG402" s="351"/>
      <c r="DH402" s="351"/>
      <c r="DI402" s="351"/>
      <c r="DJ402" s="351"/>
      <c r="DK402" s="351"/>
      <c r="DL402" s="351"/>
      <c r="DM402" s="351"/>
      <c r="DN402" s="351"/>
      <c r="DO402" s="351"/>
      <c r="DP402" s="351"/>
      <c r="DQ402" s="351"/>
      <c r="DR402" s="351"/>
      <c r="DS402" s="351"/>
      <c r="DT402" s="351"/>
      <c r="DU402" s="351"/>
      <c r="DV402" s="351"/>
      <c r="DW402" s="351"/>
      <c r="DX402" s="351"/>
      <c r="DY402" s="351"/>
      <c r="DZ402" s="351"/>
      <c r="EA402" s="351"/>
      <c r="EB402" s="351"/>
      <c r="EC402" s="351"/>
      <c r="ED402" s="351"/>
      <c r="EE402" s="351"/>
      <c r="EF402" s="351"/>
      <c r="EG402" s="351"/>
      <c r="EH402" s="351"/>
      <c r="EI402" s="351"/>
      <c r="EJ402" s="351"/>
      <c r="EK402" s="351"/>
      <c r="EL402" s="351"/>
      <c r="EM402" s="351"/>
      <c r="EN402" s="351"/>
      <c r="EO402" s="351"/>
      <c r="EP402" s="351"/>
      <c r="EQ402" s="351"/>
      <c r="ER402" s="351"/>
      <c r="ES402" s="351"/>
      <c r="ET402" s="351"/>
      <c r="EU402" s="351"/>
      <c r="EV402" s="351"/>
      <c r="EW402" s="351"/>
      <c r="EX402" s="351"/>
      <c r="EY402" s="351"/>
      <c r="EZ402" s="351"/>
      <c r="FA402" s="351"/>
      <c r="FB402" s="351"/>
      <c r="FC402" s="351"/>
      <c r="FD402" s="351"/>
      <c r="FE402" s="351"/>
      <c r="FF402" s="351"/>
      <c r="FG402" s="351"/>
      <c r="FH402" s="351"/>
      <c r="FI402" s="351"/>
      <c r="FJ402" s="351"/>
      <c r="FK402" s="351"/>
      <c r="FL402" s="351"/>
      <c r="FM402" s="351"/>
      <c r="FN402" s="351"/>
      <c r="FO402" s="351"/>
      <c r="FP402" s="351"/>
      <c r="FQ402" s="351"/>
      <c r="FR402" s="351"/>
      <c r="FS402" s="351"/>
      <c r="FT402" s="351"/>
      <c r="FU402" s="351">
        <v>50</v>
      </c>
      <c r="FV402" s="351"/>
      <c r="FW402" s="351"/>
      <c r="FX402" s="351"/>
      <c r="FY402" s="351"/>
      <c r="FZ402" s="351"/>
      <c r="GA402" s="351"/>
      <c r="GB402" s="351"/>
      <c r="GC402" s="351"/>
      <c r="GD402" s="351"/>
      <c r="GE402" s="351"/>
      <c r="GF402" s="351"/>
      <c r="GG402" s="351"/>
      <c r="GH402" s="351"/>
      <c r="GI402" s="351"/>
      <c r="GJ402" s="351"/>
      <c r="GK402" s="351"/>
      <c r="GL402" s="351"/>
      <c r="GM402" s="351"/>
      <c r="GN402" s="351"/>
      <c r="GO402" s="351"/>
      <c r="GP402" s="351"/>
      <c r="GQ402" s="351"/>
      <c r="GR402" s="351"/>
      <c r="GS402" s="351"/>
      <c r="GT402" s="351"/>
      <c r="GU402" s="351"/>
      <c r="GV402" s="351"/>
      <c r="GW402" s="351"/>
      <c r="GX402" s="351"/>
      <c r="GY402" s="351"/>
      <c r="GZ402" s="351"/>
      <c r="HA402" s="351"/>
      <c r="HB402" s="351"/>
      <c r="HC402" s="351"/>
      <c r="HD402" s="351"/>
      <c r="HE402" s="351"/>
      <c r="HF402" s="351"/>
      <c r="HG402" s="351"/>
      <c r="HH402" s="351"/>
      <c r="HI402" s="351"/>
      <c r="HJ402" s="351"/>
      <c r="HK402" s="351"/>
      <c r="HL402" s="351"/>
      <c r="HM402" s="351"/>
      <c r="HN402" s="351"/>
      <c r="HO402" s="351"/>
      <c r="HP402" s="351"/>
      <c r="HQ402" s="351"/>
      <c r="HR402" s="351"/>
      <c r="HS402" s="351"/>
      <c r="HT402" s="351"/>
      <c r="HU402" s="351"/>
      <c r="HV402" s="351"/>
      <c r="HW402" s="351"/>
      <c r="HX402" s="351"/>
      <c r="HY402" s="351"/>
      <c r="HZ402" s="351"/>
      <c r="IA402" s="351"/>
      <c r="IB402" s="351"/>
      <c r="IC402" s="351"/>
      <c r="ID402" s="351"/>
      <c r="IE402" s="351"/>
      <c r="IF402" s="351"/>
      <c r="IG402" s="351"/>
      <c r="IH402" s="351"/>
      <c r="II402" s="351"/>
      <c r="IJ402" s="351"/>
      <c r="IK402" s="351"/>
      <c r="IL402" s="351"/>
      <c r="IM402" s="351"/>
      <c r="IN402" s="351"/>
      <c r="IO402" s="351"/>
      <c r="IP402" s="351"/>
    </row>
    <row r="403" spans="1:250" ht="15.75" customHeight="1" x14ac:dyDescent="0.25">
      <c r="A403" s="351" t="s">
        <v>1310</v>
      </c>
      <c r="B403" s="351" t="s">
        <v>1313</v>
      </c>
      <c r="C403" s="351"/>
      <c r="D403" s="351"/>
      <c r="E403" s="351"/>
      <c r="F403" s="351"/>
      <c r="G403" s="351"/>
      <c r="H403" s="351"/>
      <c r="I403" s="351"/>
      <c r="J403" s="351"/>
      <c r="K403" s="351">
        <v>5</v>
      </c>
      <c r="L403" s="351"/>
      <c r="M403" s="351"/>
      <c r="N403" s="351"/>
      <c r="O403" s="351"/>
      <c r="P403" s="351"/>
      <c r="Q403" s="351"/>
      <c r="R403" s="351"/>
      <c r="S403" s="351"/>
      <c r="T403" s="351"/>
      <c r="U403" s="351"/>
      <c r="V403" s="351"/>
      <c r="W403" s="351"/>
      <c r="X403" s="351"/>
      <c r="Y403" s="351"/>
      <c r="Z403" s="351"/>
      <c r="AA403" s="351"/>
      <c r="AB403" s="351"/>
      <c r="AC403" s="351"/>
      <c r="AD403" s="351"/>
      <c r="AE403" s="351"/>
      <c r="AF403" s="351"/>
      <c r="AG403" s="351"/>
      <c r="AH403" s="351"/>
      <c r="AI403" s="351"/>
      <c r="AJ403" s="351"/>
      <c r="AK403" s="351"/>
      <c r="AL403" s="351"/>
      <c r="AM403" s="351"/>
      <c r="AN403" s="351"/>
      <c r="AO403" s="351"/>
      <c r="AP403" s="351"/>
      <c r="AQ403" s="351"/>
      <c r="AR403" s="351"/>
      <c r="AS403" s="351"/>
      <c r="AT403" s="351"/>
      <c r="AU403" s="351"/>
      <c r="AV403" s="351"/>
      <c r="AW403" s="351"/>
      <c r="AX403" s="351"/>
      <c r="AY403" s="351"/>
      <c r="AZ403" s="351"/>
      <c r="BA403" s="351"/>
      <c r="BB403" s="351"/>
      <c r="BC403" s="351"/>
      <c r="BD403" s="351"/>
      <c r="BE403" s="351"/>
      <c r="BF403" s="351"/>
      <c r="BG403" s="351"/>
      <c r="BH403" s="351"/>
      <c r="BI403" s="351"/>
      <c r="BJ403" s="351"/>
      <c r="BK403" s="351"/>
      <c r="BL403" s="351"/>
      <c r="BM403" s="351"/>
      <c r="BN403" s="351"/>
      <c r="BO403" s="351"/>
      <c r="BP403" s="351"/>
      <c r="BQ403" s="351"/>
      <c r="BR403" s="351"/>
      <c r="BS403" s="351"/>
      <c r="BT403" s="351"/>
      <c r="BU403" s="351"/>
      <c r="BV403" s="351"/>
      <c r="BW403" s="351"/>
      <c r="BX403" s="351"/>
      <c r="BY403" s="351"/>
      <c r="BZ403" s="351"/>
      <c r="CA403" s="351"/>
      <c r="CB403" s="351"/>
      <c r="CC403" s="351"/>
      <c r="CD403" s="351"/>
      <c r="CE403" s="351"/>
      <c r="CF403" s="351"/>
      <c r="CG403" s="351"/>
      <c r="CH403" s="351"/>
      <c r="CI403" s="351"/>
      <c r="CJ403" s="351"/>
      <c r="CK403" s="351"/>
      <c r="CL403" s="351"/>
      <c r="CM403" s="351"/>
      <c r="CN403" s="351"/>
      <c r="CO403" s="351"/>
      <c r="CP403" s="351"/>
      <c r="CQ403" s="351"/>
      <c r="CR403" s="351"/>
      <c r="CS403" s="351"/>
      <c r="CT403" s="351"/>
      <c r="CU403" s="351"/>
      <c r="CV403" s="351"/>
      <c r="CW403" s="351"/>
      <c r="CX403" s="351"/>
      <c r="CY403" s="351"/>
      <c r="CZ403" s="351"/>
      <c r="DA403" s="351"/>
      <c r="DB403" s="351"/>
      <c r="DC403" s="351"/>
      <c r="DD403" s="351"/>
      <c r="DE403" s="351"/>
      <c r="DF403" s="351"/>
      <c r="DG403" s="351"/>
      <c r="DH403" s="351"/>
      <c r="DI403" s="351"/>
      <c r="DJ403" s="351"/>
      <c r="DK403" s="351"/>
      <c r="DL403" s="351"/>
      <c r="DM403" s="351"/>
      <c r="DN403" s="351"/>
      <c r="DO403" s="351"/>
      <c r="DP403" s="351"/>
      <c r="DQ403" s="351"/>
      <c r="DR403" s="351"/>
      <c r="DS403" s="351"/>
      <c r="DT403" s="351"/>
      <c r="DU403" s="351"/>
      <c r="DV403" s="351"/>
      <c r="DW403" s="351"/>
      <c r="DX403" s="351"/>
      <c r="DY403" s="351"/>
      <c r="DZ403" s="351"/>
      <c r="EA403" s="351"/>
      <c r="EB403" s="351"/>
      <c r="EC403" s="351"/>
      <c r="ED403" s="351"/>
      <c r="EE403" s="351"/>
      <c r="EF403" s="351"/>
      <c r="EG403" s="351"/>
      <c r="EH403" s="351"/>
      <c r="EI403" s="351"/>
      <c r="EJ403" s="351"/>
      <c r="EK403" s="351"/>
      <c r="EL403" s="351"/>
      <c r="EM403" s="351"/>
      <c r="EN403" s="351"/>
      <c r="EO403" s="351"/>
      <c r="EP403" s="351"/>
      <c r="EQ403" s="351"/>
      <c r="ER403" s="351"/>
      <c r="ES403" s="351"/>
      <c r="ET403" s="351"/>
      <c r="EU403" s="351"/>
      <c r="EV403" s="351"/>
      <c r="EW403" s="351"/>
      <c r="EX403" s="351"/>
      <c r="EY403" s="351"/>
      <c r="EZ403" s="351"/>
      <c r="FA403" s="351"/>
      <c r="FB403" s="351"/>
      <c r="FC403" s="351"/>
      <c r="FD403" s="351"/>
      <c r="FE403" s="351"/>
      <c r="FF403" s="351"/>
      <c r="FG403" s="351"/>
      <c r="FH403" s="351"/>
      <c r="FI403" s="351"/>
      <c r="FJ403" s="351"/>
      <c r="FK403" s="351"/>
      <c r="FL403" s="351"/>
      <c r="FM403" s="351"/>
      <c r="FN403" s="351"/>
      <c r="FO403" s="351"/>
      <c r="FP403" s="351"/>
      <c r="FQ403" s="351"/>
      <c r="FR403" s="351"/>
      <c r="FS403" s="351"/>
      <c r="FT403" s="351"/>
      <c r="FU403" s="351"/>
      <c r="FV403" s="351"/>
      <c r="FW403" s="351"/>
      <c r="FX403" s="351"/>
      <c r="FY403" s="351"/>
      <c r="FZ403" s="351"/>
      <c r="GA403" s="351"/>
      <c r="GB403" s="351"/>
      <c r="GC403" s="351"/>
      <c r="GD403" s="351"/>
      <c r="GE403" s="351"/>
      <c r="GF403" s="351"/>
      <c r="GG403" s="351"/>
      <c r="GH403" s="351"/>
      <c r="GI403" s="351"/>
      <c r="GJ403" s="351"/>
      <c r="GK403" s="351"/>
      <c r="GL403" s="351"/>
      <c r="GM403" s="351"/>
      <c r="GN403" s="351"/>
      <c r="GO403" s="351"/>
      <c r="GP403" s="351"/>
      <c r="GQ403" s="351"/>
      <c r="GR403" s="351"/>
      <c r="GS403" s="351"/>
      <c r="GT403" s="351"/>
      <c r="GU403" s="351"/>
      <c r="GV403" s="351"/>
      <c r="GW403" s="351"/>
      <c r="GX403" s="351"/>
      <c r="GY403" s="351"/>
      <c r="GZ403" s="351"/>
      <c r="HA403" s="351"/>
      <c r="HB403" s="351"/>
      <c r="HC403" s="351"/>
      <c r="HD403" s="351"/>
      <c r="HE403" s="351"/>
      <c r="HF403" s="351"/>
      <c r="HG403" s="351"/>
      <c r="HH403" s="351"/>
      <c r="HI403" s="351"/>
      <c r="HJ403" s="351"/>
      <c r="HK403" s="351"/>
      <c r="HL403" s="351"/>
      <c r="HM403" s="351"/>
      <c r="HN403" s="351"/>
      <c r="HO403" s="351"/>
      <c r="HP403" s="351"/>
      <c r="HQ403" s="351"/>
      <c r="HR403" s="351"/>
      <c r="HS403" s="351"/>
      <c r="HT403" s="351"/>
      <c r="HU403" s="351"/>
      <c r="HV403" s="351"/>
      <c r="HW403" s="351"/>
      <c r="HX403" s="351"/>
      <c r="HY403" s="351"/>
      <c r="HZ403" s="351"/>
      <c r="IA403" s="351"/>
      <c r="IB403" s="351"/>
      <c r="IC403" s="351"/>
      <c r="ID403" s="351"/>
      <c r="IE403" s="351"/>
      <c r="IF403" s="351"/>
      <c r="IG403" s="351"/>
      <c r="IH403" s="351"/>
      <c r="II403" s="351"/>
      <c r="IJ403" s="351"/>
      <c r="IK403" s="351"/>
      <c r="IL403" s="351"/>
      <c r="IM403" s="351"/>
      <c r="IN403" s="351"/>
      <c r="IO403" s="351"/>
      <c r="IP403" s="351"/>
    </row>
    <row r="404" spans="1:250" ht="15.75" customHeight="1" x14ac:dyDescent="0.25">
      <c r="A404" s="351" t="s">
        <v>524</v>
      </c>
      <c r="B404" s="351" t="s">
        <v>1316</v>
      </c>
      <c r="C404" s="351"/>
      <c r="D404" s="351"/>
      <c r="E404" s="351"/>
      <c r="F404" s="351"/>
      <c r="G404" s="351"/>
      <c r="H404" s="351"/>
      <c r="I404" s="351"/>
      <c r="J404" s="351"/>
      <c r="K404" s="351"/>
      <c r="L404" s="351"/>
      <c r="M404" s="351"/>
      <c r="N404" s="351"/>
      <c r="O404" s="351"/>
      <c r="P404" s="351">
        <v>50</v>
      </c>
      <c r="Q404" s="351">
        <v>10</v>
      </c>
      <c r="R404" s="351"/>
      <c r="S404" s="351"/>
      <c r="T404" s="351"/>
      <c r="U404" s="351"/>
      <c r="V404" s="351"/>
      <c r="W404" s="351"/>
      <c r="X404" s="351"/>
      <c r="Y404" s="351"/>
      <c r="Z404" s="351"/>
      <c r="AA404" s="351"/>
      <c r="AB404" s="351"/>
      <c r="AC404" s="351"/>
      <c r="AD404" s="351"/>
      <c r="AE404" s="351"/>
      <c r="AF404" s="351"/>
      <c r="AG404" s="351"/>
      <c r="AH404" s="351"/>
      <c r="AI404" s="351"/>
      <c r="AJ404" s="351"/>
      <c r="AK404" s="351"/>
      <c r="AL404" s="351"/>
      <c r="AM404" s="351"/>
      <c r="AN404" s="351"/>
      <c r="AO404" s="351"/>
      <c r="AP404" s="351"/>
      <c r="AQ404" s="351"/>
      <c r="AR404" s="351"/>
      <c r="AS404" s="351"/>
      <c r="AT404" s="351"/>
      <c r="AU404" s="351"/>
      <c r="AV404" s="351"/>
      <c r="AW404" s="351"/>
      <c r="AX404" s="351"/>
      <c r="AY404" s="351"/>
      <c r="AZ404" s="351"/>
      <c r="BA404" s="351"/>
      <c r="BB404" s="351"/>
      <c r="BC404" s="351"/>
      <c r="BD404" s="351"/>
      <c r="BE404" s="351"/>
      <c r="BF404" s="351"/>
      <c r="BG404" s="351"/>
      <c r="BH404" s="351"/>
      <c r="BI404" s="351"/>
      <c r="BJ404" s="351"/>
      <c r="BK404" s="351"/>
      <c r="BL404" s="351"/>
      <c r="BM404" s="351"/>
      <c r="BN404" s="351"/>
      <c r="BO404" s="351">
        <v>192</v>
      </c>
      <c r="BP404" s="351"/>
      <c r="BQ404" s="351"/>
      <c r="BR404" s="351"/>
      <c r="BS404" s="351"/>
      <c r="BT404" s="351"/>
      <c r="BU404" s="351"/>
      <c r="BV404" s="351"/>
      <c r="BW404" s="351"/>
      <c r="BX404" s="351"/>
      <c r="BY404" s="351"/>
      <c r="BZ404" s="351"/>
      <c r="CA404" s="351"/>
      <c r="CB404" s="351"/>
      <c r="CC404" s="351"/>
      <c r="CD404" s="351"/>
      <c r="CE404" s="351"/>
      <c r="CF404" s="351"/>
      <c r="CG404" s="351"/>
      <c r="CH404" s="351"/>
      <c r="CI404" s="351"/>
      <c r="CJ404" s="351"/>
      <c r="CK404" s="351"/>
      <c r="CL404" s="351"/>
      <c r="CM404" s="351"/>
      <c r="CN404" s="351"/>
      <c r="CO404" s="351"/>
      <c r="CP404" s="351"/>
      <c r="CQ404" s="351"/>
      <c r="CR404" s="351"/>
      <c r="CS404" s="351"/>
      <c r="CT404" s="351"/>
      <c r="CU404" s="351"/>
      <c r="CV404" s="351"/>
      <c r="CW404" s="351"/>
      <c r="CX404" s="351"/>
      <c r="CY404" s="351"/>
      <c r="CZ404" s="351"/>
      <c r="DA404" s="351"/>
      <c r="DB404" s="351"/>
      <c r="DC404" s="351"/>
      <c r="DD404" s="351"/>
      <c r="DE404" s="351"/>
      <c r="DF404" s="351"/>
      <c r="DG404" s="351"/>
      <c r="DH404" s="351"/>
      <c r="DI404" s="351"/>
      <c r="DJ404" s="351"/>
      <c r="DK404" s="351"/>
      <c r="DL404" s="351"/>
      <c r="DM404" s="351"/>
      <c r="DN404" s="351"/>
      <c r="DO404" s="351"/>
      <c r="DP404" s="351"/>
      <c r="DQ404" s="351"/>
      <c r="DR404" s="351"/>
      <c r="DS404" s="351"/>
      <c r="DT404" s="351"/>
      <c r="DU404" s="351"/>
      <c r="DV404" s="351"/>
      <c r="DW404" s="351"/>
      <c r="DX404" s="351"/>
      <c r="DY404" s="351"/>
      <c r="DZ404" s="351"/>
      <c r="EA404" s="351"/>
      <c r="EB404" s="351"/>
      <c r="EC404" s="351"/>
      <c r="ED404" s="351"/>
      <c r="EE404" s="351"/>
      <c r="EF404" s="351"/>
      <c r="EG404" s="351"/>
      <c r="EH404" s="351"/>
      <c r="EI404" s="351"/>
      <c r="EJ404" s="351"/>
      <c r="EK404" s="351"/>
      <c r="EL404" s="351"/>
      <c r="EM404" s="351"/>
      <c r="EN404" s="351"/>
      <c r="EO404" s="351"/>
      <c r="EP404" s="351"/>
      <c r="EQ404" s="351"/>
      <c r="ER404" s="351"/>
      <c r="ES404" s="351"/>
      <c r="ET404" s="351"/>
      <c r="EU404" s="351"/>
      <c r="EV404" s="351"/>
      <c r="EW404" s="351"/>
      <c r="EX404" s="351"/>
      <c r="EY404" s="351"/>
      <c r="EZ404" s="351"/>
      <c r="FA404" s="351"/>
      <c r="FB404" s="351"/>
      <c r="FC404" s="351"/>
      <c r="FD404" s="351"/>
      <c r="FE404" s="351"/>
      <c r="FF404" s="351"/>
      <c r="FG404" s="351"/>
      <c r="FH404" s="351"/>
      <c r="FI404" s="351"/>
      <c r="FJ404" s="351"/>
      <c r="FK404" s="351"/>
      <c r="FL404" s="351"/>
      <c r="FM404" s="351"/>
      <c r="FN404" s="351"/>
      <c r="FO404" s="351"/>
      <c r="FP404" s="351"/>
      <c r="FQ404" s="351"/>
      <c r="FR404" s="351"/>
      <c r="FS404" s="351"/>
      <c r="FT404" s="351"/>
      <c r="FU404" s="351"/>
      <c r="FV404" s="351"/>
      <c r="FW404" s="351"/>
      <c r="FX404" s="351"/>
      <c r="FY404" s="351"/>
      <c r="FZ404" s="351"/>
      <c r="GA404" s="351"/>
      <c r="GB404" s="351"/>
      <c r="GC404" s="351"/>
      <c r="GD404" s="351"/>
      <c r="GE404" s="351"/>
      <c r="GF404" s="351"/>
      <c r="GG404" s="351"/>
      <c r="GH404" s="351"/>
      <c r="GI404" s="351"/>
      <c r="GJ404" s="351"/>
      <c r="GK404" s="351"/>
      <c r="GL404" s="351"/>
      <c r="GM404" s="351"/>
      <c r="GN404" s="351"/>
      <c r="GO404" s="351"/>
      <c r="GP404" s="351"/>
      <c r="GQ404" s="351"/>
      <c r="GR404" s="351"/>
      <c r="GS404" s="351"/>
      <c r="GT404" s="351"/>
      <c r="GU404" s="351"/>
      <c r="GV404" s="351"/>
      <c r="GW404" s="351"/>
      <c r="GX404" s="351"/>
      <c r="GY404" s="351"/>
      <c r="GZ404" s="351"/>
      <c r="HA404" s="351"/>
      <c r="HB404" s="351"/>
      <c r="HC404" s="351"/>
      <c r="HD404" s="351"/>
      <c r="HE404" s="351"/>
      <c r="HF404" s="351"/>
      <c r="HG404" s="351"/>
      <c r="HH404" s="351"/>
      <c r="HI404" s="351"/>
      <c r="HJ404" s="351"/>
      <c r="HK404" s="351"/>
      <c r="HL404" s="351"/>
      <c r="HM404" s="351"/>
      <c r="HN404" s="351"/>
      <c r="HO404" s="351"/>
      <c r="HP404" s="351"/>
      <c r="HQ404" s="351"/>
      <c r="HR404" s="351"/>
      <c r="HS404" s="351"/>
      <c r="HT404" s="351"/>
      <c r="HU404" s="351"/>
      <c r="HV404" s="351"/>
      <c r="HW404" s="351"/>
      <c r="HX404" s="351"/>
      <c r="HY404" s="351"/>
      <c r="HZ404" s="351"/>
      <c r="IA404" s="351"/>
      <c r="IB404" s="351"/>
      <c r="IC404" s="351"/>
      <c r="ID404" s="351"/>
      <c r="IE404" s="351"/>
      <c r="IF404" s="351"/>
      <c r="IG404" s="351"/>
      <c r="IH404" s="351"/>
      <c r="II404" s="351"/>
      <c r="IJ404" s="351"/>
      <c r="IK404" s="351"/>
      <c r="IL404" s="351"/>
      <c r="IM404" s="351"/>
      <c r="IN404" s="351"/>
      <c r="IO404" s="351"/>
      <c r="IP404" s="351"/>
    </row>
    <row r="405" spans="1:250" ht="15.75" customHeight="1" x14ac:dyDescent="0.25">
      <c r="A405" s="351" t="s">
        <v>1318</v>
      </c>
      <c r="B405" s="351" t="s">
        <v>1319</v>
      </c>
      <c r="C405" s="351"/>
      <c r="D405" s="351">
        <v>40</v>
      </c>
      <c r="E405" s="351"/>
      <c r="F405" s="80">
        <v>45</v>
      </c>
      <c r="G405" s="351"/>
      <c r="H405" s="351">
        <v>10</v>
      </c>
      <c r="I405" s="351"/>
      <c r="J405" s="351">
        <v>25</v>
      </c>
      <c r="K405" s="351"/>
      <c r="L405" s="351">
        <v>60</v>
      </c>
      <c r="M405" s="351"/>
      <c r="N405" s="351"/>
      <c r="O405" s="351"/>
      <c r="P405" s="351"/>
      <c r="Q405" s="351"/>
      <c r="R405" s="351"/>
      <c r="S405" s="351"/>
      <c r="T405" s="351"/>
      <c r="U405" s="351"/>
      <c r="V405" s="351"/>
      <c r="W405" s="351"/>
      <c r="X405" s="351">
        <v>40</v>
      </c>
      <c r="Y405" s="351">
        <v>50</v>
      </c>
      <c r="Z405" s="351">
        <v>20</v>
      </c>
      <c r="AA405" s="351"/>
      <c r="AB405" s="351"/>
      <c r="AC405" s="351">
        <v>20</v>
      </c>
      <c r="AD405" s="351"/>
      <c r="AE405" s="351"/>
      <c r="AF405" s="351"/>
      <c r="AG405" s="351"/>
      <c r="AH405" s="351"/>
      <c r="AI405" s="351"/>
      <c r="AJ405" s="80">
        <v>90</v>
      </c>
      <c r="AK405" s="351">
        <v>70</v>
      </c>
      <c r="AL405" s="351"/>
      <c r="AM405" s="351"/>
      <c r="AN405" s="351"/>
      <c r="AO405" s="351"/>
      <c r="AP405" s="351">
        <v>10</v>
      </c>
      <c r="AQ405" s="351"/>
      <c r="AR405" s="351"/>
      <c r="AS405" s="351"/>
      <c r="AT405" s="351"/>
      <c r="AU405" s="351"/>
      <c r="AV405" s="351"/>
      <c r="AW405" s="351"/>
      <c r="AX405" s="351"/>
      <c r="AY405" s="351"/>
      <c r="AZ405" s="351"/>
      <c r="BA405" s="351"/>
      <c r="BB405" s="351"/>
      <c r="BC405" s="351"/>
      <c r="BD405" s="351"/>
      <c r="BE405" s="351"/>
      <c r="BF405" s="351"/>
      <c r="BG405" s="351"/>
      <c r="BH405" s="351"/>
      <c r="BI405" s="351"/>
      <c r="BJ405" s="351"/>
      <c r="BK405" s="351"/>
      <c r="BL405" s="351"/>
      <c r="BM405" s="351"/>
      <c r="BN405" s="351"/>
      <c r="BO405" s="351"/>
      <c r="BP405" s="351"/>
      <c r="BQ405" s="351"/>
      <c r="BR405" s="351"/>
      <c r="BS405" s="351"/>
      <c r="BT405" s="351"/>
      <c r="BU405" s="351"/>
      <c r="BV405" s="351"/>
      <c r="BW405" s="351"/>
      <c r="BX405" s="351"/>
      <c r="BY405" s="351"/>
      <c r="BZ405" s="351"/>
      <c r="CA405" s="351"/>
      <c r="CB405" s="351"/>
      <c r="CC405" s="351">
        <v>50</v>
      </c>
      <c r="CD405" s="351">
        <v>130</v>
      </c>
      <c r="CE405" s="351"/>
      <c r="CF405" s="351"/>
      <c r="CG405" s="351"/>
      <c r="CH405" s="351"/>
      <c r="CI405" s="351"/>
      <c r="CJ405" s="351">
        <v>15</v>
      </c>
      <c r="CK405" s="351"/>
      <c r="CL405" s="351">
        <v>20</v>
      </c>
      <c r="CM405" s="351"/>
      <c r="CN405" s="351"/>
      <c r="CO405" s="351"/>
      <c r="CP405" s="351"/>
      <c r="CQ405" s="351"/>
      <c r="CR405" s="351"/>
      <c r="CS405" s="351"/>
      <c r="CT405" s="351"/>
      <c r="CU405" s="351"/>
      <c r="CV405" s="351"/>
      <c r="CW405" s="351"/>
      <c r="CX405" s="351"/>
      <c r="CY405" s="351"/>
      <c r="CZ405" s="351"/>
      <c r="DA405" s="351"/>
      <c r="DB405" s="351"/>
      <c r="DC405" s="351"/>
      <c r="DD405" s="351"/>
      <c r="DE405" s="351"/>
      <c r="DF405" s="351"/>
      <c r="DG405" s="351"/>
      <c r="DH405" s="351"/>
      <c r="DI405" s="351"/>
      <c r="DJ405" s="351"/>
      <c r="DK405" s="351"/>
      <c r="DL405" s="351"/>
      <c r="DM405" s="351"/>
      <c r="DN405" s="351"/>
      <c r="DO405" s="351"/>
      <c r="DP405" s="351"/>
      <c r="DQ405" s="351"/>
      <c r="DR405" s="351"/>
      <c r="DS405" s="351"/>
      <c r="DT405" s="351"/>
      <c r="DU405" s="351"/>
      <c r="DV405" s="351"/>
      <c r="DW405" s="351"/>
      <c r="DX405" s="351"/>
      <c r="DY405" s="351"/>
      <c r="DZ405" s="351"/>
      <c r="EA405" s="351"/>
      <c r="EB405" s="351"/>
      <c r="EC405" s="351"/>
      <c r="ED405" s="351"/>
      <c r="EE405" s="351"/>
      <c r="EF405" s="351"/>
      <c r="EG405" s="351"/>
      <c r="EH405" s="351"/>
      <c r="EI405" s="351"/>
      <c r="EJ405" s="351"/>
      <c r="EK405" s="351"/>
      <c r="EL405" s="351"/>
      <c r="EM405" s="351"/>
      <c r="EN405" s="351"/>
      <c r="EO405" s="351"/>
      <c r="EP405" s="351"/>
      <c r="EQ405" s="351"/>
      <c r="ER405" s="351"/>
      <c r="ES405" s="351"/>
      <c r="ET405" s="351"/>
      <c r="EU405" s="351"/>
      <c r="EV405" s="351"/>
      <c r="EW405" s="351"/>
      <c r="EX405" s="351"/>
      <c r="EY405" s="351"/>
      <c r="EZ405" s="351"/>
      <c r="FA405" s="351"/>
      <c r="FB405" s="351"/>
      <c r="FC405" s="351"/>
      <c r="FD405" s="351"/>
      <c r="FE405" s="351"/>
      <c r="FF405" s="351"/>
      <c r="FG405" s="351"/>
      <c r="FH405" s="351"/>
      <c r="FI405" s="351"/>
      <c r="FJ405" s="351"/>
      <c r="FK405" s="351"/>
      <c r="FL405" s="351"/>
      <c r="FM405" s="351"/>
      <c r="FN405" s="351"/>
      <c r="FO405" s="351"/>
      <c r="FP405" s="351"/>
      <c r="FQ405" s="351"/>
      <c r="FR405" s="351"/>
      <c r="FS405" s="351"/>
      <c r="FT405" s="351"/>
      <c r="FU405" s="351"/>
      <c r="FV405" s="351"/>
      <c r="FW405" s="351"/>
      <c r="FX405" s="351"/>
      <c r="FY405" s="351"/>
      <c r="FZ405" s="351"/>
      <c r="GA405" s="351"/>
      <c r="GB405" s="351"/>
      <c r="GC405" s="351"/>
      <c r="GD405" s="351"/>
      <c r="GE405" s="351"/>
      <c r="GF405" s="351"/>
      <c r="GG405" s="351"/>
      <c r="GH405" s="351"/>
      <c r="GI405" s="351"/>
      <c r="GJ405" s="351"/>
      <c r="GK405" s="351"/>
      <c r="GL405" s="351"/>
      <c r="GM405" s="351"/>
      <c r="GN405" s="351"/>
      <c r="GO405" s="351"/>
      <c r="GP405" s="351"/>
      <c r="GQ405" s="351"/>
      <c r="GR405" s="351"/>
      <c r="GS405" s="351"/>
      <c r="GT405" s="351"/>
      <c r="GU405" s="351"/>
      <c r="GV405" s="351"/>
      <c r="GW405" s="351"/>
      <c r="GX405" s="351"/>
      <c r="GY405" s="351"/>
      <c r="GZ405" s="351"/>
      <c r="HA405" s="351"/>
      <c r="HB405" s="351"/>
      <c r="HC405" s="351"/>
      <c r="HD405" s="351"/>
      <c r="HE405" s="351"/>
      <c r="HF405" s="351"/>
      <c r="HG405" s="351"/>
      <c r="HH405" s="351"/>
      <c r="HI405" s="351"/>
      <c r="HJ405" s="351"/>
      <c r="HK405" s="351"/>
      <c r="HL405" s="351"/>
      <c r="HM405" s="351"/>
      <c r="HN405" s="351"/>
      <c r="HO405" s="351"/>
      <c r="HP405" s="351"/>
      <c r="HQ405" s="351"/>
      <c r="HR405" s="351"/>
      <c r="HS405" s="351"/>
      <c r="HT405" s="351"/>
      <c r="HU405" s="351"/>
      <c r="HV405" s="351"/>
      <c r="HW405" s="351"/>
      <c r="HX405" s="351"/>
      <c r="HY405" s="351"/>
      <c r="HZ405" s="351"/>
      <c r="IA405" s="351"/>
      <c r="IB405" s="351"/>
      <c r="IC405" s="351"/>
      <c r="ID405" s="351"/>
      <c r="IE405" s="351"/>
      <c r="IF405" s="351"/>
      <c r="IG405" s="351"/>
      <c r="IH405" s="351"/>
      <c r="II405" s="351"/>
      <c r="IJ405" s="351"/>
      <c r="IK405" s="351"/>
      <c r="IL405" s="351"/>
      <c r="IM405" s="351"/>
      <c r="IN405" s="351"/>
      <c r="IO405" s="351"/>
      <c r="IP405" s="351"/>
    </row>
    <row r="406" spans="1:250" ht="15.75" customHeight="1" x14ac:dyDescent="0.25">
      <c r="A406" s="351" t="s">
        <v>1318</v>
      </c>
      <c r="B406" s="351" t="s">
        <v>1321</v>
      </c>
      <c r="C406" s="351"/>
      <c r="D406" s="351">
        <v>20</v>
      </c>
      <c r="E406" s="351"/>
      <c r="F406" s="80">
        <v>45</v>
      </c>
      <c r="G406" s="351"/>
      <c r="H406" s="351">
        <v>10</v>
      </c>
      <c r="I406" s="351"/>
      <c r="J406" s="351"/>
      <c r="K406" s="351"/>
      <c r="L406" s="351">
        <v>20</v>
      </c>
      <c r="M406" s="351"/>
      <c r="N406" s="351"/>
      <c r="O406" s="351"/>
      <c r="P406" s="351"/>
      <c r="Q406" s="351">
        <v>10</v>
      </c>
      <c r="R406" s="351"/>
      <c r="S406" s="351"/>
      <c r="T406" s="351"/>
      <c r="U406" s="351"/>
      <c r="V406" s="351"/>
      <c r="W406" s="351"/>
      <c r="X406" s="351"/>
      <c r="Y406" s="351">
        <v>50</v>
      </c>
      <c r="Z406" s="351"/>
      <c r="AA406" s="351"/>
      <c r="AB406" s="351"/>
      <c r="AC406" s="351"/>
      <c r="AD406" s="351"/>
      <c r="AE406" s="351"/>
      <c r="AF406" s="351"/>
      <c r="AG406" s="351"/>
      <c r="AH406" s="351"/>
      <c r="AI406" s="351"/>
      <c r="AJ406" s="80">
        <v>50</v>
      </c>
      <c r="AK406" s="351">
        <v>100</v>
      </c>
      <c r="AL406" s="351"/>
      <c r="AM406" s="351"/>
      <c r="AN406" s="351"/>
      <c r="AO406" s="351"/>
      <c r="AP406" s="351"/>
      <c r="AQ406" s="351"/>
      <c r="AR406" s="351"/>
      <c r="AS406" s="351"/>
      <c r="AT406" s="351"/>
      <c r="AU406" s="351"/>
      <c r="AV406" s="351"/>
      <c r="AW406" s="351"/>
      <c r="AX406" s="351"/>
      <c r="AY406" s="351"/>
      <c r="AZ406" s="351"/>
      <c r="BA406" s="351"/>
      <c r="BB406" s="351"/>
      <c r="BC406" s="351"/>
      <c r="BD406" s="351"/>
      <c r="BE406" s="351"/>
      <c r="BF406" s="351"/>
      <c r="BG406" s="351"/>
      <c r="BH406" s="351"/>
      <c r="BI406" s="351"/>
      <c r="BJ406" s="351"/>
      <c r="BK406" s="351"/>
      <c r="BL406" s="351"/>
      <c r="BM406" s="351"/>
      <c r="BN406" s="351"/>
      <c r="BO406" s="351"/>
      <c r="BP406" s="351"/>
      <c r="BQ406" s="351"/>
      <c r="BR406" s="351"/>
      <c r="BS406" s="351"/>
      <c r="BT406" s="351"/>
      <c r="BU406" s="351"/>
      <c r="BV406" s="351"/>
      <c r="BW406" s="351"/>
      <c r="BX406" s="351">
        <v>30</v>
      </c>
      <c r="BY406" s="351"/>
      <c r="BZ406" s="351"/>
      <c r="CA406" s="351"/>
      <c r="CB406" s="351"/>
      <c r="CC406" s="351"/>
      <c r="CD406" s="351"/>
      <c r="CE406" s="351"/>
      <c r="CF406" s="351"/>
      <c r="CG406" s="351"/>
      <c r="CH406" s="351"/>
      <c r="CI406" s="351"/>
      <c r="CJ406" s="351"/>
      <c r="CK406" s="351"/>
      <c r="CL406" s="351"/>
      <c r="CM406" s="351"/>
      <c r="CN406" s="351"/>
      <c r="CO406" s="351"/>
      <c r="CP406" s="351"/>
      <c r="CQ406" s="351"/>
      <c r="CR406" s="351"/>
      <c r="CS406" s="351"/>
      <c r="CT406" s="351"/>
      <c r="CU406" s="351"/>
      <c r="CV406" s="351"/>
      <c r="CW406" s="351"/>
      <c r="CX406" s="351"/>
      <c r="CY406" s="351"/>
      <c r="CZ406" s="351"/>
      <c r="DA406" s="351"/>
      <c r="DB406" s="351"/>
      <c r="DC406" s="351"/>
      <c r="DD406" s="351"/>
      <c r="DE406" s="351"/>
      <c r="DF406" s="351"/>
      <c r="DG406" s="351"/>
      <c r="DH406" s="351"/>
      <c r="DI406" s="351"/>
      <c r="DJ406" s="351"/>
      <c r="DK406" s="351"/>
      <c r="DL406" s="351"/>
      <c r="DM406" s="351"/>
      <c r="DN406" s="351"/>
      <c r="DO406" s="351"/>
      <c r="DP406" s="351"/>
      <c r="DQ406" s="351"/>
      <c r="DR406" s="351"/>
      <c r="DS406" s="351"/>
      <c r="DT406" s="351"/>
      <c r="DU406" s="351"/>
      <c r="DV406" s="351"/>
      <c r="DW406" s="351"/>
      <c r="DX406" s="351"/>
      <c r="DY406" s="351"/>
      <c r="DZ406" s="351"/>
      <c r="EA406" s="351"/>
      <c r="EB406" s="351"/>
      <c r="EC406" s="351"/>
      <c r="ED406" s="351"/>
      <c r="EE406" s="351"/>
      <c r="EF406" s="351"/>
      <c r="EG406" s="351"/>
      <c r="EH406" s="351"/>
      <c r="EI406" s="351"/>
      <c r="EJ406" s="351"/>
      <c r="EK406" s="351"/>
      <c r="EL406" s="351"/>
      <c r="EM406" s="351"/>
      <c r="EN406" s="351"/>
      <c r="EO406" s="351"/>
      <c r="EP406" s="351"/>
      <c r="EQ406" s="351"/>
      <c r="ER406" s="351"/>
      <c r="ES406" s="351"/>
      <c r="ET406" s="351"/>
      <c r="EU406" s="351"/>
      <c r="EV406" s="351"/>
      <c r="EW406" s="351"/>
      <c r="EX406" s="351"/>
      <c r="EY406" s="351"/>
      <c r="EZ406" s="351"/>
      <c r="FA406" s="351"/>
      <c r="FB406" s="351"/>
      <c r="FC406" s="351"/>
      <c r="FD406" s="351"/>
      <c r="FE406" s="351"/>
      <c r="FF406" s="351"/>
      <c r="FG406" s="351"/>
      <c r="FH406" s="351"/>
      <c r="FI406" s="351"/>
      <c r="FJ406" s="351"/>
      <c r="FK406" s="351"/>
      <c r="FL406" s="351"/>
      <c r="FM406" s="351"/>
      <c r="FN406" s="351"/>
      <c r="FO406" s="351"/>
      <c r="FP406" s="351"/>
      <c r="FQ406" s="351"/>
      <c r="FR406" s="351"/>
      <c r="FS406" s="351"/>
      <c r="FT406" s="351"/>
      <c r="FU406" s="351"/>
      <c r="FV406" s="351"/>
      <c r="FW406" s="351"/>
      <c r="FX406" s="351"/>
      <c r="FY406" s="351"/>
      <c r="FZ406" s="351"/>
      <c r="GA406" s="351"/>
      <c r="GB406" s="351"/>
      <c r="GC406" s="351"/>
      <c r="GD406" s="351"/>
      <c r="GE406" s="351"/>
      <c r="GF406" s="351"/>
      <c r="GG406" s="351"/>
      <c r="GH406" s="351"/>
      <c r="GI406" s="351"/>
      <c r="GJ406" s="351"/>
      <c r="GK406" s="351"/>
      <c r="GL406" s="351"/>
      <c r="GM406" s="351"/>
      <c r="GN406" s="351"/>
      <c r="GO406" s="351"/>
      <c r="GP406" s="351"/>
      <c r="GQ406" s="351"/>
      <c r="GR406" s="351"/>
      <c r="GS406" s="351"/>
      <c r="GT406" s="351"/>
      <c r="GU406" s="351"/>
      <c r="GV406" s="351"/>
      <c r="GW406" s="351"/>
      <c r="GX406" s="351"/>
      <c r="GY406" s="351"/>
      <c r="GZ406" s="351"/>
      <c r="HA406" s="351"/>
      <c r="HB406" s="351"/>
      <c r="HC406" s="351"/>
      <c r="HD406" s="351"/>
      <c r="HE406" s="351"/>
      <c r="HF406" s="351"/>
      <c r="HG406" s="351"/>
      <c r="HH406" s="351"/>
      <c r="HI406" s="351"/>
      <c r="HJ406" s="351"/>
      <c r="HK406" s="351"/>
      <c r="HL406" s="351"/>
      <c r="HM406" s="351"/>
      <c r="HN406" s="351"/>
      <c r="HO406" s="351"/>
      <c r="HP406" s="351"/>
      <c r="HQ406" s="351"/>
      <c r="HR406" s="351"/>
      <c r="HS406" s="351"/>
      <c r="HT406" s="351"/>
      <c r="HU406" s="351"/>
      <c r="HV406" s="351"/>
      <c r="HW406" s="351"/>
      <c r="HX406" s="351"/>
      <c r="HY406" s="351"/>
      <c r="HZ406" s="351"/>
      <c r="IA406" s="351"/>
      <c r="IB406" s="351"/>
      <c r="IC406" s="351"/>
      <c r="ID406" s="351"/>
      <c r="IE406" s="351"/>
      <c r="IF406" s="351"/>
      <c r="IG406" s="351"/>
      <c r="IH406" s="351"/>
      <c r="II406" s="351"/>
      <c r="IJ406" s="351"/>
      <c r="IK406" s="351"/>
      <c r="IL406" s="351"/>
      <c r="IM406" s="351"/>
      <c r="IN406" s="351"/>
      <c r="IO406" s="351"/>
      <c r="IP406" s="351"/>
    </row>
    <row r="407" spans="1:250" ht="15.75" customHeight="1" x14ac:dyDescent="0.25">
      <c r="A407" s="351" t="s">
        <v>1318</v>
      </c>
      <c r="B407" s="351" t="s">
        <v>1324</v>
      </c>
      <c r="C407" s="351"/>
      <c r="D407" s="351">
        <v>20</v>
      </c>
      <c r="E407" s="351"/>
      <c r="F407" s="80">
        <v>45</v>
      </c>
      <c r="G407" s="351"/>
      <c r="H407" s="351">
        <v>10</v>
      </c>
      <c r="I407" s="351"/>
      <c r="J407" s="351">
        <v>20</v>
      </c>
      <c r="K407" s="351"/>
      <c r="L407" s="351"/>
      <c r="M407" s="351"/>
      <c r="N407" s="351"/>
      <c r="O407" s="351"/>
      <c r="P407" s="351">
        <v>50</v>
      </c>
      <c r="Q407" s="351">
        <v>5</v>
      </c>
      <c r="R407" s="351"/>
      <c r="S407" s="351"/>
      <c r="T407" s="351"/>
      <c r="U407" s="351">
        <v>10</v>
      </c>
      <c r="V407" s="351">
        <v>10</v>
      </c>
      <c r="W407" s="351"/>
      <c r="X407" s="351">
        <v>30</v>
      </c>
      <c r="Y407" s="351">
        <v>40</v>
      </c>
      <c r="Z407" s="351"/>
      <c r="AA407" s="351"/>
      <c r="AB407" s="351"/>
      <c r="AC407" s="351">
        <v>5</v>
      </c>
      <c r="AD407" s="351"/>
      <c r="AE407" s="351">
        <v>20</v>
      </c>
      <c r="AF407" s="351"/>
      <c r="AG407" s="351"/>
      <c r="AH407" s="351"/>
      <c r="AI407" s="351"/>
      <c r="AJ407" s="80">
        <v>40</v>
      </c>
      <c r="AK407" s="351">
        <v>40</v>
      </c>
      <c r="AL407" s="351"/>
      <c r="AM407" s="351"/>
      <c r="AN407" s="351"/>
      <c r="AO407" s="351"/>
      <c r="AP407" s="351">
        <v>10</v>
      </c>
      <c r="AQ407" s="351"/>
      <c r="AR407" s="351"/>
      <c r="AS407" s="351"/>
      <c r="AT407" s="351"/>
      <c r="AU407" s="351"/>
      <c r="AV407" s="351"/>
      <c r="AW407" s="351"/>
      <c r="AX407" s="351"/>
      <c r="AY407" s="351"/>
      <c r="AZ407" s="351"/>
      <c r="BA407" s="351"/>
      <c r="BB407" s="351"/>
      <c r="BC407" s="351"/>
      <c r="BD407" s="351"/>
      <c r="BE407" s="351"/>
      <c r="BF407" s="351"/>
      <c r="BG407" s="351"/>
      <c r="BH407" s="351"/>
      <c r="BI407" s="351"/>
      <c r="BJ407" s="351"/>
      <c r="BK407" s="351"/>
      <c r="BL407" s="351"/>
      <c r="BM407" s="351"/>
      <c r="BN407" s="351"/>
      <c r="BO407" s="351"/>
      <c r="BP407" s="351"/>
      <c r="BQ407" s="351"/>
      <c r="BR407" s="351"/>
      <c r="BS407" s="351"/>
      <c r="BT407" s="351"/>
      <c r="BU407" s="351"/>
      <c r="BV407" s="351"/>
      <c r="BW407" s="351"/>
      <c r="BX407" s="351">
        <v>50</v>
      </c>
      <c r="BY407" s="351"/>
      <c r="BZ407" s="351">
        <v>20</v>
      </c>
      <c r="CA407" s="351"/>
      <c r="CB407" s="351"/>
      <c r="CC407" s="351"/>
      <c r="CD407" s="351">
        <v>100</v>
      </c>
      <c r="CE407" s="351"/>
      <c r="CF407" s="351"/>
      <c r="CG407" s="351"/>
      <c r="CH407" s="351"/>
      <c r="CI407" s="351"/>
      <c r="CJ407" s="351">
        <v>25</v>
      </c>
      <c r="CK407" s="351"/>
      <c r="CL407" s="351"/>
      <c r="CM407" s="351">
        <v>15</v>
      </c>
      <c r="CN407" s="351"/>
      <c r="CO407" s="351"/>
      <c r="CP407" s="351"/>
      <c r="CQ407" s="351"/>
      <c r="CR407" s="351"/>
      <c r="CS407" s="351"/>
      <c r="CT407" s="351"/>
      <c r="CU407" s="351"/>
      <c r="CV407" s="351"/>
      <c r="CW407" s="351"/>
      <c r="CX407" s="351"/>
      <c r="CY407" s="351"/>
      <c r="CZ407" s="351"/>
      <c r="DA407" s="351"/>
      <c r="DB407" s="351"/>
      <c r="DC407" s="351"/>
      <c r="DD407" s="351"/>
      <c r="DE407" s="351">
        <v>6</v>
      </c>
      <c r="DF407" s="351"/>
      <c r="DG407" s="351"/>
      <c r="DH407" s="351"/>
      <c r="DI407" s="351"/>
      <c r="DJ407" s="351"/>
      <c r="DK407" s="351"/>
      <c r="DL407" s="351"/>
      <c r="DM407" s="351"/>
      <c r="DN407" s="351"/>
      <c r="DO407" s="351"/>
      <c r="DP407" s="351"/>
      <c r="DQ407" s="351">
        <v>8</v>
      </c>
      <c r="DR407" s="351">
        <v>18</v>
      </c>
      <c r="DS407" s="351"/>
      <c r="DT407" s="351"/>
      <c r="DU407" s="351"/>
      <c r="DV407" s="351"/>
      <c r="DW407" s="351"/>
      <c r="DX407" s="351">
        <v>6</v>
      </c>
      <c r="DY407" s="351"/>
      <c r="DZ407" s="351"/>
      <c r="EA407" s="351"/>
      <c r="EB407" s="351"/>
      <c r="EC407" s="351">
        <v>6</v>
      </c>
      <c r="ED407" s="351"/>
      <c r="EE407" s="351"/>
      <c r="EF407" s="351"/>
      <c r="EG407" s="351"/>
      <c r="EH407" s="351"/>
      <c r="EI407" s="351"/>
      <c r="EJ407" s="351"/>
      <c r="EK407" s="351"/>
      <c r="EL407" s="351"/>
      <c r="EM407" s="351"/>
      <c r="EN407" s="351"/>
      <c r="EO407" s="351"/>
      <c r="EP407" s="351"/>
      <c r="EQ407" s="351"/>
      <c r="ER407" s="351"/>
      <c r="ES407" s="351"/>
      <c r="ET407" s="351"/>
      <c r="EU407" s="351"/>
      <c r="EV407" s="351"/>
      <c r="EW407" s="351"/>
      <c r="EX407" s="351"/>
      <c r="EY407" s="351"/>
      <c r="EZ407" s="351"/>
      <c r="FA407" s="351"/>
      <c r="FB407" s="351"/>
      <c r="FC407" s="351"/>
      <c r="FD407" s="351"/>
      <c r="FE407" s="351"/>
      <c r="FF407" s="351"/>
      <c r="FG407" s="351"/>
      <c r="FH407" s="351"/>
      <c r="FI407" s="351"/>
      <c r="FJ407" s="351"/>
      <c r="FK407" s="351"/>
      <c r="FL407" s="351"/>
      <c r="FM407" s="351"/>
      <c r="FN407" s="351"/>
      <c r="FO407" s="351"/>
      <c r="FP407" s="351"/>
      <c r="FQ407" s="351"/>
      <c r="FR407" s="351">
        <v>100</v>
      </c>
      <c r="FS407" s="351"/>
      <c r="FT407" s="351"/>
      <c r="FU407" s="351"/>
      <c r="FV407" s="351"/>
      <c r="FW407" s="351"/>
      <c r="FX407" s="351"/>
      <c r="FY407" s="351"/>
      <c r="FZ407" s="351"/>
      <c r="GA407" s="351"/>
      <c r="GB407" s="351"/>
      <c r="GC407" s="351"/>
      <c r="GD407" s="351"/>
      <c r="GE407" s="351"/>
      <c r="GF407" s="351"/>
      <c r="GG407" s="351"/>
      <c r="GH407" s="351"/>
      <c r="GI407" s="351"/>
      <c r="GJ407" s="351"/>
      <c r="GK407" s="351"/>
      <c r="GL407" s="351"/>
      <c r="GM407" s="351"/>
      <c r="GN407" s="351"/>
      <c r="GO407" s="351"/>
      <c r="GP407" s="351"/>
      <c r="GQ407" s="351"/>
      <c r="GR407" s="351"/>
      <c r="GS407" s="351"/>
      <c r="GT407" s="351"/>
      <c r="GU407" s="351"/>
      <c r="GV407" s="351"/>
      <c r="GW407" s="351"/>
      <c r="GX407" s="351"/>
      <c r="GY407" s="351"/>
      <c r="GZ407" s="351"/>
      <c r="HA407" s="351"/>
      <c r="HB407" s="351"/>
      <c r="HC407" s="351"/>
      <c r="HD407" s="351"/>
      <c r="HE407" s="351"/>
      <c r="HF407" s="351"/>
      <c r="HG407" s="351"/>
      <c r="HH407" s="351"/>
      <c r="HI407" s="351"/>
      <c r="HJ407" s="351"/>
      <c r="HK407" s="351"/>
      <c r="HL407" s="351"/>
      <c r="HM407" s="351"/>
      <c r="HN407" s="351"/>
      <c r="HO407" s="351"/>
      <c r="HP407" s="351"/>
      <c r="HQ407" s="351"/>
      <c r="HR407" s="351"/>
      <c r="HS407" s="351"/>
      <c r="HT407" s="351"/>
      <c r="HU407" s="351"/>
      <c r="HV407" s="351"/>
      <c r="HW407" s="351"/>
      <c r="HX407" s="351"/>
      <c r="HY407" s="351"/>
      <c r="HZ407" s="351"/>
      <c r="IA407" s="351"/>
      <c r="IB407" s="351"/>
      <c r="IC407" s="351"/>
      <c r="ID407" s="351"/>
      <c r="IE407" s="351"/>
      <c r="IF407" s="351"/>
      <c r="IG407" s="351"/>
      <c r="IH407" s="351"/>
      <c r="II407" s="351"/>
      <c r="IJ407" s="351"/>
      <c r="IK407" s="351"/>
      <c r="IL407" s="351"/>
      <c r="IM407" s="351"/>
      <c r="IN407" s="351"/>
      <c r="IO407" s="351"/>
      <c r="IP407" s="351"/>
    </row>
    <row r="408" spans="1:250" ht="15.75" customHeight="1" x14ac:dyDescent="0.25">
      <c r="A408" s="351" t="s">
        <v>1318</v>
      </c>
      <c r="B408" s="351" t="s">
        <v>1326</v>
      </c>
      <c r="C408" s="351"/>
      <c r="D408" s="351">
        <v>20</v>
      </c>
      <c r="E408" s="351"/>
      <c r="F408" s="80">
        <v>45</v>
      </c>
      <c r="G408" s="351"/>
      <c r="H408" s="351">
        <v>10</v>
      </c>
      <c r="I408" s="351"/>
      <c r="J408" s="351"/>
      <c r="K408" s="351"/>
      <c r="L408" s="351"/>
      <c r="M408" s="351"/>
      <c r="N408" s="351"/>
      <c r="O408" s="351"/>
      <c r="P408" s="351">
        <v>50</v>
      </c>
      <c r="Q408" s="351"/>
      <c r="R408" s="351"/>
      <c r="S408" s="351"/>
      <c r="T408" s="351"/>
      <c r="U408" s="351"/>
      <c r="V408" s="351"/>
      <c r="W408" s="351"/>
      <c r="X408" s="351"/>
      <c r="Y408" s="351"/>
      <c r="Z408" s="351"/>
      <c r="AA408" s="351"/>
      <c r="AB408" s="351"/>
      <c r="AC408" s="351"/>
      <c r="AD408" s="351"/>
      <c r="AE408" s="351"/>
      <c r="AF408" s="351"/>
      <c r="AG408" s="351"/>
      <c r="AH408" s="351"/>
      <c r="AI408" s="351"/>
      <c r="AJ408" s="80">
        <v>90</v>
      </c>
      <c r="AK408" s="351">
        <v>30</v>
      </c>
      <c r="AL408" s="351"/>
      <c r="AM408" s="351"/>
      <c r="AN408" s="351"/>
      <c r="AO408" s="351"/>
      <c r="AP408" s="351"/>
      <c r="AQ408" s="351"/>
      <c r="AR408" s="351"/>
      <c r="AS408" s="351"/>
      <c r="AT408" s="351"/>
      <c r="AU408" s="351"/>
      <c r="AV408" s="351"/>
      <c r="AW408" s="351"/>
      <c r="AX408" s="351"/>
      <c r="AY408" s="351"/>
      <c r="AZ408" s="351"/>
      <c r="BA408" s="351"/>
      <c r="BB408" s="351"/>
      <c r="BC408" s="351"/>
      <c r="BD408" s="351"/>
      <c r="BE408" s="351"/>
      <c r="BF408" s="351"/>
      <c r="BG408" s="351"/>
      <c r="BH408" s="351"/>
      <c r="BI408" s="351"/>
      <c r="BJ408" s="351"/>
      <c r="BK408" s="351"/>
      <c r="BL408" s="351"/>
      <c r="BM408" s="351"/>
      <c r="BN408" s="351"/>
      <c r="BO408" s="351"/>
      <c r="BP408" s="351"/>
      <c r="BQ408" s="351"/>
      <c r="BR408" s="351"/>
      <c r="BS408" s="351"/>
      <c r="BT408" s="351"/>
      <c r="BU408" s="351"/>
      <c r="BV408" s="351"/>
      <c r="BW408" s="351"/>
      <c r="BX408" s="351"/>
      <c r="BY408" s="351"/>
      <c r="BZ408" s="351"/>
      <c r="CA408" s="351"/>
      <c r="CB408" s="351"/>
      <c r="CC408" s="351"/>
      <c r="CD408" s="351"/>
      <c r="CE408" s="351"/>
      <c r="CF408" s="351"/>
      <c r="CG408" s="351"/>
      <c r="CH408" s="351"/>
      <c r="CI408" s="351"/>
      <c r="CJ408" s="351"/>
      <c r="CK408" s="351"/>
      <c r="CL408" s="351"/>
      <c r="CM408" s="351"/>
      <c r="CN408" s="351"/>
      <c r="CO408" s="351"/>
      <c r="CP408" s="351"/>
      <c r="CQ408" s="351"/>
      <c r="CR408" s="351"/>
      <c r="CS408" s="351"/>
      <c r="CT408" s="351"/>
      <c r="CU408" s="351"/>
      <c r="CV408" s="351"/>
      <c r="CW408" s="351"/>
      <c r="CX408" s="351"/>
      <c r="CY408" s="351"/>
      <c r="CZ408" s="351"/>
      <c r="DA408" s="351"/>
      <c r="DB408" s="351"/>
      <c r="DC408" s="351"/>
      <c r="DD408" s="351"/>
      <c r="DE408" s="351"/>
      <c r="DF408" s="351"/>
      <c r="DG408" s="351"/>
      <c r="DH408" s="351"/>
      <c r="DI408" s="351"/>
      <c r="DJ408" s="351"/>
      <c r="DK408" s="351"/>
      <c r="DL408" s="351"/>
      <c r="DM408" s="351"/>
      <c r="DN408" s="351"/>
      <c r="DO408" s="351"/>
      <c r="DP408" s="351"/>
      <c r="DQ408" s="351"/>
      <c r="DR408" s="351"/>
      <c r="DS408" s="351"/>
      <c r="DT408" s="351"/>
      <c r="DU408" s="351"/>
      <c r="DV408" s="351"/>
      <c r="DW408" s="351"/>
      <c r="DX408" s="351"/>
      <c r="DY408" s="351"/>
      <c r="DZ408" s="351"/>
      <c r="EA408" s="351"/>
      <c r="EB408" s="351"/>
      <c r="EC408" s="351"/>
      <c r="ED408" s="351"/>
      <c r="EE408" s="351"/>
      <c r="EF408" s="351"/>
      <c r="EG408" s="351"/>
      <c r="EH408" s="351"/>
      <c r="EI408" s="351"/>
      <c r="EJ408" s="351"/>
      <c r="EK408" s="351"/>
      <c r="EL408" s="351"/>
      <c r="EM408" s="351"/>
      <c r="EN408" s="351"/>
      <c r="EO408" s="351"/>
      <c r="EP408" s="351"/>
      <c r="EQ408" s="351"/>
      <c r="ER408" s="351"/>
      <c r="ES408" s="351"/>
      <c r="ET408" s="351"/>
      <c r="EU408" s="351"/>
      <c r="EV408" s="351"/>
      <c r="EW408" s="351"/>
      <c r="EX408" s="351"/>
      <c r="EY408" s="351"/>
      <c r="EZ408" s="351"/>
      <c r="FA408" s="351"/>
      <c r="FB408" s="351"/>
      <c r="FC408" s="351"/>
      <c r="FD408" s="351"/>
      <c r="FE408" s="351"/>
      <c r="FF408" s="351"/>
      <c r="FG408" s="351"/>
      <c r="FH408" s="351"/>
      <c r="FI408" s="351"/>
      <c r="FJ408" s="351"/>
      <c r="FK408" s="351"/>
      <c r="FL408" s="351"/>
      <c r="FM408" s="351"/>
      <c r="FN408" s="351"/>
      <c r="FO408" s="351"/>
      <c r="FP408" s="351"/>
      <c r="FQ408" s="351"/>
      <c r="FR408" s="351"/>
      <c r="FS408" s="351"/>
      <c r="FT408" s="351"/>
      <c r="FU408" s="351"/>
      <c r="FV408" s="351"/>
      <c r="FW408" s="351"/>
      <c r="FX408" s="351"/>
      <c r="FY408" s="351"/>
      <c r="FZ408" s="351"/>
      <c r="GA408" s="351"/>
      <c r="GB408" s="351"/>
      <c r="GC408" s="351"/>
      <c r="GD408" s="351"/>
      <c r="GE408" s="351"/>
      <c r="GF408" s="351"/>
      <c r="GG408" s="351"/>
      <c r="GH408" s="351"/>
      <c r="GI408" s="351"/>
      <c r="GJ408" s="351"/>
      <c r="GK408" s="351"/>
      <c r="GL408" s="351"/>
      <c r="GM408" s="351"/>
      <c r="GN408" s="351"/>
      <c r="GO408" s="351"/>
      <c r="GP408" s="351"/>
      <c r="GQ408" s="351"/>
      <c r="GR408" s="351"/>
      <c r="GS408" s="351"/>
      <c r="GT408" s="351"/>
      <c r="GU408" s="351"/>
      <c r="GV408" s="351"/>
      <c r="GW408" s="351"/>
      <c r="GX408" s="351"/>
      <c r="GY408" s="351"/>
      <c r="GZ408" s="351"/>
      <c r="HA408" s="351"/>
      <c r="HB408" s="351"/>
      <c r="HC408" s="351"/>
      <c r="HD408" s="351"/>
      <c r="HE408" s="351"/>
      <c r="HF408" s="351"/>
      <c r="HG408" s="351"/>
      <c r="HH408" s="351"/>
      <c r="HI408" s="351"/>
      <c r="HJ408" s="351"/>
      <c r="HK408" s="351"/>
      <c r="HL408" s="351"/>
      <c r="HM408" s="351"/>
      <c r="HN408" s="351"/>
      <c r="HO408" s="351"/>
      <c r="HP408" s="351"/>
      <c r="HQ408" s="351"/>
      <c r="HR408" s="351"/>
      <c r="HS408" s="351"/>
      <c r="HT408" s="351"/>
      <c r="HU408" s="351"/>
      <c r="HV408" s="351"/>
      <c r="HW408" s="351"/>
      <c r="HX408" s="351"/>
      <c r="HY408" s="351"/>
      <c r="HZ408" s="351"/>
      <c r="IA408" s="351"/>
      <c r="IB408" s="351"/>
      <c r="IC408" s="351"/>
      <c r="ID408" s="351"/>
      <c r="IE408" s="351"/>
      <c r="IF408" s="351"/>
      <c r="IG408" s="351"/>
      <c r="IH408" s="351"/>
      <c r="II408" s="351"/>
      <c r="IJ408" s="351"/>
      <c r="IK408" s="351"/>
      <c r="IL408" s="351"/>
      <c r="IM408" s="351"/>
      <c r="IN408" s="351"/>
      <c r="IO408" s="351"/>
      <c r="IP408" s="351"/>
    </row>
    <row r="409" spans="1:250" ht="15.75" customHeight="1" x14ac:dyDescent="0.25">
      <c r="A409" s="351" t="s">
        <v>1318</v>
      </c>
      <c r="B409" s="351" t="s">
        <v>1330</v>
      </c>
      <c r="C409" s="351"/>
      <c r="D409" s="351"/>
      <c r="E409" s="351"/>
      <c r="F409" s="80">
        <v>20</v>
      </c>
      <c r="G409" s="351"/>
      <c r="H409" s="351">
        <v>10</v>
      </c>
      <c r="I409" s="351"/>
      <c r="J409" s="351"/>
      <c r="K409" s="351"/>
      <c r="L409" s="351">
        <v>20</v>
      </c>
      <c r="M409" s="351"/>
      <c r="N409" s="351"/>
      <c r="O409" s="351"/>
      <c r="P409" s="351">
        <v>50</v>
      </c>
      <c r="Q409" s="351"/>
      <c r="R409" s="351"/>
      <c r="S409" s="351"/>
      <c r="T409" s="351">
        <v>10</v>
      </c>
      <c r="U409" s="351"/>
      <c r="V409" s="351"/>
      <c r="W409" s="351"/>
      <c r="X409" s="351">
        <v>30</v>
      </c>
      <c r="Y409" s="351">
        <v>30</v>
      </c>
      <c r="Z409" s="351">
        <v>30</v>
      </c>
      <c r="AA409" s="351"/>
      <c r="AB409" s="351"/>
      <c r="AC409" s="351"/>
      <c r="AD409" s="351"/>
      <c r="AE409" s="351">
        <v>30</v>
      </c>
      <c r="AF409" s="351"/>
      <c r="AG409" s="351"/>
      <c r="AH409" s="351"/>
      <c r="AI409" s="351"/>
      <c r="AJ409" s="80">
        <v>25</v>
      </c>
      <c r="AK409" s="351">
        <v>40</v>
      </c>
      <c r="AL409" s="351"/>
      <c r="AM409" s="351"/>
      <c r="AN409" s="351"/>
      <c r="AO409" s="351"/>
      <c r="AP409" s="351">
        <v>5</v>
      </c>
      <c r="AQ409" s="351"/>
      <c r="AR409" s="351"/>
      <c r="AS409" s="351"/>
      <c r="AT409" s="351"/>
      <c r="AU409" s="351"/>
      <c r="AV409" s="351"/>
      <c r="AW409" s="351"/>
      <c r="AX409" s="351"/>
      <c r="AY409" s="351"/>
      <c r="AZ409" s="351"/>
      <c r="BA409" s="351"/>
      <c r="BB409" s="351"/>
      <c r="BC409" s="351"/>
      <c r="BD409" s="351"/>
      <c r="BE409" s="351"/>
      <c r="BF409" s="351"/>
      <c r="BG409" s="351"/>
      <c r="BH409" s="351"/>
      <c r="BI409" s="351"/>
      <c r="BJ409" s="351"/>
      <c r="BK409" s="351"/>
      <c r="BL409" s="351"/>
      <c r="BM409" s="351"/>
      <c r="BN409" s="351"/>
      <c r="BO409" s="351"/>
      <c r="BP409" s="351"/>
      <c r="BQ409" s="351"/>
      <c r="BR409" s="351"/>
      <c r="BS409" s="351"/>
      <c r="BT409" s="351"/>
      <c r="BU409" s="351"/>
      <c r="BV409" s="351"/>
      <c r="BW409" s="351"/>
      <c r="BX409" s="351"/>
      <c r="BY409" s="351"/>
      <c r="BZ409" s="351">
        <v>20</v>
      </c>
      <c r="CA409" s="351"/>
      <c r="CB409" s="351"/>
      <c r="CC409" s="351"/>
      <c r="CD409" s="351">
        <v>50</v>
      </c>
      <c r="CE409" s="351"/>
      <c r="CF409" s="351"/>
      <c r="CG409" s="351"/>
      <c r="CH409" s="351"/>
      <c r="CI409" s="351"/>
      <c r="CJ409" s="351">
        <v>10</v>
      </c>
      <c r="CK409" s="351"/>
      <c r="CL409" s="351"/>
      <c r="CM409" s="351"/>
      <c r="CN409" s="351"/>
      <c r="CO409" s="351"/>
      <c r="CP409" s="351"/>
      <c r="CQ409" s="351"/>
      <c r="CR409" s="351"/>
      <c r="CS409" s="351"/>
      <c r="CT409" s="351"/>
      <c r="CU409" s="351"/>
      <c r="CV409" s="351"/>
      <c r="CW409" s="351"/>
      <c r="CX409" s="351"/>
      <c r="CY409" s="351"/>
      <c r="CZ409" s="351"/>
      <c r="DA409" s="351"/>
      <c r="DB409" s="351"/>
      <c r="DC409" s="351"/>
      <c r="DD409" s="351"/>
      <c r="DE409" s="351"/>
      <c r="DF409" s="351"/>
      <c r="DG409" s="351"/>
      <c r="DH409" s="351"/>
      <c r="DI409" s="351"/>
      <c r="DJ409" s="351"/>
      <c r="DK409" s="351"/>
      <c r="DL409" s="351"/>
      <c r="DM409" s="351"/>
      <c r="DN409" s="351"/>
      <c r="DO409" s="351"/>
      <c r="DP409" s="351"/>
      <c r="DQ409" s="351"/>
      <c r="DR409" s="351"/>
      <c r="DS409" s="351"/>
      <c r="DT409" s="351"/>
      <c r="DU409" s="351"/>
      <c r="DV409" s="351"/>
      <c r="DW409" s="351"/>
      <c r="DX409" s="351"/>
      <c r="DY409" s="351"/>
      <c r="DZ409" s="351"/>
      <c r="EA409" s="351"/>
      <c r="EB409" s="351"/>
      <c r="EC409" s="351"/>
      <c r="ED409" s="351"/>
      <c r="EE409" s="351"/>
      <c r="EF409" s="351"/>
      <c r="EG409" s="351"/>
      <c r="EH409" s="351"/>
      <c r="EI409" s="351"/>
      <c r="EJ409" s="351"/>
      <c r="EK409" s="351"/>
      <c r="EL409" s="351"/>
      <c r="EM409" s="351"/>
      <c r="EN409" s="351"/>
      <c r="EO409" s="351"/>
      <c r="EP409" s="351"/>
      <c r="EQ409" s="351"/>
      <c r="ER409" s="351"/>
      <c r="ES409" s="351"/>
      <c r="ET409" s="351"/>
      <c r="EU409" s="351"/>
      <c r="EV409" s="351"/>
      <c r="EW409" s="351"/>
      <c r="EX409" s="351"/>
      <c r="EY409" s="351"/>
      <c r="EZ409" s="351"/>
      <c r="FA409" s="351"/>
      <c r="FB409" s="351"/>
      <c r="FC409" s="351"/>
      <c r="FD409" s="351"/>
      <c r="FE409" s="351"/>
      <c r="FF409" s="351"/>
      <c r="FG409" s="351"/>
      <c r="FH409" s="351"/>
      <c r="FI409" s="351"/>
      <c r="FJ409" s="351"/>
      <c r="FK409" s="351"/>
      <c r="FL409" s="351"/>
      <c r="FM409" s="351"/>
      <c r="FN409" s="351"/>
      <c r="FO409" s="351"/>
      <c r="FP409" s="351"/>
      <c r="FQ409" s="351"/>
      <c r="FR409" s="351"/>
      <c r="FS409" s="351"/>
      <c r="FT409" s="351"/>
      <c r="FU409" s="351"/>
      <c r="FV409" s="351"/>
      <c r="FW409" s="351"/>
      <c r="FX409" s="351"/>
      <c r="FY409" s="351"/>
      <c r="FZ409" s="351"/>
      <c r="GA409" s="351"/>
      <c r="GB409" s="351"/>
      <c r="GC409" s="351"/>
      <c r="GD409" s="351"/>
      <c r="GE409" s="351"/>
      <c r="GF409" s="351"/>
      <c r="GG409" s="351"/>
      <c r="GH409" s="351"/>
      <c r="GI409" s="351"/>
      <c r="GJ409" s="351"/>
      <c r="GK409" s="351"/>
      <c r="GL409" s="351"/>
      <c r="GM409" s="351"/>
      <c r="GN409" s="351"/>
      <c r="GO409" s="351"/>
      <c r="GP409" s="351"/>
      <c r="GQ409" s="351"/>
      <c r="GR409" s="351"/>
      <c r="GS409" s="351"/>
      <c r="GT409" s="351"/>
      <c r="GU409" s="351"/>
      <c r="GV409" s="351"/>
      <c r="GW409" s="351"/>
      <c r="GX409" s="351"/>
      <c r="GY409" s="351"/>
      <c r="GZ409" s="351"/>
      <c r="HA409" s="351"/>
      <c r="HB409" s="351"/>
      <c r="HC409" s="351"/>
      <c r="HD409" s="351"/>
      <c r="HE409" s="351"/>
      <c r="HF409" s="351"/>
      <c r="HG409" s="351"/>
      <c r="HH409" s="351"/>
      <c r="HI409" s="351"/>
      <c r="HJ409" s="351"/>
      <c r="HK409" s="351"/>
      <c r="HL409" s="351"/>
      <c r="HM409" s="351"/>
      <c r="HN409" s="351"/>
      <c r="HO409" s="351"/>
      <c r="HP409" s="351"/>
      <c r="HQ409" s="351"/>
      <c r="HR409" s="351"/>
      <c r="HS409" s="351"/>
      <c r="HT409" s="351"/>
      <c r="HU409" s="351"/>
      <c r="HV409" s="351"/>
      <c r="HW409" s="351"/>
      <c r="HX409" s="351"/>
      <c r="HY409" s="351"/>
      <c r="HZ409" s="351"/>
      <c r="IA409" s="351"/>
      <c r="IB409" s="351"/>
      <c r="IC409" s="351"/>
      <c r="ID409" s="351"/>
      <c r="IE409" s="351"/>
      <c r="IF409" s="351"/>
      <c r="IG409" s="351"/>
      <c r="IH409" s="351"/>
      <c r="II409" s="351"/>
      <c r="IJ409" s="351"/>
      <c r="IK409" s="351"/>
      <c r="IL409" s="351"/>
      <c r="IM409" s="351"/>
      <c r="IN409" s="351"/>
      <c r="IO409" s="351"/>
      <c r="IP409" s="351"/>
    </row>
    <row r="410" spans="1:250" ht="15.75" customHeight="1" x14ac:dyDescent="0.25">
      <c r="A410" s="351" t="s">
        <v>1318</v>
      </c>
      <c r="B410" s="351" t="s">
        <v>1335</v>
      </c>
      <c r="C410" s="351"/>
      <c r="D410" s="351"/>
      <c r="E410" s="351"/>
      <c r="F410" s="351"/>
      <c r="G410" s="351"/>
      <c r="H410" s="351"/>
      <c r="I410" s="351"/>
      <c r="J410" s="351"/>
      <c r="K410" s="351"/>
      <c r="L410" s="351"/>
      <c r="M410" s="351"/>
      <c r="N410" s="351"/>
      <c r="O410" s="351"/>
      <c r="P410" s="351"/>
      <c r="Q410" s="351"/>
      <c r="R410" s="351"/>
      <c r="S410" s="351"/>
      <c r="T410" s="351"/>
      <c r="U410" s="351">
        <v>40</v>
      </c>
      <c r="V410" s="351"/>
      <c r="W410" s="351"/>
      <c r="X410" s="351"/>
      <c r="Y410" s="351"/>
      <c r="Z410" s="351"/>
      <c r="AA410" s="351"/>
      <c r="AB410" s="351"/>
      <c r="AC410" s="351"/>
      <c r="AD410" s="351"/>
      <c r="AE410" s="351"/>
      <c r="AF410" s="351"/>
      <c r="AG410" s="351"/>
      <c r="AH410" s="351"/>
      <c r="AI410" s="351"/>
      <c r="AJ410" s="351"/>
      <c r="AK410" s="351"/>
      <c r="AL410" s="351"/>
      <c r="AM410" s="351"/>
      <c r="AN410" s="351"/>
      <c r="AO410" s="351"/>
      <c r="AP410" s="351"/>
      <c r="AQ410" s="351"/>
      <c r="AR410" s="351"/>
      <c r="AS410" s="351"/>
      <c r="AT410" s="351"/>
      <c r="AU410" s="351"/>
      <c r="AV410" s="351"/>
      <c r="AW410" s="351"/>
      <c r="AX410" s="351"/>
      <c r="AY410" s="351"/>
      <c r="AZ410" s="351"/>
      <c r="BA410" s="351"/>
      <c r="BB410" s="351"/>
      <c r="BC410" s="351"/>
      <c r="BD410" s="351"/>
      <c r="BE410" s="351"/>
      <c r="BF410" s="351"/>
      <c r="BG410" s="351"/>
      <c r="BH410" s="351"/>
      <c r="BI410" s="351"/>
      <c r="BJ410" s="351"/>
      <c r="BK410" s="351"/>
      <c r="BL410" s="351"/>
      <c r="BM410" s="351"/>
      <c r="BN410" s="351"/>
      <c r="BO410" s="351"/>
      <c r="BP410" s="351"/>
      <c r="BQ410" s="351"/>
      <c r="BR410" s="351"/>
      <c r="BS410" s="351"/>
      <c r="BT410" s="351"/>
      <c r="BU410" s="351"/>
      <c r="BV410" s="351"/>
      <c r="BW410" s="351"/>
      <c r="BX410" s="351"/>
      <c r="BY410" s="351"/>
      <c r="BZ410" s="351"/>
      <c r="CA410" s="351"/>
      <c r="CB410" s="351"/>
      <c r="CC410" s="351"/>
      <c r="CD410" s="351"/>
      <c r="CE410" s="351"/>
      <c r="CF410" s="351"/>
      <c r="CG410" s="351"/>
      <c r="CH410" s="351"/>
      <c r="CI410" s="351"/>
      <c r="CJ410" s="351"/>
      <c r="CK410" s="351"/>
      <c r="CL410" s="351"/>
      <c r="CM410" s="351"/>
      <c r="CN410" s="351"/>
      <c r="CO410" s="351"/>
      <c r="CP410" s="351"/>
      <c r="CQ410" s="351"/>
      <c r="CR410" s="351"/>
      <c r="CS410" s="351"/>
      <c r="CT410" s="351"/>
      <c r="CU410" s="351"/>
      <c r="CV410" s="351"/>
      <c r="CW410" s="351"/>
      <c r="CX410" s="351"/>
      <c r="CY410" s="351"/>
      <c r="CZ410" s="351"/>
      <c r="DA410" s="351"/>
      <c r="DB410" s="351"/>
      <c r="DC410" s="351"/>
      <c r="DD410" s="351"/>
      <c r="DE410" s="351"/>
      <c r="DF410" s="351"/>
      <c r="DG410" s="351"/>
      <c r="DH410" s="351"/>
      <c r="DI410" s="351"/>
      <c r="DJ410" s="351"/>
      <c r="DK410" s="351"/>
      <c r="DL410" s="351"/>
      <c r="DM410" s="351"/>
      <c r="DN410" s="351"/>
      <c r="DO410" s="351"/>
      <c r="DP410" s="351"/>
      <c r="DQ410" s="351"/>
      <c r="DR410" s="351">
        <v>30</v>
      </c>
      <c r="DS410" s="351"/>
      <c r="DT410" s="351"/>
      <c r="DU410" s="351"/>
      <c r="DV410" s="351"/>
      <c r="DW410" s="351"/>
      <c r="DX410" s="351"/>
      <c r="DY410" s="351"/>
      <c r="DZ410" s="351"/>
      <c r="EA410" s="351"/>
      <c r="EB410" s="351">
        <v>6</v>
      </c>
      <c r="EC410" s="351">
        <v>24</v>
      </c>
      <c r="ED410" s="351">
        <v>6</v>
      </c>
      <c r="EE410" s="351"/>
      <c r="EF410" s="351"/>
      <c r="EG410" s="351"/>
      <c r="EH410" s="351"/>
      <c r="EI410" s="351"/>
      <c r="EJ410" s="351"/>
      <c r="EK410" s="351"/>
      <c r="EL410" s="351"/>
      <c r="EM410" s="351"/>
      <c r="EN410" s="351"/>
      <c r="EO410" s="351"/>
      <c r="EP410" s="351"/>
      <c r="EQ410" s="351"/>
      <c r="ER410" s="351"/>
      <c r="ES410" s="351"/>
      <c r="ET410" s="351"/>
      <c r="EU410" s="351"/>
      <c r="EV410" s="351"/>
      <c r="EW410" s="351"/>
      <c r="EX410" s="351"/>
      <c r="EY410" s="351"/>
      <c r="EZ410" s="351"/>
      <c r="FA410" s="351"/>
      <c r="FB410" s="351"/>
      <c r="FC410" s="351"/>
      <c r="FD410" s="351"/>
      <c r="FE410" s="351"/>
      <c r="FF410" s="351"/>
      <c r="FG410" s="351"/>
      <c r="FH410" s="351"/>
      <c r="FI410" s="351"/>
      <c r="FJ410" s="351"/>
      <c r="FK410" s="351"/>
      <c r="FL410" s="351"/>
      <c r="FM410" s="351"/>
      <c r="FN410" s="351"/>
      <c r="FO410" s="351"/>
      <c r="FP410" s="351"/>
      <c r="FQ410" s="351"/>
      <c r="FR410" s="351"/>
      <c r="FS410" s="351"/>
      <c r="FT410" s="351"/>
      <c r="FU410" s="351"/>
      <c r="FV410" s="351"/>
      <c r="FW410" s="351"/>
      <c r="FX410" s="351"/>
      <c r="FY410" s="351"/>
      <c r="FZ410" s="351"/>
      <c r="GA410" s="351"/>
      <c r="GB410" s="351"/>
      <c r="GC410" s="351"/>
      <c r="GD410" s="351"/>
      <c r="GE410" s="351"/>
      <c r="GF410" s="351"/>
      <c r="GG410" s="351"/>
      <c r="GH410" s="351"/>
      <c r="GI410" s="351"/>
      <c r="GJ410" s="351"/>
      <c r="GK410" s="351"/>
      <c r="GL410" s="351"/>
      <c r="GM410" s="351"/>
      <c r="GN410" s="351"/>
      <c r="GO410" s="351"/>
      <c r="GP410" s="351"/>
      <c r="GQ410" s="351"/>
      <c r="GR410" s="351"/>
      <c r="GS410" s="351"/>
      <c r="GT410" s="351"/>
      <c r="GU410" s="351"/>
      <c r="GV410" s="351"/>
      <c r="GW410" s="351"/>
      <c r="GX410" s="351"/>
      <c r="GY410" s="351"/>
      <c r="GZ410" s="351"/>
      <c r="HA410" s="351"/>
      <c r="HB410" s="351"/>
      <c r="HC410" s="351"/>
      <c r="HD410" s="351"/>
      <c r="HE410" s="351"/>
      <c r="HF410" s="351"/>
      <c r="HG410" s="351"/>
      <c r="HH410" s="351"/>
      <c r="HI410" s="351"/>
      <c r="HJ410" s="351"/>
      <c r="HK410" s="351"/>
      <c r="HL410" s="351"/>
      <c r="HM410" s="351"/>
      <c r="HN410" s="351"/>
      <c r="HO410" s="351"/>
      <c r="HP410" s="351"/>
      <c r="HQ410" s="351"/>
      <c r="HR410" s="351"/>
      <c r="HS410" s="351"/>
      <c r="HT410" s="351"/>
      <c r="HU410" s="351"/>
      <c r="HV410" s="351"/>
      <c r="HW410" s="351"/>
      <c r="HX410" s="351"/>
      <c r="HY410" s="351"/>
      <c r="HZ410" s="351"/>
      <c r="IA410" s="351"/>
      <c r="IB410" s="351"/>
      <c r="IC410" s="351"/>
      <c r="ID410" s="351"/>
      <c r="IE410" s="351"/>
      <c r="IF410" s="351"/>
      <c r="IG410" s="351"/>
      <c r="IH410" s="351"/>
      <c r="II410" s="351"/>
      <c r="IJ410" s="351"/>
      <c r="IK410" s="351"/>
      <c r="IL410" s="351"/>
      <c r="IM410" s="351"/>
      <c r="IN410" s="351"/>
      <c r="IO410" s="351"/>
      <c r="IP410" s="351"/>
    </row>
    <row r="411" spans="1:250" ht="15.75" customHeight="1" x14ac:dyDescent="0.25">
      <c r="A411" s="351" t="s">
        <v>1318</v>
      </c>
      <c r="B411" s="351" t="s">
        <v>1337</v>
      </c>
      <c r="C411" s="351"/>
      <c r="D411" s="351"/>
      <c r="E411" s="351"/>
      <c r="F411" s="351"/>
      <c r="G411" s="351"/>
      <c r="H411" s="351"/>
      <c r="I411" s="351"/>
      <c r="J411" s="351">
        <v>5</v>
      </c>
      <c r="K411" s="351"/>
      <c r="L411" s="351"/>
      <c r="M411" s="351"/>
      <c r="N411" s="351"/>
      <c r="O411" s="351"/>
      <c r="P411" s="351"/>
      <c r="Q411" s="351"/>
      <c r="R411" s="351"/>
      <c r="S411" s="351"/>
      <c r="T411" s="351"/>
      <c r="U411" s="351"/>
      <c r="V411" s="351"/>
      <c r="W411" s="351"/>
      <c r="X411" s="351"/>
      <c r="Y411" s="351">
        <v>30</v>
      </c>
      <c r="Z411" s="351"/>
      <c r="AA411" s="351"/>
      <c r="AB411" s="351"/>
      <c r="AC411" s="351"/>
      <c r="AD411" s="351"/>
      <c r="AE411" s="351"/>
      <c r="AF411" s="351"/>
      <c r="AG411" s="351"/>
      <c r="AH411" s="351"/>
      <c r="AI411" s="351"/>
      <c r="AJ411" s="80">
        <v>30</v>
      </c>
      <c r="AK411" s="351">
        <v>20</v>
      </c>
      <c r="AL411" s="351"/>
      <c r="AM411" s="351"/>
      <c r="AN411" s="351"/>
      <c r="AO411" s="351"/>
      <c r="AP411" s="351"/>
      <c r="AQ411" s="351"/>
      <c r="AR411" s="351"/>
      <c r="AS411" s="351"/>
      <c r="AT411" s="351"/>
      <c r="AU411" s="351"/>
      <c r="AV411" s="351"/>
      <c r="AW411" s="351"/>
      <c r="AX411" s="351"/>
      <c r="AY411" s="351"/>
      <c r="AZ411" s="351"/>
      <c r="BA411" s="351"/>
      <c r="BB411" s="351"/>
      <c r="BC411" s="351"/>
      <c r="BD411" s="351"/>
      <c r="BE411" s="351"/>
      <c r="BF411" s="351"/>
      <c r="BG411" s="351"/>
      <c r="BH411" s="351"/>
      <c r="BI411" s="351"/>
      <c r="BJ411" s="351"/>
      <c r="BK411" s="351"/>
      <c r="BL411" s="351"/>
      <c r="BM411" s="351"/>
      <c r="BN411" s="351"/>
      <c r="BO411" s="351"/>
      <c r="BP411" s="351"/>
      <c r="BQ411" s="351"/>
      <c r="BR411" s="351"/>
      <c r="BS411" s="351"/>
      <c r="BT411" s="351"/>
      <c r="BU411" s="351"/>
      <c r="BV411" s="351"/>
      <c r="BW411" s="351"/>
      <c r="BX411" s="351">
        <v>20</v>
      </c>
      <c r="BY411" s="351"/>
      <c r="BZ411" s="351">
        <v>10</v>
      </c>
      <c r="CA411" s="351"/>
      <c r="CB411" s="351"/>
      <c r="CC411" s="351"/>
      <c r="CD411" s="351">
        <v>20</v>
      </c>
      <c r="CE411" s="351"/>
      <c r="CF411" s="351"/>
      <c r="CG411" s="351"/>
      <c r="CH411" s="351"/>
      <c r="CI411" s="351"/>
      <c r="CJ411" s="351"/>
      <c r="CK411" s="351"/>
      <c r="CL411" s="351"/>
      <c r="CM411" s="351"/>
      <c r="CN411" s="351"/>
      <c r="CO411" s="351"/>
      <c r="CP411" s="351"/>
      <c r="CQ411" s="351"/>
      <c r="CR411" s="351"/>
      <c r="CS411" s="351"/>
      <c r="CT411" s="351"/>
      <c r="CU411" s="351"/>
      <c r="CV411" s="351"/>
      <c r="CW411" s="351"/>
      <c r="CX411" s="351"/>
      <c r="CY411" s="351"/>
      <c r="CZ411" s="351"/>
      <c r="DA411" s="351"/>
      <c r="DB411" s="351"/>
      <c r="DC411" s="351"/>
      <c r="DD411" s="351"/>
      <c r="DE411" s="351"/>
      <c r="DF411" s="351"/>
      <c r="DG411" s="351"/>
      <c r="DH411" s="351"/>
      <c r="DI411" s="351"/>
      <c r="DJ411" s="351"/>
      <c r="DK411" s="351"/>
      <c r="DL411" s="351"/>
      <c r="DM411" s="351"/>
      <c r="DN411" s="351"/>
      <c r="DO411" s="351"/>
      <c r="DP411" s="351"/>
      <c r="DQ411" s="351"/>
      <c r="DR411" s="351"/>
      <c r="DS411" s="351"/>
      <c r="DT411" s="351"/>
      <c r="DU411" s="351"/>
      <c r="DV411" s="351"/>
      <c r="DW411" s="351"/>
      <c r="DX411" s="351"/>
      <c r="DY411" s="351"/>
      <c r="DZ411" s="351"/>
      <c r="EA411" s="351"/>
      <c r="EB411" s="351"/>
      <c r="EC411" s="351"/>
      <c r="ED411" s="351"/>
      <c r="EE411" s="351"/>
      <c r="EF411" s="351"/>
      <c r="EG411" s="351"/>
      <c r="EH411" s="351"/>
      <c r="EI411" s="351"/>
      <c r="EJ411" s="351"/>
      <c r="EK411" s="351"/>
      <c r="EL411" s="351"/>
      <c r="EM411" s="351"/>
      <c r="EN411" s="351"/>
      <c r="EO411" s="351">
        <v>10</v>
      </c>
      <c r="EP411" s="351"/>
      <c r="EQ411" s="351"/>
      <c r="ER411" s="351"/>
      <c r="ES411" s="351"/>
      <c r="ET411" s="351"/>
      <c r="EU411" s="351"/>
      <c r="EV411" s="351"/>
      <c r="EW411" s="351"/>
      <c r="EX411" s="351"/>
      <c r="EY411" s="351"/>
      <c r="EZ411" s="351"/>
      <c r="FA411" s="351"/>
      <c r="FB411" s="351"/>
      <c r="FC411" s="351"/>
      <c r="FD411" s="351"/>
      <c r="FE411" s="351"/>
      <c r="FF411" s="351"/>
      <c r="FG411" s="351"/>
      <c r="FH411" s="351"/>
      <c r="FI411" s="351"/>
      <c r="FJ411" s="351"/>
      <c r="FK411" s="351"/>
      <c r="FL411" s="351"/>
      <c r="FM411" s="351"/>
      <c r="FN411" s="351"/>
      <c r="FO411" s="351"/>
      <c r="FP411" s="351"/>
      <c r="FQ411" s="351"/>
      <c r="FR411" s="351"/>
      <c r="FS411" s="351"/>
      <c r="FT411" s="351"/>
      <c r="FU411" s="351"/>
      <c r="FV411" s="351"/>
      <c r="FW411" s="351"/>
      <c r="FX411" s="351"/>
      <c r="FY411" s="351"/>
      <c r="FZ411" s="351"/>
      <c r="GA411" s="351"/>
      <c r="GB411" s="351"/>
      <c r="GC411" s="351"/>
      <c r="GD411" s="351"/>
      <c r="GE411" s="351"/>
      <c r="GF411" s="351"/>
      <c r="GG411" s="351"/>
      <c r="GH411" s="351"/>
      <c r="GI411" s="351"/>
      <c r="GJ411" s="351"/>
      <c r="GK411" s="351"/>
      <c r="GL411" s="351"/>
      <c r="GM411" s="351"/>
      <c r="GN411" s="351"/>
      <c r="GO411" s="351"/>
      <c r="GP411" s="351"/>
      <c r="GQ411" s="351"/>
      <c r="GR411" s="351"/>
      <c r="GS411" s="351"/>
      <c r="GT411" s="351"/>
      <c r="GU411" s="351"/>
      <c r="GV411" s="351"/>
      <c r="GW411" s="351"/>
      <c r="GX411" s="351"/>
      <c r="GY411" s="351"/>
      <c r="GZ411" s="351"/>
      <c r="HA411" s="351"/>
      <c r="HB411" s="351"/>
      <c r="HC411" s="351"/>
      <c r="HD411" s="351"/>
      <c r="HE411" s="351"/>
      <c r="HF411" s="351"/>
      <c r="HG411" s="351"/>
      <c r="HH411" s="351"/>
      <c r="HI411" s="351"/>
      <c r="HJ411" s="351"/>
      <c r="HK411" s="351"/>
      <c r="HL411" s="351"/>
      <c r="HM411" s="351"/>
      <c r="HN411" s="351"/>
      <c r="HO411" s="351"/>
      <c r="HP411" s="351"/>
      <c r="HQ411" s="351"/>
      <c r="HR411" s="351"/>
      <c r="HS411" s="351"/>
      <c r="HT411" s="351"/>
      <c r="HU411" s="351"/>
      <c r="HV411" s="351"/>
      <c r="HW411" s="351"/>
      <c r="HX411" s="351"/>
      <c r="HY411" s="351"/>
      <c r="HZ411" s="351"/>
      <c r="IA411" s="351"/>
      <c r="IB411" s="351"/>
      <c r="IC411" s="351"/>
      <c r="ID411" s="351"/>
      <c r="IE411" s="351"/>
      <c r="IF411" s="351"/>
      <c r="IG411" s="351"/>
      <c r="IH411" s="351"/>
      <c r="II411" s="351"/>
      <c r="IJ411" s="351"/>
      <c r="IK411" s="351"/>
      <c r="IL411" s="351"/>
      <c r="IM411" s="351"/>
      <c r="IN411" s="351"/>
      <c r="IO411" s="351"/>
      <c r="IP411" s="351"/>
    </row>
    <row r="412" spans="1:250" ht="15.75" customHeight="1" x14ac:dyDescent="0.25">
      <c r="A412" s="351" t="s">
        <v>1339</v>
      </c>
      <c r="B412" s="351" t="s">
        <v>1340</v>
      </c>
      <c r="C412" s="351"/>
      <c r="D412" s="351"/>
      <c r="E412" s="351"/>
      <c r="F412" s="351"/>
      <c r="G412" s="351"/>
      <c r="H412" s="351"/>
      <c r="I412" s="351"/>
      <c r="J412" s="351"/>
      <c r="K412" s="351"/>
      <c r="L412" s="351"/>
      <c r="M412" s="351"/>
      <c r="N412" s="351"/>
      <c r="O412" s="351"/>
      <c r="P412" s="351"/>
      <c r="Q412" s="351"/>
      <c r="R412" s="351"/>
      <c r="S412" s="351"/>
      <c r="T412" s="351"/>
      <c r="U412" s="351"/>
      <c r="V412" s="351"/>
      <c r="W412" s="351"/>
      <c r="X412" s="351"/>
      <c r="Y412" s="351"/>
      <c r="Z412" s="351"/>
      <c r="AA412" s="351"/>
      <c r="AB412" s="351"/>
      <c r="AC412" s="351"/>
      <c r="AD412" s="351"/>
      <c r="AE412" s="351"/>
      <c r="AF412" s="351"/>
      <c r="AG412" s="351"/>
      <c r="AH412" s="351"/>
      <c r="AI412" s="351"/>
      <c r="AJ412" s="351"/>
      <c r="AK412" s="351"/>
      <c r="AL412" s="351"/>
      <c r="AM412" s="351"/>
      <c r="AN412" s="351"/>
      <c r="AO412" s="351"/>
      <c r="AP412" s="351"/>
      <c r="AQ412" s="351"/>
      <c r="AR412" s="351"/>
      <c r="AS412" s="351"/>
      <c r="AT412" s="351"/>
      <c r="AU412" s="351"/>
      <c r="AV412" s="351"/>
      <c r="AW412" s="351"/>
      <c r="AX412" s="351"/>
      <c r="AY412" s="351"/>
      <c r="AZ412" s="351"/>
      <c r="BA412" s="351"/>
      <c r="BB412" s="351"/>
      <c r="BC412" s="351"/>
      <c r="BD412" s="351"/>
      <c r="BE412" s="351"/>
      <c r="BF412" s="351"/>
      <c r="BG412" s="351"/>
      <c r="BH412" s="351"/>
      <c r="BI412" s="351"/>
      <c r="BJ412" s="351"/>
      <c r="BK412" s="351"/>
      <c r="BL412" s="351"/>
      <c r="BM412" s="351"/>
      <c r="BN412" s="351"/>
      <c r="BO412" s="351"/>
      <c r="BP412" s="351">
        <v>50</v>
      </c>
      <c r="BQ412" s="351"/>
      <c r="BR412" s="351"/>
      <c r="BS412" s="351"/>
      <c r="BT412" s="351"/>
      <c r="BU412" s="351"/>
      <c r="BV412" s="351"/>
      <c r="BW412" s="351"/>
      <c r="BX412" s="351"/>
      <c r="BY412" s="351"/>
      <c r="BZ412" s="351"/>
      <c r="CA412" s="351"/>
      <c r="CB412" s="351"/>
      <c r="CC412" s="351"/>
      <c r="CD412" s="351"/>
      <c r="CE412" s="351"/>
      <c r="CF412" s="351"/>
      <c r="CG412" s="351"/>
      <c r="CH412" s="351"/>
      <c r="CI412" s="351"/>
      <c r="CJ412" s="351"/>
      <c r="CK412" s="351"/>
      <c r="CL412" s="351"/>
      <c r="CM412" s="351"/>
      <c r="CN412" s="351"/>
      <c r="CO412" s="351"/>
      <c r="CP412" s="351"/>
      <c r="CQ412" s="351"/>
      <c r="CR412" s="351"/>
      <c r="CS412" s="351"/>
      <c r="CT412" s="351"/>
      <c r="CU412" s="351"/>
      <c r="CV412" s="351"/>
      <c r="CW412" s="351"/>
      <c r="CX412" s="351"/>
      <c r="CY412" s="351"/>
      <c r="CZ412" s="351"/>
      <c r="DA412" s="351"/>
      <c r="DB412" s="351"/>
      <c r="DC412" s="351"/>
      <c r="DD412" s="351"/>
      <c r="DE412" s="351"/>
      <c r="DF412" s="351"/>
      <c r="DG412" s="351"/>
      <c r="DH412" s="351"/>
      <c r="DI412" s="351"/>
      <c r="DJ412" s="351"/>
      <c r="DK412" s="351"/>
      <c r="DL412" s="351"/>
      <c r="DM412" s="351"/>
      <c r="DN412" s="351"/>
      <c r="DO412" s="351"/>
      <c r="DP412" s="351"/>
      <c r="DQ412" s="351"/>
      <c r="DR412" s="351"/>
      <c r="DS412" s="351"/>
      <c r="DT412" s="351"/>
      <c r="DU412" s="351"/>
      <c r="DV412" s="351"/>
      <c r="DW412" s="351"/>
      <c r="DX412" s="351"/>
      <c r="DY412" s="351"/>
      <c r="DZ412" s="351"/>
      <c r="EA412" s="351"/>
      <c r="EB412" s="351"/>
      <c r="EC412" s="351"/>
      <c r="ED412" s="351"/>
      <c r="EE412" s="351"/>
      <c r="EF412" s="351"/>
      <c r="EG412" s="351"/>
      <c r="EH412" s="351"/>
      <c r="EI412" s="351"/>
      <c r="EJ412" s="351"/>
      <c r="EK412" s="351"/>
      <c r="EL412" s="351"/>
      <c r="EM412" s="351"/>
      <c r="EN412" s="351"/>
      <c r="EO412" s="351"/>
      <c r="EP412" s="351"/>
      <c r="EQ412" s="351"/>
      <c r="ER412" s="351"/>
      <c r="ES412" s="351"/>
      <c r="ET412" s="351"/>
      <c r="EU412" s="351"/>
      <c r="EV412" s="351"/>
      <c r="EW412" s="351"/>
      <c r="EX412" s="351"/>
      <c r="EY412" s="351"/>
      <c r="EZ412" s="351"/>
      <c r="FA412" s="351"/>
      <c r="FB412" s="351"/>
      <c r="FC412" s="351"/>
      <c r="FD412" s="351"/>
      <c r="FE412" s="351"/>
      <c r="FF412" s="351"/>
      <c r="FG412" s="351"/>
      <c r="FH412" s="351"/>
      <c r="FI412" s="351"/>
      <c r="FJ412" s="351"/>
      <c r="FK412" s="351"/>
      <c r="FL412" s="351"/>
      <c r="FM412" s="351"/>
      <c r="FN412" s="351"/>
      <c r="FO412" s="351"/>
      <c r="FP412" s="351"/>
      <c r="FQ412" s="351"/>
      <c r="FR412" s="351"/>
      <c r="FS412" s="351"/>
      <c r="FT412" s="351"/>
      <c r="FU412" s="351"/>
      <c r="FV412" s="351"/>
      <c r="FW412" s="351"/>
      <c r="FX412" s="351"/>
      <c r="FY412" s="351"/>
      <c r="FZ412" s="351"/>
      <c r="GA412" s="351"/>
      <c r="GB412" s="351"/>
      <c r="GC412" s="351"/>
      <c r="GD412" s="351"/>
      <c r="GE412" s="351"/>
      <c r="GF412" s="351"/>
      <c r="GG412" s="351"/>
      <c r="GH412" s="351"/>
      <c r="GI412" s="351"/>
      <c r="GJ412" s="351"/>
      <c r="GK412" s="351"/>
      <c r="GL412" s="351"/>
      <c r="GM412" s="351"/>
      <c r="GN412" s="351"/>
      <c r="GO412" s="351"/>
      <c r="GP412" s="351"/>
      <c r="GQ412" s="351"/>
      <c r="GR412" s="351"/>
      <c r="GS412" s="351"/>
      <c r="GT412" s="351"/>
      <c r="GU412" s="351"/>
      <c r="GV412" s="351"/>
      <c r="GW412" s="351"/>
      <c r="GX412" s="351"/>
      <c r="GY412" s="351"/>
      <c r="GZ412" s="351"/>
      <c r="HA412" s="351"/>
      <c r="HB412" s="351"/>
      <c r="HC412" s="351"/>
      <c r="HD412" s="351"/>
      <c r="HE412" s="351"/>
      <c r="HF412" s="351"/>
      <c r="HG412" s="351"/>
      <c r="HH412" s="351"/>
      <c r="HI412" s="351"/>
      <c r="HJ412" s="351"/>
      <c r="HK412" s="351"/>
      <c r="HL412" s="351"/>
      <c r="HM412" s="351"/>
      <c r="HN412" s="351"/>
      <c r="HO412" s="351"/>
      <c r="HP412" s="351"/>
      <c r="HQ412" s="351"/>
      <c r="HR412" s="351"/>
      <c r="HS412" s="351"/>
      <c r="HT412" s="351"/>
      <c r="HU412" s="351"/>
      <c r="HV412" s="351"/>
      <c r="HW412" s="351"/>
      <c r="HX412" s="351"/>
      <c r="HY412" s="351"/>
      <c r="HZ412" s="351"/>
      <c r="IA412" s="351"/>
      <c r="IB412" s="351"/>
      <c r="IC412" s="351"/>
      <c r="ID412" s="351"/>
      <c r="IE412" s="351"/>
      <c r="IF412" s="351"/>
      <c r="IG412" s="351"/>
      <c r="IH412" s="351"/>
      <c r="II412" s="351"/>
      <c r="IJ412" s="351"/>
      <c r="IK412" s="351"/>
      <c r="IL412" s="351"/>
      <c r="IM412" s="351"/>
      <c r="IN412" s="351"/>
      <c r="IO412" s="351"/>
      <c r="IP412" s="351"/>
    </row>
    <row r="413" spans="1:250" ht="15.75" customHeight="1" x14ac:dyDescent="0.25">
      <c r="A413" s="351" t="s">
        <v>1318</v>
      </c>
      <c r="B413" s="351" t="s">
        <v>1341</v>
      </c>
      <c r="C413" s="351"/>
      <c r="D413" s="351"/>
      <c r="E413" s="351"/>
      <c r="F413" s="351"/>
      <c r="G413" s="351"/>
      <c r="H413" s="351"/>
      <c r="I413" s="351"/>
      <c r="J413" s="351"/>
      <c r="K413" s="351"/>
      <c r="L413" s="351"/>
      <c r="M413" s="351"/>
      <c r="N413" s="351"/>
      <c r="O413" s="351"/>
      <c r="P413" s="351"/>
      <c r="Q413" s="351"/>
      <c r="R413" s="351"/>
      <c r="S413" s="351"/>
      <c r="T413" s="351"/>
      <c r="U413" s="351"/>
      <c r="V413" s="351"/>
      <c r="W413" s="351"/>
      <c r="X413" s="351"/>
      <c r="Y413" s="351"/>
      <c r="Z413" s="351"/>
      <c r="AA413" s="351"/>
      <c r="AB413" s="351"/>
      <c r="AC413" s="351"/>
      <c r="AD413" s="351"/>
      <c r="AE413" s="351"/>
      <c r="AF413" s="351"/>
      <c r="AG413" s="351"/>
      <c r="AH413" s="351"/>
      <c r="AI413" s="351"/>
      <c r="AJ413" s="351"/>
      <c r="AK413" s="351"/>
      <c r="AL413" s="351"/>
      <c r="AM413" s="351"/>
      <c r="AN413" s="351"/>
      <c r="AO413" s="351"/>
      <c r="AP413" s="351"/>
      <c r="AQ413" s="351"/>
      <c r="AR413" s="351"/>
      <c r="AS413" s="351"/>
      <c r="AT413" s="351"/>
      <c r="AU413" s="351"/>
      <c r="AV413" s="351"/>
      <c r="AW413" s="351"/>
      <c r="AX413" s="351"/>
      <c r="AY413" s="351"/>
      <c r="AZ413" s="351"/>
      <c r="BA413" s="351"/>
      <c r="BB413" s="351"/>
      <c r="BC413" s="351"/>
      <c r="BD413" s="351"/>
      <c r="BE413" s="351"/>
      <c r="BF413" s="351"/>
      <c r="BG413" s="351"/>
      <c r="BH413" s="351"/>
      <c r="BI413" s="351"/>
      <c r="BJ413" s="351"/>
      <c r="BK413" s="351"/>
      <c r="BL413" s="351"/>
      <c r="BM413" s="351"/>
      <c r="BN413" s="351"/>
      <c r="BO413" s="351"/>
      <c r="BP413" s="351"/>
      <c r="BQ413" s="351"/>
      <c r="BR413" s="351"/>
      <c r="BS413" s="351"/>
      <c r="BT413" s="351"/>
      <c r="BU413" s="351"/>
      <c r="BV413" s="351"/>
      <c r="BW413" s="351"/>
      <c r="BX413" s="351"/>
      <c r="BY413" s="351"/>
      <c r="BZ413" s="351"/>
      <c r="CA413" s="351"/>
      <c r="CB413" s="351"/>
      <c r="CC413" s="351"/>
      <c r="CD413" s="351"/>
      <c r="CE413" s="351"/>
      <c r="CF413" s="351"/>
      <c r="CG413" s="351"/>
      <c r="CH413" s="351"/>
      <c r="CI413" s="351"/>
      <c r="CJ413" s="351"/>
      <c r="CK413" s="351"/>
      <c r="CL413" s="351"/>
      <c r="CM413" s="351"/>
      <c r="CN413" s="351"/>
      <c r="CO413" s="351"/>
      <c r="CP413" s="351"/>
      <c r="CQ413" s="351"/>
      <c r="CR413" s="351"/>
      <c r="CS413" s="351"/>
      <c r="CT413" s="351"/>
      <c r="CU413" s="351"/>
      <c r="CV413" s="351"/>
      <c r="CW413" s="351"/>
      <c r="CX413" s="351"/>
      <c r="CY413" s="351"/>
      <c r="CZ413" s="351"/>
      <c r="DA413" s="351"/>
      <c r="DB413" s="351"/>
      <c r="DC413" s="351"/>
      <c r="DD413" s="351"/>
      <c r="DE413" s="351"/>
      <c r="DF413" s="351"/>
      <c r="DG413" s="351"/>
      <c r="DH413" s="351"/>
      <c r="DI413" s="351"/>
      <c r="DJ413" s="351"/>
      <c r="DK413" s="351"/>
      <c r="DL413" s="351"/>
      <c r="DM413" s="351"/>
      <c r="DN413" s="351"/>
      <c r="DO413" s="351"/>
      <c r="DP413" s="351"/>
      <c r="DQ413" s="351">
        <v>12</v>
      </c>
      <c r="DR413" s="351"/>
      <c r="DS413" s="351"/>
      <c r="DT413" s="351"/>
      <c r="DU413" s="351"/>
      <c r="DV413" s="351"/>
      <c r="DW413" s="351"/>
      <c r="DX413" s="351">
        <v>6</v>
      </c>
      <c r="DY413" s="351"/>
      <c r="DZ413" s="351"/>
      <c r="EA413" s="351"/>
      <c r="EB413" s="351">
        <v>12</v>
      </c>
      <c r="EC413" s="351"/>
      <c r="ED413" s="351"/>
      <c r="EE413" s="351"/>
      <c r="EF413" s="351"/>
      <c r="EG413" s="351"/>
      <c r="EH413" s="351"/>
      <c r="EI413" s="351"/>
      <c r="EJ413" s="351"/>
      <c r="EK413" s="351"/>
      <c r="EL413" s="351"/>
      <c r="EM413" s="351"/>
      <c r="EN413" s="351"/>
      <c r="EO413" s="351"/>
      <c r="EP413" s="351"/>
      <c r="EQ413" s="351"/>
      <c r="ER413" s="351"/>
      <c r="ES413" s="351"/>
      <c r="ET413" s="351"/>
      <c r="EU413" s="351"/>
      <c r="EV413" s="351"/>
      <c r="EW413" s="351"/>
      <c r="EX413" s="351"/>
      <c r="EY413" s="351"/>
      <c r="EZ413" s="351"/>
      <c r="FA413" s="351"/>
      <c r="FB413" s="351"/>
      <c r="FC413" s="351"/>
      <c r="FD413" s="351"/>
      <c r="FE413" s="351"/>
      <c r="FF413" s="351"/>
      <c r="FG413" s="351"/>
      <c r="FH413" s="351"/>
      <c r="FI413" s="351"/>
      <c r="FJ413" s="351"/>
      <c r="FK413" s="351"/>
      <c r="FL413" s="351"/>
      <c r="FM413" s="351"/>
      <c r="FN413" s="351"/>
      <c r="FO413" s="351"/>
      <c r="FP413" s="351"/>
      <c r="FQ413" s="351"/>
      <c r="FR413" s="351"/>
      <c r="FS413" s="351"/>
      <c r="FT413" s="351"/>
      <c r="FU413" s="351"/>
      <c r="FV413" s="351"/>
      <c r="FW413" s="351"/>
      <c r="FX413" s="351"/>
      <c r="FY413" s="351"/>
      <c r="FZ413" s="351"/>
      <c r="GA413" s="351"/>
      <c r="GB413" s="351"/>
      <c r="GC413" s="351"/>
      <c r="GD413" s="351"/>
      <c r="GE413" s="351"/>
      <c r="GF413" s="351"/>
      <c r="GG413" s="351"/>
      <c r="GH413" s="351">
        <v>20</v>
      </c>
      <c r="GI413" s="351"/>
      <c r="GJ413" s="351"/>
      <c r="GK413" s="351"/>
      <c r="GL413" s="351"/>
      <c r="GM413" s="351"/>
      <c r="GN413" s="351"/>
      <c r="GO413" s="351"/>
      <c r="GP413" s="351"/>
      <c r="GQ413" s="351"/>
      <c r="GR413" s="351"/>
      <c r="GS413" s="351"/>
      <c r="GT413" s="351"/>
      <c r="GU413" s="351"/>
      <c r="GV413" s="351"/>
      <c r="GW413" s="351"/>
      <c r="GX413" s="351"/>
      <c r="GY413" s="351"/>
      <c r="GZ413" s="351"/>
      <c r="HA413" s="351"/>
      <c r="HB413" s="351"/>
      <c r="HC413" s="351"/>
      <c r="HD413" s="351"/>
      <c r="HE413" s="351"/>
      <c r="HF413" s="351"/>
      <c r="HG413" s="351"/>
      <c r="HH413" s="351"/>
      <c r="HI413" s="351"/>
      <c r="HJ413" s="351"/>
      <c r="HK413" s="351"/>
      <c r="HL413" s="351"/>
      <c r="HM413" s="351"/>
      <c r="HN413" s="351"/>
      <c r="HO413" s="351"/>
      <c r="HP413" s="351"/>
      <c r="HQ413" s="351"/>
      <c r="HR413" s="351"/>
      <c r="HS413" s="351"/>
      <c r="HT413" s="351"/>
      <c r="HU413" s="351"/>
      <c r="HV413" s="351"/>
      <c r="HW413" s="351"/>
      <c r="HX413" s="351"/>
      <c r="HY413" s="351"/>
      <c r="HZ413" s="351"/>
      <c r="IA413" s="351"/>
      <c r="IB413" s="351"/>
      <c r="IC413" s="351"/>
      <c r="ID413" s="351"/>
      <c r="IE413" s="351"/>
      <c r="IF413" s="351"/>
      <c r="IG413" s="351"/>
      <c r="IH413" s="351"/>
      <c r="II413" s="351"/>
      <c r="IJ413" s="351"/>
      <c r="IK413" s="351"/>
      <c r="IL413" s="351"/>
      <c r="IM413" s="351"/>
      <c r="IN413" s="351"/>
      <c r="IO413" s="351"/>
      <c r="IP413" s="351"/>
    </row>
    <row r="414" spans="1:250" ht="15.75" customHeight="1" x14ac:dyDescent="0.25">
      <c r="A414" s="351"/>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351"/>
      <c r="AH414" s="351"/>
      <c r="AI414" s="351"/>
      <c r="AJ414" s="351"/>
      <c r="AK414" s="351"/>
      <c r="AL414" s="351"/>
      <c r="AM414" s="351"/>
      <c r="AN414" s="351"/>
      <c r="AO414" s="351"/>
      <c r="AP414" s="351"/>
      <c r="AQ414" s="351"/>
      <c r="AR414" s="351"/>
      <c r="AS414" s="351"/>
      <c r="AT414" s="351"/>
      <c r="AU414" s="351"/>
      <c r="AV414" s="351"/>
      <c r="AW414" s="351"/>
      <c r="AX414" s="351"/>
      <c r="AY414" s="351"/>
      <c r="AZ414" s="351"/>
      <c r="BA414" s="351"/>
      <c r="BB414" s="351"/>
      <c r="BC414" s="351"/>
      <c r="BD414" s="351"/>
      <c r="BE414" s="351"/>
      <c r="BF414" s="351"/>
      <c r="BG414" s="351"/>
      <c r="BH414" s="351"/>
      <c r="BI414" s="351"/>
      <c r="BJ414" s="351"/>
      <c r="BK414" s="351"/>
      <c r="BL414" s="351"/>
      <c r="BM414" s="351"/>
      <c r="BN414" s="351"/>
      <c r="BO414" s="351"/>
      <c r="BP414" s="351"/>
      <c r="BQ414" s="351"/>
      <c r="BR414" s="351"/>
      <c r="BS414" s="351"/>
      <c r="BT414" s="351"/>
      <c r="BU414" s="351"/>
      <c r="BV414" s="351"/>
      <c r="BW414" s="351"/>
      <c r="BX414" s="351"/>
      <c r="BY414" s="351"/>
      <c r="BZ414" s="351"/>
      <c r="CA414" s="351"/>
      <c r="CB414" s="351"/>
      <c r="CC414" s="351"/>
      <c r="CD414" s="351"/>
      <c r="CE414" s="351"/>
      <c r="CF414" s="351"/>
      <c r="CG414" s="351"/>
      <c r="CH414" s="351"/>
      <c r="CI414" s="351"/>
      <c r="CJ414" s="351"/>
      <c r="CK414" s="351"/>
      <c r="CL414" s="351"/>
      <c r="CM414" s="351"/>
      <c r="CN414" s="351"/>
      <c r="CO414" s="351"/>
      <c r="CP414" s="351"/>
      <c r="CQ414" s="351"/>
      <c r="CR414" s="351"/>
      <c r="CS414" s="351"/>
      <c r="CT414" s="351"/>
      <c r="CU414" s="351"/>
      <c r="CV414" s="351"/>
      <c r="CW414" s="351"/>
      <c r="CX414" s="351"/>
      <c r="CY414" s="351"/>
      <c r="CZ414" s="351"/>
      <c r="DA414" s="351"/>
      <c r="DB414" s="351"/>
      <c r="DC414" s="351"/>
      <c r="DD414" s="351"/>
      <c r="DE414" s="351"/>
      <c r="DF414" s="351"/>
      <c r="DG414" s="351"/>
      <c r="DH414" s="351"/>
      <c r="DI414" s="351"/>
      <c r="DJ414" s="351"/>
      <c r="DK414" s="351"/>
      <c r="DL414" s="351"/>
      <c r="DM414" s="351"/>
      <c r="DN414" s="351"/>
      <c r="DO414" s="351"/>
      <c r="DP414" s="351"/>
      <c r="DQ414" s="351"/>
      <c r="DR414" s="351"/>
      <c r="DS414" s="351"/>
      <c r="DT414" s="351"/>
      <c r="DU414" s="351"/>
      <c r="DV414" s="351"/>
      <c r="DW414" s="351"/>
      <c r="DX414" s="351"/>
      <c r="DY414" s="351"/>
      <c r="DZ414" s="351"/>
      <c r="EA414" s="351"/>
      <c r="EB414" s="351"/>
      <c r="EC414" s="351"/>
      <c r="ED414" s="351"/>
      <c r="EE414" s="351"/>
      <c r="EF414" s="351"/>
      <c r="EG414" s="351"/>
      <c r="EH414" s="351"/>
      <c r="EI414" s="351"/>
      <c r="EJ414" s="351"/>
      <c r="EK414" s="351"/>
      <c r="EL414" s="351"/>
      <c r="EM414" s="351"/>
      <c r="EN414" s="351"/>
      <c r="EO414" s="351"/>
      <c r="EP414" s="351"/>
      <c r="EQ414" s="351"/>
      <c r="ER414" s="351"/>
      <c r="ES414" s="351"/>
      <c r="ET414" s="351"/>
      <c r="EU414" s="351"/>
      <c r="EV414" s="351"/>
      <c r="EW414" s="351"/>
      <c r="EX414" s="351"/>
      <c r="EY414" s="351"/>
      <c r="EZ414" s="351"/>
      <c r="FA414" s="351"/>
      <c r="FB414" s="351"/>
      <c r="FC414" s="351"/>
      <c r="FD414" s="351"/>
      <c r="FE414" s="351"/>
      <c r="FF414" s="351"/>
      <c r="FG414" s="351"/>
      <c r="FH414" s="351"/>
      <c r="FI414" s="351"/>
      <c r="FJ414" s="351"/>
      <c r="FK414" s="351"/>
      <c r="FL414" s="351"/>
      <c r="FM414" s="351"/>
      <c r="FN414" s="351"/>
      <c r="FO414" s="351"/>
      <c r="FP414" s="351"/>
      <c r="FQ414" s="351"/>
      <c r="FR414" s="351"/>
      <c r="FS414" s="351"/>
      <c r="FT414" s="351"/>
      <c r="FU414" s="351"/>
      <c r="FV414" s="351"/>
      <c r="FW414" s="351"/>
      <c r="FX414" s="351"/>
      <c r="FY414" s="351"/>
      <c r="FZ414" s="351"/>
      <c r="GA414" s="351"/>
      <c r="GB414" s="351"/>
      <c r="GC414" s="351"/>
      <c r="GD414" s="351"/>
      <c r="GE414" s="351"/>
      <c r="GF414" s="351"/>
      <c r="GG414" s="351"/>
      <c r="GH414" s="351"/>
      <c r="GI414" s="351"/>
      <c r="GJ414" s="351"/>
      <c r="GK414" s="351"/>
      <c r="GL414" s="351"/>
      <c r="GM414" s="351"/>
      <c r="GN414" s="351"/>
      <c r="GO414" s="351"/>
      <c r="GP414" s="351"/>
      <c r="GQ414" s="351"/>
      <c r="GR414" s="351"/>
      <c r="GS414" s="351"/>
      <c r="GT414" s="351"/>
      <c r="GU414" s="351"/>
      <c r="GV414" s="351"/>
      <c r="GW414" s="351"/>
      <c r="GX414" s="351"/>
      <c r="GY414" s="351"/>
      <c r="GZ414" s="351"/>
      <c r="HA414" s="351"/>
      <c r="HB414" s="351"/>
      <c r="HC414" s="351"/>
      <c r="HD414" s="351"/>
      <c r="HE414" s="351"/>
      <c r="HF414" s="351"/>
      <c r="HG414" s="351"/>
      <c r="HH414" s="351"/>
      <c r="HI414" s="351"/>
      <c r="HJ414" s="351"/>
      <c r="HK414" s="351"/>
      <c r="HL414" s="351"/>
      <c r="HM414" s="351"/>
      <c r="HN414" s="351"/>
      <c r="HO414" s="351"/>
      <c r="HP414" s="351"/>
      <c r="HQ414" s="351"/>
      <c r="HR414" s="351"/>
      <c r="HS414" s="351"/>
      <c r="HT414" s="351"/>
      <c r="HU414" s="351"/>
      <c r="HV414" s="351"/>
      <c r="HW414" s="351"/>
      <c r="HX414" s="351"/>
      <c r="HY414" s="351"/>
      <c r="HZ414" s="351"/>
      <c r="IA414" s="351"/>
      <c r="IB414" s="351"/>
      <c r="IC414" s="351"/>
      <c r="ID414" s="351"/>
      <c r="IE414" s="351"/>
      <c r="IF414" s="351"/>
      <c r="IG414" s="351"/>
      <c r="IH414" s="351"/>
      <c r="II414" s="351"/>
      <c r="IJ414" s="351"/>
      <c r="IK414" s="351"/>
      <c r="IL414" s="351"/>
      <c r="IM414" s="351"/>
      <c r="IN414" s="351"/>
      <c r="IO414" s="351"/>
      <c r="IP414" s="351"/>
    </row>
    <row r="415" spans="1:250" ht="15.75" customHeight="1" x14ac:dyDescent="0.25">
      <c r="A415" s="351"/>
      <c r="B415" s="351"/>
      <c r="C415" s="351"/>
      <c r="D415" s="351"/>
      <c r="E415" s="351"/>
      <c r="F415" s="351"/>
      <c r="G415" s="351"/>
      <c r="H415" s="351"/>
      <c r="I415" s="351"/>
      <c r="J415" s="351"/>
      <c r="K415" s="351"/>
      <c r="L415" s="351"/>
      <c r="M415" s="351"/>
      <c r="N415" s="351"/>
      <c r="O415" s="351"/>
      <c r="P415" s="351"/>
      <c r="Q415" s="351"/>
      <c r="R415" s="351"/>
      <c r="S415" s="351"/>
      <c r="T415" s="351"/>
      <c r="U415" s="351"/>
      <c r="V415" s="351"/>
      <c r="W415" s="351"/>
      <c r="X415" s="351"/>
      <c r="Y415" s="351"/>
      <c r="Z415" s="351"/>
      <c r="AA415" s="351"/>
      <c r="AB415" s="351"/>
      <c r="AC415" s="351"/>
      <c r="AD415" s="351"/>
      <c r="AE415" s="351"/>
      <c r="AF415" s="351"/>
      <c r="AG415" s="351"/>
      <c r="AH415" s="351"/>
      <c r="AI415" s="351"/>
      <c r="AJ415" s="351"/>
      <c r="AK415" s="351"/>
      <c r="AL415" s="351"/>
      <c r="AM415" s="351"/>
      <c r="AN415" s="351"/>
      <c r="AO415" s="351"/>
      <c r="AP415" s="351"/>
      <c r="AQ415" s="351"/>
      <c r="AR415" s="351"/>
      <c r="AS415" s="351"/>
      <c r="AT415" s="351"/>
      <c r="AU415" s="351"/>
      <c r="AV415" s="351"/>
      <c r="AW415" s="351"/>
      <c r="AX415" s="351"/>
      <c r="AY415" s="351"/>
      <c r="AZ415" s="351"/>
      <c r="BA415" s="351"/>
      <c r="BB415" s="351"/>
      <c r="BC415" s="351"/>
      <c r="BD415" s="351"/>
      <c r="BE415" s="351"/>
      <c r="BF415" s="351"/>
      <c r="BG415" s="351"/>
      <c r="BH415" s="351"/>
      <c r="BI415" s="351"/>
      <c r="BJ415" s="351"/>
      <c r="BK415" s="351"/>
      <c r="BL415" s="351"/>
      <c r="BM415" s="351"/>
      <c r="BN415" s="351"/>
      <c r="BO415" s="351"/>
      <c r="BP415" s="351"/>
      <c r="BQ415" s="351"/>
      <c r="BR415" s="351"/>
      <c r="BS415" s="351"/>
      <c r="BT415" s="351"/>
      <c r="BU415" s="351"/>
      <c r="BV415" s="351"/>
      <c r="BW415" s="351"/>
      <c r="BX415" s="351"/>
      <c r="BY415" s="351"/>
      <c r="BZ415" s="351"/>
      <c r="CA415" s="351"/>
      <c r="CB415" s="351"/>
      <c r="CC415" s="351"/>
      <c r="CD415" s="351"/>
      <c r="CE415" s="351"/>
      <c r="CF415" s="351"/>
      <c r="CG415" s="351"/>
      <c r="CH415" s="351"/>
      <c r="CI415" s="351"/>
      <c r="CJ415" s="351"/>
      <c r="CK415" s="351"/>
      <c r="CL415" s="351"/>
      <c r="CM415" s="351"/>
      <c r="CN415" s="351"/>
      <c r="CO415" s="351"/>
      <c r="CP415" s="351"/>
      <c r="CQ415" s="351"/>
      <c r="CR415" s="351"/>
      <c r="CS415" s="351"/>
      <c r="CT415" s="351"/>
      <c r="CU415" s="351"/>
      <c r="CV415" s="351"/>
      <c r="CW415" s="351"/>
      <c r="CX415" s="351"/>
      <c r="CY415" s="351"/>
      <c r="CZ415" s="351"/>
      <c r="DA415" s="351"/>
      <c r="DB415" s="351"/>
      <c r="DC415" s="351"/>
      <c r="DD415" s="351"/>
      <c r="DE415" s="351"/>
      <c r="DF415" s="351"/>
      <c r="DG415" s="351"/>
      <c r="DH415" s="351"/>
      <c r="DI415" s="351"/>
      <c r="DJ415" s="351"/>
      <c r="DK415" s="351"/>
      <c r="DL415" s="351"/>
      <c r="DM415" s="351"/>
      <c r="DN415" s="351"/>
      <c r="DO415" s="351"/>
      <c r="DP415" s="351"/>
      <c r="DQ415" s="351"/>
      <c r="DR415" s="351"/>
      <c r="DS415" s="351"/>
      <c r="DT415" s="351"/>
      <c r="DU415" s="351"/>
      <c r="DV415" s="351"/>
      <c r="DW415" s="351"/>
      <c r="DX415" s="351"/>
      <c r="DY415" s="351"/>
      <c r="DZ415" s="351"/>
      <c r="EA415" s="351"/>
      <c r="EB415" s="351"/>
      <c r="EC415" s="351"/>
      <c r="ED415" s="351"/>
      <c r="EE415" s="351"/>
      <c r="EF415" s="351"/>
      <c r="EG415" s="351"/>
      <c r="EH415" s="351"/>
      <c r="EI415" s="351"/>
      <c r="EJ415" s="351"/>
      <c r="EK415" s="351"/>
      <c r="EL415" s="351"/>
      <c r="EM415" s="351"/>
      <c r="EN415" s="351"/>
      <c r="EO415" s="351"/>
      <c r="EP415" s="351"/>
      <c r="EQ415" s="351"/>
      <c r="ER415" s="351"/>
      <c r="ES415" s="351"/>
      <c r="ET415" s="351"/>
      <c r="EU415" s="351"/>
      <c r="EV415" s="351"/>
      <c r="EW415" s="351"/>
      <c r="EX415" s="351"/>
      <c r="EY415" s="351"/>
      <c r="EZ415" s="351"/>
      <c r="FA415" s="351"/>
      <c r="FB415" s="351"/>
      <c r="FC415" s="351"/>
      <c r="FD415" s="351"/>
      <c r="FE415" s="351"/>
      <c r="FF415" s="351"/>
      <c r="FG415" s="351"/>
      <c r="FH415" s="351"/>
      <c r="FI415" s="351"/>
      <c r="FJ415" s="351"/>
      <c r="FK415" s="351"/>
      <c r="FL415" s="351"/>
      <c r="FM415" s="351"/>
      <c r="FN415" s="351"/>
      <c r="FO415" s="351"/>
      <c r="FP415" s="351"/>
      <c r="FQ415" s="351"/>
      <c r="FR415" s="351"/>
      <c r="FS415" s="351"/>
      <c r="FT415" s="351"/>
      <c r="FU415" s="351"/>
      <c r="FV415" s="351"/>
      <c r="FW415" s="351"/>
      <c r="FX415" s="351"/>
      <c r="FY415" s="351"/>
      <c r="FZ415" s="351"/>
      <c r="GA415" s="351"/>
      <c r="GB415" s="351"/>
      <c r="GC415" s="351"/>
      <c r="GD415" s="351"/>
      <c r="GE415" s="351"/>
      <c r="GF415" s="351"/>
      <c r="GG415" s="351"/>
      <c r="GH415" s="351"/>
      <c r="GI415" s="351"/>
      <c r="GJ415" s="351"/>
      <c r="GK415" s="351"/>
      <c r="GL415" s="351"/>
      <c r="GM415" s="351"/>
      <c r="GN415" s="351"/>
      <c r="GO415" s="351"/>
      <c r="GP415" s="351"/>
      <c r="GQ415" s="351"/>
      <c r="GR415" s="351"/>
      <c r="GS415" s="351"/>
      <c r="GT415" s="351"/>
      <c r="GU415" s="351"/>
      <c r="GV415" s="351"/>
      <c r="GW415" s="351"/>
      <c r="GX415" s="351"/>
      <c r="GY415" s="351"/>
      <c r="GZ415" s="351"/>
      <c r="HA415" s="351"/>
      <c r="HB415" s="351"/>
      <c r="HC415" s="351"/>
      <c r="HD415" s="351"/>
      <c r="HE415" s="351"/>
      <c r="HF415" s="351"/>
      <c r="HG415" s="351"/>
      <c r="HH415" s="351"/>
      <c r="HI415" s="351"/>
      <c r="HJ415" s="351"/>
      <c r="HK415" s="351"/>
      <c r="HL415" s="351"/>
      <c r="HM415" s="351"/>
      <c r="HN415" s="351"/>
      <c r="HO415" s="351"/>
      <c r="HP415" s="351"/>
      <c r="HQ415" s="351"/>
      <c r="HR415" s="351"/>
      <c r="HS415" s="351"/>
      <c r="HT415" s="351"/>
      <c r="HU415" s="351"/>
      <c r="HV415" s="351"/>
      <c r="HW415" s="351"/>
      <c r="HX415" s="351"/>
      <c r="HY415" s="351"/>
      <c r="HZ415" s="351"/>
      <c r="IA415" s="351"/>
      <c r="IB415" s="351"/>
      <c r="IC415" s="351"/>
      <c r="ID415" s="351"/>
      <c r="IE415" s="351"/>
      <c r="IF415" s="351"/>
      <c r="IG415" s="351"/>
      <c r="IH415" s="351"/>
      <c r="II415" s="351"/>
      <c r="IJ415" s="351"/>
      <c r="IK415" s="351"/>
      <c r="IL415" s="351"/>
      <c r="IM415" s="351"/>
      <c r="IN415" s="351"/>
      <c r="IO415" s="351"/>
      <c r="IP415" s="351"/>
    </row>
    <row r="416" spans="1:250" ht="15.75" customHeight="1" x14ac:dyDescent="0.25">
      <c r="A416" s="635"/>
      <c r="B416" s="635"/>
      <c r="C416" s="635"/>
      <c r="D416" s="635"/>
      <c r="E416" s="635"/>
      <c r="F416" s="635"/>
      <c r="G416" s="635"/>
      <c r="H416" s="635"/>
      <c r="I416" s="635"/>
      <c r="J416" s="635"/>
      <c r="K416" s="635"/>
      <c r="L416" s="635"/>
      <c r="M416" s="635"/>
      <c r="N416" s="635"/>
      <c r="O416" s="635"/>
      <c r="P416" s="635"/>
      <c r="Q416" s="635"/>
      <c r="R416" s="635"/>
      <c r="S416" s="635"/>
      <c r="T416" s="635"/>
      <c r="U416" s="635"/>
      <c r="V416" s="635"/>
      <c r="W416" s="635"/>
      <c r="X416" s="635"/>
      <c r="Y416" s="635"/>
      <c r="Z416" s="635"/>
      <c r="AA416" s="635"/>
      <c r="AB416" s="635"/>
      <c r="AC416" s="635"/>
      <c r="AD416" s="635"/>
      <c r="AE416" s="635"/>
      <c r="AF416" s="635"/>
      <c r="AG416" s="635"/>
      <c r="AH416" s="635"/>
      <c r="AI416" s="635"/>
      <c r="AJ416" s="635"/>
      <c r="AK416" s="635"/>
      <c r="AL416" s="635"/>
      <c r="AM416" s="635"/>
      <c r="AN416" s="635"/>
      <c r="AO416" s="635"/>
      <c r="AP416" s="635"/>
      <c r="AQ416" s="635"/>
      <c r="AR416" s="635"/>
      <c r="AS416" s="635"/>
      <c r="AT416" s="635"/>
      <c r="AU416" s="635"/>
      <c r="AV416" s="635"/>
      <c r="AW416" s="635"/>
      <c r="AX416" s="635"/>
      <c r="AY416" s="635"/>
      <c r="AZ416" s="635"/>
      <c r="BA416" s="635"/>
      <c r="BB416" s="635"/>
      <c r="BC416" s="635"/>
      <c r="BD416" s="635"/>
      <c r="BE416" s="635"/>
      <c r="BF416" s="635"/>
      <c r="BG416" s="635"/>
      <c r="BH416" s="635"/>
      <c r="BI416" s="635"/>
      <c r="BJ416" s="635"/>
      <c r="BK416" s="635"/>
      <c r="BL416" s="635"/>
      <c r="BM416" s="635"/>
      <c r="BN416" s="635"/>
      <c r="BO416" s="635"/>
      <c r="BP416" s="635"/>
      <c r="BQ416" s="635"/>
      <c r="BR416" s="635"/>
      <c r="BS416" s="635"/>
      <c r="BT416" s="635"/>
      <c r="BU416" s="635"/>
      <c r="BV416" s="635"/>
      <c r="BW416" s="635"/>
      <c r="BX416" s="635"/>
      <c r="BY416" s="635"/>
      <c r="BZ416" s="635"/>
      <c r="CA416" s="635"/>
      <c r="CB416" s="635"/>
      <c r="CC416" s="635"/>
      <c r="CD416" s="635"/>
      <c r="CE416" s="635"/>
      <c r="CF416" s="635"/>
      <c r="CG416" s="635"/>
      <c r="CH416" s="635"/>
      <c r="CI416" s="635"/>
      <c r="CJ416" s="635"/>
      <c r="CK416" s="635"/>
      <c r="CL416" s="635"/>
      <c r="CM416" s="635"/>
      <c r="CN416" s="635"/>
      <c r="CO416" s="635"/>
      <c r="CP416" s="635"/>
      <c r="CQ416" s="635"/>
      <c r="CR416" s="635"/>
      <c r="CS416" s="635"/>
      <c r="CT416" s="635"/>
      <c r="CU416" s="635"/>
      <c r="CV416" s="635"/>
      <c r="CW416" s="635"/>
      <c r="CX416" s="635"/>
      <c r="CY416" s="635"/>
      <c r="CZ416" s="635"/>
      <c r="DA416" s="635"/>
      <c r="DB416" s="635"/>
      <c r="DC416" s="635"/>
      <c r="DD416" s="635"/>
      <c r="DE416" s="635"/>
      <c r="DF416" s="635"/>
      <c r="DG416" s="635"/>
      <c r="DH416" s="635"/>
      <c r="DI416" s="635"/>
      <c r="DJ416" s="635"/>
      <c r="DK416" s="635"/>
      <c r="DL416" s="635"/>
      <c r="DM416" s="635"/>
      <c r="DN416" s="635"/>
      <c r="DO416" s="635"/>
      <c r="DP416" s="635"/>
      <c r="DQ416" s="635"/>
      <c r="DR416" s="635"/>
      <c r="DS416" s="635"/>
      <c r="DT416" s="635"/>
      <c r="DU416" s="635"/>
      <c r="DV416" s="635"/>
      <c r="DW416" s="635"/>
      <c r="DX416" s="635"/>
      <c r="DY416" s="635"/>
      <c r="DZ416" s="635"/>
      <c r="EA416" s="635"/>
      <c r="EB416" s="635"/>
      <c r="EC416" s="635"/>
      <c r="ED416" s="635"/>
      <c r="EE416" s="635"/>
      <c r="EF416" s="635"/>
      <c r="EG416" s="635"/>
      <c r="EH416" s="635"/>
      <c r="EI416" s="635"/>
      <c r="EJ416" s="635"/>
      <c r="EK416" s="635"/>
      <c r="EL416" s="635"/>
      <c r="EM416" s="635"/>
      <c r="EN416" s="635"/>
      <c r="EO416" s="635"/>
      <c r="EP416" s="635"/>
      <c r="EQ416" s="635"/>
      <c r="ER416" s="635"/>
      <c r="ES416" s="635"/>
      <c r="ET416" s="635"/>
      <c r="EU416" s="635"/>
      <c r="EV416" s="635"/>
      <c r="EW416" s="635"/>
      <c r="EX416" s="635"/>
      <c r="EY416" s="635"/>
      <c r="EZ416" s="635"/>
      <c r="FA416" s="635"/>
      <c r="FB416" s="635"/>
      <c r="FC416" s="635"/>
      <c r="FD416" s="635"/>
      <c r="FE416" s="635"/>
      <c r="FF416" s="635"/>
      <c r="FG416" s="635"/>
      <c r="FH416" s="635"/>
      <c r="FI416" s="635"/>
      <c r="FJ416" s="635"/>
      <c r="FK416" s="635"/>
      <c r="FL416" s="635"/>
      <c r="FM416" s="635"/>
      <c r="FN416" s="635"/>
      <c r="FO416" s="635"/>
      <c r="FP416" s="635"/>
      <c r="FQ416" s="635"/>
      <c r="FR416" s="635"/>
      <c r="FS416" s="635"/>
      <c r="FT416" s="635"/>
      <c r="FU416" s="635"/>
      <c r="FV416" s="635"/>
      <c r="FW416" s="635"/>
      <c r="FX416" s="635"/>
      <c r="FY416" s="635"/>
      <c r="FZ416" s="635"/>
      <c r="GA416" s="635"/>
      <c r="GB416" s="635"/>
      <c r="GC416" s="635"/>
      <c r="GD416" s="635"/>
      <c r="GE416" s="635"/>
      <c r="GF416" s="635"/>
      <c r="GG416" s="635"/>
      <c r="GH416" s="635"/>
      <c r="GI416" s="635"/>
      <c r="GJ416" s="635"/>
      <c r="GK416" s="635"/>
      <c r="GL416" s="635"/>
      <c r="GM416" s="635"/>
      <c r="GN416" s="635"/>
      <c r="GO416" s="635"/>
      <c r="GP416" s="635"/>
      <c r="GQ416" s="635"/>
      <c r="GR416" s="635"/>
      <c r="GS416" s="635"/>
      <c r="GT416" s="635"/>
      <c r="GU416" s="635"/>
      <c r="GV416" s="635"/>
      <c r="GW416" s="635"/>
      <c r="GX416" s="635"/>
      <c r="GY416" s="635"/>
      <c r="GZ416" s="635"/>
      <c r="HA416" s="635"/>
      <c r="HB416" s="635"/>
      <c r="HC416" s="635"/>
      <c r="HD416" s="635"/>
      <c r="HE416" s="635"/>
      <c r="HF416" s="635"/>
      <c r="HG416" s="635"/>
      <c r="HH416" s="635"/>
      <c r="HI416" s="635"/>
      <c r="HJ416" s="635"/>
      <c r="HK416" s="635"/>
      <c r="HL416" s="635"/>
      <c r="HM416" s="635"/>
      <c r="HN416" s="635"/>
      <c r="HO416" s="635"/>
      <c r="HP416" s="635"/>
      <c r="HQ416" s="635"/>
      <c r="HR416" s="635"/>
      <c r="HS416" s="635"/>
      <c r="HT416" s="635"/>
      <c r="HU416" s="635"/>
      <c r="HV416" s="635"/>
      <c r="HW416" s="635"/>
      <c r="HX416" s="635"/>
      <c r="HY416" s="635"/>
      <c r="HZ416" s="635"/>
      <c r="IA416" s="635"/>
      <c r="IB416" s="635"/>
      <c r="IC416" s="635"/>
      <c r="ID416" s="635"/>
      <c r="IE416" s="635"/>
      <c r="IF416" s="635"/>
      <c r="IG416" s="635"/>
      <c r="IH416" s="635"/>
      <c r="II416" s="635"/>
      <c r="IJ416" s="635"/>
      <c r="IK416" s="635"/>
      <c r="IL416" s="635"/>
      <c r="IM416" s="635"/>
      <c r="IN416" s="635"/>
      <c r="IO416" s="635"/>
      <c r="IP416" s="635"/>
    </row>
    <row r="417" spans="1:250" ht="15.75" customHeight="1" x14ac:dyDescent="0.25">
      <c r="A417" s="635"/>
      <c r="B417" s="635"/>
      <c r="C417" s="635"/>
      <c r="D417" s="635"/>
      <c r="E417" s="635"/>
      <c r="F417" s="635"/>
      <c r="G417" s="635"/>
      <c r="H417" s="635"/>
      <c r="I417" s="635"/>
      <c r="J417" s="635"/>
      <c r="K417" s="635"/>
      <c r="L417" s="635"/>
      <c r="M417" s="635"/>
      <c r="N417" s="635"/>
      <c r="O417" s="635"/>
      <c r="P417" s="635"/>
      <c r="Q417" s="635"/>
      <c r="R417" s="635"/>
      <c r="S417" s="635"/>
      <c r="T417" s="635"/>
      <c r="U417" s="635"/>
      <c r="V417" s="635"/>
      <c r="W417" s="635"/>
      <c r="X417" s="635"/>
      <c r="Y417" s="635"/>
      <c r="Z417" s="635"/>
      <c r="AA417" s="635"/>
      <c r="AB417" s="635"/>
      <c r="AC417" s="635"/>
      <c r="AD417" s="635"/>
      <c r="AE417" s="635"/>
      <c r="AF417" s="635"/>
      <c r="AG417" s="635"/>
      <c r="AH417" s="635"/>
      <c r="AI417" s="635"/>
      <c r="AJ417" s="635"/>
      <c r="AK417" s="635"/>
      <c r="AL417" s="635"/>
      <c r="AM417" s="635"/>
      <c r="AN417" s="635"/>
      <c r="AO417" s="635"/>
      <c r="AP417" s="635"/>
      <c r="AQ417" s="635"/>
      <c r="AR417" s="635"/>
      <c r="AS417" s="635"/>
      <c r="AT417" s="635"/>
      <c r="AU417" s="635"/>
      <c r="AV417" s="635"/>
      <c r="AW417" s="635"/>
      <c r="AX417" s="635"/>
      <c r="AY417" s="635"/>
      <c r="AZ417" s="635"/>
      <c r="BA417" s="635"/>
      <c r="BB417" s="635"/>
      <c r="BC417" s="635"/>
      <c r="BD417" s="635"/>
      <c r="BE417" s="635"/>
      <c r="BF417" s="635"/>
      <c r="BG417" s="635"/>
      <c r="BH417" s="635"/>
      <c r="BI417" s="635"/>
      <c r="BJ417" s="635"/>
      <c r="BK417" s="635"/>
      <c r="BL417" s="635"/>
      <c r="BM417" s="635"/>
      <c r="BN417" s="635"/>
      <c r="BO417" s="635"/>
      <c r="BP417" s="635"/>
      <c r="BQ417" s="635"/>
      <c r="BR417" s="635"/>
      <c r="BS417" s="635"/>
      <c r="BT417" s="635"/>
      <c r="BU417" s="635"/>
      <c r="BV417" s="635"/>
      <c r="BW417" s="635"/>
      <c r="BX417" s="635"/>
      <c r="BY417" s="635"/>
      <c r="BZ417" s="635"/>
      <c r="CA417" s="635"/>
      <c r="CB417" s="635"/>
      <c r="CC417" s="635"/>
      <c r="CD417" s="635"/>
      <c r="CE417" s="635"/>
      <c r="CF417" s="635"/>
      <c r="CG417" s="635"/>
      <c r="CH417" s="635"/>
      <c r="CI417" s="635"/>
      <c r="CJ417" s="635"/>
      <c r="CK417" s="635"/>
      <c r="CL417" s="635"/>
      <c r="CM417" s="635"/>
      <c r="CN417" s="635"/>
      <c r="CO417" s="635"/>
      <c r="CP417" s="635"/>
      <c r="CQ417" s="635"/>
      <c r="CR417" s="635"/>
      <c r="CS417" s="635"/>
      <c r="CT417" s="635"/>
      <c r="CU417" s="635"/>
      <c r="CV417" s="635"/>
      <c r="CW417" s="635"/>
      <c r="CX417" s="635"/>
      <c r="CY417" s="635"/>
      <c r="CZ417" s="635"/>
      <c r="DA417" s="635"/>
      <c r="DB417" s="635"/>
      <c r="DC417" s="635"/>
      <c r="DD417" s="635"/>
      <c r="DE417" s="635"/>
      <c r="DF417" s="635"/>
      <c r="DG417" s="635"/>
      <c r="DH417" s="635"/>
      <c r="DI417" s="635"/>
      <c r="DJ417" s="635"/>
      <c r="DK417" s="635"/>
      <c r="DL417" s="635"/>
      <c r="DM417" s="635"/>
      <c r="DN417" s="635"/>
      <c r="DO417" s="635"/>
      <c r="DP417" s="635"/>
      <c r="DQ417" s="635"/>
      <c r="DR417" s="635"/>
      <c r="DS417" s="635"/>
      <c r="DT417" s="635"/>
      <c r="DU417" s="635"/>
      <c r="DV417" s="635"/>
      <c r="DW417" s="635"/>
      <c r="DX417" s="635"/>
      <c r="DY417" s="635"/>
      <c r="DZ417" s="635"/>
      <c r="EA417" s="635"/>
      <c r="EB417" s="635"/>
      <c r="EC417" s="635"/>
      <c r="ED417" s="635"/>
      <c r="EE417" s="635"/>
      <c r="EF417" s="635"/>
      <c r="EG417" s="635"/>
      <c r="EH417" s="635"/>
      <c r="EI417" s="635"/>
      <c r="EJ417" s="635"/>
      <c r="EK417" s="635"/>
      <c r="EL417" s="635"/>
      <c r="EM417" s="635"/>
      <c r="EN417" s="635"/>
      <c r="EO417" s="635"/>
      <c r="EP417" s="635"/>
      <c r="EQ417" s="635"/>
      <c r="ER417" s="635"/>
      <c r="ES417" s="635"/>
      <c r="ET417" s="635"/>
      <c r="EU417" s="635"/>
      <c r="EV417" s="635"/>
      <c r="EW417" s="635"/>
      <c r="EX417" s="635"/>
      <c r="EY417" s="635"/>
      <c r="EZ417" s="635"/>
      <c r="FA417" s="635"/>
      <c r="FB417" s="635"/>
      <c r="FC417" s="635"/>
      <c r="FD417" s="635"/>
      <c r="FE417" s="635"/>
      <c r="FF417" s="635"/>
      <c r="FG417" s="635"/>
      <c r="FH417" s="635"/>
      <c r="FI417" s="635"/>
      <c r="FJ417" s="635"/>
      <c r="FK417" s="635"/>
      <c r="FL417" s="635"/>
      <c r="FM417" s="635"/>
      <c r="FN417" s="635"/>
      <c r="FO417" s="635"/>
      <c r="FP417" s="635"/>
      <c r="FQ417" s="635"/>
      <c r="FR417" s="635"/>
      <c r="FS417" s="635"/>
      <c r="FT417" s="635"/>
      <c r="FU417" s="635"/>
      <c r="FV417" s="635"/>
      <c r="FW417" s="635"/>
      <c r="FX417" s="635"/>
      <c r="FY417" s="635"/>
      <c r="FZ417" s="635"/>
      <c r="GA417" s="635"/>
      <c r="GB417" s="635"/>
      <c r="GC417" s="635"/>
      <c r="GD417" s="635"/>
      <c r="GE417" s="635"/>
      <c r="GF417" s="635"/>
      <c r="GG417" s="635"/>
      <c r="GH417" s="635"/>
      <c r="GI417" s="635"/>
      <c r="GJ417" s="635"/>
      <c r="GK417" s="635"/>
      <c r="GL417" s="635"/>
      <c r="GM417" s="635"/>
      <c r="GN417" s="635"/>
      <c r="GO417" s="635"/>
      <c r="GP417" s="635"/>
      <c r="GQ417" s="635"/>
      <c r="GR417" s="635"/>
      <c r="GS417" s="635"/>
      <c r="GT417" s="635"/>
      <c r="GU417" s="635"/>
      <c r="GV417" s="635"/>
      <c r="GW417" s="635"/>
      <c r="GX417" s="635"/>
      <c r="GY417" s="635"/>
      <c r="GZ417" s="635"/>
      <c r="HA417" s="635"/>
      <c r="HB417" s="635"/>
      <c r="HC417" s="635"/>
      <c r="HD417" s="635"/>
      <c r="HE417" s="635"/>
      <c r="HF417" s="635"/>
      <c r="HG417" s="635"/>
      <c r="HH417" s="635"/>
      <c r="HI417" s="635"/>
      <c r="HJ417" s="635"/>
      <c r="HK417" s="635"/>
      <c r="HL417" s="635"/>
      <c r="HM417" s="635"/>
      <c r="HN417" s="635"/>
      <c r="HO417" s="635"/>
      <c r="HP417" s="635"/>
      <c r="HQ417" s="635"/>
      <c r="HR417" s="635"/>
      <c r="HS417" s="635"/>
      <c r="HT417" s="635"/>
      <c r="HU417" s="635"/>
      <c r="HV417" s="635"/>
      <c r="HW417" s="635"/>
      <c r="HX417" s="635"/>
      <c r="HY417" s="635"/>
      <c r="HZ417" s="635"/>
      <c r="IA417" s="635"/>
      <c r="IB417" s="635"/>
      <c r="IC417" s="635"/>
      <c r="ID417" s="635"/>
      <c r="IE417" s="635"/>
      <c r="IF417" s="635"/>
      <c r="IG417" s="635"/>
      <c r="IH417" s="635"/>
      <c r="II417" s="635"/>
      <c r="IJ417" s="635"/>
      <c r="IK417" s="635"/>
      <c r="IL417" s="635"/>
      <c r="IM417" s="635"/>
      <c r="IN417" s="635"/>
      <c r="IO417" s="635"/>
      <c r="IP417" s="635"/>
    </row>
  </sheetData>
  <mergeCells count="8">
    <mergeCell ref="IN2:IN3"/>
    <mergeCell ref="IO2:IO3"/>
    <mergeCell ref="IP2:IP3"/>
    <mergeCell ref="IA4:ID4"/>
    <mergeCell ref="IE4:IF4"/>
    <mergeCell ref="IK4:IM4"/>
    <mergeCell ref="HX2:HY3"/>
    <mergeCell ref="IA2:ID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D1000"/>
  <sheetViews>
    <sheetView workbookViewId="0"/>
  </sheetViews>
  <sheetFormatPr defaultColWidth="14.42578125" defaultRowHeight="15" customHeight="1" x14ac:dyDescent="0.25"/>
  <cols>
    <col min="1" max="1" width="8.7109375" customWidth="1"/>
    <col min="2" max="2" width="20.28515625" customWidth="1"/>
    <col min="3" max="3" width="15.42578125" customWidth="1"/>
    <col min="4" max="4" width="25.85546875" customWidth="1"/>
    <col min="5" max="26" width="8.7109375" customWidth="1"/>
  </cols>
  <sheetData>
    <row r="1" spans="2:4" ht="24.75" customHeight="1" x14ac:dyDescent="0.25">
      <c r="C1" s="2" t="s">
        <v>1601</v>
      </c>
    </row>
    <row r="2" spans="2:4" ht="24.75" customHeight="1" x14ac:dyDescent="0.25">
      <c r="C2" s="1341" t="s">
        <v>1575</v>
      </c>
      <c r="D2" s="1342"/>
    </row>
    <row r="3" spans="2:4" ht="24.75" customHeight="1" x14ac:dyDescent="0.25">
      <c r="C3" s="10" t="s">
        <v>1603</v>
      </c>
      <c r="D3" s="10" t="s">
        <v>159</v>
      </c>
    </row>
    <row r="4" spans="2:4" ht="24.75" customHeight="1" x14ac:dyDescent="0.25">
      <c r="C4" s="10" t="s">
        <v>1497</v>
      </c>
      <c r="D4" s="10" t="s">
        <v>130</v>
      </c>
    </row>
    <row r="5" spans="2:4" ht="24.75" customHeight="1" x14ac:dyDescent="0.25">
      <c r="C5" s="10" t="s">
        <v>1604</v>
      </c>
      <c r="D5" s="10" t="s">
        <v>162</v>
      </c>
    </row>
    <row r="6" spans="2:4" ht="24.75" customHeight="1" x14ac:dyDescent="0.25">
      <c r="C6" s="10" t="s">
        <v>1605</v>
      </c>
      <c r="D6" s="10" t="s">
        <v>163</v>
      </c>
    </row>
    <row r="7" spans="2:4" ht="24.75" customHeight="1" x14ac:dyDescent="0.25">
      <c r="B7" s="2" t="s">
        <v>1606</v>
      </c>
    </row>
    <row r="8" spans="2:4" ht="24.75" customHeight="1" x14ac:dyDescent="0.25">
      <c r="B8" s="1341" t="s">
        <v>1575</v>
      </c>
      <c r="C8" s="1342"/>
    </row>
    <row r="9" spans="2:4" ht="24.75" customHeight="1" x14ac:dyDescent="0.25">
      <c r="B9" s="670" t="s">
        <v>148</v>
      </c>
      <c r="C9" s="672" t="s">
        <v>1607</v>
      </c>
    </row>
    <row r="10" spans="2:4" ht="24.75" customHeight="1" x14ac:dyDescent="0.25">
      <c r="B10" s="670" t="s">
        <v>1576</v>
      </c>
      <c r="C10" s="672" t="s">
        <v>1608</v>
      </c>
    </row>
    <row r="11" spans="2:4" ht="24.75" customHeight="1" x14ac:dyDescent="0.25">
      <c r="B11" s="670" t="s">
        <v>1609</v>
      </c>
      <c r="C11" s="672" t="s">
        <v>1610</v>
      </c>
    </row>
    <row r="12" spans="2:4" ht="24.75" customHeight="1" x14ac:dyDescent="0.25">
      <c r="B12" s="670" t="s">
        <v>1611</v>
      </c>
      <c r="C12" s="672" t="s">
        <v>345</v>
      </c>
    </row>
    <row r="13" spans="2:4" ht="24.75" customHeight="1" x14ac:dyDescent="0.25">
      <c r="B13" s="670" t="s">
        <v>202</v>
      </c>
      <c r="C13" s="672" t="s">
        <v>346</v>
      </c>
    </row>
    <row r="14" spans="2:4" ht="24.75" customHeight="1" x14ac:dyDescent="0.25">
      <c r="B14" s="670" t="s">
        <v>1612</v>
      </c>
      <c r="C14" s="672" t="s">
        <v>347</v>
      </c>
    </row>
    <row r="15" spans="2:4" ht="24.75" customHeight="1" x14ac:dyDescent="0.25">
      <c r="B15" s="670" t="s">
        <v>153</v>
      </c>
      <c r="C15" s="672" t="s">
        <v>348</v>
      </c>
    </row>
    <row r="16" spans="2:4" ht="24.75" customHeight="1" x14ac:dyDescent="0.25">
      <c r="B16" s="670" t="s">
        <v>1613</v>
      </c>
      <c r="C16" s="672" t="s">
        <v>349</v>
      </c>
    </row>
    <row r="17" spans="2:3" ht="24.75" customHeight="1" x14ac:dyDescent="0.25">
      <c r="B17" s="670" t="s">
        <v>200</v>
      </c>
      <c r="C17" s="672" t="s">
        <v>350</v>
      </c>
    </row>
    <row r="18" spans="2:3" ht="24.75" customHeight="1" x14ac:dyDescent="0.25">
      <c r="B18" s="670" t="s">
        <v>571</v>
      </c>
      <c r="C18" s="672" t="s">
        <v>351</v>
      </c>
    </row>
    <row r="19" spans="2:3" ht="24.75" customHeight="1" x14ac:dyDescent="0.25">
      <c r="B19" s="670" t="s">
        <v>157</v>
      </c>
      <c r="C19" s="672" t="s">
        <v>352</v>
      </c>
    </row>
    <row r="20" spans="2:3" ht="24.75" customHeight="1" x14ac:dyDescent="0.25">
      <c r="B20" s="670" t="s">
        <v>158</v>
      </c>
      <c r="C20" s="672" t="s">
        <v>1614</v>
      </c>
    </row>
    <row r="21" spans="2:3" ht="15.75" customHeight="1" x14ac:dyDescent="0.25"/>
    <row r="22" spans="2:3" ht="15.75" customHeight="1" x14ac:dyDescent="0.25"/>
    <row r="23" spans="2:3" ht="15.75" customHeight="1" x14ac:dyDescent="0.25"/>
    <row r="24" spans="2:3" ht="15.75" customHeight="1" x14ac:dyDescent="0.25"/>
    <row r="25" spans="2:3" ht="15.75" customHeight="1" x14ac:dyDescent="0.25"/>
    <row r="26" spans="2:3" ht="15.75" customHeight="1" x14ac:dyDescent="0.25"/>
    <row r="27" spans="2:3" ht="15.75" customHeight="1" x14ac:dyDescent="0.25"/>
    <row r="28" spans="2:3" ht="15.75" customHeight="1" x14ac:dyDescent="0.25"/>
    <row r="29" spans="2:3" ht="15.75" customHeight="1" x14ac:dyDescent="0.25"/>
    <row r="30" spans="2:3" ht="15.75" customHeight="1" x14ac:dyDescent="0.25"/>
    <row r="31" spans="2:3" ht="15.75" customHeight="1" x14ac:dyDescent="0.25"/>
    <row r="32" spans="2: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C2:D2"/>
    <mergeCell ref="B8:C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6596-374D-4C03-8330-9941F006EBE8}">
  <dimension ref="A1:K741"/>
  <sheetViews>
    <sheetView workbookViewId="0">
      <pane ySplit="4" topLeftCell="A138" activePane="bottomLeft" state="frozen"/>
      <selection pane="bottomLeft" activeCell="E469" sqref="E469:E471"/>
    </sheetView>
  </sheetViews>
  <sheetFormatPr defaultRowHeight="15" x14ac:dyDescent="0.25"/>
  <cols>
    <col min="1" max="1" width="41.85546875" customWidth="1"/>
    <col min="2" max="2" width="22.85546875" customWidth="1"/>
    <col min="3" max="3" width="16.28515625" customWidth="1"/>
  </cols>
  <sheetData>
    <row r="1" spans="1:9" ht="26.1" customHeight="1" x14ac:dyDescent="0.25">
      <c r="A1" s="1343" t="s">
        <v>2414</v>
      </c>
      <c r="B1" s="1343"/>
      <c r="C1" s="1343"/>
    </row>
    <row r="2" spans="1:9" x14ac:dyDescent="0.25">
      <c r="A2" s="1299" t="s">
        <v>2415</v>
      </c>
      <c r="B2" s="1299"/>
      <c r="C2" s="1299"/>
      <c r="G2" t="s">
        <v>1633</v>
      </c>
      <c r="I2">
        <v>630</v>
      </c>
    </row>
    <row r="3" spans="1:9" x14ac:dyDescent="0.25">
      <c r="I3">
        <v>489</v>
      </c>
    </row>
    <row r="4" spans="1:9" x14ac:dyDescent="0.25">
      <c r="A4" s="1298" t="s">
        <v>2416</v>
      </c>
      <c r="B4" s="1298" t="s">
        <v>1</v>
      </c>
      <c r="C4" s="1298" t="s">
        <v>2418</v>
      </c>
      <c r="D4" s="1311" t="s">
        <v>2440</v>
      </c>
      <c r="E4" s="1311" t="s">
        <v>2441</v>
      </c>
    </row>
    <row r="5" spans="1:9" hidden="1" x14ac:dyDescent="0.25">
      <c r="A5" s="1297" t="s">
        <v>675</v>
      </c>
      <c r="B5" t="s">
        <v>676</v>
      </c>
      <c r="C5" s="1301" cm="1">
        <f t="array" ref="C5">SUMPRODUCT((CHALLAN!$B$1:$B$16504=A5)*IF(B5="",--(CHALLAN!$C$1:$C$16504=""),--(CHALLAN!$C$1:$C$16504=B5))*IFERROR(CHALLAN!$D$1:$D$16504*CHALLAN!$E$1:$E$16504,0))</f>
        <v>1</v>
      </c>
      <c r="D5" cm="1">
        <f t="array" ref="D5">SUMPRODUCT(('Pivot Data'!$D$2:$D$1912=$A5)*IF($B5="",--('Pivot Data'!$E$2:$E$1912=""),--('Pivot Data'!$E$2:$E$1912=$B5))*('Pivot Data'!$I$2:$I$1912="Cancelled")*'Pivot Data'!$H$2:$H$1912)</f>
        <v>0</v>
      </c>
      <c r="E5" s="1301">
        <f t="shared" ref="E5:E68" si="0">C5-D5</f>
        <v>1</v>
      </c>
    </row>
    <row r="6" spans="1:9" hidden="1" x14ac:dyDescent="0.25">
      <c r="A6" t="s">
        <v>907</v>
      </c>
      <c r="C6" s="1301" cm="1">
        <f t="array" ref="C6">SUMPRODUCT((CHALLAN!$B$1:$B$16504=A6)*IF(B6="",--(CHALLAN!$C$1:$C$16504=""),--(CHALLAN!$C$1:$C$16504=B6))*IFERROR(CHALLAN!$D$1:$D$16504*CHALLAN!$E$1:$E$16504,0))</f>
        <v>63</v>
      </c>
      <c r="D6" cm="1">
        <f t="array" ref="D6">SUMPRODUCT(('Pivot Data'!$D$2:$D$1912=$A6)*IF($B6="",--('Pivot Data'!$E$2:$E$1912=""),--('Pivot Data'!$E$2:$E$1912=$B6))*('Pivot Data'!$I$2:$I$1912="Cancelled")*'Pivot Data'!$H$2:$H$1912)</f>
        <v>0</v>
      </c>
      <c r="E6" s="1301">
        <f t="shared" si="0"/>
        <v>63</v>
      </c>
    </row>
    <row r="7" spans="1:9" hidden="1" x14ac:dyDescent="0.25">
      <c r="A7" t="s">
        <v>702</v>
      </c>
      <c r="C7" s="1301" cm="1">
        <f t="array" ref="C7">SUMPRODUCT((CHALLAN!$B$1:$B$16504=A7)*IF(B7="",--(CHALLAN!$C$1:$C$16504=""),--(CHALLAN!$C$1:$C$16504=B7))*IFERROR(CHALLAN!$D$1:$D$16504*CHALLAN!$E$1:$E$16504,0))</f>
        <v>5</v>
      </c>
      <c r="D7" cm="1">
        <f t="array" ref="D7">SUMPRODUCT(('Pivot Data'!$D$2:$D$1912=$A7)*IF($B7="",--('Pivot Data'!$E$2:$E$1912=""),--('Pivot Data'!$E$2:$E$1912=$B7))*('Pivot Data'!$I$2:$I$1912="Cancelled")*'Pivot Data'!$H$2:$H$1912)</f>
        <v>0</v>
      </c>
      <c r="E7" s="1301">
        <f t="shared" si="0"/>
        <v>5</v>
      </c>
    </row>
    <row r="8" spans="1:9" hidden="1" x14ac:dyDescent="0.25">
      <c r="A8" t="s">
        <v>2011</v>
      </c>
      <c r="C8" s="1301" cm="1">
        <f t="array" ref="C8">SUMPRODUCT((CHALLAN!$B$1:$B$16504=A8)*IF(B8="",--(CHALLAN!$C$1:$C$16504=""),--(CHALLAN!$C$1:$C$16504=B8))*IFERROR(CHALLAN!$D$1:$D$16504*CHALLAN!$E$1:$E$16504,0))</f>
        <v>70</v>
      </c>
      <c r="D8" cm="1">
        <f t="array" ref="D8">SUMPRODUCT(('Pivot Data'!$D$2:$D$1912=$A8)*IF($B8="",--('Pivot Data'!$E$2:$E$1912=""),--('Pivot Data'!$E$2:$E$1912=$B8))*('Pivot Data'!$I$2:$I$1912="Cancelled")*'Pivot Data'!$H$2:$H$1912)</f>
        <v>0</v>
      </c>
      <c r="E8" s="1301">
        <f t="shared" si="0"/>
        <v>70</v>
      </c>
    </row>
    <row r="9" spans="1:9" hidden="1" x14ac:dyDescent="0.25">
      <c r="A9" t="s">
        <v>2012</v>
      </c>
      <c r="C9" s="1301" cm="1">
        <f t="array" ref="C9">SUMPRODUCT((CHALLAN!$B$1:$B$16504=A9)*IF(B9="",--(CHALLAN!$C$1:$C$16504=""),--(CHALLAN!$C$1:$C$16504=B9))*IFERROR(CHALLAN!$D$1:$D$16504*CHALLAN!$E$1:$E$16504,0))</f>
        <v>0</v>
      </c>
      <c r="D9" cm="1">
        <f t="array" ref="D9">SUMPRODUCT(('Pivot Data'!$D$2:$D$1912=$A9)*IF($B9="",--('Pivot Data'!$E$2:$E$1912=""),--('Pivot Data'!$E$2:$E$1912=$B9))*('Pivot Data'!$I$2:$I$1912="Cancelled")*'Pivot Data'!$H$2:$H$1912)</f>
        <v>0</v>
      </c>
      <c r="E9" s="1301">
        <f t="shared" si="0"/>
        <v>0</v>
      </c>
    </row>
    <row r="10" spans="1:9" hidden="1" x14ac:dyDescent="0.25">
      <c r="A10" t="s">
        <v>1972</v>
      </c>
      <c r="C10" s="1301" cm="1">
        <f t="array" ref="C10">SUMPRODUCT((CHALLAN!$B$1:$B$16504=A10)*IF(B10="",--(CHALLAN!$C$1:$C$16504=""),--(CHALLAN!$C$1:$C$16504=B10))*IFERROR(CHALLAN!$D$1:$D$16504*CHALLAN!$E$1:$E$16504,0))</f>
        <v>400</v>
      </c>
      <c r="D10" cm="1">
        <f t="array" ref="D10">SUMPRODUCT(('Pivot Data'!$D$2:$D$1912=$A10)*IF($B10="",--('Pivot Data'!$E$2:$E$1912=""),--('Pivot Data'!$E$2:$E$1912=$B10))*('Pivot Data'!$I$2:$I$1912="Cancelled")*'Pivot Data'!$H$2:$H$1912)</f>
        <v>0</v>
      </c>
      <c r="E10" s="1301">
        <f t="shared" si="0"/>
        <v>400</v>
      </c>
    </row>
    <row r="11" spans="1:9" hidden="1" x14ac:dyDescent="0.25">
      <c r="A11" t="s">
        <v>1249</v>
      </c>
      <c r="C11" s="1301" cm="1">
        <f t="array" ref="C11">SUMPRODUCT((CHALLAN!$B$1:$B$16504=A11)*IF(B11="",--(CHALLAN!$C$1:$C$16504=""),--(CHALLAN!$C$1:$C$16504=B11))*IFERROR(CHALLAN!$D$1:$D$16504*CHALLAN!$E$1:$E$16504,0))</f>
        <v>120</v>
      </c>
      <c r="D11" cm="1">
        <f t="array" ref="D11">SUMPRODUCT(('Pivot Data'!$D$2:$D$1912=$A11)*IF($B11="",--('Pivot Data'!$E$2:$E$1912=""),--('Pivot Data'!$E$2:$E$1912=$B11))*('Pivot Data'!$I$2:$I$1912="Cancelled")*'Pivot Data'!$H$2:$H$1912)</f>
        <v>0</v>
      </c>
      <c r="E11" s="1301">
        <f t="shared" si="0"/>
        <v>120</v>
      </c>
    </row>
    <row r="12" spans="1:9" hidden="1" x14ac:dyDescent="0.25">
      <c r="A12" t="s">
        <v>1954</v>
      </c>
      <c r="C12" s="1301" cm="1">
        <f t="array" ref="C12">SUMPRODUCT((CHALLAN!$B$1:$B$16504=A12)*IF(B12="",--(CHALLAN!$C$1:$C$16504=""),--(CHALLAN!$C$1:$C$16504=B12))*IFERROR(CHALLAN!$D$1:$D$16504*CHALLAN!$E$1:$E$16504,0))</f>
        <v>20</v>
      </c>
      <c r="D12" cm="1">
        <f t="array" ref="D12">SUMPRODUCT(('Pivot Data'!$D$2:$D$1912=$A12)*IF($B12="",--('Pivot Data'!$E$2:$E$1912=""),--('Pivot Data'!$E$2:$E$1912=$B12))*('Pivot Data'!$I$2:$I$1912="Cancelled")*'Pivot Data'!$H$2:$H$1912)</f>
        <v>0</v>
      </c>
      <c r="E12" s="1301">
        <f t="shared" si="0"/>
        <v>20</v>
      </c>
    </row>
    <row r="13" spans="1:9" hidden="1" x14ac:dyDescent="0.25">
      <c r="A13" t="s">
        <v>1632</v>
      </c>
      <c r="C13" s="1301" cm="1">
        <f t="array" ref="C13">SUMPRODUCT((CHALLAN!$B$1:$B$16504=A13)*IF(B13="",--(CHALLAN!$C$1:$C$16504=""),--(CHALLAN!$C$1:$C$16504=B13))*IFERROR(CHALLAN!$D$1:$D$16504*CHALLAN!$E$1:$E$16504,0))</f>
        <v>1030</v>
      </c>
      <c r="D13" cm="1">
        <f t="array" ref="D13">SUMPRODUCT(('Pivot Data'!$D$2:$D$1912=$A13)*IF($B13="",--('Pivot Data'!$E$2:$E$1912=""),--('Pivot Data'!$E$2:$E$1912=$B13))*('Pivot Data'!$I$2:$I$1912="Cancelled")*'Pivot Data'!$H$2:$H$1912)</f>
        <v>200</v>
      </c>
      <c r="E13" s="1301">
        <f t="shared" si="0"/>
        <v>830</v>
      </c>
    </row>
    <row r="14" spans="1:9" hidden="1" x14ac:dyDescent="0.25">
      <c r="A14" t="s">
        <v>1633</v>
      </c>
      <c r="C14" s="1301" cm="1">
        <f t="array" ref="C14">SUMPRODUCT((CHALLAN!$B$1:$B$16504=A14)*IF(B14="",--(CHALLAN!$C$1:$C$16504=""),--(CHALLAN!$C$1:$C$16504=B14))*IFERROR(CHALLAN!$D$1:$D$16504*CHALLAN!$E$1:$E$16504,0))</f>
        <v>630</v>
      </c>
      <c r="D14" cm="1">
        <f t="array" ref="D14">SUMPRODUCT(('Pivot Data'!$D$2:$D$1912=$A14)*IF($B14="",--('Pivot Data'!$E$2:$E$1912=""),--('Pivot Data'!$E$2:$E$1912=$B14))*('Pivot Data'!$I$2:$I$1912="Cancelled")*'Pivot Data'!$H$2:$H$1912)</f>
        <v>100</v>
      </c>
      <c r="E14" s="1301">
        <f t="shared" si="0"/>
        <v>530</v>
      </c>
    </row>
    <row r="15" spans="1:9" hidden="1" x14ac:dyDescent="0.25">
      <c r="A15" t="s">
        <v>1474</v>
      </c>
      <c r="C15" s="1301" cm="1">
        <f t="array" ref="C15">SUMPRODUCT((CHALLAN!$B$1:$B$16504=A15)*IF(B15="",--(CHALLAN!$C$1:$C$16504=""),--(CHALLAN!$C$1:$C$16504=B15))*IFERROR(CHALLAN!$D$1:$D$16504*CHALLAN!$E$1:$E$16504,0))</f>
        <v>200</v>
      </c>
      <c r="D15" cm="1">
        <f t="array" ref="D15">SUMPRODUCT(('Pivot Data'!$D$2:$D$1912=$A15)*IF($B15="",--('Pivot Data'!$E$2:$E$1912=""),--('Pivot Data'!$E$2:$E$1912=$B15))*('Pivot Data'!$I$2:$I$1912="Cancelled")*'Pivot Data'!$H$2:$H$1912)</f>
        <v>0</v>
      </c>
      <c r="E15" s="1301">
        <f t="shared" si="0"/>
        <v>200</v>
      </c>
    </row>
    <row r="16" spans="1:9" hidden="1" x14ac:dyDescent="0.25">
      <c r="A16" t="s">
        <v>1474</v>
      </c>
      <c r="B16" t="s">
        <v>1848</v>
      </c>
      <c r="C16" s="1301" cm="1">
        <f t="array" ref="C16">SUMPRODUCT((CHALLAN!$B$1:$B$16504=A16)*IF(B16="",--(CHALLAN!$C$1:$C$16504=""),--(CHALLAN!$C$1:$C$16504=B16))*IFERROR(CHALLAN!$D$1:$D$16504*CHALLAN!$E$1:$E$16504,0))</f>
        <v>700</v>
      </c>
      <c r="D16" cm="1">
        <f t="array" ref="D16">SUMPRODUCT(('Pivot Data'!$D$2:$D$1912=$A16)*IF($B16="",--('Pivot Data'!$E$2:$E$1912=""),--('Pivot Data'!$E$2:$E$1912=$B16))*('Pivot Data'!$I$2:$I$1912="Cancelled")*'Pivot Data'!$H$2:$H$1912)</f>
        <v>0</v>
      </c>
      <c r="E16" s="1301">
        <f t="shared" si="0"/>
        <v>700</v>
      </c>
    </row>
    <row r="17" spans="1:5" hidden="1" x14ac:dyDescent="0.25">
      <c r="A17" t="s">
        <v>1664</v>
      </c>
      <c r="C17" s="1301" cm="1">
        <f t="array" ref="C17">SUMPRODUCT((CHALLAN!$B$1:$B$16504=A17)*IF(B17="",--(CHALLAN!$C$1:$C$16504=""),--(CHALLAN!$C$1:$C$16504=B17))*IFERROR(CHALLAN!$D$1:$D$16504*CHALLAN!$E$1:$E$16504,0))</f>
        <v>209</v>
      </c>
      <c r="D17" cm="1">
        <f t="array" ref="D17">SUMPRODUCT(('Pivot Data'!$D$2:$D$1912=$A17)*IF($B17="",--('Pivot Data'!$E$2:$E$1912=""),--('Pivot Data'!$E$2:$E$1912=$B17))*('Pivot Data'!$I$2:$I$1912="Cancelled")*'Pivot Data'!$H$2:$H$1912)</f>
        <v>0</v>
      </c>
      <c r="E17" s="1301">
        <f t="shared" si="0"/>
        <v>209</v>
      </c>
    </row>
    <row r="18" spans="1:5" hidden="1" x14ac:dyDescent="0.25">
      <c r="A18" t="s">
        <v>2014</v>
      </c>
      <c r="C18" s="1301" cm="1">
        <f t="array" ref="C18">SUMPRODUCT((CHALLAN!$B$1:$B$16504=A18)*IF(B18="",--(CHALLAN!$C$1:$C$16504=""),--(CHALLAN!$C$1:$C$16504=B18))*IFERROR(CHALLAN!$D$1:$D$16504*CHALLAN!$E$1:$E$16504,0))</f>
        <v>47</v>
      </c>
      <c r="D18" cm="1">
        <f t="array" ref="D18">SUMPRODUCT(('Pivot Data'!$D$2:$D$1912=$A18)*IF($B18="",--('Pivot Data'!$E$2:$E$1912=""),--('Pivot Data'!$E$2:$E$1912=$B18))*('Pivot Data'!$I$2:$I$1912="Cancelled")*'Pivot Data'!$H$2:$H$1912)</f>
        <v>0</v>
      </c>
      <c r="E18" s="1301">
        <f t="shared" si="0"/>
        <v>47</v>
      </c>
    </row>
    <row r="19" spans="1:5" hidden="1" x14ac:dyDescent="0.25">
      <c r="A19" t="s">
        <v>1343</v>
      </c>
      <c r="C19" s="1301" cm="1">
        <f t="array" ref="C19">SUMPRODUCT((CHALLAN!$B$1:$B$16504=A19)*IF(B19="",--(CHALLAN!$C$1:$C$16504=""),--(CHALLAN!$C$1:$C$16504=B19))*IFERROR(CHALLAN!$D$1:$D$16504*CHALLAN!$E$1:$E$16504,0))</f>
        <v>50</v>
      </c>
      <c r="D19" cm="1">
        <f t="array" ref="D19">SUMPRODUCT(('Pivot Data'!$D$2:$D$1912=$A19)*IF($B19="",--('Pivot Data'!$E$2:$E$1912=""),--('Pivot Data'!$E$2:$E$1912=$B19))*('Pivot Data'!$I$2:$I$1912="Cancelled")*'Pivot Data'!$H$2:$H$1912)</f>
        <v>0</v>
      </c>
      <c r="E19" s="1301">
        <f t="shared" si="0"/>
        <v>50</v>
      </c>
    </row>
    <row r="20" spans="1:5" hidden="1" x14ac:dyDescent="0.25">
      <c r="A20" t="s">
        <v>2181</v>
      </c>
      <c r="B20" t="s">
        <v>465</v>
      </c>
      <c r="C20" s="1301" cm="1">
        <f t="array" ref="C20">SUMPRODUCT((CHALLAN!$B$1:$B$16504=A20)*IF(B20="",--(CHALLAN!$C$1:$C$16504=""),--(CHALLAN!$C$1:$C$16504=B20))*IFERROR(CHALLAN!$D$1:$D$16504*CHALLAN!$E$1:$E$16504,0))</f>
        <v>10</v>
      </c>
      <c r="D20" cm="1">
        <f t="array" ref="D20">SUMPRODUCT(('Pivot Data'!$D$2:$D$1912=$A20)*IF($B20="",--('Pivot Data'!$E$2:$E$1912=""),--('Pivot Data'!$E$2:$E$1912=$B20))*('Pivot Data'!$I$2:$I$1912="Cancelled")*'Pivot Data'!$H$2:$H$1912)</f>
        <v>0</v>
      </c>
      <c r="E20" s="1301">
        <f t="shared" si="0"/>
        <v>10</v>
      </c>
    </row>
    <row r="21" spans="1:5" hidden="1" x14ac:dyDescent="0.25">
      <c r="A21" t="s">
        <v>563</v>
      </c>
      <c r="C21" s="1301" cm="1">
        <f t="array" ref="C21">SUMPRODUCT((CHALLAN!$B$1:$B$16504=A21)*IF(B21="",--(CHALLAN!$C$1:$C$16504=""),--(CHALLAN!$C$1:$C$16504=B21))*IFERROR(CHALLAN!$D$1:$D$16504*CHALLAN!$E$1:$E$16504,0))</f>
        <v>130</v>
      </c>
      <c r="D21" cm="1">
        <f t="array" ref="D21">SUMPRODUCT(('Pivot Data'!$D$2:$D$1912=$A21)*IF($B21="",--('Pivot Data'!$E$2:$E$1912=""),--('Pivot Data'!$E$2:$E$1912=$B21))*('Pivot Data'!$I$2:$I$1912="Cancelled")*'Pivot Data'!$H$2:$H$1912)</f>
        <v>0</v>
      </c>
      <c r="E21" s="1301">
        <f t="shared" si="0"/>
        <v>130</v>
      </c>
    </row>
    <row r="22" spans="1:5" hidden="1" x14ac:dyDescent="0.25">
      <c r="A22" t="s">
        <v>1952</v>
      </c>
      <c r="C22" s="1301" cm="1">
        <f t="array" ref="C22">SUMPRODUCT((CHALLAN!$B$1:$B$16504=A22)*IF(B22="",--(CHALLAN!$C$1:$C$16504=""),--(CHALLAN!$C$1:$C$16504=B22))*IFERROR(CHALLAN!$D$1:$D$16504*CHALLAN!$E$1:$E$16504,0))</f>
        <v>20</v>
      </c>
      <c r="D22" cm="1">
        <f t="array" ref="D22">SUMPRODUCT(('Pivot Data'!$D$2:$D$1912=$A22)*IF($B22="",--('Pivot Data'!$E$2:$E$1912=""),--('Pivot Data'!$E$2:$E$1912=$B22))*('Pivot Data'!$I$2:$I$1912="Cancelled")*'Pivot Data'!$H$2:$H$1912)</f>
        <v>0</v>
      </c>
      <c r="E22" s="1301">
        <f t="shared" si="0"/>
        <v>20</v>
      </c>
    </row>
    <row r="23" spans="1:5" hidden="1" x14ac:dyDescent="0.25">
      <c r="A23" t="s">
        <v>2294</v>
      </c>
      <c r="C23" s="1301" cm="1">
        <f t="array" ref="C23">SUMPRODUCT((CHALLAN!$B$1:$B$16504=A23)*IF(B23="",--(CHALLAN!$C$1:$C$16504=""),--(CHALLAN!$C$1:$C$16504=B23))*IFERROR(CHALLAN!$D$1:$D$16504*CHALLAN!$E$1:$E$16504,0))</f>
        <v>140</v>
      </c>
      <c r="D23" cm="1">
        <f t="array" ref="D23">SUMPRODUCT(('Pivot Data'!$D$2:$D$1912=$A23)*IF($B23="",--('Pivot Data'!$E$2:$E$1912=""),--('Pivot Data'!$E$2:$E$1912=$B23))*('Pivot Data'!$I$2:$I$1912="Cancelled")*'Pivot Data'!$H$2:$H$1912)</f>
        <v>0</v>
      </c>
      <c r="E23" s="1301">
        <f t="shared" si="0"/>
        <v>140</v>
      </c>
    </row>
    <row r="24" spans="1:5" hidden="1" x14ac:dyDescent="0.25">
      <c r="A24" t="s">
        <v>1635</v>
      </c>
      <c r="C24" s="1301" cm="1">
        <f t="array" ref="C24">SUMPRODUCT((CHALLAN!$B$1:$B$16504=A24)*IF(B24="",--(CHALLAN!$C$1:$C$16504=""),--(CHALLAN!$C$1:$C$16504=B24))*IFERROR(CHALLAN!$D$1:$D$16504*CHALLAN!$E$1:$E$16504,0))</f>
        <v>130</v>
      </c>
      <c r="D24" cm="1">
        <f t="array" ref="D24">SUMPRODUCT(('Pivot Data'!$D$2:$D$1912=$A24)*IF($B24="",--('Pivot Data'!$E$2:$E$1912=""),--('Pivot Data'!$E$2:$E$1912=$B24))*('Pivot Data'!$I$2:$I$1912="Cancelled")*'Pivot Data'!$H$2:$H$1912)</f>
        <v>50</v>
      </c>
      <c r="E24" s="1301">
        <f t="shared" si="0"/>
        <v>80</v>
      </c>
    </row>
    <row r="25" spans="1:5" hidden="1" x14ac:dyDescent="0.25">
      <c r="A25" t="s">
        <v>1634</v>
      </c>
      <c r="C25" s="1301" cm="1">
        <f t="array" ref="C25">SUMPRODUCT((CHALLAN!$B$1:$B$16504=A25)*IF(B25="",--(CHALLAN!$C$1:$C$16504=""),--(CHALLAN!$C$1:$C$16504=B25))*IFERROR(CHALLAN!$D$1:$D$16504*CHALLAN!$E$1:$E$16504,0))</f>
        <v>330</v>
      </c>
      <c r="D25" cm="1">
        <f t="array" ref="D25">SUMPRODUCT(('Pivot Data'!$D$2:$D$1912=$A25)*IF($B25="",--('Pivot Data'!$E$2:$E$1912=""),--('Pivot Data'!$E$2:$E$1912=$B25))*('Pivot Data'!$I$2:$I$1912="Cancelled")*'Pivot Data'!$H$2:$H$1912)</f>
        <v>50</v>
      </c>
      <c r="E25" s="1301">
        <f t="shared" si="0"/>
        <v>280</v>
      </c>
    </row>
    <row r="26" spans="1:5" hidden="1" x14ac:dyDescent="0.25">
      <c r="A26" t="s">
        <v>1946</v>
      </c>
      <c r="C26" s="1301" cm="1">
        <f t="array" ref="C26">SUMPRODUCT((CHALLAN!$B$1:$B$16504=A26)*IF(B26="",--(CHALLAN!$C$1:$C$16504=""),--(CHALLAN!$C$1:$C$16504=B26))*IFERROR(CHALLAN!$D$1:$D$16504*CHALLAN!$E$1:$E$16504,0))</f>
        <v>10</v>
      </c>
      <c r="D26" cm="1">
        <f t="array" ref="D26">SUMPRODUCT(('Pivot Data'!$D$2:$D$1912=$A26)*IF($B26="",--('Pivot Data'!$E$2:$E$1912=""),--('Pivot Data'!$E$2:$E$1912=$B26))*('Pivot Data'!$I$2:$I$1912="Cancelled")*'Pivot Data'!$H$2:$H$1912)</f>
        <v>0</v>
      </c>
      <c r="E26" s="1301">
        <f t="shared" si="0"/>
        <v>10</v>
      </c>
    </row>
    <row r="27" spans="1:5" hidden="1" x14ac:dyDescent="0.25">
      <c r="A27" t="s">
        <v>1947</v>
      </c>
      <c r="C27" s="1301" cm="1">
        <f t="array" ref="C27">SUMPRODUCT((CHALLAN!$B$1:$B$16504=A27)*IF(B27="",--(CHALLAN!$C$1:$C$16504=""),--(CHALLAN!$C$1:$C$16504=B27))*IFERROR(CHALLAN!$D$1:$D$16504*CHALLAN!$E$1:$E$16504,0))</f>
        <v>10</v>
      </c>
      <c r="D27" cm="1">
        <f t="array" ref="D27">SUMPRODUCT(('Pivot Data'!$D$2:$D$1912=$A27)*IF($B27="",--('Pivot Data'!$E$2:$E$1912=""),--('Pivot Data'!$E$2:$E$1912=$B27))*('Pivot Data'!$I$2:$I$1912="Cancelled")*'Pivot Data'!$H$2:$H$1912)</f>
        <v>0</v>
      </c>
      <c r="E27" s="1301">
        <f t="shared" si="0"/>
        <v>10</v>
      </c>
    </row>
    <row r="28" spans="1:5" hidden="1" x14ac:dyDescent="0.25">
      <c r="A28" t="s">
        <v>1948</v>
      </c>
      <c r="C28" s="1301" cm="1">
        <f t="array" ref="C28">SUMPRODUCT((CHALLAN!$B$1:$B$16504=A28)*IF(B28="",--(CHALLAN!$C$1:$C$16504=""),--(CHALLAN!$C$1:$C$16504=B28))*IFERROR(CHALLAN!$D$1:$D$16504*CHALLAN!$E$1:$E$16504,0))</f>
        <v>10</v>
      </c>
      <c r="D28" cm="1">
        <f t="array" ref="D28">SUMPRODUCT(('Pivot Data'!$D$2:$D$1912=$A28)*IF($B28="",--('Pivot Data'!$E$2:$E$1912=""),--('Pivot Data'!$E$2:$E$1912=$B28))*('Pivot Data'!$I$2:$I$1912="Cancelled")*'Pivot Data'!$H$2:$H$1912)</f>
        <v>0</v>
      </c>
      <c r="E28" s="1301">
        <f t="shared" si="0"/>
        <v>10</v>
      </c>
    </row>
    <row r="29" spans="1:5" hidden="1" x14ac:dyDescent="0.25">
      <c r="A29" t="s">
        <v>1951</v>
      </c>
      <c r="C29" s="1301" cm="1">
        <f t="array" ref="C29">SUMPRODUCT((CHALLAN!$B$1:$B$16504=A29)*IF(B29="",--(CHALLAN!$C$1:$C$16504=""),--(CHALLAN!$C$1:$C$16504=B29))*IFERROR(CHALLAN!$D$1:$D$16504*CHALLAN!$E$1:$E$16504,0))</f>
        <v>10</v>
      </c>
      <c r="D29" cm="1">
        <f t="array" ref="D29">SUMPRODUCT(('Pivot Data'!$D$2:$D$1912=$A29)*IF($B29="",--('Pivot Data'!$E$2:$E$1912=""),--('Pivot Data'!$E$2:$E$1912=$B29))*('Pivot Data'!$I$2:$I$1912="Cancelled")*'Pivot Data'!$H$2:$H$1912)</f>
        <v>0</v>
      </c>
      <c r="E29" s="1301">
        <f t="shared" si="0"/>
        <v>10</v>
      </c>
    </row>
    <row r="30" spans="1:5" hidden="1" x14ac:dyDescent="0.25">
      <c r="A30" t="s">
        <v>1949</v>
      </c>
      <c r="C30" s="1301" cm="1">
        <f t="array" ref="C30">SUMPRODUCT((CHALLAN!$B$1:$B$16504=A30)*IF(B30="",--(CHALLAN!$C$1:$C$16504=""),--(CHALLAN!$C$1:$C$16504=B30))*IFERROR(CHALLAN!$D$1:$D$16504*CHALLAN!$E$1:$E$16504,0))</f>
        <v>10</v>
      </c>
      <c r="D30" cm="1">
        <f t="array" ref="D30">SUMPRODUCT(('Pivot Data'!$D$2:$D$1912=$A30)*IF($B30="",--('Pivot Data'!$E$2:$E$1912=""),--('Pivot Data'!$E$2:$E$1912=$B30))*('Pivot Data'!$I$2:$I$1912="Cancelled")*'Pivot Data'!$H$2:$H$1912)</f>
        <v>0</v>
      </c>
      <c r="E30" s="1301">
        <f t="shared" si="0"/>
        <v>10</v>
      </c>
    </row>
    <row r="31" spans="1:5" hidden="1" x14ac:dyDescent="0.25">
      <c r="A31" t="s">
        <v>1950</v>
      </c>
      <c r="C31" s="1301" cm="1">
        <f t="array" ref="C31">SUMPRODUCT((CHALLAN!$B$1:$B$16504=A31)*IF(B31="",--(CHALLAN!$C$1:$C$16504=""),--(CHALLAN!$C$1:$C$16504=B31))*IFERROR(CHALLAN!$D$1:$D$16504*CHALLAN!$E$1:$E$16504,0))</f>
        <v>10</v>
      </c>
      <c r="D31" cm="1">
        <f t="array" ref="D31">SUMPRODUCT(('Pivot Data'!$D$2:$D$1912=$A31)*IF($B31="",--('Pivot Data'!$E$2:$E$1912=""),--('Pivot Data'!$E$2:$E$1912=$B31))*('Pivot Data'!$I$2:$I$1912="Cancelled")*'Pivot Data'!$H$2:$H$1912)</f>
        <v>0</v>
      </c>
      <c r="E31" s="1301">
        <f t="shared" si="0"/>
        <v>10</v>
      </c>
    </row>
    <row r="32" spans="1:5" hidden="1" x14ac:dyDescent="0.25">
      <c r="A32" t="s">
        <v>1678</v>
      </c>
      <c r="C32" s="1301" cm="1">
        <f t="array" ref="C32">SUMPRODUCT((CHALLAN!$B$1:$B$16504=A32)*IF(B32="",--(CHALLAN!$C$1:$C$16504=""),--(CHALLAN!$C$1:$C$16504=B32))*IFERROR(CHALLAN!$D$1:$D$16504*CHALLAN!$E$1:$E$16504,0))</f>
        <v>50</v>
      </c>
      <c r="D32" cm="1">
        <f t="array" ref="D32">SUMPRODUCT(('Pivot Data'!$D$2:$D$1912=$A32)*IF($B32="",--('Pivot Data'!$E$2:$E$1912=""),--('Pivot Data'!$E$2:$E$1912=$B32))*('Pivot Data'!$I$2:$I$1912="Cancelled")*'Pivot Data'!$H$2:$H$1912)</f>
        <v>0</v>
      </c>
      <c r="E32" s="1301">
        <f t="shared" si="0"/>
        <v>50</v>
      </c>
    </row>
    <row r="33" spans="1:10" hidden="1" x14ac:dyDescent="0.25">
      <c r="A33" t="s">
        <v>2022</v>
      </c>
      <c r="C33" s="1301" cm="1">
        <f t="array" ref="C33">SUMPRODUCT((CHALLAN!$B$1:$B$16504=A33)*IF(B33="",--(CHALLAN!$C$1:$C$16504=""),--(CHALLAN!$C$1:$C$16504=B33))*IFERROR(CHALLAN!$D$1:$D$16504*CHALLAN!$E$1:$E$16504,0))</f>
        <v>30</v>
      </c>
      <c r="D33" cm="1">
        <f t="array" ref="D33">SUMPRODUCT(('Pivot Data'!$D$2:$D$1912=$A33)*IF($B33="",--('Pivot Data'!$E$2:$E$1912=""),--('Pivot Data'!$E$2:$E$1912=$B33))*('Pivot Data'!$I$2:$I$1912="Cancelled")*'Pivot Data'!$H$2:$H$1912)</f>
        <v>0</v>
      </c>
      <c r="E33" s="1301">
        <f t="shared" si="0"/>
        <v>30</v>
      </c>
    </row>
    <row r="34" spans="1:10" hidden="1" x14ac:dyDescent="0.25">
      <c r="A34" t="s">
        <v>1342</v>
      </c>
      <c r="C34" s="1301" cm="1">
        <f t="array" ref="C34">SUMPRODUCT((CHALLAN!$B$1:$B$16504=A34)*IF(B34="",--(CHALLAN!$C$1:$C$16504=""),--(CHALLAN!$C$1:$C$16504=B34))*IFERROR(CHALLAN!$D$1:$D$16504*CHALLAN!$E$1:$E$16504,0))</f>
        <v>50</v>
      </c>
      <c r="D34" cm="1">
        <f t="array" ref="D34">SUMPRODUCT(('Pivot Data'!$D$2:$D$1912=$A34)*IF($B34="",--('Pivot Data'!$E$2:$E$1912=""),--('Pivot Data'!$E$2:$E$1912=$B34))*('Pivot Data'!$I$2:$I$1912="Cancelled")*'Pivot Data'!$H$2:$H$1912)</f>
        <v>0</v>
      </c>
      <c r="E34" s="1301">
        <f t="shared" si="0"/>
        <v>50</v>
      </c>
    </row>
    <row r="35" spans="1:10" hidden="1" x14ac:dyDescent="0.25">
      <c r="A35" t="s">
        <v>1690</v>
      </c>
      <c r="C35" s="1301" cm="1">
        <f t="array" ref="C35">SUMPRODUCT((CHALLAN!$B$1:$B$16504=A35)*IF(B35="",--(CHALLAN!$C$1:$C$16504=""),--(CHALLAN!$C$1:$C$16504=B35))*IFERROR(CHALLAN!$D$1:$D$16504*CHALLAN!$E$1:$E$16504,0))</f>
        <v>0</v>
      </c>
      <c r="D35" cm="1">
        <f t="array" ref="D35">SUMPRODUCT(('Pivot Data'!$D$2:$D$1912=$A35)*IF($B35="",--('Pivot Data'!$E$2:$E$1912=""),--('Pivot Data'!$E$2:$E$1912=$B35))*('Pivot Data'!$I$2:$I$1912="Cancelled")*'Pivot Data'!$H$2:$H$1912)</f>
        <v>0</v>
      </c>
      <c r="E35" s="1301">
        <f t="shared" si="0"/>
        <v>0</v>
      </c>
    </row>
    <row r="36" spans="1:10" hidden="1" x14ac:dyDescent="0.25">
      <c r="A36" t="s">
        <v>2180</v>
      </c>
      <c r="B36" t="s">
        <v>467</v>
      </c>
      <c r="C36" s="1301" cm="1">
        <f t="array" ref="C36">SUMPRODUCT((CHALLAN!$B$1:$B$16504=A36)*IF(B36="",--(CHALLAN!$C$1:$C$16504=""),--(CHALLAN!$C$1:$C$16504=B36))*IFERROR(CHALLAN!$D$1:$D$16504*CHALLAN!$E$1:$E$16504,0))</f>
        <v>20</v>
      </c>
      <c r="D36" cm="1">
        <f t="array" ref="D36">SUMPRODUCT(('Pivot Data'!$D$2:$D$1912=$A36)*IF($B36="",--('Pivot Data'!$E$2:$E$1912=""),--('Pivot Data'!$E$2:$E$1912=$B36))*('Pivot Data'!$I$2:$I$1912="Cancelled")*'Pivot Data'!$H$2:$H$1912)</f>
        <v>0</v>
      </c>
      <c r="E36" s="1301">
        <f t="shared" si="0"/>
        <v>20</v>
      </c>
    </row>
    <row r="37" spans="1:10" hidden="1" x14ac:dyDescent="0.25">
      <c r="A37" t="s">
        <v>890</v>
      </c>
      <c r="C37" s="1301" cm="1">
        <f t="array" ref="C37">SUMPRODUCT((CHALLAN!$B$1:$B$16504=A37)*IF(B37="",--(CHALLAN!$C$1:$C$16504=""),--(CHALLAN!$C$1:$C$16504=B37))*IFERROR(CHALLAN!$D$1:$D$16504*CHALLAN!$E$1:$E$16504,0))</f>
        <v>90</v>
      </c>
      <c r="D37" cm="1">
        <f t="array" ref="D37">SUMPRODUCT(('Pivot Data'!$D$2:$D$1912=$A37)*IF($B37="",--('Pivot Data'!$E$2:$E$1912=""),--('Pivot Data'!$E$2:$E$1912=$B37))*('Pivot Data'!$I$2:$I$1912="Cancelled")*'Pivot Data'!$H$2:$H$1912)</f>
        <v>0</v>
      </c>
      <c r="E37" s="1301">
        <f t="shared" si="0"/>
        <v>90</v>
      </c>
    </row>
    <row r="38" spans="1:10" hidden="1" x14ac:dyDescent="0.25">
      <c r="A38" t="s">
        <v>2253</v>
      </c>
      <c r="C38" s="1301" cm="1">
        <f t="array" ref="C38">SUMPRODUCT((CHALLAN!$B$1:$B$16504=A38)*IF(B38="",--(CHALLAN!$C$1:$C$16504=""),--(CHALLAN!$C$1:$C$16504=B38))*IFERROR(CHALLAN!$D$1:$D$16504*CHALLAN!$E$1:$E$16504,0))</f>
        <v>10</v>
      </c>
      <c r="D38" cm="1">
        <f t="array" ref="D38">SUMPRODUCT(('Pivot Data'!$D$2:$D$1912=$A38)*IF($B38="",--('Pivot Data'!$E$2:$E$1912=""),--('Pivot Data'!$E$2:$E$1912=$B38))*('Pivot Data'!$I$2:$I$1912="Cancelled")*'Pivot Data'!$H$2:$H$1912)</f>
        <v>0</v>
      </c>
      <c r="E38" s="1301">
        <f t="shared" si="0"/>
        <v>10</v>
      </c>
    </row>
    <row r="39" spans="1:10" hidden="1" x14ac:dyDescent="0.25">
      <c r="A39" t="s">
        <v>890</v>
      </c>
      <c r="B39" t="s">
        <v>891</v>
      </c>
      <c r="C39" s="1301" cm="1">
        <f t="array" ref="C39">SUMPRODUCT((CHALLAN!$B$1:$B$16504=A39)*IF(B39="",--(CHALLAN!$C$1:$C$16504=""),--(CHALLAN!$C$1:$C$16504=B39))*IFERROR(CHALLAN!$D$1:$D$16504*CHALLAN!$E$1:$E$16504,0))</f>
        <v>40</v>
      </c>
      <c r="D39" cm="1">
        <f t="array" ref="D39">SUMPRODUCT(('Pivot Data'!$D$2:$D$1912=$A39)*IF($B39="",--('Pivot Data'!$E$2:$E$1912=""),--('Pivot Data'!$E$2:$E$1912=$B39))*('Pivot Data'!$I$2:$I$1912="Cancelled")*'Pivot Data'!$H$2:$H$1912)</f>
        <v>0</v>
      </c>
      <c r="E39" s="1301">
        <f t="shared" si="0"/>
        <v>40</v>
      </c>
    </row>
    <row r="40" spans="1:10" hidden="1" x14ac:dyDescent="0.25">
      <c r="A40" t="s">
        <v>1953</v>
      </c>
      <c r="C40" s="1301" cm="1">
        <f t="array" ref="C40">SUMPRODUCT((CHALLAN!$B$1:$B$16504=A40)*IF(B40="",--(CHALLAN!$C$1:$C$16504=""),--(CHALLAN!$C$1:$C$16504=B40))*IFERROR(CHALLAN!$D$1:$D$16504*CHALLAN!$E$1:$E$16504,0))</f>
        <v>10</v>
      </c>
      <c r="D40" cm="1">
        <f t="array" ref="D40">SUMPRODUCT(('Pivot Data'!$D$2:$D$1912=$A40)*IF($B40="",--('Pivot Data'!$E$2:$E$1912=""),--('Pivot Data'!$E$2:$E$1912=$B40))*('Pivot Data'!$I$2:$I$1912="Cancelled")*'Pivot Data'!$H$2:$H$1912)</f>
        <v>0</v>
      </c>
      <c r="E40" s="1301">
        <f t="shared" si="0"/>
        <v>10</v>
      </c>
    </row>
    <row r="41" spans="1:10" hidden="1" x14ac:dyDescent="0.25">
      <c r="A41" t="s">
        <v>1636</v>
      </c>
      <c r="C41" s="1301" cm="1">
        <f t="array" ref="C41">SUMPRODUCT((CHALLAN!$B$1:$B$16504=A41)*IF(B41="",--(CHALLAN!$C$1:$C$16504=""),--(CHALLAN!$C$1:$C$16504=B41))*IFERROR(CHALLAN!$D$1:$D$16504*CHALLAN!$E$1:$E$16504,0))</f>
        <v>50</v>
      </c>
      <c r="D41" cm="1">
        <f t="array" ref="D41">SUMPRODUCT(('Pivot Data'!$D$2:$D$1912=$A41)*IF($B41="",--('Pivot Data'!$E$2:$E$1912=""),--('Pivot Data'!$E$2:$E$1912=$B41))*('Pivot Data'!$I$2:$I$1912="Cancelled")*'Pivot Data'!$H$2:$H$1912)</f>
        <v>40</v>
      </c>
      <c r="E41" s="1301">
        <f t="shared" si="0"/>
        <v>10</v>
      </c>
    </row>
    <row r="42" spans="1:10" hidden="1" x14ac:dyDescent="0.25">
      <c r="A42" t="s">
        <v>1651</v>
      </c>
      <c r="B42" t="s">
        <v>1652</v>
      </c>
      <c r="C42" s="1301" cm="1">
        <f t="array" ref="C42">SUMPRODUCT((CHALLAN!$B$1:$B$16504=A42)*IF(B42="",--(CHALLAN!$C$1:$C$16504=""),--(CHALLAN!$C$1:$C$16504=B42))*IFERROR(CHALLAN!$D$1:$D$16504*CHALLAN!$E$1:$E$16504,0))</f>
        <v>40</v>
      </c>
      <c r="D42" cm="1">
        <f t="array" ref="D42">SUMPRODUCT(('Pivot Data'!$D$2:$D$1912=$A42)*IF($B42="",--('Pivot Data'!$E$2:$E$1912=""),--('Pivot Data'!$E$2:$E$1912=$B42))*('Pivot Data'!$I$2:$I$1912="Cancelled")*'Pivot Data'!$H$2:$H$1912)</f>
        <v>0</v>
      </c>
      <c r="E42" s="1301">
        <f t="shared" si="0"/>
        <v>40</v>
      </c>
    </row>
    <row r="43" spans="1:10" hidden="1" x14ac:dyDescent="0.25">
      <c r="A43" t="s">
        <v>2021</v>
      </c>
      <c r="C43" s="1301" cm="1">
        <f t="array" ref="C43">SUMPRODUCT((CHALLAN!$B$1:$B$16504=A43)*IF(B43="",--(CHALLAN!$C$1:$C$16504=""),--(CHALLAN!$C$1:$C$16504=B43))*IFERROR(CHALLAN!$D$1:$D$16504*CHALLAN!$E$1:$E$16504,0))</f>
        <v>105</v>
      </c>
      <c r="D43" cm="1">
        <f t="array" ref="D43">SUMPRODUCT(('Pivot Data'!$D$2:$D$1912=$A43)*IF($B43="",--('Pivot Data'!$E$2:$E$1912=""),--('Pivot Data'!$E$2:$E$1912=$B43))*('Pivot Data'!$I$2:$I$1912="Cancelled")*'Pivot Data'!$H$2:$H$1912)</f>
        <v>0</v>
      </c>
      <c r="E43" s="1301">
        <f t="shared" si="0"/>
        <v>105</v>
      </c>
    </row>
    <row r="44" spans="1:10" hidden="1" x14ac:dyDescent="0.25">
      <c r="A44" t="s">
        <v>2084</v>
      </c>
      <c r="B44" t="s">
        <v>2085</v>
      </c>
      <c r="C44" s="1301" cm="1">
        <f t="array" ref="C44">SUMPRODUCT((CHALLAN!$B$1:$B$16504=A44)*IF(B44="",--(CHALLAN!$C$1:$C$16504=""),--(CHALLAN!$C$1:$C$16504=B44))*IFERROR(CHALLAN!$D$1:$D$16504*CHALLAN!$E$1:$E$16504,0))</f>
        <v>120</v>
      </c>
      <c r="D44" cm="1">
        <f t="array" ref="D44">SUMPRODUCT(('Pivot Data'!$D$2:$D$1912=$A44)*IF($B44="",--('Pivot Data'!$E$2:$E$1912=""),--('Pivot Data'!$E$2:$E$1912=$B44))*('Pivot Data'!$I$2:$I$1912="Cancelled")*'Pivot Data'!$H$2:$H$1912)</f>
        <v>0</v>
      </c>
      <c r="E44" s="1301">
        <f t="shared" si="0"/>
        <v>120</v>
      </c>
      <c r="H44" t="s">
        <v>2084</v>
      </c>
      <c r="I44" t="s">
        <v>2085</v>
      </c>
      <c r="J44">
        <v>120</v>
      </c>
    </row>
    <row r="45" spans="1:10" hidden="1" x14ac:dyDescent="0.25">
      <c r="A45" t="s">
        <v>2086</v>
      </c>
      <c r="B45" t="s">
        <v>2085</v>
      </c>
      <c r="C45" s="1301" cm="1">
        <f t="array" ref="C45">SUMPRODUCT((CHALLAN!$B$1:$B$16504=A45)*IF(B45="",--(CHALLAN!$C$1:$C$16504=""),--(CHALLAN!$C$1:$C$16504=B45))*IFERROR(CHALLAN!$D$1:$D$16504*CHALLAN!$E$1:$E$16504,0))</f>
        <v>60</v>
      </c>
      <c r="D45" cm="1">
        <f t="array" ref="D45">SUMPRODUCT(('Pivot Data'!$D$2:$D$1912=$A45)*IF($B45="",--('Pivot Data'!$E$2:$E$1912=""),--('Pivot Data'!$E$2:$E$1912=$B45))*('Pivot Data'!$I$2:$I$1912="Cancelled")*'Pivot Data'!$H$2:$H$1912)</f>
        <v>0</v>
      </c>
      <c r="E45" s="1301">
        <f t="shared" si="0"/>
        <v>60</v>
      </c>
      <c r="H45" t="s">
        <v>2136</v>
      </c>
      <c r="I45" t="s">
        <v>2135</v>
      </c>
      <c r="J45">
        <v>0</v>
      </c>
    </row>
    <row r="46" spans="1:10" hidden="1" x14ac:dyDescent="0.25">
      <c r="A46" t="s">
        <v>2086</v>
      </c>
      <c r="B46" t="s">
        <v>2087</v>
      </c>
      <c r="C46" s="1301" cm="1">
        <f t="array" ref="C46">SUMPRODUCT((CHALLAN!$B$1:$B$16504=A46)*IF(B46="",--(CHALLAN!$C$1:$C$16504=""),--(CHALLAN!$C$1:$C$16504=B46))*IFERROR(CHALLAN!$D$1:$D$16504*CHALLAN!$E$1:$E$16504,0))</f>
        <v>60</v>
      </c>
      <c r="D46" cm="1">
        <f t="array" ref="D46">SUMPRODUCT(('Pivot Data'!$D$2:$D$1912=$A46)*IF($B46="",--('Pivot Data'!$E$2:$E$1912=""),--('Pivot Data'!$E$2:$E$1912=$B46))*('Pivot Data'!$I$2:$I$1912="Cancelled")*'Pivot Data'!$H$2:$H$1912)</f>
        <v>0</v>
      </c>
      <c r="E46" s="1301">
        <f t="shared" si="0"/>
        <v>60</v>
      </c>
    </row>
    <row r="47" spans="1:10" hidden="1" x14ac:dyDescent="0.25">
      <c r="A47" t="s">
        <v>2136</v>
      </c>
      <c r="B47" t="s">
        <v>2135</v>
      </c>
      <c r="C47" s="1301" cm="1">
        <f t="array" ref="C47">SUMPRODUCT((CHALLAN!$B$1:$B$16504=A47)*IF(B47="",--(CHALLAN!$C$1:$C$16504=""),--(CHALLAN!$C$1:$C$16504=B47))*IFERROR(CHALLAN!$D$1:$D$16504*CHALLAN!$E$1:$E$16504,0))</f>
        <v>0</v>
      </c>
      <c r="D47" cm="1">
        <f t="array" ref="D47">SUMPRODUCT(('Pivot Data'!$D$2:$D$1912=$A47)*IF($B47="",--('Pivot Data'!$E$2:$E$1912=""),--('Pivot Data'!$E$2:$E$1912=$B47))*('Pivot Data'!$I$2:$I$1912="Cancelled")*'Pivot Data'!$H$2:$H$1912)</f>
        <v>0</v>
      </c>
      <c r="E47" s="1301">
        <f t="shared" si="0"/>
        <v>0</v>
      </c>
    </row>
    <row r="48" spans="1:10" hidden="1" x14ac:dyDescent="0.25">
      <c r="A48" t="s">
        <v>2134</v>
      </c>
      <c r="B48" t="s">
        <v>2135</v>
      </c>
      <c r="C48" s="1301" cm="1">
        <f t="array" ref="C48">SUMPRODUCT((CHALLAN!$B$1:$B$16504=A48)*IF(B48="",--(CHALLAN!$C$1:$C$16504=""),--(CHALLAN!$C$1:$C$16504=B48))*IFERROR(CHALLAN!$D$1:$D$16504*CHALLAN!$E$1:$E$16504,0))</f>
        <v>8</v>
      </c>
      <c r="D48" cm="1">
        <f t="array" ref="D48">SUMPRODUCT(('Pivot Data'!$D$2:$D$1912=$A48)*IF($B48="",--('Pivot Data'!$E$2:$E$1912=""),--('Pivot Data'!$E$2:$E$1912=$B48))*('Pivot Data'!$I$2:$I$1912="Cancelled")*'Pivot Data'!$H$2:$H$1912)</f>
        <v>0</v>
      </c>
      <c r="E48" s="1301">
        <f t="shared" si="0"/>
        <v>8</v>
      </c>
    </row>
    <row r="49" spans="1:11" hidden="1" x14ac:dyDescent="0.25">
      <c r="A49" t="s">
        <v>2095</v>
      </c>
      <c r="B49" t="s">
        <v>2096</v>
      </c>
      <c r="C49" s="1301" cm="1">
        <f t="array" ref="C49">SUMPRODUCT((CHALLAN!$B$1:$B$16504=A49)*IF(B49="",--(CHALLAN!$C$1:$C$16504=""),--(CHALLAN!$C$1:$C$16504=B49))*IFERROR(CHALLAN!$D$1:$D$16504*CHALLAN!$E$1:$E$16504,0))</f>
        <v>380</v>
      </c>
      <c r="D49" cm="1">
        <f t="array" ref="D49">SUMPRODUCT(('Pivot Data'!$D$2:$D$1912=$A49)*IF($B49="",--('Pivot Data'!$E$2:$E$1912=""),--('Pivot Data'!$E$2:$E$1912=$B49))*('Pivot Data'!$I$2:$I$1912="Cancelled")*'Pivot Data'!$H$2:$H$1912)</f>
        <v>0</v>
      </c>
      <c r="E49" s="1301">
        <f t="shared" si="0"/>
        <v>380</v>
      </c>
    </row>
    <row r="50" spans="1:11" hidden="1" x14ac:dyDescent="0.25">
      <c r="A50" t="s">
        <v>2097</v>
      </c>
      <c r="B50" t="s">
        <v>2098</v>
      </c>
      <c r="C50" s="1301" cm="1">
        <f t="array" ref="C50">SUMPRODUCT((CHALLAN!$B$1:$B$16504=A50)*IF(B50="",--(CHALLAN!$C$1:$C$16504=""),--(CHALLAN!$C$1:$C$16504=B50))*IFERROR(CHALLAN!$D$1:$D$16504*CHALLAN!$E$1:$E$16504,0))</f>
        <v>170</v>
      </c>
      <c r="D50" cm="1">
        <f t="array" ref="D50">SUMPRODUCT(('Pivot Data'!$D$2:$D$1912=$A50)*IF($B50="",--('Pivot Data'!$E$2:$E$1912=""),--('Pivot Data'!$E$2:$E$1912=$B50))*('Pivot Data'!$I$2:$I$1912="Cancelled")*'Pivot Data'!$H$2:$H$1912)</f>
        <v>0</v>
      </c>
      <c r="E50" s="1301">
        <f t="shared" si="0"/>
        <v>170</v>
      </c>
      <c r="I50" t="s">
        <v>2097</v>
      </c>
      <c r="J50" t="s">
        <v>2098</v>
      </c>
      <c r="K50">
        <v>170</v>
      </c>
    </row>
    <row r="51" spans="1:11" hidden="1" x14ac:dyDescent="0.25">
      <c r="A51" s="1302" t="s">
        <v>1768</v>
      </c>
      <c r="C51" s="1301" cm="1">
        <f t="array" ref="C51">SUMPRODUCT((CHALLAN!$B$1:$B$16504=A51)*IF(B51="",--(CHALLAN!$C$1:$C$16504=""),--(CHALLAN!$C$1:$C$16504=B51))*IFERROR(CHALLAN!$D$1:$D$16504*CHALLAN!$E$1:$E$16504,0))</f>
        <v>39</v>
      </c>
      <c r="D51" cm="1">
        <f t="array" ref="D51">SUMPRODUCT(('Pivot Data'!$D$2:$D$1912=$A51)*IF($B51="",--('Pivot Data'!$E$2:$E$1912=""),--('Pivot Data'!$E$2:$E$1912=$B51))*('Pivot Data'!$I$2:$I$1912="Cancelled")*'Pivot Data'!$H$2:$H$1912)</f>
        <v>0</v>
      </c>
      <c r="E51" s="1301">
        <f t="shared" si="0"/>
        <v>39</v>
      </c>
      <c r="I51" t="s">
        <v>1768</v>
      </c>
      <c r="K51">
        <v>39</v>
      </c>
    </row>
    <row r="52" spans="1:11" hidden="1" x14ac:dyDescent="0.25">
      <c r="A52" t="s">
        <v>1768</v>
      </c>
      <c r="B52" t="s">
        <v>1843</v>
      </c>
      <c r="C52" s="1301" cm="1">
        <f t="array" ref="C52">SUMPRODUCT((CHALLAN!$B$1:$B$16504=A52)*IF(B52="",--(CHALLAN!$C$1:$C$16504=""),--(CHALLAN!$C$1:$C$16504=B52))*IFERROR(CHALLAN!$D$1:$D$16504*CHALLAN!$E$1:$E$16504,0))</f>
        <v>30</v>
      </c>
      <c r="D52" cm="1">
        <f t="array" ref="D52">SUMPRODUCT(('Pivot Data'!$D$2:$D$1912=$A52)*IF($B52="",--('Pivot Data'!$E$2:$E$1912=""),--('Pivot Data'!$E$2:$E$1912=$B52))*('Pivot Data'!$I$2:$I$1912="Cancelled")*'Pivot Data'!$H$2:$H$1912)</f>
        <v>0</v>
      </c>
      <c r="E52" s="1301">
        <f t="shared" si="0"/>
        <v>30</v>
      </c>
    </row>
    <row r="53" spans="1:11" hidden="1" x14ac:dyDescent="0.25">
      <c r="A53" t="s">
        <v>1768</v>
      </c>
      <c r="B53" t="s">
        <v>1481</v>
      </c>
      <c r="C53" s="1301" cm="1">
        <f t="array" ref="C53">SUMPRODUCT((CHALLAN!$B$1:$B$16504=A53)*IF(B53="",--(CHALLAN!$C$1:$C$16504=""),--(CHALLAN!$C$1:$C$16504=B53))*IFERROR(CHALLAN!$D$1:$D$16504*CHALLAN!$E$1:$E$16504,0))</f>
        <v>30</v>
      </c>
      <c r="D53" cm="1">
        <f t="array" ref="D53">SUMPRODUCT(('Pivot Data'!$D$2:$D$1912=$A53)*IF($B53="",--('Pivot Data'!$E$2:$E$1912=""),--('Pivot Data'!$E$2:$E$1912=$B53))*('Pivot Data'!$I$2:$I$1912="Cancelled")*'Pivot Data'!$H$2:$H$1912)</f>
        <v>0</v>
      </c>
      <c r="E53" s="1301">
        <f t="shared" si="0"/>
        <v>30</v>
      </c>
    </row>
    <row r="54" spans="1:11" hidden="1" x14ac:dyDescent="0.25">
      <c r="A54" t="s">
        <v>1768</v>
      </c>
      <c r="B54" t="s">
        <v>1512</v>
      </c>
      <c r="C54" s="1301" cm="1">
        <f t="array" ref="C54">SUMPRODUCT((CHALLAN!$B$1:$B$16504=A54)*IF(B54="",--(CHALLAN!$C$1:$C$16504=""),--(CHALLAN!$C$1:$C$16504=B54))*IFERROR(CHALLAN!$D$1:$D$16504*CHALLAN!$E$1:$E$16504,0))</f>
        <v>50</v>
      </c>
      <c r="D54" cm="1">
        <f t="array" ref="D54">SUMPRODUCT(('Pivot Data'!$D$2:$D$1912=$A54)*IF($B54="",--('Pivot Data'!$E$2:$E$1912=""),--('Pivot Data'!$E$2:$E$1912=$B54))*('Pivot Data'!$I$2:$I$1912="Cancelled")*'Pivot Data'!$H$2:$H$1912)</f>
        <v>0</v>
      </c>
      <c r="E54" s="1301">
        <f t="shared" si="0"/>
        <v>50</v>
      </c>
    </row>
    <row r="55" spans="1:11" hidden="1" x14ac:dyDescent="0.25">
      <c r="A55" t="s">
        <v>2076</v>
      </c>
      <c r="B55" t="s">
        <v>2077</v>
      </c>
      <c r="C55" s="1301" cm="1">
        <f t="array" ref="C55">SUMPRODUCT((CHALLAN!$B$1:$B$16504=A55)*IF(B55="",--(CHALLAN!$C$1:$C$16504=""),--(CHALLAN!$C$1:$C$16504=B55))*IFERROR(CHALLAN!$D$1:$D$16504*CHALLAN!$E$1:$E$16504,0))</f>
        <v>450</v>
      </c>
      <c r="D55" cm="1">
        <f t="array" ref="D55">SUMPRODUCT(('Pivot Data'!$D$2:$D$1912=$A55)*IF($B55="",--('Pivot Data'!$E$2:$E$1912=""),--('Pivot Data'!$E$2:$E$1912=$B55))*('Pivot Data'!$I$2:$I$1912="Cancelled")*'Pivot Data'!$H$2:$H$1912)</f>
        <v>0</v>
      </c>
      <c r="E55" s="1301">
        <f t="shared" si="0"/>
        <v>450</v>
      </c>
    </row>
    <row r="56" spans="1:11" hidden="1" x14ac:dyDescent="0.25">
      <c r="A56" t="s">
        <v>2074</v>
      </c>
      <c r="B56" t="s">
        <v>2075</v>
      </c>
      <c r="C56" s="1301" cm="1">
        <f t="array" ref="C56">SUMPRODUCT((CHALLAN!$B$1:$B$16504=A56)*IF(B56="",--(CHALLAN!$C$1:$C$16504=""),--(CHALLAN!$C$1:$C$16504=B56))*IFERROR(CHALLAN!$D$1:$D$16504*CHALLAN!$E$1:$E$16504,0))</f>
        <v>300</v>
      </c>
      <c r="D56" cm="1">
        <f t="array" ref="D56">SUMPRODUCT(('Pivot Data'!$D$2:$D$1912=$A56)*IF($B56="",--('Pivot Data'!$E$2:$E$1912=""),--('Pivot Data'!$E$2:$E$1912=$B56))*('Pivot Data'!$I$2:$I$1912="Cancelled")*'Pivot Data'!$H$2:$H$1912)</f>
        <v>0</v>
      </c>
      <c r="E56" s="1301">
        <f t="shared" si="0"/>
        <v>300</v>
      </c>
    </row>
    <row r="57" spans="1:11" hidden="1" x14ac:dyDescent="0.25">
      <c r="A57" t="s">
        <v>1770</v>
      </c>
      <c r="C57" s="1301" cm="1">
        <f t="array" ref="C57">SUMPRODUCT((CHALLAN!$B$1:$B$16504=A57)*IF(B57="",--(CHALLAN!$C$1:$C$16504=""),--(CHALLAN!$C$1:$C$16504=B57))*IFERROR(CHALLAN!$D$1:$D$16504*CHALLAN!$E$1:$E$16504,0))</f>
        <v>150</v>
      </c>
      <c r="D57" cm="1">
        <f t="array" ref="D57">SUMPRODUCT(('Pivot Data'!$D$2:$D$1912=$A57)*IF($B57="",--('Pivot Data'!$E$2:$E$1912=""),--('Pivot Data'!$E$2:$E$1912=$B57))*('Pivot Data'!$I$2:$I$1912="Cancelled")*'Pivot Data'!$H$2:$H$1912)</f>
        <v>0</v>
      </c>
      <c r="E57" s="1301">
        <f t="shared" si="0"/>
        <v>150</v>
      </c>
    </row>
    <row r="58" spans="1:11" hidden="1" x14ac:dyDescent="0.25">
      <c r="A58" t="s">
        <v>1770</v>
      </c>
      <c r="B58" t="s">
        <v>1481</v>
      </c>
      <c r="C58" s="1301" cm="1">
        <f t="array" ref="C58">SUMPRODUCT((CHALLAN!$B$1:$B$16504=A58)*IF(B58="",--(CHALLAN!$C$1:$C$16504=""),--(CHALLAN!$C$1:$C$16504=B58))*IFERROR(CHALLAN!$D$1:$D$16504*CHALLAN!$E$1:$E$16504,0))</f>
        <v>50</v>
      </c>
      <c r="D58" cm="1">
        <f t="array" ref="D58">SUMPRODUCT(('Pivot Data'!$D$2:$D$1912=$A58)*IF($B58="",--('Pivot Data'!$E$2:$E$1912=""),--('Pivot Data'!$E$2:$E$1912=$B58))*('Pivot Data'!$I$2:$I$1912="Cancelled")*'Pivot Data'!$H$2:$H$1912)</f>
        <v>0</v>
      </c>
      <c r="E58" s="1301">
        <f t="shared" si="0"/>
        <v>50</v>
      </c>
    </row>
    <row r="59" spans="1:11" hidden="1" x14ac:dyDescent="0.25">
      <c r="A59" t="s">
        <v>1770</v>
      </c>
      <c r="B59" t="s">
        <v>1512</v>
      </c>
      <c r="C59" s="1301" cm="1">
        <f t="array" ref="C59">SUMPRODUCT((CHALLAN!$B$1:$B$16504=A59)*IF(B59="",--(CHALLAN!$C$1:$C$16504=""),--(CHALLAN!$C$1:$C$16504=B59))*IFERROR(CHALLAN!$D$1:$D$16504*CHALLAN!$E$1:$E$16504,0))</f>
        <v>100</v>
      </c>
      <c r="D59" cm="1">
        <f t="array" ref="D59">SUMPRODUCT(('Pivot Data'!$D$2:$D$1912=$A59)*IF($B59="",--('Pivot Data'!$E$2:$E$1912=""),--('Pivot Data'!$E$2:$E$1912=$B59))*('Pivot Data'!$I$2:$I$1912="Cancelled")*'Pivot Data'!$H$2:$H$1912)</f>
        <v>0</v>
      </c>
      <c r="E59" s="1301">
        <f t="shared" si="0"/>
        <v>100</v>
      </c>
    </row>
    <row r="60" spans="1:11" hidden="1" x14ac:dyDescent="0.25">
      <c r="A60" t="s">
        <v>1624</v>
      </c>
      <c r="C60" s="1301" cm="1">
        <f t="array" ref="C60">SUMPRODUCT((CHALLAN!$B$1:$B$16504=A60)*IF(B60="",--(CHALLAN!$C$1:$C$16504=""),--(CHALLAN!$C$1:$C$16504=B60))*IFERROR(CHALLAN!$D$1:$D$16504*CHALLAN!$E$1:$E$16504,0))</f>
        <v>340</v>
      </c>
      <c r="D60" cm="1">
        <f t="array" ref="D60">SUMPRODUCT(('Pivot Data'!$D$2:$D$1912=$A60)*IF($B60="",--('Pivot Data'!$E$2:$E$1912=""),--('Pivot Data'!$E$2:$E$1912=$B60))*('Pivot Data'!$I$2:$I$1912="Cancelled")*'Pivot Data'!$H$2:$H$1912)</f>
        <v>120</v>
      </c>
      <c r="E60" s="1301">
        <f t="shared" si="0"/>
        <v>220</v>
      </c>
    </row>
    <row r="61" spans="1:11" hidden="1" x14ac:dyDescent="0.25">
      <c r="A61" t="s">
        <v>1625</v>
      </c>
      <c r="C61" s="1301" cm="1">
        <f t="array" ref="C61">SUMPRODUCT((CHALLAN!$B$1:$B$16504=A61)*IF(B61="",--(CHALLAN!$C$1:$C$16504=""),--(CHALLAN!$C$1:$C$16504=B61))*IFERROR(CHALLAN!$D$1:$D$16504*CHALLAN!$E$1:$E$16504,0))</f>
        <v>210</v>
      </c>
      <c r="D61" cm="1">
        <f t="array" ref="D61">SUMPRODUCT(('Pivot Data'!$D$2:$D$1912=$A61)*IF($B61="",--('Pivot Data'!$E$2:$E$1912=""),--('Pivot Data'!$E$2:$E$1912=$B61))*('Pivot Data'!$I$2:$I$1912="Cancelled")*'Pivot Data'!$H$2:$H$1912)</f>
        <v>30</v>
      </c>
      <c r="E61" s="1301">
        <f t="shared" si="0"/>
        <v>180</v>
      </c>
    </row>
    <row r="62" spans="1:11" hidden="1" x14ac:dyDescent="0.25">
      <c r="A62" t="s">
        <v>2078</v>
      </c>
      <c r="B62" t="s">
        <v>2079</v>
      </c>
      <c r="C62" s="1301" cm="1">
        <f t="array" ref="C62">SUMPRODUCT((CHALLAN!$B$1:$B$16504=A62)*IF(B62="",--(CHALLAN!$C$1:$C$16504=""),--(CHALLAN!$C$1:$C$16504=B62))*IFERROR(CHALLAN!$D$1:$D$16504*CHALLAN!$E$1:$E$16504,0))</f>
        <v>50</v>
      </c>
      <c r="D62" cm="1">
        <f t="array" ref="D62">SUMPRODUCT(('Pivot Data'!$D$2:$D$1912=$A62)*IF($B62="",--('Pivot Data'!$E$2:$E$1912=""),--('Pivot Data'!$E$2:$E$1912=$B62))*('Pivot Data'!$I$2:$I$1912="Cancelled")*'Pivot Data'!$H$2:$H$1912)</f>
        <v>0</v>
      </c>
      <c r="E62" s="1301">
        <f t="shared" si="0"/>
        <v>50</v>
      </c>
    </row>
    <row r="63" spans="1:11" hidden="1" x14ac:dyDescent="0.25">
      <c r="A63" t="s">
        <v>2254</v>
      </c>
      <c r="C63" s="1301" cm="1">
        <f t="array" ref="C63">SUMPRODUCT((CHALLAN!$B$1:$B$16504=A63)*IF(B63="",--(CHALLAN!$C$1:$C$16504=""),--(CHALLAN!$C$1:$C$16504=B63))*IFERROR(CHALLAN!$D$1:$D$16504*CHALLAN!$E$1:$E$16504,0))</f>
        <v>50</v>
      </c>
      <c r="D63" cm="1">
        <f t="array" ref="D63">SUMPRODUCT(('Pivot Data'!$D$2:$D$1912=$A63)*IF($B63="",--('Pivot Data'!$E$2:$E$1912=""),--('Pivot Data'!$E$2:$E$1912=$B63))*('Pivot Data'!$I$2:$I$1912="Cancelled")*'Pivot Data'!$H$2:$H$1912)</f>
        <v>0</v>
      </c>
      <c r="E63" s="1301">
        <f t="shared" si="0"/>
        <v>50</v>
      </c>
    </row>
    <row r="64" spans="1:11" hidden="1" x14ac:dyDescent="0.25">
      <c r="A64" t="s">
        <v>2293</v>
      </c>
      <c r="C64" s="1301" cm="1">
        <f t="array" ref="C64">SUMPRODUCT((CHALLAN!$B$1:$B$16504=A64)*IF(B64="",--(CHALLAN!$C$1:$C$16504=""),--(CHALLAN!$C$1:$C$16504=B64))*IFERROR(CHALLAN!$D$1:$D$16504*CHALLAN!$E$1:$E$16504,0))</f>
        <v>60</v>
      </c>
      <c r="D64" cm="1">
        <f t="array" ref="D64">SUMPRODUCT(('Pivot Data'!$D$2:$D$1912=$A64)*IF($B64="",--('Pivot Data'!$E$2:$E$1912=""),--('Pivot Data'!$E$2:$E$1912=$B64))*('Pivot Data'!$I$2:$I$1912="Cancelled")*'Pivot Data'!$H$2:$H$1912)</f>
        <v>0</v>
      </c>
      <c r="E64" s="1301">
        <f t="shared" si="0"/>
        <v>60</v>
      </c>
    </row>
    <row r="65" spans="1:5" hidden="1" x14ac:dyDescent="0.25">
      <c r="A65" t="s">
        <v>1669</v>
      </c>
      <c r="C65" s="1301" cm="1">
        <f t="array" ref="C65">SUMPRODUCT((CHALLAN!$B$1:$B$16504=A65)*IF(B65="",--(CHALLAN!$C$1:$C$16504=""),--(CHALLAN!$C$1:$C$16504=B65))*IFERROR(CHALLAN!$D$1:$D$16504*CHALLAN!$E$1:$E$16504,0))</f>
        <v>40</v>
      </c>
      <c r="D65" cm="1">
        <f t="array" ref="D65">SUMPRODUCT(('Pivot Data'!$D$2:$D$1912=$A65)*IF($B65="",--('Pivot Data'!$E$2:$E$1912=""),--('Pivot Data'!$E$2:$E$1912=$B65))*('Pivot Data'!$I$2:$I$1912="Cancelled")*'Pivot Data'!$H$2:$H$1912)</f>
        <v>0</v>
      </c>
      <c r="E65" s="1301">
        <f t="shared" si="0"/>
        <v>40</v>
      </c>
    </row>
    <row r="66" spans="1:5" hidden="1" x14ac:dyDescent="0.25">
      <c r="A66" t="s">
        <v>1628</v>
      </c>
      <c r="C66" s="1301" cm="1">
        <f t="array" ref="C66">SUMPRODUCT((CHALLAN!$B$1:$B$16504=A66)*IF(B66="",--(CHALLAN!$C$1:$C$16504=""),--(CHALLAN!$C$1:$C$16504=B66))*IFERROR(CHALLAN!$D$1:$D$16504*CHALLAN!$E$1:$E$16504,0))</f>
        <v>150</v>
      </c>
      <c r="D66" cm="1">
        <f t="array" ref="D66">SUMPRODUCT(('Pivot Data'!$D$2:$D$1912=$A66)*IF($B66="",--('Pivot Data'!$E$2:$E$1912=""),--('Pivot Data'!$E$2:$E$1912=$B66))*('Pivot Data'!$I$2:$I$1912="Cancelled")*'Pivot Data'!$H$2:$H$1912)</f>
        <v>20</v>
      </c>
      <c r="E66" s="1301">
        <f t="shared" si="0"/>
        <v>130</v>
      </c>
    </row>
    <row r="67" spans="1:5" hidden="1" x14ac:dyDescent="0.25">
      <c r="A67" t="s">
        <v>1851</v>
      </c>
      <c r="C67" s="1301" cm="1">
        <f t="array" ref="C67">SUMPRODUCT((CHALLAN!$B$1:$B$16504=A67)*IF(B67="",--(CHALLAN!$C$1:$C$16504=""),--(CHALLAN!$C$1:$C$16504=B67))*IFERROR(CHALLAN!$D$1:$D$16504*CHALLAN!$E$1:$E$16504,0))</f>
        <v>176</v>
      </c>
      <c r="D67" cm="1">
        <f t="array" ref="D67">SUMPRODUCT(('Pivot Data'!$D$2:$D$1912=$A67)*IF($B67="",--('Pivot Data'!$E$2:$E$1912=""),--('Pivot Data'!$E$2:$E$1912=$B67))*('Pivot Data'!$I$2:$I$1912="Cancelled")*'Pivot Data'!$H$2:$H$1912)</f>
        <v>0</v>
      </c>
      <c r="E67" s="1301">
        <f t="shared" si="0"/>
        <v>176</v>
      </c>
    </row>
    <row r="68" spans="1:5" hidden="1" x14ac:dyDescent="0.25">
      <c r="A68" t="s">
        <v>1851</v>
      </c>
      <c r="B68" t="s">
        <v>1965</v>
      </c>
      <c r="C68" s="1301" cm="1">
        <f t="array" ref="C68">SUMPRODUCT((CHALLAN!$B$1:$B$16504=A68)*IF(B68="",--(CHALLAN!$C$1:$C$16504=""),--(CHALLAN!$C$1:$C$16504=B68))*IFERROR(CHALLAN!$D$1:$D$16504*CHALLAN!$E$1:$E$16504,0))</f>
        <v>0</v>
      </c>
      <c r="D68" cm="1">
        <f t="array" ref="D68">SUMPRODUCT(('Pivot Data'!$D$2:$D$1912=$A68)*IF($B68="",--('Pivot Data'!$E$2:$E$1912=""),--('Pivot Data'!$E$2:$E$1912=$B68))*('Pivot Data'!$I$2:$I$1912="Cancelled")*'Pivot Data'!$H$2:$H$1912)</f>
        <v>0</v>
      </c>
      <c r="E68" s="1301">
        <f t="shared" si="0"/>
        <v>0</v>
      </c>
    </row>
    <row r="69" spans="1:5" hidden="1" x14ac:dyDescent="0.25">
      <c r="A69" t="s">
        <v>1851</v>
      </c>
      <c r="B69" t="s">
        <v>1843</v>
      </c>
      <c r="C69" s="1301" cm="1">
        <f t="array" ref="C69">SUMPRODUCT((CHALLAN!$B$1:$B$16504=A69)*IF(B69="",--(CHALLAN!$C$1:$C$16504=""),--(CHALLAN!$C$1:$C$16504=B69))*IFERROR(CHALLAN!$D$1:$D$16504*CHALLAN!$E$1:$E$16504,0))</f>
        <v>20</v>
      </c>
      <c r="D69" cm="1">
        <f t="array" ref="D69">SUMPRODUCT(('Pivot Data'!$D$2:$D$1912=$A69)*IF($B69="",--('Pivot Data'!$E$2:$E$1912=""),--('Pivot Data'!$E$2:$E$1912=$B69))*('Pivot Data'!$I$2:$I$1912="Cancelled")*'Pivot Data'!$H$2:$H$1912)</f>
        <v>0</v>
      </c>
      <c r="E69" s="1301">
        <f t="shared" ref="E69:E132" si="1">C69-D69</f>
        <v>20</v>
      </c>
    </row>
    <row r="70" spans="1:5" hidden="1" x14ac:dyDescent="0.25">
      <c r="A70" t="s">
        <v>2255</v>
      </c>
      <c r="C70" s="1301" cm="1">
        <f t="array" ref="C70">SUMPRODUCT((CHALLAN!$B$1:$B$16504=A70)*IF(B70="",--(CHALLAN!$C$1:$C$16504=""),--(CHALLAN!$C$1:$C$16504=B70))*IFERROR(CHALLAN!$D$1:$D$16504*CHALLAN!$E$1:$E$16504,0))</f>
        <v>300</v>
      </c>
      <c r="D70" cm="1">
        <f t="array" ref="D70">SUMPRODUCT(('Pivot Data'!$D$2:$D$1912=$A70)*IF($B70="",--('Pivot Data'!$E$2:$E$1912=""),--('Pivot Data'!$E$2:$E$1912=$B70))*('Pivot Data'!$I$2:$I$1912="Cancelled")*'Pivot Data'!$H$2:$H$1912)</f>
        <v>0</v>
      </c>
      <c r="E70" s="1301">
        <f t="shared" si="1"/>
        <v>300</v>
      </c>
    </row>
    <row r="71" spans="1:5" hidden="1" x14ac:dyDescent="0.25">
      <c r="A71" t="s">
        <v>2167</v>
      </c>
      <c r="B71" t="s">
        <v>2166</v>
      </c>
      <c r="C71" s="1301" cm="1">
        <f t="array" ref="C71">SUMPRODUCT((CHALLAN!$B$1:$B$16504=A71)*IF(B71="",--(CHALLAN!$C$1:$C$16504=""),--(CHALLAN!$C$1:$C$16504=B71))*IFERROR(CHALLAN!$D$1:$D$16504*CHALLAN!$E$1:$E$16504,0))</f>
        <v>180</v>
      </c>
      <c r="D71" cm="1">
        <f t="array" ref="D71">SUMPRODUCT(('Pivot Data'!$D$2:$D$1912=$A71)*IF($B71="",--('Pivot Data'!$E$2:$E$1912=""),--('Pivot Data'!$E$2:$E$1912=$B71))*('Pivot Data'!$I$2:$I$1912="Cancelled")*'Pivot Data'!$H$2:$H$1912)</f>
        <v>0</v>
      </c>
      <c r="E71" s="1301">
        <f t="shared" si="1"/>
        <v>180</v>
      </c>
    </row>
    <row r="72" spans="1:5" hidden="1" x14ac:dyDescent="0.25">
      <c r="A72" t="s">
        <v>2028</v>
      </c>
      <c r="C72" s="1301" cm="1">
        <f t="array" ref="C72">SUMPRODUCT((CHALLAN!$B$1:$B$16504=A72)*IF(B72="",--(CHALLAN!$C$1:$C$16504=""),--(CHALLAN!$C$1:$C$16504=B72))*IFERROR(CHALLAN!$D$1:$D$16504*CHALLAN!$E$1:$E$16504,0))</f>
        <v>10</v>
      </c>
      <c r="D72" cm="1">
        <f t="array" ref="D72">SUMPRODUCT(('Pivot Data'!$D$2:$D$1912=$A72)*IF($B72="",--('Pivot Data'!$E$2:$E$1912=""),--('Pivot Data'!$E$2:$E$1912=$B72))*('Pivot Data'!$I$2:$I$1912="Cancelled")*'Pivot Data'!$H$2:$H$1912)</f>
        <v>0</v>
      </c>
      <c r="E72" s="1301">
        <f t="shared" si="1"/>
        <v>10</v>
      </c>
    </row>
    <row r="73" spans="1:5" hidden="1" x14ac:dyDescent="0.25">
      <c r="A73" t="s">
        <v>2109</v>
      </c>
      <c r="C73" s="1301" cm="1">
        <f t="array" ref="C73">SUMPRODUCT((CHALLAN!$B$1:$B$16504=A73)*IF(B73="",--(CHALLAN!$C$1:$C$16504=""),--(CHALLAN!$C$1:$C$16504=B73))*IFERROR(CHALLAN!$D$1:$D$16504*CHALLAN!$E$1:$E$16504,0))</f>
        <v>50</v>
      </c>
      <c r="D73" cm="1">
        <f t="array" ref="D73">SUMPRODUCT(('Pivot Data'!$D$2:$D$1912=$A73)*IF($B73="",--('Pivot Data'!$E$2:$E$1912=""),--('Pivot Data'!$E$2:$E$1912=$B73))*('Pivot Data'!$I$2:$I$1912="Cancelled")*'Pivot Data'!$H$2:$H$1912)</f>
        <v>0</v>
      </c>
      <c r="E73" s="1301">
        <f t="shared" si="1"/>
        <v>50</v>
      </c>
    </row>
    <row r="74" spans="1:5" hidden="1" x14ac:dyDescent="0.25">
      <c r="A74" t="s">
        <v>1649</v>
      </c>
      <c r="C74" s="1301" cm="1">
        <f t="array" ref="C74">SUMPRODUCT((CHALLAN!$B$1:$B$16504=A74)*IF(B74="",--(CHALLAN!$C$1:$C$16504=""),--(CHALLAN!$C$1:$C$16504=B74))*IFERROR(CHALLAN!$D$1:$D$16504*CHALLAN!$E$1:$E$16504,0))</f>
        <v>60</v>
      </c>
      <c r="D74" cm="1">
        <f t="array" ref="D74">SUMPRODUCT(('Pivot Data'!$D$2:$D$1912=$A74)*IF($B74="",--('Pivot Data'!$E$2:$E$1912=""),--('Pivot Data'!$E$2:$E$1912=$B74))*('Pivot Data'!$I$2:$I$1912="Cancelled")*'Pivot Data'!$H$2:$H$1912)</f>
        <v>0</v>
      </c>
      <c r="E74" s="1301">
        <f t="shared" si="1"/>
        <v>60</v>
      </c>
    </row>
    <row r="75" spans="1:5" hidden="1" x14ac:dyDescent="0.25">
      <c r="A75" t="s">
        <v>2033</v>
      </c>
      <c r="C75" s="1301" cm="1">
        <f t="array" ref="C75">SUMPRODUCT((CHALLAN!$B$1:$B$16504=A75)*IF(B75="",--(CHALLAN!$C$1:$C$16504=""),--(CHALLAN!$C$1:$C$16504=B75))*IFERROR(CHALLAN!$D$1:$D$16504*CHALLAN!$E$1:$E$16504,0))</f>
        <v>10</v>
      </c>
      <c r="D75" cm="1">
        <f t="array" ref="D75">SUMPRODUCT(('Pivot Data'!$D$2:$D$1912=$A75)*IF($B75="",--('Pivot Data'!$E$2:$E$1912=""),--('Pivot Data'!$E$2:$E$1912=$B75))*('Pivot Data'!$I$2:$I$1912="Cancelled")*'Pivot Data'!$H$2:$H$1912)</f>
        <v>0</v>
      </c>
      <c r="E75" s="1301">
        <f t="shared" si="1"/>
        <v>10</v>
      </c>
    </row>
    <row r="76" spans="1:5" hidden="1" x14ac:dyDescent="0.25">
      <c r="A76" t="s">
        <v>2137</v>
      </c>
      <c r="C76" s="1301" cm="1">
        <f t="array" ref="C76">SUMPRODUCT((CHALLAN!$B$1:$B$16504=A76)*IF(B76="",--(CHALLAN!$C$1:$C$16504=""),--(CHALLAN!$C$1:$C$16504=B76))*IFERROR(CHALLAN!$D$1:$D$16504*CHALLAN!$E$1:$E$16504,0))</f>
        <v>30</v>
      </c>
      <c r="D76" cm="1">
        <f t="array" ref="D76">SUMPRODUCT(('Pivot Data'!$D$2:$D$1912=$A76)*IF($B76="",--('Pivot Data'!$E$2:$E$1912=""),--('Pivot Data'!$E$2:$E$1912=$B76))*('Pivot Data'!$I$2:$I$1912="Cancelled")*'Pivot Data'!$H$2:$H$1912)</f>
        <v>0</v>
      </c>
      <c r="E76" s="1301">
        <f t="shared" si="1"/>
        <v>30</v>
      </c>
    </row>
    <row r="77" spans="1:5" hidden="1" x14ac:dyDescent="0.25">
      <c r="A77" t="s">
        <v>624</v>
      </c>
      <c r="C77" s="1301" cm="1">
        <f t="array" ref="C77">SUMPRODUCT((CHALLAN!$B$1:$B$16504=A77)*IF(B77="",--(CHALLAN!$C$1:$C$16504=""),--(CHALLAN!$C$1:$C$16504=B77))*IFERROR(CHALLAN!$D$1:$D$16504*CHALLAN!$E$1:$E$16504,0))</f>
        <v>30</v>
      </c>
      <c r="D77" cm="1">
        <f t="array" ref="D77">SUMPRODUCT(('Pivot Data'!$D$2:$D$1912=$A77)*IF($B77="",--('Pivot Data'!$E$2:$E$1912=""),--('Pivot Data'!$E$2:$E$1912=$B77))*('Pivot Data'!$I$2:$I$1912="Cancelled")*'Pivot Data'!$H$2:$H$1912)</f>
        <v>0</v>
      </c>
      <c r="E77" s="1301">
        <f t="shared" si="1"/>
        <v>30</v>
      </c>
    </row>
    <row r="78" spans="1:5" hidden="1" x14ac:dyDescent="0.25">
      <c r="A78" t="s">
        <v>2103</v>
      </c>
      <c r="B78" t="s">
        <v>2104</v>
      </c>
      <c r="C78" s="1301" cm="1">
        <f t="array" ref="C78">SUMPRODUCT((CHALLAN!$B$1:$B$16504=A78)*IF(B78="",--(CHALLAN!$C$1:$C$16504=""),--(CHALLAN!$C$1:$C$16504=B78))*IFERROR(CHALLAN!$D$1:$D$16504*CHALLAN!$E$1:$E$16504,0))</f>
        <v>20</v>
      </c>
      <c r="D78" cm="1">
        <f t="array" ref="D78">SUMPRODUCT(('Pivot Data'!$D$2:$D$1912=$A78)*IF($B78="",--('Pivot Data'!$E$2:$E$1912=""),--('Pivot Data'!$E$2:$E$1912=$B78))*('Pivot Data'!$I$2:$I$1912="Cancelled")*'Pivot Data'!$H$2:$H$1912)</f>
        <v>0</v>
      </c>
      <c r="E78" s="1301">
        <f t="shared" si="1"/>
        <v>20</v>
      </c>
    </row>
    <row r="79" spans="1:5" hidden="1" x14ac:dyDescent="0.25">
      <c r="A79" t="s">
        <v>1630</v>
      </c>
      <c r="C79" s="1301" cm="1">
        <f t="array" ref="C79">SUMPRODUCT((CHALLAN!$B$1:$B$16504=A79)*IF(B79="",--(CHALLAN!$C$1:$C$16504=""),--(CHALLAN!$C$1:$C$16504=B79))*IFERROR(CHALLAN!$D$1:$D$16504*CHALLAN!$E$1:$E$16504,0))</f>
        <v>30</v>
      </c>
      <c r="D79" cm="1">
        <f t="array" ref="D79">SUMPRODUCT(('Pivot Data'!$D$2:$D$1912=$A79)*IF($B79="",--('Pivot Data'!$E$2:$E$1912=""),--('Pivot Data'!$E$2:$E$1912=$B79))*('Pivot Data'!$I$2:$I$1912="Cancelled")*'Pivot Data'!$H$2:$H$1912)</f>
        <v>20</v>
      </c>
      <c r="E79" s="1301">
        <f t="shared" si="1"/>
        <v>10</v>
      </c>
    </row>
    <row r="80" spans="1:5" hidden="1" x14ac:dyDescent="0.25">
      <c r="A80" t="s">
        <v>2258</v>
      </c>
      <c r="C80" s="1301" cm="1">
        <f t="array" ref="C80">SUMPRODUCT((CHALLAN!$B$1:$B$16504=A80)*IF(B80="",--(CHALLAN!$C$1:$C$16504=""),--(CHALLAN!$C$1:$C$16504=B80))*IFERROR(CHALLAN!$D$1:$D$16504*CHALLAN!$E$1:$E$16504,0))</f>
        <v>100</v>
      </c>
      <c r="D80" cm="1">
        <f t="array" ref="D80">SUMPRODUCT(('Pivot Data'!$D$2:$D$1912=$A80)*IF($B80="",--('Pivot Data'!$E$2:$E$1912=""),--('Pivot Data'!$E$2:$E$1912=$B80))*('Pivot Data'!$I$2:$I$1912="Cancelled")*'Pivot Data'!$H$2:$H$1912)</f>
        <v>0</v>
      </c>
      <c r="E80" s="1301">
        <f t="shared" si="1"/>
        <v>100</v>
      </c>
    </row>
    <row r="81" spans="1:5" hidden="1" x14ac:dyDescent="0.25">
      <c r="A81" t="s">
        <v>643</v>
      </c>
      <c r="C81" s="1301" cm="1">
        <f t="array" ref="C81">SUMPRODUCT((CHALLAN!$B$1:$B$16504=A81)*IF(B81="",--(CHALLAN!$C$1:$C$16504=""),--(CHALLAN!$C$1:$C$16504=B81))*IFERROR(CHALLAN!$D$1:$D$16504*CHALLAN!$E$1:$E$16504,0))</f>
        <v>60</v>
      </c>
      <c r="D81" cm="1">
        <f t="array" ref="D81">SUMPRODUCT(('Pivot Data'!$D$2:$D$1912=$A81)*IF($B81="",--('Pivot Data'!$E$2:$E$1912=""),--('Pivot Data'!$E$2:$E$1912=$B81))*('Pivot Data'!$I$2:$I$1912="Cancelled")*'Pivot Data'!$H$2:$H$1912)</f>
        <v>0</v>
      </c>
      <c r="E81" s="1301">
        <f t="shared" si="1"/>
        <v>60</v>
      </c>
    </row>
    <row r="82" spans="1:5" hidden="1" x14ac:dyDescent="0.25">
      <c r="A82" t="s">
        <v>1830</v>
      </c>
      <c r="C82" s="1301" cm="1">
        <f t="array" ref="C82">SUMPRODUCT((CHALLAN!$B$1:$B$16504=A82)*IF(B82="",--(CHALLAN!$C$1:$C$16504=""),--(CHALLAN!$C$1:$C$16504=B82))*IFERROR(CHALLAN!$D$1:$D$16504*CHALLAN!$E$1:$E$16504,0))</f>
        <v>110</v>
      </c>
      <c r="D82" cm="1">
        <f t="array" ref="D82">SUMPRODUCT(('Pivot Data'!$D$2:$D$1912=$A82)*IF($B82="",--('Pivot Data'!$E$2:$E$1912=""),--('Pivot Data'!$E$2:$E$1912=$B82))*('Pivot Data'!$I$2:$I$1912="Cancelled")*'Pivot Data'!$H$2:$H$1912)</f>
        <v>0</v>
      </c>
      <c r="E82" s="1301">
        <f t="shared" si="1"/>
        <v>110</v>
      </c>
    </row>
    <row r="83" spans="1:5" hidden="1" x14ac:dyDescent="0.25">
      <c r="A83" t="s">
        <v>2029</v>
      </c>
      <c r="C83" s="1301" cm="1">
        <f t="array" ref="C83">SUMPRODUCT((CHALLAN!$B$1:$B$16504=A83)*IF(B83="",--(CHALLAN!$C$1:$C$16504=""),--(CHALLAN!$C$1:$C$16504=B83))*IFERROR(CHALLAN!$D$1:$D$16504*CHALLAN!$E$1:$E$16504,0))</f>
        <v>20</v>
      </c>
      <c r="D83" cm="1">
        <f t="array" ref="D83">SUMPRODUCT(('Pivot Data'!$D$2:$D$1912=$A83)*IF($B83="",--('Pivot Data'!$E$2:$E$1912=""),--('Pivot Data'!$E$2:$E$1912=$B83))*('Pivot Data'!$I$2:$I$1912="Cancelled")*'Pivot Data'!$H$2:$H$1912)</f>
        <v>0</v>
      </c>
      <c r="E83" s="1301">
        <f t="shared" si="1"/>
        <v>20</v>
      </c>
    </row>
    <row r="84" spans="1:5" hidden="1" x14ac:dyDescent="0.25">
      <c r="A84" t="s">
        <v>646</v>
      </c>
      <c r="C84" s="1301" cm="1">
        <f t="array" ref="C84">SUMPRODUCT((CHALLAN!$B$1:$B$16504=A84)*IF(B84="",--(CHALLAN!$C$1:$C$16504=""),--(CHALLAN!$C$1:$C$16504=B84))*IFERROR(CHALLAN!$D$1:$D$16504*CHALLAN!$E$1:$E$16504,0))</f>
        <v>10</v>
      </c>
      <c r="D84" cm="1">
        <f t="array" ref="D84">SUMPRODUCT(('Pivot Data'!$D$2:$D$1912=$A84)*IF($B84="",--('Pivot Data'!$E$2:$E$1912=""),--('Pivot Data'!$E$2:$E$1912=$B84))*('Pivot Data'!$I$2:$I$1912="Cancelled")*'Pivot Data'!$H$2:$H$1912)</f>
        <v>0</v>
      </c>
      <c r="E84" s="1301">
        <f t="shared" si="1"/>
        <v>10</v>
      </c>
    </row>
    <row r="85" spans="1:5" hidden="1" x14ac:dyDescent="0.25">
      <c r="A85" t="s">
        <v>1745</v>
      </c>
      <c r="C85" s="1301" cm="1">
        <f t="array" ref="C85">SUMPRODUCT((CHALLAN!$B$1:$B$16504=A85)*IF(B85="",--(CHALLAN!$C$1:$C$16504=""),--(CHALLAN!$C$1:$C$16504=B85))*IFERROR(CHALLAN!$D$1:$D$16504*CHALLAN!$E$1:$E$16504,0))</f>
        <v>50</v>
      </c>
      <c r="D85" cm="1">
        <f t="array" ref="D85">SUMPRODUCT(('Pivot Data'!$D$2:$D$1912=$A85)*IF($B85="",--('Pivot Data'!$E$2:$E$1912=""),--('Pivot Data'!$E$2:$E$1912=$B85))*('Pivot Data'!$I$2:$I$1912="Cancelled")*'Pivot Data'!$H$2:$H$1912)</f>
        <v>0</v>
      </c>
      <c r="E85" s="1301">
        <f t="shared" si="1"/>
        <v>50</v>
      </c>
    </row>
    <row r="86" spans="1:5" hidden="1" x14ac:dyDescent="0.25">
      <c r="A86" t="s">
        <v>1745</v>
      </c>
      <c r="B86" t="s">
        <v>2166</v>
      </c>
      <c r="C86" s="1301" cm="1">
        <f t="array" ref="C86">SUMPRODUCT((CHALLAN!$B$1:$B$16504=A86)*IF(B86="",--(CHALLAN!$C$1:$C$16504=""),--(CHALLAN!$C$1:$C$16504=B86))*IFERROR(CHALLAN!$D$1:$D$16504*CHALLAN!$E$1:$E$16504,0))</f>
        <v>120</v>
      </c>
      <c r="D86" cm="1">
        <f t="array" ref="D86">SUMPRODUCT(('Pivot Data'!$D$2:$D$1912=$A86)*IF($B86="",--('Pivot Data'!$E$2:$E$1912=""),--('Pivot Data'!$E$2:$E$1912=$B86))*('Pivot Data'!$I$2:$I$1912="Cancelled")*'Pivot Data'!$H$2:$H$1912)</f>
        <v>0</v>
      </c>
      <c r="E86" s="1301">
        <f t="shared" si="1"/>
        <v>120</v>
      </c>
    </row>
    <row r="87" spans="1:5" hidden="1" x14ac:dyDescent="0.25">
      <c r="A87" t="s">
        <v>2030</v>
      </c>
      <c r="C87" s="1301" cm="1">
        <f t="array" ref="C87">SUMPRODUCT((CHALLAN!$B$1:$B$16504=A87)*IF(B87="",--(CHALLAN!$C$1:$C$16504=""),--(CHALLAN!$C$1:$C$16504=B87))*IFERROR(CHALLAN!$D$1:$D$16504*CHALLAN!$E$1:$E$16504,0))</f>
        <v>10</v>
      </c>
      <c r="D87" cm="1">
        <f t="array" ref="D87">SUMPRODUCT(('Pivot Data'!$D$2:$D$1912=$A87)*IF($B87="",--('Pivot Data'!$E$2:$E$1912=""),--('Pivot Data'!$E$2:$E$1912=$B87))*('Pivot Data'!$I$2:$I$1912="Cancelled")*'Pivot Data'!$H$2:$H$1912)</f>
        <v>0</v>
      </c>
      <c r="E87" s="1301">
        <f t="shared" si="1"/>
        <v>10</v>
      </c>
    </row>
    <row r="88" spans="1:5" hidden="1" x14ac:dyDescent="0.25">
      <c r="A88" t="s">
        <v>1650</v>
      </c>
      <c r="C88" s="1301" cm="1">
        <f t="array" ref="C88">SUMPRODUCT((CHALLAN!$B$1:$B$16504=A88)*IF(B88="",--(CHALLAN!$C$1:$C$16504=""),--(CHALLAN!$C$1:$C$16504=B88))*IFERROR(CHALLAN!$D$1:$D$16504*CHALLAN!$E$1:$E$16504,0))</f>
        <v>40</v>
      </c>
      <c r="D88" cm="1">
        <f t="array" ref="D88">SUMPRODUCT(('Pivot Data'!$D$2:$D$1912=$A88)*IF($B88="",--('Pivot Data'!$E$2:$E$1912=""),--('Pivot Data'!$E$2:$E$1912=$B88))*('Pivot Data'!$I$2:$I$1912="Cancelled")*'Pivot Data'!$H$2:$H$1912)</f>
        <v>0</v>
      </c>
      <c r="E88" s="1301">
        <f t="shared" si="1"/>
        <v>40</v>
      </c>
    </row>
    <row r="89" spans="1:5" hidden="1" x14ac:dyDescent="0.25">
      <c r="A89" t="s">
        <v>2034</v>
      </c>
      <c r="C89" s="1301" cm="1">
        <f t="array" ref="C89">SUMPRODUCT((CHALLAN!$B$1:$B$16504=A89)*IF(B89="",--(CHALLAN!$C$1:$C$16504=""),--(CHALLAN!$C$1:$C$16504=B89))*IFERROR(CHALLAN!$D$1:$D$16504*CHALLAN!$E$1:$E$16504,0))</f>
        <v>10</v>
      </c>
      <c r="D89" cm="1">
        <f t="array" ref="D89">SUMPRODUCT(('Pivot Data'!$D$2:$D$1912=$A89)*IF($B89="",--('Pivot Data'!$E$2:$E$1912=""),--('Pivot Data'!$E$2:$E$1912=$B89))*('Pivot Data'!$I$2:$I$1912="Cancelled")*'Pivot Data'!$H$2:$H$1912)</f>
        <v>0</v>
      </c>
      <c r="E89" s="1301">
        <f t="shared" si="1"/>
        <v>10</v>
      </c>
    </row>
    <row r="90" spans="1:5" hidden="1" x14ac:dyDescent="0.25">
      <c r="A90" t="s">
        <v>2089</v>
      </c>
      <c r="B90" t="s">
        <v>2090</v>
      </c>
      <c r="C90" s="1301" cm="1">
        <f t="array" ref="C90">SUMPRODUCT((CHALLAN!$B$1:$B$16504=A90)*IF(B90="",--(CHALLAN!$C$1:$C$16504=""),--(CHALLAN!$C$1:$C$16504=B90))*IFERROR(CHALLAN!$D$1:$D$16504*CHALLAN!$E$1:$E$16504,0))</f>
        <v>50</v>
      </c>
      <c r="D90" cm="1">
        <f t="array" ref="D90">SUMPRODUCT(('Pivot Data'!$D$2:$D$1912=$A90)*IF($B90="",--('Pivot Data'!$E$2:$E$1912=""),--('Pivot Data'!$E$2:$E$1912=$B90))*('Pivot Data'!$I$2:$I$1912="Cancelled")*'Pivot Data'!$H$2:$H$1912)</f>
        <v>0</v>
      </c>
      <c r="E90" s="1301">
        <f t="shared" si="1"/>
        <v>50</v>
      </c>
    </row>
    <row r="91" spans="1:5" hidden="1" x14ac:dyDescent="0.25">
      <c r="A91" t="s">
        <v>1631</v>
      </c>
      <c r="C91" s="1301" cm="1">
        <f t="array" ref="C91">SUMPRODUCT((CHALLAN!$B$1:$B$16504=A91)*IF(B91="",--(CHALLAN!$C$1:$C$16504=""),--(CHALLAN!$C$1:$C$16504=B91))*IFERROR(CHALLAN!$D$1:$D$16504*CHALLAN!$E$1:$E$16504,0))</f>
        <v>110</v>
      </c>
      <c r="D91" cm="1">
        <f t="array" ref="D91">SUMPRODUCT(('Pivot Data'!$D$2:$D$1912=$A91)*IF($B91="",--('Pivot Data'!$E$2:$E$1912=""),--('Pivot Data'!$E$2:$E$1912=$B91))*('Pivot Data'!$I$2:$I$1912="Cancelled")*'Pivot Data'!$H$2:$H$1912)</f>
        <v>20</v>
      </c>
      <c r="E91" s="1301">
        <f t="shared" si="1"/>
        <v>90</v>
      </c>
    </row>
    <row r="92" spans="1:5" hidden="1" x14ac:dyDescent="0.25">
      <c r="A92" t="s">
        <v>2262</v>
      </c>
      <c r="C92" s="1301" cm="1">
        <f t="array" ref="C92">SUMPRODUCT((CHALLAN!$B$1:$B$16504=A92)*IF(B92="",--(CHALLAN!$C$1:$C$16504=""),--(CHALLAN!$C$1:$C$16504=B92))*IFERROR(CHALLAN!$D$1:$D$16504*CHALLAN!$E$1:$E$16504,0))</f>
        <v>50</v>
      </c>
      <c r="D92" cm="1">
        <f t="array" ref="D92">SUMPRODUCT(('Pivot Data'!$D$2:$D$1912=$A92)*IF($B92="",--('Pivot Data'!$E$2:$E$1912=""),--('Pivot Data'!$E$2:$E$1912=$B92))*('Pivot Data'!$I$2:$I$1912="Cancelled")*'Pivot Data'!$H$2:$H$1912)</f>
        <v>0</v>
      </c>
      <c r="E92" s="1301">
        <f t="shared" si="1"/>
        <v>50</v>
      </c>
    </row>
    <row r="93" spans="1:5" hidden="1" x14ac:dyDescent="0.25">
      <c r="A93" t="s">
        <v>658</v>
      </c>
      <c r="C93" s="1301" cm="1">
        <f t="array" ref="C93">SUMPRODUCT((CHALLAN!$B$1:$B$16504=A93)*IF(B93="",--(CHALLAN!$C$1:$C$16504=""),--(CHALLAN!$C$1:$C$16504=B93))*IFERROR(CHALLAN!$D$1:$D$16504*CHALLAN!$E$1:$E$16504,0))</f>
        <v>50</v>
      </c>
      <c r="D93" cm="1">
        <f t="array" ref="D93">SUMPRODUCT(('Pivot Data'!$D$2:$D$1912=$A93)*IF($B93="",--('Pivot Data'!$E$2:$E$1912=""),--('Pivot Data'!$E$2:$E$1912=$B93))*('Pivot Data'!$I$2:$I$1912="Cancelled")*'Pivot Data'!$H$2:$H$1912)</f>
        <v>0</v>
      </c>
      <c r="E93" s="1301">
        <f t="shared" si="1"/>
        <v>50</v>
      </c>
    </row>
    <row r="94" spans="1:5" hidden="1" x14ac:dyDescent="0.25">
      <c r="A94" t="s">
        <v>1626</v>
      </c>
      <c r="C94" s="1301" cm="1">
        <f t="array" ref="C94">SUMPRODUCT((CHALLAN!$B$1:$B$16504=A94)*IF(B94="",--(CHALLAN!$C$1:$C$16504=""),--(CHALLAN!$C$1:$C$16504=B94))*IFERROR(CHALLAN!$D$1:$D$16504*CHALLAN!$E$1:$E$16504,0))</f>
        <v>30</v>
      </c>
      <c r="D94" cm="1">
        <f t="array" ref="D94">SUMPRODUCT(('Pivot Data'!$D$2:$D$1912=$A94)*IF($B94="",--('Pivot Data'!$E$2:$E$1912=""),--('Pivot Data'!$E$2:$E$1912=$B94))*('Pivot Data'!$I$2:$I$1912="Cancelled")*'Pivot Data'!$H$2:$H$1912)</f>
        <v>0</v>
      </c>
      <c r="E94" s="1301">
        <f t="shared" si="1"/>
        <v>30</v>
      </c>
    </row>
    <row r="95" spans="1:5" hidden="1" x14ac:dyDescent="0.25">
      <c r="A95" t="s">
        <v>2031</v>
      </c>
      <c r="C95" s="1301" cm="1">
        <f t="array" ref="C95">SUMPRODUCT((CHALLAN!$B$1:$B$16504=A95)*IF(B95="",--(CHALLAN!$C$1:$C$16504=""),--(CHALLAN!$C$1:$C$16504=B95))*IFERROR(CHALLAN!$D$1:$D$16504*CHALLAN!$E$1:$E$16504,0))</f>
        <v>10</v>
      </c>
      <c r="D95" cm="1">
        <f t="array" ref="D95">SUMPRODUCT(('Pivot Data'!$D$2:$D$1912=$A95)*IF($B95="",--('Pivot Data'!$E$2:$E$1912=""),--('Pivot Data'!$E$2:$E$1912=$B95))*('Pivot Data'!$I$2:$I$1912="Cancelled")*'Pivot Data'!$H$2:$H$1912)</f>
        <v>0</v>
      </c>
      <c r="E95" s="1301">
        <f t="shared" si="1"/>
        <v>10</v>
      </c>
    </row>
    <row r="96" spans="1:5" hidden="1" x14ac:dyDescent="0.25">
      <c r="A96" t="s">
        <v>662</v>
      </c>
      <c r="C96" s="1301" cm="1">
        <f t="array" ref="C96">SUMPRODUCT((CHALLAN!$B$1:$B$16504=A96)*IF(B96="",--(CHALLAN!$C$1:$C$16504=""),--(CHALLAN!$C$1:$C$16504=B96))*IFERROR(CHALLAN!$D$1:$D$16504*CHALLAN!$E$1:$E$16504,0))</f>
        <v>80</v>
      </c>
      <c r="D96" cm="1">
        <f t="array" ref="D96">SUMPRODUCT(('Pivot Data'!$D$2:$D$1912=$A96)*IF($B96="",--('Pivot Data'!$E$2:$E$1912=""),--('Pivot Data'!$E$2:$E$1912=$B96))*('Pivot Data'!$I$2:$I$1912="Cancelled")*'Pivot Data'!$H$2:$H$1912)</f>
        <v>0</v>
      </c>
      <c r="E96" s="1301">
        <f t="shared" si="1"/>
        <v>80</v>
      </c>
    </row>
    <row r="97" spans="1:5" hidden="1" x14ac:dyDescent="0.25">
      <c r="A97" t="s">
        <v>2032</v>
      </c>
      <c r="C97" s="1301" cm="1">
        <f t="array" ref="C97">SUMPRODUCT((CHALLAN!$B$1:$B$16504=A97)*IF(B97="",--(CHALLAN!$C$1:$C$16504=""),--(CHALLAN!$C$1:$C$16504=B97))*IFERROR(CHALLAN!$D$1:$D$16504*CHALLAN!$E$1:$E$16504,0))</f>
        <v>10</v>
      </c>
      <c r="D97" cm="1">
        <f t="array" ref="D97">SUMPRODUCT(('Pivot Data'!$D$2:$D$1912=$A97)*IF($B97="",--('Pivot Data'!$E$2:$E$1912=""),--('Pivot Data'!$E$2:$E$1912=$B97))*('Pivot Data'!$I$2:$I$1912="Cancelled")*'Pivot Data'!$H$2:$H$1912)</f>
        <v>0</v>
      </c>
      <c r="E97" s="1301">
        <f t="shared" si="1"/>
        <v>10</v>
      </c>
    </row>
    <row r="98" spans="1:5" hidden="1" x14ac:dyDescent="0.25">
      <c r="A98" t="s">
        <v>664</v>
      </c>
      <c r="C98" s="1301" cm="1">
        <f t="array" ref="C98">SUMPRODUCT((CHALLAN!$B$1:$B$16504=A98)*IF(B98="",--(CHALLAN!$C$1:$C$16504=""),--(CHALLAN!$C$1:$C$16504=B98))*IFERROR(CHALLAN!$D$1:$D$16504*CHALLAN!$E$1:$E$16504,0))</f>
        <v>10</v>
      </c>
      <c r="D98" cm="1">
        <f t="array" ref="D98">SUMPRODUCT(('Pivot Data'!$D$2:$D$1912=$A98)*IF($B98="",--('Pivot Data'!$E$2:$E$1912=""),--('Pivot Data'!$E$2:$E$1912=$B98))*('Pivot Data'!$I$2:$I$1912="Cancelled")*'Pivot Data'!$H$2:$H$1912)</f>
        <v>0</v>
      </c>
      <c r="E98" s="1301">
        <f t="shared" si="1"/>
        <v>10</v>
      </c>
    </row>
    <row r="99" spans="1:5" hidden="1" x14ac:dyDescent="0.25">
      <c r="A99" t="s">
        <v>2080</v>
      </c>
      <c r="B99" t="s">
        <v>2081</v>
      </c>
      <c r="C99" s="1301" cm="1">
        <f t="array" ref="C99">SUMPRODUCT((CHALLAN!$B$1:$B$16504=A99)*IF(B99="",--(CHALLAN!$C$1:$C$16504=""),--(CHALLAN!$C$1:$C$16504=B99))*IFERROR(CHALLAN!$D$1:$D$16504*CHALLAN!$E$1:$E$16504,0))</f>
        <v>50</v>
      </c>
      <c r="D99" cm="1">
        <f t="array" ref="D99">SUMPRODUCT(('Pivot Data'!$D$2:$D$1912=$A99)*IF($B99="",--('Pivot Data'!$E$2:$E$1912=""),--('Pivot Data'!$E$2:$E$1912=$B99))*('Pivot Data'!$I$2:$I$1912="Cancelled")*'Pivot Data'!$H$2:$H$1912)</f>
        <v>0</v>
      </c>
      <c r="E99" s="1301">
        <f t="shared" si="1"/>
        <v>50</v>
      </c>
    </row>
    <row r="100" spans="1:5" hidden="1" x14ac:dyDescent="0.25">
      <c r="A100" t="s">
        <v>1735</v>
      </c>
      <c r="C100" s="1301" cm="1">
        <f t="array" ref="C100">SUMPRODUCT((CHALLAN!$B$1:$B$16504=A100)*IF(B100="",--(CHALLAN!$C$1:$C$16504=""),--(CHALLAN!$C$1:$C$16504=B100))*IFERROR(CHALLAN!$D$1:$D$16504*CHALLAN!$E$1:$E$16504,0))</f>
        <v>90</v>
      </c>
      <c r="D100" cm="1">
        <f t="array" ref="D100">SUMPRODUCT(('Pivot Data'!$D$2:$D$1912=$A100)*IF($B100="",--('Pivot Data'!$E$2:$E$1912=""),--('Pivot Data'!$E$2:$E$1912=$B100))*('Pivot Data'!$I$2:$I$1912="Cancelled")*'Pivot Data'!$H$2:$H$1912)</f>
        <v>0</v>
      </c>
      <c r="E100" s="1301">
        <f t="shared" si="1"/>
        <v>90</v>
      </c>
    </row>
    <row r="101" spans="1:5" hidden="1" x14ac:dyDescent="0.25">
      <c r="A101" t="s">
        <v>2256</v>
      </c>
      <c r="C101" s="1301" cm="1">
        <f t="array" ref="C101">SUMPRODUCT((CHALLAN!$B$1:$B$16504=A101)*IF(B101="",--(CHALLAN!$C$1:$C$16504=""),--(CHALLAN!$C$1:$C$16504=B101))*IFERROR(CHALLAN!$D$1:$D$16504*CHALLAN!$E$1:$E$16504,0))</f>
        <v>50</v>
      </c>
      <c r="D101" cm="1">
        <f t="array" ref="D101">SUMPRODUCT(('Pivot Data'!$D$2:$D$1912=$A101)*IF($B101="",--('Pivot Data'!$E$2:$E$1912=""),--('Pivot Data'!$E$2:$E$1912=$B101))*('Pivot Data'!$I$2:$I$1912="Cancelled")*'Pivot Data'!$H$2:$H$1912)</f>
        <v>0</v>
      </c>
      <c r="E101" s="1301">
        <f t="shared" si="1"/>
        <v>50</v>
      </c>
    </row>
    <row r="102" spans="1:5" hidden="1" x14ac:dyDescent="0.25">
      <c r="A102" t="s">
        <v>669</v>
      </c>
      <c r="C102" s="1301" cm="1">
        <f t="array" ref="C102">SUMPRODUCT((CHALLAN!$B$1:$B$16504=A102)*IF(B102="",--(CHALLAN!$C$1:$C$16504=""),--(CHALLAN!$C$1:$C$16504=B102))*IFERROR(CHALLAN!$D$1:$D$16504*CHALLAN!$E$1:$E$16504,0))</f>
        <v>65</v>
      </c>
      <c r="D102" cm="1">
        <f t="array" ref="D102">SUMPRODUCT(('Pivot Data'!$D$2:$D$1912=$A102)*IF($B102="",--('Pivot Data'!$E$2:$E$1912=""),--('Pivot Data'!$E$2:$E$1912=$B102))*('Pivot Data'!$I$2:$I$1912="Cancelled")*'Pivot Data'!$H$2:$H$1912)</f>
        <v>0</v>
      </c>
      <c r="E102" s="1301">
        <f t="shared" si="1"/>
        <v>65</v>
      </c>
    </row>
    <row r="103" spans="1:5" hidden="1" x14ac:dyDescent="0.25">
      <c r="A103" t="s">
        <v>1823</v>
      </c>
      <c r="C103" s="1301" cm="1">
        <f t="array" ref="C103">SUMPRODUCT((CHALLAN!$B$1:$B$16504=A103)*IF(B103="",--(CHALLAN!$C$1:$C$16504=""),--(CHALLAN!$C$1:$C$16504=B103))*IFERROR(CHALLAN!$D$1:$D$16504*CHALLAN!$E$1:$E$16504,0))</f>
        <v>35</v>
      </c>
      <c r="D103" cm="1">
        <f t="array" ref="D103">SUMPRODUCT(('Pivot Data'!$D$2:$D$1912=$A103)*IF($B103="",--('Pivot Data'!$E$2:$E$1912=""),--('Pivot Data'!$E$2:$E$1912=$B103))*('Pivot Data'!$I$2:$I$1912="Cancelled")*'Pivot Data'!$H$2:$H$1912)</f>
        <v>0</v>
      </c>
      <c r="E103" s="1301">
        <f t="shared" si="1"/>
        <v>35</v>
      </c>
    </row>
    <row r="104" spans="1:5" hidden="1" x14ac:dyDescent="0.25">
      <c r="A104" t="s">
        <v>2257</v>
      </c>
      <c r="C104" s="1301" cm="1">
        <f t="array" ref="C104">SUMPRODUCT((CHALLAN!$B$1:$B$16504=A104)*IF(B104="",--(CHALLAN!$C$1:$C$16504=""),--(CHALLAN!$C$1:$C$16504=B104))*IFERROR(CHALLAN!$D$1:$D$16504*CHALLAN!$E$1:$E$16504,0))</f>
        <v>35</v>
      </c>
      <c r="D104" cm="1">
        <f t="array" ref="D104">SUMPRODUCT(('Pivot Data'!$D$2:$D$1912=$A104)*IF($B104="",--('Pivot Data'!$E$2:$E$1912=""),--('Pivot Data'!$E$2:$E$1912=$B104))*('Pivot Data'!$I$2:$I$1912="Cancelled")*'Pivot Data'!$H$2:$H$1912)</f>
        <v>0</v>
      </c>
      <c r="E104" s="1301">
        <f t="shared" si="1"/>
        <v>35</v>
      </c>
    </row>
    <row r="105" spans="1:5" hidden="1" x14ac:dyDescent="0.25">
      <c r="A105" t="s">
        <v>673</v>
      </c>
      <c r="C105" s="1301" cm="1">
        <f t="array" ref="C105">SUMPRODUCT((CHALLAN!$B$1:$B$16504=A105)*IF(B105="",--(CHALLAN!$C$1:$C$16504=""),--(CHALLAN!$C$1:$C$16504=B105))*IFERROR(CHALLAN!$D$1:$D$16504*CHALLAN!$E$1:$E$16504,0))</f>
        <v>25</v>
      </c>
      <c r="D105" cm="1">
        <f t="array" ref="D105">SUMPRODUCT(('Pivot Data'!$D$2:$D$1912=$A105)*IF($B105="",--('Pivot Data'!$E$2:$E$1912=""),--('Pivot Data'!$E$2:$E$1912=$B105))*('Pivot Data'!$I$2:$I$1912="Cancelled")*'Pivot Data'!$H$2:$H$1912)</f>
        <v>0</v>
      </c>
      <c r="E105" s="1301">
        <f t="shared" si="1"/>
        <v>25</v>
      </c>
    </row>
    <row r="106" spans="1:5" hidden="1" x14ac:dyDescent="0.25">
      <c r="A106" t="s">
        <v>1824</v>
      </c>
      <c r="C106" s="1301" cm="1">
        <f t="array" ref="C106">SUMPRODUCT((CHALLAN!$B$1:$B$16504=A106)*IF(B106="",--(CHALLAN!$C$1:$C$16504=""),--(CHALLAN!$C$1:$C$16504=B106))*IFERROR(CHALLAN!$D$1:$D$16504*CHALLAN!$E$1:$E$16504,0))</f>
        <v>75</v>
      </c>
      <c r="D106" cm="1">
        <f t="array" ref="D106">SUMPRODUCT(('Pivot Data'!$D$2:$D$1912=$A106)*IF($B106="",--('Pivot Data'!$E$2:$E$1912=""),--('Pivot Data'!$E$2:$E$1912=$B106))*('Pivot Data'!$I$2:$I$1912="Cancelled")*'Pivot Data'!$H$2:$H$1912)</f>
        <v>0</v>
      </c>
      <c r="E106" s="1301">
        <f t="shared" si="1"/>
        <v>75</v>
      </c>
    </row>
    <row r="107" spans="1:5" hidden="1" x14ac:dyDescent="0.25">
      <c r="A107" t="s">
        <v>1821</v>
      </c>
      <c r="C107" s="1301" cm="1">
        <f t="array" ref="C107">SUMPRODUCT((CHALLAN!$B$1:$B$16504=A107)*IF(B107="",--(CHALLAN!$C$1:$C$16504=""),--(CHALLAN!$C$1:$C$16504=B107))*IFERROR(CHALLAN!$D$1:$D$16504*CHALLAN!$E$1:$E$16504,0))</f>
        <v>300</v>
      </c>
      <c r="D107" cm="1">
        <f t="array" ref="D107">SUMPRODUCT(('Pivot Data'!$D$2:$D$1912=$A107)*IF($B107="",--('Pivot Data'!$E$2:$E$1912=""),--('Pivot Data'!$E$2:$E$1912=$B107))*('Pivot Data'!$I$2:$I$1912="Cancelled")*'Pivot Data'!$H$2:$H$1912)</f>
        <v>0</v>
      </c>
      <c r="E107" s="1301">
        <f t="shared" si="1"/>
        <v>300</v>
      </c>
    </row>
    <row r="108" spans="1:5" hidden="1" x14ac:dyDescent="0.25">
      <c r="A108" t="s">
        <v>1836</v>
      </c>
      <c r="C108" s="1301" cm="1">
        <f t="array" ref="C108">SUMPRODUCT((CHALLAN!$B$1:$B$16504=A108)*IF(B108="",--(CHALLAN!$C$1:$C$16504=""),--(CHALLAN!$C$1:$C$16504=B108))*IFERROR(CHALLAN!$D$1:$D$16504*CHALLAN!$E$1:$E$16504,0))</f>
        <v>5</v>
      </c>
      <c r="D108" cm="1">
        <f t="array" ref="D108">SUMPRODUCT(('Pivot Data'!$D$2:$D$1912=$A108)*IF($B108="",--('Pivot Data'!$E$2:$E$1912=""),--('Pivot Data'!$E$2:$E$1912=$B108))*('Pivot Data'!$I$2:$I$1912="Cancelled")*'Pivot Data'!$H$2:$H$1912)</f>
        <v>0</v>
      </c>
      <c r="E108" s="1301">
        <f t="shared" si="1"/>
        <v>5</v>
      </c>
    </row>
    <row r="109" spans="1:5" hidden="1" x14ac:dyDescent="0.25">
      <c r="A109" t="s">
        <v>2182</v>
      </c>
      <c r="B109" t="s">
        <v>1863</v>
      </c>
      <c r="C109" s="1301" cm="1">
        <f t="array" ref="C109">SUMPRODUCT((CHALLAN!$B$1:$B$16504=A109)*IF(B109="",--(CHALLAN!$C$1:$C$16504=""),--(CHALLAN!$C$1:$C$16504=B109))*IFERROR(CHALLAN!$D$1:$D$16504*CHALLAN!$E$1:$E$16504,0))</f>
        <v>10</v>
      </c>
      <c r="D109" cm="1">
        <f t="array" ref="D109">SUMPRODUCT(('Pivot Data'!$D$2:$D$1912=$A109)*IF($B109="",--('Pivot Data'!$E$2:$E$1912=""),--('Pivot Data'!$E$2:$E$1912=$B109))*('Pivot Data'!$I$2:$I$1912="Cancelled")*'Pivot Data'!$H$2:$H$1912)</f>
        <v>0</v>
      </c>
      <c r="E109" s="1301">
        <f t="shared" si="1"/>
        <v>10</v>
      </c>
    </row>
    <row r="110" spans="1:5" hidden="1" x14ac:dyDescent="0.25">
      <c r="A110" t="s">
        <v>1638</v>
      </c>
      <c r="C110" s="1301" cm="1">
        <f t="array" ref="C110">SUMPRODUCT((CHALLAN!$B$1:$B$16504=A110)*IF(B110="",--(CHALLAN!$C$1:$C$16504=""),--(CHALLAN!$C$1:$C$16504=B110))*IFERROR(CHALLAN!$D$1:$D$16504*CHALLAN!$E$1:$E$16504,0))</f>
        <v>5</v>
      </c>
      <c r="D110" cm="1">
        <f t="array" ref="D110">SUMPRODUCT(('Pivot Data'!$D$2:$D$1912=$A110)*IF($B110="",--('Pivot Data'!$E$2:$E$1912=""),--('Pivot Data'!$E$2:$E$1912=$B110))*('Pivot Data'!$I$2:$I$1912="Cancelled")*'Pivot Data'!$H$2:$H$1912)</f>
        <v>0</v>
      </c>
      <c r="E110" s="1301">
        <f t="shared" si="1"/>
        <v>5</v>
      </c>
    </row>
    <row r="111" spans="1:5" hidden="1" x14ac:dyDescent="0.25">
      <c r="A111" t="s">
        <v>1747</v>
      </c>
      <c r="C111" s="1301" cm="1">
        <f t="array" ref="C111">SUMPRODUCT((CHALLAN!$B$1:$B$16504=A111)*IF(B111="",--(CHALLAN!$C$1:$C$16504=""),--(CHALLAN!$C$1:$C$16504=B111))*IFERROR(CHALLAN!$D$1:$D$16504*CHALLAN!$E$1:$E$16504,0))</f>
        <v>5</v>
      </c>
      <c r="D111" cm="1">
        <f t="array" ref="D111">SUMPRODUCT(('Pivot Data'!$D$2:$D$1912=$A111)*IF($B111="",--('Pivot Data'!$E$2:$E$1912=""),--('Pivot Data'!$E$2:$E$1912=$B111))*('Pivot Data'!$I$2:$I$1912="Cancelled")*'Pivot Data'!$H$2:$H$1912)</f>
        <v>0</v>
      </c>
      <c r="E111" s="1301">
        <f t="shared" si="1"/>
        <v>5</v>
      </c>
    </row>
    <row r="112" spans="1:5" hidden="1" x14ac:dyDescent="0.25">
      <c r="A112" t="s">
        <v>1777</v>
      </c>
      <c r="C112" s="1301" cm="1">
        <f t="array" ref="C112">SUMPRODUCT((CHALLAN!$B$1:$B$16504=A112)*IF(B112="",--(CHALLAN!$C$1:$C$16504=""),--(CHALLAN!$C$1:$C$16504=B112))*IFERROR(CHALLAN!$D$1:$D$16504*CHALLAN!$E$1:$E$16504,0))</f>
        <v>150</v>
      </c>
      <c r="D112" cm="1">
        <f t="array" ref="D112">SUMPRODUCT(('Pivot Data'!$D$2:$D$1912=$A112)*IF($B112="",--('Pivot Data'!$E$2:$E$1912=""),--('Pivot Data'!$E$2:$E$1912=$B112))*('Pivot Data'!$I$2:$I$1912="Cancelled")*'Pivot Data'!$H$2:$H$1912)</f>
        <v>0</v>
      </c>
      <c r="E112" s="1301">
        <f t="shared" si="1"/>
        <v>150</v>
      </c>
    </row>
    <row r="113" spans="1:5" hidden="1" x14ac:dyDescent="0.25">
      <c r="A113" t="s">
        <v>1777</v>
      </c>
      <c r="B113" t="s">
        <v>2083</v>
      </c>
      <c r="C113" s="1301" cm="1">
        <f t="array" ref="C113">SUMPRODUCT((CHALLAN!$B$1:$B$16504=A113)*IF(B113="",--(CHALLAN!$C$1:$C$16504=""),--(CHALLAN!$C$1:$C$16504=B113))*IFERROR(CHALLAN!$D$1:$D$16504*CHALLAN!$E$1:$E$16504,0))</f>
        <v>200</v>
      </c>
      <c r="D113" cm="1">
        <f t="array" ref="D113">SUMPRODUCT(('Pivot Data'!$D$2:$D$1912=$A113)*IF($B113="",--('Pivot Data'!$E$2:$E$1912=""),--('Pivot Data'!$E$2:$E$1912=$B113))*('Pivot Data'!$I$2:$I$1912="Cancelled")*'Pivot Data'!$H$2:$H$1912)</f>
        <v>0</v>
      </c>
      <c r="E113" s="1301">
        <f t="shared" si="1"/>
        <v>200</v>
      </c>
    </row>
    <row r="114" spans="1:5" hidden="1" x14ac:dyDescent="0.25">
      <c r="A114" t="s">
        <v>1641</v>
      </c>
      <c r="C114" s="1301" cm="1">
        <f t="array" ref="C114">SUMPRODUCT((CHALLAN!$B$1:$B$16504=A114)*IF(B114="",--(CHALLAN!$C$1:$C$16504=""),--(CHALLAN!$C$1:$C$16504=B114))*IFERROR(CHALLAN!$D$1:$D$16504*CHALLAN!$E$1:$E$16504,0))</f>
        <v>232</v>
      </c>
      <c r="D114" cm="1">
        <f t="array" ref="D114">SUMPRODUCT(('Pivot Data'!$D$2:$D$1912=$A114)*IF($B114="",--('Pivot Data'!$E$2:$E$1912=""),--('Pivot Data'!$E$2:$E$1912=$B114))*('Pivot Data'!$I$2:$I$1912="Cancelled")*'Pivot Data'!$H$2:$H$1912)</f>
        <v>0</v>
      </c>
      <c r="E114" s="1301">
        <f t="shared" si="1"/>
        <v>232</v>
      </c>
    </row>
    <row r="115" spans="1:5" hidden="1" x14ac:dyDescent="0.25">
      <c r="A115" t="s">
        <v>557</v>
      </c>
      <c r="B115" t="s">
        <v>337</v>
      </c>
      <c r="C115" s="1301" cm="1">
        <f t="array" ref="C115">SUMPRODUCT((CHALLAN!$B$1:$B$16504=A115)*IF(B115="",--(CHALLAN!$C$1:$C$16504=""),--(CHALLAN!$C$1:$C$16504=B115))*IFERROR(CHALLAN!$D$1:$D$16504*CHALLAN!$E$1:$E$16504,0))</f>
        <v>20</v>
      </c>
      <c r="D115" cm="1">
        <f t="array" ref="D115">SUMPRODUCT(('Pivot Data'!$D$2:$D$1912=$A115)*IF($B115="",--('Pivot Data'!$E$2:$E$1912=""),--('Pivot Data'!$E$2:$E$1912=$B115))*('Pivot Data'!$I$2:$I$1912="Cancelled")*'Pivot Data'!$H$2:$H$1912)</f>
        <v>0</v>
      </c>
      <c r="E115" s="1301">
        <f t="shared" si="1"/>
        <v>20</v>
      </c>
    </row>
    <row r="116" spans="1:5" hidden="1" x14ac:dyDescent="0.25">
      <c r="A116" t="s">
        <v>1960</v>
      </c>
      <c r="C116" s="1301" cm="1">
        <f t="array" ref="C116">SUMPRODUCT((CHALLAN!$B$1:$B$16504=A116)*IF(B116="",--(CHALLAN!$C$1:$C$16504=""),--(CHALLAN!$C$1:$C$16504=B116))*IFERROR(CHALLAN!$D$1:$D$16504*CHALLAN!$E$1:$E$16504,0))</f>
        <v>100</v>
      </c>
      <c r="D116" cm="1">
        <f t="array" ref="D116">SUMPRODUCT(('Pivot Data'!$D$2:$D$1912=$A116)*IF($B116="",--('Pivot Data'!$E$2:$E$1912=""),--('Pivot Data'!$E$2:$E$1912=$B116))*('Pivot Data'!$I$2:$I$1912="Cancelled")*'Pivot Data'!$H$2:$H$1912)</f>
        <v>0</v>
      </c>
      <c r="E116" s="1301">
        <f t="shared" si="1"/>
        <v>100</v>
      </c>
    </row>
    <row r="117" spans="1:5" hidden="1" x14ac:dyDescent="0.25">
      <c r="A117">
        <v>404</v>
      </c>
      <c r="C117" s="1301" cm="1">
        <f t="array" ref="C117">SUMPRODUCT((CHALLAN!$B$1:$B$16504=A117)*IF(B117="",--(CHALLAN!$C$1:$C$16504=""),--(CHALLAN!$C$1:$C$16504=B117))*IFERROR(CHALLAN!$D$1:$D$16504*CHALLAN!$E$1:$E$16504,0))</f>
        <v>285</v>
      </c>
      <c r="D117" cm="1">
        <f t="array" ref="D117">SUMPRODUCT(('Pivot Data'!$D$2:$D$1912=$A117)*IF($B117="",--('Pivot Data'!$E$2:$E$1912=""),--('Pivot Data'!$E$2:$E$1912=$B117))*('Pivot Data'!$I$2:$I$1912="Cancelled")*'Pivot Data'!$H$2:$H$1912)</f>
        <v>0</v>
      </c>
      <c r="E117" s="1301">
        <f t="shared" si="1"/>
        <v>285</v>
      </c>
    </row>
    <row r="118" spans="1:5" hidden="1" x14ac:dyDescent="0.25">
      <c r="A118" t="s">
        <v>691</v>
      </c>
      <c r="C118" s="1301" cm="1">
        <f t="array" ref="C118">SUMPRODUCT((CHALLAN!$B$1:$B$16504=A118)*IF(B118="",--(CHALLAN!$C$1:$C$16504=""),--(CHALLAN!$C$1:$C$16504=B118))*IFERROR(CHALLAN!$D$1:$D$16504*CHALLAN!$E$1:$E$16504,0))</f>
        <v>50</v>
      </c>
      <c r="D118" cm="1">
        <f t="array" ref="D118">SUMPRODUCT(('Pivot Data'!$D$2:$D$1912=$A118)*IF($B118="",--('Pivot Data'!$E$2:$E$1912=""),--('Pivot Data'!$E$2:$E$1912=$B118))*('Pivot Data'!$I$2:$I$1912="Cancelled")*'Pivot Data'!$H$2:$H$1912)</f>
        <v>0</v>
      </c>
      <c r="E118" s="1301">
        <f t="shared" si="1"/>
        <v>50</v>
      </c>
    </row>
    <row r="119" spans="1:5" hidden="1" x14ac:dyDescent="0.25">
      <c r="A119">
        <v>405</v>
      </c>
      <c r="C119" s="1301" cm="1">
        <f t="array" ref="C119">SUMPRODUCT((CHALLAN!$B$1:$B$16504=A119)*IF(B119="",--(CHALLAN!$C$1:$C$16504=""),--(CHALLAN!$C$1:$C$16504=B119))*IFERROR(CHALLAN!$D$1:$D$16504*CHALLAN!$E$1:$E$16504,0))</f>
        <v>5</v>
      </c>
      <c r="D119" cm="1">
        <f t="array" ref="D119">SUMPRODUCT(('Pivot Data'!$D$2:$D$1912=$A119)*IF($B119="",--('Pivot Data'!$E$2:$E$1912=""),--('Pivot Data'!$E$2:$E$1912=$B119))*('Pivot Data'!$I$2:$I$1912="Cancelled")*'Pivot Data'!$H$2:$H$1912)</f>
        <v>0</v>
      </c>
      <c r="E119" s="1301">
        <f t="shared" si="1"/>
        <v>5</v>
      </c>
    </row>
    <row r="120" spans="1:5" hidden="1" x14ac:dyDescent="0.25">
      <c r="A120" t="s">
        <v>693</v>
      </c>
      <c r="C120" s="1301" cm="1">
        <f t="array" ref="C120">SUMPRODUCT((CHALLAN!$B$1:$B$16504=A120)*IF(B120="",--(CHALLAN!$C$1:$C$16504=""),--(CHALLAN!$C$1:$C$16504=B120))*IFERROR(CHALLAN!$D$1:$D$16504*CHALLAN!$E$1:$E$16504,0))</f>
        <v>25</v>
      </c>
      <c r="D120" cm="1">
        <f t="array" ref="D120">SUMPRODUCT(('Pivot Data'!$D$2:$D$1912=$A120)*IF($B120="",--('Pivot Data'!$E$2:$E$1912=""),--('Pivot Data'!$E$2:$E$1912=$B120))*('Pivot Data'!$I$2:$I$1912="Cancelled")*'Pivot Data'!$H$2:$H$1912)</f>
        <v>0</v>
      </c>
      <c r="E120" s="1301">
        <f t="shared" si="1"/>
        <v>25</v>
      </c>
    </row>
    <row r="121" spans="1:5" hidden="1" x14ac:dyDescent="0.25">
      <c r="A121" t="s">
        <v>1942</v>
      </c>
      <c r="C121" s="1301" cm="1">
        <f t="array" ref="C121">SUMPRODUCT((CHALLAN!$B$1:$B$16504=A121)*IF(B121="",--(CHALLAN!$C$1:$C$16504=""),--(CHALLAN!$C$1:$C$16504=B121))*IFERROR(CHALLAN!$D$1:$D$16504*CHALLAN!$E$1:$E$16504,0))</f>
        <v>83</v>
      </c>
      <c r="D121" cm="1">
        <f t="array" ref="D121">SUMPRODUCT(('Pivot Data'!$D$2:$D$1912=$A121)*IF($B121="",--('Pivot Data'!$E$2:$E$1912=""),--('Pivot Data'!$E$2:$E$1912=$B121))*('Pivot Data'!$I$2:$I$1912="Cancelled")*'Pivot Data'!$H$2:$H$1912)</f>
        <v>0</v>
      </c>
      <c r="E121" s="1301">
        <f t="shared" si="1"/>
        <v>83</v>
      </c>
    </row>
    <row r="122" spans="1:5" hidden="1" x14ac:dyDescent="0.25">
      <c r="A122">
        <v>505</v>
      </c>
      <c r="C122" s="1301" cm="1">
        <f t="array" ref="C122">SUMPRODUCT((CHALLAN!$B$1:$B$16504=A122)*IF(B122="",--(CHALLAN!$C$1:$C$16504=""),--(CHALLAN!$C$1:$C$16504=B122))*IFERROR(CHALLAN!$D$1:$D$16504*CHALLAN!$E$1:$E$16504,0))</f>
        <v>141</v>
      </c>
      <c r="D122" cm="1">
        <f t="array" ref="D122">SUMPRODUCT(('Pivot Data'!$D$2:$D$1912=$A122)*IF($B122="",--('Pivot Data'!$E$2:$E$1912=""),--('Pivot Data'!$E$2:$E$1912=$B122))*('Pivot Data'!$I$2:$I$1912="Cancelled")*'Pivot Data'!$H$2:$H$1912)</f>
        <v>0</v>
      </c>
      <c r="E122" s="1301">
        <f t="shared" si="1"/>
        <v>141</v>
      </c>
    </row>
    <row r="123" spans="1:5" hidden="1" x14ac:dyDescent="0.25">
      <c r="A123">
        <v>505</v>
      </c>
      <c r="B123" t="s">
        <v>1384</v>
      </c>
      <c r="C123" s="1301" cm="1">
        <f t="array" ref="C123">SUMPRODUCT((CHALLAN!$B$1:$B$16504=A123)*IF(B123="",--(CHALLAN!$C$1:$C$16504=""),--(CHALLAN!$C$1:$C$16504=B123))*IFERROR(CHALLAN!$D$1:$D$16504*CHALLAN!$E$1:$E$16504,0))</f>
        <v>0</v>
      </c>
      <c r="D123" cm="1">
        <f t="array" ref="D123">SUMPRODUCT(('Pivot Data'!$D$2:$D$1912=$A123)*IF($B123="",--('Pivot Data'!$E$2:$E$1912=""),--('Pivot Data'!$E$2:$E$1912=$B123))*('Pivot Data'!$I$2:$I$1912="Cancelled")*'Pivot Data'!$H$2:$H$1912)</f>
        <v>0</v>
      </c>
      <c r="E123" s="1301">
        <f t="shared" si="1"/>
        <v>0</v>
      </c>
    </row>
    <row r="124" spans="1:5" hidden="1" x14ac:dyDescent="0.25">
      <c r="A124" t="s">
        <v>2159</v>
      </c>
      <c r="B124" t="s">
        <v>1481</v>
      </c>
      <c r="C124" s="1301" cm="1">
        <f t="array" ref="C124">SUMPRODUCT((CHALLAN!$B$1:$B$16504=A124)*IF(B124="",--(CHALLAN!$C$1:$C$16504=""),--(CHALLAN!$C$1:$C$16504=B124))*IFERROR(CHALLAN!$D$1:$D$16504*CHALLAN!$E$1:$E$16504,0))</f>
        <v>150</v>
      </c>
      <c r="D124" cm="1">
        <f t="array" ref="D124">SUMPRODUCT(('Pivot Data'!$D$2:$D$1912=$A124)*IF($B124="",--('Pivot Data'!$E$2:$E$1912=""),--('Pivot Data'!$E$2:$E$1912=$B124))*('Pivot Data'!$I$2:$I$1912="Cancelled")*'Pivot Data'!$H$2:$H$1912)</f>
        <v>0</v>
      </c>
      <c r="E124" s="1301">
        <f t="shared" si="1"/>
        <v>150</v>
      </c>
    </row>
    <row r="125" spans="1:5" hidden="1" x14ac:dyDescent="0.25">
      <c r="A125">
        <v>507</v>
      </c>
      <c r="C125" s="1301" cm="1">
        <f t="array" ref="C125">SUMPRODUCT((CHALLAN!$B$1:$B$16504=A125)*IF(B125="",--(CHALLAN!$C$1:$C$16504=""),--(CHALLAN!$C$1:$C$16504=B125))*IFERROR(CHALLAN!$D$1:$D$16504*CHALLAN!$E$1:$E$16504,0))</f>
        <v>843</v>
      </c>
      <c r="D125" cm="1">
        <f t="array" ref="D125">SUMPRODUCT(('Pivot Data'!$D$2:$D$1912=$A125)*IF($B125="",--('Pivot Data'!$E$2:$E$1912=""),--('Pivot Data'!$E$2:$E$1912=$B125))*('Pivot Data'!$I$2:$I$1912="Cancelled")*'Pivot Data'!$H$2:$H$1912)</f>
        <v>0</v>
      </c>
      <c r="E125" s="1301">
        <f t="shared" si="1"/>
        <v>843</v>
      </c>
    </row>
    <row r="126" spans="1:5" hidden="1" x14ac:dyDescent="0.25">
      <c r="A126">
        <v>507</v>
      </c>
      <c r="B126" t="s">
        <v>1815</v>
      </c>
      <c r="C126" s="1301" cm="1">
        <f t="array" ref="C126">SUMPRODUCT((CHALLAN!$B$1:$B$16504=A126)*IF(B126="",--(CHALLAN!$C$1:$C$16504=""),--(CHALLAN!$C$1:$C$16504=B126))*IFERROR(CHALLAN!$D$1:$D$16504*CHALLAN!$E$1:$E$16504,0))</f>
        <v>1000</v>
      </c>
      <c r="D126" cm="1">
        <f t="array" ref="D126">SUMPRODUCT(('Pivot Data'!$D$2:$D$1912=$A126)*IF($B126="",--('Pivot Data'!$E$2:$E$1912=""),--('Pivot Data'!$E$2:$E$1912=$B126))*('Pivot Data'!$I$2:$I$1912="Cancelled")*'Pivot Data'!$H$2:$H$1912)</f>
        <v>0</v>
      </c>
      <c r="E126" s="1301">
        <f t="shared" si="1"/>
        <v>1000</v>
      </c>
    </row>
    <row r="127" spans="1:5" hidden="1" x14ac:dyDescent="0.25">
      <c r="A127" t="s">
        <v>1833</v>
      </c>
      <c r="B127" t="s">
        <v>445</v>
      </c>
      <c r="C127" s="1301" cm="1">
        <f t="array" ref="C127">SUMPRODUCT((CHALLAN!$B$1:$B$16504=A127)*IF(B127="",--(CHALLAN!$C$1:$C$16504=""),--(CHALLAN!$C$1:$C$16504=B127))*IFERROR(CHALLAN!$D$1:$D$16504*CHALLAN!$E$1:$E$16504,0))</f>
        <v>1025</v>
      </c>
      <c r="D127" cm="1">
        <f t="array" ref="D127">SUMPRODUCT(('Pivot Data'!$D$2:$D$1912=$A127)*IF($B127="",--('Pivot Data'!$E$2:$E$1912=""),--('Pivot Data'!$E$2:$E$1912=$B127))*('Pivot Data'!$I$2:$I$1912="Cancelled")*'Pivot Data'!$H$2:$H$1912)</f>
        <v>0</v>
      </c>
      <c r="E127" s="1301">
        <f t="shared" si="1"/>
        <v>1025</v>
      </c>
    </row>
    <row r="128" spans="1:5" hidden="1" x14ac:dyDescent="0.25">
      <c r="A128" t="s">
        <v>1178</v>
      </c>
      <c r="B128" t="s">
        <v>445</v>
      </c>
      <c r="C128" s="1301" cm="1">
        <f t="array" ref="C128">SUMPRODUCT((CHALLAN!$B$1:$B$16504=A128)*IF(B128="",--(CHALLAN!$C$1:$C$16504=""),--(CHALLAN!$C$1:$C$16504=B128))*IFERROR(CHALLAN!$D$1:$D$16504*CHALLAN!$E$1:$E$16504,0))</f>
        <v>450</v>
      </c>
      <c r="D128" cm="1">
        <f t="array" ref="D128">SUMPRODUCT(('Pivot Data'!$D$2:$D$1912=$A128)*IF($B128="",--('Pivot Data'!$E$2:$E$1912=""),--('Pivot Data'!$E$2:$E$1912=$B128))*('Pivot Data'!$I$2:$I$1912="Cancelled")*'Pivot Data'!$H$2:$H$1912)</f>
        <v>0</v>
      </c>
      <c r="E128" s="1301">
        <f t="shared" si="1"/>
        <v>450</v>
      </c>
    </row>
    <row r="129" spans="1:5" hidden="1" x14ac:dyDescent="0.25">
      <c r="A129" t="s">
        <v>2224</v>
      </c>
      <c r="B129" t="s">
        <v>445</v>
      </c>
      <c r="C129" s="1301" cm="1">
        <f t="array" ref="C129">SUMPRODUCT((CHALLAN!$B$1:$B$16504=A129)*IF(B129="",--(CHALLAN!$C$1:$C$16504=""),--(CHALLAN!$C$1:$C$16504=B129))*IFERROR(CHALLAN!$D$1:$D$16504*CHALLAN!$E$1:$E$16504,0))</f>
        <v>475</v>
      </c>
      <c r="D129" cm="1">
        <f t="array" ref="D129">SUMPRODUCT(('Pivot Data'!$D$2:$D$1912=$A129)*IF($B129="",--('Pivot Data'!$E$2:$E$1912=""),--('Pivot Data'!$E$2:$E$1912=$B129))*('Pivot Data'!$I$2:$I$1912="Cancelled")*'Pivot Data'!$H$2:$H$1912)</f>
        <v>0</v>
      </c>
      <c r="E129" s="1301">
        <f t="shared" si="1"/>
        <v>475</v>
      </c>
    </row>
    <row r="130" spans="1:5" hidden="1" x14ac:dyDescent="0.25">
      <c r="A130" t="s">
        <v>1717</v>
      </c>
      <c r="B130" t="s">
        <v>445</v>
      </c>
      <c r="C130" s="1301" cm="1">
        <f t="array" ref="C130">SUMPRODUCT((CHALLAN!$B$1:$B$16504=A130)*IF(B130="",--(CHALLAN!$C$1:$C$16504=""),--(CHALLAN!$C$1:$C$16504=B130))*IFERROR(CHALLAN!$D$1:$D$16504*CHALLAN!$E$1:$E$16504,0))</f>
        <v>300</v>
      </c>
      <c r="D130" cm="1">
        <f t="array" ref="D130">SUMPRODUCT(('Pivot Data'!$D$2:$D$1912=$A130)*IF($B130="",--('Pivot Data'!$E$2:$E$1912=""),--('Pivot Data'!$E$2:$E$1912=$B130))*('Pivot Data'!$I$2:$I$1912="Cancelled")*'Pivot Data'!$H$2:$H$1912)</f>
        <v>0</v>
      </c>
      <c r="E130" s="1301">
        <f t="shared" si="1"/>
        <v>300</v>
      </c>
    </row>
    <row r="131" spans="1:5" hidden="1" x14ac:dyDescent="0.25">
      <c r="A131" s="1302">
        <v>508</v>
      </c>
      <c r="C131" s="1301" cm="1">
        <f t="array" ref="C131">SUMPRODUCT((CHALLAN!$B$1:$B$16504=A131)*IF(B131="",--(CHALLAN!$C$1:$C$16504=""),--(CHALLAN!$C$1:$C$16504=B131))*IFERROR(CHALLAN!$D$1:$D$16504*CHALLAN!$E$1:$E$16504,0))</f>
        <v>279</v>
      </c>
      <c r="D131" s="1296" cm="1">
        <f t="array" ref="D131">SUMPRODUCT(('Pivot Data'!$D$2:$D$1912=$A131)*IF($B131="",--('Pivot Data'!$E$2:$E$1912=""),--('Pivot Data'!$E$2:$E$1912=$B131))*('Pivot Data'!$I$2:$I$1912="Cancelled")*'Pivot Data'!$H$2:$H$1912)</f>
        <v>0</v>
      </c>
      <c r="E131" s="1296">
        <f t="shared" si="1"/>
        <v>279</v>
      </c>
    </row>
    <row r="132" spans="1:5" hidden="1" x14ac:dyDescent="0.25">
      <c r="A132">
        <v>508</v>
      </c>
      <c r="B132" t="s">
        <v>1815</v>
      </c>
      <c r="C132" s="1301" cm="1">
        <f t="array" ref="C132">SUMPRODUCT((CHALLAN!$B$1:$B$16504=A132)*IF(B132="",--(CHALLAN!$C$1:$C$16504=""),--(CHALLAN!$C$1:$C$16504=B132))*IFERROR(CHALLAN!$D$1:$D$16504*CHALLAN!$E$1:$E$16504,0))</f>
        <v>0</v>
      </c>
      <c r="D132" s="1296" cm="1">
        <f t="array" ref="D132">SUMPRODUCT(('Pivot Data'!$D$2:$D$1912=$A132)*IF($B132="",--('Pivot Data'!$E$2:$E$1912=""),--('Pivot Data'!$E$2:$E$1912=$B132))*('Pivot Data'!$I$2:$I$1912="Cancelled")*'Pivot Data'!$H$2:$H$1912)</f>
        <v>0</v>
      </c>
      <c r="E132" s="1296">
        <f t="shared" si="1"/>
        <v>0</v>
      </c>
    </row>
    <row r="133" spans="1:5" hidden="1" x14ac:dyDescent="0.25">
      <c r="A133" t="s">
        <v>2160</v>
      </c>
      <c r="B133" t="s">
        <v>1512</v>
      </c>
      <c r="C133" s="1301" cm="1">
        <f t="array" ref="C133">SUMPRODUCT((CHALLAN!$B$1:$B$16504=A133)*IF(B133="",--(CHALLAN!$C$1:$C$16504=""),--(CHALLAN!$C$1:$C$16504=B133))*IFERROR(CHALLAN!$D$1:$D$16504*CHALLAN!$E$1:$E$16504,0))</f>
        <v>0</v>
      </c>
      <c r="D133" s="1296" cm="1">
        <f t="array" ref="D133">SUMPRODUCT(('Pivot Data'!$D$2:$D$1912=$A133)*IF($B133="",--('Pivot Data'!$E$2:$E$1912=""),--('Pivot Data'!$E$2:$E$1912=$B133))*('Pivot Data'!$I$2:$I$1912="Cancelled")*'Pivot Data'!$H$2:$H$1912)</f>
        <v>0</v>
      </c>
      <c r="E133" s="1296">
        <f t="shared" ref="E133:E196" si="2">C133-D133</f>
        <v>0</v>
      </c>
    </row>
    <row r="134" spans="1:5" hidden="1" x14ac:dyDescent="0.25">
      <c r="A134">
        <v>510</v>
      </c>
      <c r="C134" s="1301" cm="1">
        <f t="array" ref="C134">SUMPRODUCT((CHALLAN!$B$1:$B$16504=A134)*IF(B134="",--(CHALLAN!$C$1:$C$16504=""),--(CHALLAN!$C$1:$C$16504=B134))*IFERROR(CHALLAN!$D$1:$D$16504*CHALLAN!$E$1:$E$16504,0))</f>
        <v>53</v>
      </c>
      <c r="D134" cm="1">
        <f t="array" ref="D134">SUMPRODUCT(('Pivot Data'!$D$2:$D$1912=$A134)*IF($B134="",--('Pivot Data'!$E$2:$E$1912=""),--('Pivot Data'!$E$2:$E$1912=$B134))*('Pivot Data'!$I$2:$I$1912="Cancelled")*'Pivot Data'!$H$2:$H$1912)</f>
        <v>0</v>
      </c>
      <c r="E134" s="1301">
        <f t="shared" si="2"/>
        <v>53</v>
      </c>
    </row>
    <row r="135" spans="1:5" hidden="1" x14ac:dyDescent="0.25">
      <c r="A135">
        <v>510</v>
      </c>
      <c r="B135" t="s">
        <v>1388</v>
      </c>
      <c r="C135" s="1301" cm="1">
        <f t="array" ref="C135">SUMPRODUCT((CHALLAN!$B$1:$B$16504=A135)*IF(B135="",--(CHALLAN!$C$1:$C$16504=""),--(CHALLAN!$C$1:$C$16504=B135))*IFERROR(CHALLAN!$D$1:$D$16504*CHALLAN!$E$1:$E$16504,0))</f>
        <v>48</v>
      </c>
      <c r="D135" cm="1">
        <f t="array" ref="D135">SUMPRODUCT(('Pivot Data'!$D$2:$D$1912=$A135)*IF($B135="",--('Pivot Data'!$E$2:$E$1912=""),--('Pivot Data'!$E$2:$E$1912=$B135))*('Pivot Data'!$I$2:$I$1912="Cancelled")*'Pivot Data'!$H$2:$H$1912)</f>
        <v>0</v>
      </c>
      <c r="E135" s="1301">
        <f t="shared" si="2"/>
        <v>48</v>
      </c>
    </row>
    <row r="136" spans="1:5" hidden="1" x14ac:dyDescent="0.25">
      <c r="A136" t="s">
        <v>1396</v>
      </c>
      <c r="C136" s="1301" cm="1">
        <f t="array" ref="C136">SUMPRODUCT((CHALLAN!$B$1:$B$16504=A136)*IF(B136="",--(CHALLAN!$C$1:$C$16504=""),--(CHALLAN!$C$1:$C$16504=B136))*IFERROR(CHALLAN!$D$1:$D$16504*CHALLAN!$E$1:$E$16504,0))</f>
        <v>40</v>
      </c>
      <c r="D136" cm="1">
        <f t="array" ref="D136">SUMPRODUCT(('Pivot Data'!$D$2:$D$1912=$A136)*IF($B136="",--('Pivot Data'!$E$2:$E$1912=""),--('Pivot Data'!$E$2:$E$1912=$B136))*('Pivot Data'!$I$2:$I$1912="Cancelled")*'Pivot Data'!$H$2:$H$1912)</f>
        <v>0</v>
      </c>
      <c r="E136" s="1301">
        <f t="shared" si="2"/>
        <v>40</v>
      </c>
    </row>
    <row r="137" spans="1:5" hidden="1" x14ac:dyDescent="0.25">
      <c r="A137" t="s">
        <v>1932</v>
      </c>
      <c r="B137" t="s">
        <v>87</v>
      </c>
      <c r="C137" s="1301" cm="1">
        <f t="array" ref="C137">SUMPRODUCT((CHALLAN!$B$1:$B$16504=A137)*IF(B137="",--(CHALLAN!$C$1:$C$16504=""),--(CHALLAN!$C$1:$C$16504=B137))*IFERROR(CHALLAN!$D$1:$D$16504*CHALLAN!$E$1:$E$16504,0))</f>
        <v>5</v>
      </c>
      <c r="D137" cm="1">
        <f t="array" ref="D137">SUMPRODUCT(('Pivot Data'!$D$2:$D$1912=$A137)*IF($B137="",--('Pivot Data'!$E$2:$E$1912=""),--('Pivot Data'!$E$2:$E$1912=$B137))*('Pivot Data'!$I$2:$I$1912="Cancelled")*'Pivot Data'!$H$2:$H$1912)</f>
        <v>0</v>
      </c>
      <c r="E137" s="1301">
        <f t="shared" si="2"/>
        <v>5</v>
      </c>
    </row>
    <row r="138" spans="1:5" x14ac:dyDescent="0.25">
      <c r="A138" t="s">
        <v>1505</v>
      </c>
      <c r="C138" s="1301" cm="1">
        <f t="array" ref="C138">SUMPRODUCT((CHALLAN!$B$1:$B$16504=A138)*IF(B138="",--(CHALLAN!$C$1:$C$16504=""),--(CHALLAN!$C$1:$C$16504=B138))*IFERROR(CHALLAN!$D$1:$D$16504*CHALLAN!$E$1:$E$16504,0))</f>
        <v>100</v>
      </c>
      <c r="D138" cm="1">
        <f t="array" ref="D138">SUMPRODUCT(('Pivot Data'!$D$2:$D$1912=$A138)*IF($B138="",--('Pivot Data'!$E$2:$E$1912=""),--('Pivot Data'!$E$2:$E$1912=$B138))*('Pivot Data'!$I$2:$I$1912="Cancelled")*'Pivot Data'!$H$2:$H$1912)</f>
        <v>0</v>
      </c>
      <c r="E138" s="1301">
        <f t="shared" si="2"/>
        <v>100</v>
      </c>
    </row>
    <row r="139" spans="1:5" hidden="1" x14ac:dyDescent="0.25">
      <c r="A139" t="s">
        <v>571</v>
      </c>
      <c r="B139" t="s">
        <v>351</v>
      </c>
      <c r="C139" s="1301" cm="1">
        <f t="array" ref="C139">SUMPRODUCT((CHALLAN!$B$1:$B$16504=A139)*IF(B139="",--(CHALLAN!$C$1:$C$16504=""),--(CHALLAN!$C$1:$C$16504=B139))*IFERROR(CHALLAN!$D$1:$D$16504*CHALLAN!$E$1:$E$16504,0))</f>
        <v>1</v>
      </c>
      <c r="D139" cm="1">
        <f t="array" ref="D139">SUMPRODUCT(('Pivot Data'!$D$2:$D$1912=$A139)*IF($B139="",--('Pivot Data'!$E$2:$E$1912=""),--('Pivot Data'!$E$2:$E$1912=$B139))*('Pivot Data'!$I$2:$I$1912="Cancelled")*'Pivot Data'!$H$2:$H$1912)</f>
        <v>0</v>
      </c>
      <c r="E139" s="1301">
        <f t="shared" si="2"/>
        <v>1</v>
      </c>
    </row>
    <row r="140" spans="1:5" hidden="1" x14ac:dyDescent="0.25">
      <c r="A140" t="s">
        <v>187</v>
      </c>
      <c r="C140" s="1301" cm="1">
        <f t="array" ref="C140">SUMPRODUCT((CHALLAN!$B$1:$B$16504=A140)*IF(B140="",--(CHALLAN!$C$1:$C$16504=""),--(CHALLAN!$C$1:$C$16504=B140))*IFERROR(CHALLAN!$D$1:$D$16504*CHALLAN!$E$1:$E$16504,0))</f>
        <v>40</v>
      </c>
      <c r="D140" cm="1">
        <f t="array" ref="D140">SUMPRODUCT(('Pivot Data'!$D$2:$D$1912=$A140)*IF($B140="",--('Pivot Data'!$E$2:$E$1912=""),--('Pivot Data'!$E$2:$E$1912=$B140))*('Pivot Data'!$I$2:$I$1912="Cancelled")*'Pivot Data'!$H$2:$H$1912)</f>
        <v>0</v>
      </c>
      <c r="E140" s="1301">
        <f t="shared" si="2"/>
        <v>40</v>
      </c>
    </row>
    <row r="141" spans="1:5" hidden="1" x14ac:dyDescent="0.25">
      <c r="A141" t="s">
        <v>187</v>
      </c>
      <c r="B141" t="s">
        <v>704</v>
      </c>
      <c r="C141" s="1301" cm="1">
        <f t="array" ref="C141">SUMPRODUCT((CHALLAN!$B$1:$B$16504=A141)*IF(B141="",--(CHALLAN!$C$1:$C$16504=""),--(CHALLAN!$C$1:$C$16504=B141))*IFERROR(CHALLAN!$D$1:$D$16504*CHALLAN!$E$1:$E$16504,0))</f>
        <v>32</v>
      </c>
      <c r="D141" cm="1">
        <f t="array" ref="D141">SUMPRODUCT(('Pivot Data'!$D$2:$D$1912=$A141)*IF($B141="",--('Pivot Data'!$E$2:$E$1912=""),--('Pivot Data'!$E$2:$E$1912=$B141))*('Pivot Data'!$I$2:$I$1912="Cancelled")*'Pivot Data'!$H$2:$H$1912)</f>
        <v>0</v>
      </c>
      <c r="E141" s="1301">
        <f t="shared" si="2"/>
        <v>32</v>
      </c>
    </row>
    <row r="142" spans="1:5" hidden="1" x14ac:dyDescent="0.25">
      <c r="A142" t="s">
        <v>187</v>
      </c>
      <c r="B142" t="s">
        <v>187</v>
      </c>
      <c r="C142" s="1301" cm="1">
        <f t="array" ref="C142">SUMPRODUCT((CHALLAN!$B$1:$B$16504=A142)*IF(B142="",--(CHALLAN!$C$1:$C$16504=""),--(CHALLAN!$C$1:$C$16504=B142))*IFERROR(CHALLAN!$D$1:$D$16504*CHALLAN!$E$1:$E$16504,0))</f>
        <v>320</v>
      </c>
      <c r="D142" cm="1">
        <f t="array" ref="D142">SUMPRODUCT(('Pivot Data'!$D$2:$D$1912=$A142)*IF($B142="",--('Pivot Data'!$E$2:$E$1912=""),--('Pivot Data'!$E$2:$E$1912=$B142))*('Pivot Data'!$I$2:$I$1912="Cancelled")*'Pivot Data'!$H$2:$H$1912)</f>
        <v>0</v>
      </c>
      <c r="E142" s="1301">
        <f t="shared" si="2"/>
        <v>320</v>
      </c>
    </row>
    <row r="143" spans="1:5" hidden="1" x14ac:dyDescent="0.25">
      <c r="A143" t="s">
        <v>187</v>
      </c>
      <c r="B143" t="s">
        <v>358</v>
      </c>
      <c r="C143" s="1301" cm="1">
        <f t="array" ref="C143">SUMPRODUCT((CHALLAN!$B$1:$B$16504=A143)*IF(B143="",--(CHALLAN!$C$1:$C$16504=""),--(CHALLAN!$C$1:$C$16504=B143))*IFERROR(CHALLAN!$D$1:$D$16504*CHALLAN!$E$1:$E$16504,0))</f>
        <v>48</v>
      </c>
      <c r="D143" cm="1">
        <f t="array" ref="D143">SUMPRODUCT(('Pivot Data'!$D$2:$D$1912=$A143)*IF($B143="",--('Pivot Data'!$E$2:$E$1912=""),--('Pivot Data'!$E$2:$E$1912=$B143))*('Pivot Data'!$I$2:$I$1912="Cancelled")*'Pivot Data'!$H$2:$H$1912)</f>
        <v>0</v>
      </c>
      <c r="E143" s="1301">
        <f t="shared" si="2"/>
        <v>48</v>
      </c>
    </row>
    <row r="144" spans="1:5" hidden="1" x14ac:dyDescent="0.25">
      <c r="A144" t="s">
        <v>1853</v>
      </c>
      <c r="B144" t="s">
        <v>1815</v>
      </c>
      <c r="C144" s="1301" cm="1">
        <f t="array" ref="C144">SUMPRODUCT((CHALLAN!$B$1:$B$16504=A144)*IF(B144="",--(CHALLAN!$C$1:$C$16504=""),--(CHALLAN!$C$1:$C$16504=B144))*IFERROR(CHALLAN!$D$1:$D$16504*CHALLAN!$E$1:$E$16504,0))</f>
        <v>250</v>
      </c>
      <c r="D144" cm="1">
        <f t="array" ref="D144">SUMPRODUCT(('Pivot Data'!$D$2:$D$1912=$A144)*IF($B144="",--('Pivot Data'!$E$2:$E$1912=""),--('Pivot Data'!$E$2:$E$1912=$B144))*('Pivot Data'!$I$2:$I$1912="Cancelled")*'Pivot Data'!$H$2:$H$1912)</f>
        <v>0</v>
      </c>
      <c r="E144" s="1301">
        <f t="shared" si="2"/>
        <v>250</v>
      </c>
    </row>
    <row r="145" spans="1:5" hidden="1" x14ac:dyDescent="0.25">
      <c r="A145" t="s">
        <v>1773</v>
      </c>
      <c r="C145" s="1301" cm="1">
        <f t="array" ref="C145">SUMPRODUCT((CHALLAN!$B$1:$B$16504=A145)*IF(B145="",--(CHALLAN!$C$1:$C$16504=""),--(CHALLAN!$C$1:$C$16504=B145))*IFERROR(CHALLAN!$D$1:$D$16504*CHALLAN!$E$1:$E$16504,0))</f>
        <v>300</v>
      </c>
      <c r="D145" cm="1">
        <f t="array" ref="D145">SUMPRODUCT(('Pivot Data'!$D$2:$D$1912=$A145)*IF($B145="",--('Pivot Data'!$E$2:$E$1912=""),--('Pivot Data'!$E$2:$E$1912=$B145))*('Pivot Data'!$I$2:$I$1912="Cancelled")*'Pivot Data'!$H$2:$H$1912)</f>
        <v>0</v>
      </c>
      <c r="E145" s="1301">
        <f t="shared" si="2"/>
        <v>300</v>
      </c>
    </row>
    <row r="146" spans="1:5" hidden="1" x14ac:dyDescent="0.25">
      <c r="A146" t="s">
        <v>1779</v>
      </c>
      <c r="C146" s="1301" cm="1">
        <f t="array" ref="C146">SUMPRODUCT((CHALLAN!$B$1:$B$16504=A146)*IF(B146="",--(CHALLAN!$C$1:$C$16504=""),--(CHALLAN!$C$1:$C$16504=B146))*IFERROR(CHALLAN!$D$1:$D$16504*CHALLAN!$E$1:$E$16504,0))</f>
        <v>0</v>
      </c>
      <c r="D146" cm="1">
        <f t="array" ref="D146">SUMPRODUCT(('Pivot Data'!$D$2:$D$1912=$A146)*IF($B146="",--('Pivot Data'!$E$2:$E$1912=""),--('Pivot Data'!$E$2:$E$1912=$B146))*('Pivot Data'!$I$2:$I$1912="Cancelled")*'Pivot Data'!$H$2:$H$1912)</f>
        <v>0</v>
      </c>
      <c r="E146" s="1301">
        <f t="shared" si="2"/>
        <v>0</v>
      </c>
    </row>
    <row r="147" spans="1:5" hidden="1" x14ac:dyDescent="0.25">
      <c r="A147" t="s">
        <v>1775</v>
      </c>
      <c r="C147" s="1301" cm="1">
        <f t="array" ref="C147">SUMPRODUCT((CHALLAN!$B$1:$B$16504=A147)*IF(B147="",--(CHALLAN!$C$1:$C$16504=""),--(CHALLAN!$C$1:$C$16504=B147))*IFERROR(CHALLAN!$D$1:$D$16504*CHALLAN!$E$1:$E$16504,0))</f>
        <v>0</v>
      </c>
      <c r="D147" s="1296" cm="1">
        <f t="array" ref="D147">SUMPRODUCT(('Pivot Data'!$D$2:$D$1912=$A147)*IF($B147="",--('Pivot Data'!$E$2:$E$1912=""),--('Pivot Data'!$E$2:$E$1912=$B147))*('Pivot Data'!$I$2:$I$1912="Cancelled")*'Pivot Data'!$H$2:$H$1912)</f>
        <v>0</v>
      </c>
      <c r="E147" s="1296">
        <f t="shared" si="2"/>
        <v>0</v>
      </c>
    </row>
    <row r="148" spans="1:5" hidden="1" x14ac:dyDescent="0.25">
      <c r="A148" t="s">
        <v>188</v>
      </c>
      <c r="B148" t="s">
        <v>359</v>
      </c>
      <c r="C148" s="1301" cm="1">
        <f t="array" ref="C148">SUMPRODUCT((CHALLAN!$B$1:$B$16504=A148)*IF(B148="",--(CHALLAN!$C$1:$C$16504=""),--(CHALLAN!$C$1:$C$16504=B148))*IFERROR(CHALLAN!$D$1:$D$16504*CHALLAN!$E$1:$E$16504,0))</f>
        <v>42</v>
      </c>
      <c r="D148" cm="1">
        <f t="array" ref="D148">SUMPRODUCT(('Pivot Data'!$D$2:$D$1912=$A148)*IF($B148="",--('Pivot Data'!$E$2:$E$1912=""),--('Pivot Data'!$E$2:$E$1912=$B148))*('Pivot Data'!$I$2:$I$1912="Cancelled")*'Pivot Data'!$H$2:$H$1912)</f>
        <v>0</v>
      </c>
      <c r="E148" s="1301">
        <f t="shared" si="2"/>
        <v>42</v>
      </c>
    </row>
    <row r="149" spans="1:5" hidden="1" x14ac:dyDescent="0.25">
      <c r="A149" t="s">
        <v>685</v>
      </c>
      <c r="B149" t="s">
        <v>2188</v>
      </c>
      <c r="C149" s="1301" cm="1">
        <f t="array" ref="C149">SUMPRODUCT((CHALLAN!$B$1:$B$16504=A149)*IF(B149="",--(CHALLAN!$C$1:$C$16504=""),--(CHALLAN!$C$1:$C$16504=B149))*IFERROR(CHALLAN!$D$1:$D$16504*CHALLAN!$E$1:$E$16504,0))</f>
        <v>8</v>
      </c>
      <c r="D149" cm="1">
        <f t="array" ref="D149">SUMPRODUCT(('Pivot Data'!$D$2:$D$1912=$A149)*IF($B149="",--('Pivot Data'!$E$2:$E$1912=""),--('Pivot Data'!$E$2:$E$1912=$B149))*('Pivot Data'!$I$2:$I$1912="Cancelled")*'Pivot Data'!$H$2:$H$1912)</f>
        <v>0</v>
      </c>
      <c r="E149" s="1301">
        <f t="shared" si="2"/>
        <v>8</v>
      </c>
    </row>
    <row r="150" spans="1:5" hidden="1" x14ac:dyDescent="0.25">
      <c r="A150" t="s">
        <v>118</v>
      </c>
      <c r="B150" t="s">
        <v>1599</v>
      </c>
      <c r="C150" s="1301" cm="1">
        <f t="array" ref="C150">SUMPRODUCT((CHALLAN!$B$1:$B$16504=A150)*IF(B150="",--(CHALLAN!$C$1:$C$16504=""),--(CHALLAN!$C$1:$C$16504=B150))*IFERROR(CHALLAN!$D$1:$D$16504*CHALLAN!$E$1:$E$16504,0))</f>
        <v>45</v>
      </c>
      <c r="D150" cm="1">
        <f t="array" ref="D150">SUMPRODUCT(('Pivot Data'!$D$2:$D$1912=$A150)*IF($B150="",--('Pivot Data'!$E$2:$E$1912=""),--('Pivot Data'!$E$2:$E$1912=$B150))*('Pivot Data'!$I$2:$I$1912="Cancelled")*'Pivot Data'!$H$2:$H$1912)</f>
        <v>0</v>
      </c>
      <c r="E150" s="1301">
        <f t="shared" si="2"/>
        <v>45</v>
      </c>
    </row>
    <row r="151" spans="1:5" hidden="1" x14ac:dyDescent="0.25">
      <c r="A151" t="s">
        <v>118</v>
      </c>
      <c r="B151" t="s">
        <v>204</v>
      </c>
      <c r="C151" s="1301" cm="1">
        <f t="array" ref="C151">SUMPRODUCT((CHALLAN!$B$1:$B$16504=A151)*IF(B151="",--(CHALLAN!$C$1:$C$16504=""),--(CHALLAN!$C$1:$C$16504=B151))*IFERROR(CHALLAN!$D$1:$D$16504*CHALLAN!$E$1:$E$16504,0))</f>
        <v>40</v>
      </c>
      <c r="D151" cm="1">
        <f t="array" ref="D151">SUMPRODUCT(('Pivot Data'!$D$2:$D$1912=$A151)*IF($B151="",--('Pivot Data'!$E$2:$E$1912=""),--('Pivot Data'!$E$2:$E$1912=$B151))*('Pivot Data'!$I$2:$I$1912="Cancelled")*'Pivot Data'!$H$2:$H$1912)</f>
        <v>0</v>
      </c>
      <c r="E151" s="1301">
        <f t="shared" si="2"/>
        <v>40</v>
      </c>
    </row>
    <row r="152" spans="1:5" hidden="1" x14ac:dyDescent="0.25">
      <c r="A152" t="s">
        <v>2047</v>
      </c>
      <c r="B152" t="s">
        <v>2048</v>
      </c>
      <c r="C152" s="1301" cm="1">
        <f t="array" ref="C152">SUMPRODUCT((CHALLAN!$B$1:$B$16504=A152)*IF(B152="",--(CHALLAN!$C$1:$C$16504=""),--(CHALLAN!$C$1:$C$16504=B152))*IFERROR(CHALLAN!$D$1:$D$16504*CHALLAN!$E$1:$E$16504,0))</f>
        <v>10</v>
      </c>
      <c r="D152" cm="1">
        <f t="array" ref="D152">SUMPRODUCT(('Pivot Data'!$D$2:$D$1912=$A152)*IF($B152="",--('Pivot Data'!$E$2:$E$1912=""),--('Pivot Data'!$E$2:$E$1912=$B152))*('Pivot Data'!$I$2:$I$1912="Cancelled")*'Pivot Data'!$H$2:$H$1912)</f>
        <v>0</v>
      </c>
      <c r="E152" s="1301">
        <f t="shared" si="2"/>
        <v>10</v>
      </c>
    </row>
    <row r="153" spans="1:5" hidden="1" x14ac:dyDescent="0.25">
      <c r="A153" t="s">
        <v>2026</v>
      </c>
      <c r="C153" s="1301" cm="1">
        <f t="array" ref="C153">SUMPRODUCT((CHALLAN!$B$1:$B$16504=A153)*IF(B153="",--(CHALLAN!$C$1:$C$16504=""),--(CHALLAN!$C$1:$C$16504=B153))*IFERROR(CHALLAN!$D$1:$D$16504*CHALLAN!$E$1:$E$16504,0))</f>
        <v>5</v>
      </c>
      <c r="D153" cm="1">
        <f t="array" ref="D153">SUMPRODUCT(('Pivot Data'!$D$2:$D$1912=$A153)*IF($B153="",--('Pivot Data'!$E$2:$E$1912=""),--('Pivot Data'!$E$2:$E$1912=$B153))*('Pivot Data'!$I$2:$I$1912="Cancelled")*'Pivot Data'!$H$2:$H$1912)</f>
        <v>0</v>
      </c>
      <c r="E153" s="1301">
        <f t="shared" si="2"/>
        <v>5</v>
      </c>
    </row>
    <row r="154" spans="1:5" hidden="1" x14ac:dyDescent="0.25">
      <c r="A154" s="1302" t="s">
        <v>494</v>
      </c>
      <c r="C154" s="1301" cm="1">
        <f t="array" ref="C154">SUMPRODUCT((CHALLAN!$B$1:$B$16504=A154)*IF(B154="",--(CHALLAN!$C$1:$C$16504=""),--(CHALLAN!$C$1:$C$16504=B154))*IFERROR(CHALLAN!$D$1:$D$16504*CHALLAN!$E$1:$E$16504,0))</f>
        <v>10</v>
      </c>
      <c r="D154" cm="1">
        <f t="array" ref="D154">SUMPRODUCT(('Pivot Data'!$D$2:$D$1912=$A154)*IF($B154="",--('Pivot Data'!$E$2:$E$1912=""),--('Pivot Data'!$E$2:$E$1912=$B154))*('Pivot Data'!$I$2:$I$1912="Cancelled")*'Pivot Data'!$H$2:$H$1912)</f>
        <v>0</v>
      </c>
      <c r="E154" s="1301">
        <f t="shared" si="2"/>
        <v>10</v>
      </c>
    </row>
    <row r="155" spans="1:5" hidden="1" x14ac:dyDescent="0.25">
      <c r="A155" t="s">
        <v>494</v>
      </c>
      <c r="B155" t="s">
        <v>327</v>
      </c>
      <c r="C155" s="1301" cm="1">
        <f t="array" ref="C155">SUMPRODUCT((CHALLAN!$B$1:$B$16504=A155)*IF(B155="",--(CHALLAN!$C$1:$C$16504=""),--(CHALLAN!$C$1:$C$16504=B155))*IFERROR(CHALLAN!$D$1:$D$16504*CHALLAN!$E$1:$E$16504,0))</f>
        <v>90</v>
      </c>
      <c r="D155" cm="1">
        <f t="array" ref="D155">SUMPRODUCT(('Pivot Data'!$D$2:$D$1912=$A155)*IF($B155="",--('Pivot Data'!$E$2:$E$1912=""),--('Pivot Data'!$E$2:$E$1912=$B155))*('Pivot Data'!$I$2:$I$1912="Cancelled")*'Pivot Data'!$H$2:$H$1912)</f>
        <v>0</v>
      </c>
      <c r="E155" s="1301">
        <f t="shared" si="2"/>
        <v>90</v>
      </c>
    </row>
    <row r="156" spans="1:5" hidden="1" x14ac:dyDescent="0.25">
      <c r="A156" t="s">
        <v>159</v>
      </c>
      <c r="B156" t="s">
        <v>1603</v>
      </c>
      <c r="C156" s="1301" cm="1">
        <f t="array" ref="C156">SUMPRODUCT((CHALLAN!$B$1:$B$16504=A156)*IF(B156="",--(CHALLAN!$C$1:$C$16504=""),--(CHALLAN!$C$1:$C$16504=B156))*IFERROR(CHALLAN!$D$1:$D$16504*CHALLAN!$E$1:$E$16504,0))</f>
        <v>1</v>
      </c>
      <c r="D156" cm="1">
        <f t="array" ref="D156">SUMPRODUCT(('Pivot Data'!$D$2:$D$1912=$A156)*IF($B156="",--('Pivot Data'!$E$2:$E$1912=""),--('Pivot Data'!$E$2:$E$1912=$B156))*('Pivot Data'!$I$2:$I$1912="Cancelled")*'Pivot Data'!$H$2:$H$1912)</f>
        <v>1</v>
      </c>
      <c r="E156" s="1301">
        <f t="shared" si="2"/>
        <v>0</v>
      </c>
    </row>
    <row r="157" spans="1:5" hidden="1" x14ac:dyDescent="0.25">
      <c r="A157" t="s">
        <v>887</v>
      </c>
      <c r="B157" t="s">
        <v>187</v>
      </c>
      <c r="C157" s="1301" cm="1">
        <f t="array" ref="C157">SUMPRODUCT((CHALLAN!$B$1:$B$16504=A157)*IF(B157="",--(CHALLAN!$C$1:$C$16504=""),--(CHALLAN!$C$1:$C$16504=B157))*IFERROR(CHALLAN!$D$1:$D$16504*CHALLAN!$E$1:$E$16504,0))</f>
        <v>56</v>
      </c>
      <c r="D157" cm="1">
        <f t="array" ref="D157">SUMPRODUCT(('Pivot Data'!$D$2:$D$1912=$A157)*IF($B157="",--('Pivot Data'!$E$2:$E$1912=""),--('Pivot Data'!$E$2:$E$1912=$B157))*('Pivot Data'!$I$2:$I$1912="Cancelled")*'Pivot Data'!$H$2:$H$1912)</f>
        <v>0</v>
      </c>
      <c r="E157" s="1301">
        <f t="shared" si="2"/>
        <v>56</v>
      </c>
    </row>
    <row r="158" spans="1:5" hidden="1" x14ac:dyDescent="0.25">
      <c r="A158" t="s">
        <v>1138</v>
      </c>
      <c r="B158" t="s">
        <v>187</v>
      </c>
      <c r="C158" s="1301" cm="1">
        <f t="array" ref="C158">SUMPRODUCT((CHALLAN!$B$1:$B$16504=A158)*IF(B158="",--(CHALLAN!$C$1:$C$16504=""),--(CHALLAN!$C$1:$C$16504=B158))*IFERROR(CHALLAN!$D$1:$D$16504*CHALLAN!$E$1:$E$16504,0))</f>
        <v>32</v>
      </c>
      <c r="D158" cm="1">
        <f t="array" ref="D158">SUMPRODUCT(('Pivot Data'!$D$2:$D$1912=$A158)*IF($B158="",--('Pivot Data'!$E$2:$E$1912=""),--('Pivot Data'!$E$2:$E$1912=$B158))*('Pivot Data'!$I$2:$I$1912="Cancelled")*'Pivot Data'!$H$2:$H$1912)</f>
        <v>0</v>
      </c>
      <c r="E158" s="1301">
        <f t="shared" si="2"/>
        <v>32</v>
      </c>
    </row>
    <row r="159" spans="1:5" hidden="1" x14ac:dyDescent="0.25">
      <c r="A159" t="s">
        <v>1194</v>
      </c>
      <c r="B159" t="s">
        <v>445</v>
      </c>
      <c r="C159" s="1301" cm="1">
        <f t="array" ref="C159">SUMPRODUCT((CHALLAN!$B$1:$B$16504=A159)*IF(B159="",--(CHALLAN!$C$1:$C$16504=""),--(CHALLAN!$C$1:$C$16504=B159))*IFERROR(CHALLAN!$D$1:$D$16504*CHALLAN!$E$1:$E$16504,0))</f>
        <v>0</v>
      </c>
      <c r="D159" cm="1">
        <f t="array" ref="D159">SUMPRODUCT(('Pivot Data'!$D$2:$D$1912=$A159)*IF($B159="",--('Pivot Data'!$E$2:$E$1912=""),--('Pivot Data'!$E$2:$E$1912=$B159))*('Pivot Data'!$I$2:$I$1912="Cancelled")*'Pivot Data'!$H$2:$H$1912)</f>
        <v>0</v>
      </c>
      <c r="E159" s="1301">
        <f t="shared" si="2"/>
        <v>0</v>
      </c>
    </row>
    <row r="160" spans="1:5" hidden="1" x14ac:dyDescent="0.25">
      <c r="A160" t="s">
        <v>782</v>
      </c>
      <c r="B160" t="s">
        <v>704</v>
      </c>
      <c r="C160" s="1301" cm="1">
        <f t="array" ref="C160">SUMPRODUCT((CHALLAN!$B$1:$B$16504=A160)*IF(B160="",--(CHALLAN!$C$1:$C$16504=""),--(CHALLAN!$C$1:$C$16504=B160))*IFERROR(CHALLAN!$D$1:$D$16504*CHALLAN!$E$1:$E$16504,0))</f>
        <v>8</v>
      </c>
      <c r="D160" cm="1">
        <f t="array" ref="D160">SUMPRODUCT(('Pivot Data'!$D$2:$D$1912=$A160)*IF($B160="",--('Pivot Data'!$E$2:$E$1912=""),--('Pivot Data'!$E$2:$E$1912=$B160))*('Pivot Data'!$I$2:$I$1912="Cancelled")*'Pivot Data'!$H$2:$H$1912)</f>
        <v>0</v>
      </c>
      <c r="E160" s="1301">
        <f t="shared" si="2"/>
        <v>8</v>
      </c>
    </row>
    <row r="161" spans="1:5" hidden="1" x14ac:dyDescent="0.25">
      <c r="A161" t="s">
        <v>1228</v>
      </c>
      <c r="B161" t="s">
        <v>704</v>
      </c>
      <c r="C161" s="1301" cm="1">
        <f t="array" ref="C161">SUMPRODUCT((CHALLAN!$B$1:$B$16504=A161)*IF(B161="",--(CHALLAN!$C$1:$C$16504=""),--(CHALLAN!$C$1:$C$16504=B161))*IFERROR(CHALLAN!$D$1:$D$16504*CHALLAN!$E$1:$E$16504,0))</f>
        <v>42</v>
      </c>
      <c r="D161" cm="1">
        <f t="array" ref="D161">SUMPRODUCT(('Pivot Data'!$D$2:$D$1912=$A161)*IF($B161="",--('Pivot Data'!$E$2:$E$1912=""),--('Pivot Data'!$E$2:$E$1912=$B161))*('Pivot Data'!$I$2:$I$1912="Cancelled")*'Pivot Data'!$H$2:$H$1912)</f>
        <v>0</v>
      </c>
      <c r="E161" s="1301">
        <f t="shared" si="2"/>
        <v>42</v>
      </c>
    </row>
    <row r="162" spans="1:5" hidden="1" x14ac:dyDescent="0.25">
      <c r="A162" t="s">
        <v>1228</v>
      </c>
      <c r="B162" t="s">
        <v>187</v>
      </c>
      <c r="C162" s="1301" cm="1">
        <f t="array" ref="C162">SUMPRODUCT((CHALLAN!$B$1:$B$16504=A162)*IF(B162="",--(CHALLAN!$C$1:$C$16504=""),--(CHALLAN!$C$1:$C$16504=B162))*IFERROR(CHALLAN!$D$1:$D$16504*CHALLAN!$E$1:$E$16504,0))</f>
        <v>16</v>
      </c>
      <c r="D162" cm="1">
        <f t="array" ref="D162">SUMPRODUCT(('Pivot Data'!$D$2:$D$1912=$A162)*IF($B162="",--('Pivot Data'!$E$2:$E$1912=""),--('Pivot Data'!$E$2:$E$1912=$B162))*('Pivot Data'!$I$2:$I$1912="Cancelled")*'Pivot Data'!$H$2:$H$1912)</f>
        <v>0</v>
      </c>
      <c r="E162" s="1301">
        <f t="shared" si="2"/>
        <v>16</v>
      </c>
    </row>
    <row r="163" spans="1:5" hidden="1" x14ac:dyDescent="0.25">
      <c r="A163" t="s">
        <v>1260</v>
      </c>
      <c r="B163" t="s">
        <v>424</v>
      </c>
      <c r="C163" s="1301" cm="1">
        <f t="array" ref="C163">SUMPRODUCT((CHALLAN!$B$1:$B$16504=A163)*IF(B163="",--(CHALLAN!$C$1:$C$16504=""),--(CHALLAN!$C$1:$C$16504=B163))*IFERROR(CHALLAN!$D$1:$D$16504*CHALLAN!$E$1:$E$16504,0))</f>
        <v>100</v>
      </c>
      <c r="D163" cm="1">
        <f t="array" ref="D163">SUMPRODUCT(('Pivot Data'!$D$2:$D$1912=$A163)*IF($B163="",--('Pivot Data'!$E$2:$E$1912=""),--('Pivot Data'!$E$2:$E$1912=$B163))*('Pivot Data'!$I$2:$I$1912="Cancelled")*'Pivot Data'!$H$2:$H$1912)</f>
        <v>0</v>
      </c>
      <c r="E163" s="1301">
        <f t="shared" si="2"/>
        <v>100</v>
      </c>
    </row>
    <row r="164" spans="1:5" hidden="1" x14ac:dyDescent="0.25">
      <c r="A164" t="s">
        <v>921</v>
      </c>
      <c r="B164" t="s">
        <v>109</v>
      </c>
      <c r="C164" s="1301" cm="1">
        <f t="array" ref="C164">SUMPRODUCT((CHALLAN!$B$1:$B$16504=A164)*IF(B164="",--(CHALLAN!$C$1:$C$16504=""),--(CHALLAN!$C$1:$C$16504=B164))*IFERROR(CHALLAN!$D$1:$D$16504*CHALLAN!$E$1:$E$16504,0))</f>
        <v>250</v>
      </c>
      <c r="D164" cm="1">
        <f t="array" ref="D164">SUMPRODUCT(('Pivot Data'!$D$2:$D$1912=$A164)*IF($B164="",--('Pivot Data'!$E$2:$E$1912=""),--('Pivot Data'!$E$2:$E$1912=$B164))*('Pivot Data'!$I$2:$I$1912="Cancelled")*'Pivot Data'!$H$2:$H$1912)</f>
        <v>0</v>
      </c>
      <c r="E164" s="1301">
        <f t="shared" si="2"/>
        <v>250</v>
      </c>
    </row>
    <row r="165" spans="1:5" hidden="1" x14ac:dyDescent="0.25">
      <c r="A165" t="s">
        <v>921</v>
      </c>
      <c r="B165" t="s">
        <v>435</v>
      </c>
      <c r="C165" s="1301" cm="1">
        <f t="array" ref="C165">SUMPRODUCT((CHALLAN!$B$1:$B$16504=A165)*IF(B165="",--(CHALLAN!$C$1:$C$16504=""),--(CHALLAN!$C$1:$C$16504=B165))*IFERROR(CHALLAN!$D$1:$D$16504*CHALLAN!$E$1:$E$16504,0))</f>
        <v>25</v>
      </c>
      <c r="D165" cm="1">
        <f t="array" ref="D165">SUMPRODUCT(('Pivot Data'!$D$2:$D$1912=$A165)*IF($B165="",--('Pivot Data'!$E$2:$E$1912=""),--('Pivot Data'!$E$2:$E$1912=$B165))*('Pivot Data'!$I$2:$I$1912="Cancelled")*'Pivot Data'!$H$2:$H$1912)</f>
        <v>0</v>
      </c>
      <c r="E165" s="1301">
        <f t="shared" si="2"/>
        <v>25</v>
      </c>
    </row>
    <row r="166" spans="1:5" hidden="1" x14ac:dyDescent="0.25">
      <c r="A166" t="s">
        <v>1169</v>
      </c>
      <c r="B166" t="s">
        <v>25</v>
      </c>
      <c r="C166" s="1301" cm="1">
        <f t="array" ref="C166">SUMPRODUCT((CHALLAN!$B$1:$B$16504=A166)*IF(B166="",--(CHALLAN!$C$1:$C$16504=""),--(CHALLAN!$C$1:$C$16504=B166))*IFERROR(CHALLAN!$D$1:$D$16504*CHALLAN!$E$1:$E$16504,0))</f>
        <v>10</v>
      </c>
      <c r="D166" cm="1">
        <f t="array" ref="D166">SUMPRODUCT(('Pivot Data'!$D$2:$D$1912=$A166)*IF($B166="",--('Pivot Data'!$E$2:$E$1912=""),--('Pivot Data'!$E$2:$E$1912=$B166))*('Pivot Data'!$I$2:$I$1912="Cancelled")*'Pivot Data'!$H$2:$H$1912)</f>
        <v>0</v>
      </c>
      <c r="E166" s="1301">
        <f t="shared" si="2"/>
        <v>10</v>
      </c>
    </row>
    <row r="167" spans="1:5" hidden="1" x14ac:dyDescent="0.25">
      <c r="A167" t="s">
        <v>1371</v>
      </c>
      <c r="B167" t="s">
        <v>432</v>
      </c>
      <c r="C167" s="1301" cm="1">
        <f t="array" ref="C167">SUMPRODUCT((CHALLAN!$B$1:$B$16504=A167)*IF(B167="",--(CHALLAN!$C$1:$C$16504=""),--(CHALLAN!$C$1:$C$16504=B167))*IFERROR(CHALLAN!$D$1:$D$16504*CHALLAN!$E$1:$E$16504,0))</f>
        <v>50</v>
      </c>
      <c r="D167" cm="1">
        <f t="array" ref="D167">SUMPRODUCT(('Pivot Data'!$D$2:$D$1912=$A167)*IF($B167="",--('Pivot Data'!$E$2:$E$1912=""),--('Pivot Data'!$E$2:$E$1912=$B167))*('Pivot Data'!$I$2:$I$1912="Cancelled")*'Pivot Data'!$H$2:$H$1912)</f>
        <v>0</v>
      </c>
      <c r="E167" s="1301">
        <f t="shared" si="2"/>
        <v>50</v>
      </c>
    </row>
    <row r="168" spans="1:5" hidden="1" x14ac:dyDescent="0.25">
      <c r="A168" t="s">
        <v>1013</v>
      </c>
      <c r="B168" t="s">
        <v>383</v>
      </c>
      <c r="C168" s="1301" cm="1">
        <f t="array" ref="C168">SUMPRODUCT((CHALLAN!$B$1:$B$16504=A168)*IF(B168="",--(CHALLAN!$C$1:$C$16504=""),--(CHALLAN!$C$1:$C$16504=B168))*IFERROR(CHALLAN!$D$1:$D$16504*CHALLAN!$E$1:$E$16504,0))</f>
        <v>50</v>
      </c>
      <c r="D168" cm="1">
        <f t="array" ref="D168">SUMPRODUCT(('Pivot Data'!$D$2:$D$1912=$A168)*IF($B168="",--('Pivot Data'!$E$2:$E$1912=""),--('Pivot Data'!$E$2:$E$1912=$B168))*('Pivot Data'!$I$2:$I$1912="Cancelled")*'Pivot Data'!$H$2:$H$1912)</f>
        <v>0</v>
      </c>
      <c r="E168" s="1301">
        <f t="shared" si="2"/>
        <v>50</v>
      </c>
    </row>
    <row r="169" spans="1:5" hidden="1" x14ac:dyDescent="0.25">
      <c r="A169" t="s">
        <v>1293</v>
      </c>
      <c r="C169" s="1301" cm="1">
        <f t="array" ref="C169">SUMPRODUCT((CHALLAN!$B$1:$B$16504=A169)*IF(B169="",--(CHALLAN!$C$1:$C$16504=""),--(CHALLAN!$C$1:$C$16504=B169))*IFERROR(CHALLAN!$D$1:$D$16504*CHALLAN!$E$1:$E$16504,0))</f>
        <v>1200</v>
      </c>
      <c r="D169" cm="1">
        <f t="array" ref="D169">SUMPRODUCT(('Pivot Data'!$D$2:$D$1912=$A169)*IF($B169="",--('Pivot Data'!$E$2:$E$1912=""),--('Pivot Data'!$E$2:$E$1912=$B169))*('Pivot Data'!$I$2:$I$1912="Cancelled")*'Pivot Data'!$H$2:$H$1912)</f>
        <v>0</v>
      </c>
      <c r="E169" s="1301">
        <f t="shared" si="2"/>
        <v>1200</v>
      </c>
    </row>
    <row r="170" spans="1:5" hidden="1" x14ac:dyDescent="0.25">
      <c r="A170" t="s">
        <v>1190</v>
      </c>
      <c r="B170" t="s">
        <v>449</v>
      </c>
      <c r="C170" s="1301" cm="1">
        <f t="array" ref="C170">SUMPRODUCT((CHALLAN!$B$1:$B$16504=A170)*IF(B170="",--(CHALLAN!$C$1:$C$16504=""),--(CHALLAN!$C$1:$C$16504=B170))*IFERROR(CHALLAN!$D$1:$D$16504*CHALLAN!$E$1:$E$16504,0))</f>
        <v>0</v>
      </c>
      <c r="D170" cm="1">
        <f t="array" ref="D170">SUMPRODUCT(('Pivot Data'!$D$2:$D$1912=$A170)*IF($B170="",--('Pivot Data'!$E$2:$E$1912=""),--('Pivot Data'!$E$2:$E$1912=$B170))*('Pivot Data'!$I$2:$I$1912="Cancelled")*'Pivot Data'!$H$2:$H$1912)</f>
        <v>0</v>
      </c>
      <c r="E170" s="1301">
        <f t="shared" si="2"/>
        <v>0</v>
      </c>
    </row>
    <row r="171" spans="1:5" hidden="1" x14ac:dyDescent="0.25">
      <c r="A171" t="s">
        <v>1168</v>
      </c>
      <c r="B171" t="s">
        <v>36</v>
      </c>
      <c r="C171" s="1301" cm="1">
        <f t="array" ref="C171">SUMPRODUCT((CHALLAN!$B$1:$B$16504=A171)*IF(B171="",--(CHALLAN!$C$1:$C$16504=""),--(CHALLAN!$C$1:$C$16504=B171))*IFERROR(CHALLAN!$D$1:$D$16504*CHALLAN!$E$1:$E$16504,0))</f>
        <v>15</v>
      </c>
      <c r="D171" cm="1">
        <f t="array" ref="D171">SUMPRODUCT(('Pivot Data'!$D$2:$D$1912=$A171)*IF($B171="",--('Pivot Data'!$E$2:$E$1912=""),--('Pivot Data'!$E$2:$E$1912=$B171))*('Pivot Data'!$I$2:$I$1912="Cancelled")*'Pivot Data'!$H$2:$H$1912)</f>
        <v>0</v>
      </c>
      <c r="E171" s="1301">
        <f t="shared" si="2"/>
        <v>15</v>
      </c>
    </row>
    <row r="172" spans="1:5" hidden="1" x14ac:dyDescent="0.25">
      <c r="A172" t="s">
        <v>1081</v>
      </c>
      <c r="B172" t="s">
        <v>375</v>
      </c>
      <c r="C172" s="1301" cm="1">
        <f t="array" ref="C172">SUMPRODUCT((CHALLAN!$B$1:$B$16504=A172)*IF(B172="",--(CHALLAN!$C$1:$C$16504=""),--(CHALLAN!$C$1:$C$16504=B172))*IFERROR(CHALLAN!$D$1:$D$16504*CHALLAN!$E$1:$E$16504,0))</f>
        <v>12</v>
      </c>
      <c r="D172" cm="1">
        <f t="array" ref="D172">SUMPRODUCT(('Pivot Data'!$D$2:$D$1912=$A172)*IF($B172="",--('Pivot Data'!$E$2:$E$1912=""),--('Pivot Data'!$E$2:$E$1912=$B172))*('Pivot Data'!$I$2:$I$1912="Cancelled")*'Pivot Data'!$H$2:$H$1912)</f>
        <v>0</v>
      </c>
      <c r="E172" s="1301">
        <f t="shared" si="2"/>
        <v>12</v>
      </c>
    </row>
    <row r="173" spans="1:5" hidden="1" x14ac:dyDescent="0.25">
      <c r="A173" t="s">
        <v>1192</v>
      </c>
      <c r="B173" t="s">
        <v>451</v>
      </c>
      <c r="C173" s="1301" cm="1">
        <f t="array" ref="C173">SUMPRODUCT((CHALLAN!$B$1:$B$16504=A173)*IF(B173="",--(CHALLAN!$C$1:$C$16504=""),--(CHALLAN!$C$1:$C$16504=B173))*IFERROR(CHALLAN!$D$1:$D$16504*CHALLAN!$E$1:$E$16504,0))</f>
        <v>0</v>
      </c>
      <c r="D173" cm="1">
        <f t="array" ref="D173">SUMPRODUCT(('Pivot Data'!$D$2:$D$1912=$A173)*IF($B173="",--('Pivot Data'!$E$2:$E$1912=""),--('Pivot Data'!$E$2:$E$1912=$B173))*('Pivot Data'!$I$2:$I$1912="Cancelled")*'Pivot Data'!$H$2:$H$1912)</f>
        <v>0</v>
      </c>
      <c r="E173" s="1301">
        <f t="shared" si="2"/>
        <v>0</v>
      </c>
    </row>
    <row r="174" spans="1:5" hidden="1" x14ac:dyDescent="0.25">
      <c r="A174" t="s">
        <v>1091</v>
      </c>
      <c r="B174" t="s">
        <v>84</v>
      </c>
      <c r="C174" s="1301" cm="1">
        <f t="array" ref="C174">SUMPRODUCT((CHALLAN!$B$1:$B$16504=A174)*IF(B174="",--(CHALLAN!$C$1:$C$16504=""),--(CHALLAN!$C$1:$C$16504=B174))*IFERROR(CHALLAN!$D$1:$D$16504*CHALLAN!$E$1:$E$16504,0))</f>
        <v>20</v>
      </c>
      <c r="D174" cm="1">
        <f t="array" ref="D174">SUMPRODUCT(('Pivot Data'!$D$2:$D$1912=$A174)*IF($B174="",--('Pivot Data'!$E$2:$E$1912=""),--('Pivot Data'!$E$2:$E$1912=$B174))*('Pivot Data'!$I$2:$I$1912="Cancelled")*'Pivot Data'!$H$2:$H$1912)</f>
        <v>0</v>
      </c>
      <c r="E174" s="1301">
        <f t="shared" si="2"/>
        <v>20</v>
      </c>
    </row>
    <row r="175" spans="1:5" hidden="1" x14ac:dyDescent="0.25">
      <c r="A175" t="s">
        <v>564</v>
      </c>
      <c r="B175" t="s">
        <v>440</v>
      </c>
      <c r="C175" s="1301" cm="1">
        <f t="array" ref="C175">SUMPRODUCT((CHALLAN!$B$1:$B$16504=A175)*IF(B175="",--(CHALLAN!$C$1:$C$16504=""),--(CHALLAN!$C$1:$C$16504=B175))*IFERROR(CHALLAN!$D$1:$D$16504*CHALLAN!$E$1:$E$16504,0))</f>
        <v>25</v>
      </c>
      <c r="D175" cm="1">
        <f t="array" ref="D175">SUMPRODUCT(('Pivot Data'!$D$2:$D$1912=$A175)*IF($B175="",--('Pivot Data'!$E$2:$E$1912=""),--('Pivot Data'!$E$2:$E$1912=$B175))*('Pivot Data'!$I$2:$I$1912="Cancelled")*'Pivot Data'!$H$2:$H$1912)</f>
        <v>0</v>
      </c>
      <c r="E175" s="1301">
        <f t="shared" si="2"/>
        <v>25</v>
      </c>
    </row>
    <row r="176" spans="1:5" hidden="1" x14ac:dyDescent="0.25">
      <c r="A176" t="s">
        <v>1289</v>
      </c>
      <c r="B176" t="s">
        <v>419</v>
      </c>
      <c r="C176" s="1301" cm="1">
        <f t="array" ref="C176">SUMPRODUCT((CHALLAN!$B$1:$B$16504=A176)*IF(B176="",--(CHALLAN!$C$1:$C$16504=""),--(CHALLAN!$C$1:$C$16504=B176))*IFERROR(CHALLAN!$D$1:$D$16504*CHALLAN!$E$1:$E$16504,0))</f>
        <v>2400</v>
      </c>
      <c r="D176" cm="1">
        <f t="array" ref="D176">SUMPRODUCT(('Pivot Data'!$D$2:$D$1912=$A176)*IF($B176="",--('Pivot Data'!$E$2:$E$1912=""),--('Pivot Data'!$E$2:$E$1912=$B176))*('Pivot Data'!$I$2:$I$1912="Cancelled")*'Pivot Data'!$H$2:$H$1912)</f>
        <v>0</v>
      </c>
      <c r="E176" s="1301">
        <f t="shared" si="2"/>
        <v>2400</v>
      </c>
    </row>
    <row r="177" spans="1:5" hidden="1" x14ac:dyDescent="0.25">
      <c r="A177" t="s">
        <v>1121</v>
      </c>
      <c r="B177" t="s">
        <v>383</v>
      </c>
      <c r="C177" s="1301" cm="1">
        <f t="array" ref="C177">SUMPRODUCT((CHALLAN!$B$1:$B$16504=A177)*IF(B177="",--(CHALLAN!$C$1:$C$16504=""),--(CHALLAN!$C$1:$C$16504=B177))*IFERROR(CHALLAN!$D$1:$D$16504*CHALLAN!$E$1:$E$16504,0))</f>
        <v>25</v>
      </c>
      <c r="D177" cm="1">
        <f t="array" ref="D177">SUMPRODUCT(('Pivot Data'!$D$2:$D$1912=$A177)*IF($B177="",--('Pivot Data'!$E$2:$E$1912=""),--('Pivot Data'!$E$2:$E$1912=$B177))*('Pivot Data'!$I$2:$I$1912="Cancelled")*'Pivot Data'!$H$2:$H$1912)</f>
        <v>0</v>
      </c>
      <c r="E177" s="1301">
        <f t="shared" si="2"/>
        <v>25</v>
      </c>
    </row>
    <row r="178" spans="1:5" hidden="1" x14ac:dyDescent="0.25">
      <c r="A178" t="s">
        <v>1212</v>
      </c>
      <c r="B178" t="s">
        <v>109</v>
      </c>
      <c r="C178" s="1301" cm="1">
        <f t="array" ref="C178">SUMPRODUCT((CHALLAN!$B$1:$B$16504=A178)*IF(B178="",--(CHALLAN!$C$1:$C$16504=""),--(CHALLAN!$C$1:$C$16504=B178))*IFERROR(CHALLAN!$D$1:$D$16504*CHALLAN!$E$1:$E$16504,0))</f>
        <v>1600</v>
      </c>
      <c r="D178" cm="1">
        <f t="array" ref="D178">SUMPRODUCT(('Pivot Data'!$D$2:$D$1912=$A178)*IF($B178="",--('Pivot Data'!$E$2:$E$1912=""),--('Pivot Data'!$E$2:$E$1912=$B178))*('Pivot Data'!$I$2:$I$1912="Cancelled")*'Pivot Data'!$H$2:$H$1912)</f>
        <v>0</v>
      </c>
      <c r="E178" s="1301">
        <f t="shared" si="2"/>
        <v>1600</v>
      </c>
    </row>
    <row r="179" spans="1:5" hidden="1" x14ac:dyDescent="0.25">
      <c r="A179" t="s">
        <v>1189</v>
      </c>
      <c r="B179" t="s">
        <v>450</v>
      </c>
      <c r="C179" s="1301" cm="1">
        <f t="array" ref="C179">SUMPRODUCT((CHALLAN!$B$1:$B$16504=A179)*IF(B179="",--(CHALLAN!$C$1:$C$16504=""),--(CHALLAN!$C$1:$C$16504=B179))*IFERROR(CHALLAN!$D$1:$D$16504*CHALLAN!$E$1:$E$16504,0))</f>
        <v>0</v>
      </c>
      <c r="D179" cm="1">
        <f t="array" ref="D179">SUMPRODUCT(('Pivot Data'!$D$2:$D$1912=$A179)*IF($B179="",--('Pivot Data'!$E$2:$E$1912=""),--('Pivot Data'!$E$2:$E$1912=$B179))*('Pivot Data'!$I$2:$I$1912="Cancelled")*'Pivot Data'!$H$2:$H$1912)</f>
        <v>0</v>
      </c>
      <c r="E179" s="1301">
        <f t="shared" si="2"/>
        <v>0</v>
      </c>
    </row>
    <row r="180" spans="1:5" hidden="1" x14ac:dyDescent="0.25">
      <c r="A180" t="s">
        <v>694</v>
      </c>
      <c r="C180" s="1301" cm="1">
        <f t="array" ref="C180">SUMPRODUCT((CHALLAN!$B$1:$B$16504=A180)*IF(B180="",--(CHALLAN!$C$1:$C$16504=""),--(CHALLAN!$C$1:$C$16504=B180))*IFERROR(CHALLAN!$D$1:$D$16504*CHALLAN!$E$1:$E$16504,0))</f>
        <v>48</v>
      </c>
      <c r="D180" cm="1">
        <f t="array" ref="D180">SUMPRODUCT(('Pivot Data'!$D$2:$D$1912=$A180)*IF($B180="",--('Pivot Data'!$E$2:$E$1912=""),--('Pivot Data'!$E$2:$E$1912=$B180))*('Pivot Data'!$I$2:$I$1912="Cancelled")*'Pivot Data'!$H$2:$H$1912)</f>
        <v>0</v>
      </c>
      <c r="E180" s="1301">
        <f t="shared" si="2"/>
        <v>48</v>
      </c>
    </row>
    <row r="181" spans="1:5" hidden="1" x14ac:dyDescent="0.25">
      <c r="A181" t="s">
        <v>694</v>
      </c>
      <c r="B181" t="s">
        <v>704</v>
      </c>
      <c r="C181" s="1301" cm="1">
        <f t="array" ref="C181">SUMPRODUCT((CHALLAN!$B$1:$B$16504=A181)*IF(B181="",--(CHALLAN!$C$1:$C$16504=""),--(CHALLAN!$C$1:$C$16504=B181))*IFERROR(CHALLAN!$D$1:$D$16504*CHALLAN!$E$1:$E$16504,0))</f>
        <v>8</v>
      </c>
      <c r="D181" cm="1">
        <f t="array" ref="D181">SUMPRODUCT(('Pivot Data'!$D$2:$D$1912=$A181)*IF($B181="",--('Pivot Data'!$E$2:$E$1912=""),--('Pivot Data'!$E$2:$E$1912=$B181))*('Pivot Data'!$I$2:$I$1912="Cancelled")*'Pivot Data'!$H$2:$H$1912)</f>
        <v>0</v>
      </c>
      <c r="E181" s="1301">
        <f t="shared" si="2"/>
        <v>8</v>
      </c>
    </row>
    <row r="182" spans="1:5" hidden="1" x14ac:dyDescent="0.25">
      <c r="A182" t="s">
        <v>1772</v>
      </c>
      <c r="B182" t="s">
        <v>435</v>
      </c>
      <c r="C182" s="1301" cm="1">
        <f t="array" ref="C182">SUMPRODUCT((CHALLAN!$B$1:$B$16504=A182)*IF(B182="",--(CHALLAN!$C$1:$C$16504=""),--(CHALLAN!$C$1:$C$16504=B182))*IFERROR(CHALLAN!$D$1:$D$16504*CHALLAN!$E$1:$E$16504,0))</f>
        <v>150</v>
      </c>
      <c r="D182" cm="1">
        <f t="array" ref="D182">SUMPRODUCT(('Pivot Data'!$D$2:$D$1912=$A182)*IF($B182="",--('Pivot Data'!$E$2:$E$1912=""),--('Pivot Data'!$E$2:$E$1912=$B182))*('Pivot Data'!$I$2:$I$1912="Cancelled")*'Pivot Data'!$H$2:$H$1912)</f>
        <v>0</v>
      </c>
      <c r="E182" s="1301">
        <f t="shared" si="2"/>
        <v>150</v>
      </c>
    </row>
    <row r="183" spans="1:5" hidden="1" x14ac:dyDescent="0.25">
      <c r="A183" t="s">
        <v>144</v>
      </c>
      <c r="C183" s="1301" cm="1">
        <f t="array" ref="C183">SUMPRODUCT((CHALLAN!$B$1:$B$16504=A183)*IF(B183="",--(CHALLAN!$C$1:$C$16504=""),--(CHALLAN!$C$1:$C$16504=B183))*IFERROR(CHALLAN!$D$1:$D$16504*CHALLAN!$E$1:$E$16504,0))</f>
        <v>10</v>
      </c>
      <c r="D183" cm="1">
        <f t="array" ref="D183">SUMPRODUCT(('Pivot Data'!$D$2:$D$1912=$A183)*IF($B183="",--('Pivot Data'!$E$2:$E$1912=""),--('Pivot Data'!$E$2:$E$1912=$B183))*('Pivot Data'!$I$2:$I$1912="Cancelled")*'Pivot Data'!$H$2:$H$1912)</f>
        <v>0</v>
      </c>
      <c r="E183" s="1301">
        <f t="shared" si="2"/>
        <v>10</v>
      </c>
    </row>
    <row r="184" spans="1:5" hidden="1" x14ac:dyDescent="0.25">
      <c r="A184" t="s">
        <v>144</v>
      </c>
      <c r="B184" t="s">
        <v>435</v>
      </c>
      <c r="C184" s="1301" cm="1">
        <f t="array" ref="C184">SUMPRODUCT((CHALLAN!$B$1:$B$16504=A184)*IF(B184="",--(CHALLAN!$C$1:$C$16504=""),--(CHALLAN!$C$1:$C$16504=B184))*IFERROR(CHALLAN!$D$1:$D$16504*CHALLAN!$E$1:$E$16504,0))</f>
        <v>200</v>
      </c>
      <c r="D184" cm="1">
        <f t="array" ref="D184">SUMPRODUCT(('Pivot Data'!$D$2:$D$1912=$A184)*IF($B184="",--('Pivot Data'!$E$2:$E$1912=""),--('Pivot Data'!$E$2:$E$1912=$B184))*('Pivot Data'!$I$2:$I$1912="Cancelled")*'Pivot Data'!$H$2:$H$1912)</f>
        <v>0</v>
      </c>
      <c r="E184" s="1301">
        <f t="shared" si="2"/>
        <v>200</v>
      </c>
    </row>
    <row r="185" spans="1:5" hidden="1" x14ac:dyDescent="0.25">
      <c r="A185" t="s">
        <v>144</v>
      </c>
      <c r="B185" t="s">
        <v>340</v>
      </c>
      <c r="C185" s="1301" cm="1">
        <f t="array" ref="C185">SUMPRODUCT((CHALLAN!$B$1:$B$16504=A185)*IF(B185="",--(CHALLAN!$C$1:$C$16504=""),--(CHALLAN!$C$1:$C$16504=B185))*IFERROR(CHALLAN!$D$1:$D$16504*CHALLAN!$E$1:$E$16504,0))</f>
        <v>85</v>
      </c>
      <c r="D185" cm="1">
        <f t="array" ref="D185">SUMPRODUCT(('Pivot Data'!$D$2:$D$1912=$A185)*IF($B185="",--('Pivot Data'!$E$2:$E$1912=""),--('Pivot Data'!$E$2:$E$1912=$B185))*('Pivot Data'!$I$2:$I$1912="Cancelled")*'Pivot Data'!$H$2:$H$1912)</f>
        <v>0</v>
      </c>
      <c r="E185" s="1301">
        <f t="shared" si="2"/>
        <v>85</v>
      </c>
    </row>
    <row r="186" spans="1:5" hidden="1" x14ac:dyDescent="0.25">
      <c r="A186" t="s">
        <v>1348</v>
      </c>
      <c r="B186" t="s">
        <v>340</v>
      </c>
      <c r="C186" s="1301" cm="1">
        <f t="array" ref="C186">SUMPRODUCT((CHALLAN!$B$1:$B$16504=A186)*IF(B186="",--(CHALLAN!$C$1:$C$16504=""),--(CHALLAN!$C$1:$C$16504=B186))*IFERROR(CHALLAN!$D$1:$D$16504*CHALLAN!$E$1:$E$16504,0))</f>
        <v>40</v>
      </c>
      <c r="D186" cm="1">
        <f t="array" ref="D186">SUMPRODUCT(('Pivot Data'!$D$2:$D$1912=$A186)*IF($B186="",--('Pivot Data'!$E$2:$E$1912=""),--('Pivot Data'!$E$2:$E$1912=$B186))*('Pivot Data'!$I$2:$I$1912="Cancelled")*'Pivot Data'!$H$2:$H$1912)</f>
        <v>0</v>
      </c>
      <c r="E186" s="1301">
        <f t="shared" si="2"/>
        <v>40</v>
      </c>
    </row>
    <row r="187" spans="1:5" hidden="1" x14ac:dyDescent="0.25">
      <c r="A187" t="s">
        <v>2068</v>
      </c>
      <c r="B187" t="s">
        <v>340</v>
      </c>
      <c r="C187" s="1301" cm="1">
        <f t="array" ref="C187">SUMPRODUCT((CHALLAN!$B$1:$B$16504=A187)*IF(B187="",--(CHALLAN!$C$1:$C$16504=""),--(CHALLAN!$C$1:$C$16504=B187))*IFERROR(CHALLAN!$D$1:$D$16504*CHALLAN!$E$1:$E$16504,0))</f>
        <v>25</v>
      </c>
      <c r="D187" cm="1">
        <f t="array" ref="D187">SUMPRODUCT(('Pivot Data'!$D$2:$D$1912=$A187)*IF($B187="",--('Pivot Data'!$E$2:$E$1912=""),--('Pivot Data'!$E$2:$E$1912=$B187))*('Pivot Data'!$I$2:$I$1912="Cancelled")*'Pivot Data'!$H$2:$H$1912)</f>
        <v>0</v>
      </c>
      <c r="E187" s="1301">
        <f t="shared" si="2"/>
        <v>25</v>
      </c>
    </row>
    <row r="188" spans="1:5" hidden="1" x14ac:dyDescent="0.25">
      <c r="A188" t="s">
        <v>2050</v>
      </c>
      <c r="B188" t="s">
        <v>340</v>
      </c>
      <c r="C188" s="1301" cm="1">
        <f t="array" ref="C188">SUMPRODUCT((CHALLAN!$B$1:$B$16504=A188)*IF(B188="",--(CHALLAN!$C$1:$C$16504=""),--(CHALLAN!$C$1:$C$16504=B188))*IFERROR(CHALLAN!$D$1:$D$16504*CHALLAN!$E$1:$E$16504,0))</f>
        <v>20</v>
      </c>
      <c r="D188" cm="1">
        <f t="array" ref="D188">SUMPRODUCT(('Pivot Data'!$D$2:$D$1912=$A188)*IF($B188="",--('Pivot Data'!$E$2:$E$1912=""),--('Pivot Data'!$E$2:$E$1912=$B188))*('Pivot Data'!$I$2:$I$1912="Cancelled")*'Pivot Data'!$H$2:$H$1912)</f>
        <v>0</v>
      </c>
      <c r="E188" s="1301">
        <f t="shared" si="2"/>
        <v>20</v>
      </c>
    </row>
    <row r="189" spans="1:5" hidden="1" x14ac:dyDescent="0.25">
      <c r="A189" t="s">
        <v>2176</v>
      </c>
      <c r="B189" t="s">
        <v>451</v>
      </c>
      <c r="C189" s="1301" cm="1">
        <f t="array" ref="C189">SUMPRODUCT((CHALLAN!$B$1:$B$16504=A189)*IF(B189="",--(CHALLAN!$C$1:$C$16504=""),--(CHALLAN!$C$1:$C$16504=B189))*IFERROR(CHALLAN!$D$1:$D$16504*CHALLAN!$E$1:$E$16504,0))</f>
        <v>0</v>
      </c>
      <c r="D189" cm="1">
        <f t="array" ref="D189">SUMPRODUCT(('Pivot Data'!$D$2:$D$1912=$A189)*IF($B189="",--('Pivot Data'!$E$2:$E$1912=""),--('Pivot Data'!$E$2:$E$1912=$B189))*('Pivot Data'!$I$2:$I$1912="Cancelled")*'Pivot Data'!$H$2:$H$1912)</f>
        <v>0</v>
      </c>
      <c r="E189" s="1301">
        <f t="shared" si="2"/>
        <v>0</v>
      </c>
    </row>
    <row r="190" spans="1:5" hidden="1" x14ac:dyDescent="0.25">
      <c r="A190" t="s">
        <v>1404</v>
      </c>
      <c r="C190" s="1301" cm="1">
        <f t="array" ref="C190">SUMPRODUCT((CHALLAN!$B$1:$B$16504=A190)*IF(B190="",--(CHALLAN!$C$1:$C$16504=""),--(CHALLAN!$C$1:$C$16504=B190))*IFERROR(CHALLAN!$D$1:$D$16504*CHALLAN!$E$1:$E$16504,0))</f>
        <v>200</v>
      </c>
      <c r="D190" cm="1">
        <f t="array" ref="D190">SUMPRODUCT(('Pivot Data'!$D$2:$D$1912=$A190)*IF($B190="",--('Pivot Data'!$E$2:$E$1912=""),--('Pivot Data'!$E$2:$E$1912=$B190))*('Pivot Data'!$I$2:$I$1912="Cancelled")*'Pivot Data'!$H$2:$H$1912)</f>
        <v>0</v>
      </c>
      <c r="E190" s="1301">
        <f t="shared" si="2"/>
        <v>200</v>
      </c>
    </row>
    <row r="191" spans="1:5" hidden="1" x14ac:dyDescent="0.25">
      <c r="A191" t="s">
        <v>2287</v>
      </c>
      <c r="C191" s="1301" cm="1">
        <f t="array" ref="C191">SUMPRODUCT((CHALLAN!$B$1:$B$16504=A191)*IF(B191="",--(CHALLAN!$C$1:$C$16504=""),--(CHALLAN!$C$1:$C$16504=B191))*IFERROR(CHALLAN!$D$1:$D$16504*CHALLAN!$E$1:$E$16504,0))</f>
        <v>200</v>
      </c>
      <c r="D191" cm="1">
        <f t="array" ref="D191">SUMPRODUCT(('Pivot Data'!$D$2:$D$1912=$A191)*IF($B191="",--('Pivot Data'!$E$2:$E$1912=""),--('Pivot Data'!$E$2:$E$1912=$B191))*('Pivot Data'!$I$2:$I$1912="Cancelled")*'Pivot Data'!$H$2:$H$1912)</f>
        <v>0</v>
      </c>
      <c r="E191" s="1301">
        <f t="shared" si="2"/>
        <v>200</v>
      </c>
    </row>
    <row r="192" spans="1:5" hidden="1" x14ac:dyDescent="0.25">
      <c r="A192" t="s">
        <v>1999</v>
      </c>
      <c r="C192" s="1301" cm="1">
        <f t="array" ref="C192">SUMPRODUCT((CHALLAN!$B$1:$B$16504=A192)*IF(B192="",--(CHALLAN!$C$1:$C$16504=""),--(CHALLAN!$C$1:$C$16504=B192))*IFERROR(CHALLAN!$D$1:$D$16504*CHALLAN!$E$1:$E$16504,0))</f>
        <v>110</v>
      </c>
      <c r="D192" cm="1">
        <f t="array" ref="D192">SUMPRODUCT(('Pivot Data'!$D$2:$D$1912=$A192)*IF($B192="",--('Pivot Data'!$E$2:$E$1912=""),--('Pivot Data'!$E$2:$E$1912=$B192))*('Pivot Data'!$I$2:$I$1912="Cancelled")*'Pivot Data'!$H$2:$H$1912)</f>
        <v>0</v>
      </c>
      <c r="E192" s="1301">
        <f t="shared" si="2"/>
        <v>110</v>
      </c>
    </row>
    <row r="193" spans="1:5" hidden="1" x14ac:dyDescent="0.25">
      <c r="A193" t="s">
        <v>190</v>
      </c>
      <c r="C193" s="1301" cm="1">
        <f t="array" ref="C193">SUMPRODUCT((CHALLAN!$B$1:$B$16504=A193)*IF(B193="",--(CHALLAN!$C$1:$C$16504=""),--(CHALLAN!$C$1:$C$16504=B193))*IFERROR(CHALLAN!$D$1:$D$16504*CHALLAN!$E$1:$E$16504,0))</f>
        <v>1</v>
      </c>
      <c r="D193" cm="1">
        <f t="array" ref="D193">SUMPRODUCT(('Pivot Data'!$D$2:$D$1912=$A193)*IF($B193="",--('Pivot Data'!$E$2:$E$1912=""),--('Pivot Data'!$E$2:$E$1912=$B193))*('Pivot Data'!$I$2:$I$1912="Cancelled")*'Pivot Data'!$H$2:$H$1912)</f>
        <v>0</v>
      </c>
      <c r="E193" s="1301">
        <f t="shared" si="2"/>
        <v>1</v>
      </c>
    </row>
    <row r="194" spans="1:5" hidden="1" x14ac:dyDescent="0.25">
      <c r="A194" t="s">
        <v>190</v>
      </c>
      <c r="B194" t="s">
        <v>423</v>
      </c>
      <c r="C194" s="1301" cm="1">
        <f t="array" ref="C194">SUMPRODUCT((CHALLAN!$B$1:$B$16504=A194)*IF(B194="",--(CHALLAN!$C$1:$C$16504=""),--(CHALLAN!$C$1:$C$16504=B194))*IFERROR(CHALLAN!$D$1:$D$16504*CHALLAN!$E$1:$E$16504,0))</f>
        <v>50</v>
      </c>
      <c r="D194" cm="1">
        <f t="array" ref="D194">SUMPRODUCT(('Pivot Data'!$D$2:$D$1912=$A194)*IF($B194="",--('Pivot Data'!$E$2:$E$1912=""),--('Pivot Data'!$E$2:$E$1912=$B194))*('Pivot Data'!$I$2:$I$1912="Cancelled")*'Pivot Data'!$H$2:$H$1912)</f>
        <v>0</v>
      </c>
      <c r="E194" s="1301">
        <f t="shared" si="2"/>
        <v>50</v>
      </c>
    </row>
    <row r="195" spans="1:5" hidden="1" x14ac:dyDescent="0.25">
      <c r="A195" t="s">
        <v>191</v>
      </c>
      <c r="B195" t="s">
        <v>362</v>
      </c>
      <c r="C195" s="1301" cm="1">
        <f t="array" ref="C195">SUMPRODUCT((CHALLAN!$B$1:$B$16504=A195)*IF(B195="",--(CHALLAN!$C$1:$C$16504=""),--(CHALLAN!$C$1:$C$16504=B195))*IFERROR(CHALLAN!$D$1:$D$16504*CHALLAN!$E$1:$E$16504,0))</f>
        <v>126</v>
      </c>
      <c r="D195" cm="1">
        <f t="array" ref="D195">SUMPRODUCT(('Pivot Data'!$D$2:$D$1912=$A195)*IF($B195="",--('Pivot Data'!$E$2:$E$1912=""),--('Pivot Data'!$E$2:$E$1912=$B195))*('Pivot Data'!$I$2:$I$1912="Cancelled")*'Pivot Data'!$H$2:$H$1912)</f>
        <v>0</v>
      </c>
      <c r="E195" s="1301">
        <f t="shared" si="2"/>
        <v>126</v>
      </c>
    </row>
    <row r="196" spans="1:5" hidden="1" x14ac:dyDescent="0.25">
      <c r="A196" t="s">
        <v>191</v>
      </c>
      <c r="B196" t="s">
        <v>107</v>
      </c>
      <c r="C196" s="1301" cm="1">
        <f t="array" ref="C196">SUMPRODUCT((CHALLAN!$B$1:$B$16504=A196)*IF(B196="",--(CHALLAN!$C$1:$C$16504=""),--(CHALLAN!$C$1:$C$16504=B196))*IFERROR(CHALLAN!$D$1:$D$16504*CHALLAN!$E$1:$E$16504,0))</f>
        <v>60</v>
      </c>
      <c r="D196" cm="1">
        <f t="array" ref="D196">SUMPRODUCT(('Pivot Data'!$D$2:$D$1912=$A196)*IF($B196="",--('Pivot Data'!$E$2:$E$1912=""),--('Pivot Data'!$E$2:$E$1912=$B196))*('Pivot Data'!$I$2:$I$1912="Cancelled")*'Pivot Data'!$H$2:$H$1912)</f>
        <v>0</v>
      </c>
      <c r="E196" s="1301">
        <f t="shared" si="2"/>
        <v>60</v>
      </c>
    </row>
    <row r="197" spans="1:5" hidden="1" x14ac:dyDescent="0.25">
      <c r="A197" t="s">
        <v>2051</v>
      </c>
      <c r="B197" t="s">
        <v>66</v>
      </c>
      <c r="C197" s="1301" cm="1">
        <f t="array" ref="C197">SUMPRODUCT((CHALLAN!$B$1:$B$16504=A197)*IF(B197="",--(CHALLAN!$C$1:$C$16504=""),--(CHALLAN!$C$1:$C$16504=B197))*IFERROR(CHALLAN!$D$1:$D$16504*CHALLAN!$E$1:$E$16504,0))</f>
        <v>10</v>
      </c>
      <c r="D197" cm="1">
        <f t="array" ref="D197">SUMPRODUCT(('Pivot Data'!$D$2:$D$1912=$A197)*IF($B197="",--('Pivot Data'!$E$2:$E$1912=""),--('Pivot Data'!$E$2:$E$1912=$B197))*('Pivot Data'!$I$2:$I$1912="Cancelled")*'Pivot Data'!$H$2:$H$1912)</f>
        <v>0</v>
      </c>
      <c r="E197" s="1301">
        <f t="shared" ref="E197:E260" si="3">C197-D197</f>
        <v>10</v>
      </c>
    </row>
    <row r="198" spans="1:5" hidden="1" x14ac:dyDescent="0.25">
      <c r="A198" t="s">
        <v>1760</v>
      </c>
      <c r="B198" t="s">
        <v>66</v>
      </c>
      <c r="C198" s="1301" cm="1">
        <f t="array" ref="C198">SUMPRODUCT((CHALLAN!$B$1:$B$16504=A198)*IF(B198="",--(CHALLAN!$C$1:$C$16504=""),--(CHALLAN!$C$1:$C$16504=B198))*IFERROR(CHALLAN!$D$1:$D$16504*CHALLAN!$E$1:$E$16504,0))</f>
        <v>5</v>
      </c>
      <c r="D198" cm="1">
        <f t="array" ref="D198">SUMPRODUCT(('Pivot Data'!$D$2:$D$1912=$A198)*IF($B198="",--('Pivot Data'!$E$2:$E$1912=""),--('Pivot Data'!$E$2:$E$1912=$B198))*('Pivot Data'!$I$2:$I$1912="Cancelled")*'Pivot Data'!$H$2:$H$1912)</f>
        <v>0</v>
      </c>
      <c r="E198" s="1301">
        <f t="shared" si="3"/>
        <v>5</v>
      </c>
    </row>
    <row r="199" spans="1:5" hidden="1" x14ac:dyDescent="0.25">
      <c r="A199" t="s">
        <v>1315</v>
      </c>
      <c r="C199" s="1301" cm="1">
        <f t="array" ref="C199">SUMPRODUCT((CHALLAN!$B$1:$B$16504=A199)*IF(B199="",--(CHALLAN!$C$1:$C$16504=""),--(CHALLAN!$C$1:$C$16504=B199))*IFERROR(CHALLAN!$D$1:$D$16504*CHALLAN!$E$1:$E$16504,0))</f>
        <v>8400</v>
      </c>
      <c r="D199" cm="1">
        <f t="array" ref="D199">SUMPRODUCT(('Pivot Data'!$D$2:$D$1912=$A199)*IF($B199="",--('Pivot Data'!$E$2:$E$1912=""),--('Pivot Data'!$E$2:$E$1912=$B199))*('Pivot Data'!$I$2:$I$1912="Cancelled")*'Pivot Data'!$H$2:$H$1912)</f>
        <v>0</v>
      </c>
      <c r="E199" s="1301">
        <f t="shared" si="3"/>
        <v>8400</v>
      </c>
    </row>
    <row r="200" spans="1:5" hidden="1" x14ac:dyDescent="0.25">
      <c r="A200" t="s">
        <v>2163</v>
      </c>
      <c r="C200" s="1301" cm="1">
        <f t="array" ref="C200">SUMPRODUCT((CHALLAN!$B$1:$B$16504=A200)*IF(B200="",--(CHALLAN!$C$1:$C$16504=""),--(CHALLAN!$C$1:$C$16504=B200))*IFERROR(CHALLAN!$D$1:$D$16504*CHALLAN!$E$1:$E$16504,0))</f>
        <v>174</v>
      </c>
      <c r="D200" cm="1">
        <f t="array" ref="D200">SUMPRODUCT(('Pivot Data'!$D$2:$D$1912=$A200)*IF($B200="",--('Pivot Data'!$E$2:$E$1912=""),--('Pivot Data'!$E$2:$E$1912=$B200))*('Pivot Data'!$I$2:$I$1912="Cancelled")*'Pivot Data'!$H$2:$H$1912)</f>
        <v>0</v>
      </c>
      <c r="E200" s="1301">
        <f t="shared" si="3"/>
        <v>174</v>
      </c>
    </row>
    <row r="201" spans="1:5" hidden="1" x14ac:dyDescent="0.25">
      <c r="A201" t="s">
        <v>919</v>
      </c>
      <c r="C201" s="1301" cm="1">
        <f t="array" ref="C201">SUMPRODUCT((CHALLAN!$B$1:$B$16504=A201)*IF(B201="",--(CHALLAN!$C$1:$C$16504=""),--(CHALLAN!$C$1:$C$16504=B201))*IFERROR(CHALLAN!$D$1:$D$16504*CHALLAN!$E$1:$E$16504,0))</f>
        <v>10</v>
      </c>
      <c r="D201" cm="1">
        <f t="array" ref="D201">SUMPRODUCT(('Pivot Data'!$D$2:$D$1912=$A201)*IF($B201="",--('Pivot Data'!$E$2:$E$1912=""),--('Pivot Data'!$E$2:$E$1912=$B201))*('Pivot Data'!$I$2:$I$1912="Cancelled")*'Pivot Data'!$H$2:$H$1912)</f>
        <v>0</v>
      </c>
      <c r="E201" s="1301">
        <f t="shared" si="3"/>
        <v>10</v>
      </c>
    </row>
    <row r="202" spans="1:5" hidden="1" x14ac:dyDescent="0.25">
      <c r="A202" t="s">
        <v>940</v>
      </c>
      <c r="B202">
        <v>405</v>
      </c>
      <c r="C202" s="1301" cm="1">
        <f t="array" ref="C202">SUMPRODUCT((CHALLAN!$B$1:$B$16504=A202)*IF(B202="",--(CHALLAN!$C$1:$C$16504=""),--(CHALLAN!$C$1:$C$16504=B202))*IFERROR(CHALLAN!$D$1:$D$16504*CHALLAN!$E$1:$E$16504,0))</f>
        <v>10</v>
      </c>
      <c r="D202" cm="1">
        <f t="array" ref="D202">SUMPRODUCT(('Pivot Data'!$D$2:$D$1912=$A202)*IF($B202="",--('Pivot Data'!$E$2:$E$1912=""),--('Pivot Data'!$E$2:$E$1912=$B202))*('Pivot Data'!$I$2:$I$1912="Cancelled")*'Pivot Data'!$H$2:$H$1912)</f>
        <v>0</v>
      </c>
      <c r="E202" s="1301">
        <f t="shared" si="3"/>
        <v>10</v>
      </c>
    </row>
    <row r="203" spans="1:5" hidden="1" x14ac:dyDescent="0.25">
      <c r="A203" t="s">
        <v>301</v>
      </c>
      <c r="B203" t="s">
        <v>458</v>
      </c>
      <c r="C203" s="1301" cm="1">
        <f t="array" ref="C203">SUMPRODUCT((CHALLAN!$B$1:$B$16504=A203)*IF(B203="",--(CHALLAN!$C$1:$C$16504=""),--(CHALLAN!$C$1:$C$16504=B203))*IFERROR(CHALLAN!$D$1:$D$16504*CHALLAN!$E$1:$E$16504,0))</f>
        <v>25</v>
      </c>
      <c r="D203" cm="1">
        <f t="array" ref="D203">SUMPRODUCT(('Pivot Data'!$D$2:$D$1912=$A203)*IF($B203="",--('Pivot Data'!$E$2:$E$1912=""),--('Pivot Data'!$E$2:$E$1912=$B203))*('Pivot Data'!$I$2:$I$1912="Cancelled")*'Pivot Data'!$H$2:$H$1912)</f>
        <v>0</v>
      </c>
      <c r="E203" s="1301">
        <f t="shared" si="3"/>
        <v>25</v>
      </c>
    </row>
    <row r="204" spans="1:5" hidden="1" x14ac:dyDescent="0.25">
      <c r="A204" t="s">
        <v>301</v>
      </c>
      <c r="B204" t="s">
        <v>363</v>
      </c>
      <c r="C204" s="1301" cm="1">
        <f t="array" ref="C204">SUMPRODUCT((CHALLAN!$B$1:$B$16504=A204)*IF(B204="",--(CHALLAN!$C$1:$C$16504=""),--(CHALLAN!$C$1:$C$16504=B204))*IFERROR(CHALLAN!$D$1:$D$16504*CHALLAN!$E$1:$E$16504,0))</f>
        <v>72</v>
      </c>
      <c r="D204" cm="1">
        <f t="array" ref="D204">SUMPRODUCT(('Pivot Data'!$D$2:$D$1912=$A204)*IF($B204="",--('Pivot Data'!$E$2:$E$1912=""),--('Pivot Data'!$E$2:$E$1912=$B204))*('Pivot Data'!$I$2:$I$1912="Cancelled")*'Pivot Data'!$H$2:$H$1912)</f>
        <v>0</v>
      </c>
      <c r="E204" s="1301">
        <f t="shared" si="3"/>
        <v>72</v>
      </c>
    </row>
    <row r="205" spans="1:5" hidden="1" x14ac:dyDescent="0.25">
      <c r="A205" t="s">
        <v>301</v>
      </c>
      <c r="B205" t="s">
        <v>435</v>
      </c>
      <c r="C205" s="1301" cm="1">
        <f t="array" ref="C205">SUMPRODUCT((CHALLAN!$B$1:$B$16504=A205)*IF(B205="",--(CHALLAN!$C$1:$C$16504=""),--(CHALLAN!$C$1:$C$16504=B205))*IFERROR(CHALLAN!$D$1:$D$16504*CHALLAN!$E$1:$E$16504,0))</f>
        <v>271</v>
      </c>
      <c r="D205" cm="1">
        <f t="array" ref="D205">SUMPRODUCT(('Pivot Data'!$D$2:$D$1912=$A205)*IF($B205="",--('Pivot Data'!$E$2:$E$1912=""),--('Pivot Data'!$E$2:$E$1912=$B205))*('Pivot Data'!$I$2:$I$1912="Cancelled")*'Pivot Data'!$H$2:$H$1912)</f>
        <v>0</v>
      </c>
      <c r="E205" s="1301">
        <f t="shared" si="3"/>
        <v>271</v>
      </c>
    </row>
    <row r="206" spans="1:5" hidden="1" x14ac:dyDescent="0.25">
      <c r="A206" t="s">
        <v>301</v>
      </c>
      <c r="B206" t="s">
        <v>66</v>
      </c>
      <c r="C206" s="1301" cm="1">
        <f t="array" ref="C206">SUMPRODUCT((CHALLAN!$B$1:$B$16504=A206)*IF(B206="",--(CHALLAN!$C$1:$C$16504=""),--(CHALLAN!$C$1:$C$16504=B206))*IFERROR(CHALLAN!$D$1:$D$16504*CHALLAN!$E$1:$E$16504,0))</f>
        <v>50</v>
      </c>
      <c r="D206" cm="1">
        <f t="array" ref="D206">SUMPRODUCT(('Pivot Data'!$D$2:$D$1912=$A206)*IF($B206="",--('Pivot Data'!$E$2:$E$1912=""),--('Pivot Data'!$E$2:$E$1912=$B206))*('Pivot Data'!$I$2:$I$1912="Cancelled")*'Pivot Data'!$H$2:$H$1912)</f>
        <v>0</v>
      </c>
      <c r="E206" s="1301">
        <f t="shared" si="3"/>
        <v>50</v>
      </c>
    </row>
    <row r="207" spans="1:5" hidden="1" x14ac:dyDescent="0.25">
      <c r="A207" t="s">
        <v>75</v>
      </c>
      <c r="B207" t="s">
        <v>66</v>
      </c>
      <c r="C207" s="1301" cm="1">
        <f t="array" ref="C207">SUMPRODUCT((CHALLAN!$B$1:$B$16504=A207)*IF(B207="",--(CHALLAN!$C$1:$C$16504=""),--(CHALLAN!$C$1:$C$16504=B207))*IFERROR(CHALLAN!$D$1:$D$16504*CHALLAN!$E$1:$E$16504,0))</f>
        <v>20</v>
      </c>
      <c r="D207" cm="1">
        <f t="array" ref="D207">SUMPRODUCT(('Pivot Data'!$D$2:$D$1912=$A207)*IF($B207="",--('Pivot Data'!$E$2:$E$1912=""),--('Pivot Data'!$E$2:$E$1912=$B207))*('Pivot Data'!$I$2:$I$1912="Cancelled")*'Pivot Data'!$H$2:$H$1912)</f>
        <v>0</v>
      </c>
      <c r="E207" s="1301">
        <f t="shared" si="3"/>
        <v>20</v>
      </c>
    </row>
    <row r="208" spans="1:5" hidden="1" x14ac:dyDescent="0.25">
      <c r="A208" t="s">
        <v>2198</v>
      </c>
      <c r="B208" t="s">
        <v>1848</v>
      </c>
      <c r="C208" s="1301" cm="1">
        <f t="array" ref="C208">SUMPRODUCT((CHALLAN!$B$1:$B$16504=A208)*IF(B208="",--(CHALLAN!$C$1:$C$16504=""),--(CHALLAN!$C$1:$C$16504=B208))*IFERROR(CHALLAN!$D$1:$D$16504*CHALLAN!$E$1:$E$16504,0))</f>
        <v>1400</v>
      </c>
      <c r="D208" cm="1">
        <f t="array" ref="D208">SUMPRODUCT(('Pivot Data'!$D$2:$D$1912=$A208)*IF($B208="",--('Pivot Data'!$E$2:$E$1912=""),--('Pivot Data'!$E$2:$E$1912=$B208))*('Pivot Data'!$I$2:$I$1912="Cancelled")*'Pivot Data'!$H$2:$H$1912)</f>
        <v>0</v>
      </c>
      <c r="E208" s="1301">
        <f t="shared" si="3"/>
        <v>1400</v>
      </c>
    </row>
    <row r="209" spans="1:5" hidden="1" x14ac:dyDescent="0.25">
      <c r="A209" t="s">
        <v>2199</v>
      </c>
      <c r="B209" t="s">
        <v>1882</v>
      </c>
      <c r="C209" s="1301" cm="1">
        <f t="array" ref="C209">SUMPRODUCT((CHALLAN!$B$1:$B$16504=A209)*IF(B209="",--(CHALLAN!$C$1:$C$16504=""),--(CHALLAN!$C$1:$C$16504=B209))*IFERROR(CHALLAN!$D$1:$D$16504*CHALLAN!$E$1:$E$16504,0))</f>
        <v>900</v>
      </c>
      <c r="D209" cm="1">
        <f t="array" ref="D209">SUMPRODUCT(('Pivot Data'!$D$2:$D$1912=$A209)*IF($B209="",--('Pivot Data'!$E$2:$E$1912=""),--('Pivot Data'!$E$2:$E$1912=$B209))*('Pivot Data'!$I$2:$I$1912="Cancelled")*'Pivot Data'!$H$2:$H$1912)</f>
        <v>0</v>
      </c>
      <c r="E209" s="1301">
        <f t="shared" si="3"/>
        <v>900</v>
      </c>
    </row>
    <row r="210" spans="1:5" x14ac:dyDescent="0.25">
      <c r="A210" t="s">
        <v>2197</v>
      </c>
      <c r="B210" t="s">
        <v>1880</v>
      </c>
      <c r="C210" s="1301" cm="1">
        <f t="array" ref="C210">SUMPRODUCT((CHALLAN!$B$1:$B$16504=A210)*IF(B210="",--(CHALLAN!$C$1:$C$16504=""),--(CHALLAN!$C$1:$C$16504=B210))*IFERROR(CHALLAN!$D$1:$D$16504*CHALLAN!$E$1:$E$16504,0))</f>
        <v>300</v>
      </c>
      <c r="D210" cm="1">
        <f t="array" ref="D210">SUMPRODUCT(('Pivot Data'!$D$2:$D$1912=$A210)*IF($B210="",--('Pivot Data'!$E$2:$E$1912=""),--('Pivot Data'!$E$2:$E$1912=$B210))*('Pivot Data'!$I$2:$I$1912="Cancelled")*'Pivot Data'!$H$2:$H$1912)</f>
        <v>0</v>
      </c>
      <c r="E210" s="1301">
        <f t="shared" si="3"/>
        <v>300</v>
      </c>
    </row>
    <row r="211" spans="1:5" hidden="1" x14ac:dyDescent="0.25">
      <c r="A211" t="s">
        <v>1681</v>
      </c>
      <c r="C211" s="1301" cm="1">
        <f t="array" ref="C211">SUMPRODUCT((CHALLAN!$B$1:$B$16504=A211)*IF(B211="",--(CHALLAN!$C$1:$C$16504=""),--(CHALLAN!$C$1:$C$16504=B211))*IFERROR(CHALLAN!$D$1:$D$16504*CHALLAN!$E$1:$E$16504,0))</f>
        <v>730</v>
      </c>
      <c r="D211" cm="1">
        <f t="array" ref="D211">SUMPRODUCT(('Pivot Data'!$D$2:$D$1912=$A211)*IF($B211="",--('Pivot Data'!$E$2:$E$1912=""),--('Pivot Data'!$E$2:$E$1912=$B211))*('Pivot Data'!$I$2:$I$1912="Cancelled")*'Pivot Data'!$H$2:$H$1912)</f>
        <v>0</v>
      </c>
      <c r="E211" s="1301">
        <f t="shared" si="3"/>
        <v>730</v>
      </c>
    </row>
    <row r="212" spans="1:5" hidden="1" x14ac:dyDescent="0.25">
      <c r="A212" t="s">
        <v>1411</v>
      </c>
      <c r="C212" s="1301" cm="1">
        <f t="array" ref="C212">SUMPRODUCT((CHALLAN!$B$1:$B$16504=A212)*IF(B212="",--(CHALLAN!$C$1:$C$16504=""),--(CHALLAN!$C$1:$C$16504=B212))*IFERROR(CHALLAN!$D$1:$D$16504*CHALLAN!$E$1:$E$16504,0))</f>
        <v>0</v>
      </c>
      <c r="D212" cm="1">
        <f t="array" ref="D212">SUMPRODUCT(('Pivot Data'!$D$2:$D$1912=$A212)*IF($B212="",--('Pivot Data'!$E$2:$E$1912=""),--('Pivot Data'!$E$2:$E$1912=$B212))*('Pivot Data'!$I$2:$I$1912="Cancelled")*'Pivot Data'!$H$2:$H$1912)</f>
        <v>0</v>
      </c>
      <c r="E212" s="1301">
        <f t="shared" si="3"/>
        <v>0</v>
      </c>
    </row>
    <row r="213" spans="1:5" hidden="1" x14ac:dyDescent="0.25">
      <c r="A213" t="s">
        <v>1131</v>
      </c>
      <c r="B213" t="s">
        <v>426</v>
      </c>
      <c r="C213" s="1301" cm="1">
        <f t="array" ref="C213">SUMPRODUCT((CHALLAN!$B$1:$B$16504=A213)*IF(B213="",--(CHALLAN!$C$1:$C$16504=""),--(CHALLAN!$C$1:$C$16504=B213))*IFERROR(CHALLAN!$D$1:$D$16504*CHALLAN!$E$1:$E$16504,0))</f>
        <v>150</v>
      </c>
      <c r="D213" cm="1">
        <f t="array" ref="D213">SUMPRODUCT(('Pivot Data'!$D$2:$D$1912=$A213)*IF($B213="",--('Pivot Data'!$E$2:$E$1912=""),--('Pivot Data'!$E$2:$E$1912=$B213))*('Pivot Data'!$I$2:$I$1912="Cancelled")*'Pivot Data'!$H$2:$H$1912)</f>
        <v>0</v>
      </c>
      <c r="E213" s="1301">
        <f t="shared" si="3"/>
        <v>150</v>
      </c>
    </row>
    <row r="214" spans="1:5" hidden="1" x14ac:dyDescent="0.25">
      <c r="A214" t="s">
        <v>2170</v>
      </c>
      <c r="B214" t="s">
        <v>426</v>
      </c>
      <c r="C214" s="1301" cm="1">
        <f t="array" ref="C214">SUMPRODUCT((CHALLAN!$B$1:$B$16504=A214)*IF(B214="",--(CHALLAN!$C$1:$C$16504=""),--(CHALLAN!$C$1:$C$16504=B214))*IFERROR(CHALLAN!$D$1:$D$16504*CHALLAN!$E$1:$E$16504,0))</f>
        <v>25</v>
      </c>
      <c r="D214" cm="1">
        <f t="array" ref="D214">SUMPRODUCT(('Pivot Data'!$D$2:$D$1912=$A214)*IF($B214="",--('Pivot Data'!$E$2:$E$1912=""),--('Pivot Data'!$E$2:$E$1912=$B214))*('Pivot Data'!$I$2:$I$1912="Cancelled")*'Pivot Data'!$H$2:$H$1912)</f>
        <v>0</v>
      </c>
      <c r="E214" s="1301">
        <f t="shared" si="3"/>
        <v>25</v>
      </c>
    </row>
    <row r="215" spans="1:5" hidden="1" x14ac:dyDescent="0.25">
      <c r="A215" t="s">
        <v>1812</v>
      </c>
      <c r="C215" s="1301" cm="1">
        <f t="array" ref="C215">SUMPRODUCT((CHALLAN!$B$1:$B$16504=A215)*IF(B215="",--(CHALLAN!$C$1:$C$16504=""),--(CHALLAN!$C$1:$C$16504=B215))*IFERROR(CHALLAN!$D$1:$D$16504*CHALLAN!$E$1:$E$16504,0))</f>
        <v>25424</v>
      </c>
      <c r="D215" cm="1">
        <f t="array" ref="D215">SUMPRODUCT(('Pivot Data'!$D$2:$D$1912=$A215)*IF($B215="",--('Pivot Data'!$E$2:$E$1912=""),--('Pivot Data'!$E$2:$E$1912=$B215))*('Pivot Data'!$I$2:$I$1912="Cancelled")*'Pivot Data'!$H$2:$H$1912)</f>
        <v>0</v>
      </c>
      <c r="E215" s="1301">
        <f t="shared" si="3"/>
        <v>25424</v>
      </c>
    </row>
    <row r="216" spans="1:5" hidden="1" x14ac:dyDescent="0.25">
      <c r="A216" t="s">
        <v>2155</v>
      </c>
      <c r="B216" t="s">
        <v>448</v>
      </c>
      <c r="C216" s="1301" cm="1">
        <f t="array" ref="C216">SUMPRODUCT((CHALLAN!$B$1:$B$16504=A216)*IF(B216="",--(CHALLAN!$C$1:$C$16504=""),--(CHALLAN!$C$1:$C$16504=B216))*IFERROR(CHALLAN!$D$1:$D$16504*CHALLAN!$E$1:$E$16504,0))</f>
        <v>30</v>
      </c>
      <c r="D216" cm="1">
        <f t="array" ref="D216">SUMPRODUCT(('Pivot Data'!$D$2:$D$1912=$A216)*IF($B216="",--('Pivot Data'!$E$2:$E$1912=""),--('Pivot Data'!$E$2:$E$1912=$B216))*('Pivot Data'!$I$2:$I$1912="Cancelled")*'Pivot Data'!$H$2:$H$1912)</f>
        <v>0</v>
      </c>
      <c r="E216" s="1301">
        <f t="shared" si="3"/>
        <v>30</v>
      </c>
    </row>
    <row r="217" spans="1:5" hidden="1" x14ac:dyDescent="0.25">
      <c r="A217" t="s">
        <v>2000</v>
      </c>
      <c r="C217" s="1301" cm="1">
        <f t="array" ref="C217">SUMPRODUCT((CHALLAN!$B$1:$B$16504=A217)*IF(B217="",--(CHALLAN!$C$1:$C$16504=""),--(CHALLAN!$C$1:$C$16504=B217))*IFERROR(CHALLAN!$D$1:$D$16504*CHALLAN!$E$1:$E$16504,0))</f>
        <v>20</v>
      </c>
      <c r="D217" cm="1">
        <f t="array" ref="D217">SUMPRODUCT(('Pivot Data'!$D$2:$D$1912=$A217)*IF($B217="",--('Pivot Data'!$E$2:$E$1912=""),--('Pivot Data'!$E$2:$E$1912=$B217))*('Pivot Data'!$I$2:$I$1912="Cancelled")*'Pivot Data'!$H$2:$H$1912)</f>
        <v>0</v>
      </c>
      <c r="E217" s="1301">
        <f t="shared" si="3"/>
        <v>20</v>
      </c>
    </row>
    <row r="218" spans="1:5" hidden="1" x14ac:dyDescent="0.25">
      <c r="A218" t="s">
        <v>194</v>
      </c>
      <c r="B218" t="s">
        <v>365</v>
      </c>
      <c r="C218" s="1301" cm="1">
        <f t="array" ref="C218">SUMPRODUCT((CHALLAN!$B$1:$B$16504=A218)*IF(B218="",--(CHALLAN!$C$1:$C$16504=""),--(CHALLAN!$C$1:$C$16504=B218))*IFERROR(CHALLAN!$D$1:$D$16504*CHALLAN!$E$1:$E$16504,0))</f>
        <v>18</v>
      </c>
      <c r="D218" cm="1">
        <f t="array" ref="D218">SUMPRODUCT(('Pivot Data'!$D$2:$D$1912=$A218)*IF($B218="",--('Pivot Data'!$E$2:$E$1912=""),--('Pivot Data'!$E$2:$E$1912=$B218))*('Pivot Data'!$I$2:$I$1912="Cancelled")*'Pivot Data'!$H$2:$H$1912)</f>
        <v>0</v>
      </c>
      <c r="E218" s="1301">
        <f t="shared" si="3"/>
        <v>18</v>
      </c>
    </row>
    <row r="219" spans="1:5" hidden="1" x14ac:dyDescent="0.25">
      <c r="A219" t="s">
        <v>137</v>
      </c>
      <c r="C219" s="1301" cm="1">
        <f t="array" ref="C219">SUMPRODUCT((CHALLAN!$B$1:$B$16504=A219)*IF(B219="",--(CHALLAN!$C$1:$C$16504=""),--(CHALLAN!$C$1:$C$16504=B219))*IFERROR(CHALLAN!$D$1:$D$16504*CHALLAN!$E$1:$E$16504,0))</f>
        <v>6</v>
      </c>
      <c r="D219" cm="1">
        <f t="array" ref="D219">SUMPRODUCT(('Pivot Data'!$D$2:$D$1912=$A219)*IF($B219="",--('Pivot Data'!$E$2:$E$1912=""),--('Pivot Data'!$E$2:$E$1912=$B219))*('Pivot Data'!$I$2:$I$1912="Cancelled")*'Pivot Data'!$H$2:$H$1912)</f>
        <v>0</v>
      </c>
      <c r="E219" s="1301">
        <f t="shared" si="3"/>
        <v>6</v>
      </c>
    </row>
    <row r="220" spans="1:5" hidden="1" x14ac:dyDescent="0.25">
      <c r="A220" t="s">
        <v>1413</v>
      </c>
      <c r="C220" s="1301" cm="1">
        <f t="array" ref="C220">SUMPRODUCT((CHALLAN!$B$1:$B$16504=A220)*IF(B220="",--(CHALLAN!$C$1:$C$16504=""),--(CHALLAN!$C$1:$C$16504=B220))*IFERROR(CHALLAN!$D$1:$D$16504*CHALLAN!$E$1:$E$16504,0))</f>
        <v>15</v>
      </c>
      <c r="D220" cm="1">
        <f t="array" ref="D220">SUMPRODUCT(('Pivot Data'!$D$2:$D$1912=$A220)*IF($B220="",--('Pivot Data'!$E$2:$E$1912=""),--('Pivot Data'!$E$2:$E$1912=$B220))*('Pivot Data'!$I$2:$I$1912="Cancelled")*'Pivot Data'!$H$2:$H$1912)</f>
        <v>0</v>
      </c>
      <c r="E220" s="1301">
        <f t="shared" si="3"/>
        <v>15</v>
      </c>
    </row>
    <row r="221" spans="1:5" hidden="1" x14ac:dyDescent="0.25">
      <c r="A221" t="s">
        <v>1667</v>
      </c>
      <c r="B221" t="s">
        <v>365</v>
      </c>
      <c r="C221" s="1301" cm="1">
        <f t="array" ref="C221">SUMPRODUCT((CHALLAN!$B$1:$B$16504=A221)*IF(B221="",--(CHALLAN!$C$1:$C$16504=""),--(CHALLAN!$C$1:$C$16504=B221))*IFERROR(CHALLAN!$D$1:$D$16504*CHALLAN!$E$1:$E$16504,0))</f>
        <v>1</v>
      </c>
      <c r="D221" cm="1">
        <f t="array" ref="D221">SUMPRODUCT(('Pivot Data'!$D$2:$D$1912=$A221)*IF($B221="",--('Pivot Data'!$E$2:$E$1912=""),--('Pivot Data'!$E$2:$E$1912=$B221))*('Pivot Data'!$I$2:$I$1912="Cancelled")*'Pivot Data'!$H$2:$H$1912)</f>
        <v>0</v>
      </c>
      <c r="E221" s="1301">
        <f t="shared" si="3"/>
        <v>1</v>
      </c>
    </row>
    <row r="222" spans="1:5" hidden="1" x14ac:dyDescent="0.25">
      <c r="A222" t="s">
        <v>1666</v>
      </c>
      <c r="B222" t="s">
        <v>388</v>
      </c>
      <c r="C222" s="1301" cm="1">
        <f t="array" ref="C222">SUMPRODUCT((CHALLAN!$B$1:$B$16504=A222)*IF(B222="",--(CHALLAN!$C$1:$C$16504=""),--(CHALLAN!$C$1:$C$16504=B222))*IFERROR(CHALLAN!$D$1:$D$16504*CHALLAN!$E$1:$E$16504,0))</f>
        <v>1</v>
      </c>
      <c r="D222" cm="1">
        <f t="array" ref="D222">SUMPRODUCT(('Pivot Data'!$D$2:$D$1912=$A222)*IF($B222="",--('Pivot Data'!$E$2:$E$1912=""),--('Pivot Data'!$E$2:$E$1912=$B222))*('Pivot Data'!$I$2:$I$1912="Cancelled")*'Pivot Data'!$H$2:$H$1912)</f>
        <v>0</v>
      </c>
      <c r="E222" s="1301">
        <f t="shared" si="3"/>
        <v>1</v>
      </c>
    </row>
    <row r="223" spans="1:5" hidden="1" x14ac:dyDescent="0.25">
      <c r="A223" t="s">
        <v>317</v>
      </c>
      <c r="B223" t="s">
        <v>473</v>
      </c>
      <c r="C223" s="1301" cm="1">
        <f t="array" ref="C223">SUMPRODUCT((CHALLAN!$B$1:$B$16504=A223)*IF(B223="",--(CHALLAN!$C$1:$C$16504=""),--(CHALLAN!$C$1:$C$16504=B223))*IFERROR(CHALLAN!$D$1:$D$16504*CHALLAN!$E$1:$E$16504,0))</f>
        <v>50</v>
      </c>
      <c r="D223" cm="1">
        <f t="array" ref="D223">SUMPRODUCT(('Pivot Data'!$D$2:$D$1912=$A223)*IF($B223="",--('Pivot Data'!$E$2:$E$1912=""),--('Pivot Data'!$E$2:$E$1912=$B223))*('Pivot Data'!$I$2:$I$1912="Cancelled")*'Pivot Data'!$H$2:$H$1912)</f>
        <v>0</v>
      </c>
      <c r="E223" s="1301">
        <f t="shared" si="3"/>
        <v>50</v>
      </c>
    </row>
    <row r="224" spans="1:5" hidden="1" x14ac:dyDescent="0.25">
      <c r="A224" t="s">
        <v>317</v>
      </c>
      <c r="B224" t="s">
        <v>474</v>
      </c>
      <c r="C224" s="1301" cm="1">
        <f t="array" ref="C224">SUMPRODUCT((CHALLAN!$B$1:$B$16504=A224)*IF(B224="",--(CHALLAN!$C$1:$C$16504=""),--(CHALLAN!$C$1:$C$16504=B224))*IFERROR(CHALLAN!$D$1:$D$16504*CHALLAN!$E$1:$E$16504,0))</f>
        <v>0</v>
      </c>
      <c r="D224" cm="1">
        <f t="array" ref="D224">SUMPRODUCT(('Pivot Data'!$D$2:$D$1912=$A224)*IF($B224="",--('Pivot Data'!$E$2:$E$1912=""),--('Pivot Data'!$E$2:$E$1912=$B224))*('Pivot Data'!$I$2:$I$1912="Cancelled")*'Pivot Data'!$H$2:$H$1912)</f>
        <v>0</v>
      </c>
      <c r="E224" s="1301">
        <f t="shared" si="3"/>
        <v>0</v>
      </c>
    </row>
    <row r="225" spans="1:5" hidden="1" x14ac:dyDescent="0.25">
      <c r="A225" t="s">
        <v>960</v>
      </c>
      <c r="B225" t="s">
        <v>961</v>
      </c>
      <c r="C225" s="1301" cm="1">
        <f t="array" ref="C225">SUMPRODUCT((CHALLAN!$B$1:$B$16504=A225)*IF(B225="",--(CHALLAN!$C$1:$C$16504=""),--(CHALLAN!$C$1:$C$16504=B225))*IFERROR(CHALLAN!$D$1:$D$16504*CHALLAN!$E$1:$E$16504,0))</f>
        <v>120</v>
      </c>
      <c r="D225" cm="1">
        <f t="array" ref="D225">SUMPRODUCT(('Pivot Data'!$D$2:$D$1912=$A225)*IF($B225="",--('Pivot Data'!$E$2:$E$1912=""),--('Pivot Data'!$E$2:$E$1912=$B225))*('Pivot Data'!$I$2:$I$1912="Cancelled")*'Pivot Data'!$H$2:$H$1912)</f>
        <v>0</v>
      </c>
      <c r="E225" s="1301">
        <f t="shared" si="3"/>
        <v>120</v>
      </c>
    </row>
    <row r="226" spans="1:5" hidden="1" x14ac:dyDescent="0.25">
      <c r="A226" t="s">
        <v>677</v>
      </c>
      <c r="B226" t="s">
        <v>5</v>
      </c>
      <c r="C226" s="1301" cm="1">
        <f t="array" ref="C226">SUMPRODUCT((CHALLAN!$B$1:$B$16504=A226)*IF(B226="",--(CHALLAN!$C$1:$C$16504=""),--(CHALLAN!$C$1:$C$16504=B226))*IFERROR(CHALLAN!$D$1:$D$16504*CHALLAN!$E$1:$E$16504,0))</f>
        <v>1728</v>
      </c>
      <c r="D226" cm="1">
        <f t="array" ref="D226">SUMPRODUCT(('Pivot Data'!$D$2:$D$1912=$A226)*IF($B226="",--('Pivot Data'!$E$2:$E$1912=""),--('Pivot Data'!$E$2:$E$1912=$B226))*('Pivot Data'!$I$2:$I$1912="Cancelled")*'Pivot Data'!$H$2:$H$1912)</f>
        <v>0</v>
      </c>
      <c r="E226" s="1301">
        <f t="shared" si="3"/>
        <v>1728</v>
      </c>
    </row>
    <row r="227" spans="1:5" hidden="1" x14ac:dyDescent="0.25">
      <c r="A227" t="s">
        <v>724</v>
      </c>
      <c r="C227" s="1301" cm="1">
        <f t="array" ref="C227">SUMPRODUCT((CHALLAN!$B$1:$B$16504=A227)*IF(B227="",--(CHALLAN!$C$1:$C$16504=""),--(CHALLAN!$C$1:$C$16504=B227))*IFERROR(CHALLAN!$D$1:$D$16504*CHALLAN!$E$1:$E$16504,0))</f>
        <v>1440</v>
      </c>
      <c r="D227" cm="1">
        <f t="array" ref="D227">SUMPRODUCT(('Pivot Data'!$D$2:$D$1912=$A227)*IF($B227="",--('Pivot Data'!$E$2:$E$1912=""),--('Pivot Data'!$E$2:$E$1912=$B227))*('Pivot Data'!$I$2:$I$1912="Cancelled")*'Pivot Data'!$H$2:$H$1912)</f>
        <v>0</v>
      </c>
      <c r="E227" s="1301">
        <f t="shared" si="3"/>
        <v>1440</v>
      </c>
    </row>
    <row r="228" spans="1:5" hidden="1" x14ac:dyDescent="0.25">
      <c r="A228" t="s">
        <v>759</v>
      </c>
      <c r="C228" s="1301" cm="1">
        <f t="array" ref="C228">SUMPRODUCT((CHALLAN!$B$1:$B$16504=A228)*IF(B228="",--(CHALLAN!$C$1:$C$16504=""),--(CHALLAN!$C$1:$C$16504=B228))*IFERROR(CHALLAN!$D$1:$D$16504*CHALLAN!$E$1:$E$16504,0))</f>
        <v>480</v>
      </c>
      <c r="D228" cm="1">
        <f t="array" ref="D228">SUMPRODUCT(('Pivot Data'!$D$2:$D$1912=$A228)*IF($B228="",--('Pivot Data'!$E$2:$E$1912=""),--('Pivot Data'!$E$2:$E$1912=$B228))*('Pivot Data'!$I$2:$I$1912="Cancelled")*'Pivot Data'!$H$2:$H$1912)</f>
        <v>0</v>
      </c>
      <c r="E228" s="1301">
        <f t="shared" si="3"/>
        <v>480</v>
      </c>
    </row>
    <row r="229" spans="1:5" hidden="1" x14ac:dyDescent="0.25">
      <c r="A229" t="s">
        <v>1058</v>
      </c>
      <c r="B229" t="s">
        <v>1059</v>
      </c>
      <c r="C229" s="1301" cm="1">
        <f t="array" ref="C229">SUMPRODUCT((CHALLAN!$B$1:$B$16504=A229)*IF(B229="",--(CHALLAN!$C$1:$C$16504=""),--(CHALLAN!$C$1:$C$16504=B229))*IFERROR(CHALLAN!$D$1:$D$16504*CHALLAN!$E$1:$E$16504,0))</f>
        <v>360</v>
      </c>
      <c r="D229" cm="1">
        <f t="array" ref="D229">SUMPRODUCT(('Pivot Data'!$D$2:$D$1912=$A229)*IF($B229="",--('Pivot Data'!$E$2:$E$1912=""),--('Pivot Data'!$E$2:$E$1912=$B229))*('Pivot Data'!$I$2:$I$1912="Cancelled")*'Pivot Data'!$H$2:$H$1912)</f>
        <v>0</v>
      </c>
      <c r="E229" s="1301">
        <f t="shared" si="3"/>
        <v>360</v>
      </c>
    </row>
    <row r="230" spans="1:5" hidden="1" x14ac:dyDescent="0.25">
      <c r="A230" t="s">
        <v>1417</v>
      </c>
      <c r="C230" s="1301" cm="1">
        <f t="array" ref="C230">SUMPRODUCT((CHALLAN!$B$1:$B$16504=A230)*IF(B230="",--(CHALLAN!$C$1:$C$16504=""),--(CHALLAN!$C$1:$C$16504=B230))*IFERROR(CHALLAN!$D$1:$D$16504*CHALLAN!$E$1:$E$16504,0))</f>
        <v>65</v>
      </c>
      <c r="D230" cm="1">
        <f t="array" ref="D230">SUMPRODUCT(('Pivot Data'!$D$2:$D$1912=$A230)*IF($B230="",--('Pivot Data'!$E$2:$E$1912=""),--('Pivot Data'!$E$2:$E$1912=$B230))*('Pivot Data'!$I$2:$I$1912="Cancelled")*'Pivot Data'!$H$2:$H$1912)</f>
        <v>0</v>
      </c>
      <c r="E230" s="1301">
        <f t="shared" si="3"/>
        <v>65</v>
      </c>
    </row>
    <row r="231" spans="1:5" hidden="1" x14ac:dyDescent="0.25">
      <c r="A231" t="s">
        <v>1076</v>
      </c>
      <c r="B231" t="s">
        <v>1164</v>
      </c>
      <c r="C231" s="1301" cm="1">
        <f t="array" ref="C231">SUMPRODUCT((CHALLAN!$B$1:$B$16504=A231)*IF(B231="",--(CHALLAN!$C$1:$C$16504=""),--(CHALLAN!$C$1:$C$16504=B231))*IFERROR(CHALLAN!$D$1:$D$16504*CHALLAN!$E$1:$E$16504,0))</f>
        <v>215</v>
      </c>
      <c r="D231" cm="1">
        <f t="array" ref="D231">SUMPRODUCT(('Pivot Data'!$D$2:$D$1912=$A231)*IF($B231="",--('Pivot Data'!$E$2:$E$1912=""),--('Pivot Data'!$E$2:$E$1912=$B231))*('Pivot Data'!$I$2:$I$1912="Cancelled")*'Pivot Data'!$H$2:$H$1912)</f>
        <v>0</v>
      </c>
      <c r="E231" s="1301">
        <f t="shared" si="3"/>
        <v>215</v>
      </c>
    </row>
    <row r="232" spans="1:5" hidden="1" x14ac:dyDescent="0.25">
      <c r="A232" t="s">
        <v>1587</v>
      </c>
      <c r="B232" t="s">
        <v>1164</v>
      </c>
      <c r="C232" s="1301" cm="1">
        <f t="array" ref="C232">SUMPRODUCT((CHALLAN!$B$1:$B$16504=A232)*IF(B232="",--(CHALLAN!$C$1:$C$16504=""),--(CHALLAN!$C$1:$C$16504=B232))*IFERROR(CHALLAN!$D$1:$D$16504*CHALLAN!$E$1:$E$16504,0))</f>
        <v>20</v>
      </c>
      <c r="D232" cm="1">
        <f t="array" ref="D232">SUMPRODUCT(('Pivot Data'!$D$2:$D$1912=$A232)*IF($B232="",--('Pivot Data'!$E$2:$E$1912=""),--('Pivot Data'!$E$2:$E$1912=$B232))*('Pivot Data'!$I$2:$I$1912="Cancelled")*'Pivot Data'!$H$2:$H$1912)</f>
        <v>0</v>
      </c>
      <c r="E232" s="1301">
        <f t="shared" si="3"/>
        <v>20</v>
      </c>
    </row>
    <row r="233" spans="1:5" hidden="1" x14ac:dyDescent="0.25">
      <c r="A233" t="s">
        <v>1076</v>
      </c>
      <c r="B233" t="s">
        <v>1165</v>
      </c>
      <c r="C233" s="1301" cm="1">
        <f t="array" ref="C233">SUMPRODUCT((CHALLAN!$B$1:$B$16504=A233)*IF(B233="",--(CHALLAN!$C$1:$C$16504=""),--(CHALLAN!$C$1:$C$16504=B233))*IFERROR(CHALLAN!$D$1:$D$16504*CHALLAN!$E$1:$E$16504,0))</f>
        <v>10</v>
      </c>
      <c r="D233" cm="1">
        <f t="array" ref="D233">SUMPRODUCT(('Pivot Data'!$D$2:$D$1912=$A233)*IF($B233="",--('Pivot Data'!$E$2:$E$1912=""),--('Pivot Data'!$E$2:$E$1912=$B233))*('Pivot Data'!$I$2:$I$1912="Cancelled")*'Pivot Data'!$H$2:$H$1912)</f>
        <v>0</v>
      </c>
      <c r="E233" s="1301">
        <f t="shared" si="3"/>
        <v>10</v>
      </c>
    </row>
    <row r="234" spans="1:5" hidden="1" x14ac:dyDescent="0.25">
      <c r="A234" t="s">
        <v>1587</v>
      </c>
      <c r="B234" t="s">
        <v>1165</v>
      </c>
      <c r="C234" s="1301" cm="1">
        <f t="array" ref="C234">SUMPRODUCT((CHALLAN!$B$1:$B$16504=A234)*IF(B234="",--(CHALLAN!$C$1:$C$16504=""),--(CHALLAN!$C$1:$C$16504=B234))*IFERROR(CHALLAN!$D$1:$D$16504*CHALLAN!$E$1:$E$16504,0))</f>
        <v>20</v>
      </c>
      <c r="D234" cm="1">
        <f t="array" ref="D234">SUMPRODUCT(('Pivot Data'!$D$2:$D$1912=$A234)*IF($B234="",--('Pivot Data'!$E$2:$E$1912=""),--('Pivot Data'!$E$2:$E$1912=$B234))*('Pivot Data'!$I$2:$I$1912="Cancelled")*'Pivot Data'!$H$2:$H$1912)</f>
        <v>0</v>
      </c>
      <c r="E234" s="1301">
        <f t="shared" si="3"/>
        <v>20</v>
      </c>
    </row>
    <row r="235" spans="1:5" hidden="1" x14ac:dyDescent="0.25">
      <c r="A235" t="s">
        <v>1076</v>
      </c>
      <c r="B235" t="s">
        <v>1077</v>
      </c>
      <c r="C235" s="1301" cm="1">
        <f t="array" ref="C235">SUMPRODUCT((CHALLAN!$B$1:$B$16504=A235)*IF(B235="",--(CHALLAN!$C$1:$C$16504=""),--(CHALLAN!$C$1:$C$16504=B235))*IFERROR(CHALLAN!$D$1:$D$16504*CHALLAN!$E$1:$E$16504,0))</f>
        <v>6</v>
      </c>
      <c r="D235" cm="1">
        <f t="array" ref="D235">SUMPRODUCT(('Pivot Data'!$D$2:$D$1912=$A235)*IF($B235="",--('Pivot Data'!$E$2:$E$1912=""),--('Pivot Data'!$E$2:$E$1912=$B235))*('Pivot Data'!$I$2:$I$1912="Cancelled")*'Pivot Data'!$H$2:$H$1912)</f>
        <v>0</v>
      </c>
      <c r="E235" s="1301">
        <f t="shared" si="3"/>
        <v>6</v>
      </c>
    </row>
    <row r="236" spans="1:5" hidden="1" x14ac:dyDescent="0.25">
      <c r="A236" t="s">
        <v>1441</v>
      </c>
      <c r="C236" s="1301" cm="1">
        <f t="array" ref="C236">SUMPRODUCT((CHALLAN!$B$1:$B$16504=A236)*IF(B236="",--(CHALLAN!$C$1:$C$16504=""),--(CHALLAN!$C$1:$C$16504=B236))*IFERROR(CHALLAN!$D$1:$D$16504*CHALLAN!$E$1:$E$16504,0))</f>
        <v>20</v>
      </c>
      <c r="D236" cm="1">
        <f t="array" ref="D236">SUMPRODUCT(('Pivot Data'!$D$2:$D$1912=$A236)*IF($B236="",--('Pivot Data'!$E$2:$E$1912=""),--('Pivot Data'!$E$2:$E$1912=$B236))*('Pivot Data'!$I$2:$I$1912="Cancelled")*'Pivot Data'!$H$2:$H$1912)</f>
        <v>0</v>
      </c>
      <c r="E236" s="1301">
        <f t="shared" si="3"/>
        <v>20</v>
      </c>
    </row>
    <row r="237" spans="1:5" hidden="1" x14ac:dyDescent="0.25">
      <c r="A237" t="s">
        <v>1444</v>
      </c>
      <c r="C237" s="1301" cm="1">
        <f t="array" ref="C237">SUMPRODUCT((CHALLAN!$B$1:$B$16504=A237)*IF(B237="",--(CHALLAN!$C$1:$C$16504=""),--(CHALLAN!$C$1:$C$16504=B237))*IFERROR(CHALLAN!$D$1:$D$16504*CHALLAN!$E$1:$E$16504,0))</f>
        <v>50</v>
      </c>
      <c r="D237" cm="1">
        <f t="array" ref="D237">SUMPRODUCT(('Pivot Data'!$D$2:$D$1912=$A237)*IF($B237="",--('Pivot Data'!$E$2:$E$1912=""),--('Pivot Data'!$E$2:$E$1912=$B237))*('Pivot Data'!$I$2:$I$1912="Cancelled")*'Pivot Data'!$H$2:$H$1912)</f>
        <v>0</v>
      </c>
      <c r="E237" s="1301">
        <f t="shared" si="3"/>
        <v>50</v>
      </c>
    </row>
    <row r="238" spans="1:5" hidden="1" x14ac:dyDescent="0.25">
      <c r="A238" t="s">
        <v>243</v>
      </c>
      <c r="C238" s="1301" cm="1">
        <f t="array" ref="C238">SUMPRODUCT((CHALLAN!$B$1:$B$16504=A238)*IF(B238="",--(CHALLAN!$C$1:$C$16504=""),--(CHALLAN!$C$1:$C$16504=B238))*IFERROR(CHALLAN!$D$1:$D$16504*CHALLAN!$E$1:$E$16504,0))</f>
        <v>35</v>
      </c>
      <c r="D238" cm="1">
        <f t="array" ref="D238">SUMPRODUCT(('Pivot Data'!$D$2:$D$1912=$A238)*IF($B238="",--('Pivot Data'!$E$2:$E$1912=""),--('Pivot Data'!$E$2:$E$1912=$B238))*('Pivot Data'!$I$2:$I$1912="Cancelled")*'Pivot Data'!$H$2:$H$1912)</f>
        <v>0</v>
      </c>
      <c r="E238" s="1301">
        <f t="shared" si="3"/>
        <v>35</v>
      </c>
    </row>
    <row r="239" spans="1:5" hidden="1" x14ac:dyDescent="0.25">
      <c r="A239" t="s">
        <v>1458</v>
      </c>
      <c r="C239" s="1301" cm="1">
        <f t="array" ref="C239">SUMPRODUCT((CHALLAN!$B$1:$B$16504=A239)*IF(B239="",--(CHALLAN!$C$1:$C$16504=""),--(CHALLAN!$C$1:$C$16504=B239))*IFERROR(CHALLAN!$D$1:$D$16504*CHALLAN!$E$1:$E$16504,0))</f>
        <v>30</v>
      </c>
      <c r="D239" cm="1">
        <f t="array" ref="D239">SUMPRODUCT(('Pivot Data'!$D$2:$D$1912=$A239)*IF($B239="",--('Pivot Data'!$E$2:$E$1912=""),--('Pivot Data'!$E$2:$E$1912=$B239))*('Pivot Data'!$I$2:$I$1912="Cancelled")*'Pivot Data'!$H$2:$H$1912)</f>
        <v>0</v>
      </c>
      <c r="E239" s="1301">
        <f t="shared" si="3"/>
        <v>30</v>
      </c>
    </row>
    <row r="240" spans="1:5" hidden="1" x14ac:dyDescent="0.25">
      <c r="A240" t="s">
        <v>1447</v>
      </c>
      <c r="C240" s="1301" cm="1">
        <f t="array" ref="C240">SUMPRODUCT((CHALLAN!$B$1:$B$16504=A240)*IF(B240="",--(CHALLAN!$C$1:$C$16504=""),--(CHALLAN!$C$1:$C$16504=B240))*IFERROR(CHALLAN!$D$1:$D$16504*CHALLAN!$E$1:$E$16504,0))</f>
        <v>240</v>
      </c>
      <c r="D240" cm="1">
        <f t="array" ref="D240">SUMPRODUCT(('Pivot Data'!$D$2:$D$1912=$A240)*IF($B240="",--('Pivot Data'!$E$2:$E$1912=""),--('Pivot Data'!$E$2:$E$1912=$B240))*('Pivot Data'!$I$2:$I$1912="Cancelled")*'Pivot Data'!$H$2:$H$1912)</f>
        <v>0</v>
      </c>
      <c r="E240" s="1301">
        <f t="shared" si="3"/>
        <v>240</v>
      </c>
    </row>
    <row r="241" spans="1:5" hidden="1" x14ac:dyDescent="0.25">
      <c r="A241" t="s">
        <v>1399</v>
      </c>
      <c r="C241" s="1301" cm="1">
        <f t="array" ref="C241">SUMPRODUCT((CHALLAN!$B$1:$B$16504=A241)*IF(B241="",--(CHALLAN!$C$1:$C$16504=""),--(CHALLAN!$C$1:$C$16504=B241))*IFERROR(CHALLAN!$D$1:$D$16504*CHALLAN!$E$1:$E$16504,0))</f>
        <v>130</v>
      </c>
      <c r="D241" cm="1">
        <f t="array" ref="D241">SUMPRODUCT(('Pivot Data'!$D$2:$D$1912=$A241)*IF($B241="",--('Pivot Data'!$E$2:$E$1912=""),--('Pivot Data'!$E$2:$E$1912=$B241))*('Pivot Data'!$I$2:$I$1912="Cancelled")*'Pivot Data'!$H$2:$H$1912)</f>
        <v>0</v>
      </c>
      <c r="E241" s="1301">
        <f t="shared" si="3"/>
        <v>130</v>
      </c>
    </row>
    <row r="242" spans="1:5" hidden="1" x14ac:dyDescent="0.25">
      <c r="A242" t="s">
        <v>262</v>
      </c>
      <c r="C242" s="1301" cm="1">
        <f t="array" ref="C242">SUMPRODUCT((CHALLAN!$B$1:$B$16504=A242)*IF(B242="",--(CHALLAN!$C$1:$C$16504=""),--(CHALLAN!$C$1:$C$16504=B242))*IFERROR(CHALLAN!$D$1:$D$16504*CHALLAN!$E$1:$E$16504,0))</f>
        <v>100</v>
      </c>
      <c r="D242" cm="1">
        <f t="array" ref="D242">SUMPRODUCT(('Pivot Data'!$D$2:$D$1912=$A242)*IF($B242="",--('Pivot Data'!$E$2:$E$1912=""),--('Pivot Data'!$E$2:$E$1912=$B242))*('Pivot Data'!$I$2:$I$1912="Cancelled")*'Pivot Data'!$H$2:$H$1912)</f>
        <v>0</v>
      </c>
      <c r="E242" s="1301">
        <f t="shared" si="3"/>
        <v>100</v>
      </c>
    </row>
    <row r="243" spans="1:5" hidden="1" x14ac:dyDescent="0.25">
      <c r="A243" t="s">
        <v>1163</v>
      </c>
      <c r="B243" t="s">
        <v>1164</v>
      </c>
      <c r="C243" s="1301" cm="1">
        <f t="array" ref="C243">SUMPRODUCT((CHALLAN!$B$1:$B$16504=A243)*IF(B243="",--(CHALLAN!$C$1:$C$16504=""),--(CHALLAN!$C$1:$C$16504=B243))*IFERROR(CHALLAN!$D$1:$D$16504*CHALLAN!$E$1:$E$16504,0))</f>
        <v>15</v>
      </c>
      <c r="D243" cm="1">
        <f t="array" ref="D243">SUMPRODUCT(('Pivot Data'!$D$2:$D$1912=$A243)*IF($B243="",--('Pivot Data'!$E$2:$E$1912=""),--('Pivot Data'!$E$2:$E$1912=$B243))*('Pivot Data'!$I$2:$I$1912="Cancelled")*'Pivot Data'!$H$2:$H$1912)</f>
        <v>0</v>
      </c>
      <c r="E243" s="1301">
        <f t="shared" si="3"/>
        <v>15</v>
      </c>
    </row>
    <row r="244" spans="1:5" hidden="1" x14ac:dyDescent="0.25">
      <c r="A244" t="s">
        <v>1163</v>
      </c>
      <c r="B244" t="s">
        <v>1165</v>
      </c>
      <c r="C244" s="1301" cm="1">
        <f t="array" ref="C244">SUMPRODUCT((CHALLAN!$B$1:$B$16504=A244)*IF(B244="",--(CHALLAN!$C$1:$C$16504=""),--(CHALLAN!$C$1:$C$16504=B244))*IFERROR(CHALLAN!$D$1:$D$16504*CHALLAN!$E$1:$E$16504,0))</f>
        <v>5</v>
      </c>
      <c r="D244" cm="1">
        <f t="array" ref="D244">SUMPRODUCT(('Pivot Data'!$D$2:$D$1912=$A244)*IF($B244="",--('Pivot Data'!$E$2:$E$1912=""),--('Pivot Data'!$E$2:$E$1912=$B244))*('Pivot Data'!$I$2:$I$1912="Cancelled")*'Pivot Data'!$H$2:$H$1912)</f>
        <v>0</v>
      </c>
      <c r="E244" s="1301">
        <f t="shared" si="3"/>
        <v>5</v>
      </c>
    </row>
    <row r="245" spans="1:5" hidden="1" x14ac:dyDescent="0.25">
      <c r="A245" t="s">
        <v>242</v>
      </c>
      <c r="C245" s="1301" cm="1">
        <f t="array" ref="C245">SUMPRODUCT((CHALLAN!$B$1:$B$16504=A245)*IF(B245="",--(CHALLAN!$C$1:$C$16504=""),--(CHALLAN!$C$1:$C$16504=B245))*IFERROR(CHALLAN!$D$1:$D$16504*CHALLAN!$E$1:$E$16504,0))</f>
        <v>99</v>
      </c>
      <c r="D245" cm="1">
        <f t="array" ref="D245">SUMPRODUCT(('Pivot Data'!$D$2:$D$1912=$A245)*IF($B245="",--('Pivot Data'!$E$2:$E$1912=""),--('Pivot Data'!$E$2:$E$1912=$B245))*('Pivot Data'!$I$2:$I$1912="Cancelled")*'Pivot Data'!$H$2:$H$1912)</f>
        <v>0</v>
      </c>
      <c r="E245" s="1301">
        <f t="shared" si="3"/>
        <v>99</v>
      </c>
    </row>
    <row r="246" spans="1:5" hidden="1" x14ac:dyDescent="0.25">
      <c r="A246" t="s">
        <v>573</v>
      </c>
      <c r="C246" s="1301" cm="1">
        <f t="array" ref="C246">SUMPRODUCT((CHALLAN!$B$1:$B$16504=A246)*IF(B246="",--(CHALLAN!$C$1:$C$16504=""),--(CHALLAN!$C$1:$C$16504=B246))*IFERROR(CHALLAN!$D$1:$D$16504*CHALLAN!$E$1:$E$16504,0))</f>
        <v>5</v>
      </c>
      <c r="D246" cm="1">
        <f t="array" ref="D246">SUMPRODUCT(('Pivot Data'!$D$2:$D$1912=$A246)*IF($B246="",--('Pivot Data'!$E$2:$E$1912=""),--('Pivot Data'!$E$2:$E$1912=$B246))*('Pivot Data'!$I$2:$I$1912="Cancelled")*'Pivot Data'!$H$2:$H$1912)</f>
        <v>0</v>
      </c>
      <c r="E246" s="1301">
        <f t="shared" si="3"/>
        <v>5</v>
      </c>
    </row>
    <row r="247" spans="1:5" hidden="1" x14ac:dyDescent="0.25">
      <c r="A247" t="s">
        <v>1665</v>
      </c>
      <c r="B247" t="s">
        <v>94</v>
      </c>
      <c r="C247" s="1301" cm="1">
        <f t="array" ref="C247">SUMPRODUCT((CHALLAN!$B$1:$B$16504=A247)*IF(B247="",--(CHALLAN!$C$1:$C$16504=""),--(CHALLAN!$C$1:$C$16504=B247))*IFERROR(CHALLAN!$D$1:$D$16504*CHALLAN!$E$1:$E$16504,0))</f>
        <v>2</v>
      </c>
      <c r="D247" cm="1">
        <f t="array" ref="D247">SUMPRODUCT(('Pivot Data'!$D$2:$D$1912=$A247)*IF($B247="",--('Pivot Data'!$E$2:$E$1912=""),--('Pivot Data'!$E$2:$E$1912=$B247))*('Pivot Data'!$I$2:$I$1912="Cancelled")*'Pivot Data'!$H$2:$H$1912)</f>
        <v>0</v>
      </c>
      <c r="E247" s="1301">
        <f t="shared" si="3"/>
        <v>2</v>
      </c>
    </row>
    <row r="248" spans="1:5" hidden="1" x14ac:dyDescent="0.25">
      <c r="A248" t="s">
        <v>943</v>
      </c>
      <c r="B248" t="s">
        <v>854</v>
      </c>
      <c r="C248" s="1301" cm="1">
        <f t="array" ref="C248">SUMPRODUCT((CHALLAN!$B$1:$B$16504=A248)*IF(B248="",--(CHALLAN!$C$1:$C$16504=""),--(CHALLAN!$C$1:$C$16504=B248))*IFERROR(CHALLAN!$D$1:$D$16504*CHALLAN!$E$1:$E$16504,0))</f>
        <v>10</v>
      </c>
      <c r="D248" cm="1">
        <f t="array" ref="D248">SUMPRODUCT(('Pivot Data'!$D$2:$D$1912=$A248)*IF($B248="",--('Pivot Data'!$E$2:$E$1912=""),--('Pivot Data'!$E$2:$E$1912=$B248))*('Pivot Data'!$I$2:$I$1912="Cancelled")*'Pivot Data'!$H$2:$H$1912)</f>
        <v>0</v>
      </c>
      <c r="E248" s="1301">
        <f t="shared" si="3"/>
        <v>10</v>
      </c>
    </row>
    <row r="249" spans="1:5" hidden="1" x14ac:dyDescent="0.25">
      <c r="A249" t="s">
        <v>1463</v>
      </c>
      <c r="C249" s="1301" cm="1">
        <f t="array" ref="C249">SUMPRODUCT((CHALLAN!$B$1:$B$16504=A249)*IF(B249="",--(CHALLAN!$C$1:$C$16504=""),--(CHALLAN!$C$1:$C$16504=B249))*IFERROR(CHALLAN!$D$1:$D$16504*CHALLAN!$E$1:$E$16504,0))</f>
        <v>20</v>
      </c>
      <c r="D249" cm="1">
        <f t="array" ref="D249">SUMPRODUCT(('Pivot Data'!$D$2:$D$1912=$A249)*IF($B249="",--('Pivot Data'!$E$2:$E$1912=""),--('Pivot Data'!$E$2:$E$1912=$B249))*('Pivot Data'!$I$2:$I$1912="Cancelled")*'Pivot Data'!$H$2:$H$1912)</f>
        <v>0</v>
      </c>
      <c r="E249" s="1301">
        <f t="shared" si="3"/>
        <v>20</v>
      </c>
    </row>
    <row r="250" spans="1:5" hidden="1" x14ac:dyDescent="0.25">
      <c r="A250" t="s">
        <v>1469</v>
      </c>
      <c r="C250" s="1301" cm="1">
        <f t="array" ref="C250">SUMPRODUCT((CHALLAN!$B$1:$B$16504=A250)*IF(B250="",--(CHALLAN!$C$1:$C$16504=""),--(CHALLAN!$C$1:$C$16504=B250))*IFERROR(CHALLAN!$D$1:$D$16504*CHALLAN!$E$1:$E$16504,0))</f>
        <v>0</v>
      </c>
      <c r="D250" cm="1">
        <f t="array" ref="D250">SUMPRODUCT(('Pivot Data'!$D$2:$D$1912=$A250)*IF($B250="",--('Pivot Data'!$E$2:$E$1912=""),--('Pivot Data'!$E$2:$E$1912=$B250))*('Pivot Data'!$I$2:$I$1912="Cancelled")*'Pivot Data'!$H$2:$H$1912)</f>
        <v>0</v>
      </c>
      <c r="E250" s="1301">
        <f t="shared" si="3"/>
        <v>0</v>
      </c>
    </row>
    <row r="251" spans="1:5" hidden="1" x14ac:dyDescent="0.25">
      <c r="A251" t="s">
        <v>1300</v>
      </c>
      <c r="B251" t="s">
        <v>367</v>
      </c>
      <c r="C251" s="1301" cm="1">
        <f t="array" ref="C251">SUMPRODUCT((CHALLAN!$B$1:$B$16504=A251)*IF(B251="",--(CHALLAN!$C$1:$C$16504=""),--(CHALLAN!$C$1:$C$16504=B251))*IFERROR(CHALLAN!$D$1:$D$16504*CHALLAN!$E$1:$E$16504,0))</f>
        <v>38</v>
      </c>
      <c r="D251" cm="1">
        <f t="array" ref="D251">SUMPRODUCT(('Pivot Data'!$D$2:$D$1912=$A251)*IF($B251="",--('Pivot Data'!$E$2:$E$1912=""),--('Pivot Data'!$E$2:$E$1912=$B251))*('Pivot Data'!$I$2:$I$1912="Cancelled")*'Pivot Data'!$H$2:$H$1912)</f>
        <v>0</v>
      </c>
      <c r="E251" s="1301">
        <f t="shared" si="3"/>
        <v>38</v>
      </c>
    </row>
    <row r="252" spans="1:5" hidden="1" x14ac:dyDescent="0.25">
      <c r="A252" s="1302" t="s">
        <v>134</v>
      </c>
      <c r="C252" s="1301" cm="1">
        <f t="array" ref="C252">SUMPRODUCT((CHALLAN!$B$1:$B$16504=A252)*IF(B252="",--(CHALLAN!$C$1:$C$16504=""),--(CHALLAN!$C$1:$C$16504=B252))*IFERROR(CHALLAN!$D$1:$D$16504*CHALLAN!$E$1:$E$16504,0))</f>
        <v>35</v>
      </c>
      <c r="D252" cm="1">
        <f t="array" ref="D252">SUMPRODUCT(('Pivot Data'!$D$2:$D$1912=$A252)*IF($B252="",--('Pivot Data'!$E$2:$E$1912=""),--('Pivot Data'!$E$2:$E$1912=$B252))*('Pivot Data'!$I$2:$I$1912="Cancelled")*'Pivot Data'!$H$2:$H$1912)</f>
        <v>0</v>
      </c>
      <c r="E252" s="1301">
        <f t="shared" si="3"/>
        <v>35</v>
      </c>
    </row>
    <row r="253" spans="1:5" hidden="1" x14ac:dyDescent="0.25">
      <c r="A253" t="s">
        <v>134</v>
      </c>
      <c r="B253" t="s">
        <v>332</v>
      </c>
      <c r="C253" s="1301" cm="1">
        <f t="array" ref="C253">SUMPRODUCT((CHALLAN!$B$1:$B$16504=A253)*IF(B253="",--(CHALLAN!$C$1:$C$16504=""),--(CHALLAN!$C$1:$C$16504=B253))*IFERROR(CHALLAN!$D$1:$D$16504*CHALLAN!$E$1:$E$16504,0))</f>
        <v>80</v>
      </c>
      <c r="D253" cm="1">
        <f t="array" ref="D253">SUMPRODUCT(('Pivot Data'!$D$2:$D$1912=$A253)*IF($B253="",--('Pivot Data'!$E$2:$E$1912=""),--('Pivot Data'!$E$2:$E$1912=$B253))*('Pivot Data'!$I$2:$I$1912="Cancelled")*'Pivot Data'!$H$2:$H$1912)</f>
        <v>0</v>
      </c>
      <c r="E253" s="1301">
        <f t="shared" si="3"/>
        <v>80</v>
      </c>
    </row>
    <row r="254" spans="1:5" hidden="1" x14ac:dyDescent="0.25">
      <c r="A254" t="s">
        <v>1894</v>
      </c>
      <c r="B254" t="s">
        <v>332</v>
      </c>
      <c r="C254" s="1301" cm="1">
        <f t="array" ref="C254">SUMPRODUCT((CHALLAN!$B$1:$B$16504=A254)*IF(B254="",--(CHALLAN!$C$1:$C$16504=""),--(CHALLAN!$C$1:$C$16504=B254))*IFERROR(CHALLAN!$D$1:$D$16504*CHALLAN!$E$1:$E$16504,0))</f>
        <v>5</v>
      </c>
      <c r="D254" cm="1">
        <f t="array" ref="D254">SUMPRODUCT(('Pivot Data'!$D$2:$D$1912=$A254)*IF($B254="",--('Pivot Data'!$E$2:$E$1912=""),--('Pivot Data'!$E$2:$E$1912=$B254))*('Pivot Data'!$I$2:$I$1912="Cancelled")*'Pivot Data'!$H$2:$H$1912)</f>
        <v>0</v>
      </c>
      <c r="E254" s="1301">
        <f t="shared" si="3"/>
        <v>5</v>
      </c>
    </row>
    <row r="255" spans="1:5" hidden="1" x14ac:dyDescent="0.25">
      <c r="A255" t="s">
        <v>197</v>
      </c>
      <c r="B255" t="s">
        <v>367</v>
      </c>
      <c r="C255" s="1301" cm="1">
        <f t="array" ref="C255">SUMPRODUCT((CHALLAN!$B$1:$B$16504=A255)*IF(B255="",--(CHALLAN!$C$1:$C$16504=""),--(CHALLAN!$C$1:$C$16504=B255))*IFERROR(CHALLAN!$D$1:$D$16504*CHALLAN!$E$1:$E$16504,0))</f>
        <v>6</v>
      </c>
      <c r="D255" cm="1">
        <f t="array" ref="D255">SUMPRODUCT(('Pivot Data'!$D$2:$D$1912=$A255)*IF($B255="",--('Pivot Data'!$E$2:$E$1912=""),--('Pivot Data'!$E$2:$E$1912=$B255))*('Pivot Data'!$I$2:$I$1912="Cancelled")*'Pivot Data'!$H$2:$H$1912)</f>
        <v>0</v>
      </c>
      <c r="E255" s="1301">
        <f t="shared" si="3"/>
        <v>6</v>
      </c>
    </row>
    <row r="256" spans="1:5" hidden="1" x14ac:dyDescent="0.25">
      <c r="A256" t="s">
        <v>801</v>
      </c>
      <c r="B256" t="s">
        <v>383</v>
      </c>
      <c r="C256" s="1301" cm="1">
        <f t="array" ref="C256">SUMPRODUCT((CHALLAN!$B$1:$B$16504=A256)*IF(B256="",--(CHALLAN!$C$1:$C$16504=""),--(CHALLAN!$C$1:$C$16504=B256))*IFERROR(CHALLAN!$D$1:$D$16504*CHALLAN!$E$1:$E$16504,0))</f>
        <v>42</v>
      </c>
      <c r="D256" cm="1">
        <f t="array" ref="D256">SUMPRODUCT(('Pivot Data'!$D$2:$D$1912=$A256)*IF($B256="",--('Pivot Data'!$E$2:$E$1912=""),--('Pivot Data'!$E$2:$E$1912=$B256))*('Pivot Data'!$I$2:$I$1912="Cancelled")*'Pivot Data'!$H$2:$H$1912)</f>
        <v>0</v>
      </c>
      <c r="E256" s="1301">
        <f t="shared" si="3"/>
        <v>42</v>
      </c>
    </row>
    <row r="257" spans="1:5" hidden="1" x14ac:dyDescent="0.25">
      <c r="A257" t="s">
        <v>801</v>
      </c>
      <c r="B257" t="s">
        <v>333</v>
      </c>
      <c r="C257" s="1301" cm="1">
        <f t="array" ref="C257">SUMPRODUCT((CHALLAN!$B$1:$B$16504=A257)*IF(B257="",--(CHALLAN!$C$1:$C$16504=""),--(CHALLAN!$C$1:$C$16504=B257))*IFERROR(CHALLAN!$D$1:$D$16504*CHALLAN!$E$1:$E$16504,0))</f>
        <v>35</v>
      </c>
      <c r="D257" cm="1">
        <f t="array" ref="D257">SUMPRODUCT(('Pivot Data'!$D$2:$D$1912=$A257)*IF($B257="",--('Pivot Data'!$E$2:$E$1912=""),--('Pivot Data'!$E$2:$E$1912=$B257))*('Pivot Data'!$I$2:$I$1912="Cancelled")*'Pivot Data'!$H$2:$H$1912)</f>
        <v>0</v>
      </c>
      <c r="E257" s="1301">
        <f t="shared" si="3"/>
        <v>35</v>
      </c>
    </row>
    <row r="258" spans="1:5" hidden="1" x14ac:dyDescent="0.25">
      <c r="A258" t="s">
        <v>1298</v>
      </c>
      <c r="C258" s="1301" cm="1">
        <f t="array" ref="C258">SUMPRODUCT((CHALLAN!$B$1:$B$16504=A258)*IF(B258="",--(CHALLAN!$C$1:$C$16504=""),--(CHALLAN!$C$1:$C$16504=B258))*IFERROR(CHALLAN!$D$1:$D$16504*CHALLAN!$E$1:$E$16504,0))</f>
        <v>5</v>
      </c>
      <c r="D258" cm="1">
        <f t="array" ref="D258">SUMPRODUCT(('Pivot Data'!$D$2:$D$1912=$A258)*IF($B258="",--('Pivot Data'!$E$2:$E$1912=""),--('Pivot Data'!$E$2:$E$1912=$B258))*('Pivot Data'!$I$2:$I$1912="Cancelled")*'Pivot Data'!$H$2:$H$1912)</f>
        <v>0</v>
      </c>
      <c r="E258" s="1301">
        <f t="shared" si="3"/>
        <v>5</v>
      </c>
    </row>
    <row r="259" spans="1:5" hidden="1" x14ac:dyDescent="0.25">
      <c r="A259" t="s">
        <v>1298</v>
      </c>
      <c r="B259" t="s">
        <v>393</v>
      </c>
      <c r="C259" s="1301" cm="1">
        <f t="array" ref="C259">SUMPRODUCT((CHALLAN!$B$1:$B$16504=A259)*IF(B259="",--(CHALLAN!$C$1:$C$16504=""),--(CHALLAN!$C$1:$C$16504=B259))*IFERROR(CHALLAN!$D$1:$D$16504*CHALLAN!$E$1:$E$16504,0))</f>
        <v>36</v>
      </c>
      <c r="D259" cm="1">
        <f t="array" ref="D259">SUMPRODUCT(('Pivot Data'!$D$2:$D$1912=$A259)*IF($B259="",--('Pivot Data'!$E$2:$E$1912=""),--('Pivot Data'!$E$2:$E$1912=$B259))*('Pivot Data'!$I$2:$I$1912="Cancelled")*'Pivot Data'!$H$2:$H$1912)</f>
        <v>0</v>
      </c>
      <c r="E259" s="1301">
        <f t="shared" si="3"/>
        <v>36</v>
      </c>
    </row>
    <row r="260" spans="1:5" hidden="1" x14ac:dyDescent="0.25">
      <c r="A260" t="s">
        <v>1298</v>
      </c>
      <c r="B260" t="s">
        <v>337</v>
      </c>
      <c r="C260" s="1301" cm="1">
        <f t="array" ref="C260">SUMPRODUCT((CHALLAN!$B$1:$B$16504=A260)*IF(B260="",--(CHALLAN!$C$1:$C$16504=""),--(CHALLAN!$C$1:$C$16504=B260))*IFERROR(CHALLAN!$D$1:$D$16504*CHALLAN!$E$1:$E$16504,0))</f>
        <v>45</v>
      </c>
      <c r="D260" cm="1">
        <f t="array" ref="D260">SUMPRODUCT(('Pivot Data'!$D$2:$D$1912=$A260)*IF($B260="",--('Pivot Data'!$E$2:$E$1912=""),--('Pivot Data'!$E$2:$E$1912=$B260))*('Pivot Data'!$I$2:$I$1912="Cancelled")*'Pivot Data'!$H$2:$H$1912)</f>
        <v>0</v>
      </c>
      <c r="E260" s="1301">
        <f t="shared" si="3"/>
        <v>45</v>
      </c>
    </row>
    <row r="261" spans="1:5" hidden="1" x14ac:dyDescent="0.25">
      <c r="A261" t="s">
        <v>1848</v>
      </c>
      <c r="B261" t="s">
        <v>1474</v>
      </c>
      <c r="C261" s="1301" cm="1">
        <f t="array" ref="C261">SUMPRODUCT((CHALLAN!$B$1:$B$16504=A261)*IF(B261="",--(CHALLAN!$C$1:$C$16504=""),--(CHALLAN!$C$1:$C$16504=B261))*IFERROR(CHALLAN!$D$1:$D$16504*CHALLAN!$E$1:$E$16504,0))</f>
        <v>8200</v>
      </c>
      <c r="D261" cm="1">
        <f t="array" ref="D261">SUMPRODUCT(('Pivot Data'!$D$2:$D$1912=$A261)*IF($B261="",--('Pivot Data'!$E$2:$E$1912=""),--('Pivot Data'!$E$2:$E$1912=$B261))*('Pivot Data'!$I$2:$I$1912="Cancelled")*'Pivot Data'!$H$2:$H$1912)</f>
        <v>0</v>
      </c>
      <c r="E261" s="1301">
        <f t="shared" ref="E261:E324" si="4">C261-D261</f>
        <v>8200</v>
      </c>
    </row>
    <row r="262" spans="1:5" hidden="1" x14ac:dyDescent="0.25">
      <c r="A262" t="s">
        <v>1473</v>
      </c>
      <c r="B262" t="s">
        <v>1474</v>
      </c>
      <c r="C262" s="1301" cm="1">
        <f t="array" ref="C262">SUMPRODUCT((CHALLAN!$B$1:$B$16504=A262)*IF(B262="",--(CHALLAN!$C$1:$C$16504=""),--(CHALLAN!$C$1:$C$16504=B262))*IFERROR(CHALLAN!$D$1:$D$16504*CHALLAN!$E$1:$E$16504,0))</f>
        <v>2</v>
      </c>
      <c r="D262" cm="1">
        <f t="array" ref="D262">SUMPRODUCT(('Pivot Data'!$D$2:$D$1912=$A262)*IF($B262="",--('Pivot Data'!$E$2:$E$1912=""),--('Pivot Data'!$E$2:$E$1912=$B262))*('Pivot Data'!$I$2:$I$1912="Cancelled")*'Pivot Data'!$H$2:$H$1912)</f>
        <v>0</v>
      </c>
      <c r="E262" s="1301">
        <f t="shared" si="4"/>
        <v>2</v>
      </c>
    </row>
    <row r="263" spans="1:5" hidden="1" x14ac:dyDescent="0.25">
      <c r="A263" t="s">
        <v>773</v>
      </c>
      <c r="B263" t="s">
        <v>435</v>
      </c>
      <c r="C263" s="1301" cm="1">
        <f t="array" ref="C263">SUMPRODUCT((CHALLAN!$B$1:$B$16504=A263)*IF(B263="",--(CHALLAN!$C$1:$C$16504=""),--(CHALLAN!$C$1:$C$16504=B263))*IFERROR(CHALLAN!$D$1:$D$16504*CHALLAN!$E$1:$E$16504,0))</f>
        <v>25</v>
      </c>
      <c r="D263" cm="1">
        <f t="array" ref="D263">SUMPRODUCT(('Pivot Data'!$D$2:$D$1912=$A263)*IF($B263="",--('Pivot Data'!$E$2:$E$1912=""),--('Pivot Data'!$E$2:$E$1912=$B263))*('Pivot Data'!$I$2:$I$1912="Cancelled")*'Pivot Data'!$H$2:$H$1912)</f>
        <v>0</v>
      </c>
      <c r="E263" s="1301">
        <f t="shared" si="4"/>
        <v>25</v>
      </c>
    </row>
    <row r="264" spans="1:5" hidden="1" x14ac:dyDescent="0.25">
      <c r="A264" t="s">
        <v>772</v>
      </c>
      <c r="B264" t="s">
        <v>57</v>
      </c>
      <c r="C264" s="1301" cm="1">
        <f t="array" ref="C264">SUMPRODUCT((CHALLAN!$B$1:$B$16504=A264)*IF(B264="",--(CHALLAN!$C$1:$C$16504=""),--(CHALLAN!$C$1:$C$16504=B264))*IFERROR(CHALLAN!$D$1:$D$16504*CHALLAN!$E$1:$E$16504,0))</f>
        <v>200</v>
      </c>
      <c r="D264" cm="1">
        <f t="array" ref="D264">SUMPRODUCT(('Pivot Data'!$D$2:$D$1912=$A264)*IF($B264="",--('Pivot Data'!$E$2:$E$1912=""),--('Pivot Data'!$E$2:$E$1912=$B264))*('Pivot Data'!$I$2:$I$1912="Cancelled")*'Pivot Data'!$H$2:$H$1912)</f>
        <v>0</v>
      </c>
      <c r="E264" s="1301">
        <f t="shared" si="4"/>
        <v>200</v>
      </c>
    </row>
    <row r="265" spans="1:5" hidden="1" x14ac:dyDescent="0.25">
      <c r="A265" t="s">
        <v>779</v>
      </c>
      <c r="B265" t="s">
        <v>429</v>
      </c>
      <c r="C265" s="1301" cm="1">
        <f t="array" ref="C265">SUMPRODUCT((CHALLAN!$B$1:$B$16504=A265)*IF(B265="",--(CHALLAN!$C$1:$C$16504=""),--(CHALLAN!$C$1:$C$16504=B265))*IFERROR(CHALLAN!$D$1:$D$16504*CHALLAN!$E$1:$E$16504,0))</f>
        <v>10</v>
      </c>
      <c r="D265" cm="1">
        <f t="array" ref="D265">SUMPRODUCT(('Pivot Data'!$D$2:$D$1912=$A265)*IF($B265="",--('Pivot Data'!$E$2:$E$1912=""),--('Pivot Data'!$E$2:$E$1912=$B265))*('Pivot Data'!$I$2:$I$1912="Cancelled")*'Pivot Data'!$H$2:$H$1912)</f>
        <v>0</v>
      </c>
      <c r="E265" s="1301">
        <f t="shared" si="4"/>
        <v>10</v>
      </c>
    </row>
    <row r="266" spans="1:5" hidden="1" x14ac:dyDescent="0.25">
      <c r="A266" t="s">
        <v>776</v>
      </c>
      <c r="B266" t="s">
        <v>432</v>
      </c>
      <c r="C266" s="1301" cm="1">
        <f t="array" ref="C266">SUMPRODUCT((CHALLAN!$B$1:$B$16504=A266)*IF(B266="",--(CHALLAN!$C$1:$C$16504=""),--(CHALLAN!$C$1:$C$16504=B266))*IFERROR(CHALLAN!$D$1:$D$16504*CHALLAN!$E$1:$E$16504,0))</f>
        <v>25</v>
      </c>
      <c r="D266" cm="1">
        <f t="array" ref="D266">SUMPRODUCT(('Pivot Data'!$D$2:$D$1912=$A266)*IF($B266="",--('Pivot Data'!$E$2:$E$1912=""),--('Pivot Data'!$E$2:$E$1912=$B266))*('Pivot Data'!$I$2:$I$1912="Cancelled")*'Pivot Data'!$H$2:$H$1912)</f>
        <v>0</v>
      </c>
      <c r="E266" s="1301">
        <f t="shared" si="4"/>
        <v>25</v>
      </c>
    </row>
    <row r="267" spans="1:5" hidden="1" x14ac:dyDescent="0.25">
      <c r="A267" t="s">
        <v>1173</v>
      </c>
      <c r="B267" t="s">
        <v>424</v>
      </c>
      <c r="C267" s="1301" cm="1">
        <f t="array" ref="C267">SUMPRODUCT((CHALLAN!$B$1:$B$16504=A267)*IF(B267="",--(CHALLAN!$C$1:$C$16504=""),--(CHALLAN!$C$1:$C$16504=B267))*IFERROR(CHALLAN!$D$1:$D$16504*CHALLAN!$E$1:$E$16504,0))</f>
        <v>50</v>
      </c>
      <c r="D267" cm="1">
        <f t="array" ref="D267">SUMPRODUCT(('Pivot Data'!$D$2:$D$1912=$A267)*IF($B267="",--('Pivot Data'!$E$2:$E$1912=""),--('Pivot Data'!$E$2:$E$1912=$B267))*('Pivot Data'!$I$2:$I$1912="Cancelled")*'Pivot Data'!$H$2:$H$1912)</f>
        <v>0</v>
      </c>
      <c r="E267" s="1301">
        <f t="shared" si="4"/>
        <v>50</v>
      </c>
    </row>
    <row r="268" spans="1:5" hidden="1" x14ac:dyDescent="0.25">
      <c r="A268" t="s">
        <v>1983</v>
      </c>
      <c r="C268" s="1301" cm="1">
        <f t="array" ref="C268">SUMPRODUCT((CHALLAN!$B$1:$B$16504=A268)*IF(B268="",--(CHALLAN!$C$1:$C$16504=""),--(CHALLAN!$C$1:$C$16504=B268))*IFERROR(CHALLAN!$D$1:$D$16504*CHALLAN!$E$1:$E$16504,0))</f>
        <v>30</v>
      </c>
      <c r="D268" cm="1">
        <f t="array" ref="D268">SUMPRODUCT(('Pivot Data'!$D$2:$D$1912=$A268)*IF($B268="",--('Pivot Data'!$E$2:$E$1912=""),--('Pivot Data'!$E$2:$E$1912=$B268))*('Pivot Data'!$I$2:$I$1912="Cancelled")*'Pivot Data'!$H$2:$H$1912)</f>
        <v>0</v>
      </c>
      <c r="E268" s="1301">
        <f t="shared" si="4"/>
        <v>30</v>
      </c>
    </row>
    <row r="269" spans="1:5" hidden="1" x14ac:dyDescent="0.25">
      <c r="A269" t="s">
        <v>1993</v>
      </c>
      <c r="C269" s="1301" cm="1">
        <f t="array" ref="C269">SUMPRODUCT((CHALLAN!$B$1:$B$16504=A269)*IF(B269="",--(CHALLAN!$C$1:$C$16504=""),--(CHALLAN!$C$1:$C$16504=B269))*IFERROR(CHALLAN!$D$1:$D$16504*CHALLAN!$E$1:$E$16504,0))</f>
        <v>10</v>
      </c>
      <c r="D269" cm="1">
        <f t="array" ref="D269">SUMPRODUCT(('Pivot Data'!$D$2:$D$1912=$A269)*IF($B269="",--('Pivot Data'!$E$2:$E$1912=""),--('Pivot Data'!$E$2:$E$1912=$B269))*('Pivot Data'!$I$2:$I$1912="Cancelled")*'Pivot Data'!$H$2:$H$1912)</f>
        <v>0</v>
      </c>
      <c r="E269" s="1301">
        <f t="shared" si="4"/>
        <v>10</v>
      </c>
    </row>
    <row r="270" spans="1:5" hidden="1" x14ac:dyDescent="0.25">
      <c r="A270" t="s">
        <v>1325</v>
      </c>
      <c r="B270" t="s">
        <v>374</v>
      </c>
      <c r="C270" s="1301" cm="1">
        <f t="array" ref="C270">SUMPRODUCT((CHALLAN!$B$1:$B$16504=A270)*IF(B270="",--(CHALLAN!$C$1:$C$16504=""),--(CHALLAN!$C$1:$C$16504=B270))*IFERROR(CHALLAN!$D$1:$D$16504*CHALLAN!$E$1:$E$16504,0))</f>
        <v>66</v>
      </c>
      <c r="D270" cm="1">
        <f t="array" ref="D270">SUMPRODUCT(('Pivot Data'!$D$2:$D$1912=$A270)*IF($B270="",--('Pivot Data'!$E$2:$E$1912=""),--('Pivot Data'!$E$2:$E$1912=$B270))*('Pivot Data'!$I$2:$I$1912="Cancelled")*'Pivot Data'!$H$2:$H$1912)</f>
        <v>0</v>
      </c>
      <c r="E270" s="1301">
        <f t="shared" si="4"/>
        <v>66</v>
      </c>
    </row>
    <row r="271" spans="1:5" hidden="1" x14ac:dyDescent="0.25">
      <c r="A271" t="s">
        <v>143</v>
      </c>
      <c r="B271" t="s">
        <v>339</v>
      </c>
      <c r="C271" s="1301" cm="1">
        <f t="array" ref="C271">SUMPRODUCT((CHALLAN!$B$1:$B$16504=A271)*IF(B271="",--(CHALLAN!$C$1:$C$16504=""),--(CHALLAN!$C$1:$C$16504=B271))*IFERROR(CHALLAN!$D$1:$D$16504*CHALLAN!$E$1:$E$16504,0))</f>
        <v>55</v>
      </c>
      <c r="D271" cm="1">
        <f t="array" ref="D271">SUMPRODUCT(('Pivot Data'!$D$2:$D$1912=$A271)*IF($B271="",--('Pivot Data'!$E$2:$E$1912=""),--('Pivot Data'!$E$2:$E$1912=$B271))*('Pivot Data'!$I$2:$I$1912="Cancelled")*'Pivot Data'!$H$2:$H$1912)</f>
        <v>0</v>
      </c>
      <c r="E271" s="1301">
        <f t="shared" si="4"/>
        <v>55</v>
      </c>
    </row>
    <row r="272" spans="1:5" hidden="1" x14ac:dyDescent="0.25">
      <c r="A272" t="s">
        <v>1988</v>
      </c>
      <c r="C272" s="1301" cm="1">
        <f t="array" ref="C272">SUMPRODUCT((CHALLAN!$B$1:$B$16504=A272)*IF(B272="",--(CHALLAN!$C$1:$C$16504=""),--(CHALLAN!$C$1:$C$16504=B272))*IFERROR(CHALLAN!$D$1:$D$16504*CHALLAN!$E$1:$E$16504,0))</f>
        <v>5</v>
      </c>
      <c r="D272" cm="1">
        <f t="array" ref="D272">SUMPRODUCT(('Pivot Data'!$D$2:$D$1912=$A272)*IF($B272="",--('Pivot Data'!$E$2:$E$1912=""),--('Pivot Data'!$E$2:$E$1912=$B272))*('Pivot Data'!$I$2:$I$1912="Cancelled")*'Pivot Data'!$H$2:$H$1912)</f>
        <v>0</v>
      </c>
      <c r="E272" s="1301">
        <f t="shared" si="4"/>
        <v>5</v>
      </c>
    </row>
    <row r="273" spans="1:5" hidden="1" x14ac:dyDescent="0.25">
      <c r="A273" t="s">
        <v>2285</v>
      </c>
      <c r="C273" s="1301" cm="1">
        <f t="array" ref="C273">SUMPRODUCT((CHALLAN!$B$1:$B$16504=A273)*IF(B273="",--(CHALLAN!$C$1:$C$16504=""),--(CHALLAN!$C$1:$C$16504=B273))*IFERROR(CHALLAN!$D$1:$D$16504*CHALLAN!$E$1:$E$16504,0))</f>
        <v>30</v>
      </c>
      <c r="D273" cm="1">
        <f t="array" ref="D273">SUMPRODUCT(('Pivot Data'!$D$2:$D$1912=$A273)*IF($B273="",--('Pivot Data'!$E$2:$E$1912=""),--('Pivot Data'!$E$2:$E$1912=$B273))*('Pivot Data'!$I$2:$I$1912="Cancelled")*'Pivot Data'!$H$2:$H$1912)</f>
        <v>0</v>
      </c>
      <c r="E273" s="1301">
        <f t="shared" si="4"/>
        <v>30</v>
      </c>
    </row>
    <row r="274" spans="1:5" hidden="1" x14ac:dyDescent="0.25">
      <c r="A274" t="s">
        <v>1611</v>
      </c>
      <c r="B274" t="s">
        <v>345</v>
      </c>
      <c r="C274" s="1301" cm="1">
        <f t="array" ref="C274">SUMPRODUCT((CHALLAN!$B$1:$B$16504=A274)*IF(B274="",--(CHALLAN!$C$1:$C$16504=""),--(CHALLAN!$C$1:$C$16504=B274))*IFERROR(CHALLAN!$D$1:$D$16504*CHALLAN!$E$1:$E$16504,0))</f>
        <v>2</v>
      </c>
      <c r="D274" cm="1">
        <f t="array" ref="D274">SUMPRODUCT(('Pivot Data'!$D$2:$D$1912=$A274)*IF($B274="",--('Pivot Data'!$E$2:$E$1912=""),--('Pivot Data'!$E$2:$E$1912=$B274))*('Pivot Data'!$I$2:$I$1912="Cancelled")*'Pivot Data'!$H$2:$H$1912)</f>
        <v>0</v>
      </c>
      <c r="E274" s="1301">
        <f t="shared" si="4"/>
        <v>2</v>
      </c>
    </row>
    <row r="275" spans="1:5" hidden="1" x14ac:dyDescent="0.25">
      <c r="A275" t="s">
        <v>2213</v>
      </c>
      <c r="B275" t="s">
        <v>57</v>
      </c>
      <c r="C275" s="1301" cm="1">
        <f t="array" ref="C275">SUMPRODUCT((CHALLAN!$B$1:$B$16504=A275)*IF(B275="",--(CHALLAN!$C$1:$C$16504=""),--(CHALLAN!$C$1:$C$16504=B275))*IFERROR(CHALLAN!$D$1:$D$16504*CHALLAN!$E$1:$E$16504,0))</f>
        <v>550</v>
      </c>
      <c r="D275" cm="1">
        <f t="array" ref="D275">SUMPRODUCT(('Pivot Data'!$D$2:$D$1912=$A275)*IF($B275="",--('Pivot Data'!$E$2:$E$1912=""),--('Pivot Data'!$E$2:$E$1912=$B275))*('Pivot Data'!$I$2:$I$1912="Cancelled")*'Pivot Data'!$H$2:$H$1912)</f>
        <v>0</v>
      </c>
      <c r="E275" s="1301">
        <f t="shared" si="4"/>
        <v>550</v>
      </c>
    </row>
    <row r="276" spans="1:5" hidden="1" x14ac:dyDescent="0.25">
      <c r="A276" t="s">
        <v>2398</v>
      </c>
      <c r="B276" t="s">
        <v>57</v>
      </c>
      <c r="C276" s="1301" cm="1">
        <f t="array" ref="C276">SUMPRODUCT((CHALLAN!$B$1:$B$16504=A276)*IF(B276="",--(CHALLAN!$C$1:$C$16504=""),--(CHALLAN!$C$1:$C$16504=B276))*IFERROR(CHALLAN!$D$1:$D$16504*CHALLAN!$E$1:$E$16504,0))</f>
        <v>300</v>
      </c>
      <c r="D276" cm="1">
        <f t="array" ref="D276">SUMPRODUCT(('Pivot Data'!$D$2:$D$1912=$A276)*IF($B276="",--('Pivot Data'!$E$2:$E$1912=""),--('Pivot Data'!$E$2:$E$1912=$B276))*('Pivot Data'!$I$2:$I$1912="Cancelled")*'Pivot Data'!$H$2:$H$1912)</f>
        <v>0</v>
      </c>
      <c r="E276" s="1301">
        <f t="shared" si="4"/>
        <v>300</v>
      </c>
    </row>
    <row r="277" spans="1:5" hidden="1" x14ac:dyDescent="0.25">
      <c r="A277" t="s">
        <v>2212</v>
      </c>
      <c r="B277" t="s">
        <v>61</v>
      </c>
      <c r="C277" s="1301" cm="1">
        <f t="array" ref="C277">SUMPRODUCT((CHALLAN!$B$1:$B$16504=A277)*IF(B277="",--(CHALLAN!$C$1:$C$16504=""),--(CHALLAN!$C$1:$C$16504=B277))*IFERROR(CHALLAN!$D$1:$D$16504*CHALLAN!$E$1:$E$16504,0))</f>
        <v>50</v>
      </c>
      <c r="D277" cm="1">
        <f t="array" ref="D277">SUMPRODUCT(('Pivot Data'!$D$2:$D$1912=$A277)*IF($B277="",--('Pivot Data'!$E$2:$E$1912=""),--('Pivot Data'!$E$2:$E$1912=$B277))*('Pivot Data'!$I$2:$I$1912="Cancelled")*'Pivot Data'!$H$2:$H$1912)</f>
        <v>0</v>
      </c>
      <c r="E277" s="1301">
        <f t="shared" si="4"/>
        <v>50</v>
      </c>
    </row>
    <row r="278" spans="1:5" hidden="1" x14ac:dyDescent="0.25">
      <c r="A278" t="s">
        <v>1726</v>
      </c>
      <c r="B278" t="s">
        <v>412</v>
      </c>
      <c r="C278" s="1301" cm="1">
        <f t="array" ref="C278">SUMPRODUCT((CHALLAN!$B$1:$B$16504=A278)*IF(B278="",--(CHALLAN!$C$1:$C$16504=""),--(CHALLAN!$C$1:$C$16504=B278))*IFERROR(CHALLAN!$D$1:$D$16504*CHALLAN!$E$1:$E$16504,0))</f>
        <v>0</v>
      </c>
      <c r="D278" cm="1">
        <f t="array" ref="D278">SUMPRODUCT(('Pivot Data'!$D$2:$D$1912=$A278)*IF($B278="",--('Pivot Data'!$E$2:$E$1912=""),--('Pivot Data'!$E$2:$E$1912=$B278))*('Pivot Data'!$I$2:$I$1912="Cancelled")*'Pivot Data'!$H$2:$H$1912)</f>
        <v>0</v>
      </c>
      <c r="E278" s="1301">
        <f t="shared" si="4"/>
        <v>0</v>
      </c>
    </row>
    <row r="279" spans="1:5" hidden="1" x14ac:dyDescent="0.25">
      <c r="A279" t="s">
        <v>2207</v>
      </c>
      <c r="B279" t="s">
        <v>406</v>
      </c>
      <c r="C279" s="1301" cm="1">
        <f t="array" ref="C279">SUMPRODUCT((CHALLAN!$B$1:$B$16504=A279)*IF(B279="",--(CHALLAN!$C$1:$C$16504=""),--(CHALLAN!$C$1:$C$16504=B279))*IFERROR(CHALLAN!$D$1:$D$16504*CHALLAN!$E$1:$E$16504,0))</f>
        <v>0</v>
      </c>
      <c r="D279" cm="1">
        <f t="array" ref="D279">SUMPRODUCT(('Pivot Data'!$D$2:$D$1912=$A279)*IF($B279="",--('Pivot Data'!$E$2:$E$1912=""),--('Pivot Data'!$E$2:$E$1912=$B279))*('Pivot Data'!$I$2:$I$1912="Cancelled")*'Pivot Data'!$H$2:$H$1912)</f>
        <v>0</v>
      </c>
      <c r="E279" s="1301">
        <f t="shared" si="4"/>
        <v>0</v>
      </c>
    </row>
    <row r="280" spans="1:5" hidden="1" x14ac:dyDescent="0.25">
      <c r="A280" t="s">
        <v>721</v>
      </c>
      <c r="B280" t="s">
        <v>406</v>
      </c>
      <c r="C280" s="1301" cm="1">
        <f t="array" ref="C280">SUMPRODUCT((CHALLAN!$B$1:$B$16504=A280)*IF(B280="",--(CHALLAN!$C$1:$C$16504=""),--(CHALLAN!$C$1:$C$16504=B280))*IFERROR(CHALLAN!$D$1:$D$16504*CHALLAN!$E$1:$E$16504,0))</f>
        <v>100</v>
      </c>
      <c r="D280" cm="1">
        <f t="array" ref="D280">SUMPRODUCT(('Pivot Data'!$D$2:$D$1912=$A280)*IF($B280="",--('Pivot Data'!$E$2:$E$1912=""),--('Pivot Data'!$E$2:$E$1912=$B280))*('Pivot Data'!$I$2:$I$1912="Cancelled")*'Pivot Data'!$H$2:$H$1912)</f>
        <v>0</v>
      </c>
      <c r="E280" s="1301">
        <f t="shared" si="4"/>
        <v>100</v>
      </c>
    </row>
    <row r="281" spans="1:5" hidden="1" x14ac:dyDescent="0.25">
      <c r="A281" t="s">
        <v>2147</v>
      </c>
      <c r="B281" t="s">
        <v>406</v>
      </c>
      <c r="C281" s="1301" cm="1">
        <f t="array" ref="C281">SUMPRODUCT((CHALLAN!$B$1:$B$16504=A281)*IF(B281="",--(CHALLAN!$C$1:$C$16504=""),--(CHALLAN!$C$1:$C$16504=B281))*IFERROR(CHALLAN!$D$1:$D$16504*CHALLAN!$E$1:$E$16504,0))</f>
        <v>100</v>
      </c>
      <c r="D281" cm="1">
        <f t="array" ref="D281">SUMPRODUCT(('Pivot Data'!$D$2:$D$1912=$A281)*IF($B281="",--('Pivot Data'!$E$2:$E$1912=""),--('Pivot Data'!$E$2:$E$1912=$B281))*('Pivot Data'!$I$2:$I$1912="Cancelled")*'Pivot Data'!$H$2:$H$1912)</f>
        <v>0</v>
      </c>
      <c r="E281" s="1301">
        <f t="shared" si="4"/>
        <v>100</v>
      </c>
    </row>
    <row r="282" spans="1:5" hidden="1" x14ac:dyDescent="0.25">
      <c r="A282" t="s">
        <v>727</v>
      </c>
      <c r="C282" s="1301" cm="1">
        <f t="array" ref="C282">SUMPRODUCT((CHALLAN!$B$1:$B$16504=A282)*IF(B282="",--(CHALLAN!$C$1:$C$16504=""),--(CHALLAN!$C$1:$C$16504=B282))*IFERROR(CHALLAN!$D$1:$D$16504*CHALLAN!$E$1:$E$16504,0))</f>
        <v>31</v>
      </c>
      <c r="D282" cm="1">
        <f t="array" ref="D282">SUMPRODUCT(('Pivot Data'!$D$2:$D$1912=$A282)*IF($B282="",--('Pivot Data'!$E$2:$E$1912=""),--('Pivot Data'!$E$2:$E$1912=$B282))*('Pivot Data'!$I$2:$I$1912="Cancelled")*'Pivot Data'!$H$2:$H$1912)</f>
        <v>0</v>
      </c>
      <c r="E282" s="1301">
        <f t="shared" si="4"/>
        <v>31</v>
      </c>
    </row>
    <row r="283" spans="1:5" hidden="1" x14ac:dyDescent="0.25">
      <c r="A283" t="s">
        <v>198</v>
      </c>
      <c r="B283" t="s">
        <v>368</v>
      </c>
      <c r="C283" s="1301" cm="1">
        <f t="array" ref="C283">SUMPRODUCT((CHALLAN!$B$1:$B$16504=A283)*IF(B283="",--(CHALLAN!$C$1:$C$16504=""),--(CHALLAN!$C$1:$C$16504=B283))*IFERROR(CHALLAN!$D$1:$D$16504*CHALLAN!$E$1:$E$16504,0))</f>
        <v>72</v>
      </c>
      <c r="D283" cm="1">
        <f t="array" ref="D283">SUMPRODUCT(('Pivot Data'!$D$2:$D$1912=$A283)*IF($B283="",--('Pivot Data'!$E$2:$E$1912=""),--('Pivot Data'!$E$2:$E$1912=$B283))*('Pivot Data'!$I$2:$I$1912="Cancelled")*'Pivot Data'!$H$2:$H$1912)</f>
        <v>0</v>
      </c>
      <c r="E283" s="1301">
        <f t="shared" si="4"/>
        <v>72</v>
      </c>
    </row>
    <row r="284" spans="1:5" hidden="1" x14ac:dyDescent="0.25">
      <c r="A284" t="s">
        <v>1795</v>
      </c>
      <c r="B284" t="s">
        <v>57</v>
      </c>
      <c r="C284" s="1301" cm="1">
        <f t="array" ref="C284">SUMPRODUCT((CHALLAN!$B$1:$B$16504=A284)*IF(B284="",--(CHALLAN!$C$1:$C$16504=""),--(CHALLAN!$C$1:$C$16504=B284))*IFERROR(CHALLAN!$D$1:$D$16504*CHALLAN!$E$1:$E$16504,0))</f>
        <v>25</v>
      </c>
      <c r="D284" cm="1">
        <f t="array" ref="D284">SUMPRODUCT(('Pivot Data'!$D$2:$D$1912=$A284)*IF($B284="",--('Pivot Data'!$E$2:$E$1912=""),--('Pivot Data'!$E$2:$E$1912=$B284))*('Pivot Data'!$I$2:$I$1912="Cancelled")*'Pivot Data'!$H$2:$H$1912)</f>
        <v>0</v>
      </c>
      <c r="E284" s="1301">
        <f t="shared" si="4"/>
        <v>25</v>
      </c>
    </row>
    <row r="285" spans="1:5" hidden="1" x14ac:dyDescent="0.25">
      <c r="A285" t="s">
        <v>199</v>
      </c>
      <c r="B285" t="s">
        <v>369</v>
      </c>
      <c r="C285" s="1301" cm="1">
        <f t="array" ref="C285">SUMPRODUCT((CHALLAN!$B$1:$B$16504=A285)*IF(B285="",--(CHALLAN!$C$1:$C$16504=""),--(CHALLAN!$C$1:$C$16504=B285))*IFERROR(CHALLAN!$D$1:$D$16504*CHALLAN!$E$1:$E$16504,0))</f>
        <v>84</v>
      </c>
      <c r="D285" cm="1">
        <f t="array" ref="D285">SUMPRODUCT(('Pivot Data'!$D$2:$D$1912=$A285)*IF($B285="",--('Pivot Data'!$E$2:$E$1912=""),--('Pivot Data'!$E$2:$E$1912=$B285))*('Pivot Data'!$I$2:$I$1912="Cancelled")*'Pivot Data'!$H$2:$H$1912)</f>
        <v>0</v>
      </c>
      <c r="E285" s="1301">
        <f t="shared" si="4"/>
        <v>84</v>
      </c>
    </row>
    <row r="286" spans="1:5" hidden="1" x14ac:dyDescent="0.25">
      <c r="A286" t="s">
        <v>199</v>
      </c>
      <c r="B286" t="s">
        <v>142</v>
      </c>
      <c r="C286" s="1301" cm="1">
        <f t="array" ref="C286">SUMPRODUCT((CHALLAN!$B$1:$B$16504=A286)*IF(B286="",--(CHALLAN!$C$1:$C$16504=""),--(CHALLAN!$C$1:$C$16504=B286))*IFERROR(CHALLAN!$D$1:$D$16504*CHALLAN!$E$1:$E$16504,0))</f>
        <v>25</v>
      </c>
      <c r="D286" cm="1">
        <f t="array" ref="D286">SUMPRODUCT(('Pivot Data'!$D$2:$D$1912=$A286)*IF($B286="",--('Pivot Data'!$E$2:$E$1912=""),--('Pivot Data'!$E$2:$E$1912=$B286))*('Pivot Data'!$I$2:$I$1912="Cancelled")*'Pivot Data'!$H$2:$H$1912)</f>
        <v>0</v>
      </c>
      <c r="E286" s="1301">
        <f t="shared" si="4"/>
        <v>25</v>
      </c>
    </row>
    <row r="287" spans="1:5" hidden="1" x14ac:dyDescent="0.25">
      <c r="A287" t="s">
        <v>592</v>
      </c>
      <c r="B287" t="s">
        <v>593</v>
      </c>
      <c r="C287" s="1301" cm="1">
        <f t="array" ref="C287">SUMPRODUCT((CHALLAN!$B$1:$B$16504=A287)*IF(B287="",--(CHALLAN!$C$1:$C$16504=""),--(CHALLAN!$C$1:$C$16504=B287))*IFERROR(CHALLAN!$D$1:$D$16504*CHALLAN!$E$1:$E$16504,0))</f>
        <v>4</v>
      </c>
      <c r="D287" cm="1">
        <f t="array" ref="D287">SUMPRODUCT(('Pivot Data'!$D$2:$D$1912=$A287)*IF($B287="",--('Pivot Data'!$E$2:$E$1912=""),--('Pivot Data'!$E$2:$E$1912=$B287))*('Pivot Data'!$I$2:$I$1912="Cancelled")*'Pivot Data'!$H$2:$H$1912)</f>
        <v>0</v>
      </c>
      <c r="E287" s="1301">
        <f t="shared" si="4"/>
        <v>4</v>
      </c>
    </row>
    <row r="288" spans="1:5" hidden="1" x14ac:dyDescent="0.25">
      <c r="A288" t="s">
        <v>56</v>
      </c>
      <c r="B288" t="s">
        <v>1839</v>
      </c>
      <c r="C288" s="1301" cm="1">
        <f t="array" ref="C288">SUMPRODUCT((CHALLAN!$B$1:$B$16504=A288)*IF(B288="",--(CHALLAN!$C$1:$C$16504=""),--(CHALLAN!$C$1:$C$16504=B288))*IFERROR(CHALLAN!$D$1:$D$16504*CHALLAN!$E$1:$E$16504,0))</f>
        <v>72</v>
      </c>
      <c r="D288" cm="1">
        <f t="array" ref="D288">SUMPRODUCT(('Pivot Data'!$D$2:$D$1912=$A288)*IF($B288="",--('Pivot Data'!$E$2:$E$1912=""),--('Pivot Data'!$E$2:$E$1912=$B288))*('Pivot Data'!$I$2:$I$1912="Cancelled")*'Pivot Data'!$H$2:$H$1912)</f>
        <v>0</v>
      </c>
      <c r="E288" s="1301">
        <f t="shared" si="4"/>
        <v>72</v>
      </c>
    </row>
    <row r="289" spans="1:5" hidden="1" x14ac:dyDescent="0.25">
      <c r="A289" t="s">
        <v>56</v>
      </c>
      <c r="B289" t="s">
        <v>368</v>
      </c>
      <c r="C289" s="1301" cm="1">
        <f t="array" ref="C289">SUMPRODUCT((CHALLAN!$B$1:$B$16504=A289)*IF(B289="",--(CHALLAN!$C$1:$C$16504=""),--(CHALLAN!$C$1:$C$16504=B289))*IFERROR(CHALLAN!$D$1:$D$16504*CHALLAN!$E$1:$E$16504,0))</f>
        <v>154</v>
      </c>
      <c r="D289" cm="1">
        <f t="array" ref="D289">SUMPRODUCT(('Pivot Data'!$D$2:$D$1912=$A289)*IF($B289="",--('Pivot Data'!$E$2:$E$1912=""),--('Pivot Data'!$E$2:$E$1912=$B289))*('Pivot Data'!$I$2:$I$1912="Cancelled")*'Pivot Data'!$H$2:$H$1912)</f>
        <v>0</v>
      </c>
      <c r="E289" s="1301">
        <f t="shared" si="4"/>
        <v>154</v>
      </c>
    </row>
    <row r="290" spans="1:5" hidden="1" x14ac:dyDescent="0.25">
      <c r="A290" t="s">
        <v>56</v>
      </c>
      <c r="B290" t="s">
        <v>593</v>
      </c>
      <c r="C290" s="1301" cm="1">
        <f t="array" ref="C290">SUMPRODUCT((CHALLAN!$B$1:$B$16504=A290)*IF(B290="",--(CHALLAN!$C$1:$C$16504=""),--(CHALLAN!$C$1:$C$16504=B290))*IFERROR(CHALLAN!$D$1:$D$16504*CHALLAN!$E$1:$E$16504,0))</f>
        <v>12</v>
      </c>
      <c r="D290" cm="1">
        <f t="array" ref="D290">SUMPRODUCT(('Pivot Data'!$D$2:$D$1912=$A290)*IF($B290="",--('Pivot Data'!$E$2:$E$1912=""),--('Pivot Data'!$E$2:$E$1912=$B290))*('Pivot Data'!$I$2:$I$1912="Cancelled")*'Pivot Data'!$H$2:$H$1912)</f>
        <v>0</v>
      </c>
      <c r="E290" s="1301">
        <f t="shared" si="4"/>
        <v>12</v>
      </c>
    </row>
    <row r="291" spans="1:5" hidden="1" x14ac:dyDescent="0.25">
      <c r="A291" t="s">
        <v>56</v>
      </c>
      <c r="B291" t="s">
        <v>406</v>
      </c>
      <c r="C291" s="1301" cm="1">
        <f t="array" ref="C291">SUMPRODUCT((CHALLAN!$B$1:$B$16504=A291)*IF(B291="",--(CHALLAN!$C$1:$C$16504=""),--(CHALLAN!$C$1:$C$16504=B291))*IFERROR(CHALLAN!$D$1:$D$16504*CHALLAN!$E$1:$E$16504,0))</f>
        <v>200</v>
      </c>
      <c r="D291" cm="1">
        <f t="array" ref="D291">SUMPRODUCT(('Pivot Data'!$D$2:$D$1912=$A291)*IF($B291="",--('Pivot Data'!$E$2:$E$1912=""),--('Pivot Data'!$E$2:$E$1912=$B291))*('Pivot Data'!$I$2:$I$1912="Cancelled")*'Pivot Data'!$H$2:$H$1912)</f>
        <v>0</v>
      </c>
      <c r="E291" s="1301">
        <f t="shared" si="4"/>
        <v>200</v>
      </c>
    </row>
    <row r="292" spans="1:5" hidden="1" x14ac:dyDescent="0.25">
      <c r="A292" t="s">
        <v>56</v>
      </c>
      <c r="B292" t="s">
        <v>57</v>
      </c>
      <c r="C292" s="1301" cm="1">
        <f t="array" ref="C292">SUMPRODUCT((CHALLAN!$B$1:$B$16504=A292)*IF(B292="",--(CHALLAN!$C$1:$C$16504=""),--(CHALLAN!$C$1:$C$16504=B292))*IFERROR(CHALLAN!$D$1:$D$16504*CHALLAN!$E$1:$E$16504,0))</f>
        <v>3425</v>
      </c>
      <c r="D292" cm="1">
        <f t="array" ref="D292">SUMPRODUCT(('Pivot Data'!$D$2:$D$1912=$A292)*IF($B292="",--('Pivot Data'!$E$2:$E$1912=""),--('Pivot Data'!$E$2:$E$1912=$B292))*('Pivot Data'!$I$2:$I$1912="Cancelled")*'Pivot Data'!$H$2:$H$1912)</f>
        <v>0</v>
      </c>
      <c r="E292" s="1301">
        <f t="shared" si="4"/>
        <v>3425</v>
      </c>
    </row>
    <row r="293" spans="1:5" hidden="1" x14ac:dyDescent="0.25">
      <c r="A293" t="s">
        <v>56</v>
      </c>
      <c r="B293" t="s">
        <v>114</v>
      </c>
      <c r="C293" s="1301" cm="1">
        <f t="array" ref="C293">SUMPRODUCT((CHALLAN!$B$1:$B$16504=A293)*IF(B293="",--(CHALLAN!$C$1:$C$16504=""),--(CHALLAN!$C$1:$C$16504=B293))*IFERROR(CHALLAN!$D$1:$D$16504*CHALLAN!$E$1:$E$16504,0))</f>
        <v>100</v>
      </c>
      <c r="D293" cm="1">
        <f t="array" ref="D293">SUMPRODUCT(('Pivot Data'!$D$2:$D$1912=$A293)*IF($B293="",--('Pivot Data'!$E$2:$E$1912=""),--('Pivot Data'!$E$2:$E$1912=$B293))*('Pivot Data'!$I$2:$I$1912="Cancelled")*'Pivot Data'!$H$2:$H$1912)</f>
        <v>0</v>
      </c>
      <c r="E293" s="1301">
        <f t="shared" si="4"/>
        <v>100</v>
      </c>
    </row>
    <row r="294" spans="1:5" hidden="1" x14ac:dyDescent="0.25">
      <c r="A294" t="s">
        <v>2183</v>
      </c>
      <c r="B294" t="s">
        <v>416</v>
      </c>
      <c r="C294" s="1301" cm="1">
        <f t="array" ref="C294">SUMPRODUCT((CHALLAN!$B$1:$B$16504=A294)*IF(B294="",--(CHALLAN!$C$1:$C$16504=""),--(CHALLAN!$C$1:$C$16504=B294))*IFERROR(CHALLAN!$D$1:$D$16504*CHALLAN!$E$1:$E$16504,0))</f>
        <v>0</v>
      </c>
      <c r="D294" cm="1">
        <f t="array" ref="D294">SUMPRODUCT(('Pivot Data'!$D$2:$D$1912=$A294)*IF($B294="",--('Pivot Data'!$E$2:$E$1912=""),--('Pivot Data'!$E$2:$E$1912=$B294))*('Pivot Data'!$I$2:$I$1912="Cancelled")*'Pivot Data'!$H$2:$H$1912)</f>
        <v>0</v>
      </c>
      <c r="E294" s="1301">
        <f t="shared" si="4"/>
        <v>0</v>
      </c>
    </row>
    <row r="295" spans="1:5" hidden="1" x14ac:dyDescent="0.25">
      <c r="A295" t="s">
        <v>1477</v>
      </c>
      <c r="B295" t="s">
        <v>369</v>
      </c>
      <c r="C295" s="1301" cm="1">
        <f t="array" ref="C295">SUMPRODUCT((CHALLAN!$B$1:$B$16504=A295)*IF(B295="",--(CHALLAN!$C$1:$C$16504=""),--(CHALLAN!$C$1:$C$16504=B295))*IFERROR(CHALLAN!$D$1:$D$16504*CHALLAN!$E$1:$E$16504,0))</f>
        <v>30</v>
      </c>
      <c r="D295" cm="1">
        <f t="array" ref="D295">SUMPRODUCT(('Pivot Data'!$D$2:$D$1912=$A295)*IF($B295="",--('Pivot Data'!$E$2:$E$1912=""),--('Pivot Data'!$E$2:$E$1912=$B295))*('Pivot Data'!$I$2:$I$1912="Cancelled")*'Pivot Data'!$H$2:$H$1912)</f>
        <v>0</v>
      </c>
      <c r="E295" s="1301">
        <f t="shared" si="4"/>
        <v>30</v>
      </c>
    </row>
    <row r="296" spans="1:5" hidden="1" x14ac:dyDescent="0.25">
      <c r="A296" t="s">
        <v>1477</v>
      </c>
      <c r="B296" t="s">
        <v>593</v>
      </c>
      <c r="C296" s="1301" cm="1">
        <f t="array" ref="C296">SUMPRODUCT((CHALLAN!$B$1:$B$16504=A296)*IF(B296="",--(CHALLAN!$C$1:$C$16504=""),--(CHALLAN!$C$1:$C$16504=B296))*IFERROR(CHALLAN!$D$1:$D$16504*CHALLAN!$E$1:$E$16504,0))</f>
        <v>12</v>
      </c>
      <c r="D296" cm="1">
        <f t="array" ref="D296">SUMPRODUCT(('Pivot Data'!$D$2:$D$1912=$A296)*IF($B296="",--('Pivot Data'!$E$2:$E$1912=""),--('Pivot Data'!$E$2:$E$1912=$B296))*('Pivot Data'!$I$2:$I$1912="Cancelled")*'Pivot Data'!$H$2:$H$1912)</f>
        <v>0</v>
      </c>
      <c r="E296" s="1301">
        <f t="shared" si="4"/>
        <v>12</v>
      </c>
    </row>
    <row r="297" spans="1:5" hidden="1" x14ac:dyDescent="0.25">
      <c r="A297" t="s">
        <v>1477</v>
      </c>
      <c r="B297" t="s">
        <v>61</v>
      </c>
      <c r="C297" s="1301" cm="1">
        <f t="array" ref="C297">SUMPRODUCT((CHALLAN!$B$1:$B$16504=A297)*IF(B297="",--(CHALLAN!$C$1:$C$16504=""),--(CHALLAN!$C$1:$C$16504=B297))*IFERROR(CHALLAN!$D$1:$D$16504*CHALLAN!$E$1:$E$16504,0))</f>
        <v>1675</v>
      </c>
      <c r="D297" cm="1">
        <f t="array" ref="D297">SUMPRODUCT(('Pivot Data'!$D$2:$D$1912=$A297)*IF($B297="",--('Pivot Data'!$E$2:$E$1912=""),--('Pivot Data'!$E$2:$E$1912=$B297))*('Pivot Data'!$I$2:$I$1912="Cancelled")*'Pivot Data'!$H$2:$H$1912)</f>
        <v>0</v>
      </c>
      <c r="E297" s="1301">
        <f t="shared" si="4"/>
        <v>1675</v>
      </c>
    </row>
    <row r="298" spans="1:5" hidden="1" x14ac:dyDescent="0.25">
      <c r="A298" t="s">
        <v>60</v>
      </c>
      <c r="C298" s="1301" cm="1">
        <f t="array" ref="C298">SUMPRODUCT((CHALLAN!$B$1:$B$16504=A298)*IF(B298="",--(CHALLAN!$C$1:$C$16504=""),--(CHALLAN!$C$1:$C$16504=B298))*IFERROR(CHALLAN!$D$1:$D$16504*CHALLAN!$E$1:$E$16504,0))</f>
        <v>100</v>
      </c>
      <c r="D298" cm="1">
        <f t="array" ref="D298">SUMPRODUCT(('Pivot Data'!$D$2:$D$1912=$A298)*IF($B298="",--('Pivot Data'!$E$2:$E$1912=""),--('Pivot Data'!$E$2:$E$1912=$B298))*('Pivot Data'!$I$2:$I$1912="Cancelled")*'Pivot Data'!$H$2:$H$1912)</f>
        <v>0</v>
      </c>
      <c r="E298" s="1301">
        <f t="shared" si="4"/>
        <v>100</v>
      </c>
    </row>
    <row r="299" spans="1:5" hidden="1" x14ac:dyDescent="0.25">
      <c r="A299" t="s">
        <v>60</v>
      </c>
      <c r="B299" t="s">
        <v>2226</v>
      </c>
      <c r="C299" s="1301" cm="1">
        <f t="array" ref="C299">SUMPRODUCT((CHALLAN!$B$1:$B$16504=A299)*IF(B299="",--(CHALLAN!$C$1:$C$16504=""),--(CHALLAN!$C$1:$C$16504=B299))*IFERROR(CHALLAN!$D$1:$D$16504*CHALLAN!$E$1:$E$16504,0))</f>
        <v>6</v>
      </c>
      <c r="D299" cm="1">
        <f t="array" ref="D299">SUMPRODUCT(('Pivot Data'!$D$2:$D$1912=$A299)*IF($B299="",--('Pivot Data'!$E$2:$E$1912=""),--('Pivot Data'!$E$2:$E$1912=$B299))*('Pivot Data'!$I$2:$I$1912="Cancelled")*'Pivot Data'!$H$2:$H$1912)</f>
        <v>0</v>
      </c>
      <c r="E299" s="1301">
        <f t="shared" si="4"/>
        <v>6</v>
      </c>
    </row>
    <row r="300" spans="1:5" hidden="1" x14ac:dyDescent="0.25">
      <c r="A300" t="s">
        <v>60</v>
      </c>
      <c r="B300" t="s">
        <v>369</v>
      </c>
      <c r="C300" s="1301" cm="1">
        <f t="array" ref="C300">SUMPRODUCT((CHALLAN!$B$1:$B$16504=A300)*IF(B300="",--(CHALLAN!$C$1:$C$16504=""),--(CHALLAN!$C$1:$C$16504=B300))*IFERROR(CHALLAN!$D$1:$D$16504*CHALLAN!$E$1:$E$16504,0))</f>
        <v>24</v>
      </c>
      <c r="D300" cm="1">
        <f t="array" ref="D300">SUMPRODUCT(('Pivot Data'!$D$2:$D$1912=$A300)*IF($B300="",--('Pivot Data'!$E$2:$E$1912=""),--('Pivot Data'!$E$2:$E$1912=$B300))*('Pivot Data'!$I$2:$I$1912="Cancelled")*'Pivot Data'!$H$2:$H$1912)</f>
        <v>0</v>
      </c>
      <c r="E300" s="1301">
        <f t="shared" si="4"/>
        <v>24</v>
      </c>
    </row>
    <row r="301" spans="1:5" hidden="1" x14ac:dyDescent="0.25">
      <c r="A301" t="s">
        <v>60</v>
      </c>
      <c r="B301" t="s">
        <v>593</v>
      </c>
      <c r="C301" s="1301" cm="1">
        <f t="array" ref="C301">SUMPRODUCT((CHALLAN!$B$1:$B$16504=A301)*IF(B301="",--(CHALLAN!$C$1:$C$16504=""),--(CHALLAN!$C$1:$C$16504=B301))*IFERROR(CHALLAN!$D$1:$D$16504*CHALLAN!$E$1:$E$16504,0))</f>
        <v>22</v>
      </c>
      <c r="D301" cm="1">
        <f t="array" ref="D301">SUMPRODUCT(('Pivot Data'!$D$2:$D$1912=$A301)*IF($B301="",--('Pivot Data'!$E$2:$E$1912=""),--('Pivot Data'!$E$2:$E$1912=$B301))*('Pivot Data'!$I$2:$I$1912="Cancelled")*'Pivot Data'!$H$2:$H$1912)</f>
        <v>0</v>
      </c>
      <c r="E301" s="1301">
        <f t="shared" si="4"/>
        <v>22</v>
      </c>
    </row>
    <row r="302" spans="1:5" hidden="1" x14ac:dyDescent="0.25">
      <c r="A302" t="s">
        <v>60</v>
      </c>
      <c r="B302" t="s">
        <v>408</v>
      </c>
      <c r="C302" s="1301" cm="1">
        <f t="array" ref="C302">SUMPRODUCT((CHALLAN!$B$1:$B$16504=A302)*IF(B302="",--(CHALLAN!$C$1:$C$16504=""),--(CHALLAN!$C$1:$C$16504=B302))*IFERROR(CHALLAN!$D$1:$D$16504*CHALLAN!$E$1:$E$16504,0))</f>
        <v>0</v>
      </c>
      <c r="D302" cm="1">
        <f t="array" ref="D302">SUMPRODUCT(('Pivot Data'!$D$2:$D$1912=$A302)*IF($B302="",--('Pivot Data'!$E$2:$E$1912=""),--('Pivot Data'!$E$2:$E$1912=$B302))*('Pivot Data'!$I$2:$I$1912="Cancelled")*'Pivot Data'!$H$2:$H$1912)</f>
        <v>0</v>
      </c>
      <c r="E302" s="1301">
        <f t="shared" si="4"/>
        <v>0</v>
      </c>
    </row>
    <row r="303" spans="1:5" hidden="1" x14ac:dyDescent="0.25">
      <c r="A303" t="s">
        <v>60</v>
      </c>
      <c r="B303" t="s">
        <v>61</v>
      </c>
      <c r="C303" s="1301" cm="1">
        <f t="array" ref="C303">SUMPRODUCT((CHALLAN!$B$1:$B$16504=A303)*IF(B303="",--(CHALLAN!$C$1:$C$16504=""),--(CHALLAN!$C$1:$C$16504=B303))*IFERROR(CHALLAN!$D$1:$D$16504*CHALLAN!$E$1:$E$16504,0))</f>
        <v>1349</v>
      </c>
      <c r="D303" cm="1">
        <f t="array" ref="D303">SUMPRODUCT(('Pivot Data'!$D$2:$D$1912=$A303)*IF($B303="",--('Pivot Data'!$E$2:$E$1912=""),--('Pivot Data'!$E$2:$E$1912=$B303))*('Pivot Data'!$I$2:$I$1912="Cancelled")*'Pivot Data'!$H$2:$H$1912)</f>
        <v>0</v>
      </c>
      <c r="E303" s="1301">
        <f t="shared" si="4"/>
        <v>1349</v>
      </c>
    </row>
    <row r="304" spans="1:5" hidden="1" x14ac:dyDescent="0.25">
      <c r="A304" t="s">
        <v>60</v>
      </c>
      <c r="B304" t="s">
        <v>142</v>
      </c>
      <c r="C304" s="1301" cm="1">
        <f t="array" ref="C304">SUMPRODUCT((CHALLAN!$B$1:$B$16504=A304)*IF(B304="",--(CHALLAN!$C$1:$C$16504=""),--(CHALLAN!$C$1:$C$16504=B304))*IFERROR(CHALLAN!$D$1:$D$16504*CHALLAN!$E$1:$E$16504,0))</f>
        <v>121</v>
      </c>
      <c r="D304" cm="1">
        <f t="array" ref="D304">SUMPRODUCT(('Pivot Data'!$D$2:$D$1912=$A304)*IF($B304="",--('Pivot Data'!$E$2:$E$1912=""),--('Pivot Data'!$E$2:$E$1912=$B304))*('Pivot Data'!$I$2:$I$1912="Cancelled")*'Pivot Data'!$H$2:$H$1912)</f>
        <v>0</v>
      </c>
      <c r="E304" s="1301">
        <f t="shared" si="4"/>
        <v>121</v>
      </c>
    </row>
    <row r="305" spans="1:5" hidden="1" x14ac:dyDescent="0.25">
      <c r="A305" t="s">
        <v>1362</v>
      </c>
      <c r="B305" t="s">
        <v>1363</v>
      </c>
      <c r="C305" s="1301" cm="1">
        <f t="array" ref="C305">SUMPRODUCT((CHALLAN!$B$1:$B$16504=A305)*IF(B305="",--(CHALLAN!$C$1:$C$16504=""),--(CHALLAN!$C$1:$C$16504=B305))*IFERROR(CHALLAN!$D$1:$D$16504*CHALLAN!$E$1:$E$16504,0))</f>
        <v>0</v>
      </c>
      <c r="D305" cm="1">
        <f t="array" ref="D305">SUMPRODUCT(('Pivot Data'!$D$2:$D$1912=$A305)*IF($B305="",--('Pivot Data'!$E$2:$E$1912=""),--('Pivot Data'!$E$2:$E$1912=$B305))*('Pivot Data'!$I$2:$I$1912="Cancelled")*'Pivot Data'!$H$2:$H$1912)</f>
        <v>0</v>
      </c>
      <c r="E305" s="1301">
        <f t="shared" si="4"/>
        <v>0</v>
      </c>
    </row>
    <row r="306" spans="1:5" hidden="1" x14ac:dyDescent="0.25">
      <c r="A306" t="s">
        <v>1887</v>
      </c>
      <c r="B306" t="s">
        <v>142</v>
      </c>
      <c r="C306" s="1301" cm="1">
        <f t="array" ref="C306">SUMPRODUCT((CHALLAN!$B$1:$B$16504=A306)*IF(B306="",--(CHALLAN!$C$1:$C$16504=""),--(CHALLAN!$C$1:$C$16504=B306))*IFERROR(CHALLAN!$D$1:$D$16504*CHALLAN!$E$1:$E$16504,0))</f>
        <v>25</v>
      </c>
      <c r="D306" cm="1">
        <f t="array" ref="D306">SUMPRODUCT(('Pivot Data'!$D$2:$D$1912=$A306)*IF($B306="",--('Pivot Data'!$E$2:$E$1912=""),--('Pivot Data'!$E$2:$E$1912=$B306))*('Pivot Data'!$I$2:$I$1912="Cancelled")*'Pivot Data'!$H$2:$H$1912)</f>
        <v>0</v>
      </c>
      <c r="E306" s="1301">
        <f t="shared" si="4"/>
        <v>25</v>
      </c>
    </row>
    <row r="307" spans="1:5" hidden="1" x14ac:dyDescent="0.25">
      <c r="A307" t="s">
        <v>2261</v>
      </c>
      <c r="B307" t="s">
        <v>142</v>
      </c>
      <c r="C307" s="1301" cm="1">
        <f t="array" ref="C307">SUMPRODUCT((CHALLAN!$B$1:$B$16504=A307)*IF(B307="",--(CHALLAN!$C$1:$C$16504=""),--(CHALLAN!$C$1:$C$16504=B307))*IFERROR(CHALLAN!$D$1:$D$16504*CHALLAN!$E$1:$E$16504,0))</f>
        <v>50</v>
      </c>
      <c r="D307" cm="1">
        <f t="array" ref="D307">SUMPRODUCT(('Pivot Data'!$D$2:$D$1912=$A307)*IF($B307="",--('Pivot Data'!$E$2:$E$1912=""),--('Pivot Data'!$E$2:$E$1912=$B307))*('Pivot Data'!$I$2:$I$1912="Cancelled")*'Pivot Data'!$H$2:$H$1912)</f>
        <v>0</v>
      </c>
      <c r="E307" s="1301">
        <f t="shared" si="4"/>
        <v>50</v>
      </c>
    </row>
    <row r="308" spans="1:5" hidden="1" x14ac:dyDescent="0.25">
      <c r="A308" t="s">
        <v>113</v>
      </c>
      <c r="B308" t="s">
        <v>368</v>
      </c>
      <c r="C308" s="1301" cm="1">
        <f t="array" ref="C308">SUMPRODUCT((CHALLAN!$B$1:$B$16504=A308)*IF(B308="",--(CHALLAN!$C$1:$C$16504=""),--(CHALLAN!$C$1:$C$16504=B308))*IFERROR(CHALLAN!$D$1:$D$16504*CHALLAN!$E$1:$E$16504,0))</f>
        <v>6</v>
      </c>
      <c r="D308" cm="1">
        <f t="array" ref="D308">SUMPRODUCT(('Pivot Data'!$D$2:$D$1912=$A308)*IF($B308="",--('Pivot Data'!$E$2:$E$1912=""),--('Pivot Data'!$E$2:$E$1912=$B308))*('Pivot Data'!$I$2:$I$1912="Cancelled")*'Pivot Data'!$H$2:$H$1912)</f>
        <v>0</v>
      </c>
      <c r="E308" s="1301">
        <f t="shared" si="4"/>
        <v>6</v>
      </c>
    </row>
    <row r="309" spans="1:5" hidden="1" x14ac:dyDescent="0.25">
      <c r="A309" t="s">
        <v>113</v>
      </c>
      <c r="B309" t="s">
        <v>114</v>
      </c>
      <c r="C309" s="1301" cm="1">
        <f t="array" ref="C309">SUMPRODUCT((CHALLAN!$B$1:$B$16504=A309)*IF(B309="",--(CHALLAN!$C$1:$C$16504=""),--(CHALLAN!$C$1:$C$16504=B309))*IFERROR(CHALLAN!$D$1:$D$16504*CHALLAN!$E$1:$E$16504,0))</f>
        <v>10</v>
      </c>
      <c r="D309" cm="1">
        <f t="array" ref="D309">SUMPRODUCT(('Pivot Data'!$D$2:$D$1912=$A309)*IF($B309="",--('Pivot Data'!$E$2:$E$1912=""),--('Pivot Data'!$E$2:$E$1912=$B309))*('Pivot Data'!$I$2:$I$1912="Cancelled")*'Pivot Data'!$H$2:$H$1912)</f>
        <v>0</v>
      </c>
      <c r="E309" s="1301">
        <f t="shared" si="4"/>
        <v>10</v>
      </c>
    </row>
    <row r="310" spans="1:5" hidden="1" x14ac:dyDescent="0.25">
      <c r="A310" t="s">
        <v>270</v>
      </c>
      <c r="B310" t="s">
        <v>1478</v>
      </c>
      <c r="C310" s="1301" cm="1">
        <f t="array" ref="C310">SUMPRODUCT((CHALLAN!$B$1:$B$16504=A310)*IF(B310="",--(CHALLAN!$C$1:$C$16504=""),--(CHALLAN!$C$1:$C$16504=B310))*IFERROR(CHALLAN!$D$1:$D$16504*CHALLAN!$E$1:$E$16504,0))</f>
        <v>6</v>
      </c>
      <c r="D310" cm="1">
        <f t="array" ref="D310">SUMPRODUCT(('Pivot Data'!$D$2:$D$1912=$A310)*IF($B310="",--('Pivot Data'!$E$2:$E$1912=""),--('Pivot Data'!$E$2:$E$1912=$B310))*('Pivot Data'!$I$2:$I$1912="Cancelled")*'Pivot Data'!$H$2:$H$1912)</f>
        <v>0</v>
      </c>
      <c r="E310" s="1301">
        <f t="shared" si="4"/>
        <v>6</v>
      </c>
    </row>
    <row r="311" spans="1:5" hidden="1" x14ac:dyDescent="0.25">
      <c r="A311" t="s">
        <v>200</v>
      </c>
      <c r="B311" t="s">
        <v>350</v>
      </c>
      <c r="C311" s="1301" cm="1">
        <f t="array" ref="C311">SUMPRODUCT((CHALLAN!$B$1:$B$16504=A311)*IF(B311="",--(CHALLAN!$C$1:$C$16504=""),--(CHALLAN!$C$1:$C$16504=B311))*IFERROR(CHALLAN!$D$1:$D$16504*CHALLAN!$E$1:$E$16504,0))</f>
        <v>1</v>
      </c>
      <c r="D311" cm="1">
        <f t="array" ref="D311">SUMPRODUCT(('Pivot Data'!$D$2:$D$1912=$A311)*IF($B311="",--('Pivot Data'!$E$2:$E$1912=""),--('Pivot Data'!$E$2:$E$1912=$B311))*('Pivot Data'!$I$2:$I$1912="Cancelled")*'Pivot Data'!$H$2:$H$1912)</f>
        <v>0</v>
      </c>
      <c r="E311" s="1301">
        <f t="shared" si="4"/>
        <v>1</v>
      </c>
    </row>
    <row r="312" spans="1:5" hidden="1" x14ac:dyDescent="0.25">
      <c r="A312" t="s">
        <v>769</v>
      </c>
      <c r="C312" s="1301" cm="1">
        <f t="array" ref="C312">SUMPRODUCT((CHALLAN!$B$1:$B$16504=A312)*IF(B312="",--(CHALLAN!$C$1:$C$16504=""),--(CHALLAN!$C$1:$C$16504=B312))*IFERROR(CHALLAN!$D$1:$D$16504*CHALLAN!$E$1:$E$16504,0))</f>
        <v>27</v>
      </c>
      <c r="D312" cm="1">
        <f t="array" ref="D312">SUMPRODUCT(('Pivot Data'!$D$2:$D$1912=$A312)*IF($B312="",--('Pivot Data'!$E$2:$E$1912=""),--('Pivot Data'!$E$2:$E$1912=$B312))*('Pivot Data'!$I$2:$I$1912="Cancelled")*'Pivot Data'!$H$2:$H$1912)</f>
        <v>0</v>
      </c>
      <c r="E312" s="1301">
        <f t="shared" si="4"/>
        <v>27</v>
      </c>
    </row>
    <row r="313" spans="1:5" hidden="1" x14ac:dyDescent="0.25">
      <c r="A313" t="s">
        <v>764</v>
      </c>
      <c r="C313" s="1301" cm="1">
        <f t="array" ref="C313">SUMPRODUCT((CHALLAN!$B$1:$B$16504=A313)*IF(B313="",--(CHALLAN!$C$1:$C$16504=""),--(CHALLAN!$C$1:$C$16504=B313))*IFERROR(CHALLAN!$D$1:$D$16504*CHALLAN!$E$1:$E$16504,0))</f>
        <v>20</v>
      </c>
      <c r="D313" cm="1">
        <f t="array" ref="D313">SUMPRODUCT(('Pivot Data'!$D$2:$D$1912=$A313)*IF($B313="",--('Pivot Data'!$E$2:$E$1912=""),--('Pivot Data'!$E$2:$E$1912=$B313))*('Pivot Data'!$I$2:$I$1912="Cancelled")*'Pivot Data'!$H$2:$H$1912)</f>
        <v>0</v>
      </c>
      <c r="E313" s="1301">
        <f t="shared" si="4"/>
        <v>20</v>
      </c>
    </row>
    <row r="314" spans="1:5" hidden="1" x14ac:dyDescent="0.25">
      <c r="A314" t="s">
        <v>1937</v>
      </c>
      <c r="C314" s="1301" cm="1">
        <f t="array" ref="C314">SUMPRODUCT((CHALLAN!$B$1:$B$16504=A314)*IF(B314="",--(CHALLAN!$C$1:$C$16504=""),--(CHALLAN!$C$1:$C$16504=B314))*IFERROR(CHALLAN!$D$1:$D$16504*CHALLAN!$E$1:$E$16504,0))</f>
        <v>40</v>
      </c>
      <c r="D314" cm="1">
        <f t="array" ref="D314">SUMPRODUCT(('Pivot Data'!$D$2:$D$1912=$A314)*IF($B314="",--('Pivot Data'!$E$2:$E$1912=""),--('Pivot Data'!$E$2:$E$1912=$B314))*('Pivot Data'!$I$2:$I$1912="Cancelled")*'Pivot Data'!$H$2:$H$1912)</f>
        <v>0</v>
      </c>
      <c r="E314" s="1301">
        <f t="shared" si="4"/>
        <v>40</v>
      </c>
    </row>
    <row r="315" spans="1:5" hidden="1" x14ac:dyDescent="0.25">
      <c r="A315" t="s">
        <v>1208</v>
      </c>
      <c r="C315" s="1301" cm="1">
        <f t="array" ref="C315">SUMPRODUCT((CHALLAN!$B$1:$B$16504=A315)*IF(B315="",--(CHALLAN!$C$1:$C$16504=""),--(CHALLAN!$C$1:$C$16504=B315))*IFERROR(CHALLAN!$D$1:$D$16504*CHALLAN!$E$1:$E$16504,0))</f>
        <v>50</v>
      </c>
      <c r="D315" cm="1">
        <f t="array" ref="D315">SUMPRODUCT(('Pivot Data'!$D$2:$D$1912=$A315)*IF($B315="",--('Pivot Data'!$E$2:$E$1912=""),--('Pivot Data'!$E$2:$E$1912=$B315))*('Pivot Data'!$I$2:$I$1912="Cancelled")*'Pivot Data'!$H$2:$H$1912)</f>
        <v>0</v>
      </c>
      <c r="E315" s="1301">
        <f t="shared" si="4"/>
        <v>50</v>
      </c>
    </row>
    <row r="316" spans="1:5" hidden="1" x14ac:dyDescent="0.25">
      <c r="A316" t="s">
        <v>1210</v>
      </c>
      <c r="C316" s="1301" cm="1">
        <f t="array" ref="C316">SUMPRODUCT((CHALLAN!$B$1:$B$16504=A316)*IF(B316="",--(CHALLAN!$C$1:$C$16504=""),--(CHALLAN!$C$1:$C$16504=B316))*IFERROR(CHALLAN!$D$1:$D$16504*CHALLAN!$E$1:$E$16504,0))</f>
        <v>50</v>
      </c>
      <c r="D316" cm="1">
        <f t="array" ref="D316">SUMPRODUCT(('Pivot Data'!$D$2:$D$1912=$A316)*IF($B316="",--('Pivot Data'!$E$2:$E$1912=""),--('Pivot Data'!$E$2:$E$1912=$B316))*('Pivot Data'!$I$2:$I$1912="Cancelled")*'Pivot Data'!$H$2:$H$1912)</f>
        <v>0</v>
      </c>
      <c r="E316" s="1301">
        <f t="shared" si="4"/>
        <v>50</v>
      </c>
    </row>
    <row r="317" spans="1:5" hidden="1" x14ac:dyDescent="0.25">
      <c r="A317" t="s">
        <v>1938</v>
      </c>
      <c r="C317" s="1301" cm="1">
        <f t="array" ref="C317">SUMPRODUCT((CHALLAN!$B$1:$B$16504=A317)*IF(B317="",--(CHALLAN!$C$1:$C$16504=""),--(CHALLAN!$C$1:$C$16504=B317))*IFERROR(CHALLAN!$D$1:$D$16504*CHALLAN!$E$1:$E$16504,0))</f>
        <v>30</v>
      </c>
      <c r="D317" cm="1">
        <f t="array" ref="D317">SUMPRODUCT(('Pivot Data'!$D$2:$D$1912=$A317)*IF($B317="",--('Pivot Data'!$E$2:$E$1912=""),--('Pivot Data'!$E$2:$E$1912=$B317))*('Pivot Data'!$I$2:$I$1912="Cancelled")*'Pivot Data'!$H$2:$H$1912)</f>
        <v>0</v>
      </c>
      <c r="E317" s="1301">
        <f t="shared" si="4"/>
        <v>30</v>
      </c>
    </row>
    <row r="318" spans="1:5" hidden="1" x14ac:dyDescent="0.25">
      <c r="A318" t="s">
        <v>1211</v>
      </c>
      <c r="C318" s="1301" cm="1">
        <f t="array" ref="C318">SUMPRODUCT((CHALLAN!$B$1:$B$16504=A318)*IF(B318="",--(CHALLAN!$C$1:$C$16504=""),--(CHALLAN!$C$1:$C$16504=B318))*IFERROR(CHALLAN!$D$1:$D$16504*CHALLAN!$E$1:$E$16504,0))</f>
        <v>50</v>
      </c>
      <c r="D318" cm="1">
        <f t="array" ref="D318">SUMPRODUCT(('Pivot Data'!$D$2:$D$1912=$A318)*IF($B318="",--('Pivot Data'!$E$2:$E$1912=""),--('Pivot Data'!$E$2:$E$1912=$B318))*('Pivot Data'!$I$2:$I$1912="Cancelled")*'Pivot Data'!$H$2:$H$1912)</f>
        <v>0</v>
      </c>
      <c r="E318" s="1301">
        <f t="shared" si="4"/>
        <v>50</v>
      </c>
    </row>
    <row r="319" spans="1:5" hidden="1" x14ac:dyDescent="0.25">
      <c r="A319" t="s">
        <v>1223</v>
      </c>
      <c r="C319" s="1301" cm="1">
        <f t="array" ref="C319">SUMPRODUCT((CHALLAN!$B$1:$B$16504=A319)*IF(B319="",--(CHALLAN!$C$1:$C$16504=""),--(CHALLAN!$C$1:$C$16504=B319))*IFERROR(CHALLAN!$D$1:$D$16504*CHALLAN!$E$1:$E$16504,0))</f>
        <v>20</v>
      </c>
      <c r="D319" cm="1">
        <f t="array" ref="D319">SUMPRODUCT(('Pivot Data'!$D$2:$D$1912=$A319)*IF($B319="",--('Pivot Data'!$E$2:$E$1912=""),--('Pivot Data'!$E$2:$E$1912=$B319))*('Pivot Data'!$I$2:$I$1912="Cancelled")*'Pivot Data'!$H$2:$H$1912)</f>
        <v>0</v>
      </c>
      <c r="E319" s="1301">
        <f t="shared" si="4"/>
        <v>20</v>
      </c>
    </row>
    <row r="320" spans="1:5" hidden="1" x14ac:dyDescent="0.25">
      <c r="A320" t="s">
        <v>1223</v>
      </c>
      <c r="B320" t="s">
        <v>891</v>
      </c>
      <c r="C320" s="1301" cm="1">
        <f t="array" ref="C320">SUMPRODUCT((CHALLAN!$B$1:$B$16504=A320)*IF(B320="",--(CHALLAN!$C$1:$C$16504=""),--(CHALLAN!$C$1:$C$16504=B320))*IFERROR(CHALLAN!$D$1:$D$16504*CHALLAN!$E$1:$E$16504,0))</f>
        <v>50</v>
      </c>
      <c r="D320" cm="1">
        <f t="array" ref="D320">SUMPRODUCT(('Pivot Data'!$D$2:$D$1912=$A320)*IF($B320="",--('Pivot Data'!$E$2:$E$1912=""),--('Pivot Data'!$E$2:$E$1912=$B320))*('Pivot Data'!$I$2:$I$1912="Cancelled")*'Pivot Data'!$H$2:$H$1912)</f>
        <v>0</v>
      </c>
      <c r="E320" s="1301">
        <f t="shared" si="4"/>
        <v>50</v>
      </c>
    </row>
    <row r="321" spans="1:5" hidden="1" x14ac:dyDescent="0.25">
      <c r="A321" t="s">
        <v>202</v>
      </c>
      <c r="B321" t="s">
        <v>346</v>
      </c>
      <c r="C321" s="1301" cm="1">
        <f t="array" ref="C321">SUMPRODUCT((CHALLAN!$B$1:$B$16504=A321)*IF(B321="",--(CHALLAN!$C$1:$C$16504=""),--(CHALLAN!$C$1:$C$16504=B321))*IFERROR(CHALLAN!$D$1:$D$16504*CHALLAN!$E$1:$E$16504,0))</f>
        <v>1</v>
      </c>
      <c r="D321" cm="1">
        <f t="array" ref="D321">SUMPRODUCT(('Pivot Data'!$D$2:$D$1912=$A321)*IF($B321="",--('Pivot Data'!$E$2:$E$1912=""),--('Pivot Data'!$E$2:$E$1912=$B321))*('Pivot Data'!$I$2:$I$1912="Cancelled")*'Pivot Data'!$H$2:$H$1912)</f>
        <v>0</v>
      </c>
      <c r="E321" s="1301">
        <f t="shared" si="4"/>
        <v>1</v>
      </c>
    </row>
    <row r="322" spans="1:5" hidden="1" x14ac:dyDescent="0.25">
      <c r="A322" t="s">
        <v>1481</v>
      </c>
      <c r="B322" t="s">
        <v>1482</v>
      </c>
      <c r="C322" s="1301" cm="1">
        <f t="array" ref="C322">SUMPRODUCT((CHALLAN!$B$1:$B$16504=A322)*IF(B322="",--(CHALLAN!$C$1:$C$16504=""),--(CHALLAN!$C$1:$C$16504=B322))*IFERROR(CHALLAN!$D$1:$D$16504*CHALLAN!$E$1:$E$16504,0))</f>
        <v>0</v>
      </c>
      <c r="D322" cm="1">
        <f t="array" ref="D322">SUMPRODUCT(('Pivot Data'!$D$2:$D$1912=$A322)*IF($B322="",--('Pivot Data'!$E$2:$E$1912=""),--('Pivot Data'!$E$2:$E$1912=$B322))*('Pivot Data'!$I$2:$I$1912="Cancelled")*'Pivot Data'!$H$2:$H$1912)</f>
        <v>0</v>
      </c>
      <c r="E322" s="1301">
        <f t="shared" si="4"/>
        <v>0</v>
      </c>
    </row>
    <row r="323" spans="1:5" hidden="1" x14ac:dyDescent="0.25">
      <c r="A323" t="s">
        <v>1991</v>
      </c>
      <c r="C323" s="1301" cm="1">
        <f t="array" ref="C323">SUMPRODUCT((CHALLAN!$B$1:$B$16504=A323)*IF(B323="",--(CHALLAN!$C$1:$C$16504=""),--(CHALLAN!$C$1:$C$16504=B323))*IFERROR(CHALLAN!$D$1:$D$16504*CHALLAN!$E$1:$E$16504,0))</f>
        <v>10</v>
      </c>
      <c r="D323" cm="1">
        <f t="array" ref="D323">SUMPRODUCT(('Pivot Data'!$D$2:$D$1912=$A323)*IF($B323="",--('Pivot Data'!$E$2:$E$1912=""),--('Pivot Data'!$E$2:$E$1912=$B323))*('Pivot Data'!$I$2:$I$1912="Cancelled")*'Pivot Data'!$H$2:$H$1912)</f>
        <v>0</v>
      </c>
      <c r="E323" s="1301">
        <f t="shared" si="4"/>
        <v>10</v>
      </c>
    </row>
    <row r="324" spans="1:5" hidden="1" x14ac:dyDescent="0.25">
      <c r="A324" t="s">
        <v>1979</v>
      </c>
      <c r="C324" s="1301" cm="1">
        <f t="array" ref="C324">SUMPRODUCT((CHALLAN!$B$1:$B$16504=A324)*IF(B324="",--(CHALLAN!$C$1:$C$16504=""),--(CHALLAN!$C$1:$C$16504=B324))*IFERROR(CHALLAN!$D$1:$D$16504*CHALLAN!$E$1:$E$16504,0))</f>
        <v>100</v>
      </c>
      <c r="D324" cm="1">
        <f t="array" ref="D324">SUMPRODUCT(('Pivot Data'!$D$2:$D$1912=$A324)*IF($B324="",--('Pivot Data'!$E$2:$E$1912=""),--('Pivot Data'!$E$2:$E$1912=$B324))*('Pivot Data'!$I$2:$I$1912="Cancelled")*'Pivot Data'!$H$2:$H$1912)</f>
        <v>0</v>
      </c>
      <c r="E324" s="1301">
        <f t="shared" si="4"/>
        <v>100</v>
      </c>
    </row>
    <row r="325" spans="1:5" hidden="1" x14ac:dyDescent="0.25">
      <c r="A325" t="s">
        <v>2001</v>
      </c>
      <c r="C325" s="1301" cm="1">
        <f t="array" ref="C325">SUMPRODUCT((CHALLAN!$B$1:$B$16504=A325)*IF(B325="",--(CHALLAN!$C$1:$C$16504=""),--(CHALLAN!$C$1:$C$16504=B325))*IFERROR(CHALLAN!$D$1:$D$16504*CHALLAN!$E$1:$E$16504,0))</f>
        <v>20</v>
      </c>
      <c r="D325" cm="1">
        <f t="array" ref="D325">SUMPRODUCT(('Pivot Data'!$D$2:$D$1912=$A325)*IF($B325="",--('Pivot Data'!$E$2:$E$1912=""),--('Pivot Data'!$E$2:$E$1912=$B325))*('Pivot Data'!$I$2:$I$1912="Cancelled")*'Pivot Data'!$H$2:$H$1912)</f>
        <v>0</v>
      </c>
      <c r="E325" s="1301">
        <f t="shared" ref="E325:E388" si="5">C325-D325</f>
        <v>20</v>
      </c>
    </row>
    <row r="326" spans="1:5" hidden="1" x14ac:dyDescent="0.25">
      <c r="A326" t="s">
        <v>599</v>
      </c>
      <c r="B326" t="s">
        <v>372</v>
      </c>
      <c r="C326" s="1301" cm="1">
        <f t="array" ref="C326">SUMPRODUCT((CHALLAN!$B$1:$B$16504=A326)*IF(B326="",--(CHALLAN!$C$1:$C$16504=""),--(CHALLAN!$C$1:$C$16504=B326))*IFERROR(CHALLAN!$D$1:$D$16504*CHALLAN!$E$1:$E$16504,0))</f>
        <v>16</v>
      </c>
      <c r="D326" cm="1">
        <f t="array" ref="D326">SUMPRODUCT(('Pivot Data'!$D$2:$D$1912=$A326)*IF($B326="",--('Pivot Data'!$E$2:$E$1912=""),--('Pivot Data'!$E$2:$E$1912=$B326))*('Pivot Data'!$I$2:$I$1912="Cancelled")*'Pivot Data'!$H$2:$H$1912)</f>
        <v>0</v>
      </c>
      <c r="E326" s="1301">
        <f t="shared" si="5"/>
        <v>16</v>
      </c>
    </row>
    <row r="327" spans="1:5" hidden="1" x14ac:dyDescent="0.25">
      <c r="A327" t="s">
        <v>1301</v>
      </c>
      <c r="C327" s="1301" cm="1">
        <f t="array" ref="C327">SUMPRODUCT((CHALLAN!$B$1:$B$16504=A327)*IF(B327="",--(CHALLAN!$C$1:$C$16504=""),--(CHALLAN!$C$1:$C$16504=B327))*IFERROR(CHALLAN!$D$1:$D$16504*CHALLAN!$E$1:$E$16504,0))</f>
        <v>6</v>
      </c>
      <c r="D327" cm="1">
        <f t="array" ref="D327">SUMPRODUCT(('Pivot Data'!$D$2:$D$1912=$A327)*IF($B327="",--('Pivot Data'!$E$2:$E$1912=""),--('Pivot Data'!$E$2:$E$1912=$B327))*('Pivot Data'!$I$2:$I$1912="Cancelled")*'Pivot Data'!$H$2:$H$1912)</f>
        <v>0</v>
      </c>
      <c r="E327" s="1301">
        <f t="shared" si="5"/>
        <v>6</v>
      </c>
    </row>
    <row r="328" spans="1:5" hidden="1" x14ac:dyDescent="0.25">
      <c r="A328" t="s">
        <v>1301</v>
      </c>
      <c r="B328" t="s">
        <v>1963</v>
      </c>
      <c r="C328" s="1301" cm="1">
        <f t="array" ref="C328">SUMPRODUCT((CHALLAN!$B$1:$B$16504=A328)*IF(B328="",--(CHALLAN!$C$1:$C$16504=""),--(CHALLAN!$C$1:$C$16504=B328))*IFERROR(CHALLAN!$D$1:$D$16504*CHALLAN!$E$1:$E$16504,0))</f>
        <v>6</v>
      </c>
      <c r="D328" cm="1">
        <f t="array" ref="D328">SUMPRODUCT(('Pivot Data'!$D$2:$D$1912=$A328)*IF($B328="",--('Pivot Data'!$E$2:$E$1912=""),--('Pivot Data'!$E$2:$E$1912=$B328))*('Pivot Data'!$I$2:$I$1912="Cancelled")*'Pivot Data'!$H$2:$H$1912)</f>
        <v>0</v>
      </c>
      <c r="E328" s="1301">
        <f t="shared" si="5"/>
        <v>6</v>
      </c>
    </row>
    <row r="329" spans="1:5" hidden="1" x14ac:dyDescent="0.25">
      <c r="A329" t="s">
        <v>1301</v>
      </c>
      <c r="B329" t="s">
        <v>372</v>
      </c>
      <c r="C329" s="1301" cm="1">
        <f t="array" ref="C329">SUMPRODUCT((CHALLAN!$B$1:$B$16504=A329)*IF(B329="",--(CHALLAN!$C$1:$C$16504=""),--(CHALLAN!$C$1:$C$16504=B329))*IFERROR(CHALLAN!$D$1:$D$16504*CHALLAN!$E$1:$E$16504,0))</f>
        <v>76</v>
      </c>
      <c r="D329" cm="1">
        <f t="array" ref="D329">SUMPRODUCT(('Pivot Data'!$D$2:$D$1912=$A329)*IF($B329="",--('Pivot Data'!$E$2:$E$1912=""),--('Pivot Data'!$E$2:$E$1912=$B329))*('Pivot Data'!$I$2:$I$1912="Cancelled")*'Pivot Data'!$H$2:$H$1912)</f>
        <v>0</v>
      </c>
      <c r="E329" s="1301">
        <f t="shared" si="5"/>
        <v>76</v>
      </c>
    </row>
    <row r="330" spans="1:5" hidden="1" x14ac:dyDescent="0.25">
      <c r="A330" t="s">
        <v>53</v>
      </c>
      <c r="B330" t="s">
        <v>429</v>
      </c>
      <c r="C330" s="1301" cm="1">
        <f t="array" ref="C330">SUMPRODUCT((CHALLAN!$B$1:$B$16504=A330)*IF(B330="",--(CHALLAN!$C$1:$C$16504=""),--(CHALLAN!$C$1:$C$16504=B330))*IFERROR(CHALLAN!$D$1:$D$16504*CHALLAN!$E$1:$E$16504,0))</f>
        <v>160</v>
      </c>
      <c r="D330" cm="1">
        <f t="array" ref="D330">SUMPRODUCT(('Pivot Data'!$D$2:$D$1912=$A330)*IF($B330="",--('Pivot Data'!$E$2:$E$1912=""),--('Pivot Data'!$E$2:$E$1912=$B330))*('Pivot Data'!$I$2:$I$1912="Cancelled")*'Pivot Data'!$H$2:$H$1912)</f>
        <v>0</v>
      </c>
      <c r="E330" s="1301">
        <f t="shared" si="5"/>
        <v>160</v>
      </c>
    </row>
    <row r="331" spans="1:5" hidden="1" x14ac:dyDescent="0.25">
      <c r="A331" t="s">
        <v>63</v>
      </c>
      <c r="C331" s="1301" cm="1">
        <f t="array" ref="C331">SUMPRODUCT((CHALLAN!$B$1:$B$16504=A331)*IF(B331="",--(CHALLAN!$C$1:$C$16504=""),--(CHALLAN!$C$1:$C$16504=B331))*IFERROR(CHALLAN!$D$1:$D$16504*CHALLAN!$E$1:$E$16504,0))</f>
        <v>10</v>
      </c>
      <c r="D331" cm="1">
        <f t="array" ref="D331">SUMPRODUCT(('Pivot Data'!$D$2:$D$1912=$A331)*IF($B331="",--('Pivot Data'!$E$2:$E$1912=""),--('Pivot Data'!$E$2:$E$1912=$B331))*('Pivot Data'!$I$2:$I$1912="Cancelled")*'Pivot Data'!$H$2:$H$1912)</f>
        <v>0</v>
      </c>
      <c r="E331" s="1301">
        <f t="shared" si="5"/>
        <v>10</v>
      </c>
    </row>
    <row r="332" spans="1:5" hidden="1" x14ac:dyDescent="0.25">
      <c r="A332" t="s">
        <v>63</v>
      </c>
      <c r="B332" t="s">
        <v>371</v>
      </c>
      <c r="C332" s="1301" cm="1">
        <f t="array" ref="C332">SUMPRODUCT((CHALLAN!$B$1:$B$16504=A332)*IF(B332="",--(CHALLAN!$C$1:$C$16504=""),--(CHALLAN!$C$1:$C$16504=B332))*IFERROR(CHALLAN!$D$1:$D$16504*CHALLAN!$E$1:$E$16504,0))</f>
        <v>162</v>
      </c>
      <c r="D332" cm="1">
        <f t="array" ref="D332">SUMPRODUCT(('Pivot Data'!$D$2:$D$1912=$A332)*IF($B332="",--('Pivot Data'!$E$2:$E$1912=""),--('Pivot Data'!$E$2:$E$1912=$B332))*('Pivot Data'!$I$2:$I$1912="Cancelled")*'Pivot Data'!$H$2:$H$1912)</f>
        <v>0</v>
      </c>
      <c r="E332" s="1301">
        <f t="shared" si="5"/>
        <v>162</v>
      </c>
    </row>
    <row r="333" spans="1:5" hidden="1" x14ac:dyDescent="0.25">
      <c r="A333" t="s">
        <v>63</v>
      </c>
      <c r="B333" t="s">
        <v>54</v>
      </c>
      <c r="C333" s="1301" cm="1">
        <f t="array" ref="C333">SUMPRODUCT((CHALLAN!$B$1:$B$16504=A333)*IF(B333="",--(CHALLAN!$C$1:$C$16504=""),--(CHALLAN!$C$1:$C$16504=B333))*IFERROR(CHALLAN!$D$1:$D$16504*CHALLAN!$E$1:$E$16504,0))</f>
        <v>120</v>
      </c>
      <c r="D333" cm="1">
        <f t="array" ref="D333">SUMPRODUCT(('Pivot Data'!$D$2:$D$1912=$A333)*IF($B333="",--('Pivot Data'!$E$2:$E$1912=""),--('Pivot Data'!$E$2:$E$1912=$B333))*('Pivot Data'!$I$2:$I$1912="Cancelled")*'Pivot Data'!$H$2:$H$1912)</f>
        <v>0</v>
      </c>
      <c r="E333" s="1301">
        <f t="shared" si="5"/>
        <v>120</v>
      </c>
    </row>
    <row r="334" spans="1:5" hidden="1" x14ac:dyDescent="0.25">
      <c r="A334" t="s">
        <v>1174</v>
      </c>
      <c r="C334" s="1301" cm="1">
        <f t="array" ref="C334">SUMPRODUCT((CHALLAN!$B$1:$B$16504=A334)*IF(B334="",--(CHALLAN!$C$1:$C$16504=""),--(CHALLAN!$C$1:$C$16504=B334))*IFERROR(CHALLAN!$D$1:$D$16504*CHALLAN!$E$1:$E$16504,0))</f>
        <v>1</v>
      </c>
      <c r="D334" cm="1">
        <f t="array" ref="D334">SUMPRODUCT(('Pivot Data'!$D$2:$D$1912=$A334)*IF($B334="",--('Pivot Data'!$E$2:$E$1912=""),--('Pivot Data'!$E$2:$E$1912=$B334))*('Pivot Data'!$I$2:$I$1912="Cancelled")*'Pivot Data'!$H$2:$H$1912)</f>
        <v>0</v>
      </c>
      <c r="E334" s="1301">
        <f t="shared" si="5"/>
        <v>1</v>
      </c>
    </row>
    <row r="335" spans="1:5" hidden="1" x14ac:dyDescent="0.25">
      <c r="A335" t="s">
        <v>153</v>
      </c>
      <c r="B335" t="s">
        <v>348</v>
      </c>
      <c r="C335" s="1301" cm="1">
        <f t="array" ref="C335">SUMPRODUCT((CHALLAN!$B$1:$B$16504=A335)*IF(B335="",--(CHALLAN!$C$1:$C$16504=""),--(CHALLAN!$C$1:$C$16504=B335))*IFERROR(CHALLAN!$D$1:$D$16504*CHALLAN!$E$1:$E$16504,0))</f>
        <v>1</v>
      </c>
      <c r="D335" cm="1">
        <f t="array" ref="D335">SUMPRODUCT(('Pivot Data'!$D$2:$D$1912=$A335)*IF($B335="",--('Pivot Data'!$E$2:$E$1912=""),--('Pivot Data'!$E$2:$E$1912=$B335))*('Pivot Data'!$I$2:$I$1912="Cancelled")*'Pivot Data'!$H$2:$H$1912)</f>
        <v>0</v>
      </c>
      <c r="E335" s="1301">
        <f t="shared" si="5"/>
        <v>1</v>
      </c>
    </row>
    <row r="336" spans="1:5" hidden="1" x14ac:dyDescent="0.25">
      <c r="A336" t="s">
        <v>1490</v>
      </c>
      <c r="C336" s="1301" cm="1">
        <f t="array" ref="C336">SUMPRODUCT((CHALLAN!$B$1:$B$16504=A336)*IF(B336="",--(CHALLAN!$C$1:$C$16504=""),--(CHALLAN!$C$1:$C$16504=B336))*IFERROR(CHALLAN!$D$1:$D$16504*CHALLAN!$E$1:$E$16504,0))</f>
        <v>10</v>
      </c>
      <c r="D336" cm="1">
        <f t="array" ref="D336">SUMPRODUCT(('Pivot Data'!$D$2:$D$1912=$A336)*IF($B336="",--('Pivot Data'!$E$2:$E$1912=""),--('Pivot Data'!$E$2:$E$1912=$B336))*('Pivot Data'!$I$2:$I$1912="Cancelled")*'Pivot Data'!$H$2:$H$1912)</f>
        <v>0</v>
      </c>
      <c r="E336" s="1301">
        <f t="shared" si="5"/>
        <v>10</v>
      </c>
    </row>
    <row r="337" spans="1:5" hidden="1" x14ac:dyDescent="0.25">
      <c r="A337" t="s">
        <v>203</v>
      </c>
      <c r="B337" t="s">
        <v>1349</v>
      </c>
      <c r="C337" s="1301" cm="1">
        <f t="array" ref="C337">SUMPRODUCT((CHALLAN!$B$1:$B$16504=A337)*IF(B337="",--(CHALLAN!$C$1:$C$16504=""),--(CHALLAN!$C$1:$C$16504=B337))*IFERROR(CHALLAN!$D$1:$D$16504*CHALLAN!$E$1:$E$16504,0))</f>
        <v>39</v>
      </c>
      <c r="D337" cm="1">
        <f t="array" ref="D337">SUMPRODUCT(('Pivot Data'!$D$2:$D$1912=$A337)*IF($B337="",--('Pivot Data'!$E$2:$E$1912=""),--('Pivot Data'!$E$2:$E$1912=$B337))*('Pivot Data'!$I$2:$I$1912="Cancelled")*'Pivot Data'!$H$2:$H$1912)</f>
        <v>0</v>
      </c>
      <c r="E337" s="1301">
        <f t="shared" si="5"/>
        <v>39</v>
      </c>
    </row>
    <row r="338" spans="1:5" hidden="1" x14ac:dyDescent="0.25">
      <c r="A338" t="s">
        <v>139</v>
      </c>
      <c r="C338" s="1301" cm="1">
        <f t="array" ref="C338">SUMPRODUCT((CHALLAN!$B$1:$B$16504=A338)*IF(B338="",--(CHALLAN!$C$1:$C$16504=""),--(CHALLAN!$C$1:$C$16504=B338))*IFERROR(CHALLAN!$D$1:$D$16504*CHALLAN!$E$1:$E$16504,0))</f>
        <v>16</v>
      </c>
      <c r="D338" cm="1">
        <f t="array" ref="D338">SUMPRODUCT(('Pivot Data'!$D$2:$D$1912=$A338)*IF($B338="",--('Pivot Data'!$E$2:$E$1912=""),--('Pivot Data'!$E$2:$E$1912=$B338))*('Pivot Data'!$I$2:$I$1912="Cancelled")*'Pivot Data'!$H$2:$H$1912)</f>
        <v>0</v>
      </c>
      <c r="E338" s="1301">
        <f t="shared" si="5"/>
        <v>16</v>
      </c>
    </row>
    <row r="339" spans="1:5" hidden="1" x14ac:dyDescent="0.25">
      <c r="A339" t="s">
        <v>139</v>
      </c>
      <c r="B339" t="s">
        <v>2094</v>
      </c>
      <c r="C339" s="1301" cm="1">
        <f t="array" ref="C339">SUMPRODUCT((CHALLAN!$B$1:$B$16504=A339)*IF(B339="",--(CHALLAN!$C$1:$C$16504=""),--(CHALLAN!$C$1:$C$16504=B339))*IFERROR(CHALLAN!$D$1:$D$16504*CHALLAN!$E$1:$E$16504,0))</f>
        <v>24</v>
      </c>
      <c r="D339" cm="1">
        <f t="array" ref="D339">SUMPRODUCT(('Pivot Data'!$D$2:$D$1912=$A339)*IF($B339="",--('Pivot Data'!$E$2:$E$1912=""),--('Pivot Data'!$E$2:$E$1912=$B339))*('Pivot Data'!$I$2:$I$1912="Cancelled")*'Pivot Data'!$H$2:$H$1912)</f>
        <v>0</v>
      </c>
      <c r="E339" s="1301">
        <f t="shared" si="5"/>
        <v>24</v>
      </c>
    </row>
    <row r="340" spans="1:5" hidden="1" x14ac:dyDescent="0.25">
      <c r="A340" t="s">
        <v>139</v>
      </c>
      <c r="B340" t="s">
        <v>2185</v>
      </c>
      <c r="C340" s="1301" cm="1">
        <f t="array" ref="C340">SUMPRODUCT((CHALLAN!$B$1:$B$16504=A340)*IF(B340="",--(CHALLAN!$C$1:$C$16504=""),--(CHALLAN!$C$1:$C$16504=B340))*IFERROR(CHALLAN!$D$1:$D$16504*CHALLAN!$E$1:$E$16504,0))</f>
        <v>6</v>
      </c>
      <c r="D340" cm="1">
        <f t="array" ref="D340">SUMPRODUCT(('Pivot Data'!$D$2:$D$1912=$A340)*IF($B340="",--('Pivot Data'!$E$2:$E$1912=""),--('Pivot Data'!$E$2:$E$1912=$B340))*('Pivot Data'!$I$2:$I$1912="Cancelled")*'Pivot Data'!$H$2:$H$1912)</f>
        <v>0</v>
      </c>
      <c r="E340" s="1301">
        <f t="shared" si="5"/>
        <v>6</v>
      </c>
    </row>
    <row r="341" spans="1:5" hidden="1" x14ac:dyDescent="0.25">
      <c r="A341" t="s">
        <v>139</v>
      </c>
      <c r="B341" t="s">
        <v>336</v>
      </c>
      <c r="C341" s="1301" cm="1">
        <f t="array" ref="C341">SUMPRODUCT((CHALLAN!$B$1:$B$16504=A341)*IF(B341="",--(CHALLAN!$C$1:$C$16504=""),--(CHALLAN!$C$1:$C$16504=B341))*IFERROR(CHALLAN!$D$1:$D$16504*CHALLAN!$E$1:$E$16504,0))</f>
        <v>95</v>
      </c>
      <c r="D341" cm="1">
        <f t="array" ref="D341">SUMPRODUCT(('Pivot Data'!$D$2:$D$1912=$A341)*IF($B341="",--('Pivot Data'!$E$2:$E$1912=""),--('Pivot Data'!$E$2:$E$1912=$B341))*('Pivot Data'!$I$2:$I$1912="Cancelled")*'Pivot Data'!$H$2:$H$1912)</f>
        <v>0</v>
      </c>
      <c r="E341" s="1301">
        <f t="shared" si="5"/>
        <v>95</v>
      </c>
    </row>
    <row r="342" spans="1:5" hidden="1" x14ac:dyDescent="0.25">
      <c r="A342" t="s">
        <v>1978</v>
      </c>
      <c r="C342" s="1301" cm="1">
        <f t="array" ref="C342">SUMPRODUCT((CHALLAN!$B$1:$B$16504=A342)*IF(B342="",--(CHALLAN!$C$1:$C$16504=""),--(CHALLAN!$C$1:$C$16504=B342))*IFERROR(CHALLAN!$D$1:$D$16504*CHALLAN!$E$1:$E$16504,0))</f>
        <v>100</v>
      </c>
      <c r="D342" cm="1">
        <f t="array" ref="D342">SUMPRODUCT(('Pivot Data'!$D$2:$D$1912=$A342)*IF($B342="",--('Pivot Data'!$E$2:$E$1912=""),--('Pivot Data'!$E$2:$E$1912=$B342))*('Pivot Data'!$I$2:$I$1912="Cancelled")*'Pivot Data'!$H$2:$H$1912)</f>
        <v>0</v>
      </c>
      <c r="E342" s="1301">
        <f t="shared" si="5"/>
        <v>100</v>
      </c>
    </row>
    <row r="343" spans="1:5" hidden="1" x14ac:dyDescent="0.25">
      <c r="A343" t="s">
        <v>295</v>
      </c>
      <c r="B343" t="s">
        <v>424</v>
      </c>
      <c r="C343" s="1301" cm="1">
        <f t="array" ref="C343">SUMPRODUCT((CHALLAN!$B$1:$B$16504=A343)*IF(B343="",--(CHALLAN!$C$1:$C$16504=""),--(CHALLAN!$C$1:$C$16504=B343))*IFERROR(CHALLAN!$D$1:$D$16504*CHALLAN!$E$1:$E$16504,0))</f>
        <v>50</v>
      </c>
      <c r="D343" cm="1">
        <f t="array" ref="D343">SUMPRODUCT(('Pivot Data'!$D$2:$D$1912=$A343)*IF($B343="",--('Pivot Data'!$E$2:$E$1912=""),--('Pivot Data'!$E$2:$E$1912=$B343))*('Pivot Data'!$I$2:$I$1912="Cancelled")*'Pivot Data'!$H$2:$H$1912)</f>
        <v>0</v>
      </c>
      <c r="E343" s="1301">
        <f t="shared" si="5"/>
        <v>50</v>
      </c>
    </row>
    <row r="344" spans="1:5" hidden="1" x14ac:dyDescent="0.25">
      <c r="A344" t="s">
        <v>1493</v>
      </c>
      <c r="C344" s="1301" cm="1">
        <f t="array" ref="C344">SUMPRODUCT((CHALLAN!$B$1:$B$16504=A344)*IF(B344="",--(CHALLAN!$C$1:$C$16504=""),--(CHALLAN!$C$1:$C$16504=B344))*IFERROR(CHALLAN!$D$1:$D$16504*CHALLAN!$E$1:$E$16504,0))</f>
        <v>40</v>
      </c>
      <c r="D344" cm="1">
        <f t="array" ref="D344">SUMPRODUCT(('Pivot Data'!$D$2:$D$1912=$A344)*IF($B344="",--('Pivot Data'!$E$2:$E$1912=""),--('Pivot Data'!$E$2:$E$1912=$B344))*('Pivot Data'!$I$2:$I$1912="Cancelled")*'Pivot Data'!$H$2:$H$1912)</f>
        <v>0</v>
      </c>
      <c r="E344" s="1301">
        <f t="shared" si="5"/>
        <v>40</v>
      </c>
    </row>
    <row r="345" spans="1:5" hidden="1" x14ac:dyDescent="0.25">
      <c r="A345" t="s">
        <v>2290</v>
      </c>
      <c r="C345" s="1301" cm="1">
        <f t="array" ref="C345">SUMPRODUCT((CHALLAN!$B$1:$B$16504=A345)*IF(B345="",--(CHALLAN!$C$1:$C$16504=""),--(CHALLAN!$C$1:$C$16504=B345))*IFERROR(CHALLAN!$D$1:$D$16504*CHALLAN!$E$1:$E$16504,0))</f>
        <v>30</v>
      </c>
      <c r="D345" cm="1">
        <f t="array" ref="D345">SUMPRODUCT(('Pivot Data'!$D$2:$D$1912=$A345)*IF($B345="",--('Pivot Data'!$E$2:$E$1912=""),--('Pivot Data'!$E$2:$E$1912=$B345))*('Pivot Data'!$I$2:$I$1912="Cancelled")*'Pivot Data'!$H$2:$H$1912)</f>
        <v>0</v>
      </c>
      <c r="E345" s="1301">
        <f t="shared" si="5"/>
        <v>30</v>
      </c>
    </row>
    <row r="346" spans="1:5" hidden="1" x14ac:dyDescent="0.25">
      <c r="A346" t="s">
        <v>250</v>
      </c>
      <c r="C346" s="1301" cm="1">
        <f t="array" ref="C346">SUMPRODUCT((CHALLAN!$B$1:$B$16504=A346)*IF(B346="",--(CHALLAN!$C$1:$C$16504=""),--(CHALLAN!$C$1:$C$16504=B346))*IFERROR(CHALLAN!$D$1:$D$16504*CHALLAN!$E$1:$E$16504,0))</f>
        <v>25</v>
      </c>
      <c r="D346" cm="1">
        <f t="array" ref="D346">SUMPRODUCT(('Pivot Data'!$D$2:$D$1912=$A346)*IF($B346="",--('Pivot Data'!$E$2:$E$1912=""),--('Pivot Data'!$E$2:$E$1912=$B346))*('Pivot Data'!$I$2:$I$1912="Cancelled")*'Pivot Data'!$H$2:$H$1912)</f>
        <v>0</v>
      </c>
      <c r="E346" s="1301">
        <f t="shared" si="5"/>
        <v>25</v>
      </c>
    </row>
    <row r="347" spans="1:5" hidden="1" x14ac:dyDescent="0.25">
      <c r="A347" t="s">
        <v>250</v>
      </c>
      <c r="B347" t="s">
        <v>410</v>
      </c>
      <c r="C347" s="1301" cm="1">
        <f t="array" ref="C347">SUMPRODUCT((CHALLAN!$B$1:$B$16504=A347)*IF(B347="",--(CHALLAN!$C$1:$C$16504=""),--(CHALLAN!$C$1:$C$16504=B347))*IFERROR(CHALLAN!$D$1:$D$16504*CHALLAN!$E$1:$E$16504,0))</f>
        <v>200</v>
      </c>
      <c r="D347" cm="1">
        <f t="array" ref="D347">SUMPRODUCT(('Pivot Data'!$D$2:$D$1912=$A347)*IF($B347="",--('Pivot Data'!$E$2:$E$1912=""),--('Pivot Data'!$E$2:$E$1912=$B347))*('Pivot Data'!$I$2:$I$1912="Cancelled")*'Pivot Data'!$H$2:$H$1912)</f>
        <v>0</v>
      </c>
      <c r="E347" s="1301">
        <f t="shared" si="5"/>
        <v>200</v>
      </c>
    </row>
    <row r="348" spans="1:5" hidden="1" x14ac:dyDescent="0.25">
      <c r="A348" t="s">
        <v>250</v>
      </c>
      <c r="B348" t="s">
        <v>452</v>
      </c>
      <c r="C348" s="1301" cm="1">
        <f t="array" ref="C348">SUMPRODUCT((CHALLAN!$B$1:$B$16504=A348)*IF(B348="",--(CHALLAN!$C$1:$C$16504=""),--(CHALLAN!$C$1:$C$16504=B348))*IFERROR(CHALLAN!$D$1:$D$16504*CHALLAN!$E$1:$E$16504,0))</f>
        <v>0</v>
      </c>
      <c r="D348" cm="1">
        <f t="array" ref="D348">SUMPRODUCT(('Pivot Data'!$D$2:$D$1912=$A348)*IF($B348="",--('Pivot Data'!$E$2:$E$1912=""),--('Pivot Data'!$E$2:$E$1912=$B348))*('Pivot Data'!$I$2:$I$1912="Cancelled")*'Pivot Data'!$H$2:$H$1912)</f>
        <v>0</v>
      </c>
      <c r="E348" s="1301">
        <f t="shared" si="5"/>
        <v>0</v>
      </c>
    </row>
    <row r="349" spans="1:5" hidden="1" x14ac:dyDescent="0.25">
      <c r="A349" t="s">
        <v>2391</v>
      </c>
      <c r="B349" t="s">
        <v>452</v>
      </c>
      <c r="C349" s="1301" cm="1">
        <f t="array" ref="C349">SUMPRODUCT((CHALLAN!$B$1:$B$16504=A349)*IF(B349="",--(CHALLAN!$C$1:$C$16504=""),--(CHALLAN!$C$1:$C$16504=B349))*IFERROR(CHALLAN!$D$1:$D$16504*CHALLAN!$E$1:$E$16504,0))</f>
        <v>99</v>
      </c>
      <c r="D349" cm="1">
        <f t="array" ref="D349">SUMPRODUCT(('Pivot Data'!$D$2:$D$1912=$A349)*IF($B349="",--('Pivot Data'!$E$2:$E$1912=""),--('Pivot Data'!$E$2:$E$1912=$B349))*('Pivot Data'!$I$2:$I$1912="Cancelled")*'Pivot Data'!$H$2:$H$1912)</f>
        <v>0</v>
      </c>
      <c r="E349" s="1301">
        <f t="shared" si="5"/>
        <v>99</v>
      </c>
    </row>
    <row r="350" spans="1:5" hidden="1" x14ac:dyDescent="0.25">
      <c r="A350" t="s">
        <v>250</v>
      </c>
      <c r="B350" t="s">
        <v>424</v>
      </c>
      <c r="C350" s="1301" cm="1">
        <f t="array" ref="C350">SUMPRODUCT((CHALLAN!$B$1:$B$16504=A350)*IF(B350="",--(CHALLAN!$C$1:$C$16504=""),--(CHALLAN!$C$1:$C$16504=B350))*IFERROR(CHALLAN!$D$1:$D$16504*CHALLAN!$E$1:$E$16504,0))</f>
        <v>250</v>
      </c>
      <c r="D350" cm="1">
        <f t="array" ref="D350">SUMPRODUCT(('Pivot Data'!$D$2:$D$1912=$A350)*IF($B350="",--('Pivot Data'!$E$2:$E$1912=""),--('Pivot Data'!$E$2:$E$1912=$B350))*('Pivot Data'!$I$2:$I$1912="Cancelled")*'Pivot Data'!$H$2:$H$1912)</f>
        <v>0</v>
      </c>
      <c r="E350" s="1301">
        <f t="shared" si="5"/>
        <v>250</v>
      </c>
    </row>
    <row r="351" spans="1:5" hidden="1" x14ac:dyDescent="0.25">
      <c r="A351" t="s">
        <v>250</v>
      </c>
      <c r="B351" t="s">
        <v>2236</v>
      </c>
      <c r="C351" s="1301" cm="1">
        <f t="array" ref="C351">SUMPRODUCT((CHALLAN!$B$1:$B$16504=A351)*IF(B351="",--(CHALLAN!$C$1:$C$16504=""),--(CHALLAN!$C$1:$C$16504=B351))*IFERROR(CHALLAN!$D$1:$D$16504*CHALLAN!$E$1:$E$16504,0))</f>
        <v>0</v>
      </c>
      <c r="D351" cm="1">
        <f t="array" ref="D351">SUMPRODUCT(('Pivot Data'!$D$2:$D$1912=$A351)*IF($B351="",--('Pivot Data'!$E$2:$E$1912=""),--('Pivot Data'!$E$2:$E$1912=$B351))*('Pivot Data'!$I$2:$I$1912="Cancelled")*'Pivot Data'!$H$2:$H$1912)</f>
        <v>0</v>
      </c>
      <c r="E351" s="1301">
        <f t="shared" si="5"/>
        <v>0</v>
      </c>
    </row>
    <row r="352" spans="1:5" hidden="1" x14ac:dyDescent="0.25">
      <c r="A352" t="s">
        <v>655</v>
      </c>
      <c r="B352" t="s">
        <v>94</v>
      </c>
      <c r="C352" s="1301" cm="1">
        <f t="array" ref="C352">SUMPRODUCT((CHALLAN!$B$1:$B$16504=A352)*IF(B352="",--(CHALLAN!$C$1:$C$16504=""),--(CHALLAN!$C$1:$C$16504=B352))*IFERROR(CHALLAN!$D$1:$D$16504*CHALLAN!$E$1:$E$16504,0))</f>
        <v>92</v>
      </c>
      <c r="D352" cm="1">
        <f t="array" ref="D352">SUMPRODUCT(('Pivot Data'!$D$2:$D$1912=$A352)*IF($B352="",--('Pivot Data'!$E$2:$E$1912=""),--('Pivot Data'!$E$2:$E$1912=$B352))*('Pivot Data'!$I$2:$I$1912="Cancelled")*'Pivot Data'!$H$2:$H$1912)</f>
        <v>0</v>
      </c>
      <c r="E352" s="1301">
        <f t="shared" si="5"/>
        <v>92</v>
      </c>
    </row>
    <row r="353" spans="1:5" hidden="1" x14ac:dyDescent="0.25">
      <c r="A353" t="s">
        <v>1354</v>
      </c>
      <c r="B353" t="s">
        <v>94</v>
      </c>
      <c r="C353" s="1301" cm="1">
        <f t="array" ref="C353">SUMPRODUCT((CHALLAN!$B$1:$B$16504=A353)*IF(B353="",--(CHALLAN!$C$1:$C$16504=""),--(CHALLAN!$C$1:$C$16504=B353))*IFERROR(CHALLAN!$D$1:$D$16504*CHALLAN!$E$1:$E$16504,0))</f>
        <v>10</v>
      </c>
      <c r="D353" cm="1">
        <f t="array" ref="D353">SUMPRODUCT(('Pivot Data'!$D$2:$D$1912=$A353)*IF($B353="",--('Pivot Data'!$E$2:$E$1912=""),--('Pivot Data'!$E$2:$E$1912=$B353))*('Pivot Data'!$I$2:$I$1912="Cancelled")*'Pivot Data'!$H$2:$H$1912)</f>
        <v>0</v>
      </c>
      <c r="E353" s="1301">
        <f t="shared" si="5"/>
        <v>10</v>
      </c>
    </row>
    <row r="354" spans="1:5" hidden="1" x14ac:dyDescent="0.25">
      <c r="A354" t="s">
        <v>1800</v>
      </c>
      <c r="B354" t="s">
        <v>94</v>
      </c>
      <c r="C354" s="1301" cm="1">
        <f t="array" ref="C354">SUMPRODUCT((CHALLAN!$B$1:$B$16504=A354)*IF(B354="",--(CHALLAN!$C$1:$C$16504=""),--(CHALLAN!$C$1:$C$16504=B354))*IFERROR(CHALLAN!$D$1:$D$16504*CHALLAN!$E$1:$E$16504,0))</f>
        <v>5</v>
      </c>
      <c r="D354" cm="1">
        <f t="array" ref="D354">SUMPRODUCT(('Pivot Data'!$D$2:$D$1912=$A354)*IF($B354="",--('Pivot Data'!$E$2:$E$1912=""),--('Pivot Data'!$E$2:$E$1912=$B354))*('Pivot Data'!$I$2:$I$1912="Cancelled")*'Pivot Data'!$H$2:$H$1912)</f>
        <v>0</v>
      </c>
      <c r="E354" s="1301">
        <f t="shared" si="5"/>
        <v>5</v>
      </c>
    </row>
    <row r="355" spans="1:5" hidden="1" x14ac:dyDescent="0.25">
      <c r="A355" t="s">
        <v>1612</v>
      </c>
      <c r="B355" t="s">
        <v>347</v>
      </c>
      <c r="C355" s="1301" cm="1">
        <f t="array" ref="C355">SUMPRODUCT((CHALLAN!$B$1:$B$16504=A355)*IF(B355="",--(CHALLAN!$C$1:$C$16504=""),--(CHALLAN!$C$1:$C$16504=B355))*IFERROR(CHALLAN!$D$1:$D$16504*CHALLAN!$E$1:$E$16504,0))</f>
        <v>1</v>
      </c>
      <c r="D355" cm="1">
        <f t="array" ref="D355">SUMPRODUCT(('Pivot Data'!$D$2:$D$1912=$A355)*IF($B355="",--('Pivot Data'!$E$2:$E$1912=""),--('Pivot Data'!$E$2:$E$1912=$B355))*('Pivot Data'!$I$2:$I$1912="Cancelled")*'Pivot Data'!$H$2:$H$1912)</f>
        <v>0</v>
      </c>
      <c r="E355" s="1301">
        <f t="shared" si="5"/>
        <v>1</v>
      </c>
    </row>
    <row r="356" spans="1:5" hidden="1" x14ac:dyDescent="0.25">
      <c r="A356" t="s">
        <v>1715</v>
      </c>
      <c r="B356" t="s">
        <v>94</v>
      </c>
      <c r="C356" s="1301" cm="1">
        <f t="array" ref="C356">SUMPRODUCT((CHALLAN!$B$1:$B$16504=A356)*IF(B356="",--(CHALLAN!$C$1:$C$16504=""),--(CHALLAN!$C$1:$C$16504=B356))*IFERROR(CHALLAN!$D$1:$D$16504*CHALLAN!$E$1:$E$16504,0))</f>
        <v>10</v>
      </c>
      <c r="D356" cm="1">
        <f t="array" ref="D356">SUMPRODUCT(('Pivot Data'!$D$2:$D$1912=$A356)*IF($B356="",--('Pivot Data'!$E$2:$E$1912=""),--('Pivot Data'!$E$2:$E$1912=$B356))*('Pivot Data'!$I$2:$I$1912="Cancelled")*'Pivot Data'!$H$2:$H$1912)</f>
        <v>0</v>
      </c>
      <c r="E356" s="1301">
        <f t="shared" si="5"/>
        <v>10</v>
      </c>
    </row>
    <row r="357" spans="1:5" hidden="1" x14ac:dyDescent="0.25">
      <c r="A357" t="s">
        <v>93</v>
      </c>
      <c r="B357" t="s">
        <v>94</v>
      </c>
      <c r="C357" s="1301" cm="1">
        <f t="array" ref="C357">SUMPRODUCT((CHALLAN!$B$1:$B$16504=A357)*IF(B357="",--(CHALLAN!$C$1:$C$16504=""),--(CHALLAN!$C$1:$C$16504=B357))*IFERROR(CHALLAN!$D$1:$D$16504*CHALLAN!$E$1:$E$16504,0))</f>
        <v>15</v>
      </c>
      <c r="D357" cm="1">
        <f t="array" ref="D357">SUMPRODUCT(('Pivot Data'!$D$2:$D$1912=$A357)*IF($B357="",--('Pivot Data'!$E$2:$E$1912=""),--('Pivot Data'!$E$2:$E$1912=$B357))*('Pivot Data'!$I$2:$I$1912="Cancelled")*'Pivot Data'!$H$2:$H$1912)</f>
        <v>0</v>
      </c>
      <c r="E357" s="1301">
        <f t="shared" si="5"/>
        <v>15</v>
      </c>
    </row>
    <row r="358" spans="1:5" hidden="1" x14ac:dyDescent="0.25">
      <c r="A358" t="s">
        <v>140</v>
      </c>
      <c r="C358" s="1301" cm="1">
        <f t="array" ref="C358">SUMPRODUCT((CHALLAN!$B$1:$B$16504=A358)*IF(B358="",--(CHALLAN!$C$1:$C$16504=""),--(CHALLAN!$C$1:$C$16504=B358))*IFERROR(CHALLAN!$D$1:$D$16504*CHALLAN!$E$1:$E$16504,0))</f>
        <v>11</v>
      </c>
      <c r="D358" cm="1">
        <f t="array" ref="D358">SUMPRODUCT(('Pivot Data'!$D$2:$D$1912=$A358)*IF($B358="",--('Pivot Data'!$E$2:$E$1912=""),--('Pivot Data'!$E$2:$E$1912=$B358))*('Pivot Data'!$I$2:$I$1912="Cancelled")*'Pivot Data'!$H$2:$H$1912)</f>
        <v>0</v>
      </c>
      <c r="E358" s="1301">
        <f t="shared" si="5"/>
        <v>11</v>
      </c>
    </row>
    <row r="359" spans="1:5" hidden="1" x14ac:dyDescent="0.25">
      <c r="A359" t="s">
        <v>140</v>
      </c>
      <c r="B359" t="s">
        <v>393</v>
      </c>
      <c r="C359" s="1301" cm="1">
        <f t="array" ref="C359">SUMPRODUCT((CHALLAN!$B$1:$B$16504=A359)*IF(B359="",--(CHALLAN!$C$1:$C$16504=""),--(CHALLAN!$C$1:$C$16504=B359))*IFERROR(CHALLAN!$D$1:$D$16504*CHALLAN!$E$1:$E$16504,0))</f>
        <v>7</v>
      </c>
      <c r="D359" cm="1">
        <f t="array" ref="D359">SUMPRODUCT(('Pivot Data'!$D$2:$D$1912=$A359)*IF($B359="",--('Pivot Data'!$E$2:$E$1912=""),--('Pivot Data'!$E$2:$E$1912=$B359))*('Pivot Data'!$I$2:$I$1912="Cancelled")*'Pivot Data'!$H$2:$H$1912)</f>
        <v>0</v>
      </c>
      <c r="E359" s="1301">
        <f t="shared" si="5"/>
        <v>7</v>
      </c>
    </row>
    <row r="360" spans="1:5" hidden="1" x14ac:dyDescent="0.25">
      <c r="A360" t="s">
        <v>140</v>
      </c>
      <c r="B360" t="s">
        <v>337</v>
      </c>
      <c r="C360" s="1301" cm="1">
        <f t="array" ref="C360">SUMPRODUCT((CHALLAN!$B$1:$B$16504=A360)*IF(B360="",--(CHALLAN!$C$1:$C$16504=""),--(CHALLAN!$C$1:$C$16504=B360))*IFERROR(CHALLAN!$D$1:$D$16504*CHALLAN!$E$1:$E$16504,0))</f>
        <v>35</v>
      </c>
      <c r="D360" cm="1">
        <f t="array" ref="D360">SUMPRODUCT(('Pivot Data'!$D$2:$D$1912=$A360)*IF($B360="",--('Pivot Data'!$E$2:$E$1912=""),--('Pivot Data'!$E$2:$E$1912=$B360))*('Pivot Data'!$I$2:$I$1912="Cancelled")*'Pivot Data'!$H$2:$H$1912)</f>
        <v>0</v>
      </c>
      <c r="E360" s="1301">
        <f t="shared" si="5"/>
        <v>35</v>
      </c>
    </row>
    <row r="361" spans="1:5" hidden="1" x14ac:dyDescent="0.25">
      <c r="A361" t="s">
        <v>1992</v>
      </c>
      <c r="C361" s="1301" cm="1">
        <f t="array" ref="C361">SUMPRODUCT((CHALLAN!$B$1:$B$16504=A361)*IF(B361="",--(CHALLAN!$C$1:$C$16504=""),--(CHALLAN!$C$1:$C$16504=B361))*IFERROR(CHALLAN!$D$1:$D$16504*CHALLAN!$E$1:$E$16504,0))</f>
        <v>7</v>
      </c>
      <c r="D361" cm="1">
        <f t="array" ref="D361">SUMPRODUCT(('Pivot Data'!$D$2:$D$1912=$A361)*IF($B361="",--('Pivot Data'!$E$2:$E$1912=""),--('Pivot Data'!$E$2:$E$1912=$B361))*('Pivot Data'!$I$2:$I$1912="Cancelled")*'Pivot Data'!$H$2:$H$1912)</f>
        <v>0</v>
      </c>
      <c r="E361" s="1301">
        <f t="shared" si="5"/>
        <v>7</v>
      </c>
    </row>
    <row r="362" spans="1:5" hidden="1" x14ac:dyDescent="0.25">
      <c r="A362" t="s">
        <v>1711</v>
      </c>
      <c r="B362" t="s">
        <v>406</v>
      </c>
      <c r="C362" s="1301" cm="1">
        <f t="array" ref="C362">SUMPRODUCT((CHALLAN!$B$1:$B$16504=A362)*IF(B362="",--(CHALLAN!$C$1:$C$16504=""),--(CHALLAN!$C$1:$C$16504=B362))*IFERROR(CHALLAN!$D$1:$D$16504*CHALLAN!$E$1:$E$16504,0))</f>
        <v>100</v>
      </c>
      <c r="D362" cm="1">
        <f t="array" ref="D362">SUMPRODUCT(('Pivot Data'!$D$2:$D$1912=$A362)*IF($B362="",--('Pivot Data'!$E$2:$E$1912=""),--('Pivot Data'!$E$2:$E$1912=$B362))*('Pivot Data'!$I$2:$I$1912="Cancelled")*'Pivot Data'!$H$2:$H$1912)</f>
        <v>0</v>
      </c>
      <c r="E362" s="1301">
        <f t="shared" si="5"/>
        <v>100</v>
      </c>
    </row>
    <row r="363" spans="1:5" hidden="1" x14ac:dyDescent="0.25">
      <c r="A363" t="s">
        <v>1985</v>
      </c>
      <c r="C363" s="1301" cm="1">
        <f t="array" ref="C363">SUMPRODUCT((CHALLAN!$B$1:$B$16504=A363)*IF(B363="",--(CHALLAN!$C$1:$C$16504=""),--(CHALLAN!$C$1:$C$16504=B363))*IFERROR(CHALLAN!$D$1:$D$16504*CHALLAN!$E$1:$E$16504,0))</f>
        <v>20</v>
      </c>
      <c r="D363" cm="1">
        <f t="array" ref="D363">SUMPRODUCT(('Pivot Data'!$D$2:$D$1912=$A363)*IF($B363="",--('Pivot Data'!$E$2:$E$1912=""),--('Pivot Data'!$E$2:$E$1912=$B363))*('Pivot Data'!$I$2:$I$1912="Cancelled")*'Pivot Data'!$H$2:$H$1912)</f>
        <v>0</v>
      </c>
      <c r="E363" s="1301">
        <f t="shared" si="5"/>
        <v>20</v>
      </c>
    </row>
    <row r="364" spans="1:5" hidden="1" x14ac:dyDescent="0.25">
      <c r="A364" t="s">
        <v>1495</v>
      </c>
      <c r="C364" s="1301" cm="1">
        <f t="array" ref="C364">SUMPRODUCT((CHALLAN!$B$1:$B$16504=A364)*IF(B364="",--(CHALLAN!$C$1:$C$16504=""),--(CHALLAN!$C$1:$C$16504=B364))*IFERROR(CHALLAN!$D$1:$D$16504*CHALLAN!$E$1:$E$16504,0))</f>
        <v>5</v>
      </c>
      <c r="D364" cm="1">
        <f t="array" ref="D364">SUMPRODUCT(('Pivot Data'!$D$2:$D$1912=$A364)*IF($B364="",--('Pivot Data'!$E$2:$E$1912=""),--('Pivot Data'!$E$2:$E$1912=$B364))*('Pivot Data'!$I$2:$I$1912="Cancelled")*'Pivot Data'!$H$2:$H$1912)</f>
        <v>0</v>
      </c>
      <c r="E364" s="1301">
        <f t="shared" si="5"/>
        <v>5</v>
      </c>
    </row>
    <row r="365" spans="1:5" hidden="1" x14ac:dyDescent="0.25">
      <c r="A365" t="s">
        <v>2286</v>
      </c>
      <c r="C365" s="1301" cm="1">
        <f t="array" ref="C365">SUMPRODUCT((CHALLAN!$B$1:$B$16504=A365)*IF(B365="",--(CHALLAN!$C$1:$C$16504=""),--(CHALLAN!$C$1:$C$16504=B365))*IFERROR(CHALLAN!$D$1:$D$16504*CHALLAN!$E$1:$E$16504,0))</f>
        <v>30</v>
      </c>
      <c r="D365" cm="1">
        <f t="array" ref="D365">SUMPRODUCT(('Pivot Data'!$D$2:$D$1912=$A365)*IF($B365="",--('Pivot Data'!$E$2:$E$1912=""),--('Pivot Data'!$E$2:$E$1912=$B365))*('Pivot Data'!$I$2:$I$1912="Cancelled")*'Pivot Data'!$H$2:$H$1912)</f>
        <v>0</v>
      </c>
      <c r="E365" s="1301">
        <f t="shared" si="5"/>
        <v>30</v>
      </c>
    </row>
    <row r="366" spans="1:5" hidden="1" x14ac:dyDescent="0.25">
      <c r="A366" t="s">
        <v>1977</v>
      </c>
      <c r="C366" s="1301" cm="1">
        <f t="array" ref="C366">SUMPRODUCT((CHALLAN!$B$1:$B$16504=A366)*IF(B366="",--(CHALLAN!$C$1:$C$16504=""),--(CHALLAN!$C$1:$C$16504=B366))*IFERROR(CHALLAN!$D$1:$D$16504*CHALLAN!$E$1:$E$16504,0))</f>
        <v>20</v>
      </c>
      <c r="D366" cm="1">
        <f t="array" ref="D366">SUMPRODUCT(('Pivot Data'!$D$2:$D$1912=$A366)*IF($B366="",--('Pivot Data'!$E$2:$E$1912=""),--('Pivot Data'!$E$2:$E$1912=$B366))*('Pivot Data'!$I$2:$I$1912="Cancelled")*'Pivot Data'!$H$2:$H$1912)</f>
        <v>0</v>
      </c>
      <c r="E366" s="1301">
        <f t="shared" si="5"/>
        <v>20</v>
      </c>
    </row>
    <row r="367" spans="1:5" hidden="1" x14ac:dyDescent="0.25">
      <c r="A367" t="s">
        <v>130</v>
      </c>
      <c r="B367" t="s">
        <v>1497</v>
      </c>
      <c r="C367" s="1301" cm="1">
        <f t="array" ref="C367">SUMPRODUCT((CHALLAN!$B$1:$B$16504=A367)*IF(B367="",--(CHALLAN!$C$1:$C$16504=""),--(CHALLAN!$C$1:$C$16504=B367))*IFERROR(CHALLAN!$D$1:$D$16504*CHALLAN!$E$1:$E$16504,0))</f>
        <v>1</v>
      </c>
      <c r="D367" cm="1">
        <f t="array" ref="D367">SUMPRODUCT(('Pivot Data'!$D$2:$D$1912=$A367)*IF($B367="",--('Pivot Data'!$E$2:$E$1912=""),--('Pivot Data'!$E$2:$E$1912=$B367))*('Pivot Data'!$I$2:$I$1912="Cancelled")*'Pivot Data'!$H$2:$H$1912)</f>
        <v>1</v>
      </c>
      <c r="E367" s="1301">
        <f t="shared" si="5"/>
        <v>0</v>
      </c>
    </row>
    <row r="368" spans="1:5" hidden="1" x14ac:dyDescent="0.25">
      <c r="A368" t="s">
        <v>157</v>
      </c>
      <c r="B368" t="s">
        <v>352</v>
      </c>
      <c r="C368" s="1301" cm="1">
        <f t="array" ref="C368">SUMPRODUCT((CHALLAN!$B$1:$B$16504=A368)*IF(B368="",--(CHALLAN!$C$1:$C$16504=""),--(CHALLAN!$C$1:$C$16504=B368))*IFERROR(CHALLAN!$D$1:$D$16504*CHALLAN!$E$1:$E$16504,0))</f>
        <v>1</v>
      </c>
      <c r="D368" cm="1">
        <f t="array" ref="D368">SUMPRODUCT(('Pivot Data'!$D$2:$D$1912=$A368)*IF($B368="",--('Pivot Data'!$E$2:$E$1912=""),--('Pivot Data'!$E$2:$E$1912=$B368))*('Pivot Data'!$I$2:$I$1912="Cancelled")*'Pivot Data'!$H$2:$H$1912)</f>
        <v>0</v>
      </c>
      <c r="E368" s="1301">
        <f t="shared" si="5"/>
        <v>1</v>
      </c>
    </row>
    <row r="369" spans="1:5" hidden="1" x14ac:dyDescent="0.25">
      <c r="A369" t="s">
        <v>1987</v>
      </c>
      <c r="C369" s="1301" cm="1">
        <f t="array" ref="C369">SUMPRODUCT((CHALLAN!$B$1:$B$16504=A369)*IF(B369="",--(CHALLAN!$C$1:$C$16504=""),--(CHALLAN!$C$1:$C$16504=B369))*IFERROR(CHALLAN!$D$1:$D$16504*CHALLAN!$E$1:$E$16504,0))</f>
        <v>5</v>
      </c>
      <c r="D369" cm="1">
        <f t="array" ref="D369">SUMPRODUCT(('Pivot Data'!$D$2:$D$1912=$A369)*IF($B369="",--('Pivot Data'!$E$2:$E$1912=""),--('Pivot Data'!$E$2:$E$1912=$B369))*('Pivot Data'!$I$2:$I$1912="Cancelled")*'Pivot Data'!$H$2:$H$1912)</f>
        <v>0</v>
      </c>
      <c r="E369" s="1301">
        <f t="shared" si="5"/>
        <v>5</v>
      </c>
    </row>
    <row r="370" spans="1:5" hidden="1" x14ac:dyDescent="0.25">
      <c r="A370" t="s">
        <v>1498</v>
      </c>
      <c r="C370" s="1301" cm="1">
        <f t="array" ref="C370">SUMPRODUCT((CHALLAN!$B$1:$B$16504=A370)*IF(B370="",--(CHALLAN!$C$1:$C$16504=""),--(CHALLAN!$C$1:$C$16504=B370))*IFERROR(CHALLAN!$D$1:$D$16504*CHALLAN!$E$1:$E$16504,0))</f>
        <v>0</v>
      </c>
      <c r="D370" cm="1">
        <f t="array" ref="D370">SUMPRODUCT(('Pivot Data'!$D$2:$D$1912=$A370)*IF($B370="",--('Pivot Data'!$E$2:$E$1912=""),--('Pivot Data'!$E$2:$E$1912=$B370))*('Pivot Data'!$I$2:$I$1912="Cancelled")*'Pivot Data'!$H$2:$H$1912)</f>
        <v>0</v>
      </c>
      <c r="E370" s="1301">
        <f t="shared" si="5"/>
        <v>0</v>
      </c>
    </row>
    <row r="371" spans="1:5" hidden="1" x14ac:dyDescent="0.25">
      <c r="A371" t="s">
        <v>1799</v>
      </c>
      <c r="B371" t="s">
        <v>54</v>
      </c>
      <c r="C371" s="1301" cm="1">
        <f t="array" ref="C371">SUMPRODUCT((CHALLAN!$B$1:$B$16504=A371)*IF(B371="",--(CHALLAN!$C$1:$C$16504=""),--(CHALLAN!$C$1:$C$16504=B371))*IFERROR(CHALLAN!$D$1:$D$16504*CHALLAN!$E$1:$E$16504,0))</f>
        <v>5</v>
      </c>
      <c r="D371" cm="1">
        <f t="array" ref="D371">SUMPRODUCT(('Pivot Data'!$D$2:$D$1912=$A371)*IF($B371="",--('Pivot Data'!$E$2:$E$1912=""),--('Pivot Data'!$E$2:$E$1912=$B371))*('Pivot Data'!$I$2:$I$1912="Cancelled")*'Pivot Data'!$H$2:$H$1912)</f>
        <v>0</v>
      </c>
      <c r="E371" s="1301">
        <f t="shared" si="5"/>
        <v>5</v>
      </c>
    </row>
    <row r="372" spans="1:5" hidden="1" x14ac:dyDescent="0.25">
      <c r="A372" t="s">
        <v>1737</v>
      </c>
      <c r="B372" t="s">
        <v>371</v>
      </c>
      <c r="C372" s="1301" cm="1">
        <f t="array" ref="C372">SUMPRODUCT((CHALLAN!$B$1:$B$16504=A372)*IF(B372="",--(CHALLAN!$C$1:$C$16504=""),--(CHALLAN!$C$1:$C$16504=B372))*IFERROR(CHALLAN!$D$1:$D$16504*CHALLAN!$E$1:$E$16504,0))</f>
        <v>186</v>
      </c>
      <c r="D372" cm="1">
        <f t="array" ref="D372">SUMPRODUCT(('Pivot Data'!$D$2:$D$1912=$A372)*IF($B372="",--('Pivot Data'!$E$2:$E$1912=""),--('Pivot Data'!$E$2:$E$1912=$B372))*('Pivot Data'!$I$2:$I$1912="Cancelled")*'Pivot Data'!$H$2:$H$1912)</f>
        <v>0</v>
      </c>
      <c r="E372" s="1301">
        <f t="shared" si="5"/>
        <v>186</v>
      </c>
    </row>
    <row r="373" spans="1:5" hidden="1" x14ac:dyDescent="0.25">
      <c r="A373" t="s">
        <v>225</v>
      </c>
      <c r="B373" t="s">
        <v>422</v>
      </c>
      <c r="C373" s="1301" cm="1">
        <f t="array" ref="C373">SUMPRODUCT((CHALLAN!$B$1:$B$16504=A373)*IF(B373="",--(CHALLAN!$C$1:$C$16504=""),--(CHALLAN!$C$1:$C$16504=B373))*IFERROR(CHALLAN!$D$1:$D$16504*CHALLAN!$E$1:$E$16504,0))</f>
        <v>250</v>
      </c>
      <c r="D373" cm="1">
        <f t="array" ref="D373">SUMPRODUCT(('Pivot Data'!$D$2:$D$1912=$A373)*IF($B373="",--('Pivot Data'!$E$2:$E$1912=""),--('Pivot Data'!$E$2:$E$1912=$B373))*('Pivot Data'!$I$2:$I$1912="Cancelled")*'Pivot Data'!$H$2:$H$1912)</f>
        <v>0</v>
      </c>
      <c r="E373" s="1301">
        <f t="shared" si="5"/>
        <v>250</v>
      </c>
    </row>
    <row r="374" spans="1:5" hidden="1" x14ac:dyDescent="0.25">
      <c r="A374" t="s">
        <v>1808</v>
      </c>
      <c r="B374" t="s">
        <v>25</v>
      </c>
      <c r="C374" s="1301" cm="1">
        <f t="array" ref="C374">SUMPRODUCT((CHALLAN!$B$1:$B$16504=A374)*IF(B374="",--(CHALLAN!$C$1:$C$16504=""),--(CHALLAN!$C$1:$C$16504=B374))*IFERROR(CHALLAN!$D$1:$D$16504*CHALLAN!$E$1:$E$16504,0))</f>
        <v>25</v>
      </c>
      <c r="D374" cm="1">
        <f t="array" ref="D374">SUMPRODUCT(('Pivot Data'!$D$2:$D$1912=$A374)*IF($B374="",--('Pivot Data'!$E$2:$E$1912=""),--('Pivot Data'!$E$2:$E$1912=$B374))*('Pivot Data'!$I$2:$I$1912="Cancelled")*'Pivot Data'!$H$2:$H$1912)</f>
        <v>0</v>
      </c>
      <c r="E374" s="1301">
        <f t="shared" si="5"/>
        <v>25</v>
      </c>
    </row>
    <row r="375" spans="1:5" hidden="1" x14ac:dyDescent="0.25">
      <c r="A375" t="s">
        <v>1766</v>
      </c>
      <c r="B375" t="s">
        <v>25</v>
      </c>
      <c r="C375" s="1301" cm="1">
        <f t="array" ref="C375">SUMPRODUCT((CHALLAN!$B$1:$B$16504=A375)*IF(B375="",--(CHALLAN!$C$1:$C$16504=""),--(CHALLAN!$C$1:$C$16504=B375))*IFERROR(CHALLAN!$D$1:$D$16504*CHALLAN!$E$1:$E$16504,0))</f>
        <v>90</v>
      </c>
      <c r="D375" cm="1">
        <f t="array" ref="D375">SUMPRODUCT(('Pivot Data'!$D$2:$D$1912=$A375)*IF($B375="",--('Pivot Data'!$E$2:$E$1912=""),--('Pivot Data'!$E$2:$E$1912=$B375))*('Pivot Data'!$I$2:$I$1912="Cancelled")*'Pivot Data'!$H$2:$H$1912)</f>
        <v>0</v>
      </c>
      <c r="E375" s="1301">
        <f t="shared" si="5"/>
        <v>90</v>
      </c>
    </row>
    <row r="376" spans="1:5" hidden="1" x14ac:dyDescent="0.25">
      <c r="A376" t="s">
        <v>863</v>
      </c>
      <c r="B376" t="s">
        <v>25</v>
      </c>
      <c r="C376" s="1301" cm="1">
        <f t="array" ref="C376">SUMPRODUCT((CHALLAN!$B$1:$B$16504=A376)*IF(B376="",--(CHALLAN!$C$1:$C$16504=""),--(CHALLAN!$C$1:$C$16504=B376))*IFERROR(CHALLAN!$D$1:$D$16504*CHALLAN!$E$1:$E$16504,0))</f>
        <v>40</v>
      </c>
      <c r="D376" cm="1">
        <f t="array" ref="D376">SUMPRODUCT(('Pivot Data'!$D$2:$D$1912=$A376)*IF($B376="",--('Pivot Data'!$E$2:$E$1912=""),--('Pivot Data'!$E$2:$E$1912=$B376))*('Pivot Data'!$I$2:$I$1912="Cancelled")*'Pivot Data'!$H$2:$H$1912)</f>
        <v>0</v>
      </c>
      <c r="E376" s="1301">
        <f t="shared" si="5"/>
        <v>40</v>
      </c>
    </row>
    <row r="377" spans="1:5" hidden="1" x14ac:dyDescent="0.25">
      <c r="A377" t="s">
        <v>34</v>
      </c>
      <c r="B377" t="s">
        <v>25</v>
      </c>
      <c r="C377" s="1301" cm="1">
        <f t="array" ref="C377">SUMPRODUCT((CHALLAN!$B$1:$B$16504=A377)*IF(B377="",--(CHALLAN!$C$1:$C$16504=""),--(CHALLAN!$C$1:$C$16504=B377))*IFERROR(CHALLAN!$D$1:$D$16504*CHALLAN!$E$1:$E$16504,0))</f>
        <v>385</v>
      </c>
      <c r="D377" cm="1">
        <f t="array" ref="D377">SUMPRODUCT(('Pivot Data'!$D$2:$D$1912=$A377)*IF($B377="",--('Pivot Data'!$E$2:$E$1912=""),--('Pivot Data'!$E$2:$E$1912=$B377))*('Pivot Data'!$I$2:$I$1912="Cancelled")*'Pivot Data'!$H$2:$H$1912)</f>
        <v>0</v>
      </c>
      <c r="E377" s="1301">
        <f t="shared" si="5"/>
        <v>385</v>
      </c>
    </row>
    <row r="378" spans="1:5" hidden="1" x14ac:dyDescent="0.25">
      <c r="A378" t="s">
        <v>1794</v>
      </c>
      <c r="B378" t="s">
        <v>25</v>
      </c>
      <c r="C378" s="1301" cm="1">
        <f t="array" ref="C378">SUMPRODUCT((CHALLAN!$B$1:$B$16504=A378)*IF(B378="",--(CHALLAN!$C$1:$C$16504=""),--(CHALLAN!$C$1:$C$16504=B378))*IFERROR(CHALLAN!$D$1:$D$16504*CHALLAN!$E$1:$E$16504,0))</f>
        <v>35</v>
      </c>
      <c r="D378" cm="1">
        <f t="array" ref="D378">SUMPRODUCT(('Pivot Data'!$D$2:$D$1912=$A378)*IF($B378="",--('Pivot Data'!$E$2:$E$1912=""),--('Pivot Data'!$E$2:$E$1912=$B378))*('Pivot Data'!$I$2:$I$1912="Cancelled")*'Pivot Data'!$H$2:$H$1912)</f>
        <v>0</v>
      </c>
      <c r="E378" s="1301">
        <f t="shared" si="5"/>
        <v>35</v>
      </c>
    </row>
    <row r="379" spans="1:5" hidden="1" x14ac:dyDescent="0.25">
      <c r="A379" t="s">
        <v>2225</v>
      </c>
      <c r="B379" t="s">
        <v>414</v>
      </c>
      <c r="C379" s="1301" cm="1">
        <f t="array" ref="C379">SUMPRODUCT((CHALLAN!$B$1:$B$16504=A379)*IF(B379="",--(CHALLAN!$C$1:$C$16504=""),--(CHALLAN!$C$1:$C$16504=B379))*IFERROR(CHALLAN!$D$1:$D$16504*CHALLAN!$E$1:$E$16504,0))</f>
        <v>0</v>
      </c>
      <c r="D379" cm="1">
        <f t="array" ref="D379">SUMPRODUCT(('Pivot Data'!$D$2:$D$1912=$A379)*IF($B379="",--('Pivot Data'!$E$2:$E$1912=""),--('Pivot Data'!$E$2:$E$1912=$B379))*('Pivot Data'!$I$2:$I$1912="Cancelled")*'Pivot Data'!$H$2:$H$1912)</f>
        <v>0</v>
      </c>
      <c r="E379" s="1301">
        <f t="shared" si="5"/>
        <v>0</v>
      </c>
    </row>
    <row r="380" spans="1:5" hidden="1" x14ac:dyDescent="0.25">
      <c r="A380" t="s">
        <v>2148</v>
      </c>
      <c r="B380" t="s">
        <v>414</v>
      </c>
      <c r="C380" s="1301" cm="1">
        <f t="array" ref="C380">SUMPRODUCT((CHALLAN!$B$1:$B$16504=A380)*IF(B380="",--(CHALLAN!$C$1:$C$16504=""),--(CHALLAN!$C$1:$C$16504=B380))*IFERROR(CHALLAN!$D$1:$D$16504*CHALLAN!$E$1:$E$16504,0))</f>
        <v>100</v>
      </c>
      <c r="D380" cm="1">
        <f t="array" ref="D380">SUMPRODUCT(('Pivot Data'!$D$2:$D$1912=$A380)*IF($B380="",--('Pivot Data'!$E$2:$E$1912=""),--('Pivot Data'!$E$2:$E$1912=$B380))*('Pivot Data'!$I$2:$I$1912="Cancelled")*'Pivot Data'!$H$2:$H$1912)</f>
        <v>0</v>
      </c>
      <c r="E380" s="1301">
        <f t="shared" si="5"/>
        <v>100</v>
      </c>
    </row>
    <row r="381" spans="1:5" hidden="1" x14ac:dyDescent="0.25">
      <c r="A381" t="s">
        <v>1826</v>
      </c>
      <c r="B381" t="s">
        <v>330</v>
      </c>
      <c r="C381" s="1301" cm="1">
        <f t="array" ref="C381">SUMPRODUCT((CHALLAN!$B$1:$B$16504=A381)*IF(B381="",--(CHALLAN!$C$1:$C$16504=""),--(CHALLAN!$C$1:$C$16504=B381))*IFERROR(CHALLAN!$D$1:$D$16504*CHALLAN!$E$1:$E$16504,0))</f>
        <v>10</v>
      </c>
      <c r="D381" cm="1">
        <f t="array" ref="D381">SUMPRODUCT(('Pivot Data'!$D$2:$D$1912=$A381)*IF($B381="",--('Pivot Data'!$E$2:$E$1912=""),--('Pivot Data'!$E$2:$E$1912=$B381))*('Pivot Data'!$I$2:$I$1912="Cancelled")*'Pivot Data'!$H$2:$H$1912)</f>
        <v>0</v>
      </c>
      <c r="E381" s="1301">
        <f t="shared" si="5"/>
        <v>10</v>
      </c>
    </row>
    <row r="382" spans="1:5" hidden="1" x14ac:dyDescent="0.25">
      <c r="A382" t="s">
        <v>1841</v>
      </c>
      <c r="B382" t="s">
        <v>330</v>
      </c>
      <c r="C382" s="1301" cm="1">
        <f t="array" ref="C382">SUMPRODUCT((CHALLAN!$B$1:$B$16504=A382)*IF(B382="",--(CHALLAN!$C$1:$C$16504=""),--(CHALLAN!$C$1:$C$16504=B382))*IFERROR(CHALLAN!$D$1:$D$16504*CHALLAN!$E$1:$E$16504,0))</f>
        <v>5</v>
      </c>
      <c r="D382" cm="1">
        <f t="array" ref="D382">SUMPRODUCT(('Pivot Data'!$D$2:$D$1912=$A382)*IF($B382="",--('Pivot Data'!$E$2:$E$1912=""),--('Pivot Data'!$E$2:$E$1912=$B382))*('Pivot Data'!$I$2:$I$1912="Cancelled")*'Pivot Data'!$H$2:$H$1912)</f>
        <v>0</v>
      </c>
      <c r="E382" s="1301">
        <f t="shared" si="5"/>
        <v>5</v>
      </c>
    </row>
    <row r="383" spans="1:5" hidden="1" x14ac:dyDescent="0.25">
      <c r="A383" t="s">
        <v>1552</v>
      </c>
      <c r="B383" t="s">
        <v>330</v>
      </c>
      <c r="C383" s="1301" cm="1">
        <f t="array" ref="C383">SUMPRODUCT((CHALLAN!$B$1:$B$16504=A383)*IF(B383="",--(CHALLAN!$C$1:$C$16504=""),--(CHALLAN!$C$1:$C$16504=B383))*IFERROR(CHALLAN!$D$1:$D$16504*CHALLAN!$E$1:$E$16504,0))</f>
        <v>260</v>
      </c>
      <c r="D383" cm="1">
        <f t="array" ref="D383">SUMPRODUCT(('Pivot Data'!$D$2:$D$1912=$A383)*IF($B383="",--('Pivot Data'!$E$2:$E$1912=""),--('Pivot Data'!$E$2:$E$1912=$B383))*('Pivot Data'!$I$2:$I$1912="Cancelled")*'Pivot Data'!$H$2:$H$1912)</f>
        <v>0</v>
      </c>
      <c r="E383" s="1301">
        <f t="shared" si="5"/>
        <v>260</v>
      </c>
    </row>
    <row r="384" spans="1:5" hidden="1" x14ac:dyDescent="0.25">
      <c r="A384" t="s">
        <v>132</v>
      </c>
      <c r="B384" t="s">
        <v>330</v>
      </c>
      <c r="C384" s="1301" cm="1">
        <f t="array" ref="C384">SUMPRODUCT((CHALLAN!$B$1:$B$16504=A384)*IF(B384="",--(CHALLAN!$C$1:$C$16504=""),--(CHALLAN!$C$1:$C$16504=B384))*IFERROR(CHALLAN!$D$1:$D$16504*CHALLAN!$E$1:$E$16504,0))</f>
        <v>325</v>
      </c>
      <c r="D384" cm="1">
        <f t="array" ref="D384">SUMPRODUCT(('Pivot Data'!$D$2:$D$1912=$A384)*IF($B384="",--('Pivot Data'!$E$2:$E$1912=""),--('Pivot Data'!$E$2:$E$1912=$B384))*('Pivot Data'!$I$2:$I$1912="Cancelled")*'Pivot Data'!$H$2:$H$1912)</f>
        <v>0</v>
      </c>
      <c r="E384" s="1301">
        <f t="shared" si="5"/>
        <v>325</v>
      </c>
    </row>
    <row r="385" spans="1:5" hidden="1" x14ac:dyDescent="0.25">
      <c r="A385" t="s">
        <v>2247</v>
      </c>
      <c r="B385" t="s">
        <v>25</v>
      </c>
      <c r="C385" s="1301" cm="1">
        <f t="array" ref="C385">SUMPRODUCT((CHALLAN!$B$1:$B$16504=A385)*IF(B385="",--(CHALLAN!$C$1:$C$16504=""),--(CHALLAN!$C$1:$C$16504=B385))*IFERROR(CHALLAN!$D$1:$D$16504*CHALLAN!$E$1:$E$16504,0))</f>
        <v>200</v>
      </c>
      <c r="D385" cm="1">
        <f t="array" ref="D385">SUMPRODUCT(('Pivot Data'!$D$2:$D$1912=$A385)*IF($B385="",--('Pivot Data'!$E$2:$E$1912=""),--('Pivot Data'!$E$2:$E$1912=$B385))*('Pivot Data'!$I$2:$I$1912="Cancelled")*'Pivot Data'!$H$2:$H$1912)</f>
        <v>0</v>
      </c>
      <c r="E385" s="1301">
        <f t="shared" si="5"/>
        <v>200</v>
      </c>
    </row>
    <row r="386" spans="1:5" hidden="1" x14ac:dyDescent="0.25">
      <c r="A386" t="s">
        <v>864</v>
      </c>
      <c r="B386" t="s">
        <v>376</v>
      </c>
      <c r="C386" s="1301" cm="1">
        <f t="array" ref="C386">SUMPRODUCT((CHALLAN!$B$1:$B$16504=A386)*IF(B386="",--(CHALLAN!$C$1:$C$16504=""),--(CHALLAN!$C$1:$C$16504=B386))*IFERROR(CHALLAN!$D$1:$D$16504*CHALLAN!$E$1:$E$16504,0))</f>
        <v>12</v>
      </c>
      <c r="D386" cm="1">
        <f t="array" ref="D386">SUMPRODUCT(('Pivot Data'!$D$2:$D$1912=$A386)*IF($B386="",--('Pivot Data'!$E$2:$E$1912=""),--('Pivot Data'!$E$2:$E$1912=$B386))*('Pivot Data'!$I$2:$I$1912="Cancelled")*'Pivot Data'!$H$2:$H$1912)</f>
        <v>0</v>
      </c>
      <c r="E386" s="1301">
        <f t="shared" si="5"/>
        <v>12</v>
      </c>
    </row>
    <row r="387" spans="1:5" hidden="1" x14ac:dyDescent="0.25">
      <c r="A387" t="s">
        <v>76</v>
      </c>
      <c r="B387" t="s">
        <v>376</v>
      </c>
      <c r="C387" s="1301" cm="1">
        <f t="array" ref="C387">SUMPRODUCT((CHALLAN!$B$1:$B$16504=A387)*IF(B387="",--(CHALLAN!$C$1:$C$16504=""),--(CHALLAN!$C$1:$C$16504=B387))*IFERROR(CHALLAN!$D$1:$D$16504*CHALLAN!$E$1:$E$16504,0))</f>
        <v>142</v>
      </c>
      <c r="D387" cm="1">
        <f t="array" ref="D387">SUMPRODUCT(('Pivot Data'!$D$2:$D$1912=$A387)*IF($B387="",--('Pivot Data'!$E$2:$E$1912=""),--('Pivot Data'!$E$2:$E$1912=$B387))*('Pivot Data'!$I$2:$I$1912="Cancelled")*'Pivot Data'!$H$2:$H$1912)</f>
        <v>0</v>
      </c>
      <c r="E387" s="1301">
        <f t="shared" si="5"/>
        <v>142</v>
      </c>
    </row>
    <row r="388" spans="1:5" hidden="1" x14ac:dyDescent="0.25">
      <c r="A388" t="s">
        <v>80</v>
      </c>
      <c r="B388" t="s">
        <v>386</v>
      </c>
      <c r="C388" s="1301" cm="1">
        <f t="array" ref="C388">SUMPRODUCT((CHALLAN!$B$1:$B$16504=A388)*IF(B388="",--(CHALLAN!$C$1:$C$16504=""),--(CHALLAN!$C$1:$C$16504=B388))*IFERROR(CHALLAN!$D$1:$D$16504*CHALLAN!$E$1:$E$16504,0))</f>
        <v>110</v>
      </c>
      <c r="D388" cm="1">
        <f t="array" ref="D388">SUMPRODUCT(('Pivot Data'!$D$2:$D$1912=$A388)*IF($B388="",--('Pivot Data'!$E$2:$E$1912=""),--('Pivot Data'!$E$2:$E$1912=$B388))*('Pivot Data'!$I$2:$I$1912="Cancelled")*'Pivot Data'!$H$2:$H$1912)</f>
        <v>0</v>
      </c>
      <c r="E388" s="1301">
        <f t="shared" si="5"/>
        <v>110</v>
      </c>
    </row>
    <row r="389" spans="1:5" hidden="1" x14ac:dyDescent="0.25">
      <c r="A389" t="s">
        <v>80</v>
      </c>
      <c r="B389" t="s">
        <v>77</v>
      </c>
      <c r="C389" s="1301" cm="1">
        <f t="array" ref="C389">SUMPRODUCT((CHALLAN!$B$1:$B$16504=A389)*IF(B389="",--(CHALLAN!$C$1:$C$16504=""),--(CHALLAN!$C$1:$C$16504=B389))*IFERROR(CHALLAN!$D$1:$D$16504*CHALLAN!$E$1:$E$16504,0))</f>
        <v>80</v>
      </c>
      <c r="D389" cm="1">
        <f t="array" ref="D389">SUMPRODUCT(('Pivot Data'!$D$2:$D$1912=$A389)*IF($B389="",--('Pivot Data'!$E$2:$E$1912=""),--('Pivot Data'!$E$2:$E$1912=$B389))*('Pivot Data'!$I$2:$I$1912="Cancelled")*'Pivot Data'!$H$2:$H$1912)</f>
        <v>0</v>
      </c>
      <c r="E389" s="1301">
        <f t="shared" ref="E389:E452" si="6">C389-D389</f>
        <v>80</v>
      </c>
    </row>
    <row r="390" spans="1:5" hidden="1" x14ac:dyDescent="0.25">
      <c r="A390" t="s">
        <v>2248</v>
      </c>
      <c r="B390" t="s">
        <v>77</v>
      </c>
      <c r="C390" s="1301" cm="1">
        <f t="array" ref="C390">SUMPRODUCT((CHALLAN!$B$1:$B$16504=A390)*IF(B390="",--(CHALLAN!$C$1:$C$16504=""),--(CHALLAN!$C$1:$C$16504=B390))*IFERROR(CHALLAN!$D$1:$D$16504*CHALLAN!$E$1:$E$16504,0))</f>
        <v>100</v>
      </c>
      <c r="D390" cm="1">
        <f t="array" ref="D390">SUMPRODUCT(('Pivot Data'!$D$2:$D$1912=$A390)*IF($B390="",--('Pivot Data'!$E$2:$E$1912=""),--('Pivot Data'!$E$2:$E$1912=$B390))*('Pivot Data'!$I$2:$I$1912="Cancelled")*'Pivot Data'!$H$2:$H$1912)</f>
        <v>0</v>
      </c>
      <c r="E390" s="1301">
        <f t="shared" si="6"/>
        <v>100</v>
      </c>
    </row>
    <row r="391" spans="1:5" hidden="1" x14ac:dyDescent="0.25">
      <c r="A391" t="s">
        <v>1063</v>
      </c>
      <c r="B391" t="s">
        <v>1064</v>
      </c>
      <c r="C391" s="1301" cm="1">
        <f t="array" ref="C391">SUMPRODUCT((CHALLAN!$B$1:$B$16504=A391)*IF(B391="",--(CHALLAN!$C$1:$C$16504=""),--(CHALLAN!$C$1:$C$16504=B391))*IFERROR(CHALLAN!$D$1:$D$16504*CHALLAN!$E$1:$E$16504,0))</f>
        <v>38</v>
      </c>
      <c r="D391" cm="1">
        <f t="array" ref="D391">SUMPRODUCT(('Pivot Data'!$D$2:$D$1912=$A391)*IF($B391="",--('Pivot Data'!$E$2:$E$1912=""),--('Pivot Data'!$E$2:$E$1912=$B391))*('Pivot Data'!$I$2:$I$1912="Cancelled")*'Pivot Data'!$H$2:$H$1912)</f>
        <v>0</v>
      </c>
      <c r="E391" s="1301">
        <f t="shared" si="6"/>
        <v>38</v>
      </c>
    </row>
    <row r="392" spans="1:5" hidden="1" x14ac:dyDescent="0.25">
      <c r="A392" t="s">
        <v>1609</v>
      </c>
      <c r="B392" t="s">
        <v>1610</v>
      </c>
      <c r="C392" s="1301" cm="1">
        <f t="array" ref="C392">SUMPRODUCT((CHALLAN!$B$1:$B$16504=A392)*IF(B392="",--(CHALLAN!$C$1:$C$16504=""),--(CHALLAN!$C$1:$C$16504=B392))*IFERROR(CHALLAN!$D$1:$D$16504*CHALLAN!$E$1:$E$16504,0))</f>
        <v>1</v>
      </c>
      <c r="D392" cm="1">
        <f t="array" ref="D392">SUMPRODUCT(('Pivot Data'!$D$2:$D$1912=$A392)*IF($B392="",--('Pivot Data'!$E$2:$E$1912=""),--('Pivot Data'!$E$2:$E$1912=$B392))*('Pivot Data'!$I$2:$I$1912="Cancelled")*'Pivot Data'!$H$2:$H$1912)</f>
        <v>0</v>
      </c>
      <c r="E392" s="1301">
        <f t="shared" si="6"/>
        <v>1</v>
      </c>
    </row>
    <row r="393" spans="1:5" hidden="1" x14ac:dyDescent="0.25">
      <c r="A393" t="s">
        <v>2093</v>
      </c>
      <c r="B393" t="s">
        <v>77</v>
      </c>
      <c r="C393" s="1301" cm="1">
        <f t="array" ref="C393">SUMPRODUCT((CHALLAN!$B$1:$B$16504=A393)*IF(B393="",--(CHALLAN!$C$1:$C$16504=""),--(CHALLAN!$C$1:$C$16504=B393))*IFERROR(CHALLAN!$D$1:$D$16504*CHALLAN!$E$1:$E$16504,0))</f>
        <v>20</v>
      </c>
      <c r="D393" cm="1">
        <f t="array" ref="D393">SUMPRODUCT(('Pivot Data'!$D$2:$D$1912=$A393)*IF($B393="",--('Pivot Data'!$E$2:$E$1912=""),--('Pivot Data'!$E$2:$E$1912=$B393))*('Pivot Data'!$I$2:$I$1912="Cancelled")*'Pivot Data'!$H$2:$H$1912)</f>
        <v>0</v>
      </c>
      <c r="E393" s="1301">
        <f t="shared" si="6"/>
        <v>20</v>
      </c>
    </row>
    <row r="394" spans="1:5" hidden="1" x14ac:dyDescent="0.25">
      <c r="A394" t="s">
        <v>206</v>
      </c>
      <c r="B394" t="s">
        <v>377</v>
      </c>
      <c r="C394" s="1301" cm="1">
        <f t="array" ref="C394">SUMPRODUCT((CHALLAN!$B$1:$B$16504=A394)*IF(B394="",--(CHALLAN!$C$1:$C$16504=""),--(CHALLAN!$C$1:$C$16504=B394))*IFERROR(CHALLAN!$D$1:$D$16504*CHALLAN!$E$1:$E$16504,0))</f>
        <v>100</v>
      </c>
      <c r="D394" cm="1">
        <f t="array" ref="D394">SUMPRODUCT(('Pivot Data'!$D$2:$D$1912=$A394)*IF($B394="",--('Pivot Data'!$E$2:$E$1912=""),--('Pivot Data'!$E$2:$E$1912=$B394))*('Pivot Data'!$I$2:$I$1912="Cancelled")*'Pivot Data'!$H$2:$H$1912)</f>
        <v>0</v>
      </c>
      <c r="E394" s="1301">
        <f t="shared" si="6"/>
        <v>100</v>
      </c>
    </row>
    <row r="395" spans="1:5" hidden="1" x14ac:dyDescent="0.25">
      <c r="A395" t="s">
        <v>3</v>
      </c>
      <c r="C395" s="1301" cm="1">
        <f t="array" ref="C395">SUMPRODUCT((CHALLAN!$B$1:$B$16504=A395)*IF(B395="",--(CHALLAN!$C$1:$C$16504=""),--(CHALLAN!$C$1:$C$16504=B395))*IFERROR(CHALLAN!$D$1:$D$16504*CHALLAN!$E$1:$E$16504,0))</f>
        <v>151</v>
      </c>
      <c r="D395" cm="1">
        <f t="array" ref="D395">SUMPRODUCT(('Pivot Data'!$D$2:$D$1912=$A395)*IF($B395="",--('Pivot Data'!$E$2:$E$1912=""),--('Pivot Data'!$E$2:$E$1912=$B395))*('Pivot Data'!$I$2:$I$1912="Cancelled")*'Pivot Data'!$H$2:$H$1912)</f>
        <v>0</v>
      </c>
      <c r="E395" s="1301">
        <f t="shared" si="6"/>
        <v>151</v>
      </c>
    </row>
    <row r="396" spans="1:5" hidden="1" x14ac:dyDescent="0.25">
      <c r="A396" t="s">
        <v>3</v>
      </c>
      <c r="B396" t="s">
        <v>4</v>
      </c>
      <c r="C396" s="1301" cm="1">
        <f t="array" ref="C396">SUMPRODUCT((CHALLAN!$B$1:$B$16504=A396)*IF(B396="",--(CHALLAN!$C$1:$C$16504=""),--(CHALLAN!$C$1:$C$16504=B396))*IFERROR(CHALLAN!$D$1:$D$16504*CHALLAN!$E$1:$E$16504,0))</f>
        <v>340</v>
      </c>
      <c r="D396" cm="1">
        <f t="array" ref="D396">SUMPRODUCT(('Pivot Data'!$D$2:$D$1912=$A396)*IF($B396="",--('Pivot Data'!$E$2:$E$1912=""),--('Pivot Data'!$E$2:$E$1912=$B396))*('Pivot Data'!$I$2:$I$1912="Cancelled")*'Pivot Data'!$H$2:$H$1912)</f>
        <v>0</v>
      </c>
      <c r="E396" s="1301">
        <f t="shared" si="6"/>
        <v>340</v>
      </c>
    </row>
    <row r="397" spans="1:5" hidden="1" x14ac:dyDescent="0.25">
      <c r="A397" t="s">
        <v>3</v>
      </c>
      <c r="B397" t="s">
        <v>41</v>
      </c>
      <c r="C397" s="1301" cm="1">
        <f t="array" ref="C397">SUMPRODUCT((CHALLAN!$B$1:$B$16504=A397)*IF(B397="",--(CHALLAN!$C$1:$C$16504=""),--(CHALLAN!$C$1:$C$16504=B397))*IFERROR(CHALLAN!$D$1:$D$16504*CHALLAN!$E$1:$E$16504,0))</f>
        <v>20</v>
      </c>
      <c r="D397" cm="1">
        <f t="array" ref="D397">SUMPRODUCT(('Pivot Data'!$D$2:$D$1912=$A397)*IF($B397="",--('Pivot Data'!$E$2:$E$1912=""),--('Pivot Data'!$E$2:$E$1912=$B397))*('Pivot Data'!$I$2:$I$1912="Cancelled")*'Pivot Data'!$H$2:$H$1912)</f>
        <v>0</v>
      </c>
      <c r="E397" s="1301">
        <f t="shared" si="6"/>
        <v>20</v>
      </c>
    </row>
    <row r="398" spans="1:5" hidden="1" x14ac:dyDescent="0.25">
      <c r="A398" t="s">
        <v>2240</v>
      </c>
      <c r="B398" t="s">
        <v>2241</v>
      </c>
      <c r="C398" s="1301" cm="1">
        <f t="array" ref="C398">SUMPRODUCT((CHALLAN!$B$1:$B$16504=A398)*IF(B398="",--(CHALLAN!$C$1:$C$16504=""),--(CHALLAN!$C$1:$C$16504=B398))*IFERROR(CHALLAN!$D$1:$D$16504*CHALLAN!$E$1:$E$16504,0))</f>
        <v>0</v>
      </c>
      <c r="D398" cm="1">
        <f t="array" ref="D398">SUMPRODUCT(('Pivot Data'!$D$2:$D$1912=$A398)*IF($B398="",--('Pivot Data'!$E$2:$E$1912=""),--('Pivot Data'!$E$2:$E$1912=$B398))*('Pivot Data'!$I$2:$I$1912="Cancelled")*'Pivot Data'!$H$2:$H$1912)</f>
        <v>0</v>
      </c>
      <c r="E398" s="1301">
        <f t="shared" si="6"/>
        <v>0</v>
      </c>
    </row>
    <row r="399" spans="1:5" hidden="1" x14ac:dyDescent="0.25">
      <c r="A399" t="s">
        <v>922</v>
      </c>
      <c r="C399" s="1301" cm="1">
        <f t="array" ref="C399">SUMPRODUCT((CHALLAN!$B$1:$B$16504=A399)*IF(B399="",--(CHALLAN!$C$1:$C$16504=""),--(CHALLAN!$C$1:$C$16504=B399))*IFERROR(CHALLAN!$D$1:$D$16504*CHALLAN!$E$1:$E$16504,0))</f>
        <v>440</v>
      </c>
      <c r="D399" cm="1">
        <f t="array" ref="D399">SUMPRODUCT(('Pivot Data'!$D$2:$D$1912=$A399)*IF($B399="",--('Pivot Data'!$E$2:$E$1912=""),--('Pivot Data'!$E$2:$E$1912=$B399))*('Pivot Data'!$I$2:$I$1912="Cancelled")*'Pivot Data'!$H$2:$H$1912)</f>
        <v>0</v>
      </c>
      <c r="E399" s="1301">
        <f t="shared" si="6"/>
        <v>440</v>
      </c>
    </row>
    <row r="400" spans="1:5" hidden="1" x14ac:dyDescent="0.25">
      <c r="A400" t="s">
        <v>922</v>
      </c>
      <c r="B400" t="s">
        <v>690</v>
      </c>
      <c r="C400" s="1301" cm="1">
        <f t="array" ref="C400">SUMPRODUCT((CHALLAN!$B$1:$B$16504=A400)*IF(B400="",--(CHALLAN!$C$1:$C$16504=""),--(CHALLAN!$C$1:$C$16504=B400))*IFERROR(CHALLAN!$D$1:$D$16504*CHALLAN!$E$1:$E$16504,0))</f>
        <v>0</v>
      </c>
      <c r="D400" cm="1">
        <f t="array" ref="D400">SUMPRODUCT(('Pivot Data'!$D$2:$D$1912=$A400)*IF($B400="",--('Pivot Data'!$E$2:$E$1912=""),--('Pivot Data'!$E$2:$E$1912=$B400))*('Pivot Data'!$I$2:$I$1912="Cancelled")*'Pivot Data'!$H$2:$H$1912)</f>
        <v>0</v>
      </c>
      <c r="E400" s="1301">
        <f t="shared" si="6"/>
        <v>0</v>
      </c>
    </row>
    <row r="401" spans="1:5" hidden="1" x14ac:dyDescent="0.25">
      <c r="A401" t="s">
        <v>2242</v>
      </c>
      <c r="C401" s="1301" cm="1">
        <f t="array" ref="C401">SUMPRODUCT((CHALLAN!$B$1:$B$16504=A401)*IF(B401="",--(CHALLAN!$C$1:$C$16504=""),--(CHALLAN!$C$1:$C$16504=B401))*IFERROR(CHALLAN!$D$1:$D$16504*CHALLAN!$E$1:$E$16504,0))</f>
        <v>0</v>
      </c>
      <c r="D401" cm="1">
        <f t="array" ref="D401">SUMPRODUCT(('Pivot Data'!$D$2:$D$1912=$A401)*IF($B401="",--('Pivot Data'!$E$2:$E$1912=""),--('Pivot Data'!$E$2:$E$1912=$B401))*('Pivot Data'!$I$2:$I$1912="Cancelled")*'Pivot Data'!$H$2:$H$1912)</f>
        <v>0</v>
      </c>
      <c r="E401" s="1301">
        <f t="shared" si="6"/>
        <v>0</v>
      </c>
    </row>
    <row r="402" spans="1:5" hidden="1" x14ac:dyDescent="0.25">
      <c r="A402" t="s">
        <v>1920</v>
      </c>
      <c r="C402" s="1301" cm="1">
        <f t="array" ref="C402">SUMPRODUCT((CHALLAN!$B$1:$B$16504=A402)*IF(B402="",--(CHALLAN!$C$1:$C$16504=""),--(CHALLAN!$C$1:$C$16504=B402))*IFERROR(CHALLAN!$D$1:$D$16504*CHALLAN!$E$1:$E$16504,0))</f>
        <v>5</v>
      </c>
      <c r="D402" cm="1">
        <f t="array" ref="D402">SUMPRODUCT(('Pivot Data'!$D$2:$D$1912=$A402)*IF($B402="",--('Pivot Data'!$E$2:$E$1912=""),--('Pivot Data'!$E$2:$E$1912=$B402))*('Pivot Data'!$I$2:$I$1912="Cancelled")*'Pivot Data'!$H$2:$H$1912)</f>
        <v>0</v>
      </c>
      <c r="E402" s="1301">
        <f t="shared" si="6"/>
        <v>5</v>
      </c>
    </row>
    <row r="403" spans="1:5" hidden="1" x14ac:dyDescent="0.25">
      <c r="A403" t="s">
        <v>2279</v>
      </c>
      <c r="C403" s="1301" cm="1">
        <f t="array" ref="C403">SUMPRODUCT((CHALLAN!$B$1:$B$16504=A403)*IF(B403="",--(CHALLAN!$C$1:$C$16504=""),--(CHALLAN!$C$1:$C$16504=B403))*IFERROR(CHALLAN!$D$1:$D$16504*CHALLAN!$E$1:$E$16504,0))</f>
        <v>10</v>
      </c>
      <c r="D403" cm="1">
        <f t="array" ref="D403">SUMPRODUCT(('Pivot Data'!$D$2:$D$1912=$A403)*IF($B403="",--('Pivot Data'!$E$2:$E$1912=""),--('Pivot Data'!$E$2:$E$1912=$B403))*('Pivot Data'!$I$2:$I$1912="Cancelled")*'Pivot Data'!$H$2:$H$1912)</f>
        <v>0</v>
      </c>
      <c r="E403" s="1301">
        <f t="shared" si="6"/>
        <v>10</v>
      </c>
    </row>
    <row r="404" spans="1:5" hidden="1" x14ac:dyDescent="0.25">
      <c r="A404" t="s">
        <v>1957</v>
      </c>
      <c r="C404" s="1301" cm="1">
        <f t="array" ref="C404">SUMPRODUCT((CHALLAN!$B$1:$B$16504=A404)*IF(B404="",--(CHALLAN!$C$1:$C$16504=""),--(CHALLAN!$C$1:$C$16504=B404))*IFERROR(CHALLAN!$D$1:$D$16504*CHALLAN!$E$1:$E$16504,0))</f>
        <v>5</v>
      </c>
      <c r="D404" cm="1">
        <f t="array" ref="D404">SUMPRODUCT(('Pivot Data'!$D$2:$D$1912=$A404)*IF($B404="",--('Pivot Data'!$E$2:$E$1912=""),--('Pivot Data'!$E$2:$E$1912=$B404))*('Pivot Data'!$I$2:$I$1912="Cancelled")*'Pivot Data'!$H$2:$H$1912)</f>
        <v>0</v>
      </c>
      <c r="E404" s="1301">
        <f t="shared" si="6"/>
        <v>5</v>
      </c>
    </row>
    <row r="405" spans="1:5" hidden="1" x14ac:dyDescent="0.25">
      <c r="A405" t="s">
        <v>1989</v>
      </c>
      <c r="C405" s="1301" cm="1">
        <f t="array" ref="C405">SUMPRODUCT((CHALLAN!$B$1:$B$16504=A405)*IF(B405="",--(CHALLAN!$C$1:$C$16504=""),--(CHALLAN!$C$1:$C$16504=B405))*IFERROR(CHALLAN!$D$1:$D$16504*CHALLAN!$E$1:$E$16504,0))</f>
        <v>10</v>
      </c>
      <c r="D405" cm="1">
        <f t="array" ref="D405">SUMPRODUCT(('Pivot Data'!$D$2:$D$1912=$A405)*IF($B405="",--('Pivot Data'!$E$2:$E$1912=""),--('Pivot Data'!$E$2:$E$1912=$B405))*('Pivot Data'!$I$2:$I$1912="Cancelled")*'Pivot Data'!$H$2:$H$1912)</f>
        <v>0</v>
      </c>
      <c r="E405" s="1301">
        <f t="shared" si="6"/>
        <v>10</v>
      </c>
    </row>
    <row r="406" spans="1:5" hidden="1" x14ac:dyDescent="0.25">
      <c r="A406" t="s">
        <v>1499</v>
      </c>
      <c r="C406" s="1301" cm="1">
        <f t="array" ref="C406">SUMPRODUCT((CHALLAN!$B$1:$B$16504=A406)*IF(B406="",--(CHALLAN!$C$1:$C$16504=""),--(CHALLAN!$C$1:$C$16504=B406))*IFERROR(CHALLAN!$D$1:$D$16504*CHALLAN!$E$1:$E$16504,0))</f>
        <v>0</v>
      </c>
      <c r="D406" cm="1">
        <f t="array" ref="D406">SUMPRODUCT(('Pivot Data'!$D$2:$D$1912=$A406)*IF($B406="",--('Pivot Data'!$E$2:$E$1912=""),--('Pivot Data'!$E$2:$E$1912=$B406))*('Pivot Data'!$I$2:$I$1912="Cancelled")*'Pivot Data'!$H$2:$H$1912)</f>
        <v>0</v>
      </c>
      <c r="E406" s="1301">
        <f t="shared" si="6"/>
        <v>0</v>
      </c>
    </row>
    <row r="407" spans="1:5" hidden="1" x14ac:dyDescent="0.25">
      <c r="A407" t="s">
        <v>1500</v>
      </c>
      <c r="C407" s="1301" cm="1">
        <f t="array" ref="C407">SUMPRODUCT((CHALLAN!$B$1:$B$16504=A407)*IF(B407="",--(CHALLAN!$C$1:$C$16504=""),--(CHALLAN!$C$1:$C$16504=B407))*IFERROR(CHALLAN!$D$1:$D$16504*CHALLAN!$E$1:$E$16504,0))</f>
        <v>10</v>
      </c>
      <c r="D407" cm="1">
        <f t="array" ref="D407">SUMPRODUCT(('Pivot Data'!$D$2:$D$1912=$A407)*IF($B407="",--('Pivot Data'!$E$2:$E$1912=""),--('Pivot Data'!$E$2:$E$1912=$B407))*('Pivot Data'!$I$2:$I$1912="Cancelled")*'Pivot Data'!$H$2:$H$1912)</f>
        <v>0</v>
      </c>
      <c r="E407" s="1301">
        <f t="shared" si="6"/>
        <v>10</v>
      </c>
    </row>
    <row r="408" spans="1:5" hidden="1" x14ac:dyDescent="0.25">
      <c r="A408" t="s">
        <v>126</v>
      </c>
      <c r="C408" s="1301" cm="1">
        <f t="array" ref="C408">SUMPRODUCT((CHALLAN!$B$1:$B$16504=A408)*IF(B408="",--(CHALLAN!$C$1:$C$16504=""),--(CHALLAN!$C$1:$C$16504=B408))*IFERROR(CHALLAN!$D$1:$D$16504*CHALLAN!$E$1:$E$16504,0))</f>
        <v>5</v>
      </c>
      <c r="D408" cm="1">
        <f t="array" ref="D408">SUMPRODUCT(('Pivot Data'!$D$2:$D$1912=$A408)*IF($B408="",--('Pivot Data'!$E$2:$E$1912=""),--('Pivot Data'!$E$2:$E$1912=$B408))*('Pivot Data'!$I$2:$I$1912="Cancelled")*'Pivot Data'!$H$2:$H$1912)</f>
        <v>0</v>
      </c>
      <c r="E408" s="1301">
        <f t="shared" si="6"/>
        <v>5</v>
      </c>
    </row>
    <row r="409" spans="1:5" hidden="1" x14ac:dyDescent="0.25">
      <c r="A409" t="s">
        <v>126</v>
      </c>
      <c r="B409" t="s">
        <v>412</v>
      </c>
      <c r="C409" s="1301" cm="1">
        <f t="array" ref="C409">SUMPRODUCT((CHALLAN!$B$1:$B$16504=A409)*IF(B409="",--(CHALLAN!$C$1:$C$16504=""),--(CHALLAN!$C$1:$C$16504=B409))*IFERROR(CHALLAN!$D$1:$D$16504*CHALLAN!$E$1:$E$16504,0))</f>
        <v>0</v>
      </c>
      <c r="D409" cm="1">
        <f t="array" ref="D409">SUMPRODUCT(('Pivot Data'!$D$2:$D$1912=$A409)*IF($B409="",--('Pivot Data'!$E$2:$E$1912=""),--('Pivot Data'!$E$2:$E$1912=$B409))*('Pivot Data'!$I$2:$I$1912="Cancelled")*'Pivot Data'!$H$2:$H$1912)</f>
        <v>0</v>
      </c>
      <c r="E409" s="1301">
        <f t="shared" si="6"/>
        <v>0</v>
      </c>
    </row>
    <row r="410" spans="1:5" hidden="1" x14ac:dyDescent="0.25">
      <c r="A410" t="s">
        <v>126</v>
      </c>
      <c r="B410" t="s">
        <v>434</v>
      </c>
      <c r="C410" s="1301" cm="1">
        <f t="array" ref="C410">SUMPRODUCT((CHALLAN!$B$1:$B$16504=A410)*IF(B410="",--(CHALLAN!$C$1:$C$16504=""),--(CHALLAN!$C$1:$C$16504=B410))*IFERROR(CHALLAN!$D$1:$D$16504*CHALLAN!$E$1:$E$16504,0))</f>
        <v>200</v>
      </c>
      <c r="D410" cm="1">
        <f t="array" ref="D410">SUMPRODUCT(('Pivot Data'!$D$2:$D$1912=$A410)*IF($B410="",--('Pivot Data'!$E$2:$E$1912=""),--('Pivot Data'!$E$2:$E$1912=$B410))*('Pivot Data'!$I$2:$I$1912="Cancelled")*'Pivot Data'!$H$2:$H$1912)</f>
        <v>0</v>
      </c>
      <c r="E410" s="1301">
        <f t="shared" si="6"/>
        <v>200</v>
      </c>
    </row>
    <row r="411" spans="1:5" hidden="1" x14ac:dyDescent="0.25">
      <c r="A411" t="s">
        <v>1958</v>
      </c>
      <c r="B411" t="s">
        <v>434</v>
      </c>
      <c r="C411" s="1301" cm="1">
        <f t="array" ref="C411">SUMPRODUCT((CHALLAN!$B$1:$B$16504=A411)*IF(B411="",--(CHALLAN!$C$1:$C$16504=""),--(CHALLAN!$C$1:$C$16504=B411))*IFERROR(CHALLAN!$D$1:$D$16504*CHALLAN!$E$1:$E$16504,0))</f>
        <v>25</v>
      </c>
      <c r="D411" cm="1">
        <f t="array" ref="D411">SUMPRODUCT(('Pivot Data'!$D$2:$D$1912=$A411)*IF($B411="",--('Pivot Data'!$E$2:$E$1912=""),--('Pivot Data'!$E$2:$E$1912=$B411))*('Pivot Data'!$I$2:$I$1912="Cancelled")*'Pivot Data'!$H$2:$H$1912)</f>
        <v>0</v>
      </c>
      <c r="E411" s="1301">
        <f t="shared" si="6"/>
        <v>25</v>
      </c>
    </row>
    <row r="412" spans="1:5" hidden="1" x14ac:dyDescent="0.25">
      <c r="A412" t="s">
        <v>126</v>
      </c>
      <c r="B412" t="s">
        <v>1840</v>
      </c>
      <c r="C412" s="1301" cm="1">
        <f t="array" ref="C412">SUMPRODUCT((CHALLAN!$B$1:$B$16504=A412)*IF(B412="",--(CHALLAN!$C$1:$C$16504=""),--(CHALLAN!$C$1:$C$16504=B412))*IFERROR(CHALLAN!$D$1:$D$16504*CHALLAN!$E$1:$E$16504,0))</f>
        <v>50</v>
      </c>
      <c r="D412" cm="1">
        <f t="array" ref="D412">SUMPRODUCT(('Pivot Data'!$D$2:$D$1912=$A412)*IF($B412="",--('Pivot Data'!$E$2:$E$1912=""),--('Pivot Data'!$E$2:$E$1912=$B412))*('Pivot Data'!$I$2:$I$1912="Cancelled")*'Pivot Data'!$H$2:$H$1912)</f>
        <v>0</v>
      </c>
      <c r="E412" s="1301">
        <f t="shared" si="6"/>
        <v>50</v>
      </c>
    </row>
    <row r="413" spans="1:5" hidden="1" x14ac:dyDescent="0.25">
      <c r="A413" t="s">
        <v>126</v>
      </c>
      <c r="B413" t="s">
        <v>325</v>
      </c>
      <c r="C413" s="1301" cm="1">
        <f t="array" ref="C413">SUMPRODUCT((CHALLAN!$B$1:$B$16504=A413)*IF(B413="",--(CHALLAN!$C$1:$C$16504=""),--(CHALLAN!$C$1:$C$16504=B413))*IFERROR(CHALLAN!$D$1:$D$16504*CHALLAN!$E$1:$E$16504,0))</f>
        <v>45</v>
      </c>
      <c r="D413" cm="1">
        <f t="array" ref="D413">SUMPRODUCT(('Pivot Data'!$D$2:$D$1912=$A413)*IF($B413="",--('Pivot Data'!$E$2:$E$1912=""),--('Pivot Data'!$E$2:$E$1912=$B413))*('Pivot Data'!$I$2:$I$1912="Cancelled")*'Pivot Data'!$H$2:$H$1912)</f>
        <v>0</v>
      </c>
      <c r="E413" s="1301">
        <f t="shared" si="6"/>
        <v>45</v>
      </c>
    </row>
    <row r="414" spans="1:5" hidden="1" x14ac:dyDescent="0.25">
      <c r="A414" t="s">
        <v>126</v>
      </c>
      <c r="B414" t="s">
        <v>1295</v>
      </c>
      <c r="C414" s="1301" cm="1">
        <f t="array" ref="C414">SUMPRODUCT((CHALLAN!$B$1:$B$16504=A414)*IF(B414="",--(CHALLAN!$C$1:$C$16504=""),--(CHALLAN!$C$1:$C$16504=B414))*IFERROR(CHALLAN!$D$1:$D$16504*CHALLAN!$E$1:$E$16504,0))</f>
        <v>500</v>
      </c>
      <c r="D414" cm="1">
        <f t="array" ref="D414">SUMPRODUCT(('Pivot Data'!$D$2:$D$1912=$A414)*IF($B414="",--('Pivot Data'!$E$2:$E$1912=""),--('Pivot Data'!$E$2:$E$1912=$B414))*('Pivot Data'!$I$2:$I$1912="Cancelled")*'Pivot Data'!$H$2:$H$1912)</f>
        <v>0</v>
      </c>
      <c r="E414" s="1301">
        <f t="shared" si="6"/>
        <v>500</v>
      </c>
    </row>
    <row r="415" spans="1:5" hidden="1" x14ac:dyDescent="0.25">
      <c r="A415" t="s">
        <v>2102</v>
      </c>
      <c r="B415" t="s">
        <v>1295</v>
      </c>
      <c r="C415" s="1301" cm="1">
        <f t="array" ref="C415">SUMPRODUCT((CHALLAN!$B$1:$B$16504=A415)*IF(B415="",--(CHALLAN!$C$1:$C$16504=""),--(CHALLAN!$C$1:$C$16504=B415))*IFERROR(CHALLAN!$D$1:$D$16504*CHALLAN!$E$1:$E$16504,0))</f>
        <v>150</v>
      </c>
      <c r="D415" cm="1">
        <f t="array" ref="D415">SUMPRODUCT(('Pivot Data'!$D$2:$D$1912=$A415)*IF($B415="",--('Pivot Data'!$E$2:$E$1912=""),--('Pivot Data'!$E$2:$E$1912=$B415))*('Pivot Data'!$I$2:$I$1912="Cancelled")*'Pivot Data'!$H$2:$H$1912)</f>
        <v>0</v>
      </c>
      <c r="E415" s="1301">
        <f t="shared" si="6"/>
        <v>150</v>
      </c>
    </row>
    <row r="416" spans="1:5" hidden="1" x14ac:dyDescent="0.25">
      <c r="A416" t="s">
        <v>1345</v>
      </c>
      <c r="B416" t="s">
        <v>1295</v>
      </c>
      <c r="C416" s="1301" cm="1">
        <f t="array" ref="C416">SUMPRODUCT((CHALLAN!$B$1:$B$16504=A416)*IF(B416="",--(CHALLAN!$C$1:$C$16504=""),--(CHALLAN!$C$1:$C$16504=B416))*IFERROR(CHALLAN!$D$1:$D$16504*CHALLAN!$E$1:$E$16504,0))</f>
        <v>225</v>
      </c>
      <c r="D416" cm="1">
        <f t="array" ref="D416">SUMPRODUCT(('Pivot Data'!$D$2:$D$1912=$A416)*IF($B416="",--('Pivot Data'!$E$2:$E$1912=""),--('Pivot Data'!$E$2:$E$1912=$B416))*('Pivot Data'!$I$2:$I$1912="Cancelled")*'Pivot Data'!$H$2:$H$1912)</f>
        <v>0</v>
      </c>
      <c r="E416" s="1301">
        <f t="shared" si="6"/>
        <v>225</v>
      </c>
    </row>
    <row r="417" spans="1:5" hidden="1" x14ac:dyDescent="0.25">
      <c r="A417" t="s">
        <v>260</v>
      </c>
      <c r="C417" s="1301" cm="1">
        <f t="array" ref="C417">SUMPRODUCT((CHALLAN!$B$1:$B$16504=A417)*IF(B417="",--(CHALLAN!$C$1:$C$16504=""),--(CHALLAN!$C$1:$C$16504=B417))*IFERROR(CHALLAN!$D$1:$D$16504*CHALLAN!$E$1:$E$16504,0))</f>
        <v>250</v>
      </c>
      <c r="D417" cm="1">
        <f t="array" ref="D417">SUMPRODUCT(('Pivot Data'!$D$2:$D$1912=$A417)*IF($B417="",--('Pivot Data'!$E$2:$E$1912=""),--('Pivot Data'!$E$2:$E$1912=$B417))*('Pivot Data'!$I$2:$I$1912="Cancelled")*'Pivot Data'!$H$2:$H$1912)</f>
        <v>0</v>
      </c>
      <c r="E417" s="1301">
        <f t="shared" si="6"/>
        <v>250</v>
      </c>
    </row>
    <row r="418" spans="1:5" hidden="1" x14ac:dyDescent="0.25">
      <c r="A418" t="s">
        <v>260</v>
      </c>
      <c r="B418" t="s">
        <v>887</v>
      </c>
      <c r="C418" s="1301" cm="1">
        <f t="array" ref="C418">SUMPRODUCT((CHALLAN!$B$1:$B$16504=A418)*IF(B418="",--(CHALLAN!$C$1:$C$16504=""),--(CHALLAN!$C$1:$C$16504=B418))*IFERROR(CHALLAN!$D$1:$D$16504*CHALLAN!$E$1:$E$16504,0))</f>
        <v>0</v>
      </c>
      <c r="D418" cm="1">
        <f t="array" ref="D418">SUMPRODUCT(('Pivot Data'!$D$2:$D$1912=$A418)*IF($B418="",--('Pivot Data'!$E$2:$E$1912=""),--('Pivot Data'!$E$2:$E$1912=$B418))*('Pivot Data'!$I$2:$I$1912="Cancelled")*'Pivot Data'!$H$2:$H$1912)</f>
        <v>0</v>
      </c>
      <c r="E418" s="1301">
        <f t="shared" si="6"/>
        <v>0</v>
      </c>
    </row>
    <row r="419" spans="1:5" hidden="1" x14ac:dyDescent="0.25">
      <c r="A419" t="s">
        <v>207</v>
      </c>
      <c r="B419" t="s">
        <v>378</v>
      </c>
      <c r="C419" s="1301" cm="1">
        <f t="array" ref="C419">SUMPRODUCT((CHALLAN!$B$1:$B$16504=A419)*IF(B419="",--(CHALLAN!$C$1:$C$16504=""),--(CHALLAN!$C$1:$C$16504=B419))*IFERROR(CHALLAN!$D$1:$D$16504*CHALLAN!$E$1:$E$16504,0))</f>
        <v>71</v>
      </c>
      <c r="D419" cm="1">
        <f t="array" ref="D419">SUMPRODUCT(('Pivot Data'!$D$2:$D$1912=$A419)*IF($B419="",--('Pivot Data'!$E$2:$E$1912=""),--('Pivot Data'!$E$2:$E$1912=$B419))*('Pivot Data'!$I$2:$I$1912="Cancelled")*'Pivot Data'!$H$2:$H$1912)</f>
        <v>0</v>
      </c>
      <c r="E419" s="1301">
        <f t="shared" si="6"/>
        <v>71</v>
      </c>
    </row>
    <row r="420" spans="1:5" hidden="1" x14ac:dyDescent="0.25">
      <c r="A420" t="s">
        <v>763</v>
      </c>
      <c r="C420" s="1301" cm="1">
        <f t="array" ref="C420">SUMPRODUCT((CHALLAN!$B$1:$B$16504=A420)*IF(B420="",--(CHALLAN!$C$1:$C$16504=""),--(CHALLAN!$C$1:$C$16504=B420))*IFERROR(CHALLAN!$D$1:$D$16504*CHALLAN!$E$1:$E$16504,0))</f>
        <v>6</v>
      </c>
      <c r="D420" cm="1">
        <f t="array" ref="D420">SUMPRODUCT(('Pivot Data'!$D$2:$D$1912=$A420)*IF($B420="",--('Pivot Data'!$E$2:$E$1912=""),--('Pivot Data'!$E$2:$E$1912=$B420))*('Pivot Data'!$I$2:$I$1912="Cancelled")*'Pivot Data'!$H$2:$H$1912)</f>
        <v>0</v>
      </c>
      <c r="E420" s="1301">
        <f t="shared" si="6"/>
        <v>6</v>
      </c>
    </row>
    <row r="421" spans="1:5" hidden="1" x14ac:dyDescent="0.25">
      <c r="A421" t="s">
        <v>1718</v>
      </c>
      <c r="B421" t="s">
        <v>379</v>
      </c>
      <c r="C421" s="1301" cm="1">
        <f t="array" ref="C421">SUMPRODUCT((CHALLAN!$B$1:$B$16504=A421)*IF(B421="",--(CHALLAN!$C$1:$C$16504=""),--(CHALLAN!$C$1:$C$16504=B421))*IFERROR(CHALLAN!$D$1:$D$16504*CHALLAN!$E$1:$E$16504,0))</f>
        <v>213</v>
      </c>
      <c r="D421" cm="1">
        <f t="array" ref="D421">SUMPRODUCT(('Pivot Data'!$D$2:$D$1912=$A421)*IF($B421="",--('Pivot Data'!$E$2:$E$1912=""),--('Pivot Data'!$E$2:$E$1912=$B421))*('Pivot Data'!$I$2:$I$1912="Cancelled")*'Pivot Data'!$H$2:$H$1912)</f>
        <v>0</v>
      </c>
      <c r="E421" s="1301">
        <f t="shared" si="6"/>
        <v>213</v>
      </c>
    </row>
    <row r="422" spans="1:5" hidden="1" x14ac:dyDescent="0.25">
      <c r="A422" t="s">
        <v>1718</v>
      </c>
      <c r="B422" t="s">
        <v>2237</v>
      </c>
      <c r="C422" s="1301" cm="1">
        <f t="array" ref="C422">SUMPRODUCT((CHALLAN!$B$1:$B$16504=A422)*IF(B422="",--(CHALLAN!$C$1:$C$16504=""),--(CHALLAN!$C$1:$C$16504=B422))*IFERROR(CHALLAN!$D$1:$D$16504*CHALLAN!$E$1:$E$16504,0))</f>
        <v>0</v>
      </c>
      <c r="D422" cm="1">
        <f t="array" ref="D422">SUMPRODUCT(('Pivot Data'!$D$2:$D$1912=$A422)*IF($B422="",--('Pivot Data'!$E$2:$E$1912=""),--('Pivot Data'!$E$2:$E$1912=$B422))*('Pivot Data'!$I$2:$I$1912="Cancelled")*'Pivot Data'!$H$2:$H$1912)</f>
        <v>0</v>
      </c>
      <c r="E422" s="1301">
        <f t="shared" si="6"/>
        <v>0</v>
      </c>
    </row>
    <row r="423" spans="1:5" hidden="1" x14ac:dyDescent="0.25">
      <c r="A423" t="s">
        <v>208</v>
      </c>
      <c r="B423" t="s">
        <v>379</v>
      </c>
      <c r="C423" s="1301" cm="1">
        <f t="array" ref="C423">SUMPRODUCT((CHALLAN!$B$1:$B$16504=A423)*IF(B423="",--(CHALLAN!$C$1:$C$16504=""),--(CHALLAN!$C$1:$C$16504=B423))*IFERROR(CHALLAN!$D$1:$D$16504*CHALLAN!$E$1:$E$16504,0))</f>
        <v>24</v>
      </c>
      <c r="D423" cm="1">
        <f t="array" ref="D423">SUMPRODUCT(('Pivot Data'!$D$2:$D$1912=$A423)*IF($B423="",--('Pivot Data'!$E$2:$E$1912=""),--('Pivot Data'!$E$2:$E$1912=$B423))*('Pivot Data'!$I$2:$I$1912="Cancelled")*'Pivot Data'!$H$2:$H$1912)</f>
        <v>0</v>
      </c>
      <c r="E423" s="1301">
        <f t="shared" si="6"/>
        <v>24</v>
      </c>
    </row>
    <row r="424" spans="1:5" hidden="1" x14ac:dyDescent="0.25">
      <c r="A424" t="s">
        <v>163</v>
      </c>
      <c r="B424" t="s">
        <v>1605</v>
      </c>
      <c r="C424" s="1301" cm="1">
        <f t="array" ref="C424">SUMPRODUCT((CHALLAN!$B$1:$B$16504=A424)*IF(B424="",--(CHALLAN!$C$1:$C$16504=""),--(CHALLAN!$C$1:$C$16504=B424))*IFERROR(CHALLAN!$D$1:$D$16504*CHALLAN!$E$1:$E$16504,0))</f>
        <v>1</v>
      </c>
      <c r="D424" cm="1">
        <f t="array" ref="D424">SUMPRODUCT(('Pivot Data'!$D$2:$D$1912=$A424)*IF($B424="",--('Pivot Data'!$E$2:$E$1912=""),--('Pivot Data'!$E$2:$E$1912=$B424))*('Pivot Data'!$I$2:$I$1912="Cancelled")*'Pivot Data'!$H$2:$H$1912)</f>
        <v>1</v>
      </c>
      <c r="E424" s="1301">
        <f t="shared" si="6"/>
        <v>0</v>
      </c>
    </row>
    <row r="425" spans="1:5" hidden="1" x14ac:dyDescent="0.25">
      <c r="A425" t="s">
        <v>1294</v>
      </c>
      <c r="B425" t="s">
        <v>1295</v>
      </c>
      <c r="C425" s="1301" cm="1">
        <f t="array" ref="C425">SUMPRODUCT((CHALLAN!$B$1:$B$16504=A425)*IF(B425="",--(CHALLAN!$C$1:$C$16504=""),--(CHALLAN!$C$1:$C$16504=B425))*IFERROR(CHALLAN!$D$1:$D$16504*CHALLAN!$E$1:$E$16504,0))</f>
        <v>75</v>
      </c>
      <c r="D425" cm="1">
        <f t="array" ref="D425">SUMPRODUCT(('Pivot Data'!$D$2:$D$1912=$A425)*IF($B425="",--('Pivot Data'!$E$2:$E$1912=""),--('Pivot Data'!$E$2:$E$1912=$B425))*('Pivot Data'!$I$2:$I$1912="Cancelled")*'Pivot Data'!$H$2:$H$1912)</f>
        <v>0</v>
      </c>
      <c r="E425" s="1301">
        <f t="shared" si="6"/>
        <v>75</v>
      </c>
    </row>
    <row r="426" spans="1:5" hidden="1" x14ac:dyDescent="0.25">
      <c r="A426" t="s">
        <v>1880</v>
      </c>
      <c r="B426" t="s">
        <v>1505</v>
      </c>
      <c r="C426" s="1301" cm="1">
        <f t="array" ref="C426">SUMPRODUCT((CHALLAN!$B$1:$B$16504=A426)*IF(B426="",--(CHALLAN!$C$1:$C$16504=""),--(CHALLAN!$C$1:$C$16504=B426))*IFERROR(CHALLAN!$D$1:$D$16504*CHALLAN!$E$1:$E$16504,0))</f>
        <v>1100</v>
      </c>
      <c r="D426" cm="1">
        <f t="array" ref="D426">SUMPRODUCT(('Pivot Data'!$D$2:$D$1912=$A426)*IF($B426="",--('Pivot Data'!$E$2:$E$1912=""),--('Pivot Data'!$E$2:$E$1912=$B426))*('Pivot Data'!$I$2:$I$1912="Cancelled")*'Pivot Data'!$H$2:$H$1912)</f>
        <v>0</v>
      </c>
      <c r="E426" s="1301">
        <f t="shared" si="6"/>
        <v>1100</v>
      </c>
    </row>
    <row r="427" spans="1:5" hidden="1" x14ac:dyDescent="0.25">
      <c r="A427" t="s">
        <v>1898</v>
      </c>
      <c r="B427" t="s">
        <v>1505</v>
      </c>
      <c r="C427" s="1301" cm="1">
        <f t="array" ref="C427">SUMPRODUCT((CHALLAN!$B$1:$B$16504=A427)*IF(B427="",--(CHALLAN!$C$1:$C$16504=""),--(CHALLAN!$C$1:$C$16504=B427))*IFERROR(CHALLAN!$D$1:$D$16504*CHALLAN!$E$1:$E$16504,0))</f>
        <v>200</v>
      </c>
      <c r="D427" cm="1">
        <f t="array" ref="D427">SUMPRODUCT(('Pivot Data'!$D$2:$D$1912=$A427)*IF($B427="",--('Pivot Data'!$E$2:$E$1912=""),--('Pivot Data'!$E$2:$E$1912=$B427))*('Pivot Data'!$I$2:$I$1912="Cancelled")*'Pivot Data'!$H$2:$H$1912)</f>
        <v>0</v>
      </c>
      <c r="E427" s="1301">
        <f t="shared" si="6"/>
        <v>200</v>
      </c>
    </row>
    <row r="428" spans="1:5" hidden="1" x14ac:dyDescent="0.25">
      <c r="A428" t="s">
        <v>1504</v>
      </c>
      <c r="B428" t="s">
        <v>1505</v>
      </c>
      <c r="C428" s="1301" cm="1">
        <f t="array" ref="C428">SUMPRODUCT((CHALLAN!$B$1:$B$16504=A428)*IF(B428="",--(CHALLAN!$C$1:$C$16504=""),--(CHALLAN!$C$1:$C$16504=B428))*IFERROR(CHALLAN!$D$1:$D$16504*CHALLAN!$E$1:$E$16504,0))</f>
        <v>400</v>
      </c>
      <c r="D428" cm="1">
        <f t="array" ref="D428">SUMPRODUCT(('Pivot Data'!$D$2:$D$1912=$A428)*IF($B428="",--('Pivot Data'!$E$2:$E$1912=""),--('Pivot Data'!$E$2:$E$1912=$B428))*('Pivot Data'!$I$2:$I$1912="Cancelled")*'Pivot Data'!$H$2:$H$1912)</f>
        <v>0</v>
      </c>
      <c r="E428" s="1301">
        <f t="shared" si="6"/>
        <v>400</v>
      </c>
    </row>
    <row r="429" spans="1:5" hidden="1" x14ac:dyDescent="0.25">
      <c r="A429" t="s">
        <v>146</v>
      </c>
      <c r="C429" s="1301" cm="1">
        <f t="array" ref="C429">SUMPRODUCT((CHALLAN!$B$1:$B$16504=A429)*IF(B429="",--(CHALLAN!$C$1:$C$16504=""),--(CHALLAN!$C$1:$C$16504=B429))*IFERROR(CHALLAN!$D$1:$D$16504*CHALLAN!$E$1:$E$16504,0))</f>
        <v>1</v>
      </c>
      <c r="D429" cm="1">
        <f t="array" ref="D429">SUMPRODUCT(('Pivot Data'!$D$2:$D$1912=$A429)*IF($B429="",--('Pivot Data'!$E$2:$E$1912=""),--('Pivot Data'!$E$2:$E$1912=$B429))*('Pivot Data'!$I$2:$I$1912="Cancelled")*'Pivot Data'!$H$2:$H$1912)</f>
        <v>0</v>
      </c>
      <c r="E429" s="1301">
        <f t="shared" si="6"/>
        <v>1</v>
      </c>
    </row>
    <row r="430" spans="1:5" hidden="1" x14ac:dyDescent="0.25">
      <c r="A430" t="s">
        <v>146</v>
      </c>
      <c r="B430" t="s">
        <v>380</v>
      </c>
      <c r="C430" s="1301" cm="1">
        <f t="array" ref="C430">SUMPRODUCT((CHALLAN!$B$1:$B$16504=A430)*IF(B430="",--(CHALLAN!$C$1:$C$16504=""),--(CHALLAN!$C$1:$C$16504=B430))*IFERROR(CHALLAN!$D$1:$D$16504*CHALLAN!$E$1:$E$16504,0))</f>
        <v>72</v>
      </c>
      <c r="D430" cm="1">
        <f t="array" ref="D430">SUMPRODUCT(('Pivot Data'!$D$2:$D$1912=$A430)*IF($B430="",--('Pivot Data'!$E$2:$E$1912=""),--('Pivot Data'!$E$2:$E$1912=$B430))*('Pivot Data'!$I$2:$I$1912="Cancelled")*'Pivot Data'!$H$2:$H$1912)</f>
        <v>0</v>
      </c>
      <c r="E430" s="1301">
        <f t="shared" si="6"/>
        <v>72</v>
      </c>
    </row>
    <row r="431" spans="1:5" hidden="1" x14ac:dyDescent="0.25">
      <c r="A431" t="s">
        <v>146</v>
      </c>
      <c r="B431" t="s">
        <v>342</v>
      </c>
      <c r="C431" s="1301" cm="1">
        <f t="array" ref="C431">SUMPRODUCT((CHALLAN!$B$1:$B$16504=A431)*IF(B431="",--(CHALLAN!$C$1:$C$16504=""),--(CHALLAN!$C$1:$C$16504=B431))*IFERROR(CHALLAN!$D$1:$D$16504*CHALLAN!$E$1:$E$16504,0))</f>
        <v>25</v>
      </c>
      <c r="D431" cm="1">
        <f t="array" ref="D431">SUMPRODUCT(('Pivot Data'!$D$2:$D$1912=$A431)*IF($B431="",--('Pivot Data'!$E$2:$E$1912=""),--('Pivot Data'!$E$2:$E$1912=$B431))*('Pivot Data'!$I$2:$I$1912="Cancelled")*'Pivot Data'!$H$2:$H$1912)</f>
        <v>0</v>
      </c>
      <c r="E431" s="1301">
        <f t="shared" si="6"/>
        <v>25</v>
      </c>
    </row>
    <row r="432" spans="1:5" hidden="1" x14ac:dyDescent="0.25">
      <c r="A432" t="s">
        <v>2204</v>
      </c>
      <c r="B432" t="s">
        <v>380</v>
      </c>
      <c r="C432" s="1301" cm="1">
        <f t="array" ref="C432">SUMPRODUCT((CHALLAN!$B$1:$B$16504=A432)*IF(B432="",--(CHALLAN!$C$1:$C$16504=""),--(CHALLAN!$C$1:$C$16504=B432))*IFERROR(CHALLAN!$D$1:$D$16504*CHALLAN!$E$1:$E$16504,0))</f>
        <v>12</v>
      </c>
      <c r="D432" cm="1">
        <f t="array" ref="D432">SUMPRODUCT(('Pivot Data'!$D$2:$D$1912=$A432)*IF($B432="",--('Pivot Data'!$E$2:$E$1912=""),--('Pivot Data'!$E$2:$E$1912=$B432))*('Pivot Data'!$I$2:$I$1912="Cancelled")*'Pivot Data'!$H$2:$H$1912)</f>
        <v>0</v>
      </c>
      <c r="E432" s="1301">
        <f t="shared" si="6"/>
        <v>12</v>
      </c>
    </row>
    <row r="433" spans="1:5" hidden="1" x14ac:dyDescent="0.25">
      <c r="A433" t="s">
        <v>1658</v>
      </c>
      <c r="B433" t="s">
        <v>87</v>
      </c>
      <c r="C433" s="1301" cm="1">
        <f t="array" ref="C433">SUMPRODUCT((CHALLAN!$B$1:$B$16504=A433)*IF(B433="",--(CHALLAN!$C$1:$C$16504=""),--(CHALLAN!$C$1:$C$16504=B433))*IFERROR(CHALLAN!$D$1:$D$16504*CHALLAN!$E$1:$E$16504,0))</f>
        <v>25</v>
      </c>
      <c r="D433" cm="1">
        <f t="array" ref="D433">SUMPRODUCT(('Pivot Data'!$D$2:$D$1912=$A433)*IF($B433="",--('Pivot Data'!$E$2:$E$1912=""),--('Pivot Data'!$E$2:$E$1912=$B433))*('Pivot Data'!$I$2:$I$1912="Cancelled")*'Pivot Data'!$H$2:$H$1912)</f>
        <v>0</v>
      </c>
      <c r="E433" s="1301">
        <f t="shared" si="6"/>
        <v>25</v>
      </c>
    </row>
    <row r="434" spans="1:5" hidden="1" x14ac:dyDescent="0.25">
      <c r="A434" t="s">
        <v>1741</v>
      </c>
      <c r="B434" t="s">
        <v>433</v>
      </c>
      <c r="C434" s="1301" cm="1">
        <f t="array" ref="C434">SUMPRODUCT((CHALLAN!$B$1:$B$16504=A434)*IF(B434="",--(CHALLAN!$C$1:$C$16504=""),--(CHALLAN!$C$1:$C$16504=B434))*IFERROR(CHALLAN!$D$1:$D$16504*CHALLAN!$E$1:$E$16504,0))</f>
        <v>25</v>
      </c>
      <c r="D434" cm="1">
        <f t="array" ref="D434">SUMPRODUCT(('Pivot Data'!$D$2:$D$1912=$A434)*IF($B434="",--('Pivot Data'!$E$2:$E$1912=""),--('Pivot Data'!$E$2:$E$1912=$B434))*('Pivot Data'!$I$2:$I$1912="Cancelled")*'Pivot Data'!$H$2:$H$1912)</f>
        <v>0</v>
      </c>
      <c r="E434" s="1301">
        <f t="shared" si="6"/>
        <v>25</v>
      </c>
    </row>
    <row r="435" spans="1:5" hidden="1" x14ac:dyDescent="0.25">
      <c r="A435" t="s">
        <v>1742</v>
      </c>
      <c r="B435" t="s">
        <v>432</v>
      </c>
      <c r="C435" s="1301" cm="1">
        <f t="array" ref="C435">SUMPRODUCT((CHALLAN!$B$1:$B$16504=A435)*IF(B435="",--(CHALLAN!$C$1:$C$16504=""),--(CHALLAN!$C$1:$C$16504=B435))*IFERROR(CHALLAN!$D$1:$D$16504*CHALLAN!$E$1:$E$16504,0))</f>
        <v>50</v>
      </c>
      <c r="D435" cm="1">
        <f t="array" ref="D435">SUMPRODUCT(('Pivot Data'!$D$2:$D$1912=$A435)*IF($B435="",--('Pivot Data'!$E$2:$E$1912=""),--('Pivot Data'!$E$2:$E$1912=$B435))*('Pivot Data'!$I$2:$I$1912="Cancelled")*'Pivot Data'!$H$2:$H$1912)</f>
        <v>0</v>
      </c>
      <c r="E435" s="1301">
        <f t="shared" si="6"/>
        <v>50</v>
      </c>
    </row>
    <row r="436" spans="1:5" hidden="1" x14ac:dyDescent="0.25">
      <c r="A436" t="s">
        <v>1732</v>
      </c>
      <c r="B436" t="s">
        <v>433</v>
      </c>
      <c r="C436" s="1301" cm="1">
        <f t="array" ref="C436">SUMPRODUCT((CHALLAN!$B$1:$B$16504=A436)*IF(B436="",--(CHALLAN!$C$1:$C$16504=""),--(CHALLAN!$C$1:$C$16504=B436))*IFERROR(CHALLAN!$D$1:$D$16504*CHALLAN!$E$1:$E$16504,0))</f>
        <v>100</v>
      </c>
      <c r="D436" cm="1">
        <f t="array" ref="D436">SUMPRODUCT(('Pivot Data'!$D$2:$D$1912=$A436)*IF($B436="",--('Pivot Data'!$E$2:$E$1912=""),--('Pivot Data'!$E$2:$E$1912=$B436))*('Pivot Data'!$I$2:$I$1912="Cancelled")*'Pivot Data'!$H$2:$H$1912)</f>
        <v>0</v>
      </c>
      <c r="E436" s="1301">
        <f t="shared" si="6"/>
        <v>100</v>
      </c>
    </row>
    <row r="437" spans="1:5" hidden="1" x14ac:dyDescent="0.25">
      <c r="A437" t="s">
        <v>649</v>
      </c>
      <c r="B437" t="s">
        <v>109</v>
      </c>
      <c r="C437" s="1301" cm="1">
        <f t="array" ref="C437">SUMPRODUCT((CHALLAN!$B$1:$B$16504=A437)*IF(B437="",--(CHALLAN!$C$1:$C$16504=""),--(CHALLAN!$C$1:$C$16504=B437))*IFERROR(CHALLAN!$D$1:$D$16504*CHALLAN!$E$1:$E$16504,0))</f>
        <v>100</v>
      </c>
      <c r="D437" cm="1">
        <f t="array" ref="D437">SUMPRODUCT(('Pivot Data'!$D$2:$D$1912=$A437)*IF($B437="",--('Pivot Data'!$E$2:$E$1912=""),--('Pivot Data'!$E$2:$E$1912=$B437))*('Pivot Data'!$I$2:$I$1912="Cancelled")*'Pivot Data'!$H$2:$H$1912)</f>
        <v>0</v>
      </c>
      <c r="E437" s="1301">
        <f t="shared" si="6"/>
        <v>100</v>
      </c>
    </row>
    <row r="438" spans="1:5" hidden="1" x14ac:dyDescent="0.25">
      <c r="A438" t="s">
        <v>649</v>
      </c>
      <c r="B438" t="s">
        <v>433</v>
      </c>
      <c r="C438" s="1301" cm="1">
        <f t="array" ref="C438">SUMPRODUCT((CHALLAN!$B$1:$B$16504=A438)*IF(B438="",--(CHALLAN!$C$1:$C$16504=""),--(CHALLAN!$C$1:$C$16504=B438))*IFERROR(CHALLAN!$D$1:$D$16504*CHALLAN!$E$1:$E$16504,0))</f>
        <v>649</v>
      </c>
      <c r="D438" cm="1">
        <f t="array" ref="D438">SUMPRODUCT(('Pivot Data'!$D$2:$D$1912=$A438)*IF($B438="",--('Pivot Data'!$E$2:$E$1912=""),--('Pivot Data'!$E$2:$E$1912=$B438))*('Pivot Data'!$I$2:$I$1912="Cancelled")*'Pivot Data'!$H$2:$H$1912)</f>
        <v>0</v>
      </c>
      <c r="E438" s="1301">
        <f t="shared" si="6"/>
        <v>649</v>
      </c>
    </row>
    <row r="439" spans="1:5" hidden="1" x14ac:dyDescent="0.25">
      <c r="A439" t="s">
        <v>651</v>
      </c>
      <c r="C439" s="1301" cm="1">
        <f t="array" ref="C439">SUMPRODUCT((CHALLAN!$B$1:$B$16504=A439)*IF(B439="",--(CHALLAN!$C$1:$C$16504=""),--(CHALLAN!$C$1:$C$16504=B439))*IFERROR(CHALLAN!$D$1:$D$16504*CHALLAN!$E$1:$E$16504,0))</f>
        <v>150</v>
      </c>
      <c r="D439" cm="1">
        <f t="array" ref="D439">SUMPRODUCT(('Pivot Data'!$D$2:$D$1912=$A439)*IF($B439="",--('Pivot Data'!$E$2:$E$1912=""),--('Pivot Data'!$E$2:$E$1912=$B439))*('Pivot Data'!$I$2:$I$1912="Cancelled")*'Pivot Data'!$H$2:$H$1912)</f>
        <v>0</v>
      </c>
      <c r="E439" s="1301">
        <f t="shared" si="6"/>
        <v>150</v>
      </c>
    </row>
    <row r="440" spans="1:5" hidden="1" x14ac:dyDescent="0.25">
      <c r="A440" t="s">
        <v>651</v>
      </c>
      <c r="B440" t="s">
        <v>432</v>
      </c>
      <c r="C440" s="1301" cm="1">
        <f t="array" ref="C440">SUMPRODUCT((CHALLAN!$B$1:$B$16504=A440)*IF(B440="",--(CHALLAN!$C$1:$C$16504=""),--(CHALLAN!$C$1:$C$16504=B440))*IFERROR(CHALLAN!$D$1:$D$16504*CHALLAN!$E$1:$E$16504,0))</f>
        <v>474</v>
      </c>
      <c r="D440" cm="1">
        <f t="array" ref="D440">SUMPRODUCT(('Pivot Data'!$D$2:$D$1912=$A440)*IF($B440="",--('Pivot Data'!$E$2:$E$1912=""),--('Pivot Data'!$E$2:$E$1912=$B440))*('Pivot Data'!$I$2:$I$1912="Cancelled")*'Pivot Data'!$H$2:$H$1912)</f>
        <v>0</v>
      </c>
      <c r="E440" s="1301">
        <f t="shared" si="6"/>
        <v>474</v>
      </c>
    </row>
    <row r="441" spans="1:5" hidden="1" x14ac:dyDescent="0.25">
      <c r="A441" t="s">
        <v>618</v>
      </c>
      <c r="C441" s="1301" cm="1">
        <f t="array" ref="C441">SUMPRODUCT((CHALLAN!$B$1:$B$16504=A441)*IF(B441="",--(CHALLAN!$C$1:$C$16504=""),--(CHALLAN!$C$1:$C$16504=B441))*IFERROR(CHALLAN!$D$1:$D$16504*CHALLAN!$E$1:$E$16504,0))</f>
        <v>5</v>
      </c>
      <c r="D441" cm="1">
        <f t="array" ref="D441">SUMPRODUCT(('Pivot Data'!$D$2:$D$1912=$A441)*IF($B441="",--('Pivot Data'!$E$2:$E$1912=""),--('Pivot Data'!$E$2:$E$1912=$B441))*('Pivot Data'!$I$2:$I$1912="Cancelled")*'Pivot Data'!$H$2:$H$1912)</f>
        <v>0</v>
      </c>
      <c r="E441" s="1301">
        <f t="shared" si="6"/>
        <v>5</v>
      </c>
    </row>
    <row r="442" spans="1:5" hidden="1" x14ac:dyDescent="0.25">
      <c r="A442" t="s">
        <v>618</v>
      </c>
      <c r="B442" t="s">
        <v>1507</v>
      </c>
      <c r="C442" s="1301" cm="1">
        <f t="array" ref="C442">SUMPRODUCT((CHALLAN!$B$1:$B$16504=A442)*IF(B442="",--(CHALLAN!$C$1:$C$16504=""),--(CHALLAN!$C$1:$C$16504=B442))*IFERROR(CHALLAN!$D$1:$D$16504*CHALLAN!$E$1:$E$16504,0))</f>
        <v>5</v>
      </c>
      <c r="D442" cm="1">
        <f t="array" ref="D442">SUMPRODUCT(('Pivot Data'!$D$2:$D$1912=$A442)*IF($B442="",--('Pivot Data'!$E$2:$E$1912=""),--('Pivot Data'!$E$2:$E$1912=$B442))*('Pivot Data'!$I$2:$I$1912="Cancelled")*'Pivot Data'!$H$2:$H$1912)</f>
        <v>0</v>
      </c>
      <c r="E442" s="1301">
        <f t="shared" si="6"/>
        <v>5</v>
      </c>
    </row>
    <row r="443" spans="1:5" hidden="1" x14ac:dyDescent="0.25">
      <c r="A443" t="s">
        <v>618</v>
      </c>
      <c r="B443" t="s">
        <v>87</v>
      </c>
      <c r="C443" s="1301" cm="1">
        <f t="array" ref="C443">SUMPRODUCT((CHALLAN!$B$1:$B$16504=A443)*IF(B443="",--(CHALLAN!$C$1:$C$16504=""),--(CHALLAN!$C$1:$C$16504=B443))*IFERROR(CHALLAN!$D$1:$D$16504*CHALLAN!$E$1:$E$16504,0))</f>
        <v>185</v>
      </c>
      <c r="D443" cm="1">
        <f t="array" ref="D443">SUMPRODUCT(('Pivot Data'!$D$2:$D$1912=$A443)*IF($B443="",--('Pivot Data'!$E$2:$E$1912=""),--('Pivot Data'!$E$2:$E$1912=$B443))*('Pivot Data'!$I$2:$I$1912="Cancelled")*'Pivot Data'!$H$2:$H$1912)</f>
        <v>0</v>
      </c>
      <c r="E443" s="1301">
        <f t="shared" si="6"/>
        <v>185</v>
      </c>
    </row>
    <row r="444" spans="1:5" hidden="1" x14ac:dyDescent="0.25">
      <c r="A444" t="s">
        <v>1907</v>
      </c>
      <c r="B444" t="s">
        <v>87</v>
      </c>
      <c r="C444" s="1301" cm="1">
        <f t="array" ref="C444">SUMPRODUCT((CHALLAN!$B$1:$B$16504=A444)*IF(B444="",--(CHALLAN!$C$1:$C$16504=""),--(CHALLAN!$C$1:$C$16504=B444))*IFERROR(CHALLAN!$D$1:$D$16504*CHALLAN!$E$1:$E$16504,0))</f>
        <v>5</v>
      </c>
      <c r="D444" cm="1">
        <f t="array" ref="D444">SUMPRODUCT(('Pivot Data'!$D$2:$D$1912=$A444)*IF($B444="",--('Pivot Data'!$E$2:$E$1912=""),--('Pivot Data'!$E$2:$E$1912=$B444))*('Pivot Data'!$I$2:$I$1912="Cancelled")*'Pivot Data'!$H$2:$H$1912)</f>
        <v>0</v>
      </c>
      <c r="E444" s="1301">
        <f t="shared" si="6"/>
        <v>5</v>
      </c>
    </row>
    <row r="445" spans="1:5" hidden="1" x14ac:dyDescent="0.25">
      <c r="A445" t="s">
        <v>1569</v>
      </c>
      <c r="B445" t="s">
        <v>87</v>
      </c>
      <c r="C445" s="1301" cm="1">
        <f t="array" ref="C445">SUMPRODUCT((CHALLAN!$B$1:$B$16504=A445)*IF(B445="",--(CHALLAN!$C$1:$C$16504=""),--(CHALLAN!$C$1:$C$16504=B445))*IFERROR(CHALLAN!$D$1:$D$16504*CHALLAN!$E$1:$E$16504,0))</f>
        <v>175</v>
      </c>
      <c r="D445" cm="1">
        <f t="array" ref="D445">SUMPRODUCT(('Pivot Data'!$D$2:$D$1912=$A445)*IF($B445="",--('Pivot Data'!$E$2:$E$1912=""),--('Pivot Data'!$E$2:$E$1912=$B445))*('Pivot Data'!$I$2:$I$1912="Cancelled")*'Pivot Data'!$H$2:$H$1912)</f>
        <v>0</v>
      </c>
      <c r="E445" s="1301">
        <f t="shared" si="6"/>
        <v>175</v>
      </c>
    </row>
    <row r="446" spans="1:5" hidden="1" x14ac:dyDescent="0.25">
      <c r="A446" t="s">
        <v>1933</v>
      </c>
      <c r="B446" t="s">
        <v>432</v>
      </c>
      <c r="C446" s="1301" cm="1">
        <f t="array" ref="C446">SUMPRODUCT((CHALLAN!$B$1:$B$16504=A446)*IF(B446="",--(CHALLAN!$C$1:$C$16504=""),--(CHALLAN!$C$1:$C$16504=B446))*IFERROR(CHALLAN!$D$1:$D$16504*CHALLAN!$E$1:$E$16504,0))</f>
        <v>50</v>
      </c>
      <c r="D446" cm="1">
        <f t="array" ref="D446">SUMPRODUCT(('Pivot Data'!$D$2:$D$1912=$A446)*IF($B446="",--('Pivot Data'!$E$2:$E$1912=""),--('Pivot Data'!$E$2:$E$1912=$B446))*('Pivot Data'!$I$2:$I$1912="Cancelled")*'Pivot Data'!$H$2:$H$1912)</f>
        <v>0</v>
      </c>
      <c r="E446" s="1301">
        <f t="shared" si="6"/>
        <v>50</v>
      </c>
    </row>
    <row r="447" spans="1:5" hidden="1" x14ac:dyDescent="0.25">
      <c r="A447" t="s">
        <v>145</v>
      </c>
      <c r="C447" s="1301" cm="1">
        <f t="array" ref="C447">SUMPRODUCT((CHALLAN!$B$1:$B$16504=A447)*IF(B447="",--(CHALLAN!$C$1:$C$16504=""),--(CHALLAN!$C$1:$C$16504=B447))*IFERROR(CHALLAN!$D$1:$D$16504*CHALLAN!$E$1:$E$16504,0))</f>
        <v>13</v>
      </c>
      <c r="D447" cm="1">
        <f t="array" ref="D447">SUMPRODUCT(('Pivot Data'!$D$2:$D$1912=$A447)*IF($B447="",--('Pivot Data'!$E$2:$E$1912=""),--('Pivot Data'!$E$2:$E$1912=$B447))*('Pivot Data'!$I$2:$I$1912="Cancelled")*'Pivot Data'!$H$2:$H$1912)</f>
        <v>0</v>
      </c>
      <c r="E447" s="1301">
        <f t="shared" si="6"/>
        <v>13</v>
      </c>
    </row>
    <row r="448" spans="1:5" hidden="1" x14ac:dyDescent="0.25">
      <c r="A448" t="s">
        <v>145</v>
      </c>
      <c r="B448" t="s">
        <v>381</v>
      </c>
      <c r="C448" s="1301" cm="1">
        <f t="array" ref="C448">SUMPRODUCT((CHALLAN!$B$1:$B$16504=A448)*IF(B448="",--(CHALLAN!$C$1:$C$16504=""),--(CHALLAN!$C$1:$C$16504=B448))*IFERROR(CHALLAN!$D$1:$D$16504*CHALLAN!$E$1:$E$16504,0))</f>
        <v>32</v>
      </c>
      <c r="D448" cm="1">
        <f t="array" ref="D448">SUMPRODUCT(('Pivot Data'!$D$2:$D$1912=$A448)*IF($B448="",--('Pivot Data'!$E$2:$E$1912=""),--('Pivot Data'!$E$2:$E$1912=$B448))*('Pivot Data'!$I$2:$I$1912="Cancelled")*'Pivot Data'!$H$2:$H$1912)</f>
        <v>0</v>
      </c>
      <c r="E448" s="1301">
        <f t="shared" si="6"/>
        <v>32</v>
      </c>
    </row>
    <row r="449" spans="1:5" hidden="1" x14ac:dyDescent="0.25">
      <c r="A449" t="s">
        <v>145</v>
      </c>
      <c r="B449" t="s">
        <v>383</v>
      </c>
      <c r="C449" s="1301" cm="1">
        <f t="array" ref="C449">SUMPRODUCT((CHALLAN!$B$1:$B$16504=A449)*IF(B449="",--(CHALLAN!$C$1:$C$16504=""),--(CHALLAN!$C$1:$C$16504=B449))*IFERROR(CHALLAN!$D$1:$D$16504*CHALLAN!$E$1:$E$16504,0))</f>
        <v>293</v>
      </c>
      <c r="D449" cm="1">
        <f t="array" ref="D449">SUMPRODUCT(('Pivot Data'!$D$2:$D$1912=$A449)*IF($B449="",--('Pivot Data'!$E$2:$E$1912=""),--('Pivot Data'!$E$2:$E$1912=$B449))*('Pivot Data'!$I$2:$I$1912="Cancelled")*'Pivot Data'!$H$2:$H$1912)</f>
        <v>0</v>
      </c>
      <c r="E449" s="1301">
        <f t="shared" si="6"/>
        <v>293</v>
      </c>
    </row>
    <row r="450" spans="1:5" hidden="1" x14ac:dyDescent="0.25">
      <c r="A450" t="s">
        <v>145</v>
      </c>
      <c r="B450" t="s">
        <v>341</v>
      </c>
      <c r="C450" s="1301" cm="1">
        <f t="array" ref="C450">SUMPRODUCT((CHALLAN!$B$1:$B$16504=A450)*IF(B450="",--(CHALLAN!$C$1:$C$16504=""),--(CHALLAN!$C$1:$C$16504=B450))*IFERROR(CHALLAN!$D$1:$D$16504*CHALLAN!$E$1:$E$16504,0))</f>
        <v>45</v>
      </c>
      <c r="D450" cm="1">
        <f t="array" ref="D450">SUMPRODUCT(('Pivot Data'!$D$2:$D$1912=$A450)*IF($B450="",--('Pivot Data'!$E$2:$E$1912=""),--('Pivot Data'!$E$2:$E$1912=$B450))*('Pivot Data'!$I$2:$I$1912="Cancelled")*'Pivot Data'!$H$2:$H$1912)</f>
        <v>0</v>
      </c>
      <c r="E450" s="1301">
        <f t="shared" si="6"/>
        <v>45</v>
      </c>
    </row>
    <row r="451" spans="1:5" hidden="1" x14ac:dyDescent="0.25">
      <c r="A451" t="s">
        <v>556</v>
      </c>
      <c r="B451" t="s">
        <v>560</v>
      </c>
      <c r="C451" s="1301" cm="1">
        <f t="array" ref="C451">SUMPRODUCT((CHALLAN!$B$1:$B$16504=A451)*IF(B451="",--(CHALLAN!$C$1:$C$16504=""),--(CHALLAN!$C$1:$C$16504=B451))*IFERROR(CHALLAN!$D$1:$D$16504*CHALLAN!$E$1:$E$16504,0))</f>
        <v>15</v>
      </c>
      <c r="D451" cm="1">
        <f t="array" ref="D451">SUMPRODUCT(('Pivot Data'!$D$2:$D$1912=$A451)*IF($B451="",--('Pivot Data'!$E$2:$E$1912=""),--('Pivot Data'!$E$2:$E$1912=$B451))*('Pivot Data'!$I$2:$I$1912="Cancelled")*'Pivot Data'!$H$2:$H$1912)</f>
        <v>0</v>
      </c>
      <c r="E451" s="1301">
        <f t="shared" si="6"/>
        <v>15</v>
      </c>
    </row>
    <row r="452" spans="1:5" hidden="1" x14ac:dyDescent="0.25">
      <c r="A452" t="s">
        <v>556</v>
      </c>
      <c r="B452" t="s">
        <v>557</v>
      </c>
      <c r="C452" s="1301" cm="1">
        <f t="array" ref="C452">SUMPRODUCT((CHALLAN!$B$1:$B$16504=A452)*IF(B452="",--(CHALLAN!$C$1:$C$16504=""),--(CHALLAN!$C$1:$C$16504=B452))*IFERROR(CHALLAN!$D$1:$D$16504*CHALLAN!$E$1:$E$16504,0))</f>
        <v>20</v>
      </c>
      <c r="D452" cm="1">
        <f t="array" ref="D452">SUMPRODUCT(('Pivot Data'!$D$2:$D$1912=$A452)*IF($B452="",--('Pivot Data'!$E$2:$E$1912=""),--('Pivot Data'!$E$2:$E$1912=$B452))*('Pivot Data'!$I$2:$I$1912="Cancelled")*'Pivot Data'!$H$2:$H$1912)</f>
        <v>0</v>
      </c>
      <c r="E452" s="1301">
        <f t="shared" si="6"/>
        <v>20</v>
      </c>
    </row>
    <row r="453" spans="1:5" hidden="1" x14ac:dyDescent="0.25">
      <c r="A453" t="s">
        <v>1509</v>
      </c>
      <c r="C453" s="1301" cm="1">
        <f t="array" ref="C453">SUMPRODUCT((CHALLAN!$B$1:$B$16504=A453)*IF(B453="",--(CHALLAN!$C$1:$C$16504=""),--(CHALLAN!$C$1:$C$16504=B453))*IFERROR(CHALLAN!$D$1:$D$16504*CHALLAN!$E$1:$E$16504,0))</f>
        <v>30</v>
      </c>
      <c r="D453" cm="1">
        <f t="array" ref="D453">SUMPRODUCT(('Pivot Data'!$D$2:$D$1912=$A453)*IF($B453="",--('Pivot Data'!$E$2:$E$1912=""),--('Pivot Data'!$E$2:$E$1912=$B453))*('Pivot Data'!$I$2:$I$1912="Cancelled")*'Pivot Data'!$H$2:$H$1912)</f>
        <v>0</v>
      </c>
      <c r="E453" s="1301">
        <f t="shared" ref="E453:E516" si="7">C453-D453</f>
        <v>30</v>
      </c>
    </row>
    <row r="454" spans="1:5" hidden="1" x14ac:dyDescent="0.25">
      <c r="A454" t="s">
        <v>482</v>
      </c>
      <c r="C454" s="1301" cm="1">
        <f t="array" ref="C454">SUMPRODUCT((CHALLAN!$B$1:$B$16504=A454)*IF(B454="",--(CHALLAN!$C$1:$C$16504=""),--(CHALLAN!$C$1:$C$16504=B454))*IFERROR(CHALLAN!$D$1:$D$16504*CHALLAN!$E$1:$E$16504,0))</f>
        <v>32</v>
      </c>
      <c r="D454" cm="1">
        <f t="array" ref="D454">SUMPRODUCT(('Pivot Data'!$D$2:$D$1912=$A454)*IF($B454="",--('Pivot Data'!$E$2:$E$1912=""),--('Pivot Data'!$E$2:$E$1912=$B454))*('Pivot Data'!$I$2:$I$1912="Cancelled")*'Pivot Data'!$H$2:$H$1912)</f>
        <v>0</v>
      </c>
      <c r="E454" s="1301">
        <f t="shared" si="7"/>
        <v>32</v>
      </c>
    </row>
    <row r="455" spans="1:5" hidden="1" x14ac:dyDescent="0.25">
      <c r="A455" t="s">
        <v>482</v>
      </c>
      <c r="B455" t="s">
        <v>1519</v>
      </c>
      <c r="C455" s="1301" cm="1">
        <f t="array" ref="C455">SUMPRODUCT((CHALLAN!$B$1:$B$16504=A455)*IF(B455="",--(CHALLAN!$C$1:$C$16504=""),--(CHALLAN!$C$1:$C$16504=B455))*IFERROR(CHALLAN!$D$1:$D$16504*CHALLAN!$E$1:$E$16504,0))</f>
        <v>98</v>
      </c>
      <c r="D455" cm="1">
        <f t="array" ref="D455">SUMPRODUCT(('Pivot Data'!$D$2:$D$1912=$A455)*IF($B455="",--('Pivot Data'!$E$2:$E$1912=""),--('Pivot Data'!$E$2:$E$1912=$B455))*('Pivot Data'!$I$2:$I$1912="Cancelled")*'Pivot Data'!$H$2:$H$1912)</f>
        <v>0</v>
      </c>
      <c r="E455" s="1301">
        <f t="shared" si="7"/>
        <v>98</v>
      </c>
    </row>
    <row r="456" spans="1:5" hidden="1" x14ac:dyDescent="0.25">
      <c r="A456" t="s">
        <v>1206</v>
      </c>
      <c r="C456" s="1301" cm="1">
        <f t="array" ref="C456">SUMPRODUCT((CHALLAN!$B$1:$B$16504=A456)*IF(B456="",--(CHALLAN!$C$1:$C$16504=""),--(CHALLAN!$C$1:$C$16504=B456))*IFERROR(CHALLAN!$D$1:$D$16504*CHALLAN!$E$1:$E$16504,0))</f>
        <v>5</v>
      </c>
      <c r="D456" cm="1">
        <f t="array" ref="D456">SUMPRODUCT(('Pivot Data'!$D$2:$D$1912=$A456)*IF($B456="",--('Pivot Data'!$E$2:$E$1912=""),--('Pivot Data'!$E$2:$E$1912=$B456))*('Pivot Data'!$I$2:$I$1912="Cancelled")*'Pivot Data'!$H$2:$H$1912)</f>
        <v>0</v>
      </c>
      <c r="E456" s="1301">
        <f t="shared" si="7"/>
        <v>5</v>
      </c>
    </row>
    <row r="457" spans="1:5" hidden="1" x14ac:dyDescent="0.25">
      <c r="A457" t="s">
        <v>537</v>
      </c>
      <c r="C457" s="1301" cm="1">
        <f t="array" ref="C457">SUMPRODUCT((CHALLAN!$B$1:$B$16504=A457)*IF(B457="",--(CHALLAN!$C$1:$C$16504=""),--(CHALLAN!$C$1:$C$16504=B457))*IFERROR(CHALLAN!$D$1:$D$16504*CHALLAN!$E$1:$E$16504,0))</f>
        <v>14</v>
      </c>
      <c r="D457" cm="1">
        <f t="array" ref="D457">SUMPRODUCT(('Pivot Data'!$D$2:$D$1912=$A457)*IF($B457="",--('Pivot Data'!$E$2:$E$1912=""),--('Pivot Data'!$E$2:$E$1912=$B457))*('Pivot Data'!$I$2:$I$1912="Cancelled")*'Pivot Data'!$H$2:$H$1912)</f>
        <v>0</v>
      </c>
      <c r="E457" s="1301">
        <f t="shared" si="7"/>
        <v>14</v>
      </c>
    </row>
    <row r="458" spans="1:5" hidden="1" x14ac:dyDescent="0.25">
      <c r="A458" t="s">
        <v>1982</v>
      </c>
      <c r="C458" s="1301" cm="1">
        <f t="array" ref="C458">SUMPRODUCT((CHALLAN!$B$1:$B$16504=A458)*IF(B458="",--(CHALLAN!$C$1:$C$16504=""),--(CHALLAN!$C$1:$C$16504=B458))*IFERROR(CHALLAN!$D$1:$D$16504*CHALLAN!$E$1:$E$16504,0))</f>
        <v>20</v>
      </c>
      <c r="D458" cm="1">
        <f t="array" ref="D458">SUMPRODUCT(('Pivot Data'!$D$2:$D$1912=$A458)*IF($B458="",--('Pivot Data'!$E$2:$E$1912=""),--('Pivot Data'!$E$2:$E$1912=$B458))*('Pivot Data'!$I$2:$I$1912="Cancelled")*'Pivot Data'!$H$2:$H$1912)</f>
        <v>0</v>
      </c>
      <c r="E458" s="1301">
        <f t="shared" si="7"/>
        <v>20</v>
      </c>
    </row>
    <row r="459" spans="1:5" hidden="1" x14ac:dyDescent="0.25">
      <c r="A459" t="s">
        <v>698</v>
      </c>
      <c r="C459" s="1301" cm="1">
        <f t="array" ref="C459">SUMPRODUCT((CHALLAN!$B$1:$B$16504=A459)*IF(B459="",--(CHALLAN!$C$1:$C$16504=""),--(CHALLAN!$C$1:$C$16504=B459))*IFERROR(CHALLAN!$D$1:$D$16504*CHALLAN!$E$1:$E$16504,0))</f>
        <v>60</v>
      </c>
      <c r="D459" cm="1">
        <f t="array" ref="D459">SUMPRODUCT(('Pivot Data'!$D$2:$D$1912=$A459)*IF($B459="",--('Pivot Data'!$E$2:$E$1912=""),--('Pivot Data'!$E$2:$E$1912=$B459))*('Pivot Data'!$I$2:$I$1912="Cancelled")*'Pivot Data'!$H$2:$H$1912)</f>
        <v>0</v>
      </c>
      <c r="E459" s="1301">
        <f t="shared" si="7"/>
        <v>60</v>
      </c>
    </row>
    <row r="460" spans="1:5" hidden="1" x14ac:dyDescent="0.25">
      <c r="A460" t="s">
        <v>293</v>
      </c>
      <c r="B460" t="s">
        <v>450</v>
      </c>
      <c r="C460" s="1301" cm="1">
        <f t="array" ref="C460">SUMPRODUCT((CHALLAN!$B$1:$B$16504=A460)*IF(B460="",--(CHALLAN!$C$1:$C$16504=""),--(CHALLAN!$C$1:$C$16504=B460))*IFERROR(CHALLAN!$D$1:$D$16504*CHALLAN!$E$1:$E$16504,0))</f>
        <v>870</v>
      </c>
      <c r="D460" cm="1">
        <f t="array" ref="D460">SUMPRODUCT(('Pivot Data'!$D$2:$D$1912=$A460)*IF($B460="",--('Pivot Data'!$E$2:$E$1912=""),--('Pivot Data'!$E$2:$E$1912=$B460))*('Pivot Data'!$I$2:$I$1912="Cancelled")*'Pivot Data'!$H$2:$H$1912)</f>
        <v>0</v>
      </c>
      <c r="E460" s="1301">
        <f t="shared" si="7"/>
        <v>870</v>
      </c>
    </row>
    <row r="461" spans="1:5" hidden="1" x14ac:dyDescent="0.25">
      <c r="A461" t="s">
        <v>2186</v>
      </c>
      <c r="B461" t="s">
        <v>12</v>
      </c>
      <c r="C461" s="1301" cm="1">
        <f t="array" ref="C461">SUMPRODUCT((CHALLAN!$B$1:$B$16504=A461)*IF(B461="",--(CHALLAN!$C$1:$C$16504=""),--(CHALLAN!$C$1:$C$16504=B461))*IFERROR(CHALLAN!$D$1:$D$16504*CHALLAN!$E$1:$E$16504,0))</f>
        <v>528</v>
      </c>
      <c r="D461" cm="1">
        <f t="array" ref="D461">SUMPRODUCT(('Pivot Data'!$D$2:$D$1912=$A461)*IF($B461="",--('Pivot Data'!$E$2:$E$1912=""),--('Pivot Data'!$E$2:$E$1912=$B461))*('Pivot Data'!$I$2:$I$1912="Cancelled")*'Pivot Data'!$H$2:$H$1912)</f>
        <v>0</v>
      </c>
      <c r="E461" s="1301">
        <f t="shared" si="7"/>
        <v>528</v>
      </c>
    </row>
    <row r="462" spans="1:5" hidden="1" x14ac:dyDescent="0.25">
      <c r="A462" t="s">
        <v>2157</v>
      </c>
      <c r="B462" t="s">
        <v>12</v>
      </c>
      <c r="C462" s="1301" cm="1">
        <f t="array" ref="C462">SUMPRODUCT((CHALLAN!$B$1:$B$16504=A462)*IF(B462="",--(CHALLAN!$C$1:$C$16504=""),--(CHALLAN!$C$1:$C$16504=B462))*IFERROR(CHALLAN!$D$1:$D$16504*CHALLAN!$E$1:$E$16504,0))</f>
        <v>1056</v>
      </c>
      <c r="D462" cm="1">
        <f t="array" ref="D462">SUMPRODUCT(('Pivot Data'!$D$2:$D$1912=$A462)*IF($B462="",--('Pivot Data'!$E$2:$E$1912=""),--('Pivot Data'!$E$2:$E$1912=$B462))*('Pivot Data'!$I$2:$I$1912="Cancelled")*'Pivot Data'!$H$2:$H$1912)</f>
        <v>0</v>
      </c>
      <c r="E462" s="1301">
        <f t="shared" si="7"/>
        <v>1056</v>
      </c>
    </row>
    <row r="463" spans="1:5" hidden="1" x14ac:dyDescent="0.25">
      <c r="A463" t="s">
        <v>1524</v>
      </c>
      <c r="B463" t="s">
        <v>1525</v>
      </c>
      <c r="C463" s="1301" cm="1">
        <f t="array" ref="C463">SUMPRODUCT((CHALLAN!$B$1:$B$16504=A463)*IF(B463="",--(CHALLAN!$C$1:$C$16504=""),--(CHALLAN!$C$1:$C$16504=B463))*IFERROR(CHALLAN!$D$1:$D$16504*CHALLAN!$E$1:$E$16504,0))</f>
        <v>0</v>
      </c>
      <c r="D463" cm="1">
        <f t="array" ref="D463">SUMPRODUCT(('Pivot Data'!$D$2:$D$1912=$A463)*IF($B463="",--('Pivot Data'!$E$2:$E$1912=""),--('Pivot Data'!$E$2:$E$1912=$B463))*('Pivot Data'!$I$2:$I$1912="Cancelled")*'Pivot Data'!$H$2:$H$1912)</f>
        <v>0</v>
      </c>
      <c r="E463" s="1301">
        <f t="shared" si="7"/>
        <v>0</v>
      </c>
    </row>
    <row r="464" spans="1:5" hidden="1" x14ac:dyDescent="0.25">
      <c r="A464" t="s">
        <v>2220</v>
      </c>
      <c r="B464" t="s">
        <v>450</v>
      </c>
      <c r="C464" s="1301" cm="1">
        <f t="array" ref="C464">SUMPRODUCT((CHALLAN!$B$1:$B$16504=A464)*IF(B464="",--(CHALLAN!$C$1:$C$16504=""),--(CHALLAN!$C$1:$C$16504=B464))*IFERROR(CHALLAN!$D$1:$D$16504*CHALLAN!$E$1:$E$16504,0))</f>
        <v>435</v>
      </c>
      <c r="D464" cm="1">
        <f t="array" ref="D464">SUMPRODUCT(('Pivot Data'!$D$2:$D$1912=$A464)*IF($B464="",--('Pivot Data'!$E$2:$E$1912=""),--('Pivot Data'!$E$2:$E$1912=$B464))*('Pivot Data'!$I$2:$I$1912="Cancelled")*'Pivot Data'!$H$2:$H$1912)</f>
        <v>0</v>
      </c>
      <c r="E464" s="1301">
        <f t="shared" si="7"/>
        <v>435</v>
      </c>
    </row>
    <row r="465" spans="1:5" hidden="1" x14ac:dyDescent="0.25">
      <c r="A465" t="s">
        <v>1453</v>
      </c>
      <c r="C465" s="1301" cm="1">
        <f t="array" ref="C465">SUMPRODUCT((CHALLAN!$B$1:$B$16504=A465)*IF(B465="",--(CHALLAN!$C$1:$C$16504=""),--(CHALLAN!$C$1:$C$16504=B465))*IFERROR(CHALLAN!$D$1:$D$16504*CHALLAN!$E$1:$E$16504,0))</f>
        <v>48</v>
      </c>
      <c r="D465" cm="1">
        <f t="array" ref="D465">SUMPRODUCT(('Pivot Data'!$D$2:$D$1912=$A465)*IF($B465="",--('Pivot Data'!$E$2:$E$1912=""),--('Pivot Data'!$E$2:$E$1912=$B465))*('Pivot Data'!$I$2:$I$1912="Cancelled")*'Pivot Data'!$H$2:$H$1912)</f>
        <v>0</v>
      </c>
      <c r="E465" s="1301">
        <f t="shared" si="7"/>
        <v>48</v>
      </c>
    </row>
    <row r="466" spans="1:5" hidden="1" x14ac:dyDescent="0.25">
      <c r="A466" t="s">
        <v>1453</v>
      </c>
      <c r="B466" t="s">
        <v>12</v>
      </c>
      <c r="C466" s="1301" cm="1">
        <f t="array" ref="C466">SUMPRODUCT((CHALLAN!$B$1:$B$16504=A466)*IF(B466="",--(CHALLAN!$C$1:$C$16504=""),--(CHALLAN!$C$1:$C$16504=B466))*IFERROR(CHALLAN!$D$1:$D$16504*CHALLAN!$E$1:$E$16504,0))</f>
        <v>1320</v>
      </c>
      <c r="D466" cm="1">
        <f t="array" ref="D466">SUMPRODUCT(('Pivot Data'!$D$2:$D$1912=$A466)*IF($B466="",--('Pivot Data'!$E$2:$E$1912=""),--('Pivot Data'!$E$2:$E$1912=$B466))*('Pivot Data'!$I$2:$I$1912="Cancelled")*'Pivot Data'!$H$2:$H$1912)</f>
        <v>48</v>
      </c>
      <c r="E466" s="1301">
        <f t="shared" si="7"/>
        <v>1272</v>
      </c>
    </row>
    <row r="467" spans="1:5" hidden="1" x14ac:dyDescent="0.25">
      <c r="A467" t="s">
        <v>1454</v>
      </c>
      <c r="C467" s="1301" cm="1">
        <f t="array" ref="C467">SUMPRODUCT((CHALLAN!$B$1:$B$16504=A467)*IF(B467="",--(CHALLAN!$C$1:$C$16504=""),--(CHALLAN!$C$1:$C$16504=B467))*IFERROR(CHALLAN!$D$1:$D$16504*CHALLAN!$E$1:$E$16504,0))</f>
        <v>576</v>
      </c>
      <c r="D467" cm="1">
        <f t="array" ref="D467">SUMPRODUCT(('Pivot Data'!$D$2:$D$1912=$A467)*IF($B467="",--('Pivot Data'!$E$2:$E$1912=""),--('Pivot Data'!$E$2:$E$1912=$B467))*('Pivot Data'!$I$2:$I$1912="Cancelled")*'Pivot Data'!$H$2:$H$1912)</f>
        <v>0</v>
      </c>
      <c r="E467" s="1301">
        <f t="shared" si="7"/>
        <v>576</v>
      </c>
    </row>
    <row r="468" spans="1:5" hidden="1" x14ac:dyDescent="0.25">
      <c r="A468" t="s">
        <v>1454</v>
      </c>
      <c r="B468" t="s">
        <v>12</v>
      </c>
      <c r="C468" s="1301" cm="1">
        <f t="array" ref="C468">SUMPRODUCT((CHALLAN!$B$1:$B$16504=A468)*IF(B468="",--(CHALLAN!$C$1:$C$16504=""),--(CHALLAN!$C$1:$C$16504=B468))*IFERROR(CHALLAN!$D$1:$D$16504*CHALLAN!$E$1:$E$16504,0))</f>
        <v>6360</v>
      </c>
      <c r="D468" cm="1">
        <f t="array" ref="D468">SUMPRODUCT(('Pivot Data'!$D$2:$D$1912=$A468)*IF($B468="",--('Pivot Data'!$E$2:$E$1912=""),--('Pivot Data'!$E$2:$E$1912=$B468))*('Pivot Data'!$I$2:$I$1912="Cancelled")*'Pivot Data'!$H$2:$H$1912)</f>
        <v>72</v>
      </c>
      <c r="E468" s="1301">
        <f t="shared" si="7"/>
        <v>6288</v>
      </c>
    </row>
    <row r="469" spans="1:5" x14ac:dyDescent="0.25">
      <c r="A469" t="s">
        <v>1692</v>
      </c>
      <c r="B469" t="s">
        <v>1693</v>
      </c>
      <c r="C469" s="1301" cm="1">
        <f t="array" ref="C469">SUMPRODUCT((CHALLAN!$B$1:$B$16504=A469)*IF(B469="",--(CHALLAN!$C$1:$C$16504=""),--(CHALLAN!$C$1:$C$16504=B469))*IFERROR(CHALLAN!$D$1:$D$16504*CHALLAN!$E$1:$E$16504,0))</f>
        <v>20</v>
      </c>
      <c r="D469" cm="1">
        <f t="array" ref="D469">SUMPRODUCT(('Pivot Data'!$D$2:$D$1912=$A469)*IF($B469="",--('Pivot Data'!$E$2:$E$1912=""),--('Pivot Data'!$E$2:$E$1912=$B469))*('Pivot Data'!$I$2:$I$1912="Cancelled")*'Pivot Data'!$H$2:$H$1912)</f>
        <v>0</v>
      </c>
      <c r="E469" s="1301">
        <f t="shared" si="7"/>
        <v>20</v>
      </c>
    </row>
    <row r="470" spans="1:5" x14ac:dyDescent="0.25">
      <c r="A470" t="s">
        <v>1692</v>
      </c>
      <c r="B470" t="s">
        <v>1706</v>
      </c>
      <c r="C470" s="1301" cm="1">
        <f t="array" ref="C470">SUMPRODUCT((CHALLAN!$B$1:$B$16504=A470)*IF(B470="",--(CHALLAN!$C$1:$C$16504=""),--(CHALLAN!$C$1:$C$16504=B470))*IFERROR(CHALLAN!$D$1:$D$16504*CHALLAN!$E$1:$E$16504,0))</f>
        <v>16</v>
      </c>
      <c r="D470" cm="1">
        <f t="array" ref="D470">SUMPRODUCT(('Pivot Data'!$D$2:$D$1912=$A470)*IF($B470="",--('Pivot Data'!$E$2:$E$1912=""),--('Pivot Data'!$E$2:$E$1912=$B470))*('Pivot Data'!$I$2:$I$1912="Cancelled")*'Pivot Data'!$H$2:$H$1912)</f>
        <v>0</v>
      </c>
      <c r="E470" s="1301">
        <f t="shared" si="7"/>
        <v>16</v>
      </c>
    </row>
    <row r="471" spans="1:5" x14ac:dyDescent="0.25">
      <c r="A471" t="s">
        <v>1692</v>
      </c>
      <c r="B471" t="s">
        <v>1702</v>
      </c>
      <c r="C471" s="1301" cm="1">
        <f t="array" ref="C471">SUMPRODUCT((CHALLAN!$B$1:$B$16504=A471)*IF(B471="",--(CHALLAN!$C$1:$C$16504=""),--(CHALLAN!$C$1:$C$16504=B471))*IFERROR(CHALLAN!$D$1:$D$16504*CHALLAN!$E$1:$E$16504,0))</f>
        <v>30</v>
      </c>
      <c r="D471" cm="1">
        <f t="array" ref="D471">SUMPRODUCT(('Pivot Data'!$D$2:$D$1912=$A471)*IF($B471="",--('Pivot Data'!$E$2:$E$1912=""),--('Pivot Data'!$E$2:$E$1912=$B471))*('Pivot Data'!$I$2:$I$1912="Cancelled")*'Pivot Data'!$H$2:$H$1912)</f>
        <v>0</v>
      </c>
      <c r="E471" s="1301">
        <f t="shared" si="7"/>
        <v>30</v>
      </c>
    </row>
    <row r="472" spans="1:5" hidden="1" x14ac:dyDescent="0.25">
      <c r="A472" t="s">
        <v>1980</v>
      </c>
      <c r="C472" s="1301" cm="1">
        <f t="array" ref="C472">SUMPRODUCT((CHALLAN!$B$1:$B$16504=A472)*IF(B472="",--(CHALLAN!$C$1:$C$16504=""),--(CHALLAN!$C$1:$C$16504=B472))*IFERROR(CHALLAN!$D$1:$D$16504*CHALLAN!$E$1:$E$16504,0))</f>
        <v>20</v>
      </c>
      <c r="D472" cm="1">
        <f t="array" ref="D472">SUMPRODUCT(('Pivot Data'!$D$2:$D$1912=$A472)*IF($B472="",--('Pivot Data'!$E$2:$E$1912=""),--('Pivot Data'!$E$2:$E$1912=$B472))*('Pivot Data'!$I$2:$I$1912="Cancelled")*'Pivot Data'!$H$2:$H$1912)</f>
        <v>0</v>
      </c>
      <c r="E472" s="1301">
        <f t="shared" si="7"/>
        <v>20</v>
      </c>
    </row>
    <row r="473" spans="1:5" hidden="1" x14ac:dyDescent="0.25">
      <c r="A473" t="s">
        <v>1512</v>
      </c>
      <c r="C473" s="1301" cm="1">
        <f t="array" ref="C473">SUMPRODUCT((CHALLAN!$B$1:$B$16504=A473)*IF(B473="",--(CHALLAN!$C$1:$C$16504=""),--(CHALLAN!$C$1:$C$16504=B473))*IFERROR(CHALLAN!$D$1:$D$16504*CHALLAN!$E$1:$E$16504,0))</f>
        <v>1200</v>
      </c>
      <c r="D473" cm="1">
        <f t="array" ref="D473">SUMPRODUCT(('Pivot Data'!$D$2:$D$1912=$A473)*IF($B473="",--('Pivot Data'!$E$2:$E$1912=""),--('Pivot Data'!$E$2:$E$1912=$B473))*('Pivot Data'!$I$2:$I$1912="Cancelled")*'Pivot Data'!$H$2:$H$1912)</f>
        <v>0</v>
      </c>
      <c r="E473" s="1301">
        <f t="shared" si="7"/>
        <v>1200</v>
      </c>
    </row>
    <row r="474" spans="1:5" hidden="1" x14ac:dyDescent="0.25">
      <c r="A474" t="s">
        <v>1526</v>
      </c>
      <c r="C474" s="1301" cm="1">
        <f t="array" ref="C474">SUMPRODUCT((CHALLAN!$B$1:$B$16504=A474)*IF(B474="",--(CHALLAN!$C$1:$C$16504=""),--(CHALLAN!$C$1:$C$16504=B474))*IFERROR(CHALLAN!$D$1:$D$16504*CHALLAN!$E$1:$E$16504,0))</f>
        <v>200</v>
      </c>
      <c r="D474" cm="1">
        <f t="array" ref="D474">SUMPRODUCT(('Pivot Data'!$D$2:$D$1912=$A474)*IF($B474="",--('Pivot Data'!$E$2:$E$1912=""),--('Pivot Data'!$E$2:$E$1912=$B474))*('Pivot Data'!$I$2:$I$1912="Cancelled")*'Pivot Data'!$H$2:$H$1912)</f>
        <v>100</v>
      </c>
      <c r="E474" s="1301">
        <f t="shared" si="7"/>
        <v>100</v>
      </c>
    </row>
    <row r="475" spans="1:5" hidden="1" x14ac:dyDescent="0.25">
      <c r="A475" t="s">
        <v>1526</v>
      </c>
      <c r="B475" t="s">
        <v>1527</v>
      </c>
      <c r="C475" s="1301" cm="1">
        <f t="array" ref="C475">SUMPRODUCT((CHALLAN!$B$1:$B$16504=A475)*IF(B475="",--(CHALLAN!$C$1:$C$16504=""),--(CHALLAN!$C$1:$C$16504=B475))*IFERROR(CHALLAN!$D$1:$D$16504*CHALLAN!$E$1:$E$16504,0))</f>
        <v>0</v>
      </c>
      <c r="D475" cm="1">
        <f t="array" ref="D475">SUMPRODUCT(('Pivot Data'!$D$2:$D$1912=$A475)*IF($B475="",--('Pivot Data'!$E$2:$E$1912=""),--('Pivot Data'!$E$2:$E$1912=$B475))*('Pivot Data'!$I$2:$I$1912="Cancelled")*'Pivot Data'!$H$2:$H$1912)</f>
        <v>0</v>
      </c>
      <c r="E475" s="1301">
        <f t="shared" si="7"/>
        <v>0</v>
      </c>
    </row>
    <row r="476" spans="1:5" hidden="1" x14ac:dyDescent="0.25">
      <c r="A476" t="s">
        <v>78</v>
      </c>
      <c r="B476" t="s">
        <v>5</v>
      </c>
      <c r="C476" s="1301" cm="1">
        <f t="array" ref="C476">SUMPRODUCT((CHALLAN!$B$1:$B$16504=A476)*IF(B476="",--(CHALLAN!$C$1:$C$16504=""),--(CHALLAN!$C$1:$C$16504=B476))*IFERROR(CHALLAN!$D$1:$D$16504*CHALLAN!$E$1:$E$16504,0))</f>
        <v>120</v>
      </c>
      <c r="D476" cm="1">
        <f t="array" ref="D476">SUMPRODUCT(('Pivot Data'!$D$2:$D$1912=$A476)*IF($B476="",--('Pivot Data'!$E$2:$E$1912=""),--('Pivot Data'!$E$2:$E$1912=$B476))*('Pivot Data'!$I$2:$I$1912="Cancelled")*'Pivot Data'!$H$2:$H$1912)</f>
        <v>0</v>
      </c>
      <c r="E476" s="1301">
        <f t="shared" si="7"/>
        <v>120</v>
      </c>
    </row>
    <row r="477" spans="1:5" hidden="1" x14ac:dyDescent="0.25">
      <c r="A477" t="s">
        <v>2210</v>
      </c>
      <c r="B477" t="s">
        <v>459</v>
      </c>
      <c r="C477" s="1301" cm="1">
        <f t="array" ref="C477">SUMPRODUCT((CHALLAN!$B$1:$B$16504=A477)*IF(B477="",--(CHALLAN!$C$1:$C$16504=""),--(CHALLAN!$C$1:$C$16504=B477))*IFERROR(CHALLAN!$D$1:$D$16504*CHALLAN!$E$1:$E$16504,0))</f>
        <v>5</v>
      </c>
      <c r="D477" cm="1">
        <f t="array" ref="D477">SUMPRODUCT(('Pivot Data'!$D$2:$D$1912=$A477)*IF($B477="",--('Pivot Data'!$E$2:$E$1912=""),--('Pivot Data'!$E$2:$E$1912=$B477))*('Pivot Data'!$I$2:$I$1912="Cancelled")*'Pivot Data'!$H$2:$H$1912)</f>
        <v>0</v>
      </c>
      <c r="E477" s="1301">
        <f t="shared" si="7"/>
        <v>5</v>
      </c>
    </row>
    <row r="478" spans="1:5" hidden="1" x14ac:dyDescent="0.25">
      <c r="A478" t="s">
        <v>1549</v>
      </c>
      <c r="C478" s="1301" cm="1">
        <f t="array" ref="C478">SUMPRODUCT((CHALLAN!$B$1:$B$16504=A478)*IF(B478="",--(CHALLAN!$C$1:$C$16504=""),--(CHALLAN!$C$1:$C$16504=B478))*IFERROR(CHALLAN!$D$1:$D$16504*CHALLAN!$E$1:$E$16504,0))</f>
        <v>6</v>
      </c>
      <c r="D478" cm="1">
        <f t="array" ref="D478">SUMPRODUCT(('Pivot Data'!$D$2:$D$1912=$A478)*IF($B478="",--('Pivot Data'!$E$2:$E$1912=""),--('Pivot Data'!$E$2:$E$1912=$B478))*('Pivot Data'!$I$2:$I$1912="Cancelled")*'Pivot Data'!$H$2:$H$1912)</f>
        <v>0</v>
      </c>
      <c r="E478" s="1301">
        <f t="shared" si="7"/>
        <v>6</v>
      </c>
    </row>
    <row r="479" spans="1:5" hidden="1" x14ac:dyDescent="0.25">
      <c r="A479" t="s">
        <v>1549</v>
      </c>
      <c r="B479" t="s">
        <v>383</v>
      </c>
      <c r="C479" s="1301" cm="1">
        <f t="array" ref="C479">SUMPRODUCT((CHALLAN!$B$1:$B$16504=A479)*IF(B479="",--(CHALLAN!$C$1:$C$16504=""),--(CHALLAN!$C$1:$C$16504=B479))*IFERROR(CHALLAN!$D$1:$D$16504*CHALLAN!$E$1:$E$16504,0))</f>
        <v>40</v>
      </c>
      <c r="D479" cm="1">
        <f t="array" ref="D479">SUMPRODUCT(('Pivot Data'!$D$2:$D$1912=$A479)*IF($B479="",--('Pivot Data'!$E$2:$E$1912=""),--('Pivot Data'!$E$2:$E$1912=$B479))*('Pivot Data'!$I$2:$I$1912="Cancelled")*'Pivot Data'!$H$2:$H$1912)</f>
        <v>0</v>
      </c>
      <c r="E479" s="1301">
        <f t="shared" si="7"/>
        <v>40</v>
      </c>
    </row>
    <row r="480" spans="1:5" hidden="1" x14ac:dyDescent="0.25">
      <c r="A480" t="s">
        <v>210</v>
      </c>
      <c r="B480" t="s">
        <v>382</v>
      </c>
      <c r="C480" s="1301" cm="1">
        <f t="array" ref="C480">SUMPRODUCT((CHALLAN!$B$1:$B$16504=A480)*IF(B480="",--(CHALLAN!$C$1:$C$16504=""),--(CHALLAN!$C$1:$C$16504=B480))*IFERROR(CHALLAN!$D$1:$D$16504*CHALLAN!$E$1:$E$16504,0))</f>
        <v>25</v>
      </c>
      <c r="D480" cm="1">
        <f t="array" ref="D480">SUMPRODUCT(('Pivot Data'!$D$2:$D$1912=$A480)*IF($B480="",--('Pivot Data'!$E$2:$E$1912=""),--('Pivot Data'!$E$2:$E$1912=$B480))*('Pivot Data'!$I$2:$I$1912="Cancelled")*'Pivot Data'!$H$2:$H$1912)</f>
        <v>0</v>
      </c>
      <c r="E480" s="1301">
        <f t="shared" si="7"/>
        <v>25</v>
      </c>
    </row>
    <row r="481" spans="1:5" hidden="1" x14ac:dyDescent="0.25">
      <c r="A481" t="s">
        <v>789</v>
      </c>
      <c r="B481" t="s">
        <v>2235</v>
      </c>
      <c r="C481" s="1301" cm="1">
        <f t="array" ref="C481">SUMPRODUCT((CHALLAN!$B$1:$B$16504=A481)*IF(B481="",--(CHALLAN!$C$1:$C$16504=""),--(CHALLAN!$C$1:$C$16504=B481))*IFERROR(CHALLAN!$D$1:$D$16504*CHALLAN!$E$1:$E$16504,0))</f>
        <v>0</v>
      </c>
      <c r="D481" cm="1">
        <f t="array" ref="D481">SUMPRODUCT(('Pivot Data'!$D$2:$D$1912=$A481)*IF($B481="",--('Pivot Data'!$E$2:$E$1912=""),--('Pivot Data'!$E$2:$E$1912=$B481))*('Pivot Data'!$I$2:$I$1912="Cancelled")*'Pivot Data'!$H$2:$H$1912)</f>
        <v>0</v>
      </c>
      <c r="E481" s="1301">
        <f t="shared" si="7"/>
        <v>0</v>
      </c>
    </row>
    <row r="482" spans="1:5" hidden="1" x14ac:dyDescent="0.25">
      <c r="A482" t="s">
        <v>297</v>
      </c>
      <c r="C482" s="1301" cm="1">
        <f t="array" ref="C482">SUMPRODUCT((CHALLAN!$B$1:$B$16504=A482)*IF(B482="",--(CHALLAN!$C$1:$C$16504=""),--(CHALLAN!$C$1:$C$16504=B482))*IFERROR(CHALLAN!$D$1:$D$16504*CHALLAN!$E$1:$E$16504,0))</f>
        <v>5</v>
      </c>
      <c r="D482" cm="1">
        <f t="array" ref="D482">SUMPRODUCT(('Pivot Data'!$D$2:$D$1912=$A482)*IF($B482="",--('Pivot Data'!$E$2:$E$1912=""),--('Pivot Data'!$E$2:$E$1912=$B482))*('Pivot Data'!$I$2:$I$1912="Cancelled")*'Pivot Data'!$H$2:$H$1912)</f>
        <v>0</v>
      </c>
      <c r="E482" s="1301">
        <f t="shared" si="7"/>
        <v>5</v>
      </c>
    </row>
    <row r="483" spans="1:5" hidden="1" x14ac:dyDescent="0.25">
      <c r="A483" t="s">
        <v>297</v>
      </c>
      <c r="B483" t="s">
        <v>459</v>
      </c>
      <c r="C483" s="1301" cm="1">
        <f t="array" ref="C483">SUMPRODUCT((CHALLAN!$B$1:$B$16504=A483)*IF(B483="",--(CHALLAN!$C$1:$C$16504=""),--(CHALLAN!$C$1:$C$16504=B483))*IFERROR(CHALLAN!$D$1:$D$16504*CHALLAN!$E$1:$E$16504,0))</f>
        <v>0</v>
      </c>
      <c r="D483" cm="1">
        <f t="array" ref="D483">SUMPRODUCT(('Pivot Data'!$D$2:$D$1912=$A483)*IF($B483="",--('Pivot Data'!$E$2:$E$1912=""),--('Pivot Data'!$E$2:$E$1912=$B483))*('Pivot Data'!$I$2:$I$1912="Cancelled")*'Pivot Data'!$H$2:$H$1912)</f>
        <v>0</v>
      </c>
      <c r="E483" s="1301">
        <f t="shared" si="7"/>
        <v>0</v>
      </c>
    </row>
    <row r="484" spans="1:5" hidden="1" x14ac:dyDescent="0.25">
      <c r="A484" t="s">
        <v>297</v>
      </c>
      <c r="B484" t="s">
        <v>265</v>
      </c>
      <c r="C484" s="1301" cm="1">
        <f t="array" ref="C484">SUMPRODUCT((CHALLAN!$B$1:$B$16504=A484)*IF(B484="",--(CHALLAN!$C$1:$C$16504=""),--(CHALLAN!$C$1:$C$16504=B484))*IFERROR(CHALLAN!$D$1:$D$16504*CHALLAN!$E$1:$E$16504,0))</f>
        <v>5</v>
      </c>
      <c r="D484" cm="1">
        <f t="array" ref="D484">SUMPRODUCT(('Pivot Data'!$D$2:$D$1912=$A484)*IF($B484="",--('Pivot Data'!$E$2:$E$1912=""),--('Pivot Data'!$E$2:$E$1912=$B484))*('Pivot Data'!$I$2:$I$1912="Cancelled")*'Pivot Data'!$H$2:$H$1912)</f>
        <v>0</v>
      </c>
      <c r="E484" s="1301">
        <f t="shared" si="7"/>
        <v>5</v>
      </c>
    </row>
    <row r="485" spans="1:5" hidden="1" x14ac:dyDescent="0.25">
      <c r="A485" t="s">
        <v>1000</v>
      </c>
      <c r="B485" t="s">
        <v>405</v>
      </c>
      <c r="C485" s="1301" cm="1">
        <f t="array" ref="C485">SUMPRODUCT((CHALLAN!$B$1:$B$16504=A485)*IF(B485="",--(CHALLAN!$C$1:$C$16504=""),--(CHALLAN!$C$1:$C$16504=B485))*IFERROR(CHALLAN!$D$1:$D$16504*CHALLAN!$E$1:$E$16504,0))</f>
        <v>0</v>
      </c>
      <c r="D485" cm="1">
        <f t="array" ref="D485">SUMPRODUCT(('Pivot Data'!$D$2:$D$1912=$A485)*IF($B485="",--('Pivot Data'!$E$2:$E$1912=""),--('Pivot Data'!$E$2:$E$1912=$B485))*('Pivot Data'!$I$2:$I$1912="Cancelled")*'Pivot Data'!$H$2:$H$1912)</f>
        <v>0</v>
      </c>
      <c r="E485" s="1301">
        <f t="shared" si="7"/>
        <v>0</v>
      </c>
    </row>
    <row r="486" spans="1:5" hidden="1" x14ac:dyDescent="0.25">
      <c r="A486" t="s">
        <v>135</v>
      </c>
      <c r="C486" s="1301" cm="1">
        <f t="array" ref="C486">SUMPRODUCT((CHALLAN!$B$1:$B$16504=A486)*IF(B486="",--(CHALLAN!$C$1:$C$16504=""),--(CHALLAN!$C$1:$C$16504=B486))*IFERROR(CHALLAN!$D$1:$D$16504*CHALLAN!$E$1:$E$16504,0))</f>
        <v>5</v>
      </c>
      <c r="D486" cm="1">
        <f t="array" ref="D486">SUMPRODUCT(('Pivot Data'!$D$2:$D$1912=$A486)*IF($B486="",--('Pivot Data'!$E$2:$E$1912=""),--('Pivot Data'!$E$2:$E$1912=$B486))*('Pivot Data'!$I$2:$I$1912="Cancelled")*'Pivot Data'!$H$2:$H$1912)</f>
        <v>0</v>
      </c>
      <c r="E486" s="1301">
        <f t="shared" si="7"/>
        <v>5</v>
      </c>
    </row>
    <row r="487" spans="1:5" hidden="1" x14ac:dyDescent="0.25">
      <c r="A487" t="s">
        <v>135</v>
      </c>
      <c r="B487" t="s">
        <v>383</v>
      </c>
      <c r="C487" s="1301" cm="1">
        <f t="array" ref="C487">SUMPRODUCT((CHALLAN!$B$1:$B$16504=A487)*IF(B487="",--(CHALLAN!$C$1:$C$16504=""),--(CHALLAN!$C$1:$C$16504=B487))*IFERROR(CHALLAN!$D$1:$D$16504*CHALLAN!$E$1:$E$16504,0))</f>
        <v>12</v>
      </c>
      <c r="D487" cm="1">
        <f t="array" ref="D487">SUMPRODUCT(('Pivot Data'!$D$2:$D$1912=$A487)*IF($B487="",--('Pivot Data'!$E$2:$E$1912=""),--('Pivot Data'!$E$2:$E$1912=$B487))*('Pivot Data'!$I$2:$I$1912="Cancelled")*'Pivot Data'!$H$2:$H$1912)</f>
        <v>0</v>
      </c>
      <c r="E487" s="1301">
        <f t="shared" si="7"/>
        <v>12</v>
      </c>
    </row>
    <row r="488" spans="1:5" hidden="1" x14ac:dyDescent="0.25">
      <c r="A488" t="s">
        <v>135</v>
      </c>
      <c r="B488" t="s">
        <v>333</v>
      </c>
      <c r="C488" s="1301" cm="1">
        <f t="array" ref="C488">SUMPRODUCT((CHALLAN!$B$1:$B$16504=A488)*IF(B488="",--(CHALLAN!$C$1:$C$16504=""),--(CHALLAN!$C$1:$C$16504=B488))*IFERROR(CHALLAN!$D$1:$D$16504*CHALLAN!$E$1:$E$16504,0))</f>
        <v>5</v>
      </c>
      <c r="D488" cm="1">
        <f t="array" ref="D488">SUMPRODUCT(('Pivot Data'!$D$2:$D$1912=$A488)*IF($B488="",--('Pivot Data'!$E$2:$E$1912=""),--('Pivot Data'!$E$2:$E$1912=$B488))*('Pivot Data'!$I$2:$I$1912="Cancelled")*'Pivot Data'!$H$2:$H$1912)</f>
        <v>0</v>
      </c>
      <c r="E488" s="1301">
        <f t="shared" si="7"/>
        <v>5</v>
      </c>
    </row>
    <row r="489" spans="1:5" hidden="1" x14ac:dyDescent="0.25">
      <c r="A489" t="s">
        <v>2221</v>
      </c>
      <c r="B489" t="s">
        <v>409</v>
      </c>
      <c r="C489" s="1301" cm="1">
        <f t="array" ref="C489">SUMPRODUCT((CHALLAN!$B$1:$B$16504=A489)*IF(B489="",--(CHALLAN!$C$1:$C$16504=""),--(CHALLAN!$C$1:$C$16504=B489))*IFERROR(CHALLAN!$D$1:$D$16504*CHALLAN!$E$1:$E$16504,0))</f>
        <v>0</v>
      </c>
      <c r="D489" cm="1">
        <f t="array" ref="D489">SUMPRODUCT(('Pivot Data'!$D$2:$D$1912=$A489)*IF($B489="",--('Pivot Data'!$E$2:$E$1912=""),--('Pivot Data'!$E$2:$E$1912=$B489))*('Pivot Data'!$I$2:$I$1912="Cancelled")*'Pivot Data'!$H$2:$H$1912)</f>
        <v>0</v>
      </c>
      <c r="E489" s="1301">
        <f t="shared" si="7"/>
        <v>0</v>
      </c>
    </row>
    <row r="490" spans="1:5" hidden="1" x14ac:dyDescent="0.25">
      <c r="A490" t="s">
        <v>2208</v>
      </c>
      <c r="B490" t="s">
        <v>409</v>
      </c>
      <c r="C490" s="1301" cm="1">
        <f t="array" ref="C490">SUMPRODUCT((CHALLAN!$B$1:$B$16504=A490)*IF(B490="",--(CHALLAN!$C$1:$C$16504=""),--(CHALLAN!$C$1:$C$16504=B490))*IFERROR(CHALLAN!$D$1:$D$16504*CHALLAN!$E$1:$E$16504,0))</f>
        <v>0</v>
      </c>
      <c r="D490" cm="1">
        <f t="array" ref="D490">SUMPRODUCT(('Pivot Data'!$D$2:$D$1912=$A490)*IF($B490="",--('Pivot Data'!$E$2:$E$1912=""),--('Pivot Data'!$E$2:$E$1912=$B490))*('Pivot Data'!$I$2:$I$1912="Cancelled")*'Pivot Data'!$H$2:$H$1912)</f>
        <v>0</v>
      </c>
      <c r="E490" s="1301">
        <f t="shared" si="7"/>
        <v>0</v>
      </c>
    </row>
    <row r="491" spans="1:5" hidden="1" x14ac:dyDescent="0.25">
      <c r="A491" t="s">
        <v>213</v>
      </c>
      <c r="B491" t="s">
        <v>384</v>
      </c>
      <c r="C491" s="1301" cm="1">
        <f t="array" ref="C491">SUMPRODUCT((CHALLAN!$B$1:$B$16504=A491)*IF(B491="",--(CHALLAN!$C$1:$C$16504=""),--(CHALLAN!$C$1:$C$16504=B491))*IFERROR(CHALLAN!$D$1:$D$16504*CHALLAN!$E$1:$E$16504,0))</f>
        <v>69</v>
      </c>
      <c r="D491" cm="1">
        <f t="array" ref="D491">SUMPRODUCT(('Pivot Data'!$D$2:$D$1912=$A491)*IF($B491="",--('Pivot Data'!$E$2:$E$1912=""),--('Pivot Data'!$E$2:$E$1912=$B491))*('Pivot Data'!$I$2:$I$1912="Cancelled")*'Pivot Data'!$H$2:$H$1912)</f>
        <v>0</v>
      </c>
      <c r="E491" s="1301">
        <f t="shared" si="7"/>
        <v>69</v>
      </c>
    </row>
    <row r="492" spans="1:5" hidden="1" x14ac:dyDescent="0.25">
      <c r="A492" t="s">
        <v>138</v>
      </c>
      <c r="C492" s="1301" cm="1">
        <f t="array" ref="C492">SUMPRODUCT((CHALLAN!$B$1:$B$16504=A492)*IF(B492="",--(CHALLAN!$C$1:$C$16504=""),--(CHALLAN!$C$1:$C$16504=B492))*IFERROR(CHALLAN!$D$1:$D$16504*CHALLAN!$E$1:$E$16504,0))</f>
        <v>16</v>
      </c>
      <c r="D492" cm="1">
        <f t="array" ref="D492">SUMPRODUCT(('Pivot Data'!$D$2:$D$1912=$A492)*IF($B492="",--('Pivot Data'!$E$2:$E$1912=""),--('Pivot Data'!$E$2:$E$1912=$B492))*('Pivot Data'!$I$2:$I$1912="Cancelled")*'Pivot Data'!$H$2:$H$1912)</f>
        <v>0</v>
      </c>
      <c r="E492" s="1301">
        <f t="shared" si="7"/>
        <v>16</v>
      </c>
    </row>
    <row r="493" spans="1:5" hidden="1" x14ac:dyDescent="0.25">
      <c r="A493" t="s">
        <v>138</v>
      </c>
      <c r="B493" t="s">
        <v>431</v>
      </c>
      <c r="C493" s="1301" cm="1">
        <f t="array" ref="C493">SUMPRODUCT((CHALLAN!$B$1:$B$16504=A493)*IF(B493="",--(CHALLAN!$C$1:$C$16504=""),--(CHALLAN!$C$1:$C$16504=B493))*IFERROR(CHALLAN!$D$1:$D$16504*CHALLAN!$E$1:$E$16504,0))</f>
        <v>150</v>
      </c>
      <c r="D493" cm="1">
        <f t="array" ref="D493">SUMPRODUCT(('Pivot Data'!$D$2:$D$1912=$A493)*IF($B493="",--('Pivot Data'!$E$2:$E$1912=""),--('Pivot Data'!$E$2:$E$1912=$B493))*('Pivot Data'!$I$2:$I$1912="Cancelled")*'Pivot Data'!$H$2:$H$1912)</f>
        <v>0</v>
      </c>
      <c r="E493" s="1301">
        <f t="shared" si="7"/>
        <v>150</v>
      </c>
    </row>
    <row r="494" spans="1:5" hidden="1" x14ac:dyDescent="0.25">
      <c r="A494" t="s">
        <v>138</v>
      </c>
      <c r="B494" t="s">
        <v>335</v>
      </c>
      <c r="C494" s="1301" cm="1">
        <f t="array" ref="C494">SUMPRODUCT((CHALLAN!$B$1:$B$16504=A494)*IF(B494="",--(CHALLAN!$C$1:$C$16504=""),--(CHALLAN!$C$1:$C$16504=B494))*IFERROR(CHALLAN!$D$1:$D$16504*CHALLAN!$E$1:$E$16504,0))</f>
        <v>40</v>
      </c>
      <c r="D494" cm="1">
        <f t="array" ref="D494">SUMPRODUCT(('Pivot Data'!$D$2:$D$1912=$A494)*IF($B494="",--('Pivot Data'!$E$2:$E$1912=""),--('Pivot Data'!$E$2:$E$1912=$B494))*('Pivot Data'!$I$2:$I$1912="Cancelled")*'Pivot Data'!$H$2:$H$1912)</f>
        <v>0</v>
      </c>
      <c r="E494" s="1301">
        <f t="shared" si="7"/>
        <v>40</v>
      </c>
    </row>
    <row r="495" spans="1:5" hidden="1" x14ac:dyDescent="0.25">
      <c r="A495" t="s">
        <v>2249</v>
      </c>
      <c r="B495" t="s">
        <v>2405</v>
      </c>
      <c r="C495" s="1301" cm="1">
        <f t="array" ref="C495">SUMPRODUCT((CHALLAN!$B$1:$B$16504=A495)*IF(B495="",--(CHALLAN!$C$1:$C$16504=""),--(CHALLAN!$C$1:$C$16504=B495))*IFERROR(CHALLAN!$D$1:$D$16504*CHALLAN!$E$1:$E$16504,0))</f>
        <v>25</v>
      </c>
      <c r="D495" cm="1">
        <f t="array" ref="D495">SUMPRODUCT(('Pivot Data'!$D$2:$D$1912=$A495)*IF($B495="",--('Pivot Data'!$E$2:$E$1912=""),--('Pivot Data'!$E$2:$E$1912=$B495))*('Pivot Data'!$I$2:$I$1912="Cancelled")*'Pivot Data'!$H$2:$H$1912)</f>
        <v>0</v>
      </c>
      <c r="E495" s="1301">
        <f t="shared" si="7"/>
        <v>25</v>
      </c>
    </row>
    <row r="496" spans="1:5" hidden="1" x14ac:dyDescent="0.25">
      <c r="A496" t="s">
        <v>1514</v>
      </c>
      <c r="C496" s="1301" cm="1">
        <f t="array" ref="C496">SUMPRODUCT((CHALLAN!$B$1:$B$16504=A496)*IF(B496="",--(CHALLAN!$C$1:$C$16504=""),--(CHALLAN!$C$1:$C$16504=B496))*IFERROR(CHALLAN!$D$1:$D$16504*CHALLAN!$E$1:$E$16504,0))</f>
        <v>1500</v>
      </c>
      <c r="D496" cm="1">
        <f t="array" ref="D496">SUMPRODUCT(('Pivot Data'!$D$2:$D$1912=$A496)*IF($B496="",--('Pivot Data'!$E$2:$E$1912=""),--('Pivot Data'!$E$2:$E$1912=$B496))*('Pivot Data'!$I$2:$I$1912="Cancelled")*'Pivot Data'!$H$2:$H$1912)</f>
        <v>0</v>
      </c>
      <c r="E496" s="1301">
        <f t="shared" si="7"/>
        <v>1500</v>
      </c>
    </row>
    <row r="497" spans="1:5" hidden="1" x14ac:dyDescent="0.25">
      <c r="A497" t="s">
        <v>136</v>
      </c>
      <c r="C497" s="1301" cm="1">
        <f t="array" ref="C497">SUMPRODUCT((CHALLAN!$B$1:$B$16504=A497)*IF(B497="",--(CHALLAN!$C$1:$C$16504=""),--(CHALLAN!$C$1:$C$16504=B497))*IFERROR(CHALLAN!$D$1:$D$16504*CHALLAN!$E$1:$E$16504,0))</f>
        <v>5</v>
      </c>
      <c r="D497" cm="1">
        <f t="array" ref="D497">SUMPRODUCT(('Pivot Data'!$D$2:$D$1912=$A497)*IF($B497="",--('Pivot Data'!$E$2:$E$1912=""),--('Pivot Data'!$E$2:$E$1912=$B497))*('Pivot Data'!$I$2:$I$1912="Cancelled")*'Pivot Data'!$H$2:$H$1912)</f>
        <v>0</v>
      </c>
      <c r="E497" s="1301">
        <f t="shared" si="7"/>
        <v>5</v>
      </c>
    </row>
    <row r="498" spans="1:5" hidden="1" x14ac:dyDescent="0.25">
      <c r="A498" t="s">
        <v>136</v>
      </c>
      <c r="B498" t="s">
        <v>387</v>
      </c>
      <c r="C498" s="1301" cm="1">
        <f t="array" ref="C498">SUMPRODUCT((CHALLAN!$B$1:$B$16504=A498)*IF(B498="",--(CHALLAN!$C$1:$C$16504=""),--(CHALLAN!$C$1:$C$16504=B498))*IFERROR(CHALLAN!$D$1:$D$16504*CHALLAN!$E$1:$E$16504,0))</f>
        <v>270</v>
      </c>
      <c r="D498" cm="1">
        <f t="array" ref="D498">SUMPRODUCT(('Pivot Data'!$D$2:$D$1912=$A498)*IF($B498="",--('Pivot Data'!$E$2:$E$1912=""),--('Pivot Data'!$E$2:$E$1912=$B498))*('Pivot Data'!$I$2:$I$1912="Cancelled")*'Pivot Data'!$H$2:$H$1912)</f>
        <v>0</v>
      </c>
      <c r="E498" s="1301">
        <f t="shared" si="7"/>
        <v>270</v>
      </c>
    </row>
    <row r="499" spans="1:5" hidden="1" x14ac:dyDescent="0.25">
      <c r="A499" t="s">
        <v>136</v>
      </c>
      <c r="B499" t="s">
        <v>418</v>
      </c>
      <c r="C499" s="1301" cm="1">
        <f t="array" ref="C499">SUMPRODUCT((CHALLAN!$B$1:$B$16504=A499)*IF(B499="",--(CHALLAN!$C$1:$C$16504=""),--(CHALLAN!$C$1:$C$16504=B499))*IFERROR(CHALLAN!$D$1:$D$16504*CHALLAN!$E$1:$E$16504,0))</f>
        <v>0</v>
      </c>
      <c r="D499" cm="1">
        <f t="array" ref="D499">SUMPRODUCT(('Pivot Data'!$D$2:$D$1912=$A499)*IF($B499="",--('Pivot Data'!$E$2:$E$1912=""),--('Pivot Data'!$E$2:$E$1912=$B499))*('Pivot Data'!$I$2:$I$1912="Cancelled")*'Pivot Data'!$H$2:$H$1912)</f>
        <v>0</v>
      </c>
      <c r="E499" s="1301">
        <f t="shared" si="7"/>
        <v>0</v>
      </c>
    </row>
    <row r="500" spans="1:5" hidden="1" x14ac:dyDescent="0.25">
      <c r="A500" t="s">
        <v>136</v>
      </c>
      <c r="B500" t="s">
        <v>334</v>
      </c>
      <c r="C500" s="1301" cm="1">
        <f t="array" ref="C500">SUMPRODUCT((CHALLAN!$B$1:$B$16504=A500)*IF(B500="",--(CHALLAN!$C$1:$C$16504=""),--(CHALLAN!$C$1:$C$16504=B500))*IFERROR(CHALLAN!$D$1:$D$16504*CHALLAN!$E$1:$E$16504,0))</f>
        <v>20</v>
      </c>
      <c r="D500" cm="1">
        <f t="array" ref="D500">SUMPRODUCT(('Pivot Data'!$D$2:$D$1912=$A500)*IF($B500="",--('Pivot Data'!$E$2:$E$1912=""),--('Pivot Data'!$E$2:$E$1912=$B500))*('Pivot Data'!$I$2:$I$1912="Cancelled")*'Pivot Data'!$H$2:$H$1912)</f>
        <v>0</v>
      </c>
      <c r="E500" s="1301">
        <f t="shared" si="7"/>
        <v>20</v>
      </c>
    </row>
    <row r="501" spans="1:5" hidden="1" x14ac:dyDescent="0.25">
      <c r="A501" t="s">
        <v>1613</v>
      </c>
      <c r="B501" t="s">
        <v>349</v>
      </c>
      <c r="C501" s="1301" cm="1">
        <f t="array" ref="C501">SUMPRODUCT((CHALLAN!$B$1:$B$16504=A501)*IF(B501="",--(CHALLAN!$C$1:$C$16504=""),--(CHALLAN!$C$1:$C$16504=B501))*IFERROR(CHALLAN!$D$1:$D$16504*CHALLAN!$E$1:$E$16504,0))</f>
        <v>1</v>
      </c>
      <c r="D501" cm="1">
        <f t="array" ref="D501">SUMPRODUCT(('Pivot Data'!$D$2:$D$1912=$A501)*IF($B501="",--('Pivot Data'!$E$2:$E$1912=""),--('Pivot Data'!$E$2:$E$1912=$B501))*('Pivot Data'!$I$2:$I$1912="Cancelled")*'Pivot Data'!$H$2:$H$1912)</f>
        <v>0</v>
      </c>
      <c r="E501" s="1301">
        <f t="shared" si="7"/>
        <v>1</v>
      </c>
    </row>
    <row r="502" spans="1:5" hidden="1" x14ac:dyDescent="0.25">
      <c r="A502" t="s">
        <v>1746</v>
      </c>
      <c r="B502" t="s">
        <v>387</v>
      </c>
      <c r="C502" s="1301" cm="1">
        <f t="array" ref="C502">SUMPRODUCT((CHALLAN!$B$1:$B$16504=A502)*IF(B502="",--(CHALLAN!$C$1:$C$16504=""),--(CHALLAN!$C$1:$C$16504=B502))*IFERROR(CHALLAN!$D$1:$D$16504*CHALLAN!$E$1:$E$16504,0))</f>
        <v>6</v>
      </c>
      <c r="D502" cm="1">
        <f t="array" ref="D502">SUMPRODUCT(('Pivot Data'!$D$2:$D$1912=$A502)*IF($B502="",--('Pivot Data'!$E$2:$E$1912=""),--('Pivot Data'!$E$2:$E$1912=$B502))*('Pivot Data'!$I$2:$I$1912="Cancelled")*'Pivot Data'!$H$2:$H$1912)</f>
        <v>0</v>
      </c>
      <c r="E502" s="1301">
        <f t="shared" si="7"/>
        <v>6</v>
      </c>
    </row>
    <row r="503" spans="1:5" hidden="1" x14ac:dyDescent="0.25">
      <c r="A503" t="s">
        <v>1534</v>
      </c>
      <c r="C503" s="1301" cm="1">
        <f t="array" ref="C503">SUMPRODUCT((CHALLAN!$B$1:$B$16504=A503)*IF(B503="",--(CHALLAN!$C$1:$C$16504=""),--(CHALLAN!$C$1:$C$16504=B503))*IFERROR(CHALLAN!$D$1:$D$16504*CHALLAN!$E$1:$E$16504,0))</f>
        <v>77</v>
      </c>
      <c r="D503" cm="1">
        <f t="array" ref="D503">SUMPRODUCT(('Pivot Data'!$D$2:$D$1912=$A503)*IF($B503="",--('Pivot Data'!$E$2:$E$1912=""),--('Pivot Data'!$E$2:$E$1912=$B503))*('Pivot Data'!$I$2:$I$1912="Cancelled")*'Pivot Data'!$H$2:$H$1912)</f>
        <v>0</v>
      </c>
      <c r="E503" s="1301">
        <f t="shared" si="7"/>
        <v>77</v>
      </c>
    </row>
    <row r="504" spans="1:5" hidden="1" x14ac:dyDescent="0.25">
      <c r="A504" t="s">
        <v>533</v>
      </c>
      <c r="C504" s="1301" cm="1">
        <f t="array" ref="C504">SUMPRODUCT((CHALLAN!$B$1:$B$16504=A504)*IF(B504="",--(CHALLAN!$C$1:$C$16504=""),--(CHALLAN!$C$1:$C$16504=B504))*IFERROR(CHALLAN!$D$1:$D$16504*CHALLAN!$E$1:$E$16504,0))</f>
        <v>65</v>
      </c>
      <c r="D504" cm="1">
        <f t="array" ref="D504">SUMPRODUCT(('Pivot Data'!$D$2:$D$1912=$A504)*IF($B504="",--('Pivot Data'!$E$2:$E$1912=""),--('Pivot Data'!$E$2:$E$1912=$B504))*('Pivot Data'!$I$2:$I$1912="Cancelled")*'Pivot Data'!$H$2:$H$1912)</f>
        <v>0</v>
      </c>
      <c r="E504" s="1301">
        <f t="shared" si="7"/>
        <v>65</v>
      </c>
    </row>
    <row r="505" spans="1:5" hidden="1" x14ac:dyDescent="0.25">
      <c r="A505" t="s">
        <v>226</v>
      </c>
      <c r="B505" t="s">
        <v>413</v>
      </c>
      <c r="C505" s="1301" cm="1">
        <f t="array" ref="C505">SUMPRODUCT((CHALLAN!$B$1:$B$16504=A505)*IF(B505="",--(CHALLAN!$C$1:$C$16504=""),--(CHALLAN!$C$1:$C$16504=B505))*IFERROR(CHALLAN!$D$1:$D$16504*CHALLAN!$E$1:$E$16504,0))</f>
        <v>100</v>
      </c>
      <c r="D505" cm="1">
        <f t="array" ref="D505">SUMPRODUCT(('Pivot Data'!$D$2:$D$1912=$A505)*IF($B505="",--('Pivot Data'!$E$2:$E$1912=""),--('Pivot Data'!$E$2:$E$1912=$B505))*('Pivot Data'!$I$2:$I$1912="Cancelled")*'Pivot Data'!$H$2:$H$1912)</f>
        <v>0</v>
      </c>
      <c r="E505" s="1301">
        <f t="shared" si="7"/>
        <v>100</v>
      </c>
    </row>
    <row r="506" spans="1:5" hidden="1" x14ac:dyDescent="0.25">
      <c r="A506" t="s">
        <v>226</v>
      </c>
      <c r="B506" t="s">
        <v>449</v>
      </c>
      <c r="C506" s="1301" cm="1">
        <f t="array" ref="C506">SUMPRODUCT((CHALLAN!$B$1:$B$16504=A506)*IF(B506="",--(CHALLAN!$C$1:$C$16504=""),--(CHALLAN!$C$1:$C$16504=B506))*IFERROR(CHALLAN!$D$1:$D$16504*CHALLAN!$E$1:$E$16504,0))</f>
        <v>249</v>
      </c>
      <c r="D506" cm="1">
        <f t="array" ref="D506">SUMPRODUCT(('Pivot Data'!$D$2:$D$1912=$A506)*IF($B506="",--('Pivot Data'!$E$2:$E$1912=""),--('Pivot Data'!$E$2:$E$1912=$B506))*('Pivot Data'!$I$2:$I$1912="Cancelled")*'Pivot Data'!$H$2:$H$1912)</f>
        <v>0</v>
      </c>
      <c r="E506" s="1301">
        <f t="shared" si="7"/>
        <v>249</v>
      </c>
    </row>
    <row r="507" spans="1:5" hidden="1" x14ac:dyDescent="0.25">
      <c r="A507" t="s">
        <v>1274</v>
      </c>
      <c r="B507" t="s">
        <v>427</v>
      </c>
      <c r="C507" s="1301" cm="1">
        <f t="array" ref="C507">SUMPRODUCT((CHALLAN!$B$1:$B$16504=A507)*IF(B507="",--(CHALLAN!$C$1:$C$16504=""),--(CHALLAN!$C$1:$C$16504=B507))*IFERROR(CHALLAN!$D$1:$D$16504*CHALLAN!$E$1:$E$16504,0))</f>
        <v>125</v>
      </c>
      <c r="D507" cm="1">
        <f t="array" ref="D507">SUMPRODUCT(('Pivot Data'!$D$2:$D$1912=$A507)*IF($B507="",--('Pivot Data'!$E$2:$E$1912=""),--('Pivot Data'!$E$2:$E$1912=$B507))*('Pivot Data'!$I$2:$I$1912="Cancelled")*'Pivot Data'!$H$2:$H$1912)</f>
        <v>0</v>
      </c>
      <c r="E507" s="1301">
        <f t="shared" si="7"/>
        <v>125</v>
      </c>
    </row>
    <row r="508" spans="1:5" hidden="1" x14ac:dyDescent="0.25">
      <c r="A508" t="s">
        <v>226</v>
      </c>
      <c r="B508" t="s">
        <v>427</v>
      </c>
      <c r="C508" s="1301" cm="1">
        <f t="array" ref="C508">SUMPRODUCT((CHALLAN!$B$1:$B$16504=A508)*IF(B508="",--(CHALLAN!$C$1:$C$16504=""),--(CHALLAN!$C$1:$C$16504=B508))*IFERROR(CHALLAN!$D$1:$D$16504*CHALLAN!$E$1:$E$16504,0))</f>
        <v>400</v>
      </c>
      <c r="D508" cm="1">
        <f t="array" ref="D508">SUMPRODUCT(('Pivot Data'!$D$2:$D$1912=$A508)*IF($B508="",--('Pivot Data'!$E$2:$E$1912=""),--('Pivot Data'!$E$2:$E$1912=$B508))*('Pivot Data'!$I$2:$I$1912="Cancelled")*'Pivot Data'!$H$2:$H$1912)</f>
        <v>0</v>
      </c>
      <c r="E508" s="1301">
        <f t="shared" si="7"/>
        <v>400</v>
      </c>
    </row>
    <row r="509" spans="1:5" hidden="1" x14ac:dyDescent="0.25">
      <c r="A509" t="s">
        <v>226</v>
      </c>
      <c r="B509" t="s">
        <v>395</v>
      </c>
      <c r="C509" s="1301" cm="1">
        <f t="array" ref="C509">SUMPRODUCT((CHALLAN!$B$1:$B$16504=A509)*IF(B509="",--(CHALLAN!$C$1:$C$16504=""),--(CHALLAN!$C$1:$C$16504=B509))*IFERROR(CHALLAN!$D$1:$D$16504*CHALLAN!$E$1:$E$16504,0))</f>
        <v>48</v>
      </c>
      <c r="D509" cm="1">
        <f t="array" ref="D509">SUMPRODUCT(('Pivot Data'!$D$2:$D$1912=$A509)*IF($B509="",--('Pivot Data'!$E$2:$E$1912=""),--('Pivot Data'!$E$2:$E$1912=$B509))*('Pivot Data'!$I$2:$I$1912="Cancelled")*'Pivot Data'!$H$2:$H$1912)</f>
        <v>0</v>
      </c>
      <c r="E509" s="1301">
        <f t="shared" si="7"/>
        <v>48</v>
      </c>
    </row>
    <row r="510" spans="1:5" hidden="1" x14ac:dyDescent="0.25">
      <c r="A510" t="s">
        <v>226</v>
      </c>
      <c r="B510" t="s">
        <v>2239</v>
      </c>
      <c r="C510" s="1301" cm="1">
        <f t="array" ref="C510">SUMPRODUCT((CHALLAN!$B$1:$B$16504=A510)*IF(B510="",--(CHALLAN!$C$1:$C$16504=""),--(CHALLAN!$C$1:$C$16504=B510))*IFERROR(CHALLAN!$D$1:$D$16504*CHALLAN!$E$1:$E$16504,0))</f>
        <v>0</v>
      </c>
      <c r="D510" cm="1">
        <f t="array" ref="D510">SUMPRODUCT(('Pivot Data'!$D$2:$D$1912=$A510)*IF($B510="",--('Pivot Data'!$E$2:$E$1912=""),--('Pivot Data'!$E$2:$E$1912=$B510))*('Pivot Data'!$I$2:$I$1912="Cancelled")*'Pivot Data'!$H$2:$H$1912)</f>
        <v>0</v>
      </c>
      <c r="E510" s="1301">
        <f t="shared" si="7"/>
        <v>0</v>
      </c>
    </row>
    <row r="511" spans="1:5" hidden="1" x14ac:dyDescent="0.25">
      <c r="A511" t="s">
        <v>2250</v>
      </c>
      <c r="B511" t="s">
        <v>41</v>
      </c>
      <c r="C511" s="1301" cm="1">
        <f t="array" ref="C511">SUMPRODUCT((CHALLAN!$B$1:$B$16504=A511)*IF(B511="",--(CHALLAN!$C$1:$C$16504=""),--(CHALLAN!$C$1:$C$16504=B511))*IFERROR(CHALLAN!$D$1:$D$16504*CHALLAN!$E$1:$E$16504,0))</f>
        <v>50</v>
      </c>
      <c r="D511" cm="1">
        <f t="array" ref="D511">SUMPRODUCT(('Pivot Data'!$D$2:$D$1912=$A511)*IF($B511="",--('Pivot Data'!$E$2:$E$1912=""),--('Pivot Data'!$E$2:$E$1912=$B511))*('Pivot Data'!$I$2:$I$1912="Cancelled")*'Pivot Data'!$H$2:$H$1912)</f>
        <v>0</v>
      </c>
      <c r="E511" s="1301">
        <f t="shared" si="7"/>
        <v>50</v>
      </c>
    </row>
    <row r="512" spans="1:5" hidden="1" x14ac:dyDescent="0.25">
      <c r="A512" t="s">
        <v>1201</v>
      </c>
      <c r="B512" t="s">
        <v>36</v>
      </c>
      <c r="C512" s="1301" cm="1">
        <f t="array" ref="C512">SUMPRODUCT((CHALLAN!$B$1:$B$16504=A512)*IF(B512="",--(CHALLAN!$C$1:$C$16504=""),--(CHALLAN!$C$1:$C$16504=B512))*IFERROR(CHALLAN!$D$1:$D$16504*CHALLAN!$E$1:$E$16504,0))</f>
        <v>15</v>
      </c>
      <c r="D512" cm="1">
        <f t="array" ref="D512">SUMPRODUCT(('Pivot Data'!$D$2:$D$1912=$A512)*IF($B512="",--('Pivot Data'!$E$2:$E$1912=""),--('Pivot Data'!$E$2:$E$1912=$B512))*('Pivot Data'!$I$2:$I$1912="Cancelled")*'Pivot Data'!$H$2:$H$1912)</f>
        <v>0</v>
      </c>
      <c r="E512" s="1301">
        <f t="shared" si="7"/>
        <v>15</v>
      </c>
    </row>
    <row r="513" spans="1:5" hidden="1" x14ac:dyDescent="0.25">
      <c r="A513" t="s">
        <v>1203</v>
      </c>
      <c r="B513" t="s">
        <v>47</v>
      </c>
      <c r="C513" s="1301" cm="1">
        <f t="array" ref="C513">SUMPRODUCT((CHALLAN!$B$1:$B$16504=A513)*IF(B513="",--(CHALLAN!$C$1:$C$16504=""),--(CHALLAN!$C$1:$C$16504=B513))*IFERROR(CHALLAN!$D$1:$D$16504*CHALLAN!$E$1:$E$16504,0))</f>
        <v>45</v>
      </c>
      <c r="D513" cm="1">
        <f t="array" ref="D513">SUMPRODUCT(('Pivot Data'!$D$2:$D$1912=$A513)*IF($B513="",--('Pivot Data'!$E$2:$E$1912=""),--('Pivot Data'!$E$2:$E$1912=$B513))*('Pivot Data'!$I$2:$I$1912="Cancelled")*'Pivot Data'!$H$2:$H$1912)</f>
        <v>0</v>
      </c>
      <c r="E513" s="1301">
        <f t="shared" si="7"/>
        <v>45</v>
      </c>
    </row>
    <row r="514" spans="1:5" hidden="1" x14ac:dyDescent="0.25">
      <c r="A514" t="s">
        <v>2069</v>
      </c>
      <c r="B514" t="s">
        <v>66</v>
      </c>
      <c r="C514" s="1301" cm="1">
        <f t="array" ref="C514">SUMPRODUCT((CHALLAN!$B$1:$B$16504=A514)*IF(B514="",--(CHALLAN!$C$1:$C$16504=""),--(CHALLAN!$C$1:$C$16504=B514))*IFERROR(CHALLAN!$D$1:$D$16504*CHALLAN!$E$1:$E$16504,0))</f>
        <v>10</v>
      </c>
      <c r="D514" cm="1">
        <f t="array" ref="D514">SUMPRODUCT(('Pivot Data'!$D$2:$D$1912=$A514)*IF($B514="",--('Pivot Data'!$E$2:$E$1912=""),--('Pivot Data'!$E$2:$E$1912=$B514))*('Pivot Data'!$I$2:$I$1912="Cancelled")*'Pivot Data'!$H$2:$H$1912)</f>
        <v>0</v>
      </c>
      <c r="E514" s="1301">
        <f t="shared" si="7"/>
        <v>10</v>
      </c>
    </row>
    <row r="515" spans="1:5" hidden="1" x14ac:dyDescent="0.25">
      <c r="A515" t="s">
        <v>39</v>
      </c>
      <c r="C515" s="1301" cm="1">
        <f t="array" ref="C515">SUMPRODUCT((CHALLAN!$B$1:$B$16504=A515)*IF(B515="",--(CHALLAN!$C$1:$C$16504=""),--(CHALLAN!$C$1:$C$16504=B515))*IFERROR(CHALLAN!$D$1:$D$16504*CHALLAN!$E$1:$E$16504,0))</f>
        <v>5</v>
      </c>
      <c r="D515" cm="1">
        <f t="array" ref="D515">SUMPRODUCT(('Pivot Data'!$D$2:$D$1912=$A515)*IF($B515="",--('Pivot Data'!$E$2:$E$1912=""),--('Pivot Data'!$E$2:$E$1912=$B515))*('Pivot Data'!$I$2:$I$1912="Cancelled")*'Pivot Data'!$H$2:$H$1912)</f>
        <v>0</v>
      </c>
      <c r="E515" s="1301">
        <f t="shared" si="7"/>
        <v>5</v>
      </c>
    </row>
    <row r="516" spans="1:5" hidden="1" x14ac:dyDescent="0.25">
      <c r="A516" t="s">
        <v>39</v>
      </c>
      <c r="B516" t="s">
        <v>36</v>
      </c>
      <c r="C516" s="1301" cm="1">
        <f t="array" ref="C516">SUMPRODUCT((CHALLAN!$B$1:$B$16504=A516)*IF(B516="",--(CHALLAN!$C$1:$C$16504=""),--(CHALLAN!$C$1:$C$16504=B516))*IFERROR(CHALLAN!$D$1:$D$16504*CHALLAN!$E$1:$E$16504,0))</f>
        <v>60</v>
      </c>
      <c r="D516" cm="1">
        <f t="array" ref="D516">SUMPRODUCT(('Pivot Data'!$D$2:$D$1912=$A516)*IF($B516="",--('Pivot Data'!$E$2:$E$1912=""),--('Pivot Data'!$E$2:$E$1912=$B516))*('Pivot Data'!$I$2:$I$1912="Cancelled")*'Pivot Data'!$H$2:$H$1912)</f>
        <v>0</v>
      </c>
      <c r="E516" s="1301">
        <f t="shared" si="7"/>
        <v>60</v>
      </c>
    </row>
    <row r="517" spans="1:5" hidden="1" x14ac:dyDescent="0.25">
      <c r="A517" t="s">
        <v>2223</v>
      </c>
      <c r="B517" t="s">
        <v>36</v>
      </c>
      <c r="C517" s="1301" cm="1">
        <f t="array" ref="C517">SUMPRODUCT((CHALLAN!$B$1:$B$16504=A517)*IF(B517="",--(CHALLAN!$C$1:$C$16504=""),--(CHALLAN!$C$1:$C$16504=B517))*IFERROR(CHALLAN!$D$1:$D$16504*CHALLAN!$E$1:$E$16504,0))</f>
        <v>5</v>
      </c>
      <c r="D517" cm="1">
        <f t="array" ref="D517">SUMPRODUCT(('Pivot Data'!$D$2:$D$1912=$A517)*IF($B517="",--('Pivot Data'!$E$2:$E$1912=""),--('Pivot Data'!$E$2:$E$1912=$B517))*('Pivot Data'!$I$2:$I$1912="Cancelled")*'Pivot Data'!$H$2:$H$1912)</f>
        <v>0</v>
      </c>
      <c r="E517" s="1301">
        <f t="shared" ref="E517:E580" si="8">C517-D517</f>
        <v>5</v>
      </c>
    </row>
    <row r="518" spans="1:5" hidden="1" x14ac:dyDescent="0.25">
      <c r="A518" t="s">
        <v>2053</v>
      </c>
      <c r="B518" t="s">
        <v>47</v>
      </c>
      <c r="C518" s="1301" cm="1">
        <f t="array" ref="C518">SUMPRODUCT((CHALLAN!$B$1:$B$16504=A518)*IF(B518="",--(CHALLAN!$C$1:$C$16504=""),--(CHALLAN!$C$1:$C$16504=B518))*IFERROR(CHALLAN!$D$1:$D$16504*CHALLAN!$E$1:$E$16504,0))</f>
        <v>50</v>
      </c>
      <c r="D518" cm="1">
        <f t="array" ref="D518">SUMPRODUCT(('Pivot Data'!$D$2:$D$1912=$A518)*IF($B518="",--('Pivot Data'!$E$2:$E$1912=""),--('Pivot Data'!$E$2:$E$1912=$B518))*('Pivot Data'!$I$2:$I$1912="Cancelled")*'Pivot Data'!$H$2:$H$1912)</f>
        <v>0</v>
      </c>
      <c r="E518" s="1301">
        <f t="shared" si="8"/>
        <v>50</v>
      </c>
    </row>
    <row r="519" spans="1:5" hidden="1" x14ac:dyDescent="0.25">
      <c r="A519" t="s">
        <v>52</v>
      </c>
      <c r="C519" s="1301" cm="1">
        <f t="array" ref="C519">SUMPRODUCT((CHALLAN!$B$1:$B$16504=A519)*IF(B519="",--(CHALLAN!$C$1:$C$16504=""),--(CHALLAN!$C$1:$C$16504=B519))*IFERROR(CHALLAN!$D$1:$D$16504*CHALLAN!$E$1:$E$16504,0))</f>
        <v>5</v>
      </c>
      <c r="D519" cm="1">
        <f t="array" ref="D519">SUMPRODUCT(('Pivot Data'!$D$2:$D$1912=$A519)*IF($B519="",--('Pivot Data'!$E$2:$E$1912=""),--('Pivot Data'!$E$2:$E$1912=$B519))*('Pivot Data'!$I$2:$I$1912="Cancelled")*'Pivot Data'!$H$2:$H$1912)</f>
        <v>0</v>
      </c>
      <c r="E519" s="1301">
        <f t="shared" si="8"/>
        <v>5</v>
      </c>
    </row>
    <row r="520" spans="1:5" hidden="1" x14ac:dyDescent="0.25">
      <c r="A520" t="s">
        <v>45</v>
      </c>
      <c r="B520" t="s">
        <v>41</v>
      </c>
      <c r="C520" s="1301" cm="1">
        <f t="array" ref="C520">SUMPRODUCT((CHALLAN!$B$1:$B$16504=A520)*IF(B520="",--(CHALLAN!$C$1:$C$16504=""),--(CHALLAN!$C$1:$C$16504=B520))*IFERROR(CHALLAN!$D$1:$D$16504*CHALLAN!$E$1:$E$16504,0))</f>
        <v>155</v>
      </c>
      <c r="D520" cm="1">
        <f t="array" ref="D520">SUMPRODUCT(('Pivot Data'!$D$2:$D$1912=$A520)*IF($B520="",--('Pivot Data'!$E$2:$E$1912=""),--('Pivot Data'!$E$2:$E$1912=$B520))*('Pivot Data'!$I$2:$I$1912="Cancelled")*'Pivot Data'!$H$2:$H$1912)</f>
        <v>0</v>
      </c>
      <c r="E520" s="1301">
        <f t="shared" si="8"/>
        <v>155</v>
      </c>
    </row>
    <row r="521" spans="1:5" hidden="1" x14ac:dyDescent="0.25">
      <c r="A521" t="s">
        <v>510</v>
      </c>
      <c r="C521" s="1301" cm="1">
        <f t="array" ref="C521">SUMPRODUCT((CHALLAN!$B$1:$B$16504=A521)*IF(B521="",--(CHALLAN!$C$1:$C$16504=""),--(CHALLAN!$C$1:$C$16504=B521))*IFERROR(CHALLAN!$D$1:$D$16504*CHALLAN!$E$1:$E$16504,0))</f>
        <v>0</v>
      </c>
      <c r="D521" cm="1">
        <f t="array" ref="D521">SUMPRODUCT(('Pivot Data'!$D$2:$D$1912=$A521)*IF($B521="",--('Pivot Data'!$E$2:$E$1912=""),--('Pivot Data'!$E$2:$E$1912=$B521))*('Pivot Data'!$I$2:$I$1912="Cancelled")*'Pivot Data'!$H$2:$H$1912)</f>
        <v>0</v>
      </c>
      <c r="E521" s="1301">
        <f t="shared" si="8"/>
        <v>0</v>
      </c>
    </row>
    <row r="522" spans="1:5" hidden="1" x14ac:dyDescent="0.25">
      <c r="A522" t="s">
        <v>81</v>
      </c>
      <c r="B522" t="s">
        <v>396</v>
      </c>
      <c r="C522" s="1301" cm="1">
        <f t="array" ref="C522">SUMPRODUCT((CHALLAN!$B$1:$B$16504=A522)*IF(B522="",--(CHALLAN!$C$1:$C$16504=""),--(CHALLAN!$C$1:$C$16504=B522))*IFERROR(CHALLAN!$D$1:$D$16504*CHALLAN!$E$1:$E$16504,0))</f>
        <v>54</v>
      </c>
      <c r="D522" cm="1">
        <f t="array" ref="D522">SUMPRODUCT(('Pivot Data'!$D$2:$D$1912=$A522)*IF($B522="",--('Pivot Data'!$E$2:$E$1912=""),--('Pivot Data'!$E$2:$E$1912=$B522))*('Pivot Data'!$I$2:$I$1912="Cancelled")*'Pivot Data'!$H$2:$H$1912)</f>
        <v>0</v>
      </c>
      <c r="E522" s="1301">
        <f t="shared" si="8"/>
        <v>54</v>
      </c>
    </row>
    <row r="523" spans="1:5" hidden="1" x14ac:dyDescent="0.25">
      <c r="A523" t="s">
        <v>81</v>
      </c>
      <c r="B523" t="s">
        <v>82</v>
      </c>
      <c r="C523" s="1301" cm="1">
        <f t="array" ref="C523">SUMPRODUCT((CHALLAN!$B$1:$B$16504=A523)*IF(B523="",--(CHALLAN!$C$1:$C$16504=""),--(CHALLAN!$C$1:$C$16504=B523))*IFERROR(CHALLAN!$D$1:$D$16504*CHALLAN!$E$1:$E$16504,0))</f>
        <v>100</v>
      </c>
      <c r="D523" cm="1">
        <f t="array" ref="D523">SUMPRODUCT(('Pivot Data'!$D$2:$D$1912=$A523)*IF($B523="",--('Pivot Data'!$E$2:$E$1912=""),--('Pivot Data'!$E$2:$E$1912=$B523))*('Pivot Data'!$I$2:$I$1912="Cancelled")*'Pivot Data'!$H$2:$H$1912)</f>
        <v>0</v>
      </c>
      <c r="E523" s="1301">
        <f t="shared" si="8"/>
        <v>100</v>
      </c>
    </row>
    <row r="524" spans="1:5" hidden="1" x14ac:dyDescent="0.25">
      <c r="A524" t="s">
        <v>1538</v>
      </c>
      <c r="C524" s="1301" cm="1">
        <f t="array" ref="C524">SUMPRODUCT((CHALLAN!$B$1:$B$16504=A524)*IF(B524="",--(CHALLAN!$C$1:$C$16504=""),--(CHALLAN!$C$1:$C$16504=B524))*IFERROR(CHALLAN!$D$1:$D$16504*CHALLAN!$E$1:$E$16504,0))</f>
        <v>0</v>
      </c>
      <c r="D524" cm="1">
        <f t="array" ref="D524">SUMPRODUCT(('Pivot Data'!$D$2:$D$1912=$A524)*IF($B524="",--('Pivot Data'!$E$2:$E$1912=""),--('Pivot Data'!$E$2:$E$1912=$B524))*('Pivot Data'!$I$2:$I$1912="Cancelled")*'Pivot Data'!$H$2:$H$1912)</f>
        <v>0</v>
      </c>
      <c r="E524" s="1301">
        <f t="shared" si="8"/>
        <v>0</v>
      </c>
    </row>
    <row r="525" spans="1:5" hidden="1" x14ac:dyDescent="0.25">
      <c r="A525" t="s">
        <v>2164</v>
      </c>
      <c r="C525" s="1301" cm="1">
        <f t="array" ref="C525">SUMPRODUCT((CHALLAN!$B$1:$B$16504=A525)*IF(B525="",--(CHALLAN!$C$1:$C$16504=""),--(CHALLAN!$C$1:$C$16504=B525))*IFERROR(CHALLAN!$D$1:$D$16504*CHALLAN!$E$1:$E$16504,0))</f>
        <v>9</v>
      </c>
      <c r="D525" cm="1">
        <f t="array" ref="D525">SUMPRODUCT(('Pivot Data'!$D$2:$D$1912=$A525)*IF($B525="",--('Pivot Data'!$E$2:$E$1912=""),--('Pivot Data'!$E$2:$E$1912=$B525))*('Pivot Data'!$I$2:$I$1912="Cancelled")*'Pivot Data'!$H$2:$H$1912)</f>
        <v>0</v>
      </c>
      <c r="E525" s="1301">
        <f t="shared" si="8"/>
        <v>9</v>
      </c>
    </row>
    <row r="526" spans="1:5" hidden="1" x14ac:dyDescent="0.25">
      <c r="A526" t="s">
        <v>68</v>
      </c>
      <c r="C526" s="1301" cm="1">
        <f t="array" ref="C526">SUMPRODUCT((CHALLAN!$B$1:$B$16504=A526)*IF(B526="",--(CHALLAN!$C$1:$C$16504=""),--(CHALLAN!$C$1:$C$16504=B526))*IFERROR(CHALLAN!$D$1:$D$16504*CHALLAN!$E$1:$E$16504,0))</f>
        <v>6</v>
      </c>
      <c r="D526" cm="1">
        <f t="array" ref="D526">SUMPRODUCT(('Pivot Data'!$D$2:$D$1912=$A526)*IF($B526="",--('Pivot Data'!$E$2:$E$1912=""),--('Pivot Data'!$E$2:$E$1912=$B526))*('Pivot Data'!$I$2:$I$1912="Cancelled")*'Pivot Data'!$H$2:$H$1912)</f>
        <v>0</v>
      </c>
      <c r="E526" s="1301">
        <f t="shared" si="8"/>
        <v>6</v>
      </c>
    </row>
    <row r="527" spans="1:5" hidden="1" x14ac:dyDescent="0.25">
      <c r="A527" t="s">
        <v>68</v>
      </c>
      <c r="B527" t="s">
        <v>2184</v>
      </c>
      <c r="C527" s="1301" cm="1">
        <f t="array" ref="C527">SUMPRODUCT((CHALLAN!$B$1:$B$16504=A527)*IF(B527="",--(CHALLAN!$C$1:$C$16504=""),--(CHALLAN!$C$1:$C$16504=B527))*IFERROR(CHALLAN!$D$1:$D$16504*CHALLAN!$E$1:$E$16504,0))</f>
        <v>0</v>
      </c>
      <c r="D527" cm="1">
        <f t="array" ref="D527">SUMPRODUCT(('Pivot Data'!$D$2:$D$1912=$A527)*IF($B527="",--('Pivot Data'!$E$2:$E$1912=""),--('Pivot Data'!$E$2:$E$1912=$B527))*('Pivot Data'!$I$2:$I$1912="Cancelled")*'Pivot Data'!$H$2:$H$1912)</f>
        <v>0</v>
      </c>
      <c r="E527" s="1301">
        <f t="shared" si="8"/>
        <v>0</v>
      </c>
    </row>
    <row r="528" spans="1:5" hidden="1" x14ac:dyDescent="0.25">
      <c r="A528" t="s">
        <v>68</v>
      </c>
      <c r="B528" t="s">
        <v>404</v>
      </c>
      <c r="C528" s="1301" cm="1">
        <f t="array" ref="C528">SUMPRODUCT((CHALLAN!$B$1:$B$16504=A528)*IF(B528="",--(CHALLAN!$C$1:$C$16504=""),--(CHALLAN!$C$1:$C$16504=B528))*IFERROR(CHALLAN!$D$1:$D$16504*CHALLAN!$E$1:$E$16504,0))</f>
        <v>100</v>
      </c>
      <c r="D528" cm="1">
        <f t="array" ref="D528">SUMPRODUCT(('Pivot Data'!$D$2:$D$1912=$A528)*IF($B528="",--('Pivot Data'!$E$2:$E$1912=""),--('Pivot Data'!$E$2:$E$1912=$B528))*('Pivot Data'!$I$2:$I$1912="Cancelled")*'Pivot Data'!$H$2:$H$1912)</f>
        <v>0</v>
      </c>
      <c r="E528" s="1301">
        <f t="shared" si="8"/>
        <v>100</v>
      </c>
    </row>
    <row r="529" spans="1:5" hidden="1" x14ac:dyDescent="0.25">
      <c r="A529" t="s">
        <v>68</v>
      </c>
      <c r="B529" t="s">
        <v>375</v>
      </c>
      <c r="C529" s="1301" cm="1">
        <f t="array" ref="C529">SUMPRODUCT((CHALLAN!$B$1:$B$16504=A529)*IF(B529="",--(CHALLAN!$C$1:$C$16504=""),--(CHALLAN!$C$1:$C$16504=B529))*IFERROR(CHALLAN!$D$1:$D$16504*CHALLAN!$E$1:$E$16504,0))</f>
        <v>74</v>
      </c>
      <c r="D529" cm="1">
        <f t="array" ref="D529">SUMPRODUCT(('Pivot Data'!$D$2:$D$1912=$A529)*IF($B529="",--('Pivot Data'!$E$2:$E$1912=""),--('Pivot Data'!$E$2:$E$1912=$B529))*('Pivot Data'!$I$2:$I$1912="Cancelled")*'Pivot Data'!$H$2:$H$1912)</f>
        <v>0</v>
      </c>
      <c r="E529" s="1301">
        <f t="shared" si="8"/>
        <v>74</v>
      </c>
    </row>
    <row r="530" spans="1:5" hidden="1" x14ac:dyDescent="0.25">
      <c r="A530" t="s">
        <v>2164</v>
      </c>
      <c r="B530" t="s">
        <v>375</v>
      </c>
      <c r="C530" s="1301" cm="1">
        <f t="array" ref="C530">SUMPRODUCT((CHALLAN!$B$1:$B$16504=A530)*IF(B530="",--(CHALLAN!$C$1:$C$16504=""),--(CHALLAN!$C$1:$C$16504=B530))*IFERROR(CHALLAN!$D$1:$D$16504*CHALLAN!$E$1:$E$16504,0))</f>
        <v>12</v>
      </c>
      <c r="D530" cm="1">
        <f t="array" ref="D530">SUMPRODUCT(('Pivot Data'!$D$2:$D$1912=$A530)*IF($B530="",--('Pivot Data'!$E$2:$E$1912=""),--('Pivot Data'!$E$2:$E$1912=$B530))*('Pivot Data'!$I$2:$I$1912="Cancelled")*'Pivot Data'!$H$2:$H$1912)</f>
        <v>0</v>
      </c>
      <c r="E530" s="1301">
        <f t="shared" si="8"/>
        <v>12</v>
      </c>
    </row>
    <row r="531" spans="1:5" hidden="1" x14ac:dyDescent="0.25">
      <c r="A531" t="s">
        <v>68</v>
      </c>
      <c r="B531" t="s">
        <v>69</v>
      </c>
      <c r="C531" s="1301" cm="1">
        <f t="array" ref="C531">SUMPRODUCT((CHALLAN!$B$1:$B$16504=A531)*IF(B531="",--(CHALLAN!$C$1:$C$16504=""),--(CHALLAN!$C$1:$C$16504=B531))*IFERROR(CHALLAN!$D$1:$D$16504*CHALLAN!$E$1:$E$16504,0))</f>
        <v>3600</v>
      </c>
      <c r="D531" cm="1">
        <f t="array" ref="D531">SUMPRODUCT(('Pivot Data'!$D$2:$D$1912=$A531)*IF($B531="",--('Pivot Data'!$E$2:$E$1912=""),--('Pivot Data'!$E$2:$E$1912=$B531))*('Pivot Data'!$I$2:$I$1912="Cancelled")*'Pivot Data'!$H$2:$H$1912)</f>
        <v>0</v>
      </c>
      <c r="E531" s="1301">
        <f t="shared" si="8"/>
        <v>3600</v>
      </c>
    </row>
    <row r="532" spans="1:5" hidden="1" x14ac:dyDescent="0.25">
      <c r="A532" t="s">
        <v>2164</v>
      </c>
      <c r="B532" t="s">
        <v>69</v>
      </c>
      <c r="C532" s="1301" cm="1">
        <f t="array" ref="C532">SUMPRODUCT((CHALLAN!$B$1:$B$16504=A532)*IF(B532="",--(CHALLAN!$C$1:$C$16504=""),--(CHALLAN!$C$1:$C$16504=B532))*IFERROR(CHALLAN!$D$1:$D$16504*CHALLAN!$E$1:$E$16504,0))</f>
        <v>300</v>
      </c>
      <c r="D532" cm="1">
        <f t="array" ref="D532">SUMPRODUCT(('Pivot Data'!$D$2:$D$1912=$A532)*IF($B532="",--('Pivot Data'!$E$2:$E$1912=""),--('Pivot Data'!$E$2:$E$1912=$B532))*('Pivot Data'!$I$2:$I$1912="Cancelled")*'Pivot Data'!$H$2:$H$1912)</f>
        <v>0</v>
      </c>
      <c r="E532" s="1301">
        <f t="shared" si="8"/>
        <v>300</v>
      </c>
    </row>
    <row r="533" spans="1:5" hidden="1" x14ac:dyDescent="0.25">
      <c r="A533" t="s">
        <v>68</v>
      </c>
      <c r="B533" t="s">
        <v>91</v>
      </c>
      <c r="C533" s="1301" cm="1">
        <f t="array" ref="C533">SUMPRODUCT((CHALLAN!$B$1:$B$16504=A533)*IF(B533="",--(CHALLAN!$C$1:$C$16504=""),--(CHALLAN!$C$1:$C$16504=B533))*IFERROR(CHALLAN!$D$1:$D$16504*CHALLAN!$E$1:$E$16504,0))</f>
        <v>375</v>
      </c>
      <c r="D533" cm="1">
        <f t="array" ref="D533">SUMPRODUCT(('Pivot Data'!$D$2:$D$1912=$A533)*IF($B533="",--('Pivot Data'!$E$2:$E$1912=""),--('Pivot Data'!$E$2:$E$1912=$B533))*('Pivot Data'!$I$2:$I$1912="Cancelled")*'Pivot Data'!$H$2:$H$1912)</f>
        <v>0</v>
      </c>
      <c r="E533" s="1301">
        <f t="shared" si="8"/>
        <v>375</v>
      </c>
    </row>
    <row r="534" spans="1:5" hidden="1" x14ac:dyDescent="0.25">
      <c r="A534" t="s">
        <v>68</v>
      </c>
      <c r="B534" t="s">
        <v>2238</v>
      </c>
      <c r="C534" s="1301" cm="1">
        <f t="array" ref="C534">SUMPRODUCT((CHALLAN!$B$1:$B$16504=A534)*IF(B534="",--(CHALLAN!$C$1:$C$16504=""),--(CHALLAN!$C$1:$C$16504=B534))*IFERROR(CHALLAN!$D$1:$D$16504*CHALLAN!$E$1:$E$16504,0))</f>
        <v>0</v>
      </c>
      <c r="D534" cm="1">
        <f t="array" ref="D534">SUMPRODUCT(('Pivot Data'!$D$2:$D$1912=$A534)*IF($B534="",--('Pivot Data'!$E$2:$E$1912=""),--('Pivot Data'!$E$2:$E$1912=$B534))*('Pivot Data'!$I$2:$I$1912="Cancelled")*'Pivot Data'!$H$2:$H$1912)</f>
        <v>0</v>
      </c>
      <c r="E534" s="1301">
        <f t="shared" si="8"/>
        <v>0</v>
      </c>
    </row>
    <row r="535" spans="1:5" hidden="1" x14ac:dyDescent="0.25">
      <c r="A535" t="s">
        <v>2054</v>
      </c>
      <c r="B535" t="s">
        <v>84</v>
      </c>
      <c r="C535" s="1301" cm="1">
        <f t="array" ref="C535">SUMPRODUCT((CHALLAN!$B$1:$B$16504=A535)*IF(B535="",--(CHALLAN!$C$1:$C$16504=""),--(CHALLAN!$C$1:$C$16504=B535))*IFERROR(CHALLAN!$D$1:$D$16504*CHALLAN!$E$1:$E$16504,0))</f>
        <v>25</v>
      </c>
      <c r="D535" cm="1">
        <f t="array" ref="D535">SUMPRODUCT(('Pivot Data'!$D$2:$D$1912=$A535)*IF($B535="",--('Pivot Data'!$E$2:$E$1912=""),--('Pivot Data'!$E$2:$E$1912=$B535))*('Pivot Data'!$I$2:$I$1912="Cancelled")*'Pivot Data'!$H$2:$H$1912)</f>
        <v>0</v>
      </c>
      <c r="E535" s="1301">
        <f t="shared" si="8"/>
        <v>25</v>
      </c>
    </row>
    <row r="536" spans="1:5" hidden="1" x14ac:dyDescent="0.25">
      <c r="A536" t="s">
        <v>1806</v>
      </c>
      <c r="B536" t="s">
        <v>375</v>
      </c>
      <c r="C536" s="1301" cm="1">
        <f t="array" ref="C536">SUMPRODUCT((CHALLAN!$B$1:$B$16504=A536)*IF(B536="",--(CHALLAN!$C$1:$C$16504=""),--(CHALLAN!$C$1:$C$16504=B536))*IFERROR(CHALLAN!$D$1:$D$16504*CHALLAN!$E$1:$E$16504,0))</f>
        <v>6</v>
      </c>
      <c r="D536" cm="1">
        <f t="array" ref="D536">SUMPRODUCT(('Pivot Data'!$D$2:$D$1912=$A536)*IF($B536="",--('Pivot Data'!$E$2:$E$1912=""),--('Pivot Data'!$E$2:$E$1912=$B536))*('Pivot Data'!$I$2:$I$1912="Cancelled")*'Pivot Data'!$H$2:$H$1912)</f>
        <v>0</v>
      </c>
      <c r="E536" s="1301">
        <f t="shared" si="8"/>
        <v>6</v>
      </c>
    </row>
    <row r="537" spans="1:5" hidden="1" x14ac:dyDescent="0.25">
      <c r="A537" t="s">
        <v>689</v>
      </c>
      <c r="B537" t="s">
        <v>690</v>
      </c>
      <c r="C537" s="1301" cm="1">
        <f t="array" ref="C537">SUMPRODUCT((CHALLAN!$B$1:$B$16504=A537)*IF(B537="",--(CHALLAN!$C$1:$C$16504=""),--(CHALLAN!$C$1:$C$16504=B537))*IFERROR(CHALLAN!$D$1:$D$16504*CHALLAN!$E$1:$E$16504,0))</f>
        <v>400</v>
      </c>
      <c r="D537" cm="1">
        <f t="array" ref="D537">SUMPRODUCT(('Pivot Data'!$D$2:$D$1912=$A537)*IF($B537="",--('Pivot Data'!$E$2:$E$1912=""),--('Pivot Data'!$E$2:$E$1912=$B537))*('Pivot Data'!$I$2:$I$1912="Cancelled")*'Pivot Data'!$H$2:$H$1912)</f>
        <v>0</v>
      </c>
      <c r="E537" s="1301">
        <f t="shared" si="8"/>
        <v>400</v>
      </c>
    </row>
    <row r="538" spans="1:5" hidden="1" x14ac:dyDescent="0.25">
      <c r="A538" t="s">
        <v>2156</v>
      </c>
      <c r="B538" t="s">
        <v>446</v>
      </c>
      <c r="C538" s="1301" cm="1">
        <f t="array" ref="C538">SUMPRODUCT((CHALLAN!$B$1:$B$16504=A538)*IF(B538="",--(CHALLAN!$C$1:$C$16504=""),--(CHALLAN!$C$1:$C$16504=B538))*IFERROR(CHALLAN!$D$1:$D$16504*CHALLAN!$E$1:$E$16504,0))</f>
        <v>50</v>
      </c>
      <c r="D538" cm="1">
        <f t="array" ref="D538">SUMPRODUCT(('Pivot Data'!$D$2:$D$1912=$A538)*IF($B538="",--('Pivot Data'!$E$2:$E$1912=""),--('Pivot Data'!$E$2:$E$1912=$B538))*('Pivot Data'!$I$2:$I$1912="Cancelled")*'Pivot Data'!$H$2:$H$1912)</f>
        <v>0</v>
      </c>
      <c r="E538" s="1301">
        <f t="shared" si="8"/>
        <v>50</v>
      </c>
    </row>
    <row r="539" spans="1:5" hidden="1" x14ac:dyDescent="0.25">
      <c r="A539" t="s">
        <v>1739</v>
      </c>
      <c r="B539" t="s">
        <v>445</v>
      </c>
      <c r="C539" s="1301" cm="1">
        <f t="array" ref="C539">SUMPRODUCT((CHALLAN!$B$1:$B$16504=A539)*IF(B539="",--(CHALLAN!$C$1:$C$16504=""),--(CHALLAN!$C$1:$C$16504=B539))*IFERROR(CHALLAN!$D$1:$D$16504*CHALLAN!$E$1:$E$16504,0))</f>
        <v>48</v>
      </c>
      <c r="D539" cm="1">
        <f t="array" ref="D539">SUMPRODUCT(('Pivot Data'!$D$2:$D$1912=$A539)*IF($B539="",--('Pivot Data'!$E$2:$E$1912=""),--('Pivot Data'!$E$2:$E$1912=$B539))*('Pivot Data'!$I$2:$I$1912="Cancelled")*'Pivot Data'!$H$2:$H$1912)</f>
        <v>0</v>
      </c>
      <c r="E539" s="1301">
        <f t="shared" si="8"/>
        <v>48</v>
      </c>
    </row>
    <row r="540" spans="1:5" hidden="1" x14ac:dyDescent="0.25">
      <c r="A540" t="s">
        <v>300</v>
      </c>
      <c r="B540" t="s">
        <v>457</v>
      </c>
      <c r="C540" s="1301" cm="1">
        <f t="array" ref="C540">SUMPRODUCT((CHALLAN!$B$1:$B$16504=A540)*IF(B540="",--(CHALLAN!$C$1:$C$16504=""),--(CHALLAN!$C$1:$C$16504=B540))*IFERROR(CHALLAN!$D$1:$D$16504*CHALLAN!$E$1:$E$16504,0))</f>
        <v>1800</v>
      </c>
      <c r="D540" cm="1">
        <f t="array" ref="D540">SUMPRODUCT(('Pivot Data'!$D$2:$D$1912=$A540)*IF($B540="",--('Pivot Data'!$E$2:$E$1912=""),--('Pivot Data'!$E$2:$E$1912=$B540))*('Pivot Data'!$I$2:$I$1912="Cancelled")*'Pivot Data'!$H$2:$H$1912)</f>
        <v>0</v>
      </c>
      <c r="E540" s="1301">
        <f t="shared" si="8"/>
        <v>1800</v>
      </c>
    </row>
    <row r="541" spans="1:5" hidden="1" x14ac:dyDescent="0.25">
      <c r="A541" t="s">
        <v>214</v>
      </c>
      <c r="B541" t="s">
        <v>385</v>
      </c>
      <c r="C541" s="1301" cm="1">
        <f t="array" ref="C541">SUMPRODUCT((CHALLAN!$B$1:$B$16504=A541)*IF(B541="",--(CHALLAN!$C$1:$C$16504=""),--(CHALLAN!$C$1:$C$16504=B541))*IFERROR(CHALLAN!$D$1:$D$16504*CHALLAN!$E$1:$E$16504,0))</f>
        <v>69</v>
      </c>
      <c r="D541" cm="1">
        <f t="array" ref="D541">SUMPRODUCT(('Pivot Data'!$D$2:$D$1912=$A541)*IF($B541="",--('Pivot Data'!$E$2:$E$1912=""),--('Pivot Data'!$E$2:$E$1912=$B541))*('Pivot Data'!$I$2:$I$1912="Cancelled")*'Pivot Data'!$H$2:$H$1912)</f>
        <v>0</v>
      </c>
      <c r="E541" s="1301">
        <f t="shared" si="8"/>
        <v>69</v>
      </c>
    </row>
    <row r="542" spans="1:5" hidden="1" x14ac:dyDescent="0.25">
      <c r="A542" t="s">
        <v>815</v>
      </c>
      <c r="C542" s="1301" cm="1">
        <f t="array" ref="C542">SUMPRODUCT((CHALLAN!$B$1:$B$16504=A542)*IF(B542="",--(CHALLAN!$C$1:$C$16504=""),--(CHALLAN!$C$1:$C$16504=B542))*IFERROR(CHALLAN!$D$1:$D$16504*CHALLAN!$E$1:$E$16504,0))</f>
        <v>21</v>
      </c>
      <c r="D542" cm="1">
        <f t="array" ref="D542">SUMPRODUCT(('Pivot Data'!$D$2:$D$1912=$A542)*IF($B542="",--('Pivot Data'!$E$2:$E$1912=""),--('Pivot Data'!$E$2:$E$1912=$B542))*('Pivot Data'!$I$2:$I$1912="Cancelled")*'Pivot Data'!$H$2:$H$1912)</f>
        <v>0</v>
      </c>
      <c r="E542" s="1301">
        <f t="shared" si="8"/>
        <v>21</v>
      </c>
    </row>
    <row r="543" spans="1:5" hidden="1" x14ac:dyDescent="0.25">
      <c r="A543" t="s">
        <v>815</v>
      </c>
      <c r="B543" t="s">
        <v>84</v>
      </c>
      <c r="C543" s="1301" cm="1">
        <f t="array" ref="C543">SUMPRODUCT((CHALLAN!$B$1:$B$16504=A543)*IF(B543="",--(CHALLAN!$C$1:$C$16504=""),--(CHALLAN!$C$1:$C$16504=B543))*IFERROR(CHALLAN!$D$1:$D$16504*CHALLAN!$E$1:$E$16504,0))</f>
        <v>140</v>
      </c>
      <c r="D543" cm="1">
        <f t="array" ref="D543">SUMPRODUCT(('Pivot Data'!$D$2:$D$1912=$A543)*IF($B543="",--('Pivot Data'!$E$2:$E$1912=""),--('Pivot Data'!$E$2:$E$1912=$B543))*('Pivot Data'!$I$2:$I$1912="Cancelled")*'Pivot Data'!$H$2:$H$1912)</f>
        <v>0</v>
      </c>
      <c r="E543" s="1301">
        <f t="shared" si="8"/>
        <v>140</v>
      </c>
    </row>
    <row r="544" spans="1:5" hidden="1" x14ac:dyDescent="0.25">
      <c r="A544" t="s">
        <v>815</v>
      </c>
      <c r="B544" t="s">
        <v>690</v>
      </c>
      <c r="C544" s="1301" cm="1">
        <f t="array" ref="C544">SUMPRODUCT((CHALLAN!$B$1:$B$16504=A544)*IF(B544="",--(CHALLAN!$C$1:$C$16504=""),--(CHALLAN!$C$1:$C$16504=B544))*IFERROR(CHALLAN!$D$1:$D$16504*CHALLAN!$E$1:$E$16504,0))</f>
        <v>0</v>
      </c>
      <c r="D544" cm="1">
        <f t="array" ref="D544">SUMPRODUCT(('Pivot Data'!$D$2:$D$1912=$A544)*IF($B544="",--('Pivot Data'!$E$2:$E$1912=""),--('Pivot Data'!$E$2:$E$1912=$B544))*('Pivot Data'!$I$2:$I$1912="Cancelled")*'Pivot Data'!$H$2:$H$1912)</f>
        <v>0</v>
      </c>
      <c r="E544" s="1301">
        <f t="shared" si="8"/>
        <v>0</v>
      </c>
    </row>
    <row r="545" spans="1:5" hidden="1" x14ac:dyDescent="0.25">
      <c r="A545" t="s">
        <v>541</v>
      </c>
      <c r="C545" s="1301" cm="1">
        <f t="array" ref="C545">SUMPRODUCT((CHALLAN!$B$1:$B$16504=A545)*IF(B545="",--(CHALLAN!$C$1:$C$16504=""),--(CHALLAN!$C$1:$C$16504=B545))*IFERROR(CHALLAN!$D$1:$D$16504*CHALLAN!$E$1:$E$16504,0))</f>
        <v>200</v>
      </c>
      <c r="D545" cm="1">
        <f t="array" ref="D545">SUMPRODUCT(('Pivot Data'!$D$2:$D$1912=$A545)*IF($B545="",--('Pivot Data'!$E$2:$E$1912=""),--('Pivot Data'!$E$2:$E$1912=$B545))*('Pivot Data'!$I$2:$I$1912="Cancelled")*'Pivot Data'!$H$2:$H$1912)</f>
        <v>0</v>
      </c>
      <c r="E545" s="1301">
        <f t="shared" si="8"/>
        <v>200</v>
      </c>
    </row>
    <row r="546" spans="1:5" hidden="1" x14ac:dyDescent="0.25">
      <c r="A546" t="s">
        <v>2200</v>
      </c>
      <c r="B546" t="s">
        <v>690</v>
      </c>
      <c r="C546" s="1301" cm="1">
        <f t="array" ref="C546">SUMPRODUCT((CHALLAN!$B$1:$B$16504=A546)*IF(B546="",--(CHALLAN!$C$1:$C$16504=""),--(CHALLAN!$C$1:$C$16504=B546))*IFERROR(CHALLAN!$D$1:$D$16504*CHALLAN!$E$1:$E$16504,0))</f>
        <v>100</v>
      </c>
      <c r="D546" cm="1">
        <f t="array" ref="D546">SUMPRODUCT(('Pivot Data'!$D$2:$D$1912=$A546)*IF($B546="",--('Pivot Data'!$E$2:$E$1912=""),--('Pivot Data'!$E$2:$E$1912=$B546))*('Pivot Data'!$I$2:$I$1912="Cancelled")*'Pivot Data'!$H$2:$H$1912)</f>
        <v>0</v>
      </c>
      <c r="E546" s="1301">
        <f t="shared" si="8"/>
        <v>100</v>
      </c>
    </row>
    <row r="547" spans="1:5" hidden="1" x14ac:dyDescent="0.25">
      <c r="A547" t="s">
        <v>215</v>
      </c>
      <c r="B547" t="s">
        <v>386</v>
      </c>
      <c r="C547" s="1301" cm="1">
        <f t="array" ref="C547">SUMPRODUCT((CHALLAN!$B$1:$B$16504=A547)*IF(B547="",--(CHALLAN!$C$1:$C$16504=""),--(CHALLAN!$C$1:$C$16504=B547))*IFERROR(CHALLAN!$D$1:$D$16504*CHALLAN!$E$1:$E$16504,0))</f>
        <v>112</v>
      </c>
      <c r="D547" cm="1">
        <f t="array" ref="D547">SUMPRODUCT(('Pivot Data'!$D$2:$D$1912=$A547)*IF($B547="",--('Pivot Data'!$E$2:$E$1912=""),--('Pivot Data'!$E$2:$E$1912=$B547))*('Pivot Data'!$I$2:$I$1912="Cancelled")*'Pivot Data'!$H$2:$H$1912)</f>
        <v>0</v>
      </c>
      <c r="E547" s="1301">
        <f t="shared" si="8"/>
        <v>112</v>
      </c>
    </row>
    <row r="548" spans="1:5" hidden="1" x14ac:dyDescent="0.25">
      <c r="A548" t="s">
        <v>1353</v>
      </c>
      <c r="B548" t="s">
        <v>324</v>
      </c>
      <c r="C548" s="1301" cm="1">
        <f t="array" ref="C548">SUMPRODUCT((CHALLAN!$B$1:$B$16504=A548)*IF(B548="",--(CHALLAN!$C$1:$C$16504=""),--(CHALLAN!$C$1:$C$16504=B548))*IFERROR(CHALLAN!$D$1:$D$16504*CHALLAN!$E$1:$E$16504,0))</f>
        <v>10</v>
      </c>
      <c r="D548" cm="1">
        <f t="array" ref="D548">SUMPRODUCT(('Pivot Data'!$D$2:$D$1912=$A548)*IF($B548="",--('Pivot Data'!$E$2:$E$1912=""),--('Pivot Data'!$E$2:$E$1912=$B548))*('Pivot Data'!$I$2:$I$1912="Cancelled")*'Pivot Data'!$H$2:$H$1912)</f>
        <v>0</v>
      </c>
      <c r="E548" s="1301">
        <f t="shared" si="8"/>
        <v>10</v>
      </c>
    </row>
    <row r="549" spans="1:5" hidden="1" x14ac:dyDescent="0.25">
      <c r="A549" t="s">
        <v>125</v>
      </c>
      <c r="C549" s="1301" cm="1">
        <f t="array" ref="C549">SUMPRODUCT((CHALLAN!$B$1:$B$16504=A549)*IF(B549="",--(CHALLAN!$C$1:$C$16504=""),--(CHALLAN!$C$1:$C$16504=B549))*IFERROR(CHALLAN!$D$1:$D$16504*CHALLAN!$E$1:$E$16504,0))</f>
        <v>575</v>
      </c>
      <c r="D549" cm="1">
        <f t="array" ref="D549">SUMPRODUCT(('Pivot Data'!$D$2:$D$1912=$A549)*IF($B549="",--('Pivot Data'!$E$2:$E$1912=""),--('Pivot Data'!$E$2:$E$1912=$B549))*('Pivot Data'!$I$2:$I$1912="Cancelled")*'Pivot Data'!$H$2:$H$1912)</f>
        <v>0</v>
      </c>
      <c r="E549" s="1301">
        <f t="shared" si="8"/>
        <v>575</v>
      </c>
    </row>
    <row r="550" spans="1:5" hidden="1" x14ac:dyDescent="0.25">
      <c r="A550" t="s">
        <v>125</v>
      </c>
      <c r="B550" t="s">
        <v>1064</v>
      </c>
      <c r="C550" s="1301" cm="1">
        <f t="array" ref="C550">SUMPRODUCT((CHALLAN!$B$1:$B$16504=A550)*IF(B550="",--(CHALLAN!$C$1:$C$16504=""),--(CHALLAN!$C$1:$C$16504=B550))*IFERROR(CHALLAN!$D$1:$D$16504*CHALLAN!$E$1:$E$16504,0))</f>
        <v>12</v>
      </c>
      <c r="D550" cm="1">
        <f t="array" ref="D550">SUMPRODUCT(('Pivot Data'!$D$2:$D$1912=$A550)*IF($B550="",--('Pivot Data'!$E$2:$E$1912=""),--('Pivot Data'!$E$2:$E$1912=$B550))*('Pivot Data'!$I$2:$I$1912="Cancelled")*'Pivot Data'!$H$2:$H$1912)</f>
        <v>0</v>
      </c>
      <c r="E550" s="1301">
        <f t="shared" si="8"/>
        <v>12</v>
      </c>
    </row>
    <row r="551" spans="1:5" hidden="1" x14ac:dyDescent="0.25">
      <c r="A551" t="s">
        <v>125</v>
      </c>
      <c r="B551" t="s">
        <v>2189</v>
      </c>
      <c r="C551" s="1301" cm="1">
        <f t="array" ref="C551">SUMPRODUCT((CHALLAN!$B$1:$B$16504=A551)*IF(B551="",--(CHALLAN!$C$1:$C$16504=""),--(CHALLAN!$C$1:$C$16504=B551))*IFERROR(CHALLAN!$D$1:$D$16504*CHALLAN!$E$1:$E$16504,0))</f>
        <v>4</v>
      </c>
      <c r="D551" cm="1">
        <f t="array" ref="D551">SUMPRODUCT(('Pivot Data'!$D$2:$D$1912=$A551)*IF($B551="",--('Pivot Data'!$E$2:$E$1912=""),--('Pivot Data'!$E$2:$E$1912=$B551))*('Pivot Data'!$I$2:$I$1912="Cancelled")*'Pivot Data'!$H$2:$H$1912)</f>
        <v>0</v>
      </c>
      <c r="E551" s="1301">
        <f t="shared" si="8"/>
        <v>4</v>
      </c>
    </row>
    <row r="552" spans="1:5" hidden="1" x14ac:dyDescent="0.25">
      <c r="A552" t="s">
        <v>125</v>
      </c>
      <c r="B552" t="s">
        <v>437</v>
      </c>
      <c r="C552" s="1301" cm="1">
        <f t="array" ref="C552">SUMPRODUCT((CHALLAN!$B$1:$B$16504=A552)*IF(B552="",--(CHALLAN!$C$1:$C$16504=""),--(CHALLAN!$C$1:$C$16504=B552))*IFERROR(CHALLAN!$D$1:$D$16504*CHALLAN!$E$1:$E$16504,0))</f>
        <v>50</v>
      </c>
      <c r="D552" cm="1">
        <f t="array" ref="D552">SUMPRODUCT(('Pivot Data'!$D$2:$D$1912=$A552)*IF($B552="",--('Pivot Data'!$E$2:$E$1912=""),--('Pivot Data'!$E$2:$E$1912=$B552))*('Pivot Data'!$I$2:$I$1912="Cancelled")*'Pivot Data'!$H$2:$H$1912)</f>
        <v>0</v>
      </c>
      <c r="E552" s="1301">
        <f t="shared" si="8"/>
        <v>50</v>
      </c>
    </row>
    <row r="553" spans="1:5" hidden="1" x14ac:dyDescent="0.25">
      <c r="A553" t="s">
        <v>125</v>
      </c>
      <c r="B553" t="s">
        <v>438</v>
      </c>
      <c r="C553" s="1301" cm="1">
        <f t="array" ref="C553">SUMPRODUCT((CHALLAN!$B$1:$B$16504=A553)*IF(B553="",--(CHALLAN!$C$1:$C$16504=""),--(CHALLAN!$C$1:$C$16504=B553))*IFERROR(CHALLAN!$D$1:$D$16504*CHALLAN!$E$1:$E$16504,0))</f>
        <v>50</v>
      </c>
      <c r="D553" cm="1">
        <f t="array" ref="D553">SUMPRODUCT(('Pivot Data'!$D$2:$D$1912=$A553)*IF($B553="",--('Pivot Data'!$E$2:$E$1912=""),--('Pivot Data'!$E$2:$E$1912=$B553))*('Pivot Data'!$I$2:$I$1912="Cancelled")*'Pivot Data'!$H$2:$H$1912)</f>
        <v>0</v>
      </c>
      <c r="E553" s="1301">
        <f t="shared" si="8"/>
        <v>50</v>
      </c>
    </row>
    <row r="554" spans="1:5" hidden="1" x14ac:dyDescent="0.25">
      <c r="A554" t="s">
        <v>125</v>
      </c>
      <c r="B554" t="s">
        <v>324</v>
      </c>
      <c r="C554" s="1301" cm="1">
        <f t="array" ref="C554">SUMPRODUCT((CHALLAN!$B$1:$B$16504=A554)*IF(B554="",--(CHALLAN!$C$1:$C$16504=""),--(CHALLAN!$C$1:$C$16504=B554))*IFERROR(CHALLAN!$D$1:$D$16504*CHALLAN!$E$1:$E$16504,0))</f>
        <v>145</v>
      </c>
      <c r="D554" cm="1">
        <f t="array" ref="D554">SUMPRODUCT(('Pivot Data'!$D$2:$D$1912=$A554)*IF($B554="",--('Pivot Data'!$E$2:$E$1912=""),--('Pivot Data'!$E$2:$E$1912=$B554))*('Pivot Data'!$I$2:$I$1912="Cancelled")*'Pivot Data'!$H$2:$H$1912)</f>
        <v>0</v>
      </c>
      <c r="E554" s="1301">
        <f t="shared" si="8"/>
        <v>145</v>
      </c>
    </row>
    <row r="555" spans="1:5" hidden="1" x14ac:dyDescent="0.25">
      <c r="A555" t="s">
        <v>1925</v>
      </c>
      <c r="C555" s="1301" cm="1">
        <f t="array" ref="C555">SUMPRODUCT((CHALLAN!$B$1:$B$16504=A555)*IF(B555="",--(CHALLAN!$C$1:$C$16504=""),--(CHALLAN!$C$1:$C$16504=B555))*IFERROR(CHALLAN!$D$1:$D$16504*CHALLAN!$E$1:$E$16504,0))</f>
        <v>15</v>
      </c>
      <c r="D555" cm="1">
        <f t="array" ref="D555">SUMPRODUCT(('Pivot Data'!$D$2:$D$1912=$A555)*IF($B555="",--('Pivot Data'!$E$2:$E$1912=""),--('Pivot Data'!$E$2:$E$1912=$B555))*('Pivot Data'!$I$2:$I$1912="Cancelled")*'Pivot Data'!$H$2:$H$1912)</f>
        <v>0</v>
      </c>
      <c r="E555" s="1301">
        <f t="shared" si="8"/>
        <v>15</v>
      </c>
    </row>
    <row r="556" spans="1:5" hidden="1" x14ac:dyDescent="0.25">
      <c r="A556" t="s">
        <v>1592</v>
      </c>
      <c r="B556" t="s">
        <v>437</v>
      </c>
      <c r="C556" s="1301" cm="1">
        <f t="array" ref="C556">SUMPRODUCT((CHALLAN!$B$1:$B$16504=A556)*IF(B556="",--(CHALLAN!$C$1:$C$16504=""),--(CHALLAN!$C$1:$C$16504=B556))*IFERROR(CHALLAN!$D$1:$D$16504*CHALLAN!$E$1:$E$16504,0))</f>
        <v>50</v>
      </c>
      <c r="D556" cm="1">
        <f t="array" ref="D556">SUMPRODUCT(('Pivot Data'!$D$2:$D$1912=$A556)*IF($B556="",--('Pivot Data'!$E$2:$E$1912=""),--('Pivot Data'!$E$2:$E$1912=$B556))*('Pivot Data'!$I$2:$I$1912="Cancelled")*'Pivot Data'!$H$2:$H$1912)</f>
        <v>0</v>
      </c>
      <c r="E556" s="1301">
        <f t="shared" si="8"/>
        <v>50</v>
      </c>
    </row>
    <row r="557" spans="1:5" hidden="1" x14ac:dyDescent="0.25">
      <c r="A557" t="s">
        <v>1594</v>
      </c>
      <c r="B557" t="s">
        <v>438</v>
      </c>
      <c r="C557" s="1301" cm="1">
        <f t="array" ref="C557">SUMPRODUCT((CHALLAN!$B$1:$B$16504=A557)*IF(B557="",--(CHALLAN!$C$1:$C$16504=""),--(CHALLAN!$C$1:$C$16504=B557))*IFERROR(CHALLAN!$D$1:$D$16504*CHALLAN!$E$1:$E$16504,0))</f>
        <v>100</v>
      </c>
      <c r="D557" cm="1">
        <f t="array" ref="D557">SUMPRODUCT(('Pivot Data'!$D$2:$D$1912=$A557)*IF($B557="",--('Pivot Data'!$E$2:$E$1912=""),--('Pivot Data'!$E$2:$E$1912=$B557))*('Pivot Data'!$I$2:$I$1912="Cancelled")*'Pivot Data'!$H$2:$H$1912)</f>
        <v>0</v>
      </c>
      <c r="E557" s="1301">
        <f t="shared" si="8"/>
        <v>100</v>
      </c>
    </row>
    <row r="558" spans="1:5" hidden="1" x14ac:dyDescent="0.25">
      <c r="A558" t="s">
        <v>786</v>
      </c>
      <c r="B558" t="s">
        <v>386</v>
      </c>
      <c r="C558" s="1301" cm="1">
        <f t="array" ref="C558">SUMPRODUCT((CHALLAN!$B$1:$B$16504=A558)*IF(B558="",--(CHALLAN!$C$1:$C$16504=""),--(CHALLAN!$C$1:$C$16504=B558))*IFERROR(CHALLAN!$D$1:$D$16504*CHALLAN!$E$1:$E$16504,0))</f>
        <v>4</v>
      </c>
      <c r="D558" cm="1">
        <f t="array" ref="D558">SUMPRODUCT(('Pivot Data'!$D$2:$D$1912=$A558)*IF($B558="",--('Pivot Data'!$E$2:$E$1912=""),--('Pivot Data'!$E$2:$E$1912=$B558))*('Pivot Data'!$I$2:$I$1912="Cancelled")*'Pivot Data'!$H$2:$H$1912)</f>
        <v>0</v>
      </c>
      <c r="E558" s="1301">
        <f t="shared" si="8"/>
        <v>4</v>
      </c>
    </row>
    <row r="559" spans="1:5" hidden="1" x14ac:dyDescent="0.25">
      <c r="A559" t="s">
        <v>2260</v>
      </c>
      <c r="C559" s="1301" cm="1">
        <f t="array" ref="C559">SUMPRODUCT((CHALLAN!$B$1:$B$16504=A559)*IF(B559="",--(CHALLAN!$C$1:$C$16504=""),--(CHALLAN!$C$1:$C$16504=B559))*IFERROR(CHALLAN!$D$1:$D$16504*CHALLAN!$E$1:$E$16504,0))</f>
        <v>0</v>
      </c>
      <c r="D559" cm="1">
        <f t="array" ref="D559">SUMPRODUCT(('Pivot Data'!$D$2:$D$1912=$A559)*IF($B559="",--('Pivot Data'!$E$2:$E$1912=""),--('Pivot Data'!$E$2:$E$1912=$B559))*('Pivot Data'!$I$2:$I$1912="Cancelled")*'Pivot Data'!$H$2:$H$1912)</f>
        <v>0</v>
      </c>
      <c r="E559" s="1301">
        <f t="shared" si="8"/>
        <v>0</v>
      </c>
    </row>
    <row r="560" spans="1:5" hidden="1" x14ac:dyDescent="0.25">
      <c r="A560" t="s">
        <v>1956</v>
      </c>
      <c r="C560" s="1301" cm="1">
        <f t="array" ref="C560">SUMPRODUCT((CHALLAN!$B$1:$B$16504=A560)*IF(B560="",--(CHALLAN!$C$1:$C$16504=""),--(CHALLAN!$C$1:$C$16504=B560))*IFERROR(CHALLAN!$D$1:$D$16504*CHALLAN!$E$1:$E$16504,0))</f>
        <v>5</v>
      </c>
      <c r="D560" cm="1">
        <f t="array" ref="D560">SUMPRODUCT(('Pivot Data'!$D$2:$D$1912=$A560)*IF($B560="",--('Pivot Data'!$E$2:$E$1912=""),--('Pivot Data'!$E$2:$E$1912=$B560))*('Pivot Data'!$I$2:$I$1912="Cancelled")*'Pivot Data'!$H$2:$H$1912)</f>
        <v>0</v>
      </c>
      <c r="E560" s="1301">
        <f t="shared" si="8"/>
        <v>5</v>
      </c>
    </row>
    <row r="561" spans="1:5" hidden="1" x14ac:dyDescent="0.25">
      <c r="A561" t="s">
        <v>1709</v>
      </c>
      <c r="B561" t="s">
        <v>445</v>
      </c>
      <c r="C561" s="1301" cm="1">
        <f t="array" ref="C561">SUMPRODUCT((CHALLAN!$B$1:$B$16504=A561)*IF(B561="",--(CHALLAN!$C$1:$C$16504=""),--(CHALLAN!$C$1:$C$16504=B561))*IFERROR(CHALLAN!$D$1:$D$16504*CHALLAN!$E$1:$E$16504,0))</f>
        <v>100</v>
      </c>
      <c r="D561" cm="1">
        <f t="array" ref="D561">SUMPRODUCT(('Pivot Data'!$D$2:$D$1912=$A561)*IF($B561="",--('Pivot Data'!$E$2:$E$1912=""),--('Pivot Data'!$E$2:$E$1912=$B561))*('Pivot Data'!$I$2:$I$1912="Cancelled")*'Pivot Data'!$H$2:$H$1912)</f>
        <v>0</v>
      </c>
      <c r="E561" s="1301">
        <f t="shared" si="8"/>
        <v>100</v>
      </c>
    </row>
    <row r="562" spans="1:5" hidden="1" x14ac:dyDescent="0.25">
      <c r="A562" t="s">
        <v>1331</v>
      </c>
      <c r="C562" s="1301" cm="1">
        <f t="array" ref="C562">SUMPRODUCT((CHALLAN!$B$1:$B$16504=A562)*IF(B562="",--(CHALLAN!$C$1:$C$16504=""),--(CHALLAN!$C$1:$C$16504=B562))*IFERROR(CHALLAN!$D$1:$D$16504*CHALLAN!$E$1:$E$16504,0))</f>
        <v>500</v>
      </c>
      <c r="D562" cm="1">
        <f t="array" ref="D562">SUMPRODUCT(('Pivot Data'!$D$2:$D$1912=$A562)*IF($B562="",--('Pivot Data'!$E$2:$E$1912=""),--('Pivot Data'!$E$2:$E$1912=$B562))*('Pivot Data'!$I$2:$I$1912="Cancelled")*'Pivot Data'!$H$2:$H$1912)</f>
        <v>0</v>
      </c>
      <c r="E562" s="1301">
        <f t="shared" si="8"/>
        <v>500</v>
      </c>
    </row>
    <row r="563" spans="1:5" hidden="1" x14ac:dyDescent="0.25">
      <c r="A563" t="s">
        <v>1332</v>
      </c>
      <c r="C563" s="1301" cm="1">
        <f t="array" ref="C563">SUMPRODUCT((CHALLAN!$B$1:$B$16504=A563)*IF(B563="",--(CHALLAN!$C$1:$C$16504=""),--(CHALLAN!$C$1:$C$16504=B563))*IFERROR(CHALLAN!$D$1:$D$16504*CHALLAN!$E$1:$E$16504,0))</f>
        <v>0</v>
      </c>
      <c r="D563" s="1296" cm="1">
        <f t="array" ref="D563">SUMPRODUCT(('Pivot Data'!$D$2:$D$1912=$A563)*IF($B563="",--('Pivot Data'!$E$2:$E$1912=""),--('Pivot Data'!$E$2:$E$1912=$B563))*('Pivot Data'!$I$2:$I$1912="Cancelled")*'Pivot Data'!$H$2:$H$1912)</f>
        <v>0</v>
      </c>
      <c r="E563" s="1296">
        <f t="shared" si="8"/>
        <v>0</v>
      </c>
    </row>
    <row r="564" spans="1:5" hidden="1" x14ac:dyDescent="0.25">
      <c r="A564" t="s">
        <v>1710</v>
      </c>
      <c r="B564" t="s">
        <v>450</v>
      </c>
      <c r="C564" s="1301" cm="1">
        <f t="array" ref="C564">SUMPRODUCT((CHALLAN!$B$1:$B$16504=A564)*IF(B564="",--(CHALLAN!$C$1:$C$16504=""),--(CHALLAN!$C$1:$C$16504=B564))*IFERROR(CHALLAN!$D$1:$D$16504*CHALLAN!$E$1:$E$16504,0))</f>
        <v>0</v>
      </c>
      <c r="D564" cm="1">
        <f t="array" ref="D564">SUMPRODUCT(('Pivot Data'!$D$2:$D$1912=$A564)*IF($B564="",--('Pivot Data'!$E$2:$E$1912=""),--('Pivot Data'!$E$2:$E$1912=$B564))*('Pivot Data'!$I$2:$I$1912="Cancelled")*'Pivot Data'!$H$2:$H$1912)</f>
        <v>0</v>
      </c>
      <c r="E564" s="1301">
        <f t="shared" si="8"/>
        <v>0</v>
      </c>
    </row>
    <row r="565" spans="1:5" hidden="1" x14ac:dyDescent="0.25">
      <c r="A565" t="s">
        <v>1333</v>
      </c>
      <c r="B565" t="s">
        <v>1176</v>
      </c>
      <c r="C565" s="1301" cm="1">
        <f t="array" ref="C565">SUMPRODUCT((CHALLAN!$B$1:$B$16504=A565)*IF(B565="",--(CHALLAN!$C$1:$C$16504=""),--(CHALLAN!$C$1:$C$16504=B565))*IFERROR(CHALLAN!$D$1:$D$16504*CHALLAN!$E$1:$E$16504,0))</f>
        <v>200</v>
      </c>
      <c r="D565" cm="1">
        <f t="array" ref="D565">SUMPRODUCT(('Pivot Data'!$D$2:$D$1912=$A565)*IF($B565="",--('Pivot Data'!$E$2:$E$1912=""),--('Pivot Data'!$E$2:$E$1912=$B565))*('Pivot Data'!$I$2:$I$1912="Cancelled")*'Pivot Data'!$H$2:$H$1912)</f>
        <v>0</v>
      </c>
      <c r="E565" s="1301">
        <f t="shared" si="8"/>
        <v>200</v>
      </c>
    </row>
    <row r="566" spans="1:5" hidden="1" x14ac:dyDescent="0.25">
      <c r="A566" t="s">
        <v>2205</v>
      </c>
      <c r="B566" t="s">
        <v>1815</v>
      </c>
      <c r="C566" s="1301" cm="1">
        <f t="array" ref="C566">SUMPRODUCT((CHALLAN!$B$1:$B$16504=A566)*IF(B566="",--(CHALLAN!$C$1:$C$16504=""),--(CHALLAN!$C$1:$C$16504=B566))*IFERROR(CHALLAN!$D$1:$D$16504*CHALLAN!$E$1:$E$16504,0))</f>
        <v>750</v>
      </c>
      <c r="D566" cm="1">
        <f t="array" ref="D566">SUMPRODUCT(('Pivot Data'!$D$2:$D$1912=$A566)*IF($B566="",--('Pivot Data'!$E$2:$E$1912=""),--('Pivot Data'!$E$2:$E$1912=$B566))*('Pivot Data'!$I$2:$I$1912="Cancelled")*'Pivot Data'!$H$2:$H$1912)</f>
        <v>0</v>
      </c>
      <c r="E566" s="1301">
        <f t="shared" si="8"/>
        <v>750</v>
      </c>
    </row>
    <row r="567" spans="1:5" hidden="1" x14ac:dyDescent="0.25">
      <c r="A567" t="s">
        <v>2206</v>
      </c>
      <c r="B567" t="s">
        <v>1815</v>
      </c>
      <c r="C567" s="1301" cm="1">
        <f t="array" ref="C567">SUMPRODUCT((CHALLAN!$B$1:$B$16504=A567)*IF(B567="",--(CHALLAN!$C$1:$C$16504=""),--(CHALLAN!$C$1:$C$16504=B567))*IFERROR(CHALLAN!$D$1:$D$16504*CHALLAN!$E$1:$E$16504,0))</f>
        <v>0</v>
      </c>
      <c r="D567" s="1296" cm="1">
        <f t="array" ref="D567">SUMPRODUCT(('Pivot Data'!$D$2:$D$1912=$A567)*IF($B567="",--('Pivot Data'!$E$2:$E$1912=""),--('Pivot Data'!$E$2:$E$1912=$B567))*('Pivot Data'!$I$2:$I$1912="Cancelled")*'Pivot Data'!$H$2:$H$1912)</f>
        <v>0</v>
      </c>
      <c r="E567" s="1296">
        <f t="shared" si="8"/>
        <v>0</v>
      </c>
    </row>
    <row r="568" spans="1:5" hidden="1" x14ac:dyDescent="0.25">
      <c r="A568" t="s">
        <v>1541</v>
      </c>
      <c r="B568" t="s">
        <v>1542</v>
      </c>
      <c r="C568" s="1301" cm="1">
        <f t="array" ref="C568">SUMPRODUCT((CHALLAN!$B$1:$B$16504=A568)*IF(B568="",--(CHALLAN!$C$1:$C$16504=""),--(CHALLAN!$C$1:$C$16504=B568))*IFERROR(CHALLAN!$D$1:$D$16504*CHALLAN!$E$1:$E$16504,0))</f>
        <v>280</v>
      </c>
      <c r="D568" cm="1">
        <f t="array" ref="D568">SUMPRODUCT(('Pivot Data'!$D$2:$D$1912=$A568)*IF($B568="",--('Pivot Data'!$E$2:$E$1912=""),--('Pivot Data'!$E$2:$E$1912=$B568))*('Pivot Data'!$I$2:$I$1912="Cancelled")*'Pivot Data'!$H$2:$H$1912)</f>
        <v>0</v>
      </c>
      <c r="E568" s="1301">
        <f t="shared" si="8"/>
        <v>280</v>
      </c>
    </row>
    <row r="569" spans="1:5" hidden="1" x14ac:dyDescent="0.25">
      <c r="A569" t="s">
        <v>1541</v>
      </c>
      <c r="B569" t="s">
        <v>1543</v>
      </c>
      <c r="C569" s="1301" cm="1">
        <f t="array" ref="C569">SUMPRODUCT((CHALLAN!$B$1:$B$16504=A569)*IF(B569="",--(CHALLAN!$C$1:$C$16504=""),--(CHALLAN!$C$1:$C$16504=B569))*IFERROR(CHALLAN!$D$1:$D$16504*CHALLAN!$E$1:$E$16504,0))</f>
        <v>105</v>
      </c>
      <c r="D569" cm="1">
        <f t="array" ref="D569">SUMPRODUCT(('Pivot Data'!$D$2:$D$1912=$A569)*IF($B569="",--('Pivot Data'!$E$2:$E$1912=""),--('Pivot Data'!$E$2:$E$1912=$B569))*('Pivot Data'!$I$2:$I$1912="Cancelled")*'Pivot Data'!$H$2:$H$1912)</f>
        <v>0</v>
      </c>
      <c r="E569" s="1301">
        <f t="shared" si="8"/>
        <v>105</v>
      </c>
    </row>
    <row r="570" spans="1:5" hidden="1" x14ac:dyDescent="0.25">
      <c r="A570" t="s">
        <v>1314</v>
      </c>
      <c r="B570" t="s">
        <v>387</v>
      </c>
      <c r="C570" s="1301" cm="1">
        <f t="array" ref="C570">SUMPRODUCT((CHALLAN!$B$1:$B$16504=A570)*IF(B570="",--(CHALLAN!$C$1:$C$16504=""),--(CHALLAN!$C$1:$C$16504=B570))*IFERROR(CHALLAN!$D$1:$D$16504*CHALLAN!$E$1:$E$16504,0))</f>
        <v>72</v>
      </c>
      <c r="D570" cm="1">
        <f t="array" ref="D570">SUMPRODUCT(('Pivot Data'!$D$2:$D$1912=$A570)*IF($B570="",--('Pivot Data'!$E$2:$E$1912=""),--('Pivot Data'!$E$2:$E$1912=$B570))*('Pivot Data'!$I$2:$I$1912="Cancelled")*'Pivot Data'!$H$2:$H$1912)</f>
        <v>0</v>
      </c>
      <c r="E570" s="1301">
        <f t="shared" si="8"/>
        <v>72</v>
      </c>
    </row>
    <row r="571" spans="1:5" hidden="1" x14ac:dyDescent="0.25">
      <c r="A571" t="s">
        <v>239</v>
      </c>
      <c r="C571" s="1301" cm="1">
        <f t="array" ref="C571">SUMPRODUCT((CHALLAN!$B$1:$B$16504=A571)*IF(B571="",--(CHALLAN!$C$1:$C$16504=""),--(CHALLAN!$C$1:$C$16504=B571))*IFERROR(CHALLAN!$D$1:$D$16504*CHALLAN!$E$1:$E$16504,0))</f>
        <v>232</v>
      </c>
      <c r="D571" cm="1">
        <f t="array" ref="D571">SUMPRODUCT(('Pivot Data'!$D$2:$D$1912=$A571)*IF($B571="",--('Pivot Data'!$E$2:$E$1912=""),--('Pivot Data'!$E$2:$E$1912=$B571))*('Pivot Data'!$I$2:$I$1912="Cancelled")*'Pivot Data'!$H$2:$H$1912)</f>
        <v>0</v>
      </c>
      <c r="E571" s="1301">
        <f t="shared" si="8"/>
        <v>232</v>
      </c>
    </row>
    <row r="572" spans="1:5" hidden="1" x14ac:dyDescent="0.25">
      <c r="A572" t="s">
        <v>239</v>
      </c>
      <c r="B572" t="s">
        <v>391</v>
      </c>
      <c r="C572" s="1301" cm="1">
        <f t="array" ref="C572">SUMPRODUCT((CHALLAN!$B$1:$B$16504=A572)*IF(B572="",--(CHALLAN!$C$1:$C$16504=""),--(CHALLAN!$C$1:$C$16504=B572))*IFERROR(CHALLAN!$D$1:$D$16504*CHALLAN!$E$1:$E$16504,0))</f>
        <v>24</v>
      </c>
      <c r="D572" cm="1">
        <f t="array" ref="D572">SUMPRODUCT(('Pivot Data'!$D$2:$D$1912=$A572)*IF($B572="",--('Pivot Data'!$E$2:$E$1912=""),--('Pivot Data'!$E$2:$E$1912=$B572))*('Pivot Data'!$I$2:$I$1912="Cancelled")*'Pivot Data'!$H$2:$H$1912)</f>
        <v>0</v>
      </c>
      <c r="E572" s="1301">
        <f t="shared" si="8"/>
        <v>24</v>
      </c>
    </row>
    <row r="573" spans="1:5" hidden="1" x14ac:dyDescent="0.25">
      <c r="A573" t="s">
        <v>239</v>
      </c>
      <c r="B573" t="s">
        <v>445</v>
      </c>
      <c r="C573" s="1301" cm="1">
        <f t="array" ref="C573">SUMPRODUCT((CHALLAN!$B$1:$B$16504=A573)*IF(B573="",--(CHALLAN!$C$1:$C$16504=""),--(CHALLAN!$C$1:$C$16504=B573))*IFERROR(CHALLAN!$D$1:$D$16504*CHALLAN!$E$1:$E$16504,0))</f>
        <v>8</v>
      </c>
      <c r="D573" cm="1">
        <f t="array" ref="D573">SUMPRODUCT(('Pivot Data'!$D$2:$D$1912=$A573)*IF($B573="",--('Pivot Data'!$E$2:$E$1912=""),--('Pivot Data'!$E$2:$E$1912=$B573))*('Pivot Data'!$I$2:$I$1912="Cancelled")*'Pivot Data'!$H$2:$H$1912)</f>
        <v>0</v>
      </c>
      <c r="E573" s="1301">
        <f t="shared" si="8"/>
        <v>8</v>
      </c>
    </row>
    <row r="574" spans="1:5" hidden="1" x14ac:dyDescent="0.25">
      <c r="A574" t="s">
        <v>239</v>
      </c>
      <c r="B574" t="s">
        <v>2038</v>
      </c>
      <c r="C574" s="1301" cm="1">
        <f t="array" ref="C574">SUMPRODUCT((CHALLAN!$B$1:$B$16504=A574)*IF(B574="",--(CHALLAN!$C$1:$C$16504=""),--(CHALLAN!$C$1:$C$16504=B574))*IFERROR(CHALLAN!$D$1:$D$16504*CHALLAN!$E$1:$E$16504,0))</f>
        <v>2</v>
      </c>
      <c r="D574" cm="1">
        <f t="array" ref="D574">SUMPRODUCT(('Pivot Data'!$D$2:$D$1912=$A574)*IF($B574="",--('Pivot Data'!$E$2:$E$1912=""),--('Pivot Data'!$E$2:$E$1912=$B574))*('Pivot Data'!$I$2:$I$1912="Cancelled")*'Pivot Data'!$H$2:$H$1912)</f>
        <v>0</v>
      </c>
      <c r="E574" s="1301">
        <f t="shared" si="8"/>
        <v>2</v>
      </c>
    </row>
    <row r="575" spans="1:5" hidden="1" x14ac:dyDescent="0.25">
      <c r="A575" t="s">
        <v>679</v>
      </c>
      <c r="C575" s="1301" cm="1">
        <f t="array" ref="C575">SUMPRODUCT((CHALLAN!$B$1:$B$16504=A575)*IF(B575="",--(CHALLAN!$C$1:$C$16504=""),--(CHALLAN!$C$1:$C$16504=B575))*IFERROR(CHALLAN!$D$1:$D$16504*CHALLAN!$E$1:$E$16504,0))</f>
        <v>40</v>
      </c>
      <c r="D575" cm="1">
        <f t="array" ref="D575">SUMPRODUCT(('Pivot Data'!$D$2:$D$1912=$A575)*IF($B575="",--('Pivot Data'!$E$2:$E$1912=""),--('Pivot Data'!$E$2:$E$1912=$B575))*('Pivot Data'!$I$2:$I$1912="Cancelled")*'Pivot Data'!$H$2:$H$1912)</f>
        <v>0</v>
      </c>
      <c r="E575" s="1301">
        <f t="shared" si="8"/>
        <v>40</v>
      </c>
    </row>
    <row r="576" spans="1:5" hidden="1" x14ac:dyDescent="0.25">
      <c r="A576" t="s">
        <v>2035</v>
      </c>
      <c r="B576" t="s">
        <v>391</v>
      </c>
      <c r="C576" s="1301" cm="1">
        <f t="array" ref="C576">SUMPRODUCT((CHALLAN!$B$1:$B$16504=A576)*IF(B576="",--(CHALLAN!$C$1:$C$16504=""),--(CHALLAN!$C$1:$C$16504=B576))*IFERROR(CHALLAN!$D$1:$D$16504*CHALLAN!$E$1:$E$16504,0))</f>
        <v>48</v>
      </c>
      <c r="D576" cm="1">
        <f t="array" ref="D576">SUMPRODUCT(('Pivot Data'!$D$2:$D$1912=$A576)*IF($B576="",--('Pivot Data'!$E$2:$E$1912=""),--('Pivot Data'!$E$2:$E$1912=$B576))*('Pivot Data'!$I$2:$I$1912="Cancelled")*'Pivot Data'!$H$2:$H$1912)</f>
        <v>0</v>
      </c>
      <c r="E576" s="1301">
        <f t="shared" si="8"/>
        <v>48</v>
      </c>
    </row>
    <row r="577" spans="1:5" hidden="1" x14ac:dyDescent="0.25">
      <c r="A577" t="s">
        <v>840</v>
      </c>
      <c r="B577" t="s">
        <v>376</v>
      </c>
      <c r="C577" s="1301" cm="1">
        <f t="array" ref="C577">SUMPRODUCT((CHALLAN!$B$1:$B$16504=A577)*IF(B577="",--(CHALLAN!$C$1:$C$16504=""),--(CHALLAN!$C$1:$C$16504=B577))*IFERROR(CHALLAN!$D$1:$D$16504*CHALLAN!$E$1:$E$16504,0))</f>
        <v>54</v>
      </c>
      <c r="D577" cm="1">
        <f t="array" ref="D577">SUMPRODUCT(('Pivot Data'!$D$2:$D$1912=$A577)*IF($B577="",--('Pivot Data'!$E$2:$E$1912=""),--('Pivot Data'!$E$2:$E$1912=$B577))*('Pivot Data'!$I$2:$I$1912="Cancelled")*'Pivot Data'!$H$2:$H$1912)</f>
        <v>0</v>
      </c>
      <c r="E577" s="1301">
        <f t="shared" si="8"/>
        <v>54</v>
      </c>
    </row>
    <row r="578" spans="1:5" hidden="1" x14ac:dyDescent="0.25">
      <c r="A578" t="s">
        <v>1740</v>
      </c>
      <c r="C578" s="1301" cm="1">
        <f t="array" ref="C578">SUMPRODUCT((CHALLAN!$B$1:$B$16504=A578)*IF(B578="",--(CHALLAN!$C$1:$C$16504=""),--(CHALLAN!$C$1:$C$16504=B578))*IFERROR(CHALLAN!$D$1:$D$16504*CHALLAN!$E$1:$E$16504,0))</f>
        <v>1</v>
      </c>
      <c r="D578" cm="1">
        <f t="array" ref="D578">SUMPRODUCT(('Pivot Data'!$D$2:$D$1912=$A578)*IF($B578="",--('Pivot Data'!$E$2:$E$1912=""),--('Pivot Data'!$E$2:$E$1912=$B578))*('Pivot Data'!$I$2:$I$1912="Cancelled")*'Pivot Data'!$H$2:$H$1912)</f>
        <v>0</v>
      </c>
      <c r="E578" s="1301">
        <f t="shared" si="8"/>
        <v>1</v>
      </c>
    </row>
    <row r="579" spans="1:5" hidden="1" x14ac:dyDescent="0.25">
      <c r="A579" t="s">
        <v>217</v>
      </c>
      <c r="B579" t="s">
        <v>388</v>
      </c>
      <c r="C579" s="1301" cm="1">
        <f t="array" ref="C579">SUMPRODUCT((CHALLAN!$B$1:$B$16504=A579)*IF(B579="",--(CHALLAN!$C$1:$C$16504=""),--(CHALLAN!$C$1:$C$16504=B579))*IFERROR(CHALLAN!$D$1:$D$16504*CHALLAN!$E$1:$E$16504,0))</f>
        <v>319</v>
      </c>
      <c r="D579" cm="1">
        <f t="array" ref="D579">SUMPRODUCT(('Pivot Data'!$D$2:$D$1912=$A579)*IF($B579="",--('Pivot Data'!$E$2:$E$1912=""),--('Pivot Data'!$E$2:$E$1912=$B579))*('Pivot Data'!$I$2:$I$1912="Cancelled")*'Pivot Data'!$H$2:$H$1912)</f>
        <v>0</v>
      </c>
      <c r="E579" s="1301">
        <f t="shared" si="8"/>
        <v>319</v>
      </c>
    </row>
    <row r="580" spans="1:5" hidden="1" x14ac:dyDescent="0.25">
      <c r="A580" t="s">
        <v>15</v>
      </c>
      <c r="C580" s="1301" cm="1">
        <f t="array" ref="C580">SUMPRODUCT((CHALLAN!$B$1:$B$16504=A580)*IF(B580="",--(CHALLAN!$C$1:$C$16504=""),--(CHALLAN!$C$1:$C$16504=B580))*IFERROR(CHALLAN!$D$1:$D$16504*CHALLAN!$E$1:$E$16504,0))</f>
        <v>40</v>
      </c>
      <c r="D580" cm="1">
        <f t="array" ref="D580">SUMPRODUCT(('Pivot Data'!$D$2:$D$1912=$A580)*IF($B580="",--('Pivot Data'!$E$2:$E$1912=""),--('Pivot Data'!$E$2:$E$1912=$B580))*('Pivot Data'!$I$2:$I$1912="Cancelled")*'Pivot Data'!$H$2:$H$1912)</f>
        <v>0</v>
      </c>
      <c r="E580" s="1301">
        <f t="shared" si="8"/>
        <v>40</v>
      </c>
    </row>
    <row r="581" spans="1:5" hidden="1" x14ac:dyDescent="0.25">
      <c r="A581" t="s">
        <v>15</v>
      </c>
      <c r="B581" t="s">
        <v>442</v>
      </c>
      <c r="C581" s="1301" cm="1">
        <f t="array" ref="C581">SUMPRODUCT((CHALLAN!$B$1:$B$16504=A581)*IF(B581="",--(CHALLAN!$C$1:$C$16504=""),--(CHALLAN!$C$1:$C$16504=B581))*IFERROR(CHALLAN!$D$1:$D$16504*CHALLAN!$E$1:$E$16504,0))</f>
        <v>100</v>
      </c>
      <c r="D581" cm="1">
        <f t="array" ref="D581">SUMPRODUCT(('Pivot Data'!$D$2:$D$1912=$A581)*IF($B581="",--('Pivot Data'!$E$2:$E$1912=""),--('Pivot Data'!$E$2:$E$1912=$B581))*('Pivot Data'!$I$2:$I$1912="Cancelled")*'Pivot Data'!$H$2:$H$1912)</f>
        <v>0</v>
      </c>
      <c r="E581" s="1301">
        <f t="shared" ref="E581:E644" si="9">C581-D581</f>
        <v>100</v>
      </c>
    </row>
    <row r="582" spans="1:5" hidden="1" x14ac:dyDescent="0.25">
      <c r="A582" t="s">
        <v>15</v>
      </c>
      <c r="B582" t="s">
        <v>16</v>
      </c>
      <c r="C582" s="1301" cm="1">
        <f t="array" ref="C582">SUMPRODUCT((CHALLAN!$B$1:$B$16504=A582)*IF(B582="",--(CHALLAN!$C$1:$C$16504=""),--(CHALLAN!$C$1:$C$16504=B582))*IFERROR(CHALLAN!$D$1:$D$16504*CHALLAN!$E$1:$E$16504,0))</f>
        <v>25</v>
      </c>
      <c r="D582" cm="1">
        <f t="array" ref="D582">SUMPRODUCT(('Pivot Data'!$D$2:$D$1912=$A582)*IF($B582="",--('Pivot Data'!$E$2:$E$1912=""),--('Pivot Data'!$E$2:$E$1912=$B582))*('Pivot Data'!$I$2:$I$1912="Cancelled")*'Pivot Data'!$H$2:$H$1912)</f>
        <v>0</v>
      </c>
      <c r="E582" s="1301">
        <f t="shared" si="9"/>
        <v>25</v>
      </c>
    </row>
    <row r="583" spans="1:5" hidden="1" x14ac:dyDescent="0.25">
      <c r="A583" t="s">
        <v>2172</v>
      </c>
      <c r="B583" t="s">
        <v>16</v>
      </c>
      <c r="C583" s="1301" cm="1">
        <f t="array" ref="C583">SUMPRODUCT((CHALLAN!$B$1:$B$16504=A583)*IF(B583="",--(CHALLAN!$C$1:$C$16504=""),--(CHALLAN!$C$1:$C$16504=B583))*IFERROR(CHALLAN!$D$1:$D$16504*CHALLAN!$E$1:$E$16504,0))</f>
        <v>5</v>
      </c>
      <c r="D583" cm="1">
        <f t="array" ref="D583">SUMPRODUCT(('Pivot Data'!$D$2:$D$1912=$A583)*IF($B583="",--('Pivot Data'!$E$2:$E$1912=""),--('Pivot Data'!$E$2:$E$1912=$B583))*('Pivot Data'!$I$2:$I$1912="Cancelled")*'Pivot Data'!$H$2:$H$1912)</f>
        <v>0</v>
      </c>
      <c r="E583" s="1301">
        <f t="shared" si="9"/>
        <v>5</v>
      </c>
    </row>
    <row r="584" spans="1:5" hidden="1" x14ac:dyDescent="0.25">
      <c r="A584" t="s">
        <v>15</v>
      </c>
      <c r="B584" t="s">
        <v>2233</v>
      </c>
      <c r="C584" s="1301" cm="1">
        <f t="array" ref="C584">SUMPRODUCT((CHALLAN!$B$1:$B$16504=A584)*IF(B584="",--(CHALLAN!$C$1:$C$16504=""),--(CHALLAN!$C$1:$C$16504=B584))*IFERROR(CHALLAN!$D$1:$D$16504*CHALLAN!$E$1:$E$16504,0))</f>
        <v>0</v>
      </c>
      <c r="D584" cm="1">
        <f t="array" ref="D584">SUMPRODUCT(('Pivot Data'!$D$2:$D$1912=$A584)*IF($B584="",--('Pivot Data'!$E$2:$E$1912=""),--('Pivot Data'!$E$2:$E$1912=$B584))*('Pivot Data'!$I$2:$I$1912="Cancelled")*'Pivot Data'!$H$2:$H$1912)</f>
        <v>0</v>
      </c>
      <c r="E584" s="1301">
        <f t="shared" si="9"/>
        <v>0</v>
      </c>
    </row>
    <row r="585" spans="1:5" hidden="1" x14ac:dyDescent="0.25">
      <c r="A585" t="s">
        <v>1336</v>
      </c>
      <c r="C585" s="1301" cm="1">
        <f t="array" ref="C585">SUMPRODUCT((CHALLAN!$B$1:$B$16504=A585)*IF(B585="",--(CHALLAN!$C$1:$C$16504=""),--(CHALLAN!$C$1:$C$16504=B585))*IFERROR(CHALLAN!$D$1:$D$16504*CHALLAN!$E$1:$E$16504,0))</f>
        <v>36</v>
      </c>
      <c r="D585" cm="1">
        <f t="array" ref="D585">SUMPRODUCT(('Pivot Data'!$D$2:$D$1912=$A585)*IF($B585="",--('Pivot Data'!$E$2:$E$1912=""),--('Pivot Data'!$E$2:$E$1912=$B585))*('Pivot Data'!$I$2:$I$1912="Cancelled")*'Pivot Data'!$H$2:$H$1912)</f>
        <v>0</v>
      </c>
      <c r="E585" s="1301">
        <f t="shared" si="9"/>
        <v>36</v>
      </c>
    </row>
    <row r="586" spans="1:5" hidden="1" x14ac:dyDescent="0.25">
      <c r="A586" t="s">
        <v>1802</v>
      </c>
      <c r="B586" t="s">
        <v>1672</v>
      </c>
      <c r="C586" s="1301" cm="1">
        <f t="array" ref="C586">SUMPRODUCT((CHALLAN!$B$1:$B$16504=A586)*IF(B586="",--(CHALLAN!$C$1:$C$16504=""),--(CHALLAN!$C$1:$C$16504=B586))*IFERROR(CHALLAN!$D$1:$D$16504*CHALLAN!$E$1:$E$16504,0))</f>
        <v>12</v>
      </c>
      <c r="D586" cm="1">
        <f t="array" ref="D586">SUMPRODUCT(('Pivot Data'!$D$2:$D$1912=$A586)*IF($B586="",--('Pivot Data'!$E$2:$E$1912=""),--('Pivot Data'!$E$2:$E$1912=$B586))*('Pivot Data'!$I$2:$I$1912="Cancelled")*'Pivot Data'!$H$2:$H$1912)</f>
        <v>0</v>
      </c>
      <c r="E586" s="1301">
        <f t="shared" si="9"/>
        <v>12</v>
      </c>
    </row>
    <row r="587" spans="1:5" hidden="1" x14ac:dyDescent="0.25">
      <c r="A587" t="s">
        <v>2245</v>
      </c>
      <c r="B587" t="s">
        <v>1604</v>
      </c>
      <c r="C587" s="1301" cm="1">
        <f t="array" ref="C587">SUMPRODUCT((CHALLAN!$B$1:$B$16504=A587)*IF(B587="",--(CHALLAN!$C$1:$C$16504=""),--(CHALLAN!$C$1:$C$16504=B587))*IFERROR(CHALLAN!$D$1:$D$16504*CHALLAN!$E$1:$E$16504,0))</f>
        <v>1</v>
      </c>
      <c r="D587" cm="1">
        <f t="array" ref="D587">SUMPRODUCT(('Pivot Data'!$D$2:$D$1912=$A587)*IF($B587="",--('Pivot Data'!$E$2:$E$1912=""),--('Pivot Data'!$E$2:$E$1912=$B587))*('Pivot Data'!$I$2:$I$1912="Cancelled")*'Pivot Data'!$H$2:$H$1912)</f>
        <v>1</v>
      </c>
      <c r="E587" s="1301">
        <f t="shared" si="9"/>
        <v>0</v>
      </c>
    </row>
    <row r="588" spans="1:5" hidden="1" x14ac:dyDescent="0.25">
      <c r="A588" t="s">
        <v>797</v>
      </c>
      <c r="C588" s="1301" cm="1">
        <f t="array" ref="C588">SUMPRODUCT((CHALLAN!$B$1:$B$16504=A588)*IF(B588="",--(CHALLAN!$C$1:$C$16504=""),--(CHALLAN!$C$1:$C$16504=B588))*IFERROR(CHALLAN!$D$1:$D$16504*CHALLAN!$E$1:$E$16504,0))</f>
        <v>0</v>
      </c>
      <c r="D588" cm="1">
        <f t="array" ref="D588">SUMPRODUCT(('Pivot Data'!$D$2:$D$1912=$A588)*IF($B588="",--('Pivot Data'!$E$2:$E$1912=""),--('Pivot Data'!$E$2:$E$1912=$B588))*('Pivot Data'!$I$2:$I$1912="Cancelled")*'Pivot Data'!$H$2:$H$1912)</f>
        <v>0</v>
      </c>
      <c r="E588" s="1301">
        <f t="shared" si="9"/>
        <v>0</v>
      </c>
    </row>
    <row r="589" spans="1:5" hidden="1" x14ac:dyDescent="0.25">
      <c r="A589" t="s">
        <v>487</v>
      </c>
      <c r="C589" s="1301" cm="1">
        <f t="array" ref="C589">SUMPRODUCT((CHALLAN!$B$1:$B$16504=A589)*IF(B589="",--(CHALLAN!$C$1:$C$16504=""),--(CHALLAN!$C$1:$C$16504=B589))*IFERROR(CHALLAN!$D$1:$D$16504*CHALLAN!$E$1:$E$16504,0))</f>
        <v>0</v>
      </c>
      <c r="D589" cm="1">
        <f t="array" ref="D589">SUMPRODUCT(('Pivot Data'!$D$2:$D$1912=$A589)*IF($B589="",--('Pivot Data'!$E$2:$E$1912=""),--('Pivot Data'!$E$2:$E$1912=$B589))*('Pivot Data'!$I$2:$I$1912="Cancelled")*'Pivot Data'!$H$2:$H$1912)</f>
        <v>0</v>
      </c>
      <c r="E589" s="1301">
        <f t="shared" si="9"/>
        <v>0</v>
      </c>
    </row>
    <row r="590" spans="1:5" hidden="1" x14ac:dyDescent="0.25">
      <c r="A590" t="s">
        <v>2036</v>
      </c>
      <c r="B590" t="s">
        <v>16</v>
      </c>
      <c r="C590" s="1301" cm="1">
        <f t="array" ref="C590">SUMPRODUCT((CHALLAN!$B$1:$B$16504=A590)*IF(B590="",--(CHALLAN!$C$1:$C$16504=""),--(CHALLAN!$C$1:$C$16504=B590))*IFERROR(CHALLAN!$D$1:$D$16504*CHALLAN!$E$1:$E$16504,0))</f>
        <v>45</v>
      </c>
      <c r="D590" cm="1">
        <f t="array" ref="D590">SUMPRODUCT(('Pivot Data'!$D$2:$D$1912=$A590)*IF($B590="",--('Pivot Data'!$E$2:$E$1912=""),--('Pivot Data'!$E$2:$E$1912=$B590))*('Pivot Data'!$I$2:$I$1912="Cancelled")*'Pivot Data'!$H$2:$H$1912)</f>
        <v>0</v>
      </c>
      <c r="E590" s="1301">
        <f t="shared" si="9"/>
        <v>45</v>
      </c>
    </row>
    <row r="591" spans="1:5" hidden="1" x14ac:dyDescent="0.25">
      <c r="A591" t="s">
        <v>2209</v>
      </c>
      <c r="B591" t="s">
        <v>415</v>
      </c>
      <c r="C591" s="1301" cm="1">
        <f t="array" ref="C591">SUMPRODUCT((CHALLAN!$B$1:$B$16504=A591)*IF(B591="",--(CHALLAN!$C$1:$C$16504=""),--(CHALLAN!$C$1:$C$16504=B591))*IFERROR(CHALLAN!$D$1:$D$16504*CHALLAN!$E$1:$E$16504,0))</f>
        <v>0</v>
      </c>
      <c r="D591" cm="1">
        <f t="array" ref="D591">SUMPRODUCT(('Pivot Data'!$D$2:$D$1912=$A591)*IF($B591="",--('Pivot Data'!$E$2:$E$1912=""),--('Pivot Data'!$E$2:$E$1912=$B591))*('Pivot Data'!$I$2:$I$1912="Cancelled")*'Pivot Data'!$H$2:$H$1912)</f>
        <v>0</v>
      </c>
      <c r="E591" s="1301">
        <f t="shared" si="9"/>
        <v>0</v>
      </c>
    </row>
    <row r="592" spans="1:5" hidden="1" x14ac:dyDescent="0.25">
      <c r="A592" t="s">
        <v>2055</v>
      </c>
      <c r="B592" t="s">
        <v>16</v>
      </c>
      <c r="C592" s="1301" cm="1">
        <f t="array" ref="C592">SUMPRODUCT((CHALLAN!$B$1:$B$16504=A592)*IF(B592="",--(CHALLAN!$C$1:$C$16504=""),--(CHALLAN!$C$1:$C$16504=B592))*IFERROR(CHALLAN!$D$1:$D$16504*CHALLAN!$E$1:$E$16504,0))</f>
        <v>10</v>
      </c>
      <c r="D592" cm="1">
        <f t="array" ref="D592">SUMPRODUCT(('Pivot Data'!$D$2:$D$1912=$A592)*IF($B592="",--('Pivot Data'!$E$2:$E$1912=""),--('Pivot Data'!$E$2:$E$1912=$B592))*('Pivot Data'!$I$2:$I$1912="Cancelled")*'Pivot Data'!$H$2:$H$1912)</f>
        <v>0</v>
      </c>
      <c r="E592" s="1301">
        <f t="shared" si="9"/>
        <v>10</v>
      </c>
    </row>
    <row r="593" spans="1:5" hidden="1" x14ac:dyDescent="0.25">
      <c r="A593" t="s">
        <v>218</v>
      </c>
      <c r="C593" s="1301" cm="1">
        <f t="array" ref="C593">SUMPRODUCT((CHALLAN!$B$1:$B$16504=A593)*IF(B593="",--(CHALLAN!$C$1:$C$16504=""),--(CHALLAN!$C$1:$C$16504=B593))*IFERROR(CHALLAN!$D$1:$D$16504*CHALLAN!$E$1:$E$16504,0))</f>
        <v>24</v>
      </c>
      <c r="D593" cm="1">
        <f t="array" ref="D593">SUMPRODUCT(('Pivot Data'!$D$2:$D$1912=$A593)*IF($B593="",--('Pivot Data'!$E$2:$E$1912=""),--('Pivot Data'!$E$2:$E$1912=$B593))*('Pivot Data'!$I$2:$I$1912="Cancelled")*'Pivot Data'!$H$2:$H$1912)</f>
        <v>0</v>
      </c>
      <c r="E593" s="1301">
        <f t="shared" si="9"/>
        <v>24</v>
      </c>
    </row>
    <row r="594" spans="1:5" hidden="1" x14ac:dyDescent="0.25">
      <c r="A594" t="s">
        <v>218</v>
      </c>
      <c r="B594" t="s">
        <v>407</v>
      </c>
      <c r="C594" s="1301" cm="1">
        <f t="array" ref="C594">SUMPRODUCT((CHALLAN!$B$1:$B$16504=A594)*IF(B594="",--(CHALLAN!$C$1:$C$16504=""),--(CHALLAN!$C$1:$C$16504=B594))*IFERROR(CHALLAN!$D$1:$D$16504*CHALLAN!$E$1:$E$16504,0))</f>
        <v>0</v>
      </c>
      <c r="D594" cm="1">
        <f t="array" ref="D594">SUMPRODUCT(('Pivot Data'!$D$2:$D$1912=$A594)*IF($B594="",--('Pivot Data'!$E$2:$E$1912=""),--('Pivot Data'!$E$2:$E$1912=$B594))*('Pivot Data'!$I$2:$I$1912="Cancelled")*'Pivot Data'!$H$2:$H$1912)</f>
        <v>0</v>
      </c>
      <c r="E594" s="1301">
        <f t="shared" si="9"/>
        <v>0</v>
      </c>
    </row>
    <row r="595" spans="1:5" hidden="1" x14ac:dyDescent="0.25">
      <c r="A595" t="s">
        <v>218</v>
      </c>
      <c r="B595" t="s">
        <v>440</v>
      </c>
      <c r="C595" s="1301" cm="1">
        <f t="array" ref="C595">SUMPRODUCT((CHALLAN!$B$1:$B$16504=A595)*IF(B595="",--(CHALLAN!$C$1:$C$16504=""),--(CHALLAN!$C$1:$C$16504=B595))*IFERROR(CHALLAN!$D$1:$D$16504*CHALLAN!$E$1:$E$16504,0))</f>
        <v>25</v>
      </c>
      <c r="D595" cm="1">
        <f t="array" ref="D595">SUMPRODUCT(('Pivot Data'!$D$2:$D$1912=$A595)*IF($B595="",--('Pivot Data'!$E$2:$E$1912=""),--('Pivot Data'!$E$2:$E$1912=$B595))*('Pivot Data'!$I$2:$I$1912="Cancelled")*'Pivot Data'!$H$2:$H$1912)</f>
        <v>0</v>
      </c>
      <c r="E595" s="1301">
        <f t="shared" si="9"/>
        <v>25</v>
      </c>
    </row>
    <row r="596" spans="1:5" hidden="1" x14ac:dyDescent="0.25">
      <c r="A596" t="s">
        <v>219</v>
      </c>
      <c r="B596" t="s">
        <v>390</v>
      </c>
      <c r="C596" s="1301" cm="1">
        <f t="array" ref="C596">SUMPRODUCT((CHALLAN!$B$1:$B$16504=A596)*IF(B596="",--(CHALLAN!$C$1:$C$16504=""),--(CHALLAN!$C$1:$C$16504=B596))*IFERROR(CHALLAN!$D$1:$D$16504*CHALLAN!$E$1:$E$16504,0))</f>
        <v>94</v>
      </c>
      <c r="D596" cm="1">
        <f t="array" ref="D596">SUMPRODUCT(('Pivot Data'!$D$2:$D$1912=$A596)*IF($B596="",--('Pivot Data'!$E$2:$E$1912=""),--('Pivot Data'!$E$2:$E$1912=$B596))*('Pivot Data'!$I$2:$I$1912="Cancelled")*'Pivot Data'!$H$2:$H$1912)</f>
        <v>0</v>
      </c>
      <c r="E596" s="1301">
        <f t="shared" si="9"/>
        <v>94</v>
      </c>
    </row>
    <row r="597" spans="1:5" hidden="1" x14ac:dyDescent="0.25">
      <c r="A597" t="s">
        <v>158</v>
      </c>
      <c r="C597" s="1301" cm="1">
        <f t="array" ref="C597">SUMPRODUCT((CHALLAN!$B$1:$B$16504=A597)*IF(B597="",--(CHALLAN!$C$1:$C$16504=""),--(CHALLAN!$C$1:$C$16504=B597))*IFERROR(CHALLAN!$D$1:$D$16504*CHALLAN!$E$1:$E$16504,0))</f>
        <v>6</v>
      </c>
      <c r="D597" cm="1">
        <f t="array" ref="D597">SUMPRODUCT(('Pivot Data'!$D$2:$D$1912=$A597)*IF($B597="",--('Pivot Data'!$E$2:$E$1912=""),--('Pivot Data'!$E$2:$E$1912=$B597))*('Pivot Data'!$I$2:$I$1912="Cancelled")*'Pivot Data'!$H$2:$H$1912)</f>
        <v>0</v>
      </c>
      <c r="E597" s="1301">
        <f t="shared" si="9"/>
        <v>6</v>
      </c>
    </row>
    <row r="598" spans="1:5" hidden="1" x14ac:dyDescent="0.25">
      <c r="A598" t="s">
        <v>158</v>
      </c>
      <c r="B598" t="s">
        <v>1614</v>
      </c>
      <c r="C598" s="1301" cm="1">
        <f t="array" ref="C598">SUMPRODUCT((CHALLAN!$B$1:$B$16504=A598)*IF(B598="",--(CHALLAN!$C$1:$C$16504=""),--(CHALLAN!$C$1:$C$16504=B598))*IFERROR(CHALLAN!$D$1:$D$16504*CHALLAN!$E$1:$E$16504,0))</f>
        <v>1</v>
      </c>
      <c r="D598" cm="1">
        <f t="array" ref="D598">SUMPRODUCT(('Pivot Data'!$D$2:$D$1912=$A598)*IF($B598="",--('Pivot Data'!$E$2:$E$1912=""),--('Pivot Data'!$E$2:$E$1912=$B598))*('Pivot Data'!$I$2:$I$1912="Cancelled")*'Pivot Data'!$H$2:$H$1912)</f>
        <v>0</v>
      </c>
      <c r="E598" s="1301">
        <f t="shared" si="9"/>
        <v>1</v>
      </c>
    </row>
    <row r="599" spans="1:5" hidden="1" x14ac:dyDescent="0.25">
      <c r="A599" t="s">
        <v>1882</v>
      </c>
      <c r="B599" t="s">
        <v>1821</v>
      </c>
      <c r="C599" s="1301" cm="1">
        <f t="array" ref="C599">SUMPRODUCT((CHALLAN!$B$1:$B$16504=A599)*IF(B599="",--(CHALLAN!$C$1:$C$16504=""),--(CHALLAN!$C$1:$C$16504=B599))*IFERROR(CHALLAN!$D$1:$D$16504*CHALLAN!$E$1:$E$16504,0))</f>
        <v>5200</v>
      </c>
      <c r="D599" cm="1">
        <f t="array" ref="D599">SUMPRODUCT(('Pivot Data'!$D$2:$D$1912=$A599)*IF($B599="",--('Pivot Data'!$E$2:$E$1912=""),--('Pivot Data'!$E$2:$E$1912=$B599))*('Pivot Data'!$I$2:$I$1912="Cancelled")*'Pivot Data'!$H$2:$H$1912)</f>
        <v>0</v>
      </c>
      <c r="E599" s="1301">
        <f t="shared" si="9"/>
        <v>5200</v>
      </c>
    </row>
    <row r="600" spans="1:5" hidden="1" x14ac:dyDescent="0.25">
      <c r="A600" t="s">
        <v>1545</v>
      </c>
      <c r="C600" s="1301" cm="1">
        <f t="array" ref="C600">SUMPRODUCT((CHALLAN!$B$1:$B$16504=A600)*IF(B600="",--(CHALLAN!$C$1:$C$16504=""),--(CHALLAN!$C$1:$C$16504=B600))*IFERROR(CHALLAN!$D$1:$D$16504*CHALLAN!$E$1:$E$16504,0))</f>
        <v>10</v>
      </c>
      <c r="D600" cm="1">
        <f t="array" ref="D600">SUMPRODUCT(('Pivot Data'!$D$2:$D$1912=$A600)*IF($B600="",--('Pivot Data'!$E$2:$E$1912=""),--('Pivot Data'!$E$2:$E$1912=$B600))*('Pivot Data'!$I$2:$I$1912="Cancelled")*'Pivot Data'!$H$2:$H$1912)</f>
        <v>0</v>
      </c>
      <c r="E600" s="1301">
        <f t="shared" si="9"/>
        <v>10</v>
      </c>
    </row>
    <row r="601" spans="1:5" hidden="1" x14ac:dyDescent="0.25">
      <c r="A601" t="s">
        <v>1784</v>
      </c>
      <c r="B601" t="s">
        <v>96</v>
      </c>
      <c r="C601" s="1301" cm="1">
        <f t="array" ref="C601">SUMPRODUCT((CHALLAN!$B$1:$B$16504=A601)*IF(B601="",--(CHALLAN!$C$1:$C$16504=""),--(CHALLAN!$C$1:$C$16504=B601))*IFERROR(CHALLAN!$D$1:$D$16504*CHALLAN!$E$1:$E$16504,0))</f>
        <v>90</v>
      </c>
      <c r="D601" cm="1">
        <f t="array" ref="D601">SUMPRODUCT(('Pivot Data'!$D$2:$D$1912=$A601)*IF($B601="",--('Pivot Data'!$E$2:$E$1912=""),--('Pivot Data'!$E$2:$E$1912=$B601))*('Pivot Data'!$I$2:$I$1912="Cancelled")*'Pivot Data'!$H$2:$H$1912)</f>
        <v>0</v>
      </c>
      <c r="E601" s="1301">
        <f t="shared" si="9"/>
        <v>90</v>
      </c>
    </row>
    <row r="602" spans="1:5" hidden="1" x14ac:dyDescent="0.25">
      <c r="A602" t="s">
        <v>105</v>
      </c>
      <c r="B602" t="s">
        <v>2154</v>
      </c>
      <c r="C602" s="1301" cm="1">
        <f t="array" ref="C602">SUMPRODUCT((CHALLAN!$B$1:$B$16504=A602)*IF(B602="",--(CHALLAN!$C$1:$C$16504=""),--(CHALLAN!$C$1:$C$16504=B602))*IFERROR(CHALLAN!$D$1:$D$16504*CHALLAN!$E$1:$E$16504,0))</f>
        <v>54</v>
      </c>
      <c r="D602" cm="1">
        <f t="array" ref="D602">SUMPRODUCT(('Pivot Data'!$D$2:$D$1912=$A602)*IF($B602="",--('Pivot Data'!$E$2:$E$1912=""),--('Pivot Data'!$E$2:$E$1912=$B602))*('Pivot Data'!$I$2:$I$1912="Cancelled")*'Pivot Data'!$H$2:$H$1912)</f>
        <v>0</v>
      </c>
      <c r="E602" s="1301">
        <f t="shared" si="9"/>
        <v>54</v>
      </c>
    </row>
    <row r="603" spans="1:5" hidden="1" x14ac:dyDescent="0.25">
      <c r="A603" t="s">
        <v>1924</v>
      </c>
      <c r="B603" t="s">
        <v>96</v>
      </c>
      <c r="C603" s="1301" cm="1">
        <f t="array" ref="C603">SUMPRODUCT((CHALLAN!$B$1:$B$16504=A603)*IF(B603="",--(CHALLAN!$C$1:$C$16504=""),--(CHALLAN!$C$1:$C$16504=B603))*IFERROR(CHALLAN!$D$1:$D$16504*CHALLAN!$E$1:$E$16504,0))</f>
        <v>10</v>
      </c>
      <c r="D603" cm="1">
        <f t="array" ref="D603">SUMPRODUCT(('Pivot Data'!$D$2:$D$1912=$A603)*IF($B603="",--('Pivot Data'!$E$2:$E$1912=""),--('Pivot Data'!$E$2:$E$1912=$B603))*('Pivot Data'!$I$2:$I$1912="Cancelled")*'Pivot Data'!$H$2:$H$1912)</f>
        <v>0</v>
      </c>
      <c r="E603" s="1301">
        <f t="shared" si="9"/>
        <v>10</v>
      </c>
    </row>
    <row r="604" spans="1:5" hidden="1" x14ac:dyDescent="0.25">
      <c r="A604" t="s">
        <v>1548</v>
      </c>
      <c r="C604" s="1301" cm="1">
        <f t="array" ref="C604">SUMPRODUCT((CHALLAN!$B$1:$B$16504=A604)*IF(B604="",--(CHALLAN!$C$1:$C$16504=""),--(CHALLAN!$C$1:$C$16504=B604))*IFERROR(CHALLAN!$D$1:$D$16504*CHALLAN!$E$1:$E$16504,0))</f>
        <v>10</v>
      </c>
      <c r="D604" cm="1">
        <f t="array" ref="D604">SUMPRODUCT(('Pivot Data'!$D$2:$D$1912=$A604)*IF($B604="",--('Pivot Data'!$E$2:$E$1912=""),--('Pivot Data'!$E$2:$E$1912=$B604))*('Pivot Data'!$I$2:$I$1912="Cancelled")*'Pivot Data'!$H$2:$H$1912)</f>
        <v>0</v>
      </c>
      <c r="E604" s="1301">
        <f t="shared" si="9"/>
        <v>10</v>
      </c>
    </row>
    <row r="605" spans="1:5" hidden="1" x14ac:dyDescent="0.25">
      <c r="A605" t="s">
        <v>988</v>
      </c>
      <c r="B605" t="s">
        <v>376</v>
      </c>
      <c r="C605" s="1301" cm="1">
        <f t="array" ref="C605">SUMPRODUCT((CHALLAN!$B$1:$B$16504=A605)*IF(B605="",--(CHALLAN!$C$1:$C$16504=""),--(CHALLAN!$C$1:$C$16504=B605))*IFERROR(CHALLAN!$D$1:$D$16504*CHALLAN!$E$1:$E$16504,0))</f>
        <v>114</v>
      </c>
      <c r="D605" cm="1">
        <f t="array" ref="D605">SUMPRODUCT(('Pivot Data'!$D$2:$D$1912=$A605)*IF($B605="",--('Pivot Data'!$E$2:$E$1912=""),--('Pivot Data'!$E$2:$E$1912=$B605))*('Pivot Data'!$I$2:$I$1912="Cancelled")*'Pivot Data'!$H$2:$H$1912)</f>
        <v>0</v>
      </c>
      <c r="E605" s="1301">
        <f t="shared" si="9"/>
        <v>114</v>
      </c>
    </row>
    <row r="606" spans="1:5" hidden="1" x14ac:dyDescent="0.25">
      <c r="A606" t="s">
        <v>2291</v>
      </c>
      <c r="C606" s="1301" cm="1">
        <f t="array" ref="C606">SUMPRODUCT((CHALLAN!$B$1:$B$16504=A606)*IF(B606="",--(CHALLAN!$C$1:$C$16504=""),--(CHALLAN!$C$1:$C$16504=B606))*IFERROR(CHALLAN!$D$1:$D$16504*CHALLAN!$E$1:$E$16504,0))</f>
        <v>10</v>
      </c>
      <c r="D606" cm="1">
        <f t="array" ref="D606">SUMPRODUCT(('Pivot Data'!$D$2:$D$1912=$A606)*IF($B606="",--('Pivot Data'!$E$2:$E$1912=""),--('Pivot Data'!$E$2:$E$1912=$B606))*('Pivot Data'!$I$2:$I$1912="Cancelled")*'Pivot Data'!$H$2:$H$1912)</f>
        <v>0</v>
      </c>
      <c r="E606" s="1301">
        <f t="shared" si="9"/>
        <v>10</v>
      </c>
    </row>
    <row r="607" spans="1:5" hidden="1" x14ac:dyDescent="0.25">
      <c r="A607" t="s">
        <v>1997</v>
      </c>
      <c r="C607" s="1301" cm="1">
        <f t="array" ref="C607">SUMPRODUCT((CHALLAN!$B$1:$B$16504=A607)*IF(B607="",--(CHALLAN!$C$1:$C$16504=""),--(CHALLAN!$C$1:$C$16504=B607))*IFERROR(CHALLAN!$D$1:$D$16504*CHALLAN!$E$1:$E$16504,0))</f>
        <v>25</v>
      </c>
      <c r="D607" cm="1">
        <f t="array" ref="D607">SUMPRODUCT(('Pivot Data'!$D$2:$D$1912=$A607)*IF($B607="",--('Pivot Data'!$E$2:$E$1912=""),--('Pivot Data'!$E$2:$E$1912=$B607))*('Pivot Data'!$I$2:$I$1912="Cancelled")*'Pivot Data'!$H$2:$H$1912)</f>
        <v>0</v>
      </c>
      <c r="E607" s="1301">
        <f t="shared" si="9"/>
        <v>25</v>
      </c>
    </row>
    <row r="608" spans="1:5" hidden="1" x14ac:dyDescent="0.25">
      <c r="A608" t="s">
        <v>1995</v>
      </c>
      <c r="C608" s="1301" cm="1">
        <f t="array" ref="C608">SUMPRODUCT((CHALLAN!$B$1:$B$16504=A608)*IF(B608="",--(CHALLAN!$C$1:$C$16504=""),--(CHALLAN!$C$1:$C$16504=B608))*IFERROR(CHALLAN!$D$1:$D$16504*CHALLAN!$E$1:$E$16504,0))</f>
        <v>8</v>
      </c>
      <c r="D608" cm="1">
        <f t="array" ref="D608">SUMPRODUCT(('Pivot Data'!$D$2:$D$1912=$A608)*IF($B608="",--('Pivot Data'!$E$2:$E$1912=""),--('Pivot Data'!$E$2:$E$1912=$B608))*('Pivot Data'!$I$2:$I$1912="Cancelled")*'Pivot Data'!$H$2:$H$1912)</f>
        <v>0</v>
      </c>
      <c r="E608" s="1301">
        <f t="shared" si="9"/>
        <v>8</v>
      </c>
    </row>
    <row r="609" spans="1:5" hidden="1" x14ac:dyDescent="0.25">
      <c r="A609" t="s">
        <v>131</v>
      </c>
      <c r="B609" t="s">
        <v>411</v>
      </c>
      <c r="C609" s="1301" cm="1">
        <f t="array" ref="C609">SUMPRODUCT((CHALLAN!$B$1:$B$16504=A609)*IF(B609="",--(CHALLAN!$C$1:$C$16504=""),--(CHALLAN!$C$1:$C$16504=B609))*IFERROR(CHALLAN!$D$1:$D$16504*CHALLAN!$E$1:$E$16504,0))</f>
        <v>0</v>
      </c>
      <c r="D609" cm="1">
        <f t="array" ref="D609">SUMPRODUCT(('Pivot Data'!$D$2:$D$1912=$A609)*IF($B609="",--('Pivot Data'!$E$2:$E$1912=""),--('Pivot Data'!$E$2:$E$1912=$B609))*('Pivot Data'!$I$2:$I$1912="Cancelled")*'Pivot Data'!$H$2:$H$1912)</f>
        <v>0</v>
      </c>
      <c r="E609" s="1301">
        <f t="shared" si="9"/>
        <v>0</v>
      </c>
    </row>
    <row r="610" spans="1:5" hidden="1" x14ac:dyDescent="0.25">
      <c r="A610" t="s">
        <v>131</v>
      </c>
      <c r="B610" t="s">
        <v>394</v>
      </c>
      <c r="C610" s="1301" cm="1">
        <f t="array" ref="C610">SUMPRODUCT((CHALLAN!$B$1:$B$16504=A610)*IF(B610="",--(CHALLAN!$C$1:$C$16504=""),--(CHALLAN!$C$1:$C$16504=B610))*IFERROR(CHALLAN!$D$1:$D$16504*CHALLAN!$E$1:$E$16504,0))</f>
        <v>4</v>
      </c>
      <c r="D610" cm="1">
        <f t="array" ref="D610">SUMPRODUCT(('Pivot Data'!$D$2:$D$1912=$A610)*IF($B610="",--('Pivot Data'!$E$2:$E$1912=""),--('Pivot Data'!$E$2:$E$1912=$B610))*('Pivot Data'!$I$2:$I$1912="Cancelled")*'Pivot Data'!$H$2:$H$1912)</f>
        <v>0</v>
      </c>
      <c r="E610" s="1301">
        <f t="shared" si="9"/>
        <v>4</v>
      </c>
    </row>
    <row r="611" spans="1:5" hidden="1" x14ac:dyDescent="0.25">
      <c r="A611" t="s">
        <v>131</v>
      </c>
      <c r="B611" t="s">
        <v>451</v>
      </c>
      <c r="C611" s="1301" cm="1">
        <f t="array" ref="C611">SUMPRODUCT((CHALLAN!$B$1:$B$16504=A611)*IF(B611="",--(CHALLAN!$C$1:$C$16504=""),--(CHALLAN!$C$1:$C$16504=B611))*IFERROR(CHALLAN!$D$1:$D$16504*CHALLAN!$E$1:$E$16504,0))</f>
        <v>50</v>
      </c>
      <c r="D611" cm="1">
        <f t="array" ref="D611">SUMPRODUCT(('Pivot Data'!$D$2:$D$1912=$A611)*IF($B611="",--('Pivot Data'!$E$2:$E$1912=""),--('Pivot Data'!$E$2:$E$1912=$B611))*('Pivot Data'!$I$2:$I$1912="Cancelled")*'Pivot Data'!$H$2:$H$1912)</f>
        <v>0</v>
      </c>
      <c r="E611" s="1301">
        <f t="shared" si="9"/>
        <v>50</v>
      </c>
    </row>
    <row r="612" spans="1:5" hidden="1" x14ac:dyDescent="0.25">
      <c r="A612" t="s">
        <v>131</v>
      </c>
      <c r="B612" t="s">
        <v>329</v>
      </c>
      <c r="C612" s="1301" cm="1">
        <f t="array" ref="C612">SUMPRODUCT((CHALLAN!$B$1:$B$16504=A612)*IF(B612="",--(CHALLAN!$C$1:$C$16504=""),--(CHALLAN!$C$1:$C$16504=B612))*IFERROR(CHALLAN!$D$1:$D$16504*CHALLAN!$E$1:$E$16504,0))</f>
        <v>100</v>
      </c>
      <c r="D612" cm="1">
        <f t="array" ref="D612">SUMPRODUCT(('Pivot Data'!$D$2:$D$1912=$A612)*IF($B612="",--('Pivot Data'!$E$2:$E$1912=""),--('Pivot Data'!$E$2:$E$1912=$B612))*('Pivot Data'!$I$2:$I$1912="Cancelled")*'Pivot Data'!$H$2:$H$1912)</f>
        <v>0</v>
      </c>
      <c r="E612" s="1301">
        <f t="shared" si="9"/>
        <v>100</v>
      </c>
    </row>
    <row r="613" spans="1:5" hidden="1" x14ac:dyDescent="0.25">
      <c r="A613" t="s">
        <v>2127</v>
      </c>
      <c r="B613" t="s">
        <v>328</v>
      </c>
      <c r="C613" s="1301" cm="1">
        <f t="array" ref="C613">SUMPRODUCT((CHALLAN!$B$1:$B$16504=A613)*IF(B613="",--(CHALLAN!$C$1:$C$16504=""),--(CHALLAN!$C$1:$C$16504=B613))*IFERROR(CHALLAN!$D$1:$D$16504*CHALLAN!$E$1:$E$16504,0))</f>
        <v>35</v>
      </c>
      <c r="D613" cm="1">
        <f t="array" ref="D613">SUMPRODUCT(('Pivot Data'!$D$2:$D$1912=$A613)*IF($B613="",--('Pivot Data'!$E$2:$E$1912=""),--('Pivot Data'!$E$2:$E$1912=$B613))*('Pivot Data'!$I$2:$I$1912="Cancelled")*'Pivot Data'!$H$2:$H$1912)</f>
        <v>0</v>
      </c>
      <c r="E613" s="1301">
        <f t="shared" si="9"/>
        <v>35</v>
      </c>
    </row>
    <row r="614" spans="1:5" hidden="1" x14ac:dyDescent="0.25">
      <c r="A614" t="s">
        <v>129</v>
      </c>
      <c r="C614" s="1301" cm="1">
        <f t="array" ref="C614">SUMPRODUCT((CHALLAN!$B$1:$B$16504=A614)*IF(B614="",--(CHALLAN!$C$1:$C$16504=""),--(CHALLAN!$C$1:$C$16504=B614))*IFERROR(CHALLAN!$D$1:$D$16504*CHALLAN!$E$1:$E$16504,0))</f>
        <v>10</v>
      </c>
      <c r="D614" cm="1">
        <f t="array" ref="D614">SUMPRODUCT(('Pivot Data'!$D$2:$D$1912=$A614)*IF($B614="",--('Pivot Data'!$E$2:$E$1912=""),--('Pivot Data'!$E$2:$E$1912=$B614))*('Pivot Data'!$I$2:$I$1912="Cancelled")*'Pivot Data'!$H$2:$H$1912)</f>
        <v>0</v>
      </c>
      <c r="E614" s="1301">
        <f t="shared" si="9"/>
        <v>10</v>
      </c>
    </row>
    <row r="615" spans="1:5" hidden="1" x14ac:dyDescent="0.25">
      <c r="A615" t="s">
        <v>129</v>
      </c>
      <c r="B615" t="s">
        <v>328</v>
      </c>
      <c r="C615" s="1301" cm="1">
        <f t="array" ref="C615">SUMPRODUCT((CHALLAN!$B$1:$B$16504=A615)*IF(B615="",--(CHALLAN!$C$1:$C$16504=""),--(CHALLAN!$C$1:$C$16504=B615))*IFERROR(CHALLAN!$D$1:$D$16504*CHALLAN!$E$1:$E$16504,0))</f>
        <v>10</v>
      </c>
      <c r="D615" cm="1">
        <f t="array" ref="D615">SUMPRODUCT(('Pivot Data'!$D$2:$D$1912=$A615)*IF($B615="",--('Pivot Data'!$E$2:$E$1912=""),--('Pivot Data'!$E$2:$E$1912=$B615))*('Pivot Data'!$I$2:$I$1912="Cancelled")*'Pivot Data'!$H$2:$H$1912)</f>
        <v>0</v>
      </c>
      <c r="E615" s="1301">
        <f t="shared" si="9"/>
        <v>10</v>
      </c>
    </row>
    <row r="616" spans="1:5" hidden="1" x14ac:dyDescent="0.25">
      <c r="A616" t="s">
        <v>1317</v>
      </c>
      <c r="B616" t="s">
        <v>396</v>
      </c>
      <c r="C616" s="1301" cm="1">
        <f t="array" ref="C616">SUMPRODUCT((CHALLAN!$B$1:$B$16504=A616)*IF(B616="",--(CHALLAN!$C$1:$C$16504=""),--(CHALLAN!$C$1:$C$16504=B616))*IFERROR(CHALLAN!$D$1:$D$16504*CHALLAN!$E$1:$E$16504,0))</f>
        <v>54</v>
      </c>
      <c r="D616" cm="1">
        <f t="array" ref="D616">SUMPRODUCT(('Pivot Data'!$D$2:$D$1912=$A616)*IF($B616="",--('Pivot Data'!$E$2:$E$1912=""),--('Pivot Data'!$E$2:$E$1912=$B616))*('Pivot Data'!$I$2:$I$1912="Cancelled")*'Pivot Data'!$H$2:$H$1912)</f>
        <v>0</v>
      </c>
      <c r="E616" s="1301">
        <f t="shared" si="9"/>
        <v>54</v>
      </c>
    </row>
    <row r="617" spans="1:5" hidden="1" x14ac:dyDescent="0.25">
      <c r="A617" t="s">
        <v>1796</v>
      </c>
      <c r="B617" t="s">
        <v>439</v>
      </c>
      <c r="C617" s="1301" cm="1">
        <f t="array" ref="C617">SUMPRODUCT((CHALLAN!$B$1:$B$16504=A617)*IF(B617="",--(CHALLAN!$C$1:$C$16504=""),--(CHALLAN!$C$1:$C$16504=B617))*IFERROR(CHALLAN!$D$1:$D$16504*CHALLAN!$E$1:$E$16504,0))</f>
        <v>25</v>
      </c>
      <c r="D617" cm="1">
        <f t="array" ref="D617">SUMPRODUCT(('Pivot Data'!$D$2:$D$1912=$A617)*IF($B617="",--('Pivot Data'!$E$2:$E$1912=""),--('Pivot Data'!$E$2:$E$1912=$B617))*('Pivot Data'!$I$2:$I$1912="Cancelled")*'Pivot Data'!$H$2:$H$1912)</f>
        <v>0</v>
      </c>
      <c r="E617" s="1301">
        <f t="shared" si="9"/>
        <v>25</v>
      </c>
    </row>
    <row r="618" spans="1:5" hidden="1" x14ac:dyDescent="0.25">
      <c r="A618" t="s">
        <v>228</v>
      </c>
      <c r="B618" t="s">
        <v>398</v>
      </c>
      <c r="C618" s="1301" cm="1">
        <f t="array" ref="C618">SUMPRODUCT((CHALLAN!$B$1:$B$16504=A618)*IF(B618="",--(CHALLAN!$C$1:$C$16504=""),--(CHALLAN!$C$1:$C$16504=B618))*IFERROR(CHALLAN!$D$1:$D$16504*CHALLAN!$E$1:$E$16504,0))</f>
        <v>72</v>
      </c>
      <c r="D618" cm="1">
        <f t="array" ref="D618">SUMPRODUCT(('Pivot Data'!$D$2:$D$1912=$A618)*IF($B618="",--('Pivot Data'!$E$2:$E$1912=""),--('Pivot Data'!$E$2:$E$1912=$B618))*('Pivot Data'!$I$2:$I$1912="Cancelled")*'Pivot Data'!$H$2:$H$1912)</f>
        <v>0</v>
      </c>
      <c r="E618" s="1301">
        <f t="shared" si="9"/>
        <v>72</v>
      </c>
    </row>
    <row r="619" spans="1:5" hidden="1" x14ac:dyDescent="0.25">
      <c r="A619" t="s">
        <v>1039</v>
      </c>
      <c r="B619" t="s">
        <v>2161</v>
      </c>
      <c r="C619" s="1301" cm="1">
        <f t="array" ref="C619">SUMPRODUCT((CHALLAN!$B$1:$B$16504=A619)*IF(B619="",--(CHALLAN!$C$1:$C$16504=""),--(CHALLAN!$C$1:$C$16504=B619))*IFERROR(CHALLAN!$D$1:$D$16504*CHALLAN!$E$1:$E$16504,0))</f>
        <v>900</v>
      </c>
      <c r="D619" cm="1">
        <f t="array" ref="D619">SUMPRODUCT(('Pivot Data'!$D$2:$D$1912=$A619)*IF($B619="",--('Pivot Data'!$E$2:$E$1912=""),--('Pivot Data'!$E$2:$E$1912=$B619))*('Pivot Data'!$I$2:$I$1912="Cancelled")*'Pivot Data'!$H$2:$H$1912)</f>
        <v>0</v>
      </c>
      <c r="E619" s="1301">
        <f t="shared" si="9"/>
        <v>900</v>
      </c>
    </row>
    <row r="620" spans="1:5" hidden="1" x14ac:dyDescent="0.25">
      <c r="A620" t="s">
        <v>1039</v>
      </c>
      <c r="B620" t="s">
        <v>419</v>
      </c>
      <c r="C620" s="1301" cm="1">
        <f t="array" ref="C620">SUMPRODUCT((CHALLAN!$B$1:$B$16504=A620)*IF(B620="",--(CHALLAN!$C$1:$C$16504=""),--(CHALLAN!$C$1:$C$16504=B620))*IFERROR(CHALLAN!$D$1:$D$16504*CHALLAN!$E$1:$E$16504,0))</f>
        <v>1100</v>
      </c>
      <c r="D620" cm="1">
        <f t="array" ref="D620">SUMPRODUCT(('Pivot Data'!$D$2:$D$1912=$A620)*IF($B620="",--('Pivot Data'!$E$2:$E$1912=""),--('Pivot Data'!$E$2:$E$1912=$B620))*('Pivot Data'!$I$2:$I$1912="Cancelled")*'Pivot Data'!$H$2:$H$1912)</f>
        <v>0</v>
      </c>
      <c r="E620" s="1301">
        <f t="shared" si="9"/>
        <v>1100</v>
      </c>
    </row>
    <row r="621" spans="1:5" hidden="1" x14ac:dyDescent="0.25">
      <c r="A621" t="s">
        <v>1719</v>
      </c>
      <c r="C621" s="1301" cm="1">
        <f t="array" ref="C621">SUMPRODUCT((CHALLAN!$B$1:$B$16504=A621)*IF(B621="",--(CHALLAN!$C$1:$C$16504=""),--(CHALLAN!$C$1:$C$16504=B621))*IFERROR(CHALLAN!$D$1:$D$16504*CHALLAN!$E$1:$E$16504,0))</f>
        <v>200</v>
      </c>
      <c r="D621" cm="1">
        <f t="array" ref="D621">SUMPRODUCT(('Pivot Data'!$D$2:$D$1912=$A621)*IF($B621="",--('Pivot Data'!$E$2:$E$1912=""),--('Pivot Data'!$E$2:$E$1912=$B621))*('Pivot Data'!$I$2:$I$1912="Cancelled")*'Pivot Data'!$H$2:$H$1912)</f>
        <v>0</v>
      </c>
      <c r="E621" s="1301">
        <f t="shared" si="9"/>
        <v>200</v>
      </c>
    </row>
    <row r="622" spans="1:5" hidden="1" x14ac:dyDescent="0.25">
      <c r="A622" t="s">
        <v>1719</v>
      </c>
      <c r="B622" t="s">
        <v>419</v>
      </c>
      <c r="C622" s="1301" cm="1">
        <f t="array" ref="C622">SUMPRODUCT((CHALLAN!$B$1:$B$16504=A622)*IF(B622="",--(CHALLAN!$C$1:$C$16504=""),--(CHALLAN!$C$1:$C$16504=B622))*IFERROR(CHALLAN!$D$1:$D$16504*CHALLAN!$E$1:$E$16504,0))</f>
        <v>1400</v>
      </c>
      <c r="D622" cm="1">
        <f t="array" ref="D622">SUMPRODUCT(('Pivot Data'!$D$2:$D$1912=$A622)*IF($B622="",--('Pivot Data'!$E$2:$E$1912=""),--('Pivot Data'!$E$2:$E$1912=$B622))*('Pivot Data'!$I$2:$I$1912="Cancelled")*'Pivot Data'!$H$2:$H$1912)</f>
        <v>0</v>
      </c>
      <c r="E622" s="1301">
        <f t="shared" si="9"/>
        <v>1400</v>
      </c>
    </row>
    <row r="623" spans="1:5" hidden="1" x14ac:dyDescent="0.25">
      <c r="A623" t="s">
        <v>290</v>
      </c>
      <c r="B623" t="s">
        <v>447</v>
      </c>
      <c r="C623" s="1301" cm="1">
        <f t="array" ref="C623">SUMPRODUCT((CHALLAN!$B$1:$B$16504=A623)*IF(B623="",--(CHALLAN!$C$1:$C$16504=""),--(CHALLAN!$C$1:$C$16504=B623))*IFERROR(CHALLAN!$D$1:$D$16504*CHALLAN!$E$1:$E$16504,0))</f>
        <v>0</v>
      </c>
      <c r="D623" cm="1">
        <f t="array" ref="D623">SUMPRODUCT(('Pivot Data'!$D$2:$D$1912=$A623)*IF($B623="",--('Pivot Data'!$E$2:$E$1912=""),--('Pivot Data'!$E$2:$E$1912=$B623))*('Pivot Data'!$I$2:$I$1912="Cancelled")*'Pivot Data'!$H$2:$H$1912)</f>
        <v>0</v>
      </c>
      <c r="E623" s="1301">
        <f t="shared" si="9"/>
        <v>0</v>
      </c>
    </row>
    <row r="624" spans="1:5" hidden="1" x14ac:dyDescent="0.25">
      <c r="A624" t="s">
        <v>549</v>
      </c>
      <c r="C624" s="1301" cm="1">
        <f t="array" ref="C624">SUMPRODUCT((CHALLAN!$B$1:$B$16504=A624)*IF(B624="",--(CHALLAN!$C$1:$C$16504=""),--(CHALLAN!$C$1:$C$16504=B624))*IFERROR(CHALLAN!$D$1:$D$16504*CHALLAN!$E$1:$E$16504,0))</f>
        <v>50</v>
      </c>
      <c r="D624" cm="1">
        <f t="array" ref="D624">SUMPRODUCT(('Pivot Data'!$D$2:$D$1912=$A624)*IF($B624="",--('Pivot Data'!$E$2:$E$1912=""),--('Pivot Data'!$E$2:$E$1912=$B624))*('Pivot Data'!$I$2:$I$1912="Cancelled")*'Pivot Data'!$H$2:$H$1912)</f>
        <v>0</v>
      </c>
      <c r="E624" s="1301">
        <f t="shared" si="9"/>
        <v>50</v>
      </c>
    </row>
    <row r="625" spans="1:5" hidden="1" x14ac:dyDescent="0.25">
      <c r="A625" t="s">
        <v>1476</v>
      </c>
      <c r="C625" s="1301" cm="1">
        <f t="array" ref="C625">SUMPRODUCT((CHALLAN!$B$1:$B$16504=A625)*IF(B625="",--(CHALLAN!$C$1:$C$16504=""),--(CHALLAN!$C$1:$C$16504=B625))*IFERROR(CHALLAN!$D$1:$D$16504*CHALLAN!$E$1:$E$16504,0))</f>
        <v>200</v>
      </c>
      <c r="D625" cm="1">
        <f t="array" ref="D625">SUMPRODUCT(('Pivot Data'!$D$2:$D$1912=$A625)*IF($B625="",--('Pivot Data'!$E$2:$E$1912=""),--('Pivot Data'!$E$2:$E$1912=$B625))*('Pivot Data'!$I$2:$I$1912="Cancelled")*'Pivot Data'!$H$2:$H$1912)</f>
        <v>0</v>
      </c>
      <c r="E625" s="1301">
        <f t="shared" si="9"/>
        <v>200</v>
      </c>
    </row>
    <row r="626" spans="1:5" hidden="1" x14ac:dyDescent="0.25">
      <c r="A626" t="s">
        <v>1124</v>
      </c>
      <c r="B626" t="s">
        <v>879</v>
      </c>
      <c r="C626" s="1301" cm="1">
        <f t="array" ref="C626">SUMPRODUCT((CHALLAN!$B$1:$B$16504=A626)*IF(B626="",--(CHALLAN!$C$1:$C$16504=""),--(CHALLAN!$C$1:$C$16504=B626))*IFERROR(CHALLAN!$D$1:$D$16504*CHALLAN!$E$1:$E$16504,0))</f>
        <v>50</v>
      </c>
      <c r="D626" cm="1">
        <f t="array" ref="D626">SUMPRODUCT(('Pivot Data'!$D$2:$D$1912=$A626)*IF($B626="",--('Pivot Data'!$E$2:$E$1912=""),--('Pivot Data'!$E$2:$E$1912=$B626))*('Pivot Data'!$I$2:$I$1912="Cancelled")*'Pivot Data'!$H$2:$H$1912)</f>
        <v>0</v>
      </c>
      <c r="E626" s="1301">
        <f t="shared" si="9"/>
        <v>50</v>
      </c>
    </row>
    <row r="627" spans="1:5" hidden="1" x14ac:dyDescent="0.25">
      <c r="A627" t="s">
        <v>791</v>
      </c>
      <c r="C627" s="1301" cm="1">
        <f t="array" ref="C627">SUMPRODUCT((CHALLAN!$B$1:$B$16504=A627)*IF(B627="",--(CHALLAN!$C$1:$C$16504=""),--(CHALLAN!$C$1:$C$16504=B627))*IFERROR(CHALLAN!$D$1:$D$16504*CHALLAN!$E$1:$E$16504,0))</f>
        <v>1</v>
      </c>
      <c r="D627" cm="1">
        <f t="array" ref="D627">SUMPRODUCT(('Pivot Data'!$D$2:$D$1912=$A627)*IF($B627="",--('Pivot Data'!$E$2:$E$1912=""),--('Pivot Data'!$E$2:$E$1912=$B627))*('Pivot Data'!$I$2:$I$1912="Cancelled")*'Pivot Data'!$H$2:$H$1912)</f>
        <v>0</v>
      </c>
      <c r="E627" s="1301">
        <f t="shared" si="9"/>
        <v>1</v>
      </c>
    </row>
    <row r="628" spans="1:5" hidden="1" x14ac:dyDescent="0.25">
      <c r="A628" t="s">
        <v>878</v>
      </c>
      <c r="B628" t="s">
        <v>879</v>
      </c>
      <c r="C628" s="1301" cm="1">
        <f t="array" ref="C628">SUMPRODUCT((CHALLAN!$B$1:$B$16504=A628)*IF(B628="",--(CHALLAN!$C$1:$C$16504=""),--(CHALLAN!$C$1:$C$16504=B628))*IFERROR(CHALLAN!$D$1:$D$16504*CHALLAN!$E$1:$E$16504,0))</f>
        <v>100</v>
      </c>
      <c r="D628" cm="1">
        <f t="array" ref="D628">SUMPRODUCT(('Pivot Data'!$D$2:$D$1912=$A628)*IF($B628="",--('Pivot Data'!$E$2:$E$1912=""),--('Pivot Data'!$E$2:$E$1912=$B628))*('Pivot Data'!$I$2:$I$1912="Cancelled")*'Pivot Data'!$H$2:$H$1912)</f>
        <v>0</v>
      </c>
      <c r="E628" s="1301">
        <f t="shared" si="9"/>
        <v>100</v>
      </c>
    </row>
    <row r="629" spans="1:5" hidden="1" x14ac:dyDescent="0.25">
      <c r="A629" t="s">
        <v>793</v>
      </c>
      <c r="C629" s="1301" cm="1">
        <f t="array" ref="C629">SUMPRODUCT((CHALLAN!$B$1:$B$16504=A629)*IF(B629="",--(CHALLAN!$C$1:$C$16504=""),--(CHALLAN!$C$1:$C$16504=B629))*IFERROR(CHALLAN!$D$1:$D$16504*CHALLAN!$E$1:$E$16504,0))</f>
        <v>15</v>
      </c>
      <c r="D629" cm="1">
        <f t="array" ref="D629">SUMPRODUCT(('Pivot Data'!$D$2:$D$1912=$A629)*IF($B629="",--('Pivot Data'!$E$2:$E$1912=""),--('Pivot Data'!$E$2:$E$1912=$B629))*('Pivot Data'!$I$2:$I$1912="Cancelled")*'Pivot Data'!$H$2:$H$1912)</f>
        <v>0</v>
      </c>
      <c r="E629" s="1301">
        <f t="shared" si="9"/>
        <v>15</v>
      </c>
    </row>
    <row r="630" spans="1:5" hidden="1" x14ac:dyDescent="0.25">
      <c r="A630" t="s">
        <v>531</v>
      </c>
      <c r="B630" t="s">
        <v>563</v>
      </c>
      <c r="C630" s="1301" cm="1">
        <f t="array" ref="C630">SUMPRODUCT((CHALLAN!$B$1:$B$16504=A630)*IF(B630="",--(CHALLAN!$C$1:$C$16504=""),--(CHALLAN!$C$1:$C$16504=B630))*IFERROR(CHALLAN!$D$1:$D$16504*CHALLAN!$E$1:$E$16504,0))</f>
        <v>50</v>
      </c>
      <c r="D630" cm="1">
        <f t="array" ref="D630">SUMPRODUCT(('Pivot Data'!$D$2:$D$1912=$A630)*IF($B630="",--('Pivot Data'!$E$2:$E$1912=""),--('Pivot Data'!$E$2:$E$1912=$B630))*('Pivot Data'!$I$2:$I$1912="Cancelled")*'Pivot Data'!$H$2:$H$1912)</f>
        <v>0</v>
      </c>
      <c r="E630" s="1301">
        <f t="shared" si="9"/>
        <v>50</v>
      </c>
    </row>
    <row r="631" spans="1:5" hidden="1" x14ac:dyDescent="0.25">
      <c r="A631" t="s">
        <v>531</v>
      </c>
      <c r="B631" t="s">
        <v>532</v>
      </c>
      <c r="C631" s="1301" cm="1">
        <f t="array" ref="C631">SUMPRODUCT((CHALLAN!$B$1:$B$16504=A631)*IF(B631="",--(CHALLAN!$C$1:$C$16504=""),--(CHALLAN!$C$1:$C$16504=B631))*IFERROR(CHALLAN!$D$1:$D$16504*CHALLAN!$E$1:$E$16504,0))</f>
        <v>100</v>
      </c>
      <c r="D631" cm="1">
        <f t="array" ref="D631">SUMPRODUCT(('Pivot Data'!$D$2:$D$1912=$A631)*IF($B631="",--('Pivot Data'!$E$2:$E$1912=""),--('Pivot Data'!$E$2:$E$1912=$B631))*('Pivot Data'!$I$2:$I$1912="Cancelled")*'Pivot Data'!$H$2:$H$1912)</f>
        <v>0</v>
      </c>
      <c r="E631" s="1301">
        <f t="shared" si="9"/>
        <v>100</v>
      </c>
    </row>
    <row r="632" spans="1:5" hidden="1" x14ac:dyDescent="0.25">
      <c r="A632" t="s">
        <v>925</v>
      </c>
      <c r="B632" t="s">
        <v>926</v>
      </c>
      <c r="C632" s="1301" cm="1">
        <f t="array" ref="C632">SUMPRODUCT((CHALLAN!$B$1:$B$16504=A632)*IF(B632="",--(CHALLAN!$C$1:$C$16504=""),--(CHALLAN!$C$1:$C$16504=B632))*IFERROR(CHALLAN!$D$1:$D$16504*CHALLAN!$E$1:$E$16504,0))</f>
        <v>50</v>
      </c>
      <c r="D632" cm="1">
        <f t="array" ref="D632">SUMPRODUCT(('Pivot Data'!$D$2:$D$1912=$A632)*IF($B632="",--('Pivot Data'!$E$2:$E$1912=""),--('Pivot Data'!$E$2:$E$1912=$B632))*('Pivot Data'!$I$2:$I$1912="Cancelled")*'Pivot Data'!$H$2:$H$1912)</f>
        <v>0</v>
      </c>
      <c r="E632" s="1301">
        <f t="shared" si="9"/>
        <v>50</v>
      </c>
    </row>
    <row r="633" spans="1:5" hidden="1" x14ac:dyDescent="0.25">
      <c r="A633" t="s">
        <v>1551</v>
      </c>
      <c r="C633" s="1301" cm="1">
        <f t="array" ref="C633">SUMPRODUCT((CHALLAN!$B$1:$B$16504=A633)*IF(B633="",--(CHALLAN!$C$1:$C$16504=""),--(CHALLAN!$C$1:$C$16504=B633))*IFERROR(CHALLAN!$D$1:$D$16504*CHALLAN!$E$1:$E$16504,0))</f>
        <v>2</v>
      </c>
      <c r="D633" cm="1">
        <f t="array" ref="D633">SUMPRODUCT(('Pivot Data'!$D$2:$D$1912=$A633)*IF($B633="",--('Pivot Data'!$E$2:$E$1912=""),--('Pivot Data'!$E$2:$E$1912=$B633))*('Pivot Data'!$I$2:$I$1912="Cancelled")*'Pivot Data'!$H$2:$H$1912)</f>
        <v>0</v>
      </c>
      <c r="E633" s="1301">
        <f t="shared" si="9"/>
        <v>2</v>
      </c>
    </row>
    <row r="634" spans="1:5" hidden="1" x14ac:dyDescent="0.25">
      <c r="A634" t="s">
        <v>292</v>
      </c>
      <c r="B634" t="s">
        <v>449</v>
      </c>
      <c r="C634" s="1301" cm="1">
        <f t="array" ref="C634">SUMPRODUCT((CHALLAN!$B$1:$B$16504=A634)*IF(B634="",--(CHALLAN!$C$1:$C$16504=""),--(CHALLAN!$C$1:$C$16504=B634))*IFERROR(CHALLAN!$D$1:$D$16504*CHALLAN!$E$1:$E$16504,0))</f>
        <v>2</v>
      </c>
      <c r="D634" cm="1">
        <f t="array" ref="D634">SUMPRODUCT(('Pivot Data'!$D$2:$D$1912=$A634)*IF($B634="",--('Pivot Data'!$E$2:$E$1912=""),--('Pivot Data'!$E$2:$E$1912=$B634))*('Pivot Data'!$I$2:$I$1912="Cancelled")*'Pivot Data'!$H$2:$H$1912)</f>
        <v>0</v>
      </c>
      <c r="E634" s="1301">
        <f t="shared" si="9"/>
        <v>2</v>
      </c>
    </row>
    <row r="635" spans="1:5" hidden="1" x14ac:dyDescent="0.25">
      <c r="A635" s="1302" t="s">
        <v>127</v>
      </c>
      <c r="C635" s="1301" cm="1">
        <f t="array" ref="C635">SUMPRODUCT((CHALLAN!$B$1:$B$16504=A635)*IF(B635="",--(CHALLAN!$C$1:$C$16504=""),--(CHALLAN!$C$1:$C$16504=B635))*IFERROR(CHALLAN!$D$1:$D$16504*CHALLAN!$E$1:$E$16504,0))</f>
        <v>30</v>
      </c>
      <c r="D635" cm="1">
        <f t="array" ref="D635">SUMPRODUCT(('Pivot Data'!$D$2:$D$1912=$A635)*IF($B635="",--('Pivot Data'!$E$2:$E$1912=""),--('Pivot Data'!$E$2:$E$1912=$B635))*('Pivot Data'!$I$2:$I$1912="Cancelled")*'Pivot Data'!$H$2:$H$1912)</f>
        <v>0</v>
      </c>
      <c r="E635" s="1301">
        <f t="shared" si="9"/>
        <v>30</v>
      </c>
    </row>
    <row r="636" spans="1:5" hidden="1" x14ac:dyDescent="0.25">
      <c r="A636" t="s">
        <v>127</v>
      </c>
      <c r="B636" t="s">
        <v>398</v>
      </c>
      <c r="C636" s="1301" cm="1">
        <f t="array" ref="C636">SUMPRODUCT((CHALLAN!$B$1:$B$16504=A636)*IF(B636="",--(CHALLAN!$C$1:$C$16504=""),--(CHALLAN!$C$1:$C$16504=B636))*IFERROR(CHALLAN!$D$1:$D$16504*CHALLAN!$E$1:$E$16504,0))</f>
        <v>141</v>
      </c>
      <c r="D636" cm="1">
        <f t="array" ref="D636">SUMPRODUCT(('Pivot Data'!$D$2:$D$1912=$A636)*IF($B636="",--('Pivot Data'!$E$2:$E$1912=""),--('Pivot Data'!$E$2:$E$1912=$B636))*('Pivot Data'!$I$2:$I$1912="Cancelled")*'Pivot Data'!$H$2:$H$1912)</f>
        <v>0</v>
      </c>
      <c r="E636" s="1301">
        <f t="shared" si="9"/>
        <v>141</v>
      </c>
    </row>
    <row r="637" spans="1:5" hidden="1" x14ac:dyDescent="0.25">
      <c r="A637" t="s">
        <v>127</v>
      </c>
      <c r="B637" t="s">
        <v>439</v>
      </c>
      <c r="C637" s="1301" cm="1">
        <f t="array" ref="C637">SUMPRODUCT((CHALLAN!$B$1:$B$16504=A637)*IF(B637="",--(CHALLAN!$C$1:$C$16504=""),--(CHALLAN!$C$1:$C$16504=B637))*IFERROR(CHALLAN!$D$1:$D$16504*CHALLAN!$E$1:$E$16504,0))</f>
        <v>474</v>
      </c>
      <c r="D637" cm="1">
        <f t="array" ref="D637">SUMPRODUCT(('Pivot Data'!$D$2:$D$1912=$A637)*IF($B637="",--('Pivot Data'!$E$2:$E$1912=""),--('Pivot Data'!$E$2:$E$1912=$B637))*('Pivot Data'!$I$2:$I$1912="Cancelled")*'Pivot Data'!$H$2:$H$1912)</f>
        <v>0</v>
      </c>
      <c r="E637" s="1301">
        <f t="shared" si="9"/>
        <v>474</v>
      </c>
    </row>
    <row r="638" spans="1:5" hidden="1" x14ac:dyDescent="0.25">
      <c r="A638" t="s">
        <v>127</v>
      </c>
      <c r="B638" t="s">
        <v>326</v>
      </c>
      <c r="C638" s="1301" cm="1">
        <f t="array" ref="C638">SUMPRODUCT((CHALLAN!$B$1:$B$16504=A638)*IF(B638="",--(CHALLAN!$C$1:$C$16504=""),--(CHALLAN!$C$1:$C$16504=B638))*IFERROR(CHALLAN!$D$1:$D$16504*CHALLAN!$E$1:$E$16504,0))</f>
        <v>295</v>
      </c>
      <c r="D638" cm="1">
        <f t="array" ref="D638">SUMPRODUCT(('Pivot Data'!$D$2:$D$1912=$A638)*IF($B638="",--('Pivot Data'!$E$2:$E$1912=""),--('Pivot Data'!$E$2:$E$1912=$B638))*('Pivot Data'!$I$2:$I$1912="Cancelled")*'Pivot Data'!$H$2:$H$1912)</f>
        <v>0</v>
      </c>
      <c r="E638" s="1301">
        <f t="shared" si="9"/>
        <v>295</v>
      </c>
    </row>
    <row r="639" spans="1:5" hidden="1" x14ac:dyDescent="0.25">
      <c r="A639" t="s">
        <v>2231</v>
      </c>
      <c r="B639" t="s">
        <v>2232</v>
      </c>
      <c r="C639" s="1301" cm="1">
        <f t="array" ref="C639">SUMPRODUCT((CHALLAN!$B$1:$B$16504=A639)*IF(B639="",--(CHALLAN!$C$1:$C$16504=""),--(CHALLAN!$C$1:$C$16504=B639))*IFERROR(CHALLAN!$D$1:$D$16504*CHALLAN!$E$1:$E$16504,0))</f>
        <v>0</v>
      </c>
      <c r="D639" cm="1">
        <f t="array" ref="D639">SUMPRODUCT(('Pivot Data'!$D$2:$D$1912=$A639)*IF($B639="",--('Pivot Data'!$E$2:$E$1912=""),--('Pivot Data'!$E$2:$E$1912=$B639))*('Pivot Data'!$I$2:$I$1912="Cancelled")*'Pivot Data'!$H$2:$H$1912)</f>
        <v>0</v>
      </c>
      <c r="E639" s="1301">
        <f t="shared" si="9"/>
        <v>0</v>
      </c>
    </row>
    <row r="640" spans="1:5" hidden="1" x14ac:dyDescent="0.25">
      <c r="A640" t="s">
        <v>2004</v>
      </c>
      <c r="C640" s="1301" cm="1">
        <f t="array" ref="C640">SUMPRODUCT((CHALLAN!$B$1:$B$16504=A640)*IF(B640="",--(CHALLAN!$C$1:$C$16504=""),--(CHALLAN!$C$1:$C$16504=B640))*IFERROR(CHALLAN!$D$1:$D$16504*CHALLAN!$E$1:$E$16504,0))</f>
        <v>23</v>
      </c>
      <c r="D640" cm="1">
        <f t="array" ref="D640">SUMPRODUCT(('Pivot Data'!$D$2:$D$1912=$A640)*IF($B640="",--('Pivot Data'!$E$2:$E$1912=""),--('Pivot Data'!$E$2:$E$1912=$B640))*('Pivot Data'!$I$2:$I$1912="Cancelled")*'Pivot Data'!$H$2:$H$1912)</f>
        <v>0</v>
      </c>
      <c r="E640" s="1301">
        <f t="shared" si="9"/>
        <v>23</v>
      </c>
    </row>
    <row r="641" spans="1:5" hidden="1" x14ac:dyDescent="0.25">
      <c r="A641" t="s">
        <v>2214</v>
      </c>
      <c r="B641" t="s">
        <v>426</v>
      </c>
      <c r="C641" s="1301" cm="1">
        <f t="array" ref="C641">SUMPRODUCT((CHALLAN!$B$1:$B$16504=A641)*IF(B641="",--(CHALLAN!$C$1:$C$16504=""),--(CHALLAN!$C$1:$C$16504=B641))*IFERROR(CHALLAN!$D$1:$D$16504*CHALLAN!$E$1:$E$16504,0))</f>
        <v>25</v>
      </c>
      <c r="D641" cm="1">
        <f t="array" ref="D641">SUMPRODUCT(('Pivot Data'!$D$2:$D$1912=$A641)*IF($B641="",--('Pivot Data'!$E$2:$E$1912=""),--('Pivot Data'!$E$2:$E$1912=$B641))*('Pivot Data'!$I$2:$I$1912="Cancelled")*'Pivot Data'!$H$2:$H$1912)</f>
        <v>0</v>
      </c>
      <c r="E641" s="1301">
        <f t="shared" si="9"/>
        <v>25</v>
      </c>
    </row>
    <row r="642" spans="1:5" hidden="1" x14ac:dyDescent="0.25">
      <c r="A642" t="s">
        <v>526</v>
      </c>
      <c r="C642" s="1301" cm="1">
        <f t="array" ref="C642">SUMPRODUCT((CHALLAN!$B$1:$B$16504=A642)*IF(B642="",--(CHALLAN!$C$1:$C$16504=""),--(CHALLAN!$C$1:$C$16504=B642))*IFERROR(CHALLAN!$D$1:$D$16504*CHALLAN!$E$1:$E$16504,0))</f>
        <v>70</v>
      </c>
      <c r="D642" cm="1">
        <f t="array" ref="D642">SUMPRODUCT(('Pivot Data'!$D$2:$D$1912=$A642)*IF($B642="",--('Pivot Data'!$E$2:$E$1912=""),--('Pivot Data'!$E$2:$E$1912=$B642))*('Pivot Data'!$I$2:$I$1912="Cancelled")*'Pivot Data'!$H$2:$H$1912)</f>
        <v>0</v>
      </c>
      <c r="E642" s="1301">
        <f t="shared" si="9"/>
        <v>70</v>
      </c>
    </row>
    <row r="643" spans="1:5" hidden="1" x14ac:dyDescent="0.25">
      <c r="A643" t="s">
        <v>1554</v>
      </c>
      <c r="C643" s="1301" cm="1">
        <f t="array" ref="C643">SUMPRODUCT((CHALLAN!$B$1:$B$16504=A643)*IF(B643="",--(CHALLAN!$C$1:$C$16504=""),--(CHALLAN!$C$1:$C$16504=B643))*IFERROR(CHALLAN!$D$1:$D$16504*CHALLAN!$E$1:$E$16504,0))</f>
        <v>1</v>
      </c>
      <c r="D643" cm="1">
        <f t="array" ref="D643">SUMPRODUCT(('Pivot Data'!$D$2:$D$1912=$A643)*IF($B643="",--('Pivot Data'!$E$2:$E$1912=""),--('Pivot Data'!$E$2:$E$1912=$B643))*('Pivot Data'!$I$2:$I$1912="Cancelled")*'Pivot Data'!$H$2:$H$1912)</f>
        <v>0</v>
      </c>
      <c r="E643" s="1301">
        <f t="shared" si="9"/>
        <v>1</v>
      </c>
    </row>
    <row r="644" spans="1:5" hidden="1" x14ac:dyDescent="0.25">
      <c r="A644" t="s">
        <v>1554</v>
      </c>
      <c r="B644" t="s">
        <v>109</v>
      </c>
      <c r="C644" s="1301" cm="1">
        <f t="array" ref="C644">SUMPRODUCT((CHALLAN!$B$1:$B$16504=A644)*IF(B644="",--(CHALLAN!$C$1:$C$16504=""),--(CHALLAN!$C$1:$C$16504=B644))*IFERROR(CHALLAN!$D$1:$D$16504*CHALLAN!$E$1:$E$16504,0))</f>
        <v>450</v>
      </c>
      <c r="D644" cm="1">
        <f t="array" ref="D644">SUMPRODUCT(('Pivot Data'!$D$2:$D$1912=$A644)*IF($B644="",--('Pivot Data'!$E$2:$E$1912=""),--('Pivot Data'!$E$2:$E$1912=$B644))*('Pivot Data'!$I$2:$I$1912="Cancelled")*'Pivot Data'!$H$2:$H$1912)</f>
        <v>0</v>
      </c>
      <c r="E644" s="1301">
        <f t="shared" si="9"/>
        <v>450</v>
      </c>
    </row>
    <row r="645" spans="1:5" hidden="1" x14ac:dyDescent="0.25">
      <c r="A645" t="s">
        <v>2211</v>
      </c>
      <c r="B645" t="s">
        <v>109</v>
      </c>
      <c r="C645" s="1301" cm="1">
        <f t="array" ref="C645">SUMPRODUCT((CHALLAN!$B$1:$B$16504=A645)*IF(B645="",--(CHALLAN!$C$1:$C$16504=""),--(CHALLAN!$C$1:$C$16504=B645))*IFERROR(CHALLAN!$D$1:$D$16504*CHALLAN!$E$1:$E$16504,0))</f>
        <v>750</v>
      </c>
      <c r="D645" cm="1">
        <f t="array" ref="D645">SUMPRODUCT(('Pivot Data'!$D$2:$D$1912=$A645)*IF($B645="",--('Pivot Data'!$E$2:$E$1912=""),--('Pivot Data'!$E$2:$E$1912=$B645))*('Pivot Data'!$I$2:$I$1912="Cancelled")*'Pivot Data'!$H$2:$H$1912)</f>
        <v>0</v>
      </c>
      <c r="E645" s="1301">
        <f t="shared" ref="E645:E708" si="10">C645-D645</f>
        <v>750</v>
      </c>
    </row>
    <row r="646" spans="1:5" hidden="1" x14ac:dyDescent="0.25">
      <c r="A646" t="s">
        <v>2211</v>
      </c>
      <c r="B646" t="s">
        <v>425</v>
      </c>
      <c r="C646" s="1301" cm="1">
        <f t="array" ref="C646">SUMPRODUCT((CHALLAN!$B$1:$B$16504=A646)*IF(B646="",--(CHALLAN!$C$1:$C$16504=""),--(CHALLAN!$C$1:$C$16504=B646))*IFERROR(CHALLAN!$D$1:$D$16504*CHALLAN!$E$1:$E$16504,0))</f>
        <v>50</v>
      </c>
      <c r="D646" cm="1">
        <f t="array" ref="D646">SUMPRODUCT(('Pivot Data'!$D$2:$D$1912=$A646)*IF($B646="",--('Pivot Data'!$E$2:$E$1912=""),--('Pivot Data'!$E$2:$E$1912=$B646))*('Pivot Data'!$I$2:$I$1912="Cancelled")*'Pivot Data'!$H$2:$H$1912)</f>
        <v>0</v>
      </c>
      <c r="E646" s="1301">
        <f t="shared" si="10"/>
        <v>50</v>
      </c>
    </row>
    <row r="647" spans="1:5" hidden="1" x14ac:dyDescent="0.25">
      <c r="A647" t="s">
        <v>2229</v>
      </c>
      <c r="B647" t="s">
        <v>109</v>
      </c>
      <c r="C647" s="1301" cm="1">
        <f t="array" ref="C647">SUMPRODUCT((CHALLAN!$B$1:$B$16504=A647)*IF(B647="",--(CHALLAN!$C$1:$C$16504=""),--(CHALLAN!$C$1:$C$16504=B647))*IFERROR(CHALLAN!$D$1:$D$16504*CHALLAN!$E$1:$E$16504,0))</f>
        <v>800</v>
      </c>
      <c r="D647" cm="1">
        <f t="array" ref="D647">SUMPRODUCT(('Pivot Data'!$D$2:$D$1912=$A647)*IF($B647="",--('Pivot Data'!$E$2:$E$1912=""),--('Pivot Data'!$E$2:$E$1912=$B647))*('Pivot Data'!$I$2:$I$1912="Cancelled")*'Pivot Data'!$H$2:$H$1912)</f>
        <v>0</v>
      </c>
      <c r="E647" s="1301">
        <f t="shared" si="10"/>
        <v>800</v>
      </c>
    </row>
    <row r="648" spans="1:5" hidden="1" x14ac:dyDescent="0.25">
      <c r="A648" t="s">
        <v>2230</v>
      </c>
      <c r="B648" t="s">
        <v>425</v>
      </c>
      <c r="C648" s="1301" cm="1">
        <f t="array" ref="C648">SUMPRODUCT((CHALLAN!$B$1:$B$16504=A648)*IF(B648="",--(CHALLAN!$C$1:$C$16504=""),--(CHALLAN!$C$1:$C$16504=B648))*IFERROR(CHALLAN!$D$1:$D$16504*CHALLAN!$E$1:$E$16504,0))</f>
        <v>125</v>
      </c>
      <c r="D648" cm="1">
        <f t="array" ref="D648">SUMPRODUCT(('Pivot Data'!$D$2:$D$1912=$A648)*IF($B648="",--('Pivot Data'!$E$2:$E$1912=""),--('Pivot Data'!$E$2:$E$1912=$B648))*('Pivot Data'!$I$2:$I$1912="Cancelled")*'Pivot Data'!$H$2:$H$1912)</f>
        <v>0</v>
      </c>
      <c r="E648" s="1301">
        <f t="shared" si="10"/>
        <v>125</v>
      </c>
    </row>
    <row r="649" spans="1:5" hidden="1" x14ac:dyDescent="0.25">
      <c r="A649" t="s">
        <v>1555</v>
      </c>
      <c r="B649" t="s">
        <v>1164</v>
      </c>
      <c r="C649" s="1301" cm="1">
        <f t="array" ref="C649">SUMPRODUCT((CHALLAN!$B$1:$B$16504=A649)*IF(B649="",--(CHALLAN!$C$1:$C$16504=""),--(CHALLAN!$C$1:$C$16504=B649))*IFERROR(CHALLAN!$D$1:$D$16504*CHALLAN!$E$1:$E$16504,0))</f>
        <v>50</v>
      </c>
      <c r="D649" cm="1">
        <f t="array" ref="D649">SUMPRODUCT(('Pivot Data'!$D$2:$D$1912=$A649)*IF($B649="",--('Pivot Data'!$E$2:$E$1912=""),--('Pivot Data'!$E$2:$E$1912=$B649))*('Pivot Data'!$I$2:$I$1912="Cancelled")*'Pivot Data'!$H$2:$H$1912)</f>
        <v>0</v>
      </c>
      <c r="E649" s="1301">
        <f t="shared" si="10"/>
        <v>50</v>
      </c>
    </row>
    <row r="650" spans="1:5" hidden="1" x14ac:dyDescent="0.25">
      <c r="A650" t="s">
        <v>1077</v>
      </c>
      <c r="B650" t="s">
        <v>5</v>
      </c>
      <c r="C650" s="1301" cm="1">
        <f t="array" ref="C650">SUMPRODUCT((CHALLAN!$B$1:$B$16504=A650)*IF(B650="",--(CHALLAN!$C$1:$C$16504=""),--(CHALLAN!$C$1:$C$16504=B650))*IFERROR(CHALLAN!$D$1:$D$16504*CHALLAN!$E$1:$E$16504,0))</f>
        <v>932</v>
      </c>
      <c r="D650" cm="1">
        <f t="array" ref="D650">SUMPRODUCT(('Pivot Data'!$D$2:$D$1912=$A650)*IF($B650="",--('Pivot Data'!$E$2:$E$1912=""),--('Pivot Data'!$E$2:$E$1912=$B650))*('Pivot Data'!$I$2:$I$1912="Cancelled")*'Pivot Data'!$H$2:$H$1912)</f>
        <v>120</v>
      </c>
      <c r="E650" s="1301">
        <f t="shared" si="10"/>
        <v>812</v>
      </c>
    </row>
    <row r="651" spans="1:5" hidden="1" x14ac:dyDescent="0.25">
      <c r="A651" t="s">
        <v>2173</v>
      </c>
      <c r="B651" t="s">
        <v>5</v>
      </c>
      <c r="C651" s="1301" cm="1">
        <f t="array" ref="C651">SUMPRODUCT((CHALLAN!$B$1:$B$16504=A651)*IF(B651="",--(CHALLAN!$C$1:$C$16504=""),--(CHALLAN!$C$1:$C$16504=B651))*IFERROR(CHALLAN!$D$1:$D$16504*CHALLAN!$E$1:$E$16504,0))</f>
        <v>648</v>
      </c>
      <c r="D651" cm="1">
        <f t="array" ref="D651">SUMPRODUCT(('Pivot Data'!$D$2:$D$1912=$A651)*IF($B651="",--('Pivot Data'!$E$2:$E$1912=""),--('Pivot Data'!$E$2:$E$1912=$B651))*('Pivot Data'!$I$2:$I$1912="Cancelled")*'Pivot Data'!$H$2:$H$1912)</f>
        <v>0</v>
      </c>
      <c r="E651" s="1301">
        <f t="shared" si="10"/>
        <v>648</v>
      </c>
    </row>
    <row r="652" spans="1:5" hidden="1" x14ac:dyDescent="0.25">
      <c r="A652" t="s">
        <v>1077</v>
      </c>
      <c r="B652" t="s">
        <v>1456</v>
      </c>
      <c r="C652" s="1301" cm="1">
        <f t="array" ref="C652">SUMPRODUCT((CHALLAN!$B$1:$B$16504=A652)*IF(B652="",--(CHALLAN!$C$1:$C$16504=""),--(CHALLAN!$C$1:$C$16504=B652))*IFERROR(CHALLAN!$D$1:$D$16504*CHALLAN!$E$1:$E$16504,0))</f>
        <v>120</v>
      </c>
      <c r="D652" cm="1">
        <f t="array" ref="D652">SUMPRODUCT(('Pivot Data'!$D$2:$D$1912=$A652)*IF($B652="",--('Pivot Data'!$E$2:$E$1912=""),--('Pivot Data'!$E$2:$E$1912=$B652))*('Pivot Data'!$I$2:$I$1912="Cancelled")*'Pivot Data'!$H$2:$H$1912)</f>
        <v>0</v>
      </c>
      <c r="E652" s="1301">
        <f t="shared" si="10"/>
        <v>120</v>
      </c>
    </row>
    <row r="653" spans="1:5" hidden="1" x14ac:dyDescent="0.25">
      <c r="A653" t="s">
        <v>1817</v>
      </c>
      <c r="B653" t="s">
        <v>5</v>
      </c>
      <c r="C653" s="1301" cm="1">
        <f t="array" ref="C653">SUMPRODUCT((CHALLAN!$B$1:$B$16504=A653)*IF(B653="",--(CHALLAN!$C$1:$C$16504=""),--(CHALLAN!$C$1:$C$16504=B653))*IFERROR(CHALLAN!$D$1:$D$16504*CHALLAN!$E$1:$E$16504,0))</f>
        <v>48</v>
      </c>
      <c r="D653" cm="1">
        <f t="array" ref="D653">SUMPRODUCT(('Pivot Data'!$D$2:$D$1912=$A653)*IF($B653="",--('Pivot Data'!$E$2:$E$1912=""),--('Pivot Data'!$E$2:$E$1912=$B653))*('Pivot Data'!$I$2:$I$1912="Cancelled")*'Pivot Data'!$H$2:$H$1912)</f>
        <v>0</v>
      </c>
      <c r="E653" s="1301">
        <f t="shared" si="10"/>
        <v>48</v>
      </c>
    </row>
    <row r="654" spans="1:5" hidden="1" x14ac:dyDescent="0.25">
      <c r="A654" t="s">
        <v>931</v>
      </c>
      <c r="C654" s="1301" cm="1">
        <f t="array" ref="C654">SUMPRODUCT((CHALLAN!$B$1:$B$16504=A654)*IF(B654="",--(CHALLAN!$C$1:$C$16504=""),--(CHALLAN!$C$1:$C$16504=B654))*IFERROR(CHALLAN!$D$1:$D$16504*CHALLAN!$E$1:$E$16504,0))</f>
        <v>116</v>
      </c>
      <c r="D654" cm="1">
        <f t="array" ref="D654">SUMPRODUCT(('Pivot Data'!$D$2:$D$1912=$A654)*IF($B654="",--('Pivot Data'!$E$2:$E$1912=""),--('Pivot Data'!$E$2:$E$1912=$B654))*('Pivot Data'!$I$2:$I$1912="Cancelled")*'Pivot Data'!$H$2:$H$1912)</f>
        <v>0</v>
      </c>
      <c r="E654" s="1301">
        <f t="shared" si="10"/>
        <v>116</v>
      </c>
    </row>
    <row r="655" spans="1:5" hidden="1" x14ac:dyDescent="0.25">
      <c r="A655" t="s">
        <v>931</v>
      </c>
      <c r="B655" t="s">
        <v>1762</v>
      </c>
      <c r="C655" s="1301" cm="1">
        <f t="array" ref="C655">SUMPRODUCT((CHALLAN!$B$1:$B$16504=A655)*IF(B655="",--(CHALLAN!$C$1:$C$16504=""),--(CHALLAN!$C$1:$C$16504=B655))*IFERROR(CHALLAN!$D$1:$D$16504*CHALLAN!$E$1:$E$16504,0))</f>
        <v>25</v>
      </c>
      <c r="D655" cm="1">
        <f t="array" ref="D655">SUMPRODUCT(('Pivot Data'!$D$2:$D$1912=$A655)*IF($B655="",--('Pivot Data'!$E$2:$E$1912=""),--('Pivot Data'!$E$2:$E$1912=$B655))*('Pivot Data'!$I$2:$I$1912="Cancelled")*'Pivot Data'!$H$2:$H$1912)</f>
        <v>0</v>
      </c>
      <c r="E655" s="1301">
        <f t="shared" si="10"/>
        <v>25</v>
      </c>
    </row>
    <row r="656" spans="1:5" hidden="1" x14ac:dyDescent="0.25">
      <c r="A656" t="s">
        <v>931</v>
      </c>
      <c r="B656" t="s">
        <v>1164</v>
      </c>
      <c r="C656" s="1301" cm="1">
        <f t="array" ref="C656">SUMPRODUCT((CHALLAN!$B$1:$B$16504=A656)*IF(B656="",--(CHALLAN!$C$1:$C$16504=""),--(CHALLAN!$C$1:$C$16504=B656))*IFERROR(CHALLAN!$D$1:$D$16504*CHALLAN!$E$1:$E$16504,0))</f>
        <v>10</v>
      </c>
      <c r="D656" cm="1">
        <f t="array" ref="D656">SUMPRODUCT(('Pivot Data'!$D$2:$D$1912=$A656)*IF($B656="",--('Pivot Data'!$E$2:$E$1912=""),--('Pivot Data'!$E$2:$E$1912=$B656))*('Pivot Data'!$I$2:$I$1912="Cancelled")*'Pivot Data'!$H$2:$H$1912)</f>
        <v>0</v>
      </c>
      <c r="E656" s="1301">
        <f t="shared" si="10"/>
        <v>10</v>
      </c>
    </row>
    <row r="657" spans="1:5" hidden="1" x14ac:dyDescent="0.25">
      <c r="A657" t="s">
        <v>931</v>
      </c>
      <c r="B657" t="s">
        <v>1763</v>
      </c>
      <c r="C657" s="1301" cm="1">
        <f t="array" ref="C657">SUMPRODUCT((CHALLAN!$B$1:$B$16504=A657)*IF(B657="",--(CHALLAN!$C$1:$C$16504=""),--(CHALLAN!$C$1:$C$16504=B657))*IFERROR(CHALLAN!$D$1:$D$16504*CHALLAN!$E$1:$E$16504,0))</f>
        <v>20</v>
      </c>
      <c r="D657" cm="1">
        <f t="array" ref="D657">SUMPRODUCT(('Pivot Data'!$D$2:$D$1912=$A657)*IF($B657="",--('Pivot Data'!$E$2:$E$1912=""),--('Pivot Data'!$E$2:$E$1912=$B657))*('Pivot Data'!$I$2:$I$1912="Cancelled")*'Pivot Data'!$H$2:$H$1912)</f>
        <v>0</v>
      </c>
      <c r="E657" s="1301">
        <f t="shared" si="10"/>
        <v>20</v>
      </c>
    </row>
    <row r="658" spans="1:5" hidden="1" x14ac:dyDescent="0.25">
      <c r="A658" t="s">
        <v>2158</v>
      </c>
      <c r="C658" s="1301" cm="1">
        <f t="array" ref="C658">SUMPRODUCT((CHALLAN!$B$1:$B$16504=A658)*IF(B658="",--(CHALLAN!$C$1:$C$16504=""),--(CHALLAN!$C$1:$C$16504=B658))*IFERROR(CHALLAN!$D$1:$D$16504*CHALLAN!$E$1:$E$16504,0))</f>
        <v>610</v>
      </c>
      <c r="D658" cm="1">
        <f t="array" ref="D658">SUMPRODUCT(('Pivot Data'!$D$2:$D$1912=$A658)*IF($B658="",--('Pivot Data'!$E$2:$E$1912=""),--('Pivot Data'!$E$2:$E$1912=$B658))*('Pivot Data'!$I$2:$I$1912="Cancelled")*'Pivot Data'!$H$2:$H$1912)</f>
        <v>0</v>
      </c>
      <c r="E658" s="1301">
        <f t="shared" si="10"/>
        <v>610</v>
      </c>
    </row>
    <row r="659" spans="1:5" hidden="1" x14ac:dyDescent="0.25">
      <c r="A659" t="s">
        <v>2171</v>
      </c>
      <c r="C659" s="1301" cm="1">
        <f t="array" ref="C659">SUMPRODUCT((CHALLAN!$B$1:$B$16504=A659)*IF(B659="",--(CHALLAN!$C$1:$C$16504=""),--(CHALLAN!$C$1:$C$16504=B659))*IFERROR(CHALLAN!$D$1:$D$16504*CHALLAN!$E$1:$E$16504,0))</f>
        <v>110</v>
      </c>
      <c r="D659" cm="1">
        <f t="array" ref="D659">SUMPRODUCT(('Pivot Data'!$D$2:$D$1912=$A659)*IF($B659="",--('Pivot Data'!$E$2:$E$1912=""),--('Pivot Data'!$E$2:$E$1912=$B659))*('Pivot Data'!$I$2:$I$1912="Cancelled")*'Pivot Data'!$H$2:$H$1912)</f>
        <v>0</v>
      </c>
      <c r="E659" s="1301">
        <f t="shared" si="10"/>
        <v>110</v>
      </c>
    </row>
    <row r="660" spans="1:5" hidden="1" x14ac:dyDescent="0.25">
      <c r="A660" t="s">
        <v>2359</v>
      </c>
      <c r="B660" t="s">
        <v>5</v>
      </c>
      <c r="C660" s="1301" cm="1">
        <f t="array" ref="C660">SUMPRODUCT((CHALLAN!$B$1:$B$16504=A660)*IF(B660="",--(CHALLAN!$C$1:$C$16504=""),--(CHALLAN!$C$1:$C$16504=B660))*IFERROR(CHALLAN!$D$1:$D$16504*CHALLAN!$E$1:$E$16504,0))</f>
        <v>2232</v>
      </c>
      <c r="D660" cm="1">
        <f t="array" ref="D660">SUMPRODUCT(('Pivot Data'!$D$2:$D$1912=$A660)*IF($B660="",--('Pivot Data'!$E$2:$E$1912=""),--('Pivot Data'!$E$2:$E$1912=$B660))*('Pivot Data'!$I$2:$I$1912="Cancelled")*'Pivot Data'!$H$2:$H$1912)</f>
        <v>0</v>
      </c>
      <c r="E660" s="1301">
        <f t="shared" si="10"/>
        <v>2232</v>
      </c>
    </row>
    <row r="661" spans="1:5" hidden="1" x14ac:dyDescent="0.25">
      <c r="A661" t="s">
        <v>1730</v>
      </c>
      <c r="B661" t="s">
        <v>2217</v>
      </c>
      <c r="C661" s="1301" cm="1">
        <f t="array" ref="C661">SUMPRODUCT((CHALLAN!$B$1:$B$16504=A661)*IF(B661="",--(CHALLAN!$C$1:$C$16504=""),--(CHALLAN!$C$1:$C$16504=B661))*IFERROR(CHALLAN!$D$1:$D$16504*CHALLAN!$E$1:$E$16504,0))</f>
        <v>96</v>
      </c>
      <c r="D661" cm="1">
        <f t="array" ref="D661">SUMPRODUCT(('Pivot Data'!$D$2:$D$1912=$A661)*IF($B661="",--('Pivot Data'!$E$2:$E$1912=""),--('Pivot Data'!$E$2:$E$1912=$B661))*('Pivot Data'!$I$2:$I$1912="Cancelled")*'Pivot Data'!$H$2:$H$1912)</f>
        <v>0</v>
      </c>
      <c r="E661" s="1301">
        <f t="shared" si="10"/>
        <v>96</v>
      </c>
    </row>
    <row r="662" spans="1:5" hidden="1" x14ac:dyDescent="0.25">
      <c r="A662" t="s">
        <v>2359</v>
      </c>
      <c r="B662" t="s">
        <v>13</v>
      </c>
      <c r="C662" s="1301" cm="1">
        <f t="array" ref="C662">SUMPRODUCT((CHALLAN!$B$1:$B$16504=A662)*IF(B662="",--(CHALLAN!$C$1:$C$16504=""),--(CHALLAN!$C$1:$C$16504=B662))*IFERROR(CHALLAN!$D$1:$D$16504*CHALLAN!$E$1:$E$16504,0))</f>
        <v>120</v>
      </c>
      <c r="D662" cm="1">
        <f t="array" ref="D662">SUMPRODUCT(('Pivot Data'!$D$2:$D$1912=$A662)*IF($B662="",--('Pivot Data'!$E$2:$E$1912=""),--('Pivot Data'!$E$2:$E$1912=$B662))*('Pivot Data'!$I$2:$I$1912="Cancelled")*'Pivot Data'!$H$2:$H$1912)</f>
        <v>0</v>
      </c>
      <c r="E662" s="1301">
        <f t="shared" si="10"/>
        <v>120</v>
      </c>
    </row>
    <row r="663" spans="1:5" hidden="1" x14ac:dyDescent="0.25">
      <c r="A663" t="s">
        <v>1785</v>
      </c>
      <c r="B663" t="s">
        <v>1786</v>
      </c>
      <c r="C663" s="1301" cm="1">
        <f t="array" ref="C663">SUMPRODUCT((CHALLAN!$B$1:$B$16504=A663)*IF(B663="",--(CHALLAN!$C$1:$C$16504=""),--(CHALLAN!$C$1:$C$16504=B663))*IFERROR(CHALLAN!$D$1:$D$16504*CHALLAN!$E$1:$E$16504,0))</f>
        <v>48</v>
      </c>
      <c r="D663" cm="1">
        <f t="array" ref="D663">SUMPRODUCT(('Pivot Data'!$D$2:$D$1912=$A663)*IF($B663="",--('Pivot Data'!$E$2:$E$1912=""),--('Pivot Data'!$E$2:$E$1912=$B663))*('Pivot Data'!$I$2:$I$1912="Cancelled")*'Pivot Data'!$H$2:$H$1912)</f>
        <v>0</v>
      </c>
      <c r="E663" s="1301">
        <f t="shared" si="10"/>
        <v>48</v>
      </c>
    </row>
    <row r="664" spans="1:5" hidden="1" x14ac:dyDescent="0.25">
      <c r="A664" t="s">
        <v>1663</v>
      </c>
      <c r="C664" s="1301" cm="1">
        <f t="array" ref="C664">SUMPRODUCT((CHALLAN!$B$1:$B$16504=A664)*IF(B664="",--(CHALLAN!$C$1:$C$16504=""),--(CHALLAN!$C$1:$C$16504=B664))*IFERROR(CHALLAN!$D$1:$D$16504*CHALLAN!$E$1:$E$16504,0))</f>
        <v>6</v>
      </c>
      <c r="D664" cm="1">
        <f t="array" ref="D664">SUMPRODUCT(('Pivot Data'!$D$2:$D$1912=$A664)*IF($B664="",--('Pivot Data'!$E$2:$E$1912=""),--('Pivot Data'!$E$2:$E$1912=$B664))*('Pivot Data'!$I$2:$I$1912="Cancelled")*'Pivot Data'!$H$2:$H$1912)</f>
        <v>0</v>
      </c>
      <c r="E664" s="1301">
        <f t="shared" si="10"/>
        <v>6</v>
      </c>
    </row>
    <row r="665" spans="1:5" hidden="1" x14ac:dyDescent="0.25">
      <c r="A665" t="s">
        <v>1296</v>
      </c>
      <c r="C665" s="1301" cm="1">
        <f t="array" ref="C665">SUMPRODUCT((CHALLAN!$B$1:$B$16504=A665)*IF(B665="",--(CHALLAN!$C$1:$C$16504=""),--(CHALLAN!$C$1:$C$16504=B665))*IFERROR(CHALLAN!$D$1:$D$16504*CHALLAN!$E$1:$E$16504,0))</f>
        <v>44</v>
      </c>
      <c r="D665" cm="1">
        <f t="array" ref="D665">SUMPRODUCT(('Pivot Data'!$D$2:$D$1912=$A665)*IF($B665="",--('Pivot Data'!$E$2:$E$1912=""),--('Pivot Data'!$E$2:$E$1912=$B665))*('Pivot Data'!$I$2:$I$1912="Cancelled")*'Pivot Data'!$H$2:$H$1912)</f>
        <v>0</v>
      </c>
      <c r="E665" s="1301">
        <f t="shared" si="10"/>
        <v>44</v>
      </c>
    </row>
    <row r="666" spans="1:5" hidden="1" x14ac:dyDescent="0.25">
      <c r="A666" t="s">
        <v>108</v>
      </c>
      <c r="B666" t="s">
        <v>109</v>
      </c>
      <c r="C666" s="1301" cm="1">
        <f t="array" ref="C666">SUMPRODUCT((CHALLAN!$B$1:$B$16504=A666)*IF(B666="",--(CHALLAN!$C$1:$C$16504=""),--(CHALLAN!$C$1:$C$16504=B666))*IFERROR(CHALLAN!$D$1:$D$16504*CHALLAN!$E$1:$E$16504,0))</f>
        <v>1900</v>
      </c>
      <c r="D666" cm="1">
        <f t="array" ref="D666">SUMPRODUCT(('Pivot Data'!$D$2:$D$1912=$A666)*IF($B666="",--('Pivot Data'!$E$2:$E$1912=""),--('Pivot Data'!$E$2:$E$1912=$B666))*('Pivot Data'!$I$2:$I$1912="Cancelled")*'Pivot Data'!$H$2:$H$1912)</f>
        <v>0</v>
      </c>
      <c r="E666" s="1301">
        <f t="shared" si="10"/>
        <v>1900</v>
      </c>
    </row>
    <row r="667" spans="1:5" hidden="1" x14ac:dyDescent="0.25">
      <c r="A667" t="s">
        <v>2101</v>
      </c>
      <c r="B667" t="s">
        <v>109</v>
      </c>
      <c r="C667" s="1301" cm="1">
        <f t="array" ref="C667">SUMPRODUCT((CHALLAN!$B$1:$B$16504=A667)*IF(B667="",--(CHALLAN!$C$1:$C$16504=""),--(CHALLAN!$C$1:$C$16504=B667))*IFERROR(CHALLAN!$D$1:$D$16504*CHALLAN!$E$1:$E$16504,0))</f>
        <v>600</v>
      </c>
      <c r="D667" cm="1">
        <f t="array" ref="D667">SUMPRODUCT(('Pivot Data'!$D$2:$D$1912=$A667)*IF($B667="",--('Pivot Data'!$E$2:$E$1912=""),--('Pivot Data'!$E$2:$E$1912=$B667))*('Pivot Data'!$I$2:$I$1912="Cancelled")*'Pivot Data'!$H$2:$H$1912)</f>
        <v>0</v>
      </c>
      <c r="E667" s="1301">
        <f t="shared" si="10"/>
        <v>600</v>
      </c>
    </row>
    <row r="668" spans="1:5" hidden="1" x14ac:dyDescent="0.25">
      <c r="A668" t="s">
        <v>2153</v>
      </c>
      <c r="B668" t="s">
        <v>425</v>
      </c>
      <c r="C668" s="1301" cm="1">
        <f t="array" ref="C668">SUMPRODUCT((CHALLAN!$B$1:$B$16504=A668)*IF(B668="",--(CHALLAN!$C$1:$C$16504=""),--(CHALLAN!$C$1:$C$16504=B668))*IFERROR(CHALLAN!$D$1:$D$16504*CHALLAN!$E$1:$E$16504,0))</f>
        <v>275</v>
      </c>
      <c r="D668" cm="1">
        <f t="array" ref="D668">SUMPRODUCT(('Pivot Data'!$D$2:$D$1912=$A668)*IF($B668="",--('Pivot Data'!$E$2:$E$1912=""),--('Pivot Data'!$E$2:$E$1912=$B668))*('Pivot Data'!$I$2:$I$1912="Cancelled")*'Pivot Data'!$H$2:$H$1912)</f>
        <v>0</v>
      </c>
      <c r="E668" s="1301">
        <f t="shared" si="10"/>
        <v>275</v>
      </c>
    </row>
    <row r="669" spans="1:5" hidden="1" x14ac:dyDescent="0.25">
      <c r="A669" t="s">
        <v>2152</v>
      </c>
      <c r="B669" t="s">
        <v>109</v>
      </c>
      <c r="C669" s="1301" cm="1">
        <f t="array" ref="C669">SUMPRODUCT((CHALLAN!$B$1:$B$16504=A669)*IF(B669="",--(CHALLAN!$C$1:$C$16504=""),--(CHALLAN!$C$1:$C$16504=B669))*IFERROR(CHALLAN!$D$1:$D$16504*CHALLAN!$E$1:$E$16504,0))</f>
        <v>2100</v>
      </c>
      <c r="D669" cm="1">
        <f t="array" ref="D669">SUMPRODUCT(('Pivot Data'!$D$2:$D$1912=$A669)*IF($B669="",--('Pivot Data'!$E$2:$E$1912=""),--('Pivot Data'!$E$2:$E$1912=$B669))*('Pivot Data'!$I$2:$I$1912="Cancelled")*'Pivot Data'!$H$2:$H$1912)</f>
        <v>0</v>
      </c>
      <c r="E669" s="1301">
        <f t="shared" si="10"/>
        <v>2100</v>
      </c>
    </row>
    <row r="670" spans="1:5" hidden="1" x14ac:dyDescent="0.25">
      <c r="A670" t="s">
        <v>1386</v>
      </c>
      <c r="B670" t="s">
        <v>1387</v>
      </c>
      <c r="C670" s="1301" cm="1">
        <f t="array" ref="C670">SUMPRODUCT((CHALLAN!$B$1:$B$16504=A670)*IF(B670="",--(CHALLAN!$C$1:$C$16504=""),--(CHALLAN!$C$1:$C$16504=B670))*IFERROR(CHALLAN!$D$1:$D$16504*CHALLAN!$E$1:$E$16504,0))</f>
        <v>500</v>
      </c>
      <c r="D670" cm="1">
        <f t="array" ref="D670">SUMPRODUCT(('Pivot Data'!$D$2:$D$1912=$A670)*IF($B670="",--('Pivot Data'!$E$2:$E$1912=""),--('Pivot Data'!$E$2:$E$1912=$B670))*('Pivot Data'!$I$2:$I$1912="Cancelled")*'Pivot Data'!$H$2:$H$1912)</f>
        <v>0</v>
      </c>
      <c r="E670" s="1301">
        <f t="shared" si="10"/>
        <v>500</v>
      </c>
    </row>
    <row r="671" spans="1:5" hidden="1" x14ac:dyDescent="0.25">
      <c r="A671" t="s">
        <v>1243</v>
      </c>
      <c r="B671" t="s">
        <v>109</v>
      </c>
      <c r="C671" s="1301" cm="1">
        <f t="array" ref="C671">SUMPRODUCT((CHALLAN!$B$1:$B$16504=A671)*IF(B671="",--(CHALLAN!$C$1:$C$16504=""),--(CHALLAN!$C$1:$C$16504=B671))*IFERROR(CHALLAN!$D$1:$D$16504*CHALLAN!$E$1:$E$16504,0))</f>
        <v>1300</v>
      </c>
      <c r="D671" cm="1">
        <f t="array" ref="D671">SUMPRODUCT(('Pivot Data'!$D$2:$D$1912=$A671)*IF($B671="",--('Pivot Data'!$E$2:$E$1912=""),--('Pivot Data'!$E$2:$E$1912=$B671))*('Pivot Data'!$I$2:$I$1912="Cancelled")*'Pivot Data'!$H$2:$H$1912)</f>
        <v>0</v>
      </c>
      <c r="E671" s="1301">
        <f t="shared" si="10"/>
        <v>1300</v>
      </c>
    </row>
    <row r="672" spans="1:5" hidden="1" x14ac:dyDescent="0.25">
      <c r="A672" t="s">
        <v>1213</v>
      </c>
      <c r="B672" t="s">
        <v>1175</v>
      </c>
      <c r="C672" s="1301" cm="1">
        <f t="array" ref="C672">SUMPRODUCT((CHALLAN!$B$1:$B$16504=A672)*IF(B672="",--(CHALLAN!$C$1:$C$16504=""),--(CHALLAN!$C$1:$C$16504=B672))*IFERROR(CHALLAN!$D$1:$D$16504*CHALLAN!$E$1:$E$16504,0))</f>
        <v>905</v>
      </c>
      <c r="D672" cm="1">
        <f t="array" ref="D672">SUMPRODUCT(('Pivot Data'!$D$2:$D$1912=$A672)*IF($B672="",--('Pivot Data'!$E$2:$E$1912=""),--('Pivot Data'!$E$2:$E$1912=$B672))*('Pivot Data'!$I$2:$I$1912="Cancelled")*'Pivot Data'!$H$2:$H$1912)</f>
        <v>0</v>
      </c>
      <c r="E672" s="1301">
        <f t="shared" si="10"/>
        <v>905</v>
      </c>
    </row>
    <row r="673" spans="1:5" hidden="1" x14ac:dyDescent="0.25">
      <c r="A673" t="s">
        <v>1383</v>
      </c>
      <c r="B673" t="s">
        <v>109</v>
      </c>
      <c r="C673" s="1301" cm="1">
        <f t="array" ref="C673">SUMPRODUCT((CHALLAN!$B$1:$B$16504=A673)*IF(B673="",--(CHALLAN!$C$1:$C$16504=""),--(CHALLAN!$C$1:$C$16504=B673))*IFERROR(CHALLAN!$D$1:$D$16504*CHALLAN!$E$1:$E$16504,0))</f>
        <v>2648</v>
      </c>
      <c r="D673" cm="1">
        <f t="array" ref="D673">SUMPRODUCT(('Pivot Data'!$D$2:$D$1912=$A673)*IF($B673="",--('Pivot Data'!$E$2:$E$1912=""),--('Pivot Data'!$E$2:$E$1912=$B673))*('Pivot Data'!$I$2:$I$1912="Cancelled")*'Pivot Data'!$H$2:$H$1912)</f>
        <v>0</v>
      </c>
      <c r="E673" s="1301">
        <f t="shared" si="10"/>
        <v>2648</v>
      </c>
    </row>
    <row r="674" spans="1:5" hidden="1" x14ac:dyDescent="0.25">
      <c r="A674" t="s">
        <v>2168</v>
      </c>
      <c r="B674" t="s">
        <v>109</v>
      </c>
      <c r="C674" s="1301" cm="1">
        <f t="array" ref="C674">SUMPRODUCT((CHALLAN!$B$1:$B$16504=A674)*IF(B674="",--(CHALLAN!$C$1:$C$16504=""),--(CHALLAN!$C$1:$C$16504=B674))*IFERROR(CHALLAN!$D$1:$D$16504*CHALLAN!$E$1:$E$16504,0))</f>
        <v>200</v>
      </c>
      <c r="D674" cm="1">
        <f t="array" ref="D674">SUMPRODUCT(('Pivot Data'!$D$2:$D$1912=$A674)*IF($B674="",--('Pivot Data'!$E$2:$E$1912=""),--('Pivot Data'!$E$2:$E$1912=$B674))*('Pivot Data'!$I$2:$I$1912="Cancelled")*'Pivot Data'!$H$2:$H$1912)</f>
        <v>0</v>
      </c>
      <c r="E674" s="1301">
        <f t="shared" si="10"/>
        <v>200</v>
      </c>
    </row>
    <row r="675" spans="1:5" hidden="1" x14ac:dyDescent="0.25">
      <c r="A675" t="s">
        <v>2169</v>
      </c>
      <c r="B675" t="s">
        <v>425</v>
      </c>
      <c r="C675" s="1301" cm="1">
        <f t="array" ref="C675">SUMPRODUCT((CHALLAN!$B$1:$B$16504=A675)*IF(B675="",--(CHALLAN!$C$1:$C$16504=""),--(CHALLAN!$C$1:$C$16504=B675))*IFERROR(CHALLAN!$D$1:$D$16504*CHALLAN!$E$1:$E$16504,0))</f>
        <v>50</v>
      </c>
      <c r="D675" cm="1">
        <f t="array" ref="D675">SUMPRODUCT(('Pivot Data'!$D$2:$D$1912=$A675)*IF($B675="",--('Pivot Data'!$E$2:$E$1912=""),--('Pivot Data'!$E$2:$E$1912=$B675))*('Pivot Data'!$I$2:$I$1912="Cancelled")*'Pivot Data'!$H$2:$H$1912)</f>
        <v>0</v>
      </c>
      <c r="E675" s="1301">
        <f t="shared" si="10"/>
        <v>50</v>
      </c>
    </row>
    <row r="676" spans="1:5" hidden="1" x14ac:dyDescent="0.25">
      <c r="A676" t="s">
        <v>1771</v>
      </c>
      <c r="B676" t="s">
        <v>109</v>
      </c>
      <c r="C676" s="1301" cm="1">
        <f t="array" ref="C676">SUMPRODUCT((CHALLAN!$B$1:$B$16504=A676)*IF(B676="",--(CHALLAN!$C$1:$C$16504=""),--(CHALLAN!$C$1:$C$16504=B676))*IFERROR(CHALLAN!$D$1:$D$16504*CHALLAN!$E$1:$E$16504,0))</f>
        <v>1400</v>
      </c>
      <c r="D676" cm="1">
        <f t="array" ref="D676">SUMPRODUCT(('Pivot Data'!$D$2:$D$1912=$A676)*IF($B676="",--('Pivot Data'!$E$2:$E$1912=""),--('Pivot Data'!$E$2:$E$1912=$B676))*('Pivot Data'!$I$2:$I$1912="Cancelled")*'Pivot Data'!$H$2:$H$1912)</f>
        <v>0</v>
      </c>
      <c r="E676" s="1301">
        <f t="shared" si="10"/>
        <v>1400</v>
      </c>
    </row>
    <row r="677" spans="1:5" hidden="1" x14ac:dyDescent="0.25">
      <c r="A677" t="s">
        <v>595</v>
      </c>
      <c r="B677" t="s">
        <v>596</v>
      </c>
      <c r="C677" s="1301" cm="1">
        <f t="array" ref="C677">SUMPRODUCT((CHALLAN!$B$1:$B$16504=A677)*IF(B677="",--(CHALLAN!$C$1:$C$16504=""),--(CHALLAN!$C$1:$C$16504=B677))*IFERROR(CHALLAN!$D$1:$D$16504*CHALLAN!$E$1:$E$16504,0))</f>
        <v>11</v>
      </c>
      <c r="D677" cm="1">
        <f t="array" ref="D677">SUMPRODUCT(('Pivot Data'!$D$2:$D$1912=$A677)*IF($B677="",--('Pivot Data'!$E$2:$E$1912=""),--('Pivot Data'!$E$2:$E$1912=$B677))*('Pivot Data'!$I$2:$I$1912="Cancelled")*'Pivot Data'!$H$2:$H$1912)</f>
        <v>0</v>
      </c>
      <c r="E677" s="1301">
        <f t="shared" si="10"/>
        <v>11</v>
      </c>
    </row>
    <row r="678" spans="1:5" hidden="1" x14ac:dyDescent="0.25">
      <c r="A678" t="s">
        <v>530</v>
      </c>
      <c r="B678" t="s">
        <v>338</v>
      </c>
      <c r="C678" s="1301" cm="1">
        <f t="array" ref="C678">SUMPRODUCT((CHALLAN!$B$1:$B$16504=A678)*IF(B678="",--(CHALLAN!$C$1:$C$16504=""),--(CHALLAN!$C$1:$C$16504=B678))*IFERROR(CHALLAN!$D$1:$D$16504*CHALLAN!$E$1:$E$16504,0))</f>
        <v>20</v>
      </c>
      <c r="D678" cm="1">
        <f t="array" ref="D678">SUMPRODUCT(('Pivot Data'!$D$2:$D$1912=$A678)*IF($B678="",--('Pivot Data'!$E$2:$E$1912=""),--('Pivot Data'!$E$2:$E$1912=$B678))*('Pivot Data'!$I$2:$I$1912="Cancelled")*'Pivot Data'!$H$2:$H$1912)</f>
        <v>0</v>
      </c>
      <c r="E678" s="1301">
        <f t="shared" si="10"/>
        <v>20</v>
      </c>
    </row>
    <row r="679" spans="1:5" hidden="1" x14ac:dyDescent="0.25">
      <c r="A679" t="s">
        <v>1981</v>
      </c>
      <c r="C679" s="1301" cm="1">
        <f t="array" ref="C679">SUMPRODUCT((CHALLAN!$B$1:$B$16504=A679)*IF(B679="",--(CHALLAN!$C$1:$C$16504=""),--(CHALLAN!$C$1:$C$16504=B679))*IFERROR(CHALLAN!$D$1:$D$16504*CHALLAN!$E$1:$E$16504,0))</f>
        <v>30</v>
      </c>
      <c r="D679" cm="1">
        <f t="array" ref="D679">SUMPRODUCT(('Pivot Data'!$D$2:$D$1912=$A679)*IF($B679="",--('Pivot Data'!$E$2:$E$1912=""),--('Pivot Data'!$E$2:$E$1912=$B679))*('Pivot Data'!$I$2:$I$1912="Cancelled")*'Pivot Data'!$H$2:$H$1912)</f>
        <v>0</v>
      </c>
      <c r="E679" s="1301">
        <f t="shared" si="10"/>
        <v>30</v>
      </c>
    </row>
    <row r="680" spans="1:5" hidden="1" x14ac:dyDescent="0.25">
      <c r="A680" t="s">
        <v>1556</v>
      </c>
      <c r="C680" s="1301" cm="1">
        <f t="array" ref="C680">SUMPRODUCT((CHALLAN!$B$1:$B$16504=A680)*IF(B680="",--(CHALLAN!$C$1:$C$16504=""),--(CHALLAN!$C$1:$C$16504=B680))*IFERROR(CHALLAN!$D$1:$D$16504*CHALLAN!$E$1:$E$16504,0))</f>
        <v>5</v>
      </c>
      <c r="D680" cm="1">
        <f t="array" ref="D680">SUMPRODUCT(('Pivot Data'!$D$2:$D$1912=$A680)*IF($B680="",--('Pivot Data'!$E$2:$E$1912=""),--('Pivot Data'!$E$2:$E$1912=$B680))*('Pivot Data'!$I$2:$I$1912="Cancelled")*'Pivot Data'!$H$2:$H$1912)</f>
        <v>0</v>
      </c>
      <c r="E680" s="1301">
        <f t="shared" si="10"/>
        <v>5</v>
      </c>
    </row>
    <row r="681" spans="1:5" hidden="1" x14ac:dyDescent="0.25">
      <c r="A681" t="s">
        <v>148</v>
      </c>
      <c r="C681" s="1301" cm="1">
        <f t="array" ref="C681">SUMPRODUCT((CHALLAN!$B$1:$B$16504=A681)*IF(B681="",--(CHALLAN!$C$1:$C$16504=""),--(CHALLAN!$C$1:$C$16504=B681))*IFERROR(CHALLAN!$D$1:$D$16504*CHALLAN!$E$1:$E$16504,0))</f>
        <v>1</v>
      </c>
      <c r="D681" cm="1">
        <f t="array" ref="D681">SUMPRODUCT(('Pivot Data'!$D$2:$D$1912=$A681)*IF($B681="",--('Pivot Data'!$E$2:$E$1912=""),--('Pivot Data'!$E$2:$E$1912=$B681))*('Pivot Data'!$I$2:$I$1912="Cancelled")*'Pivot Data'!$H$2:$H$1912)</f>
        <v>0</v>
      </c>
      <c r="E681" s="1301">
        <f t="shared" si="10"/>
        <v>1</v>
      </c>
    </row>
    <row r="682" spans="1:5" hidden="1" x14ac:dyDescent="0.25">
      <c r="A682" t="s">
        <v>148</v>
      </c>
      <c r="B682" t="s">
        <v>1607</v>
      </c>
      <c r="C682" s="1301" cm="1">
        <f t="array" ref="C682">SUMPRODUCT((CHALLAN!$B$1:$B$16504=A682)*IF(B682="",--(CHALLAN!$C$1:$C$16504=""),--(CHALLAN!$C$1:$C$16504=B682))*IFERROR(CHALLAN!$D$1:$D$16504*CHALLAN!$E$1:$E$16504,0))</f>
        <v>1</v>
      </c>
      <c r="D682" cm="1">
        <f t="array" ref="D682">SUMPRODUCT(('Pivot Data'!$D$2:$D$1912=$A682)*IF($B682="",--('Pivot Data'!$E$2:$E$1912=""),--('Pivot Data'!$E$2:$E$1912=$B682))*('Pivot Data'!$I$2:$I$1912="Cancelled")*'Pivot Data'!$H$2:$H$1912)</f>
        <v>0</v>
      </c>
      <c r="E682" s="1301">
        <f t="shared" si="10"/>
        <v>1</v>
      </c>
    </row>
    <row r="683" spans="1:5" hidden="1" x14ac:dyDescent="0.25">
      <c r="A683" t="s">
        <v>147</v>
      </c>
      <c r="B683" t="s">
        <v>343</v>
      </c>
      <c r="C683" s="1301" cm="1">
        <f t="array" ref="C683">SUMPRODUCT((CHALLAN!$B$1:$B$16504=A683)*IF(B683="",--(CHALLAN!$C$1:$C$16504=""),--(CHALLAN!$C$1:$C$16504=B683))*IFERROR(CHALLAN!$D$1:$D$16504*CHALLAN!$E$1:$E$16504,0))</f>
        <v>25</v>
      </c>
      <c r="D683" cm="1">
        <f t="array" ref="D683">SUMPRODUCT(('Pivot Data'!$D$2:$D$1912=$A683)*IF($B683="",--('Pivot Data'!$E$2:$E$1912=""),--('Pivot Data'!$E$2:$E$1912=$B683))*('Pivot Data'!$I$2:$I$1912="Cancelled")*'Pivot Data'!$H$2:$H$1912)</f>
        <v>0</v>
      </c>
      <c r="E683" s="1301">
        <f t="shared" si="10"/>
        <v>25</v>
      </c>
    </row>
    <row r="684" spans="1:5" hidden="1" x14ac:dyDescent="0.25">
      <c r="A684" t="s">
        <v>231</v>
      </c>
      <c r="B684" t="s">
        <v>400</v>
      </c>
      <c r="C684" s="1301" cm="1">
        <f t="array" ref="C684">SUMPRODUCT((CHALLAN!$B$1:$B$16504=A684)*IF(B684="",--(CHALLAN!$C$1:$C$16504=""),--(CHALLAN!$C$1:$C$16504=B684))*IFERROR(CHALLAN!$D$1:$D$16504*CHALLAN!$E$1:$E$16504,0))</f>
        <v>100</v>
      </c>
      <c r="D684" cm="1">
        <f t="array" ref="D684">SUMPRODUCT(('Pivot Data'!$D$2:$D$1912=$A684)*IF($B684="",--('Pivot Data'!$E$2:$E$1912=""),--('Pivot Data'!$E$2:$E$1912=$B684))*('Pivot Data'!$I$2:$I$1912="Cancelled")*'Pivot Data'!$H$2:$H$1912)</f>
        <v>0</v>
      </c>
      <c r="E684" s="1301">
        <f t="shared" si="10"/>
        <v>100</v>
      </c>
    </row>
    <row r="685" spans="1:5" hidden="1" x14ac:dyDescent="0.25">
      <c r="A685" t="s">
        <v>2056</v>
      </c>
      <c r="B685" t="s">
        <v>331</v>
      </c>
      <c r="C685" s="1301" cm="1">
        <f t="array" ref="C685">SUMPRODUCT((CHALLAN!$B$1:$B$16504=A685)*IF(B685="",--(CHALLAN!$C$1:$C$16504=""),--(CHALLAN!$C$1:$C$16504=B685))*IFERROR(CHALLAN!$D$1:$D$16504*CHALLAN!$E$1:$E$16504,0))</f>
        <v>20</v>
      </c>
      <c r="D685" cm="1">
        <f t="array" ref="D685">SUMPRODUCT(('Pivot Data'!$D$2:$D$1912=$A685)*IF($B685="",--('Pivot Data'!$E$2:$E$1912=""),--('Pivot Data'!$E$2:$E$1912=$B685))*('Pivot Data'!$I$2:$I$1912="Cancelled")*'Pivot Data'!$H$2:$H$1912)</f>
        <v>0</v>
      </c>
      <c r="E685" s="1301">
        <f t="shared" si="10"/>
        <v>20</v>
      </c>
    </row>
    <row r="686" spans="1:5" hidden="1" x14ac:dyDescent="0.25">
      <c r="A686" t="s">
        <v>2251</v>
      </c>
      <c r="B686" t="s">
        <v>331</v>
      </c>
      <c r="C686" s="1301" cm="1">
        <f t="array" ref="C686">SUMPRODUCT((CHALLAN!$B$1:$B$16504=A686)*IF(B686="",--(CHALLAN!$C$1:$C$16504=""),--(CHALLAN!$C$1:$C$16504=B686))*IFERROR(CHALLAN!$D$1:$D$16504*CHALLAN!$E$1:$E$16504,0))</f>
        <v>270</v>
      </c>
      <c r="D686" cm="1">
        <f t="array" ref="D686">SUMPRODUCT(('Pivot Data'!$D$2:$D$1912=$A686)*IF($B686="",--('Pivot Data'!$E$2:$E$1912=""),--('Pivot Data'!$E$2:$E$1912=$B686))*('Pivot Data'!$I$2:$I$1912="Cancelled")*'Pivot Data'!$H$2:$H$1912)</f>
        <v>0</v>
      </c>
      <c r="E686" s="1301">
        <f t="shared" si="10"/>
        <v>270</v>
      </c>
    </row>
    <row r="687" spans="1:5" hidden="1" x14ac:dyDescent="0.25">
      <c r="A687" t="s">
        <v>1829</v>
      </c>
      <c r="B687" t="s">
        <v>331</v>
      </c>
      <c r="C687" s="1301" cm="1">
        <f t="array" ref="C687">SUMPRODUCT((CHALLAN!$B$1:$B$16504=A687)*IF(B687="",--(CHALLAN!$C$1:$C$16504=""),--(CHALLAN!$C$1:$C$16504=B687))*IFERROR(CHALLAN!$D$1:$D$16504*CHALLAN!$E$1:$E$16504,0))</f>
        <v>35</v>
      </c>
      <c r="D687" cm="1">
        <f t="array" ref="D687">SUMPRODUCT(('Pivot Data'!$D$2:$D$1912=$A687)*IF($B687="",--('Pivot Data'!$E$2:$E$1912=""),--('Pivot Data'!$E$2:$E$1912=$B687))*('Pivot Data'!$I$2:$I$1912="Cancelled")*'Pivot Data'!$H$2:$H$1912)</f>
        <v>0</v>
      </c>
      <c r="E687" s="1301">
        <f t="shared" si="10"/>
        <v>35</v>
      </c>
    </row>
    <row r="688" spans="1:5" hidden="1" x14ac:dyDescent="0.25">
      <c r="A688" t="s">
        <v>2216</v>
      </c>
      <c r="B688" t="s">
        <v>400</v>
      </c>
      <c r="C688" s="1301" cm="1">
        <f t="array" ref="C688">SUMPRODUCT((CHALLAN!$B$1:$B$16504=A688)*IF(B688="",--(CHALLAN!$C$1:$C$16504=""),--(CHALLAN!$C$1:$C$16504=B688))*IFERROR(CHALLAN!$D$1:$D$16504*CHALLAN!$E$1:$E$16504,0))</f>
        <v>18</v>
      </c>
      <c r="D688" cm="1">
        <f t="array" ref="D688">SUMPRODUCT(('Pivot Data'!$D$2:$D$1912=$A688)*IF($B688="",--('Pivot Data'!$E$2:$E$1912=""),--('Pivot Data'!$E$2:$E$1912=$B688))*('Pivot Data'!$I$2:$I$1912="Cancelled")*'Pivot Data'!$H$2:$H$1912)</f>
        <v>0</v>
      </c>
      <c r="E688" s="1301">
        <f t="shared" si="10"/>
        <v>18</v>
      </c>
    </row>
    <row r="689" spans="1:5" hidden="1" x14ac:dyDescent="0.25">
      <c r="A689" t="s">
        <v>259</v>
      </c>
      <c r="B689" t="s">
        <v>1558</v>
      </c>
      <c r="C689" s="1301" cm="1">
        <f t="array" ref="C689">SUMPRODUCT((CHALLAN!$B$1:$B$16504=A689)*IF(B689="",--(CHALLAN!$C$1:$C$16504=""),--(CHALLAN!$C$1:$C$16504=B689))*IFERROR(CHALLAN!$D$1:$D$16504*CHALLAN!$E$1:$E$16504,0))</f>
        <v>0</v>
      </c>
      <c r="D689" cm="1">
        <f t="array" ref="D689">SUMPRODUCT(('Pivot Data'!$D$2:$D$1912=$A689)*IF($B689="",--('Pivot Data'!$E$2:$E$1912=""),--('Pivot Data'!$E$2:$E$1912=$B689))*('Pivot Data'!$I$2:$I$1912="Cancelled")*'Pivot Data'!$H$2:$H$1912)</f>
        <v>0</v>
      </c>
      <c r="E689" s="1301">
        <f t="shared" si="10"/>
        <v>0</v>
      </c>
    </row>
    <row r="690" spans="1:5" hidden="1" x14ac:dyDescent="0.25">
      <c r="A690" t="s">
        <v>89</v>
      </c>
      <c r="C690" s="1301" cm="1">
        <f t="array" ref="C690">SUMPRODUCT((CHALLAN!$B$1:$B$16504=A690)*IF(B690="",--(CHALLAN!$C$1:$C$16504=""),--(CHALLAN!$C$1:$C$16504=B690))*IFERROR(CHALLAN!$D$1:$D$16504*CHALLAN!$E$1:$E$16504,0))</f>
        <v>0</v>
      </c>
      <c r="D690" cm="1">
        <f t="array" ref="D690">SUMPRODUCT(('Pivot Data'!$D$2:$D$1912=$A690)*IF($B690="",--('Pivot Data'!$E$2:$E$1912=""),--('Pivot Data'!$E$2:$E$1912=$B690))*('Pivot Data'!$I$2:$I$1912="Cancelled")*'Pivot Data'!$H$2:$H$1912)</f>
        <v>0</v>
      </c>
      <c r="E690" s="1301">
        <f t="shared" si="10"/>
        <v>0</v>
      </c>
    </row>
    <row r="691" spans="1:5" hidden="1" x14ac:dyDescent="0.25">
      <c r="A691" t="s">
        <v>2041</v>
      </c>
      <c r="C691" s="1301" cm="1">
        <f t="array" ref="C691">SUMPRODUCT((CHALLAN!$B$1:$B$16504=A691)*IF(B691="",--(CHALLAN!$C$1:$C$16504=""),--(CHALLAN!$C$1:$C$16504=B691))*IFERROR(CHALLAN!$D$1:$D$16504*CHALLAN!$E$1:$E$16504,0))</f>
        <v>0</v>
      </c>
      <c r="D691" cm="1">
        <f t="array" ref="D691">SUMPRODUCT(('Pivot Data'!$D$2:$D$1912=$A691)*IF($B691="",--('Pivot Data'!$E$2:$E$1912=""),--('Pivot Data'!$E$2:$E$1912=$B691))*('Pivot Data'!$I$2:$I$1912="Cancelled")*'Pivot Data'!$H$2:$H$1912)</f>
        <v>0</v>
      </c>
      <c r="E691" s="1301">
        <f t="shared" si="10"/>
        <v>0</v>
      </c>
    </row>
    <row r="692" spans="1:5" hidden="1" x14ac:dyDescent="0.25">
      <c r="A692" t="s">
        <v>287</v>
      </c>
      <c r="B692" t="s">
        <v>1363</v>
      </c>
      <c r="C692" s="1301" cm="1">
        <f t="array" ref="C692">SUMPRODUCT((CHALLAN!$B$1:$B$16504=A692)*IF(B692="",--(CHALLAN!$C$1:$C$16504=""),--(CHALLAN!$C$1:$C$16504=B692))*IFERROR(CHALLAN!$D$1:$D$16504*CHALLAN!$E$1:$E$16504,0))</f>
        <v>400</v>
      </c>
      <c r="D692" cm="1">
        <f t="array" ref="D692">SUMPRODUCT(('Pivot Data'!$D$2:$D$1912=$A692)*IF($B692="",--('Pivot Data'!$E$2:$E$1912=""),--('Pivot Data'!$E$2:$E$1912=$B692))*('Pivot Data'!$I$2:$I$1912="Cancelled")*'Pivot Data'!$H$2:$H$1912)</f>
        <v>0</v>
      </c>
      <c r="E692" s="1301">
        <f t="shared" si="10"/>
        <v>400</v>
      </c>
    </row>
    <row r="693" spans="1:5" hidden="1" x14ac:dyDescent="0.25">
      <c r="A693" t="s">
        <v>287</v>
      </c>
      <c r="B693" t="s">
        <v>1561</v>
      </c>
      <c r="C693" s="1301" cm="1">
        <f t="array" ref="C693">SUMPRODUCT((CHALLAN!$B$1:$B$16504=A693)*IF(B693="",--(CHALLAN!$C$1:$C$16504=""),--(CHALLAN!$C$1:$C$16504=B693))*IFERROR(CHALLAN!$D$1:$D$16504*CHALLAN!$E$1:$E$16504,0))</f>
        <v>100</v>
      </c>
      <c r="D693" cm="1">
        <f t="array" ref="D693">SUMPRODUCT(('Pivot Data'!$D$2:$D$1912=$A693)*IF($B693="",--('Pivot Data'!$E$2:$E$1912=""),--('Pivot Data'!$E$2:$E$1912=$B693))*('Pivot Data'!$I$2:$I$1912="Cancelled")*'Pivot Data'!$H$2:$H$1912)</f>
        <v>0</v>
      </c>
      <c r="E693" s="1301">
        <f t="shared" si="10"/>
        <v>100</v>
      </c>
    </row>
    <row r="694" spans="1:5" hidden="1" x14ac:dyDescent="0.25">
      <c r="A694" t="s">
        <v>287</v>
      </c>
      <c r="B694" t="s">
        <v>400</v>
      </c>
      <c r="C694" s="1301" cm="1">
        <f t="array" ref="C694">SUMPRODUCT((CHALLAN!$B$1:$B$16504=A694)*IF(B694="",--(CHALLAN!$C$1:$C$16504=""),--(CHALLAN!$C$1:$C$16504=B694))*IFERROR(CHALLAN!$D$1:$D$16504*CHALLAN!$E$1:$E$16504,0))</f>
        <v>270</v>
      </c>
      <c r="D694" cm="1">
        <f t="array" ref="D694">SUMPRODUCT(('Pivot Data'!$D$2:$D$1912=$A694)*IF($B694="",--('Pivot Data'!$E$2:$E$1912=""),--('Pivot Data'!$E$2:$E$1912=$B694))*('Pivot Data'!$I$2:$I$1912="Cancelled")*'Pivot Data'!$H$2:$H$1912)</f>
        <v>0</v>
      </c>
      <c r="E694" s="1301">
        <f t="shared" si="10"/>
        <v>270</v>
      </c>
    </row>
    <row r="695" spans="1:5" hidden="1" x14ac:dyDescent="0.25">
      <c r="A695" t="s">
        <v>287</v>
      </c>
      <c r="B695" t="s">
        <v>1176</v>
      </c>
      <c r="C695" s="1301" cm="1">
        <f t="array" ref="C695">SUMPRODUCT((CHALLAN!$B$1:$B$16504=A695)*IF(B695="",--(CHALLAN!$C$1:$C$16504=""),--(CHALLAN!$C$1:$C$16504=B695))*IFERROR(CHALLAN!$D$1:$D$16504*CHALLAN!$E$1:$E$16504,0))</f>
        <v>234</v>
      </c>
      <c r="D695" cm="1">
        <f t="array" ref="D695">SUMPRODUCT(('Pivot Data'!$D$2:$D$1912=$A695)*IF($B695="",--('Pivot Data'!$E$2:$E$1912=""),--('Pivot Data'!$E$2:$E$1912=$B695))*('Pivot Data'!$I$2:$I$1912="Cancelled")*'Pivot Data'!$H$2:$H$1912)</f>
        <v>0</v>
      </c>
      <c r="E695" s="1301">
        <f t="shared" si="10"/>
        <v>234</v>
      </c>
    </row>
    <row r="696" spans="1:5" hidden="1" x14ac:dyDescent="0.25">
      <c r="A696" t="s">
        <v>287</v>
      </c>
      <c r="B696" t="s">
        <v>331</v>
      </c>
      <c r="C696" s="1301" cm="1">
        <f t="array" ref="C696">SUMPRODUCT((CHALLAN!$B$1:$B$16504=A696)*IF(B696="",--(CHALLAN!$C$1:$C$16504=""),--(CHALLAN!$C$1:$C$16504=B696))*IFERROR(CHALLAN!$D$1:$D$16504*CHALLAN!$E$1:$E$16504,0))</f>
        <v>5</v>
      </c>
      <c r="D696" cm="1">
        <f t="array" ref="D696">SUMPRODUCT(('Pivot Data'!$D$2:$D$1912=$A696)*IF($B696="",--('Pivot Data'!$E$2:$E$1912=""),--('Pivot Data'!$E$2:$E$1912=$B696))*('Pivot Data'!$I$2:$I$1912="Cancelled")*'Pivot Data'!$H$2:$H$1912)</f>
        <v>0</v>
      </c>
      <c r="E696" s="1301">
        <f t="shared" si="10"/>
        <v>5</v>
      </c>
    </row>
    <row r="697" spans="1:5" hidden="1" x14ac:dyDescent="0.25">
      <c r="A697" t="s">
        <v>1568</v>
      </c>
      <c r="B697" t="s">
        <v>1176</v>
      </c>
      <c r="C697" s="1301" cm="1">
        <f t="array" ref="C697">SUMPRODUCT((CHALLAN!$B$1:$B$16504=A697)*IF(B697="",--(CHALLAN!$C$1:$C$16504=""),--(CHALLAN!$C$1:$C$16504=B697))*IFERROR(CHALLAN!$D$1:$D$16504*CHALLAN!$E$1:$E$16504,0))</f>
        <v>50</v>
      </c>
      <c r="D697" cm="1">
        <f t="array" ref="D697">SUMPRODUCT(('Pivot Data'!$D$2:$D$1912=$A697)*IF($B697="",--('Pivot Data'!$E$2:$E$1912=""),--('Pivot Data'!$E$2:$E$1912=$B697))*('Pivot Data'!$I$2:$I$1912="Cancelled")*'Pivot Data'!$H$2:$H$1912)</f>
        <v>0</v>
      </c>
      <c r="E697" s="1301">
        <f t="shared" si="10"/>
        <v>50</v>
      </c>
    </row>
    <row r="698" spans="1:5" hidden="1" x14ac:dyDescent="0.25">
      <c r="A698" t="s">
        <v>1334</v>
      </c>
      <c r="C698" s="1301" cm="1">
        <f t="array" ref="C698">SUMPRODUCT((CHALLAN!$B$1:$B$16504=A698)*IF(B698="",--(CHALLAN!$C$1:$C$16504=""),--(CHALLAN!$C$1:$C$16504=B698))*IFERROR(CHALLAN!$D$1:$D$16504*CHALLAN!$E$1:$E$16504,0))</f>
        <v>25</v>
      </c>
      <c r="D698" cm="1">
        <f t="array" ref="D698">SUMPRODUCT(('Pivot Data'!$D$2:$D$1912=$A698)*IF($B698="",--('Pivot Data'!$E$2:$E$1912=""),--('Pivot Data'!$E$2:$E$1912=$B698))*('Pivot Data'!$I$2:$I$1912="Cancelled")*'Pivot Data'!$H$2:$H$1912)</f>
        <v>0</v>
      </c>
      <c r="E698" s="1301">
        <f t="shared" si="10"/>
        <v>25</v>
      </c>
    </row>
    <row r="699" spans="1:5" hidden="1" x14ac:dyDescent="0.25">
      <c r="A699" t="s">
        <v>1334</v>
      </c>
      <c r="B699" t="s">
        <v>1507</v>
      </c>
      <c r="C699" s="1301" cm="1">
        <f t="array" ref="C699">SUMPRODUCT((CHALLAN!$B$1:$B$16504=A699)*IF(B699="",--(CHALLAN!$C$1:$C$16504=""),--(CHALLAN!$C$1:$C$16504=B699))*IFERROR(CHALLAN!$D$1:$D$16504*CHALLAN!$E$1:$E$16504,0))</f>
        <v>5</v>
      </c>
      <c r="D699" cm="1">
        <f t="array" ref="D699">SUMPRODUCT(('Pivot Data'!$D$2:$D$1912=$A699)*IF($B699="",--('Pivot Data'!$E$2:$E$1912=""),--('Pivot Data'!$E$2:$E$1912=$B699))*('Pivot Data'!$I$2:$I$1912="Cancelled")*'Pivot Data'!$H$2:$H$1912)</f>
        <v>0</v>
      </c>
      <c r="E699" s="1301">
        <f t="shared" si="10"/>
        <v>5</v>
      </c>
    </row>
    <row r="700" spans="1:5" hidden="1" x14ac:dyDescent="0.25">
      <c r="A700" t="s">
        <v>1334</v>
      </c>
      <c r="B700" t="s">
        <v>331</v>
      </c>
      <c r="C700" s="1301" cm="1">
        <f t="array" ref="C700">SUMPRODUCT((CHALLAN!$B$1:$B$16504=A700)*IF(B700="",--(CHALLAN!$C$1:$C$16504=""),--(CHALLAN!$C$1:$C$16504=B700))*IFERROR(CHALLAN!$D$1:$D$16504*CHALLAN!$E$1:$E$16504,0))</f>
        <v>140</v>
      </c>
      <c r="D700" cm="1">
        <f t="array" ref="D700">SUMPRODUCT(('Pivot Data'!$D$2:$D$1912=$A700)*IF($B700="",--('Pivot Data'!$E$2:$E$1912=""),--('Pivot Data'!$E$2:$E$1912=$B700))*('Pivot Data'!$I$2:$I$1912="Cancelled")*'Pivot Data'!$H$2:$H$1912)</f>
        <v>0</v>
      </c>
      <c r="E700" s="1301">
        <f t="shared" si="10"/>
        <v>140</v>
      </c>
    </row>
    <row r="701" spans="1:5" hidden="1" x14ac:dyDescent="0.25">
      <c r="A701" t="s">
        <v>1334</v>
      </c>
      <c r="B701" t="s">
        <v>1570</v>
      </c>
      <c r="C701" s="1301" cm="1">
        <f t="array" ref="C701">SUMPRODUCT((CHALLAN!$B$1:$B$16504=A701)*IF(B701="",--(CHALLAN!$C$1:$C$16504=""),--(CHALLAN!$C$1:$C$16504=B701))*IFERROR(CHALLAN!$D$1:$D$16504*CHALLAN!$E$1:$E$16504,0))</f>
        <v>0</v>
      </c>
      <c r="D701" cm="1">
        <f t="array" ref="D701">SUMPRODUCT(('Pivot Data'!$D$2:$D$1912=$A701)*IF($B701="",--('Pivot Data'!$E$2:$E$1912=""),--('Pivot Data'!$E$2:$E$1912=$B701))*('Pivot Data'!$I$2:$I$1912="Cancelled")*'Pivot Data'!$H$2:$H$1912)</f>
        <v>0</v>
      </c>
      <c r="E701" s="1301">
        <f t="shared" si="10"/>
        <v>0</v>
      </c>
    </row>
    <row r="702" spans="1:5" hidden="1" x14ac:dyDescent="0.25">
      <c r="A702" t="s">
        <v>1805</v>
      </c>
      <c r="B702" t="s">
        <v>298</v>
      </c>
      <c r="C702" s="1301" cm="1">
        <f t="array" ref="C702">SUMPRODUCT((CHALLAN!$B$1:$B$16504=A702)*IF(B702="",--(CHALLAN!$C$1:$C$16504=""),--(CHALLAN!$C$1:$C$16504=B702))*IFERROR(CHALLAN!$D$1:$D$16504*CHALLAN!$E$1:$E$16504,0))</f>
        <v>5</v>
      </c>
      <c r="D702" cm="1">
        <f t="array" ref="D702">SUMPRODUCT(('Pivot Data'!$D$2:$D$1912=$A702)*IF($B702="",--('Pivot Data'!$E$2:$E$1912=""),--('Pivot Data'!$E$2:$E$1912=$B702))*('Pivot Data'!$I$2:$I$1912="Cancelled")*'Pivot Data'!$H$2:$H$1912)</f>
        <v>0</v>
      </c>
      <c r="E702" s="1301">
        <f t="shared" si="10"/>
        <v>5</v>
      </c>
    </row>
    <row r="703" spans="1:5" hidden="1" x14ac:dyDescent="0.25">
      <c r="A703" t="s">
        <v>122</v>
      </c>
      <c r="B703" t="s">
        <v>321</v>
      </c>
      <c r="C703" s="1301" cm="1">
        <f t="array" ref="C703">SUMPRODUCT((CHALLAN!$B$1:$B$16504=A703)*IF(B703="",--(CHALLAN!$C$1:$C$16504=""),--(CHALLAN!$C$1:$C$16504=B703))*IFERROR(CHALLAN!$D$1:$D$16504*CHALLAN!$E$1:$E$16504,0))</f>
        <v>25</v>
      </c>
      <c r="D703" cm="1">
        <f t="array" ref="D703">SUMPRODUCT(('Pivot Data'!$D$2:$D$1912=$A703)*IF($B703="",--('Pivot Data'!$E$2:$E$1912=""),--('Pivot Data'!$E$2:$E$1912=$B703))*('Pivot Data'!$I$2:$I$1912="Cancelled")*'Pivot Data'!$H$2:$H$1912)</f>
        <v>0</v>
      </c>
      <c r="E703" s="1301">
        <f t="shared" si="10"/>
        <v>25</v>
      </c>
    </row>
    <row r="704" spans="1:5" hidden="1" x14ac:dyDescent="0.25">
      <c r="A704" t="s">
        <v>1576</v>
      </c>
      <c r="B704" t="s">
        <v>1608</v>
      </c>
      <c r="C704" s="1301" cm="1">
        <f t="array" ref="C704">SUMPRODUCT((CHALLAN!$B$1:$B$16504=A704)*IF(B704="",--(CHALLAN!$C$1:$C$16504=""),--(CHALLAN!$C$1:$C$16504=B704))*IFERROR(CHALLAN!$D$1:$D$16504*CHALLAN!$E$1:$E$16504,0))</f>
        <v>1</v>
      </c>
      <c r="D704" cm="1">
        <f t="array" ref="D704">SUMPRODUCT(('Pivot Data'!$D$2:$D$1912=$A704)*IF($B704="",--('Pivot Data'!$E$2:$E$1912=""),--('Pivot Data'!$E$2:$E$1912=$B704))*('Pivot Data'!$I$2:$I$1912="Cancelled")*'Pivot Data'!$H$2:$H$1912)</f>
        <v>0</v>
      </c>
      <c r="E704" s="1301">
        <f t="shared" si="10"/>
        <v>1</v>
      </c>
    </row>
    <row r="705" spans="1:5" hidden="1" x14ac:dyDescent="0.25">
      <c r="A705" t="s">
        <v>1846</v>
      </c>
      <c r="B705" t="s">
        <v>401</v>
      </c>
      <c r="C705" s="1301" cm="1">
        <f t="array" ref="C705">SUMPRODUCT((CHALLAN!$B$1:$B$16504=A705)*IF(B705="",--(CHALLAN!$C$1:$C$16504=""),--(CHALLAN!$C$1:$C$16504=B705))*IFERROR(CHALLAN!$D$1:$D$16504*CHALLAN!$E$1:$E$16504,0))</f>
        <v>12</v>
      </c>
      <c r="D705" cm="1">
        <f t="array" ref="D705">SUMPRODUCT(('Pivot Data'!$D$2:$D$1912=$A705)*IF($B705="",--('Pivot Data'!$E$2:$E$1912=""),--('Pivot Data'!$E$2:$E$1912=$B705))*('Pivot Data'!$I$2:$I$1912="Cancelled")*'Pivot Data'!$H$2:$H$1912)</f>
        <v>0</v>
      </c>
      <c r="E705" s="1301">
        <f t="shared" si="10"/>
        <v>12</v>
      </c>
    </row>
    <row r="706" spans="1:5" hidden="1" x14ac:dyDescent="0.25">
      <c r="A706" s="1302" t="s">
        <v>2276</v>
      </c>
      <c r="C706" s="1301" cm="1">
        <f t="array" ref="C706">SUMPRODUCT((CHALLAN!$B$1:$B$16504=A706)*IF(B706="",--(CHALLAN!$C$1:$C$16504=""),--(CHALLAN!$C$1:$C$16504=B706))*IFERROR(CHALLAN!$D$1:$D$16504*CHALLAN!$E$1:$E$16504,0))</f>
        <v>6</v>
      </c>
      <c r="D706" cm="1">
        <f t="array" ref="D706">SUMPRODUCT(('Pivot Data'!$D$2:$D$1912=$A706)*IF($B706="",--('Pivot Data'!$E$2:$E$1912=""),--('Pivot Data'!$E$2:$E$1912=$B706))*('Pivot Data'!$I$2:$I$1912="Cancelled")*'Pivot Data'!$H$2:$H$1912)</f>
        <v>0</v>
      </c>
      <c r="E706" s="1301">
        <f t="shared" si="10"/>
        <v>6</v>
      </c>
    </row>
    <row r="707" spans="1:5" hidden="1" x14ac:dyDescent="0.25">
      <c r="A707" t="s">
        <v>905</v>
      </c>
      <c r="B707" t="s">
        <v>401</v>
      </c>
      <c r="C707" s="1301" cm="1">
        <f t="array" ref="C707">SUMPRODUCT((CHALLAN!$B$1:$B$16504=A707)*IF(B707="",--(CHALLAN!$C$1:$C$16504=""),--(CHALLAN!$C$1:$C$16504=B707))*IFERROR(CHALLAN!$D$1:$D$16504*CHALLAN!$E$1:$E$16504,0))</f>
        <v>6</v>
      </c>
      <c r="D707" cm="1">
        <f t="array" ref="D707">SUMPRODUCT(('Pivot Data'!$D$2:$D$1912=$A707)*IF($B707="",--('Pivot Data'!$E$2:$E$1912=""),--('Pivot Data'!$E$2:$E$1912=$B707))*('Pivot Data'!$I$2:$I$1912="Cancelled")*'Pivot Data'!$H$2:$H$1912)</f>
        <v>0</v>
      </c>
      <c r="E707" s="1301">
        <f t="shared" si="10"/>
        <v>6</v>
      </c>
    </row>
    <row r="708" spans="1:5" hidden="1" x14ac:dyDescent="0.25">
      <c r="A708" t="s">
        <v>1728</v>
      </c>
      <c r="B708" t="s">
        <v>402</v>
      </c>
      <c r="C708" s="1301" cm="1">
        <f t="array" ref="C708">SUMPRODUCT((CHALLAN!$B$1:$B$16504=A708)*IF(B708="",--(CHALLAN!$C$1:$C$16504=""),--(CHALLAN!$C$1:$C$16504=B708))*IFERROR(CHALLAN!$D$1:$D$16504*CHALLAN!$E$1:$E$16504,0))</f>
        <v>6</v>
      </c>
      <c r="D708" cm="1">
        <f t="array" ref="D708">SUMPRODUCT(('Pivot Data'!$D$2:$D$1912=$A708)*IF($B708="",--('Pivot Data'!$E$2:$E$1912=""),--('Pivot Data'!$E$2:$E$1912=$B708))*('Pivot Data'!$I$2:$I$1912="Cancelled")*'Pivot Data'!$H$2:$H$1912)</f>
        <v>0</v>
      </c>
      <c r="E708" s="1301">
        <f t="shared" si="10"/>
        <v>6</v>
      </c>
    </row>
    <row r="709" spans="1:5" hidden="1" x14ac:dyDescent="0.25">
      <c r="A709" t="s">
        <v>912</v>
      </c>
      <c r="C709" s="1301" cm="1">
        <f t="array" ref="C709">SUMPRODUCT((CHALLAN!$B$1:$B$16504=A709)*IF(B709="",--(CHALLAN!$C$1:$C$16504=""),--(CHALLAN!$C$1:$C$16504=B709))*IFERROR(CHALLAN!$D$1:$D$16504*CHALLAN!$E$1:$E$16504,0))</f>
        <v>6</v>
      </c>
      <c r="D709" cm="1">
        <f t="array" ref="D709">SUMPRODUCT(('Pivot Data'!$D$2:$D$1912=$A709)*IF($B709="",--('Pivot Data'!$E$2:$E$1912=""),--('Pivot Data'!$E$2:$E$1912=$B709))*('Pivot Data'!$I$2:$I$1912="Cancelled")*'Pivot Data'!$H$2:$H$1912)</f>
        <v>0</v>
      </c>
      <c r="E709" s="1301">
        <f t="shared" ref="E709:E772" si="11">C709-D709</f>
        <v>6</v>
      </c>
    </row>
    <row r="710" spans="1:5" hidden="1" x14ac:dyDescent="0.25">
      <c r="A710" t="s">
        <v>232</v>
      </c>
      <c r="B710" t="s">
        <v>401</v>
      </c>
      <c r="C710" s="1301" cm="1">
        <f t="array" ref="C710">SUMPRODUCT((CHALLAN!$B$1:$B$16504=A710)*IF(B710="",--(CHALLAN!$C$1:$C$16504=""),--(CHALLAN!$C$1:$C$16504=B710))*IFERROR(CHALLAN!$D$1:$D$16504*CHALLAN!$E$1:$E$16504,0))</f>
        <v>6</v>
      </c>
      <c r="D710" cm="1">
        <f t="array" ref="D710">SUMPRODUCT(('Pivot Data'!$D$2:$D$1912=$A710)*IF($B710="",--('Pivot Data'!$E$2:$E$1912=""),--('Pivot Data'!$E$2:$E$1912=$B710))*('Pivot Data'!$I$2:$I$1912="Cancelled")*'Pivot Data'!$H$2:$H$1912)</f>
        <v>0</v>
      </c>
      <c r="E710" s="1301">
        <f t="shared" si="11"/>
        <v>6</v>
      </c>
    </row>
    <row r="711" spans="1:5" hidden="1" x14ac:dyDescent="0.25">
      <c r="A711" t="s">
        <v>906</v>
      </c>
      <c r="B711" t="s">
        <v>402</v>
      </c>
      <c r="C711" s="1301" cm="1">
        <f t="array" ref="C711">SUMPRODUCT((CHALLAN!$B$1:$B$16504=A711)*IF(B711="",--(CHALLAN!$C$1:$C$16504=""),--(CHALLAN!$C$1:$C$16504=B711))*IFERROR(CHALLAN!$D$1:$D$16504*CHALLAN!$E$1:$E$16504,0))</f>
        <v>12</v>
      </c>
      <c r="D711" cm="1">
        <f t="array" ref="D711">SUMPRODUCT(('Pivot Data'!$D$2:$D$1912=$A711)*IF($B711="",--('Pivot Data'!$E$2:$E$1912=""),--('Pivot Data'!$E$2:$E$1912=$B711))*('Pivot Data'!$I$2:$I$1912="Cancelled")*'Pivot Data'!$H$2:$H$1912)</f>
        <v>0</v>
      </c>
      <c r="E711" s="1301">
        <f t="shared" si="11"/>
        <v>12</v>
      </c>
    </row>
    <row r="712" spans="1:5" hidden="1" x14ac:dyDescent="0.25">
      <c r="A712" t="s">
        <v>123</v>
      </c>
      <c r="B712" t="s">
        <v>2196</v>
      </c>
      <c r="C712" s="1301" cm="1">
        <f t="array" ref="C712">SUMPRODUCT((CHALLAN!$B$1:$B$16504=A712)*IF(B712="",--(CHALLAN!$C$1:$C$16504=""),--(CHALLAN!$C$1:$C$16504=B712))*IFERROR(CHALLAN!$D$1:$D$16504*CHALLAN!$E$1:$E$16504,0))</f>
        <v>6</v>
      </c>
      <c r="D712" cm="1">
        <f t="array" ref="D712">SUMPRODUCT(('Pivot Data'!$D$2:$D$1912=$A712)*IF($B712="",--('Pivot Data'!$E$2:$E$1912=""),--('Pivot Data'!$E$2:$E$1912=$B712))*('Pivot Data'!$I$2:$I$1912="Cancelled")*'Pivot Data'!$H$2:$H$1912)</f>
        <v>0</v>
      </c>
      <c r="E712" s="1301">
        <f t="shared" si="11"/>
        <v>6</v>
      </c>
    </row>
    <row r="713" spans="1:5" hidden="1" x14ac:dyDescent="0.25">
      <c r="A713" t="s">
        <v>123</v>
      </c>
      <c r="B713" t="s">
        <v>401</v>
      </c>
      <c r="C713" s="1301" cm="1">
        <f t="array" ref="C713">SUMPRODUCT((CHALLAN!$B$1:$B$16504=A713)*IF(B713="",--(CHALLAN!$C$1:$C$16504=""),--(CHALLAN!$C$1:$C$16504=B713))*IFERROR(CHALLAN!$D$1:$D$16504*CHALLAN!$E$1:$E$16504,0))</f>
        <v>54</v>
      </c>
      <c r="D713" cm="1">
        <f t="array" ref="D713">SUMPRODUCT(('Pivot Data'!$D$2:$D$1912=$A713)*IF($B713="",--('Pivot Data'!$E$2:$E$1912=""),--('Pivot Data'!$E$2:$E$1912=$B713))*('Pivot Data'!$I$2:$I$1912="Cancelled")*'Pivot Data'!$H$2:$H$1912)</f>
        <v>0</v>
      </c>
      <c r="E713" s="1301">
        <f t="shared" si="11"/>
        <v>54</v>
      </c>
    </row>
    <row r="714" spans="1:5" hidden="1" x14ac:dyDescent="0.25">
      <c r="A714" t="s">
        <v>123</v>
      </c>
      <c r="B714" t="s">
        <v>594</v>
      </c>
      <c r="C714" s="1301" cm="1">
        <f t="array" ref="C714">SUMPRODUCT((CHALLAN!$B$1:$B$16504=A714)*IF(B714="",--(CHALLAN!$C$1:$C$16504=""),--(CHALLAN!$C$1:$C$16504=B714))*IFERROR(CHALLAN!$D$1:$D$16504*CHALLAN!$E$1:$E$16504,0))</f>
        <v>7</v>
      </c>
      <c r="D714" cm="1">
        <f t="array" ref="D714">SUMPRODUCT(('Pivot Data'!$D$2:$D$1912=$A714)*IF($B714="",--('Pivot Data'!$E$2:$E$1912=""),--('Pivot Data'!$E$2:$E$1912=$B714))*('Pivot Data'!$I$2:$I$1912="Cancelled")*'Pivot Data'!$H$2:$H$1912)</f>
        <v>0</v>
      </c>
      <c r="E714" s="1301">
        <f t="shared" si="11"/>
        <v>7</v>
      </c>
    </row>
    <row r="715" spans="1:5" hidden="1" x14ac:dyDescent="0.25">
      <c r="A715" t="s">
        <v>123</v>
      </c>
      <c r="B715" t="s">
        <v>1577</v>
      </c>
      <c r="C715" s="1301" cm="1">
        <f t="array" ref="C715">SUMPRODUCT((CHALLAN!$B$1:$B$16504=A715)*IF(B715="",--(CHALLAN!$C$1:$C$16504=""),--(CHALLAN!$C$1:$C$16504=B715))*IFERROR(CHALLAN!$D$1:$D$16504*CHALLAN!$E$1:$E$16504,0))</f>
        <v>85</v>
      </c>
      <c r="D715" cm="1">
        <f t="array" ref="D715">SUMPRODUCT(('Pivot Data'!$D$2:$D$1912=$A715)*IF($B715="",--('Pivot Data'!$E$2:$E$1912=""),--('Pivot Data'!$E$2:$E$1912=$B715))*('Pivot Data'!$I$2:$I$1912="Cancelled")*'Pivot Data'!$H$2:$H$1912)</f>
        <v>0</v>
      </c>
      <c r="E715" s="1301">
        <f t="shared" si="11"/>
        <v>85</v>
      </c>
    </row>
    <row r="716" spans="1:5" hidden="1" x14ac:dyDescent="0.25">
      <c r="A716" t="s">
        <v>123</v>
      </c>
      <c r="B716" t="s">
        <v>2244</v>
      </c>
      <c r="C716" s="1301" cm="1">
        <f t="array" ref="C716">SUMPRODUCT((CHALLAN!$B$1:$B$16504=A716)*IF(B716="",--(CHALLAN!$C$1:$C$16504=""),--(CHALLAN!$C$1:$C$16504=B716))*IFERROR(CHALLAN!$D$1:$D$16504*CHALLAN!$E$1:$E$16504,0))</f>
        <v>5</v>
      </c>
      <c r="D716" cm="1">
        <f t="array" ref="D716">SUMPRODUCT(('Pivot Data'!$D$2:$D$1912=$A716)*IF($B716="",--('Pivot Data'!$E$2:$E$1912=""),--('Pivot Data'!$E$2:$E$1912=$B716))*('Pivot Data'!$I$2:$I$1912="Cancelled")*'Pivot Data'!$H$2:$H$1912)</f>
        <v>0</v>
      </c>
      <c r="E716" s="1301">
        <f t="shared" si="11"/>
        <v>5</v>
      </c>
    </row>
    <row r="717" spans="1:5" hidden="1" x14ac:dyDescent="0.25">
      <c r="A717" t="s">
        <v>1578</v>
      </c>
      <c r="B717" t="s">
        <v>402</v>
      </c>
      <c r="C717" s="1301" cm="1">
        <f t="array" ref="C717">SUMPRODUCT((CHALLAN!$B$1:$B$16504=A717)*IF(B717="",--(CHALLAN!$C$1:$C$16504=""),--(CHALLAN!$C$1:$C$16504=B717))*IFERROR(CHALLAN!$D$1:$D$16504*CHALLAN!$E$1:$E$16504,0))</f>
        <v>45</v>
      </c>
      <c r="D717" cm="1">
        <f t="array" ref="D717">SUMPRODUCT(('Pivot Data'!$D$2:$D$1912=$A717)*IF($B717="",--('Pivot Data'!$E$2:$E$1912=""),--('Pivot Data'!$E$2:$E$1912=$B717))*('Pivot Data'!$I$2:$I$1912="Cancelled")*'Pivot Data'!$H$2:$H$1912)</f>
        <v>0</v>
      </c>
      <c r="E717" s="1301">
        <f t="shared" si="11"/>
        <v>45</v>
      </c>
    </row>
    <row r="718" spans="1:5" hidden="1" x14ac:dyDescent="0.25">
      <c r="A718" t="s">
        <v>1578</v>
      </c>
      <c r="B718" t="s">
        <v>1579</v>
      </c>
      <c r="C718" s="1301" cm="1">
        <f t="array" ref="C718">SUMPRODUCT((CHALLAN!$B$1:$B$16504=A718)*IF(B718="",--(CHALLAN!$C$1:$C$16504=""),--(CHALLAN!$C$1:$C$16504=B718))*IFERROR(CHALLAN!$D$1:$D$16504*CHALLAN!$E$1:$E$16504,0))</f>
        <v>105</v>
      </c>
      <c r="D718" cm="1">
        <f t="array" ref="D718">SUMPRODUCT(('Pivot Data'!$D$2:$D$1912=$A718)*IF($B718="",--('Pivot Data'!$E$2:$E$1912=""),--('Pivot Data'!$E$2:$E$1912=$B718))*('Pivot Data'!$I$2:$I$1912="Cancelled")*'Pivot Data'!$H$2:$H$1912)</f>
        <v>0</v>
      </c>
      <c r="E718" s="1301">
        <f t="shared" si="11"/>
        <v>105</v>
      </c>
    </row>
    <row r="719" spans="1:5" hidden="1" x14ac:dyDescent="0.25">
      <c r="A719" t="s">
        <v>1578</v>
      </c>
      <c r="B719" t="s">
        <v>1582</v>
      </c>
      <c r="C719" s="1301" cm="1">
        <f t="array" ref="C719">SUMPRODUCT((CHALLAN!$B$1:$B$16504=A719)*IF(B719="",--(CHALLAN!$C$1:$C$16504=""),--(CHALLAN!$C$1:$C$16504=B719))*IFERROR(CHALLAN!$D$1:$D$16504*CHALLAN!$E$1:$E$16504,0))</f>
        <v>20</v>
      </c>
      <c r="D719" cm="1">
        <f t="array" ref="D719">SUMPRODUCT(('Pivot Data'!$D$2:$D$1912=$A719)*IF($B719="",--('Pivot Data'!$E$2:$E$1912=""),--('Pivot Data'!$E$2:$E$1912=$B719))*('Pivot Data'!$I$2:$I$1912="Cancelled")*'Pivot Data'!$H$2:$H$1912)</f>
        <v>0</v>
      </c>
      <c r="E719" s="1301">
        <f t="shared" si="11"/>
        <v>20</v>
      </c>
    </row>
    <row r="720" spans="1:5" hidden="1" x14ac:dyDescent="0.25">
      <c r="A720" t="s">
        <v>124</v>
      </c>
      <c r="B720" t="s">
        <v>379</v>
      </c>
      <c r="C720" s="1301" cm="1">
        <f t="array" ref="C720">SUMPRODUCT((CHALLAN!$B$1:$B$16504=A720)*IF(B720="",--(CHALLAN!$C$1:$C$16504=""),--(CHALLAN!$C$1:$C$16504=B720))*IFERROR(CHALLAN!$D$1:$D$16504*CHALLAN!$E$1:$E$16504,0))</f>
        <v>4</v>
      </c>
      <c r="D720" cm="1">
        <f t="array" ref="D720">SUMPRODUCT(('Pivot Data'!$D$2:$D$1912=$A720)*IF($B720="",--('Pivot Data'!$E$2:$E$1912=""),--('Pivot Data'!$E$2:$E$1912=$B720))*('Pivot Data'!$I$2:$I$1912="Cancelled")*'Pivot Data'!$H$2:$H$1912)</f>
        <v>0</v>
      </c>
      <c r="E720" s="1301">
        <f t="shared" si="11"/>
        <v>4</v>
      </c>
    </row>
    <row r="721" spans="1:5" hidden="1" x14ac:dyDescent="0.25">
      <c r="A721" t="s">
        <v>124</v>
      </c>
      <c r="B721" t="s">
        <v>402</v>
      </c>
      <c r="C721" s="1301" cm="1">
        <f t="array" ref="C721">SUMPRODUCT((CHALLAN!$B$1:$B$16504=A721)*IF(B721="",--(CHALLAN!$C$1:$C$16504=""),--(CHALLAN!$C$1:$C$16504=B721))*IFERROR(CHALLAN!$D$1:$D$16504*CHALLAN!$E$1:$E$16504,0))</f>
        <v>25</v>
      </c>
      <c r="D721" cm="1">
        <f t="array" ref="D721">SUMPRODUCT(('Pivot Data'!$D$2:$D$1912=$A721)*IF($B721="",--('Pivot Data'!$E$2:$E$1912=""),--('Pivot Data'!$E$2:$E$1912=$B721))*('Pivot Data'!$I$2:$I$1912="Cancelled")*'Pivot Data'!$H$2:$H$1912)</f>
        <v>0</v>
      </c>
      <c r="E721" s="1301">
        <f t="shared" si="11"/>
        <v>25</v>
      </c>
    </row>
    <row r="722" spans="1:5" hidden="1" x14ac:dyDescent="0.25">
      <c r="A722" t="s">
        <v>124</v>
      </c>
      <c r="B722" t="s">
        <v>2141</v>
      </c>
      <c r="C722" s="1301" cm="1">
        <f t="array" ref="C722">SUMPRODUCT((CHALLAN!$B$1:$B$16504=A722)*IF(B722="",--(CHALLAN!$C$1:$C$16504=""),--(CHALLAN!$C$1:$C$16504=B722))*IFERROR(CHALLAN!$D$1:$D$16504*CHALLAN!$E$1:$E$16504,0))</f>
        <v>24</v>
      </c>
      <c r="D722" cm="1">
        <f t="array" ref="D722">SUMPRODUCT(('Pivot Data'!$D$2:$D$1912=$A722)*IF($B722="",--('Pivot Data'!$E$2:$E$1912=""),--('Pivot Data'!$E$2:$E$1912=$B722))*('Pivot Data'!$I$2:$I$1912="Cancelled")*'Pivot Data'!$H$2:$H$1912)</f>
        <v>0</v>
      </c>
      <c r="E722" s="1301">
        <f t="shared" si="11"/>
        <v>24</v>
      </c>
    </row>
    <row r="723" spans="1:5" hidden="1" x14ac:dyDescent="0.25">
      <c r="A723" t="s">
        <v>1733</v>
      </c>
      <c r="B723" t="s">
        <v>1179</v>
      </c>
      <c r="C723" s="1301" cm="1">
        <f t="array" ref="C723">SUMPRODUCT((CHALLAN!$B$1:$B$16504=A723)*IF(B723="",--(CHALLAN!$C$1:$C$16504=""),--(CHALLAN!$C$1:$C$16504=B723))*IFERROR(CHALLAN!$D$1:$D$16504*CHALLAN!$E$1:$E$16504,0))</f>
        <v>300</v>
      </c>
      <c r="D723" cm="1">
        <f t="array" ref="D723">SUMPRODUCT(('Pivot Data'!$D$2:$D$1912=$A723)*IF($B723="",--('Pivot Data'!$E$2:$E$1912=""),--('Pivot Data'!$E$2:$E$1912=$B723))*('Pivot Data'!$I$2:$I$1912="Cancelled")*'Pivot Data'!$H$2:$H$1912)</f>
        <v>0</v>
      </c>
      <c r="E723" s="1301">
        <f t="shared" si="11"/>
        <v>300</v>
      </c>
    </row>
    <row r="724" spans="1:5" hidden="1" x14ac:dyDescent="0.25">
      <c r="A724" t="s">
        <v>2118</v>
      </c>
      <c r="B724" t="s">
        <v>321</v>
      </c>
      <c r="C724" s="1301" cm="1">
        <f t="array" ref="C724">SUMPRODUCT((CHALLAN!$B$1:$B$16504=A724)*IF(B724="",--(CHALLAN!$C$1:$C$16504=""),--(CHALLAN!$C$1:$C$16504=B724))*IFERROR(CHALLAN!$D$1:$D$16504*CHALLAN!$E$1:$E$16504,0))</f>
        <v>25</v>
      </c>
      <c r="D724" cm="1">
        <f t="array" ref="D724">SUMPRODUCT(('Pivot Data'!$D$2:$D$1912=$A724)*IF($B724="",--('Pivot Data'!$E$2:$E$1912=""),--('Pivot Data'!$E$2:$E$1912=$B724))*('Pivot Data'!$I$2:$I$1912="Cancelled")*'Pivot Data'!$H$2:$H$1912)</f>
        <v>0</v>
      </c>
      <c r="E724" s="1301">
        <f t="shared" si="11"/>
        <v>25</v>
      </c>
    </row>
    <row r="725" spans="1:5" hidden="1" x14ac:dyDescent="0.25">
      <c r="A725" t="s">
        <v>1585</v>
      </c>
      <c r="C725" s="1301" cm="1">
        <f t="array" ref="C725">SUMPRODUCT((CHALLAN!$B$1:$B$16504=A725)*IF(B725="",--(CHALLAN!$C$1:$C$16504=""),--(CHALLAN!$C$1:$C$16504=B725))*IFERROR(CHALLAN!$D$1:$D$16504*CHALLAN!$E$1:$E$16504,0))</f>
        <v>10</v>
      </c>
      <c r="D725" cm="1">
        <f t="array" ref="D725">SUMPRODUCT(('Pivot Data'!$D$2:$D$1912=$A725)*IF($B725="",--('Pivot Data'!$E$2:$E$1912=""),--('Pivot Data'!$E$2:$E$1912=$B725))*('Pivot Data'!$I$2:$I$1912="Cancelled")*'Pivot Data'!$H$2:$H$1912)</f>
        <v>0</v>
      </c>
      <c r="E725" s="1301">
        <f t="shared" si="11"/>
        <v>10</v>
      </c>
    </row>
    <row r="726" spans="1:5" hidden="1" x14ac:dyDescent="0.25">
      <c r="A726" t="s">
        <v>2057</v>
      </c>
      <c r="B726" t="s">
        <v>298</v>
      </c>
      <c r="C726" s="1301" cm="1">
        <f t="array" ref="C726">SUMPRODUCT((CHALLAN!$B$1:$B$16504=A726)*IF(B726="",--(CHALLAN!$C$1:$C$16504=""),--(CHALLAN!$C$1:$C$16504=B726))*IFERROR(CHALLAN!$D$1:$D$16504*CHALLAN!$E$1:$E$16504,0))</f>
        <v>20</v>
      </c>
      <c r="D726" cm="1">
        <f t="array" ref="D726">SUMPRODUCT(('Pivot Data'!$D$2:$D$1912=$A726)*IF($B726="",--('Pivot Data'!$E$2:$E$1912=""),--('Pivot Data'!$E$2:$E$1912=$B726))*('Pivot Data'!$I$2:$I$1912="Cancelled")*'Pivot Data'!$H$2:$H$1912)</f>
        <v>0</v>
      </c>
      <c r="E726" s="1301">
        <f t="shared" si="11"/>
        <v>20</v>
      </c>
    </row>
    <row r="727" spans="1:5" hidden="1" x14ac:dyDescent="0.25">
      <c r="A727" t="s">
        <v>1484</v>
      </c>
      <c r="B727" t="s">
        <v>401</v>
      </c>
      <c r="C727" s="1301" cm="1">
        <f t="array" ref="C727">SUMPRODUCT((CHALLAN!$B$1:$B$16504=A727)*IF(B727="",--(CHALLAN!$C$1:$C$16504=""),--(CHALLAN!$C$1:$C$16504=B727))*IFERROR(CHALLAN!$D$1:$D$16504*CHALLAN!$E$1:$E$16504,0))</f>
        <v>6</v>
      </c>
      <c r="D727" cm="1">
        <f t="array" ref="D727">SUMPRODUCT(('Pivot Data'!$D$2:$D$1912=$A727)*IF($B727="",--('Pivot Data'!$E$2:$E$1912=""),--('Pivot Data'!$E$2:$E$1912=$B727))*('Pivot Data'!$I$2:$I$1912="Cancelled")*'Pivot Data'!$H$2:$H$1912)</f>
        <v>0</v>
      </c>
      <c r="E727" s="1301">
        <f t="shared" si="11"/>
        <v>6</v>
      </c>
    </row>
    <row r="728" spans="1:5" hidden="1" x14ac:dyDescent="0.25">
      <c r="A728" t="s">
        <v>320</v>
      </c>
      <c r="B728" t="s">
        <v>316</v>
      </c>
      <c r="C728" s="1301" cm="1">
        <f t="array" ref="C728">SUMPRODUCT((CHALLAN!$B$1:$B$16504=A728)*IF(B728="",--(CHALLAN!$C$1:$C$16504=""),--(CHALLAN!$C$1:$C$16504=B728))*IFERROR(CHALLAN!$D$1:$D$16504*CHALLAN!$E$1:$E$16504,0))</f>
        <v>200</v>
      </c>
      <c r="D728" cm="1">
        <f t="array" ref="D728">SUMPRODUCT(('Pivot Data'!$D$2:$D$1912=$A728)*IF($B728="",--('Pivot Data'!$E$2:$E$1912=""),--('Pivot Data'!$E$2:$E$1912=$B728))*('Pivot Data'!$I$2:$I$1912="Cancelled")*'Pivot Data'!$H$2:$H$1912)</f>
        <v>0</v>
      </c>
      <c r="E728" s="1301">
        <f t="shared" si="11"/>
        <v>200</v>
      </c>
    </row>
    <row r="729" spans="1:5" hidden="1" x14ac:dyDescent="0.25">
      <c r="A729" t="s">
        <v>1485</v>
      </c>
      <c r="B729" t="s">
        <v>402</v>
      </c>
      <c r="C729" s="1301" cm="1">
        <f t="array" ref="C729">SUMPRODUCT((CHALLAN!$B$1:$B$16504=A729)*IF(B729="",--(CHALLAN!$C$1:$C$16504=""),--(CHALLAN!$C$1:$C$16504=B729))*IFERROR(CHALLAN!$D$1:$D$16504*CHALLAN!$E$1:$E$16504,0))</f>
        <v>6</v>
      </c>
      <c r="D729" cm="1">
        <f t="array" ref="D729">SUMPRODUCT(('Pivot Data'!$D$2:$D$1912=$A729)*IF($B729="",--('Pivot Data'!$E$2:$E$1912=""),--('Pivot Data'!$E$2:$E$1912=$B729))*('Pivot Data'!$I$2:$I$1912="Cancelled")*'Pivot Data'!$H$2:$H$1912)</f>
        <v>0</v>
      </c>
      <c r="E729" s="1301">
        <f t="shared" si="11"/>
        <v>6</v>
      </c>
    </row>
    <row r="730" spans="1:5" hidden="1" x14ac:dyDescent="0.25">
      <c r="A730" t="s">
        <v>1850</v>
      </c>
      <c r="B730" t="s">
        <v>298</v>
      </c>
      <c r="C730" s="1301" cm="1">
        <f t="array" ref="C730">SUMPRODUCT((CHALLAN!$B$1:$B$16504=A730)*IF(B730="",--(CHALLAN!$C$1:$C$16504=""),--(CHALLAN!$C$1:$C$16504=B730))*IFERROR(CHALLAN!$D$1:$D$16504*CHALLAN!$E$1:$E$16504,0))</f>
        <v>20</v>
      </c>
      <c r="D730" cm="1">
        <f t="array" ref="D730">SUMPRODUCT(('Pivot Data'!$D$2:$D$1912=$A730)*IF($B730="",--('Pivot Data'!$E$2:$E$1912=""),--('Pivot Data'!$E$2:$E$1912=$B730))*('Pivot Data'!$I$2:$I$1912="Cancelled")*'Pivot Data'!$H$2:$H$1912)</f>
        <v>0</v>
      </c>
      <c r="E730" s="1301">
        <f t="shared" si="11"/>
        <v>20</v>
      </c>
    </row>
    <row r="731" spans="1:5" hidden="1" x14ac:dyDescent="0.25">
      <c r="A731" t="s">
        <v>2070</v>
      </c>
      <c r="B731" t="s">
        <v>298</v>
      </c>
      <c r="C731" s="1301" cm="1">
        <f t="array" ref="C731">SUMPRODUCT((CHALLAN!$B$1:$B$16504=A731)*IF(B731="",--(CHALLAN!$C$1:$C$16504=""),--(CHALLAN!$C$1:$C$16504=B731))*IFERROR(CHALLAN!$D$1:$D$16504*CHALLAN!$E$1:$E$16504,0))</f>
        <v>25</v>
      </c>
      <c r="D731" cm="1">
        <f t="array" ref="D731">SUMPRODUCT(('Pivot Data'!$D$2:$D$1912=$A731)*IF($B731="",--('Pivot Data'!$E$2:$E$1912=""),--('Pivot Data'!$E$2:$E$1912=$B731))*('Pivot Data'!$I$2:$I$1912="Cancelled")*'Pivot Data'!$H$2:$H$1912)</f>
        <v>0</v>
      </c>
      <c r="E731" s="1301">
        <f t="shared" si="11"/>
        <v>25</v>
      </c>
    </row>
    <row r="732" spans="1:5" hidden="1" x14ac:dyDescent="0.25">
      <c r="A732" t="s">
        <v>315</v>
      </c>
      <c r="B732" t="s">
        <v>298</v>
      </c>
      <c r="C732" s="1301" cm="1">
        <f t="array" ref="C732">SUMPRODUCT((CHALLAN!$B$1:$B$16504=A732)*IF(B732="",--(CHALLAN!$C$1:$C$16504=""),--(CHALLAN!$C$1:$C$16504=B732))*IFERROR(CHALLAN!$D$1:$D$16504*CHALLAN!$E$1:$E$16504,0))</f>
        <v>135</v>
      </c>
      <c r="D732" cm="1">
        <f t="array" ref="D732">SUMPRODUCT(('Pivot Data'!$D$2:$D$1912=$A732)*IF($B732="",--('Pivot Data'!$E$2:$E$1912=""),--('Pivot Data'!$E$2:$E$1912=$B732))*('Pivot Data'!$I$2:$I$1912="Cancelled")*'Pivot Data'!$H$2:$H$1912)</f>
        <v>0</v>
      </c>
      <c r="E732" s="1301">
        <f t="shared" si="11"/>
        <v>135</v>
      </c>
    </row>
    <row r="733" spans="1:5" hidden="1" x14ac:dyDescent="0.25">
      <c r="A733" t="s">
        <v>1550</v>
      </c>
      <c r="B733" t="s">
        <v>403</v>
      </c>
      <c r="C733" s="1301" cm="1">
        <f t="array" ref="C733">SUMPRODUCT((CHALLAN!$B$1:$B$16504=A733)*IF(B733="",--(CHALLAN!$C$1:$C$16504=""),--(CHALLAN!$C$1:$C$16504=B733))*IFERROR(CHALLAN!$D$1:$D$16504*CHALLAN!$E$1:$E$16504,0))</f>
        <v>33</v>
      </c>
      <c r="D733" cm="1">
        <f t="array" ref="D733">SUMPRODUCT(('Pivot Data'!$D$2:$D$1912=$A733)*IF($B733="",--('Pivot Data'!$E$2:$E$1912=""),--('Pivot Data'!$E$2:$E$1912=$B733))*('Pivot Data'!$I$2:$I$1912="Cancelled")*'Pivot Data'!$H$2:$H$1912)</f>
        <v>0</v>
      </c>
      <c r="E733" s="1301">
        <f t="shared" si="11"/>
        <v>33</v>
      </c>
    </row>
    <row r="734" spans="1:5" hidden="1" x14ac:dyDescent="0.25">
      <c r="A734" t="s">
        <v>2073</v>
      </c>
      <c r="B734" t="s">
        <v>403</v>
      </c>
      <c r="C734" s="1301" cm="1">
        <f t="array" ref="C734">SUMPRODUCT((CHALLAN!$B$1:$B$16504=A734)*IF(B734="",--(CHALLAN!$C$1:$C$16504=""),--(CHALLAN!$C$1:$C$16504=B734))*IFERROR(CHALLAN!$D$1:$D$16504*CHALLAN!$E$1:$E$16504,0))</f>
        <v>24</v>
      </c>
      <c r="D734" cm="1">
        <f t="array" ref="D734">SUMPRODUCT(('Pivot Data'!$D$2:$D$1912=$A734)*IF($B734="",--('Pivot Data'!$E$2:$E$1912=""),--('Pivot Data'!$E$2:$E$1912=$B734))*('Pivot Data'!$I$2:$I$1912="Cancelled")*'Pivot Data'!$H$2:$H$1912)</f>
        <v>0</v>
      </c>
      <c r="E734" s="1301">
        <f t="shared" si="11"/>
        <v>24</v>
      </c>
    </row>
    <row r="735" spans="1:5" hidden="1" x14ac:dyDescent="0.25">
      <c r="A735" t="s">
        <v>2218</v>
      </c>
      <c r="B735" t="s">
        <v>403</v>
      </c>
      <c r="C735" s="1301" cm="1">
        <f t="array" ref="C735">SUMPRODUCT((CHALLAN!$B$1:$B$16504=A735)*IF(B735="",--(CHALLAN!$C$1:$C$16504=""),--(CHALLAN!$C$1:$C$16504=B735))*IFERROR(CHALLAN!$D$1:$D$16504*CHALLAN!$E$1:$E$16504,0))</f>
        <v>8</v>
      </c>
      <c r="D735" cm="1">
        <f t="array" ref="D735">SUMPRODUCT(('Pivot Data'!$D$2:$D$1912=$A735)*IF($B735="",--('Pivot Data'!$E$2:$E$1912=""),--('Pivot Data'!$E$2:$E$1912=$B735))*('Pivot Data'!$I$2:$I$1912="Cancelled")*'Pivot Data'!$H$2:$H$1912)</f>
        <v>0</v>
      </c>
      <c r="E735" s="1301">
        <f t="shared" si="11"/>
        <v>8</v>
      </c>
    </row>
    <row r="736" spans="1:5" hidden="1" x14ac:dyDescent="0.25">
      <c r="A736" t="s">
        <v>2146</v>
      </c>
      <c r="B736" t="s">
        <v>403</v>
      </c>
      <c r="C736" s="1301" cm="1">
        <f t="array" ref="C736">SUMPRODUCT((CHALLAN!$B$1:$B$16504=A736)*IF(B736="",--(CHALLAN!$C$1:$C$16504=""),--(CHALLAN!$C$1:$C$16504=B736))*IFERROR(CHALLAN!$D$1:$D$16504*CHALLAN!$E$1:$E$16504,0))</f>
        <v>36</v>
      </c>
      <c r="D736" cm="1">
        <f t="array" ref="D736">SUMPRODUCT(('Pivot Data'!$D$2:$D$1912=$A736)*IF($B736="",--('Pivot Data'!$E$2:$E$1912=""),--('Pivot Data'!$E$2:$E$1912=$B736))*('Pivot Data'!$I$2:$I$1912="Cancelled")*'Pivot Data'!$H$2:$H$1912)</f>
        <v>0</v>
      </c>
      <c r="E736" s="1301">
        <f t="shared" si="11"/>
        <v>36</v>
      </c>
    </row>
    <row r="737" spans="1:5" hidden="1" x14ac:dyDescent="0.25">
      <c r="A737" t="s">
        <v>2252</v>
      </c>
      <c r="B737" t="s">
        <v>321</v>
      </c>
      <c r="C737" s="1301" cm="1">
        <f t="array" ref="C737">SUMPRODUCT((CHALLAN!$B$1:$B$16504=A737)*IF(B737="",--(CHALLAN!$C$1:$C$16504=""),--(CHALLAN!$C$1:$C$16504=B737))*IFERROR(CHALLAN!$D$1:$D$16504*CHALLAN!$E$1:$E$16504,0))</f>
        <v>50</v>
      </c>
      <c r="D737" cm="1">
        <f t="array" ref="D737">SUMPRODUCT(('Pivot Data'!$D$2:$D$1912=$A737)*IF($B737="",--('Pivot Data'!$E$2:$E$1912=""),--('Pivot Data'!$E$2:$E$1912=$B737))*('Pivot Data'!$I$2:$I$1912="Cancelled")*'Pivot Data'!$H$2:$H$1912)</f>
        <v>0</v>
      </c>
      <c r="E737" s="1301">
        <f t="shared" si="11"/>
        <v>50</v>
      </c>
    </row>
    <row r="738" spans="1:5" hidden="1" x14ac:dyDescent="0.25">
      <c r="A738" t="s">
        <v>121</v>
      </c>
      <c r="B738" t="s">
        <v>316</v>
      </c>
      <c r="C738" s="1301" cm="1">
        <f t="array" ref="C738">SUMPRODUCT((CHALLAN!$B$1:$B$16504=A738)*IF(B738="",--(CHALLAN!$C$1:$C$16504=""),--(CHALLAN!$C$1:$C$16504=B738))*IFERROR(CHALLAN!$D$1:$D$16504*CHALLAN!$E$1:$E$16504,0))</f>
        <v>200</v>
      </c>
      <c r="D738" cm="1">
        <f t="array" ref="D738">SUMPRODUCT(('Pivot Data'!$D$2:$D$1912=$A738)*IF($B738="",--('Pivot Data'!$E$2:$E$1912=""),--('Pivot Data'!$E$2:$E$1912=$B738))*('Pivot Data'!$I$2:$I$1912="Cancelled")*'Pivot Data'!$H$2:$H$1912)</f>
        <v>0</v>
      </c>
      <c r="E738" s="1301">
        <f t="shared" si="11"/>
        <v>200</v>
      </c>
    </row>
    <row r="739" spans="1:5" hidden="1" x14ac:dyDescent="0.25">
      <c r="A739" t="s">
        <v>120</v>
      </c>
      <c r="C739" s="1301" cm="1">
        <f t="array" ref="C739">SUMPRODUCT((CHALLAN!$B$1:$B$16504=A739)*IF(B739="",--(CHALLAN!$C$1:$C$16504=""),--(CHALLAN!$C$1:$C$16504=B739))*IFERROR(CHALLAN!$D$1:$D$16504*CHALLAN!$E$1:$E$16504,0))</f>
        <v>5</v>
      </c>
      <c r="D739" cm="1">
        <f t="array" ref="D739">SUMPRODUCT(('Pivot Data'!$D$2:$D$1912=$A739)*IF($B739="",--('Pivot Data'!$E$2:$E$1912=""),--('Pivot Data'!$E$2:$E$1912=$B739))*('Pivot Data'!$I$2:$I$1912="Cancelled")*'Pivot Data'!$H$2:$H$1912)</f>
        <v>0</v>
      </c>
      <c r="E739" s="1301">
        <f t="shared" si="11"/>
        <v>5</v>
      </c>
    </row>
    <row r="740" spans="1:5" hidden="1" x14ac:dyDescent="0.25">
      <c r="A740" t="s">
        <v>120</v>
      </c>
      <c r="B740" t="s">
        <v>298</v>
      </c>
      <c r="C740" s="1301" cm="1">
        <f t="array" ref="C740">SUMPRODUCT((CHALLAN!$B$1:$B$16504=A740)*IF(B740="",--(CHALLAN!$C$1:$C$16504=""),--(CHALLAN!$C$1:$C$16504=B740))*IFERROR(CHALLAN!$D$1:$D$16504*CHALLAN!$E$1:$E$16504,0))</f>
        <v>115</v>
      </c>
      <c r="D740" cm="1">
        <f t="array" ref="D740">SUMPRODUCT(('Pivot Data'!$D$2:$D$1912=$A740)*IF($B740="",--('Pivot Data'!$E$2:$E$1912=""),--('Pivot Data'!$E$2:$E$1912=$B740))*('Pivot Data'!$I$2:$I$1912="Cancelled")*'Pivot Data'!$H$2:$H$1912)</f>
        <v>0</v>
      </c>
      <c r="E740" s="1301">
        <f t="shared" si="11"/>
        <v>115</v>
      </c>
    </row>
    <row r="741" spans="1:5" x14ac:dyDescent="0.25">
      <c r="C741" s="1301">
        <f>SUM(Table5[Total Qty (D×E)])</f>
        <v>160422</v>
      </c>
    </row>
  </sheetData>
  <mergeCells count="1">
    <mergeCell ref="A1:C1"/>
  </mergeCells>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43817-4C17-42F6-B9AD-4D44C4639F96}">
  <dimension ref="A1:N1912"/>
  <sheetViews>
    <sheetView workbookViewId="0">
      <selection activeCell="G754" sqref="G754"/>
    </sheetView>
  </sheetViews>
  <sheetFormatPr defaultRowHeight="15" x14ac:dyDescent="0.25"/>
  <cols>
    <col min="1" max="1" width="13.5703125" bestFit="1" customWidth="1"/>
    <col min="2" max="2" width="16.28515625" bestFit="1" customWidth="1"/>
    <col min="3" max="3" width="14.140625" bestFit="1" customWidth="1"/>
    <col min="4" max="4" width="32.42578125" customWidth="1"/>
    <col min="5" max="5" width="22.85546875" customWidth="1"/>
    <col min="6" max="6" width="16.5703125" bestFit="1" customWidth="1"/>
    <col min="7" max="7" width="13.85546875" bestFit="1" customWidth="1"/>
    <col min="8" max="8" width="11.28515625" bestFit="1" customWidth="1"/>
  </cols>
  <sheetData>
    <row r="1" spans="1:14" x14ac:dyDescent="0.25">
      <c r="A1" t="s">
        <v>1643</v>
      </c>
      <c r="B1" t="s">
        <v>0</v>
      </c>
      <c r="C1" t="s">
        <v>1360</v>
      </c>
      <c r="D1" t="s">
        <v>2416</v>
      </c>
      <c r="E1" t="s">
        <v>1</v>
      </c>
      <c r="F1" t="s">
        <v>2421</v>
      </c>
      <c r="G1" t="s">
        <v>2422</v>
      </c>
      <c r="H1" t="s">
        <v>2417</v>
      </c>
      <c r="I1" s="1310" t="s">
        <v>2439</v>
      </c>
      <c r="K1" s="1310" t="s">
        <v>1360</v>
      </c>
      <c r="L1" s="1310" t="s">
        <v>2435</v>
      </c>
      <c r="M1" s="1310" t="s">
        <v>2436</v>
      </c>
      <c r="N1" s="1310" t="s">
        <v>2437</v>
      </c>
    </row>
    <row r="2" spans="1:14" x14ac:dyDescent="0.25">
      <c r="A2">
        <v>28</v>
      </c>
      <c r="B2" t="s">
        <v>19</v>
      </c>
      <c r="C2" t="s">
        <v>22</v>
      </c>
      <c r="D2" t="s">
        <v>56</v>
      </c>
      <c r="E2" t="s">
        <v>57</v>
      </c>
      <c r="F2">
        <v>8</v>
      </c>
      <c r="G2">
        <v>25</v>
      </c>
      <c r="H2" s="1296">
        <v>200</v>
      </c>
      <c r="I2" t="str">
        <f t="shared" ref="I2:I65" si="0">INDEX($N$2:$N$355,MATCH($A2,$L$2:$L$355,1))</f>
        <v>-</v>
      </c>
      <c r="K2" t="str">
        <f>IF(CHALLAN!E11&lt;&gt;"",CHALLAN!F11,CHALLAN!G11)&amp;""</f>
        <v>GG/001/09-10</v>
      </c>
      <c r="L2">
        <v>11</v>
      </c>
      <c r="M2">
        <v>52</v>
      </c>
      <c r="N2" t="s">
        <v>2438</v>
      </c>
    </row>
    <row r="3" spans="1:14" x14ac:dyDescent="0.25">
      <c r="A3">
        <v>30</v>
      </c>
      <c r="B3" t="s">
        <v>19</v>
      </c>
      <c r="C3" t="s">
        <v>22</v>
      </c>
      <c r="D3" t="s">
        <v>60</v>
      </c>
      <c r="E3" t="s">
        <v>61</v>
      </c>
      <c r="F3">
        <v>12</v>
      </c>
      <c r="G3">
        <v>25</v>
      </c>
      <c r="H3" s="1296">
        <v>300</v>
      </c>
      <c r="I3" t="str">
        <f t="shared" si="0"/>
        <v>-</v>
      </c>
      <c r="K3" t="str">
        <f>IF(CHALLAN!E53&lt;&gt;"",CHALLAN!F53,CHALLAN!G53)&amp;""</f>
        <v>GG/002/09-10</v>
      </c>
      <c r="L3">
        <v>53</v>
      </c>
      <c r="M3">
        <v>93</v>
      </c>
      <c r="N3" t="s">
        <v>2438</v>
      </c>
    </row>
    <row r="4" spans="1:14" x14ac:dyDescent="0.25">
      <c r="A4">
        <v>32</v>
      </c>
      <c r="B4" t="s">
        <v>19</v>
      </c>
      <c r="C4" t="s">
        <v>22</v>
      </c>
      <c r="D4" t="s">
        <v>68</v>
      </c>
      <c r="E4" t="s">
        <v>69</v>
      </c>
      <c r="F4">
        <v>12</v>
      </c>
      <c r="G4">
        <v>25</v>
      </c>
      <c r="H4" s="1296">
        <v>300</v>
      </c>
      <c r="I4" t="str">
        <f t="shared" si="0"/>
        <v>-</v>
      </c>
      <c r="K4" t="str">
        <f>IF(CHALLAN!E94&lt;&gt;"",CHALLAN!F94,CHALLAN!G94)&amp;""</f>
        <v>GG/003/09-10</v>
      </c>
      <c r="L4">
        <v>94</v>
      </c>
      <c r="M4">
        <v>139</v>
      </c>
      <c r="N4" t="s">
        <v>2438</v>
      </c>
    </row>
    <row r="5" spans="1:14" x14ac:dyDescent="0.25">
      <c r="A5">
        <v>66</v>
      </c>
      <c r="B5" t="s">
        <v>100</v>
      </c>
      <c r="C5" t="s">
        <v>101</v>
      </c>
      <c r="D5" t="s">
        <v>108</v>
      </c>
      <c r="E5" t="s">
        <v>109</v>
      </c>
      <c r="F5">
        <v>8</v>
      </c>
      <c r="G5">
        <v>25</v>
      </c>
      <c r="H5" s="1296">
        <v>200</v>
      </c>
      <c r="I5" t="str">
        <f t="shared" si="0"/>
        <v>-</v>
      </c>
      <c r="K5" t="str">
        <f>IF(CHALLAN!E140&lt;&gt;"",CHALLAN!F140,CHALLAN!G140)&amp;""</f>
        <v>GG/004/09-10</v>
      </c>
      <c r="L5">
        <v>140</v>
      </c>
      <c r="M5">
        <v>184</v>
      </c>
      <c r="N5" t="s">
        <v>2438</v>
      </c>
    </row>
    <row r="6" spans="1:14" x14ac:dyDescent="0.25">
      <c r="A6">
        <v>107</v>
      </c>
      <c r="B6" t="s">
        <v>100</v>
      </c>
      <c r="C6" t="s">
        <v>115</v>
      </c>
      <c r="D6" t="s">
        <v>441</v>
      </c>
      <c r="E6" t="s">
        <v>69</v>
      </c>
      <c r="F6">
        <v>4</v>
      </c>
      <c r="G6">
        <v>25</v>
      </c>
      <c r="H6" s="1296">
        <v>100</v>
      </c>
      <c r="I6" t="str">
        <f t="shared" si="0"/>
        <v>-</v>
      </c>
      <c r="K6" t="str">
        <f>IF(CHALLAN!E185&lt;&gt;"",CHALLAN!F185,CHALLAN!G185)&amp;""</f>
        <v>GG/005/09-10</v>
      </c>
      <c r="L6">
        <v>185</v>
      </c>
      <c r="M6">
        <v>226</v>
      </c>
      <c r="N6" t="s">
        <v>2438</v>
      </c>
    </row>
    <row r="7" spans="1:14" x14ac:dyDescent="0.25">
      <c r="A7">
        <v>108</v>
      </c>
      <c r="B7" t="s">
        <v>100</v>
      </c>
      <c r="C7" t="s">
        <v>115</v>
      </c>
      <c r="D7" t="s">
        <v>225</v>
      </c>
      <c r="E7" t="s">
        <v>422</v>
      </c>
      <c r="F7">
        <v>4</v>
      </c>
      <c r="G7">
        <v>25</v>
      </c>
      <c r="H7" s="1296">
        <v>100</v>
      </c>
      <c r="I7" t="str">
        <f t="shared" si="0"/>
        <v>-</v>
      </c>
      <c r="K7" t="str">
        <f>IF(CHALLAN!E227&lt;&gt;"",CHALLAN!F227,CHALLAN!G227)&amp;""</f>
        <v>GG/006/09-10</v>
      </c>
      <c r="L7">
        <v>227</v>
      </c>
      <c r="M7">
        <v>270</v>
      </c>
      <c r="N7" t="s">
        <v>2438</v>
      </c>
    </row>
    <row r="8" spans="1:14" x14ac:dyDescent="0.25">
      <c r="A8">
        <v>109</v>
      </c>
      <c r="B8" t="s">
        <v>100</v>
      </c>
      <c r="C8" t="s">
        <v>115</v>
      </c>
      <c r="D8" t="s">
        <v>53</v>
      </c>
      <c r="E8" t="s">
        <v>429</v>
      </c>
      <c r="F8">
        <v>1</v>
      </c>
      <c r="G8">
        <v>20</v>
      </c>
      <c r="H8" s="1296">
        <v>20</v>
      </c>
      <c r="I8" t="str">
        <f t="shared" si="0"/>
        <v>-</v>
      </c>
      <c r="K8" t="str">
        <f>IF(CHALLAN!E271&lt;&gt;"",CHALLAN!F271,CHALLAN!G271)&amp;""</f>
        <v>GG/007/09-10</v>
      </c>
      <c r="L8">
        <v>271</v>
      </c>
      <c r="M8">
        <v>314</v>
      </c>
      <c r="N8" t="s">
        <v>2438</v>
      </c>
    </row>
    <row r="9" spans="1:14" x14ac:dyDescent="0.25">
      <c r="A9">
        <v>112</v>
      </c>
      <c r="B9" t="s">
        <v>100</v>
      </c>
      <c r="C9" t="s">
        <v>115</v>
      </c>
      <c r="D9" t="s">
        <v>217</v>
      </c>
      <c r="E9" t="s">
        <v>388</v>
      </c>
      <c r="F9">
        <v>9</v>
      </c>
      <c r="G9">
        <v>1</v>
      </c>
      <c r="H9" s="1296">
        <v>9</v>
      </c>
      <c r="I9" t="str">
        <f t="shared" si="0"/>
        <v>-</v>
      </c>
      <c r="K9" t="str">
        <f>IF(CHALLAN!E315&lt;&gt;"",CHALLAN!F315,CHALLAN!G315)&amp;""</f>
        <v>GG/008/09-10</v>
      </c>
      <c r="L9">
        <v>315</v>
      </c>
      <c r="M9">
        <v>358</v>
      </c>
      <c r="N9" t="s">
        <v>2438</v>
      </c>
    </row>
    <row r="10" spans="1:14" x14ac:dyDescent="0.25">
      <c r="A10">
        <v>114</v>
      </c>
      <c r="B10" t="s">
        <v>100</v>
      </c>
      <c r="C10" t="s">
        <v>115</v>
      </c>
      <c r="D10" t="s">
        <v>124</v>
      </c>
      <c r="E10" t="s">
        <v>402</v>
      </c>
      <c r="F10">
        <v>19</v>
      </c>
      <c r="G10">
        <v>1</v>
      </c>
      <c r="H10" s="1296">
        <v>19</v>
      </c>
      <c r="I10" t="str">
        <f t="shared" si="0"/>
        <v>-</v>
      </c>
      <c r="K10" t="str">
        <f>IF(CHALLAN!E359&lt;&gt;"",CHALLAN!F359,CHALLAN!G359)&amp;""</f>
        <v>GG/009/09-10</v>
      </c>
      <c r="L10">
        <v>359</v>
      </c>
      <c r="M10">
        <v>403</v>
      </c>
      <c r="N10" t="s">
        <v>2438</v>
      </c>
    </row>
    <row r="11" spans="1:14" x14ac:dyDescent="0.25">
      <c r="A11">
        <v>115</v>
      </c>
      <c r="B11" t="s">
        <v>100</v>
      </c>
      <c r="C11" t="s">
        <v>115</v>
      </c>
      <c r="D11" t="s">
        <v>215</v>
      </c>
      <c r="E11" t="s">
        <v>386</v>
      </c>
      <c r="F11">
        <v>3</v>
      </c>
      <c r="G11">
        <v>4</v>
      </c>
      <c r="H11" s="1296">
        <v>12</v>
      </c>
      <c r="I11" t="str">
        <f t="shared" si="0"/>
        <v>-</v>
      </c>
      <c r="K11" t="str">
        <f>IF(CHALLAN!E404&lt;&gt;"",CHALLAN!F404,CHALLAN!G404)&amp;""</f>
        <v>GG/010/09-10</v>
      </c>
      <c r="L11">
        <v>404</v>
      </c>
      <c r="M11">
        <v>446</v>
      </c>
      <c r="N11" t="s">
        <v>2438</v>
      </c>
    </row>
    <row r="12" spans="1:14" x14ac:dyDescent="0.25">
      <c r="A12">
        <v>198</v>
      </c>
      <c r="B12" t="s">
        <v>522</v>
      </c>
      <c r="C12" t="s">
        <v>523</v>
      </c>
      <c r="D12" t="s">
        <v>526</v>
      </c>
      <c r="F12">
        <v>14</v>
      </c>
      <c r="G12">
        <v>5</v>
      </c>
      <c r="H12" s="1296">
        <v>70</v>
      </c>
      <c r="I12" t="str">
        <f t="shared" si="0"/>
        <v>-</v>
      </c>
      <c r="K12" t="str">
        <f>IF(CHALLAN!E447&lt;&gt;"",CHALLAN!F447,CHALLAN!G447)&amp;""</f>
        <v>GG/011/09-10</v>
      </c>
      <c r="L12">
        <v>447</v>
      </c>
      <c r="M12">
        <v>491</v>
      </c>
      <c r="N12" t="s">
        <v>2438</v>
      </c>
    </row>
    <row r="13" spans="1:14" x14ac:dyDescent="0.25">
      <c r="A13">
        <v>240</v>
      </c>
      <c r="B13" t="s">
        <v>528</v>
      </c>
      <c r="C13" t="s">
        <v>529</v>
      </c>
      <c r="D13" t="s">
        <v>531</v>
      </c>
      <c r="E13" t="s">
        <v>532</v>
      </c>
      <c r="F13">
        <v>10</v>
      </c>
      <c r="G13">
        <v>10</v>
      </c>
      <c r="H13" s="1296">
        <v>100</v>
      </c>
      <c r="I13" t="str">
        <f t="shared" si="0"/>
        <v>-</v>
      </c>
      <c r="K13" t="str">
        <f>IF(CHALLAN!E492&lt;&gt;"",CHALLAN!F492,CHALLAN!G492)&amp;""</f>
        <v>GG/012/09-10</v>
      </c>
      <c r="L13">
        <v>492</v>
      </c>
      <c r="M13">
        <v>535</v>
      </c>
      <c r="N13" t="s">
        <v>2438</v>
      </c>
    </row>
    <row r="14" spans="1:14" x14ac:dyDescent="0.25">
      <c r="A14">
        <v>242</v>
      </c>
      <c r="B14" t="s">
        <v>528</v>
      </c>
      <c r="C14" t="s">
        <v>529</v>
      </c>
      <c r="D14" t="s">
        <v>533</v>
      </c>
      <c r="F14">
        <v>5</v>
      </c>
      <c r="G14">
        <v>1</v>
      </c>
      <c r="H14" s="1296">
        <v>5</v>
      </c>
      <c r="I14" t="str">
        <f t="shared" si="0"/>
        <v>-</v>
      </c>
      <c r="K14" t="str">
        <f>IF(CHALLAN!E536&lt;&gt;"",CHALLAN!F536,CHALLAN!G536)&amp;""</f>
        <v>GG/013/09-10</v>
      </c>
      <c r="L14">
        <v>536</v>
      </c>
      <c r="M14">
        <v>579</v>
      </c>
      <c r="N14" t="s">
        <v>2438</v>
      </c>
    </row>
    <row r="15" spans="1:14" x14ac:dyDescent="0.25">
      <c r="A15">
        <v>245</v>
      </c>
      <c r="B15" t="s">
        <v>528</v>
      </c>
      <c r="C15" t="s">
        <v>529</v>
      </c>
      <c r="D15" t="s">
        <v>533</v>
      </c>
      <c r="F15">
        <v>5</v>
      </c>
      <c r="G15">
        <v>1</v>
      </c>
      <c r="H15" s="1296">
        <v>5</v>
      </c>
      <c r="I15" t="str">
        <f t="shared" si="0"/>
        <v>-</v>
      </c>
      <c r="K15" t="str">
        <f>IF(CHALLAN!E580&lt;&gt;"",CHALLAN!F580,CHALLAN!G580)&amp;""</f>
        <v>GG/014/09-10</v>
      </c>
      <c r="L15">
        <v>580</v>
      </c>
      <c r="M15">
        <v>623</v>
      </c>
      <c r="N15" t="s">
        <v>2438</v>
      </c>
    </row>
    <row r="16" spans="1:14" x14ac:dyDescent="0.25">
      <c r="A16">
        <v>283</v>
      </c>
      <c r="B16" t="s">
        <v>528</v>
      </c>
      <c r="C16" t="s">
        <v>536</v>
      </c>
      <c r="D16" t="s">
        <v>541</v>
      </c>
      <c r="F16">
        <v>1</v>
      </c>
      <c r="G16">
        <v>200</v>
      </c>
      <c r="H16" s="1296">
        <v>200</v>
      </c>
      <c r="I16" t="str">
        <f t="shared" si="0"/>
        <v>-</v>
      </c>
      <c r="K16" t="str">
        <f>IF(CHALLAN!E624&lt;&gt;"",CHALLAN!F624,CHALLAN!G624)&amp;""</f>
        <v>GG/015/09-10</v>
      </c>
      <c r="L16">
        <v>624</v>
      </c>
      <c r="M16">
        <v>670</v>
      </c>
      <c r="N16" t="s">
        <v>2438</v>
      </c>
    </row>
    <row r="17" spans="1:14" x14ac:dyDescent="0.25">
      <c r="A17">
        <v>327</v>
      </c>
      <c r="B17" t="s">
        <v>544</v>
      </c>
      <c r="C17" t="s">
        <v>547</v>
      </c>
      <c r="D17" t="s">
        <v>549</v>
      </c>
      <c r="F17">
        <v>1</v>
      </c>
      <c r="G17">
        <v>50</v>
      </c>
      <c r="H17" s="1296">
        <v>50</v>
      </c>
      <c r="I17" t="str">
        <f t="shared" si="0"/>
        <v>-</v>
      </c>
      <c r="K17" t="str">
        <f>IF(CHALLAN!E671&lt;&gt;"",CHALLAN!F671,CHALLAN!G671)&amp;""</f>
        <v>GG/016/09-10</v>
      </c>
      <c r="L17">
        <v>671</v>
      </c>
      <c r="M17">
        <v>713</v>
      </c>
      <c r="N17" t="s">
        <v>2438</v>
      </c>
    </row>
    <row r="18" spans="1:14" x14ac:dyDescent="0.25">
      <c r="A18">
        <v>371</v>
      </c>
      <c r="B18" t="s">
        <v>545</v>
      </c>
      <c r="C18" t="s">
        <v>546</v>
      </c>
      <c r="D18" t="s">
        <v>556</v>
      </c>
      <c r="E18" t="s">
        <v>557</v>
      </c>
      <c r="F18">
        <v>2</v>
      </c>
      <c r="G18">
        <v>5</v>
      </c>
      <c r="H18" s="1296">
        <v>10</v>
      </c>
      <c r="I18" t="str">
        <f t="shared" si="0"/>
        <v>-</v>
      </c>
      <c r="K18" t="str">
        <f>IF(CHALLAN!E714&lt;&gt;"",CHALLAN!F714,CHALLAN!G714)&amp;""</f>
        <v>GG/017/09-10</v>
      </c>
      <c r="L18">
        <v>714</v>
      </c>
      <c r="M18">
        <v>757</v>
      </c>
      <c r="N18" t="s">
        <v>2438</v>
      </c>
    </row>
    <row r="19" spans="1:14" x14ac:dyDescent="0.25">
      <c r="A19">
        <v>373</v>
      </c>
      <c r="B19" t="s">
        <v>545</v>
      </c>
      <c r="C19" t="s">
        <v>546</v>
      </c>
      <c r="D19" t="s">
        <v>556</v>
      </c>
      <c r="E19" t="s">
        <v>560</v>
      </c>
      <c r="F19">
        <v>3</v>
      </c>
      <c r="G19">
        <v>5</v>
      </c>
      <c r="H19" s="1296">
        <v>15</v>
      </c>
      <c r="I19" t="str">
        <f t="shared" si="0"/>
        <v>-</v>
      </c>
      <c r="K19" t="str">
        <f>IF(CHALLAN!E758&lt;&gt;"",CHALLAN!F758,CHALLAN!G758)&amp;""</f>
        <v>GG/018/09-10</v>
      </c>
      <c r="L19">
        <v>758</v>
      </c>
      <c r="M19">
        <v>801</v>
      </c>
      <c r="N19" t="s">
        <v>2438</v>
      </c>
    </row>
    <row r="20" spans="1:14" x14ac:dyDescent="0.25">
      <c r="A20">
        <v>375</v>
      </c>
      <c r="B20" t="s">
        <v>545</v>
      </c>
      <c r="C20" t="s">
        <v>546</v>
      </c>
      <c r="D20" t="s">
        <v>531</v>
      </c>
      <c r="E20" t="s">
        <v>563</v>
      </c>
      <c r="F20">
        <v>5</v>
      </c>
      <c r="G20">
        <v>10</v>
      </c>
      <c r="H20" s="1296">
        <v>50</v>
      </c>
      <c r="I20" t="str">
        <f t="shared" si="0"/>
        <v>-</v>
      </c>
      <c r="K20" t="str">
        <f>IF(CHALLAN!E802&lt;&gt;"",CHALLAN!F802,CHALLAN!G802)&amp;""</f>
        <v>GG/0/09-10</v>
      </c>
      <c r="L20">
        <v>802</v>
      </c>
      <c r="M20">
        <v>852</v>
      </c>
      <c r="N20" t="s">
        <v>2439</v>
      </c>
    </row>
    <row r="21" spans="1:14" x14ac:dyDescent="0.25">
      <c r="A21">
        <v>377</v>
      </c>
      <c r="B21" t="s">
        <v>545</v>
      </c>
      <c r="C21" t="s">
        <v>546</v>
      </c>
      <c r="D21" t="s">
        <v>564</v>
      </c>
      <c r="E21" t="s">
        <v>440</v>
      </c>
      <c r="F21">
        <v>1</v>
      </c>
      <c r="G21">
        <v>25</v>
      </c>
      <c r="H21" s="1296">
        <v>25</v>
      </c>
      <c r="I21" t="str">
        <f t="shared" si="0"/>
        <v>-</v>
      </c>
      <c r="K21" t="str">
        <f>IF(CHALLAN!E853&lt;&gt;"",CHALLAN!F853,CHALLAN!G853)&amp;""</f>
        <v>GG/019/09-10</v>
      </c>
      <c r="L21">
        <v>853</v>
      </c>
      <c r="M21">
        <v>898</v>
      </c>
      <c r="N21" t="s">
        <v>2438</v>
      </c>
    </row>
    <row r="22" spans="1:14" x14ac:dyDescent="0.25">
      <c r="A22">
        <v>418</v>
      </c>
      <c r="B22" t="s">
        <v>545</v>
      </c>
      <c r="C22" t="s">
        <v>572</v>
      </c>
      <c r="D22" t="s">
        <v>556</v>
      </c>
      <c r="E22" t="s">
        <v>557</v>
      </c>
      <c r="F22">
        <v>2</v>
      </c>
      <c r="G22">
        <v>5</v>
      </c>
      <c r="H22" s="1296">
        <v>10</v>
      </c>
      <c r="I22" t="str">
        <f t="shared" si="0"/>
        <v>-</v>
      </c>
      <c r="K22" t="str">
        <f>IF(CHALLAN!E899&lt;&gt;"",CHALLAN!F899,CHALLAN!G899)&amp;""</f>
        <v>GG/020/09-10</v>
      </c>
      <c r="L22">
        <v>899</v>
      </c>
      <c r="M22">
        <v>943</v>
      </c>
      <c r="N22" t="s">
        <v>2438</v>
      </c>
    </row>
    <row r="23" spans="1:14" x14ac:dyDescent="0.25">
      <c r="A23">
        <v>420</v>
      </c>
      <c r="B23" t="s">
        <v>545</v>
      </c>
      <c r="C23" t="s">
        <v>572</v>
      </c>
      <c r="D23" t="s">
        <v>81</v>
      </c>
      <c r="E23" t="s">
        <v>82</v>
      </c>
      <c r="F23">
        <v>2</v>
      </c>
      <c r="G23">
        <v>5</v>
      </c>
      <c r="H23" s="1296">
        <v>10</v>
      </c>
      <c r="I23" t="str">
        <f t="shared" si="0"/>
        <v>-</v>
      </c>
      <c r="K23" t="str">
        <f>IF(CHALLAN!E944&lt;&gt;"",CHALLAN!F944,CHALLAN!G944)&amp;""</f>
        <v>GG/021/09-10</v>
      </c>
      <c r="L23">
        <v>944</v>
      </c>
      <c r="M23">
        <v>996</v>
      </c>
      <c r="N23" t="s">
        <v>2438</v>
      </c>
    </row>
    <row r="24" spans="1:14" x14ac:dyDescent="0.25">
      <c r="A24">
        <v>422</v>
      </c>
      <c r="B24" t="s">
        <v>545</v>
      </c>
      <c r="C24" t="s">
        <v>572</v>
      </c>
      <c r="D24" t="s">
        <v>45</v>
      </c>
      <c r="E24" t="s">
        <v>41</v>
      </c>
      <c r="F24">
        <v>3</v>
      </c>
      <c r="G24">
        <v>5</v>
      </c>
      <c r="H24" s="1296">
        <v>15</v>
      </c>
      <c r="I24" t="str">
        <f t="shared" si="0"/>
        <v>-</v>
      </c>
      <c r="K24" t="str">
        <f>IF(CHALLAN!E997&lt;&gt;"",CHALLAN!F997,CHALLAN!G997)&amp;""</f>
        <v>GG/022/09-10</v>
      </c>
      <c r="L24">
        <v>997</v>
      </c>
      <c r="M24">
        <v>1040</v>
      </c>
      <c r="N24" t="s">
        <v>2438</v>
      </c>
    </row>
    <row r="25" spans="1:14" x14ac:dyDescent="0.25">
      <c r="A25">
        <v>460</v>
      </c>
      <c r="B25" t="s">
        <v>550</v>
      </c>
      <c r="C25" t="s">
        <v>582</v>
      </c>
      <c r="D25" t="s">
        <v>60</v>
      </c>
      <c r="E25" t="s">
        <v>61</v>
      </c>
      <c r="F25">
        <v>18</v>
      </c>
      <c r="G25">
        <v>25</v>
      </c>
      <c r="H25" s="1296">
        <v>450</v>
      </c>
      <c r="I25" t="str">
        <f t="shared" si="0"/>
        <v>-</v>
      </c>
      <c r="K25" t="str">
        <f>IF(CHALLAN!E1041&lt;&gt;"",CHALLAN!F1041,CHALLAN!G1041)&amp;""</f>
        <v>GG/023/09-10</v>
      </c>
      <c r="L25">
        <v>1041</v>
      </c>
      <c r="M25">
        <v>1082</v>
      </c>
      <c r="N25" t="s">
        <v>2438</v>
      </c>
    </row>
    <row r="26" spans="1:14" x14ac:dyDescent="0.25">
      <c r="A26">
        <v>506</v>
      </c>
      <c r="B26" t="s">
        <v>550</v>
      </c>
      <c r="C26" t="s">
        <v>589</v>
      </c>
      <c r="D26" t="s">
        <v>592</v>
      </c>
      <c r="E26" t="s">
        <v>593</v>
      </c>
      <c r="F26">
        <v>4</v>
      </c>
      <c r="G26">
        <v>1</v>
      </c>
      <c r="H26" s="1296">
        <v>4</v>
      </c>
      <c r="I26" t="str">
        <f t="shared" si="0"/>
        <v>-</v>
      </c>
      <c r="K26" t="str">
        <f>IF(CHALLAN!E1083&lt;&gt;"",CHALLAN!F1083,CHALLAN!G1083)&amp;""</f>
        <v>GG/024/09-10</v>
      </c>
      <c r="L26">
        <v>1083</v>
      </c>
      <c r="M26">
        <v>1128</v>
      </c>
      <c r="N26" t="s">
        <v>2438</v>
      </c>
    </row>
    <row r="27" spans="1:14" x14ac:dyDescent="0.25">
      <c r="A27">
        <v>507</v>
      </c>
      <c r="B27" t="s">
        <v>550</v>
      </c>
      <c r="C27" t="s">
        <v>589</v>
      </c>
      <c r="D27" t="s">
        <v>131</v>
      </c>
      <c r="E27" t="s">
        <v>394</v>
      </c>
      <c r="F27">
        <v>4</v>
      </c>
      <c r="G27">
        <v>1</v>
      </c>
      <c r="H27" s="1296">
        <v>4</v>
      </c>
      <c r="I27" t="str">
        <f t="shared" si="0"/>
        <v>-</v>
      </c>
      <c r="K27" t="str">
        <f>IF(CHALLAN!E1129&lt;&gt;"",CHALLAN!F1129,CHALLAN!G1129)&amp;""</f>
        <v>GG/025/09-10</v>
      </c>
      <c r="L27">
        <v>1129</v>
      </c>
      <c r="M27">
        <v>1171</v>
      </c>
      <c r="N27" t="s">
        <v>2438</v>
      </c>
    </row>
    <row r="28" spans="1:14" x14ac:dyDescent="0.25">
      <c r="A28">
        <v>508</v>
      </c>
      <c r="B28" t="s">
        <v>550</v>
      </c>
      <c r="C28" t="s">
        <v>589</v>
      </c>
      <c r="D28" t="s">
        <v>123</v>
      </c>
      <c r="E28" t="s">
        <v>594</v>
      </c>
      <c r="F28">
        <v>7</v>
      </c>
      <c r="G28">
        <v>1</v>
      </c>
      <c r="H28" s="1296">
        <v>7</v>
      </c>
      <c r="I28" t="str">
        <f t="shared" si="0"/>
        <v>-</v>
      </c>
      <c r="K28" t="str">
        <f>IF(CHALLAN!E1172&lt;&gt;"",CHALLAN!F1172,CHALLAN!G1172)&amp;""</f>
        <v>GG/026/09-10</v>
      </c>
      <c r="L28">
        <v>1172</v>
      </c>
      <c r="M28">
        <v>1214</v>
      </c>
      <c r="N28" t="s">
        <v>2438</v>
      </c>
    </row>
    <row r="29" spans="1:14" x14ac:dyDescent="0.25">
      <c r="A29">
        <v>509</v>
      </c>
      <c r="B29" t="s">
        <v>550</v>
      </c>
      <c r="C29" t="s">
        <v>589</v>
      </c>
      <c r="D29" t="s">
        <v>595</v>
      </c>
      <c r="E29" t="s">
        <v>596</v>
      </c>
      <c r="F29">
        <v>11</v>
      </c>
      <c r="G29">
        <v>1</v>
      </c>
      <c r="H29" s="1296">
        <v>11</v>
      </c>
      <c r="I29" t="str">
        <f t="shared" si="0"/>
        <v>-</v>
      </c>
      <c r="K29" t="str">
        <f>IF(CHALLAN!E1215&lt;&gt;"",CHALLAN!F1215,CHALLAN!G1215)&amp;""</f>
        <v>GG/027/09-10</v>
      </c>
      <c r="L29">
        <v>1215</v>
      </c>
      <c r="M29">
        <v>1258</v>
      </c>
      <c r="N29" t="s">
        <v>2438</v>
      </c>
    </row>
    <row r="30" spans="1:14" x14ac:dyDescent="0.25">
      <c r="A30">
        <v>510</v>
      </c>
      <c r="B30" t="s">
        <v>550</v>
      </c>
      <c r="C30" t="s">
        <v>589</v>
      </c>
      <c r="D30" t="s">
        <v>127</v>
      </c>
      <c r="E30" t="s">
        <v>398</v>
      </c>
      <c r="F30">
        <v>5</v>
      </c>
      <c r="G30">
        <v>1</v>
      </c>
      <c r="H30" s="1296">
        <v>5</v>
      </c>
      <c r="I30" t="str">
        <f t="shared" si="0"/>
        <v>-</v>
      </c>
      <c r="K30" t="str">
        <f>IF(CHALLAN!E1259&lt;&gt;"",CHALLAN!F1259,CHALLAN!G1259)&amp;""</f>
        <v>GG/028/09-10</v>
      </c>
      <c r="L30">
        <v>1259</v>
      </c>
      <c r="M30">
        <v>1302</v>
      </c>
      <c r="N30" t="s">
        <v>2438</v>
      </c>
    </row>
    <row r="31" spans="1:14" x14ac:dyDescent="0.25">
      <c r="A31">
        <v>511</v>
      </c>
      <c r="B31" t="s">
        <v>550</v>
      </c>
      <c r="C31" t="s">
        <v>589</v>
      </c>
      <c r="D31" t="s">
        <v>599</v>
      </c>
      <c r="E31" t="s">
        <v>372</v>
      </c>
      <c r="F31">
        <v>4</v>
      </c>
      <c r="G31">
        <v>1</v>
      </c>
      <c r="H31" s="1296">
        <v>4</v>
      </c>
      <c r="I31" t="str">
        <f t="shared" si="0"/>
        <v>-</v>
      </c>
      <c r="K31" t="str">
        <f>IF(CHALLAN!E1303&lt;&gt;"",CHALLAN!F1303,CHALLAN!G1303)&amp;""</f>
        <v>GG/029/09-10</v>
      </c>
      <c r="L31">
        <v>1303</v>
      </c>
      <c r="M31">
        <v>1346</v>
      </c>
      <c r="N31" t="s">
        <v>2438</v>
      </c>
    </row>
    <row r="32" spans="1:14" x14ac:dyDescent="0.25">
      <c r="A32">
        <v>550</v>
      </c>
      <c r="B32" t="s">
        <v>609</v>
      </c>
      <c r="C32" t="s">
        <v>552</v>
      </c>
      <c r="D32" t="s">
        <v>127</v>
      </c>
      <c r="E32" t="s">
        <v>326</v>
      </c>
      <c r="F32">
        <v>3</v>
      </c>
      <c r="G32">
        <v>5</v>
      </c>
      <c r="H32" s="1296">
        <v>15</v>
      </c>
      <c r="I32" t="str">
        <f t="shared" si="0"/>
        <v>-</v>
      </c>
      <c r="K32" t="str">
        <f>IF(CHALLAN!E1347&lt;&gt;"",CHALLAN!F1347,CHALLAN!G1347)&amp;""</f>
        <v>GG/030/09-10</v>
      </c>
      <c r="L32">
        <v>1347</v>
      </c>
      <c r="M32">
        <v>1390</v>
      </c>
      <c r="N32" t="s">
        <v>2438</v>
      </c>
    </row>
    <row r="33" spans="1:14" x14ac:dyDescent="0.25">
      <c r="A33">
        <v>552</v>
      </c>
      <c r="B33" t="s">
        <v>609</v>
      </c>
      <c r="C33" t="s">
        <v>552</v>
      </c>
      <c r="D33" t="s">
        <v>315</v>
      </c>
      <c r="E33" t="s">
        <v>298</v>
      </c>
      <c r="F33">
        <v>3</v>
      </c>
      <c r="G33">
        <v>5</v>
      </c>
      <c r="H33" s="1296">
        <v>15</v>
      </c>
      <c r="I33" t="str">
        <f t="shared" si="0"/>
        <v>-</v>
      </c>
      <c r="K33" t="str">
        <f>IF(CHALLAN!E1391&lt;&gt;"",CHALLAN!F1391,CHALLAN!G1391)&amp;""</f>
        <v>GG/031/09-10</v>
      </c>
      <c r="L33">
        <v>1391</v>
      </c>
      <c r="M33">
        <v>1434</v>
      </c>
      <c r="N33" t="s">
        <v>2438</v>
      </c>
    </row>
    <row r="34" spans="1:14" x14ac:dyDescent="0.25">
      <c r="A34">
        <v>554</v>
      </c>
      <c r="B34" t="s">
        <v>609</v>
      </c>
      <c r="C34" t="s">
        <v>552</v>
      </c>
      <c r="D34" t="s">
        <v>618</v>
      </c>
      <c r="E34" t="s">
        <v>87</v>
      </c>
      <c r="F34">
        <v>2</v>
      </c>
      <c r="G34">
        <v>5</v>
      </c>
      <c r="H34" s="1296">
        <v>10</v>
      </c>
      <c r="I34" t="str">
        <f t="shared" si="0"/>
        <v>-</v>
      </c>
      <c r="K34" t="str">
        <f>IF(CHALLAN!E1435&lt;&gt;"",CHALLAN!F1435,CHALLAN!G1435)&amp;""</f>
        <v>GG/032/09-10</v>
      </c>
      <c r="L34">
        <v>1435</v>
      </c>
      <c r="M34">
        <v>1478</v>
      </c>
      <c r="N34" t="s">
        <v>2438</v>
      </c>
    </row>
    <row r="35" spans="1:14" x14ac:dyDescent="0.25">
      <c r="A35">
        <v>594</v>
      </c>
      <c r="B35" t="s">
        <v>623</v>
      </c>
      <c r="C35" t="s">
        <v>554</v>
      </c>
      <c r="D35" t="s">
        <v>315</v>
      </c>
      <c r="E35" t="s">
        <v>298</v>
      </c>
      <c r="F35">
        <v>3</v>
      </c>
      <c r="G35">
        <v>5</v>
      </c>
      <c r="H35" s="1296">
        <v>15</v>
      </c>
      <c r="I35" t="str">
        <f t="shared" si="0"/>
        <v>-</v>
      </c>
      <c r="K35" t="str">
        <f>IF(CHALLAN!E1479&lt;&gt;"",CHALLAN!F1479,CHALLAN!G1479)&amp;""</f>
        <v>GG/033/09-10</v>
      </c>
      <c r="L35">
        <v>1479</v>
      </c>
      <c r="M35">
        <v>1521</v>
      </c>
      <c r="N35" t="s">
        <v>2438</v>
      </c>
    </row>
    <row r="36" spans="1:14" x14ac:dyDescent="0.25">
      <c r="A36">
        <v>596</v>
      </c>
      <c r="B36" t="s">
        <v>623</v>
      </c>
      <c r="C36" t="s">
        <v>554</v>
      </c>
      <c r="D36" t="s">
        <v>618</v>
      </c>
      <c r="E36" t="s">
        <v>87</v>
      </c>
      <c r="F36">
        <v>9</v>
      </c>
      <c r="G36">
        <v>5</v>
      </c>
      <c r="H36" s="1296">
        <v>45</v>
      </c>
      <c r="I36" t="str">
        <f t="shared" si="0"/>
        <v>-</v>
      </c>
      <c r="K36" t="str">
        <f>IF(CHALLAN!E1522&lt;&gt;"",CHALLAN!F1522,CHALLAN!G1522)&amp;""</f>
        <v>GG/034/09-10</v>
      </c>
      <c r="L36">
        <v>1522</v>
      </c>
      <c r="M36">
        <v>1565</v>
      </c>
      <c r="N36" t="s">
        <v>2438</v>
      </c>
    </row>
    <row r="37" spans="1:14" x14ac:dyDescent="0.25">
      <c r="A37">
        <v>637</v>
      </c>
      <c r="B37" t="s">
        <v>555</v>
      </c>
      <c r="C37" t="s">
        <v>636</v>
      </c>
      <c r="D37" t="s">
        <v>108</v>
      </c>
      <c r="E37" t="s">
        <v>109</v>
      </c>
      <c r="F37">
        <v>8</v>
      </c>
      <c r="G37">
        <v>25</v>
      </c>
      <c r="H37" s="1296">
        <v>200</v>
      </c>
      <c r="I37" t="str">
        <f t="shared" si="0"/>
        <v>-</v>
      </c>
      <c r="K37" t="str">
        <f>IF(CHALLAN!E1566&lt;&gt;"",CHALLAN!F1566,CHALLAN!G1566)&amp;""</f>
        <v>GG/035/09-10</v>
      </c>
      <c r="L37">
        <v>1566</v>
      </c>
      <c r="M37">
        <v>1608</v>
      </c>
      <c r="N37" t="s">
        <v>2438</v>
      </c>
    </row>
    <row r="38" spans="1:14" x14ac:dyDescent="0.25">
      <c r="A38">
        <v>638</v>
      </c>
      <c r="B38" t="s">
        <v>555</v>
      </c>
      <c r="C38" t="s">
        <v>636</v>
      </c>
      <c r="D38" t="s">
        <v>56</v>
      </c>
      <c r="E38" t="s">
        <v>57</v>
      </c>
      <c r="F38">
        <v>4</v>
      </c>
      <c r="G38">
        <v>25</v>
      </c>
      <c r="H38" s="1296">
        <v>100</v>
      </c>
      <c r="I38" t="str">
        <f t="shared" si="0"/>
        <v>-</v>
      </c>
      <c r="K38" t="str">
        <f>IF(CHALLAN!E1609&lt;&gt;"",CHALLAN!F1609,CHALLAN!G1609)&amp;""</f>
        <v>GG/036/09-10</v>
      </c>
      <c r="L38">
        <v>1609</v>
      </c>
      <c r="M38">
        <v>1651</v>
      </c>
      <c r="N38" t="s">
        <v>2438</v>
      </c>
    </row>
    <row r="39" spans="1:14" x14ac:dyDescent="0.25">
      <c r="A39">
        <v>639</v>
      </c>
      <c r="B39" t="s">
        <v>555</v>
      </c>
      <c r="C39" t="s">
        <v>636</v>
      </c>
      <c r="D39" t="s">
        <v>649</v>
      </c>
      <c r="E39" t="s">
        <v>433</v>
      </c>
      <c r="F39">
        <v>1</v>
      </c>
      <c r="G39">
        <v>25</v>
      </c>
      <c r="H39" s="1296">
        <v>25</v>
      </c>
      <c r="I39" t="str">
        <f t="shared" si="0"/>
        <v>-</v>
      </c>
      <c r="K39" t="str">
        <f>IF(CHALLAN!E1652&lt;&gt;"",CHALLAN!F1652,CHALLAN!G1652)&amp;""</f>
        <v>GG/037/09-10</v>
      </c>
      <c r="L39">
        <v>1652</v>
      </c>
      <c r="M39">
        <v>1703</v>
      </c>
      <c r="N39" t="s">
        <v>2438</v>
      </c>
    </row>
    <row r="40" spans="1:14" x14ac:dyDescent="0.25">
      <c r="A40">
        <v>640</v>
      </c>
      <c r="B40" t="s">
        <v>555</v>
      </c>
      <c r="C40" t="s">
        <v>636</v>
      </c>
      <c r="D40" t="s">
        <v>651</v>
      </c>
      <c r="E40" t="s">
        <v>432</v>
      </c>
      <c r="F40">
        <v>1</v>
      </c>
      <c r="G40">
        <v>25</v>
      </c>
      <c r="H40" s="1296">
        <v>25</v>
      </c>
      <c r="I40" t="str">
        <f t="shared" si="0"/>
        <v>-</v>
      </c>
      <c r="K40" t="str">
        <f>IF(CHALLAN!E1704&lt;&gt;"",CHALLAN!F1704,CHALLAN!G1704)&amp;""</f>
        <v>GG/038/09-10</v>
      </c>
      <c r="L40">
        <v>1704</v>
      </c>
      <c r="M40">
        <v>1755</v>
      </c>
      <c r="N40" t="s">
        <v>2438</v>
      </c>
    </row>
    <row r="41" spans="1:14" x14ac:dyDescent="0.25">
      <c r="A41">
        <v>643</v>
      </c>
      <c r="B41" t="s">
        <v>555</v>
      </c>
      <c r="C41" t="s">
        <v>636</v>
      </c>
      <c r="D41" t="s">
        <v>3</v>
      </c>
      <c r="E41" t="s">
        <v>4</v>
      </c>
      <c r="F41">
        <v>2</v>
      </c>
      <c r="G41">
        <v>5</v>
      </c>
      <c r="H41" s="1296">
        <v>10</v>
      </c>
      <c r="I41" t="str">
        <f t="shared" si="0"/>
        <v>-</v>
      </c>
      <c r="K41" t="str">
        <f>IF(CHALLAN!E1756&lt;&gt;"",CHALLAN!F1756,CHALLAN!G1756)&amp;""</f>
        <v>GG/039/09-10</v>
      </c>
      <c r="L41">
        <v>1756</v>
      </c>
      <c r="M41">
        <v>1801</v>
      </c>
      <c r="N41" t="s">
        <v>2438</v>
      </c>
    </row>
    <row r="42" spans="1:14" x14ac:dyDescent="0.25">
      <c r="A42">
        <v>644</v>
      </c>
      <c r="B42" t="s">
        <v>555</v>
      </c>
      <c r="C42" t="s">
        <v>636</v>
      </c>
      <c r="D42" t="s">
        <v>655</v>
      </c>
      <c r="E42" t="s">
        <v>94</v>
      </c>
      <c r="F42">
        <v>1</v>
      </c>
      <c r="G42">
        <v>5</v>
      </c>
      <c r="H42" s="1296">
        <v>5</v>
      </c>
      <c r="I42" t="str">
        <f t="shared" si="0"/>
        <v>-</v>
      </c>
      <c r="K42" t="str">
        <f>IF(CHALLAN!E1802&lt;&gt;"",CHALLAN!F1802,CHALLAN!G1802)&amp;""</f>
        <v>GG/040/09-10</v>
      </c>
      <c r="L42">
        <v>1802</v>
      </c>
      <c r="M42">
        <v>1847</v>
      </c>
      <c r="N42" t="s">
        <v>2438</v>
      </c>
    </row>
    <row r="43" spans="1:14" x14ac:dyDescent="0.25">
      <c r="A43">
        <v>684</v>
      </c>
      <c r="B43" t="s">
        <v>497</v>
      </c>
      <c r="C43" t="s">
        <v>670</v>
      </c>
      <c r="D43" t="s">
        <v>494</v>
      </c>
      <c r="E43" t="s">
        <v>327</v>
      </c>
      <c r="F43">
        <v>1</v>
      </c>
      <c r="G43">
        <v>5</v>
      </c>
      <c r="H43" s="1296">
        <v>5</v>
      </c>
      <c r="I43" t="str">
        <f t="shared" si="0"/>
        <v>-</v>
      </c>
      <c r="K43" t="str">
        <f>IF(CHALLAN!E1848&lt;&gt;"",CHALLAN!F1848,CHALLAN!G1848)&amp;""</f>
        <v>GG/041/09-10</v>
      </c>
      <c r="L43">
        <v>1848</v>
      </c>
      <c r="M43">
        <v>1894</v>
      </c>
      <c r="N43" t="s">
        <v>2438</v>
      </c>
    </row>
    <row r="44" spans="1:14" x14ac:dyDescent="0.25">
      <c r="A44">
        <v>685</v>
      </c>
      <c r="B44" t="s">
        <v>497</v>
      </c>
      <c r="C44" t="s">
        <v>670</v>
      </c>
      <c r="D44" t="s">
        <v>127</v>
      </c>
      <c r="E44" t="s">
        <v>326</v>
      </c>
      <c r="F44">
        <v>2</v>
      </c>
      <c r="G44">
        <v>5</v>
      </c>
      <c r="H44" s="1296">
        <v>10</v>
      </c>
      <c r="I44" t="str">
        <f t="shared" si="0"/>
        <v>-</v>
      </c>
      <c r="K44" t="str">
        <f>IF(CHALLAN!E1895&lt;&gt;"",CHALLAN!F1895,CHALLAN!G1895)&amp;""</f>
        <v>GG/042/09-10</v>
      </c>
      <c r="L44">
        <v>1895</v>
      </c>
      <c r="M44">
        <v>1939</v>
      </c>
      <c r="N44" t="s">
        <v>2438</v>
      </c>
    </row>
    <row r="45" spans="1:14" x14ac:dyDescent="0.25">
      <c r="A45">
        <v>688</v>
      </c>
      <c r="B45" t="s">
        <v>497</v>
      </c>
      <c r="C45" t="s">
        <v>670</v>
      </c>
      <c r="D45" s="1297" t="s">
        <v>1455</v>
      </c>
      <c r="E45" t="s">
        <v>676</v>
      </c>
      <c r="F45">
        <v>1</v>
      </c>
      <c r="G45">
        <v>1</v>
      </c>
      <c r="H45" s="1296">
        <v>1</v>
      </c>
      <c r="I45" t="str">
        <f t="shared" si="0"/>
        <v>-</v>
      </c>
      <c r="K45" t="str">
        <f>IF(CHALLAN!E1940&lt;&gt;"",CHALLAN!F1940,CHALLAN!G1940)&amp;""</f>
        <v>GG/043/09-10</v>
      </c>
      <c r="L45">
        <v>1940</v>
      </c>
      <c r="M45">
        <v>1985</v>
      </c>
      <c r="N45" t="s">
        <v>2438</v>
      </c>
    </row>
    <row r="46" spans="1:14" x14ac:dyDescent="0.25">
      <c r="A46">
        <v>690</v>
      </c>
      <c r="B46" t="s">
        <v>497</v>
      </c>
      <c r="C46" t="s">
        <v>670</v>
      </c>
      <c r="D46" t="s">
        <v>677</v>
      </c>
      <c r="E46" t="s">
        <v>5</v>
      </c>
      <c r="F46">
        <v>20</v>
      </c>
      <c r="G46">
        <v>24</v>
      </c>
      <c r="H46" s="1296">
        <v>480</v>
      </c>
      <c r="I46" t="str">
        <f t="shared" si="0"/>
        <v>-</v>
      </c>
      <c r="K46" t="str">
        <f>IF(CHALLAN!E1986&lt;&gt;"",CHALLAN!F1986,CHALLAN!G1986)&amp;""</f>
        <v>GG/044/09-10</v>
      </c>
      <c r="L46">
        <v>1986</v>
      </c>
      <c r="M46">
        <v>2031</v>
      </c>
      <c r="N46" t="s">
        <v>2438</v>
      </c>
    </row>
    <row r="47" spans="1:14" x14ac:dyDescent="0.25">
      <c r="A47">
        <v>692</v>
      </c>
      <c r="B47" t="s">
        <v>497</v>
      </c>
      <c r="C47" t="s">
        <v>670</v>
      </c>
      <c r="D47" t="s">
        <v>679</v>
      </c>
      <c r="F47">
        <v>25</v>
      </c>
      <c r="G47">
        <v>1</v>
      </c>
      <c r="H47" s="1296">
        <v>25</v>
      </c>
      <c r="I47" t="str">
        <f t="shared" si="0"/>
        <v>-</v>
      </c>
      <c r="K47" t="str">
        <f>IF(CHALLAN!E2032&lt;&gt;"",CHALLAN!F2032,CHALLAN!G2032)&amp;""</f>
        <v>GG/045/09-10</v>
      </c>
      <c r="L47">
        <v>2032</v>
      </c>
      <c r="M47">
        <v>2083</v>
      </c>
      <c r="N47" t="s">
        <v>2438</v>
      </c>
    </row>
    <row r="48" spans="1:14" x14ac:dyDescent="0.25">
      <c r="A48">
        <v>726</v>
      </c>
      <c r="B48" t="s">
        <v>497</v>
      </c>
      <c r="C48" t="s">
        <v>681</v>
      </c>
      <c r="D48" t="s">
        <v>677</v>
      </c>
      <c r="E48" t="s">
        <v>5</v>
      </c>
      <c r="F48">
        <v>20</v>
      </c>
      <c r="G48">
        <v>24</v>
      </c>
      <c r="H48" s="1296">
        <v>480</v>
      </c>
      <c r="I48" t="str">
        <f t="shared" si="0"/>
        <v>-</v>
      </c>
      <c r="K48" t="str">
        <f>IF(CHALLAN!E2084&lt;&gt;"",CHALLAN!F2084,CHALLAN!G2084)&amp;""</f>
        <v>GG/046/09-10</v>
      </c>
      <c r="L48">
        <v>2084</v>
      </c>
      <c r="M48">
        <v>2134</v>
      </c>
      <c r="N48" t="s">
        <v>2438</v>
      </c>
    </row>
    <row r="49" spans="1:14" x14ac:dyDescent="0.25">
      <c r="A49">
        <v>728</v>
      </c>
      <c r="B49" t="s">
        <v>497</v>
      </c>
      <c r="C49" t="s">
        <v>681</v>
      </c>
      <c r="D49" t="s">
        <v>689</v>
      </c>
      <c r="E49" t="s">
        <v>690</v>
      </c>
      <c r="F49">
        <v>1</v>
      </c>
      <c r="G49">
        <v>200</v>
      </c>
      <c r="H49" s="1296">
        <v>200</v>
      </c>
      <c r="I49" t="str">
        <f t="shared" si="0"/>
        <v>-</v>
      </c>
      <c r="K49" t="str">
        <f>IF(CHALLAN!E2135&lt;&gt;"",CHALLAN!F2135,CHALLAN!G2135)&amp;""</f>
        <v>GG/047/09-10</v>
      </c>
      <c r="L49">
        <v>2135</v>
      </c>
      <c r="M49">
        <v>2180</v>
      </c>
      <c r="N49" t="s">
        <v>2438</v>
      </c>
    </row>
    <row r="50" spans="1:14" x14ac:dyDescent="0.25">
      <c r="A50">
        <v>730</v>
      </c>
      <c r="B50" t="s">
        <v>497</v>
      </c>
      <c r="C50" t="s">
        <v>681</v>
      </c>
      <c r="D50" t="s">
        <v>691</v>
      </c>
      <c r="F50">
        <v>50</v>
      </c>
      <c r="G50">
        <v>1</v>
      </c>
      <c r="H50" s="1296">
        <v>50</v>
      </c>
      <c r="I50" t="str">
        <f t="shared" si="0"/>
        <v>-</v>
      </c>
      <c r="K50" t="str">
        <f>IF(CHALLAN!E2181&lt;&gt;"",CHALLAN!F2181,CHALLAN!G2181)&amp;""</f>
        <v>GG/048/09-10</v>
      </c>
      <c r="L50">
        <v>2181</v>
      </c>
      <c r="M50">
        <v>2226</v>
      </c>
      <c r="N50" t="s">
        <v>2438</v>
      </c>
    </row>
    <row r="51" spans="1:14" x14ac:dyDescent="0.25">
      <c r="A51">
        <v>732</v>
      </c>
      <c r="B51" t="s">
        <v>497</v>
      </c>
      <c r="C51" t="s">
        <v>681</v>
      </c>
      <c r="D51" t="s">
        <v>693</v>
      </c>
      <c r="F51">
        <v>25</v>
      </c>
      <c r="G51">
        <v>1</v>
      </c>
      <c r="H51" s="1296">
        <v>25</v>
      </c>
      <c r="I51" t="str">
        <f t="shared" si="0"/>
        <v>-</v>
      </c>
      <c r="K51" t="str">
        <f>IF(CHALLAN!E2227&lt;&gt;"",CHALLAN!F2227,CHALLAN!G2227)&amp;""</f>
        <v>GG/049/09-10</v>
      </c>
      <c r="L51">
        <v>2227</v>
      </c>
      <c r="M51">
        <v>2278</v>
      </c>
      <c r="N51" t="s">
        <v>2438</v>
      </c>
    </row>
    <row r="52" spans="1:14" x14ac:dyDescent="0.25">
      <c r="A52">
        <v>734</v>
      </c>
      <c r="B52" t="s">
        <v>497</v>
      </c>
      <c r="C52" t="s">
        <v>681</v>
      </c>
      <c r="D52" t="s">
        <v>694</v>
      </c>
      <c r="F52">
        <v>6</v>
      </c>
      <c r="G52">
        <v>8</v>
      </c>
      <c r="H52" s="1296">
        <v>48</v>
      </c>
      <c r="I52" t="str">
        <f t="shared" si="0"/>
        <v>-</v>
      </c>
      <c r="K52" t="str">
        <f>IF(CHALLAN!E2279&lt;&gt;"",CHALLAN!F2279,CHALLAN!G2279)&amp;""</f>
        <v>GG/050/09-10</v>
      </c>
      <c r="L52">
        <v>2279</v>
      </c>
      <c r="M52">
        <v>2324</v>
      </c>
      <c r="N52" t="s">
        <v>2438</v>
      </c>
    </row>
    <row r="53" spans="1:14" x14ac:dyDescent="0.25">
      <c r="A53">
        <v>736</v>
      </c>
      <c r="B53" t="s">
        <v>497</v>
      </c>
      <c r="C53" t="s">
        <v>681</v>
      </c>
      <c r="D53" t="s">
        <v>679</v>
      </c>
      <c r="F53">
        <v>5</v>
      </c>
      <c r="G53">
        <v>1</v>
      </c>
      <c r="H53" s="1296">
        <v>5</v>
      </c>
      <c r="I53" t="str">
        <f t="shared" si="0"/>
        <v>-</v>
      </c>
      <c r="K53" t="str">
        <f>IF(CHALLAN!E2325&lt;&gt;"",CHALLAN!F2325,CHALLAN!G2325)&amp;""</f>
        <v>GG/051/09-10</v>
      </c>
      <c r="L53">
        <v>2325</v>
      </c>
      <c r="M53">
        <v>2375</v>
      </c>
      <c r="N53" t="s">
        <v>2438</v>
      </c>
    </row>
    <row r="54" spans="1:14" x14ac:dyDescent="0.25">
      <c r="A54">
        <v>770</v>
      </c>
      <c r="B54" t="s">
        <v>497</v>
      </c>
      <c r="C54" t="s">
        <v>697</v>
      </c>
      <c r="D54" t="s">
        <v>698</v>
      </c>
      <c r="F54">
        <v>40</v>
      </c>
      <c r="G54">
        <v>1</v>
      </c>
      <c r="H54" s="1296">
        <v>40</v>
      </c>
      <c r="I54" t="str">
        <f t="shared" si="0"/>
        <v>-</v>
      </c>
      <c r="K54" t="str">
        <f>IF(CHALLAN!E2376&lt;&gt;"",CHALLAN!F2376,CHALLAN!G2376)&amp;""</f>
        <v>GG/052/09-10</v>
      </c>
      <c r="L54">
        <v>2376</v>
      </c>
      <c r="M54">
        <v>2429</v>
      </c>
      <c r="N54" t="s">
        <v>2438</v>
      </c>
    </row>
    <row r="55" spans="1:14" x14ac:dyDescent="0.25">
      <c r="A55">
        <v>773</v>
      </c>
      <c r="B55" t="s">
        <v>497</v>
      </c>
      <c r="C55" t="s">
        <v>697</v>
      </c>
      <c r="D55" t="s">
        <v>698</v>
      </c>
      <c r="F55">
        <v>20</v>
      </c>
      <c r="G55">
        <v>1</v>
      </c>
      <c r="H55" s="1296">
        <v>20</v>
      </c>
      <c r="I55" t="str">
        <f t="shared" si="0"/>
        <v>-</v>
      </c>
      <c r="K55" t="str">
        <f>IF(CHALLAN!E2430&lt;&gt;"",CHALLAN!F2430,CHALLAN!G2430)&amp;""</f>
        <v>GG/053/09-10</v>
      </c>
      <c r="L55">
        <v>2430</v>
      </c>
      <c r="M55">
        <v>2475</v>
      </c>
      <c r="N55" t="s">
        <v>2438</v>
      </c>
    </row>
    <row r="56" spans="1:14" x14ac:dyDescent="0.25">
      <c r="A56">
        <v>776</v>
      </c>
      <c r="B56" t="s">
        <v>497</v>
      </c>
      <c r="C56" t="s">
        <v>697</v>
      </c>
      <c r="D56" t="s">
        <v>702</v>
      </c>
      <c r="F56">
        <v>5</v>
      </c>
      <c r="G56">
        <v>1</v>
      </c>
      <c r="H56" s="1296">
        <v>5</v>
      </c>
      <c r="I56" t="str">
        <f t="shared" si="0"/>
        <v>-</v>
      </c>
      <c r="K56" t="str">
        <f>IF(CHALLAN!E2476&lt;&gt;"",CHALLAN!F2476,CHALLAN!G2476)&amp;""</f>
        <v>GG/054/09-10</v>
      </c>
      <c r="L56">
        <v>2476</v>
      </c>
      <c r="M56">
        <v>2528</v>
      </c>
      <c r="N56" t="s">
        <v>2438</v>
      </c>
    </row>
    <row r="57" spans="1:14" x14ac:dyDescent="0.25">
      <c r="A57">
        <v>778</v>
      </c>
      <c r="B57" t="s">
        <v>497</v>
      </c>
      <c r="C57" t="s">
        <v>697</v>
      </c>
      <c r="D57" t="s">
        <v>694</v>
      </c>
      <c r="E57" t="s">
        <v>704</v>
      </c>
      <c r="F57">
        <v>1</v>
      </c>
      <c r="G57">
        <v>8</v>
      </c>
      <c r="H57" s="1296">
        <v>8</v>
      </c>
      <c r="I57" t="str">
        <f t="shared" si="0"/>
        <v>-</v>
      </c>
      <c r="K57" t="str">
        <f>IF(CHALLAN!E2529&lt;&gt;"",CHALLAN!F2529,CHALLAN!G2529)&amp;""</f>
        <v>GG/055/09-10</v>
      </c>
      <c r="L57">
        <v>2529</v>
      </c>
      <c r="M57">
        <v>2575</v>
      </c>
      <c r="N57" t="s">
        <v>2438</v>
      </c>
    </row>
    <row r="58" spans="1:14" x14ac:dyDescent="0.25">
      <c r="A58">
        <v>818</v>
      </c>
      <c r="B58" t="s">
        <v>558</v>
      </c>
      <c r="C58" t="s">
        <v>710</v>
      </c>
      <c r="D58" t="s">
        <v>724</v>
      </c>
      <c r="F58">
        <v>0</v>
      </c>
      <c r="G58">
        <v>24</v>
      </c>
      <c r="H58" s="1296">
        <v>0</v>
      </c>
      <c r="I58" t="str">
        <f t="shared" si="0"/>
        <v>Cancelled</v>
      </c>
      <c r="K58" t="str">
        <f>IF(CHALLAN!E2576&lt;&gt;"",CHALLAN!F2576,CHALLAN!G2576)&amp;""</f>
        <v>GG/056/09-10</v>
      </c>
      <c r="L58">
        <v>2576</v>
      </c>
      <c r="M58">
        <v>2623</v>
      </c>
      <c r="N58" t="s">
        <v>2438</v>
      </c>
    </row>
    <row r="59" spans="1:14" x14ac:dyDescent="0.25">
      <c r="A59">
        <v>869</v>
      </c>
      <c r="B59" t="s">
        <v>558</v>
      </c>
      <c r="C59" t="s">
        <v>559</v>
      </c>
      <c r="D59" t="s">
        <v>724</v>
      </c>
      <c r="F59">
        <v>40</v>
      </c>
      <c r="G59">
        <v>24</v>
      </c>
      <c r="H59" s="1296">
        <v>960</v>
      </c>
      <c r="I59" t="str">
        <f t="shared" si="0"/>
        <v>-</v>
      </c>
      <c r="K59" t="str">
        <f>IF(CHALLAN!E2624&lt;&gt;"",CHALLAN!F2624,CHALLAN!G2624)&amp;""</f>
        <v>GG/057/09-10</v>
      </c>
      <c r="L59">
        <v>2624</v>
      </c>
      <c r="M59">
        <v>2667</v>
      </c>
      <c r="N59" t="s">
        <v>2438</v>
      </c>
    </row>
    <row r="60" spans="1:14" x14ac:dyDescent="0.25">
      <c r="A60">
        <v>915</v>
      </c>
      <c r="B60" t="s">
        <v>561</v>
      </c>
      <c r="C60" t="s">
        <v>565</v>
      </c>
      <c r="D60" t="s">
        <v>724</v>
      </c>
      <c r="F60">
        <v>20</v>
      </c>
      <c r="G60">
        <v>24</v>
      </c>
      <c r="H60" s="1296">
        <v>480</v>
      </c>
      <c r="I60" t="str">
        <f t="shared" si="0"/>
        <v>-</v>
      </c>
      <c r="K60" t="str">
        <f>IF(CHALLAN!E2668&lt;&gt;"",CHALLAN!F2668,CHALLAN!G2668)&amp;""</f>
        <v>GG/058/09-10</v>
      </c>
      <c r="L60">
        <v>2668</v>
      </c>
      <c r="M60">
        <v>2719</v>
      </c>
      <c r="N60" t="s">
        <v>2438</v>
      </c>
    </row>
    <row r="61" spans="1:14" x14ac:dyDescent="0.25">
      <c r="A61">
        <v>956</v>
      </c>
      <c r="B61" t="s">
        <v>751</v>
      </c>
      <c r="C61" t="s">
        <v>562</v>
      </c>
      <c r="D61" t="s">
        <v>759</v>
      </c>
      <c r="F61">
        <v>10</v>
      </c>
      <c r="G61">
        <v>24</v>
      </c>
      <c r="H61" s="1296">
        <v>240</v>
      </c>
      <c r="I61" t="str">
        <f t="shared" si="0"/>
        <v>-</v>
      </c>
      <c r="K61" t="str">
        <f>IF(CHALLAN!E2720&lt;&gt;"",CHALLAN!F2720,CHALLAN!G2720)&amp;""</f>
        <v>GG/059/09-10</v>
      </c>
      <c r="L61">
        <v>2720</v>
      </c>
      <c r="M61">
        <v>2764</v>
      </c>
      <c r="N61" t="s">
        <v>2438</v>
      </c>
    </row>
    <row r="62" spans="1:14" x14ac:dyDescent="0.25">
      <c r="A62">
        <v>958</v>
      </c>
      <c r="B62" t="s">
        <v>751</v>
      </c>
      <c r="C62" t="s">
        <v>562</v>
      </c>
      <c r="D62" t="s">
        <v>764</v>
      </c>
      <c r="F62">
        <v>2</v>
      </c>
      <c r="G62">
        <v>1</v>
      </c>
      <c r="H62" s="1296">
        <v>2</v>
      </c>
      <c r="I62" t="str">
        <f t="shared" si="0"/>
        <v>-</v>
      </c>
      <c r="K62" t="str">
        <f>IF(CHALLAN!E2765&lt;&gt;"",CHALLAN!F2765,CHALLAN!G2765)&amp;""</f>
        <v>GG/060/09-10</v>
      </c>
      <c r="L62">
        <v>2765</v>
      </c>
      <c r="M62">
        <v>2817</v>
      </c>
      <c r="N62" t="s">
        <v>2438</v>
      </c>
    </row>
    <row r="63" spans="1:14" x14ac:dyDescent="0.25">
      <c r="A63">
        <v>960</v>
      </c>
      <c r="B63" t="s">
        <v>751</v>
      </c>
      <c r="C63" t="s">
        <v>562</v>
      </c>
      <c r="D63" t="s">
        <v>769</v>
      </c>
      <c r="F63">
        <v>2</v>
      </c>
      <c r="G63">
        <v>1</v>
      </c>
      <c r="H63" s="1296">
        <v>2</v>
      </c>
      <c r="I63" t="str">
        <f t="shared" si="0"/>
        <v>-</v>
      </c>
      <c r="K63" t="str">
        <f>IF(CHALLAN!E2818&lt;&gt;"",CHALLAN!F2818,CHALLAN!G2818)&amp;""</f>
        <v>GG/060/09-10</v>
      </c>
      <c r="L63">
        <v>2818</v>
      </c>
      <c r="M63">
        <v>2862</v>
      </c>
      <c r="N63" t="s">
        <v>2438</v>
      </c>
    </row>
    <row r="64" spans="1:14" x14ac:dyDescent="0.25">
      <c r="A64">
        <v>962</v>
      </c>
      <c r="B64" t="s">
        <v>751</v>
      </c>
      <c r="C64" t="s">
        <v>562</v>
      </c>
      <c r="D64" t="s">
        <v>772</v>
      </c>
      <c r="E64" t="s">
        <v>57</v>
      </c>
      <c r="F64">
        <v>8</v>
      </c>
      <c r="G64">
        <v>25</v>
      </c>
      <c r="H64" s="1296">
        <v>200</v>
      </c>
      <c r="I64" t="str">
        <f t="shared" si="0"/>
        <v>-</v>
      </c>
      <c r="K64" t="str">
        <f>IF(CHALLAN!E2863&lt;&gt;"",CHALLAN!F2863,CHALLAN!G2863)&amp;""</f>
        <v>GG/061/09-10</v>
      </c>
      <c r="L64">
        <v>2863</v>
      </c>
      <c r="M64">
        <v>2907</v>
      </c>
      <c r="N64" t="s">
        <v>2438</v>
      </c>
    </row>
    <row r="65" spans="1:14" x14ac:dyDescent="0.25">
      <c r="A65">
        <v>964</v>
      </c>
      <c r="B65" t="s">
        <v>751</v>
      </c>
      <c r="C65" t="s">
        <v>562</v>
      </c>
      <c r="D65" t="s">
        <v>773</v>
      </c>
      <c r="E65" t="s">
        <v>435</v>
      </c>
      <c r="F65">
        <v>1</v>
      </c>
      <c r="G65">
        <v>25</v>
      </c>
      <c r="H65" s="1296">
        <v>25</v>
      </c>
      <c r="I65" t="str">
        <f t="shared" si="0"/>
        <v>-</v>
      </c>
      <c r="K65" t="str">
        <f>IF(CHALLAN!E2908&lt;&gt;"",CHALLAN!F2908,CHALLAN!G2908)&amp;""</f>
        <v>GG/062/09-10</v>
      </c>
      <c r="L65">
        <v>2908</v>
      </c>
      <c r="M65">
        <v>2952</v>
      </c>
      <c r="N65" t="s">
        <v>2438</v>
      </c>
    </row>
    <row r="66" spans="1:14" x14ac:dyDescent="0.25">
      <c r="A66">
        <v>966</v>
      </c>
      <c r="B66" t="s">
        <v>751</v>
      </c>
      <c r="C66" t="s">
        <v>562</v>
      </c>
      <c r="D66" t="s">
        <v>776</v>
      </c>
      <c r="E66" t="s">
        <v>432</v>
      </c>
      <c r="F66">
        <v>1</v>
      </c>
      <c r="G66">
        <v>25</v>
      </c>
      <c r="H66" s="1296">
        <v>25</v>
      </c>
      <c r="I66" t="str">
        <f t="shared" ref="I66:I129" si="1">INDEX($N$2:$N$355,MATCH($A66,$L$2:$L$355,1))</f>
        <v>-</v>
      </c>
      <c r="K66" t="str">
        <f>IF(CHALLAN!E2953&lt;&gt;"",CHALLAN!F2953,CHALLAN!G2953)&amp;""</f>
        <v>GG/063/09-10</v>
      </c>
      <c r="L66">
        <v>2953</v>
      </c>
      <c r="M66">
        <v>2999</v>
      </c>
      <c r="N66" t="s">
        <v>2438</v>
      </c>
    </row>
    <row r="67" spans="1:14" x14ac:dyDescent="0.25">
      <c r="A67">
        <v>968</v>
      </c>
      <c r="B67" t="s">
        <v>751</v>
      </c>
      <c r="C67" t="s">
        <v>562</v>
      </c>
      <c r="D67" t="s">
        <v>779</v>
      </c>
      <c r="E67" t="s">
        <v>429</v>
      </c>
      <c r="F67">
        <v>1</v>
      </c>
      <c r="G67">
        <v>10</v>
      </c>
      <c r="H67" s="1296">
        <v>10</v>
      </c>
      <c r="I67" t="str">
        <f t="shared" si="1"/>
        <v>-</v>
      </c>
      <c r="K67" t="str">
        <f>IF(CHALLAN!E3000&lt;&gt;"",CHALLAN!F3000,CHALLAN!G3000)&amp;""</f>
        <v>GG/064/09-10</v>
      </c>
      <c r="L67">
        <v>3000</v>
      </c>
      <c r="M67">
        <v>3047</v>
      </c>
      <c r="N67" t="s">
        <v>2438</v>
      </c>
    </row>
    <row r="68" spans="1:14" x14ac:dyDescent="0.25">
      <c r="A68">
        <v>970</v>
      </c>
      <c r="B68" t="s">
        <v>751</v>
      </c>
      <c r="C68" t="s">
        <v>562</v>
      </c>
      <c r="D68" t="s">
        <v>782</v>
      </c>
      <c r="E68" t="s">
        <v>704</v>
      </c>
      <c r="F68">
        <v>1</v>
      </c>
      <c r="G68">
        <v>8</v>
      </c>
      <c r="H68" s="1296">
        <v>8</v>
      </c>
      <c r="I68" t="str">
        <f t="shared" si="1"/>
        <v>-</v>
      </c>
      <c r="K68" t="str">
        <f>IF(CHALLAN!E3048&lt;&gt;"",CHALLAN!F3048,CHALLAN!G3048)&amp;""</f>
        <v>GG/064/09-10</v>
      </c>
      <c r="L68">
        <v>3048</v>
      </c>
      <c r="M68">
        <v>3091</v>
      </c>
      <c r="N68" t="s">
        <v>2438</v>
      </c>
    </row>
    <row r="69" spans="1:14" x14ac:dyDescent="0.25">
      <c r="A69">
        <v>972</v>
      </c>
      <c r="B69" t="s">
        <v>751</v>
      </c>
      <c r="C69" t="s">
        <v>562</v>
      </c>
      <c r="D69" t="s">
        <v>786</v>
      </c>
      <c r="E69" t="s">
        <v>386</v>
      </c>
      <c r="F69">
        <v>1</v>
      </c>
      <c r="G69">
        <v>4</v>
      </c>
      <c r="H69" s="1296">
        <v>4</v>
      </c>
      <c r="I69" t="str">
        <f t="shared" si="1"/>
        <v>-</v>
      </c>
      <c r="K69" t="str">
        <f>IF(CHALLAN!E3092&lt;&gt;"",CHALLAN!F3092,CHALLAN!G3092)&amp;""</f>
        <v>GG/065/09-10</v>
      </c>
      <c r="L69">
        <v>3092</v>
      </c>
      <c r="M69">
        <v>3138</v>
      </c>
      <c r="N69" t="s">
        <v>2438</v>
      </c>
    </row>
    <row r="70" spans="1:14" x14ac:dyDescent="0.25">
      <c r="A70">
        <v>974</v>
      </c>
      <c r="B70" t="s">
        <v>751</v>
      </c>
      <c r="C70" t="s">
        <v>562</v>
      </c>
      <c r="D70" t="s">
        <v>679</v>
      </c>
      <c r="F70">
        <v>5</v>
      </c>
      <c r="G70">
        <v>1</v>
      </c>
      <c r="H70" s="1296">
        <v>5</v>
      </c>
      <c r="I70" t="str">
        <f t="shared" si="1"/>
        <v>-</v>
      </c>
      <c r="K70" t="str">
        <f>IF(CHALLAN!E3139&lt;&gt;"",CHALLAN!F3139,CHALLAN!G3139)&amp;""</f>
        <v>GG/066/09-10</v>
      </c>
      <c r="L70">
        <v>3139</v>
      </c>
      <c r="M70">
        <v>3184</v>
      </c>
      <c r="N70" t="s">
        <v>2438</v>
      </c>
    </row>
    <row r="71" spans="1:14" x14ac:dyDescent="0.25">
      <c r="A71">
        <v>976</v>
      </c>
      <c r="B71" t="s">
        <v>751</v>
      </c>
      <c r="C71" t="s">
        <v>562</v>
      </c>
      <c r="D71" t="s">
        <v>791</v>
      </c>
      <c r="F71">
        <v>1</v>
      </c>
      <c r="G71">
        <v>1</v>
      </c>
      <c r="H71" s="1296">
        <v>1</v>
      </c>
      <c r="I71" t="str">
        <f t="shared" si="1"/>
        <v>-</v>
      </c>
      <c r="K71" t="str">
        <f>IF(CHALLAN!E3185&lt;&gt;"",CHALLAN!F3185,CHALLAN!G3185)&amp;""</f>
        <v>GG/067/09-10</v>
      </c>
      <c r="L71">
        <v>3185</v>
      </c>
      <c r="M71">
        <v>3230</v>
      </c>
      <c r="N71" t="s">
        <v>2438</v>
      </c>
    </row>
    <row r="72" spans="1:14" x14ac:dyDescent="0.25">
      <c r="A72">
        <v>978</v>
      </c>
      <c r="B72" t="s">
        <v>751</v>
      </c>
      <c r="C72" t="s">
        <v>562</v>
      </c>
      <c r="D72" t="s">
        <v>793</v>
      </c>
      <c r="F72">
        <v>3</v>
      </c>
      <c r="G72">
        <v>5</v>
      </c>
      <c r="H72" s="1296">
        <v>15</v>
      </c>
      <c r="I72" t="str">
        <f t="shared" si="1"/>
        <v>-</v>
      </c>
      <c r="K72" t="str">
        <f>IF(CHALLAN!E3231&lt;&gt;"",CHALLAN!F3231,CHALLAN!G3231)&amp;""</f>
        <v>GG/068/09-10</v>
      </c>
      <c r="L72">
        <v>3231</v>
      </c>
      <c r="M72">
        <v>3283</v>
      </c>
      <c r="N72" t="s">
        <v>2438</v>
      </c>
    </row>
    <row r="73" spans="1:14" x14ac:dyDescent="0.25">
      <c r="A73">
        <v>980</v>
      </c>
      <c r="B73" t="s">
        <v>751</v>
      </c>
      <c r="C73" t="s">
        <v>562</v>
      </c>
      <c r="D73" t="s">
        <v>797</v>
      </c>
      <c r="F73">
        <v>0</v>
      </c>
      <c r="G73">
        <v>0</v>
      </c>
      <c r="H73" s="1296">
        <v>0</v>
      </c>
      <c r="I73" t="str">
        <f t="shared" si="1"/>
        <v>-</v>
      </c>
      <c r="K73" t="str">
        <f>IF(CHALLAN!E3284&lt;&gt;"",CHALLAN!F3284,CHALLAN!G3284)&amp;""</f>
        <v>GG/069/09-10</v>
      </c>
      <c r="L73">
        <v>3284</v>
      </c>
      <c r="M73">
        <v>3376</v>
      </c>
      <c r="N73" t="s">
        <v>2438</v>
      </c>
    </row>
    <row r="74" spans="1:14" x14ac:dyDescent="0.25">
      <c r="A74">
        <v>1009</v>
      </c>
      <c r="B74" t="s">
        <v>807</v>
      </c>
      <c r="C74" t="s">
        <v>808</v>
      </c>
      <c r="D74" t="s">
        <v>679</v>
      </c>
      <c r="F74">
        <v>5</v>
      </c>
      <c r="G74">
        <v>1</v>
      </c>
      <c r="H74" s="1296">
        <v>5</v>
      </c>
      <c r="I74" t="str">
        <f t="shared" si="1"/>
        <v>-</v>
      </c>
      <c r="K74" t="str">
        <f>IF(CHALLAN!E3377&lt;&gt;"",CHALLAN!F3377,CHALLAN!G3377)&amp;""</f>
        <v>GG/070/09-10</v>
      </c>
      <c r="L74">
        <v>3377</v>
      </c>
      <c r="M74">
        <v>3419</v>
      </c>
      <c r="N74" t="s">
        <v>2438</v>
      </c>
    </row>
    <row r="75" spans="1:14" x14ac:dyDescent="0.25">
      <c r="A75">
        <v>1054</v>
      </c>
      <c r="B75" t="s">
        <v>807</v>
      </c>
      <c r="C75" t="s">
        <v>818</v>
      </c>
      <c r="D75" t="s">
        <v>677</v>
      </c>
      <c r="E75" t="s">
        <v>5</v>
      </c>
      <c r="F75">
        <v>6</v>
      </c>
      <c r="G75">
        <v>24</v>
      </c>
      <c r="H75" s="1296">
        <v>144</v>
      </c>
      <c r="I75" t="str">
        <f t="shared" si="1"/>
        <v>-</v>
      </c>
      <c r="K75" t="str">
        <f>IF(CHALLAN!E3420&lt;&gt;"",CHALLAN!F3420,CHALLAN!G3420)&amp;""</f>
        <v>GG/071/09-10</v>
      </c>
      <c r="L75">
        <v>3420</v>
      </c>
      <c r="M75">
        <v>3465</v>
      </c>
      <c r="N75" t="s">
        <v>2438</v>
      </c>
    </row>
    <row r="76" spans="1:14" x14ac:dyDescent="0.25">
      <c r="A76">
        <v>1095</v>
      </c>
      <c r="B76" t="s">
        <v>567</v>
      </c>
      <c r="C76" t="s">
        <v>824</v>
      </c>
      <c r="D76" t="s">
        <v>759</v>
      </c>
      <c r="F76">
        <v>10</v>
      </c>
      <c r="G76">
        <v>24</v>
      </c>
      <c r="H76" s="1296">
        <v>240</v>
      </c>
      <c r="I76" t="str">
        <f t="shared" si="1"/>
        <v>-</v>
      </c>
      <c r="K76" t="str">
        <f>IF(CHALLAN!E3466&lt;&gt;"",CHALLAN!F3466,CHALLAN!G3466)&amp;""</f>
        <v>GG/072/09-10</v>
      </c>
      <c r="L76">
        <v>3466</v>
      </c>
      <c r="M76">
        <v>3512</v>
      </c>
      <c r="N76" t="s">
        <v>2438</v>
      </c>
    </row>
    <row r="77" spans="1:14" x14ac:dyDescent="0.25">
      <c r="A77">
        <v>1097</v>
      </c>
      <c r="B77" t="s">
        <v>567</v>
      </c>
      <c r="C77" t="s">
        <v>824</v>
      </c>
      <c r="D77" t="s">
        <v>764</v>
      </c>
      <c r="F77">
        <v>8</v>
      </c>
      <c r="G77">
        <v>1</v>
      </c>
      <c r="H77" s="1296">
        <v>8</v>
      </c>
      <c r="I77" t="str">
        <f t="shared" si="1"/>
        <v>-</v>
      </c>
      <c r="K77" t="str">
        <f>IF(CHALLAN!E3513&lt;&gt;"",CHALLAN!F3513,CHALLAN!G3513)&amp;""</f>
        <v>GG/073/09-10</v>
      </c>
      <c r="L77">
        <v>3513</v>
      </c>
      <c r="M77">
        <v>3558</v>
      </c>
      <c r="N77" t="s">
        <v>2438</v>
      </c>
    </row>
    <row r="78" spans="1:14" x14ac:dyDescent="0.25">
      <c r="A78">
        <v>1099</v>
      </c>
      <c r="B78" t="s">
        <v>567</v>
      </c>
      <c r="C78" t="s">
        <v>824</v>
      </c>
      <c r="D78" t="s">
        <v>769</v>
      </c>
      <c r="F78">
        <v>25</v>
      </c>
      <c r="G78">
        <v>1</v>
      </c>
      <c r="H78" s="1296">
        <v>25</v>
      </c>
      <c r="I78" t="str">
        <f t="shared" si="1"/>
        <v>-</v>
      </c>
      <c r="K78" t="str">
        <f>IF(CHALLAN!E3559&lt;&gt;"",CHALLAN!F3559,CHALLAN!G3559)&amp;""</f>
        <v>GG/074/09-10</v>
      </c>
      <c r="L78">
        <v>3559</v>
      </c>
      <c r="M78">
        <v>3601</v>
      </c>
      <c r="N78" t="s">
        <v>2438</v>
      </c>
    </row>
    <row r="79" spans="1:14" x14ac:dyDescent="0.25">
      <c r="A79">
        <v>1101</v>
      </c>
      <c r="B79" t="s">
        <v>567</v>
      </c>
      <c r="C79" t="s">
        <v>824</v>
      </c>
      <c r="D79" t="s">
        <v>797</v>
      </c>
      <c r="F79">
        <v>0</v>
      </c>
      <c r="G79">
        <v>0</v>
      </c>
      <c r="H79" s="1296">
        <v>0</v>
      </c>
      <c r="I79" t="str">
        <f t="shared" si="1"/>
        <v>-</v>
      </c>
      <c r="K79" t="str">
        <f>IF(CHALLAN!E3602&lt;&gt;"",CHALLAN!F3602,CHALLAN!G3602)&amp;""</f>
        <v>GG/075/09-10</v>
      </c>
      <c r="L79">
        <v>3602</v>
      </c>
      <c r="M79">
        <v>3647</v>
      </c>
      <c r="N79" t="s">
        <v>2438</v>
      </c>
    </row>
    <row r="80" spans="1:14" x14ac:dyDescent="0.25">
      <c r="A80">
        <v>1142</v>
      </c>
      <c r="B80" t="s">
        <v>568</v>
      </c>
      <c r="C80" t="s">
        <v>834</v>
      </c>
      <c r="D80" t="s">
        <v>677</v>
      </c>
      <c r="E80" t="s">
        <v>5</v>
      </c>
      <c r="F80">
        <v>26</v>
      </c>
      <c r="G80">
        <v>24</v>
      </c>
      <c r="H80" s="1296">
        <v>624</v>
      </c>
      <c r="I80" t="str">
        <f t="shared" si="1"/>
        <v>-</v>
      </c>
      <c r="K80" t="str">
        <f>IF(CHALLAN!E3648&lt;&gt;"",CHALLAN!F3648,CHALLAN!G3648)&amp;""</f>
        <v>GG/076/09-10</v>
      </c>
      <c r="L80">
        <v>3648</v>
      </c>
      <c r="M80">
        <v>3693</v>
      </c>
      <c r="N80" t="s">
        <v>2438</v>
      </c>
    </row>
    <row r="81" spans="1:14" x14ac:dyDescent="0.25">
      <c r="A81">
        <v>1186</v>
      </c>
      <c r="B81" t="s">
        <v>569</v>
      </c>
      <c r="C81" t="s">
        <v>841</v>
      </c>
      <c r="D81" t="s">
        <v>34</v>
      </c>
      <c r="E81" t="s">
        <v>25</v>
      </c>
      <c r="F81">
        <v>5</v>
      </c>
      <c r="G81">
        <v>5</v>
      </c>
      <c r="H81" s="1296">
        <v>25</v>
      </c>
      <c r="I81" t="str">
        <f t="shared" si="1"/>
        <v>-</v>
      </c>
      <c r="K81" t="str">
        <f>IF(CHALLAN!E3694&lt;&gt;"",CHALLAN!F3694,CHALLAN!G3694)&amp;""</f>
        <v>GG/077/09-10</v>
      </c>
      <c r="L81">
        <v>3694</v>
      </c>
      <c r="M81">
        <v>3740</v>
      </c>
      <c r="N81" t="s">
        <v>2438</v>
      </c>
    </row>
    <row r="82" spans="1:14" x14ac:dyDescent="0.25">
      <c r="A82">
        <v>1228</v>
      </c>
      <c r="B82" t="s">
        <v>569</v>
      </c>
      <c r="C82" t="s">
        <v>851</v>
      </c>
      <c r="D82" t="s">
        <v>125</v>
      </c>
      <c r="E82" t="s">
        <v>324</v>
      </c>
      <c r="F82">
        <v>5</v>
      </c>
      <c r="G82">
        <v>5</v>
      </c>
      <c r="H82" s="1296">
        <v>25</v>
      </c>
      <c r="I82" t="str">
        <f t="shared" si="1"/>
        <v>-</v>
      </c>
      <c r="K82" t="str">
        <f>IF(CHALLAN!E3741&lt;&gt;"",CHALLAN!F3741,CHALLAN!G3741)&amp;""</f>
        <v>GG/078/09-10</v>
      </c>
      <c r="L82">
        <v>3741</v>
      </c>
      <c r="M82">
        <v>3786</v>
      </c>
      <c r="N82" t="s">
        <v>2438</v>
      </c>
    </row>
    <row r="83" spans="1:14" x14ac:dyDescent="0.25">
      <c r="A83">
        <v>1272</v>
      </c>
      <c r="B83" t="s">
        <v>569</v>
      </c>
      <c r="C83" t="s">
        <v>860</v>
      </c>
      <c r="D83" t="s">
        <v>863</v>
      </c>
      <c r="E83" t="s">
        <v>25</v>
      </c>
      <c r="F83">
        <v>4</v>
      </c>
      <c r="G83">
        <v>5</v>
      </c>
      <c r="H83" s="1296">
        <v>20</v>
      </c>
      <c r="I83" t="str">
        <f t="shared" si="1"/>
        <v>-</v>
      </c>
      <c r="K83" t="str">
        <f>IF(CHALLAN!E3787&lt;&gt;"",CHALLAN!F3787,CHALLAN!G3787)&amp;""</f>
        <v>GG/079/09-10</v>
      </c>
      <c r="L83">
        <v>3787</v>
      </c>
      <c r="M83">
        <v>3823</v>
      </c>
      <c r="N83" t="s">
        <v>2439</v>
      </c>
    </row>
    <row r="84" spans="1:14" x14ac:dyDescent="0.25">
      <c r="A84">
        <v>1275</v>
      </c>
      <c r="B84" t="s">
        <v>569</v>
      </c>
      <c r="C84" t="s">
        <v>860</v>
      </c>
      <c r="D84" t="s">
        <v>1516</v>
      </c>
      <c r="E84" t="s">
        <v>376</v>
      </c>
      <c r="F84">
        <v>2</v>
      </c>
      <c r="G84">
        <v>6</v>
      </c>
      <c r="H84" s="1296">
        <v>12</v>
      </c>
      <c r="I84" t="str">
        <f t="shared" si="1"/>
        <v>-</v>
      </c>
      <c r="K84" t="str">
        <f>IF(CHALLAN!E3824&lt;&gt;"",CHALLAN!F3824,CHALLAN!G3824)&amp;""</f>
        <v>GG/080/09-10</v>
      </c>
      <c r="L84">
        <v>3824</v>
      </c>
      <c r="M84">
        <v>3867</v>
      </c>
      <c r="N84" t="s">
        <v>2438</v>
      </c>
    </row>
    <row r="85" spans="1:14" x14ac:dyDescent="0.25">
      <c r="A85">
        <v>1316</v>
      </c>
      <c r="B85" t="s">
        <v>499</v>
      </c>
      <c r="C85" t="s">
        <v>574</v>
      </c>
      <c r="D85" t="s">
        <v>815</v>
      </c>
      <c r="E85" t="s">
        <v>84</v>
      </c>
      <c r="F85">
        <v>5</v>
      </c>
      <c r="G85">
        <v>5</v>
      </c>
      <c r="H85" s="1296">
        <v>25</v>
      </c>
      <c r="I85" t="str">
        <f t="shared" si="1"/>
        <v>-</v>
      </c>
      <c r="K85" t="str">
        <f>IF(CHALLAN!E3868&lt;&gt;"",CHALLAN!F3868,CHALLAN!G3868)&amp;""</f>
        <v>GG/081/09-10</v>
      </c>
      <c r="L85">
        <v>3868</v>
      </c>
      <c r="M85">
        <v>3913</v>
      </c>
      <c r="N85" t="s">
        <v>2438</v>
      </c>
    </row>
    <row r="86" spans="1:14" x14ac:dyDescent="0.25">
      <c r="A86">
        <v>1318</v>
      </c>
      <c r="B86" t="s">
        <v>499</v>
      </c>
      <c r="C86" t="s">
        <v>574</v>
      </c>
      <c r="D86" t="s">
        <v>56</v>
      </c>
      <c r="E86" t="s">
        <v>57</v>
      </c>
      <c r="F86">
        <v>10</v>
      </c>
      <c r="G86">
        <v>25</v>
      </c>
      <c r="H86" s="1296">
        <v>250</v>
      </c>
      <c r="I86" t="str">
        <f t="shared" si="1"/>
        <v>-</v>
      </c>
      <c r="K86" t="str">
        <f>IF(CHALLAN!E3914&lt;&gt;"",CHALLAN!F3914,CHALLAN!G3914)&amp;""</f>
        <v>GG/082/09-10</v>
      </c>
      <c r="L86">
        <v>3914</v>
      </c>
      <c r="M86">
        <v>3960</v>
      </c>
      <c r="N86" t="s">
        <v>2438</v>
      </c>
    </row>
    <row r="87" spans="1:14" x14ac:dyDescent="0.25">
      <c r="A87">
        <v>1320</v>
      </c>
      <c r="B87" t="s">
        <v>499</v>
      </c>
      <c r="C87" t="s">
        <v>574</v>
      </c>
      <c r="D87" t="s">
        <v>878</v>
      </c>
      <c r="E87" t="s">
        <v>879</v>
      </c>
      <c r="F87">
        <v>10</v>
      </c>
      <c r="G87">
        <v>10</v>
      </c>
      <c r="H87" s="1296">
        <v>100</v>
      </c>
      <c r="I87" t="str">
        <f t="shared" si="1"/>
        <v>-</v>
      </c>
      <c r="K87" t="str">
        <f>IF(CHALLAN!E3961&lt;&gt;"",CHALLAN!F3961,CHALLAN!G3961)&amp;""</f>
        <v>GG/083/09-10</v>
      </c>
      <c r="L87">
        <v>3961</v>
      </c>
      <c r="M87">
        <v>4007</v>
      </c>
      <c r="N87" t="s">
        <v>2438</v>
      </c>
    </row>
    <row r="88" spans="1:14" x14ac:dyDescent="0.25">
      <c r="A88">
        <v>1360</v>
      </c>
      <c r="B88" t="s">
        <v>499</v>
      </c>
      <c r="C88" t="s">
        <v>575</v>
      </c>
      <c r="D88" t="s">
        <v>863</v>
      </c>
      <c r="E88" t="s">
        <v>25</v>
      </c>
      <c r="F88">
        <v>4</v>
      </c>
      <c r="G88">
        <v>5</v>
      </c>
      <c r="H88" s="1296">
        <v>20</v>
      </c>
      <c r="I88" t="str">
        <f t="shared" si="1"/>
        <v>-</v>
      </c>
      <c r="K88" t="str">
        <f>IF(CHALLAN!E4008&lt;&gt;"",CHALLAN!F4008,CHALLAN!G4008)&amp;""</f>
        <v>GG/084/09-10</v>
      </c>
      <c r="L88">
        <v>4008</v>
      </c>
      <c r="M88">
        <v>4051</v>
      </c>
      <c r="N88" t="s">
        <v>2438</v>
      </c>
    </row>
    <row r="89" spans="1:14" x14ac:dyDescent="0.25">
      <c r="A89">
        <v>1363</v>
      </c>
      <c r="B89" t="s">
        <v>499</v>
      </c>
      <c r="C89" t="s">
        <v>575</v>
      </c>
      <c r="D89" t="s">
        <v>887</v>
      </c>
      <c r="E89" t="s">
        <v>187</v>
      </c>
      <c r="F89">
        <v>4</v>
      </c>
      <c r="G89">
        <v>8</v>
      </c>
      <c r="H89" s="1296">
        <v>32</v>
      </c>
      <c r="I89" t="str">
        <f t="shared" si="1"/>
        <v>-</v>
      </c>
      <c r="K89" t="str">
        <f>IF(CHALLAN!E4052&lt;&gt;"",CHALLAN!F4052,CHALLAN!G4052)&amp;""</f>
        <v>GG/085/09-10</v>
      </c>
      <c r="L89">
        <v>4052</v>
      </c>
      <c r="M89">
        <v>4097</v>
      </c>
      <c r="N89" t="s">
        <v>2438</v>
      </c>
    </row>
    <row r="90" spans="1:14" x14ac:dyDescent="0.25">
      <c r="A90">
        <v>1366</v>
      </c>
      <c r="B90" t="s">
        <v>499</v>
      </c>
      <c r="C90" t="s">
        <v>575</v>
      </c>
      <c r="D90" t="s">
        <v>890</v>
      </c>
      <c r="E90" t="s">
        <v>891</v>
      </c>
      <c r="F90">
        <v>4</v>
      </c>
      <c r="G90">
        <v>10</v>
      </c>
      <c r="H90" s="1296">
        <v>40</v>
      </c>
      <c r="I90" t="str">
        <f t="shared" si="1"/>
        <v>-</v>
      </c>
      <c r="K90" t="str">
        <f>IF(CHALLAN!E4098&lt;&gt;"",CHALLAN!F4098,CHALLAN!G4098)&amp;""</f>
        <v>GG/086/09-10</v>
      </c>
      <c r="L90">
        <v>4098</v>
      </c>
      <c r="M90">
        <v>4143</v>
      </c>
      <c r="N90" t="s">
        <v>2438</v>
      </c>
    </row>
    <row r="91" spans="1:14" x14ac:dyDescent="0.25">
      <c r="A91">
        <v>1404</v>
      </c>
      <c r="B91" t="s">
        <v>576</v>
      </c>
      <c r="C91" t="s">
        <v>897</v>
      </c>
      <c r="D91" t="s">
        <v>651</v>
      </c>
      <c r="E91" t="s">
        <v>432</v>
      </c>
      <c r="F91">
        <v>4</v>
      </c>
      <c r="G91">
        <v>25</v>
      </c>
      <c r="H91" s="1296">
        <v>100</v>
      </c>
      <c r="I91" t="str">
        <f t="shared" si="1"/>
        <v>-</v>
      </c>
      <c r="K91" t="str">
        <f>IF(CHALLAN!E4144&lt;&gt;"",CHALLAN!F4144,CHALLAN!G4144)&amp;""</f>
        <v>GG/087/09-10</v>
      </c>
      <c r="L91">
        <v>4144</v>
      </c>
      <c r="M91">
        <v>4190</v>
      </c>
      <c r="N91" t="s">
        <v>2438</v>
      </c>
    </row>
    <row r="92" spans="1:14" x14ac:dyDescent="0.25">
      <c r="A92">
        <v>1448</v>
      </c>
      <c r="B92" t="s">
        <v>576</v>
      </c>
      <c r="C92" t="s">
        <v>903</v>
      </c>
      <c r="D92" t="s">
        <v>907</v>
      </c>
      <c r="F92">
        <v>35</v>
      </c>
      <c r="G92">
        <v>1</v>
      </c>
      <c r="H92" s="1296">
        <v>35</v>
      </c>
      <c r="I92" t="str">
        <f t="shared" si="1"/>
        <v>-</v>
      </c>
      <c r="K92" t="str">
        <f>IF(CHALLAN!E4191&lt;&gt;"",CHALLAN!F4191,CHALLAN!G4191)&amp;""</f>
        <v>GG/088/09-10</v>
      </c>
      <c r="L92">
        <v>4191</v>
      </c>
      <c r="M92">
        <v>4236</v>
      </c>
      <c r="N92" t="s">
        <v>2438</v>
      </c>
    </row>
    <row r="93" spans="1:14" x14ac:dyDescent="0.25">
      <c r="A93">
        <v>1492</v>
      </c>
      <c r="B93" t="s">
        <v>577</v>
      </c>
      <c r="C93" t="s">
        <v>578</v>
      </c>
      <c r="D93" t="s">
        <v>919</v>
      </c>
      <c r="F93">
        <v>10</v>
      </c>
      <c r="G93">
        <v>1</v>
      </c>
      <c r="H93" s="1296">
        <v>10</v>
      </c>
      <c r="I93" t="str">
        <f t="shared" si="1"/>
        <v>-</v>
      </c>
      <c r="K93" t="str">
        <f>IF(CHALLAN!E4237&lt;&gt;"",CHALLAN!F4237,CHALLAN!G4237)&amp;""</f>
        <v>GG/089/09-10</v>
      </c>
      <c r="L93">
        <v>4237</v>
      </c>
      <c r="M93">
        <v>4279</v>
      </c>
      <c r="N93" t="s">
        <v>2438</v>
      </c>
    </row>
    <row r="94" spans="1:14" x14ac:dyDescent="0.25">
      <c r="A94">
        <v>1494</v>
      </c>
      <c r="B94" t="s">
        <v>577</v>
      </c>
      <c r="C94" t="s">
        <v>578</v>
      </c>
      <c r="D94" t="s">
        <v>921</v>
      </c>
      <c r="E94" t="s">
        <v>109</v>
      </c>
      <c r="F94">
        <v>10</v>
      </c>
      <c r="G94">
        <v>25</v>
      </c>
      <c r="H94" s="1296">
        <v>250</v>
      </c>
      <c r="I94" t="str">
        <f t="shared" si="1"/>
        <v>-</v>
      </c>
      <c r="K94" t="str">
        <f>IF(CHALLAN!E4280&lt;&gt;"",CHALLAN!F4280,CHALLAN!G4280)&amp;""</f>
        <v>GG/090/09-10</v>
      </c>
      <c r="L94">
        <v>4280</v>
      </c>
      <c r="M94">
        <v>4325</v>
      </c>
      <c r="N94" t="s">
        <v>2438</v>
      </c>
    </row>
    <row r="95" spans="1:14" x14ac:dyDescent="0.25">
      <c r="A95">
        <v>1496</v>
      </c>
      <c r="B95" t="s">
        <v>577</v>
      </c>
      <c r="C95" t="s">
        <v>578</v>
      </c>
      <c r="D95" t="s">
        <v>922</v>
      </c>
      <c r="F95">
        <v>1</v>
      </c>
      <c r="G95">
        <v>50</v>
      </c>
      <c r="H95" s="1296">
        <v>50</v>
      </c>
      <c r="I95" t="str">
        <f t="shared" si="1"/>
        <v>-</v>
      </c>
      <c r="K95" t="str">
        <f>IF(CHALLAN!E4326&lt;&gt;"",CHALLAN!F4326,CHALLAN!G4326)&amp;""</f>
        <v>GG/091/09-10</v>
      </c>
      <c r="L95">
        <v>4326</v>
      </c>
      <c r="M95">
        <v>4372</v>
      </c>
      <c r="N95" t="s">
        <v>2438</v>
      </c>
    </row>
    <row r="96" spans="1:14" x14ac:dyDescent="0.25">
      <c r="A96">
        <v>1498</v>
      </c>
      <c r="B96" t="s">
        <v>577</v>
      </c>
      <c r="C96" t="s">
        <v>578</v>
      </c>
      <c r="D96" t="s">
        <v>1528</v>
      </c>
      <c r="E96" t="s">
        <v>926</v>
      </c>
      <c r="F96">
        <v>5</v>
      </c>
      <c r="G96">
        <v>10</v>
      </c>
      <c r="H96" s="1296">
        <v>50</v>
      </c>
      <c r="I96" t="str">
        <f t="shared" si="1"/>
        <v>-</v>
      </c>
      <c r="K96" t="str">
        <f>IF(CHALLAN!E4373&lt;&gt;"",CHALLAN!F4373,CHALLAN!G4373)&amp;""</f>
        <v>GG/092/09-10</v>
      </c>
      <c r="L96">
        <v>4373</v>
      </c>
      <c r="M96">
        <v>4418</v>
      </c>
      <c r="N96" t="s">
        <v>2438</v>
      </c>
    </row>
    <row r="97" spans="1:14" x14ac:dyDescent="0.25">
      <c r="A97">
        <v>1535</v>
      </c>
      <c r="B97" t="s">
        <v>577</v>
      </c>
      <c r="C97" t="s">
        <v>930</v>
      </c>
      <c r="D97" t="s">
        <v>931</v>
      </c>
      <c r="F97">
        <v>1</v>
      </c>
      <c r="G97">
        <v>1</v>
      </c>
      <c r="H97" s="1296">
        <v>1</v>
      </c>
      <c r="I97" t="str">
        <f t="shared" si="1"/>
        <v>-</v>
      </c>
      <c r="K97" t="str">
        <f>IF(CHALLAN!E4419&lt;&gt;"",CHALLAN!F4419,CHALLAN!G4419)&amp;""</f>
        <v>GG/093/09-10</v>
      </c>
      <c r="L97">
        <v>4419</v>
      </c>
      <c r="M97">
        <v>4463</v>
      </c>
      <c r="N97" t="s">
        <v>2438</v>
      </c>
    </row>
    <row r="98" spans="1:14" x14ac:dyDescent="0.25">
      <c r="A98">
        <v>1579</v>
      </c>
      <c r="B98" t="s">
        <v>580</v>
      </c>
      <c r="C98" t="s">
        <v>937</v>
      </c>
      <c r="D98" t="s">
        <v>940</v>
      </c>
      <c r="E98">
        <v>405</v>
      </c>
      <c r="F98">
        <v>10</v>
      </c>
      <c r="G98">
        <v>1</v>
      </c>
      <c r="H98" s="1296">
        <v>10</v>
      </c>
      <c r="I98" t="str">
        <f t="shared" si="1"/>
        <v>-</v>
      </c>
      <c r="K98" t="str">
        <f>IF(CHALLAN!E4464&lt;&gt;"",CHALLAN!F4464,CHALLAN!G4464)&amp;""</f>
        <v>GG/094/09-10</v>
      </c>
      <c r="L98">
        <v>4464</v>
      </c>
      <c r="M98">
        <v>4511</v>
      </c>
      <c r="N98" t="s">
        <v>2438</v>
      </c>
    </row>
    <row r="99" spans="1:14" x14ac:dyDescent="0.25">
      <c r="A99">
        <v>1581</v>
      </c>
      <c r="B99" t="s">
        <v>580</v>
      </c>
      <c r="C99" t="s">
        <v>937</v>
      </c>
      <c r="D99" t="s">
        <v>921</v>
      </c>
      <c r="E99" t="s">
        <v>435</v>
      </c>
      <c r="F99">
        <v>1</v>
      </c>
      <c r="G99">
        <v>25</v>
      </c>
      <c r="H99" s="1296">
        <v>25</v>
      </c>
      <c r="I99" t="str">
        <f t="shared" si="1"/>
        <v>-</v>
      </c>
      <c r="K99" t="str">
        <f>IF(CHALLAN!E4512&lt;&gt;"",CHALLAN!F4512,CHALLAN!G4512)&amp;""</f>
        <v>GG/095/09-10</v>
      </c>
      <c r="L99">
        <v>4512</v>
      </c>
      <c r="M99">
        <v>4556</v>
      </c>
      <c r="N99" t="s">
        <v>2438</v>
      </c>
    </row>
    <row r="100" spans="1:14" x14ac:dyDescent="0.25">
      <c r="A100">
        <v>1583</v>
      </c>
      <c r="B100" t="s">
        <v>580</v>
      </c>
      <c r="C100" t="s">
        <v>937</v>
      </c>
      <c r="D100" t="s">
        <v>943</v>
      </c>
      <c r="E100" t="s">
        <v>854</v>
      </c>
      <c r="F100">
        <v>2</v>
      </c>
      <c r="G100">
        <v>5</v>
      </c>
      <c r="H100" s="1296">
        <v>10</v>
      </c>
      <c r="I100" t="str">
        <f t="shared" si="1"/>
        <v>-</v>
      </c>
      <c r="K100" t="str">
        <f>IF(CHALLAN!E4557&lt;&gt;"",CHALLAN!F4557,CHALLAN!G4557)&amp;""</f>
        <v>GG/096/09-10</v>
      </c>
      <c r="L100">
        <v>4557</v>
      </c>
      <c r="M100">
        <v>4602</v>
      </c>
      <c r="N100" t="s">
        <v>2438</v>
      </c>
    </row>
    <row r="101" spans="1:14" x14ac:dyDescent="0.25">
      <c r="A101">
        <v>1625</v>
      </c>
      <c r="B101" t="s">
        <v>580</v>
      </c>
      <c r="C101" t="s">
        <v>948</v>
      </c>
      <c r="D101" t="s">
        <v>960</v>
      </c>
      <c r="E101" t="s">
        <v>961</v>
      </c>
      <c r="F101">
        <v>5</v>
      </c>
      <c r="G101">
        <v>24</v>
      </c>
      <c r="H101" s="1296">
        <v>120</v>
      </c>
      <c r="I101" t="str">
        <f t="shared" si="1"/>
        <v>-</v>
      </c>
      <c r="K101" t="str">
        <f>IF(CHALLAN!E4603&lt;&gt;"",CHALLAN!F4603,CHALLAN!G4603)&amp;""</f>
        <v>GG/097/09-10</v>
      </c>
      <c r="L101">
        <v>4603</v>
      </c>
      <c r="M101">
        <v>4650</v>
      </c>
      <c r="N101" t="s">
        <v>2438</v>
      </c>
    </row>
    <row r="102" spans="1:14" x14ac:dyDescent="0.25">
      <c r="A102">
        <v>1665</v>
      </c>
      <c r="B102" t="s">
        <v>580</v>
      </c>
      <c r="C102" t="s">
        <v>969</v>
      </c>
      <c r="D102" t="s">
        <v>907</v>
      </c>
      <c r="F102">
        <v>28</v>
      </c>
      <c r="G102">
        <v>1</v>
      </c>
      <c r="H102" s="1296">
        <v>28</v>
      </c>
      <c r="I102" t="str">
        <f t="shared" si="1"/>
        <v>-</v>
      </c>
      <c r="K102" t="str">
        <f>IF(CHALLAN!E4651&lt;&gt;"",CHALLAN!F4651,CHALLAN!G4651)&amp;""</f>
        <v>GG/098/09-10</v>
      </c>
      <c r="L102">
        <v>4651</v>
      </c>
      <c r="M102">
        <v>4698</v>
      </c>
      <c r="N102" t="s">
        <v>2438</v>
      </c>
    </row>
    <row r="103" spans="1:14" x14ac:dyDescent="0.25">
      <c r="A103">
        <v>1668</v>
      </c>
      <c r="B103" t="s">
        <v>580</v>
      </c>
      <c r="C103" t="s">
        <v>969</v>
      </c>
      <c r="D103" t="s">
        <v>988</v>
      </c>
      <c r="E103" t="s">
        <v>376</v>
      </c>
      <c r="F103">
        <v>2</v>
      </c>
      <c r="G103">
        <v>6</v>
      </c>
      <c r="H103" s="1296">
        <v>12</v>
      </c>
      <c r="I103" t="str">
        <f t="shared" si="1"/>
        <v>-</v>
      </c>
      <c r="K103" t="str">
        <f>IF(CHALLAN!E4699&lt;&gt;"",CHALLAN!F4699,CHALLAN!G4699)&amp;""</f>
        <v>GG/099/09-10</v>
      </c>
      <c r="L103">
        <v>4699</v>
      </c>
      <c r="M103">
        <v>4742</v>
      </c>
      <c r="N103" t="s">
        <v>2438</v>
      </c>
    </row>
    <row r="104" spans="1:14" x14ac:dyDescent="0.25">
      <c r="A104">
        <v>1717</v>
      </c>
      <c r="B104" t="s">
        <v>586</v>
      </c>
      <c r="C104" t="s">
        <v>1006</v>
      </c>
      <c r="D104" t="s">
        <v>1013</v>
      </c>
      <c r="E104" t="s">
        <v>383</v>
      </c>
      <c r="F104">
        <v>2</v>
      </c>
      <c r="G104">
        <v>25</v>
      </c>
      <c r="H104" s="1296">
        <v>50</v>
      </c>
      <c r="I104" t="str">
        <f t="shared" si="1"/>
        <v>-</v>
      </c>
      <c r="K104" t="str">
        <f>IF(CHALLAN!E4743&lt;&gt;"",CHALLAN!F4743,CHALLAN!G4743)&amp;""</f>
        <v>GG/100/09-10</v>
      </c>
      <c r="L104">
        <v>4743</v>
      </c>
      <c r="M104">
        <v>4789</v>
      </c>
      <c r="N104" t="s">
        <v>2438</v>
      </c>
    </row>
    <row r="105" spans="1:14" x14ac:dyDescent="0.25">
      <c r="A105">
        <v>1769</v>
      </c>
      <c r="B105" t="s">
        <v>580</v>
      </c>
      <c r="C105" t="s">
        <v>1018</v>
      </c>
      <c r="D105" t="s">
        <v>988</v>
      </c>
      <c r="E105" t="s">
        <v>376</v>
      </c>
      <c r="F105">
        <v>15</v>
      </c>
      <c r="G105">
        <v>6</v>
      </c>
      <c r="H105" s="1296">
        <v>90</v>
      </c>
      <c r="I105" t="str">
        <f t="shared" si="1"/>
        <v>-</v>
      </c>
      <c r="K105" t="str">
        <f>IF(CHALLAN!E4790&lt;&gt;"",CHALLAN!F4790,CHALLAN!G4790)&amp;""</f>
        <v>GG/101/09-10</v>
      </c>
      <c r="L105">
        <v>4790</v>
      </c>
      <c r="M105">
        <v>4837</v>
      </c>
      <c r="N105" t="s">
        <v>2439</v>
      </c>
    </row>
    <row r="106" spans="1:14" x14ac:dyDescent="0.25">
      <c r="A106">
        <v>1815</v>
      </c>
      <c r="B106" t="s">
        <v>597</v>
      </c>
      <c r="C106" t="s">
        <v>1025</v>
      </c>
      <c r="D106" t="s">
        <v>988</v>
      </c>
      <c r="E106" t="s">
        <v>376</v>
      </c>
      <c r="F106">
        <v>2</v>
      </c>
      <c r="G106">
        <v>6</v>
      </c>
      <c r="H106" s="1296">
        <v>12</v>
      </c>
      <c r="I106" t="str">
        <f t="shared" si="1"/>
        <v>-</v>
      </c>
      <c r="K106" t="str">
        <f>IF(CHALLAN!E4838&lt;&gt;"",CHALLAN!F4838,CHALLAN!G4838)&amp;""</f>
        <v>GG/102/09-10</v>
      </c>
      <c r="L106">
        <v>4838</v>
      </c>
      <c r="M106">
        <v>4883</v>
      </c>
      <c r="N106" t="s">
        <v>2438</v>
      </c>
    </row>
    <row r="107" spans="1:14" x14ac:dyDescent="0.25">
      <c r="A107">
        <v>1860</v>
      </c>
      <c r="B107" t="s">
        <v>597</v>
      </c>
      <c r="C107" t="s">
        <v>1030</v>
      </c>
      <c r="D107" t="s">
        <v>533</v>
      </c>
      <c r="F107">
        <v>55</v>
      </c>
      <c r="G107">
        <v>1</v>
      </c>
      <c r="H107" s="1296">
        <v>55</v>
      </c>
      <c r="I107" t="str">
        <f t="shared" si="1"/>
        <v>-</v>
      </c>
      <c r="K107" t="str">
        <f>IF(CHALLAN!E4884&lt;&gt;"",CHALLAN!F4884,CHALLAN!G4884)&amp;""</f>
        <v>GG/103/09-10</v>
      </c>
      <c r="L107">
        <v>4884</v>
      </c>
      <c r="M107">
        <v>4929</v>
      </c>
      <c r="N107" t="s">
        <v>2438</v>
      </c>
    </row>
    <row r="108" spans="1:14" x14ac:dyDescent="0.25">
      <c r="A108">
        <v>1908</v>
      </c>
      <c r="B108" t="s">
        <v>601</v>
      </c>
      <c r="C108" t="s">
        <v>1054</v>
      </c>
      <c r="D108" t="s">
        <v>1058</v>
      </c>
      <c r="E108" t="s">
        <v>1059</v>
      </c>
      <c r="F108">
        <v>15</v>
      </c>
      <c r="G108">
        <v>24</v>
      </c>
      <c r="H108" s="1296">
        <v>360</v>
      </c>
      <c r="I108" t="str">
        <f t="shared" si="1"/>
        <v>-</v>
      </c>
      <c r="K108" t="str">
        <f>IF(CHALLAN!E4930&lt;&gt;"",CHALLAN!F4930,CHALLAN!G4930)&amp;""</f>
        <v>GG/104/09-10</v>
      </c>
      <c r="L108">
        <v>4930</v>
      </c>
      <c r="M108">
        <v>4975</v>
      </c>
      <c r="N108" t="s">
        <v>2438</v>
      </c>
    </row>
    <row r="109" spans="1:14" x14ac:dyDescent="0.25">
      <c r="A109">
        <v>1910</v>
      </c>
      <c r="B109" t="s">
        <v>601</v>
      </c>
      <c r="C109" t="s">
        <v>1054</v>
      </c>
      <c r="D109" t="s">
        <v>1063</v>
      </c>
      <c r="E109" t="s">
        <v>1064</v>
      </c>
      <c r="F109">
        <v>6</v>
      </c>
      <c r="G109">
        <v>6</v>
      </c>
      <c r="H109" s="1296">
        <v>36</v>
      </c>
      <c r="I109" t="str">
        <f t="shared" si="1"/>
        <v>-</v>
      </c>
      <c r="K109" t="str">
        <f>IF(CHALLAN!E4976&lt;&gt;"",CHALLAN!F4976,CHALLAN!G4976)&amp;""</f>
        <v>GG/105/09-10</v>
      </c>
      <c r="L109">
        <v>4976</v>
      </c>
      <c r="M109">
        <v>5022</v>
      </c>
      <c r="N109" t="s">
        <v>2438</v>
      </c>
    </row>
    <row r="110" spans="1:14" x14ac:dyDescent="0.25">
      <c r="A110">
        <v>1912</v>
      </c>
      <c r="B110" t="s">
        <v>601</v>
      </c>
      <c r="C110" t="s">
        <v>1054</v>
      </c>
      <c r="D110" t="s">
        <v>1063</v>
      </c>
      <c r="E110" t="s">
        <v>1064</v>
      </c>
      <c r="F110">
        <v>1</v>
      </c>
      <c r="G110">
        <v>2</v>
      </c>
      <c r="H110" s="1296">
        <v>2</v>
      </c>
      <c r="I110" t="str">
        <f t="shared" si="1"/>
        <v>-</v>
      </c>
      <c r="K110" t="str">
        <f>IF(CHALLAN!E5023&lt;&gt;"",CHALLAN!F5023,CHALLAN!G5023)&amp;""</f>
        <v>GG/106/09-10</v>
      </c>
      <c r="L110">
        <v>5023</v>
      </c>
      <c r="M110">
        <v>5067</v>
      </c>
      <c r="N110" t="s">
        <v>2438</v>
      </c>
    </row>
    <row r="111" spans="1:14" x14ac:dyDescent="0.25">
      <c r="A111">
        <v>1914</v>
      </c>
      <c r="B111" t="s">
        <v>601</v>
      </c>
      <c r="C111" t="s">
        <v>1054</v>
      </c>
      <c r="D111" t="s">
        <v>922</v>
      </c>
      <c r="F111">
        <v>1</v>
      </c>
      <c r="G111">
        <v>50</v>
      </c>
      <c r="H111" s="1296">
        <v>50</v>
      </c>
      <c r="I111" t="str">
        <f t="shared" si="1"/>
        <v>-</v>
      </c>
      <c r="K111" t="str">
        <f>IF(CHALLAN!E5068&lt;&gt;"",CHALLAN!F5068,CHALLAN!G5068)&amp;""</f>
        <v>GG/107/09-10</v>
      </c>
      <c r="L111">
        <v>5068</v>
      </c>
      <c r="M111">
        <v>5113</v>
      </c>
      <c r="N111" t="s">
        <v>2438</v>
      </c>
    </row>
    <row r="112" spans="1:14" x14ac:dyDescent="0.25">
      <c r="A112">
        <v>1952</v>
      </c>
      <c r="B112" t="s">
        <v>603</v>
      </c>
      <c r="C112" t="s">
        <v>1071</v>
      </c>
      <c r="D112" t="s">
        <v>764</v>
      </c>
      <c r="F112">
        <v>10</v>
      </c>
      <c r="G112">
        <v>1</v>
      </c>
      <c r="H112" s="1296">
        <v>10</v>
      </c>
      <c r="I112" t="str">
        <f t="shared" si="1"/>
        <v>-</v>
      </c>
      <c r="K112" t="str">
        <f>IF(CHALLAN!E5114&lt;&gt;"",CHALLAN!F5114,CHALLAN!G5114)&amp;""</f>
        <v>GG/108/09-10</v>
      </c>
      <c r="L112">
        <v>5114</v>
      </c>
      <c r="M112">
        <v>5159</v>
      </c>
      <c r="N112" t="s">
        <v>2438</v>
      </c>
    </row>
    <row r="113" spans="1:14" x14ac:dyDescent="0.25">
      <c r="A113">
        <v>1954</v>
      </c>
      <c r="B113" t="s">
        <v>603</v>
      </c>
      <c r="C113" t="s">
        <v>1071</v>
      </c>
      <c r="D113" t="s">
        <v>1076</v>
      </c>
      <c r="E113" t="s">
        <v>1077</v>
      </c>
      <c r="F113">
        <v>6</v>
      </c>
      <c r="G113">
        <v>1</v>
      </c>
      <c r="H113" s="1296">
        <v>6</v>
      </c>
      <c r="I113" t="str">
        <f t="shared" si="1"/>
        <v>-</v>
      </c>
      <c r="K113" t="str">
        <f>IF(CHALLAN!E5160&lt;&gt;"",CHALLAN!F5160,CHALLAN!G5160)&amp;""</f>
        <v>GG/109/09-10</v>
      </c>
      <c r="L113">
        <v>5160</v>
      </c>
      <c r="M113">
        <v>5205</v>
      </c>
      <c r="N113" t="s">
        <v>2438</v>
      </c>
    </row>
    <row r="114" spans="1:14" x14ac:dyDescent="0.25">
      <c r="A114">
        <v>1957</v>
      </c>
      <c r="B114" t="s">
        <v>603</v>
      </c>
      <c r="C114" t="s">
        <v>1071</v>
      </c>
      <c r="D114" t="s">
        <v>1081</v>
      </c>
      <c r="E114" t="s">
        <v>375</v>
      </c>
      <c r="F114">
        <v>12</v>
      </c>
      <c r="G114">
        <v>1</v>
      </c>
      <c r="H114" s="1296">
        <v>12</v>
      </c>
      <c r="I114" t="str">
        <f t="shared" si="1"/>
        <v>-</v>
      </c>
      <c r="K114" t="str">
        <f>IF(CHALLAN!E5206&lt;&gt;"",CHALLAN!F5206,CHALLAN!G5206)&amp;""</f>
        <v>GG/110/09-10</v>
      </c>
      <c r="L114">
        <v>5206</v>
      </c>
      <c r="M114">
        <v>5248</v>
      </c>
      <c r="N114" t="s">
        <v>2438</v>
      </c>
    </row>
    <row r="115" spans="1:14" x14ac:dyDescent="0.25">
      <c r="A115">
        <v>1959</v>
      </c>
      <c r="B115" t="s">
        <v>603</v>
      </c>
      <c r="C115" t="s">
        <v>1071</v>
      </c>
      <c r="D115" t="s">
        <v>887</v>
      </c>
      <c r="E115" t="s">
        <v>187</v>
      </c>
      <c r="F115">
        <v>3</v>
      </c>
      <c r="G115">
        <v>8</v>
      </c>
      <c r="H115" s="1296">
        <v>24</v>
      </c>
      <c r="I115" t="str">
        <f t="shared" si="1"/>
        <v>-</v>
      </c>
      <c r="K115" t="str">
        <f>IF(CHALLAN!E5249&lt;&gt;"",CHALLAN!F5249,CHALLAN!G5249)&amp;""</f>
        <v>GG/111/09-10</v>
      </c>
      <c r="L115">
        <v>5249</v>
      </c>
      <c r="M115">
        <v>5293</v>
      </c>
      <c r="N115" t="s">
        <v>2438</v>
      </c>
    </row>
    <row r="116" spans="1:14" x14ac:dyDescent="0.25">
      <c r="A116">
        <v>1999</v>
      </c>
      <c r="B116" t="s">
        <v>601</v>
      </c>
      <c r="C116" t="s">
        <v>1088</v>
      </c>
      <c r="D116" t="s">
        <v>1091</v>
      </c>
      <c r="E116" t="s">
        <v>84</v>
      </c>
      <c r="F116">
        <v>4</v>
      </c>
      <c r="G116">
        <v>5</v>
      </c>
      <c r="H116" s="1296">
        <v>20</v>
      </c>
      <c r="I116" t="str">
        <f t="shared" si="1"/>
        <v>-</v>
      </c>
      <c r="K116" t="str">
        <f>IF(CHALLAN!E5294&lt;&gt;"",CHALLAN!F5294,CHALLAN!G5294)&amp;""</f>
        <v>GG/112/09-10</v>
      </c>
      <c r="L116">
        <v>5294</v>
      </c>
      <c r="M116">
        <v>5339</v>
      </c>
      <c r="N116" t="s">
        <v>2438</v>
      </c>
    </row>
    <row r="117" spans="1:14" x14ac:dyDescent="0.25">
      <c r="A117">
        <v>2046</v>
      </c>
      <c r="B117" t="s">
        <v>607</v>
      </c>
      <c r="C117" t="s">
        <v>1098</v>
      </c>
      <c r="D117" t="s">
        <v>45</v>
      </c>
      <c r="E117" t="s">
        <v>41</v>
      </c>
      <c r="F117">
        <v>4</v>
      </c>
      <c r="G117">
        <v>5</v>
      </c>
      <c r="H117" s="1296">
        <v>20</v>
      </c>
      <c r="I117" t="str">
        <f t="shared" si="1"/>
        <v>-</v>
      </c>
      <c r="K117" t="str">
        <f>IF(CHALLAN!E5340&lt;&gt;"",CHALLAN!F5340,CHALLAN!G5340)&amp;""</f>
        <v>GG/113/09-10</v>
      </c>
      <c r="L117">
        <v>5340</v>
      </c>
      <c r="M117">
        <v>5395</v>
      </c>
      <c r="N117" t="s">
        <v>2438</v>
      </c>
    </row>
    <row r="118" spans="1:14" x14ac:dyDescent="0.25">
      <c r="A118">
        <v>2047</v>
      </c>
      <c r="B118" t="s">
        <v>607</v>
      </c>
      <c r="C118" t="s">
        <v>1098</v>
      </c>
      <c r="D118" t="s">
        <v>68</v>
      </c>
      <c r="E118" t="s">
        <v>91</v>
      </c>
      <c r="F118">
        <v>4</v>
      </c>
      <c r="G118">
        <v>5</v>
      </c>
      <c r="H118" s="1296">
        <v>20</v>
      </c>
      <c r="I118" t="str">
        <f t="shared" si="1"/>
        <v>-</v>
      </c>
      <c r="K118" t="str">
        <f>IF(CHALLAN!E5396&lt;&gt;"",CHALLAN!F5396,CHALLAN!G5396)&amp;""</f>
        <v>GG/114/09-10</v>
      </c>
      <c r="L118">
        <v>5396</v>
      </c>
      <c r="M118">
        <v>5463</v>
      </c>
      <c r="N118" t="s">
        <v>2438</v>
      </c>
    </row>
    <row r="119" spans="1:14" x14ac:dyDescent="0.25">
      <c r="A119">
        <v>2048</v>
      </c>
      <c r="B119" t="s">
        <v>607</v>
      </c>
      <c r="C119" t="s">
        <v>1098</v>
      </c>
      <c r="D119" t="s">
        <v>815</v>
      </c>
      <c r="E119" t="s">
        <v>84</v>
      </c>
      <c r="F119">
        <v>2</v>
      </c>
      <c r="G119">
        <v>5</v>
      </c>
      <c r="H119" s="1296">
        <v>10</v>
      </c>
      <c r="I119" t="str">
        <f t="shared" si="1"/>
        <v>-</v>
      </c>
      <c r="K119" t="str">
        <f>IF(CHALLAN!E5464&lt;&gt;"",CHALLAN!F5464,CHALLAN!G5464)&amp;""</f>
        <v>GG/115/09-10</v>
      </c>
      <c r="L119">
        <v>5464</v>
      </c>
      <c r="M119">
        <v>5507</v>
      </c>
      <c r="N119" t="s">
        <v>2438</v>
      </c>
    </row>
    <row r="120" spans="1:14" x14ac:dyDescent="0.25">
      <c r="A120">
        <v>2049</v>
      </c>
      <c r="B120" t="s">
        <v>607</v>
      </c>
      <c r="C120" t="s">
        <v>1098</v>
      </c>
      <c r="D120" t="s">
        <v>81</v>
      </c>
      <c r="E120" t="s">
        <v>82</v>
      </c>
      <c r="F120">
        <v>1</v>
      </c>
      <c r="G120">
        <v>5</v>
      </c>
      <c r="H120" s="1296">
        <v>5</v>
      </c>
      <c r="I120" t="str">
        <f t="shared" si="1"/>
        <v>-</v>
      </c>
      <c r="K120" t="str">
        <f>IF(CHALLAN!E5508&lt;&gt;"",CHALLAN!F5508,CHALLAN!G5508)&amp;""</f>
        <v>GG/116/09-10</v>
      </c>
      <c r="L120">
        <v>5508</v>
      </c>
      <c r="M120">
        <v>5554</v>
      </c>
      <c r="N120" t="s">
        <v>2438</v>
      </c>
    </row>
    <row r="121" spans="1:14" x14ac:dyDescent="0.25">
      <c r="A121">
        <v>2050</v>
      </c>
      <c r="B121" t="s">
        <v>607</v>
      </c>
      <c r="C121" t="s">
        <v>1098</v>
      </c>
      <c r="D121" t="s">
        <v>60</v>
      </c>
      <c r="E121" t="s">
        <v>142</v>
      </c>
      <c r="F121">
        <v>1</v>
      </c>
      <c r="G121">
        <v>5</v>
      </c>
      <c r="H121" s="1296">
        <v>5</v>
      </c>
      <c r="I121" t="str">
        <f t="shared" si="1"/>
        <v>-</v>
      </c>
      <c r="K121" t="str">
        <f>IF(CHALLAN!E5555&lt;&gt;"",CHALLAN!F5555,CHALLAN!G5555)&amp;""</f>
        <v>GG/117/09-10</v>
      </c>
      <c r="L121">
        <v>5555</v>
      </c>
      <c r="M121">
        <v>5584</v>
      </c>
      <c r="N121" t="s">
        <v>2438</v>
      </c>
    </row>
    <row r="122" spans="1:14" x14ac:dyDescent="0.25">
      <c r="A122">
        <v>2097</v>
      </c>
      <c r="B122" t="s">
        <v>607</v>
      </c>
      <c r="C122" t="s">
        <v>1116</v>
      </c>
      <c r="D122" t="s">
        <v>1121</v>
      </c>
      <c r="E122" t="s">
        <v>383</v>
      </c>
      <c r="F122">
        <v>5</v>
      </c>
      <c r="G122">
        <v>5</v>
      </c>
      <c r="H122" s="1296">
        <v>25</v>
      </c>
      <c r="I122" t="str">
        <f t="shared" si="1"/>
        <v>-</v>
      </c>
      <c r="K122" t="str">
        <f>IF(CHALLAN!E5585&lt;&gt;"",CHALLAN!F5585,CHALLAN!G5585)&amp;""</f>
        <v>GG/118/09-10</v>
      </c>
      <c r="L122">
        <v>5585</v>
      </c>
      <c r="M122">
        <v>5627</v>
      </c>
      <c r="N122" t="s">
        <v>2438</v>
      </c>
    </row>
    <row r="123" spans="1:14" x14ac:dyDescent="0.25">
      <c r="A123">
        <v>2099</v>
      </c>
      <c r="B123" t="s">
        <v>607</v>
      </c>
      <c r="C123" t="s">
        <v>1116</v>
      </c>
      <c r="D123" t="s">
        <v>1124</v>
      </c>
      <c r="E123" t="s">
        <v>879</v>
      </c>
      <c r="F123">
        <v>5</v>
      </c>
      <c r="G123">
        <v>10</v>
      </c>
      <c r="H123" s="1296">
        <v>50</v>
      </c>
      <c r="I123" t="str">
        <f t="shared" si="1"/>
        <v>-</v>
      </c>
      <c r="K123" t="str">
        <f>IF(CHALLAN!E5628&lt;&gt;"",CHALLAN!F5628,CHALLAN!G5628)&amp;""</f>
        <v>GG/119/09-10</v>
      </c>
      <c r="L123">
        <v>5628</v>
      </c>
      <c r="M123">
        <v>5675</v>
      </c>
      <c r="N123" t="s">
        <v>2438</v>
      </c>
    </row>
    <row r="124" spans="1:14" x14ac:dyDescent="0.25">
      <c r="A124">
        <v>2148</v>
      </c>
      <c r="B124" t="s">
        <v>1135</v>
      </c>
      <c r="C124" t="s">
        <v>1136</v>
      </c>
      <c r="D124" t="s">
        <v>887</v>
      </c>
      <c r="E124" t="s">
        <v>187</v>
      </c>
      <c r="F124">
        <v>4</v>
      </c>
      <c r="G124">
        <v>8</v>
      </c>
      <c r="H124" s="1296">
        <v>32</v>
      </c>
      <c r="I124" t="str">
        <f t="shared" si="1"/>
        <v>-</v>
      </c>
      <c r="K124" t="str">
        <f>IF(CHALLAN!E5676&lt;&gt;"",CHALLAN!F5676,CHALLAN!G5676)&amp;""</f>
        <v>GG/120/09-10</v>
      </c>
      <c r="L124">
        <v>5676</v>
      </c>
      <c r="M124">
        <v>5721</v>
      </c>
      <c r="N124" t="s">
        <v>2438</v>
      </c>
    </row>
    <row r="125" spans="1:14" x14ac:dyDescent="0.25">
      <c r="A125">
        <v>2195</v>
      </c>
      <c r="B125" t="s">
        <v>1135</v>
      </c>
      <c r="C125" t="s">
        <v>1148</v>
      </c>
      <c r="D125" t="s">
        <v>815</v>
      </c>
      <c r="E125" t="s">
        <v>84</v>
      </c>
      <c r="F125">
        <v>2</v>
      </c>
      <c r="G125">
        <v>5</v>
      </c>
      <c r="H125" s="1296">
        <v>10</v>
      </c>
      <c r="I125" t="str">
        <f t="shared" si="1"/>
        <v>-</v>
      </c>
      <c r="K125" t="str">
        <f>IF(CHALLAN!E5722&lt;&gt;"",CHALLAN!F5722,CHALLAN!G5722)&amp;""</f>
        <v>GG/121/09-10</v>
      </c>
      <c r="L125">
        <v>5722</v>
      </c>
      <c r="M125">
        <v>5767</v>
      </c>
      <c r="N125" t="s">
        <v>2438</v>
      </c>
    </row>
    <row r="126" spans="1:14" x14ac:dyDescent="0.25">
      <c r="A126">
        <v>2241</v>
      </c>
      <c r="B126" t="s">
        <v>613</v>
      </c>
      <c r="C126" t="s">
        <v>1159</v>
      </c>
      <c r="D126" t="s">
        <v>34</v>
      </c>
      <c r="E126" t="s">
        <v>25</v>
      </c>
      <c r="F126">
        <v>4</v>
      </c>
      <c r="G126">
        <v>5</v>
      </c>
      <c r="H126" s="1296">
        <v>20</v>
      </c>
      <c r="I126" t="str">
        <f t="shared" si="1"/>
        <v>-</v>
      </c>
      <c r="K126" t="str">
        <f>IF(CHALLAN!E5768&lt;&gt;"",CHALLAN!F5768,CHALLAN!G5768)&amp;""</f>
        <v>GG/122/09-10</v>
      </c>
      <c r="L126">
        <v>5768</v>
      </c>
      <c r="M126">
        <v>5813</v>
      </c>
      <c r="N126" t="s">
        <v>2438</v>
      </c>
    </row>
    <row r="127" spans="1:14" x14ac:dyDescent="0.25">
      <c r="A127">
        <v>2242</v>
      </c>
      <c r="B127" t="s">
        <v>613</v>
      </c>
      <c r="C127" t="s">
        <v>1159</v>
      </c>
      <c r="D127" t="s">
        <v>125</v>
      </c>
      <c r="E127" t="s">
        <v>324</v>
      </c>
      <c r="F127">
        <v>2</v>
      </c>
      <c r="G127">
        <v>5</v>
      </c>
      <c r="H127" s="1296">
        <v>10</v>
      </c>
      <c r="I127" t="str">
        <f t="shared" si="1"/>
        <v>-</v>
      </c>
      <c r="K127" t="str">
        <f>IF(CHALLAN!E5814&lt;&gt;"",CHALLAN!F5814,CHALLAN!G5814)&amp;""</f>
        <v>GG/123/09-10</v>
      </c>
      <c r="L127">
        <v>5814</v>
      </c>
      <c r="M127">
        <v>5859</v>
      </c>
      <c r="N127" t="s">
        <v>2438</v>
      </c>
    </row>
    <row r="128" spans="1:14" x14ac:dyDescent="0.25">
      <c r="A128">
        <v>2245</v>
      </c>
      <c r="B128" t="s">
        <v>613</v>
      </c>
      <c r="C128" t="s">
        <v>1159</v>
      </c>
      <c r="D128" t="s">
        <v>1163</v>
      </c>
      <c r="E128" t="s">
        <v>1164</v>
      </c>
      <c r="F128">
        <v>15</v>
      </c>
      <c r="G128">
        <v>1</v>
      </c>
      <c r="H128" s="1296">
        <v>15</v>
      </c>
      <c r="I128" t="str">
        <f t="shared" si="1"/>
        <v>-</v>
      </c>
      <c r="K128" t="str">
        <f>IF(CHALLAN!E5860&lt;&gt;"",CHALLAN!F5860,CHALLAN!G5860)&amp;""</f>
        <v>GG/124/09-10</v>
      </c>
      <c r="L128">
        <v>5860</v>
      </c>
      <c r="M128">
        <v>5904</v>
      </c>
      <c r="N128" t="s">
        <v>2438</v>
      </c>
    </row>
    <row r="129" spans="1:14" x14ac:dyDescent="0.25">
      <c r="A129">
        <v>2246</v>
      </c>
      <c r="B129" t="s">
        <v>613</v>
      </c>
      <c r="C129" t="s">
        <v>1159</v>
      </c>
      <c r="D129" t="s">
        <v>1163</v>
      </c>
      <c r="E129" t="s">
        <v>1165</v>
      </c>
      <c r="F129">
        <v>5</v>
      </c>
      <c r="G129">
        <v>1</v>
      </c>
      <c r="H129" s="1296">
        <v>5</v>
      </c>
      <c r="I129" t="str">
        <f t="shared" si="1"/>
        <v>-</v>
      </c>
      <c r="K129" t="str">
        <f>IF(CHALLAN!E5905&lt;&gt;"",CHALLAN!F5905,CHALLAN!G5905)&amp;""</f>
        <v>GG/125/09-10</v>
      </c>
      <c r="L129">
        <v>5905</v>
      </c>
      <c r="M129">
        <v>5950</v>
      </c>
      <c r="N129" t="s">
        <v>2438</v>
      </c>
    </row>
    <row r="130" spans="1:14" x14ac:dyDescent="0.25">
      <c r="A130">
        <v>2292</v>
      </c>
      <c r="B130" t="s">
        <v>613</v>
      </c>
      <c r="C130" t="s">
        <v>1166</v>
      </c>
      <c r="D130" t="s">
        <v>1168</v>
      </c>
      <c r="E130" t="s">
        <v>36</v>
      </c>
      <c r="F130">
        <v>3</v>
      </c>
      <c r="G130">
        <v>5</v>
      </c>
      <c r="H130" s="1296">
        <v>15</v>
      </c>
      <c r="I130" t="str">
        <f t="shared" ref="I130:I193" si="2">INDEX($N$2:$N$355,MATCH($A130,$L$2:$L$355,1))</f>
        <v>-</v>
      </c>
      <c r="K130" t="str">
        <f>IF(CHALLAN!E5951&lt;&gt;"",CHALLAN!F5951,CHALLAN!G5951)&amp;""</f>
        <v>GG/126/09-10</v>
      </c>
      <c r="L130">
        <v>5951</v>
      </c>
      <c r="M130">
        <v>5995</v>
      </c>
      <c r="N130" t="s">
        <v>2438</v>
      </c>
    </row>
    <row r="131" spans="1:14" x14ac:dyDescent="0.25">
      <c r="A131">
        <v>2294</v>
      </c>
      <c r="B131" t="s">
        <v>613</v>
      </c>
      <c r="C131" t="s">
        <v>1166</v>
      </c>
      <c r="D131" t="s">
        <v>1169</v>
      </c>
      <c r="E131" t="s">
        <v>25</v>
      </c>
      <c r="F131">
        <v>2</v>
      </c>
      <c r="G131">
        <v>5</v>
      </c>
      <c r="H131" s="1296">
        <v>10</v>
      </c>
      <c r="I131" t="str">
        <f t="shared" si="2"/>
        <v>-</v>
      </c>
      <c r="K131" t="str">
        <f>IF(CHALLAN!E5996&lt;&gt;"",CHALLAN!F5996,CHALLAN!G5996)&amp;""</f>
        <v>GG/127/09-10</v>
      </c>
      <c r="L131">
        <v>5996</v>
      </c>
      <c r="M131">
        <v>6040</v>
      </c>
      <c r="N131" t="s">
        <v>2438</v>
      </c>
    </row>
    <row r="132" spans="1:14" x14ac:dyDescent="0.25">
      <c r="A132">
        <v>2341</v>
      </c>
      <c r="B132" t="s">
        <v>613</v>
      </c>
      <c r="C132" t="s">
        <v>1171</v>
      </c>
      <c r="D132" t="s">
        <v>1173</v>
      </c>
      <c r="E132" t="s">
        <v>424</v>
      </c>
      <c r="F132">
        <v>2</v>
      </c>
      <c r="G132">
        <v>25</v>
      </c>
      <c r="H132" s="1296">
        <v>50</v>
      </c>
      <c r="I132" t="str">
        <f t="shared" si="2"/>
        <v>-</v>
      </c>
      <c r="K132" t="str">
        <f>IF(CHALLAN!E6041&lt;&gt;"",CHALLAN!F6041,CHALLAN!G6041)&amp;""</f>
        <v>GG/128/09-10</v>
      </c>
      <c r="L132">
        <v>6041</v>
      </c>
      <c r="M132">
        <v>6085</v>
      </c>
      <c r="N132" t="s">
        <v>2438</v>
      </c>
    </row>
    <row r="133" spans="1:14" x14ac:dyDescent="0.25">
      <c r="A133">
        <v>2343</v>
      </c>
      <c r="B133" t="s">
        <v>613</v>
      </c>
      <c r="C133" t="s">
        <v>1171</v>
      </c>
      <c r="D133" t="s">
        <v>1174</v>
      </c>
      <c r="F133">
        <v>1</v>
      </c>
      <c r="G133">
        <v>1</v>
      </c>
      <c r="H133" s="1296">
        <v>1</v>
      </c>
      <c r="I133" t="str">
        <f t="shared" si="2"/>
        <v>-</v>
      </c>
      <c r="K133" t="str">
        <f>IF(CHALLAN!E6086&lt;&gt;"",CHALLAN!F6086,CHALLAN!G6086)&amp;""</f>
        <v>GG/129/09-10</v>
      </c>
      <c r="L133">
        <v>6086</v>
      </c>
      <c r="M133">
        <v>6130</v>
      </c>
      <c r="N133" t="s">
        <v>2438</v>
      </c>
    </row>
    <row r="134" spans="1:14" x14ac:dyDescent="0.25">
      <c r="A134">
        <v>2390</v>
      </c>
      <c r="B134" t="s">
        <v>613</v>
      </c>
      <c r="C134" t="s">
        <v>1185</v>
      </c>
      <c r="D134" t="s">
        <v>45</v>
      </c>
      <c r="E134" t="s">
        <v>41</v>
      </c>
      <c r="F134">
        <v>4</v>
      </c>
      <c r="G134">
        <v>5</v>
      </c>
      <c r="H134" s="1296">
        <v>20</v>
      </c>
      <c r="I134" t="str">
        <f t="shared" si="2"/>
        <v>-</v>
      </c>
      <c r="K134" t="str">
        <f>IF(CHALLAN!E6131&lt;&gt;"",CHALLAN!F6131,CHALLAN!G6131)&amp;""</f>
        <v>GG/130/09-10</v>
      </c>
      <c r="L134">
        <v>6131</v>
      </c>
      <c r="M134">
        <v>6176</v>
      </c>
      <c r="N134" t="s">
        <v>2438</v>
      </c>
    </row>
    <row r="135" spans="1:14" x14ac:dyDescent="0.25">
      <c r="A135">
        <v>2392</v>
      </c>
      <c r="B135" t="s">
        <v>613</v>
      </c>
      <c r="C135" t="s">
        <v>1185</v>
      </c>
      <c r="D135" t="s">
        <v>60</v>
      </c>
      <c r="E135" t="s">
        <v>142</v>
      </c>
      <c r="F135">
        <v>2</v>
      </c>
      <c r="G135">
        <v>5</v>
      </c>
      <c r="H135" s="1296">
        <v>10</v>
      </c>
      <c r="I135" t="str">
        <f t="shared" si="2"/>
        <v>-</v>
      </c>
      <c r="K135" t="str">
        <f>IF(CHALLAN!E6177&lt;&gt;"",CHALLAN!F6177,CHALLAN!G6177)&amp;""</f>
        <v>GG/131/09-10</v>
      </c>
      <c r="L135">
        <v>6177</v>
      </c>
      <c r="M135">
        <v>6227</v>
      </c>
      <c r="N135" t="s">
        <v>2438</v>
      </c>
    </row>
    <row r="136" spans="1:14" x14ac:dyDescent="0.25">
      <c r="A136">
        <v>2394</v>
      </c>
      <c r="B136" t="s">
        <v>613</v>
      </c>
      <c r="C136" t="s">
        <v>1185</v>
      </c>
      <c r="D136" t="s">
        <v>482</v>
      </c>
      <c r="F136">
        <v>3</v>
      </c>
      <c r="G136">
        <v>1</v>
      </c>
      <c r="H136" s="1296">
        <v>3</v>
      </c>
      <c r="I136" t="str">
        <f t="shared" si="2"/>
        <v>-</v>
      </c>
      <c r="K136" t="str">
        <f>IF(CHALLAN!E6228&lt;&gt;"",CHALLAN!F6228,CHALLAN!G6228)&amp;""</f>
        <v>GG/132/09-10</v>
      </c>
      <c r="L136">
        <v>6228</v>
      </c>
      <c r="M136">
        <v>6268</v>
      </c>
      <c r="N136" t="s">
        <v>2438</v>
      </c>
    </row>
    <row r="137" spans="1:14" x14ac:dyDescent="0.25">
      <c r="A137">
        <v>2443</v>
      </c>
      <c r="B137" t="s">
        <v>1195</v>
      </c>
      <c r="C137" t="s">
        <v>1196</v>
      </c>
      <c r="D137" t="s">
        <v>1201</v>
      </c>
      <c r="E137" t="s">
        <v>36</v>
      </c>
      <c r="F137">
        <v>1</v>
      </c>
      <c r="G137">
        <v>5</v>
      </c>
      <c r="H137" s="1296">
        <v>5</v>
      </c>
      <c r="I137" t="str">
        <f t="shared" si="2"/>
        <v>-</v>
      </c>
      <c r="K137" t="str">
        <f>IF(CHALLAN!E6269&lt;&gt;"",CHALLAN!F6269,CHALLAN!G6269)&amp;""</f>
        <v>GG/133/09-10</v>
      </c>
      <c r="L137">
        <v>6269</v>
      </c>
      <c r="M137">
        <v>6312</v>
      </c>
      <c r="N137" t="s">
        <v>2438</v>
      </c>
    </row>
    <row r="138" spans="1:14" x14ac:dyDescent="0.25">
      <c r="A138">
        <v>2444</v>
      </c>
      <c r="B138" t="s">
        <v>1195</v>
      </c>
      <c r="C138" t="s">
        <v>1196</v>
      </c>
      <c r="D138" t="s">
        <v>1203</v>
      </c>
      <c r="E138" t="s">
        <v>47</v>
      </c>
      <c r="F138">
        <v>3</v>
      </c>
      <c r="G138">
        <v>5</v>
      </c>
      <c r="H138" s="1296">
        <v>15</v>
      </c>
      <c r="I138" t="str">
        <f t="shared" si="2"/>
        <v>-</v>
      </c>
      <c r="K138" t="str">
        <f>IF(CHALLAN!E6313&lt;&gt;"",CHALLAN!F6313,CHALLAN!G6313)&amp;""</f>
        <v>GG/134/09-10</v>
      </c>
      <c r="L138">
        <v>6313</v>
      </c>
      <c r="M138">
        <v>6365</v>
      </c>
      <c r="N138" t="s">
        <v>2438</v>
      </c>
    </row>
    <row r="139" spans="1:14" x14ac:dyDescent="0.25">
      <c r="A139">
        <v>2445</v>
      </c>
      <c r="B139" t="s">
        <v>1195</v>
      </c>
      <c r="C139" t="s">
        <v>1196</v>
      </c>
      <c r="D139" t="s">
        <v>34</v>
      </c>
      <c r="E139" t="s">
        <v>25</v>
      </c>
      <c r="F139">
        <v>6</v>
      </c>
      <c r="G139">
        <v>5</v>
      </c>
      <c r="H139" s="1296">
        <v>30</v>
      </c>
      <c r="I139" t="str">
        <f t="shared" si="2"/>
        <v>-</v>
      </c>
      <c r="K139" t="str">
        <f>IF(CHALLAN!E6366&lt;&gt;"",CHALLAN!F6366,CHALLAN!G6366)&amp;""</f>
        <v>GG/135/09-10</v>
      </c>
      <c r="L139">
        <v>6366</v>
      </c>
      <c r="M139">
        <v>6412</v>
      </c>
      <c r="N139" t="s">
        <v>2438</v>
      </c>
    </row>
    <row r="140" spans="1:14" x14ac:dyDescent="0.25">
      <c r="A140">
        <v>2447</v>
      </c>
      <c r="B140" t="s">
        <v>1195</v>
      </c>
      <c r="C140" t="s">
        <v>1196</v>
      </c>
      <c r="D140" t="s">
        <v>187</v>
      </c>
      <c r="E140" t="s">
        <v>704</v>
      </c>
      <c r="F140">
        <v>4</v>
      </c>
      <c r="G140">
        <v>8</v>
      </c>
      <c r="H140" s="1296">
        <v>32</v>
      </c>
      <c r="I140" t="str">
        <f t="shared" si="2"/>
        <v>-</v>
      </c>
      <c r="K140" t="str">
        <f>IF(CHALLAN!E6413&lt;&gt;"",CHALLAN!F6413,CHALLAN!G6413)&amp;""</f>
        <v>GG/136/09-10</v>
      </c>
      <c r="L140">
        <v>6413</v>
      </c>
      <c r="M140">
        <v>6457</v>
      </c>
      <c r="N140" t="s">
        <v>2438</v>
      </c>
    </row>
    <row r="141" spans="1:14" x14ac:dyDescent="0.25">
      <c r="A141">
        <v>2448</v>
      </c>
      <c r="B141" t="s">
        <v>1195</v>
      </c>
      <c r="C141" t="s">
        <v>1196</v>
      </c>
      <c r="D141" t="s">
        <v>1206</v>
      </c>
      <c r="F141">
        <v>1</v>
      </c>
      <c r="G141">
        <v>5</v>
      </c>
      <c r="H141" s="1296">
        <v>5</v>
      </c>
      <c r="I141" t="str">
        <f t="shared" si="2"/>
        <v>-</v>
      </c>
      <c r="K141" t="str">
        <f>IF(CHALLAN!E6458&lt;&gt;"",CHALLAN!F6458,CHALLAN!G6458)&amp;""</f>
        <v>GG/137/09-10</v>
      </c>
      <c r="L141">
        <v>6458</v>
      </c>
      <c r="M141">
        <v>6502</v>
      </c>
      <c r="N141" t="s">
        <v>2438</v>
      </c>
    </row>
    <row r="142" spans="1:14" x14ac:dyDescent="0.25">
      <c r="A142">
        <v>2450</v>
      </c>
      <c r="B142" t="s">
        <v>1195</v>
      </c>
      <c r="C142" t="s">
        <v>1196</v>
      </c>
      <c r="D142" t="s">
        <v>134</v>
      </c>
      <c r="F142">
        <v>5</v>
      </c>
      <c r="G142">
        <v>1</v>
      </c>
      <c r="H142" s="1296">
        <v>5</v>
      </c>
      <c r="I142" t="str">
        <f t="shared" si="2"/>
        <v>-</v>
      </c>
      <c r="K142" t="str">
        <f>IF(CHALLAN!E6503&lt;&gt;"",CHALLAN!F6503,CHALLAN!G6503)&amp;""</f>
        <v>GG/138/09-10</v>
      </c>
      <c r="L142">
        <v>6503</v>
      </c>
      <c r="M142">
        <v>6545</v>
      </c>
      <c r="N142" t="s">
        <v>2438</v>
      </c>
    </row>
    <row r="143" spans="1:14" x14ac:dyDescent="0.25">
      <c r="A143">
        <v>2452</v>
      </c>
      <c r="B143" t="s">
        <v>1195</v>
      </c>
      <c r="C143" t="s">
        <v>1196</v>
      </c>
      <c r="D143" t="s">
        <v>1208</v>
      </c>
      <c r="F143">
        <v>5</v>
      </c>
      <c r="G143">
        <v>10</v>
      </c>
      <c r="H143" s="1296">
        <v>50</v>
      </c>
      <c r="I143" t="str">
        <f t="shared" si="2"/>
        <v>-</v>
      </c>
      <c r="K143" t="str">
        <f>IF(CHALLAN!E6546&lt;&gt;"",CHALLAN!F6546,CHALLAN!G6546)&amp;""</f>
        <v>GG/139/09-10</v>
      </c>
      <c r="L143">
        <v>6546</v>
      </c>
      <c r="M143">
        <v>6590</v>
      </c>
      <c r="N143" t="s">
        <v>2438</v>
      </c>
    </row>
    <row r="144" spans="1:14" x14ac:dyDescent="0.25">
      <c r="A144">
        <v>2453</v>
      </c>
      <c r="B144" t="s">
        <v>1195</v>
      </c>
      <c r="C144" t="s">
        <v>1196</v>
      </c>
      <c r="D144" t="s">
        <v>1210</v>
      </c>
      <c r="F144">
        <v>5</v>
      </c>
      <c r="G144">
        <v>10</v>
      </c>
      <c r="H144" s="1296">
        <v>50</v>
      </c>
      <c r="I144" t="str">
        <f t="shared" si="2"/>
        <v>-</v>
      </c>
      <c r="K144" t="str">
        <f>IF(CHALLAN!E6591&lt;&gt;"",CHALLAN!F6591,CHALLAN!G6591)&amp;""</f>
        <v>GG/140/09-10</v>
      </c>
      <c r="L144">
        <v>6591</v>
      </c>
      <c r="M144">
        <v>6636</v>
      </c>
      <c r="N144" t="s">
        <v>2438</v>
      </c>
    </row>
    <row r="145" spans="1:14" x14ac:dyDescent="0.25">
      <c r="A145">
        <v>2454</v>
      </c>
      <c r="B145" t="s">
        <v>1195</v>
      </c>
      <c r="C145" t="s">
        <v>1196</v>
      </c>
      <c r="D145" t="s">
        <v>1211</v>
      </c>
      <c r="F145">
        <v>5</v>
      </c>
      <c r="G145">
        <v>10</v>
      </c>
      <c r="H145" s="1296">
        <v>50</v>
      </c>
      <c r="I145" t="str">
        <f t="shared" si="2"/>
        <v>-</v>
      </c>
      <c r="K145" t="str">
        <f>IF(CHALLAN!E6637&lt;&gt;"",CHALLAN!F6637,CHALLAN!G6637)&amp;""</f>
        <v>GG/141/09-10</v>
      </c>
      <c r="L145">
        <v>6637</v>
      </c>
      <c r="M145">
        <v>6681</v>
      </c>
      <c r="N145" t="s">
        <v>2438</v>
      </c>
    </row>
    <row r="146" spans="1:14" x14ac:dyDescent="0.25">
      <c r="A146">
        <v>2456</v>
      </c>
      <c r="B146" t="s">
        <v>1195</v>
      </c>
      <c r="C146" t="s">
        <v>1196</v>
      </c>
      <c r="D146" t="s">
        <v>1212</v>
      </c>
      <c r="E146" t="s">
        <v>109</v>
      </c>
      <c r="F146">
        <v>24</v>
      </c>
      <c r="G146">
        <v>25</v>
      </c>
      <c r="H146" s="1296">
        <v>600</v>
      </c>
      <c r="I146" t="str">
        <f t="shared" si="2"/>
        <v>-</v>
      </c>
      <c r="K146" t="str">
        <f>IF(CHALLAN!E6682&lt;&gt;"",CHALLAN!F6682,CHALLAN!G6682)&amp;""</f>
        <v>GG/142/09-10</v>
      </c>
      <c r="L146">
        <v>6682</v>
      </c>
      <c r="M146">
        <v>6728</v>
      </c>
      <c r="N146" t="s">
        <v>2438</v>
      </c>
    </row>
    <row r="147" spans="1:14" x14ac:dyDescent="0.25">
      <c r="A147">
        <v>2457</v>
      </c>
      <c r="B147" t="s">
        <v>1195</v>
      </c>
      <c r="C147" t="s">
        <v>1196</v>
      </c>
      <c r="D147" t="s">
        <v>1213</v>
      </c>
      <c r="E147" t="s">
        <v>1175</v>
      </c>
      <c r="F147">
        <v>15</v>
      </c>
      <c r="G147">
        <v>20</v>
      </c>
      <c r="H147" s="1296">
        <v>300</v>
      </c>
      <c r="I147" t="str">
        <f t="shared" si="2"/>
        <v>-</v>
      </c>
      <c r="K147" t="str">
        <f>IF(CHALLAN!E6729&lt;&gt;"",CHALLAN!F6729,CHALLAN!G6729)&amp;""</f>
        <v>GG/143/09-10</v>
      </c>
      <c r="L147">
        <v>6729</v>
      </c>
      <c r="M147">
        <v>6775</v>
      </c>
      <c r="N147" t="s">
        <v>2438</v>
      </c>
    </row>
    <row r="148" spans="1:14" x14ac:dyDescent="0.25">
      <c r="A148">
        <v>2459</v>
      </c>
      <c r="B148" t="s">
        <v>1195</v>
      </c>
      <c r="C148" t="s">
        <v>1196</v>
      </c>
      <c r="D148" t="s">
        <v>931</v>
      </c>
      <c r="F148">
        <v>10</v>
      </c>
      <c r="G148">
        <v>1</v>
      </c>
      <c r="H148" s="1296">
        <v>10</v>
      </c>
      <c r="I148" t="str">
        <f t="shared" si="2"/>
        <v>-</v>
      </c>
      <c r="K148" t="str">
        <f>IF(CHALLAN!E6776&lt;&gt;"",CHALLAN!F6776,CHALLAN!G6776)&amp;""</f>
        <v>GG/144/09-10</v>
      </c>
      <c r="L148">
        <v>6776</v>
      </c>
      <c r="M148">
        <v>6820</v>
      </c>
      <c r="N148" t="s">
        <v>2438</v>
      </c>
    </row>
    <row r="149" spans="1:14" x14ac:dyDescent="0.25">
      <c r="A149">
        <v>2489</v>
      </c>
      <c r="B149" t="s">
        <v>620</v>
      </c>
      <c r="C149" t="s">
        <v>1216</v>
      </c>
      <c r="D149" t="s">
        <v>1223</v>
      </c>
      <c r="E149" t="s">
        <v>891</v>
      </c>
      <c r="F149">
        <v>5</v>
      </c>
      <c r="G149">
        <v>10</v>
      </c>
      <c r="H149" s="1296">
        <v>50</v>
      </c>
      <c r="I149" t="str">
        <f t="shared" si="2"/>
        <v>-</v>
      </c>
      <c r="K149" t="str">
        <f>IF(CHALLAN!E6821&lt;&gt;"",CHALLAN!F6821,CHALLAN!G6821)&amp;""</f>
        <v>GG/145/09-10</v>
      </c>
      <c r="L149">
        <v>6821</v>
      </c>
      <c r="M149">
        <v>6864</v>
      </c>
      <c r="N149" t="s">
        <v>2438</v>
      </c>
    </row>
    <row r="150" spans="1:14" x14ac:dyDescent="0.25">
      <c r="A150">
        <v>2542</v>
      </c>
      <c r="B150" t="s">
        <v>620</v>
      </c>
      <c r="C150" t="s">
        <v>1226</v>
      </c>
      <c r="D150" t="s">
        <v>1228</v>
      </c>
      <c r="E150" t="s">
        <v>704</v>
      </c>
      <c r="F150">
        <v>4</v>
      </c>
      <c r="G150">
        <v>8</v>
      </c>
      <c r="H150" s="1296">
        <v>32</v>
      </c>
      <c r="I150" t="str">
        <f t="shared" si="2"/>
        <v>-</v>
      </c>
      <c r="K150" t="str">
        <f>IF(CHALLAN!E6865&lt;&gt;"",CHALLAN!F6865,CHALLAN!G6865)&amp;""</f>
        <v>GG/146/09-10</v>
      </c>
      <c r="L150">
        <v>6865</v>
      </c>
      <c r="M150">
        <v>6912</v>
      </c>
      <c r="N150" t="s">
        <v>2438</v>
      </c>
    </row>
    <row r="151" spans="1:14" x14ac:dyDescent="0.25">
      <c r="A151">
        <v>2589</v>
      </c>
      <c r="B151" t="s">
        <v>620</v>
      </c>
      <c r="C151" t="s">
        <v>1234</v>
      </c>
      <c r="D151" t="s">
        <v>34</v>
      </c>
      <c r="E151" t="s">
        <v>25</v>
      </c>
      <c r="F151">
        <v>2</v>
      </c>
      <c r="G151">
        <v>5</v>
      </c>
      <c r="H151" s="1296">
        <v>10</v>
      </c>
      <c r="I151" t="str">
        <f t="shared" si="2"/>
        <v>-</v>
      </c>
      <c r="K151" t="str">
        <f>IF(CHALLAN!E6913&lt;&gt;"",CHALLAN!F6913,CHALLAN!G6913)&amp;""</f>
        <v>GG/147/09-10</v>
      </c>
      <c r="L151">
        <v>6913</v>
      </c>
      <c r="M151">
        <v>6957</v>
      </c>
      <c r="N151" t="s">
        <v>2438</v>
      </c>
    </row>
    <row r="152" spans="1:14" x14ac:dyDescent="0.25">
      <c r="A152">
        <v>2590</v>
      </c>
      <c r="B152" t="s">
        <v>620</v>
      </c>
      <c r="C152" t="s">
        <v>1234</v>
      </c>
      <c r="D152" t="s">
        <v>60</v>
      </c>
      <c r="E152" t="s">
        <v>142</v>
      </c>
      <c r="F152">
        <v>3</v>
      </c>
      <c r="G152">
        <v>5</v>
      </c>
      <c r="H152" s="1296">
        <v>15</v>
      </c>
      <c r="I152" t="str">
        <f t="shared" si="2"/>
        <v>-</v>
      </c>
      <c r="K152" t="str">
        <f>IF(CHALLAN!E6958&lt;&gt;"",CHALLAN!F6958,CHALLAN!G6958)&amp;""</f>
        <v>GG/148/09-10</v>
      </c>
      <c r="L152">
        <v>6958</v>
      </c>
      <c r="M152">
        <v>7003</v>
      </c>
      <c r="N152" t="s">
        <v>2438</v>
      </c>
    </row>
    <row r="153" spans="1:14" x14ac:dyDescent="0.25">
      <c r="A153">
        <v>2591</v>
      </c>
      <c r="B153" t="s">
        <v>620</v>
      </c>
      <c r="C153" t="s">
        <v>1234</v>
      </c>
      <c r="D153" t="s">
        <v>81</v>
      </c>
      <c r="E153" t="s">
        <v>82</v>
      </c>
      <c r="F153">
        <v>2</v>
      </c>
      <c r="G153">
        <v>5</v>
      </c>
      <c r="H153" s="1296">
        <v>10</v>
      </c>
      <c r="I153" t="str">
        <f t="shared" si="2"/>
        <v>-</v>
      </c>
      <c r="K153" t="str">
        <f>IF(CHALLAN!E7004&lt;&gt;"",CHALLAN!F7004,CHALLAN!G7004)&amp;""</f>
        <v>GG/149/09-10</v>
      </c>
      <c r="L153">
        <v>7004</v>
      </c>
      <c r="M153">
        <v>7048</v>
      </c>
      <c r="N153" t="s">
        <v>2438</v>
      </c>
    </row>
    <row r="154" spans="1:14" x14ac:dyDescent="0.25">
      <c r="A154">
        <v>2594</v>
      </c>
      <c r="B154" t="s">
        <v>620</v>
      </c>
      <c r="C154" t="s">
        <v>1234</v>
      </c>
      <c r="D154" t="s">
        <v>931</v>
      </c>
      <c r="F154">
        <v>20</v>
      </c>
      <c r="G154">
        <v>1</v>
      </c>
      <c r="H154" s="1296">
        <v>20</v>
      </c>
      <c r="I154" t="str">
        <f t="shared" si="2"/>
        <v>-</v>
      </c>
      <c r="K154" t="str">
        <f>IF(CHALLAN!E7049&lt;&gt;"",CHALLAN!F7049,CHALLAN!G7049)&amp;""</f>
        <v>GG/150/09-10</v>
      </c>
      <c r="L154">
        <v>7049</v>
      </c>
      <c r="M154">
        <v>7093</v>
      </c>
      <c r="N154" t="s">
        <v>2438</v>
      </c>
    </row>
    <row r="155" spans="1:14" x14ac:dyDescent="0.25">
      <c r="A155">
        <v>2598</v>
      </c>
      <c r="B155" t="s">
        <v>620</v>
      </c>
      <c r="C155" t="s">
        <v>1234</v>
      </c>
      <c r="D155" t="s">
        <v>144</v>
      </c>
      <c r="E155" t="s">
        <v>435</v>
      </c>
      <c r="F155">
        <v>2</v>
      </c>
      <c r="G155">
        <v>25</v>
      </c>
      <c r="H155" s="1296">
        <v>50</v>
      </c>
      <c r="I155" t="str">
        <f t="shared" si="2"/>
        <v>-</v>
      </c>
      <c r="K155" t="str">
        <f>IF(CHALLAN!E7094&lt;&gt;"",CHALLAN!F7094,CHALLAN!G7094)&amp;""</f>
        <v>GG/160/09-10</v>
      </c>
      <c r="L155">
        <v>7094</v>
      </c>
      <c r="M155">
        <v>7139</v>
      </c>
      <c r="N155" t="s">
        <v>2438</v>
      </c>
    </row>
    <row r="156" spans="1:14" x14ac:dyDescent="0.25">
      <c r="A156">
        <v>2599</v>
      </c>
      <c r="B156" t="s">
        <v>620</v>
      </c>
      <c r="C156" t="s">
        <v>1234</v>
      </c>
      <c r="D156" t="s">
        <v>127</v>
      </c>
      <c r="E156" t="s">
        <v>439</v>
      </c>
      <c r="F156">
        <v>3</v>
      </c>
      <c r="G156">
        <v>25</v>
      </c>
      <c r="H156" s="1296">
        <v>75</v>
      </c>
      <c r="I156" t="str">
        <f t="shared" si="2"/>
        <v>-</v>
      </c>
      <c r="K156" t="str">
        <f>IF(CHALLAN!E7140&lt;&gt;"",CHALLAN!F7140,CHALLAN!G7140)&amp;""</f>
        <v>GG/161/09-10</v>
      </c>
      <c r="L156">
        <v>7140</v>
      </c>
      <c r="M156">
        <v>7185</v>
      </c>
      <c r="N156" t="s">
        <v>2438</v>
      </c>
    </row>
    <row r="157" spans="1:14" x14ac:dyDescent="0.25">
      <c r="A157">
        <v>2600</v>
      </c>
      <c r="B157" t="s">
        <v>620</v>
      </c>
      <c r="C157" t="s">
        <v>1234</v>
      </c>
      <c r="D157" t="s">
        <v>651</v>
      </c>
      <c r="E157" t="s">
        <v>432</v>
      </c>
      <c r="F157">
        <v>2</v>
      </c>
      <c r="G157">
        <v>25</v>
      </c>
      <c r="H157" s="1296">
        <v>50</v>
      </c>
      <c r="I157" t="str">
        <f t="shared" si="2"/>
        <v>-</v>
      </c>
      <c r="K157" t="str">
        <f>IF(CHALLAN!E7186&lt;&gt;"",CHALLAN!F7186,CHALLAN!G7186)&amp;""</f>
        <v>GG/162/09-10</v>
      </c>
      <c r="L157">
        <v>7186</v>
      </c>
      <c r="M157">
        <v>7232</v>
      </c>
      <c r="N157" t="s">
        <v>2438</v>
      </c>
    </row>
    <row r="158" spans="1:14" x14ac:dyDescent="0.25">
      <c r="A158">
        <v>2601</v>
      </c>
      <c r="B158" t="s">
        <v>620</v>
      </c>
      <c r="C158" t="s">
        <v>1234</v>
      </c>
      <c r="D158" t="s">
        <v>649</v>
      </c>
      <c r="E158" t="s">
        <v>433</v>
      </c>
      <c r="F158">
        <v>1</v>
      </c>
      <c r="G158">
        <v>25</v>
      </c>
      <c r="H158" s="1296">
        <v>25</v>
      </c>
      <c r="I158" t="str">
        <f t="shared" si="2"/>
        <v>-</v>
      </c>
      <c r="K158" t="str">
        <f>IF(CHALLAN!E7233&lt;&gt;"",CHALLAN!F7233,CHALLAN!G7233)&amp;""</f>
        <v>GG/163/09-10</v>
      </c>
      <c r="L158">
        <v>7233</v>
      </c>
      <c r="M158">
        <v>7278</v>
      </c>
      <c r="N158" t="s">
        <v>2438</v>
      </c>
    </row>
    <row r="159" spans="1:14" x14ac:dyDescent="0.25">
      <c r="A159">
        <v>2602</v>
      </c>
      <c r="B159" t="s">
        <v>620</v>
      </c>
      <c r="C159" t="s">
        <v>1234</v>
      </c>
      <c r="D159" t="s">
        <v>1243</v>
      </c>
      <c r="E159" t="s">
        <v>109</v>
      </c>
      <c r="F159">
        <v>52</v>
      </c>
      <c r="G159">
        <v>25</v>
      </c>
      <c r="H159" s="1296">
        <v>1300</v>
      </c>
      <c r="I159" t="str">
        <f t="shared" si="2"/>
        <v>-</v>
      </c>
      <c r="K159" t="str">
        <f>IF(CHALLAN!E7279&lt;&gt;"",CHALLAN!F7279,CHALLAN!G7279)&amp;""</f>
        <v>GG/164/09-10</v>
      </c>
      <c r="L159">
        <v>7279</v>
      </c>
      <c r="M159">
        <v>7324</v>
      </c>
      <c r="N159" t="s">
        <v>2438</v>
      </c>
    </row>
    <row r="160" spans="1:14" x14ac:dyDescent="0.25">
      <c r="A160">
        <v>2603</v>
      </c>
      <c r="B160" t="s">
        <v>620</v>
      </c>
      <c r="C160" t="s">
        <v>1234</v>
      </c>
      <c r="D160" t="s">
        <v>1213</v>
      </c>
      <c r="E160" t="s">
        <v>1175</v>
      </c>
      <c r="F160">
        <v>20</v>
      </c>
      <c r="G160">
        <v>20</v>
      </c>
      <c r="H160" s="1296">
        <v>400</v>
      </c>
      <c r="I160" t="str">
        <f t="shared" si="2"/>
        <v>-</v>
      </c>
      <c r="K160" t="str">
        <f>IF(CHALLAN!E7325&lt;&gt;"",CHALLAN!F7325,CHALLAN!G7325)&amp;""</f>
        <v>GG/165/09-10</v>
      </c>
      <c r="L160">
        <v>7325</v>
      </c>
      <c r="M160">
        <v>7369</v>
      </c>
      <c r="N160" t="s">
        <v>2438</v>
      </c>
    </row>
    <row r="161" spans="1:14" x14ac:dyDescent="0.25">
      <c r="A161">
        <v>2606</v>
      </c>
      <c r="B161" t="s">
        <v>620</v>
      </c>
      <c r="C161" t="s">
        <v>1234</v>
      </c>
      <c r="D161" t="s">
        <v>1228</v>
      </c>
      <c r="E161" t="s">
        <v>704</v>
      </c>
      <c r="F161">
        <v>1</v>
      </c>
      <c r="G161">
        <v>8</v>
      </c>
      <c r="H161" s="1296">
        <v>8</v>
      </c>
      <c r="I161" t="str">
        <f t="shared" si="2"/>
        <v>-</v>
      </c>
      <c r="K161" t="str">
        <f>IF(CHALLAN!E7370&lt;&gt;"",CHALLAN!F7370,CHALLAN!G7370)&amp;""</f>
        <v>GG/166/09-10</v>
      </c>
      <c r="L161">
        <v>7370</v>
      </c>
      <c r="M161">
        <v>7415</v>
      </c>
      <c r="N161" t="s">
        <v>2438</v>
      </c>
    </row>
    <row r="162" spans="1:14" x14ac:dyDescent="0.25">
      <c r="A162">
        <v>2607</v>
      </c>
      <c r="B162" t="s">
        <v>620</v>
      </c>
      <c r="C162" t="s">
        <v>1234</v>
      </c>
      <c r="D162" t="s">
        <v>1228</v>
      </c>
      <c r="E162" t="s">
        <v>704</v>
      </c>
      <c r="F162">
        <v>1</v>
      </c>
      <c r="G162">
        <v>2</v>
      </c>
      <c r="H162" s="1296">
        <v>2</v>
      </c>
      <c r="I162" t="str">
        <f t="shared" si="2"/>
        <v>-</v>
      </c>
      <c r="K162" t="str">
        <f>IF(CHALLAN!E7416&lt;&gt;"",CHALLAN!F7416,CHALLAN!G7416)&amp;""</f>
        <v>GG/167/09-10</v>
      </c>
      <c r="L162">
        <v>7416</v>
      </c>
      <c r="M162">
        <v>7460</v>
      </c>
      <c r="N162" t="s">
        <v>2438</v>
      </c>
    </row>
    <row r="163" spans="1:14" x14ac:dyDescent="0.25">
      <c r="A163">
        <v>2637</v>
      </c>
      <c r="B163" t="s">
        <v>620</v>
      </c>
      <c r="C163" t="s">
        <v>1247</v>
      </c>
      <c r="D163" t="s">
        <v>1212</v>
      </c>
      <c r="E163" t="s">
        <v>109</v>
      </c>
      <c r="F163">
        <v>40</v>
      </c>
      <c r="G163">
        <v>25</v>
      </c>
      <c r="H163" s="1296">
        <v>1000</v>
      </c>
      <c r="I163" t="str">
        <f t="shared" si="2"/>
        <v>-</v>
      </c>
      <c r="K163" t="str">
        <f>IF(CHALLAN!E7461&lt;&gt;"",CHALLAN!F7461,CHALLAN!G7461)&amp;""</f>
        <v>GG/168/09-10</v>
      </c>
      <c r="L163">
        <v>7461</v>
      </c>
      <c r="M163">
        <v>7507</v>
      </c>
      <c r="N163" t="s">
        <v>2438</v>
      </c>
    </row>
    <row r="164" spans="1:14" x14ac:dyDescent="0.25">
      <c r="A164">
        <v>2639</v>
      </c>
      <c r="B164" t="s">
        <v>620</v>
      </c>
      <c r="C164" t="s">
        <v>1247</v>
      </c>
      <c r="D164" t="s">
        <v>1228</v>
      </c>
      <c r="E164" t="s">
        <v>187</v>
      </c>
      <c r="F164">
        <v>2</v>
      </c>
      <c r="G164">
        <v>8</v>
      </c>
      <c r="H164" s="1296">
        <v>16</v>
      </c>
      <c r="I164" t="str">
        <f t="shared" si="2"/>
        <v>-</v>
      </c>
      <c r="K164" t="str">
        <f>IF(CHALLAN!E7508&lt;&gt;"",CHALLAN!F7508,CHALLAN!G7508)&amp;""</f>
        <v>GG/169/09-10</v>
      </c>
      <c r="L164">
        <v>7508</v>
      </c>
      <c r="M164">
        <v>7553</v>
      </c>
      <c r="N164" t="s">
        <v>2438</v>
      </c>
    </row>
    <row r="165" spans="1:14" x14ac:dyDescent="0.25">
      <c r="A165">
        <v>2684</v>
      </c>
      <c r="B165" t="s">
        <v>627</v>
      </c>
      <c r="C165" t="s">
        <v>1256</v>
      </c>
      <c r="D165" t="s">
        <v>1260</v>
      </c>
      <c r="E165" t="s">
        <v>424</v>
      </c>
      <c r="F165">
        <v>4</v>
      </c>
      <c r="G165">
        <v>25</v>
      </c>
      <c r="H165" s="1296">
        <v>100</v>
      </c>
      <c r="I165" t="str">
        <f t="shared" si="2"/>
        <v>-</v>
      </c>
      <c r="K165" t="str">
        <f>IF(CHALLAN!E7554&lt;&gt;"",CHALLAN!F7554,CHALLAN!G7554)&amp;""</f>
        <v>GG/170/09-10</v>
      </c>
      <c r="L165">
        <v>7554</v>
      </c>
      <c r="M165">
        <v>7600</v>
      </c>
      <c r="N165" t="s">
        <v>2438</v>
      </c>
    </row>
    <row r="166" spans="1:14" x14ac:dyDescent="0.25">
      <c r="A166">
        <v>2733</v>
      </c>
      <c r="B166" t="s">
        <v>629</v>
      </c>
      <c r="C166" t="s">
        <v>1266</v>
      </c>
      <c r="D166" t="s">
        <v>494</v>
      </c>
      <c r="E166" t="s">
        <v>327</v>
      </c>
      <c r="F166">
        <v>1</v>
      </c>
      <c r="G166">
        <v>5</v>
      </c>
      <c r="H166" s="1296">
        <v>5</v>
      </c>
      <c r="I166" t="str">
        <f t="shared" si="2"/>
        <v>-</v>
      </c>
      <c r="K166" t="str">
        <f>IF(CHALLAN!E7601&lt;&gt;"",CHALLAN!F7601,CHALLAN!G7601)&amp;""</f>
        <v>GG/171/09-10</v>
      </c>
      <c r="L166">
        <v>7601</v>
      </c>
      <c r="M166">
        <v>7666</v>
      </c>
      <c r="N166" t="s">
        <v>2438</v>
      </c>
    </row>
    <row r="167" spans="1:14" x14ac:dyDescent="0.25">
      <c r="A167">
        <v>2734</v>
      </c>
      <c r="B167" t="s">
        <v>629</v>
      </c>
      <c r="C167" t="s">
        <v>1266</v>
      </c>
      <c r="D167" t="s">
        <v>1203</v>
      </c>
      <c r="E167" t="s">
        <v>47</v>
      </c>
      <c r="F167">
        <v>3</v>
      </c>
      <c r="G167">
        <v>5</v>
      </c>
      <c r="H167" s="1296">
        <v>15</v>
      </c>
      <c r="I167" t="str">
        <f t="shared" si="2"/>
        <v>-</v>
      </c>
      <c r="K167" t="str">
        <f>IF(CHALLAN!E7667&lt;&gt;"",CHALLAN!F7667,CHALLAN!G7667)&amp;""</f>
        <v>GG/172/09-10</v>
      </c>
      <c r="L167">
        <v>7667</v>
      </c>
      <c r="M167">
        <v>7720</v>
      </c>
      <c r="N167" t="s">
        <v>2438</v>
      </c>
    </row>
    <row r="168" spans="1:14" x14ac:dyDescent="0.25">
      <c r="A168">
        <v>2735</v>
      </c>
      <c r="B168" t="s">
        <v>629</v>
      </c>
      <c r="C168" t="s">
        <v>1266</v>
      </c>
      <c r="D168" t="s">
        <v>1201</v>
      </c>
      <c r="E168" t="s">
        <v>36</v>
      </c>
      <c r="F168">
        <v>1</v>
      </c>
      <c r="G168">
        <v>5</v>
      </c>
      <c r="H168" s="1296">
        <v>5</v>
      </c>
      <c r="I168" t="str">
        <f t="shared" si="2"/>
        <v>-</v>
      </c>
      <c r="K168" t="str">
        <f>IF(CHALLAN!E7721&lt;&gt;"",CHALLAN!F7721,CHALLAN!G7721)&amp;""</f>
        <v>GG/173/09-10</v>
      </c>
      <c r="L168">
        <v>7721</v>
      </c>
      <c r="M168">
        <v>7766</v>
      </c>
      <c r="N168" t="s">
        <v>2438</v>
      </c>
    </row>
    <row r="169" spans="1:14" x14ac:dyDescent="0.25">
      <c r="A169">
        <v>2738</v>
      </c>
      <c r="B169" t="s">
        <v>629</v>
      </c>
      <c r="C169" t="s">
        <v>1266</v>
      </c>
      <c r="D169" t="s">
        <v>931</v>
      </c>
      <c r="F169">
        <v>10</v>
      </c>
      <c r="G169">
        <v>1</v>
      </c>
      <c r="H169" s="1296">
        <v>10</v>
      </c>
      <c r="I169" t="str">
        <f t="shared" si="2"/>
        <v>-</v>
      </c>
      <c r="K169" t="str">
        <f>IF(CHALLAN!E7767&lt;&gt;"",CHALLAN!F7767,CHALLAN!G7767)&amp;""</f>
        <v>GG/174/09-10</v>
      </c>
      <c r="L169">
        <v>7767</v>
      </c>
      <c r="M169">
        <v>7812</v>
      </c>
      <c r="N169" t="s">
        <v>2438</v>
      </c>
    </row>
    <row r="170" spans="1:14" x14ac:dyDescent="0.25">
      <c r="A170">
        <v>2742</v>
      </c>
      <c r="B170" t="s">
        <v>629</v>
      </c>
      <c r="C170" t="s">
        <v>1266</v>
      </c>
      <c r="D170" t="s">
        <v>144</v>
      </c>
      <c r="E170" t="s">
        <v>435</v>
      </c>
      <c r="F170">
        <v>6</v>
      </c>
      <c r="G170">
        <v>25</v>
      </c>
      <c r="H170" s="1296">
        <v>150</v>
      </c>
      <c r="I170" t="str">
        <f t="shared" si="2"/>
        <v>-</v>
      </c>
      <c r="K170" t="str">
        <f>IF(CHALLAN!E7813&lt;&gt;"",CHALLAN!F7813,CHALLAN!G7813)&amp;""</f>
        <v>GG/175/09-10</v>
      </c>
      <c r="L170">
        <v>7813</v>
      </c>
      <c r="M170">
        <v>7858</v>
      </c>
      <c r="N170" t="s">
        <v>2438</v>
      </c>
    </row>
    <row r="171" spans="1:14" x14ac:dyDescent="0.25">
      <c r="A171">
        <v>2743</v>
      </c>
      <c r="B171" t="s">
        <v>629</v>
      </c>
      <c r="C171" t="s">
        <v>1266</v>
      </c>
      <c r="D171" t="s">
        <v>651</v>
      </c>
      <c r="E171" t="s">
        <v>432</v>
      </c>
      <c r="F171">
        <v>8</v>
      </c>
      <c r="G171">
        <v>25</v>
      </c>
      <c r="H171" s="1296">
        <v>200</v>
      </c>
      <c r="I171" t="str">
        <f t="shared" si="2"/>
        <v>-</v>
      </c>
      <c r="K171" t="str">
        <f>IF(CHALLAN!E7859&lt;&gt;"",CHALLAN!F7859,CHALLAN!G7859)&amp;""</f>
        <v>GG/176/09-10</v>
      </c>
      <c r="L171">
        <v>7859</v>
      </c>
      <c r="M171">
        <v>7904</v>
      </c>
      <c r="N171" t="s">
        <v>2438</v>
      </c>
    </row>
    <row r="172" spans="1:14" x14ac:dyDescent="0.25">
      <c r="A172">
        <v>2744</v>
      </c>
      <c r="B172" t="s">
        <v>629</v>
      </c>
      <c r="C172" t="s">
        <v>1266</v>
      </c>
      <c r="D172" t="s">
        <v>1213</v>
      </c>
      <c r="E172" t="s">
        <v>1175</v>
      </c>
      <c r="F172">
        <v>10</v>
      </c>
      <c r="G172">
        <v>20</v>
      </c>
      <c r="H172" s="1296">
        <v>200</v>
      </c>
      <c r="I172" t="str">
        <f t="shared" si="2"/>
        <v>-</v>
      </c>
      <c r="K172" t="str">
        <f>IF(CHALLAN!E7905&lt;&gt;"",CHALLAN!F7905,CHALLAN!G7905)&amp;""</f>
        <v>GG/177/09-10</v>
      </c>
      <c r="L172">
        <v>7905</v>
      </c>
      <c r="M172">
        <v>7947</v>
      </c>
      <c r="N172" t="s">
        <v>2438</v>
      </c>
    </row>
    <row r="173" spans="1:14" x14ac:dyDescent="0.25">
      <c r="A173">
        <v>2745</v>
      </c>
      <c r="B173" t="s">
        <v>629</v>
      </c>
      <c r="C173" t="s">
        <v>1266</v>
      </c>
      <c r="D173" t="s">
        <v>1213</v>
      </c>
      <c r="E173" t="s">
        <v>1175</v>
      </c>
      <c r="F173">
        <v>1</v>
      </c>
      <c r="G173">
        <v>5</v>
      </c>
      <c r="H173" s="1296">
        <v>5</v>
      </c>
      <c r="I173" t="str">
        <f t="shared" si="2"/>
        <v>-</v>
      </c>
      <c r="K173" t="str">
        <f>IF(CHALLAN!E7948&lt;&gt;"",CHALLAN!F7948,CHALLAN!G7948)&amp;""</f>
        <v>GG/178/09-10</v>
      </c>
      <c r="L173">
        <v>7948</v>
      </c>
      <c r="M173">
        <v>7995</v>
      </c>
      <c r="N173" t="s">
        <v>2438</v>
      </c>
    </row>
    <row r="174" spans="1:14" x14ac:dyDescent="0.25">
      <c r="A174">
        <v>2746</v>
      </c>
      <c r="B174" t="s">
        <v>629</v>
      </c>
      <c r="C174" t="s">
        <v>1266</v>
      </c>
      <c r="D174" t="s">
        <v>226</v>
      </c>
      <c r="E174" t="s">
        <v>427</v>
      </c>
      <c r="F174">
        <v>4</v>
      </c>
      <c r="G174">
        <v>25</v>
      </c>
      <c r="H174" s="1296">
        <v>100</v>
      </c>
      <c r="I174" t="str">
        <f t="shared" si="2"/>
        <v>-</v>
      </c>
      <c r="K174" t="str">
        <f>IF(CHALLAN!E7996&lt;&gt;"",CHALLAN!F7996,CHALLAN!G7996)&amp;""</f>
        <v>GG/179/09-10</v>
      </c>
      <c r="L174">
        <v>7996</v>
      </c>
      <c r="M174">
        <v>8041</v>
      </c>
      <c r="N174" t="s">
        <v>2438</v>
      </c>
    </row>
    <row r="175" spans="1:14" x14ac:dyDescent="0.25">
      <c r="A175">
        <v>2747</v>
      </c>
      <c r="B175" t="s">
        <v>629</v>
      </c>
      <c r="C175" t="s">
        <v>1266</v>
      </c>
      <c r="D175" t="s">
        <v>145</v>
      </c>
      <c r="E175" t="s">
        <v>383</v>
      </c>
      <c r="F175">
        <v>2</v>
      </c>
      <c r="G175">
        <v>25</v>
      </c>
      <c r="H175" s="1296">
        <v>50</v>
      </c>
      <c r="I175" t="str">
        <f t="shared" si="2"/>
        <v>-</v>
      </c>
      <c r="K175" t="str">
        <f>IF(CHALLAN!E8042&lt;&gt;"",CHALLAN!F8042,CHALLAN!G8042)&amp;""</f>
        <v>GG/180/09-10</v>
      </c>
      <c r="L175">
        <v>8042</v>
      </c>
      <c r="M175">
        <v>8088</v>
      </c>
      <c r="N175" t="s">
        <v>2438</v>
      </c>
    </row>
    <row r="176" spans="1:14" x14ac:dyDescent="0.25">
      <c r="A176">
        <v>2750</v>
      </c>
      <c r="B176" t="s">
        <v>629</v>
      </c>
      <c r="C176" t="s">
        <v>1266</v>
      </c>
      <c r="D176" t="s">
        <v>1223</v>
      </c>
      <c r="F176">
        <v>2</v>
      </c>
      <c r="G176">
        <v>10</v>
      </c>
      <c r="H176" s="1296">
        <v>20</v>
      </c>
      <c r="I176" t="str">
        <f t="shared" si="2"/>
        <v>-</v>
      </c>
      <c r="K176" t="str">
        <f>IF(CHALLAN!E8089&lt;&gt;"",CHALLAN!F8089,CHALLAN!G8089)&amp;""</f>
        <v>GG/181/09-10</v>
      </c>
      <c r="L176">
        <v>8089</v>
      </c>
      <c r="M176">
        <v>8134</v>
      </c>
      <c r="N176" t="s">
        <v>2438</v>
      </c>
    </row>
    <row r="177" spans="1:14" x14ac:dyDescent="0.25">
      <c r="A177">
        <v>2779</v>
      </c>
      <c r="B177" t="s">
        <v>631</v>
      </c>
      <c r="C177" t="s">
        <v>1280</v>
      </c>
      <c r="D177" t="s">
        <v>1289</v>
      </c>
      <c r="E177" t="s">
        <v>419</v>
      </c>
      <c r="F177">
        <v>3</v>
      </c>
      <c r="G177">
        <v>200</v>
      </c>
      <c r="H177" s="1296">
        <v>600</v>
      </c>
      <c r="I177" t="str">
        <f t="shared" si="2"/>
        <v>-</v>
      </c>
      <c r="K177" t="str">
        <f>IF(CHALLAN!E8135&lt;&gt;"",CHALLAN!F8135,CHALLAN!G8135)&amp;""</f>
        <v>GG/182/09-10</v>
      </c>
      <c r="L177">
        <v>8135</v>
      </c>
      <c r="M177">
        <v>8180</v>
      </c>
      <c r="N177" t="s">
        <v>2438</v>
      </c>
    </row>
    <row r="178" spans="1:14" x14ac:dyDescent="0.25">
      <c r="A178">
        <v>2780</v>
      </c>
      <c r="B178" t="s">
        <v>631</v>
      </c>
      <c r="C178" t="s">
        <v>1280</v>
      </c>
      <c r="D178" t="s">
        <v>1293</v>
      </c>
      <c r="F178">
        <v>5</v>
      </c>
      <c r="G178">
        <v>100</v>
      </c>
      <c r="H178" s="1296">
        <v>500</v>
      </c>
      <c r="I178" t="str">
        <f t="shared" si="2"/>
        <v>-</v>
      </c>
      <c r="K178" t="str">
        <f>IF(CHALLAN!E8181&lt;&gt;"",CHALLAN!F8181,CHALLAN!G8181)&amp;""</f>
        <v>GG/183/09-10</v>
      </c>
      <c r="L178">
        <v>8181</v>
      </c>
      <c r="M178">
        <v>8226</v>
      </c>
      <c r="N178" t="s">
        <v>2438</v>
      </c>
    </row>
    <row r="179" spans="1:14" x14ac:dyDescent="0.25">
      <c r="A179">
        <v>2781</v>
      </c>
      <c r="B179" t="s">
        <v>631</v>
      </c>
      <c r="C179" t="s">
        <v>1280</v>
      </c>
      <c r="D179" t="s">
        <v>1294</v>
      </c>
      <c r="E179" t="s">
        <v>1295</v>
      </c>
      <c r="F179">
        <v>1</v>
      </c>
      <c r="G179">
        <v>50</v>
      </c>
      <c r="H179" s="1296">
        <v>50</v>
      </c>
      <c r="I179" t="str">
        <f t="shared" si="2"/>
        <v>-</v>
      </c>
      <c r="K179" t="str">
        <f>IF(CHALLAN!E8227&lt;&gt;"",CHALLAN!F8227,CHALLAN!G8227)&amp;""</f>
        <v>GG/184/09-10</v>
      </c>
      <c r="L179">
        <v>8227</v>
      </c>
      <c r="M179">
        <v>8270</v>
      </c>
      <c r="N179" t="s">
        <v>2438</v>
      </c>
    </row>
    <row r="180" spans="1:14" x14ac:dyDescent="0.25">
      <c r="A180">
        <v>2782</v>
      </c>
      <c r="B180" t="s">
        <v>631</v>
      </c>
      <c r="C180" t="s">
        <v>1280</v>
      </c>
      <c r="D180" t="s">
        <v>1296</v>
      </c>
      <c r="F180">
        <v>7</v>
      </c>
      <c r="G180">
        <v>2</v>
      </c>
      <c r="H180" s="1296">
        <v>14</v>
      </c>
      <c r="I180" t="str">
        <f t="shared" si="2"/>
        <v>-</v>
      </c>
      <c r="K180" t="str">
        <f>IF(CHALLAN!E8271&lt;&gt;"",CHALLAN!F8271,CHALLAN!G8271)&amp;""</f>
        <v>GG/185/09-10</v>
      </c>
      <c r="L180">
        <v>8271</v>
      </c>
      <c r="M180">
        <v>8316</v>
      </c>
      <c r="N180" t="s">
        <v>2438</v>
      </c>
    </row>
    <row r="181" spans="1:14" x14ac:dyDescent="0.25">
      <c r="A181">
        <v>2786</v>
      </c>
      <c r="B181" t="s">
        <v>631</v>
      </c>
      <c r="C181" t="s">
        <v>1280</v>
      </c>
      <c r="D181" t="s">
        <v>1298</v>
      </c>
      <c r="E181" t="s">
        <v>393</v>
      </c>
      <c r="F181">
        <v>1</v>
      </c>
      <c r="G181">
        <v>6</v>
      </c>
      <c r="H181" s="1296">
        <v>6</v>
      </c>
      <c r="I181" t="str">
        <f t="shared" si="2"/>
        <v>-</v>
      </c>
      <c r="K181" t="str">
        <f>IF(CHALLAN!E8317&lt;&gt;"",CHALLAN!F8317,CHALLAN!G8317)&amp;""</f>
        <v>GG/186/09-10</v>
      </c>
      <c r="L181">
        <v>8317</v>
      </c>
      <c r="M181">
        <v>8362</v>
      </c>
      <c r="N181" t="s">
        <v>2438</v>
      </c>
    </row>
    <row r="182" spans="1:14" x14ac:dyDescent="0.25">
      <c r="A182">
        <v>2787</v>
      </c>
      <c r="B182" t="s">
        <v>631</v>
      </c>
      <c r="C182" t="s">
        <v>1280</v>
      </c>
      <c r="D182" t="s">
        <v>191</v>
      </c>
      <c r="E182" t="s">
        <v>362</v>
      </c>
      <c r="F182">
        <v>1</v>
      </c>
      <c r="G182">
        <v>6</v>
      </c>
      <c r="H182" s="1296">
        <v>6</v>
      </c>
      <c r="I182" t="str">
        <f t="shared" si="2"/>
        <v>-</v>
      </c>
      <c r="K182" t="str">
        <f>IF(CHALLAN!E8363&lt;&gt;"",CHALLAN!F8363,CHALLAN!G8363)&amp;""</f>
        <v>GG/187/09-10</v>
      </c>
      <c r="L182">
        <v>8363</v>
      </c>
      <c r="M182">
        <v>8409</v>
      </c>
      <c r="N182" t="s">
        <v>2438</v>
      </c>
    </row>
    <row r="183" spans="1:14" x14ac:dyDescent="0.25">
      <c r="A183">
        <v>2788</v>
      </c>
      <c r="B183" t="s">
        <v>631</v>
      </c>
      <c r="C183" t="s">
        <v>1280</v>
      </c>
      <c r="D183" t="s">
        <v>194</v>
      </c>
      <c r="E183" t="s">
        <v>365</v>
      </c>
      <c r="F183">
        <v>2</v>
      </c>
      <c r="G183">
        <v>6</v>
      </c>
      <c r="H183" s="1296">
        <v>12</v>
      </c>
      <c r="I183" t="str">
        <f t="shared" si="2"/>
        <v>-</v>
      </c>
      <c r="K183" t="str">
        <f>IF(CHALLAN!E8410&lt;&gt;"",CHALLAN!F8410,CHALLAN!G8410)&amp;""</f>
        <v>GG/188/09-10</v>
      </c>
      <c r="L183">
        <v>8410</v>
      </c>
      <c r="M183">
        <v>8456</v>
      </c>
      <c r="N183" t="s">
        <v>2438</v>
      </c>
    </row>
    <row r="184" spans="1:14" x14ac:dyDescent="0.25">
      <c r="A184">
        <v>2789</v>
      </c>
      <c r="B184" t="s">
        <v>631</v>
      </c>
      <c r="C184" t="s">
        <v>1280</v>
      </c>
      <c r="D184" t="s">
        <v>1300</v>
      </c>
      <c r="E184" t="s">
        <v>367</v>
      </c>
      <c r="F184">
        <v>1</v>
      </c>
      <c r="G184">
        <v>6</v>
      </c>
      <c r="H184" s="1296">
        <v>6</v>
      </c>
      <c r="I184" t="str">
        <f t="shared" si="2"/>
        <v>-</v>
      </c>
      <c r="K184" t="str">
        <f>IF(CHALLAN!E8457&lt;&gt;"",CHALLAN!F8457,CHALLAN!G8457)&amp;""</f>
        <v>GG/189/09-10</v>
      </c>
      <c r="L184">
        <v>8457</v>
      </c>
      <c r="M184">
        <v>8500</v>
      </c>
      <c r="N184" t="s">
        <v>2438</v>
      </c>
    </row>
    <row r="185" spans="1:14" x14ac:dyDescent="0.25">
      <c r="A185">
        <v>2790</v>
      </c>
      <c r="B185" t="s">
        <v>631</v>
      </c>
      <c r="C185" t="s">
        <v>1280</v>
      </c>
      <c r="D185" t="s">
        <v>198</v>
      </c>
      <c r="E185" t="s">
        <v>368</v>
      </c>
      <c r="F185">
        <v>4</v>
      </c>
      <c r="G185">
        <v>6</v>
      </c>
      <c r="H185" s="1296">
        <v>24</v>
      </c>
      <c r="I185" t="str">
        <f t="shared" si="2"/>
        <v>-</v>
      </c>
      <c r="K185" t="str">
        <f>IF(CHALLAN!E8501&lt;&gt;"",CHALLAN!F8501,CHALLAN!G8501)&amp;""</f>
        <v>GG/190/09-10</v>
      </c>
      <c r="L185">
        <v>8501</v>
      </c>
      <c r="M185">
        <v>8546</v>
      </c>
      <c r="N185" t="s">
        <v>2438</v>
      </c>
    </row>
    <row r="186" spans="1:14" x14ac:dyDescent="0.25">
      <c r="A186">
        <v>2791</v>
      </c>
      <c r="B186" t="s">
        <v>631</v>
      </c>
      <c r="C186" t="s">
        <v>1280</v>
      </c>
      <c r="D186" t="s">
        <v>63</v>
      </c>
      <c r="E186" t="s">
        <v>371</v>
      </c>
      <c r="F186">
        <v>4</v>
      </c>
      <c r="G186">
        <v>6</v>
      </c>
      <c r="H186" s="1296">
        <v>24</v>
      </c>
      <c r="I186" t="str">
        <f t="shared" si="2"/>
        <v>-</v>
      </c>
      <c r="K186" t="str">
        <f>IF(CHALLAN!E8547&lt;&gt;"",CHALLAN!F8547,CHALLAN!G8547)&amp;""</f>
        <v>GG/191/09-10</v>
      </c>
      <c r="L186">
        <v>8547</v>
      </c>
      <c r="M186">
        <v>8592</v>
      </c>
      <c r="N186" t="s">
        <v>2438</v>
      </c>
    </row>
    <row r="187" spans="1:14" x14ac:dyDescent="0.25">
      <c r="A187">
        <v>2792</v>
      </c>
      <c r="B187" t="s">
        <v>631</v>
      </c>
      <c r="C187" t="s">
        <v>1280</v>
      </c>
      <c r="D187" t="s">
        <v>1301</v>
      </c>
      <c r="E187" t="s">
        <v>372</v>
      </c>
      <c r="F187">
        <v>4</v>
      </c>
      <c r="G187">
        <v>6</v>
      </c>
      <c r="H187" s="1296">
        <v>24</v>
      </c>
      <c r="I187" t="str">
        <f t="shared" si="2"/>
        <v>-</v>
      </c>
      <c r="K187" t="str">
        <f>IF(CHALLAN!E8593&lt;&gt;"",CHALLAN!F8593,CHALLAN!G8593)&amp;""</f>
        <v>GG/192/09-10</v>
      </c>
      <c r="L187">
        <v>8593</v>
      </c>
      <c r="M187">
        <v>8638</v>
      </c>
      <c r="N187" t="s">
        <v>2438</v>
      </c>
    </row>
    <row r="188" spans="1:14" x14ac:dyDescent="0.25">
      <c r="A188">
        <v>2793</v>
      </c>
      <c r="B188" t="s">
        <v>631</v>
      </c>
      <c r="C188" t="s">
        <v>1280</v>
      </c>
      <c r="D188" t="s">
        <v>76</v>
      </c>
      <c r="E188" t="s">
        <v>376</v>
      </c>
      <c r="F188">
        <v>1</v>
      </c>
      <c r="G188">
        <v>6</v>
      </c>
      <c r="H188" s="1296">
        <v>6</v>
      </c>
      <c r="I188" t="str">
        <f t="shared" si="2"/>
        <v>-</v>
      </c>
      <c r="K188" t="str">
        <f>IF(CHALLAN!E8639&lt;&gt;"",CHALLAN!F8639,CHALLAN!G8639)&amp;""</f>
        <v>GG/193/09-10</v>
      </c>
      <c r="L188">
        <v>8639</v>
      </c>
      <c r="M188">
        <v>8685</v>
      </c>
      <c r="N188" t="s">
        <v>2438</v>
      </c>
    </row>
    <row r="189" spans="1:14" x14ac:dyDescent="0.25">
      <c r="A189">
        <v>2794</v>
      </c>
      <c r="B189" t="s">
        <v>631</v>
      </c>
      <c r="C189" t="s">
        <v>1280</v>
      </c>
      <c r="D189" t="s">
        <v>206</v>
      </c>
      <c r="E189" t="s">
        <v>377</v>
      </c>
      <c r="F189">
        <v>4</v>
      </c>
      <c r="G189">
        <v>6</v>
      </c>
      <c r="H189" s="1296">
        <v>24</v>
      </c>
      <c r="I189" t="str">
        <f t="shared" si="2"/>
        <v>-</v>
      </c>
      <c r="K189" t="str">
        <f>IF(CHALLAN!E8686&lt;&gt;"",CHALLAN!F8686,CHALLAN!G8686)&amp;""</f>
        <v>GG/194/09-10</v>
      </c>
      <c r="L189">
        <v>8686</v>
      </c>
      <c r="M189">
        <v>8731</v>
      </c>
      <c r="N189" t="s">
        <v>2438</v>
      </c>
    </row>
    <row r="190" spans="1:14" x14ac:dyDescent="0.25">
      <c r="A190">
        <v>2795</v>
      </c>
      <c r="B190" t="s">
        <v>631</v>
      </c>
      <c r="C190" t="s">
        <v>1280</v>
      </c>
      <c r="D190" t="s">
        <v>207</v>
      </c>
      <c r="E190" t="s">
        <v>378</v>
      </c>
      <c r="F190">
        <v>1</v>
      </c>
      <c r="G190">
        <v>6</v>
      </c>
      <c r="H190" s="1296">
        <v>6</v>
      </c>
      <c r="I190" t="str">
        <f t="shared" si="2"/>
        <v>-</v>
      </c>
      <c r="K190" t="str">
        <f>IF(CHALLAN!E8732&lt;&gt;"",CHALLAN!F8732,CHALLAN!G8732)&amp;""</f>
        <v>GG/195/09-10</v>
      </c>
      <c r="L190">
        <v>8732</v>
      </c>
      <c r="M190">
        <v>8776</v>
      </c>
      <c r="N190" t="s">
        <v>2438</v>
      </c>
    </row>
    <row r="191" spans="1:14" x14ac:dyDescent="0.25">
      <c r="A191">
        <v>2796</v>
      </c>
      <c r="B191" t="s">
        <v>631</v>
      </c>
      <c r="C191" t="s">
        <v>1280</v>
      </c>
      <c r="D191" t="s">
        <v>208</v>
      </c>
      <c r="E191" t="s">
        <v>379</v>
      </c>
      <c r="F191">
        <v>1</v>
      </c>
      <c r="G191">
        <v>6</v>
      </c>
      <c r="H191" s="1296">
        <v>6</v>
      </c>
      <c r="I191" t="str">
        <f t="shared" si="2"/>
        <v>-</v>
      </c>
      <c r="K191" t="str">
        <f>IF(CHALLAN!E8777&lt;&gt;"",CHALLAN!F8777,CHALLAN!G8777)&amp;""</f>
        <v>GG/196/09-10</v>
      </c>
      <c r="L191">
        <v>8777</v>
      </c>
      <c r="M191">
        <v>8821</v>
      </c>
      <c r="N191" t="s">
        <v>2438</v>
      </c>
    </row>
    <row r="192" spans="1:14" x14ac:dyDescent="0.25">
      <c r="A192">
        <v>2830</v>
      </c>
      <c r="B192" t="s">
        <v>631</v>
      </c>
      <c r="C192" t="s">
        <v>1280</v>
      </c>
      <c r="D192" t="s">
        <v>210</v>
      </c>
      <c r="E192" t="s">
        <v>780</v>
      </c>
      <c r="F192">
        <v>1</v>
      </c>
      <c r="G192">
        <v>6</v>
      </c>
      <c r="H192" s="1296">
        <v>6</v>
      </c>
      <c r="I192" t="str">
        <f t="shared" si="2"/>
        <v>-</v>
      </c>
      <c r="K192" t="str">
        <f>IF(CHALLAN!E8822&lt;&gt;"",CHALLAN!F8822,CHALLAN!G8822)&amp;""</f>
        <v>GG/197/09-10</v>
      </c>
      <c r="L192">
        <v>8822</v>
      </c>
      <c r="M192">
        <v>8868</v>
      </c>
      <c r="N192" t="s">
        <v>2438</v>
      </c>
    </row>
    <row r="193" spans="1:14" x14ac:dyDescent="0.25">
      <c r="A193">
        <v>2831</v>
      </c>
      <c r="B193" t="s">
        <v>631</v>
      </c>
      <c r="C193" t="s">
        <v>1280</v>
      </c>
      <c r="D193" t="s">
        <v>210</v>
      </c>
      <c r="E193" t="s">
        <v>780</v>
      </c>
      <c r="F193">
        <v>1</v>
      </c>
      <c r="G193">
        <v>1</v>
      </c>
      <c r="H193" s="1296">
        <v>1</v>
      </c>
      <c r="I193" t="str">
        <f t="shared" si="2"/>
        <v>-</v>
      </c>
      <c r="K193" t="str">
        <f>IF(CHALLAN!E8869&lt;&gt;"",CHALLAN!F8869,CHALLAN!G8869)&amp;""</f>
        <v>GG/198/09-10</v>
      </c>
      <c r="L193">
        <v>8869</v>
      </c>
      <c r="M193">
        <v>8913</v>
      </c>
      <c r="N193" t="s">
        <v>2438</v>
      </c>
    </row>
    <row r="194" spans="1:14" x14ac:dyDescent="0.25">
      <c r="A194">
        <v>2832</v>
      </c>
      <c r="B194" t="s">
        <v>631</v>
      </c>
      <c r="C194" t="s">
        <v>1280</v>
      </c>
      <c r="D194" t="s">
        <v>213</v>
      </c>
      <c r="E194" t="s">
        <v>384</v>
      </c>
      <c r="F194">
        <v>2</v>
      </c>
      <c r="G194">
        <v>6</v>
      </c>
      <c r="H194" s="1296">
        <v>12</v>
      </c>
      <c r="I194" t="str">
        <f t="shared" ref="I194:I257" si="3">INDEX($N$2:$N$355,MATCH($A194,$L$2:$L$355,1))</f>
        <v>-</v>
      </c>
      <c r="K194" t="str">
        <f>IF(CHALLAN!E8914&lt;&gt;"",CHALLAN!F8914,CHALLAN!G8914)&amp;""</f>
        <v>GG/199/09-10</v>
      </c>
      <c r="L194">
        <v>8914</v>
      </c>
      <c r="M194">
        <v>8960</v>
      </c>
      <c r="N194" t="s">
        <v>2438</v>
      </c>
    </row>
    <row r="195" spans="1:14" x14ac:dyDescent="0.25">
      <c r="A195">
        <v>2833</v>
      </c>
      <c r="B195" t="s">
        <v>631</v>
      </c>
      <c r="C195" t="s">
        <v>1280</v>
      </c>
      <c r="D195" t="s">
        <v>215</v>
      </c>
      <c r="E195" t="s">
        <v>386</v>
      </c>
      <c r="F195">
        <v>2</v>
      </c>
      <c r="G195">
        <v>4</v>
      </c>
      <c r="H195" s="1296">
        <v>8</v>
      </c>
      <c r="I195" t="str">
        <f t="shared" si="3"/>
        <v>-</v>
      </c>
      <c r="K195" t="str">
        <f>IF(CHALLAN!E8961&lt;&gt;"",CHALLAN!F8961,CHALLAN!G8961)&amp;""</f>
        <v>GG/200/09-10</v>
      </c>
      <c r="L195">
        <v>8961</v>
      </c>
      <c r="M195">
        <v>9005</v>
      </c>
      <c r="N195" t="s">
        <v>2438</v>
      </c>
    </row>
    <row r="196" spans="1:14" x14ac:dyDescent="0.25">
      <c r="A196">
        <v>2834</v>
      </c>
      <c r="B196" t="s">
        <v>631</v>
      </c>
      <c r="C196" t="s">
        <v>1280</v>
      </c>
      <c r="D196" t="s">
        <v>1314</v>
      </c>
      <c r="E196" t="s">
        <v>387</v>
      </c>
      <c r="F196">
        <v>4</v>
      </c>
      <c r="G196">
        <v>6</v>
      </c>
      <c r="H196" s="1296">
        <v>24</v>
      </c>
      <c r="I196" t="str">
        <f t="shared" si="3"/>
        <v>-</v>
      </c>
      <c r="K196" t="str">
        <f>IF(CHALLAN!E9006&lt;&gt;"",CHALLAN!F9006,CHALLAN!G9006)&amp;""</f>
        <v>GG/201/09-10</v>
      </c>
      <c r="L196">
        <v>9006</v>
      </c>
      <c r="M196">
        <v>9053</v>
      </c>
      <c r="N196" t="s">
        <v>2438</v>
      </c>
    </row>
    <row r="197" spans="1:14" x14ac:dyDescent="0.25">
      <c r="A197">
        <v>2835</v>
      </c>
      <c r="B197" t="s">
        <v>631</v>
      </c>
      <c r="C197" t="s">
        <v>1280</v>
      </c>
      <c r="D197" t="s">
        <v>217</v>
      </c>
      <c r="E197" t="s">
        <v>388</v>
      </c>
      <c r="F197">
        <v>3</v>
      </c>
      <c r="G197">
        <v>6</v>
      </c>
      <c r="H197" s="1296">
        <v>18</v>
      </c>
      <c r="I197" t="str">
        <f t="shared" si="3"/>
        <v>-</v>
      </c>
      <c r="K197" t="str">
        <f>IF(CHALLAN!E9054&lt;&gt;"",CHALLAN!F9054,CHALLAN!G9054)&amp;""</f>
        <v>GG/202/09-10</v>
      </c>
      <c r="L197">
        <v>9054</v>
      </c>
      <c r="M197">
        <v>9098</v>
      </c>
      <c r="N197" t="s">
        <v>2438</v>
      </c>
    </row>
    <row r="198" spans="1:14" x14ac:dyDescent="0.25">
      <c r="A198">
        <v>2836</v>
      </c>
      <c r="B198" t="s">
        <v>631</v>
      </c>
      <c r="C198" t="s">
        <v>1280</v>
      </c>
      <c r="D198" t="s">
        <v>217</v>
      </c>
      <c r="E198" t="s">
        <v>388</v>
      </c>
      <c r="F198">
        <v>1</v>
      </c>
      <c r="G198">
        <v>4</v>
      </c>
      <c r="H198" s="1296">
        <v>4</v>
      </c>
      <c r="I198" t="str">
        <f t="shared" si="3"/>
        <v>-</v>
      </c>
      <c r="K198" t="str">
        <f>IF(CHALLAN!E9099&lt;&gt;"",CHALLAN!F9099,CHALLAN!G9099)&amp;""</f>
        <v>GG/203/09-10</v>
      </c>
      <c r="L198">
        <v>9099</v>
      </c>
      <c r="M198">
        <v>9143</v>
      </c>
      <c r="N198" t="s">
        <v>2438</v>
      </c>
    </row>
    <row r="199" spans="1:14" x14ac:dyDescent="0.25">
      <c r="A199">
        <v>2837</v>
      </c>
      <c r="B199" t="s">
        <v>631</v>
      </c>
      <c r="C199" t="s">
        <v>1280</v>
      </c>
      <c r="D199" t="s">
        <v>219</v>
      </c>
      <c r="E199" t="s">
        <v>390</v>
      </c>
      <c r="F199">
        <v>1</v>
      </c>
      <c r="G199">
        <v>6</v>
      </c>
      <c r="H199" s="1296">
        <v>6</v>
      </c>
      <c r="I199" t="str">
        <f t="shared" si="3"/>
        <v>-</v>
      </c>
      <c r="K199" t="str">
        <f>IF(CHALLAN!E9144&lt;&gt;"",CHALLAN!F9144,CHALLAN!G9144)&amp;""</f>
        <v>GG/204/09-10</v>
      </c>
      <c r="L199">
        <v>9144</v>
      </c>
      <c r="M199">
        <v>9189</v>
      </c>
      <c r="N199" t="s">
        <v>2438</v>
      </c>
    </row>
    <row r="200" spans="1:14" x14ac:dyDescent="0.25">
      <c r="A200">
        <v>2838</v>
      </c>
      <c r="B200" t="s">
        <v>631</v>
      </c>
      <c r="C200" t="s">
        <v>1280</v>
      </c>
      <c r="D200" t="s">
        <v>1317</v>
      </c>
      <c r="E200" t="s">
        <v>396</v>
      </c>
      <c r="F200">
        <v>3</v>
      </c>
      <c r="G200">
        <v>8</v>
      </c>
      <c r="H200" s="1296">
        <v>24</v>
      </c>
      <c r="I200" t="str">
        <f t="shared" si="3"/>
        <v>-</v>
      </c>
      <c r="K200" t="str">
        <f>IF(CHALLAN!E9190&lt;&gt;"",CHALLAN!F9190,CHALLAN!G9190)&amp;""</f>
        <v>GG/205/09-10</v>
      </c>
      <c r="L200">
        <v>9190</v>
      </c>
      <c r="M200">
        <v>9235</v>
      </c>
      <c r="N200" t="s">
        <v>2438</v>
      </c>
    </row>
    <row r="201" spans="1:14" x14ac:dyDescent="0.25">
      <c r="A201">
        <v>2839</v>
      </c>
      <c r="B201" t="s">
        <v>631</v>
      </c>
      <c r="C201" t="s">
        <v>1280</v>
      </c>
      <c r="D201" t="s">
        <v>1317</v>
      </c>
      <c r="E201" t="s">
        <v>396</v>
      </c>
      <c r="F201">
        <v>1</v>
      </c>
      <c r="G201">
        <v>6</v>
      </c>
      <c r="H201" s="1296">
        <v>6</v>
      </c>
      <c r="I201" t="str">
        <f t="shared" si="3"/>
        <v>-</v>
      </c>
      <c r="K201" t="str">
        <f>IF(CHALLAN!E9236&lt;&gt;"",CHALLAN!F9236,CHALLAN!G9236)&amp;""</f>
        <v>GG/206/09-10</v>
      </c>
      <c r="L201">
        <v>9236</v>
      </c>
      <c r="M201">
        <v>9281</v>
      </c>
      <c r="N201" t="s">
        <v>2438</v>
      </c>
    </row>
    <row r="202" spans="1:14" x14ac:dyDescent="0.25">
      <c r="A202">
        <v>2840</v>
      </c>
      <c r="B202" t="s">
        <v>631</v>
      </c>
      <c r="C202" t="s">
        <v>1280</v>
      </c>
      <c r="D202" t="s">
        <v>228</v>
      </c>
      <c r="E202" t="s">
        <v>398</v>
      </c>
      <c r="F202">
        <v>7</v>
      </c>
      <c r="G202">
        <v>6</v>
      </c>
      <c r="H202" s="1296">
        <v>42</v>
      </c>
      <c r="I202" t="str">
        <f t="shared" si="3"/>
        <v>-</v>
      </c>
      <c r="K202" t="str">
        <f>IF(CHALLAN!E9282&lt;&gt;"",CHALLAN!F9282,CHALLAN!G9282)&amp;""</f>
        <v>GG/207/09-10</v>
      </c>
      <c r="L202">
        <v>9282</v>
      </c>
      <c r="M202">
        <v>9328</v>
      </c>
      <c r="N202" t="s">
        <v>2438</v>
      </c>
    </row>
    <row r="203" spans="1:14" x14ac:dyDescent="0.25">
      <c r="A203">
        <v>2841</v>
      </c>
      <c r="B203" t="s">
        <v>631</v>
      </c>
      <c r="C203" t="s">
        <v>1280</v>
      </c>
      <c r="D203" t="s">
        <v>231</v>
      </c>
      <c r="E203" t="s">
        <v>400</v>
      </c>
      <c r="F203">
        <v>12</v>
      </c>
      <c r="G203">
        <v>6</v>
      </c>
      <c r="H203" s="1296">
        <v>72</v>
      </c>
      <c r="I203" t="str">
        <f t="shared" si="3"/>
        <v>-</v>
      </c>
      <c r="K203" t="str">
        <f>IF(CHALLAN!E9329&lt;&gt;"",CHALLAN!F9329,CHALLAN!G9329)&amp;""</f>
        <v>GG/208/09-10</v>
      </c>
      <c r="L203">
        <v>9329</v>
      </c>
      <c r="M203">
        <v>9375</v>
      </c>
      <c r="N203" t="s">
        <v>2438</v>
      </c>
    </row>
    <row r="204" spans="1:14" x14ac:dyDescent="0.25">
      <c r="A204">
        <v>2880</v>
      </c>
      <c r="B204" t="s">
        <v>633</v>
      </c>
      <c r="C204" t="s">
        <v>1320</v>
      </c>
      <c r="D204" t="s">
        <v>1289</v>
      </c>
      <c r="E204" t="s">
        <v>419</v>
      </c>
      <c r="F204">
        <v>5</v>
      </c>
      <c r="G204">
        <v>200</v>
      </c>
      <c r="H204" s="1296">
        <v>1000</v>
      </c>
      <c r="I204" t="str">
        <f t="shared" si="3"/>
        <v>-</v>
      </c>
      <c r="K204" t="str">
        <f>IF(CHALLAN!E9376&lt;&gt;"",CHALLAN!F9376,CHALLAN!G9376)&amp;""</f>
        <v>GG/209/09-10</v>
      </c>
      <c r="L204">
        <v>9376</v>
      </c>
      <c r="M204">
        <v>9419</v>
      </c>
      <c r="N204" t="s">
        <v>2438</v>
      </c>
    </row>
    <row r="205" spans="1:14" x14ac:dyDescent="0.25">
      <c r="A205">
        <v>2881</v>
      </c>
      <c r="B205" t="s">
        <v>633</v>
      </c>
      <c r="C205" t="s">
        <v>1320</v>
      </c>
      <c r="D205" t="s">
        <v>1296</v>
      </c>
      <c r="F205">
        <v>5</v>
      </c>
      <c r="G205">
        <v>2</v>
      </c>
      <c r="H205" s="1296">
        <v>10</v>
      </c>
      <c r="I205" t="str">
        <f t="shared" si="3"/>
        <v>-</v>
      </c>
      <c r="K205" t="str">
        <f>IF(CHALLAN!E9420&lt;&gt;"",CHALLAN!F9420,CHALLAN!G9420)&amp;""</f>
        <v>GG/210/09-10</v>
      </c>
      <c r="L205">
        <v>9420</v>
      </c>
      <c r="M205">
        <v>9465</v>
      </c>
      <c r="N205" t="s">
        <v>2438</v>
      </c>
    </row>
    <row r="206" spans="1:14" x14ac:dyDescent="0.25">
      <c r="A206">
        <v>2884</v>
      </c>
      <c r="B206" t="s">
        <v>633</v>
      </c>
      <c r="C206" t="s">
        <v>1320</v>
      </c>
      <c r="D206" t="s">
        <v>191</v>
      </c>
      <c r="E206" t="s">
        <v>362</v>
      </c>
      <c r="F206">
        <v>2</v>
      </c>
      <c r="G206">
        <v>6</v>
      </c>
      <c r="H206" s="1296">
        <v>12</v>
      </c>
      <c r="I206" t="str">
        <f t="shared" si="3"/>
        <v>-</v>
      </c>
      <c r="K206" t="str">
        <f>IF(CHALLAN!E9466&lt;&gt;"",CHALLAN!F9466,CHALLAN!G9466)&amp;""</f>
        <v>GG/211/09-10</v>
      </c>
      <c r="L206">
        <v>9466</v>
      </c>
      <c r="M206">
        <v>9512</v>
      </c>
      <c r="N206" t="s">
        <v>2438</v>
      </c>
    </row>
    <row r="207" spans="1:14" x14ac:dyDescent="0.25">
      <c r="A207">
        <v>2885</v>
      </c>
      <c r="B207" t="s">
        <v>633</v>
      </c>
      <c r="C207" t="s">
        <v>1320</v>
      </c>
      <c r="D207" t="s">
        <v>194</v>
      </c>
      <c r="E207" t="s">
        <v>365</v>
      </c>
      <c r="F207">
        <v>1</v>
      </c>
      <c r="G207">
        <v>6</v>
      </c>
      <c r="H207" s="1296">
        <v>6</v>
      </c>
      <c r="I207" t="str">
        <f t="shared" si="3"/>
        <v>-</v>
      </c>
      <c r="K207" t="str">
        <f>IF(CHALLAN!E9513&lt;&gt;"",CHALLAN!F9513,CHALLAN!G9513)&amp;""</f>
        <v>GG/212/09-10</v>
      </c>
      <c r="L207">
        <v>9513</v>
      </c>
      <c r="M207">
        <v>9558</v>
      </c>
      <c r="N207" t="s">
        <v>2438</v>
      </c>
    </row>
    <row r="208" spans="1:14" x14ac:dyDescent="0.25">
      <c r="A208">
        <v>2886</v>
      </c>
      <c r="B208" t="s">
        <v>633</v>
      </c>
      <c r="C208" t="s">
        <v>1320</v>
      </c>
      <c r="D208" t="s">
        <v>1325</v>
      </c>
      <c r="E208" t="s">
        <v>374</v>
      </c>
      <c r="F208">
        <v>1</v>
      </c>
      <c r="G208">
        <v>6</v>
      </c>
      <c r="H208" s="1296">
        <v>6</v>
      </c>
      <c r="I208" t="str">
        <f t="shared" si="3"/>
        <v>-</v>
      </c>
      <c r="K208" t="str">
        <f>IF(CHALLAN!E9559&lt;&gt;"",CHALLAN!F9559,CHALLAN!G9559)&amp;""</f>
        <v>GG/213/09-10</v>
      </c>
      <c r="L208">
        <v>9559</v>
      </c>
      <c r="M208">
        <v>9603</v>
      </c>
      <c r="N208" t="s">
        <v>2438</v>
      </c>
    </row>
    <row r="209" spans="1:14" x14ac:dyDescent="0.25">
      <c r="A209">
        <v>2887</v>
      </c>
      <c r="B209" t="s">
        <v>633</v>
      </c>
      <c r="C209" t="s">
        <v>1320</v>
      </c>
      <c r="D209" t="s">
        <v>213</v>
      </c>
      <c r="E209" t="s">
        <v>384</v>
      </c>
      <c r="F209">
        <v>2</v>
      </c>
      <c r="G209">
        <v>6</v>
      </c>
      <c r="H209" s="1296">
        <v>12</v>
      </c>
      <c r="I209" t="str">
        <f t="shared" si="3"/>
        <v>-</v>
      </c>
      <c r="K209" t="str">
        <f>IF(CHALLAN!E9604&lt;&gt;"",CHALLAN!F9604,CHALLAN!G9604)&amp;""</f>
        <v>GG/214/09-10</v>
      </c>
      <c r="L209">
        <v>9604</v>
      </c>
      <c r="M209">
        <v>9650</v>
      </c>
      <c r="N209" t="s">
        <v>2438</v>
      </c>
    </row>
    <row r="210" spans="1:14" x14ac:dyDescent="0.25">
      <c r="A210">
        <v>2888</v>
      </c>
      <c r="B210" t="s">
        <v>633</v>
      </c>
      <c r="C210" t="s">
        <v>1320</v>
      </c>
      <c r="D210" t="s">
        <v>1314</v>
      </c>
      <c r="E210" t="s">
        <v>387</v>
      </c>
      <c r="F210">
        <v>2</v>
      </c>
      <c r="G210">
        <v>6</v>
      </c>
      <c r="H210" s="1296">
        <v>12</v>
      </c>
      <c r="I210" t="str">
        <f t="shared" si="3"/>
        <v>-</v>
      </c>
      <c r="K210" t="str">
        <f>IF(CHALLAN!E9651&lt;&gt;"",CHALLAN!F9651,CHALLAN!G9651)&amp;""</f>
        <v>GG/215/09-10</v>
      </c>
      <c r="L210">
        <v>9651</v>
      </c>
      <c r="M210">
        <v>9695</v>
      </c>
      <c r="N210" t="s">
        <v>2438</v>
      </c>
    </row>
    <row r="211" spans="1:14" x14ac:dyDescent="0.25">
      <c r="A211">
        <v>2889</v>
      </c>
      <c r="B211" t="s">
        <v>633</v>
      </c>
      <c r="C211" t="s">
        <v>1320</v>
      </c>
      <c r="D211" t="s">
        <v>219</v>
      </c>
      <c r="E211" t="s">
        <v>390</v>
      </c>
      <c r="F211">
        <v>1</v>
      </c>
      <c r="G211">
        <v>6</v>
      </c>
      <c r="H211" s="1296">
        <v>6</v>
      </c>
      <c r="I211" t="str">
        <f t="shared" si="3"/>
        <v>-</v>
      </c>
      <c r="K211" t="str">
        <f>IF(CHALLAN!E9696&lt;&gt;"",CHALLAN!F9696,CHALLAN!G9696)&amp;""</f>
        <v>GG/216/09-10</v>
      </c>
      <c r="L211">
        <v>9696</v>
      </c>
      <c r="M211">
        <v>9741</v>
      </c>
      <c r="N211" t="s">
        <v>2438</v>
      </c>
    </row>
    <row r="212" spans="1:14" x14ac:dyDescent="0.25">
      <c r="A212">
        <v>2922</v>
      </c>
      <c r="B212" t="s">
        <v>633</v>
      </c>
      <c r="C212" t="s">
        <v>1327</v>
      </c>
      <c r="D212" t="s">
        <v>1289</v>
      </c>
      <c r="E212" t="s">
        <v>419</v>
      </c>
      <c r="F212">
        <v>2</v>
      </c>
      <c r="G212">
        <v>200</v>
      </c>
      <c r="H212" s="1296">
        <v>400</v>
      </c>
      <c r="I212" t="str">
        <f t="shared" si="3"/>
        <v>-</v>
      </c>
      <c r="K212" t="str">
        <f>IF(CHALLAN!E9742&lt;&gt;"",CHALLAN!F9742,CHALLAN!G9742)&amp;""</f>
        <v>GG/217/09-10</v>
      </c>
      <c r="L212">
        <v>9742</v>
      </c>
      <c r="M212">
        <v>9787</v>
      </c>
      <c r="N212" t="s">
        <v>2438</v>
      </c>
    </row>
    <row r="213" spans="1:14" x14ac:dyDescent="0.25">
      <c r="A213">
        <v>2923</v>
      </c>
      <c r="B213" t="s">
        <v>633</v>
      </c>
      <c r="C213" t="s">
        <v>1327</v>
      </c>
      <c r="D213" t="s">
        <v>1293</v>
      </c>
      <c r="F213">
        <v>1</v>
      </c>
      <c r="G213">
        <v>100</v>
      </c>
      <c r="H213" s="1296">
        <v>100</v>
      </c>
      <c r="I213" t="str">
        <f t="shared" si="3"/>
        <v>-</v>
      </c>
      <c r="K213" t="str">
        <f>IF(CHALLAN!E9788&lt;&gt;"",CHALLAN!F9788,CHALLAN!G9788)&amp;""</f>
        <v>GG/218/09-10</v>
      </c>
      <c r="L213">
        <v>9788</v>
      </c>
      <c r="M213">
        <v>9834</v>
      </c>
      <c r="N213" t="s">
        <v>2438</v>
      </c>
    </row>
    <row r="214" spans="1:14" x14ac:dyDescent="0.25">
      <c r="A214">
        <v>2924</v>
      </c>
      <c r="B214" t="s">
        <v>633</v>
      </c>
      <c r="C214" t="s">
        <v>1327</v>
      </c>
      <c r="D214" t="s">
        <v>1331</v>
      </c>
      <c r="F214">
        <v>1</v>
      </c>
      <c r="G214">
        <v>250</v>
      </c>
      <c r="H214" s="1296">
        <v>250</v>
      </c>
      <c r="I214" t="str">
        <f t="shared" si="3"/>
        <v>-</v>
      </c>
      <c r="K214" t="str">
        <f>IF(CHALLAN!E9835&lt;&gt;"",CHALLAN!F9835,CHALLAN!G9835)&amp;""</f>
        <v>GG/219/09-10</v>
      </c>
      <c r="L214">
        <v>9835</v>
      </c>
      <c r="M214">
        <v>9879</v>
      </c>
      <c r="N214" t="s">
        <v>2438</v>
      </c>
    </row>
    <row r="215" spans="1:14" x14ac:dyDescent="0.25">
      <c r="A215">
        <v>2926</v>
      </c>
      <c r="B215" t="s">
        <v>633</v>
      </c>
      <c r="C215" t="s">
        <v>1327</v>
      </c>
      <c r="D215" t="s">
        <v>1333</v>
      </c>
      <c r="E215" t="s">
        <v>1176</v>
      </c>
      <c r="F215">
        <v>1</v>
      </c>
      <c r="G215">
        <v>200</v>
      </c>
      <c r="H215" s="1296">
        <v>200</v>
      </c>
      <c r="I215" t="str">
        <f t="shared" si="3"/>
        <v>-</v>
      </c>
      <c r="K215" t="str">
        <f>IF(CHALLAN!E9880&lt;&gt;"",CHALLAN!F9880,CHALLAN!G9880)&amp;""</f>
        <v>GG/220/09-10</v>
      </c>
      <c r="L215">
        <v>9880</v>
      </c>
      <c r="M215">
        <v>9924</v>
      </c>
      <c r="N215" t="s">
        <v>2438</v>
      </c>
    </row>
    <row r="216" spans="1:14" x14ac:dyDescent="0.25">
      <c r="A216">
        <v>2929</v>
      </c>
      <c r="B216" t="s">
        <v>633</v>
      </c>
      <c r="C216" t="s">
        <v>1327</v>
      </c>
      <c r="D216" t="s">
        <v>1334</v>
      </c>
      <c r="E216" t="s">
        <v>331</v>
      </c>
      <c r="F216">
        <v>10</v>
      </c>
      <c r="G216">
        <v>5</v>
      </c>
      <c r="H216" s="1296">
        <v>50</v>
      </c>
      <c r="I216" t="str">
        <f t="shared" si="3"/>
        <v>-</v>
      </c>
      <c r="K216" t="str">
        <f>IF(CHALLAN!E9925&lt;&gt;"",CHALLAN!F9925,CHALLAN!G9925)&amp;""</f>
        <v>GG/221/09-10</v>
      </c>
      <c r="L216">
        <v>9925</v>
      </c>
      <c r="M216">
        <v>9972</v>
      </c>
      <c r="N216" t="s">
        <v>2438</v>
      </c>
    </row>
    <row r="217" spans="1:14" x14ac:dyDescent="0.25">
      <c r="A217">
        <v>2930</v>
      </c>
      <c r="B217" t="s">
        <v>633</v>
      </c>
      <c r="C217" t="s">
        <v>1327</v>
      </c>
      <c r="D217" t="s">
        <v>144</v>
      </c>
      <c r="E217" t="s">
        <v>340</v>
      </c>
      <c r="F217">
        <v>2</v>
      </c>
      <c r="G217">
        <v>5</v>
      </c>
      <c r="H217" s="1296">
        <v>10</v>
      </c>
      <c r="I217" t="str">
        <f t="shared" si="3"/>
        <v>-</v>
      </c>
      <c r="K217" t="str">
        <f>IF(CHALLAN!E9973&lt;&gt;"",CHALLAN!F9973,CHALLAN!G9973)&amp;""</f>
        <v>GG/222/09-10</v>
      </c>
      <c r="L217">
        <v>9973</v>
      </c>
      <c r="M217">
        <v>10016</v>
      </c>
      <c r="N217" t="s">
        <v>2438</v>
      </c>
    </row>
    <row r="218" spans="1:14" x14ac:dyDescent="0.25">
      <c r="A218">
        <v>2933</v>
      </c>
      <c r="B218" t="s">
        <v>633</v>
      </c>
      <c r="C218" t="s">
        <v>1327</v>
      </c>
      <c r="D218" t="s">
        <v>1298</v>
      </c>
      <c r="E218" t="s">
        <v>393</v>
      </c>
      <c r="F218">
        <v>1</v>
      </c>
      <c r="G218">
        <v>6</v>
      </c>
      <c r="H218" s="1296">
        <v>6</v>
      </c>
      <c r="I218" t="str">
        <f t="shared" si="3"/>
        <v>-</v>
      </c>
      <c r="K218" t="str">
        <f>IF(CHALLAN!E10017&lt;&gt;"",CHALLAN!F10017,CHALLAN!G10017)&amp;""</f>
        <v>GG/223/09-10</v>
      </c>
      <c r="L218">
        <v>10017</v>
      </c>
      <c r="M218">
        <v>10062</v>
      </c>
      <c r="N218" t="s">
        <v>2438</v>
      </c>
    </row>
    <row r="219" spans="1:14" x14ac:dyDescent="0.25">
      <c r="A219">
        <v>2934</v>
      </c>
      <c r="B219" t="s">
        <v>633</v>
      </c>
      <c r="C219" t="s">
        <v>1327</v>
      </c>
      <c r="D219" t="s">
        <v>1336</v>
      </c>
      <c r="F219">
        <v>6</v>
      </c>
      <c r="G219">
        <v>6</v>
      </c>
      <c r="H219" s="1296">
        <v>36</v>
      </c>
      <c r="I219" t="str">
        <f t="shared" si="3"/>
        <v>-</v>
      </c>
      <c r="K219" t="str">
        <f>IF(CHALLAN!E10063&lt;&gt;"",CHALLAN!F10063,CHALLAN!G10063)&amp;""</f>
        <v>GG/224/09-10</v>
      </c>
      <c r="L219">
        <v>10063</v>
      </c>
      <c r="M219">
        <v>10110</v>
      </c>
      <c r="N219" t="s">
        <v>2438</v>
      </c>
    </row>
    <row r="220" spans="1:14" x14ac:dyDescent="0.25">
      <c r="A220">
        <v>2935</v>
      </c>
      <c r="B220" t="s">
        <v>633</v>
      </c>
      <c r="C220" t="s">
        <v>1327</v>
      </c>
      <c r="D220" t="s">
        <v>125</v>
      </c>
      <c r="E220" t="s">
        <v>386</v>
      </c>
      <c r="F220">
        <v>3</v>
      </c>
      <c r="G220">
        <v>4</v>
      </c>
      <c r="H220" s="1296">
        <v>12</v>
      </c>
      <c r="I220" t="str">
        <f t="shared" si="3"/>
        <v>-</v>
      </c>
      <c r="K220" t="str">
        <f>IF(CHALLAN!E10111&lt;&gt;"",CHALLAN!F10111,CHALLAN!G10111)&amp;""</f>
        <v>GG/225/09-10</v>
      </c>
      <c r="L220">
        <v>10111</v>
      </c>
      <c r="M220">
        <v>10154</v>
      </c>
      <c r="N220" t="s">
        <v>2438</v>
      </c>
    </row>
    <row r="221" spans="1:14" x14ac:dyDescent="0.25">
      <c r="A221">
        <v>2936</v>
      </c>
      <c r="B221" t="s">
        <v>633</v>
      </c>
      <c r="C221" t="s">
        <v>1327</v>
      </c>
      <c r="D221" t="s">
        <v>198</v>
      </c>
      <c r="E221" t="s">
        <v>368</v>
      </c>
      <c r="F221">
        <v>4</v>
      </c>
      <c r="G221">
        <v>6</v>
      </c>
      <c r="H221" s="1296">
        <v>24</v>
      </c>
      <c r="I221" t="str">
        <f t="shared" si="3"/>
        <v>-</v>
      </c>
      <c r="K221" t="str">
        <f>IF(CHALLAN!E10155&lt;&gt;"",CHALLAN!F10155,CHALLAN!G10155)&amp;""</f>
        <v>GG/226/09-10</v>
      </c>
      <c r="L221">
        <v>10155</v>
      </c>
      <c r="M221">
        <v>10200</v>
      </c>
      <c r="N221" t="s">
        <v>2438</v>
      </c>
    </row>
    <row r="222" spans="1:14" x14ac:dyDescent="0.25">
      <c r="A222">
        <v>2937</v>
      </c>
      <c r="B222" t="s">
        <v>633</v>
      </c>
      <c r="C222" t="s">
        <v>1327</v>
      </c>
      <c r="D222" t="s">
        <v>840</v>
      </c>
      <c r="E222" t="s">
        <v>376</v>
      </c>
      <c r="F222">
        <v>9</v>
      </c>
      <c r="G222">
        <v>6</v>
      </c>
      <c r="H222" s="1296">
        <v>54</v>
      </c>
      <c r="I222" t="str">
        <f t="shared" si="3"/>
        <v>-</v>
      </c>
      <c r="K222" t="str">
        <f>IF(CHALLAN!E10201&lt;&gt;"",CHALLAN!F10201,CHALLAN!G10201)&amp;""</f>
        <v>GG/227/09-10</v>
      </c>
      <c r="L222">
        <v>10201</v>
      </c>
      <c r="M222">
        <v>10246</v>
      </c>
      <c r="N222" t="s">
        <v>2438</v>
      </c>
    </row>
    <row r="223" spans="1:14" x14ac:dyDescent="0.25">
      <c r="A223">
        <v>2938</v>
      </c>
      <c r="B223" t="s">
        <v>633</v>
      </c>
      <c r="C223" t="s">
        <v>1327</v>
      </c>
      <c r="D223" t="s">
        <v>219</v>
      </c>
      <c r="E223" t="s">
        <v>390</v>
      </c>
      <c r="F223">
        <v>1</v>
      </c>
      <c r="G223">
        <v>6</v>
      </c>
      <c r="H223" s="1296">
        <v>6</v>
      </c>
      <c r="I223" t="str">
        <f t="shared" si="3"/>
        <v>-</v>
      </c>
      <c r="K223" t="str">
        <f>IF(CHALLAN!E10247&lt;&gt;"",CHALLAN!F10247,CHALLAN!G10247)&amp;""</f>
        <v>GG/228/09-10</v>
      </c>
      <c r="L223">
        <v>10247</v>
      </c>
      <c r="M223">
        <v>10293</v>
      </c>
      <c r="N223" t="s">
        <v>2438</v>
      </c>
    </row>
    <row r="224" spans="1:14" x14ac:dyDescent="0.25">
      <c r="A224">
        <v>2967</v>
      </c>
      <c r="B224" t="s">
        <v>633</v>
      </c>
      <c r="C224" t="s">
        <v>1338</v>
      </c>
      <c r="D224" t="s">
        <v>482</v>
      </c>
      <c r="F224">
        <v>10</v>
      </c>
      <c r="G224">
        <v>1</v>
      </c>
      <c r="H224" s="1296">
        <v>10</v>
      </c>
      <c r="I224" t="str">
        <f t="shared" si="3"/>
        <v>-</v>
      </c>
      <c r="K224" t="str">
        <f>IF(CHALLAN!E10294&lt;&gt;"",CHALLAN!F10294,CHALLAN!G10294)&amp;""</f>
        <v>GG/229/09-10</v>
      </c>
      <c r="L224">
        <v>10294</v>
      </c>
      <c r="M224">
        <v>10338</v>
      </c>
      <c r="N224" t="s">
        <v>2438</v>
      </c>
    </row>
    <row r="225" spans="1:14" x14ac:dyDescent="0.25">
      <c r="A225">
        <v>2968</v>
      </c>
      <c r="B225" t="s">
        <v>633</v>
      </c>
      <c r="C225" t="s">
        <v>1338</v>
      </c>
      <c r="D225" t="s">
        <v>239</v>
      </c>
      <c r="F225">
        <v>25</v>
      </c>
      <c r="G225">
        <v>2</v>
      </c>
      <c r="H225" s="1296">
        <v>50</v>
      </c>
      <c r="I225" t="str">
        <f t="shared" si="3"/>
        <v>-</v>
      </c>
      <c r="K225" t="str">
        <f>IF(CHALLAN!E10339&lt;&gt;"",CHALLAN!F10339,CHALLAN!G10339)&amp;""</f>
        <v>GG/230/09-10</v>
      </c>
      <c r="L225">
        <v>10339</v>
      </c>
      <c r="M225">
        <v>10384</v>
      </c>
      <c r="N225" t="s">
        <v>2438</v>
      </c>
    </row>
    <row r="226" spans="1:14" x14ac:dyDescent="0.25">
      <c r="A226">
        <v>2970</v>
      </c>
      <c r="B226" t="s">
        <v>633</v>
      </c>
      <c r="C226" t="s">
        <v>1338</v>
      </c>
      <c r="D226" t="s">
        <v>1342</v>
      </c>
      <c r="F226">
        <v>5</v>
      </c>
      <c r="G226">
        <v>10</v>
      </c>
      <c r="H226" s="1296">
        <v>50</v>
      </c>
      <c r="I226" t="str">
        <f t="shared" si="3"/>
        <v>-</v>
      </c>
      <c r="K226" t="str">
        <f>IF(CHALLAN!E10385&lt;&gt;"",CHALLAN!F10385,CHALLAN!G10385)&amp;""</f>
        <v>GG/231/09-10</v>
      </c>
      <c r="L226">
        <v>10385</v>
      </c>
      <c r="M226">
        <v>10431</v>
      </c>
      <c r="N226" t="s">
        <v>2438</v>
      </c>
    </row>
    <row r="227" spans="1:14" x14ac:dyDescent="0.25">
      <c r="A227">
        <v>2971</v>
      </c>
      <c r="B227" t="s">
        <v>633</v>
      </c>
      <c r="C227" t="s">
        <v>1338</v>
      </c>
      <c r="D227" t="s">
        <v>1343</v>
      </c>
      <c r="F227">
        <v>5</v>
      </c>
      <c r="G227">
        <v>10</v>
      </c>
      <c r="H227" s="1296">
        <v>50</v>
      </c>
      <c r="I227" t="str">
        <f t="shared" si="3"/>
        <v>-</v>
      </c>
      <c r="K227" t="str">
        <f>IF(CHALLAN!E10432&lt;&gt;"",CHALLAN!F10432,CHALLAN!G10432)&amp;""</f>
        <v>GG/232/09-10</v>
      </c>
      <c r="L227">
        <v>10432</v>
      </c>
      <c r="M227">
        <v>10478</v>
      </c>
      <c r="N227" t="s">
        <v>2438</v>
      </c>
    </row>
    <row r="228" spans="1:14" x14ac:dyDescent="0.25">
      <c r="A228">
        <v>2974</v>
      </c>
      <c r="B228" t="s">
        <v>633</v>
      </c>
      <c r="C228" t="s">
        <v>1338</v>
      </c>
      <c r="D228" t="s">
        <v>144</v>
      </c>
      <c r="E228" t="s">
        <v>340</v>
      </c>
      <c r="F228">
        <v>5</v>
      </c>
      <c r="G228">
        <v>5</v>
      </c>
      <c r="H228" s="1296">
        <v>25</v>
      </c>
      <c r="I228" t="str">
        <f t="shared" si="3"/>
        <v>-</v>
      </c>
      <c r="K228" t="str">
        <f>IF(CHALLAN!E10479&lt;&gt;"",CHALLAN!F10479,CHALLAN!G10479)&amp;""</f>
        <v>GG/233/09-10</v>
      </c>
      <c r="L228">
        <v>10479</v>
      </c>
      <c r="M228">
        <v>10523</v>
      </c>
      <c r="N228" t="s">
        <v>2438</v>
      </c>
    </row>
    <row r="229" spans="1:14" x14ac:dyDescent="0.25">
      <c r="A229">
        <v>2977</v>
      </c>
      <c r="B229" t="s">
        <v>633</v>
      </c>
      <c r="C229" t="s">
        <v>1338</v>
      </c>
      <c r="D229" t="s">
        <v>219</v>
      </c>
      <c r="E229" t="s">
        <v>390</v>
      </c>
      <c r="F229">
        <v>5</v>
      </c>
      <c r="G229">
        <v>6</v>
      </c>
      <c r="H229" s="1296">
        <v>30</v>
      </c>
      <c r="I229" t="str">
        <f t="shared" si="3"/>
        <v>-</v>
      </c>
      <c r="K229" t="str">
        <f>IF(CHALLAN!E10524&lt;&gt;"",CHALLAN!F10524,CHALLAN!G10524)&amp;""</f>
        <v>GG/234/09-10</v>
      </c>
      <c r="L229">
        <v>10524</v>
      </c>
      <c r="M229">
        <v>10569</v>
      </c>
      <c r="N229" t="s">
        <v>2438</v>
      </c>
    </row>
    <row r="230" spans="1:14" x14ac:dyDescent="0.25">
      <c r="A230">
        <v>2978</v>
      </c>
      <c r="B230" t="s">
        <v>633</v>
      </c>
      <c r="C230" t="s">
        <v>1338</v>
      </c>
      <c r="D230" t="s">
        <v>214</v>
      </c>
      <c r="E230" t="s">
        <v>385</v>
      </c>
      <c r="F230">
        <v>5</v>
      </c>
      <c r="G230">
        <v>6</v>
      </c>
      <c r="H230" s="1296">
        <v>30</v>
      </c>
      <c r="I230" t="str">
        <f t="shared" si="3"/>
        <v>-</v>
      </c>
      <c r="K230" t="str">
        <f>IF(CHALLAN!E10570&lt;&gt;"",CHALLAN!F10570,CHALLAN!G10570)&amp;""</f>
        <v>GG/235/09-10</v>
      </c>
      <c r="L230">
        <v>10570</v>
      </c>
      <c r="M230">
        <v>10622</v>
      </c>
      <c r="N230" t="s">
        <v>2438</v>
      </c>
    </row>
    <row r="231" spans="1:14" x14ac:dyDescent="0.25">
      <c r="A231">
        <v>2981</v>
      </c>
      <c r="B231" t="s">
        <v>633</v>
      </c>
      <c r="C231" t="s">
        <v>1338</v>
      </c>
      <c r="D231" t="s">
        <v>1345</v>
      </c>
      <c r="E231" t="s">
        <v>1295</v>
      </c>
      <c r="F231">
        <v>1</v>
      </c>
      <c r="G231">
        <v>25</v>
      </c>
      <c r="H231" s="1296">
        <v>25</v>
      </c>
      <c r="I231" t="str">
        <f t="shared" si="3"/>
        <v>-</v>
      </c>
      <c r="K231" t="str">
        <f>IF(CHALLAN!E10623&lt;&gt;"",CHALLAN!F10623,CHALLAN!G10623)&amp;""</f>
        <v>GG/236/09-10</v>
      </c>
      <c r="L231">
        <v>10623</v>
      </c>
      <c r="M231">
        <v>10668</v>
      </c>
      <c r="N231" t="s">
        <v>2438</v>
      </c>
    </row>
    <row r="232" spans="1:14" x14ac:dyDescent="0.25">
      <c r="A232">
        <v>3013</v>
      </c>
      <c r="B232" t="s">
        <v>633</v>
      </c>
      <c r="C232" t="s">
        <v>1347</v>
      </c>
      <c r="D232" t="s">
        <v>1289</v>
      </c>
      <c r="E232" t="s">
        <v>419</v>
      </c>
      <c r="F232">
        <v>2</v>
      </c>
      <c r="G232">
        <v>200</v>
      </c>
      <c r="H232" s="1296">
        <v>400</v>
      </c>
      <c r="I232" t="str">
        <f t="shared" si="3"/>
        <v>-</v>
      </c>
      <c r="K232" t="str">
        <f>IF(CHALLAN!E10669&lt;&gt;"",CHALLAN!F10669,CHALLAN!G10669)&amp;""</f>
        <v>GG/236/09-10</v>
      </c>
      <c r="L232">
        <v>10669</v>
      </c>
      <c r="M232">
        <v>10714</v>
      </c>
      <c r="N232" t="s">
        <v>2438</v>
      </c>
    </row>
    <row r="233" spans="1:14" x14ac:dyDescent="0.25">
      <c r="A233">
        <v>3014</v>
      </c>
      <c r="B233" t="s">
        <v>633</v>
      </c>
      <c r="C233" t="s">
        <v>1347</v>
      </c>
      <c r="D233" t="s">
        <v>1293</v>
      </c>
      <c r="F233">
        <v>3</v>
      </c>
      <c r="G233">
        <v>100</v>
      </c>
      <c r="H233" s="1296">
        <v>300</v>
      </c>
      <c r="I233" t="str">
        <f t="shared" si="3"/>
        <v>-</v>
      </c>
      <c r="K233" t="str">
        <f>IF(CHALLAN!E10715&lt;&gt;"",CHALLAN!F10715,CHALLAN!G10715)&amp;""</f>
        <v>GG/236/09-10</v>
      </c>
      <c r="L233">
        <v>10715</v>
      </c>
      <c r="M233">
        <v>10760</v>
      </c>
      <c r="N233" t="s">
        <v>2438</v>
      </c>
    </row>
    <row r="234" spans="1:14" x14ac:dyDescent="0.25">
      <c r="A234">
        <v>3015</v>
      </c>
      <c r="B234" t="s">
        <v>633</v>
      </c>
      <c r="C234" t="s">
        <v>1347</v>
      </c>
      <c r="D234" t="s">
        <v>1294</v>
      </c>
      <c r="E234" t="s">
        <v>1295</v>
      </c>
      <c r="F234">
        <v>1</v>
      </c>
      <c r="G234">
        <v>25</v>
      </c>
      <c r="H234" s="1296">
        <v>25</v>
      </c>
      <c r="I234" t="str">
        <f t="shared" si="3"/>
        <v>-</v>
      </c>
      <c r="K234" t="str">
        <f>IF(CHALLAN!E10761&lt;&gt;"",CHALLAN!F10761,CHALLAN!G10761)&amp;""</f>
        <v>GG/0237/09-10</v>
      </c>
      <c r="L234">
        <v>10761</v>
      </c>
      <c r="M234">
        <v>10802</v>
      </c>
      <c r="N234" t="s">
        <v>2438</v>
      </c>
    </row>
    <row r="235" spans="1:14" x14ac:dyDescent="0.25">
      <c r="A235">
        <v>3016</v>
      </c>
      <c r="B235" t="s">
        <v>633</v>
      </c>
      <c r="C235" t="s">
        <v>1347</v>
      </c>
      <c r="D235" t="s">
        <v>1296</v>
      </c>
      <c r="F235">
        <v>10</v>
      </c>
      <c r="G235">
        <v>2</v>
      </c>
      <c r="H235" s="1296">
        <v>20</v>
      </c>
      <c r="I235" t="str">
        <f t="shared" si="3"/>
        <v>-</v>
      </c>
      <c r="K235" t="str">
        <f>IF(CHALLAN!E10803&lt;&gt;"",CHALLAN!F10803,CHALLAN!G10803)&amp;""</f>
        <v>GG/238/09-10</v>
      </c>
      <c r="L235">
        <v>10803</v>
      </c>
      <c r="M235">
        <v>10848</v>
      </c>
      <c r="N235" t="s">
        <v>2438</v>
      </c>
    </row>
    <row r="236" spans="1:14" x14ac:dyDescent="0.25">
      <c r="A236">
        <v>3017</v>
      </c>
      <c r="B236" t="s">
        <v>633</v>
      </c>
      <c r="C236" t="s">
        <v>1347</v>
      </c>
      <c r="D236" t="s">
        <v>1331</v>
      </c>
      <c r="F236">
        <v>1</v>
      </c>
      <c r="G236">
        <v>250</v>
      </c>
      <c r="H236" s="1296">
        <v>250</v>
      </c>
      <c r="I236" t="str">
        <f t="shared" si="3"/>
        <v>-</v>
      </c>
      <c r="K236" t="str">
        <f>IF(CHALLAN!E10849&lt;&gt;"",CHALLAN!F10849,CHALLAN!G10849)&amp;""</f>
        <v>GG/239/09-10</v>
      </c>
      <c r="L236">
        <v>10849</v>
      </c>
      <c r="M236">
        <v>10894</v>
      </c>
      <c r="N236" t="s">
        <v>2438</v>
      </c>
    </row>
    <row r="237" spans="1:14" x14ac:dyDescent="0.25">
      <c r="A237">
        <v>3019</v>
      </c>
      <c r="B237" t="s">
        <v>633</v>
      </c>
      <c r="C237" t="s">
        <v>1347</v>
      </c>
      <c r="D237" t="s">
        <v>1348</v>
      </c>
      <c r="E237" t="s">
        <v>340</v>
      </c>
      <c r="F237">
        <v>8</v>
      </c>
      <c r="G237">
        <v>5</v>
      </c>
      <c r="H237" s="1296">
        <v>40</v>
      </c>
      <c r="I237" t="str">
        <f t="shared" si="3"/>
        <v>-</v>
      </c>
      <c r="K237" t="str">
        <f>IF(CHALLAN!E10895&lt;&gt;"",CHALLAN!F10895,CHALLAN!G10895)&amp;""</f>
        <v>GG/240/09-10</v>
      </c>
      <c r="L237">
        <v>10895</v>
      </c>
      <c r="M237">
        <v>10941</v>
      </c>
      <c r="N237" t="s">
        <v>2438</v>
      </c>
    </row>
    <row r="238" spans="1:14" x14ac:dyDescent="0.25">
      <c r="A238">
        <v>3021</v>
      </c>
      <c r="B238" t="s">
        <v>633</v>
      </c>
      <c r="C238" t="s">
        <v>1347</v>
      </c>
      <c r="D238" t="s">
        <v>188</v>
      </c>
      <c r="E238" t="s">
        <v>359</v>
      </c>
      <c r="F238">
        <v>4</v>
      </c>
      <c r="G238">
        <v>6</v>
      </c>
      <c r="H238" s="1296">
        <v>24</v>
      </c>
      <c r="I238" t="str">
        <f t="shared" si="3"/>
        <v>-</v>
      </c>
      <c r="K238" t="str">
        <f>IF(CHALLAN!E10942&lt;&gt;"",CHALLAN!F10942,CHALLAN!G10942)&amp;""</f>
        <v>GG/241/09-10</v>
      </c>
      <c r="L238">
        <v>10942</v>
      </c>
      <c r="M238">
        <v>10977</v>
      </c>
      <c r="N238" t="s">
        <v>2438</v>
      </c>
    </row>
    <row r="239" spans="1:14" x14ac:dyDescent="0.25">
      <c r="A239">
        <v>3022</v>
      </c>
      <c r="B239" t="s">
        <v>633</v>
      </c>
      <c r="C239" t="s">
        <v>1347</v>
      </c>
      <c r="D239" t="s">
        <v>1298</v>
      </c>
      <c r="E239" t="s">
        <v>393</v>
      </c>
      <c r="F239">
        <v>1</v>
      </c>
      <c r="G239">
        <v>6</v>
      </c>
      <c r="H239" s="1296">
        <v>6</v>
      </c>
      <c r="I239" t="str">
        <f t="shared" si="3"/>
        <v>-</v>
      </c>
      <c r="K239" t="str">
        <f>IF(CHALLAN!E10978&lt;&gt;"",CHALLAN!F10978,CHALLAN!G10978)&amp;""</f>
        <v>GG/242/09-10</v>
      </c>
      <c r="L239">
        <v>10978</v>
      </c>
      <c r="M239">
        <v>11022</v>
      </c>
      <c r="N239" t="s">
        <v>2438</v>
      </c>
    </row>
    <row r="240" spans="1:14" x14ac:dyDescent="0.25">
      <c r="A240">
        <v>3023</v>
      </c>
      <c r="B240" t="s">
        <v>633</v>
      </c>
      <c r="C240" t="s">
        <v>1347</v>
      </c>
      <c r="D240" t="s">
        <v>203</v>
      </c>
      <c r="E240" t="s">
        <v>1349</v>
      </c>
      <c r="F240">
        <v>1</v>
      </c>
      <c r="G240">
        <v>6</v>
      </c>
      <c r="H240" s="1296">
        <v>6</v>
      </c>
      <c r="I240" t="str">
        <f t="shared" si="3"/>
        <v>-</v>
      </c>
      <c r="K240" t="str">
        <f>IF(CHALLAN!E11023&lt;&gt;"",CHALLAN!F11023,CHALLAN!G11023)&amp;""</f>
        <v>GG/243/09-10</v>
      </c>
      <c r="L240">
        <v>11023</v>
      </c>
      <c r="M240">
        <v>11065</v>
      </c>
      <c r="N240" t="s">
        <v>2438</v>
      </c>
    </row>
    <row r="241" spans="1:14" x14ac:dyDescent="0.25">
      <c r="A241">
        <v>3024</v>
      </c>
      <c r="B241" t="s">
        <v>633</v>
      </c>
      <c r="C241" t="s">
        <v>1347</v>
      </c>
      <c r="D241" t="s">
        <v>198</v>
      </c>
      <c r="E241" t="s">
        <v>368</v>
      </c>
      <c r="F241">
        <v>4</v>
      </c>
      <c r="G241">
        <v>6</v>
      </c>
      <c r="H241" s="1296">
        <v>24</v>
      </c>
      <c r="I241" t="str">
        <f t="shared" si="3"/>
        <v>-</v>
      </c>
      <c r="K241" t="str">
        <f>IF(CHALLAN!E11066&lt;&gt;"",CHALLAN!F11066,CHALLAN!G11066)&amp;""</f>
        <v>GG/244/09-10</v>
      </c>
      <c r="L241">
        <v>11066</v>
      </c>
      <c r="M241">
        <v>11134</v>
      </c>
      <c r="N241" t="s">
        <v>2438</v>
      </c>
    </row>
    <row r="242" spans="1:14" x14ac:dyDescent="0.25">
      <c r="A242">
        <v>3025</v>
      </c>
      <c r="B242" t="s">
        <v>633</v>
      </c>
      <c r="C242" t="s">
        <v>1347</v>
      </c>
      <c r="D242" t="s">
        <v>63</v>
      </c>
      <c r="E242" t="s">
        <v>371</v>
      </c>
      <c r="F242">
        <v>4</v>
      </c>
      <c r="G242">
        <v>6</v>
      </c>
      <c r="H242" s="1296">
        <v>24</v>
      </c>
      <c r="I242" t="str">
        <f t="shared" si="3"/>
        <v>-</v>
      </c>
      <c r="K242" t="str">
        <f>IF(CHALLAN!E11135&lt;&gt;"",CHALLAN!F11135,CHALLAN!G11135)&amp;""</f>
        <v>GG/245/09-10</v>
      </c>
      <c r="L242">
        <v>11135</v>
      </c>
      <c r="M242">
        <v>11186</v>
      </c>
      <c r="N242" t="s">
        <v>2438</v>
      </c>
    </row>
    <row r="243" spans="1:14" x14ac:dyDescent="0.25">
      <c r="A243">
        <v>3026</v>
      </c>
      <c r="B243" t="s">
        <v>633</v>
      </c>
      <c r="C243" t="s">
        <v>1347</v>
      </c>
      <c r="D243" t="s">
        <v>206</v>
      </c>
      <c r="E243" t="s">
        <v>377</v>
      </c>
      <c r="F243">
        <v>1</v>
      </c>
      <c r="G243">
        <v>6</v>
      </c>
      <c r="H243" s="1296">
        <v>6</v>
      </c>
      <c r="I243" t="str">
        <f t="shared" si="3"/>
        <v>-</v>
      </c>
      <c r="K243" t="str">
        <f>IF(CHALLAN!E11187&lt;&gt;"",CHALLAN!F11187,CHALLAN!G11187)&amp;""</f>
        <v>GG/245/09-10</v>
      </c>
      <c r="L243">
        <v>11187</v>
      </c>
      <c r="M243">
        <v>11233</v>
      </c>
      <c r="N243" t="s">
        <v>2438</v>
      </c>
    </row>
    <row r="244" spans="1:14" x14ac:dyDescent="0.25">
      <c r="A244">
        <v>3027</v>
      </c>
      <c r="B244" t="s">
        <v>633</v>
      </c>
      <c r="C244" t="s">
        <v>1347</v>
      </c>
      <c r="D244" t="s">
        <v>207</v>
      </c>
      <c r="E244" t="s">
        <v>378</v>
      </c>
      <c r="F244">
        <v>3</v>
      </c>
      <c r="G244">
        <v>6</v>
      </c>
      <c r="H244" s="1296">
        <v>18</v>
      </c>
      <c r="I244" t="str">
        <f t="shared" si="3"/>
        <v>-</v>
      </c>
      <c r="K244" t="str">
        <f>IF(CHALLAN!E11234&lt;&gt;"",CHALLAN!F11234,CHALLAN!G11234)&amp;""</f>
        <v>GG/246/09-10</v>
      </c>
      <c r="L244">
        <v>11234</v>
      </c>
      <c r="M244">
        <v>11279</v>
      </c>
      <c r="N244" t="s">
        <v>2438</v>
      </c>
    </row>
    <row r="245" spans="1:14" x14ac:dyDescent="0.25">
      <c r="A245">
        <v>3028</v>
      </c>
      <c r="B245" t="s">
        <v>633</v>
      </c>
      <c r="C245" t="s">
        <v>1347</v>
      </c>
      <c r="D245" t="s">
        <v>208</v>
      </c>
      <c r="E245" t="s">
        <v>379</v>
      </c>
      <c r="F245">
        <v>3</v>
      </c>
      <c r="G245">
        <v>6</v>
      </c>
      <c r="H245" s="1296">
        <v>18</v>
      </c>
      <c r="I245" t="str">
        <f t="shared" si="3"/>
        <v>-</v>
      </c>
      <c r="K245" t="str">
        <f>IF(CHALLAN!E11280&lt;&gt;"",CHALLAN!F11280,CHALLAN!G11280)&amp;""</f>
        <v>GG/246/09-10</v>
      </c>
      <c r="L245">
        <v>11280</v>
      </c>
      <c r="M245">
        <v>11323</v>
      </c>
      <c r="N245" t="s">
        <v>2438</v>
      </c>
    </row>
    <row r="246" spans="1:14" x14ac:dyDescent="0.25">
      <c r="A246">
        <v>3060</v>
      </c>
      <c r="B246" t="s">
        <v>633</v>
      </c>
      <c r="C246" t="s">
        <v>1347</v>
      </c>
      <c r="D246" t="s">
        <v>210</v>
      </c>
      <c r="E246" t="s">
        <v>780</v>
      </c>
      <c r="F246">
        <v>3</v>
      </c>
      <c r="G246">
        <v>6</v>
      </c>
      <c r="H246" s="1296">
        <v>18</v>
      </c>
      <c r="I246" t="str">
        <f t="shared" si="3"/>
        <v>-</v>
      </c>
      <c r="K246" t="str">
        <f>IF(CHALLAN!E11324&lt;&gt;"",CHALLAN!F11324,CHALLAN!G11324)&amp;""</f>
        <v>GG/247/09-10</v>
      </c>
      <c r="L246">
        <v>11324</v>
      </c>
      <c r="M246">
        <v>11373</v>
      </c>
      <c r="N246" t="s">
        <v>2438</v>
      </c>
    </row>
    <row r="247" spans="1:14" x14ac:dyDescent="0.25">
      <c r="A247">
        <v>3061</v>
      </c>
      <c r="B247" t="s">
        <v>633</v>
      </c>
      <c r="C247" t="s">
        <v>1347</v>
      </c>
      <c r="D247" t="s">
        <v>213</v>
      </c>
      <c r="E247" t="s">
        <v>384</v>
      </c>
      <c r="F247">
        <v>2</v>
      </c>
      <c r="G247">
        <v>6</v>
      </c>
      <c r="H247" s="1296">
        <v>12</v>
      </c>
      <c r="I247" t="str">
        <f t="shared" si="3"/>
        <v>-</v>
      </c>
      <c r="K247" t="str">
        <f>IF(CHALLAN!E11374&lt;&gt;"",CHALLAN!F11374,CHALLAN!G11374)&amp;""</f>
        <v>GG/247/09-10</v>
      </c>
      <c r="L247">
        <v>11374</v>
      </c>
      <c r="M247">
        <v>11418</v>
      </c>
      <c r="N247" t="s">
        <v>2438</v>
      </c>
    </row>
    <row r="248" spans="1:14" x14ac:dyDescent="0.25">
      <c r="A248">
        <v>3062</v>
      </c>
      <c r="B248" t="s">
        <v>633</v>
      </c>
      <c r="C248" t="s">
        <v>1347</v>
      </c>
      <c r="D248" t="s">
        <v>214</v>
      </c>
      <c r="E248" t="s">
        <v>385</v>
      </c>
      <c r="F248">
        <v>1</v>
      </c>
      <c r="G248">
        <v>6</v>
      </c>
      <c r="H248" s="1296">
        <v>6</v>
      </c>
      <c r="I248" t="str">
        <f t="shared" si="3"/>
        <v>-</v>
      </c>
      <c r="K248" t="str">
        <f>IF(CHALLAN!E11419&lt;&gt;"",CHALLAN!F11419,CHALLAN!G11419)&amp;""</f>
        <v>GG/248/09-10</v>
      </c>
      <c r="L248">
        <v>11419</v>
      </c>
      <c r="M248">
        <v>11465</v>
      </c>
      <c r="N248" t="s">
        <v>2438</v>
      </c>
    </row>
    <row r="249" spans="1:14" x14ac:dyDescent="0.25">
      <c r="A249">
        <v>3063</v>
      </c>
      <c r="B249" t="s">
        <v>633</v>
      </c>
      <c r="C249" t="s">
        <v>1347</v>
      </c>
      <c r="D249" t="s">
        <v>1314</v>
      </c>
      <c r="E249" t="s">
        <v>387</v>
      </c>
      <c r="F249">
        <v>5</v>
      </c>
      <c r="G249">
        <v>6</v>
      </c>
      <c r="H249" s="1296">
        <v>30</v>
      </c>
      <c r="I249" t="str">
        <f t="shared" si="3"/>
        <v>-</v>
      </c>
      <c r="K249" t="str">
        <f>IF(CHALLAN!E11466&lt;&gt;"",CHALLAN!F11466,CHALLAN!G11466)&amp;""</f>
        <v>GG/249/09-10</v>
      </c>
      <c r="L249">
        <v>11466</v>
      </c>
      <c r="M249">
        <v>11510</v>
      </c>
      <c r="N249" t="s">
        <v>2438</v>
      </c>
    </row>
    <row r="250" spans="1:14" x14ac:dyDescent="0.25">
      <c r="A250">
        <v>3064</v>
      </c>
      <c r="B250" t="s">
        <v>633</v>
      </c>
      <c r="C250" t="s">
        <v>1347</v>
      </c>
      <c r="D250" t="s">
        <v>217</v>
      </c>
      <c r="E250" t="s">
        <v>388</v>
      </c>
      <c r="F250">
        <v>4</v>
      </c>
      <c r="G250">
        <v>6</v>
      </c>
      <c r="H250" s="1296">
        <v>24</v>
      </c>
      <c r="I250" t="str">
        <f t="shared" si="3"/>
        <v>-</v>
      </c>
      <c r="K250" t="str">
        <f>IF(CHALLAN!E11511&lt;&gt;"",CHALLAN!F11511,CHALLAN!G11511)&amp;""</f>
        <v>GG/250/09-10</v>
      </c>
      <c r="L250">
        <v>11511</v>
      </c>
      <c r="M250">
        <v>11557</v>
      </c>
      <c r="N250" t="s">
        <v>2438</v>
      </c>
    </row>
    <row r="251" spans="1:14" x14ac:dyDescent="0.25">
      <c r="A251">
        <v>3065</v>
      </c>
      <c r="B251" t="s">
        <v>633</v>
      </c>
      <c r="C251" t="s">
        <v>1347</v>
      </c>
      <c r="D251" t="s">
        <v>219</v>
      </c>
      <c r="E251" t="s">
        <v>390</v>
      </c>
      <c r="F251">
        <v>2</v>
      </c>
      <c r="G251">
        <v>6</v>
      </c>
      <c r="H251" s="1296">
        <v>12</v>
      </c>
      <c r="I251" t="str">
        <f t="shared" si="3"/>
        <v>-</v>
      </c>
      <c r="K251" t="str">
        <f>IF(CHALLAN!E11558&lt;&gt;"",CHALLAN!F11558,CHALLAN!G11558)&amp;""</f>
        <v>GG/251/09-10</v>
      </c>
      <c r="L251">
        <v>11558</v>
      </c>
      <c r="M251">
        <v>11603</v>
      </c>
      <c r="N251" t="s">
        <v>2438</v>
      </c>
    </row>
    <row r="252" spans="1:14" x14ac:dyDescent="0.25">
      <c r="A252">
        <v>3066</v>
      </c>
      <c r="B252" t="s">
        <v>633</v>
      </c>
      <c r="C252" t="s">
        <v>1347</v>
      </c>
      <c r="D252" t="s">
        <v>1317</v>
      </c>
      <c r="E252" t="s">
        <v>396</v>
      </c>
      <c r="F252">
        <v>3</v>
      </c>
      <c r="G252">
        <v>8</v>
      </c>
      <c r="H252" s="1296">
        <v>24</v>
      </c>
      <c r="I252" t="str">
        <f t="shared" si="3"/>
        <v>-</v>
      </c>
      <c r="K252" t="str">
        <f>IF(CHALLAN!E11604&lt;&gt;"",CHALLAN!F11604,CHALLAN!G11604)&amp;""</f>
        <v>GG/252/09-10</v>
      </c>
      <c r="L252">
        <v>11604</v>
      </c>
      <c r="M252">
        <v>11648</v>
      </c>
      <c r="N252" t="s">
        <v>2438</v>
      </c>
    </row>
    <row r="253" spans="1:14" x14ac:dyDescent="0.25">
      <c r="A253">
        <v>3067</v>
      </c>
      <c r="B253" t="s">
        <v>633</v>
      </c>
      <c r="C253" t="s">
        <v>1347</v>
      </c>
      <c r="D253" t="s">
        <v>228</v>
      </c>
      <c r="E253" t="s">
        <v>398</v>
      </c>
      <c r="F253">
        <v>4</v>
      </c>
      <c r="G253">
        <v>6</v>
      </c>
      <c r="H253" s="1296">
        <v>24</v>
      </c>
      <c r="I253" t="str">
        <f t="shared" si="3"/>
        <v>-</v>
      </c>
      <c r="K253" t="str">
        <f>IF(CHALLAN!E11649&lt;&gt;"",CHALLAN!F11649,CHALLAN!G11649)&amp;""</f>
        <v>GG/253/09-10</v>
      </c>
      <c r="L253">
        <v>11649</v>
      </c>
      <c r="M253">
        <v>11695</v>
      </c>
      <c r="N253" t="s">
        <v>2438</v>
      </c>
    </row>
    <row r="254" spans="1:14" x14ac:dyDescent="0.25">
      <c r="A254">
        <v>3068</v>
      </c>
      <c r="B254" t="s">
        <v>633</v>
      </c>
      <c r="C254" t="s">
        <v>1347</v>
      </c>
      <c r="D254" t="s">
        <v>231</v>
      </c>
      <c r="E254" t="s">
        <v>400</v>
      </c>
      <c r="F254">
        <v>4</v>
      </c>
      <c r="G254">
        <v>6</v>
      </c>
      <c r="H254" s="1296">
        <v>24</v>
      </c>
      <c r="I254" t="str">
        <f t="shared" si="3"/>
        <v>-</v>
      </c>
      <c r="K254" t="str">
        <f>IF(CHALLAN!E11696&lt;&gt;"",CHALLAN!F11696,CHALLAN!G11696)&amp;""</f>
        <v>GG/253/09-10</v>
      </c>
      <c r="L254">
        <v>11696</v>
      </c>
      <c r="M254">
        <v>11741</v>
      </c>
      <c r="N254" t="s">
        <v>2438</v>
      </c>
    </row>
    <row r="255" spans="1:14" x14ac:dyDescent="0.25">
      <c r="A255">
        <v>3069</v>
      </c>
      <c r="B255" t="s">
        <v>633</v>
      </c>
      <c r="C255" t="s">
        <v>1347</v>
      </c>
      <c r="D255" t="s">
        <v>231</v>
      </c>
      <c r="E255" t="s">
        <v>400</v>
      </c>
      <c r="F255">
        <v>1</v>
      </c>
      <c r="G255">
        <v>4</v>
      </c>
      <c r="H255" s="1296">
        <v>4</v>
      </c>
      <c r="I255" t="str">
        <f t="shared" si="3"/>
        <v>-</v>
      </c>
      <c r="K255" t="str">
        <f>IF(CHALLAN!E11742&lt;&gt;"",CHALLAN!F11742,CHALLAN!G11742)&amp;""</f>
        <v>GG/254/09-10</v>
      </c>
      <c r="L255">
        <v>11742</v>
      </c>
      <c r="M255">
        <v>11788</v>
      </c>
      <c r="N255" t="s">
        <v>2438</v>
      </c>
    </row>
    <row r="256" spans="1:14" x14ac:dyDescent="0.25">
      <c r="A256">
        <v>3070</v>
      </c>
      <c r="B256" t="s">
        <v>633</v>
      </c>
      <c r="C256" t="s">
        <v>1347</v>
      </c>
      <c r="D256" t="s">
        <v>187</v>
      </c>
      <c r="E256" t="s">
        <v>187</v>
      </c>
      <c r="F256">
        <v>1</v>
      </c>
      <c r="G256">
        <v>8</v>
      </c>
      <c r="H256" s="1296">
        <v>8</v>
      </c>
      <c r="I256" t="str">
        <f t="shared" si="3"/>
        <v>-</v>
      </c>
      <c r="K256" t="str">
        <f>IF(CHALLAN!E11789&lt;&gt;"",CHALLAN!F11789,CHALLAN!G11789)&amp;""</f>
        <v>GG/255/09-10</v>
      </c>
      <c r="L256">
        <v>11789</v>
      </c>
      <c r="M256">
        <v>11833</v>
      </c>
      <c r="N256" t="s">
        <v>2438</v>
      </c>
    </row>
    <row r="257" spans="1:14" x14ac:dyDescent="0.25">
      <c r="A257">
        <v>3106</v>
      </c>
      <c r="B257" t="s">
        <v>640</v>
      </c>
      <c r="C257" t="s">
        <v>1350</v>
      </c>
      <c r="D257" t="s">
        <v>215</v>
      </c>
      <c r="E257" t="s">
        <v>324</v>
      </c>
      <c r="F257">
        <v>2</v>
      </c>
      <c r="G257">
        <v>5</v>
      </c>
      <c r="H257" s="1296">
        <v>10</v>
      </c>
      <c r="I257" t="str">
        <f t="shared" si="3"/>
        <v>-</v>
      </c>
      <c r="K257" t="str">
        <f>IF(CHALLAN!E11834&lt;&gt;"",CHALLAN!F11834,CHALLAN!G11834)&amp;""</f>
        <v>GG/256/09-10</v>
      </c>
      <c r="L257">
        <v>11834</v>
      </c>
      <c r="M257">
        <v>11882</v>
      </c>
      <c r="N257" t="s">
        <v>2438</v>
      </c>
    </row>
    <row r="258" spans="1:14" x14ac:dyDescent="0.25">
      <c r="A258">
        <v>3107</v>
      </c>
      <c r="B258" t="s">
        <v>640</v>
      </c>
      <c r="C258" t="s">
        <v>1350</v>
      </c>
      <c r="D258" t="s">
        <v>1616</v>
      </c>
      <c r="E258" t="s">
        <v>94</v>
      </c>
      <c r="F258">
        <v>2</v>
      </c>
      <c r="G258">
        <v>5</v>
      </c>
      <c r="H258" s="1296">
        <v>10</v>
      </c>
      <c r="I258" t="str">
        <f t="shared" ref="I258:I321" si="4">INDEX($N$2:$N$355,MATCH($A258,$L$2:$L$355,1))</f>
        <v>-</v>
      </c>
      <c r="K258" t="str">
        <f>IF(CHALLAN!E11883&lt;&gt;"",CHALLAN!F11883,CHALLAN!G11883)&amp;""</f>
        <v>GG/257/09-10</v>
      </c>
      <c r="L258">
        <v>11883</v>
      </c>
      <c r="M258">
        <v>11926</v>
      </c>
      <c r="N258" t="s">
        <v>2438</v>
      </c>
    </row>
    <row r="259" spans="1:14" x14ac:dyDescent="0.25">
      <c r="A259">
        <v>3152</v>
      </c>
      <c r="B259" t="s">
        <v>644</v>
      </c>
      <c r="C259" t="s">
        <v>1355</v>
      </c>
      <c r="D259" t="s">
        <v>815</v>
      </c>
      <c r="E259" t="s">
        <v>84</v>
      </c>
      <c r="F259">
        <v>3</v>
      </c>
      <c r="G259">
        <v>5</v>
      </c>
      <c r="H259" s="1296">
        <v>15</v>
      </c>
      <c r="I259" t="str">
        <f t="shared" si="4"/>
        <v>-</v>
      </c>
      <c r="K259" t="str">
        <f>IF(CHALLAN!E11927&lt;&gt;"",CHALLAN!F11927,CHALLAN!G11927)&amp;""</f>
        <v>GG/258/09-10</v>
      </c>
      <c r="L259">
        <v>11927</v>
      </c>
      <c r="M259">
        <v>11972</v>
      </c>
      <c r="N259" t="s">
        <v>2438</v>
      </c>
    </row>
    <row r="260" spans="1:14" x14ac:dyDescent="0.25">
      <c r="A260">
        <v>3244</v>
      </c>
      <c r="B260" t="s">
        <v>647</v>
      </c>
      <c r="C260" t="s">
        <v>1366</v>
      </c>
      <c r="D260" t="s">
        <v>1371</v>
      </c>
      <c r="E260" t="s">
        <v>432</v>
      </c>
      <c r="F260">
        <v>2</v>
      </c>
      <c r="G260">
        <v>25</v>
      </c>
      <c r="H260" s="1296">
        <v>50</v>
      </c>
      <c r="I260" t="str">
        <f t="shared" si="4"/>
        <v>-</v>
      </c>
      <c r="K260" t="str">
        <f>IF(CHALLAN!E11973&lt;&gt;"",CHALLAN!F11973,CHALLAN!G11973)&amp;""</f>
        <v>GG/259/09-10</v>
      </c>
      <c r="L260">
        <v>11973</v>
      </c>
      <c r="M260">
        <v>12015</v>
      </c>
      <c r="N260" t="s">
        <v>2438</v>
      </c>
    </row>
    <row r="261" spans="1:14" x14ac:dyDescent="0.25">
      <c r="A261">
        <v>3297</v>
      </c>
      <c r="B261" t="s">
        <v>1381</v>
      </c>
      <c r="C261" t="s">
        <v>1382</v>
      </c>
      <c r="D261" t="s">
        <v>1383</v>
      </c>
      <c r="E261" t="s">
        <v>109</v>
      </c>
      <c r="F261">
        <v>8</v>
      </c>
      <c r="G261">
        <v>25</v>
      </c>
      <c r="H261" s="1296">
        <v>200</v>
      </c>
      <c r="I261" t="str">
        <f t="shared" si="4"/>
        <v>-</v>
      </c>
      <c r="K261" t="str">
        <f>IF(CHALLAN!E12016&lt;&gt;"",CHALLAN!F12016,CHALLAN!G12016)&amp;""</f>
        <v>GG/260/09-10</v>
      </c>
      <c r="L261">
        <v>12016</v>
      </c>
      <c r="M261">
        <v>12061</v>
      </c>
      <c r="N261" t="s">
        <v>2438</v>
      </c>
    </row>
    <row r="262" spans="1:14" x14ac:dyDescent="0.25">
      <c r="A262">
        <v>3298</v>
      </c>
      <c r="B262" t="s">
        <v>1381</v>
      </c>
      <c r="C262" t="s">
        <v>1382</v>
      </c>
      <c r="D262" t="s">
        <v>1386</v>
      </c>
      <c r="E262" t="s">
        <v>1387</v>
      </c>
      <c r="F262">
        <v>5</v>
      </c>
      <c r="G262">
        <v>20</v>
      </c>
      <c r="H262" s="1296">
        <v>100</v>
      </c>
      <c r="I262" t="str">
        <f t="shared" si="4"/>
        <v>-</v>
      </c>
      <c r="K262" t="str">
        <f>IF(CHALLAN!E12062&lt;&gt;"",CHALLAN!F12062,CHALLAN!G12062)&amp;""</f>
        <v>GG/261/09-10</v>
      </c>
      <c r="L262">
        <v>12062</v>
      </c>
      <c r="M262">
        <v>12107</v>
      </c>
      <c r="N262" t="s">
        <v>2438</v>
      </c>
    </row>
    <row r="263" spans="1:14" x14ac:dyDescent="0.25">
      <c r="A263">
        <v>3388</v>
      </c>
      <c r="B263" t="s">
        <v>1397</v>
      </c>
      <c r="C263" t="s">
        <v>1398</v>
      </c>
      <c r="D263" t="s">
        <v>1399</v>
      </c>
      <c r="F263">
        <v>5</v>
      </c>
      <c r="G263">
        <v>10</v>
      </c>
      <c r="H263" s="1296">
        <v>50</v>
      </c>
      <c r="I263" t="str">
        <f t="shared" si="4"/>
        <v>-</v>
      </c>
      <c r="K263" t="str">
        <f>IF(CHALLAN!E12108&lt;&gt;"",CHALLAN!F12108,CHALLAN!G12108)&amp;""</f>
        <v>GG/261/09-10</v>
      </c>
      <c r="L263">
        <v>12108</v>
      </c>
      <c r="M263">
        <v>12173</v>
      </c>
      <c r="N263" t="s">
        <v>2438</v>
      </c>
    </row>
    <row r="264" spans="1:14" x14ac:dyDescent="0.25">
      <c r="A264">
        <v>3434</v>
      </c>
      <c r="B264" t="s">
        <v>1397</v>
      </c>
      <c r="C264" t="s">
        <v>1406</v>
      </c>
      <c r="D264" t="s">
        <v>1383</v>
      </c>
      <c r="E264" t="s">
        <v>109</v>
      </c>
      <c r="F264">
        <v>97</v>
      </c>
      <c r="G264">
        <v>25</v>
      </c>
      <c r="H264" s="1296">
        <v>2425</v>
      </c>
      <c r="I264" t="str">
        <f t="shared" si="4"/>
        <v>-</v>
      </c>
      <c r="K264" t="str">
        <f>IF(CHALLAN!E12174&lt;&gt;"",CHALLAN!F12174,CHALLAN!G12174)&amp;""</f>
        <v>GG/262/09-10</v>
      </c>
      <c r="L264">
        <v>12174</v>
      </c>
      <c r="M264">
        <v>12219</v>
      </c>
      <c r="N264" t="s">
        <v>2438</v>
      </c>
    </row>
    <row r="265" spans="1:14" x14ac:dyDescent="0.25">
      <c r="A265">
        <v>3435</v>
      </c>
      <c r="B265" t="s">
        <v>1397</v>
      </c>
      <c r="C265" t="s">
        <v>1406</v>
      </c>
      <c r="D265" t="s">
        <v>1383</v>
      </c>
      <c r="E265" t="s">
        <v>109</v>
      </c>
      <c r="F265">
        <v>1</v>
      </c>
      <c r="G265">
        <v>23</v>
      </c>
      <c r="H265" s="1296">
        <v>23</v>
      </c>
      <c r="I265" t="str">
        <f t="shared" si="4"/>
        <v>-</v>
      </c>
      <c r="K265" t="str">
        <f>IF(CHALLAN!E12220&lt;&gt;"",CHALLAN!F12220,CHALLAN!G12220)&amp;""</f>
        <v>GG/263/09-10</v>
      </c>
      <c r="L265">
        <v>12220</v>
      </c>
      <c r="M265">
        <v>12288</v>
      </c>
      <c r="N265" t="s">
        <v>2438</v>
      </c>
    </row>
    <row r="266" spans="1:14" x14ac:dyDescent="0.25">
      <c r="A266">
        <v>3436</v>
      </c>
      <c r="B266" t="s">
        <v>1397</v>
      </c>
      <c r="C266" t="s">
        <v>1406</v>
      </c>
      <c r="D266" t="s">
        <v>1386</v>
      </c>
      <c r="E266" t="s">
        <v>1387</v>
      </c>
      <c r="F266">
        <v>20</v>
      </c>
      <c r="G266">
        <v>20</v>
      </c>
      <c r="H266" s="1296">
        <v>400</v>
      </c>
      <c r="I266" t="str">
        <f t="shared" si="4"/>
        <v>-</v>
      </c>
      <c r="K266" t="str">
        <f>IF(CHALLAN!E12289&lt;&gt;"",CHALLAN!F12289,CHALLAN!G12289)&amp;""</f>
        <v>GG/264/09-10</v>
      </c>
      <c r="L266">
        <v>12289</v>
      </c>
      <c r="M266">
        <v>12335</v>
      </c>
      <c r="N266" t="s">
        <v>2438</v>
      </c>
    </row>
    <row r="267" spans="1:14" x14ac:dyDescent="0.25">
      <c r="A267">
        <v>3480</v>
      </c>
      <c r="B267" t="s">
        <v>1397</v>
      </c>
      <c r="C267" t="s">
        <v>1430</v>
      </c>
      <c r="D267" t="s">
        <v>239</v>
      </c>
      <c r="F267">
        <v>5</v>
      </c>
      <c r="G267">
        <v>2</v>
      </c>
      <c r="H267" s="1296">
        <v>10</v>
      </c>
      <c r="I267" t="str">
        <f t="shared" si="4"/>
        <v>-</v>
      </c>
      <c r="K267" t="str">
        <f>IF(CHALLAN!E12336&lt;&gt;"",CHALLAN!F12336,CHALLAN!G12336)&amp;""</f>
        <v>GG/264/09-10</v>
      </c>
      <c r="L267">
        <v>12336</v>
      </c>
      <c r="M267">
        <v>12410</v>
      </c>
      <c r="N267" t="s">
        <v>2438</v>
      </c>
    </row>
    <row r="268" spans="1:14" x14ac:dyDescent="0.25">
      <c r="A268">
        <v>3481</v>
      </c>
      <c r="B268" t="s">
        <v>1397</v>
      </c>
      <c r="C268" t="s">
        <v>1430</v>
      </c>
      <c r="D268" t="s">
        <v>1434</v>
      </c>
      <c r="F268">
        <v>2</v>
      </c>
      <c r="G268">
        <v>10</v>
      </c>
      <c r="H268" s="1296">
        <v>20</v>
      </c>
      <c r="I268" t="str">
        <f t="shared" si="4"/>
        <v>-</v>
      </c>
      <c r="K268" t="str">
        <f>IF(CHALLAN!E12411&lt;&gt;"",CHALLAN!F12411,CHALLAN!G12411)&amp;""</f>
        <v>GG/265/09-10</v>
      </c>
      <c r="L268">
        <v>12411</v>
      </c>
      <c r="M268">
        <v>12456</v>
      </c>
      <c r="N268" t="s">
        <v>2438</v>
      </c>
    </row>
    <row r="269" spans="1:14" x14ac:dyDescent="0.25">
      <c r="A269">
        <v>3526</v>
      </c>
      <c r="B269" t="s">
        <v>1368</v>
      </c>
      <c r="C269" t="s">
        <v>1448</v>
      </c>
      <c r="D269" t="s">
        <v>1453</v>
      </c>
      <c r="E269" t="s">
        <v>12</v>
      </c>
      <c r="F269">
        <v>5</v>
      </c>
      <c r="G269">
        <v>24</v>
      </c>
      <c r="H269" s="1296">
        <v>120</v>
      </c>
      <c r="I269" t="str">
        <f t="shared" si="4"/>
        <v>-</v>
      </c>
      <c r="K269" t="str">
        <f>IF(CHALLAN!E12457&lt;&gt;"",CHALLAN!F12457,CHALLAN!G12457)&amp;""</f>
        <v>GG/265/09-10</v>
      </c>
      <c r="L269">
        <v>12457</v>
      </c>
      <c r="M269">
        <v>12502</v>
      </c>
      <c r="N269" t="s">
        <v>2438</v>
      </c>
    </row>
    <row r="270" spans="1:14" x14ac:dyDescent="0.25">
      <c r="A270">
        <v>3527</v>
      </c>
      <c r="B270" t="s">
        <v>1368</v>
      </c>
      <c r="C270" t="s">
        <v>1448</v>
      </c>
      <c r="D270" t="s">
        <v>1454</v>
      </c>
      <c r="E270" t="s">
        <v>12</v>
      </c>
      <c r="F270">
        <v>5</v>
      </c>
      <c r="G270">
        <v>24</v>
      </c>
      <c r="H270" s="1296">
        <v>120</v>
      </c>
      <c r="I270" t="str">
        <f t="shared" si="4"/>
        <v>-</v>
      </c>
      <c r="K270" t="str">
        <f>IF(CHALLAN!E12503&lt;&gt;"",CHALLAN!F12503,CHALLAN!G12503)&amp;""</f>
        <v>GG/266/09-10</v>
      </c>
      <c r="L270">
        <v>12503</v>
      </c>
      <c r="M270">
        <v>12548</v>
      </c>
      <c r="N270" t="s">
        <v>2438</v>
      </c>
    </row>
    <row r="271" spans="1:14" x14ac:dyDescent="0.25">
      <c r="A271">
        <v>3528</v>
      </c>
      <c r="B271" t="s">
        <v>1368</v>
      </c>
      <c r="C271" t="s">
        <v>1448</v>
      </c>
      <c r="D271" t="s">
        <v>1077</v>
      </c>
      <c r="E271" t="s">
        <v>1456</v>
      </c>
      <c r="F271">
        <v>5</v>
      </c>
      <c r="G271">
        <v>24</v>
      </c>
      <c r="H271" s="1296">
        <v>120</v>
      </c>
      <c r="I271" t="str">
        <f t="shared" si="4"/>
        <v>-</v>
      </c>
      <c r="K271" t="str">
        <f>IF(CHALLAN!E12549&lt;&gt;"",CHALLAN!F12549,CHALLAN!G12549)&amp;""</f>
        <v>GG/266/09-10</v>
      </c>
      <c r="L271">
        <v>12549</v>
      </c>
      <c r="M271">
        <v>12594</v>
      </c>
      <c r="N271" t="s">
        <v>2438</v>
      </c>
    </row>
    <row r="272" spans="1:14" x14ac:dyDescent="0.25">
      <c r="A272">
        <v>3531</v>
      </c>
      <c r="B272" t="s">
        <v>1368</v>
      </c>
      <c r="C272" t="s">
        <v>1448</v>
      </c>
      <c r="D272" t="s">
        <v>649</v>
      </c>
      <c r="E272" t="s">
        <v>109</v>
      </c>
      <c r="F272">
        <v>4</v>
      </c>
      <c r="G272">
        <v>25</v>
      </c>
      <c r="H272" s="1296">
        <v>100</v>
      </c>
      <c r="I272" t="str">
        <f t="shared" si="4"/>
        <v>-</v>
      </c>
      <c r="K272" t="str">
        <f>IF(CHALLAN!E12595&lt;&gt;"",CHALLAN!F12595,CHALLAN!G12595)&amp;""</f>
        <v>GG/267/09-10</v>
      </c>
      <c r="L272">
        <v>12595</v>
      </c>
      <c r="M272">
        <v>12640</v>
      </c>
      <c r="N272" t="s">
        <v>2438</v>
      </c>
    </row>
    <row r="273" spans="1:14" x14ac:dyDescent="0.25">
      <c r="A273">
        <v>3532</v>
      </c>
      <c r="B273" t="s">
        <v>1368</v>
      </c>
      <c r="C273" t="s">
        <v>1448</v>
      </c>
      <c r="D273" t="s">
        <v>651</v>
      </c>
      <c r="F273">
        <v>6</v>
      </c>
      <c r="G273">
        <v>25</v>
      </c>
      <c r="H273" s="1296">
        <v>150</v>
      </c>
      <c r="I273" t="str">
        <f t="shared" si="4"/>
        <v>-</v>
      </c>
      <c r="K273" t="str">
        <f>IF(CHALLAN!E12641&lt;&gt;"",CHALLAN!F12641,CHALLAN!G12641)&amp;""</f>
        <v>GG/268/09-10</v>
      </c>
      <c r="L273">
        <v>12641</v>
      </c>
      <c r="M273">
        <v>12686</v>
      </c>
      <c r="N273" t="s">
        <v>2438</v>
      </c>
    </row>
    <row r="274" spans="1:14" x14ac:dyDescent="0.25">
      <c r="A274">
        <v>3534</v>
      </c>
      <c r="B274" t="s">
        <v>1368</v>
      </c>
      <c r="C274" t="s">
        <v>1448</v>
      </c>
      <c r="D274" t="s">
        <v>931</v>
      </c>
      <c r="F274">
        <v>30</v>
      </c>
      <c r="G274">
        <v>1</v>
      </c>
      <c r="H274" s="1296">
        <v>30</v>
      </c>
      <c r="I274" t="str">
        <f t="shared" si="4"/>
        <v>-</v>
      </c>
      <c r="K274" t="str">
        <f>IF(CHALLAN!E12687&lt;&gt;"",CHALLAN!F12687,CHALLAN!G12687)&amp;""</f>
        <v>GG/268/09-10</v>
      </c>
      <c r="L274">
        <v>12687</v>
      </c>
      <c r="M274">
        <v>12730</v>
      </c>
      <c r="N274" t="s">
        <v>2438</v>
      </c>
    </row>
    <row r="275" spans="1:14" x14ac:dyDescent="0.25">
      <c r="A275">
        <v>3536</v>
      </c>
      <c r="B275" t="s">
        <v>1368</v>
      </c>
      <c r="C275" t="s">
        <v>1448</v>
      </c>
      <c r="D275" t="s">
        <v>1447</v>
      </c>
      <c r="F275">
        <v>3</v>
      </c>
      <c r="G275">
        <v>10</v>
      </c>
      <c r="H275" s="1296">
        <v>30</v>
      </c>
      <c r="I275" t="str">
        <f t="shared" si="4"/>
        <v>-</v>
      </c>
      <c r="K275" t="str">
        <f>IF(CHALLAN!E12731&lt;&gt;"",CHALLAN!F12731,CHALLAN!G12731)&amp;""</f>
        <v>GG/269/09-10</v>
      </c>
      <c r="L275">
        <v>12731</v>
      </c>
      <c r="M275">
        <v>12776</v>
      </c>
      <c r="N275" t="s">
        <v>2438</v>
      </c>
    </row>
    <row r="276" spans="1:14" x14ac:dyDescent="0.25">
      <c r="A276">
        <v>3572</v>
      </c>
      <c r="B276" t="s">
        <v>1368</v>
      </c>
      <c r="C276" t="s">
        <v>1369</v>
      </c>
      <c r="D276">
        <v>505</v>
      </c>
      <c r="F276">
        <v>2</v>
      </c>
      <c r="G276">
        <v>4</v>
      </c>
      <c r="H276" s="1296">
        <v>8</v>
      </c>
      <c r="I276" t="str">
        <f t="shared" si="4"/>
        <v>-</v>
      </c>
      <c r="K276" t="str">
        <f>IF(CHALLAN!E12777&lt;&gt;"",CHALLAN!F12777,CHALLAN!G12777)&amp;""</f>
        <v>GG/270/09-10</v>
      </c>
      <c r="L276">
        <v>12777</v>
      </c>
      <c r="M276">
        <v>12825</v>
      </c>
      <c r="N276" t="s">
        <v>2438</v>
      </c>
    </row>
    <row r="277" spans="1:14" x14ac:dyDescent="0.25">
      <c r="A277">
        <v>3574</v>
      </c>
      <c r="B277" t="s">
        <v>1368</v>
      </c>
      <c r="C277" t="s">
        <v>1369</v>
      </c>
      <c r="D277" t="s">
        <v>1453</v>
      </c>
      <c r="E277" t="s">
        <v>12</v>
      </c>
      <c r="F277">
        <v>15</v>
      </c>
      <c r="G277">
        <v>24</v>
      </c>
      <c r="H277" s="1296">
        <v>360</v>
      </c>
      <c r="I277" t="str">
        <f t="shared" si="4"/>
        <v>-</v>
      </c>
      <c r="K277" t="str">
        <f>IF(CHALLAN!E12826&lt;&gt;"",CHALLAN!F12826,CHALLAN!G12826)&amp;""</f>
        <v>GG/271/09-10</v>
      </c>
      <c r="L277">
        <v>12826</v>
      </c>
      <c r="M277">
        <v>12868</v>
      </c>
      <c r="N277" t="s">
        <v>2438</v>
      </c>
    </row>
    <row r="278" spans="1:14" x14ac:dyDescent="0.25">
      <c r="A278">
        <v>3575</v>
      </c>
      <c r="B278" t="s">
        <v>1368</v>
      </c>
      <c r="C278" t="s">
        <v>1369</v>
      </c>
      <c r="D278" t="s">
        <v>1454</v>
      </c>
      <c r="E278" t="s">
        <v>12</v>
      </c>
      <c r="F278">
        <v>35</v>
      </c>
      <c r="G278">
        <v>24</v>
      </c>
      <c r="H278" s="1296">
        <v>840</v>
      </c>
      <c r="I278" t="str">
        <f t="shared" si="4"/>
        <v>-</v>
      </c>
      <c r="K278" t="str">
        <f>IF(CHALLAN!E12869&lt;&gt;"",CHALLAN!F12869,CHALLAN!G12869)&amp;""</f>
        <v>GG/272/09-10</v>
      </c>
      <c r="L278">
        <v>12869</v>
      </c>
      <c r="M278">
        <v>12914</v>
      </c>
      <c r="N278" t="s">
        <v>2438</v>
      </c>
    </row>
    <row r="279" spans="1:14" x14ac:dyDescent="0.25">
      <c r="A279">
        <v>3619</v>
      </c>
      <c r="B279" t="s">
        <v>671</v>
      </c>
      <c r="C279" t="s">
        <v>1373</v>
      </c>
      <c r="D279">
        <v>505</v>
      </c>
      <c r="F279">
        <v>6</v>
      </c>
      <c r="G279">
        <v>4</v>
      </c>
      <c r="H279" s="1296">
        <v>24</v>
      </c>
      <c r="I279" t="str">
        <f t="shared" si="4"/>
        <v>-</v>
      </c>
      <c r="K279" t="str">
        <f>IF(CHALLAN!E12915&lt;&gt;"",CHALLAN!F12915,CHALLAN!G12915)&amp;""</f>
        <v>GG/273/09-10</v>
      </c>
      <c r="L279">
        <v>12915</v>
      </c>
      <c r="M279">
        <v>12961</v>
      </c>
      <c r="N279" t="s">
        <v>2438</v>
      </c>
    </row>
    <row r="280" spans="1:14" x14ac:dyDescent="0.25">
      <c r="A280">
        <v>3620</v>
      </c>
      <c r="B280" t="s">
        <v>671</v>
      </c>
      <c r="C280" t="s">
        <v>1373</v>
      </c>
      <c r="D280">
        <v>507</v>
      </c>
      <c r="F280">
        <v>19</v>
      </c>
      <c r="G280">
        <v>4</v>
      </c>
      <c r="H280" s="1296">
        <v>76</v>
      </c>
      <c r="I280" t="str">
        <f t="shared" si="4"/>
        <v>-</v>
      </c>
      <c r="K280" t="str">
        <f>IF(CHALLAN!E12962&lt;&gt;"",CHALLAN!F12962,CHALLAN!G12962)&amp;""</f>
        <v>GG/273/09-10</v>
      </c>
      <c r="L280">
        <v>12962</v>
      </c>
      <c r="M280">
        <v>13006</v>
      </c>
      <c r="N280" t="s">
        <v>2438</v>
      </c>
    </row>
    <row r="281" spans="1:14" x14ac:dyDescent="0.25">
      <c r="A281">
        <v>3622</v>
      </c>
      <c r="B281" t="s">
        <v>671</v>
      </c>
      <c r="C281" t="s">
        <v>1373</v>
      </c>
      <c r="D281" t="s">
        <v>1293</v>
      </c>
      <c r="F281">
        <v>1</v>
      </c>
      <c r="G281">
        <v>100</v>
      </c>
      <c r="H281" s="1296">
        <v>100</v>
      </c>
      <c r="I281" t="str">
        <f t="shared" si="4"/>
        <v>-</v>
      </c>
      <c r="K281" t="str">
        <f>IF(CHALLAN!E13007&lt;&gt;"",CHALLAN!F13007,CHALLAN!G13007)&amp;""</f>
        <v>GG/274/09-10</v>
      </c>
      <c r="L281">
        <v>13007</v>
      </c>
      <c r="M281">
        <v>13054</v>
      </c>
      <c r="N281" t="s">
        <v>2438</v>
      </c>
    </row>
    <row r="282" spans="1:14" x14ac:dyDescent="0.25">
      <c r="A282">
        <v>3623</v>
      </c>
      <c r="B282" t="s">
        <v>671</v>
      </c>
      <c r="C282" t="s">
        <v>1373</v>
      </c>
      <c r="D282" t="s">
        <v>1476</v>
      </c>
      <c r="F282">
        <v>1</v>
      </c>
      <c r="G282">
        <v>200</v>
      </c>
      <c r="H282" s="1296">
        <v>200</v>
      </c>
      <c r="I282" t="str">
        <f t="shared" si="4"/>
        <v>-</v>
      </c>
      <c r="K282" t="str">
        <f>IF(CHALLAN!E13055&lt;&gt;"",CHALLAN!F13055,CHALLAN!G13055)&amp;""</f>
        <v>GG/275/09-10</v>
      </c>
      <c r="L282">
        <v>13055</v>
      </c>
      <c r="M282">
        <v>13113</v>
      </c>
      <c r="N282" t="s">
        <v>2438</v>
      </c>
    </row>
    <row r="283" spans="1:14" x14ac:dyDescent="0.25">
      <c r="A283">
        <v>3626</v>
      </c>
      <c r="B283" t="s">
        <v>671</v>
      </c>
      <c r="C283" t="s">
        <v>1373</v>
      </c>
      <c r="D283" t="s">
        <v>76</v>
      </c>
      <c r="E283" t="s">
        <v>376</v>
      </c>
      <c r="F283">
        <v>1</v>
      </c>
      <c r="G283">
        <v>6</v>
      </c>
      <c r="H283" s="1296">
        <v>6</v>
      </c>
      <c r="I283" t="str">
        <f t="shared" si="4"/>
        <v>-</v>
      </c>
      <c r="K283" t="str">
        <f>IF(CHALLAN!E13114&lt;&gt;"",CHALLAN!F13114,CHALLAN!G13114)&amp;""</f>
        <v>GG/276/09-10</v>
      </c>
      <c r="L283">
        <v>13114</v>
      </c>
      <c r="M283">
        <v>13159</v>
      </c>
      <c r="N283" t="s">
        <v>2438</v>
      </c>
    </row>
    <row r="284" spans="1:14" x14ac:dyDescent="0.25">
      <c r="A284">
        <v>3627</v>
      </c>
      <c r="B284" t="s">
        <v>671</v>
      </c>
      <c r="C284" t="s">
        <v>1373</v>
      </c>
      <c r="D284" t="s">
        <v>215</v>
      </c>
      <c r="E284" t="s">
        <v>386</v>
      </c>
      <c r="F284">
        <v>1</v>
      </c>
      <c r="G284">
        <v>4</v>
      </c>
      <c r="H284" s="1296">
        <v>4</v>
      </c>
      <c r="I284" t="str">
        <f t="shared" si="4"/>
        <v>-</v>
      </c>
      <c r="K284" t="str">
        <f>IF(CHALLAN!E13160&lt;&gt;"",CHALLAN!F13160,CHALLAN!G13160)&amp;""</f>
        <v>GG/277/09-10</v>
      </c>
      <c r="L284">
        <v>13160</v>
      </c>
      <c r="M284">
        <v>13205</v>
      </c>
      <c r="N284" t="s">
        <v>2438</v>
      </c>
    </row>
    <row r="285" spans="1:14" x14ac:dyDescent="0.25">
      <c r="A285">
        <v>3628</v>
      </c>
      <c r="B285" t="s">
        <v>671</v>
      </c>
      <c r="C285" t="s">
        <v>1373</v>
      </c>
      <c r="D285" t="s">
        <v>1314</v>
      </c>
      <c r="E285" t="s">
        <v>387</v>
      </c>
      <c r="F285">
        <v>1</v>
      </c>
      <c r="G285">
        <v>6</v>
      </c>
      <c r="H285" s="1296">
        <v>6</v>
      </c>
      <c r="I285" t="str">
        <f t="shared" si="4"/>
        <v>-</v>
      </c>
      <c r="K285" t="str">
        <f>IF(CHALLAN!E13206&lt;&gt;"",CHALLAN!F13206,CHALLAN!G13206)&amp;""</f>
        <v>GG/277/09-10</v>
      </c>
      <c r="L285">
        <v>13206</v>
      </c>
      <c r="M285">
        <v>13274</v>
      </c>
      <c r="N285" t="s">
        <v>2438</v>
      </c>
    </row>
    <row r="286" spans="1:14" x14ac:dyDescent="0.25">
      <c r="A286">
        <v>3629</v>
      </c>
      <c r="B286" t="s">
        <v>671</v>
      </c>
      <c r="C286" t="s">
        <v>1373</v>
      </c>
      <c r="D286" t="s">
        <v>217</v>
      </c>
      <c r="E286" t="s">
        <v>388</v>
      </c>
      <c r="F286">
        <v>1</v>
      </c>
      <c r="G286">
        <v>6</v>
      </c>
      <c r="H286" s="1296">
        <v>6</v>
      </c>
      <c r="I286" t="str">
        <f t="shared" si="4"/>
        <v>-</v>
      </c>
      <c r="K286" t="str">
        <f>IF(CHALLAN!E13275&lt;&gt;"",CHALLAN!F13275,CHALLAN!G13275)&amp;""</f>
        <v>GG/278/09-10</v>
      </c>
      <c r="L286">
        <v>13275</v>
      </c>
      <c r="M286">
        <v>13320</v>
      </c>
      <c r="N286" t="s">
        <v>2438</v>
      </c>
    </row>
    <row r="287" spans="1:14" x14ac:dyDescent="0.25">
      <c r="A287">
        <v>3630</v>
      </c>
      <c r="B287" t="s">
        <v>671</v>
      </c>
      <c r="C287" t="s">
        <v>1373</v>
      </c>
      <c r="D287" t="s">
        <v>270</v>
      </c>
      <c r="E287" t="s">
        <v>1478</v>
      </c>
      <c r="F287">
        <v>1</v>
      </c>
      <c r="G287">
        <v>6</v>
      </c>
      <c r="H287" s="1296">
        <v>6</v>
      </c>
      <c r="I287" t="str">
        <f t="shared" si="4"/>
        <v>-</v>
      </c>
      <c r="K287" t="str">
        <f>IF(CHALLAN!E13321&lt;&gt;"",CHALLAN!F13321,CHALLAN!G13321)&amp;""</f>
        <v>GG/279/09-10</v>
      </c>
      <c r="L287">
        <v>13321</v>
      </c>
      <c r="M287">
        <v>13389</v>
      </c>
      <c r="N287" t="s">
        <v>2438</v>
      </c>
    </row>
    <row r="288" spans="1:14" x14ac:dyDescent="0.25">
      <c r="A288">
        <v>3631</v>
      </c>
      <c r="B288" t="s">
        <v>671</v>
      </c>
      <c r="C288" t="s">
        <v>1373</v>
      </c>
      <c r="D288" t="s">
        <v>228</v>
      </c>
      <c r="E288" t="s">
        <v>398</v>
      </c>
      <c r="F288">
        <v>1</v>
      </c>
      <c r="G288">
        <v>6</v>
      </c>
      <c r="H288" s="1296">
        <v>6</v>
      </c>
      <c r="I288" t="str">
        <f t="shared" si="4"/>
        <v>-</v>
      </c>
      <c r="K288" t="str">
        <f>IF(CHALLAN!E13390&lt;&gt;"",CHALLAN!F13390,CHALLAN!G13390)&amp;""</f>
        <v>GG/280/09-10</v>
      </c>
      <c r="L288">
        <v>13390</v>
      </c>
      <c r="M288">
        <v>13435</v>
      </c>
      <c r="N288" t="s">
        <v>2438</v>
      </c>
    </row>
    <row r="289" spans="1:14" x14ac:dyDescent="0.25">
      <c r="A289">
        <v>3632</v>
      </c>
      <c r="B289" t="s">
        <v>671</v>
      </c>
      <c r="C289" t="s">
        <v>1373</v>
      </c>
      <c r="D289" t="s">
        <v>1484</v>
      </c>
      <c r="E289" t="s">
        <v>401</v>
      </c>
      <c r="F289">
        <v>1</v>
      </c>
      <c r="G289">
        <v>6</v>
      </c>
      <c r="H289" s="1296">
        <v>6</v>
      </c>
      <c r="I289" t="str">
        <f t="shared" si="4"/>
        <v>-</v>
      </c>
      <c r="K289" t="str">
        <f>IF(CHALLAN!E13436&lt;&gt;"",CHALLAN!F13436,CHALLAN!G13436)&amp;""</f>
        <v>GG/281/09-10</v>
      </c>
      <c r="L289">
        <v>13436</v>
      </c>
      <c r="M289">
        <v>13479</v>
      </c>
      <c r="N289" t="s">
        <v>2438</v>
      </c>
    </row>
    <row r="290" spans="1:14" x14ac:dyDescent="0.25">
      <c r="A290">
        <v>3633</v>
      </c>
      <c r="B290" t="s">
        <v>671</v>
      </c>
      <c r="C290" t="s">
        <v>1373</v>
      </c>
      <c r="D290" t="s">
        <v>1485</v>
      </c>
      <c r="E290" t="s">
        <v>402</v>
      </c>
      <c r="F290">
        <v>1</v>
      </c>
      <c r="G290">
        <v>6</v>
      </c>
      <c r="H290" s="1296">
        <v>6</v>
      </c>
      <c r="I290" t="str">
        <f t="shared" si="4"/>
        <v>-</v>
      </c>
      <c r="K290" t="str">
        <f>IF(CHALLAN!E13480&lt;&gt;"",CHALLAN!F13480,CHALLAN!G13480)&amp;""</f>
        <v>GG/282/09-10</v>
      </c>
      <c r="L290">
        <v>13480</v>
      </c>
      <c r="M290">
        <v>13545</v>
      </c>
      <c r="N290" t="s">
        <v>2438</v>
      </c>
    </row>
    <row r="291" spans="1:14" x14ac:dyDescent="0.25">
      <c r="A291">
        <v>3662</v>
      </c>
      <c r="B291" t="s">
        <v>671</v>
      </c>
      <c r="C291" t="s">
        <v>1488</v>
      </c>
      <c r="D291" t="s">
        <v>1453</v>
      </c>
      <c r="E291" t="s">
        <v>1491</v>
      </c>
      <c r="F291">
        <v>1</v>
      </c>
      <c r="G291">
        <v>24</v>
      </c>
      <c r="H291" s="1296">
        <v>24</v>
      </c>
      <c r="I291" t="str">
        <f t="shared" si="4"/>
        <v>-</v>
      </c>
      <c r="K291" t="str">
        <f>IF(CHALLAN!E13546&lt;&gt;"",CHALLAN!F13546,CHALLAN!G13546)&amp;""</f>
        <v>GG/283/09-10</v>
      </c>
      <c r="L291">
        <v>13546</v>
      </c>
      <c r="M291">
        <v>13590</v>
      </c>
      <c r="N291" t="s">
        <v>2438</v>
      </c>
    </row>
    <row r="292" spans="1:14" x14ac:dyDescent="0.25">
      <c r="A292">
        <v>3663</v>
      </c>
      <c r="B292" t="s">
        <v>671</v>
      </c>
      <c r="C292" t="s">
        <v>1488</v>
      </c>
      <c r="D292" t="s">
        <v>1454</v>
      </c>
      <c r="E292" t="s">
        <v>1491</v>
      </c>
      <c r="F292">
        <v>1</v>
      </c>
      <c r="G292">
        <v>24</v>
      </c>
      <c r="H292" s="1296">
        <v>24</v>
      </c>
      <c r="I292" t="str">
        <f t="shared" si="4"/>
        <v>-</v>
      </c>
      <c r="K292" t="str">
        <f>IF(CHALLAN!E13591&lt;&gt;"",CHALLAN!F13591,CHALLAN!G13591)&amp;""</f>
        <v>GG/284/09-10</v>
      </c>
      <c r="L292">
        <v>13591</v>
      </c>
      <c r="M292">
        <v>13636</v>
      </c>
      <c r="N292" t="s">
        <v>2438</v>
      </c>
    </row>
    <row r="293" spans="1:14" x14ac:dyDescent="0.25">
      <c r="A293">
        <v>3664</v>
      </c>
      <c r="B293" t="s">
        <v>671</v>
      </c>
      <c r="C293" t="s">
        <v>1488</v>
      </c>
      <c r="D293" t="s">
        <v>1077</v>
      </c>
      <c r="E293" t="s">
        <v>5</v>
      </c>
      <c r="F293">
        <v>10</v>
      </c>
      <c r="G293">
        <v>24</v>
      </c>
      <c r="H293" s="1296">
        <v>240</v>
      </c>
      <c r="I293" t="str">
        <f t="shared" si="4"/>
        <v>-</v>
      </c>
      <c r="K293" t="str">
        <f>IF(CHALLAN!E13637&lt;&gt;"",CHALLAN!F13637,CHALLAN!G13637)&amp;""</f>
        <v>GG/284/09-10</v>
      </c>
      <c r="L293">
        <v>13637</v>
      </c>
      <c r="M293">
        <v>13682</v>
      </c>
      <c r="N293" t="s">
        <v>2438</v>
      </c>
    </row>
    <row r="294" spans="1:14" x14ac:dyDescent="0.25">
      <c r="A294">
        <v>3665</v>
      </c>
      <c r="B294" t="s">
        <v>671</v>
      </c>
      <c r="C294" t="s">
        <v>1488</v>
      </c>
      <c r="D294" t="s">
        <v>1077</v>
      </c>
      <c r="E294" t="s">
        <v>5</v>
      </c>
      <c r="F294">
        <v>1</v>
      </c>
      <c r="G294">
        <v>20</v>
      </c>
      <c r="H294" s="1296">
        <v>20</v>
      </c>
      <c r="I294" t="str">
        <f t="shared" si="4"/>
        <v>-</v>
      </c>
      <c r="K294" t="str">
        <f>IF(CHALLAN!E13683&lt;&gt;"",CHALLAN!F13683,CHALLAN!G13683)&amp;""</f>
        <v>GG/284/09-10</v>
      </c>
      <c r="L294">
        <v>13683</v>
      </c>
      <c r="M294">
        <v>13728</v>
      </c>
      <c r="N294" t="s">
        <v>2438</v>
      </c>
    </row>
    <row r="295" spans="1:14" x14ac:dyDescent="0.25">
      <c r="A295">
        <v>3708</v>
      </c>
      <c r="B295" t="s">
        <v>671</v>
      </c>
      <c r="C295" t="s">
        <v>1374</v>
      </c>
      <c r="D295">
        <v>505</v>
      </c>
      <c r="F295">
        <v>6</v>
      </c>
      <c r="G295">
        <v>4</v>
      </c>
      <c r="H295" s="1296">
        <v>24</v>
      </c>
      <c r="I295" t="str">
        <f t="shared" si="4"/>
        <v>-</v>
      </c>
      <c r="K295" t="str">
        <f>IF(CHALLAN!E13729&lt;&gt;"",CHALLAN!F13729,CHALLAN!G13729)&amp;""</f>
        <v>GG/284/09-10</v>
      </c>
      <c r="L295">
        <v>13729</v>
      </c>
      <c r="M295">
        <v>13773</v>
      </c>
      <c r="N295" t="s">
        <v>2438</v>
      </c>
    </row>
    <row r="296" spans="1:14" x14ac:dyDescent="0.25">
      <c r="A296">
        <v>3709</v>
      </c>
      <c r="B296" t="s">
        <v>671</v>
      </c>
      <c r="C296" t="s">
        <v>1374</v>
      </c>
      <c r="D296">
        <v>507</v>
      </c>
      <c r="F296">
        <v>31</v>
      </c>
      <c r="G296">
        <v>4</v>
      </c>
      <c r="H296" s="1296">
        <v>124</v>
      </c>
      <c r="I296" t="str">
        <f t="shared" si="4"/>
        <v>-</v>
      </c>
      <c r="K296" t="str">
        <f>IF(CHALLAN!E13774&lt;&gt;"",CHALLAN!F13774,CHALLAN!G13774)&amp;""</f>
        <v>GG/285/09-10</v>
      </c>
      <c r="L296">
        <v>13774</v>
      </c>
      <c r="M296">
        <v>13821</v>
      </c>
      <c r="N296" t="s">
        <v>2438</v>
      </c>
    </row>
    <row r="297" spans="1:14" x14ac:dyDescent="0.25">
      <c r="A297">
        <v>3711</v>
      </c>
      <c r="B297" t="s">
        <v>671</v>
      </c>
      <c r="C297" t="s">
        <v>1374</v>
      </c>
      <c r="D297" t="s">
        <v>1453</v>
      </c>
      <c r="E297" t="s">
        <v>1491</v>
      </c>
      <c r="F297">
        <v>21</v>
      </c>
      <c r="G297">
        <v>24</v>
      </c>
      <c r="H297" s="1296">
        <v>504</v>
      </c>
      <c r="I297" t="str">
        <f t="shared" si="4"/>
        <v>-</v>
      </c>
      <c r="K297" t="str">
        <f>IF(CHALLAN!E13822&lt;&gt;"",CHALLAN!F13822,CHALLAN!G13822)&amp;""</f>
        <v>GG/286/09-10</v>
      </c>
      <c r="L297">
        <v>13822</v>
      </c>
      <c r="M297">
        <v>13868</v>
      </c>
      <c r="N297" t="s">
        <v>2438</v>
      </c>
    </row>
    <row r="298" spans="1:14" x14ac:dyDescent="0.25">
      <c r="A298">
        <v>3712</v>
      </c>
      <c r="B298" t="s">
        <v>671</v>
      </c>
      <c r="C298" t="s">
        <v>1374</v>
      </c>
      <c r="D298" t="s">
        <v>1454</v>
      </c>
      <c r="E298" t="s">
        <v>1491</v>
      </c>
      <c r="F298">
        <v>21</v>
      </c>
      <c r="G298">
        <v>24</v>
      </c>
      <c r="H298" s="1296">
        <v>504</v>
      </c>
      <c r="I298" t="str">
        <f t="shared" si="4"/>
        <v>-</v>
      </c>
      <c r="K298" t="str">
        <f>IF(CHALLAN!E13869&lt;&gt;"",CHALLAN!F13869,CHALLAN!G13869)&amp;""</f>
        <v>GG/287/09-10</v>
      </c>
      <c r="L298">
        <v>13869</v>
      </c>
      <c r="M298">
        <v>13913</v>
      </c>
      <c r="N298" t="s">
        <v>2438</v>
      </c>
    </row>
    <row r="299" spans="1:14" x14ac:dyDescent="0.25">
      <c r="A299">
        <v>3752</v>
      </c>
      <c r="B299" t="s">
        <v>683</v>
      </c>
      <c r="C299" t="s">
        <v>1376</v>
      </c>
      <c r="D299" t="s">
        <v>1512</v>
      </c>
      <c r="F299">
        <v>3</v>
      </c>
      <c r="G299">
        <v>100</v>
      </c>
      <c r="H299" s="1296">
        <v>300</v>
      </c>
      <c r="I299" t="str">
        <f t="shared" si="4"/>
        <v>-</v>
      </c>
      <c r="K299" t="str">
        <f>IF(CHALLAN!E13914&lt;&gt;"",CHALLAN!F13914,CHALLAN!G13914)&amp;""</f>
        <v>GG/288/09-10</v>
      </c>
      <c r="L299">
        <v>13914</v>
      </c>
      <c r="M299">
        <v>13959</v>
      </c>
      <c r="N299" t="s">
        <v>2438</v>
      </c>
    </row>
    <row r="300" spans="1:14" x14ac:dyDescent="0.25">
      <c r="A300">
        <v>3754</v>
      </c>
      <c r="B300" t="s">
        <v>683</v>
      </c>
      <c r="C300" t="s">
        <v>1376</v>
      </c>
      <c r="D300">
        <v>505</v>
      </c>
      <c r="F300">
        <v>1</v>
      </c>
      <c r="G300">
        <v>4</v>
      </c>
      <c r="H300" s="1296">
        <v>4</v>
      </c>
      <c r="I300" t="str">
        <f t="shared" si="4"/>
        <v>-</v>
      </c>
      <c r="K300" t="str">
        <f>IF(CHALLAN!E13960&lt;&gt;"",CHALLAN!F13960,CHALLAN!G13960)&amp;""</f>
        <v>GG/288/09-10</v>
      </c>
      <c r="L300">
        <v>13960</v>
      </c>
      <c r="M300">
        <v>14005</v>
      </c>
      <c r="N300" t="s">
        <v>2438</v>
      </c>
    </row>
    <row r="301" spans="1:14" x14ac:dyDescent="0.25">
      <c r="A301">
        <v>3755</v>
      </c>
      <c r="B301" t="s">
        <v>683</v>
      </c>
      <c r="C301" t="s">
        <v>1376</v>
      </c>
      <c r="D301">
        <v>507</v>
      </c>
      <c r="F301">
        <v>6</v>
      </c>
      <c r="G301">
        <v>4</v>
      </c>
      <c r="H301" s="1296">
        <v>24</v>
      </c>
      <c r="I301" t="str">
        <f t="shared" si="4"/>
        <v>-</v>
      </c>
      <c r="K301" t="str">
        <f>IF(CHALLAN!E14006&lt;&gt;"",CHALLAN!F14006,CHALLAN!G14006)&amp;""</f>
        <v>GG/288/09-10</v>
      </c>
      <c r="L301">
        <v>14006</v>
      </c>
      <c r="M301">
        <v>14050</v>
      </c>
      <c r="N301" t="s">
        <v>2438</v>
      </c>
    </row>
    <row r="302" spans="1:14" x14ac:dyDescent="0.25">
      <c r="A302">
        <v>3756</v>
      </c>
      <c r="B302" t="s">
        <v>683</v>
      </c>
      <c r="C302" t="s">
        <v>1376</v>
      </c>
      <c r="D302">
        <v>508</v>
      </c>
      <c r="F302">
        <v>1</v>
      </c>
      <c r="G302">
        <v>4</v>
      </c>
      <c r="H302" s="1296">
        <v>4</v>
      </c>
      <c r="I302" t="str">
        <f t="shared" si="4"/>
        <v>-</v>
      </c>
      <c r="K302" t="str">
        <f>IF(CHALLAN!E14051&lt;&gt;"",CHALLAN!F14051,CHALLAN!G14051)&amp;""</f>
        <v>GG/289/09-10</v>
      </c>
      <c r="L302">
        <v>14051</v>
      </c>
      <c r="M302">
        <v>14096</v>
      </c>
      <c r="N302" t="s">
        <v>2438</v>
      </c>
    </row>
    <row r="303" spans="1:14" x14ac:dyDescent="0.25">
      <c r="A303">
        <v>3757</v>
      </c>
      <c r="B303" t="s">
        <v>683</v>
      </c>
      <c r="C303" t="s">
        <v>1376</v>
      </c>
      <c r="D303">
        <v>510</v>
      </c>
      <c r="F303">
        <v>1</v>
      </c>
      <c r="G303">
        <v>4</v>
      </c>
      <c r="H303" s="1296">
        <v>4</v>
      </c>
      <c r="I303" t="str">
        <f t="shared" si="4"/>
        <v>-</v>
      </c>
      <c r="K303" t="str">
        <f>IF(CHALLAN!E14097&lt;&gt;"",CHALLAN!F14097,CHALLAN!G14097)&amp;""</f>
        <v>GG/289/09-10</v>
      </c>
      <c r="L303">
        <v>14097</v>
      </c>
      <c r="M303">
        <v>14141</v>
      </c>
      <c r="N303" t="s">
        <v>2438</v>
      </c>
    </row>
    <row r="304" spans="1:14" x14ac:dyDescent="0.25">
      <c r="A304">
        <v>3799</v>
      </c>
      <c r="B304" t="s">
        <v>683</v>
      </c>
      <c r="C304" t="s">
        <v>1523</v>
      </c>
      <c r="D304" t="s">
        <v>1453</v>
      </c>
      <c r="E304" t="s">
        <v>1491</v>
      </c>
      <c r="F304">
        <v>2</v>
      </c>
      <c r="G304">
        <v>24</v>
      </c>
      <c r="H304" s="1296">
        <v>48</v>
      </c>
      <c r="I304" t="str">
        <f t="shared" si="4"/>
        <v>Cancelled</v>
      </c>
      <c r="K304" t="str">
        <f>IF(CHALLAN!E14142&lt;&gt;"",CHALLAN!F14142,CHALLAN!G14142)&amp;""</f>
        <v>GG/290/09-10</v>
      </c>
      <c r="L304">
        <v>14142</v>
      </c>
      <c r="M304">
        <v>14187</v>
      </c>
      <c r="N304" t="s">
        <v>2438</v>
      </c>
    </row>
    <row r="305" spans="1:14" x14ac:dyDescent="0.25">
      <c r="A305">
        <v>3800</v>
      </c>
      <c r="B305" t="s">
        <v>683</v>
      </c>
      <c r="C305" t="s">
        <v>1523</v>
      </c>
      <c r="D305" t="s">
        <v>1454</v>
      </c>
      <c r="E305" t="s">
        <v>1491</v>
      </c>
      <c r="F305">
        <v>3</v>
      </c>
      <c r="G305">
        <v>24</v>
      </c>
      <c r="H305" s="1296">
        <v>72</v>
      </c>
      <c r="I305" t="str">
        <f t="shared" si="4"/>
        <v>Cancelled</v>
      </c>
      <c r="K305" t="str">
        <f>IF(CHALLAN!E14188&lt;&gt;"",CHALLAN!F14188,CHALLAN!G14188)&amp;""</f>
        <v>GG/290/09-10</v>
      </c>
      <c r="L305">
        <v>14188</v>
      </c>
      <c r="M305">
        <v>14231</v>
      </c>
      <c r="N305" t="s">
        <v>2438</v>
      </c>
    </row>
    <row r="306" spans="1:14" x14ac:dyDescent="0.25">
      <c r="A306">
        <v>3801</v>
      </c>
      <c r="B306" t="s">
        <v>683</v>
      </c>
      <c r="C306" t="s">
        <v>1523</v>
      </c>
      <c r="D306" t="s">
        <v>1077</v>
      </c>
      <c r="E306" t="s">
        <v>5</v>
      </c>
      <c r="F306">
        <v>5</v>
      </c>
      <c r="G306">
        <v>24</v>
      </c>
      <c r="H306" s="1296">
        <v>120</v>
      </c>
      <c r="I306" t="str">
        <f t="shared" si="4"/>
        <v>Cancelled</v>
      </c>
      <c r="K306" t="str">
        <f>IF(CHALLAN!E14232&lt;&gt;"",CHALLAN!F14232,CHALLAN!G14232)&amp;""</f>
        <v>GG/291/09-10</v>
      </c>
      <c r="L306">
        <v>14232</v>
      </c>
      <c r="M306">
        <v>14277</v>
      </c>
      <c r="N306" t="s">
        <v>2438</v>
      </c>
    </row>
    <row r="307" spans="1:14" x14ac:dyDescent="0.25">
      <c r="A307">
        <v>3836</v>
      </c>
      <c r="B307" t="s">
        <v>683</v>
      </c>
      <c r="C307" t="s">
        <v>1533</v>
      </c>
      <c r="D307">
        <v>507</v>
      </c>
      <c r="F307">
        <v>12</v>
      </c>
      <c r="G307">
        <v>4</v>
      </c>
      <c r="H307" s="1296">
        <v>48</v>
      </c>
      <c r="I307" t="str">
        <f t="shared" si="4"/>
        <v>-</v>
      </c>
      <c r="K307" t="str">
        <f>IF(CHALLAN!E14278&lt;&gt;"",CHALLAN!F14278,CHALLAN!G14278)&amp;""</f>
        <v>GG/291/09-10</v>
      </c>
      <c r="L307">
        <v>14278</v>
      </c>
      <c r="M307">
        <v>14323</v>
      </c>
      <c r="N307" t="s">
        <v>2438</v>
      </c>
    </row>
    <row r="308" spans="1:14" x14ac:dyDescent="0.25">
      <c r="A308">
        <v>3882</v>
      </c>
      <c r="B308" t="s">
        <v>683</v>
      </c>
      <c r="C308" t="s">
        <v>1529</v>
      </c>
      <c r="D308" t="s">
        <v>1534</v>
      </c>
      <c r="F308">
        <v>77</v>
      </c>
      <c r="G308">
        <v>1</v>
      </c>
      <c r="H308" s="1296">
        <v>77</v>
      </c>
      <c r="I308" t="str">
        <f t="shared" si="4"/>
        <v>-</v>
      </c>
      <c r="K308" t="str">
        <f>IF(CHALLAN!E14324&lt;&gt;"",CHALLAN!F14324,CHALLAN!G14324)&amp;""</f>
        <v>GG/291/09-10</v>
      </c>
      <c r="L308">
        <v>14324</v>
      </c>
      <c r="M308">
        <v>14371</v>
      </c>
      <c r="N308" t="s">
        <v>2438</v>
      </c>
    </row>
    <row r="309" spans="1:14" x14ac:dyDescent="0.25">
      <c r="A309">
        <v>3928</v>
      </c>
      <c r="B309" t="s">
        <v>683</v>
      </c>
      <c r="C309" t="s">
        <v>1546</v>
      </c>
      <c r="D309" t="s">
        <v>301</v>
      </c>
      <c r="E309" t="s">
        <v>363</v>
      </c>
      <c r="F309">
        <v>1</v>
      </c>
      <c r="G309">
        <v>6</v>
      </c>
      <c r="H309" s="1296">
        <v>6</v>
      </c>
      <c r="I309" t="str">
        <f t="shared" si="4"/>
        <v>-</v>
      </c>
      <c r="K309" t="str">
        <f>IF(CHALLAN!E14372&lt;&gt;"",CHALLAN!F14372,CHALLAN!G14372)&amp;""</f>
        <v>GG/292/09-10</v>
      </c>
      <c r="L309">
        <v>14372</v>
      </c>
      <c r="M309">
        <v>14417</v>
      </c>
      <c r="N309" t="s">
        <v>2438</v>
      </c>
    </row>
    <row r="310" spans="1:14" x14ac:dyDescent="0.25">
      <c r="A310">
        <v>3929</v>
      </c>
      <c r="B310" t="s">
        <v>683</v>
      </c>
      <c r="C310" t="s">
        <v>1546</v>
      </c>
      <c r="D310" t="s">
        <v>1549</v>
      </c>
      <c r="E310" t="s">
        <v>383</v>
      </c>
      <c r="F310">
        <v>1</v>
      </c>
      <c r="G310">
        <v>6</v>
      </c>
      <c r="H310" s="1296">
        <v>6</v>
      </c>
      <c r="I310" t="str">
        <f t="shared" si="4"/>
        <v>-</v>
      </c>
      <c r="K310" t="str">
        <f>IF(CHALLAN!E14418&lt;&gt;"",CHALLAN!F14418,CHALLAN!G14418)&amp;""</f>
        <v>GG/292/09-10</v>
      </c>
      <c r="L310">
        <v>14418</v>
      </c>
      <c r="M310">
        <v>14464</v>
      </c>
      <c r="N310" t="s">
        <v>2438</v>
      </c>
    </row>
    <row r="311" spans="1:14" x14ac:dyDescent="0.25">
      <c r="A311">
        <v>3930</v>
      </c>
      <c r="B311" t="s">
        <v>683</v>
      </c>
      <c r="C311" t="s">
        <v>1546</v>
      </c>
      <c r="D311" t="s">
        <v>1550</v>
      </c>
      <c r="E311" t="s">
        <v>403</v>
      </c>
      <c r="F311">
        <v>1</v>
      </c>
      <c r="G311">
        <v>8</v>
      </c>
      <c r="H311" s="1296">
        <v>8</v>
      </c>
      <c r="I311" t="str">
        <f t="shared" si="4"/>
        <v>-</v>
      </c>
      <c r="K311" t="str">
        <f>IF(CHALLAN!E14465&lt;&gt;"",CHALLAN!F14465,CHALLAN!G14465)&amp;""</f>
        <v>GG/293/09-10</v>
      </c>
      <c r="L311">
        <v>14465</v>
      </c>
      <c r="M311">
        <v>14505</v>
      </c>
      <c r="N311" t="s">
        <v>2438</v>
      </c>
    </row>
    <row r="312" spans="1:14" x14ac:dyDescent="0.25">
      <c r="A312">
        <v>3932</v>
      </c>
      <c r="B312" t="s">
        <v>683</v>
      </c>
      <c r="C312" t="s">
        <v>1546</v>
      </c>
      <c r="D312" t="s">
        <v>56</v>
      </c>
      <c r="E312" t="s">
        <v>57</v>
      </c>
      <c r="F312">
        <v>10</v>
      </c>
      <c r="G312">
        <v>25</v>
      </c>
      <c r="H312" s="1296">
        <v>250</v>
      </c>
      <c r="I312" t="str">
        <f t="shared" si="4"/>
        <v>-</v>
      </c>
      <c r="K312" t="str">
        <f>IF(CHALLAN!E14506&lt;&gt;"",CHALLAN!F14506,CHALLAN!G14506)&amp;""</f>
        <v>GG/294/09-10</v>
      </c>
      <c r="L312">
        <v>14506</v>
      </c>
      <c r="M312">
        <v>14549</v>
      </c>
      <c r="N312" t="s">
        <v>2438</v>
      </c>
    </row>
    <row r="313" spans="1:14" x14ac:dyDescent="0.25">
      <c r="A313">
        <v>3933</v>
      </c>
      <c r="B313" t="s">
        <v>683</v>
      </c>
      <c r="C313" t="s">
        <v>1546</v>
      </c>
      <c r="D313" t="s">
        <v>1477</v>
      </c>
      <c r="E313" t="s">
        <v>61</v>
      </c>
      <c r="F313">
        <v>10</v>
      </c>
      <c r="G313">
        <v>25</v>
      </c>
      <c r="H313" s="1296">
        <v>250</v>
      </c>
      <c r="I313" t="str">
        <f t="shared" si="4"/>
        <v>-</v>
      </c>
      <c r="K313" t="str">
        <f>IF(CHALLAN!E14550&lt;&gt;"",CHALLAN!F14550,CHALLAN!G14550)&amp;""</f>
        <v>GG/295/09-10</v>
      </c>
      <c r="L313">
        <v>14550</v>
      </c>
      <c r="M313">
        <v>14595</v>
      </c>
      <c r="N313" t="s">
        <v>2438</v>
      </c>
    </row>
    <row r="314" spans="1:14" x14ac:dyDescent="0.25">
      <c r="A314">
        <v>3935</v>
      </c>
      <c r="B314" t="s">
        <v>683</v>
      </c>
      <c r="C314" t="s">
        <v>1546</v>
      </c>
      <c r="D314" t="s">
        <v>80</v>
      </c>
      <c r="E314" t="s">
        <v>77</v>
      </c>
      <c r="F314">
        <v>2</v>
      </c>
      <c r="G314">
        <v>5</v>
      </c>
      <c r="H314" s="1296">
        <v>10</v>
      </c>
      <c r="I314" t="str">
        <f t="shared" si="4"/>
        <v>-</v>
      </c>
      <c r="K314" t="str">
        <f>IF(CHALLAN!E14596&lt;&gt;"",CHALLAN!F14596,CHALLAN!G14596)&amp;""</f>
        <v>GG/296/09-10</v>
      </c>
      <c r="L314">
        <v>14596</v>
      </c>
      <c r="M314">
        <v>14641</v>
      </c>
      <c r="N314" t="s">
        <v>2438</v>
      </c>
    </row>
    <row r="315" spans="1:14" x14ac:dyDescent="0.25">
      <c r="A315">
        <v>3936</v>
      </c>
      <c r="B315" t="s">
        <v>683</v>
      </c>
      <c r="C315" t="s">
        <v>1546</v>
      </c>
      <c r="D315" t="s">
        <v>1552</v>
      </c>
      <c r="E315" t="s">
        <v>330</v>
      </c>
      <c r="F315">
        <v>4</v>
      </c>
      <c r="G315">
        <v>5</v>
      </c>
      <c r="H315" s="1296">
        <v>20</v>
      </c>
      <c r="I315" t="str">
        <f t="shared" si="4"/>
        <v>-</v>
      </c>
      <c r="K315" t="str">
        <f>IF(CHALLAN!E14642&lt;&gt;"",CHALLAN!F14642,CHALLAN!G14642)&amp;""</f>
        <v>GG/297/09-10</v>
      </c>
      <c r="L315">
        <v>14642</v>
      </c>
      <c r="M315">
        <v>14687</v>
      </c>
      <c r="N315" t="s">
        <v>2438</v>
      </c>
    </row>
    <row r="316" spans="1:14" x14ac:dyDescent="0.25">
      <c r="A316">
        <v>3937</v>
      </c>
      <c r="B316" t="s">
        <v>683</v>
      </c>
      <c r="C316" t="s">
        <v>1546</v>
      </c>
      <c r="D316" t="s">
        <v>315</v>
      </c>
      <c r="E316" t="s">
        <v>298</v>
      </c>
      <c r="F316">
        <v>5</v>
      </c>
      <c r="G316">
        <v>5</v>
      </c>
      <c r="H316" s="1296">
        <v>25</v>
      </c>
      <c r="I316" t="str">
        <f t="shared" si="4"/>
        <v>-</v>
      </c>
      <c r="K316" t="str">
        <f>IF(CHALLAN!E14688&lt;&gt;"",CHALLAN!F14688,CHALLAN!G14688)&amp;""</f>
        <v>GG/298/09-10</v>
      </c>
      <c r="L316">
        <v>14688</v>
      </c>
      <c r="M316">
        <v>14733</v>
      </c>
      <c r="N316" t="s">
        <v>2438</v>
      </c>
    </row>
    <row r="317" spans="1:14" x14ac:dyDescent="0.25">
      <c r="A317">
        <v>3974</v>
      </c>
      <c r="B317" t="s">
        <v>683</v>
      </c>
      <c r="C317" t="s">
        <v>1547</v>
      </c>
      <c r="D317" t="s">
        <v>140</v>
      </c>
      <c r="E317" t="s">
        <v>337</v>
      </c>
      <c r="F317">
        <v>2</v>
      </c>
      <c r="G317">
        <v>5</v>
      </c>
      <c r="H317" s="1296">
        <v>10</v>
      </c>
      <c r="I317" t="str">
        <f t="shared" si="4"/>
        <v>-</v>
      </c>
      <c r="K317" t="str">
        <f>IF(CHALLAN!E14734&lt;&gt;"",CHALLAN!F14734,CHALLAN!G14734)&amp;""</f>
        <v>GG/298/09-10</v>
      </c>
      <c r="L317">
        <v>14734</v>
      </c>
      <c r="M317">
        <v>14804</v>
      </c>
      <c r="N317" t="s">
        <v>2438</v>
      </c>
    </row>
    <row r="318" spans="1:14" x14ac:dyDescent="0.25">
      <c r="A318">
        <v>3975</v>
      </c>
      <c r="B318" t="s">
        <v>683</v>
      </c>
      <c r="C318" t="s">
        <v>1547</v>
      </c>
      <c r="D318" t="s">
        <v>144</v>
      </c>
      <c r="E318" t="s">
        <v>340</v>
      </c>
      <c r="F318">
        <v>1</v>
      </c>
      <c r="G318">
        <v>5</v>
      </c>
      <c r="H318" s="1296">
        <v>5</v>
      </c>
      <c r="I318" t="str">
        <f t="shared" si="4"/>
        <v>-</v>
      </c>
      <c r="K318" t="str">
        <f>IF(CHALLAN!E14805&lt;&gt;"",CHALLAN!F14805,CHALLAN!G14805)&amp;""</f>
        <v>GG/299/09-10</v>
      </c>
      <c r="L318">
        <v>14805</v>
      </c>
      <c r="M318">
        <v>14850</v>
      </c>
      <c r="N318" t="s">
        <v>2438</v>
      </c>
    </row>
    <row r="319" spans="1:14" x14ac:dyDescent="0.25">
      <c r="A319">
        <v>3977</v>
      </c>
      <c r="B319" t="s">
        <v>683</v>
      </c>
      <c r="C319" t="s">
        <v>1547</v>
      </c>
      <c r="D319" t="s">
        <v>1477</v>
      </c>
      <c r="E319" t="s">
        <v>61</v>
      </c>
      <c r="F319">
        <v>7</v>
      </c>
      <c r="G319">
        <v>25</v>
      </c>
      <c r="H319" s="1296">
        <v>175</v>
      </c>
      <c r="I319" t="str">
        <f t="shared" si="4"/>
        <v>-</v>
      </c>
      <c r="K319" t="str">
        <f>IF(CHALLAN!E14851&lt;&gt;"",CHALLAN!F14851,CHALLAN!G14851)&amp;""</f>
        <v>GG/299/09-10</v>
      </c>
      <c r="L319">
        <v>14851</v>
      </c>
      <c r="M319">
        <v>14896</v>
      </c>
      <c r="N319" t="s">
        <v>2438</v>
      </c>
    </row>
    <row r="320" spans="1:14" x14ac:dyDescent="0.25">
      <c r="A320">
        <v>3980</v>
      </c>
      <c r="B320" t="s">
        <v>683</v>
      </c>
      <c r="C320" t="s">
        <v>1547</v>
      </c>
      <c r="D320" t="s">
        <v>1548</v>
      </c>
      <c r="F320">
        <v>5</v>
      </c>
      <c r="G320">
        <v>2</v>
      </c>
      <c r="H320" s="1296">
        <v>10</v>
      </c>
      <c r="I320" t="str">
        <f t="shared" si="4"/>
        <v>-</v>
      </c>
      <c r="K320" t="str">
        <f>IF(CHALLAN!E14897&lt;&gt;"",CHALLAN!F14897,CHALLAN!G14897)&amp;""</f>
        <v>GG/300/09-10</v>
      </c>
      <c r="L320">
        <v>14897</v>
      </c>
      <c r="M320">
        <v>14940</v>
      </c>
      <c r="N320" t="s">
        <v>2438</v>
      </c>
    </row>
    <row r="321" spans="1:14" x14ac:dyDescent="0.25">
      <c r="A321">
        <v>4020</v>
      </c>
      <c r="B321" t="s">
        <v>683</v>
      </c>
      <c r="C321" t="s">
        <v>1565</v>
      </c>
      <c r="D321" t="s">
        <v>56</v>
      </c>
      <c r="E321" t="s">
        <v>57</v>
      </c>
      <c r="F321">
        <v>8</v>
      </c>
      <c r="G321">
        <v>25</v>
      </c>
      <c r="H321" s="1296">
        <v>200</v>
      </c>
      <c r="I321" t="str">
        <f t="shared" si="4"/>
        <v>-</v>
      </c>
      <c r="K321" t="str">
        <f>IF(CHALLAN!E14941&lt;&gt;"",CHALLAN!F14941,CHALLAN!G14941)&amp;""</f>
        <v>GG/301/09-10</v>
      </c>
      <c r="L321">
        <v>14941</v>
      </c>
      <c r="M321">
        <v>14984</v>
      </c>
      <c r="N321" t="s">
        <v>2438</v>
      </c>
    </row>
    <row r="322" spans="1:14" x14ac:dyDescent="0.25">
      <c r="A322">
        <v>4021</v>
      </c>
      <c r="B322" t="s">
        <v>683</v>
      </c>
      <c r="C322" t="s">
        <v>1565</v>
      </c>
      <c r="D322" t="s">
        <v>1477</v>
      </c>
      <c r="E322" t="s">
        <v>61</v>
      </c>
      <c r="F322">
        <v>16</v>
      </c>
      <c r="G322">
        <v>25</v>
      </c>
      <c r="H322" s="1296">
        <v>400</v>
      </c>
      <c r="I322" t="str">
        <f t="shared" ref="I322:I385" si="5">INDEX($N$2:$N$355,MATCH($A322,$L$2:$L$355,1))</f>
        <v>-</v>
      </c>
      <c r="K322" t="str">
        <f>IF(CHALLAN!E14985&lt;&gt;"",CHALLAN!F14985,CHALLAN!G14985)&amp;""</f>
        <v>GG/302/09-10</v>
      </c>
      <c r="L322">
        <v>14985</v>
      </c>
      <c r="M322">
        <v>15034</v>
      </c>
      <c r="N322" t="s">
        <v>2438</v>
      </c>
    </row>
    <row r="323" spans="1:14" x14ac:dyDescent="0.25">
      <c r="A323">
        <v>4022</v>
      </c>
      <c r="B323" t="s">
        <v>683</v>
      </c>
      <c r="C323" t="s">
        <v>1565</v>
      </c>
      <c r="D323" t="s">
        <v>68</v>
      </c>
      <c r="E323" t="s">
        <v>69</v>
      </c>
      <c r="F323">
        <v>12</v>
      </c>
      <c r="G323">
        <v>25</v>
      </c>
      <c r="H323" s="1296">
        <v>300</v>
      </c>
      <c r="I323" t="str">
        <f t="shared" si="5"/>
        <v>-</v>
      </c>
      <c r="K323" t="str">
        <f>IF(CHALLAN!E15035&lt;&gt;"",CHALLAN!F15035,CHALLAN!G15035)&amp;""</f>
        <v>GG/303/09-10</v>
      </c>
      <c r="L323">
        <v>15035</v>
      </c>
      <c r="M323">
        <v>15080</v>
      </c>
      <c r="N323" t="s">
        <v>2438</v>
      </c>
    </row>
    <row r="324" spans="1:14" x14ac:dyDescent="0.25">
      <c r="A324">
        <v>4024</v>
      </c>
      <c r="B324" t="s">
        <v>683</v>
      </c>
      <c r="C324" t="s">
        <v>1565</v>
      </c>
      <c r="D324" t="s">
        <v>80</v>
      </c>
      <c r="E324" t="s">
        <v>77</v>
      </c>
      <c r="F324">
        <v>2</v>
      </c>
      <c r="G324">
        <v>5</v>
      </c>
      <c r="H324" s="1296">
        <v>10</v>
      </c>
      <c r="I324" t="str">
        <f t="shared" si="5"/>
        <v>-</v>
      </c>
      <c r="K324" t="str">
        <f>IF(CHALLAN!E15081&lt;&gt;"",CHALLAN!F15081,CHALLAN!G15081)&amp;""</f>
        <v>GG/304/09-10</v>
      </c>
      <c r="L324">
        <v>15081</v>
      </c>
      <c r="M324">
        <v>15132</v>
      </c>
      <c r="N324" t="s">
        <v>2438</v>
      </c>
    </row>
    <row r="325" spans="1:14" x14ac:dyDescent="0.25">
      <c r="A325">
        <v>4025</v>
      </c>
      <c r="B325" t="s">
        <v>683</v>
      </c>
      <c r="C325" t="s">
        <v>1565</v>
      </c>
      <c r="D325" t="s">
        <v>1569</v>
      </c>
      <c r="E325" t="s">
        <v>87</v>
      </c>
      <c r="F325">
        <v>4</v>
      </c>
      <c r="G325">
        <v>5</v>
      </c>
      <c r="H325" s="1296">
        <v>20</v>
      </c>
      <c r="I325" t="str">
        <f t="shared" si="5"/>
        <v>-</v>
      </c>
      <c r="K325" t="str">
        <f>IF(CHALLAN!E15133&lt;&gt;"",CHALLAN!F15133,CHALLAN!G15133)&amp;""</f>
        <v>GG/305/09-10</v>
      </c>
      <c r="L325">
        <v>15133</v>
      </c>
      <c r="M325">
        <v>15178</v>
      </c>
      <c r="N325" t="s">
        <v>2438</v>
      </c>
    </row>
    <row r="326" spans="1:14" x14ac:dyDescent="0.25">
      <c r="A326">
        <v>4026</v>
      </c>
      <c r="B326" t="s">
        <v>683</v>
      </c>
      <c r="C326" t="s">
        <v>1565</v>
      </c>
      <c r="D326" t="s">
        <v>315</v>
      </c>
      <c r="E326" t="s">
        <v>298</v>
      </c>
      <c r="F326">
        <v>2</v>
      </c>
      <c r="G326">
        <v>5</v>
      </c>
      <c r="H326" s="1296">
        <v>10</v>
      </c>
      <c r="I326" t="str">
        <f t="shared" si="5"/>
        <v>-</v>
      </c>
      <c r="K326" t="str">
        <f>IF(CHALLAN!E15179&lt;&gt;"",CHALLAN!F15179,CHALLAN!G15179)&amp;""</f>
        <v>GG/306/09-10</v>
      </c>
      <c r="L326">
        <v>15179</v>
      </c>
      <c r="M326">
        <v>15226</v>
      </c>
      <c r="N326" t="s">
        <v>2438</v>
      </c>
    </row>
    <row r="327" spans="1:14" x14ac:dyDescent="0.25">
      <c r="A327">
        <v>4027</v>
      </c>
      <c r="B327" t="s">
        <v>683</v>
      </c>
      <c r="C327" t="s">
        <v>1565</v>
      </c>
      <c r="D327" t="s">
        <v>140</v>
      </c>
      <c r="E327" t="s">
        <v>337</v>
      </c>
      <c r="F327">
        <v>2</v>
      </c>
      <c r="G327">
        <v>5</v>
      </c>
      <c r="H327" s="1296">
        <v>10</v>
      </c>
      <c r="I327" t="str">
        <f t="shared" si="5"/>
        <v>-</v>
      </c>
      <c r="K327" t="str">
        <f>IF(CHALLAN!E15227&lt;&gt;"",CHALLAN!F15227,CHALLAN!G15227)&amp;""</f>
        <v>GG/307/09-10</v>
      </c>
      <c r="L327">
        <v>15227</v>
      </c>
      <c r="M327">
        <v>15270</v>
      </c>
      <c r="N327" t="s">
        <v>2438</v>
      </c>
    </row>
    <row r="328" spans="1:14" x14ac:dyDescent="0.25">
      <c r="A328">
        <v>4028</v>
      </c>
      <c r="B328" t="s">
        <v>683</v>
      </c>
      <c r="C328" t="s">
        <v>1565</v>
      </c>
      <c r="D328" t="s">
        <v>138</v>
      </c>
      <c r="E328" t="s">
        <v>335</v>
      </c>
      <c r="F328">
        <v>3</v>
      </c>
      <c r="G328">
        <v>5</v>
      </c>
      <c r="H328" s="1296">
        <v>15</v>
      </c>
      <c r="I328" t="str">
        <f t="shared" si="5"/>
        <v>-</v>
      </c>
      <c r="K328" t="str">
        <f>IF(CHALLAN!E15271&lt;&gt;"",CHALLAN!F15271,CHALLAN!G15271)&amp;""</f>
        <v>GG/308/09-10</v>
      </c>
      <c r="L328">
        <v>15271</v>
      </c>
      <c r="M328">
        <v>15312</v>
      </c>
      <c r="N328" t="s">
        <v>2438</v>
      </c>
    </row>
    <row r="329" spans="1:14" x14ac:dyDescent="0.25">
      <c r="A329">
        <v>4029</v>
      </c>
      <c r="B329" t="s">
        <v>683</v>
      </c>
      <c r="C329" t="s">
        <v>1565</v>
      </c>
      <c r="D329" t="s">
        <v>143</v>
      </c>
      <c r="E329" t="s">
        <v>339</v>
      </c>
      <c r="F329">
        <v>1</v>
      </c>
      <c r="G329">
        <v>5</v>
      </c>
      <c r="H329" s="1296">
        <v>5</v>
      </c>
      <c r="I329" t="str">
        <f t="shared" si="5"/>
        <v>-</v>
      </c>
      <c r="K329" t="str">
        <f>IF(CHALLAN!E15313&lt;&gt;"",CHALLAN!F15313,CHALLAN!G15313)&amp;""</f>
        <v>GG/309/09-10</v>
      </c>
      <c r="L329">
        <v>15313</v>
      </c>
      <c r="M329">
        <v>15358</v>
      </c>
      <c r="N329" t="s">
        <v>2438</v>
      </c>
    </row>
    <row r="330" spans="1:14" x14ac:dyDescent="0.25">
      <c r="A330">
        <v>4030</v>
      </c>
      <c r="B330" t="s">
        <v>683</v>
      </c>
      <c r="C330" t="s">
        <v>1565</v>
      </c>
      <c r="D330" t="s">
        <v>3</v>
      </c>
      <c r="E330" t="s">
        <v>4</v>
      </c>
      <c r="F330">
        <v>4</v>
      </c>
      <c r="G330">
        <v>5</v>
      </c>
      <c r="H330" s="1296">
        <v>20</v>
      </c>
      <c r="I330" t="str">
        <f t="shared" si="5"/>
        <v>-</v>
      </c>
      <c r="K330" t="str">
        <f>IF(CHALLAN!E15359&lt;&gt;"",CHALLAN!F15359,CHALLAN!G15359)&amp;""</f>
        <v>GG/310/09-10</v>
      </c>
      <c r="L330">
        <v>15359</v>
      </c>
      <c r="M330">
        <v>15404</v>
      </c>
      <c r="N330" t="s">
        <v>2438</v>
      </c>
    </row>
    <row r="331" spans="1:14" x14ac:dyDescent="0.25">
      <c r="A331">
        <v>4032</v>
      </c>
      <c r="B331" t="s">
        <v>683</v>
      </c>
      <c r="C331" t="s">
        <v>1565</v>
      </c>
      <c r="D331" t="s">
        <v>1453</v>
      </c>
      <c r="E331" t="s">
        <v>1491</v>
      </c>
      <c r="F331">
        <v>5</v>
      </c>
      <c r="G331">
        <v>24</v>
      </c>
      <c r="H331" s="1296">
        <v>120</v>
      </c>
      <c r="I331" t="str">
        <f t="shared" si="5"/>
        <v>-</v>
      </c>
      <c r="K331" t="str">
        <f>IF(CHALLAN!E15405&lt;&gt;"",CHALLAN!F15405,CHALLAN!G15405)&amp;""</f>
        <v>GG/311/09-10</v>
      </c>
      <c r="L331">
        <v>15405</v>
      </c>
      <c r="M331">
        <v>15450</v>
      </c>
      <c r="N331" t="s">
        <v>2438</v>
      </c>
    </row>
    <row r="332" spans="1:14" x14ac:dyDescent="0.25">
      <c r="A332">
        <v>4033</v>
      </c>
      <c r="B332" t="s">
        <v>683</v>
      </c>
      <c r="C332" t="s">
        <v>1565</v>
      </c>
      <c r="D332" t="s">
        <v>1077</v>
      </c>
      <c r="E332" t="s">
        <v>5</v>
      </c>
      <c r="F332">
        <v>5</v>
      </c>
      <c r="G332">
        <v>24</v>
      </c>
      <c r="H332" s="1296">
        <v>120</v>
      </c>
      <c r="I332" t="str">
        <f t="shared" si="5"/>
        <v>-</v>
      </c>
      <c r="K332" t="str">
        <f>IF(CHALLAN!E15451&lt;&gt;"",CHALLAN!F15451,CHALLAN!G15451)&amp;""</f>
        <v>GG/312/09-10</v>
      </c>
      <c r="L332">
        <v>15451</v>
      </c>
      <c r="M332">
        <v>15496</v>
      </c>
      <c r="N332" t="s">
        <v>2438</v>
      </c>
    </row>
    <row r="333" spans="1:14" x14ac:dyDescent="0.25">
      <c r="A333">
        <v>4035</v>
      </c>
      <c r="B333" t="s">
        <v>683</v>
      </c>
      <c r="C333" t="s">
        <v>1565</v>
      </c>
      <c r="D333" t="s">
        <v>1549</v>
      </c>
      <c r="E333" t="s">
        <v>383</v>
      </c>
      <c r="F333">
        <v>2</v>
      </c>
      <c r="G333">
        <v>6</v>
      </c>
      <c r="H333" s="1296">
        <v>12</v>
      </c>
      <c r="I333" t="str">
        <f t="shared" si="5"/>
        <v>-</v>
      </c>
      <c r="K333" t="str">
        <f>IF(CHALLAN!E15497&lt;&gt;"",CHALLAN!F15497,CHALLAN!G15497)&amp;""</f>
        <v>GG/313/09-10</v>
      </c>
      <c r="L333">
        <v>15497</v>
      </c>
      <c r="M333">
        <v>15542</v>
      </c>
      <c r="N333" t="s">
        <v>2438</v>
      </c>
    </row>
    <row r="334" spans="1:14" x14ac:dyDescent="0.25">
      <c r="A334">
        <v>4036</v>
      </c>
      <c r="B334" t="s">
        <v>683</v>
      </c>
      <c r="C334" t="s">
        <v>1565</v>
      </c>
      <c r="D334" t="s">
        <v>1549</v>
      </c>
      <c r="E334" t="s">
        <v>383</v>
      </c>
      <c r="F334">
        <v>1</v>
      </c>
      <c r="G334">
        <v>4</v>
      </c>
      <c r="H334" s="1296">
        <v>4</v>
      </c>
      <c r="I334" t="str">
        <f t="shared" si="5"/>
        <v>-</v>
      </c>
      <c r="K334" t="str">
        <f>IF(CHALLAN!E15543&lt;&gt;"",CHALLAN!F15543,CHALLAN!G15543)&amp;""</f>
        <v>GG/313/09-10</v>
      </c>
      <c r="L334">
        <v>15543</v>
      </c>
      <c r="M334">
        <v>15587</v>
      </c>
      <c r="N334" t="s">
        <v>2438</v>
      </c>
    </row>
    <row r="335" spans="1:14" x14ac:dyDescent="0.25">
      <c r="A335">
        <v>4037</v>
      </c>
      <c r="B335" t="s">
        <v>683</v>
      </c>
      <c r="C335" t="s">
        <v>1565</v>
      </c>
      <c r="D335" t="s">
        <v>1550</v>
      </c>
      <c r="E335" t="s">
        <v>403</v>
      </c>
      <c r="F335">
        <v>2</v>
      </c>
      <c r="G335">
        <v>8</v>
      </c>
      <c r="H335" s="1296">
        <v>16</v>
      </c>
      <c r="I335" t="str">
        <f t="shared" si="5"/>
        <v>-</v>
      </c>
      <c r="K335" t="str">
        <f>IF(CHALLAN!E15588&lt;&gt;"",CHALLAN!F15588,CHALLAN!G15588)&amp;""</f>
        <v>GG/314/09-10</v>
      </c>
      <c r="L335">
        <v>15588</v>
      </c>
      <c r="M335">
        <v>15634</v>
      </c>
      <c r="N335" t="s">
        <v>2438</v>
      </c>
    </row>
    <row r="336" spans="1:14" x14ac:dyDescent="0.25">
      <c r="A336">
        <v>4038</v>
      </c>
      <c r="B336" t="s">
        <v>683</v>
      </c>
      <c r="C336" t="s">
        <v>1565</v>
      </c>
      <c r="D336" t="s">
        <v>1550</v>
      </c>
      <c r="E336" t="s">
        <v>403</v>
      </c>
      <c r="F336">
        <v>1</v>
      </c>
      <c r="G336">
        <v>1</v>
      </c>
      <c r="H336" s="1296">
        <v>1</v>
      </c>
      <c r="I336" t="str">
        <f t="shared" si="5"/>
        <v>-</v>
      </c>
      <c r="K336" t="str">
        <f>IF(CHALLAN!E15635&lt;&gt;"",CHALLAN!F15635,CHALLAN!G15635)&amp;""</f>
        <v>GG/315/09-10</v>
      </c>
      <c r="L336">
        <v>15635</v>
      </c>
      <c r="M336">
        <v>15679</v>
      </c>
      <c r="N336" t="s">
        <v>2438</v>
      </c>
    </row>
    <row r="337" spans="1:14" x14ac:dyDescent="0.25">
      <c r="A337">
        <v>4066</v>
      </c>
      <c r="B337" t="s">
        <v>706</v>
      </c>
      <c r="C337" t="s">
        <v>1429</v>
      </c>
      <c r="D337" t="s">
        <v>56</v>
      </c>
      <c r="E337" t="s">
        <v>57</v>
      </c>
      <c r="F337">
        <v>11</v>
      </c>
      <c r="G337">
        <v>25</v>
      </c>
      <c r="H337" s="1296">
        <v>275</v>
      </c>
      <c r="I337" t="str">
        <f t="shared" si="5"/>
        <v>-</v>
      </c>
      <c r="K337" t="str">
        <f>IF(CHALLAN!E15680&lt;&gt;"",CHALLAN!F15680,CHALLAN!G15680)&amp;""</f>
        <v>GG/316/09-10</v>
      </c>
      <c r="L337">
        <v>15680</v>
      </c>
      <c r="M337">
        <v>15719</v>
      </c>
      <c r="N337" t="s">
        <v>2438</v>
      </c>
    </row>
    <row r="338" spans="1:14" x14ac:dyDescent="0.25">
      <c r="A338">
        <v>4067</v>
      </c>
      <c r="B338" t="s">
        <v>706</v>
      </c>
      <c r="C338" t="s">
        <v>1429</v>
      </c>
      <c r="D338" t="s">
        <v>68</v>
      </c>
      <c r="E338" t="s">
        <v>69</v>
      </c>
      <c r="F338">
        <v>18</v>
      </c>
      <c r="G338">
        <v>25</v>
      </c>
      <c r="H338" s="1296">
        <v>450</v>
      </c>
      <c r="I338" t="str">
        <f t="shared" si="5"/>
        <v>-</v>
      </c>
      <c r="K338" t="str">
        <f>IF(CHALLAN!E15720&lt;&gt;"",CHALLAN!F15720,CHALLAN!G15720)&amp;""</f>
        <v>GG/317/09-10</v>
      </c>
      <c r="L338">
        <v>15720</v>
      </c>
      <c r="M338">
        <v>15760</v>
      </c>
      <c r="N338" t="s">
        <v>2438</v>
      </c>
    </row>
    <row r="339" spans="1:14" x14ac:dyDescent="0.25">
      <c r="A339">
        <v>4069</v>
      </c>
      <c r="B339" t="s">
        <v>706</v>
      </c>
      <c r="C339" t="s">
        <v>1429</v>
      </c>
      <c r="D339" t="s">
        <v>1569</v>
      </c>
      <c r="E339" t="s">
        <v>87</v>
      </c>
      <c r="F339">
        <v>31</v>
      </c>
      <c r="G339">
        <v>5</v>
      </c>
      <c r="H339" s="1296">
        <v>155</v>
      </c>
      <c r="I339" t="str">
        <f t="shared" si="5"/>
        <v>-</v>
      </c>
      <c r="K339" t="str">
        <f>IF(CHALLAN!E15761&lt;&gt;"",CHALLAN!F15761,CHALLAN!G15761)&amp;""</f>
        <v>GG/318/09-10</v>
      </c>
      <c r="L339">
        <v>15761</v>
      </c>
      <c r="M339">
        <v>15802</v>
      </c>
      <c r="N339" t="s">
        <v>2438</v>
      </c>
    </row>
    <row r="340" spans="1:14" x14ac:dyDescent="0.25">
      <c r="A340">
        <v>4070</v>
      </c>
      <c r="B340" t="s">
        <v>706</v>
      </c>
      <c r="C340" t="s">
        <v>1429</v>
      </c>
      <c r="D340" t="s">
        <v>315</v>
      </c>
      <c r="E340" t="s">
        <v>298</v>
      </c>
      <c r="F340">
        <v>5</v>
      </c>
      <c r="G340">
        <v>5</v>
      </c>
      <c r="H340" s="1296">
        <v>25</v>
      </c>
      <c r="I340" t="str">
        <f t="shared" si="5"/>
        <v>-</v>
      </c>
      <c r="K340" t="str">
        <f>IF(CHALLAN!E15803&lt;&gt;"",CHALLAN!F15803,CHALLAN!G15803)&amp;""</f>
        <v>GG/319/09-10</v>
      </c>
      <c r="L340">
        <v>15803</v>
      </c>
      <c r="M340">
        <v>15849</v>
      </c>
      <c r="N340" t="s">
        <v>2438</v>
      </c>
    </row>
    <row r="341" spans="1:14" x14ac:dyDescent="0.25">
      <c r="A341">
        <v>4072</v>
      </c>
      <c r="B341" t="s">
        <v>706</v>
      </c>
      <c r="C341" t="s">
        <v>1429</v>
      </c>
      <c r="D341" t="s">
        <v>1076</v>
      </c>
      <c r="E341" t="s">
        <v>1165</v>
      </c>
      <c r="F341">
        <v>10</v>
      </c>
      <c r="G341">
        <v>1</v>
      </c>
      <c r="H341" s="1296">
        <v>10</v>
      </c>
      <c r="I341" t="str">
        <f t="shared" si="5"/>
        <v>-</v>
      </c>
      <c r="K341" t="str">
        <f>IF(CHALLAN!E15850&lt;&gt;"",CHALLAN!F15850,CHALLAN!G15850)&amp;""</f>
        <v>GG/320/09-10</v>
      </c>
      <c r="L341">
        <v>15850</v>
      </c>
      <c r="M341">
        <v>15890</v>
      </c>
      <c r="N341" t="s">
        <v>2438</v>
      </c>
    </row>
    <row r="342" spans="1:14" x14ac:dyDescent="0.25">
      <c r="A342">
        <v>4073</v>
      </c>
      <c r="B342" t="s">
        <v>706</v>
      </c>
      <c r="C342" t="s">
        <v>1429</v>
      </c>
      <c r="D342" t="s">
        <v>1076</v>
      </c>
      <c r="E342" t="s">
        <v>1164</v>
      </c>
      <c r="F342">
        <v>10</v>
      </c>
      <c r="G342">
        <v>1</v>
      </c>
      <c r="H342" s="1296">
        <v>10</v>
      </c>
      <c r="I342" t="str">
        <f t="shared" si="5"/>
        <v>-</v>
      </c>
      <c r="K342" t="str">
        <f>IF(CHALLAN!E15891&lt;&gt;"",CHALLAN!F15891,CHALLAN!G15891)&amp;""</f>
        <v>GG/321/09-10</v>
      </c>
      <c r="L342">
        <v>15891</v>
      </c>
      <c r="M342">
        <v>15936</v>
      </c>
      <c r="N342" t="s">
        <v>2439</v>
      </c>
    </row>
    <row r="343" spans="1:14" x14ac:dyDescent="0.25">
      <c r="A343">
        <v>4074</v>
      </c>
      <c r="B343" t="s">
        <v>706</v>
      </c>
      <c r="C343" t="s">
        <v>1429</v>
      </c>
      <c r="D343" t="s">
        <v>1447</v>
      </c>
      <c r="F343">
        <v>2</v>
      </c>
      <c r="G343">
        <v>10</v>
      </c>
      <c r="H343" s="1296">
        <v>20</v>
      </c>
      <c r="I343" t="str">
        <f t="shared" si="5"/>
        <v>-</v>
      </c>
      <c r="K343" t="str">
        <f>IF(CHALLAN!E15937&lt;&gt;"",CHALLAN!F15937,CHALLAN!G15937)&amp;""</f>
        <v>GG/322/09-10</v>
      </c>
      <c r="L343">
        <v>15937</v>
      </c>
      <c r="M343">
        <v>15982</v>
      </c>
      <c r="N343" t="s">
        <v>2438</v>
      </c>
    </row>
    <row r="344" spans="1:14" x14ac:dyDescent="0.25">
      <c r="A344">
        <v>4112</v>
      </c>
      <c r="B344" t="s">
        <v>706</v>
      </c>
      <c r="C344" t="s">
        <v>1584</v>
      </c>
      <c r="D344" t="s">
        <v>68</v>
      </c>
      <c r="E344" t="s">
        <v>69</v>
      </c>
      <c r="F344">
        <v>10</v>
      </c>
      <c r="G344">
        <v>25</v>
      </c>
      <c r="H344" s="1296">
        <v>250</v>
      </c>
      <c r="I344" t="str">
        <f t="shared" si="5"/>
        <v>-</v>
      </c>
      <c r="K344" t="str">
        <f>IF(CHALLAN!E15983&lt;&gt;"",CHALLAN!F15983,CHALLAN!G15983)&amp;""</f>
        <v>GG/323/09-10</v>
      </c>
      <c r="L344">
        <v>15983</v>
      </c>
      <c r="M344">
        <v>16028</v>
      </c>
      <c r="N344" t="s">
        <v>2438</v>
      </c>
    </row>
    <row r="345" spans="1:14" x14ac:dyDescent="0.25">
      <c r="A345">
        <v>4158</v>
      </c>
      <c r="B345" t="s">
        <v>706</v>
      </c>
      <c r="C345" t="s">
        <v>1586</v>
      </c>
      <c r="D345">
        <v>507</v>
      </c>
      <c r="F345">
        <v>1</v>
      </c>
      <c r="G345">
        <v>4</v>
      </c>
      <c r="H345" s="1296">
        <v>4</v>
      </c>
      <c r="I345" t="str">
        <f t="shared" si="5"/>
        <v>-</v>
      </c>
      <c r="K345" t="str">
        <f>IF(CHALLAN!E16029&lt;&gt;"",CHALLAN!F16029,CHALLAN!G16029)&amp;""</f>
        <v>GG/324/09-10</v>
      </c>
      <c r="L345">
        <v>16029</v>
      </c>
      <c r="M345">
        <v>16068</v>
      </c>
      <c r="N345" t="s">
        <v>2438</v>
      </c>
    </row>
    <row r="346" spans="1:14" x14ac:dyDescent="0.25">
      <c r="A346">
        <v>4203</v>
      </c>
      <c r="B346" t="s">
        <v>718</v>
      </c>
      <c r="C346" t="s">
        <v>1432</v>
      </c>
      <c r="D346">
        <v>507</v>
      </c>
      <c r="F346">
        <v>4</v>
      </c>
      <c r="G346">
        <v>4</v>
      </c>
      <c r="H346" s="1296">
        <v>16</v>
      </c>
      <c r="I346" t="str">
        <f t="shared" si="5"/>
        <v>-</v>
      </c>
      <c r="K346" t="str">
        <f>IF(CHALLAN!E16069&lt;&gt;"",CHALLAN!F16069,CHALLAN!G16069)&amp;""</f>
        <v>GG/325/09-10</v>
      </c>
      <c r="L346">
        <v>16069</v>
      </c>
      <c r="M346">
        <v>16114</v>
      </c>
      <c r="N346" t="s">
        <v>2438</v>
      </c>
    </row>
    <row r="347" spans="1:14" x14ac:dyDescent="0.25">
      <c r="A347">
        <v>4205</v>
      </c>
      <c r="B347" t="s">
        <v>718</v>
      </c>
      <c r="C347" t="s">
        <v>1432</v>
      </c>
      <c r="D347" t="s">
        <v>1076</v>
      </c>
      <c r="E347" t="s">
        <v>1165</v>
      </c>
      <c r="F347">
        <v>10</v>
      </c>
      <c r="G347">
        <v>1</v>
      </c>
      <c r="H347" s="1296">
        <v>10</v>
      </c>
      <c r="I347" t="str">
        <f t="shared" si="5"/>
        <v>-</v>
      </c>
      <c r="K347" t="str">
        <f>IF(CHALLAN!E16115&lt;&gt;"",CHALLAN!F16115,CHALLAN!G16115)&amp;""</f>
        <v>GG/326/09-10</v>
      </c>
      <c r="L347">
        <v>16115</v>
      </c>
      <c r="M347">
        <v>16159</v>
      </c>
      <c r="N347" t="s">
        <v>2438</v>
      </c>
    </row>
    <row r="348" spans="1:14" x14ac:dyDescent="0.25">
      <c r="A348">
        <v>4206</v>
      </c>
      <c r="B348" t="s">
        <v>718</v>
      </c>
      <c r="C348" t="s">
        <v>1432</v>
      </c>
      <c r="D348" t="s">
        <v>1076</v>
      </c>
      <c r="E348" t="s">
        <v>1164</v>
      </c>
      <c r="F348">
        <v>10</v>
      </c>
      <c r="G348">
        <v>1</v>
      </c>
      <c r="H348" s="1296">
        <v>10</v>
      </c>
      <c r="I348" t="str">
        <f t="shared" si="5"/>
        <v>-</v>
      </c>
      <c r="K348" t="str">
        <f>IF(CHALLAN!E16160&lt;&gt;"",CHALLAN!F16160,CHALLAN!G16160)&amp;""</f>
        <v>GG/327/09-10</v>
      </c>
      <c r="L348">
        <v>16160</v>
      </c>
      <c r="M348">
        <v>16204</v>
      </c>
      <c r="N348" t="s">
        <v>2438</v>
      </c>
    </row>
    <row r="349" spans="1:14" x14ac:dyDescent="0.25">
      <c r="A349">
        <v>4207</v>
      </c>
      <c r="B349" t="s">
        <v>718</v>
      </c>
      <c r="C349" t="s">
        <v>1432</v>
      </c>
      <c r="D349" t="s">
        <v>1447</v>
      </c>
      <c r="F349">
        <v>2</v>
      </c>
      <c r="G349">
        <v>10</v>
      </c>
      <c r="H349" s="1296">
        <v>20</v>
      </c>
      <c r="I349" t="str">
        <f t="shared" si="5"/>
        <v>-</v>
      </c>
      <c r="K349" t="str">
        <f>IF(CHALLAN!E16205&lt;&gt;"",CHALLAN!F16205,CHALLAN!G16205)&amp;""</f>
        <v>GG/328/09-10</v>
      </c>
      <c r="L349">
        <v>16205</v>
      </c>
      <c r="M349">
        <v>16250</v>
      </c>
      <c r="N349" t="s">
        <v>2438</v>
      </c>
    </row>
    <row r="350" spans="1:14" x14ac:dyDescent="0.25">
      <c r="A350">
        <v>4249</v>
      </c>
      <c r="B350" t="s">
        <v>722</v>
      </c>
      <c r="C350" t="s">
        <v>1588</v>
      </c>
      <c r="D350" t="s">
        <v>530</v>
      </c>
      <c r="E350" t="s">
        <v>338</v>
      </c>
      <c r="F350">
        <v>2</v>
      </c>
      <c r="G350">
        <v>5</v>
      </c>
      <c r="H350" s="1296">
        <v>10</v>
      </c>
      <c r="I350" t="str">
        <f t="shared" si="5"/>
        <v>-</v>
      </c>
      <c r="K350" t="str">
        <f>IF(CHALLAN!E16251&lt;&gt;"",CHALLAN!F16251,CHALLAN!G16251)&amp;""</f>
        <v>GG/329/09-10</v>
      </c>
      <c r="L350">
        <v>16251</v>
      </c>
      <c r="M350">
        <v>16296</v>
      </c>
      <c r="N350" t="s">
        <v>2438</v>
      </c>
    </row>
    <row r="351" spans="1:14" x14ac:dyDescent="0.25">
      <c r="A351">
        <v>4250</v>
      </c>
      <c r="B351" t="s">
        <v>722</v>
      </c>
      <c r="C351" t="s">
        <v>1588</v>
      </c>
      <c r="D351" t="s">
        <v>81</v>
      </c>
      <c r="E351" t="s">
        <v>82</v>
      </c>
      <c r="F351">
        <v>2</v>
      </c>
      <c r="G351">
        <v>5</v>
      </c>
      <c r="H351" s="1296">
        <v>10</v>
      </c>
      <c r="I351" t="str">
        <f t="shared" si="5"/>
        <v>-</v>
      </c>
      <c r="K351" t="str">
        <f>IF(CHALLAN!E16297&lt;&gt;"",CHALLAN!F16297,CHALLAN!G16297)&amp;""</f>
        <v>GG/330/09-10</v>
      </c>
      <c r="L351">
        <v>16297</v>
      </c>
      <c r="M351">
        <v>16342</v>
      </c>
      <c r="N351" t="s">
        <v>2438</v>
      </c>
    </row>
    <row r="352" spans="1:14" x14ac:dyDescent="0.25">
      <c r="A352">
        <v>4251</v>
      </c>
      <c r="B352" t="s">
        <v>722</v>
      </c>
      <c r="C352" t="s">
        <v>1588</v>
      </c>
      <c r="D352" t="s">
        <v>139</v>
      </c>
      <c r="E352" t="s">
        <v>336</v>
      </c>
      <c r="F352">
        <v>4</v>
      </c>
      <c r="G352">
        <v>5</v>
      </c>
      <c r="H352" s="1296">
        <v>20</v>
      </c>
      <c r="I352" t="str">
        <f t="shared" si="5"/>
        <v>-</v>
      </c>
      <c r="K352" t="str">
        <f>IF(CHALLAN!E16343&lt;&gt;"",CHALLAN!F16343,CHALLAN!G16343)&amp;""</f>
        <v>GG/331/09-10</v>
      </c>
      <c r="L352">
        <v>16343</v>
      </c>
      <c r="M352">
        <v>16387</v>
      </c>
      <c r="N352" t="s">
        <v>2438</v>
      </c>
    </row>
    <row r="353" spans="1:14" x14ac:dyDescent="0.25">
      <c r="A353">
        <v>4252</v>
      </c>
      <c r="B353" t="s">
        <v>722</v>
      </c>
      <c r="C353" t="s">
        <v>1588</v>
      </c>
      <c r="D353" t="s">
        <v>134</v>
      </c>
      <c r="E353" t="s">
        <v>332</v>
      </c>
      <c r="F353">
        <v>2</v>
      </c>
      <c r="G353">
        <v>5</v>
      </c>
      <c r="H353" s="1296">
        <v>10</v>
      </c>
      <c r="I353" t="str">
        <f t="shared" si="5"/>
        <v>-</v>
      </c>
      <c r="K353" t="str">
        <f>IF(CHALLAN!E16388&lt;&gt;"",CHALLAN!F16388,CHALLAN!G16388)&amp;""</f>
        <v>GG/332/09-10</v>
      </c>
      <c r="L353">
        <v>16388</v>
      </c>
      <c r="M353">
        <v>16433</v>
      </c>
      <c r="N353" t="s">
        <v>2438</v>
      </c>
    </row>
    <row r="354" spans="1:14" x14ac:dyDescent="0.25">
      <c r="A354">
        <v>4253</v>
      </c>
      <c r="B354" t="s">
        <v>722</v>
      </c>
      <c r="C354" t="s">
        <v>1588</v>
      </c>
      <c r="D354" t="s">
        <v>1298</v>
      </c>
      <c r="E354" t="s">
        <v>337</v>
      </c>
      <c r="F354">
        <v>1</v>
      </c>
      <c r="G354">
        <v>5</v>
      </c>
      <c r="H354" s="1296">
        <v>5</v>
      </c>
      <c r="I354" t="str">
        <f t="shared" si="5"/>
        <v>-</v>
      </c>
      <c r="K354" t="str">
        <f>IF(CHALLAN!E16434&lt;&gt;"",CHALLAN!F16434,CHALLAN!G16434)&amp;""</f>
        <v>GG/333/09-10</v>
      </c>
      <c r="L354">
        <v>16434</v>
      </c>
      <c r="M354">
        <v>16478</v>
      </c>
      <c r="N354" t="s">
        <v>2438</v>
      </c>
    </row>
    <row r="355" spans="1:14" x14ac:dyDescent="0.25">
      <c r="A355">
        <v>4254</v>
      </c>
      <c r="B355" t="s">
        <v>722</v>
      </c>
      <c r="C355" t="s">
        <v>1588</v>
      </c>
      <c r="D355" t="s">
        <v>143</v>
      </c>
      <c r="E355" t="s">
        <v>339</v>
      </c>
      <c r="F355">
        <v>1</v>
      </c>
      <c r="G355">
        <v>5</v>
      </c>
      <c r="H355" s="1296">
        <v>5</v>
      </c>
      <c r="I355" t="str">
        <f t="shared" si="5"/>
        <v>-</v>
      </c>
      <c r="K355" t="str">
        <f>IF(CHALLAN!E16479&lt;&gt;"",CHALLAN!F16479,CHALLAN!G16479)&amp;""</f>
        <v>GG/334/09-10</v>
      </c>
      <c r="L355">
        <v>16479</v>
      </c>
      <c r="M355">
        <v>16504</v>
      </c>
      <c r="N355" t="s">
        <v>2438</v>
      </c>
    </row>
    <row r="356" spans="1:14" x14ac:dyDescent="0.25">
      <c r="A356">
        <v>4255</v>
      </c>
      <c r="B356" t="s">
        <v>722</v>
      </c>
      <c r="C356" t="s">
        <v>1588</v>
      </c>
      <c r="D356" t="s">
        <v>15</v>
      </c>
      <c r="E356" t="s">
        <v>16</v>
      </c>
      <c r="F356">
        <v>2</v>
      </c>
      <c r="G356">
        <v>5</v>
      </c>
      <c r="H356" s="1296">
        <v>10</v>
      </c>
      <c r="I356" t="str">
        <f t="shared" si="5"/>
        <v>-</v>
      </c>
    </row>
    <row r="357" spans="1:14" x14ac:dyDescent="0.25">
      <c r="A357">
        <v>4257</v>
      </c>
      <c r="B357" t="s">
        <v>722</v>
      </c>
      <c r="C357" t="s">
        <v>1588</v>
      </c>
      <c r="D357" t="s">
        <v>239</v>
      </c>
      <c r="F357">
        <v>1</v>
      </c>
      <c r="G357">
        <v>2</v>
      </c>
      <c r="H357" s="1296">
        <v>2</v>
      </c>
      <c r="I357" t="str">
        <f t="shared" si="5"/>
        <v>-</v>
      </c>
    </row>
    <row r="358" spans="1:14" x14ac:dyDescent="0.25">
      <c r="A358">
        <v>4259</v>
      </c>
      <c r="B358" t="s">
        <v>722</v>
      </c>
      <c r="C358" t="s">
        <v>1588</v>
      </c>
      <c r="D358" t="s">
        <v>1512</v>
      </c>
      <c r="F358">
        <v>1</v>
      </c>
      <c r="G358">
        <v>100</v>
      </c>
      <c r="H358" s="1296">
        <v>100</v>
      </c>
      <c r="I358" t="str">
        <f t="shared" si="5"/>
        <v>-</v>
      </c>
    </row>
    <row r="359" spans="1:14" x14ac:dyDescent="0.25">
      <c r="A359">
        <v>4294</v>
      </c>
      <c r="B359" t="s">
        <v>722</v>
      </c>
      <c r="C359" t="s">
        <v>1590</v>
      </c>
      <c r="D359" t="s">
        <v>15</v>
      </c>
      <c r="E359" t="s">
        <v>442</v>
      </c>
      <c r="F359">
        <v>1</v>
      </c>
      <c r="G359">
        <v>25</v>
      </c>
      <c r="H359" s="1296">
        <v>25</v>
      </c>
      <c r="I359" t="str">
        <f t="shared" si="5"/>
        <v>-</v>
      </c>
    </row>
    <row r="360" spans="1:14" x14ac:dyDescent="0.25">
      <c r="A360">
        <v>4295</v>
      </c>
      <c r="B360" t="s">
        <v>722</v>
      </c>
      <c r="C360" t="s">
        <v>1590</v>
      </c>
      <c r="D360" t="s">
        <v>226</v>
      </c>
      <c r="E360" t="s">
        <v>427</v>
      </c>
      <c r="F360">
        <v>2</v>
      </c>
      <c r="G360">
        <v>25</v>
      </c>
      <c r="H360" s="1296">
        <v>50</v>
      </c>
      <c r="I360" t="str">
        <f t="shared" si="5"/>
        <v>-</v>
      </c>
    </row>
    <row r="361" spans="1:14" x14ac:dyDescent="0.25">
      <c r="A361">
        <v>4296</v>
      </c>
      <c r="B361" t="s">
        <v>722</v>
      </c>
      <c r="C361" t="s">
        <v>1590</v>
      </c>
      <c r="D361" t="s">
        <v>127</v>
      </c>
      <c r="E361" t="s">
        <v>439</v>
      </c>
      <c r="F361">
        <v>2</v>
      </c>
      <c r="G361">
        <v>25</v>
      </c>
      <c r="H361" s="1296">
        <v>50</v>
      </c>
      <c r="I361" t="str">
        <f t="shared" si="5"/>
        <v>-</v>
      </c>
    </row>
    <row r="362" spans="1:14" x14ac:dyDescent="0.25">
      <c r="A362">
        <v>4297</v>
      </c>
      <c r="B362" t="s">
        <v>722</v>
      </c>
      <c r="C362" t="s">
        <v>1590</v>
      </c>
      <c r="D362" t="s">
        <v>1592</v>
      </c>
      <c r="E362" t="s">
        <v>437</v>
      </c>
      <c r="F362">
        <v>2</v>
      </c>
      <c r="G362">
        <v>25</v>
      </c>
      <c r="H362" s="1296">
        <v>50</v>
      </c>
      <c r="I362" t="str">
        <f t="shared" si="5"/>
        <v>-</v>
      </c>
    </row>
    <row r="363" spans="1:14" x14ac:dyDescent="0.25">
      <c r="A363">
        <v>4298</v>
      </c>
      <c r="B363" t="s">
        <v>722</v>
      </c>
      <c r="C363" t="s">
        <v>1590</v>
      </c>
      <c r="D363" t="s">
        <v>1594</v>
      </c>
      <c r="E363" t="s">
        <v>438</v>
      </c>
      <c r="F363">
        <v>2</v>
      </c>
      <c r="G363">
        <v>25</v>
      </c>
      <c r="H363" s="1296">
        <v>50</v>
      </c>
      <c r="I363" t="str">
        <f t="shared" si="5"/>
        <v>-</v>
      </c>
    </row>
    <row r="364" spans="1:14" x14ac:dyDescent="0.25">
      <c r="A364">
        <v>4299</v>
      </c>
      <c r="B364" t="s">
        <v>722</v>
      </c>
      <c r="C364" t="s">
        <v>1590</v>
      </c>
      <c r="D364" t="s">
        <v>649</v>
      </c>
      <c r="E364" t="s">
        <v>433</v>
      </c>
      <c r="F364">
        <v>2</v>
      </c>
      <c r="G364">
        <v>25</v>
      </c>
      <c r="H364" s="1296">
        <v>50</v>
      </c>
      <c r="I364" t="str">
        <f t="shared" si="5"/>
        <v>-</v>
      </c>
    </row>
    <row r="365" spans="1:14" x14ac:dyDescent="0.25">
      <c r="A365">
        <v>4386</v>
      </c>
      <c r="B365" t="s">
        <v>728</v>
      </c>
      <c r="C365" t="s">
        <v>1436</v>
      </c>
      <c r="D365" t="s">
        <v>134</v>
      </c>
      <c r="E365" t="s">
        <v>332</v>
      </c>
      <c r="F365">
        <v>1</v>
      </c>
      <c r="G365">
        <v>5</v>
      </c>
      <c r="H365" s="1296">
        <v>5</v>
      </c>
      <c r="I365" t="str">
        <f t="shared" si="5"/>
        <v>-</v>
      </c>
    </row>
    <row r="366" spans="1:14" x14ac:dyDescent="0.25">
      <c r="A366">
        <v>4387</v>
      </c>
      <c r="B366" t="s">
        <v>728</v>
      </c>
      <c r="C366" t="s">
        <v>1436</v>
      </c>
      <c r="D366" t="s">
        <v>118</v>
      </c>
      <c r="E366" t="s">
        <v>1599</v>
      </c>
      <c r="F366">
        <v>1</v>
      </c>
      <c r="G366">
        <v>5</v>
      </c>
      <c r="H366" s="1296">
        <v>5</v>
      </c>
      <c r="I366" t="str">
        <f t="shared" si="5"/>
        <v>-</v>
      </c>
    </row>
    <row r="367" spans="1:14" x14ac:dyDescent="0.25">
      <c r="A367">
        <v>4389</v>
      </c>
      <c r="B367" t="s">
        <v>728</v>
      </c>
      <c r="C367" t="s">
        <v>1436</v>
      </c>
      <c r="D367" t="s">
        <v>1076</v>
      </c>
      <c r="E367" t="s">
        <v>1165</v>
      </c>
      <c r="F367">
        <v>10</v>
      </c>
      <c r="G367">
        <v>1</v>
      </c>
      <c r="H367" s="1296">
        <v>10</v>
      </c>
      <c r="I367" t="str">
        <f t="shared" si="5"/>
        <v>-</v>
      </c>
    </row>
    <row r="368" spans="1:14" x14ac:dyDescent="0.25">
      <c r="A368">
        <v>4390</v>
      </c>
      <c r="B368" t="s">
        <v>728</v>
      </c>
      <c r="C368" t="s">
        <v>1436</v>
      </c>
      <c r="D368" t="s">
        <v>1076</v>
      </c>
      <c r="E368" t="s">
        <v>1164</v>
      </c>
      <c r="F368">
        <v>10</v>
      </c>
      <c r="G368">
        <v>1</v>
      </c>
      <c r="H368" s="1296">
        <v>10</v>
      </c>
      <c r="I368" t="str">
        <f t="shared" si="5"/>
        <v>-</v>
      </c>
    </row>
    <row r="369" spans="1:9" x14ac:dyDescent="0.25">
      <c r="A369">
        <v>4391</v>
      </c>
      <c r="B369" t="s">
        <v>728</v>
      </c>
      <c r="C369" t="s">
        <v>1436</v>
      </c>
      <c r="D369" t="s">
        <v>1447</v>
      </c>
      <c r="F369">
        <v>2</v>
      </c>
      <c r="G369">
        <v>10</v>
      </c>
      <c r="H369" s="1296">
        <v>20</v>
      </c>
      <c r="I369" t="str">
        <f t="shared" si="5"/>
        <v>-</v>
      </c>
    </row>
    <row r="370" spans="1:9" x14ac:dyDescent="0.25">
      <c r="A370">
        <v>4432</v>
      </c>
      <c r="B370" t="s">
        <v>1377</v>
      </c>
      <c r="C370" t="s">
        <v>1378</v>
      </c>
      <c r="D370">
        <v>505</v>
      </c>
      <c r="F370">
        <v>3</v>
      </c>
      <c r="G370">
        <v>4</v>
      </c>
      <c r="H370" s="1296">
        <v>12</v>
      </c>
      <c r="I370" t="str">
        <f t="shared" si="5"/>
        <v>-</v>
      </c>
    </row>
    <row r="371" spans="1:9" x14ac:dyDescent="0.25">
      <c r="A371">
        <v>4433</v>
      </c>
      <c r="B371" t="s">
        <v>1377</v>
      </c>
      <c r="C371" t="s">
        <v>1378</v>
      </c>
      <c r="D371">
        <v>507</v>
      </c>
      <c r="F371">
        <v>5</v>
      </c>
      <c r="G371">
        <v>4</v>
      </c>
      <c r="H371" s="1296">
        <v>20</v>
      </c>
      <c r="I371" t="str">
        <f t="shared" si="5"/>
        <v>-</v>
      </c>
    </row>
    <row r="372" spans="1:9" x14ac:dyDescent="0.25">
      <c r="A372">
        <v>4435</v>
      </c>
      <c r="B372" t="s">
        <v>1377</v>
      </c>
      <c r="C372" t="s">
        <v>1378</v>
      </c>
      <c r="D372" t="s">
        <v>239</v>
      </c>
      <c r="F372">
        <v>5</v>
      </c>
      <c r="G372">
        <v>2</v>
      </c>
      <c r="H372" s="1296">
        <v>10</v>
      </c>
      <c r="I372" t="str">
        <f t="shared" si="5"/>
        <v>-</v>
      </c>
    </row>
    <row r="373" spans="1:9" x14ac:dyDescent="0.25">
      <c r="A373">
        <v>4478</v>
      </c>
      <c r="B373" t="s">
        <v>732</v>
      </c>
      <c r="C373" t="s">
        <v>1600</v>
      </c>
      <c r="D373">
        <v>507</v>
      </c>
      <c r="F373">
        <v>13</v>
      </c>
      <c r="G373">
        <v>4</v>
      </c>
      <c r="H373" s="1296">
        <v>52</v>
      </c>
      <c r="I373" t="str">
        <f t="shared" si="5"/>
        <v>-</v>
      </c>
    </row>
    <row r="374" spans="1:9" x14ac:dyDescent="0.25">
      <c r="A374">
        <v>4524</v>
      </c>
      <c r="B374" t="s">
        <v>732</v>
      </c>
      <c r="C374" t="s">
        <v>1615</v>
      </c>
      <c r="D374" t="s">
        <v>557</v>
      </c>
      <c r="E374" t="s">
        <v>337</v>
      </c>
      <c r="F374">
        <v>4</v>
      </c>
      <c r="G374">
        <v>5</v>
      </c>
      <c r="H374" s="1296">
        <v>20</v>
      </c>
      <c r="I374" t="str">
        <f t="shared" si="5"/>
        <v>-</v>
      </c>
    </row>
    <row r="375" spans="1:9" x14ac:dyDescent="0.25">
      <c r="A375">
        <v>4570</v>
      </c>
      <c r="B375" t="s">
        <v>739</v>
      </c>
      <c r="C375" t="s">
        <v>1445</v>
      </c>
      <c r="D375" t="s">
        <v>239</v>
      </c>
      <c r="F375">
        <v>3</v>
      </c>
      <c r="G375">
        <v>6</v>
      </c>
      <c r="H375" s="1296">
        <v>18</v>
      </c>
      <c r="I375" t="str">
        <f t="shared" si="5"/>
        <v>-</v>
      </c>
    </row>
    <row r="376" spans="1:9" x14ac:dyDescent="0.25">
      <c r="A376">
        <v>4572</v>
      </c>
      <c r="B376" t="s">
        <v>739</v>
      </c>
      <c r="C376" t="s">
        <v>1445</v>
      </c>
      <c r="D376" t="s">
        <v>125</v>
      </c>
      <c r="E376" t="s">
        <v>437</v>
      </c>
      <c r="F376">
        <v>1</v>
      </c>
      <c r="G376">
        <v>25</v>
      </c>
      <c r="H376" s="1296">
        <v>25</v>
      </c>
      <c r="I376" t="str">
        <f t="shared" si="5"/>
        <v>-</v>
      </c>
    </row>
    <row r="377" spans="1:9" x14ac:dyDescent="0.25">
      <c r="A377">
        <v>4573</v>
      </c>
      <c r="B377" t="s">
        <v>739</v>
      </c>
      <c r="C377" t="s">
        <v>1445</v>
      </c>
      <c r="D377" t="s">
        <v>125</v>
      </c>
      <c r="E377" t="s">
        <v>438</v>
      </c>
      <c r="F377">
        <v>1</v>
      </c>
      <c r="G377">
        <v>25</v>
      </c>
      <c r="H377" s="1296">
        <v>25</v>
      </c>
      <c r="I377" t="str">
        <f t="shared" si="5"/>
        <v>-</v>
      </c>
    </row>
    <row r="378" spans="1:9" x14ac:dyDescent="0.25">
      <c r="A378">
        <v>4574</v>
      </c>
      <c r="B378" t="s">
        <v>739</v>
      </c>
      <c r="C378" t="s">
        <v>1445</v>
      </c>
      <c r="D378" t="s">
        <v>250</v>
      </c>
      <c r="E378" t="s">
        <v>424</v>
      </c>
      <c r="F378">
        <v>2</v>
      </c>
      <c r="G378">
        <v>25</v>
      </c>
      <c r="H378" s="1296">
        <v>50</v>
      </c>
      <c r="I378" t="str">
        <f t="shared" si="5"/>
        <v>-</v>
      </c>
    </row>
    <row r="379" spans="1:9" x14ac:dyDescent="0.25">
      <c r="A379">
        <v>4575</v>
      </c>
      <c r="B379" t="s">
        <v>739</v>
      </c>
      <c r="C379" t="s">
        <v>1445</v>
      </c>
      <c r="D379" t="s">
        <v>126</v>
      </c>
      <c r="E379" t="s">
        <v>434</v>
      </c>
      <c r="F379">
        <v>2</v>
      </c>
      <c r="G379">
        <v>25</v>
      </c>
      <c r="H379" s="1296">
        <v>50</v>
      </c>
      <c r="I379" t="str">
        <f t="shared" si="5"/>
        <v>-</v>
      </c>
    </row>
    <row r="380" spans="1:9" x14ac:dyDescent="0.25">
      <c r="A380">
        <v>4576</v>
      </c>
      <c r="B380" t="s">
        <v>739</v>
      </c>
      <c r="C380" t="s">
        <v>1445</v>
      </c>
      <c r="D380" t="s">
        <v>145</v>
      </c>
      <c r="E380" t="s">
        <v>383</v>
      </c>
      <c r="F380">
        <v>1</v>
      </c>
      <c r="G380">
        <v>25</v>
      </c>
      <c r="H380" s="1296">
        <v>25</v>
      </c>
      <c r="I380" t="str">
        <f t="shared" si="5"/>
        <v>-</v>
      </c>
    </row>
    <row r="381" spans="1:9" x14ac:dyDescent="0.25">
      <c r="A381">
        <v>4577</v>
      </c>
      <c r="B381" t="s">
        <v>739</v>
      </c>
      <c r="C381" t="s">
        <v>1445</v>
      </c>
      <c r="D381" t="s">
        <v>226</v>
      </c>
      <c r="E381" t="s">
        <v>427</v>
      </c>
      <c r="F381">
        <v>1</v>
      </c>
      <c r="G381">
        <v>25</v>
      </c>
      <c r="H381" s="1296">
        <v>25</v>
      </c>
      <c r="I381" t="str">
        <f t="shared" si="5"/>
        <v>-</v>
      </c>
    </row>
    <row r="382" spans="1:9" x14ac:dyDescent="0.25">
      <c r="A382">
        <v>4579</v>
      </c>
      <c r="B382" t="s">
        <v>739</v>
      </c>
      <c r="C382" t="s">
        <v>1445</v>
      </c>
      <c r="D382" t="s">
        <v>931</v>
      </c>
      <c r="F382">
        <v>25</v>
      </c>
      <c r="G382">
        <v>1</v>
      </c>
      <c r="H382" s="1296">
        <v>25</v>
      </c>
      <c r="I382" t="str">
        <f t="shared" si="5"/>
        <v>-</v>
      </c>
    </row>
    <row r="383" spans="1:9" x14ac:dyDescent="0.25">
      <c r="A383">
        <v>4581</v>
      </c>
      <c r="B383" t="s">
        <v>739</v>
      </c>
      <c r="C383" t="s">
        <v>1445</v>
      </c>
      <c r="D383" t="s">
        <v>1447</v>
      </c>
      <c r="F383">
        <v>3</v>
      </c>
      <c r="G383">
        <v>10</v>
      </c>
      <c r="H383" s="1296">
        <v>30</v>
      </c>
      <c r="I383" t="str">
        <f t="shared" si="5"/>
        <v>-</v>
      </c>
    </row>
    <row r="384" spans="1:9" x14ac:dyDescent="0.25">
      <c r="A384">
        <v>4616</v>
      </c>
      <c r="B384" t="s">
        <v>507</v>
      </c>
      <c r="C384" t="s">
        <v>1622</v>
      </c>
      <c r="D384" t="s">
        <v>1624</v>
      </c>
      <c r="F384">
        <v>5</v>
      </c>
      <c r="G384">
        <v>10</v>
      </c>
      <c r="H384" s="1296">
        <v>50</v>
      </c>
      <c r="I384" t="str">
        <f t="shared" si="5"/>
        <v>-</v>
      </c>
    </row>
    <row r="385" spans="1:9" x14ac:dyDescent="0.25">
      <c r="A385">
        <v>4617</v>
      </c>
      <c r="B385" t="s">
        <v>507</v>
      </c>
      <c r="C385" t="s">
        <v>1622</v>
      </c>
      <c r="D385" t="s">
        <v>1625</v>
      </c>
      <c r="F385">
        <v>2</v>
      </c>
      <c r="G385">
        <v>10</v>
      </c>
      <c r="H385" s="1296">
        <v>20</v>
      </c>
      <c r="I385" t="str">
        <f t="shared" si="5"/>
        <v>-</v>
      </c>
    </row>
    <row r="386" spans="1:9" x14ac:dyDescent="0.25">
      <c r="A386">
        <v>4618</v>
      </c>
      <c r="B386" t="s">
        <v>507</v>
      </c>
      <c r="C386" t="s">
        <v>1622</v>
      </c>
      <c r="D386" t="s">
        <v>1626</v>
      </c>
      <c r="F386">
        <v>1</v>
      </c>
      <c r="G386">
        <v>10</v>
      </c>
      <c r="H386" s="1296">
        <v>10</v>
      </c>
      <c r="I386" t="str">
        <f t="shared" ref="I386:I449" si="6">INDEX($N$2:$N$355,MATCH($A386,$L$2:$L$355,1))</f>
        <v>-</v>
      </c>
    </row>
    <row r="387" spans="1:9" x14ac:dyDescent="0.25">
      <c r="A387">
        <v>4620</v>
      </c>
      <c r="B387" t="s">
        <v>507</v>
      </c>
      <c r="C387" t="s">
        <v>1622</v>
      </c>
      <c r="D387" t="s">
        <v>1628</v>
      </c>
      <c r="F387">
        <v>3</v>
      </c>
      <c r="G387">
        <v>10</v>
      </c>
      <c r="H387" s="1296">
        <v>30</v>
      </c>
      <c r="I387" t="str">
        <f t="shared" si="6"/>
        <v>-</v>
      </c>
    </row>
    <row r="388" spans="1:9" x14ac:dyDescent="0.25">
      <c r="A388">
        <v>4621</v>
      </c>
      <c r="B388" t="s">
        <v>507</v>
      </c>
      <c r="C388" t="s">
        <v>1622</v>
      </c>
      <c r="D388" t="s">
        <v>1630</v>
      </c>
      <c r="F388">
        <v>1</v>
      </c>
      <c r="G388">
        <v>10</v>
      </c>
      <c r="H388" s="1296">
        <v>10</v>
      </c>
      <c r="I388" t="str">
        <f t="shared" si="6"/>
        <v>-</v>
      </c>
    </row>
    <row r="389" spans="1:9" x14ac:dyDescent="0.25">
      <c r="A389">
        <v>4622</v>
      </c>
      <c r="B389" t="s">
        <v>507</v>
      </c>
      <c r="C389" t="s">
        <v>1622</v>
      </c>
      <c r="D389" t="s">
        <v>1631</v>
      </c>
      <c r="F389">
        <v>2</v>
      </c>
      <c r="G389">
        <v>10</v>
      </c>
      <c r="H389" s="1296">
        <v>20</v>
      </c>
      <c r="I389" t="str">
        <f t="shared" si="6"/>
        <v>-</v>
      </c>
    </row>
    <row r="390" spans="1:9" x14ac:dyDescent="0.25">
      <c r="A390">
        <v>4624</v>
      </c>
      <c r="B390" t="s">
        <v>507</v>
      </c>
      <c r="C390" t="s">
        <v>1622</v>
      </c>
      <c r="D390" t="s">
        <v>1632</v>
      </c>
      <c r="F390">
        <v>3</v>
      </c>
      <c r="G390">
        <v>10</v>
      </c>
      <c r="H390" s="1296">
        <v>30</v>
      </c>
      <c r="I390" t="str">
        <f t="shared" si="6"/>
        <v>-</v>
      </c>
    </row>
    <row r="391" spans="1:9" x14ac:dyDescent="0.25">
      <c r="A391">
        <v>4625</v>
      </c>
      <c r="B391" t="s">
        <v>507</v>
      </c>
      <c r="C391" t="s">
        <v>1622</v>
      </c>
      <c r="D391" t="s">
        <v>1633</v>
      </c>
      <c r="F391">
        <v>3</v>
      </c>
      <c r="G391">
        <v>10</v>
      </c>
      <c r="H391" s="1296">
        <v>30</v>
      </c>
      <c r="I391" t="str">
        <f t="shared" si="6"/>
        <v>-</v>
      </c>
    </row>
    <row r="392" spans="1:9" x14ac:dyDescent="0.25">
      <c r="A392">
        <v>4626</v>
      </c>
      <c r="B392" t="s">
        <v>507</v>
      </c>
      <c r="C392" t="s">
        <v>1622</v>
      </c>
      <c r="D392" t="s">
        <v>1634</v>
      </c>
      <c r="F392">
        <v>3</v>
      </c>
      <c r="G392">
        <v>10</v>
      </c>
      <c r="H392" s="1296">
        <v>30</v>
      </c>
      <c r="I392" t="str">
        <f t="shared" si="6"/>
        <v>-</v>
      </c>
    </row>
    <row r="393" spans="1:9" x14ac:dyDescent="0.25">
      <c r="A393">
        <v>4627</v>
      </c>
      <c r="B393" t="s">
        <v>507</v>
      </c>
      <c r="C393" t="s">
        <v>1622</v>
      </c>
      <c r="D393" t="s">
        <v>1635</v>
      </c>
      <c r="F393">
        <v>3</v>
      </c>
      <c r="G393">
        <v>10</v>
      </c>
      <c r="H393" s="1296">
        <v>30</v>
      </c>
      <c r="I393" t="str">
        <f t="shared" si="6"/>
        <v>-</v>
      </c>
    </row>
    <row r="394" spans="1:9" x14ac:dyDescent="0.25">
      <c r="A394">
        <v>4628</v>
      </c>
      <c r="B394" t="s">
        <v>507</v>
      </c>
      <c r="C394" t="s">
        <v>1622</v>
      </c>
      <c r="D394" t="s">
        <v>1636</v>
      </c>
      <c r="F394">
        <v>2</v>
      </c>
      <c r="G394">
        <v>5</v>
      </c>
      <c r="H394" s="1296">
        <v>10</v>
      </c>
      <c r="I394" t="str">
        <f t="shared" si="6"/>
        <v>-</v>
      </c>
    </row>
    <row r="395" spans="1:9" x14ac:dyDescent="0.25">
      <c r="A395">
        <v>4630</v>
      </c>
      <c r="B395" t="s">
        <v>507</v>
      </c>
      <c r="C395" t="s">
        <v>1622</v>
      </c>
      <c r="D395" t="s">
        <v>494</v>
      </c>
      <c r="E395" t="s">
        <v>327</v>
      </c>
      <c r="F395">
        <v>1</v>
      </c>
      <c r="G395">
        <v>1</v>
      </c>
      <c r="H395" s="1296">
        <v>1</v>
      </c>
      <c r="I395" t="str">
        <f t="shared" si="6"/>
        <v>-</v>
      </c>
    </row>
    <row r="396" spans="1:9" x14ac:dyDescent="0.25">
      <c r="A396">
        <v>4665</v>
      </c>
      <c r="B396" t="s">
        <v>507</v>
      </c>
      <c r="C396" t="s">
        <v>1367</v>
      </c>
      <c r="D396">
        <v>505</v>
      </c>
      <c r="F396">
        <v>7</v>
      </c>
      <c r="G396">
        <v>4</v>
      </c>
      <c r="H396" s="1296">
        <v>28</v>
      </c>
      <c r="I396" t="str">
        <f t="shared" si="6"/>
        <v>-</v>
      </c>
    </row>
    <row r="397" spans="1:9" x14ac:dyDescent="0.25">
      <c r="A397">
        <v>4667</v>
      </c>
      <c r="B397" t="s">
        <v>507</v>
      </c>
      <c r="C397" t="s">
        <v>1367</v>
      </c>
      <c r="D397" t="s">
        <v>125</v>
      </c>
      <c r="F397">
        <v>10</v>
      </c>
      <c r="G397">
        <v>5</v>
      </c>
      <c r="H397" s="1296">
        <v>50</v>
      </c>
      <c r="I397" t="str">
        <f t="shared" si="6"/>
        <v>-</v>
      </c>
    </row>
    <row r="398" spans="1:9" x14ac:dyDescent="0.25">
      <c r="A398">
        <v>4668</v>
      </c>
      <c r="B398" t="s">
        <v>507</v>
      </c>
      <c r="C398" t="s">
        <v>1367</v>
      </c>
      <c r="D398" t="s">
        <v>1638</v>
      </c>
      <c r="F398">
        <v>1</v>
      </c>
      <c r="G398">
        <v>5</v>
      </c>
      <c r="H398" s="1296">
        <v>5</v>
      </c>
      <c r="I398" t="str">
        <f t="shared" si="6"/>
        <v>-</v>
      </c>
    </row>
    <row r="399" spans="1:9" x14ac:dyDescent="0.25">
      <c r="A399">
        <v>4710</v>
      </c>
      <c r="B399" t="s">
        <v>507</v>
      </c>
      <c r="C399" t="s">
        <v>1639</v>
      </c>
      <c r="D399" t="s">
        <v>1624</v>
      </c>
      <c r="F399">
        <v>5</v>
      </c>
      <c r="G399">
        <v>10</v>
      </c>
      <c r="H399" s="1296">
        <v>50</v>
      </c>
      <c r="I399" t="str">
        <f t="shared" si="6"/>
        <v>-</v>
      </c>
    </row>
    <row r="400" spans="1:9" x14ac:dyDescent="0.25">
      <c r="A400">
        <v>4711</v>
      </c>
      <c r="B400" t="s">
        <v>507</v>
      </c>
      <c r="C400" t="s">
        <v>1639</v>
      </c>
      <c r="D400" t="s">
        <v>1625</v>
      </c>
      <c r="F400">
        <v>13</v>
      </c>
      <c r="G400">
        <v>10</v>
      </c>
      <c r="H400" s="1296">
        <v>130</v>
      </c>
      <c r="I400" t="str">
        <f t="shared" si="6"/>
        <v>-</v>
      </c>
    </row>
    <row r="401" spans="1:9" x14ac:dyDescent="0.25">
      <c r="A401">
        <v>4713</v>
      </c>
      <c r="B401" t="s">
        <v>507</v>
      </c>
      <c r="C401" t="s">
        <v>1639</v>
      </c>
      <c r="D401" t="s">
        <v>1641</v>
      </c>
      <c r="F401">
        <v>8</v>
      </c>
      <c r="G401">
        <v>5</v>
      </c>
      <c r="H401" s="1296">
        <v>40</v>
      </c>
      <c r="I401" t="str">
        <f t="shared" si="6"/>
        <v>-</v>
      </c>
    </row>
    <row r="402" spans="1:9" x14ac:dyDescent="0.25">
      <c r="A402">
        <v>4715</v>
      </c>
      <c r="B402" t="s">
        <v>507</v>
      </c>
      <c r="C402" t="s">
        <v>1639</v>
      </c>
      <c r="D402" t="s">
        <v>1632</v>
      </c>
      <c r="F402">
        <v>20</v>
      </c>
      <c r="G402">
        <v>10</v>
      </c>
      <c r="H402" s="1296">
        <v>200</v>
      </c>
      <c r="I402" t="str">
        <f t="shared" si="6"/>
        <v>-</v>
      </c>
    </row>
    <row r="403" spans="1:9" x14ac:dyDescent="0.25">
      <c r="A403">
        <v>4716</v>
      </c>
      <c r="B403" t="s">
        <v>507</v>
      </c>
      <c r="C403" t="s">
        <v>1639</v>
      </c>
      <c r="D403" t="s">
        <v>1634</v>
      </c>
      <c r="F403">
        <v>20</v>
      </c>
      <c r="G403">
        <v>10</v>
      </c>
      <c r="H403" s="1296">
        <v>200</v>
      </c>
      <c r="I403" t="str">
        <f t="shared" si="6"/>
        <v>-</v>
      </c>
    </row>
    <row r="404" spans="1:9" x14ac:dyDescent="0.25">
      <c r="A404">
        <v>4717</v>
      </c>
      <c r="B404" t="s">
        <v>507</v>
      </c>
      <c r="C404" t="s">
        <v>1639</v>
      </c>
      <c r="D404" t="s">
        <v>125</v>
      </c>
      <c r="F404">
        <v>5</v>
      </c>
      <c r="G404">
        <v>5</v>
      </c>
      <c r="H404" s="1296">
        <v>25</v>
      </c>
      <c r="I404" t="str">
        <f t="shared" si="6"/>
        <v>-</v>
      </c>
    </row>
    <row r="405" spans="1:9" x14ac:dyDescent="0.25">
      <c r="A405">
        <v>4757</v>
      </c>
      <c r="B405" t="s">
        <v>507</v>
      </c>
      <c r="C405" t="s">
        <v>1642</v>
      </c>
      <c r="D405" t="s">
        <v>1632</v>
      </c>
      <c r="F405">
        <v>40</v>
      </c>
      <c r="G405">
        <v>10</v>
      </c>
      <c r="H405" s="1296">
        <v>400</v>
      </c>
      <c r="I405" t="str">
        <f t="shared" si="6"/>
        <v>-</v>
      </c>
    </row>
    <row r="406" spans="1:9" x14ac:dyDescent="0.25">
      <c r="A406">
        <v>4758</v>
      </c>
      <c r="B406" t="s">
        <v>507</v>
      </c>
      <c r="C406" t="s">
        <v>1642</v>
      </c>
      <c r="D406" t="s">
        <v>1633</v>
      </c>
      <c r="F406">
        <v>40</v>
      </c>
      <c r="G406">
        <v>10</v>
      </c>
      <c r="H406" s="1296">
        <v>400</v>
      </c>
      <c r="I406" t="str">
        <f t="shared" si="6"/>
        <v>-</v>
      </c>
    </row>
    <row r="407" spans="1:9" x14ac:dyDescent="0.25">
      <c r="A407">
        <v>4759</v>
      </c>
      <c r="B407" t="s">
        <v>507</v>
      </c>
      <c r="C407" t="s">
        <v>1642</v>
      </c>
      <c r="D407" t="s">
        <v>125</v>
      </c>
      <c r="F407">
        <v>20</v>
      </c>
      <c r="G407">
        <v>5</v>
      </c>
      <c r="H407" s="1296">
        <v>100</v>
      </c>
      <c r="I407" t="str">
        <f t="shared" si="6"/>
        <v>-</v>
      </c>
    </row>
    <row r="408" spans="1:9" x14ac:dyDescent="0.25">
      <c r="A408">
        <v>4803</v>
      </c>
      <c r="B408" t="s">
        <v>507</v>
      </c>
      <c r="C408" t="s">
        <v>1645</v>
      </c>
      <c r="D408" t="s">
        <v>1624</v>
      </c>
      <c r="F408">
        <v>12</v>
      </c>
      <c r="G408">
        <v>10</v>
      </c>
      <c r="H408" s="1296">
        <v>120</v>
      </c>
      <c r="I408" t="str">
        <f t="shared" si="6"/>
        <v>Cancelled</v>
      </c>
    </row>
    <row r="409" spans="1:9" x14ac:dyDescent="0.25">
      <c r="A409">
        <v>4804</v>
      </c>
      <c r="B409" t="s">
        <v>507</v>
      </c>
      <c r="C409" t="s">
        <v>1645</v>
      </c>
      <c r="D409" t="s">
        <v>1625</v>
      </c>
      <c r="F409">
        <v>3</v>
      </c>
      <c r="G409">
        <v>10</v>
      </c>
      <c r="H409" s="1296">
        <v>30</v>
      </c>
      <c r="I409" t="str">
        <f t="shared" si="6"/>
        <v>Cancelled</v>
      </c>
    </row>
    <row r="410" spans="1:9" x14ac:dyDescent="0.25">
      <c r="A410">
        <v>4806</v>
      </c>
      <c r="B410" t="s">
        <v>507</v>
      </c>
      <c r="C410" t="s">
        <v>1645</v>
      </c>
      <c r="D410" t="s">
        <v>1628</v>
      </c>
      <c r="F410">
        <v>2</v>
      </c>
      <c r="G410">
        <v>10</v>
      </c>
      <c r="H410" s="1296">
        <v>20</v>
      </c>
      <c r="I410" t="str">
        <f t="shared" si="6"/>
        <v>Cancelled</v>
      </c>
    </row>
    <row r="411" spans="1:9" x14ac:dyDescent="0.25">
      <c r="A411">
        <v>4807</v>
      </c>
      <c r="B411" t="s">
        <v>507</v>
      </c>
      <c r="C411" t="s">
        <v>1645</v>
      </c>
      <c r="D411" t="s">
        <v>1630</v>
      </c>
      <c r="F411">
        <v>2</v>
      </c>
      <c r="G411">
        <v>10</v>
      </c>
      <c r="H411" s="1296">
        <v>20</v>
      </c>
      <c r="I411" t="str">
        <f t="shared" si="6"/>
        <v>Cancelled</v>
      </c>
    </row>
    <row r="412" spans="1:9" x14ac:dyDescent="0.25">
      <c r="A412">
        <v>4808</v>
      </c>
      <c r="B412" t="s">
        <v>507</v>
      </c>
      <c r="C412" t="s">
        <v>1645</v>
      </c>
      <c r="D412" t="s">
        <v>1631</v>
      </c>
      <c r="F412">
        <v>2</v>
      </c>
      <c r="G412">
        <v>10</v>
      </c>
      <c r="H412" s="1296">
        <v>20</v>
      </c>
      <c r="I412" t="str">
        <f t="shared" si="6"/>
        <v>Cancelled</v>
      </c>
    </row>
    <row r="413" spans="1:9" x14ac:dyDescent="0.25">
      <c r="A413">
        <v>4810</v>
      </c>
      <c r="B413" t="s">
        <v>507</v>
      </c>
      <c r="C413" t="s">
        <v>1645</v>
      </c>
      <c r="D413" t="s">
        <v>1632</v>
      </c>
      <c r="F413">
        <v>20</v>
      </c>
      <c r="G413">
        <v>10</v>
      </c>
      <c r="H413" s="1296">
        <v>200</v>
      </c>
      <c r="I413" t="str">
        <f t="shared" si="6"/>
        <v>Cancelled</v>
      </c>
    </row>
    <row r="414" spans="1:9" x14ac:dyDescent="0.25">
      <c r="A414">
        <v>4811</v>
      </c>
      <c r="B414" t="s">
        <v>507</v>
      </c>
      <c r="C414" t="s">
        <v>1645</v>
      </c>
      <c r="D414" t="s">
        <v>1633</v>
      </c>
      <c r="F414">
        <v>10</v>
      </c>
      <c r="G414">
        <v>10</v>
      </c>
      <c r="H414" s="1296">
        <v>100</v>
      </c>
      <c r="I414" t="str">
        <f t="shared" si="6"/>
        <v>Cancelled</v>
      </c>
    </row>
    <row r="415" spans="1:9" x14ac:dyDescent="0.25">
      <c r="A415">
        <v>4812</v>
      </c>
      <c r="B415" t="s">
        <v>507</v>
      </c>
      <c r="C415" t="s">
        <v>1645</v>
      </c>
      <c r="D415" t="s">
        <v>1634</v>
      </c>
      <c r="F415">
        <v>5</v>
      </c>
      <c r="G415">
        <v>10</v>
      </c>
      <c r="H415" s="1296">
        <v>50</v>
      </c>
      <c r="I415" t="str">
        <f t="shared" si="6"/>
        <v>Cancelled</v>
      </c>
    </row>
    <row r="416" spans="1:9" x14ac:dyDescent="0.25">
      <c r="A416">
        <v>4813</v>
      </c>
      <c r="B416" t="s">
        <v>507</v>
      </c>
      <c r="C416" t="s">
        <v>1645</v>
      </c>
      <c r="D416" t="s">
        <v>1635</v>
      </c>
      <c r="F416">
        <v>5</v>
      </c>
      <c r="G416">
        <v>10</v>
      </c>
      <c r="H416" s="1296">
        <v>50</v>
      </c>
      <c r="I416" t="str">
        <f t="shared" si="6"/>
        <v>Cancelled</v>
      </c>
    </row>
    <row r="417" spans="1:9" x14ac:dyDescent="0.25">
      <c r="A417">
        <v>4814</v>
      </c>
      <c r="B417" t="s">
        <v>507</v>
      </c>
      <c r="C417" t="s">
        <v>1645</v>
      </c>
      <c r="D417" t="s">
        <v>1636</v>
      </c>
      <c r="F417">
        <v>8</v>
      </c>
      <c r="G417">
        <v>5</v>
      </c>
      <c r="H417" s="1296">
        <v>40</v>
      </c>
      <c r="I417" t="str">
        <f t="shared" si="6"/>
        <v>Cancelled</v>
      </c>
    </row>
    <row r="418" spans="1:9" x14ac:dyDescent="0.25">
      <c r="A418">
        <v>4816</v>
      </c>
      <c r="B418" t="s">
        <v>507</v>
      </c>
      <c r="C418" t="s">
        <v>1645</v>
      </c>
      <c r="D418" t="s">
        <v>1526</v>
      </c>
      <c r="F418">
        <v>1</v>
      </c>
      <c r="G418">
        <v>100</v>
      </c>
      <c r="H418" s="1296">
        <v>100</v>
      </c>
      <c r="I418" t="str">
        <f t="shared" si="6"/>
        <v>Cancelled</v>
      </c>
    </row>
    <row r="419" spans="1:9" x14ac:dyDescent="0.25">
      <c r="A419">
        <v>4850</v>
      </c>
      <c r="B419" t="s">
        <v>507</v>
      </c>
      <c r="C419" t="s">
        <v>1648</v>
      </c>
      <c r="D419" t="s">
        <v>1624</v>
      </c>
      <c r="F419">
        <v>12</v>
      </c>
      <c r="G419">
        <v>10</v>
      </c>
      <c r="H419" s="1296">
        <v>120</v>
      </c>
      <c r="I419" t="str">
        <f t="shared" si="6"/>
        <v>-</v>
      </c>
    </row>
    <row r="420" spans="1:9" x14ac:dyDescent="0.25">
      <c r="A420">
        <v>4851</v>
      </c>
      <c r="B420" t="s">
        <v>507</v>
      </c>
      <c r="C420" t="s">
        <v>1648</v>
      </c>
      <c r="D420" t="s">
        <v>1625</v>
      </c>
      <c r="F420">
        <v>3</v>
      </c>
      <c r="G420">
        <v>10</v>
      </c>
      <c r="H420" s="1296">
        <v>30</v>
      </c>
      <c r="I420" t="str">
        <f t="shared" si="6"/>
        <v>-</v>
      </c>
    </row>
    <row r="421" spans="1:9" x14ac:dyDescent="0.25">
      <c r="A421">
        <v>4853</v>
      </c>
      <c r="B421" t="s">
        <v>507</v>
      </c>
      <c r="C421" t="s">
        <v>1648</v>
      </c>
      <c r="D421" t="s">
        <v>1628</v>
      </c>
      <c r="F421">
        <v>2</v>
      </c>
      <c r="G421">
        <v>10</v>
      </c>
      <c r="H421" s="1296">
        <v>20</v>
      </c>
      <c r="I421" t="str">
        <f t="shared" si="6"/>
        <v>-</v>
      </c>
    </row>
    <row r="422" spans="1:9" x14ac:dyDescent="0.25">
      <c r="A422">
        <v>4854</v>
      </c>
      <c r="B422" t="s">
        <v>507</v>
      </c>
      <c r="C422" t="s">
        <v>1648</v>
      </c>
      <c r="D422" t="s">
        <v>1649</v>
      </c>
      <c r="F422">
        <v>2</v>
      </c>
      <c r="G422">
        <v>10</v>
      </c>
      <c r="H422" s="1296">
        <v>20</v>
      </c>
      <c r="I422" t="str">
        <f t="shared" si="6"/>
        <v>-</v>
      </c>
    </row>
    <row r="423" spans="1:9" x14ac:dyDescent="0.25">
      <c r="A423">
        <v>4855</v>
      </c>
      <c r="B423" t="s">
        <v>507</v>
      </c>
      <c r="C423" t="s">
        <v>1648</v>
      </c>
      <c r="D423" t="s">
        <v>1650</v>
      </c>
      <c r="F423">
        <v>2</v>
      </c>
      <c r="G423">
        <v>10</v>
      </c>
      <c r="H423" s="1296">
        <v>20</v>
      </c>
      <c r="I423" t="str">
        <f t="shared" si="6"/>
        <v>-</v>
      </c>
    </row>
    <row r="424" spans="1:9" x14ac:dyDescent="0.25">
      <c r="A424">
        <v>4857</v>
      </c>
      <c r="B424" t="s">
        <v>507</v>
      </c>
      <c r="C424" t="s">
        <v>1648</v>
      </c>
      <c r="D424" t="s">
        <v>1632</v>
      </c>
      <c r="F424">
        <v>20</v>
      </c>
      <c r="G424">
        <v>10</v>
      </c>
      <c r="H424" s="1296">
        <v>200</v>
      </c>
      <c r="I424" t="str">
        <f t="shared" si="6"/>
        <v>-</v>
      </c>
    </row>
    <row r="425" spans="1:9" x14ac:dyDescent="0.25">
      <c r="A425">
        <v>4858</v>
      </c>
      <c r="B425" t="s">
        <v>507</v>
      </c>
      <c r="C425" t="s">
        <v>1648</v>
      </c>
      <c r="D425" t="s">
        <v>1633</v>
      </c>
      <c r="F425">
        <v>10</v>
      </c>
      <c r="G425">
        <v>10</v>
      </c>
      <c r="H425" s="1296">
        <v>100</v>
      </c>
      <c r="I425" t="str">
        <f t="shared" si="6"/>
        <v>-</v>
      </c>
    </row>
    <row r="426" spans="1:9" x14ac:dyDescent="0.25">
      <c r="A426">
        <v>4859</v>
      </c>
      <c r="B426" t="s">
        <v>507</v>
      </c>
      <c r="C426" t="s">
        <v>1648</v>
      </c>
      <c r="D426" t="s">
        <v>1634</v>
      </c>
      <c r="F426">
        <v>5</v>
      </c>
      <c r="G426">
        <v>10</v>
      </c>
      <c r="H426" s="1296">
        <v>50</v>
      </c>
      <c r="I426" t="str">
        <f t="shared" si="6"/>
        <v>-</v>
      </c>
    </row>
    <row r="427" spans="1:9" x14ac:dyDescent="0.25">
      <c r="A427">
        <v>4860</v>
      </c>
      <c r="B427" t="s">
        <v>507</v>
      </c>
      <c r="C427" t="s">
        <v>1648</v>
      </c>
      <c r="D427" t="s">
        <v>1635</v>
      </c>
      <c r="F427">
        <v>5</v>
      </c>
      <c r="G427">
        <v>10</v>
      </c>
      <c r="H427" s="1296">
        <v>50</v>
      </c>
      <c r="I427" t="str">
        <f t="shared" si="6"/>
        <v>-</v>
      </c>
    </row>
    <row r="428" spans="1:9" x14ac:dyDescent="0.25">
      <c r="A428">
        <v>4861</v>
      </c>
      <c r="B428" t="s">
        <v>507</v>
      </c>
      <c r="C428" t="s">
        <v>1648</v>
      </c>
      <c r="D428" t="s">
        <v>1651</v>
      </c>
      <c r="E428" t="s">
        <v>1652</v>
      </c>
      <c r="F428">
        <v>4</v>
      </c>
      <c r="G428">
        <v>10</v>
      </c>
      <c r="H428" s="1296">
        <v>40</v>
      </c>
      <c r="I428" t="str">
        <f t="shared" si="6"/>
        <v>-</v>
      </c>
    </row>
    <row r="429" spans="1:9" x14ac:dyDescent="0.25">
      <c r="A429">
        <v>4863</v>
      </c>
      <c r="B429" t="s">
        <v>507</v>
      </c>
      <c r="C429" t="s">
        <v>1648</v>
      </c>
      <c r="D429" t="s">
        <v>1526</v>
      </c>
      <c r="F429">
        <v>1</v>
      </c>
      <c r="G429">
        <v>100</v>
      </c>
      <c r="H429" s="1296">
        <v>100</v>
      </c>
      <c r="I429" t="str">
        <f t="shared" si="6"/>
        <v>-</v>
      </c>
    </row>
    <row r="430" spans="1:9" x14ac:dyDescent="0.25">
      <c r="A430">
        <v>4896</v>
      </c>
      <c r="B430" t="s">
        <v>507</v>
      </c>
      <c r="C430" t="s">
        <v>1653</v>
      </c>
      <c r="D430" t="s">
        <v>126</v>
      </c>
      <c r="E430" t="s">
        <v>1295</v>
      </c>
      <c r="F430">
        <v>1</v>
      </c>
      <c r="G430">
        <v>250</v>
      </c>
      <c r="H430" s="1296">
        <v>250</v>
      </c>
      <c r="I430" t="str">
        <f t="shared" si="6"/>
        <v>-</v>
      </c>
    </row>
    <row r="431" spans="1:9" x14ac:dyDescent="0.25">
      <c r="A431">
        <v>4943</v>
      </c>
      <c r="B431" t="s">
        <v>507</v>
      </c>
      <c r="C431" t="s">
        <v>1655</v>
      </c>
      <c r="D431" t="s">
        <v>126</v>
      </c>
      <c r="E431" t="s">
        <v>1295</v>
      </c>
      <c r="F431">
        <v>1</v>
      </c>
      <c r="G431">
        <v>250</v>
      </c>
      <c r="H431" s="1296">
        <v>250</v>
      </c>
      <c r="I431" t="str">
        <f t="shared" si="6"/>
        <v>-</v>
      </c>
    </row>
    <row r="432" spans="1:9" x14ac:dyDescent="0.25">
      <c r="A432">
        <v>4988</v>
      </c>
      <c r="B432" t="s">
        <v>765</v>
      </c>
      <c r="C432" t="s">
        <v>1656</v>
      </c>
      <c r="D432">
        <v>507</v>
      </c>
      <c r="F432">
        <v>3</v>
      </c>
      <c r="G432">
        <v>4</v>
      </c>
      <c r="H432" s="1296">
        <v>12</v>
      </c>
      <c r="I432" t="str">
        <f t="shared" si="6"/>
        <v>-</v>
      </c>
    </row>
    <row r="433" spans="1:9" x14ac:dyDescent="0.25">
      <c r="A433">
        <v>5035</v>
      </c>
      <c r="B433" t="s">
        <v>767</v>
      </c>
      <c r="C433" t="s">
        <v>1657</v>
      </c>
      <c r="D433" t="s">
        <v>1628</v>
      </c>
      <c r="F433">
        <v>4</v>
      </c>
      <c r="G433">
        <v>10</v>
      </c>
      <c r="H433" s="1296">
        <v>40</v>
      </c>
      <c r="I433" t="str">
        <f t="shared" si="6"/>
        <v>-</v>
      </c>
    </row>
    <row r="434" spans="1:9" x14ac:dyDescent="0.25">
      <c r="A434">
        <v>5037</v>
      </c>
      <c r="B434" t="s">
        <v>767</v>
      </c>
      <c r="C434" t="s">
        <v>1657</v>
      </c>
      <c r="D434" t="s">
        <v>1658</v>
      </c>
      <c r="E434" t="s">
        <v>87</v>
      </c>
      <c r="F434">
        <v>5</v>
      </c>
      <c r="G434">
        <v>5</v>
      </c>
      <c r="H434" s="1296">
        <v>25</v>
      </c>
      <c r="I434" t="str">
        <f t="shared" si="6"/>
        <v>-</v>
      </c>
    </row>
    <row r="435" spans="1:9" x14ac:dyDescent="0.25">
      <c r="A435">
        <v>5085</v>
      </c>
      <c r="B435" t="s">
        <v>770</v>
      </c>
      <c r="C435" t="s">
        <v>1659</v>
      </c>
      <c r="D435">
        <v>508</v>
      </c>
      <c r="F435">
        <v>3</v>
      </c>
      <c r="G435">
        <v>4</v>
      </c>
      <c r="H435" s="1296">
        <v>12</v>
      </c>
      <c r="I435" t="str">
        <f t="shared" si="6"/>
        <v>-</v>
      </c>
    </row>
    <row r="436" spans="1:9" x14ac:dyDescent="0.25">
      <c r="A436">
        <v>5086</v>
      </c>
      <c r="B436" t="s">
        <v>770</v>
      </c>
      <c r="C436" t="s">
        <v>1659</v>
      </c>
      <c r="D436">
        <v>507</v>
      </c>
      <c r="F436">
        <v>6</v>
      </c>
      <c r="G436">
        <v>4</v>
      </c>
      <c r="H436" s="1296">
        <v>24</v>
      </c>
      <c r="I436" t="str">
        <f t="shared" si="6"/>
        <v>-</v>
      </c>
    </row>
    <row r="437" spans="1:9" x14ac:dyDescent="0.25">
      <c r="A437">
        <v>5088</v>
      </c>
      <c r="B437" t="s">
        <v>770</v>
      </c>
      <c r="C437" t="s">
        <v>1659</v>
      </c>
      <c r="D437" t="s">
        <v>125</v>
      </c>
      <c r="F437">
        <v>3</v>
      </c>
      <c r="G437">
        <v>5</v>
      </c>
      <c r="H437" s="1296">
        <v>15</v>
      </c>
      <c r="I437" t="str">
        <f t="shared" si="6"/>
        <v>-</v>
      </c>
    </row>
    <row r="438" spans="1:9" x14ac:dyDescent="0.25">
      <c r="A438">
        <v>5126</v>
      </c>
      <c r="B438" t="s">
        <v>767</v>
      </c>
      <c r="C438" t="s">
        <v>1661</v>
      </c>
      <c r="D438" t="s">
        <v>125</v>
      </c>
      <c r="F438">
        <v>6</v>
      </c>
      <c r="G438">
        <v>5</v>
      </c>
      <c r="H438" s="1296">
        <v>30</v>
      </c>
      <c r="I438" t="str">
        <f t="shared" si="6"/>
        <v>-</v>
      </c>
    </row>
    <row r="439" spans="1:9" x14ac:dyDescent="0.25">
      <c r="A439">
        <v>5127</v>
      </c>
      <c r="B439" t="s">
        <v>767</v>
      </c>
      <c r="C439" t="s">
        <v>1661</v>
      </c>
      <c r="D439" t="s">
        <v>890</v>
      </c>
      <c r="F439">
        <v>8</v>
      </c>
      <c r="G439">
        <v>5</v>
      </c>
      <c r="H439" s="1296">
        <v>40</v>
      </c>
      <c r="I439" t="str">
        <f t="shared" si="6"/>
        <v>-</v>
      </c>
    </row>
    <row r="440" spans="1:9" x14ac:dyDescent="0.25">
      <c r="A440">
        <v>5172</v>
      </c>
      <c r="B440" t="s">
        <v>777</v>
      </c>
      <c r="C440" t="s">
        <v>1420</v>
      </c>
      <c r="D440" t="s">
        <v>239</v>
      </c>
      <c r="F440">
        <v>5</v>
      </c>
      <c r="G440">
        <v>2</v>
      </c>
      <c r="H440" s="1296">
        <v>10</v>
      </c>
      <c r="I440" t="str">
        <f t="shared" si="6"/>
        <v>-</v>
      </c>
    </row>
    <row r="441" spans="1:9" x14ac:dyDescent="0.25">
      <c r="A441">
        <v>5173</v>
      </c>
      <c r="B441" t="s">
        <v>777</v>
      </c>
      <c r="C441" t="s">
        <v>1420</v>
      </c>
      <c r="D441" t="s">
        <v>1076</v>
      </c>
      <c r="E441" t="s">
        <v>1164</v>
      </c>
      <c r="F441">
        <v>10</v>
      </c>
      <c r="G441">
        <v>1</v>
      </c>
      <c r="H441" s="1296">
        <v>10</v>
      </c>
      <c r="I441" t="str">
        <f t="shared" si="6"/>
        <v>-</v>
      </c>
    </row>
    <row r="442" spans="1:9" x14ac:dyDescent="0.25">
      <c r="A442">
        <v>5175</v>
      </c>
      <c r="B442" t="s">
        <v>777</v>
      </c>
      <c r="C442" t="s">
        <v>1420</v>
      </c>
      <c r="D442" t="s">
        <v>140</v>
      </c>
      <c r="E442" t="s">
        <v>337</v>
      </c>
      <c r="F442">
        <v>1</v>
      </c>
      <c r="G442">
        <v>5</v>
      </c>
      <c r="H442" s="1296">
        <v>5</v>
      </c>
      <c r="I442" t="str">
        <f t="shared" si="6"/>
        <v>-</v>
      </c>
    </row>
    <row r="443" spans="1:9" x14ac:dyDescent="0.25">
      <c r="A443">
        <v>5176</v>
      </c>
      <c r="B443" t="s">
        <v>777</v>
      </c>
      <c r="C443" t="s">
        <v>1420</v>
      </c>
      <c r="D443" t="s">
        <v>144</v>
      </c>
      <c r="E443" t="s">
        <v>340</v>
      </c>
      <c r="F443">
        <v>2</v>
      </c>
      <c r="G443">
        <v>5</v>
      </c>
      <c r="H443" s="1296">
        <v>10</v>
      </c>
      <c r="I443" t="str">
        <f t="shared" si="6"/>
        <v>-</v>
      </c>
    </row>
    <row r="444" spans="1:9" x14ac:dyDescent="0.25">
      <c r="A444">
        <v>5219</v>
      </c>
      <c r="B444" t="s">
        <v>783</v>
      </c>
      <c r="C444" t="s">
        <v>1449</v>
      </c>
      <c r="D444">
        <v>405</v>
      </c>
      <c r="F444">
        <v>5</v>
      </c>
      <c r="G444">
        <v>1</v>
      </c>
      <c r="H444" s="1296">
        <v>5</v>
      </c>
      <c r="I444" t="str">
        <f t="shared" si="6"/>
        <v>-</v>
      </c>
    </row>
    <row r="445" spans="1:9" x14ac:dyDescent="0.25">
      <c r="A445">
        <v>5220</v>
      </c>
      <c r="B445" t="s">
        <v>783</v>
      </c>
      <c r="C445" t="s">
        <v>1449</v>
      </c>
      <c r="D445" t="s">
        <v>1663</v>
      </c>
      <c r="F445">
        <v>3</v>
      </c>
      <c r="G445">
        <v>2</v>
      </c>
      <c r="H445" s="1296">
        <v>6</v>
      </c>
      <c r="I445" t="str">
        <f t="shared" si="6"/>
        <v>-</v>
      </c>
    </row>
    <row r="446" spans="1:9" x14ac:dyDescent="0.25">
      <c r="A446">
        <v>5221</v>
      </c>
      <c r="B446" t="s">
        <v>783</v>
      </c>
      <c r="C446" t="s">
        <v>1449</v>
      </c>
      <c r="D446" t="s">
        <v>931</v>
      </c>
      <c r="E446" t="s">
        <v>1164</v>
      </c>
      <c r="F446">
        <v>10</v>
      </c>
      <c r="G446">
        <v>1</v>
      </c>
      <c r="H446" s="1296">
        <v>10</v>
      </c>
      <c r="I446" t="str">
        <f t="shared" si="6"/>
        <v>-</v>
      </c>
    </row>
    <row r="447" spans="1:9" x14ac:dyDescent="0.25">
      <c r="A447">
        <v>5222</v>
      </c>
      <c r="B447" t="s">
        <v>783</v>
      </c>
      <c r="C447" t="s">
        <v>1449</v>
      </c>
      <c r="D447" t="s">
        <v>1447</v>
      </c>
      <c r="F447">
        <v>1</v>
      </c>
      <c r="G447">
        <v>10</v>
      </c>
      <c r="H447" s="1296">
        <v>10</v>
      </c>
      <c r="I447" t="str">
        <f t="shared" si="6"/>
        <v>-</v>
      </c>
    </row>
    <row r="448" spans="1:9" x14ac:dyDescent="0.25">
      <c r="A448">
        <v>5224</v>
      </c>
      <c r="B448" t="s">
        <v>783</v>
      </c>
      <c r="C448" t="s">
        <v>1449</v>
      </c>
      <c r="D448" t="s">
        <v>125</v>
      </c>
      <c r="F448">
        <v>2</v>
      </c>
      <c r="G448">
        <v>5</v>
      </c>
      <c r="H448" s="1296">
        <v>10</v>
      </c>
      <c r="I448" t="str">
        <f t="shared" si="6"/>
        <v>-</v>
      </c>
    </row>
    <row r="449" spans="1:9" x14ac:dyDescent="0.25">
      <c r="A449">
        <v>5225</v>
      </c>
      <c r="B449" t="s">
        <v>783</v>
      </c>
      <c r="C449" t="s">
        <v>1449</v>
      </c>
      <c r="D449" t="s">
        <v>1664</v>
      </c>
      <c r="F449">
        <v>3</v>
      </c>
      <c r="G449">
        <v>10</v>
      </c>
      <c r="H449" s="1296">
        <v>30</v>
      </c>
      <c r="I449" t="str">
        <f t="shared" si="6"/>
        <v>-</v>
      </c>
    </row>
    <row r="450" spans="1:9" x14ac:dyDescent="0.25">
      <c r="A450">
        <v>5227</v>
      </c>
      <c r="B450" t="s">
        <v>783</v>
      </c>
      <c r="C450" t="s">
        <v>1449</v>
      </c>
      <c r="D450" t="s">
        <v>63</v>
      </c>
      <c r="E450" t="s">
        <v>429</v>
      </c>
      <c r="F450">
        <v>1</v>
      </c>
      <c r="G450">
        <v>20</v>
      </c>
      <c r="H450" s="1296">
        <v>20</v>
      </c>
      <c r="I450" t="str">
        <f t="shared" ref="I450:I513" si="7">INDEX($N$2:$N$355,MATCH($A450,$L$2:$L$355,1))</f>
        <v>-</v>
      </c>
    </row>
    <row r="451" spans="1:9" x14ac:dyDescent="0.25">
      <c r="A451">
        <v>5230</v>
      </c>
      <c r="B451" t="s">
        <v>783</v>
      </c>
      <c r="C451" t="s">
        <v>1449</v>
      </c>
      <c r="D451" t="s">
        <v>1665</v>
      </c>
      <c r="E451" t="s">
        <v>94</v>
      </c>
      <c r="F451">
        <v>2</v>
      </c>
      <c r="G451">
        <v>1</v>
      </c>
      <c r="H451" s="1296">
        <v>2</v>
      </c>
      <c r="I451" t="str">
        <f t="shared" si="7"/>
        <v>-</v>
      </c>
    </row>
    <row r="452" spans="1:9" x14ac:dyDescent="0.25">
      <c r="A452">
        <v>5231</v>
      </c>
      <c r="B452" t="s">
        <v>783</v>
      </c>
      <c r="C452" t="s">
        <v>1449</v>
      </c>
      <c r="D452" t="s">
        <v>1666</v>
      </c>
      <c r="E452" t="s">
        <v>388</v>
      </c>
      <c r="F452">
        <v>1</v>
      </c>
      <c r="G452">
        <v>1</v>
      </c>
      <c r="H452" s="1296">
        <v>1</v>
      </c>
      <c r="I452" t="str">
        <f t="shared" si="7"/>
        <v>-</v>
      </c>
    </row>
    <row r="453" spans="1:9" x14ac:dyDescent="0.25">
      <c r="A453">
        <v>5232</v>
      </c>
      <c r="B453" t="s">
        <v>783</v>
      </c>
      <c r="C453" t="s">
        <v>1449</v>
      </c>
      <c r="D453" t="s">
        <v>1667</v>
      </c>
      <c r="E453" t="s">
        <v>365</v>
      </c>
      <c r="F453">
        <v>1</v>
      </c>
      <c r="G453">
        <v>1</v>
      </c>
      <c r="H453" s="1296">
        <v>1</v>
      </c>
      <c r="I453" t="str">
        <f t="shared" si="7"/>
        <v>-</v>
      </c>
    </row>
    <row r="454" spans="1:9" x14ac:dyDescent="0.25">
      <c r="A454">
        <v>5261</v>
      </c>
      <c r="B454" t="s">
        <v>783</v>
      </c>
      <c r="C454" t="s">
        <v>1427</v>
      </c>
      <c r="D454" t="s">
        <v>1076</v>
      </c>
      <c r="E454" t="s">
        <v>1164</v>
      </c>
      <c r="F454">
        <v>10</v>
      </c>
      <c r="G454">
        <v>1</v>
      </c>
      <c r="H454" s="1296">
        <v>10</v>
      </c>
      <c r="I454" t="str">
        <f t="shared" si="7"/>
        <v>-</v>
      </c>
    </row>
    <row r="455" spans="1:9" x14ac:dyDescent="0.25">
      <c r="A455">
        <v>5263</v>
      </c>
      <c r="B455" t="s">
        <v>783</v>
      </c>
      <c r="C455" t="s">
        <v>1427</v>
      </c>
      <c r="D455" t="s">
        <v>1669</v>
      </c>
      <c r="F455">
        <v>4</v>
      </c>
      <c r="G455">
        <v>10</v>
      </c>
      <c r="H455" s="1296">
        <v>40</v>
      </c>
      <c r="I455" t="str">
        <f t="shared" si="7"/>
        <v>-</v>
      </c>
    </row>
    <row r="456" spans="1:9" x14ac:dyDescent="0.25">
      <c r="A456">
        <v>5265</v>
      </c>
      <c r="B456" t="s">
        <v>783</v>
      </c>
      <c r="C456" t="s">
        <v>1427</v>
      </c>
      <c r="D456" t="s">
        <v>138</v>
      </c>
      <c r="E456" t="s">
        <v>384</v>
      </c>
      <c r="F456">
        <v>2</v>
      </c>
      <c r="G456">
        <v>6</v>
      </c>
      <c r="H456" s="1296">
        <v>12</v>
      </c>
      <c r="I456" t="str">
        <f t="shared" si="7"/>
        <v>-</v>
      </c>
    </row>
    <row r="457" spans="1:9" x14ac:dyDescent="0.25">
      <c r="A457">
        <v>5308</v>
      </c>
      <c r="B457" t="s">
        <v>794</v>
      </c>
      <c r="C457" t="s">
        <v>1670</v>
      </c>
      <c r="D457" t="s">
        <v>239</v>
      </c>
      <c r="F457">
        <v>8</v>
      </c>
      <c r="G457">
        <v>2</v>
      </c>
      <c r="H457" s="1296">
        <v>16</v>
      </c>
      <c r="I457" t="str">
        <f t="shared" si="7"/>
        <v>-</v>
      </c>
    </row>
    <row r="458" spans="1:9" x14ac:dyDescent="0.25">
      <c r="A458">
        <v>5310</v>
      </c>
      <c r="B458" t="s">
        <v>794</v>
      </c>
      <c r="C458" t="s">
        <v>1670</v>
      </c>
      <c r="D458" t="s">
        <v>63</v>
      </c>
      <c r="E458" t="s">
        <v>429</v>
      </c>
      <c r="F458">
        <v>1</v>
      </c>
      <c r="G458">
        <v>20</v>
      </c>
      <c r="H458" s="1296">
        <v>20</v>
      </c>
      <c r="I458" t="str">
        <f t="shared" si="7"/>
        <v>-</v>
      </c>
    </row>
    <row r="459" spans="1:9" x14ac:dyDescent="0.25">
      <c r="A459">
        <v>5311</v>
      </c>
      <c r="B459" t="s">
        <v>794</v>
      </c>
      <c r="C459" t="s">
        <v>1670</v>
      </c>
      <c r="D459" t="s">
        <v>226</v>
      </c>
      <c r="E459" t="s">
        <v>427</v>
      </c>
      <c r="F459">
        <v>2</v>
      </c>
      <c r="G459">
        <v>25</v>
      </c>
      <c r="H459" s="1296">
        <v>50</v>
      </c>
      <c r="I459" t="str">
        <f t="shared" si="7"/>
        <v>-</v>
      </c>
    </row>
    <row r="460" spans="1:9" x14ac:dyDescent="0.25">
      <c r="A460">
        <v>5313</v>
      </c>
      <c r="B460" t="s">
        <v>794</v>
      </c>
      <c r="C460" t="s">
        <v>1670</v>
      </c>
      <c r="D460" t="s">
        <v>1671</v>
      </c>
      <c r="E460" t="s">
        <v>1672</v>
      </c>
      <c r="F460">
        <v>2</v>
      </c>
      <c r="G460">
        <v>6</v>
      </c>
      <c r="H460" s="1296">
        <v>12</v>
      </c>
      <c r="I460" t="str">
        <f t="shared" si="7"/>
        <v>-</v>
      </c>
    </row>
    <row r="461" spans="1:9" x14ac:dyDescent="0.25">
      <c r="A461">
        <v>5354</v>
      </c>
      <c r="B461" t="s">
        <v>1673</v>
      </c>
      <c r="C461" t="s">
        <v>1674</v>
      </c>
      <c r="D461" t="s">
        <v>190</v>
      </c>
      <c r="F461">
        <v>1</v>
      </c>
      <c r="G461">
        <v>1</v>
      </c>
      <c r="H461" s="1296">
        <v>1</v>
      </c>
      <c r="I461" t="str">
        <f t="shared" si="7"/>
        <v>-</v>
      </c>
    </row>
    <row r="462" spans="1:9" x14ac:dyDescent="0.25">
      <c r="A462">
        <v>5355</v>
      </c>
      <c r="B462" t="s">
        <v>1673</v>
      </c>
      <c r="C462" t="s">
        <v>1674</v>
      </c>
      <c r="D462" t="s">
        <v>146</v>
      </c>
      <c r="F462">
        <v>1</v>
      </c>
      <c r="G462">
        <v>1</v>
      </c>
      <c r="H462" s="1296">
        <v>1</v>
      </c>
      <c r="I462" t="str">
        <f t="shared" si="7"/>
        <v>-</v>
      </c>
    </row>
    <row r="463" spans="1:9" x14ac:dyDescent="0.25">
      <c r="A463">
        <v>5409</v>
      </c>
      <c r="B463" t="s">
        <v>802</v>
      </c>
      <c r="C463" t="s">
        <v>1676</v>
      </c>
      <c r="D463" t="s">
        <v>922</v>
      </c>
      <c r="F463">
        <v>1</v>
      </c>
      <c r="G463">
        <v>50</v>
      </c>
      <c r="H463" s="1296">
        <v>50</v>
      </c>
      <c r="I463" t="str">
        <f t="shared" si="7"/>
        <v>-</v>
      </c>
    </row>
    <row r="464" spans="1:9" x14ac:dyDescent="0.25">
      <c r="A464">
        <v>5476</v>
      </c>
      <c r="B464" t="s">
        <v>802</v>
      </c>
      <c r="C464" t="s">
        <v>1677</v>
      </c>
      <c r="D464" t="s">
        <v>1678</v>
      </c>
      <c r="F464">
        <v>10</v>
      </c>
      <c r="G464">
        <v>5</v>
      </c>
      <c r="H464" s="1296">
        <v>50</v>
      </c>
      <c r="I464" t="str">
        <f t="shared" si="7"/>
        <v>-</v>
      </c>
    </row>
    <row r="465" spans="1:9" x14ac:dyDescent="0.25">
      <c r="A465">
        <v>5525</v>
      </c>
      <c r="B465" t="s">
        <v>802</v>
      </c>
      <c r="C465" t="s">
        <v>1679</v>
      </c>
      <c r="D465" t="s">
        <v>721</v>
      </c>
      <c r="E465" t="s">
        <v>406</v>
      </c>
      <c r="F465">
        <v>1</v>
      </c>
      <c r="G465">
        <v>100</v>
      </c>
      <c r="H465" s="1296">
        <v>100</v>
      </c>
      <c r="I465" t="str">
        <f t="shared" si="7"/>
        <v>-</v>
      </c>
    </row>
    <row r="466" spans="1:9" x14ac:dyDescent="0.25">
      <c r="A466">
        <v>5567</v>
      </c>
      <c r="B466" t="s">
        <v>809</v>
      </c>
      <c r="C466" t="s">
        <v>1680</v>
      </c>
      <c r="D466" t="s">
        <v>1681</v>
      </c>
      <c r="F466">
        <v>15</v>
      </c>
      <c r="G466">
        <v>1</v>
      </c>
      <c r="H466" s="1296">
        <v>15</v>
      </c>
      <c r="I466" t="str">
        <f t="shared" si="7"/>
        <v>-</v>
      </c>
    </row>
    <row r="467" spans="1:9" x14ac:dyDescent="0.25">
      <c r="A467">
        <v>5598</v>
      </c>
      <c r="B467" t="s">
        <v>812</v>
      </c>
      <c r="C467" t="s">
        <v>1440</v>
      </c>
      <c r="D467" t="s">
        <v>1441</v>
      </c>
      <c r="F467">
        <v>10</v>
      </c>
      <c r="G467">
        <v>1</v>
      </c>
      <c r="H467" s="1296">
        <v>10</v>
      </c>
      <c r="I467" t="str">
        <f t="shared" si="7"/>
        <v>-</v>
      </c>
    </row>
    <row r="468" spans="1:9" x14ac:dyDescent="0.25">
      <c r="A468">
        <v>5688</v>
      </c>
      <c r="B468" t="s">
        <v>816</v>
      </c>
      <c r="C468" t="s">
        <v>1691</v>
      </c>
      <c r="D468" t="s">
        <v>1692</v>
      </c>
      <c r="E468" t="s">
        <v>1693</v>
      </c>
      <c r="F468">
        <v>10</v>
      </c>
      <c r="G468">
        <v>1</v>
      </c>
      <c r="H468" s="1296">
        <v>10</v>
      </c>
      <c r="I468" t="str">
        <f t="shared" si="7"/>
        <v>-</v>
      </c>
    </row>
    <row r="469" spans="1:9" x14ac:dyDescent="0.25">
      <c r="A469">
        <v>5692</v>
      </c>
      <c r="B469" t="s">
        <v>816</v>
      </c>
      <c r="C469" t="s">
        <v>1691</v>
      </c>
      <c r="D469" t="s">
        <v>815</v>
      </c>
      <c r="E469" t="s">
        <v>690</v>
      </c>
      <c r="F469">
        <v>0</v>
      </c>
      <c r="G469">
        <v>0</v>
      </c>
      <c r="H469" s="1296">
        <v>0</v>
      </c>
      <c r="I469" t="str">
        <f t="shared" si="7"/>
        <v>-</v>
      </c>
    </row>
    <row r="470" spans="1:9" x14ac:dyDescent="0.25">
      <c r="A470">
        <v>5734</v>
      </c>
      <c r="B470" t="s">
        <v>825</v>
      </c>
      <c r="C470" t="s">
        <v>1699</v>
      </c>
      <c r="D470" t="s">
        <v>1692</v>
      </c>
      <c r="E470" t="s">
        <v>1693</v>
      </c>
      <c r="F470">
        <v>10</v>
      </c>
      <c r="G470">
        <v>1</v>
      </c>
      <c r="H470" s="1296">
        <v>10</v>
      </c>
      <c r="I470" t="str">
        <f t="shared" si="7"/>
        <v>-</v>
      </c>
    </row>
    <row r="471" spans="1:9" x14ac:dyDescent="0.25">
      <c r="A471">
        <v>5780</v>
      </c>
      <c r="B471" t="s">
        <v>825</v>
      </c>
      <c r="C471" t="s">
        <v>1701</v>
      </c>
      <c r="D471" t="s">
        <v>1692</v>
      </c>
      <c r="E471" t="s">
        <v>1702</v>
      </c>
      <c r="F471">
        <v>30</v>
      </c>
      <c r="G471">
        <v>1</v>
      </c>
      <c r="H471" s="1296">
        <v>30</v>
      </c>
      <c r="I471" t="str">
        <f t="shared" si="7"/>
        <v>-</v>
      </c>
    </row>
    <row r="472" spans="1:9" x14ac:dyDescent="0.25">
      <c r="A472">
        <v>5826</v>
      </c>
      <c r="B472" t="s">
        <v>825</v>
      </c>
      <c r="C472" t="s">
        <v>1705</v>
      </c>
      <c r="D472" t="s">
        <v>1692</v>
      </c>
      <c r="E472" t="s">
        <v>1706</v>
      </c>
      <c r="F472">
        <v>16</v>
      </c>
      <c r="G472">
        <v>1</v>
      </c>
      <c r="H472" s="1296">
        <v>16</v>
      </c>
      <c r="I472" t="str">
        <f t="shared" si="7"/>
        <v>-</v>
      </c>
    </row>
    <row r="473" spans="1:9" x14ac:dyDescent="0.25">
      <c r="A473">
        <v>5872</v>
      </c>
      <c r="B473" t="s">
        <v>828</v>
      </c>
      <c r="C473" t="s">
        <v>1708</v>
      </c>
      <c r="D473" t="s">
        <v>1249</v>
      </c>
      <c r="F473">
        <v>2</v>
      </c>
      <c r="G473">
        <v>10</v>
      </c>
      <c r="H473" s="1296">
        <v>20</v>
      </c>
      <c r="I473" t="str">
        <f t="shared" si="7"/>
        <v>-</v>
      </c>
    </row>
    <row r="474" spans="1:9" x14ac:dyDescent="0.25">
      <c r="A474">
        <v>5873</v>
      </c>
      <c r="B474" t="s">
        <v>828</v>
      </c>
      <c r="C474" t="s">
        <v>1708</v>
      </c>
      <c r="D474" t="s">
        <v>563</v>
      </c>
      <c r="F474">
        <v>3</v>
      </c>
      <c r="G474">
        <v>10</v>
      </c>
      <c r="H474" s="1296">
        <v>30</v>
      </c>
      <c r="I474" t="str">
        <f t="shared" si="7"/>
        <v>-</v>
      </c>
    </row>
    <row r="475" spans="1:9" x14ac:dyDescent="0.25">
      <c r="A475">
        <v>5875</v>
      </c>
      <c r="B475" t="s">
        <v>828</v>
      </c>
      <c r="C475" t="s">
        <v>1708</v>
      </c>
      <c r="D475" t="s">
        <v>239</v>
      </c>
      <c r="F475">
        <v>3</v>
      </c>
      <c r="G475">
        <v>2</v>
      </c>
      <c r="H475" s="1296">
        <v>6</v>
      </c>
      <c r="I475" t="str">
        <f t="shared" si="7"/>
        <v>-</v>
      </c>
    </row>
    <row r="476" spans="1:9" x14ac:dyDescent="0.25">
      <c r="A476">
        <v>5877</v>
      </c>
      <c r="B476" t="s">
        <v>828</v>
      </c>
      <c r="C476" t="s">
        <v>1708</v>
      </c>
      <c r="D476" t="s">
        <v>1709</v>
      </c>
      <c r="E476" t="s">
        <v>445</v>
      </c>
      <c r="F476">
        <v>1</v>
      </c>
      <c r="G476">
        <v>100</v>
      </c>
      <c r="H476" s="1296">
        <v>100</v>
      </c>
      <c r="I476" t="str">
        <f t="shared" si="7"/>
        <v>-</v>
      </c>
    </row>
    <row r="477" spans="1:9" x14ac:dyDescent="0.25">
      <c r="A477">
        <v>5879</v>
      </c>
      <c r="B477" t="s">
        <v>828</v>
      </c>
      <c r="C477" t="s">
        <v>1708</v>
      </c>
      <c r="D477" t="s">
        <v>1711</v>
      </c>
      <c r="E477" t="s">
        <v>406</v>
      </c>
      <c r="F477">
        <v>1</v>
      </c>
      <c r="G477">
        <v>100</v>
      </c>
      <c r="H477" s="1296">
        <v>100</v>
      </c>
      <c r="I477" t="str">
        <f t="shared" si="7"/>
        <v>-</v>
      </c>
    </row>
    <row r="478" spans="1:9" x14ac:dyDescent="0.25">
      <c r="A478">
        <v>5916</v>
      </c>
      <c r="B478" t="s">
        <v>830</v>
      </c>
      <c r="C478" t="s">
        <v>1461</v>
      </c>
      <c r="D478" t="s">
        <v>1681</v>
      </c>
      <c r="F478">
        <v>15</v>
      </c>
      <c r="G478">
        <v>1</v>
      </c>
      <c r="H478" s="1296">
        <v>15</v>
      </c>
      <c r="I478" t="str">
        <f t="shared" si="7"/>
        <v>-</v>
      </c>
    </row>
    <row r="479" spans="1:9" x14ac:dyDescent="0.25">
      <c r="A479">
        <v>5921</v>
      </c>
      <c r="B479" t="s">
        <v>830</v>
      </c>
      <c r="C479" t="s">
        <v>1461</v>
      </c>
      <c r="D479" t="s">
        <v>573</v>
      </c>
      <c r="F479">
        <v>1</v>
      </c>
      <c r="G479">
        <v>5</v>
      </c>
      <c r="H479" s="1296">
        <v>5</v>
      </c>
      <c r="I479" t="str">
        <f t="shared" si="7"/>
        <v>-</v>
      </c>
    </row>
    <row r="480" spans="1:9" x14ac:dyDescent="0.25">
      <c r="A480">
        <v>5964</v>
      </c>
      <c r="B480" t="s">
        <v>832</v>
      </c>
      <c r="C480" t="s">
        <v>1520</v>
      </c>
      <c r="D480" t="s">
        <v>482</v>
      </c>
      <c r="F480">
        <v>5</v>
      </c>
      <c r="G480">
        <v>1</v>
      </c>
      <c r="H480" s="1296">
        <v>5</v>
      </c>
      <c r="I480" t="str">
        <f t="shared" si="7"/>
        <v>-</v>
      </c>
    </row>
    <row r="481" spans="1:9" x14ac:dyDescent="0.25">
      <c r="A481">
        <v>5967</v>
      </c>
      <c r="B481" t="s">
        <v>832</v>
      </c>
      <c r="C481" t="s">
        <v>1520</v>
      </c>
      <c r="D481" t="s">
        <v>890</v>
      </c>
      <c r="F481">
        <v>5</v>
      </c>
      <c r="G481">
        <v>10</v>
      </c>
      <c r="H481" s="1296">
        <v>50</v>
      </c>
      <c r="I481" t="str">
        <f t="shared" si="7"/>
        <v>-</v>
      </c>
    </row>
    <row r="482" spans="1:9" x14ac:dyDescent="0.25">
      <c r="A482">
        <v>6008</v>
      </c>
      <c r="B482" t="s">
        <v>832</v>
      </c>
      <c r="C482" t="s">
        <v>1713</v>
      </c>
      <c r="D482" t="s">
        <v>60</v>
      </c>
      <c r="E482" t="s">
        <v>142</v>
      </c>
      <c r="F482">
        <v>2</v>
      </c>
      <c r="G482">
        <v>5</v>
      </c>
      <c r="H482" s="1296">
        <v>10</v>
      </c>
      <c r="I482" t="str">
        <f t="shared" si="7"/>
        <v>-</v>
      </c>
    </row>
    <row r="483" spans="1:9" x14ac:dyDescent="0.25">
      <c r="A483">
        <v>6054</v>
      </c>
      <c r="B483" t="s">
        <v>832</v>
      </c>
      <c r="C483" t="s">
        <v>1442</v>
      </c>
      <c r="D483" t="s">
        <v>1441</v>
      </c>
      <c r="F483">
        <v>10</v>
      </c>
      <c r="G483">
        <v>1</v>
      </c>
      <c r="H483" s="1296">
        <v>10</v>
      </c>
      <c r="I483" t="str">
        <f t="shared" si="7"/>
        <v>-</v>
      </c>
    </row>
    <row r="484" spans="1:9" x14ac:dyDescent="0.25">
      <c r="A484">
        <v>6055</v>
      </c>
      <c r="B484" t="s">
        <v>832</v>
      </c>
      <c r="C484" t="s">
        <v>1442</v>
      </c>
      <c r="D484" t="s">
        <v>1447</v>
      </c>
      <c r="F484">
        <v>1</v>
      </c>
      <c r="G484">
        <v>10</v>
      </c>
      <c r="H484" s="1296">
        <v>10</v>
      </c>
      <c r="I484" t="str">
        <f t="shared" si="7"/>
        <v>-</v>
      </c>
    </row>
    <row r="485" spans="1:9" x14ac:dyDescent="0.25">
      <c r="A485">
        <v>6098</v>
      </c>
      <c r="B485" t="s">
        <v>837</v>
      </c>
      <c r="C485" t="s">
        <v>1714</v>
      </c>
      <c r="D485" t="s">
        <v>1715</v>
      </c>
      <c r="E485" t="s">
        <v>94</v>
      </c>
      <c r="F485">
        <v>2</v>
      </c>
      <c r="G485">
        <v>5</v>
      </c>
      <c r="H485" s="1296">
        <v>10</v>
      </c>
      <c r="I485" t="str">
        <f t="shared" si="7"/>
        <v>-</v>
      </c>
    </row>
    <row r="486" spans="1:9" x14ac:dyDescent="0.25">
      <c r="A486">
        <v>6144</v>
      </c>
      <c r="B486" t="s">
        <v>837</v>
      </c>
      <c r="C486" t="s">
        <v>1716</v>
      </c>
      <c r="D486" t="s">
        <v>1717</v>
      </c>
      <c r="E486" t="s">
        <v>445</v>
      </c>
      <c r="F486">
        <v>1</v>
      </c>
      <c r="G486">
        <v>300</v>
      </c>
      <c r="H486" s="1296">
        <v>300</v>
      </c>
      <c r="I486" t="str">
        <f t="shared" si="7"/>
        <v>-</v>
      </c>
    </row>
    <row r="487" spans="1:9" x14ac:dyDescent="0.25">
      <c r="A487">
        <v>6146</v>
      </c>
      <c r="B487" t="s">
        <v>837</v>
      </c>
      <c r="C487" t="s">
        <v>1716</v>
      </c>
      <c r="D487" t="s">
        <v>138</v>
      </c>
      <c r="E487" t="s">
        <v>384</v>
      </c>
      <c r="F487">
        <v>1</v>
      </c>
      <c r="G487">
        <v>6</v>
      </c>
      <c r="H487" s="1296">
        <v>6</v>
      </c>
      <c r="I487" t="str">
        <f t="shared" si="7"/>
        <v>-</v>
      </c>
    </row>
    <row r="488" spans="1:9" x14ac:dyDescent="0.25">
      <c r="A488">
        <v>6147</v>
      </c>
      <c r="B488" t="s">
        <v>837</v>
      </c>
      <c r="C488" t="s">
        <v>1716</v>
      </c>
      <c r="D488" t="s">
        <v>1718</v>
      </c>
      <c r="E488" t="s">
        <v>379</v>
      </c>
      <c r="F488">
        <v>1</v>
      </c>
      <c r="G488">
        <v>6</v>
      </c>
      <c r="H488" s="1296">
        <v>6</v>
      </c>
      <c r="I488" t="str">
        <f t="shared" si="7"/>
        <v>-</v>
      </c>
    </row>
    <row r="489" spans="1:9" x14ac:dyDescent="0.25">
      <c r="A489">
        <v>6149</v>
      </c>
      <c r="B489" t="s">
        <v>837</v>
      </c>
      <c r="C489" t="s">
        <v>1716</v>
      </c>
      <c r="D489" t="s">
        <v>1719</v>
      </c>
      <c r="E489" t="s">
        <v>419</v>
      </c>
      <c r="F489">
        <v>1</v>
      </c>
      <c r="G489">
        <v>200</v>
      </c>
      <c r="H489" s="1296">
        <v>200</v>
      </c>
      <c r="I489" t="str">
        <f t="shared" si="7"/>
        <v>-</v>
      </c>
    </row>
    <row r="490" spans="1:9" x14ac:dyDescent="0.25">
      <c r="A490">
        <v>6151</v>
      </c>
      <c r="B490" t="s">
        <v>837</v>
      </c>
      <c r="C490" t="s">
        <v>1716</v>
      </c>
      <c r="D490" t="s">
        <v>145</v>
      </c>
      <c r="E490" t="s">
        <v>383</v>
      </c>
      <c r="F490">
        <v>1</v>
      </c>
      <c r="G490">
        <v>25</v>
      </c>
      <c r="H490" s="1296">
        <v>25</v>
      </c>
      <c r="I490" t="str">
        <f t="shared" si="7"/>
        <v>-</v>
      </c>
    </row>
    <row r="491" spans="1:9" x14ac:dyDescent="0.25">
      <c r="A491">
        <v>6152</v>
      </c>
      <c r="B491" t="s">
        <v>837</v>
      </c>
      <c r="C491" t="s">
        <v>1716</v>
      </c>
      <c r="D491" t="s">
        <v>250</v>
      </c>
      <c r="E491" t="s">
        <v>424</v>
      </c>
      <c r="F491">
        <v>1</v>
      </c>
      <c r="G491">
        <v>25</v>
      </c>
      <c r="H491" s="1296">
        <v>25</v>
      </c>
      <c r="I491" t="str">
        <f t="shared" si="7"/>
        <v>-</v>
      </c>
    </row>
    <row r="492" spans="1:9" x14ac:dyDescent="0.25">
      <c r="A492">
        <v>6154</v>
      </c>
      <c r="B492" t="s">
        <v>837</v>
      </c>
      <c r="C492" t="s">
        <v>1716</v>
      </c>
      <c r="D492" t="s">
        <v>239</v>
      </c>
      <c r="F492">
        <v>2</v>
      </c>
      <c r="G492">
        <v>2</v>
      </c>
      <c r="H492" s="1296">
        <v>4</v>
      </c>
      <c r="I492" t="str">
        <f t="shared" si="7"/>
        <v>-</v>
      </c>
    </row>
    <row r="493" spans="1:9" x14ac:dyDescent="0.25">
      <c r="A493">
        <v>6190</v>
      </c>
      <c r="B493" t="s">
        <v>843</v>
      </c>
      <c r="C493" t="s">
        <v>1414</v>
      </c>
      <c r="D493" t="s">
        <v>239</v>
      </c>
      <c r="E493" t="s">
        <v>445</v>
      </c>
      <c r="F493">
        <v>4</v>
      </c>
      <c r="G493">
        <v>2</v>
      </c>
      <c r="H493" s="1296">
        <v>8</v>
      </c>
      <c r="I493" t="str">
        <f t="shared" si="7"/>
        <v>-</v>
      </c>
    </row>
    <row r="494" spans="1:9" x14ac:dyDescent="0.25">
      <c r="A494">
        <v>6191</v>
      </c>
      <c r="B494" t="s">
        <v>843</v>
      </c>
      <c r="C494" t="s">
        <v>1414</v>
      </c>
      <c r="D494" t="s">
        <v>1076</v>
      </c>
      <c r="E494" t="s">
        <v>1164</v>
      </c>
      <c r="F494">
        <v>20</v>
      </c>
      <c r="G494">
        <v>1</v>
      </c>
      <c r="H494" s="1296">
        <v>20</v>
      </c>
      <c r="I494" t="str">
        <f t="shared" si="7"/>
        <v>-</v>
      </c>
    </row>
    <row r="495" spans="1:9" x14ac:dyDescent="0.25">
      <c r="A495">
        <v>6192</v>
      </c>
      <c r="B495" t="s">
        <v>843</v>
      </c>
      <c r="C495" t="s">
        <v>1414</v>
      </c>
      <c r="D495" t="s">
        <v>1447</v>
      </c>
      <c r="F495">
        <v>2</v>
      </c>
      <c r="G495">
        <v>10</v>
      </c>
      <c r="H495" s="1296">
        <v>20</v>
      </c>
      <c r="I495" t="str">
        <f t="shared" si="7"/>
        <v>-</v>
      </c>
    </row>
    <row r="496" spans="1:9" x14ac:dyDescent="0.25">
      <c r="A496">
        <v>6194</v>
      </c>
      <c r="B496" t="s">
        <v>843</v>
      </c>
      <c r="C496" t="s">
        <v>1414</v>
      </c>
      <c r="D496" t="s">
        <v>145</v>
      </c>
      <c r="E496" t="s">
        <v>383</v>
      </c>
      <c r="F496">
        <v>1</v>
      </c>
      <c r="G496">
        <v>25</v>
      </c>
      <c r="H496" s="1296">
        <v>25</v>
      </c>
      <c r="I496" t="str">
        <f t="shared" si="7"/>
        <v>-</v>
      </c>
    </row>
    <row r="497" spans="1:9" x14ac:dyDescent="0.25">
      <c r="A497">
        <v>6195</v>
      </c>
      <c r="B497" t="s">
        <v>843</v>
      </c>
      <c r="C497" t="s">
        <v>1414</v>
      </c>
      <c r="D497" t="s">
        <v>126</v>
      </c>
      <c r="E497" t="s">
        <v>434</v>
      </c>
      <c r="F497">
        <v>1</v>
      </c>
      <c r="G497">
        <v>25</v>
      </c>
      <c r="H497" s="1296">
        <v>25</v>
      </c>
      <c r="I497" t="str">
        <f t="shared" si="7"/>
        <v>-</v>
      </c>
    </row>
    <row r="498" spans="1:9" x14ac:dyDescent="0.25">
      <c r="A498">
        <v>6196</v>
      </c>
      <c r="B498" t="s">
        <v>843</v>
      </c>
      <c r="C498" t="s">
        <v>1414</v>
      </c>
      <c r="D498" t="s">
        <v>295</v>
      </c>
      <c r="E498" t="s">
        <v>424</v>
      </c>
      <c r="F498">
        <v>1</v>
      </c>
      <c r="G498">
        <v>25</v>
      </c>
      <c r="H498" s="1296">
        <v>25</v>
      </c>
      <c r="I498" t="str">
        <f t="shared" si="7"/>
        <v>-</v>
      </c>
    </row>
    <row r="499" spans="1:9" x14ac:dyDescent="0.25">
      <c r="A499">
        <v>6198</v>
      </c>
      <c r="B499" t="s">
        <v>843</v>
      </c>
      <c r="C499" t="s">
        <v>1414</v>
      </c>
      <c r="D499" t="s">
        <v>136</v>
      </c>
      <c r="E499" t="s">
        <v>387</v>
      </c>
      <c r="F499">
        <v>1</v>
      </c>
      <c r="G499">
        <v>6</v>
      </c>
      <c r="H499" s="1296">
        <v>6</v>
      </c>
      <c r="I499" t="str">
        <f t="shared" si="7"/>
        <v>-</v>
      </c>
    </row>
    <row r="500" spans="1:9" x14ac:dyDescent="0.25">
      <c r="A500">
        <v>6200</v>
      </c>
      <c r="B500" t="s">
        <v>843</v>
      </c>
      <c r="C500" t="s">
        <v>1414</v>
      </c>
      <c r="D500" t="s">
        <v>315</v>
      </c>
      <c r="E500" t="s">
        <v>298</v>
      </c>
      <c r="F500">
        <v>2</v>
      </c>
      <c r="G500">
        <v>5</v>
      </c>
      <c r="H500" s="1296">
        <v>10</v>
      </c>
      <c r="I500" t="str">
        <f t="shared" si="7"/>
        <v>-</v>
      </c>
    </row>
    <row r="501" spans="1:9" x14ac:dyDescent="0.25">
      <c r="A501">
        <v>6201</v>
      </c>
      <c r="B501" t="s">
        <v>843</v>
      </c>
      <c r="C501" t="s">
        <v>1414</v>
      </c>
      <c r="D501" t="s">
        <v>126</v>
      </c>
      <c r="E501" t="s">
        <v>325</v>
      </c>
      <c r="F501">
        <v>1</v>
      </c>
      <c r="G501">
        <v>5</v>
      </c>
      <c r="H501" s="1296">
        <v>5</v>
      </c>
      <c r="I501" t="str">
        <f t="shared" si="7"/>
        <v>-</v>
      </c>
    </row>
    <row r="502" spans="1:9" x14ac:dyDescent="0.25">
      <c r="A502">
        <v>6240</v>
      </c>
      <c r="B502" t="s">
        <v>843</v>
      </c>
      <c r="C502" t="s">
        <v>1721</v>
      </c>
      <c r="D502" t="s">
        <v>138</v>
      </c>
      <c r="E502" t="s">
        <v>335</v>
      </c>
      <c r="F502">
        <v>1</v>
      </c>
      <c r="G502">
        <v>5</v>
      </c>
      <c r="H502" s="1296">
        <v>5</v>
      </c>
      <c r="I502" t="str">
        <f t="shared" si="7"/>
        <v>-</v>
      </c>
    </row>
    <row r="503" spans="1:9" x14ac:dyDescent="0.25">
      <c r="A503">
        <v>6282</v>
      </c>
      <c r="B503" t="s">
        <v>843</v>
      </c>
      <c r="C503" t="s">
        <v>1722</v>
      </c>
      <c r="D503" t="s">
        <v>76</v>
      </c>
      <c r="E503" t="s">
        <v>376</v>
      </c>
      <c r="F503">
        <v>5</v>
      </c>
      <c r="G503">
        <v>6</v>
      </c>
      <c r="H503" s="1296">
        <v>30</v>
      </c>
      <c r="I503" t="str">
        <f t="shared" si="7"/>
        <v>-</v>
      </c>
    </row>
    <row r="504" spans="1:9" x14ac:dyDescent="0.25">
      <c r="A504">
        <v>6326</v>
      </c>
      <c r="B504" t="s">
        <v>847</v>
      </c>
      <c r="C504" t="s">
        <v>1723</v>
      </c>
      <c r="D504" t="s">
        <v>1719</v>
      </c>
      <c r="E504" t="s">
        <v>419</v>
      </c>
      <c r="F504">
        <v>4</v>
      </c>
      <c r="G504">
        <v>200</v>
      </c>
      <c r="H504" s="1296">
        <v>800</v>
      </c>
      <c r="I504" t="str">
        <f t="shared" si="7"/>
        <v>-</v>
      </c>
    </row>
    <row r="505" spans="1:9" x14ac:dyDescent="0.25">
      <c r="A505">
        <v>6383</v>
      </c>
      <c r="B505" t="s">
        <v>849</v>
      </c>
      <c r="C505" t="s">
        <v>1725</v>
      </c>
      <c r="D505" t="s">
        <v>127</v>
      </c>
      <c r="E505" t="s">
        <v>439</v>
      </c>
      <c r="F505">
        <v>1</v>
      </c>
      <c r="G505">
        <v>25</v>
      </c>
      <c r="H505" s="1296">
        <v>25</v>
      </c>
      <c r="I505" t="str">
        <f t="shared" si="7"/>
        <v>-</v>
      </c>
    </row>
    <row r="506" spans="1:9" x14ac:dyDescent="0.25">
      <c r="A506">
        <v>6385</v>
      </c>
      <c r="B506" t="s">
        <v>849</v>
      </c>
      <c r="C506" t="s">
        <v>1725</v>
      </c>
      <c r="D506" t="s">
        <v>599</v>
      </c>
      <c r="E506" t="s">
        <v>372</v>
      </c>
      <c r="F506">
        <v>1</v>
      </c>
      <c r="G506">
        <v>6</v>
      </c>
      <c r="H506" s="1296">
        <v>6</v>
      </c>
      <c r="I506" t="str">
        <f t="shared" si="7"/>
        <v>-</v>
      </c>
    </row>
    <row r="507" spans="1:9" x14ac:dyDescent="0.25">
      <c r="A507">
        <v>6386</v>
      </c>
      <c r="B507" t="s">
        <v>849</v>
      </c>
      <c r="C507" t="s">
        <v>1725</v>
      </c>
      <c r="D507" t="s">
        <v>63</v>
      </c>
      <c r="E507" t="s">
        <v>371</v>
      </c>
      <c r="F507">
        <v>1</v>
      </c>
      <c r="G507">
        <v>6</v>
      </c>
      <c r="H507" s="1296">
        <v>6</v>
      </c>
      <c r="I507" t="str">
        <f t="shared" si="7"/>
        <v>-</v>
      </c>
    </row>
    <row r="508" spans="1:9" x14ac:dyDescent="0.25">
      <c r="A508">
        <v>6387</v>
      </c>
      <c r="B508" t="s">
        <v>849</v>
      </c>
      <c r="C508" t="s">
        <v>1725</v>
      </c>
      <c r="D508" t="s">
        <v>80</v>
      </c>
      <c r="E508" t="s">
        <v>376</v>
      </c>
      <c r="F508">
        <v>1</v>
      </c>
      <c r="G508">
        <v>6</v>
      </c>
      <c r="H508" s="1296">
        <v>6</v>
      </c>
      <c r="I508" t="str">
        <f t="shared" si="7"/>
        <v>-</v>
      </c>
    </row>
    <row r="509" spans="1:9" x14ac:dyDescent="0.25">
      <c r="A509">
        <v>6388</v>
      </c>
      <c r="B509" t="s">
        <v>849</v>
      </c>
      <c r="C509" t="s">
        <v>1725</v>
      </c>
      <c r="D509" t="s">
        <v>145</v>
      </c>
      <c r="E509" t="s">
        <v>381</v>
      </c>
      <c r="F509">
        <v>1</v>
      </c>
      <c r="G509">
        <v>6</v>
      </c>
      <c r="H509" s="1296">
        <v>6</v>
      </c>
      <c r="I509" t="str">
        <f t="shared" si="7"/>
        <v>-</v>
      </c>
    </row>
    <row r="510" spans="1:9" x14ac:dyDescent="0.25">
      <c r="A510">
        <v>6389</v>
      </c>
      <c r="B510" t="s">
        <v>849</v>
      </c>
      <c r="C510" t="s">
        <v>1725</v>
      </c>
      <c r="D510" t="s">
        <v>125</v>
      </c>
      <c r="E510" t="s">
        <v>386</v>
      </c>
      <c r="F510">
        <v>2</v>
      </c>
      <c r="G510">
        <v>4</v>
      </c>
      <c r="H510" s="1296">
        <v>8</v>
      </c>
      <c r="I510" t="str">
        <f t="shared" si="7"/>
        <v>-</v>
      </c>
    </row>
    <row r="511" spans="1:9" x14ac:dyDescent="0.25">
      <c r="A511">
        <v>6390</v>
      </c>
      <c r="B511" t="s">
        <v>849</v>
      </c>
      <c r="C511" t="s">
        <v>1725</v>
      </c>
      <c r="D511" t="s">
        <v>136</v>
      </c>
      <c r="E511" t="s">
        <v>387</v>
      </c>
      <c r="F511">
        <v>1</v>
      </c>
      <c r="G511">
        <v>6</v>
      </c>
      <c r="H511" s="1296">
        <v>6</v>
      </c>
      <c r="I511" t="str">
        <f t="shared" si="7"/>
        <v>-</v>
      </c>
    </row>
    <row r="512" spans="1:9" x14ac:dyDescent="0.25">
      <c r="A512">
        <v>6391</v>
      </c>
      <c r="B512" t="s">
        <v>849</v>
      </c>
      <c r="C512" t="s">
        <v>1725</v>
      </c>
      <c r="D512" t="s">
        <v>127</v>
      </c>
      <c r="E512" t="s">
        <v>398</v>
      </c>
      <c r="F512">
        <v>1</v>
      </c>
      <c r="G512">
        <v>6</v>
      </c>
      <c r="H512" s="1296">
        <v>6</v>
      </c>
      <c r="I512" t="str">
        <f t="shared" si="7"/>
        <v>-</v>
      </c>
    </row>
    <row r="513" spans="1:9" x14ac:dyDescent="0.25">
      <c r="A513">
        <v>6392</v>
      </c>
      <c r="B513" t="s">
        <v>849</v>
      </c>
      <c r="C513" t="s">
        <v>1725</v>
      </c>
      <c r="D513" t="s">
        <v>905</v>
      </c>
      <c r="E513" t="s">
        <v>401</v>
      </c>
      <c r="F513">
        <v>1</v>
      </c>
      <c r="G513">
        <v>6</v>
      </c>
      <c r="H513" s="1296">
        <v>6</v>
      </c>
      <c r="I513" t="str">
        <f t="shared" si="7"/>
        <v>-</v>
      </c>
    </row>
    <row r="514" spans="1:9" x14ac:dyDescent="0.25">
      <c r="A514">
        <v>6393</v>
      </c>
      <c r="B514" t="s">
        <v>849</v>
      </c>
      <c r="C514" t="s">
        <v>1725</v>
      </c>
      <c r="D514" t="s">
        <v>1728</v>
      </c>
      <c r="E514" t="s">
        <v>402</v>
      </c>
      <c r="F514">
        <v>1</v>
      </c>
      <c r="G514">
        <v>6</v>
      </c>
      <c r="H514" s="1296">
        <v>6</v>
      </c>
      <c r="I514" t="str">
        <f t="shared" ref="I514:I577" si="8">INDEX($N$2:$N$355,MATCH($A514,$L$2:$L$355,1))</f>
        <v>-</v>
      </c>
    </row>
    <row r="515" spans="1:9" x14ac:dyDescent="0.25">
      <c r="A515">
        <v>6426</v>
      </c>
      <c r="B515" t="s">
        <v>849</v>
      </c>
      <c r="C515" t="s">
        <v>1729</v>
      </c>
      <c r="D515" t="s">
        <v>60</v>
      </c>
      <c r="E515" t="s">
        <v>61</v>
      </c>
      <c r="F515">
        <v>4</v>
      </c>
      <c r="G515">
        <v>25</v>
      </c>
      <c r="H515" s="1296">
        <v>100</v>
      </c>
      <c r="I515" t="str">
        <f t="shared" si="8"/>
        <v>-</v>
      </c>
    </row>
    <row r="516" spans="1:9" x14ac:dyDescent="0.25">
      <c r="A516">
        <v>6427</v>
      </c>
      <c r="B516" t="s">
        <v>849</v>
      </c>
      <c r="C516" t="s">
        <v>1729</v>
      </c>
      <c r="D516" t="s">
        <v>126</v>
      </c>
      <c r="E516" t="s">
        <v>434</v>
      </c>
      <c r="F516">
        <v>1</v>
      </c>
      <c r="G516">
        <v>25</v>
      </c>
      <c r="H516" s="1296">
        <v>25</v>
      </c>
      <c r="I516" t="str">
        <f t="shared" si="8"/>
        <v>-</v>
      </c>
    </row>
    <row r="517" spans="1:9" x14ac:dyDescent="0.25">
      <c r="A517">
        <v>6428</v>
      </c>
      <c r="B517" t="s">
        <v>849</v>
      </c>
      <c r="C517" t="s">
        <v>1729</v>
      </c>
      <c r="D517" t="s">
        <v>15</v>
      </c>
      <c r="E517" t="s">
        <v>442</v>
      </c>
      <c r="F517">
        <v>2</v>
      </c>
      <c r="G517">
        <v>25</v>
      </c>
      <c r="H517" s="1296">
        <v>50</v>
      </c>
      <c r="I517" t="str">
        <f t="shared" si="8"/>
        <v>-</v>
      </c>
    </row>
    <row r="518" spans="1:9" x14ac:dyDescent="0.25">
      <c r="A518">
        <v>6430</v>
      </c>
      <c r="B518" t="s">
        <v>849</v>
      </c>
      <c r="C518" t="s">
        <v>1729</v>
      </c>
      <c r="D518" t="s">
        <v>78</v>
      </c>
      <c r="E518" t="s">
        <v>5</v>
      </c>
      <c r="F518">
        <v>5</v>
      </c>
      <c r="G518">
        <v>24</v>
      </c>
      <c r="H518" s="1296">
        <v>120</v>
      </c>
      <c r="I518" t="str">
        <f t="shared" si="8"/>
        <v>-</v>
      </c>
    </row>
    <row r="519" spans="1:9" x14ac:dyDescent="0.25">
      <c r="A519">
        <v>6471</v>
      </c>
      <c r="B519" t="s">
        <v>849</v>
      </c>
      <c r="C519" t="s">
        <v>1731</v>
      </c>
      <c r="D519" t="s">
        <v>1732</v>
      </c>
      <c r="E519" t="s">
        <v>433</v>
      </c>
      <c r="F519">
        <v>4</v>
      </c>
      <c r="G519">
        <v>25</v>
      </c>
      <c r="H519" s="1296">
        <v>100</v>
      </c>
      <c r="I519" t="str">
        <f t="shared" si="8"/>
        <v>-</v>
      </c>
    </row>
    <row r="520" spans="1:9" x14ac:dyDescent="0.25">
      <c r="A520">
        <v>6516</v>
      </c>
      <c r="B520" t="s">
        <v>858</v>
      </c>
      <c r="C520" t="s">
        <v>1422</v>
      </c>
      <c r="D520" t="s">
        <v>1733</v>
      </c>
      <c r="E520" t="s">
        <v>1179</v>
      </c>
      <c r="F520">
        <v>1</v>
      </c>
      <c r="G520">
        <v>300</v>
      </c>
      <c r="H520" s="1296">
        <v>300</v>
      </c>
      <c r="I520" t="str">
        <f t="shared" si="8"/>
        <v>-</v>
      </c>
    </row>
    <row r="521" spans="1:9" x14ac:dyDescent="0.25">
      <c r="A521">
        <v>6518</v>
      </c>
      <c r="B521" t="s">
        <v>858</v>
      </c>
      <c r="C521" t="s">
        <v>1422</v>
      </c>
      <c r="D521" t="s">
        <v>1735</v>
      </c>
      <c r="F521">
        <v>5</v>
      </c>
      <c r="G521">
        <v>5</v>
      </c>
      <c r="H521" s="1296">
        <v>25</v>
      </c>
      <c r="I521" t="str">
        <f t="shared" si="8"/>
        <v>-</v>
      </c>
    </row>
    <row r="522" spans="1:9" x14ac:dyDescent="0.25">
      <c r="A522">
        <v>6520</v>
      </c>
      <c r="B522" t="s">
        <v>858</v>
      </c>
      <c r="C522" t="s">
        <v>1422</v>
      </c>
      <c r="D522" t="s">
        <v>1076</v>
      </c>
      <c r="E522" t="s">
        <v>1164</v>
      </c>
      <c r="F522">
        <v>10</v>
      </c>
      <c r="G522">
        <v>1</v>
      </c>
      <c r="H522" s="1296">
        <v>10</v>
      </c>
      <c r="I522" t="str">
        <f t="shared" si="8"/>
        <v>-</v>
      </c>
    </row>
    <row r="523" spans="1:9" x14ac:dyDescent="0.25">
      <c r="A523">
        <v>6521</v>
      </c>
      <c r="B523" t="s">
        <v>858</v>
      </c>
      <c r="C523" t="s">
        <v>1422</v>
      </c>
      <c r="D523" t="s">
        <v>1434</v>
      </c>
      <c r="F523">
        <v>1</v>
      </c>
      <c r="G523">
        <v>10</v>
      </c>
      <c r="H523" s="1296">
        <v>10</v>
      </c>
      <c r="I523" t="str">
        <f t="shared" si="8"/>
        <v>-</v>
      </c>
    </row>
    <row r="524" spans="1:9" x14ac:dyDescent="0.25">
      <c r="A524">
        <v>6523</v>
      </c>
      <c r="B524" t="s">
        <v>858</v>
      </c>
      <c r="C524" t="s">
        <v>1422</v>
      </c>
      <c r="D524" t="s">
        <v>1737</v>
      </c>
      <c r="E524" t="s">
        <v>371</v>
      </c>
      <c r="F524">
        <v>1</v>
      </c>
      <c r="G524">
        <v>6</v>
      </c>
      <c r="H524" s="1296">
        <v>6</v>
      </c>
      <c r="I524" t="str">
        <f t="shared" si="8"/>
        <v>-</v>
      </c>
    </row>
    <row r="525" spans="1:9" x14ac:dyDescent="0.25">
      <c r="A525">
        <v>6524</v>
      </c>
      <c r="B525" t="s">
        <v>858</v>
      </c>
      <c r="C525" t="s">
        <v>1422</v>
      </c>
      <c r="D525" t="s">
        <v>1737</v>
      </c>
      <c r="E525" t="s">
        <v>371</v>
      </c>
      <c r="F525">
        <v>4</v>
      </c>
      <c r="G525">
        <v>1</v>
      </c>
      <c r="H525" s="1296">
        <v>4</v>
      </c>
      <c r="I525" t="str">
        <f t="shared" si="8"/>
        <v>-</v>
      </c>
    </row>
    <row r="526" spans="1:9" x14ac:dyDescent="0.25">
      <c r="A526">
        <v>6559</v>
      </c>
      <c r="B526" t="s">
        <v>858</v>
      </c>
      <c r="C526" t="s">
        <v>1738</v>
      </c>
      <c r="D526" t="s">
        <v>56</v>
      </c>
      <c r="E526" t="s">
        <v>406</v>
      </c>
      <c r="F526">
        <v>1</v>
      </c>
      <c r="G526">
        <v>200</v>
      </c>
      <c r="H526" s="1296">
        <v>200</v>
      </c>
      <c r="I526" t="str">
        <f t="shared" si="8"/>
        <v>-</v>
      </c>
    </row>
    <row r="527" spans="1:9" x14ac:dyDescent="0.25">
      <c r="A527">
        <v>6604</v>
      </c>
      <c r="B527" t="s">
        <v>866</v>
      </c>
      <c r="C527" t="s">
        <v>1428</v>
      </c>
      <c r="D527" t="s">
        <v>1739</v>
      </c>
      <c r="E527" t="s">
        <v>445</v>
      </c>
      <c r="F527">
        <v>1</v>
      </c>
      <c r="G527">
        <v>48</v>
      </c>
      <c r="H527" s="1296">
        <v>48</v>
      </c>
      <c r="I527" t="str">
        <f t="shared" si="8"/>
        <v>-</v>
      </c>
    </row>
    <row r="528" spans="1:9" x14ac:dyDescent="0.25">
      <c r="A528">
        <v>6606</v>
      </c>
      <c r="B528" t="s">
        <v>866</v>
      </c>
      <c r="C528" t="s">
        <v>1428</v>
      </c>
      <c r="D528" t="s">
        <v>1076</v>
      </c>
      <c r="E528" t="s">
        <v>1164</v>
      </c>
      <c r="F528">
        <v>20</v>
      </c>
      <c r="G528">
        <v>1</v>
      </c>
      <c r="H528" s="1296">
        <v>20</v>
      </c>
      <c r="I528" t="str">
        <f t="shared" si="8"/>
        <v>-</v>
      </c>
    </row>
    <row r="529" spans="1:9" x14ac:dyDescent="0.25">
      <c r="A529">
        <v>6607</v>
      </c>
      <c r="B529" t="s">
        <v>866</v>
      </c>
      <c r="C529" t="s">
        <v>1428</v>
      </c>
      <c r="D529" t="s">
        <v>1434</v>
      </c>
      <c r="F529">
        <v>2</v>
      </c>
      <c r="G529">
        <v>10</v>
      </c>
      <c r="H529" s="1296">
        <v>20</v>
      </c>
      <c r="I529" t="str">
        <f t="shared" si="8"/>
        <v>-</v>
      </c>
    </row>
    <row r="530" spans="1:9" x14ac:dyDescent="0.25">
      <c r="A530">
        <v>6608</v>
      </c>
      <c r="B530" t="s">
        <v>866</v>
      </c>
      <c r="C530" t="s">
        <v>1428</v>
      </c>
      <c r="D530" t="s">
        <v>1740</v>
      </c>
      <c r="F530">
        <v>1</v>
      </c>
      <c r="G530">
        <v>1</v>
      </c>
      <c r="H530" s="1296">
        <v>1</v>
      </c>
      <c r="I530" t="str">
        <f t="shared" si="8"/>
        <v>-</v>
      </c>
    </row>
    <row r="531" spans="1:9" x14ac:dyDescent="0.25">
      <c r="A531">
        <v>6610</v>
      </c>
      <c r="B531" t="s">
        <v>866</v>
      </c>
      <c r="C531" t="s">
        <v>1428</v>
      </c>
      <c r="D531" t="s">
        <v>1741</v>
      </c>
      <c r="E531" t="s">
        <v>433</v>
      </c>
      <c r="F531">
        <v>1</v>
      </c>
      <c r="G531">
        <v>25</v>
      </c>
      <c r="H531" s="1296">
        <v>25</v>
      </c>
      <c r="I531" t="str">
        <f t="shared" si="8"/>
        <v>-</v>
      </c>
    </row>
    <row r="532" spans="1:9" x14ac:dyDescent="0.25">
      <c r="A532">
        <v>6611</v>
      </c>
      <c r="B532" t="s">
        <v>866</v>
      </c>
      <c r="C532" t="s">
        <v>1428</v>
      </c>
      <c r="D532" t="s">
        <v>1742</v>
      </c>
      <c r="E532" t="s">
        <v>432</v>
      </c>
      <c r="F532">
        <v>2</v>
      </c>
      <c r="G532">
        <v>25</v>
      </c>
      <c r="H532" s="1296">
        <v>50</v>
      </c>
      <c r="I532" t="str">
        <f t="shared" si="8"/>
        <v>-</v>
      </c>
    </row>
    <row r="533" spans="1:9" x14ac:dyDescent="0.25">
      <c r="A533">
        <v>6612</v>
      </c>
      <c r="B533" t="s">
        <v>866</v>
      </c>
      <c r="C533" t="s">
        <v>1428</v>
      </c>
      <c r="D533" t="s">
        <v>15</v>
      </c>
      <c r="E533" t="s">
        <v>442</v>
      </c>
      <c r="F533">
        <v>1</v>
      </c>
      <c r="G533">
        <v>25</v>
      </c>
      <c r="H533" s="1296">
        <v>25</v>
      </c>
      <c r="I533" t="str">
        <f t="shared" si="8"/>
        <v>-</v>
      </c>
    </row>
    <row r="534" spans="1:9" x14ac:dyDescent="0.25">
      <c r="A534">
        <v>6613</v>
      </c>
      <c r="B534" t="s">
        <v>866</v>
      </c>
      <c r="C534" t="s">
        <v>1428</v>
      </c>
      <c r="D534" t="s">
        <v>295</v>
      </c>
      <c r="E534" t="s">
        <v>424</v>
      </c>
      <c r="F534">
        <v>1</v>
      </c>
      <c r="G534">
        <v>25</v>
      </c>
      <c r="H534" s="1296">
        <v>25</v>
      </c>
      <c r="I534" t="str">
        <f t="shared" si="8"/>
        <v>-</v>
      </c>
    </row>
    <row r="535" spans="1:9" x14ac:dyDescent="0.25">
      <c r="A535">
        <v>6614</v>
      </c>
      <c r="B535" t="s">
        <v>866</v>
      </c>
      <c r="C535" t="s">
        <v>1428</v>
      </c>
      <c r="D535" t="s">
        <v>145</v>
      </c>
      <c r="E535" t="s">
        <v>383</v>
      </c>
      <c r="F535">
        <v>1</v>
      </c>
      <c r="G535">
        <v>25</v>
      </c>
      <c r="H535" s="1296">
        <v>25</v>
      </c>
      <c r="I535" t="str">
        <f t="shared" si="8"/>
        <v>-</v>
      </c>
    </row>
    <row r="536" spans="1:9" x14ac:dyDescent="0.25">
      <c r="A536">
        <v>6616</v>
      </c>
      <c r="B536" t="s">
        <v>866</v>
      </c>
      <c r="C536" t="s">
        <v>1428</v>
      </c>
      <c r="D536" t="s">
        <v>1745</v>
      </c>
      <c r="F536">
        <v>3</v>
      </c>
      <c r="G536">
        <v>10</v>
      </c>
      <c r="H536" s="1296">
        <v>30</v>
      </c>
      <c r="I536" t="str">
        <f t="shared" si="8"/>
        <v>-</v>
      </c>
    </row>
    <row r="537" spans="1:9" x14ac:dyDescent="0.25">
      <c r="A537">
        <v>6618</v>
      </c>
      <c r="B537" t="s">
        <v>866</v>
      </c>
      <c r="C537" t="s">
        <v>1428</v>
      </c>
      <c r="D537" t="s">
        <v>1746</v>
      </c>
      <c r="E537" t="s">
        <v>387</v>
      </c>
      <c r="F537">
        <v>1</v>
      </c>
      <c r="G537">
        <v>6</v>
      </c>
      <c r="H537" s="1296">
        <v>6</v>
      </c>
      <c r="I537" t="str">
        <f t="shared" si="8"/>
        <v>-</v>
      </c>
    </row>
    <row r="538" spans="1:9" x14ac:dyDescent="0.25">
      <c r="A538">
        <v>6619</v>
      </c>
      <c r="B538" t="s">
        <v>866</v>
      </c>
      <c r="C538" t="s">
        <v>1428</v>
      </c>
      <c r="D538" t="s">
        <v>685</v>
      </c>
      <c r="E538" t="s">
        <v>359</v>
      </c>
      <c r="F538">
        <v>1</v>
      </c>
      <c r="G538">
        <v>6</v>
      </c>
      <c r="H538" s="1296">
        <v>6</v>
      </c>
      <c r="I538" t="str">
        <f t="shared" si="8"/>
        <v>-</v>
      </c>
    </row>
    <row r="539" spans="1:9" x14ac:dyDescent="0.25">
      <c r="A539">
        <v>6621</v>
      </c>
      <c r="B539" t="s">
        <v>866</v>
      </c>
      <c r="C539" t="s">
        <v>1428</v>
      </c>
      <c r="D539" t="s">
        <v>1747</v>
      </c>
      <c r="F539">
        <v>1</v>
      </c>
      <c r="G539">
        <v>5</v>
      </c>
      <c r="H539" s="1296">
        <v>5</v>
      </c>
      <c r="I539" t="str">
        <f t="shared" si="8"/>
        <v>-</v>
      </c>
    </row>
    <row r="540" spans="1:9" x14ac:dyDescent="0.25">
      <c r="A540">
        <v>6623</v>
      </c>
      <c r="B540" t="s">
        <v>866</v>
      </c>
      <c r="C540" t="s">
        <v>1428</v>
      </c>
      <c r="D540" t="s">
        <v>1719</v>
      </c>
      <c r="E540" t="s">
        <v>419</v>
      </c>
      <c r="F540">
        <v>2</v>
      </c>
      <c r="G540">
        <v>200</v>
      </c>
      <c r="H540" s="1296">
        <v>400</v>
      </c>
      <c r="I540" t="str">
        <f t="shared" si="8"/>
        <v>-</v>
      </c>
    </row>
    <row r="541" spans="1:9" x14ac:dyDescent="0.25">
      <c r="A541">
        <v>6650</v>
      </c>
      <c r="B541" t="s">
        <v>866</v>
      </c>
      <c r="C541" t="s">
        <v>1749</v>
      </c>
      <c r="D541" t="s">
        <v>239</v>
      </c>
      <c r="F541">
        <v>3</v>
      </c>
      <c r="G541">
        <v>2</v>
      </c>
      <c r="H541" s="1296">
        <v>6</v>
      </c>
      <c r="I541" t="str">
        <f t="shared" si="8"/>
        <v>-</v>
      </c>
    </row>
    <row r="542" spans="1:9" x14ac:dyDescent="0.25">
      <c r="A542">
        <v>6697</v>
      </c>
      <c r="B542" t="s">
        <v>869</v>
      </c>
      <c r="C542" t="s">
        <v>1502</v>
      </c>
      <c r="D542" t="s">
        <v>1249</v>
      </c>
      <c r="F542">
        <v>5</v>
      </c>
      <c r="G542">
        <v>10</v>
      </c>
      <c r="H542" s="1296">
        <v>50</v>
      </c>
      <c r="I542" t="str">
        <f t="shared" si="8"/>
        <v>-</v>
      </c>
    </row>
    <row r="543" spans="1:9" x14ac:dyDescent="0.25">
      <c r="A543">
        <v>6698</v>
      </c>
      <c r="B543" t="s">
        <v>869</v>
      </c>
      <c r="C543" t="s">
        <v>1502</v>
      </c>
      <c r="D543" t="s">
        <v>563</v>
      </c>
      <c r="F543">
        <v>5</v>
      </c>
      <c r="G543">
        <v>10</v>
      </c>
      <c r="H543" s="1296">
        <v>50</v>
      </c>
      <c r="I543" t="str">
        <f t="shared" si="8"/>
        <v>-</v>
      </c>
    </row>
    <row r="544" spans="1:9" x14ac:dyDescent="0.25">
      <c r="A544">
        <v>6700</v>
      </c>
      <c r="B544" t="s">
        <v>869</v>
      </c>
      <c r="C544" t="s">
        <v>1502</v>
      </c>
      <c r="D544" t="s">
        <v>1504</v>
      </c>
      <c r="E544" t="s">
        <v>1505</v>
      </c>
      <c r="F544">
        <v>4</v>
      </c>
      <c r="G544">
        <v>100</v>
      </c>
      <c r="H544" s="1296">
        <v>400</v>
      </c>
      <c r="I544" t="str">
        <f t="shared" si="8"/>
        <v>-</v>
      </c>
    </row>
    <row r="545" spans="1:9" x14ac:dyDescent="0.25">
      <c r="A545">
        <v>6702</v>
      </c>
      <c r="B545" t="s">
        <v>869</v>
      </c>
      <c r="C545" t="s">
        <v>1502</v>
      </c>
      <c r="D545" t="s">
        <v>63</v>
      </c>
      <c r="E545" t="s">
        <v>371</v>
      </c>
      <c r="F545">
        <v>1</v>
      </c>
      <c r="G545">
        <v>6</v>
      </c>
      <c r="H545" s="1296">
        <v>6</v>
      </c>
      <c r="I545" t="str">
        <f t="shared" si="8"/>
        <v>-</v>
      </c>
    </row>
    <row r="546" spans="1:9" x14ac:dyDescent="0.25">
      <c r="A546">
        <v>6703</v>
      </c>
      <c r="B546" t="s">
        <v>869</v>
      </c>
      <c r="C546" t="s">
        <v>1502</v>
      </c>
      <c r="D546" t="s">
        <v>599</v>
      </c>
      <c r="E546" t="s">
        <v>372</v>
      </c>
      <c r="F546">
        <v>1</v>
      </c>
      <c r="G546">
        <v>6</v>
      </c>
      <c r="H546" s="1296">
        <v>6</v>
      </c>
      <c r="I546" t="str">
        <f t="shared" si="8"/>
        <v>-</v>
      </c>
    </row>
    <row r="547" spans="1:9" x14ac:dyDescent="0.25">
      <c r="A547">
        <v>6742</v>
      </c>
      <c r="B547" t="s">
        <v>871</v>
      </c>
      <c r="C547" t="s">
        <v>1750</v>
      </c>
      <c r="D547" t="s">
        <v>118</v>
      </c>
      <c r="E547" t="s">
        <v>204</v>
      </c>
      <c r="F547">
        <v>1</v>
      </c>
      <c r="G547">
        <v>5</v>
      </c>
      <c r="H547" s="1296">
        <v>5</v>
      </c>
      <c r="I547" t="str">
        <f t="shared" si="8"/>
        <v>-</v>
      </c>
    </row>
    <row r="548" spans="1:9" x14ac:dyDescent="0.25">
      <c r="A548">
        <v>6744</v>
      </c>
      <c r="B548" t="s">
        <v>871</v>
      </c>
      <c r="C548" t="s">
        <v>1750</v>
      </c>
      <c r="D548" t="s">
        <v>239</v>
      </c>
      <c r="F548">
        <v>3</v>
      </c>
      <c r="G548">
        <v>2</v>
      </c>
      <c r="H548" s="1296">
        <v>6</v>
      </c>
      <c r="I548" t="str">
        <f t="shared" si="8"/>
        <v>-</v>
      </c>
    </row>
    <row r="549" spans="1:9" x14ac:dyDescent="0.25">
      <c r="A549">
        <v>6746</v>
      </c>
      <c r="B549" t="s">
        <v>871</v>
      </c>
      <c r="C549" t="s">
        <v>1750</v>
      </c>
      <c r="D549" t="s">
        <v>1249</v>
      </c>
      <c r="F549">
        <v>3</v>
      </c>
      <c r="G549">
        <v>10</v>
      </c>
      <c r="H549" s="1296">
        <v>30</v>
      </c>
      <c r="I549" t="str">
        <f t="shared" si="8"/>
        <v>-</v>
      </c>
    </row>
    <row r="550" spans="1:9" x14ac:dyDescent="0.25">
      <c r="A550">
        <v>6747</v>
      </c>
      <c r="B550" t="s">
        <v>871</v>
      </c>
      <c r="C550" t="s">
        <v>1750</v>
      </c>
      <c r="D550" t="s">
        <v>563</v>
      </c>
      <c r="F550">
        <v>3</v>
      </c>
      <c r="G550">
        <v>10</v>
      </c>
      <c r="H550" s="1296">
        <v>30</v>
      </c>
      <c r="I550" t="str">
        <f t="shared" si="8"/>
        <v>-</v>
      </c>
    </row>
    <row r="551" spans="1:9" x14ac:dyDescent="0.25">
      <c r="A551">
        <v>6749</v>
      </c>
      <c r="B551" t="s">
        <v>871</v>
      </c>
      <c r="C551" t="s">
        <v>1750</v>
      </c>
      <c r="D551" t="s">
        <v>138</v>
      </c>
      <c r="E551" t="s">
        <v>384</v>
      </c>
      <c r="F551">
        <v>1</v>
      </c>
      <c r="G551">
        <v>6</v>
      </c>
      <c r="H551" s="1296">
        <v>6</v>
      </c>
      <c r="I551" t="str">
        <f t="shared" si="8"/>
        <v>-</v>
      </c>
    </row>
    <row r="552" spans="1:9" x14ac:dyDescent="0.25">
      <c r="A552">
        <v>6789</v>
      </c>
      <c r="B552" t="s">
        <v>873</v>
      </c>
      <c r="C552" t="s">
        <v>1471</v>
      </c>
      <c r="D552" t="s">
        <v>1473</v>
      </c>
      <c r="E552" t="s">
        <v>1474</v>
      </c>
      <c r="F552">
        <v>2</v>
      </c>
      <c r="G552">
        <v>1</v>
      </c>
      <c r="H552" s="1296">
        <v>2</v>
      </c>
      <c r="I552" t="str">
        <f t="shared" si="8"/>
        <v>-</v>
      </c>
    </row>
    <row r="553" spans="1:9" x14ac:dyDescent="0.25">
      <c r="A553">
        <v>6834</v>
      </c>
      <c r="B553" t="s">
        <v>875</v>
      </c>
      <c r="C553" t="s">
        <v>1753</v>
      </c>
      <c r="D553" t="s">
        <v>1735</v>
      </c>
      <c r="F553">
        <v>2</v>
      </c>
      <c r="G553">
        <v>5</v>
      </c>
      <c r="H553" s="1296">
        <v>10</v>
      </c>
      <c r="I553" t="str">
        <f t="shared" si="8"/>
        <v>-</v>
      </c>
    </row>
    <row r="554" spans="1:9" x14ac:dyDescent="0.25">
      <c r="A554">
        <v>6879</v>
      </c>
      <c r="B554" t="s">
        <v>875</v>
      </c>
      <c r="C554" t="s">
        <v>1755</v>
      </c>
      <c r="D554" t="s">
        <v>1249</v>
      </c>
      <c r="F554">
        <v>2</v>
      </c>
      <c r="G554">
        <v>10</v>
      </c>
      <c r="H554" s="1296">
        <v>20</v>
      </c>
      <c r="I554" t="str">
        <f t="shared" si="8"/>
        <v>-</v>
      </c>
    </row>
    <row r="555" spans="1:9" x14ac:dyDescent="0.25">
      <c r="A555">
        <v>6881</v>
      </c>
      <c r="B555" t="s">
        <v>875</v>
      </c>
      <c r="C555" t="s">
        <v>1755</v>
      </c>
      <c r="D555" t="s">
        <v>3</v>
      </c>
      <c r="E555" t="s">
        <v>4</v>
      </c>
      <c r="F555">
        <v>1</v>
      </c>
      <c r="G555">
        <v>5</v>
      </c>
      <c r="H555" s="1296">
        <v>5</v>
      </c>
      <c r="I555" t="str">
        <f t="shared" si="8"/>
        <v>-</v>
      </c>
    </row>
    <row r="556" spans="1:9" x14ac:dyDescent="0.25">
      <c r="A556">
        <v>6925</v>
      </c>
      <c r="B556" t="s">
        <v>880</v>
      </c>
      <c r="C556" t="s">
        <v>1756</v>
      </c>
      <c r="D556" t="s">
        <v>239</v>
      </c>
      <c r="F556">
        <v>10</v>
      </c>
      <c r="G556">
        <v>2</v>
      </c>
      <c r="H556" s="1296">
        <v>20</v>
      </c>
      <c r="I556" t="str">
        <f t="shared" si="8"/>
        <v>-</v>
      </c>
    </row>
    <row r="557" spans="1:9" x14ac:dyDescent="0.25">
      <c r="A557">
        <v>6927</v>
      </c>
      <c r="B557" t="s">
        <v>880</v>
      </c>
      <c r="C557" t="s">
        <v>1756</v>
      </c>
      <c r="D557" t="s">
        <v>3</v>
      </c>
      <c r="E557" t="s">
        <v>4</v>
      </c>
      <c r="F557">
        <v>6</v>
      </c>
      <c r="G557">
        <v>5</v>
      </c>
      <c r="H557" s="1296">
        <v>30</v>
      </c>
      <c r="I557" t="str">
        <f t="shared" si="8"/>
        <v>-</v>
      </c>
    </row>
    <row r="558" spans="1:9" x14ac:dyDescent="0.25">
      <c r="A558">
        <v>6971</v>
      </c>
      <c r="B558" t="s">
        <v>880</v>
      </c>
      <c r="C558" t="s">
        <v>1757</v>
      </c>
      <c r="D558" t="s">
        <v>3</v>
      </c>
      <c r="E558" t="s">
        <v>4</v>
      </c>
      <c r="F558">
        <v>5</v>
      </c>
      <c r="G558">
        <v>5</v>
      </c>
      <c r="H558" s="1296">
        <v>25</v>
      </c>
      <c r="I558" t="str">
        <f t="shared" si="8"/>
        <v>-</v>
      </c>
    </row>
    <row r="559" spans="1:9" x14ac:dyDescent="0.25">
      <c r="A559">
        <v>6973</v>
      </c>
      <c r="B559" t="s">
        <v>880</v>
      </c>
      <c r="C559" t="s">
        <v>1757</v>
      </c>
      <c r="D559" t="s">
        <v>126</v>
      </c>
      <c r="E559" t="s">
        <v>434</v>
      </c>
      <c r="F559">
        <v>2</v>
      </c>
      <c r="G559">
        <v>25</v>
      </c>
      <c r="H559" s="1296">
        <v>50</v>
      </c>
      <c r="I559" t="str">
        <f t="shared" si="8"/>
        <v>-</v>
      </c>
    </row>
    <row r="560" spans="1:9" x14ac:dyDescent="0.25">
      <c r="A560">
        <v>6975</v>
      </c>
      <c r="B560" t="s">
        <v>880</v>
      </c>
      <c r="C560" t="s">
        <v>1757</v>
      </c>
      <c r="D560" t="s">
        <v>226</v>
      </c>
      <c r="E560" t="s">
        <v>449</v>
      </c>
      <c r="F560">
        <v>1</v>
      </c>
      <c r="G560">
        <v>249</v>
      </c>
      <c r="H560" s="1296">
        <v>249</v>
      </c>
      <c r="I560" t="str">
        <f t="shared" si="8"/>
        <v>-</v>
      </c>
    </row>
    <row r="561" spans="1:9" x14ac:dyDescent="0.25">
      <c r="A561">
        <v>7017</v>
      </c>
      <c r="B561" t="s">
        <v>880</v>
      </c>
      <c r="C561" t="s">
        <v>1758</v>
      </c>
      <c r="D561" t="s">
        <v>80</v>
      </c>
      <c r="E561" t="s">
        <v>376</v>
      </c>
      <c r="F561">
        <v>1</v>
      </c>
      <c r="G561">
        <v>6</v>
      </c>
      <c r="H561" s="1296">
        <v>6</v>
      </c>
      <c r="I561" t="str">
        <f t="shared" si="8"/>
        <v>-</v>
      </c>
    </row>
    <row r="562" spans="1:9" x14ac:dyDescent="0.25">
      <c r="A562">
        <v>7062</v>
      </c>
      <c r="B562" t="s">
        <v>884</v>
      </c>
      <c r="C562" t="s">
        <v>1759</v>
      </c>
      <c r="D562" t="s">
        <v>1760</v>
      </c>
      <c r="E562" t="s">
        <v>66</v>
      </c>
      <c r="F562">
        <v>1</v>
      </c>
      <c r="G562">
        <v>5</v>
      </c>
      <c r="H562" s="1296">
        <v>5</v>
      </c>
      <c r="I562" t="str">
        <f t="shared" si="8"/>
        <v>-</v>
      </c>
    </row>
    <row r="563" spans="1:9" x14ac:dyDescent="0.25">
      <c r="A563">
        <v>7107</v>
      </c>
      <c r="B563" t="s">
        <v>884</v>
      </c>
      <c r="C563" t="s">
        <v>1761</v>
      </c>
      <c r="D563" t="s">
        <v>63</v>
      </c>
      <c r="E563" t="s">
        <v>54</v>
      </c>
      <c r="F563">
        <v>2</v>
      </c>
      <c r="G563">
        <v>5</v>
      </c>
      <c r="H563" s="1296">
        <v>10</v>
      </c>
      <c r="I563" t="str">
        <f t="shared" si="8"/>
        <v>-</v>
      </c>
    </row>
    <row r="564" spans="1:9" x14ac:dyDescent="0.25">
      <c r="A564">
        <v>7108</v>
      </c>
      <c r="B564" t="s">
        <v>884</v>
      </c>
      <c r="C564" t="s">
        <v>1761</v>
      </c>
      <c r="D564" t="s">
        <v>664</v>
      </c>
      <c r="F564">
        <v>2</v>
      </c>
      <c r="G564">
        <v>5</v>
      </c>
      <c r="H564" s="1296">
        <v>10</v>
      </c>
      <c r="I564" t="str">
        <f t="shared" si="8"/>
        <v>-</v>
      </c>
    </row>
    <row r="565" spans="1:9" x14ac:dyDescent="0.25">
      <c r="A565">
        <v>7109</v>
      </c>
      <c r="B565" t="s">
        <v>884</v>
      </c>
      <c r="C565" t="s">
        <v>1761</v>
      </c>
      <c r="D565" t="s">
        <v>669</v>
      </c>
      <c r="F565">
        <v>1</v>
      </c>
      <c r="G565">
        <v>5</v>
      </c>
      <c r="H565" s="1296">
        <v>5</v>
      </c>
      <c r="I565" t="str">
        <f t="shared" si="8"/>
        <v>-</v>
      </c>
    </row>
    <row r="566" spans="1:9" x14ac:dyDescent="0.25">
      <c r="A566">
        <v>7111</v>
      </c>
      <c r="B566" t="s">
        <v>884</v>
      </c>
      <c r="C566" t="s">
        <v>1761</v>
      </c>
      <c r="D566" t="s">
        <v>136</v>
      </c>
      <c r="E566" t="s">
        <v>387</v>
      </c>
      <c r="F566">
        <v>2</v>
      </c>
      <c r="G566">
        <v>6</v>
      </c>
      <c r="H566" s="1296">
        <v>12</v>
      </c>
      <c r="I566" t="str">
        <f t="shared" si="8"/>
        <v>-</v>
      </c>
    </row>
    <row r="567" spans="1:9" x14ac:dyDescent="0.25">
      <c r="A567">
        <v>7112</v>
      </c>
      <c r="B567" t="s">
        <v>884</v>
      </c>
      <c r="C567" t="s">
        <v>1761</v>
      </c>
      <c r="D567" t="s">
        <v>696</v>
      </c>
      <c r="E567" t="s">
        <v>362</v>
      </c>
      <c r="F567">
        <v>1</v>
      </c>
      <c r="G567">
        <v>6</v>
      </c>
      <c r="H567" s="1296">
        <v>6</v>
      </c>
      <c r="I567" t="str">
        <f t="shared" si="8"/>
        <v>-</v>
      </c>
    </row>
    <row r="568" spans="1:9" x14ac:dyDescent="0.25">
      <c r="A568">
        <v>7113</v>
      </c>
      <c r="B568" t="s">
        <v>884</v>
      </c>
      <c r="C568" t="s">
        <v>1761</v>
      </c>
      <c r="D568" t="s">
        <v>80</v>
      </c>
      <c r="E568" t="s">
        <v>376</v>
      </c>
      <c r="F568">
        <v>2</v>
      </c>
      <c r="G568">
        <v>6</v>
      </c>
      <c r="H568" s="1296">
        <v>12</v>
      </c>
      <c r="I568" t="str">
        <f t="shared" si="8"/>
        <v>-</v>
      </c>
    </row>
    <row r="569" spans="1:9" x14ac:dyDescent="0.25">
      <c r="A569">
        <v>7114</v>
      </c>
      <c r="B569" t="s">
        <v>884</v>
      </c>
      <c r="C569" t="s">
        <v>1761</v>
      </c>
      <c r="D569" t="s">
        <v>1718</v>
      </c>
      <c r="E569" t="s">
        <v>379</v>
      </c>
      <c r="F569">
        <v>1</v>
      </c>
      <c r="G569">
        <v>6</v>
      </c>
      <c r="H569" s="1296">
        <v>6</v>
      </c>
      <c r="I569" t="str">
        <f t="shared" si="8"/>
        <v>-</v>
      </c>
    </row>
    <row r="570" spans="1:9" x14ac:dyDescent="0.25">
      <c r="A570">
        <v>7115</v>
      </c>
      <c r="B570" t="s">
        <v>884</v>
      </c>
      <c r="C570" t="s">
        <v>1761</v>
      </c>
      <c r="D570" t="s">
        <v>685</v>
      </c>
      <c r="E570" t="s">
        <v>359</v>
      </c>
      <c r="F570">
        <v>1</v>
      </c>
      <c r="G570">
        <v>6</v>
      </c>
      <c r="H570" s="1296">
        <v>6</v>
      </c>
      <c r="I570" t="str">
        <f t="shared" si="8"/>
        <v>-</v>
      </c>
    </row>
    <row r="571" spans="1:9" x14ac:dyDescent="0.25">
      <c r="A571">
        <v>7117</v>
      </c>
      <c r="B571" t="s">
        <v>884</v>
      </c>
      <c r="C571" t="s">
        <v>1761</v>
      </c>
      <c r="D571" t="s">
        <v>60</v>
      </c>
      <c r="E571" t="s">
        <v>61</v>
      </c>
      <c r="F571">
        <v>4</v>
      </c>
      <c r="G571">
        <v>25</v>
      </c>
      <c r="H571" s="1296">
        <v>100</v>
      </c>
      <c r="I571" t="str">
        <f t="shared" si="8"/>
        <v>-</v>
      </c>
    </row>
    <row r="572" spans="1:9" x14ac:dyDescent="0.25">
      <c r="A572">
        <v>7118</v>
      </c>
      <c r="B572" t="s">
        <v>884</v>
      </c>
      <c r="C572" t="s">
        <v>1761</v>
      </c>
      <c r="D572" t="s">
        <v>126</v>
      </c>
      <c r="E572" t="s">
        <v>434</v>
      </c>
      <c r="F572">
        <v>2</v>
      </c>
      <c r="G572">
        <v>25</v>
      </c>
      <c r="H572" s="1296">
        <v>50</v>
      </c>
      <c r="I572" t="str">
        <f t="shared" si="8"/>
        <v>-</v>
      </c>
    </row>
    <row r="573" spans="1:9" x14ac:dyDescent="0.25">
      <c r="A573">
        <v>7120</v>
      </c>
      <c r="B573" t="s">
        <v>884</v>
      </c>
      <c r="C573" t="s">
        <v>1761</v>
      </c>
      <c r="D573" t="s">
        <v>931</v>
      </c>
      <c r="E573" t="s">
        <v>1762</v>
      </c>
      <c r="F573">
        <v>20</v>
      </c>
      <c r="G573">
        <v>1</v>
      </c>
      <c r="H573" s="1296">
        <v>20</v>
      </c>
      <c r="I573" t="str">
        <f t="shared" si="8"/>
        <v>-</v>
      </c>
    </row>
    <row r="574" spans="1:9" x14ac:dyDescent="0.25">
      <c r="A574">
        <v>7121</v>
      </c>
      <c r="B574" t="s">
        <v>884</v>
      </c>
      <c r="C574" t="s">
        <v>1761</v>
      </c>
      <c r="D574" t="s">
        <v>931</v>
      </c>
      <c r="E574" t="s">
        <v>1763</v>
      </c>
      <c r="F574">
        <v>2</v>
      </c>
      <c r="G574">
        <v>10</v>
      </c>
      <c r="H574" s="1296">
        <v>20</v>
      </c>
      <c r="I574" t="str">
        <f t="shared" si="8"/>
        <v>-</v>
      </c>
    </row>
    <row r="575" spans="1:9" x14ac:dyDescent="0.25">
      <c r="A575">
        <v>7154</v>
      </c>
      <c r="B575" t="s">
        <v>884</v>
      </c>
      <c r="C575" t="s">
        <v>1764</v>
      </c>
      <c r="D575" t="s">
        <v>673</v>
      </c>
      <c r="F575">
        <v>3</v>
      </c>
      <c r="G575">
        <v>5</v>
      </c>
      <c r="H575" s="1296">
        <v>15</v>
      </c>
      <c r="I575" t="str">
        <f t="shared" si="8"/>
        <v>-</v>
      </c>
    </row>
    <row r="576" spans="1:9" x14ac:dyDescent="0.25">
      <c r="A576">
        <v>7199</v>
      </c>
      <c r="B576" t="s">
        <v>894</v>
      </c>
      <c r="C576" t="s">
        <v>1765</v>
      </c>
      <c r="D576" t="s">
        <v>1766</v>
      </c>
      <c r="E576" t="s">
        <v>25</v>
      </c>
      <c r="F576">
        <v>13</v>
      </c>
      <c r="G576">
        <v>5</v>
      </c>
      <c r="H576" s="1296">
        <v>65</v>
      </c>
      <c r="I576" t="str">
        <f t="shared" si="8"/>
        <v>-</v>
      </c>
    </row>
    <row r="577" spans="1:9" x14ac:dyDescent="0.25">
      <c r="A577">
        <v>7200</v>
      </c>
      <c r="B577" t="s">
        <v>894</v>
      </c>
      <c r="C577" t="s">
        <v>1765</v>
      </c>
      <c r="D577" t="s">
        <v>45</v>
      </c>
      <c r="E577" t="s">
        <v>41</v>
      </c>
      <c r="F577">
        <v>4</v>
      </c>
      <c r="G577">
        <v>5</v>
      </c>
      <c r="H577" s="1296">
        <v>20</v>
      </c>
      <c r="I577" t="str">
        <f t="shared" si="8"/>
        <v>-</v>
      </c>
    </row>
    <row r="578" spans="1:9" x14ac:dyDescent="0.25">
      <c r="A578">
        <v>7201</v>
      </c>
      <c r="B578" t="s">
        <v>894</v>
      </c>
      <c r="C578" t="s">
        <v>1765</v>
      </c>
      <c r="D578" t="s">
        <v>1767</v>
      </c>
      <c r="E578" t="s">
        <v>87</v>
      </c>
      <c r="F578">
        <v>2</v>
      </c>
      <c r="G578">
        <v>5</v>
      </c>
      <c r="H578" s="1296">
        <v>10</v>
      </c>
      <c r="I578" t="str">
        <f t="shared" ref="I578:I641" si="9">INDEX($N$2:$N$355,MATCH($A578,$L$2:$L$355,1))</f>
        <v>-</v>
      </c>
    </row>
    <row r="579" spans="1:9" x14ac:dyDescent="0.25">
      <c r="A579">
        <v>7202</v>
      </c>
      <c r="B579" t="s">
        <v>894</v>
      </c>
      <c r="C579" t="s">
        <v>1765</v>
      </c>
      <c r="D579" t="s">
        <v>1768</v>
      </c>
      <c r="E579" t="s">
        <v>1512</v>
      </c>
      <c r="F579">
        <v>5</v>
      </c>
      <c r="G579">
        <v>10</v>
      </c>
      <c r="H579" s="1296">
        <v>50</v>
      </c>
      <c r="I579" t="str">
        <f t="shared" si="9"/>
        <v>-</v>
      </c>
    </row>
    <row r="580" spans="1:9" x14ac:dyDescent="0.25">
      <c r="A580">
        <v>7203</v>
      </c>
      <c r="B580" t="s">
        <v>894</v>
      </c>
      <c r="C580" t="s">
        <v>1765</v>
      </c>
      <c r="D580" t="s">
        <v>1768</v>
      </c>
      <c r="E580" t="s">
        <v>1481</v>
      </c>
      <c r="F580">
        <v>3</v>
      </c>
      <c r="G580">
        <v>10</v>
      </c>
      <c r="H580" s="1296">
        <v>30</v>
      </c>
      <c r="I580" t="str">
        <f t="shared" si="9"/>
        <v>-</v>
      </c>
    </row>
    <row r="581" spans="1:9" x14ac:dyDescent="0.25">
      <c r="A581">
        <v>7205</v>
      </c>
      <c r="B581" t="s">
        <v>894</v>
      </c>
      <c r="C581" t="s">
        <v>1765</v>
      </c>
      <c r="D581" t="s">
        <v>1770</v>
      </c>
      <c r="E581" t="s">
        <v>1512</v>
      </c>
      <c r="F581">
        <v>5</v>
      </c>
      <c r="G581">
        <v>10</v>
      </c>
      <c r="H581" s="1296">
        <v>50</v>
      </c>
      <c r="I581" t="str">
        <f t="shared" si="9"/>
        <v>-</v>
      </c>
    </row>
    <row r="582" spans="1:9" x14ac:dyDescent="0.25">
      <c r="A582">
        <v>7207</v>
      </c>
      <c r="B582" t="s">
        <v>894</v>
      </c>
      <c r="C582" t="s">
        <v>1765</v>
      </c>
      <c r="D582" t="s">
        <v>1771</v>
      </c>
      <c r="E582" t="s">
        <v>109</v>
      </c>
      <c r="F582">
        <v>24</v>
      </c>
      <c r="G582">
        <v>25</v>
      </c>
      <c r="H582" s="1296">
        <v>600</v>
      </c>
      <c r="I582" t="str">
        <f t="shared" si="9"/>
        <v>-</v>
      </c>
    </row>
    <row r="583" spans="1:9" x14ac:dyDescent="0.25">
      <c r="A583">
        <v>7208</v>
      </c>
      <c r="B583" t="s">
        <v>894</v>
      </c>
      <c r="C583" t="s">
        <v>1765</v>
      </c>
      <c r="D583" t="s">
        <v>226</v>
      </c>
      <c r="E583" t="s">
        <v>427</v>
      </c>
      <c r="F583">
        <v>3</v>
      </c>
      <c r="G583">
        <v>25</v>
      </c>
      <c r="H583" s="1296">
        <v>75</v>
      </c>
      <c r="I583" t="str">
        <f t="shared" si="9"/>
        <v>-</v>
      </c>
    </row>
    <row r="584" spans="1:9" x14ac:dyDescent="0.25">
      <c r="A584">
        <v>7209</v>
      </c>
      <c r="B584" t="s">
        <v>894</v>
      </c>
      <c r="C584" t="s">
        <v>1765</v>
      </c>
      <c r="D584" t="s">
        <v>68</v>
      </c>
      <c r="E584" t="s">
        <v>69</v>
      </c>
      <c r="F584">
        <v>4</v>
      </c>
      <c r="G584">
        <v>25</v>
      </c>
      <c r="H584" s="1296">
        <v>100</v>
      </c>
      <c r="I584" t="str">
        <f t="shared" si="9"/>
        <v>-</v>
      </c>
    </row>
    <row r="585" spans="1:9" x14ac:dyDescent="0.25">
      <c r="A585">
        <v>7210</v>
      </c>
      <c r="B585" t="s">
        <v>894</v>
      </c>
      <c r="C585" t="s">
        <v>1765</v>
      </c>
      <c r="D585" t="s">
        <v>1772</v>
      </c>
      <c r="E585" t="s">
        <v>435</v>
      </c>
      <c r="F585">
        <v>4</v>
      </c>
      <c r="G585">
        <v>25</v>
      </c>
      <c r="H585" s="1296">
        <v>100</v>
      </c>
      <c r="I585" t="str">
        <f t="shared" si="9"/>
        <v>-</v>
      </c>
    </row>
    <row r="586" spans="1:9" x14ac:dyDescent="0.25">
      <c r="A586">
        <v>7212</v>
      </c>
      <c r="B586" t="s">
        <v>894</v>
      </c>
      <c r="C586" t="s">
        <v>1765</v>
      </c>
      <c r="D586" t="s">
        <v>1773</v>
      </c>
      <c r="F586">
        <v>1</v>
      </c>
      <c r="G586">
        <v>300</v>
      </c>
      <c r="H586" s="1296">
        <v>300</v>
      </c>
      <c r="I586" t="str">
        <f t="shared" si="9"/>
        <v>-</v>
      </c>
    </row>
    <row r="587" spans="1:9" x14ac:dyDescent="0.25">
      <c r="A587">
        <v>7215</v>
      </c>
      <c r="B587" t="s">
        <v>894</v>
      </c>
      <c r="C587" t="s">
        <v>1765</v>
      </c>
      <c r="D587" t="s">
        <v>1512</v>
      </c>
      <c r="F587">
        <v>2</v>
      </c>
      <c r="G587">
        <v>100</v>
      </c>
      <c r="H587" s="1296">
        <v>200</v>
      </c>
      <c r="I587" t="str">
        <f t="shared" si="9"/>
        <v>-</v>
      </c>
    </row>
    <row r="588" spans="1:9" x14ac:dyDescent="0.25">
      <c r="A588">
        <v>7216</v>
      </c>
      <c r="B588" t="s">
        <v>894</v>
      </c>
      <c r="C588" t="s">
        <v>1765</v>
      </c>
      <c r="D588" t="s">
        <v>260</v>
      </c>
      <c r="F588">
        <v>1</v>
      </c>
      <c r="G588">
        <v>150</v>
      </c>
      <c r="H588" s="1296">
        <v>150</v>
      </c>
      <c r="I588" t="str">
        <f t="shared" si="9"/>
        <v>-</v>
      </c>
    </row>
    <row r="589" spans="1:9" x14ac:dyDescent="0.25">
      <c r="A589">
        <v>7245</v>
      </c>
      <c r="B589" t="s">
        <v>894</v>
      </c>
      <c r="C589" t="s">
        <v>1776</v>
      </c>
      <c r="D589" t="s">
        <v>1777</v>
      </c>
      <c r="F589">
        <v>20</v>
      </c>
      <c r="G589">
        <v>5</v>
      </c>
      <c r="H589" s="1296">
        <v>100</v>
      </c>
      <c r="I589" t="str">
        <f t="shared" si="9"/>
        <v>-</v>
      </c>
    </row>
    <row r="590" spans="1:9" x14ac:dyDescent="0.25">
      <c r="A590">
        <v>7247</v>
      </c>
      <c r="B590" t="s">
        <v>894</v>
      </c>
      <c r="C590" t="s">
        <v>1776</v>
      </c>
      <c r="D590" t="s">
        <v>1770</v>
      </c>
      <c r="E590" t="s">
        <v>1512</v>
      </c>
      <c r="F590">
        <v>5</v>
      </c>
      <c r="G590">
        <v>10</v>
      </c>
      <c r="H590" s="1296">
        <v>50</v>
      </c>
      <c r="I590" t="str">
        <f t="shared" si="9"/>
        <v>-</v>
      </c>
    </row>
    <row r="591" spans="1:9" x14ac:dyDescent="0.25">
      <c r="A591">
        <v>7248</v>
      </c>
      <c r="B591" t="s">
        <v>894</v>
      </c>
      <c r="C591" t="s">
        <v>1776</v>
      </c>
      <c r="D591" t="s">
        <v>1770</v>
      </c>
      <c r="E591" t="s">
        <v>1481</v>
      </c>
      <c r="F591">
        <v>5</v>
      </c>
      <c r="G591">
        <v>10</v>
      </c>
      <c r="H591" s="1296">
        <v>50</v>
      </c>
      <c r="I591" t="str">
        <f t="shared" si="9"/>
        <v>-</v>
      </c>
    </row>
    <row r="592" spans="1:9" x14ac:dyDescent="0.25">
      <c r="A592">
        <v>7250</v>
      </c>
      <c r="B592" t="s">
        <v>894</v>
      </c>
      <c r="C592" t="s">
        <v>1776</v>
      </c>
      <c r="D592" t="s">
        <v>1771</v>
      </c>
      <c r="E592" t="s">
        <v>109</v>
      </c>
      <c r="F592">
        <v>16</v>
      </c>
      <c r="G592">
        <v>25</v>
      </c>
      <c r="H592" s="1296">
        <v>400</v>
      </c>
      <c r="I592" t="str">
        <f t="shared" si="9"/>
        <v>-</v>
      </c>
    </row>
    <row r="593" spans="1:9" x14ac:dyDescent="0.25">
      <c r="A593">
        <v>7251</v>
      </c>
      <c r="B593" t="s">
        <v>894</v>
      </c>
      <c r="C593" t="s">
        <v>1776</v>
      </c>
      <c r="D593" t="s">
        <v>68</v>
      </c>
      <c r="E593" t="s">
        <v>69</v>
      </c>
      <c r="F593">
        <v>8</v>
      </c>
      <c r="G593">
        <v>25</v>
      </c>
      <c r="H593" s="1296">
        <v>200</v>
      </c>
      <c r="I593" t="str">
        <f t="shared" si="9"/>
        <v>-</v>
      </c>
    </row>
    <row r="594" spans="1:9" x14ac:dyDescent="0.25">
      <c r="A594">
        <v>7253</v>
      </c>
      <c r="B594" t="s">
        <v>894</v>
      </c>
      <c r="C594" t="s">
        <v>1776</v>
      </c>
      <c r="D594" t="s">
        <v>260</v>
      </c>
      <c r="E594" t="s">
        <v>1295</v>
      </c>
      <c r="F594">
        <v>1</v>
      </c>
      <c r="G594">
        <v>100</v>
      </c>
      <c r="H594" s="1296">
        <v>100</v>
      </c>
      <c r="I594" t="str">
        <f t="shared" si="9"/>
        <v>-</v>
      </c>
    </row>
    <row r="595" spans="1:9" x14ac:dyDescent="0.25">
      <c r="A595">
        <v>7291</v>
      </c>
      <c r="B595" t="s">
        <v>894</v>
      </c>
      <c r="C595" t="s">
        <v>1778</v>
      </c>
      <c r="D595" t="s">
        <v>1771</v>
      </c>
      <c r="E595" t="s">
        <v>109</v>
      </c>
      <c r="F595">
        <v>8</v>
      </c>
      <c r="G595">
        <v>25</v>
      </c>
      <c r="H595" s="1296">
        <v>200</v>
      </c>
      <c r="I595" t="str">
        <f t="shared" si="9"/>
        <v>-</v>
      </c>
    </row>
    <row r="596" spans="1:9" x14ac:dyDescent="0.25">
      <c r="A596">
        <v>7293</v>
      </c>
      <c r="B596" t="s">
        <v>894</v>
      </c>
      <c r="C596" t="s">
        <v>1778</v>
      </c>
      <c r="D596" t="s">
        <v>260</v>
      </c>
      <c r="E596" t="s">
        <v>1295</v>
      </c>
      <c r="F596">
        <v>1</v>
      </c>
      <c r="G596">
        <v>100</v>
      </c>
      <c r="H596" s="1296">
        <v>100</v>
      </c>
      <c r="I596" t="str">
        <f t="shared" si="9"/>
        <v>-</v>
      </c>
    </row>
    <row r="597" spans="1:9" x14ac:dyDescent="0.25">
      <c r="A597">
        <v>7337</v>
      </c>
      <c r="B597" t="s">
        <v>894</v>
      </c>
      <c r="C597" t="s">
        <v>1780</v>
      </c>
      <c r="D597" t="s">
        <v>1766</v>
      </c>
      <c r="E597" t="s">
        <v>25</v>
      </c>
      <c r="F597">
        <v>5</v>
      </c>
      <c r="G597">
        <v>5</v>
      </c>
      <c r="H597" s="1296">
        <v>25</v>
      </c>
      <c r="I597" t="str">
        <f t="shared" si="9"/>
        <v>-</v>
      </c>
    </row>
    <row r="598" spans="1:9" x14ac:dyDescent="0.25">
      <c r="A598">
        <v>7338</v>
      </c>
      <c r="B598" t="s">
        <v>894</v>
      </c>
      <c r="C598" t="s">
        <v>1780</v>
      </c>
      <c r="D598" t="s">
        <v>3</v>
      </c>
      <c r="E598" t="s">
        <v>41</v>
      </c>
      <c r="F598">
        <v>4</v>
      </c>
      <c r="G598">
        <v>5</v>
      </c>
      <c r="H598" s="1296">
        <v>20</v>
      </c>
      <c r="I598" t="str">
        <f t="shared" si="9"/>
        <v>-</v>
      </c>
    </row>
    <row r="599" spans="1:9" x14ac:dyDescent="0.25">
      <c r="A599">
        <v>7339</v>
      </c>
      <c r="B599" t="s">
        <v>894</v>
      </c>
      <c r="C599" t="s">
        <v>1780</v>
      </c>
      <c r="D599" t="s">
        <v>127</v>
      </c>
      <c r="F599">
        <v>6</v>
      </c>
      <c r="G599">
        <v>5</v>
      </c>
      <c r="H599" s="1296">
        <v>30</v>
      </c>
      <c r="I599" t="str">
        <f t="shared" si="9"/>
        <v>-</v>
      </c>
    </row>
    <row r="600" spans="1:9" x14ac:dyDescent="0.25">
      <c r="A600">
        <v>7341</v>
      </c>
      <c r="B600" t="s">
        <v>894</v>
      </c>
      <c r="C600" t="s">
        <v>1780</v>
      </c>
      <c r="D600" t="s">
        <v>1771</v>
      </c>
      <c r="E600" t="s">
        <v>109</v>
      </c>
      <c r="F600">
        <v>8</v>
      </c>
      <c r="G600">
        <v>25</v>
      </c>
      <c r="H600" s="1296">
        <v>200</v>
      </c>
      <c r="I600" t="str">
        <f t="shared" si="9"/>
        <v>-</v>
      </c>
    </row>
    <row r="601" spans="1:9" x14ac:dyDescent="0.25">
      <c r="A601">
        <v>7383</v>
      </c>
      <c r="B601" t="s">
        <v>901</v>
      </c>
      <c r="C601" t="s">
        <v>1781</v>
      </c>
      <c r="D601" t="s">
        <v>1735</v>
      </c>
      <c r="F601">
        <v>11</v>
      </c>
      <c r="G601">
        <v>5</v>
      </c>
      <c r="H601" s="1296">
        <v>55</v>
      </c>
      <c r="I601" t="str">
        <f t="shared" si="9"/>
        <v>-</v>
      </c>
    </row>
    <row r="602" spans="1:9" x14ac:dyDescent="0.25">
      <c r="A602">
        <v>7429</v>
      </c>
      <c r="B602" t="s">
        <v>908</v>
      </c>
      <c r="C602" t="s">
        <v>1783</v>
      </c>
      <c r="D602" t="s">
        <v>1325</v>
      </c>
      <c r="E602" t="s">
        <v>339</v>
      </c>
      <c r="F602">
        <v>1</v>
      </c>
      <c r="G602">
        <v>5</v>
      </c>
      <c r="H602" s="1296">
        <v>5</v>
      </c>
      <c r="I602" t="str">
        <f t="shared" si="9"/>
        <v>-</v>
      </c>
    </row>
    <row r="603" spans="1:9" x14ac:dyDescent="0.25">
      <c r="A603">
        <v>7430</v>
      </c>
      <c r="B603" t="s">
        <v>908</v>
      </c>
      <c r="C603" t="s">
        <v>1783</v>
      </c>
      <c r="D603" t="s">
        <v>60</v>
      </c>
      <c r="E603" t="s">
        <v>142</v>
      </c>
      <c r="F603">
        <v>1</v>
      </c>
      <c r="G603">
        <v>5</v>
      </c>
      <c r="H603" s="1296">
        <v>5</v>
      </c>
      <c r="I603" t="str">
        <f t="shared" si="9"/>
        <v>-</v>
      </c>
    </row>
    <row r="604" spans="1:9" x14ac:dyDescent="0.25">
      <c r="A604">
        <v>7431</v>
      </c>
      <c r="B604" t="s">
        <v>908</v>
      </c>
      <c r="C604" t="s">
        <v>1783</v>
      </c>
      <c r="D604" t="s">
        <v>1784</v>
      </c>
      <c r="E604" t="s">
        <v>96</v>
      </c>
      <c r="F604">
        <v>1</v>
      </c>
      <c r="G604">
        <v>5</v>
      </c>
      <c r="H604" s="1296">
        <v>5</v>
      </c>
      <c r="I604" t="str">
        <f t="shared" si="9"/>
        <v>-</v>
      </c>
    </row>
    <row r="605" spans="1:9" x14ac:dyDescent="0.25">
      <c r="A605">
        <v>7433</v>
      </c>
      <c r="B605" t="s">
        <v>908</v>
      </c>
      <c r="C605" t="s">
        <v>1783</v>
      </c>
      <c r="D605" t="s">
        <v>158</v>
      </c>
      <c r="E605" t="s">
        <v>390</v>
      </c>
      <c r="F605">
        <v>1</v>
      </c>
      <c r="G605">
        <v>6</v>
      </c>
      <c r="H605" s="1296">
        <v>6</v>
      </c>
      <c r="I605" t="str">
        <f t="shared" si="9"/>
        <v>-</v>
      </c>
    </row>
    <row r="606" spans="1:9" x14ac:dyDescent="0.25">
      <c r="A606">
        <v>7434</v>
      </c>
      <c r="B606" t="s">
        <v>908</v>
      </c>
      <c r="C606" t="s">
        <v>1783</v>
      </c>
      <c r="D606" t="s">
        <v>80</v>
      </c>
      <c r="E606" t="s">
        <v>376</v>
      </c>
      <c r="F606">
        <v>2</v>
      </c>
      <c r="G606">
        <v>6</v>
      </c>
      <c r="H606" s="1296">
        <v>12</v>
      </c>
      <c r="I606" t="str">
        <f t="shared" si="9"/>
        <v>-</v>
      </c>
    </row>
    <row r="607" spans="1:9" x14ac:dyDescent="0.25">
      <c r="A607">
        <v>7435</v>
      </c>
      <c r="B607" t="s">
        <v>908</v>
      </c>
      <c r="C607" t="s">
        <v>1783</v>
      </c>
      <c r="D607" t="s">
        <v>1718</v>
      </c>
      <c r="E607" t="s">
        <v>379</v>
      </c>
      <c r="F607">
        <v>1</v>
      </c>
      <c r="G607">
        <v>6</v>
      </c>
      <c r="H607" s="1296">
        <v>6</v>
      </c>
      <c r="I607" t="str">
        <f t="shared" si="9"/>
        <v>-</v>
      </c>
    </row>
    <row r="608" spans="1:9" x14ac:dyDescent="0.25">
      <c r="A608">
        <v>7436</v>
      </c>
      <c r="B608" t="s">
        <v>908</v>
      </c>
      <c r="C608" t="s">
        <v>1783</v>
      </c>
      <c r="D608" t="s">
        <v>685</v>
      </c>
      <c r="E608" t="s">
        <v>359</v>
      </c>
      <c r="F608">
        <v>1</v>
      </c>
      <c r="G608">
        <v>6</v>
      </c>
      <c r="H608" s="1296">
        <v>6</v>
      </c>
      <c r="I608" t="str">
        <f t="shared" si="9"/>
        <v>-</v>
      </c>
    </row>
    <row r="609" spans="1:9" x14ac:dyDescent="0.25">
      <c r="A609">
        <v>7437</v>
      </c>
      <c r="B609" t="s">
        <v>908</v>
      </c>
      <c r="C609" t="s">
        <v>1783</v>
      </c>
      <c r="D609" t="s">
        <v>139</v>
      </c>
      <c r="E609" t="s">
        <v>1349</v>
      </c>
      <c r="F609">
        <v>1</v>
      </c>
      <c r="G609">
        <v>6</v>
      </c>
      <c r="H609" s="1296">
        <v>6</v>
      </c>
      <c r="I609" t="str">
        <f t="shared" si="9"/>
        <v>-</v>
      </c>
    </row>
    <row r="610" spans="1:9" x14ac:dyDescent="0.25">
      <c r="A610">
        <v>7439</v>
      </c>
      <c r="B610" t="s">
        <v>908</v>
      </c>
      <c r="C610" t="s">
        <v>1783</v>
      </c>
      <c r="D610" t="s">
        <v>127</v>
      </c>
      <c r="E610" t="s">
        <v>439</v>
      </c>
      <c r="F610">
        <v>1</v>
      </c>
      <c r="G610">
        <v>25</v>
      </c>
      <c r="H610" s="1296">
        <v>25</v>
      </c>
      <c r="I610" t="str">
        <f t="shared" si="9"/>
        <v>-</v>
      </c>
    </row>
    <row r="611" spans="1:9" x14ac:dyDescent="0.25">
      <c r="A611">
        <v>7441</v>
      </c>
      <c r="B611" t="s">
        <v>908</v>
      </c>
      <c r="C611" t="s">
        <v>1783</v>
      </c>
      <c r="D611" t="s">
        <v>931</v>
      </c>
      <c r="E611" t="s">
        <v>1762</v>
      </c>
      <c r="F611">
        <v>5</v>
      </c>
      <c r="G611">
        <v>1</v>
      </c>
      <c r="H611" s="1296">
        <v>5</v>
      </c>
      <c r="I611" t="str">
        <f t="shared" si="9"/>
        <v>-</v>
      </c>
    </row>
    <row r="612" spans="1:9" x14ac:dyDescent="0.25">
      <c r="A612">
        <v>7444</v>
      </c>
      <c r="B612" t="s">
        <v>908</v>
      </c>
      <c r="C612" t="s">
        <v>1783</v>
      </c>
      <c r="D612" t="s">
        <v>1785</v>
      </c>
      <c r="E612" t="s">
        <v>1786</v>
      </c>
      <c r="F612">
        <v>2</v>
      </c>
      <c r="G612">
        <v>24</v>
      </c>
      <c r="H612" s="1296">
        <v>48</v>
      </c>
      <c r="I612" t="str">
        <f t="shared" si="9"/>
        <v>-</v>
      </c>
    </row>
    <row r="613" spans="1:9" x14ac:dyDescent="0.25">
      <c r="A613">
        <v>7474</v>
      </c>
      <c r="B613" t="s">
        <v>910</v>
      </c>
      <c r="C613" t="s">
        <v>1787</v>
      </c>
      <c r="D613" t="s">
        <v>1681</v>
      </c>
      <c r="F613">
        <v>7</v>
      </c>
      <c r="G613">
        <v>100</v>
      </c>
      <c r="H613" s="1296">
        <v>700</v>
      </c>
      <c r="I613" t="str">
        <f t="shared" si="9"/>
        <v>-</v>
      </c>
    </row>
    <row r="614" spans="1:9" x14ac:dyDescent="0.25">
      <c r="A614">
        <v>7521</v>
      </c>
      <c r="B614" t="s">
        <v>915</v>
      </c>
      <c r="C614" t="s">
        <v>1789</v>
      </c>
      <c r="D614" t="s">
        <v>1790</v>
      </c>
      <c r="E614" t="s">
        <v>41</v>
      </c>
      <c r="F614">
        <v>5</v>
      </c>
      <c r="G614">
        <v>5</v>
      </c>
      <c r="H614" s="1296">
        <v>25</v>
      </c>
      <c r="I614" t="str">
        <f t="shared" si="9"/>
        <v>-</v>
      </c>
    </row>
    <row r="615" spans="1:9" x14ac:dyDescent="0.25">
      <c r="A615">
        <v>7523</v>
      </c>
      <c r="B615" t="s">
        <v>915</v>
      </c>
      <c r="C615" t="s">
        <v>1789</v>
      </c>
      <c r="D615" t="s">
        <v>108</v>
      </c>
      <c r="E615" t="s">
        <v>109</v>
      </c>
      <c r="F615">
        <v>24</v>
      </c>
      <c r="G615">
        <v>25</v>
      </c>
      <c r="H615" s="1296">
        <v>600</v>
      </c>
      <c r="I615" t="str">
        <f t="shared" si="9"/>
        <v>-</v>
      </c>
    </row>
    <row r="616" spans="1:9" x14ac:dyDescent="0.25">
      <c r="A616">
        <v>7524</v>
      </c>
      <c r="B616" t="s">
        <v>915</v>
      </c>
      <c r="C616" t="s">
        <v>1789</v>
      </c>
      <c r="D616" t="s">
        <v>68</v>
      </c>
      <c r="E616" t="s">
        <v>69</v>
      </c>
      <c r="F616">
        <v>8</v>
      </c>
      <c r="G616">
        <v>25</v>
      </c>
      <c r="H616" s="1296">
        <v>200</v>
      </c>
      <c r="I616" t="str">
        <f t="shared" si="9"/>
        <v>-</v>
      </c>
    </row>
    <row r="617" spans="1:9" x14ac:dyDescent="0.25">
      <c r="A617">
        <v>7525</v>
      </c>
      <c r="B617" t="s">
        <v>915</v>
      </c>
      <c r="C617" t="s">
        <v>1789</v>
      </c>
      <c r="D617" t="s">
        <v>1772</v>
      </c>
      <c r="E617" t="s">
        <v>435</v>
      </c>
      <c r="F617">
        <v>2</v>
      </c>
      <c r="G617">
        <v>25</v>
      </c>
      <c r="H617" s="1296">
        <v>50</v>
      </c>
      <c r="I617" t="str">
        <f t="shared" si="9"/>
        <v>-</v>
      </c>
    </row>
    <row r="618" spans="1:9" x14ac:dyDescent="0.25">
      <c r="A618">
        <v>7527</v>
      </c>
      <c r="B618" t="s">
        <v>915</v>
      </c>
      <c r="C618" t="s">
        <v>1789</v>
      </c>
      <c r="D618" t="s">
        <v>1791</v>
      </c>
      <c r="E618" t="s">
        <v>1295</v>
      </c>
      <c r="F618">
        <v>1</v>
      </c>
      <c r="G618">
        <v>150</v>
      </c>
      <c r="H618" s="1296">
        <v>150</v>
      </c>
      <c r="I618" t="str">
        <f t="shared" si="9"/>
        <v>-</v>
      </c>
    </row>
    <row r="619" spans="1:9" x14ac:dyDescent="0.25">
      <c r="A619">
        <v>7567</v>
      </c>
      <c r="B619" t="s">
        <v>917</v>
      </c>
      <c r="C619" t="s">
        <v>1415</v>
      </c>
      <c r="D619" t="s">
        <v>1417</v>
      </c>
      <c r="F619">
        <v>10</v>
      </c>
      <c r="G619">
        <v>1</v>
      </c>
      <c r="H619" s="1296">
        <v>10</v>
      </c>
      <c r="I619" t="str">
        <f t="shared" si="9"/>
        <v>-</v>
      </c>
    </row>
    <row r="620" spans="1:9" x14ac:dyDescent="0.25">
      <c r="A620">
        <v>7615</v>
      </c>
      <c r="B620" t="s">
        <v>917</v>
      </c>
      <c r="C620" t="s">
        <v>1792</v>
      </c>
      <c r="D620" t="s">
        <v>1794</v>
      </c>
      <c r="E620" t="s">
        <v>25</v>
      </c>
      <c r="F620">
        <v>5</v>
      </c>
      <c r="G620">
        <v>5</v>
      </c>
      <c r="H620" s="1296">
        <v>25</v>
      </c>
      <c r="I620" t="str">
        <f t="shared" si="9"/>
        <v>-</v>
      </c>
    </row>
    <row r="621" spans="1:9" x14ac:dyDescent="0.25">
      <c r="A621">
        <v>7618</v>
      </c>
      <c r="B621" t="s">
        <v>917</v>
      </c>
      <c r="C621" t="s">
        <v>1792</v>
      </c>
      <c r="D621" t="s">
        <v>1795</v>
      </c>
      <c r="E621" t="s">
        <v>57</v>
      </c>
      <c r="F621">
        <v>1</v>
      </c>
      <c r="G621">
        <v>25</v>
      </c>
      <c r="H621" s="1296">
        <v>25</v>
      </c>
      <c r="I621" t="str">
        <f t="shared" si="9"/>
        <v>-</v>
      </c>
    </row>
    <row r="622" spans="1:9" x14ac:dyDescent="0.25">
      <c r="A622">
        <v>7681</v>
      </c>
      <c r="B622" t="s">
        <v>917</v>
      </c>
      <c r="C622" t="s">
        <v>1792</v>
      </c>
      <c r="D622" t="s">
        <v>1796</v>
      </c>
      <c r="E622" t="s">
        <v>439</v>
      </c>
      <c r="F622">
        <v>1</v>
      </c>
      <c r="G622">
        <v>25</v>
      </c>
      <c r="H622" s="1296">
        <v>25</v>
      </c>
      <c r="I622" t="str">
        <f t="shared" si="9"/>
        <v>-</v>
      </c>
    </row>
    <row r="623" spans="1:9" x14ac:dyDescent="0.25">
      <c r="A623">
        <v>7682</v>
      </c>
      <c r="B623" t="s">
        <v>917</v>
      </c>
      <c r="C623" t="s">
        <v>1792</v>
      </c>
      <c r="D623" t="s">
        <v>1797</v>
      </c>
      <c r="E623" t="s">
        <v>422</v>
      </c>
      <c r="F623">
        <v>1</v>
      </c>
      <c r="G623">
        <v>25</v>
      </c>
      <c r="H623" s="1296">
        <v>25</v>
      </c>
      <c r="I623" t="str">
        <f t="shared" si="9"/>
        <v>-</v>
      </c>
    </row>
    <row r="624" spans="1:9" x14ac:dyDescent="0.25">
      <c r="A624">
        <v>7683</v>
      </c>
      <c r="B624" t="s">
        <v>917</v>
      </c>
      <c r="C624" t="s">
        <v>1792</v>
      </c>
      <c r="D624" t="s">
        <v>1798</v>
      </c>
      <c r="E624" t="s">
        <v>434</v>
      </c>
      <c r="F624">
        <v>1</v>
      </c>
      <c r="G624">
        <v>25</v>
      </c>
      <c r="H624" s="1296">
        <v>25</v>
      </c>
      <c r="I624" t="str">
        <f t="shared" si="9"/>
        <v>-</v>
      </c>
    </row>
    <row r="625" spans="1:9" x14ac:dyDescent="0.25">
      <c r="A625">
        <v>7685</v>
      </c>
      <c r="B625" t="s">
        <v>917</v>
      </c>
      <c r="C625" t="s">
        <v>1792</v>
      </c>
      <c r="D625" t="s">
        <v>1799</v>
      </c>
      <c r="E625" t="s">
        <v>54</v>
      </c>
      <c r="F625">
        <v>1</v>
      </c>
      <c r="G625">
        <v>5</v>
      </c>
      <c r="H625" s="1296">
        <v>5</v>
      </c>
      <c r="I625" t="str">
        <f t="shared" si="9"/>
        <v>-</v>
      </c>
    </row>
    <row r="626" spans="1:9" x14ac:dyDescent="0.25">
      <c r="A626">
        <v>7686</v>
      </c>
      <c r="B626" t="s">
        <v>917</v>
      </c>
      <c r="C626" t="s">
        <v>1792</v>
      </c>
      <c r="D626" t="s">
        <v>1800</v>
      </c>
      <c r="E626" t="s">
        <v>94</v>
      </c>
      <c r="F626">
        <v>1</v>
      </c>
      <c r="G626">
        <v>5</v>
      </c>
      <c r="H626" s="1296">
        <v>5</v>
      </c>
      <c r="I626" t="str">
        <f t="shared" si="9"/>
        <v>-</v>
      </c>
    </row>
    <row r="627" spans="1:9" x14ac:dyDescent="0.25">
      <c r="A627">
        <v>7687</v>
      </c>
      <c r="B627" t="s">
        <v>917</v>
      </c>
      <c r="C627" t="s">
        <v>1792</v>
      </c>
      <c r="D627" t="s">
        <v>1801</v>
      </c>
      <c r="E627" t="s">
        <v>337</v>
      </c>
      <c r="F627">
        <v>1</v>
      </c>
      <c r="G627">
        <v>5</v>
      </c>
      <c r="H627" s="1296">
        <v>5</v>
      </c>
      <c r="I627" t="str">
        <f t="shared" si="9"/>
        <v>-</v>
      </c>
    </row>
    <row r="628" spans="1:9" x14ac:dyDescent="0.25">
      <c r="A628">
        <v>7688</v>
      </c>
      <c r="B628" t="s">
        <v>917</v>
      </c>
      <c r="C628" t="s">
        <v>1792</v>
      </c>
      <c r="D628" t="s">
        <v>1804</v>
      </c>
      <c r="E628" t="s">
        <v>339</v>
      </c>
      <c r="F628">
        <v>1</v>
      </c>
      <c r="G628">
        <v>5</v>
      </c>
      <c r="H628" s="1296">
        <v>5</v>
      </c>
      <c r="I628" t="str">
        <f t="shared" si="9"/>
        <v>-</v>
      </c>
    </row>
    <row r="629" spans="1:9" x14ac:dyDescent="0.25">
      <c r="A629">
        <v>7689</v>
      </c>
      <c r="B629" t="s">
        <v>917</v>
      </c>
      <c r="C629" t="s">
        <v>1792</v>
      </c>
      <c r="D629" t="s">
        <v>1805</v>
      </c>
      <c r="E629" t="s">
        <v>298</v>
      </c>
      <c r="F629">
        <v>1</v>
      </c>
      <c r="G629">
        <v>5</v>
      </c>
      <c r="H629" s="1296">
        <v>5</v>
      </c>
      <c r="I629" t="str">
        <f t="shared" si="9"/>
        <v>-</v>
      </c>
    </row>
    <row r="630" spans="1:9" x14ac:dyDescent="0.25">
      <c r="A630">
        <v>7691</v>
      </c>
      <c r="B630" t="s">
        <v>917</v>
      </c>
      <c r="C630" t="s">
        <v>1792</v>
      </c>
      <c r="D630" t="s">
        <v>1516</v>
      </c>
      <c r="E630" t="s">
        <v>376</v>
      </c>
      <c r="F630">
        <v>2</v>
      </c>
      <c r="G630">
        <v>6</v>
      </c>
      <c r="H630" s="1296">
        <v>12</v>
      </c>
      <c r="I630" t="str">
        <f t="shared" si="9"/>
        <v>-</v>
      </c>
    </row>
    <row r="631" spans="1:9" x14ac:dyDescent="0.25">
      <c r="A631">
        <v>7692</v>
      </c>
      <c r="B631" t="s">
        <v>917</v>
      </c>
      <c r="C631" t="s">
        <v>1792</v>
      </c>
      <c r="D631" t="s">
        <v>1806</v>
      </c>
      <c r="E631" t="s">
        <v>375</v>
      </c>
      <c r="F631">
        <v>1</v>
      </c>
      <c r="G631">
        <v>6</v>
      </c>
      <c r="H631" s="1296">
        <v>6</v>
      </c>
      <c r="I631" t="str">
        <f t="shared" si="9"/>
        <v>-</v>
      </c>
    </row>
    <row r="632" spans="1:9" x14ac:dyDescent="0.25">
      <c r="A632">
        <v>7734</v>
      </c>
      <c r="B632" t="s">
        <v>923</v>
      </c>
      <c r="C632" t="s">
        <v>1423</v>
      </c>
      <c r="D632" t="s">
        <v>1417</v>
      </c>
      <c r="F632">
        <v>5</v>
      </c>
      <c r="G632">
        <v>1</v>
      </c>
      <c r="H632" s="1296">
        <v>5</v>
      </c>
      <c r="I632" t="str">
        <f t="shared" si="9"/>
        <v>-</v>
      </c>
    </row>
    <row r="633" spans="1:9" x14ac:dyDescent="0.25">
      <c r="A633">
        <v>7736</v>
      </c>
      <c r="B633" t="s">
        <v>923</v>
      </c>
      <c r="C633" t="s">
        <v>1423</v>
      </c>
      <c r="D633" t="s">
        <v>1808</v>
      </c>
      <c r="E633" t="s">
        <v>25</v>
      </c>
      <c r="F633">
        <v>5</v>
      </c>
      <c r="G633">
        <v>5</v>
      </c>
      <c r="H633" s="1296">
        <v>25</v>
      </c>
      <c r="I633" t="str">
        <f t="shared" si="9"/>
        <v>-</v>
      </c>
    </row>
    <row r="634" spans="1:9" x14ac:dyDescent="0.25">
      <c r="A634">
        <v>7779</v>
      </c>
      <c r="B634" t="s">
        <v>928</v>
      </c>
      <c r="C634" t="s">
        <v>1809</v>
      </c>
      <c r="D634" t="s">
        <v>1794</v>
      </c>
      <c r="E634" t="s">
        <v>25</v>
      </c>
      <c r="F634">
        <v>2</v>
      </c>
      <c r="G634">
        <v>5</v>
      </c>
      <c r="H634" s="1296">
        <v>10</v>
      </c>
      <c r="I634" t="str">
        <f t="shared" si="9"/>
        <v>-</v>
      </c>
    </row>
    <row r="635" spans="1:9" x14ac:dyDescent="0.25">
      <c r="A635">
        <v>7780</v>
      </c>
      <c r="B635" t="s">
        <v>928</v>
      </c>
      <c r="C635" t="s">
        <v>1809</v>
      </c>
      <c r="D635" t="s">
        <v>1552</v>
      </c>
      <c r="E635" t="s">
        <v>330</v>
      </c>
      <c r="F635">
        <v>5</v>
      </c>
      <c r="G635">
        <v>5</v>
      </c>
      <c r="H635" s="1296">
        <v>25</v>
      </c>
      <c r="I635" t="str">
        <f t="shared" si="9"/>
        <v>-</v>
      </c>
    </row>
    <row r="636" spans="1:9" x14ac:dyDescent="0.25">
      <c r="A636">
        <v>7829</v>
      </c>
      <c r="B636" t="s">
        <v>517</v>
      </c>
      <c r="C636" t="s">
        <v>1810</v>
      </c>
      <c r="D636" t="s">
        <v>1812</v>
      </c>
      <c r="F636">
        <v>350</v>
      </c>
      <c r="G636">
        <v>28</v>
      </c>
      <c r="H636" s="1296">
        <v>9800</v>
      </c>
      <c r="I636" t="str">
        <f t="shared" si="9"/>
        <v>-</v>
      </c>
    </row>
    <row r="637" spans="1:9" x14ac:dyDescent="0.25">
      <c r="A637">
        <v>7875</v>
      </c>
      <c r="B637" t="s">
        <v>935</v>
      </c>
      <c r="C637" t="s">
        <v>1813</v>
      </c>
      <c r="D637" t="s">
        <v>1812</v>
      </c>
      <c r="F637">
        <v>328</v>
      </c>
      <c r="G637">
        <v>28</v>
      </c>
      <c r="H637" s="1296">
        <v>9184</v>
      </c>
      <c r="I637" t="str">
        <f t="shared" si="9"/>
        <v>-</v>
      </c>
    </row>
    <row r="638" spans="1:9" x14ac:dyDescent="0.25">
      <c r="A638">
        <v>7918</v>
      </c>
      <c r="B638" t="s">
        <v>935</v>
      </c>
      <c r="C638" t="s">
        <v>1814</v>
      </c>
      <c r="D638" t="s">
        <v>1315</v>
      </c>
      <c r="F638">
        <v>28</v>
      </c>
      <c r="G638">
        <v>300</v>
      </c>
      <c r="H638" s="1296">
        <v>8400</v>
      </c>
      <c r="I638" t="str">
        <f t="shared" si="9"/>
        <v>-</v>
      </c>
    </row>
    <row r="639" spans="1:9" x14ac:dyDescent="0.25">
      <c r="A639">
        <v>7959</v>
      </c>
      <c r="B639" t="s">
        <v>935</v>
      </c>
      <c r="C639" t="s">
        <v>1438</v>
      </c>
      <c r="D639">
        <v>507</v>
      </c>
      <c r="E639" t="s">
        <v>1815</v>
      </c>
      <c r="F639">
        <v>1</v>
      </c>
      <c r="G639">
        <v>100</v>
      </c>
      <c r="H639" s="1296">
        <v>100</v>
      </c>
      <c r="I639" t="str">
        <f t="shared" si="9"/>
        <v>-</v>
      </c>
    </row>
    <row r="640" spans="1:9" x14ac:dyDescent="0.25">
      <c r="A640">
        <v>7961</v>
      </c>
      <c r="B640" t="s">
        <v>935</v>
      </c>
      <c r="C640" t="s">
        <v>1438</v>
      </c>
      <c r="D640" t="s">
        <v>1817</v>
      </c>
      <c r="E640" t="s">
        <v>5</v>
      </c>
      <c r="F640">
        <v>2</v>
      </c>
      <c r="G640">
        <v>24</v>
      </c>
      <c r="H640" s="1296">
        <v>48</v>
      </c>
      <c r="I640" t="str">
        <f t="shared" si="9"/>
        <v>-</v>
      </c>
    </row>
    <row r="641" spans="1:9" x14ac:dyDescent="0.25">
      <c r="A641">
        <v>7962</v>
      </c>
      <c r="B641" t="s">
        <v>935</v>
      </c>
      <c r="C641" t="s">
        <v>1438</v>
      </c>
      <c r="D641" t="s">
        <v>1453</v>
      </c>
      <c r="E641" t="s">
        <v>12</v>
      </c>
      <c r="F641">
        <v>2</v>
      </c>
      <c r="G641">
        <v>24</v>
      </c>
      <c r="H641" s="1296">
        <v>48</v>
      </c>
      <c r="I641" t="str">
        <f t="shared" si="9"/>
        <v>-</v>
      </c>
    </row>
    <row r="642" spans="1:9" x14ac:dyDescent="0.25">
      <c r="A642">
        <v>7964</v>
      </c>
      <c r="B642" t="s">
        <v>935</v>
      </c>
      <c r="C642" t="s">
        <v>1438</v>
      </c>
      <c r="D642" t="s">
        <v>1076</v>
      </c>
      <c r="E642" t="s">
        <v>1164</v>
      </c>
      <c r="F642">
        <v>20</v>
      </c>
      <c r="G642">
        <v>1</v>
      </c>
      <c r="H642" s="1296">
        <v>20</v>
      </c>
      <c r="I642" t="str">
        <f t="shared" ref="I642:I705" si="10">INDEX($N$2:$N$355,MATCH($A642,$L$2:$L$355,1))</f>
        <v>-</v>
      </c>
    </row>
    <row r="643" spans="1:9" x14ac:dyDescent="0.25">
      <c r="A643">
        <v>7965</v>
      </c>
      <c r="B643" t="s">
        <v>935</v>
      </c>
      <c r="C643" t="s">
        <v>1438</v>
      </c>
      <c r="D643" t="s">
        <v>1434</v>
      </c>
      <c r="F643">
        <v>2</v>
      </c>
      <c r="G643">
        <v>10</v>
      </c>
      <c r="H643" s="1296">
        <v>20</v>
      </c>
      <c r="I643" t="str">
        <f t="shared" si="10"/>
        <v>-</v>
      </c>
    </row>
    <row r="644" spans="1:9" x14ac:dyDescent="0.25">
      <c r="A644">
        <v>7967</v>
      </c>
      <c r="B644" t="s">
        <v>935</v>
      </c>
      <c r="C644" t="s">
        <v>1438</v>
      </c>
      <c r="D644" t="s">
        <v>127</v>
      </c>
      <c r="E644" t="s">
        <v>398</v>
      </c>
      <c r="F644">
        <v>1</v>
      </c>
      <c r="G644">
        <v>6</v>
      </c>
      <c r="H644" s="1296">
        <v>6</v>
      </c>
      <c r="I644" t="str">
        <f t="shared" si="10"/>
        <v>-</v>
      </c>
    </row>
    <row r="645" spans="1:9" x14ac:dyDescent="0.25">
      <c r="A645">
        <v>7968</v>
      </c>
      <c r="B645" t="s">
        <v>935</v>
      </c>
      <c r="C645" t="s">
        <v>1438</v>
      </c>
      <c r="D645" t="s">
        <v>68</v>
      </c>
      <c r="E645" t="s">
        <v>375</v>
      </c>
      <c r="F645">
        <v>6</v>
      </c>
      <c r="G645">
        <v>1</v>
      </c>
      <c r="H645" s="1296">
        <v>6</v>
      </c>
      <c r="I645" t="str">
        <f t="shared" si="10"/>
        <v>-</v>
      </c>
    </row>
    <row r="646" spans="1:9" x14ac:dyDescent="0.25">
      <c r="A646">
        <v>7969</v>
      </c>
      <c r="B646" t="s">
        <v>935</v>
      </c>
      <c r="C646" t="s">
        <v>1438</v>
      </c>
      <c r="D646" t="s">
        <v>1718</v>
      </c>
      <c r="E646" t="s">
        <v>379</v>
      </c>
      <c r="F646">
        <v>1</v>
      </c>
      <c r="G646">
        <v>6</v>
      </c>
      <c r="H646" s="1296">
        <v>6</v>
      </c>
      <c r="I646" t="str">
        <f t="shared" si="10"/>
        <v>-</v>
      </c>
    </row>
    <row r="647" spans="1:9" x14ac:dyDescent="0.25">
      <c r="A647">
        <v>7971</v>
      </c>
      <c r="B647" t="s">
        <v>935</v>
      </c>
      <c r="C647" t="s">
        <v>1438</v>
      </c>
      <c r="D647" t="s">
        <v>125</v>
      </c>
      <c r="E647" t="s">
        <v>324</v>
      </c>
      <c r="F647">
        <v>2</v>
      </c>
      <c r="G647">
        <v>5</v>
      </c>
      <c r="H647" s="1296">
        <v>10</v>
      </c>
      <c r="I647" t="str">
        <f t="shared" si="10"/>
        <v>-</v>
      </c>
    </row>
    <row r="648" spans="1:9" x14ac:dyDescent="0.25">
      <c r="A648">
        <v>7972</v>
      </c>
      <c r="B648" t="s">
        <v>935</v>
      </c>
      <c r="C648" t="s">
        <v>1438</v>
      </c>
      <c r="D648" t="s">
        <v>131</v>
      </c>
      <c r="E648" t="s">
        <v>329</v>
      </c>
      <c r="F648">
        <v>2</v>
      </c>
      <c r="G648">
        <v>5</v>
      </c>
      <c r="H648" s="1296">
        <v>10</v>
      </c>
      <c r="I648" t="str">
        <f t="shared" si="10"/>
        <v>-</v>
      </c>
    </row>
    <row r="649" spans="1:9" x14ac:dyDescent="0.25">
      <c r="A649">
        <v>7973</v>
      </c>
      <c r="B649" t="s">
        <v>935</v>
      </c>
      <c r="C649" t="s">
        <v>1438</v>
      </c>
      <c r="D649" t="s">
        <v>127</v>
      </c>
      <c r="E649" t="s">
        <v>326</v>
      </c>
      <c r="F649">
        <v>2</v>
      </c>
      <c r="G649">
        <v>5</v>
      </c>
      <c r="H649" s="1296">
        <v>10</v>
      </c>
      <c r="I649" t="str">
        <f t="shared" si="10"/>
        <v>-</v>
      </c>
    </row>
    <row r="650" spans="1:9" x14ac:dyDescent="0.25">
      <c r="A650">
        <v>7974</v>
      </c>
      <c r="B650" t="s">
        <v>935</v>
      </c>
      <c r="C650" t="s">
        <v>1438</v>
      </c>
      <c r="D650" t="s">
        <v>120</v>
      </c>
      <c r="E650" t="s">
        <v>298</v>
      </c>
      <c r="F650">
        <v>1</v>
      </c>
      <c r="G650">
        <v>5</v>
      </c>
      <c r="H650" s="1296">
        <v>5</v>
      </c>
      <c r="I650" t="str">
        <f t="shared" si="10"/>
        <v>-</v>
      </c>
    </row>
    <row r="651" spans="1:9" x14ac:dyDescent="0.25">
      <c r="A651">
        <v>7975</v>
      </c>
      <c r="B651" t="s">
        <v>935</v>
      </c>
      <c r="C651" t="s">
        <v>1438</v>
      </c>
      <c r="D651" t="s">
        <v>618</v>
      </c>
      <c r="E651" t="s">
        <v>87</v>
      </c>
      <c r="F651">
        <v>2</v>
      </c>
      <c r="G651">
        <v>5</v>
      </c>
      <c r="H651" s="1296">
        <v>10</v>
      </c>
      <c r="I651" t="str">
        <f t="shared" si="10"/>
        <v>-</v>
      </c>
    </row>
    <row r="652" spans="1:9" x14ac:dyDescent="0.25">
      <c r="A652">
        <v>7976</v>
      </c>
      <c r="B652" t="s">
        <v>935</v>
      </c>
      <c r="C652" t="s">
        <v>1438</v>
      </c>
      <c r="D652" t="s">
        <v>139</v>
      </c>
      <c r="E652" t="s">
        <v>336</v>
      </c>
      <c r="F652">
        <v>1</v>
      </c>
      <c r="G652">
        <v>5</v>
      </c>
      <c r="H652" s="1296">
        <v>5</v>
      </c>
      <c r="I652" t="str">
        <f t="shared" si="10"/>
        <v>-</v>
      </c>
    </row>
    <row r="653" spans="1:9" x14ac:dyDescent="0.25">
      <c r="A653">
        <v>7977</v>
      </c>
      <c r="B653" t="s">
        <v>935</v>
      </c>
      <c r="C653" t="s">
        <v>1438</v>
      </c>
      <c r="D653" t="s">
        <v>655</v>
      </c>
      <c r="E653" t="s">
        <v>94</v>
      </c>
      <c r="F653">
        <v>1</v>
      </c>
      <c r="G653">
        <v>5</v>
      </c>
      <c r="H653" s="1296">
        <v>5</v>
      </c>
      <c r="I653" t="str">
        <f t="shared" si="10"/>
        <v>-</v>
      </c>
    </row>
    <row r="654" spans="1:9" x14ac:dyDescent="0.25">
      <c r="A654">
        <v>7978</v>
      </c>
      <c r="B654" t="s">
        <v>935</v>
      </c>
      <c r="C654" t="s">
        <v>1438</v>
      </c>
      <c r="D654" t="s">
        <v>63</v>
      </c>
      <c r="E654" t="s">
        <v>54</v>
      </c>
      <c r="F654">
        <v>1</v>
      </c>
      <c r="G654">
        <v>5</v>
      </c>
      <c r="H654" s="1296">
        <v>5</v>
      </c>
      <c r="I654" t="str">
        <f t="shared" si="10"/>
        <v>-</v>
      </c>
    </row>
    <row r="655" spans="1:9" x14ac:dyDescent="0.25">
      <c r="A655">
        <v>7980</v>
      </c>
      <c r="B655" t="s">
        <v>935</v>
      </c>
      <c r="C655" t="s">
        <v>1438</v>
      </c>
      <c r="D655" t="s">
        <v>1631</v>
      </c>
      <c r="F655">
        <v>2</v>
      </c>
      <c r="G655">
        <v>10</v>
      </c>
      <c r="H655" s="1296">
        <v>20</v>
      </c>
      <c r="I655" t="str">
        <f t="shared" si="10"/>
        <v>-</v>
      </c>
    </row>
    <row r="656" spans="1:9" x14ac:dyDescent="0.25">
      <c r="A656">
        <v>7982</v>
      </c>
      <c r="B656" t="s">
        <v>935</v>
      </c>
      <c r="C656" t="s">
        <v>1438</v>
      </c>
      <c r="D656" t="s">
        <v>1505</v>
      </c>
      <c r="F656">
        <v>1</v>
      </c>
      <c r="G656">
        <v>100</v>
      </c>
      <c r="H656" s="1296">
        <v>100</v>
      </c>
      <c r="I656" t="str">
        <f t="shared" si="10"/>
        <v>-</v>
      </c>
    </row>
    <row r="657" spans="1:9" x14ac:dyDescent="0.25">
      <c r="A657">
        <v>7983</v>
      </c>
      <c r="B657" t="s">
        <v>935</v>
      </c>
      <c r="C657" t="s">
        <v>1438</v>
      </c>
      <c r="D657" t="s">
        <v>1474</v>
      </c>
      <c r="F657">
        <v>2</v>
      </c>
      <c r="G657">
        <v>100</v>
      </c>
      <c r="H657" s="1296">
        <v>200</v>
      </c>
      <c r="I657" t="str">
        <f t="shared" si="10"/>
        <v>-</v>
      </c>
    </row>
    <row r="658" spans="1:9" x14ac:dyDescent="0.25">
      <c r="A658">
        <v>7984</v>
      </c>
      <c r="B658" t="s">
        <v>935</v>
      </c>
      <c r="C658" t="s">
        <v>1438</v>
      </c>
      <c r="D658" t="s">
        <v>1821</v>
      </c>
      <c r="F658">
        <v>3</v>
      </c>
      <c r="G658">
        <v>100</v>
      </c>
      <c r="H658" s="1296">
        <v>300</v>
      </c>
      <c r="I658" t="str">
        <f t="shared" si="10"/>
        <v>-</v>
      </c>
    </row>
    <row r="659" spans="1:9" x14ac:dyDescent="0.25">
      <c r="A659">
        <v>8008</v>
      </c>
      <c r="B659" t="s">
        <v>941</v>
      </c>
      <c r="C659" t="s">
        <v>1439</v>
      </c>
      <c r="D659" t="s">
        <v>80</v>
      </c>
      <c r="E659" t="s">
        <v>376</v>
      </c>
      <c r="F659">
        <v>2</v>
      </c>
      <c r="G659">
        <v>6</v>
      </c>
      <c r="H659" s="1296">
        <v>12</v>
      </c>
      <c r="I659" t="str">
        <f t="shared" si="10"/>
        <v>-</v>
      </c>
    </row>
    <row r="660" spans="1:9" x14ac:dyDescent="0.25">
      <c r="A660">
        <v>8010</v>
      </c>
      <c r="B660" t="s">
        <v>941</v>
      </c>
      <c r="C660" t="s">
        <v>1439</v>
      </c>
      <c r="D660" t="s">
        <v>1823</v>
      </c>
      <c r="F660">
        <v>2</v>
      </c>
      <c r="G660">
        <v>5</v>
      </c>
      <c r="H660" s="1296">
        <v>10</v>
      </c>
      <c r="I660" t="str">
        <f t="shared" si="10"/>
        <v>-</v>
      </c>
    </row>
    <row r="661" spans="1:9" x14ac:dyDescent="0.25">
      <c r="A661">
        <v>8011</v>
      </c>
      <c r="B661" t="s">
        <v>941</v>
      </c>
      <c r="C661" t="s">
        <v>1439</v>
      </c>
      <c r="D661" t="s">
        <v>1824</v>
      </c>
      <c r="F661">
        <v>1</v>
      </c>
      <c r="G661">
        <v>5</v>
      </c>
      <c r="H661" s="1296">
        <v>5</v>
      </c>
      <c r="I661" t="str">
        <f t="shared" si="10"/>
        <v>-</v>
      </c>
    </row>
    <row r="662" spans="1:9" x14ac:dyDescent="0.25">
      <c r="A662">
        <v>8013</v>
      </c>
      <c r="B662" t="s">
        <v>941</v>
      </c>
      <c r="C662" t="s">
        <v>1439</v>
      </c>
      <c r="D662" t="s">
        <v>63</v>
      </c>
      <c r="E662" t="s">
        <v>54</v>
      </c>
      <c r="F662">
        <v>1</v>
      </c>
      <c r="G662">
        <v>5</v>
      </c>
      <c r="H662" s="1296">
        <v>5</v>
      </c>
      <c r="I662" t="str">
        <f t="shared" si="10"/>
        <v>-</v>
      </c>
    </row>
    <row r="663" spans="1:9" x14ac:dyDescent="0.25">
      <c r="A663">
        <v>8015</v>
      </c>
      <c r="B663" t="s">
        <v>941</v>
      </c>
      <c r="C663" t="s">
        <v>1439</v>
      </c>
      <c r="D663" t="s">
        <v>1076</v>
      </c>
      <c r="E663" t="s">
        <v>1164</v>
      </c>
      <c r="F663">
        <v>10</v>
      </c>
      <c r="G663">
        <v>1</v>
      </c>
      <c r="H663" s="1296">
        <v>10</v>
      </c>
      <c r="I663" t="str">
        <f t="shared" si="10"/>
        <v>-</v>
      </c>
    </row>
    <row r="664" spans="1:9" x14ac:dyDescent="0.25">
      <c r="A664">
        <v>8016</v>
      </c>
      <c r="B664" t="s">
        <v>941</v>
      </c>
      <c r="C664" t="s">
        <v>1439</v>
      </c>
      <c r="D664" t="s">
        <v>1434</v>
      </c>
      <c r="F664">
        <v>1</v>
      </c>
      <c r="G664">
        <v>10</v>
      </c>
      <c r="H664" s="1296">
        <v>10</v>
      </c>
      <c r="I664" t="str">
        <f t="shared" si="10"/>
        <v>-</v>
      </c>
    </row>
    <row r="665" spans="1:9" x14ac:dyDescent="0.25">
      <c r="A665">
        <v>8054</v>
      </c>
      <c r="B665" t="s">
        <v>941</v>
      </c>
      <c r="C665" t="s">
        <v>1825</v>
      </c>
      <c r="D665" t="s">
        <v>1826</v>
      </c>
      <c r="E665" t="s">
        <v>330</v>
      </c>
      <c r="F665">
        <v>2</v>
      </c>
      <c r="G665">
        <v>5</v>
      </c>
      <c r="H665" s="1296">
        <v>10</v>
      </c>
      <c r="I665" t="str">
        <f t="shared" si="10"/>
        <v>-</v>
      </c>
    </row>
    <row r="666" spans="1:9" x14ac:dyDescent="0.25">
      <c r="A666">
        <v>8055</v>
      </c>
      <c r="B666" t="s">
        <v>941</v>
      </c>
      <c r="C666" t="s">
        <v>1825</v>
      </c>
      <c r="D666" t="s">
        <v>68</v>
      </c>
      <c r="E666" t="s">
        <v>91</v>
      </c>
      <c r="F666">
        <v>2</v>
      </c>
      <c r="G666">
        <v>5</v>
      </c>
      <c r="H666" s="1296">
        <v>10</v>
      </c>
      <c r="I666" t="str">
        <f t="shared" si="10"/>
        <v>-</v>
      </c>
    </row>
    <row r="667" spans="1:9" x14ac:dyDescent="0.25">
      <c r="A667">
        <v>8101</v>
      </c>
      <c r="B667" t="s">
        <v>945</v>
      </c>
      <c r="C667" t="s">
        <v>1827</v>
      </c>
      <c r="D667" t="s">
        <v>239</v>
      </c>
      <c r="F667">
        <v>3</v>
      </c>
      <c r="G667">
        <v>2</v>
      </c>
      <c r="H667" s="1296">
        <v>6</v>
      </c>
      <c r="I667" t="str">
        <f t="shared" si="10"/>
        <v>-</v>
      </c>
    </row>
    <row r="668" spans="1:9" x14ac:dyDescent="0.25">
      <c r="A668">
        <v>8103</v>
      </c>
      <c r="B668" t="s">
        <v>945</v>
      </c>
      <c r="C668" t="s">
        <v>1827</v>
      </c>
      <c r="D668" t="s">
        <v>127</v>
      </c>
      <c r="E668" t="s">
        <v>398</v>
      </c>
      <c r="F668">
        <v>2</v>
      </c>
      <c r="G668">
        <v>6</v>
      </c>
      <c r="H668" s="1296">
        <v>12</v>
      </c>
      <c r="I668" t="str">
        <f t="shared" si="10"/>
        <v>-</v>
      </c>
    </row>
    <row r="669" spans="1:9" x14ac:dyDescent="0.25">
      <c r="A669">
        <v>8104</v>
      </c>
      <c r="B669" t="s">
        <v>945</v>
      </c>
      <c r="C669" t="s">
        <v>1827</v>
      </c>
      <c r="D669" t="s">
        <v>127</v>
      </c>
      <c r="E669" t="s">
        <v>398</v>
      </c>
      <c r="F669">
        <v>1</v>
      </c>
      <c r="G669">
        <v>4</v>
      </c>
      <c r="H669" s="1296">
        <v>4</v>
      </c>
      <c r="I669" t="str">
        <f t="shared" si="10"/>
        <v>-</v>
      </c>
    </row>
    <row r="670" spans="1:9" x14ac:dyDescent="0.25">
      <c r="A670">
        <v>8106</v>
      </c>
      <c r="B670" t="s">
        <v>945</v>
      </c>
      <c r="C670" t="s">
        <v>1827</v>
      </c>
      <c r="D670" t="s">
        <v>563</v>
      </c>
      <c r="F670">
        <v>2</v>
      </c>
      <c r="G670">
        <v>10</v>
      </c>
      <c r="H670" s="1296">
        <v>20</v>
      </c>
      <c r="I670" t="str">
        <f t="shared" si="10"/>
        <v>-</v>
      </c>
    </row>
    <row r="671" spans="1:9" x14ac:dyDescent="0.25">
      <c r="A671">
        <v>8147</v>
      </c>
      <c r="B671" t="s">
        <v>945</v>
      </c>
      <c r="C671" t="s">
        <v>1828</v>
      </c>
      <c r="D671" t="s">
        <v>81</v>
      </c>
      <c r="E671" t="s">
        <v>82</v>
      </c>
      <c r="F671">
        <v>2</v>
      </c>
      <c r="G671">
        <v>5</v>
      </c>
      <c r="H671" s="1296">
        <v>10</v>
      </c>
      <c r="I671" t="str">
        <f t="shared" si="10"/>
        <v>-</v>
      </c>
    </row>
    <row r="672" spans="1:9" x14ac:dyDescent="0.25">
      <c r="A672">
        <v>8148</v>
      </c>
      <c r="B672" t="s">
        <v>945</v>
      </c>
      <c r="C672" t="s">
        <v>1828</v>
      </c>
      <c r="D672" t="s">
        <v>80</v>
      </c>
      <c r="E672" t="s">
        <v>77</v>
      </c>
      <c r="F672">
        <v>4</v>
      </c>
      <c r="G672">
        <v>5</v>
      </c>
      <c r="H672" s="1296">
        <v>20</v>
      </c>
      <c r="I672" t="str">
        <f t="shared" si="10"/>
        <v>-</v>
      </c>
    </row>
    <row r="673" spans="1:9" x14ac:dyDescent="0.25">
      <c r="A673">
        <v>8149</v>
      </c>
      <c r="B673" t="s">
        <v>945</v>
      </c>
      <c r="C673" t="s">
        <v>1828</v>
      </c>
      <c r="D673" t="s">
        <v>618</v>
      </c>
      <c r="E673" t="s">
        <v>87</v>
      </c>
      <c r="F673">
        <v>2</v>
      </c>
      <c r="G673">
        <v>5</v>
      </c>
      <c r="H673" s="1296">
        <v>10</v>
      </c>
      <c r="I673" t="str">
        <f t="shared" si="10"/>
        <v>-</v>
      </c>
    </row>
    <row r="674" spans="1:9" x14ac:dyDescent="0.25">
      <c r="A674">
        <v>8150</v>
      </c>
      <c r="B674" t="s">
        <v>945</v>
      </c>
      <c r="C674" t="s">
        <v>1828</v>
      </c>
      <c r="D674" t="s">
        <v>655</v>
      </c>
      <c r="E674" t="s">
        <v>94</v>
      </c>
      <c r="F674">
        <v>2</v>
      </c>
      <c r="G674">
        <v>5</v>
      </c>
      <c r="H674" s="1296">
        <v>10</v>
      </c>
      <c r="I674" t="str">
        <f t="shared" si="10"/>
        <v>-</v>
      </c>
    </row>
    <row r="675" spans="1:9" x14ac:dyDescent="0.25">
      <c r="A675">
        <v>8151</v>
      </c>
      <c r="B675" t="s">
        <v>945</v>
      </c>
      <c r="C675" t="s">
        <v>1828</v>
      </c>
      <c r="D675" t="s">
        <v>125</v>
      </c>
      <c r="E675" t="s">
        <v>324</v>
      </c>
      <c r="F675">
        <v>2</v>
      </c>
      <c r="G675">
        <v>5</v>
      </c>
      <c r="H675" s="1296">
        <v>10</v>
      </c>
      <c r="I675" t="str">
        <f t="shared" si="10"/>
        <v>-</v>
      </c>
    </row>
    <row r="676" spans="1:9" x14ac:dyDescent="0.25">
      <c r="A676">
        <v>8152</v>
      </c>
      <c r="B676" t="s">
        <v>945</v>
      </c>
      <c r="C676" t="s">
        <v>1828</v>
      </c>
      <c r="D676" t="s">
        <v>45</v>
      </c>
      <c r="E676" t="s">
        <v>41</v>
      </c>
      <c r="F676">
        <v>1</v>
      </c>
      <c r="G676">
        <v>5</v>
      </c>
      <c r="H676" s="1296">
        <v>5</v>
      </c>
      <c r="I676" t="str">
        <f t="shared" si="10"/>
        <v>-</v>
      </c>
    </row>
    <row r="677" spans="1:9" x14ac:dyDescent="0.25">
      <c r="A677">
        <v>8153</v>
      </c>
      <c r="B677" t="s">
        <v>945</v>
      </c>
      <c r="C677" t="s">
        <v>1828</v>
      </c>
      <c r="D677" t="s">
        <v>1829</v>
      </c>
      <c r="E677" t="s">
        <v>331</v>
      </c>
      <c r="F677">
        <v>2</v>
      </c>
      <c r="G677">
        <v>5</v>
      </c>
      <c r="H677" s="1296">
        <v>10</v>
      </c>
      <c r="I677" t="str">
        <f t="shared" si="10"/>
        <v>-</v>
      </c>
    </row>
    <row r="678" spans="1:9" x14ac:dyDescent="0.25">
      <c r="A678">
        <v>8155</v>
      </c>
      <c r="B678" t="s">
        <v>945</v>
      </c>
      <c r="C678" t="s">
        <v>1828</v>
      </c>
      <c r="D678" t="s">
        <v>1830</v>
      </c>
      <c r="F678">
        <v>2</v>
      </c>
      <c r="G678">
        <v>10</v>
      </c>
      <c r="H678" s="1296">
        <v>20</v>
      </c>
      <c r="I678" t="str">
        <f t="shared" si="10"/>
        <v>-</v>
      </c>
    </row>
    <row r="679" spans="1:9" x14ac:dyDescent="0.25">
      <c r="A679">
        <v>8156</v>
      </c>
      <c r="B679" t="s">
        <v>945</v>
      </c>
      <c r="C679" t="s">
        <v>1828</v>
      </c>
      <c r="D679" t="s">
        <v>1745</v>
      </c>
      <c r="F679">
        <v>2</v>
      </c>
      <c r="G679">
        <v>10</v>
      </c>
      <c r="H679" s="1296">
        <v>20</v>
      </c>
      <c r="I679" t="str">
        <f t="shared" si="10"/>
        <v>-</v>
      </c>
    </row>
    <row r="680" spans="1:9" x14ac:dyDescent="0.25">
      <c r="A680">
        <v>8158</v>
      </c>
      <c r="B680" t="s">
        <v>945</v>
      </c>
      <c r="C680" t="s">
        <v>1828</v>
      </c>
      <c r="D680" t="s">
        <v>815</v>
      </c>
      <c r="E680" t="s">
        <v>385</v>
      </c>
      <c r="F680">
        <v>2</v>
      </c>
      <c r="G680">
        <v>6</v>
      </c>
      <c r="H680" s="1296">
        <v>12</v>
      </c>
      <c r="I680" t="str">
        <f t="shared" si="10"/>
        <v>-</v>
      </c>
    </row>
    <row r="681" spans="1:9" x14ac:dyDescent="0.25">
      <c r="A681">
        <v>8160</v>
      </c>
      <c r="B681" t="s">
        <v>945</v>
      </c>
      <c r="C681" t="s">
        <v>1828</v>
      </c>
      <c r="D681" t="s">
        <v>1833</v>
      </c>
      <c r="E681" t="s">
        <v>445</v>
      </c>
      <c r="F681">
        <v>1</v>
      </c>
      <c r="G681">
        <v>25</v>
      </c>
      <c r="H681" s="1296">
        <v>25</v>
      </c>
      <c r="I681" t="str">
        <f t="shared" si="10"/>
        <v>-</v>
      </c>
    </row>
    <row r="682" spans="1:9" x14ac:dyDescent="0.25">
      <c r="A682">
        <v>8162</v>
      </c>
      <c r="B682" t="s">
        <v>945</v>
      </c>
      <c r="C682" t="s">
        <v>1828</v>
      </c>
      <c r="D682" t="s">
        <v>1077</v>
      </c>
      <c r="E682" t="s">
        <v>5</v>
      </c>
      <c r="F682">
        <v>5</v>
      </c>
      <c r="G682">
        <v>24</v>
      </c>
      <c r="H682" s="1296">
        <v>120</v>
      </c>
      <c r="I682" t="str">
        <f t="shared" si="10"/>
        <v>-</v>
      </c>
    </row>
    <row r="683" spans="1:9" x14ac:dyDescent="0.25">
      <c r="A683">
        <v>8193</v>
      </c>
      <c r="B683" t="s">
        <v>951</v>
      </c>
      <c r="C683" t="s">
        <v>1835</v>
      </c>
      <c r="D683" t="s">
        <v>80</v>
      </c>
      <c r="E683" t="s">
        <v>77</v>
      </c>
      <c r="F683">
        <v>1</v>
      </c>
      <c r="G683">
        <v>5</v>
      </c>
      <c r="H683" s="1296">
        <v>5</v>
      </c>
      <c r="I683" t="str">
        <f t="shared" si="10"/>
        <v>-</v>
      </c>
    </row>
    <row r="684" spans="1:9" x14ac:dyDescent="0.25">
      <c r="A684">
        <v>8195</v>
      </c>
      <c r="B684" t="s">
        <v>951</v>
      </c>
      <c r="C684" t="s">
        <v>1835</v>
      </c>
      <c r="D684" t="s">
        <v>1836</v>
      </c>
      <c r="F684">
        <v>1</v>
      </c>
      <c r="G684">
        <v>5</v>
      </c>
      <c r="H684" s="1296">
        <v>5</v>
      </c>
      <c r="I684" t="str">
        <f t="shared" si="10"/>
        <v>-</v>
      </c>
    </row>
    <row r="685" spans="1:9" x14ac:dyDescent="0.25">
      <c r="A685">
        <v>8239</v>
      </c>
      <c r="B685" t="s">
        <v>951</v>
      </c>
      <c r="C685" t="s">
        <v>1837</v>
      </c>
      <c r="D685" t="s">
        <v>1830</v>
      </c>
      <c r="F685">
        <v>5</v>
      </c>
      <c r="G685">
        <v>10</v>
      </c>
      <c r="H685" s="1296">
        <v>50</v>
      </c>
      <c r="I685" t="str">
        <f t="shared" si="10"/>
        <v>-</v>
      </c>
    </row>
    <row r="686" spans="1:9" x14ac:dyDescent="0.25">
      <c r="A686">
        <v>8282</v>
      </c>
      <c r="B686" t="s">
        <v>958</v>
      </c>
      <c r="C686" t="s">
        <v>1838</v>
      </c>
      <c r="D686">
        <v>508</v>
      </c>
      <c r="F686">
        <v>1</v>
      </c>
      <c r="G686">
        <v>4</v>
      </c>
      <c r="H686" s="1296">
        <v>4</v>
      </c>
      <c r="I686" t="str">
        <f t="shared" si="10"/>
        <v>-</v>
      </c>
    </row>
    <row r="687" spans="1:9" x14ac:dyDescent="0.25">
      <c r="A687">
        <v>8284</v>
      </c>
      <c r="B687" t="s">
        <v>958</v>
      </c>
      <c r="C687" t="s">
        <v>1838</v>
      </c>
      <c r="D687" t="s">
        <v>56</v>
      </c>
      <c r="E687" t="s">
        <v>1839</v>
      </c>
      <c r="F687">
        <v>1</v>
      </c>
      <c r="G687">
        <v>6</v>
      </c>
      <c r="H687" s="1296">
        <v>6</v>
      </c>
      <c r="I687" t="str">
        <f t="shared" si="10"/>
        <v>-</v>
      </c>
    </row>
    <row r="688" spans="1:9" x14ac:dyDescent="0.25">
      <c r="A688">
        <v>8285</v>
      </c>
      <c r="B688" t="s">
        <v>958</v>
      </c>
      <c r="C688" t="s">
        <v>1838</v>
      </c>
      <c r="D688" t="s">
        <v>1718</v>
      </c>
      <c r="E688" t="s">
        <v>379</v>
      </c>
      <c r="F688">
        <v>2</v>
      </c>
      <c r="G688">
        <v>6</v>
      </c>
      <c r="H688" s="1296">
        <v>12</v>
      </c>
      <c r="I688" t="str">
        <f t="shared" si="10"/>
        <v>-</v>
      </c>
    </row>
    <row r="689" spans="1:9" x14ac:dyDescent="0.25">
      <c r="A689">
        <v>8286</v>
      </c>
      <c r="B689" t="s">
        <v>958</v>
      </c>
      <c r="C689" t="s">
        <v>1838</v>
      </c>
      <c r="D689" t="s">
        <v>134</v>
      </c>
      <c r="E689" t="s">
        <v>367</v>
      </c>
      <c r="F689">
        <v>1</v>
      </c>
      <c r="G689">
        <v>6</v>
      </c>
      <c r="H689" s="1296">
        <v>6</v>
      </c>
      <c r="I689" t="str">
        <f t="shared" si="10"/>
        <v>-</v>
      </c>
    </row>
    <row r="690" spans="1:9" x14ac:dyDescent="0.25">
      <c r="A690">
        <v>8289</v>
      </c>
      <c r="B690" t="s">
        <v>958</v>
      </c>
      <c r="C690" t="s">
        <v>1838</v>
      </c>
      <c r="D690" t="s">
        <v>1203</v>
      </c>
      <c r="E690" t="s">
        <v>47</v>
      </c>
      <c r="F690">
        <v>1</v>
      </c>
      <c r="G690">
        <v>5</v>
      </c>
      <c r="H690" s="1296">
        <v>5</v>
      </c>
      <c r="I690" t="str">
        <f t="shared" si="10"/>
        <v>-</v>
      </c>
    </row>
    <row r="691" spans="1:9" x14ac:dyDescent="0.25">
      <c r="A691">
        <v>8290</v>
      </c>
      <c r="B691" t="s">
        <v>958</v>
      </c>
      <c r="C691" t="s">
        <v>1838</v>
      </c>
      <c r="D691" t="s">
        <v>131</v>
      </c>
      <c r="E691" t="s">
        <v>329</v>
      </c>
      <c r="F691">
        <v>2</v>
      </c>
      <c r="G691">
        <v>5</v>
      </c>
      <c r="H691" s="1296">
        <v>10</v>
      </c>
      <c r="I691" t="str">
        <f t="shared" si="10"/>
        <v>-</v>
      </c>
    </row>
    <row r="692" spans="1:9" x14ac:dyDescent="0.25">
      <c r="A692">
        <v>8291</v>
      </c>
      <c r="B692" t="s">
        <v>958</v>
      </c>
      <c r="C692" t="s">
        <v>1838</v>
      </c>
      <c r="D692" t="s">
        <v>126</v>
      </c>
      <c r="E692" t="s">
        <v>1840</v>
      </c>
      <c r="F692">
        <v>1</v>
      </c>
      <c r="G692">
        <v>5</v>
      </c>
      <c r="H692" s="1296">
        <v>5</v>
      </c>
      <c r="I692" t="str">
        <f t="shared" si="10"/>
        <v>-</v>
      </c>
    </row>
    <row r="693" spans="1:9" x14ac:dyDescent="0.25">
      <c r="A693">
        <v>8292</v>
      </c>
      <c r="B693" t="s">
        <v>958</v>
      </c>
      <c r="C693" t="s">
        <v>1838</v>
      </c>
      <c r="D693" t="s">
        <v>80</v>
      </c>
      <c r="E693" t="s">
        <v>77</v>
      </c>
      <c r="F693">
        <v>2</v>
      </c>
      <c r="G693">
        <v>5</v>
      </c>
      <c r="H693" s="1296">
        <v>10</v>
      </c>
      <c r="I693" t="str">
        <f t="shared" si="10"/>
        <v>-</v>
      </c>
    </row>
    <row r="694" spans="1:9" x14ac:dyDescent="0.25">
      <c r="A694">
        <v>8293</v>
      </c>
      <c r="B694" t="s">
        <v>958</v>
      </c>
      <c r="C694" t="s">
        <v>1838</v>
      </c>
      <c r="D694" t="s">
        <v>1841</v>
      </c>
      <c r="E694" t="s">
        <v>330</v>
      </c>
      <c r="F694">
        <v>1</v>
      </c>
      <c r="G694">
        <v>5</v>
      </c>
      <c r="H694" s="1296">
        <v>5</v>
      </c>
      <c r="I694" t="str">
        <f t="shared" si="10"/>
        <v>-</v>
      </c>
    </row>
    <row r="695" spans="1:9" x14ac:dyDescent="0.25">
      <c r="A695">
        <v>8295</v>
      </c>
      <c r="B695" t="s">
        <v>958</v>
      </c>
      <c r="C695" t="s">
        <v>1838</v>
      </c>
      <c r="D695" t="s">
        <v>1824</v>
      </c>
      <c r="F695">
        <v>1</v>
      </c>
      <c r="G695">
        <v>5</v>
      </c>
      <c r="H695" s="1296">
        <v>5</v>
      </c>
      <c r="I695" t="str">
        <f t="shared" si="10"/>
        <v>-</v>
      </c>
    </row>
    <row r="696" spans="1:9" x14ac:dyDescent="0.25">
      <c r="A696">
        <v>8297</v>
      </c>
      <c r="B696" t="s">
        <v>958</v>
      </c>
      <c r="C696" t="s">
        <v>1838</v>
      </c>
      <c r="D696" t="s">
        <v>1768</v>
      </c>
      <c r="E696" t="s">
        <v>1843</v>
      </c>
      <c r="F696">
        <v>1</v>
      </c>
      <c r="G696">
        <v>10</v>
      </c>
      <c r="H696" s="1296">
        <v>10</v>
      </c>
      <c r="I696" t="str">
        <f t="shared" si="10"/>
        <v>-</v>
      </c>
    </row>
    <row r="697" spans="1:9" x14ac:dyDescent="0.25">
      <c r="A697">
        <v>8298</v>
      </c>
      <c r="B697" t="s">
        <v>958</v>
      </c>
      <c r="C697" t="s">
        <v>1838</v>
      </c>
      <c r="D697" t="s">
        <v>1649</v>
      </c>
      <c r="F697">
        <v>1</v>
      </c>
      <c r="G697">
        <v>10</v>
      </c>
      <c r="H697" s="1296">
        <v>10</v>
      </c>
      <c r="I697" t="str">
        <f t="shared" si="10"/>
        <v>-</v>
      </c>
    </row>
    <row r="698" spans="1:9" x14ac:dyDescent="0.25">
      <c r="A698">
        <v>8300</v>
      </c>
      <c r="B698" t="s">
        <v>958</v>
      </c>
      <c r="C698" t="s">
        <v>1838</v>
      </c>
      <c r="D698" t="s">
        <v>226</v>
      </c>
      <c r="E698" t="s">
        <v>427</v>
      </c>
      <c r="F698">
        <v>1</v>
      </c>
      <c r="G698">
        <v>25</v>
      </c>
      <c r="H698" s="1296">
        <v>25</v>
      </c>
      <c r="I698" t="str">
        <f t="shared" si="10"/>
        <v>-</v>
      </c>
    </row>
    <row r="699" spans="1:9" x14ac:dyDescent="0.25">
      <c r="A699">
        <v>8329</v>
      </c>
      <c r="B699" t="s">
        <v>962</v>
      </c>
      <c r="C699" t="s">
        <v>1845</v>
      </c>
      <c r="D699" t="s">
        <v>1737</v>
      </c>
      <c r="E699" t="s">
        <v>371</v>
      </c>
      <c r="F699">
        <v>5</v>
      </c>
      <c r="G699">
        <v>6</v>
      </c>
      <c r="H699" s="1296">
        <v>30</v>
      </c>
      <c r="I699" t="str">
        <f t="shared" si="10"/>
        <v>-</v>
      </c>
    </row>
    <row r="700" spans="1:9" x14ac:dyDescent="0.25">
      <c r="A700">
        <v>8330</v>
      </c>
      <c r="B700" t="s">
        <v>962</v>
      </c>
      <c r="C700" t="s">
        <v>1845</v>
      </c>
      <c r="D700" t="s">
        <v>1737</v>
      </c>
      <c r="E700" t="s">
        <v>371</v>
      </c>
      <c r="F700">
        <v>2</v>
      </c>
      <c r="G700">
        <v>1</v>
      </c>
      <c r="H700" s="1296">
        <v>2</v>
      </c>
      <c r="I700" t="str">
        <f t="shared" si="10"/>
        <v>-</v>
      </c>
    </row>
    <row r="701" spans="1:9" x14ac:dyDescent="0.25">
      <c r="A701">
        <v>8331</v>
      </c>
      <c r="B701" t="s">
        <v>962</v>
      </c>
      <c r="C701" t="s">
        <v>1845</v>
      </c>
      <c r="D701" t="s">
        <v>1846</v>
      </c>
      <c r="E701" t="s">
        <v>401</v>
      </c>
      <c r="F701">
        <v>2</v>
      </c>
      <c r="G701">
        <v>6</v>
      </c>
      <c r="H701" s="1296">
        <v>12</v>
      </c>
      <c r="I701" t="str">
        <f t="shared" si="10"/>
        <v>-</v>
      </c>
    </row>
    <row r="702" spans="1:9" x14ac:dyDescent="0.25">
      <c r="A702">
        <v>8333</v>
      </c>
      <c r="B702" t="s">
        <v>962</v>
      </c>
      <c r="C702" t="s">
        <v>1845</v>
      </c>
      <c r="D702" t="s">
        <v>669</v>
      </c>
      <c r="F702">
        <v>2</v>
      </c>
      <c r="G702">
        <v>5</v>
      </c>
      <c r="H702" s="1296">
        <v>10</v>
      </c>
      <c r="I702" t="str">
        <f t="shared" si="10"/>
        <v>-</v>
      </c>
    </row>
    <row r="703" spans="1:9" x14ac:dyDescent="0.25">
      <c r="A703">
        <v>8334</v>
      </c>
      <c r="B703" t="s">
        <v>962</v>
      </c>
      <c r="C703" t="s">
        <v>1845</v>
      </c>
      <c r="D703" t="s">
        <v>673</v>
      </c>
      <c r="F703">
        <v>2</v>
      </c>
      <c r="G703">
        <v>5</v>
      </c>
      <c r="H703" s="1296">
        <v>10</v>
      </c>
      <c r="I703" t="str">
        <f t="shared" si="10"/>
        <v>-</v>
      </c>
    </row>
    <row r="704" spans="1:9" x14ac:dyDescent="0.25">
      <c r="A704">
        <v>8336</v>
      </c>
      <c r="B704" t="s">
        <v>962</v>
      </c>
      <c r="C704" t="s">
        <v>1845</v>
      </c>
      <c r="D704" t="s">
        <v>226</v>
      </c>
      <c r="E704" t="s">
        <v>427</v>
      </c>
      <c r="F704">
        <v>2</v>
      </c>
      <c r="G704">
        <v>25</v>
      </c>
      <c r="H704" s="1296">
        <v>50</v>
      </c>
      <c r="I704" t="str">
        <f t="shared" si="10"/>
        <v>-</v>
      </c>
    </row>
    <row r="705" spans="1:9" x14ac:dyDescent="0.25">
      <c r="A705">
        <v>8377</v>
      </c>
      <c r="B705" t="s">
        <v>964</v>
      </c>
      <c r="C705" t="s">
        <v>1847</v>
      </c>
      <c r="D705" t="s">
        <v>1474</v>
      </c>
      <c r="E705" t="s">
        <v>1848</v>
      </c>
      <c r="F705">
        <v>7</v>
      </c>
      <c r="G705">
        <v>100</v>
      </c>
      <c r="H705" s="1296">
        <v>700</v>
      </c>
      <c r="I705" t="str">
        <f t="shared" si="10"/>
        <v>-</v>
      </c>
    </row>
    <row r="706" spans="1:9" x14ac:dyDescent="0.25">
      <c r="A706">
        <v>8426</v>
      </c>
      <c r="B706" t="s">
        <v>964</v>
      </c>
      <c r="C706" t="s">
        <v>1849</v>
      </c>
      <c r="D706" t="s">
        <v>68</v>
      </c>
      <c r="E706" t="s">
        <v>375</v>
      </c>
      <c r="F706">
        <v>2</v>
      </c>
      <c r="G706">
        <v>6</v>
      </c>
      <c r="H706" s="1296">
        <v>12</v>
      </c>
      <c r="I706" t="str">
        <f t="shared" ref="I706:I769" si="11">INDEX($N$2:$N$355,MATCH($A706,$L$2:$L$355,1))</f>
        <v>-</v>
      </c>
    </row>
    <row r="707" spans="1:9" x14ac:dyDescent="0.25">
      <c r="A707">
        <v>8427</v>
      </c>
      <c r="B707" t="s">
        <v>964</v>
      </c>
      <c r="C707" t="s">
        <v>1849</v>
      </c>
      <c r="D707" t="s">
        <v>134</v>
      </c>
      <c r="E707" t="s">
        <v>367</v>
      </c>
      <c r="F707">
        <v>1</v>
      </c>
      <c r="G707">
        <v>6</v>
      </c>
      <c r="H707" s="1296">
        <v>6</v>
      </c>
      <c r="I707" t="str">
        <f t="shared" si="11"/>
        <v>-</v>
      </c>
    </row>
    <row r="708" spans="1:9" x14ac:dyDescent="0.25">
      <c r="A708">
        <v>8428</v>
      </c>
      <c r="B708" t="s">
        <v>964</v>
      </c>
      <c r="C708" t="s">
        <v>1849</v>
      </c>
      <c r="D708" t="s">
        <v>1718</v>
      </c>
      <c r="E708" t="s">
        <v>379</v>
      </c>
      <c r="F708">
        <v>1</v>
      </c>
      <c r="G708">
        <v>6</v>
      </c>
      <c r="H708" s="1296">
        <v>6</v>
      </c>
      <c r="I708" t="str">
        <f t="shared" si="11"/>
        <v>-</v>
      </c>
    </row>
    <row r="709" spans="1:9" x14ac:dyDescent="0.25">
      <c r="A709">
        <v>8430</v>
      </c>
      <c r="B709" t="s">
        <v>964</v>
      </c>
      <c r="C709" t="s">
        <v>1849</v>
      </c>
      <c r="D709" t="s">
        <v>134</v>
      </c>
      <c r="F709">
        <v>19</v>
      </c>
      <c r="G709">
        <v>1</v>
      </c>
      <c r="H709" s="1296">
        <v>19</v>
      </c>
      <c r="I709" t="str">
        <f t="shared" si="11"/>
        <v>-</v>
      </c>
    </row>
    <row r="710" spans="1:9" x14ac:dyDescent="0.25">
      <c r="A710">
        <v>8431</v>
      </c>
      <c r="B710" t="s">
        <v>964</v>
      </c>
      <c r="C710" t="s">
        <v>1849</v>
      </c>
      <c r="D710" t="s">
        <v>68</v>
      </c>
      <c r="F710">
        <v>9</v>
      </c>
      <c r="G710">
        <v>1</v>
      </c>
      <c r="H710" s="1296">
        <v>9</v>
      </c>
      <c r="I710" t="str">
        <f t="shared" si="11"/>
        <v>-</v>
      </c>
    </row>
    <row r="711" spans="1:9" x14ac:dyDescent="0.25">
      <c r="A711">
        <v>8469</v>
      </c>
      <c r="B711" t="s">
        <v>964</v>
      </c>
      <c r="C711" t="s">
        <v>1418</v>
      </c>
      <c r="D711" t="s">
        <v>1850</v>
      </c>
      <c r="E711" t="s">
        <v>298</v>
      </c>
      <c r="F711">
        <v>4</v>
      </c>
      <c r="G711">
        <v>5</v>
      </c>
      <c r="H711" s="1296">
        <v>20</v>
      </c>
      <c r="I711" t="str">
        <f t="shared" si="11"/>
        <v>-</v>
      </c>
    </row>
    <row r="712" spans="1:9" x14ac:dyDescent="0.25">
      <c r="A712">
        <v>8470</v>
      </c>
      <c r="B712" t="s">
        <v>964</v>
      </c>
      <c r="C712" t="s">
        <v>1418</v>
      </c>
      <c r="D712" t="s">
        <v>1552</v>
      </c>
      <c r="E712" t="s">
        <v>330</v>
      </c>
      <c r="F712">
        <v>8</v>
      </c>
      <c r="G712">
        <v>5</v>
      </c>
      <c r="H712" s="1296">
        <v>40</v>
      </c>
      <c r="I712" t="str">
        <f t="shared" si="11"/>
        <v>-</v>
      </c>
    </row>
    <row r="713" spans="1:9" x14ac:dyDescent="0.25">
      <c r="A713">
        <v>8472</v>
      </c>
      <c r="B713" t="s">
        <v>964</v>
      </c>
      <c r="C713" t="s">
        <v>1418</v>
      </c>
      <c r="D713" t="s">
        <v>1830</v>
      </c>
      <c r="F713">
        <v>2</v>
      </c>
      <c r="G713">
        <v>10</v>
      </c>
      <c r="H713" s="1296">
        <v>20</v>
      </c>
      <c r="I713" t="str">
        <f t="shared" si="11"/>
        <v>-</v>
      </c>
    </row>
    <row r="714" spans="1:9" x14ac:dyDescent="0.25">
      <c r="A714">
        <v>8473</v>
      </c>
      <c r="B714" t="s">
        <v>964</v>
      </c>
      <c r="C714" t="s">
        <v>1418</v>
      </c>
      <c r="D714" t="s">
        <v>1770</v>
      </c>
      <c r="F714">
        <v>10</v>
      </c>
      <c r="G714">
        <v>10</v>
      </c>
      <c r="H714" s="1296">
        <v>100</v>
      </c>
      <c r="I714" t="str">
        <f t="shared" si="11"/>
        <v>-</v>
      </c>
    </row>
    <row r="715" spans="1:9" x14ac:dyDescent="0.25">
      <c r="A715">
        <v>8474</v>
      </c>
      <c r="B715" t="s">
        <v>964</v>
      </c>
      <c r="C715" t="s">
        <v>1418</v>
      </c>
      <c r="D715" t="s">
        <v>1851</v>
      </c>
      <c r="F715">
        <v>5</v>
      </c>
      <c r="G715">
        <v>10</v>
      </c>
      <c r="H715" s="1296">
        <v>50</v>
      </c>
      <c r="I715" t="str">
        <f t="shared" si="11"/>
        <v>-</v>
      </c>
    </row>
    <row r="716" spans="1:9" x14ac:dyDescent="0.25">
      <c r="A716">
        <v>8476</v>
      </c>
      <c r="B716" t="s">
        <v>964</v>
      </c>
      <c r="C716" t="s">
        <v>1418</v>
      </c>
      <c r="D716" t="s">
        <v>1076</v>
      </c>
      <c r="F716">
        <v>50</v>
      </c>
      <c r="G716">
        <v>1</v>
      </c>
      <c r="H716" s="1296">
        <v>50</v>
      </c>
      <c r="I716" t="str">
        <f t="shared" si="11"/>
        <v>-</v>
      </c>
    </row>
    <row r="717" spans="1:9" x14ac:dyDescent="0.25">
      <c r="A717">
        <v>8478</v>
      </c>
      <c r="B717" t="s">
        <v>964</v>
      </c>
      <c r="C717" t="s">
        <v>1418</v>
      </c>
      <c r="D717" t="s">
        <v>1853</v>
      </c>
      <c r="E717" t="s">
        <v>1815</v>
      </c>
      <c r="F717">
        <v>1</v>
      </c>
      <c r="G717">
        <v>250</v>
      </c>
      <c r="H717" s="1296">
        <v>250</v>
      </c>
      <c r="I717" t="str">
        <f t="shared" si="11"/>
        <v>-</v>
      </c>
    </row>
    <row r="718" spans="1:9" x14ac:dyDescent="0.25">
      <c r="A718">
        <v>8481</v>
      </c>
      <c r="B718" t="s">
        <v>964</v>
      </c>
      <c r="C718" t="s">
        <v>1418</v>
      </c>
      <c r="D718" t="s">
        <v>218</v>
      </c>
      <c r="E718" t="s">
        <v>440</v>
      </c>
      <c r="F718">
        <v>1</v>
      </c>
      <c r="G718">
        <v>25</v>
      </c>
      <c r="H718" s="1296">
        <v>25</v>
      </c>
      <c r="I718" t="str">
        <f t="shared" si="11"/>
        <v>-</v>
      </c>
    </row>
    <row r="719" spans="1:9" x14ac:dyDescent="0.25">
      <c r="A719">
        <v>8482</v>
      </c>
      <c r="B719" t="s">
        <v>964</v>
      </c>
      <c r="C719" t="s">
        <v>1418</v>
      </c>
      <c r="D719" t="s">
        <v>250</v>
      </c>
      <c r="E719" t="s">
        <v>424</v>
      </c>
      <c r="F719">
        <v>2</v>
      </c>
      <c r="G719">
        <v>25</v>
      </c>
      <c r="H719" s="1296">
        <v>50</v>
      </c>
      <c r="I719" t="str">
        <f t="shared" si="11"/>
        <v>-</v>
      </c>
    </row>
    <row r="720" spans="1:9" x14ac:dyDescent="0.25">
      <c r="A720">
        <v>8512</v>
      </c>
      <c r="B720" t="s">
        <v>964</v>
      </c>
      <c r="C720" t="s">
        <v>1855</v>
      </c>
      <c r="D720" t="s">
        <v>123</v>
      </c>
      <c r="E720" t="s">
        <v>401</v>
      </c>
      <c r="F720">
        <v>1</v>
      </c>
      <c r="G720">
        <v>6</v>
      </c>
      <c r="H720" s="1296">
        <v>6</v>
      </c>
      <c r="I720" t="str">
        <f t="shared" si="11"/>
        <v>-</v>
      </c>
    </row>
    <row r="721" spans="1:9" x14ac:dyDescent="0.25">
      <c r="A721">
        <v>8513</v>
      </c>
      <c r="B721" t="s">
        <v>964</v>
      </c>
      <c r="C721" t="s">
        <v>1855</v>
      </c>
      <c r="D721" t="s">
        <v>1578</v>
      </c>
      <c r="E721" t="s">
        <v>402</v>
      </c>
      <c r="F721">
        <v>2</v>
      </c>
      <c r="G721">
        <v>6</v>
      </c>
      <c r="H721" s="1296">
        <v>12</v>
      </c>
      <c r="I721" t="str">
        <f t="shared" si="11"/>
        <v>-</v>
      </c>
    </row>
    <row r="722" spans="1:9" x14ac:dyDescent="0.25">
      <c r="A722">
        <v>8515</v>
      </c>
      <c r="B722" t="s">
        <v>964</v>
      </c>
      <c r="C722" t="s">
        <v>1855</v>
      </c>
      <c r="D722" t="s">
        <v>131</v>
      </c>
      <c r="E722" t="s">
        <v>329</v>
      </c>
      <c r="F722">
        <v>2</v>
      </c>
      <c r="G722">
        <v>5</v>
      </c>
      <c r="H722" s="1296">
        <v>10</v>
      </c>
      <c r="I722" t="str">
        <f t="shared" si="11"/>
        <v>-</v>
      </c>
    </row>
    <row r="723" spans="1:9" x14ac:dyDescent="0.25">
      <c r="A723">
        <v>8516</v>
      </c>
      <c r="B723" t="s">
        <v>964</v>
      </c>
      <c r="C723" t="s">
        <v>1855</v>
      </c>
      <c r="D723" t="s">
        <v>118</v>
      </c>
      <c r="E723" t="s">
        <v>1599</v>
      </c>
      <c r="F723">
        <v>2</v>
      </c>
      <c r="G723">
        <v>5</v>
      </c>
      <c r="H723" s="1296">
        <v>10</v>
      </c>
      <c r="I723" t="str">
        <f t="shared" si="11"/>
        <v>-</v>
      </c>
    </row>
    <row r="724" spans="1:9" x14ac:dyDescent="0.25">
      <c r="A724">
        <v>8517</v>
      </c>
      <c r="B724" t="s">
        <v>964</v>
      </c>
      <c r="C724" t="s">
        <v>1855</v>
      </c>
      <c r="D724" t="s">
        <v>15</v>
      </c>
      <c r="E724" t="s">
        <v>16</v>
      </c>
      <c r="F724">
        <v>1</v>
      </c>
      <c r="G724">
        <v>5</v>
      </c>
      <c r="H724" s="1296">
        <v>5</v>
      </c>
      <c r="I724" t="str">
        <f t="shared" si="11"/>
        <v>-</v>
      </c>
    </row>
    <row r="725" spans="1:9" x14ac:dyDescent="0.25">
      <c r="A725">
        <v>8519</v>
      </c>
      <c r="B725" t="s">
        <v>964</v>
      </c>
      <c r="C725" t="s">
        <v>1855</v>
      </c>
      <c r="D725" t="s">
        <v>1770</v>
      </c>
      <c r="F725">
        <v>5</v>
      </c>
      <c r="G725">
        <v>10</v>
      </c>
      <c r="H725" s="1296">
        <v>50</v>
      </c>
      <c r="I725" t="str">
        <f t="shared" si="11"/>
        <v>-</v>
      </c>
    </row>
    <row r="726" spans="1:9" x14ac:dyDescent="0.25">
      <c r="A726">
        <v>8520</v>
      </c>
      <c r="B726" t="s">
        <v>964</v>
      </c>
      <c r="C726" t="s">
        <v>1855</v>
      </c>
      <c r="D726" t="s">
        <v>1823</v>
      </c>
      <c r="F726">
        <v>2</v>
      </c>
      <c r="G726">
        <v>5</v>
      </c>
      <c r="H726" s="1296">
        <v>10</v>
      </c>
      <c r="I726" t="str">
        <f t="shared" si="11"/>
        <v>-</v>
      </c>
    </row>
    <row r="727" spans="1:9" x14ac:dyDescent="0.25">
      <c r="A727">
        <v>8522</v>
      </c>
      <c r="B727" t="s">
        <v>964</v>
      </c>
      <c r="C727" t="s">
        <v>1855</v>
      </c>
      <c r="D727" t="s">
        <v>1512</v>
      </c>
      <c r="F727">
        <v>1</v>
      </c>
      <c r="G727">
        <v>100</v>
      </c>
      <c r="H727" s="1296">
        <v>100</v>
      </c>
      <c r="I727" t="str">
        <f t="shared" si="11"/>
        <v>-</v>
      </c>
    </row>
    <row r="728" spans="1:9" x14ac:dyDescent="0.25">
      <c r="A728">
        <v>8523</v>
      </c>
      <c r="B728" t="s">
        <v>964</v>
      </c>
      <c r="C728" t="s">
        <v>1855</v>
      </c>
      <c r="D728" t="s">
        <v>1719</v>
      </c>
      <c r="F728">
        <v>1</v>
      </c>
      <c r="G728">
        <v>200</v>
      </c>
      <c r="H728" s="1296">
        <v>200</v>
      </c>
      <c r="I728" t="str">
        <f t="shared" si="11"/>
        <v>-</v>
      </c>
    </row>
    <row r="729" spans="1:9" x14ac:dyDescent="0.25">
      <c r="A729">
        <v>8525</v>
      </c>
      <c r="B729" t="s">
        <v>964</v>
      </c>
      <c r="C729" t="s">
        <v>1855</v>
      </c>
      <c r="D729" t="s">
        <v>1453</v>
      </c>
      <c r="E729" t="s">
        <v>12</v>
      </c>
      <c r="F729">
        <v>4</v>
      </c>
      <c r="G729">
        <v>24</v>
      </c>
      <c r="H729" s="1296">
        <v>96</v>
      </c>
      <c r="I729" t="str">
        <f t="shared" si="11"/>
        <v>-</v>
      </c>
    </row>
    <row r="730" spans="1:9" x14ac:dyDescent="0.25">
      <c r="A730">
        <v>8526</v>
      </c>
      <c r="B730" t="s">
        <v>964</v>
      </c>
      <c r="C730" t="s">
        <v>1855</v>
      </c>
      <c r="D730" t="s">
        <v>1077</v>
      </c>
      <c r="E730" t="s">
        <v>5</v>
      </c>
      <c r="F730">
        <v>12</v>
      </c>
      <c r="G730">
        <v>24</v>
      </c>
      <c r="H730" s="1296">
        <v>288</v>
      </c>
      <c r="I730" t="str">
        <f t="shared" si="11"/>
        <v>-</v>
      </c>
    </row>
    <row r="731" spans="1:9" x14ac:dyDescent="0.25">
      <c r="A731">
        <v>8527</v>
      </c>
      <c r="B731" t="s">
        <v>964</v>
      </c>
      <c r="C731" t="s">
        <v>1855</v>
      </c>
      <c r="D731" t="s">
        <v>1077</v>
      </c>
      <c r="E731" t="s">
        <v>5</v>
      </c>
      <c r="F731">
        <v>1</v>
      </c>
      <c r="G731">
        <v>24</v>
      </c>
      <c r="H731" s="1296">
        <v>24</v>
      </c>
      <c r="I731" t="str">
        <f t="shared" si="11"/>
        <v>-</v>
      </c>
    </row>
    <row r="732" spans="1:9" x14ac:dyDescent="0.25">
      <c r="A732">
        <v>8560</v>
      </c>
      <c r="B732" t="s">
        <v>970</v>
      </c>
      <c r="C732" t="s">
        <v>1857</v>
      </c>
      <c r="D732" t="s">
        <v>131</v>
      </c>
      <c r="E732" t="s">
        <v>329</v>
      </c>
      <c r="F732">
        <v>4</v>
      </c>
      <c r="G732">
        <v>5</v>
      </c>
      <c r="H732" s="1296">
        <v>20</v>
      </c>
      <c r="I732" t="str">
        <f t="shared" si="11"/>
        <v>-</v>
      </c>
    </row>
    <row r="733" spans="1:9" x14ac:dyDescent="0.25">
      <c r="A733">
        <v>8561</v>
      </c>
      <c r="B733" t="s">
        <v>970</v>
      </c>
      <c r="C733" t="s">
        <v>1857</v>
      </c>
      <c r="D733" t="s">
        <v>127</v>
      </c>
      <c r="E733" t="s">
        <v>326</v>
      </c>
      <c r="F733">
        <v>4</v>
      </c>
      <c r="G733">
        <v>5</v>
      </c>
      <c r="H733" s="1296">
        <v>20</v>
      </c>
      <c r="I733" t="str">
        <f t="shared" si="11"/>
        <v>-</v>
      </c>
    </row>
    <row r="734" spans="1:9" x14ac:dyDescent="0.25">
      <c r="A734">
        <v>8606</v>
      </c>
      <c r="B734" t="s">
        <v>970</v>
      </c>
      <c r="C734" t="s">
        <v>1492</v>
      </c>
      <c r="D734" t="s">
        <v>1493</v>
      </c>
      <c r="F734">
        <v>1</v>
      </c>
      <c r="G734">
        <v>40</v>
      </c>
      <c r="H734" s="1296">
        <v>40</v>
      </c>
      <c r="I734" t="str">
        <f t="shared" si="11"/>
        <v>-</v>
      </c>
    </row>
    <row r="735" spans="1:9" x14ac:dyDescent="0.25">
      <c r="A735">
        <v>8652</v>
      </c>
      <c r="B735" t="s">
        <v>975</v>
      </c>
      <c r="C735" t="s">
        <v>1419</v>
      </c>
      <c r="D735" t="s">
        <v>1076</v>
      </c>
      <c r="E735" t="s">
        <v>1164</v>
      </c>
      <c r="F735">
        <v>10</v>
      </c>
      <c r="G735">
        <v>1</v>
      </c>
      <c r="H735" s="1296">
        <v>10</v>
      </c>
      <c r="I735" t="str">
        <f t="shared" si="11"/>
        <v>-</v>
      </c>
    </row>
    <row r="736" spans="1:9" x14ac:dyDescent="0.25">
      <c r="A736">
        <v>8653</v>
      </c>
      <c r="B736" t="s">
        <v>975</v>
      </c>
      <c r="C736" t="s">
        <v>1419</v>
      </c>
      <c r="D736" t="s">
        <v>1447</v>
      </c>
      <c r="F736">
        <v>1</v>
      </c>
      <c r="G736">
        <v>10</v>
      </c>
      <c r="H736" s="1296">
        <v>10</v>
      </c>
      <c r="I736" t="str">
        <f t="shared" si="11"/>
        <v>-</v>
      </c>
    </row>
    <row r="737" spans="1:9" x14ac:dyDescent="0.25">
      <c r="A737">
        <v>8655</v>
      </c>
      <c r="B737" t="s">
        <v>975</v>
      </c>
      <c r="C737" t="s">
        <v>1419</v>
      </c>
      <c r="D737" t="s">
        <v>158</v>
      </c>
      <c r="E737" t="s">
        <v>390</v>
      </c>
      <c r="F737">
        <v>1</v>
      </c>
      <c r="G737">
        <v>6</v>
      </c>
      <c r="H737" s="1296">
        <v>6</v>
      </c>
      <c r="I737" t="str">
        <f t="shared" si="11"/>
        <v>-</v>
      </c>
    </row>
    <row r="738" spans="1:9" x14ac:dyDescent="0.25">
      <c r="A738">
        <v>8656</v>
      </c>
      <c r="B738" t="s">
        <v>975</v>
      </c>
      <c r="C738" t="s">
        <v>1419</v>
      </c>
      <c r="D738" t="s">
        <v>158</v>
      </c>
      <c r="E738" t="s">
        <v>390</v>
      </c>
      <c r="F738">
        <v>1</v>
      </c>
      <c r="G738">
        <v>4</v>
      </c>
      <c r="H738" s="1296">
        <v>4</v>
      </c>
      <c r="I738" t="str">
        <f t="shared" si="11"/>
        <v>-</v>
      </c>
    </row>
    <row r="739" spans="1:9" x14ac:dyDescent="0.25">
      <c r="A739">
        <v>8658</v>
      </c>
      <c r="B739" t="s">
        <v>975</v>
      </c>
      <c r="C739" t="s">
        <v>1419</v>
      </c>
      <c r="D739" t="s">
        <v>618</v>
      </c>
      <c r="E739" t="s">
        <v>87</v>
      </c>
      <c r="F739">
        <v>4</v>
      </c>
      <c r="G739">
        <v>5</v>
      </c>
      <c r="H739" s="1296">
        <v>20</v>
      </c>
      <c r="I739" t="str">
        <f t="shared" si="11"/>
        <v>-</v>
      </c>
    </row>
    <row r="740" spans="1:9" x14ac:dyDescent="0.25">
      <c r="A740">
        <v>8699</v>
      </c>
      <c r="B740" t="s">
        <v>975</v>
      </c>
      <c r="C740" t="s">
        <v>1858</v>
      </c>
      <c r="D740" t="s">
        <v>131</v>
      </c>
      <c r="E740" t="s">
        <v>451</v>
      </c>
      <c r="F740">
        <v>1</v>
      </c>
      <c r="G740">
        <v>50</v>
      </c>
      <c r="H740" s="1296">
        <v>50</v>
      </c>
      <c r="I740" t="str">
        <f t="shared" si="11"/>
        <v>-</v>
      </c>
    </row>
    <row r="741" spans="1:9" x14ac:dyDescent="0.25">
      <c r="A741">
        <v>8744</v>
      </c>
      <c r="B741" t="s">
        <v>975</v>
      </c>
      <c r="C741" t="s">
        <v>1859</v>
      </c>
      <c r="D741" t="s">
        <v>68</v>
      </c>
      <c r="E741" t="s">
        <v>91</v>
      </c>
      <c r="F741">
        <v>2</v>
      </c>
      <c r="G741">
        <v>5</v>
      </c>
      <c r="H741" s="1296">
        <v>10</v>
      </c>
      <c r="I741" t="str">
        <f t="shared" si="11"/>
        <v>-</v>
      </c>
    </row>
    <row r="742" spans="1:9" x14ac:dyDescent="0.25">
      <c r="A742">
        <v>8746</v>
      </c>
      <c r="B742" t="s">
        <v>975</v>
      </c>
      <c r="C742" t="s">
        <v>1859</v>
      </c>
      <c r="D742" t="s">
        <v>1860</v>
      </c>
      <c r="E742" t="s">
        <v>467</v>
      </c>
      <c r="F742">
        <v>4</v>
      </c>
      <c r="G742">
        <v>5</v>
      </c>
      <c r="H742" s="1296">
        <v>20</v>
      </c>
      <c r="I742" t="str">
        <f t="shared" si="11"/>
        <v>-</v>
      </c>
    </row>
    <row r="743" spans="1:9" x14ac:dyDescent="0.25">
      <c r="A743">
        <v>8747</v>
      </c>
      <c r="B743" t="s">
        <v>975</v>
      </c>
      <c r="C743" t="s">
        <v>1859</v>
      </c>
      <c r="D743" t="s">
        <v>1861</v>
      </c>
      <c r="E743" t="s">
        <v>465</v>
      </c>
      <c r="F743">
        <v>1</v>
      </c>
      <c r="G743">
        <v>10</v>
      </c>
      <c r="H743" s="1296">
        <v>10</v>
      </c>
      <c r="I743" t="str">
        <f t="shared" si="11"/>
        <v>-</v>
      </c>
    </row>
    <row r="744" spans="1:9" x14ac:dyDescent="0.25">
      <c r="A744">
        <v>8748</v>
      </c>
      <c r="B744" t="s">
        <v>975</v>
      </c>
      <c r="C744" t="s">
        <v>1859</v>
      </c>
      <c r="D744" t="s">
        <v>1862</v>
      </c>
      <c r="E744" t="s">
        <v>1863</v>
      </c>
      <c r="F744">
        <v>2</v>
      </c>
      <c r="G744">
        <v>5</v>
      </c>
      <c r="H744" s="1296">
        <v>10</v>
      </c>
      <c r="I744" t="str">
        <f t="shared" si="11"/>
        <v>-</v>
      </c>
    </row>
    <row r="745" spans="1:9" x14ac:dyDescent="0.25">
      <c r="A745">
        <v>8793</v>
      </c>
      <c r="B745" t="s">
        <v>975</v>
      </c>
      <c r="C745" t="s">
        <v>1864</v>
      </c>
      <c r="D745" t="s">
        <v>56</v>
      </c>
      <c r="E745" t="s">
        <v>368</v>
      </c>
      <c r="F745">
        <v>3</v>
      </c>
      <c r="G745">
        <v>6</v>
      </c>
      <c r="H745" s="1296">
        <v>18</v>
      </c>
      <c r="I745" t="str">
        <f t="shared" si="11"/>
        <v>-</v>
      </c>
    </row>
    <row r="746" spans="1:9" x14ac:dyDescent="0.25">
      <c r="A746">
        <v>8794</v>
      </c>
      <c r="B746" t="s">
        <v>975</v>
      </c>
      <c r="C746" t="s">
        <v>1864</v>
      </c>
      <c r="D746" t="s">
        <v>56</v>
      </c>
      <c r="E746" t="s">
        <v>368</v>
      </c>
      <c r="F746">
        <v>1</v>
      </c>
      <c r="G746">
        <v>4</v>
      </c>
      <c r="H746" s="1296">
        <v>4</v>
      </c>
      <c r="I746" t="str">
        <f t="shared" si="11"/>
        <v>-</v>
      </c>
    </row>
    <row r="747" spans="1:9" x14ac:dyDescent="0.25">
      <c r="A747">
        <v>8839</v>
      </c>
      <c r="B747" t="s">
        <v>980</v>
      </c>
      <c r="C747" t="s">
        <v>1866</v>
      </c>
      <c r="D747" t="s">
        <v>63</v>
      </c>
      <c r="E747" t="s">
        <v>54</v>
      </c>
      <c r="F747">
        <v>2</v>
      </c>
      <c r="G747">
        <v>5</v>
      </c>
      <c r="H747" s="1296">
        <v>10</v>
      </c>
      <c r="I747" t="str">
        <f t="shared" si="11"/>
        <v>-</v>
      </c>
    </row>
    <row r="748" spans="1:9" x14ac:dyDescent="0.25">
      <c r="A748">
        <v>8882</v>
      </c>
      <c r="B748" t="s">
        <v>980</v>
      </c>
      <c r="C748" t="s">
        <v>1867</v>
      </c>
      <c r="D748" t="s">
        <v>1628</v>
      </c>
      <c r="F748">
        <v>2</v>
      </c>
      <c r="G748">
        <v>10</v>
      </c>
      <c r="H748" s="1296">
        <v>20</v>
      </c>
      <c r="I748" t="str">
        <f t="shared" si="11"/>
        <v>-</v>
      </c>
    </row>
    <row r="749" spans="1:9" x14ac:dyDescent="0.25">
      <c r="A749">
        <v>8884</v>
      </c>
      <c r="B749" t="s">
        <v>980</v>
      </c>
      <c r="C749" t="s">
        <v>1867</v>
      </c>
      <c r="D749" t="s">
        <v>1718</v>
      </c>
      <c r="E749" t="s">
        <v>379</v>
      </c>
      <c r="F749">
        <v>1</v>
      </c>
      <c r="G749">
        <v>4</v>
      </c>
      <c r="H749" s="1296">
        <v>4</v>
      </c>
      <c r="I749" t="str">
        <f t="shared" si="11"/>
        <v>-</v>
      </c>
    </row>
    <row r="750" spans="1:9" x14ac:dyDescent="0.25">
      <c r="A750">
        <v>8925</v>
      </c>
      <c r="B750" t="s">
        <v>980</v>
      </c>
      <c r="C750" t="s">
        <v>1424</v>
      </c>
      <c r="D750" t="s">
        <v>1718</v>
      </c>
      <c r="E750" t="s">
        <v>379</v>
      </c>
      <c r="F750">
        <v>1</v>
      </c>
      <c r="G750">
        <v>5</v>
      </c>
      <c r="H750" s="1296">
        <v>5</v>
      </c>
      <c r="I750" t="str">
        <f t="shared" si="11"/>
        <v>-</v>
      </c>
    </row>
    <row r="751" spans="1:9" x14ac:dyDescent="0.25">
      <c r="A751">
        <v>8927</v>
      </c>
      <c r="B751" t="s">
        <v>980</v>
      </c>
      <c r="C751" t="s">
        <v>1424</v>
      </c>
      <c r="D751" t="s">
        <v>63</v>
      </c>
      <c r="E751" t="s">
        <v>54</v>
      </c>
      <c r="F751">
        <v>2</v>
      </c>
      <c r="G751">
        <v>5</v>
      </c>
      <c r="H751" s="1296">
        <v>10</v>
      </c>
      <c r="I751" t="str">
        <f t="shared" si="11"/>
        <v>-</v>
      </c>
    </row>
    <row r="752" spans="1:9" x14ac:dyDescent="0.25">
      <c r="A752">
        <v>8929</v>
      </c>
      <c r="B752" t="s">
        <v>980</v>
      </c>
      <c r="C752" t="s">
        <v>1424</v>
      </c>
      <c r="D752" t="s">
        <v>1649</v>
      </c>
      <c r="F752">
        <v>3</v>
      </c>
      <c r="G752">
        <v>10</v>
      </c>
      <c r="H752" s="1296">
        <v>30</v>
      </c>
      <c r="I752" t="str">
        <f t="shared" si="11"/>
        <v>-</v>
      </c>
    </row>
    <row r="753" spans="1:9" x14ac:dyDescent="0.25">
      <c r="A753">
        <v>8931</v>
      </c>
      <c r="B753" t="s">
        <v>980</v>
      </c>
      <c r="C753" t="s">
        <v>1424</v>
      </c>
      <c r="D753" t="s">
        <v>1076</v>
      </c>
      <c r="E753" t="s">
        <v>1164</v>
      </c>
      <c r="F753">
        <v>5</v>
      </c>
      <c r="G753">
        <v>1</v>
      </c>
      <c r="H753" s="1296">
        <v>5</v>
      </c>
      <c r="I753" t="str">
        <f t="shared" si="11"/>
        <v>-</v>
      </c>
    </row>
    <row r="754" spans="1:9" x14ac:dyDescent="0.25">
      <c r="A754">
        <v>8933</v>
      </c>
      <c r="B754" t="s">
        <v>980</v>
      </c>
      <c r="C754" t="s">
        <v>1424</v>
      </c>
      <c r="D754" t="s">
        <v>60</v>
      </c>
      <c r="E754" t="s">
        <v>61</v>
      </c>
      <c r="F754">
        <v>4</v>
      </c>
      <c r="G754">
        <v>25</v>
      </c>
      <c r="H754" s="1296">
        <v>100</v>
      </c>
      <c r="I754" t="str">
        <f t="shared" si="11"/>
        <v>-</v>
      </c>
    </row>
    <row r="755" spans="1:9" x14ac:dyDescent="0.25">
      <c r="A755">
        <v>8973</v>
      </c>
      <c r="B755" t="s">
        <v>984</v>
      </c>
      <c r="C755" t="s">
        <v>1872</v>
      </c>
      <c r="D755" t="s">
        <v>1631</v>
      </c>
      <c r="F755">
        <v>2</v>
      </c>
      <c r="G755">
        <v>10</v>
      </c>
      <c r="H755" s="1296">
        <v>20</v>
      </c>
      <c r="I755" t="str">
        <f t="shared" si="11"/>
        <v>-</v>
      </c>
    </row>
    <row r="756" spans="1:9" x14ac:dyDescent="0.25">
      <c r="A756">
        <v>8974</v>
      </c>
      <c r="B756" t="s">
        <v>984</v>
      </c>
      <c r="C756" t="s">
        <v>1872</v>
      </c>
      <c r="D756" t="s">
        <v>1650</v>
      </c>
      <c r="F756">
        <v>2</v>
      </c>
      <c r="G756">
        <v>10</v>
      </c>
      <c r="H756" s="1296">
        <v>20</v>
      </c>
      <c r="I756" t="str">
        <f t="shared" si="11"/>
        <v>-</v>
      </c>
    </row>
    <row r="757" spans="1:9" x14ac:dyDescent="0.25">
      <c r="A757">
        <v>9017</v>
      </c>
      <c r="B757" t="s">
        <v>984</v>
      </c>
      <c r="C757" t="s">
        <v>1874</v>
      </c>
      <c r="D757" t="s">
        <v>139</v>
      </c>
      <c r="E757" t="s">
        <v>1349</v>
      </c>
      <c r="F757">
        <v>1</v>
      </c>
      <c r="G757">
        <v>6</v>
      </c>
      <c r="H757" s="1296">
        <v>6</v>
      </c>
      <c r="I757" t="str">
        <f t="shared" si="11"/>
        <v>-</v>
      </c>
    </row>
    <row r="758" spans="1:9" x14ac:dyDescent="0.25">
      <c r="A758">
        <v>9019</v>
      </c>
      <c r="B758" t="s">
        <v>984</v>
      </c>
      <c r="C758" t="s">
        <v>1874</v>
      </c>
      <c r="D758" t="s">
        <v>126</v>
      </c>
      <c r="E758" t="s">
        <v>1840</v>
      </c>
      <c r="F758">
        <v>1</v>
      </c>
      <c r="G758">
        <v>5</v>
      </c>
      <c r="H758" s="1296">
        <v>5</v>
      </c>
      <c r="I758" t="str">
        <f t="shared" si="11"/>
        <v>-</v>
      </c>
    </row>
    <row r="759" spans="1:9" x14ac:dyDescent="0.25">
      <c r="A759">
        <v>9020</v>
      </c>
      <c r="B759" t="s">
        <v>984</v>
      </c>
      <c r="C759" t="s">
        <v>1874</v>
      </c>
      <c r="D759" t="s">
        <v>105</v>
      </c>
      <c r="E759" t="s">
        <v>96</v>
      </c>
      <c r="F759">
        <v>1</v>
      </c>
      <c r="G759">
        <v>5</v>
      </c>
      <c r="H759" s="1296">
        <v>5</v>
      </c>
      <c r="I759" t="str">
        <f t="shared" si="11"/>
        <v>-</v>
      </c>
    </row>
    <row r="760" spans="1:9" x14ac:dyDescent="0.25">
      <c r="A760">
        <v>9022</v>
      </c>
      <c r="B760" t="s">
        <v>984</v>
      </c>
      <c r="C760" t="s">
        <v>1874</v>
      </c>
      <c r="D760" t="s">
        <v>1453</v>
      </c>
      <c r="F760">
        <v>2</v>
      </c>
      <c r="G760">
        <v>24</v>
      </c>
      <c r="H760" s="1296">
        <v>48</v>
      </c>
      <c r="I760" t="str">
        <f t="shared" si="11"/>
        <v>-</v>
      </c>
    </row>
    <row r="761" spans="1:9" x14ac:dyDescent="0.25">
      <c r="A761">
        <v>9024</v>
      </c>
      <c r="B761" t="s">
        <v>984</v>
      </c>
      <c r="C761" t="s">
        <v>1874</v>
      </c>
      <c r="D761" t="s">
        <v>60</v>
      </c>
      <c r="E761" t="s">
        <v>61</v>
      </c>
      <c r="F761">
        <v>2</v>
      </c>
      <c r="G761">
        <v>25</v>
      </c>
      <c r="H761" s="1296">
        <v>50</v>
      </c>
      <c r="I761" t="str">
        <f t="shared" si="11"/>
        <v>-</v>
      </c>
    </row>
    <row r="762" spans="1:9" x14ac:dyDescent="0.25">
      <c r="A762">
        <v>9066</v>
      </c>
      <c r="B762" t="s">
        <v>989</v>
      </c>
      <c r="C762" t="s">
        <v>1876</v>
      </c>
      <c r="D762" t="s">
        <v>1077</v>
      </c>
      <c r="E762" t="s">
        <v>5</v>
      </c>
      <c r="F762">
        <v>12</v>
      </c>
      <c r="G762">
        <v>24</v>
      </c>
      <c r="H762" s="1296">
        <v>288</v>
      </c>
      <c r="I762" t="str">
        <f t="shared" si="11"/>
        <v>-</v>
      </c>
    </row>
    <row r="763" spans="1:9" x14ac:dyDescent="0.25">
      <c r="A763">
        <v>9067</v>
      </c>
      <c r="B763" t="s">
        <v>989</v>
      </c>
      <c r="C763" t="s">
        <v>1876</v>
      </c>
      <c r="D763" t="s">
        <v>1077</v>
      </c>
      <c r="E763" t="s">
        <v>5</v>
      </c>
      <c r="F763">
        <v>1</v>
      </c>
      <c r="G763">
        <v>24</v>
      </c>
      <c r="H763" s="1296">
        <v>24</v>
      </c>
      <c r="I763" t="str">
        <f t="shared" si="11"/>
        <v>-</v>
      </c>
    </row>
    <row r="764" spans="1:9" x14ac:dyDescent="0.25">
      <c r="A764">
        <v>9111</v>
      </c>
      <c r="B764" t="s">
        <v>989</v>
      </c>
      <c r="C764" t="s">
        <v>1877</v>
      </c>
      <c r="D764" t="s">
        <v>1768</v>
      </c>
      <c r="E764" t="s">
        <v>1843</v>
      </c>
      <c r="F764">
        <v>2</v>
      </c>
      <c r="G764">
        <v>10</v>
      </c>
      <c r="H764" s="1296">
        <v>20</v>
      </c>
      <c r="I764" t="str">
        <f t="shared" si="11"/>
        <v>-</v>
      </c>
    </row>
    <row r="765" spans="1:9" x14ac:dyDescent="0.25">
      <c r="A765">
        <v>9113</v>
      </c>
      <c r="B765" t="s">
        <v>989</v>
      </c>
      <c r="C765" t="s">
        <v>1877</v>
      </c>
      <c r="D765" t="s">
        <v>1851</v>
      </c>
      <c r="E765" t="s">
        <v>1843</v>
      </c>
      <c r="F765">
        <v>2</v>
      </c>
      <c r="G765">
        <v>10</v>
      </c>
      <c r="H765" s="1296">
        <v>20</v>
      </c>
      <c r="I765" t="str">
        <f t="shared" si="11"/>
        <v>-</v>
      </c>
    </row>
    <row r="766" spans="1:9" x14ac:dyDescent="0.25">
      <c r="A766">
        <v>9155</v>
      </c>
      <c r="B766" t="s">
        <v>993</v>
      </c>
      <c r="C766" t="s">
        <v>1878</v>
      </c>
      <c r="D766" t="s">
        <v>685</v>
      </c>
      <c r="E766" t="s">
        <v>359</v>
      </c>
      <c r="F766">
        <v>1</v>
      </c>
      <c r="G766">
        <v>6</v>
      </c>
      <c r="H766" s="1296">
        <v>6</v>
      </c>
      <c r="I766" t="str">
        <f t="shared" si="11"/>
        <v>-</v>
      </c>
    </row>
    <row r="767" spans="1:9" x14ac:dyDescent="0.25">
      <c r="A767">
        <v>9156</v>
      </c>
      <c r="B767" t="s">
        <v>993</v>
      </c>
      <c r="C767" t="s">
        <v>1878</v>
      </c>
      <c r="D767" t="s">
        <v>685</v>
      </c>
      <c r="E767" t="s">
        <v>359</v>
      </c>
      <c r="F767">
        <v>1</v>
      </c>
      <c r="G767">
        <v>2</v>
      </c>
      <c r="H767" s="1296">
        <v>2</v>
      </c>
      <c r="I767" t="str">
        <f t="shared" si="11"/>
        <v>-</v>
      </c>
    </row>
    <row r="768" spans="1:9" x14ac:dyDescent="0.25">
      <c r="A768">
        <v>9157</v>
      </c>
      <c r="B768" t="s">
        <v>993</v>
      </c>
      <c r="C768" t="s">
        <v>1878</v>
      </c>
      <c r="D768" t="s">
        <v>125</v>
      </c>
      <c r="E768" t="s">
        <v>1879</v>
      </c>
      <c r="F768">
        <v>1</v>
      </c>
      <c r="G768">
        <v>4</v>
      </c>
      <c r="H768" s="1296">
        <v>4</v>
      </c>
      <c r="I768" t="str">
        <f t="shared" si="11"/>
        <v>-</v>
      </c>
    </row>
    <row r="769" spans="1:9" x14ac:dyDescent="0.25">
      <c r="A769">
        <v>9159</v>
      </c>
      <c r="B769" t="s">
        <v>993</v>
      </c>
      <c r="C769" t="s">
        <v>1878</v>
      </c>
      <c r="D769" t="s">
        <v>80</v>
      </c>
      <c r="E769" t="s">
        <v>77</v>
      </c>
      <c r="F769">
        <v>1</v>
      </c>
      <c r="G769">
        <v>5</v>
      </c>
      <c r="H769" s="1296">
        <v>5</v>
      </c>
      <c r="I769" t="str">
        <f t="shared" si="11"/>
        <v>-</v>
      </c>
    </row>
    <row r="770" spans="1:9" x14ac:dyDescent="0.25">
      <c r="A770">
        <v>9161</v>
      </c>
      <c r="B770" t="s">
        <v>993</v>
      </c>
      <c r="C770" t="s">
        <v>1878</v>
      </c>
      <c r="D770" t="s">
        <v>1077</v>
      </c>
      <c r="E770" t="s">
        <v>5</v>
      </c>
      <c r="F770">
        <v>12</v>
      </c>
      <c r="G770">
        <v>24</v>
      </c>
      <c r="H770" s="1296">
        <v>288</v>
      </c>
      <c r="I770" t="str">
        <f t="shared" ref="I770:I833" si="12">INDEX($N$2:$N$355,MATCH($A770,$L$2:$L$355,1))</f>
        <v>-</v>
      </c>
    </row>
    <row r="771" spans="1:9" x14ac:dyDescent="0.25">
      <c r="A771">
        <v>9162</v>
      </c>
      <c r="B771" t="s">
        <v>993</v>
      </c>
      <c r="C771" t="s">
        <v>1878</v>
      </c>
      <c r="D771" t="s">
        <v>1077</v>
      </c>
      <c r="E771" t="s">
        <v>5</v>
      </c>
      <c r="F771">
        <v>1</v>
      </c>
      <c r="G771">
        <v>24</v>
      </c>
      <c r="H771" s="1296">
        <v>24</v>
      </c>
      <c r="I771" t="str">
        <f t="shared" si="12"/>
        <v>-</v>
      </c>
    </row>
    <row r="772" spans="1:9" x14ac:dyDescent="0.25">
      <c r="A772">
        <v>9163</v>
      </c>
      <c r="B772" t="s">
        <v>993</v>
      </c>
      <c r="C772" t="s">
        <v>1878</v>
      </c>
      <c r="D772" t="s">
        <v>1077</v>
      </c>
      <c r="E772" t="s">
        <v>5</v>
      </c>
      <c r="F772">
        <v>1</v>
      </c>
      <c r="G772">
        <v>24</v>
      </c>
      <c r="H772" s="1296">
        <v>24</v>
      </c>
      <c r="I772" t="str">
        <f t="shared" si="12"/>
        <v>-</v>
      </c>
    </row>
    <row r="773" spans="1:9" x14ac:dyDescent="0.25">
      <c r="A773">
        <v>9166</v>
      </c>
      <c r="B773" t="s">
        <v>993</v>
      </c>
      <c r="C773" t="s">
        <v>1878</v>
      </c>
      <c r="D773" t="s">
        <v>1880</v>
      </c>
      <c r="E773" t="s">
        <v>1505</v>
      </c>
      <c r="F773">
        <v>2</v>
      </c>
      <c r="G773">
        <v>100</v>
      </c>
      <c r="H773" s="1296">
        <v>200</v>
      </c>
      <c r="I773" t="str">
        <f t="shared" si="12"/>
        <v>-</v>
      </c>
    </row>
    <row r="774" spans="1:9" x14ac:dyDescent="0.25">
      <c r="A774">
        <v>9167</v>
      </c>
      <c r="B774" t="s">
        <v>993</v>
      </c>
      <c r="C774" t="s">
        <v>1878</v>
      </c>
      <c r="D774" t="s">
        <v>1848</v>
      </c>
      <c r="E774" t="s">
        <v>1474</v>
      </c>
      <c r="F774">
        <v>14</v>
      </c>
      <c r="G774">
        <v>100</v>
      </c>
      <c r="H774" s="1296">
        <v>1400</v>
      </c>
      <c r="I774" t="str">
        <f t="shared" si="12"/>
        <v>-</v>
      </c>
    </row>
    <row r="775" spans="1:9" x14ac:dyDescent="0.25">
      <c r="A775">
        <v>9168</v>
      </c>
      <c r="B775" t="s">
        <v>993</v>
      </c>
      <c r="C775" t="s">
        <v>1878</v>
      </c>
      <c r="D775" t="s">
        <v>1882</v>
      </c>
      <c r="E775" t="s">
        <v>1821</v>
      </c>
      <c r="F775">
        <v>8</v>
      </c>
      <c r="G775">
        <v>100</v>
      </c>
      <c r="H775" s="1296">
        <v>800</v>
      </c>
      <c r="I775" t="str">
        <f t="shared" si="12"/>
        <v>-</v>
      </c>
    </row>
    <row r="776" spans="1:9" x14ac:dyDescent="0.25">
      <c r="A776">
        <v>9169</v>
      </c>
      <c r="B776" t="s">
        <v>993</v>
      </c>
      <c r="C776" t="s">
        <v>1878</v>
      </c>
      <c r="D776" t="s">
        <v>1848</v>
      </c>
      <c r="E776" t="s">
        <v>1474</v>
      </c>
      <c r="F776">
        <v>2</v>
      </c>
      <c r="G776">
        <v>100</v>
      </c>
      <c r="H776" s="1296">
        <v>200</v>
      </c>
      <c r="I776" t="str">
        <f t="shared" si="12"/>
        <v>-</v>
      </c>
    </row>
    <row r="777" spans="1:9" x14ac:dyDescent="0.25">
      <c r="A777">
        <v>9201</v>
      </c>
      <c r="B777" t="s">
        <v>995</v>
      </c>
      <c r="C777" t="s">
        <v>1885</v>
      </c>
      <c r="D777" t="s">
        <v>1880</v>
      </c>
      <c r="E777" t="s">
        <v>1505</v>
      </c>
      <c r="F777">
        <v>2</v>
      </c>
      <c r="G777">
        <v>100</v>
      </c>
      <c r="H777" s="1296">
        <v>200</v>
      </c>
      <c r="I777" t="str">
        <f t="shared" si="12"/>
        <v>-</v>
      </c>
    </row>
    <row r="778" spans="1:9" x14ac:dyDescent="0.25">
      <c r="A778">
        <v>9202</v>
      </c>
      <c r="B778" t="s">
        <v>995</v>
      </c>
      <c r="C778" t="s">
        <v>1885</v>
      </c>
      <c r="D778" t="s">
        <v>1848</v>
      </c>
      <c r="E778" t="s">
        <v>1474</v>
      </c>
      <c r="F778">
        <v>14</v>
      </c>
      <c r="G778">
        <v>100</v>
      </c>
      <c r="H778" s="1296">
        <v>1400</v>
      </c>
      <c r="I778" t="str">
        <f t="shared" si="12"/>
        <v>-</v>
      </c>
    </row>
    <row r="779" spans="1:9" x14ac:dyDescent="0.25">
      <c r="A779">
        <v>9203</v>
      </c>
      <c r="B779" t="s">
        <v>995</v>
      </c>
      <c r="C779" t="s">
        <v>1885</v>
      </c>
      <c r="D779" t="s">
        <v>1882</v>
      </c>
      <c r="E779" t="s">
        <v>1821</v>
      </c>
      <c r="F779">
        <v>8</v>
      </c>
      <c r="G779">
        <v>100</v>
      </c>
      <c r="H779" s="1296">
        <v>800</v>
      </c>
      <c r="I779" t="str">
        <f t="shared" si="12"/>
        <v>-</v>
      </c>
    </row>
    <row r="780" spans="1:9" x14ac:dyDescent="0.25">
      <c r="A780">
        <v>9204</v>
      </c>
      <c r="B780" t="s">
        <v>995</v>
      </c>
      <c r="C780" t="s">
        <v>1885</v>
      </c>
      <c r="D780" t="s">
        <v>1848</v>
      </c>
      <c r="E780" t="s">
        <v>1474</v>
      </c>
      <c r="F780">
        <v>2</v>
      </c>
      <c r="G780">
        <v>100</v>
      </c>
      <c r="H780" s="1296">
        <v>200</v>
      </c>
      <c r="I780" t="str">
        <f t="shared" si="12"/>
        <v>-</v>
      </c>
    </row>
    <row r="781" spans="1:9" x14ac:dyDescent="0.25">
      <c r="A781">
        <v>9247</v>
      </c>
      <c r="B781" t="s">
        <v>997</v>
      </c>
      <c r="C781" t="s">
        <v>1431</v>
      </c>
      <c r="D781" t="s">
        <v>1076</v>
      </c>
      <c r="E781" t="s">
        <v>1164</v>
      </c>
      <c r="F781">
        <v>20</v>
      </c>
      <c r="G781">
        <v>1</v>
      </c>
      <c r="H781" s="1296">
        <v>20</v>
      </c>
      <c r="I781" t="str">
        <f t="shared" si="12"/>
        <v>-</v>
      </c>
    </row>
    <row r="782" spans="1:9" x14ac:dyDescent="0.25">
      <c r="A782">
        <v>9248</v>
      </c>
      <c r="B782" t="s">
        <v>997</v>
      </c>
      <c r="C782" t="s">
        <v>1431</v>
      </c>
      <c r="D782" t="s">
        <v>1509</v>
      </c>
      <c r="F782">
        <v>5</v>
      </c>
      <c r="G782">
        <v>1</v>
      </c>
      <c r="H782" s="1296">
        <v>5</v>
      </c>
      <c r="I782" t="str">
        <f t="shared" si="12"/>
        <v>-</v>
      </c>
    </row>
    <row r="783" spans="1:9" x14ac:dyDescent="0.25">
      <c r="A783">
        <v>9250</v>
      </c>
      <c r="B783" t="s">
        <v>997</v>
      </c>
      <c r="C783" t="s">
        <v>1431</v>
      </c>
      <c r="D783" t="s">
        <v>1768</v>
      </c>
      <c r="F783">
        <v>3</v>
      </c>
      <c r="G783">
        <v>10</v>
      </c>
      <c r="H783" s="1296">
        <v>30</v>
      </c>
      <c r="I783" t="str">
        <f t="shared" si="12"/>
        <v>-</v>
      </c>
    </row>
    <row r="784" spans="1:9" x14ac:dyDescent="0.25">
      <c r="A784">
        <v>9251</v>
      </c>
      <c r="B784" t="s">
        <v>997</v>
      </c>
      <c r="C784" t="s">
        <v>1431</v>
      </c>
      <c r="D784" t="s">
        <v>1768</v>
      </c>
      <c r="F784">
        <v>1</v>
      </c>
      <c r="G784">
        <v>9</v>
      </c>
      <c r="H784" s="1296">
        <v>9</v>
      </c>
      <c r="I784" t="str">
        <f t="shared" si="12"/>
        <v>-</v>
      </c>
    </row>
    <row r="785" spans="1:9" x14ac:dyDescent="0.25">
      <c r="A785">
        <v>9252</v>
      </c>
      <c r="B785" t="s">
        <v>997</v>
      </c>
      <c r="C785" t="s">
        <v>1431</v>
      </c>
      <c r="D785" t="s">
        <v>1631</v>
      </c>
      <c r="F785">
        <v>1</v>
      </c>
      <c r="G785">
        <v>10</v>
      </c>
      <c r="H785" s="1296">
        <v>10</v>
      </c>
      <c r="I785" t="str">
        <f t="shared" si="12"/>
        <v>-</v>
      </c>
    </row>
    <row r="786" spans="1:9" x14ac:dyDescent="0.25">
      <c r="A786">
        <v>9296</v>
      </c>
      <c r="B786" t="s">
        <v>1001</v>
      </c>
      <c r="C786" t="s">
        <v>1886</v>
      </c>
      <c r="D786" t="s">
        <v>45</v>
      </c>
      <c r="E786" t="s">
        <v>41</v>
      </c>
      <c r="F786">
        <v>10</v>
      </c>
      <c r="G786">
        <v>5</v>
      </c>
      <c r="H786" s="1296">
        <v>50</v>
      </c>
      <c r="I786" t="str">
        <f t="shared" si="12"/>
        <v>-</v>
      </c>
    </row>
    <row r="787" spans="1:9" x14ac:dyDescent="0.25">
      <c r="A787">
        <v>9297</v>
      </c>
      <c r="B787" t="s">
        <v>1001</v>
      </c>
      <c r="C787" t="s">
        <v>1886</v>
      </c>
      <c r="D787" t="s">
        <v>75</v>
      </c>
      <c r="E787" t="s">
        <v>66</v>
      </c>
      <c r="F787">
        <v>4</v>
      </c>
      <c r="G787">
        <v>5</v>
      </c>
      <c r="H787" s="1296">
        <v>20</v>
      </c>
      <c r="I787" t="str">
        <f t="shared" si="12"/>
        <v>-</v>
      </c>
    </row>
    <row r="788" spans="1:9" x14ac:dyDescent="0.25">
      <c r="A788">
        <v>9298</v>
      </c>
      <c r="B788" t="s">
        <v>1001</v>
      </c>
      <c r="C788" t="s">
        <v>1886</v>
      </c>
      <c r="D788" t="s">
        <v>68</v>
      </c>
      <c r="E788" t="s">
        <v>91</v>
      </c>
      <c r="F788">
        <v>7</v>
      </c>
      <c r="G788">
        <v>5</v>
      </c>
      <c r="H788" s="1296">
        <v>35</v>
      </c>
      <c r="I788" t="str">
        <f t="shared" si="12"/>
        <v>-</v>
      </c>
    </row>
    <row r="789" spans="1:9" x14ac:dyDescent="0.25">
      <c r="A789">
        <v>9299</v>
      </c>
      <c r="B789" t="s">
        <v>1001</v>
      </c>
      <c r="C789" t="s">
        <v>1886</v>
      </c>
      <c r="D789" t="s">
        <v>1887</v>
      </c>
      <c r="E789" t="s">
        <v>142</v>
      </c>
      <c r="F789">
        <v>5</v>
      </c>
      <c r="G789">
        <v>5</v>
      </c>
      <c r="H789" s="1296">
        <v>25</v>
      </c>
      <c r="I789" t="str">
        <f t="shared" si="12"/>
        <v>-</v>
      </c>
    </row>
    <row r="790" spans="1:9" x14ac:dyDescent="0.25">
      <c r="A790">
        <v>9300</v>
      </c>
      <c r="B790" t="s">
        <v>1001</v>
      </c>
      <c r="C790" t="s">
        <v>1886</v>
      </c>
      <c r="D790" t="s">
        <v>125</v>
      </c>
      <c r="E790" t="s">
        <v>324</v>
      </c>
      <c r="F790">
        <v>2</v>
      </c>
      <c r="G790">
        <v>5</v>
      </c>
      <c r="H790" s="1296">
        <v>10</v>
      </c>
      <c r="I790" t="str">
        <f t="shared" si="12"/>
        <v>-</v>
      </c>
    </row>
    <row r="791" spans="1:9" x14ac:dyDescent="0.25">
      <c r="A791">
        <v>9301</v>
      </c>
      <c r="B791" t="s">
        <v>1001</v>
      </c>
      <c r="C791" t="s">
        <v>1886</v>
      </c>
      <c r="D791" t="s">
        <v>127</v>
      </c>
      <c r="E791" t="s">
        <v>326</v>
      </c>
      <c r="F791">
        <v>8</v>
      </c>
      <c r="G791">
        <v>5</v>
      </c>
      <c r="H791" s="1296">
        <v>40</v>
      </c>
      <c r="I791" t="str">
        <f t="shared" si="12"/>
        <v>-</v>
      </c>
    </row>
    <row r="792" spans="1:9" x14ac:dyDescent="0.25">
      <c r="A792">
        <v>9302</v>
      </c>
      <c r="B792" t="s">
        <v>1001</v>
      </c>
      <c r="C792" t="s">
        <v>1886</v>
      </c>
      <c r="D792" t="s">
        <v>144</v>
      </c>
      <c r="E792" t="s">
        <v>340</v>
      </c>
      <c r="F792">
        <v>4</v>
      </c>
      <c r="G792">
        <v>5</v>
      </c>
      <c r="H792" s="1296">
        <v>20</v>
      </c>
      <c r="I792" t="str">
        <f t="shared" si="12"/>
        <v>-</v>
      </c>
    </row>
    <row r="793" spans="1:9" x14ac:dyDescent="0.25">
      <c r="A793">
        <v>9304</v>
      </c>
      <c r="B793" t="s">
        <v>1001</v>
      </c>
      <c r="C793" t="s">
        <v>1886</v>
      </c>
      <c r="D793" t="s">
        <v>226</v>
      </c>
      <c r="E793" t="s">
        <v>427</v>
      </c>
      <c r="F793">
        <v>2</v>
      </c>
      <c r="G793">
        <v>25</v>
      </c>
      <c r="H793" s="1296">
        <v>50</v>
      </c>
      <c r="I793" t="str">
        <f t="shared" si="12"/>
        <v>-</v>
      </c>
    </row>
    <row r="794" spans="1:9" x14ac:dyDescent="0.25">
      <c r="A794">
        <v>9341</v>
      </c>
      <c r="B794" t="s">
        <v>1003</v>
      </c>
      <c r="C794" t="s">
        <v>1888</v>
      </c>
      <c r="D794" t="s">
        <v>1889</v>
      </c>
      <c r="E794" t="s">
        <v>1880</v>
      </c>
      <c r="F794">
        <v>2</v>
      </c>
      <c r="G794">
        <v>100</v>
      </c>
      <c r="H794" s="1296">
        <v>200</v>
      </c>
      <c r="I794" t="str">
        <f t="shared" si="12"/>
        <v>-</v>
      </c>
    </row>
    <row r="795" spans="1:9" x14ac:dyDescent="0.25">
      <c r="A795">
        <v>9343</v>
      </c>
      <c r="B795" t="s">
        <v>1003</v>
      </c>
      <c r="C795" t="s">
        <v>1888</v>
      </c>
      <c r="D795" t="s">
        <v>1890</v>
      </c>
      <c r="E795" t="s">
        <v>1848</v>
      </c>
      <c r="F795">
        <v>14</v>
      </c>
      <c r="G795">
        <v>100</v>
      </c>
      <c r="H795" s="1296">
        <v>1400</v>
      </c>
      <c r="I795" t="str">
        <f t="shared" si="12"/>
        <v>-</v>
      </c>
    </row>
    <row r="796" spans="1:9" x14ac:dyDescent="0.25">
      <c r="A796">
        <v>9345</v>
      </c>
      <c r="B796" t="s">
        <v>1003</v>
      </c>
      <c r="C796" t="s">
        <v>1888</v>
      </c>
      <c r="D796" t="s">
        <v>1891</v>
      </c>
      <c r="E796" t="s">
        <v>1882</v>
      </c>
      <c r="F796">
        <v>8</v>
      </c>
      <c r="G796">
        <v>100</v>
      </c>
      <c r="H796" s="1296">
        <v>800</v>
      </c>
      <c r="I796" t="str">
        <f t="shared" si="12"/>
        <v>-</v>
      </c>
    </row>
    <row r="797" spans="1:9" x14ac:dyDescent="0.25">
      <c r="A797">
        <v>9347</v>
      </c>
      <c r="B797" t="s">
        <v>1003</v>
      </c>
      <c r="C797" t="s">
        <v>1888</v>
      </c>
      <c r="D797" t="s">
        <v>1889</v>
      </c>
      <c r="E797" t="s">
        <v>1880</v>
      </c>
      <c r="F797">
        <v>1</v>
      </c>
      <c r="G797">
        <v>100</v>
      </c>
      <c r="H797" s="1296">
        <v>100</v>
      </c>
      <c r="I797" t="str">
        <f t="shared" si="12"/>
        <v>-</v>
      </c>
    </row>
    <row r="798" spans="1:9" x14ac:dyDescent="0.25">
      <c r="A798">
        <v>9349</v>
      </c>
      <c r="B798" t="s">
        <v>1003</v>
      </c>
      <c r="C798" t="s">
        <v>1888</v>
      </c>
      <c r="D798" t="s">
        <v>1891</v>
      </c>
      <c r="E798" t="s">
        <v>1882</v>
      </c>
      <c r="F798">
        <v>1</v>
      </c>
      <c r="G798">
        <v>100</v>
      </c>
      <c r="H798" s="1296">
        <v>100</v>
      </c>
      <c r="I798" t="str">
        <f t="shared" si="12"/>
        <v>-</v>
      </c>
    </row>
    <row r="799" spans="1:9" x14ac:dyDescent="0.25">
      <c r="A799">
        <v>9388</v>
      </c>
      <c r="B799" t="s">
        <v>1003</v>
      </c>
      <c r="C799" t="s">
        <v>1893</v>
      </c>
      <c r="D799" t="s">
        <v>63</v>
      </c>
      <c r="E799" t="s">
        <v>54</v>
      </c>
      <c r="F799">
        <v>1</v>
      </c>
      <c r="G799">
        <v>5</v>
      </c>
      <c r="H799" s="1296">
        <v>5</v>
      </c>
      <c r="I799" t="str">
        <f t="shared" si="12"/>
        <v>-</v>
      </c>
    </row>
    <row r="800" spans="1:9" x14ac:dyDescent="0.25">
      <c r="A800">
        <v>9389</v>
      </c>
      <c r="B800" t="s">
        <v>1003</v>
      </c>
      <c r="C800" t="s">
        <v>1893</v>
      </c>
      <c r="D800" t="s">
        <v>131</v>
      </c>
      <c r="E800" t="s">
        <v>329</v>
      </c>
      <c r="F800">
        <v>1</v>
      </c>
      <c r="G800">
        <v>5</v>
      </c>
      <c r="H800" s="1296">
        <v>5</v>
      </c>
      <c r="I800" t="str">
        <f t="shared" si="12"/>
        <v>-</v>
      </c>
    </row>
    <row r="801" spans="1:9" x14ac:dyDescent="0.25">
      <c r="A801">
        <v>9390</v>
      </c>
      <c r="B801" t="s">
        <v>1003</v>
      </c>
      <c r="C801" t="s">
        <v>1893</v>
      </c>
      <c r="D801" t="s">
        <v>80</v>
      </c>
      <c r="E801" t="s">
        <v>77</v>
      </c>
      <c r="F801">
        <v>1</v>
      </c>
      <c r="G801">
        <v>5</v>
      </c>
      <c r="H801" s="1296">
        <v>5</v>
      </c>
      <c r="I801" t="str">
        <f t="shared" si="12"/>
        <v>-</v>
      </c>
    </row>
    <row r="802" spans="1:9" x14ac:dyDescent="0.25">
      <c r="A802">
        <v>9391</v>
      </c>
      <c r="B802" t="s">
        <v>1003</v>
      </c>
      <c r="C802" t="s">
        <v>1893</v>
      </c>
      <c r="D802" t="s">
        <v>1894</v>
      </c>
      <c r="E802" t="s">
        <v>332</v>
      </c>
      <c r="F802">
        <v>1</v>
      </c>
      <c r="G802">
        <v>5</v>
      </c>
      <c r="H802" s="1296">
        <v>5</v>
      </c>
      <c r="I802" t="str">
        <f t="shared" si="12"/>
        <v>-</v>
      </c>
    </row>
    <row r="803" spans="1:9" x14ac:dyDescent="0.25">
      <c r="A803">
        <v>9431</v>
      </c>
      <c r="B803" t="s">
        <v>1007</v>
      </c>
      <c r="C803" t="s">
        <v>1895</v>
      </c>
      <c r="D803" t="s">
        <v>1880</v>
      </c>
      <c r="E803" t="s">
        <v>1505</v>
      </c>
      <c r="F803">
        <v>2</v>
      </c>
      <c r="G803">
        <v>100</v>
      </c>
      <c r="H803" s="1296">
        <v>200</v>
      </c>
      <c r="I803" t="str">
        <f t="shared" si="12"/>
        <v>-</v>
      </c>
    </row>
    <row r="804" spans="1:9" x14ac:dyDescent="0.25">
      <c r="A804">
        <v>9432</v>
      </c>
      <c r="B804" t="s">
        <v>1007</v>
      </c>
      <c r="C804" t="s">
        <v>1895</v>
      </c>
      <c r="D804" t="s">
        <v>1848</v>
      </c>
      <c r="E804" t="s">
        <v>1474</v>
      </c>
      <c r="F804">
        <v>14</v>
      </c>
      <c r="G804">
        <v>100</v>
      </c>
      <c r="H804" s="1296">
        <v>1400</v>
      </c>
      <c r="I804" t="str">
        <f t="shared" si="12"/>
        <v>-</v>
      </c>
    </row>
    <row r="805" spans="1:9" x14ac:dyDescent="0.25">
      <c r="A805">
        <v>9433</v>
      </c>
      <c r="B805" t="s">
        <v>1007</v>
      </c>
      <c r="C805" t="s">
        <v>1895</v>
      </c>
      <c r="D805" t="s">
        <v>1882</v>
      </c>
      <c r="E805" t="s">
        <v>1821</v>
      </c>
      <c r="F805">
        <v>8</v>
      </c>
      <c r="G805">
        <v>100</v>
      </c>
      <c r="H805" s="1296">
        <v>800</v>
      </c>
      <c r="I805" t="str">
        <f t="shared" si="12"/>
        <v>-</v>
      </c>
    </row>
    <row r="806" spans="1:9" x14ac:dyDescent="0.25">
      <c r="A806">
        <v>9434</v>
      </c>
      <c r="B806" t="s">
        <v>1007</v>
      </c>
      <c r="C806" t="s">
        <v>1895</v>
      </c>
      <c r="D806" t="s">
        <v>1882</v>
      </c>
      <c r="E806" t="s">
        <v>1821</v>
      </c>
      <c r="F806">
        <v>1</v>
      </c>
      <c r="G806">
        <v>100</v>
      </c>
      <c r="H806" s="1296">
        <v>100</v>
      </c>
      <c r="I806" t="str">
        <f t="shared" si="12"/>
        <v>-</v>
      </c>
    </row>
    <row r="807" spans="1:9" x14ac:dyDescent="0.25">
      <c r="A807">
        <v>9435</v>
      </c>
      <c r="B807" t="s">
        <v>1007</v>
      </c>
      <c r="C807" t="s">
        <v>1895</v>
      </c>
      <c r="D807" t="s">
        <v>1898</v>
      </c>
      <c r="E807" t="s">
        <v>1505</v>
      </c>
      <c r="F807">
        <v>1</v>
      </c>
      <c r="G807">
        <v>100</v>
      </c>
      <c r="H807" s="1296">
        <v>100</v>
      </c>
      <c r="I807" t="str">
        <f t="shared" si="12"/>
        <v>-</v>
      </c>
    </row>
    <row r="808" spans="1:9" x14ac:dyDescent="0.25">
      <c r="A808">
        <v>9437</v>
      </c>
      <c r="B808" t="s">
        <v>1007</v>
      </c>
      <c r="C808" t="s">
        <v>1895</v>
      </c>
      <c r="D808" t="s">
        <v>1626</v>
      </c>
      <c r="F808">
        <v>2</v>
      </c>
      <c r="G808">
        <v>10</v>
      </c>
      <c r="H808" s="1296">
        <v>20</v>
      </c>
      <c r="I808" t="str">
        <f t="shared" si="12"/>
        <v>-</v>
      </c>
    </row>
    <row r="809" spans="1:9" x14ac:dyDescent="0.25">
      <c r="A809">
        <v>9438</v>
      </c>
      <c r="B809" t="s">
        <v>1007</v>
      </c>
      <c r="C809" t="s">
        <v>1895</v>
      </c>
      <c r="D809" t="s">
        <v>1823</v>
      </c>
      <c r="F809">
        <v>3</v>
      </c>
      <c r="G809">
        <v>5</v>
      </c>
      <c r="H809" s="1296">
        <v>15</v>
      </c>
      <c r="I809" t="str">
        <f t="shared" si="12"/>
        <v>-</v>
      </c>
    </row>
    <row r="810" spans="1:9" x14ac:dyDescent="0.25">
      <c r="A810">
        <v>9477</v>
      </c>
      <c r="B810" t="s">
        <v>1007</v>
      </c>
      <c r="C810" t="s">
        <v>1901</v>
      </c>
      <c r="D810" t="s">
        <v>118</v>
      </c>
      <c r="E810" t="s">
        <v>1599</v>
      </c>
      <c r="F810">
        <v>2</v>
      </c>
      <c r="G810">
        <v>5</v>
      </c>
      <c r="H810" s="1296">
        <v>10</v>
      </c>
      <c r="I810" t="str">
        <f t="shared" si="12"/>
        <v>-</v>
      </c>
    </row>
    <row r="811" spans="1:9" x14ac:dyDescent="0.25">
      <c r="A811">
        <v>9529</v>
      </c>
      <c r="B811" t="s">
        <v>1011</v>
      </c>
      <c r="C811" t="s">
        <v>1904</v>
      </c>
      <c r="D811" t="s">
        <v>1812</v>
      </c>
      <c r="F811">
        <v>113</v>
      </c>
      <c r="G811">
        <v>28</v>
      </c>
      <c r="H811" s="1296">
        <v>3164</v>
      </c>
      <c r="I811" t="str">
        <f t="shared" si="12"/>
        <v>-</v>
      </c>
    </row>
    <row r="812" spans="1:9" x14ac:dyDescent="0.25">
      <c r="A812">
        <v>9575</v>
      </c>
      <c r="B812" t="s">
        <v>1014</v>
      </c>
      <c r="C812" t="s">
        <v>1905</v>
      </c>
      <c r="D812" t="s">
        <v>1812</v>
      </c>
      <c r="F812">
        <v>117</v>
      </c>
      <c r="G812">
        <v>28</v>
      </c>
      <c r="H812" s="1296">
        <v>3276</v>
      </c>
      <c r="I812" t="str">
        <f t="shared" si="12"/>
        <v>-</v>
      </c>
    </row>
    <row r="813" spans="1:9" x14ac:dyDescent="0.25">
      <c r="A813">
        <v>9615</v>
      </c>
      <c r="B813" t="s">
        <v>1014</v>
      </c>
      <c r="C813" t="s">
        <v>1510</v>
      </c>
      <c r="D813" t="s">
        <v>118</v>
      </c>
      <c r="E813" t="s">
        <v>204</v>
      </c>
      <c r="F813">
        <v>1</v>
      </c>
      <c r="G813">
        <v>5</v>
      </c>
      <c r="H813" s="1296">
        <v>5</v>
      </c>
      <c r="I813" t="str">
        <f t="shared" si="12"/>
        <v>-</v>
      </c>
    </row>
    <row r="814" spans="1:9" x14ac:dyDescent="0.25">
      <c r="A814">
        <v>9616</v>
      </c>
      <c r="B814" t="s">
        <v>1014</v>
      </c>
      <c r="C814" t="s">
        <v>1510</v>
      </c>
      <c r="D814" t="s">
        <v>1907</v>
      </c>
      <c r="E814" t="s">
        <v>87</v>
      </c>
      <c r="F814">
        <v>1</v>
      </c>
      <c r="G814">
        <v>5</v>
      </c>
      <c r="H814" s="1296">
        <v>5</v>
      </c>
      <c r="I814" t="str">
        <f t="shared" si="12"/>
        <v>-</v>
      </c>
    </row>
    <row r="815" spans="1:9" x14ac:dyDescent="0.25">
      <c r="A815">
        <v>9617</v>
      </c>
      <c r="B815" t="s">
        <v>1014</v>
      </c>
      <c r="C815" t="s">
        <v>1510</v>
      </c>
      <c r="D815" t="s">
        <v>125</v>
      </c>
      <c r="E815" t="s">
        <v>324</v>
      </c>
      <c r="F815">
        <v>1</v>
      </c>
      <c r="G815">
        <v>5</v>
      </c>
      <c r="H815" s="1296">
        <v>5</v>
      </c>
      <c r="I815" t="str">
        <f t="shared" si="12"/>
        <v>-</v>
      </c>
    </row>
    <row r="816" spans="1:9" x14ac:dyDescent="0.25">
      <c r="A816">
        <v>9619</v>
      </c>
      <c r="B816" t="s">
        <v>1014</v>
      </c>
      <c r="C816" t="s">
        <v>1510</v>
      </c>
      <c r="D816" t="s">
        <v>1824</v>
      </c>
      <c r="F816">
        <v>3</v>
      </c>
      <c r="G816">
        <v>5</v>
      </c>
      <c r="H816" s="1296">
        <v>15</v>
      </c>
      <c r="I816" t="str">
        <f t="shared" si="12"/>
        <v>-</v>
      </c>
    </row>
    <row r="817" spans="1:9" x14ac:dyDescent="0.25">
      <c r="A817">
        <v>9621</v>
      </c>
      <c r="B817" t="s">
        <v>1014</v>
      </c>
      <c r="C817" t="s">
        <v>1510</v>
      </c>
      <c r="D817" t="s">
        <v>1509</v>
      </c>
      <c r="F817">
        <v>5</v>
      </c>
      <c r="G817">
        <v>1</v>
      </c>
      <c r="H817" s="1296">
        <v>5</v>
      </c>
      <c r="I817" t="str">
        <f t="shared" si="12"/>
        <v>-</v>
      </c>
    </row>
    <row r="818" spans="1:9" x14ac:dyDescent="0.25">
      <c r="A818">
        <v>9664</v>
      </c>
      <c r="B818" t="s">
        <v>1019</v>
      </c>
      <c r="C818" t="s">
        <v>1909</v>
      </c>
      <c r="D818" t="s">
        <v>3</v>
      </c>
      <c r="F818">
        <v>1</v>
      </c>
      <c r="G818">
        <v>50</v>
      </c>
      <c r="H818" s="1296">
        <v>50</v>
      </c>
      <c r="I818" t="str">
        <f t="shared" si="12"/>
        <v>-</v>
      </c>
    </row>
    <row r="819" spans="1:9" x14ac:dyDescent="0.25">
      <c r="A819">
        <v>9707</v>
      </c>
      <c r="B819" t="s">
        <v>1911</v>
      </c>
      <c r="C819" t="s">
        <v>1912</v>
      </c>
      <c r="D819" t="s">
        <v>1880</v>
      </c>
      <c r="E819" t="s">
        <v>1505</v>
      </c>
      <c r="F819">
        <v>2</v>
      </c>
      <c r="G819">
        <v>100</v>
      </c>
      <c r="H819" s="1296">
        <v>200</v>
      </c>
      <c r="I819" t="str">
        <f t="shared" si="12"/>
        <v>-</v>
      </c>
    </row>
    <row r="820" spans="1:9" x14ac:dyDescent="0.25">
      <c r="A820">
        <v>9708</v>
      </c>
      <c r="B820" t="s">
        <v>1911</v>
      </c>
      <c r="C820" t="s">
        <v>1912</v>
      </c>
      <c r="D820" t="s">
        <v>1848</v>
      </c>
      <c r="E820" t="s">
        <v>1474</v>
      </c>
      <c r="F820">
        <v>14</v>
      </c>
      <c r="G820">
        <v>100</v>
      </c>
      <c r="H820" s="1296">
        <v>1400</v>
      </c>
      <c r="I820" t="str">
        <f t="shared" si="12"/>
        <v>-</v>
      </c>
    </row>
    <row r="821" spans="1:9" x14ac:dyDescent="0.25">
      <c r="A821">
        <v>9709</v>
      </c>
      <c r="B821" t="s">
        <v>1911</v>
      </c>
      <c r="C821" t="s">
        <v>1912</v>
      </c>
      <c r="D821" t="s">
        <v>1882</v>
      </c>
      <c r="E821" t="s">
        <v>1821</v>
      </c>
      <c r="F821">
        <v>8</v>
      </c>
      <c r="G821">
        <v>100</v>
      </c>
      <c r="H821" s="1296">
        <v>800</v>
      </c>
      <c r="I821" t="str">
        <f t="shared" si="12"/>
        <v>-</v>
      </c>
    </row>
    <row r="822" spans="1:9" x14ac:dyDescent="0.25">
      <c r="A822">
        <v>9710</v>
      </c>
      <c r="B822" t="s">
        <v>1911</v>
      </c>
      <c r="C822" t="s">
        <v>1912</v>
      </c>
      <c r="D822" t="s">
        <v>1882</v>
      </c>
      <c r="E822" t="s">
        <v>1821</v>
      </c>
      <c r="F822">
        <v>1</v>
      </c>
      <c r="G822">
        <v>100</v>
      </c>
      <c r="H822" s="1296">
        <v>100</v>
      </c>
      <c r="I822" t="str">
        <f t="shared" si="12"/>
        <v>-</v>
      </c>
    </row>
    <row r="823" spans="1:9" x14ac:dyDescent="0.25">
      <c r="A823">
        <v>9711</v>
      </c>
      <c r="B823" t="s">
        <v>1911</v>
      </c>
      <c r="C823" t="s">
        <v>1912</v>
      </c>
      <c r="D823" t="s">
        <v>1898</v>
      </c>
      <c r="E823" t="s">
        <v>1505</v>
      </c>
      <c r="F823">
        <v>1</v>
      </c>
      <c r="G823">
        <v>100</v>
      </c>
      <c r="H823" s="1296">
        <v>100</v>
      </c>
      <c r="I823" t="str">
        <f t="shared" si="12"/>
        <v>-</v>
      </c>
    </row>
    <row r="824" spans="1:9" x14ac:dyDescent="0.25">
      <c r="A824">
        <v>9753</v>
      </c>
      <c r="B824" t="s">
        <v>1023</v>
      </c>
      <c r="C824" t="s">
        <v>1515</v>
      </c>
      <c r="D824" t="s">
        <v>1880</v>
      </c>
      <c r="E824" t="s">
        <v>1505</v>
      </c>
      <c r="F824">
        <v>3</v>
      </c>
      <c r="G824">
        <v>100</v>
      </c>
      <c r="H824" s="1296">
        <v>300</v>
      </c>
      <c r="I824" t="str">
        <f t="shared" si="12"/>
        <v>-</v>
      </c>
    </row>
    <row r="825" spans="1:9" x14ac:dyDescent="0.25">
      <c r="A825">
        <v>9754</v>
      </c>
      <c r="B825" t="s">
        <v>1023</v>
      </c>
      <c r="C825" t="s">
        <v>1515</v>
      </c>
      <c r="D825" t="s">
        <v>1848</v>
      </c>
      <c r="E825" t="s">
        <v>1474</v>
      </c>
      <c r="F825">
        <v>22</v>
      </c>
      <c r="G825">
        <v>100</v>
      </c>
      <c r="H825" s="1296">
        <v>2200</v>
      </c>
      <c r="I825" t="str">
        <f t="shared" si="12"/>
        <v>-</v>
      </c>
    </row>
    <row r="826" spans="1:9" x14ac:dyDescent="0.25">
      <c r="A826">
        <v>9755</v>
      </c>
      <c r="B826" t="s">
        <v>1023</v>
      </c>
      <c r="C826" t="s">
        <v>1515</v>
      </c>
      <c r="D826" t="s">
        <v>1882</v>
      </c>
      <c r="E826" t="s">
        <v>1821</v>
      </c>
      <c r="F826">
        <v>15</v>
      </c>
      <c r="G826">
        <v>100</v>
      </c>
      <c r="H826" s="1296">
        <v>1500</v>
      </c>
      <c r="I826" t="str">
        <f t="shared" si="12"/>
        <v>-</v>
      </c>
    </row>
    <row r="827" spans="1:9" x14ac:dyDescent="0.25">
      <c r="A827">
        <v>9756</v>
      </c>
      <c r="B827" t="s">
        <v>1023</v>
      </c>
      <c r="C827" t="s">
        <v>1515</v>
      </c>
      <c r="D827" t="s">
        <v>1882</v>
      </c>
      <c r="E827" t="s">
        <v>1821</v>
      </c>
      <c r="F827">
        <v>3</v>
      </c>
      <c r="G827">
        <v>100</v>
      </c>
      <c r="H827" s="1296">
        <v>300</v>
      </c>
      <c r="I827" t="str">
        <f t="shared" si="12"/>
        <v>-</v>
      </c>
    </row>
    <row r="828" spans="1:9" x14ac:dyDescent="0.25">
      <c r="A828">
        <v>9758</v>
      </c>
      <c r="B828" t="s">
        <v>1023</v>
      </c>
      <c r="C828" t="s">
        <v>1515</v>
      </c>
      <c r="D828" t="s">
        <v>1824</v>
      </c>
      <c r="F828">
        <v>4</v>
      </c>
      <c r="G828">
        <v>5</v>
      </c>
      <c r="H828" s="1296">
        <v>20</v>
      </c>
      <c r="I828" t="str">
        <f t="shared" si="12"/>
        <v>-</v>
      </c>
    </row>
    <row r="829" spans="1:9" x14ac:dyDescent="0.25">
      <c r="A829">
        <v>9760</v>
      </c>
      <c r="B829" t="s">
        <v>1023</v>
      </c>
      <c r="C829" t="s">
        <v>1515</v>
      </c>
      <c r="D829" t="s">
        <v>482</v>
      </c>
      <c r="F829">
        <v>13</v>
      </c>
      <c r="G829">
        <v>1</v>
      </c>
      <c r="H829" s="1296">
        <v>13</v>
      </c>
      <c r="I829" t="str">
        <f t="shared" si="12"/>
        <v>-</v>
      </c>
    </row>
    <row r="830" spans="1:9" x14ac:dyDescent="0.25">
      <c r="A830">
        <v>9761</v>
      </c>
      <c r="B830" t="s">
        <v>1023</v>
      </c>
      <c r="C830" t="s">
        <v>1515</v>
      </c>
      <c r="D830" t="s">
        <v>482</v>
      </c>
      <c r="F830">
        <v>1</v>
      </c>
      <c r="G830">
        <v>1</v>
      </c>
      <c r="H830" s="1296">
        <v>1</v>
      </c>
      <c r="I830" t="str">
        <f t="shared" si="12"/>
        <v>-</v>
      </c>
    </row>
    <row r="831" spans="1:9" x14ac:dyDescent="0.25">
      <c r="A831">
        <v>9801</v>
      </c>
      <c r="B831" t="s">
        <v>1026</v>
      </c>
      <c r="C831" t="s">
        <v>1462</v>
      </c>
      <c r="D831" t="s">
        <v>931</v>
      </c>
      <c r="F831">
        <v>20</v>
      </c>
      <c r="G831">
        <v>1</v>
      </c>
      <c r="H831" s="1296">
        <v>20</v>
      </c>
      <c r="I831" t="str">
        <f t="shared" si="12"/>
        <v>-</v>
      </c>
    </row>
    <row r="832" spans="1:9" x14ac:dyDescent="0.25">
      <c r="A832">
        <v>9802</v>
      </c>
      <c r="B832" t="s">
        <v>1026</v>
      </c>
      <c r="C832" t="s">
        <v>1462</v>
      </c>
      <c r="D832" t="s">
        <v>1463</v>
      </c>
      <c r="F832">
        <v>2</v>
      </c>
      <c r="G832">
        <v>10</v>
      </c>
      <c r="H832" s="1296">
        <v>20</v>
      </c>
      <c r="I832" t="str">
        <f t="shared" si="12"/>
        <v>-</v>
      </c>
    </row>
    <row r="833" spans="1:9" x14ac:dyDescent="0.25">
      <c r="A833">
        <v>9847</v>
      </c>
      <c r="B833" t="s">
        <v>1026</v>
      </c>
      <c r="C833" t="s">
        <v>1918</v>
      </c>
      <c r="D833" t="s">
        <v>618</v>
      </c>
      <c r="E833" t="s">
        <v>87</v>
      </c>
      <c r="F833">
        <v>2</v>
      </c>
      <c r="G833">
        <v>5</v>
      </c>
      <c r="H833" s="1296">
        <v>10</v>
      </c>
      <c r="I833" t="str">
        <f t="shared" si="12"/>
        <v>-</v>
      </c>
    </row>
    <row r="834" spans="1:9" x14ac:dyDescent="0.25">
      <c r="A834">
        <v>9848</v>
      </c>
      <c r="B834" t="s">
        <v>1026</v>
      </c>
      <c r="C834" t="s">
        <v>1918</v>
      </c>
      <c r="D834" t="s">
        <v>136</v>
      </c>
      <c r="E834" t="s">
        <v>334</v>
      </c>
      <c r="F834">
        <v>1</v>
      </c>
      <c r="G834">
        <v>5</v>
      </c>
      <c r="H834" s="1296">
        <v>5</v>
      </c>
      <c r="I834" t="str">
        <f t="shared" ref="I834:I897" si="13">INDEX($N$2:$N$355,MATCH($A834,$L$2:$L$355,1))</f>
        <v>-</v>
      </c>
    </row>
    <row r="835" spans="1:9" x14ac:dyDescent="0.25">
      <c r="A835">
        <v>9849</v>
      </c>
      <c r="B835" t="s">
        <v>1026</v>
      </c>
      <c r="C835" t="s">
        <v>1918</v>
      </c>
      <c r="D835" t="s">
        <v>815</v>
      </c>
      <c r="E835" t="s">
        <v>84</v>
      </c>
      <c r="F835">
        <v>2</v>
      </c>
      <c r="G835">
        <v>5</v>
      </c>
      <c r="H835" s="1296">
        <v>10</v>
      </c>
      <c r="I835" t="str">
        <f t="shared" si="13"/>
        <v>-</v>
      </c>
    </row>
    <row r="836" spans="1:9" x14ac:dyDescent="0.25">
      <c r="A836">
        <v>9850</v>
      </c>
      <c r="B836" t="s">
        <v>1026</v>
      </c>
      <c r="C836" t="s">
        <v>1918</v>
      </c>
      <c r="D836" t="s">
        <v>1334</v>
      </c>
      <c r="E836" t="s">
        <v>331</v>
      </c>
      <c r="F836">
        <v>4</v>
      </c>
      <c r="G836">
        <v>5</v>
      </c>
      <c r="H836" s="1296">
        <v>20</v>
      </c>
      <c r="I836" t="str">
        <f t="shared" si="13"/>
        <v>-</v>
      </c>
    </row>
    <row r="837" spans="1:9" x14ac:dyDescent="0.25">
      <c r="A837">
        <v>9852</v>
      </c>
      <c r="B837" t="s">
        <v>1026</v>
      </c>
      <c r="C837" t="s">
        <v>1918</v>
      </c>
      <c r="D837" t="s">
        <v>1920</v>
      </c>
      <c r="F837">
        <v>1</v>
      </c>
      <c r="G837">
        <v>5</v>
      </c>
      <c r="H837" s="1296">
        <v>5</v>
      </c>
      <c r="I837" t="str">
        <f t="shared" si="13"/>
        <v>-</v>
      </c>
    </row>
    <row r="838" spans="1:9" x14ac:dyDescent="0.25">
      <c r="A838">
        <v>9853</v>
      </c>
      <c r="B838" t="s">
        <v>1026</v>
      </c>
      <c r="C838" t="s">
        <v>1918</v>
      </c>
      <c r="D838" t="s">
        <v>890</v>
      </c>
      <c r="F838">
        <v>1</v>
      </c>
      <c r="G838">
        <v>10</v>
      </c>
      <c r="H838" s="1296">
        <v>10</v>
      </c>
      <c r="I838" t="str">
        <f t="shared" si="13"/>
        <v>-</v>
      </c>
    </row>
    <row r="839" spans="1:9" x14ac:dyDescent="0.25">
      <c r="A839">
        <v>9893</v>
      </c>
      <c r="B839" t="s">
        <v>1031</v>
      </c>
      <c r="C839" t="s">
        <v>1922</v>
      </c>
      <c r="D839" t="s">
        <v>239</v>
      </c>
      <c r="F839">
        <v>5</v>
      </c>
      <c r="G839">
        <v>2</v>
      </c>
      <c r="H839" s="1296">
        <v>10</v>
      </c>
      <c r="I839" t="str">
        <f t="shared" si="13"/>
        <v>-</v>
      </c>
    </row>
    <row r="840" spans="1:9" x14ac:dyDescent="0.25">
      <c r="A840">
        <v>9894</v>
      </c>
      <c r="B840" t="s">
        <v>1031</v>
      </c>
      <c r="C840" t="s">
        <v>1922</v>
      </c>
      <c r="D840" t="s">
        <v>239</v>
      </c>
      <c r="F840">
        <v>1</v>
      </c>
      <c r="G840">
        <v>1</v>
      </c>
      <c r="H840" s="1296">
        <v>1</v>
      </c>
      <c r="I840" t="str">
        <f t="shared" si="13"/>
        <v>-</v>
      </c>
    </row>
    <row r="841" spans="1:9" x14ac:dyDescent="0.25">
      <c r="A841">
        <v>9896</v>
      </c>
      <c r="B841" t="s">
        <v>1031</v>
      </c>
      <c r="C841" t="s">
        <v>1922</v>
      </c>
      <c r="D841" t="s">
        <v>80</v>
      </c>
      <c r="E841" t="s">
        <v>77</v>
      </c>
      <c r="F841">
        <v>1</v>
      </c>
      <c r="G841">
        <v>5</v>
      </c>
      <c r="H841" s="1296">
        <v>5</v>
      </c>
      <c r="I841" t="str">
        <f t="shared" si="13"/>
        <v>-</v>
      </c>
    </row>
    <row r="842" spans="1:9" x14ac:dyDescent="0.25">
      <c r="A842">
        <v>9897</v>
      </c>
      <c r="B842" t="s">
        <v>1031</v>
      </c>
      <c r="C842" t="s">
        <v>1922</v>
      </c>
      <c r="D842" t="s">
        <v>135</v>
      </c>
      <c r="E842" t="s">
        <v>333</v>
      </c>
      <c r="F842">
        <v>1</v>
      </c>
      <c r="G842">
        <v>5</v>
      </c>
      <c r="H842" s="1296">
        <v>5</v>
      </c>
      <c r="I842" t="str">
        <f t="shared" si="13"/>
        <v>-</v>
      </c>
    </row>
    <row r="843" spans="1:9" x14ac:dyDescent="0.25">
      <c r="A843">
        <v>9898</v>
      </c>
      <c r="B843" t="s">
        <v>1031</v>
      </c>
      <c r="C843" t="s">
        <v>1922</v>
      </c>
      <c r="D843" t="s">
        <v>145</v>
      </c>
      <c r="E843" t="s">
        <v>341</v>
      </c>
      <c r="F843">
        <v>1</v>
      </c>
      <c r="G843">
        <v>5</v>
      </c>
      <c r="H843" s="1296">
        <v>5</v>
      </c>
      <c r="I843" t="str">
        <f t="shared" si="13"/>
        <v>-</v>
      </c>
    </row>
    <row r="844" spans="1:9" x14ac:dyDescent="0.25">
      <c r="A844">
        <v>9900</v>
      </c>
      <c r="B844" t="s">
        <v>1031</v>
      </c>
      <c r="C844" t="s">
        <v>1922</v>
      </c>
      <c r="D844" t="s">
        <v>1628</v>
      </c>
      <c r="F844">
        <v>2</v>
      </c>
      <c r="G844">
        <v>10</v>
      </c>
      <c r="H844" s="1296">
        <v>20</v>
      </c>
      <c r="I844" t="str">
        <f t="shared" si="13"/>
        <v>-</v>
      </c>
    </row>
    <row r="845" spans="1:9" x14ac:dyDescent="0.25">
      <c r="A845">
        <v>9936</v>
      </c>
      <c r="B845" t="s">
        <v>1033</v>
      </c>
      <c r="C845" t="s">
        <v>1923</v>
      </c>
      <c r="D845" t="s">
        <v>315</v>
      </c>
      <c r="E845" t="s">
        <v>298</v>
      </c>
      <c r="F845">
        <v>1</v>
      </c>
      <c r="G845">
        <v>5</v>
      </c>
      <c r="H845" s="1296">
        <v>5</v>
      </c>
      <c r="I845" t="str">
        <f t="shared" si="13"/>
        <v>-</v>
      </c>
    </row>
    <row r="846" spans="1:9" x14ac:dyDescent="0.25">
      <c r="A846">
        <v>9937</v>
      </c>
      <c r="B846" t="s">
        <v>1033</v>
      </c>
      <c r="C846" t="s">
        <v>1923</v>
      </c>
      <c r="D846" t="s">
        <v>1924</v>
      </c>
      <c r="E846" t="s">
        <v>96</v>
      </c>
      <c r="F846">
        <v>1</v>
      </c>
      <c r="G846">
        <v>5</v>
      </c>
      <c r="H846" s="1296">
        <v>5</v>
      </c>
      <c r="I846" t="str">
        <f t="shared" si="13"/>
        <v>-</v>
      </c>
    </row>
    <row r="847" spans="1:9" x14ac:dyDescent="0.25">
      <c r="A847">
        <v>9938</v>
      </c>
      <c r="B847" t="s">
        <v>1033</v>
      </c>
      <c r="C847" t="s">
        <v>1923</v>
      </c>
      <c r="D847" t="s">
        <v>131</v>
      </c>
      <c r="E847" t="s">
        <v>329</v>
      </c>
      <c r="F847">
        <v>1</v>
      </c>
      <c r="G847">
        <v>5</v>
      </c>
      <c r="H847" s="1296">
        <v>5</v>
      </c>
      <c r="I847" t="str">
        <f t="shared" si="13"/>
        <v>-</v>
      </c>
    </row>
    <row r="848" spans="1:9" x14ac:dyDescent="0.25">
      <c r="A848">
        <v>9939</v>
      </c>
      <c r="B848" t="s">
        <v>1033</v>
      </c>
      <c r="C848" t="s">
        <v>1923</v>
      </c>
      <c r="D848" t="s">
        <v>801</v>
      </c>
      <c r="E848" t="s">
        <v>333</v>
      </c>
      <c r="F848">
        <v>1</v>
      </c>
      <c r="G848">
        <v>5</v>
      </c>
      <c r="H848" s="1296">
        <v>5</v>
      </c>
      <c r="I848" t="str">
        <f t="shared" si="13"/>
        <v>-</v>
      </c>
    </row>
    <row r="849" spans="1:9" x14ac:dyDescent="0.25">
      <c r="A849">
        <v>9940</v>
      </c>
      <c r="B849" t="s">
        <v>1033</v>
      </c>
      <c r="C849" t="s">
        <v>1923</v>
      </c>
      <c r="D849" t="s">
        <v>1334</v>
      </c>
      <c r="E849" t="s">
        <v>331</v>
      </c>
      <c r="F849">
        <v>2</v>
      </c>
      <c r="G849">
        <v>5</v>
      </c>
      <c r="H849" s="1296">
        <v>10</v>
      </c>
      <c r="I849" t="str">
        <f t="shared" si="13"/>
        <v>-</v>
      </c>
    </row>
    <row r="850" spans="1:9" x14ac:dyDescent="0.25">
      <c r="A850">
        <v>9941</v>
      </c>
      <c r="B850" t="s">
        <v>1033</v>
      </c>
      <c r="C850" t="s">
        <v>1923</v>
      </c>
      <c r="D850" t="s">
        <v>655</v>
      </c>
      <c r="E850" t="s">
        <v>94</v>
      </c>
      <c r="F850">
        <v>1</v>
      </c>
      <c r="G850">
        <v>5</v>
      </c>
      <c r="H850" s="1296">
        <v>5</v>
      </c>
      <c r="I850" t="str">
        <f t="shared" si="13"/>
        <v>-</v>
      </c>
    </row>
    <row r="851" spans="1:9" x14ac:dyDescent="0.25">
      <c r="A851">
        <v>9942</v>
      </c>
      <c r="B851" t="s">
        <v>1033</v>
      </c>
      <c r="C851" t="s">
        <v>1923</v>
      </c>
      <c r="D851" t="s">
        <v>118</v>
      </c>
      <c r="E851" t="s">
        <v>1599</v>
      </c>
      <c r="F851">
        <v>1</v>
      </c>
      <c r="G851">
        <v>5</v>
      </c>
      <c r="H851" s="1296">
        <v>5</v>
      </c>
      <c r="I851" t="str">
        <f t="shared" si="13"/>
        <v>-</v>
      </c>
    </row>
    <row r="852" spans="1:9" x14ac:dyDescent="0.25">
      <c r="A852">
        <v>9943</v>
      </c>
      <c r="B852" t="s">
        <v>1033</v>
      </c>
      <c r="C852" t="s">
        <v>1923</v>
      </c>
      <c r="D852" t="s">
        <v>126</v>
      </c>
      <c r="E852" t="s">
        <v>1840</v>
      </c>
      <c r="F852">
        <v>1</v>
      </c>
      <c r="G852">
        <v>5</v>
      </c>
      <c r="H852" s="1296">
        <v>5</v>
      </c>
      <c r="I852" t="str">
        <f t="shared" si="13"/>
        <v>-</v>
      </c>
    </row>
    <row r="853" spans="1:9" x14ac:dyDescent="0.25">
      <c r="A853">
        <v>9944</v>
      </c>
      <c r="B853" t="s">
        <v>1033</v>
      </c>
      <c r="C853" t="s">
        <v>1923</v>
      </c>
      <c r="D853" t="s">
        <v>1203</v>
      </c>
      <c r="E853" t="s">
        <v>47</v>
      </c>
      <c r="F853">
        <v>1</v>
      </c>
      <c r="G853">
        <v>5</v>
      </c>
      <c r="H853" s="1296">
        <v>5</v>
      </c>
      <c r="I853" t="str">
        <f t="shared" si="13"/>
        <v>-</v>
      </c>
    </row>
    <row r="854" spans="1:9" x14ac:dyDescent="0.25">
      <c r="A854">
        <v>9945</v>
      </c>
      <c r="B854" t="s">
        <v>1033</v>
      </c>
      <c r="C854" t="s">
        <v>1923</v>
      </c>
      <c r="D854" t="s">
        <v>301</v>
      </c>
      <c r="E854" t="s">
        <v>66</v>
      </c>
      <c r="F854">
        <v>1</v>
      </c>
      <c r="G854">
        <v>5</v>
      </c>
      <c r="H854" s="1296">
        <v>5</v>
      </c>
      <c r="I854" t="str">
        <f t="shared" si="13"/>
        <v>-</v>
      </c>
    </row>
    <row r="855" spans="1:9" x14ac:dyDescent="0.25">
      <c r="A855">
        <v>9947</v>
      </c>
      <c r="B855" t="s">
        <v>1033</v>
      </c>
      <c r="C855" t="s">
        <v>1923</v>
      </c>
      <c r="D855" t="s">
        <v>239</v>
      </c>
      <c r="F855">
        <v>10</v>
      </c>
      <c r="G855">
        <v>1</v>
      </c>
      <c r="H855" s="1296">
        <v>10</v>
      </c>
      <c r="I855" t="str">
        <f t="shared" si="13"/>
        <v>-</v>
      </c>
    </row>
    <row r="856" spans="1:9" x14ac:dyDescent="0.25">
      <c r="A856">
        <v>9948</v>
      </c>
      <c r="B856" t="s">
        <v>1033</v>
      </c>
      <c r="C856" t="s">
        <v>1923</v>
      </c>
      <c r="D856" t="s">
        <v>239</v>
      </c>
      <c r="F856">
        <v>1</v>
      </c>
      <c r="G856">
        <v>1</v>
      </c>
      <c r="H856" s="1296">
        <v>1</v>
      </c>
      <c r="I856" t="str">
        <f t="shared" si="13"/>
        <v>-</v>
      </c>
    </row>
    <row r="857" spans="1:9" x14ac:dyDescent="0.25">
      <c r="A857">
        <v>9950</v>
      </c>
      <c r="B857" t="s">
        <v>1033</v>
      </c>
      <c r="C857" t="s">
        <v>1923</v>
      </c>
      <c r="D857" t="s">
        <v>1925</v>
      </c>
      <c r="F857">
        <v>3</v>
      </c>
      <c r="G857">
        <v>5</v>
      </c>
      <c r="H857" s="1296">
        <v>15</v>
      </c>
      <c r="I857" t="str">
        <f t="shared" si="13"/>
        <v>-</v>
      </c>
    </row>
    <row r="858" spans="1:9" x14ac:dyDescent="0.25">
      <c r="A858">
        <v>9952</v>
      </c>
      <c r="B858" t="s">
        <v>1033</v>
      </c>
      <c r="C858" t="s">
        <v>1923</v>
      </c>
      <c r="D858">
        <v>508</v>
      </c>
      <c r="F858">
        <v>3</v>
      </c>
      <c r="G858">
        <v>4</v>
      </c>
      <c r="H858" s="1296">
        <v>12</v>
      </c>
      <c r="I858" t="str">
        <f t="shared" si="13"/>
        <v>-</v>
      </c>
    </row>
    <row r="859" spans="1:9" x14ac:dyDescent="0.25">
      <c r="A859">
        <v>9985</v>
      </c>
      <c r="B859" t="s">
        <v>1033</v>
      </c>
      <c r="C859" t="s">
        <v>1926</v>
      </c>
      <c r="D859" t="s">
        <v>239</v>
      </c>
      <c r="F859">
        <v>10</v>
      </c>
      <c r="G859">
        <v>1</v>
      </c>
      <c r="H859" s="1296">
        <v>10</v>
      </c>
      <c r="I859" t="str">
        <f t="shared" si="13"/>
        <v>-</v>
      </c>
    </row>
    <row r="860" spans="1:9" x14ac:dyDescent="0.25">
      <c r="A860">
        <v>9986</v>
      </c>
      <c r="B860" t="s">
        <v>1033</v>
      </c>
      <c r="C860" t="s">
        <v>1926</v>
      </c>
      <c r="D860" t="s">
        <v>239</v>
      </c>
      <c r="F860">
        <v>1</v>
      </c>
      <c r="G860">
        <v>1</v>
      </c>
      <c r="H860" s="1296">
        <v>1</v>
      </c>
      <c r="I860" t="str">
        <f t="shared" si="13"/>
        <v>-</v>
      </c>
    </row>
    <row r="861" spans="1:9" x14ac:dyDescent="0.25">
      <c r="A861">
        <v>10028</v>
      </c>
      <c r="B861" t="s">
        <v>1036</v>
      </c>
      <c r="C861" t="s">
        <v>1927</v>
      </c>
      <c r="D861">
        <v>508</v>
      </c>
      <c r="F861">
        <v>3</v>
      </c>
      <c r="G861">
        <v>4</v>
      </c>
      <c r="H861" s="1296">
        <v>12</v>
      </c>
      <c r="I861" t="str">
        <f t="shared" si="13"/>
        <v>-</v>
      </c>
    </row>
    <row r="862" spans="1:9" x14ac:dyDescent="0.25">
      <c r="A862">
        <v>10029</v>
      </c>
      <c r="B862" t="s">
        <v>1036</v>
      </c>
      <c r="C862" t="s">
        <v>1927</v>
      </c>
      <c r="D862">
        <v>507</v>
      </c>
      <c r="F862">
        <v>5</v>
      </c>
      <c r="G862">
        <v>4</v>
      </c>
      <c r="H862" s="1296">
        <v>20</v>
      </c>
      <c r="I862" t="str">
        <f t="shared" si="13"/>
        <v>-</v>
      </c>
    </row>
    <row r="863" spans="1:9" x14ac:dyDescent="0.25">
      <c r="A863">
        <v>10074</v>
      </c>
      <c r="B863" t="s">
        <v>1036</v>
      </c>
      <c r="C863" t="s">
        <v>1928</v>
      </c>
      <c r="D863">
        <v>508</v>
      </c>
      <c r="F863">
        <v>13</v>
      </c>
      <c r="G863">
        <v>4</v>
      </c>
      <c r="H863" s="1296">
        <v>52</v>
      </c>
      <c r="I863" t="str">
        <f t="shared" si="13"/>
        <v>-</v>
      </c>
    </row>
    <row r="864" spans="1:9" x14ac:dyDescent="0.25">
      <c r="A864">
        <v>10123</v>
      </c>
      <c r="B864" t="s">
        <v>1036</v>
      </c>
      <c r="C864" t="s">
        <v>1929</v>
      </c>
      <c r="D864" t="s">
        <v>239</v>
      </c>
      <c r="F864">
        <v>10</v>
      </c>
      <c r="G864">
        <v>1</v>
      </c>
      <c r="H864" s="1296">
        <v>10</v>
      </c>
      <c r="I864" t="str">
        <f t="shared" si="13"/>
        <v>-</v>
      </c>
    </row>
    <row r="865" spans="1:9" x14ac:dyDescent="0.25">
      <c r="A865">
        <v>10124</v>
      </c>
      <c r="B865" t="s">
        <v>1036</v>
      </c>
      <c r="C865" t="s">
        <v>1929</v>
      </c>
      <c r="D865" t="s">
        <v>239</v>
      </c>
      <c r="F865">
        <v>1</v>
      </c>
      <c r="G865">
        <v>1</v>
      </c>
      <c r="H865" s="1296">
        <v>1</v>
      </c>
      <c r="I865" t="str">
        <f t="shared" si="13"/>
        <v>-</v>
      </c>
    </row>
    <row r="866" spans="1:9" x14ac:dyDescent="0.25">
      <c r="A866">
        <v>10166</v>
      </c>
      <c r="B866" t="s">
        <v>1042</v>
      </c>
      <c r="C866" t="s">
        <v>1930</v>
      </c>
      <c r="D866" t="s">
        <v>81</v>
      </c>
      <c r="E866" t="s">
        <v>82</v>
      </c>
      <c r="F866">
        <v>3</v>
      </c>
      <c r="G866">
        <v>5</v>
      </c>
      <c r="H866" s="1296">
        <v>15</v>
      </c>
      <c r="I866" t="str">
        <f t="shared" si="13"/>
        <v>-</v>
      </c>
    </row>
    <row r="867" spans="1:9" x14ac:dyDescent="0.25">
      <c r="A867">
        <v>10167</v>
      </c>
      <c r="B867" t="s">
        <v>1042</v>
      </c>
      <c r="C867" t="s">
        <v>1930</v>
      </c>
      <c r="D867" t="s">
        <v>655</v>
      </c>
      <c r="E867" t="s">
        <v>94</v>
      </c>
      <c r="F867">
        <v>1</v>
      </c>
      <c r="G867">
        <v>5</v>
      </c>
      <c r="H867" s="1296">
        <v>5</v>
      </c>
      <c r="I867" t="str">
        <f t="shared" si="13"/>
        <v>-</v>
      </c>
    </row>
    <row r="868" spans="1:9" x14ac:dyDescent="0.25">
      <c r="A868">
        <v>10168</v>
      </c>
      <c r="B868" t="s">
        <v>1042</v>
      </c>
      <c r="C868" t="s">
        <v>1930</v>
      </c>
      <c r="D868" t="s">
        <v>1932</v>
      </c>
      <c r="E868" t="s">
        <v>87</v>
      </c>
      <c r="F868">
        <v>1</v>
      </c>
      <c r="G868">
        <v>5</v>
      </c>
      <c r="H868" s="1296">
        <v>5</v>
      </c>
      <c r="I868" t="str">
        <f t="shared" si="13"/>
        <v>-</v>
      </c>
    </row>
    <row r="869" spans="1:9" x14ac:dyDescent="0.25">
      <c r="A869">
        <v>10169</v>
      </c>
      <c r="B869" t="s">
        <v>1042</v>
      </c>
      <c r="C869" t="s">
        <v>1930</v>
      </c>
      <c r="D869" t="s">
        <v>1334</v>
      </c>
      <c r="E869" t="s">
        <v>331</v>
      </c>
      <c r="F869">
        <v>2</v>
      </c>
      <c r="G869">
        <v>5</v>
      </c>
      <c r="H869" s="1296">
        <v>10</v>
      </c>
      <c r="I869" t="str">
        <f t="shared" si="13"/>
        <v>-</v>
      </c>
    </row>
    <row r="870" spans="1:9" x14ac:dyDescent="0.25">
      <c r="A870">
        <v>10170</v>
      </c>
      <c r="B870" t="s">
        <v>1042</v>
      </c>
      <c r="C870" t="s">
        <v>1930</v>
      </c>
      <c r="D870" t="s">
        <v>131</v>
      </c>
      <c r="E870" t="s">
        <v>329</v>
      </c>
      <c r="F870">
        <v>1</v>
      </c>
      <c r="G870">
        <v>5</v>
      </c>
      <c r="H870" s="1296">
        <v>5</v>
      </c>
      <c r="I870" t="str">
        <f t="shared" si="13"/>
        <v>-</v>
      </c>
    </row>
    <row r="871" spans="1:9" x14ac:dyDescent="0.25">
      <c r="A871">
        <v>10172</v>
      </c>
      <c r="B871" t="s">
        <v>1042</v>
      </c>
      <c r="C871" t="s">
        <v>1930</v>
      </c>
      <c r="D871" t="s">
        <v>1830</v>
      </c>
      <c r="F871">
        <v>2</v>
      </c>
      <c r="G871">
        <v>10</v>
      </c>
      <c r="H871" s="1296">
        <v>20</v>
      </c>
      <c r="I871" t="str">
        <f t="shared" si="13"/>
        <v>-</v>
      </c>
    </row>
    <row r="872" spans="1:9" x14ac:dyDescent="0.25">
      <c r="A872">
        <v>10174</v>
      </c>
      <c r="B872" t="s">
        <v>1042</v>
      </c>
      <c r="C872" t="s">
        <v>1930</v>
      </c>
      <c r="D872" t="s">
        <v>1933</v>
      </c>
      <c r="E872" t="s">
        <v>432</v>
      </c>
      <c r="F872">
        <v>2</v>
      </c>
      <c r="G872">
        <v>25</v>
      </c>
      <c r="H872" s="1296">
        <v>50</v>
      </c>
      <c r="I872" t="str">
        <f t="shared" si="13"/>
        <v>-</v>
      </c>
    </row>
    <row r="873" spans="1:9" x14ac:dyDescent="0.25">
      <c r="A873">
        <v>10212</v>
      </c>
      <c r="B873" t="s">
        <v>1045</v>
      </c>
      <c r="C873" t="s">
        <v>1451</v>
      </c>
      <c r="D873" t="s">
        <v>1555</v>
      </c>
      <c r="E873" t="s">
        <v>1164</v>
      </c>
      <c r="F873">
        <v>25</v>
      </c>
      <c r="G873">
        <v>1</v>
      </c>
      <c r="H873" s="1296">
        <v>25</v>
      </c>
      <c r="I873" t="str">
        <f t="shared" si="13"/>
        <v>-</v>
      </c>
    </row>
    <row r="874" spans="1:9" x14ac:dyDescent="0.25">
      <c r="A874">
        <v>10213</v>
      </c>
      <c r="B874" t="s">
        <v>1045</v>
      </c>
      <c r="C874" t="s">
        <v>1451</v>
      </c>
      <c r="D874" t="s">
        <v>1447</v>
      </c>
      <c r="F874">
        <v>2.5</v>
      </c>
      <c r="G874">
        <v>10</v>
      </c>
      <c r="H874" s="1296">
        <v>25</v>
      </c>
      <c r="I874" t="str">
        <f t="shared" si="13"/>
        <v>-</v>
      </c>
    </row>
    <row r="875" spans="1:9" x14ac:dyDescent="0.25">
      <c r="A875">
        <v>10258</v>
      </c>
      <c r="B875" t="s">
        <v>1047</v>
      </c>
      <c r="C875" t="s">
        <v>1375</v>
      </c>
      <c r="D875">
        <v>507</v>
      </c>
      <c r="F875">
        <v>12</v>
      </c>
      <c r="G875">
        <v>4</v>
      </c>
      <c r="H875" s="1296">
        <v>48</v>
      </c>
      <c r="I875" t="str">
        <f t="shared" si="13"/>
        <v>-</v>
      </c>
    </row>
    <row r="876" spans="1:9" x14ac:dyDescent="0.25">
      <c r="A876">
        <v>10259</v>
      </c>
      <c r="B876" t="s">
        <v>1047</v>
      </c>
      <c r="C876" t="s">
        <v>1375</v>
      </c>
      <c r="D876">
        <v>508</v>
      </c>
      <c r="F876">
        <v>4</v>
      </c>
      <c r="G876">
        <v>4</v>
      </c>
      <c r="H876" s="1296">
        <v>16</v>
      </c>
      <c r="I876" t="str">
        <f t="shared" si="13"/>
        <v>-</v>
      </c>
    </row>
    <row r="877" spans="1:9" x14ac:dyDescent="0.25">
      <c r="A877">
        <v>10260</v>
      </c>
      <c r="B877" t="s">
        <v>1047</v>
      </c>
      <c r="C877" t="s">
        <v>1375</v>
      </c>
      <c r="D877">
        <v>505</v>
      </c>
      <c r="F877">
        <v>2</v>
      </c>
      <c r="G877">
        <v>4</v>
      </c>
      <c r="H877" s="1296">
        <v>8</v>
      </c>
      <c r="I877" t="str">
        <f t="shared" si="13"/>
        <v>-</v>
      </c>
    </row>
    <row r="878" spans="1:9" x14ac:dyDescent="0.25">
      <c r="A878">
        <v>10261</v>
      </c>
      <c r="B878" t="s">
        <v>1047</v>
      </c>
      <c r="C878" t="s">
        <v>1375</v>
      </c>
      <c r="D878">
        <v>505</v>
      </c>
      <c r="F878">
        <v>1</v>
      </c>
      <c r="G878">
        <v>3</v>
      </c>
      <c r="H878" s="1296">
        <v>3</v>
      </c>
      <c r="I878" t="str">
        <f t="shared" si="13"/>
        <v>-</v>
      </c>
    </row>
    <row r="879" spans="1:9" x14ac:dyDescent="0.25">
      <c r="A879">
        <v>10306</v>
      </c>
      <c r="B879" t="s">
        <v>1049</v>
      </c>
      <c r="C879" t="s">
        <v>1934</v>
      </c>
      <c r="D879" t="s">
        <v>131</v>
      </c>
      <c r="E879" t="s">
        <v>329</v>
      </c>
      <c r="F879">
        <v>7</v>
      </c>
      <c r="G879">
        <v>5</v>
      </c>
      <c r="H879" s="1296">
        <v>35</v>
      </c>
      <c r="I879" t="str">
        <f t="shared" si="13"/>
        <v>-</v>
      </c>
    </row>
    <row r="880" spans="1:9" x14ac:dyDescent="0.25">
      <c r="A880">
        <v>10350</v>
      </c>
      <c r="B880" t="s">
        <v>1049</v>
      </c>
      <c r="C880" t="s">
        <v>1393</v>
      </c>
      <c r="D880">
        <v>510</v>
      </c>
      <c r="F880">
        <v>1</v>
      </c>
      <c r="G880">
        <v>4</v>
      </c>
      <c r="H880" s="1296">
        <v>4</v>
      </c>
      <c r="I880" t="str">
        <f t="shared" si="13"/>
        <v>-</v>
      </c>
    </row>
    <row r="881" spans="1:9" x14ac:dyDescent="0.25">
      <c r="A881">
        <v>10352</v>
      </c>
      <c r="B881" t="s">
        <v>1049</v>
      </c>
      <c r="C881" t="s">
        <v>1393</v>
      </c>
      <c r="D881" t="s">
        <v>669</v>
      </c>
      <c r="F881">
        <v>3</v>
      </c>
      <c r="G881">
        <v>5</v>
      </c>
      <c r="H881" s="1296">
        <v>15</v>
      </c>
      <c r="I881" t="str">
        <f t="shared" si="13"/>
        <v>-</v>
      </c>
    </row>
    <row r="882" spans="1:9" x14ac:dyDescent="0.25">
      <c r="A882">
        <v>10354</v>
      </c>
      <c r="B882" t="s">
        <v>1049</v>
      </c>
      <c r="C882" t="s">
        <v>1393</v>
      </c>
      <c r="D882" t="s">
        <v>696</v>
      </c>
      <c r="E882" t="s">
        <v>362</v>
      </c>
      <c r="F882">
        <v>1</v>
      </c>
      <c r="G882">
        <v>6</v>
      </c>
      <c r="H882" s="1296">
        <v>6</v>
      </c>
      <c r="I882" t="str">
        <f t="shared" si="13"/>
        <v>-</v>
      </c>
    </row>
    <row r="883" spans="1:9" x14ac:dyDescent="0.25">
      <c r="A883">
        <v>10355</v>
      </c>
      <c r="B883" t="s">
        <v>1049</v>
      </c>
      <c r="C883" t="s">
        <v>1393</v>
      </c>
      <c r="D883" t="s">
        <v>239</v>
      </c>
      <c r="E883" t="s">
        <v>391</v>
      </c>
      <c r="F883">
        <v>1</v>
      </c>
      <c r="G883">
        <v>6</v>
      </c>
      <c r="H883" s="1296">
        <v>6</v>
      </c>
      <c r="I883" t="str">
        <f t="shared" si="13"/>
        <v>-</v>
      </c>
    </row>
    <row r="884" spans="1:9" x14ac:dyDescent="0.25">
      <c r="A884">
        <v>10396</v>
      </c>
      <c r="B884" t="s">
        <v>1052</v>
      </c>
      <c r="C884" t="s">
        <v>1433</v>
      </c>
      <c r="D884" t="s">
        <v>1076</v>
      </c>
      <c r="E884" t="s">
        <v>1164</v>
      </c>
      <c r="F884">
        <v>70</v>
      </c>
      <c r="G884">
        <v>1</v>
      </c>
      <c r="H884" s="1296">
        <v>70</v>
      </c>
      <c r="I884" t="str">
        <f t="shared" si="13"/>
        <v>-</v>
      </c>
    </row>
    <row r="885" spans="1:9" x14ac:dyDescent="0.25">
      <c r="A885">
        <v>10397</v>
      </c>
      <c r="B885" t="s">
        <v>1052</v>
      </c>
      <c r="C885" t="s">
        <v>1433</v>
      </c>
      <c r="D885" t="s">
        <v>1447</v>
      </c>
      <c r="F885">
        <v>5</v>
      </c>
      <c r="G885">
        <v>10</v>
      </c>
      <c r="H885" s="1296">
        <v>50</v>
      </c>
      <c r="I885" t="str">
        <f t="shared" si="13"/>
        <v>-</v>
      </c>
    </row>
    <row r="886" spans="1:9" x14ac:dyDescent="0.25">
      <c r="A886">
        <v>10399</v>
      </c>
      <c r="B886" t="s">
        <v>1052</v>
      </c>
      <c r="C886" t="s">
        <v>1433</v>
      </c>
      <c r="D886" t="s">
        <v>669</v>
      </c>
      <c r="F886">
        <v>7</v>
      </c>
      <c r="G886">
        <v>5</v>
      </c>
      <c r="H886" s="1296">
        <v>35</v>
      </c>
      <c r="I886" t="str">
        <f t="shared" si="13"/>
        <v>-</v>
      </c>
    </row>
    <row r="887" spans="1:9" x14ac:dyDescent="0.25">
      <c r="A887">
        <v>10443</v>
      </c>
      <c r="B887" t="s">
        <v>1052</v>
      </c>
      <c r="C887" t="s">
        <v>1457</v>
      </c>
      <c r="D887" t="s">
        <v>1555</v>
      </c>
      <c r="E887" t="s">
        <v>1164</v>
      </c>
      <c r="F887">
        <v>25</v>
      </c>
      <c r="G887">
        <v>1</v>
      </c>
      <c r="H887" s="1296">
        <v>25</v>
      </c>
      <c r="I887" t="str">
        <f t="shared" si="13"/>
        <v>-</v>
      </c>
    </row>
    <row r="888" spans="1:9" x14ac:dyDescent="0.25">
      <c r="A888">
        <v>10444</v>
      </c>
      <c r="B888" t="s">
        <v>1052</v>
      </c>
      <c r="C888" t="s">
        <v>1457</v>
      </c>
      <c r="D888" t="s">
        <v>1447</v>
      </c>
      <c r="F888">
        <v>2.5</v>
      </c>
      <c r="G888">
        <v>10</v>
      </c>
      <c r="H888" s="1296">
        <v>25</v>
      </c>
      <c r="I888" t="str">
        <f t="shared" si="13"/>
        <v>-</v>
      </c>
    </row>
    <row r="889" spans="1:9" x14ac:dyDescent="0.25">
      <c r="A889">
        <v>10446</v>
      </c>
      <c r="B889" t="s">
        <v>1052</v>
      </c>
      <c r="C889" t="s">
        <v>1457</v>
      </c>
      <c r="D889" t="s">
        <v>1937</v>
      </c>
      <c r="F889">
        <v>4</v>
      </c>
      <c r="G889">
        <v>10</v>
      </c>
      <c r="H889" s="1296">
        <v>40</v>
      </c>
      <c r="I889" t="str">
        <f t="shared" si="13"/>
        <v>-</v>
      </c>
    </row>
    <row r="890" spans="1:9" x14ac:dyDescent="0.25">
      <c r="A890">
        <v>10447</v>
      </c>
      <c r="B890" t="s">
        <v>1052</v>
      </c>
      <c r="C890" t="s">
        <v>1457</v>
      </c>
      <c r="D890" t="s">
        <v>1938</v>
      </c>
      <c r="F890">
        <v>3</v>
      </c>
      <c r="G890">
        <v>10</v>
      </c>
      <c r="H890" s="1296">
        <v>30</v>
      </c>
      <c r="I890" t="str">
        <f t="shared" si="13"/>
        <v>-</v>
      </c>
    </row>
    <row r="891" spans="1:9" x14ac:dyDescent="0.25">
      <c r="A891">
        <v>10449</v>
      </c>
      <c r="B891" t="s">
        <v>1052</v>
      </c>
      <c r="C891" t="s">
        <v>1457</v>
      </c>
      <c r="D891" t="s">
        <v>1851</v>
      </c>
      <c r="F891">
        <v>1</v>
      </c>
      <c r="G891">
        <v>10</v>
      </c>
      <c r="H891" s="1296">
        <v>10</v>
      </c>
      <c r="I891" t="str">
        <f t="shared" si="13"/>
        <v>-</v>
      </c>
    </row>
    <row r="892" spans="1:9" x14ac:dyDescent="0.25">
      <c r="A892">
        <v>10491</v>
      </c>
      <c r="B892" t="s">
        <v>1056</v>
      </c>
      <c r="C892" t="s">
        <v>1939</v>
      </c>
      <c r="D892" t="s">
        <v>1824</v>
      </c>
      <c r="F892">
        <v>6</v>
      </c>
      <c r="G892">
        <v>5</v>
      </c>
      <c r="H892" s="1296">
        <v>30</v>
      </c>
      <c r="I892" t="str">
        <f t="shared" si="13"/>
        <v>-</v>
      </c>
    </row>
    <row r="893" spans="1:9" x14ac:dyDescent="0.25">
      <c r="A893">
        <v>10537</v>
      </c>
      <c r="B893" t="s">
        <v>1056</v>
      </c>
      <c r="C893" t="s">
        <v>1941</v>
      </c>
      <c r="D893" t="s">
        <v>1942</v>
      </c>
      <c r="F893">
        <v>10</v>
      </c>
      <c r="G893">
        <v>1</v>
      </c>
      <c r="H893" s="1296">
        <v>10</v>
      </c>
      <c r="I893" t="str">
        <f t="shared" si="13"/>
        <v>-</v>
      </c>
    </row>
    <row r="894" spans="1:9" x14ac:dyDescent="0.25">
      <c r="A894">
        <v>10538</v>
      </c>
      <c r="B894" t="s">
        <v>1056</v>
      </c>
      <c r="C894" t="s">
        <v>1941</v>
      </c>
      <c r="D894" t="s">
        <v>1942</v>
      </c>
      <c r="F894">
        <v>1</v>
      </c>
      <c r="G894">
        <v>1</v>
      </c>
      <c r="H894" s="1296">
        <v>1</v>
      </c>
      <c r="I894" t="str">
        <f t="shared" si="13"/>
        <v>-</v>
      </c>
    </row>
    <row r="895" spans="1:9" x14ac:dyDescent="0.25">
      <c r="A895">
        <v>10583</v>
      </c>
      <c r="B895" t="s">
        <v>1539</v>
      </c>
      <c r="C895" t="s">
        <v>1540</v>
      </c>
      <c r="D895" t="s">
        <v>1541</v>
      </c>
      <c r="E895" t="s">
        <v>1542</v>
      </c>
      <c r="F895">
        <v>7</v>
      </c>
      <c r="G895">
        <v>40</v>
      </c>
      <c r="H895" s="1296">
        <v>280</v>
      </c>
      <c r="I895" t="str">
        <f t="shared" si="13"/>
        <v>-</v>
      </c>
    </row>
    <row r="896" spans="1:9" x14ac:dyDescent="0.25">
      <c r="A896">
        <v>10584</v>
      </c>
      <c r="B896" t="s">
        <v>1539</v>
      </c>
      <c r="C896" t="s">
        <v>1540</v>
      </c>
      <c r="D896" t="s">
        <v>1541</v>
      </c>
      <c r="E896" t="s">
        <v>1543</v>
      </c>
      <c r="F896">
        <v>2</v>
      </c>
      <c r="G896">
        <v>40</v>
      </c>
      <c r="H896" s="1296">
        <v>80</v>
      </c>
      <c r="I896" t="str">
        <f t="shared" si="13"/>
        <v>-</v>
      </c>
    </row>
    <row r="897" spans="1:9" x14ac:dyDescent="0.25">
      <c r="A897">
        <v>10585</v>
      </c>
      <c r="B897" t="s">
        <v>1539</v>
      </c>
      <c r="C897" t="s">
        <v>1540</v>
      </c>
      <c r="D897" t="s">
        <v>1541</v>
      </c>
      <c r="E897" t="s">
        <v>1543</v>
      </c>
      <c r="F897">
        <v>1</v>
      </c>
      <c r="G897">
        <v>25</v>
      </c>
      <c r="H897" s="1296">
        <v>25</v>
      </c>
      <c r="I897" t="str">
        <f t="shared" si="13"/>
        <v>-</v>
      </c>
    </row>
    <row r="898" spans="1:9" x14ac:dyDescent="0.25">
      <c r="A898">
        <v>10641</v>
      </c>
      <c r="B898" t="s">
        <v>1065</v>
      </c>
      <c r="C898" t="s">
        <v>1494</v>
      </c>
      <c r="D898" t="s">
        <v>494</v>
      </c>
      <c r="F898">
        <v>1</v>
      </c>
      <c r="G898">
        <v>5</v>
      </c>
      <c r="H898" s="1296">
        <v>5</v>
      </c>
      <c r="I898" t="str">
        <f t="shared" ref="I898:I961" si="14">INDEX($N$2:$N$355,MATCH($A898,$L$2:$L$355,1))</f>
        <v>-</v>
      </c>
    </row>
    <row r="899" spans="1:9" x14ac:dyDescent="0.25">
      <c r="A899">
        <v>10642</v>
      </c>
      <c r="B899" t="s">
        <v>1065</v>
      </c>
      <c r="C899" t="s">
        <v>1494</v>
      </c>
      <c r="D899" t="s">
        <v>144</v>
      </c>
      <c r="F899">
        <v>1</v>
      </c>
      <c r="G899">
        <v>5</v>
      </c>
      <c r="H899" s="1296">
        <v>5</v>
      </c>
      <c r="I899" t="str">
        <f t="shared" si="14"/>
        <v>-</v>
      </c>
    </row>
    <row r="900" spans="1:9" x14ac:dyDescent="0.25">
      <c r="A900">
        <v>10643</v>
      </c>
      <c r="B900" t="s">
        <v>1065</v>
      </c>
      <c r="C900" t="s">
        <v>1494</v>
      </c>
      <c r="D900" t="s">
        <v>134</v>
      </c>
      <c r="F900">
        <v>1</v>
      </c>
      <c r="G900">
        <v>5</v>
      </c>
      <c r="H900" s="1296">
        <v>5</v>
      </c>
      <c r="I900" t="str">
        <f t="shared" si="14"/>
        <v>-</v>
      </c>
    </row>
    <row r="901" spans="1:9" x14ac:dyDescent="0.25">
      <c r="A901">
        <v>10644</v>
      </c>
      <c r="B901" t="s">
        <v>1065</v>
      </c>
      <c r="C901" t="s">
        <v>1494</v>
      </c>
      <c r="D901" t="s">
        <v>63</v>
      </c>
      <c r="F901">
        <v>1</v>
      </c>
      <c r="G901">
        <v>5</v>
      </c>
      <c r="H901" s="1296">
        <v>5</v>
      </c>
      <c r="I901" t="str">
        <f t="shared" si="14"/>
        <v>-</v>
      </c>
    </row>
    <row r="902" spans="1:9" x14ac:dyDescent="0.25">
      <c r="A902">
        <v>10645</v>
      </c>
      <c r="B902" t="s">
        <v>1065</v>
      </c>
      <c r="C902" t="s">
        <v>1494</v>
      </c>
      <c r="D902" t="s">
        <v>139</v>
      </c>
      <c r="F902">
        <v>1</v>
      </c>
      <c r="G902">
        <v>5</v>
      </c>
      <c r="H902" s="1296">
        <v>5</v>
      </c>
      <c r="I902" t="str">
        <f t="shared" si="14"/>
        <v>-</v>
      </c>
    </row>
    <row r="903" spans="1:9" x14ac:dyDescent="0.25">
      <c r="A903">
        <v>10646</v>
      </c>
      <c r="B903" t="s">
        <v>1065</v>
      </c>
      <c r="C903" t="s">
        <v>1494</v>
      </c>
      <c r="D903" t="s">
        <v>140</v>
      </c>
      <c r="F903">
        <v>1</v>
      </c>
      <c r="G903">
        <v>5</v>
      </c>
      <c r="H903" s="1296">
        <v>5</v>
      </c>
      <c r="I903" t="str">
        <f t="shared" si="14"/>
        <v>-</v>
      </c>
    </row>
    <row r="904" spans="1:9" x14ac:dyDescent="0.25">
      <c r="A904">
        <v>10647</v>
      </c>
      <c r="B904" t="s">
        <v>1065</v>
      </c>
      <c r="C904" t="s">
        <v>1494</v>
      </c>
      <c r="D904" t="s">
        <v>1495</v>
      </c>
      <c r="F904">
        <v>1</v>
      </c>
      <c r="G904">
        <v>5</v>
      </c>
      <c r="H904" s="1296">
        <v>5</v>
      </c>
      <c r="I904" t="str">
        <f t="shared" si="14"/>
        <v>-</v>
      </c>
    </row>
    <row r="905" spans="1:9" x14ac:dyDescent="0.25">
      <c r="A905">
        <v>10648</v>
      </c>
      <c r="B905" t="s">
        <v>1065</v>
      </c>
      <c r="C905" t="s">
        <v>1494</v>
      </c>
      <c r="D905" t="s">
        <v>145</v>
      </c>
      <c r="F905">
        <v>1</v>
      </c>
      <c r="G905">
        <v>5</v>
      </c>
      <c r="H905" s="1296">
        <v>5</v>
      </c>
      <c r="I905" t="str">
        <f t="shared" si="14"/>
        <v>-</v>
      </c>
    </row>
    <row r="906" spans="1:9" x14ac:dyDescent="0.25">
      <c r="A906">
        <v>10649</v>
      </c>
      <c r="B906" t="s">
        <v>1065</v>
      </c>
      <c r="C906" t="s">
        <v>1494</v>
      </c>
      <c r="D906" t="s">
        <v>135</v>
      </c>
      <c r="F906">
        <v>1</v>
      </c>
      <c r="G906">
        <v>5</v>
      </c>
      <c r="H906" s="1296">
        <v>5</v>
      </c>
      <c r="I906" t="str">
        <f t="shared" si="14"/>
        <v>-</v>
      </c>
    </row>
    <row r="907" spans="1:9" x14ac:dyDescent="0.25">
      <c r="A907">
        <v>10650</v>
      </c>
      <c r="B907" t="s">
        <v>1065</v>
      </c>
      <c r="C907" t="s">
        <v>1494</v>
      </c>
      <c r="D907" t="s">
        <v>297</v>
      </c>
      <c r="F907">
        <v>1</v>
      </c>
      <c r="G907">
        <v>5</v>
      </c>
      <c r="H907" s="1296">
        <v>5</v>
      </c>
      <c r="I907" t="str">
        <f t="shared" si="14"/>
        <v>-</v>
      </c>
    </row>
    <row r="908" spans="1:9" x14ac:dyDescent="0.25">
      <c r="A908">
        <v>10651</v>
      </c>
      <c r="B908" t="s">
        <v>1065</v>
      </c>
      <c r="C908" t="s">
        <v>1494</v>
      </c>
      <c r="D908" t="s">
        <v>138</v>
      </c>
      <c r="F908">
        <v>1</v>
      </c>
      <c r="G908">
        <v>5</v>
      </c>
      <c r="H908" s="1296">
        <v>5</v>
      </c>
      <c r="I908" t="str">
        <f t="shared" si="14"/>
        <v>-</v>
      </c>
    </row>
    <row r="909" spans="1:9" x14ac:dyDescent="0.25">
      <c r="A909">
        <v>10652</v>
      </c>
      <c r="B909" t="s">
        <v>1065</v>
      </c>
      <c r="C909" t="s">
        <v>1494</v>
      </c>
      <c r="D909" t="s">
        <v>136</v>
      </c>
      <c r="F909">
        <v>1</v>
      </c>
      <c r="G909">
        <v>5</v>
      </c>
      <c r="H909" s="1296">
        <v>5</v>
      </c>
      <c r="I909" t="str">
        <f t="shared" si="14"/>
        <v>-</v>
      </c>
    </row>
    <row r="910" spans="1:9" x14ac:dyDescent="0.25">
      <c r="A910">
        <v>10653</v>
      </c>
      <c r="B910" t="s">
        <v>1065</v>
      </c>
      <c r="C910" t="s">
        <v>1494</v>
      </c>
      <c r="D910" t="s">
        <v>125</v>
      </c>
      <c r="F910">
        <v>1</v>
      </c>
      <c r="G910">
        <v>5</v>
      </c>
      <c r="H910" s="1296">
        <v>5</v>
      </c>
      <c r="I910" t="str">
        <f t="shared" si="14"/>
        <v>-</v>
      </c>
    </row>
    <row r="911" spans="1:9" x14ac:dyDescent="0.25">
      <c r="A911">
        <v>10654</v>
      </c>
      <c r="B911" t="s">
        <v>1065</v>
      </c>
      <c r="C911" t="s">
        <v>1494</v>
      </c>
      <c r="D911" t="s">
        <v>129</v>
      </c>
      <c r="F911">
        <v>1</v>
      </c>
      <c r="G911">
        <v>5</v>
      </c>
      <c r="H911" s="1296">
        <v>5</v>
      </c>
      <c r="I911" t="str">
        <f t="shared" si="14"/>
        <v>-</v>
      </c>
    </row>
    <row r="912" spans="1:9" x14ac:dyDescent="0.25">
      <c r="A912">
        <v>10655</v>
      </c>
      <c r="B912" t="s">
        <v>1065</v>
      </c>
      <c r="C912" t="s">
        <v>1494</v>
      </c>
      <c r="D912" t="s">
        <v>1556</v>
      </c>
      <c r="F912">
        <v>1</v>
      </c>
      <c r="G912">
        <v>5</v>
      </c>
      <c r="H912" s="1296">
        <v>5</v>
      </c>
      <c r="I912" t="str">
        <f t="shared" si="14"/>
        <v>-</v>
      </c>
    </row>
    <row r="913" spans="1:9" x14ac:dyDescent="0.25">
      <c r="A913">
        <v>10656</v>
      </c>
      <c r="B913" t="s">
        <v>1065</v>
      </c>
      <c r="C913" t="s">
        <v>1494</v>
      </c>
      <c r="D913" t="s">
        <v>1585</v>
      </c>
      <c r="F913">
        <v>2</v>
      </c>
      <c r="G913">
        <v>5</v>
      </c>
      <c r="H913" s="1296">
        <v>10</v>
      </c>
      <c r="I913" t="str">
        <f t="shared" si="14"/>
        <v>-</v>
      </c>
    </row>
    <row r="914" spans="1:9" x14ac:dyDescent="0.25">
      <c r="A914">
        <v>10658</v>
      </c>
      <c r="B914" t="s">
        <v>1065</v>
      </c>
      <c r="C914" t="s">
        <v>1494</v>
      </c>
      <c r="D914" t="s">
        <v>137</v>
      </c>
      <c r="F914">
        <v>1</v>
      </c>
      <c r="G914">
        <v>6</v>
      </c>
      <c r="H914" s="1296">
        <v>6</v>
      </c>
      <c r="I914" t="str">
        <f t="shared" si="14"/>
        <v>-</v>
      </c>
    </row>
    <row r="915" spans="1:9" x14ac:dyDescent="0.25">
      <c r="A915">
        <v>10659</v>
      </c>
      <c r="B915" t="s">
        <v>1065</v>
      </c>
      <c r="C915" t="s">
        <v>1494</v>
      </c>
      <c r="D915" t="s">
        <v>134</v>
      </c>
      <c r="F915">
        <v>1</v>
      </c>
      <c r="G915">
        <v>6</v>
      </c>
      <c r="H915" s="1296">
        <v>6</v>
      </c>
      <c r="I915" t="str">
        <f t="shared" si="14"/>
        <v>-</v>
      </c>
    </row>
    <row r="916" spans="1:9" x14ac:dyDescent="0.25">
      <c r="A916">
        <v>10660</v>
      </c>
      <c r="B916" t="s">
        <v>1065</v>
      </c>
      <c r="C916" t="s">
        <v>1494</v>
      </c>
      <c r="D916" t="s">
        <v>727</v>
      </c>
      <c r="F916">
        <v>1</v>
      </c>
      <c r="G916">
        <v>6</v>
      </c>
      <c r="H916" s="1296">
        <v>6</v>
      </c>
      <c r="I916" t="str">
        <f t="shared" si="14"/>
        <v>-</v>
      </c>
    </row>
    <row r="917" spans="1:9" x14ac:dyDescent="0.25">
      <c r="A917">
        <v>10683</v>
      </c>
      <c r="B917" t="s">
        <v>1065</v>
      </c>
      <c r="C917" t="s">
        <v>1494</v>
      </c>
      <c r="D917" t="s">
        <v>1301</v>
      </c>
      <c r="F917">
        <v>1</v>
      </c>
      <c r="G917">
        <v>6</v>
      </c>
      <c r="H917" s="1296">
        <v>6</v>
      </c>
      <c r="I917" t="str">
        <f t="shared" si="14"/>
        <v>-</v>
      </c>
    </row>
    <row r="918" spans="1:9" x14ac:dyDescent="0.25">
      <c r="A918">
        <v>10684</v>
      </c>
      <c r="B918" t="s">
        <v>1065</v>
      </c>
      <c r="C918" t="s">
        <v>1494</v>
      </c>
      <c r="D918" t="s">
        <v>139</v>
      </c>
      <c r="F918">
        <v>1</v>
      </c>
      <c r="G918">
        <v>6</v>
      </c>
      <c r="H918" s="1296">
        <v>6</v>
      </c>
      <c r="I918" t="str">
        <f t="shared" si="14"/>
        <v>-</v>
      </c>
    </row>
    <row r="919" spans="1:9" x14ac:dyDescent="0.25">
      <c r="A919">
        <v>10685</v>
      </c>
      <c r="B919" t="s">
        <v>1065</v>
      </c>
      <c r="C919" t="s">
        <v>1494</v>
      </c>
      <c r="D919" t="s">
        <v>140</v>
      </c>
      <c r="F919">
        <v>1</v>
      </c>
      <c r="G919">
        <v>6</v>
      </c>
      <c r="H919" s="1296">
        <v>6</v>
      </c>
      <c r="I919" t="str">
        <f t="shared" si="14"/>
        <v>-</v>
      </c>
    </row>
    <row r="920" spans="1:9" x14ac:dyDescent="0.25">
      <c r="A920">
        <v>10686</v>
      </c>
      <c r="B920" t="s">
        <v>1065</v>
      </c>
      <c r="C920" t="s">
        <v>1494</v>
      </c>
      <c r="D920" t="s">
        <v>763</v>
      </c>
      <c r="F920">
        <v>1</v>
      </c>
      <c r="G920">
        <v>6</v>
      </c>
      <c r="H920" s="1296">
        <v>6</v>
      </c>
      <c r="I920" t="str">
        <f t="shared" si="14"/>
        <v>-</v>
      </c>
    </row>
    <row r="921" spans="1:9" x14ac:dyDescent="0.25">
      <c r="A921">
        <v>10687</v>
      </c>
      <c r="B921" t="s">
        <v>1065</v>
      </c>
      <c r="C921" t="s">
        <v>1494</v>
      </c>
      <c r="D921" t="s">
        <v>145</v>
      </c>
      <c r="F921">
        <v>1</v>
      </c>
      <c r="G921">
        <v>8</v>
      </c>
      <c r="H921" s="1296">
        <v>8</v>
      </c>
      <c r="I921" t="str">
        <f t="shared" si="14"/>
        <v>-</v>
      </c>
    </row>
    <row r="922" spans="1:9" x14ac:dyDescent="0.25">
      <c r="A922">
        <v>10688</v>
      </c>
      <c r="B922" t="s">
        <v>1065</v>
      </c>
      <c r="C922" t="s">
        <v>1494</v>
      </c>
      <c r="D922" t="s">
        <v>1549</v>
      </c>
      <c r="F922">
        <v>1</v>
      </c>
      <c r="G922">
        <v>6</v>
      </c>
      <c r="H922" s="1296">
        <v>6</v>
      </c>
      <c r="I922" t="str">
        <f t="shared" si="14"/>
        <v>-</v>
      </c>
    </row>
    <row r="923" spans="1:9" x14ac:dyDescent="0.25">
      <c r="A923">
        <v>10689</v>
      </c>
      <c r="B923" t="s">
        <v>1065</v>
      </c>
      <c r="C923" t="s">
        <v>1494</v>
      </c>
      <c r="D923" t="s">
        <v>138</v>
      </c>
      <c r="F923">
        <v>1</v>
      </c>
      <c r="G923">
        <v>6</v>
      </c>
      <c r="H923" s="1296">
        <v>6</v>
      </c>
      <c r="I923" t="str">
        <f t="shared" si="14"/>
        <v>-</v>
      </c>
    </row>
    <row r="924" spans="1:9" x14ac:dyDescent="0.25">
      <c r="A924">
        <v>10690</v>
      </c>
      <c r="B924" t="s">
        <v>1065</v>
      </c>
      <c r="C924" t="s">
        <v>1494</v>
      </c>
      <c r="D924" t="s">
        <v>68</v>
      </c>
      <c r="F924">
        <v>1</v>
      </c>
      <c r="G924">
        <v>6</v>
      </c>
      <c r="H924" s="1296">
        <v>6</v>
      </c>
      <c r="I924" t="str">
        <f t="shared" si="14"/>
        <v>-</v>
      </c>
    </row>
    <row r="925" spans="1:9" x14ac:dyDescent="0.25">
      <c r="A925">
        <v>10691</v>
      </c>
      <c r="B925" t="s">
        <v>1065</v>
      </c>
      <c r="C925" t="s">
        <v>1494</v>
      </c>
      <c r="D925" t="s">
        <v>815</v>
      </c>
      <c r="F925">
        <v>1</v>
      </c>
      <c r="G925">
        <v>6</v>
      </c>
      <c r="H925" s="1296">
        <v>6</v>
      </c>
      <c r="I925" t="str">
        <f t="shared" si="14"/>
        <v>-</v>
      </c>
    </row>
    <row r="926" spans="1:9" x14ac:dyDescent="0.25">
      <c r="A926">
        <v>10692</v>
      </c>
      <c r="B926" t="s">
        <v>1065</v>
      </c>
      <c r="C926" t="s">
        <v>1494</v>
      </c>
      <c r="D926" t="s">
        <v>125</v>
      </c>
      <c r="F926">
        <v>2</v>
      </c>
      <c r="G926">
        <v>4</v>
      </c>
      <c r="H926" s="1296">
        <v>8</v>
      </c>
      <c r="I926" t="str">
        <f t="shared" si="14"/>
        <v>-</v>
      </c>
    </row>
    <row r="927" spans="1:9" x14ac:dyDescent="0.25">
      <c r="A927">
        <v>10693</v>
      </c>
      <c r="B927" t="s">
        <v>1065</v>
      </c>
      <c r="C927" t="s">
        <v>1494</v>
      </c>
      <c r="D927" t="s">
        <v>158</v>
      </c>
      <c r="F927">
        <v>1</v>
      </c>
      <c r="G927">
        <v>6</v>
      </c>
      <c r="H927" s="1296">
        <v>6</v>
      </c>
      <c r="I927" t="str">
        <f t="shared" si="14"/>
        <v>-</v>
      </c>
    </row>
    <row r="928" spans="1:9" x14ac:dyDescent="0.25">
      <c r="A928">
        <v>10694</v>
      </c>
      <c r="B928" t="s">
        <v>1065</v>
      </c>
      <c r="C928" t="s">
        <v>1494</v>
      </c>
      <c r="D928" t="s">
        <v>905</v>
      </c>
      <c r="F928">
        <v>1</v>
      </c>
      <c r="G928">
        <v>6</v>
      </c>
      <c r="H928" s="1296">
        <v>6</v>
      </c>
      <c r="I928" t="str">
        <f t="shared" si="14"/>
        <v>-</v>
      </c>
    </row>
    <row r="929" spans="1:9" x14ac:dyDescent="0.25">
      <c r="A929">
        <v>10695</v>
      </c>
      <c r="B929" t="s">
        <v>1065</v>
      </c>
      <c r="C929" t="s">
        <v>1494</v>
      </c>
      <c r="D929" t="s">
        <v>912</v>
      </c>
      <c r="F929">
        <v>1</v>
      </c>
      <c r="G929">
        <v>6</v>
      </c>
      <c r="H929" s="1296">
        <v>6</v>
      </c>
      <c r="I929" t="str">
        <f t="shared" si="14"/>
        <v>-</v>
      </c>
    </row>
    <row r="930" spans="1:9" x14ac:dyDescent="0.25">
      <c r="A930">
        <v>10697</v>
      </c>
      <c r="B930" t="s">
        <v>1065</v>
      </c>
      <c r="C930" t="s">
        <v>1494</v>
      </c>
      <c r="D930" t="s">
        <v>1946</v>
      </c>
      <c r="F930">
        <v>1</v>
      </c>
      <c r="G930">
        <v>10</v>
      </c>
      <c r="H930" s="1296">
        <v>10</v>
      </c>
      <c r="I930" t="str">
        <f t="shared" si="14"/>
        <v>-</v>
      </c>
    </row>
    <row r="931" spans="1:9" x14ac:dyDescent="0.25">
      <c r="A931">
        <v>10698</v>
      </c>
      <c r="B931" t="s">
        <v>1065</v>
      </c>
      <c r="C931" t="s">
        <v>1494</v>
      </c>
      <c r="D931" t="s">
        <v>1947</v>
      </c>
      <c r="F931">
        <v>1</v>
      </c>
      <c r="G931">
        <v>10</v>
      </c>
      <c r="H931" s="1296">
        <v>10</v>
      </c>
      <c r="I931" t="str">
        <f t="shared" si="14"/>
        <v>-</v>
      </c>
    </row>
    <row r="932" spans="1:9" x14ac:dyDescent="0.25">
      <c r="A932">
        <v>10699</v>
      </c>
      <c r="B932" t="s">
        <v>1065</v>
      </c>
      <c r="C932" t="s">
        <v>1494</v>
      </c>
      <c r="D932" t="s">
        <v>1948</v>
      </c>
      <c r="F932">
        <v>1</v>
      </c>
      <c r="G932">
        <v>10</v>
      </c>
      <c r="H932" s="1296">
        <v>10</v>
      </c>
      <c r="I932" t="str">
        <f t="shared" si="14"/>
        <v>-</v>
      </c>
    </row>
    <row r="933" spans="1:9" x14ac:dyDescent="0.25">
      <c r="A933">
        <v>10700</v>
      </c>
      <c r="B933" t="s">
        <v>1065</v>
      </c>
      <c r="C933" t="s">
        <v>1494</v>
      </c>
      <c r="D933" t="s">
        <v>1949</v>
      </c>
      <c r="F933">
        <v>1</v>
      </c>
      <c r="G933">
        <v>10</v>
      </c>
      <c r="H933" s="1296">
        <v>10</v>
      </c>
      <c r="I933" t="str">
        <f t="shared" si="14"/>
        <v>-</v>
      </c>
    </row>
    <row r="934" spans="1:9" x14ac:dyDescent="0.25">
      <c r="A934">
        <v>10701</v>
      </c>
      <c r="B934" t="s">
        <v>1065</v>
      </c>
      <c r="C934" t="s">
        <v>1494</v>
      </c>
      <c r="D934" t="s">
        <v>1950</v>
      </c>
      <c r="F934">
        <v>1</v>
      </c>
      <c r="G934">
        <v>10</v>
      </c>
      <c r="H934" s="1296">
        <v>10</v>
      </c>
      <c r="I934" t="str">
        <f t="shared" si="14"/>
        <v>-</v>
      </c>
    </row>
    <row r="935" spans="1:9" x14ac:dyDescent="0.25">
      <c r="A935">
        <v>10703</v>
      </c>
      <c r="B935" t="s">
        <v>1065</v>
      </c>
      <c r="C935" t="s">
        <v>1494</v>
      </c>
      <c r="D935" t="s">
        <v>1951</v>
      </c>
      <c r="F935">
        <v>1</v>
      </c>
      <c r="G935">
        <v>10</v>
      </c>
      <c r="H935" s="1296">
        <v>10</v>
      </c>
      <c r="I935" t="str">
        <f t="shared" si="14"/>
        <v>-</v>
      </c>
    </row>
    <row r="936" spans="1:9" x14ac:dyDescent="0.25">
      <c r="A936">
        <v>10730</v>
      </c>
      <c r="B936" t="s">
        <v>1065</v>
      </c>
      <c r="C936" t="s">
        <v>1494</v>
      </c>
      <c r="D936" t="s">
        <v>1952</v>
      </c>
      <c r="F936">
        <v>2</v>
      </c>
      <c r="G936">
        <v>10</v>
      </c>
      <c r="H936" s="1296">
        <v>20</v>
      </c>
      <c r="I936" t="str">
        <f t="shared" si="14"/>
        <v>-</v>
      </c>
    </row>
    <row r="937" spans="1:9" x14ac:dyDescent="0.25">
      <c r="A937">
        <v>10731</v>
      </c>
      <c r="B937" t="s">
        <v>1065</v>
      </c>
      <c r="C937" t="s">
        <v>1494</v>
      </c>
      <c r="D937" t="s">
        <v>1953</v>
      </c>
      <c r="F937">
        <v>1</v>
      </c>
      <c r="G937">
        <v>10</v>
      </c>
      <c r="H937" s="1296">
        <v>10</v>
      </c>
      <c r="I937" t="str">
        <f t="shared" si="14"/>
        <v>-</v>
      </c>
    </row>
    <row r="938" spans="1:9" x14ac:dyDescent="0.25">
      <c r="A938">
        <v>10732</v>
      </c>
      <c r="B938" t="s">
        <v>1065</v>
      </c>
      <c r="C938" t="s">
        <v>1494</v>
      </c>
      <c r="D938" t="s">
        <v>1954</v>
      </c>
      <c r="F938">
        <v>2</v>
      </c>
      <c r="G938">
        <v>10</v>
      </c>
      <c r="H938" s="1296">
        <v>20</v>
      </c>
      <c r="I938" t="str">
        <f t="shared" si="14"/>
        <v>-</v>
      </c>
    </row>
    <row r="939" spans="1:9" x14ac:dyDescent="0.25">
      <c r="A939">
        <v>10733</v>
      </c>
      <c r="B939" t="s">
        <v>1065</v>
      </c>
      <c r="C939" t="s">
        <v>1494</v>
      </c>
      <c r="D939" t="s">
        <v>1955</v>
      </c>
      <c r="F939">
        <v>2</v>
      </c>
      <c r="G939">
        <v>5</v>
      </c>
      <c r="H939" s="1296">
        <v>10</v>
      </c>
      <c r="I939" t="str">
        <f t="shared" si="14"/>
        <v>-</v>
      </c>
    </row>
    <row r="940" spans="1:9" x14ac:dyDescent="0.25">
      <c r="A940">
        <v>10734</v>
      </c>
      <c r="B940" t="s">
        <v>1065</v>
      </c>
      <c r="C940" t="s">
        <v>1494</v>
      </c>
      <c r="D940" t="s">
        <v>1956</v>
      </c>
      <c r="F940">
        <v>1</v>
      </c>
      <c r="G940">
        <v>5</v>
      </c>
      <c r="H940" s="1296">
        <v>5</v>
      </c>
      <c r="I940" t="str">
        <f t="shared" si="14"/>
        <v>-</v>
      </c>
    </row>
    <row r="941" spans="1:9" x14ac:dyDescent="0.25">
      <c r="A941">
        <v>10735</v>
      </c>
      <c r="B941" t="s">
        <v>1065</v>
      </c>
      <c r="C941" t="s">
        <v>1494</v>
      </c>
      <c r="D941" t="s">
        <v>1957</v>
      </c>
      <c r="F941">
        <v>1</v>
      </c>
      <c r="G941">
        <v>5</v>
      </c>
      <c r="H941" s="1296">
        <v>5</v>
      </c>
      <c r="I941" t="str">
        <f t="shared" si="14"/>
        <v>-</v>
      </c>
    </row>
    <row r="942" spans="1:9" x14ac:dyDescent="0.25">
      <c r="A942">
        <v>10737</v>
      </c>
      <c r="B942" t="s">
        <v>1065</v>
      </c>
      <c r="C942" t="s">
        <v>1494</v>
      </c>
      <c r="D942" t="s">
        <v>727</v>
      </c>
      <c r="F942">
        <v>1</v>
      </c>
      <c r="G942">
        <v>25</v>
      </c>
      <c r="H942" s="1296">
        <v>25</v>
      </c>
      <c r="I942" t="str">
        <f t="shared" si="14"/>
        <v>-</v>
      </c>
    </row>
    <row r="943" spans="1:9" x14ac:dyDescent="0.25">
      <c r="A943">
        <v>10738</v>
      </c>
      <c r="B943" t="s">
        <v>1065</v>
      </c>
      <c r="C943" t="s">
        <v>1494</v>
      </c>
      <c r="D943" t="s">
        <v>250</v>
      </c>
      <c r="F943">
        <v>1</v>
      </c>
      <c r="G943">
        <v>25</v>
      </c>
      <c r="H943" s="1296">
        <v>25</v>
      </c>
      <c r="I943" t="str">
        <f t="shared" si="14"/>
        <v>-</v>
      </c>
    </row>
    <row r="944" spans="1:9" x14ac:dyDescent="0.25">
      <c r="A944">
        <v>10739</v>
      </c>
      <c r="B944" t="s">
        <v>1065</v>
      </c>
      <c r="C944" t="s">
        <v>1494</v>
      </c>
      <c r="D944" t="s">
        <v>218</v>
      </c>
      <c r="F944">
        <v>1</v>
      </c>
      <c r="G944">
        <v>24</v>
      </c>
      <c r="H944" s="1296">
        <v>24</v>
      </c>
      <c r="I944" t="str">
        <f t="shared" si="14"/>
        <v>-</v>
      </c>
    </row>
    <row r="945" spans="1:9" x14ac:dyDescent="0.25">
      <c r="A945">
        <v>10741</v>
      </c>
      <c r="B945" t="s">
        <v>1065</v>
      </c>
      <c r="C945" t="s">
        <v>1494</v>
      </c>
      <c r="D945" t="s">
        <v>1960</v>
      </c>
      <c r="F945">
        <v>1</v>
      </c>
      <c r="G945">
        <v>100</v>
      </c>
      <c r="H945" s="1296">
        <v>100</v>
      </c>
      <c r="I945" t="str">
        <f t="shared" si="14"/>
        <v>-</v>
      </c>
    </row>
    <row r="946" spans="1:9" x14ac:dyDescent="0.25">
      <c r="A946">
        <v>10774</v>
      </c>
      <c r="B946" t="s">
        <v>1067</v>
      </c>
      <c r="C946" t="s">
        <v>1506</v>
      </c>
      <c r="D946" t="s">
        <v>1942</v>
      </c>
      <c r="F946">
        <v>10</v>
      </c>
      <c r="G946">
        <v>1</v>
      </c>
      <c r="H946" s="1296">
        <v>10</v>
      </c>
      <c r="I946" t="str">
        <f t="shared" si="14"/>
        <v>-</v>
      </c>
    </row>
    <row r="947" spans="1:9" x14ac:dyDescent="0.25">
      <c r="A947">
        <v>10775</v>
      </c>
      <c r="B947" t="s">
        <v>1067</v>
      </c>
      <c r="C947" t="s">
        <v>1506</v>
      </c>
      <c r="D947" t="s">
        <v>1942</v>
      </c>
      <c r="F947">
        <v>1</v>
      </c>
      <c r="G947">
        <v>1</v>
      </c>
      <c r="H947" s="1296">
        <v>1</v>
      </c>
      <c r="I947" t="str">
        <f t="shared" si="14"/>
        <v>-</v>
      </c>
    </row>
    <row r="948" spans="1:9" x14ac:dyDescent="0.25">
      <c r="A948">
        <v>10777</v>
      </c>
      <c r="B948" t="s">
        <v>1067</v>
      </c>
      <c r="C948" t="s">
        <v>1506</v>
      </c>
      <c r="D948" t="s">
        <v>1334</v>
      </c>
      <c r="E948" t="s">
        <v>331</v>
      </c>
      <c r="F948">
        <v>4</v>
      </c>
      <c r="G948">
        <v>5</v>
      </c>
      <c r="H948" s="1296">
        <v>20</v>
      </c>
      <c r="I948" t="str">
        <f t="shared" si="14"/>
        <v>-</v>
      </c>
    </row>
    <row r="949" spans="1:9" x14ac:dyDescent="0.25">
      <c r="A949">
        <v>10778</v>
      </c>
      <c r="B949" t="s">
        <v>1067</v>
      </c>
      <c r="C949" t="s">
        <v>1506</v>
      </c>
      <c r="D949" t="s">
        <v>1334</v>
      </c>
      <c r="E949" t="s">
        <v>1507</v>
      </c>
      <c r="F949">
        <v>1</v>
      </c>
      <c r="G949">
        <v>5</v>
      </c>
      <c r="H949" s="1296">
        <v>5</v>
      </c>
      <c r="I949" t="str">
        <f t="shared" si="14"/>
        <v>-</v>
      </c>
    </row>
    <row r="950" spans="1:9" x14ac:dyDescent="0.25">
      <c r="A950">
        <v>10780</v>
      </c>
      <c r="B950" t="s">
        <v>1067</v>
      </c>
      <c r="C950" t="s">
        <v>1506</v>
      </c>
      <c r="D950" t="s">
        <v>618</v>
      </c>
      <c r="E950" t="s">
        <v>87</v>
      </c>
      <c r="F950">
        <v>4</v>
      </c>
      <c r="G950">
        <v>5</v>
      </c>
      <c r="H950" s="1296">
        <v>20</v>
      </c>
      <c r="I950" t="str">
        <f t="shared" si="14"/>
        <v>-</v>
      </c>
    </row>
    <row r="951" spans="1:9" x14ac:dyDescent="0.25">
      <c r="A951">
        <v>10781</v>
      </c>
      <c r="B951" t="s">
        <v>1067</v>
      </c>
      <c r="C951" t="s">
        <v>1506</v>
      </c>
      <c r="D951" t="s">
        <v>618</v>
      </c>
      <c r="E951" t="s">
        <v>1507</v>
      </c>
      <c r="F951">
        <v>1</v>
      </c>
      <c r="G951">
        <v>5</v>
      </c>
      <c r="H951" s="1296">
        <v>5</v>
      </c>
      <c r="I951" t="str">
        <f t="shared" si="14"/>
        <v>-</v>
      </c>
    </row>
    <row r="952" spans="1:9" x14ac:dyDescent="0.25">
      <c r="A952">
        <v>10784</v>
      </c>
      <c r="B952" t="s">
        <v>1067</v>
      </c>
      <c r="C952" t="s">
        <v>1506</v>
      </c>
      <c r="D952" t="s">
        <v>134</v>
      </c>
      <c r="E952" t="s">
        <v>367</v>
      </c>
      <c r="F952">
        <v>1</v>
      </c>
      <c r="G952">
        <v>6</v>
      </c>
      <c r="H952" s="1296">
        <v>6</v>
      </c>
      <c r="I952" t="str">
        <f t="shared" si="14"/>
        <v>-</v>
      </c>
    </row>
    <row r="953" spans="1:9" x14ac:dyDescent="0.25">
      <c r="A953">
        <v>10785</v>
      </c>
      <c r="B953" t="s">
        <v>1067</v>
      </c>
      <c r="C953" t="s">
        <v>1506</v>
      </c>
      <c r="D953" t="s">
        <v>1301</v>
      </c>
      <c r="E953" t="s">
        <v>372</v>
      </c>
      <c r="F953">
        <v>3</v>
      </c>
      <c r="G953">
        <v>6</v>
      </c>
      <c r="H953" s="1296">
        <v>18</v>
      </c>
      <c r="I953" t="str">
        <f t="shared" si="14"/>
        <v>-</v>
      </c>
    </row>
    <row r="954" spans="1:9" x14ac:dyDescent="0.25">
      <c r="A954">
        <v>10786</v>
      </c>
      <c r="B954" t="s">
        <v>1067</v>
      </c>
      <c r="C954" t="s">
        <v>1506</v>
      </c>
      <c r="D954" t="s">
        <v>1301</v>
      </c>
      <c r="E954" t="s">
        <v>1963</v>
      </c>
      <c r="F954">
        <v>1</v>
      </c>
      <c r="G954">
        <v>6</v>
      </c>
      <c r="H954" s="1296">
        <v>6</v>
      </c>
      <c r="I954" t="str">
        <f t="shared" si="14"/>
        <v>-</v>
      </c>
    </row>
    <row r="955" spans="1:9" x14ac:dyDescent="0.25">
      <c r="A955">
        <v>10821</v>
      </c>
      <c r="B955" t="s">
        <v>1067</v>
      </c>
      <c r="C955" t="s">
        <v>1964</v>
      </c>
      <c r="D955" t="s">
        <v>1851</v>
      </c>
      <c r="F955">
        <v>1</v>
      </c>
      <c r="G955">
        <v>10</v>
      </c>
      <c r="H955" s="1296">
        <v>10</v>
      </c>
      <c r="I955" t="str">
        <f t="shared" si="14"/>
        <v>-</v>
      </c>
    </row>
    <row r="956" spans="1:9" x14ac:dyDescent="0.25">
      <c r="A956">
        <v>10822</v>
      </c>
      <c r="B956" t="s">
        <v>1067</v>
      </c>
      <c r="C956" t="s">
        <v>1964</v>
      </c>
      <c r="D956" t="s">
        <v>1851</v>
      </c>
      <c r="F956">
        <v>1</v>
      </c>
      <c r="G956">
        <v>9</v>
      </c>
      <c r="H956" s="1296">
        <v>9</v>
      </c>
      <c r="I956" t="str">
        <f t="shared" si="14"/>
        <v>-</v>
      </c>
    </row>
    <row r="957" spans="1:9" x14ac:dyDescent="0.25">
      <c r="A957">
        <v>10864</v>
      </c>
      <c r="B957" t="s">
        <v>1067</v>
      </c>
      <c r="C957" t="s">
        <v>1966</v>
      </c>
      <c r="D957" t="s">
        <v>1851</v>
      </c>
      <c r="F957">
        <v>5</v>
      </c>
      <c r="G957">
        <v>10</v>
      </c>
      <c r="H957" s="1296">
        <v>50</v>
      </c>
      <c r="I957" t="str">
        <f t="shared" si="14"/>
        <v>-</v>
      </c>
    </row>
    <row r="958" spans="1:9" x14ac:dyDescent="0.25">
      <c r="A958">
        <v>10865</v>
      </c>
      <c r="B958" t="s">
        <v>1067</v>
      </c>
      <c r="C958" t="s">
        <v>1966</v>
      </c>
      <c r="D958" t="s">
        <v>1851</v>
      </c>
      <c r="F958">
        <v>1</v>
      </c>
      <c r="G958">
        <v>7</v>
      </c>
      <c r="H958" s="1296">
        <v>7</v>
      </c>
      <c r="I958" t="str">
        <f t="shared" si="14"/>
        <v>-</v>
      </c>
    </row>
    <row r="959" spans="1:9" x14ac:dyDescent="0.25">
      <c r="A959">
        <v>10910</v>
      </c>
      <c r="B959" t="s">
        <v>1072</v>
      </c>
      <c r="C959" t="s">
        <v>1967</v>
      </c>
      <c r="D959" t="s">
        <v>1942</v>
      </c>
      <c r="F959">
        <v>50</v>
      </c>
      <c r="G959">
        <v>1</v>
      </c>
      <c r="H959" s="1296">
        <v>50</v>
      </c>
      <c r="I959" t="str">
        <f t="shared" si="14"/>
        <v>-</v>
      </c>
    </row>
    <row r="960" spans="1:9" x14ac:dyDescent="0.25">
      <c r="A960">
        <v>10911</v>
      </c>
      <c r="B960" t="s">
        <v>1072</v>
      </c>
      <c r="C960" t="s">
        <v>1967</v>
      </c>
      <c r="D960" t="s">
        <v>1942</v>
      </c>
      <c r="F960">
        <v>5</v>
      </c>
      <c r="G960">
        <v>1</v>
      </c>
      <c r="H960" s="1296">
        <v>5</v>
      </c>
      <c r="I960" t="str">
        <f t="shared" si="14"/>
        <v>-</v>
      </c>
    </row>
    <row r="961" spans="1:9" x14ac:dyDescent="0.25">
      <c r="A961">
        <v>10912</v>
      </c>
      <c r="B961" t="s">
        <v>1072</v>
      </c>
      <c r="C961" t="s">
        <v>1967</v>
      </c>
      <c r="D961" t="s">
        <v>1942</v>
      </c>
      <c r="F961">
        <v>6</v>
      </c>
      <c r="G961">
        <v>1</v>
      </c>
      <c r="H961" s="1296">
        <v>6</v>
      </c>
      <c r="I961" t="str">
        <f t="shared" si="14"/>
        <v>-</v>
      </c>
    </row>
    <row r="962" spans="1:9" x14ac:dyDescent="0.25">
      <c r="A962">
        <v>10915</v>
      </c>
      <c r="B962" t="s">
        <v>1072</v>
      </c>
      <c r="C962" t="s">
        <v>1967</v>
      </c>
      <c r="D962" t="s">
        <v>315</v>
      </c>
      <c r="E962" t="s">
        <v>298</v>
      </c>
      <c r="F962">
        <v>3</v>
      </c>
      <c r="G962">
        <v>5</v>
      </c>
      <c r="H962" s="1296">
        <v>15</v>
      </c>
      <c r="I962" t="str">
        <f t="shared" ref="I962:I1025" si="15">INDEX($N$2:$N$355,MATCH($A962,$L$2:$L$355,1))</f>
        <v>-</v>
      </c>
    </row>
    <row r="963" spans="1:9" x14ac:dyDescent="0.25">
      <c r="A963">
        <v>10916</v>
      </c>
      <c r="B963" t="s">
        <v>1072</v>
      </c>
      <c r="C963" t="s">
        <v>1967</v>
      </c>
      <c r="D963" t="s">
        <v>315</v>
      </c>
      <c r="E963" t="s">
        <v>298</v>
      </c>
      <c r="F963">
        <v>1</v>
      </c>
      <c r="G963">
        <v>5</v>
      </c>
      <c r="H963" s="1296">
        <v>5</v>
      </c>
      <c r="I963" t="str">
        <f t="shared" si="15"/>
        <v>-</v>
      </c>
    </row>
    <row r="964" spans="1:9" x14ac:dyDescent="0.25">
      <c r="A964">
        <v>10954</v>
      </c>
      <c r="B964" t="s">
        <v>1072</v>
      </c>
      <c r="C964" t="s">
        <v>1970</v>
      </c>
      <c r="D964" t="s">
        <v>1851</v>
      </c>
      <c r="F964">
        <v>3</v>
      </c>
      <c r="G964">
        <v>10</v>
      </c>
      <c r="H964" s="1296">
        <v>30</v>
      </c>
      <c r="I964" t="str">
        <f t="shared" si="15"/>
        <v>-</v>
      </c>
    </row>
    <row r="965" spans="1:9" x14ac:dyDescent="0.25">
      <c r="A965">
        <v>10955</v>
      </c>
      <c r="B965" t="s">
        <v>1072</v>
      </c>
      <c r="C965" t="s">
        <v>1970</v>
      </c>
      <c r="D965" t="s">
        <v>1851</v>
      </c>
      <c r="F965">
        <v>1</v>
      </c>
      <c r="G965">
        <v>10</v>
      </c>
      <c r="H965" s="1296">
        <v>10</v>
      </c>
      <c r="I965" t="str">
        <f t="shared" si="15"/>
        <v>-</v>
      </c>
    </row>
    <row r="966" spans="1:9" x14ac:dyDescent="0.25">
      <c r="A966">
        <v>10990</v>
      </c>
      <c r="B966" t="s">
        <v>1078</v>
      </c>
      <c r="C966" t="s">
        <v>1562</v>
      </c>
      <c r="D966" t="s">
        <v>287</v>
      </c>
      <c r="E966" t="s">
        <v>1363</v>
      </c>
      <c r="F966">
        <v>8</v>
      </c>
      <c r="G966">
        <v>25</v>
      </c>
      <c r="H966" s="1296">
        <v>200</v>
      </c>
      <c r="I966" t="str">
        <f t="shared" si="15"/>
        <v>-</v>
      </c>
    </row>
    <row r="967" spans="1:9" x14ac:dyDescent="0.25">
      <c r="A967">
        <v>11038</v>
      </c>
      <c r="B967" t="s">
        <v>1082</v>
      </c>
      <c r="C967" t="s">
        <v>1971</v>
      </c>
      <c r="D967" t="s">
        <v>1972</v>
      </c>
      <c r="F967">
        <v>40</v>
      </c>
      <c r="G967">
        <v>10</v>
      </c>
      <c r="H967" s="1296">
        <v>400</v>
      </c>
      <c r="I967" t="str">
        <f t="shared" si="15"/>
        <v>-</v>
      </c>
    </row>
    <row r="968" spans="1:9" x14ac:dyDescent="0.25">
      <c r="A968">
        <v>11079</v>
      </c>
      <c r="B968" t="s">
        <v>1086</v>
      </c>
      <c r="C968" t="s">
        <v>1914</v>
      </c>
      <c r="D968" t="s">
        <v>126</v>
      </c>
      <c r="E968" t="s">
        <v>1840</v>
      </c>
      <c r="F968">
        <v>1</v>
      </c>
      <c r="G968">
        <v>5</v>
      </c>
      <c r="H968" s="1296">
        <v>5</v>
      </c>
      <c r="I968" t="str">
        <f t="shared" si="15"/>
        <v>-</v>
      </c>
    </row>
    <row r="969" spans="1:9" x14ac:dyDescent="0.25">
      <c r="A969">
        <v>11080</v>
      </c>
      <c r="B969" t="s">
        <v>1086</v>
      </c>
      <c r="C969" t="s">
        <v>1914</v>
      </c>
      <c r="D969" t="s">
        <v>81</v>
      </c>
      <c r="E969" t="s">
        <v>82</v>
      </c>
      <c r="F969">
        <v>2</v>
      </c>
      <c r="G969">
        <v>5</v>
      </c>
      <c r="H969" s="1296">
        <v>10</v>
      </c>
      <c r="I969" t="str">
        <f t="shared" si="15"/>
        <v>-</v>
      </c>
    </row>
    <row r="970" spans="1:9" x14ac:dyDescent="0.25">
      <c r="A970">
        <v>11081</v>
      </c>
      <c r="B970" t="s">
        <v>1086</v>
      </c>
      <c r="C970" t="s">
        <v>1914</v>
      </c>
      <c r="D970" t="s">
        <v>15</v>
      </c>
      <c r="E970" t="s">
        <v>16</v>
      </c>
      <c r="F970">
        <v>1</v>
      </c>
      <c r="G970">
        <v>5</v>
      </c>
      <c r="H970" s="1296">
        <v>5</v>
      </c>
      <c r="I970" t="str">
        <f t="shared" si="15"/>
        <v>-</v>
      </c>
    </row>
    <row r="971" spans="1:9" x14ac:dyDescent="0.25">
      <c r="A971">
        <v>11083</v>
      </c>
      <c r="B971" t="s">
        <v>1086</v>
      </c>
      <c r="C971" t="s">
        <v>1914</v>
      </c>
      <c r="D971" t="s">
        <v>651</v>
      </c>
      <c r="E971" t="s">
        <v>432</v>
      </c>
      <c r="F971">
        <v>3</v>
      </c>
      <c r="G971">
        <v>25</v>
      </c>
      <c r="H971" s="1296">
        <v>75</v>
      </c>
      <c r="I971" t="str">
        <f t="shared" si="15"/>
        <v>-</v>
      </c>
    </row>
    <row r="972" spans="1:9" x14ac:dyDescent="0.25">
      <c r="A972">
        <v>11084</v>
      </c>
      <c r="B972" t="s">
        <v>1086</v>
      </c>
      <c r="C972" t="s">
        <v>1914</v>
      </c>
      <c r="D972" t="s">
        <v>651</v>
      </c>
      <c r="E972" t="s">
        <v>432</v>
      </c>
      <c r="F972">
        <v>1</v>
      </c>
      <c r="G972">
        <v>24</v>
      </c>
      <c r="H972" s="1296">
        <v>24</v>
      </c>
      <c r="I972" t="str">
        <f t="shared" si="15"/>
        <v>-</v>
      </c>
    </row>
    <row r="973" spans="1:9" x14ac:dyDescent="0.25">
      <c r="A973">
        <v>11085</v>
      </c>
      <c r="B973" t="s">
        <v>1086</v>
      </c>
      <c r="C973" t="s">
        <v>1914</v>
      </c>
      <c r="D973" t="s">
        <v>649</v>
      </c>
      <c r="E973" t="s">
        <v>433</v>
      </c>
      <c r="F973">
        <v>21</v>
      </c>
      <c r="G973">
        <v>25</v>
      </c>
      <c r="H973" s="1296">
        <v>525</v>
      </c>
      <c r="I973" t="str">
        <f t="shared" si="15"/>
        <v>-</v>
      </c>
    </row>
    <row r="974" spans="1:9" x14ac:dyDescent="0.25">
      <c r="A974">
        <v>11086</v>
      </c>
      <c r="B974" t="s">
        <v>1086</v>
      </c>
      <c r="C974" t="s">
        <v>1914</v>
      </c>
      <c r="D974" t="s">
        <v>649</v>
      </c>
      <c r="E974" t="s">
        <v>433</v>
      </c>
      <c r="F974">
        <v>1</v>
      </c>
      <c r="G974">
        <v>24</v>
      </c>
      <c r="H974" s="1296">
        <v>24</v>
      </c>
      <c r="I974" t="str">
        <f t="shared" si="15"/>
        <v>-</v>
      </c>
    </row>
    <row r="975" spans="1:9" x14ac:dyDescent="0.25">
      <c r="A975">
        <v>11088</v>
      </c>
      <c r="B975" t="s">
        <v>1086</v>
      </c>
      <c r="C975" t="s">
        <v>1914</v>
      </c>
      <c r="D975" t="s">
        <v>1975</v>
      </c>
      <c r="F975">
        <v>2</v>
      </c>
      <c r="G975">
        <v>100</v>
      </c>
      <c r="H975" s="1296">
        <v>200</v>
      </c>
      <c r="I975" t="str">
        <f t="shared" si="15"/>
        <v>-</v>
      </c>
    </row>
    <row r="976" spans="1:9" x14ac:dyDescent="0.25">
      <c r="A976">
        <v>11148</v>
      </c>
      <c r="B976" t="s">
        <v>518</v>
      </c>
      <c r="C976" t="s">
        <v>1544</v>
      </c>
      <c r="D976" t="s">
        <v>1977</v>
      </c>
      <c r="F976">
        <v>9</v>
      </c>
      <c r="G976">
        <v>1</v>
      </c>
      <c r="H976" s="1296">
        <v>9</v>
      </c>
      <c r="I976" t="str">
        <f t="shared" si="15"/>
        <v>-</v>
      </c>
    </row>
    <row r="977" spans="1:9" x14ac:dyDescent="0.25">
      <c r="A977">
        <v>11149</v>
      </c>
      <c r="B977" t="s">
        <v>518</v>
      </c>
      <c r="C977" t="s">
        <v>1544</v>
      </c>
      <c r="D977" t="s">
        <v>1978</v>
      </c>
      <c r="F977">
        <v>30</v>
      </c>
      <c r="G977">
        <v>1</v>
      </c>
      <c r="H977" s="1296">
        <v>30</v>
      </c>
      <c r="I977" t="str">
        <f t="shared" si="15"/>
        <v>-</v>
      </c>
    </row>
    <row r="978" spans="1:9" x14ac:dyDescent="0.25">
      <c r="A978">
        <v>11150</v>
      </c>
      <c r="B978" t="s">
        <v>518</v>
      </c>
      <c r="C978" t="s">
        <v>1544</v>
      </c>
      <c r="D978" t="s">
        <v>1979</v>
      </c>
      <c r="F978">
        <v>30</v>
      </c>
      <c r="G978">
        <v>1</v>
      </c>
      <c r="H978" s="1296">
        <v>30</v>
      </c>
      <c r="I978" t="str">
        <f t="shared" si="15"/>
        <v>-</v>
      </c>
    </row>
    <row r="979" spans="1:9" x14ac:dyDescent="0.25">
      <c r="A979">
        <v>11151</v>
      </c>
      <c r="B979" t="s">
        <v>518</v>
      </c>
      <c r="C979" t="s">
        <v>1544</v>
      </c>
      <c r="D979" t="s">
        <v>1980</v>
      </c>
      <c r="F979">
        <v>10</v>
      </c>
      <c r="G979">
        <v>1</v>
      </c>
      <c r="H979" s="1296">
        <v>10</v>
      </c>
      <c r="I979" t="str">
        <f t="shared" si="15"/>
        <v>-</v>
      </c>
    </row>
    <row r="980" spans="1:9" x14ac:dyDescent="0.25">
      <c r="A980">
        <v>11152</v>
      </c>
      <c r="B980" t="s">
        <v>518</v>
      </c>
      <c r="C980" t="s">
        <v>1544</v>
      </c>
      <c r="D980" t="s">
        <v>1981</v>
      </c>
      <c r="F980">
        <v>12</v>
      </c>
      <c r="G980">
        <v>1</v>
      </c>
      <c r="H980" s="1296">
        <v>12</v>
      </c>
      <c r="I980" t="str">
        <f t="shared" si="15"/>
        <v>-</v>
      </c>
    </row>
    <row r="981" spans="1:9" x14ac:dyDescent="0.25">
      <c r="A981">
        <v>11153</v>
      </c>
      <c r="B981" t="s">
        <v>518</v>
      </c>
      <c r="C981" t="s">
        <v>1544</v>
      </c>
      <c r="D981" t="s">
        <v>1982</v>
      </c>
      <c r="F981">
        <v>8</v>
      </c>
      <c r="G981">
        <v>1</v>
      </c>
      <c r="H981" s="1296">
        <v>8</v>
      </c>
      <c r="I981" t="str">
        <f t="shared" si="15"/>
        <v>-</v>
      </c>
    </row>
    <row r="982" spans="1:9" x14ac:dyDescent="0.25">
      <c r="A982">
        <v>11154</v>
      </c>
      <c r="B982" t="s">
        <v>518</v>
      </c>
      <c r="C982" t="s">
        <v>1544</v>
      </c>
      <c r="D982" t="s">
        <v>1983</v>
      </c>
      <c r="F982">
        <v>10</v>
      </c>
      <c r="G982">
        <v>1</v>
      </c>
      <c r="H982" s="1296">
        <v>10</v>
      </c>
      <c r="I982" t="str">
        <f t="shared" si="15"/>
        <v>-</v>
      </c>
    </row>
    <row r="983" spans="1:9" x14ac:dyDescent="0.25">
      <c r="A983">
        <v>11155</v>
      </c>
      <c r="B983" t="s">
        <v>518</v>
      </c>
      <c r="C983" t="s">
        <v>1544</v>
      </c>
      <c r="D983" t="s">
        <v>1984</v>
      </c>
      <c r="F983">
        <v>10</v>
      </c>
      <c r="G983">
        <v>1</v>
      </c>
      <c r="H983" s="1296">
        <v>10</v>
      </c>
      <c r="I983" t="str">
        <f t="shared" si="15"/>
        <v>-</v>
      </c>
    </row>
    <row r="984" spans="1:9" x14ac:dyDescent="0.25">
      <c r="A984">
        <v>11156</v>
      </c>
      <c r="B984" t="s">
        <v>518</v>
      </c>
      <c r="C984" t="s">
        <v>1544</v>
      </c>
      <c r="D984" t="s">
        <v>1985</v>
      </c>
      <c r="F984">
        <v>5</v>
      </c>
      <c r="G984">
        <v>1</v>
      </c>
      <c r="H984" s="1296">
        <v>5</v>
      </c>
      <c r="I984" t="str">
        <f t="shared" si="15"/>
        <v>-</v>
      </c>
    </row>
    <row r="985" spans="1:9" x14ac:dyDescent="0.25">
      <c r="A985">
        <v>11158</v>
      </c>
      <c r="B985" t="s">
        <v>518</v>
      </c>
      <c r="C985" t="s">
        <v>1544</v>
      </c>
      <c r="D985" t="s">
        <v>1404</v>
      </c>
      <c r="F985">
        <v>50</v>
      </c>
      <c r="G985">
        <v>1</v>
      </c>
      <c r="H985" s="1296">
        <v>50</v>
      </c>
      <c r="I985" t="str">
        <f t="shared" si="15"/>
        <v>-</v>
      </c>
    </row>
    <row r="986" spans="1:9" x14ac:dyDescent="0.25">
      <c r="A986">
        <v>11159</v>
      </c>
      <c r="B986" t="s">
        <v>518</v>
      </c>
      <c r="C986" t="s">
        <v>1544</v>
      </c>
      <c r="D986" t="s">
        <v>1986</v>
      </c>
      <c r="F986">
        <v>15</v>
      </c>
      <c r="G986">
        <v>1</v>
      </c>
      <c r="H986" s="1296">
        <v>15</v>
      </c>
      <c r="I986" t="str">
        <f t="shared" si="15"/>
        <v>-</v>
      </c>
    </row>
    <row r="987" spans="1:9" x14ac:dyDescent="0.25">
      <c r="A987">
        <v>11160</v>
      </c>
      <c r="B987" t="s">
        <v>518</v>
      </c>
      <c r="C987" t="s">
        <v>1544</v>
      </c>
      <c r="D987" t="s">
        <v>1987</v>
      </c>
      <c r="F987">
        <v>1</v>
      </c>
      <c r="G987">
        <v>1</v>
      </c>
      <c r="H987" s="1296">
        <v>1</v>
      </c>
      <c r="I987" t="str">
        <f t="shared" si="15"/>
        <v>-</v>
      </c>
    </row>
    <row r="988" spans="1:9" x14ac:dyDescent="0.25">
      <c r="A988">
        <v>11161</v>
      </c>
      <c r="B988" t="s">
        <v>518</v>
      </c>
      <c r="C988" t="s">
        <v>1544</v>
      </c>
      <c r="D988" t="s">
        <v>1988</v>
      </c>
      <c r="F988">
        <v>1</v>
      </c>
      <c r="G988">
        <v>1</v>
      </c>
      <c r="H988" s="1296">
        <v>1</v>
      </c>
      <c r="I988" t="str">
        <f t="shared" si="15"/>
        <v>-</v>
      </c>
    </row>
    <row r="989" spans="1:9" x14ac:dyDescent="0.25">
      <c r="A989">
        <v>11163</v>
      </c>
      <c r="B989" t="s">
        <v>518</v>
      </c>
      <c r="C989" t="s">
        <v>1544</v>
      </c>
      <c r="D989" t="s">
        <v>1989</v>
      </c>
      <c r="F989">
        <v>5</v>
      </c>
      <c r="G989">
        <v>1</v>
      </c>
      <c r="H989" s="1296">
        <v>5</v>
      </c>
      <c r="I989" t="str">
        <f t="shared" si="15"/>
        <v>-</v>
      </c>
    </row>
    <row r="990" spans="1:9" x14ac:dyDescent="0.25">
      <c r="A990">
        <v>11164</v>
      </c>
      <c r="B990" t="s">
        <v>518</v>
      </c>
      <c r="C990" t="s">
        <v>1544</v>
      </c>
      <c r="D990" t="s">
        <v>1500</v>
      </c>
      <c r="F990">
        <v>5</v>
      </c>
      <c r="G990">
        <v>1</v>
      </c>
      <c r="H990" s="1296">
        <v>5</v>
      </c>
      <c r="I990" t="str">
        <f t="shared" si="15"/>
        <v>-</v>
      </c>
    </row>
    <row r="991" spans="1:9" x14ac:dyDescent="0.25">
      <c r="A991">
        <v>11165</v>
      </c>
      <c r="B991" t="s">
        <v>518</v>
      </c>
      <c r="C991" t="s">
        <v>1544</v>
      </c>
      <c r="D991" t="s">
        <v>1991</v>
      </c>
      <c r="F991">
        <v>3</v>
      </c>
      <c r="G991">
        <v>1</v>
      </c>
      <c r="H991" s="1296">
        <v>3</v>
      </c>
      <c r="I991" t="str">
        <f t="shared" si="15"/>
        <v>-</v>
      </c>
    </row>
    <row r="992" spans="1:9" x14ac:dyDescent="0.25">
      <c r="A992">
        <v>11166</v>
      </c>
      <c r="B992" t="s">
        <v>518</v>
      </c>
      <c r="C992" t="s">
        <v>1544</v>
      </c>
      <c r="D992" t="s">
        <v>1992</v>
      </c>
      <c r="F992">
        <v>2</v>
      </c>
      <c r="G992">
        <v>1</v>
      </c>
      <c r="H992" s="1296">
        <v>2</v>
      </c>
      <c r="I992" t="str">
        <f t="shared" si="15"/>
        <v>-</v>
      </c>
    </row>
    <row r="993" spans="1:9" x14ac:dyDescent="0.25">
      <c r="A993">
        <v>11167</v>
      </c>
      <c r="B993" t="s">
        <v>518</v>
      </c>
      <c r="C993" t="s">
        <v>1544</v>
      </c>
      <c r="D993" t="s">
        <v>1490</v>
      </c>
      <c r="F993">
        <v>4</v>
      </c>
      <c r="G993">
        <v>1</v>
      </c>
      <c r="H993" s="1296">
        <v>4</v>
      </c>
      <c r="I993" t="str">
        <f t="shared" si="15"/>
        <v>-</v>
      </c>
    </row>
    <row r="994" spans="1:9" x14ac:dyDescent="0.25">
      <c r="A994">
        <v>11168</v>
      </c>
      <c r="B994" t="s">
        <v>518</v>
      </c>
      <c r="C994" t="s">
        <v>1544</v>
      </c>
      <c r="D994" t="s">
        <v>1993</v>
      </c>
      <c r="F994">
        <v>3</v>
      </c>
      <c r="G994">
        <v>1</v>
      </c>
      <c r="H994" s="1296">
        <v>3</v>
      </c>
      <c r="I994" t="str">
        <f t="shared" si="15"/>
        <v>-</v>
      </c>
    </row>
    <row r="995" spans="1:9" x14ac:dyDescent="0.25">
      <c r="A995">
        <v>11169</v>
      </c>
      <c r="B995" t="s">
        <v>518</v>
      </c>
      <c r="C995" t="s">
        <v>1544</v>
      </c>
      <c r="D995" t="s">
        <v>1995</v>
      </c>
      <c r="F995">
        <v>3</v>
      </c>
      <c r="G995">
        <v>1</v>
      </c>
      <c r="H995" s="1296">
        <v>3</v>
      </c>
      <c r="I995" t="str">
        <f t="shared" si="15"/>
        <v>-</v>
      </c>
    </row>
    <row r="996" spans="1:9" x14ac:dyDescent="0.25">
      <c r="A996">
        <v>11170</v>
      </c>
      <c r="B996" t="s">
        <v>518</v>
      </c>
      <c r="C996" t="s">
        <v>1544</v>
      </c>
      <c r="D996" t="s">
        <v>1551</v>
      </c>
      <c r="F996">
        <v>0</v>
      </c>
      <c r="G996">
        <v>1</v>
      </c>
      <c r="H996" s="1296">
        <v>0</v>
      </c>
      <c r="I996" t="str">
        <f t="shared" si="15"/>
        <v>-</v>
      </c>
    </row>
    <row r="997" spans="1:9" x14ac:dyDescent="0.25">
      <c r="A997">
        <v>11171</v>
      </c>
      <c r="B997" t="s">
        <v>518</v>
      </c>
      <c r="C997" t="s">
        <v>1544</v>
      </c>
      <c r="D997" t="s">
        <v>1997</v>
      </c>
      <c r="F997">
        <v>8</v>
      </c>
      <c r="G997">
        <v>1</v>
      </c>
      <c r="H997" s="1296">
        <v>8</v>
      </c>
      <c r="I997" t="str">
        <f t="shared" si="15"/>
        <v>-</v>
      </c>
    </row>
    <row r="998" spans="1:9" x14ac:dyDescent="0.25">
      <c r="A998">
        <v>11172</v>
      </c>
      <c r="B998" t="s">
        <v>518</v>
      </c>
      <c r="C998" t="s">
        <v>1544</v>
      </c>
      <c r="D998" t="s">
        <v>1998</v>
      </c>
      <c r="F998">
        <v>50</v>
      </c>
      <c r="G998">
        <v>1</v>
      </c>
      <c r="H998" s="1296">
        <v>50</v>
      </c>
      <c r="I998" t="str">
        <f t="shared" si="15"/>
        <v>-</v>
      </c>
    </row>
    <row r="999" spans="1:9" x14ac:dyDescent="0.25">
      <c r="A999">
        <v>11173</v>
      </c>
      <c r="B999" t="s">
        <v>518</v>
      </c>
      <c r="C999" t="s">
        <v>1544</v>
      </c>
      <c r="D999" t="s">
        <v>1999</v>
      </c>
      <c r="F999">
        <v>30</v>
      </c>
      <c r="G999">
        <v>1</v>
      </c>
      <c r="H999" s="1296">
        <v>30</v>
      </c>
      <c r="I999" t="str">
        <f t="shared" si="15"/>
        <v>-</v>
      </c>
    </row>
    <row r="1000" spans="1:9" x14ac:dyDescent="0.25">
      <c r="A1000">
        <v>11174</v>
      </c>
      <c r="B1000" t="s">
        <v>518</v>
      </c>
      <c r="C1000" t="s">
        <v>1544</v>
      </c>
      <c r="D1000" t="s">
        <v>15</v>
      </c>
      <c r="F1000">
        <v>15</v>
      </c>
      <c r="G1000">
        <v>1</v>
      </c>
      <c r="H1000" s="1296">
        <v>15</v>
      </c>
      <c r="I1000" t="str">
        <f t="shared" si="15"/>
        <v>-</v>
      </c>
    </row>
    <row r="1001" spans="1:9" x14ac:dyDescent="0.25">
      <c r="A1001">
        <v>11175</v>
      </c>
      <c r="B1001" t="s">
        <v>518</v>
      </c>
      <c r="C1001" t="s">
        <v>1544</v>
      </c>
      <c r="D1001" t="s">
        <v>2000</v>
      </c>
      <c r="F1001">
        <v>5</v>
      </c>
      <c r="G1001">
        <v>1</v>
      </c>
      <c r="H1001" s="1296">
        <v>5</v>
      </c>
      <c r="I1001" t="str">
        <f t="shared" si="15"/>
        <v>-</v>
      </c>
    </row>
    <row r="1002" spans="1:9" x14ac:dyDescent="0.25">
      <c r="A1002">
        <v>11199</v>
      </c>
      <c r="B1002" t="s">
        <v>518</v>
      </c>
      <c r="C1002" t="s">
        <v>1544</v>
      </c>
      <c r="D1002" t="s">
        <v>2001</v>
      </c>
      <c r="F1002">
        <v>7</v>
      </c>
      <c r="G1002">
        <v>1</v>
      </c>
      <c r="H1002" s="1296">
        <v>7</v>
      </c>
      <c r="I1002" t="str">
        <f t="shared" si="15"/>
        <v>-</v>
      </c>
    </row>
    <row r="1003" spans="1:9" x14ac:dyDescent="0.25">
      <c r="A1003">
        <v>11200</v>
      </c>
      <c r="B1003" t="s">
        <v>518</v>
      </c>
      <c r="C1003" t="s">
        <v>1544</v>
      </c>
      <c r="D1003" t="s">
        <v>2002</v>
      </c>
      <c r="F1003">
        <v>11</v>
      </c>
      <c r="G1003">
        <v>1</v>
      </c>
      <c r="H1003" s="1296">
        <v>11</v>
      </c>
      <c r="I1003" t="str">
        <f t="shared" si="15"/>
        <v>-</v>
      </c>
    </row>
    <row r="1004" spans="1:9" x14ac:dyDescent="0.25">
      <c r="A1004">
        <v>11201</v>
      </c>
      <c r="B1004" t="s">
        <v>518</v>
      </c>
      <c r="C1004" t="s">
        <v>1544</v>
      </c>
      <c r="D1004" t="s">
        <v>2003</v>
      </c>
      <c r="F1004">
        <v>3</v>
      </c>
      <c r="G1004">
        <v>1</v>
      </c>
      <c r="H1004" s="1296">
        <v>3</v>
      </c>
      <c r="I1004" t="str">
        <f t="shared" si="15"/>
        <v>-</v>
      </c>
    </row>
    <row r="1005" spans="1:9" x14ac:dyDescent="0.25">
      <c r="A1005">
        <v>11202</v>
      </c>
      <c r="B1005" t="s">
        <v>518</v>
      </c>
      <c r="C1005" t="s">
        <v>1544</v>
      </c>
      <c r="D1005" t="s">
        <v>1545</v>
      </c>
      <c r="F1005">
        <v>3</v>
      </c>
      <c r="G1005">
        <v>1</v>
      </c>
      <c r="H1005" s="1296">
        <v>3</v>
      </c>
      <c r="I1005" t="str">
        <f t="shared" si="15"/>
        <v>-</v>
      </c>
    </row>
    <row r="1006" spans="1:9" x14ac:dyDescent="0.25">
      <c r="A1006">
        <v>11203</v>
      </c>
      <c r="B1006" t="s">
        <v>518</v>
      </c>
      <c r="C1006" t="s">
        <v>1544</v>
      </c>
      <c r="D1006" t="s">
        <v>2004</v>
      </c>
      <c r="F1006">
        <v>6</v>
      </c>
      <c r="G1006">
        <v>1</v>
      </c>
      <c r="H1006" s="1296">
        <v>6</v>
      </c>
      <c r="I1006" t="str">
        <f t="shared" si="15"/>
        <v>-</v>
      </c>
    </row>
    <row r="1007" spans="1:9" x14ac:dyDescent="0.25">
      <c r="A1007">
        <v>11247</v>
      </c>
      <c r="B1007" t="s">
        <v>518</v>
      </c>
      <c r="C1007" t="s">
        <v>1401</v>
      </c>
      <c r="D1007" t="s">
        <v>1977</v>
      </c>
      <c r="F1007">
        <v>2</v>
      </c>
      <c r="G1007">
        <v>1</v>
      </c>
      <c r="H1007" s="1296">
        <v>2</v>
      </c>
      <c r="I1007" t="str">
        <f t="shared" si="15"/>
        <v>-</v>
      </c>
    </row>
    <row r="1008" spans="1:9" x14ac:dyDescent="0.25">
      <c r="A1008">
        <v>11248</v>
      </c>
      <c r="B1008" t="s">
        <v>518</v>
      </c>
      <c r="C1008" t="s">
        <v>1401</v>
      </c>
      <c r="D1008" t="s">
        <v>1978</v>
      </c>
      <c r="F1008">
        <v>15</v>
      </c>
      <c r="G1008">
        <v>1</v>
      </c>
      <c r="H1008" s="1296">
        <v>15</v>
      </c>
      <c r="I1008" t="str">
        <f t="shared" si="15"/>
        <v>-</v>
      </c>
    </row>
    <row r="1009" spans="1:9" x14ac:dyDescent="0.25">
      <c r="A1009">
        <v>11249</v>
      </c>
      <c r="B1009" t="s">
        <v>518</v>
      </c>
      <c r="C1009" t="s">
        <v>1401</v>
      </c>
      <c r="D1009" t="s">
        <v>1979</v>
      </c>
      <c r="F1009">
        <v>15</v>
      </c>
      <c r="G1009">
        <v>1</v>
      </c>
      <c r="H1009" s="1296">
        <v>15</v>
      </c>
      <c r="I1009" t="str">
        <f t="shared" si="15"/>
        <v>-</v>
      </c>
    </row>
    <row r="1010" spans="1:9" x14ac:dyDescent="0.25">
      <c r="A1010">
        <v>11250</v>
      </c>
      <c r="B1010" t="s">
        <v>518</v>
      </c>
      <c r="C1010" t="s">
        <v>1401</v>
      </c>
      <c r="D1010" t="s">
        <v>1980</v>
      </c>
      <c r="F1010">
        <v>0</v>
      </c>
      <c r="G1010">
        <v>1</v>
      </c>
      <c r="H1010" s="1296">
        <v>0</v>
      </c>
      <c r="I1010" t="str">
        <f t="shared" si="15"/>
        <v>-</v>
      </c>
    </row>
    <row r="1011" spans="1:9" x14ac:dyDescent="0.25">
      <c r="A1011">
        <v>11251</v>
      </c>
      <c r="B1011" t="s">
        <v>518</v>
      </c>
      <c r="C1011" t="s">
        <v>1401</v>
      </c>
      <c r="D1011" t="s">
        <v>1981</v>
      </c>
      <c r="F1011">
        <v>5</v>
      </c>
      <c r="G1011">
        <v>1</v>
      </c>
      <c r="H1011" s="1296">
        <v>5</v>
      </c>
      <c r="I1011" t="str">
        <f t="shared" si="15"/>
        <v>-</v>
      </c>
    </row>
    <row r="1012" spans="1:9" x14ac:dyDescent="0.25">
      <c r="A1012">
        <v>11252</v>
      </c>
      <c r="B1012" t="s">
        <v>518</v>
      </c>
      <c r="C1012" t="s">
        <v>1401</v>
      </c>
      <c r="D1012" t="s">
        <v>1982</v>
      </c>
      <c r="F1012">
        <v>4</v>
      </c>
      <c r="G1012">
        <v>1</v>
      </c>
      <c r="H1012" s="1296">
        <v>4</v>
      </c>
      <c r="I1012" t="str">
        <f t="shared" si="15"/>
        <v>-</v>
      </c>
    </row>
    <row r="1013" spans="1:9" x14ac:dyDescent="0.25">
      <c r="A1013">
        <v>11253</v>
      </c>
      <c r="B1013" t="s">
        <v>518</v>
      </c>
      <c r="C1013" t="s">
        <v>1401</v>
      </c>
      <c r="D1013" t="s">
        <v>1983</v>
      </c>
      <c r="F1013">
        <v>5</v>
      </c>
      <c r="G1013">
        <v>1</v>
      </c>
      <c r="H1013" s="1296">
        <v>5</v>
      </c>
      <c r="I1013" t="str">
        <f t="shared" si="15"/>
        <v>-</v>
      </c>
    </row>
    <row r="1014" spans="1:9" x14ac:dyDescent="0.25">
      <c r="A1014">
        <v>11254</v>
      </c>
      <c r="B1014" t="s">
        <v>518</v>
      </c>
      <c r="C1014" t="s">
        <v>1401</v>
      </c>
      <c r="D1014" t="s">
        <v>1984</v>
      </c>
      <c r="F1014">
        <v>10</v>
      </c>
      <c r="G1014">
        <v>1</v>
      </c>
      <c r="H1014" s="1296">
        <v>10</v>
      </c>
      <c r="I1014" t="str">
        <f t="shared" si="15"/>
        <v>-</v>
      </c>
    </row>
    <row r="1015" spans="1:9" x14ac:dyDescent="0.25">
      <c r="A1015">
        <v>11255</v>
      </c>
      <c r="B1015" t="s">
        <v>518</v>
      </c>
      <c r="C1015" t="s">
        <v>1401</v>
      </c>
      <c r="D1015" t="s">
        <v>1985</v>
      </c>
      <c r="F1015">
        <v>5</v>
      </c>
      <c r="G1015">
        <v>1</v>
      </c>
      <c r="H1015" s="1296">
        <v>5</v>
      </c>
      <c r="I1015" t="str">
        <f t="shared" si="15"/>
        <v>-</v>
      </c>
    </row>
    <row r="1016" spans="1:9" x14ac:dyDescent="0.25">
      <c r="A1016">
        <v>11257</v>
      </c>
      <c r="B1016" t="s">
        <v>518</v>
      </c>
      <c r="C1016" t="s">
        <v>1401</v>
      </c>
      <c r="D1016" t="s">
        <v>1404</v>
      </c>
      <c r="F1016">
        <v>40</v>
      </c>
      <c r="G1016">
        <v>1</v>
      </c>
      <c r="H1016" s="1296">
        <v>40</v>
      </c>
      <c r="I1016" t="str">
        <f t="shared" si="15"/>
        <v>-</v>
      </c>
    </row>
    <row r="1017" spans="1:9" x14ac:dyDescent="0.25">
      <c r="A1017">
        <v>11258</v>
      </c>
      <c r="B1017" t="s">
        <v>518</v>
      </c>
      <c r="C1017" t="s">
        <v>1401</v>
      </c>
      <c r="D1017" t="s">
        <v>1986</v>
      </c>
      <c r="F1017">
        <v>5</v>
      </c>
      <c r="G1017">
        <v>1</v>
      </c>
      <c r="H1017" s="1296">
        <v>5</v>
      </c>
      <c r="I1017" t="str">
        <f t="shared" si="15"/>
        <v>-</v>
      </c>
    </row>
    <row r="1018" spans="1:9" x14ac:dyDescent="0.25">
      <c r="A1018">
        <v>11259</v>
      </c>
      <c r="B1018" t="s">
        <v>518</v>
      </c>
      <c r="C1018" t="s">
        <v>1401</v>
      </c>
      <c r="D1018" t="s">
        <v>1987</v>
      </c>
      <c r="F1018">
        <v>1</v>
      </c>
      <c r="G1018">
        <v>1</v>
      </c>
      <c r="H1018" s="1296">
        <v>1</v>
      </c>
      <c r="I1018" t="str">
        <f t="shared" si="15"/>
        <v>-</v>
      </c>
    </row>
    <row r="1019" spans="1:9" x14ac:dyDescent="0.25">
      <c r="A1019">
        <v>11260</v>
      </c>
      <c r="B1019" t="s">
        <v>518</v>
      </c>
      <c r="C1019" t="s">
        <v>1401</v>
      </c>
      <c r="D1019" t="s">
        <v>1988</v>
      </c>
      <c r="F1019">
        <v>1</v>
      </c>
      <c r="G1019">
        <v>1</v>
      </c>
      <c r="H1019" s="1296">
        <v>1</v>
      </c>
      <c r="I1019" t="str">
        <f t="shared" si="15"/>
        <v>-</v>
      </c>
    </row>
    <row r="1020" spans="1:9" x14ac:dyDescent="0.25">
      <c r="A1020">
        <v>11262</v>
      </c>
      <c r="B1020" t="s">
        <v>518</v>
      </c>
      <c r="C1020" t="s">
        <v>1401</v>
      </c>
      <c r="D1020" t="s">
        <v>1989</v>
      </c>
      <c r="F1020">
        <v>2</v>
      </c>
      <c r="G1020">
        <v>1</v>
      </c>
      <c r="H1020" s="1296">
        <v>2</v>
      </c>
      <c r="I1020" t="str">
        <f t="shared" si="15"/>
        <v>-</v>
      </c>
    </row>
    <row r="1021" spans="1:9" x14ac:dyDescent="0.25">
      <c r="A1021">
        <v>11263</v>
      </c>
      <c r="B1021" t="s">
        <v>518</v>
      </c>
      <c r="C1021" t="s">
        <v>1401</v>
      </c>
      <c r="D1021" t="s">
        <v>1500</v>
      </c>
      <c r="F1021">
        <v>2</v>
      </c>
      <c r="G1021">
        <v>1</v>
      </c>
      <c r="H1021" s="1296">
        <v>2</v>
      </c>
      <c r="I1021" t="str">
        <f t="shared" si="15"/>
        <v>-</v>
      </c>
    </row>
    <row r="1022" spans="1:9" x14ac:dyDescent="0.25">
      <c r="A1022">
        <v>11264</v>
      </c>
      <c r="B1022" t="s">
        <v>518</v>
      </c>
      <c r="C1022" t="s">
        <v>1401</v>
      </c>
      <c r="D1022" t="s">
        <v>1991</v>
      </c>
      <c r="F1022">
        <v>2</v>
      </c>
      <c r="G1022">
        <v>1</v>
      </c>
      <c r="H1022" s="1296">
        <v>2</v>
      </c>
      <c r="I1022" t="str">
        <f t="shared" si="15"/>
        <v>-</v>
      </c>
    </row>
    <row r="1023" spans="1:9" x14ac:dyDescent="0.25">
      <c r="A1023">
        <v>11265</v>
      </c>
      <c r="B1023" t="s">
        <v>518</v>
      </c>
      <c r="C1023" t="s">
        <v>1401</v>
      </c>
      <c r="D1023" t="s">
        <v>1992</v>
      </c>
      <c r="F1023">
        <v>1</v>
      </c>
      <c r="G1023">
        <v>1</v>
      </c>
      <c r="H1023" s="1296">
        <v>1</v>
      </c>
      <c r="I1023" t="str">
        <f t="shared" si="15"/>
        <v>-</v>
      </c>
    </row>
    <row r="1024" spans="1:9" x14ac:dyDescent="0.25">
      <c r="A1024">
        <v>11266</v>
      </c>
      <c r="B1024" t="s">
        <v>518</v>
      </c>
      <c r="C1024" t="s">
        <v>1401</v>
      </c>
      <c r="D1024" t="s">
        <v>1490</v>
      </c>
      <c r="F1024">
        <v>2</v>
      </c>
      <c r="G1024">
        <v>1</v>
      </c>
      <c r="H1024" s="1296">
        <v>2</v>
      </c>
      <c r="I1024" t="str">
        <f t="shared" si="15"/>
        <v>-</v>
      </c>
    </row>
    <row r="1025" spans="1:9" x14ac:dyDescent="0.25">
      <c r="A1025">
        <v>11267</v>
      </c>
      <c r="B1025" t="s">
        <v>518</v>
      </c>
      <c r="C1025" t="s">
        <v>1401</v>
      </c>
      <c r="D1025" t="s">
        <v>1993</v>
      </c>
      <c r="F1025">
        <v>2</v>
      </c>
      <c r="G1025">
        <v>1</v>
      </c>
      <c r="H1025" s="1296">
        <v>2</v>
      </c>
      <c r="I1025" t="str">
        <f t="shared" si="15"/>
        <v>-</v>
      </c>
    </row>
    <row r="1026" spans="1:9" x14ac:dyDescent="0.25">
      <c r="A1026">
        <v>11268</v>
      </c>
      <c r="B1026" t="s">
        <v>518</v>
      </c>
      <c r="C1026" t="s">
        <v>1401</v>
      </c>
      <c r="D1026" t="s">
        <v>1995</v>
      </c>
      <c r="F1026">
        <v>3</v>
      </c>
      <c r="G1026">
        <v>1</v>
      </c>
      <c r="H1026" s="1296">
        <v>3</v>
      </c>
      <c r="I1026" t="str">
        <f t="shared" ref="I1026:I1089" si="16">INDEX($N$2:$N$355,MATCH($A1026,$L$2:$L$355,1))</f>
        <v>-</v>
      </c>
    </row>
    <row r="1027" spans="1:9" x14ac:dyDescent="0.25">
      <c r="A1027">
        <v>11269</v>
      </c>
      <c r="B1027" t="s">
        <v>518</v>
      </c>
      <c r="C1027" t="s">
        <v>1401</v>
      </c>
      <c r="D1027" t="s">
        <v>1551</v>
      </c>
      <c r="F1027">
        <v>1</v>
      </c>
      <c r="G1027">
        <v>1</v>
      </c>
      <c r="H1027" s="1296">
        <v>1</v>
      </c>
      <c r="I1027" t="str">
        <f t="shared" si="16"/>
        <v>-</v>
      </c>
    </row>
    <row r="1028" spans="1:9" x14ac:dyDescent="0.25">
      <c r="A1028">
        <v>11270</v>
      </c>
      <c r="B1028" t="s">
        <v>518</v>
      </c>
      <c r="C1028" t="s">
        <v>1401</v>
      </c>
      <c r="D1028" t="s">
        <v>1997</v>
      </c>
      <c r="F1028">
        <v>5</v>
      </c>
      <c r="G1028">
        <v>1</v>
      </c>
      <c r="H1028" s="1296">
        <v>5</v>
      </c>
      <c r="I1028" t="str">
        <f t="shared" si="16"/>
        <v>-</v>
      </c>
    </row>
    <row r="1029" spans="1:9" x14ac:dyDescent="0.25">
      <c r="A1029">
        <v>11292</v>
      </c>
      <c r="B1029" t="s">
        <v>518</v>
      </c>
      <c r="C1029" t="s">
        <v>1401</v>
      </c>
      <c r="D1029" t="s">
        <v>1998</v>
      </c>
      <c r="F1029">
        <v>50</v>
      </c>
      <c r="G1029">
        <v>1</v>
      </c>
      <c r="H1029" s="1296">
        <v>50</v>
      </c>
      <c r="I1029" t="str">
        <f t="shared" si="16"/>
        <v>-</v>
      </c>
    </row>
    <row r="1030" spans="1:9" x14ac:dyDescent="0.25">
      <c r="A1030">
        <v>11293</v>
      </c>
      <c r="B1030" t="s">
        <v>518</v>
      </c>
      <c r="C1030" t="s">
        <v>1401</v>
      </c>
      <c r="D1030" t="s">
        <v>1999</v>
      </c>
      <c r="F1030">
        <v>30</v>
      </c>
      <c r="G1030">
        <v>1</v>
      </c>
      <c r="H1030" s="1296">
        <v>30</v>
      </c>
      <c r="I1030" t="str">
        <f t="shared" si="16"/>
        <v>-</v>
      </c>
    </row>
    <row r="1031" spans="1:9" x14ac:dyDescent="0.25">
      <c r="A1031">
        <v>11294</v>
      </c>
      <c r="B1031" t="s">
        <v>518</v>
      </c>
      <c r="C1031" t="s">
        <v>1401</v>
      </c>
      <c r="D1031" t="s">
        <v>15</v>
      </c>
      <c r="F1031">
        <v>8</v>
      </c>
      <c r="G1031">
        <v>1</v>
      </c>
      <c r="H1031" s="1296">
        <v>8</v>
      </c>
      <c r="I1031" t="str">
        <f t="shared" si="16"/>
        <v>-</v>
      </c>
    </row>
    <row r="1032" spans="1:9" x14ac:dyDescent="0.25">
      <c r="A1032">
        <v>11295</v>
      </c>
      <c r="B1032" t="s">
        <v>518</v>
      </c>
      <c r="C1032" t="s">
        <v>1401</v>
      </c>
      <c r="D1032" t="s">
        <v>2000</v>
      </c>
      <c r="F1032">
        <v>5</v>
      </c>
      <c r="G1032">
        <v>1</v>
      </c>
      <c r="H1032" s="1296">
        <v>5</v>
      </c>
      <c r="I1032" t="str">
        <f t="shared" si="16"/>
        <v>-</v>
      </c>
    </row>
    <row r="1033" spans="1:9" x14ac:dyDescent="0.25">
      <c r="A1033">
        <v>11296</v>
      </c>
      <c r="B1033" t="s">
        <v>518</v>
      </c>
      <c r="C1033" t="s">
        <v>1401</v>
      </c>
      <c r="D1033" t="s">
        <v>2001</v>
      </c>
      <c r="F1033">
        <v>5</v>
      </c>
      <c r="G1033">
        <v>1</v>
      </c>
      <c r="H1033" s="1296">
        <v>5</v>
      </c>
      <c r="I1033" t="str">
        <f t="shared" si="16"/>
        <v>-</v>
      </c>
    </row>
    <row r="1034" spans="1:9" x14ac:dyDescent="0.25">
      <c r="A1034">
        <v>11297</v>
      </c>
      <c r="B1034" t="s">
        <v>518</v>
      </c>
      <c r="C1034" t="s">
        <v>1401</v>
      </c>
      <c r="D1034" t="s">
        <v>2002</v>
      </c>
      <c r="F1034">
        <v>5</v>
      </c>
      <c r="G1034">
        <v>1</v>
      </c>
      <c r="H1034" s="1296">
        <v>5</v>
      </c>
      <c r="I1034" t="str">
        <f t="shared" si="16"/>
        <v>-</v>
      </c>
    </row>
    <row r="1035" spans="1:9" x14ac:dyDescent="0.25">
      <c r="A1035">
        <v>11298</v>
      </c>
      <c r="B1035" t="s">
        <v>518</v>
      </c>
      <c r="C1035" t="s">
        <v>1401</v>
      </c>
      <c r="D1035" t="s">
        <v>2003</v>
      </c>
      <c r="F1035">
        <v>2</v>
      </c>
      <c r="G1035">
        <v>1</v>
      </c>
      <c r="H1035" s="1296">
        <v>2</v>
      </c>
      <c r="I1035" t="str">
        <f t="shared" si="16"/>
        <v>-</v>
      </c>
    </row>
    <row r="1036" spans="1:9" x14ac:dyDescent="0.25">
      <c r="A1036">
        <v>11299</v>
      </c>
      <c r="B1036" t="s">
        <v>518</v>
      </c>
      <c r="C1036" t="s">
        <v>1401</v>
      </c>
      <c r="D1036" t="s">
        <v>1545</v>
      </c>
      <c r="F1036">
        <v>2</v>
      </c>
      <c r="G1036">
        <v>1</v>
      </c>
      <c r="H1036" s="1296">
        <v>2</v>
      </c>
      <c r="I1036" t="str">
        <f t="shared" si="16"/>
        <v>-</v>
      </c>
    </row>
    <row r="1037" spans="1:9" x14ac:dyDescent="0.25">
      <c r="A1037">
        <v>11300</v>
      </c>
      <c r="B1037" t="s">
        <v>518</v>
      </c>
      <c r="C1037" t="s">
        <v>1401</v>
      </c>
      <c r="D1037" t="s">
        <v>2004</v>
      </c>
      <c r="F1037">
        <v>4</v>
      </c>
      <c r="G1037">
        <v>1</v>
      </c>
      <c r="H1037" s="1296">
        <v>4</v>
      </c>
      <c r="I1037" t="str">
        <f t="shared" si="16"/>
        <v>-</v>
      </c>
    </row>
    <row r="1038" spans="1:9" x14ac:dyDescent="0.25">
      <c r="A1038">
        <v>11337</v>
      </c>
      <c r="B1038" t="s">
        <v>518</v>
      </c>
      <c r="C1038" t="s">
        <v>1405</v>
      </c>
      <c r="D1038" t="s">
        <v>1977</v>
      </c>
      <c r="F1038">
        <v>9</v>
      </c>
      <c r="G1038">
        <v>1</v>
      </c>
      <c r="H1038" s="1296">
        <v>9</v>
      </c>
      <c r="I1038" t="str">
        <f t="shared" si="16"/>
        <v>-</v>
      </c>
    </row>
    <row r="1039" spans="1:9" x14ac:dyDescent="0.25">
      <c r="A1039">
        <v>11338</v>
      </c>
      <c r="B1039" t="s">
        <v>518</v>
      </c>
      <c r="C1039" t="s">
        <v>1405</v>
      </c>
      <c r="D1039" t="s">
        <v>1978</v>
      </c>
      <c r="F1039">
        <v>35</v>
      </c>
      <c r="G1039">
        <v>1</v>
      </c>
      <c r="H1039" s="1296">
        <v>35</v>
      </c>
      <c r="I1039" t="str">
        <f t="shared" si="16"/>
        <v>-</v>
      </c>
    </row>
    <row r="1040" spans="1:9" x14ac:dyDescent="0.25">
      <c r="A1040">
        <v>11339</v>
      </c>
      <c r="B1040" t="s">
        <v>518</v>
      </c>
      <c r="C1040" t="s">
        <v>1405</v>
      </c>
      <c r="D1040" t="s">
        <v>1979</v>
      </c>
      <c r="F1040">
        <v>35</v>
      </c>
      <c r="G1040">
        <v>1</v>
      </c>
      <c r="H1040" s="1296">
        <v>35</v>
      </c>
      <c r="I1040" t="str">
        <f t="shared" si="16"/>
        <v>-</v>
      </c>
    </row>
    <row r="1041" spans="1:9" x14ac:dyDescent="0.25">
      <c r="A1041">
        <v>11340</v>
      </c>
      <c r="B1041" t="s">
        <v>518</v>
      </c>
      <c r="C1041" t="s">
        <v>1405</v>
      </c>
      <c r="D1041" t="s">
        <v>1980</v>
      </c>
      <c r="F1041">
        <v>10</v>
      </c>
      <c r="G1041">
        <v>1</v>
      </c>
      <c r="H1041" s="1296">
        <v>10</v>
      </c>
      <c r="I1041" t="str">
        <f t="shared" si="16"/>
        <v>-</v>
      </c>
    </row>
    <row r="1042" spans="1:9" x14ac:dyDescent="0.25">
      <c r="A1042">
        <v>11341</v>
      </c>
      <c r="B1042" t="s">
        <v>518</v>
      </c>
      <c r="C1042" t="s">
        <v>1405</v>
      </c>
      <c r="D1042" t="s">
        <v>1981</v>
      </c>
      <c r="F1042">
        <v>13</v>
      </c>
      <c r="G1042">
        <v>1</v>
      </c>
      <c r="H1042" s="1296">
        <v>13</v>
      </c>
      <c r="I1042" t="str">
        <f t="shared" si="16"/>
        <v>-</v>
      </c>
    </row>
    <row r="1043" spans="1:9" x14ac:dyDescent="0.25">
      <c r="A1043">
        <v>11342</v>
      </c>
      <c r="B1043" t="s">
        <v>518</v>
      </c>
      <c r="C1043" t="s">
        <v>1405</v>
      </c>
      <c r="D1043" t="s">
        <v>1982</v>
      </c>
      <c r="F1043">
        <v>8</v>
      </c>
      <c r="G1043">
        <v>1</v>
      </c>
      <c r="H1043" s="1296">
        <v>8</v>
      </c>
      <c r="I1043" t="str">
        <f t="shared" si="16"/>
        <v>-</v>
      </c>
    </row>
    <row r="1044" spans="1:9" x14ac:dyDescent="0.25">
      <c r="A1044">
        <v>11343</v>
      </c>
      <c r="B1044" t="s">
        <v>518</v>
      </c>
      <c r="C1044" t="s">
        <v>1405</v>
      </c>
      <c r="D1044" t="s">
        <v>1983</v>
      </c>
      <c r="F1044">
        <v>10</v>
      </c>
      <c r="G1044">
        <v>1</v>
      </c>
      <c r="H1044" s="1296">
        <v>10</v>
      </c>
      <c r="I1044" t="str">
        <f t="shared" si="16"/>
        <v>-</v>
      </c>
    </row>
    <row r="1045" spans="1:9" x14ac:dyDescent="0.25">
      <c r="A1045">
        <v>11344</v>
      </c>
      <c r="B1045" t="s">
        <v>518</v>
      </c>
      <c r="C1045" t="s">
        <v>1405</v>
      </c>
      <c r="D1045" t="s">
        <v>1984</v>
      </c>
      <c r="F1045">
        <v>10</v>
      </c>
      <c r="G1045">
        <v>1</v>
      </c>
      <c r="H1045" s="1296">
        <v>10</v>
      </c>
      <c r="I1045" t="str">
        <f t="shared" si="16"/>
        <v>-</v>
      </c>
    </row>
    <row r="1046" spans="1:9" x14ac:dyDescent="0.25">
      <c r="A1046">
        <v>11345</v>
      </c>
      <c r="B1046" t="s">
        <v>518</v>
      </c>
      <c r="C1046" t="s">
        <v>1405</v>
      </c>
      <c r="D1046" t="s">
        <v>1985</v>
      </c>
      <c r="F1046">
        <v>5</v>
      </c>
      <c r="G1046">
        <v>1</v>
      </c>
      <c r="H1046" s="1296">
        <v>5</v>
      </c>
      <c r="I1046" t="str">
        <f t="shared" si="16"/>
        <v>-</v>
      </c>
    </row>
    <row r="1047" spans="1:9" x14ac:dyDescent="0.25">
      <c r="A1047">
        <v>11347</v>
      </c>
      <c r="B1047" t="s">
        <v>518</v>
      </c>
      <c r="C1047" t="s">
        <v>1405</v>
      </c>
      <c r="D1047" t="s">
        <v>1404</v>
      </c>
      <c r="F1047">
        <v>60</v>
      </c>
      <c r="G1047">
        <v>1</v>
      </c>
      <c r="H1047" s="1296">
        <v>60</v>
      </c>
      <c r="I1047" t="str">
        <f t="shared" si="16"/>
        <v>-</v>
      </c>
    </row>
    <row r="1048" spans="1:9" x14ac:dyDescent="0.25">
      <c r="A1048">
        <v>11348</v>
      </c>
      <c r="B1048" t="s">
        <v>518</v>
      </c>
      <c r="C1048" t="s">
        <v>1405</v>
      </c>
      <c r="D1048" t="s">
        <v>1986</v>
      </c>
      <c r="F1048">
        <v>5</v>
      </c>
      <c r="G1048">
        <v>1</v>
      </c>
      <c r="H1048" s="1296">
        <v>5</v>
      </c>
      <c r="I1048" t="str">
        <f t="shared" si="16"/>
        <v>-</v>
      </c>
    </row>
    <row r="1049" spans="1:9" x14ac:dyDescent="0.25">
      <c r="A1049">
        <v>11349</v>
      </c>
      <c r="B1049" t="s">
        <v>518</v>
      </c>
      <c r="C1049" t="s">
        <v>1405</v>
      </c>
      <c r="D1049" t="s">
        <v>1987</v>
      </c>
      <c r="F1049">
        <v>2</v>
      </c>
      <c r="G1049">
        <v>1</v>
      </c>
      <c r="H1049" s="1296">
        <v>2</v>
      </c>
      <c r="I1049" t="str">
        <f t="shared" si="16"/>
        <v>-</v>
      </c>
    </row>
    <row r="1050" spans="1:9" x14ac:dyDescent="0.25">
      <c r="A1050">
        <v>11350</v>
      </c>
      <c r="B1050" t="s">
        <v>518</v>
      </c>
      <c r="C1050" t="s">
        <v>1405</v>
      </c>
      <c r="D1050" t="s">
        <v>1988</v>
      </c>
      <c r="F1050">
        <v>2</v>
      </c>
      <c r="G1050">
        <v>1</v>
      </c>
      <c r="H1050" s="1296">
        <v>2</v>
      </c>
      <c r="I1050" t="str">
        <f t="shared" si="16"/>
        <v>-</v>
      </c>
    </row>
    <row r="1051" spans="1:9" x14ac:dyDescent="0.25">
      <c r="A1051">
        <v>11352</v>
      </c>
      <c r="B1051" t="s">
        <v>518</v>
      </c>
      <c r="C1051" t="s">
        <v>1405</v>
      </c>
      <c r="D1051" t="s">
        <v>1989</v>
      </c>
      <c r="F1051">
        <v>3</v>
      </c>
      <c r="G1051">
        <v>1</v>
      </c>
      <c r="H1051" s="1296">
        <v>3</v>
      </c>
      <c r="I1051" t="str">
        <f t="shared" si="16"/>
        <v>-</v>
      </c>
    </row>
    <row r="1052" spans="1:9" x14ac:dyDescent="0.25">
      <c r="A1052">
        <v>11353</v>
      </c>
      <c r="B1052" t="s">
        <v>518</v>
      </c>
      <c r="C1052" t="s">
        <v>1405</v>
      </c>
      <c r="D1052" t="s">
        <v>1500</v>
      </c>
      <c r="F1052">
        <v>3</v>
      </c>
      <c r="G1052">
        <v>1</v>
      </c>
      <c r="H1052" s="1296">
        <v>3</v>
      </c>
      <c r="I1052" t="str">
        <f t="shared" si="16"/>
        <v>-</v>
      </c>
    </row>
    <row r="1053" spans="1:9" x14ac:dyDescent="0.25">
      <c r="A1053">
        <v>11354</v>
      </c>
      <c r="B1053" t="s">
        <v>518</v>
      </c>
      <c r="C1053" t="s">
        <v>1405</v>
      </c>
      <c r="D1053" t="s">
        <v>1991</v>
      </c>
      <c r="F1053">
        <v>3</v>
      </c>
      <c r="G1053">
        <v>1</v>
      </c>
      <c r="H1053" s="1296">
        <v>3</v>
      </c>
      <c r="I1053" t="str">
        <f t="shared" si="16"/>
        <v>-</v>
      </c>
    </row>
    <row r="1054" spans="1:9" x14ac:dyDescent="0.25">
      <c r="A1054">
        <v>11355</v>
      </c>
      <c r="B1054" t="s">
        <v>518</v>
      </c>
      <c r="C1054" t="s">
        <v>1405</v>
      </c>
      <c r="D1054" t="s">
        <v>1992</v>
      </c>
      <c r="F1054">
        <v>2</v>
      </c>
      <c r="G1054">
        <v>1</v>
      </c>
      <c r="H1054" s="1296">
        <v>2</v>
      </c>
      <c r="I1054" t="str">
        <f t="shared" si="16"/>
        <v>-</v>
      </c>
    </row>
    <row r="1055" spans="1:9" x14ac:dyDescent="0.25">
      <c r="A1055">
        <v>11356</v>
      </c>
      <c r="B1055" t="s">
        <v>518</v>
      </c>
      <c r="C1055" t="s">
        <v>1405</v>
      </c>
      <c r="D1055" t="s">
        <v>1490</v>
      </c>
      <c r="F1055">
        <v>4</v>
      </c>
      <c r="G1055">
        <v>1</v>
      </c>
      <c r="H1055" s="1296">
        <v>4</v>
      </c>
      <c r="I1055" t="str">
        <f t="shared" si="16"/>
        <v>-</v>
      </c>
    </row>
    <row r="1056" spans="1:9" x14ac:dyDescent="0.25">
      <c r="A1056">
        <v>11357</v>
      </c>
      <c r="B1056" t="s">
        <v>518</v>
      </c>
      <c r="C1056" t="s">
        <v>1405</v>
      </c>
      <c r="D1056" t="s">
        <v>1993</v>
      </c>
      <c r="F1056">
        <v>3</v>
      </c>
      <c r="G1056">
        <v>1</v>
      </c>
      <c r="H1056" s="1296">
        <v>3</v>
      </c>
      <c r="I1056" t="str">
        <f t="shared" si="16"/>
        <v>-</v>
      </c>
    </row>
    <row r="1057" spans="1:9" x14ac:dyDescent="0.25">
      <c r="A1057">
        <v>11358</v>
      </c>
      <c r="B1057" t="s">
        <v>518</v>
      </c>
      <c r="C1057" t="s">
        <v>1405</v>
      </c>
      <c r="D1057" t="s">
        <v>1995</v>
      </c>
      <c r="F1057">
        <v>2</v>
      </c>
      <c r="G1057">
        <v>1</v>
      </c>
      <c r="H1057" s="1296">
        <v>2</v>
      </c>
      <c r="I1057" t="str">
        <f t="shared" si="16"/>
        <v>-</v>
      </c>
    </row>
    <row r="1058" spans="1:9" x14ac:dyDescent="0.25">
      <c r="A1058">
        <v>11359</v>
      </c>
      <c r="B1058" t="s">
        <v>518</v>
      </c>
      <c r="C1058" t="s">
        <v>1405</v>
      </c>
      <c r="D1058" t="s">
        <v>1551</v>
      </c>
      <c r="F1058">
        <v>1</v>
      </c>
      <c r="G1058">
        <v>1</v>
      </c>
      <c r="H1058" s="1296">
        <v>1</v>
      </c>
      <c r="I1058" t="str">
        <f t="shared" si="16"/>
        <v>-</v>
      </c>
    </row>
    <row r="1059" spans="1:9" x14ac:dyDescent="0.25">
      <c r="A1059">
        <v>11360</v>
      </c>
      <c r="B1059" t="s">
        <v>518</v>
      </c>
      <c r="C1059" t="s">
        <v>1405</v>
      </c>
      <c r="D1059" t="s">
        <v>1997</v>
      </c>
      <c r="F1059">
        <v>9</v>
      </c>
      <c r="G1059">
        <v>1</v>
      </c>
      <c r="H1059" s="1296">
        <v>9</v>
      </c>
      <c r="I1059" t="str">
        <f t="shared" si="16"/>
        <v>-</v>
      </c>
    </row>
    <row r="1060" spans="1:9" x14ac:dyDescent="0.25">
      <c r="A1060">
        <v>11361</v>
      </c>
      <c r="B1060" t="s">
        <v>518</v>
      </c>
      <c r="C1060" t="s">
        <v>1405</v>
      </c>
      <c r="D1060" t="s">
        <v>1998</v>
      </c>
      <c r="F1060">
        <v>80</v>
      </c>
      <c r="G1060">
        <v>1</v>
      </c>
      <c r="H1060" s="1296">
        <v>80</v>
      </c>
      <c r="I1060" t="str">
        <f t="shared" si="16"/>
        <v>-</v>
      </c>
    </row>
    <row r="1061" spans="1:9" x14ac:dyDescent="0.25">
      <c r="A1061">
        <v>11362</v>
      </c>
      <c r="B1061" t="s">
        <v>518</v>
      </c>
      <c r="C1061" t="s">
        <v>1405</v>
      </c>
      <c r="D1061" t="s">
        <v>1999</v>
      </c>
      <c r="F1061">
        <v>30</v>
      </c>
      <c r="G1061">
        <v>1</v>
      </c>
      <c r="H1061" s="1296">
        <v>30</v>
      </c>
      <c r="I1061" t="str">
        <f t="shared" si="16"/>
        <v>-</v>
      </c>
    </row>
    <row r="1062" spans="1:9" x14ac:dyDescent="0.25">
      <c r="A1062">
        <v>11363</v>
      </c>
      <c r="B1062" t="s">
        <v>518</v>
      </c>
      <c r="C1062" t="s">
        <v>1405</v>
      </c>
      <c r="D1062" t="s">
        <v>2000</v>
      </c>
      <c r="F1062">
        <v>8</v>
      </c>
      <c r="G1062">
        <v>1</v>
      </c>
      <c r="H1062" s="1296">
        <v>8</v>
      </c>
      <c r="I1062" t="str">
        <f t="shared" si="16"/>
        <v>-</v>
      </c>
    </row>
    <row r="1063" spans="1:9" x14ac:dyDescent="0.25">
      <c r="A1063">
        <v>11386</v>
      </c>
      <c r="B1063" t="s">
        <v>518</v>
      </c>
      <c r="C1063" t="s">
        <v>1405</v>
      </c>
      <c r="D1063" t="s">
        <v>2001</v>
      </c>
      <c r="F1063">
        <v>8</v>
      </c>
      <c r="G1063">
        <v>1</v>
      </c>
      <c r="H1063" s="1296">
        <v>8</v>
      </c>
      <c r="I1063" t="str">
        <f t="shared" si="16"/>
        <v>-</v>
      </c>
    </row>
    <row r="1064" spans="1:9" x14ac:dyDescent="0.25">
      <c r="A1064">
        <v>11387</v>
      </c>
      <c r="B1064" t="s">
        <v>518</v>
      </c>
      <c r="C1064" t="s">
        <v>1405</v>
      </c>
      <c r="D1064" t="s">
        <v>2002</v>
      </c>
      <c r="F1064">
        <v>11</v>
      </c>
      <c r="G1064">
        <v>1</v>
      </c>
      <c r="H1064" s="1296">
        <v>11</v>
      </c>
      <c r="I1064" t="str">
        <f t="shared" si="16"/>
        <v>-</v>
      </c>
    </row>
    <row r="1065" spans="1:9" x14ac:dyDescent="0.25">
      <c r="A1065">
        <v>11388</v>
      </c>
      <c r="B1065" t="s">
        <v>518</v>
      </c>
      <c r="C1065" t="s">
        <v>1405</v>
      </c>
      <c r="D1065" t="s">
        <v>2003</v>
      </c>
      <c r="F1065">
        <v>4</v>
      </c>
      <c r="G1065">
        <v>1</v>
      </c>
      <c r="H1065" s="1296">
        <v>4</v>
      </c>
      <c r="I1065" t="str">
        <f t="shared" si="16"/>
        <v>-</v>
      </c>
    </row>
    <row r="1066" spans="1:9" x14ac:dyDescent="0.25">
      <c r="A1066">
        <v>11389</v>
      </c>
      <c r="B1066" t="s">
        <v>518</v>
      </c>
      <c r="C1066" t="s">
        <v>1405</v>
      </c>
      <c r="D1066" t="s">
        <v>1545</v>
      </c>
      <c r="F1066">
        <v>4</v>
      </c>
      <c r="G1066">
        <v>1</v>
      </c>
      <c r="H1066" s="1296">
        <v>4</v>
      </c>
      <c r="I1066" t="str">
        <f t="shared" si="16"/>
        <v>-</v>
      </c>
    </row>
    <row r="1067" spans="1:9" x14ac:dyDescent="0.25">
      <c r="A1067">
        <v>11390</v>
      </c>
      <c r="B1067" t="s">
        <v>518</v>
      </c>
      <c r="C1067" t="s">
        <v>1405</v>
      </c>
      <c r="D1067" t="s">
        <v>2004</v>
      </c>
      <c r="F1067">
        <v>8</v>
      </c>
      <c r="G1067">
        <v>1</v>
      </c>
      <c r="H1067" s="1296">
        <v>8</v>
      </c>
      <c r="I1067" t="str">
        <f t="shared" si="16"/>
        <v>-</v>
      </c>
    </row>
    <row r="1068" spans="1:9" x14ac:dyDescent="0.25">
      <c r="A1068">
        <v>11432</v>
      </c>
      <c r="B1068" t="s">
        <v>518</v>
      </c>
      <c r="C1068" t="s">
        <v>1407</v>
      </c>
      <c r="D1068" t="s">
        <v>1978</v>
      </c>
      <c r="F1068">
        <v>20</v>
      </c>
      <c r="G1068">
        <v>1</v>
      </c>
      <c r="H1068" s="1296">
        <v>20</v>
      </c>
      <c r="I1068" t="str">
        <f t="shared" si="16"/>
        <v>-</v>
      </c>
    </row>
    <row r="1069" spans="1:9" x14ac:dyDescent="0.25">
      <c r="A1069">
        <v>11433</v>
      </c>
      <c r="B1069" t="s">
        <v>518</v>
      </c>
      <c r="C1069" t="s">
        <v>1407</v>
      </c>
      <c r="D1069" t="s">
        <v>1979</v>
      </c>
      <c r="F1069">
        <v>20</v>
      </c>
      <c r="G1069">
        <v>1</v>
      </c>
      <c r="H1069" s="1296">
        <v>20</v>
      </c>
      <c r="I1069" t="str">
        <f t="shared" si="16"/>
        <v>-</v>
      </c>
    </row>
    <row r="1070" spans="1:9" x14ac:dyDescent="0.25">
      <c r="A1070">
        <v>11434</v>
      </c>
      <c r="B1070" t="s">
        <v>518</v>
      </c>
      <c r="C1070" t="s">
        <v>1407</v>
      </c>
      <c r="D1070" t="s">
        <v>1983</v>
      </c>
      <c r="F1070">
        <v>5</v>
      </c>
      <c r="G1070">
        <v>1</v>
      </c>
      <c r="H1070" s="1296">
        <v>5</v>
      </c>
      <c r="I1070" t="str">
        <f t="shared" si="16"/>
        <v>-</v>
      </c>
    </row>
    <row r="1071" spans="1:9" x14ac:dyDescent="0.25">
      <c r="A1071">
        <v>11435</v>
      </c>
      <c r="B1071" t="s">
        <v>518</v>
      </c>
      <c r="C1071" t="s">
        <v>1407</v>
      </c>
      <c r="D1071" t="s">
        <v>1985</v>
      </c>
      <c r="F1071">
        <v>5</v>
      </c>
      <c r="G1071">
        <v>1</v>
      </c>
      <c r="H1071" s="1296">
        <v>5</v>
      </c>
      <c r="I1071" t="str">
        <f t="shared" si="16"/>
        <v>-</v>
      </c>
    </row>
    <row r="1072" spans="1:9" x14ac:dyDescent="0.25">
      <c r="A1072">
        <v>11437</v>
      </c>
      <c r="B1072" t="s">
        <v>518</v>
      </c>
      <c r="C1072" t="s">
        <v>1407</v>
      </c>
      <c r="D1072" t="s">
        <v>1404</v>
      </c>
      <c r="F1072">
        <v>50</v>
      </c>
      <c r="G1072">
        <v>1</v>
      </c>
      <c r="H1072" s="1296">
        <v>50</v>
      </c>
      <c r="I1072" t="str">
        <f t="shared" si="16"/>
        <v>-</v>
      </c>
    </row>
    <row r="1073" spans="1:9" x14ac:dyDescent="0.25">
      <c r="A1073">
        <v>11438</v>
      </c>
      <c r="B1073" t="s">
        <v>518</v>
      </c>
      <c r="C1073" t="s">
        <v>1407</v>
      </c>
      <c r="D1073" t="s">
        <v>1986</v>
      </c>
      <c r="F1073">
        <v>5</v>
      </c>
      <c r="G1073">
        <v>1</v>
      </c>
      <c r="H1073" s="1296">
        <v>5</v>
      </c>
      <c r="I1073" t="str">
        <f t="shared" si="16"/>
        <v>-</v>
      </c>
    </row>
    <row r="1074" spans="1:9" x14ac:dyDescent="0.25">
      <c r="A1074">
        <v>11439</v>
      </c>
      <c r="B1074" t="s">
        <v>518</v>
      </c>
      <c r="C1074" t="s">
        <v>1407</v>
      </c>
      <c r="D1074" t="s">
        <v>1987</v>
      </c>
      <c r="F1074">
        <v>1</v>
      </c>
      <c r="G1074">
        <v>1</v>
      </c>
      <c r="H1074" s="1296">
        <v>1</v>
      </c>
      <c r="I1074" t="str">
        <f t="shared" si="16"/>
        <v>-</v>
      </c>
    </row>
    <row r="1075" spans="1:9" x14ac:dyDescent="0.25">
      <c r="A1075">
        <v>11440</v>
      </c>
      <c r="B1075" t="s">
        <v>518</v>
      </c>
      <c r="C1075" t="s">
        <v>1407</v>
      </c>
      <c r="D1075" t="s">
        <v>1988</v>
      </c>
      <c r="F1075">
        <v>1</v>
      </c>
      <c r="G1075">
        <v>1</v>
      </c>
      <c r="H1075" s="1296">
        <v>1</v>
      </c>
      <c r="I1075" t="str">
        <f t="shared" si="16"/>
        <v>-</v>
      </c>
    </row>
    <row r="1076" spans="1:9" x14ac:dyDescent="0.25">
      <c r="A1076">
        <v>11442</v>
      </c>
      <c r="B1076" t="s">
        <v>518</v>
      </c>
      <c r="C1076" t="s">
        <v>1407</v>
      </c>
      <c r="D1076" t="s">
        <v>1991</v>
      </c>
      <c r="F1076">
        <v>2</v>
      </c>
      <c r="G1076">
        <v>1</v>
      </c>
      <c r="H1076" s="1296">
        <v>2</v>
      </c>
      <c r="I1076" t="str">
        <f t="shared" si="16"/>
        <v>-</v>
      </c>
    </row>
    <row r="1077" spans="1:9" x14ac:dyDescent="0.25">
      <c r="A1077">
        <v>11443</v>
      </c>
      <c r="B1077" t="s">
        <v>518</v>
      </c>
      <c r="C1077" t="s">
        <v>1407</v>
      </c>
      <c r="D1077" t="s">
        <v>1992</v>
      </c>
      <c r="F1077">
        <v>2</v>
      </c>
      <c r="G1077">
        <v>1</v>
      </c>
      <c r="H1077" s="1296">
        <v>2</v>
      </c>
      <c r="I1077" t="str">
        <f t="shared" si="16"/>
        <v>-</v>
      </c>
    </row>
    <row r="1078" spans="1:9" x14ac:dyDescent="0.25">
      <c r="A1078">
        <v>11444</v>
      </c>
      <c r="B1078" t="s">
        <v>518</v>
      </c>
      <c r="C1078" t="s">
        <v>1407</v>
      </c>
      <c r="D1078" t="s">
        <v>1993</v>
      </c>
      <c r="F1078">
        <v>2</v>
      </c>
      <c r="G1078">
        <v>1</v>
      </c>
      <c r="H1078" s="1296">
        <v>2</v>
      </c>
      <c r="I1078" t="str">
        <f t="shared" si="16"/>
        <v>-</v>
      </c>
    </row>
    <row r="1079" spans="1:9" x14ac:dyDescent="0.25">
      <c r="A1079">
        <v>11445</v>
      </c>
      <c r="B1079" t="s">
        <v>518</v>
      </c>
      <c r="C1079" t="s">
        <v>1407</v>
      </c>
      <c r="D1079" t="s">
        <v>1997</v>
      </c>
      <c r="F1079">
        <v>3</v>
      </c>
      <c r="G1079">
        <v>1</v>
      </c>
      <c r="H1079" s="1296">
        <v>3</v>
      </c>
      <c r="I1079" t="str">
        <f t="shared" si="16"/>
        <v>-</v>
      </c>
    </row>
    <row r="1080" spans="1:9" x14ac:dyDescent="0.25">
      <c r="A1080">
        <v>11446</v>
      </c>
      <c r="B1080" t="s">
        <v>518</v>
      </c>
      <c r="C1080" t="s">
        <v>1407</v>
      </c>
      <c r="D1080" t="s">
        <v>1998</v>
      </c>
      <c r="F1080">
        <v>20</v>
      </c>
      <c r="G1080">
        <v>1</v>
      </c>
      <c r="H1080" s="1296">
        <v>20</v>
      </c>
      <c r="I1080" t="str">
        <f t="shared" si="16"/>
        <v>-</v>
      </c>
    </row>
    <row r="1081" spans="1:9" x14ac:dyDescent="0.25">
      <c r="A1081">
        <v>11447</v>
      </c>
      <c r="B1081" t="s">
        <v>518</v>
      </c>
      <c r="C1081" t="s">
        <v>1407</v>
      </c>
      <c r="D1081" t="s">
        <v>1999</v>
      </c>
      <c r="F1081">
        <v>20</v>
      </c>
      <c r="G1081">
        <v>1</v>
      </c>
      <c r="H1081" s="1296">
        <v>20</v>
      </c>
      <c r="I1081" t="str">
        <f t="shared" si="16"/>
        <v>-</v>
      </c>
    </row>
    <row r="1082" spans="1:9" x14ac:dyDescent="0.25">
      <c r="A1082">
        <v>11448</v>
      </c>
      <c r="B1082" t="s">
        <v>518</v>
      </c>
      <c r="C1082" t="s">
        <v>1407</v>
      </c>
      <c r="D1082" t="s">
        <v>15</v>
      </c>
      <c r="F1082">
        <v>2</v>
      </c>
      <c r="G1082">
        <v>1</v>
      </c>
      <c r="H1082" s="1296">
        <v>2</v>
      </c>
      <c r="I1082" t="str">
        <f t="shared" si="16"/>
        <v>-</v>
      </c>
    </row>
    <row r="1083" spans="1:9" x14ac:dyDescent="0.25">
      <c r="A1083">
        <v>11449</v>
      </c>
      <c r="B1083" t="s">
        <v>518</v>
      </c>
      <c r="C1083" t="s">
        <v>1407</v>
      </c>
      <c r="D1083" t="s">
        <v>2000</v>
      </c>
      <c r="F1083">
        <v>2</v>
      </c>
      <c r="G1083">
        <v>1</v>
      </c>
      <c r="H1083" s="1296">
        <v>2</v>
      </c>
      <c r="I1083" t="str">
        <f t="shared" si="16"/>
        <v>-</v>
      </c>
    </row>
    <row r="1084" spans="1:9" x14ac:dyDescent="0.25">
      <c r="A1084">
        <v>11450</v>
      </c>
      <c r="B1084" t="s">
        <v>518</v>
      </c>
      <c r="C1084" t="s">
        <v>1407</v>
      </c>
      <c r="D1084" t="s">
        <v>2002</v>
      </c>
      <c r="F1084">
        <v>3</v>
      </c>
      <c r="G1084">
        <v>1</v>
      </c>
      <c r="H1084" s="1296">
        <v>3</v>
      </c>
      <c r="I1084" t="str">
        <f t="shared" si="16"/>
        <v>-</v>
      </c>
    </row>
    <row r="1085" spans="1:9" x14ac:dyDescent="0.25">
      <c r="A1085">
        <v>11451</v>
      </c>
      <c r="B1085" t="s">
        <v>518</v>
      </c>
      <c r="C1085" t="s">
        <v>1407</v>
      </c>
      <c r="D1085" t="s">
        <v>2003</v>
      </c>
      <c r="F1085">
        <v>1</v>
      </c>
      <c r="G1085">
        <v>1</v>
      </c>
      <c r="H1085" s="1296">
        <v>1</v>
      </c>
      <c r="I1085" t="str">
        <f t="shared" si="16"/>
        <v>-</v>
      </c>
    </row>
    <row r="1086" spans="1:9" x14ac:dyDescent="0.25">
      <c r="A1086">
        <v>11452</v>
      </c>
      <c r="B1086" t="s">
        <v>518</v>
      </c>
      <c r="C1086" t="s">
        <v>1407</v>
      </c>
      <c r="D1086" t="s">
        <v>1545</v>
      </c>
      <c r="F1086">
        <v>1</v>
      </c>
      <c r="G1086">
        <v>1</v>
      </c>
      <c r="H1086" s="1296">
        <v>1</v>
      </c>
      <c r="I1086" t="str">
        <f t="shared" si="16"/>
        <v>-</v>
      </c>
    </row>
    <row r="1087" spans="1:9" x14ac:dyDescent="0.25">
      <c r="A1087">
        <v>11453</v>
      </c>
      <c r="B1087" t="s">
        <v>518</v>
      </c>
      <c r="C1087" t="s">
        <v>1407</v>
      </c>
      <c r="D1087" t="s">
        <v>2004</v>
      </c>
      <c r="F1087">
        <v>5</v>
      </c>
      <c r="G1087">
        <v>1</v>
      </c>
      <c r="H1087" s="1296">
        <v>5</v>
      </c>
      <c r="I1087" t="str">
        <f t="shared" si="16"/>
        <v>-</v>
      </c>
    </row>
    <row r="1088" spans="1:9" x14ac:dyDescent="0.25">
      <c r="A1088">
        <v>11479</v>
      </c>
      <c r="B1088" t="s">
        <v>518</v>
      </c>
      <c r="C1088" t="s">
        <v>2010</v>
      </c>
      <c r="D1088" t="s">
        <v>2011</v>
      </c>
      <c r="F1088">
        <v>1</v>
      </c>
      <c r="G1088">
        <v>10</v>
      </c>
      <c r="H1088" s="1296">
        <v>10</v>
      </c>
      <c r="I1088" t="str">
        <f t="shared" si="16"/>
        <v>-</v>
      </c>
    </row>
    <row r="1089" spans="1:9" x14ac:dyDescent="0.25">
      <c r="A1089">
        <v>11481</v>
      </c>
      <c r="B1089" t="s">
        <v>518</v>
      </c>
      <c r="C1089" t="s">
        <v>2010</v>
      </c>
      <c r="D1089" t="s">
        <v>2011</v>
      </c>
      <c r="F1089">
        <v>6</v>
      </c>
      <c r="G1089">
        <v>10</v>
      </c>
      <c r="H1089" s="1296">
        <v>60</v>
      </c>
      <c r="I1089" t="str">
        <f t="shared" si="16"/>
        <v>-</v>
      </c>
    </row>
    <row r="1090" spans="1:9" x14ac:dyDescent="0.25">
      <c r="A1090">
        <v>11482</v>
      </c>
      <c r="B1090" t="s">
        <v>518</v>
      </c>
      <c r="C1090" t="s">
        <v>2010</v>
      </c>
      <c r="D1090" t="s">
        <v>1664</v>
      </c>
      <c r="F1090">
        <v>17</v>
      </c>
      <c r="G1090">
        <v>10</v>
      </c>
      <c r="H1090" s="1296">
        <v>170</v>
      </c>
      <c r="I1090" t="str">
        <f t="shared" ref="I1090:I1153" si="17">INDEX($N$2:$N$355,MATCH($A1090,$L$2:$L$355,1))</f>
        <v>-</v>
      </c>
    </row>
    <row r="1091" spans="1:9" x14ac:dyDescent="0.25">
      <c r="A1091">
        <v>11483</v>
      </c>
      <c r="B1091" t="s">
        <v>518</v>
      </c>
      <c r="C1091" t="s">
        <v>2010</v>
      </c>
      <c r="D1091" t="s">
        <v>1664</v>
      </c>
      <c r="F1091">
        <v>1</v>
      </c>
      <c r="G1091">
        <v>9</v>
      </c>
      <c r="H1091" s="1296">
        <v>9</v>
      </c>
      <c r="I1091" t="str">
        <f t="shared" si="17"/>
        <v>-</v>
      </c>
    </row>
    <row r="1092" spans="1:9" x14ac:dyDescent="0.25">
      <c r="A1092">
        <v>11484</v>
      </c>
      <c r="B1092" t="s">
        <v>518</v>
      </c>
      <c r="C1092" t="s">
        <v>2010</v>
      </c>
      <c r="D1092" t="s">
        <v>2014</v>
      </c>
      <c r="F1092">
        <v>4</v>
      </c>
      <c r="G1092">
        <v>10</v>
      </c>
      <c r="H1092" s="1296">
        <v>40</v>
      </c>
      <c r="I1092" t="str">
        <f t="shared" si="17"/>
        <v>-</v>
      </c>
    </row>
    <row r="1093" spans="1:9" x14ac:dyDescent="0.25">
      <c r="A1093">
        <v>11485</v>
      </c>
      <c r="B1093" t="s">
        <v>518</v>
      </c>
      <c r="C1093" t="s">
        <v>2010</v>
      </c>
      <c r="D1093" t="s">
        <v>2014</v>
      </c>
      <c r="F1093">
        <v>1</v>
      </c>
      <c r="G1093">
        <v>7</v>
      </c>
      <c r="H1093" s="1296">
        <v>7</v>
      </c>
      <c r="I1093" t="str">
        <f t="shared" si="17"/>
        <v>-</v>
      </c>
    </row>
    <row r="1094" spans="1:9" x14ac:dyDescent="0.25">
      <c r="A1094">
        <v>11524</v>
      </c>
      <c r="B1094" t="s">
        <v>1096</v>
      </c>
      <c r="C1094" t="s">
        <v>2015</v>
      </c>
      <c r="D1094" t="s">
        <v>15</v>
      </c>
      <c r="F1094">
        <v>5</v>
      </c>
      <c r="G1094">
        <v>1</v>
      </c>
      <c r="H1094" s="1296">
        <v>5</v>
      </c>
      <c r="I1094" t="str">
        <f t="shared" si="17"/>
        <v>-</v>
      </c>
    </row>
    <row r="1095" spans="1:9" x14ac:dyDescent="0.25">
      <c r="A1095">
        <v>11571</v>
      </c>
      <c r="B1095" t="s">
        <v>1099</v>
      </c>
      <c r="C1095" t="s">
        <v>2016</v>
      </c>
      <c r="D1095" t="s">
        <v>2018</v>
      </c>
      <c r="F1095">
        <v>2</v>
      </c>
      <c r="G1095">
        <v>10</v>
      </c>
      <c r="H1095" s="1296">
        <v>20</v>
      </c>
      <c r="I1095" t="str">
        <f t="shared" si="17"/>
        <v>-</v>
      </c>
    </row>
    <row r="1096" spans="1:9" x14ac:dyDescent="0.25">
      <c r="A1096">
        <v>11574</v>
      </c>
      <c r="B1096" t="s">
        <v>1099</v>
      </c>
      <c r="C1096" t="s">
        <v>2016</v>
      </c>
      <c r="D1096" t="s">
        <v>2020</v>
      </c>
      <c r="F1096">
        <v>14</v>
      </c>
      <c r="G1096">
        <v>10</v>
      </c>
      <c r="H1096" s="1296">
        <v>140</v>
      </c>
      <c r="I1096" t="str">
        <f t="shared" si="17"/>
        <v>-</v>
      </c>
    </row>
    <row r="1097" spans="1:9" x14ac:dyDescent="0.25">
      <c r="A1097">
        <v>11576</v>
      </c>
      <c r="B1097" t="s">
        <v>1099</v>
      </c>
      <c r="C1097" t="s">
        <v>2016</v>
      </c>
      <c r="D1097" t="s">
        <v>2021</v>
      </c>
      <c r="F1097">
        <v>20</v>
      </c>
      <c r="G1097">
        <v>5</v>
      </c>
      <c r="H1097" s="1296">
        <v>100</v>
      </c>
      <c r="I1097" t="str">
        <f t="shared" si="17"/>
        <v>-</v>
      </c>
    </row>
    <row r="1098" spans="1:9" x14ac:dyDescent="0.25">
      <c r="A1098">
        <v>11577</v>
      </c>
      <c r="B1098" t="s">
        <v>1099</v>
      </c>
      <c r="C1098" t="s">
        <v>2016</v>
      </c>
      <c r="D1098" t="s">
        <v>2021</v>
      </c>
      <c r="F1098">
        <v>1</v>
      </c>
      <c r="G1098">
        <v>5</v>
      </c>
      <c r="H1098" s="1296">
        <v>5</v>
      </c>
      <c r="I1098" t="str">
        <f t="shared" si="17"/>
        <v>-</v>
      </c>
    </row>
    <row r="1099" spans="1:9" x14ac:dyDescent="0.25">
      <c r="A1099">
        <v>11578</v>
      </c>
      <c r="B1099" t="s">
        <v>1099</v>
      </c>
      <c r="C1099" t="s">
        <v>2016</v>
      </c>
      <c r="D1099" t="s">
        <v>2022</v>
      </c>
      <c r="F1099">
        <v>3</v>
      </c>
      <c r="G1099">
        <v>10</v>
      </c>
      <c r="H1099" s="1296">
        <v>30</v>
      </c>
      <c r="I1099" t="str">
        <f t="shared" si="17"/>
        <v>-</v>
      </c>
    </row>
    <row r="1100" spans="1:9" x14ac:dyDescent="0.25">
      <c r="A1100">
        <v>11617</v>
      </c>
      <c r="B1100" t="s">
        <v>1099</v>
      </c>
      <c r="C1100" t="s">
        <v>2023</v>
      </c>
      <c r="D1100" t="s">
        <v>2018</v>
      </c>
      <c r="F1100">
        <v>4</v>
      </c>
      <c r="G1100">
        <v>10</v>
      </c>
      <c r="H1100" s="1296">
        <v>40</v>
      </c>
      <c r="I1100" t="str">
        <f t="shared" si="17"/>
        <v>-</v>
      </c>
    </row>
    <row r="1101" spans="1:9" x14ac:dyDescent="0.25">
      <c r="A1101">
        <v>11665</v>
      </c>
      <c r="B1101" t="s">
        <v>1103</v>
      </c>
      <c r="C1101" t="s">
        <v>1470</v>
      </c>
      <c r="D1101" t="s">
        <v>60</v>
      </c>
      <c r="F1101">
        <v>4</v>
      </c>
      <c r="G1101">
        <v>25</v>
      </c>
      <c r="H1101" s="1296">
        <v>100</v>
      </c>
      <c r="I1101" t="str">
        <f t="shared" si="17"/>
        <v>-</v>
      </c>
    </row>
    <row r="1102" spans="1:9" x14ac:dyDescent="0.25">
      <c r="A1102">
        <v>11666</v>
      </c>
      <c r="B1102" t="s">
        <v>1103</v>
      </c>
      <c r="C1102" t="s">
        <v>1470</v>
      </c>
      <c r="D1102" t="s">
        <v>215</v>
      </c>
      <c r="F1102">
        <v>1</v>
      </c>
      <c r="G1102">
        <v>25</v>
      </c>
      <c r="H1102" s="1296">
        <v>25</v>
      </c>
      <c r="I1102" t="str">
        <f t="shared" si="17"/>
        <v>-</v>
      </c>
    </row>
    <row r="1103" spans="1:9" x14ac:dyDescent="0.25">
      <c r="A1103">
        <v>11667</v>
      </c>
      <c r="B1103" t="s">
        <v>1103</v>
      </c>
      <c r="C1103" t="s">
        <v>1470</v>
      </c>
      <c r="D1103" t="s">
        <v>215</v>
      </c>
      <c r="F1103">
        <v>1</v>
      </c>
      <c r="G1103">
        <v>25</v>
      </c>
      <c r="H1103" s="1296">
        <v>25</v>
      </c>
      <c r="I1103" t="str">
        <f t="shared" si="17"/>
        <v>-</v>
      </c>
    </row>
    <row r="1104" spans="1:9" x14ac:dyDescent="0.25">
      <c r="A1104">
        <v>11669</v>
      </c>
      <c r="B1104" t="s">
        <v>1103</v>
      </c>
      <c r="C1104" t="s">
        <v>1470</v>
      </c>
      <c r="D1104" t="s">
        <v>2026</v>
      </c>
      <c r="F1104">
        <v>1</v>
      </c>
      <c r="G1104">
        <v>5</v>
      </c>
      <c r="H1104" s="1296">
        <v>5</v>
      </c>
      <c r="I1104" t="str">
        <f t="shared" si="17"/>
        <v>-</v>
      </c>
    </row>
    <row r="1105" spans="1:9" x14ac:dyDescent="0.25">
      <c r="A1105">
        <v>11670</v>
      </c>
      <c r="B1105" t="s">
        <v>1103</v>
      </c>
      <c r="C1105" t="s">
        <v>1470</v>
      </c>
      <c r="D1105" t="s">
        <v>494</v>
      </c>
      <c r="F1105">
        <v>1</v>
      </c>
      <c r="G1105">
        <v>5</v>
      </c>
      <c r="H1105" s="1296">
        <v>5</v>
      </c>
      <c r="I1105" t="str">
        <f t="shared" si="17"/>
        <v>-</v>
      </c>
    </row>
    <row r="1106" spans="1:9" x14ac:dyDescent="0.25">
      <c r="A1106">
        <v>11671</v>
      </c>
      <c r="B1106" t="s">
        <v>1103</v>
      </c>
      <c r="C1106" t="s">
        <v>1470</v>
      </c>
      <c r="D1106" t="s">
        <v>144</v>
      </c>
      <c r="F1106">
        <v>1</v>
      </c>
      <c r="G1106">
        <v>5</v>
      </c>
      <c r="H1106" s="1296">
        <v>5</v>
      </c>
      <c r="I1106" t="str">
        <f t="shared" si="17"/>
        <v>-</v>
      </c>
    </row>
    <row r="1107" spans="1:9" x14ac:dyDescent="0.25">
      <c r="A1107">
        <v>11672</v>
      </c>
      <c r="B1107" t="s">
        <v>1103</v>
      </c>
      <c r="C1107" t="s">
        <v>1470</v>
      </c>
      <c r="D1107" t="s">
        <v>63</v>
      </c>
      <c r="F1107">
        <v>1</v>
      </c>
      <c r="G1107">
        <v>5</v>
      </c>
      <c r="H1107" s="1296">
        <v>5</v>
      </c>
      <c r="I1107" t="str">
        <f t="shared" si="17"/>
        <v>-</v>
      </c>
    </row>
    <row r="1108" spans="1:9" x14ac:dyDescent="0.25">
      <c r="A1108">
        <v>11673</v>
      </c>
      <c r="B1108" t="s">
        <v>1103</v>
      </c>
      <c r="C1108" t="s">
        <v>1470</v>
      </c>
      <c r="D1108" t="s">
        <v>139</v>
      </c>
      <c r="F1108">
        <v>1</v>
      </c>
      <c r="G1108">
        <v>5</v>
      </c>
      <c r="H1108" s="1296">
        <v>5</v>
      </c>
      <c r="I1108" t="str">
        <f t="shared" si="17"/>
        <v>-</v>
      </c>
    </row>
    <row r="1109" spans="1:9" x14ac:dyDescent="0.25">
      <c r="A1109">
        <v>11674</v>
      </c>
      <c r="B1109" t="s">
        <v>1103</v>
      </c>
      <c r="C1109" t="s">
        <v>1470</v>
      </c>
      <c r="D1109" t="s">
        <v>1298</v>
      </c>
      <c r="F1109">
        <v>1</v>
      </c>
      <c r="G1109">
        <v>5</v>
      </c>
      <c r="H1109" s="1296">
        <v>5</v>
      </c>
      <c r="I1109" t="str">
        <f t="shared" si="17"/>
        <v>-</v>
      </c>
    </row>
    <row r="1110" spans="1:9" x14ac:dyDescent="0.25">
      <c r="A1110">
        <v>11675</v>
      </c>
      <c r="B1110" t="s">
        <v>1103</v>
      </c>
      <c r="C1110" t="s">
        <v>1470</v>
      </c>
      <c r="D1110" t="s">
        <v>126</v>
      </c>
      <c r="F1110">
        <v>1</v>
      </c>
      <c r="G1110">
        <v>5</v>
      </c>
      <c r="H1110" s="1296">
        <v>5</v>
      </c>
      <c r="I1110" t="str">
        <f t="shared" si="17"/>
        <v>-</v>
      </c>
    </row>
    <row r="1111" spans="1:9" x14ac:dyDescent="0.25">
      <c r="A1111">
        <v>11676</v>
      </c>
      <c r="B1111" t="s">
        <v>1103</v>
      </c>
      <c r="C1111" t="s">
        <v>1470</v>
      </c>
      <c r="D1111" t="s">
        <v>618</v>
      </c>
      <c r="F1111">
        <v>1</v>
      </c>
      <c r="G1111">
        <v>5</v>
      </c>
      <c r="H1111" s="1296">
        <v>5</v>
      </c>
      <c r="I1111" t="str">
        <f t="shared" si="17"/>
        <v>-</v>
      </c>
    </row>
    <row r="1112" spans="1:9" x14ac:dyDescent="0.25">
      <c r="A1112">
        <v>11677</v>
      </c>
      <c r="B1112" t="s">
        <v>1103</v>
      </c>
      <c r="C1112" t="s">
        <v>1470</v>
      </c>
      <c r="D1112" t="s">
        <v>138</v>
      </c>
      <c r="F1112">
        <v>1</v>
      </c>
      <c r="G1112">
        <v>5</v>
      </c>
      <c r="H1112" s="1296">
        <v>5</v>
      </c>
      <c r="I1112" t="str">
        <f t="shared" si="17"/>
        <v>-</v>
      </c>
    </row>
    <row r="1113" spans="1:9" x14ac:dyDescent="0.25">
      <c r="A1113">
        <v>11678</v>
      </c>
      <c r="B1113" t="s">
        <v>1103</v>
      </c>
      <c r="C1113" t="s">
        <v>1470</v>
      </c>
      <c r="D1113" t="s">
        <v>39</v>
      </c>
      <c r="F1113">
        <v>1</v>
      </c>
      <c r="G1113">
        <v>5</v>
      </c>
      <c r="H1113" s="1296">
        <v>5</v>
      </c>
      <c r="I1113" t="str">
        <f t="shared" si="17"/>
        <v>-</v>
      </c>
    </row>
    <row r="1114" spans="1:9" x14ac:dyDescent="0.25">
      <c r="A1114">
        <v>11679</v>
      </c>
      <c r="B1114" t="s">
        <v>1103</v>
      </c>
      <c r="C1114" t="s">
        <v>1470</v>
      </c>
      <c r="D1114" t="s">
        <v>52</v>
      </c>
      <c r="F1114">
        <v>1</v>
      </c>
      <c r="G1114">
        <v>5</v>
      </c>
      <c r="H1114" s="1296">
        <v>5</v>
      </c>
      <c r="I1114" t="str">
        <f t="shared" si="17"/>
        <v>-</v>
      </c>
    </row>
    <row r="1115" spans="1:9" x14ac:dyDescent="0.25">
      <c r="A1115">
        <v>11680</v>
      </c>
      <c r="B1115" t="s">
        <v>1103</v>
      </c>
      <c r="C1115" t="s">
        <v>1470</v>
      </c>
      <c r="D1115" t="s">
        <v>815</v>
      </c>
      <c r="F1115">
        <v>3</v>
      </c>
      <c r="G1115">
        <v>5</v>
      </c>
      <c r="H1115" s="1296">
        <v>15</v>
      </c>
      <c r="I1115" t="str">
        <f t="shared" si="17"/>
        <v>-</v>
      </c>
    </row>
    <row r="1116" spans="1:9" x14ac:dyDescent="0.25">
      <c r="A1116">
        <v>11681</v>
      </c>
      <c r="B1116" t="s">
        <v>1103</v>
      </c>
      <c r="C1116" t="s">
        <v>1470</v>
      </c>
      <c r="D1116" t="s">
        <v>125</v>
      </c>
      <c r="F1116">
        <v>1</v>
      </c>
      <c r="G1116">
        <v>5</v>
      </c>
      <c r="H1116" s="1296">
        <v>5</v>
      </c>
      <c r="I1116" t="str">
        <f t="shared" si="17"/>
        <v>-</v>
      </c>
    </row>
    <row r="1117" spans="1:9" x14ac:dyDescent="0.25">
      <c r="A1117">
        <v>11682</v>
      </c>
      <c r="B1117" t="s">
        <v>1103</v>
      </c>
      <c r="C1117" t="s">
        <v>1470</v>
      </c>
      <c r="D1117" t="s">
        <v>129</v>
      </c>
      <c r="F1117">
        <v>1</v>
      </c>
      <c r="G1117">
        <v>5</v>
      </c>
      <c r="H1117" s="1296">
        <v>5</v>
      </c>
      <c r="I1117" t="str">
        <f t="shared" si="17"/>
        <v>-</v>
      </c>
    </row>
    <row r="1118" spans="1:9" x14ac:dyDescent="0.25">
      <c r="A1118">
        <v>11683</v>
      </c>
      <c r="B1118" t="s">
        <v>1103</v>
      </c>
      <c r="C1118" t="s">
        <v>1470</v>
      </c>
      <c r="D1118" t="s">
        <v>1334</v>
      </c>
      <c r="F1118">
        <v>4</v>
      </c>
      <c r="G1118">
        <v>5</v>
      </c>
      <c r="H1118" s="1296">
        <v>20</v>
      </c>
      <c r="I1118" t="str">
        <f t="shared" si="17"/>
        <v>-</v>
      </c>
    </row>
    <row r="1119" spans="1:9" x14ac:dyDescent="0.25">
      <c r="A1119">
        <v>11684</v>
      </c>
      <c r="B1119" t="s">
        <v>1103</v>
      </c>
      <c r="C1119" t="s">
        <v>1470</v>
      </c>
      <c r="D1119" t="s">
        <v>1334</v>
      </c>
      <c r="F1119">
        <v>1</v>
      </c>
      <c r="G1119">
        <v>5</v>
      </c>
      <c r="H1119" s="1296">
        <v>5</v>
      </c>
      <c r="I1119" t="str">
        <f t="shared" si="17"/>
        <v>-</v>
      </c>
    </row>
    <row r="1120" spans="1:9" x14ac:dyDescent="0.25">
      <c r="A1120">
        <v>11686</v>
      </c>
      <c r="B1120" t="s">
        <v>1103</v>
      </c>
      <c r="C1120" t="s">
        <v>1470</v>
      </c>
      <c r="D1120" t="s">
        <v>120</v>
      </c>
      <c r="F1120">
        <v>1</v>
      </c>
      <c r="G1120">
        <v>5</v>
      </c>
      <c r="H1120" s="1296">
        <v>5</v>
      </c>
      <c r="I1120" t="str">
        <f t="shared" si="17"/>
        <v>-</v>
      </c>
    </row>
    <row r="1121" spans="1:9" x14ac:dyDescent="0.25">
      <c r="A1121">
        <v>11712</v>
      </c>
      <c r="B1121" t="s">
        <v>1103</v>
      </c>
      <c r="C1121" t="s">
        <v>1470</v>
      </c>
      <c r="D1121" t="s">
        <v>2028</v>
      </c>
      <c r="F1121">
        <v>1</v>
      </c>
      <c r="G1121">
        <v>10</v>
      </c>
      <c r="H1121" s="1296">
        <v>10</v>
      </c>
      <c r="I1121" t="str">
        <f t="shared" si="17"/>
        <v>-</v>
      </c>
    </row>
    <row r="1122" spans="1:9" x14ac:dyDescent="0.25">
      <c r="A1122">
        <v>11713</v>
      </c>
      <c r="B1122" t="s">
        <v>1103</v>
      </c>
      <c r="C1122" t="s">
        <v>1470</v>
      </c>
      <c r="D1122" t="s">
        <v>2029</v>
      </c>
      <c r="F1122">
        <v>2</v>
      </c>
      <c r="G1122">
        <v>10</v>
      </c>
      <c r="H1122" s="1296">
        <v>20</v>
      </c>
      <c r="I1122" t="str">
        <f t="shared" si="17"/>
        <v>-</v>
      </c>
    </row>
    <row r="1123" spans="1:9" x14ac:dyDescent="0.25">
      <c r="A1123">
        <v>11714</v>
      </c>
      <c r="B1123" t="s">
        <v>1103</v>
      </c>
      <c r="C1123" t="s">
        <v>1470</v>
      </c>
      <c r="D1123" t="s">
        <v>2030</v>
      </c>
      <c r="F1123">
        <v>1</v>
      </c>
      <c r="G1123">
        <v>10</v>
      </c>
      <c r="H1123" s="1296">
        <v>10</v>
      </c>
      <c r="I1123" t="str">
        <f t="shared" si="17"/>
        <v>-</v>
      </c>
    </row>
    <row r="1124" spans="1:9" x14ac:dyDescent="0.25">
      <c r="A1124">
        <v>11715</v>
      </c>
      <c r="B1124" t="s">
        <v>1103</v>
      </c>
      <c r="C1124" t="s">
        <v>1470</v>
      </c>
      <c r="D1124" t="s">
        <v>2031</v>
      </c>
      <c r="F1124">
        <v>1</v>
      </c>
      <c r="G1124">
        <v>10</v>
      </c>
      <c r="H1124" s="1296">
        <v>10</v>
      </c>
      <c r="I1124" t="str">
        <f t="shared" si="17"/>
        <v>-</v>
      </c>
    </row>
    <row r="1125" spans="1:9" x14ac:dyDescent="0.25">
      <c r="A1125">
        <v>11716</v>
      </c>
      <c r="B1125" t="s">
        <v>1103</v>
      </c>
      <c r="C1125" t="s">
        <v>1470</v>
      </c>
      <c r="D1125" t="s">
        <v>2032</v>
      </c>
      <c r="F1125">
        <v>1</v>
      </c>
      <c r="G1125">
        <v>10</v>
      </c>
      <c r="H1125" s="1296">
        <v>10</v>
      </c>
      <c r="I1125" t="str">
        <f t="shared" si="17"/>
        <v>-</v>
      </c>
    </row>
    <row r="1126" spans="1:9" x14ac:dyDescent="0.25">
      <c r="A1126">
        <v>11719</v>
      </c>
      <c r="B1126" t="s">
        <v>1103</v>
      </c>
      <c r="C1126" t="s">
        <v>1470</v>
      </c>
      <c r="D1126" t="s">
        <v>2033</v>
      </c>
      <c r="F1126">
        <v>1</v>
      </c>
      <c r="G1126">
        <v>10</v>
      </c>
      <c r="H1126" s="1296">
        <v>10</v>
      </c>
      <c r="I1126" t="str">
        <f t="shared" si="17"/>
        <v>-</v>
      </c>
    </row>
    <row r="1127" spans="1:9" x14ac:dyDescent="0.25">
      <c r="A1127">
        <v>11720</v>
      </c>
      <c r="B1127" t="s">
        <v>1103</v>
      </c>
      <c r="C1127" t="s">
        <v>1470</v>
      </c>
      <c r="D1127" t="s">
        <v>2034</v>
      </c>
      <c r="F1127">
        <v>1</v>
      </c>
      <c r="G1127">
        <v>10</v>
      </c>
      <c r="H1127" s="1296">
        <v>10</v>
      </c>
      <c r="I1127" t="str">
        <f t="shared" si="17"/>
        <v>-</v>
      </c>
    </row>
    <row r="1128" spans="1:9" x14ac:dyDescent="0.25">
      <c r="A1128">
        <v>11722</v>
      </c>
      <c r="B1128" t="s">
        <v>1103</v>
      </c>
      <c r="C1128" t="s">
        <v>1470</v>
      </c>
      <c r="D1128" t="s">
        <v>301</v>
      </c>
      <c r="E1128" t="s">
        <v>363</v>
      </c>
      <c r="F1128">
        <v>1</v>
      </c>
      <c r="G1128">
        <v>6</v>
      </c>
      <c r="H1128" s="1296">
        <v>6</v>
      </c>
      <c r="I1128" t="str">
        <f t="shared" si="17"/>
        <v>-</v>
      </c>
    </row>
    <row r="1129" spans="1:9" x14ac:dyDescent="0.25">
      <c r="A1129">
        <v>11723</v>
      </c>
      <c r="B1129" t="s">
        <v>1103</v>
      </c>
      <c r="C1129" t="s">
        <v>1470</v>
      </c>
      <c r="D1129" t="s">
        <v>199</v>
      </c>
      <c r="E1129" t="s">
        <v>369</v>
      </c>
      <c r="F1129">
        <v>2</v>
      </c>
      <c r="G1129">
        <v>6</v>
      </c>
      <c r="H1129" s="1296">
        <v>12</v>
      </c>
      <c r="I1129" t="str">
        <f t="shared" si="17"/>
        <v>-</v>
      </c>
    </row>
    <row r="1130" spans="1:9" x14ac:dyDescent="0.25">
      <c r="A1130">
        <v>11724</v>
      </c>
      <c r="B1130" t="s">
        <v>1103</v>
      </c>
      <c r="C1130" t="s">
        <v>1470</v>
      </c>
      <c r="D1130" t="s">
        <v>1301</v>
      </c>
      <c r="E1130" t="s">
        <v>372</v>
      </c>
      <c r="F1130">
        <v>2</v>
      </c>
      <c r="G1130">
        <v>6</v>
      </c>
      <c r="H1130" s="1296">
        <v>12</v>
      </c>
      <c r="I1130" t="str">
        <f t="shared" si="17"/>
        <v>-</v>
      </c>
    </row>
    <row r="1131" spans="1:9" x14ac:dyDescent="0.25">
      <c r="A1131">
        <v>11725</v>
      </c>
      <c r="B1131" t="s">
        <v>1103</v>
      </c>
      <c r="C1131" t="s">
        <v>1470</v>
      </c>
      <c r="D1131" t="s">
        <v>213</v>
      </c>
      <c r="E1131" t="s">
        <v>384</v>
      </c>
      <c r="F1131">
        <v>1</v>
      </c>
      <c r="G1131">
        <v>6</v>
      </c>
      <c r="H1131" s="1296">
        <v>6</v>
      </c>
      <c r="I1131" t="str">
        <f t="shared" si="17"/>
        <v>-</v>
      </c>
    </row>
    <row r="1132" spans="1:9" x14ac:dyDescent="0.25">
      <c r="A1132">
        <v>11755</v>
      </c>
      <c r="B1132" t="s">
        <v>1105</v>
      </c>
      <c r="C1132" t="s">
        <v>1379</v>
      </c>
      <c r="D1132">
        <v>505</v>
      </c>
      <c r="F1132">
        <v>3</v>
      </c>
      <c r="G1132">
        <v>4</v>
      </c>
      <c r="H1132" s="1296">
        <v>12</v>
      </c>
      <c r="I1132" t="str">
        <f t="shared" si="17"/>
        <v>-</v>
      </c>
    </row>
    <row r="1133" spans="1:9" x14ac:dyDescent="0.25">
      <c r="A1133">
        <v>11756</v>
      </c>
      <c r="B1133" t="s">
        <v>1105</v>
      </c>
      <c r="C1133" t="s">
        <v>1379</v>
      </c>
      <c r="D1133">
        <v>507</v>
      </c>
      <c r="F1133">
        <v>21</v>
      </c>
      <c r="G1133">
        <v>4</v>
      </c>
      <c r="H1133" s="1296">
        <v>84</v>
      </c>
      <c r="I1133" t="str">
        <f t="shared" si="17"/>
        <v>-</v>
      </c>
    </row>
    <row r="1134" spans="1:9" x14ac:dyDescent="0.25">
      <c r="A1134">
        <v>11757</v>
      </c>
      <c r="B1134" t="s">
        <v>1105</v>
      </c>
      <c r="C1134" t="s">
        <v>1379</v>
      </c>
      <c r="D1134">
        <v>508</v>
      </c>
      <c r="F1134">
        <v>1</v>
      </c>
      <c r="G1134">
        <v>4</v>
      </c>
      <c r="H1134" s="1296">
        <v>4</v>
      </c>
      <c r="I1134" t="str">
        <f t="shared" si="17"/>
        <v>-</v>
      </c>
    </row>
    <row r="1135" spans="1:9" x14ac:dyDescent="0.25">
      <c r="A1135">
        <v>11758</v>
      </c>
      <c r="B1135" t="s">
        <v>1105</v>
      </c>
      <c r="C1135" t="s">
        <v>1379</v>
      </c>
      <c r="D1135">
        <v>508</v>
      </c>
      <c r="F1135">
        <v>1</v>
      </c>
      <c r="G1135">
        <v>3</v>
      </c>
      <c r="H1135" s="1296">
        <v>3</v>
      </c>
      <c r="I1135" t="str">
        <f t="shared" si="17"/>
        <v>-</v>
      </c>
    </row>
    <row r="1136" spans="1:9" x14ac:dyDescent="0.25">
      <c r="A1136">
        <v>11759</v>
      </c>
      <c r="B1136" t="s">
        <v>1105</v>
      </c>
      <c r="C1136" t="s">
        <v>1379</v>
      </c>
      <c r="D1136">
        <v>507</v>
      </c>
      <c r="F1136">
        <v>1</v>
      </c>
      <c r="G1136">
        <v>1</v>
      </c>
      <c r="H1136" s="1296">
        <v>1</v>
      </c>
      <c r="I1136" t="str">
        <f t="shared" si="17"/>
        <v>-</v>
      </c>
    </row>
    <row r="1137" spans="1:9" x14ac:dyDescent="0.25">
      <c r="A1137">
        <v>11760</v>
      </c>
      <c r="B1137" t="s">
        <v>1105</v>
      </c>
      <c r="C1137" t="s">
        <v>1379</v>
      </c>
      <c r="D1137">
        <v>510</v>
      </c>
      <c r="F1137">
        <v>6</v>
      </c>
      <c r="G1137">
        <v>4</v>
      </c>
      <c r="H1137" s="1296">
        <v>24</v>
      </c>
      <c r="I1137" t="str">
        <f t="shared" si="17"/>
        <v>-</v>
      </c>
    </row>
    <row r="1138" spans="1:9" x14ac:dyDescent="0.25">
      <c r="A1138">
        <v>11761</v>
      </c>
      <c r="B1138" t="s">
        <v>1105</v>
      </c>
      <c r="C1138" t="s">
        <v>1379</v>
      </c>
      <c r="D1138">
        <v>510</v>
      </c>
      <c r="F1138">
        <v>1</v>
      </c>
      <c r="G1138">
        <v>1</v>
      </c>
      <c r="H1138" s="1296">
        <v>1</v>
      </c>
      <c r="I1138" t="str">
        <f t="shared" si="17"/>
        <v>-</v>
      </c>
    </row>
    <row r="1139" spans="1:9" x14ac:dyDescent="0.25">
      <c r="A1139">
        <v>11763</v>
      </c>
      <c r="B1139" t="s">
        <v>1105</v>
      </c>
      <c r="C1139" t="s">
        <v>1379</v>
      </c>
      <c r="D1139" t="s">
        <v>2035</v>
      </c>
      <c r="E1139" t="s">
        <v>391</v>
      </c>
      <c r="F1139">
        <v>7</v>
      </c>
      <c r="G1139">
        <v>6</v>
      </c>
      <c r="H1139" s="1296">
        <v>42</v>
      </c>
      <c r="I1139" t="str">
        <f t="shared" si="17"/>
        <v>-</v>
      </c>
    </row>
    <row r="1140" spans="1:9" x14ac:dyDescent="0.25">
      <c r="A1140">
        <v>11764</v>
      </c>
      <c r="B1140" t="s">
        <v>1105</v>
      </c>
      <c r="C1140" t="s">
        <v>1379</v>
      </c>
      <c r="D1140" t="s">
        <v>2035</v>
      </c>
      <c r="E1140" t="s">
        <v>391</v>
      </c>
      <c r="F1140">
        <v>1</v>
      </c>
      <c r="G1140">
        <v>6</v>
      </c>
      <c r="H1140" s="1296">
        <v>6</v>
      </c>
      <c r="I1140" t="str">
        <f t="shared" si="17"/>
        <v>-</v>
      </c>
    </row>
    <row r="1141" spans="1:9" x14ac:dyDescent="0.25">
      <c r="A1141">
        <v>11767</v>
      </c>
      <c r="B1141" t="s">
        <v>1105</v>
      </c>
      <c r="C1141" t="s">
        <v>1379</v>
      </c>
      <c r="D1141" t="s">
        <v>2036</v>
      </c>
      <c r="E1141" t="s">
        <v>16</v>
      </c>
      <c r="F1141">
        <v>1</v>
      </c>
      <c r="G1141">
        <v>5</v>
      </c>
      <c r="H1141" s="1296">
        <v>5</v>
      </c>
      <c r="I1141" t="str">
        <f t="shared" si="17"/>
        <v>-</v>
      </c>
    </row>
    <row r="1142" spans="1:9" x14ac:dyDescent="0.25">
      <c r="A1142">
        <v>11802</v>
      </c>
      <c r="B1142" t="s">
        <v>1105</v>
      </c>
      <c r="C1142" t="s">
        <v>2037</v>
      </c>
      <c r="D1142">
        <v>507</v>
      </c>
      <c r="F1142">
        <v>16</v>
      </c>
      <c r="G1142">
        <v>4</v>
      </c>
      <c r="H1142" s="1296">
        <v>64</v>
      </c>
      <c r="I1142" t="str">
        <f t="shared" si="17"/>
        <v>-</v>
      </c>
    </row>
    <row r="1143" spans="1:9" x14ac:dyDescent="0.25">
      <c r="A1143">
        <v>11803</v>
      </c>
      <c r="B1143" t="s">
        <v>1105</v>
      </c>
      <c r="C1143" t="s">
        <v>2037</v>
      </c>
      <c r="D1143">
        <v>508</v>
      </c>
      <c r="F1143">
        <v>34</v>
      </c>
      <c r="G1143">
        <v>4</v>
      </c>
      <c r="H1143" s="1296">
        <v>136</v>
      </c>
      <c r="I1143" t="str">
        <f t="shared" si="17"/>
        <v>-</v>
      </c>
    </row>
    <row r="1144" spans="1:9" x14ac:dyDescent="0.25">
      <c r="A1144">
        <v>11804</v>
      </c>
      <c r="B1144" t="s">
        <v>1105</v>
      </c>
      <c r="C1144" t="s">
        <v>2037</v>
      </c>
      <c r="D1144">
        <v>508</v>
      </c>
      <c r="F1144">
        <v>2</v>
      </c>
      <c r="G1144">
        <v>4</v>
      </c>
      <c r="H1144" s="1296">
        <v>8</v>
      </c>
      <c r="I1144" t="str">
        <f t="shared" si="17"/>
        <v>-</v>
      </c>
    </row>
    <row r="1145" spans="1:9" x14ac:dyDescent="0.25">
      <c r="A1145">
        <v>11847</v>
      </c>
      <c r="B1145" t="s">
        <v>1105</v>
      </c>
      <c r="C1145" t="s">
        <v>1380</v>
      </c>
      <c r="D1145">
        <v>505</v>
      </c>
      <c r="F1145">
        <v>1</v>
      </c>
      <c r="G1145">
        <v>4</v>
      </c>
      <c r="H1145" s="1296">
        <v>4</v>
      </c>
      <c r="I1145" t="str">
        <f t="shared" si="17"/>
        <v>-</v>
      </c>
    </row>
    <row r="1146" spans="1:9" x14ac:dyDescent="0.25">
      <c r="A1146">
        <v>11848</v>
      </c>
      <c r="B1146" t="s">
        <v>1105</v>
      </c>
      <c r="C1146" t="s">
        <v>1380</v>
      </c>
      <c r="D1146">
        <v>505</v>
      </c>
      <c r="F1146">
        <v>1</v>
      </c>
      <c r="G1146">
        <v>2</v>
      </c>
      <c r="H1146" s="1296">
        <v>2</v>
      </c>
      <c r="I1146" t="str">
        <f t="shared" si="17"/>
        <v>-</v>
      </c>
    </row>
    <row r="1147" spans="1:9" x14ac:dyDescent="0.25">
      <c r="A1147">
        <v>11850</v>
      </c>
      <c r="B1147" t="s">
        <v>1105</v>
      </c>
      <c r="C1147" t="s">
        <v>1380</v>
      </c>
      <c r="D1147">
        <v>507</v>
      </c>
      <c r="F1147">
        <v>11</v>
      </c>
      <c r="G1147">
        <v>4</v>
      </c>
      <c r="H1147" s="1296">
        <v>44</v>
      </c>
      <c r="I1147" t="str">
        <f t="shared" si="17"/>
        <v>-</v>
      </c>
    </row>
    <row r="1148" spans="1:9" x14ac:dyDescent="0.25">
      <c r="A1148">
        <v>11851</v>
      </c>
      <c r="B1148" t="s">
        <v>1105</v>
      </c>
      <c r="C1148" t="s">
        <v>1380</v>
      </c>
      <c r="D1148">
        <v>507</v>
      </c>
      <c r="F1148">
        <v>2</v>
      </c>
      <c r="G1148">
        <v>1</v>
      </c>
      <c r="H1148" s="1296">
        <v>2</v>
      </c>
      <c r="I1148" t="str">
        <f t="shared" si="17"/>
        <v>-</v>
      </c>
    </row>
    <row r="1149" spans="1:9" x14ac:dyDescent="0.25">
      <c r="A1149">
        <v>11853</v>
      </c>
      <c r="B1149" t="s">
        <v>1105</v>
      </c>
      <c r="C1149" t="s">
        <v>1380</v>
      </c>
      <c r="D1149" t="s">
        <v>239</v>
      </c>
      <c r="E1149" t="s">
        <v>2038</v>
      </c>
      <c r="F1149">
        <v>1</v>
      </c>
      <c r="G1149">
        <v>2</v>
      </c>
      <c r="H1149" s="1296">
        <v>2</v>
      </c>
      <c r="I1149" t="str">
        <f t="shared" si="17"/>
        <v>-</v>
      </c>
    </row>
    <row r="1150" spans="1:9" x14ac:dyDescent="0.25">
      <c r="A1150">
        <v>11939</v>
      </c>
      <c r="B1150" t="s">
        <v>1111</v>
      </c>
      <c r="C1150" t="s">
        <v>2040</v>
      </c>
      <c r="D1150" t="s">
        <v>1631</v>
      </c>
      <c r="F1150">
        <v>2</v>
      </c>
      <c r="G1150">
        <v>10</v>
      </c>
      <c r="H1150" s="1296">
        <v>20</v>
      </c>
      <c r="I1150" t="str">
        <f t="shared" si="17"/>
        <v>-</v>
      </c>
    </row>
    <row r="1151" spans="1:9" x14ac:dyDescent="0.25">
      <c r="A1151">
        <v>11941</v>
      </c>
      <c r="B1151" t="s">
        <v>1111</v>
      </c>
      <c r="C1151" t="s">
        <v>2040</v>
      </c>
      <c r="D1151" t="s">
        <v>537</v>
      </c>
      <c r="F1151">
        <v>2</v>
      </c>
      <c r="G1151">
        <v>2</v>
      </c>
      <c r="H1151" s="1296">
        <v>4</v>
      </c>
      <c r="I1151" t="str">
        <f t="shared" si="17"/>
        <v>-</v>
      </c>
    </row>
    <row r="1152" spans="1:9" x14ac:dyDescent="0.25">
      <c r="A1152">
        <v>12029</v>
      </c>
      <c r="B1152" t="s">
        <v>1114</v>
      </c>
      <c r="C1152" t="s">
        <v>1361</v>
      </c>
      <c r="D1152">
        <v>505</v>
      </c>
      <c r="F1152">
        <v>3</v>
      </c>
      <c r="G1152">
        <v>4</v>
      </c>
      <c r="H1152" s="1296">
        <v>12</v>
      </c>
      <c r="I1152" t="str">
        <f t="shared" si="17"/>
        <v>-</v>
      </c>
    </row>
    <row r="1153" spans="1:9" x14ac:dyDescent="0.25">
      <c r="A1153">
        <v>12030</v>
      </c>
      <c r="B1153" t="s">
        <v>1114</v>
      </c>
      <c r="C1153" t="s">
        <v>1361</v>
      </c>
      <c r="D1153">
        <v>507</v>
      </c>
      <c r="F1153">
        <v>43</v>
      </c>
      <c r="G1153">
        <v>4</v>
      </c>
      <c r="H1153" s="1296">
        <v>172</v>
      </c>
      <c r="I1153" t="str">
        <f t="shared" si="17"/>
        <v>-</v>
      </c>
    </row>
    <row r="1154" spans="1:9" x14ac:dyDescent="0.25">
      <c r="A1154">
        <v>12031</v>
      </c>
      <c r="B1154" t="s">
        <v>1114</v>
      </c>
      <c r="C1154" t="s">
        <v>1361</v>
      </c>
      <c r="D1154">
        <v>508</v>
      </c>
      <c r="F1154">
        <v>4</v>
      </c>
      <c r="G1154">
        <v>4</v>
      </c>
      <c r="H1154" s="1296">
        <v>16</v>
      </c>
      <c r="I1154" t="str">
        <f t="shared" ref="I1154:I1217" si="18">INDEX($N$2:$N$355,MATCH($A1154,$L$2:$L$355,1))</f>
        <v>-</v>
      </c>
    </row>
    <row r="1155" spans="1:9" x14ac:dyDescent="0.25">
      <c r="A1155">
        <v>12032</v>
      </c>
      <c r="B1155" t="s">
        <v>1114</v>
      </c>
      <c r="C1155" t="s">
        <v>1361</v>
      </c>
      <c r="D1155">
        <v>507</v>
      </c>
      <c r="F1155">
        <v>2</v>
      </c>
      <c r="G1155">
        <v>4</v>
      </c>
      <c r="H1155" s="1296">
        <v>8</v>
      </c>
      <c r="I1155" t="str">
        <f t="shared" si="18"/>
        <v>-</v>
      </c>
    </row>
    <row r="1156" spans="1:9" x14ac:dyDescent="0.25">
      <c r="A1156">
        <v>12075</v>
      </c>
      <c r="B1156" t="s">
        <v>1117</v>
      </c>
      <c r="C1156" t="s">
        <v>1915</v>
      </c>
      <c r="D1156" t="s">
        <v>191</v>
      </c>
      <c r="E1156" t="s">
        <v>362</v>
      </c>
      <c r="F1156">
        <v>4</v>
      </c>
      <c r="G1156">
        <v>6</v>
      </c>
      <c r="H1156" s="1296">
        <v>24</v>
      </c>
      <c r="I1156" t="str">
        <f t="shared" si="18"/>
        <v>-</v>
      </c>
    </row>
    <row r="1157" spans="1:9" x14ac:dyDescent="0.25">
      <c r="A1157">
        <v>12077</v>
      </c>
      <c r="B1157" t="s">
        <v>1117</v>
      </c>
      <c r="C1157" t="s">
        <v>1915</v>
      </c>
      <c r="D1157" t="s">
        <v>197</v>
      </c>
      <c r="E1157" t="s">
        <v>367</v>
      </c>
      <c r="F1157">
        <v>1</v>
      </c>
      <c r="G1157">
        <v>6</v>
      </c>
      <c r="H1157" s="1296">
        <v>6</v>
      </c>
      <c r="I1157" t="str">
        <f t="shared" si="18"/>
        <v>-</v>
      </c>
    </row>
    <row r="1158" spans="1:9" x14ac:dyDescent="0.25">
      <c r="A1158">
        <v>12078</v>
      </c>
      <c r="B1158" t="s">
        <v>1117</v>
      </c>
      <c r="C1158" t="s">
        <v>1915</v>
      </c>
      <c r="D1158" t="s">
        <v>143</v>
      </c>
      <c r="E1158" t="s">
        <v>374</v>
      </c>
      <c r="F1158">
        <v>2</v>
      </c>
      <c r="G1158">
        <v>6</v>
      </c>
      <c r="H1158" s="1296">
        <v>12</v>
      </c>
      <c r="I1158" t="str">
        <f t="shared" si="18"/>
        <v>-</v>
      </c>
    </row>
    <row r="1159" spans="1:9" x14ac:dyDescent="0.25">
      <c r="A1159">
        <v>12079</v>
      </c>
      <c r="B1159" t="s">
        <v>1117</v>
      </c>
      <c r="C1159" t="s">
        <v>1915</v>
      </c>
      <c r="D1159" t="s">
        <v>199</v>
      </c>
      <c r="E1159" t="s">
        <v>369</v>
      </c>
      <c r="F1159">
        <v>7</v>
      </c>
      <c r="G1159">
        <v>6</v>
      </c>
      <c r="H1159" s="1296">
        <v>42</v>
      </c>
      <c r="I1159" t="str">
        <f t="shared" si="18"/>
        <v>-</v>
      </c>
    </row>
    <row r="1160" spans="1:9" x14ac:dyDescent="0.25">
      <c r="A1160">
        <v>12080</v>
      </c>
      <c r="B1160" t="s">
        <v>1117</v>
      </c>
      <c r="C1160" t="s">
        <v>1915</v>
      </c>
      <c r="D1160" t="s">
        <v>199</v>
      </c>
      <c r="E1160" t="s">
        <v>369</v>
      </c>
      <c r="F1160">
        <v>1</v>
      </c>
      <c r="G1160">
        <v>6</v>
      </c>
      <c r="H1160" s="1296">
        <v>6</v>
      </c>
      <c r="I1160" t="str">
        <f t="shared" si="18"/>
        <v>-</v>
      </c>
    </row>
    <row r="1161" spans="1:9" x14ac:dyDescent="0.25">
      <c r="A1161">
        <v>12082</v>
      </c>
      <c r="B1161" t="s">
        <v>1117</v>
      </c>
      <c r="C1161" t="s">
        <v>1915</v>
      </c>
      <c r="D1161" t="s">
        <v>1301</v>
      </c>
      <c r="E1161" t="s">
        <v>372</v>
      </c>
      <c r="F1161">
        <v>3</v>
      </c>
      <c r="G1161">
        <v>6</v>
      </c>
      <c r="H1161" s="1296">
        <v>18</v>
      </c>
      <c r="I1161" t="str">
        <f t="shared" si="18"/>
        <v>-</v>
      </c>
    </row>
    <row r="1162" spans="1:9" x14ac:dyDescent="0.25">
      <c r="A1162">
        <v>12083</v>
      </c>
      <c r="B1162" t="s">
        <v>1117</v>
      </c>
      <c r="C1162" t="s">
        <v>1915</v>
      </c>
      <c r="D1162" t="s">
        <v>1301</v>
      </c>
      <c r="E1162" t="s">
        <v>372</v>
      </c>
      <c r="F1162">
        <v>1</v>
      </c>
      <c r="G1162">
        <v>4</v>
      </c>
      <c r="H1162" s="1296">
        <v>4</v>
      </c>
      <c r="I1162" t="str">
        <f t="shared" si="18"/>
        <v>-</v>
      </c>
    </row>
    <row r="1163" spans="1:9" x14ac:dyDescent="0.25">
      <c r="A1163">
        <v>12084</v>
      </c>
      <c r="B1163" t="s">
        <v>1117</v>
      </c>
      <c r="C1163" t="s">
        <v>1915</v>
      </c>
      <c r="D1163" t="s">
        <v>203</v>
      </c>
      <c r="E1163" t="s">
        <v>1349</v>
      </c>
      <c r="F1163">
        <v>2</v>
      </c>
      <c r="G1163">
        <v>6</v>
      </c>
      <c r="H1163" s="1296">
        <v>12</v>
      </c>
      <c r="I1163" t="str">
        <f t="shared" si="18"/>
        <v>-</v>
      </c>
    </row>
    <row r="1164" spans="1:9" x14ac:dyDescent="0.25">
      <c r="A1164">
        <v>12085</v>
      </c>
      <c r="B1164" t="s">
        <v>1117</v>
      </c>
      <c r="C1164" t="s">
        <v>1915</v>
      </c>
      <c r="D1164" t="s">
        <v>206</v>
      </c>
      <c r="E1164" t="s">
        <v>377</v>
      </c>
      <c r="F1164">
        <v>2</v>
      </c>
      <c r="G1164">
        <v>6</v>
      </c>
      <c r="H1164" s="1296">
        <v>12</v>
      </c>
      <c r="I1164" t="str">
        <f t="shared" si="18"/>
        <v>-</v>
      </c>
    </row>
    <row r="1165" spans="1:9" x14ac:dyDescent="0.25">
      <c r="A1165">
        <v>12086</v>
      </c>
      <c r="B1165" t="s">
        <v>1117</v>
      </c>
      <c r="C1165" t="s">
        <v>1915</v>
      </c>
      <c r="D1165" t="s">
        <v>207</v>
      </c>
      <c r="E1165" t="s">
        <v>378</v>
      </c>
      <c r="F1165">
        <v>2</v>
      </c>
      <c r="G1165">
        <v>6</v>
      </c>
      <c r="H1165" s="1296">
        <v>12</v>
      </c>
      <c r="I1165" t="str">
        <f t="shared" si="18"/>
        <v>-</v>
      </c>
    </row>
    <row r="1166" spans="1:9" x14ac:dyDescent="0.25">
      <c r="A1166">
        <v>12087</v>
      </c>
      <c r="B1166" t="s">
        <v>1117</v>
      </c>
      <c r="C1166" t="s">
        <v>1915</v>
      </c>
      <c r="D1166" t="s">
        <v>145</v>
      </c>
      <c r="E1166" t="s">
        <v>381</v>
      </c>
      <c r="F1166">
        <v>1</v>
      </c>
      <c r="G1166">
        <v>8</v>
      </c>
      <c r="H1166" s="1296">
        <v>8</v>
      </c>
      <c r="I1166" t="str">
        <f t="shared" si="18"/>
        <v>-</v>
      </c>
    </row>
    <row r="1167" spans="1:9" x14ac:dyDescent="0.25">
      <c r="A1167">
        <v>12088</v>
      </c>
      <c r="B1167" t="s">
        <v>1117</v>
      </c>
      <c r="C1167" t="s">
        <v>1915</v>
      </c>
      <c r="D1167" t="s">
        <v>1549</v>
      </c>
      <c r="E1167" t="s">
        <v>383</v>
      </c>
      <c r="F1167">
        <v>2</v>
      </c>
      <c r="G1167">
        <v>6</v>
      </c>
      <c r="H1167" s="1296">
        <v>12</v>
      </c>
      <c r="I1167" t="str">
        <f t="shared" si="18"/>
        <v>-</v>
      </c>
    </row>
    <row r="1168" spans="1:9" x14ac:dyDescent="0.25">
      <c r="A1168">
        <v>12089</v>
      </c>
      <c r="B1168" t="s">
        <v>1117</v>
      </c>
      <c r="C1168" t="s">
        <v>1915</v>
      </c>
      <c r="D1168" t="s">
        <v>213</v>
      </c>
      <c r="E1168" t="s">
        <v>384</v>
      </c>
      <c r="F1168">
        <v>1</v>
      </c>
      <c r="G1168">
        <v>3</v>
      </c>
      <c r="H1168" s="1296">
        <v>3</v>
      </c>
      <c r="I1168" t="str">
        <f t="shared" si="18"/>
        <v>-</v>
      </c>
    </row>
    <row r="1169" spans="1:9" x14ac:dyDescent="0.25">
      <c r="A1169">
        <v>12090</v>
      </c>
      <c r="B1169" t="s">
        <v>1117</v>
      </c>
      <c r="C1169" t="s">
        <v>1915</v>
      </c>
      <c r="D1169" t="s">
        <v>441</v>
      </c>
      <c r="E1169" t="s">
        <v>375</v>
      </c>
      <c r="F1169">
        <v>2</v>
      </c>
      <c r="G1169">
        <v>6</v>
      </c>
      <c r="H1169" s="1296">
        <v>12</v>
      </c>
      <c r="I1169" t="str">
        <f t="shared" si="18"/>
        <v>-</v>
      </c>
    </row>
    <row r="1170" spans="1:9" x14ac:dyDescent="0.25">
      <c r="A1170">
        <v>12091</v>
      </c>
      <c r="B1170" t="s">
        <v>1117</v>
      </c>
      <c r="C1170" t="s">
        <v>1915</v>
      </c>
      <c r="D1170" t="s">
        <v>441</v>
      </c>
      <c r="E1170" t="s">
        <v>375</v>
      </c>
      <c r="F1170">
        <v>11</v>
      </c>
      <c r="G1170">
        <v>1</v>
      </c>
      <c r="H1170" s="1296">
        <v>11</v>
      </c>
      <c r="I1170" t="str">
        <f t="shared" si="18"/>
        <v>-</v>
      </c>
    </row>
    <row r="1171" spans="1:9" x14ac:dyDescent="0.25">
      <c r="A1171">
        <v>12092</v>
      </c>
      <c r="B1171" t="s">
        <v>1117</v>
      </c>
      <c r="C1171" t="s">
        <v>1915</v>
      </c>
      <c r="D1171" t="s">
        <v>441</v>
      </c>
      <c r="E1171" t="s">
        <v>375</v>
      </c>
      <c r="F1171">
        <v>1</v>
      </c>
      <c r="G1171">
        <v>1</v>
      </c>
      <c r="H1171" s="1296">
        <v>1</v>
      </c>
      <c r="I1171" t="str">
        <f t="shared" si="18"/>
        <v>-</v>
      </c>
    </row>
    <row r="1172" spans="1:9" x14ac:dyDescent="0.25">
      <c r="A1172">
        <v>12093</v>
      </c>
      <c r="B1172" t="s">
        <v>1117</v>
      </c>
      <c r="C1172" t="s">
        <v>1915</v>
      </c>
      <c r="D1172" t="s">
        <v>215</v>
      </c>
      <c r="E1172" t="s">
        <v>386</v>
      </c>
      <c r="F1172">
        <v>2</v>
      </c>
      <c r="G1172">
        <v>4</v>
      </c>
      <c r="H1172" s="1296">
        <v>8</v>
      </c>
      <c r="I1172" t="str">
        <f t="shared" si="18"/>
        <v>-</v>
      </c>
    </row>
    <row r="1173" spans="1:9" x14ac:dyDescent="0.25">
      <c r="A1173">
        <v>12094</v>
      </c>
      <c r="B1173" t="s">
        <v>1117</v>
      </c>
      <c r="C1173" t="s">
        <v>1915</v>
      </c>
      <c r="D1173" t="s">
        <v>158</v>
      </c>
      <c r="E1173" t="s">
        <v>390</v>
      </c>
      <c r="F1173">
        <v>1</v>
      </c>
      <c r="G1173">
        <v>6</v>
      </c>
      <c r="H1173" s="1296">
        <v>6</v>
      </c>
      <c r="I1173" t="str">
        <f t="shared" si="18"/>
        <v>-</v>
      </c>
    </row>
    <row r="1174" spans="1:9" x14ac:dyDescent="0.25">
      <c r="A1174">
        <v>12095</v>
      </c>
      <c r="B1174" t="s">
        <v>1117</v>
      </c>
      <c r="C1174" t="s">
        <v>1915</v>
      </c>
      <c r="D1174" t="s">
        <v>158</v>
      </c>
      <c r="E1174" t="s">
        <v>390</v>
      </c>
      <c r="F1174">
        <v>1</v>
      </c>
      <c r="G1174">
        <v>4</v>
      </c>
      <c r="H1174" s="1296">
        <v>4</v>
      </c>
      <c r="I1174" t="str">
        <f t="shared" si="18"/>
        <v>-</v>
      </c>
    </row>
    <row r="1175" spans="1:9" x14ac:dyDescent="0.25">
      <c r="A1175">
        <v>12096</v>
      </c>
      <c r="B1175" t="s">
        <v>1117</v>
      </c>
      <c r="C1175" t="s">
        <v>1915</v>
      </c>
      <c r="D1175" t="s">
        <v>899</v>
      </c>
      <c r="E1175" t="s">
        <v>401</v>
      </c>
      <c r="F1175">
        <v>1</v>
      </c>
      <c r="G1175">
        <v>6</v>
      </c>
      <c r="H1175" s="1296">
        <v>6</v>
      </c>
      <c r="I1175" t="str">
        <f t="shared" si="18"/>
        <v>-</v>
      </c>
    </row>
    <row r="1176" spans="1:9" x14ac:dyDescent="0.25">
      <c r="A1176">
        <v>12097</v>
      </c>
      <c r="B1176" t="s">
        <v>1117</v>
      </c>
      <c r="C1176" t="s">
        <v>1915</v>
      </c>
      <c r="D1176" t="s">
        <v>906</v>
      </c>
      <c r="E1176" t="s">
        <v>402</v>
      </c>
      <c r="F1176">
        <v>2</v>
      </c>
      <c r="G1176">
        <v>6</v>
      </c>
      <c r="H1176" s="1296">
        <v>12</v>
      </c>
      <c r="I1176" t="str">
        <f t="shared" si="18"/>
        <v>-</v>
      </c>
    </row>
    <row r="1177" spans="1:9" x14ac:dyDescent="0.25">
      <c r="A1177">
        <v>12121</v>
      </c>
      <c r="B1177" t="s">
        <v>1117</v>
      </c>
      <c r="C1177" t="s">
        <v>1915</v>
      </c>
      <c r="D1177" t="s">
        <v>2047</v>
      </c>
      <c r="E1177" t="s">
        <v>2048</v>
      </c>
      <c r="F1177">
        <v>2</v>
      </c>
      <c r="G1177">
        <v>5</v>
      </c>
      <c r="H1177" s="1296">
        <v>10</v>
      </c>
      <c r="I1177" t="str">
        <f t="shared" si="18"/>
        <v>-</v>
      </c>
    </row>
    <row r="1178" spans="1:9" x14ac:dyDescent="0.25">
      <c r="A1178">
        <v>12122</v>
      </c>
      <c r="B1178" t="s">
        <v>1117</v>
      </c>
      <c r="C1178" t="s">
        <v>1915</v>
      </c>
      <c r="D1178" t="s">
        <v>2049</v>
      </c>
      <c r="E1178" t="s">
        <v>327</v>
      </c>
      <c r="F1178">
        <v>2</v>
      </c>
      <c r="G1178">
        <v>5</v>
      </c>
      <c r="H1178" s="1296">
        <v>10</v>
      </c>
      <c r="I1178" t="str">
        <f t="shared" si="18"/>
        <v>-</v>
      </c>
    </row>
    <row r="1179" spans="1:9" x14ac:dyDescent="0.25">
      <c r="A1179">
        <v>12123</v>
      </c>
      <c r="B1179" t="s">
        <v>1117</v>
      </c>
      <c r="C1179" t="s">
        <v>1915</v>
      </c>
      <c r="D1179" t="s">
        <v>2050</v>
      </c>
      <c r="E1179" t="s">
        <v>340</v>
      </c>
      <c r="F1179">
        <v>4</v>
      </c>
      <c r="G1179">
        <v>5</v>
      </c>
      <c r="H1179" s="1296">
        <v>20</v>
      </c>
      <c r="I1179" t="str">
        <f t="shared" si="18"/>
        <v>-</v>
      </c>
    </row>
    <row r="1180" spans="1:9" x14ac:dyDescent="0.25">
      <c r="A1180">
        <v>12124</v>
      </c>
      <c r="B1180" t="s">
        <v>1117</v>
      </c>
      <c r="C1180" t="s">
        <v>1915</v>
      </c>
      <c r="D1180" t="s">
        <v>2051</v>
      </c>
      <c r="E1180" t="s">
        <v>66</v>
      </c>
      <c r="F1180">
        <v>2</v>
      </c>
      <c r="G1180">
        <v>5</v>
      </c>
      <c r="H1180" s="1296">
        <v>10</v>
      </c>
      <c r="I1180" t="str">
        <f t="shared" si="18"/>
        <v>-</v>
      </c>
    </row>
    <row r="1181" spans="1:9" x14ac:dyDescent="0.25">
      <c r="A1181">
        <v>12125</v>
      </c>
      <c r="B1181" t="s">
        <v>1117</v>
      </c>
      <c r="C1181" t="s">
        <v>1915</v>
      </c>
      <c r="D1181" t="s">
        <v>53</v>
      </c>
      <c r="E1181" t="s">
        <v>54</v>
      </c>
      <c r="F1181">
        <v>3</v>
      </c>
      <c r="G1181">
        <v>5</v>
      </c>
      <c r="H1181" s="1296">
        <v>15</v>
      </c>
      <c r="I1181" t="str">
        <f t="shared" si="18"/>
        <v>-</v>
      </c>
    </row>
    <row r="1182" spans="1:9" x14ac:dyDescent="0.25">
      <c r="A1182">
        <v>12126</v>
      </c>
      <c r="B1182" t="s">
        <v>1117</v>
      </c>
      <c r="C1182" t="s">
        <v>1915</v>
      </c>
      <c r="D1182" t="s">
        <v>278</v>
      </c>
      <c r="E1182" t="s">
        <v>325</v>
      </c>
      <c r="F1182">
        <v>3</v>
      </c>
      <c r="G1182">
        <v>5</v>
      </c>
      <c r="H1182" s="1296">
        <v>15</v>
      </c>
      <c r="I1182" t="str">
        <f t="shared" si="18"/>
        <v>-</v>
      </c>
    </row>
    <row r="1183" spans="1:9" x14ac:dyDescent="0.25">
      <c r="A1183">
        <v>12127</v>
      </c>
      <c r="B1183" t="s">
        <v>1117</v>
      </c>
      <c r="C1183" t="s">
        <v>1915</v>
      </c>
      <c r="D1183" t="s">
        <v>266</v>
      </c>
      <c r="E1183" t="s">
        <v>341</v>
      </c>
      <c r="F1183">
        <v>1</v>
      </c>
      <c r="G1183">
        <v>5</v>
      </c>
      <c r="H1183" s="1296">
        <v>5</v>
      </c>
      <c r="I1183" t="str">
        <f t="shared" si="18"/>
        <v>-</v>
      </c>
    </row>
    <row r="1184" spans="1:9" x14ac:dyDescent="0.25">
      <c r="A1184">
        <v>12128</v>
      </c>
      <c r="B1184" t="s">
        <v>1117</v>
      </c>
      <c r="C1184" t="s">
        <v>1915</v>
      </c>
      <c r="D1184" t="s">
        <v>2053</v>
      </c>
      <c r="E1184" t="s">
        <v>47</v>
      </c>
      <c r="F1184">
        <v>5</v>
      </c>
      <c r="G1184">
        <v>5</v>
      </c>
      <c r="H1184" s="1296">
        <v>25</v>
      </c>
      <c r="I1184" t="str">
        <f t="shared" si="18"/>
        <v>-</v>
      </c>
    </row>
    <row r="1185" spans="1:9" x14ac:dyDescent="0.25">
      <c r="A1185">
        <v>12130</v>
      </c>
      <c r="B1185" t="s">
        <v>1117</v>
      </c>
      <c r="C1185" t="s">
        <v>1915</v>
      </c>
      <c r="D1185" t="s">
        <v>2054</v>
      </c>
      <c r="E1185" t="s">
        <v>84</v>
      </c>
      <c r="F1185">
        <v>5</v>
      </c>
      <c r="G1185">
        <v>5</v>
      </c>
      <c r="H1185" s="1296">
        <v>25</v>
      </c>
      <c r="I1185" t="str">
        <f t="shared" si="18"/>
        <v>-</v>
      </c>
    </row>
    <row r="1186" spans="1:9" x14ac:dyDescent="0.25">
      <c r="A1186">
        <v>12132</v>
      </c>
      <c r="B1186" t="s">
        <v>1117</v>
      </c>
      <c r="C1186" t="s">
        <v>1915</v>
      </c>
      <c r="D1186" t="s">
        <v>2055</v>
      </c>
      <c r="E1186" t="s">
        <v>16</v>
      </c>
      <c r="F1186">
        <v>2</v>
      </c>
      <c r="G1186">
        <v>5</v>
      </c>
      <c r="H1186" s="1296">
        <v>10</v>
      </c>
      <c r="I1186" t="str">
        <f t="shared" si="18"/>
        <v>-</v>
      </c>
    </row>
    <row r="1187" spans="1:9" x14ac:dyDescent="0.25">
      <c r="A1187">
        <v>12133</v>
      </c>
      <c r="B1187" t="s">
        <v>1117</v>
      </c>
      <c r="C1187" t="s">
        <v>1915</v>
      </c>
      <c r="D1187" t="s">
        <v>2056</v>
      </c>
      <c r="E1187" t="s">
        <v>331</v>
      </c>
      <c r="F1187">
        <v>4</v>
      </c>
      <c r="G1187">
        <v>5</v>
      </c>
      <c r="H1187" s="1296">
        <v>20</v>
      </c>
      <c r="I1187" t="str">
        <f t="shared" si="18"/>
        <v>-</v>
      </c>
    </row>
    <row r="1188" spans="1:9" x14ac:dyDescent="0.25">
      <c r="A1188">
        <v>12134</v>
      </c>
      <c r="B1188" t="s">
        <v>1117</v>
      </c>
      <c r="C1188" t="s">
        <v>1915</v>
      </c>
      <c r="D1188" t="s">
        <v>2057</v>
      </c>
      <c r="E1188" t="s">
        <v>298</v>
      </c>
      <c r="F1188">
        <v>4</v>
      </c>
      <c r="G1188">
        <v>5</v>
      </c>
      <c r="H1188" s="1296">
        <v>20</v>
      </c>
      <c r="I1188" t="str">
        <f t="shared" si="18"/>
        <v>-</v>
      </c>
    </row>
    <row r="1189" spans="1:9" x14ac:dyDescent="0.25">
      <c r="A1189">
        <v>12185</v>
      </c>
      <c r="B1189" t="s">
        <v>1117</v>
      </c>
      <c r="C1189" t="s">
        <v>1973</v>
      </c>
      <c r="D1189" t="s">
        <v>2060</v>
      </c>
      <c r="E1189" t="s">
        <v>340</v>
      </c>
      <c r="F1189">
        <v>3</v>
      </c>
      <c r="G1189">
        <v>5</v>
      </c>
      <c r="H1189" s="1296">
        <v>15</v>
      </c>
      <c r="I1189" t="str">
        <f t="shared" si="18"/>
        <v>-</v>
      </c>
    </row>
    <row r="1190" spans="1:9" x14ac:dyDescent="0.25">
      <c r="A1190">
        <v>12186</v>
      </c>
      <c r="B1190" t="s">
        <v>1117</v>
      </c>
      <c r="C1190" t="s">
        <v>1973</v>
      </c>
      <c r="D1190" t="s">
        <v>2061</v>
      </c>
      <c r="E1190" t="s">
        <v>66</v>
      </c>
      <c r="F1190">
        <v>2</v>
      </c>
      <c r="G1190">
        <v>5</v>
      </c>
      <c r="H1190" s="1296">
        <v>10</v>
      </c>
      <c r="I1190" t="str">
        <f t="shared" si="18"/>
        <v>-</v>
      </c>
    </row>
    <row r="1191" spans="1:9" x14ac:dyDescent="0.25">
      <c r="A1191">
        <v>12187</v>
      </c>
      <c r="B1191" t="s">
        <v>1117</v>
      </c>
      <c r="C1191" t="s">
        <v>1973</v>
      </c>
      <c r="D1191" t="s">
        <v>214</v>
      </c>
      <c r="E1191" t="s">
        <v>84</v>
      </c>
      <c r="F1191">
        <v>5</v>
      </c>
      <c r="G1191">
        <v>5</v>
      </c>
      <c r="H1191" s="1296">
        <v>25</v>
      </c>
      <c r="I1191" t="str">
        <f t="shared" si="18"/>
        <v>-</v>
      </c>
    </row>
    <row r="1192" spans="1:9" x14ac:dyDescent="0.25">
      <c r="A1192">
        <v>12189</v>
      </c>
      <c r="B1192" t="s">
        <v>1117</v>
      </c>
      <c r="C1192" t="s">
        <v>1973</v>
      </c>
      <c r="D1192" t="s">
        <v>1300</v>
      </c>
      <c r="E1192" t="s">
        <v>332</v>
      </c>
      <c r="F1192">
        <v>2</v>
      </c>
      <c r="G1192">
        <v>5</v>
      </c>
      <c r="H1192" s="1296">
        <v>10</v>
      </c>
      <c r="I1192" t="str">
        <f t="shared" si="18"/>
        <v>-</v>
      </c>
    </row>
    <row r="1193" spans="1:9" x14ac:dyDescent="0.25">
      <c r="A1193">
        <v>12190</v>
      </c>
      <c r="B1193" t="s">
        <v>1117</v>
      </c>
      <c r="C1193" t="s">
        <v>1973</v>
      </c>
      <c r="D1193" t="s">
        <v>191</v>
      </c>
      <c r="E1193" t="s">
        <v>107</v>
      </c>
      <c r="F1193">
        <v>4</v>
      </c>
      <c r="G1193">
        <v>5</v>
      </c>
      <c r="H1193" s="1296">
        <v>20</v>
      </c>
      <c r="I1193" t="str">
        <f t="shared" si="18"/>
        <v>-</v>
      </c>
    </row>
    <row r="1194" spans="1:9" x14ac:dyDescent="0.25">
      <c r="A1194">
        <v>12191</v>
      </c>
      <c r="B1194" t="s">
        <v>1117</v>
      </c>
      <c r="C1194" t="s">
        <v>1973</v>
      </c>
      <c r="D1194" t="s">
        <v>53</v>
      </c>
      <c r="E1194" t="s">
        <v>54</v>
      </c>
      <c r="F1194">
        <v>2</v>
      </c>
      <c r="G1194">
        <v>5</v>
      </c>
      <c r="H1194" s="1296">
        <v>10</v>
      </c>
      <c r="I1194" t="str">
        <f t="shared" si="18"/>
        <v>-</v>
      </c>
    </row>
    <row r="1195" spans="1:9" x14ac:dyDescent="0.25">
      <c r="A1195">
        <v>12192</v>
      </c>
      <c r="B1195" t="s">
        <v>1117</v>
      </c>
      <c r="C1195" t="s">
        <v>1973</v>
      </c>
      <c r="D1195" t="s">
        <v>2063</v>
      </c>
      <c r="E1195" t="s">
        <v>333</v>
      </c>
      <c r="F1195">
        <v>1</v>
      </c>
      <c r="G1195">
        <v>5</v>
      </c>
      <c r="H1195" s="1296">
        <v>5</v>
      </c>
      <c r="I1195" t="str">
        <f t="shared" si="18"/>
        <v>-</v>
      </c>
    </row>
    <row r="1196" spans="1:9" x14ac:dyDescent="0.25">
      <c r="A1196">
        <v>12193</v>
      </c>
      <c r="B1196" t="s">
        <v>1117</v>
      </c>
      <c r="C1196" t="s">
        <v>1973</v>
      </c>
      <c r="D1196" t="s">
        <v>227</v>
      </c>
      <c r="E1196" t="s">
        <v>82</v>
      </c>
      <c r="F1196">
        <v>2</v>
      </c>
      <c r="G1196">
        <v>5</v>
      </c>
      <c r="H1196" s="1296">
        <v>10</v>
      </c>
      <c r="I1196" t="str">
        <f t="shared" si="18"/>
        <v>-</v>
      </c>
    </row>
    <row r="1197" spans="1:9" x14ac:dyDescent="0.25">
      <c r="A1197">
        <v>12195</v>
      </c>
      <c r="B1197" t="s">
        <v>1117</v>
      </c>
      <c r="C1197" t="s">
        <v>1973</v>
      </c>
      <c r="D1197" t="s">
        <v>215</v>
      </c>
      <c r="E1197" t="s">
        <v>386</v>
      </c>
      <c r="F1197">
        <v>6</v>
      </c>
      <c r="G1197">
        <v>4</v>
      </c>
      <c r="H1197" s="1296">
        <v>24</v>
      </c>
      <c r="I1197" t="str">
        <f t="shared" si="18"/>
        <v>-</v>
      </c>
    </row>
    <row r="1198" spans="1:9" x14ac:dyDescent="0.25">
      <c r="A1198">
        <v>12197</v>
      </c>
      <c r="B1198" t="s">
        <v>1117</v>
      </c>
      <c r="C1198" t="s">
        <v>1973</v>
      </c>
      <c r="D1198" t="s">
        <v>191</v>
      </c>
      <c r="E1198" t="s">
        <v>362</v>
      </c>
      <c r="F1198">
        <v>4</v>
      </c>
      <c r="G1198">
        <v>6</v>
      </c>
      <c r="H1198" s="1296">
        <v>24</v>
      </c>
      <c r="I1198" t="str">
        <f t="shared" si="18"/>
        <v>-</v>
      </c>
    </row>
    <row r="1199" spans="1:9" x14ac:dyDescent="0.25">
      <c r="A1199">
        <v>12199</v>
      </c>
      <c r="B1199" t="s">
        <v>1117</v>
      </c>
      <c r="C1199" t="s">
        <v>1973</v>
      </c>
      <c r="D1199" t="s">
        <v>2061</v>
      </c>
      <c r="E1199" t="s">
        <v>363</v>
      </c>
      <c r="F1199">
        <v>4</v>
      </c>
      <c r="G1199">
        <v>6</v>
      </c>
      <c r="H1199" s="1296">
        <v>24</v>
      </c>
      <c r="I1199" t="str">
        <f t="shared" si="18"/>
        <v>-</v>
      </c>
    </row>
    <row r="1200" spans="1:9" x14ac:dyDescent="0.25">
      <c r="A1200">
        <v>12202</v>
      </c>
      <c r="B1200" t="s">
        <v>1117</v>
      </c>
      <c r="C1200" t="s">
        <v>1973</v>
      </c>
      <c r="D1200" t="s">
        <v>643</v>
      </c>
      <c r="F1200">
        <v>6</v>
      </c>
      <c r="G1200">
        <v>10</v>
      </c>
      <c r="H1200" s="1296">
        <v>60</v>
      </c>
      <c r="I1200" t="str">
        <f t="shared" si="18"/>
        <v>-</v>
      </c>
    </row>
    <row r="1201" spans="1:9" x14ac:dyDescent="0.25">
      <c r="A1201">
        <v>12203</v>
      </c>
      <c r="B1201" t="s">
        <v>1117</v>
      </c>
      <c r="C1201" t="s">
        <v>1973</v>
      </c>
      <c r="D1201" t="s">
        <v>658</v>
      </c>
      <c r="F1201">
        <v>3</v>
      </c>
      <c r="G1201">
        <v>10</v>
      </c>
      <c r="H1201" s="1296">
        <v>30</v>
      </c>
      <c r="I1201" t="str">
        <f t="shared" si="18"/>
        <v>-</v>
      </c>
    </row>
    <row r="1202" spans="1:9" x14ac:dyDescent="0.25">
      <c r="A1202">
        <v>12204</v>
      </c>
      <c r="B1202" t="s">
        <v>1117</v>
      </c>
      <c r="C1202" t="s">
        <v>1973</v>
      </c>
      <c r="D1202" t="s">
        <v>662</v>
      </c>
      <c r="F1202">
        <v>8</v>
      </c>
      <c r="G1202">
        <v>10</v>
      </c>
      <c r="H1202" s="1296">
        <v>80</v>
      </c>
      <c r="I1202" t="str">
        <f t="shared" si="18"/>
        <v>-</v>
      </c>
    </row>
    <row r="1203" spans="1:9" x14ac:dyDescent="0.25">
      <c r="A1203">
        <v>12206</v>
      </c>
      <c r="B1203" t="s">
        <v>1117</v>
      </c>
      <c r="C1203" t="s">
        <v>1973</v>
      </c>
      <c r="D1203" t="s">
        <v>53</v>
      </c>
      <c r="E1203" t="s">
        <v>429</v>
      </c>
      <c r="F1203">
        <v>1</v>
      </c>
      <c r="G1203">
        <v>20</v>
      </c>
      <c r="H1203" s="1296">
        <v>20</v>
      </c>
      <c r="I1203" t="str">
        <f t="shared" si="18"/>
        <v>-</v>
      </c>
    </row>
    <row r="1204" spans="1:9" x14ac:dyDescent="0.25">
      <c r="A1204">
        <v>12207</v>
      </c>
      <c r="B1204" t="s">
        <v>1117</v>
      </c>
      <c r="C1204" t="s">
        <v>1973</v>
      </c>
      <c r="D1204" t="s">
        <v>2067</v>
      </c>
      <c r="E1204" t="s">
        <v>427</v>
      </c>
      <c r="F1204">
        <v>4</v>
      </c>
      <c r="G1204">
        <v>25</v>
      </c>
      <c r="H1204" s="1296">
        <v>100</v>
      </c>
      <c r="I1204" t="str">
        <f t="shared" si="18"/>
        <v>-</v>
      </c>
    </row>
    <row r="1205" spans="1:9" x14ac:dyDescent="0.25">
      <c r="A1205">
        <v>12233</v>
      </c>
      <c r="B1205" t="s">
        <v>1961</v>
      </c>
      <c r="C1205" t="s">
        <v>1962</v>
      </c>
      <c r="D1205" t="s">
        <v>2068</v>
      </c>
      <c r="E1205" t="s">
        <v>340</v>
      </c>
      <c r="F1205">
        <v>2</v>
      </c>
      <c r="G1205">
        <v>5</v>
      </c>
      <c r="H1205" s="1296">
        <v>10</v>
      </c>
      <c r="I1205" t="str">
        <f t="shared" si="18"/>
        <v>-</v>
      </c>
    </row>
    <row r="1206" spans="1:9" x14ac:dyDescent="0.25">
      <c r="A1206">
        <v>12234</v>
      </c>
      <c r="B1206" t="s">
        <v>1961</v>
      </c>
      <c r="C1206" t="s">
        <v>1962</v>
      </c>
      <c r="D1206" t="s">
        <v>1325</v>
      </c>
      <c r="E1206" t="s">
        <v>339</v>
      </c>
      <c r="F1206">
        <v>1</v>
      </c>
      <c r="G1206">
        <v>5</v>
      </c>
      <c r="H1206" s="1296">
        <v>5</v>
      </c>
      <c r="I1206" t="str">
        <f t="shared" si="18"/>
        <v>-</v>
      </c>
    </row>
    <row r="1207" spans="1:9" x14ac:dyDescent="0.25">
      <c r="A1207">
        <v>12235</v>
      </c>
      <c r="B1207" t="s">
        <v>1961</v>
      </c>
      <c r="C1207" t="s">
        <v>1962</v>
      </c>
      <c r="D1207" t="s">
        <v>2053</v>
      </c>
      <c r="E1207" t="s">
        <v>47</v>
      </c>
      <c r="F1207">
        <v>5</v>
      </c>
      <c r="G1207">
        <v>5</v>
      </c>
      <c r="H1207" s="1296">
        <v>25</v>
      </c>
      <c r="I1207" t="str">
        <f t="shared" si="18"/>
        <v>-</v>
      </c>
    </row>
    <row r="1208" spans="1:9" x14ac:dyDescent="0.25">
      <c r="A1208">
        <v>12237</v>
      </c>
      <c r="B1208" t="s">
        <v>1961</v>
      </c>
      <c r="C1208" t="s">
        <v>1962</v>
      </c>
      <c r="D1208" t="s">
        <v>2069</v>
      </c>
      <c r="E1208" t="s">
        <v>66</v>
      </c>
      <c r="F1208">
        <v>2</v>
      </c>
      <c r="G1208">
        <v>5</v>
      </c>
      <c r="H1208" s="1296">
        <v>10</v>
      </c>
      <c r="I1208" t="str">
        <f t="shared" si="18"/>
        <v>-</v>
      </c>
    </row>
    <row r="1209" spans="1:9" x14ac:dyDescent="0.25">
      <c r="A1209">
        <v>12238</v>
      </c>
      <c r="B1209" t="s">
        <v>1961</v>
      </c>
      <c r="C1209" t="s">
        <v>1962</v>
      </c>
      <c r="D1209" t="s">
        <v>214</v>
      </c>
      <c r="E1209" t="s">
        <v>84</v>
      </c>
      <c r="F1209">
        <v>5</v>
      </c>
      <c r="G1209">
        <v>5</v>
      </c>
      <c r="H1209" s="1296">
        <v>25</v>
      </c>
      <c r="I1209" t="str">
        <f t="shared" si="18"/>
        <v>-</v>
      </c>
    </row>
    <row r="1210" spans="1:9" x14ac:dyDescent="0.25">
      <c r="A1210">
        <v>12240</v>
      </c>
      <c r="B1210" t="s">
        <v>1961</v>
      </c>
      <c r="C1210" t="s">
        <v>1962</v>
      </c>
      <c r="D1210" t="s">
        <v>2070</v>
      </c>
      <c r="E1210" t="s">
        <v>298</v>
      </c>
      <c r="F1210">
        <v>5</v>
      </c>
      <c r="G1210">
        <v>5</v>
      </c>
      <c r="H1210" s="1296">
        <v>25</v>
      </c>
      <c r="I1210" t="str">
        <f t="shared" si="18"/>
        <v>-</v>
      </c>
    </row>
    <row r="1211" spans="1:9" x14ac:dyDescent="0.25">
      <c r="A1211">
        <v>12243</v>
      </c>
      <c r="B1211" t="s">
        <v>1961</v>
      </c>
      <c r="C1211" t="s">
        <v>1962</v>
      </c>
      <c r="D1211" t="s">
        <v>199</v>
      </c>
      <c r="E1211" t="s">
        <v>369</v>
      </c>
      <c r="F1211">
        <v>4</v>
      </c>
      <c r="G1211">
        <v>6</v>
      </c>
      <c r="H1211" s="1296">
        <v>24</v>
      </c>
      <c r="I1211" t="str">
        <f t="shared" si="18"/>
        <v>-</v>
      </c>
    </row>
    <row r="1212" spans="1:9" x14ac:dyDescent="0.25">
      <c r="A1212">
        <v>12245</v>
      </c>
      <c r="B1212" t="s">
        <v>1961</v>
      </c>
      <c r="C1212" t="s">
        <v>1962</v>
      </c>
      <c r="D1212" t="s">
        <v>206</v>
      </c>
      <c r="E1212" t="s">
        <v>377</v>
      </c>
      <c r="F1212">
        <v>8</v>
      </c>
      <c r="G1212">
        <v>6</v>
      </c>
      <c r="H1212" s="1296">
        <v>48</v>
      </c>
      <c r="I1212" t="str">
        <f t="shared" si="18"/>
        <v>-</v>
      </c>
    </row>
    <row r="1213" spans="1:9" x14ac:dyDescent="0.25">
      <c r="A1213">
        <v>12247</v>
      </c>
      <c r="B1213" t="s">
        <v>1961</v>
      </c>
      <c r="C1213" t="s">
        <v>1962</v>
      </c>
      <c r="D1213" t="s">
        <v>2071</v>
      </c>
      <c r="E1213" t="s">
        <v>383</v>
      </c>
      <c r="F1213">
        <v>1</v>
      </c>
      <c r="G1213">
        <v>6</v>
      </c>
      <c r="H1213" s="1296">
        <v>6</v>
      </c>
      <c r="I1213" t="str">
        <f t="shared" si="18"/>
        <v>-</v>
      </c>
    </row>
    <row r="1214" spans="1:9" x14ac:dyDescent="0.25">
      <c r="A1214">
        <v>12248</v>
      </c>
      <c r="B1214" t="s">
        <v>1961</v>
      </c>
      <c r="C1214" t="s">
        <v>1962</v>
      </c>
      <c r="D1214" t="s">
        <v>215</v>
      </c>
      <c r="E1214" t="s">
        <v>386</v>
      </c>
      <c r="F1214">
        <v>2</v>
      </c>
      <c r="G1214">
        <v>4</v>
      </c>
      <c r="H1214" s="1296">
        <v>8</v>
      </c>
      <c r="I1214" t="str">
        <f t="shared" si="18"/>
        <v>-</v>
      </c>
    </row>
    <row r="1215" spans="1:9" x14ac:dyDescent="0.25">
      <c r="A1215">
        <v>12249</v>
      </c>
      <c r="B1215" t="s">
        <v>1961</v>
      </c>
      <c r="C1215" t="s">
        <v>1962</v>
      </c>
      <c r="D1215" t="s">
        <v>2073</v>
      </c>
      <c r="E1215" t="s">
        <v>403</v>
      </c>
      <c r="F1215">
        <v>3</v>
      </c>
      <c r="G1215">
        <v>8</v>
      </c>
      <c r="H1215" s="1296">
        <v>24</v>
      </c>
      <c r="I1215" t="str">
        <f t="shared" si="18"/>
        <v>-</v>
      </c>
    </row>
    <row r="1216" spans="1:9" x14ac:dyDescent="0.25">
      <c r="A1216">
        <v>12300</v>
      </c>
      <c r="B1216" t="s">
        <v>1122</v>
      </c>
      <c r="C1216" t="s">
        <v>1574</v>
      </c>
      <c r="D1216" t="s">
        <v>60</v>
      </c>
      <c r="E1216" t="s">
        <v>142</v>
      </c>
      <c r="F1216">
        <v>5</v>
      </c>
      <c r="G1216">
        <v>5</v>
      </c>
      <c r="H1216" s="1296">
        <v>25</v>
      </c>
      <c r="I1216" t="str">
        <f t="shared" si="18"/>
        <v>-</v>
      </c>
    </row>
    <row r="1217" spans="1:9" x14ac:dyDescent="0.25">
      <c r="A1217">
        <v>12302</v>
      </c>
      <c r="B1217" t="s">
        <v>1122</v>
      </c>
      <c r="C1217" t="s">
        <v>1574</v>
      </c>
      <c r="D1217" t="s">
        <v>60</v>
      </c>
      <c r="E1217" t="s">
        <v>142</v>
      </c>
      <c r="F1217">
        <v>1</v>
      </c>
      <c r="G1217">
        <v>1</v>
      </c>
      <c r="H1217" s="1296">
        <v>1</v>
      </c>
      <c r="I1217" t="str">
        <f t="shared" si="18"/>
        <v>-</v>
      </c>
    </row>
    <row r="1218" spans="1:9" x14ac:dyDescent="0.25">
      <c r="A1218">
        <v>12303</v>
      </c>
      <c r="B1218" t="s">
        <v>1122</v>
      </c>
      <c r="C1218" t="s">
        <v>1574</v>
      </c>
      <c r="D1218" t="s">
        <v>655</v>
      </c>
      <c r="E1218" t="s">
        <v>94</v>
      </c>
      <c r="F1218">
        <v>4</v>
      </c>
      <c r="G1218">
        <v>5</v>
      </c>
      <c r="H1218" s="1296">
        <v>20</v>
      </c>
      <c r="I1218" t="str">
        <f t="shared" ref="I1218:I1281" si="19">INDEX($N$2:$N$355,MATCH($A1218,$L$2:$L$355,1))</f>
        <v>-</v>
      </c>
    </row>
    <row r="1219" spans="1:9" x14ac:dyDescent="0.25">
      <c r="A1219">
        <v>12304</v>
      </c>
      <c r="B1219" t="s">
        <v>1122</v>
      </c>
      <c r="C1219" t="s">
        <v>1574</v>
      </c>
      <c r="D1219" t="s">
        <v>655</v>
      </c>
      <c r="E1219" t="s">
        <v>94</v>
      </c>
      <c r="F1219">
        <v>2</v>
      </c>
      <c r="G1219">
        <v>1</v>
      </c>
      <c r="H1219" s="1296">
        <v>2</v>
      </c>
      <c r="I1219" t="str">
        <f t="shared" si="19"/>
        <v>-</v>
      </c>
    </row>
    <row r="1220" spans="1:9" x14ac:dyDescent="0.25">
      <c r="A1220">
        <v>12305</v>
      </c>
      <c r="B1220" t="s">
        <v>1122</v>
      </c>
      <c r="C1220" t="s">
        <v>1574</v>
      </c>
      <c r="D1220" t="s">
        <v>34</v>
      </c>
      <c r="E1220" t="s">
        <v>25</v>
      </c>
      <c r="F1220">
        <v>10</v>
      </c>
      <c r="G1220">
        <v>5</v>
      </c>
      <c r="H1220" s="1296">
        <v>50</v>
      </c>
      <c r="I1220" t="str">
        <f t="shared" si="19"/>
        <v>-</v>
      </c>
    </row>
    <row r="1221" spans="1:9" x14ac:dyDescent="0.25">
      <c r="A1221">
        <v>12307</v>
      </c>
      <c r="B1221" t="s">
        <v>1122</v>
      </c>
      <c r="C1221" t="s">
        <v>1574</v>
      </c>
      <c r="D1221" t="s">
        <v>1552</v>
      </c>
      <c r="E1221" t="s">
        <v>330</v>
      </c>
      <c r="F1221">
        <v>10</v>
      </c>
      <c r="G1221">
        <v>5</v>
      </c>
      <c r="H1221" s="1296">
        <v>50</v>
      </c>
      <c r="I1221" t="str">
        <f t="shared" si="19"/>
        <v>-</v>
      </c>
    </row>
    <row r="1222" spans="1:9" x14ac:dyDescent="0.25">
      <c r="A1222">
        <v>12309</v>
      </c>
      <c r="B1222" t="s">
        <v>1122</v>
      </c>
      <c r="C1222" t="s">
        <v>1574</v>
      </c>
      <c r="D1222" t="s">
        <v>3</v>
      </c>
      <c r="E1222" t="s">
        <v>4</v>
      </c>
      <c r="F1222">
        <v>15</v>
      </c>
      <c r="G1222">
        <v>5</v>
      </c>
      <c r="H1222" s="1296">
        <v>75</v>
      </c>
      <c r="I1222" t="str">
        <f t="shared" si="19"/>
        <v>-</v>
      </c>
    </row>
    <row r="1223" spans="1:9" x14ac:dyDescent="0.25">
      <c r="A1223">
        <v>12310</v>
      </c>
      <c r="B1223" t="s">
        <v>1122</v>
      </c>
      <c r="C1223" t="s">
        <v>1574</v>
      </c>
      <c r="D1223" t="s">
        <v>68</v>
      </c>
      <c r="E1223" t="s">
        <v>91</v>
      </c>
      <c r="F1223">
        <v>5</v>
      </c>
      <c r="G1223">
        <v>5</v>
      </c>
      <c r="H1223" s="1296">
        <v>25</v>
      </c>
      <c r="I1223" t="str">
        <f t="shared" si="19"/>
        <v>-</v>
      </c>
    </row>
    <row r="1224" spans="1:9" x14ac:dyDescent="0.25">
      <c r="A1224">
        <v>12312</v>
      </c>
      <c r="B1224" t="s">
        <v>1122</v>
      </c>
      <c r="C1224" t="s">
        <v>1574</v>
      </c>
      <c r="D1224" t="s">
        <v>125</v>
      </c>
      <c r="E1224" t="s">
        <v>324</v>
      </c>
      <c r="F1224">
        <v>7</v>
      </c>
      <c r="G1224">
        <v>5</v>
      </c>
      <c r="H1224" s="1296">
        <v>35</v>
      </c>
      <c r="I1224" t="str">
        <f t="shared" si="19"/>
        <v>-</v>
      </c>
    </row>
    <row r="1225" spans="1:9" x14ac:dyDescent="0.25">
      <c r="A1225">
        <v>12313</v>
      </c>
      <c r="B1225" t="s">
        <v>1122</v>
      </c>
      <c r="C1225" t="s">
        <v>1574</v>
      </c>
      <c r="D1225" t="s">
        <v>127</v>
      </c>
      <c r="E1225" t="s">
        <v>326</v>
      </c>
      <c r="F1225">
        <v>10</v>
      </c>
      <c r="G1225">
        <v>5</v>
      </c>
      <c r="H1225" s="1296">
        <v>50</v>
      </c>
      <c r="I1225" t="str">
        <f t="shared" si="19"/>
        <v>-</v>
      </c>
    </row>
    <row r="1226" spans="1:9" x14ac:dyDescent="0.25">
      <c r="A1226">
        <v>12315</v>
      </c>
      <c r="B1226" t="s">
        <v>1122</v>
      </c>
      <c r="C1226" t="s">
        <v>1574</v>
      </c>
      <c r="D1226" t="s">
        <v>148</v>
      </c>
      <c r="E1226" t="s">
        <v>344</v>
      </c>
      <c r="F1226">
        <v>1</v>
      </c>
      <c r="G1226">
        <v>1</v>
      </c>
      <c r="H1226" s="1296">
        <v>1</v>
      </c>
      <c r="I1226" t="str">
        <f t="shared" si="19"/>
        <v>-</v>
      </c>
    </row>
    <row r="1227" spans="1:9" x14ac:dyDescent="0.25">
      <c r="A1227">
        <v>12316</v>
      </c>
      <c r="B1227" t="s">
        <v>1122</v>
      </c>
      <c r="C1227" t="s">
        <v>1574</v>
      </c>
      <c r="D1227" t="s">
        <v>1576</v>
      </c>
      <c r="E1227" t="s">
        <v>1577</v>
      </c>
      <c r="F1227">
        <v>1</v>
      </c>
      <c r="G1227">
        <v>1</v>
      </c>
      <c r="H1227" s="1296">
        <v>1</v>
      </c>
      <c r="I1227" t="str">
        <f t="shared" si="19"/>
        <v>-</v>
      </c>
    </row>
    <row r="1228" spans="1:9" x14ac:dyDescent="0.25">
      <c r="A1228">
        <v>12317</v>
      </c>
      <c r="B1228" t="s">
        <v>1122</v>
      </c>
      <c r="C1228" t="s">
        <v>1574</v>
      </c>
      <c r="D1228" t="s">
        <v>1609</v>
      </c>
      <c r="E1228" t="s">
        <v>1610</v>
      </c>
      <c r="F1228">
        <v>1</v>
      </c>
      <c r="G1228">
        <v>1</v>
      </c>
      <c r="H1228" s="1296">
        <v>1</v>
      </c>
      <c r="I1228" t="str">
        <f t="shared" si="19"/>
        <v>-</v>
      </c>
    </row>
    <row r="1229" spans="1:9" x14ac:dyDescent="0.25">
      <c r="A1229">
        <v>12318</v>
      </c>
      <c r="B1229" t="s">
        <v>1122</v>
      </c>
      <c r="C1229" t="s">
        <v>1574</v>
      </c>
      <c r="D1229" t="s">
        <v>1611</v>
      </c>
      <c r="E1229" t="s">
        <v>345</v>
      </c>
      <c r="F1229">
        <v>1</v>
      </c>
      <c r="G1229">
        <v>1</v>
      </c>
      <c r="H1229" s="1296">
        <v>1</v>
      </c>
      <c r="I1229" t="str">
        <f t="shared" si="19"/>
        <v>-</v>
      </c>
    </row>
    <row r="1230" spans="1:9" x14ac:dyDescent="0.25">
      <c r="A1230">
        <v>12319</v>
      </c>
      <c r="B1230" t="s">
        <v>1122</v>
      </c>
      <c r="C1230" t="s">
        <v>1574</v>
      </c>
      <c r="D1230" t="s">
        <v>202</v>
      </c>
      <c r="E1230" t="s">
        <v>346</v>
      </c>
      <c r="F1230">
        <v>1</v>
      </c>
      <c r="G1230">
        <v>1</v>
      </c>
      <c r="H1230" s="1296">
        <v>1</v>
      </c>
      <c r="I1230" t="str">
        <f t="shared" si="19"/>
        <v>-</v>
      </c>
    </row>
    <row r="1231" spans="1:9" x14ac:dyDescent="0.25">
      <c r="A1231">
        <v>12320</v>
      </c>
      <c r="B1231" t="s">
        <v>1122</v>
      </c>
      <c r="C1231" t="s">
        <v>1574</v>
      </c>
      <c r="D1231" t="s">
        <v>1612</v>
      </c>
      <c r="E1231" t="s">
        <v>347</v>
      </c>
      <c r="F1231">
        <v>1</v>
      </c>
      <c r="G1231">
        <v>1</v>
      </c>
      <c r="H1231" s="1296">
        <v>1</v>
      </c>
      <c r="I1231" t="str">
        <f t="shared" si="19"/>
        <v>-</v>
      </c>
    </row>
    <row r="1232" spans="1:9" x14ac:dyDescent="0.25">
      <c r="A1232">
        <v>12321</v>
      </c>
      <c r="B1232" t="s">
        <v>1122</v>
      </c>
      <c r="C1232" t="s">
        <v>1574</v>
      </c>
      <c r="D1232" t="s">
        <v>153</v>
      </c>
      <c r="E1232" t="s">
        <v>348</v>
      </c>
      <c r="F1232">
        <v>1</v>
      </c>
      <c r="G1232">
        <v>1</v>
      </c>
      <c r="H1232" s="1296">
        <v>1</v>
      </c>
      <c r="I1232" t="str">
        <f t="shared" si="19"/>
        <v>-</v>
      </c>
    </row>
    <row r="1233" spans="1:9" x14ac:dyDescent="0.25">
      <c r="A1233">
        <v>12322</v>
      </c>
      <c r="B1233" t="s">
        <v>1122</v>
      </c>
      <c r="C1233" t="s">
        <v>1574</v>
      </c>
      <c r="D1233" t="s">
        <v>1613</v>
      </c>
      <c r="E1233" t="s">
        <v>349</v>
      </c>
      <c r="F1233">
        <v>1</v>
      </c>
      <c r="G1233">
        <v>1</v>
      </c>
      <c r="H1233" s="1296">
        <v>1</v>
      </c>
      <c r="I1233" t="str">
        <f t="shared" si="19"/>
        <v>-</v>
      </c>
    </row>
    <row r="1234" spans="1:9" x14ac:dyDescent="0.25">
      <c r="A1234">
        <v>12323</v>
      </c>
      <c r="B1234" t="s">
        <v>1122</v>
      </c>
      <c r="C1234" t="s">
        <v>1574</v>
      </c>
      <c r="D1234" t="s">
        <v>200</v>
      </c>
      <c r="E1234" t="s">
        <v>350</v>
      </c>
      <c r="F1234">
        <v>1</v>
      </c>
      <c r="G1234">
        <v>1</v>
      </c>
      <c r="H1234" s="1296">
        <v>1</v>
      </c>
      <c r="I1234" t="str">
        <f t="shared" si="19"/>
        <v>-</v>
      </c>
    </row>
    <row r="1235" spans="1:9" x14ac:dyDescent="0.25">
      <c r="A1235">
        <v>12324</v>
      </c>
      <c r="B1235" t="s">
        <v>1122</v>
      </c>
      <c r="C1235" t="s">
        <v>1574</v>
      </c>
      <c r="D1235" t="s">
        <v>571</v>
      </c>
      <c r="E1235" t="s">
        <v>351</v>
      </c>
      <c r="F1235">
        <v>1</v>
      </c>
      <c r="G1235">
        <v>1</v>
      </c>
      <c r="H1235" s="1296">
        <v>1</v>
      </c>
      <c r="I1235" t="str">
        <f t="shared" si="19"/>
        <v>-</v>
      </c>
    </row>
    <row r="1236" spans="1:9" x14ac:dyDescent="0.25">
      <c r="A1236">
        <v>12325</v>
      </c>
      <c r="B1236" t="s">
        <v>1122</v>
      </c>
      <c r="C1236" t="s">
        <v>1574</v>
      </c>
      <c r="D1236" t="s">
        <v>157</v>
      </c>
      <c r="E1236" t="s">
        <v>352</v>
      </c>
      <c r="F1236">
        <v>1</v>
      </c>
      <c r="G1236">
        <v>1</v>
      </c>
      <c r="H1236" s="1296">
        <v>1</v>
      </c>
      <c r="I1236" t="str">
        <f t="shared" si="19"/>
        <v>-</v>
      </c>
    </row>
    <row r="1237" spans="1:9" x14ac:dyDescent="0.25">
      <c r="A1237">
        <v>12326</v>
      </c>
      <c r="B1237" t="s">
        <v>1122</v>
      </c>
      <c r="C1237" t="s">
        <v>1574</v>
      </c>
      <c r="D1237" t="s">
        <v>158</v>
      </c>
      <c r="E1237" t="s">
        <v>1614</v>
      </c>
      <c r="F1237">
        <v>1</v>
      </c>
      <c r="G1237">
        <v>1</v>
      </c>
      <c r="H1237" s="1296">
        <v>1</v>
      </c>
      <c r="I1237" t="str">
        <f t="shared" si="19"/>
        <v>-</v>
      </c>
    </row>
    <row r="1238" spans="1:9" x14ac:dyDescent="0.25">
      <c r="A1238">
        <v>12328</v>
      </c>
      <c r="B1238" t="s">
        <v>1122</v>
      </c>
      <c r="C1238" t="s">
        <v>1574</v>
      </c>
      <c r="D1238" t="s">
        <v>136</v>
      </c>
      <c r="E1238" t="s">
        <v>387</v>
      </c>
      <c r="F1238">
        <v>4</v>
      </c>
      <c r="G1238">
        <v>6</v>
      </c>
      <c r="H1238" s="1296">
        <v>24</v>
      </c>
      <c r="I1238" t="str">
        <f t="shared" si="19"/>
        <v>-</v>
      </c>
    </row>
    <row r="1239" spans="1:9" x14ac:dyDescent="0.25">
      <c r="A1239">
        <v>12347</v>
      </c>
      <c r="B1239" t="s">
        <v>1122</v>
      </c>
      <c r="C1239" t="s">
        <v>1574</v>
      </c>
      <c r="D1239" t="s">
        <v>2074</v>
      </c>
      <c r="E1239" t="s">
        <v>2075</v>
      </c>
      <c r="F1239">
        <v>12</v>
      </c>
      <c r="G1239">
        <v>10</v>
      </c>
      <c r="H1239" s="1296">
        <v>120</v>
      </c>
      <c r="I1239" t="str">
        <f t="shared" si="19"/>
        <v>-</v>
      </c>
    </row>
    <row r="1240" spans="1:9" x14ac:dyDescent="0.25">
      <c r="A1240">
        <v>12349</v>
      </c>
      <c r="B1240" t="s">
        <v>1122</v>
      </c>
      <c r="C1240" t="s">
        <v>1574</v>
      </c>
      <c r="D1240" t="s">
        <v>2076</v>
      </c>
      <c r="E1240" t="s">
        <v>2077</v>
      </c>
      <c r="F1240">
        <v>18</v>
      </c>
      <c r="G1240">
        <v>10</v>
      </c>
      <c r="H1240" s="1296">
        <v>180</v>
      </c>
      <c r="I1240" t="str">
        <f t="shared" si="19"/>
        <v>-</v>
      </c>
    </row>
    <row r="1241" spans="1:9" x14ac:dyDescent="0.25">
      <c r="A1241">
        <v>12351</v>
      </c>
      <c r="B1241" t="s">
        <v>1122</v>
      </c>
      <c r="C1241" t="s">
        <v>1574</v>
      </c>
      <c r="D1241" t="s">
        <v>2078</v>
      </c>
      <c r="E1241" t="s">
        <v>2079</v>
      </c>
      <c r="F1241">
        <v>3</v>
      </c>
      <c r="G1241">
        <v>10</v>
      </c>
      <c r="H1241" s="1296">
        <v>30</v>
      </c>
      <c r="I1241" t="str">
        <f t="shared" si="19"/>
        <v>-</v>
      </c>
    </row>
    <row r="1242" spans="1:9" x14ac:dyDescent="0.25">
      <c r="A1242">
        <v>12353</v>
      </c>
      <c r="B1242" t="s">
        <v>1122</v>
      </c>
      <c r="C1242" t="s">
        <v>1574</v>
      </c>
      <c r="D1242" t="s">
        <v>2080</v>
      </c>
      <c r="E1242" t="s">
        <v>2081</v>
      </c>
      <c r="F1242">
        <v>10</v>
      </c>
      <c r="G1242">
        <v>5</v>
      </c>
      <c r="H1242" s="1296">
        <v>50</v>
      </c>
      <c r="I1242" t="str">
        <f t="shared" si="19"/>
        <v>-</v>
      </c>
    </row>
    <row r="1243" spans="1:9" x14ac:dyDescent="0.25">
      <c r="A1243">
        <v>12355</v>
      </c>
      <c r="B1243" t="s">
        <v>1122</v>
      </c>
      <c r="C1243" t="s">
        <v>1574</v>
      </c>
      <c r="D1243" t="s">
        <v>1777</v>
      </c>
      <c r="E1243" t="s">
        <v>2083</v>
      </c>
      <c r="F1243">
        <v>40</v>
      </c>
      <c r="G1243">
        <v>5</v>
      </c>
      <c r="H1243" s="1296">
        <v>200</v>
      </c>
      <c r="I1243" t="str">
        <f t="shared" si="19"/>
        <v>-</v>
      </c>
    </row>
    <row r="1244" spans="1:9" x14ac:dyDescent="0.25">
      <c r="A1244">
        <v>12356</v>
      </c>
      <c r="B1244" t="s">
        <v>1122</v>
      </c>
      <c r="C1244" t="s">
        <v>1574</v>
      </c>
      <c r="D1244" t="s">
        <v>2084</v>
      </c>
      <c r="E1244" t="s">
        <v>2085</v>
      </c>
      <c r="F1244">
        <v>6</v>
      </c>
      <c r="G1244">
        <v>10</v>
      </c>
      <c r="H1244" s="1296">
        <v>60</v>
      </c>
      <c r="I1244" t="str">
        <f t="shared" si="19"/>
        <v>-</v>
      </c>
    </row>
    <row r="1245" spans="1:9" x14ac:dyDescent="0.25">
      <c r="A1245">
        <v>12358</v>
      </c>
      <c r="B1245" t="s">
        <v>1122</v>
      </c>
      <c r="C1245" t="s">
        <v>1574</v>
      </c>
      <c r="D1245" t="s">
        <v>2086</v>
      </c>
      <c r="E1245" t="s">
        <v>2087</v>
      </c>
      <c r="F1245">
        <v>6</v>
      </c>
      <c r="G1245">
        <v>10</v>
      </c>
      <c r="H1245" s="1296">
        <v>60</v>
      </c>
      <c r="I1245" t="str">
        <f t="shared" si="19"/>
        <v>-</v>
      </c>
    </row>
    <row r="1246" spans="1:9" x14ac:dyDescent="0.25">
      <c r="A1246">
        <v>12423</v>
      </c>
      <c r="B1246" t="s">
        <v>1125</v>
      </c>
      <c r="C1246" t="s">
        <v>1897</v>
      </c>
      <c r="D1246" t="s">
        <v>118</v>
      </c>
      <c r="E1246" t="s">
        <v>204</v>
      </c>
      <c r="F1246">
        <v>2</v>
      </c>
      <c r="G1246">
        <v>5</v>
      </c>
      <c r="H1246" s="1296">
        <v>10</v>
      </c>
      <c r="I1246" t="str">
        <f t="shared" si="19"/>
        <v>-</v>
      </c>
    </row>
    <row r="1247" spans="1:9" x14ac:dyDescent="0.25">
      <c r="A1247">
        <v>12424</v>
      </c>
      <c r="B1247" t="s">
        <v>1125</v>
      </c>
      <c r="C1247" t="s">
        <v>1897</v>
      </c>
      <c r="D1247" t="s">
        <v>140</v>
      </c>
      <c r="E1247" t="s">
        <v>337</v>
      </c>
      <c r="F1247">
        <v>1</v>
      </c>
      <c r="G1247">
        <v>5</v>
      </c>
      <c r="H1247" s="1296">
        <v>5</v>
      </c>
      <c r="I1247" t="str">
        <f t="shared" si="19"/>
        <v>-</v>
      </c>
    </row>
    <row r="1248" spans="1:9" x14ac:dyDescent="0.25">
      <c r="A1248">
        <v>12425</v>
      </c>
      <c r="B1248" t="s">
        <v>1125</v>
      </c>
      <c r="C1248" t="s">
        <v>1897</v>
      </c>
      <c r="D1248" t="s">
        <v>80</v>
      </c>
      <c r="E1248" t="s">
        <v>77</v>
      </c>
      <c r="F1248">
        <v>2</v>
      </c>
      <c r="G1248">
        <v>5</v>
      </c>
      <c r="H1248" s="1296">
        <v>10</v>
      </c>
      <c r="I1248" t="str">
        <f t="shared" si="19"/>
        <v>-</v>
      </c>
    </row>
    <row r="1249" spans="1:9" x14ac:dyDescent="0.25">
      <c r="A1249">
        <v>12426</v>
      </c>
      <c r="B1249" t="s">
        <v>1125</v>
      </c>
      <c r="C1249" t="s">
        <v>1897</v>
      </c>
      <c r="D1249" t="s">
        <v>60</v>
      </c>
      <c r="E1249" t="s">
        <v>142</v>
      </c>
      <c r="F1249">
        <v>10</v>
      </c>
      <c r="G1249">
        <v>5</v>
      </c>
      <c r="H1249" s="1296">
        <v>50</v>
      </c>
      <c r="I1249" t="str">
        <f t="shared" si="19"/>
        <v>-</v>
      </c>
    </row>
    <row r="1250" spans="1:9" x14ac:dyDescent="0.25">
      <c r="A1250">
        <v>12428</v>
      </c>
      <c r="B1250" t="s">
        <v>1125</v>
      </c>
      <c r="C1250" t="s">
        <v>1897</v>
      </c>
      <c r="D1250" t="s">
        <v>34</v>
      </c>
      <c r="E1250" t="s">
        <v>25</v>
      </c>
      <c r="F1250">
        <v>5</v>
      </c>
      <c r="G1250">
        <v>5</v>
      </c>
      <c r="H1250" s="1296">
        <v>25</v>
      </c>
      <c r="I1250" t="str">
        <f t="shared" si="19"/>
        <v>-</v>
      </c>
    </row>
    <row r="1251" spans="1:9" x14ac:dyDescent="0.25">
      <c r="A1251">
        <v>12430</v>
      </c>
      <c r="B1251" t="s">
        <v>1125</v>
      </c>
      <c r="C1251" t="s">
        <v>1897</v>
      </c>
      <c r="D1251" t="s">
        <v>1552</v>
      </c>
      <c r="E1251" t="s">
        <v>330</v>
      </c>
      <c r="F1251">
        <v>10</v>
      </c>
      <c r="G1251">
        <v>5</v>
      </c>
      <c r="H1251" s="1296">
        <v>50</v>
      </c>
      <c r="I1251" t="str">
        <f t="shared" si="19"/>
        <v>-</v>
      </c>
    </row>
    <row r="1252" spans="1:9" x14ac:dyDescent="0.25">
      <c r="A1252">
        <v>12432</v>
      </c>
      <c r="B1252" t="s">
        <v>1125</v>
      </c>
      <c r="C1252" t="s">
        <v>1897</v>
      </c>
      <c r="D1252" t="s">
        <v>3</v>
      </c>
      <c r="E1252" t="s">
        <v>4</v>
      </c>
      <c r="F1252">
        <v>6</v>
      </c>
      <c r="G1252">
        <v>5</v>
      </c>
      <c r="H1252" s="1296">
        <v>30</v>
      </c>
      <c r="I1252" t="str">
        <f t="shared" si="19"/>
        <v>-</v>
      </c>
    </row>
    <row r="1253" spans="1:9" x14ac:dyDescent="0.25">
      <c r="A1253">
        <v>12433</v>
      </c>
      <c r="B1253" t="s">
        <v>1125</v>
      </c>
      <c r="C1253" t="s">
        <v>1897</v>
      </c>
      <c r="D1253" t="s">
        <v>618</v>
      </c>
      <c r="E1253" t="s">
        <v>87</v>
      </c>
      <c r="F1253">
        <v>5</v>
      </c>
      <c r="G1253">
        <v>5</v>
      </c>
      <c r="H1253" s="1296">
        <v>25</v>
      </c>
      <c r="I1253" t="str">
        <f t="shared" si="19"/>
        <v>-</v>
      </c>
    </row>
    <row r="1254" spans="1:9" x14ac:dyDescent="0.25">
      <c r="A1254">
        <v>12435</v>
      </c>
      <c r="B1254" t="s">
        <v>1125</v>
      </c>
      <c r="C1254" t="s">
        <v>1897</v>
      </c>
      <c r="D1254" t="s">
        <v>68</v>
      </c>
      <c r="E1254" t="s">
        <v>91</v>
      </c>
      <c r="F1254">
        <v>10</v>
      </c>
      <c r="G1254">
        <v>5</v>
      </c>
      <c r="H1254" s="1296">
        <v>50</v>
      </c>
      <c r="I1254" t="str">
        <f t="shared" si="19"/>
        <v>-</v>
      </c>
    </row>
    <row r="1255" spans="1:9" x14ac:dyDescent="0.25">
      <c r="A1255">
        <v>12437</v>
      </c>
      <c r="B1255" t="s">
        <v>1125</v>
      </c>
      <c r="C1255" t="s">
        <v>1897</v>
      </c>
      <c r="D1255" t="s">
        <v>127</v>
      </c>
      <c r="E1255" t="s">
        <v>326</v>
      </c>
      <c r="F1255">
        <v>10</v>
      </c>
      <c r="G1255">
        <v>5</v>
      </c>
      <c r="H1255" s="1296">
        <v>50</v>
      </c>
      <c r="I1255" t="str">
        <f t="shared" si="19"/>
        <v>-</v>
      </c>
    </row>
    <row r="1256" spans="1:9" x14ac:dyDescent="0.25">
      <c r="A1256">
        <v>12439</v>
      </c>
      <c r="B1256" t="s">
        <v>1125</v>
      </c>
      <c r="C1256" t="s">
        <v>1897</v>
      </c>
      <c r="D1256" t="s">
        <v>1829</v>
      </c>
      <c r="E1256" t="s">
        <v>331</v>
      </c>
      <c r="F1256">
        <v>5</v>
      </c>
      <c r="G1256">
        <v>5</v>
      </c>
      <c r="H1256" s="1296">
        <v>25</v>
      </c>
      <c r="I1256" t="str">
        <f t="shared" si="19"/>
        <v>-</v>
      </c>
    </row>
    <row r="1257" spans="1:9" x14ac:dyDescent="0.25">
      <c r="A1257">
        <v>12441</v>
      </c>
      <c r="B1257" t="s">
        <v>1125</v>
      </c>
      <c r="C1257" t="s">
        <v>1897</v>
      </c>
      <c r="D1257" t="s">
        <v>126</v>
      </c>
      <c r="E1257" t="s">
        <v>1840</v>
      </c>
      <c r="F1257">
        <v>2</v>
      </c>
      <c r="G1257">
        <v>5</v>
      </c>
      <c r="H1257" s="1296">
        <v>10</v>
      </c>
      <c r="I1257" t="str">
        <f t="shared" si="19"/>
        <v>-</v>
      </c>
    </row>
    <row r="1258" spans="1:9" x14ac:dyDescent="0.25">
      <c r="A1258">
        <v>12443</v>
      </c>
      <c r="B1258" t="s">
        <v>1125</v>
      </c>
      <c r="C1258" t="s">
        <v>1897</v>
      </c>
      <c r="D1258" t="s">
        <v>136</v>
      </c>
      <c r="E1258" t="s">
        <v>387</v>
      </c>
      <c r="F1258">
        <v>4</v>
      </c>
      <c r="G1258">
        <v>6</v>
      </c>
      <c r="H1258" s="1296">
        <v>24</v>
      </c>
      <c r="I1258" t="str">
        <f t="shared" si="19"/>
        <v>-</v>
      </c>
    </row>
    <row r="1259" spans="1:9" x14ac:dyDescent="0.25">
      <c r="A1259">
        <v>12445</v>
      </c>
      <c r="B1259" t="s">
        <v>1125</v>
      </c>
      <c r="C1259" t="s">
        <v>1897</v>
      </c>
      <c r="D1259" t="s">
        <v>63</v>
      </c>
      <c r="E1259" t="s">
        <v>371</v>
      </c>
      <c r="F1259">
        <v>4</v>
      </c>
      <c r="G1259">
        <v>6</v>
      </c>
      <c r="H1259" s="1296">
        <v>24</v>
      </c>
      <c r="I1259" t="str">
        <f t="shared" si="19"/>
        <v>-</v>
      </c>
    </row>
    <row r="1260" spans="1:9" x14ac:dyDescent="0.25">
      <c r="A1260">
        <v>12469</v>
      </c>
      <c r="B1260" t="s">
        <v>1125</v>
      </c>
      <c r="C1260" t="s">
        <v>1897</v>
      </c>
      <c r="D1260" t="s">
        <v>2074</v>
      </c>
      <c r="E1260" t="s">
        <v>2075</v>
      </c>
      <c r="F1260">
        <v>6</v>
      </c>
      <c r="G1260">
        <v>10</v>
      </c>
      <c r="H1260" s="1296">
        <v>60</v>
      </c>
      <c r="I1260" t="str">
        <f t="shared" si="19"/>
        <v>-</v>
      </c>
    </row>
    <row r="1261" spans="1:9" x14ac:dyDescent="0.25">
      <c r="A1261">
        <v>12471</v>
      </c>
      <c r="B1261" t="s">
        <v>1125</v>
      </c>
      <c r="C1261" t="s">
        <v>1897</v>
      </c>
      <c r="D1261" t="s">
        <v>2076</v>
      </c>
      <c r="E1261" t="s">
        <v>2077</v>
      </c>
      <c r="F1261">
        <v>15</v>
      </c>
      <c r="G1261">
        <v>10</v>
      </c>
      <c r="H1261" s="1296">
        <v>150</v>
      </c>
      <c r="I1261" t="str">
        <f t="shared" si="19"/>
        <v>-</v>
      </c>
    </row>
    <row r="1262" spans="1:9" x14ac:dyDescent="0.25">
      <c r="A1262">
        <v>12474</v>
      </c>
      <c r="B1262" t="s">
        <v>1125</v>
      </c>
      <c r="C1262" t="s">
        <v>1897</v>
      </c>
      <c r="D1262" t="s">
        <v>2084</v>
      </c>
      <c r="E1262" t="s">
        <v>2085</v>
      </c>
      <c r="F1262">
        <v>6</v>
      </c>
      <c r="G1262">
        <v>10</v>
      </c>
      <c r="H1262" s="1296">
        <v>60</v>
      </c>
      <c r="I1262" t="str">
        <f t="shared" si="19"/>
        <v>-</v>
      </c>
    </row>
    <row r="1263" spans="1:9" x14ac:dyDescent="0.25">
      <c r="A1263">
        <v>12476</v>
      </c>
      <c r="B1263" t="s">
        <v>1125</v>
      </c>
      <c r="C1263" t="s">
        <v>1897</v>
      </c>
      <c r="D1263" t="s">
        <v>2086</v>
      </c>
      <c r="E1263" t="s">
        <v>2085</v>
      </c>
      <c r="F1263">
        <v>6</v>
      </c>
      <c r="G1263">
        <v>10</v>
      </c>
      <c r="H1263" s="1296">
        <v>60</v>
      </c>
      <c r="I1263" t="str">
        <f t="shared" si="19"/>
        <v>-</v>
      </c>
    </row>
    <row r="1264" spans="1:9" x14ac:dyDescent="0.25">
      <c r="A1264">
        <v>12478</v>
      </c>
      <c r="B1264" t="s">
        <v>1125</v>
      </c>
      <c r="C1264" t="s">
        <v>1897</v>
      </c>
      <c r="D1264" t="s">
        <v>2089</v>
      </c>
      <c r="E1264" t="s">
        <v>2090</v>
      </c>
      <c r="F1264">
        <v>3</v>
      </c>
      <c r="G1264">
        <v>10</v>
      </c>
      <c r="H1264" s="1296">
        <v>30</v>
      </c>
      <c r="I1264" t="str">
        <f t="shared" si="19"/>
        <v>-</v>
      </c>
    </row>
    <row r="1265" spans="1:9" x14ac:dyDescent="0.25">
      <c r="A1265">
        <v>12514</v>
      </c>
      <c r="B1265" t="s">
        <v>1122</v>
      </c>
      <c r="C1265" t="s">
        <v>1896</v>
      </c>
      <c r="D1265" t="s">
        <v>2091</v>
      </c>
      <c r="E1265" t="s">
        <v>327</v>
      </c>
      <c r="F1265">
        <v>5</v>
      </c>
      <c r="G1265">
        <v>5</v>
      </c>
      <c r="H1265" s="1296">
        <v>25</v>
      </c>
      <c r="I1265" t="str">
        <f t="shared" si="19"/>
        <v>-</v>
      </c>
    </row>
    <row r="1266" spans="1:9" x14ac:dyDescent="0.25">
      <c r="A1266">
        <v>12515</v>
      </c>
      <c r="B1266" t="s">
        <v>1122</v>
      </c>
      <c r="C1266" t="s">
        <v>1896</v>
      </c>
      <c r="D1266" t="s">
        <v>2068</v>
      </c>
      <c r="E1266" t="s">
        <v>340</v>
      </c>
      <c r="F1266">
        <v>3</v>
      </c>
      <c r="G1266">
        <v>5</v>
      </c>
      <c r="H1266" s="1296">
        <v>15</v>
      </c>
      <c r="I1266" t="str">
        <f t="shared" si="19"/>
        <v>-</v>
      </c>
    </row>
    <row r="1267" spans="1:9" x14ac:dyDescent="0.25">
      <c r="A1267">
        <v>12516</v>
      </c>
      <c r="B1267" t="s">
        <v>1122</v>
      </c>
      <c r="C1267" t="s">
        <v>1896</v>
      </c>
      <c r="D1267" t="s">
        <v>1300</v>
      </c>
      <c r="E1267" t="s">
        <v>332</v>
      </c>
      <c r="F1267">
        <v>2</v>
      </c>
      <c r="G1267">
        <v>5</v>
      </c>
      <c r="H1267" s="1296">
        <v>10</v>
      </c>
      <c r="I1267" t="str">
        <f t="shared" si="19"/>
        <v>-</v>
      </c>
    </row>
    <row r="1268" spans="1:9" x14ac:dyDescent="0.25">
      <c r="A1268">
        <v>12517</v>
      </c>
      <c r="B1268" t="s">
        <v>1122</v>
      </c>
      <c r="C1268" t="s">
        <v>1896</v>
      </c>
      <c r="D1268" t="s">
        <v>1325</v>
      </c>
      <c r="E1268" t="s">
        <v>339</v>
      </c>
      <c r="F1268">
        <v>2</v>
      </c>
      <c r="G1268">
        <v>5</v>
      </c>
      <c r="H1268" s="1296">
        <v>10</v>
      </c>
      <c r="I1268" t="str">
        <f t="shared" si="19"/>
        <v>-</v>
      </c>
    </row>
    <row r="1269" spans="1:9" x14ac:dyDescent="0.25">
      <c r="A1269">
        <v>12518</v>
      </c>
      <c r="B1269" t="s">
        <v>1122</v>
      </c>
      <c r="C1269" t="s">
        <v>1896</v>
      </c>
      <c r="D1269" t="s">
        <v>199</v>
      </c>
      <c r="E1269" t="s">
        <v>142</v>
      </c>
      <c r="F1269">
        <v>5</v>
      </c>
      <c r="G1269">
        <v>5</v>
      </c>
      <c r="H1269" s="1296">
        <v>25</v>
      </c>
      <c r="I1269" t="str">
        <f t="shared" si="19"/>
        <v>-</v>
      </c>
    </row>
    <row r="1270" spans="1:9" x14ac:dyDescent="0.25">
      <c r="A1270">
        <v>12520</v>
      </c>
      <c r="B1270" t="s">
        <v>1122</v>
      </c>
      <c r="C1270" t="s">
        <v>1896</v>
      </c>
      <c r="D1270" t="s">
        <v>203</v>
      </c>
      <c r="E1270" t="s">
        <v>336</v>
      </c>
      <c r="F1270">
        <v>2</v>
      </c>
      <c r="G1270">
        <v>5</v>
      </c>
      <c r="H1270" s="1296">
        <v>10</v>
      </c>
      <c r="I1270" t="str">
        <f t="shared" si="19"/>
        <v>-</v>
      </c>
    </row>
    <row r="1271" spans="1:9" x14ac:dyDescent="0.25">
      <c r="A1271">
        <v>12521</v>
      </c>
      <c r="B1271" t="s">
        <v>1122</v>
      </c>
      <c r="C1271" t="s">
        <v>1896</v>
      </c>
      <c r="D1271" t="s">
        <v>655</v>
      </c>
      <c r="E1271" t="s">
        <v>94</v>
      </c>
      <c r="F1271">
        <v>2</v>
      </c>
      <c r="G1271">
        <v>5</v>
      </c>
      <c r="H1271" s="1296">
        <v>10</v>
      </c>
      <c r="I1271" t="str">
        <f t="shared" si="19"/>
        <v>-</v>
      </c>
    </row>
    <row r="1272" spans="1:9" x14ac:dyDescent="0.25">
      <c r="A1272">
        <v>12522</v>
      </c>
      <c r="B1272" t="s">
        <v>1122</v>
      </c>
      <c r="C1272" t="s">
        <v>1896</v>
      </c>
      <c r="D1272" t="s">
        <v>34</v>
      </c>
      <c r="E1272" t="s">
        <v>25</v>
      </c>
      <c r="F1272">
        <v>30</v>
      </c>
      <c r="G1272">
        <v>5</v>
      </c>
      <c r="H1272" s="1296">
        <v>150</v>
      </c>
      <c r="I1272" t="str">
        <f t="shared" si="19"/>
        <v>-</v>
      </c>
    </row>
    <row r="1273" spans="1:9" x14ac:dyDescent="0.25">
      <c r="A1273">
        <v>12524</v>
      </c>
      <c r="B1273" t="s">
        <v>1122</v>
      </c>
      <c r="C1273" t="s">
        <v>1896</v>
      </c>
      <c r="D1273" t="s">
        <v>1552</v>
      </c>
      <c r="E1273" t="s">
        <v>330</v>
      </c>
      <c r="F1273">
        <v>10</v>
      </c>
      <c r="G1273">
        <v>5</v>
      </c>
      <c r="H1273" s="1296">
        <v>50</v>
      </c>
      <c r="I1273" t="str">
        <f t="shared" si="19"/>
        <v>-</v>
      </c>
    </row>
    <row r="1274" spans="1:9" x14ac:dyDescent="0.25">
      <c r="A1274">
        <v>12526</v>
      </c>
      <c r="B1274" t="s">
        <v>1122</v>
      </c>
      <c r="C1274" t="s">
        <v>1896</v>
      </c>
      <c r="D1274" t="s">
        <v>2093</v>
      </c>
      <c r="E1274" t="s">
        <v>77</v>
      </c>
      <c r="F1274">
        <v>4</v>
      </c>
      <c r="G1274">
        <v>5</v>
      </c>
      <c r="H1274" s="1296">
        <v>20</v>
      </c>
      <c r="I1274" t="str">
        <f t="shared" si="19"/>
        <v>-</v>
      </c>
    </row>
    <row r="1275" spans="1:9" x14ac:dyDescent="0.25">
      <c r="A1275">
        <v>12527</v>
      </c>
      <c r="B1275" t="s">
        <v>1122</v>
      </c>
      <c r="C1275" t="s">
        <v>1896</v>
      </c>
      <c r="D1275" t="s">
        <v>3</v>
      </c>
      <c r="E1275" t="s">
        <v>4</v>
      </c>
      <c r="F1275">
        <v>5</v>
      </c>
      <c r="G1275">
        <v>5</v>
      </c>
      <c r="H1275" s="1296">
        <v>25</v>
      </c>
      <c r="I1275" t="str">
        <f t="shared" si="19"/>
        <v>-</v>
      </c>
    </row>
    <row r="1276" spans="1:9" x14ac:dyDescent="0.25">
      <c r="A1276">
        <v>12528</v>
      </c>
      <c r="B1276" t="s">
        <v>1122</v>
      </c>
      <c r="C1276" t="s">
        <v>1896</v>
      </c>
      <c r="D1276" t="s">
        <v>126</v>
      </c>
      <c r="E1276" t="s">
        <v>1840</v>
      </c>
      <c r="F1276">
        <v>2</v>
      </c>
      <c r="G1276">
        <v>5</v>
      </c>
      <c r="H1276" s="1296">
        <v>10</v>
      </c>
      <c r="I1276" t="str">
        <f t="shared" si="19"/>
        <v>-</v>
      </c>
    </row>
    <row r="1277" spans="1:9" x14ac:dyDescent="0.25">
      <c r="A1277">
        <v>12529</v>
      </c>
      <c r="B1277" t="s">
        <v>1122</v>
      </c>
      <c r="C1277" t="s">
        <v>1896</v>
      </c>
      <c r="D1277" t="s">
        <v>146</v>
      </c>
      <c r="E1277" t="s">
        <v>342</v>
      </c>
      <c r="F1277">
        <v>1</v>
      </c>
      <c r="G1277">
        <v>5</v>
      </c>
      <c r="H1277" s="1296">
        <v>5</v>
      </c>
      <c r="I1277" t="str">
        <f t="shared" si="19"/>
        <v>-</v>
      </c>
    </row>
    <row r="1278" spans="1:9" x14ac:dyDescent="0.25">
      <c r="A1278">
        <v>12530</v>
      </c>
      <c r="B1278" t="s">
        <v>1122</v>
      </c>
      <c r="C1278" t="s">
        <v>1896</v>
      </c>
      <c r="D1278" t="s">
        <v>39</v>
      </c>
      <c r="E1278" t="s">
        <v>36</v>
      </c>
      <c r="F1278">
        <v>3</v>
      </c>
      <c r="G1278">
        <v>5</v>
      </c>
      <c r="H1278" s="1296">
        <v>15</v>
      </c>
      <c r="I1278" t="str">
        <f t="shared" si="19"/>
        <v>-</v>
      </c>
    </row>
    <row r="1279" spans="1:9" x14ac:dyDescent="0.25">
      <c r="A1279">
        <v>12531</v>
      </c>
      <c r="B1279" t="s">
        <v>1122</v>
      </c>
      <c r="C1279" t="s">
        <v>1896</v>
      </c>
      <c r="D1279" t="s">
        <v>125</v>
      </c>
      <c r="E1279" t="s">
        <v>324</v>
      </c>
      <c r="F1279">
        <v>3</v>
      </c>
      <c r="G1279">
        <v>5</v>
      </c>
      <c r="H1279" s="1296">
        <v>15</v>
      </c>
      <c r="I1279" t="str">
        <f t="shared" si="19"/>
        <v>-</v>
      </c>
    </row>
    <row r="1280" spans="1:9" x14ac:dyDescent="0.25">
      <c r="A1280">
        <v>12532</v>
      </c>
      <c r="B1280" t="s">
        <v>1122</v>
      </c>
      <c r="C1280" t="s">
        <v>1896</v>
      </c>
      <c r="D1280" t="s">
        <v>127</v>
      </c>
      <c r="E1280" t="s">
        <v>326</v>
      </c>
      <c r="F1280">
        <v>5</v>
      </c>
      <c r="G1280">
        <v>5</v>
      </c>
      <c r="H1280" s="1296">
        <v>25</v>
      </c>
      <c r="I1280" t="str">
        <f t="shared" si="19"/>
        <v>-</v>
      </c>
    </row>
    <row r="1281" spans="1:9" x14ac:dyDescent="0.25">
      <c r="A1281">
        <v>12535</v>
      </c>
      <c r="B1281" t="s">
        <v>1122</v>
      </c>
      <c r="C1281" t="s">
        <v>1896</v>
      </c>
      <c r="D1281" t="s">
        <v>143</v>
      </c>
      <c r="E1281" t="s">
        <v>374</v>
      </c>
      <c r="F1281">
        <v>4</v>
      </c>
      <c r="G1281">
        <v>6</v>
      </c>
      <c r="H1281" s="1296">
        <v>24</v>
      </c>
      <c r="I1281" t="str">
        <f t="shared" si="19"/>
        <v>-</v>
      </c>
    </row>
    <row r="1282" spans="1:9" x14ac:dyDescent="0.25">
      <c r="A1282">
        <v>12537</v>
      </c>
      <c r="B1282" t="s">
        <v>1122</v>
      </c>
      <c r="C1282" t="s">
        <v>1896</v>
      </c>
      <c r="D1282" t="s">
        <v>139</v>
      </c>
      <c r="E1282" t="s">
        <v>2094</v>
      </c>
      <c r="F1282">
        <v>4</v>
      </c>
      <c r="G1282">
        <v>6</v>
      </c>
      <c r="H1282" s="1296">
        <v>24</v>
      </c>
      <c r="I1282" t="str">
        <f t="shared" ref="I1282:I1345" si="20">INDEX($N$2:$N$355,MATCH($A1282,$L$2:$L$355,1))</f>
        <v>-</v>
      </c>
    </row>
    <row r="1283" spans="1:9" x14ac:dyDescent="0.25">
      <c r="A1283">
        <v>12539</v>
      </c>
      <c r="B1283" t="s">
        <v>1122</v>
      </c>
      <c r="C1283" t="s">
        <v>1896</v>
      </c>
      <c r="D1283" t="s">
        <v>763</v>
      </c>
      <c r="E1283" t="s">
        <v>378</v>
      </c>
      <c r="F1283">
        <v>4</v>
      </c>
      <c r="G1283">
        <v>6</v>
      </c>
      <c r="H1283" s="1296">
        <v>24</v>
      </c>
      <c r="I1283" t="str">
        <f t="shared" si="20"/>
        <v>-</v>
      </c>
    </row>
    <row r="1284" spans="1:9" x14ac:dyDescent="0.25">
      <c r="A1284">
        <v>12541</v>
      </c>
      <c r="B1284" t="s">
        <v>1122</v>
      </c>
      <c r="C1284" t="s">
        <v>1896</v>
      </c>
      <c r="D1284" t="s">
        <v>1718</v>
      </c>
      <c r="E1284" t="s">
        <v>379</v>
      </c>
      <c r="F1284">
        <v>4</v>
      </c>
      <c r="G1284">
        <v>6</v>
      </c>
      <c r="H1284" s="1296">
        <v>24</v>
      </c>
      <c r="I1284" t="str">
        <f t="shared" si="20"/>
        <v>-</v>
      </c>
    </row>
    <row r="1285" spans="1:9" x14ac:dyDescent="0.25">
      <c r="A1285">
        <v>12560</v>
      </c>
      <c r="B1285" t="s">
        <v>1122</v>
      </c>
      <c r="C1285" t="s">
        <v>1896</v>
      </c>
      <c r="D1285" t="s">
        <v>2074</v>
      </c>
      <c r="E1285" t="s">
        <v>2075</v>
      </c>
      <c r="F1285">
        <v>6</v>
      </c>
      <c r="G1285">
        <v>10</v>
      </c>
      <c r="H1285" s="1296">
        <v>60</v>
      </c>
      <c r="I1285" t="str">
        <f t="shared" si="20"/>
        <v>-</v>
      </c>
    </row>
    <row r="1286" spans="1:9" x14ac:dyDescent="0.25">
      <c r="A1286">
        <v>12562</v>
      </c>
      <c r="B1286" t="s">
        <v>1122</v>
      </c>
      <c r="C1286" t="s">
        <v>1896</v>
      </c>
      <c r="D1286" t="s">
        <v>2076</v>
      </c>
      <c r="E1286" t="s">
        <v>2077</v>
      </c>
      <c r="F1286">
        <v>6</v>
      </c>
      <c r="G1286">
        <v>10</v>
      </c>
      <c r="H1286" s="1296">
        <v>60</v>
      </c>
      <c r="I1286" t="str">
        <f t="shared" si="20"/>
        <v>-</v>
      </c>
    </row>
    <row r="1287" spans="1:9" x14ac:dyDescent="0.25">
      <c r="A1287">
        <v>12565</v>
      </c>
      <c r="B1287" t="s">
        <v>1122</v>
      </c>
      <c r="C1287" t="s">
        <v>1896</v>
      </c>
      <c r="D1287" t="s">
        <v>2095</v>
      </c>
      <c r="E1287" t="s">
        <v>2096</v>
      </c>
      <c r="F1287">
        <v>31</v>
      </c>
      <c r="G1287">
        <v>10</v>
      </c>
      <c r="H1287" s="1296">
        <v>310</v>
      </c>
      <c r="I1287" t="str">
        <f t="shared" si="20"/>
        <v>-</v>
      </c>
    </row>
    <row r="1288" spans="1:9" x14ac:dyDescent="0.25">
      <c r="A1288">
        <v>12567</v>
      </c>
      <c r="B1288" t="s">
        <v>1122</v>
      </c>
      <c r="C1288" t="s">
        <v>1896</v>
      </c>
      <c r="D1288" t="s">
        <v>2097</v>
      </c>
      <c r="E1288" t="s">
        <v>2098</v>
      </c>
      <c r="F1288">
        <v>15</v>
      </c>
      <c r="G1288">
        <v>10</v>
      </c>
      <c r="H1288" s="1296">
        <v>150</v>
      </c>
      <c r="I1288" t="str">
        <f t="shared" si="20"/>
        <v>-</v>
      </c>
    </row>
    <row r="1289" spans="1:9" x14ac:dyDescent="0.25">
      <c r="A1289">
        <v>12607</v>
      </c>
      <c r="B1289" t="s">
        <v>1128</v>
      </c>
      <c r="C1289" t="s">
        <v>2099</v>
      </c>
      <c r="D1289" t="s">
        <v>3</v>
      </c>
      <c r="F1289">
        <v>1</v>
      </c>
      <c r="G1289">
        <v>101</v>
      </c>
      <c r="H1289" s="1296">
        <v>101</v>
      </c>
      <c r="I1289" t="str">
        <f t="shared" si="20"/>
        <v>-</v>
      </c>
    </row>
    <row r="1290" spans="1:9" x14ac:dyDescent="0.25">
      <c r="A1290">
        <v>12654</v>
      </c>
      <c r="B1290" t="s">
        <v>1125</v>
      </c>
      <c r="C1290" t="s">
        <v>1899</v>
      </c>
      <c r="D1290" t="s">
        <v>655</v>
      </c>
      <c r="E1290" t="s">
        <v>94</v>
      </c>
      <c r="F1290">
        <v>3</v>
      </c>
      <c r="G1290">
        <v>5</v>
      </c>
      <c r="H1290" s="1296">
        <v>15</v>
      </c>
      <c r="I1290" t="str">
        <f t="shared" si="20"/>
        <v>-</v>
      </c>
    </row>
    <row r="1291" spans="1:9" x14ac:dyDescent="0.25">
      <c r="A1291">
        <v>12655</v>
      </c>
      <c r="B1291" t="s">
        <v>1125</v>
      </c>
      <c r="C1291" t="s">
        <v>1899</v>
      </c>
      <c r="D1291" t="s">
        <v>34</v>
      </c>
      <c r="E1291" t="s">
        <v>25</v>
      </c>
      <c r="F1291">
        <v>10</v>
      </c>
      <c r="G1291">
        <v>5</v>
      </c>
      <c r="H1291" s="1296">
        <v>50</v>
      </c>
      <c r="I1291" t="str">
        <f t="shared" si="20"/>
        <v>-</v>
      </c>
    </row>
    <row r="1292" spans="1:9" x14ac:dyDescent="0.25">
      <c r="A1292">
        <v>12657</v>
      </c>
      <c r="B1292" t="s">
        <v>1125</v>
      </c>
      <c r="C1292" t="s">
        <v>1899</v>
      </c>
      <c r="D1292" t="s">
        <v>1552</v>
      </c>
      <c r="E1292" t="s">
        <v>330</v>
      </c>
      <c r="F1292">
        <v>5</v>
      </c>
      <c r="G1292">
        <v>5</v>
      </c>
      <c r="H1292" s="1296">
        <v>25</v>
      </c>
      <c r="I1292" t="str">
        <f t="shared" si="20"/>
        <v>-</v>
      </c>
    </row>
    <row r="1293" spans="1:9" x14ac:dyDescent="0.25">
      <c r="A1293">
        <v>12659</v>
      </c>
      <c r="B1293" t="s">
        <v>1125</v>
      </c>
      <c r="C1293" t="s">
        <v>1899</v>
      </c>
      <c r="D1293" t="s">
        <v>3</v>
      </c>
      <c r="E1293" t="s">
        <v>4</v>
      </c>
      <c r="F1293">
        <v>4</v>
      </c>
      <c r="G1293">
        <v>5</v>
      </c>
      <c r="H1293" s="1296">
        <v>20</v>
      </c>
      <c r="I1293" t="str">
        <f t="shared" si="20"/>
        <v>-</v>
      </c>
    </row>
    <row r="1294" spans="1:9" x14ac:dyDescent="0.25">
      <c r="A1294">
        <v>12660</v>
      </c>
      <c r="B1294" t="s">
        <v>1125</v>
      </c>
      <c r="C1294" t="s">
        <v>1899</v>
      </c>
      <c r="D1294" t="s">
        <v>68</v>
      </c>
      <c r="E1294" t="s">
        <v>91</v>
      </c>
      <c r="F1294">
        <v>5</v>
      </c>
      <c r="G1294">
        <v>5</v>
      </c>
      <c r="H1294" s="1296">
        <v>25</v>
      </c>
      <c r="I1294" t="str">
        <f t="shared" si="20"/>
        <v>-</v>
      </c>
    </row>
    <row r="1295" spans="1:9" x14ac:dyDescent="0.25">
      <c r="A1295">
        <v>12662</v>
      </c>
      <c r="B1295" t="s">
        <v>1125</v>
      </c>
      <c r="C1295" t="s">
        <v>1899</v>
      </c>
      <c r="D1295" t="s">
        <v>127</v>
      </c>
      <c r="E1295" t="s">
        <v>326</v>
      </c>
      <c r="F1295">
        <v>5</v>
      </c>
      <c r="G1295">
        <v>5</v>
      </c>
      <c r="H1295" s="1296">
        <v>25</v>
      </c>
      <c r="I1295" t="str">
        <f t="shared" si="20"/>
        <v>-</v>
      </c>
    </row>
    <row r="1296" spans="1:9" x14ac:dyDescent="0.25">
      <c r="A1296">
        <v>12664</v>
      </c>
      <c r="B1296" t="s">
        <v>1125</v>
      </c>
      <c r="C1296" t="s">
        <v>1899</v>
      </c>
      <c r="D1296" t="s">
        <v>287</v>
      </c>
      <c r="E1296" t="s">
        <v>331</v>
      </c>
      <c r="F1296">
        <v>1</v>
      </c>
      <c r="G1296">
        <v>5</v>
      </c>
      <c r="H1296" s="1296">
        <v>5</v>
      </c>
      <c r="I1296" t="str">
        <f t="shared" si="20"/>
        <v>-</v>
      </c>
    </row>
    <row r="1297" spans="1:9" x14ac:dyDescent="0.25">
      <c r="A1297">
        <v>12668</v>
      </c>
      <c r="B1297" t="s">
        <v>1125</v>
      </c>
      <c r="C1297" t="s">
        <v>1899</v>
      </c>
      <c r="D1297" t="s">
        <v>1718</v>
      </c>
      <c r="E1297" t="s">
        <v>379</v>
      </c>
      <c r="F1297">
        <v>4</v>
      </c>
      <c r="G1297">
        <v>6</v>
      </c>
      <c r="H1297" s="1296">
        <v>24</v>
      </c>
      <c r="I1297" t="str">
        <f t="shared" si="20"/>
        <v>-</v>
      </c>
    </row>
    <row r="1298" spans="1:9" x14ac:dyDescent="0.25">
      <c r="A1298">
        <v>12670</v>
      </c>
      <c r="B1298" t="s">
        <v>1125</v>
      </c>
      <c r="C1298" t="s">
        <v>1899</v>
      </c>
      <c r="D1298" t="s">
        <v>136</v>
      </c>
      <c r="E1298" t="s">
        <v>387</v>
      </c>
      <c r="F1298">
        <v>4</v>
      </c>
      <c r="G1298">
        <v>6</v>
      </c>
      <c r="H1298" s="1296">
        <v>24</v>
      </c>
      <c r="I1298" t="str">
        <f t="shared" si="20"/>
        <v>-</v>
      </c>
    </row>
    <row r="1299" spans="1:9" x14ac:dyDescent="0.25">
      <c r="A1299">
        <v>12672</v>
      </c>
      <c r="B1299" t="s">
        <v>1125</v>
      </c>
      <c r="C1299" t="s">
        <v>1899</v>
      </c>
      <c r="D1299" t="s">
        <v>1737</v>
      </c>
      <c r="E1299" t="s">
        <v>371</v>
      </c>
      <c r="F1299">
        <v>4</v>
      </c>
      <c r="G1299">
        <v>6</v>
      </c>
      <c r="H1299" s="1296">
        <v>24</v>
      </c>
      <c r="I1299" t="str">
        <f t="shared" si="20"/>
        <v>-</v>
      </c>
    </row>
    <row r="1300" spans="1:9" x14ac:dyDescent="0.25">
      <c r="A1300">
        <v>12674</v>
      </c>
      <c r="B1300" t="s">
        <v>1125</v>
      </c>
      <c r="C1300" t="s">
        <v>1899</v>
      </c>
      <c r="D1300" t="s">
        <v>239</v>
      </c>
      <c r="F1300">
        <v>4</v>
      </c>
      <c r="G1300">
        <v>6</v>
      </c>
      <c r="H1300" s="1296">
        <v>24</v>
      </c>
      <c r="I1300" t="str">
        <f t="shared" si="20"/>
        <v>-</v>
      </c>
    </row>
    <row r="1301" spans="1:9" x14ac:dyDescent="0.25">
      <c r="A1301">
        <v>12700</v>
      </c>
      <c r="B1301" t="s">
        <v>1125</v>
      </c>
      <c r="C1301" t="s">
        <v>1899</v>
      </c>
      <c r="D1301" t="s">
        <v>2074</v>
      </c>
      <c r="E1301" t="s">
        <v>2075</v>
      </c>
      <c r="F1301">
        <v>6</v>
      </c>
      <c r="G1301">
        <v>10</v>
      </c>
      <c r="H1301" s="1296">
        <v>60</v>
      </c>
      <c r="I1301" t="str">
        <f t="shared" si="20"/>
        <v>-</v>
      </c>
    </row>
    <row r="1302" spans="1:9" x14ac:dyDescent="0.25">
      <c r="A1302">
        <v>12702</v>
      </c>
      <c r="B1302" t="s">
        <v>1125</v>
      </c>
      <c r="C1302" t="s">
        <v>1899</v>
      </c>
      <c r="D1302" t="s">
        <v>2076</v>
      </c>
      <c r="E1302" t="s">
        <v>2077</v>
      </c>
      <c r="F1302">
        <v>6</v>
      </c>
      <c r="G1302">
        <v>10</v>
      </c>
      <c r="H1302" s="1296">
        <v>60</v>
      </c>
      <c r="I1302" t="str">
        <f t="shared" si="20"/>
        <v>-</v>
      </c>
    </row>
    <row r="1303" spans="1:9" x14ac:dyDescent="0.25">
      <c r="A1303">
        <v>12704</v>
      </c>
      <c r="B1303" t="s">
        <v>1125</v>
      </c>
      <c r="C1303" t="s">
        <v>1899</v>
      </c>
      <c r="D1303" t="s">
        <v>2078</v>
      </c>
      <c r="E1303" t="s">
        <v>2079</v>
      </c>
      <c r="F1303">
        <v>2</v>
      </c>
      <c r="G1303">
        <v>10</v>
      </c>
      <c r="H1303" s="1296">
        <v>20</v>
      </c>
      <c r="I1303" t="str">
        <f t="shared" si="20"/>
        <v>-</v>
      </c>
    </row>
    <row r="1304" spans="1:9" x14ac:dyDescent="0.25">
      <c r="A1304">
        <v>12707</v>
      </c>
      <c r="B1304" t="s">
        <v>1125</v>
      </c>
      <c r="C1304" t="s">
        <v>1899</v>
      </c>
      <c r="D1304" t="s">
        <v>2095</v>
      </c>
      <c r="E1304" t="s">
        <v>2096</v>
      </c>
      <c r="F1304">
        <v>4</v>
      </c>
      <c r="G1304">
        <v>10</v>
      </c>
      <c r="H1304" s="1296">
        <v>40</v>
      </c>
      <c r="I1304" t="str">
        <f t="shared" si="20"/>
        <v>-</v>
      </c>
    </row>
    <row r="1305" spans="1:9" x14ac:dyDescent="0.25">
      <c r="A1305">
        <v>12709</v>
      </c>
      <c r="B1305" t="s">
        <v>1125</v>
      </c>
      <c r="C1305" t="s">
        <v>1899</v>
      </c>
      <c r="D1305" t="s">
        <v>2097</v>
      </c>
      <c r="E1305" t="s">
        <v>2098</v>
      </c>
      <c r="F1305">
        <v>2</v>
      </c>
      <c r="G1305">
        <v>10</v>
      </c>
      <c r="H1305" s="1296">
        <v>20</v>
      </c>
      <c r="I1305" t="str">
        <f t="shared" si="20"/>
        <v>-</v>
      </c>
    </row>
    <row r="1306" spans="1:9" x14ac:dyDescent="0.25">
      <c r="A1306">
        <v>12711</v>
      </c>
      <c r="B1306" t="s">
        <v>1125</v>
      </c>
      <c r="C1306" t="s">
        <v>1899</v>
      </c>
      <c r="D1306" t="s">
        <v>2103</v>
      </c>
      <c r="E1306" t="s">
        <v>2104</v>
      </c>
      <c r="F1306">
        <v>2</v>
      </c>
      <c r="G1306">
        <v>10</v>
      </c>
      <c r="H1306" s="1296">
        <v>20</v>
      </c>
      <c r="I1306" t="str">
        <f t="shared" si="20"/>
        <v>-</v>
      </c>
    </row>
    <row r="1307" spans="1:9" x14ac:dyDescent="0.25">
      <c r="A1307">
        <v>12745</v>
      </c>
      <c r="B1307" t="s">
        <v>1128</v>
      </c>
      <c r="C1307" t="s">
        <v>2105</v>
      </c>
      <c r="D1307" t="s">
        <v>1718</v>
      </c>
      <c r="E1307" t="s">
        <v>379</v>
      </c>
      <c r="F1307">
        <v>4</v>
      </c>
      <c r="G1307">
        <v>6</v>
      </c>
      <c r="H1307" s="1296">
        <v>24</v>
      </c>
      <c r="I1307" t="str">
        <f t="shared" si="20"/>
        <v>-</v>
      </c>
    </row>
    <row r="1308" spans="1:9" x14ac:dyDescent="0.25">
      <c r="A1308">
        <v>12748</v>
      </c>
      <c r="B1308" t="s">
        <v>1128</v>
      </c>
      <c r="C1308" t="s">
        <v>2105</v>
      </c>
      <c r="D1308" t="s">
        <v>2089</v>
      </c>
      <c r="E1308" t="s">
        <v>2090</v>
      </c>
      <c r="F1308">
        <v>2</v>
      </c>
      <c r="G1308">
        <v>10</v>
      </c>
      <c r="H1308" s="1296">
        <v>20</v>
      </c>
      <c r="I1308" t="str">
        <f t="shared" si="20"/>
        <v>-</v>
      </c>
    </row>
    <row r="1309" spans="1:9" x14ac:dyDescent="0.25">
      <c r="A1309">
        <v>12793</v>
      </c>
      <c r="B1309" t="s">
        <v>1128</v>
      </c>
      <c r="C1309" t="s">
        <v>2106</v>
      </c>
      <c r="D1309" t="s">
        <v>239</v>
      </c>
      <c r="E1309" t="s">
        <v>391</v>
      </c>
      <c r="F1309">
        <v>3</v>
      </c>
      <c r="G1309">
        <v>6</v>
      </c>
      <c r="H1309" s="1296">
        <v>18</v>
      </c>
      <c r="I1309" t="str">
        <f t="shared" si="20"/>
        <v>-</v>
      </c>
    </row>
    <row r="1310" spans="1:9" x14ac:dyDescent="0.25">
      <c r="A1310">
        <v>12795</v>
      </c>
      <c r="B1310" t="s">
        <v>1128</v>
      </c>
      <c r="C1310" t="s">
        <v>2106</v>
      </c>
      <c r="D1310" t="s">
        <v>139</v>
      </c>
      <c r="E1310" t="s">
        <v>1349</v>
      </c>
      <c r="F1310">
        <v>1</v>
      </c>
      <c r="G1310">
        <v>6</v>
      </c>
      <c r="H1310" s="1296">
        <v>6</v>
      </c>
      <c r="I1310" t="str">
        <f t="shared" si="20"/>
        <v>-</v>
      </c>
    </row>
    <row r="1311" spans="1:9" x14ac:dyDescent="0.25">
      <c r="A1311">
        <v>12796</v>
      </c>
      <c r="B1311" t="s">
        <v>1128</v>
      </c>
      <c r="C1311" t="s">
        <v>2106</v>
      </c>
      <c r="D1311" t="s">
        <v>815</v>
      </c>
      <c r="E1311" t="s">
        <v>385</v>
      </c>
      <c r="F1311">
        <v>1</v>
      </c>
      <c r="G1311">
        <v>6</v>
      </c>
      <c r="H1311" s="1296">
        <v>6</v>
      </c>
      <c r="I1311" t="str">
        <f t="shared" si="20"/>
        <v>-</v>
      </c>
    </row>
    <row r="1312" spans="1:9" x14ac:dyDescent="0.25">
      <c r="A1312">
        <v>12797</v>
      </c>
      <c r="B1312" t="s">
        <v>1128</v>
      </c>
      <c r="C1312" t="s">
        <v>2106</v>
      </c>
      <c r="D1312" t="s">
        <v>158</v>
      </c>
      <c r="E1312" t="s">
        <v>390</v>
      </c>
      <c r="F1312">
        <v>1</v>
      </c>
      <c r="G1312">
        <v>6</v>
      </c>
      <c r="H1312" s="1296">
        <v>6</v>
      </c>
      <c r="I1312" t="str">
        <f t="shared" si="20"/>
        <v>-</v>
      </c>
    </row>
    <row r="1313" spans="1:9" x14ac:dyDescent="0.25">
      <c r="A1313">
        <v>12799</v>
      </c>
      <c r="B1313" t="s">
        <v>1128</v>
      </c>
      <c r="C1313" t="s">
        <v>2106</v>
      </c>
      <c r="D1313" t="s">
        <v>2095</v>
      </c>
      <c r="E1313" t="s">
        <v>2096</v>
      </c>
      <c r="F1313">
        <v>3</v>
      </c>
      <c r="G1313">
        <v>10</v>
      </c>
      <c r="H1313" s="1296">
        <v>30</v>
      </c>
      <c r="I1313" t="str">
        <f t="shared" si="20"/>
        <v>-</v>
      </c>
    </row>
    <row r="1314" spans="1:9" x14ac:dyDescent="0.25">
      <c r="A1314">
        <v>12803</v>
      </c>
      <c r="B1314" t="s">
        <v>1128</v>
      </c>
      <c r="C1314" t="s">
        <v>2106</v>
      </c>
      <c r="D1314" t="s">
        <v>2109</v>
      </c>
      <c r="F1314">
        <v>5</v>
      </c>
      <c r="G1314">
        <v>10</v>
      </c>
      <c r="H1314" s="1296">
        <v>50</v>
      </c>
      <c r="I1314" t="str">
        <f t="shared" si="20"/>
        <v>-</v>
      </c>
    </row>
    <row r="1315" spans="1:9" x14ac:dyDescent="0.25">
      <c r="A1315">
        <v>12839</v>
      </c>
      <c r="B1315" t="s">
        <v>1125</v>
      </c>
      <c r="C1315" t="s">
        <v>2110</v>
      </c>
      <c r="D1315" t="s">
        <v>147</v>
      </c>
      <c r="E1315" t="s">
        <v>343</v>
      </c>
      <c r="F1315">
        <v>5</v>
      </c>
      <c r="G1315">
        <v>5</v>
      </c>
      <c r="H1315" s="1296">
        <v>25</v>
      </c>
      <c r="I1315" t="str">
        <f t="shared" si="20"/>
        <v>-</v>
      </c>
    </row>
    <row r="1316" spans="1:9" x14ac:dyDescent="0.25">
      <c r="A1316">
        <v>12881</v>
      </c>
      <c r="B1316" t="s">
        <v>1122</v>
      </c>
      <c r="C1316" t="s">
        <v>2009</v>
      </c>
      <c r="D1316" t="s">
        <v>618</v>
      </c>
      <c r="E1316" t="s">
        <v>87</v>
      </c>
      <c r="F1316">
        <v>5</v>
      </c>
      <c r="G1316">
        <v>5</v>
      </c>
      <c r="H1316" s="1296">
        <v>25</v>
      </c>
      <c r="I1316" t="str">
        <f t="shared" si="20"/>
        <v>-</v>
      </c>
    </row>
    <row r="1317" spans="1:9" x14ac:dyDescent="0.25">
      <c r="A1317">
        <v>12931</v>
      </c>
      <c r="B1317" t="s">
        <v>1140</v>
      </c>
      <c r="C1317" t="s">
        <v>2007</v>
      </c>
      <c r="D1317" t="s">
        <v>143</v>
      </c>
      <c r="E1317" t="s">
        <v>339</v>
      </c>
      <c r="F1317">
        <v>1</v>
      </c>
      <c r="G1317">
        <v>5</v>
      </c>
      <c r="H1317" s="1296">
        <v>5</v>
      </c>
      <c r="I1317" t="str">
        <f t="shared" si="20"/>
        <v>-</v>
      </c>
    </row>
    <row r="1318" spans="1:9" x14ac:dyDescent="0.25">
      <c r="A1318">
        <v>12932</v>
      </c>
      <c r="B1318" t="s">
        <v>1140</v>
      </c>
      <c r="C1318" t="s">
        <v>2007</v>
      </c>
      <c r="D1318" t="s">
        <v>655</v>
      </c>
      <c r="E1318" t="s">
        <v>94</v>
      </c>
      <c r="F1318">
        <v>1</v>
      </c>
      <c r="G1318">
        <v>5</v>
      </c>
      <c r="H1318" s="1296">
        <v>5</v>
      </c>
      <c r="I1318" t="str">
        <f t="shared" si="20"/>
        <v>-</v>
      </c>
    </row>
    <row r="1319" spans="1:9" x14ac:dyDescent="0.25">
      <c r="A1319">
        <v>12933</v>
      </c>
      <c r="B1319" t="s">
        <v>1140</v>
      </c>
      <c r="C1319" t="s">
        <v>2007</v>
      </c>
      <c r="D1319" t="s">
        <v>126</v>
      </c>
      <c r="E1319" t="s">
        <v>325</v>
      </c>
      <c r="F1319">
        <v>1</v>
      </c>
      <c r="G1319">
        <v>5</v>
      </c>
      <c r="H1319" s="1296">
        <v>5</v>
      </c>
      <c r="I1319" t="str">
        <f t="shared" si="20"/>
        <v>-</v>
      </c>
    </row>
    <row r="1320" spans="1:9" x14ac:dyDescent="0.25">
      <c r="A1320">
        <v>12934</v>
      </c>
      <c r="B1320" t="s">
        <v>1140</v>
      </c>
      <c r="C1320" t="s">
        <v>2007</v>
      </c>
      <c r="D1320" t="s">
        <v>146</v>
      </c>
      <c r="E1320" t="s">
        <v>342</v>
      </c>
      <c r="F1320">
        <v>1</v>
      </c>
      <c r="G1320">
        <v>5</v>
      </c>
      <c r="H1320" s="1296">
        <v>5</v>
      </c>
      <c r="I1320" t="str">
        <f t="shared" si="20"/>
        <v>-</v>
      </c>
    </row>
    <row r="1321" spans="1:9" x14ac:dyDescent="0.25">
      <c r="A1321">
        <v>12935</v>
      </c>
      <c r="B1321" t="s">
        <v>1140</v>
      </c>
      <c r="C1321" t="s">
        <v>2007</v>
      </c>
      <c r="D1321" t="s">
        <v>145</v>
      </c>
      <c r="E1321" t="s">
        <v>341</v>
      </c>
      <c r="F1321">
        <v>1</v>
      </c>
      <c r="G1321">
        <v>5</v>
      </c>
      <c r="H1321" s="1296">
        <v>5</v>
      </c>
      <c r="I1321" t="str">
        <f t="shared" si="20"/>
        <v>-</v>
      </c>
    </row>
    <row r="1322" spans="1:9" x14ac:dyDescent="0.25">
      <c r="A1322">
        <v>12936</v>
      </c>
      <c r="B1322" t="s">
        <v>1140</v>
      </c>
      <c r="C1322" t="s">
        <v>2007</v>
      </c>
      <c r="D1322" t="s">
        <v>136</v>
      </c>
      <c r="E1322" t="s">
        <v>334</v>
      </c>
      <c r="F1322">
        <v>1</v>
      </c>
      <c r="G1322">
        <v>5</v>
      </c>
      <c r="H1322" s="1296">
        <v>5</v>
      </c>
      <c r="I1322" t="str">
        <f t="shared" si="20"/>
        <v>-</v>
      </c>
    </row>
    <row r="1323" spans="1:9" x14ac:dyDescent="0.25">
      <c r="A1323">
        <v>12937</v>
      </c>
      <c r="B1323" t="s">
        <v>1140</v>
      </c>
      <c r="C1323" t="s">
        <v>2007</v>
      </c>
      <c r="D1323" t="s">
        <v>81</v>
      </c>
      <c r="E1323" t="s">
        <v>82</v>
      </c>
      <c r="F1323">
        <v>1</v>
      </c>
      <c r="G1323">
        <v>5</v>
      </c>
      <c r="H1323" s="1296">
        <v>5</v>
      </c>
      <c r="I1323" t="str">
        <f t="shared" si="20"/>
        <v>-</v>
      </c>
    </row>
    <row r="1324" spans="1:9" x14ac:dyDescent="0.25">
      <c r="A1324">
        <v>12938</v>
      </c>
      <c r="B1324" t="s">
        <v>1140</v>
      </c>
      <c r="C1324" t="s">
        <v>2007</v>
      </c>
      <c r="D1324" t="s">
        <v>815</v>
      </c>
      <c r="E1324" t="s">
        <v>84</v>
      </c>
      <c r="F1324">
        <v>2</v>
      </c>
      <c r="G1324">
        <v>5</v>
      </c>
      <c r="H1324" s="1296">
        <v>10</v>
      </c>
      <c r="I1324" t="str">
        <f t="shared" si="20"/>
        <v>-</v>
      </c>
    </row>
    <row r="1325" spans="1:9" x14ac:dyDescent="0.25">
      <c r="A1325">
        <v>12939</v>
      </c>
      <c r="B1325" t="s">
        <v>1140</v>
      </c>
      <c r="C1325" t="s">
        <v>2007</v>
      </c>
      <c r="D1325" t="s">
        <v>1924</v>
      </c>
      <c r="E1325" t="s">
        <v>96</v>
      </c>
      <c r="F1325">
        <v>1</v>
      </c>
      <c r="G1325">
        <v>5</v>
      </c>
      <c r="H1325" s="1296">
        <v>5</v>
      </c>
      <c r="I1325" t="str">
        <f t="shared" si="20"/>
        <v>-</v>
      </c>
    </row>
    <row r="1326" spans="1:9" x14ac:dyDescent="0.25">
      <c r="A1326">
        <v>12940</v>
      </c>
      <c r="B1326" t="s">
        <v>1140</v>
      </c>
      <c r="C1326" t="s">
        <v>2007</v>
      </c>
      <c r="D1326" t="s">
        <v>129</v>
      </c>
      <c r="E1326" t="s">
        <v>328</v>
      </c>
      <c r="F1326">
        <v>1</v>
      </c>
      <c r="G1326">
        <v>5</v>
      </c>
      <c r="H1326" s="1296">
        <v>5</v>
      </c>
      <c r="I1326" t="str">
        <f t="shared" si="20"/>
        <v>-</v>
      </c>
    </row>
    <row r="1327" spans="1:9" x14ac:dyDescent="0.25">
      <c r="A1327">
        <v>12941</v>
      </c>
      <c r="B1327" t="s">
        <v>1140</v>
      </c>
      <c r="C1327" t="s">
        <v>2007</v>
      </c>
      <c r="D1327" t="s">
        <v>2118</v>
      </c>
      <c r="E1327" t="s">
        <v>321</v>
      </c>
      <c r="F1327">
        <v>1</v>
      </c>
      <c r="G1327">
        <v>5</v>
      </c>
      <c r="H1327" s="1296">
        <v>5</v>
      </c>
      <c r="I1327" t="str">
        <f t="shared" si="20"/>
        <v>-</v>
      </c>
    </row>
    <row r="1328" spans="1:9" x14ac:dyDescent="0.25">
      <c r="A1328">
        <v>12942</v>
      </c>
      <c r="B1328" t="s">
        <v>1140</v>
      </c>
      <c r="C1328" t="s">
        <v>2007</v>
      </c>
      <c r="D1328" t="s">
        <v>120</v>
      </c>
      <c r="E1328" t="s">
        <v>298</v>
      </c>
      <c r="F1328">
        <v>2</v>
      </c>
      <c r="G1328">
        <v>5</v>
      </c>
      <c r="H1328" s="1296">
        <v>10</v>
      </c>
      <c r="I1328" t="str">
        <f t="shared" si="20"/>
        <v>-</v>
      </c>
    </row>
    <row r="1329" spans="1:9" x14ac:dyDescent="0.25">
      <c r="A1329">
        <v>12944</v>
      </c>
      <c r="B1329" t="s">
        <v>1140</v>
      </c>
      <c r="C1329" t="s">
        <v>2007</v>
      </c>
      <c r="D1329" t="s">
        <v>646</v>
      </c>
      <c r="F1329">
        <v>1</v>
      </c>
      <c r="G1329">
        <v>10</v>
      </c>
      <c r="H1329" s="1296">
        <v>10</v>
      </c>
      <c r="I1329" t="str">
        <f t="shared" si="20"/>
        <v>-</v>
      </c>
    </row>
    <row r="1330" spans="1:9" x14ac:dyDescent="0.25">
      <c r="A1330">
        <v>12945</v>
      </c>
      <c r="B1330" t="s">
        <v>1140</v>
      </c>
      <c r="C1330" t="s">
        <v>2007</v>
      </c>
      <c r="D1330" t="s">
        <v>658</v>
      </c>
      <c r="F1330">
        <v>2</v>
      </c>
      <c r="G1330">
        <v>10</v>
      </c>
      <c r="H1330" s="1296">
        <v>20</v>
      </c>
      <c r="I1330" t="str">
        <f t="shared" si="20"/>
        <v>-</v>
      </c>
    </row>
    <row r="1331" spans="1:9" x14ac:dyDescent="0.25">
      <c r="A1331">
        <v>12947</v>
      </c>
      <c r="B1331" t="s">
        <v>1140</v>
      </c>
      <c r="C1331" t="s">
        <v>2007</v>
      </c>
      <c r="D1331" t="s">
        <v>624</v>
      </c>
      <c r="F1331">
        <v>3</v>
      </c>
      <c r="G1331">
        <v>10</v>
      </c>
      <c r="H1331" s="1296">
        <v>30</v>
      </c>
      <c r="I1331" t="str">
        <f t="shared" si="20"/>
        <v>-</v>
      </c>
    </row>
    <row r="1332" spans="1:9" x14ac:dyDescent="0.25">
      <c r="A1332">
        <v>12978</v>
      </c>
      <c r="B1332" t="s">
        <v>1140</v>
      </c>
      <c r="C1332" t="s">
        <v>2007</v>
      </c>
      <c r="D1332" t="s">
        <v>3</v>
      </c>
      <c r="E1332" t="s">
        <v>377</v>
      </c>
      <c r="F1332">
        <v>1</v>
      </c>
      <c r="G1332">
        <v>6</v>
      </c>
      <c r="H1332" s="1296">
        <v>6</v>
      </c>
      <c r="I1332" t="str">
        <f t="shared" si="20"/>
        <v>-</v>
      </c>
    </row>
    <row r="1333" spans="1:9" x14ac:dyDescent="0.25">
      <c r="A1333">
        <v>12979</v>
      </c>
      <c r="B1333" t="s">
        <v>1140</v>
      </c>
      <c r="C1333" t="s">
        <v>2007</v>
      </c>
      <c r="D1333" t="s">
        <v>135</v>
      </c>
      <c r="E1333" t="s">
        <v>383</v>
      </c>
      <c r="F1333">
        <v>1</v>
      </c>
      <c r="G1333">
        <v>6</v>
      </c>
      <c r="H1333" s="1296">
        <v>6</v>
      </c>
      <c r="I1333" t="str">
        <f t="shared" si="20"/>
        <v>-</v>
      </c>
    </row>
    <row r="1334" spans="1:9" x14ac:dyDescent="0.25">
      <c r="A1334">
        <v>12980</v>
      </c>
      <c r="B1334" t="s">
        <v>1140</v>
      </c>
      <c r="C1334" t="s">
        <v>2007</v>
      </c>
      <c r="D1334" t="s">
        <v>125</v>
      </c>
      <c r="E1334" t="s">
        <v>386</v>
      </c>
      <c r="F1334">
        <v>1</v>
      </c>
      <c r="G1334">
        <v>4</v>
      </c>
      <c r="H1334" s="1296">
        <v>4</v>
      </c>
      <c r="I1334" t="str">
        <f t="shared" si="20"/>
        <v>-</v>
      </c>
    </row>
    <row r="1335" spans="1:9" x14ac:dyDescent="0.25">
      <c r="A1335">
        <v>12981</v>
      </c>
      <c r="B1335" t="s">
        <v>1140</v>
      </c>
      <c r="C1335" t="s">
        <v>2007</v>
      </c>
      <c r="D1335" t="s">
        <v>1550</v>
      </c>
      <c r="E1335" t="s">
        <v>403</v>
      </c>
      <c r="F1335">
        <v>1</v>
      </c>
      <c r="G1335">
        <v>8</v>
      </c>
      <c r="H1335" s="1296">
        <v>8</v>
      </c>
      <c r="I1335" t="str">
        <f t="shared" si="20"/>
        <v>-</v>
      </c>
    </row>
    <row r="1336" spans="1:9" x14ac:dyDescent="0.25">
      <c r="A1336">
        <v>13023</v>
      </c>
      <c r="B1336" t="s">
        <v>1142</v>
      </c>
      <c r="C1336" t="s">
        <v>1935</v>
      </c>
      <c r="D1336" t="s">
        <v>34</v>
      </c>
      <c r="E1336" t="s">
        <v>25</v>
      </c>
      <c r="F1336">
        <v>5</v>
      </c>
      <c r="G1336">
        <v>5</v>
      </c>
      <c r="H1336" s="1296">
        <v>25</v>
      </c>
      <c r="I1336" t="str">
        <f t="shared" si="20"/>
        <v>-</v>
      </c>
    </row>
    <row r="1337" spans="1:9" x14ac:dyDescent="0.25">
      <c r="A1337">
        <v>13068</v>
      </c>
      <c r="B1337" t="s">
        <v>1142</v>
      </c>
      <c r="C1337" t="s">
        <v>1917</v>
      </c>
      <c r="D1337" t="s">
        <v>126</v>
      </c>
      <c r="E1337" t="s">
        <v>1840</v>
      </c>
      <c r="F1337">
        <v>2</v>
      </c>
      <c r="G1337">
        <v>5</v>
      </c>
      <c r="H1337" s="1296">
        <v>10</v>
      </c>
      <c r="I1337" t="str">
        <f t="shared" si="20"/>
        <v>-</v>
      </c>
    </row>
    <row r="1338" spans="1:9" x14ac:dyDescent="0.25">
      <c r="A1338">
        <v>13069</v>
      </c>
      <c r="B1338" t="s">
        <v>1142</v>
      </c>
      <c r="C1338" t="s">
        <v>1917</v>
      </c>
      <c r="D1338" t="s">
        <v>81</v>
      </c>
      <c r="E1338" t="s">
        <v>82</v>
      </c>
      <c r="F1338">
        <v>3</v>
      </c>
      <c r="G1338">
        <v>5</v>
      </c>
      <c r="H1338" s="1296">
        <v>15</v>
      </c>
      <c r="I1338" t="str">
        <f t="shared" si="20"/>
        <v>-</v>
      </c>
    </row>
    <row r="1339" spans="1:9" x14ac:dyDescent="0.25">
      <c r="A1339">
        <v>13070</v>
      </c>
      <c r="B1339" t="s">
        <v>1142</v>
      </c>
      <c r="C1339" t="s">
        <v>1917</v>
      </c>
      <c r="D1339" t="s">
        <v>15</v>
      </c>
      <c r="E1339" t="s">
        <v>16</v>
      </c>
      <c r="F1339">
        <v>2</v>
      </c>
      <c r="G1339">
        <v>5</v>
      </c>
      <c r="H1339" s="1296">
        <v>10</v>
      </c>
      <c r="I1339" t="str">
        <f t="shared" si="20"/>
        <v>-</v>
      </c>
    </row>
    <row r="1340" spans="1:9" x14ac:dyDescent="0.25">
      <c r="A1340">
        <v>13071</v>
      </c>
      <c r="B1340" t="s">
        <v>1142</v>
      </c>
      <c r="C1340" t="s">
        <v>1917</v>
      </c>
      <c r="D1340" t="s">
        <v>315</v>
      </c>
      <c r="E1340" t="s">
        <v>298</v>
      </c>
      <c r="F1340">
        <v>2</v>
      </c>
      <c r="G1340">
        <v>5</v>
      </c>
      <c r="H1340" s="1296">
        <v>10</v>
      </c>
      <c r="I1340" t="str">
        <f t="shared" si="20"/>
        <v>-</v>
      </c>
    </row>
    <row r="1341" spans="1:9" x14ac:dyDescent="0.25">
      <c r="A1341">
        <v>13073</v>
      </c>
      <c r="B1341" t="s">
        <v>1142</v>
      </c>
      <c r="C1341" t="s">
        <v>1917</v>
      </c>
      <c r="D1341" t="s">
        <v>696</v>
      </c>
      <c r="E1341" t="s">
        <v>362</v>
      </c>
      <c r="F1341">
        <v>4</v>
      </c>
      <c r="G1341">
        <v>6</v>
      </c>
      <c r="H1341" s="1296">
        <v>24</v>
      </c>
      <c r="I1341" t="str">
        <f t="shared" si="20"/>
        <v>-</v>
      </c>
    </row>
    <row r="1342" spans="1:9" x14ac:dyDescent="0.25">
      <c r="A1342">
        <v>13075</v>
      </c>
      <c r="B1342" t="s">
        <v>1142</v>
      </c>
      <c r="C1342" t="s">
        <v>1917</v>
      </c>
      <c r="D1342" t="s">
        <v>3</v>
      </c>
      <c r="E1342" t="s">
        <v>377</v>
      </c>
      <c r="F1342">
        <v>1</v>
      </c>
      <c r="G1342">
        <v>4</v>
      </c>
      <c r="H1342" s="1296">
        <v>4</v>
      </c>
      <c r="I1342" t="str">
        <f t="shared" si="20"/>
        <v>-</v>
      </c>
    </row>
    <row r="1343" spans="1:9" x14ac:dyDescent="0.25">
      <c r="A1343">
        <v>13076</v>
      </c>
      <c r="B1343" t="s">
        <v>1142</v>
      </c>
      <c r="C1343" t="s">
        <v>1917</v>
      </c>
      <c r="D1343" t="s">
        <v>763</v>
      </c>
      <c r="E1343" t="s">
        <v>378</v>
      </c>
      <c r="F1343">
        <v>1</v>
      </c>
      <c r="G1343">
        <v>6</v>
      </c>
      <c r="H1343" s="1296">
        <v>6</v>
      </c>
      <c r="I1343" t="str">
        <f t="shared" si="20"/>
        <v>-</v>
      </c>
    </row>
    <row r="1344" spans="1:9" x14ac:dyDescent="0.25">
      <c r="A1344">
        <v>13077</v>
      </c>
      <c r="B1344" t="s">
        <v>1142</v>
      </c>
      <c r="C1344" t="s">
        <v>1917</v>
      </c>
      <c r="D1344" t="s">
        <v>763</v>
      </c>
      <c r="E1344" t="s">
        <v>378</v>
      </c>
      <c r="F1344">
        <v>1</v>
      </c>
      <c r="G1344">
        <v>5</v>
      </c>
      <c r="H1344" s="1296">
        <v>5</v>
      </c>
      <c r="I1344" t="str">
        <f t="shared" si="20"/>
        <v>-</v>
      </c>
    </row>
    <row r="1345" spans="1:9" x14ac:dyDescent="0.25">
      <c r="A1345">
        <v>13078</v>
      </c>
      <c r="B1345" t="s">
        <v>1142</v>
      </c>
      <c r="C1345" t="s">
        <v>1917</v>
      </c>
      <c r="D1345" t="s">
        <v>68</v>
      </c>
      <c r="E1345" t="s">
        <v>375</v>
      </c>
      <c r="F1345">
        <v>4</v>
      </c>
      <c r="G1345">
        <v>6</v>
      </c>
      <c r="H1345" s="1296">
        <v>24</v>
      </c>
      <c r="I1345" t="str">
        <f t="shared" si="20"/>
        <v>-</v>
      </c>
    </row>
    <row r="1346" spans="1:9" x14ac:dyDescent="0.25">
      <c r="A1346">
        <v>13080</v>
      </c>
      <c r="B1346" t="s">
        <v>1142</v>
      </c>
      <c r="C1346" t="s">
        <v>1917</v>
      </c>
      <c r="D1346" t="s">
        <v>136</v>
      </c>
      <c r="E1346" t="s">
        <v>387</v>
      </c>
      <c r="F1346">
        <v>4</v>
      </c>
      <c r="G1346">
        <v>6</v>
      </c>
      <c r="H1346" s="1296">
        <v>24</v>
      </c>
      <c r="I1346" t="str">
        <f t="shared" ref="I1346:I1409" si="21">INDEX($N$2:$N$355,MATCH($A1346,$L$2:$L$355,1))</f>
        <v>-</v>
      </c>
    </row>
    <row r="1347" spans="1:9" x14ac:dyDescent="0.25">
      <c r="A1347">
        <v>13082</v>
      </c>
      <c r="B1347" t="s">
        <v>1142</v>
      </c>
      <c r="C1347" t="s">
        <v>1917</v>
      </c>
      <c r="D1347" t="s">
        <v>136</v>
      </c>
      <c r="E1347" t="s">
        <v>387</v>
      </c>
      <c r="F1347">
        <v>1</v>
      </c>
      <c r="G1347">
        <v>6</v>
      </c>
      <c r="H1347" s="1296">
        <v>6</v>
      </c>
      <c r="I1347" t="str">
        <f t="shared" si="21"/>
        <v>-</v>
      </c>
    </row>
    <row r="1348" spans="1:9" x14ac:dyDescent="0.25">
      <c r="A1348">
        <v>13083</v>
      </c>
      <c r="B1348" t="s">
        <v>1142</v>
      </c>
      <c r="C1348" t="s">
        <v>1917</v>
      </c>
      <c r="D1348" t="s">
        <v>60</v>
      </c>
      <c r="E1348" t="s">
        <v>593</v>
      </c>
      <c r="F1348">
        <v>1</v>
      </c>
      <c r="G1348">
        <v>4</v>
      </c>
      <c r="H1348" s="1296">
        <v>4</v>
      </c>
      <c r="I1348" t="str">
        <f t="shared" si="21"/>
        <v>-</v>
      </c>
    </row>
    <row r="1349" spans="1:9" x14ac:dyDescent="0.25">
      <c r="A1349">
        <v>13126</v>
      </c>
      <c r="B1349" t="s">
        <v>1146</v>
      </c>
      <c r="C1349" t="s">
        <v>1945</v>
      </c>
      <c r="D1349" t="s">
        <v>2127</v>
      </c>
      <c r="E1349" t="s">
        <v>328</v>
      </c>
      <c r="F1349">
        <v>1</v>
      </c>
      <c r="G1349">
        <v>5</v>
      </c>
      <c r="H1349" s="1296">
        <v>5</v>
      </c>
      <c r="I1349" t="str">
        <f t="shared" si="21"/>
        <v>-</v>
      </c>
    </row>
    <row r="1350" spans="1:9" x14ac:dyDescent="0.25">
      <c r="A1350">
        <v>13127</v>
      </c>
      <c r="B1350" t="s">
        <v>1146</v>
      </c>
      <c r="C1350" t="s">
        <v>1945</v>
      </c>
      <c r="D1350" t="s">
        <v>815</v>
      </c>
      <c r="E1350" t="s">
        <v>84</v>
      </c>
      <c r="F1350">
        <v>2</v>
      </c>
      <c r="G1350">
        <v>5</v>
      </c>
      <c r="H1350" s="1296">
        <v>10</v>
      </c>
      <c r="I1350" t="str">
        <f t="shared" si="21"/>
        <v>-</v>
      </c>
    </row>
    <row r="1351" spans="1:9" x14ac:dyDescent="0.25">
      <c r="A1351">
        <v>13128</v>
      </c>
      <c r="B1351" t="s">
        <v>1146</v>
      </c>
      <c r="C1351" t="s">
        <v>1945</v>
      </c>
      <c r="D1351" t="s">
        <v>494</v>
      </c>
      <c r="E1351" t="s">
        <v>327</v>
      </c>
      <c r="F1351">
        <v>2</v>
      </c>
      <c r="G1351">
        <v>5</v>
      </c>
      <c r="H1351" s="1296">
        <v>10</v>
      </c>
      <c r="I1351" t="str">
        <f t="shared" si="21"/>
        <v>-</v>
      </c>
    </row>
    <row r="1352" spans="1:9" x14ac:dyDescent="0.25">
      <c r="A1352">
        <v>13129</v>
      </c>
      <c r="B1352" t="s">
        <v>1146</v>
      </c>
      <c r="C1352" t="s">
        <v>1945</v>
      </c>
      <c r="D1352" t="s">
        <v>122</v>
      </c>
      <c r="E1352" t="s">
        <v>321</v>
      </c>
      <c r="F1352">
        <v>2</v>
      </c>
      <c r="G1352">
        <v>5</v>
      </c>
      <c r="H1352" s="1296">
        <v>10</v>
      </c>
      <c r="I1352" t="str">
        <f t="shared" si="21"/>
        <v>-</v>
      </c>
    </row>
    <row r="1353" spans="1:9" x14ac:dyDescent="0.25">
      <c r="A1353">
        <v>13130</v>
      </c>
      <c r="B1353" t="s">
        <v>1146</v>
      </c>
      <c r="C1353" t="s">
        <v>1945</v>
      </c>
      <c r="D1353" t="s">
        <v>1203</v>
      </c>
      <c r="E1353" t="s">
        <v>47</v>
      </c>
      <c r="F1353">
        <v>1</v>
      </c>
      <c r="G1353">
        <v>5</v>
      </c>
      <c r="H1353" s="1296">
        <v>5</v>
      </c>
      <c r="I1353" t="str">
        <f t="shared" si="21"/>
        <v>-</v>
      </c>
    </row>
    <row r="1354" spans="1:9" x14ac:dyDescent="0.25">
      <c r="A1354">
        <v>13131</v>
      </c>
      <c r="B1354" t="s">
        <v>1146</v>
      </c>
      <c r="C1354" t="s">
        <v>1945</v>
      </c>
      <c r="D1354" t="s">
        <v>1201</v>
      </c>
      <c r="E1354" t="s">
        <v>36</v>
      </c>
      <c r="F1354">
        <v>1</v>
      </c>
      <c r="G1354">
        <v>5</v>
      </c>
      <c r="H1354" s="1296">
        <v>5</v>
      </c>
      <c r="I1354" t="str">
        <f t="shared" si="21"/>
        <v>-</v>
      </c>
    </row>
    <row r="1355" spans="1:9" x14ac:dyDescent="0.25">
      <c r="A1355">
        <v>13132</v>
      </c>
      <c r="B1355" t="s">
        <v>1146</v>
      </c>
      <c r="C1355" t="s">
        <v>1945</v>
      </c>
      <c r="D1355" t="s">
        <v>146</v>
      </c>
      <c r="E1355" t="s">
        <v>342</v>
      </c>
      <c r="F1355">
        <v>1</v>
      </c>
      <c r="G1355">
        <v>5</v>
      </c>
      <c r="H1355" s="1296">
        <v>5</v>
      </c>
      <c r="I1355" t="str">
        <f t="shared" si="21"/>
        <v>-</v>
      </c>
    </row>
    <row r="1356" spans="1:9" x14ac:dyDescent="0.25">
      <c r="A1356">
        <v>13133</v>
      </c>
      <c r="B1356" t="s">
        <v>1146</v>
      </c>
      <c r="C1356" t="s">
        <v>1945</v>
      </c>
      <c r="D1356" t="s">
        <v>134</v>
      </c>
      <c r="E1356" t="s">
        <v>332</v>
      </c>
      <c r="F1356">
        <v>1</v>
      </c>
      <c r="G1356">
        <v>5</v>
      </c>
      <c r="H1356" s="1296">
        <v>5</v>
      </c>
      <c r="I1356" t="str">
        <f t="shared" si="21"/>
        <v>-</v>
      </c>
    </row>
    <row r="1357" spans="1:9" x14ac:dyDescent="0.25">
      <c r="A1357">
        <v>13134</v>
      </c>
      <c r="B1357" t="s">
        <v>1146</v>
      </c>
      <c r="C1357" t="s">
        <v>1945</v>
      </c>
      <c r="D1357" t="s">
        <v>696</v>
      </c>
      <c r="E1357" t="s">
        <v>107</v>
      </c>
      <c r="F1357">
        <v>1</v>
      </c>
      <c r="G1357">
        <v>5</v>
      </c>
      <c r="H1357" s="1296">
        <v>5</v>
      </c>
      <c r="I1357" t="str">
        <f t="shared" si="21"/>
        <v>-</v>
      </c>
    </row>
    <row r="1358" spans="1:9" x14ac:dyDescent="0.25">
      <c r="A1358">
        <v>13135</v>
      </c>
      <c r="B1358" t="s">
        <v>1146</v>
      </c>
      <c r="C1358" t="s">
        <v>1945</v>
      </c>
      <c r="D1358" t="s">
        <v>301</v>
      </c>
      <c r="E1358" t="s">
        <v>66</v>
      </c>
      <c r="F1358">
        <v>1</v>
      </c>
      <c r="G1358">
        <v>5</v>
      </c>
      <c r="H1358" s="1296">
        <v>5</v>
      </c>
      <c r="I1358" t="str">
        <f t="shared" si="21"/>
        <v>-</v>
      </c>
    </row>
    <row r="1359" spans="1:9" x14ac:dyDescent="0.25">
      <c r="A1359">
        <v>13136</v>
      </c>
      <c r="B1359" t="s">
        <v>1146</v>
      </c>
      <c r="C1359" t="s">
        <v>1945</v>
      </c>
      <c r="D1359" t="s">
        <v>105</v>
      </c>
      <c r="E1359" t="s">
        <v>96</v>
      </c>
      <c r="F1359">
        <v>1</v>
      </c>
      <c r="G1359">
        <v>5</v>
      </c>
      <c r="H1359" s="1296">
        <v>5</v>
      </c>
      <c r="I1359" t="str">
        <f t="shared" si="21"/>
        <v>-</v>
      </c>
    </row>
    <row r="1360" spans="1:9" x14ac:dyDescent="0.25">
      <c r="A1360">
        <v>13138</v>
      </c>
      <c r="B1360" t="s">
        <v>1146</v>
      </c>
      <c r="C1360" t="s">
        <v>1945</v>
      </c>
      <c r="D1360" t="s">
        <v>15</v>
      </c>
      <c r="F1360">
        <v>10</v>
      </c>
      <c r="G1360">
        <v>1</v>
      </c>
      <c r="H1360" s="1296">
        <v>10</v>
      </c>
      <c r="I1360" t="str">
        <f t="shared" si="21"/>
        <v>-</v>
      </c>
    </row>
    <row r="1361" spans="1:9" x14ac:dyDescent="0.25">
      <c r="A1361">
        <v>13173</v>
      </c>
      <c r="B1361" t="s">
        <v>1149</v>
      </c>
      <c r="C1361" t="s">
        <v>1990</v>
      </c>
      <c r="D1361" t="s">
        <v>126</v>
      </c>
      <c r="E1361" t="s">
        <v>325</v>
      </c>
      <c r="F1361">
        <v>4</v>
      </c>
      <c r="G1361">
        <v>5</v>
      </c>
      <c r="H1361" s="1296">
        <v>20</v>
      </c>
      <c r="I1361" t="str">
        <f t="shared" si="21"/>
        <v>-</v>
      </c>
    </row>
    <row r="1362" spans="1:9" x14ac:dyDescent="0.25">
      <c r="A1362">
        <v>13174</v>
      </c>
      <c r="B1362" t="s">
        <v>1149</v>
      </c>
      <c r="C1362" t="s">
        <v>1990</v>
      </c>
      <c r="D1362" t="s">
        <v>494</v>
      </c>
      <c r="E1362" t="s">
        <v>327</v>
      </c>
      <c r="F1362">
        <v>4</v>
      </c>
      <c r="G1362">
        <v>5</v>
      </c>
      <c r="H1362" s="1296">
        <v>20</v>
      </c>
      <c r="I1362" t="str">
        <f t="shared" si="21"/>
        <v>-</v>
      </c>
    </row>
    <row r="1363" spans="1:9" x14ac:dyDescent="0.25">
      <c r="A1363">
        <v>13175</v>
      </c>
      <c r="B1363" t="s">
        <v>1149</v>
      </c>
      <c r="C1363" t="s">
        <v>1990</v>
      </c>
      <c r="D1363" t="s">
        <v>118</v>
      </c>
      <c r="E1363" t="s">
        <v>204</v>
      </c>
      <c r="F1363">
        <v>2</v>
      </c>
      <c r="G1363">
        <v>5</v>
      </c>
      <c r="H1363" s="1296">
        <v>10</v>
      </c>
      <c r="I1363" t="str">
        <f t="shared" si="21"/>
        <v>-</v>
      </c>
    </row>
    <row r="1364" spans="1:9" x14ac:dyDescent="0.25">
      <c r="A1364">
        <v>13176</v>
      </c>
      <c r="B1364" t="s">
        <v>1149</v>
      </c>
      <c r="C1364" t="s">
        <v>1990</v>
      </c>
      <c r="D1364" t="s">
        <v>696</v>
      </c>
      <c r="E1364" t="s">
        <v>107</v>
      </c>
      <c r="F1364">
        <v>1</v>
      </c>
      <c r="G1364">
        <v>5</v>
      </c>
      <c r="H1364" s="1296">
        <v>5</v>
      </c>
      <c r="I1364" t="str">
        <f t="shared" si="21"/>
        <v>-</v>
      </c>
    </row>
    <row r="1365" spans="1:9" x14ac:dyDescent="0.25">
      <c r="A1365">
        <v>13177</v>
      </c>
      <c r="B1365" t="s">
        <v>1149</v>
      </c>
      <c r="C1365" t="s">
        <v>1990</v>
      </c>
      <c r="D1365" t="s">
        <v>301</v>
      </c>
      <c r="E1365" t="s">
        <v>66</v>
      </c>
      <c r="F1365">
        <v>3</v>
      </c>
      <c r="G1365">
        <v>5</v>
      </c>
      <c r="H1365" s="1296">
        <v>15</v>
      </c>
      <c r="I1365" t="str">
        <f t="shared" si="21"/>
        <v>-</v>
      </c>
    </row>
    <row r="1366" spans="1:9" x14ac:dyDescent="0.25">
      <c r="A1366">
        <v>13178</v>
      </c>
      <c r="B1366" t="s">
        <v>1149</v>
      </c>
      <c r="C1366" t="s">
        <v>1990</v>
      </c>
      <c r="D1366" t="s">
        <v>105</v>
      </c>
      <c r="E1366" t="s">
        <v>96</v>
      </c>
      <c r="F1366">
        <v>6</v>
      </c>
      <c r="G1366">
        <v>5</v>
      </c>
      <c r="H1366" s="1296">
        <v>30</v>
      </c>
      <c r="I1366" t="str">
        <f t="shared" si="21"/>
        <v>-</v>
      </c>
    </row>
    <row r="1367" spans="1:9" x14ac:dyDescent="0.25">
      <c r="A1367">
        <v>13180</v>
      </c>
      <c r="B1367" t="s">
        <v>1149</v>
      </c>
      <c r="C1367" t="s">
        <v>1990</v>
      </c>
      <c r="D1367" t="s">
        <v>2134</v>
      </c>
      <c r="E1367" t="s">
        <v>2135</v>
      </c>
      <c r="F1367">
        <v>1</v>
      </c>
      <c r="G1367">
        <v>8</v>
      </c>
      <c r="H1367" s="1296">
        <v>8</v>
      </c>
      <c r="I1367" t="str">
        <f t="shared" si="21"/>
        <v>-</v>
      </c>
    </row>
    <row r="1368" spans="1:9" x14ac:dyDescent="0.25">
      <c r="A1368">
        <v>13182</v>
      </c>
      <c r="B1368" t="s">
        <v>1149</v>
      </c>
      <c r="C1368" t="s">
        <v>1990</v>
      </c>
      <c r="D1368" t="s">
        <v>2137</v>
      </c>
      <c r="F1368">
        <v>2</v>
      </c>
      <c r="G1368">
        <v>10</v>
      </c>
      <c r="H1368" s="1296">
        <v>20</v>
      </c>
      <c r="I1368" t="str">
        <f t="shared" si="21"/>
        <v>-</v>
      </c>
    </row>
    <row r="1369" spans="1:9" x14ac:dyDescent="0.25">
      <c r="A1369">
        <v>13184</v>
      </c>
      <c r="B1369" t="s">
        <v>1149</v>
      </c>
      <c r="C1369" t="s">
        <v>1990</v>
      </c>
      <c r="D1369" t="s">
        <v>2137</v>
      </c>
      <c r="F1369">
        <v>1</v>
      </c>
      <c r="G1369">
        <v>10</v>
      </c>
      <c r="H1369" s="1296">
        <v>10</v>
      </c>
      <c r="I1369" t="str">
        <f t="shared" si="21"/>
        <v>-</v>
      </c>
    </row>
    <row r="1370" spans="1:9" x14ac:dyDescent="0.25">
      <c r="A1370">
        <v>13186</v>
      </c>
      <c r="B1370" t="s">
        <v>1149</v>
      </c>
      <c r="C1370" t="s">
        <v>1990</v>
      </c>
      <c r="D1370" t="s">
        <v>815</v>
      </c>
      <c r="E1370" t="s">
        <v>385</v>
      </c>
      <c r="F1370">
        <v>2</v>
      </c>
      <c r="G1370">
        <v>6</v>
      </c>
      <c r="H1370" s="1296">
        <v>12</v>
      </c>
      <c r="I1370" t="str">
        <f t="shared" si="21"/>
        <v>-</v>
      </c>
    </row>
    <row r="1371" spans="1:9" x14ac:dyDescent="0.25">
      <c r="A1371">
        <v>13187</v>
      </c>
      <c r="B1371" t="s">
        <v>1149</v>
      </c>
      <c r="C1371" t="s">
        <v>1990</v>
      </c>
      <c r="D1371" t="s">
        <v>815</v>
      </c>
      <c r="E1371" t="s">
        <v>385</v>
      </c>
      <c r="F1371">
        <v>1</v>
      </c>
      <c r="G1371">
        <v>3</v>
      </c>
      <c r="H1371" s="1296">
        <v>3</v>
      </c>
      <c r="I1371" t="str">
        <f t="shared" si="21"/>
        <v>-</v>
      </c>
    </row>
    <row r="1372" spans="1:9" x14ac:dyDescent="0.25">
      <c r="A1372">
        <v>13188</v>
      </c>
      <c r="B1372" t="s">
        <v>1149</v>
      </c>
      <c r="C1372" t="s">
        <v>1990</v>
      </c>
      <c r="D1372" t="s">
        <v>68</v>
      </c>
      <c r="E1372" t="s">
        <v>375</v>
      </c>
      <c r="F1372">
        <v>3</v>
      </c>
      <c r="G1372">
        <v>6</v>
      </c>
      <c r="H1372" s="1296">
        <v>18</v>
      </c>
      <c r="I1372" t="str">
        <f t="shared" si="21"/>
        <v>-</v>
      </c>
    </row>
    <row r="1373" spans="1:9" x14ac:dyDescent="0.25">
      <c r="A1373">
        <v>13189</v>
      </c>
      <c r="B1373" t="s">
        <v>1149</v>
      </c>
      <c r="C1373" t="s">
        <v>1990</v>
      </c>
      <c r="D1373" t="s">
        <v>68</v>
      </c>
      <c r="E1373" t="s">
        <v>375</v>
      </c>
      <c r="F1373">
        <v>2</v>
      </c>
      <c r="G1373">
        <v>1</v>
      </c>
      <c r="H1373" s="1296">
        <v>2</v>
      </c>
      <c r="I1373" t="str">
        <f t="shared" si="21"/>
        <v>-</v>
      </c>
    </row>
    <row r="1374" spans="1:9" x14ac:dyDescent="0.25">
      <c r="A1374">
        <v>13190</v>
      </c>
      <c r="B1374" t="s">
        <v>1149</v>
      </c>
      <c r="C1374" t="s">
        <v>1990</v>
      </c>
      <c r="D1374" t="s">
        <v>123</v>
      </c>
      <c r="E1374" t="s">
        <v>401</v>
      </c>
      <c r="F1374">
        <v>4</v>
      </c>
      <c r="G1374">
        <v>6</v>
      </c>
      <c r="H1374" s="1296">
        <v>24</v>
      </c>
      <c r="I1374" t="str">
        <f t="shared" si="21"/>
        <v>-</v>
      </c>
    </row>
    <row r="1375" spans="1:9" x14ac:dyDescent="0.25">
      <c r="A1375">
        <v>13192</v>
      </c>
      <c r="B1375" t="s">
        <v>1149</v>
      </c>
      <c r="C1375" t="s">
        <v>1990</v>
      </c>
      <c r="D1375" t="s">
        <v>124</v>
      </c>
      <c r="E1375" t="s">
        <v>2141</v>
      </c>
      <c r="F1375">
        <v>4</v>
      </c>
      <c r="G1375">
        <v>6</v>
      </c>
      <c r="H1375" s="1296">
        <v>24</v>
      </c>
      <c r="I1375" t="str">
        <f t="shared" si="21"/>
        <v>-</v>
      </c>
    </row>
    <row r="1376" spans="1:9" x14ac:dyDescent="0.25">
      <c r="A1376">
        <v>13194</v>
      </c>
      <c r="B1376" t="s">
        <v>1149</v>
      </c>
      <c r="C1376" t="s">
        <v>1990</v>
      </c>
      <c r="D1376" t="s">
        <v>301</v>
      </c>
      <c r="E1376" t="s">
        <v>363</v>
      </c>
      <c r="F1376">
        <v>3</v>
      </c>
      <c r="G1376">
        <v>6</v>
      </c>
      <c r="H1376" s="1296">
        <v>18</v>
      </c>
      <c r="I1376" t="str">
        <f t="shared" si="21"/>
        <v>-</v>
      </c>
    </row>
    <row r="1377" spans="1:9" x14ac:dyDescent="0.25">
      <c r="A1377">
        <v>13219</v>
      </c>
      <c r="B1377" t="s">
        <v>1149</v>
      </c>
      <c r="C1377" t="s">
        <v>1990</v>
      </c>
      <c r="D1377" t="s">
        <v>60</v>
      </c>
      <c r="E1377" t="s">
        <v>61</v>
      </c>
      <c r="F1377">
        <v>2</v>
      </c>
      <c r="G1377">
        <v>25</v>
      </c>
      <c r="H1377" s="1296">
        <v>50</v>
      </c>
      <c r="I1377" t="str">
        <f t="shared" si="21"/>
        <v>-</v>
      </c>
    </row>
    <row r="1378" spans="1:9" x14ac:dyDescent="0.25">
      <c r="A1378">
        <v>13220</v>
      </c>
      <c r="B1378" t="s">
        <v>1149</v>
      </c>
      <c r="C1378" t="s">
        <v>1990</v>
      </c>
      <c r="D1378" t="s">
        <v>60</v>
      </c>
      <c r="E1378" t="s">
        <v>61</v>
      </c>
      <c r="F1378">
        <v>1</v>
      </c>
      <c r="G1378">
        <v>24</v>
      </c>
      <c r="H1378" s="1296">
        <v>24</v>
      </c>
      <c r="I1378" t="str">
        <f t="shared" si="21"/>
        <v>-</v>
      </c>
    </row>
    <row r="1379" spans="1:9" x14ac:dyDescent="0.25">
      <c r="A1379">
        <v>13221</v>
      </c>
      <c r="B1379" t="s">
        <v>1149</v>
      </c>
      <c r="C1379" t="s">
        <v>1990</v>
      </c>
      <c r="D1379" t="s">
        <v>301</v>
      </c>
      <c r="E1379" t="s">
        <v>435</v>
      </c>
      <c r="F1379">
        <v>10</v>
      </c>
      <c r="G1379">
        <v>25</v>
      </c>
      <c r="H1379" s="1296">
        <v>250</v>
      </c>
      <c r="I1379" t="str">
        <f t="shared" si="21"/>
        <v>-</v>
      </c>
    </row>
    <row r="1380" spans="1:9" x14ac:dyDescent="0.25">
      <c r="A1380">
        <v>13222</v>
      </c>
      <c r="B1380" t="s">
        <v>1149</v>
      </c>
      <c r="C1380" t="s">
        <v>1990</v>
      </c>
      <c r="D1380" t="s">
        <v>301</v>
      </c>
      <c r="E1380" t="s">
        <v>435</v>
      </c>
      <c r="F1380">
        <v>1</v>
      </c>
      <c r="G1380">
        <v>21</v>
      </c>
      <c r="H1380" s="1296">
        <v>21</v>
      </c>
      <c r="I1380" t="str">
        <f t="shared" si="21"/>
        <v>-</v>
      </c>
    </row>
    <row r="1381" spans="1:9" x14ac:dyDescent="0.25">
      <c r="A1381">
        <v>13223</v>
      </c>
      <c r="B1381" t="s">
        <v>1149</v>
      </c>
      <c r="C1381" t="s">
        <v>1990</v>
      </c>
      <c r="D1381" t="s">
        <v>250</v>
      </c>
      <c r="E1381" t="s">
        <v>424</v>
      </c>
      <c r="F1381">
        <v>3</v>
      </c>
      <c r="G1381">
        <v>25</v>
      </c>
      <c r="H1381" s="1296">
        <v>75</v>
      </c>
      <c r="I1381" t="str">
        <f t="shared" si="21"/>
        <v>-</v>
      </c>
    </row>
    <row r="1382" spans="1:9" x14ac:dyDescent="0.25">
      <c r="A1382">
        <v>13224</v>
      </c>
      <c r="B1382" t="s">
        <v>1149</v>
      </c>
      <c r="C1382" t="s">
        <v>1990</v>
      </c>
      <c r="D1382" t="s">
        <v>145</v>
      </c>
      <c r="E1382" t="s">
        <v>383</v>
      </c>
      <c r="F1382">
        <v>4</v>
      </c>
      <c r="G1382">
        <v>25</v>
      </c>
      <c r="H1382" s="1296">
        <v>100</v>
      </c>
      <c r="I1382" t="str">
        <f t="shared" si="21"/>
        <v>-</v>
      </c>
    </row>
    <row r="1383" spans="1:9" x14ac:dyDescent="0.25">
      <c r="A1383">
        <v>13225</v>
      </c>
      <c r="B1383" t="s">
        <v>1149</v>
      </c>
      <c r="C1383" t="s">
        <v>1990</v>
      </c>
      <c r="D1383" t="s">
        <v>145</v>
      </c>
      <c r="E1383" t="s">
        <v>383</v>
      </c>
      <c r="F1383">
        <v>1</v>
      </c>
      <c r="G1383">
        <v>18</v>
      </c>
      <c r="H1383" s="1296">
        <v>18</v>
      </c>
      <c r="I1383" t="str">
        <f t="shared" si="21"/>
        <v>-</v>
      </c>
    </row>
    <row r="1384" spans="1:9" x14ac:dyDescent="0.25">
      <c r="A1384">
        <v>13226</v>
      </c>
      <c r="B1384" t="s">
        <v>1149</v>
      </c>
      <c r="C1384" t="s">
        <v>1990</v>
      </c>
      <c r="D1384" t="s">
        <v>127</v>
      </c>
      <c r="E1384" t="s">
        <v>439</v>
      </c>
      <c r="F1384">
        <v>8</v>
      </c>
      <c r="G1384">
        <v>25</v>
      </c>
      <c r="H1384" s="1296">
        <v>200</v>
      </c>
      <c r="I1384" t="str">
        <f t="shared" si="21"/>
        <v>-</v>
      </c>
    </row>
    <row r="1385" spans="1:9" x14ac:dyDescent="0.25">
      <c r="A1385">
        <v>13227</v>
      </c>
      <c r="B1385" t="s">
        <v>1149</v>
      </c>
      <c r="C1385" t="s">
        <v>1990</v>
      </c>
      <c r="D1385" t="s">
        <v>127</v>
      </c>
      <c r="E1385" t="s">
        <v>439</v>
      </c>
      <c r="F1385">
        <v>1</v>
      </c>
      <c r="G1385">
        <v>24</v>
      </c>
      <c r="H1385" s="1296">
        <v>24</v>
      </c>
      <c r="I1385" t="str">
        <f t="shared" si="21"/>
        <v>-</v>
      </c>
    </row>
    <row r="1386" spans="1:9" x14ac:dyDescent="0.25">
      <c r="A1386">
        <v>13288</v>
      </c>
      <c r="B1386" t="s">
        <v>1149</v>
      </c>
      <c r="C1386" t="s">
        <v>2144</v>
      </c>
      <c r="D1386" t="s">
        <v>127</v>
      </c>
      <c r="E1386" t="s">
        <v>439</v>
      </c>
      <c r="F1386">
        <v>1</v>
      </c>
      <c r="G1386">
        <v>25</v>
      </c>
      <c r="H1386" s="1296">
        <v>25</v>
      </c>
      <c r="I1386" t="str">
        <f t="shared" si="21"/>
        <v>-</v>
      </c>
    </row>
    <row r="1387" spans="1:9" x14ac:dyDescent="0.25">
      <c r="A1387">
        <v>13289</v>
      </c>
      <c r="B1387" t="s">
        <v>1149</v>
      </c>
      <c r="C1387" t="s">
        <v>2144</v>
      </c>
      <c r="D1387" t="s">
        <v>63</v>
      </c>
      <c r="E1387" t="s">
        <v>429</v>
      </c>
      <c r="F1387">
        <v>2</v>
      </c>
      <c r="G1387">
        <v>20</v>
      </c>
      <c r="H1387" s="1296">
        <v>40</v>
      </c>
      <c r="I1387" t="str">
        <f t="shared" si="21"/>
        <v>-</v>
      </c>
    </row>
    <row r="1388" spans="1:9" x14ac:dyDescent="0.25">
      <c r="A1388">
        <v>13290</v>
      </c>
      <c r="B1388" t="s">
        <v>1149</v>
      </c>
      <c r="C1388" t="s">
        <v>2144</v>
      </c>
      <c r="D1388" t="s">
        <v>60</v>
      </c>
      <c r="E1388" t="s">
        <v>61</v>
      </c>
      <c r="F1388">
        <v>3</v>
      </c>
      <c r="G1388">
        <v>25</v>
      </c>
      <c r="H1388" s="1296">
        <v>75</v>
      </c>
      <c r="I1388" t="str">
        <f t="shared" si="21"/>
        <v>-</v>
      </c>
    </row>
    <row r="1389" spans="1:9" x14ac:dyDescent="0.25">
      <c r="A1389">
        <v>13291</v>
      </c>
      <c r="B1389" t="s">
        <v>1149</v>
      </c>
      <c r="C1389" t="s">
        <v>2144</v>
      </c>
      <c r="D1389" t="s">
        <v>250</v>
      </c>
      <c r="E1389" t="s">
        <v>424</v>
      </c>
      <c r="F1389">
        <v>2</v>
      </c>
      <c r="G1389">
        <v>25</v>
      </c>
      <c r="H1389" s="1296">
        <v>50</v>
      </c>
      <c r="I1389" t="str">
        <f t="shared" si="21"/>
        <v>-</v>
      </c>
    </row>
    <row r="1390" spans="1:9" x14ac:dyDescent="0.25">
      <c r="A1390">
        <v>13292</v>
      </c>
      <c r="B1390" t="s">
        <v>1149</v>
      </c>
      <c r="C1390" t="s">
        <v>2144</v>
      </c>
      <c r="D1390" t="s">
        <v>865</v>
      </c>
      <c r="E1390" t="s">
        <v>422</v>
      </c>
      <c r="F1390">
        <v>1</v>
      </c>
      <c r="G1390">
        <v>25</v>
      </c>
      <c r="H1390" s="1296">
        <v>25</v>
      </c>
      <c r="I1390" t="str">
        <f t="shared" si="21"/>
        <v>-</v>
      </c>
    </row>
    <row r="1391" spans="1:9" x14ac:dyDescent="0.25">
      <c r="A1391">
        <v>13293</v>
      </c>
      <c r="B1391" t="s">
        <v>1149</v>
      </c>
      <c r="C1391" t="s">
        <v>2144</v>
      </c>
      <c r="D1391" t="s">
        <v>125</v>
      </c>
      <c r="E1391" t="s">
        <v>437</v>
      </c>
      <c r="F1391">
        <v>1</v>
      </c>
      <c r="G1391">
        <v>25</v>
      </c>
      <c r="H1391" s="1296">
        <v>25</v>
      </c>
      <c r="I1391" t="str">
        <f t="shared" si="21"/>
        <v>-</v>
      </c>
    </row>
    <row r="1392" spans="1:9" x14ac:dyDescent="0.25">
      <c r="A1392">
        <v>13294</v>
      </c>
      <c r="B1392" t="s">
        <v>1149</v>
      </c>
      <c r="C1392" t="s">
        <v>2144</v>
      </c>
      <c r="D1392" t="s">
        <v>125</v>
      </c>
      <c r="E1392" t="s">
        <v>438</v>
      </c>
      <c r="F1392">
        <v>1</v>
      </c>
      <c r="G1392">
        <v>25</v>
      </c>
      <c r="H1392" s="1296">
        <v>25</v>
      </c>
      <c r="I1392" t="str">
        <f t="shared" si="21"/>
        <v>-</v>
      </c>
    </row>
    <row r="1393" spans="1:9" x14ac:dyDescent="0.25">
      <c r="A1393">
        <v>13296</v>
      </c>
      <c r="B1393" t="s">
        <v>1149</v>
      </c>
      <c r="C1393" t="s">
        <v>2144</v>
      </c>
      <c r="D1393" t="s">
        <v>1454</v>
      </c>
      <c r="F1393">
        <v>22</v>
      </c>
      <c r="G1393">
        <v>24</v>
      </c>
      <c r="H1393" s="1296">
        <v>528</v>
      </c>
      <c r="I1393" t="str">
        <f t="shared" si="21"/>
        <v>-</v>
      </c>
    </row>
    <row r="1394" spans="1:9" x14ac:dyDescent="0.25">
      <c r="A1394">
        <v>13297</v>
      </c>
      <c r="B1394" t="s">
        <v>1149</v>
      </c>
      <c r="C1394" t="s">
        <v>2144</v>
      </c>
      <c r="D1394" t="s">
        <v>1454</v>
      </c>
      <c r="F1394">
        <v>2</v>
      </c>
      <c r="G1394">
        <v>24</v>
      </c>
      <c r="H1394" s="1296">
        <v>48</v>
      </c>
      <c r="I1394" t="str">
        <f t="shared" si="21"/>
        <v>-</v>
      </c>
    </row>
    <row r="1395" spans="1:9" x14ac:dyDescent="0.25">
      <c r="A1395">
        <v>13333</v>
      </c>
      <c r="B1395" t="s">
        <v>1149</v>
      </c>
      <c r="C1395" t="s">
        <v>2145</v>
      </c>
      <c r="D1395" t="s">
        <v>696</v>
      </c>
      <c r="E1395" t="s">
        <v>362</v>
      </c>
      <c r="F1395">
        <v>4</v>
      </c>
      <c r="G1395">
        <v>6</v>
      </c>
      <c r="H1395" s="1296">
        <v>24</v>
      </c>
      <c r="I1395" t="str">
        <f t="shared" si="21"/>
        <v>-</v>
      </c>
    </row>
    <row r="1396" spans="1:9" x14ac:dyDescent="0.25">
      <c r="A1396">
        <v>13335</v>
      </c>
      <c r="B1396" t="s">
        <v>1149</v>
      </c>
      <c r="C1396" t="s">
        <v>2145</v>
      </c>
      <c r="D1396" t="s">
        <v>134</v>
      </c>
      <c r="E1396" t="s">
        <v>367</v>
      </c>
      <c r="F1396">
        <v>2</v>
      </c>
      <c r="G1396">
        <v>6</v>
      </c>
      <c r="H1396" s="1296">
        <v>12</v>
      </c>
      <c r="I1396" t="str">
        <f t="shared" si="21"/>
        <v>-</v>
      </c>
    </row>
    <row r="1397" spans="1:9" x14ac:dyDescent="0.25">
      <c r="A1397">
        <v>13336</v>
      </c>
      <c r="B1397" t="s">
        <v>1149</v>
      </c>
      <c r="C1397" t="s">
        <v>2145</v>
      </c>
      <c r="D1397" t="s">
        <v>139</v>
      </c>
      <c r="E1397" t="s">
        <v>1349</v>
      </c>
      <c r="F1397">
        <v>1</v>
      </c>
      <c r="G1397">
        <v>6</v>
      </c>
      <c r="H1397" s="1296">
        <v>6</v>
      </c>
      <c r="I1397" t="str">
        <f t="shared" si="21"/>
        <v>-</v>
      </c>
    </row>
    <row r="1398" spans="1:9" x14ac:dyDescent="0.25">
      <c r="A1398">
        <v>13337</v>
      </c>
      <c r="B1398" t="s">
        <v>1149</v>
      </c>
      <c r="C1398" t="s">
        <v>2145</v>
      </c>
      <c r="D1398" t="s">
        <v>139</v>
      </c>
      <c r="E1398" t="s">
        <v>1349</v>
      </c>
      <c r="F1398">
        <v>1</v>
      </c>
      <c r="G1398">
        <v>3</v>
      </c>
      <c r="H1398" s="1296">
        <v>3</v>
      </c>
      <c r="I1398" t="str">
        <f t="shared" si="21"/>
        <v>-</v>
      </c>
    </row>
    <row r="1399" spans="1:9" x14ac:dyDescent="0.25">
      <c r="A1399">
        <v>13338</v>
      </c>
      <c r="B1399" t="s">
        <v>1149</v>
      </c>
      <c r="C1399" t="s">
        <v>2145</v>
      </c>
      <c r="D1399" t="s">
        <v>140</v>
      </c>
      <c r="E1399" t="s">
        <v>393</v>
      </c>
      <c r="F1399">
        <v>1</v>
      </c>
      <c r="G1399">
        <v>1</v>
      </c>
      <c r="H1399" s="1296">
        <v>1</v>
      </c>
      <c r="I1399" t="str">
        <f t="shared" si="21"/>
        <v>-</v>
      </c>
    </row>
    <row r="1400" spans="1:9" x14ac:dyDescent="0.25">
      <c r="A1400">
        <v>13339</v>
      </c>
      <c r="B1400" t="s">
        <v>1149</v>
      </c>
      <c r="C1400" t="s">
        <v>2145</v>
      </c>
      <c r="D1400" t="s">
        <v>158</v>
      </c>
      <c r="E1400" t="s">
        <v>390</v>
      </c>
      <c r="F1400">
        <v>2</v>
      </c>
      <c r="G1400">
        <v>1</v>
      </c>
      <c r="H1400" s="1296">
        <v>2</v>
      </c>
      <c r="I1400" t="str">
        <f t="shared" si="21"/>
        <v>-</v>
      </c>
    </row>
    <row r="1401" spans="1:9" x14ac:dyDescent="0.25">
      <c r="A1401">
        <v>13340</v>
      </c>
      <c r="B1401" t="s">
        <v>1149</v>
      </c>
      <c r="C1401" t="s">
        <v>2145</v>
      </c>
      <c r="D1401" t="s">
        <v>2146</v>
      </c>
      <c r="E1401" t="s">
        <v>403</v>
      </c>
      <c r="F1401">
        <v>3</v>
      </c>
      <c r="G1401">
        <v>8</v>
      </c>
      <c r="H1401" s="1296">
        <v>24</v>
      </c>
      <c r="I1401" t="str">
        <f t="shared" si="21"/>
        <v>-</v>
      </c>
    </row>
    <row r="1402" spans="1:9" x14ac:dyDescent="0.25">
      <c r="A1402">
        <v>13342</v>
      </c>
      <c r="B1402" t="s">
        <v>1149</v>
      </c>
      <c r="C1402" t="s">
        <v>2145</v>
      </c>
      <c r="D1402" t="s">
        <v>63</v>
      </c>
      <c r="E1402" t="s">
        <v>371</v>
      </c>
      <c r="F1402">
        <v>4</v>
      </c>
      <c r="G1402">
        <v>6</v>
      </c>
      <c r="H1402" s="1296">
        <v>24</v>
      </c>
      <c r="I1402" t="str">
        <f t="shared" si="21"/>
        <v>-</v>
      </c>
    </row>
    <row r="1403" spans="1:9" x14ac:dyDescent="0.25">
      <c r="A1403">
        <v>13344</v>
      </c>
      <c r="B1403" t="s">
        <v>1149</v>
      </c>
      <c r="C1403" t="s">
        <v>2145</v>
      </c>
      <c r="D1403" t="s">
        <v>1718</v>
      </c>
      <c r="E1403" t="s">
        <v>379</v>
      </c>
      <c r="F1403">
        <v>2</v>
      </c>
      <c r="G1403">
        <v>6</v>
      </c>
      <c r="H1403" s="1296">
        <v>12</v>
      </c>
      <c r="I1403" t="str">
        <f t="shared" si="21"/>
        <v>-</v>
      </c>
    </row>
    <row r="1404" spans="1:9" x14ac:dyDescent="0.25">
      <c r="A1404">
        <v>13345</v>
      </c>
      <c r="B1404" t="s">
        <v>1149</v>
      </c>
      <c r="C1404" t="s">
        <v>2145</v>
      </c>
      <c r="D1404" t="s">
        <v>125</v>
      </c>
      <c r="E1404" t="s">
        <v>386</v>
      </c>
      <c r="F1404">
        <v>6</v>
      </c>
      <c r="G1404">
        <v>4</v>
      </c>
      <c r="H1404" s="1296">
        <v>24</v>
      </c>
      <c r="I1404" t="str">
        <f t="shared" si="21"/>
        <v>-</v>
      </c>
    </row>
    <row r="1405" spans="1:9" x14ac:dyDescent="0.25">
      <c r="A1405">
        <v>13402</v>
      </c>
      <c r="B1405" t="s">
        <v>1149</v>
      </c>
      <c r="C1405" t="s">
        <v>1394</v>
      </c>
      <c r="D1405" t="s">
        <v>1718</v>
      </c>
      <c r="E1405" t="s">
        <v>379</v>
      </c>
      <c r="F1405">
        <v>1</v>
      </c>
      <c r="G1405">
        <v>6</v>
      </c>
      <c r="H1405" s="1296">
        <v>6</v>
      </c>
      <c r="I1405" t="str">
        <f t="shared" si="21"/>
        <v>-</v>
      </c>
    </row>
    <row r="1406" spans="1:9" x14ac:dyDescent="0.25">
      <c r="A1406">
        <v>13404</v>
      </c>
      <c r="B1406" t="s">
        <v>1149</v>
      </c>
      <c r="C1406" t="s">
        <v>1394</v>
      </c>
      <c r="D1406" t="s">
        <v>1396</v>
      </c>
      <c r="F1406">
        <v>10</v>
      </c>
      <c r="G1406">
        <v>4</v>
      </c>
      <c r="H1406" s="1296">
        <v>40</v>
      </c>
      <c r="I1406" t="str">
        <f t="shared" si="21"/>
        <v>-</v>
      </c>
    </row>
    <row r="1407" spans="1:9" x14ac:dyDescent="0.25">
      <c r="A1407">
        <v>13448</v>
      </c>
      <c r="B1407" t="s">
        <v>521</v>
      </c>
      <c r="C1407" t="s">
        <v>1563</v>
      </c>
      <c r="D1407" t="s">
        <v>127</v>
      </c>
      <c r="E1407" t="s">
        <v>439</v>
      </c>
      <c r="F1407">
        <v>2</v>
      </c>
      <c r="G1407">
        <v>25</v>
      </c>
      <c r="H1407" s="1296">
        <v>50</v>
      </c>
      <c r="I1407" t="str">
        <f t="shared" si="21"/>
        <v>-</v>
      </c>
    </row>
    <row r="1408" spans="1:9" x14ac:dyDescent="0.25">
      <c r="A1408">
        <v>13449</v>
      </c>
      <c r="B1408" t="s">
        <v>521</v>
      </c>
      <c r="C1408" t="s">
        <v>1563</v>
      </c>
      <c r="D1408" t="s">
        <v>145</v>
      </c>
      <c r="E1408" t="s">
        <v>383</v>
      </c>
      <c r="F1408">
        <v>1</v>
      </c>
      <c r="G1408">
        <v>25</v>
      </c>
      <c r="H1408" s="1296">
        <v>25</v>
      </c>
      <c r="I1408" t="str">
        <f t="shared" si="21"/>
        <v>-</v>
      </c>
    </row>
    <row r="1409" spans="1:9" x14ac:dyDescent="0.25">
      <c r="A1409">
        <v>13451</v>
      </c>
      <c r="B1409" t="s">
        <v>521</v>
      </c>
      <c r="C1409" t="s">
        <v>1563</v>
      </c>
      <c r="D1409" t="s">
        <v>68</v>
      </c>
      <c r="E1409" t="s">
        <v>404</v>
      </c>
      <c r="F1409">
        <v>4</v>
      </c>
      <c r="G1409">
        <v>25</v>
      </c>
      <c r="H1409" s="1296">
        <v>100</v>
      </c>
      <c r="I1409" t="str">
        <f t="shared" si="21"/>
        <v>-</v>
      </c>
    </row>
    <row r="1410" spans="1:9" x14ac:dyDescent="0.25">
      <c r="A1410">
        <v>13453</v>
      </c>
      <c r="B1410" t="s">
        <v>521</v>
      </c>
      <c r="C1410" t="s">
        <v>1563</v>
      </c>
      <c r="D1410" t="s">
        <v>2147</v>
      </c>
      <c r="E1410" t="s">
        <v>406</v>
      </c>
      <c r="F1410">
        <v>4</v>
      </c>
      <c r="G1410">
        <v>25</v>
      </c>
      <c r="H1410" s="1296">
        <v>100</v>
      </c>
      <c r="I1410" t="str">
        <f t="shared" ref="I1410:I1473" si="22">INDEX($N$2:$N$355,MATCH($A1410,$L$2:$L$355,1))</f>
        <v>-</v>
      </c>
    </row>
    <row r="1411" spans="1:9" x14ac:dyDescent="0.25">
      <c r="A1411">
        <v>13455</v>
      </c>
      <c r="B1411" t="s">
        <v>521</v>
      </c>
      <c r="C1411" t="s">
        <v>1563</v>
      </c>
      <c r="D1411" t="s">
        <v>250</v>
      </c>
      <c r="E1411" t="s">
        <v>410</v>
      </c>
      <c r="F1411">
        <v>4</v>
      </c>
      <c r="G1411">
        <v>25</v>
      </c>
      <c r="H1411" s="1296">
        <v>100</v>
      </c>
      <c r="I1411" t="str">
        <f t="shared" si="22"/>
        <v>-</v>
      </c>
    </row>
    <row r="1412" spans="1:9" x14ac:dyDescent="0.25">
      <c r="A1412">
        <v>13457</v>
      </c>
      <c r="B1412" t="s">
        <v>521</v>
      </c>
      <c r="C1412" t="s">
        <v>1563</v>
      </c>
      <c r="D1412" t="s">
        <v>226</v>
      </c>
      <c r="E1412" t="s">
        <v>413</v>
      </c>
      <c r="F1412">
        <v>4</v>
      </c>
      <c r="G1412">
        <v>25</v>
      </c>
      <c r="H1412" s="1296">
        <v>100</v>
      </c>
      <c r="I1412" t="str">
        <f t="shared" si="22"/>
        <v>-</v>
      </c>
    </row>
    <row r="1413" spans="1:9" x14ac:dyDescent="0.25">
      <c r="A1413">
        <v>13459</v>
      </c>
      <c r="B1413" t="s">
        <v>521</v>
      </c>
      <c r="C1413" t="s">
        <v>1563</v>
      </c>
      <c r="D1413" t="s">
        <v>2148</v>
      </c>
      <c r="E1413" t="s">
        <v>414</v>
      </c>
      <c r="F1413">
        <v>4</v>
      </c>
      <c r="G1413">
        <v>25</v>
      </c>
      <c r="H1413" s="1296">
        <v>100</v>
      </c>
      <c r="I1413" t="str">
        <f t="shared" si="22"/>
        <v>-</v>
      </c>
    </row>
    <row r="1414" spans="1:9" x14ac:dyDescent="0.25">
      <c r="A1414">
        <v>13461</v>
      </c>
      <c r="B1414" t="s">
        <v>521</v>
      </c>
      <c r="C1414" t="s">
        <v>1563</v>
      </c>
      <c r="D1414" t="s">
        <v>287</v>
      </c>
      <c r="E1414" t="s">
        <v>1363</v>
      </c>
      <c r="F1414">
        <v>8</v>
      </c>
      <c r="G1414">
        <v>25</v>
      </c>
      <c r="H1414" s="1296">
        <v>200</v>
      </c>
      <c r="I1414" t="str">
        <f t="shared" si="22"/>
        <v>-</v>
      </c>
    </row>
    <row r="1415" spans="1:9" x14ac:dyDescent="0.25">
      <c r="A1415">
        <v>13464</v>
      </c>
      <c r="B1415" t="s">
        <v>521</v>
      </c>
      <c r="C1415" t="s">
        <v>1563</v>
      </c>
      <c r="D1415" t="s">
        <v>1611</v>
      </c>
      <c r="E1415" t="s">
        <v>345</v>
      </c>
      <c r="F1415">
        <v>1</v>
      </c>
      <c r="G1415">
        <v>1</v>
      </c>
      <c r="H1415" s="1296">
        <v>1</v>
      </c>
      <c r="I1415" t="str">
        <f t="shared" si="22"/>
        <v>-</v>
      </c>
    </row>
    <row r="1416" spans="1:9" x14ac:dyDescent="0.25">
      <c r="A1416">
        <v>13466</v>
      </c>
      <c r="B1416" t="s">
        <v>521</v>
      </c>
      <c r="C1416" t="s">
        <v>1563</v>
      </c>
      <c r="D1416" t="s">
        <v>63</v>
      </c>
      <c r="E1416" t="s">
        <v>371</v>
      </c>
      <c r="F1416">
        <v>4</v>
      </c>
      <c r="G1416">
        <v>6</v>
      </c>
      <c r="H1416" s="1296">
        <v>24</v>
      </c>
      <c r="I1416" t="str">
        <f t="shared" si="22"/>
        <v>-</v>
      </c>
    </row>
    <row r="1417" spans="1:9" x14ac:dyDescent="0.25">
      <c r="A1417">
        <v>13468</v>
      </c>
      <c r="B1417" t="s">
        <v>521</v>
      </c>
      <c r="C1417" t="s">
        <v>1563</v>
      </c>
      <c r="D1417" t="s">
        <v>63</v>
      </c>
      <c r="E1417" t="s">
        <v>371</v>
      </c>
      <c r="F1417">
        <v>1</v>
      </c>
      <c r="G1417">
        <v>6</v>
      </c>
      <c r="H1417" s="1296">
        <v>6</v>
      </c>
      <c r="I1417" t="str">
        <f t="shared" si="22"/>
        <v>-</v>
      </c>
    </row>
    <row r="1418" spans="1:9" x14ac:dyDescent="0.25">
      <c r="A1418">
        <v>13491</v>
      </c>
      <c r="B1418" t="s">
        <v>1155</v>
      </c>
      <c r="C1418" t="s">
        <v>2150</v>
      </c>
      <c r="D1418" t="s">
        <v>1454</v>
      </c>
      <c r="E1418" t="s">
        <v>12</v>
      </c>
      <c r="F1418">
        <v>44</v>
      </c>
      <c r="G1418">
        <v>24</v>
      </c>
      <c r="H1418" s="1296">
        <v>1056</v>
      </c>
      <c r="I1418" t="str">
        <f t="shared" si="22"/>
        <v>-</v>
      </c>
    </row>
    <row r="1419" spans="1:9" x14ac:dyDescent="0.25">
      <c r="A1419">
        <v>13558</v>
      </c>
      <c r="B1419" t="s">
        <v>1157</v>
      </c>
      <c r="C1419" t="s">
        <v>2151</v>
      </c>
      <c r="D1419" t="s">
        <v>1718</v>
      </c>
      <c r="E1419" t="s">
        <v>379</v>
      </c>
      <c r="F1419">
        <v>2</v>
      </c>
      <c r="G1419">
        <v>6</v>
      </c>
      <c r="H1419" s="1296">
        <v>12</v>
      </c>
      <c r="I1419" t="str">
        <f t="shared" si="22"/>
        <v>-</v>
      </c>
    </row>
    <row r="1420" spans="1:9" x14ac:dyDescent="0.25">
      <c r="A1420">
        <v>13560</v>
      </c>
      <c r="B1420" t="s">
        <v>1157</v>
      </c>
      <c r="C1420" t="s">
        <v>2151</v>
      </c>
      <c r="D1420" t="s">
        <v>134</v>
      </c>
      <c r="E1420" t="s">
        <v>332</v>
      </c>
      <c r="F1420">
        <v>1</v>
      </c>
      <c r="G1420">
        <v>5</v>
      </c>
      <c r="H1420" s="1296">
        <v>5</v>
      </c>
      <c r="I1420" t="str">
        <f t="shared" si="22"/>
        <v>-</v>
      </c>
    </row>
    <row r="1421" spans="1:9" x14ac:dyDescent="0.25">
      <c r="A1421">
        <v>13561</v>
      </c>
      <c r="B1421" t="s">
        <v>1157</v>
      </c>
      <c r="C1421" t="s">
        <v>2151</v>
      </c>
      <c r="D1421" t="s">
        <v>139</v>
      </c>
      <c r="E1421" t="s">
        <v>336</v>
      </c>
      <c r="F1421">
        <v>2</v>
      </c>
      <c r="G1421">
        <v>5</v>
      </c>
      <c r="H1421" s="1296">
        <v>10</v>
      </c>
      <c r="I1421" t="str">
        <f t="shared" si="22"/>
        <v>-</v>
      </c>
    </row>
    <row r="1422" spans="1:9" x14ac:dyDescent="0.25">
      <c r="A1422">
        <v>13603</v>
      </c>
      <c r="B1422" t="s">
        <v>520</v>
      </c>
      <c r="C1422" t="s">
        <v>1564</v>
      </c>
      <c r="D1422" t="s">
        <v>56</v>
      </c>
      <c r="E1422" t="s">
        <v>57</v>
      </c>
      <c r="F1422">
        <v>8</v>
      </c>
      <c r="G1422">
        <v>25</v>
      </c>
      <c r="H1422" s="1296">
        <v>200</v>
      </c>
      <c r="I1422" t="str">
        <f t="shared" si="22"/>
        <v>-</v>
      </c>
    </row>
    <row r="1423" spans="1:9" x14ac:dyDescent="0.25">
      <c r="A1423">
        <v>13604</v>
      </c>
      <c r="B1423" t="s">
        <v>520</v>
      </c>
      <c r="C1423" t="s">
        <v>1564</v>
      </c>
      <c r="D1423" t="s">
        <v>1477</v>
      </c>
      <c r="E1423" t="s">
        <v>61</v>
      </c>
      <c r="F1423">
        <v>8</v>
      </c>
      <c r="G1423">
        <v>25</v>
      </c>
      <c r="H1423" s="1296">
        <v>200</v>
      </c>
      <c r="I1423" t="str">
        <f t="shared" si="22"/>
        <v>-</v>
      </c>
    </row>
    <row r="1424" spans="1:9" x14ac:dyDescent="0.25">
      <c r="A1424">
        <v>13605</v>
      </c>
      <c r="B1424" t="s">
        <v>520</v>
      </c>
      <c r="C1424" t="s">
        <v>1564</v>
      </c>
      <c r="D1424" t="s">
        <v>68</v>
      </c>
      <c r="E1424" t="s">
        <v>69</v>
      </c>
      <c r="F1424">
        <v>10</v>
      </c>
      <c r="G1424">
        <v>25</v>
      </c>
      <c r="H1424" s="1296">
        <v>250</v>
      </c>
      <c r="I1424" t="str">
        <f t="shared" si="22"/>
        <v>-</v>
      </c>
    </row>
    <row r="1425" spans="1:9" x14ac:dyDescent="0.25">
      <c r="A1425">
        <v>13606</v>
      </c>
      <c r="B1425" t="s">
        <v>520</v>
      </c>
      <c r="C1425" t="s">
        <v>1564</v>
      </c>
      <c r="D1425" t="s">
        <v>2152</v>
      </c>
      <c r="E1425" t="s">
        <v>109</v>
      </c>
      <c r="F1425">
        <v>12</v>
      </c>
      <c r="G1425">
        <v>25</v>
      </c>
      <c r="H1425" s="1296">
        <v>300</v>
      </c>
      <c r="I1425" t="str">
        <f t="shared" si="22"/>
        <v>-</v>
      </c>
    </row>
    <row r="1426" spans="1:9" x14ac:dyDescent="0.25">
      <c r="A1426">
        <v>13607</v>
      </c>
      <c r="B1426" t="s">
        <v>520</v>
      </c>
      <c r="C1426" t="s">
        <v>1564</v>
      </c>
      <c r="D1426" t="s">
        <v>2153</v>
      </c>
      <c r="E1426" t="s">
        <v>425</v>
      </c>
      <c r="F1426">
        <v>4</v>
      </c>
      <c r="G1426">
        <v>25</v>
      </c>
      <c r="H1426" s="1296">
        <v>100</v>
      </c>
      <c r="I1426" t="str">
        <f t="shared" si="22"/>
        <v>-</v>
      </c>
    </row>
    <row r="1427" spans="1:9" x14ac:dyDescent="0.25">
      <c r="A1427">
        <v>13608</v>
      </c>
      <c r="B1427" t="s">
        <v>520</v>
      </c>
      <c r="C1427" t="s">
        <v>1564</v>
      </c>
      <c r="D1427" t="s">
        <v>1131</v>
      </c>
      <c r="E1427" t="s">
        <v>426</v>
      </c>
      <c r="F1427">
        <v>2</v>
      </c>
      <c r="G1427">
        <v>25</v>
      </c>
      <c r="H1427" s="1296">
        <v>50</v>
      </c>
      <c r="I1427" t="str">
        <f t="shared" si="22"/>
        <v>-</v>
      </c>
    </row>
    <row r="1428" spans="1:9" x14ac:dyDescent="0.25">
      <c r="A1428">
        <v>13609</v>
      </c>
      <c r="B1428" t="s">
        <v>520</v>
      </c>
      <c r="C1428" t="s">
        <v>1564</v>
      </c>
      <c r="D1428" t="s">
        <v>138</v>
      </c>
      <c r="E1428" t="s">
        <v>431</v>
      </c>
      <c r="F1428">
        <v>1</v>
      </c>
      <c r="G1428">
        <v>25</v>
      </c>
      <c r="H1428" s="1296">
        <v>25</v>
      </c>
      <c r="I1428" t="str">
        <f t="shared" si="22"/>
        <v>-</v>
      </c>
    </row>
    <row r="1429" spans="1:9" x14ac:dyDescent="0.25">
      <c r="A1429">
        <v>13610</v>
      </c>
      <c r="B1429" t="s">
        <v>520</v>
      </c>
      <c r="C1429" t="s">
        <v>1564</v>
      </c>
      <c r="D1429" t="s">
        <v>190</v>
      </c>
      <c r="E1429" t="s">
        <v>423</v>
      </c>
      <c r="F1429">
        <v>1</v>
      </c>
      <c r="G1429">
        <v>25</v>
      </c>
      <c r="H1429" s="1296">
        <v>25</v>
      </c>
      <c r="I1429" t="str">
        <f t="shared" si="22"/>
        <v>-</v>
      </c>
    </row>
    <row r="1430" spans="1:9" x14ac:dyDescent="0.25">
      <c r="A1430">
        <v>13612</v>
      </c>
      <c r="B1430" t="s">
        <v>520</v>
      </c>
      <c r="C1430" t="s">
        <v>1564</v>
      </c>
      <c r="D1430" t="s">
        <v>187</v>
      </c>
      <c r="E1430" t="s">
        <v>187</v>
      </c>
      <c r="F1430">
        <v>27</v>
      </c>
      <c r="G1430">
        <v>8</v>
      </c>
      <c r="H1430" s="1296">
        <v>216</v>
      </c>
      <c r="I1430" t="str">
        <f t="shared" si="22"/>
        <v>-</v>
      </c>
    </row>
    <row r="1431" spans="1:9" x14ac:dyDescent="0.25">
      <c r="A1431">
        <v>13614</v>
      </c>
      <c r="B1431" t="s">
        <v>520</v>
      </c>
      <c r="C1431" t="s">
        <v>1564</v>
      </c>
      <c r="D1431" t="s">
        <v>56</v>
      </c>
      <c r="E1431" t="s">
        <v>368</v>
      </c>
      <c r="F1431">
        <v>8</v>
      </c>
      <c r="G1431">
        <v>6</v>
      </c>
      <c r="H1431" s="1296">
        <v>48</v>
      </c>
      <c r="I1431" t="str">
        <f t="shared" si="22"/>
        <v>-</v>
      </c>
    </row>
    <row r="1432" spans="1:9" x14ac:dyDescent="0.25">
      <c r="A1432">
        <v>13616</v>
      </c>
      <c r="B1432" t="s">
        <v>520</v>
      </c>
      <c r="C1432" t="s">
        <v>1564</v>
      </c>
      <c r="D1432" t="s">
        <v>56</v>
      </c>
      <c r="E1432" t="s">
        <v>593</v>
      </c>
      <c r="F1432">
        <v>2</v>
      </c>
      <c r="G1432">
        <v>6</v>
      </c>
      <c r="H1432" s="1296">
        <v>12</v>
      </c>
      <c r="I1432" t="str">
        <f t="shared" si="22"/>
        <v>-</v>
      </c>
    </row>
    <row r="1433" spans="1:9" x14ac:dyDescent="0.25">
      <c r="A1433">
        <v>13617</v>
      </c>
      <c r="B1433" t="s">
        <v>520</v>
      </c>
      <c r="C1433" t="s">
        <v>1564</v>
      </c>
      <c r="D1433" t="s">
        <v>1298</v>
      </c>
      <c r="E1433" t="s">
        <v>393</v>
      </c>
      <c r="F1433">
        <v>1</v>
      </c>
      <c r="G1433">
        <v>6</v>
      </c>
      <c r="H1433" s="1296">
        <v>6</v>
      </c>
      <c r="I1433" t="str">
        <f t="shared" si="22"/>
        <v>-</v>
      </c>
    </row>
    <row r="1434" spans="1:9" x14ac:dyDescent="0.25">
      <c r="A1434">
        <v>13618</v>
      </c>
      <c r="B1434" t="s">
        <v>520</v>
      </c>
      <c r="C1434" t="s">
        <v>1564</v>
      </c>
      <c r="D1434" t="s">
        <v>146</v>
      </c>
      <c r="E1434" t="s">
        <v>380</v>
      </c>
      <c r="F1434">
        <v>2</v>
      </c>
      <c r="G1434">
        <v>6</v>
      </c>
      <c r="H1434" s="1296">
        <v>12</v>
      </c>
      <c r="I1434" t="str">
        <f t="shared" si="22"/>
        <v>-</v>
      </c>
    </row>
    <row r="1435" spans="1:9" x14ac:dyDescent="0.25">
      <c r="A1435">
        <v>13619</v>
      </c>
      <c r="B1435" t="s">
        <v>520</v>
      </c>
      <c r="C1435" t="s">
        <v>1564</v>
      </c>
      <c r="D1435" t="s">
        <v>15</v>
      </c>
      <c r="E1435" t="s">
        <v>388</v>
      </c>
      <c r="F1435">
        <v>4</v>
      </c>
      <c r="G1435">
        <v>6</v>
      </c>
      <c r="H1435" s="1296">
        <v>24</v>
      </c>
      <c r="I1435" t="str">
        <f t="shared" si="22"/>
        <v>-</v>
      </c>
    </row>
    <row r="1436" spans="1:9" x14ac:dyDescent="0.25">
      <c r="A1436">
        <v>13621</v>
      </c>
      <c r="B1436" t="s">
        <v>520</v>
      </c>
      <c r="C1436" t="s">
        <v>1564</v>
      </c>
      <c r="D1436" t="s">
        <v>105</v>
      </c>
      <c r="E1436" t="s">
        <v>2154</v>
      </c>
      <c r="F1436">
        <v>2</v>
      </c>
      <c r="G1436">
        <v>6</v>
      </c>
      <c r="H1436" s="1296">
        <v>12</v>
      </c>
      <c r="I1436" t="str">
        <f t="shared" si="22"/>
        <v>-</v>
      </c>
    </row>
    <row r="1437" spans="1:9" x14ac:dyDescent="0.25">
      <c r="A1437">
        <v>13622</v>
      </c>
      <c r="B1437" t="s">
        <v>520</v>
      </c>
      <c r="C1437" t="s">
        <v>1564</v>
      </c>
      <c r="D1437" t="s">
        <v>127</v>
      </c>
      <c r="E1437" t="s">
        <v>398</v>
      </c>
      <c r="F1437">
        <v>2</v>
      </c>
      <c r="G1437">
        <v>6</v>
      </c>
      <c r="H1437" s="1296">
        <v>12</v>
      </c>
      <c r="I1437" t="str">
        <f t="shared" si="22"/>
        <v>-</v>
      </c>
    </row>
    <row r="1438" spans="1:9" x14ac:dyDescent="0.25">
      <c r="A1438">
        <v>13623</v>
      </c>
      <c r="B1438" t="s">
        <v>520</v>
      </c>
      <c r="C1438" t="s">
        <v>1564</v>
      </c>
      <c r="D1438" t="s">
        <v>287</v>
      </c>
      <c r="E1438" t="s">
        <v>400</v>
      </c>
      <c r="F1438">
        <v>4</v>
      </c>
      <c r="G1438">
        <v>6</v>
      </c>
      <c r="H1438" s="1296">
        <v>24</v>
      </c>
      <c r="I1438" t="str">
        <f t="shared" si="22"/>
        <v>-</v>
      </c>
    </row>
    <row r="1439" spans="1:9" x14ac:dyDescent="0.25">
      <c r="A1439">
        <v>13625</v>
      </c>
      <c r="B1439" t="s">
        <v>520</v>
      </c>
      <c r="C1439" t="s">
        <v>1564</v>
      </c>
      <c r="D1439" t="s">
        <v>80</v>
      </c>
      <c r="E1439" t="s">
        <v>386</v>
      </c>
      <c r="F1439">
        <v>3</v>
      </c>
      <c r="G1439">
        <v>5</v>
      </c>
      <c r="H1439" s="1296">
        <v>15</v>
      </c>
      <c r="I1439" t="str">
        <f t="shared" si="22"/>
        <v>-</v>
      </c>
    </row>
    <row r="1440" spans="1:9" x14ac:dyDescent="0.25">
      <c r="A1440">
        <v>13627</v>
      </c>
      <c r="B1440" t="s">
        <v>520</v>
      </c>
      <c r="C1440" t="s">
        <v>1564</v>
      </c>
      <c r="D1440">
        <v>507</v>
      </c>
      <c r="E1440" t="s">
        <v>1815</v>
      </c>
      <c r="F1440">
        <v>1</v>
      </c>
      <c r="G1440">
        <v>300</v>
      </c>
      <c r="H1440" s="1296">
        <v>300</v>
      </c>
      <c r="I1440" t="str">
        <f t="shared" si="22"/>
        <v>-</v>
      </c>
    </row>
    <row r="1441" spans="1:9" x14ac:dyDescent="0.25">
      <c r="A1441">
        <v>13630</v>
      </c>
      <c r="B1441" t="s">
        <v>520</v>
      </c>
      <c r="C1441" t="s">
        <v>1564</v>
      </c>
      <c r="D1441" t="s">
        <v>1514</v>
      </c>
      <c r="F1441">
        <v>1</v>
      </c>
      <c r="G1441">
        <v>100</v>
      </c>
      <c r="H1441" s="1296">
        <v>100</v>
      </c>
      <c r="I1441" t="str">
        <f t="shared" si="22"/>
        <v>-</v>
      </c>
    </row>
    <row r="1442" spans="1:9" x14ac:dyDescent="0.25">
      <c r="A1442">
        <v>13649</v>
      </c>
      <c r="B1442" t="s">
        <v>520</v>
      </c>
      <c r="C1442" t="s">
        <v>1564</v>
      </c>
      <c r="D1442" t="s">
        <v>1833</v>
      </c>
      <c r="E1442" t="s">
        <v>445</v>
      </c>
      <c r="F1442">
        <v>1</v>
      </c>
      <c r="G1442">
        <v>500</v>
      </c>
      <c r="H1442" s="1296">
        <v>500</v>
      </c>
      <c r="I1442" t="str">
        <f t="shared" si="22"/>
        <v>-</v>
      </c>
    </row>
    <row r="1443" spans="1:9" x14ac:dyDescent="0.25">
      <c r="A1443">
        <v>13651</v>
      </c>
      <c r="B1443" t="s">
        <v>520</v>
      </c>
      <c r="C1443" t="s">
        <v>1564</v>
      </c>
      <c r="D1443" t="s">
        <v>287</v>
      </c>
      <c r="E1443" t="s">
        <v>1176</v>
      </c>
      <c r="F1443">
        <v>1</v>
      </c>
      <c r="G1443">
        <v>100</v>
      </c>
      <c r="H1443" s="1296">
        <v>100</v>
      </c>
      <c r="I1443" t="str">
        <f t="shared" si="22"/>
        <v>-</v>
      </c>
    </row>
    <row r="1444" spans="1:9" x14ac:dyDescent="0.25">
      <c r="A1444">
        <v>13653</v>
      </c>
      <c r="B1444" t="s">
        <v>520</v>
      </c>
      <c r="C1444" t="s">
        <v>1564</v>
      </c>
      <c r="D1444" t="s">
        <v>2155</v>
      </c>
      <c r="E1444" t="s">
        <v>448</v>
      </c>
      <c r="F1444">
        <v>1</v>
      </c>
      <c r="G1444">
        <v>30</v>
      </c>
      <c r="H1444" s="1296">
        <v>30</v>
      </c>
      <c r="I1444" t="str">
        <f t="shared" si="22"/>
        <v>-</v>
      </c>
    </row>
    <row r="1445" spans="1:9" x14ac:dyDescent="0.25">
      <c r="A1445">
        <v>13654</v>
      </c>
      <c r="B1445" t="s">
        <v>520</v>
      </c>
      <c r="C1445" t="s">
        <v>1564</v>
      </c>
      <c r="D1445" t="s">
        <v>293</v>
      </c>
      <c r="E1445" t="s">
        <v>450</v>
      </c>
      <c r="F1445">
        <v>1</v>
      </c>
      <c r="G1445">
        <v>435</v>
      </c>
      <c r="H1445" s="1296">
        <v>435</v>
      </c>
      <c r="I1445" t="str">
        <f t="shared" si="22"/>
        <v>-</v>
      </c>
    </row>
    <row r="1446" spans="1:9" x14ac:dyDescent="0.25">
      <c r="A1446">
        <v>13656</v>
      </c>
      <c r="B1446" t="s">
        <v>520</v>
      </c>
      <c r="C1446" t="s">
        <v>1564</v>
      </c>
      <c r="D1446" t="s">
        <v>2156</v>
      </c>
      <c r="E1446" t="s">
        <v>1179</v>
      </c>
      <c r="F1446">
        <v>1</v>
      </c>
      <c r="G1446">
        <v>50</v>
      </c>
      <c r="H1446" s="1296">
        <v>50</v>
      </c>
      <c r="I1446" t="str">
        <f t="shared" si="22"/>
        <v>-</v>
      </c>
    </row>
    <row r="1447" spans="1:9" x14ac:dyDescent="0.25">
      <c r="A1447">
        <v>13658</v>
      </c>
      <c r="B1447" t="s">
        <v>520</v>
      </c>
      <c r="C1447" t="s">
        <v>1564</v>
      </c>
      <c r="D1447" t="s">
        <v>301</v>
      </c>
      <c r="E1447" t="s">
        <v>458</v>
      </c>
      <c r="F1447">
        <v>1</v>
      </c>
      <c r="G1447">
        <v>25</v>
      </c>
      <c r="H1447" s="1296">
        <v>25</v>
      </c>
      <c r="I1447" t="str">
        <f t="shared" si="22"/>
        <v>-</v>
      </c>
    </row>
    <row r="1448" spans="1:9" x14ac:dyDescent="0.25">
      <c r="A1448">
        <v>13661</v>
      </c>
      <c r="B1448" t="s">
        <v>520</v>
      </c>
      <c r="C1448" t="s">
        <v>1564</v>
      </c>
      <c r="D1448" t="s">
        <v>1730</v>
      </c>
      <c r="E1448" t="s">
        <v>5</v>
      </c>
      <c r="F1448">
        <v>24</v>
      </c>
      <c r="G1448">
        <v>24</v>
      </c>
      <c r="H1448" s="1296">
        <v>576</v>
      </c>
      <c r="I1448" t="str">
        <f t="shared" si="22"/>
        <v>-</v>
      </c>
    </row>
    <row r="1449" spans="1:9" x14ac:dyDescent="0.25">
      <c r="A1449">
        <v>13663</v>
      </c>
      <c r="B1449" t="s">
        <v>520</v>
      </c>
      <c r="C1449" t="s">
        <v>1564</v>
      </c>
      <c r="D1449" t="s">
        <v>2157</v>
      </c>
      <c r="E1449" t="s">
        <v>12</v>
      </c>
      <c r="F1449">
        <v>22</v>
      </c>
      <c r="G1449">
        <v>24</v>
      </c>
      <c r="H1449" s="1296">
        <v>528</v>
      </c>
      <c r="I1449" t="str">
        <f t="shared" si="22"/>
        <v>-</v>
      </c>
    </row>
    <row r="1450" spans="1:9" x14ac:dyDescent="0.25">
      <c r="A1450">
        <v>13665</v>
      </c>
      <c r="B1450" t="s">
        <v>520</v>
      </c>
      <c r="C1450" t="s">
        <v>1564</v>
      </c>
      <c r="D1450" t="s">
        <v>1730</v>
      </c>
      <c r="E1450" t="s">
        <v>13</v>
      </c>
      <c r="F1450">
        <v>4</v>
      </c>
      <c r="G1450">
        <v>6</v>
      </c>
      <c r="H1450" s="1296">
        <v>24</v>
      </c>
      <c r="I1450" t="str">
        <f t="shared" si="22"/>
        <v>-</v>
      </c>
    </row>
    <row r="1451" spans="1:9" x14ac:dyDescent="0.25">
      <c r="A1451">
        <v>13667</v>
      </c>
      <c r="B1451" t="s">
        <v>520</v>
      </c>
      <c r="C1451" t="s">
        <v>1564</v>
      </c>
      <c r="D1451" t="s">
        <v>2158</v>
      </c>
      <c r="F1451">
        <v>10</v>
      </c>
      <c r="G1451">
        <v>10</v>
      </c>
      <c r="H1451" s="1296">
        <v>100</v>
      </c>
      <c r="I1451" t="str">
        <f t="shared" si="22"/>
        <v>-</v>
      </c>
    </row>
    <row r="1452" spans="1:9" x14ac:dyDescent="0.25">
      <c r="A1452">
        <v>13669</v>
      </c>
      <c r="B1452" t="s">
        <v>520</v>
      </c>
      <c r="C1452" t="s">
        <v>1564</v>
      </c>
      <c r="D1452" t="s">
        <v>2159</v>
      </c>
      <c r="E1452" t="s">
        <v>1481</v>
      </c>
      <c r="F1452">
        <v>1</v>
      </c>
      <c r="G1452">
        <v>50</v>
      </c>
      <c r="H1452" s="1296">
        <v>50</v>
      </c>
      <c r="I1452" t="str">
        <f t="shared" si="22"/>
        <v>-</v>
      </c>
    </row>
    <row r="1453" spans="1:9" x14ac:dyDescent="0.25">
      <c r="A1453">
        <v>13671</v>
      </c>
      <c r="B1453" t="s">
        <v>520</v>
      </c>
      <c r="C1453" t="s">
        <v>1564</v>
      </c>
      <c r="D1453" t="s">
        <v>1039</v>
      </c>
      <c r="E1453" t="s">
        <v>2161</v>
      </c>
      <c r="F1453">
        <v>2</v>
      </c>
      <c r="G1453">
        <v>100</v>
      </c>
      <c r="H1453" s="1296">
        <v>200</v>
      </c>
      <c r="I1453" t="str">
        <f t="shared" si="22"/>
        <v>-</v>
      </c>
    </row>
    <row r="1454" spans="1:9" x14ac:dyDescent="0.25">
      <c r="A1454">
        <v>13672</v>
      </c>
      <c r="B1454" t="s">
        <v>520</v>
      </c>
      <c r="C1454" t="s">
        <v>1564</v>
      </c>
      <c r="D1454" t="s">
        <v>242</v>
      </c>
      <c r="F1454">
        <v>1</v>
      </c>
      <c r="G1454">
        <v>24</v>
      </c>
      <c r="H1454" s="1296">
        <v>24</v>
      </c>
      <c r="I1454" t="str">
        <f t="shared" si="22"/>
        <v>-</v>
      </c>
    </row>
    <row r="1455" spans="1:9" x14ac:dyDescent="0.25">
      <c r="A1455">
        <v>13673</v>
      </c>
      <c r="B1455" t="s">
        <v>520</v>
      </c>
      <c r="C1455" t="s">
        <v>1564</v>
      </c>
      <c r="D1455" t="s">
        <v>243</v>
      </c>
      <c r="F1455">
        <v>1</v>
      </c>
      <c r="G1455">
        <v>15</v>
      </c>
      <c r="H1455" s="1296">
        <v>15</v>
      </c>
      <c r="I1455" t="str">
        <f t="shared" si="22"/>
        <v>-</v>
      </c>
    </row>
    <row r="1456" spans="1:9" x14ac:dyDescent="0.25">
      <c r="A1456">
        <v>13694</v>
      </c>
      <c r="B1456" t="s">
        <v>520</v>
      </c>
      <c r="C1456" t="s">
        <v>1564</v>
      </c>
      <c r="D1456" t="s">
        <v>922</v>
      </c>
      <c r="F1456">
        <v>1</v>
      </c>
      <c r="G1456">
        <v>200</v>
      </c>
      <c r="H1456" s="1296">
        <v>200</v>
      </c>
      <c r="I1456" t="str">
        <f t="shared" si="22"/>
        <v>-</v>
      </c>
    </row>
    <row r="1457" spans="1:9" x14ac:dyDescent="0.25">
      <c r="A1457">
        <v>13697</v>
      </c>
      <c r="B1457" t="s">
        <v>520</v>
      </c>
      <c r="C1457" t="s">
        <v>1564</v>
      </c>
      <c r="D1457" t="s">
        <v>2163</v>
      </c>
      <c r="F1457">
        <v>100</v>
      </c>
      <c r="G1457">
        <v>1</v>
      </c>
      <c r="H1457" s="1296">
        <v>100</v>
      </c>
      <c r="I1457" t="str">
        <f t="shared" si="22"/>
        <v>-</v>
      </c>
    </row>
    <row r="1458" spans="1:9" x14ac:dyDescent="0.25">
      <c r="A1458">
        <v>13698</v>
      </c>
      <c r="B1458" t="s">
        <v>520</v>
      </c>
      <c r="C1458" t="s">
        <v>1564</v>
      </c>
      <c r="D1458" t="s">
        <v>2163</v>
      </c>
      <c r="F1458">
        <v>5</v>
      </c>
      <c r="G1458">
        <v>1</v>
      </c>
      <c r="H1458" s="1296">
        <v>5</v>
      </c>
      <c r="I1458" t="str">
        <f t="shared" si="22"/>
        <v>-</v>
      </c>
    </row>
    <row r="1459" spans="1:9" x14ac:dyDescent="0.25">
      <c r="A1459">
        <v>13700</v>
      </c>
      <c r="B1459" t="s">
        <v>520</v>
      </c>
      <c r="C1459" t="s">
        <v>1564</v>
      </c>
      <c r="D1459" t="s">
        <v>56</v>
      </c>
      <c r="E1459" t="s">
        <v>114</v>
      </c>
      <c r="F1459">
        <v>7.5</v>
      </c>
      <c r="G1459">
        <v>10</v>
      </c>
      <c r="H1459" s="1296">
        <v>75</v>
      </c>
      <c r="I1459" t="str">
        <f t="shared" si="22"/>
        <v>-</v>
      </c>
    </row>
    <row r="1460" spans="1:9" x14ac:dyDescent="0.25">
      <c r="A1460">
        <v>13702</v>
      </c>
      <c r="B1460" t="s">
        <v>520</v>
      </c>
      <c r="C1460" t="s">
        <v>1564</v>
      </c>
      <c r="D1460" t="s">
        <v>320</v>
      </c>
      <c r="E1460" t="s">
        <v>316</v>
      </c>
      <c r="F1460">
        <v>2.5</v>
      </c>
      <c r="G1460">
        <v>10</v>
      </c>
      <c r="H1460" s="1296">
        <v>25</v>
      </c>
      <c r="I1460" t="str">
        <f t="shared" si="22"/>
        <v>-</v>
      </c>
    </row>
    <row r="1461" spans="1:9" x14ac:dyDescent="0.25">
      <c r="A1461">
        <v>13704</v>
      </c>
      <c r="B1461" t="s">
        <v>520</v>
      </c>
      <c r="C1461" t="s">
        <v>1564</v>
      </c>
      <c r="D1461" t="s">
        <v>123</v>
      </c>
      <c r="E1461" t="s">
        <v>1577</v>
      </c>
      <c r="F1461">
        <v>2</v>
      </c>
      <c r="G1461">
        <v>5</v>
      </c>
      <c r="H1461" s="1296">
        <v>10</v>
      </c>
      <c r="I1461" t="str">
        <f t="shared" si="22"/>
        <v>-</v>
      </c>
    </row>
    <row r="1462" spans="1:9" x14ac:dyDescent="0.25">
      <c r="A1462">
        <v>13705</v>
      </c>
      <c r="B1462" t="s">
        <v>520</v>
      </c>
      <c r="C1462" t="s">
        <v>1564</v>
      </c>
      <c r="D1462" t="s">
        <v>1578</v>
      </c>
      <c r="E1462" t="s">
        <v>1579</v>
      </c>
      <c r="F1462">
        <v>2</v>
      </c>
      <c r="G1462">
        <v>5</v>
      </c>
      <c r="H1462" s="1296">
        <v>10</v>
      </c>
      <c r="I1462" t="str">
        <f t="shared" si="22"/>
        <v>-</v>
      </c>
    </row>
    <row r="1463" spans="1:9" x14ac:dyDescent="0.25">
      <c r="A1463">
        <v>13706</v>
      </c>
      <c r="B1463" t="s">
        <v>520</v>
      </c>
      <c r="C1463" t="s">
        <v>1564</v>
      </c>
      <c r="D1463" t="s">
        <v>2118</v>
      </c>
      <c r="E1463" t="s">
        <v>321</v>
      </c>
      <c r="F1463">
        <v>2</v>
      </c>
      <c r="G1463">
        <v>5</v>
      </c>
      <c r="H1463" s="1296">
        <v>10</v>
      </c>
      <c r="I1463" t="str">
        <f t="shared" si="22"/>
        <v>-</v>
      </c>
    </row>
    <row r="1464" spans="1:9" x14ac:dyDescent="0.25">
      <c r="A1464">
        <v>13707</v>
      </c>
      <c r="B1464" t="s">
        <v>520</v>
      </c>
      <c r="C1464" t="s">
        <v>1564</v>
      </c>
      <c r="D1464" t="s">
        <v>2127</v>
      </c>
      <c r="E1464" t="s">
        <v>328</v>
      </c>
      <c r="F1464">
        <v>2</v>
      </c>
      <c r="G1464">
        <v>5</v>
      </c>
      <c r="H1464" s="1296">
        <v>10</v>
      </c>
      <c r="I1464" t="str">
        <f t="shared" si="22"/>
        <v>-</v>
      </c>
    </row>
    <row r="1465" spans="1:9" x14ac:dyDescent="0.25">
      <c r="A1465">
        <v>13708</v>
      </c>
      <c r="B1465" t="s">
        <v>520</v>
      </c>
      <c r="C1465" t="s">
        <v>1564</v>
      </c>
      <c r="D1465" t="s">
        <v>39</v>
      </c>
      <c r="E1465" t="s">
        <v>36</v>
      </c>
      <c r="F1465">
        <v>2</v>
      </c>
      <c r="G1465">
        <v>5</v>
      </c>
      <c r="H1465" s="1296">
        <v>10</v>
      </c>
      <c r="I1465" t="str">
        <f t="shared" si="22"/>
        <v>-</v>
      </c>
    </row>
    <row r="1466" spans="1:9" x14ac:dyDescent="0.25">
      <c r="A1466">
        <v>13709</v>
      </c>
      <c r="B1466" t="s">
        <v>520</v>
      </c>
      <c r="C1466" t="s">
        <v>1564</v>
      </c>
      <c r="D1466" t="s">
        <v>105</v>
      </c>
      <c r="E1466" t="s">
        <v>96</v>
      </c>
      <c r="F1466">
        <v>2</v>
      </c>
      <c r="G1466">
        <v>5</v>
      </c>
      <c r="H1466" s="1296">
        <v>10</v>
      </c>
      <c r="I1466" t="str">
        <f t="shared" si="22"/>
        <v>-</v>
      </c>
    </row>
    <row r="1467" spans="1:9" x14ac:dyDescent="0.25">
      <c r="A1467">
        <v>13710</v>
      </c>
      <c r="B1467" t="s">
        <v>520</v>
      </c>
      <c r="C1467" t="s">
        <v>1564</v>
      </c>
      <c r="D1467" t="s">
        <v>136</v>
      </c>
      <c r="E1467" t="s">
        <v>334</v>
      </c>
      <c r="F1467">
        <v>2</v>
      </c>
      <c r="G1467">
        <v>5</v>
      </c>
      <c r="H1467" s="1296">
        <v>10</v>
      </c>
      <c r="I1467" t="str">
        <f t="shared" si="22"/>
        <v>-</v>
      </c>
    </row>
    <row r="1468" spans="1:9" x14ac:dyDescent="0.25">
      <c r="A1468">
        <v>13711</v>
      </c>
      <c r="B1468" t="s">
        <v>520</v>
      </c>
      <c r="C1468" t="s">
        <v>1564</v>
      </c>
      <c r="D1468" t="s">
        <v>138</v>
      </c>
      <c r="E1468" t="s">
        <v>335</v>
      </c>
      <c r="F1468">
        <v>2</v>
      </c>
      <c r="G1468">
        <v>5</v>
      </c>
      <c r="H1468" s="1296">
        <v>10</v>
      </c>
      <c r="I1468" t="str">
        <f t="shared" si="22"/>
        <v>-</v>
      </c>
    </row>
    <row r="1469" spans="1:9" x14ac:dyDescent="0.25">
      <c r="A1469">
        <v>13712</v>
      </c>
      <c r="B1469" t="s">
        <v>520</v>
      </c>
      <c r="C1469" t="s">
        <v>1564</v>
      </c>
      <c r="D1469" t="s">
        <v>145</v>
      </c>
      <c r="E1469" t="s">
        <v>341</v>
      </c>
      <c r="F1469">
        <v>2</v>
      </c>
      <c r="G1469">
        <v>5</v>
      </c>
      <c r="H1469" s="1296">
        <v>10</v>
      </c>
      <c r="I1469" t="str">
        <f t="shared" si="22"/>
        <v>-</v>
      </c>
    </row>
    <row r="1470" spans="1:9" x14ac:dyDescent="0.25">
      <c r="A1470">
        <v>13713</v>
      </c>
      <c r="B1470" t="s">
        <v>520</v>
      </c>
      <c r="C1470" t="s">
        <v>1564</v>
      </c>
      <c r="D1470" t="s">
        <v>146</v>
      </c>
      <c r="E1470" t="s">
        <v>342</v>
      </c>
      <c r="F1470">
        <v>2</v>
      </c>
      <c r="G1470">
        <v>5</v>
      </c>
      <c r="H1470" s="1296">
        <v>10</v>
      </c>
      <c r="I1470" t="str">
        <f t="shared" si="22"/>
        <v>-</v>
      </c>
    </row>
    <row r="1471" spans="1:9" x14ac:dyDescent="0.25">
      <c r="A1471">
        <v>13714</v>
      </c>
      <c r="B1471" t="s">
        <v>520</v>
      </c>
      <c r="C1471" t="s">
        <v>1564</v>
      </c>
      <c r="D1471" t="s">
        <v>1298</v>
      </c>
      <c r="E1471" t="s">
        <v>337</v>
      </c>
      <c r="F1471">
        <v>2</v>
      </c>
      <c r="G1471">
        <v>5</v>
      </c>
      <c r="H1471" s="1296">
        <v>10</v>
      </c>
      <c r="I1471" t="str">
        <f t="shared" si="22"/>
        <v>-</v>
      </c>
    </row>
    <row r="1472" spans="1:9" x14ac:dyDescent="0.25">
      <c r="A1472">
        <v>13715</v>
      </c>
      <c r="B1472" t="s">
        <v>520</v>
      </c>
      <c r="C1472" t="s">
        <v>1564</v>
      </c>
      <c r="D1472" t="s">
        <v>134</v>
      </c>
      <c r="E1472" t="s">
        <v>332</v>
      </c>
      <c r="F1472">
        <v>2</v>
      </c>
      <c r="G1472">
        <v>5</v>
      </c>
      <c r="H1472" s="1296">
        <v>10</v>
      </c>
      <c r="I1472" t="str">
        <f t="shared" si="22"/>
        <v>-</v>
      </c>
    </row>
    <row r="1473" spans="1:9" x14ac:dyDescent="0.25">
      <c r="A1473">
        <v>13716</v>
      </c>
      <c r="B1473" t="s">
        <v>520</v>
      </c>
      <c r="C1473" t="s">
        <v>1564</v>
      </c>
      <c r="D1473" t="s">
        <v>301</v>
      </c>
      <c r="E1473" t="s">
        <v>66</v>
      </c>
      <c r="F1473">
        <v>2</v>
      </c>
      <c r="G1473">
        <v>5</v>
      </c>
      <c r="H1473" s="1296">
        <v>10</v>
      </c>
      <c r="I1473" t="str">
        <f t="shared" si="22"/>
        <v>-</v>
      </c>
    </row>
    <row r="1474" spans="1:9" x14ac:dyDescent="0.25">
      <c r="A1474">
        <v>13717</v>
      </c>
      <c r="B1474" t="s">
        <v>520</v>
      </c>
      <c r="C1474" t="s">
        <v>1564</v>
      </c>
      <c r="D1474" t="s">
        <v>696</v>
      </c>
      <c r="E1474" t="s">
        <v>107</v>
      </c>
      <c r="F1474">
        <v>2</v>
      </c>
      <c r="G1474">
        <v>5</v>
      </c>
      <c r="H1474" s="1296">
        <v>10</v>
      </c>
      <c r="I1474" t="str">
        <f t="shared" ref="I1474:I1537" si="23">INDEX($N$2:$N$355,MATCH($A1474,$L$2:$L$355,1))</f>
        <v>-</v>
      </c>
    </row>
    <row r="1475" spans="1:9" x14ac:dyDescent="0.25">
      <c r="A1475">
        <v>13718</v>
      </c>
      <c r="B1475" t="s">
        <v>520</v>
      </c>
      <c r="C1475" t="s">
        <v>1564</v>
      </c>
      <c r="D1475" t="s">
        <v>118</v>
      </c>
      <c r="E1475" t="s">
        <v>1599</v>
      </c>
      <c r="F1475">
        <v>2</v>
      </c>
      <c r="G1475">
        <v>5</v>
      </c>
      <c r="H1475" s="1296">
        <v>10</v>
      </c>
      <c r="I1475" t="str">
        <f t="shared" si="23"/>
        <v>-</v>
      </c>
    </row>
    <row r="1476" spans="1:9" x14ac:dyDescent="0.25">
      <c r="A1476">
        <v>13719</v>
      </c>
      <c r="B1476" t="s">
        <v>520</v>
      </c>
      <c r="C1476" t="s">
        <v>1564</v>
      </c>
      <c r="D1476" t="s">
        <v>494</v>
      </c>
      <c r="E1476" t="s">
        <v>327</v>
      </c>
      <c r="F1476">
        <v>2</v>
      </c>
      <c r="G1476">
        <v>5</v>
      </c>
      <c r="H1476" s="1296">
        <v>10</v>
      </c>
      <c r="I1476" t="str">
        <f t="shared" si="23"/>
        <v>-</v>
      </c>
    </row>
    <row r="1477" spans="1:9" x14ac:dyDescent="0.25">
      <c r="A1477">
        <v>13741</v>
      </c>
      <c r="B1477" t="s">
        <v>520</v>
      </c>
      <c r="C1477" t="s">
        <v>1564</v>
      </c>
      <c r="D1477" t="s">
        <v>1745</v>
      </c>
      <c r="E1477" t="s">
        <v>2166</v>
      </c>
      <c r="F1477">
        <v>12</v>
      </c>
      <c r="G1477">
        <v>10</v>
      </c>
      <c r="H1477" s="1296">
        <v>120</v>
      </c>
      <c r="I1477" t="str">
        <f t="shared" si="23"/>
        <v>-</v>
      </c>
    </row>
    <row r="1478" spans="1:9" x14ac:dyDescent="0.25">
      <c r="A1478">
        <v>13742</v>
      </c>
      <c r="B1478" t="s">
        <v>520</v>
      </c>
      <c r="C1478" t="s">
        <v>1564</v>
      </c>
      <c r="D1478" t="s">
        <v>2167</v>
      </c>
      <c r="E1478" t="s">
        <v>2166</v>
      </c>
      <c r="F1478">
        <v>18</v>
      </c>
      <c r="G1478">
        <v>10</v>
      </c>
      <c r="H1478" s="1296">
        <v>180</v>
      </c>
      <c r="I1478" t="str">
        <f t="shared" si="23"/>
        <v>-</v>
      </c>
    </row>
    <row r="1479" spans="1:9" x14ac:dyDescent="0.25">
      <c r="A1479">
        <v>13786</v>
      </c>
      <c r="B1479" t="s">
        <v>520</v>
      </c>
      <c r="C1479" t="s">
        <v>1517</v>
      </c>
      <c r="D1479" t="s">
        <v>482</v>
      </c>
      <c r="E1479" t="s">
        <v>1519</v>
      </c>
      <c r="F1479">
        <v>98</v>
      </c>
      <c r="G1479">
        <v>1</v>
      </c>
      <c r="H1479" s="1296">
        <v>98</v>
      </c>
      <c r="I1479" t="str">
        <f t="shared" si="23"/>
        <v>-</v>
      </c>
    </row>
    <row r="1480" spans="1:9" x14ac:dyDescent="0.25">
      <c r="A1480">
        <v>13789</v>
      </c>
      <c r="B1480" t="s">
        <v>520</v>
      </c>
      <c r="C1480" t="s">
        <v>1517</v>
      </c>
      <c r="D1480" t="s">
        <v>187</v>
      </c>
      <c r="E1480" t="s">
        <v>358</v>
      </c>
      <c r="F1480">
        <v>6</v>
      </c>
      <c r="G1480">
        <v>8</v>
      </c>
      <c r="H1480" s="1296">
        <v>48</v>
      </c>
      <c r="I1480" t="str">
        <f t="shared" si="23"/>
        <v>-</v>
      </c>
    </row>
    <row r="1481" spans="1:9" x14ac:dyDescent="0.25">
      <c r="A1481">
        <v>13835</v>
      </c>
      <c r="B1481" t="s">
        <v>1160</v>
      </c>
      <c r="C1481" t="s">
        <v>1566</v>
      </c>
      <c r="D1481" t="s">
        <v>80</v>
      </c>
      <c r="E1481" t="s">
        <v>386</v>
      </c>
      <c r="F1481">
        <v>9</v>
      </c>
      <c r="G1481">
        <v>5</v>
      </c>
      <c r="H1481" s="1296">
        <v>45</v>
      </c>
      <c r="I1481" t="str">
        <f t="shared" si="23"/>
        <v>-</v>
      </c>
    </row>
    <row r="1482" spans="1:9" x14ac:dyDescent="0.25">
      <c r="A1482">
        <v>13836</v>
      </c>
      <c r="B1482" t="s">
        <v>1160</v>
      </c>
      <c r="C1482" t="s">
        <v>1566</v>
      </c>
      <c r="D1482" t="s">
        <v>127</v>
      </c>
      <c r="E1482" t="s">
        <v>398</v>
      </c>
      <c r="F1482">
        <v>2</v>
      </c>
      <c r="G1482">
        <v>6</v>
      </c>
      <c r="H1482" s="1296">
        <v>12</v>
      </c>
      <c r="I1482" t="str">
        <f t="shared" si="23"/>
        <v>-</v>
      </c>
    </row>
    <row r="1483" spans="1:9" x14ac:dyDescent="0.25">
      <c r="A1483">
        <v>13837</v>
      </c>
      <c r="B1483" t="s">
        <v>1160</v>
      </c>
      <c r="C1483" t="s">
        <v>1566</v>
      </c>
      <c r="D1483" t="s">
        <v>56</v>
      </c>
      <c r="E1483" t="s">
        <v>1839</v>
      </c>
      <c r="F1483">
        <v>3</v>
      </c>
      <c r="G1483">
        <v>6</v>
      </c>
      <c r="H1483" s="1296">
        <v>18</v>
      </c>
      <c r="I1483" t="str">
        <f t="shared" si="23"/>
        <v>-</v>
      </c>
    </row>
    <row r="1484" spans="1:9" x14ac:dyDescent="0.25">
      <c r="A1484">
        <v>13838</v>
      </c>
      <c r="B1484" t="s">
        <v>1160</v>
      </c>
      <c r="C1484" t="s">
        <v>1566</v>
      </c>
      <c r="D1484" t="s">
        <v>60</v>
      </c>
      <c r="E1484" t="s">
        <v>369</v>
      </c>
      <c r="F1484">
        <v>2</v>
      </c>
      <c r="G1484">
        <v>6</v>
      </c>
      <c r="H1484" s="1296">
        <v>12</v>
      </c>
      <c r="I1484" t="str">
        <f t="shared" si="23"/>
        <v>-</v>
      </c>
    </row>
    <row r="1485" spans="1:9" x14ac:dyDescent="0.25">
      <c r="A1485">
        <v>13839</v>
      </c>
      <c r="B1485" t="s">
        <v>1160</v>
      </c>
      <c r="C1485" t="s">
        <v>1566</v>
      </c>
      <c r="D1485" t="s">
        <v>1737</v>
      </c>
      <c r="E1485" t="s">
        <v>371</v>
      </c>
      <c r="F1485">
        <v>5</v>
      </c>
      <c r="G1485">
        <v>6</v>
      </c>
      <c r="H1485" s="1296">
        <v>30</v>
      </c>
      <c r="I1485" t="str">
        <f t="shared" si="23"/>
        <v>-</v>
      </c>
    </row>
    <row r="1486" spans="1:9" x14ac:dyDescent="0.25">
      <c r="A1486">
        <v>13840</v>
      </c>
      <c r="B1486" t="s">
        <v>1160</v>
      </c>
      <c r="C1486" t="s">
        <v>1566</v>
      </c>
      <c r="D1486" t="s">
        <v>15</v>
      </c>
      <c r="E1486" t="s">
        <v>388</v>
      </c>
      <c r="F1486">
        <v>8</v>
      </c>
      <c r="G1486">
        <v>6</v>
      </c>
      <c r="H1486" s="1296">
        <v>48</v>
      </c>
      <c r="I1486" t="str">
        <f t="shared" si="23"/>
        <v>-</v>
      </c>
    </row>
    <row r="1487" spans="1:9" x14ac:dyDescent="0.25">
      <c r="A1487">
        <v>13841</v>
      </c>
      <c r="B1487" t="s">
        <v>1160</v>
      </c>
      <c r="C1487" t="s">
        <v>1566</v>
      </c>
      <c r="D1487" t="s">
        <v>801</v>
      </c>
      <c r="E1487" t="s">
        <v>383</v>
      </c>
      <c r="F1487">
        <v>1</v>
      </c>
      <c r="G1487">
        <v>6</v>
      </c>
      <c r="H1487" s="1296">
        <v>6</v>
      </c>
      <c r="I1487" t="str">
        <f t="shared" si="23"/>
        <v>-</v>
      </c>
    </row>
    <row r="1488" spans="1:9" x14ac:dyDescent="0.25">
      <c r="A1488">
        <v>13843</v>
      </c>
      <c r="B1488" t="s">
        <v>1160</v>
      </c>
      <c r="C1488" t="s">
        <v>1566</v>
      </c>
      <c r="D1488" t="s">
        <v>297</v>
      </c>
      <c r="E1488" t="s">
        <v>265</v>
      </c>
      <c r="F1488">
        <v>1</v>
      </c>
      <c r="G1488">
        <v>5</v>
      </c>
      <c r="H1488" s="1296">
        <v>5</v>
      </c>
      <c r="I1488" t="str">
        <f t="shared" si="23"/>
        <v>-</v>
      </c>
    </row>
    <row r="1489" spans="1:9" x14ac:dyDescent="0.25">
      <c r="A1489">
        <v>13844</v>
      </c>
      <c r="B1489" t="s">
        <v>1160</v>
      </c>
      <c r="C1489" t="s">
        <v>1566</v>
      </c>
      <c r="D1489" t="s">
        <v>320</v>
      </c>
      <c r="E1489" t="s">
        <v>316</v>
      </c>
      <c r="F1489">
        <v>2</v>
      </c>
      <c r="G1489">
        <v>10</v>
      </c>
      <c r="H1489" s="1296">
        <v>20</v>
      </c>
      <c r="I1489" t="str">
        <f t="shared" si="23"/>
        <v>-</v>
      </c>
    </row>
    <row r="1490" spans="1:9" x14ac:dyDescent="0.25">
      <c r="A1490">
        <v>13846</v>
      </c>
      <c r="B1490" t="s">
        <v>1160</v>
      </c>
      <c r="C1490" t="s">
        <v>1566</v>
      </c>
      <c r="D1490" t="s">
        <v>2168</v>
      </c>
      <c r="E1490" t="s">
        <v>109</v>
      </c>
      <c r="F1490">
        <v>8</v>
      </c>
      <c r="G1490">
        <v>25</v>
      </c>
      <c r="H1490" s="1296">
        <v>200</v>
      </c>
      <c r="I1490" t="str">
        <f t="shared" si="23"/>
        <v>-</v>
      </c>
    </row>
    <row r="1491" spans="1:9" x14ac:dyDescent="0.25">
      <c r="A1491">
        <v>13847</v>
      </c>
      <c r="B1491" t="s">
        <v>1160</v>
      </c>
      <c r="C1491" t="s">
        <v>1566</v>
      </c>
      <c r="D1491" t="s">
        <v>2169</v>
      </c>
      <c r="E1491" t="s">
        <v>425</v>
      </c>
      <c r="F1491">
        <v>2</v>
      </c>
      <c r="G1491">
        <v>25</v>
      </c>
      <c r="H1491" s="1296">
        <v>50</v>
      </c>
      <c r="I1491" t="str">
        <f t="shared" si="23"/>
        <v>-</v>
      </c>
    </row>
    <row r="1492" spans="1:9" x14ac:dyDescent="0.25">
      <c r="A1492">
        <v>13848</v>
      </c>
      <c r="B1492" t="s">
        <v>1160</v>
      </c>
      <c r="C1492" t="s">
        <v>1566</v>
      </c>
      <c r="D1492" t="s">
        <v>56</v>
      </c>
      <c r="E1492" t="s">
        <v>57</v>
      </c>
      <c r="F1492">
        <v>8</v>
      </c>
      <c r="G1492">
        <v>25</v>
      </c>
      <c r="H1492" s="1296">
        <v>200</v>
      </c>
      <c r="I1492" t="str">
        <f t="shared" si="23"/>
        <v>-</v>
      </c>
    </row>
    <row r="1493" spans="1:9" x14ac:dyDescent="0.25">
      <c r="A1493">
        <v>13849</v>
      </c>
      <c r="B1493" t="s">
        <v>1160</v>
      </c>
      <c r="C1493" t="s">
        <v>1566</v>
      </c>
      <c r="D1493" t="s">
        <v>60</v>
      </c>
      <c r="E1493" t="s">
        <v>61</v>
      </c>
      <c r="F1493">
        <v>4</v>
      </c>
      <c r="G1493">
        <v>25</v>
      </c>
      <c r="H1493" s="1296">
        <v>100</v>
      </c>
      <c r="I1493" t="str">
        <f t="shared" si="23"/>
        <v>-</v>
      </c>
    </row>
    <row r="1494" spans="1:9" x14ac:dyDescent="0.25">
      <c r="A1494">
        <v>13850</v>
      </c>
      <c r="B1494" t="s">
        <v>1160</v>
      </c>
      <c r="C1494" t="s">
        <v>1566</v>
      </c>
      <c r="D1494" t="s">
        <v>68</v>
      </c>
      <c r="E1494" t="s">
        <v>69</v>
      </c>
      <c r="F1494">
        <v>8</v>
      </c>
      <c r="G1494">
        <v>25</v>
      </c>
      <c r="H1494" s="1296">
        <v>200</v>
      </c>
      <c r="I1494" t="str">
        <f t="shared" si="23"/>
        <v>-</v>
      </c>
    </row>
    <row r="1495" spans="1:9" x14ac:dyDescent="0.25">
      <c r="A1495">
        <v>13851</v>
      </c>
      <c r="B1495" t="s">
        <v>1160</v>
      </c>
      <c r="C1495" t="s">
        <v>1566</v>
      </c>
      <c r="D1495" t="s">
        <v>2170</v>
      </c>
      <c r="E1495" t="s">
        <v>426</v>
      </c>
      <c r="F1495">
        <v>1</v>
      </c>
      <c r="G1495">
        <v>25</v>
      </c>
      <c r="H1495" s="1296">
        <v>25</v>
      </c>
      <c r="I1495" t="str">
        <f t="shared" si="23"/>
        <v>-</v>
      </c>
    </row>
    <row r="1496" spans="1:9" x14ac:dyDescent="0.25">
      <c r="A1496">
        <v>13852</v>
      </c>
      <c r="B1496" t="s">
        <v>1160</v>
      </c>
      <c r="C1496" t="s">
        <v>1566</v>
      </c>
      <c r="D1496" t="s">
        <v>138</v>
      </c>
      <c r="E1496" t="s">
        <v>431</v>
      </c>
      <c r="F1496">
        <v>1</v>
      </c>
      <c r="G1496">
        <v>25</v>
      </c>
      <c r="H1496" s="1296">
        <v>25</v>
      </c>
      <c r="I1496" t="str">
        <f t="shared" si="23"/>
        <v>-</v>
      </c>
    </row>
    <row r="1497" spans="1:9" x14ac:dyDescent="0.25">
      <c r="A1497">
        <v>13854</v>
      </c>
      <c r="B1497" t="s">
        <v>1160</v>
      </c>
      <c r="C1497" t="s">
        <v>1566</v>
      </c>
      <c r="D1497" t="s">
        <v>1039</v>
      </c>
      <c r="E1497" t="s">
        <v>2161</v>
      </c>
      <c r="F1497">
        <v>5</v>
      </c>
      <c r="G1497">
        <v>100</v>
      </c>
      <c r="H1497" s="1296">
        <v>500</v>
      </c>
      <c r="I1497" t="str">
        <f t="shared" si="23"/>
        <v>-</v>
      </c>
    </row>
    <row r="1498" spans="1:9" x14ac:dyDescent="0.25">
      <c r="A1498">
        <v>13855</v>
      </c>
      <c r="B1498" t="s">
        <v>1160</v>
      </c>
      <c r="C1498" t="s">
        <v>1566</v>
      </c>
      <c r="D1498" t="s">
        <v>2171</v>
      </c>
      <c r="F1498">
        <v>10</v>
      </c>
      <c r="G1498">
        <v>10</v>
      </c>
      <c r="H1498" s="1296">
        <v>100</v>
      </c>
      <c r="I1498" t="str">
        <f t="shared" si="23"/>
        <v>-</v>
      </c>
    </row>
    <row r="1499" spans="1:9" x14ac:dyDescent="0.25">
      <c r="A1499">
        <v>13856</v>
      </c>
      <c r="B1499" t="s">
        <v>1160</v>
      </c>
      <c r="C1499" t="s">
        <v>1566</v>
      </c>
      <c r="D1499" t="s">
        <v>2171</v>
      </c>
      <c r="F1499">
        <v>1</v>
      </c>
      <c r="G1499">
        <v>10</v>
      </c>
      <c r="H1499" s="1296">
        <v>10</v>
      </c>
      <c r="I1499" t="str">
        <f t="shared" si="23"/>
        <v>-</v>
      </c>
    </row>
    <row r="1500" spans="1:9" x14ac:dyDescent="0.25">
      <c r="A1500">
        <v>13857</v>
      </c>
      <c r="B1500" t="s">
        <v>1160</v>
      </c>
      <c r="C1500" t="s">
        <v>1566</v>
      </c>
      <c r="D1500" t="s">
        <v>1568</v>
      </c>
      <c r="E1500" t="s">
        <v>1176</v>
      </c>
      <c r="F1500">
        <v>1</v>
      </c>
      <c r="G1500">
        <v>50</v>
      </c>
      <c r="H1500" s="1296">
        <v>50</v>
      </c>
      <c r="I1500" t="str">
        <f t="shared" si="23"/>
        <v>-</v>
      </c>
    </row>
    <row r="1501" spans="1:9" x14ac:dyDescent="0.25">
      <c r="A1501">
        <v>13882</v>
      </c>
      <c r="B1501" t="s">
        <v>1229</v>
      </c>
      <c r="C1501" t="s">
        <v>1581</v>
      </c>
      <c r="D1501" t="s">
        <v>80</v>
      </c>
      <c r="E1501" t="s">
        <v>376</v>
      </c>
      <c r="F1501">
        <v>6</v>
      </c>
      <c r="G1501">
        <v>5</v>
      </c>
      <c r="H1501" s="1296">
        <v>30</v>
      </c>
      <c r="I1501" t="str">
        <f t="shared" si="23"/>
        <v>-</v>
      </c>
    </row>
    <row r="1502" spans="1:9" x14ac:dyDescent="0.25">
      <c r="A1502">
        <v>13883</v>
      </c>
      <c r="B1502" t="s">
        <v>1229</v>
      </c>
      <c r="C1502" t="s">
        <v>1581</v>
      </c>
      <c r="D1502" t="s">
        <v>56</v>
      </c>
      <c r="E1502" t="s">
        <v>1839</v>
      </c>
      <c r="F1502">
        <v>3</v>
      </c>
      <c r="G1502">
        <v>6</v>
      </c>
      <c r="H1502" s="1296">
        <v>18</v>
      </c>
      <c r="I1502" t="str">
        <f t="shared" si="23"/>
        <v>-</v>
      </c>
    </row>
    <row r="1503" spans="1:9" x14ac:dyDescent="0.25">
      <c r="A1503">
        <v>13884</v>
      </c>
      <c r="B1503" t="s">
        <v>1229</v>
      </c>
      <c r="C1503" t="s">
        <v>1581</v>
      </c>
      <c r="D1503" t="s">
        <v>60</v>
      </c>
      <c r="E1503" t="s">
        <v>369</v>
      </c>
      <c r="F1503">
        <v>2</v>
      </c>
      <c r="G1503">
        <v>6</v>
      </c>
      <c r="H1503" s="1296">
        <v>12</v>
      </c>
      <c r="I1503" t="str">
        <f t="shared" si="23"/>
        <v>-</v>
      </c>
    </row>
    <row r="1504" spans="1:9" x14ac:dyDescent="0.25">
      <c r="A1504">
        <v>13886</v>
      </c>
      <c r="B1504" t="s">
        <v>1229</v>
      </c>
      <c r="C1504" t="s">
        <v>1581</v>
      </c>
      <c r="D1504" t="s">
        <v>320</v>
      </c>
      <c r="E1504" t="s">
        <v>316</v>
      </c>
      <c r="F1504">
        <v>3</v>
      </c>
      <c r="G1504">
        <v>5</v>
      </c>
      <c r="H1504" s="1296">
        <v>15</v>
      </c>
      <c r="I1504" t="str">
        <f t="shared" si="23"/>
        <v>-</v>
      </c>
    </row>
    <row r="1505" spans="1:9" x14ac:dyDescent="0.25">
      <c r="A1505">
        <v>13887</v>
      </c>
      <c r="B1505" t="s">
        <v>1229</v>
      </c>
      <c r="C1505" t="s">
        <v>1581</v>
      </c>
      <c r="D1505" t="s">
        <v>123</v>
      </c>
      <c r="E1505" t="s">
        <v>1577</v>
      </c>
      <c r="F1505">
        <v>4</v>
      </c>
      <c r="G1505">
        <v>5</v>
      </c>
      <c r="H1505" s="1296">
        <v>20</v>
      </c>
      <c r="I1505" t="str">
        <f t="shared" si="23"/>
        <v>-</v>
      </c>
    </row>
    <row r="1506" spans="1:9" x14ac:dyDescent="0.25">
      <c r="A1506">
        <v>13888</v>
      </c>
      <c r="B1506" t="s">
        <v>1229</v>
      </c>
      <c r="C1506" t="s">
        <v>1581</v>
      </c>
      <c r="D1506" t="s">
        <v>1578</v>
      </c>
      <c r="E1506" t="s">
        <v>1582</v>
      </c>
      <c r="F1506">
        <v>4</v>
      </c>
      <c r="G1506">
        <v>5</v>
      </c>
      <c r="H1506" s="1296">
        <v>20</v>
      </c>
      <c r="I1506" t="str">
        <f t="shared" si="23"/>
        <v>-</v>
      </c>
    </row>
    <row r="1507" spans="1:9" x14ac:dyDescent="0.25">
      <c r="A1507">
        <v>13890</v>
      </c>
      <c r="B1507" t="s">
        <v>1229</v>
      </c>
      <c r="C1507" t="s">
        <v>1581</v>
      </c>
      <c r="D1507" t="s">
        <v>68</v>
      </c>
      <c r="E1507" t="s">
        <v>69</v>
      </c>
      <c r="F1507">
        <v>4</v>
      </c>
      <c r="G1507">
        <v>25</v>
      </c>
      <c r="H1507" s="1296">
        <v>100</v>
      </c>
      <c r="I1507" t="str">
        <f t="shared" si="23"/>
        <v>-</v>
      </c>
    </row>
    <row r="1508" spans="1:9" x14ac:dyDescent="0.25">
      <c r="A1508">
        <v>13892</v>
      </c>
      <c r="B1508" t="s">
        <v>1229</v>
      </c>
      <c r="C1508" t="s">
        <v>1581</v>
      </c>
      <c r="D1508" t="s">
        <v>1454</v>
      </c>
      <c r="E1508" t="s">
        <v>12</v>
      </c>
      <c r="F1508">
        <v>22</v>
      </c>
      <c r="G1508">
        <v>24</v>
      </c>
      <c r="H1508" s="1296">
        <v>528</v>
      </c>
      <c r="I1508" t="str">
        <f t="shared" si="23"/>
        <v>-</v>
      </c>
    </row>
    <row r="1509" spans="1:9" x14ac:dyDescent="0.25">
      <c r="A1509">
        <v>13893</v>
      </c>
      <c r="B1509" t="s">
        <v>1229</v>
      </c>
      <c r="C1509" t="s">
        <v>1581</v>
      </c>
      <c r="D1509" t="s">
        <v>1454</v>
      </c>
      <c r="E1509" t="s">
        <v>12</v>
      </c>
      <c r="F1509">
        <v>2</v>
      </c>
      <c r="G1509">
        <v>24</v>
      </c>
      <c r="H1509" s="1296">
        <v>48</v>
      </c>
      <c r="I1509" t="str">
        <f t="shared" si="23"/>
        <v>-</v>
      </c>
    </row>
    <row r="1510" spans="1:9" x14ac:dyDescent="0.25">
      <c r="A1510">
        <v>13926</v>
      </c>
      <c r="B1510" t="s">
        <v>1229</v>
      </c>
      <c r="C1510" t="s">
        <v>1537</v>
      </c>
      <c r="D1510" t="s">
        <v>56</v>
      </c>
      <c r="E1510" t="s">
        <v>57</v>
      </c>
      <c r="F1510">
        <v>10</v>
      </c>
      <c r="G1510">
        <v>25</v>
      </c>
      <c r="H1510" s="1296">
        <v>250</v>
      </c>
      <c r="I1510" t="str">
        <f t="shared" si="23"/>
        <v>-</v>
      </c>
    </row>
    <row r="1511" spans="1:9" x14ac:dyDescent="0.25">
      <c r="A1511">
        <v>13927</v>
      </c>
      <c r="B1511" t="s">
        <v>1229</v>
      </c>
      <c r="C1511" t="s">
        <v>1537</v>
      </c>
      <c r="D1511" t="s">
        <v>1477</v>
      </c>
      <c r="E1511" t="s">
        <v>61</v>
      </c>
      <c r="F1511">
        <v>8</v>
      </c>
      <c r="G1511">
        <v>25</v>
      </c>
      <c r="H1511" s="1296">
        <v>200</v>
      </c>
      <c r="I1511" t="str">
        <f t="shared" si="23"/>
        <v>-</v>
      </c>
    </row>
    <row r="1512" spans="1:9" x14ac:dyDescent="0.25">
      <c r="A1512">
        <v>13928</v>
      </c>
      <c r="B1512" t="s">
        <v>1229</v>
      </c>
      <c r="C1512" t="s">
        <v>1537</v>
      </c>
      <c r="D1512" t="s">
        <v>68</v>
      </c>
      <c r="E1512" t="s">
        <v>69</v>
      </c>
      <c r="F1512">
        <v>10</v>
      </c>
      <c r="G1512">
        <v>25</v>
      </c>
      <c r="H1512" s="1296">
        <v>250</v>
      </c>
      <c r="I1512" t="str">
        <f t="shared" si="23"/>
        <v>-</v>
      </c>
    </row>
    <row r="1513" spans="1:9" x14ac:dyDescent="0.25">
      <c r="A1513">
        <v>13929</v>
      </c>
      <c r="B1513" t="s">
        <v>1229</v>
      </c>
      <c r="C1513" t="s">
        <v>1537</v>
      </c>
      <c r="D1513" t="s">
        <v>2152</v>
      </c>
      <c r="E1513" t="s">
        <v>109</v>
      </c>
      <c r="F1513">
        <v>16</v>
      </c>
      <c r="G1513">
        <v>25</v>
      </c>
      <c r="H1513" s="1296">
        <v>400</v>
      </c>
      <c r="I1513" t="str">
        <f t="shared" si="23"/>
        <v>-</v>
      </c>
    </row>
    <row r="1514" spans="1:9" x14ac:dyDescent="0.25">
      <c r="A1514">
        <v>13930</v>
      </c>
      <c r="B1514" t="s">
        <v>1229</v>
      </c>
      <c r="C1514" t="s">
        <v>1537</v>
      </c>
      <c r="D1514" t="s">
        <v>1131</v>
      </c>
      <c r="E1514" t="s">
        <v>426</v>
      </c>
      <c r="F1514">
        <v>2</v>
      </c>
      <c r="G1514">
        <v>25</v>
      </c>
      <c r="H1514" s="1296">
        <v>50</v>
      </c>
      <c r="I1514" t="str">
        <f t="shared" si="23"/>
        <v>-</v>
      </c>
    </row>
    <row r="1515" spans="1:9" x14ac:dyDescent="0.25">
      <c r="A1515">
        <v>13931</v>
      </c>
      <c r="B1515" t="s">
        <v>1229</v>
      </c>
      <c r="C1515" t="s">
        <v>1537</v>
      </c>
      <c r="D1515" t="s">
        <v>138</v>
      </c>
      <c r="E1515" t="s">
        <v>431</v>
      </c>
      <c r="F1515">
        <v>2</v>
      </c>
      <c r="G1515">
        <v>25</v>
      </c>
      <c r="H1515" s="1296">
        <v>50</v>
      </c>
      <c r="I1515" t="str">
        <f t="shared" si="23"/>
        <v>-</v>
      </c>
    </row>
    <row r="1516" spans="1:9" x14ac:dyDescent="0.25">
      <c r="A1516">
        <v>13932</v>
      </c>
      <c r="B1516" t="s">
        <v>1229</v>
      </c>
      <c r="C1516" t="s">
        <v>1537</v>
      </c>
      <c r="D1516" t="s">
        <v>190</v>
      </c>
      <c r="E1516" t="s">
        <v>423</v>
      </c>
      <c r="F1516">
        <v>1</v>
      </c>
      <c r="G1516">
        <v>25</v>
      </c>
      <c r="H1516" s="1296">
        <v>25</v>
      </c>
      <c r="I1516" t="str">
        <f t="shared" si="23"/>
        <v>-</v>
      </c>
    </row>
    <row r="1517" spans="1:9" x14ac:dyDescent="0.25">
      <c r="A1517">
        <v>13934</v>
      </c>
      <c r="B1517" t="s">
        <v>1229</v>
      </c>
      <c r="C1517" t="s">
        <v>1537</v>
      </c>
      <c r="D1517" t="s">
        <v>226</v>
      </c>
      <c r="E1517" t="s">
        <v>395</v>
      </c>
      <c r="F1517">
        <v>4</v>
      </c>
      <c r="G1517">
        <v>6</v>
      </c>
      <c r="H1517" s="1296">
        <v>24</v>
      </c>
      <c r="I1517" t="str">
        <f t="shared" si="23"/>
        <v>-</v>
      </c>
    </row>
    <row r="1518" spans="1:9" x14ac:dyDescent="0.25">
      <c r="A1518">
        <v>13936</v>
      </c>
      <c r="B1518" t="s">
        <v>1229</v>
      </c>
      <c r="C1518" t="s">
        <v>1537</v>
      </c>
      <c r="D1518" t="s">
        <v>136</v>
      </c>
      <c r="E1518" t="s">
        <v>387</v>
      </c>
      <c r="F1518">
        <v>4</v>
      </c>
      <c r="G1518">
        <v>6</v>
      </c>
      <c r="H1518" s="1296">
        <v>24</v>
      </c>
      <c r="I1518" t="str">
        <f t="shared" si="23"/>
        <v>-</v>
      </c>
    </row>
    <row r="1519" spans="1:9" x14ac:dyDescent="0.25">
      <c r="A1519">
        <v>13938</v>
      </c>
      <c r="B1519" t="s">
        <v>1229</v>
      </c>
      <c r="C1519" t="s">
        <v>1537</v>
      </c>
      <c r="D1519" t="s">
        <v>287</v>
      </c>
      <c r="E1519" t="s">
        <v>400</v>
      </c>
      <c r="F1519">
        <v>8</v>
      </c>
      <c r="G1519">
        <v>6</v>
      </c>
      <c r="H1519" s="1296">
        <v>48</v>
      </c>
      <c r="I1519" t="str">
        <f t="shared" si="23"/>
        <v>-</v>
      </c>
    </row>
    <row r="1520" spans="1:9" x14ac:dyDescent="0.25">
      <c r="A1520">
        <v>13940</v>
      </c>
      <c r="B1520" t="s">
        <v>1229</v>
      </c>
      <c r="C1520" t="s">
        <v>1537</v>
      </c>
      <c r="D1520" t="s">
        <v>146</v>
      </c>
      <c r="E1520" t="s">
        <v>380</v>
      </c>
      <c r="F1520">
        <v>2</v>
      </c>
      <c r="G1520">
        <v>6</v>
      </c>
      <c r="H1520" s="1296">
        <v>12</v>
      </c>
      <c r="I1520" t="str">
        <f t="shared" si="23"/>
        <v>-</v>
      </c>
    </row>
    <row r="1521" spans="1:9" x14ac:dyDescent="0.25">
      <c r="A1521">
        <v>13941</v>
      </c>
      <c r="B1521" t="s">
        <v>1229</v>
      </c>
      <c r="C1521" t="s">
        <v>1537</v>
      </c>
      <c r="D1521" t="s">
        <v>145</v>
      </c>
      <c r="E1521" t="s">
        <v>381</v>
      </c>
      <c r="F1521">
        <v>1</v>
      </c>
      <c r="G1521">
        <v>6</v>
      </c>
      <c r="H1521" s="1296">
        <v>6</v>
      </c>
      <c r="I1521" t="str">
        <f t="shared" si="23"/>
        <v>-</v>
      </c>
    </row>
    <row r="1522" spans="1:9" x14ac:dyDescent="0.25">
      <c r="A1522">
        <v>13942</v>
      </c>
      <c r="B1522" t="s">
        <v>1229</v>
      </c>
      <c r="C1522" t="s">
        <v>1537</v>
      </c>
      <c r="D1522" t="s">
        <v>80</v>
      </c>
      <c r="E1522" t="s">
        <v>386</v>
      </c>
      <c r="F1522">
        <v>3</v>
      </c>
      <c r="G1522">
        <v>5</v>
      </c>
      <c r="H1522" s="1296">
        <v>15</v>
      </c>
      <c r="I1522" t="str">
        <f t="shared" si="23"/>
        <v>-</v>
      </c>
    </row>
    <row r="1523" spans="1:9" x14ac:dyDescent="0.25">
      <c r="A1523">
        <v>13944</v>
      </c>
      <c r="B1523" t="s">
        <v>1229</v>
      </c>
      <c r="C1523" t="s">
        <v>1537</v>
      </c>
      <c r="D1523">
        <v>507</v>
      </c>
      <c r="E1523" t="s">
        <v>1815</v>
      </c>
      <c r="F1523">
        <v>1</v>
      </c>
      <c r="G1523">
        <v>300</v>
      </c>
      <c r="H1523" s="1296">
        <v>300</v>
      </c>
      <c r="I1523" t="str">
        <f t="shared" si="23"/>
        <v>-</v>
      </c>
    </row>
    <row r="1524" spans="1:9" x14ac:dyDescent="0.25">
      <c r="A1524">
        <v>13947</v>
      </c>
      <c r="B1524" t="s">
        <v>1229</v>
      </c>
      <c r="C1524" t="s">
        <v>1537</v>
      </c>
      <c r="D1524" t="s">
        <v>1514</v>
      </c>
      <c r="F1524">
        <v>3</v>
      </c>
      <c r="G1524">
        <v>100</v>
      </c>
      <c r="H1524" s="1296">
        <v>300</v>
      </c>
      <c r="I1524" t="str">
        <f t="shared" si="23"/>
        <v>-</v>
      </c>
    </row>
    <row r="1525" spans="1:9" x14ac:dyDescent="0.25">
      <c r="A1525">
        <v>13972</v>
      </c>
      <c r="B1525" t="s">
        <v>1229</v>
      </c>
      <c r="C1525" t="s">
        <v>1537</v>
      </c>
      <c r="D1525" t="s">
        <v>1833</v>
      </c>
      <c r="E1525" t="s">
        <v>445</v>
      </c>
      <c r="F1525">
        <v>1</v>
      </c>
      <c r="G1525">
        <v>500</v>
      </c>
      <c r="H1525" s="1296">
        <v>500</v>
      </c>
      <c r="I1525" t="str">
        <f t="shared" si="23"/>
        <v>-</v>
      </c>
    </row>
    <row r="1526" spans="1:9" x14ac:dyDescent="0.25">
      <c r="A1526">
        <v>13974</v>
      </c>
      <c r="B1526" t="s">
        <v>1229</v>
      </c>
      <c r="C1526" t="s">
        <v>1537</v>
      </c>
      <c r="D1526" t="s">
        <v>287</v>
      </c>
      <c r="E1526" t="s">
        <v>1176</v>
      </c>
      <c r="F1526">
        <v>1</v>
      </c>
      <c r="G1526">
        <v>134</v>
      </c>
      <c r="H1526" s="1296">
        <v>134</v>
      </c>
      <c r="I1526" t="str">
        <f t="shared" si="23"/>
        <v>-</v>
      </c>
    </row>
    <row r="1527" spans="1:9" x14ac:dyDescent="0.25">
      <c r="A1527">
        <v>13976</v>
      </c>
      <c r="B1527" t="s">
        <v>1229</v>
      </c>
      <c r="C1527" t="s">
        <v>1537</v>
      </c>
      <c r="D1527" t="s">
        <v>293</v>
      </c>
      <c r="E1527" t="s">
        <v>450</v>
      </c>
      <c r="F1527">
        <v>1</v>
      </c>
      <c r="G1527">
        <v>435</v>
      </c>
      <c r="H1527" s="1296">
        <v>435</v>
      </c>
      <c r="I1527" t="str">
        <f t="shared" si="23"/>
        <v>-</v>
      </c>
    </row>
    <row r="1528" spans="1:9" x14ac:dyDescent="0.25">
      <c r="A1528">
        <v>13983</v>
      </c>
      <c r="B1528" t="s">
        <v>1229</v>
      </c>
      <c r="C1528" t="s">
        <v>1537</v>
      </c>
      <c r="D1528" t="s">
        <v>1730</v>
      </c>
      <c r="E1528" t="s">
        <v>5</v>
      </c>
      <c r="F1528">
        <v>24</v>
      </c>
      <c r="G1528">
        <v>24</v>
      </c>
      <c r="H1528" s="1296">
        <v>576</v>
      </c>
      <c r="I1528" t="str">
        <f t="shared" si="23"/>
        <v>-</v>
      </c>
    </row>
    <row r="1529" spans="1:9" x14ac:dyDescent="0.25">
      <c r="A1529">
        <v>13985</v>
      </c>
      <c r="B1529" t="s">
        <v>1229</v>
      </c>
      <c r="C1529" t="s">
        <v>1537</v>
      </c>
      <c r="D1529" t="s">
        <v>1730</v>
      </c>
      <c r="E1529" t="s">
        <v>13</v>
      </c>
      <c r="F1529">
        <v>8</v>
      </c>
      <c r="G1529">
        <v>6</v>
      </c>
      <c r="H1529" s="1296">
        <v>48</v>
      </c>
      <c r="I1529" t="str">
        <f t="shared" si="23"/>
        <v>-</v>
      </c>
    </row>
    <row r="1530" spans="1:9" x14ac:dyDescent="0.25">
      <c r="A1530">
        <v>13987</v>
      </c>
      <c r="B1530" t="s">
        <v>1229</v>
      </c>
      <c r="C1530" t="s">
        <v>1537</v>
      </c>
      <c r="D1530" t="s">
        <v>2158</v>
      </c>
      <c r="F1530">
        <v>10</v>
      </c>
      <c r="G1530">
        <v>10</v>
      </c>
      <c r="H1530" s="1296">
        <v>100</v>
      </c>
      <c r="I1530" t="str">
        <f t="shared" si="23"/>
        <v>-</v>
      </c>
    </row>
    <row r="1531" spans="1:9" x14ac:dyDescent="0.25">
      <c r="A1531">
        <v>13989</v>
      </c>
      <c r="B1531" t="s">
        <v>1229</v>
      </c>
      <c r="C1531" t="s">
        <v>1537</v>
      </c>
      <c r="D1531" t="s">
        <v>2159</v>
      </c>
      <c r="E1531" t="s">
        <v>1481</v>
      </c>
      <c r="F1531">
        <v>1</v>
      </c>
      <c r="G1531">
        <v>50</v>
      </c>
      <c r="H1531" s="1296">
        <v>50</v>
      </c>
      <c r="I1531" t="str">
        <f t="shared" si="23"/>
        <v>-</v>
      </c>
    </row>
    <row r="1532" spans="1:9" x14ac:dyDescent="0.25">
      <c r="A1532">
        <v>13991</v>
      </c>
      <c r="B1532" t="s">
        <v>1229</v>
      </c>
      <c r="C1532" t="s">
        <v>1537</v>
      </c>
      <c r="D1532" t="s">
        <v>1039</v>
      </c>
      <c r="E1532" t="s">
        <v>419</v>
      </c>
      <c r="F1532">
        <v>2</v>
      </c>
      <c r="G1532">
        <v>100</v>
      </c>
      <c r="H1532" s="1296">
        <v>200</v>
      </c>
      <c r="I1532" t="str">
        <f t="shared" si="23"/>
        <v>-</v>
      </c>
    </row>
    <row r="1533" spans="1:9" x14ac:dyDescent="0.25">
      <c r="A1533">
        <v>13992</v>
      </c>
      <c r="B1533" t="s">
        <v>1229</v>
      </c>
      <c r="C1533" t="s">
        <v>1537</v>
      </c>
      <c r="D1533" t="s">
        <v>242</v>
      </c>
      <c r="F1533">
        <v>1</v>
      </c>
      <c r="G1533">
        <v>25</v>
      </c>
      <c r="H1533" s="1296">
        <v>25</v>
      </c>
      <c r="I1533" t="str">
        <f t="shared" si="23"/>
        <v>-</v>
      </c>
    </row>
    <row r="1534" spans="1:9" x14ac:dyDescent="0.25">
      <c r="A1534">
        <v>13993</v>
      </c>
      <c r="B1534" t="s">
        <v>1229</v>
      </c>
      <c r="C1534" t="s">
        <v>1537</v>
      </c>
      <c r="D1534" t="s">
        <v>243</v>
      </c>
      <c r="F1534">
        <v>1</v>
      </c>
      <c r="G1534">
        <v>10</v>
      </c>
      <c r="H1534" s="1296">
        <v>10</v>
      </c>
      <c r="I1534" t="str">
        <f t="shared" si="23"/>
        <v>-</v>
      </c>
    </row>
    <row r="1535" spans="1:9" x14ac:dyDescent="0.25">
      <c r="A1535">
        <v>14016</v>
      </c>
      <c r="B1535" t="s">
        <v>1229</v>
      </c>
      <c r="C1535" t="s">
        <v>1537</v>
      </c>
      <c r="D1535">
        <v>404</v>
      </c>
      <c r="F1535">
        <v>90</v>
      </c>
      <c r="G1535">
        <v>1</v>
      </c>
      <c r="H1535" s="1296">
        <v>90</v>
      </c>
      <c r="I1535" t="str">
        <f t="shared" si="23"/>
        <v>-</v>
      </c>
    </row>
    <row r="1536" spans="1:9" x14ac:dyDescent="0.25">
      <c r="A1536">
        <v>14020</v>
      </c>
      <c r="B1536" t="s">
        <v>1229</v>
      </c>
      <c r="C1536" t="s">
        <v>1537</v>
      </c>
      <c r="D1536" t="s">
        <v>320</v>
      </c>
      <c r="E1536" t="s">
        <v>316</v>
      </c>
      <c r="F1536">
        <v>2.5</v>
      </c>
      <c r="G1536">
        <v>10</v>
      </c>
      <c r="H1536" s="1296">
        <v>25</v>
      </c>
      <c r="I1536" t="str">
        <f t="shared" si="23"/>
        <v>-</v>
      </c>
    </row>
    <row r="1537" spans="1:9" x14ac:dyDescent="0.25">
      <c r="A1537">
        <v>14022</v>
      </c>
      <c r="B1537" t="s">
        <v>1229</v>
      </c>
      <c r="C1537" t="s">
        <v>1537</v>
      </c>
      <c r="D1537" t="s">
        <v>123</v>
      </c>
      <c r="E1537" t="s">
        <v>1577</v>
      </c>
      <c r="F1537">
        <v>2</v>
      </c>
      <c r="G1537">
        <v>5</v>
      </c>
      <c r="H1537" s="1296">
        <v>10</v>
      </c>
      <c r="I1537" t="str">
        <f t="shared" si="23"/>
        <v>-</v>
      </c>
    </row>
    <row r="1538" spans="1:9" x14ac:dyDescent="0.25">
      <c r="A1538">
        <v>14023</v>
      </c>
      <c r="B1538" t="s">
        <v>1229</v>
      </c>
      <c r="C1538" t="s">
        <v>1537</v>
      </c>
      <c r="D1538" t="s">
        <v>1578</v>
      </c>
      <c r="E1538" t="s">
        <v>1579</v>
      </c>
      <c r="F1538">
        <v>5</v>
      </c>
      <c r="G1538">
        <v>5</v>
      </c>
      <c r="H1538" s="1296">
        <v>25</v>
      </c>
      <c r="I1538" t="str">
        <f t="shared" ref="I1538:I1601" si="24">INDEX($N$2:$N$355,MATCH($A1538,$L$2:$L$355,1))</f>
        <v>-</v>
      </c>
    </row>
    <row r="1539" spans="1:9" x14ac:dyDescent="0.25">
      <c r="A1539">
        <v>14064</v>
      </c>
      <c r="B1539" t="s">
        <v>1160</v>
      </c>
      <c r="C1539" t="s">
        <v>1443</v>
      </c>
      <c r="D1539" t="s">
        <v>56</v>
      </c>
      <c r="E1539" t="s">
        <v>57</v>
      </c>
      <c r="F1539">
        <v>10</v>
      </c>
      <c r="G1539">
        <v>25</v>
      </c>
      <c r="H1539" s="1296">
        <v>250</v>
      </c>
      <c r="I1539" t="str">
        <f t="shared" si="24"/>
        <v>-</v>
      </c>
    </row>
    <row r="1540" spans="1:9" x14ac:dyDescent="0.25">
      <c r="A1540">
        <v>14065</v>
      </c>
      <c r="B1540" t="s">
        <v>1160</v>
      </c>
      <c r="C1540" t="s">
        <v>1443</v>
      </c>
      <c r="D1540" t="s">
        <v>1477</v>
      </c>
      <c r="E1540" t="s">
        <v>61</v>
      </c>
      <c r="F1540">
        <v>8</v>
      </c>
      <c r="G1540">
        <v>25</v>
      </c>
      <c r="H1540" s="1296">
        <v>200</v>
      </c>
      <c r="I1540" t="str">
        <f t="shared" si="24"/>
        <v>-</v>
      </c>
    </row>
    <row r="1541" spans="1:9" x14ac:dyDescent="0.25">
      <c r="A1541">
        <v>14066</v>
      </c>
      <c r="B1541" t="s">
        <v>1160</v>
      </c>
      <c r="C1541" t="s">
        <v>1443</v>
      </c>
      <c r="D1541" t="s">
        <v>68</v>
      </c>
      <c r="E1541" t="s">
        <v>69</v>
      </c>
      <c r="F1541">
        <v>10</v>
      </c>
      <c r="G1541">
        <v>25</v>
      </c>
      <c r="H1541" s="1296">
        <v>250</v>
      </c>
      <c r="I1541" t="str">
        <f t="shared" si="24"/>
        <v>-</v>
      </c>
    </row>
    <row r="1542" spans="1:9" x14ac:dyDescent="0.25">
      <c r="A1542">
        <v>14067</v>
      </c>
      <c r="B1542" t="s">
        <v>1160</v>
      </c>
      <c r="C1542" t="s">
        <v>1443</v>
      </c>
      <c r="D1542" t="s">
        <v>2152</v>
      </c>
      <c r="E1542" t="s">
        <v>109</v>
      </c>
      <c r="F1542">
        <v>16</v>
      </c>
      <c r="G1542">
        <v>25</v>
      </c>
      <c r="H1542" s="1296">
        <v>400</v>
      </c>
      <c r="I1542" t="str">
        <f t="shared" si="24"/>
        <v>-</v>
      </c>
    </row>
    <row r="1543" spans="1:9" x14ac:dyDescent="0.25">
      <c r="A1543">
        <v>14069</v>
      </c>
      <c r="B1543" t="s">
        <v>1160</v>
      </c>
      <c r="C1543" t="s">
        <v>1443</v>
      </c>
      <c r="D1543" t="s">
        <v>56</v>
      </c>
      <c r="E1543" t="s">
        <v>368</v>
      </c>
      <c r="F1543">
        <v>4</v>
      </c>
      <c r="G1543">
        <v>6</v>
      </c>
      <c r="H1543" s="1296">
        <v>24</v>
      </c>
      <c r="I1543" t="str">
        <f t="shared" si="24"/>
        <v>-</v>
      </c>
    </row>
    <row r="1544" spans="1:9" x14ac:dyDescent="0.25">
      <c r="A1544">
        <v>14071</v>
      </c>
      <c r="B1544" t="s">
        <v>1160</v>
      </c>
      <c r="C1544" t="s">
        <v>1443</v>
      </c>
      <c r="D1544" t="s">
        <v>60</v>
      </c>
      <c r="E1544" t="s">
        <v>593</v>
      </c>
      <c r="F1544">
        <v>3</v>
      </c>
      <c r="G1544">
        <v>6</v>
      </c>
      <c r="H1544" s="1296">
        <v>18</v>
      </c>
      <c r="I1544" t="str">
        <f t="shared" si="24"/>
        <v>-</v>
      </c>
    </row>
    <row r="1545" spans="1:9" x14ac:dyDescent="0.25">
      <c r="A1545">
        <v>14072</v>
      </c>
      <c r="B1545" t="s">
        <v>1160</v>
      </c>
      <c r="C1545" t="s">
        <v>1443</v>
      </c>
      <c r="D1545" t="s">
        <v>1718</v>
      </c>
      <c r="E1545" t="s">
        <v>379</v>
      </c>
      <c r="F1545">
        <v>3</v>
      </c>
      <c r="G1545">
        <v>6</v>
      </c>
      <c r="H1545" s="1296">
        <v>18</v>
      </c>
      <c r="I1545" t="str">
        <f t="shared" si="24"/>
        <v>-</v>
      </c>
    </row>
    <row r="1546" spans="1:9" x14ac:dyDescent="0.25">
      <c r="A1546">
        <v>14073</v>
      </c>
      <c r="B1546" t="s">
        <v>1160</v>
      </c>
      <c r="C1546" t="s">
        <v>1443</v>
      </c>
      <c r="D1546" t="s">
        <v>1737</v>
      </c>
      <c r="E1546" t="s">
        <v>371</v>
      </c>
      <c r="F1546">
        <v>5</v>
      </c>
      <c r="G1546">
        <v>6</v>
      </c>
      <c r="H1546" s="1296">
        <v>30</v>
      </c>
      <c r="I1546" t="str">
        <f t="shared" si="24"/>
        <v>-</v>
      </c>
    </row>
    <row r="1547" spans="1:9" x14ac:dyDescent="0.25">
      <c r="A1547">
        <v>14074</v>
      </c>
      <c r="B1547" t="s">
        <v>1160</v>
      </c>
      <c r="C1547" t="s">
        <v>1443</v>
      </c>
      <c r="D1547" t="s">
        <v>15</v>
      </c>
      <c r="E1547" t="s">
        <v>388</v>
      </c>
      <c r="F1547">
        <v>4</v>
      </c>
      <c r="G1547">
        <v>6</v>
      </c>
      <c r="H1547" s="1296">
        <v>24</v>
      </c>
      <c r="I1547" t="str">
        <f t="shared" si="24"/>
        <v>-</v>
      </c>
    </row>
    <row r="1548" spans="1:9" x14ac:dyDescent="0.25">
      <c r="A1548">
        <v>14076</v>
      </c>
      <c r="B1548" t="s">
        <v>1160</v>
      </c>
      <c r="C1548" t="s">
        <v>1443</v>
      </c>
      <c r="D1548" t="s">
        <v>801</v>
      </c>
      <c r="E1548" t="s">
        <v>383</v>
      </c>
      <c r="F1548">
        <v>2</v>
      </c>
      <c r="G1548">
        <v>6</v>
      </c>
      <c r="H1548" s="1296">
        <v>12</v>
      </c>
      <c r="I1548" t="str">
        <f t="shared" si="24"/>
        <v>-</v>
      </c>
    </row>
    <row r="1549" spans="1:9" x14ac:dyDescent="0.25">
      <c r="A1549">
        <v>14077</v>
      </c>
      <c r="B1549" t="s">
        <v>1160</v>
      </c>
      <c r="C1549" t="s">
        <v>1443</v>
      </c>
      <c r="D1549" t="s">
        <v>105</v>
      </c>
      <c r="E1549" t="s">
        <v>2154</v>
      </c>
      <c r="F1549">
        <v>4</v>
      </c>
      <c r="G1549">
        <v>6</v>
      </c>
      <c r="H1549" s="1296">
        <v>24</v>
      </c>
      <c r="I1549" t="str">
        <f t="shared" si="24"/>
        <v>-</v>
      </c>
    </row>
    <row r="1550" spans="1:9" x14ac:dyDescent="0.25">
      <c r="A1550">
        <v>14079</v>
      </c>
      <c r="B1550" t="s">
        <v>1160</v>
      </c>
      <c r="C1550" t="s">
        <v>1443</v>
      </c>
      <c r="D1550" t="s">
        <v>287</v>
      </c>
      <c r="E1550" t="s">
        <v>400</v>
      </c>
      <c r="F1550">
        <v>8</v>
      </c>
      <c r="G1550">
        <v>6</v>
      </c>
      <c r="H1550" s="1296">
        <v>48</v>
      </c>
      <c r="I1550" t="str">
        <f t="shared" si="24"/>
        <v>-</v>
      </c>
    </row>
    <row r="1551" spans="1:9" x14ac:dyDescent="0.25">
      <c r="A1551">
        <v>14081</v>
      </c>
      <c r="B1551" t="s">
        <v>1160</v>
      </c>
      <c r="C1551" t="s">
        <v>1443</v>
      </c>
      <c r="D1551" t="s">
        <v>80</v>
      </c>
      <c r="E1551" t="s">
        <v>386</v>
      </c>
      <c r="F1551">
        <v>3</v>
      </c>
      <c r="G1551">
        <v>5</v>
      </c>
      <c r="H1551" s="1296">
        <v>15</v>
      </c>
      <c r="I1551" t="str">
        <f t="shared" si="24"/>
        <v>-</v>
      </c>
    </row>
    <row r="1552" spans="1:9" x14ac:dyDescent="0.25">
      <c r="A1552">
        <v>14083</v>
      </c>
      <c r="B1552" t="s">
        <v>1160</v>
      </c>
      <c r="C1552" t="s">
        <v>1443</v>
      </c>
      <c r="D1552" t="s">
        <v>1514</v>
      </c>
      <c r="F1552">
        <v>1</v>
      </c>
      <c r="G1552">
        <v>100</v>
      </c>
      <c r="H1552" s="1296">
        <v>100</v>
      </c>
      <c r="I1552" t="str">
        <f t="shared" si="24"/>
        <v>-</v>
      </c>
    </row>
    <row r="1553" spans="1:9" x14ac:dyDescent="0.25">
      <c r="A1553">
        <v>14108</v>
      </c>
      <c r="B1553" t="s">
        <v>1160</v>
      </c>
      <c r="C1553" t="s">
        <v>1443</v>
      </c>
      <c r="D1553" t="s">
        <v>1444</v>
      </c>
      <c r="F1553">
        <v>1</v>
      </c>
      <c r="G1553">
        <v>50</v>
      </c>
      <c r="H1553" s="1296">
        <v>50</v>
      </c>
      <c r="I1553" t="str">
        <f t="shared" si="24"/>
        <v>-</v>
      </c>
    </row>
    <row r="1554" spans="1:9" x14ac:dyDescent="0.25">
      <c r="A1554">
        <v>14109</v>
      </c>
      <c r="B1554" t="s">
        <v>1160</v>
      </c>
      <c r="C1554" t="s">
        <v>1443</v>
      </c>
      <c r="D1554" t="s">
        <v>2158</v>
      </c>
      <c r="F1554">
        <v>10</v>
      </c>
      <c r="G1554">
        <v>10</v>
      </c>
      <c r="H1554" s="1296">
        <v>100</v>
      </c>
      <c r="I1554" t="str">
        <f t="shared" si="24"/>
        <v>-</v>
      </c>
    </row>
    <row r="1555" spans="1:9" x14ac:dyDescent="0.25">
      <c r="A1555">
        <v>14111</v>
      </c>
      <c r="B1555" t="s">
        <v>1160</v>
      </c>
      <c r="C1555" t="s">
        <v>1443</v>
      </c>
      <c r="D1555" t="s">
        <v>2159</v>
      </c>
      <c r="E1555" t="s">
        <v>1481</v>
      </c>
      <c r="F1555">
        <v>1</v>
      </c>
      <c r="G1555">
        <v>50</v>
      </c>
      <c r="H1555" s="1296">
        <v>50</v>
      </c>
      <c r="I1555" t="str">
        <f t="shared" si="24"/>
        <v>-</v>
      </c>
    </row>
    <row r="1556" spans="1:9" x14ac:dyDescent="0.25">
      <c r="A1556">
        <v>14113</v>
      </c>
      <c r="B1556" t="s">
        <v>1160</v>
      </c>
      <c r="C1556" t="s">
        <v>1443</v>
      </c>
      <c r="D1556" t="s">
        <v>1039</v>
      </c>
      <c r="E1556" t="s">
        <v>419</v>
      </c>
      <c r="F1556">
        <v>3</v>
      </c>
      <c r="G1556">
        <v>100</v>
      </c>
      <c r="H1556" s="1296">
        <v>300</v>
      </c>
      <c r="I1556" t="str">
        <f t="shared" si="24"/>
        <v>-</v>
      </c>
    </row>
    <row r="1557" spans="1:9" x14ac:dyDescent="0.25">
      <c r="A1557">
        <v>14114</v>
      </c>
      <c r="B1557" t="s">
        <v>1160</v>
      </c>
      <c r="C1557" t="s">
        <v>1443</v>
      </c>
      <c r="D1557" t="s">
        <v>242</v>
      </c>
      <c r="F1557">
        <v>1</v>
      </c>
      <c r="G1557">
        <v>25</v>
      </c>
      <c r="H1557" s="1296">
        <v>25</v>
      </c>
      <c r="I1557" t="str">
        <f t="shared" si="24"/>
        <v>-</v>
      </c>
    </row>
    <row r="1558" spans="1:9" x14ac:dyDescent="0.25">
      <c r="A1558">
        <v>14115</v>
      </c>
      <c r="B1558" t="s">
        <v>1160</v>
      </c>
      <c r="C1558" t="s">
        <v>1443</v>
      </c>
      <c r="D1558" t="s">
        <v>243</v>
      </c>
      <c r="F1558">
        <v>1</v>
      </c>
      <c r="G1558">
        <v>10</v>
      </c>
      <c r="H1558" s="1296">
        <v>10</v>
      </c>
      <c r="I1558" t="str">
        <f t="shared" si="24"/>
        <v>-</v>
      </c>
    </row>
    <row r="1559" spans="1:9" x14ac:dyDescent="0.25">
      <c r="A1559">
        <v>14117</v>
      </c>
      <c r="B1559" t="s">
        <v>1160</v>
      </c>
      <c r="C1559" t="s">
        <v>1443</v>
      </c>
      <c r="D1559">
        <v>404</v>
      </c>
      <c r="F1559">
        <v>75</v>
      </c>
      <c r="G1559">
        <v>1</v>
      </c>
      <c r="H1559" s="1296">
        <v>75</v>
      </c>
      <c r="I1559" t="str">
        <f t="shared" si="24"/>
        <v>-</v>
      </c>
    </row>
    <row r="1560" spans="1:9" x14ac:dyDescent="0.25">
      <c r="A1560">
        <v>14120</v>
      </c>
      <c r="B1560" t="s">
        <v>1160</v>
      </c>
      <c r="C1560" t="s">
        <v>1443</v>
      </c>
      <c r="D1560" t="s">
        <v>320</v>
      </c>
      <c r="E1560" t="s">
        <v>316</v>
      </c>
      <c r="F1560">
        <v>2.5</v>
      </c>
      <c r="G1560">
        <v>10</v>
      </c>
      <c r="H1560" s="1296">
        <v>25</v>
      </c>
      <c r="I1560" t="str">
        <f t="shared" si="24"/>
        <v>-</v>
      </c>
    </row>
    <row r="1561" spans="1:9" x14ac:dyDescent="0.25">
      <c r="A1561">
        <v>14122</v>
      </c>
      <c r="B1561" t="s">
        <v>1160</v>
      </c>
      <c r="C1561" t="s">
        <v>1443</v>
      </c>
      <c r="D1561" t="s">
        <v>123</v>
      </c>
      <c r="E1561" t="s">
        <v>1577</v>
      </c>
      <c r="F1561">
        <v>5</v>
      </c>
      <c r="G1561">
        <v>5</v>
      </c>
      <c r="H1561" s="1296">
        <v>25</v>
      </c>
      <c r="I1561" t="str">
        <f t="shared" si="24"/>
        <v>-</v>
      </c>
    </row>
    <row r="1562" spans="1:9" x14ac:dyDescent="0.25">
      <c r="A1562">
        <v>14124</v>
      </c>
      <c r="B1562" t="s">
        <v>1160</v>
      </c>
      <c r="C1562" t="s">
        <v>1443</v>
      </c>
      <c r="D1562" t="s">
        <v>1578</v>
      </c>
      <c r="E1562" t="s">
        <v>1579</v>
      </c>
      <c r="F1562">
        <v>5</v>
      </c>
      <c r="G1562">
        <v>5</v>
      </c>
      <c r="H1562" s="1296">
        <v>25</v>
      </c>
      <c r="I1562" t="str">
        <f t="shared" si="24"/>
        <v>-</v>
      </c>
    </row>
    <row r="1563" spans="1:9" x14ac:dyDescent="0.25">
      <c r="A1563">
        <v>14154</v>
      </c>
      <c r="B1563" t="s">
        <v>1160</v>
      </c>
      <c r="C1563" t="s">
        <v>1583</v>
      </c>
      <c r="D1563" t="s">
        <v>56</v>
      </c>
      <c r="E1563" t="s">
        <v>57</v>
      </c>
      <c r="F1563">
        <v>2</v>
      </c>
      <c r="G1563">
        <v>25</v>
      </c>
      <c r="H1563" s="1296">
        <v>50</v>
      </c>
      <c r="I1563" t="str">
        <f t="shared" si="24"/>
        <v>-</v>
      </c>
    </row>
    <row r="1564" spans="1:9" x14ac:dyDescent="0.25">
      <c r="A1564">
        <v>14155</v>
      </c>
      <c r="B1564" t="s">
        <v>1160</v>
      </c>
      <c r="C1564" t="s">
        <v>1583</v>
      </c>
      <c r="D1564" t="s">
        <v>1477</v>
      </c>
      <c r="E1564" t="s">
        <v>61</v>
      </c>
      <c r="F1564">
        <v>2</v>
      </c>
      <c r="G1564">
        <v>25</v>
      </c>
      <c r="H1564" s="1296">
        <v>50</v>
      </c>
      <c r="I1564" t="str">
        <f t="shared" si="24"/>
        <v>-</v>
      </c>
    </row>
    <row r="1565" spans="1:9" x14ac:dyDescent="0.25">
      <c r="A1565">
        <v>14156</v>
      </c>
      <c r="B1565" t="s">
        <v>1160</v>
      </c>
      <c r="C1565" t="s">
        <v>1583</v>
      </c>
      <c r="D1565" t="s">
        <v>68</v>
      </c>
      <c r="E1565" t="s">
        <v>69</v>
      </c>
      <c r="F1565">
        <v>2</v>
      </c>
      <c r="G1565">
        <v>25</v>
      </c>
      <c r="H1565" s="1296">
        <v>50</v>
      </c>
      <c r="I1565" t="str">
        <f t="shared" si="24"/>
        <v>-</v>
      </c>
    </row>
    <row r="1566" spans="1:9" x14ac:dyDescent="0.25">
      <c r="A1566">
        <v>14157</v>
      </c>
      <c r="B1566" t="s">
        <v>1160</v>
      </c>
      <c r="C1566" t="s">
        <v>1583</v>
      </c>
      <c r="D1566" t="s">
        <v>2152</v>
      </c>
      <c r="E1566" t="s">
        <v>109</v>
      </c>
      <c r="F1566">
        <v>4</v>
      </c>
      <c r="G1566">
        <v>25</v>
      </c>
      <c r="H1566" s="1296">
        <v>100</v>
      </c>
      <c r="I1566" t="str">
        <f t="shared" si="24"/>
        <v>-</v>
      </c>
    </row>
    <row r="1567" spans="1:9" x14ac:dyDescent="0.25">
      <c r="A1567">
        <v>14158</v>
      </c>
      <c r="B1567" t="s">
        <v>1160</v>
      </c>
      <c r="C1567" t="s">
        <v>1583</v>
      </c>
      <c r="D1567" t="s">
        <v>2153</v>
      </c>
      <c r="E1567" t="s">
        <v>425</v>
      </c>
      <c r="F1567">
        <v>1</v>
      </c>
      <c r="G1567">
        <v>25</v>
      </c>
      <c r="H1567" s="1296">
        <v>25</v>
      </c>
      <c r="I1567" t="str">
        <f t="shared" si="24"/>
        <v>-</v>
      </c>
    </row>
    <row r="1568" spans="1:9" x14ac:dyDescent="0.25">
      <c r="A1568">
        <v>14160</v>
      </c>
      <c r="B1568" t="s">
        <v>1160</v>
      </c>
      <c r="C1568" t="s">
        <v>1583</v>
      </c>
      <c r="D1568" t="s">
        <v>56</v>
      </c>
      <c r="E1568" t="s">
        <v>368</v>
      </c>
      <c r="F1568">
        <v>2</v>
      </c>
      <c r="G1568">
        <v>6</v>
      </c>
      <c r="H1568" s="1296">
        <v>12</v>
      </c>
      <c r="I1568" t="str">
        <f t="shared" si="24"/>
        <v>-</v>
      </c>
    </row>
    <row r="1569" spans="1:9" x14ac:dyDescent="0.25">
      <c r="A1569">
        <v>14161</v>
      </c>
      <c r="B1569" t="s">
        <v>1160</v>
      </c>
      <c r="C1569" t="s">
        <v>1583</v>
      </c>
      <c r="D1569" t="s">
        <v>1737</v>
      </c>
      <c r="E1569" t="s">
        <v>371</v>
      </c>
      <c r="F1569">
        <v>2</v>
      </c>
      <c r="G1569">
        <v>6</v>
      </c>
      <c r="H1569" s="1296">
        <v>12</v>
      </c>
      <c r="I1569" t="str">
        <f t="shared" si="24"/>
        <v>-</v>
      </c>
    </row>
    <row r="1570" spans="1:9" x14ac:dyDescent="0.25">
      <c r="A1570">
        <v>14162</v>
      </c>
      <c r="B1570" t="s">
        <v>1160</v>
      </c>
      <c r="C1570" t="s">
        <v>1583</v>
      </c>
      <c r="D1570" t="s">
        <v>15</v>
      </c>
      <c r="E1570" t="s">
        <v>388</v>
      </c>
      <c r="F1570">
        <v>4</v>
      </c>
      <c r="G1570">
        <v>6</v>
      </c>
      <c r="H1570" s="1296">
        <v>24</v>
      </c>
      <c r="I1570" t="str">
        <f t="shared" si="24"/>
        <v>-</v>
      </c>
    </row>
    <row r="1571" spans="1:9" x14ac:dyDescent="0.25">
      <c r="A1571">
        <v>14164</v>
      </c>
      <c r="B1571" t="s">
        <v>1160</v>
      </c>
      <c r="C1571" t="s">
        <v>1583</v>
      </c>
      <c r="D1571" t="s">
        <v>80</v>
      </c>
      <c r="E1571" t="s">
        <v>386</v>
      </c>
      <c r="F1571">
        <v>1</v>
      </c>
      <c r="G1571">
        <v>5</v>
      </c>
      <c r="H1571" s="1296">
        <v>5</v>
      </c>
      <c r="I1571" t="str">
        <f t="shared" si="24"/>
        <v>-</v>
      </c>
    </row>
    <row r="1572" spans="1:9" x14ac:dyDescent="0.25">
      <c r="A1572">
        <v>14166</v>
      </c>
      <c r="B1572" t="s">
        <v>1160</v>
      </c>
      <c r="C1572" t="s">
        <v>1583</v>
      </c>
      <c r="D1572" t="s">
        <v>1514</v>
      </c>
      <c r="F1572">
        <v>2</v>
      </c>
      <c r="G1572">
        <v>100</v>
      </c>
      <c r="H1572" s="1296">
        <v>200</v>
      </c>
      <c r="I1572" t="str">
        <f t="shared" si="24"/>
        <v>-</v>
      </c>
    </row>
    <row r="1573" spans="1:9" x14ac:dyDescent="0.25">
      <c r="A1573">
        <v>14169</v>
      </c>
      <c r="B1573" t="s">
        <v>1160</v>
      </c>
      <c r="C1573" t="s">
        <v>1583</v>
      </c>
      <c r="D1573" t="s">
        <v>1730</v>
      </c>
      <c r="E1573" t="s">
        <v>5</v>
      </c>
      <c r="F1573">
        <v>24</v>
      </c>
      <c r="G1573">
        <v>24</v>
      </c>
      <c r="H1573" s="1296">
        <v>576</v>
      </c>
      <c r="I1573" t="str">
        <f t="shared" si="24"/>
        <v>-</v>
      </c>
    </row>
    <row r="1574" spans="1:9" x14ac:dyDescent="0.25">
      <c r="A1574">
        <v>14171</v>
      </c>
      <c r="B1574" t="s">
        <v>1160</v>
      </c>
      <c r="C1574" t="s">
        <v>1583</v>
      </c>
      <c r="D1574" t="s">
        <v>1730</v>
      </c>
      <c r="E1574" t="s">
        <v>13</v>
      </c>
      <c r="F1574">
        <v>8</v>
      </c>
      <c r="G1574">
        <v>6</v>
      </c>
      <c r="H1574" s="1296">
        <v>48</v>
      </c>
      <c r="I1574" t="str">
        <f t="shared" si="24"/>
        <v>-</v>
      </c>
    </row>
    <row r="1575" spans="1:9" x14ac:dyDescent="0.25">
      <c r="A1575">
        <v>14173</v>
      </c>
      <c r="B1575" t="s">
        <v>1160</v>
      </c>
      <c r="C1575" t="s">
        <v>1583</v>
      </c>
      <c r="D1575" t="s">
        <v>2158</v>
      </c>
      <c r="F1575">
        <v>10</v>
      </c>
      <c r="G1575">
        <v>10</v>
      </c>
      <c r="H1575" s="1296">
        <v>100</v>
      </c>
      <c r="I1575" t="str">
        <f t="shared" si="24"/>
        <v>-</v>
      </c>
    </row>
    <row r="1576" spans="1:9" x14ac:dyDescent="0.25">
      <c r="A1576">
        <v>14175</v>
      </c>
      <c r="B1576" t="s">
        <v>1160</v>
      </c>
      <c r="C1576" t="s">
        <v>1583</v>
      </c>
      <c r="D1576" t="s">
        <v>1039</v>
      </c>
      <c r="E1576" t="s">
        <v>419</v>
      </c>
      <c r="F1576">
        <v>2</v>
      </c>
      <c r="G1576">
        <v>100</v>
      </c>
      <c r="H1576" s="1296">
        <v>200</v>
      </c>
      <c r="I1576" t="str">
        <f t="shared" si="24"/>
        <v>-</v>
      </c>
    </row>
    <row r="1577" spans="1:9" x14ac:dyDescent="0.25">
      <c r="A1577">
        <v>14199</v>
      </c>
      <c r="B1577" t="s">
        <v>1160</v>
      </c>
      <c r="C1577" t="s">
        <v>1583</v>
      </c>
      <c r="D1577" t="s">
        <v>123</v>
      </c>
      <c r="E1577" t="s">
        <v>1577</v>
      </c>
      <c r="F1577">
        <v>2</v>
      </c>
      <c r="G1577">
        <v>5</v>
      </c>
      <c r="H1577" s="1296">
        <v>10</v>
      </c>
      <c r="I1577" t="str">
        <f t="shared" si="24"/>
        <v>-</v>
      </c>
    </row>
    <row r="1578" spans="1:9" x14ac:dyDescent="0.25">
      <c r="A1578">
        <v>14200</v>
      </c>
      <c r="B1578" t="s">
        <v>1160</v>
      </c>
      <c r="C1578" t="s">
        <v>1583</v>
      </c>
      <c r="D1578" t="s">
        <v>1578</v>
      </c>
      <c r="E1578" t="s">
        <v>1579</v>
      </c>
      <c r="F1578">
        <v>4</v>
      </c>
      <c r="G1578">
        <v>5</v>
      </c>
      <c r="H1578" s="1296">
        <v>20</v>
      </c>
      <c r="I1578" t="str">
        <f t="shared" si="24"/>
        <v>-</v>
      </c>
    </row>
    <row r="1579" spans="1:9" x14ac:dyDescent="0.25">
      <c r="A1579">
        <v>14244</v>
      </c>
      <c r="B1579" t="s">
        <v>1160</v>
      </c>
      <c r="C1579" t="s">
        <v>1475</v>
      </c>
      <c r="D1579" t="s">
        <v>56</v>
      </c>
      <c r="E1579" t="s">
        <v>57</v>
      </c>
      <c r="F1579">
        <v>8</v>
      </c>
      <c r="G1579">
        <v>25</v>
      </c>
      <c r="H1579" s="1296">
        <v>200</v>
      </c>
      <c r="I1579" t="str">
        <f t="shared" si="24"/>
        <v>-</v>
      </c>
    </row>
    <row r="1580" spans="1:9" x14ac:dyDescent="0.25">
      <c r="A1580">
        <v>14245</v>
      </c>
      <c r="B1580" t="s">
        <v>1160</v>
      </c>
      <c r="C1580" t="s">
        <v>1475</v>
      </c>
      <c r="D1580" t="s">
        <v>1477</v>
      </c>
      <c r="E1580" t="s">
        <v>61</v>
      </c>
      <c r="F1580">
        <v>8</v>
      </c>
      <c r="G1580">
        <v>25</v>
      </c>
      <c r="H1580" s="1296">
        <v>200</v>
      </c>
      <c r="I1580" t="str">
        <f t="shared" si="24"/>
        <v>-</v>
      </c>
    </row>
    <row r="1581" spans="1:9" x14ac:dyDescent="0.25">
      <c r="A1581">
        <v>14246</v>
      </c>
      <c r="B1581" t="s">
        <v>1160</v>
      </c>
      <c r="C1581" t="s">
        <v>1475</v>
      </c>
      <c r="D1581" t="s">
        <v>68</v>
      </c>
      <c r="E1581" t="s">
        <v>69</v>
      </c>
      <c r="F1581">
        <v>10</v>
      </c>
      <c r="G1581">
        <v>25</v>
      </c>
      <c r="H1581" s="1296">
        <v>250</v>
      </c>
      <c r="I1581" t="str">
        <f t="shared" si="24"/>
        <v>-</v>
      </c>
    </row>
    <row r="1582" spans="1:9" x14ac:dyDescent="0.25">
      <c r="A1582">
        <v>14247</v>
      </c>
      <c r="B1582" t="s">
        <v>1160</v>
      </c>
      <c r="C1582" t="s">
        <v>1475</v>
      </c>
      <c r="D1582" t="s">
        <v>2152</v>
      </c>
      <c r="E1582" t="s">
        <v>109</v>
      </c>
      <c r="F1582">
        <v>12</v>
      </c>
      <c r="G1582">
        <v>25</v>
      </c>
      <c r="H1582" s="1296">
        <v>300</v>
      </c>
      <c r="I1582" t="str">
        <f t="shared" si="24"/>
        <v>-</v>
      </c>
    </row>
    <row r="1583" spans="1:9" x14ac:dyDescent="0.25">
      <c r="A1583">
        <v>14248</v>
      </c>
      <c r="B1583" t="s">
        <v>1160</v>
      </c>
      <c r="C1583" t="s">
        <v>1475</v>
      </c>
      <c r="D1583" t="s">
        <v>2153</v>
      </c>
      <c r="E1583" t="s">
        <v>425</v>
      </c>
      <c r="F1583">
        <v>4</v>
      </c>
      <c r="G1583">
        <v>25</v>
      </c>
      <c r="H1583" s="1296">
        <v>100</v>
      </c>
      <c r="I1583" t="str">
        <f t="shared" si="24"/>
        <v>-</v>
      </c>
    </row>
    <row r="1584" spans="1:9" x14ac:dyDescent="0.25">
      <c r="A1584">
        <v>14249</v>
      </c>
      <c r="B1584" t="s">
        <v>1160</v>
      </c>
      <c r="C1584" t="s">
        <v>1475</v>
      </c>
      <c r="D1584" t="s">
        <v>1131</v>
      </c>
      <c r="E1584" t="s">
        <v>426</v>
      </c>
      <c r="F1584">
        <v>2</v>
      </c>
      <c r="G1584">
        <v>25</v>
      </c>
      <c r="H1584" s="1296">
        <v>50</v>
      </c>
      <c r="I1584" t="str">
        <f t="shared" si="24"/>
        <v>-</v>
      </c>
    </row>
    <row r="1585" spans="1:9" x14ac:dyDescent="0.25">
      <c r="A1585">
        <v>14250</v>
      </c>
      <c r="B1585" t="s">
        <v>1160</v>
      </c>
      <c r="C1585" t="s">
        <v>1475</v>
      </c>
      <c r="D1585" t="s">
        <v>138</v>
      </c>
      <c r="E1585" t="s">
        <v>431</v>
      </c>
      <c r="F1585">
        <v>1</v>
      </c>
      <c r="G1585">
        <v>25</v>
      </c>
      <c r="H1585" s="1296">
        <v>25</v>
      </c>
      <c r="I1585" t="str">
        <f t="shared" si="24"/>
        <v>-</v>
      </c>
    </row>
    <row r="1586" spans="1:9" x14ac:dyDescent="0.25">
      <c r="A1586">
        <v>14253</v>
      </c>
      <c r="B1586" t="s">
        <v>1160</v>
      </c>
      <c r="C1586" t="s">
        <v>1475</v>
      </c>
      <c r="D1586" t="s">
        <v>187</v>
      </c>
      <c r="E1586" t="s">
        <v>187</v>
      </c>
      <c r="F1586">
        <v>6</v>
      </c>
      <c r="G1586">
        <v>8</v>
      </c>
      <c r="H1586" s="1296">
        <v>48</v>
      </c>
      <c r="I1586" t="str">
        <f t="shared" si="24"/>
        <v>-</v>
      </c>
    </row>
    <row r="1587" spans="1:9" x14ac:dyDescent="0.25">
      <c r="A1587">
        <v>14255</v>
      </c>
      <c r="B1587" t="s">
        <v>1160</v>
      </c>
      <c r="C1587" t="s">
        <v>1475</v>
      </c>
      <c r="D1587" t="s">
        <v>56</v>
      </c>
      <c r="E1587" t="s">
        <v>368</v>
      </c>
      <c r="F1587">
        <v>4</v>
      </c>
      <c r="G1587">
        <v>6</v>
      </c>
      <c r="H1587" s="1296">
        <v>24</v>
      </c>
      <c r="I1587" t="str">
        <f t="shared" si="24"/>
        <v>-</v>
      </c>
    </row>
    <row r="1588" spans="1:9" x14ac:dyDescent="0.25">
      <c r="A1588">
        <v>14257</v>
      </c>
      <c r="B1588" t="s">
        <v>1160</v>
      </c>
      <c r="C1588" t="s">
        <v>1475</v>
      </c>
      <c r="D1588" t="s">
        <v>1477</v>
      </c>
      <c r="E1588" t="s">
        <v>593</v>
      </c>
      <c r="F1588">
        <v>2</v>
      </c>
      <c r="G1588">
        <v>6</v>
      </c>
      <c r="H1588" s="1296">
        <v>12</v>
      </c>
      <c r="I1588" t="str">
        <f t="shared" si="24"/>
        <v>-</v>
      </c>
    </row>
    <row r="1589" spans="1:9" x14ac:dyDescent="0.25">
      <c r="A1589">
        <v>14258</v>
      </c>
      <c r="B1589" t="s">
        <v>1160</v>
      </c>
      <c r="C1589" t="s">
        <v>1475</v>
      </c>
      <c r="D1589" t="s">
        <v>1298</v>
      </c>
      <c r="E1589" t="s">
        <v>393</v>
      </c>
      <c r="F1589">
        <v>1</v>
      </c>
      <c r="G1589">
        <v>6</v>
      </c>
      <c r="H1589" s="1296">
        <v>6</v>
      </c>
      <c r="I1589" t="str">
        <f t="shared" si="24"/>
        <v>-</v>
      </c>
    </row>
    <row r="1590" spans="1:9" x14ac:dyDescent="0.25">
      <c r="A1590">
        <v>14259</v>
      </c>
      <c r="B1590" t="s">
        <v>1160</v>
      </c>
      <c r="C1590" t="s">
        <v>1475</v>
      </c>
      <c r="D1590" t="s">
        <v>146</v>
      </c>
      <c r="E1590" t="s">
        <v>380</v>
      </c>
      <c r="F1590">
        <v>2</v>
      </c>
      <c r="G1590">
        <v>6</v>
      </c>
      <c r="H1590" s="1296">
        <v>12</v>
      </c>
      <c r="I1590" t="str">
        <f t="shared" si="24"/>
        <v>-</v>
      </c>
    </row>
    <row r="1591" spans="1:9" x14ac:dyDescent="0.25">
      <c r="A1591">
        <v>14260</v>
      </c>
      <c r="B1591" t="s">
        <v>1160</v>
      </c>
      <c r="C1591" t="s">
        <v>1475</v>
      </c>
      <c r="D1591" t="s">
        <v>15</v>
      </c>
      <c r="E1591" t="s">
        <v>388</v>
      </c>
      <c r="F1591">
        <v>4</v>
      </c>
      <c r="G1591">
        <v>6</v>
      </c>
      <c r="H1591" s="1296">
        <v>24</v>
      </c>
      <c r="I1591" t="str">
        <f t="shared" si="24"/>
        <v>-</v>
      </c>
    </row>
    <row r="1592" spans="1:9" x14ac:dyDescent="0.25">
      <c r="A1592">
        <v>14262</v>
      </c>
      <c r="B1592" t="s">
        <v>1160</v>
      </c>
      <c r="C1592" t="s">
        <v>1475</v>
      </c>
      <c r="D1592" t="s">
        <v>105</v>
      </c>
      <c r="E1592" t="s">
        <v>2154</v>
      </c>
      <c r="F1592">
        <v>1</v>
      </c>
      <c r="G1592">
        <v>6</v>
      </c>
      <c r="H1592" s="1296">
        <v>6</v>
      </c>
      <c r="I1592" t="str">
        <f t="shared" si="24"/>
        <v>-</v>
      </c>
    </row>
    <row r="1593" spans="1:9" x14ac:dyDescent="0.25">
      <c r="A1593">
        <v>14263</v>
      </c>
      <c r="B1593" t="s">
        <v>1160</v>
      </c>
      <c r="C1593" t="s">
        <v>1475</v>
      </c>
      <c r="D1593" t="s">
        <v>127</v>
      </c>
      <c r="E1593" t="s">
        <v>398</v>
      </c>
      <c r="F1593">
        <v>2</v>
      </c>
      <c r="G1593">
        <v>6</v>
      </c>
      <c r="H1593" s="1296">
        <v>12</v>
      </c>
      <c r="I1593" t="str">
        <f t="shared" si="24"/>
        <v>-</v>
      </c>
    </row>
    <row r="1594" spans="1:9" x14ac:dyDescent="0.25">
      <c r="A1594">
        <v>14264</v>
      </c>
      <c r="B1594" t="s">
        <v>1160</v>
      </c>
      <c r="C1594" t="s">
        <v>1475</v>
      </c>
      <c r="D1594" t="s">
        <v>287</v>
      </c>
      <c r="E1594" t="s">
        <v>400</v>
      </c>
      <c r="F1594">
        <v>4</v>
      </c>
      <c r="G1594">
        <v>6</v>
      </c>
      <c r="H1594" s="1296">
        <v>24</v>
      </c>
      <c r="I1594" t="str">
        <f t="shared" si="24"/>
        <v>-</v>
      </c>
    </row>
    <row r="1595" spans="1:9" x14ac:dyDescent="0.25">
      <c r="A1595">
        <v>14266</v>
      </c>
      <c r="B1595" t="s">
        <v>1160</v>
      </c>
      <c r="C1595" t="s">
        <v>1475</v>
      </c>
      <c r="D1595" t="s">
        <v>80</v>
      </c>
      <c r="E1595" t="s">
        <v>386</v>
      </c>
      <c r="F1595">
        <v>2</v>
      </c>
      <c r="G1595">
        <v>5</v>
      </c>
      <c r="H1595" s="1296">
        <v>10</v>
      </c>
      <c r="I1595" t="str">
        <f t="shared" si="24"/>
        <v>-</v>
      </c>
    </row>
    <row r="1596" spans="1:9" x14ac:dyDescent="0.25">
      <c r="A1596">
        <v>14267</v>
      </c>
      <c r="B1596" t="s">
        <v>1160</v>
      </c>
      <c r="C1596" t="s">
        <v>1475</v>
      </c>
      <c r="D1596" t="s">
        <v>123</v>
      </c>
      <c r="E1596" t="s">
        <v>401</v>
      </c>
      <c r="F1596">
        <v>3</v>
      </c>
      <c r="G1596">
        <v>6</v>
      </c>
      <c r="H1596" s="1296">
        <v>18</v>
      </c>
      <c r="I1596" t="str">
        <f t="shared" si="24"/>
        <v>-</v>
      </c>
    </row>
    <row r="1597" spans="1:9" x14ac:dyDescent="0.25">
      <c r="A1597">
        <v>14268</v>
      </c>
      <c r="B1597" t="s">
        <v>1160</v>
      </c>
      <c r="C1597" t="s">
        <v>1475</v>
      </c>
      <c r="D1597" t="s">
        <v>1578</v>
      </c>
      <c r="E1597" t="s">
        <v>402</v>
      </c>
      <c r="F1597">
        <v>4</v>
      </c>
      <c r="G1597">
        <v>6</v>
      </c>
      <c r="H1597" s="1296">
        <v>24</v>
      </c>
      <c r="I1597" t="str">
        <f t="shared" si="24"/>
        <v>-</v>
      </c>
    </row>
    <row r="1598" spans="1:9" x14ac:dyDescent="0.25">
      <c r="A1598">
        <v>14270</v>
      </c>
      <c r="B1598" t="s">
        <v>1160</v>
      </c>
      <c r="C1598" t="s">
        <v>1475</v>
      </c>
      <c r="D1598" t="s">
        <v>1718</v>
      </c>
      <c r="E1598" t="s">
        <v>379</v>
      </c>
      <c r="F1598">
        <v>1</v>
      </c>
      <c r="G1598">
        <v>6</v>
      </c>
      <c r="H1598" s="1296">
        <v>6</v>
      </c>
      <c r="I1598" t="str">
        <f t="shared" si="24"/>
        <v>-</v>
      </c>
    </row>
    <row r="1599" spans="1:9" x14ac:dyDescent="0.25">
      <c r="A1599">
        <v>14271</v>
      </c>
      <c r="B1599" t="s">
        <v>1160</v>
      </c>
      <c r="C1599" t="s">
        <v>1475</v>
      </c>
      <c r="D1599" t="s">
        <v>1737</v>
      </c>
      <c r="E1599" t="s">
        <v>371</v>
      </c>
      <c r="F1599">
        <v>2</v>
      </c>
      <c r="G1599">
        <v>6</v>
      </c>
      <c r="H1599" s="1296">
        <v>12</v>
      </c>
      <c r="I1599" t="str">
        <f t="shared" si="24"/>
        <v>-</v>
      </c>
    </row>
    <row r="1600" spans="1:9" x14ac:dyDescent="0.25">
      <c r="A1600">
        <v>14290</v>
      </c>
      <c r="B1600" t="s">
        <v>1160</v>
      </c>
      <c r="C1600" t="s">
        <v>1475</v>
      </c>
      <c r="D1600" t="s">
        <v>136</v>
      </c>
      <c r="E1600" t="s">
        <v>387</v>
      </c>
      <c r="F1600">
        <v>4</v>
      </c>
      <c r="G1600">
        <v>6</v>
      </c>
      <c r="H1600" s="1296">
        <v>24</v>
      </c>
      <c r="I1600" t="str">
        <f t="shared" si="24"/>
        <v>-</v>
      </c>
    </row>
    <row r="1601" spans="1:9" x14ac:dyDescent="0.25">
      <c r="A1601">
        <v>14292</v>
      </c>
      <c r="B1601" t="s">
        <v>1160</v>
      </c>
      <c r="C1601" t="s">
        <v>1475</v>
      </c>
      <c r="D1601" t="s">
        <v>143</v>
      </c>
      <c r="E1601" t="s">
        <v>374</v>
      </c>
      <c r="F1601">
        <v>1</v>
      </c>
      <c r="G1601">
        <v>6</v>
      </c>
      <c r="H1601" s="1296">
        <v>6</v>
      </c>
      <c r="I1601" t="str">
        <f t="shared" si="24"/>
        <v>-</v>
      </c>
    </row>
    <row r="1602" spans="1:9" x14ac:dyDescent="0.25">
      <c r="A1602">
        <v>14293</v>
      </c>
      <c r="B1602" t="s">
        <v>1160</v>
      </c>
      <c r="C1602" t="s">
        <v>1475</v>
      </c>
      <c r="D1602" t="s">
        <v>81</v>
      </c>
      <c r="E1602" t="s">
        <v>396</v>
      </c>
      <c r="F1602">
        <v>2</v>
      </c>
      <c r="G1602">
        <v>6</v>
      </c>
      <c r="H1602" s="1296">
        <v>12</v>
      </c>
      <c r="I1602" t="str">
        <f t="shared" ref="I1602:I1665" si="25">INDEX($N$2:$N$355,MATCH($A1602,$L$2:$L$355,1))</f>
        <v>-</v>
      </c>
    </row>
    <row r="1603" spans="1:9" x14ac:dyDescent="0.25">
      <c r="A1603">
        <v>14294</v>
      </c>
      <c r="B1603" t="s">
        <v>1160</v>
      </c>
      <c r="C1603" t="s">
        <v>1475</v>
      </c>
      <c r="D1603" t="s">
        <v>145</v>
      </c>
      <c r="E1603" t="s">
        <v>381</v>
      </c>
      <c r="F1603">
        <v>1</v>
      </c>
      <c r="G1603">
        <v>6</v>
      </c>
      <c r="H1603" s="1296">
        <v>6</v>
      </c>
      <c r="I1603" t="str">
        <f t="shared" si="25"/>
        <v>-</v>
      </c>
    </row>
    <row r="1604" spans="1:9" x14ac:dyDescent="0.25">
      <c r="A1604">
        <v>14295</v>
      </c>
      <c r="B1604" t="s">
        <v>1160</v>
      </c>
      <c r="C1604" t="s">
        <v>1475</v>
      </c>
      <c r="D1604" t="s">
        <v>301</v>
      </c>
      <c r="E1604" t="s">
        <v>363</v>
      </c>
      <c r="F1604">
        <v>1</v>
      </c>
      <c r="G1604">
        <v>6</v>
      </c>
      <c r="H1604" s="1296">
        <v>6</v>
      </c>
      <c r="I1604" t="str">
        <f t="shared" si="25"/>
        <v>-</v>
      </c>
    </row>
    <row r="1605" spans="1:9" x14ac:dyDescent="0.25">
      <c r="A1605">
        <v>14296</v>
      </c>
      <c r="B1605" t="s">
        <v>1160</v>
      </c>
      <c r="C1605" t="s">
        <v>1475</v>
      </c>
      <c r="D1605" t="s">
        <v>801</v>
      </c>
      <c r="E1605" t="s">
        <v>383</v>
      </c>
      <c r="F1605">
        <v>1</v>
      </c>
      <c r="G1605">
        <v>6</v>
      </c>
      <c r="H1605" s="1296">
        <v>6</v>
      </c>
      <c r="I1605" t="str">
        <f t="shared" si="25"/>
        <v>-</v>
      </c>
    </row>
    <row r="1606" spans="1:9" x14ac:dyDescent="0.25">
      <c r="A1606">
        <v>14298</v>
      </c>
      <c r="B1606" t="s">
        <v>1160</v>
      </c>
      <c r="C1606" t="s">
        <v>1475</v>
      </c>
      <c r="D1606">
        <v>507</v>
      </c>
      <c r="E1606" t="s">
        <v>1815</v>
      </c>
      <c r="F1606">
        <v>1</v>
      </c>
      <c r="G1606">
        <v>300</v>
      </c>
      <c r="H1606" s="1296">
        <v>300</v>
      </c>
      <c r="I1606" t="str">
        <f t="shared" si="25"/>
        <v>-</v>
      </c>
    </row>
    <row r="1607" spans="1:9" x14ac:dyDescent="0.25">
      <c r="A1607">
        <v>14301</v>
      </c>
      <c r="B1607" t="s">
        <v>1160</v>
      </c>
      <c r="C1607" t="s">
        <v>1475</v>
      </c>
      <c r="D1607" t="s">
        <v>1514</v>
      </c>
      <c r="F1607">
        <v>2</v>
      </c>
      <c r="G1607">
        <v>100</v>
      </c>
      <c r="H1607" s="1296">
        <v>200</v>
      </c>
      <c r="I1607" t="str">
        <f t="shared" si="25"/>
        <v>-</v>
      </c>
    </row>
    <row r="1608" spans="1:9" x14ac:dyDescent="0.25">
      <c r="A1608">
        <v>14304</v>
      </c>
      <c r="B1608" t="s">
        <v>1160</v>
      </c>
      <c r="C1608" t="s">
        <v>1475</v>
      </c>
      <c r="D1608" t="s">
        <v>1730</v>
      </c>
      <c r="E1608" t="s">
        <v>5</v>
      </c>
      <c r="F1608">
        <v>21</v>
      </c>
      <c r="G1608">
        <v>24</v>
      </c>
      <c r="H1608" s="1296">
        <v>504</v>
      </c>
      <c r="I1608" t="str">
        <f t="shared" si="25"/>
        <v>-</v>
      </c>
    </row>
    <row r="1609" spans="1:9" x14ac:dyDescent="0.25">
      <c r="A1609">
        <v>14306</v>
      </c>
      <c r="B1609" t="s">
        <v>1160</v>
      </c>
      <c r="C1609" t="s">
        <v>1475</v>
      </c>
      <c r="D1609" t="s">
        <v>2186</v>
      </c>
      <c r="E1609" t="s">
        <v>12</v>
      </c>
      <c r="F1609">
        <v>22</v>
      </c>
      <c r="G1609">
        <v>24</v>
      </c>
      <c r="H1609" s="1296">
        <v>528</v>
      </c>
      <c r="I1609" t="str">
        <f t="shared" si="25"/>
        <v>-</v>
      </c>
    </row>
    <row r="1610" spans="1:9" x14ac:dyDescent="0.25">
      <c r="A1610">
        <v>14308</v>
      </c>
      <c r="B1610" t="s">
        <v>1160</v>
      </c>
      <c r="C1610" t="s">
        <v>1475</v>
      </c>
      <c r="D1610" t="s">
        <v>1039</v>
      </c>
      <c r="E1610" t="s">
        <v>2161</v>
      </c>
      <c r="F1610">
        <v>1</v>
      </c>
      <c r="G1610">
        <v>100</v>
      </c>
      <c r="H1610" s="1296">
        <v>100</v>
      </c>
      <c r="I1610" t="str">
        <f t="shared" si="25"/>
        <v>-</v>
      </c>
    </row>
    <row r="1611" spans="1:9" x14ac:dyDescent="0.25">
      <c r="A1611">
        <v>14309</v>
      </c>
      <c r="B1611" t="s">
        <v>1160</v>
      </c>
      <c r="C1611" t="s">
        <v>1475</v>
      </c>
      <c r="D1611" t="s">
        <v>922</v>
      </c>
      <c r="F1611">
        <v>1</v>
      </c>
      <c r="G1611">
        <v>90</v>
      </c>
      <c r="H1611" s="1296">
        <v>90</v>
      </c>
      <c r="I1611" t="str">
        <f t="shared" si="25"/>
        <v>-</v>
      </c>
    </row>
    <row r="1612" spans="1:9" x14ac:dyDescent="0.25">
      <c r="A1612">
        <v>14335</v>
      </c>
      <c r="B1612" t="s">
        <v>1160</v>
      </c>
      <c r="C1612" t="s">
        <v>1475</v>
      </c>
      <c r="D1612" t="s">
        <v>2163</v>
      </c>
      <c r="F1612">
        <v>69</v>
      </c>
      <c r="G1612">
        <v>1</v>
      </c>
      <c r="H1612" s="1296">
        <v>69</v>
      </c>
      <c r="I1612" t="str">
        <f t="shared" si="25"/>
        <v>-</v>
      </c>
    </row>
    <row r="1613" spans="1:9" x14ac:dyDescent="0.25">
      <c r="A1613">
        <v>14338</v>
      </c>
      <c r="B1613" t="s">
        <v>1160</v>
      </c>
      <c r="C1613" t="s">
        <v>1475</v>
      </c>
      <c r="D1613" t="s">
        <v>320</v>
      </c>
      <c r="E1613" t="s">
        <v>316</v>
      </c>
      <c r="F1613">
        <v>2.5</v>
      </c>
      <c r="G1613">
        <v>10</v>
      </c>
      <c r="H1613" s="1296">
        <v>25</v>
      </c>
      <c r="I1613" t="str">
        <f t="shared" si="25"/>
        <v>-</v>
      </c>
    </row>
    <row r="1614" spans="1:9" x14ac:dyDescent="0.25">
      <c r="A1614">
        <v>14340</v>
      </c>
      <c r="B1614" t="s">
        <v>1160</v>
      </c>
      <c r="C1614" t="s">
        <v>1475</v>
      </c>
      <c r="D1614" t="s">
        <v>123</v>
      </c>
      <c r="E1614" t="s">
        <v>1577</v>
      </c>
      <c r="F1614">
        <v>2</v>
      </c>
      <c r="G1614">
        <v>5</v>
      </c>
      <c r="H1614" s="1296">
        <v>10</v>
      </c>
      <c r="I1614" t="str">
        <f t="shared" si="25"/>
        <v>-</v>
      </c>
    </row>
    <row r="1615" spans="1:9" x14ac:dyDescent="0.25">
      <c r="A1615">
        <v>14341</v>
      </c>
      <c r="B1615" t="s">
        <v>1160</v>
      </c>
      <c r="C1615" t="s">
        <v>1475</v>
      </c>
      <c r="D1615" t="s">
        <v>1578</v>
      </c>
      <c r="E1615" t="s">
        <v>1579</v>
      </c>
      <c r="F1615">
        <v>5</v>
      </c>
      <c r="G1615">
        <v>5</v>
      </c>
      <c r="H1615" s="1296">
        <v>25</v>
      </c>
      <c r="I1615" t="str">
        <f t="shared" si="25"/>
        <v>-</v>
      </c>
    </row>
    <row r="1616" spans="1:9" x14ac:dyDescent="0.25">
      <c r="A1616">
        <v>14343</v>
      </c>
      <c r="B1616" t="s">
        <v>1160</v>
      </c>
      <c r="C1616" t="s">
        <v>1475</v>
      </c>
      <c r="D1616" t="s">
        <v>2127</v>
      </c>
      <c r="E1616" t="s">
        <v>328</v>
      </c>
      <c r="F1616">
        <v>3</v>
      </c>
      <c r="G1616">
        <v>5</v>
      </c>
      <c r="H1616" s="1296">
        <v>15</v>
      </c>
      <c r="I1616" t="str">
        <f t="shared" si="25"/>
        <v>-</v>
      </c>
    </row>
    <row r="1617" spans="1:9" x14ac:dyDescent="0.25">
      <c r="A1617">
        <v>14344</v>
      </c>
      <c r="B1617" t="s">
        <v>1160</v>
      </c>
      <c r="C1617" t="s">
        <v>1475</v>
      </c>
      <c r="D1617" t="s">
        <v>105</v>
      </c>
      <c r="E1617" t="s">
        <v>96</v>
      </c>
      <c r="F1617">
        <v>3</v>
      </c>
      <c r="G1617">
        <v>5</v>
      </c>
      <c r="H1617" s="1296">
        <v>15</v>
      </c>
      <c r="I1617" t="str">
        <f t="shared" si="25"/>
        <v>-</v>
      </c>
    </row>
    <row r="1618" spans="1:9" x14ac:dyDescent="0.25">
      <c r="A1618">
        <v>14345</v>
      </c>
      <c r="B1618" t="s">
        <v>1160</v>
      </c>
      <c r="C1618" t="s">
        <v>1475</v>
      </c>
      <c r="D1618" t="s">
        <v>145</v>
      </c>
      <c r="E1618" t="s">
        <v>341</v>
      </c>
      <c r="F1618">
        <v>1</v>
      </c>
      <c r="G1618">
        <v>5</v>
      </c>
      <c r="H1618" s="1296">
        <v>5</v>
      </c>
      <c r="I1618" t="str">
        <f t="shared" si="25"/>
        <v>-</v>
      </c>
    </row>
    <row r="1619" spans="1:9" x14ac:dyDescent="0.25">
      <c r="A1619">
        <v>14346</v>
      </c>
      <c r="B1619" t="s">
        <v>1160</v>
      </c>
      <c r="C1619" t="s">
        <v>1475</v>
      </c>
      <c r="D1619" t="s">
        <v>1298</v>
      </c>
      <c r="E1619" t="s">
        <v>337</v>
      </c>
      <c r="F1619">
        <v>3</v>
      </c>
      <c r="G1619">
        <v>5</v>
      </c>
      <c r="H1619" s="1296">
        <v>15</v>
      </c>
      <c r="I1619" t="str">
        <f t="shared" si="25"/>
        <v>-</v>
      </c>
    </row>
    <row r="1620" spans="1:9" x14ac:dyDescent="0.25">
      <c r="A1620">
        <v>14347</v>
      </c>
      <c r="B1620" t="s">
        <v>1160</v>
      </c>
      <c r="C1620" t="s">
        <v>1475</v>
      </c>
      <c r="D1620" t="s">
        <v>134</v>
      </c>
      <c r="E1620" t="s">
        <v>332</v>
      </c>
      <c r="F1620">
        <v>2</v>
      </c>
      <c r="G1620">
        <v>5</v>
      </c>
      <c r="H1620" s="1296">
        <v>10</v>
      </c>
      <c r="I1620" t="str">
        <f t="shared" si="25"/>
        <v>-</v>
      </c>
    </row>
    <row r="1621" spans="1:9" x14ac:dyDescent="0.25">
      <c r="A1621">
        <v>14348</v>
      </c>
      <c r="B1621" t="s">
        <v>1160</v>
      </c>
      <c r="C1621" t="s">
        <v>1475</v>
      </c>
      <c r="D1621" t="s">
        <v>118</v>
      </c>
      <c r="E1621" t="s">
        <v>1599</v>
      </c>
      <c r="F1621">
        <v>1</v>
      </c>
      <c r="G1621">
        <v>5</v>
      </c>
      <c r="H1621" s="1296">
        <v>5</v>
      </c>
      <c r="I1621" t="str">
        <f t="shared" si="25"/>
        <v>-</v>
      </c>
    </row>
    <row r="1622" spans="1:9" x14ac:dyDescent="0.25">
      <c r="A1622">
        <v>14349</v>
      </c>
      <c r="B1622" t="s">
        <v>1160</v>
      </c>
      <c r="C1622" t="s">
        <v>1475</v>
      </c>
      <c r="D1622" t="s">
        <v>494</v>
      </c>
      <c r="E1622" t="s">
        <v>327</v>
      </c>
      <c r="F1622">
        <v>1</v>
      </c>
      <c r="G1622">
        <v>4</v>
      </c>
      <c r="H1622" s="1296">
        <v>4</v>
      </c>
      <c r="I1622" t="str">
        <f t="shared" si="25"/>
        <v>-</v>
      </c>
    </row>
    <row r="1623" spans="1:9" x14ac:dyDescent="0.25">
      <c r="A1623">
        <v>14350</v>
      </c>
      <c r="B1623" t="s">
        <v>1160</v>
      </c>
      <c r="C1623" t="s">
        <v>1475</v>
      </c>
      <c r="D1623" t="s">
        <v>2036</v>
      </c>
      <c r="E1623" t="s">
        <v>16</v>
      </c>
      <c r="F1623">
        <v>3</v>
      </c>
      <c r="G1623">
        <v>5</v>
      </c>
      <c r="H1623" s="1296">
        <v>15</v>
      </c>
      <c r="I1623" t="str">
        <f t="shared" si="25"/>
        <v>-</v>
      </c>
    </row>
    <row r="1624" spans="1:9" x14ac:dyDescent="0.25">
      <c r="A1624">
        <v>14351</v>
      </c>
      <c r="B1624" t="s">
        <v>1160</v>
      </c>
      <c r="C1624" t="s">
        <v>1475</v>
      </c>
      <c r="D1624" t="s">
        <v>801</v>
      </c>
      <c r="E1624" t="s">
        <v>333</v>
      </c>
      <c r="F1624">
        <v>5</v>
      </c>
      <c r="G1624">
        <v>5</v>
      </c>
      <c r="H1624" s="1296">
        <v>25</v>
      </c>
      <c r="I1624" t="str">
        <f t="shared" si="25"/>
        <v>-</v>
      </c>
    </row>
    <row r="1625" spans="1:9" x14ac:dyDescent="0.25">
      <c r="A1625">
        <v>14353</v>
      </c>
      <c r="B1625" t="s">
        <v>1160</v>
      </c>
      <c r="C1625" t="s">
        <v>1475</v>
      </c>
      <c r="D1625" t="s">
        <v>139</v>
      </c>
      <c r="E1625" t="s">
        <v>336</v>
      </c>
      <c r="F1625">
        <v>3</v>
      </c>
      <c r="G1625">
        <v>5</v>
      </c>
      <c r="H1625" s="1296">
        <v>15</v>
      </c>
      <c r="I1625" t="str">
        <f t="shared" si="25"/>
        <v>-</v>
      </c>
    </row>
    <row r="1626" spans="1:9" x14ac:dyDescent="0.25">
      <c r="A1626">
        <v>14354</v>
      </c>
      <c r="B1626" t="s">
        <v>1160</v>
      </c>
      <c r="C1626" t="s">
        <v>1475</v>
      </c>
      <c r="D1626" t="s">
        <v>143</v>
      </c>
      <c r="E1626" t="s">
        <v>339</v>
      </c>
      <c r="F1626">
        <v>1</v>
      </c>
      <c r="G1626">
        <v>5</v>
      </c>
      <c r="H1626" s="1296">
        <v>5</v>
      </c>
      <c r="I1626" t="str">
        <f t="shared" si="25"/>
        <v>-</v>
      </c>
    </row>
    <row r="1627" spans="1:9" x14ac:dyDescent="0.25">
      <c r="A1627">
        <v>14385</v>
      </c>
      <c r="B1627" t="s">
        <v>1241</v>
      </c>
      <c r="C1627" t="s">
        <v>1919</v>
      </c>
      <c r="D1627" t="s">
        <v>56</v>
      </c>
      <c r="E1627" t="s">
        <v>57</v>
      </c>
      <c r="F1627">
        <v>4</v>
      </c>
      <c r="G1627">
        <v>25</v>
      </c>
      <c r="H1627" s="1296">
        <v>100</v>
      </c>
      <c r="I1627" t="str">
        <f t="shared" si="25"/>
        <v>-</v>
      </c>
    </row>
    <row r="1628" spans="1:9" x14ac:dyDescent="0.25">
      <c r="A1628">
        <v>14386</v>
      </c>
      <c r="B1628" t="s">
        <v>1241</v>
      </c>
      <c r="C1628" t="s">
        <v>1919</v>
      </c>
      <c r="D1628" t="s">
        <v>68</v>
      </c>
      <c r="E1628" t="s">
        <v>69</v>
      </c>
      <c r="F1628">
        <v>2</v>
      </c>
      <c r="G1628">
        <v>25</v>
      </c>
      <c r="H1628" s="1296">
        <v>50</v>
      </c>
      <c r="I1628" t="str">
        <f t="shared" si="25"/>
        <v>-</v>
      </c>
    </row>
    <row r="1629" spans="1:9" x14ac:dyDescent="0.25">
      <c r="A1629">
        <v>14387</v>
      </c>
      <c r="B1629" t="s">
        <v>1241</v>
      </c>
      <c r="C1629" t="s">
        <v>1919</v>
      </c>
      <c r="D1629" t="s">
        <v>2152</v>
      </c>
      <c r="E1629" t="s">
        <v>109</v>
      </c>
      <c r="F1629">
        <v>10</v>
      </c>
      <c r="G1629">
        <v>25</v>
      </c>
      <c r="H1629" s="1296">
        <v>250</v>
      </c>
      <c r="I1629" t="str">
        <f t="shared" si="25"/>
        <v>-</v>
      </c>
    </row>
    <row r="1630" spans="1:9" x14ac:dyDescent="0.25">
      <c r="A1630">
        <v>14388</v>
      </c>
      <c r="B1630" t="s">
        <v>1241</v>
      </c>
      <c r="C1630" t="s">
        <v>1919</v>
      </c>
      <c r="D1630" t="s">
        <v>2153</v>
      </c>
      <c r="E1630" t="s">
        <v>425</v>
      </c>
      <c r="F1630">
        <v>2</v>
      </c>
      <c r="G1630">
        <v>25</v>
      </c>
      <c r="H1630" s="1296">
        <v>50</v>
      </c>
      <c r="I1630" t="str">
        <f t="shared" si="25"/>
        <v>-</v>
      </c>
    </row>
    <row r="1631" spans="1:9" x14ac:dyDescent="0.25">
      <c r="A1631">
        <v>14390</v>
      </c>
      <c r="B1631" t="s">
        <v>1241</v>
      </c>
      <c r="C1631" t="s">
        <v>1919</v>
      </c>
      <c r="D1631" t="s">
        <v>56</v>
      </c>
      <c r="E1631" t="s">
        <v>368</v>
      </c>
      <c r="F1631">
        <v>2</v>
      </c>
      <c r="G1631">
        <v>6</v>
      </c>
      <c r="H1631" s="1296">
        <v>12</v>
      </c>
      <c r="I1631" t="str">
        <f t="shared" si="25"/>
        <v>-</v>
      </c>
    </row>
    <row r="1632" spans="1:9" x14ac:dyDescent="0.25">
      <c r="A1632">
        <v>14391</v>
      </c>
      <c r="B1632" t="s">
        <v>1241</v>
      </c>
      <c r="C1632" t="s">
        <v>1919</v>
      </c>
      <c r="D1632" t="s">
        <v>127</v>
      </c>
      <c r="E1632" t="s">
        <v>398</v>
      </c>
      <c r="F1632">
        <v>2</v>
      </c>
      <c r="G1632">
        <v>6</v>
      </c>
      <c r="H1632" s="1296">
        <v>12</v>
      </c>
      <c r="I1632" t="str">
        <f t="shared" si="25"/>
        <v>-</v>
      </c>
    </row>
    <row r="1633" spans="1:9" x14ac:dyDescent="0.25">
      <c r="A1633">
        <v>14392</v>
      </c>
      <c r="B1633" t="s">
        <v>1241</v>
      </c>
      <c r="C1633" t="s">
        <v>1919</v>
      </c>
      <c r="D1633" t="s">
        <v>1737</v>
      </c>
      <c r="E1633" t="s">
        <v>371</v>
      </c>
      <c r="F1633">
        <v>2</v>
      </c>
      <c r="G1633">
        <v>6</v>
      </c>
      <c r="H1633" s="1296">
        <v>12</v>
      </c>
      <c r="I1633" t="str">
        <f t="shared" si="25"/>
        <v>-</v>
      </c>
    </row>
    <row r="1634" spans="1:9" x14ac:dyDescent="0.25">
      <c r="A1634">
        <v>14393</v>
      </c>
      <c r="B1634" t="s">
        <v>1241</v>
      </c>
      <c r="C1634" t="s">
        <v>1919</v>
      </c>
      <c r="D1634" t="s">
        <v>15</v>
      </c>
      <c r="E1634" t="s">
        <v>388</v>
      </c>
      <c r="F1634">
        <v>4</v>
      </c>
      <c r="G1634">
        <v>6</v>
      </c>
      <c r="H1634" s="1296">
        <v>24</v>
      </c>
      <c r="I1634" t="str">
        <f t="shared" si="25"/>
        <v>-</v>
      </c>
    </row>
    <row r="1635" spans="1:9" x14ac:dyDescent="0.25">
      <c r="A1635">
        <v>14395</v>
      </c>
      <c r="B1635" t="s">
        <v>1241</v>
      </c>
      <c r="C1635" t="s">
        <v>1919</v>
      </c>
      <c r="D1635" t="s">
        <v>146</v>
      </c>
      <c r="E1635" t="s">
        <v>380</v>
      </c>
      <c r="F1635">
        <v>1</v>
      </c>
      <c r="G1635">
        <v>6</v>
      </c>
      <c r="H1635" s="1296">
        <v>6</v>
      </c>
      <c r="I1635" t="str">
        <f t="shared" si="25"/>
        <v>-</v>
      </c>
    </row>
    <row r="1636" spans="1:9" x14ac:dyDescent="0.25">
      <c r="A1636">
        <v>14396</v>
      </c>
      <c r="B1636" t="s">
        <v>1241</v>
      </c>
      <c r="C1636" t="s">
        <v>1919</v>
      </c>
      <c r="D1636" t="s">
        <v>81</v>
      </c>
      <c r="E1636" t="s">
        <v>396</v>
      </c>
      <c r="F1636">
        <v>1</v>
      </c>
      <c r="G1636">
        <v>6</v>
      </c>
      <c r="H1636" s="1296">
        <v>6</v>
      </c>
      <c r="I1636" t="str">
        <f t="shared" si="25"/>
        <v>-</v>
      </c>
    </row>
    <row r="1637" spans="1:9" x14ac:dyDescent="0.25">
      <c r="A1637">
        <v>14398</v>
      </c>
      <c r="B1637" t="s">
        <v>1241</v>
      </c>
      <c r="C1637" t="s">
        <v>1919</v>
      </c>
      <c r="D1637" t="s">
        <v>1454</v>
      </c>
      <c r="E1637" t="s">
        <v>12</v>
      </c>
      <c r="F1637">
        <v>22</v>
      </c>
      <c r="G1637">
        <v>24</v>
      </c>
      <c r="H1637" s="1296">
        <v>528</v>
      </c>
      <c r="I1637" t="str">
        <f t="shared" si="25"/>
        <v>-</v>
      </c>
    </row>
    <row r="1638" spans="1:9" x14ac:dyDescent="0.25">
      <c r="A1638">
        <v>14400</v>
      </c>
      <c r="B1638" t="s">
        <v>1241</v>
      </c>
      <c r="C1638" t="s">
        <v>1919</v>
      </c>
      <c r="D1638" t="s">
        <v>260</v>
      </c>
      <c r="F1638">
        <v>1</v>
      </c>
      <c r="G1638">
        <v>100</v>
      </c>
      <c r="H1638" s="1296">
        <v>100</v>
      </c>
      <c r="I1638" t="str">
        <f t="shared" si="25"/>
        <v>-</v>
      </c>
    </row>
    <row r="1639" spans="1:9" x14ac:dyDescent="0.25">
      <c r="A1639">
        <v>14401</v>
      </c>
      <c r="B1639" t="s">
        <v>1241</v>
      </c>
      <c r="C1639" t="s">
        <v>1919</v>
      </c>
      <c r="D1639" t="s">
        <v>1039</v>
      </c>
      <c r="E1639" t="s">
        <v>419</v>
      </c>
      <c r="F1639">
        <v>2</v>
      </c>
      <c r="G1639">
        <v>100</v>
      </c>
      <c r="H1639" s="1296">
        <v>200</v>
      </c>
      <c r="I1639" t="str">
        <f t="shared" si="25"/>
        <v>-</v>
      </c>
    </row>
    <row r="1640" spans="1:9" x14ac:dyDescent="0.25">
      <c r="A1640">
        <v>14430</v>
      </c>
      <c r="B1640" t="s">
        <v>1241</v>
      </c>
      <c r="C1640" t="s">
        <v>1919</v>
      </c>
      <c r="D1640" t="s">
        <v>320</v>
      </c>
      <c r="E1640" t="s">
        <v>316</v>
      </c>
      <c r="F1640">
        <v>1</v>
      </c>
      <c r="G1640">
        <v>10</v>
      </c>
      <c r="H1640" s="1296">
        <v>10</v>
      </c>
      <c r="I1640" t="str">
        <f t="shared" si="25"/>
        <v>-</v>
      </c>
    </row>
    <row r="1641" spans="1:9" x14ac:dyDescent="0.25">
      <c r="A1641">
        <v>14431</v>
      </c>
      <c r="B1641" t="s">
        <v>1241</v>
      </c>
      <c r="C1641" t="s">
        <v>1919</v>
      </c>
      <c r="D1641" t="s">
        <v>320</v>
      </c>
      <c r="E1641" t="s">
        <v>316</v>
      </c>
      <c r="F1641">
        <v>1</v>
      </c>
      <c r="G1641">
        <v>5</v>
      </c>
      <c r="H1641" s="1296">
        <v>5</v>
      </c>
      <c r="I1641" t="str">
        <f t="shared" si="25"/>
        <v>-</v>
      </c>
    </row>
    <row r="1642" spans="1:9" x14ac:dyDescent="0.25">
      <c r="A1642">
        <v>14432</v>
      </c>
      <c r="B1642" t="s">
        <v>1241</v>
      </c>
      <c r="C1642" t="s">
        <v>1919</v>
      </c>
      <c r="D1642" t="s">
        <v>2036</v>
      </c>
      <c r="E1642" t="s">
        <v>16</v>
      </c>
      <c r="F1642">
        <v>3</v>
      </c>
      <c r="G1642">
        <v>5</v>
      </c>
      <c r="H1642" s="1296">
        <v>15</v>
      </c>
      <c r="I1642" t="str">
        <f t="shared" si="25"/>
        <v>-</v>
      </c>
    </row>
    <row r="1643" spans="1:9" x14ac:dyDescent="0.25">
      <c r="A1643">
        <v>14433</v>
      </c>
      <c r="B1643" t="s">
        <v>1241</v>
      </c>
      <c r="C1643" t="s">
        <v>1919</v>
      </c>
      <c r="D1643" t="s">
        <v>696</v>
      </c>
      <c r="E1643" t="s">
        <v>107</v>
      </c>
      <c r="F1643">
        <v>3</v>
      </c>
      <c r="G1643">
        <v>5</v>
      </c>
      <c r="H1643" s="1296">
        <v>15</v>
      </c>
      <c r="I1643" t="str">
        <f t="shared" si="25"/>
        <v>-</v>
      </c>
    </row>
    <row r="1644" spans="1:9" x14ac:dyDescent="0.25">
      <c r="A1644">
        <v>14434</v>
      </c>
      <c r="B1644" t="s">
        <v>1241</v>
      </c>
      <c r="C1644" t="s">
        <v>1919</v>
      </c>
      <c r="D1644" t="s">
        <v>2127</v>
      </c>
      <c r="E1644" t="s">
        <v>328</v>
      </c>
      <c r="F1644">
        <v>1</v>
      </c>
      <c r="G1644">
        <v>5</v>
      </c>
      <c r="H1644" s="1296">
        <v>5</v>
      </c>
      <c r="I1644" t="str">
        <f t="shared" si="25"/>
        <v>-</v>
      </c>
    </row>
    <row r="1645" spans="1:9" x14ac:dyDescent="0.25">
      <c r="A1645">
        <v>14435</v>
      </c>
      <c r="B1645" t="s">
        <v>1241</v>
      </c>
      <c r="C1645" t="s">
        <v>1919</v>
      </c>
      <c r="D1645" t="s">
        <v>1298</v>
      </c>
      <c r="E1645" t="s">
        <v>337</v>
      </c>
      <c r="F1645">
        <v>1</v>
      </c>
      <c r="G1645">
        <v>5</v>
      </c>
      <c r="H1645" s="1296">
        <v>5</v>
      </c>
      <c r="I1645" t="str">
        <f t="shared" si="25"/>
        <v>-</v>
      </c>
    </row>
    <row r="1646" spans="1:9" x14ac:dyDescent="0.25">
      <c r="A1646">
        <v>14436</v>
      </c>
      <c r="B1646" t="s">
        <v>1241</v>
      </c>
      <c r="C1646" t="s">
        <v>1919</v>
      </c>
      <c r="D1646" t="s">
        <v>139</v>
      </c>
      <c r="E1646" t="s">
        <v>336</v>
      </c>
      <c r="F1646">
        <v>2</v>
      </c>
      <c r="G1646">
        <v>5</v>
      </c>
      <c r="H1646" s="1296">
        <v>10</v>
      </c>
      <c r="I1646" t="str">
        <f t="shared" si="25"/>
        <v>-</v>
      </c>
    </row>
    <row r="1647" spans="1:9" x14ac:dyDescent="0.25">
      <c r="A1647">
        <v>14437</v>
      </c>
      <c r="B1647" t="s">
        <v>1241</v>
      </c>
      <c r="C1647" t="s">
        <v>1919</v>
      </c>
      <c r="D1647" t="s">
        <v>530</v>
      </c>
      <c r="E1647" t="s">
        <v>338</v>
      </c>
      <c r="F1647">
        <v>2</v>
      </c>
      <c r="G1647">
        <v>5</v>
      </c>
      <c r="H1647" s="1296">
        <v>10</v>
      </c>
      <c r="I1647" t="str">
        <f t="shared" si="25"/>
        <v>-</v>
      </c>
    </row>
    <row r="1648" spans="1:9" x14ac:dyDescent="0.25">
      <c r="A1648">
        <v>14438</v>
      </c>
      <c r="B1648" t="s">
        <v>1241</v>
      </c>
      <c r="C1648" t="s">
        <v>1919</v>
      </c>
      <c r="D1648" t="s">
        <v>143</v>
      </c>
      <c r="E1648" t="s">
        <v>339</v>
      </c>
      <c r="F1648">
        <v>2</v>
      </c>
      <c r="G1648">
        <v>5</v>
      </c>
      <c r="H1648" s="1296">
        <v>10</v>
      </c>
      <c r="I1648" t="str">
        <f t="shared" si="25"/>
        <v>-</v>
      </c>
    </row>
    <row r="1649" spans="1:9" x14ac:dyDescent="0.25">
      <c r="A1649">
        <v>14439</v>
      </c>
      <c r="B1649" t="s">
        <v>1241</v>
      </c>
      <c r="C1649" t="s">
        <v>1919</v>
      </c>
      <c r="D1649" t="s">
        <v>122</v>
      </c>
      <c r="E1649" t="s">
        <v>321</v>
      </c>
      <c r="F1649">
        <v>3</v>
      </c>
      <c r="G1649">
        <v>5</v>
      </c>
      <c r="H1649" s="1296">
        <v>15</v>
      </c>
      <c r="I1649" t="str">
        <f t="shared" si="25"/>
        <v>-</v>
      </c>
    </row>
    <row r="1650" spans="1:9" x14ac:dyDescent="0.25">
      <c r="A1650">
        <v>14477</v>
      </c>
      <c r="B1650" t="s">
        <v>1241</v>
      </c>
      <c r="C1650" t="s">
        <v>2190</v>
      </c>
      <c r="D1650">
        <v>404</v>
      </c>
      <c r="F1650">
        <v>110</v>
      </c>
      <c r="G1650">
        <v>1</v>
      </c>
      <c r="H1650" s="1296">
        <v>110</v>
      </c>
      <c r="I1650" t="str">
        <f t="shared" si="25"/>
        <v>-</v>
      </c>
    </row>
    <row r="1651" spans="1:9" x14ac:dyDescent="0.25">
      <c r="A1651">
        <v>14478</v>
      </c>
      <c r="B1651" t="s">
        <v>1241</v>
      </c>
      <c r="C1651" t="s">
        <v>2190</v>
      </c>
      <c r="D1651">
        <v>404</v>
      </c>
      <c r="F1651">
        <v>10</v>
      </c>
      <c r="G1651">
        <v>1</v>
      </c>
      <c r="H1651" s="1296">
        <v>10</v>
      </c>
      <c r="I1651" t="str">
        <f t="shared" si="25"/>
        <v>-</v>
      </c>
    </row>
    <row r="1652" spans="1:9" x14ac:dyDescent="0.25">
      <c r="A1652">
        <v>14519</v>
      </c>
      <c r="B1652" t="s">
        <v>1245</v>
      </c>
      <c r="C1652" t="s">
        <v>2192</v>
      </c>
      <c r="D1652" t="s">
        <v>1454</v>
      </c>
      <c r="E1652" t="s">
        <v>12</v>
      </c>
      <c r="F1652">
        <v>110</v>
      </c>
      <c r="G1652">
        <v>24</v>
      </c>
      <c r="H1652" s="1296">
        <v>2640</v>
      </c>
      <c r="I1652" t="str">
        <f t="shared" si="25"/>
        <v>-</v>
      </c>
    </row>
    <row r="1653" spans="1:9" x14ac:dyDescent="0.25">
      <c r="A1653">
        <v>14522</v>
      </c>
      <c r="B1653" t="s">
        <v>1245</v>
      </c>
      <c r="C1653" t="s">
        <v>2192</v>
      </c>
      <c r="D1653" t="s">
        <v>125</v>
      </c>
      <c r="F1653">
        <v>39</v>
      </c>
      <c r="G1653">
        <v>5</v>
      </c>
      <c r="H1653" s="1296">
        <v>195</v>
      </c>
      <c r="I1653" t="str">
        <f t="shared" si="25"/>
        <v>-</v>
      </c>
    </row>
    <row r="1654" spans="1:9" x14ac:dyDescent="0.25">
      <c r="A1654">
        <v>14563</v>
      </c>
      <c r="B1654" t="s">
        <v>1245</v>
      </c>
      <c r="C1654" t="s">
        <v>2193</v>
      </c>
      <c r="D1654" t="s">
        <v>125</v>
      </c>
      <c r="F1654">
        <v>10</v>
      </c>
      <c r="G1654">
        <v>5</v>
      </c>
      <c r="H1654" s="1296">
        <v>50</v>
      </c>
      <c r="I1654" t="str">
        <f t="shared" si="25"/>
        <v>-</v>
      </c>
    </row>
    <row r="1655" spans="1:9" x14ac:dyDescent="0.25">
      <c r="A1655">
        <v>14608</v>
      </c>
      <c r="B1655" t="s">
        <v>1250</v>
      </c>
      <c r="C1655" t="s">
        <v>2194</v>
      </c>
      <c r="D1655" t="s">
        <v>108</v>
      </c>
      <c r="E1655" t="s">
        <v>109</v>
      </c>
      <c r="F1655">
        <v>60</v>
      </c>
      <c r="G1655">
        <v>25</v>
      </c>
      <c r="H1655" s="1296">
        <v>1500</v>
      </c>
      <c r="I1655" t="str">
        <f t="shared" si="25"/>
        <v>-</v>
      </c>
    </row>
    <row r="1656" spans="1:9" x14ac:dyDescent="0.25">
      <c r="A1656">
        <v>14609</v>
      </c>
      <c r="B1656" t="s">
        <v>1250</v>
      </c>
      <c r="C1656" t="s">
        <v>2194</v>
      </c>
      <c r="D1656" t="s">
        <v>56</v>
      </c>
      <c r="E1656" t="s">
        <v>57</v>
      </c>
      <c r="F1656">
        <v>20</v>
      </c>
      <c r="G1656">
        <v>25</v>
      </c>
      <c r="H1656" s="1296">
        <v>500</v>
      </c>
      <c r="I1656" t="str">
        <f t="shared" si="25"/>
        <v>-</v>
      </c>
    </row>
    <row r="1657" spans="1:9" x14ac:dyDescent="0.25">
      <c r="A1657">
        <v>14610</v>
      </c>
      <c r="B1657" t="s">
        <v>1250</v>
      </c>
      <c r="C1657" t="s">
        <v>2194</v>
      </c>
      <c r="D1657" t="s">
        <v>68</v>
      </c>
      <c r="E1657" t="s">
        <v>69</v>
      </c>
      <c r="F1657">
        <v>8</v>
      </c>
      <c r="G1657">
        <v>25</v>
      </c>
      <c r="H1657" s="1296">
        <v>200</v>
      </c>
      <c r="I1657" t="str">
        <f t="shared" si="25"/>
        <v>-</v>
      </c>
    </row>
    <row r="1658" spans="1:9" x14ac:dyDescent="0.25">
      <c r="A1658">
        <v>14654</v>
      </c>
      <c r="B1658" t="s">
        <v>1250</v>
      </c>
      <c r="C1658" t="s">
        <v>1508</v>
      </c>
      <c r="D1658" t="s">
        <v>287</v>
      </c>
      <c r="E1658" t="s">
        <v>400</v>
      </c>
      <c r="F1658">
        <v>2</v>
      </c>
      <c r="G1658">
        <v>6</v>
      </c>
      <c r="H1658" s="1296">
        <v>12</v>
      </c>
      <c r="I1658" t="str">
        <f t="shared" si="25"/>
        <v>-</v>
      </c>
    </row>
    <row r="1659" spans="1:9" x14ac:dyDescent="0.25">
      <c r="A1659">
        <v>14655</v>
      </c>
      <c r="B1659" t="s">
        <v>1250</v>
      </c>
      <c r="C1659" t="s">
        <v>1508</v>
      </c>
      <c r="D1659" t="s">
        <v>127</v>
      </c>
      <c r="E1659" t="s">
        <v>398</v>
      </c>
      <c r="F1659">
        <v>1</v>
      </c>
      <c r="G1659">
        <v>6</v>
      </c>
      <c r="H1659" s="1296">
        <v>6</v>
      </c>
      <c r="I1659" t="str">
        <f t="shared" si="25"/>
        <v>-</v>
      </c>
    </row>
    <row r="1660" spans="1:9" x14ac:dyDescent="0.25">
      <c r="A1660">
        <v>14656</v>
      </c>
      <c r="B1660" t="s">
        <v>1250</v>
      </c>
      <c r="C1660" t="s">
        <v>1508</v>
      </c>
      <c r="D1660" t="s">
        <v>15</v>
      </c>
      <c r="E1660" t="s">
        <v>388</v>
      </c>
      <c r="F1660">
        <v>1</v>
      </c>
      <c r="G1660">
        <v>6</v>
      </c>
      <c r="H1660" s="1296">
        <v>6</v>
      </c>
      <c r="I1660" t="str">
        <f t="shared" si="25"/>
        <v>-</v>
      </c>
    </row>
    <row r="1661" spans="1:9" x14ac:dyDescent="0.25">
      <c r="A1661">
        <v>14657</v>
      </c>
      <c r="B1661" t="s">
        <v>1250</v>
      </c>
      <c r="C1661" t="s">
        <v>1508</v>
      </c>
      <c r="D1661" t="s">
        <v>146</v>
      </c>
      <c r="E1661" t="s">
        <v>380</v>
      </c>
      <c r="F1661">
        <v>1</v>
      </c>
      <c r="G1661">
        <v>6</v>
      </c>
      <c r="H1661" s="1296">
        <v>6</v>
      </c>
      <c r="I1661" t="str">
        <f t="shared" si="25"/>
        <v>-</v>
      </c>
    </row>
    <row r="1662" spans="1:9" x14ac:dyDescent="0.25">
      <c r="A1662">
        <v>14658</v>
      </c>
      <c r="B1662" t="s">
        <v>1250</v>
      </c>
      <c r="C1662" t="s">
        <v>1508</v>
      </c>
      <c r="D1662" t="s">
        <v>136</v>
      </c>
      <c r="E1662" t="s">
        <v>387</v>
      </c>
      <c r="F1662">
        <v>3</v>
      </c>
      <c r="G1662">
        <v>6</v>
      </c>
      <c r="H1662" s="1296">
        <v>18</v>
      </c>
      <c r="I1662" t="str">
        <f t="shared" si="25"/>
        <v>-</v>
      </c>
    </row>
    <row r="1663" spans="1:9" x14ac:dyDescent="0.25">
      <c r="A1663">
        <v>14659</v>
      </c>
      <c r="B1663" t="s">
        <v>1250</v>
      </c>
      <c r="C1663" t="s">
        <v>1508</v>
      </c>
      <c r="D1663" t="s">
        <v>113</v>
      </c>
      <c r="E1663" t="s">
        <v>368</v>
      </c>
      <c r="F1663">
        <v>1</v>
      </c>
      <c r="G1663">
        <v>6</v>
      </c>
      <c r="H1663" s="1296">
        <v>6</v>
      </c>
      <c r="I1663" t="str">
        <f t="shared" si="25"/>
        <v>-</v>
      </c>
    </row>
    <row r="1664" spans="1:9" x14ac:dyDescent="0.25">
      <c r="A1664">
        <v>14660</v>
      </c>
      <c r="B1664" t="s">
        <v>1250</v>
      </c>
      <c r="C1664" t="s">
        <v>1508</v>
      </c>
      <c r="D1664" t="s">
        <v>1737</v>
      </c>
      <c r="E1664" t="s">
        <v>371</v>
      </c>
      <c r="F1664">
        <v>1</v>
      </c>
      <c r="G1664">
        <v>6</v>
      </c>
      <c r="H1664" s="1296">
        <v>6</v>
      </c>
      <c r="I1664" t="str">
        <f t="shared" si="25"/>
        <v>-</v>
      </c>
    </row>
    <row r="1665" spans="1:9" x14ac:dyDescent="0.25">
      <c r="A1665">
        <v>14674</v>
      </c>
      <c r="B1665" t="s">
        <v>1250</v>
      </c>
      <c r="C1665" t="s">
        <v>1508</v>
      </c>
      <c r="D1665" t="s">
        <v>1509</v>
      </c>
      <c r="F1665">
        <v>10</v>
      </c>
      <c r="G1665">
        <v>2</v>
      </c>
      <c r="H1665" s="1296">
        <v>20</v>
      </c>
      <c r="I1665" t="str">
        <f t="shared" si="25"/>
        <v>-</v>
      </c>
    </row>
    <row r="1666" spans="1:9" x14ac:dyDescent="0.25">
      <c r="A1666">
        <v>14702</v>
      </c>
      <c r="B1666" t="s">
        <v>1250</v>
      </c>
      <c r="C1666" t="s">
        <v>1921</v>
      </c>
      <c r="D1666" t="s">
        <v>56</v>
      </c>
      <c r="E1666" t="s">
        <v>57</v>
      </c>
      <c r="F1666">
        <v>4</v>
      </c>
      <c r="G1666">
        <v>25</v>
      </c>
      <c r="H1666" s="1296">
        <v>100</v>
      </c>
      <c r="I1666" t="str">
        <f t="shared" ref="I1666:I1729" si="26">INDEX($N$2:$N$355,MATCH($A1666,$L$2:$L$355,1))</f>
        <v>-</v>
      </c>
    </row>
    <row r="1667" spans="1:9" x14ac:dyDescent="0.25">
      <c r="A1667">
        <v>14703</v>
      </c>
      <c r="B1667" t="s">
        <v>1250</v>
      </c>
      <c r="C1667" t="s">
        <v>1921</v>
      </c>
      <c r="D1667" t="s">
        <v>68</v>
      </c>
      <c r="E1667" t="s">
        <v>69</v>
      </c>
      <c r="F1667">
        <v>2</v>
      </c>
      <c r="G1667">
        <v>25</v>
      </c>
      <c r="H1667" s="1296">
        <v>50</v>
      </c>
      <c r="I1667" t="str">
        <f t="shared" si="26"/>
        <v>-</v>
      </c>
    </row>
    <row r="1668" spans="1:9" x14ac:dyDescent="0.25">
      <c r="A1668">
        <v>14704</v>
      </c>
      <c r="B1668" t="s">
        <v>1250</v>
      </c>
      <c r="C1668" t="s">
        <v>1921</v>
      </c>
      <c r="D1668" t="s">
        <v>2152</v>
      </c>
      <c r="E1668" t="s">
        <v>109</v>
      </c>
      <c r="F1668">
        <v>8</v>
      </c>
      <c r="G1668">
        <v>25</v>
      </c>
      <c r="H1668" s="1296">
        <v>200</v>
      </c>
      <c r="I1668" t="str">
        <f t="shared" si="26"/>
        <v>-</v>
      </c>
    </row>
    <row r="1669" spans="1:9" x14ac:dyDescent="0.25">
      <c r="A1669">
        <v>14706</v>
      </c>
      <c r="B1669" t="s">
        <v>1250</v>
      </c>
      <c r="C1669" t="s">
        <v>1921</v>
      </c>
      <c r="D1669" t="s">
        <v>187</v>
      </c>
      <c r="E1669" t="s">
        <v>187</v>
      </c>
      <c r="F1669">
        <v>6</v>
      </c>
      <c r="G1669">
        <v>8</v>
      </c>
      <c r="H1669" s="1296">
        <v>48</v>
      </c>
      <c r="I1669" t="str">
        <f t="shared" si="26"/>
        <v>-</v>
      </c>
    </row>
    <row r="1670" spans="1:9" x14ac:dyDescent="0.25">
      <c r="A1670">
        <v>14708</v>
      </c>
      <c r="B1670" t="s">
        <v>1250</v>
      </c>
      <c r="C1670" t="s">
        <v>1921</v>
      </c>
      <c r="D1670" t="s">
        <v>1737</v>
      </c>
      <c r="E1670" t="s">
        <v>371</v>
      </c>
      <c r="F1670">
        <v>2</v>
      </c>
      <c r="G1670">
        <v>6</v>
      </c>
      <c r="H1670" s="1296">
        <v>12</v>
      </c>
      <c r="I1670" t="str">
        <f t="shared" si="26"/>
        <v>-</v>
      </c>
    </row>
    <row r="1671" spans="1:9" x14ac:dyDescent="0.25">
      <c r="A1671">
        <v>14709</v>
      </c>
      <c r="B1671" t="s">
        <v>1250</v>
      </c>
      <c r="C1671" t="s">
        <v>1921</v>
      </c>
      <c r="D1671" t="s">
        <v>143</v>
      </c>
      <c r="E1671" t="s">
        <v>374</v>
      </c>
      <c r="F1671">
        <v>1</v>
      </c>
      <c r="G1671">
        <v>6</v>
      </c>
      <c r="H1671" s="1296">
        <v>6</v>
      </c>
      <c r="I1671" t="str">
        <f t="shared" si="26"/>
        <v>-</v>
      </c>
    </row>
    <row r="1672" spans="1:9" x14ac:dyDescent="0.25">
      <c r="A1672">
        <v>14710</v>
      </c>
      <c r="B1672" t="s">
        <v>1250</v>
      </c>
      <c r="C1672" t="s">
        <v>1921</v>
      </c>
      <c r="D1672" t="s">
        <v>146</v>
      </c>
      <c r="E1672" t="s">
        <v>380</v>
      </c>
      <c r="F1672">
        <v>2</v>
      </c>
      <c r="G1672">
        <v>6</v>
      </c>
      <c r="H1672" s="1296">
        <v>12</v>
      </c>
      <c r="I1672" t="str">
        <f t="shared" si="26"/>
        <v>-</v>
      </c>
    </row>
    <row r="1673" spans="1:9" x14ac:dyDescent="0.25">
      <c r="A1673">
        <v>14711</v>
      </c>
      <c r="B1673" t="s">
        <v>1250</v>
      </c>
      <c r="C1673" t="s">
        <v>1921</v>
      </c>
      <c r="D1673" t="s">
        <v>15</v>
      </c>
      <c r="E1673" t="s">
        <v>388</v>
      </c>
      <c r="F1673">
        <v>3</v>
      </c>
      <c r="G1673">
        <v>6</v>
      </c>
      <c r="H1673" s="1296">
        <v>18</v>
      </c>
      <c r="I1673" t="str">
        <f t="shared" si="26"/>
        <v>-</v>
      </c>
    </row>
    <row r="1674" spans="1:9" x14ac:dyDescent="0.25">
      <c r="A1674">
        <v>14712</v>
      </c>
      <c r="B1674" t="s">
        <v>1250</v>
      </c>
      <c r="C1674" t="s">
        <v>1921</v>
      </c>
      <c r="D1674" t="s">
        <v>123</v>
      </c>
      <c r="E1674" t="s">
        <v>2196</v>
      </c>
      <c r="F1674">
        <v>1</v>
      </c>
      <c r="G1674">
        <v>6</v>
      </c>
      <c r="H1674" s="1296">
        <v>6</v>
      </c>
      <c r="I1674" t="str">
        <f t="shared" si="26"/>
        <v>-</v>
      </c>
    </row>
    <row r="1675" spans="1:9" x14ac:dyDescent="0.25">
      <c r="A1675">
        <v>14713</v>
      </c>
      <c r="B1675" t="s">
        <v>1250</v>
      </c>
      <c r="C1675" t="s">
        <v>1921</v>
      </c>
      <c r="D1675" t="s">
        <v>124</v>
      </c>
      <c r="E1675" t="s">
        <v>402</v>
      </c>
      <c r="F1675">
        <v>1</v>
      </c>
      <c r="G1675">
        <v>6</v>
      </c>
      <c r="H1675" s="1296">
        <v>6</v>
      </c>
      <c r="I1675" t="str">
        <f t="shared" si="26"/>
        <v>-</v>
      </c>
    </row>
    <row r="1676" spans="1:9" x14ac:dyDescent="0.25">
      <c r="A1676">
        <v>14714</v>
      </c>
      <c r="B1676" t="s">
        <v>1250</v>
      </c>
      <c r="C1676" t="s">
        <v>1921</v>
      </c>
      <c r="D1676" t="s">
        <v>2146</v>
      </c>
      <c r="E1676" t="s">
        <v>403</v>
      </c>
      <c r="F1676">
        <v>2</v>
      </c>
      <c r="G1676">
        <v>6</v>
      </c>
      <c r="H1676" s="1296">
        <v>12</v>
      </c>
      <c r="I1676" t="str">
        <f t="shared" si="26"/>
        <v>-</v>
      </c>
    </row>
    <row r="1677" spans="1:9" x14ac:dyDescent="0.25">
      <c r="A1677">
        <v>14716</v>
      </c>
      <c r="B1677" t="s">
        <v>1250</v>
      </c>
      <c r="C1677" t="s">
        <v>1921</v>
      </c>
      <c r="D1677" t="s">
        <v>1514</v>
      </c>
      <c r="F1677">
        <v>5</v>
      </c>
      <c r="G1677">
        <v>100</v>
      </c>
      <c r="H1677" s="1296">
        <v>500</v>
      </c>
      <c r="I1677" t="str">
        <f t="shared" si="26"/>
        <v>-</v>
      </c>
    </row>
    <row r="1678" spans="1:9" x14ac:dyDescent="0.25">
      <c r="A1678">
        <v>14748</v>
      </c>
      <c r="B1678" t="s">
        <v>1250</v>
      </c>
      <c r="C1678" t="s">
        <v>1921</v>
      </c>
      <c r="D1678" t="s">
        <v>320</v>
      </c>
      <c r="E1678" t="s">
        <v>316</v>
      </c>
      <c r="F1678">
        <v>2</v>
      </c>
      <c r="G1678">
        <v>10</v>
      </c>
      <c r="H1678" s="1296">
        <v>20</v>
      </c>
      <c r="I1678" t="str">
        <f t="shared" si="26"/>
        <v>-</v>
      </c>
    </row>
    <row r="1679" spans="1:9" x14ac:dyDescent="0.25">
      <c r="A1679">
        <v>14749</v>
      </c>
      <c r="B1679" t="s">
        <v>1250</v>
      </c>
      <c r="C1679" t="s">
        <v>1921</v>
      </c>
      <c r="D1679" t="s">
        <v>2036</v>
      </c>
      <c r="E1679" t="s">
        <v>16</v>
      </c>
      <c r="F1679">
        <v>2</v>
      </c>
      <c r="G1679">
        <v>5</v>
      </c>
      <c r="H1679" s="1296">
        <v>10</v>
      </c>
      <c r="I1679" t="str">
        <f t="shared" si="26"/>
        <v>-</v>
      </c>
    </row>
    <row r="1680" spans="1:9" x14ac:dyDescent="0.25">
      <c r="A1680">
        <v>14750</v>
      </c>
      <c r="B1680" t="s">
        <v>1250</v>
      </c>
      <c r="C1680" t="s">
        <v>1921</v>
      </c>
      <c r="D1680" t="s">
        <v>139</v>
      </c>
      <c r="E1680" t="s">
        <v>336</v>
      </c>
      <c r="F1680">
        <v>2</v>
      </c>
      <c r="G1680">
        <v>5</v>
      </c>
      <c r="H1680" s="1296">
        <v>10</v>
      </c>
      <c r="I1680" t="str">
        <f t="shared" si="26"/>
        <v>-</v>
      </c>
    </row>
    <row r="1681" spans="1:9" x14ac:dyDescent="0.25">
      <c r="A1681">
        <v>14751</v>
      </c>
      <c r="B1681" t="s">
        <v>1250</v>
      </c>
      <c r="C1681" t="s">
        <v>1921</v>
      </c>
      <c r="D1681" t="s">
        <v>145</v>
      </c>
      <c r="E1681" t="s">
        <v>341</v>
      </c>
      <c r="F1681">
        <v>2</v>
      </c>
      <c r="G1681">
        <v>5</v>
      </c>
      <c r="H1681" s="1296">
        <v>10</v>
      </c>
      <c r="I1681" t="str">
        <f t="shared" si="26"/>
        <v>-</v>
      </c>
    </row>
    <row r="1682" spans="1:9" x14ac:dyDescent="0.25">
      <c r="A1682">
        <v>14752</v>
      </c>
      <c r="B1682" t="s">
        <v>1250</v>
      </c>
      <c r="C1682" t="s">
        <v>1921</v>
      </c>
      <c r="D1682" t="s">
        <v>1298</v>
      </c>
      <c r="E1682" t="s">
        <v>337</v>
      </c>
      <c r="F1682">
        <v>2</v>
      </c>
      <c r="G1682">
        <v>5</v>
      </c>
      <c r="H1682" s="1296">
        <v>10</v>
      </c>
      <c r="I1682" t="str">
        <f t="shared" si="26"/>
        <v>-</v>
      </c>
    </row>
    <row r="1683" spans="1:9" x14ac:dyDescent="0.25">
      <c r="A1683">
        <v>14753</v>
      </c>
      <c r="B1683" t="s">
        <v>1250</v>
      </c>
      <c r="C1683" t="s">
        <v>1921</v>
      </c>
      <c r="D1683" t="s">
        <v>134</v>
      </c>
      <c r="E1683" t="s">
        <v>332</v>
      </c>
      <c r="F1683">
        <v>2</v>
      </c>
      <c r="G1683">
        <v>5</v>
      </c>
      <c r="H1683" s="1296">
        <v>10</v>
      </c>
      <c r="I1683" t="str">
        <f t="shared" si="26"/>
        <v>-</v>
      </c>
    </row>
    <row r="1684" spans="1:9" x14ac:dyDescent="0.25">
      <c r="A1684">
        <v>14755</v>
      </c>
      <c r="B1684" t="s">
        <v>1250</v>
      </c>
      <c r="C1684" t="s">
        <v>1921</v>
      </c>
      <c r="D1684" t="s">
        <v>689</v>
      </c>
      <c r="E1684" t="s">
        <v>690</v>
      </c>
      <c r="F1684">
        <v>1</v>
      </c>
      <c r="G1684">
        <v>200</v>
      </c>
      <c r="H1684" s="1296">
        <v>200</v>
      </c>
      <c r="I1684" t="str">
        <f t="shared" si="26"/>
        <v>-</v>
      </c>
    </row>
    <row r="1685" spans="1:9" x14ac:dyDescent="0.25">
      <c r="A1685">
        <v>14757</v>
      </c>
      <c r="B1685" t="s">
        <v>1250</v>
      </c>
      <c r="C1685" t="s">
        <v>1921</v>
      </c>
      <c r="D1685" t="s">
        <v>2200</v>
      </c>
      <c r="E1685" t="s">
        <v>690</v>
      </c>
      <c r="F1685">
        <v>1</v>
      </c>
      <c r="G1685">
        <v>100</v>
      </c>
      <c r="H1685" s="1296">
        <v>100</v>
      </c>
      <c r="I1685" t="str">
        <f t="shared" si="26"/>
        <v>-</v>
      </c>
    </row>
    <row r="1686" spans="1:9" x14ac:dyDescent="0.25">
      <c r="A1686">
        <v>14759</v>
      </c>
      <c r="B1686" t="s">
        <v>1250</v>
      </c>
      <c r="C1686" t="s">
        <v>1921</v>
      </c>
      <c r="D1686" t="s">
        <v>1039</v>
      </c>
      <c r="E1686" t="s">
        <v>419</v>
      </c>
      <c r="F1686">
        <v>1</v>
      </c>
      <c r="G1686">
        <v>100</v>
      </c>
      <c r="H1686" s="1296">
        <v>100</v>
      </c>
      <c r="I1686" t="str">
        <f t="shared" si="26"/>
        <v>-</v>
      </c>
    </row>
    <row r="1687" spans="1:9" x14ac:dyDescent="0.25">
      <c r="A1687">
        <v>14760</v>
      </c>
      <c r="B1687" t="s">
        <v>1250</v>
      </c>
      <c r="C1687" t="s">
        <v>1921</v>
      </c>
      <c r="D1687" t="s">
        <v>2158</v>
      </c>
      <c r="F1687">
        <v>10</v>
      </c>
      <c r="G1687">
        <v>10</v>
      </c>
      <c r="H1687" s="1296">
        <v>100</v>
      </c>
      <c r="I1687" t="str">
        <f t="shared" si="26"/>
        <v>-</v>
      </c>
    </row>
    <row r="1688" spans="1:9" x14ac:dyDescent="0.25">
      <c r="A1688">
        <v>14820</v>
      </c>
      <c r="B1688" t="s">
        <v>1254</v>
      </c>
      <c r="C1688" t="s">
        <v>2092</v>
      </c>
      <c r="D1688" t="s">
        <v>56</v>
      </c>
      <c r="E1688" t="s">
        <v>57</v>
      </c>
      <c r="F1688">
        <v>4</v>
      </c>
      <c r="G1688">
        <v>25</v>
      </c>
      <c r="H1688" s="1296">
        <v>100</v>
      </c>
      <c r="I1688" t="str">
        <f t="shared" si="26"/>
        <v>-</v>
      </c>
    </row>
    <row r="1689" spans="1:9" x14ac:dyDescent="0.25">
      <c r="A1689">
        <v>14821</v>
      </c>
      <c r="B1689" t="s">
        <v>1254</v>
      </c>
      <c r="C1689" t="s">
        <v>2092</v>
      </c>
      <c r="D1689" t="s">
        <v>68</v>
      </c>
      <c r="E1689" t="s">
        <v>69</v>
      </c>
      <c r="F1689">
        <v>2</v>
      </c>
      <c r="G1689">
        <v>25</v>
      </c>
      <c r="H1689" s="1296">
        <v>50</v>
      </c>
      <c r="I1689" t="str">
        <f t="shared" si="26"/>
        <v>-</v>
      </c>
    </row>
    <row r="1690" spans="1:9" x14ac:dyDescent="0.25">
      <c r="A1690">
        <v>14822</v>
      </c>
      <c r="B1690" t="s">
        <v>1254</v>
      </c>
      <c r="C1690" t="s">
        <v>2092</v>
      </c>
      <c r="D1690" t="s">
        <v>2152</v>
      </c>
      <c r="E1690" t="s">
        <v>109</v>
      </c>
      <c r="F1690">
        <v>6</v>
      </c>
      <c r="G1690">
        <v>25</v>
      </c>
      <c r="H1690" s="1296">
        <v>150</v>
      </c>
      <c r="I1690" t="str">
        <f t="shared" si="26"/>
        <v>-</v>
      </c>
    </row>
    <row r="1691" spans="1:9" x14ac:dyDescent="0.25">
      <c r="A1691">
        <v>14823</v>
      </c>
      <c r="B1691" t="s">
        <v>1254</v>
      </c>
      <c r="C1691" t="s">
        <v>2092</v>
      </c>
      <c r="D1691" t="s">
        <v>138</v>
      </c>
      <c r="E1691" t="s">
        <v>431</v>
      </c>
      <c r="F1691">
        <v>1</v>
      </c>
      <c r="G1691">
        <v>25</v>
      </c>
      <c r="H1691" s="1296">
        <v>25</v>
      </c>
      <c r="I1691" t="str">
        <f t="shared" si="26"/>
        <v>-</v>
      </c>
    </row>
    <row r="1692" spans="1:9" x14ac:dyDescent="0.25">
      <c r="A1692">
        <v>14824</v>
      </c>
      <c r="B1692" t="s">
        <v>1254</v>
      </c>
      <c r="C1692" t="s">
        <v>2092</v>
      </c>
      <c r="D1692" t="s">
        <v>865</v>
      </c>
      <c r="E1692" t="s">
        <v>422</v>
      </c>
      <c r="F1692">
        <v>4</v>
      </c>
      <c r="G1692">
        <v>25</v>
      </c>
      <c r="H1692" s="1296">
        <v>100</v>
      </c>
      <c r="I1692" t="str">
        <f t="shared" si="26"/>
        <v>-</v>
      </c>
    </row>
    <row r="1693" spans="1:9" x14ac:dyDescent="0.25">
      <c r="A1693">
        <v>14825</v>
      </c>
      <c r="B1693" t="s">
        <v>1254</v>
      </c>
      <c r="C1693" t="s">
        <v>2092</v>
      </c>
      <c r="D1693" t="s">
        <v>63</v>
      </c>
      <c r="E1693" t="s">
        <v>429</v>
      </c>
      <c r="F1693">
        <v>1</v>
      </c>
      <c r="G1693">
        <v>20</v>
      </c>
      <c r="H1693" s="1296">
        <v>20</v>
      </c>
      <c r="I1693" t="str">
        <f t="shared" si="26"/>
        <v>-</v>
      </c>
    </row>
    <row r="1694" spans="1:9" x14ac:dyDescent="0.25">
      <c r="A1694">
        <v>14826</v>
      </c>
      <c r="B1694" t="s">
        <v>1254</v>
      </c>
      <c r="C1694" t="s">
        <v>2092</v>
      </c>
      <c r="D1694" t="s">
        <v>1594</v>
      </c>
      <c r="E1694" t="s">
        <v>438</v>
      </c>
      <c r="F1694">
        <v>2</v>
      </c>
      <c r="G1694">
        <v>25</v>
      </c>
      <c r="H1694" s="1296">
        <v>50</v>
      </c>
      <c r="I1694" t="str">
        <f t="shared" si="26"/>
        <v>-</v>
      </c>
    </row>
    <row r="1695" spans="1:9" x14ac:dyDescent="0.25">
      <c r="A1695">
        <v>14828</v>
      </c>
      <c r="B1695" t="s">
        <v>1254</v>
      </c>
      <c r="C1695" t="s">
        <v>2092</v>
      </c>
      <c r="D1695" t="s">
        <v>56</v>
      </c>
      <c r="E1695" t="s">
        <v>368</v>
      </c>
      <c r="F1695">
        <v>2</v>
      </c>
      <c r="G1695">
        <v>6</v>
      </c>
      <c r="H1695" s="1296">
        <v>12</v>
      </c>
      <c r="I1695" t="str">
        <f t="shared" si="26"/>
        <v>-</v>
      </c>
    </row>
    <row r="1696" spans="1:9" x14ac:dyDescent="0.25">
      <c r="A1696">
        <v>14829</v>
      </c>
      <c r="B1696" t="s">
        <v>1254</v>
      </c>
      <c r="C1696" t="s">
        <v>2092</v>
      </c>
      <c r="D1696" t="s">
        <v>1737</v>
      </c>
      <c r="E1696" t="s">
        <v>371</v>
      </c>
      <c r="F1696">
        <v>1</v>
      </c>
      <c r="G1696">
        <v>6</v>
      </c>
      <c r="H1696" s="1296">
        <v>6</v>
      </c>
      <c r="I1696" t="str">
        <f t="shared" si="26"/>
        <v>-</v>
      </c>
    </row>
    <row r="1697" spans="1:9" x14ac:dyDescent="0.25">
      <c r="A1697">
        <v>14830</v>
      </c>
      <c r="B1697" t="s">
        <v>1254</v>
      </c>
      <c r="C1697" t="s">
        <v>2092</v>
      </c>
      <c r="D1697" t="s">
        <v>1718</v>
      </c>
      <c r="E1697" t="s">
        <v>379</v>
      </c>
      <c r="F1697">
        <v>1</v>
      </c>
      <c r="G1697">
        <v>6</v>
      </c>
      <c r="H1697" s="1296">
        <v>6</v>
      </c>
      <c r="I1697" t="str">
        <f t="shared" si="26"/>
        <v>-</v>
      </c>
    </row>
    <row r="1698" spans="1:9" x14ac:dyDescent="0.25">
      <c r="A1698">
        <v>14831</v>
      </c>
      <c r="B1698" t="s">
        <v>1254</v>
      </c>
      <c r="C1698" t="s">
        <v>2092</v>
      </c>
      <c r="D1698" t="s">
        <v>146</v>
      </c>
      <c r="E1698" t="s">
        <v>380</v>
      </c>
      <c r="F1698">
        <v>1</v>
      </c>
      <c r="G1698">
        <v>6</v>
      </c>
      <c r="H1698" s="1296">
        <v>6</v>
      </c>
      <c r="I1698" t="str">
        <f t="shared" si="26"/>
        <v>-</v>
      </c>
    </row>
    <row r="1699" spans="1:9" x14ac:dyDescent="0.25">
      <c r="A1699">
        <v>14832</v>
      </c>
      <c r="B1699" t="s">
        <v>1254</v>
      </c>
      <c r="C1699" t="s">
        <v>2092</v>
      </c>
      <c r="D1699" t="s">
        <v>145</v>
      </c>
      <c r="E1699" t="s">
        <v>381</v>
      </c>
      <c r="F1699">
        <v>1</v>
      </c>
      <c r="G1699">
        <v>6</v>
      </c>
      <c r="H1699" s="1296">
        <v>6</v>
      </c>
      <c r="I1699" t="str">
        <f t="shared" si="26"/>
        <v>-</v>
      </c>
    </row>
    <row r="1700" spans="1:9" x14ac:dyDescent="0.25">
      <c r="A1700">
        <v>14833</v>
      </c>
      <c r="B1700" t="s">
        <v>1254</v>
      </c>
      <c r="C1700" t="s">
        <v>2092</v>
      </c>
      <c r="D1700" t="s">
        <v>801</v>
      </c>
      <c r="E1700" t="s">
        <v>383</v>
      </c>
      <c r="F1700">
        <v>1</v>
      </c>
      <c r="G1700">
        <v>6</v>
      </c>
      <c r="H1700" s="1296">
        <v>6</v>
      </c>
      <c r="I1700" t="str">
        <f t="shared" si="26"/>
        <v>-</v>
      </c>
    </row>
    <row r="1701" spans="1:9" x14ac:dyDescent="0.25">
      <c r="A1701">
        <v>14834</v>
      </c>
      <c r="B1701" t="s">
        <v>1254</v>
      </c>
      <c r="C1701" t="s">
        <v>2092</v>
      </c>
      <c r="D1701" t="s">
        <v>125</v>
      </c>
      <c r="F1701">
        <v>1</v>
      </c>
      <c r="G1701">
        <v>4</v>
      </c>
      <c r="H1701" s="1296">
        <v>4</v>
      </c>
      <c r="I1701" t="str">
        <f t="shared" si="26"/>
        <v>-</v>
      </c>
    </row>
    <row r="1702" spans="1:9" x14ac:dyDescent="0.25">
      <c r="A1702">
        <v>14835</v>
      </c>
      <c r="B1702" t="s">
        <v>1254</v>
      </c>
      <c r="C1702" t="s">
        <v>2092</v>
      </c>
      <c r="D1702" t="s">
        <v>136</v>
      </c>
      <c r="E1702" t="s">
        <v>387</v>
      </c>
      <c r="F1702">
        <v>1</v>
      </c>
      <c r="G1702">
        <v>6</v>
      </c>
      <c r="H1702" s="1296">
        <v>6</v>
      </c>
      <c r="I1702" t="str">
        <f t="shared" si="26"/>
        <v>-</v>
      </c>
    </row>
    <row r="1703" spans="1:9" x14ac:dyDescent="0.25">
      <c r="A1703">
        <v>14836</v>
      </c>
      <c r="B1703" t="s">
        <v>1254</v>
      </c>
      <c r="C1703" t="s">
        <v>2092</v>
      </c>
      <c r="D1703" t="s">
        <v>15</v>
      </c>
      <c r="E1703" t="s">
        <v>388</v>
      </c>
      <c r="F1703">
        <v>2</v>
      </c>
      <c r="G1703">
        <v>6</v>
      </c>
      <c r="H1703" s="1296">
        <v>12</v>
      </c>
      <c r="I1703" t="str">
        <f t="shared" si="26"/>
        <v>-</v>
      </c>
    </row>
    <row r="1704" spans="1:9" x14ac:dyDescent="0.25">
      <c r="A1704">
        <v>14837</v>
      </c>
      <c r="B1704" t="s">
        <v>1254</v>
      </c>
      <c r="C1704" t="s">
        <v>2092</v>
      </c>
      <c r="D1704" t="s">
        <v>127</v>
      </c>
      <c r="E1704" t="s">
        <v>398</v>
      </c>
      <c r="F1704">
        <v>1</v>
      </c>
      <c r="G1704">
        <v>6</v>
      </c>
      <c r="H1704" s="1296">
        <v>6</v>
      </c>
      <c r="I1704" t="str">
        <f t="shared" si="26"/>
        <v>-</v>
      </c>
    </row>
    <row r="1705" spans="1:9" x14ac:dyDescent="0.25">
      <c r="A1705">
        <v>14838</v>
      </c>
      <c r="B1705" t="s">
        <v>1254</v>
      </c>
      <c r="C1705" t="s">
        <v>2092</v>
      </c>
      <c r="D1705" t="s">
        <v>287</v>
      </c>
      <c r="E1705" t="s">
        <v>400</v>
      </c>
      <c r="F1705">
        <v>2</v>
      </c>
      <c r="G1705">
        <v>6</v>
      </c>
      <c r="H1705" s="1296">
        <v>12</v>
      </c>
      <c r="I1705" t="str">
        <f t="shared" si="26"/>
        <v>-</v>
      </c>
    </row>
    <row r="1706" spans="1:9" x14ac:dyDescent="0.25">
      <c r="A1706">
        <v>14839</v>
      </c>
      <c r="B1706" t="s">
        <v>1254</v>
      </c>
      <c r="C1706" t="s">
        <v>2092</v>
      </c>
      <c r="D1706" t="s">
        <v>123</v>
      </c>
      <c r="E1706" t="s">
        <v>401</v>
      </c>
      <c r="F1706">
        <v>1</v>
      </c>
      <c r="G1706">
        <v>6</v>
      </c>
      <c r="H1706" s="1296">
        <v>6</v>
      </c>
      <c r="I1706" t="str">
        <f t="shared" si="26"/>
        <v>-</v>
      </c>
    </row>
    <row r="1707" spans="1:9" x14ac:dyDescent="0.25">
      <c r="A1707">
        <v>14840</v>
      </c>
      <c r="B1707" t="s">
        <v>1254</v>
      </c>
      <c r="C1707" t="s">
        <v>2092</v>
      </c>
      <c r="D1707" t="s">
        <v>1578</v>
      </c>
      <c r="E1707" t="s">
        <v>402</v>
      </c>
      <c r="F1707">
        <v>1</v>
      </c>
      <c r="G1707">
        <v>4</v>
      </c>
      <c r="H1707" s="1296">
        <v>4</v>
      </c>
      <c r="I1707" t="str">
        <f t="shared" si="26"/>
        <v>-</v>
      </c>
    </row>
    <row r="1708" spans="1:9" x14ac:dyDescent="0.25">
      <c r="A1708">
        <v>14841</v>
      </c>
      <c r="B1708" t="s">
        <v>1254</v>
      </c>
      <c r="C1708" t="s">
        <v>2092</v>
      </c>
      <c r="D1708" t="s">
        <v>1578</v>
      </c>
      <c r="E1708" t="s">
        <v>402</v>
      </c>
      <c r="F1708">
        <v>5</v>
      </c>
      <c r="G1708">
        <v>1</v>
      </c>
      <c r="H1708" s="1296">
        <v>5</v>
      </c>
      <c r="I1708" t="str">
        <f t="shared" si="26"/>
        <v>-</v>
      </c>
    </row>
    <row r="1709" spans="1:9" x14ac:dyDescent="0.25">
      <c r="A1709">
        <v>14843</v>
      </c>
      <c r="B1709" t="s">
        <v>1254</v>
      </c>
      <c r="C1709" t="s">
        <v>2092</v>
      </c>
      <c r="D1709" t="s">
        <v>1514</v>
      </c>
      <c r="F1709">
        <v>1</v>
      </c>
      <c r="G1709">
        <v>100</v>
      </c>
      <c r="H1709" s="1296">
        <v>100</v>
      </c>
      <c r="I1709" t="str">
        <f t="shared" si="26"/>
        <v>-</v>
      </c>
    </row>
    <row r="1710" spans="1:9" x14ac:dyDescent="0.25">
      <c r="A1710">
        <v>14865</v>
      </c>
      <c r="B1710" t="s">
        <v>1254</v>
      </c>
      <c r="C1710" t="s">
        <v>2092</v>
      </c>
      <c r="D1710" t="s">
        <v>2157</v>
      </c>
      <c r="E1710" t="s">
        <v>12</v>
      </c>
      <c r="F1710">
        <v>22</v>
      </c>
      <c r="G1710">
        <v>24</v>
      </c>
      <c r="H1710" s="1296">
        <v>528</v>
      </c>
      <c r="I1710" t="str">
        <f t="shared" si="26"/>
        <v>-</v>
      </c>
    </row>
    <row r="1711" spans="1:9" x14ac:dyDescent="0.25">
      <c r="A1711">
        <v>14867</v>
      </c>
      <c r="B1711" t="s">
        <v>1254</v>
      </c>
      <c r="C1711" t="s">
        <v>2092</v>
      </c>
      <c r="D1711" t="s">
        <v>1039</v>
      </c>
      <c r="E1711" t="s">
        <v>2161</v>
      </c>
      <c r="F1711">
        <v>1</v>
      </c>
      <c r="G1711">
        <v>100</v>
      </c>
      <c r="H1711" s="1296">
        <v>100</v>
      </c>
      <c r="I1711" t="str">
        <f t="shared" si="26"/>
        <v>-</v>
      </c>
    </row>
    <row r="1712" spans="1:9" x14ac:dyDescent="0.25">
      <c r="A1712">
        <v>14872</v>
      </c>
      <c r="B1712" t="s">
        <v>1254</v>
      </c>
      <c r="C1712" t="s">
        <v>2092</v>
      </c>
      <c r="D1712" t="s">
        <v>320</v>
      </c>
      <c r="E1712" t="s">
        <v>316</v>
      </c>
      <c r="F1712">
        <v>1</v>
      </c>
      <c r="G1712">
        <v>10</v>
      </c>
      <c r="H1712" s="1296">
        <v>10</v>
      </c>
      <c r="I1712" t="str">
        <f t="shared" si="26"/>
        <v>-</v>
      </c>
    </row>
    <row r="1713" spans="1:9" x14ac:dyDescent="0.25">
      <c r="A1713">
        <v>14873</v>
      </c>
      <c r="B1713" t="s">
        <v>1254</v>
      </c>
      <c r="C1713" t="s">
        <v>2092</v>
      </c>
      <c r="D1713" t="s">
        <v>2118</v>
      </c>
      <c r="E1713" t="s">
        <v>321</v>
      </c>
      <c r="F1713">
        <v>2</v>
      </c>
      <c r="G1713">
        <v>5</v>
      </c>
      <c r="H1713" s="1296">
        <v>10</v>
      </c>
      <c r="I1713" t="str">
        <f t="shared" si="26"/>
        <v>-</v>
      </c>
    </row>
    <row r="1714" spans="1:9" x14ac:dyDescent="0.25">
      <c r="A1714">
        <v>14874</v>
      </c>
      <c r="B1714" t="s">
        <v>1254</v>
      </c>
      <c r="C1714" t="s">
        <v>2092</v>
      </c>
      <c r="D1714" t="s">
        <v>139</v>
      </c>
      <c r="E1714" t="s">
        <v>336</v>
      </c>
      <c r="F1714">
        <v>1</v>
      </c>
      <c r="G1714">
        <v>5</v>
      </c>
      <c r="H1714" s="1296">
        <v>5</v>
      </c>
      <c r="I1714" t="str">
        <f t="shared" si="26"/>
        <v>-</v>
      </c>
    </row>
    <row r="1715" spans="1:9" x14ac:dyDescent="0.25">
      <c r="A1715">
        <v>14875</v>
      </c>
      <c r="B1715" t="s">
        <v>1254</v>
      </c>
      <c r="C1715" t="s">
        <v>2092</v>
      </c>
      <c r="D1715" t="s">
        <v>145</v>
      </c>
      <c r="E1715" t="s">
        <v>341</v>
      </c>
      <c r="F1715">
        <v>1</v>
      </c>
      <c r="G1715">
        <v>5</v>
      </c>
      <c r="H1715" s="1296">
        <v>5</v>
      </c>
      <c r="I1715" t="str">
        <f t="shared" si="26"/>
        <v>-</v>
      </c>
    </row>
    <row r="1716" spans="1:9" x14ac:dyDescent="0.25">
      <c r="A1716">
        <v>14876</v>
      </c>
      <c r="B1716" t="s">
        <v>1254</v>
      </c>
      <c r="C1716" t="s">
        <v>2092</v>
      </c>
      <c r="D1716" t="s">
        <v>134</v>
      </c>
      <c r="E1716" t="s">
        <v>332</v>
      </c>
      <c r="F1716">
        <v>1</v>
      </c>
      <c r="G1716">
        <v>5</v>
      </c>
      <c r="H1716" s="1296">
        <v>5</v>
      </c>
      <c r="I1716" t="str">
        <f t="shared" si="26"/>
        <v>-</v>
      </c>
    </row>
    <row r="1717" spans="1:9" x14ac:dyDescent="0.25">
      <c r="A1717">
        <v>14913</v>
      </c>
      <c r="B1717" t="s">
        <v>1254</v>
      </c>
      <c r="C1717" t="s">
        <v>1385</v>
      </c>
      <c r="D1717">
        <v>510</v>
      </c>
      <c r="E1717" t="s">
        <v>1388</v>
      </c>
      <c r="F1717">
        <v>2</v>
      </c>
      <c r="G1717">
        <v>4</v>
      </c>
      <c r="H1717" s="1296">
        <v>8</v>
      </c>
      <c r="I1717" t="str">
        <f t="shared" si="26"/>
        <v>-</v>
      </c>
    </row>
    <row r="1718" spans="1:9" x14ac:dyDescent="0.25">
      <c r="A1718">
        <v>14956</v>
      </c>
      <c r="B1718" t="s">
        <v>1254</v>
      </c>
      <c r="C1718" t="s">
        <v>1390</v>
      </c>
      <c r="D1718">
        <v>510</v>
      </c>
      <c r="E1718" t="s">
        <v>1388</v>
      </c>
      <c r="F1718">
        <v>10</v>
      </c>
      <c r="G1718">
        <v>4</v>
      </c>
      <c r="H1718" s="1296">
        <v>40</v>
      </c>
      <c r="I1718" t="str">
        <f t="shared" si="26"/>
        <v>-</v>
      </c>
    </row>
    <row r="1719" spans="1:9" x14ac:dyDescent="0.25">
      <c r="A1719">
        <v>14997</v>
      </c>
      <c r="B1719" t="s">
        <v>1261</v>
      </c>
      <c r="C1719" t="s">
        <v>1870</v>
      </c>
      <c r="D1719" t="s">
        <v>146</v>
      </c>
      <c r="E1719" t="s">
        <v>380</v>
      </c>
      <c r="F1719">
        <v>1</v>
      </c>
      <c r="G1719">
        <v>6</v>
      </c>
      <c r="H1719" s="1296">
        <v>6</v>
      </c>
      <c r="I1719" t="str">
        <f t="shared" si="26"/>
        <v>-</v>
      </c>
    </row>
    <row r="1720" spans="1:9" x14ac:dyDescent="0.25">
      <c r="A1720">
        <v>14998</v>
      </c>
      <c r="B1720" t="s">
        <v>1261</v>
      </c>
      <c r="C1720" t="s">
        <v>1870</v>
      </c>
      <c r="D1720" t="s">
        <v>127</v>
      </c>
      <c r="E1720" t="s">
        <v>398</v>
      </c>
      <c r="F1720">
        <v>2</v>
      </c>
      <c r="G1720">
        <v>6</v>
      </c>
      <c r="H1720" s="1296">
        <v>12</v>
      </c>
      <c r="I1720" t="str">
        <f t="shared" si="26"/>
        <v>-</v>
      </c>
    </row>
    <row r="1721" spans="1:9" x14ac:dyDescent="0.25">
      <c r="A1721">
        <v>14999</v>
      </c>
      <c r="B1721" t="s">
        <v>1261</v>
      </c>
      <c r="C1721" t="s">
        <v>1870</v>
      </c>
      <c r="D1721" t="s">
        <v>287</v>
      </c>
      <c r="E1721" t="s">
        <v>400</v>
      </c>
      <c r="F1721">
        <v>12</v>
      </c>
      <c r="G1721">
        <v>6</v>
      </c>
      <c r="H1721" s="1296">
        <v>72</v>
      </c>
      <c r="I1721" t="str">
        <f t="shared" si="26"/>
        <v>-</v>
      </c>
    </row>
    <row r="1722" spans="1:9" x14ac:dyDescent="0.25">
      <c r="A1722">
        <v>15000</v>
      </c>
      <c r="B1722" t="s">
        <v>1261</v>
      </c>
      <c r="C1722" t="s">
        <v>1870</v>
      </c>
      <c r="D1722" t="s">
        <v>125</v>
      </c>
      <c r="F1722">
        <v>2</v>
      </c>
      <c r="G1722">
        <v>4</v>
      </c>
      <c r="H1722" s="1296">
        <v>8</v>
      </c>
      <c r="I1722" t="str">
        <f t="shared" si="26"/>
        <v>-</v>
      </c>
    </row>
    <row r="1723" spans="1:9" x14ac:dyDescent="0.25">
      <c r="A1723">
        <v>15002</v>
      </c>
      <c r="B1723" t="s">
        <v>1261</v>
      </c>
      <c r="C1723" t="s">
        <v>1870</v>
      </c>
      <c r="D1723" t="s">
        <v>300</v>
      </c>
      <c r="E1723" t="s">
        <v>457</v>
      </c>
      <c r="F1723">
        <v>2</v>
      </c>
      <c r="G1723">
        <v>450</v>
      </c>
      <c r="H1723" s="1296">
        <v>900</v>
      </c>
      <c r="I1723" t="str">
        <f t="shared" si="26"/>
        <v>-</v>
      </c>
    </row>
    <row r="1724" spans="1:9" x14ac:dyDescent="0.25">
      <c r="A1724">
        <v>15005</v>
      </c>
      <c r="B1724" t="s">
        <v>1261</v>
      </c>
      <c r="C1724" t="s">
        <v>1870</v>
      </c>
      <c r="D1724" t="s">
        <v>262</v>
      </c>
      <c r="F1724">
        <v>2</v>
      </c>
      <c r="G1724">
        <v>25</v>
      </c>
      <c r="H1724" s="1296">
        <v>50</v>
      </c>
      <c r="I1724" t="str">
        <f t="shared" si="26"/>
        <v>-</v>
      </c>
    </row>
    <row r="1725" spans="1:9" x14ac:dyDescent="0.25">
      <c r="A1725">
        <v>15048</v>
      </c>
      <c r="B1725" t="s">
        <v>1261</v>
      </c>
      <c r="C1725" t="s">
        <v>2042</v>
      </c>
      <c r="D1725" t="s">
        <v>105</v>
      </c>
      <c r="E1725" t="s">
        <v>96</v>
      </c>
      <c r="F1725">
        <v>4</v>
      </c>
      <c r="G1725">
        <v>5</v>
      </c>
      <c r="H1725" s="1296">
        <v>20</v>
      </c>
      <c r="I1725" t="str">
        <f t="shared" si="26"/>
        <v>-</v>
      </c>
    </row>
    <row r="1726" spans="1:9" x14ac:dyDescent="0.25">
      <c r="A1726">
        <v>15094</v>
      </c>
      <c r="B1726" t="s">
        <v>1261</v>
      </c>
      <c r="C1726" t="s">
        <v>2179</v>
      </c>
      <c r="D1726" t="s">
        <v>139</v>
      </c>
      <c r="E1726" t="s">
        <v>336</v>
      </c>
      <c r="F1726">
        <v>2</v>
      </c>
      <c r="G1726">
        <v>5</v>
      </c>
      <c r="H1726" s="1296">
        <v>10</v>
      </c>
      <c r="I1726" t="str">
        <f t="shared" si="26"/>
        <v>-</v>
      </c>
    </row>
    <row r="1727" spans="1:9" x14ac:dyDescent="0.25">
      <c r="A1727">
        <v>15096</v>
      </c>
      <c r="B1727" t="s">
        <v>1261</v>
      </c>
      <c r="C1727" t="s">
        <v>2179</v>
      </c>
      <c r="D1727" t="s">
        <v>187</v>
      </c>
      <c r="F1727">
        <v>5</v>
      </c>
      <c r="G1727">
        <v>8</v>
      </c>
      <c r="H1727" s="1296">
        <v>40</v>
      </c>
      <c r="I1727" t="str">
        <f t="shared" si="26"/>
        <v>-</v>
      </c>
    </row>
    <row r="1728" spans="1:9" x14ac:dyDescent="0.25">
      <c r="A1728">
        <v>15097</v>
      </c>
      <c r="B1728" t="s">
        <v>1261</v>
      </c>
      <c r="C1728" t="s">
        <v>2179</v>
      </c>
      <c r="D1728" t="s">
        <v>53</v>
      </c>
      <c r="E1728" t="s">
        <v>371</v>
      </c>
      <c r="F1728">
        <v>4</v>
      </c>
      <c r="G1728">
        <v>6</v>
      </c>
      <c r="H1728" s="1296">
        <v>24</v>
      </c>
      <c r="I1728" t="str">
        <f t="shared" si="26"/>
        <v>-</v>
      </c>
    </row>
    <row r="1729" spans="1:9" x14ac:dyDescent="0.25">
      <c r="A1729">
        <v>15098</v>
      </c>
      <c r="B1729" t="s">
        <v>1261</v>
      </c>
      <c r="C1729" t="s">
        <v>2179</v>
      </c>
      <c r="D1729" t="s">
        <v>2204</v>
      </c>
      <c r="E1729" t="s">
        <v>380</v>
      </c>
      <c r="F1729">
        <v>2</v>
      </c>
      <c r="G1729">
        <v>6</v>
      </c>
      <c r="H1729" s="1296">
        <v>12</v>
      </c>
      <c r="I1729" t="str">
        <f t="shared" si="26"/>
        <v>-</v>
      </c>
    </row>
    <row r="1730" spans="1:9" x14ac:dyDescent="0.25">
      <c r="A1730">
        <v>15100</v>
      </c>
      <c r="B1730" t="s">
        <v>1261</v>
      </c>
      <c r="C1730" t="s">
        <v>2179</v>
      </c>
      <c r="D1730" t="s">
        <v>317</v>
      </c>
      <c r="E1730" t="s">
        <v>473</v>
      </c>
      <c r="F1730">
        <v>1</v>
      </c>
      <c r="G1730">
        <v>50</v>
      </c>
      <c r="H1730" s="1296">
        <v>50</v>
      </c>
      <c r="I1730" t="str">
        <f t="shared" ref="I1730:I1793" si="27">INDEX($N$2:$N$355,MATCH($A1730,$L$2:$L$355,1))</f>
        <v>-</v>
      </c>
    </row>
    <row r="1731" spans="1:9" x14ac:dyDescent="0.25">
      <c r="A1731">
        <v>15102</v>
      </c>
      <c r="B1731" t="s">
        <v>1261</v>
      </c>
      <c r="C1731" t="s">
        <v>2179</v>
      </c>
      <c r="D1731" t="s">
        <v>1512</v>
      </c>
      <c r="F1731">
        <v>1</v>
      </c>
      <c r="G1731">
        <v>100</v>
      </c>
      <c r="H1731" s="1296">
        <v>100</v>
      </c>
      <c r="I1731" t="str">
        <f t="shared" si="27"/>
        <v>-</v>
      </c>
    </row>
    <row r="1732" spans="1:9" x14ac:dyDescent="0.25">
      <c r="A1732">
        <v>15104</v>
      </c>
      <c r="B1732" t="s">
        <v>1261</v>
      </c>
      <c r="C1732" t="s">
        <v>2179</v>
      </c>
      <c r="D1732" t="s">
        <v>2158</v>
      </c>
      <c r="F1732">
        <v>10</v>
      </c>
      <c r="G1732">
        <v>10</v>
      </c>
      <c r="H1732" s="1296">
        <v>100</v>
      </c>
      <c r="I1732" t="str">
        <f t="shared" si="27"/>
        <v>-</v>
      </c>
    </row>
    <row r="1733" spans="1:9" x14ac:dyDescent="0.25">
      <c r="A1733">
        <v>15105</v>
      </c>
      <c r="B1733" t="s">
        <v>1261</v>
      </c>
      <c r="C1733" t="s">
        <v>2179</v>
      </c>
      <c r="D1733" t="s">
        <v>2158</v>
      </c>
      <c r="F1733">
        <v>1</v>
      </c>
      <c r="G1733">
        <v>10</v>
      </c>
      <c r="H1733" s="1296">
        <v>10</v>
      </c>
      <c r="I1733" t="str">
        <f t="shared" si="27"/>
        <v>-</v>
      </c>
    </row>
    <row r="1734" spans="1:9" x14ac:dyDescent="0.25">
      <c r="A1734">
        <v>15106</v>
      </c>
      <c r="B1734" t="s">
        <v>1261</v>
      </c>
      <c r="C1734" t="s">
        <v>2179</v>
      </c>
      <c r="D1734" t="s">
        <v>2205</v>
      </c>
      <c r="E1734" t="s">
        <v>1815</v>
      </c>
      <c r="F1734">
        <v>1</v>
      </c>
      <c r="G1734">
        <v>250</v>
      </c>
      <c r="H1734" s="1296">
        <v>250</v>
      </c>
      <c r="I1734" t="str">
        <f t="shared" si="27"/>
        <v>-</v>
      </c>
    </row>
    <row r="1735" spans="1:9" x14ac:dyDescent="0.25">
      <c r="A1735">
        <v>15145</v>
      </c>
      <c r="B1735" t="s">
        <v>1261</v>
      </c>
      <c r="C1735" t="s">
        <v>1559</v>
      </c>
      <c r="D1735" t="s">
        <v>300</v>
      </c>
      <c r="E1735" t="s">
        <v>457</v>
      </c>
      <c r="F1735">
        <v>2</v>
      </c>
      <c r="G1735">
        <v>450</v>
      </c>
      <c r="H1735" s="1296">
        <v>900</v>
      </c>
      <c r="I1735" t="str">
        <f t="shared" si="27"/>
        <v>-</v>
      </c>
    </row>
    <row r="1736" spans="1:9" x14ac:dyDescent="0.25">
      <c r="A1736">
        <v>15191</v>
      </c>
      <c r="B1736" t="s">
        <v>1261</v>
      </c>
      <c r="C1736" t="s">
        <v>1560</v>
      </c>
      <c r="D1736" t="s">
        <v>2210</v>
      </c>
      <c r="E1736" t="s">
        <v>459</v>
      </c>
      <c r="F1736">
        <v>1</v>
      </c>
      <c r="G1736">
        <v>5</v>
      </c>
      <c r="H1736" s="1296">
        <v>5</v>
      </c>
      <c r="I1736" t="str">
        <f t="shared" si="27"/>
        <v>-</v>
      </c>
    </row>
    <row r="1737" spans="1:9" x14ac:dyDescent="0.25">
      <c r="A1737">
        <v>15195</v>
      </c>
      <c r="B1737" t="s">
        <v>1261</v>
      </c>
      <c r="C1737" t="s">
        <v>1560</v>
      </c>
      <c r="D1737" t="s">
        <v>292</v>
      </c>
      <c r="E1737" t="s">
        <v>449</v>
      </c>
      <c r="F1737">
        <v>1</v>
      </c>
      <c r="G1737">
        <v>2</v>
      </c>
      <c r="H1737" s="1296">
        <v>2</v>
      </c>
      <c r="I1737" t="str">
        <f t="shared" si="27"/>
        <v>-</v>
      </c>
    </row>
    <row r="1738" spans="1:9" x14ac:dyDescent="0.25">
      <c r="A1738">
        <v>15197</v>
      </c>
      <c r="B1738" t="s">
        <v>1261</v>
      </c>
      <c r="C1738" t="s">
        <v>1560</v>
      </c>
      <c r="D1738" t="s">
        <v>250</v>
      </c>
      <c r="E1738" t="s">
        <v>410</v>
      </c>
      <c r="F1738">
        <v>4</v>
      </c>
      <c r="G1738">
        <v>25</v>
      </c>
      <c r="H1738" s="1296">
        <v>100</v>
      </c>
      <c r="I1738" t="str">
        <f t="shared" si="27"/>
        <v>-</v>
      </c>
    </row>
    <row r="1739" spans="1:9" x14ac:dyDescent="0.25">
      <c r="A1739">
        <v>15199</v>
      </c>
      <c r="B1739" t="s">
        <v>1261</v>
      </c>
      <c r="C1739" t="s">
        <v>1560</v>
      </c>
      <c r="D1739" t="s">
        <v>287</v>
      </c>
      <c r="E1739" t="s">
        <v>1561</v>
      </c>
      <c r="F1739">
        <v>4</v>
      </c>
      <c r="G1739">
        <v>25</v>
      </c>
      <c r="H1739" s="1296">
        <v>100</v>
      </c>
      <c r="I1739" t="str">
        <f t="shared" si="27"/>
        <v>-</v>
      </c>
    </row>
    <row r="1740" spans="1:9" x14ac:dyDescent="0.25">
      <c r="A1740">
        <v>15242</v>
      </c>
      <c r="B1740" t="s">
        <v>1261</v>
      </c>
      <c r="C1740" t="s">
        <v>1391</v>
      </c>
      <c r="D1740">
        <v>510</v>
      </c>
      <c r="F1740">
        <v>2</v>
      </c>
      <c r="G1740">
        <v>4</v>
      </c>
      <c r="H1740" s="1296">
        <v>8</v>
      </c>
      <c r="I1740" t="str">
        <f t="shared" si="27"/>
        <v>-</v>
      </c>
    </row>
    <row r="1741" spans="1:9" x14ac:dyDescent="0.25">
      <c r="A1741">
        <v>15244</v>
      </c>
      <c r="B1741" t="s">
        <v>1261</v>
      </c>
      <c r="C1741" t="s">
        <v>1391</v>
      </c>
      <c r="D1741" t="s">
        <v>1554</v>
      </c>
      <c r="E1741" t="s">
        <v>109</v>
      </c>
      <c r="F1741">
        <v>8</v>
      </c>
      <c r="G1741">
        <v>25</v>
      </c>
      <c r="H1741" s="1296">
        <v>200</v>
      </c>
      <c r="I1741" t="str">
        <f t="shared" si="27"/>
        <v>-</v>
      </c>
    </row>
    <row r="1742" spans="1:9" x14ac:dyDescent="0.25">
      <c r="A1742">
        <v>15245</v>
      </c>
      <c r="B1742" t="s">
        <v>1261</v>
      </c>
      <c r="C1742" t="s">
        <v>1391</v>
      </c>
      <c r="D1742" t="s">
        <v>56</v>
      </c>
      <c r="E1742" t="s">
        <v>57</v>
      </c>
      <c r="F1742">
        <v>8</v>
      </c>
      <c r="G1742">
        <v>25</v>
      </c>
      <c r="H1742" s="1296">
        <v>200</v>
      </c>
      <c r="I1742" t="str">
        <f t="shared" si="27"/>
        <v>-</v>
      </c>
    </row>
    <row r="1743" spans="1:9" x14ac:dyDescent="0.25">
      <c r="A1743">
        <v>15286</v>
      </c>
      <c r="B1743" t="s">
        <v>1261</v>
      </c>
      <c r="C1743" t="s">
        <v>1392</v>
      </c>
      <c r="D1743">
        <v>510</v>
      </c>
      <c r="F1743">
        <v>3</v>
      </c>
      <c r="G1743">
        <v>4</v>
      </c>
      <c r="H1743" s="1296">
        <v>12</v>
      </c>
      <c r="I1743" t="str">
        <f t="shared" si="27"/>
        <v>-</v>
      </c>
    </row>
    <row r="1744" spans="1:9" x14ac:dyDescent="0.25">
      <c r="A1744">
        <v>15326</v>
      </c>
      <c r="B1744" t="s">
        <v>1271</v>
      </c>
      <c r="C1744" t="s">
        <v>1553</v>
      </c>
      <c r="D1744" t="s">
        <v>320</v>
      </c>
      <c r="E1744" t="s">
        <v>316</v>
      </c>
      <c r="F1744">
        <v>2</v>
      </c>
      <c r="G1744">
        <v>10</v>
      </c>
      <c r="H1744" s="1296">
        <v>20</v>
      </c>
      <c r="I1744" t="str">
        <f t="shared" si="27"/>
        <v>-</v>
      </c>
    </row>
    <row r="1745" spans="1:9" x14ac:dyDescent="0.25">
      <c r="A1745">
        <v>15328</v>
      </c>
      <c r="B1745" t="s">
        <v>1271</v>
      </c>
      <c r="C1745" t="s">
        <v>1553</v>
      </c>
      <c r="D1745" t="s">
        <v>2211</v>
      </c>
      <c r="E1745" t="s">
        <v>109</v>
      </c>
      <c r="F1745">
        <v>30</v>
      </c>
      <c r="G1745">
        <v>25</v>
      </c>
      <c r="H1745" s="1296">
        <v>750</v>
      </c>
      <c r="I1745" t="str">
        <f t="shared" si="27"/>
        <v>-</v>
      </c>
    </row>
    <row r="1746" spans="1:9" x14ac:dyDescent="0.25">
      <c r="A1746">
        <v>15329</v>
      </c>
      <c r="B1746" t="s">
        <v>1271</v>
      </c>
      <c r="C1746" t="s">
        <v>1553</v>
      </c>
      <c r="D1746" t="s">
        <v>2212</v>
      </c>
      <c r="E1746" t="s">
        <v>61</v>
      </c>
      <c r="F1746">
        <v>2</v>
      </c>
      <c r="G1746">
        <v>25</v>
      </c>
      <c r="H1746" s="1296">
        <v>50</v>
      </c>
      <c r="I1746" t="str">
        <f t="shared" si="27"/>
        <v>-</v>
      </c>
    </row>
    <row r="1747" spans="1:9" x14ac:dyDescent="0.25">
      <c r="A1747">
        <v>15330</v>
      </c>
      <c r="B1747" t="s">
        <v>1271</v>
      </c>
      <c r="C1747" t="s">
        <v>1553</v>
      </c>
      <c r="D1747" t="s">
        <v>2213</v>
      </c>
      <c r="E1747" t="s">
        <v>57</v>
      </c>
      <c r="F1747">
        <v>22</v>
      </c>
      <c r="G1747">
        <v>25</v>
      </c>
      <c r="H1747" s="1296">
        <v>550</v>
      </c>
      <c r="I1747" t="str">
        <f t="shared" si="27"/>
        <v>-</v>
      </c>
    </row>
    <row r="1748" spans="1:9" x14ac:dyDescent="0.25">
      <c r="A1748">
        <v>15331</v>
      </c>
      <c r="B1748" t="s">
        <v>1271</v>
      </c>
      <c r="C1748" t="s">
        <v>1553</v>
      </c>
      <c r="D1748" t="s">
        <v>68</v>
      </c>
      <c r="E1748" t="s">
        <v>69</v>
      </c>
      <c r="F1748">
        <v>12</v>
      </c>
      <c r="G1748">
        <v>25</v>
      </c>
      <c r="H1748" s="1296">
        <v>300</v>
      </c>
      <c r="I1748" t="str">
        <f t="shared" si="27"/>
        <v>-</v>
      </c>
    </row>
    <row r="1749" spans="1:9" x14ac:dyDescent="0.25">
      <c r="A1749">
        <v>15332</v>
      </c>
      <c r="B1749" t="s">
        <v>1271</v>
      </c>
      <c r="C1749" t="s">
        <v>1553</v>
      </c>
      <c r="D1749" t="s">
        <v>2211</v>
      </c>
      <c r="E1749" t="s">
        <v>425</v>
      </c>
      <c r="F1749">
        <v>2</v>
      </c>
      <c r="G1749">
        <v>25</v>
      </c>
      <c r="H1749" s="1296">
        <v>50</v>
      </c>
      <c r="I1749" t="str">
        <f t="shared" si="27"/>
        <v>-</v>
      </c>
    </row>
    <row r="1750" spans="1:9" x14ac:dyDescent="0.25">
      <c r="A1750">
        <v>15333</v>
      </c>
      <c r="B1750" t="s">
        <v>1271</v>
      </c>
      <c r="C1750" t="s">
        <v>1553</v>
      </c>
      <c r="D1750" t="s">
        <v>2214</v>
      </c>
      <c r="E1750" t="s">
        <v>426</v>
      </c>
      <c r="F1750">
        <v>1</v>
      </c>
      <c r="G1750">
        <v>25</v>
      </c>
      <c r="H1750" s="1296">
        <v>25</v>
      </c>
      <c r="I1750" t="str">
        <f t="shared" si="27"/>
        <v>-</v>
      </c>
    </row>
    <row r="1751" spans="1:9" x14ac:dyDescent="0.25">
      <c r="A1751">
        <v>15334</v>
      </c>
      <c r="B1751" t="s">
        <v>1271</v>
      </c>
      <c r="C1751" t="s">
        <v>1553</v>
      </c>
      <c r="D1751" t="s">
        <v>1554</v>
      </c>
      <c r="F1751">
        <v>1</v>
      </c>
      <c r="G1751">
        <v>1</v>
      </c>
      <c r="H1751" s="1296">
        <v>1</v>
      </c>
      <c r="I1751" t="str">
        <f t="shared" si="27"/>
        <v>-</v>
      </c>
    </row>
    <row r="1752" spans="1:9" x14ac:dyDescent="0.25">
      <c r="A1752">
        <v>15373</v>
      </c>
      <c r="B1752" t="s">
        <v>1271</v>
      </c>
      <c r="C1752" t="s">
        <v>2215</v>
      </c>
      <c r="D1752" t="s">
        <v>56</v>
      </c>
      <c r="E1752" t="s">
        <v>1839</v>
      </c>
      <c r="F1752">
        <v>4</v>
      </c>
      <c r="G1752">
        <v>6</v>
      </c>
      <c r="H1752" s="1296">
        <v>24</v>
      </c>
      <c r="I1752" t="str">
        <f t="shared" si="27"/>
        <v>-</v>
      </c>
    </row>
    <row r="1753" spans="1:9" x14ac:dyDescent="0.25">
      <c r="A1753">
        <v>15374</v>
      </c>
      <c r="B1753" t="s">
        <v>1271</v>
      </c>
      <c r="C1753" t="s">
        <v>2215</v>
      </c>
      <c r="D1753" t="s">
        <v>1477</v>
      </c>
      <c r="E1753" t="s">
        <v>369</v>
      </c>
      <c r="F1753">
        <v>2</v>
      </c>
      <c r="G1753">
        <v>6</v>
      </c>
      <c r="H1753" s="1296">
        <v>12</v>
      </c>
      <c r="I1753" t="str">
        <f t="shared" si="27"/>
        <v>-</v>
      </c>
    </row>
    <row r="1754" spans="1:9" x14ac:dyDescent="0.25">
      <c r="A1754">
        <v>15375</v>
      </c>
      <c r="B1754" t="s">
        <v>1271</v>
      </c>
      <c r="C1754" t="s">
        <v>2215</v>
      </c>
      <c r="D1754" t="s">
        <v>80</v>
      </c>
      <c r="E1754" t="s">
        <v>376</v>
      </c>
      <c r="F1754">
        <v>2</v>
      </c>
      <c r="G1754">
        <v>5</v>
      </c>
      <c r="H1754" s="1296">
        <v>10</v>
      </c>
      <c r="I1754" t="str">
        <f t="shared" si="27"/>
        <v>-</v>
      </c>
    </row>
    <row r="1755" spans="1:9" x14ac:dyDescent="0.25">
      <c r="A1755">
        <v>15376</v>
      </c>
      <c r="B1755" t="s">
        <v>1271</v>
      </c>
      <c r="C1755" t="s">
        <v>2215</v>
      </c>
      <c r="D1755" t="s">
        <v>15</v>
      </c>
      <c r="E1755" t="s">
        <v>388</v>
      </c>
      <c r="F1755">
        <v>4</v>
      </c>
      <c r="G1755">
        <v>6</v>
      </c>
      <c r="H1755" s="1296">
        <v>24</v>
      </c>
      <c r="I1755" t="str">
        <f t="shared" si="27"/>
        <v>-</v>
      </c>
    </row>
    <row r="1756" spans="1:9" x14ac:dyDescent="0.25">
      <c r="A1756">
        <v>15377</v>
      </c>
      <c r="B1756" t="s">
        <v>1271</v>
      </c>
      <c r="C1756" t="s">
        <v>2215</v>
      </c>
      <c r="D1756" t="s">
        <v>127</v>
      </c>
      <c r="E1756" t="s">
        <v>398</v>
      </c>
      <c r="F1756">
        <v>4</v>
      </c>
      <c r="G1756">
        <v>6</v>
      </c>
      <c r="H1756" s="1296">
        <v>24</v>
      </c>
      <c r="I1756" t="str">
        <f t="shared" si="27"/>
        <v>-</v>
      </c>
    </row>
    <row r="1757" spans="1:9" x14ac:dyDescent="0.25">
      <c r="A1757">
        <v>15378</v>
      </c>
      <c r="B1757" t="s">
        <v>1271</v>
      </c>
      <c r="C1757" t="s">
        <v>2215</v>
      </c>
      <c r="D1757" t="s">
        <v>2216</v>
      </c>
      <c r="E1757" t="s">
        <v>400</v>
      </c>
      <c r="F1757">
        <v>3</v>
      </c>
      <c r="G1757">
        <v>6</v>
      </c>
      <c r="H1757" s="1296">
        <v>18</v>
      </c>
      <c r="I1757" t="str">
        <f t="shared" si="27"/>
        <v>-</v>
      </c>
    </row>
    <row r="1758" spans="1:9" x14ac:dyDescent="0.25">
      <c r="A1758">
        <v>15379</v>
      </c>
      <c r="B1758" t="s">
        <v>1271</v>
      </c>
      <c r="C1758" t="s">
        <v>2215</v>
      </c>
      <c r="D1758" t="s">
        <v>1718</v>
      </c>
      <c r="E1758" t="s">
        <v>379</v>
      </c>
      <c r="F1758">
        <v>3</v>
      </c>
      <c r="G1758">
        <v>6</v>
      </c>
      <c r="H1758" s="1296">
        <v>18</v>
      </c>
      <c r="I1758" t="str">
        <f t="shared" si="27"/>
        <v>-</v>
      </c>
    </row>
    <row r="1759" spans="1:9" x14ac:dyDescent="0.25">
      <c r="A1759">
        <v>15381</v>
      </c>
      <c r="B1759" t="s">
        <v>1271</v>
      </c>
      <c r="C1759" t="s">
        <v>2215</v>
      </c>
      <c r="D1759" t="s">
        <v>1039</v>
      </c>
      <c r="E1759" t="s">
        <v>419</v>
      </c>
      <c r="F1759">
        <v>1</v>
      </c>
      <c r="G1759">
        <v>100</v>
      </c>
      <c r="H1759" s="1296">
        <v>100</v>
      </c>
      <c r="I1759" t="str">
        <f t="shared" si="27"/>
        <v>-</v>
      </c>
    </row>
    <row r="1760" spans="1:9" x14ac:dyDescent="0.25">
      <c r="A1760">
        <v>15382</v>
      </c>
      <c r="B1760" t="s">
        <v>1271</v>
      </c>
      <c r="C1760" t="s">
        <v>2215</v>
      </c>
      <c r="D1760" t="s">
        <v>1730</v>
      </c>
      <c r="E1760" t="s">
        <v>2217</v>
      </c>
      <c r="F1760">
        <v>4</v>
      </c>
      <c r="G1760">
        <v>24</v>
      </c>
      <c r="H1760" s="1296">
        <v>96</v>
      </c>
      <c r="I1760" t="str">
        <f t="shared" si="27"/>
        <v>-</v>
      </c>
    </row>
    <row r="1761" spans="1:9" x14ac:dyDescent="0.25">
      <c r="A1761">
        <v>15419</v>
      </c>
      <c r="B1761" t="s">
        <v>1271</v>
      </c>
      <c r="C1761" t="s">
        <v>2045</v>
      </c>
      <c r="D1761" t="s">
        <v>56</v>
      </c>
      <c r="E1761" t="s">
        <v>1839</v>
      </c>
      <c r="F1761">
        <v>1</v>
      </c>
      <c r="G1761">
        <v>6</v>
      </c>
      <c r="H1761" s="1296">
        <v>6</v>
      </c>
      <c r="I1761" t="str">
        <f t="shared" si="27"/>
        <v>-</v>
      </c>
    </row>
    <row r="1762" spans="1:9" x14ac:dyDescent="0.25">
      <c r="A1762">
        <v>15420</v>
      </c>
      <c r="B1762" t="s">
        <v>1271</v>
      </c>
      <c r="C1762" t="s">
        <v>2045</v>
      </c>
      <c r="D1762" t="s">
        <v>1477</v>
      </c>
      <c r="E1762" t="s">
        <v>369</v>
      </c>
      <c r="F1762">
        <v>3</v>
      </c>
      <c r="G1762">
        <v>6</v>
      </c>
      <c r="H1762" s="1296">
        <v>18</v>
      </c>
      <c r="I1762" t="str">
        <f t="shared" si="27"/>
        <v>-</v>
      </c>
    </row>
    <row r="1763" spans="1:9" x14ac:dyDescent="0.25">
      <c r="A1763">
        <v>15421</v>
      </c>
      <c r="B1763" t="s">
        <v>1271</v>
      </c>
      <c r="C1763" t="s">
        <v>2045</v>
      </c>
      <c r="D1763" t="s">
        <v>2218</v>
      </c>
      <c r="E1763" t="s">
        <v>403</v>
      </c>
      <c r="F1763">
        <v>1</v>
      </c>
      <c r="G1763">
        <v>8</v>
      </c>
      <c r="H1763" s="1296">
        <v>8</v>
      </c>
      <c r="I1763" t="str">
        <f t="shared" si="27"/>
        <v>-</v>
      </c>
    </row>
    <row r="1764" spans="1:9" x14ac:dyDescent="0.25">
      <c r="A1764">
        <v>15422</v>
      </c>
      <c r="B1764" t="s">
        <v>1271</v>
      </c>
      <c r="C1764" t="s">
        <v>2045</v>
      </c>
      <c r="D1764" t="s">
        <v>15</v>
      </c>
      <c r="E1764" t="s">
        <v>388</v>
      </c>
      <c r="F1764">
        <v>2</v>
      </c>
      <c r="G1764">
        <v>6</v>
      </c>
      <c r="H1764" s="1296">
        <v>12</v>
      </c>
      <c r="I1764" t="str">
        <f t="shared" si="27"/>
        <v>-</v>
      </c>
    </row>
    <row r="1765" spans="1:9" x14ac:dyDescent="0.25">
      <c r="A1765">
        <v>15424</v>
      </c>
      <c r="B1765" t="s">
        <v>1271</v>
      </c>
      <c r="C1765" t="s">
        <v>2045</v>
      </c>
      <c r="D1765" t="s">
        <v>56</v>
      </c>
      <c r="E1765" t="s">
        <v>114</v>
      </c>
      <c r="F1765">
        <v>1</v>
      </c>
      <c r="G1765">
        <v>10</v>
      </c>
      <c r="H1765" s="1296">
        <v>10</v>
      </c>
      <c r="I1765" t="str">
        <f t="shared" si="27"/>
        <v>-</v>
      </c>
    </row>
    <row r="1766" spans="1:9" x14ac:dyDescent="0.25">
      <c r="A1766">
        <v>15425</v>
      </c>
      <c r="B1766" t="s">
        <v>1271</v>
      </c>
      <c r="C1766" t="s">
        <v>2045</v>
      </c>
      <c r="D1766" t="s">
        <v>56</v>
      </c>
      <c r="E1766" t="s">
        <v>114</v>
      </c>
      <c r="F1766">
        <v>5</v>
      </c>
      <c r="G1766">
        <v>1</v>
      </c>
      <c r="H1766" s="1296">
        <v>5</v>
      </c>
      <c r="I1766" t="str">
        <f t="shared" si="27"/>
        <v>-</v>
      </c>
    </row>
    <row r="1767" spans="1:9" x14ac:dyDescent="0.25">
      <c r="A1767">
        <v>15427</v>
      </c>
      <c r="B1767" t="s">
        <v>1271</v>
      </c>
      <c r="C1767" t="s">
        <v>2045</v>
      </c>
      <c r="D1767" t="s">
        <v>2205</v>
      </c>
      <c r="E1767" t="s">
        <v>1815</v>
      </c>
      <c r="F1767">
        <v>1</v>
      </c>
      <c r="G1767">
        <v>250</v>
      </c>
      <c r="H1767" s="1296">
        <v>250</v>
      </c>
      <c r="I1767" t="str">
        <f t="shared" si="27"/>
        <v>-</v>
      </c>
    </row>
    <row r="1768" spans="1:9" x14ac:dyDescent="0.25">
      <c r="A1768">
        <v>15430</v>
      </c>
      <c r="B1768" t="s">
        <v>1271</v>
      </c>
      <c r="C1768" t="s">
        <v>2045</v>
      </c>
      <c r="D1768" t="s">
        <v>1178</v>
      </c>
      <c r="E1768" t="s">
        <v>445</v>
      </c>
      <c r="F1768">
        <v>1</v>
      </c>
      <c r="G1768">
        <v>400</v>
      </c>
      <c r="H1768" s="1296">
        <v>400</v>
      </c>
      <c r="I1768" t="str">
        <f t="shared" si="27"/>
        <v>-</v>
      </c>
    </row>
    <row r="1769" spans="1:9" x14ac:dyDescent="0.25">
      <c r="A1769">
        <v>15431</v>
      </c>
      <c r="B1769" t="s">
        <v>1271</v>
      </c>
      <c r="C1769" t="s">
        <v>2045</v>
      </c>
      <c r="D1769" t="s">
        <v>1178</v>
      </c>
      <c r="E1769" t="s">
        <v>445</v>
      </c>
      <c r="F1769">
        <v>1</v>
      </c>
      <c r="G1769">
        <v>50</v>
      </c>
      <c r="H1769" s="1296">
        <v>50</v>
      </c>
      <c r="I1769" t="str">
        <f t="shared" si="27"/>
        <v>-</v>
      </c>
    </row>
    <row r="1770" spans="1:9" x14ac:dyDescent="0.25">
      <c r="A1770">
        <v>15433</v>
      </c>
      <c r="B1770" t="s">
        <v>1271</v>
      </c>
      <c r="C1770" t="s">
        <v>2045</v>
      </c>
      <c r="D1770" t="s">
        <v>2220</v>
      </c>
      <c r="E1770" t="s">
        <v>450</v>
      </c>
      <c r="F1770">
        <v>1</v>
      </c>
      <c r="G1770">
        <v>400</v>
      </c>
      <c r="H1770" s="1296">
        <v>400</v>
      </c>
      <c r="I1770" t="str">
        <f t="shared" si="27"/>
        <v>-</v>
      </c>
    </row>
    <row r="1771" spans="1:9" x14ac:dyDescent="0.25">
      <c r="A1771">
        <v>15434</v>
      </c>
      <c r="B1771" t="s">
        <v>1271</v>
      </c>
      <c r="C1771" t="s">
        <v>2045</v>
      </c>
      <c r="D1771" t="s">
        <v>2220</v>
      </c>
      <c r="E1771" t="s">
        <v>450</v>
      </c>
      <c r="F1771">
        <v>1</v>
      </c>
      <c r="G1771">
        <v>35</v>
      </c>
      <c r="H1771" s="1296">
        <v>35</v>
      </c>
      <c r="I1771" t="str">
        <f t="shared" si="27"/>
        <v>-</v>
      </c>
    </row>
    <row r="1772" spans="1:9" x14ac:dyDescent="0.25">
      <c r="A1772">
        <v>15463</v>
      </c>
      <c r="B1772" t="s">
        <v>1278</v>
      </c>
      <c r="C1772" t="s">
        <v>2222</v>
      </c>
      <c r="D1772" t="s">
        <v>301</v>
      </c>
      <c r="E1772" t="s">
        <v>363</v>
      </c>
      <c r="F1772">
        <v>2</v>
      </c>
      <c r="G1772">
        <v>6</v>
      </c>
      <c r="H1772" s="1296">
        <v>12</v>
      </c>
      <c r="I1772" t="str">
        <f t="shared" si="27"/>
        <v>-</v>
      </c>
    </row>
    <row r="1773" spans="1:9" x14ac:dyDescent="0.25">
      <c r="A1773">
        <v>15464</v>
      </c>
      <c r="B1773" t="s">
        <v>1278</v>
      </c>
      <c r="C1773" t="s">
        <v>2222</v>
      </c>
      <c r="D1773" t="s">
        <v>80</v>
      </c>
      <c r="E1773" t="s">
        <v>386</v>
      </c>
      <c r="F1773">
        <v>1</v>
      </c>
      <c r="G1773">
        <v>5</v>
      </c>
      <c r="H1773" s="1296">
        <v>5</v>
      </c>
      <c r="I1773" t="str">
        <f t="shared" si="27"/>
        <v>-</v>
      </c>
    </row>
    <row r="1774" spans="1:9" x14ac:dyDescent="0.25">
      <c r="A1774">
        <v>15465</v>
      </c>
      <c r="B1774" t="s">
        <v>1278</v>
      </c>
      <c r="C1774" t="s">
        <v>2222</v>
      </c>
      <c r="D1774" t="s">
        <v>135</v>
      </c>
      <c r="E1774" t="s">
        <v>383</v>
      </c>
      <c r="F1774">
        <v>1</v>
      </c>
      <c r="G1774">
        <v>6</v>
      </c>
      <c r="H1774" s="1296">
        <v>6</v>
      </c>
      <c r="I1774" t="str">
        <f t="shared" si="27"/>
        <v>-</v>
      </c>
    </row>
    <row r="1775" spans="1:9" x14ac:dyDescent="0.25">
      <c r="A1775">
        <v>15466</v>
      </c>
      <c r="B1775" t="s">
        <v>1278</v>
      </c>
      <c r="C1775" t="s">
        <v>2222</v>
      </c>
      <c r="D1775" t="s">
        <v>15</v>
      </c>
      <c r="E1775" t="s">
        <v>388</v>
      </c>
      <c r="F1775">
        <v>3</v>
      </c>
      <c r="G1775">
        <v>6</v>
      </c>
      <c r="H1775" s="1296">
        <v>18</v>
      </c>
      <c r="I1775" t="str">
        <f t="shared" si="27"/>
        <v>-</v>
      </c>
    </row>
    <row r="1776" spans="1:9" x14ac:dyDescent="0.25">
      <c r="A1776">
        <v>15467</v>
      </c>
      <c r="B1776" t="s">
        <v>1278</v>
      </c>
      <c r="C1776" t="s">
        <v>2222</v>
      </c>
      <c r="D1776" t="s">
        <v>287</v>
      </c>
      <c r="E1776" t="s">
        <v>400</v>
      </c>
      <c r="F1776">
        <v>6</v>
      </c>
      <c r="G1776">
        <v>4</v>
      </c>
      <c r="H1776" s="1296">
        <v>24</v>
      </c>
      <c r="I1776" t="str">
        <f t="shared" si="27"/>
        <v>-</v>
      </c>
    </row>
    <row r="1777" spans="1:9" x14ac:dyDescent="0.25">
      <c r="A1777">
        <v>15510</v>
      </c>
      <c r="B1777" t="s">
        <v>1271</v>
      </c>
      <c r="C1777" t="s">
        <v>1412</v>
      </c>
      <c r="D1777" t="s">
        <v>56</v>
      </c>
      <c r="E1777" t="s">
        <v>114</v>
      </c>
      <c r="F1777">
        <v>1</v>
      </c>
      <c r="G1777">
        <v>10</v>
      </c>
      <c r="H1777" s="1296">
        <v>10</v>
      </c>
      <c r="I1777" t="str">
        <f t="shared" si="27"/>
        <v>-</v>
      </c>
    </row>
    <row r="1778" spans="1:9" x14ac:dyDescent="0.25">
      <c r="A1778">
        <v>15511</v>
      </c>
      <c r="B1778" t="s">
        <v>1271</v>
      </c>
      <c r="C1778" t="s">
        <v>1412</v>
      </c>
      <c r="D1778" t="s">
        <v>2223</v>
      </c>
      <c r="E1778" t="s">
        <v>36</v>
      </c>
      <c r="F1778">
        <v>1</v>
      </c>
      <c r="G1778">
        <v>5</v>
      </c>
      <c r="H1778" s="1296">
        <v>5</v>
      </c>
      <c r="I1778" t="str">
        <f t="shared" si="27"/>
        <v>-</v>
      </c>
    </row>
    <row r="1779" spans="1:9" x14ac:dyDescent="0.25">
      <c r="A1779">
        <v>15512</v>
      </c>
      <c r="B1779" t="s">
        <v>1271</v>
      </c>
      <c r="C1779" t="s">
        <v>1412</v>
      </c>
      <c r="D1779" t="s">
        <v>138</v>
      </c>
      <c r="E1779" t="s">
        <v>335</v>
      </c>
      <c r="F1779">
        <v>1</v>
      </c>
      <c r="G1779">
        <v>5</v>
      </c>
      <c r="H1779" s="1296">
        <v>5</v>
      </c>
      <c r="I1779" t="str">
        <f t="shared" si="27"/>
        <v>-</v>
      </c>
    </row>
    <row r="1780" spans="1:9" x14ac:dyDescent="0.25">
      <c r="A1780">
        <v>15514</v>
      </c>
      <c r="B1780" t="s">
        <v>1271</v>
      </c>
      <c r="C1780" t="s">
        <v>1412</v>
      </c>
      <c r="D1780" t="s">
        <v>1512</v>
      </c>
      <c r="F1780">
        <v>2</v>
      </c>
      <c r="G1780">
        <v>100</v>
      </c>
      <c r="H1780" s="1296">
        <v>200</v>
      </c>
      <c r="I1780" t="str">
        <f t="shared" si="27"/>
        <v>-</v>
      </c>
    </row>
    <row r="1781" spans="1:9" x14ac:dyDescent="0.25">
      <c r="A1781">
        <v>15517</v>
      </c>
      <c r="B1781" t="s">
        <v>1271</v>
      </c>
      <c r="C1781" t="s">
        <v>1412</v>
      </c>
      <c r="D1781" t="s">
        <v>2205</v>
      </c>
      <c r="E1781" t="s">
        <v>1815</v>
      </c>
      <c r="F1781">
        <v>1</v>
      </c>
      <c r="G1781">
        <v>250</v>
      </c>
      <c r="H1781" s="1296">
        <v>250</v>
      </c>
      <c r="I1781" t="str">
        <f t="shared" si="27"/>
        <v>-</v>
      </c>
    </row>
    <row r="1782" spans="1:9" x14ac:dyDescent="0.25">
      <c r="A1782">
        <v>15520</v>
      </c>
      <c r="B1782" t="s">
        <v>1271</v>
      </c>
      <c r="C1782" t="s">
        <v>1412</v>
      </c>
      <c r="D1782" t="s">
        <v>2224</v>
      </c>
      <c r="E1782" t="s">
        <v>445</v>
      </c>
      <c r="F1782">
        <v>1</v>
      </c>
      <c r="G1782">
        <v>475</v>
      </c>
      <c r="H1782" s="1296">
        <v>475</v>
      </c>
      <c r="I1782" t="str">
        <f t="shared" si="27"/>
        <v>-</v>
      </c>
    </row>
    <row r="1783" spans="1:9" x14ac:dyDescent="0.25">
      <c r="A1783">
        <v>15522</v>
      </c>
      <c r="B1783" t="s">
        <v>1271</v>
      </c>
      <c r="C1783" t="s">
        <v>1412</v>
      </c>
      <c r="D1783" t="s">
        <v>250</v>
      </c>
      <c r="E1783" t="s">
        <v>452</v>
      </c>
      <c r="F1783">
        <v>1</v>
      </c>
      <c r="G1783">
        <v>99</v>
      </c>
      <c r="H1783" s="1296">
        <v>99</v>
      </c>
      <c r="I1783" t="str">
        <f t="shared" si="27"/>
        <v>-</v>
      </c>
    </row>
    <row r="1784" spans="1:9" x14ac:dyDescent="0.25">
      <c r="A1784">
        <v>15525</v>
      </c>
      <c r="B1784" t="s">
        <v>1271</v>
      </c>
      <c r="C1784" t="s">
        <v>1412</v>
      </c>
      <c r="D1784" t="s">
        <v>242</v>
      </c>
      <c r="F1784">
        <v>1</v>
      </c>
      <c r="G1784">
        <v>25</v>
      </c>
      <c r="H1784" s="1296">
        <v>25</v>
      </c>
      <c r="I1784" t="str">
        <f t="shared" si="27"/>
        <v>-</v>
      </c>
    </row>
    <row r="1785" spans="1:9" x14ac:dyDescent="0.25">
      <c r="A1785">
        <v>15526</v>
      </c>
      <c r="B1785" t="s">
        <v>1271</v>
      </c>
      <c r="C1785" t="s">
        <v>1412</v>
      </c>
      <c r="D1785" t="s">
        <v>1413</v>
      </c>
      <c r="F1785">
        <v>1</v>
      </c>
      <c r="G1785">
        <v>15</v>
      </c>
      <c r="H1785" s="1296">
        <v>15</v>
      </c>
      <c r="I1785" t="str">
        <f t="shared" si="27"/>
        <v>-</v>
      </c>
    </row>
    <row r="1786" spans="1:9" x14ac:dyDescent="0.25">
      <c r="A1786">
        <v>15556</v>
      </c>
      <c r="B1786" t="s">
        <v>1271</v>
      </c>
      <c r="C1786" t="s">
        <v>1412</v>
      </c>
      <c r="D1786" t="s">
        <v>60</v>
      </c>
      <c r="E1786" t="s">
        <v>2226</v>
      </c>
      <c r="F1786">
        <v>1</v>
      </c>
      <c r="G1786">
        <v>6</v>
      </c>
      <c r="H1786" s="1296">
        <v>6</v>
      </c>
      <c r="I1786" t="str">
        <f t="shared" si="27"/>
        <v>-</v>
      </c>
    </row>
    <row r="1787" spans="1:9" x14ac:dyDescent="0.25">
      <c r="A1787">
        <v>15557</v>
      </c>
      <c r="B1787" t="s">
        <v>1271</v>
      </c>
      <c r="C1787" t="s">
        <v>1412</v>
      </c>
      <c r="D1787" t="s">
        <v>143</v>
      </c>
      <c r="E1787" t="s">
        <v>374</v>
      </c>
      <c r="F1787">
        <v>1</v>
      </c>
      <c r="G1787">
        <v>6</v>
      </c>
      <c r="H1787" s="1296">
        <v>6</v>
      </c>
      <c r="I1787" t="str">
        <f t="shared" si="27"/>
        <v>-</v>
      </c>
    </row>
    <row r="1788" spans="1:9" x14ac:dyDescent="0.25">
      <c r="A1788">
        <v>15558</v>
      </c>
      <c r="B1788" t="s">
        <v>1271</v>
      </c>
      <c r="C1788" t="s">
        <v>1412</v>
      </c>
      <c r="D1788" t="s">
        <v>1718</v>
      </c>
      <c r="E1788" t="s">
        <v>379</v>
      </c>
      <c r="F1788">
        <v>2</v>
      </c>
      <c r="G1788">
        <v>6</v>
      </c>
      <c r="H1788" s="1296">
        <v>12</v>
      </c>
      <c r="I1788" t="str">
        <f t="shared" si="27"/>
        <v>-</v>
      </c>
    </row>
    <row r="1789" spans="1:9" x14ac:dyDescent="0.25">
      <c r="A1789">
        <v>15559</v>
      </c>
      <c r="B1789" t="s">
        <v>1271</v>
      </c>
      <c r="C1789" t="s">
        <v>1412</v>
      </c>
      <c r="D1789" t="s">
        <v>801</v>
      </c>
      <c r="E1789" t="s">
        <v>383</v>
      </c>
      <c r="F1789">
        <v>2</v>
      </c>
      <c r="G1789">
        <v>6</v>
      </c>
      <c r="H1789" s="1296">
        <v>12</v>
      </c>
      <c r="I1789" t="str">
        <f t="shared" si="27"/>
        <v>-</v>
      </c>
    </row>
    <row r="1790" spans="1:9" x14ac:dyDescent="0.25">
      <c r="A1790">
        <v>15560</v>
      </c>
      <c r="B1790" t="s">
        <v>1271</v>
      </c>
      <c r="C1790" t="s">
        <v>1412</v>
      </c>
      <c r="D1790" t="s">
        <v>125</v>
      </c>
      <c r="E1790" t="s">
        <v>1064</v>
      </c>
      <c r="F1790">
        <v>3</v>
      </c>
      <c r="G1790">
        <v>4</v>
      </c>
      <c r="H1790" s="1296">
        <v>12</v>
      </c>
      <c r="I1790" t="str">
        <f t="shared" si="27"/>
        <v>-</v>
      </c>
    </row>
    <row r="1791" spans="1:9" x14ac:dyDescent="0.25">
      <c r="A1791">
        <v>15561</v>
      </c>
      <c r="B1791" t="s">
        <v>1271</v>
      </c>
      <c r="C1791" t="s">
        <v>1412</v>
      </c>
      <c r="D1791" t="s">
        <v>136</v>
      </c>
      <c r="E1791" t="s">
        <v>387</v>
      </c>
      <c r="F1791">
        <v>3</v>
      </c>
      <c r="G1791">
        <v>6</v>
      </c>
      <c r="H1791" s="1296">
        <v>18</v>
      </c>
      <c r="I1791" t="str">
        <f t="shared" si="27"/>
        <v>-</v>
      </c>
    </row>
    <row r="1792" spans="1:9" x14ac:dyDescent="0.25">
      <c r="A1792">
        <v>15562</v>
      </c>
      <c r="B1792" t="s">
        <v>1271</v>
      </c>
      <c r="C1792" t="s">
        <v>1412</v>
      </c>
      <c r="D1792" t="s">
        <v>127</v>
      </c>
      <c r="E1792" t="s">
        <v>398</v>
      </c>
      <c r="F1792">
        <v>2</v>
      </c>
      <c r="G1792">
        <v>6</v>
      </c>
      <c r="H1792" s="1296">
        <v>12</v>
      </c>
      <c r="I1792" t="str">
        <f t="shared" si="27"/>
        <v>-</v>
      </c>
    </row>
    <row r="1793" spans="1:9" x14ac:dyDescent="0.25">
      <c r="A1793">
        <v>15563</v>
      </c>
      <c r="B1793" t="s">
        <v>1271</v>
      </c>
      <c r="C1793" t="s">
        <v>1412</v>
      </c>
      <c r="D1793" t="s">
        <v>287</v>
      </c>
      <c r="E1793" t="s">
        <v>400</v>
      </c>
      <c r="F1793">
        <v>1</v>
      </c>
      <c r="G1793">
        <v>6</v>
      </c>
      <c r="H1793" s="1296">
        <v>6</v>
      </c>
      <c r="I1793" t="str">
        <f t="shared" si="27"/>
        <v>-</v>
      </c>
    </row>
    <row r="1794" spans="1:9" x14ac:dyDescent="0.25">
      <c r="A1794">
        <v>15564</v>
      </c>
      <c r="B1794" t="s">
        <v>1271</v>
      </c>
      <c r="C1794" t="s">
        <v>1412</v>
      </c>
      <c r="D1794" t="s">
        <v>134</v>
      </c>
      <c r="E1794" t="s">
        <v>367</v>
      </c>
      <c r="F1794">
        <v>2</v>
      </c>
      <c r="G1794">
        <v>1</v>
      </c>
      <c r="H1794" s="1296">
        <v>2</v>
      </c>
      <c r="I1794" t="str">
        <f t="shared" ref="I1794:I1857" si="28">INDEX($N$2:$N$355,MATCH($A1794,$L$2:$L$355,1))</f>
        <v>-</v>
      </c>
    </row>
    <row r="1795" spans="1:9" x14ac:dyDescent="0.25">
      <c r="A1795">
        <v>15565</v>
      </c>
      <c r="B1795" t="s">
        <v>1271</v>
      </c>
      <c r="C1795" t="s">
        <v>1412</v>
      </c>
      <c r="D1795" t="s">
        <v>124</v>
      </c>
      <c r="E1795" t="s">
        <v>379</v>
      </c>
      <c r="F1795">
        <v>1</v>
      </c>
      <c r="G1795">
        <v>4</v>
      </c>
      <c r="H1795" s="1296">
        <v>4</v>
      </c>
      <c r="I1795" t="str">
        <f t="shared" si="28"/>
        <v>-</v>
      </c>
    </row>
    <row r="1796" spans="1:9" x14ac:dyDescent="0.25">
      <c r="A1796">
        <v>15599</v>
      </c>
      <c r="B1796" t="s">
        <v>1278</v>
      </c>
      <c r="C1796" t="s">
        <v>2227</v>
      </c>
      <c r="D1796" t="s">
        <v>1512</v>
      </c>
      <c r="F1796">
        <v>2</v>
      </c>
      <c r="G1796">
        <v>100</v>
      </c>
      <c r="H1796" s="1296">
        <v>200</v>
      </c>
      <c r="I1796" t="str">
        <f t="shared" si="28"/>
        <v>-</v>
      </c>
    </row>
    <row r="1797" spans="1:9" x14ac:dyDescent="0.25">
      <c r="A1797">
        <v>15649</v>
      </c>
      <c r="B1797" t="s">
        <v>1285</v>
      </c>
      <c r="C1797" t="s">
        <v>2228</v>
      </c>
      <c r="D1797" t="s">
        <v>2213</v>
      </c>
      <c r="E1797" t="s">
        <v>57</v>
      </c>
      <c r="F1797">
        <v>2</v>
      </c>
      <c r="G1797">
        <v>25</v>
      </c>
      <c r="H1797" s="1296">
        <v>50</v>
      </c>
      <c r="I1797" t="str">
        <f t="shared" si="28"/>
        <v>-</v>
      </c>
    </row>
    <row r="1798" spans="1:9" x14ac:dyDescent="0.25">
      <c r="A1798">
        <v>15650</v>
      </c>
      <c r="B1798" t="s">
        <v>1285</v>
      </c>
      <c r="C1798" t="s">
        <v>2228</v>
      </c>
      <c r="D1798" t="s">
        <v>2229</v>
      </c>
      <c r="E1798" t="s">
        <v>109</v>
      </c>
      <c r="F1798">
        <v>6</v>
      </c>
      <c r="G1798">
        <v>25</v>
      </c>
      <c r="H1798" s="1296">
        <v>150</v>
      </c>
      <c r="I1798" t="str">
        <f t="shared" si="28"/>
        <v>-</v>
      </c>
    </row>
    <row r="1799" spans="1:9" x14ac:dyDescent="0.25">
      <c r="A1799">
        <v>15651</v>
      </c>
      <c r="B1799" t="s">
        <v>1285</v>
      </c>
      <c r="C1799" t="s">
        <v>2228</v>
      </c>
      <c r="D1799" t="s">
        <v>2230</v>
      </c>
      <c r="E1799" t="s">
        <v>425</v>
      </c>
      <c r="F1799">
        <v>1</v>
      </c>
      <c r="G1799">
        <v>25</v>
      </c>
      <c r="H1799" s="1296">
        <v>25</v>
      </c>
      <c r="I1799" t="str">
        <f t="shared" si="28"/>
        <v>-</v>
      </c>
    </row>
    <row r="1800" spans="1:9" x14ac:dyDescent="0.25">
      <c r="A1800">
        <v>15743</v>
      </c>
      <c r="B1800" t="s">
        <v>1285</v>
      </c>
      <c r="C1800" t="s">
        <v>1483</v>
      </c>
      <c r="D1800" t="s">
        <v>39</v>
      </c>
      <c r="E1800" t="s">
        <v>36</v>
      </c>
      <c r="F1800">
        <v>7</v>
      </c>
      <c r="G1800">
        <v>5</v>
      </c>
      <c r="H1800" s="1296">
        <v>35</v>
      </c>
      <c r="I1800" t="str">
        <f t="shared" si="28"/>
        <v>-</v>
      </c>
    </row>
    <row r="1801" spans="1:9" x14ac:dyDescent="0.25">
      <c r="A1801">
        <v>15865</v>
      </c>
      <c r="B1801" t="s">
        <v>1285</v>
      </c>
      <c r="C1801" t="s">
        <v>2044</v>
      </c>
      <c r="D1801" t="s">
        <v>696</v>
      </c>
      <c r="E1801" t="s">
        <v>107</v>
      </c>
      <c r="F1801">
        <v>1</v>
      </c>
      <c r="G1801">
        <v>5</v>
      </c>
      <c r="H1801" s="1296">
        <v>5</v>
      </c>
      <c r="I1801" t="str">
        <f t="shared" si="28"/>
        <v>-</v>
      </c>
    </row>
    <row r="1802" spans="1:9" x14ac:dyDescent="0.25">
      <c r="A1802">
        <v>15866</v>
      </c>
      <c r="B1802" t="s">
        <v>1285</v>
      </c>
      <c r="C1802" t="s">
        <v>2044</v>
      </c>
      <c r="D1802" t="s">
        <v>138</v>
      </c>
      <c r="E1802" t="s">
        <v>335</v>
      </c>
      <c r="F1802">
        <v>1</v>
      </c>
      <c r="G1802">
        <v>5</v>
      </c>
      <c r="H1802" s="1296">
        <v>5</v>
      </c>
      <c r="I1802" t="str">
        <f t="shared" si="28"/>
        <v>-</v>
      </c>
    </row>
    <row r="1803" spans="1:9" x14ac:dyDescent="0.25">
      <c r="A1803">
        <v>15867</v>
      </c>
      <c r="B1803" t="s">
        <v>1285</v>
      </c>
      <c r="C1803" t="s">
        <v>2044</v>
      </c>
      <c r="D1803" t="s">
        <v>129</v>
      </c>
      <c r="E1803" t="s">
        <v>328</v>
      </c>
      <c r="F1803">
        <v>1</v>
      </c>
      <c r="G1803">
        <v>5</v>
      </c>
      <c r="H1803" s="1296">
        <v>5</v>
      </c>
      <c r="I1803" t="str">
        <f t="shared" si="28"/>
        <v>-</v>
      </c>
    </row>
    <row r="1804" spans="1:9" x14ac:dyDescent="0.25">
      <c r="A1804">
        <v>15868</v>
      </c>
      <c r="B1804" t="s">
        <v>1285</v>
      </c>
      <c r="C1804" t="s">
        <v>2044</v>
      </c>
      <c r="D1804" t="s">
        <v>123</v>
      </c>
      <c r="E1804" t="s">
        <v>2244</v>
      </c>
      <c r="F1804">
        <v>1</v>
      </c>
      <c r="G1804">
        <v>5</v>
      </c>
      <c r="H1804" s="1296">
        <v>5</v>
      </c>
      <c r="I1804" t="str">
        <f t="shared" si="28"/>
        <v>-</v>
      </c>
    </row>
    <row r="1805" spans="1:9" x14ac:dyDescent="0.25">
      <c r="A1805">
        <v>15870</v>
      </c>
      <c r="B1805" t="s">
        <v>1285</v>
      </c>
      <c r="C1805" t="s">
        <v>2044</v>
      </c>
      <c r="D1805" t="s">
        <v>226</v>
      </c>
      <c r="E1805" t="s">
        <v>395</v>
      </c>
      <c r="F1805">
        <v>1</v>
      </c>
      <c r="G1805">
        <v>6</v>
      </c>
      <c r="H1805" s="1296">
        <v>6</v>
      </c>
      <c r="I1805" t="str">
        <f t="shared" si="28"/>
        <v>-</v>
      </c>
    </row>
    <row r="1806" spans="1:9" x14ac:dyDescent="0.25">
      <c r="A1806">
        <v>15871</v>
      </c>
      <c r="B1806" t="s">
        <v>1285</v>
      </c>
      <c r="C1806" t="s">
        <v>2044</v>
      </c>
      <c r="D1806" t="s">
        <v>81</v>
      </c>
      <c r="E1806" t="s">
        <v>396</v>
      </c>
      <c r="F1806">
        <v>1</v>
      </c>
      <c r="G1806">
        <v>6</v>
      </c>
      <c r="H1806" s="1296">
        <v>6</v>
      </c>
      <c r="I1806" t="str">
        <f t="shared" si="28"/>
        <v>-</v>
      </c>
    </row>
    <row r="1807" spans="1:9" x14ac:dyDescent="0.25">
      <c r="A1807">
        <v>15872</v>
      </c>
      <c r="B1807" t="s">
        <v>1285</v>
      </c>
      <c r="C1807" t="s">
        <v>2044</v>
      </c>
      <c r="D1807" t="s">
        <v>136</v>
      </c>
      <c r="E1807" t="s">
        <v>387</v>
      </c>
      <c r="F1807">
        <v>1</v>
      </c>
      <c r="G1807">
        <v>6</v>
      </c>
      <c r="H1807" s="1296">
        <v>6</v>
      </c>
      <c r="I1807" t="str">
        <f t="shared" si="28"/>
        <v>-</v>
      </c>
    </row>
    <row r="1808" spans="1:9" x14ac:dyDescent="0.25">
      <c r="A1808">
        <v>15873</v>
      </c>
      <c r="B1808" t="s">
        <v>1285</v>
      </c>
      <c r="C1808" t="s">
        <v>2044</v>
      </c>
      <c r="D1808" t="s">
        <v>105</v>
      </c>
      <c r="E1808" t="s">
        <v>2154</v>
      </c>
      <c r="F1808">
        <v>1</v>
      </c>
      <c r="G1808">
        <v>6</v>
      </c>
      <c r="H1808" s="1296">
        <v>6</v>
      </c>
      <c r="I1808" t="str">
        <f t="shared" si="28"/>
        <v>-</v>
      </c>
    </row>
    <row r="1809" spans="1:9" x14ac:dyDescent="0.25">
      <c r="A1809">
        <v>15875</v>
      </c>
      <c r="B1809" t="s">
        <v>1285</v>
      </c>
      <c r="C1809" t="s">
        <v>2044</v>
      </c>
      <c r="D1809" t="s">
        <v>1554</v>
      </c>
      <c r="E1809" t="s">
        <v>109</v>
      </c>
      <c r="F1809">
        <v>10</v>
      </c>
      <c r="G1809">
        <v>25</v>
      </c>
      <c r="H1809" s="1296">
        <v>250</v>
      </c>
      <c r="I1809" t="str">
        <f t="shared" si="28"/>
        <v>-</v>
      </c>
    </row>
    <row r="1810" spans="1:9" x14ac:dyDescent="0.25">
      <c r="A1810">
        <v>15902</v>
      </c>
      <c r="B1810" t="s">
        <v>1285</v>
      </c>
      <c r="C1810" t="s">
        <v>1496</v>
      </c>
      <c r="D1810" t="s">
        <v>2245</v>
      </c>
      <c r="E1810" t="s">
        <v>1604</v>
      </c>
      <c r="F1810">
        <v>1</v>
      </c>
      <c r="G1810">
        <v>1</v>
      </c>
      <c r="H1810" s="1296">
        <v>1</v>
      </c>
      <c r="I1810" t="str">
        <f t="shared" si="28"/>
        <v>Cancelled</v>
      </c>
    </row>
    <row r="1811" spans="1:9" x14ac:dyDescent="0.25">
      <c r="A1811">
        <v>15903</v>
      </c>
      <c r="B1811" t="s">
        <v>1285</v>
      </c>
      <c r="C1811" t="s">
        <v>1496</v>
      </c>
      <c r="D1811" t="s">
        <v>159</v>
      </c>
      <c r="E1811" t="s">
        <v>1603</v>
      </c>
      <c r="F1811">
        <v>1</v>
      </c>
      <c r="G1811">
        <v>1</v>
      </c>
      <c r="H1811" s="1296">
        <v>1</v>
      </c>
      <c r="I1811" t="str">
        <f t="shared" si="28"/>
        <v>Cancelled</v>
      </c>
    </row>
    <row r="1812" spans="1:9" x14ac:dyDescent="0.25">
      <c r="A1812">
        <v>15904</v>
      </c>
      <c r="B1812" t="s">
        <v>1285</v>
      </c>
      <c r="C1812" t="s">
        <v>1496</v>
      </c>
      <c r="D1812" t="s">
        <v>163</v>
      </c>
      <c r="E1812" t="s">
        <v>1605</v>
      </c>
      <c r="F1812">
        <v>1</v>
      </c>
      <c r="G1812">
        <v>1</v>
      </c>
      <c r="H1812" s="1296">
        <v>1</v>
      </c>
      <c r="I1812" t="str">
        <f t="shared" si="28"/>
        <v>Cancelled</v>
      </c>
    </row>
    <row r="1813" spans="1:9" x14ac:dyDescent="0.25">
      <c r="A1813">
        <v>15905</v>
      </c>
      <c r="B1813" t="s">
        <v>1285</v>
      </c>
      <c r="C1813" t="s">
        <v>1496</v>
      </c>
      <c r="D1813" t="s">
        <v>130</v>
      </c>
      <c r="E1813" t="s">
        <v>1497</v>
      </c>
      <c r="F1813">
        <v>1</v>
      </c>
      <c r="G1813">
        <v>1</v>
      </c>
      <c r="H1813" s="1296">
        <v>1</v>
      </c>
      <c r="I1813" t="str">
        <f t="shared" si="28"/>
        <v>Cancelled</v>
      </c>
    </row>
    <row r="1814" spans="1:9" x14ac:dyDescent="0.25">
      <c r="A1814">
        <v>15951</v>
      </c>
      <c r="B1814" t="s">
        <v>1306</v>
      </c>
      <c r="C1814" t="s">
        <v>2246</v>
      </c>
      <c r="D1814" t="s">
        <v>2213</v>
      </c>
      <c r="E1814" t="s">
        <v>57</v>
      </c>
      <c r="F1814">
        <v>10</v>
      </c>
      <c r="G1814">
        <v>25</v>
      </c>
      <c r="H1814" s="1296">
        <v>250</v>
      </c>
      <c r="I1814" t="str">
        <f t="shared" si="28"/>
        <v>-</v>
      </c>
    </row>
    <row r="1815" spans="1:9" x14ac:dyDescent="0.25">
      <c r="A1815">
        <v>15952</v>
      </c>
      <c r="B1815" t="s">
        <v>1306</v>
      </c>
      <c r="C1815" t="s">
        <v>2246</v>
      </c>
      <c r="D1815" t="s">
        <v>2229</v>
      </c>
      <c r="E1815" t="s">
        <v>109</v>
      </c>
      <c r="F1815">
        <v>26</v>
      </c>
      <c r="G1815">
        <v>25</v>
      </c>
      <c r="H1815" s="1296">
        <v>650</v>
      </c>
      <c r="I1815" t="str">
        <f t="shared" si="28"/>
        <v>-</v>
      </c>
    </row>
    <row r="1816" spans="1:9" x14ac:dyDescent="0.25">
      <c r="A1816">
        <v>15953</v>
      </c>
      <c r="B1816" t="s">
        <v>1306</v>
      </c>
      <c r="C1816" t="s">
        <v>2246</v>
      </c>
      <c r="D1816" t="s">
        <v>2230</v>
      </c>
      <c r="E1816" t="s">
        <v>425</v>
      </c>
      <c r="F1816">
        <v>4</v>
      </c>
      <c r="G1816">
        <v>25</v>
      </c>
      <c r="H1816" s="1296">
        <v>100</v>
      </c>
      <c r="I1816" t="str">
        <f t="shared" si="28"/>
        <v>-</v>
      </c>
    </row>
    <row r="1817" spans="1:9" x14ac:dyDescent="0.25">
      <c r="A1817">
        <v>15995</v>
      </c>
      <c r="B1817" t="s">
        <v>1310</v>
      </c>
      <c r="C1817" t="s">
        <v>1871</v>
      </c>
      <c r="D1817" t="s">
        <v>262</v>
      </c>
      <c r="F1817">
        <v>2</v>
      </c>
      <c r="G1817">
        <v>25</v>
      </c>
      <c r="H1817" s="1296">
        <v>50</v>
      </c>
      <c r="I1817" t="str">
        <f t="shared" si="28"/>
        <v>-</v>
      </c>
    </row>
    <row r="1818" spans="1:9" x14ac:dyDescent="0.25">
      <c r="A1818">
        <v>16041</v>
      </c>
      <c r="B1818" t="s">
        <v>1310</v>
      </c>
      <c r="C1818" t="s">
        <v>1994</v>
      </c>
      <c r="D1818" t="s">
        <v>301</v>
      </c>
      <c r="E1818" t="s">
        <v>66</v>
      </c>
      <c r="F1818">
        <v>1</v>
      </c>
      <c r="G1818">
        <v>5</v>
      </c>
      <c r="H1818" s="1296">
        <v>5</v>
      </c>
      <c r="I1818" t="str">
        <f t="shared" si="28"/>
        <v>-</v>
      </c>
    </row>
    <row r="1819" spans="1:9" x14ac:dyDescent="0.25">
      <c r="A1819">
        <v>16080</v>
      </c>
      <c r="B1819" t="s">
        <v>524</v>
      </c>
      <c r="C1819" t="s">
        <v>2025</v>
      </c>
      <c r="D1819" t="s">
        <v>1618</v>
      </c>
      <c r="F1819">
        <v>38</v>
      </c>
      <c r="G1819">
        <v>5</v>
      </c>
      <c r="H1819" s="1296">
        <v>190</v>
      </c>
      <c r="I1819" t="str">
        <f t="shared" si="28"/>
        <v>-</v>
      </c>
    </row>
    <row r="1820" spans="1:9" x14ac:dyDescent="0.25">
      <c r="A1820">
        <v>16081</v>
      </c>
      <c r="B1820" t="s">
        <v>524</v>
      </c>
      <c r="C1820" t="s">
        <v>2025</v>
      </c>
      <c r="D1820" t="s">
        <v>1618</v>
      </c>
      <c r="F1820">
        <v>1</v>
      </c>
      <c r="G1820">
        <v>2</v>
      </c>
      <c r="H1820" s="1296">
        <v>2</v>
      </c>
      <c r="I1820" t="str">
        <f t="shared" si="28"/>
        <v>-</v>
      </c>
    </row>
    <row r="1821" spans="1:9" x14ac:dyDescent="0.25">
      <c r="A1821">
        <v>16082</v>
      </c>
      <c r="B1821" t="s">
        <v>524</v>
      </c>
      <c r="C1821" t="s">
        <v>2025</v>
      </c>
      <c r="D1821" t="s">
        <v>655</v>
      </c>
      <c r="E1821" t="s">
        <v>94</v>
      </c>
      <c r="F1821">
        <v>2</v>
      </c>
      <c r="G1821">
        <v>5</v>
      </c>
      <c r="H1821" s="1296">
        <v>10</v>
      </c>
      <c r="I1821" t="str">
        <f t="shared" si="28"/>
        <v>-</v>
      </c>
    </row>
    <row r="1822" spans="1:9" x14ac:dyDescent="0.25">
      <c r="A1822">
        <v>16083</v>
      </c>
      <c r="B1822" t="s">
        <v>524</v>
      </c>
      <c r="C1822" t="s">
        <v>2025</v>
      </c>
      <c r="D1822" t="s">
        <v>68</v>
      </c>
      <c r="E1822" t="s">
        <v>91</v>
      </c>
      <c r="F1822">
        <v>10</v>
      </c>
      <c r="G1822">
        <v>5</v>
      </c>
      <c r="H1822" s="1296">
        <v>50</v>
      </c>
      <c r="I1822" t="str">
        <f t="shared" si="28"/>
        <v>-</v>
      </c>
    </row>
    <row r="1823" spans="1:9" x14ac:dyDescent="0.25">
      <c r="A1823">
        <v>16126</v>
      </c>
      <c r="B1823" t="s">
        <v>1318</v>
      </c>
      <c r="C1823" t="s">
        <v>1903</v>
      </c>
      <c r="D1823" t="s">
        <v>53</v>
      </c>
      <c r="E1823" t="s">
        <v>54</v>
      </c>
      <c r="F1823">
        <v>5</v>
      </c>
      <c r="G1823">
        <v>5</v>
      </c>
      <c r="H1823" s="1296">
        <v>25</v>
      </c>
      <c r="I1823" t="str">
        <f t="shared" si="28"/>
        <v>-</v>
      </c>
    </row>
    <row r="1824" spans="1:9" x14ac:dyDescent="0.25">
      <c r="A1824">
        <v>16127</v>
      </c>
      <c r="B1824" t="s">
        <v>1318</v>
      </c>
      <c r="C1824" t="s">
        <v>1903</v>
      </c>
      <c r="D1824" t="s">
        <v>2247</v>
      </c>
      <c r="E1824" t="s">
        <v>25</v>
      </c>
      <c r="F1824">
        <v>9</v>
      </c>
      <c r="G1824">
        <v>5</v>
      </c>
      <c r="H1824" s="1296">
        <v>45</v>
      </c>
      <c r="I1824" t="str">
        <f t="shared" si="28"/>
        <v>-</v>
      </c>
    </row>
    <row r="1825" spans="1:9" x14ac:dyDescent="0.25">
      <c r="A1825">
        <v>16128</v>
      </c>
      <c r="B1825" t="s">
        <v>1318</v>
      </c>
      <c r="C1825" t="s">
        <v>1903</v>
      </c>
      <c r="D1825" t="s">
        <v>132</v>
      </c>
      <c r="E1825" t="s">
        <v>330</v>
      </c>
      <c r="F1825">
        <v>18</v>
      </c>
      <c r="G1825">
        <v>5</v>
      </c>
      <c r="H1825" s="1296">
        <v>90</v>
      </c>
      <c r="I1825" t="str">
        <f t="shared" si="28"/>
        <v>-</v>
      </c>
    </row>
    <row r="1826" spans="1:9" x14ac:dyDescent="0.25">
      <c r="A1826">
        <v>16129</v>
      </c>
      <c r="B1826" t="s">
        <v>1318</v>
      </c>
      <c r="C1826" t="s">
        <v>1903</v>
      </c>
      <c r="D1826" t="s">
        <v>2248</v>
      </c>
      <c r="E1826" t="s">
        <v>77</v>
      </c>
      <c r="F1826">
        <v>12</v>
      </c>
      <c r="G1826">
        <v>5</v>
      </c>
      <c r="H1826" s="1296">
        <v>60</v>
      </c>
      <c r="I1826" t="str">
        <f t="shared" si="28"/>
        <v>-</v>
      </c>
    </row>
    <row r="1827" spans="1:9" x14ac:dyDescent="0.25">
      <c r="A1827">
        <v>16130</v>
      </c>
      <c r="B1827" t="s">
        <v>1318</v>
      </c>
      <c r="C1827" t="s">
        <v>1903</v>
      </c>
      <c r="D1827" t="s">
        <v>2249</v>
      </c>
      <c r="E1827" t="s">
        <v>335</v>
      </c>
      <c r="F1827">
        <v>2</v>
      </c>
      <c r="G1827">
        <v>5</v>
      </c>
      <c r="H1827" s="1296">
        <v>10</v>
      </c>
      <c r="I1827" t="str">
        <f t="shared" si="28"/>
        <v>-</v>
      </c>
    </row>
    <row r="1828" spans="1:9" x14ac:dyDescent="0.25">
      <c r="A1828">
        <v>16131</v>
      </c>
      <c r="B1828" t="s">
        <v>1318</v>
      </c>
      <c r="C1828" t="s">
        <v>1903</v>
      </c>
      <c r="D1828" t="s">
        <v>125</v>
      </c>
      <c r="E1828" t="s">
        <v>324</v>
      </c>
      <c r="F1828">
        <v>4</v>
      </c>
      <c r="G1828">
        <v>5</v>
      </c>
      <c r="H1828" s="1296">
        <v>20</v>
      </c>
      <c r="I1828" t="str">
        <f t="shared" si="28"/>
        <v>-</v>
      </c>
    </row>
    <row r="1829" spans="1:9" x14ac:dyDescent="0.25">
      <c r="A1829">
        <v>16132</v>
      </c>
      <c r="B1829" t="s">
        <v>1318</v>
      </c>
      <c r="C1829" t="s">
        <v>1903</v>
      </c>
      <c r="D1829" t="s">
        <v>2250</v>
      </c>
      <c r="E1829" t="s">
        <v>41</v>
      </c>
      <c r="F1829">
        <v>2</v>
      </c>
      <c r="G1829">
        <v>5</v>
      </c>
      <c r="H1829" s="1296">
        <v>10</v>
      </c>
      <c r="I1829" t="str">
        <f t="shared" si="28"/>
        <v>-</v>
      </c>
    </row>
    <row r="1830" spans="1:9" x14ac:dyDescent="0.25">
      <c r="A1830">
        <v>16133</v>
      </c>
      <c r="B1830" t="s">
        <v>1318</v>
      </c>
      <c r="C1830" t="s">
        <v>1903</v>
      </c>
      <c r="D1830" t="s">
        <v>2251</v>
      </c>
      <c r="E1830" t="s">
        <v>331</v>
      </c>
      <c r="F1830">
        <v>14</v>
      </c>
      <c r="G1830">
        <v>5</v>
      </c>
      <c r="H1830" s="1296">
        <v>70</v>
      </c>
      <c r="I1830" t="str">
        <f t="shared" si="28"/>
        <v>-</v>
      </c>
    </row>
    <row r="1831" spans="1:9" x14ac:dyDescent="0.25">
      <c r="A1831">
        <v>16134</v>
      </c>
      <c r="B1831" t="s">
        <v>1318</v>
      </c>
      <c r="C1831" t="s">
        <v>1903</v>
      </c>
      <c r="D1831" t="s">
        <v>2252</v>
      </c>
      <c r="E1831" t="s">
        <v>321</v>
      </c>
      <c r="F1831">
        <v>4</v>
      </c>
      <c r="G1831">
        <v>5</v>
      </c>
      <c r="H1831" s="1296">
        <v>20</v>
      </c>
      <c r="I1831" t="str">
        <f t="shared" si="28"/>
        <v>-</v>
      </c>
    </row>
    <row r="1832" spans="1:9" x14ac:dyDescent="0.25">
      <c r="A1832">
        <v>16135</v>
      </c>
      <c r="B1832" t="s">
        <v>1318</v>
      </c>
      <c r="C1832" t="s">
        <v>1903</v>
      </c>
      <c r="D1832" t="s">
        <v>121</v>
      </c>
      <c r="E1832" t="s">
        <v>316</v>
      </c>
      <c r="F1832">
        <v>5</v>
      </c>
      <c r="G1832">
        <v>10</v>
      </c>
      <c r="H1832" s="1296">
        <v>50</v>
      </c>
      <c r="I1832" t="str">
        <f t="shared" si="28"/>
        <v>-</v>
      </c>
    </row>
    <row r="1833" spans="1:9" x14ac:dyDescent="0.25">
      <c r="A1833">
        <v>16136</v>
      </c>
      <c r="B1833" t="s">
        <v>1318</v>
      </c>
      <c r="C1833" t="s">
        <v>1903</v>
      </c>
      <c r="D1833" t="s">
        <v>120</v>
      </c>
      <c r="E1833" t="s">
        <v>298</v>
      </c>
      <c r="F1833">
        <v>8</v>
      </c>
      <c r="G1833">
        <v>5</v>
      </c>
      <c r="H1833" s="1296">
        <v>40</v>
      </c>
      <c r="I1833" t="str">
        <f t="shared" si="28"/>
        <v>-</v>
      </c>
    </row>
    <row r="1834" spans="1:9" x14ac:dyDescent="0.25">
      <c r="A1834">
        <v>16137</v>
      </c>
      <c r="B1834" t="s">
        <v>1318</v>
      </c>
      <c r="C1834" t="s">
        <v>1903</v>
      </c>
      <c r="D1834" t="s">
        <v>3</v>
      </c>
      <c r="E1834" t="s">
        <v>4</v>
      </c>
      <c r="F1834">
        <v>8</v>
      </c>
      <c r="G1834">
        <v>5</v>
      </c>
      <c r="H1834" s="1296">
        <v>40</v>
      </c>
      <c r="I1834" t="str">
        <f t="shared" si="28"/>
        <v>-</v>
      </c>
    </row>
    <row r="1835" spans="1:9" x14ac:dyDescent="0.25">
      <c r="A1835">
        <v>16139</v>
      </c>
      <c r="B1835" t="s">
        <v>1318</v>
      </c>
      <c r="C1835" t="s">
        <v>1903</v>
      </c>
      <c r="D1835" t="s">
        <v>2254</v>
      </c>
      <c r="F1835">
        <v>5</v>
      </c>
      <c r="G1835">
        <v>10</v>
      </c>
      <c r="H1835" s="1296">
        <v>50</v>
      </c>
      <c r="I1835" t="str">
        <f t="shared" si="28"/>
        <v>-</v>
      </c>
    </row>
    <row r="1836" spans="1:9" x14ac:dyDescent="0.25">
      <c r="A1836">
        <v>16140</v>
      </c>
      <c r="B1836" t="s">
        <v>1318</v>
      </c>
      <c r="C1836" t="s">
        <v>1903</v>
      </c>
      <c r="D1836" t="s">
        <v>2255</v>
      </c>
      <c r="F1836">
        <v>13</v>
      </c>
      <c r="G1836">
        <v>10</v>
      </c>
      <c r="H1836" s="1296">
        <v>130</v>
      </c>
      <c r="I1836" t="str">
        <f t="shared" si="28"/>
        <v>-</v>
      </c>
    </row>
    <row r="1837" spans="1:9" x14ac:dyDescent="0.25">
      <c r="A1837">
        <v>16141</v>
      </c>
      <c r="B1837" t="s">
        <v>1318</v>
      </c>
      <c r="C1837" t="s">
        <v>1903</v>
      </c>
      <c r="D1837" t="s">
        <v>2256</v>
      </c>
      <c r="F1837">
        <v>3</v>
      </c>
      <c r="G1837">
        <v>5</v>
      </c>
      <c r="H1837" s="1296">
        <v>15</v>
      </c>
      <c r="I1837" t="str">
        <f t="shared" si="28"/>
        <v>-</v>
      </c>
    </row>
    <row r="1838" spans="1:9" x14ac:dyDescent="0.25">
      <c r="A1838">
        <v>16142</v>
      </c>
      <c r="B1838" t="s">
        <v>1318</v>
      </c>
      <c r="C1838" t="s">
        <v>1903</v>
      </c>
      <c r="D1838" t="s">
        <v>2257</v>
      </c>
      <c r="F1838">
        <v>4</v>
      </c>
      <c r="G1838">
        <v>5</v>
      </c>
      <c r="H1838" s="1296">
        <v>20</v>
      </c>
      <c r="I1838" t="str">
        <f t="shared" si="28"/>
        <v>-</v>
      </c>
    </row>
    <row r="1839" spans="1:9" x14ac:dyDescent="0.25">
      <c r="A1839">
        <v>16171</v>
      </c>
      <c r="B1839" t="s">
        <v>1318</v>
      </c>
      <c r="C1839" t="s">
        <v>1906</v>
      </c>
      <c r="D1839" t="s">
        <v>93</v>
      </c>
      <c r="E1839" t="s">
        <v>94</v>
      </c>
      <c r="F1839">
        <v>2</v>
      </c>
      <c r="G1839">
        <v>5</v>
      </c>
      <c r="H1839" s="1296">
        <v>10</v>
      </c>
      <c r="I1839" t="str">
        <f t="shared" si="28"/>
        <v>-</v>
      </c>
    </row>
    <row r="1840" spans="1:9" x14ac:dyDescent="0.25">
      <c r="A1840">
        <v>16172</v>
      </c>
      <c r="B1840" t="s">
        <v>1318</v>
      </c>
      <c r="C1840" t="s">
        <v>1906</v>
      </c>
      <c r="D1840" t="s">
        <v>2247</v>
      </c>
      <c r="E1840" t="s">
        <v>25</v>
      </c>
      <c r="F1840">
        <v>9</v>
      </c>
      <c r="G1840">
        <v>5</v>
      </c>
      <c r="H1840" s="1296">
        <v>45</v>
      </c>
      <c r="I1840" t="str">
        <f t="shared" si="28"/>
        <v>-</v>
      </c>
    </row>
    <row r="1841" spans="1:9" x14ac:dyDescent="0.25">
      <c r="A1841">
        <v>16173</v>
      </c>
      <c r="B1841" t="s">
        <v>1318</v>
      </c>
      <c r="C1841" t="s">
        <v>1906</v>
      </c>
      <c r="D1841" t="s">
        <v>132</v>
      </c>
      <c r="E1841" t="s">
        <v>330</v>
      </c>
      <c r="F1841">
        <v>10</v>
      </c>
      <c r="G1841">
        <v>5</v>
      </c>
      <c r="H1841" s="1296">
        <v>50</v>
      </c>
      <c r="I1841" t="str">
        <f t="shared" si="28"/>
        <v>-</v>
      </c>
    </row>
    <row r="1842" spans="1:9" x14ac:dyDescent="0.25">
      <c r="A1842">
        <v>16174</v>
      </c>
      <c r="B1842" t="s">
        <v>1318</v>
      </c>
      <c r="C1842" t="s">
        <v>1906</v>
      </c>
      <c r="D1842" t="s">
        <v>2248</v>
      </c>
      <c r="E1842" t="s">
        <v>77</v>
      </c>
      <c r="F1842">
        <v>4</v>
      </c>
      <c r="G1842">
        <v>5</v>
      </c>
      <c r="H1842" s="1296">
        <v>20</v>
      </c>
      <c r="I1842" t="str">
        <f t="shared" si="28"/>
        <v>-</v>
      </c>
    </row>
    <row r="1843" spans="1:9" x14ac:dyDescent="0.25">
      <c r="A1843">
        <v>16175</v>
      </c>
      <c r="B1843" t="s">
        <v>1318</v>
      </c>
      <c r="C1843" t="s">
        <v>1906</v>
      </c>
      <c r="D1843" t="s">
        <v>2250</v>
      </c>
      <c r="E1843" t="s">
        <v>41</v>
      </c>
      <c r="F1843">
        <v>2</v>
      </c>
      <c r="G1843">
        <v>5</v>
      </c>
      <c r="H1843" s="1296">
        <v>10</v>
      </c>
      <c r="I1843" t="str">
        <f t="shared" si="28"/>
        <v>-</v>
      </c>
    </row>
    <row r="1844" spans="1:9" x14ac:dyDescent="0.25">
      <c r="A1844">
        <v>16176</v>
      </c>
      <c r="B1844" t="s">
        <v>1318</v>
      </c>
      <c r="C1844" t="s">
        <v>1906</v>
      </c>
      <c r="D1844" t="s">
        <v>2251</v>
      </c>
      <c r="E1844" t="s">
        <v>331</v>
      </c>
      <c r="F1844">
        <v>20</v>
      </c>
      <c r="G1844">
        <v>5</v>
      </c>
      <c r="H1844" s="1296">
        <v>100</v>
      </c>
      <c r="I1844" t="str">
        <f t="shared" si="28"/>
        <v>-</v>
      </c>
    </row>
    <row r="1845" spans="1:9" x14ac:dyDescent="0.25">
      <c r="A1845">
        <v>16177</v>
      </c>
      <c r="B1845" t="s">
        <v>1318</v>
      </c>
      <c r="C1845" t="s">
        <v>1906</v>
      </c>
      <c r="D1845" t="s">
        <v>121</v>
      </c>
      <c r="E1845" t="s">
        <v>316</v>
      </c>
      <c r="F1845">
        <v>5</v>
      </c>
      <c r="G1845">
        <v>10</v>
      </c>
      <c r="H1845" s="1296">
        <v>50</v>
      </c>
      <c r="I1845" t="str">
        <f t="shared" si="28"/>
        <v>-</v>
      </c>
    </row>
    <row r="1846" spans="1:9" x14ac:dyDescent="0.25">
      <c r="A1846">
        <v>16178</v>
      </c>
      <c r="B1846" t="s">
        <v>1318</v>
      </c>
      <c r="C1846" t="s">
        <v>1906</v>
      </c>
      <c r="D1846" t="s">
        <v>3</v>
      </c>
      <c r="E1846" t="s">
        <v>4</v>
      </c>
      <c r="F1846">
        <v>4</v>
      </c>
      <c r="G1846">
        <v>5</v>
      </c>
      <c r="H1846" s="1296">
        <v>20</v>
      </c>
      <c r="I1846" t="str">
        <f t="shared" si="28"/>
        <v>-</v>
      </c>
    </row>
    <row r="1847" spans="1:9" x14ac:dyDescent="0.25">
      <c r="A1847">
        <v>16180</v>
      </c>
      <c r="B1847" t="s">
        <v>1318</v>
      </c>
      <c r="C1847" t="s">
        <v>1906</v>
      </c>
      <c r="D1847" t="s">
        <v>2258</v>
      </c>
      <c r="F1847">
        <v>3</v>
      </c>
      <c r="G1847">
        <v>10</v>
      </c>
      <c r="H1847" s="1296">
        <v>30</v>
      </c>
      <c r="I1847" t="str">
        <f t="shared" si="28"/>
        <v>-</v>
      </c>
    </row>
    <row r="1848" spans="1:9" x14ac:dyDescent="0.25">
      <c r="A1848">
        <v>16182</v>
      </c>
      <c r="B1848" t="s">
        <v>1318</v>
      </c>
      <c r="C1848" t="s">
        <v>1906</v>
      </c>
      <c r="D1848" t="s">
        <v>148</v>
      </c>
      <c r="F1848">
        <v>1</v>
      </c>
      <c r="G1848">
        <v>1</v>
      </c>
      <c r="H1848" s="1296">
        <v>1</v>
      </c>
      <c r="I1848" t="str">
        <f t="shared" si="28"/>
        <v>-</v>
      </c>
    </row>
    <row r="1849" spans="1:9" x14ac:dyDescent="0.25">
      <c r="A1849">
        <v>16213</v>
      </c>
      <c r="B1849" t="s">
        <v>1318</v>
      </c>
      <c r="C1849" t="s">
        <v>1557</v>
      </c>
      <c r="D1849" t="s">
        <v>2261</v>
      </c>
      <c r="E1849" t="s">
        <v>142</v>
      </c>
      <c r="F1849">
        <v>2</v>
      </c>
      <c r="G1849">
        <v>5</v>
      </c>
      <c r="H1849" s="1296">
        <v>10</v>
      </c>
      <c r="I1849" t="str">
        <f t="shared" si="28"/>
        <v>-</v>
      </c>
    </row>
    <row r="1850" spans="1:9" x14ac:dyDescent="0.25">
      <c r="A1850">
        <v>16214</v>
      </c>
      <c r="B1850" t="s">
        <v>1318</v>
      </c>
      <c r="C1850" t="s">
        <v>1557</v>
      </c>
      <c r="D1850" t="s">
        <v>53</v>
      </c>
      <c r="E1850" t="s">
        <v>54</v>
      </c>
      <c r="F1850">
        <v>4</v>
      </c>
      <c r="G1850">
        <v>5</v>
      </c>
      <c r="H1850" s="1296">
        <v>20</v>
      </c>
      <c r="I1850" t="str">
        <f t="shared" si="28"/>
        <v>-</v>
      </c>
    </row>
    <row r="1851" spans="1:9" x14ac:dyDescent="0.25">
      <c r="A1851">
        <v>16215</v>
      </c>
      <c r="B1851" t="s">
        <v>1318</v>
      </c>
      <c r="C1851" t="s">
        <v>1557</v>
      </c>
      <c r="D1851" t="s">
        <v>93</v>
      </c>
      <c r="E1851" t="s">
        <v>94</v>
      </c>
      <c r="F1851">
        <v>1</v>
      </c>
      <c r="G1851">
        <v>5</v>
      </c>
      <c r="H1851" s="1296">
        <v>5</v>
      </c>
      <c r="I1851" t="str">
        <f t="shared" si="28"/>
        <v>-</v>
      </c>
    </row>
    <row r="1852" spans="1:9" x14ac:dyDescent="0.25">
      <c r="A1852">
        <v>16216</v>
      </c>
      <c r="B1852" t="s">
        <v>1318</v>
      </c>
      <c r="C1852" t="s">
        <v>1557</v>
      </c>
      <c r="D1852" t="s">
        <v>68</v>
      </c>
      <c r="E1852" t="s">
        <v>91</v>
      </c>
      <c r="F1852">
        <v>10</v>
      </c>
      <c r="G1852">
        <v>5</v>
      </c>
      <c r="H1852" s="1296">
        <v>50</v>
      </c>
      <c r="I1852" t="str">
        <f t="shared" si="28"/>
        <v>-</v>
      </c>
    </row>
    <row r="1853" spans="1:9" x14ac:dyDescent="0.25">
      <c r="A1853">
        <v>16217</v>
      </c>
      <c r="B1853" t="s">
        <v>1318</v>
      </c>
      <c r="C1853" t="s">
        <v>1557</v>
      </c>
      <c r="D1853" t="s">
        <v>2247</v>
      </c>
      <c r="E1853" t="s">
        <v>25</v>
      </c>
      <c r="F1853">
        <v>9</v>
      </c>
      <c r="G1853">
        <v>5</v>
      </c>
      <c r="H1853" s="1296">
        <v>45</v>
      </c>
      <c r="I1853" t="str">
        <f t="shared" si="28"/>
        <v>-</v>
      </c>
    </row>
    <row r="1854" spans="1:9" x14ac:dyDescent="0.25">
      <c r="A1854">
        <v>16218</v>
      </c>
      <c r="B1854" t="s">
        <v>1318</v>
      </c>
      <c r="C1854" t="s">
        <v>1557</v>
      </c>
      <c r="D1854" t="s">
        <v>132</v>
      </c>
      <c r="E1854" t="s">
        <v>330</v>
      </c>
      <c r="F1854">
        <v>8</v>
      </c>
      <c r="G1854">
        <v>5</v>
      </c>
      <c r="H1854" s="1296">
        <v>40</v>
      </c>
      <c r="I1854" t="str">
        <f t="shared" si="28"/>
        <v>-</v>
      </c>
    </row>
    <row r="1855" spans="1:9" x14ac:dyDescent="0.25">
      <c r="A1855">
        <v>16219</v>
      </c>
      <c r="B1855" t="s">
        <v>1318</v>
      </c>
      <c r="C1855" t="s">
        <v>1557</v>
      </c>
      <c r="D1855" t="s">
        <v>2249</v>
      </c>
      <c r="E1855" t="s">
        <v>335</v>
      </c>
      <c r="F1855">
        <v>2</v>
      </c>
      <c r="G1855">
        <v>5</v>
      </c>
      <c r="H1855" s="1296">
        <v>10</v>
      </c>
      <c r="I1855" t="str">
        <f t="shared" si="28"/>
        <v>-</v>
      </c>
    </row>
    <row r="1856" spans="1:9" x14ac:dyDescent="0.25">
      <c r="A1856">
        <v>16220</v>
      </c>
      <c r="B1856" t="s">
        <v>1318</v>
      </c>
      <c r="C1856" t="s">
        <v>1557</v>
      </c>
      <c r="D1856" t="s">
        <v>125</v>
      </c>
      <c r="E1856" t="s">
        <v>324</v>
      </c>
      <c r="F1856">
        <v>1</v>
      </c>
      <c r="G1856">
        <v>5</v>
      </c>
      <c r="H1856" s="1296">
        <v>5</v>
      </c>
      <c r="I1856" t="str">
        <f t="shared" si="28"/>
        <v>-</v>
      </c>
    </row>
    <row r="1857" spans="1:9" x14ac:dyDescent="0.25">
      <c r="A1857">
        <v>16221</v>
      </c>
      <c r="B1857" t="s">
        <v>1318</v>
      </c>
      <c r="C1857" t="s">
        <v>1557</v>
      </c>
      <c r="D1857" t="s">
        <v>2250</v>
      </c>
      <c r="E1857" t="s">
        <v>41</v>
      </c>
      <c r="F1857">
        <v>2</v>
      </c>
      <c r="G1857">
        <v>5</v>
      </c>
      <c r="H1857" s="1296">
        <v>10</v>
      </c>
      <c r="I1857" t="str">
        <f t="shared" si="28"/>
        <v>-</v>
      </c>
    </row>
    <row r="1858" spans="1:9" x14ac:dyDescent="0.25">
      <c r="A1858">
        <v>16222</v>
      </c>
      <c r="B1858" t="s">
        <v>1318</v>
      </c>
      <c r="C1858" t="s">
        <v>1557</v>
      </c>
      <c r="D1858" t="s">
        <v>127</v>
      </c>
      <c r="E1858" t="s">
        <v>326</v>
      </c>
      <c r="F1858">
        <v>4</v>
      </c>
      <c r="G1858">
        <v>5</v>
      </c>
      <c r="H1858" s="1296">
        <v>20</v>
      </c>
      <c r="I1858" t="str">
        <f t="shared" ref="I1858:I1912" si="29">INDEX($N$2:$N$355,MATCH($A1858,$L$2:$L$355,1))</f>
        <v>-</v>
      </c>
    </row>
    <row r="1859" spans="1:9" x14ac:dyDescent="0.25">
      <c r="A1859">
        <v>16223</v>
      </c>
      <c r="B1859" t="s">
        <v>1318</v>
      </c>
      <c r="C1859" t="s">
        <v>1557</v>
      </c>
      <c r="D1859" t="s">
        <v>2251</v>
      </c>
      <c r="E1859" t="s">
        <v>331</v>
      </c>
      <c r="F1859">
        <v>8</v>
      </c>
      <c r="G1859">
        <v>5</v>
      </c>
      <c r="H1859" s="1296">
        <v>40</v>
      </c>
      <c r="I1859" t="str">
        <f t="shared" si="29"/>
        <v>-</v>
      </c>
    </row>
    <row r="1860" spans="1:9" x14ac:dyDescent="0.25">
      <c r="A1860">
        <v>16224</v>
      </c>
      <c r="B1860" t="s">
        <v>1318</v>
      </c>
      <c r="C1860" t="s">
        <v>1557</v>
      </c>
      <c r="D1860" t="s">
        <v>121</v>
      </c>
      <c r="E1860" t="s">
        <v>316</v>
      </c>
      <c r="F1860">
        <v>4</v>
      </c>
      <c r="G1860">
        <v>10</v>
      </c>
      <c r="H1860" s="1296">
        <v>40</v>
      </c>
      <c r="I1860" t="str">
        <f t="shared" si="29"/>
        <v>-</v>
      </c>
    </row>
    <row r="1861" spans="1:9" x14ac:dyDescent="0.25">
      <c r="A1861">
        <v>16225</v>
      </c>
      <c r="B1861" t="s">
        <v>1318</v>
      </c>
      <c r="C1861" t="s">
        <v>1557</v>
      </c>
      <c r="D1861" t="s">
        <v>120</v>
      </c>
      <c r="E1861" t="s">
        <v>298</v>
      </c>
      <c r="F1861">
        <v>6</v>
      </c>
      <c r="G1861">
        <v>5</v>
      </c>
      <c r="H1861" s="1296">
        <v>30</v>
      </c>
      <c r="I1861" t="str">
        <f t="shared" si="29"/>
        <v>-</v>
      </c>
    </row>
    <row r="1862" spans="1:9" x14ac:dyDescent="0.25">
      <c r="A1862">
        <v>16226</v>
      </c>
      <c r="B1862" t="s">
        <v>1318</v>
      </c>
      <c r="C1862" t="s">
        <v>1557</v>
      </c>
      <c r="D1862" t="s">
        <v>3</v>
      </c>
      <c r="E1862" t="s">
        <v>4</v>
      </c>
      <c r="F1862">
        <v>4</v>
      </c>
      <c r="G1862">
        <v>5</v>
      </c>
      <c r="H1862" s="1296">
        <v>20</v>
      </c>
      <c r="I1862" t="str">
        <f t="shared" si="29"/>
        <v>-</v>
      </c>
    </row>
    <row r="1863" spans="1:9" x14ac:dyDescent="0.25">
      <c r="A1863">
        <v>16227</v>
      </c>
      <c r="B1863" t="s">
        <v>1318</v>
      </c>
      <c r="C1863" t="s">
        <v>1557</v>
      </c>
      <c r="D1863" t="s">
        <v>118</v>
      </c>
      <c r="E1863" t="s">
        <v>204</v>
      </c>
      <c r="F1863">
        <v>2</v>
      </c>
      <c r="G1863">
        <v>5</v>
      </c>
      <c r="H1863" s="1296">
        <v>10</v>
      </c>
      <c r="I1863" t="str">
        <f t="shared" si="29"/>
        <v>-</v>
      </c>
    </row>
    <row r="1864" spans="1:9" x14ac:dyDescent="0.25">
      <c r="A1864">
        <v>16229</v>
      </c>
      <c r="B1864" t="s">
        <v>1318</v>
      </c>
      <c r="C1864" t="s">
        <v>1557</v>
      </c>
      <c r="D1864" t="s">
        <v>2255</v>
      </c>
      <c r="F1864">
        <v>10</v>
      </c>
      <c r="G1864">
        <v>10</v>
      </c>
      <c r="H1864" s="1296">
        <v>100</v>
      </c>
      <c r="I1864" t="str">
        <f t="shared" si="29"/>
        <v>-</v>
      </c>
    </row>
    <row r="1865" spans="1:9" x14ac:dyDescent="0.25">
      <c r="A1865">
        <v>16230</v>
      </c>
      <c r="B1865" t="s">
        <v>1318</v>
      </c>
      <c r="C1865" t="s">
        <v>1557</v>
      </c>
      <c r="D1865" t="s">
        <v>2256</v>
      </c>
      <c r="F1865">
        <v>5</v>
      </c>
      <c r="G1865">
        <v>5</v>
      </c>
      <c r="H1865" s="1296">
        <v>25</v>
      </c>
      <c r="I1865" t="str">
        <f t="shared" si="29"/>
        <v>-</v>
      </c>
    </row>
    <row r="1866" spans="1:9" x14ac:dyDescent="0.25">
      <c r="A1866">
        <v>16231</v>
      </c>
      <c r="B1866" t="s">
        <v>1318</v>
      </c>
      <c r="C1866" t="s">
        <v>1557</v>
      </c>
      <c r="D1866" t="s">
        <v>2257</v>
      </c>
      <c r="F1866">
        <v>3</v>
      </c>
      <c r="G1866">
        <v>5</v>
      </c>
      <c r="H1866" s="1296">
        <v>15</v>
      </c>
      <c r="I1866" t="str">
        <f t="shared" si="29"/>
        <v>-</v>
      </c>
    </row>
    <row r="1867" spans="1:9" x14ac:dyDescent="0.25">
      <c r="A1867">
        <v>16233</v>
      </c>
      <c r="B1867" t="s">
        <v>1318</v>
      </c>
      <c r="C1867" t="s">
        <v>1557</v>
      </c>
      <c r="D1867" t="s">
        <v>2258</v>
      </c>
      <c r="F1867">
        <v>5</v>
      </c>
      <c r="G1867">
        <v>10</v>
      </c>
      <c r="H1867" s="1296">
        <v>50</v>
      </c>
      <c r="I1867" t="str">
        <f t="shared" si="29"/>
        <v>-</v>
      </c>
    </row>
    <row r="1868" spans="1:9" x14ac:dyDescent="0.25">
      <c r="A1868">
        <v>16234</v>
      </c>
      <c r="B1868" t="s">
        <v>1318</v>
      </c>
      <c r="C1868" t="s">
        <v>1557</v>
      </c>
      <c r="D1868" t="s">
        <v>2262</v>
      </c>
      <c r="F1868">
        <v>2</v>
      </c>
      <c r="G1868">
        <v>10</v>
      </c>
      <c r="H1868" s="1296">
        <v>20</v>
      </c>
      <c r="I1868" t="str">
        <f t="shared" si="29"/>
        <v>-</v>
      </c>
    </row>
    <row r="1869" spans="1:9" x14ac:dyDescent="0.25">
      <c r="A1869">
        <v>16236</v>
      </c>
      <c r="B1869" t="s">
        <v>1318</v>
      </c>
      <c r="C1869" t="s">
        <v>1557</v>
      </c>
      <c r="D1869" t="s">
        <v>143</v>
      </c>
      <c r="E1869" t="s">
        <v>374</v>
      </c>
      <c r="F1869">
        <v>1</v>
      </c>
      <c r="G1869">
        <v>6</v>
      </c>
      <c r="H1869" s="1296">
        <v>6</v>
      </c>
      <c r="I1869" t="str">
        <f t="shared" si="29"/>
        <v>-</v>
      </c>
    </row>
    <row r="1870" spans="1:9" x14ac:dyDescent="0.25">
      <c r="A1870">
        <v>16237</v>
      </c>
      <c r="B1870" t="s">
        <v>1318</v>
      </c>
      <c r="C1870" t="s">
        <v>1557</v>
      </c>
      <c r="D1870" t="s">
        <v>215</v>
      </c>
      <c r="F1870">
        <v>2</v>
      </c>
      <c r="G1870">
        <v>4</v>
      </c>
      <c r="H1870" s="1296">
        <v>8</v>
      </c>
      <c r="I1870" t="str">
        <f t="shared" si="29"/>
        <v>-</v>
      </c>
    </row>
    <row r="1871" spans="1:9" x14ac:dyDescent="0.25">
      <c r="A1871">
        <v>16238</v>
      </c>
      <c r="B1871" t="s">
        <v>1318</v>
      </c>
      <c r="C1871" t="s">
        <v>1557</v>
      </c>
      <c r="D1871" t="s">
        <v>216</v>
      </c>
      <c r="E1871" t="s">
        <v>387</v>
      </c>
      <c r="F1871">
        <v>3</v>
      </c>
      <c r="G1871">
        <v>6</v>
      </c>
      <c r="H1871" s="1296">
        <v>18</v>
      </c>
      <c r="I1871" t="str">
        <f t="shared" si="29"/>
        <v>-</v>
      </c>
    </row>
    <row r="1872" spans="1:9" x14ac:dyDescent="0.25">
      <c r="A1872">
        <v>16239</v>
      </c>
      <c r="B1872" t="s">
        <v>1318</v>
      </c>
      <c r="C1872" t="s">
        <v>1557</v>
      </c>
      <c r="D1872" t="s">
        <v>222</v>
      </c>
      <c r="E1872" t="s">
        <v>393</v>
      </c>
      <c r="F1872">
        <v>1</v>
      </c>
      <c r="G1872">
        <v>6</v>
      </c>
      <c r="H1872" s="1296">
        <v>6</v>
      </c>
      <c r="I1872" t="str">
        <f t="shared" si="29"/>
        <v>-</v>
      </c>
    </row>
    <row r="1873" spans="1:9" x14ac:dyDescent="0.25">
      <c r="A1873">
        <v>16240</v>
      </c>
      <c r="B1873" t="s">
        <v>1318</v>
      </c>
      <c r="C1873" t="s">
        <v>1557</v>
      </c>
      <c r="D1873" t="s">
        <v>227</v>
      </c>
      <c r="E1873" t="s">
        <v>396</v>
      </c>
      <c r="F1873">
        <v>1</v>
      </c>
      <c r="G1873">
        <v>6</v>
      </c>
      <c r="H1873" s="1296">
        <v>6</v>
      </c>
      <c r="I1873" t="str">
        <f t="shared" si="29"/>
        <v>-</v>
      </c>
    </row>
    <row r="1874" spans="1:9" x14ac:dyDescent="0.25">
      <c r="A1874">
        <v>16262</v>
      </c>
      <c r="B1874" t="s">
        <v>1318</v>
      </c>
      <c r="C1874" t="s">
        <v>1913</v>
      </c>
      <c r="D1874" t="s">
        <v>68</v>
      </c>
      <c r="E1874" t="s">
        <v>91</v>
      </c>
      <c r="F1874">
        <v>10</v>
      </c>
      <c r="G1874">
        <v>5</v>
      </c>
      <c r="H1874" s="1296">
        <v>50</v>
      </c>
      <c r="I1874" t="str">
        <f t="shared" si="29"/>
        <v>-</v>
      </c>
    </row>
    <row r="1875" spans="1:9" x14ac:dyDescent="0.25">
      <c r="A1875">
        <v>16263</v>
      </c>
      <c r="B1875" t="s">
        <v>1318</v>
      </c>
      <c r="C1875" t="s">
        <v>1913</v>
      </c>
      <c r="D1875" t="s">
        <v>2247</v>
      </c>
      <c r="E1875" t="s">
        <v>25</v>
      </c>
      <c r="F1875">
        <v>9</v>
      </c>
      <c r="G1875">
        <v>5</v>
      </c>
      <c r="H1875" s="1296">
        <v>45</v>
      </c>
      <c r="I1875" t="str">
        <f t="shared" si="29"/>
        <v>-</v>
      </c>
    </row>
    <row r="1876" spans="1:9" x14ac:dyDescent="0.25">
      <c r="A1876">
        <v>16264</v>
      </c>
      <c r="B1876" t="s">
        <v>1318</v>
      </c>
      <c r="C1876" t="s">
        <v>1913</v>
      </c>
      <c r="D1876" t="s">
        <v>132</v>
      </c>
      <c r="E1876" t="s">
        <v>330</v>
      </c>
      <c r="F1876">
        <v>18</v>
      </c>
      <c r="G1876">
        <v>5</v>
      </c>
      <c r="H1876" s="1296">
        <v>90</v>
      </c>
      <c r="I1876" t="str">
        <f t="shared" si="29"/>
        <v>-</v>
      </c>
    </row>
    <row r="1877" spans="1:9" x14ac:dyDescent="0.25">
      <c r="A1877">
        <v>16265</v>
      </c>
      <c r="B1877" t="s">
        <v>1318</v>
      </c>
      <c r="C1877" t="s">
        <v>1913</v>
      </c>
      <c r="D1877" t="s">
        <v>2250</v>
      </c>
      <c r="E1877" t="s">
        <v>41</v>
      </c>
      <c r="F1877">
        <v>2</v>
      </c>
      <c r="G1877">
        <v>5</v>
      </c>
      <c r="H1877" s="1296">
        <v>10</v>
      </c>
      <c r="I1877" t="str">
        <f t="shared" si="29"/>
        <v>-</v>
      </c>
    </row>
    <row r="1878" spans="1:9" x14ac:dyDescent="0.25">
      <c r="A1878">
        <v>16266</v>
      </c>
      <c r="B1878" t="s">
        <v>1318</v>
      </c>
      <c r="C1878" t="s">
        <v>1913</v>
      </c>
      <c r="D1878" t="s">
        <v>3</v>
      </c>
      <c r="E1878" t="s">
        <v>4</v>
      </c>
      <c r="F1878">
        <v>4</v>
      </c>
      <c r="G1878">
        <v>5</v>
      </c>
      <c r="H1878" s="1296">
        <v>20</v>
      </c>
      <c r="I1878" t="str">
        <f t="shared" si="29"/>
        <v>-</v>
      </c>
    </row>
    <row r="1879" spans="1:9" x14ac:dyDescent="0.25">
      <c r="A1879">
        <v>16267</v>
      </c>
      <c r="B1879" t="s">
        <v>1318</v>
      </c>
      <c r="C1879" t="s">
        <v>1913</v>
      </c>
      <c r="D1879" t="s">
        <v>1334</v>
      </c>
      <c r="E1879" t="s">
        <v>331</v>
      </c>
      <c r="F1879">
        <v>6</v>
      </c>
      <c r="G1879">
        <v>5</v>
      </c>
      <c r="H1879" s="1296">
        <v>30</v>
      </c>
      <c r="I1879" t="str">
        <f t="shared" si="29"/>
        <v>-</v>
      </c>
    </row>
    <row r="1880" spans="1:9" x14ac:dyDescent="0.25">
      <c r="A1880">
        <v>16312</v>
      </c>
      <c r="B1880" t="s">
        <v>1318</v>
      </c>
      <c r="C1880" t="s">
        <v>1943</v>
      </c>
      <c r="D1880" t="s">
        <v>113</v>
      </c>
      <c r="E1880" t="s">
        <v>114</v>
      </c>
      <c r="F1880">
        <v>1</v>
      </c>
      <c r="G1880">
        <v>10</v>
      </c>
      <c r="H1880" s="1296">
        <v>10</v>
      </c>
      <c r="I1880" t="str">
        <f t="shared" si="29"/>
        <v>-</v>
      </c>
    </row>
    <row r="1881" spans="1:9" x14ac:dyDescent="0.25">
      <c r="A1881">
        <v>16313</v>
      </c>
      <c r="B1881" t="s">
        <v>1318</v>
      </c>
      <c r="C1881" t="s">
        <v>1943</v>
      </c>
      <c r="D1881" t="s">
        <v>68</v>
      </c>
      <c r="E1881" t="s">
        <v>91</v>
      </c>
      <c r="F1881">
        <v>10</v>
      </c>
      <c r="G1881">
        <v>5</v>
      </c>
      <c r="H1881" s="1296">
        <v>50</v>
      </c>
      <c r="I1881" t="str">
        <f t="shared" si="29"/>
        <v>-</v>
      </c>
    </row>
    <row r="1882" spans="1:9" x14ac:dyDescent="0.25">
      <c r="A1882">
        <v>16314</v>
      </c>
      <c r="B1882" t="s">
        <v>1318</v>
      </c>
      <c r="C1882" t="s">
        <v>1943</v>
      </c>
      <c r="D1882" t="s">
        <v>2247</v>
      </c>
      <c r="E1882" t="s">
        <v>25</v>
      </c>
      <c r="F1882">
        <v>4</v>
      </c>
      <c r="G1882">
        <v>5</v>
      </c>
      <c r="H1882" s="1296">
        <v>20</v>
      </c>
      <c r="I1882" t="str">
        <f t="shared" si="29"/>
        <v>-</v>
      </c>
    </row>
    <row r="1883" spans="1:9" x14ac:dyDescent="0.25">
      <c r="A1883">
        <v>16315</v>
      </c>
      <c r="B1883" t="s">
        <v>1318</v>
      </c>
      <c r="C1883" t="s">
        <v>1943</v>
      </c>
      <c r="D1883" t="s">
        <v>132</v>
      </c>
      <c r="E1883" t="s">
        <v>330</v>
      </c>
      <c r="F1883">
        <v>5</v>
      </c>
      <c r="G1883">
        <v>5</v>
      </c>
      <c r="H1883" s="1296">
        <v>25</v>
      </c>
      <c r="I1883" t="str">
        <f t="shared" si="29"/>
        <v>-</v>
      </c>
    </row>
    <row r="1884" spans="1:9" x14ac:dyDescent="0.25">
      <c r="A1884">
        <v>16316</v>
      </c>
      <c r="B1884" t="s">
        <v>1318</v>
      </c>
      <c r="C1884" t="s">
        <v>1943</v>
      </c>
      <c r="D1884" t="s">
        <v>2248</v>
      </c>
      <c r="E1884" t="s">
        <v>77</v>
      </c>
      <c r="F1884">
        <v>4</v>
      </c>
      <c r="G1884">
        <v>5</v>
      </c>
      <c r="H1884" s="1296">
        <v>20</v>
      </c>
      <c r="I1884" t="str">
        <f t="shared" si="29"/>
        <v>-</v>
      </c>
    </row>
    <row r="1885" spans="1:9" x14ac:dyDescent="0.25">
      <c r="A1885">
        <v>16317</v>
      </c>
      <c r="B1885" t="s">
        <v>1318</v>
      </c>
      <c r="C1885" t="s">
        <v>1943</v>
      </c>
      <c r="D1885" t="s">
        <v>2249</v>
      </c>
      <c r="E1885" t="s">
        <v>335</v>
      </c>
      <c r="F1885">
        <v>1</v>
      </c>
      <c r="G1885">
        <v>5</v>
      </c>
      <c r="H1885" s="1296">
        <v>5</v>
      </c>
      <c r="I1885" t="str">
        <f t="shared" si="29"/>
        <v>-</v>
      </c>
    </row>
    <row r="1886" spans="1:9" x14ac:dyDescent="0.25">
      <c r="A1886">
        <v>16318</v>
      </c>
      <c r="B1886" t="s">
        <v>1318</v>
      </c>
      <c r="C1886" t="s">
        <v>1943</v>
      </c>
      <c r="D1886" t="s">
        <v>2250</v>
      </c>
      <c r="E1886" t="s">
        <v>41</v>
      </c>
      <c r="F1886">
        <v>2</v>
      </c>
      <c r="G1886">
        <v>5</v>
      </c>
      <c r="H1886" s="1296">
        <v>10</v>
      </c>
      <c r="I1886" t="str">
        <f t="shared" si="29"/>
        <v>-</v>
      </c>
    </row>
    <row r="1887" spans="1:9" x14ac:dyDescent="0.25">
      <c r="A1887">
        <v>16319</v>
      </c>
      <c r="B1887" t="s">
        <v>1318</v>
      </c>
      <c r="C1887" t="s">
        <v>1943</v>
      </c>
      <c r="D1887" t="s">
        <v>127</v>
      </c>
      <c r="E1887" t="s">
        <v>326</v>
      </c>
      <c r="F1887">
        <v>6</v>
      </c>
      <c r="G1887">
        <v>5</v>
      </c>
      <c r="H1887" s="1296">
        <v>30</v>
      </c>
      <c r="I1887" t="str">
        <f t="shared" si="29"/>
        <v>-</v>
      </c>
    </row>
    <row r="1888" spans="1:9" x14ac:dyDescent="0.25">
      <c r="A1888">
        <v>16320</v>
      </c>
      <c r="B1888" t="s">
        <v>1318</v>
      </c>
      <c r="C1888" t="s">
        <v>1943</v>
      </c>
      <c r="D1888" t="s">
        <v>2251</v>
      </c>
      <c r="E1888" t="s">
        <v>331</v>
      </c>
      <c r="F1888">
        <v>8</v>
      </c>
      <c r="G1888">
        <v>5</v>
      </c>
      <c r="H1888" s="1296">
        <v>40</v>
      </c>
      <c r="I1888" t="str">
        <f t="shared" si="29"/>
        <v>-</v>
      </c>
    </row>
    <row r="1889" spans="1:9" x14ac:dyDescent="0.25">
      <c r="A1889">
        <v>16321</v>
      </c>
      <c r="B1889" t="s">
        <v>1318</v>
      </c>
      <c r="C1889" t="s">
        <v>1943</v>
      </c>
      <c r="D1889" t="s">
        <v>2252</v>
      </c>
      <c r="E1889" t="s">
        <v>321</v>
      </c>
      <c r="F1889">
        <v>6</v>
      </c>
      <c r="G1889">
        <v>5</v>
      </c>
      <c r="H1889" s="1296">
        <v>30</v>
      </c>
      <c r="I1889" t="str">
        <f t="shared" si="29"/>
        <v>-</v>
      </c>
    </row>
    <row r="1890" spans="1:9" x14ac:dyDescent="0.25">
      <c r="A1890">
        <v>16322</v>
      </c>
      <c r="B1890" t="s">
        <v>1318</v>
      </c>
      <c r="C1890" t="s">
        <v>1943</v>
      </c>
      <c r="D1890" t="s">
        <v>121</v>
      </c>
      <c r="E1890" t="s">
        <v>316</v>
      </c>
      <c r="F1890">
        <v>3</v>
      </c>
      <c r="G1890">
        <v>10</v>
      </c>
      <c r="H1890" s="1296">
        <v>30</v>
      </c>
      <c r="I1890" t="str">
        <f t="shared" si="29"/>
        <v>-</v>
      </c>
    </row>
    <row r="1891" spans="1:9" x14ac:dyDescent="0.25">
      <c r="A1891">
        <v>16323</v>
      </c>
      <c r="B1891" t="s">
        <v>1318</v>
      </c>
      <c r="C1891" t="s">
        <v>1943</v>
      </c>
      <c r="D1891" t="s">
        <v>120</v>
      </c>
      <c r="E1891" t="s">
        <v>298</v>
      </c>
      <c r="F1891">
        <v>6</v>
      </c>
      <c r="G1891">
        <v>5</v>
      </c>
      <c r="H1891" s="1296">
        <v>30</v>
      </c>
      <c r="I1891" t="str">
        <f t="shared" si="29"/>
        <v>-</v>
      </c>
    </row>
    <row r="1892" spans="1:9" x14ac:dyDescent="0.25">
      <c r="A1892">
        <v>16325</v>
      </c>
      <c r="B1892" t="s">
        <v>1318</v>
      </c>
      <c r="C1892" t="s">
        <v>1943</v>
      </c>
      <c r="D1892" t="s">
        <v>2255</v>
      </c>
      <c r="F1892">
        <v>5</v>
      </c>
      <c r="G1892">
        <v>10</v>
      </c>
      <c r="H1892" s="1296">
        <v>50</v>
      </c>
      <c r="I1892" t="str">
        <f t="shared" si="29"/>
        <v>-</v>
      </c>
    </row>
    <row r="1893" spans="1:9" x14ac:dyDescent="0.25">
      <c r="A1893">
        <v>16326</v>
      </c>
      <c r="B1893" t="s">
        <v>1318</v>
      </c>
      <c r="C1893" t="s">
        <v>1943</v>
      </c>
      <c r="D1893" t="s">
        <v>2256</v>
      </c>
      <c r="F1893">
        <v>2</v>
      </c>
      <c r="G1893">
        <v>5</v>
      </c>
      <c r="H1893" s="1296">
        <v>10</v>
      </c>
      <c r="I1893" t="str">
        <f t="shared" si="29"/>
        <v>-</v>
      </c>
    </row>
    <row r="1894" spans="1:9" x14ac:dyDescent="0.25">
      <c r="A1894">
        <v>16328</v>
      </c>
      <c r="B1894" t="s">
        <v>1318</v>
      </c>
      <c r="C1894" t="s">
        <v>1943</v>
      </c>
      <c r="D1894" t="s">
        <v>2262</v>
      </c>
      <c r="F1894">
        <v>2</v>
      </c>
      <c r="G1894">
        <v>10</v>
      </c>
      <c r="H1894" s="1296">
        <v>20</v>
      </c>
      <c r="I1894" t="str">
        <f t="shared" si="29"/>
        <v>-</v>
      </c>
    </row>
    <row r="1895" spans="1:9" x14ac:dyDescent="0.25">
      <c r="A1895">
        <v>16355</v>
      </c>
      <c r="B1895" t="s">
        <v>1318</v>
      </c>
      <c r="C1895" t="s">
        <v>2062</v>
      </c>
      <c r="D1895" t="s">
        <v>2261</v>
      </c>
      <c r="E1895" t="s">
        <v>142</v>
      </c>
      <c r="F1895">
        <v>8</v>
      </c>
      <c r="G1895">
        <v>5</v>
      </c>
      <c r="H1895" s="1296">
        <v>40</v>
      </c>
      <c r="I1895" t="str">
        <f t="shared" si="29"/>
        <v>-</v>
      </c>
    </row>
    <row r="1896" spans="1:9" x14ac:dyDescent="0.25">
      <c r="A1896">
        <v>16357</v>
      </c>
      <c r="B1896" t="s">
        <v>1318</v>
      </c>
      <c r="C1896" t="s">
        <v>2062</v>
      </c>
      <c r="D1896" t="s">
        <v>136</v>
      </c>
      <c r="E1896" t="s">
        <v>387</v>
      </c>
      <c r="F1896">
        <v>5</v>
      </c>
      <c r="G1896">
        <v>6</v>
      </c>
      <c r="H1896" s="1296">
        <v>30</v>
      </c>
      <c r="I1896" t="str">
        <f t="shared" si="29"/>
        <v>-</v>
      </c>
    </row>
    <row r="1897" spans="1:9" x14ac:dyDescent="0.25">
      <c r="A1897">
        <v>16358</v>
      </c>
      <c r="B1897" t="s">
        <v>1318</v>
      </c>
      <c r="C1897" t="s">
        <v>2062</v>
      </c>
      <c r="D1897" t="s">
        <v>226</v>
      </c>
      <c r="E1897" t="s">
        <v>395</v>
      </c>
      <c r="F1897">
        <v>1</v>
      </c>
      <c r="G1897">
        <v>6</v>
      </c>
      <c r="H1897" s="1296">
        <v>6</v>
      </c>
      <c r="I1897" t="str">
        <f t="shared" si="29"/>
        <v>-</v>
      </c>
    </row>
    <row r="1898" spans="1:9" x14ac:dyDescent="0.25">
      <c r="A1898">
        <v>16359</v>
      </c>
      <c r="B1898" t="s">
        <v>1318</v>
      </c>
      <c r="C1898" t="s">
        <v>2062</v>
      </c>
      <c r="D1898" t="s">
        <v>81</v>
      </c>
      <c r="E1898" t="s">
        <v>396</v>
      </c>
      <c r="F1898">
        <v>4</v>
      </c>
      <c r="G1898">
        <v>6</v>
      </c>
      <c r="H1898" s="1296">
        <v>24</v>
      </c>
      <c r="I1898" t="str">
        <f t="shared" si="29"/>
        <v>-</v>
      </c>
    </row>
    <row r="1899" spans="1:9" x14ac:dyDescent="0.25">
      <c r="A1899">
        <v>16360</v>
      </c>
      <c r="B1899" t="s">
        <v>1318</v>
      </c>
      <c r="C1899" t="s">
        <v>2062</v>
      </c>
      <c r="D1899" t="s">
        <v>105</v>
      </c>
      <c r="E1899" t="s">
        <v>2154</v>
      </c>
      <c r="F1899">
        <v>1</v>
      </c>
      <c r="G1899">
        <v>6</v>
      </c>
      <c r="H1899" s="1296">
        <v>6</v>
      </c>
      <c r="I1899" t="str">
        <f t="shared" si="29"/>
        <v>-</v>
      </c>
    </row>
    <row r="1900" spans="1:9" x14ac:dyDescent="0.25">
      <c r="A1900">
        <v>16402</v>
      </c>
      <c r="B1900" t="s">
        <v>1318</v>
      </c>
      <c r="C1900" t="s">
        <v>1974</v>
      </c>
      <c r="D1900" t="s">
        <v>53</v>
      </c>
      <c r="E1900" t="s">
        <v>54</v>
      </c>
      <c r="F1900">
        <v>1</v>
      </c>
      <c r="G1900">
        <v>5</v>
      </c>
      <c r="H1900" s="1296">
        <v>5</v>
      </c>
      <c r="I1900" t="str">
        <f t="shared" si="29"/>
        <v>-</v>
      </c>
    </row>
    <row r="1901" spans="1:9" x14ac:dyDescent="0.25">
      <c r="A1901">
        <v>16403</v>
      </c>
      <c r="B1901" t="s">
        <v>1318</v>
      </c>
      <c r="C1901" t="s">
        <v>1974</v>
      </c>
      <c r="D1901" t="s">
        <v>132</v>
      </c>
      <c r="E1901" t="s">
        <v>330</v>
      </c>
      <c r="F1901">
        <v>6</v>
      </c>
      <c r="G1901">
        <v>5</v>
      </c>
      <c r="H1901" s="1296">
        <v>30</v>
      </c>
      <c r="I1901" t="str">
        <f t="shared" si="29"/>
        <v>-</v>
      </c>
    </row>
    <row r="1902" spans="1:9" x14ac:dyDescent="0.25">
      <c r="A1902">
        <v>16404</v>
      </c>
      <c r="B1902" t="s">
        <v>1318</v>
      </c>
      <c r="C1902" t="s">
        <v>1974</v>
      </c>
      <c r="D1902" t="s">
        <v>2251</v>
      </c>
      <c r="E1902" t="s">
        <v>331</v>
      </c>
      <c r="F1902">
        <v>4</v>
      </c>
      <c r="G1902">
        <v>5</v>
      </c>
      <c r="H1902" s="1296">
        <v>20</v>
      </c>
      <c r="I1902" t="str">
        <f t="shared" si="29"/>
        <v>-</v>
      </c>
    </row>
    <row r="1903" spans="1:9" x14ac:dyDescent="0.25">
      <c r="A1903">
        <v>16405</v>
      </c>
      <c r="B1903" t="s">
        <v>1318</v>
      </c>
      <c r="C1903" t="s">
        <v>1974</v>
      </c>
      <c r="D1903" t="s">
        <v>121</v>
      </c>
      <c r="E1903" t="s">
        <v>316</v>
      </c>
      <c r="F1903">
        <v>3</v>
      </c>
      <c r="G1903">
        <v>10</v>
      </c>
      <c r="H1903" s="1296">
        <v>30</v>
      </c>
      <c r="I1903" t="str">
        <f t="shared" si="29"/>
        <v>-</v>
      </c>
    </row>
    <row r="1904" spans="1:9" x14ac:dyDescent="0.25">
      <c r="A1904">
        <v>16407</v>
      </c>
      <c r="B1904" t="s">
        <v>1318</v>
      </c>
      <c r="C1904" t="s">
        <v>1974</v>
      </c>
      <c r="D1904" t="s">
        <v>2255</v>
      </c>
      <c r="F1904">
        <v>2</v>
      </c>
      <c r="G1904">
        <v>10</v>
      </c>
      <c r="H1904" s="1296">
        <v>20</v>
      </c>
      <c r="I1904" t="str">
        <f t="shared" si="29"/>
        <v>-</v>
      </c>
    </row>
    <row r="1905" spans="1:9" x14ac:dyDescent="0.25">
      <c r="A1905">
        <v>16409</v>
      </c>
      <c r="B1905" t="s">
        <v>1318</v>
      </c>
      <c r="C1905" t="s">
        <v>1974</v>
      </c>
      <c r="D1905" t="s">
        <v>2258</v>
      </c>
      <c r="F1905">
        <v>2</v>
      </c>
      <c r="G1905">
        <v>10</v>
      </c>
      <c r="H1905" s="1296">
        <v>20</v>
      </c>
      <c r="I1905" t="str">
        <f t="shared" si="29"/>
        <v>-</v>
      </c>
    </row>
    <row r="1906" spans="1:9" x14ac:dyDescent="0.25">
      <c r="A1906">
        <v>16410</v>
      </c>
      <c r="B1906" t="s">
        <v>1318</v>
      </c>
      <c r="C1906" t="s">
        <v>1974</v>
      </c>
      <c r="D1906" t="s">
        <v>2262</v>
      </c>
      <c r="F1906">
        <v>1</v>
      </c>
      <c r="G1906">
        <v>10</v>
      </c>
      <c r="H1906" s="1296">
        <v>10</v>
      </c>
      <c r="I1906" t="str">
        <f t="shared" si="29"/>
        <v>-</v>
      </c>
    </row>
    <row r="1907" spans="1:9" x14ac:dyDescent="0.25">
      <c r="A1907">
        <v>16412</v>
      </c>
      <c r="B1907" t="s">
        <v>1318</v>
      </c>
      <c r="C1907" t="s">
        <v>1974</v>
      </c>
      <c r="D1907" t="s">
        <v>537</v>
      </c>
      <c r="F1907">
        <v>5</v>
      </c>
      <c r="G1907">
        <v>2</v>
      </c>
      <c r="H1907" s="1296">
        <v>10</v>
      </c>
      <c r="I1907" t="str">
        <f t="shared" si="29"/>
        <v>-</v>
      </c>
    </row>
    <row r="1908" spans="1:9" x14ac:dyDescent="0.25">
      <c r="A1908">
        <v>16445</v>
      </c>
      <c r="B1908" t="s">
        <v>1339</v>
      </c>
      <c r="C1908" t="s">
        <v>2191</v>
      </c>
      <c r="D1908" t="s">
        <v>2263</v>
      </c>
      <c r="F1908">
        <v>10</v>
      </c>
      <c r="G1908">
        <v>5</v>
      </c>
      <c r="H1908" s="1296">
        <v>50</v>
      </c>
      <c r="I1908" t="str">
        <f t="shared" si="29"/>
        <v>-</v>
      </c>
    </row>
    <row r="1909" spans="1:9" x14ac:dyDescent="0.25">
      <c r="A1909">
        <v>16490</v>
      </c>
      <c r="B1909" t="s">
        <v>1318</v>
      </c>
      <c r="C1909" t="s">
        <v>2264</v>
      </c>
      <c r="D1909" t="s">
        <v>125</v>
      </c>
      <c r="F1909">
        <v>3</v>
      </c>
      <c r="G1909">
        <v>4</v>
      </c>
      <c r="H1909" s="1296">
        <v>12</v>
      </c>
      <c r="I1909" t="str">
        <f t="shared" si="29"/>
        <v>-</v>
      </c>
    </row>
    <row r="1910" spans="1:9" x14ac:dyDescent="0.25">
      <c r="A1910">
        <v>16491</v>
      </c>
      <c r="B1910" t="s">
        <v>1318</v>
      </c>
      <c r="C1910" t="s">
        <v>2264</v>
      </c>
      <c r="D1910" t="s">
        <v>226</v>
      </c>
      <c r="E1910" t="s">
        <v>395</v>
      </c>
      <c r="F1910">
        <v>2</v>
      </c>
      <c r="G1910">
        <v>6</v>
      </c>
      <c r="H1910" s="1296">
        <v>12</v>
      </c>
      <c r="I1910" t="str">
        <f t="shared" si="29"/>
        <v>-</v>
      </c>
    </row>
    <row r="1911" spans="1:9" x14ac:dyDescent="0.25">
      <c r="A1911">
        <v>16492</v>
      </c>
      <c r="B1911" t="s">
        <v>1318</v>
      </c>
      <c r="C1911" t="s">
        <v>2264</v>
      </c>
      <c r="D1911" t="s">
        <v>1298</v>
      </c>
      <c r="E1911" t="s">
        <v>393</v>
      </c>
      <c r="F1911">
        <v>1</v>
      </c>
      <c r="G1911">
        <v>6</v>
      </c>
      <c r="H1911" s="1296">
        <v>6</v>
      </c>
      <c r="I1911" t="str">
        <f t="shared" si="29"/>
        <v>-</v>
      </c>
    </row>
    <row r="1912" spans="1:9" x14ac:dyDescent="0.25">
      <c r="A1912">
        <v>16494</v>
      </c>
      <c r="B1912" t="s">
        <v>1318</v>
      </c>
      <c r="C1912" t="s">
        <v>2264</v>
      </c>
      <c r="D1912" t="s">
        <v>63</v>
      </c>
      <c r="E1912" t="s">
        <v>429</v>
      </c>
      <c r="F1912">
        <v>1</v>
      </c>
      <c r="G1912">
        <v>20</v>
      </c>
      <c r="H1912" s="1296">
        <v>20</v>
      </c>
      <c r="I1912" t="str">
        <f t="shared" si="29"/>
        <v>-</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F5873-41D3-47D0-9C12-0C172D58784F}">
  <dimension ref="A1:C660"/>
  <sheetViews>
    <sheetView workbookViewId="0">
      <selection activeCell="C8" sqref="C8"/>
    </sheetView>
  </sheetViews>
  <sheetFormatPr defaultRowHeight="15" x14ac:dyDescent="0.25"/>
  <cols>
    <col min="1" max="1" width="40" customWidth="1"/>
    <col min="2" max="2" width="14.5703125" bestFit="1" customWidth="1"/>
    <col min="3" max="3" width="15.7109375" style="1296" bestFit="1" customWidth="1"/>
  </cols>
  <sheetData>
    <row r="1" spans="1:3" ht="18.75" x14ac:dyDescent="0.3">
      <c r="A1" s="1344" t="s">
        <v>2424</v>
      </c>
      <c r="B1" s="1344"/>
      <c r="C1" s="1344"/>
    </row>
    <row r="2" spans="1:3" x14ac:dyDescent="0.25">
      <c r="A2" s="1345" t="s">
        <v>2425</v>
      </c>
      <c r="B2" s="1345"/>
      <c r="C2" s="1345"/>
    </row>
    <row r="4" spans="1:3" x14ac:dyDescent="0.25">
      <c r="A4" s="1286" t="s">
        <v>2416</v>
      </c>
      <c r="B4" s="1286" t="s">
        <v>1</v>
      </c>
      <c r="C4" s="1303" t="s">
        <v>2423</v>
      </c>
    </row>
    <row r="5" spans="1:3" x14ac:dyDescent="0.25">
      <c r="A5" s="1285" t="s">
        <v>2186</v>
      </c>
      <c r="B5" s="1285" t="s">
        <v>12</v>
      </c>
      <c r="C5" s="1303">
        <v>528</v>
      </c>
    </row>
    <row r="6" spans="1:3" x14ac:dyDescent="0.25">
      <c r="A6" s="1285" t="s">
        <v>2157</v>
      </c>
      <c r="B6" s="1285" t="s">
        <v>12</v>
      </c>
      <c r="C6" s="1303">
        <v>1056</v>
      </c>
    </row>
    <row r="7" spans="1:3" x14ac:dyDescent="0.25">
      <c r="A7" s="1285" t="s">
        <v>1453</v>
      </c>
      <c r="B7" s="1285" t="s">
        <v>12</v>
      </c>
      <c r="C7" s="1303">
        <v>1320</v>
      </c>
    </row>
    <row r="8" spans="1:3" x14ac:dyDescent="0.25">
      <c r="A8" s="1287" t="s">
        <v>1454</v>
      </c>
      <c r="B8" s="1287" t="s">
        <v>12</v>
      </c>
      <c r="C8" s="1304">
        <v>6360</v>
      </c>
    </row>
    <row r="9" spans="1:3" x14ac:dyDescent="0.25">
      <c r="C9"/>
    </row>
    <row r="10" spans="1:3" x14ac:dyDescent="0.25">
      <c r="C10"/>
    </row>
    <row r="11" spans="1:3" x14ac:dyDescent="0.25">
      <c r="C11"/>
    </row>
    <row r="12" spans="1:3" x14ac:dyDescent="0.25">
      <c r="C12"/>
    </row>
    <row r="13" spans="1:3" x14ac:dyDescent="0.25">
      <c r="C13"/>
    </row>
    <row r="14" spans="1:3" x14ac:dyDescent="0.25">
      <c r="C14"/>
    </row>
    <row r="15" spans="1:3" x14ac:dyDescent="0.25">
      <c r="C15"/>
    </row>
    <row r="16" spans="1:3" x14ac:dyDescent="0.25">
      <c r="C16"/>
    </row>
    <row r="17" spans="3:3" x14ac:dyDescent="0.25">
      <c r="C17"/>
    </row>
    <row r="18" spans="3:3" x14ac:dyDescent="0.25">
      <c r="C18"/>
    </row>
    <row r="19" spans="3:3" x14ac:dyDescent="0.25">
      <c r="C19"/>
    </row>
    <row r="20" spans="3:3" x14ac:dyDescent="0.25">
      <c r="C20"/>
    </row>
    <row r="21" spans="3:3" x14ac:dyDescent="0.25">
      <c r="C21"/>
    </row>
    <row r="22" spans="3:3" x14ac:dyDescent="0.25">
      <c r="C22"/>
    </row>
    <row r="23" spans="3:3" x14ac:dyDescent="0.25">
      <c r="C23"/>
    </row>
    <row r="24" spans="3:3" x14ac:dyDescent="0.25">
      <c r="C24"/>
    </row>
    <row r="25" spans="3:3" x14ac:dyDescent="0.25">
      <c r="C25"/>
    </row>
    <row r="26" spans="3:3" x14ac:dyDescent="0.25">
      <c r="C26"/>
    </row>
    <row r="27" spans="3:3" x14ac:dyDescent="0.25">
      <c r="C27"/>
    </row>
    <row r="28" spans="3:3" x14ac:dyDescent="0.25">
      <c r="C28"/>
    </row>
    <row r="29" spans="3:3" x14ac:dyDescent="0.25">
      <c r="C29"/>
    </row>
    <row r="30" spans="3:3" x14ac:dyDescent="0.25">
      <c r="C30"/>
    </row>
    <row r="31" spans="3:3" x14ac:dyDescent="0.25">
      <c r="C31"/>
    </row>
    <row r="32" spans="3:3" x14ac:dyDescent="0.25">
      <c r="C32"/>
    </row>
    <row r="33" spans="3:3" x14ac:dyDescent="0.25">
      <c r="C33"/>
    </row>
    <row r="34" spans="3:3" x14ac:dyDescent="0.25">
      <c r="C34"/>
    </row>
    <row r="35" spans="3:3" x14ac:dyDescent="0.25">
      <c r="C35"/>
    </row>
    <row r="36" spans="3:3" x14ac:dyDescent="0.25">
      <c r="C36"/>
    </row>
    <row r="37" spans="3:3" x14ac:dyDescent="0.25">
      <c r="C37"/>
    </row>
    <row r="38" spans="3:3" x14ac:dyDescent="0.25">
      <c r="C38"/>
    </row>
    <row r="39" spans="3:3" x14ac:dyDescent="0.25">
      <c r="C39"/>
    </row>
    <row r="40" spans="3:3" x14ac:dyDescent="0.25">
      <c r="C40"/>
    </row>
    <row r="41" spans="3:3" x14ac:dyDescent="0.25">
      <c r="C41"/>
    </row>
    <row r="42" spans="3:3" x14ac:dyDescent="0.25">
      <c r="C42"/>
    </row>
    <row r="43" spans="3:3" x14ac:dyDescent="0.25">
      <c r="C43"/>
    </row>
    <row r="44" spans="3:3" x14ac:dyDescent="0.25">
      <c r="C44"/>
    </row>
    <row r="45" spans="3:3" x14ac:dyDescent="0.25">
      <c r="C45"/>
    </row>
    <row r="46" spans="3:3" x14ac:dyDescent="0.25">
      <c r="C46"/>
    </row>
    <row r="47" spans="3:3" x14ac:dyDescent="0.25">
      <c r="C47"/>
    </row>
    <row r="48" spans="3:3" x14ac:dyDescent="0.25">
      <c r="C48"/>
    </row>
    <row r="49" spans="3:3" x14ac:dyDescent="0.25">
      <c r="C49"/>
    </row>
    <row r="50" spans="3:3" x14ac:dyDescent="0.25">
      <c r="C50"/>
    </row>
    <row r="51" spans="3:3" x14ac:dyDescent="0.25">
      <c r="C51"/>
    </row>
    <row r="52" spans="3:3" x14ac:dyDescent="0.25">
      <c r="C52"/>
    </row>
    <row r="53" spans="3:3" x14ac:dyDescent="0.25">
      <c r="C53"/>
    </row>
    <row r="54" spans="3:3" x14ac:dyDescent="0.25">
      <c r="C54"/>
    </row>
    <row r="55" spans="3:3" x14ac:dyDescent="0.25">
      <c r="C55"/>
    </row>
    <row r="56" spans="3:3" x14ac:dyDescent="0.25">
      <c r="C56"/>
    </row>
    <row r="57" spans="3:3" x14ac:dyDescent="0.25">
      <c r="C57"/>
    </row>
    <row r="58" spans="3:3" x14ac:dyDescent="0.25">
      <c r="C58"/>
    </row>
    <row r="59" spans="3:3" x14ac:dyDescent="0.25">
      <c r="C59"/>
    </row>
    <row r="60" spans="3:3" x14ac:dyDescent="0.25">
      <c r="C60"/>
    </row>
    <row r="61" spans="3:3" x14ac:dyDescent="0.25">
      <c r="C61"/>
    </row>
    <row r="62" spans="3:3" x14ac:dyDescent="0.25">
      <c r="C62"/>
    </row>
    <row r="63" spans="3:3" x14ac:dyDescent="0.25">
      <c r="C63"/>
    </row>
    <row r="64" spans="3:3" x14ac:dyDescent="0.25">
      <c r="C64"/>
    </row>
    <row r="65" spans="3:3" x14ac:dyDescent="0.25">
      <c r="C65"/>
    </row>
    <row r="66" spans="3:3" x14ac:dyDescent="0.25">
      <c r="C66"/>
    </row>
    <row r="67" spans="3:3" x14ac:dyDescent="0.25">
      <c r="C67"/>
    </row>
    <row r="68" spans="3:3" x14ac:dyDescent="0.25">
      <c r="C68"/>
    </row>
    <row r="69" spans="3:3" x14ac:dyDescent="0.25">
      <c r="C69"/>
    </row>
    <row r="70" spans="3:3" x14ac:dyDescent="0.25">
      <c r="C70"/>
    </row>
    <row r="71" spans="3:3" x14ac:dyDescent="0.25">
      <c r="C71"/>
    </row>
    <row r="72" spans="3:3" x14ac:dyDescent="0.25">
      <c r="C72"/>
    </row>
    <row r="73" spans="3:3" x14ac:dyDescent="0.25">
      <c r="C73"/>
    </row>
    <row r="74" spans="3:3" x14ac:dyDescent="0.25">
      <c r="C74"/>
    </row>
    <row r="75" spans="3:3" x14ac:dyDescent="0.25">
      <c r="C75"/>
    </row>
    <row r="76" spans="3:3" x14ac:dyDescent="0.25">
      <c r="C76"/>
    </row>
    <row r="77" spans="3:3" x14ac:dyDescent="0.25">
      <c r="C77"/>
    </row>
    <row r="78" spans="3:3" x14ac:dyDescent="0.25">
      <c r="C78"/>
    </row>
    <row r="79" spans="3:3" x14ac:dyDescent="0.25">
      <c r="C79"/>
    </row>
    <row r="80" spans="3:3" x14ac:dyDescent="0.25">
      <c r="C80"/>
    </row>
    <row r="81" spans="3:3" x14ac:dyDescent="0.25">
      <c r="C81"/>
    </row>
    <row r="82" spans="3:3" x14ac:dyDescent="0.25">
      <c r="C82"/>
    </row>
    <row r="83" spans="3:3" x14ac:dyDescent="0.25">
      <c r="C83"/>
    </row>
    <row r="84" spans="3:3" x14ac:dyDescent="0.25">
      <c r="C84"/>
    </row>
    <row r="85" spans="3:3" x14ac:dyDescent="0.25">
      <c r="C85"/>
    </row>
    <row r="86" spans="3:3" x14ac:dyDescent="0.25">
      <c r="C86"/>
    </row>
    <row r="87" spans="3:3" x14ac:dyDescent="0.25">
      <c r="C87"/>
    </row>
    <row r="88" spans="3:3" x14ac:dyDescent="0.25">
      <c r="C88"/>
    </row>
    <row r="89" spans="3:3" x14ac:dyDescent="0.25">
      <c r="C89"/>
    </row>
    <row r="90" spans="3:3" x14ac:dyDescent="0.25">
      <c r="C90"/>
    </row>
    <row r="91" spans="3:3" x14ac:dyDescent="0.25">
      <c r="C91"/>
    </row>
    <row r="92" spans="3:3" x14ac:dyDescent="0.25">
      <c r="C92"/>
    </row>
    <row r="93" spans="3:3" x14ac:dyDescent="0.25">
      <c r="C93"/>
    </row>
    <row r="94" spans="3:3" x14ac:dyDescent="0.25">
      <c r="C94"/>
    </row>
    <row r="95" spans="3:3" x14ac:dyDescent="0.25">
      <c r="C95"/>
    </row>
    <row r="96" spans="3:3" x14ac:dyDescent="0.25">
      <c r="C96"/>
    </row>
    <row r="97" spans="3:3" x14ac:dyDescent="0.25">
      <c r="C97"/>
    </row>
    <row r="98" spans="3:3" x14ac:dyDescent="0.25">
      <c r="C98"/>
    </row>
    <row r="99" spans="3:3" x14ac:dyDescent="0.25">
      <c r="C99"/>
    </row>
    <row r="100" spans="3:3" x14ac:dyDescent="0.25">
      <c r="C100"/>
    </row>
    <row r="101" spans="3:3" x14ac:dyDescent="0.25">
      <c r="C101"/>
    </row>
    <row r="102" spans="3:3" x14ac:dyDescent="0.25">
      <c r="C102"/>
    </row>
    <row r="103" spans="3:3" x14ac:dyDescent="0.25">
      <c r="C103"/>
    </row>
    <row r="104" spans="3:3" x14ac:dyDescent="0.25">
      <c r="C104"/>
    </row>
    <row r="105" spans="3:3" x14ac:dyDescent="0.25">
      <c r="C105"/>
    </row>
    <row r="106" spans="3:3" x14ac:dyDescent="0.25">
      <c r="C106"/>
    </row>
    <row r="107" spans="3:3" x14ac:dyDescent="0.25">
      <c r="C107"/>
    </row>
    <row r="108" spans="3:3" x14ac:dyDescent="0.25">
      <c r="C108"/>
    </row>
    <row r="109" spans="3:3" x14ac:dyDescent="0.25">
      <c r="C109"/>
    </row>
    <row r="110" spans="3:3" x14ac:dyDescent="0.25">
      <c r="C110"/>
    </row>
    <row r="111" spans="3:3" x14ac:dyDescent="0.25">
      <c r="C111"/>
    </row>
    <row r="112" spans="3:3" x14ac:dyDescent="0.25">
      <c r="C112"/>
    </row>
    <row r="113" spans="3:3" x14ac:dyDescent="0.25">
      <c r="C113"/>
    </row>
    <row r="114" spans="3:3" x14ac:dyDescent="0.25">
      <c r="C114"/>
    </row>
    <row r="115" spans="3:3" x14ac:dyDescent="0.25">
      <c r="C115"/>
    </row>
    <row r="116" spans="3:3" x14ac:dyDescent="0.25">
      <c r="C116"/>
    </row>
    <row r="117" spans="3:3" x14ac:dyDescent="0.25">
      <c r="C117"/>
    </row>
    <row r="118" spans="3:3" x14ac:dyDescent="0.25">
      <c r="C118"/>
    </row>
    <row r="119" spans="3:3" x14ac:dyDescent="0.25">
      <c r="C119"/>
    </row>
    <row r="120" spans="3:3" x14ac:dyDescent="0.25">
      <c r="C120"/>
    </row>
    <row r="121" spans="3:3" x14ac:dyDescent="0.25">
      <c r="C121"/>
    </row>
    <row r="122" spans="3:3" x14ac:dyDescent="0.25">
      <c r="C122"/>
    </row>
    <row r="123" spans="3:3" x14ac:dyDescent="0.25">
      <c r="C123"/>
    </row>
    <row r="124" spans="3:3" x14ac:dyDescent="0.25">
      <c r="C124"/>
    </row>
    <row r="125" spans="3:3" x14ac:dyDescent="0.25">
      <c r="C125"/>
    </row>
    <row r="126" spans="3:3" x14ac:dyDescent="0.25">
      <c r="C126"/>
    </row>
    <row r="127" spans="3:3" x14ac:dyDescent="0.25">
      <c r="C127"/>
    </row>
    <row r="128" spans="3:3" x14ac:dyDescent="0.25">
      <c r="C128"/>
    </row>
    <row r="129" spans="3:3" x14ac:dyDescent="0.25">
      <c r="C129"/>
    </row>
    <row r="130" spans="3:3" x14ac:dyDescent="0.25">
      <c r="C130"/>
    </row>
    <row r="131" spans="3:3" x14ac:dyDescent="0.25">
      <c r="C131"/>
    </row>
    <row r="132" spans="3:3" x14ac:dyDescent="0.25">
      <c r="C132"/>
    </row>
    <row r="133" spans="3:3" x14ac:dyDescent="0.25">
      <c r="C133"/>
    </row>
    <row r="134" spans="3:3" x14ac:dyDescent="0.25">
      <c r="C134"/>
    </row>
    <row r="135" spans="3:3" x14ac:dyDescent="0.25">
      <c r="C135"/>
    </row>
    <row r="136" spans="3:3" x14ac:dyDescent="0.25">
      <c r="C136"/>
    </row>
    <row r="137" spans="3:3" x14ac:dyDescent="0.25">
      <c r="C137"/>
    </row>
    <row r="138" spans="3:3" x14ac:dyDescent="0.25">
      <c r="C138"/>
    </row>
    <row r="139" spans="3:3" x14ac:dyDescent="0.25">
      <c r="C139"/>
    </row>
    <row r="140" spans="3:3" x14ac:dyDescent="0.25">
      <c r="C140"/>
    </row>
    <row r="141" spans="3:3" x14ac:dyDescent="0.25">
      <c r="C141"/>
    </row>
    <row r="142" spans="3:3" x14ac:dyDescent="0.25">
      <c r="C142"/>
    </row>
    <row r="143" spans="3:3" x14ac:dyDescent="0.25">
      <c r="C143"/>
    </row>
    <row r="144" spans="3:3" x14ac:dyDescent="0.25">
      <c r="C144"/>
    </row>
    <row r="145" spans="3:3" x14ac:dyDescent="0.25">
      <c r="C145"/>
    </row>
    <row r="146" spans="3:3" x14ac:dyDescent="0.25">
      <c r="C146"/>
    </row>
    <row r="147" spans="3:3" x14ac:dyDescent="0.25">
      <c r="C147"/>
    </row>
    <row r="148" spans="3:3" x14ac:dyDescent="0.25">
      <c r="C148"/>
    </row>
    <row r="149" spans="3:3" x14ac:dyDescent="0.25">
      <c r="C149"/>
    </row>
    <row r="150" spans="3:3" x14ac:dyDescent="0.25">
      <c r="C150"/>
    </row>
    <row r="151" spans="3:3" x14ac:dyDescent="0.25">
      <c r="C151"/>
    </row>
    <row r="152" spans="3:3" x14ac:dyDescent="0.25">
      <c r="C152"/>
    </row>
    <row r="153" spans="3:3" x14ac:dyDescent="0.25">
      <c r="C153"/>
    </row>
    <row r="154" spans="3:3" x14ac:dyDescent="0.25">
      <c r="C154"/>
    </row>
    <row r="155" spans="3:3" x14ac:dyDescent="0.25">
      <c r="C155"/>
    </row>
    <row r="156" spans="3:3" x14ac:dyDescent="0.25">
      <c r="C156"/>
    </row>
    <row r="157" spans="3:3" x14ac:dyDescent="0.25">
      <c r="C157"/>
    </row>
    <row r="158" spans="3:3" x14ac:dyDescent="0.25">
      <c r="C158"/>
    </row>
    <row r="159" spans="3:3" x14ac:dyDescent="0.25">
      <c r="C159"/>
    </row>
    <row r="160" spans="3:3" x14ac:dyDescent="0.25">
      <c r="C160"/>
    </row>
    <row r="161" spans="3:3" x14ac:dyDescent="0.25">
      <c r="C161"/>
    </row>
    <row r="162" spans="3:3" x14ac:dyDescent="0.25">
      <c r="C162"/>
    </row>
    <row r="163" spans="3:3" x14ac:dyDescent="0.25">
      <c r="C163"/>
    </row>
    <row r="164" spans="3:3" x14ac:dyDescent="0.25">
      <c r="C164"/>
    </row>
    <row r="165" spans="3:3" x14ac:dyDescent="0.25">
      <c r="C165"/>
    </row>
    <row r="166" spans="3:3" x14ac:dyDescent="0.25">
      <c r="C166"/>
    </row>
    <row r="167" spans="3:3" x14ac:dyDescent="0.25">
      <c r="C167"/>
    </row>
    <row r="168" spans="3:3" x14ac:dyDescent="0.25">
      <c r="C168"/>
    </row>
    <row r="169" spans="3:3" x14ac:dyDescent="0.25">
      <c r="C169"/>
    </row>
    <row r="170" spans="3:3" x14ac:dyDescent="0.25">
      <c r="C170"/>
    </row>
    <row r="171" spans="3:3" x14ac:dyDescent="0.25">
      <c r="C171"/>
    </row>
    <row r="172" spans="3:3" x14ac:dyDescent="0.25">
      <c r="C172"/>
    </row>
    <row r="173" spans="3:3" x14ac:dyDescent="0.25">
      <c r="C173"/>
    </row>
    <row r="174" spans="3:3" x14ac:dyDescent="0.25">
      <c r="C174"/>
    </row>
    <row r="175" spans="3:3" x14ac:dyDescent="0.25">
      <c r="C175"/>
    </row>
    <row r="176" spans="3:3" x14ac:dyDescent="0.25">
      <c r="C176"/>
    </row>
    <row r="177" spans="3:3" x14ac:dyDescent="0.25">
      <c r="C177"/>
    </row>
    <row r="178" spans="3:3" x14ac:dyDescent="0.25">
      <c r="C178"/>
    </row>
    <row r="179" spans="3:3" x14ac:dyDescent="0.25">
      <c r="C179"/>
    </row>
    <row r="180" spans="3:3" x14ac:dyDescent="0.25">
      <c r="C180"/>
    </row>
    <row r="181" spans="3:3" x14ac:dyDescent="0.25">
      <c r="C181"/>
    </row>
    <row r="182" spans="3:3" x14ac:dyDescent="0.25">
      <c r="C182"/>
    </row>
    <row r="183" spans="3:3" x14ac:dyDescent="0.25">
      <c r="C183"/>
    </row>
    <row r="184" spans="3:3" x14ac:dyDescent="0.25">
      <c r="C184"/>
    </row>
    <row r="185" spans="3:3" x14ac:dyDescent="0.25">
      <c r="C185"/>
    </row>
    <row r="186" spans="3:3" x14ac:dyDescent="0.25">
      <c r="C186"/>
    </row>
    <row r="187" spans="3:3" x14ac:dyDescent="0.25">
      <c r="C187"/>
    </row>
    <row r="188" spans="3:3" x14ac:dyDescent="0.25">
      <c r="C188"/>
    </row>
    <row r="189" spans="3:3" x14ac:dyDescent="0.25">
      <c r="C189"/>
    </row>
    <row r="190" spans="3:3" x14ac:dyDescent="0.25">
      <c r="C190"/>
    </row>
    <row r="191" spans="3:3" x14ac:dyDescent="0.25">
      <c r="C191"/>
    </row>
    <row r="192" spans="3:3" x14ac:dyDescent="0.25">
      <c r="C192"/>
    </row>
    <row r="193" spans="3:3" x14ac:dyDescent="0.25">
      <c r="C193"/>
    </row>
    <row r="194" spans="3:3" x14ac:dyDescent="0.25">
      <c r="C194"/>
    </row>
    <row r="195" spans="3:3" x14ac:dyDescent="0.25">
      <c r="C195"/>
    </row>
    <row r="196" spans="3:3" x14ac:dyDescent="0.25">
      <c r="C196"/>
    </row>
    <row r="197" spans="3:3" x14ac:dyDescent="0.25">
      <c r="C197"/>
    </row>
    <row r="198" spans="3:3" x14ac:dyDescent="0.25">
      <c r="C198"/>
    </row>
    <row r="199" spans="3:3" x14ac:dyDescent="0.25">
      <c r="C199"/>
    </row>
    <row r="200" spans="3:3" x14ac:dyDescent="0.25">
      <c r="C200"/>
    </row>
    <row r="201" spans="3:3" x14ac:dyDescent="0.25">
      <c r="C201"/>
    </row>
    <row r="202" spans="3:3" x14ac:dyDescent="0.25">
      <c r="C202"/>
    </row>
    <row r="203" spans="3:3" x14ac:dyDescent="0.25">
      <c r="C203"/>
    </row>
    <row r="204" spans="3:3" x14ac:dyDescent="0.25">
      <c r="C204"/>
    </row>
    <row r="205" spans="3:3" x14ac:dyDescent="0.25">
      <c r="C205"/>
    </row>
    <row r="206" spans="3:3" x14ac:dyDescent="0.25">
      <c r="C206"/>
    </row>
    <row r="207" spans="3:3" x14ac:dyDescent="0.25">
      <c r="C207"/>
    </row>
    <row r="208" spans="3:3" x14ac:dyDescent="0.25">
      <c r="C208"/>
    </row>
    <row r="209" spans="3:3" x14ac:dyDescent="0.25">
      <c r="C209"/>
    </row>
    <row r="210" spans="3:3" x14ac:dyDescent="0.25">
      <c r="C210"/>
    </row>
    <row r="211" spans="3:3" x14ac:dyDescent="0.25">
      <c r="C211"/>
    </row>
    <row r="212" spans="3:3" x14ac:dyDescent="0.25">
      <c r="C212"/>
    </row>
    <row r="213" spans="3:3" x14ac:dyDescent="0.25">
      <c r="C213"/>
    </row>
    <row r="214" spans="3:3" x14ac:dyDescent="0.25">
      <c r="C214"/>
    </row>
    <row r="215" spans="3:3" x14ac:dyDescent="0.25">
      <c r="C215"/>
    </row>
    <row r="216" spans="3:3" x14ac:dyDescent="0.25">
      <c r="C216"/>
    </row>
    <row r="217" spans="3:3" x14ac:dyDescent="0.25">
      <c r="C217"/>
    </row>
    <row r="218" spans="3:3" x14ac:dyDescent="0.25">
      <c r="C218"/>
    </row>
    <row r="219" spans="3:3" x14ac:dyDescent="0.25">
      <c r="C219"/>
    </row>
    <row r="220" spans="3:3" x14ac:dyDescent="0.25">
      <c r="C220"/>
    </row>
    <row r="221" spans="3:3" x14ac:dyDescent="0.25">
      <c r="C221"/>
    </row>
    <row r="222" spans="3:3" x14ac:dyDescent="0.25">
      <c r="C222"/>
    </row>
    <row r="223" spans="3:3" x14ac:dyDescent="0.25">
      <c r="C223"/>
    </row>
    <row r="224" spans="3:3" x14ac:dyDescent="0.25">
      <c r="C224"/>
    </row>
    <row r="225" spans="3:3" x14ac:dyDescent="0.25">
      <c r="C225"/>
    </row>
    <row r="226" spans="3:3" x14ac:dyDescent="0.25">
      <c r="C226"/>
    </row>
    <row r="227" spans="3:3" x14ac:dyDescent="0.25">
      <c r="C227"/>
    </row>
    <row r="228" spans="3:3" x14ac:dyDescent="0.25">
      <c r="C228"/>
    </row>
    <row r="229" spans="3:3" x14ac:dyDescent="0.25">
      <c r="C229"/>
    </row>
    <row r="230" spans="3:3" x14ac:dyDescent="0.25">
      <c r="C230"/>
    </row>
    <row r="231" spans="3:3" x14ac:dyDescent="0.25">
      <c r="C231"/>
    </row>
    <row r="232" spans="3:3" x14ac:dyDescent="0.25">
      <c r="C232"/>
    </row>
    <row r="233" spans="3:3" x14ac:dyDescent="0.25">
      <c r="C233"/>
    </row>
    <row r="234" spans="3:3" x14ac:dyDescent="0.25">
      <c r="C234"/>
    </row>
    <row r="235" spans="3:3" x14ac:dyDescent="0.25">
      <c r="C235"/>
    </row>
    <row r="236" spans="3:3" x14ac:dyDescent="0.25">
      <c r="C236"/>
    </row>
    <row r="237" spans="3:3" x14ac:dyDescent="0.25">
      <c r="C237"/>
    </row>
    <row r="238" spans="3:3" x14ac:dyDescent="0.25">
      <c r="C238"/>
    </row>
    <row r="239" spans="3:3" x14ac:dyDescent="0.25">
      <c r="C239"/>
    </row>
    <row r="240" spans="3:3" x14ac:dyDescent="0.25">
      <c r="C240"/>
    </row>
    <row r="241" spans="3:3" x14ac:dyDescent="0.25">
      <c r="C241"/>
    </row>
    <row r="242" spans="3:3" x14ac:dyDescent="0.25">
      <c r="C242"/>
    </row>
    <row r="243" spans="3:3" x14ac:dyDescent="0.25">
      <c r="C243"/>
    </row>
    <row r="244" spans="3:3" x14ac:dyDescent="0.25">
      <c r="C244"/>
    </row>
    <row r="245" spans="3:3" x14ac:dyDescent="0.25">
      <c r="C245"/>
    </row>
    <row r="246" spans="3:3" x14ac:dyDescent="0.25">
      <c r="C246"/>
    </row>
    <row r="247" spans="3:3" x14ac:dyDescent="0.25">
      <c r="C247"/>
    </row>
    <row r="248" spans="3:3" x14ac:dyDescent="0.25">
      <c r="C248"/>
    </row>
    <row r="249" spans="3:3" x14ac:dyDescent="0.25">
      <c r="C249"/>
    </row>
    <row r="250" spans="3:3" x14ac:dyDescent="0.25">
      <c r="C250"/>
    </row>
    <row r="251" spans="3:3" x14ac:dyDescent="0.25">
      <c r="C251"/>
    </row>
    <row r="252" spans="3:3" x14ac:dyDescent="0.25">
      <c r="C252"/>
    </row>
    <row r="253" spans="3:3" x14ac:dyDescent="0.25">
      <c r="C253"/>
    </row>
    <row r="254" spans="3:3" x14ac:dyDescent="0.25">
      <c r="C254"/>
    </row>
    <row r="255" spans="3:3" x14ac:dyDescent="0.25">
      <c r="C255"/>
    </row>
    <row r="256" spans="3:3" x14ac:dyDescent="0.25">
      <c r="C256"/>
    </row>
    <row r="257" spans="3:3" x14ac:dyDescent="0.25">
      <c r="C257"/>
    </row>
    <row r="258" spans="3:3" x14ac:dyDescent="0.25">
      <c r="C258"/>
    </row>
    <row r="259" spans="3:3" x14ac:dyDescent="0.25">
      <c r="C259"/>
    </row>
    <row r="260" spans="3:3" x14ac:dyDescent="0.25">
      <c r="C260"/>
    </row>
    <row r="261" spans="3:3" x14ac:dyDescent="0.25">
      <c r="C261"/>
    </row>
    <row r="262" spans="3:3" x14ac:dyDescent="0.25">
      <c r="C262"/>
    </row>
    <row r="263" spans="3:3" x14ac:dyDescent="0.25">
      <c r="C263"/>
    </row>
    <row r="264" spans="3:3" x14ac:dyDescent="0.25">
      <c r="C264"/>
    </row>
    <row r="265" spans="3:3" x14ac:dyDescent="0.25">
      <c r="C265"/>
    </row>
    <row r="266" spans="3:3" x14ac:dyDescent="0.25">
      <c r="C266"/>
    </row>
    <row r="267" spans="3:3" x14ac:dyDescent="0.25">
      <c r="C267"/>
    </row>
    <row r="268" spans="3:3" x14ac:dyDescent="0.25">
      <c r="C268"/>
    </row>
    <row r="269" spans="3:3" x14ac:dyDescent="0.25">
      <c r="C269"/>
    </row>
    <row r="270" spans="3:3" x14ac:dyDescent="0.25">
      <c r="C270"/>
    </row>
    <row r="271" spans="3:3" x14ac:dyDescent="0.25">
      <c r="C271"/>
    </row>
    <row r="272" spans="3:3" x14ac:dyDescent="0.25">
      <c r="C272"/>
    </row>
    <row r="273" spans="3:3" x14ac:dyDescent="0.25">
      <c r="C273"/>
    </row>
    <row r="274" spans="3:3" x14ac:dyDescent="0.25">
      <c r="C274"/>
    </row>
    <row r="275" spans="3:3" x14ac:dyDescent="0.25">
      <c r="C275"/>
    </row>
    <row r="276" spans="3:3" x14ac:dyDescent="0.25">
      <c r="C276"/>
    </row>
    <row r="277" spans="3:3" x14ac:dyDescent="0.25">
      <c r="C277"/>
    </row>
    <row r="278" spans="3:3" x14ac:dyDescent="0.25">
      <c r="C278"/>
    </row>
    <row r="279" spans="3:3" x14ac:dyDescent="0.25">
      <c r="C279"/>
    </row>
    <row r="280" spans="3:3" x14ac:dyDescent="0.25">
      <c r="C280"/>
    </row>
    <row r="281" spans="3:3" x14ac:dyDescent="0.25">
      <c r="C281"/>
    </row>
    <row r="282" spans="3:3" x14ac:dyDescent="0.25">
      <c r="C282"/>
    </row>
    <row r="283" spans="3:3" x14ac:dyDescent="0.25">
      <c r="C283"/>
    </row>
    <row r="284" spans="3:3" x14ac:dyDescent="0.25">
      <c r="C284"/>
    </row>
    <row r="285" spans="3:3" x14ac:dyDescent="0.25">
      <c r="C285"/>
    </row>
    <row r="286" spans="3:3" x14ac:dyDescent="0.25">
      <c r="C286"/>
    </row>
    <row r="287" spans="3:3" x14ac:dyDescent="0.25">
      <c r="C287"/>
    </row>
    <row r="288" spans="3:3" x14ac:dyDescent="0.25">
      <c r="C288"/>
    </row>
    <row r="289" spans="3:3" x14ac:dyDescent="0.25">
      <c r="C289"/>
    </row>
    <row r="290" spans="3:3" x14ac:dyDescent="0.25">
      <c r="C290"/>
    </row>
    <row r="291" spans="3:3" x14ac:dyDescent="0.25">
      <c r="C291"/>
    </row>
    <row r="292" spans="3:3" x14ac:dyDescent="0.25">
      <c r="C292"/>
    </row>
    <row r="293" spans="3:3" x14ac:dyDescent="0.25">
      <c r="C293"/>
    </row>
    <row r="294" spans="3:3" x14ac:dyDescent="0.25">
      <c r="C294"/>
    </row>
    <row r="295" spans="3:3" x14ac:dyDescent="0.25">
      <c r="C295"/>
    </row>
    <row r="296" spans="3:3" x14ac:dyDescent="0.25">
      <c r="C296"/>
    </row>
    <row r="297" spans="3:3" x14ac:dyDescent="0.25">
      <c r="C297"/>
    </row>
    <row r="298" spans="3:3" x14ac:dyDescent="0.25">
      <c r="C298"/>
    </row>
    <row r="299" spans="3:3" x14ac:dyDescent="0.25">
      <c r="C299"/>
    </row>
    <row r="300" spans="3:3" x14ac:dyDescent="0.25">
      <c r="C300"/>
    </row>
    <row r="301" spans="3:3" x14ac:dyDescent="0.25">
      <c r="C301"/>
    </row>
    <row r="302" spans="3:3" x14ac:dyDescent="0.25">
      <c r="C302"/>
    </row>
    <row r="303" spans="3:3" x14ac:dyDescent="0.25">
      <c r="C303"/>
    </row>
    <row r="304" spans="3:3" x14ac:dyDescent="0.25">
      <c r="C304"/>
    </row>
    <row r="305" spans="3:3" x14ac:dyDescent="0.25">
      <c r="C305"/>
    </row>
    <row r="306" spans="3:3" x14ac:dyDescent="0.25">
      <c r="C306"/>
    </row>
    <row r="307" spans="3:3" x14ac:dyDescent="0.25">
      <c r="C307"/>
    </row>
    <row r="308" spans="3:3" x14ac:dyDescent="0.25">
      <c r="C308"/>
    </row>
    <row r="309" spans="3:3" x14ac:dyDescent="0.25">
      <c r="C309"/>
    </row>
    <row r="310" spans="3:3" x14ac:dyDescent="0.25">
      <c r="C310"/>
    </row>
    <row r="311" spans="3:3" x14ac:dyDescent="0.25">
      <c r="C311"/>
    </row>
    <row r="312" spans="3:3" x14ac:dyDescent="0.25">
      <c r="C312"/>
    </row>
    <row r="313" spans="3:3" x14ac:dyDescent="0.25">
      <c r="C313"/>
    </row>
    <row r="314" spans="3:3" x14ac:dyDescent="0.25">
      <c r="C314"/>
    </row>
    <row r="315" spans="3:3" x14ac:dyDescent="0.25">
      <c r="C315"/>
    </row>
    <row r="316" spans="3:3" x14ac:dyDescent="0.25">
      <c r="C316"/>
    </row>
    <row r="317" spans="3:3" x14ac:dyDescent="0.25">
      <c r="C317"/>
    </row>
    <row r="318" spans="3:3" x14ac:dyDescent="0.25">
      <c r="C318"/>
    </row>
    <row r="319" spans="3:3" x14ac:dyDescent="0.25">
      <c r="C319"/>
    </row>
    <row r="320" spans="3:3" x14ac:dyDescent="0.25">
      <c r="C320"/>
    </row>
    <row r="321" spans="3:3" x14ac:dyDescent="0.25">
      <c r="C321"/>
    </row>
    <row r="322" spans="3:3" x14ac:dyDescent="0.25">
      <c r="C322"/>
    </row>
    <row r="323" spans="3:3" x14ac:dyDescent="0.25">
      <c r="C323"/>
    </row>
    <row r="324" spans="3:3" x14ac:dyDescent="0.25">
      <c r="C324"/>
    </row>
    <row r="325" spans="3:3" x14ac:dyDescent="0.25">
      <c r="C325"/>
    </row>
    <row r="326" spans="3:3" x14ac:dyDescent="0.25">
      <c r="C326"/>
    </row>
    <row r="327" spans="3:3" x14ac:dyDescent="0.25">
      <c r="C327"/>
    </row>
    <row r="328" spans="3:3" x14ac:dyDescent="0.25">
      <c r="C328"/>
    </row>
    <row r="329" spans="3:3" x14ac:dyDescent="0.25">
      <c r="C329"/>
    </row>
    <row r="330" spans="3:3" x14ac:dyDescent="0.25">
      <c r="C330"/>
    </row>
    <row r="331" spans="3:3" x14ac:dyDescent="0.25">
      <c r="C331"/>
    </row>
    <row r="332" spans="3:3" x14ac:dyDescent="0.25">
      <c r="C332"/>
    </row>
    <row r="333" spans="3:3" x14ac:dyDescent="0.25">
      <c r="C333"/>
    </row>
    <row r="334" spans="3:3" x14ac:dyDescent="0.25">
      <c r="C334"/>
    </row>
    <row r="335" spans="3:3" x14ac:dyDescent="0.25">
      <c r="C335"/>
    </row>
    <row r="336" spans="3:3" x14ac:dyDescent="0.25">
      <c r="C336"/>
    </row>
    <row r="337" spans="3:3" x14ac:dyDescent="0.25">
      <c r="C337"/>
    </row>
    <row r="338" spans="3:3" x14ac:dyDescent="0.25">
      <c r="C338"/>
    </row>
    <row r="339" spans="3:3" x14ac:dyDescent="0.25">
      <c r="C339"/>
    </row>
    <row r="340" spans="3:3" x14ac:dyDescent="0.25">
      <c r="C340"/>
    </row>
    <row r="341" spans="3:3" x14ac:dyDescent="0.25">
      <c r="C341"/>
    </row>
    <row r="342" spans="3:3" x14ac:dyDescent="0.25">
      <c r="C342"/>
    </row>
    <row r="343" spans="3:3" x14ac:dyDescent="0.25">
      <c r="C343"/>
    </row>
    <row r="344" spans="3:3" x14ac:dyDescent="0.25">
      <c r="C344"/>
    </row>
    <row r="345" spans="3:3" x14ac:dyDescent="0.25">
      <c r="C345"/>
    </row>
    <row r="346" spans="3:3" x14ac:dyDescent="0.25">
      <c r="C346"/>
    </row>
    <row r="347" spans="3:3" x14ac:dyDescent="0.25">
      <c r="C347"/>
    </row>
    <row r="348" spans="3:3" x14ac:dyDescent="0.25">
      <c r="C348"/>
    </row>
    <row r="349" spans="3:3" x14ac:dyDescent="0.25">
      <c r="C349"/>
    </row>
    <row r="350" spans="3:3" x14ac:dyDescent="0.25">
      <c r="C350"/>
    </row>
    <row r="351" spans="3:3" x14ac:dyDescent="0.25">
      <c r="C351"/>
    </row>
    <row r="352" spans="3:3" x14ac:dyDescent="0.25">
      <c r="C352"/>
    </row>
    <row r="353" spans="3:3" x14ac:dyDescent="0.25">
      <c r="C353"/>
    </row>
    <row r="354" spans="3:3" x14ac:dyDescent="0.25">
      <c r="C354"/>
    </row>
    <row r="355" spans="3:3" x14ac:dyDescent="0.25">
      <c r="C355"/>
    </row>
    <row r="356" spans="3:3" x14ac:dyDescent="0.25">
      <c r="C356"/>
    </row>
    <row r="357" spans="3:3" x14ac:dyDescent="0.25">
      <c r="C357"/>
    </row>
    <row r="358" spans="3:3" x14ac:dyDescent="0.25">
      <c r="C358"/>
    </row>
    <row r="359" spans="3:3" x14ac:dyDescent="0.25">
      <c r="C359"/>
    </row>
    <row r="360" spans="3:3" x14ac:dyDescent="0.25">
      <c r="C360"/>
    </row>
    <row r="361" spans="3:3" x14ac:dyDescent="0.25">
      <c r="C361"/>
    </row>
    <row r="362" spans="3:3" x14ac:dyDescent="0.25">
      <c r="C362"/>
    </row>
    <row r="363" spans="3:3" x14ac:dyDescent="0.25">
      <c r="C363"/>
    </row>
    <row r="364" spans="3:3" x14ac:dyDescent="0.25">
      <c r="C364"/>
    </row>
    <row r="365" spans="3:3" x14ac:dyDescent="0.25">
      <c r="C365"/>
    </row>
    <row r="366" spans="3:3" x14ac:dyDescent="0.25">
      <c r="C366"/>
    </row>
    <row r="367" spans="3:3" x14ac:dyDescent="0.25">
      <c r="C367"/>
    </row>
    <row r="368" spans="3:3" x14ac:dyDescent="0.25">
      <c r="C368"/>
    </row>
    <row r="369" spans="3:3" x14ac:dyDescent="0.25">
      <c r="C369"/>
    </row>
    <row r="370" spans="3:3" x14ac:dyDescent="0.25">
      <c r="C370"/>
    </row>
    <row r="371" spans="3:3" x14ac:dyDescent="0.25">
      <c r="C371"/>
    </row>
    <row r="372" spans="3:3" x14ac:dyDescent="0.25">
      <c r="C372"/>
    </row>
    <row r="373" spans="3:3" x14ac:dyDescent="0.25">
      <c r="C373"/>
    </row>
    <row r="374" spans="3:3" x14ac:dyDescent="0.25">
      <c r="C374"/>
    </row>
    <row r="375" spans="3:3" x14ac:dyDescent="0.25">
      <c r="C375"/>
    </row>
    <row r="376" spans="3:3" x14ac:dyDescent="0.25">
      <c r="C376"/>
    </row>
    <row r="377" spans="3:3" x14ac:dyDescent="0.25">
      <c r="C377"/>
    </row>
    <row r="378" spans="3:3" x14ac:dyDescent="0.25">
      <c r="C378"/>
    </row>
    <row r="379" spans="3:3" x14ac:dyDescent="0.25">
      <c r="C379"/>
    </row>
    <row r="380" spans="3:3" x14ac:dyDescent="0.25">
      <c r="C380"/>
    </row>
    <row r="381" spans="3:3" x14ac:dyDescent="0.25">
      <c r="C381"/>
    </row>
    <row r="382" spans="3:3" x14ac:dyDescent="0.25">
      <c r="C382"/>
    </row>
    <row r="383" spans="3:3" x14ac:dyDescent="0.25">
      <c r="C383"/>
    </row>
    <row r="384" spans="3:3" x14ac:dyDescent="0.25">
      <c r="C384"/>
    </row>
    <row r="385" spans="3:3" x14ac:dyDescent="0.25">
      <c r="C385"/>
    </row>
    <row r="386" spans="3:3" x14ac:dyDescent="0.25">
      <c r="C386"/>
    </row>
    <row r="387" spans="3:3" x14ac:dyDescent="0.25">
      <c r="C387"/>
    </row>
    <row r="388" spans="3:3" x14ac:dyDescent="0.25">
      <c r="C388"/>
    </row>
    <row r="389" spans="3:3" x14ac:dyDescent="0.25">
      <c r="C389"/>
    </row>
    <row r="390" spans="3:3" x14ac:dyDescent="0.25">
      <c r="C390"/>
    </row>
    <row r="391" spans="3:3" x14ac:dyDescent="0.25">
      <c r="C391"/>
    </row>
    <row r="392" spans="3:3" x14ac:dyDescent="0.25">
      <c r="C392"/>
    </row>
    <row r="393" spans="3:3" x14ac:dyDescent="0.25">
      <c r="C393"/>
    </row>
    <row r="394" spans="3:3" x14ac:dyDescent="0.25">
      <c r="C394"/>
    </row>
    <row r="395" spans="3:3" x14ac:dyDescent="0.25">
      <c r="C395"/>
    </row>
    <row r="396" spans="3:3" x14ac:dyDescent="0.25">
      <c r="C396"/>
    </row>
    <row r="397" spans="3:3" x14ac:dyDescent="0.25">
      <c r="C397"/>
    </row>
    <row r="398" spans="3:3" x14ac:dyDescent="0.25">
      <c r="C398"/>
    </row>
    <row r="399" spans="3:3" x14ac:dyDescent="0.25">
      <c r="C399"/>
    </row>
    <row r="400" spans="3:3" x14ac:dyDescent="0.25">
      <c r="C400"/>
    </row>
    <row r="401" spans="3:3" x14ac:dyDescent="0.25">
      <c r="C401"/>
    </row>
    <row r="402" spans="3:3" x14ac:dyDescent="0.25">
      <c r="C402"/>
    </row>
    <row r="403" spans="3:3" x14ac:dyDescent="0.25">
      <c r="C403"/>
    </row>
    <row r="404" spans="3:3" x14ac:dyDescent="0.25">
      <c r="C404"/>
    </row>
    <row r="405" spans="3:3" x14ac:dyDescent="0.25">
      <c r="C405"/>
    </row>
    <row r="406" spans="3:3" x14ac:dyDescent="0.25">
      <c r="C406"/>
    </row>
    <row r="407" spans="3:3" x14ac:dyDescent="0.25">
      <c r="C407"/>
    </row>
    <row r="408" spans="3:3" x14ac:dyDescent="0.25">
      <c r="C408"/>
    </row>
    <row r="409" spans="3:3" x14ac:dyDescent="0.25">
      <c r="C409"/>
    </row>
    <row r="410" spans="3:3" x14ac:dyDescent="0.25">
      <c r="C410"/>
    </row>
    <row r="411" spans="3:3" x14ac:dyDescent="0.25">
      <c r="C411"/>
    </row>
    <row r="412" spans="3:3" x14ac:dyDescent="0.25">
      <c r="C412"/>
    </row>
    <row r="413" spans="3:3" x14ac:dyDescent="0.25">
      <c r="C413"/>
    </row>
    <row r="414" spans="3:3" x14ac:dyDescent="0.25">
      <c r="C414"/>
    </row>
    <row r="415" spans="3:3" x14ac:dyDescent="0.25">
      <c r="C415"/>
    </row>
    <row r="416" spans="3:3" x14ac:dyDescent="0.25">
      <c r="C416"/>
    </row>
    <row r="417" spans="3:3" x14ac:dyDescent="0.25">
      <c r="C417"/>
    </row>
    <row r="418" spans="3:3" x14ac:dyDescent="0.25">
      <c r="C418"/>
    </row>
    <row r="419" spans="3:3" x14ac:dyDescent="0.25">
      <c r="C419"/>
    </row>
    <row r="420" spans="3:3" x14ac:dyDescent="0.25">
      <c r="C420"/>
    </row>
    <row r="421" spans="3:3" x14ac:dyDescent="0.25">
      <c r="C421"/>
    </row>
    <row r="422" spans="3:3" x14ac:dyDescent="0.25">
      <c r="C422"/>
    </row>
    <row r="423" spans="3:3" x14ac:dyDescent="0.25">
      <c r="C423"/>
    </row>
    <row r="424" spans="3:3" x14ac:dyDescent="0.25">
      <c r="C424"/>
    </row>
    <row r="425" spans="3:3" x14ac:dyDescent="0.25">
      <c r="C425"/>
    </row>
    <row r="426" spans="3:3" x14ac:dyDescent="0.25">
      <c r="C426"/>
    </row>
    <row r="427" spans="3:3" x14ac:dyDescent="0.25">
      <c r="C427"/>
    </row>
    <row r="428" spans="3:3" x14ac:dyDescent="0.25">
      <c r="C428"/>
    </row>
    <row r="429" spans="3:3" x14ac:dyDescent="0.25">
      <c r="C429"/>
    </row>
    <row r="430" spans="3:3" x14ac:dyDescent="0.25">
      <c r="C430"/>
    </row>
    <row r="431" spans="3:3" x14ac:dyDescent="0.25">
      <c r="C431"/>
    </row>
    <row r="432" spans="3:3" x14ac:dyDescent="0.25">
      <c r="C432"/>
    </row>
    <row r="433" spans="3:3" x14ac:dyDescent="0.25">
      <c r="C433"/>
    </row>
    <row r="434" spans="3:3" x14ac:dyDescent="0.25">
      <c r="C434"/>
    </row>
    <row r="435" spans="3:3" x14ac:dyDescent="0.25">
      <c r="C435"/>
    </row>
    <row r="436" spans="3:3" x14ac:dyDescent="0.25">
      <c r="C436"/>
    </row>
    <row r="437" spans="3:3" x14ac:dyDescent="0.25">
      <c r="C437"/>
    </row>
    <row r="438" spans="3:3" x14ac:dyDescent="0.25">
      <c r="C438"/>
    </row>
    <row r="439" spans="3:3" x14ac:dyDescent="0.25">
      <c r="C439"/>
    </row>
    <row r="440" spans="3:3" x14ac:dyDescent="0.25">
      <c r="C440"/>
    </row>
    <row r="441" spans="3:3" x14ac:dyDescent="0.25">
      <c r="C441"/>
    </row>
    <row r="442" spans="3:3" x14ac:dyDescent="0.25">
      <c r="C442"/>
    </row>
    <row r="443" spans="3:3" x14ac:dyDescent="0.25">
      <c r="C443"/>
    </row>
    <row r="444" spans="3:3" x14ac:dyDescent="0.25">
      <c r="C444"/>
    </row>
    <row r="445" spans="3:3" x14ac:dyDescent="0.25">
      <c r="C445"/>
    </row>
    <row r="446" spans="3:3" x14ac:dyDescent="0.25">
      <c r="C446"/>
    </row>
    <row r="447" spans="3:3" x14ac:dyDescent="0.25">
      <c r="C447"/>
    </row>
    <row r="448" spans="3:3" x14ac:dyDescent="0.25">
      <c r="C448"/>
    </row>
    <row r="449" spans="3:3" x14ac:dyDescent="0.25">
      <c r="C449"/>
    </row>
    <row r="450" spans="3:3" x14ac:dyDescent="0.25">
      <c r="C450"/>
    </row>
    <row r="451" spans="3:3" x14ac:dyDescent="0.25">
      <c r="C451"/>
    </row>
    <row r="452" spans="3:3" x14ac:dyDescent="0.25">
      <c r="C452"/>
    </row>
    <row r="453" spans="3:3" x14ac:dyDescent="0.25">
      <c r="C453"/>
    </row>
    <row r="454" spans="3:3" x14ac:dyDescent="0.25">
      <c r="C454"/>
    </row>
    <row r="455" spans="3:3" x14ac:dyDescent="0.25">
      <c r="C455"/>
    </row>
    <row r="456" spans="3:3" x14ac:dyDescent="0.25">
      <c r="C456"/>
    </row>
    <row r="457" spans="3:3" x14ac:dyDescent="0.25">
      <c r="C457"/>
    </row>
    <row r="458" spans="3:3" x14ac:dyDescent="0.25">
      <c r="C458"/>
    </row>
    <row r="459" spans="3:3" x14ac:dyDescent="0.25">
      <c r="C459"/>
    </row>
    <row r="460" spans="3:3" x14ac:dyDescent="0.25">
      <c r="C460"/>
    </row>
    <row r="461" spans="3:3" x14ac:dyDescent="0.25">
      <c r="C461"/>
    </row>
    <row r="462" spans="3:3" x14ac:dyDescent="0.25">
      <c r="C462"/>
    </row>
    <row r="463" spans="3:3" x14ac:dyDescent="0.25">
      <c r="C463"/>
    </row>
    <row r="464" spans="3:3" x14ac:dyDescent="0.25">
      <c r="C464"/>
    </row>
    <row r="465" spans="3:3" x14ac:dyDescent="0.25">
      <c r="C465"/>
    </row>
    <row r="466" spans="3:3" x14ac:dyDescent="0.25">
      <c r="C466"/>
    </row>
    <row r="467" spans="3:3" x14ac:dyDescent="0.25">
      <c r="C467"/>
    </row>
    <row r="468" spans="3:3" x14ac:dyDescent="0.25">
      <c r="C468"/>
    </row>
    <row r="469" spans="3:3" x14ac:dyDescent="0.25">
      <c r="C469"/>
    </row>
    <row r="470" spans="3:3" x14ac:dyDescent="0.25">
      <c r="C470"/>
    </row>
    <row r="471" spans="3:3" x14ac:dyDescent="0.25">
      <c r="C471"/>
    </row>
    <row r="472" spans="3:3" x14ac:dyDescent="0.25">
      <c r="C472"/>
    </row>
    <row r="473" spans="3:3" x14ac:dyDescent="0.25">
      <c r="C473"/>
    </row>
    <row r="474" spans="3:3" x14ac:dyDescent="0.25">
      <c r="C474"/>
    </row>
    <row r="475" spans="3:3" x14ac:dyDescent="0.25">
      <c r="C475"/>
    </row>
    <row r="476" spans="3:3" x14ac:dyDescent="0.25">
      <c r="C476"/>
    </row>
    <row r="477" spans="3:3" x14ac:dyDescent="0.25">
      <c r="C477"/>
    </row>
    <row r="478" spans="3:3" x14ac:dyDescent="0.25">
      <c r="C478"/>
    </row>
    <row r="479" spans="3:3" x14ac:dyDescent="0.25">
      <c r="C479"/>
    </row>
    <row r="480" spans="3:3" x14ac:dyDescent="0.25">
      <c r="C480"/>
    </row>
    <row r="481" spans="3:3" x14ac:dyDescent="0.25">
      <c r="C481"/>
    </row>
    <row r="482" spans="3:3" x14ac:dyDescent="0.25">
      <c r="C482"/>
    </row>
    <row r="483" spans="3:3" x14ac:dyDescent="0.25">
      <c r="C483"/>
    </row>
    <row r="484" spans="3:3" x14ac:dyDescent="0.25">
      <c r="C484"/>
    </row>
    <row r="485" spans="3:3" x14ac:dyDescent="0.25">
      <c r="C485"/>
    </row>
    <row r="486" spans="3:3" x14ac:dyDescent="0.25">
      <c r="C486"/>
    </row>
    <row r="487" spans="3:3" x14ac:dyDescent="0.25">
      <c r="C487"/>
    </row>
    <row r="488" spans="3:3" x14ac:dyDescent="0.25">
      <c r="C488"/>
    </row>
    <row r="489" spans="3:3" x14ac:dyDescent="0.25">
      <c r="C489"/>
    </row>
    <row r="490" spans="3:3" x14ac:dyDescent="0.25">
      <c r="C490"/>
    </row>
    <row r="491" spans="3:3" x14ac:dyDescent="0.25">
      <c r="C491"/>
    </row>
    <row r="492" spans="3:3" x14ac:dyDescent="0.25">
      <c r="C492"/>
    </row>
    <row r="493" spans="3:3" x14ac:dyDescent="0.25">
      <c r="C493"/>
    </row>
    <row r="494" spans="3:3" x14ac:dyDescent="0.25">
      <c r="C494"/>
    </row>
    <row r="495" spans="3:3" x14ac:dyDescent="0.25">
      <c r="C495"/>
    </row>
    <row r="496" spans="3:3" x14ac:dyDescent="0.25">
      <c r="C496"/>
    </row>
    <row r="497" spans="3:3" x14ac:dyDescent="0.25">
      <c r="C497"/>
    </row>
    <row r="498" spans="3:3" x14ac:dyDescent="0.25">
      <c r="C498"/>
    </row>
    <row r="499" spans="3:3" x14ac:dyDescent="0.25">
      <c r="C499"/>
    </row>
    <row r="500" spans="3:3" x14ac:dyDescent="0.25">
      <c r="C500"/>
    </row>
    <row r="501" spans="3:3" x14ac:dyDescent="0.25">
      <c r="C501"/>
    </row>
    <row r="502" spans="3:3" x14ac:dyDescent="0.25">
      <c r="C502"/>
    </row>
    <row r="503" spans="3:3" x14ac:dyDescent="0.25">
      <c r="C503"/>
    </row>
    <row r="504" spans="3:3" x14ac:dyDescent="0.25">
      <c r="C504"/>
    </row>
    <row r="505" spans="3:3" x14ac:dyDescent="0.25">
      <c r="C505"/>
    </row>
    <row r="506" spans="3:3" x14ac:dyDescent="0.25">
      <c r="C506"/>
    </row>
    <row r="507" spans="3:3" x14ac:dyDescent="0.25">
      <c r="C507"/>
    </row>
    <row r="508" spans="3:3" x14ac:dyDescent="0.25">
      <c r="C508"/>
    </row>
    <row r="509" spans="3:3" x14ac:dyDescent="0.25">
      <c r="C509"/>
    </row>
    <row r="510" spans="3:3" x14ac:dyDescent="0.25">
      <c r="C510"/>
    </row>
    <row r="511" spans="3:3" x14ac:dyDescent="0.25">
      <c r="C511"/>
    </row>
    <row r="512" spans="3:3" x14ac:dyDescent="0.25">
      <c r="C512"/>
    </row>
    <row r="513" spans="3:3" x14ac:dyDescent="0.25">
      <c r="C513"/>
    </row>
    <row r="514" spans="3:3" x14ac:dyDescent="0.25">
      <c r="C514"/>
    </row>
    <row r="515" spans="3:3" x14ac:dyDescent="0.25">
      <c r="C515"/>
    </row>
    <row r="516" spans="3:3" x14ac:dyDescent="0.25">
      <c r="C516"/>
    </row>
    <row r="517" spans="3:3" x14ac:dyDescent="0.25">
      <c r="C517"/>
    </row>
    <row r="518" spans="3:3" x14ac:dyDescent="0.25">
      <c r="C518"/>
    </row>
    <row r="519" spans="3:3" x14ac:dyDescent="0.25">
      <c r="C519"/>
    </row>
    <row r="520" spans="3:3" x14ac:dyDescent="0.25">
      <c r="C520"/>
    </row>
    <row r="521" spans="3:3" x14ac:dyDescent="0.25">
      <c r="C521"/>
    </row>
    <row r="522" spans="3:3" x14ac:dyDescent="0.25">
      <c r="C522"/>
    </row>
    <row r="523" spans="3:3" x14ac:dyDescent="0.25">
      <c r="C523"/>
    </row>
    <row r="524" spans="3:3" x14ac:dyDescent="0.25">
      <c r="C524"/>
    </row>
    <row r="525" spans="3:3" x14ac:dyDescent="0.25">
      <c r="C525"/>
    </row>
    <row r="526" spans="3:3" x14ac:dyDescent="0.25">
      <c r="C526"/>
    </row>
    <row r="527" spans="3:3" x14ac:dyDescent="0.25">
      <c r="C527"/>
    </row>
    <row r="528" spans="3:3" x14ac:dyDescent="0.25">
      <c r="C528"/>
    </row>
    <row r="529" spans="3:3" x14ac:dyDescent="0.25">
      <c r="C529"/>
    </row>
    <row r="530" spans="3:3" x14ac:dyDescent="0.25">
      <c r="C530"/>
    </row>
    <row r="531" spans="3:3" x14ac:dyDescent="0.25">
      <c r="C531"/>
    </row>
    <row r="532" spans="3:3" x14ac:dyDescent="0.25">
      <c r="C532"/>
    </row>
    <row r="533" spans="3:3" x14ac:dyDescent="0.25">
      <c r="C533"/>
    </row>
    <row r="534" spans="3:3" x14ac:dyDescent="0.25">
      <c r="C534"/>
    </row>
    <row r="535" spans="3:3" x14ac:dyDescent="0.25">
      <c r="C535"/>
    </row>
    <row r="536" spans="3:3" x14ac:dyDescent="0.25">
      <c r="C536"/>
    </row>
    <row r="537" spans="3:3" x14ac:dyDescent="0.25">
      <c r="C537"/>
    </row>
    <row r="538" spans="3:3" x14ac:dyDescent="0.25">
      <c r="C538"/>
    </row>
    <row r="539" spans="3:3" x14ac:dyDescent="0.25">
      <c r="C539"/>
    </row>
    <row r="540" spans="3:3" x14ac:dyDescent="0.25">
      <c r="C540"/>
    </row>
    <row r="541" spans="3:3" x14ac:dyDescent="0.25">
      <c r="C541"/>
    </row>
    <row r="542" spans="3:3" x14ac:dyDescent="0.25">
      <c r="C542"/>
    </row>
    <row r="543" spans="3:3" x14ac:dyDescent="0.25">
      <c r="C543"/>
    </row>
    <row r="544" spans="3:3" x14ac:dyDescent="0.25">
      <c r="C544"/>
    </row>
    <row r="545" spans="3:3" x14ac:dyDescent="0.25">
      <c r="C545"/>
    </row>
    <row r="546" spans="3:3" x14ac:dyDescent="0.25">
      <c r="C546"/>
    </row>
    <row r="547" spans="3:3" x14ac:dyDescent="0.25">
      <c r="C547"/>
    </row>
    <row r="548" spans="3:3" x14ac:dyDescent="0.25">
      <c r="C548"/>
    </row>
    <row r="549" spans="3:3" x14ac:dyDescent="0.25">
      <c r="C549"/>
    </row>
    <row r="550" spans="3:3" x14ac:dyDescent="0.25">
      <c r="C550"/>
    </row>
    <row r="551" spans="3:3" x14ac:dyDescent="0.25">
      <c r="C551"/>
    </row>
    <row r="552" spans="3:3" x14ac:dyDescent="0.25">
      <c r="C552"/>
    </row>
    <row r="553" spans="3:3" x14ac:dyDescent="0.25">
      <c r="C553"/>
    </row>
    <row r="554" spans="3:3" x14ac:dyDescent="0.25">
      <c r="C554"/>
    </row>
    <row r="555" spans="3:3" x14ac:dyDescent="0.25">
      <c r="C555"/>
    </row>
    <row r="556" spans="3:3" x14ac:dyDescent="0.25">
      <c r="C556"/>
    </row>
    <row r="557" spans="3:3" x14ac:dyDescent="0.25">
      <c r="C557"/>
    </row>
    <row r="558" spans="3:3" x14ac:dyDescent="0.25">
      <c r="C558"/>
    </row>
    <row r="559" spans="3:3" x14ac:dyDescent="0.25">
      <c r="C559"/>
    </row>
    <row r="560" spans="3:3" x14ac:dyDescent="0.25">
      <c r="C560"/>
    </row>
    <row r="561" spans="3:3" x14ac:dyDescent="0.25">
      <c r="C561"/>
    </row>
    <row r="562" spans="3:3" x14ac:dyDescent="0.25">
      <c r="C562"/>
    </row>
    <row r="563" spans="3:3" x14ac:dyDescent="0.25">
      <c r="C563"/>
    </row>
    <row r="564" spans="3:3" x14ac:dyDescent="0.25">
      <c r="C564"/>
    </row>
    <row r="565" spans="3:3" x14ac:dyDescent="0.25">
      <c r="C565"/>
    </row>
    <row r="566" spans="3:3" x14ac:dyDescent="0.25">
      <c r="C566"/>
    </row>
    <row r="567" spans="3:3" x14ac:dyDescent="0.25">
      <c r="C567"/>
    </row>
    <row r="568" spans="3:3" x14ac:dyDescent="0.25">
      <c r="C568"/>
    </row>
    <row r="569" spans="3:3" x14ac:dyDescent="0.25">
      <c r="C569"/>
    </row>
    <row r="570" spans="3:3" x14ac:dyDescent="0.25">
      <c r="C570"/>
    </row>
    <row r="571" spans="3:3" x14ac:dyDescent="0.25">
      <c r="C571"/>
    </row>
    <row r="572" spans="3:3" x14ac:dyDescent="0.25">
      <c r="C572"/>
    </row>
    <row r="573" spans="3:3" x14ac:dyDescent="0.25">
      <c r="C573"/>
    </row>
    <row r="574" spans="3:3" x14ac:dyDescent="0.25">
      <c r="C574"/>
    </row>
    <row r="575" spans="3:3" x14ac:dyDescent="0.25">
      <c r="C575"/>
    </row>
    <row r="576" spans="3:3" x14ac:dyDescent="0.25">
      <c r="C576"/>
    </row>
    <row r="577" spans="3:3" x14ac:dyDescent="0.25">
      <c r="C577"/>
    </row>
    <row r="578" spans="3:3" x14ac:dyDescent="0.25">
      <c r="C578"/>
    </row>
    <row r="579" spans="3:3" x14ac:dyDescent="0.25">
      <c r="C579"/>
    </row>
    <row r="580" spans="3:3" x14ac:dyDescent="0.25">
      <c r="C580"/>
    </row>
    <row r="581" spans="3:3" x14ac:dyDescent="0.25">
      <c r="C581"/>
    </row>
    <row r="582" spans="3:3" x14ac:dyDescent="0.25">
      <c r="C582"/>
    </row>
    <row r="583" spans="3:3" x14ac:dyDescent="0.25">
      <c r="C583"/>
    </row>
    <row r="584" spans="3:3" x14ac:dyDescent="0.25">
      <c r="C584"/>
    </row>
    <row r="585" spans="3:3" x14ac:dyDescent="0.25">
      <c r="C585"/>
    </row>
    <row r="586" spans="3:3" x14ac:dyDescent="0.25">
      <c r="C586"/>
    </row>
    <row r="587" spans="3:3" x14ac:dyDescent="0.25">
      <c r="C587"/>
    </row>
    <row r="588" spans="3:3" x14ac:dyDescent="0.25">
      <c r="C588"/>
    </row>
    <row r="589" spans="3:3" x14ac:dyDescent="0.25">
      <c r="C589"/>
    </row>
    <row r="590" spans="3:3" x14ac:dyDescent="0.25">
      <c r="C590"/>
    </row>
    <row r="591" spans="3:3" x14ac:dyDescent="0.25">
      <c r="C591"/>
    </row>
    <row r="592" spans="3:3" x14ac:dyDescent="0.25">
      <c r="C592"/>
    </row>
    <row r="593" spans="3:3" x14ac:dyDescent="0.25">
      <c r="C593"/>
    </row>
    <row r="594" spans="3:3" x14ac:dyDescent="0.25">
      <c r="C594"/>
    </row>
    <row r="595" spans="3:3" x14ac:dyDescent="0.25">
      <c r="C595"/>
    </row>
    <row r="596" spans="3:3" x14ac:dyDescent="0.25">
      <c r="C596"/>
    </row>
    <row r="597" spans="3:3" x14ac:dyDescent="0.25">
      <c r="C597"/>
    </row>
    <row r="598" spans="3:3" x14ac:dyDescent="0.25">
      <c r="C598"/>
    </row>
    <row r="599" spans="3:3" x14ac:dyDescent="0.25">
      <c r="C599"/>
    </row>
    <row r="600" spans="3:3" x14ac:dyDescent="0.25">
      <c r="C600"/>
    </row>
    <row r="601" spans="3:3" x14ac:dyDescent="0.25">
      <c r="C601"/>
    </row>
    <row r="602" spans="3:3" x14ac:dyDescent="0.25">
      <c r="C602"/>
    </row>
    <row r="603" spans="3:3" x14ac:dyDescent="0.25">
      <c r="C603"/>
    </row>
    <row r="604" spans="3:3" x14ac:dyDescent="0.25">
      <c r="C604"/>
    </row>
    <row r="605" spans="3:3" x14ac:dyDescent="0.25">
      <c r="C605"/>
    </row>
    <row r="606" spans="3:3" x14ac:dyDescent="0.25">
      <c r="C606"/>
    </row>
    <row r="607" spans="3:3" x14ac:dyDescent="0.25">
      <c r="C607"/>
    </row>
    <row r="608" spans="3:3" x14ac:dyDescent="0.25">
      <c r="C608"/>
    </row>
    <row r="609" spans="3:3" x14ac:dyDescent="0.25">
      <c r="C609"/>
    </row>
    <row r="610" spans="3:3" x14ac:dyDescent="0.25">
      <c r="C610"/>
    </row>
    <row r="611" spans="3:3" x14ac:dyDescent="0.25">
      <c r="C611"/>
    </row>
    <row r="612" spans="3:3" x14ac:dyDescent="0.25">
      <c r="C612"/>
    </row>
    <row r="613" spans="3:3" x14ac:dyDescent="0.25">
      <c r="C613"/>
    </row>
    <row r="614" spans="3:3" x14ac:dyDescent="0.25">
      <c r="C614"/>
    </row>
    <row r="615" spans="3:3" x14ac:dyDescent="0.25">
      <c r="C615"/>
    </row>
    <row r="616" spans="3:3" x14ac:dyDescent="0.25">
      <c r="C616"/>
    </row>
    <row r="617" spans="3:3" x14ac:dyDescent="0.25">
      <c r="C617"/>
    </row>
    <row r="618" spans="3:3" x14ac:dyDescent="0.25">
      <c r="C618"/>
    </row>
    <row r="619" spans="3:3" x14ac:dyDescent="0.25">
      <c r="C619"/>
    </row>
    <row r="620" spans="3:3" x14ac:dyDescent="0.25">
      <c r="C620"/>
    </row>
    <row r="621" spans="3:3" x14ac:dyDescent="0.25">
      <c r="C621"/>
    </row>
    <row r="622" spans="3:3" x14ac:dyDescent="0.25">
      <c r="C622"/>
    </row>
    <row r="623" spans="3:3" x14ac:dyDescent="0.25">
      <c r="C623"/>
    </row>
    <row r="624" spans="3:3" x14ac:dyDescent="0.25">
      <c r="C624"/>
    </row>
    <row r="625" spans="3:3" x14ac:dyDescent="0.25">
      <c r="C625"/>
    </row>
    <row r="626" spans="3:3" x14ac:dyDescent="0.25">
      <c r="C626"/>
    </row>
    <row r="627" spans="3:3" x14ac:dyDescent="0.25">
      <c r="C627"/>
    </row>
    <row r="628" spans="3:3" x14ac:dyDescent="0.25">
      <c r="C628"/>
    </row>
    <row r="629" spans="3:3" x14ac:dyDescent="0.25">
      <c r="C629"/>
    </row>
    <row r="630" spans="3:3" x14ac:dyDescent="0.25">
      <c r="C630"/>
    </row>
    <row r="631" spans="3:3" x14ac:dyDescent="0.25">
      <c r="C631"/>
    </row>
    <row r="632" spans="3:3" x14ac:dyDescent="0.25">
      <c r="C632"/>
    </row>
    <row r="633" spans="3:3" x14ac:dyDescent="0.25">
      <c r="C633"/>
    </row>
    <row r="634" spans="3:3" x14ac:dyDescent="0.25">
      <c r="C634"/>
    </row>
    <row r="635" spans="3:3" x14ac:dyDescent="0.25">
      <c r="C635"/>
    </row>
    <row r="636" spans="3:3" x14ac:dyDescent="0.25">
      <c r="C636"/>
    </row>
    <row r="637" spans="3:3" x14ac:dyDescent="0.25">
      <c r="C637"/>
    </row>
    <row r="638" spans="3:3" x14ac:dyDescent="0.25">
      <c r="C638"/>
    </row>
    <row r="639" spans="3:3" x14ac:dyDescent="0.25">
      <c r="C639"/>
    </row>
    <row r="640" spans="3:3" x14ac:dyDescent="0.25">
      <c r="C640"/>
    </row>
    <row r="641" spans="3:3" x14ac:dyDescent="0.25">
      <c r="C641"/>
    </row>
    <row r="642" spans="3:3" x14ac:dyDescent="0.25">
      <c r="C642"/>
    </row>
    <row r="643" spans="3:3" x14ac:dyDescent="0.25">
      <c r="C643"/>
    </row>
    <row r="644" spans="3:3" x14ac:dyDescent="0.25">
      <c r="C644"/>
    </row>
    <row r="645" spans="3:3" x14ac:dyDescent="0.25">
      <c r="C645"/>
    </row>
    <row r="646" spans="3:3" x14ac:dyDescent="0.25">
      <c r="C646"/>
    </row>
    <row r="647" spans="3:3" x14ac:dyDescent="0.25">
      <c r="C647"/>
    </row>
    <row r="648" spans="3:3" x14ac:dyDescent="0.25">
      <c r="C648"/>
    </row>
    <row r="649" spans="3:3" x14ac:dyDescent="0.25">
      <c r="C649"/>
    </row>
    <row r="650" spans="3:3" x14ac:dyDescent="0.25">
      <c r="C650"/>
    </row>
    <row r="651" spans="3:3" x14ac:dyDescent="0.25">
      <c r="C651"/>
    </row>
    <row r="652" spans="3:3" x14ac:dyDescent="0.25">
      <c r="C652"/>
    </row>
    <row r="653" spans="3:3" x14ac:dyDescent="0.25">
      <c r="C653"/>
    </row>
    <row r="654" spans="3:3" x14ac:dyDescent="0.25">
      <c r="C654"/>
    </row>
    <row r="655" spans="3:3" x14ac:dyDescent="0.25">
      <c r="C655"/>
    </row>
    <row r="656" spans="3:3" x14ac:dyDescent="0.25">
      <c r="C656"/>
    </row>
    <row r="657" spans="3:3" x14ac:dyDescent="0.25">
      <c r="C657"/>
    </row>
    <row r="658" spans="3:3" x14ac:dyDescent="0.25">
      <c r="C658"/>
    </row>
    <row r="659" spans="3:3" x14ac:dyDescent="0.25">
      <c r="C659"/>
    </row>
    <row r="660" spans="3:3" x14ac:dyDescent="0.25">
      <c r="C660"/>
    </row>
  </sheetData>
  <mergeCells count="2">
    <mergeCell ref="A1:C1"/>
    <mergeCell ref="A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Recon</vt:lpstr>
      <vt:lpstr>CHALLAN</vt:lpstr>
      <vt:lpstr>Stock</vt:lpstr>
      <vt:lpstr>SAMPLE</vt:lpstr>
      <vt:lpstr>Part Summary</vt:lpstr>
      <vt:lpstr>Pivot Data</vt:lpstr>
      <vt:lpstr>Pivot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Analyst</dc:creator>
  <cp:lastModifiedBy>Analyst</cp:lastModifiedBy>
  <dcterms:created xsi:type="dcterms:W3CDTF">2009-04-02T01:43:23Z</dcterms:created>
  <dcterms:modified xsi:type="dcterms:W3CDTF">2026-09-23T05:16:53Z</dcterms:modified>
</cp:coreProperties>
</file>